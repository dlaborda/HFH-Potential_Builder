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David\Documents\Haikyuu Fly High\"/>
    </mc:Choice>
  </mc:AlternateContent>
  <xr:revisionPtr revIDLastSave="0" documentId="13_ncr:1_{2B35702F-554F-4BAF-BA47-D1A0F49D0E9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et recomendado" sheetId="1" r:id="rId1"/>
    <sheet name="Stats recomendados" sheetId="2" r:id="rId2"/>
    <sheet name="Inventario1" sheetId="3" r:id="rId3"/>
    <sheet name="Inventario2" sheetId="5" r:id="rId4"/>
    <sheet name="Inventario3" sheetId="6" r:id="rId5"/>
    <sheet name="Inventario4" sheetId="7" r:id="rId6"/>
    <sheet name="Inventario5" sheetId="8" r:id="rId7"/>
    <sheet name="Inventario6" sheetId="9" r:id="rId8"/>
    <sheet name="Equipar" sheetId="10" r:id="rId9"/>
    <sheet name="Entrenamiento Adicional" sheetId="11" r:id="rId10"/>
  </sheets>
  <definedNames>
    <definedName name="_xlnm._FilterDatabase" localSheetId="8" hidden="1">Equipar!$A$1:$AK$1</definedName>
    <definedName name="_xlnm._FilterDatabase" localSheetId="2" hidden="1">Inventario1!$A$1:$K$190</definedName>
    <definedName name="_xlnm._FilterDatabase" localSheetId="3" hidden="1">Inventario2!$A$1:$K$174</definedName>
    <definedName name="_xlnm._FilterDatabase" localSheetId="4" hidden="1">Inventario3!$A$1:$K$213</definedName>
    <definedName name="_xlnm._FilterDatabase" localSheetId="5" hidden="1">Inventario4!$A$1:$K$178</definedName>
    <definedName name="_xlnm._FilterDatabase" localSheetId="6" hidden="1">Inventario5!$A$1:$K$205</definedName>
    <definedName name="_xlnm._FilterDatabase" localSheetId="7" hidden="1">Inventario6!$A$1:$K$187</definedName>
  </definedNames>
  <calcPr calcId="191028" calcMode="manual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11" l="1"/>
  <c r="E16" i="11"/>
  <c r="E15" i="11"/>
  <c r="E14" i="11"/>
  <c r="E13" i="11"/>
  <c r="E12" i="11"/>
  <c r="E11" i="11"/>
  <c r="E10" i="11"/>
  <c r="E9" i="11"/>
  <c r="E8" i="11"/>
  <c r="E7" i="11"/>
  <c r="E6" i="11"/>
  <c r="I5" i="11"/>
  <c r="E5" i="11"/>
  <c r="I4" i="11"/>
  <c r="E4" i="11"/>
  <c r="I3" i="11"/>
  <c r="E3" i="11"/>
  <c r="I2" i="11"/>
  <c r="E2" i="11"/>
  <c r="I121" i="10" a="1"/>
  <c r="I121" i="10" s="1"/>
  <c r="H121" i="10" a="1"/>
  <c r="H121" i="10" s="1"/>
  <c r="E121" i="10" a="1"/>
  <c r="E121" i="10" s="1"/>
  <c r="D121" i="10" a="1"/>
  <c r="D121" i="10" s="1"/>
  <c r="H120" i="10" a="1"/>
  <c r="H120" i="10" s="1"/>
  <c r="D120" i="10" a="1"/>
  <c r="D120" i="10" s="1"/>
  <c r="I119" i="10" a="1"/>
  <c r="I119" i="10" s="1"/>
  <c r="H119" i="10" a="1"/>
  <c r="H119" i="10" s="1"/>
  <c r="G119" i="10" a="1"/>
  <c r="G119" i="10" s="1"/>
  <c r="K119" i="10" s="1"/>
  <c r="E119" i="10" a="1"/>
  <c r="E119" i="10" s="1"/>
  <c r="D119" i="10" a="1"/>
  <c r="D119" i="10" s="1"/>
  <c r="C119" i="10" a="1"/>
  <c r="C119" i="10" s="1"/>
  <c r="I118" i="10" a="1"/>
  <c r="I118" i="10" s="1"/>
  <c r="H118" i="10" a="1"/>
  <c r="H118" i="10" s="1"/>
  <c r="E118" i="10" a="1"/>
  <c r="E118" i="10" s="1"/>
  <c r="D118" i="10" a="1"/>
  <c r="D118" i="10" s="1"/>
  <c r="I117" i="10" a="1"/>
  <c r="I117" i="10" s="1"/>
  <c r="H117" i="10" a="1"/>
  <c r="H117" i="10" s="1"/>
  <c r="E117" i="10" a="1"/>
  <c r="E117" i="10" s="1"/>
  <c r="D117" i="10" a="1"/>
  <c r="D117" i="10" s="1"/>
  <c r="I116" i="10" a="1"/>
  <c r="I116" i="10" s="1"/>
  <c r="H116" i="10" a="1"/>
  <c r="H116" i="10" s="1"/>
  <c r="E116" i="10" a="1"/>
  <c r="E116" i="10" s="1"/>
  <c r="D116" i="10" a="1"/>
  <c r="D116" i="10" s="1"/>
  <c r="I115" i="10" a="1"/>
  <c r="I115" i="10" s="1"/>
  <c r="H115" i="10" a="1"/>
  <c r="H115" i="10" s="1"/>
  <c r="E115" i="10" a="1"/>
  <c r="E115" i="10" s="1"/>
  <c r="D115" i="10" a="1"/>
  <c r="D115" i="10" s="1"/>
  <c r="H114" i="10" a="1"/>
  <c r="H114" i="10" s="1"/>
  <c r="D114" i="10" a="1"/>
  <c r="D114" i="10" s="1"/>
  <c r="I113" i="10" a="1"/>
  <c r="I113" i="10" s="1"/>
  <c r="H113" i="10" a="1"/>
  <c r="H113" i="10" s="1"/>
  <c r="G113" i="10" a="1"/>
  <c r="G113" i="10" s="1"/>
  <c r="E113" i="10" a="1"/>
  <c r="E113" i="10" s="1"/>
  <c r="D113" i="10" a="1"/>
  <c r="D113" i="10" s="1"/>
  <c r="C113" i="10" a="1"/>
  <c r="C113" i="10" s="1"/>
  <c r="I112" i="10"/>
  <c r="I112" i="10" a="1"/>
  <c r="H112" i="10" a="1"/>
  <c r="H112" i="10" s="1"/>
  <c r="E112" i="10" a="1"/>
  <c r="E112" i="10" s="1"/>
  <c r="D112" i="10" a="1"/>
  <c r="D112" i="10" s="1"/>
  <c r="I111" i="10" a="1"/>
  <c r="I111" i="10" s="1"/>
  <c r="H111" i="10" a="1"/>
  <c r="H111" i="10" s="1"/>
  <c r="E111" i="10" a="1"/>
  <c r="E111" i="10" s="1"/>
  <c r="D111" i="10" a="1"/>
  <c r="D111" i="10" s="1"/>
  <c r="I110" i="10" a="1"/>
  <c r="I110" i="10" s="1"/>
  <c r="H110" i="10" a="1"/>
  <c r="H110" i="10" s="1"/>
  <c r="E110" i="10" a="1"/>
  <c r="E110" i="10" s="1"/>
  <c r="D110" i="10" a="1"/>
  <c r="D110" i="10" s="1"/>
  <c r="AK109" i="10"/>
  <c r="AJ109" i="10"/>
  <c r="AI109" i="10"/>
  <c r="AH109" i="10"/>
  <c r="AG109" i="10"/>
  <c r="AF109" i="10"/>
  <c r="AE109" i="10"/>
  <c r="AK108" i="10"/>
  <c r="AJ108" i="10"/>
  <c r="AI108" i="10"/>
  <c r="AH108" i="10"/>
  <c r="AG108" i="10"/>
  <c r="AF108" i="10"/>
  <c r="AE108" i="10"/>
  <c r="I107" i="10" a="1"/>
  <c r="I107" i="10" s="1"/>
  <c r="H107" i="10" a="1"/>
  <c r="H107" i="10" s="1"/>
  <c r="G107" i="10" a="1"/>
  <c r="G107" i="10" s="1"/>
  <c r="L107" i="10" s="1"/>
  <c r="E107" i="10" a="1"/>
  <c r="E107" i="10" s="1"/>
  <c r="D107" i="10" a="1"/>
  <c r="D107" i="10" s="1"/>
  <c r="C107" i="10" a="1"/>
  <c r="C107" i="10" s="1"/>
  <c r="H106" i="10" a="1"/>
  <c r="H106" i="10" s="1"/>
  <c r="G106" i="10" a="1"/>
  <c r="G106" i="10" s="1"/>
  <c r="D106" i="10"/>
  <c r="D106" i="10" a="1"/>
  <c r="C106" i="10" a="1"/>
  <c r="C106" i="10" s="1"/>
  <c r="H105" i="10" a="1"/>
  <c r="H105" i="10" s="1"/>
  <c r="D105" i="10" a="1"/>
  <c r="D105" i="10" s="1"/>
  <c r="H104" i="10" a="1"/>
  <c r="H104" i="10" s="1"/>
  <c r="D104" i="10" a="1"/>
  <c r="D104" i="10" s="1"/>
  <c r="H103" i="10" a="1"/>
  <c r="H103" i="10" s="1"/>
  <c r="G103" i="10" a="1"/>
  <c r="G103" i="10" s="1"/>
  <c r="D103" i="10" a="1"/>
  <c r="D103" i="10" s="1"/>
  <c r="C103" i="10" a="1"/>
  <c r="C103" i="10" s="1"/>
  <c r="H102" i="10" a="1"/>
  <c r="H102" i="10" s="1"/>
  <c r="D102" i="10" a="1"/>
  <c r="D102" i="10" s="1"/>
  <c r="H101" i="10" a="1"/>
  <c r="H101" i="10" s="1"/>
  <c r="D101" i="10" a="1"/>
  <c r="D101" i="10" s="1"/>
  <c r="H100" i="10"/>
  <c r="H100" i="10" a="1"/>
  <c r="D100" i="10"/>
  <c r="D100" i="10" a="1"/>
  <c r="H99" i="10" a="1"/>
  <c r="H99" i="10" s="1"/>
  <c r="D99" i="10" a="1"/>
  <c r="D99" i="10" s="1"/>
  <c r="H98" i="10"/>
  <c r="H98" i="10" a="1"/>
  <c r="D98" i="10" a="1"/>
  <c r="D98" i="10" s="1"/>
  <c r="I97" i="10"/>
  <c r="I97" i="10" a="1"/>
  <c r="H97" i="10" a="1"/>
  <c r="H97" i="10" s="1"/>
  <c r="E97" i="10" a="1"/>
  <c r="E97" i="10" s="1"/>
  <c r="D97" i="10" a="1"/>
  <c r="D97" i="10" s="1"/>
  <c r="H96" i="10" a="1"/>
  <c r="H96" i="10" s="1"/>
  <c r="D96" i="10"/>
  <c r="D96" i="10" a="1"/>
  <c r="I95" i="10" a="1"/>
  <c r="I95" i="10" s="1"/>
  <c r="H95" i="10" a="1"/>
  <c r="H95" i="10" s="1"/>
  <c r="G95" i="10" a="1"/>
  <c r="G95" i="10" s="1"/>
  <c r="E95" i="10" a="1"/>
  <c r="E95" i="10" s="1"/>
  <c r="D95" i="10" a="1"/>
  <c r="D95" i="10" s="1"/>
  <c r="C95" i="10" a="1"/>
  <c r="C95" i="10" s="1"/>
  <c r="I94" i="10" a="1"/>
  <c r="I94" i="10" s="1"/>
  <c r="H94" i="10" a="1"/>
  <c r="H94" i="10" s="1"/>
  <c r="E94" i="10"/>
  <c r="E94" i="10" a="1"/>
  <c r="D94" i="10" a="1"/>
  <c r="D94" i="10" s="1"/>
  <c r="I93" i="10" a="1"/>
  <c r="I93" i="10" s="1"/>
  <c r="H93" i="10" a="1"/>
  <c r="H93" i="10" s="1"/>
  <c r="E93" i="10" a="1"/>
  <c r="E93" i="10" s="1"/>
  <c r="D93" i="10"/>
  <c r="D93" i="10" a="1"/>
  <c r="I92" i="10" a="1"/>
  <c r="I92" i="10" s="1"/>
  <c r="H92" i="10" a="1"/>
  <c r="H92" i="10" s="1"/>
  <c r="E92" i="10" a="1"/>
  <c r="E92" i="10" s="1"/>
  <c r="D92" i="10"/>
  <c r="D92" i="10" a="1"/>
  <c r="AK91" i="10"/>
  <c r="AJ91" i="10"/>
  <c r="AI91" i="10"/>
  <c r="AH91" i="10"/>
  <c r="AG91" i="10"/>
  <c r="AF91" i="10"/>
  <c r="AE91" i="10"/>
  <c r="I90" i="10"/>
  <c r="I90" i="10" a="1"/>
  <c r="G90" i="10" a="1"/>
  <c r="G90" i="10" s="1"/>
  <c r="L90" i="10" s="1"/>
  <c r="E90" i="10"/>
  <c r="E90" i="10" a="1"/>
  <c r="C90" i="10" a="1"/>
  <c r="C90" i="10" s="1"/>
  <c r="I89" i="10" a="1"/>
  <c r="I89" i="10" s="1"/>
  <c r="E89" i="10" a="1"/>
  <c r="E89" i="10" s="1"/>
  <c r="I88" i="10"/>
  <c r="I88" i="10" a="1"/>
  <c r="E88" i="10"/>
  <c r="E88" i="10" a="1"/>
  <c r="I87" i="10" a="1"/>
  <c r="I87" i="10" s="1"/>
  <c r="H87" i="10" a="1"/>
  <c r="H87" i="10" s="1"/>
  <c r="E87" i="10" a="1"/>
  <c r="E87" i="10" s="1"/>
  <c r="D87" i="10" a="1"/>
  <c r="D87" i="10" s="1"/>
  <c r="I86" i="10" a="1"/>
  <c r="I86" i="10" s="1"/>
  <c r="E86" i="10"/>
  <c r="E86" i="10" a="1"/>
  <c r="I85" i="10" a="1"/>
  <c r="I85" i="10" s="1"/>
  <c r="G85" i="10" a="1"/>
  <c r="G85" i="10" s="1"/>
  <c r="E85" i="10" a="1"/>
  <c r="E85" i="10" s="1"/>
  <c r="C85" i="10" a="1"/>
  <c r="C85" i="10" s="1"/>
  <c r="I84" i="10" a="1"/>
  <c r="I84" i="10" s="1"/>
  <c r="H84" i="10" a="1"/>
  <c r="H84" i="10" s="1"/>
  <c r="N84" i="10" s="1"/>
  <c r="E84" i="10"/>
  <c r="E84" i="10" a="1"/>
  <c r="D84" i="10"/>
  <c r="D84" i="10" a="1"/>
  <c r="I82" i="10"/>
  <c r="I82" i="10" a="1"/>
  <c r="E82" i="10" a="1"/>
  <c r="E82" i="10" s="1"/>
  <c r="I81" i="10"/>
  <c r="I81" i="10" a="1"/>
  <c r="G81" i="10" a="1"/>
  <c r="G81" i="10" s="1"/>
  <c r="E81" i="10" a="1"/>
  <c r="E81" i="10" s="1"/>
  <c r="C81" i="10" a="1"/>
  <c r="C81" i="10" s="1"/>
  <c r="I80" i="10" a="1"/>
  <c r="I80" i="10" s="1"/>
  <c r="E80" i="10" a="1"/>
  <c r="E80" i="10" s="1"/>
  <c r="I79" i="10" a="1"/>
  <c r="I79" i="10" s="1"/>
  <c r="H79" i="10" a="1"/>
  <c r="H79" i="10" s="1"/>
  <c r="E79" i="10" a="1"/>
  <c r="E79" i="10" s="1"/>
  <c r="D79" i="10" a="1"/>
  <c r="D79" i="10" s="1"/>
  <c r="I78" i="10" a="1"/>
  <c r="I78" i="10" s="1"/>
  <c r="H78" i="10" a="1"/>
  <c r="H78" i="10" s="1"/>
  <c r="G78" i="10" a="1"/>
  <c r="G78" i="10" s="1"/>
  <c r="E78" i="10" a="1"/>
  <c r="E78" i="10" s="1"/>
  <c r="D78" i="10" a="1"/>
  <c r="D78" i="10" s="1"/>
  <c r="C78" i="10" a="1"/>
  <c r="C78" i="10" s="1"/>
  <c r="I77" i="10" a="1"/>
  <c r="I77" i="10" s="1"/>
  <c r="H77" i="10" a="1"/>
  <c r="H77" i="10" s="1"/>
  <c r="E77" i="10"/>
  <c r="E77" i="10" a="1"/>
  <c r="D77" i="10" a="1"/>
  <c r="D77" i="10" s="1"/>
  <c r="I76" i="10" a="1"/>
  <c r="I76" i="10" s="1"/>
  <c r="H76" i="10" a="1"/>
  <c r="H76" i="10" s="1"/>
  <c r="E76" i="10" a="1"/>
  <c r="E76" i="10" s="1"/>
  <c r="D76" i="10" a="1"/>
  <c r="D76" i="10" s="1"/>
  <c r="I75" i="10" a="1"/>
  <c r="I75" i="10" s="1"/>
  <c r="H75" i="10"/>
  <c r="H75" i="10" a="1"/>
  <c r="E75" i="10" a="1"/>
  <c r="E75" i="10" s="1"/>
  <c r="D75" i="10" a="1"/>
  <c r="D75" i="10" s="1"/>
  <c r="I74" i="10" a="1"/>
  <c r="I74" i="10" s="1"/>
  <c r="H74" i="10" a="1"/>
  <c r="H74" i="10" s="1"/>
  <c r="E74" i="10" a="1"/>
  <c r="E74" i="10" s="1"/>
  <c r="D74" i="10" a="1"/>
  <c r="D74" i="10" s="1"/>
  <c r="I73" i="10" a="1"/>
  <c r="I73" i="10" s="1"/>
  <c r="H73" i="10" a="1"/>
  <c r="H73" i="10" s="1"/>
  <c r="E73" i="10" a="1"/>
  <c r="E73" i="10" s="1"/>
  <c r="D73" i="10" a="1"/>
  <c r="D73" i="10" s="1"/>
  <c r="I72" i="10" a="1"/>
  <c r="I72" i="10" s="1"/>
  <c r="H72" i="10" a="1"/>
  <c r="H72" i="10" s="1"/>
  <c r="E72" i="10" a="1"/>
  <c r="E72" i="10" s="1"/>
  <c r="D72" i="10" a="1"/>
  <c r="D72" i="10" s="1"/>
  <c r="I71" i="10" a="1"/>
  <c r="I71" i="10" s="1"/>
  <c r="H71" i="10" a="1"/>
  <c r="H71" i="10" s="1"/>
  <c r="E71" i="10"/>
  <c r="E71" i="10" a="1"/>
  <c r="D71" i="10" a="1"/>
  <c r="D71" i="10" s="1"/>
  <c r="I70" i="10" a="1"/>
  <c r="I70" i="10" s="1"/>
  <c r="H70" i="10" a="1"/>
  <c r="H70" i="10" s="1"/>
  <c r="E70" i="10" a="1"/>
  <c r="E70" i="10" s="1"/>
  <c r="D70" i="10"/>
  <c r="D70" i="10" a="1"/>
  <c r="I69" i="10" a="1"/>
  <c r="I69" i="10" s="1"/>
  <c r="H69" i="10" a="1"/>
  <c r="H69" i="10" s="1"/>
  <c r="G69" i="10" a="1"/>
  <c r="G69" i="10" s="1"/>
  <c r="E69" i="10" a="1"/>
  <c r="E69" i="10" s="1"/>
  <c r="D69" i="10" a="1"/>
  <c r="D69" i="10" s="1"/>
  <c r="C69" i="10" a="1"/>
  <c r="C69" i="10" s="1"/>
  <c r="I68" i="10"/>
  <c r="I68" i="10" a="1"/>
  <c r="H68" i="10" a="1"/>
  <c r="H68" i="10" s="1"/>
  <c r="E68" i="10" a="1"/>
  <c r="E68" i="10" s="1"/>
  <c r="D68" i="10"/>
  <c r="D68" i="10" a="1"/>
  <c r="I67" i="10" a="1"/>
  <c r="I67" i="10" s="1"/>
  <c r="G67" i="10" a="1"/>
  <c r="G67" i="10" s="1"/>
  <c r="E67" i="10" a="1"/>
  <c r="E67" i="10" s="1"/>
  <c r="C67" i="10"/>
  <c r="C67" i="10" a="1"/>
  <c r="I66" i="10" a="1"/>
  <c r="I66" i="10" s="1"/>
  <c r="H66" i="10" a="1"/>
  <c r="H66" i="10" s="1"/>
  <c r="N66" i="10" s="1"/>
  <c r="E66" i="10" a="1"/>
  <c r="E66" i="10" s="1"/>
  <c r="D66" i="10"/>
  <c r="D66" i="10" a="1"/>
  <c r="I65" i="10"/>
  <c r="I65" i="10" a="1"/>
  <c r="E65" i="10" a="1"/>
  <c r="E65" i="10" s="1"/>
  <c r="I64" i="10"/>
  <c r="I64" i="10" a="1"/>
  <c r="E64" i="10" a="1"/>
  <c r="E64" i="10" s="1"/>
  <c r="I63" i="10" a="1"/>
  <c r="I63" i="10" s="1"/>
  <c r="G63" i="10" a="1"/>
  <c r="G63" i="10" s="1"/>
  <c r="E63" i="10" a="1"/>
  <c r="E63" i="10" s="1"/>
  <c r="C63" i="10" a="1"/>
  <c r="C63" i="10" s="1"/>
  <c r="I62" i="10" a="1"/>
  <c r="I62" i="10" s="1"/>
  <c r="E62" i="10"/>
  <c r="E62" i="10" a="1"/>
  <c r="I61" i="10" a="1"/>
  <c r="I61" i="10" s="1"/>
  <c r="H61" i="10" a="1"/>
  <c r="H61" i="10" s="1"/>
  <c r="E61" i="10" a="1"/>
  <c r="E61" i="10" s="1"/>
  <c r="D61" i="10" a="1"/>
  <c r="D61" i="10" s="1"/>
  <c r="I59" i="10" a="1"/>
  <c r="I59" i="10" s="1"/>
  <c r="H59" i="10" a="1"/>
  <c r="H59" i="10" s="1"/>
  <c r="E59" i="10" a="1"/>
  <c r="E59" i="10" s="1"/>
  <c r="D59" i="10" a="1"/>
  <c r="D59" i="10" s="1"/>
  <c r="I58" i="10" a="1"/>
  <c r="I58" i="10" s="1"/>
  <c r="H58" i="10" a="1"/>
  <c r="H58" i="10" s="1"/>
  <c r="E58" i="10" a="1"/>
  <c r="E58" i="10" s="1"/>
  <c r="D58" i="10" a="1"/>
  <c r="D58" i="10" s="1"/>
  <c r="I56" i="10"/>
  <c r="I56" i="10" a="1"/>
  <c r="H56" i="10" a="1"/>
  <c r="H56" i="10" s="1"/>
  <c r="E56" i="10" a="1"/>
  <c r="E56" i="10" s="1"/>
  <c r="D56" i="10" a="1"/>
  <c r="D56" i="10" s="1"/>
  <c r="I55" i="10" a="1"/>
  <c r="I55" i="10" s="1"/>
  <c r="H55" i="10" a="1"/>
  <c r="H55" i="10" s="1"/>
  <c r="E55" i="10" a="1"/>
  <c r="E55" i="10" s="1"/>
  <c r="D55" i="10"/>
  <c r="D55" i="10" a="1"/>
  <c r="I54" i="10" a="1"/>
  <c r="I54" i="10" s="1"/>
  <c r="H54" i="10" a="1"/>
  <c r="H54" i="10" s="1"/>
  <c r="E54" i="10" a="1"/>
  <c r="E54" i="10" s="1"/>
  <c r="D54" i="10" a="1"/>
  <c r="D54" i="10" s="1"/>
  <c r="I53" i="10" a="1"/>
  <c r="I53" i="10" s="1"/>
  <c r="H53" i="10" a="1"/>
  <c r="H53" i="10" s="1"/>
  <c r="E53" i="10" a="1"/>
  <c r="E53" i="10" s="1"/>
  <c r="D53" i="10" a="1"/>
  <c r="D53" i="10" s="1"/>
  <c r="I52" i="10" a="1"/>
  <c r="I52" i="10" s="1"/>
  <c r="H52" i="10" a="1"/>
  <c r="H52" i="10" s="1"/>
  <c r="E52" i="10" a="1"/>
  <c r="E52" i="10" s="1"/>
  <c r="D52" i="10" a="1"/>
  <c r="D52" i="10" s="1"/>
  <c r="I50" i="10" a="1"/>
  <c r="I50" i="10" s="1"/>
  <c r="H50" i="10"/>
  <c r="N50" i="10" s="1"/>
  <c r="H50" i="10" a="1"/>
  <c r="E50" i="10" a="1"/>
  <c r="E50" i="10" s="1"/>
  <c r="D50" i="10"/>
  <c r="D50" i="10" a="1"/>
  <c r="I49" i="10" a="1"/>
  <c r="I49" i="10" s="1"/>
  <c r="H49" i="10" a="1"/>
  <c r="H49" i="10" s="1"/>
  <c r="E49" i="10" a="1"/>
  <c r="E49" i="10" s="1"/>
  <c r="D49" i="10" a="1"/>
  <c r="D49" i="10" s="1"/>
  <c r="I48" i="10" a="1"/>
  <c r="I48" i="10" s="1"/>
  <c r="H48" i="10" a="1"/>
  <c r="H48" i="10" s="1"/>
  <c r="E48" i="10" a="1"/>
  <c r="E48" i="10" s="1"/>
  <c r="D48" i="10" a="1"/>
  <c r="D48" i="10" s="1"/>
  <c r="I47" i="10" a="1"/>
  <c r="I47" i="10" s="1"/>
  <c r="H47" i="10" a="1"/>
  <c r="H47" i="10" s="1"/>
  <c r="E47" i="10" a="1"/>
  <c r="E47" i="10" s="1"/>
  <c r="D47" i="10" a="1"/>
  <c r="D47" i="10" s="1"/>
  <c r="I46" i="10" a="1"/>
  <c r="I46" i="10" s="1"/>
  <c r="H46" i="10" a="1"/>
  <c r="H46" i="10" s="1"/>
  <c r="E46" i="10" a="1"/>
  <c r="E46" i="10" s="1"/>
  <c r="D46" i="10" a="1"/>
  <c r="D46" i="10" s="1"/>
  <c r="I45" i="10" a="1"/>
  <c r="I45" i="10" s="1"/>
  <c r="H45" i="10" a="1"/>
  <c r="H45" i="10" s="1"/>
  <c r="N45" i="10" s="1"/>
  <c r="E45" i="10"/>
  <c r="E45" i="10" a="1"/>
  <c r="D45" i="10" a="1"/>
  <c r="D45" i="10" s="1"/>
  <c r="I44" i="10"/>
  <c r="I44" i="10" a="1"/>
  <c r="H44" i="10" a="1"/>
  <c r="H44" i="10" s="1"/>
  <c r="E44" i="10" a="1"/>
  <c r="E44" i="10" s="1"/>
  <c r="D44" i="10"/>
  <c r="D44" i="10" a="1"/>
  <c r="I43" i="10"/>
  <c r="I43" i="10" a="1"/>
  <c r="E43" i="10" a="1"/>
  <c r="E43" i="10" s="1"/>
  <c r="I42" i="10" a="1"/>
  <c r="I42" i="10" s="1"/>
  <c r="E42" i="10"/>
  <c r="E42" i="10" a="1"/>
  <c r="I41" i="10" a="1"/>
  <c r="I41" i="10" s="1"/>
  <c r="G41" i="10" a="1"/>
  <c r="G41" i="10" s="1"/>
  <c r="E41" i="10" a="1"/>
  <c r="E41" i="10" s="1"/>
  <c r="C41" i="10"/>
  <c r="C41" i="10" a="1"/>
  <c r="I40" i="10" a="1"/>
  <c r="I40" i="10" s="1"/>
  <c r="E40" i="10" a="1"/>
  <c r="E40" i="10" s="1"/>
  <c r="I39" i="10"/>
  <c r="I39" i="10" a="1"/>
  <c r="E39" i="10" a="1"/>
  <c r="E39" i="10" s="1"/>
  <c r="I38" i="10" a="1"/>
  <c r="I38" i="10" s="1"/>
  <c r="E38" i="10" a="1"/>
  <c r="E38" i="10" s="1"/>
  <c r="I37" i="10" a="1"/>
  <c r="I37" i="10" s="1"/>
  <c r="G37" i="10"/>
  <c r="L37" i="10" s="1"/>
  <c r="G37" i="10" a="1"/>
  <c r="E37" i="10" a="1"/>
  <c r="E37" i="10" s="1"/>
  <c r="C37" i="10" a="1"/>
  <c r="C37" i="10" s="1"/>
  <c r="I36" i="10" a="1"/>
  <c r="I36" i="10" s="1"/>
  <c r="E36" i="10" a="1"/>
  <c r="E36" i="10" s="1"/>
  <c r="I35" i="10" a="1"/>
  <c r="I35" i="10" s="1"/>
  <c r="E35" i="10" a="1"/>
  <c r="E35" i="10" s="1"/>
  <c r="I34" i="10" a="1"/>
  <c r="I34" i="10" s="1"/>
  <c r="E34" i="10" a="1"/>
  <c r="E34" i="10" s="1"/>
  <c r="I33" i="10"/>
  <c r="I33" i="10" a="1"/>
  <c r="G33" i="10" a="1"/>
  <c r="G33" i="10" s="1"/>
  <c r="E33" i="10"/>
  <c r="E33" i="10" a="1"/>
  <c r="C33" i="10" a="1"/>
  <c r="C33" i="10" s="1"/>
  <c r="I32" i="10" a="1"/>
  <c r="I32" i="10" s="1"/>
  <c r="E32" i="10"/>
  <c r="E32" i="10" a="1"/>
  <c r="I31" i="10" a="1"/>
  <c r="I31" i="10" s="1"/>
  <c r="H31" i="10" a="1"/>
  <c r="H31" i="10" s="1"/>
  <c r="E31" i="10" a="1"/>
  <c r="E31" i="10" s="1"/>
  <c r="D31" i="10"/>
  <c r="D31" i="10" a="1"/>
  <c r="I30" i="10"/>
  <c r="I30" i="10" a="1"/>
  <c r="H30" i="10" a="1"/>
  <c r="H30" i="10" s="1"/>
  <c r="E30" i="10" a="1"/>
  <c r="E30" i="10" s="1"/>
  <c r="D30" i="10" a="1"/>
  <c r="D30" i="10" s="1"/>
  <c r="I29" i="10"/>
  <c r="I29" i="10" a="1"/>
  <c r="H29" i="10" a="1"/>
  <c r="H29" i="10" s="1"/>
  <c r="E29" i="10" a="1"/>
  <c r="E29" i="10" s="1"/>
  <c r="D29" i="10" a="1"/>
  <c r="D29" i="10" s="1"/>
  <c r="I28" i="10" a="1"/>
  <c r="I28" i="10" s="1"/>
  <c r="H28" i="10" a="1"/>
  <c r="H28" i="10" s="1"/>
  <c r="E28" i="10" a="1"/>
  <c r="E28" i="10" s="1"/>
  <c r="D28" i="10" a="1"/>
  <c r="D28" i="10" s="1"/>
  <c r="I27" i="10" a="1"/>
  <c r="I27" i="10" s="1"/>
  <c r="H27" i="10"/>
  <c r="H27" i="10" a="1"/>
  <c r="G27" i="10" a="1"/>
  <c r="G27" i="10" s="1"/>
  <c r="E27" i="10" a="1"/>
  <c r="E27" i="10" s="1"/>
  <c r="D27" i="10" a="1"/>
  <c r="D27" i="10" s="1"/>
  <c r="C27" i="10"/>
  <c r="C27" i="10" a="1"/>
  <c r="I26" i="10" a="1"/>
  <c r="I26" i="10" s="1"/>
  <c r="H26" i="10" a="1"/>
  <c r="H26" i="10" s="1"/>
  <c r="E26" i="10" a="1"/>
  <c r="E26" i="10" s="1"/>
  <c r="D26" i="10" a="1"/>
  <c r="D26" i="10" s="1"/>
  <c r="H25" i="10" a="1"/>
  <c r="H25" i="10" s="1"/>
  <c r="G25" i="10" a="1"/>
  <c r="G25" i="10" s="1"/>
  <c r="D25" i="10" a="1"/>
  <c r="D25" i="10" s="1"/>
  <c r="C25" i="10" a="1"/>
  <c r="C25" i="10" s="1"/>
  <c r="H24" i="10" a="1"/>
  <c r="H24" i="10" s="1"/>
  <c r="D24" i="10" a="1"/>
  <c r="D24" i="10" s="1"/>
  <c r="H23" i="10" a="1"/>
  <c r="H23" i="10" s="1"/>
  <c r="D23" i="10"/>
  <c r="D23" i="10" a="1"/>
  <c r="H22" i="10" a="1"/>
  <c r="H22" i="10" s="1"/>
  <c r="D22" i="10" a="1"/>
  <c r="D22" i="10" s="1"/>
  <c r="H21" i="10" a="1"/>
  <c r="H21" i="10" s="1"/>
  <c r="D21" i="10" a="1"/>
  <c r="D21" i="10" s="1"/>
  <c r="H20" i="10" a="1"/>
  <c r="H20" i="10" s="1"/>
  <c r="D20" i="10" a="1"/>
  <c r="D20" i="10" s="1"/>
  <c r="H19" i="10" a="1"/>
  <c r="H19" i="10" s="1"/>
  <c r="G19" i="10" a="1"/>
  <c r="G19" i="10" s="1"/>
  <c r="D19" i="10"/>
  <c r="D19" i="10" a="1"/>
  <c r="C19" i="10" a="1"/>
  <c r="C19" i="10" s="1"/>
  <c r="H18" i="10" a="1"/>
  <c r="H18" i="10" s="1"/>
  <c r="D18" i="10"/>
  <c r="D18" i="10" a="1"/>
  <c r="H17" i="10" a="1"/>
  <c r="H17" i="10" s="1"/>
  <c r="D17" i="10" a="1"/>
  <c r="D17" i="10" s="1"/>
  <c r="H16" i="10" a="1"/>
  <c r="H16" i="10" s="1"/>
  <c r="D16" i="10" a="1"/>
  <c r="D16" i="10" s="1"/>
  <c r="H15" i="10" a="1"/>
  <c r="H15" i="10" s="1"/>
  <c r="D15" i="10" a="1"/>
  <c r="D15" i="10" s="1"/>
  <c r="H14" i="10" a="1"/>
  <c r="H14" i="10" s="1"/>
  <c r="D14" i="10" a="1"/>
  <c r="D14" i="10" s="1"/>
  <c r="I13" i="10" a="1"/>
  <c r="I13" i="10" s="1"/>
  <c r="H13" i="10" a="1"/>
  <c r="H13" i="10" s="1"/>
  <c r="E13" i="10" a="1"/>
  <c r="E13" i="10" s="1"/>
  <c r="D13" i="10" a="1"/>
  <c r="D13" i="10" s="1"/>
  <c r="H12" i="10" a="1"/>
  <c r="H12" i="10" s="1"/>
  <c r="D12" i="10" a="1"/>
  <c r="D12" i="10" s="1"/>
  <c r="I11" i="10" a="1"/>
  <c r="I11" i="10" s="1"/>
  <c r="H11" i="10" a="1"/>
  <c r="H11" i="10" s="1"/>
  <c r="N11" i="10" s="1"/>
  <c r="G11" i="10" a="1"/>
  <c r="G11" i="10" s="1"/>
  <c r="E11" i="10" a="1"/>
  <c r="E11" i="10" s="1"/>
  <c r="D11" i="10" a="1"/>
  <c r="D11" i="10" s="1"/>
  <c r="C11" i="10" a="1"/>
  <c r="C11" i="10" s="1"/>
  <c r="I10" i="10" a="1"/>
  <c r="I10" i="10" s="1"/>
  <c r="H10" i="10"/>
  <c r="H10" i="10" a="1"/>
  <c r="E10" i="10" a="1"/>
  <c r="E10" i="10" s="1"/>
  <c r="D10" i="10" a="1"/>
  <c r="D10" i="10" s="1"/>
  <c r="I8" i="10" a="1"/>
  <c r="I8" i="10" s="1"/>
  <c r="H8" i="10" a="1"/>
  <c r="H8" i="10" s="1"/>
  <c r="E8" i="10" a="1"/>
  <c r="E8" i="10" s="1"/>
  <c r="D8" i="10" a="1"/>
  <c r="D8" i="10" s="1"/>
  <c r="I7" i="10" a="1"/>
  <c r="I7" i="10" s="1"/>
  <c r="H7" i="10"/>
  <c r="H7" i="10" a="1"/>
  <c r="E7" i="10" a="1"/>
  <c r="E7" i="10" s="1"/>
  <c r="D7" i="10" a="1"/>
  <c r="D7" i="10" s="1"/>
  <c r="H6" i="10" a="1"/>
  <c r="H6" i="10" s="1"/>
  <c r="D6" i="10" a="1"/>
  <c r="D6" i="10" s="1"/>
  <c r="I5" i="10" a="1"/>
  <c r="I5" i="10" s="1"/>
  <c r="H5" i="10" a="1"/>
  <c r="H5" i="10" s="1"/>
  <c r="G5" i="10" a="1"/>
  <c r="G5" i="10" s="1"/>
  <c r="E5" i="10" a="1"/>
  <c r="E5" i="10" s="1"/>
  <c r="D5" i="10" a="1"/>
  <c r="D5" i="10" s="1"/>
  <c r="C5" i="10" a="1"/>
  <c r="C5" i="10" s="1"/>
  <c r="I4" i="10" a="1"/>
  <c r="I4" i="10" s="1"/>
  <c r="H4" i="10" a="1"/>
  <c r="H4" i="10" s="1"/>
  <c r="E4" i="10"/>
  <c r="E4" i="10" a="1"/>
  <c r="D4" i="10" a="1"/>
  <c r="D4" i="10" s="1"/>
  <c r="I3" i="10"/>
  <c r="I3" i="10" a="1"/>
  <c r="H3" i="10" a="1"/>
  <c r="H3" i="10" s="1"/>
  <c r="E3" i="10" a="1"/>
  <c r="E3" i="10" s="1"/>
  <c r="D3" i="10" a="1"/>
  <c r="D3" i="10" s="1"/>
  <c r="I2" i="10"/>
  <c r="I2" i="10" a="1"/>
  <c r="H2" i="10" a="1"/>
  <c r="H2" i="10" s="1"/>
  <c r="E2" i="10"/>
  <c r="E2" i="10" a="1"/>
  <c r="D2" i="10" a="1"/>
  <c r="D2" i="10" s="1"/>
  <c r="A186" i="9"/>
  <c r="J185" i="9" a="1"/>
  <c r="J185" i="9" s="1"/>
  <c r="J184" i="9" a="1"/>
  <c r="J184" i="9" s="1"/>
  <c r="J183" i="9" a="1"/>
  <c r="J183" i="9" s="1"/>
  <c r="J182" i="9" a="1"/>
  <c r="J182" i="9" s="1"/>
  <c r="J181" i="9" a="1"/>
  <c r="J181" i="9" s="1"/>
  <c r="J180" i="9" a="1"/>
  <c r="J180" i="9" s="1"/>
  <c r="J179" i="9"/>
  <c r="J179" i="9" a="1"/>
  <c r="J178" i="9" a="1"/>
  <c r="J178" i="9" s="1"/>
  <c r="J177" i="9" a="1"/>
  <c r="J177" i="9" s="1"/>
  <c r="J176" i="9"/>
  <c r="J176" i="9" a="1"/>
  <c r="J175" i="9" a="1"/>
  <c r="J175" i="9" s="1"/>
  <c r="J174" i="9" a="1"/>
  <c r="J174" i="9" s="1"/>
  <c r="J173" i="9" a="1"/>
  <c r="J173" i="9" s="1"/>
  <c r="J172" i="9" a="1"/>
  <c r="J172" i="9" s="1"/>
  <c r="J171" i="9" a="1"/>
  <c r="J171" i="9" s="1"/>
  <c r="J170" i="9" a="1"/>
  <c r="J170" i="9" s="1"/>
  <c r="J169" i="9" a="1"/>
  <c r="J169" i="9" s="1"/>
  <c r="J168" i="9" a="1"/>
  <c r="J168" i="9" s="1"/>
  <c r="J167" i="9"/>
  <c r="J167" i="9" a="1"/>
  <c r="J166" i="9" a="1"/>
  <c r="J166" i="9" s="1"/>
  <c r="J165" i="9" a="1"/>
  <c r="J165" i="9" s="1"/>
  <c r="J164" i="9"/>
  <c r="J164" i="9" a="1"/>
  <c r="J163" i="9" a="1"/>
  <c r="J163" i="9" s="1"/>
  <c r="J162" i="9" a="1"/>
  <c r="J162" i="9" s="1"/>
  <c r="J161" i="9" a="1"/>
  <c r="J161" i="9" s="1"/>
  <c r="J160" i="9" a="1"/>
  <c r="J160" i="9" s="1"/>
  <c r="J159" i="9" a="1"/>
  <c r="J159" i="9" s="1"/>
  <c r="J158" i="9" a="1"/>
  <c r="J158" i="9" s="1"/>
  <c r="J157" i="9" a="1"/>
  <c r="J157" i="9" s="1"/>
  <c r="J156" i="9" a="1"/>
  <c r="J156" i="9" s="1"/>
  <c r="J155" i="9"/>
  <c r="J155" i="9" a="1"/>
  <c r="J154" i="9" a="1"/>
  <c r="J154" i="9" s="1"/>
  <c r="J153" i="9" a="1"/>
  <c r="J153" i="9" s="1"/>
  <c r="J152" i="9" a="1"/>
  <c r="J152" i="9" s="1"/>
  <c r="J151" i="9" a="1"/>
  <c r="J151" i="9" s="1"/>
  <c r="J150" i="9" a="1"/>
  <c r="J150" i="9" s="1"/>
  <c r="J149" i="9" a="1"/>
  <c r="J149" i="9" s="1"/>
  <c r="J148" i="9" a="1"/>
  <c r="J148" i="9" s="1"/>
  <c r="J147" i="9" a="1"/>
  <c r="J147" i="9" s="1"/>
  <c r="J146" i="9" a="1"/>
  <c r="J146" i="9" s="1"/>
  <c r="J145" i="9" a="1"/>
  <c r="J145" i="9" s="1"/>
  <c r="J144" i="9" a="1"/>
  <c r="J144" i="9" s="1"/>
  <c r="J143" i="9" a="1"/>
  <c r="J143" i="9" s="1"/>
  <c r="J142" i="9" a="1"/>
  <c r="J142" i="9" s="1"/>
  <c r="J141" i="9" a="1"/>
  <c r="J141" i="9" s="1"/>
  <c r="J140" i="9" a="1"/>
  <c r="J140" i="9" s="1"/>
  <c r="J139" i="9" a="1"/>
  <c r="J139" i="9" s="1"/>
  <c r="J138" i="9" a="1"/>
  <c r="J138" i="9" s="1"/>
  <c r="J137" i="9" a="1"/>
  <c r="J137" i="9" s="1"/>
  <c r="J136" i="9" a="1"/>
  <c r="J136" i="9" s="1"/>
  <c r="J135" i="9" a="1"/>
  <c r="J135" i="9" s="1"/>
  <c r="J134" i="9" a="1"/>
  <c r="J134" i="9" s="1"/>
  <c r="J133" i="9" a="1"/>
  <c r="J133" i="9" s="1"/>
  <c r="J132" i="9" a="1"/>
  <c r="J132" i="9" s="1"/>
  <c r="J131" i="9" a="1"/>
  <c r="J131" i="9" s="1"/>
  <c r="J130" i="9" a="1"/>
  <c r="J130" i="9" s="1"/>
  <c r="J129" i="9" a="1"/>
  <c r="J129" i="9" s="1"/>
  <c r="J128" i="9" a="1"/>
  <c r="J128" i="9" s="1"/>
  <c r="J127" i="9" a="1"/>
  <c r="J127" i="9" s="1"/>
  <c r="J126" i="9" a="1"/>
  <c r="J126" i="9" s="1"/>
  <c r="J125" i="9" a="1"/>
  <c r="J125" i="9" s="1"/>
  <c r="J124" i="9" a="1"/>
  <c r="J124" i="9" s="1"/>
  <c r="J123" i="9" a="1"/>
  <c r="J123" i="9" s="1"/>
  <c r="J122" i="9" a="1"/>
  <c r="J122" i="9" s="1"/>
  <c r="J121" i="9" a="1"/>
  <c r="J121" i="9" s="1"/>
  <c r="J120" i="9" a="1"/>
  <c r="J120" i="9" s="1"/>
  <c r="I120" i="9"/>
  <c r="J119" i="9"/>
  <c r="J119" i="9" a="1"/>
  <c r="J118" i="9"/>
  <c r="J118" i="9" a="1"/>
  <c r="J117" i="9"/>
  <c r="J117" i="9" a="1"/>
  <c r="J116" i="9"/>
  <c r="J116" i="9" a="1"/>
  <c r="J115" i="9"/>
  <c r="J115" i="9" a="1"/>
  <c r="J114" i="9"/>
  <c r="J114" i="9" a="1"/>
  <c r="J113" i="9"/>
  <c r="J113" i="9" a="1"/>
  <c r="J112" i="9"/>
  <c r="J112" i="9" a="1"/>
  <c r="J111" i="9"/>
  <c r="J111" i="9" a="1"/>
  <c r="J110" i="9"/>
  <c r="J110" i="9" a="1"/>
  <c r="J109" i="9"/>
  <c r="J109" i="9" a="1"/>
  <c r="J108" i="9"/>
  <c r="J108" i="9" a="1"/>
  <c r="J107" i="9"/>
  <c r="J107" i="9" a="1"/>
  <c r="J106" i="9"/>
  <c r="J106" i="9" a="1"/>
  <c r="J105" i="9" a="1"/>
  <c r="J105" i="9" s="1"/>
  <c r="J104" i="9"/>
  <c r="J104" i="9" a="1"/>
  <c r="J103" i="9"/>
  <c r="J103" i="9" a="1"/>
  <c r="J102" i="9"/>
  <c r="J102" i="9" a="1"/>
  <c r="J101" i="9"/>
  <c r="J101" i="9" a="1"/>
  <c r="J100" i="9"/>
  <c r="J100" i="9" a="1"/>
  <c r="J99" i="9"/>
  <c r="J99" i="9" a="1"/>
  <c r="J98" i="9"/>
  <c r="J98" i="9" a="1"/>
  <c r="J97" i="9"/>
  <c r="J97" i="9" a="1"/>
  <c r="I97" i="9"/>
  <c r="J96" i="9" a="1"/>
  <c r="J96" i="9" s="1"/>
  <c r="I96" i="9"/>
  <c r="J95" i="9"/>
  <c r="J95" i="9" a="1"/>
  <c r="J94" i="9" a="1"/>
  <c r="J94" i="9" s="1"/>
  <c r="J93" i="9"/>
  <c r="J93" i="9" a="1"/>
  <c r="J92" i="9"/>
  <c r="J92" i="9" a="1"/>
  <c r="J91" i="9"/>
  <c r="J91" i="9" a="1"/>
  <c r="J90" i="9"/>
  <c r="J90" i="9" a="1"/>
  <c r="J89" i="9"/>
  <c r="J89" i="9" a="1"/>
  <c r="J88" i="9"/>
  <c r="J88" i="9" a="1"/>
  <c r="J87" i="9"/>
  <c r="J87" i="9" a="1"/>
  <c r="J86" i="9"/>
  <c r="J86" i="9" a="1"/>
  <c r="J85" i="9" a="1"/>
  <c r="J85" i="9" s="1"/>
  <c r="J84" i="9"/>
  <c r="J84" i="9" a="1"/>
  <c r="J83" i="9" a="1"/>
  <c r="J83" i="9" s="1"/>
  <c r="J82" i="9" a="1"/>
  <c r="J82" i="9" s="1"/>
  <c r="I82" i="9"/>
  <c r="J81" i="9" a="1"/>
  <c r="J81" i="9" s="1"/>
  <c r="J80" i="9" a="1"/>
  <c r="J80" i="9" s="1"/>
  <c r="J79" i="9" a="1"/>
  <c r="J79" i="9" s="1"/>
  <c r="J78" i="9" a="1"/>
  <c r="J78" i="9" s="1"/>
  <c r="J77" i="9" a="1"/>
  <c r="J77" i="9" s="1"/>
  <c r="J76" i="9" a="1"/>
  <c r="J76" i="9" s="1"/>
  <c r="J75" i="9" a="1"/>
  <c r="J75" i="9" s="1"/>
  <c r="J74" i="9"/>
  <c r="J74" i="9" a="1"/>
  <c r="J73" i="9" a="1"/>
  <c r="J73" i="9" s="1"/>
  <c r="J72" i="9"/>
  <c r="J72" i="9" a="1"/>
  <c r="J71" i="9" a="1"/>
  <c r="J71" i="9" s="1"/>
  <c r="J70" i="9" a="1"/>
  <c r="J70" i="9" s="1"/>
  <c r="J69" i="9" a="1"/>
  <c r="J69" i="9" s="1"/>
  <c r="J68" i="9"/>
  <c r="J68" i="9" a="1"/>
  <c r="J67" i="9" a="1"/>
  <c r="J67" i="9" s="1"/>
  <c r="J66" i="9"/>
  <c r="J66" i="9" a="1"/>
  <c r="J65" i="9" a="1"/>
  <c r="J65" i="9" s="1"/>
  <c r="J64" i="9"/>
  <c r="J64" i="9" a="1"/>
  <c r="J63" i="9"/>
  <c r="J63" i="9" a="1"/>
  <c r="J62" i="9" a="1"/>
  <c r="J62" i="9" s="1"/>
  <c r="J61" i="9" a="1"/>
  <c r="J61" i="9" s="1"/>
  <c r="J60" i="9" a="1"/>
  <c r="J60" i="9" s="1"/>
  <c r="J59" i="9"/>
  <c r="J59" i="9" a="1"/>
  <c r="J58" i="9"/>
  <c r="J58" i="9" a="1"/>
  <c r="J57" i="9"/>
  <c r="J57" i="9" a="1"/>
  <c r="J56" i="9" a="1"/>
  <c r="J56" i="9" s="1"/>
  <c r="J55" i="9"/>
  <c r="J55" i="9" a="1"/>
  <c r="J54" i="9" a="1"/>
  <c r="J54" i="9" s="1"/>
  <c r="J53" i="9" a="1"/>
  <c r="J53" i="9" s="1"/>
  <c r="J52" i="9" a="1"/>
  <c r="J52" i="9" s="1"/>
  <c r="J51" i="9"/>
  <c r="J51" i="9" a="1"/>
  <c r="J50" i="9" a="1"/>
  <c r="J50" i="9" s="1"/>
  <c r="J49" i="9" a="1"/>
  <c r="J49" i="9" s="1"/>
  <c r="J48" i="9" a="1"/>
  <c r="J48" i="9" s="1"/>
  <c r="J47" i="9"/>
  <c r="J47" i="9" a="1"/>
  <c r="J46" i="9"/>
  <c r="J46" i="9" a="1"/>
  <c r="J45" i="9" a="1"/>
  <c r="J45" i="9" s="1"/>
  <c r="J44" i="9" a="1"/>
  <c r="J44" i="9" s="1"/>
  <c r="J43" i="9"/>
  <c r="J43" i="9" a="1"/>
  <c r="J42" i="9" a="1"/>
  <c r="J42" i="9" s="1"/>
  <c r="J41" i="9"/>
  <c r="J41" i="9" a="1"/>
  <c r="J40" i="9"/>
  <c r="J40" i="9" a="1"/>
  <c r="I40" i="9"/>
  <c r="J39" i="9" a="1"/>
  <c r="J39" i="9" s="1"/>
  <c r="J38" i="9"/>
  <c r="J38" i="9" a="1"/>
  <c r="J37" i="9" a="1"/>
  <c r="J37" i="9" s="1"/>
  <c r="J36" i="9"/>
  <c r="J36" i="9" a="1"/>
  <c r="J35" i="9" a="1"/>
  <c r="J35" i="9" s="1"/>
  <c r="J34" i="9" a="1"/>
  <c r="J34" i="9" s="1"/>
  <c r="J33" i="9"/>
  <c r="J33" i="9" a="1"/>
  <c r="J32" i="9" a="1"/>
  <c r="J32" i="9" s="1"/>
  <c r="I32" i="9"/>
  <c r="J31" i="9" a="1"/>
  <c r="J31" i="9" s="1"/>
  <c r="J30" i="9" a="1"/>
  <c r="J30" i="9" s="1"/>
  <c r="J29" i="9"/>
  <c r="J29" i="9" a="1"/>
  <c r="J28" i="9" a="1"/>
  <c r="J28" i="9" s="1"/>
  <c r="J27" i="9" a="1"/>
  <c r="J27" i="9" s="1"/>
  <c r="J26" i="9" a="1"/>
  <c r="J26" i="9" s="1"/>
  <c r="I26" i="9"/>
  <c r="J25" i="9" a="1"/>
  <c r="J25" i="9" s="1"/>
  <c r="J24" i="9" a="1"/>
  <c r="J24" i="9" s="1"/>
  <c r="J23" i="9" a="1"/>
  <c r="J23" i="9" s="1"/>
  <c r="J22" i="9" a="1"/>
  <c r="J22" i="9" s="1"/>
  <c r="I22" i="9"/>
  <c r="J21" i="9" a="1"/>
  <c r="J21" i="9" s="1"/>
  <c r="J20" i="9" a="1"/>
  <c r="J20" i="9" s="1"/>
  <c r="J19" i="9" a="1"/>
  <c r="J19" i="9" s="1"/>
  <c r="I19" i="9"/>
  <c r="J18" i="9" a="1"/>
  <c r="J18" i="9" s="1"/>
  <c r="I18" i="9"/>
  <c r="J17" i="9"/>
  <c r="J17" i="9" a="1"/>
  <c r="I17" i="9"/>
  <c r="J16" i="9" a="1"/>
  <c r="J16" i="9" s="1"/>
  <c r="J15" i="9" a="1"/>
  <c r="J15" i="9" s="1"/>
  <c r="I15" i="9"/>
  <c r="J14" i="9"/>
  <c r="J14" i="9" a="1"/>
  <c r="J13" i="9"/>
  <c r="J13" i="9" a="1"/>
  <c r="J12" i="9"/>
  <c r="J12" i="9" a="1"/>
  <c r="J11" i="9"/>
  <c r="J11" i="9" a="1"/>
  <c r="J10" i="9" a="1"/>
  <c r="J10" i="9" s="1"/>
  <c r="I10" i="9"/>
  <c r="J9" i="9"/>
  <c r="J9" i="9" a="1"/>
  <c r="J8" i="9"/>
  <c r="J8" i="9" a="1"/>
  <c r="J7" i="9" a="1"/>
  <c r="J7" i="9" s="1"/>
  <c r="J6" i="9"/>
  <c r="J6" i="9" a="1"/>
  <c r="I6" i="9"/>
  <c r="J5" i="9"/>
  <c r="J5" i="9" a="1"/>
  <c r="I5" i="9"/>
  <c r="J4" i="9"/>
  <c r="J4" i="9" a="1"/>
  <c r="I4" i="9"/>
  <c r="J3" i="9"/>
  <c r="J3" i="9" a="1"/>
  <c r="I3" i="9"/>
  <c r="J2" i="9"/>
  <c r="J2" i="9" a="1"/>
  <c r="I2" i="9"/>
  <c r="A184" i="8"/>
  <c r="J183" i="8" a="1"/>
  <c r="J183" i="8" s="1"/>
  <c r="A183" i="8"/>
  <c r="J182" i="8" a="1"/>
  <c r="J182" i="8" s="1"/>
  <c r="J181" i="8" a="1"/>
  <c r="J181" i="8" s="1"/>
  <c r="J180" i="8" a="1"/>
  <c r="J180" i="8" s="1"/>
  <c r="J179" i="8" a="1"/>
  <c r="J179" i="8" s="1"/>
  <c r="J178" i="8" a="1"/>
  <c r="J178" i="8" s="1"/>
  <c r="J177" i="8" a="1"/>
  <c r="J177" i="8" s="1"/>
  <c r="J176" i="8" a="1"/>
  <c r="J176" i="8" s="1"/>
  <c r="J175" i="8" a="1"/>
  <c r="J175" i="8" s="1"/>
  <c r="J174" i="8" a="1"/>
  <c r="J174" i="8" s="1"/>
  <c r="J173" i="8" a="1"/>
  <c r="J173" i="8" s="1"/>
  <c r="J172" i="8" a="1"/>
  <c r="J172" i="8" s="1"/>
  <c r="J171" i="8" a="1"/>
  <c r="J171" i="8" s="1"/>
  <c r="J170" i="8" a="1"/>
  <c r="J170" i="8" s="1"/>
  <c r="J169" i="8" a="1"/>
  <c r="J169" i="8" s="1"/>
  <c r="J168" i="8" a="1"/>
  <c r="J168" i="8" s="1"/>
  <c r="J167" i="8" a="1"/>
  <c r="J167" i="8" s="1"/>
  <c r="J166" i="8" a="1"/>
  <c r="J166" i="8" s="1"/>
  <c r="J165" i="8" a="1"/>
  <c r="J165" i="8" s="1"/>
  <c r="J164" i="8" a="1"/>
  <c r="J164" i="8" s="1"/>
  <c r="J163" i="8" a="1"/>
  <c r="J163" i="8" s="1"/>
  <c r="J162" i="8" a="1"/>
  <c r="J162" i="8" s="1"/>
  <c r="J161" i="8" a="1"/>
  <c r="J161" i="8" s="1"/>
  <c r="J160" i="8" a="1"/>
  <c r="J160" i="8" s="1"/>
  <c r="J159" i="8" a="1"/>
  <c r="J159" i="8" s="1"/>
  <c r="I159" i="8"/>
  <c r="J158" i="8"/>
  <c r="J158" i="8" a="1"/>
  <c r="J157" i="8"/>
  <c r="J157" i="8" a="1"/>
  <c r="J156" i="8"/>
  <c r="J156" i="8" a="1"/>
  <c r="J155" i="8"/>
  <c r="J155" i="8" a="1"/>
  <c r="J154" i="8"/>
  <c r="J154" i="8" a="1"/>
  <c r="J153" i="8"/>
  <c r="J153" i="8" a="1"/>
  <c r="J152" i="8"/>
  <c r="J152" i="8" a="1"/>
  <c r="J151" i="8"/>
  <c r="J151" i="8" a="1"/>
  <c r="J150" i="8"/>
  <c r="J150" i="8" a="1"/>
  <c r="J149" i="8" a="1"/>
  <c r="J149" i="8" s="1"/>
  <c r="J148" i="8"/>
  <c r="J148" i="8" a="1"/>
  <c r="J147" i="8"/>
  <c r="J147" i="8" a="1"/>
  <c r="J146" i="8" a="1"/>
  <c r="J146" i="8" s="1"/>
  <c r="J145" i="8" a="1"/>
  <c r="J145" i="8" s="1"/>
  <c r="J144" i="8" a="1"/>
  <c r="J144" i="8" s="1"/>
  <c r="J143" i="8" a="1"/>
  <c r="J143" i="8" s="1"/>
  <c r="J142" i="8" a="1"/>
  <c r="J142" i="8" s="1"/>
  <c r="J141" i="8" a="1"/>
  <c r="J141" i="8" s="1"/>
  <c r="J140" i="8" a="1"/>
  <c r="J140" i="8" s="1"/>
  <c r="J139" i="8" a="1"/>
  <c r="J139" i="8" s="1"/>
  <c r="J138" i="8"/>
  <c r="J138" i="8" a="1"/>
  <c r="J137" i="8" a="1"/>
  <c r="J137" i="8" s="1"/>
  <c r="J136" i="8"/>
  <c r="J136" i="8" a="1"/>
  <c r="J135" i="8"/>
  <c r="J135" i="8" a="1"/>
  <c r="J134" i="8" a="1"/>
  <c r="J134" i="8" s="1"/>
  <c r="J133" i="8" a="1"/>
  <c r="J133" i="8" s="1"/>
  <c r="J132" i="8" a="1"/>
  <c r="J132" i="8" s="1"/>
  <c r="J131" i="8" a="1"/>
  <c r="J131" i="8" s="1"/>
  <c r="J130" i="8" a="1"/>
  <c r="J130" i="8" s="1"/>
  <c r="J129" i="8" a="1"/>
  <c r="J129" i="8" s="1"/>
  <c r="J128" i="8" a="1"/>
  <c r="J128" i="8" s="1"/>
  <c r="J127" i="8" a="1"/>
  <c r="J127" i="8" s="1"/>
  <c r="J126" i="8"/>
  <c r="J126" i="8" a="1"/>
  <c r="J125" i="8" a="1"/>
  <c r="J125" i="8" s="1"/>
  <c r="J124" i="8" a="1"/>
  <c r="J124" i="8" s="1"/>
  <c r="J123" i="8" a="1"/>
  <c r="J123" i="8" s="1"/>
  <c r="J122" i="8" a="1"/>
  <c r="J122" i="8" s="1"/>
  <c r="J121" i="8" a="1"/>
  <c r="J121" i="8" s="1"/>
  <c r="J120" i="8" a="1"/>
  <c r="J120" i="8" s="1"/>
  <c r="J119" i="8" a="1"/>
  <c r="J119" i="8" s="1"/>
  <c r="I119" i="8"/>
  <c r="J118" i="8"/>
  <c r="J118" i="8" a="1"/>
  <c r="I118" i="8"/>
  <c r="J117" i="8" a="1"/>
  <c r="J117" i="8" s="1"/>
  <c r="I117" i="8"/>
  <c r="J116" i="8" a="1"/>
  <c r="J116" i="8" s="1"/>
  <c r="J115" i="8"/>
  <c r="J115" i="8" a="1"/>
  <c r="J114" i="8" a="1"/>
  <c r="J114" i="8" s="1"/>
  <c r="J113" i="8" a="1"/>
  <c r="J113" i="8" s="1"/>
  <c r="J112" i="8"/>
  <c r="J112" i="8" a="1"/>
  <c r="J111" i="8"/>
  <c r="J111" i="8" a="1"/>
  <c r="I111" i="8"/>
  <c r="J110" i="8" a="1"/>
  <c r="J110" i="8" s="1"/>
  <c r="J109" i="8" a="1"/>
  <c r="J109" i="8" s="1"/>
  <c r="J108" i="8" a="1"/>
  <c r="J108" i="8" s="1"/>
  <c r="J107" i="8" a="1"/>
  <c r="J107" i="8" s="1"/>
  <c r="J106" i="8" a="1"/>
  <c r="J106" i="8" s="1"/>
  <c r="J105" i="8" a="1"/>
  <c r="J105" i="8" s="1"/>
  <c r="J104" i="8" a="1"/>
  <c r="J104" i="8" s="1"/>
  <c r="I104" i="8"/>
  <c r="J103" i="8"/>
  <c r="J103" i="8" a="1"/>
  <c r="I103" i="8"/>
  <c r="J102" i="8"/>
  <c r="J102" i="8" a="1"/>
  <c r="J101" i="8" a="1"/>
  <c r="J101" i="8" s="1"/>
  <c r="J100" i="8" a="1"/>
  <c r="J100" i="8" s="1"/>
  <c r="J99" i="8" a="1"/>
  <c r="J99" i="8" s="1"/>
  <c r="J98" i="8" a="1"/>
  <c r="J98" i="8" s="1"/>
  <c r="J97" i="8" a="1"/>
  <c r="J97" i="8" s="1"/>
  <c r="J96" i="8"/>
  <c r="J96" i="8" a="1"/>
  <c r="J95" i="8" a="1"/>
  <c r="J95" i="8" s="1"/>
  <c r="J94" i="8" a="1"/>
  <c r="J94" i="8" s="1"/>
  <c r="J93" i="8"/>
  <c r="J93" i="8" a="1"/>
  <c r="J92" i="8" a="1"/>
  <c r="J92" i="8" s="1"/>
  <c r="J91" i="8"/>
  <c r="J91" i="8" a="1"/>
  <c r="J90" i="8" a="1"/>
  <c r="J90" i="8" s="1"/>
  <c r="J89" i="8" a="1"/>
  <c r="J89" i="8" s="1"/>
  <c r="J88" i="8" a="1"/>
  <c r="J88" i="8" s="1"/>
  <c r="J87" i="8" a="1"/>
  <c r="J87" i="8" s="1"/>
  <c r="J86" i="8" a="1"/>
  <c r="J86" i="8" s="1"/>
  <c r="J85" i="8" a="1"/>
  <c r="J85" i="8" s="1"/>
  <c r="J84" i="8" a="1"/>
  <c r="J84" i="8" s="1"/>
  <c r="J83" i="8" a="1"/>
  <c r="J83" i="8" s="1"/>
  <c r="J82" i="8" a="1"/>
  <c r="J82" i="8" s="1"/>
  <c r="J81" i="8" a="1"/>
  <c r="J81" i="8" s="1"/>
  <c r="J80" i="8" a="1"/>
  <c r="J80" i="8" s="1"/>
  <c r="J79" i="8"/>
  <c r="J79" i="8" a="1"/>
  <c r="J78" i="8" a="1"/>
  <c r="J78" i="8" s="1"/>
  <c r="J77" i="8"/>
  <c r="J77" i="8" a="1"/>
  <c r="J76" i="8" a="1"/>
  <c r="J76" i="8" s="1"/>
  <c r="J75" i="8" a="1"/>
  <c r="J75" i="8" s="1"/>
  <c r="J74" i="8" a="1"/>
  <c r="J74" i="8" s="1"/>
  <c r="J73" i="8" a="1"/>
  <c r="J73" i="8" s="1"/>
  <c r="J72" i="8" a="1"/>
  <c r="J72" i="8" s="1"/>
  <c r="J71" i="8" a="1"/>
  <c r="J71" i="8" s="1"/>
  <c r="J70" i="8" a="1"/>
  <c r="J70" i="8" s="1"/>
  <c r="J69" i="8"/>
  <c r="J69" i="8" a="1"/>
  <c r="J68" i="8" a="1"/>
  <c r="J68" i="8" s="1"/>
  <c r="J67" i="8"/>
  <c r="J67" i="8" a="1"/>
  <c r="J66" i="8"/>
  <c r="J66" i="8" a="1"/>
  <c r="J65" i="8" a="1"/>
  <c r="J65" i="8" s="1"/>
  <c r="J64" i="8"/>
  <c r="J64" i="8" a="1"/>
  <c r="J63" i="8" a="1"/>
  <c r="J63" i="8" s="1"/>
  <c r="J62" i="8" a="1"/>
  <c r="J62" i="8" s="1"/>
  <c r="J61" i="8" a="1"/>
  <c r="J61" i="8" s="1"/>
  <c r="J60" i="8" a="1"/>
  <c r="J60" i="8" s="1"/>
  <c r="J59" i="8" a="1"/>
  <c r="J59" i="8" s="1"/>
  <c r="J58" i="8" a="1"/>
  <c r="J58" i="8" s="1"/>
  <c r="J57" i="8" a="1"/>
  <c r="J57" i="8" s="1"/>
  <c r="J56" i="8" a="1"/>
  <c r="J56" i="8" s="1"/>
  <c r="J55" i="8" a="1"/>
  <c r="J55" i="8" s="1"/>
  <c r="J54" i="8" a="1"/>
  <c r="J54" i="8" s="1"/>
  <c r="J53" i="8" a="1"/>
  <c r="J53" i="8" s="1"/>
  <c r="J52" i="8" a="1"/>
  <c r="J52" i="8" s="1"/>
  <c r="J51" i="8" a="1"/>
  <c r="J51" i="8" s="1"/>
  <c r="J50" i="8" a="1"/>
  <c r="J50" i="8" s="1"/>
  <c r="J49" i="8" a="1"/>
  <c r="J49" i="8" s="1"/>
  <c r="J48" i="8" a="1"/>
  <c r="J48" i="8" s="1"/>
  <c r="J47" i="8" a="1"/>
  <c r="J47" i="8" s="1"/>
  <c r="J46" i="8" a="1"/>
  <c r="J46" i="8" s="1"/>
  <c r="J45" i="8"/>
  <c r="J45" i="8" a="1"/>
  <c r="J44" i="8" a="1"/>
  <c r="J44" i="8" s="1"/>
  <c r="J43" i="8" a="1"/>
  <c r="J43" i="8" s="1"/>
  <c r="J42" i="8" a="1"/>
  <c r="J42" i="8" s="1"/>
  <c r="J41" i="8" a="1"/>
  <c r="J41" i="8" s="1"/>
  <c r="J40" i="8"/>
  <c r="J40" i="8" a="1"/>
  <c r="J39" i="8" a="1"/>
  <c r="J39" i="8" s="1"/>
  <c r="J38" i="8" a="1"/>
  <c r="J38" i="8" s="1"/>
  <c r="J37" i="8" a="1"/>
  <c r="J37" i="8" s="1"/>
  <c r="J36" i="8" a="1"/>
  <c r="J36" i="8" s="1"/>
  <c r="J35" i="8" a="1"/>
  <c r="J35" i="8" s="1"/>
  <c r="J34" i="8" a="1"/>
  <c r="J34" i="8" s="1"/>
  <c r="J33" i="8"/>
  <c r="J33" i="8" a="1"/>
  <c r="I33" i="8"/>
  <c r="J32" i="8" a="1"/>
  <c r="J32" i="8" s="1"/>
  <c r="J31" i="8"/>
  <c r="J31" i="8" a="1"/>
  <c r="J30" i="8" a="1"/>
  <c r="J30" i="8" s="1"/>
  <c r="J29" i="8" a="1"/>
  <c r="J29" i="8" s="1"/>
  <c r="J28" i="8"/>
  <c r="J28" i="8" a="1"/>
  <c r="I28" i="8"/>
  <c r="J27" i="8" a="1"/>
  <c r="J27" i="8" s="1"/>
  <c r="J26" i="8" a="1"/>
  <c r="J26" i="8" s="1"/>
  <c r="I26" i="8"/>
  <c r="J25" i="8"/>
  <c r="J25" i="8" a="1"/>
  <c r="J24" i="8"/>
  <c r="J24" i="8" a="1"/>
  <c r="I24" i="8"/>
  <c r="J23" i="8" a="1"/>
  <c r="J23" i="8" s="1"/>
  <c r="J22" i="8" a="1"/>
  <c r="J22" i="8" s="1"/>
  <c r="J21" i="8" a="1"/>
  <c r="J21" i="8" s="1"/>
  <c r="J20" i="8"/>
  <c r="J20" i="8" a="1"/>
  <c r="J19" i="8" a="1"/>
  <c r="J19" i="8" s="1"/>
  <c r="J18" i="8"/>
  <c r="J18" i="8" a="1"/>
  <c r="J17" i="8"/>
  <c r="J17" i="8" a="1"/>
  <c r="I17" i="8"/>
  <c r="J16" i="8"/>
  <c r="J16" i="8" a="1"/>
  <c r="I16" i="8"/>
  <c r="J15" i="8" a="1"/>
  <c r="J15" i="8" s="1"/>
  <c r="J14" i="8"/>
  <c r="J14" i="8" a="1"/>
  <c r="J13" i="8" a="1"/>
  <c r="J13" i="8" s="1"/>
  <c r="J12" i="8" a="1"/>
  <c r="J12" i="8" s="1"/>
  <c r="I12" i="8"/>
  <c r="J11" i="8" a="1"/>
  <c r="J11" i="8" s="1"/>
  <c r="J10" i="8" a="1"/>
  <c r="J10" i="8" s="1"/>
  <c r="J9" i="8"/>
  <c r="J9" i="8" a="1"/>
  <c r="I9" i="8"/>
  <c r="J8" i="8"/>
  <c r="J8" i="8" a="1"/>
  <c r="J7" i="8"/>
  <c r="J7" i="8" a="1"/>
  <c r="J6" i="8" a="1"/>
  <c r="J6" i="8" s="1"/>
  <c r="I6" i="8"/>
  <c r="J5" i="8" a="1"/>
  <c r="J5" i="8" s="1"/>
  <c r="I5" i="8"/>
  <c r="J4" i="8" a="1"/>
  <c r="J4" i="8" s="1"/>
  <c r="I4" i="8"/>
  <c r="J3" i="8" a="1"/>
  <c r="J3" i="8" s="1"/>
  <c r="J2" i="8"/>
  <c r="J2" i="8" a="1"/>
  <c r="A178" i="7"/>
  <c r="J177" i="7" a="1"/>
  <c r="J177" i="7" s="1"/>
  <c r="J176" i="7"/>
  <c r="J176" i="7" a="1"/>
  <c r="J175" i="7" a="1"/>
  <c r="J175" i="7" s="1"/>
  <c r="J174" i="7" a="1"/>
  <c r="J174" i="7" s="1"/>
  <c r="J173" i="7"/>
  <c r="J173" i="7" a="1"/>
  <c r="J172" i="7" a="1"/>
  <c r="J172" i="7" s="1"/>
  <c r="J171" i="7" a="1"/>
  <c r="J171" i="7" s="1"/>
  <c r="J170" i="7" a="1"/>
  <c r="J170" i="7" s="1"/>
  <c r="J169" i="7" a="1"/>
  <c r="J169" i="7" s="1"/>
  <c r="J168" i="7"/>
  <c r="J168" i="7" a="1"/>
  <c r="J167" i="7"/>
  <c r="J167" i="7" a="1"/>
  <c r="J166" i="7" a="1"/>
  <c r="J166" i="7" s="1"/>
  <c r="J165" i="7" a="1"/>
  <c r="J165" i="7" s="1"/>
  <c r="J164" i="7" a="1"/>
  <c r="J164" i="7" s="1"/>
  <c r="J163" i="7" a="1"/>
  <c r="J163" i="7" s="1"/>
  <c r="J162" i="7" a="1"/>
  <c r="J162" i="7" s="1"/>
  <c r="J161" i="7" a="1"/>
  <c r="J161" i="7" s="1"/>
  <c r="J160" i="7" a="1"/>
  <c r="J160" i="7" s="1"/>
  <c r="J159" i="7" a="1"/>
  <c r="J159" i="7" s="1"/>
  <c r="J158" i="7" a="1"/>
  <c r="J158" i="7" s="1"/>
  <c r="J157" i="7" a="1"/>
  <c r="J157" i="7" s="1"/>
  <c r="J156" i="7" a="1"/>
  <c r="J156" i="7" s="1"/>
  <c r="J155" i="7" a="1"/>
  <c r="J155" i="7" s="1"/>
  <c r="J154" i="7" a="1"/>
  <c r="J154" i="7" s="1"/>
  <c r="J153" i="7" a="1"/>
  <c r="J153" i="7" s="1"/>
  <c r="J152" i="7" a="1"/>
  <c r="J152" i="7" s="1"/>
  <c r="J151" i="7" a="1"/>
  <c r="J151" i="7" s="1"/>
  <c r="J150" i="7" a="1"/>
  <c r="J150" i="7" s="1"/>
  <c r="J149" i="7" a="1"/>
  <c r="J149" i="7" s="1"/>
  <c r="J148" i="7" a="1"/>
  <c r="J148" i="7" s="1"/>
  <c r="J147" i="7" a="1"/>
  <c r="J147" i="7" s="1"/>
  <c r="J146" i="7" a="1"/>
  <c r="J146" i="7" s="1"/>
  <c r="I146" i="7"/>
  <c r="J145" i="7"/>
  <c r="J145" i="7" a="1"/>
  <c r="J144" i="7"/>
  <c r="J144" i="7" a="1"/>
  <c r="J143" i="7"/>
  <c r="J143" i="7" a="1"/>
  <c r="J142" i="7" a="1"/>
  <c r="J142" i="7" s="1"/>
  <c r="J141" i="7"/>
  <c r="J141" i="7" a="1"/>
  <c r="J140" i="7"/>
  <c r="J140" i="7" a="1"/>
  <c r="J139" i="7"/>
  <c r="J139" i="7" a="1"/>
  <c r="J138" i="7" a="1"/>
  <c r="J138" i="7" s="1"/>
  <c r="J137" i="7"/>
  <c r="J137" i="7" a="1"/>
  <c r="J136" i="7"/>
  <c r="J136" i="7" a="1"/>
  <c r="J135" i="7" a="1"/>
  <c r="J135" i="7" s="1"/>
  <c r="J134" i="7" a="1"/>
  <c r="J134" i="7" s="1"/>
  <c r="J133" i="7" a="1"/>
  <c r="J133" i="7" s="1"/>
  <c r="J132" i="7"/>
  <c r="J132" i="7" a="1"/>
  <c r="J131" i="7" a="1"/>
  <c r="J131" i="7" s="1"/>
  <c r="J130" i="7" a="1"/>
  <c r="J130" i="7" s="1"/>
  <c r="J129" i="7" a="1"/>
  <c r="J129" i="7" s="1"/>
  <c r="I129" i="7"/>
  <c r="J128" i="7" a="1"/>
  <c r="J128" i="7" s="1"/>
  <c r="J127" i="7" a="1"/>
  <c r="J127" i="7" s="1"/>
  <c r="J126" i="7" a="1"/>
  <c r="J126" i="7" s="1"/>
  <c r="J125" i="7" a="1"/>
  <c r="J125" i="7" s="1"/>
  <c r="J124" i="7"/>
  <c r="J124" i="7" a="1"/>
  <c r="J123" i="7" a="1"/>
  <c r="J123" i="7" s="1"/>
  <c r="I123" i="7"/>
  <c r="J122" i="7"/>
  <c r="J122" i="7" a="1"/>
  <c r="J121" i="7" a="1"/>
  <c r="J121" i="7" s="1"/>
  <c r="J120" i="7" a="1"/>
  <c r="J120" i="7" s="1"/>
  <c r="J119" i="7"/>
  <c r="J119" i="7" a="1"/>
  <c r="J118" i="7"/>
  <c r="J118" i="7" a="1"/>
  <c r="J117" i="7"/>
  <c r="J117" i="7" a="1"/>
  <c r="J116" i="7"/>
  <c r="J116" i="7" a="1"/>
  <c r="J115" i="7" a="1"/>
  <c r="J115" i="7" s="1"/>
  <c r="J114" i="7"/>
  <c r="J114" i="7" a="1"/>
  <c r="J113" i="7" a="1"/>
  <c r="J113" i="7" s="1"/>
  <c r="J112" i="7" a="1"/>
  <c r="J112" i="7" s="1"/>
  <c r="J111" i="7"/>
  <c r="J111" i="7" a="1"/>
  <c r="J110" i="7" a="1"/>
  <c r="J110" i="7" s="1"/>
  <c r="J109" i="7" a="1"/>
  <c r="J109" i="7" s="1"/>
  <c r="J108" i="7" a="1"/>
  <c r="J108" i="7" s="1"/>
  <c r="J107" i="7" a="1"/>
  <c r="J107" i="7" s="1"/>
  <c r="J106" i="7"/>
  <c r="J106" i="7" a="1"/>
  <c r="J105" i="7" a="1"/>
  <c r="J105" i="7" s="1"/>
  <c r="I105" i="7"/>
  <c r="J104" i="7" a="1"/>
  <c r="J104" i="7" s="1"/>
  <c r="J103" i="7" a="1"/>
  <c r="J103" i="7" s="1"/>
  <c r="J102" i="7"/>
  <c r="J102" i="7" a="1"/>
  <c r="J101" i="7" a="1"/>
  <c r="J101" i="7" s="1"/>
  <c r="J100" i="7" a="1"/>
  <c r="J100" i="7" s="1"/>
  <c r="J99" i="7"/>
  <c r="J99" i="7" a="1"/>
  <c r="J98" i="7"/>
  <c r="J98" i="7" a="1"/>
  <c r="J97" i="7"/>
  <c r="J97" i="7" a="1"/>
  <c r="J96" i="7" a="1"/>
  <c r="J96" i="7" s="1"/>
  <c r="J95" i="7" a="1"/>
  <c r="J95" i="7" s="1"/>
  <c r="J94" i="7" a="1"/>
  <c r="J94" i="7" s="1"/>
  <c r="J93" i="7"/>
  <c r="J93" i="7" a="1"/>
  <c r="J92" i="7" a="1"/>
  <c r="J92" i="7" s="1"/>
  <c r="J91" i="7" a="1"/>
  <c r="J91" i="7" s="1"/>
  <c r="J90" i="7"/>
  <c r="J90" i="7" a="1"/>
  <c r="J89" i="7" a="1"/>
  <c r="J89" i="7" s="1"/>
  <c r="J88" i="7" a="1"/>
  <c r="J88" i="7" s="1"/>
  <c r="J87" i="7" a="1"/>
  <c r="J87" i="7" s="1"/>
  <c r="J86" i="7"/>
  <c r="J86" i="7" a="1"/>
  <c r="J85" i="7" a="1"/>
  <c r="J85" i="7" s="1"/>
  <c r="J84" i="7"/>
  <c r="J84" i="7" a="1"/>
  <c r="J83" i="7"/>
  <c r="J83" i="7" a="1"/>
  <c r="J82" i="7"/>
  <c r="J82" i="7" a="1"/>
  <c r="J81" i="7" a="1"/>
  <c r="J81" i="7" s="1"/>
  <c r="J80" i="7" a="1"/>
  <c r="J80" i="7" s="1"/>
  <c r="J79" i="7" a="1"/>
  <c r="J79" i="7" s="1"/>
  <c r="J78" i="7" a="1"/>
  <c r="J78" i="7" s="1"/>
  <c r="J77" i="7"/>
  <c r="J77" i="7" a="1"/>
  <c r="J76" i="7" a="1"/>
  <c r="J76" i="7" s="1"/>
  <c r="J75" i="7"/>
  <c r="J75" i="7" a="1"/>
  <c r="J74" i="7" a="1"/>
  <c r="J74" i="7" s="1"/>
  <c r="J73" i="7" a="1"/>
  <c r="J73" i="7" s="1"/>
  <c r="J72" i="7" a="1"/>
  <c r="J72" i="7" s="1"/>
  <c r="J71" i="7" a="1"/>
  <c r="J71" i="7" s="1"/>
  <c r="J70" i="7" a="1"/>
  <c r="J70" i="7" s="1"/>
  <c r="J69" i="7" a="1"/>
  <c r="J69" i="7" s="1"/>
  <c r="J68" i="7"/>
  <c r="J68" i="7" a="1"/>
  <c r="J67" i="7" a="1"/>
  <c r="J67" i="7" s="1"/>
  <c r="J66" i="7" a="1"/>
  <c r="J66" i="7" s="1"/>
  <c r="J65" i="7"/>
  <c r="J65" i="7" a="1"/>
  <c r="J64" i="7" a="1"/>
  <c r="J64" i="7" s="1"/>
  <c r="J63" i="7" a="1"/>
  <c r="J63" i="7" s="1"/>
  <c r="J62" i="7" a="1"/>
  <c r="J62" i="7" s="1"/>
  <c r="J61" i="7" a="1"/>
  <c r="J61" i="7" s="1"/>
  <c r="J60" i="7"/>
  <c r="J60" i="7" a="1"/>
  <c r="J59" i="7"/>
  <c r="J59" i="7" a="1"/>
  <c r="J58" i="7"/>
  <c r="J58" i="7" a="1"/>
  <c r="J57" i="7"/>
  <c r="J57" i="7" a="1"/>
  <c r="J56" i="7"/>
  <c r="J56" i="7" a="1"/>
  <c r="J55" i="7"/>
  <c r="J55" i="7" a="1"/>
  <c r="J54" i="7" a="1"/>
  <c r="J54" i="7" s="1"/>
  <c r="J53" i="7"/>
  <c r="J53" i="7" a="1"/>
  <c r="J52" i="7"/>
  <c r="J52" i="7" a="1"/>
  <c r="J51" i="7"/>
  <c r="J51" i="7" a="1"/>
  <c r="J50" i="7" a="1"/>
  <c r="J50" i="7" s="1"/>
  <c r="J49" i="7" a="1"/>
  <c r="J49" i="7" s="1"/>
  <c r="J48" i="7" a="1"/>
  <c r="J48" i="7" s="1"/>
  <c r="J47" i="7" a="1"/>
  <c r="J47" i="7" s="1"/>
  <c r="J46" i="7" a="1"/>
  <c r="J46" i="7" s="1"/>
  <c r="J45" i="7" a="1"/>
  <c r="J45" i="7" s="1"/>
  <c r="J44" i="7"/>
  <c r="J44" i="7" a="1"/>
  <c r="J43" i="7"/>
  <c r="J43" i="7" a="1"/>
  <c r="I43" i="7"/>
  <c r="J42" i="7"/>
  <c r="J42" i="7" a="1"/>
  <c r="J41" i="7" a="1"/>
  <c r="J41" i="7" s="1"/>
  <c r="J40" i="7"/>
  <c r="J40" i="7" a="1"/>
  <c r="J39" i="7" a="1"/>
  <c r="J39" i="7" s="1"/>
  <c r="J38" i="7"/>
  <c r="J38" i="7" a="1"/>
  <c r="J37" i="7" a="1"/>
  <c r="J37" i="7" s="1"/>
  <c r="J36" i="7"/>
  <c r="J36" i="7" a="1"/>
  <c r="J35" i="7" a="1"/>
  <c r="J35" i="7" s="1"/>
  <c r="I35" i="7"/>
  <c r="J34" i="7" a="1"/>
  <c r="J34" i="7" s="1"/>
  <c r="J33" i="7" a="1"/>
  <c r="J33" i="7" s="1"/>
  <c r="I33" i="7"/>
  <c r="J32" i="7" a="1"/>
  <c r="J32" i="7" s="1"/>
  <c r="J31" i="7" a="1"/>
  <c r="J31" i="7" s="1"/>
  <c r="J30" i="7"/>
  <c r="J30" i="7" a="1"/>
  <c r="I30" i="7"/>
  <c r="J29" i="7" a="1"/>
  <c r="J29" i="7" s="1"/>
  <c r="I29" i="7"/>
  <c r="J28" i="7" a="1"/>
  <c r="J28" i="7" s="1"/>
  <c r="I28" i="7"/>
  <c r="J27" i="7"/>
  <c r="J27" i="7" a="1"/>
  <c r="J26" i="7"/>
  <c r="J26" i="7" a="1"/>
  <c r="J25" i="7" a="1"/>
  <c r="J25" i="7" s="1"/>
  <c r="J24" i="7" a="1"/>
  <c r="J24" i="7" s="1"/>
  <c r="J23" i="7" a="1"/>
  <c r="J23" i="7" s="1"/>
  <c r="I23" i="7"/>
  <c r="J22" i="7" a="1"/>
  <c r="J22" i="7" s="1"/>
  <c r="I22" i="7"/>
  <c r="J21" i="7"/>
  <c r="J21" i="7" a="1"/>
  <c r="J20" i="7" a="1"/>
  <c r="J20" i="7" s="1"/>
  <c r="J19" i="7" a="1"/>
  <c r="J19" i="7" s="1"/>
  <c r="I19" i="7"/>
  <c r="J18" i="7" a="1"/>
  <c r="J18" i="7" s="1"/>
  <c r="J17" i="7" a="1"/>
  <c r="J17" i="7" s="1"/>
  <c r="J16" i="7" a="1"/>
  <c r="J16" i="7" s="1"/>
  <c r="J15" i="7"/>
  <c r="J15" i="7" a="1"/>
  <c r="J14" i="7" a="1"/>
  <c r="J14" i="7" s="1"/>
  <c r="I14" i="7"/>
  <c r="J13" i="7" a="1"/>
  <c r="J13" i="7" s="1"/>
  <c r="J12" i="7"/>
  <c r="J12" i="7" a="1"/>
  <c r="J11" i="7" a="1"/>
  <c r="J11" i="7" s="1"/>
  <c r="I11" i="7"/>
  <c r="J10" i="7" a="1"/>
  <c r="J10" i="7" s="1"/>
  <c r="J9" i="7" a="1"/>
  <c r="J9" i="7" s="1"/>
  <c r="I9" i="7"/>
  <c r="J8" i="7" a="1"/>
  <c r="J8" i="7" s="1"/>
  <c r="J7" i="7" a="1"/>
  <c r="J7" i="7" s="1"/>
  <c r="I7" i="7"/>
  <c r="J6" i="7" a="1"/>
  <c r="J6" i="7" s="1"/>
  <c r="I6" i="7"/>
  <c r="J5" i="7" a="1"/>
  <c r="J5" i="7" s="1"/>
  <c r="J4" i="7" a="1"/>
  <c r="J4" i="7" s="1"/>
  <c r="J3" i="7" a="1"/>
  <c r="J3" i="7" s="1"/>
  <c r="I3" i="7"/>
  <c r="J2" i="7"/>
  <c r="J2" i="7" a="1"/>
  <c r="A215" i="6"/>
  <c r="J215" i="6" s="1" a="1"/>
  <c r="J215" i="6" s="1"/>
  <c r="J214" i="6"/>
  <c r="J214" i="6" a="1"/>
  <c r="A214" i="6"/>
  <c r="A213" i="6"/>
  <c r="J212" i="6"/>
  <c r="J212" i="6" a="1"/>
  <c r="I212" i="6"/>
  <c r="J211" i="6"/>
  <c r="J211" i="6" a="1"/>
  <c r="J210" i="6" a="1"/>
  <c r="J210" i="6" s="1"/>
  <c r="J209" i="6" a="1"/>
  <c r="J209" i="6" s="1"/>
  <c r="J208" i="6" a="1"/>
  <c r="J208" i="6" s="1"/>
  <c r="J207" i="6" a="1"/>
  <c r="J207" i="6" s="1"/>
  <c r="J206" i="6" a="1"/>
  <c r="J206" i="6" s="1"/>
  <c r="J205" i="6" a="1"/>
  <c r="J205" i="6" s="1"/>
  <c r="J204" i="6"/>
  <c r="J204" i="6" a="1"/>
  <c r="J203" i="6" a="1"/>
  <c r="J203" i="6" s="1"/>
  <c r="J202" i="6" a="1"/>
  <c r="J202" i="6" s="1"/>
  <c r="J201" i="6" a="1"/>
  <c r="J201" i="6" s="1"/>
  <c r="J200" i="6"/>
  <c r="J200" i="6" a="1"/>
  <c r="J199" i="6" a="1"/>
  <c r="J199" i="6" s="1"/>
  <c r="J198" i="6"/>
  <c r="J198" i="6" a="1"/>
  <c r="J197" i="6" a="1"/>
  <c r="J197" i="6" s="1"/>
  <c r="J196" i="6" a="1"/>
  <c r="J196" i="6" s="1"/>
  <c r="J195" i="6" a="1"/>
  <c r="J195" i="6" s="1"/>
  <c r="J194" i="6"/>
  <c r="J194" i="6" a="1"/>
  <c r="J193" i="6"/>
  <c r="J193" i="6" a="1"/>
  <c r="J192" i="6"/>
  <c r="J192" i="6" a="1"/>
  <c r="J191" i="6" a="1"/>
  <c r="J191" i="6" s="1"/>
  <c r="J190" i="6"/>
  <c r="J190" i="6" a="1"/>
  <c r="J189" i="6" a="1"/>
  <c r="J189" i="6" s="1"/>
  <c r="J188" i="6"/>
  <c r="J188" i="6" a="1"/>
  <c r="J187" i="6" a="1"/>
  <c r="J187" i="6" s="1"/>
  <c r="J186" i="6" a="1"/>
  <c r="J186" i="6" s="1"/>
  <c r="J185" i="6" a="1"/>
  <c r="J185" i="6" s="1"/>
  <c r="J184" i="6" a="1"/>
  <c r="J184" i="6" s="1"/>
  <c r="J183" i="6" a="1"/>
  <c r="J183" i="6" s="1"/>
  <c r="J182" i="6" a="1"/>
  <c r="J182" i="6" s="1"/>
  <c r="J181" i="6"/>
  <c r="J181" i="6" a="1"/>
  <c r="J180" i="6" a="1"/>
  <c r="J180" i="6" s="1"/>
  <c r="J179" i="6" a="1"/>
  <c r="J179" i="6" s="1"/>
  <c r="J178" i="6"/>
  <c r="J178" i="6" a="1"/>
  <c r="J177" i="6" a="1"/>
  <c r="J177" i="6" s="1"/>
  <c r="J176" i="6" a="1"/>
  <c r="J176" i="6" s="1"/>
  <c r="J175" i="6" a="1"/>
  <c r="J175" i="6" s="1"/>
  <c r="J174" i="6"/>
  <c r="J174" i="6" a="1"/>
  <c r="J173" i="6" a="1"/>
  <c r="J173" i="6" s="1"/>
  <c r="J172" i="6"/>
  <c r="J172" i="6" a="1"/>
  <c r="J171" i="6" a="1"/>
  <c r="J171" i="6" s="1"/>
  <c r="J170" i="6" a="1"/>
  <c r="J170" i="6" s="1"/>
  <c r="J169" i="6" a="1"/>
  <c r="J169" i="6" s="1"/>
  <c r="J168" i="6" a="1"/>
  <c r="J168" i="6" s="1"/>
  <c r="J167" i="6" a="1"/>
  <c r="J167" i="6" s="1"/>
  <c r="J166" i="6" a="1"/>
  <c r="J166" i="6" s="1"/>
  <c r="J165" i="6" a="1"/>
  <c r="J165" i="6" s="1"/>
  <c r="J164" i="6"/>
  <c r="J164" i="6" a="1"/>
  <c r="J163" i="6" a="1"/>
  <c r="J163" i="6" s="1"/>
  <c r="J162" i="6" a="1"/>
  <c r="J162" i="6" s="1"/>
  <c r="J161" i="6" a="1"/>
  <c r="J161" i="6" s="1"/>
  <c r="J160" i="6"/>
  <c r="J160" i="6" a="1"/>
  <c r="J159" i="6" a="1"/>
  <c r="J159" i="6" s="1"/>
  <c r="J158" i="6"/>
  <c r="J158" i="6" a="1"/>
  <c r="J157" i="6"/>
  <c r="J157" i="6" a="1"/>
  <c r="J156" i="6" a="1"/>
  <c r="J156" i="6" s="1"/>
  <c r="J155" i="6" a="1"/>
  <c r="J155" i="6" s="1"/>
  <c r="J154" i="6"/>
  <c r="J154" i="6" a="1"/>
  <c r="J153" i="6" a="1"/>
  <c r="J153" i="6" s="1"/>
  <c r="J152" i="6" a="1"/>
  <c r="J152" i="6" s="1"/>
  <c r="J151" i="6" a="1"/>
  <c r="J151" i="6" s="1"/>
  <c r="J150" i="6" a="1"/>
  <c r="J150" i="6" s="1"/>
  <c r="J149" i="6"/>
  <c r="J149" i="6" a="1"/>
  <c r="J148" i="6" a="1"/>
  <c r="J148" i="6" s="1"/>
  <c r="J147" i="6" a="1"/>
  <c r="J147" i="6" s="1"/>
  <c r="J146" i="6" a="1"/>
  <c r="J146" i="6" s="1"/>
  <c r="J145" i="6"/>
  <c r="J145" i="6" a="1"/>
  <c r="J144" i="6"/>
  <c r="J144" i="6" a="1"/>
  <c r="J143" i="6" a="1"/>
  <c r="J143" i="6" s="1"/>
  <c r="J142" i="6" a="1"/>
  <c r="J142" i="6" s="1"/>
  <c r="J141" i="6" a="1"/>
  <c r="J141" i="6" s="1"/>
  <c r="J140" i="6" a="1"/>
  <c r="J140" i="6" s="1"/>
  <c r="J139" i="6" a="1"/>
  <c r="J139" i="6" s="1"/>
  <c r="J138" i="6" a="1"/>
  <c r="J138" i="6" s="1"/>
  <c r="J137" i="6" a="1"/>
  <c r="J137" i="6" s="1"/>
  <c r="J136" i="6" a="1"/>
  <c r="J136" i="6" s="1"/>
  <c r="J135" i="6"/>
  <c r="J135" i="6" a="1"/>
  <c r="J134" i="6" a="1"/>
  <c r="J134" i="6" s="1"/>
  <c r="J133" i="6"/>
  <c r="J133" i="6" a="1"/>
  <c r="J132" i="6"/>
  <c r="J132" i="6" a="1"/>
  <c r="J131" i="6" a="1"/>
  <c r="J131" i="6" s="1"/>
  <c r="J130" i="6"/>
  <c r="J130" i="6" a="1"/>
  <c r="J129" i="6"/>
  <c r="J129" i="6" a="1"/>
  <c r="J128" i="6" a="1"/>
  <c r="J128" i="6" s="1"/>
  <c r="I128" i="6"/>
  <c r="J127" i="6" a="1"/>
  <c r="J127" i="6" s="1"/>
  <c r="J126" i="6" a="1"/>
  <c r="J126" i="6" s="1"/>
  <c r="J125" i="6" a="1"/>
  <c r="J125" i="6" s="1"/>
  <c r="J124" i="6"/>
  <c r="J124" i="6" a="1"/>
  <c r="J123" i="6" a="1"/>
  <c r="J123" i="6" s="1"/>
  <c r="J122" i="6"/>
  <c r="J122" i="6" a="1"/>
  <c r="I122" i="6"/>
  <c r="J121" i="6" a="1"/>
  <c r="J121" i="6" s="1"/>
  <c r="I121" i="6"/>
  <c r="J120" i="6"/>
  <c r="J120" i="6" a="1"/>
  <c r="I120" i="6"/>
  <c r="J119" i="6" a="1"/>
  <c r="J119" i="6" s="1"/>
  <c r="J118" i="6" a="1"/>
  <c r="J118" i="6" s="1"/>
  <c r="J117" i="6" a="1"/>
  <c r="J117" i="6" s="1"/>
  <c r="J116" i="6" a="1"/>
  <c r="J116" i="6" s="1"/>
  <c r="J115" i="6" a="1"/>
  <c r="J115" i="6" s="1"/>
  <c r="J114" i="6" a="1"/>
  <c r="J114" i="6" s="1"/>
  <c r="J113" i="6" a="1"/>
  <c r="J113" i="6" s="1"/>
  <c r="J112" i="6" a="1"/>
  <c r="J112" i="6" s="1"/>
  <c r="J111" i="6" a="1"/>
  <c r="J111" i="6" s="1"/>
  <c r="J110" i="6"/>
  <c r="J110" i="6" a="1"/>
  <c r="J109" i="6" a="1"/>
  <c r="J109" i="6" s="1"/>
  <c r="J108" i="6"/>
  <c r="J108" i="6" a="1"/>
  <c r="J107" i="6" a="1"/>
  <c r="J107" i="6" s="1"/>
  <c r="J106" i="6" a="1"/>
  <c r="J106" i="6" s="1"/>
  <c r="J105" i="6"/>
  <c r="J105" i="6" a="1"/>
  <c r="J104" i="6"/>
  <c r="J104" i="6" a="1"/>
  <c r="J103" i="6" a="1"/>
  <c r="J103" i="6" s="1"/>
  <c r="J102" i="6" a="1"/>
  <c r="J102" i="6" s="1"/>
  <c r="J101" i="6" a="1"/>
  <c r="J101" i="6" s="1"/>
  <c r="J100" i="6" a="1"/>
  <c r="J100" i="6" s="1"/>
  <c r="J99" i="6" a="1"/>
  <c r="J99" i="6" s="1"/>
  <c r="J98" i="6" a="1"/>
  <c r="J98" i="6" s="1"/>
  <c r="J97" i="6"/>
  <c r="J97" i="6" a="1"/>
  <c r="J96" i="6" a="1"/>
  <c r="J96" i="6" s="1"/>
  <c r="J95" i="6"/>
  <c r="J95" i="6" a="1"/>
  <c r="J94" i="6"/>
  <c r="J94" i="6" a="1"/>
  <c r="J93" i="6" a="1"/>
  <c r="J93" i="6" s="1"/>
  <c r="J92" i="6" a="1"/>
  <c r="J92" i="6" s="1"/>
  <c r="J91" i="6" a="1"/>
  <c r="J91" i="6" s="1"/>
  <c r="J90" i="6"/>
  <c r="J90" i="6" a="1"/>
  <c r="J89" i="6" a="1"/>
  <c r="J89" i="6" s="1"/>
  <c r="J88" i="6" a="1"/>
  <c r="J88" i="6" s="1"/>
  <c r="J87" i="6" a="1"/>
  <c r="J87" i="6" s="1"/>
  <c r="J86" i="6" a="1"/>
  <c r="J86" i="6" s="1"/>
  <c r="J85" i="6"/>
  <c r="J85" i="6" a="1"/>
  <c r="J84" i="6" a="1"/>
  <c r="J84" i="6" s="1"/>
  <c r="J83" i="6" a="1"/>
  <c r="J83" i="6" s="1"/>
  <c r="J82" i="6" a="1"/>
  <c r="J82" i="6" s="1"/>
  <c r="J81" i="6" a="1"/>
  <c r="J81" i="6" s="1"/>
  <c r="J80" i="6"/>
  <c r="J80" i="6" a="1"/>
  <c r="J79" i="6"/>
  <c r="J79" i="6" a="1"/>
  <c r="J78" i="6" a="1"/>
  <c r="J78" i="6" s="1"/>
  <c r="J77" i="6" a="1"/>
  <c r="J77" i="6" s="1"/>
  <c r="J76" i="6" a="1"/>
  <c r="J76" i="6" s="1"/>
  <c r="J75" i="6" a="1"/>
  <c r="J75" i="6" s="1"/>
  <c r="J74" i="6" a="1"/>
  <c r="J74" i="6" s="1"/>
  <c r="J73" i="6" a="1"/>
  <c r="J73" i="6" s="1"/>
  <c r="J72" i="6"/>
  <c r="J72" i="6" a="1"/>
  <c r="J71" i="6" a="1"/>
  <c r="J71" i="6" s="1"/>
  <c r="J70" i="6"/>
  <c r="J70" i="6" a="1"/>
  <c r="J69" i="6"/>
  <c r="J69" i="6" a="1"/>
  <c r="J68" i="6" a="1"/>
  <c r="J68" i="6" s="1"/>
  <c r="J67" i="6" a="1"/>
  <c r="J67" i="6" s="1"/>
  <c r="J66" i="6"/>
  <c r="J66" i="6" a="1"/>
  <c r="J65" i="6"/>
  <c r="J65" i="6" a="1"/>
  <c r="J64" i="6" a="1"/>
  <c r="J64" i="6" s="1"/>
  <c r="J63" i="6" a="1"/>
  <c r="J63" i="6" s="1"/>
  <c r="J62" i="6" a="1"/>
  <c r="J62" i="6" s="1"/>
  <c r="J61" i="6" a="1"/>
  <c r="J61" i="6" s="1"/>
  <c r="J60" i="6"/>
  <c r="J60" i="6" a="1"/>
  <c r="J59" i="6" a="1"/>
  <c r="J59" i="6" s="1"/>
  <c r="J58" i="6" a="1"/>
  <c r="J58" i="6" s="1"/>
  <c r="J57" i="6" a="1"/>
  <c r="J57" i="6" s="1"/>
  <c r="J56" i="6" a="1"/>
  <c r="J56" i="6" s="1"/>
  <c r="J55" i="6"/>
  <c r="J55" i="6" a="1"/>
  <c r="J54" i="6"/>
  <c r="J54" i="6" a="1"/>
  <c r="J53" i="6" a="1"/>
  <c r="J53" i="6" s="1"/>
  <c r="J52" i="6" a="1"/>
  <c r="J52" i="6" s="1"/>
  <c r="J51" i="6" a="1"/>
  <c r="J51" i="6" s="1"/>
  <c r="J50" i="6" a="1"/>
  <c r="J50" i="6" s="1"/>
  <c r="J49" i="6" a="1"/>
  <c r="J49" i="6" s="1"/>
  <c r="I49" i="6"/>
  <c r="J48" i="6" a="1"/>
  <c r="J48" i="6" s="1"/>
  <c r="J47" i="6"/>
  <c r="J47" i="6" a="1"/>
  <c r="I47" i="6"/>
  <c r="J46" i="6" a="1"/>
  <c r="J46" i="6" s="1"/>
  <c r="J45" i="6"/>
  <c r="J45" i="6" a="1"/>
  <c r="J44" i="6"/>
  <c r="J44" i="6" a="1"/>
  <c r="J43" i="6" a="1"/>
  <c r="J43" i="6" s="1"/>
  <c r="J42" i="6" a="1"/>
  <c r="J42" i="6" s="1"/>
  <c r="J41" i="6"/>
  <c r="J41" i="6" a="1"/>
  <c r="J40" i="6"/>
  <c r="J40" i="6" a="1"/>
  <c r="J39" i="6"/>
  <c r="J39" i="6" a="1"/>
  <c r="J38" i="6" a="1"/>
  <c r="J38" i="6" s="1"/>
  <c r="J37" i="6" a="1"/>
  <c r="J37" i="6" s="1"/>
  <c r="J36" i="6" a="1"/>
  <c r="J36" i="6" s="1"/>
  <c r="J35" i="6" a="1"/>
  <c r="J35" i="6" s="1"/>
  <c r="J34" i="6"/>
  <c r="J34" i="6" a="1"/>
  <c r="J33" i="6"/>
  <c r="J33" i="6" a="1"/>
  <c r="I33" i="6"/>
  <c r="J32" i="6"/>
  <c r="J32" i="6" a="1"/>
  <c r="J31" i="6" a="1"/>
  <c r="J31" i="6" s="1"/>
  <c r="I31" i="6"/>
  <c r="J30" i="6"/>
  <c r="J30" i="6" a="1"/>
  <c r="J29" i="6"/>
  <c r="J29" i="6" a="1"/>
  <c r="J28" i="6" a="1"/>
  <c r="J28" i="6" s="1"/>
  <c r="I28" i="6"/>
  <c r="J27" i="6" a="1"/>
  <c r="J27" i="6" s="1"/>
  <c r="I27" i="6"/>
  <c r="J26" i="6" a="1"/>
  <c r="J26" i="6" s="1"/>
  <c r="J25" i="6" a="1"/>
  <c r="J25" i="6" s="1"/>
  <c r="J24" i="6" a="1"/>
  <c r="J24" i="6" s="1"/>
  <c r="J23" i="6" a="1"/>
  <c r="J23" i="6" s="1"/>
  <c r="I23" i="6"/>
  <c r="J22" i="6"/>
  <c r="J22" i="6" a="1"/>
  <c r="J21" i="6" a="1"/>
  <c r="J21" i="6" s="1"/>
  <c r="J20" i="6"/>
  <c r="J20" i="6" a="1"/>
  <c r="J19" i="6" a="1"/>
  <c r="J19" i="6" s="1"/>
  <c r="J18" i="6"/>
  <c r="J18" i="6" a="1"/>
  <c r="J17" i="6" a="1"/>
  <c r="J17" i="6" s="1"/>
  <c r="J16" i="6"/>
  <c r="J16" i="6" a="1"/>
  <c r="J15" i="6"/>
  <c r="J15" i="6" a="1"/>
  <c r="I15" i="6"/>
  <c r="J14" i="6"/>
  <c r="J14" i="6" a="1"/>
  <c r="I14" i="6"/>
  <c r="J13" i="6" a="1"/>
  <c r="J13" i="6" s="1"/>
  <c r="J12" i="6"/>
  <c r="J12" i="6" a="1"/>
  <c r="J11" i="6" a="1"/>
  <c r="J11" i="6" s="1"/>
  <c r="J10" i="6" a="1"/>
  <c r="J10" i="6" s="1"/>
  <c r="J9" i="6" a="1"/>
  <c r="J9" i="6" s="1"/>
  <c r="I9" i="6"/>
  <c r="J8" i="6" a="1"/>
  <c r="J8" i="6" s="1"/>
  <c r="J7" i="6" a="1"/>
  <c r="J7" i="6" s="1"/>
  <c r="I7" i="6"/>
  <c r="J6" i="6" a="1"/>
  <c r="J6" i="6" s="1"/>
  <c r="J5" i="6"/>
  <c r="J5" i="6" a="1"/>
  <c r="I5" i="6"/>
  <c r="J4" i="6" a="1"/>
  <c r="J4" i="6" s="1"/>
  <c r="I4" i="6"/>
  <c r="J3" i="6" a="1"/>
  <c r="J3" i="6" s="1"/>
  <c r="I3" i="6"/>
  <c r="J2" i="6" a="1"/>
  <c r="J2" i="6" s="1"/>
  <c r="I2" i="6"/>
  <c r="A175" i="5"/>
  <c r="I175" i="5" s="1"/>
  <c r="A174" i="5"/>
  <c r="J173" i="5"/>
  <c r="J173" i="5" a="1"/>
  <c r="J172" i="5" a="1"/>
  <c r="J172" i="5" s="1"/>
  <c r="J171" i="5" a="1"/>
  <c r="J171" i="5" s="1"/>
  <c r="J170" i="5" a="1"/>
  <c r="J170" i="5" s="1"/>
  <c r="J169" i="5"/>
  <c r="J169" i="5" a="1"/>
  <c r="J168" i="5"/>
  <c r="J168" i="5" a="1"/>
  <c r="J167" i="5"/>
  <c r="J167" i="5" a="1"/>
  <c r="J166" i="5"/>
  <c r="J166" i="5" a="1"/>
  <c r="J165" i="5" a="1"/>
  <c r="J165" i="5" s="1"/>
  <c r="J164" i="5"/>
  <c r="J164" i="5" a="1"/>
  <c r="J163" i="5"/>
  <c r="J163" i="5" a="1"/>
  <c r="J162" i="5"/>
  <c r="J162" i="5" a="1"/>
  <c r="J161" i="5"/>
  <c r="J161" i="5" a="1"/>
  <c r="J160" i="5" a="1"/>
  <c r="J160" i="5" s="1"/>
  <c r="J159" i="5"/>
  <c r="J159" i="5" a="1"/>
  <c r="J158" i="5" a="1"/>
  <c r="J158" i="5" s="1"/>
  <c r="J157" i="5" a="1"/>
  <c r="J157" i="5" s="1"/>
  <c r="J156" i="5" a="1"/>
  <c r="J156" i="5" s="1"/>
  <c r="J155" i="5" a="1"/>
  <c r="J155" i="5" s="1"/>
  <c r="J154" i="5" a="1"/>
  <c r="J154" i="5" s="1"/>
  <c r="J153" i="5" a="1"/>
  <c r="J153" i="5" s="1"/>
  <c r="J152" i="5"/>
  <c r="J152" i="5" a="1"/>
  <c r="J151" i="5" a="1"/>
  <c r="J151" i="5" s="1"/>
  <c r="J150" i="5" a="1"/>
  <c r="J150" i="5" s="1"/>
  <c r="J149" i="5" a="1"/>
  <c r="J149" i="5" s="1"/>
  <c r="J148" i="5" a="1"/>
  <c r="J148" i="5" s="1"/>
  <c r="J147" i="5" a="1"/>
  <c r="J147" i="5" s="1"/>
  <c r="J146" i="5"/>
  <c r="J146" i="5" a="1"/>
  <c r="J145" i="5" a="1"/>
  <c r="J145" i="5" s="1"/>
  <c r="J144" i="5" a="1"/>
  <c r="J144" i="5" s="1"/>
  <c r="J143" i="5" a="1"/>
  <c r="J143" i="5" s="1"/>
  <c r="J142" i="5" a="1"/>
  <c r="J142" i="5" s="1"/>
  <c r="J141" i="5" a="1"/>
  <c r="J141" i="5" s="1"/>
  <c r="J140" i="5" a="1"/>
  <c r="J140" i="5" s="1"/>
  <c r="J139" i="5"/>
  <c r="J139" i="5" a="1"/>
  <c r="J138" i="5" a="1"/>
  <c r="J138" i="5" s="1"/>
  <c r="J137" i="5" a="1"/>
  <c r="J137" i="5" s="1"/>
  <c r="J136" i="5" a="1"/>
  <c r="J136" i="5" s="1"/>
  <c r="J135" i="5" a="1"/>
  <c r="J135" i="5" s="1"/>
  <c r="I135" i="5"/>
  <c r="J134" i="5" a="1"/>
  <c r="J134" i="5" s="1"/>
  <c r="J133" i="5" a="1"/>
  <c r="J133" i="5" s="1"/>
  <c r="J132" i="5" a="1"/>
  <c r="J132" i="5" s="1"/>
  <c r="J131" i="5" a="1"/>
  <c r="J131" i="5" s="1"/>
  <c r="J130" i="5" a="1"/>
  <c r="J130" i="5" s="1"/>
  <c r="J129" i="5" a="1"/>
  <c r="J129" i="5" s="1"/>
  <c r="J128" i="5" a="1"/>
  <c r="J128" i="5" s="1"/>
  <c r="J127" i="5"/>
  <c r="J127" i="5" a="1"/>
  <c r="J126" i="5" a="1"/>
  <c r="J126" i="5" s="1"/>
  <c r="J125" i="5" a="1"/>
  <c r="J125" i="5" s="1"/>
  <c r="J124" i="5" a="1"/>
  <c r="J124" i="5" s="1"/>
  <c r="J123" i="5"/>
  <c r="J123" i="5" a="1"/>
  <c r="J122" i="5" a="1"/>
  <c r="J122" i="5" s="1"/>
  <c r="J121" i="5" a="1"/>
  <c r="J121" i="5" s="1"/>
  <c r="J120" i="5"/>
  <c r="J120" i="5" a="1"/>
  <c r="J119" i="5" a="1"/>
  <c r="J119" i="5" s="1"/>
  <c r="J118" i="5" a="1"/>
  <c r="J118" i="5" s="1"/>
  <c r="J117" i="5" a="1"/>
  <c r="J117" i="5" s="1"/>
  <c r="J116" i="5" a="1"/>
  <c r="J116" i="5" s="1"/>
  <c r="J115" i="5"/>
  <c r="J115" i="5" a="1"/>
  <c r="J114" i="5" a="1"/>
  <c r="J114" i="5" s="1"/>
  <c r="J113" i="5" a="1"/>
  <c r="J113" i="5" s="1"/>
  <c r="J112" i="5"/>
  <c r="J112" i="5" a="1"/>
  <c r="I112" i="5"/>
  <c r="J111" i="5" a="1"/>
  <c r="J111" i="5" s="1"/>
  <c r="J110" i="5" a="1"/>
  <c r="J110" i="5" s="1"/>
  <c r="J109" i="5" a="1"/>
  <c r="J109" i="5" s="1"/>
  <c r="J108" i="5" a="1"/>
  <c r="J108" i="5" s="1"/>
  <c r="J107" i="5" a="1"/>
  <c r="J107" i="5" s="1"/>
  <c r="J106" i="5"/>
  <c r="J106" i="5" a="1"/>
  <c r="J105" i="5"/>
  <c r="J105" i="5" a="1"/>
  <c r="J104" i="5" a="1"/>
  <c r="J104" i="5" s="1"/>
  <c r="J103" i="5" a="1"/>
  <c r="J103" i="5" s="1"/>
  <c r="I103" i="5"/>
  <c r="J102" i="5"/>
  <c r="J102" i="5" a="1"/>
  <c r="J101" i="5" a="1"/>
  <c r="J101" i="5" s="1"/>
  <c r="J100" i="5" a="1"/>
  <c r="J100" i="5" s="1"/>
  <c r="J99" i="5"/>
  <c r="J99" i="5" a="1"/>
  <c r="J98" i="5" a="1"/>
  <c r="J98" i="5" s="1"/>
  <c r="J97" i="5" a="1"/>
  <c r="J97" i="5" s="1"/>
  <c r="J96" i="5"/>
  <c r="J96" i="5" a="1"/>
  <c r="J95" i="5"/>
  <c r="J95" i="5" a="1"/>
  <c r="I95" i="5"/>
  <c r="J94" i="5" a="1"/>
  <c r="J94" i="5" s="1"/>
  <c r="I94" i="5"/>
  <c r="J93" i="5" a="1"/>
  <c r="J93" i="5" s="1"/>
  <c r="J92" i="5" a="1"/>
  <c r="J92" i="5" s="1"/>
  <c r="J91" i="5" a="1"/>
  <c r="J91" i="5" s="1"/>
  <c r="J90" i="5"/>
  <c r="J90" i="5" a="1"/>
  <c r="J89" i="5"/>
  <c r="J89" i="5" a="1"/>
  <c r="J88" i="5" a="1"/>
  <c r="J88" i="5" s="1"/>
  <c r="I88" i="5"/>
  <c r="J87" i="5" a="1"/>
  <c r="J87" i="5" s="1"/>
  <c r="J86" i="5"/>
  <c r="J86" i="5" a="1"/>
  <c r="J85" i="5" a="1"/>
  <c r="J85" i="5" s="1"/>
  <c r="I85" i="5"/>
  <c r="J84" i="5" a="1"/>
  <c r="J84" i="5" s="1"/>
  <c r="J83" i="5"/>
  <c r="J83" i="5" a="1"/>
  <c r="J82" i="5" a="1"/>
  <c r="J82" i="5" s="1"/>
  <c r="J81" i="5" a="1"/>
  <c r="J81" i="5" s="1"/>
  <c r="J80" i="5"/>
  <c r="J80" i="5" a="1"/>
  <c r="J79" i="5"/>
  <c r="J79" i="5" a="1"/>
  <c r="J78" i="5" a="1"/>
  <c r="J78" i="5" s="1"/>
  <c r="J77" i="5" a="1"/>
  <c r="J77" i="5" s="1"/>
  <c r="J76" i="5" a="1"/>
  <c r="J76" i="5" s="1"/>
  <c r="J75" i="5"/>
  <c r="J75" i="5" a="1"/>
  <c r="J74" i="5"/>
  <c r="J74" i="5" a="1"/>
  <c r="J73" i="5"/>
  <c r="J73" i="5" a="1"/>
  <c r="J72" i="5" a="1"/>
  <c r="J72" i="5" s="1"/>
  <c r="J71" i="5" a="1"/>
  <c r="J71" i="5" s="1"/>
  <c r="J70" i="5"/>
  <c r="J70" i="5" a="1"/>
  <c r="J69" i="5" a="1"/>
  <c r="J69" i="5" s="1"/>
  <c r="J68" i="5" a="1"/>
  <c r="J68" i="5" s="1"/>
  <c r="J67" i="5"/>
  <c r="J67" i="5" a="1"/>
  <c r="J66" i="5" a="1"/>
  <c r="J66" i="5" s="1"/>
  <c r="J65" i="5" a="1"/>
  <c r="J65" i="5" s="1"/>
  <c r="J64" i="5"/>
  <c r="J64" i="5" a="1"/>
  <c r="J63" i="5"/>
  <c r="J63" i="5" a="1"/>
  <c r="J62" i="5" a="1"/>
  <c r="J62" i="5" s="1"/>
  <c r="J61" i="5" a="1"/>
  <c r="J61" i="5" s="1"/>
  <c r="J60" i="5" a="1"/>
  <c r="J60" i="5" s="1"/>
  <c r="J59" i="5"/>
  <c r="J59" i="5" a="1"/>
  <c r="J58" i="5" a="1"/>
  <c r="J58" i="5" s="1"/>
  <c r="J57" i="5"/>
  <c r="J57" i="5" a="1"/>
  <c r="J56" i="5" a="1"/>
  <c r="J56" i="5" s="1"/>
  <c r="J55" i="5" a="1"/>
  <c r="J55" i="5" s="1"/>
  <c r="J54" i="5"/>
  <c r="J54" i="5" a="1"/>
  <c r="J53" i="5" a="1"/>
  <c r="J53" i="5" s="1"/>
  <c r="J52" i="5" a="1"/>
  <c r="J52" i="5" s="1"/>
  <c r="J51" i="5"/>
  <c r="J51" i="5" a="1"/>
  <c r="J50" i="5" a="1"/>
  <c r="J50" i="5" s="1"/>
  <c r="J49" i="5"/>
  <c r="J49" i="5" a="1"/>
  <c r="J48" i="5"/>
  <c r="J48" i="5" a="1"/>
  <c r="J47" i="5"/>
  <c r="J47" i="5" a="1"/>
  <c r="J46" i="5" a="1"/>
  <c r="J46" i="5" s="1"/>
  <c r="J45" i="5" a="1"/>
  <c r="J45" i="5" s="1"/>
  <c r="J44" i="5" a="1"/>
  <c r="J44" i="5" s="1"/>
  <c r="J43" i="5"/>
  <c r="J43" i="5" a="1"/>
  <c r="J42" i="5" a="1"/>
  <c r="J42" i="5" s="1"/>
  <c r="J41" i="5"/>
  <c r="J41" i="5" a="1"/>
  <c r="J40" i="5" a="1"/>
  <c r="J40" i="5" s="1"/>
  <c r="I40" i="5"/>
  <c r="J39" i="5" a="1"/>
  <c r="J39" i="5" s="1"/>
  <c r="I39" i="5"/>
  <c r="J38" i="5"/>
  <c r="J38" i="5" a="1"/>
  <c r="J37" i="5" a="1"/>
  <c r="J37" i="5" s="1"/>
  <c r="J36" i="5" a="1"/>
  <c r="J36" i="5" s="1"/>
  <c r="J35" i="5"/>
  <c r="J35" i="5" a="1"/>
  <c r="J34" i="5" a="1"/>
  <c r="J34" i="5" s="1"/>
  <c r="I34" i="5"/>
  <c r="J33" i="5"/>
  <c r="J33" i="5" a="1"/>
  <c r="J32" i="5" a="1"/>
  <c r="J32" i="5" s="1"/>
  <c r="J31" i="5"/>
  <c r="J31" i="5" a="1"/>
  <c r="J30" i="5"/>
  <c r="J30" i="5" a="1"/>
  <c r="I30" i="5"/>
  <c r="J29" i="5" a="1"/>
  <c r="J29" i="5" s="1"/>
  <c r="J28" i="5" a="1"/>
  <c r="J28" i="5" s="1"/>
  <c r="J27" i="5"/>
  <c r="J27" i="5" a="1"/>
  <c r="J26" i="5" a="1"/>
  <c r="J26" i="5" s="1"/>
  <c r="I26" i="5"/>
  <c r="J25" i="5"/>
  <c r="J25" i="5" a="1"/>
  <c r="I25" i="5"/>
  <c r="J24" i="5" a="1"/>
  <c r="J24" i="5" s="1"/>
  <c r="J23" i="5"/>
  <c r="J23" i="5" a="1"/>
  <c r="I23" i="5"/>
  <c r="J22" i="5"/>
  <c r="J22" i="5" a="1"/>
  <c r="J21" i="5" a="1"/>
  <c r="J21" i="5" s="1"/>
  <c r="J20" i="5" a="1"/>
  <c r="J20" i="5" s="1"/>
  <c r="J19" i="5" a="1"/>
  <c r="J19" i="5" s="1"/>
  <c r="J18" i="5" a="1"/>
  <c r="J18" i="5" s="1"/>
  <c r="J17" i="5"/>
  <c r="J17" i="5" a="1"/>
  <c r="J16" i="5"/>
  <c r="J16" i="5" a="1"/>
  <c r="J15" i="5"/>
  <c r="J15" i="5" a="1"/>
  <c r="J14" i="5" a="1"/>
  <c r="J14" i="5" s="1"/>
  <c r="J13" i="5" a="1"/>
  <c r="J13" i="5" s="1"/>
  <c r="J12" i="5" a="1"/>
  <c r="J12" i="5" s="1"/>
  <c r="J11" i="5" a="1"/>
  <c r="J11" i="5" s="1"/>
  <c r="J10" i="5" a="1"/>
  <c r="J10" i="5" s="1"/>
  <c r="I10" i="5"/>
  <c r="J9" i="5" a="1"/>
  <c r="J9" i="5" s="1"/>
  <c r="J8" i="5" a="1"/>
  <c r="J8" i="5" s="1"/>
  <c r="I8" i="5"/>
  <c r="J7" i="5"/>
  <c r="J7" i="5" a="1"/>
  <c r="J6" i="5"/>
  <c r="J6" i="5" a="1"/>
  <c r="I6" i="5"/>
  <c r="J5" i="5" a="1"/>
  <c r="J5" i="5" s="1"/>
  <c r="J4" i="5" a="1"/>
  <c r="J4" i="5" s="1"/>
  <c r="J3" i="5"/>
  <c r="J3" i="5" a="1"/>
  <c r="J2" i="5" a="1"/>
  <c r="J2" i="5" s="1"/>
  <c r="J190" i="3" a="1"/>
  <c r="J190" i="3" s="1"/>
  <c r="A190" i="3"/>
  <c r="A191" i="3" s="1"/>
  <c r="J189" i="3" a="1"/>
  <c r="J189" i="3" s="1"/>
  <c r="J188" i="3" a="1"/>
  <c r="J188" i="3" s="1"/>
  <c r="J187" i="3" a="1"/>
  <c r="J187" i="3" s="1"/>
  <c r="J186" i="3" a="1"/>
  <c r="J186" i="3" s="1"/>
  <c r="J185" i="3" a="1"/>
  <c r="J185" i="3" s="1"/>
  <c r="J184" i="3" a="1"/>
  <c r="J184" i="3" s="1"/>
  <c r="J183" i="3" a="1"/>
  <c r="J183" i="3" s="1"/>
  <c r="J182" i="3" a="1"/>
  <c r="J182" i="3" s="1"/>
  <c r="J181" i="3" a="1"/>
  <c r="J181" i="3" s="1"/>
  <c r="J180" i="3" a="1"/>
  <c r="J180" i="3" s="1"/>
  <c r="J179" i="3" a="1"/>
  <c r="J179" i="3" s="1"/>
  <c r="J178" i="3" a="1"/>
  <c r="J178" i="3" s="1"/>
  <c r="J177" i="3"/>
  <c r="J177" i="3" a="1"/>
  <c r="J176" i="3"/>
  <c r="J176" i="3" a="1"/>
  <c r="J175" i="3"/>
  <c r="J175" i="3" a="1"/>
  <c r="J174" i="3"/>
  <c r="J174" i="3" a="1"/>
  <c r="J173" i="3"/>
  <c r="J173" i="3" a="1"/>
  <c r="J172" i="3" a="1"/>
  <c r="J172" i="3" s="1"/>
  <c r="J171" i="3"/>
  <c r="J171" i="3" a="1"/>
  <c r="J170" i="3" a="1"/>
  <c r="J170" i="3" s="1"/>
  <c r="J169" i="3" a="1"/>
  <c r="J169" i="3" s="1"/>
  <c r="J168" i="3" a="1"/>
  <c r="J168" i="3" s="1"/>
  <c r="J167" i="3" a="1"/>
  <c r="J167" i="3" s="1"/>
  <c r="J166" i="3"/>
  <c r="J166" i="3" a="1"/>
  <c r="J165" i="3" a="1"/>
  <c r="J165" i="3" s="1"/>
  <c r="J164" i="3"/>
  <c r="J164" i="3" a="1"/>
  <c r="J163" i="3" a="1"/>
  <c r="J163" i="3" s="1"/>
  <c r="J162" i="3" a="1"/>
  <c r="J162" i="3" s="1"/>
  <c r="J161" i="3" a="1"/>
  <c r="J161" i="3" s="1"/>
  <c r="J160" i="3"/>
  <c r="J160" i="3" a="1"/>
  <c r="J159" i="3"/>
  <c r="J159" i="3" a="1"/>
  <c r="J158" i="3" a="1"/>
  <c r="J158" i="3" s="1"/>
  <c r="J157" i="3" a="1"/>
  <c r="J157" i="3" s="1"/>
  <c r="J156" i="3" a="1"/>
  <c r="J156" i="3" s="1"/>
  <c r="J155" i="3" a="1"/>
  <c r="J155" i="3" s="1"/>
  <c r="J154" i="3" a="1"/>
  <c r="J154" i="3" s="1"/>
  <c r="J153" i="3" a="1"/>
  <c r="J153" i="3" s="1"/>
  <c r="J152" i="3" a="1"/>
  <c r="J152" i="3" s="1"/>
  <c r="J151" i="3" a="1"/>
  <c r="J151" i="3" s="1"/>
  <c r="J150" i="3"/>
  <c r="J150" i="3" a="1"/>
  <c r="J149" i="3"/>
  <c r="J149" i="3" a="1"/>
  <c r="J148" i="3"/>
  <c r="J148" i="3" a="1"/>
  <c r="J147" i="3"/>
  <c r="J147" i="3" a="1"/>
  <c r="J146" i="3" a="1"/>
  <c r="J146" i="3" s="1"/>
  <c r="J145" i="3" a="1"/>
  <c r="J145" i="3" s="1"/>
  <c r="J144" i="3" a="1"/>
  <c r="J144" i="3" s="1"/>
  <c r="J143" i="3" a="1"/>
  <c r="J143" i="3" s="1"/>
  <c r="J142" i="3"/>
  <c r="J142" i="3" a="1"/>
  <c r="J141" i="3"/>
  <c r="J141" i="3" a="1"/>
  <c r="J140" i="3" a="1"/>
  <c r="J140" i="3" s="1"/>
  <c r="J139" i="3" a="1"/>
  <c r="J139" i="3" s="1"/>
  <c r="J138" i="3" a="1"/>
  <c r="J138" i="3" s="1"/>
  <c r="J137" i="3" a="1"/>
  <c r="J137" i="3" s="1"/>
  <c r="J136" i="3" a="1"/>
  <c r="J136" i="3" s="1"/>
  <c r="J135" i="3" a="1"/>
  <c r="J135" i="3" s="1"/>
  <c r="J134" i="3" a="1"/>
  <c r="J134" i="3" s="1"/>
  <c r="J133" i="3" a="1"/>
  <c r="J133" i="3" s="1"/>
  <c r="J132" i="3" a="1"/>
  <c r="J132" i="3" s="1"/>
  <c r="J131" i="3" a="1"/>
  <c r="J131" i="3" s="1"/>
  <c r="J130" i="3" a="1"/>
  <c r="J130" i="3" s="1"/>
  <c r="J129" i="3" a="1"/>
  <c r="J129" i="3" s="1"/>
  <c r="J128" i="3" a="1"/>
  <c r="J128" i="3" s="1"/>
  <c r="J127" i="3" a="1"/>
  <c r="J127" i="3" s="1"/>
  <c r="J126" i="3" a="1"/>
  <c r="J126" i="3" s="1"/>
  <c r="J125" i="3" a="1"/>
  <c r="J125" i="3" s="1"/>
  <c r="J124" i="3" a="1"/>
  <c r="J124" i="3" s="1"/>
  <c r="J123" i="3" a="1"/>
  <c r="J123" i="3" s="1"/>
  <c r="J122" i="3" a="1"/>
  <c r="J122" i="3" s="1"/>
  <c r="J121" i="3" a="1"/>
  <c r="J121" i="3" s="1"/>
  <c r="J120" i="3" a="1"/>
  <c r="J120" i="3" s="1"/>
  <c r="I120" i="3"/>
  <c r="J119" i="3" a="1"/>
  <c r="J119" i="3" s="1"/>
  <c r="J118" i="3" a="1"/>
  <c r="J118" i="3" s="1"/>
  <c r="J117" i="3" a="1"/>
  <c r="J117" i="3" s="1"/>
  <c r="J116" i="3" a="1"/>
  <c r="J116" i="3" s="1"/>
  <c r="J115" i="3" a="1"/>
  <c r="J115" i="3" s="1"/>
  <c r="J114" i="3" a="1"/>
  <c r="J114" i="3" s="1"/>
  <c r="J113" i="3" a="1"/>
  <c r="J113" i="3" s="1"/>
  <c r="J112" i="3" a="1"/>
  <c r="J112" i="3" s="1"/>
  <c r="I112" i="3"/>
  <c r="J111" i="3" a="1"/>
  <c r="J111" i="3" s="1"/>
  <c r="J110" i="3" a="1"/>
  <c r="J110" i="3" s="1"/>
  <c r="J109" i="3" a="1"/>
  <c r="J109" i="3" s="1"/>
  <c r="J108" i="3" a="1"/>
  <c r="J108" i="3" s="1"/>
  <c r="J107" i="3" a="1"/>
  <c r="J107" i="3" s="1"/>
  <c r="J106" i="3" a="1"/>
  <c r="J106" i="3" s="1"/>
  <c r="J105" i="3" a="1"/>
  <c r="J105" i="3" s="1"/>
  <c r="J104" i="3" a="1"/>
  <c r="J104" i="3" s="1"/>
  <c r="J103" i="3" a="1"/>
  <c r="J103" i="3" s="1"/>
  <c r="J102" i="3" a="1"/>
  <c r="J102" i="3" s="1"/>
  <c r="J101" i="3" a="1"/>
  <c r="J101" i="3" s="1"/>
  <c r="J100" i="3" a="1"/>
  <c r="J100" i="3" s="1"/>
  <c r="J99" i="3" a="1"/>
  <c r="J99" i="3" s="1"/>
  <c r="J98" i="3" a="1"/>
  <c r="J98" i="3" s="1"/>
  <c r="J97" i="3" a="1"/>
  <c r="J97" i="3" s="1"/>
  <c r="J96" i="3" a="1"/>
  <c r="J96" i="3" s="1"/>
  <c r="J95" i="3" a="1"/>
  <c r="J95" i="3" s="1"/>
  <c r="J94" i="3" a="1"/>
  <c r="J94" i="3" s="1"/>
  <c r="I94" i="3"/>
  <c r="J93" i="3" a="1"/>
  <c r="J93" i="3" s="1"/>
  <c r="J92" i="3" a="1"/>
  <c r="J92" i="3" s="1"/>
  <c r="J91" i="3" a="1"/>
  <c r="J91" i="3" s="1"/>
  <c r="J90" i="3" a="1"/>
  <c r="J90" i="3" s="1"/>
  <c r="J89" i="3" a="1"/>
  <c r="J89" i="3" s="1"/>
  <c r="J88" i="3" a="1"/>
  <c r="J88" i="3" s="1"/>
  <c r="J87" i="3" a="1"/>
  <c r="J87" i="3" s="1"/>
  <c r="J86" i="3" a="1"/>
  <c r="J86" i="3" s="1"/>
  <c r="J85" i="3" a="1"/>
  <c r="J85" i="3" s="1"/>
  <c r="J84" i="3" a="1"/>
  <c r="J84" i="3" s="1"/>
  <c r="J83" i="3" a="1"/>
  <c r="J83" i="3" s="1"/>
  <c r="J82" i="3" a="1"/>
  <c r="J82" i="3" s="1"/>
  <c r="J81" i="3" a="1"/>
  <c r="J81" i="3" s="1"/>
  <c r="J80" i="3" a="1"/>
  <c r="J80" i="3" s="1"/>
  <c r="J79" i="3" a="1"/>
  <c r="J79" i="3" s="1"/>
  <c r="I79" i="3"/>
  <c r="J78" i="3" a="1"/>
  <c r="J78" i="3" s="1"/>
  <c r="J77" i="3" a="1"/>
  <c r="J77" i="3" s="1"/>
  <c r="I77" i="3"/>
  <c r="J76" i="3" a="1"/>
  <c r="J76" i="3" s="1"/>
  <c r="J75" i="3" a="1"/>
  <c r="J75" i="3" s="1"/>
  <c r="J74" i="3" a="1"/>
  <c r="J74" i="3" s="1"/>
  <c r="J73" i="3" a="1"/>
  <c r="J73" i="3" s="1"/>
  <c r="J72" i="3" a="1"/>
  <c r="J72" i="3" s="1"/>
  <c r="J71" i="3" a="1"/>
  <c r="J71" i="3" s="1"/>
  <c r="J70" i="3" a="1"/>
  <c r="J70" i="3" s="1"/>
  <c r="J69" i="3" a="1"/>
  <c r="J69" i="3" s="1"/>
  <c r="J68" i="3" a="1"/>
  <c r="J68" i="3" s="1"/>
  <c r="J67" i="3" a="1"/>
  <c r="J67" i="3" s="1"/>
  <c r="J66" i="3" a="1"/>
  <c r="J66" i="3" s="1"/>
  <c r="J65" i="3" a="1"/>
  <c r="J65" i="3" s="1"/>
  <c r="J64" i="3" a="1"/>
  <c r="J64" i="3" s="1"/>
  <c r="J63" i="3" a="1"/>
  <c r="J63" i="3" s="1"/>
  <c r="J62" i="3" a="1"/>
  <c r="J62" i="3" s="1"/>
  <c r="I62" i="3"/>
  <c r="J61" i="3" a="1"/>
  <c r="J61" i="3" s="1"/>
  <c r="J60" i="3" a="1"/>
  <c r="J60" i="3" s="1"/>
  <c r="J59" i="3" a="1"/>
  <c r="J59" i="3" s="1"/>
  <c r="J58" i="3" a="1"/>
  <c r="J58" i="3" s="1"/>
  <c r="J57" i="3" a="1"/>
  <c r="J57" i="3" s="1"/>
  <c r="I57" i="3"/>
  <c r="J56" i="3" a="1"/>
  <c r="J56" i="3" s="1"/>
  <c r="J55" i="3" a="1"/>
  <c r="J55" i="3" s="1"/>
  <c r="J54" i="3" a="1"/>
  <c r="J54" i="3" s="1"/>
  <c r="J53" i="3" a="1"/>
  <c r="J53" i="3" s="1"/>
  <c r="J52" i="3" a="1"/>
  <c r="J52" i="3" s="1"/>
  <c r="J51" i="3" a="1"/>
  <c r="J51" i="3" s="1"/>
  <c r="J50" i="3" a="1"/>
  <c r="J50" i="3" s="1"/>
  <c r="J49" i="3" a="1"/>
  <c r="J49" i="3" s="1"/>
  <c r="J48" i="3" a="1"/>
  <c r="J48" i="3" s="1"/>
  <c r="J47" i="3" a="1"/>
  <c r="J47" i="3" s="1"/>
  <c r="J46" i="3" a="1"/>
  <c r="J46" i="3" s="1"/>
  <c r="I46" i="3"/>
  <c r="J45" i="3" a="1"/>
  <c r="J45" i="3" s="1"/>
  <c r="I45" i="3"/>
  <c r="J44" i="3" a="1"/>
  <c r="J44" i="3" s="1"/>
  <c r="J43" i="3" a="1"/>
  <c r="J43" i="3" s="1"/>
  <c r="J42" i="3" a="1"/>
  <c r="J42" i="3" s="1"/>
  <c r="J41" i="3" a="1"/>
  <c r="J41" i="3" s="1"/>
  <c r="J40" i="3" a="1"/>
  <c r="J40" i="3" s="1"/>
  <c r="J39" i="3" a="1"/>
  <c r="J39" i="3" s="1"/>
  <c r="J38" i="3" a="1"/>
  <c r="J38" i="3" s="1"/>
  <c r="J37" i="3" a="1"/>
  <c r="J37" i="3" s="1"/>
  <c r="J36" i="3" a="1"/>
  <c r="J36" i="3" s="1"/>
  <c r="I36" i="3"/>
  <c r="J35" i="3" a="1"/>
  <c r="J35" i="3" s="1"/>
  <c r="J34" i="3" a="1"/>
  <c r="J34" i="3" s="1"/>
  <c r="J33" i="3" a="1"/>
  <c r="J33" i="3" s="1"/>
  <c r="J32" i="3"/>
  <c r="J32" i="3" a="1"/>
  <c r="J31" i="3"/>
  <c r="J31" i="3" a="1"/>
  <c r="J30" i="3"/>
  <c r="J30" i="3" a="1"/>
  <c r="J29" i="3"/>
  <c r="J29" i="3" a="1"/>
  <c r="I29" i="3"/>
  <c r="J28" i="3"/>
  <c r="J28" i="3" a="1"/>
  <c r="I28" i="3"/>
  <c r="J27" i="3"/>
  <c r="J27" i="3" a="1"/>
  <c r="I27" i="3"/>
  <c r="J26" i="3" a="1"/>
  <c r="J26" i="3" s="1"/>
  <c r="J25" i="3" a="1"/>
  <c r="J25" i="3" s="1"/>
  <c r="J24" i="3" a="1"/>
  <c r="J24" i="3" s="1"/>
  <c r="J23" i="3" a="1"/>
  <c r="J23" i="3" s="1"/>
  <c r="J22" i="3" a="1"/>
  <c r="J22" i="3" s="1"/>
  <c r="J21" i="3" a="1"/>
  <c r="J21" i="3" s="1"/>
  <c r="I21" i="3"/>
  <c r="J20" i="3" a="1"/>
  <c r="J20" i="3" s="1"/>
  <c r="I20" i="3"/>
  <c r="J19" i="3"/>
  <c r="J19" i="3" a="1"/>
  <c r="J18" i="3" a="1"/>
  <c r="J18" i="3" s="1"/>
  <c r="J17" i="3" a="1"/>
  <c r="J17" i="3" s="1"/>
  <c r="J16" i="3" a="1"/>
  <c r="J16" i="3" s="1"/>
  <c r="J15" i="3" a="1"/>
  <c r="J15" i="3" s="1"/>
  <c r="J14" i="3" a="1"/>
  <c r="J14" i="3" s="1"/>
  <c r="J13" i="3" a="1"/>
  <c r="J13" i="3" s="1"/>
  <c r="J12" i="3" a="1"/>
  <c r="J12" i="3" s="1"/>
  <c r="J11" i="3" a="1"/>
  <c r="J11" i="3" s="1"/>
  <c r="J10" i="3" a="1"/>
  <c r="J10" i="3" s="1"/>
  <c r="J9" i="3" a="1"/>
  <c r="J9" i="3" s="1"/>
  <c r="J8" i="3"/>
  <c r="J8" i="3" a="1"/>
  <c r="J7" i="3"/>
  <c r="J7" i="3" a="1"/>
  <c r="J6" i="3"/>
  <c r="J6" i="3" a="1"/>
  <c r="I6" i="3"/>
  <c r="J5" i="3"/>
  <c r="J5" i="3" a="1"/>
  <c r="I5" i="3"/>
  <c r="J4" i="3"/>
  <c r="J4" i="3" a="1"/>
  <c r="I4" i="3"/>
  <c r="J3" i="3"/>
  <c r="J3" i="3" a="1"/>
  <c r="I3" i="3"/>
  <c r="J2" i="3" a="1"/>
  <c r="J2" i="3" s="1"/>
  <c r="I2" i="3"/>
  <c r="A192" i="3" l="1"/>
  <c r="J191" i="3" a="1"/>
  <c r="J191" i="3" s="1"/>
  <c r="J175" i="5" a="1"/>
  <c r="J175" i="5" s="1"/>
  <c r="A176" i="5"/>
  <c r="D9" i="10" a="1"/>
  <c r="D9" i="10" s="1"/>
  <c r="E9" i="10" a="1"/>
  <c r="E9" i="10" s="1"/>
  <c r="H9" i="10" a="1"/>
  <c r="H9" i="10" s="1"/>
  <c r="N9" i="10" s="1"/>
  <c r="I9" i="10" a="1"/>
  <c r="I9" i="10" s="1"/>
  <c r="J174" i="5" a="1"/>
  <c r="J174" i="5" s="1"/>
  <c r="C100" i="10" a="1"/>
  <c r="C100" i="10" s="1"/>
  <c r="G16" i="10" a="1"/>
  <c r="G16" i="10" s="1"/>
  <c r="C16" i="10" a="1"/>
  <c r="C16" i="10" s="1"/>
  <c r="G22" i="10" a="1"/>
  <c r="G22" i="10" s="1"/>
  <c r="G100" i="10" a="1"/>
  <c r="G100" i="10" s="1"/>
  <c r="K100" i="10" s="1"/>
  <c r="C22" i="10" a="1"/>
  <c r="C22" i="10" s="1"/>
  <c r="J213" i="6" a="1"/>
  <c r="J213" i="6" s="1"/>
  <c r="H82" i="10" a="1"/>
  <c r="H82" i="10" s="1"/>
  <c r="H64" i="10" a="1"/>
  <c r="H64" i="10" s="1"/>
  <c r="D82" i="10" a="1"/>
  <c r="D82" i="10" s="1"/>
  <c r="D64" i="10" a="1"/>
  <c r="D64" i="10" s="1"/>
  <c r="G76" i="10" a="1"/>
  <c r="G76" i="10" s="1"/>
  <c r="C76" i="10" a="1"/>
  <c r="C76" i="10" s="1"/>
  <c r="G88" i="10" a="1"/>
  <c r="G88" i="10" s="1"/>
  <c r="C88" i="10" a="1"/>
  <c r="C88" i="10" s="1"/>
  <c r="A216" i="6"/>
  <c r="I83" i="10" a="1"/>
  <c r="I83" i="10" s="1"/>
  <c r="E83" i="10" a="1"/>
  <c r="E83" i="10" s="1"/>
  <c r="A179" i="7"/>
  <c r="I178" i="7"/>
  <c r="J178" i="7" a="1"/>
  <c r="J178" i="7" s="1"/>
  <c r="I184" i="8"/>
  <c r="J184" i="8" a="1"/>
  <c r="J184" i="8" s="1"/>
  <c r="A185" i="8"/>
  <c r="I60" i="10" a="1"/>
  <c r="I60" i="10" s="1"/>
  <c r="H60" i="10" a="1"/>
  <c r="H60" i="10" s="1"/>
  <c r="E60" i="10" a="1"/>
  <c r="E60" i="10" s="1"/>
  <c r="D60" i="10" a="1"/>
  <c r="D60" i="10" s="1"/>
  <c r="J186" i="9" a="1"/>
  <c r="J186" i="9" s="1"/>
  <c r="A187" i="9"/>
  <c r="N55" i="10"/>
  <c r="N79" i="10"/>
  <c r="T45" i="10" a="1"/>
  <c r="T45" i="10" s="1"/>
  <c r="G98" i="10" a="1"/>
  <c r="G98" i="10" s="1"/>
  <c r="C98" i="10" a="1"/>
  <c r="C98" i="10" s="1"/>
  <c r="C14" i="10" a="1"/>
  <c r="C14" i="10" s="1"/>
  <c r="G20" i="10" a="1"/>
  <c r="G20" i="10" s="1"/>
  <c r="G14" i="10" a="1"/>
  <c r="G14" i="10" s="1"/>
  <c r="C20" i="10" a="1"/>
  <c r="C20" i="10" s="1"/>
  <c r="N4" i="10"/>
  <c r="N3" i="10"/>
  <c r="N8" i="10"/>
  <c r="L5" i="10"/>
  <c r="N2" i="10"/>
  <c r="N7" i="10"/>
  <c r="N13" i="10"/>
  <c r="N5" i="10"/>
  <c r="K5" i="10"/>
  <c r="K16" i="10"/>
  <c r="K19" i="10"/>
  <c r="N10" i="10"/>
  <c r="L11" i="10"/>
  <c r="K11" i="10"/>
  <c r="N26" i="10"/>
  <c r="T28" i="10" a="1"/>
  <c r="T28" i="10" s="1"/>
  <c r="K22" i="10"/>
  <c r="N29" i="10"/>
  <c r="L33" i="10"/>
  <c r="N31" i="10"/>
  <c r="N28" i="10"/>
  <c r="L41" i="10"/>
  <c r="L27" i="10"/>
  <c r="K27" i="10"/>
  <c r="N30" i="10"/>
  <c r="T30" i="10" s="1" a="1"/>
  <c r="T30" i="10" s="1"/>
  <c r="N71" i="10"/>
  <c r="T29" i="10" a="1"/>
  <c r="T29" i="10" s="1"/>
  <c r="N53" i="10"/>
  <c r="N75" i="10"/>
  <c r="L81" i="10"/>
  <c r="N46" i="10"/>
  <c r="L63" i="10"/>
  <c r="N59" i="10"/>
  <c r="N73" i="10"/>
  <c r="T73" i="10" s="1" a="1"/>
  <c r="T73" i="10" s="1"/>
  <c r="N27" i="10"/>
  <c r="T27" i="10" s="1" a="1"/>
  <c r="T27" i="10" s="1"/>
  <c r="N52" i="10"/>
  <c r="N77" i="10"/>
  <c r="N70" i="10"/>
  <c r="T69" i="10" a="1"/>
  <c r="T69" i="10" s="1"/>
  <c r="T71" i="10" a="1"/>
  <c r="T71" i="10" s="1"/>
  <c r="N68" i="10"/>
  <c r="T68" i="10" s="1" a="1"/>
  <c r="T68" i="10" s="1"/>
  <c r="T70" i="10" a="1"/>
  <c r="T70" i="10" s="1"/>
  <c r="T26" i="10" a="1"/>
  <c r="T26" i="10" s="1"/>
  <c r="N56" i="10"/>
  <c r="T31" i="10" a="1"/>
  <c r="T31" i="10" s="1"/>
  <c r="T49" i="10" a="1"/>
  <c r="T49" i="10" s="1"/>
  <c r="T44" i="10" a="1"/>
  <c r="T44" i="10" s="1"/>
  <c r="T47" i="10" a="1"/>
  <c r="T47" i="10" s="1"/>
  <c r="N44" i="10"/>
  <c r="T46" i="10" a="1"/>
  <c r="T46" i="10" s="1"/>
  <c r="N61" i="10"/>
  <c r="N58" i="10"/>
  <c r="N47" i="10"/>
  <c r="N48" i="10"/>
  <c r="T48" i="10" s="1" a="1"/>
  <c r="T48" i="10" s="1"/>
  <c r="N72" i="10"/>
  <c r="T72" i="10" s="1" a="1"/>
  <c r="T72" i="10" s="1"/>
  <c r="N49" i="10"/>
  <c r="L76" i="10"/>
  <c r="K25" i="10"/>
  <c r="T75" i="10" a="1"/>
  <c r="T75" i="10" s="1"/>
  <c r="N76" i="10"/>
  <c r="T76" i="10" s="1" a="1"/>
  <c r="T76" i="10" s="1"/>
  <c r="L69" i="10"/>
  <c r="K69" i="10"/>
  <c r="N74" i="10"/>
  <c r="N69" i="10"/>
  <c r="N64" i="10"/>
  <c r="L67" i="10"/>
  <c r="N82" i="10"/>
  <c r="N60" i="10"/>
  <c r="K78" i="10"/>
  <c r="L78" i="10"/>
  <c r="N54" i="10"/>
  <c r="N78" i="10"/>
  <c r="K103" i="10"/>
  <c r="N107" i="10"/>
  <c r="N93" i="10"/>
  <c r="N118" i="10"/>
  <c r="N111" i="10"/>
  <c r="N116" i="10"/>
  <c r="L85" i="10"/>
  <c r="K113" i="10"/>
  <c r="L113" i="10"/>
  <c r="T77" i="10" a="1"/>
  <c r="T77" i="10" s="1"/>
  <c r="N113" i="10"/>
  <c r="K106" i="10"/>
  <c r="T78" i="10" a="1"/>
  <c r="T78" i="10" s="1"/>
  <c r="L95" i="10"/>
  <c r="K95" i="10"/>
  <c r="N117" i="10"/>
  <c r="N95" i="10"/>
  <c r="T79" i="10" a="1"/>
  <c r="T79" i="10" s="1"/>
  <c r="K76" i="10"/>
  <c r="N115" i="10"/>
  <c r="N119" i="10"/>
  <c r="L88" i="10"/>
  <c r="N97" i="10"/>
  <c r="N112" i="10"/>
  <c r="L119" i="10"/>
  <c r="N94" i="10"/>
  <c r="N121" i="10"/>
  <c r="N110" i="10"/>
  <c r="T74" i="10" a="1"/>
  <c r="T74" i="10" s="1"/>
  <c r="N87" i="10"/>
  <c r="N92" i="10"/>
  <c r="K107" i="10"/>
  <c r="E103" i="10" l="1" a="1"/>
  <c r="E103" i="10" s="1"/>
  <c r="E25" i="10" a="1"/>
  <c r="E25" i="10" s="1"/>
  <c r="I25" i="10" a="1"/>
  <c r="I25" i="10" s="1"/>
  <c r="I103" i="10" a="1"/>
  <c r="I103" i="10" s="1"/>
  <c r="I19" i="10" a="1"/>
  <c r="I19" i="10" s="1"/>
  <c r="E19" i="10" a="1"/>
  <c r="E19" i="10" s="1"/>
  <c r="A188" i="9"/>
  <c r="J187" i="9" a="1"/>
  <c r="J187" i="9" s="1"/>
  <c r="A180" i="7"/>
  <c r="J179" i="7" a="1"/>
  <c r="J179" i="7" s="1"/>
  <c r="E114" i="10" a="1"/>
  <c r="E114" i="10" s="1"/>
  <c r="I120" i="10" a="1"/>
  <c r="I120" i="10" s="1"/>
  <c r="I96" i="10" a="1"/>
  <c r="I96" i="10" s="1"/>
  <c r="E120" i="10" a="1"/>
  <c r="E120" i="10" s="1"/>
  <c r="I114" i="10" a="1"/>
  <c r="I114" i="10" s="1"/>
  <c r="E96" i="10" a="1"/>
  <c r="E96" i="10" s="1"/>
  <c r="I6" i="10" a="1"/>
  <c r="I6" i="10" s="1"/>
  <c r="E6" i="10" a="1"/>
  <c r="E6" i="10" s="1"/>
  <c r="I12" i="10" a="1"/>
  <c r="I12" i="10" s="1"/>
  <c r="E12" i="10" a="1"/>
  <c r="E12" i="10" s="1"/>
  <c r="J185" i="8" a="1"/>
  <c r="J185" i="8" s="1"/>
  <c r="A186" i="8"/>
  <c r="A217" i="6"/>
  <c r="J216" i="6" a="1"/>
  <c r="J216" i="6" s="1"/>
  <c r="J176" i="5" a="1"/>
  <c r="J176" i="5" s="1"/>
  <c r="A177" i="5"/>
  <c r="A193" i="3"/>
  <c r="J192" i="3" a="1"/>
  <c r="J192" i="3" s="1"/>
  <c r="K14" i="10"/>
  <c r="K20" i="10"/>
  <c r="K98" i="10"/>
  <c r="T6" i="10" l="1" a="1"/>
  <c r="T6" i="10" s="1"/>
  <c r="N6" i="10"/>
  <c r="T4" i="10" a="1"/>
  <c r="T4" i="10" s="1"/>
  <c r="T3" i="10" a="1"/>
  <c r="T3" i="10" s="1"/>
  <c r="T7" i="10" a="1"/>
  <c r="T7" i="10" s="1"/>
  <c r="T5" i="10" a="1"/>
  <c r="T5" i="10" s="1"/>
  <c r="T2" i="10" a="1"/>
  <c r="T2" i="10" s="1"/>
  <c r="T114" i="10" a="1"/>
  <c r="T114" i="10" s="1"/>
  <c r="T113" i="10" a="1"/>
  <c r="T113" i="10" s="1"/>
  <c r="T110" i="10" a="1"/>
  <c r="T110" i="10" s="1"/>
  <c r="T112" i="10" a="1"/>
  <c r="T112" i="10" s="1"/>
  <c r="T111" i="10" a="1"/>
  <c r="T111" i="10" s="1"/>
  <c r="N114" i="10"/>
  <c r="T115" i="10" a="1"/>
  <c r="T115" i="10" s="1"/>
  <c r="A218" i="6"/>
  <c r="J217" i="6" a="1"/>
  <c r="J217" i="6" s="1"/>
  <c r="N96" i="10"/>
  <c r="T96" i="10" a="1"/>
  <c r="T96" i="10" s="1"/>
  <c r="T94" i="10" a="1"/>
  <c r="T94" i="10" s="1"/>
  <c r="T92" i="10" a="1"/>
  <c r="T92" i="10" s="1"/>
  <c r="T97" i="10" a="1"/>
  <c r="T97" i="10" s="1"/>
  <c r="T95" i="10" a="1"/>
  <c r="T95" i="10" s="1"/>
  <c r="T93" i="10" a="1"/>
  <c r="T93" i="10" s="1"/>
  <c r="T119" i="10" a="1"/>
  <c r="T119" i="10" s="1"/>
  <c r="T120" i="10" a="1"/>
  <c r="T120" i="10" s="1"/>
  <c r="T118" i="10" a="1"/>
  <c r="T118" i="10" s="1"/>
  <c r="T117" i="10" a="1"/>
  <c r="T117" i="10" s="1"/>
  <c r="T121" i="10" a="1"/>
  <c r="T121" i="10" s="1"/>
  <c r="T116" i="10" a="1"/>
  <c r="T116" i="10" s="1"/>
  <c r="N120" i="10"/>
  <c r="C10" i="10" a="1"/>
  <c r="C10" i="10" s="1"/>
  <c r="C40" i="10" a="1"/>
  <c r="C40" i="10" s="1"/>
  <c r="A181" i="7"/>
  <c r="J180" i="7" a="1"/>
  <c r="J180" i="7" s="1"/>
  <c r="E106" i="10" a="1"/>
  <c r="E106" i="10" s="1"/>
  <c r="I106" i="10" a="1"/>
  <c r="I106" i="10" s="1"/>
  <c r="J193" i="3" a="1"/>
  <c r="J193" i="3" s="1"/>
  <c r="A194" i="3"/>
  <c r="C94" i="10" a="1"/>
  <c r="C94" i="10" s="1"/>
  <c r="G112" i="10" a="1"/>
  <c r="G112" i="10" s="1"/>
  <c r="A178" i="5"/>
  <c r="J177" i="5" a="1"/>
  <c r="J177" i="5" s="1"/>
  <c r="G94" i="10" a="1"/>
  <c r="G94" i="10" s="1"/>
  <c r="A189" i="9"/>
  <c r="J188" i="9" a="1"/>
  <c r="J188" i="9" s="1"/>
  <c r="A187" i="8"/>
  <c r="J186" i="8" a="1"/>
  <c r="J186" i="8" s="1"/>
  <c r="G18" i="10" a="1"/>
  <c r="G18" i="10" s="1"/>
  <c r="C18" i="10" a="1"/>
  <c r="C18" i="10" s="1"/>
  <c r="G102" i="10" a="1"/>
  <c r="G102" i="10" s="1"/>
  <c r="G24" i="10" a="1"/>
  <c r="G24" i="10" s="1"/>
  <c r="C102" i="10" a="1"/>
  <c r="C102" i="10" s="1"/>
  <c r="C24" i="10" a="1"/>
  <c r="C24" i="10" s="1"/>
  <c r="N19" i="10"/>
  <c r="L19" i="10"/>
  <c r="N103" i="10"/>
  <c r="L103" i="10"/>
  <c r="N25" i="10"/>
  <c r="L25" i="10"/>
  <c r="N12" i="10"/>
  <c r="T13" i="10" s="1" a="1"/>
  <c r="T13" i="10" s="1"/>
  <c r="T8" i="10" a="1"/>
  <c r="T8" i="10" s="1"/>
  <c r="T12" i="10" a="1"/>
  <c r="T12" i="10" s="1"/>
  <c r="T11" i="10" a="1"/>
  <c r="T11" i="10" s="1"/>
  <c r="T9" i="10" a="1"/>
  <c r="T9" i="10" s="1"/>
  <c r="T10" i="10" a="1"/>
  <c r="T10" i="10" s="1"/>
  <c r="E108" i="10" l="1" a="1"/>
  <c r="E108" i="10" s="1"/>
  <c r="F24" i="10" a="1"/>
  <c r="F24" i="10" s="1"/>
  <c r="J24" i="10" a="1"/>
  <c r="J24" i="10" s="1"/>
  <c r="M24" i="10" s="1"/>
  <c r="J194" i="3" a="1"/>
  <c r="J194" i="3" s="1"/>
  <c r="A195" i="3"/>
  <c r="I194" i="3"/>
  <c r="J102" i="10" a="1"/>
  <c r="J102" i="10" s="1"/>
  <c r="M102" i="10" s="1"/>
  <c r="F102" i="10" a="1"/>
  <c r="F102" i="10" s="1"/>
  <c r="J189" i="9" a="1"/>
  <c r="J189" i="9" s="1"/>
  <c r="A190" i="9"/>
  <c r="I189" i="9"/>
  <c r="I91" i="10" a="1"/>
  <c r="I91" i="10" s="1"/>
  <c r="O91" i="10" s="1"/>
  <c r="G109" i="10" a="1"/>
  <c r="G109" i="10" s="1"/>
  <c r="L24" i="10"/>
  <c r="K24" i="10"/>
  <c r="L102" i="10"/>
  <c r="K102" i="10"/>
  <c r="N106" i="10"/>
  <c r="O106" i="10"/>
  <c r="L106" i="10"/>
  <c r="A219" i="6"/>
  <c r="I218" i="6"/>
  <c r="J218" i="6" a="1"/>
  <c r="J218" i="6" s="1"/>
  <c r="C118" i="10" a="1"/>
  <c r="C118" i="10" s="1"/>
  <c r="C112" i="10" a="1"/>
  <c r="C112" i="10" s="1"/>
  <c r="G40" i="10" a="1"/>
  <c r="G40" i="10" s="1"/>
  <c r="G118" i="10" a="1"/>
  <c r="G118" i="10" s="1"/>
  <c r="G10" i="10" a="1"/>
  <c r="G10" i="10" s="1"/>
  <c r="G4" i="10" a="1"/>
  <c r="G4" i="10" s="1"/>
  <c r="C4" i="10" a="1"/>
  <c r="C4" i="10" s="1"/>
  <c r="D108" i="10" a="1"/>
  <c r="D108" i="10" s="1"/>
  <c r="G21" i="10" a="1"/>
  <c r="G21" i="10" s="1"/>
  <c r="G99" i="10" a="1"/>
  <c r="G99" i="10" s="1"/>
  <c r="C21" i="10" a="1"/>
  <c r="C21" i="10" s="1"/>
  <c r="C99" i="10" a="1"/>
  <c r="C99" i="10" s="1"/>
  <c r="G15" i="10" a="1"/>
  <c r="G15" i="10" s="1"/>
  <c r="C15" i="10" a="1"/>
  <c r="C15" i="10" s="1"/>
  <c r="A179" i="5"/>
  <c r="I178" i="5"/>
  <c r="J178" i="5" a="1"/>
  <c r="J178" i="5" s="1"/>
  <c r="I187" i="8"/>
  <c r="A182" i="7"/>
  <c r="J181" i="7" a="1"/>
  <c r="J181" i="7" s="1"/>
  <c r="G101" i="10" a="1"/>
  <c r="G101" i="10" s="1"/>
  <c r="C101" i="10" a="1"/>
  <c r="C101" i="10" s="1"/>
  <c r="I181" i="7"/>
  <c r="G23" i="10" a="1"/>
  <c r="G23" i="10" s="1"/>
  <c r="C23" i="10" a="1"/>
  <c r="C23" i="10" s="1"/>
  <c r="G17" i="10" a="1"/>
  <c r="G17" i="10" s="1"/>
  <c r="C17" i="10" a="1"/>
  <c r="C17" i="10" s="1"/>
  <c r="J40" i="10" a="1"/>
  <c r="J40" i="10" s="1"/>
  <c r="O40" i="10" s="1"/>
  <c r="F40" i="10" a="1"/>
  <c r="F40" i="10" s="1"/>
  <c r="L112" i="10"/>
  <c r="K112" i="10"/>
  <c r="J10" i="10" a="1"/>
  <c r="J10" i="10" s="1"/>
  <c r="F10" i="10" a="1"/>
  <c r="F10" i="10" s="1"/>
  <c r="J94" i="10" a="1"/>
  <c r="J94" i="10" s="1"/>
  <c r="F94" i="10" a="1"/>
  <c r="F94" i="10" s="1"/>
  <c r="F18" i="10" a="1"/>
  <c r="F18" i="10" s="1"/>
  <c r="J18" i="10" a="1"/>
  <c r="J18" i="10" s="1"/>
  <c r="L18" i="10"/>
  <c r="K18" i="10"/>
  <c r="G114" i="10" a="1"/>
  <c r="G114" i="10" s="1"/>
  <c r="C96" i="10" a="1"/>
  <c r="C96" i="10" s="1"/>
  <c r="C114" i="10" a="1"/>
  <c r="C114" i="10" s="1"/>
  <c r="G42" i="10" a="1"/>
  <c r="G42" i="10" s="1"/>
  <c r="G120" i="10" a="1"/>
  <c r="G120" i="10" s="1"/>
  <c r="C42" i="10" a="1"/>
  <c r="C42" i="10" s="1"/>
  <c r="G96" i="10" a="1"/>
  <c r="G96" i="10" s="1"/>
  <c r="C120" i="10" a="1"/>
  <c r="C120" i="10" s="1"/>
  <c r="G12" i="10" a="1"/>
  <c r="G12" i="10" s="1"/>
  <c r="C12" i="10" a="1"/>
  <c r="C12" i="10" s="1"/>
  <c r="C6" i="10" a="1"/>
  <c r="C6" i="10" s="1"/>
  <c r="G6" i="10" a="1"/>
  <c r="G6" i="10" s="1"/>
  <c r="A188" i="8"/>
  <c r="J187" i="8" a="1"/>
  <c r="J187" i="8" s="1"/>
  <c r="K94" i="10"/>
  <c r="L94" i="10"/>
  <c r="A189" i="8" l="1"/>
  <c r="J188" i="8" a="1"/>
  <c r="J188" i="8" s="1"/>
  <c r="I108" i="10" a="1"/>
  <c r="I108" i="10" s="1"/>
  <c r="O108" i="10" s="1"/>
  <c r="H108" i="10" a="1"/>
  <c r="H108" i="10" s="1"/>
  <c r="G108" i="10" a="1"/>
  <c r="G108" i="10" s="1"/>
  <c r="C108" i="10" a="1"/>
  <c r="C108" i="10" s="1"/>
  <c r="I188" i="8"/>
  <c r="L6" i="10"/>
  <c r="K6" i="10"/>
  <c r="I173" i="8"/>
  <c r="I148" i="8"/>
  <c r="I129" i="8"/>
  <c r="I79" i="8"/>
  <c r="I54" i="8"/>
  <c r="I29" i="8"/>
  <c r="J6" i="10" a="1"/>
  <c r="J6" i="10" s="1"/>
  <c r="F6" i="10" a="1"/>
  <c r="F6" i="10" s="1"/>
  <c r="I39" i="8"/>
  <c r="I180" i="8"/>
  <c r="I46" i="8"/>
  <c r="I72" i="8"/>
  <c r="I114" i="8"/>
  <c r="I179" i="8"/>
  <c r="I67" i="8"/>
  <c r="I150" i="8"/>
  <c r="I167" i="8"/>
  <c r="I7" i="8"/>
  <c r="I65" i="8"/>
  <c r="I85" i="8"/>
  <c r="I144" i="8"/>
  <c r="I38" i="8"/>
  <c r="I130" i="8"/>
  <c r="I140" i="8"/>
  <c r="I183" i="8"/>
  <c r="I58" i="8"/>
  <c r="I49" i="8"/>
  <c r="I127" i="8"/>
  <c r="I11" i="8"/>
  <c r="I123" i="8"/>
  <c r="I101" i="8"/>
  <c r="I177" i="8"/>
  <c r="I98" i="8"/>
  <c r="I133" i="8"/>
  <c r="I163" i="8"/>
  <c r="I88" i="8"/>
  <c r="I166" i="8"/>
  <c r="I139" i="8"/>
  <c r="I63" i="8"/>
  <c r="I47" i="8"/>
  <c r="I125" i="8"/>
  <c r="I116" i="8"/>
  <c r="I158" i="8"/>
  <c r="I86" i="8"/>
  <c r="I56" i="8"/>
  <c r="I40" i="8"/>
  <c r="I110" i="8"/>
  <c r="I176" i="8"/>
  <c r="I59" i="8"/>
  <c r="I50" i="8"/>
  <c r="I145" i="8"/>
  <c r="I90" i="8"/>
  <c r="I31" i="8"/>
  <c r="I136" i="8"/>
  <c r="I113" i="8"/>
  <c r="I44" i="8"/>
  <c r="I36" i="8"/>
  <c r="I137" i="8"/>
  <c r="I83" i="8"/>
  <c r="I55" i="8"/>
  <c r="I94" i="8"/>
  <c r="I164" i="8"/>
  <c r="I128" i="8"/>
  <c r="I186" i="8"/>
  <c r="I22" i="8"/>
  <c r="I61" i="8"/>
  <c r="I102" i="8"/>
  <c r="I122" i="8"/>
  <c r="I106" i="8"/>
  <c r="I75" i="8"/>
  <c r="I3" i="8"/>
  <c r="I182" i="8"/>
  <c r="I48" i="8"/>
  <c r="I95" i="8"/>
  <c r="I15" i="8"/>
  <c r="I99" i="8"/>
  <c r="I68" i="8"/>
  <c r="I19" i="8"/>
  <c r="I169" i="8"/>
  <c r="I172" i="8"/>
  <c r="I87" i="8"/>
  <c r="I146" i="8"/>
  <c r="I77" i="8"/>
  <c r="I160" i="8"/>
  <c r="I10" i="8"/>
  <c r="I156" i="8"/>
  <c r="I152" i="8"/>
  <c r="I73" i="8"/>
  <c r="I93" i="8"/>
  <c r="I41" i="8"/>
  <c r="I134" i="8"/>
  <c r="I2" i="8"/>
  <c r="I175" i="8"/>
  <c r="I132" i="8"/>
  <c r="I66" i="8"/>
  <c r="I78" i="8"/>
  <c r="I91" i="8"/>
  <c r="I126" i="8"/>
  <c r="I35" i="8"/>
  <c r="I162" i="8"/>
  <c r="I149" i="8"/>
  <c r="I165" i="8"/>
  <c r="I51" i="8"/>
  <c r="I64" i="8"/>
  <c r="I20" i="8"/>
  <c r="I97" i="8"/>
  <c r="I81" i="8"/>
  <c r="I143" i="8"/>
  <c r="I109" i="8"/>
  <c r="I112" i="8"/>
  <c r="I37" i="8"/>
  <c r="I42" i="8"/>
  <c r="I120" i="8"/>
  <c r="I32" i="8"/>
  <c r="I124" i="8"/>
  <c r="I70" i="8"/>
  <c r="I60" i="8"/>
  <c r="I30" i="8"/>
  <c r="I155" i="8"/>
  <c r="I69" i="8"/>
  <c r="I25" i="8"/>
  <c r="I92" i="8"/>
  <c r="I57" i="8"/>
  <c r="I34" i="8"/>
  <c r="I80" i="8"/>
  <c r="I138" i="8"/>
  <c r="I13" i="8"/>
  <c r="I89" i="8"/>
  <c r="I185" i="8"/>
  <c r="I142" i="8"/>
  <c r="I27" i="8"/>
  <c r="I23" i="8"/>
  <c r="I107" i="8"/>
  <c r="I170" i="8"/>
  <c r="I18" i="8"/>
  <c r="I154" i="8"/>
  <c r="I135" i="8"/>
  <c r="I14" i="8"/>
  <c r="I157" i="8"/>
  <c r="I100" i="8"/>
  <c r="I161" i="8"/>
  <c r="I141" i="8"/>
  <c r="I115" i="8"/>
  <c r="I178" i="8"/>
  <c r="I43" i="8"/>
  <c r="I21" i="8"/>
  <c r="I153" i="8"/>
  <c r="I82" i="8"/>
  <c r="I84" i="8"/>
  <c r="I96" i="8"/>
  <c r="I171" i="8"/>
  <c r="I174" i="8"/>
  <c r="I8" i="8"/>
  <c r="I105" i="8"/>
  <c r="I53" i="8"/>
  <c r="I71" i="8"/>
  <c r="I181" i="8"/>
  <c r="I151" i="8"/>
  <c r="I147" i="8"/>
  <c r="I76" i="8"/>
  <c r="I45" i="8"/>
  <c r="I52" i="8"/>
  <c r="I168" i="8"/>
  <c r="I131" i="8"/>
  <c r="I108" i="8"/>
  <c r="I121" i="8"/>
  <c r="I62" i="8"/>
  <c r="I74" i="8"/>
  <c r="F12" i="10" a="1"/>
  <c r="F12" i="10" s="1"/>
  <c r="J12" i="10" a="1"/>
  <c r="J12" i="10" s="1"/>
  <c r="L12" i="10"/>
  <c r="K12" i="10"/>
  <c r="J120" i="10" a="1"/>
  <c r="J120" i="10" s="1"/>
  <c r="F120" i="10" a="1"/>
  <c r="F120" i="10" s="1"/>
  <c r="L96" i="10"/>
  <c r="K96" i="10"/>
  <c r="J42" i="10" a="1"/>
  <c r="J42" i="10" s="1"/>
  <c r="O42" i="10" s="1"/>
  <c r="F42" i="10" a="1"/>
  <c r="F42" i="10" s="1"/>
  <c r="L120" i="10"/>
  <c r="K120" i="10"/>
  <c r="K42" i="10"/>
  <c r="L42" i="10"/>
  <c r="J114" i="10" a="1"/>
  <c r="J114" i="10" s="1"/>
  <c r="F114" i="10" a="1"/>
  <c r="F114" i="10" s="1"/>
  <c r="F96" i="10" a="1"/>
  <c r="F96" i="10" s="1"/>
  <c r="J96" i="10" a="1"/>
  <c r="J96" i="10" s="1"/>
  <c r="L114" i="10"/>
  <c r="K114" i="10"/>
  <c r="O18" i="10"/>
  <c r="M18" i="10"/>
  <c r="O94" i="10"/>
  <c r="M94" i="10"/>
  <c r="M10" i="10"/>
  <c r="O10" i="10"/>
  <c r="I86" i="7"/>
  <c r="I75" i="7"/>
  <c r="I74" i="7"/>
  <c r="I54" i="7"/>
  <c r="I45" i="7"/>
  <c r="I106" i="7"/>
  <c r="I62" i="7"/>
  <c r="I8" i="7"/>
  <c r="I82" i="7"/>
  <c r="I72" i="7"/>
  <c r="I104" i="7"/>
  <c r="I69" i="7"/>
  <c r="I59" i="7"/>
  <c r="I50" i="7"/>
  <c r="I78" i="7"/>
  <c r="I67" i="7"/>
  <c r="I51" i="7"/>
  <c r="I21" i="7"/>
  <c r="I34" i="7"/>
  <c r="I5" i="7"/>
  <c r="I44" i="7"/>
  <c r="I31" i="7"/>
  <c r="I20" i="7"/>
  <c r="I2" i="7"/>
  <c r="I52" i="7"/>
  <c r="I18" i="7"/>
  <c r="I60" i="7"/>
  <c r="I58" i="7"/>
  <c r="I17" i="7"/>
  <c r="I16" i="7"/>
  <c r="I53" i="7"/>
  <c r="I25" i="7"/>
  <c r="I36" i="7"/>
  <c r="I24" i="7"/>
  <c r="I12" i="7"/>
  <c r="I46" i="7"/>
  <c r="I10" i="7"/>
  <c r="F17" i="10" a="1"/>
  <c r="F17" i="10" s="1"/>
  <c r="J17" i="10" a="1"/>
  <c r="J17" i="10" s="1"/>
  <c r="M17" i="10" s="1"/>
  <c r="I159" i="7"/>
  <c r="I134" i="7"/>
  <c r="I162" i="7"/>
  <c r="I143" i="7"/>
  <c r="I118" i="7"/>
  <c r="I93" i="7"/>
  <c r="I108" i="7"/>
  <c r="I151" i="7"/>
  <c r="I65" i="7"/>
  <c r="I77" i="7"/>
  <c r="I169" i="7"/>
  <c r="I70" i="7"/>
  <c r="I170" i="7"/>
  <c r="I149" i="7"/>
  <c r="I84" i="7"/>
  <c r="I160" i="7"/>
  <c r="I157" i="7"/>
  <c r="I168" i="7"/>
  <c r="I125" i="7"/>
  <c r="I49" i="7"/>
  <c r="I127" i="7"/>
  <c r="I99" i="7"/>
  <c r="I174" i="7"/>
  <c r="I79" i="7"/>
  <c r="I42" i="7"/>
  <c r="I135" i="7"/>
  <c r="I172" i="7"/>
  <c r="I80" i="7"/>
  <c r="I161" i="7"/>
  <c r="I166" i="7"/>
  <c r="I180" i="7"/>
  <c r="I119" i="7"/>
  <c r="I133" i="7"/>
  <c r="I55" i="7"/>
  <c r="I148" i="7"/>
  <c r="I141" i="7"/>
  <c r="I154" i="7"/>
  <c r="I112" i="7"/>
  <c r="I176" i="7"/>
  <c r="I122" i="7"/>
  <c r="I117" i="7"/>
  <c r="I138" i="7"/>
  <c r="I107" i="7"/>
  <c r="I144" i="7"/>
  <c r="I109" i="7"/>
  <c r="I175" i="7"/>
  <c r="I98" i="7"/>
  <c r="I88" i="7"/>
  <c r="I90" i="7"/>
  <c r="I101" i="7"/>
  <c r="I83" i="7"/>
  <c r="I63" i="7"/>
  <c r="I94" i="7"/>
  <c r="I76" i="7"/>
  <c r="I38" i="7"/>
  <c r="I150" i="7"/>
  <c r="I167" i="7"/>
  <c r="I156" i="7"/>
  <c r="I145" i="7"/>
  <c r="I13" i="7"/>
  <c r="I137" i="7"/>
  <c r="I179" i="7"/>
  <c r="I71" i="7"/>
  <c r="I114" i="7"/>
  <c r="I152" i="7"/>
  <c r="I124" i="7"/>
  <c r="I173" i="7"/>
  <c r="I64" i="7"/>
  <c r="I41" i="7"/>
  <c r="I120" i="7"/>
  <c r="I111" i="7"/>
  <c r="I115" i="7"/>
  <c r="I37" i="7"/>
  <c r="I153" i="7"/>
  <c r="I171" i="7"/>
  <c r="I92" i="7"/>
  <c r="I96" i="7"/>
  <c r="I165" i="7"/>
  <c r="I15" i="7"/>
  <c r="I158" i="7"/>
  <c r="I163" i="7"/>
  <c r="I103" i="7"/>
  <c r="I140" i="7"/>
  <c r="I128" i="7"/>
  <c r="I132" i="7"/>
  <c r="I130" i="7"/>
  <c r="I39" i="7"/>
  <c r="I131" i="7"/>
  <c r="I68" i="7"/>
  <c r="I100" i="7"/>
  <c r="I73" i="7"/>
  <c r="I26" i="7"/>
  <c r="I147" i="7"/>
  <c r="I61" i="7"/>
  <c r="I81" i="7"/>
  <c r="I48" i="7"/>
  <c r="I142" i="7"/>
  <c r="I116" i="7"/>
  <c r="I136" i="7"/>
  <c r="I56" i="7"/>
  <c r="I4" i="7"/>
  <c r="I126" i="7"/>
  <c r="I85" i="7"/>
  <c r="I113" i="7"/>
  <c r="I110" i="7"/>
  <c r="I87" i="7"/>
  <c r="I57" i="7"/>
  <c r="I97" i="7"/>
  <c r="I91" i="7"/>
  <c r="I95" i="7"/>
  <c r="I155" i="7"/>
  <c r="I89" i="7"/>
  <c r="I177" i="7"/>
  <c r="I66" i="7"/>
  <c r="I32" i="7"/>
  <c r="I164" i="7"/>
  <c r="I40" i="7"/>
  <c r="I121" i="7"/>
  <c r="I47" i="7"/>
  <c r="I102" i="7"/>
  <c r="I139" i="7"/>
  <c r="I27" i="7"/>
  <c r="L17" i="10"/>
  <c r="K17" i="10"/>
  <c r="F23" i="10" a="1"/>
  <c r="F23" i="10" s="1"/>
  <c r="J23" i="10" a="1"/>
  <c r="J23" i="10" s="1"/>
  <c r="M23" i="10" s="1"/>
  <c r="L23" i="10"/>
  <c r="K23" i="10"/>
  <c r="J101" i="10" a="1"/>
  <c r="J101" i="10" s="1"/>
  <c r="M101" i="10" s="1"/>
  <c r="F101" i="10" a="1"/>
  <c r="F101" i="10" s="1"/>
  <c r="K101" i="10"/>
  <c r="L101" i="10"/>
  <c r="H89" i="10" a="1"/>
  <c r="H89" i="10" s="1"/>
  <c r="C71" i="10" a="1"/>
  <c r="C71" i="10" s="1"/>
  <c r="D89" i="10" a="1"/>
  <c r="D89" i="10" s="1"/>
  <c r="G29" i="10" a="1"/>
  <c r="G29" i="10" s="1"/>
  <c r="G71" i="10" a="1"/>
  <c r="G71" i="10" s="1"/>
  <c r="C29" i="10" a="1"/>
  <c r="C29" i="10" s="1"/>
  <c r="A183" i="7"/>
  <c r="J182" i="7" a="1"/>
  <c r="J182" i="7" s="1"/>
  <c r="I182" i="7"/>
  <c r="A180" i="5"/>
  <c r="J179" i="5" a="1"/>
  <c r="J179" i="5" s="1"/>
  <c r="I179" i="5"/>
  <c r="I51" i="10" a="1"/>
  <c r="I51" i="10" s="1"/>
  <c r="O51" i="10" s="1"/>
  <c r="H51" i="10" a="1"/>
  <c r="H51" i="10" s="1"/>
  <c r="G51" i="10" a="1"/>
  <c r="G51" i="10" s="1"/>
  <c r="E51" i="10" a="1"/>
  <c r="E51" i="10" s="1"/>
  <c r="D51" i="10" a="1"/>
  <c r="D51" i="10" s="1"/>
  <c r="C51" i="10" a="1"/>
  <c r="C51" i="10" s="1"/>
  <c r="I57" i="10" a="1"/>
  <c r="I57" i="10" s="1"/>
  <c r="O57" i="10" s="1"/>
  <c r="H57" i="10" a="1"/>
  <c r="H57" i="10" s="1"/>
  <c r="G57" i="10" a="1"/>
  <c r="G57" i="10" s="1"/>
  <c r="E57" i="10" a="1"/>
  <c r="E57" i="10" s="1"/>
  <c r="D57" i="10" a="1"/>
  <c r="D57" i="10" s="1"/>
  <c r="C57" i="10" a="1"/>
  <c r="C57" i="10" s="1"/>
  <c r="J15" i="10" a="1"/>
  <c r="J15" i="10" s="1"/>
  <c r="M15" i="10" s="1"/>
  <c r="F15" i="10" a="1"/>
  <c r="F15" i="10" s="1"/>
  <c r="Y18" i="10" a="1"/>
  <c r="Y18" i="10" s="1"/>
  <c r="W14" i="10" a="1"/>
  <c r="W14" i="10" s="1"/>
  <c r="V19" i="10" a="1"/>
  <c r="V19" i="10" s="1"/>
  <c r="AB19" i="10" s="1"/>
  <c r="Z16" i="10" a="1"/>
  <c r="Z16" i="10" s="1"/>
  <c r="AA17" i="10" a="1"/>
  <c r="AA17" i="10" s="1"/>
  <c r="W17" i="10" a="1"/>
  <c r="W17" i="10" s="1"/>
  <c r="X18" i="10" a="1"/>
  <c r="X18" i="10" s="1"/>
  <c r="Y16" i="10" a="1"/>
  <c r="Y16" i="10" s="1"/>
  <c r="V14" i="10" a="1"/>
  <c r="V14" i="10" s="1"/>
  <c r="AB14" i="10" s="1"/>
  <c r="V17" i="10" a="1"/>
  <c r="V17" i="10" s="1"/>
  <c r="AB17" i="10" s="1"/>
  <c r="Z17" i="10" a="1"/>
  <c r="Z17" i="10" s="1"/>
  <c r="X16" i="10" a="1"/>
  <c r="X16" i="10" s="1"/>
  <c r="AA15" i="10" a="1"/>
  <c r="AA15" i="10" s="1"/>
  <c r="W18" i="10" a="1"/>
  <c r="W18" i="10" s="1"/>
  <c r="Y17" i="10" a="1"/>
  <c r="Y17" i="10" s="1"/>
  <c r="Z15" i="10" a="1"/>
  <c r="Z15" i="10" s="1"/>
  <c r="W15" i="10" a="1"/>
  <c r="W15" i="10" s="1"/>
  <c r="W16" i="10" a="1"/>
  <c r="W16" i="10" s="1"/>
  <c r="V18" i="10" a="1"/>
  <c r="V18" i="10" s="1"/>
  <c r="AB18" i="10" s="1"/>
  <c r="AA19" i="10" a="1"/>
  <c r="AA19" i="10" s="1"/>
  <c r="AA16" i="10" a="1"/>
  <c r="AA16" i="10" s="1"/>
  <c r="Y15" i="10" a="1"/>
  <c r="Y15" i="10" s="1"/>
  <c r="V16" i="10" a="1"/>
  <c r="V16" i="10" s="1"/>
  <c r="AB16" i="10" s="1"/>
  <c r="X17" i="10" a="1"/>
  <c r="X17" i="10" s="1"/>
  <c r="AA14" i="10" a="1"/>
  <c r="AA14" i="10" s="1"/>
  <c r="X15" i="10" a="1"/>
  <c r="X15" i="10" s="1"/>
  <c r="Z19" i="10" a="1"/>
  <c r="Z19" i="10" s="1"/>
  <c r="Y19" i="10" a="1"/>
  <c r="Y19" i="10" s="1"/>
  <c r="Z14" i="10" a="1"/>
  <c r="Z14" i="10" s="1"/>
  <c r="Y14" i="10" a="1"/>
  <c r="Y14" i="10" s="1"/>
  <c r="AA18" i="10" a="1"/>
  <c r="AA18" i="10" s="1"/>
  <c r="X19" i="10" a="1"/>
  <c r="X19" i="10" s="1"/>
  <c r="V15" i="10" a="1"/>
  <c r="V15" i="10" s="1"/>
  <c r="AB15" i="10" s="1"/>
  <c r="Z18" i="10" a="1"/>
  <c r="Z18" i="10" s="1"/>
  <c r="W19" i="10" a="1"/>
  <c r="W19" i="10" s="1"/>
  <c r="X14" i="10" a="1"/>
  <c r="X14" i="10" s="1"/>
  <c r="L15" i="10"/>
  <c r="K15" i="10"/>
  <c r="S14" i="10" a="1"/>
  <c r="S14" i="10" s="1"/>
  <c r="R17" i="10" a="1"/>
  <c r="R17" i="10" s="1"/>
  <c r="R19" i="10" a="1"/>
  <c r="R19" i="10" s="1"/>
  <c r="P15" i="10" a="1"/>
  <c r="P15" i="10" s="1"/>
  <c r="R14" i="10" a="1"/>
  <c r="R14" i="10" s="1"/>
  <c r="Q19" i="10" a="1"/>
  <c r="Q19" i="10" s="1"/>
  <c r="S18" i="10" a="1"/>
  <c r="S18" i="10" s="1"/>
  <c r="Q14" i="10" a="1"/>
  <c r="Q14" i="10" s="1"/>
  <c r="P19" i="10" a="1"/>
  <c r="P19" i="10" s="1"/>
  <c r="R18" i="10" a="1"/>
  <c r="R18" i="10" s="1"/>
  <c r="P14" i="10" a="1"/>
  <c r="P14" i="10" s="1"/>
  <c r="Q18" i="10" a="1"/>
  <c r="Q18" i="10" s="1"/>
  <c r="S17" i="10" a="1"/>
  <c r="S17" i="10" s="1"/>
  <c r="P18" i="10" a="1"/>
  <c r="P18" i="10" s="1"/>
  <c r="Q17" i="10" a="1"/>
  <c r="Q17" i="10" s="1"/>
  <c r="S16" i="10" a="1"/>
  <c r="S16" i="10" s="1"/>
  <c r="P17" i="10" a="1"/>
  <c r="P17" i="10" s="1"/>
  <c r="R16" i="10" a="1"/>
  <c r="R16" i="10" s="1"/>
  <c r="Q16" i="10" a="1"/>
  <c r="Q16" i="10" s="1"/>
  <c r="S15" i="10" a="1"/>
  <c r="S15" i="10" s="1"/>
  <c r="P16" i="10" a="1"/>
  <c r="P16" i="10" s="1"/>
  <c r="R15" i="10" a="1"/>
  <c r="R15" i="10" s="1"/>
  <c r="Q15" i="10" a="1"/>
  <c r="Q15" i="10" s="1"/>
  <c r="S19" i="10" a="1"/>
  <c r="S19" i="10" s="1"/>
  <c r="F99" i="10" a="1"/>
  <c r="F99" i="10" s="1"/>
  <c r="J99" i="10" a="1"/>
  <c r="J99" i="10" s="1"/>
  <c r="M99" i="10" s="1"/>
  <c r="AA102" i="10" a="1"/>
  <c r="AA102" i="10" s="1"/>
  <c r="V101" i="10" a="1"/>
  <c r="V101" i="10" s="1"/>
  <c r="AB101" i="10" s="1"/>
  <c r="Y98" i="10" a="1"/>
  <c r="Y98" i="10" s="1"/>
  <c r="AA99" i="10" a="1"/>
  <c r="AA99" i="10" s="1"/>
  <c r="X103" i="10" a="1"/>
  <c r="X103" i="10" s="1"/>
  <c r="X100" i="10" a="1"/>
  <c r="X100" i="10" s="1"/>
  <c r="V99" i="10" a="1"/>
  <c r="V99" i="10" s="1"/>
  <c r="AB99" i="10" s="1"/>
  <c r="Z99" i="10" a="1"/>
  <c r="Z99" i="10" s="1"/>
  <c r="W100" i="10" a="1"/>
  <c r="W100" i="10" s="1"/>
  <c r="Z102" i="10" a="1"/>
  <c r="Z102" i="10" s="1"/>
  <c r="AA103" i="10" a="1"/>
  <c r="AA103" i="10" s="1"/>
  <c r="X98" i="10" a="1"/>
  <c r="X98" i="10" s="1"/>
  <c r="Y99" i="10" a="1"/>
  <c r="Y99" i="10" s="1"/>
  <c r="W103" i="10" a="1"/>
  <c r="W103" i="10" s="1"/>
  <c r="Y102" i="10" a="1"/>
  <c r="Y102" i="10" s="1"/>
  <c r="X102" i="10" a="1"/>
  <c r="X102" i="10" s="1"/>
  <c r="W98" i="10" a="1"/>
  <c r="W98" i="10" s="1"/>
  <c r="V103" i="10" a="1"/>
  <c r="V103" i="10" s="1"/>
  <c r="AB103" i="10" s="1"/>
  <c r="AA101" i="10" a="1"/>
  <c r="AA101" i="10" s="1"/>
  <c r="V98" i="10" a="1"/>
  <c r="V98" i="10" s="1"/>
  <c r="AB98" i="10" s="1"/>
  <c r="Z101" i="10" a="1"/>
  <c r="Z101" i="10" s="1"/>
  <c r="W102" i="10" a="1"/>
  <c r="W102" i="10" s="1"/>
  <c r="Y101" i="10" a="1"/>
  <c r="Y101" i="10" s="1"/>
  <c r="V100" i="10" a="1"/>
  <c r="V100" i="10" s="1"/>
  <c r="AB100" i="10" s="1"/>
  <c r="AA98" i="10" a="1"/>
  <c r="AA98" i="10" s="1"/>
  <c r="V102" i="10" a="1"/>
  <c r="V102" i="10" s="1"/>
  <c r="AB102" i="10" s="1"/>
  <c r="Z103" i="10" a="1"/>
  <c r="Z103" i="10" s="1"/>
  <c r="AA100" i="10" a="1"/>
  <c r="AA100" i="10" s="1"/>
  <c r="W99" i="10" a="1"/>
  <c r="W99" i="10" s="1"/>
  <c r="X99" i="10" a="1"/>
  <c r="X99" i="10" s="1"/>
  <c r="X101" i="10" a="1"/>
  <c r="X101" i="10" s="1"/>
  <c r="Z98" i="10" a="1"/>
  <c r="Z98" i="10" s="1"/>
  <c r="Z100" i="10" a="1"/>
  <c r="Z100" i="10" s="1"/>
  <c r="Y103" i="10" a="1"/>
  <c r="Y103" i="10" s="1"/>
  <c r="W101" i="10" a="1"/>
  <c r="W101" i="10" s="1"/>
  <c r="Y100" i="10" a="1"/>
  <c r="Y100" i="10" s="1"/>
  <c r="J21" i="10" a="1"/>
  <c r="J21" i="10" s="1"/>
  <c r="F21" i="10" a="1"/>
  <c r="F21" i="10" s="1"/>
  <c r="Z24" i="10" a="1"/>
  <c r="Z24" i="10" s="1"/>
  <c r="X20" i="10" a="1"/>
  <c r="X20" i="10" s="1"/>
  <c r="W25" i="10" a="1"/>
  <c r="W25" i="10" s="1"/>
  <c r="Y24" i="10" a="1"/>
  <c r="Y24" i="10" s="1"/>
  <c r="W20" i="10" a="1"/>
  <c r="W20" i="10" s="1"/>
  <c r="V25" i="10" a="1"/>
  <c r="V25" i="10" s="1"/>
  <c r="AB25" i="10" s="1"/>
  <c r="AA23" i="10" a="1"/>
  <c r="AA23" i="10" s="1"/>
  <c r="X24" i="10" a="1"/>
  <c r="X24" i="10" s="1"/>
  <c r="V20" i="10" a="1"/>
  <c r="V20" i="10" s="1"/>
  <c r="AB20" i="10" s="1"/>
  <c r="W22" i="10" a="1"/>
  <c r="W22" i="10" s="1"/>
  <c r="Z23" i="10" a="1"/>
  <c r="Z23" i="10" s="1"/>
  <c r="AA25" i="10" a="1"/>
  <c r="AA25" i="10" s="1"/>
  <c r="W24" i="10" a="1"/>
  <c r="W24" i="10" s="1"/>
  <c r="Y21" i="10" a="1"/>
  <c r="Y21" i="10" s="1"/>
  <c r="Y23" i="10" a="1"/>
  <c r="Y23" i="10" s="1"/>
  <c r="V22" i="10" a="1"/>
  <c r="V22" i="10" s="1"/>
  <c r="AB22" i="10" s="1"/>
  <c r="AA20" i="10" a="1"/>
  <c r="AA20" i="10" s="1"/>
  <c r="V24" i="10" a="1"/>
  <c r="V24" i="10" s="1"/>
  <c r="AB24" i="10" s="1"/>
  <c r="Z25" i="10" a="1"/>
  <c r="Z25" i="10" s="1"/>
  <c r="AA22" i="10" a="1"/>
  <c r="AA22" i="10" s="1"/>
  <c r="X21" i="10" a="1"/>
  <c r="X21" i="10" s="1"/>
  <c r="X23" i="10" a="1"/>
  <c r="X23" i="10" s="1"/>
  <c r="Z20" i="10" a="1"/>
  <c r="Z20" i="10" s="1"/>
  <c r="Z22" i="10" a="1"/>
  <c r="Z22" i="10" s="1"/>
  <c r="Y25" i="10" a="1"/>
  <c r="Y25" i="10" s="1"/>
  <c r="W23" i="10" a="1"/>
  <c r="W23" i="10" s="1"/>
  <c r="W21" i="10" a="1"/>
  <c r="W21" i="10" s="1"/>
  <c r="Y22" i="10" a="1"/>
  <c r="Y22" i="10" s="1"/>
  <c r="AA24" i="10" a="1"/>
  <c r="AA24" i="10" s="1"/>
  <c r="V23" i="10" a="1"/>
  <c r="V23" i="10" s="1"/>
  <c r="AB23" i="10" s="1"/>
  <c r="Y20" i="10" a="1"/>
  <c r="Y20" i="10" s="1"/>
  <c r="AA21" i="10" a="1"/>
  <c r="AA21" i="10" s="1"/>
  <c r="X25" i="10" a="1"/>
  <c r="X25" i="10" s="1"/>
  <c r="X22" i="10" a="1"/>
  <c r="X22" i="10" s="1"/>
  <c r="V21" i="10" a="1"/>
  <c r="V21" i="10" s="1"/>
  <c r="AB21" i="10" s="1"/>
  <c r="Z21" i="10" a="1"/>
  <c r="Z21" i="10" s="1"/>
  <c r="L99" i="10"/>
  <c r="K99" i="10"/>
  <c r="R103" i="10" a="1"/>
  <c r="R103" i="10" s="1"/>
  <c r="P99" i="10" a="1"/>
  <c r="P99" i="10" s="1"/>
  <c r="R98" i="10" a="1"/>
  <c r="R98" i="10" s="1"/>
  <c r="Q103" i="10" a="1"/>
  <c r="Q103" i="10" s="1"/>
  <c r="S102" i="10" a="1"/>
  <c r="S102" i="10" s="1"/>
  <c r="Q98" i="10" a="1"/>
  <c r="Q98" i="10" s="1"/>
  <c r="P103" i="10" a="1"/>
  <c r="P103" i="10" s="1"/>
  <c r="S101" i="10" a="1"/>
  <c r="S101" i="10" s="1"/>
  <c r="Q102" i="10" a="1"/>
  <c r="Q102" i="10" s="1"/>
  <c r="R102" i="10" a="1"/>
  <c r="R102" i="10" s="1"/>
  <c r="P98" i="10" a="1"/>
  <c r="P98" i="10" s="1"/>
  <c r="P102" i="10" a="1"/>
  <c r="P102" i="10" s="1"/>
  <c r="R101" i="10" a="1"/>
  <c r="R101" i="10" s="1"/>
  <c r="Q101" i="10" a="1"/>
  <c r="Q101" i="10" s="1"/>
  <c r="S100" i="10" a="1"/>
  <c r="S100" i="10" s="1"/>
  <c r="P101" i="10" a="1"/>
  <c r="P101" i="10" s="1"/>
  <c r="R100" i="10" a="1"/>
  <c r="R100" i="10" s="1"/>
  <c r="Q100" i="10" a="1"/>
  <c r="Q100" i="10" s="1"/>
  <c r="S99" i="10" a="1"/>
  <c r="S99" i="10" s="1"/>
  <c r="P100" i="10" a="1"/>
  <c r="P100" i="10" s="1"/>
  <c r="R99" i="10" a="1"/>
  <c r="R99" i="10" s="1"/>
  <c r="S103" i="10" a="1"/>
  <c r="S103" i="10" s="1"/>
  <c r="S98" i="10" a="1"/>
  <c r="S98" i="10" s="1"/>
  <c r="Q99" i="10" a="1"/>
  <c r="Q99" i="10" s="1"/>
  <c r="L21" i="10"/>
  <c r="K21" i="10"/>
  <c r="R20" i="10" a="1"/>
  <c r="R20" i="10" s="1"/>
  <c r="Q25" i="10" a="1"/>
  <c r="Q25" i="10" s="1"/>
  <c r="P25" i="10" a="1"/>
  <c r="P25" i="10" s="1"/>
  <c r="S24" i="10" a="1"/>
  <c r="S24" i="10" s="1"/>
  <c r="R24" i="10" a="1"/>
  <c r="R24" i="10" s="1"/>
  <c r="Q20" i="10" a="1"/>
  <c r="Q20" i="10" s="1"/>
  <c r="P20" i="10" a="1"/>
  <c r="P20" i="10" s="1"/>
  <c r="Q24" i="10" a="1"/>
  <c r="Q24" i="10" s="1"/>
  <c r="S23" i="10" a="1"/>
  <c r="S23" i="10" s="1"/>
  <c r="P23" i="10" a="1"/>
  <c r="P23" i="10" s="1"/>
  <c r="P24" i="10" a="1"/>
  <c r="P24" i="10" s="1"/>
  <c r="R23" i="10" a="1"/>
  <c r="R23" i="10" s="1"/>
  <c r="Q23" i="10" a="1"/>
  <c r="Q23" i="10" s="1"/>
  <c r="S22" i="10" a="1"/>
  <c r="S22" i="10" s="1"/>
  <c r="R22" i="10" a="1"/>
  <c r="R22" i="10" s="1"/>
  <c r="Q22" i="10" a="1"/>
  <c r="Q22" i="10" s="1"/>
  <c r="S21" i="10" a="1"/>
  <c r="S21" i="10" s="1"/>
  <c r="P22" i="10" a="1"/>
  <c r="P22" i="10" s="1"/>
  <c r="R21" i="10" a="1"/>
  <c r="R21" i="10" s="1"/>
  <c r="S25" i="10" a="1"/>
  <c r="S25" i="10" s="1"/>
  <c r="Q21" i="10" a="1"/>
  <c r="Q21" i="10" s="1"/>
  <c r="S20" i="10" a="1"/>
  <c r="S20" i="10" s="1"/>
  <c r="R25" i="10" a="1"/>
  <c r="R25" i="10" s="1"/>
  <c r="P21" i="10" a="1"/>
  <c r="P21" i="10" s="1"/>
  <c r="I198" i="6"/>
  <c r="I190" i="6"/>
  <c r="I211" i="6"/>
  <c r="I189" i="6"/>
  <c r="I207" i="6"/>
  <c r="I197" i="6"/>
  <c r="I195" i="6"/>
  <c r="I176" i="6"/>
  <c r="I151" i="6"/>
  <c r="I126" i="6"/>
  <c r="I101" i="6"/>
  <c r="I76" i="6"/>
  <c r="I59" i="6"/>
  <c r="I194" i="6"/>
  <c r="I159" i="6"/>
  <c r="I134" i="6"/>
  <c r="I109" i="6"/>
  <c r="I84" i="6"/>
  <c r="I67" i="6"/>
  <c r="I184" i="6"/>
  <c r="I167" i="6"/>
  <c r="I142" i="6"/>
  <c r="I117" i="6"/>
  <c r="I92" i="6"/>
  <c r="I75" i="6"/>
  <c r="I50" i="6"/>
  <c r="I175" i="6"/>
  <c r="I150" i="6"/>
  <c r="I125" i="6"/>
  <c r="I100" i="6"/>
  <c r="I83" i="6"/>
  <c r="I58" i="6"/>
  <c r="I193" i="6"/>
  <c r="I158" i="6"/>
  <c r="I133" i="6"/>
  <c r="I108" i="6"/>
  <c r="I91" i="6"/>
  <c r="I66" i="6"/>
  <c r="I204" i="6"/>
  <c r="I183" i="6"/>
  <c r="I166" i="6"/>
  <c r="I141" i="6"/>
  <c r="I116" i="6"/>
  <c r="I99" i="6"/>
  <c r="I74" i="6"/>
  <c r="I174" i="6"/>
  <c r="I149" i="6"/>
  <c r="I124" i="6"/>
  <c r="I107" i="6"/>
  <c r="I82" i="6"/>
  <c r="I57" i="6"/>
  <c r="I32" i="6"/>
  <c r="I203" i="6"/>
  <c r="I192" i="6"/>
  <c r="I157" i="6"/>
  <c r="I132" i="6"/>
  <c r="I115" i="6"/>
  <c r="I90" i="6"/>
  <c r="I65" i="6"/>
  <c r="I182" i="6"/>
  <c r="I165" i="6"/>
  <c r="I140" i="6"/>
  <c r="I123" i="6"/>
  <c r="I98" i="6"/>
  <c r="I73" i="6"/>
  <c r="I202" i="6"/>
  <c r="I173" i="6"/>
  <c r="I148" i="6"/>
  <c r="I131" i="6"/>
  <c r="I106" i="6"/>
  <c r="I81" i="6"/>
  <c r="I56" i="6"/>
  <c r="I191" i="6"/>
  <c r="I156" i="6"/>
  <c r="I139" i="6"/>
  <c r="I114" i="6"/>
  <c r="I89" i="6"/>
  <c r="I64" i="6"/>
  <c r="I39" i="6"/>
  <c r="I201" i="6"/>
  <c r="I181" i="6"/>
  <c r="I164" i="6"/>
  <c r="I147" i="6"/>
  <c r="I97" i="6"/>
  <c r="I72" i="6"/>
  <c r="I22" i="6"/>
  <c r="I172" i="6"/>
  <c r="I155" i="6"/>
  <c r="I130" i="6"/>
  <c r="I105" i="6"/>
  <c r="I80" i="6"/>
  <c r="I55" i="6"/>
  <c r="I180" i="6"/>
  <c r="I163" i="6"/>
  <c r="I138" i="6"/>
  <c r="I113" i="6"/>
  <c r="I88" i="6"/>
  <c r="I63" i="6"/>
  <c r="I171" i="6"/>
  <c r="I146" i="6"/>
  <c r="I96" i="6"/>
  <c r="I71" i="6"/>
  <c r="I46" i="6"/>
  <c r="I179" i="6"/>
  <c r="I154" i="6"/>
  <c r="I129" i="6"/>
  <c r="I104" i="6"/>
  <c r="I79" i="6"/>
  <c r="I54" i="6"/>
  <c r="I188" i="6"/>
  <c r="I162" i="6"/>
  <c r="I137" i="6"/>
  <c r="I112" i="6"/>
  <c r="I87" i="6"/>
  <c r="I62" i="6"/>
  <c r="I37" i="6"/>
  <c r="I12" i="6"/>
  <c r="I170" i="6"/>
  <c r="I145" i="6"/>
  <c r="I95" i="6"/>
  <c r="I70" i="6"/>
  <c r="I45" i="6"/>
  <c r="I187" i="6"/>
  <c r="I178" i="6"/>
  <c r="I153" i="6"/>
  <c r="I103" i="6"/>
  <c r="I78" i="6"/>
  <c r="I53" i="6"/>
  <c r="I210" i="6"/>
  <c r="I161" i="6"/>
  <c r="I136" i="6"/>
  <c r="I111" i="6"/>
  <c r="I86" i="6"/>
  <c r="I61" i="6"/>
  <c r="I36" i="6"/>
  <c r="I186" i="6"/>
  <c r="I169" i="6"/>
  <c r="I144" i="6"/>
  <c r="I119" i="6"/>
  <c r="I94" i="6"/>
  <c r="I209" i="6"/>
  <c r="I196" i="6"/>
  <c r="I177" i="6"/>
  <c r="I152" i="6"/>
  <c r="I127" i="6"/>
  <c r="I102" i="6"/>
  <c r="I77" i="6"/>
  <c r="I52" i="6"/>
  <c r="I35" i="6"/>
  <c r="I160" i="6"/>
  <c r="I135" i="6"/>
  <c r="I110" i="6"/>
  <c r="I85" i="6"/>
  <c r="I60" i="6"/>
  <c r="I185" i="6"/>
  <c r="I168" i="6"/>
  <c r="I143" i="6"/>
  <c r="I118" i="6"/>
  <c r="I93" i="6"/>
  <c r="I68" i="6"/>
  <c r="I51" i="6"/>
  <c r="I48" i="6"/>
  <c r="I17" i="6"/>
  <c r="I8" i="6"/>
  <c r="I26" i="6"/>
  <c r="I25" i="6"/>
  <c r="I34" i="6"/>
  <c r="I24" i="6"/>
  <c r="I6" i="6"/>
  <c r="I44" i="6"/>
  <c r="I43" i="6"/>
  <c r="I13" i="6"/>
  <c r="I42" i="6"/>
  <c r="I21" i="6"/>
  <c r="I11" i="6"/>
  <c r="I41" i="6"/>
  <c r="I30" i="6"/>
  <c r="I20" i="6"/>
  <c r="I19" i="6"/>
  <c r="I10" i="6"/>
  <c r="I40" i="6"/>
  <c r="I29" i="6"/>
  <c r="I69" i="6"/>
  <c r="I18" i="6"/>
  <c r="I38" i="6"/>
  <c r="I16" i="6"/>
  <c r="I214" i="6"/>
  <c r="J4" i="10" a="1"/>
  <c r="J4" i="10" s="1"/>
  <c r="F4" i="10" a="1"/>
  <c r="F4" i="10" s="1"/>
  <c r="I215" i="6"/>
  <c r="I208" i="6"/>
  <c r="I213" i="6"/>
  <c r="I206" i="6"/>
  <c r="I200" i="6"/>
  <c r="I205" i="6"/>
  <c r="I199" i="6"/>
  <c r="I216" i="6"/>
  <c r="I217" i="6"/>
  <c r="K4" i="10"/>
  <c r="L4" i="10"/>
  <c r="L10" i="10"/>
  <c r="K10" i="10"/>
  <c r="K118" i="10"/>
  <c r="L118" i="10"/>
  <c r="L40" i="10"/>
  <c r="K40" i="10"/>
  <c r="J112" i="10" a="1"/>
  <c r="J112" i="10" s="1"/>
  <c r="F112" i="10" a="1"/>
  <c r="F112" i="10" s="1"/>
  <c r="J118" i="10" a="1"/>
  <c r="J118" i="10" s="1"/>
  <c r="F118" i="10" a="1"/>
  <c r="F118" i="10" s="1"/>
  <c r="G28" i="10" a="1"/>
  <c r="G28" i="10" s="1"/>
  <c r="G70" i="10" a="1"/>
  <c r="G70" i="10" s="1"/>
  <c r="C28" i="10" a="1"/>
  <c r="C28" i="10" s="1"/>
  <c r="H88" i="10" a="1"/>
  <c r="H88" i="10" s="1"/>
  <c r="C70" i="10" a="1"/>
  <c r="C70" i="10" s="1"/>
  <c r="D88" i="10" a="1"/>
  <c r="D88" i="10" s="1"/>
  <c r="I219" i="6"/>
  <c r="A220" i="6"/>
  <c r="J219" i="6" a="1"/>
  <c r="J219" i="6" s="1"/>
  <c r="K109" i="10"/>
  <c r="L109" i="10"/>
  <c r="A191" i="9"/>
  <c r="J190" i="9" a="1"/>
  <c r="J190" i="9" s="1"/>
  <c r="I190" i="9"/>
  <c r="H91" i="10" a="1"/>
  <c r="H91" i="10" s="1"/>
  <c r="G91" i="10" a="1"/>
  <c r="G91" i="10" s="1"/>
  <c r="C109" i="10" a="1"/>
  <c r="C109" i="10" s="1"/>
  <c r="E91" i="10" a="1"/>
  <c r="E91" i="10" s="1"/>
  <c r="D91" i="10" a="1"/>
  <c r="D91" i="10" s="1"/>
  <c r="C91" i="10" a="1"/>
  <c r="C91" i="10" s="1"/>
  <c r="C43" i="10" a="1"/>
  <c r="C43" i="10" s="1"/>
  <c r="G121" i="10" a="1"/>
  <c r="G121" i="10" s="1"/>
  <c r="G97" i="10" a="1"/>
  <c r="G97" i="10" s="1"/>
  <c r="C121" i="10" a="1"/>
  <c r="C121" i="10" s="1"/>
  <c r="G115" i="10" a="1"/>
  <c r="G115" i="10" s="1"/>
  <c r="C97" i="10" a="1"/>
  <c r="C97" i="10" s="1"/>
  <c r="C115" i="10" a="1"/>
  <c r="C115" i="10" s="1"/>
  <c r="G43" i="10" a="1"/>
  <c r="G43" i="10" s="1"/>
  <c r="C13" i="10" a="1"/>
  <c r="C13" i="10" s="1"/>
  <c r="C7" i="10" a="1"/>
  <c r="C7" i="10" s="1"/>
  <c r="G13" i="10" a="1"/>
  <c r="G13" i="10" s="1"/>
  <c r="G7" i="10" a="1"/>
  <c r="G7" i="10" s="1"/>
  <c r="I109" i="10" a="1"/>
  <c r="I109" i="10" s="1"/>
  <c r="O109" i="10" s="1"/>
  <c r="H109" i="10" a="1"/>
  <c r="H109" i="10" s="1"/>
  <c r="E109" i="10" a="1"/>
  <c r="E109" i="10" s="1"/>
  <c r="D109" i="10" a="1"/>
  <c r="D109" i="10" s="1"/>
  <c r="A196" i="3"/>
  <c r="J195" i="3" a="1"/>
  <c r="J195" i="3" s="1"/>
  <c r="I195" i="3"/>
  <c r="C8" i="10" a="1"/>
  <c r="C8" i="10" s="1"/>
  <c r="C2" i="10" a="1"/>
  <c r="C2" i="10" s="1"/>
  <c r="G2" i="10" a="1"/>
  <c r="G2" i="10" s="1"/>
  <c r="C116" i="10" a="1"/>
  <c r="C116" i="10" s="1"/>
  <c r="I104" i="10" a="1"/>
  <c r="I104" i="10" s="1"/>
  <c r="C92" i="10" a="1"/>
  <c r="C92" i="10" s="1"/>
  <c r="C110" i="10" a="1"/>
  <c r="C110" i="10" s="1"/>
  <c r="E104" i="10" a="1"/>
  <c r="E104" i="10" s="1"/>
  <c r="G116" i="10" a="1"/>
  <c r="G116" i="10" s="1"/>
  <c r="G92" i="10" a="1"/>
  <c r="G92" i="10" s="1"/>
  <c r="G110" i="10" a="1"/>
  <c r="G110" i="10" s="1"/>
  <c r="G8" i="10" a="1"/>
  <c r="G8" i="10" s="1"/>
  <c r="C38" i="10" a="1"/>
  <c r="C38" i="10" s="1"/>
  <c r="G38" i="10" a="1"/>
  <c r="G38" i="10" s="1"/>
  <c r="S38" i="10" l="1" a="1"/>
  <c r="S38" i="10" s="1"/>
  <c r="R42" i="10" a="1"/>
  <c r="R42" i="10" s="1"/>
  <c r="P39" i="10" a="1"/>
  <c r="P39" i="10" s="1"/>
  <c r="R38" i="10" a="1"/>
  <c r="R38" i="10" s="1"/>
  <c r="Q42" i="10" a="1"/>
  <c r="Q42" i="10" s="1"/>
  <c r="Q38" i="10" a="1"/>
  <c r="Q38" i="10" s="1"/>
  <c r="P38" i="10" a="1"/>
  <c r="P38" i="10" s="1"/>
  <c r="S43" i="10" a="1"/>
  <c r="S43" i="10" s="1"/>
  <c r="L38" i="10"/>
  <c r="R43" i="10" a="1"/>
  <c r="R43" i="10" s="1"/>
  <c r="K38" i="10"/>
  <c r="R40" i="10" a="1"/>
  <c r="R40" i="10" s="1"/>
  <c r="S39" i="10" a="1"/>
  <c r="S39" i="10" s="1"/>
  <c r="S41" i="10" a="1"/>
  <c r="S41" i="10" s="1"/>
  <c r="Q40" i="10" a="1"/>
  <c r="Q40" i="10" s="1"/>
  <c r="R39" i="10" a="1"/>
  <c r="R39" i="10" s="1"/>
  <c r="P42" i="10" a="1"/>
  <c r="P42" i="10" s="1"/>
  <c r="R41" i="10" a="1"/>
  <c r="R41" i="10" s="1"/>
  <c r="Q41" i="10" a="1"/>
  <c r="Q41" i="10" s="1"/>
  <c r="P40" i="10" a="1"/>
  <c r="P40" i="10" s="1"/>
  <c r="S40" i="10" a="1"/>
  <c r="S40" i="10" s="1"/>
  <c r="P41" i="10" a="1"/>
  <c r="P41" i="10" s="1"/>
  <c r="Q43" i="10" a="1"/>
  <c r="Q43" i="10" s="1"/>
  <c r="P43" i="10" a="1"/>
  <c r="P43" i="10" s="1"/>
  <c r="Q39" i="10" a="1"/>
  <c r="Q39" i="10" s="1"/>
  <c r="S42" i="10" a="1"/>
  <c r="S42" i="10" s="1"/>
  <c r="Y43" i="10" a="1"/>
  <c r="Y43" i="10" s="1"/>
  <c r="Y42" i="10" a="1"/>
  <c r="Y42" i="10" s="1"/>
  <c r="AA40" i="10" a="1"/>
  <c r="AA40" i="10" s="1"/>
  <c r="V41" i="10" a="1"/>
  <c r="V41" i="10" s="1"/>
  <c r="AB41" i="10" s="1"/>
  <c r="AA39" i="10" a="1"/>
  <c r="AA39" i="10" s="1"/>
  <c r="W38" i="10" a="1"/>
  <c r="W38" i="10" s="1"/>
  <c r="V43" i="10" a="1"/>
  <c r="V43" i="10" s="1"/>
  <c r="AB43" i="10" s="1"/>
  <c r="X42" i="10" a="1"/>
  <c r="X42" i="10" s="1"/>
  <c r="Z40" i="10" a="1"/>
  <c r="Z40" i="10" s="1"/>
  <c r="V38" i="10" a="1"/>
  <c r="V38" i="10" s="1"/>
  <c r="AB38" i="10" s="1"/>
  <c r="Z39" i="10" a="1"/>
  <c r="Z39" i="10" s="1"/>
  <c r="W42" i="10" a="1"/>
  <c r="W42" i="10" s="1"/>
  <c r="AA41" i="10" a="1"/>
  <c r="AA41" i="10" s="1"/>
  <c r="V42" i="10" a="1"/>
  <c r="V42" i="10" s="1"/>
  <c r="AB42" i="10" s="1"/>
  <c r="Y40" i="10" a="1"/>
  <c r="Y40" i="10" s="1"/>
  <c r="F38" i="10" a="1"/>
  <c r="F38" i="10" s="1"/>
  <c r="Y39" i="10" a="1"/>
  <c r="Y39" i="10" s="1"/>
  <c r="AA38" i="10" a="1"/>
  <c r="AA38" i="10" s="1"/>
  <c r="Y41" i="10" a="1"/>
  <c r="Y41" i="10" s="1"/>
  <c r="X40" i="10" a="1"/>
  <c r="X40" i="10" s="1"/>
  <c r="X39" i="10" a="1"/>
  <c r="X39" i="10" s="1"/>
  <c r="Z38" i="10" a="1"/>
  <c r="Z38" i="10" s="1"/>
  <c r="W40" i="10" a="1"/>
  <c r="W40" i="10" s="1"/>
  <c r="X41" i="10" a="1"/>
  <c r="X41" i="10" s="1"/>
  <c r="W39" i="10" a="1"/>
  <c r="W39" i="10" s="1"/>
  <c r="Y38" i="10" a="1"/>
  <c r="Y38" i="10" s="1"/>
  <c r="X43" i="10" a="1"/>
  <c r="X43" i="10" s="1"/>
  <c r="V40" i="10" a="1"/>
  <c r="V40" i="10" s="1"/>
  <c r="AB40" i="10" s="1"/>
  <c r="Z42" i="10" a="1"/>
  <c r="Z42" i="10" s="1"/>
  <c r="J38" i="10" a="1"/>
  <c r="J38" i="10" s="1"/>
  <c r="O38" i="10" s="1"/>
  <c r="W43" i="10" a="1"/>
  <c r="W43" i="10" s="1"/>
  <c r="W41" i="10" a="1"/>
  <c r="W41" i="10" s="1"/>
  <c r="Z41" i="10" a="1"/>
  <c r="Z41" i="10" s="1"/>
  <c r="V39" i="10" a="1"/>
  <c r="V39" i="10" s="1"/>
  <c r="AB39" i="10" s="1"/>
  <c r="AA43" i="10" a="1"/>
  <c r="AA43" i="10" s="1"/>
  <c r="X38" i="10" a="1"/>
  <c r="X38" i="10" s="1"/>
  <c r="Z43" i="10" a="1"/>
  <c r="Z43" i="10" s="1"/>
  <c r="AA42" i="10" a="1"/>
  <c r="AA42" i="10" s="1"/>
  <c r="K8" i="10"/>
  <c r="Q11" i="10" a="1"/>
  <c r="Q11" i="10" s="1"/>
  <c r="P11" i="10" a="1"/>
  <c r="P11" i="10" s="1"/>
  <c r="S10" i="10" a="1"/>
  <c r="S10" i="10" s="1"/>
  <c r="R12" i="10" a="1"/>
  <c r="R12" i="10" s="1"/>
  <c r="Q13" i="10" a="1"/>
  <c r="Q13" i="10" s="1"/>
  <c r="P13" i="10" a="1"/>
  <c r="P13" i="10" s="1"/>
  <c r="R8" i="10" a="1"/>
  <c r="R8" i="10" s="1"/>
  <c r="Q10" i="10" a="1"/>
  <c r="Q10" i="10" s="1"/>
  <c r="R10" i="10" a="1"/>
  <c r="R10" i="10" s="1"/>
  <c r="S9" i="10" a="1"/>
  <c r="S9" i="10" s="1"/>
  <c r="P8" i="10" a="1"/>
  <c r="P8" i="10" s="1"/>
  <c r="P10" i="10" a="1"/>
  <c r="P10" i="10" s="1"/>
  <c r="R9" i="10" a="1"/>
  <c r="R9" i="10" s="1"/>
  <c r="S13" i="10" a="1"/>
  <c r="S13" i="10" s="1"/>
  <c r="Q9" i="10" a="1"/>
  <c r="Q9" i="10" s="1"/>
  <c r="S8" i="10" a="1"/>
  <c r="S8" i="10" s="1"/>
  <c r="R13" i="10" a="1"/>
  <c r="R13" i="10" s="1"/>
  <c r="P9" i="10" a="1"/>
  <c r="P9" i="10" s="1"/>
  <c r="S12" i="10" a="1"/>
  <c r="S12" i="10" s="1"/>
  <c r="Q8" i="10" a="1"/>
  <c r="Q8" i="10" s="1"/>
  <c r="Q12" i="10" a="1"/>
  <c r="Q12" i="10" s="1"/>
  <c r="S11" i="10" a="1"/>
  <c r="S11" i="10" s="1"/>
  <c r="P12" i="10" a="1"/>
  <c r="P12" i="10" s="1"/>
  <c r="L8" i="10"/>
  <c r="R11" i="10" a="1"/>
  <c r="R11" i="10" s="1"/>
  <c r="Q114" i="10" a="1"/>
  <c r="Q114" i="10" s="1"/>
  <c r="S113" i="10" a="1"/>
  <c r="S113" i="10" s="1"/>
  <c r="P114" i="10" a="1"/>
  <c r="P114" i="10" s="1"/>
  <c r="L110" i="10"/>
  <c r="R113" i="10" a="1"/>
  <c r="R113" i="10" s="1"/>
  <c r="K110" i="10"/>
  <c r="Q113" i="10" a="1"/>
  <c r="Q113" i="10" s="1"/>
  <c r="S112" i="10" a="1"/>
  <c r="S112" i="10" s="1"/>
  <c r="P113" i="10" a="1"/>
  <c r="P113" i="10" s="1"/>
  <c r="R112" i="10" a="1"/>
  <c r="R112" i="10" s="1"/>
  <c r="P112" i="10" a="1"/>
  <c r="P112" i="10" s="1"/>
  <c r="Q112" i="10" a="1"/>
  <c r="Q112" i="10" s="1"/>
  <c r="R111" i="10" a="1"/>
  <c r="R111" i="10" s="1"/>
  <c r="S111" i="10" a="1"/>
  <c r="S111" i="10" s="1"/>
  <c r="S115" i="10" a="1"/>
  <c r="S115" i="10" s="1"/>
  <c r="Q111" i="10" a="1"/>
  <c r="Q111" i="10" s="1"/>
  <c r="S110" i="10" a="1"/>
  <c r="S110" i="10" s="1"/>
  <c r="R115" i="10" a="1"/>
  <c r="R115" i="10" s="1"/>
  <c r="P111" i="10" a="1"/>
  <c r="P111" i="10" s="1"/>
  <c r="R110" i="10" a="1"/>
  <c r="R110" i="10" s="1"/>
  <c r="Q115" i="10" a="1"/>
  <c r="Q115" i="10" s="1"/>
  <c r="S114" i="10" a="1"/>
  <c r="S114" i="10" s="1"/>
  <c r="Q110" i="10" a="1"/>
  <c r="Q110" i="10" s="1"/>
  <c r="P115" i="10" a="1"/>
  <c r="P115" i="10" s="1"/>
  <c r="R114" i="10" a="1"/>
  <c r="R114" i="10" s="1"/>
  <c r="P110" i="10" a="1"/>
  <c r="P110" i="10" s="1"/>
  <c r="K92" i="10"/>
  <c r="Q95" i="10" a="1"/>
  <c r="Q95" i="10" s="1"/>
  <c r="S94" i="10" a="1"/>
  <c r="S94" i="10" s="1"/>
  <c r="P95" i="10" a="1"/>
  <c r="P95" i="10" s="1"/>
  <c r="R94" i="10" a="1"/>
  <c r="R94" i="10" s="1"/>
  <c r="Q94" i="10" a="1"/>
  <c r="Q94" i="10" s="1"/>
  <c r="S93" i="10" a="1"/>
  <c r="S93" i="10" s="1"/>
  <c r="P94" i="10" a="1"/>
  <c r="P94" i="10" s="1"/>
  <c r="R93" i="10" a="1"/>
  <c r="R93" i="10" s="1"/>
  <c r="S97" i="10" a="1"/>
  <c r="S97" i="10" s="1"/>
  <c r="Q93" i="10" a="1"/>
  <c r="Q93" i="10" s="1"/>
  <c r="R97" i="10" a="1"/>
  <c r="R97" i="10" s="1"/>
  <c r="R92" i="10" a="1"/>
  <c r="R92" i="10" s="1"/>
  <c r="P93" i="10" a="1"/>
  <c r="P93" i="10" s="1"/>
  <c r="Q97" i="10" a="1"/>
  <c r="Q97" i="10" s="1"/>
  <c r="S92" i="10" a="1"/>
  <c r="S92" i="10" s="1"/>
  <c r="S96" i="10" a="1"/>
  <c r="S96" i="10" s="1"/>
  <c r="Q92" i="10" a="1"/>
  <c r="Q92" i="10" s="1"/>
  <c r="P97" i="10" a="1"/>
  <c r="P97" i="10" s="1"/>
  <c r="R96" i="10" a="1"/>
  <c r="R96" i="10" s="1"/>
  <c r="P92" i="10" a="1"/>
  <c r="P92" i="10" s="1"/>
  <c r="Q96" i="10" a="1"/>
  <c r="Q96" i="10" s="1"/>
  <c r="S95" i="10" a="1"/>
  <c r="S95" i="10" s="1"/>
  <c r="P96" i="10" a="1"/>
  <c r="P96" i="10" s="1"/>
  <c r="L92" i="10"/>
  <c r="R95" i="10" a="1"/>
  <c r="R95" i="10" s="1"/>
  <c r="L116" i="10"/>
  <c r="R119" i="10" a="1"/>
  <c r="R119" i="10" s="1"/>
  <c r="K116" i="10"/>
  <c r="Q119" i="10" a="1"/>
  <c r="Q119" i="10" s="1"/>
  <c r="S118" i="10" a="1"/>
  <c r="S118" i="10" s="1"/>
  <c r="P119" i="10" a="1"/>
  <c r="P119" i="10" s="1"/>
  <c r="R118" i="10" a="1"/>
  <c r="R118" i="10" s="1"/>
  <c r="Q118" i="10" a="1"/>
  <c r="Q118" i="10" s="1"/>
  <c r="S117" i="10" a="1"/>
  <c r="S117" i="10" s="1"/>
  <c r="P118" i="10" a="1"/>
  <c r="P118" i="10" s="1"/>
  <c r="R117" i="10" a="1"/>
  <c r="R117" i="10" s="1"/>
  <c r="S121" i="10" a="1"/>
  <c r="S121" i="10" s="1"/>
  <c r="Q117" i="10" a="1"/>
  <c r="Q117" i="10" s="1"/>
  <c r="S116" i="10" a="1"/>
  <c r="S116" i="10" s="1"/>
  <c r="R116" i="10" a="1"/>
  <c r="R116" i="10" s="1"/>
  <c r="R121" i="10" a="1"/>
  <c r="R121" i="10" s="1"/>
  <c r="Q121" i="10" a="1"/>
  <c r="Q121" i="10" s="1"/>
  <c r="P117" i="10" a="1"/>
  <c r="P117" i="10" s="1"/>
  <c r="S120" i="10" a="1"/>
  <c r="S120" i="10" s="1"/>
  <c r="Q116" i="10" a="1"/>
  <c r="Q116" i="10" s="1"/>
  <c r="P121" i="10" a="1"/>
  <c r="P121" i="10" s="1"/>
  <c r="R120" i="10" a="1"/>
  <c r="R120" i="10" s="1"/>
  <c r="P116" i="10" a="1"/>
  <c r="P116" i="10" s="1"/>
  <c r="Q120" i="10" a="1"/>
  <c r="Q120" i="10" s="1"/>
  <c r="S119" i="10" a="1"/>
  <c r="S119" i="10" s="1"/>
  <c r="P120" i="10" a="1"/>
  <c r="P120" i="10" s="1"/>
  <c r="Y112" i="10" a="1"/>
  <c r="Y112" i="10" s="1"/>
  <c r="W110" i="10" a="1"/>
  <c r="W110" i="10" s="1"/>
  <c r="V113" i="10" a="1"/>
  <c r="V113" i="10" s="1"/>
  <c r="AB113" i="10" s="1"/>
  <c r="V115" i="10" a="1"/>
  <c r="V115" i="10" s="1"/>
  <c r="AB115" i="10" s="1"/>
  <c r="AA111" i="10" a="1"/>
  <c r="AA111" i="10" s="1"/>
  <c r="AA113" i="10" a="1"/>
  <c r="AA113" i="10" s="1"/>
  <c r="X112" i="10" a="1"/>
  <c r="X112" i="10" s="1"/>
  <c r="X114" i="10" a="1"/>
  <c r="X114" i="10" s="1"/>
  <c r="Z111" i="10" a="1"/>
  <c r="Z111" i="10" s="1"/>
  <c r="V110" i="10" a="1"/>
  <c r="V110" i="10" s="1"/>
  <c r="AB110" i="10" s="1"/>
  <c r="W112" i="10" a="1"/>
  <c r="W112" i="10" s="1"/>
  <c r="Z113" i="10" a="1"/>
  <c r="Z113" i="10" s="1"/>
  <c r="AA115" i="10" a="1"/>
  <c r="AA115" i="10" s="1"/>
  <c r="Y111" i="10" a="1"/>
  <c r="Y111" i="10" s="1"/>
  <c r="V112" i="10" a="1"/>
  <c r="V112" i="10" s="1"/>
  <c r="AB112" i="10" s="1"/>
  <c r="AA110" i="10" a="1"/>
  <c r="AA110" i="10" s="1"/>
  <c r="Z115" i="10" a="1"/>
  <c r="Z115" i="10" s="1"/>
  <c r="X111" i="10" a="1"/>
  <c r="X111" i="10" s="1"/>
  <c r="Z110" i="10" a="1"/>
  <c r="Z110" i="10" s="1"/>
  <c r="Y115" i="10" a="1"/>
  <c r="Y115" i="10" s="1"/>
  <c r="W111" i="10" a="1"/>
  <c r="W111" i="10" s="1"/>
  <c r="AA114" i="10" a="1"/>
  <c r="AA114" i="10" s="1"/>
  <c r="W114" i="10" a="1"/>
  <c r="W114" i="10" s="1"/>
  <c r="Y110" i="10" a="1"/>
  <c r="Y110" i="10" s="1"/>
  <c r="Y113" i="10" a="1"/>
  <c r="Y113" i="10" s="1"/>
  <c r="X115" i="10" a="1"/>
  <c r="X115" i="10" s="1"/>
  <c r="F110" i="10" a="1"/>
  <c r="F110" i="10" s="1"/>
  <c r="V111" i="10" a="1"/>
  <c r="V111" i="10" s="1"/>
  <c r="AB111" i="10" s="1"/>
  <c r="V114" i="10" a="1"/>
  <c r="V114" i="10" s="1"/>
  <c r="AB114" i="10" s="1"/>
  <c r="J110" i="10" a="1"/>
  <c r="J110" i="10" s="1"/>
  <c r="AA112" i="10" a="1"/>
  <c r="AA112" i="10" s="1"/>
  <c r="Z114" i="10" a="1"/>
  <c r="Z114" i="10" s="1"/>
  <c r="X113" i="10" a="1"/>
  <c r="X113" i="10" s="1"/>
  <c r="X110" i="10" a="1"/>
  <c r="X110" i="10" s="1"/>
  <c r="Z112" i="10" a="1"/>
  <c r="Z112" i="10" s="1"/>
  <c r="W115" i="10" a="1"/>
  <c r="W115" i="10" s="1"/>
  <c r="W113" i="10" a="1"/>
  <c r="W113" i="10" s="1"/>
  <c r="Y114" i="10" a="1"/>
  <c r="Y114" i="10" s="1"/>
  <c r="V93" i="10" a="1"/>
  <c r="V93" i="10" s="1"/>
  <c r="AB93" i="10" s="1"/>
  <c r="J92" i="10" a="1"/>
  <c r="J92" i="10" s="1"/>
  <c r="Z96" i="10" a="1"/>
  <c r="Z96" i="10" s="1"/>
  <c r="X92" i="10" a="1"/>
  <c r="X92" i="10" s="1"/>
  <c r="W97" i="10" a="1"/>
  <c r="W97" i="10" s="1"/>
  <c r="Y96" i="10" a="1"/>
  <c r="Y96" i="10" s="1"/>
  <c r="Y94" i="10" a="1"/>
  <c r="Y94" i="10" s="1"/>
  <c r="W92" i="10" a="1"/>
  <c r="W92" i="10" s="1"/>
  <c r="V95" i="10" a="1"/>
  <c r="V95" i="10" s="1"/>
  <c r="AB95" i="10" s="1"/>
  <c r="V97" i="10" a="1"/>
  <c r="V97" i="10" s="1"/>
  <c r="AB97" i="10" s="1"/>
  <c r="AA93" i="10" a="1"/>
  <c r="AA93" i="10" s="1"/>
  <c r="AA95" i="10" a="1"/>
  <c r="AA95" i="10" s="1"/>
  <c r="X94" i="10" a="1"/>
  <c r="X94" i="10" s="1"/>
  <c r="X96" i="10" a="1"/>
  <c r="X96" i="10" s="1"/>
  <c r="Z93" i="10" a="1"/>
  <c r="Z93" i="10" s="1"/>
  <c r="V92" i="10" a="1"/>
  <c r="V92" i="10" s="1"/>
  <c r="AB92" i="10" s="1"/>
  <c r="W94" i="10" a="1"/>
  <c r="W94" i="10" s="1"/>
  <c r="Z95" i="10" a="1"/>
  <c r="Z95" i="10" s="1"/>
  <c r="AA97" i="10" a="1"/>
  <c r="AA97" i="10" s="1"/>
  <c r="W96" i="10" a="1"/>
  <c r="W96" i="10" s="1"/>
  <c r="Y93" i="10" a="1"/>
  <c r="Y93" i="10" s="1"/>
  <c r="Y95" i="10" a="1"/>
  <c r="Y95" i="10" s="1"/>
  <c r="V94" i="10" a="1"/>
  <c r="V94" i="10" s="1"/>
  <c r="AB94" i="10" s="1"/>
  <c r="F92" i="10" a="1"/>
  <c r="F92" i="10" s="1"/>
  <c r="AA92" i="10" a="1"/>
  <c r="AA92" i="10" s="1"/>
  <c r="V96" i="10" a="1"/>
  <c r="V96" i="10" s="1"/>
  <c r="AB96" i="10" s="1"/>
  <c r="Z97" i="10" a="1"/>
  <c r="Z97" i="10" s="1"/>
  <c r="AA94" i="10" a="1"/>
  <c r="AA94" i="10" s="1"/>
  <c r="X93" i="10" a="1"/>
  <c r="X93" i="10" s="1"/>
  <c r="X95" i="10" a="1"/>
  <c r="X95" i="10" s="1"/>
  <c r="Z92" i="10" a="1"/>
  <c r="Z92" i="10" s="1"/>
  <c r="W95" i="10" a="1"/>
  <c r="W95" i="10" s="1"/>
  <c r="Y97" i="10" a="1"/>
  <c r="Y97" i="10" s="1"/>
  <c r="Z94" i="10" a="1"/>
  <c r="Z94" i="10" s="1"/>
  <c r="W93" i="10" a="1"/>
  <c r="W93" i="10" s="1"/>
  <c r="AA96" i="10" a="1"/>
  <c r="AA96" i="10" s="1"/>
  <c r="Y92" i="10" a="1"/>
  <c r="Y92" i="10" s="1"/>
  <c r="X97" i="10" a="1"/>
  <c r="X97" i="10" s="1"/>
  <c r="O104" i="10"/>
  <c r="N104" i="10"/>
  <c r="Z117" i="10" a="1"/>
  <c r="Z117" i="10" s="1"/>
  <c r="V116" i="10" a="1"/>
  <c r="V116" i="10" s="1"/>
  <c r="AB116" i="10" s="1"/>
  <c r="W118" i="10" a="1"/>
  <c r="W118" i="10" s="1"/>
  <c r="Z119" i="10" a="1"/>
  <c r="Z119" i="10" s="1"/>
  <c r="AA121" i="10" a="1"/>
  <c r="AA121" i="10" s="1"/>
  <c r="W120" i="10" a="1"/>
  <c r="W120" i="10" s="1"/>
  <c r="Y117" i="10" a="1"/>
  <c r="Y117" i="10" s="1"/>
  <c r="Y119" i="10" a="1"/>
  <c r="Y119" i="10" s="1"/>
  <c r="V118" i="10" a="1"/>
  <c r="V118" i="10" s="1"/>
  <c r="AB118" i="10" s="1"/>
  <c r="F116" i="10" a="1"/>
  <c r="F116" i="10" s="1"/>
  <c r="AA116" i="10" a="1"/>
  <c r="AA116" i="10" s="1"/>
  <c r="V120" i="10" a="1"/>
  <c r="V120" i="10" s="1"/>
  <c r="AB120" i="10" s="1"/>
  <c r="Z121" i="10" a="1"/>
  <c r="Z121" i="10" s="1"/>
  <c r="AA118" i="10" a="1"/>
  <c r="AA118" i="10" s="1"/>
  <c r="X117" i="10" a="1"/>
  <c r="X117" i="10" s="1"/>
  <c r="X119" i="10" a="1"/>
  <c r="X119" i="10" s="1"/>
  <c r="Z116" i="10" a="1"/>
  <c r="Z116" i="10" s="1"/>
  <c r="Z118" i="10" a="1"/>
  <c r="Z118" i="10" s="1"/>
  <c r="Y121" i="10" a="1"/>
  <c r="Y121" i="10" s="1"/>
  <c r="W119" i="10" a="1"/>
  <c r="W119" i="10" s="1"/>
  <c r="W117" i="10" a="1"/>
  <c r="W117" i="10" s="1"/>
  <c r="AA120" i="10" a="1"/>
  <c r="AA120" i="10" s="1"/>
  <c r="Y116" i="10" a="1"/>
  <c r="Y116" i="10" s="1"/>
  <c r="X121" i="10" a="1"/>
  <c r="X121" i="10" s="1"/>
  <c r="V117" i="10" a="1"/>
  <c r="V117" i="10" s="1"/>
  <c r="AB117" i="10" s="1"/>
  <c r="J116" i="10" a="1"/>
  <c r="J116" i="10" s="1"/>
  <c r="Z120" i="10" a="1"/>
  <c r="Z120" i="10" s="1"/>
  <c r="X116" i="10" a="1"/>
  <c r="X116" i="10" s="1"/>
  <c r="W121" i="10" a="1"/>
  <c r="W121" i="10" s="1"/>
  <c r="Y120" i="10" a="1"/>
  <c r="Y120" i="10" s="1"/>
  <c r="Y118" i="10" a="1"/>
  <c r="Y118" i="10" s="1"/>
  <c r="W116" i="10" a="1"/>
  <c r="W116" i="10" s="1"/>
  <c r="V119" i="10" a="1"/>
  <c r="V119" i="10" s="1"/>
  <c r="AB119" i="10" s="1"/>
  <c r="V121" i="10" a="1"/>
  <c r="V121" i="10" s="1"/>
  <c r="AB121" i="10" s="1"/>
  <c r="AA117" i="10" a="1"/>
  <c r="AA117" i="10" s="1"/>
  <c r="AA119" i="10" a="1"/>
  <c r="AA119" i="10" s="1"/>
  <c r="X118" i="10" a="1"/>
  <c r="X118" i="10" s="1"/>
  <c r="X120" i="10" a="1"/>
  <c r="X120" i="10" s="1"/>
  <c r="Q6" i="10" a="1"/>
  <c r="Q6" i="10" s="1"/>
  <c r="P5" i="10" a="1"/>
  <c r="P5" i="10" s="1"/>
  <c r="S7" i="10" a="1"/>
  <c r="S7" i="10" s="1"/>
  <c r="Q7" i="10" a="1"/>
  <c r="Q7" i="10" s="1"/>
  <c r="M2" i="10"/>
  <c r="P4" i="10" a="1"/>
  <c r="P4" i="10" s="1"/>
  <c r="L2" i="10"/>
  <c r="P3" i="10" a="1"/>
  <c r="P3" i="10" s="1"/>
  <c r="S3" i="10" a="1"/>
  <c r="S3" i="10" s="1"/>
  <c r="K2" i="10"/>
  <c r="Q5" i="10" a="1"/>
  <c r="Q5" i="10" s="1"/>
  <c r="S2" i="10" a="1"/>
  <c r="S2" i="10" s="1"/>
  <c r="S4" i="10" a="1"/>
  <c r="S4" i="10" s="1"/>
  <c r="R2" i="10" a="1"/>
  <c r="R2" i="10" s="1"/>
  <c r="R4" i="10" a="1"/>
  <c r="R4" i="10" s="1"/>
  <c r="P2" i="10" a="1"/>
  <c r="P2" i="10" s="1"/>
  <c r="Q4" i="10" a="1"/>
  <c r="Q4" i="10" s="1"/>
  <c r="R7" i="10" a="1"/>
  <c r="R7" i="10" s="1"/>
  <c r="S6" i="10" a="1"/>
  <c r="S6" i="10" s="1"/>
  <c r="Q2" i="10" a="1"/>
  <c r="Q2" i="10" s="1"/>
  <c r="P7" i="10" a="1"/>
  <c r="P7" i="10" s="1"/>
  <c r="P6" i="10" a="1"/>
  <c r="P6" i="10" s="1"/>
  <c r="Q3" i="10" a="1"/>
  <c r="Q3" i="10" s="1"/>
  <c r="S5" i="10" a="1"/>
  <c r="S5" i="10" s="1"/>
  <c r="R5" i="10" a="1"/>
  <c r="R5" i="10" s="1"/>
  <c r="R3" i="10" a="1"/>
  <c r="R3" i="10" s="1"/>
  <c r="R6" i="10" a="1"/>
  <c r="R6" i="10" s="1"/>
  <c r="I188" i="3"/>
  <c r="I180" i="3"/>
  <c r="I172" i="3"/>
  <c r="I164" i="3"/>
  <c r="I156" i="3"/>
  <c r="I186" i="3"/>
  <c r="I177" i="3"/>
  <c r="I176" i="3"/>
  <c r="I184" i="3"/>
  <c r="I167" i="3"/>
  <c r="I183" i="3"/>
  <c r="I166" i="3"/>
  <c r="I165" i="3"/>
  <c r="I181" i="3"/>
  <c r="I163" i="3"/>
  <c r="I171" i="3"/>
  <c r="I179" i="3"/>
  <c r="I154" i="3"/>
  <c r="I146" i="3"/>
  <c r="I138" i="3"/>
  <c r="I130" i="3"/>
  <c r="I122" i="3"/>
  <c r="I114" i="3"/>
  <c r="I106" i="3"/>
  <c r="I98" i="3"/>
  <c r="I90" i="3"/>
  <c r="I82" i="3"/>
  <c r="I74" i="3"/>
  <c r="I66" i="3"/>
  <c r="I58" i="3"/>
  <c r="I50" i="3"/>
  <c r="I42" i="3"/>
  <c r="I162" i="3"/>
  <c r="I170" i="3"/>
  <c r="I187" i="3"/>
  <c r="I174" i="3"/>
  <c r="I161" i="3"/>
  <c r="I32" i="3"/>
  <c r="I150" i="3"/>
  <c r="I141" i="3"/>
  <c r="I132" i="3"/>
  <c r="I123" i="3"/>
  <c r="I113" i="3"/>
  <c r="I104" i="3"/>
  <c r="I95" i="3"/>
  <c r="I86" i="3"/>
  <c r="I68" i="3"/>
  <c r="I59" i="3"/>
  <c r="I49" i="3"/>
  <c r="I40" i="3"/>
  <c r="I14" i="3"/>
  <c r="I173" i="3"/>
  <c r="I160" i="3"/>
  <c r="I31" i="3"/>
  <c r="I185" i="3"/>
  <c r="I149" i="3"/>
  <c r="I140" i="3"/>
  <c r="I131" i="3"/>
  <c r="I121" i="3"/>
  <c r="I103" i="3"/>
  <c r="I85" i="3"/>
  <c r="I76" i="3"/>
  <c r="I67" i="3"/>
  <c r="I48" i="3"/>
  <c r="I39" i="3"/>
  <c r="I13" i="3"/>
  <c r="I159" i="3"/>
  <c r="I30" i="3"/>
  <c r="I182" i="3"/>
  <c r="I158" i="3"/>
  <c r="I148" i="3"/>
  <c r="I139" i="3"/>
  <c r="I129" i="3"/>
  <c r="I111" i="3"/>
  <c r="I102" i="3"/>
  <c r="I93" i="3"/>
  <c r="I84" i="3"/>
  <c r="I75" i="3"/>
  <c r="I65" i="3"/>
  <c r="I56" i="3"/>
  <c r="I47" i="3"/>
  <c r="I38" i="3"/>
  <c r="I12" i="3"/>
  <c r="I169" i="3"/>
  <c r="I157" i="3"/>
  <c r="I147" i="3"/>
  <c r="I137" i="3"/>
  <c r="I128" i="3"/>
  <c r="I119" i="3"/>
  <c r="I110" i="3"/>
  <c r="I101" i="3"/>
  <c r="I92" i="3"/>
  <c r="I83" i="3"/>
  <c r="I73" i="3"/>
  <c r="I64" i="3"/>
  <c r="I55" i="3"/>
  <c r="I37" i="3"/>
  <c r="I11" i="3"/>
  <c r="I168" i="3"/>
  <c r="I178" i="3"/>
  <c r="I155" i="3"/>
  <c r="I145" i="3"/>
  <c r="I136" i="3"/>
  <c r="I127" i="3"/>
  <c r="I118" i="3"/>
  <c r="I109" i="3"/>
  <c r="I100" i="3"/>
  <c r="I91" i="3"/>
  <c r="I81" i="3"/>
  <c r="I72" i="3"/>
  <c r="I63" i="3"/>
  <c r="I54" i="3"/>
  <c r="I18" i="3"/>
  <c r="I9" i="3"/>
  <c r="I153" i="3"/>
  <c r="I144" i="3"/>
  <c r="I135" i="3"/>
  <c r="I126" i="3"/>
  <c r="I117" i="3"/>
  <c r="I108" i="3"/>
  <c r="I99" i="3"/>
  <c r="I89" i="3"/>
  <c r="I80" i="3"/>
  <c r="I71" i="3"/>
  <c r="I53" i="3"/>
  <c r="I44" i="3"/>
  <c r="I35" i="3"/>
  <c r="I26" i="3"/>
  <c r="I17" i="3"/>
  <c r="I8" i="3"/>
  <c r="I34" i="3"/>
  <c r="I25" i="3"/>
  <c r="I24" i="3"/>
  <c r="I19" i="3"/>
  <c r="I10" i="3"/>
  <c r="I152" i="3"/>
  <c r="I143" i="3"/>
  <c r="I134" i="3"/>
  <c r="I125" i="3"/>
  <c r="I116" i="3"/>
  <c r="I107" i="3"/>
  <c r="I97" i="3"/>
  <c r="I88" i="3"/>
  <c r="I70" i="3"/>
  <c r="I61" i="3"/>
  <c r="I52" i="3"/>
  <c r="I43" i="3"/>
  <c r="I16" i="3"/>
  <c r="I33" i="3"/>
  <c r="I175" i="3"/>
  <c r="I7" i="3"/>
  <c r="I22" i="3"/>
  <c r="I189" i="3"/>
  <c r="I151" i="3"/>
  <c r="I142" i="3"/>
  <c r="I133" i="3"/>
  <c r="I124" i="3"/>
  <c r="I115" i="3"/>
  <c r="I105" i="3"/>
  <c r="I96" i="3"/>
  <c r="I87" i="3"/>
  <c r="I78" i="3"/>
  <c r="I69" i="3"/>
  <c r="I60" i="3"/>
  <c r="I51" i="3"/>
  <c r="I41" i="3"/>
  <c r="I15" i="3"/>
  <c r="I23" i="3"/>
  <c r="F63" i="10" a="1"/>
  <c r="F63" i="10" s="1"/>
  <c r="J106" i="10" a="1"/>
  <c r="J106" i="10" s="1"/>
  <c r="M106" i="10" s="1"/>
  <c r="J33" i="10" a="1"/>
  <c r="J33" i="10" s="1"/>
  <c r="O33" i="10" s="1"/>
  <c r="F85" i="10" a="1"/>
  <c r="F85" i="10" s="1"/>
  <c r="F81" i="10" a="1"/>
  <c r="F81" i="10" s="1"/>
  <c r="I191" i="3"/>
  <c r="J67" i="10" a="1"/>
  <c r="J67" i="10" s="1"/>
  <c r="O67" i="10" s="1"/>
  <c r="F95" i="10" a="1"/>
  <c r="F95" i="10" s="1"/>
  <c r="J88" i="10" a="1"/>
  <c r="J88" i="10" s="1"/>
  <c r="O88" i="10" s="1"/>
  <c r="I190" i="3"/>
  <c r="F37" i="10" a="1"/>
  <c r="F37" i="10" s="1"/>
  <c r="J76" i="10" a="1"/>
  <c r="J76" i="10" s="1"/>
  <c r="J95" i="10" a="1"/>
  <c r="J95" i="10" s="1"/>
  <c r="F88" i="10" a="1"/>
  <c r="F88" i="10" s="1"/>
  <c r="J5" i="10" a="1"/>
  <c r="J5" i="10" s="1"/>
  <c r="J37" i="10" a="1"/>
  <c r="J37" i="10" s="1"/>
  <c r="O37" i="10" s="1"/>
  <c r="F27" i="10" a="1"/>
  <c r="F27" i="10" s="1"/>
  <c r="F76" i="10" a="1"/>
  <c r="F76" i="10" s="1"/>
  <c r="F22" i="10" a="1"/>
  <c r="F22" i="10" s="1"/>
  <c r="J113" i="10" a="1"/>
  <c r="J113" i="10" s="1"/>
  <c r="F103" i="10" a="1"/>
  <c r="F103" i="10" s="1"/>
  <c r="J81" i="10" a="1"/>
  <c r="J81" i="10" s="1"/>
  <c r="O81" i="10" s="1"/>
  <c r="J90" i="10" a="1"/>
  <c r="J90" i="10" s="1"/>
  <c r="O90" i="10" s="1"/>
  <c r="J119" i="10" a="1"/>
  <c r="J119" i="10" s="1"/>
  <c r="F5" i="10" a="1"/>
  <c r="F5" i="10" s="1"/>
  <c r="J22" i="10" a="1"/>
  <c r="J22" i="10" s="1"/>
  <c r="M22" i="10" s="1"/>
  <c r="F113" i="10" a="1"/>
  <c r="F113" i="10" s="1"/>
  <c r="J27" i="10" a="1"/>
  <c r="J27" i="10" s="1"/>
  <c r="F106" i="10" a="1"/>
  <c r="F106" i="10" s="1"/>
  <c r="J11" i="10" a="1"/>
  <c r="J11" i="10" s="1"/>
  <c r="J107" i="10" a="1"/>
  <c r="J107" i="10" s="1"/>
  <c r="J25" i="10" a="1"/>
  <c r="J25" i="10" s="1"/>
  <c r="F119" i="10" a="1"/>
  <c r="F119" i="10" s="1"/>
  <c r="F107" i="10" a="1"/>
  <c r="F107" i="10" s="1"/>
  <c r="F25" i="10" a="1"/>
  <c r="F25" i="10" s="1"/>
  <c r="J16" i="10" a="1"/>
  <c r="J16" i="10" s="1"/>
  <c r="M16" i="10" s="1"/>
  <c r="J78" i="10" a="1"/>
  <c r="J78" i="10" s="1"/>
  <c r="F78" i="10" a="1"/>
  <c r="F78" i="10" s="1"/>
  <c r="J41" i="10" a="1"/>
  <c r="J41" i="10" s="1"/>
  <c r="O41" i="10" s="1"/>
  <c r="F90" i="10" a="1"/>
  <c r="F90" i="10" s="1"/>
  <c r="F100" i="10" a="1"/>
  <c r="F100" i="10" s="1"/>
  <c r="F69" i="10" a="1"/>
  <c r="F69" i="10" s="1"/>
  <c r="J19" i="10" a="1"/>
  <c r="J19" i="10" s="1"/>
  <c r="J69" i="10" a="1"/>
  <c r="J69" i="10" s="1"/>
  <c r="J103" i="10" a="1"/>
  <c r="J103" i="10" s="1"/>
  <c r="F19" i="10" a="1"/>
  <c r="F19" i="10" s="1"/>
  <c r="J63" i="10" a="1"/>
  <c r="J63" i="10" s="1"/>
  <c r="J85" i="10" a="1"/>
  <c r="J85" i="10" s="1"/>
  <c r="O85" i="10" s="1"/>
  <c r="X7" i="10" a="1"/>
  <c r="X7" i="10" s="1"/>
  <c r="F11" i="10" a="1"/>
  <c r="F11" i="10" s="1"/>
  <c r="AA2" i="10" a="1"/>
  <c r="AA2" i="10" s="1"/>
  <c r="J20" i="10" a="1"/>
  <c r="J20" i="10" s="1"/>
  <c r="V3" i="10" a="1"/>
  <c r="V3" i="10" s="1"/>
  <c r="AB3" i="10" s="1"/>
  <c r="AA6" i="10" a="1"/>
  <c r="AA6" i="10" s="1"/>
  <c r="W3" i="10" a="1"/>
  <c r="W3" i="10" s="1"/>
  <c r="J2" i="10" a="1"/>
  <c r="J2" i="10" s="1"/>
  <c r="Y2" i="10" a="1"/>
  <c r="Y2" i="10" s="1"/>
  <c r="Z6" i="10" a="1"/>
  <c r="Z6" i="10" s="1"/>
  <c r="F16" i="10" a="1"/>
  <c r="F16" i="10" s="1"/>
  <c r="Y6" i="10" a="1"/>
  <c r="Y6" i="10" s="1"/>
  <c r="Z4" i="10" a="1"/>
  <c r="Z4" i="10" s="1"/>
  <c r="J98" i="10" a="1"/>
  <c r="J98" i="10" s="1"/>
  <c r="V7" i="10" a="1"/>
  <c r="V7" i="10" s="1"/>
  <c r="AB7" i="10" s="1"/>
  <c r="Z7" i="10" a="1"/>
  <c r="Z7" i="10" s="1"/>
  <c r="AA5" i="10" a="1"/>
  <c r="AA5" i="10" s="1"/>
  <c r="W6" i="10" a="1"/>
  <c r="W6" i="10" s="1"/>
  <c r="I192" i="3"/>
  <c r="X6" i="10" a="1"/>
  <c r="X6" i="10" s="1"/>
  <c r="W4" i="10" a="1"/>
  <c r="W4" i="10" s="1"/>
  <c r="W5" i="10" a="1"/>
  <c r="W5" i="10" s="1"/>
  <c r="AA3" i="10" a="1"/>
  <c r="AA3" i="10" s="1"/>
  <c r="F14" i="10" a="1"/>
  <c r="F14" i="10" s="1"/>
  <c r="F41" i="10" a="1"/>
  <c r="F41" i="10" s="1"/>
  <c r="Y3" i="10" a="1"/>
  <c r="Y3" i="10" s="1"/>
  <c r="Y5" i="10" a="1"/>
  <c r="Y5" i="10" s="1"/>
  <c r="J100" i="10" a="1"/>
  <c r="J100" i="10" s="1"/>
  <c r="M100" i="10" s="1"/>
  <c r="X4" i="10" a="1"/>
  <c r="X4" i="10" s="1"/>
  <c r="X2" i="10" a="1"/>
  <c r="X2" i="10" s="1"/>
  <c r="F20" i="10" a="1"/>
  <c r="F20" i="10" s="1"/>
  <c r="W2" i="10" a="1"/>
  <c r="W2" i="10" s="1"/>
  <c r="X5" i="10" a="1"/>
  <c r="X5" i="10" s="1"/>
  <c r="AA7" i="10" a="1"/>
  <c r="AA7" i="10" s="1"/>
  <c r="V2" i="10" a="1"/>
  <c r="V2" i="10" s="1"/>
  <c r="AB2" i="10" s="1"/>
  <c r="Y4" i="10" a="1"/>
  <c r="Y4" i="10" s="1"/>
  <c r="F67" i="10" a="1"/>
  <c r="F67" i="10" s="1"/>
  <c r="F33" i="10" a="1"/>
  <c r="F33" i="10" s="1"/>
  <c r="V4" i="10" a="1"/>
  <c r="V4" i="10" s="1"/>
  <c r="AB4" i="10" s="1"/>
  <c r="F98" i="10" a="1"/>
  <c r="F98" i="10" s="1"/>
  <c r="Y7" i="10" a="1"/>
  <c r="Y7" i="10" s="1"/>
  <c r="X3" i="10" a="1"/>
  <c r="X3" i="10" s="1"/>
  <c r="W7" i="10" a="1"/>
  <c r="W7" i="10" s="1"/>
  <c r="Z2" i="10" a="1"/>
  <c r="Z2" i="10" s="1"/>
  <c r="V6" i="10" a="1"/>
  <c r="V6" i="10" s="1"/>
  <c r="AB6" i="10" s="1"/>
  <c r="F2" i="10" a="1"/>
  <c r="F2" i="10" s="1"/>
  <c r="J14" i="10" a="1"/>
  <c r="J14" i="10" s="1"/>
  <c r="Z3" i="10" a="1"/>
  <c r="Z3" i="10" s="1"/>
  <c r="AA4" i="10" a="1"/>
  <c r="AA4" i="10" s="1"/>
  <c r="Z5" i="10" a="1"/>
  <c r="Z5" i="10" s="1"/>
  <c r="V5" i="10" a="1"/>
  <c r="V5" i="10" s="1"/>
  <c r="AB5" i="10" s="1"/>
  <c r="I193" i="3"/>
  <c r="Z12" i="10" a="1"/>
  <c r="Z12" i="10" s="1"/>
  <c r="W13" i="10" a="1"/>
  <c r="W13" i="10" s="1"/>
  <c r="X12" i="10" a="1"/>
  <c r="X12" i="10" s="1"/>
  <c r="Y12" i="10" a="1"/>
  <c r="Y12" i="10" s="1"/>
  <c r="Z11" i="10" a="1"/>
  <c r="Z11" i="10" s="1"/>
  <c r="V11" i="10" a="1"/>
  <c r="V11" i="10" s="1"/>
  <c r="AB11" i="10" s="1"/>
  <c r="W12" i="10" a="1"/>
  <c r="W12" i="10" s="1"/>
  <c r="AA11" i="10" a="1"/>
  <c r="AA11" i="10" s="1"/>
  <c r="Y11" i="10" a="1"/>
  <c r="Y11" i="10" s="1"/>
  <c r="W10" i="10" a="1"/>
  <c r="W10" i="10" s="1"/>
  <c r="V12" i="10" a="1"/>
  <c r="V12" i="10" s="1"/>
  <c r="AB12" i="10" s="1"/>
  <c r="X8" i="10" a="1"/>
  <c r="X8" i="10" s="1"/>
  <c r="AA10" i="10" a="1"/>
  <c r="AA10" i="10" s="1"/>
  <c r="W8" i="10" a="1"/>
  <c r="W8" i="10" s="1"/>
  <c r="X11" i="10" a="1"/>
  <c r="X11" i="10" s="1"/>
  <c r="V13" i="10" a="1"/>
  <c r="V13" i="10" s="1"/>
  <c r="AB13" i="10" s="1"/>
  <c r="Z10" i="10" a="1"/>
  <c r="Z10" i="10" s="1"/>
  <c r="F8" i="10" a="1"/>
  <c r="F8" i="10" s="1"/>
  <c r="W11" i="10" a="1"/>
  <c r="W11" i="10" s="1"/>
  <c r="Y10" i="10" a="1"/>
  <c r="Y10" i="10" s="1"/>
  <c r="X10" i="10" a="1"/>
  <c r="X10" i="10" s="1"/>
  <c r="Y8" i="10" a="1"/>
  <c r="Y8" i="10" s="1"/>
  <c r="AA13" i="10" a="1"/>
  <c r="AA13" i="10" s="1"/>
  <c r="Z9" i="10" a="1"/>
  <c r="Z9" i="10" s="1"/>
  <c r="Y9" i="10" a="1"/>
  <c r="Y9" i="10" s="1"/>
  <c r="X9" i="10" a="1"/>
  <c r="X9" i="10" s="1"/>
  <c r="V10" i="10" a="1"/>
  <c r="V10" i="10" s="1"/>
  <c r="AB10" i="10" s="1"/>
  <c r="AA9" i="10" a="1"/>
  <c r="AA9" i="10" s="1"/>
  <c r="AA8" i="10" a="1"/>
  <c r="AA8" i="10" s="1"/>
  <c r="V8" i="10" a="1"/>
  <c r="V8" i="10" s="1"/>
  <c r="AB8" i="10" s="1"/>
  <c r="Z13" i="10" a="1"/>
  <c r="Z13" i="10" s="1"/>
  <c r="Z8" i="10" a="1"/>
  <c r="Z8" i="10" s="1"/>
  <c r="Y13" i="10" a="1"/>
  <c r="Y13" i="10" s="1"/>
  <c r="W9" i="10" a="1"/>
  <c r="W9" i="10" s="1"/>
  <c r="AA12" i="10" a="1"/>
  <c r="AA12" i="10" s="1"/>
  <c r="X13" i="10" a="1"/>
  <c r="X13" i="10" s="1"/>
  <c r="V9" i="10" a="1"/>
  <c r="V9" i="10" s="1"/>
  <c r="AB9" i="10" s="1"/>
  <c r="J8" i="10" a="1"/>
  <c r="J8" i="10" s="1"/>
  <c r="J196" i="3" a="1"/>
  <c r="J196" i="3" s="1"/>
  <c r="I196" i="3"/>
  <c r="A197" i="3"/>
  <c r="N109" i="10"/>
  <c r="M109" i="10"/>
  <c r="L7" i="10"/>
  <c r="K7" i="10"/>
  <c r="L13" i="10"/>
  <c r="K13" i="10"/>
  <c r="I132" i="9"/>
  <c r="I11" i="9"/>
  <c r="I98" i="9"/>
  <c r="I81" i="9"/>
  <c r="I79" i="9"/>
  <c r="I94" i="9"/>
  <c r="I123" i="9"/>
  <c r="I186" i="9"/>
  <c r="I110" i="9"/>
  <c r="J7" i="10" a="1"/>
  <c r="J7" i="10" s="1"/>
  <c r="I53" i="9"/>
  <c r="I154" i="9"/>
  <c r="I141" i="9"/>
  <c r="I171" i="9"/>
  <c r="I122" i="9"/>
  <c r="I146" i="9"/>
  <c r="I121" i="9"/>
  <c r="I173" i="9"/>
  <c r="I71" i="9"/>
  <c r="I160" i="9"/>
  <c r="I46" i="9"/>
  <c r="I155" i="9"/>
  <c r="I128" i="9"/>
  <c r="I27" i="9"/>
  <c r="I180" i="9"/>
  <c r="F7" i="10" a="1"/>
  <c r="F7" i="10" s="1"/>
  <c r="I51" i="9"/>
  <c r="I83" i="9"/>
  <c r="I117" i="9"/>
  <c r="I102" i="9"/>
  <c r="I130" i="9"/>
  <c r="I153" i="9"/>
  <c r="I166" i="9"/>
  <c r="I156" i="9"/>
  <c r="I140" i="9"/>
  <c r="I159" i="9"/>
  <c r="I129" i="9"/>
  <c r="I12" i="9"/>
  <c r="I35" i="9"/>
  <c r="I149" i="9"/>
  <c r="I119" i="9"/>
  <c r="I152" i="9"/>
  <c r="I115" i="9"/>
  <c r="I142" i="9"/>
  <c r="I109" i="9"/>
  <c r="I127" i="9"/>
  <c r="I112" i="9"/>
  <c r="I145" i="9"/>
  <c r="I108" i="9"/>
  <c r="I100" i="9"/>
  <c r="I90" i="9"/>
  <c r="I113" i="9"/>
  <c r="I133" i="9"/>
  <c r="I28" i="9"/>
  <c r="I39" i="9"/>
  <c r="I77" i="9"/>
  <c r="I62" i="9"/>
  <c r="I44" i="9"/>
  <c r="I126" i="9"/>
  <c r="I21" i="9"/>
  <c r="I136" i="9"/>
  <c r="I68" i="9"/>
  <c r="I34" i="9"/>
  <c r="I31" i="9"/>
  <c r="I105" i="9"/>
  <c r="I101" i="9"/>
  <c r="I86" i="9"/>
  <c r="I9" i="9"/>
  <c r="I91" i="9"/>
  <c r="I181" i="9"/>
  <c r="I87" i="9"/>
  <c r="I58" i="9"/>
  <c r="I52" i="9"/>
  <c r="I170" i="9"/>
  <c r="I70" i="9"/>
  <c r="I137" i="9"/>
  <c r="I80" i="9"/>
  <c r="I176" i="9"/>
  <c r="I42" i="9"/>
  <c r="I134" i="9"/>
  <c r="I63" i="9"/>
  <c r="I74" i="9"/>
  <c r="I73" i="9"/>
  <c r="I25" i="9"/>
  <c r="I106" i="9"/>
  <c r="I43" i="9"/>
  <c r="I47" i="9"/>
  <c r="I59" i="9"/>
  <c r="I124" i="9"/>
  <c r="I118" i="9"/>
  <c r="I99" i="9"/>
  <c r="I30" i="9"/>
  <c r="I14" i="9"/>
  <c r="I13" i="9"/>
  <c r="I104" i="9"/>
  <c r="I89" i="9"/>
  <c r="I92" i="9"/>
  <c r="I183" i="9"/>
  <c r="I7" i="9"/>
  <c r="I172" i="9"/>
  <c r="I76" i="9"/>
  <c r="I61" i="9"/>
  <c r="I78" i="9"/>
  <c r="I161" i="9"/>
  <c r="I187" i="9"/>
  <c r="I143" i="9"/>
  <c r="I175" i="9"/>
  <c r="I169" i="9"/>
  <c r="I64" i="9"/>
  <c r="I147" i="9"/>
  <c r="I144" i="9"/>
  <c r="I66" i="9"/>
  <c r="I103" i="9"/>
  <c r="I69" i="9"/>
  <c r="I57" i="9"/>
  <c r="I139" i="9"/>
  <c r="I95" i="9"/>
  <c r="I179" i="9"/>
  <c r="I84" i="9"/>
  <c r="I16" i="9"/>
  <c r="I37" i="9"/>
  <c r="I111" i="9"/>
  <c r="I88" i="9"/>
  <c r="I164" i="9"/>
  <c r="I75" i="9"/>
  <c r="I41" i="9"/>
  <c r="I49" i="9"/>
  <c r="I67" i="9"/>
  <c r="I157" i="9"/>
  <c r="I56" i="9"/>
  <c r="I168" i="9"/>
  <c r="I177" i="9"/>
  <c r="I188" i="9"/>
  <c r="I60" i="9"/>
  <c r="I150" i="9"/>
  <c r="I29" i="9"/>
  <c r="I23" i="9"/>
  <c r="I85" i="9"/>
  <c r="I182" i="9"/>
  <c r="I20" i="9"/>
  <c r="I114" i="9"/>
  <c r="I65" i="9"/>
  <c r="I125" i="9"/>
  <c r="I50" i="9"/>
  <c r="I138" i="9"/>
  <c r="I135" i="9"/>
  <c r="I55" i="9"/>
  <c r="I116" i="9"/>
  <c r="I24" i="9"/>
  <c r="I48" i="9"/>
  <c r="I158" i="9"/>
  <c r="I107" i="9"/>
  <c r="I131" i="9"/>
  <c r="I185" i="9"/>
  <c r="I184" i="9"/>
  <c r="I8" i="9"/>
  <c r="I151" i="9"/>
  <c r="I93" i="9"/>
  <c r="I45" i="9"/>
  <c r="I178" i="9"/>
  <c r="I162" i="9"/>
  <c r="I174" i="9"/>
  <c r="I33" i="9"/>
  <c r="I72" i="9"/>
  <c r="I36" i="9"/>
  <c r="I163" i="9"/>
  <c r="I148" i="9"/>
  <c r="I167" i="9"/>
  <c r="I165" i="9"/>
  <c r="I38" i="9"/>
  <c r="I54" i="9"/>
  <c r="F13" i="10" a="1"/>
  <c r="F13" i="10" s="1"/>
  <c r="J13" i="10" a="1"/>
  <c r="J13" i="10" s="1"/>
  <c r="K43" i="10"/>
  <c r="L43" i="10"/>
  <c r="F115" i="10" a="1"/>
  <c r="F115" i="10" s="1"/>
  <c r="J115" i="10" a="1"/>
  <c r="J115" i="10" s="1"/>
  <c r="J97" i="10" a="1"/>
  <c r="J97" i="10" s="1"/>
  <c r="F97" i="10" a="1"/>
  <c r="F97" i="10" s="1"/>
  <c r="L115" i="10"/>
  <c r="K115" i="10"/>
  <c r="J121" i="10" a="1"/>
  <c r="J121" i="10" s="1"/>
  <c r="F121" i="10" a="1"/>
  <c r="F121" i="10" s="1"/>
  <c r="K97" i="10"/>
  <c r="L97" i="10"/>
  <c r="K121" i="10"/>
  <c r="L121" i="10"/>
  <c r="J43" i="10" a="1"/>
  <c r="J43" i="10" s="1"/>
  <c r="O43" i="10" s="1"/>
  <c r="F43" i="10" a="1"/>
  <c r="F43" i="10" s="1"/>
  <c r="F91" i="10" a="1"/>
  <c r="F91" i="10" s="1"/>
  <c r="J91" i="10" a="1"/>
  <c r="J91" i="10" s="1"/>
  <c r="F109" i="10" a="1"/>
  <c r="F109" i="10" s="1"/>
  <c r="J109" i="10" a="1"/>
  <c r="J109" i="10" s="1"/>
  <c r="L91" i="10"/>
  <c r="K91" i="10"/>
  <c r="N91" i="10"/>
  <c r="M91" i="10"/>
  <c r="A192" i="9"/>
  <c r="J191" i="9" a="1"/>
  <c r="J191" i="9" s="1"/>
  <c r="I191" i="9"/>
  <c r="A221" i="6"/>
  <c r="I220" i="6"/>
  <c r="J220" i="6" a="1"/>
  <c r="J220" i="6" s="1"/>
  <c r="J70" i="10" a="1"/>
  <c r="J70" i="10" s="1"/>
  <c r="F70" i="10" a="1"/>
  <c r="F70" i="10" s="1"/>
  <c r="K88" i="10"/>
  <c r="N88" i="10"/>
  <c r="M88" i="10"/>
  <c r="J28" i="10" a="1"/>
  <c r="J28" i="10" s="1"/>
  <c r="F28" i="10" a="1"/>
  <c r="F28" i="10" s="1"/>
  <c r="L70" i="10"/>
  <c r="K70" i="10"/>
  <c r="L28" i="10"/>
  <c r="K28" i="10"/>
  <c r="M118" i="10"/>
  <c r="O118" i="10"/>
  <c r="O112" i="10"/>
  <c r="M112" i="10"/>
  <c r="O4" i="10"/>
  <c r="M4" i="10"/>
  <c r="O21" i="10"/>
  <c r="M21" i="10"/>
  <c r="J57" i="10" a="1"/>
  <c r="J57" i="10" s="1"/>
  <c r="F57" i="10" a="1"/>
  <c r="F57" i="10" s="1"/>
  <c r="K57" i="10"/>
  <c r="L57" i="10"/>
  <c r="T56" i="10" a="1"/>
  <c r="T56" i="10" s="1"/>
  <c r="U60" i="10" a="1"/>
  <c r="U60" i="10" s="1"/>
  <c r="N57" i="10"/>
  <c r="M57" i="10"/>
  <c r="T60" i="10" a="1"/>
  <c r="T60" i="10" s="1"/>
  <c r="U59" i="10" a="1"/>
  <c r="U59" i="10" s="1"/>
  <c r="T59" i="10" a="1"/>
  <c r="T59" i="10" s="1"/>
  <c r="U58" i="10" a="1"/>
  <c r="U58" i="10" s="1"/>
  <c r="T58" i="10" a="1"/>
  <c r="T58" i="10" s="1"/>
  <c r="U57" i="10" a="1"/>
  <c r="U57" i="10" s="1"/>
  <c r="T57" i="10" a="1"/>
  <c r="T57" i="10" s="1"/>
  <c r="U61" i="10" a="1"/>
  <c r="U61" i="10" s="1"/>
  <c r="U56" i="10" a="1"/>
  <c r="U56" i="10" s="1"/>
  <c r="T61" i="10" a="1"/>
  <c r="T61" i="10" s="1"/>
  <c r="J51" i="10" a="1"/>
  <c r="J51" i="10" s="1"/>
  <c r="F51" i="10" a="1"/>
  <c r="F51" i="10" s="1"/>
  <c r="K51" i="10"/>
  <c r="L51" i="10"/>
  <c r="U50" i="10" a="1"/>
  <c r="U50" i="10" s="1"/>
  <c r="T55" i="10" a="1"/>
  <c r="T55" i="10" s="1"/>
  <c r="T50" i="10" a="1"/>
  <c r="T50" i="10" s="1"/>
  <c r="U54" i="10" a="1"/>
  <c r="U54" i="10" s="1"/>
  <c r="U53" i="10" a="1"/>
  <c r="U53" i="10" s="1"/>
  <c r="T54" i="10" a="1"/>
  <c r="T54" i="10" s="1"/>
  <c r="T53" i="10" a="1"/>
  <c r="T53" i="10" s="1"/>
  <c r="T51" i="10" a="1"/>
  <c r="T51" i="10" s="1"/>
  <c r="U52" i="10" a="1"/>
  <c r="U52" i="10" s="1"/>
  <c r="T52" i="10" a="1"/>
  <c r="T52" i="10" s="1"/>
  <c r="U51" i="10" a="1"/>
  <c r="U51" i="10" s="1"/>
  <c r="U55" i="10" a="1"/>
  <c r="U55" i="10" s="1"/>
  <c r="N51" i="10"/>
  <c r="M51" i="10"/>
  <c r="J180" i="5" a="1"/>
  <c r="J180" i="5" s="1"/>
  <c r="I180" i="5"/>
  <c r="A181" i="5"/>
  <c r="G93" i="10" a="1"/>
  <c r="G93" i="10" s="1"/>
  <c r="G111" i="10" a="1"/>
  <c r="G111" i="10" s="1"/>
  <c r="C9" i="10" a="1"/>
  <c r="C9" i="10" s="1"/>
  <c r="G9" i="10" a="1"/>
  <c r="G9" i="10" s="1"/>
  <c r="C111" i="10" a="1"/>
  <c r="C111" i="10" s="1"/>
  <c r="C93" i="10" a="1"/>
  <c r="C93" i="10" s="1"/>
  <c r="G3" i="10" a="1"/>
  <c r="G3" i="10" s="1"/>
  <c r="I105" i="10" a="1"/>
  <c r="I105" i="10" s="1"/>
  <c r="C3" i="10" a="1"/>
  <c r="C3" i="10" s="1"/>
  <c r="E105" i="10" a="1"/>
  <c r="E105" i="10" s="1"/>
  <c r="G39" i="10" a="1"/>
  <c r="G39" i="10" s="1"/>
  <c r="G117" i="10" a="1"/>
  <c r="G117" i="10" s="1"/>
  <c r="C39" i="10" a="1"/>
  <c r="C39" i="10" s="1"/>
  <c r="C117" i="10" a="1"/>
  <c r="C117" i="10" s="1"/>
  <c r="J183" i="7" a="1"/>
  <c r="J183" i="7" s="1"/>
  <c r="A184" i="7"/>
  <c r="I183" i="7"/>
  <c r="J29" i="10" a="1"/>
  <c r="J29" i="10" s="1"/>
  <c r="F29" i="10" a="1"/>
  <c r="F29" i="10" s="1"/>
  <c r="L71" i="10"/>
  <c r="K71" i="10"/>
  <c r="L29" i="10"/>
  <c r="K29" i="10"/>
  <c r="J71" i="10" a="1"/>
  <c r="J71" i="10" s="1"/>
  <c r="F71" i="10" a="1"/>
  <c r="F71" i="10" s="1"/>
  <c r="M89" i="10"/>
  <c r="N89" i="10"/>
  <c r="M96" i="10"/>
  <c r="O96" i="10"/>
  <c r="M114" i="10"/>
  <c r="O114" i="10"/>
  <c r="M120" i="10"/>
  <c r="O120" i="10"/>
  <c r="O12" i="10"/>
  <c r="M12" i="10"/>
  <c r="M6" i="10"/>
  <c r="O6" i="10"/>
  <c r="F108" i="10" a="1"/>
  <c r="F108" i="10" s="1"/>
  <c r="J108" i="10" a="1"/>
  <c r="J108" i="10" s="1"/>
  <c r="K108" i="10"/>
  <c r="L108" i="10"/>
  <c r="U108" i="10" a="1"/>
  <c r="U108" i="10" s="1"/>
  <c r="T108" i="10" a="1"/>
  <c r="T108" i="10" s="1"/>
  <c r="U107" i="10" a="1"/>
  <c r="U107" i="10" s="1"/>
  <c r="T107" i="10" a="1"/>
  <c r="T107" i="10" s="1"/>
  <c r="U106" i="10" a="1"/>
  <c r="U106" i="10" s="1"/>
  <c r="T106" i="10" a="1"/>
  <c r="T106" i="10" s="1"/>
  <c r="N108" i="10"/>
  <c r="U105" i="10" a="1"/>
  <c r="U105" i="10" s="1"/>
  <c r="T105" i="10" a="1"/>
  <c r="T105" i="10" s="1"/>
  <c r="U109" i="10" a="1"/>
  <c r="U109" i="10" s="1"/>
  <c r="U104" i="10" a="1"/>
  <c r="U104" i="10" s="1"/>
  <c r="T109" i="10" a="1"/>
  <c r="T109" i="10" s="1"/>
  <c r="M108" i="10"/>
  <c r="T104" i="10" a="1"/>
  <c r="T104" i="10" s="1"/>
  <c r="G30" i="10" a="1"/>
  <c r="G30" i="10" s="1"/>
  <c r="C30" i="10" a="1"/>
  <c r="C30" i="10" s="1"/>
  <c r="G72" i="10" a="1"/>
  <c r="G72" i="10" s="1"/>
  <c r="H90" i="10" a="1"/>
  <c r="H90" i="10" s="1"/>
  <c r="C72" i="10" a="1"/>
  <c r="C72" i="10" s="1"/>
  <c r="D90" i="10" a="1"/>
  <c r="D90" i="10" s="1"/>
  <c r="A190" i="8"/>
  <c r="J189" i="8" a="1"/>
  <c r="J189" i="8" s="1"/>
  <c r="I189" i="8"/>
  <c r="A191" i="8" l="1"/>
  <c r="J190" i="8" a="1"/>
  <c r="J190" i="8" s="1"/>
  <c r="I190" i="8"/>
  <c r="J72" i="10" a="1"/>
  <c r="J72" i="10" s="1"/>
  <c r="F72" i="10" a="1"/>
  <c r="F72" i="10" s="1"/>
  <c r="M90" i="10"/>
  <c r="K90" i="10"/>
  <c r="N90" i="10"/>
  <c r="L72" i="10"/>
  <c r="K72" i="10"/>
  <c r="J30" i="10" a="1"/>
  <c r="J30" i="10" s="1"/>
  <c r="F30" i="10" a="1"/>
  <c r="F30" i="10" s="1"/>
  <c r="L30" i="10"/>
  <c r="K30" i="10"/>
  <c r="M71" i="10"/>
  <c r="O71" i="10"/>
  <c r="M29" i="10"/>
  <c r="O29" i="10"/>
  <c r="G89" i="10" a="1"/>
  <c r="G89" i="10" s="1"/>
  <c r="C89" i="10" a="1"/>
  <c r="C89" i="10" s="1"/>
  <c r="H65" i="10" a="1"/>
  <c r="H65" i="10" s="1"/>
  <c r="N65" i="10" s="1"/>
  <c r="D65" i="10" a="1"/>
  <c r="D65" i="10" s="1"/>
  <c r="G77" i="10" a="1"/>
  <c r="G77" i="10" s="1"/>
  <c r="C77" i="10" a="1"/>
  <c r="C77" i="10" s="1"/>
  <c r="A185" i="7"/>
  <c r="J184" i="7" a="1"/>
  <c r="J184" i="7" s="1"/>
  <c r="I184" i="7"/>
  <c r="H83" i="10" a="1"/>
  <c r="H83" i="10" s="1"/>
  <c r="D83" i="10" a="1"/>
  <c r="D83" i="10" s="1"/>
  <c r="J117" i="10" a="1"/>
  <c r="J117" i="10" s="1"/>
  <c r="F117" i="10" a="1"/>
  <c r="F117" i="10" s="1"/>
  <c r="J39" i="10" a="1"/>
  <c r="J39" i="10" s="1"/>
  <c r="O39" i="10" s="1"/>
  <c r="F39" i="10" a="1"/>
  <c r="F39" i="10" s="1"/>
  <c r="K117" i="10"/>
  <c r="L117" i="10"/>
  <c r="L39" i="10"/>
  <c r="K39" i="10"/>
  <c r="I161" i="5"/>
  <c r="I153" i="5"/>
  <c r="I145" i="5"/>
  <c r="I137" i="5"/>
  <c r="I129" i="5"/>
  <c r="I121" i="5"/>
  <c r="I166" i="5"/>
  <c r="I158" i="5"/>
  <c r="I150" i="5"/>
  <c r="I142" i="5"/>
  <c r="I134" i="5"/>
  <c r="I126" i="5"/>
  <c r="I118" i="5"/>
  <c r="I173" i="5"/>
  <c r="I132" i="5"/>
  <c r="I96" i="5"/>
  <c r="I70" i="5"/>
  <c r="I61" i="5"/>
  <c r="I52" i="5"/>
  <c r="I170" i="5"/>
  <c r="I113" i="5"/>
  <c r="I87" i="5"/>
  <c r="I151" i="5"/>
  <c r="I141" i="5"/>
  <c r="I122" i="5"/>
  <c r="I104" i="5"/>
  <c r="I78" i="5"/>
  <c r="I69" i="5"/>
  <c r="I60" i="5"/>
  <c r="I160" i="5"/>
  <c r="I131" i="5"/>
  <c r="I169" i="5"/>
  <c r="I140" i="5"/>
  <c r="I86" i="5"/>
  <c r="I77" i="5"/>
  <c r="I68" i="5"/>
  <c r="I42" i="5"/>
  <c r="I16" i="5"/>
  <c r="I159" i="5"/>
  <c r="I149" i="5"/>
  <c r="I130" i="5"/>
  <c r="I76" i="5"/>
  <c r="I50" i="5"/>
  <c r="I24" i="5"/>
  <c r="I139" i="5"/>
  <c r="I120" i="5"/>
  <c r="I111" i="5"/>
  <c r="I67" i="5"/>
  <c r="I41" i="5"/>
  <c r="I148" i="5"/>
  <c r="I102" i="5"/>
  <c r="I93" i="5"/>
  <c r="I84" i="5"/>
  <c r="I58" i="5"/>
  <c r="I32" i="5"/>
  <c r="I167" i="5"/>
  <c r="I157" i="5"/>
  <c r="I138" i="5"/>
  <c r="I119" i="5"/>
  <c r="I110" i="5"/>
  <c r="I101" i="5"/>
  <c r="I92" i="5"/>
  <c r="I66" i="5"/>
  <c r="I147" i="5"/>
  <c r="I128" i="5"/>
  <c r="I83" i="5"/>
  <c r="I57" i="5"/>
  <c r="I31" i="5"/>
  <c r="I156" i="5"/>
  <c r="I109" i="5"/>
  <c r="I100" i="5"/>
  <c r="I74" i="5"/>
  <c r="I165" i="5"/>
  <c r="I91" i="5"/>
  <c r="I146" i="5"/>
  <c r="I127" i="5"/>
  <c r="I117" i="5"/>
  <c r="I108" i="5"/>
  <c r="I82" i="5"/>
  <c r="I56" i="5"/>
  <c r="I155" i="5"/>
  <c r="I136" i="5"/>
  <c r="I99" i="5"/>
  <c r="I73" i="5"/>
  <c r="I47" i="5"/>
  <c r="I164" i="5"/>
  <c r="I116" i="5"/>
  <c r="I90" i="5"/>
  <c r="I64" i="5"/>
  <c r="I107" i="5"/>
  <c r="I81" i="5"/>
  <c r="I154" i="5"/>
  <c r="I125" i="5"/>
  <c r="I98" i="5"/>
  <c r="I72" i="5"/>
  <c r="I163" i="5"/>
  <c r="I144" i="5"/>
  <c r="I115" i="5"/>
  <c r="I89" i="5"/>
  <c r="I63" i="5"/>
  <c r="I124" i="5"/>
  <c r="I106" i="5"/>
  <c r="I80" i="5"/>
  <c r="I54" i="5"/>
  <c r="I45" i="5"/>
  <c r="I36" i="5"/>
  <c r="I172" i="5"/>
  <c r="I97" i="5"/>
  <c r="I162" i="5"/>
  <c r="I143" i="5"/>
  <c r="I133" i="5"/>
  <c r="I114" i="5"/>
  <c r="I62" i="5"/>
  <c r="I53" i="5"/>
  <c r="I44" i="5"/>
  <c r="I171" i="5"/>
  <c r="I152" i="5"/>
  <c r="I123" i="5"/>
  <c r="I105" i="5"/>
  <c r="I79" i="5"/>
  <c r="I48" i="5"/>
  <c r="I75" i="5"/>
  <c r="I35" i="5"/>
  <c r="I15" i="5"/>
  <c r="I59" i="5"/>
  <c r="I14" i="5"/>
  <c r="I5" i="5"/>
  <c r="I46" i="5"/>
  <c r="I13" i="5"/>
  <c r="I4" i="5"/>
  <c r="I33" i="5"/>
  <c r="I71" i="5"/>
  <c r="I12" i="5"/>
  <c r="I22" i="5"/>
  <c r="I3" i="5"/>
  <c r="I55" i="5"/>
  <c r="I43" i="5"/>
  <c r="I21" i="5"/>
  <c r="I11" i="5"/>
  <c r="I2" i="5"/>
  <c r="I20" i="5"/>
  <c r="I29" i="5"/>
  <c r="I19" i="5"/>
  <c r="I65" i="5"/>
  <c r="I51" i="5"/>
  <c r="I28" i="5"/>
  <c r="I9" i="5"/>
  <c r="I18" i="5"/>
  <c r="I38" i="5"/>
  <c r="I27" i="5"/>
  <c r="I49" i="5"/>
  <c r="I17" i="5"/>
  <c r="I37" i="5"/>
  <c r="I7" i="5"/>
  <c r="F3" i="10" a="1"/>
  <c r="F3" i="10" s="1"/>
  <c r="I174" i="5"/>
  <c r="J3" i="10" a="1"/>
  <c r="J3" i="10" s="1"/>
  <c r="I176" i="5"/>
  <c r="I168" i="5"/>
  <c r="I177" i="5"/>
  <c r="O105" i="10"/>
  <c r="N105" i="10"/>
  <c r="L3" i="10"/>
  <c r="K3" i="10"/>
  <c r="J93" i="10" a="1"/>
  <c r="J93" i="10" s="1"/>
  <c r="F93" i="10" a="1"/>
  <c r="F93" i="10" s="1"/>
  <c r="F111" i="10" a="1"/>
  <c r="F111" i="10" s="1"/>
  <c r="J111" i="10" a="1"/>
  <c r="J111" i="10" s="1"/>
  <c r="L9" i="10"/>
  <c r="K9" i="10"/>
  <c r="F9" i="10" a="1"/>
  <c r="F9" i="10" s="1"/>
  <c r="J9" i="10" a="1"/>
  <c r="J9" i="10" s="1"/>
  <c r="L111" i="10"/>
  <c r="K111" i="10"/>
  <c r="L93" i="10"/>
  <c r="K93" i="10"/>
  <c r="I181" i="5"/>
  <c r="A182" i="5"/>
  <c r="J181" i="5" a="1"/>
  <c r="J181" i="5" s="1"/>
  <c r="M28" i="10"/>
  <c r="O28" i="10"/>
  <c r="O70" i="10"/>
  <c r="M70" i="10"/>
  <c r="J221" i="6" a="1"/>
  <c r="J221" i="6" s="1"/>
  <c r="A222" i="6"/>
  <c r="I221" i="6"/>
  <c r="A193" i="9"/>
  <c r="J192" i="9" a="1"/>
  <c r="J192" i="9" s="1"/>
  <c r="G31" i="10" a="1"/>
  <c r="G31" i="10" s="1"/>
  <c r="C31" i="10" a="1"/>
  <c r="C31" i="10" s="1"/>
  <c r="G73" i="10" a="1"/>
  <c r="G73" i="10" s="1"/>
  <c r="C73" i="10" a="1"/>
  <c r="C73" i="10" s="1"/>
  <c r="I192" i="9"/>
  <c r="O121" i="10"/>
  <c r="M121" i="10"/>
  <c r="O97" i="10"/>
  <c r="M97" i="10"/>
  <c r="O115" i="10"/>
  <c r="M115" i="10"/>
  <c r="M13" i="10"/>
  <c r="O13" i="10"/>
  <c r="M7" i="10"/>
  <c r="O7" i="10"/>
  <c r="A198" i="3"/>
  <c r="J197" i="3" a="1"/>
  <c r="J197" i="3" s="1"/>
  <c r="I197" i="3"/>
  <c r="U13" i="10" a="1"/>
  <c r="U13" i="10" s="1"/>
  <c r="U8" i="10" a="1"/>
  <c r="U8" i="10" s="1"/>
  <c r="U12" i="10" a="1"/>
  <c r="U12" i="10" s="1"/>
  <c r="U10" i="10" a="1"/>
  <c r="U10" i="10" s="1"/>
  <c r="M8" i="10"/>
  <c r="U11" i="10" a="1"/>
  <c r="U11" i="10" s="1"/>
  <c r="U9" i="10" a="1"/>
  <c r="U9" i="10" s="1"/>
  <c r="O8" i="10"/>
  <c r="M14" i="10"/>
  <c r="U18" i="10" a="1"/>
  <c r="U18" i="10" s="1"/>
  <c r="U17" i="10" a="1"/>
  <c r="U17" i="10" s="1"/>
  <c r="U16" i="10" a="1"/>
  <c r="U16" i="10" s="1"/>
  <c r="U15" i="10" a="1"/>
  <c r="U15" i="10" s="1"/>
  <c r="U19" i="10" a="1"/>
  <c r="U19" i="10" s="1"/>
  <c r="U14" i="10" a="1"/>
  <c r="U14" i="10" s="1"/>
  <c r="U98" i="10" a="1"/>
  <c r="U98" i="10" s="1"/>
  <c r="U101" i="10" a="1"/>
  <c r="U101" i="10" s="1"/>
  <c r="M98" i="10"/>
  <c r="U103" i="10" a="1"/>
  <c r="U103" i="10" s="1"/>
  <c r="U99" i="10" a="1"/>
  <c r="U99" i="10" s="1"/>
  <c r="U102" i="10" a="1"/>
  <c r="U102" i="10" s="1"/>
  <c r="U100" i="10" a="1"/>
  <c r="U100" i="10" s="1"/>
  <c r="O2" i="10"/>
  <c r="U6" i="10" a="1"/>
  <c r="U6" i="10" s="1"/>
  <c r="U5" i="10" a="1"/>
  <c r="U5" i="10" s="1"/>
  <c r="U2" i="10" a="1"/>
  <c r="U2" i="10" s="1"/>
  <c r="U3" i="10" a="1"/>
  <c r="U3" i="10" s="1"/>
  <c r="U7" i="10" a="1"/>
  <c r="U7" i="10" s="1"/>
  <c r="U4" i="10" a="1"/>
  <c r="U4" i="10" s="1"/>
  <c r="U23" i="10" a="1"/>
  <c r="U23" i="10" s="1"/>
  <c r="M20" i="10"/>
  <c r="U22" i="10" a="1"/>
  <c r="U22" i="10" s="1"/>
  <c r="U21" i="10" a="1"/>
  <c r="U21" i="10" s="1"/>
  <c r="U25" i="10" a="1"/>
  <c r="U25" i="10" s="1"/>
  <c r="U20" i="10" a="1"/>
  <c r="U20" i="10" s="1"/>
  <c r="U24" i="10" a="1"/>
  <c r="U24" i="10" s="1"/>
  <c r="M63" i="10"/>
  <c r="O63" i="10"/>
  <c r="M103" i="10"/>
  <c r="O103" i="10"/>
  <c r="M69" i="10"/>
  <c r="O69" i="10"/>
  <c r="M19" i="10"/>
  <c r="O19" i="10"/>
  <c r="M78" i="10"/>
  <c r="O78" i="10"/>
  <c r="M25" i="10"/>
  <c r="O25" i="10"/>
  <c r="M107" i="10"/>
  <c r="O107" i="10"/>
  <c r="O11" i="10"/>
  <c r="M11" i="10"/>
  <c r="O27" i="10"/>
  <c r="M27" i="10"/>
  <c r="M119" i="10"/>
  <c r="O119" i="10"/>
  <c r="O113" i="10"/>
  <c r="M113" i="10"/>
  <c r="O5" i="10"/>
  <c r="M5" i="10"/>
  <c r="M95" i="10"/>
  <c r="O95" i="10"/>
  <c r="O76" i="10"/>
  <c r="M76" i="10"/>
  <c r="O116" i="10"/>
  <c r="U119" i="10" a="1"/>
  <c r="U119" i="10" s="1"/>
  <c r="M116" i="10"/>
  <c r="U118" i="10" a="1"/>
  <c r="U118" i="10" s="1"/>
  <c r="U117" i="10" a="1"/>
  <c r="U117" i="10" s="1"/>
  <c r="U121" i="10" a="1"/>
  <c r="U121" i="10" s="1"/>
  <c r="U116" i="10" a="1"/>
  <c r="U116" i="10" s="1"/>
  <c r="U120" i="10" a="1"/>
  <c r="U120" i="10" s="1"/>
  <c r="U96" i="10" a="1"/>
  <c r="U96" i="10" s="1"/>
  <c r="U94" i="10" a="1"/>
  <c r="U94" i="10" s="1"/>
  <c r="M92" i="10"/>
  <c r="U92" i="10" a="1"/>
  <c r="U92" i="10" s="1"/>
  <c r="U97" i="10" a="1"/>
  <c r="U97" i="10" s="1"/>
  <c r="O92" i="10"/>
  <c r="U95" i="10" a="1"/>
  <c r="U95" i="10" s="1"/>
  <c r="U93" i="10" a="1"/>
  <c r="U93" i="10" s="1"/>
  <c r="U114" i="10" a="1"/>
  <c r="U114" i="10" s="1"/>
  <c r="U113" i="10" a="1"/>
  <c r="U113" i="10" s="1"/>
  <c r="M110" i="10"/>
  <c r="U112" i="10" a="1"/>
  <c r="U112" i="10" s="1"/>
  <c r="U115" i="10" a="1"/>
  <c r="U115" i="10" s="1"/>
  <c r="U111" i="10" a="1"/>
  <c r="U111" i="10" s="1"/>
  <c r="O110" i="10"/>
  <c r="U110" i="10" a="1"/>
  <c r="U110" i="10" s="1"/>
  <c r="J198" i="3" l="1" a="1"/>
  <c r="J198" i="3" s="1"/>
  <c r="A199" i="3"/>
  <c r="I198" i="3"/>
  <c r="F73" i="10" a="1"/>
  <c r="F73" i="10" s="1"/>
  <c r="J73" i="10" a="1"/>
  <c r="J73" i="10" s="1"/>
  <c r="L73" i="10"/>
  <c r="K73" i="10"/>
  <c r="J31" i="10" a="1"/>
  <c r="J31" i="10" s="1"/>
  <c r="F31" i="10" a="1"/>
  <c r="F31" i="10" s="1"/>
  <c r="L31" i="10"/>
  <c r="K31" i="10"/>
  <c r="A194" i="9"/>
  <c r="J193" i="9" a="1"/>
  <c r="J193" i="9" s="1"/>
  <c r="I193" i="9"/>
  <c r="A223" i="6"/>
  <c r="J222" i="6" a="1"/>
  <c r="J222" i="6" s="1"/>
  <c r="I222" i="6"/>
  <c r="A183" i="5"/>
  <c r="J182" i="5" a="1"/>
  <c r="J182" i="5" s="1"/>
  <c r="I182" i="5"/>
  <c r="O9" i="10"/>
  <c r="M9" i="10"/>
  <c r="O111" i="10"/>
  <c r="M111" i="10"/>
  <c r="O93" i="10"/>
  <c r="M93" i="10"/>
  <c r="O3" i="10"/>
  <c r="M3" i="10"/>
  <c r="M117" i="10"/>
  <c r="O117" i="10"/>
  <c r="N83" i="10"/>
  <c r="M83" i="10"/>
  <c r="A186" i="7"/>
  <c r="J185" i="7" a="1"/>
  <c r="J185" i="7" s="1"/>
  <c r="I185" i="7"/>
  <c r="J77" i="10" a="1"/>
  <c r="J77" i="10" s="1"/>
  <c r="F77" i="10" a="1"/>
  <c r="F77" i="10" s="1"/>
  <c r="L77" i="10"/>
  <c r="K77" i="10"/>
  <c r="J89" i="10" a="1"/>
  <c r="J89" i="10" s="1"/>
  <c r="O89" i="10" s="1"/>
  <c r="F89" i="10" a="1"/>
  <c r="F89" i="10" s="1"/>
  <c r="K89" i="10"/>
  <c r="L89" i="10"/>
  <c r="O30" i="10"/>
  <c r="M30" i="10"/>
  <c r="O72" i="10"/>
  <c r="M72" i="10"/>
  <c r="J191" i="8" a="1"/>
  <c r="J191" i="8" s="1"/>
  <c r="A192" i="8"/>
  <c r="I191" i="8"/>
  <c r="A193" i="8" l="1"/>
  <c r="J192" i="8" a="1"/>
  <c r="J192" i="8" s="1"/>
  <c r="I192" i="8"/>
  <c r="M77" i="10"/>
  <c r="O77" i="10"/>
  <c r="A187" i="7"/>
  <c r="J186" i="7" a="1"/>
  <c r="J186" i="7" s="1"/>
  <c r="I186" i="7"/>
  <c r="J183" i="5" a="1"/>
  <c r="J183" i="5" s="1"/>
  <c r="A184" i="5"/>
  <c r="I183" i="5"/>
  <c r="A224" i="6"/>
  <c r="J223" i="6" a="1"/>
  <c r="J223" i="6" s="1"/>
  <c r="I223" i="6"/>
  <c r="H85" i="10" a="1"/>
  <c r="H85" i="10" s="1"/>
  <c r="H67" i="10" a="1"/>
  <c r="H67" i="10" s="1"/>
  <c r="D85" i="10" a="1"/>
  <c r="D85" i="10" s="1"/>
  <c r="D67" i="10" a="1"/>
  <c r="D67" i="10" s="1"/>
  <c r="G79" i="10" a="1"/>
  <c r="G79" i="10" s="1"/>
  <c r="C79" i="10" a="1"/>
  <c r="C79" i="10" s="1"/>
  <c r="A195" i="9"/>
  <c r="J194" i="9" a="1"/>
  <c r="J194" i="9" s="1"/>
  <c r="I194" i="9"/>
  <c r="O31" i="10"/>
  <c r="M31" i="10"/>
  <c r="O73" i="10"/>
  <c r="M73" i="10"/>
  <c r="A200" i="3"/>
  <c r="J199" i="3" a="1"/>
  <c r="J199" i="3" s="1"/>
  <c r="I199" i="3"/>
  <c r="D86" i="10" a="1"/>
  <c r="D86" i="10" s="1"/>
  <c r="G68" i="10" a="1"/>
  <c r="G68" i="10" s="1"/>
  <c r="C68" i="10" a="1"/>
  <c r="C68" i="10" s="1"/>
  <c r="H86" i="10" a="1"/>
  <c r="H86" i="10" s="1"/>
  <c r="G26" i="10" a="1"/>
  <c r="G26" i="10" s="1"/>
  <c r="C26" i="10" a="1"/>
  <c r="C26" i="10" s="1"/>
  <c r="V31" i="10" l="1" a="1"/>
  <c r="V31" i="10" s="1"/>
  <c r="AB31" i="10" s="1"/>
  <c r="X27" i="10" a="1"/>
  <c r="X27" i="10" s="1"/>
  <c r="AA29" i="10" a="1"/>
  <c r="AA29" i="10" s="1"/>
  <c r="Z26" i="10" a="1"/>
  <c r="Z26" i="10" s="1"/>
  <c r="X30" i="10" a="1"/>
  <c r="X30" i="10" s="1"/>
  <c r="V26" i="10" a="1"/>
  <c r="V26" i="10" s="1"/>
  <c r="AB26" i="10" s="1"/>
  <c r="Z29" i="10" a="1"/>
  <c r="Z29" i="10" s="1"/>
  <c r="W30" i="10" a="1"/>
  <c r="W30" i="10" s="1"/>
  <c r="Y29" i="10" a="1"/>
  <c r="Y29" i="10" s="1"/>
  <c r="F26" i="10" a="1"/>
  <c r="F26" i="10" s="1"/>
  <c r="V30" i="10" a="1"/>
  <c r="V30" i="10" s="1"/>
  <c r="AB30" i="10" s="1"/>
  <c r="AA28" i="10" a="1"/>
  <c r="AA28" i="10" s="1"/>
  <c r="X29" i="10" a="1"/>
  <c r="X29" i="10" s="1"/>
  <c r="Z28" i="10" a="1"/>
  <c r="Z28" i="10" s="1"/>
  <c r="Y31" i="10" a="1"/>
  <c r="Y31" i="10" s="1"/>
  <c r="W29" i="10" a="1"/>
  <c r="W29" i="10" s="1"/>
  <c r="W27" i="10" a="1"/>
  <c r="W27" i="10" s="1"/>
  <c r="Y28" i="10" a="1"/>
  <c r="Y28" i="10" s="1"/>
  <c r="AA30" i="10" a="1"/>
  <c r="AA30" i="10" s="1"/>
  <c r="V29" i="10" a="1"/>
  <c r="V29" i="10" s="1"/>
  <c r="AB29" i="10" s="1"/>
  <c r="Y26" i="10" a="1"/>
  <c r="Y26" i="10" s="1"/>
  <c r="AA27" i="10" a="1"/>
  <c r="AA27" i="10" s="1"/>
  <c r="X31" i="10" a="1"/>
  <c r="X31" i="10" s="1"/>
  <c r="X28" i="10" a="1"/>
  <c r="X28" i="10" s="1"/>
  <c r="V27" i="10" a="1"/>
  <c r="V27" i="10" s="1"/>
  <c r="AB27" i="10" s="1"/>
  <c r="Z27" i="10" a="1"/>
  <c r="Z27" i="10" s="1"/>
  <c r="J26" i="10" a="1"/>
  <c r="J26" i="10" s="1"/>
  <c r="W28" i="10" a="1"/>
  <c r="W28" i="10" s="1"/>
  <c r="Z30" i="10" a="1"/>
  <c r="Z30" i="10" s="1"/>
  <c r="AA31" i="10" a="1"/>
  <c r="AA31" i="10" s="1"/>
  <c r="X26" i="10" a="1"/>
  <c r="X26" i="10" s="1"/>
  <c r="Y27" i="10" a="1"/>
  <c r="Y27" i="10" s="1"/>
  <c r="W31" i="10" a="1"/>
  <c r="W31" i="10" s="1"/>
  <c r="V28" i="10" a="1"/>
  <c r="V28" i="10" s="1"/>
  <c r="AB28" i="10" s="1"/>
  <c r="Y30" i="10" a="1"/>
  <c r="Y30" i="10" s="1"/>
  <c r="AA26" i="10" a="1"/>
  <c r="AA26" i="10" s="1"/>
  <c r="W26" i="10" a="1"/>
  <c r="W26" i="10" s="1"/>
  <c r="Z31" i="10" a="1"/>
  <c r="Z31" i="10" s="1"/>
  <c r="Q30" i="10" a="1"/>
  <c r="Q30" i="10" s="1"/>
  <c r="S29" i="10" a="1"/>
  <c r="S29" i="10" s="1"/>
  <c r="R29" i="10" a="1"/>
  <c r="R29" i="10" s="1"/>
  <c r="P30" i="10" a="1"/>
  <c r="P30" i="10" s="1"/>
  <c r="K26" i="10"/>
  <c r="L26" i="10"/>
  <c r="Q29" i="10" a="1"/>
  <c r="Q29" i="10" s="1"/>
  <c r="S28" i="10" a="1"/>
  <c r="S28" i="10" s="1"/>
  <c r="P29" i="10" a="1"/>
  <c r="P29" i="10" s="1"/>
  <c r="R28" i="10" a="1"/>
  <c r="R28" i="10" s="1"/>
  <c r="Q28" i="10" a="1"/>
  <c r="Q28" i="10" s="1"/>
  <c r="S27" i="10" a="1"/>
  <c r="S27" i="10" s="1"/>
  <c r="P28" i="10" a="1"/>
  <c r="P28" i="10" s="1"/>
  <c r="R27" i="10" a="1"/>
  <c r="R27" i="10" s="1"/>
  <c r="S31" i="10" a="1"/>
  <c r="S31" i="10" s="1"/>
  <c r="Q27" i="10" a="1"/>
  <c r="Q27" i="10" s="1"/>
  <c r="S26" i="10" a="1"/>
  <c r="S26" i="10" s="1"/>
  <c r="R31" i="10" a="1"/>
  <c r="R31" i="10" s="1"/>
  <c r="P27" i="10" a="1"/>
  <c r="P27" i="10" s="1"/>
  <c r="R26" i="10" a="1"/>
  <c r="R26" i="10" s="1"/>
  <c r="Q31" i="10" a="1"/>
  <c r="Q31" i="10" s="1"/>
  <c r="S30" i="10" a="1"/>
  <c r="S30" i="10" s="1"/>
  <c r="Q26" i="10" a="1"/>
  <c r="Q26" i="10" s="1"/>
  <c r="P31" i="10" a="1"/>
  <c r="P31" i="10" s="1"/>
  <c r="R30" i="10" a="1"/>
  <c r="R30" i="10" s="1"/>
  <c r="P26" i="10" a="1"/>
  <c r="P26" i="10" s="1"/>
  <c r="U86" i="10" a="1"/>
  <c r="U86" i="10" s="1"/>
  <c r="T91" i="10" a="1"/>
  <c r="T91" i="10" s="1"/>
  <c r="U90" i="10" a="1"/>
  <c r="U90" i="10" s="1"/>
  <c r="T90" i="10" a="1"/>
  <c r="T90" i="10" s="1"/>
  <c r="U89" i="10" a="1"/>
  <c r="U89" i="10" s="1"/>
  <c r="T89" i="10" a="1"/>
  <c r="T89" i="10" s="1"/>
  <c r="N86" i="10"/>
  <c r="M86" i="10"/>
  <c r="U88" i="10" a="1"/>
  <c r="U88" i="10" s="1"/>
  <c r="T88" i="10" a="1"/>
  <c r="T88" i="10" s="1"/>
  <c r="T87" i="10" a="1"/>
  <c r="T87" i="10" s="1"/>
  <c r="U91" i="10" a="1"/>
  <c r="U91" i="10" s="1"/>
  <c r="T86" i="10" a="1"/>
  <c r="T86" i="10" s="1"/>
  <c r="U87" i="10" a="1"/>
  <c r="U87" i="10" s="1"/>
  <c r="AA71" i="10" a="1"/>
  <c r="AA71" i="10" s="1"/>
  <c r="Z68" i="10" a="1"/>
  <c r="Z68" i="10" s="1"/>
  <c r="X72" i="10" a="1"/>
  <c r="X72" i="10" s="1"/>
  <c r="Y73" i="10" a="1"/>
  <c r="Y73" i="10" s="1"/>
  <c r="V68" i="10" a="1"/>
  <c r="V68" i="10" s="1"/>
  <c r="AB68" i="10" s="1"/>
  <c r="W69" i="10" a="1"/>
  <c r="W69" i="10" s="1"/>
  <c r="Z71" i="10" a="1"/>
  <c r="Z71" i="10" s="1"/>
  <c r="AA72" i="10" a="1"/>
  <c r="AA72" i="10" s="1"/>
  <c r="W72" i="10" a="1"/>
  <c r="W72" i="10" s="1"/>
  <c r="Y68" i="10" a="1"/>
  <c r="Y68" i="10" s="1"/>
  <c r="Y71" i="10" a="1"/>
  <c r="Y71" i="10" s="1"/>
  <c r="X73" i="10" a="1"/>
  <c r="X73" i="10" s="1"/>
  <c r="F68" i="10" a="1"/>
  <c r="F68" i="10" s="1"/>
  <c r="V69" i="10" a="1"/>
  <c r="V69" i="10" s="1"/>
  <c r="AB69" i="10" s="1"/>
  <c r="V72" i="10" a="1"/>
  <c r="V72" i="10" s="1"/>
  <c r="AB72" i="10" s="1"/>
  <c r="J68" i="10" a="1"/>
  <c r="J68" i="10" s="1"/>
  <c r="AA70" i="10" a="1"/>
  <c r="AA70" i="10" s="1"/>
  <c r="X71" i="10" a="1"/>
  <c r="X71" i="10" s="1"/>
  <c r="Z70" i="10" a="1"/>
  <c r="Z70" i="10" s="1"/>
  <c r="W71" i="10" a="1"/>
  <c r="W71" i="10" s="1"/>
  <c r="Y70" i="10" a="1"/>
  <c r="Y70" i="10" s="1"/>
  <c r="V71" i="10" a="1"/>
  <c r="V71" i="10" s="1"/>
  <c r="AB71" i="10" s="1"/>
  <c r="AA69" i="10" a="1"/>
  <c r="AA69" i="10" s="1"/>
  <c r="X70" i="10" a="1"/>
  <c r="X70" i="10" s="1"/>
  <c r="Z69" i="10" a="1"/>
  <c r="Z69" i="10" s="1"/>
  <c r="W70" i="10" a="1"/>
  <c r="W70" i="10" s="1"/>
  <c r="Z72" i="10" a="1"/>
  <c r="Z72" i="10" s="1"/>
  <c r="AA73" i="10" a="1"/>
  <c r="AA73" i="10" s="1"/>
  <c r="X68" i="10" a="1"/>
  <c r="X68" i="10" s="1"/>
  <c r="Y69" i="10" a="1"/>
  <c r="Y69" i="10" s="1"/>
  <c r="W73" i="10" a="1"/>
  <c r="W73" i="10" s="1"/>
  <c r="V70" i="10" a="1"/>
  <c r="V70" i="10" s="1"/>
  <c r="AB70" i="10" s="1"/>
  <c r="Y72" i="10" a="1"/>
  <c r="Y72" i="10" s="1"/>
  <c r="AA68" i="10" a="1"/>
  <c r="AA68" i="10" s="1"/>
  <c r="W68" i="10" a="1"/>
  <c r="W68" i="10" s="1"/>
  <c r="Z73" i="10" a="1"/>
  <c r="Z73" i="10" s="1"/>
  <c r="V73" i="10" a="1"/>
  <c r="V73" i="10" s="1"/>
  <c r="AB73" i="10" s="1"/>
  <c r="X69" i="10" a="1"/>
  <c r="X69" i="10" s="1"/>
  <c r="P73" i="10" a="1"/>
  <c r="P73" i="10" s="1"/>
  <c r="R72" i="10" a="1"/>
  <c r="R72" i="10" s="1"/>
  <c r="P68" i="10" a="1"/>
  <c r="P68" i="10" s="1"/>
  <c r="Q72" i="10" a="1"/>
  <c r="Q72" i="10" s="1"/>
  <c r="S71" i="10" a="1"/>
  <c r="S71" i="10" s="1"/>
  <c r="P72" i="10" a="1"/>
  <c r="P72" i="10" s="1"/>
  <c r="L68" i="10"/>
  <c r="R71" i="10" a="1"/>
  <c r="R71" i="10" s="1"/>
  <c r="S70" i="10" a="1"/>
  <c r="S70" i="10" s="1"/>
  <c r="K68" i="10"/>
  <c r="P71" i="10" a="1"/>
  <c r="P71" i="10" s="1"/>
  <c r="Q71" i="10" a="1"/>
  <c r="Q71" i="10" s="1"/>
  <c r="R70" i="10" a="1"/>
  <c r="R70" i="10" s="1"/>
  <c r="Q70" i="10" a="1"/>
  <c r="Q70" i="10" s="1"/>
  <c r="S69" i="10" a="1"/>
  <c r="S69" i="10" s="1"/>
  <c r="P70" i="10" a="1"/>
  <c r="P70" i="10" s="1"/>
  <c r="R69" i="10" a="1"/>
  <c r="R69" i="10" s="1"/>
  <c r="S73" i="10" a="1"/>
  <c r="S73" i="10" s="1"/>
  <c r="Q69" i="10" a="1"/>
  <c r="Q69" i="10" s="1"/>
  <c r="S68" i="10" a="1"/>
  <c r="S68" i="10" s="1"/>
  <c r="R73" i="10" a="1"/>
  <c r="R73" i="10" s="1"/>
  <c r="P69" i="10" a="1"/>
  <c r="P69" i="10" s="1"/>
  <c r="R68" i="10" a="1"/>
  <c r="R68" i="10" s="1"/>
  <c r="Q73" i="10" a="1"/>
  <c r="Q73" i="10" s="1"/>
  <c r="S72" i="10" a="1"/>
  <c r="S72" i="10" s="1"/>
  <c r="Q68" i="10" a="1"/>
  <c r="Q68" i="10" s="1"/>
  <c r="J200" i="3" a="1"/>
  <c r="J200" i="3" s="1"/>
  <c r="A201" i="3"/>
  <c r="I200" i="3"/>
  <c r="A196" i="9"/>
  <c r="J195" i="9" a="1"/>
  <c r="J195" i="9" s="1"/>
  <c r="I195" i="9"/>
  <c r="J79" i="10" a="1"/>
  <c r="J79" i="10" s="1"/>
  <c r="F79" i="10" a="1"/>
  <c r="F79" i="10" s="1"/>
  <c r="L79" i="10"/>
  <c r="K79" i="10"/>
  <c r="M67" i="10"/>
  <c r="N67" i="10"/>
  <c r="K67" i="10"/>
  <c r="N85" i="10"/>
  <c r="M85" i="10"/>
  <c r="K85" i="10"/>
  <c r="H34" i="10" a="1"/>
  <c r="H34" i="10" s="1"/>
  <c r="C52" i="10" a="1"/>
  <c r="C52" i="10" s="1"/>
  <c r="D34" i="10" a="1"/>
  <c r="D34" i="10" s="1"/>
  <c r="G46" i="10" a="1"/>
  <c r="G46" i="10" s="1"/>
  <c r="G58" i="10" a="1"/>
  <c r="G58" i="10" s="1"/>
  <c r="C46" i="10" a="1"/>
  <c r="C46" i="10" s="1"/>
  <c r="C58" i="10" a="1"/>
  <c r="C58" i="10" s="1"/>
  <c r="H40" i="10" a="1"/>
  <c r="H40" i="10" s="1"/>
  <c r="G52" i="10" a="1"/>
  <c r="G52" i="10" s="1"/>
  <c r="D40" i="10" a="1"/>
  <c r="D40" i="10" s="1"/>
  <c r="A225" i="6"/>
  <c r="I224" i="6"/>
  <c r="J224" i="6" a="1"/>
  <c r="J224" i="6" s="1"/>
  <c r="A185" i="5"/>
  <c r="J184" i="5" a="1"/>
  <c r="J184" i="5" s="1"/>
  <c r="I184" i="5"/>
  <c r="G53" i="10" a="1"/>
  <c r="G53" i="10" s="1"/>
  <c r="D41" i="10" a="1"/>
  <c r="D41" i="10" s="1"/>
  <c r="H35" i="10" a="1"/>
  <c r="H35" i="10" s="1"/>
  <c r="C53" i="10" a="1"/>
  <c r="C53" i="10" s="1"/>
  <c r="G47" i="10" a="1"/>
  <c r="G47" i="10" s="1"/>
  <c r="G59" i="10" a="1"/>
  <c r="G59" i="10" s="1"/>
  <c r="C47" i="10" a="1"/>
  <c r="C47" i="10" s="1"/>
  <c r="C59" i="10" a="1"/>
  <c r="C59" i="10" s="1"/>
  <c r="H41" i="10" a="1"/>
  <c r="H41" i="10" s="1"/>
  <c r="D35" i="10" a="1"/>
  <c r="D35" i="10" s="1"/>
  <c r="J187" i="7" a="1"/>
  <c r="J187" i="7" s="1"/>
  <c r="A188" i="7"/>
  <c r="I187" i="7"/>
  <c r="J193" i="8" a="1"/>
  <c r="J193" i="8" s="1"/>
  <c r="A194" i="8"/>
  <c r="D42" i="10" a="1"/>
  <c r="D42" i="10" s="1"/>
  <c r="H36" i="10" a="1"/>
  <c r="H36" i="10" s="1"/>
  <c r="C54" i="10" a="1"/>
  <c r="C54" i="10" s="1"/>
  <c r="D36" i="10" a="1"/>
  <c r="D36" i="10" s="1"/>
  <c r="G60" i="10" a="1"/>
  <c r="G60" i="10" s="1"/>
  <c r="C60" i="10" a="1"/>
  <c r="C60" i="10" s="1"/>
  <c r="G48" i="10" a="1"/>
  <c r="G48" i="10" s="1"/>
  <c r="C48" i="10" a="1"/>
  <c r="C48" i="10" s="1"/>
  <c r="I193" i="8"/>
  <c r="H42" i="10" a="1"/>
  <c r="H42" i="10" s="1"/>
  <c r="G54" i="10" a="1"/>
  <c r="G54" i="10" s="1"/>
  <c r="K54" i="10" l="1"/>
  <c r="L54" i="10"/>
  <c r="N42" i="10"/>
  <c r="M42" i="10"/>
  <c r="F48" i="10" a="1"/>
  <c r="F48" i="10" s="1"/>
  <c r="J48" i="10" a="1"/>
  <c r="J48" i="10" s="1"/>
  <c r="L48" i="10"/>
  <c r="K48" i="10"/>
  <c r="J60" i="10" a="1"/>
  <c r="J60" i="10" s="1"/>
  <c r="F60" i="10" a="1"/>
  <c r="F60" i="10" s="1"/>
  <c r="L60" i="10"/>
  <c r="K60" i="10"/>
  <c r="F54" i="10" a="1"/>
  <c r="F54" i="10" s="1"/>
  <c r="J54" i="10" a="1"/>
  <c r="J54" i="10" s="1"/>
  <c r="N36" i="10"/>
  <c r="M36" i="10"/>
  <c r="A195" i="8"/>
  <c r="J194" i="8" a="1"/>
  <c r="J194" i="8" s="1"/>
  <c r="I194" i="8"/>
  <c r="J188" i="7" a="1"/>
  <c r="J188" i="7" s="1"/>
  <c r="A189" i="7"/>
  <c r="I188" i="7"/>
  <c r="K41" i="10"/>
  <c r="N41" i="10"/>
  <c r="M41" i="10"/>
  <c r="F59" i="10" a="1"/>
  <c r="F59" i="10" s="1"/>
  <c r="J59" i="10" a="1"/>
  <c r="J59" i="10" s="1"/>
  <c r="J47" i="10" a="1"/>
  <c r="J47" i="10" s="1"/>
  <c r="F47" i="10" a="1"/>
  <c r="F47" i="10" s="1"/>
  <c r="K59" i="10"/>
  <c r="L59" i="10"/>
  <c r="L47" i="10"/>
  <c r="K47" i="10"/>
  <c r="J53" i="10" a="1"/>
  <c r="J53" i="10" s="1"/>
  <c r="F53" i="10" a="1"/>
  <c r="F53" i="10" s="1"/>
  <c r="N35" i="10"/>
  <c r="M35" i="10"/>
  <c r="K53" i="10"/>
  <c r="L53" i="10"/>
  <c r="C75" i="10" a="1"/>
  <c r="C75" i="10" s="1"/>
  <c r="G87" i="10" a="1"/>
  <c r="G87" i="10" s="1"/>
  <c r="C87" i="10" a="1"/>
  <c r="C87" i="10" s="1"/>
  <c r="H63" i="10" a="1"/>
  <c r="H63" i="10" s="1"/>
  <c r="H81" i="10" a="1"/>
  <c r="H81" i="10" s="1"/>
  <c r="D81" i="10" a="1"/>
  <c r="D81" i="10" s="1"/>
  <c r="D63" i="10" a="1"/>
  <c r="D63" i="10" s="1"/>
  <c r="G75" i="10" a="1"/>
  <c r="G75" i="10" s="1"/>
  <c r="J185" i="5" a="1"/>
  <c r="J185" i="5" s="1"/>
  <c r="I185" i="5"/>
  <c r="A186" i="5"/>
  <c r="I100" i="10" a="1"/>
  <c r="I100" i="10" s="1"/>
  <c r="E100" i="10" a="1"/>
  <c r="E100" i="10" s="1"/>
  <c r="I22" i="10" a="1"/>
  <c r="I22" i="10" s="1"/>
  <c r="I16" i="10" a="1"/>
  <c r="I16" i="10" s="1"/>
  <c r="E16" i="10" a="1"/>
  <c r="E16" i="10" s="1"/>
  <c r="E22" i="10" a="1"/>
  <c r="E22" i="10" s="1"/>
  <c r="J225" i="6" a="1"/>
  <c r="J225" i="6" s="1"/>
  <c r="A226" i="6"/>
  <c r="I225" i="6"/>
  <c r="L52" i="10"/>
  <c r="K52" i="10"/>
  <c r="N40" i="10"/>
  <c r="M40" i="10"/>
  <c r="J58" i="10" a="1"/>
  <c r="J58" i="10" s="1"/>
  <c r="F58" i="10" a="1"/>
  <c r="F58" i="10" s="1"/>
  <c r="J46" i="10" a="1"/>
  <c r="J46" i="10" s="1"/>
  <c r="F46" i="10" a="1"/>
  <c r="F46" i="10" s="1"/>
  <c r="L58" i="10"/>
  <c r="K58" i="10"/>
  <c r="L46" i="10"/>
  <c r="K46" i="10"/>
  <c r="F52" i="10" a="1"/>
  <c r="F52" i="10" s="1"/>
  <c r="J52" i="10" a="1"/>
  <c r="J52" i="10" s="1"/>
  <c r="N34" i="10"/>
  <c r="M34" i="10"/>
  <c r="M79" i="10"/>
  <c r="O79" i="10"/>
  <c r="H37" i="10" a="1"/>
  <c r="H37" i="10" s="1"/>
  <c r="C55" i="10" a="1"/>
  <c r="C55" i="10" s="1"/>
  <c r="D37" i="10" a="1"/>
  <c r="D37" i="10" s="1"/>
  <c r="G61" i="10" a="1"/>
  <c r="G61" i="10" s="1"/>
  <c r="G49" i="10" a="1"/>
  <c r="G49" i="10" s="1"/>
  <c r="C61" i="10" a="1"/>
  <c r="C61" i="10" s="1"/>
  <c r="C49" i="10" a="1"/>
  <c r="C49" i="10" s="1"/>
  <c r="H43" i="10" a="1"/>
  <c r="H43" i="10" s="1"/>
  <c r="G55" i="10" a="1"/>
  <c r="G55" i="10" s="1"/>
  <c r="D43" i="10" a="1"/>
  <c r="D43" i="10" s="1"/>
  <c r="A197" i="9"/>
  <c r="J196" i="9" a="1"/>
  <c r="J196" i="9" s="1"/>
  <c r="I196" i="9"/>
  <c r="A202" i="3"/>
  <c r="J201" i="3" a="1"/>
  <c r="J201" i="3" s="1"/>
  <c r="I201" i="3"/>
  <c r="C86" i="10" a="1"/>
  <c r="C86" i="10" s="1"/>
  <c r="G86" i="10" a="1"/>
  <c r="G86" i="10" s="1"/>
  <c r="H80" i="10" a="1"/>
  <c r="H80" i="10" s="1"/>
  <c r="C74" i="10" a="1"/>
  <c r="C74" i="10" s="1"/>
  <c r="H62" i="10" a="1"/>
  <c r="H62" i="10" s="1"/>
  <c r="D80" i="10" a="1"/>
  <c r="D80" i="10" s="1"/>
  <c r="D62" i="10" a="1"/>
  <c r="D62" i="10" s="1"/>
  <c r="G74" i="10" a="1"/>
  <c r="G74" i="10" s="1"/>
  <c r="O68" i="10"/>
  <c r="M68" i="10"/>
  <c r="U70" i="10" a="1"/>
  <c r="U70" i="10" s="1"/>
  <c r="U69" i="10" a="1"/>
  <c r="U69" i="10" s="1"/>
  <c r="U73" i="10" a="1"/>
  <c r="U73" i="10" s="1"/>
  <c r="U68" i="10" a="1"/>
  <c r="U68" i="10" s="1"/>
  <c r="U72" i="10" a="1"/>
  <c r="U72" i="10" s="1"/>
  <c r="U71" i="10" a="1"/>
  <c r="U71" i="10" s="1"/>
  <c r="M26" i="10"/>
  <c r="U26" i="10" a="1"/>
  <c r="U26" i="10" s="1"/>
  <c r="U29" i="10" a="1"/>
  <c r="U29" i="10" s="1"/>
  <c r="U30" i="10" a="1"/>
  <c r="U30" i="10" s="1"/>
  <c r="U28" i="10" a="1"/>
  <c r="U28" i="10" s="1"/>
  <c r="O26" i="10"/>
  <c r="U27" i="10" a="1"/>
  <c r="U27" i="10" s="1"/>
  <c r="U31" i="10" a="1"/>
  <c r="U31" i="10" s="1"/>
  <c r="P77" i="10" l="1" a="1"/>
  <c r="P77" i="10" s="1"/>
  <c r="S76" i="10" a="1"/>
  <c r="S76" i="10" s="1"/>
  <c r="Q76" i="10" a="1"/>
  <c r="Q76" i="10" s="1"/>
  <c r="R76" i="10" a="1"/>
  <c r="R76" i="10" s="1"/>
  <c r="S75" i="10" a="1"/>
  <c r="S75" i="10" s="1"/>
  <c r="P76" i="10" a="1"/>
  <c r="P76" i="10" s="1"/>
  <c r="R75" i="10" a="1"/>
  <c r="R75" i="10" s="1"/>
  <c r="S74" i="10" a="1"/>
  <c r="S74" i="10" s="1"/>
  <c r="Q75" i="10" a="1"/>
  <c r="Q75" i="10" s="1"/>
  <c r="R74" i="10" a="1"/>
  <c r="R74" i="10" s="1"/>
  <c r="P75" i="10" a="1"/>
  <c r="P75" i="10" s="1"/>
  <c r="Q74" i="10" a="1"/>
  <c r="Q74" i="10" s="1"/>
  <c r="P74" i="10" a="1"/>
  <c r="P74" i="10" s="1"/>
  <c r="S79" i="10" a="1"/>
  <c r="S79" i="10" s="1"/>
  <c r="R79" i="10" a="1"/>
  <c r="R79" i="10" s="1"/>
  <c r="L74" i="10"/>
  <c r="S78" i="10" a="1"/>
  <c r="S78" i="10" s="1"/>
  <c r="K74" i="10"/>
  <c r="Q79" i="10" a="1"/>
  <c r="Q79" i="10" s="1"/>
  <c r="R78" i="10" a="1"/>
  <c r="R78" i="10" s="1"/>
  <c r="P79" i="10" a="1"/>
  <c r="P79" i="10" s="1"/>
  <c r="S77" i="10" a="1"/>
  <c r="S77" i="10" s="1"/>
  <c r="Q78" i="10" a="1"/>
  <c r="Q78" i="10" s="1"/>
  <c r="R77" i="10" a="1"/>
  <c r="R77" i="10" s="1"/>
  <c r="P78" i="10" a="1"/>
  <c r="P78" i="10" s="1"/>
  <c r="Q77" i="10" a="1"/>
  <c r="Q77" i="10" s="1"/>
  <c r="N62" i="10"/>
  <c r="M62" i="10"/>
  <c r="U64" i="10" a="1"/>
  <c r="U64" i="10" s="1"/>
  <c r="T64" i="10" a="1"/>
  <c r="T64" i="10" s="1"/>
  <c r="U63" i="10" a="1"/>
  <c r="U63" i="10" s="1"/>
  <c r="T63" i="10" a="1"/>
  <c r="T63" i="10" s="1"/>
  <c r="U67" i="10" a="1"/>
  <c r="U67" i="10" s="1"/>
  <c r="U62" i="10" a="1"/>
  <c r="U62" i="10" s="1"/>
  <c r="T67" i="10" a="1"/>
  <c r="T67" i="10" s="1"/>
  <c r="T62" i="10" a="1"/>
  <c r="T62" i="10" s="1"/>
  <c r="U66" i="10" a="1"/>
  <c r="U66" i="10" s="1"/>
  <c r="T66" i="10" a="1"/>
  <c r="T66" i="10" s="1"/>
  <c r="U65" i="10" a="1"/>
  <c r="U65" i="10" s="1"/>
  <c r="T65" i="10" a="1"/>
  <c r="T65" i="10" s="1"/>
  <c r="Y78" i="10" a="1"/>
  <c r="Y78" i="10" s="1"/>
  <c r="W75" i="10" a="1"/>
  <c r="W75" i="10" s="1"/>
  <c r="Z77" i="10" a="1"/>
  <c r="Z77" i="10" s="1"/>
  <c r="X74" i="10" a="1"/>
  <c r="X74" i="10" s="1"/>
  <c r="X78" i="10" a="1"/>
  <c r="X78" i="10" s="1"/>
  <c r="V75" i="10" a="1"/>
  <c r="V75" i="10" s="1"/>
  <c r="AB75" i="10" s="1"/>
  <c r="V79" i="10" a="1"/>
  <c r="V79" i="10" s="1"/>
  <c r="AB79" i="10" s="1"/>
  <c r="W74" i="10" a="1"/>
  <c r="W74" i="10" s="1"/>
  <c r="Y77" i="10" a="1"/>
  <c r="Y77" i="10" s="1"/>
  <c r="AA79" i="10" a="1"/>
  <c r="AA79" i="10" s="1"/>
  <c r="AA76" i="10" a="1"/>
  <c r="AA76" i="10" s="1"/>
  <c r="V74" i="10" a="1"/>
  <c r="V74" i="10" s="1"/>
  <c r="AB74" i="10" s="1"/>
  <c r="W78" i="10" a="1"/>
  <c r="W78" i="10" s="1"/>
  <c r="X77" i="10" a="1"/>
  <c r="X77" i="10" s="1"/>
  <c r="Z76" i="10" a="1"/>
  <c r="Z76" i="10" s="1"/>
  <c r="V78" i="10" a="1"/>
  <c r="V78" i="10" s="1"/>
  <c r="AB78" i="10" s="1"/>
  <c r="W77" i="10" a="1"/>
  <c r="W77" i="10" s="1"/>
  <c r="Y76" i="10" a="1"/>
  <c r="Y76" i="10" s="1"/>
  <c r="AA75" i="10" a="1"/>
  <c r="AA75" i="10" s="1"/>
  <c r="V77" i="10" a="1"/>
  <c r="V77" i="10" s="1"/>
  <c r="AB77" i="10" s="1"/>
  <c r="X76" i="10" a="1"/>
  <c r="X76" i="10" s="1"/>
  <c r="Z75" i="10" a="1"/>
  <c r="Z75" i="10" s="1"/>
  <c r="Z79" i="10" a="1"/>
  <c r="Z79" i="10" s="1"/>
  <c r="AA74" i="10" a="1"/>
  <c r="AA74" i="10" s="1"/>
  <c r="W79" i="10" a="1"/>
  <c r="W79" i="10" s="1"/>
  <c r="W76" i="10" a="1"/>
  <c r="W76" i="10" s="1"/>
  <c r="AA78" i="10" a="1"/>
  <c r="AA78" i="10" s="1"/>
  <c r="Y75" i="10" a="1"/>
  <c r="Y75" i="10" s="1"/>
  <c r="Y79" i="10" a="1"/>
  <c r="Y79" i="10" s="1"/>
  <c r="Z74" i="10" a="1"/>
  <c r="Z74" i="10" s="1"/>
  <c r="F74" i="10" a="1"/>
  <c r="F74" i="10" s="1"/>
  <c r="V76" i="10" a="1"/>
  <c r="V76" i="10" s="1"/>
  <c r="AB76" i="10" s="1"/>
  <c r="Z78" i="10" a="1"/>
  <c r="Z78" i="10" s="1"/>
  <c r="X75" i="10" a="1"/>
  <c r="X75" i="10" s="1"/>
  <c r="AA77" i="10" a="1"/>
  <c r="AA77" i="10" s="1"/>
  <c r="Y74" i="10" a="1"/>
  <c r="Y74" i="10" s="1"/>
  <c r="X79" i="10" a="1"/>
  <c r="X79" i="10" s="1"/>
  <c r="J74" i="10" a="1"/>
  <c r="J74" i="10" s="1"/>
  <c r="U81" i="10" a="1"/>
  <c r="U81" i="10" s="1"/>
  <c r="U85" i="10" a="1"/>
  <c r="U85" i="10" s="1"/>
  <c r="T85" i="10" a="1"/>
  <c r="T85" i="10" s="1"/>
  <c r="T84" i="10" a="1"/>
  <c r="T84" i="10" s="1"/>
  <c r="U83" i="10" a="1"/>
  <c r="U83" i="10" s="1"/>
  <c r="U82" i="10" a="1"/>
  <c r="U82" i="10" s="1"/>
  <c r="T83" i="10" a="1"/>
  <c r="T83" i="10" s="1"/>
  <c r="U80" i="10" a="1"/>
  <c r="U80" i="10" s="1"/>
  <c r="T80" i="10" a="1"/>
  <c r="T80" i="10" s="1"/>
  <c r="T81" i="10" a="1"/>
  <c r="T81" i="10" s="1"/>
  <c r="U84" i="10" a="1"/>
  <c r="U84" i="10" s="1"/>
  <c r="N80" i="10"/>
  <c r="M80" i="10"/>
  <c r="T82" i="10" a="1"/>
  <c r="T82" i="10" s="1"/>
  <c r="S86" i="10" a="1"/>
  <c r="S86" i="10" s="1"/>
  <c r="R91" i="10" a="1"/>
  <c r="R91" i="10" s="1"/>
  <c r="P87" i="10" a="1"/>
  <c r="P87" i="10" s="1"/>
  <c r="Q91" i="10" a="1"/>
  <c r="Q91" i="10" s="1"/>
  <c r="S90" i="10" a="1"/>
  <c r="S90" i="10" s="1"/>
  <c r="Q86" i="10" a="1"/>
  <c r="Q86" i="10" s="1"/>
  <c r="P91" i="10" a="1"/>
  <c r="P91" i="10" s="1"/>
  <c r="R90" i="10" a="1"/>
  <c r="R90" i="10" s="1"/>
  <c r="P86" i="10" a="1"/>
  <c r="P86" i="10" s="1"/>
  <c r="Q90" i="10" a="1"/>
  <c r="Q90" i="10" s="1"/>
  <c r="S89" i="10" a="1"/>
  <c r="S89" i="10" s="1"/>
  <c r="P90" i="10" a="1"/>
  <c r="P90" i="10" s="1"/>
  <c r="R89" i="10" a="1"/>
  <c r="R89" i="10" s="1"/>
  <c r="K86" i="10"/>
  <c r="Q89" i="10" a="1"/>
  <c r="Q89" i="10" s="1"/>
  <c r="S88" i="10" a="1"/>
  <c r="S88" i="10" s="1"/>
  <c r="P89" i="10" a="1"/>
  <c r="P89" i="10" s="1"/>
  <c r="R88" i="10" a="1"/>
  <c r="R88" i="10" s="1"/>
  <c r="S87" i="10" a="1"/>
  <c r="S87" i="10" s="1"/>
  <c r="Q88" i="10" a="1"/>
  <c r="Q88" i="10" s="1"/>
  <c r="P88" i="10" a="1"/>
  <c r="P88" i="10" s="1"/>
  <c r="R86" i="10" a="1"/>
  <c r="R86" i="10" s="1"/>
  <c r="R87" i="10" a="1"/>
  <c r="R87" i="10" s="1"/>
  <c r="L86" i="10"/>
  <c r="S91" i="10" a="1"/>
  <c r="S91" i="10" s="1"/>
  <c r="Q87" i="10" a="1"/>
  <c r="Q87" i="10" s="1"/>
  <c r="F86" i="10" a="1"/>
  <c r="F86" i="10" s="1"/>
  <c r="W91" i="10" a="1"/>
  <c r="W91" i="10" s="1"/>
  <c r="V90" i="10" a="1"/>
  <c r="V90" i="10" s="1"/>
  <c r="AB90" i="10" s="1"/>
  <c r="Y90" i="10" a="1"/>
  <c r="Y90" i="10" s="1"/>
  <c r="AA88" i="10" a="1"/>
  <c r="AA88" i="10" s="1"/>
  <c r="W86" i="10" a="1"/>
  <c r="W86" i="10" s="1"/>
  <c r="X89" i="10" a="1"/>
  <c r="X89" i="10" s="1"/>
  <c r="V91" i="10" a="1"/>
  <c r="V91" i="10" s="1"/>
  <c r="AB91" i="10" s="1"/>
  <c r="Z88" i="10" a="1"/>
  <c r="Z88" i="10" s="1"/>
  <c r="AA89" i="10" a="1"/>
  <c r="AA89" i="10" s="1"/>
  <c r="W89" i="10" a="1"/>
  <c r="W89" i="10" s="1"/>
  <c r="Z89" i="10" a="1"/>
  <c r="Z89" i="10" s="1"/>
  <c r="V89" i="10" a="1"/>
  <c r="V89" i="10" s="1"/>
  <c r="AB89" i="10" s="1"/>
  <c r="Y88" i="10" a="1"/>
  <c r="Y88" i="10" s="1"/>
  <c r="AA87" i="10" a="1"/>
  <c r="AA87" i="10" s="1"/>
  <c r="Z86" i="10" a="1"/>
  <c r="Z86" i="10" s="1"/>
  <c r="X88" i="10" a="1"/>
  <c r="X88" i="10" s="1"/>
  <c r="Y86" i="10" a="1"/>
  <c r="Y86" i="10" s="1"/>
  <c r="Z87" i="10" a="1"/>
  <c r="Z87" i="10" s="1"/>
  <c r="X90" i="10" a="1"/>
  <c r="X90" i="10" s="1"/>
  <c r="W88" i="10" a="1"/>
  <c r="W88" i="10" s="1"/>
  <c r="V86" i="10" a="1"/>
  <c r="V86" i="10" s="1"/>
  <c r="AB86" i="10" s="1"/>
  <c r="AA91" i="10" a="1"/>
  <c r="AA91" i="10" s="1"/>
  <c r="Y87" i="10" a="1"/>
  <c r="Y87" i="10" s="1"/>
  <c r="V88" i="10" a="1"/>
  <c r="V88" i="10" s="1"/>
  <c r="AB88" i="10" s="1"/>
  <c r="AA86" i="10" a="1"/>
  <c r="AA86" i="10" s="1"/>
  <c r="Z91" i="10" a="1"/>
  <c r="Z91" i="10" s="1"/>
  <c r="X87" i="10" a="1"/>
  <c r="X87" i="10" s="1"/>
  <c r="Y91" i="10" a="1"/>
  <c r="Y91" i="10" s="1"/>
  <c r="W87" i="10" a="1"/>
  <c r="W87" i="10" s="1"/>
  <c r="AA90" i="10" a="1"/>
  <c r="AA90" i="10" s="1"/>
  <c r="X91" i="10" a="1"/>
  <c r="X91" i="10" s="1"/>
  <c r="V87" i="10" a="1"/>
  <c r="V87" i="10" s="1"/>
  <c r="AB87" i="10" s="1"/>
  <c r="J86" i="10" a="1"/>
  <c r="J86" i="10" s="1"/>
  <c r="O86" i="10" s="1"/>
  <c r="W90" i="10" a="1"/>
  <c r="W90" i="10" s="1"/>
  <c r="Z90" i="10" a="1"/>
  <c r="Z90" i="10" s="1"/>
  <c r="Y89" i="10" a="1"/>
  <c r="Y89" i="10" s="1"/>
  <c r="X86" i="10" a="1"/>
  <c r="X86" i="10" s="1"/>
  <c r="A203" i="3"/>
  <c r="J202" i="3" a="1"/>
  <c r="J202" i="3" s="1"/>
  <c r="I202" i="3"/>
  <c r="J197" i="9" a="1"/>
  <c r="J197" i="9" s="1"/>
  <c r="A198" i="9"/>
  <c r="I197" i="9"/>
  <c r="L55" i="10"/>
  <c r="K55" i="10"/>
  <c r="N43" i="10"/>
  <c r="M43" i="10"/>
  <c r="F49" i="10" a="1"/>
  <c r="F49" i="10" s="1"/>
  <c r="J49" i="10" a="1"/>
  <c r="J49" i="10" s="1"/>
  <c r="F61" i="10" a="1"/>
  <c r="F61" i="10" s="1"/>
  <c r="J61" i="10" a="1"/>
  <c r="J61" i="10" s="1"/>
  <c r="K49" i="10"/>
  <c r="L49" i="10"/>
  <c r="L61" i="10"/>
  <c r="K61" i="10"/>
  <c r="J55" i="10" a="1"/>
  <c r="J55" i="10" s="1"/>
  <c r="F55" i="10" a="1"/>
  <c r="F55" i="10" s="1"/>
  <c r="K37" i="10"/>
  <c r="N37" i="10"/>
  <c r="M37" i="10"/>
  <c r="M52" i="10"/>
  <c r="O52" i="10"/>
  <c r="M46" i="10"/>
  <c r="O46" i="10"/>
  <c r="M58" i="10"/>
  <c r="O58" i="10"/>
  <c r="G34" i="10" a="1"/>
  <c r="G34" i="10" s="1"/>
  <c r="G82" i="10" a="1"/>
  <c r="G82" i="10" s="1"/>
  <c r="G64" i="10" a="1"/>
  <c r="G64" i="10" s="1"/>
  <c r="C34" i="10" a="1"/>
  <c r="C34" i="10" s="1"/>
  <c r="C64" i="10" a="1"/>
  <c r="C64" i="10" s="1"/>
  <c r="C82" i="10" a="1"/>
  <c r="C82" i="10" s="1"/>
  <c r="J226" i="6" a="1"/>
  <c r="J226" i="6" s="1"/>
  <c r="A227" i="6"/>
  <c r="I226" i="6"/>
  <c r="N16" i="10"/>
  <c r="L16" i="10"/>
  <c r="O16" i="10"/>
  <c r="N22" i="10"/>
  <c r="L22" i="10"/>
  <c r="O22" i="10"/>
  <c r="N100" i="10"/>
  <c r="O100" i="10"/>
  <c r="L100" i="10"/>
  <c r="J186" i="5" a="1"/>
  <c r="J186" i="5" s="1"/>
  <c r="I186" i="5"/>
  <c r="A187" i="5"/>
  <c r="L75" i="10"/>
  <c r="K75" i="10"/>
  <c r="K81" i="10"/>
  <c r="N81" i="10"/>
  <c r="M81" i="10"/>
  <c r="N63" i="10"/>
  <c r="K63" i="10"/>
  <c r="J87" i="10" a="1"/>
  <c r="J87" i="10" s="1"/>
  <c r="F87" i="10" a="1"/>
  <c r="F87" i="10" s="1"/>
  <c r="L87" i="10"/>
  <c r="K87" i="10"/>
  <c r="F75" i="10" a="1"/>
  <c r="F75" i="10" s="1"/>
  <c r="J75" i="10" a="1"/>
  <c r="J75" i="10" s="1"/>
  <c r="O53" i="10"/>
  <c r="M53" i="10"/>
  <c r="O47" i="10"/>
  <c r="M47" i="10"/>
  <c r="M59" i="10"/>
  <c r="O59" i="10"/>
  <c r="A190" i="7"/>
  <c r="J189" i="7" a="1"/>
  <c r="J189" i="7" s="1"/>
  <c r="I189" i="7"/>
  <c r="A196" i="8"/>
  <c r="J195" i="8" a="1"/>
  <c r="J195" i="8" s="1"/>
  <c r="I195" i="8"/>
  <c r="M54" i="10"/>
  <c r="O54" i="10"/>
  <c r="M60" i="10"/>
  <c r="O60" i="10"/>
  <c r="O48" i="10"/>
  <c r="M48" i="10"/>
  <c r="I102" i="10" l="1" a="1"/>
  <c r="I102" i="10" s="1"/>
  <c r="E102" i="10" a="1"/>
  <c r="E102" i="10" s="1"/>
  <c r="E24" i="10" a="1"/>
  <c r="E24" i="10" s="1"/>
  <c r="I18" i="10" a="1"/>
  <c r="I18" i="10" s="1"/>
  <c r="N18" i="10" s="1"/>
  <c r="I24" i="10" a="1"/>
  <c r="I24" i="10" s="1"/>
  <c r="E18" i="10" a="1"/>
  <c r="E18" i="10" s="1"/>
  <c r="A197" i="8"/>
  <c r="J196" i="8" a="1"/>
  <c r="J196" i="8" s="1"/>
  <c r="I196" i="8"/>
  <c r="J190" i="7" a="1"/>
  <c r="J190" i="7" s="1"/>
  <c r="A191" i="7"/>
  <c r="I190" i="7"/>
  <c r="M75" i="10"/>
  <c r="O75" i="10"/>
  <c r="O87" i="10"/>
  <c r="M87" i="10"/>
  <c r="A188" i="5"/>
  <c r="J187" i="5" a="1"/>
  <c r="J187" i="5" s="1"/>
  <c r="I187" i="5"/>
  <c r="H39" i="10" a="1"/>
  <c r="H39" i="10" s="1"/>
  <c r="D39" i="10" a="1"/>
  <c r="D39" i="10" s="1"/>
  <c r="H33" i="10" a="1"/>
  <c r="H33" i="10" s="1"/>
  <c r="D33" i="10" a="1"/>
  <c r="D33" i="10" s="1"/>
  <c r="G45" i="10" a="1"/>
  <c r="G45" i="10" s="1"/>
  <c r="C45" i="10" a="1"/>
  <c r="C45" i="10" s="1"/>
  <c r="A228" i="6"/>
  <c r="J227" i="6" a="1"/>
  <c r="J227" i="6" s="1"/>
  <c r="I227" i="6"/>
  <c r="F82" i="10" a="1"/>
  <c r="F82" i="10" s="1"/>
  <c r="J82" i="10" a="1"/>
  <c r="J82" i="10" s="1"/>
  <c r="F64" i="10" a="1"/>
  <c r="F64" i="10" s="1"/>
  <c r="J64" i="10" a="1"/>
  <c r="J64" i="10" s="1"/>
  <c r="J34" i="10" a="1"/>
  <c r="J34" i="10" s="1"/>
  <c r="O34" i="10" s="1"/>
  <c r="F34" i="10" a="1"/>
  <c r="F34" i="10" s="1"/>
  <c r="L64" i="10"/>
  <c r="K64" i="10"/>
  <c r="L82" i="10"/>
  <c r="K82" i="10"/>
  <c r="L34" i="10"/>
  <c r="K34" i="10"/>
  <c r="O55" i="10"/>
  <c r="M55" i="10"/>
  <c r="O61" i="10"/>
  <c r="M61" i="10"/>
  <c r="O49" i="10"/>
  <c r="M49" i="10"/>
  <c r="A199" i="9"/>
  <c r="J198" i="9" a="1"/>
  <c r="J198" i="9" s="1"/>
  <c r="I198" i="9"/>
  <c r="A204" i="3"/>
  <c r="I203" i="3"/>
  <c r="J203" i="3" a="1"/>
  <c r="J203" i="3" s="1"/>
  <c r="C56" i="10" a="1"/>
  <c r="C56" i="10" s="1"/>
  <c r="G44" i="10" a="1"/>
  <c r="G44" i="10" s="1"/>
  <c r="C50" i="10" a="1"/>
  <c r="C50" i="10" s="1"/>
  <c r="G56" i="10" a="1"/>
  <c r="G56" i="10" s="1"/>
  <c r="G50" i="10" a="1"/>
  <c r="G50" i="10" s="1"/>
  <c r="H32" i="10" a="1"/>
  <c r="H32" i="10" s="1"/>
  <c r="D38" i="10" a="1"/>
  <c r="D38" i="10" s="1"/>
  <c r="D32" i="10" a="1"/>
  <c r="D32" i="10" s="1"/>
  <c r="C44" i="10" a="1"/>
  <c r="C44" i="10" s="1"/>
  <c r="H38" i="10" a="1"/>
  <c r="H38" i="10" s="1"/>
  <c r="U74" i="10" a="1"/>
  <c r="U74" i="10" s="1"/>
  <c r="U76" i="10" a="1"/>
  <c r="U76" i="10" s="1"/>
  <c r="U78" i="10" a="1"/>
  <c r="U78" i="10" s="1"/>
  <c r="U77" i="10" a="1"/>
  <c r="U77" i="10" s="1"/>
  <c r="U79" i="10" a="1"/>
  <c r="U79" i="10" s="1"/>
  <c r="M74" i="10"/>
  <c r="U75" i="10" a="1"/>
  <c r="U75" i="10" s="1"/>
  <c r="O74" i="10"/>
  <c r="T42" i="10" l="1" a="1"/>
  <c r="T42" i="10" s="1"/>
  <c r="U43" i="10" a="1"/>
  <c r="U43" i="10" s="1"/>
  <c r="U42" i="10" a="1"/>
  <c r="U42" i="10" s="1"/>
  <c r="U41" i="10" a="1"/>
  <c r="U41" i="10" s="1"/>
  <c r="T43" i="10" a="1"/>
  <c r="T43" i="10" s="1"/>
  <c r="N38" i="10"/>
  <c r="M38" i="10"/>
  <c r="U40" i="10" a="1"/>
  <c r="U40" i="10" s="1"/>
  <c r="U39" i="10" a="1"/>
  <c r="U39" i="10" s="1"/>
  <c r="T40" i="10" a="1"/>
  <c r="T40" i="10" s="1"/>
  <c r="T39" i="10" a="1"/>
  <c r="T39" i="10" s="1"/>
  <c r="T41" i="10" a="1"/>
  <c r="T41" i="10" s="1"/>
  <c r="U38" i="10" a="1"/>
  <c r="U38" i="10" s="1"/>
  <c r="T38" i="10" a="1"/>
  <c r="T38" i="10" s="1"/>
  <c r="Y48" i="10" a="1"/>
  <c r="Y48" i="10" s="1"/>
  <c r="J44" i="10" a="1"/>
  <c r="J44" i="10" s="1"/>
  <c r="W44" i="10" a="1"/>
  <c r="W44" i="10" s="1"/>
  <c r="AA45" i="10" a="1"/>
  <c r="AA45" i="10" s="1"/>
  <c r="X48" i="10" a="1"/>
  <c r="X48" i="10" s="1"/>
  <c r="Z45" i="10" a="1"/>
  <c r="Z45" i="10" s="1"/>
  <c r="Z47" i="10" a="1"/>
  <c r="Z47" i="10" s="1"/>
  <c r="Y45" i="10" a="1"/>
  <c r="Y45" i="10" s="1"/>
  <c r="W48" i="10" a="1"/>
  <c r="W48" i="10" s="1"/>
  <c r="V45" i="10" a="1"/>
  <c r="V45" i="10" s="1"/>
  <c r="AB45" i="10" s="1"/>
  <c r="Y47" i="10" a="1"/>
  <c r="Y47" i="10" s="1"/>
  <c r="Z44" i="10" a="1"/>
  <c r="Z44" i="10" s="1"/>
  <c r="AA46" i="10" a="1"/>
  <c r="AA46" i="10" s="1"/>
  <c r="V49" i="10" a="1"/>
  <c r="V49" i="10" s="1"/>
  <c r="AB49" i="10" s="1"/>
  <c r="X47" i="10" a="1"/>
  <c r="X47" i="10" s="1"/>
  <c r="F44" i="10" a="1"/>
  <c r="F44" i="10" s="1"/>
  <c r="Y44" i="10" a="1"/>
  <c r="Y44" i="10" s="1"/>
  <c r="V46" i="10" a="1"/>
  <c r="V46" i="10" s="1"/>
  <c r="AB46" i="10" s="1"/>
  <c r="V48" i="10" a="1"/>
  <c r="V48" i="10" s="1"/>
  <c r="AB48" i="10" s="1"/>
  <c r="X44" i="10" a="1"/>
  <c r="X44" i="10" s="1"/>
  <c r="Z48" i="10" a="1"/>
  <c r="Z48" i="10" s="1"/>
  <c r="AA49" i="10" a="1"/>
  <c r="AA49" i="10" s="1"/>
  <c r="W47" i="10" a="1"/>
  <c r="W47" i="10" s="1"/>
  <c r="V44" i="10" a="1"/>
  <c r="V44" i="10" s="1"/>
  <c r="AB44" i="10" s="1"/>
  <c r="W46" i="10" a="1"/>
  <c r="W46" i="10" s="1"/>
  <c r="AA47" i="10" a="1"/>
  <c r="AA47" i="10" s="1"/>
  <c r="AA44" i="10" a="1"/>
  <c r="AA44" i="10" s="1"/>
  <c r="W45" i="10" a="1"/>
  <c r="W45" i="10" s="1"/>
  <c r="Z49" i="10" a="1"/>
  <c r="Z49" i="10" s="1"/>
  <c r="X45" i="10" a="1"/>
  <c r="X45" i="10" s="1"/>
  <c r="Y49" i="10" a="1"/>
  <c r="Y49" i="10" s="1"/>
  <c r="AA48" i="10" a="1"/>
  <c r="AA48" i="10" s="1"/>
  <c r="X49" i="10" a="1"/>
  <c r="X49" i="10" s="1"/>
  <c r="X46" i="10" a="1"/>
  <c r="X46" i="10" s="1"/>
  <c r="V47" i="10" a="1"/>
  <c r="V47" i="10" s="1"/>
  <c r="AB47" i="10" s="1"/>
  <c r="W49" i="10" a="1"/>
  <c r="W49" i="10" s="1"/>
  <c r="Z46" i="10" a="1"/>
  <c r="Z46" i="10" s="1"/>
  <c r="Y46" i="10" a="1"/>
  <c r="Y46" i="10" s="1"/>
  <c r="U34" i="10" a="1"/>
  <c r="U34" i="10" s="1"/>
  <c r="T34" i="10" a="1"/>
  <c r="T34" i="10" s="1"/>
  <c r="U33" i="10" a="1"/>
  <c r="U33" i="10" s="1"/>
  <c r="M32" i="10"/>
  <c r="T32" i="10" a="1"/>
  <c r="T32" i="10" s="1"/>
  <c r="T33" i="10" a="1"/>
  <c r="T33" i="10" s="1"/>
  <c r="U37" i="10" a="1"/>
  <c r="U37" i="10" s="1"/>
  <c r="T37" i="10" a="1"/>
  <c r="T37" i="10" s="1"/>
  <c r="U32" i="10" a="1"/>
  <c r="U32" i="10" s="1"/>
  <c r="U36" i="10" a="1"/>
  <c r="U36" i="10" s="1"/>
  <c r="T36" i="10" a="1"/>
  <c r="T36" i="10" s="1"/>
  <c r="T35" i="10" a="1"/>
  <c r="T35" i="10" s="1"/>
  <c r="U35" i="10" a="1"/>
  <c r="U35" i="10" s="1"/>
  <c r="N32" i="10"/>
  <c r="K50" i="10"/>
  <c r="R52" i="10" a="1"/>
  <c r="R52" i="10" s="1"/>
  <c r="P52" i="10" a="1"/>
  <c r="P52" i="10" s="1"/>
  <c r="R54" i="10" a="1"/>
  <c r="R54" i="10" s="1"/>
  <c r="R51" i="10" a="1"/>
  <c r="R51" i="10" s="1"/>
  <c r="Q54" i="10" a="1"/>
  <c r="Q54" i="10" s="1"/>
  <c r="L50" i="10"/>
  <c r="S55" i="10" a="1"/>
  <c r="S55" i="10" s="1"/>
  <c r="Q51" i="10" a="1"/>
  <c r="Q51" i="10" s="1"/>
  <c r="R55" i="10" a="1"/>
  <c r="R55" i="10" s="1"/>
  <c r="Q55" i="10" a="1"/>
  <c r="Q55" i="10" s="1"/>
  <c r="S50" i="10" a="1"/>
  <c r="S50" i="10" s="1"/>
  <c r="P51" i="10" a="1"/>
  <c r="P51" i="10" s="1"/>
  <c r="S54" i="10" a="1"/>
  <c r="S54" i="10" s="1"/>
  <c r="R50" i="10" a="1"/>
  <c r="R50" i="10" s="1"/>
  <c r="P50" i="10" a="1"/>
  <c r="P50" i="10" s="1"/>
  <c r="Q50" i="10" a="1"/>
  <c r="Q50" i="10" s="1"/>
  <c r="P55" i="10" a="1"/>
  <c r="P55" i="10" s="1"/>
  <c r="S53" i="10" a="1"/>
  <c r="S53" i="10" s="1"/>
  <c r="P54" i="10" a="1"/>
  <c r="P54" i="10" s="1"/>
  <c r="R53" i="10" a="1"/>
  <c r="R53" i="10" s="1"/>
  <c r="Q53" i="10" a="1"/>
  <c r="Q53" i="10" s="1"/>
  <c r="S52" i="10" a="1"/>
  <c r="S52" i="10" s="1"/>
  <c r="P53" i="10" a="1"/>
  <c r="P53" i="10" s="1"/>
  <c r="Q52" i="10" a="1"/>
  <c r="Q52" i="10" s="1"/>
  <c r="S51" i="10" a="1"/>
  <c r="S51" i="10" s="1"/>
  <c r="S57" i="10" a="1"/>
  <c r="S57" i="10" s="1"/>
  <c r="R57" i="10" a="1"/>
  <c r="R57" i="10" s="1"/>
  <c r="S61" i="10" a="1"/>
  <c r="S61" i="10" s="1"/>
  <c r="Q57" i="10" a="1"/>
  <c r="Q57" i="10" s="1"/>
  <c r="S56" i="10" a="1"/>
  <c r="S56" i="10" s="1"/>
  <c r="P58" i="10" a="1"/>
  <c r="P58" i="10" s="1"/>
  <c r="R56" i="10" a="1"/>
  <c r="R56" i="10" s="1"/>
  <c r="R61" i="10" a="1"/>
  <c r="R61" i="10" s="1"/>
  <c r="Q61" i="10" a="1"/>
  <c r="Q61" i="10" s="1"/>
  <c r="Q56" i="10" a="1"/>
  <c r="Q56" i="10" s="1"/>
  <c r="K56" i="10"/>
  <c r="P57" i="10" a="1"/>
  <c r="P57" i="10" s="1"/>
  <c r="S60" i="10" a="1"/>
  <c r="S60" i="10" s="1"/>
  <c r="Q60" i="10" a="1"/>
  <c r="Q60" i="10" s="1"/>
  <c r="P61" i="10" a="1"/>
  <c r="P61" i="10" s="1"/>
  <c r="R60" i="10" a="1"/>
  <c r="R60" i="10" s="1"/>
  <c r="P56" i="10" a="1"/>
  <c r="P56" i="10" s="1"/>
  <c r="S59" i="10" a="1"/>
  <c r="S59" i="10" s="1"/>
  <c r="P60" i="10" a="1"/>
  <c r="P60" i="10" s="1"/>
  <c r="L56" i="10"/>
  <c r="R59" i="10" a="1"/>
  <c r="R59" i="10" s="1"/>
  <c r="Q59" i="10" a="1"/>
  <c r="Q59" i="10" s="1"/>
  <c r="S58" i="10" a="1"/>
  <c r="S58" i="10" s="1"/>
  <c r="P59" i="10" a="1"/>
  <c r="P59" i="10" s="1"/>
  <c r="R58" i="10" a="1"/>
  <c r="R58" i="10" s="1"/>
  <c r="Q58" i="10" a="1"/>
  <c r="Q58" i="10" s="1"/>
  <c r="AA54" i="10" a="1"/>
  <c r="AA54" i="10" s="1"/>
  <c r="Y50" i="10" a="1"/>
  <c r="Y50" i="10" s="1"/>
  <c r="X55" i="10" a="1"/>
  <c r="X55" i="10" s="1"/>
  <c r="V51" i="10" a="1"/>
  <c r="V51" i="10" s="1"/>
  <c r="AB51" i="10" s="1"/>
  <c r="V50" i="10" a="1"/>
  <c r="V50" i="10" s="1"/>
  <c r="AB50" i="10" s="1"/>
  <c r="J50" i="10" a="1"/>
  <c r="J50" i="10" s="1"/>
  <c r="X54" i="10" a="1"/>
  <c r="X54" i="10" s="1"/>
  <c r="Z53" i="10" a="1"/>
  <c r="Z53" i="10" s="1"/>
  <c r="AA51" i="10" a="1"/>
  <c r="AA51" i="10" s="1"/>
  <c r="Z54" i="10" a="1"/>
  <c r="Z54" i="10" s="1"/>
  <c r="V54" i="10" a="1"/>
  <c r="V54" i="10" s="1"/>
  <c r="AB54" i="10" s="1"/>
  <c r="W51" i="10" a="1"/>
  <c r="W51" i="10" s="1"/>
  <c r="W54" i="10" a="1"/>
  <c r="W54" i="10" s="1"/>
  <c r="X50" i="10" a="1"/>
  <c r="X50" i="10" s="1"/>
  <c r="W55" i="10" a="1"/>
  <c r="W55" i="10" s="1"/>
  <c r="AA53" i="10" a="1"/>
  <c r="AA53" i="10" s="1"/>
  <c r="Y53" i="10" a="1"/>
  <c r="Y53" i="10" s="1"/>
  <c r="F50" i="10" a="1"/>
  <c r="F50" i="10" s="1"/>
  <c r="V55" i="10" a="1"/>
  <c r="V55" i="10" s="1"/>
  <c r="AB55" i="10" s="1"/>
  <c r="W50" i="10" a="1"/>
  <c r="W50" i="10" s="1"/>
  <c r="Y55" i="10" a="1"/>
  <c r="Y55" i="10" s="1"/>
  <c r="AA52" i="10" a="1"/>
  <c r="AA52" i="10" s="1"/>
  <c r="X53" i="10" a="1"/>
  <c r="X53" i="10" s="1"/>
  <c r="Z52" i="10" a="1"/>
  <c r="Z52" i="10" s="1"/>
  <c r="W53" i="10" a="1"/>
  <c r="W53" i="10" s="1"/>
  <c r="AA50" i="10" a="1"/>
  <c r="AA50" i="10" s="1"/>
  <c r="Y52" i="10" a="1"/>
  <c r="Y52" i="10" s="1"/>
  <c r="Z50" i="10" a="1"/>
  <c r="Z50" i="10" s="1"/>
  <c r="V53" i="10" a="1"/>
  <c r="V53" i="10" s="1"/>
  <c r="AB53" i="10" s="1"/>
  <c r="X52" i="10" a="1"/>
  <c r="X52" i="10" s="1"/>
  <c r="W52" i="10" a="1"/>
  <c r="W52" i="10" s="1"/>
  <c r="Y51" i="10" a="1"/>
  <c r="Y51" i="10" s="1"/>
  <c r="Z51" i="10" a="1"/>
  <c r="Z51" i="10" s="1"/>
  <c r="V52" i="10" a="1"/>
  <c r="V52" i="10" s="1"/>
  <c r="AB52" i="10" s="1"/>
  <c r="AA55" i="10" a="1"/>
  <c r="AA55" i="10" s="1"/>
  <c r="Y54" i="10" a="1"/>
  <c r="Y54" i="10" s="1"/>
  <c r="X51" i="10" a="1"/>
  <c r="X51" i="10" s="1"/>
  <c r="Z55" i="10" a="1"/>
  <c r="Z55" i="10" s="1"/>
  <c r="P46" i="10" a="1"/>
  <c r="P46" i="10" s="1"/>
  <c r="S49" i="10" a="1"/>
  <c r="S49" i="10" s="1"/>
  <c r="R45" i="10" a="1"/>
  <c r="R45" i="10" s="1"/>
  <c r="R49" i="10" a="1"/>
  <c r="R49" i="10" s="1"/>
  <c r="P45" i="10" a="1"/>
  <c r="P45" i="10" s="1"/>
  <c r="Q49" i="10" a="1"/>
  <c r="Q49" i="10" s="1"/>
  <c r="R48" i="10" a="1"/>
  <c r="R48" i="10" s="1"/>
  <c r="P44" i="10" a="1"/>
  <c r="P44" i="10" s="1"/>
  <c r="S47" i="10" a="1"/>
  <c r="S47" i="10" s="1"/>
  <c r="R47" i="10" a="1"/>
  <c r="R47" i="10" s="1"/>
  <c r="Q48" i="10" a="1"/>
  <c r="Q48" i="10" s="1"/>
  <c r="Q47" i="10" a="1"/>
  <c r="Q47" i="10" s="1"/>
  <c r="Q44" i="10" a="1"/>
  <c r="Q44" i="10" s="1"/>
  <c r="K44" i="10"/>
  <c r="S45" i="10" a="1"/>
  <c r="S45" i="10" s="1"/>
  <c r="S48" i="10" a="1"/>
  <c r="S48" i="10" s="1"/>
  <c r="P48" i="10" a="1"/>
  <c r="P48" i="10" s="1"/>
  <c r="R44" i="10" a="1"/>
  <c r="R44" i="10" s="1"/>
  <c r="P49" i="10" a="1"/>
  <c r="P49" i="10" s="1"/>
  <c r="R46" i="10" a="1"/>
  <c r="R46" i="10" s="1"/>
  <c r="L44" i="10"/>
  <c r="S46" i="10" a="1"/>
  <c r="S46" i="10" s="1"/>
  <c r="P47" i="10" a="1"/>
  <c r="P47" i="10" s="1"/>
  <c r="Q45" i="10" a="1"/>
  <c r="Q45" i="10" s="1"/>
  <c r="S44" i="10" a="1"/>
  <c r="S44" i="10" s="1"/>
  <c r="Q46" i="10" a="1"/>
  <c r="Q46" i="10" s="1"/>
  <c r="AA57" i="10" a="1"/>
  <c r="AA57" i="10" s="1"/>
  <c r="V56" i="10" a="1"/>
  <c r="V56" i="10" s="1"/>
  <c r="AB56" i="10" s="1"/>
  <c r="X58" i="10" a="1"/>
  <c r="X58" i="10" s="1"/>
  <c r="Z59" i="10" a="1"/>
  <c r="Z59" i="10" s="1"/>
  <c r="W58" i="10" a="1"/>
  <c r="W58" i="10" s="1"/>
  <c r="Y59" i="10" a="1"/>
  <c r="Y59" i="10" s="1"/>
  <c r="V57" i="10" a="1"/>
  <c r="V57" i="10" s="1"/>
  <c r="AB57" i="10" s="1"/>
  <c r="AA61" i="10" a="1"/>
  <c r="AA61" i="10" s="1"/>
  <c r="F56" i="10" a="1"/>
  <c r="F56" i="10" s="1"/>
  <c r="Z58" i="10" a="1"/>
  <c r="Z58" i="10" s="1"/>
  <c r="X57" i="10" a="1"/>
  <c r="X57" i="10" s="1"/>
  <c r="Z57" i="10" a="1"/>
  <c r="Z57" i="10" s="1"/>
  <c r="Y57" i="10" a="1"/>
  <c r="Y57" i="10" s="1"/>
  <c r="V60" i="10" a="1"/>
  <c r="V60" i="10" s="1"/>
  <c r="AB60" i="10" s="1"/>
  <c r="V58" i="10" a="1"/>
  <c r="V58" i="10" s="1"/>
  <c r="AB58" i="10" s="1"/>
  <c r="X59" i="10" a="1"/>
  <c r="X59" i="10" s="1"/>
  <c r="W59" i="10" a="1"/>
  <c r="W59" i="10" s="1"/>
  <c r="X56" i="10" a="1"/>
  <c r="X56" i="10" s="1"/>
  <c r="W60" i="10" a="1"/>
  <c r="W60" i="10" s="1"/>
  <c r="AA58" i="10" a="1"/>
  <c r="AA58" i="10" s="1"/>
  <c r="AA56" i="10" a="1"/>
  <c r="AA56" i="10" s="1"/>
  <c r="Z61" i="10" a="1"/>
  <c r="Z61" i="10" s="1"/>
  <c r="V59" i="10" a="1"/>
  <c r="V59" i="10" s="1"/>
  <c r="AB59" i="10" s="1"/>
  <c r="Z56" i="10" a="1"/>
  <c r="Z56" i="10" s="1"/>
  <c r="Y56" i="10" a="1"/>
  <c r="Y56" i="10" s="1"/>
  <c r="W57" i="10" a="1"/>
  <c r="W57" i="10" s="1"/>
  <c r="J56" i="10" a="1"/>
  <c r="J56" i="10" s="1"/>
  <c r="Y61" i="10" a="1"/>
  <c r="Y61" i="10" s="1"/>
  <c r="AA60" i="10" a="1"/>
  <c r="AA60" i="10" s="1"/>
  <c r="X61" i="10" a="1"/>
  <c r="X61" i="10" s="1"/>
  <c r="Y58" i="10" a="1"/>
  <c r="Y58" i="10" s="1"/>
  <c r="X60" i="10" a="1"/>
  <c r="X60" i="10" s="1"/>
  <c r="Z60" i="10" a="1"/>
  <c r="Z60" i="10" s="1"/>
  <c r="AA59" i="10" a="1"/>
  <c r="AA59" i="10" s="1"/>
  <c r="W61" i="10" a="1"/>
  <c r="W61" i="10" s="1"/>
  <c r="V61" i="10" a="1"/>
  <c r="V61" i="10" s="1"/>
  <c r="AB61" i="10" s="1"/>
  <c r="Y60" i="10" a="1"/>
  <c r="Y60" i="10" s="1"/>
  <c r="W56" i="10" a="1"/>
  <c r="W56" i="10" s="1"/>
  <c r="A205" i="3"/>
  <c r="J204" i="3" a="1"/>
  <c r="J204" i="3" s="1"/>
  <c r="I204" i="3"/>
  <c r="A200" i="9"/>
  <c r="J199" i="9" a="1"/>
  <c r="J199" i="9" s="1"/>
  <c r="I199" i="9"/>
  <c r="O64" i="10"/>
  <c r="M64" i="10"/>
  <c r="O82" i="10"/>
  <c r="M82" i="10"/>
  <c r="A229" i="6"/>
  <c r="I228" i="6"/>
  <c r="J228" i="6" a="1"/>
  <c r="J228" i="6" s="1"/>
  <c r="F45" i="10" a="1"/>
  <c r="F45" i="10" s="1"/>
  <c r="J45" i="10" a="1"/>
  <c r="J45" i="10" s="1"/>
  <c r="K45" i="10"/>
  <c r="L45" i="10"/>
  <c r="K33" i="10"/>
  <c r="N33" i="10"/>
  <c r="M33" i="10"/>
  <c r="N39" i="10"/>
  <c r="M39" i="10"/>
  <c r="A189" i="5"/>
  <c r="J188" i="5" a="1"/>
  <c r="J188" i="5" s="1"/>
  <c r="I188" i="5"/>
  <c r="I101" i="10" a="1"/>
  <c r="I101" i="10" s="1"/>
  <c r="E23" i="10" a="1"/>
  <c r="E23" i="10" s="1"/>
  <c r="E101" i="10" a="1"/>
  <c r="E101" i="10" s="1"/>
  <c r="I17" i="10" a="1"/>
  <c r="I17" i="10" s="1"/>
  <c r="E17" i="10" a="1"/>
  <c r="E17" i="10" s="1"/>
  <c r="I23" i="10" a="1"/>
  <c r="I23" i="10" s="1"/>
  <c r="J191" i="7" a="1"/>
  <c r="J191" i="7" s="1"/>
  <c r="A192" i="7"/>
  <c r="I191" i="7"/>
  <c r="C66" i="10" a="1"/>
  <c r="C66" i="10" s="1"/>
  <c r="C84" i="10" a="1"/>
  <c r="C84" i="10" s="1"/>
  <c r="G36" i="10" a="1"/>
  <c r="G36" i="10" s="1"/>
  <c r="G84" i="10" a="1"/>
  <c r="G84" i="10" s="1"/>
  <c r="G66" i="10" a="1"/>
  <c r="G66" i="10" s="1"/>
  <c r="C36" i="10" a="1"/>
  <c r="C36" i="10" s="1"/>
  <c r="A198" i="8"/>
  <c r="J197" i="8" a="1"/>
  <c r="J197" i="8" s="1"/>
  <c r="I197" i="8"/>
  <c r="O24" i="10"/>
  <c r="N24" i="10"/>
  <c r="N102" i="10"/>
  <c r="O102" i="10"/>
  <c r="A199" i="8" l="1"/>
  <c r="J198" i="8" a="1"/>
  <c r="J198" i="8" s="1"/>
  <c r="I198" i="8"/>
  <c r="F36" i="10" a="1"/>
  <c r="F36" i="10" s="1"/>
  <c r="J36" i="10" a="1"/>
  <c r="J36" i="10" s="1"/>
  <c r="O36" i="10" s="1"/>
  <c r="L66" i="10"/>
  <c r="K66" i="10"/>
  <c r="K84" i="10"/>
  <c r="L84" i="10"/>
  <c r="L36" i="10"/>
  <c r="K36" i="10"/>
  <c r="F84" i="10" a="1"/>
  <c r="F84" i="10" s="1"/>
  <c r="J84" i="10" a="1"/>
  <c r="J84" i="10" s="1"/>
  <c r="J66" i="10" a="1"/>
  <c r="J66" i="10" s="1"/>
  <c r="F66" i="10" a="1"/>
  <c r="F66" i="10" s="1"/>
  <c r="A193" i="7"/>
  <c r="J192" i="7" a="1"/>
  <c r="J192" i="7" s="1"/>
  <c r="G35" i="10" a="1"/>
  <c r="G35" i="10" s="1"/>
  <c r="G83" i="10" a="1"/>
  <c r="G83" i="10" s="1"/>
  <c r="G65" i="10" a="1"/>
  <c r="G65" i="10" s="1"/>
  <c r="C35" i="10" a="1"/>
  <c r="C35" i="10" s="1"/>
  <c r="C83" i="10" a="1"/>
  <c r="C83" i="10" s="1"/>
  <c r="C65" i="10" a="1"/>
  <c r="C65" i="10" s="1"/>
  <c r="I192" i="7"/>
  <c r="N23" i="10"/>
  <c r="O23" i="10"/>
  <c r="O17" i="10"/>
  <c r="N17" i="10"/>
  <c r="O101" i="10"/>
  <c r="N101" i="10"/>
  <c r="J189" i="5" a="1"/>
  <c r="J189" i="5" s="1"/>
  <c r="A190" i="5"/>
  <c r="I189" i="5"/>
  <c r="M45" i="10"/>
  <c r="O45" i="10"/>
  <c r="A230" i="6"/>
  <c r="J229" i="6" a="1"/>
  <c r="J229" i="6" s="1"/>
  <c r="I229" i="6"/>
  <c r="A201" i="9"/>
  <c r="J200" i="9" a="1"/>
  <c r="J200" i="9" s="1"/>
  <c r="I200" i="9"/>
  <c r="A206" i="3"/>
  <c r="J205" i="3" a="1"/>
  <c r="J205" i="3" s="1"/>
  <c r="I205" i="3"/>
  <c r="I14" i="10" a="1"/>
  <c r="I14" i="10" s="1"/>
  <c r="E20" i="10" a="1"/>
  <c r="E20" i="10" s="1"/>
  <c r="E14" i="10" a="1"/>
  <c r="E14" i="10" s="1"/>
  <c r="I98" i="10" a="1"/>
  <c r="I98" i="10" s="1"/>
  <c r="E98" i="10" a="1"/>
  <c r="E98" i="10" s="1"/>
  <c r="I20" i="10" a="1"/>
  <c r="I20" i="10" s="1"/>
  <c r="O56" i="10"/>
  <c r="M56" i="10"/>
  <c r="O50" i="10"/>
  <c r="M50" i="10"/>
  <c r="O44" i="10"/>
  <c r="U46" i="10" a="1"/>
  <c r="U46" i="10" s="1"/>
  <c r="U45" i="10" a="1"/>
  <c r="U45" i="10" s="1"/>
  <c r="U49" i="10" a="1"/>
  <c r="U49" i="10" s="1"/>
  <c r="U44" i="10" a="1"/>
  <c r="U44" i="10" s="1"/>
  <c r="M44" i="10"/>
  <c r="U47" i="10" a="1"/>
  <c r="U47" i="10" s="1"/>
  <c r="U48" i="10" a="1"/>
  <c r="U48" i="10" s="1"/>
  <c r="O20" i="10" l="1"/>
  <c r="T23" i="10" a="1"/>
  <c r="T23" i="10" s="1"/>
  <c r="N20" i="10"/>
  <c r="T22" i="10" a="1"/>
  <c r="T22" i="10" s="1"/>
  <c r="T21" i="10" a="1"/>
  <c r="T21" i="10" s="1"/>
  <c r="T25" i="10" a="1"/>
  <c r="T25" i="10" s="1"/>
  <c r="T20" i="10" a="1"/>
  <c r="T20" i="10" s="1"/>
  <c r="T24" i="10" a="1"/>
  <c r="T24" i="10" s="1"/>
  <c r="L20" i="10"/>
  <c r="T103" i="10" a="1"/>
  <c r="T103" i="10" s="1"/>
  <c r="T101" i="10" a="1"/>
  <c r="T101" i="10" s="1"/>
  <c r="T99" i="10" a="1"/>
  <c r="T99" i="10" s="1"/>
  <c r="T98" i="10" a="1"/>
  <c r="T98" i="10" s="1"/>
  <c r="T102" i="10" a="1"/>
  <c r="T102" i="10" s="1"/>
  <c r="T100" i="10" a="1"/>
  <c r="T100" i="10" s="1"/>
  <c r="L98" i="10"/>
  <c r="N98" i="10"/>
  <c r="O98" i="10"/>
  <c r="O14" i="10"/>
  <c r="T14" i="10" a="1"/>
  <c r="T14" i="10" s="1"/>
  <c r="T18" i="10" a="1"/>
  <c r="T18" i="10" s="1"/>
  <c r="T17" i="10" a="1"/>
  <c r="T17" i="10" s="1"/>
  <c r="N14" i="10"/>
  <c r="T16" i="10" a="1"/>
  <c r="T16" i="10" s="1"/>
  <c r="T15" i="10" a="1"/>
  <c r="T15" i="10" s="1"/>
  <c r="T19" i="10" a="1"/>
  <c r="T19" i="10" s="1"/>
  <c r="L14" i="10"/>
  <c r="J206" i="3" a="1"/>
  <c r="J206" i="3" s="1"/>
  <c r="I206" i="3"/>
  <c r="A207" i="3"/>
  <c r="A202" i="9"/>
  <c r="J201" i="9" a="1"/>
  <c r="J201" i="9" s="1"/>
  <c r="I201" i="9"/>
  <c r="J230" i="6" a="1"/>
  <c r="J230" i="6" s="1"/>
  <c r="A231" i="6"/>
  <c r="I230" i="6"/>
  <c r="I99" i="10" a="1"/>
  <c r="I99" i="10" s="1"/>
  <c r="E99" i="10" a="1"/>
  <c r="E99" i="10" s="1"/>
  <c r="E21" i="10" a="1"/>
  <c r="E21" i="10" s="1"/>
  <c r="E15" i="10" a="1"/>
  <c r="E15" i="10" s="1"/>
  <c r="I21" i="10" a="1"/>
  <c r="I21" i="10" s="1"/>
  <c r="N21" i="10" s="1"/>
  <c r="I15" i="10" a="1"/>
  <c r="I15" i="10" s="1"/>
  <c r="A191" i="5"/>
  <c r="J190" i="5" a="1"/>
  <c r="J190" i="5" s="1"/>
  <c r="I190" i="5"/>
  <c r="F65" i="10" a="1"/>
  <c r="F65" i="10" s="1"/>
  <c r="J65" i="10" a="1"/>
  <c r="J65" i="10" s="1"/>
  <c r="J83" i="10" a="1"/>
  <c r="J83" i="10" s="1"/>
  <c r="O83" i="10" s="1"/>
  <c r="F83" i="10" a="1"/>
  <c r="F83" i="10" s="1"/>
  <c r="J35" i="10" a="1"/>
  <c r="J35" i="10" s="1"/>
  <c r="O35" i="10" s="1"/>
  <c r="F35" i="10" a="1"/>
  <c r="F35" i="10" s="1"/>
  <c r="L65" i="10"/>
  <c r="K65" i="10"/>
  <c r="L83" i="10"/>
  <c r="K83" i="10"/>
  <c r="K35" i="10"/>
  <c r="L35" i="10"/>
  <c r="A194" i="7"/>
  <c r="J193" i="7" a="1"/>
  <c r="J193" i="7" s="1"/>
  <c r="I193" i="7"/>
  <c r="O66" i="10"/>
  <c r="M66" i="10"/>
  <c r="O84" i="10"/>
  <c r="M84" i="10"/>
  <c r="A200" i="8"/>
  <c r="J199" i="8" a="1"/>
  <c r="J199" i="8" s="1"/>
  <c r="I199" i="8"/>
  <c r="A201" i="8" l="1"/>
  <c r="J200" i="8" a="1"/>
  <c r="J200" i="8" s="1"/>
  <c r="I200" i="8"/>
  <c r="A195" i="7"/>
  <c r="J194" i="7" a="1"/>
  <c r="J194" i="7" s="1"/>
  <c r="I194" i="7"/>
  <c r="M65" i="10"/>
  <c r="O65" i="10"/>
  <c r="A192" i="5"/>
  <c r="J191" i="5" a="1"/>
  <c r="J191" i="5" s="1"/>
  <c r="I191" i="5"/>
  <c r="N15" i="10"/>
  <c r="O15" i="10"/>
  <c r="N99" i="10"/>
  <c r="O99" i="10"/>
  <c r="A232" i="6"/>
  <c r="I231" i="6"/>
  <c r="J231" i="6" a="1"/>
  <c r="J231" i="6" s="1"/>
  <c r="A203" i="9"/>
  <c r="J202" i="9" a="1"/>
  <c r="J202" i="9" s="1"/>
  <c r="I202" i="9"/>
  <c r="A208" i="3"/>
  <c r="J207" i="3" a="1"/>
  <c r="J207" i="3" s="1"/>
  <c r="I207" i="3"/>
  <c r="A209" i="3" l="1"/>
  <c r="J208" i="3" a="1"/>
  <c r="J208" i="3" s="1"/>
  <c r="I208" i="3"/>
  <c r="G80" i="10" a="1"/>
  <c r="G80" i="10" s="1"/>
  <c r="G62" i="10" a="1"/>
  <c r="G62" i="10" s="1"/>
  <c r="C80" i="10" a="1"/>
  <c r="C80" i="10" s="1"/>
  <c r="C62" i="10" a="1"/>
  <c r="C62" i="10" s="1"/>
  <c r="G32" i="10" a="1"/>
  <c r="G32" i="10" s="1"/>
  <c r="C32" i="10" a="1"/>
  <c r="C32" i="10" s="1"/>
  <c r="J203" i="9" a="1"/>
  <c r="J203" i="9" s="1"/>
  <c r="I203" i="9"/>
  <c r="A204" i="9"/>
  <c r="J232" i="6" a="1"/>
  <c r="J232" i="6" s="1"/>
  <c r="I232" i="6"/>
  <c r="A233" i="6"/>
  <c r="A193" i="5"/>
  <c r="J192" i="5" a="1"/>
  <c r="J192" i="5" s="1"/>
  <c r="I192" i="5"/>
  <c r="G105" i="10" a="1"/>
  <c r="G105" i="10" s="1"/>
  <c r="C105" i="10" a="1"/>
  <c r="C105" i="10" s="1"/>
  <c r="J195" i="7" a="1"/>
  <c r="J195" i="7" s="1"/>
  <c r="A196" i="7"/>
  <c r="I195" i="7"/>
  <c r="A202" i="8"/>
  <c r="J201" i="8" a="1"/>
  <c r="J201" i="8" s="1"/>
  <c r="I201" i="8"/>
  <c r="A203" i="8" l="1"/>
  <c r="J202" i="8" a="1"/>
  <c r="J202" i="8" s="1"/>
  <c r="I202" i="8"/>
  <c r="A197" i="7"/>
  <c r="I196" i="7"/>
  <c r="J196" i="7" a="1"/>
  <c r="J196" i="7" s="1"/>
  <c r="F105" i="10" a="1"/>
  <c r="F105" i="10" s="1"/>
  <c r="J105" i="10" a="1"/>
  <c r="J105" i="10" s="1"/>
  <c r="M105" i="10" s="1"/>
  <c r="L105" i="10"/>
  <c r="K105" i="10"/>
  <c r="A194" i="5"/>
  <c r="J193" i="5" a="1"/>
  <c r="J193" i="5" s="1"/>
  <c r="I193" i="5"/>
  <c r="A234" i="6"/>
  <c r="I233" i="6"/>
  <c r="J233" i="6" a="1"/>
  <c r="J233" i="6" s="1"/>
  <c r="A205" i="9"/>
  <c r="J204" i="9" a="1"/>
  <c r="J204" i="9" s="1"/>
  <c r="I204" i="9"/>
  <c r="X36" i="10" a="1"/>
  <c r="X36" i="10" s="1"/>
  <c r="Y37" i="10" a="1"/>
  <c r="Y37" i="10" s="1"/>
  <c r="V32" i="10" a="1"/>
  <c r="V32" i="10" s="1"/>
  <c r="AB32" i="10" s="1"/>
  <c r="W33" i="10" a="1"/>
  <c r="W33" i="10" s="1"/>
  <c r="Z35" i="10" a="1"/>
  <c r="Z35" i="10" s="1"/>
  <c r="AA36" i="10" a="1"/>
  <c r="AA36" i="10" s="1"/>
  <c r="W36" i="10" a="1"/>
  <c r="W36" i="10" s="1"/>
  <c r="Y32" i="10" a="1"/>
  <c r="Y32" i="10" s="1"/>
  <c r="Y35" i="10" a="1"/>
  <c r="Y35" i="10" s="1"/>
  <c r="X37" i="10" a="1"/>
  <c r="X37" i="10" s="1"/>
  <c r="F32" i="10" a="1"/>
  <c r="F32" i="10" s="1"/>
  <c r="V33" i="10" a="1"/>
  <c r="V33" i="10" s="1"/>
  <c r="AB33" i="10" s="1"/>
  <c r="V36" i="10" a="1"/>
  <c r="V36" i="10" s="1"/>
  <c r="AB36" i="10" s="1"/>
  <c r="J32" i="10" a="1"/>
  <c r="J32" i="10" s="1"/>
  <c r="O32" i="10" s="1"/>
  <c r="AA34" i="10" a="1"/>
  <c r="AA34" i="10" s="1"/>
  <c r="Z36" i="10" a="1"/>
  <c r="Z36" i="10" s="1"/>
  <c r="X35" i="10" a="1"/>
  <c r="X35" i="10" s="1"/>
  <c r="X32" i="10" a="1"/>
  <c r="X32" i="10" s="1"/>
  <c r="Z34" i="10" a="1"/>
  <c r="Z34" i="10" s="1"/>
  <c r="W37" i="10" a="1"/>
  <c r="W37" i="10" s="1"/>
  <c r="W35" i="10" a="1"/>
  <c r="W35" i="10" s="1"/>
  <c r="Y36" i="10" a="1"/>
  <c r="Y36" i="10" s="1"/>
  <c r="Y34" i="10" a="1"/>
  <c r="Y34" i="10" s="1"/>
  <c r="W32" i="10" a="1"/>
  <c r="W32" i="10" s="1"/>
  <c r="V35" i="10" a="1"/>
  <c r="V35" i="10" s="1"/>
  <c r="AB35" i="10" s="1"/>
  <c r="AA33" i="10" a="1"/>
  <c r="AA33" i="10" s="1"/>
  <c r="X34" i="10" a="1"/>
  <c r="X34" i="10" s="1"/>
  <c r="Z33" i="10" a="1"/>
  <c r="Z33" i="10" s="1"/>
  <c r="W34" i="10" a="1"/>
  <c r="W34" i="10" s="1"/>
  <c r="AA37" i="10" a="1"/>
  <c r="AA37" i="10" s="1"/>
  <c r="Y33" i="10" a="1"/>
  <c r="Y33" i="10" s="1"/>
  <c r="V34" i="10" a="1"/>
  <c r="V34" i="10" s="1"/>
  <c r="AB34" i="10" s="1"/>
  <c r="AA32" i="10" a="1"/>
  <c r="AA32" i="10" s="1"/>
  <c r="Z37" i="10" a="1"/>
  <c r="Z37" i="10" s="1"/>
  <c r="V37" i="10" a="1"/>
  <c r="V37" i="10" s="1"/>
  <c r="AB37" i="10" s="1"/>
  <c r="X33" i="10" a="1"/>
  <c r="X33" i="10" s="1"/>
  <c r="AA35" i="10" a="1"/>
  <c r="AA35" i="10" s="1"/>
  <c r="Z32" i="10" a="1"/>
  <c r="Z32" i="10" s="1"/>
  <c r="Q32" i="10" a="1"/>
  <c r="Q32" i="10" s="1"/>
  <c r="P37" i="10" a="1"/>
  <c r="P37" i="10" s="1"/>
  <c r="R36" i="10" a="1"/>
  <c r="R36" i="10" s="1"/>
  <c r="P32" i="10" a="1"/>
  <c r="P32" i="10" s="1"/>
  <c r="Q36" i="10" a="1"/>
  <c r="Q36" i="10" s="1"/>
  <c r="S35" i="10" a="1"/>
  <c r="S35" i="10" s="1"/>
  <c r="P36" i="10" a="1"/>
  <c r="P36" i="10" s="1"/>
  <c r="L32" i="10"/>
  <c r="R35" i="10" a="1"/>
  <c r="R35" i="10" s="1"/>
  <c r="K32" i="10"/>
  <c r="Q35" i="10" a="1"/>
  <c r="Q35" i="10" s="1"/>
  <c r="S34" i="10" a="1"/>
  <c r="S34" i="10" s="1"/>
  <c r="Q34" i="10" a="1"/>
  <c r="Q34" i="10" s="1"/>
  <c r="P35" i="10" a="1"/>
  <c r="P35" i="10" s="1"/>
  <c r="S33" i="10" a="1"/>
  <c r="S33" i="10" s="1"/>
  <c r="R34" i="10" a="1"/>
  <c r="R34" i="10" s="1"/>
  <c r="P34" i="10" a="1"/>
  <c r="P34" i="10" s="1"/>
  <c r="R33" i="10" a="1"/>
  <c r="R33" i="10" s="1"/>
  <c r="S37" i="10" a="1"/>
  <c r="S37" i="10" s="1"/>
  <c r="Q33" i="10" a="1"/>
  <c r="Q33" i="10" s="1"/>
  <c r="S32" i="10" a="1"/>
  <c r="S32" i="10" s="1"/>
  <c r="R37" i="10" a="1"/>
  <c r="R37" i="10" s="1"/>
  <c r="P33" i="10" a="1"/>
  <c r="P33" i="10" s="1"/>
  <c r="R32" i="10" a="1"/>
  <c r="R32" i="10" s="1"/>
  <c r="Q37" i="10" a="1"/>
  <c r="Q37" i="10" s="1"/>
  <c r="S36" i="10" a="1"/>
  <c r="S36" i="10" s="1"/>
  <c r="V63" i="10" a="1"/>
  <c r="V63" i="10" s="1"/>
  <c r="AB63" i="10" s="1"/>
  <c r="Z63" i="10" a="1"/>
  <c r="Z63" i="10" s="1"/>
  <c r="J62" i="10" a="1"/>
  <c r="J62" i="10" s="1"/>
  <c r="O62" i="10" s="1"/>
  <c r="W64" i="10" a="1"/>
  <c r="W64" i="10" s="1"/>
  <c r="Z66" i="10" a="1"/>
  <c r="Z66" i="10" s="1"/>
  <c r="AA67" i="10" a="1"/>
  <c r="AA67" i="10" s="1"/>
  <c r="X62" i="10" a="1"/>
  <c r="X62" i="10" s="1"/>
  <c r="Y63" i="10" a="1"/>
  <c r="Y63" i="10" s="1"/>
  <c r="W67" i="10" a="1"/>
  <c r="W67" i="10" s="1"/>
  <c r="Y66" i="10" a="1"/>
  <c r="Y66" i="10" s="1"/>
  <c r="W62" i="10" a="1"/>
  <c r="W62" i="10" s="1"/>
  <c r="V67" i="10" a="1"/>
  <c r="V67" i="10" s="1"/>
  <c r="AB67" i="10" s="1"/>
  <c r="AA65" i="10" a="1"/>
  <c r="AA65" i="10" s="1"/>
  <c r="X66" i="10" a="1"/>
  <c r="X66" i="10" s="1"/>
  <c r="V62" i="10" a="1"/>
  <c r="V62" i="10" s="1"/>
  <c r="AB62" i="10" s="1"/>
  <c r="Z65" i="10" a="1"/>
  <c r="Z65" i="10" s="1"/>
  <c r="W66" i="10" a="1"/>
  <c r="W66" i="10" s="1"/>
  <c r="Y65" i="10" a="1"/>
  <c r="Y65" i="10" s="1"/>
  <c r="V64" i="10" a="1"/>
  <c r="V64" i="10" s="1"/>
  <c r="AB64" i="10" s="1"/>
  <c r="F62" i="10" a="1"/>
  <c r="F62" i="10" s="1"/>
  <c r="AA62" i="10" a="1"/>
  <c r="AA62" i="10" s="1"/>
  <c r="V66" i="10" a="1"/>
  <c r="V66" i="10" s="1"/>
  <c r="AB66" i="10" s="1"/>
  <c r="Z67" i="10" a="1"/>
  <c r="Z67" i="10" s="1"/>
  <c r="AA64" i="10" a="1"/>
  <c r="AA64" i="10" s="1"/>
  <c r="X63" i="10" a="1"/>
  <c r="X63" i="10" s="1"/>
  <c r="X65" i="10" a="1"/>
  <c r="X65" i="10" s="1"/>
  <c r="Z62" i="10" a="1"/>
  <c r="Z62" i="10" s="1"/>
  <c r="Z64" i="10" a="1"/>
  <c r="Z64" i="10" s="1"/>
  <c r="Y67" i="10" a="1"/>
  <c r="Y67" i="10" s="1"/>
  <c r="W65" i="10" a="1"/>
  <c r="W65" i="10" s="1"/>
  <c r="W63" i="10" a="1"/>
  <c r="W63" i="10" s="1"/>
  <c r="Y64" i="10" a="1"/>
  <c r="Y64" i="10" s="1"/>
  <c r="AA66" i="10" a="1"/>
  <c r="AA66" i="10" s="1"/>
  <c r="V65" i="10" a="1"/>
  <c r="V65" i="10" s="1"/>
  <c r="AB65" i="10" s="1"/>
  <c r="Y62" i="10" a="1"/>
  <c r="Y62" i="10" s="1"/>
  <c r="AA63" i="10" a="1"/>
  <c r="AA63" i="10" s="1"/>
  <c r="X67" i="10" a="1"/>
  <c r="X67" i="10" s="1"/>
  <c r="X64" i="10" a="1"/>
  <c r="X64" i="10" s="1"/>
  <c r="W80" i="10" a="1"/>
  <c r="W80" i="10" s="1"/>
  <c r="Y81" i="10" a="1"/>
  <c r="Y81" i="10" s="1"/>
  <c r="V80" i="10" a="1"/>
  <c r="V80" i="10" s="1"/>
  <c r="AB80" i="10" s="1"/>
  <c r="Z85" i="10" a="1"/>
  <c r="Z85" i="10" s="1"/>
  <c r="W85" i="10" a="1"/>
  <c r="W85" i="10" s="1"/>
  <c r="X81" i="10" a="1"/>
  <c r="X81" i="10" s="1"/>
  <c r="V85" i="10" a="1"/>
  <c r="V85" i="10" s="1"/>
  <c r="AB85" i="10" s="1"/>
  <c r="Y85" i="10" a="1"/>
  <c r="Y85" i="10" s="1"/>
  <c r="AA83" i="10" a="1"/>
  <c r="AA83" i="10" s="1"/>
  <c r="Z82" i="10" a="1"/>
  <c r="Z82" i="10" s="1"/>
  <c r="X84" i="10" a="1"/>
  <c r="X84" i="10" s="1"/>
  <c r="W81" i="10" a="1"/>
  <c r="W81" i="10" s="1"/>
  <c r="Z83" i="10" a="1"/>
  <c r="Z83" i="10" s="1"/>
  <c r="AA84" i="10" a="1"/>
  <c r="AA84" i="10" s="1"/>
  <c r="Y83" i="10" a="1"/>
  <c r="Y83" i="10" s="1"/>
  <c r="Y82" i="10" a="1"/>
  <c r="Y82" i="10" s="1"/>
  <c r="F80" i="10" a="1"/>
  <c r="F80" i="10" s="1"/>
  <c r="V81" i="10" a="1"/>
  <c r="V81" i="10" s="1"/>
  <c r="AB81" i="10" s="1"/>
  <c r="V84" i="10" a="1"/>
  <c r="V84" i="10" s="1"/>
  <c r="AB84" i="10" s="1"/>
  <c r="Z84" i="10" a="1"/>
  <c r="Z84" i="10" s="1"/>
  <c r="AA82" i="10" a="1"/>
  <c r="AA82" i="10" s="1"/>
  <c r="Y84" i="10" a="1"/>
  <c r="Y84" i="10" s="1"/>
  <c r="X83" i="10" a="1"/>
  <c r="X83" i="10" s="1"/>
  <c r="X82" i="10" a="1"/>
  <c r="X82" i="10" s="1"/>
  <c r="AA85" i="10" a="1"/>
  <c r="AA85" i="10" s="1"/>
  <c r="W84" i="10" a="1"/>
  <c r="W84" i="10" s="1"/>
  <c r="X85" i="10" a="1"/>
  <c r="X85" i="10" s="1"/>
  <c r="W82" i="10" a="1"/>
  <c r="W82" i="10" s="1"/>
  <c r="J80" i="10" a="1"/>
  <c r="J80" i="10" s="1"/>
  <c r="O80" i="10" s="1"/>
  <c r="V82" i="10" a="1"/>
  <c r="V82" i="10" s="1"/>
  <c r="AB82" i="10" s="1"/>
  <c r="Z80" i="10" a="1"/>
  <c r="Z80" i="10" s="1"/>
  <c r="AA80" i="10" a="1"/>
  <c r="AA80" i="10" s="1"/>
  <c r="W83" i="10" a="1"/>
  <c r="W83" i="10" s="1"/>
  <c r="Y80" i="10" a="1"/>
  <c r="Y80" i="10" s="1"/>
  <c r="V83" i="10" a="1"/>
  <c r="V83" i="10" s="1"/>
  <c r="AB83" i="10" s="1"/>
  <c r="AA81" i="10" a="1"/>
  <c r="AA81" i="10" s="1"/>
  <c r="X80" i="10" a="1"/>
  <c r="X80" i="10" s="1"/>
  <c r="Z81" i="10" a="1"/>
  <c r="Z81" i="10" s="1"/>
  <c r="Q65" i="10" a="1"/>
  <c r="Q65" i="10" s="1"/>
  <c r="S64" i="10" a="1"/>
  <c r="S64" i="10" s="1"/>
  <c r="P65" i="10" a="1"/>
  <c r="P65" i="10" s="1"/>
  <c r="R64" i="10" a="1"/>
  <c r="R64" i="10" s="1"/>
  <c r="Q64" i="10" a="1"/>
  <c r="Q64" i="10" s="1"/>
  <c r="S63" i="10" a="1"/>
  <c r="S63" i="10" s="1"/>
  <c r="P64" i="10" a="1"/>
  <c r="P64" i="10" s="1"/>
  <c r="R63" i="10" a="1"/>
  <c r="R63" i="10" s="1"/>
  <c r="S67" i="10" a="1"/>
  <c r="S67" i="10" s="1"/>
  <c r="Q63" i="10" a="1"/>
  <c r="Q63" i="10" s="1"/>
  <c r="S62" i="10" a="1"/>
  <c r="S62" i="10" s="1"/>
  <c r="R67" i="10" a="1"/>
  <c r="R67" i="10" s="1"/>
  <c r="P63" i="10" a="1"/>
  <c r="P63" i="10" s="1"/>
  <c r="R62" i="10" a="1"/>
  <c r="R62" i="10" s="1"/>
  <c r="Q67" i="10" a="1"/>
  <c r="Q67" i="10" s="1"/>
  <c r="S66" i="10" a="1"/>
  <c r="S66" i="10" s="1"/>
  <c r="Q62" i="10" a="1"/>
  <c r="Q62" i="10" s="1"/>
  <c r="P67" i="10" a="1"/>
  <c r="P67" i="10" s="1"/>
  <c r="Q66" i="10" a="1"/>
  <c r="Q66" i="10" s="1"/>
  <c r="R66" i="10" a="1"/>
  <c r="R66" i="10" s="1"/>
  <c r="S65" i="10" a="1"/>
  <c r="S65" i="10" s="1"/>
  <c r="P62" i="10" a="1"/>
  <c r="P62" i="10" s="1"/>
  <c r="P66" i="10" a="1"/>
  <c r="P66" i="10" s="1"/>
  <c r="L62" i="10"/>
  <c r="R65" i="10" a="1"/>
  <c r="R65" i="10" s="1"/>
  <c r="K62" i="10"/>
  <c r="S85" i="10" a="1"/>
  <c r="S85" i="10" s="1"/>
  <c r="Q81" i="10" a="1"/>
  <c r="Q81" i="10" s="1"/>
  <c r="Q85" i="10" a="1"/>
  <c r="Q85" i="10" s="1"/>
  <c r="P85" i="10" a="1"/>
  <c r="P85" i="10" s="1"/>
  <c r="Q84" i="10" a="1"/>
  <c r="Q84" i="10" s="1"/>
  <c r="P84" i="10" a="1"/>
  <c r="P84" i="10" s="1"/>
  <c r="Q83" i="10" a="1"/>
  <c r="Q83" i="10" s="1"/>
  <c r="R82" i="10" a="1"/>
  <c r="R82" i="10" s="1"/>
  <c r="P82" i="10" a="1"/>
  <c r="P82" i="10" s="1"/>
  <c r="S83" i="10" a="1"/>
  <c r="S83" i="10" s="1"/>
  <c r="R83" i="10" a="1"/>
  <c r="R83" i="10" s="1"/>
  <c r="S80" i="10" a="1"/>
  <c r="S80" i="10" s="1"/>
  <c r="R80" i="10" a="1"/>
  <c r="R80" i="10" s="1"/>
  <c r="R85" i="10" a="1"/>
  <c r="R85" i="10" s="1"/>
  <c r="Q80" i="10" a="1"/>
  <c r="Q80" i="10" s="1"/>
  <c r="P80" i="10" a="1"/>
  <c r="P80" i="10" s="1"/>
  <c r="S84" i="10" a="1"/>
  <c r="S84" i="10" s="1"/>
  <c r="R84" i="10" a="1"/>
  <c r="R84" i="10" s="1"/>
  <c r="P81" i="10" a="1"/>
  <c r="P81" i="10" s="1"/>
  <c r="L80" i="10"/>
  <c r="P83" i="10" a="1"/>
  <c r="P83" i="10" s="1"/>
  <c r="K80" i="10"/>
  <c r="Q82" i="10" a="1"/>
  <c r="Q82" i="10" s="1"/>
  <c r="S82" i="10" a="1"/>
  <c r="S82" i="10" s="1"/>
  <c r="S81" i="10" a="1"/>
  <c r="S81" i="10" s="1"/>
  <c r="R81" i="10" a="1"/>
  <c r="R81" i="10" s="1"/>
  <c r="J209" i="3" a="1"/>
  <c r="J209" i="3" s="1"/>
  <c r="I209" i="3"/>
  <c r="A210" i="3"/>
  <c r="G104" i="10" a="1"/>
  <c r="G104" i="10" s="1"/>
  <c r="C104" i="10" a="1"/>
  <c r="C104" i="10" s="1"/>
  <c r="Y106" i="10" l="1" a="1"/>
  <c r="Y106" i="10" s="1"/>
  <c r="V107" i="10" a="1"/>
  <c r="V107" i="10" s="1"/>
  <c r="AB107" i="10" s="1"/>
  <c r="AA105" i="10" a="1"/>
  <c r="AA105" i="10" s="1"/>
  <c r="X106" i="10" a="1"/>
  <c r="X106" i="10" s="1"/>
  <c r="Z105" i="10" a="1"/>
  <c r="Z105" i="10" s="1"/>
  <c r="W106" i="10" a="1"/>
  <c r="W106" i="10" s="1"/>
  <c r="Z108" i="10" a="1"/>
  <c r="Z108" i="10" s="1"/>
  <c r="AA109" i="10" a="1"/>
  <c r="AA109" i="10" s="1"/>
  <c r="X104" i="10" a="1"/>
  <c r="X104" i="10" s="1"/>
  <c r="Y105" i="10" a="1"/>
  <c r="Y105" i="10" s="1"/>
  <c r="W109" i="10" a="1"/>
  <c r="W109" i="10" s="1"/>
  <c r="V106" i="10" a="1"/>
  <c r="V106" i="10" s="1"/>
  <c r="AB106" i="10" s="1"/>
  <c r="Y108" i="10" a="1"/>
  <c r="Y108" i="10" s="1"/>
  <c r="AA104" i="10" a="1"/>
  <c r="AA104" i="10" s="1"/>
  <c r="W104" i="10" a="1"/>
  <c r="W104" i="10" s="1"/>
  <c r="Z109" i="10" a="1"/>
  <c r="Z109" i="10" s="1"/>
  <c r="V109" i="10" a="1"/>
  <c r="V109" i="10" s="1"/>
  <c r="AB109" i="10" s="1"/>
  <c r="X105" i="10" a="1"/>
  <c r="X105" i="10" s="1"/>
  <c r="AA107" i="10" a="1"/>
  <c r="AA107" i="10" s="1"/>
  <c r="Z104" i="10" a="1"/>
  <c r="Z104" i="10" s="1"/>
  <c r="X108" i="10" a="1"/>
  <c r="X108" i="10" s="1"/>
  <c r="Y109" i="10" a="1"/>
  <c r="Y109" i="10" s="1"/>
  <c r="V104" i="10" a="1"/>
  <c r="V104" i="10" s="1"/>
  <c r="AB104" i="10" s="1"/>
  <c r="W105" i="10" a="1"/>
  <c r="W105" i="10" s="1"/>
  <c r="Z107" i="10" a="1"/>
  <c r="Z107" i="10" s="1"/>
  <c r="AA108" i="10" a="1"/>
  <c r="AA108" i="10" s="1"/>
  <c r="W108" i="10" a="1"/>
  <c r="W108" i="10" s="1"/>
  <c r="Y104" i="10" a="1"/>
  <c r="Y104" i="10" s="1"/>
  <c r="Y107" i="10" a="1"/>
  <c r="Y107" i="10" s="1"/>
  <c r="X109" i="10" a="1"/>
  <c r="X109" i="10" s="1"/>
  <c r="F104" i="10" a="1"/>
  <c r="F104" i="10" s="1"/>
  <c r="V105" i="10" a="1"/>
  <c r="V105" i="10" s="1"/>
  <c r="AB105" i="10" s="1"/>
  <c r="V108" i="10" a="1"/>
  <c r="V108" i="10" s="1"/>
  <c r="AB108" i="10" s="1"/>
  <c r="J104" i="10" a="1"/>
  <c r="J104" i="10" s="1"/>
  <c r="M104" i="10" s="1"/>
  <c r="AA106" i="10" a="1"/>
  <c r="AA106" i="10" s="1"/>
  <c r="X107" i="10" a="1"/>
  <c r="X107" i="10" s="1"/>
  <c r="Z106" i="10" a="1"/>
  <c r="Z106" i="10" s="1"/>
  <c r="W107" i="10" a="1"/>
  <c r="W107" i="10" s="1"/>
  <c r="S105" i="10" a="1"/>
  <c r="S105" i="10" s="1"/>
  <c r="P106" i="10" a="1"/>
  <c r="P106" i="10" s="1"/>
  <c r="R105" i="10" a="1"/>
  <c r="R105" i="10" s="1"/>
  <c r="S109" i="10" a="1"/>
  <c r="S109" i="10" s="1"/>
  <c r="Q105" i="10" a="1"/>
  <c r="Q105" i="10" s="1"/>
  <c r="S104" i="10" a="1"/>
  <c r="S104" i="10" s="1"/>
  <c r="R109" i="10" a="1"/>
  <c r="R109" i="10" s="1"/>
  <c r="P105" i="10" a="1"/>
  <c r="P105" i="10" s="1"/>
  <c r="R104" i="10" a="1"/>
  <c r="R104" i="10" s="1"/>
  <c r="Q109" i="10" a="1"/>
  <c r="Q109" i="10" s="1"/>
  <c r="S108" i="10" a="1"/>
  <c r="S108" i="10" s="1"/>
  <c r="Q104" i="10" a="1"/>
  <c r="Q104" i="10" s="1"/>
  <c r="P109" i="10" a="1"/>
  <c r="P109" i="10" s="1"/>
  <c r="R108" i="10" a="1"/>
  <c r="R108" i="10" s="1"/>
  <c r="P104" i="10" a="1"/>
  <c r="P104" i="10" s="1"/>
  <c r="Q108" i="10" a="1"/>
  <c r="Q108" i="10" s="1"/>
  <c r="S107" i="10" a="1"/>
  <c r="S107" i="10" s="1"/>
  <c r="P108" i="10" a="1"/>
  <c r="P108" i="10" s="1"/>
  <c r="L104" i="10"/>
  <c r="R107" i="10" a="1"/>
  <c r="R107" i="10" s="1"/>
  <c r="S106" i="10" a="1"/>
  <c r="S106" i="10" s="1"/>
  <c r="K104" i="10"/>
  <c r="P107" i="10" a="1"/>
  <c r="P107" i="10" s="1"/>
  <c r="Q107" i="10" a="1"/>
  <c r="Q107" i="10" s="1"/>
  <c r="R106" i="10" a="1"/>
  <c r="R106" i="10" s="1"/>
  <c r="Q106" i="10" a="1"/>
  <c r="Q106" i="10" s="1"/>
  <c r="A211" i="3"/>
  <c r="J210" i="3" a="1"/>
  <c r="J210" i="3" s="1"/>
  <c r="I210" i="3"/>
  <c r="A206" i="9"/>
  <c r="J205" i="9" a="1"/>
  <c r="J205" i="9" s="1"/>
  <c r="I205" i="9"/>
  <c r="J234" i="6" a="1"/>
  <c r="J234" i="6" s="1"/>
  <c r="A235" i="6"/>
  <c r="I234" i="6"/>
  <c r="A195" i="5"/>
  <c r="I194" i="5"/>
  <c r="J194" i="5" a="1"/>
  <c r="J194" i="5" s="1"/>
  <c r="A198" i="7"/>
  <c r="I197" i="7"/>
  <c r="J197" i="7" a="1"/>
  <c r="J197" i="7" s="1"/>
  <c r="A204" i="8"/>
  <c r="J203" i="8" a="1"/>
  <c r="J203" i="8" s="1"/>
  <c r="I203" i="8"/>
  <c r="J204" i="8" l="1" a="1"/>
  <c r="J204" i="8" s="1"/>
  <c r="A205" i="8"/>
  <c r="I204" i="8"/>
  <c r="A199" i="7"/>
  <c r="J198" i="7" a="1"/>
  <c r="J198" i="7" s="1"/>
  <c r="I198" i="7"/>
  <c r="I195" i="5"/>
  <c r="A196" i="5"/>
  <c r="J195" i="5" a="1"/>
  <c r="J195" i="5" s="1"/>
  <c r="A236" i="6"/>
  <c r="J235" i="6" a="1"/>
  <c r="J235" i="6" s="1"/>
  <c r="I235" i="6"/>
  <c r="A207" i="9"/>
  <c r="J206" i="9" a="1"/>
  <c r="J206" i="9" s="1"/>
  <c r="I206" i="9"/>
  <c r="A212" i="3"/>
  <c r="J211" i="3" a="1"/>
  <c r="J211" i="3" s="1"/>
  <c r="I211" i="3"/>
  <c r="J212" i="3" l="1" a="1"/>
  <c r="J212" i="3" s="1"/>
  <c r="A213" i="3"/>
  <c r="I212" i="3"/>
  <c r="A208" i="9"/>
  <c r="J207" i="9" a="1"/>
  <c r="J207" i="9" s="1"/>
  <c r="I207" i="9"/>
  <c r="J236" i="6" a="1"/>
  <c r="J236" i="6" s="1"/>
  <c r="A237" i="6"/>
  <c r="I236" i="6"/>
  <c r="J196" i="5" a="1"/>
  <c r="J196" i="5" s="1"/>
  <c r="A197" i="5"/>
  <c r="I196" i="5"/>
  <c r="A200" i="7"/>
  <c r="J199" i="7" a="1"/>
  <c r="J199" i="7" s="1"/>
  <c r="I199" i="7"/>
  <c r="A206" i="8"/>
  <c r="J205" i="8" a="1"/>
  <c r="J205" i="8" s="1"/>
  <c r="I205" i="8"/>
  <c r="A207" i="8" l="1"/>
  <c r="J206" i="8" a="1"/>
  <c r="J206" i="8" s="1"/>
  <c r="I206" i="8"/>
  <c r="A201" i="7"/>
  <c r="I200" i="7"/>
  <c r="J200" i="7" a="1"/>
  <c r="J200" i="7" s="1"/>
  <c r="A198" i="5"/>
  <c r="J197" i="5" a="1"/>
  <c r="J197" i="5" s="1"/>
  <c r="I197" i="5"/>
  <c r="A238" i="6"/>
  <c r="I237" i="6"/>
  <c r="J237" i="6" a="1"/>
  <c r="J237" i="6" s="1"/>
  <c r="A209" i="9"/>
  <c r="J208" i="9" a="1"/>
  <c r="J208" i="9" s="1"/>
  <c r="I208" i="9"/>
  <c r="I213" i="3"/>
  <c r="A214" i="3"/>
  <c r="J213" i="3" a="1"/>
  <c r="J213" i="3" s="1"/>
  <c r="A215" i="3" l="1"/>
  <c r="J214" i="3" a="1"/>
  <c r="J214" i="3" s="1"/>
  <c r="I214" i="3"/>
  <c r="J209" i="9" a="1"/>
  <c r="J209" i="9" s="1"/>
  <c r="I209" i="9"/>
  <c r="A210" i="9"/>
  <c r="A239" i="6"/>
  <c r="J238" i="6" a="1"/>
  <c r="J238" i="6" s="1"/>
  <c r="I238" i="6"/>
  <c r="A199" i="5"/>
  <c r="J198" i="5" a="1"/>
  <c r="J198" i="5" s="1"/>
  <c r="I198" i="5"/>
  <c r="A202" i="7"/>
  <c r="J201" i="7" a="1"/>
  <c r="J201" i="7" s="1"/>
  <c r="I201" i="7"/>
  <c r="I207" i="8"/>
  <c r="A208" i="8"/>
  <c r="J207" i="8" a="1"/>
  <c r="J207" i="8" s="1"/>
  <c r="A209" i="8" l="1"/>
  <c r="J208" i="8" a="1"/>
  <c r="J208" i="8" s="1"/>
  <c r="I208" i="8"/>
  <c r="A203" i="7"/>
  <c r="I202" i="7"/>
  <c r="J202" i="7" a="1"/>
  <c r="J202" i="7" s="1"/>
  <c r="A200" i="5"/>
  <c r="J199" i="5" a="1"/>
  <c r="J199" i="5" s="1"/>
  <c r="I199" i="5"/>
  <c r="A240" i="6"/>
  <c r="J239" i="6" a="1"/>
  <c r="J239" i="6" s="1"/>
  <c r="I239" i="6"/>
  <c r="A211" i="9"/>
  <c r="J210" i="9" a="1"/>
  <c r="J210" i="9" s="1"/>
  <c r="I210" i="9"/>
  <c r="A216" i="3"/>
  <c r="J215" i="3" a="1"/>
  <c r="J215" i="3" s="1"/>
  <c r="I215" i="3"/>
  <c r="A217" i="3" l="1"/>
  <c r="I216" i="3"/>
  <c r="J216" i="3" a="1"/>
  <c r="J216" i="3" s="1"/>
  <c r="A212" i="9"/>
  <c r="J211" i="9" a="1"/>
  <c r="J211" i="9" s="1"/>
  <c r="I211" i="9"/>
  <c r="A241" i="6"/>
  <c r="I240" i="6"/>
  <c r="J240" i="6" a="1"/>
  <c r="J240" i="6" s="1"/>
  <c r="A201" i="5"/>
  <c r="I200" i="5"/>
  <c r="J200" i="5" a="1"/>
  <c r="J200" i="5" s="1"/>
  <c r="A204" i="7"/>
  <c r="J203" i="7" a="1"/>
  <c r="J203" i="7" s="1"/>
  <c r="I203" i="7"/>
  <c r="J209" i="8" a="1"/>
  <c r="J209" i="8" s="1"/>
  <c r="A210" i="8"/>
  <c r="I209" i="8"/>
  <c r="J210" i="8" l="1" a="1"/>
  <c r="J210" i="8" s="1"/>
  <c r="A211" i="8"/>
  <c r="I210" i="8"/>
  <c r="A205" i="7"/>
  <c r="J204" i="7" a="1"/>
  <c r="J204" i="7" s="1"/>
  <c r="I204" i="7"/>
  <c r="I201" i="5"/>
  <c r="A202" i="5"/>
  <c r="J201" i="5" a="1"/>
  <c r="J201" i="5" s="1"/>
  <c r="A242" i="6"/>
  <c r="J241" i="6" a="1"/>
  <c r="J241" i="6" s="1"/>
  <c r="I241" i="6"/>
  <c r="A213" i="9"/>
  <c r="J212" i="9" a="1"/>
  <c r="J212" i="9" s="1"/>
  <c r="I212" i="9"/>
  <c r="I217" i="3"/>
  <c r="A218" i="3"/>
  <c r="J217" i="3" a="1"/>
  <c r="J217" i="3" s="1"/>
  <c r="J218" i="3" l="1" a="1"/>
  <c r="J218" i="3" s="1"/>
  <c r="I218" i="3"/>
  <c r="A219" i="3"/>
  <c r="A214" i="9"/>
  <c r="J213" i="9" a="1"/>
  <c r="J213" i="9" s="1"/>
  <c r="I213" i="9"/>
  <c r="J242" i="6" a="1"/>
  <c r="J242" i="6" s="1"/>
  <c r="A243" i="6"/>
  <c r="I242" i="6"/>
  <c r="J202" i="5" a="1"/>
  <c r="J202" i="5" s="1"/>
  <c r="A203" i="5"/>
  <c r="I202" i="5"/>
  <c r="J205" i="7" a="1"/>
  <c r="J205" i="7" s="1"/>
  <c r="I205" i="7"/>
  <c r="A206" i="7"/>
  <c r="A212" i="8"/>
  <c r="J211" i="8" a="1"/>
  <c r="J211" i="8" s="1"/>
  <c r="I211" i="8"/>
  <c r="A213" i="8" l="1"/>
  <c r="J212" i="8" a="1"/>
  <c r="J212" i="8" s="1"/>
  <c r="I212" i="8"/>
  <c r="A207" i="7"/>
  <c r="J206" i="7" a="1"/>
  <c r="J206" i="7" s="1"/>
  <c r="I206" i="7"/>
  <c r="A204" i="5"/>
  <c r="J203" i="5" a="1"/>
  <c r="J203" i="5" s="1"/>
  <c r="I203" i="5"/>
  <c r="A244" i="6"/>
  <c r="I243" i="6"/>
  <c r="J243" i="6" a="1"/>
  <c r="J243" i="6" s="1"/>
  <c r="A215" i="9"/>
  <c r="J214" i="9" a="1"/>
  <c r="J214" i="9" s="1"/>
  <c r="I214" i="9"/>
  <c r="J219" i="3" a="1"/>
  <c r="J219" i="3" s="1"/>
  <c r="I219" i="3"/>
  <c r="A220" i="3"/>
  <c r="A221" i="3" l="1"/>
  <c r="J220" i="3" a="1"/>
  <c r="J220" i="3" s="1"/>
  <c r="I220" i="3"/>
  <c r="J215" i="9" a="1"/>
  <c r="J215" i="9" s="1"/>
  <c r="I215" i="9"/>
  <c r="A216" i="9"/>
  <c r="A245" i="6"/>
  <c r="I244" i="6"/>
  <c r="J244" i="6" a="1"/>
  <c r="J244" i="6" s="1"/>
  <c r="A205" i="5"/>
  <c r="J204" i="5" a="1"/>
  <c r="J204" i="5" s="1"/>
  <c r="I204" i="5"/>
  <c r="A208" i="7"/>
  <c r="J207" i="7" a="1"/>
  <c r="J207" i="7" s="1"/>
  <c r="I207" i="7"/>
  <c r="A214" i="8"/>
  <c r="J213" i="8" a="1"/>
  <c r="J213" i="8" s="1"/>
  <c r="I213" i="8"/>
  <c r="A215" i="8" l="1"/>
  <c r="J214" i="8" a="1"/>
  <c r="J214" i="8" s="1"/>
  <c r="I214" i="8"/>
  <c r="A209" i="7"/>
  <c r="J208" i="7" a="1"/>
  <c r="J208" i="7" s="1"/>
  <c r="I208" i="7"/>
  <c r="A206" i="5"/>
  <c r="J205" i="5" a="1"/>
  <c r="J205" i="5" s="1"/>
  <c r="I205" i="5"/>
  <c r="A246" i="6"/>
  <c r="I245" i="6"/>
  <c r="J245" i="6" a="1"/>
  <c r="J245" i="6" s="1"/>
  <c r="A217" i="9"/>
  <c r="J216" i="9" a="1"/>
  <c r="J216" i="9" s="1"/>
  <c r="I216" i="9"/>
  <c r="A222" i="3"/>
  <c r="J221" i="3" a="1"/>
  <c r="J221" i="3" s="1"/>
  <c r="I221" i="3"/>
  <c r="J222" i="3" l="1" a="1"/>
  <c r="J222" i="3" s="1"/>
  <c r="I222" i="3"/>
  <c r="A223" i="3"/>
  <c r="A218" i="9"/>
  <c r="J217" i="9" a="1"/>
  <c r="J217" i="9" s="1"/>
  <c r="I217" i="9"/>
  <c r="A247" i="6"/>
  <c r="J246" i="6" a="1"/>
  <c r="J246" i="6" s="1"/>
  <c r="I246" i="6"/>
  <c r="A207" i="5"/>
  <c r="I206" i="5"/>
  <c r="J206" i="5" a="1"/>
  <c r="J206" i="5" s="1"/>
  <c r="A210" i="7"/>
  <c r="J209" i="7" a="1"/>
  <c r="J209" i="7" s="1"/>
  <c r="I209" i="7"/>
  <c r="J215" i="8" a="1"/>
  <c r="J215" i="8" s="1"/>
  <c r="A216" i="8"/>
  <c r="I215" i="8"/>
  <c r="J216" i="8" l="1" a="1"/>
  <c r="J216" i="8" s="1"/>
  <c r="A217" i="8"/>
  <c r="I216" i="8"/>
  <c r="J210" i="7" a="1"/>
  <c r="J210" i="7" s="1"/>
  <c r="A211" i="7"/>
  <c r="I210" i="7"/>
  <c r="I207" i="5"/>
  <c r="A208" i="5"/>
  <c r="J207" i="5" a="1"/>
  <c r="J207" i="5" s="1"/>
  <c r="J247" i="6" a="1"/>
  <c r="J247" i="6" s="1"/>
  <c r="I247" i="6"/>
  <c r="A248" i="6"/>
  <c r="A219" i="9"/>
  <c r="J218" i="9" a="1"/>
  <c r="J218" i="9" s="1"/>
  <c r="I218" i="9"/>
  <c r="J223" i="3" a="1"/>
  <c r="J223" i="3" s="1"/>
  <c r="A224" i="3"/>
  <c r="I223" i="3"/>
  <c r="J224" i="3" l="1" a="1"/>
  <c r="J224" i="3" s="1"/>
  <c r="A225" i="3"/>
  <c r="I224" i="3"/>
  <c r="A220" i="9"/>
  <c r="J219" i="9" a="1"/>
  <c r="J219" i="9" s="1"/>
  <c r="I219" i="9"/>
  <c r="J248" i="6" a="1"/>
  <c r="J248" i="6" s="1"/>
  <c r="I248" i="6"/>
  <c r="A249" i="6"/>
  <c r="J208" i="5" a="1"/>
  <c r="J208" i="5" s="1"/>
  <c r="A209" i="5"/>
  <c r="I208" i="5"/>
  <c r="A212" i="7"/>
  <c r="J211" i="7" a="1"/>
  <c r="J211" i="7" s="1"/>
  <c r="I211" i="7"/>
  <c r="A218" i="8"/>
  <c r="J217" i="8" a="1"/>
  <c r="J217" i="8" s="1"/>
  <c r="I217" i="8"/>
  <c r="A219" i="8" l="1"/>
  <c r="J218" i="8" a="1"/>
  <c r="J218" i="8" s="1"/>
  <c r="I218" i="8"/>
  <c r="A213" i="7"/>
  <c r="J212" i="7" a="1"/>
  <c r="J212" i="7" s="1"/>
  <c r="I212" i="7"/>
  <c r="A210" i="5"/>
  <c r="J209" i="5" a="1"/>
  <c r="J209" i="5" s="1"/>
  <c r="I209" i="5"/>
  <c r="A250" i="6"/>
  <c r="I249" i="6"/>
  <c r="J249" i="6" a="1"/>
  <c r="J249" i="6" s="1"/>
  <c r="A221" i="9"/>
  <c r="J220" i="9" a="1"/>
  <c r="J220" i="9" s="1"/>
  <c r="I220" i="9"/>
  <c r="A226" i="3"/>
  <c r="I225" i="3"/>
  <c r="J225" i="3" a="1"/>
  <c r="J225" i="3" s="1"/>
  <c r="I226" i="3" l="1"/>
  <c r="A227" i="3"/>
  <c r="J226" i="3" a="1"/>
  <c r="J226" i="3" s="1"/>
  <c r="J221" i="9" a="1"/>
  <c r="J221" i="9" s="1"/>
  <c r="I221" i="9"/>
  <c r="A222" i="9"/>
  <c r="A251" i="6"/>
  <c r="J250" i="6" a="1"/>
  <c r="J250" i="6" s="1"/>
  <c r="I250" i="6"/>
  <c r="A211" i="5"/>
  <c r="J210" i="5" a="1"/>
  <c r="J210" i="5" s="1"/>
  <c r="I210" i="5"/>
  <c r="A214" i="7"/>
  <c r="I213" i="7"/>
  <c r="J213" i="7" a="1"/>
  <c r="J213" i="7" s="1"/>
  <c r="A220" i="8"/>
  <c r="J219" i="8" a="1"/>
  <c r="J219" i="8" s="1"/>
  <c r="I219" i="8"/>
  <c r="A221" i="8" l="1"/>
  <c r="J220" i="8" a="1"/>
  <c r="J220" i="8" s="1"/>
  <c r="I220" i="8"/>
  <c r="A215" i="7"/>
  <c r="J214" i="7" a="1"/>
  <c r="J214" i="7" s="1"/>
  <c r="I214" i="7"/>
  <c r="A212" i="5"/>
  <c r="J211" i="5" a="1"/>
  <c r="J211" i="5" s="1"/>
  <c r="I211" i="5"/>
  <c r="A252" i="6"/>
  <c r="J251" i="6" a="1"/>
  <c r="J251" i="6" s="1"/>
  <c r="I251" i="6"/>
  <c r="A223" i="9"/>
  <c r="J222" i="9" a="1"/>
  <c r="J222" i="9" s="1"/>
  <c r="I222" i="9"/>
  <c r="A228" i="3"/>
  <c r="J227" i="3" a="1"/>
  <c r="J227" i="3" s="1"/>
  <c r="I227" i="3"/>
  <c r="A229" i="3" l="1"/>
  <c r="J228" i="3" a="1"/>
  <c r="J228" i="3" s="1"/>
  <c r="I228" i="3"/>
  <c r="A224" i="9"/>
  <c r="J223" i="9" a="1"/>
  <c r="J223" i="9" s="1"/>
  <c r="I223" i="9"/>
  <c r="A253" i="6"/>
  <c r="J252" i="6" a="1"/>
  <c r="J252" i="6" s="1"/>
  <c r="I252" i="6"/>
  <c r="A213" i="5"/>
  <c r="I212" i="5"/>
  <c r="J212" i="5" a="1"/>
  <c r="J212" i="5" s="1"/>
  <c r="A216" i="7"/>
  <c r="J215" i="7" a="1"/>
  <c r="J215" i="7" s="1"/>
  <c r="I215" i="7"/>
  <c r="J221" i="8" a="1"/>
  <c r="J221" i="8" s="1"/>
  <c r="A222" i="8"/>
  <c r="I221" i="8"/>
  <c r="J222" i="8" l="1" a="1"/>
  <c r="J222" i="8" s="1"/>
  <c r="I222" i="8"/>
  <c r="A223" i="8"/>
  <c r="I216" i="7"/>
  <c r="A217" i="7"/>
  <c r="J216" i="7" a="1"/>
  <c r="J216" i="7" s="1"/>
  <c r="I213" i="5"/>
  <c r="A214" i="5"/>
  <c r="J213" i="5" a="1"/>
  <c r="J213" i="5" s="1"/>
  <c r="A254" i="6"/>
  <c r="J253" i="6" a="1"/>
  <c r="J253" i="6" s="1"/>
  <c r="I253" i="6"/>
  <c r="A225" i="9"/>
  <c r="J224" i="9" a="1"/>
  <c r="J224" i="9" s="1"/>
  <c r="I224" i="9"/>
  <c r="A230" i="3"/>
  <c r="I229" i="3"/>
  <c r="J229" i="3" a="1"/>
  <c r="J229" i="3" s="1"/>
  <c r="J230" i="3" l="1" a="1"/>
  <c r="J230" i="3" s="1"/>
  <c r="A231" i="3"/>
  <c r="I230" i="3"/>
  <c r="A226" i="9"/>
  <c r="J225" i="9" a="1"/>
  <c r="J225" i="9" s="1"/>
  <c r="I225" i="9"/>
  <c r="J254" i="6" a="1"/>
  <c r="J254" i="6" s="1"/>
  <c r="A255" i="6"/>
  <c r="I254" i="6"/>
  <c r="J214" i="5" a="1"/>
  <c r="J214" i="5" s="1"/>
  <c r="A215" i="5"/>
  <c r="I214" i="5"/>
  <c r="A218" i="7"/>
  <c r="J217" i="7" a="1"/>
  <c r="J217" i="7" s="1"/>
  <c r="I217" i="7"/>
  <c r="A224" i="8"/>
  <c r="J223" i="8" a="1"/>
  <c r="J223" i="8" s="1"/>
  <c r="I223" i="8"/>
  <c r="A225" i="8" l="1"/>
  <c r="J224" i="8" a="1"/>
  <c r="J224" i="8" s="1"/>
  <c r="I224" i="8"/>
  <c r="J218" i="7" a="1"/>
  <c r="J218" i="7" s="1"/>
  <c r="I218" i="7"/>
  <c r="A219" i="7"/>
  <c r="A216" i="5"/>
  <c r="J215" i="5" a="1"/>
  <c r="J215" i="5" s="1"/>
  <c r="I215" i="5"/>
  <c r="A256" i="6"/>
  <c r="I255" i="6"/>
  <c r="J255" i="6" a="1"/>
  <c r="J255" i="6" s="1"/>
  <c r="A227" i="9"/>
  <c r="J226" i="9" a="1"/>
  <c r="J226" i="9" s="1"/>
  <c r="I226" i="9"/>
  <c r="J231" i="3" a="1"/>
  <c r="J231" i="3" s="1"/>
  <c r="I231" i="3"/>
  <c r="A232" i="3"/>
  <c r="J232" i="3" l="1" a="1"/>
  <c r="J232" i="3" s="1"/>
  <c r="I232" i="3"/>
  <c r="A233" i="3"/>
  <c r="J227" i="9" a="1"/>
  <c r="J227" i="9" s="1"/>
  <c r="I227" i="9"/>
  <c r="A228" i="9"/>
  <c r="A257" i="6"/>
  <c r="I256" i="6"/>
  <c r="J256" i="6" a="1"/>
  <c r="J256" i="6" s="1"/>
  <c r="A217" i="5"/>
  <c r="J216" i="5" a="1"/>
  <c r="J216" i="5" s="1"/>
  <c r="I216" i="5"/>
  <c r="A220" i="7"/>
  <c r="J219" i="7" a="1"/>
  <c r="J219" i="7" s="1"/>
  <c r="I219" i="7"/>
  <c r="A226" i="8"/>
  <c r="J225" i="8" a="1"/>
  <c r="J225" i="8" s="1"/>
  <c r="I225" i="8"/>
  <c r="A227" i="8" l="1"/>
  <c r="J226" i="8" a="1"/>
  <c r="J226" i="8" s="1"/>
  <c r="I226" i="8"/>
  <c r="A221" i="7"/>
  <c r="J220" i="7" a="1"/>
  <c r="J220" i="7" s="1"/>
  <c r="I220" i="7"/>
  <c r="J217" i="5" a="1"/>
  <c r="J217" i="5" s="1"/>
  <c r="I217" i="5"/>
  <c r="A218" i="5"/>
  <c r="A258" i="6"/>
  <c r="I257" i="6"/>
  <c r="J257" i="6" a="1"/>
  <c r="J257" i="6" s="1"/>
  <c r="A229" i="9"/>
  <c r="J228" i="9" a="1"/>
  <c r="J228" i="9" s="1"/>
  <c r="I228" i="9"/>
  <c r="A234" i="3"/>
  <c r="J233" i="3" a="1"/>
  <c r="J233" i="3" s="1"/>
  <c r="I233" i="3"/>
  <c r="A235" i="3" l="1"/>
  <c r="J234" i="3" a="1"/>
  <c r="J234" i="3" s="1"/>
  <c r="I234" i="3"/>
  <c r="A230" i="9"/>
  <c r="J229" i="9" a="1"/>
  <c r="J229" i="9" s="1"/>
  <c r="I229" i="9"/>
  <c r="A259" i="6"/>
  <c r="J258" i="6" a="1"/>
  <c r="J258" i="6" s="1"/>
  <c r="I258" i="6"/>
  <c r="A219" i="5"/>
  <c r="I218" i="5"/>
  <c r="J218" i="5" a="1"/>
  <c r="J218" i="5" s="1"/>
  <c r="A222" i="7"/>
  <c r="I221" i="7"/>
  <c r="J221" i="7" a="1"/>
  <c r="J221" i="7" s="1"/>
  <c r="J227" i="8" a="1"/>
  <c r="J227" i="8" s="1"/>
  <c r="A228" i="8"/>
  <c r="I227" i="8"/>
  <c r="J228" i="8" l="1" a="1"/>
  <c r="J228" i="8" s="1"/>
  <c r="A229" i="8"/>
  <c r="I228" i="8"/>
  <c r="I222" i="7"/>
  <c r="A223" i="7"/>
  <c r="J222" i="7" a="1"/>
  <c r="J222" i="7" s="1"/>
  <c r="I219" i="5"/>
  <c r="A220" i="5"/>
  <c r="J219" i="5" a="1"/>
  <c r="J219" i="5" s="1"/>
  <c r="A260" i="6"/>
  <c r="I259" i="6"/>
  <c r="J259" i="6" a="1"/>
  <c r="J259" i="6" s="1"/>
  <c r="A231" i="9"/>
  <c r="J230" i="9" a="1"/>
  <c r="J230" i="9" s="1"/>
  <c r="I230" i="9"/>
  <c r="A236" i="3"/>
  <c r="J235" i="3" a="1"/>
  <c r="J235" i="3" s="1"/>
  <c r="I235" i="3"/>
  <c r="J236" i="3" l="1" a="1"/>
  <c r="J236" i="3" s="1"/>
  <c r="A237" i="3"/>
  <c r="I236" i="3"/>
  <c r="A232" i="9"/>
  <c r="J231" i="9" a="1"/>
  <c r="J231" i="9" s="1"/>
  <c r="I231" i="9"/>
  <c r="J260" i="6" a="1"/>
  <c r="J260" i="6" s="1"/>
  <c r="A261" i="6"/>
  <c r="I260" i="6"/>
  <c r="J220" i="5" a="1"/>
  <c r="J220" i="5" s="1"/>
  <c r="A221" i="5"/>
  <c r="I220" i="5"/>
  <c r="J223" i="7" a="1"/>
  <c r="J223" i="7" s="1"/>
  <c r="A224" i="7"/>
  <c r="I223" i="7"/>
  <c r="A230" i="8"/>
  <c r="J229" i="8" a="1"/>
  <c r="J229" i="8" s="1"/>
  <c r="I229" i="8"/>
  <c r="A231" i="8" l="1"/>
  <c r="J230" i="8" a="1"/>
  <c r="J230" i="8" s="1"/>
  <c r="I230" i="8"/>
  <c r="A225" i="7"/>
  <c r="J224" i="7" a="1"/>
  <c r="J224" i="7" s="1"/>
  <c r="I224" i="7"/>
  <c r="A222" i="5"/>
  <c r="J221" i="5" a="1"/>
  <c r="J221" i="5" s="1"/>
  <c r="I221" i="5"/>
  <c r="A262" i="6"/>
  <c r="I261" i="6"/>
  <c r="J261" i="6" a="1"/>
  <c r="J261" i="6" s="1"/>
  <c r="A233" i="9"/>
  <c r="J232" i="9" a="1"/>
  <c r="J232" i="9" s="1"/>
  <c r="I232" i="9"/>
  <c r="A238" i="3"/>
  <c r="J237" i="3" a="1"/>
  <c r="J237" i="3" s="1"/>
  <c r="I237" i="3"/>
  <c r="A239" i="3" l="1"/>
  <c r="I238" i="3"/>
  <c r="J238" i="3" a="1"/>
  <c r="J238" i="3" s="1"/>
  <c r="J233" i="9" a="1"/>
  <c r="J233" i="9" s="1"/>
  <c r="I233" i="9"/>
  <c r="A234" i="9"/>
  <c r="J262" i="6" a="1"/>
  <c r="J262" i="6" s="1"/>
  <c r="I262" i="6"/>
  <c r="A263" i="6"/>
  <c r="A223" i="5"/>
  <c r="J222" i="5" a="1"/>
  <c r="J222" i="5" s="1"/>
  <c r="I222" i="5"/>
  <c r="A226" i="7"/>
  <c r="J225" i="7" a="1"/>
  <c r="J225" i="7" s="1"/>
  <c r="I225" i="7"/>
  <c r="A232" i="8"/>
  <c r="J231" i="8" a="1"/>
  <c r="J231" i="8" s="1"/>
  <c r="I231" i="8"/>
  <c r="A233" i="8" l="1"/>
  <c r="J232" i="8" a="1"/>
  <c r="J232" i="8" s="1"/>
  <c r="I232" i="8"/>
  <c r="A227" i="7"/>
  <c r="I226" i="7"/>
  <c r="J226" i="7" a="1"/>
  <c r="J226" i="7" s="1"/>
  <c r="A224" i="5"/>
  <c r="J223" i="5" a="1"/>
  <c r="J223" i="5" s="1"/>
  <c r="I223" i="5"/>
  <c r="A264" i="6"/>
  <c r="J263" i="6" a="1"/>
  <c r="J263" i="6" s="1"/>
  <c r="I263" i="6"/>
  <c r="A235" i="9"/>
  <c r="J234" i="9" a="1"/>
  <c r="J234" i="9" s="1"/>
  <c r="I234" i="9"/>
  <c r="I239" i="3"/>
  <c r="A240" i="3"/>
  <c r="J239" i="3" a="1"/>
  <c r="J239" i="3" s="1"/>
  <c r="A241" i="3" l="1"/>
  <c r="J240" i="3" a="1"/>
  <c r="J240" i="3" s="1"/>
  <c r="I240" i="3"/>
  <c r="A236" i="9"/>
  <c r="J235" i="9" a="1"/>
  <c r="J235" i="9" s="1"/>
  <c r="I235" i="9"/>
  <c r="A265" i="6"/>
  <c r="J264" i="6" a="1"/>
  <c r="J264" i="6" s="1"/>
  <c r="I264" i="6"/>
  <c r="A225" i="5"/>
  <c r="I224" i="5"/>
  <c r="J224" i="5" a="1"/>
  <c r="J224" i="5" s="1"/>
  <c r="A228" i="7"/>
  <c r="I227" i="7"/>
  <c r="J227" i="7" a="1"/>
  <c r="J227" i="7" s="1"/>
  <c r="J233" i="8" a="1"/>
  <c r="J233" i="8" s="1"/>
  <c r="A234" i="8"/>
  <c r="I233" i="8"/>
  <c r="J234" i="8" l="1" a="1"/>
  <c r="J234" i="8" s="1"/>
  <c r="A235" i="8"/>
  <c r="I234" i="8"/>
  <c r="J228" i="7" a="1"/>
  <c r="J228" i="7" s="1"/>
  <c r="A229" i="7"/>
  <c r="I228" i="7"/>
  <c r="I225" i="5"/>
  <c r="A226" i="5"/>
  <c r="J225" i="5" a="1"/>
  <c r="J225" i="5" s="1"/>
  <c r="A266" i="6"/>
  <c r="J265" i="6" a="1"/>
  <c r="J265" i="6" s="1"/>
  <c r="I265" i="6"/>
  <c r="A237" i="9"/>
  <c r="J236" i="9" a="1"/>
  <c r="J236" i="9" s="1"/>
  <c r="I236" i="9"/>
  <c r="A242" i="3"/>
  <c r="J241" i="3" a="1"/>
  <c r="J241" i="3" s="1"/>
  <c r="I241" i="3"/>
  <c r="J242" i="3" l="1" a="1"/>
  <c r="J242" i="3" s="1"/>
  <c r="I242" i="3"/>
  <c r="A243" i="3"/>
  <c r="A238" i="9"/>
  <c r="J237" i="9" a="1"/>
  <c r="J237" i="9" s="1"/>
  <c r="I237" i="9"/>
  <c r="J266" i="6" a="1"/>
  <c r="J266" i="6" s="1"/>
  <c r="I266" i="6"/>
  <c r="A267" i="6"/>
  <c r="J226" i="5" a="1"/>
  <c r="J226" i="5" s="1"/>
  <c r="A227" i="5"/>
  <c r="I226" i="5"/>
  <c r="I229" i="7"/>
  <c r="A230" i="7"/>
  <c r="J229" i="7" a="1"/>
  <c r="J229" i="7" s="1"/>
  <c r="A236" i="8"/>
  <c r="J235" i="8" a="1"/>
  <c r="J235" i="8" s="1"/>
  <c r="I235" i="8"/>
  <c r="A237" i="8" l="1"/>
  <c r="J236" i="8" a="1"/>
  <c r="J236" i="8" s="1"/>
  <c r="I236" i="8"/>
  <c r="A231" i="7"/>
  <c r="J230" i="7" a="1"/>
  <c r="J230" i="7" s="1"/>
  <c r="I230" i="7"/>
  <c r="A228" i="5"/>
  <c r="J227" i="5" a="1"/>
  <c r="J227" i="5" s="1"/>
  <c r="I227" i="5"/>
  <c r="A268" i="6"/>
  <c r="I267" i="6"/>
  <c r="J267" i="6" a="1"/>
  <c r="J267" i="6" s="1"/>
  <c r="A239" i="9"/>
  <c r="J238" i="9" a="1"/>
  <c r="J238" i="9" s="1"/>
  <c r="I238" i="9"/>
  <c r="A244" i="3"/>
  <c r="J243" i="3" a="1"/>
  <c r="J243" i="3" s="1"/>
  <c r="I243" i="3"/>
  <c r="J244" i="3" l="1" a="1"/>
  <c r="J244" i="3" s="1"/>
  <c r="I244" i="3"/>
  <c r="A245" i="3"/>
  <c r="J239" i="9" a="1"/>
  <c r="J239" i="9" s="1"/>
  <c r="I239" i="9"/>
  <c r="A240" i="9"/>
  <c r="A269" i="6"/>
  <c r="I268" i="6"/>
  <c r="J268" i="6" a="1"/>
  <c r="J268" i="6" s="1"/>
  <c r="A229" i="5"/>
  <c r="J228" i="5" a="1"/>
  <c r="J228" i="5" s="1"/>
  <c r="I228" i="5"/>
  <c r="J231" i="7" a="1"/>
  <c r="J231" i="7" s="1"/>
  <c r="I231" i="7"/>
  <c r="A232" i="7"/>
  <c r="A238" i="8"/>
  <c r="J237" i="8" a="1"/>
  <c r="J237" i="8" s="1"/>
  <c r="I237" i="8"/>
  <c r="A239" i="8" l="1"/>
  <c r="J238" i="8" a="1"/>
  <c r="J238" i="8" s="1"/>
  <c r="I238" i="8"/>
  <c r="A233" i="7"/>
  <c r="J232" i="7" a="1"/>
  <c r="J232" i="7" s="1"/>
  <c r="I232" i="7"/>
  <c r="A230" i="5"/>
  <c r="J229" i="5" a="1"/>
  <c r="J229" i="5" s="1"/>
  <c r="I229" i="5"/>
  <c r="A270" i="6"/>
  <c r="J269" i="6" a="1"/>
  <c r="J269" i="6" s="1"/>
  <c r="I269" i="6"/>
  <c r="A241" i="9"/>
  <c r="J240" i="9" a="1"/>
  <c r="J240" i="9" s="1"/>
  <c r="I240" i="9"/>
  <c r="J245" i="3" a="1"/>
  <c r="J245" i="3" s="1"/>
  <c r="I245" i="3"/>
  <c r="A246" i="3"/>
  <c r="A247" i="3" l="1"/>
  <c r="J246" i="3" a="1"/>
  <c r="J246" i="3" s="1"/>
  <c r="I246" i="3"/>
  <c r="A242" i="9"/>
  <c r="J241" i="9" a="1"/>
  <c r="J241" i="9" s="1"/>
  <c r="I241" i="9"/>
  <c r="J270" i="6" a="1"/>
  <c r="J270" i="6" s="1"/>
  <c r="I270" i="6"/>
  <c r="A271" i="6"/>
  <c r="A231" i="5"/>
  <c r="I230" i="5"/>
  <c r="J230" i="5" a="1"/>
  <c r="J230" i="5" s="1"/>
  <c r="A234" i="7"/>
  <c r="J233" i="7" a="1"/>
  <c r="J233" i="7" s="1"/>
  <c r="I233" i="7"/>
  <c r="J239" i="8" a="1"/>
  <c r="J239" i="8" s="1"/>
  <c r="A240" i="8"/>
  <c r="I239" i="8"/>
  <c r="J240" i="8" l="1" a="1"/>
  <c r="J240" i="8" s="1"/>
  <c r="A241" i="8"/>
  <c r="I240" i="8"/>
  <c r="A235" i="7"/>
  <c r="J234" i="7" a="1"/>
  <c r="J234" i="7" s="1"/>
  <c r="I234" i="7"/>
  <c r="I231" i="5"/>
  <c r="A232" i="5"/>
  <c r="J231" i="5" a="1"/>
  <c r="J231" i="5" s="1"/>
  <c r="A272" i="6"/>
  <c r="I271" i="6"/>
  <c r="J271" i="6" a="1"/>
  <c r="J271" i="6" s="1"/>
  <c r="A243" i="9"/>
  <c r="J242" i="9" a="1"/>
  <c r="J242" i="9" s="1"/>
  <c r="I242" i="9"/>
  <c r="A248" i="3"/>
  <c r="J247" i="3" a="1"/>
  <c r="J247" i="3" s="1"/>
  <c r="I247" i="3"/>
  <c r="J248" i="3" l="1" a="1"/>
  <c r="J248" i="3" s="1"/>
  <c r="A249" i="3"/>
  <c r="I248" i="3"/>
  <c r="A244" i="9"/>
  <c r="J243" i="9" a="1"/>
  <c r="J243" i="9" s="1"/>
  <c r="I243" i="9"/>
  <c r="J272" i="6" a="1"/>
  <c r="J272" i="6" s="1"/>
  <c r="I272" i="6"/>
  <c r="A273" i="6"/>
  <c r="J232" i="5" a="1"/>
  <c r="J232" i="5" s="1"/>
  <c r="A233" i="5"/>
  <c r="I232" i="5"/>
  <c r="I235" i="7"/>
  <c r="A236" i="7"/>
  <c r="J235" i="7" a="1"/>
  <c r="J235" i="7" s="1"/>
  <c r="A242" i="8"/>
  <c r="J241" i="8" a="1"/>
  <c r="J241" i="8" s="1"/>
  <c r="I241" i="8"/>
  <c r="A243" i="8" l="1"/>
  <c r="J242" i="8" a="1"/>
  <c r="J242" i="8" s="1"/>
  <c r="I242" i="8"/>
  <c r="J236" i="7" a="1"/>
  <c r="J236" i="7" s="1"/>
  <c r="I236" i="7"/>
  <c r="A237" i="7"/>
  <c r="A234" i="5"/>
  <c r="J233" i="5" a="1"/>
  <c r="J233" i="5" s="1"/>
  <c r="I233" i="5"/>
  <c r="A274" i="6"/>
  <c r="I273" i="6"/>
  <c r="J273" i="6" a="1"/>
  <c r="J273" i="6" s="1"/>
  <c r="A245" i="9"/>
  <c r="J244" i="9" a="1"/>
  <c r="J244" i="9" s="1"/>
  <c r="I244" i="9"/>
  <c r="A250" i="3"/>
  <c r="I249" i="3"/>
  <c r="J249" i="3" a="1"/>
  <c r="J249" i="3" s="1"/>
  <c r="A251" i="3" l="1"/>
  <c r="J250" i="3" a="1"/>
  <c r="J250" i="3" s="1"/>
  <c r="I250" i="3"/>
  <c r="J245" i="9" a="1"/>
  <c r="J245" i="9" s="1"/>
  <c r="I245" i="9"/>
  <c r="A246" i="9"/>
  <c r="A275" i="6"/>
  <c r="J274" i="6" a="1"/>
  <c r="J274" i="6" s="1"/>
  <c r="I274" i="6"/>
  <c r="A235" i="5"/>
  <c r="J234" i="5" a="1"/>
  <c r="J234" i="5" s="1"/>
  <c r="I234" i="5"/>
  <c r="A238" i="7"/>
  <c r="J237" i="7" a="1"/>
  <c r="J237" i="7" s="1"/>
  <c r="I237" i="7"/>
  <c r="A244" i="8"/>
  <c r="J243" i="8" a="1"/>
  <c r="J243" i="8" s="1"/>
  <c r="I243" i="8"/>
  <c r="A245" i="8" l="1"/>
  <c r="J244" i="8" a="1"/>
  <c r="J244" i="8" s="1"/>
  <c r="I244" i="8"/>
  <c r="A239" i="7"/>
  <c r="J238" i="7" a="1"/>
  <c r="J238" i="7" s="1"/>
  <c r="I238" i="7"/>
  <c r="A236" i="5"/>
  <c r="J235" i="5" a="1"/>
  <c r="J235" i="5" s="1"/>
  <c r="I235" i="5"/>
  <c r="A276" i="6"/>
  <c r="J275" i="6" a="1"/>
  <c r="J275" i="6" s="1"/>
  <c r="I275" i="6"/>
  <c r="A247" i="9"/>
  <c r="J246" i="9" a="1"/>
  <c r="J246" i="9" s="1"/>
  <c r="I246" i="9"/>
  <c r="A252" i="3"/>
  <c r="I251" i="3"/>
  <c r="J251" i="3" a="1"/>
  <c r="J251" i="3" s="1"/>
  <c r="I252" i="3" l="1"/>
  <c r="A253" i="3"/>
  <c r="J252" i="3" a="1"/>
  <c r="J252" i="3" s="1"/>
  <c r="A248" i="9"/>
  <c r="J247" i="9" a="1"/>
  <c r="J247" i="9" s="1"/>
  <c r="I247" i="9"/>
  <c r="A277" i="6"/>
  <c r="J276" i="6" a="1"/>
  <c r="J276" i="6" s="1"/>
  <c r="I276" i="6"/>
  <c r="A237" i="5"/>
  <c r="I236" i="5"/>
  <c r="J236" i="5" a="1"/>
  <c r="J236" i="5" s="1"/>
  <c r="A240" i="7"/>
  <c r="J239" i="7" a="1"/>
  <c r="J239" i="7" s="1"/>
  <c r="I239" i="7"/>
  <c r="J245" i="8" a="1"/>
  <c r="J245" i="8" s="1"/>
  <c r="A246" i="8"/>
  <c r="I245" i="8"/>
  <c r="J246" i="8" l="1" a="1"/>
  <c r="J246" i="8" s="1"/>
  <c r="I246" i="8"/>
  <c r="A247" i="8"/>
  <c r="A241" i="7"/>
  <c r="J240" i="7" a="1"/>
  <c r="J240" i="7" s="1"/>
  <c r="I240" i="7"/>
  <c r="I237" i="5"/>
  <c r="A238" i="5"/>
  <c r="J237" i="5" a="1"/>
  <c r="J237" i="5" s="1"/>
  <c r="J277" i="6" a="1"/>
  <c r="J277" i="6" s="1"/>
  <c r="I277" i="6"/>
  <c r="A278" i="6"/>
  <c r="A249" i="9"/>
  <c r="J248" i="9" a="1"/>
  <c r="J248" i="9" s="1"/>
  <c r="I248" i="9"/>
  <c r="A254" i="3"/>
  <c r="J253" i="3" a="1"/>
  <c r="J253" i="3" s="1"/>
  <c r="I253" i="3"/>
  <c r="J254" i="3" l="1" a="1"/>
  <c r="J254" i="3" s="1"/>
  <c r="A255" i="3"/>
  <c r="I254" i="3"/>
  <c r="A250" i="9"/>
  <c r="J249" i="9" a="1"/>
  <c r="J249" i="9" s="1"/>
  <c r="I249" i="9"/>
  <c r="J278" i="6" a="1"/>
  <c r="J278" i="6" s="1"/>
  <c r="A279" i="6"/>
  <c r="I278" i="6"/>
  <c r="J238" i="5" a="1"/>
  <c r="J238" i="5" s="1"/>
  <c r="A239" i="5"/>
  <c r="I238" i="5"/>
  <c r="J241" i="7" a="1"/>
  <c r="J241" i="7" s="1"/>
  <c r="A242" i="7"/>
  <c r="I241" i="7"/>
  <c r="A248" i="8"/>
  <c r="J247" i="8" a="1"/>
  <c r="J247" i="8" s="1"/>
  <c r="I247" i="8"/>
  <c r="A249" i="8" l="1"/>
  <c r="J248" i="8" a="1"/>
  <c r="J248" i="8" s="1"/>
  <c r="I248" i="8"/>
  <c r="I242" i="7"/>
  <c r="A243" i="7"/>
  <c r="J242" i="7" a="1"/>
  <c r="J242" i="7" s="1"/>
  <c r="A240" i="5"/>
  <c r="J239" i="5" a="1"/>
  <c r="J239" i="5" s="1"/>
  <c r="I239" i="5"/>
  <c r="A280" i="6"/>
  <c r="I279" i="6"/>
  <c r="J279" i="6" a="1"/>
  <c r="J279" i="6" s="1"/>
  <c r="A251" i="9"/>
  <c r="J250" i="9" a="1"/>
  <c r="J250" i="9" s="1"/>
  <c r="I250" i="9"/>
  <c r="J255" i="3" a="1"/>
  <c r="J255" i="3" s="1"/>
  <c r="I255" i="3"/>
  <c r="A256" i="3"/>
  <c r="A257" i="3" l="1"/>
  <c r="J256" i="3" a="1"/>
  <c r="J256" i="3" s="1"/>
  <c r="I256" i="3"/>
  <c r="J251" i="9" a="1"/>
  <c r="J251" i="9" s="1"/>
  <c r="I251" i="9"/>
  <c r="A252" i="9"/>
  <c r="I280" i="6"/>
  <c r="A281" i="6"/>
  <c r="J280" i="6" a="1"/>
  <c r="J280" i="6" s="1"/>
  <c r="A241" i="5"/>
  <c r="J240" i="5" a="1"/>
  <c r="J240" i="5" s="1"/>
  <c r="I240" i="5"/>
  <c r="A244" i="7"/>
  <c r="J243" i="7" a="1"/>
  <c r="J243" i="7" s="1"/>
  <c r="I243" i="7"/>
  <c r="A250" i="8"/>
  <c r="J249" i="8" a="1"/>
  <c r="J249" i="8" s="1"/>
  <c r="I249" i="8"/>
  <c r="A251" i="8" l="1"/>
  <c r="J250" i="8" a="1"/>
  <c r="J250" i="8" s="1"/>
  <c r="I250" i="8"/>
  <c r="A245" i="7"/>
  <c r="J244" i="7" a="1"/>
  <c r="J244" i="7" s="1"/>
  <c r="I244" i="7"/>
  <c r="A242" i="5"/>
  <c r="J241" i="5" a="1"/>
  <c r="J241" i="5" s="1"/>
  <c r="I241" i="5"/>
  <c r="A282" i="6"/>
  <c r="J281" i="6" a="1"/>
  <c r="J281" i="6" s="1"/>
  <c r="I281" i="6"/>
  <c r="A253" i="9"/>
  <c r="J252" i="9" a="1"/>
  <c r="J252" i="9" s="1"/>
  <c r="I252" i="9"/>
  <c r="J257" i="3" a="1"/>
  <c r="J257" i="3" s="1"/>
  <c r="I257" i="3"/>
  <c r="A258" i="3"/>
  <c r="J258" i="3" l="1" a="1"/>
  <c r="J258" i="3" s="1"/>
  <c r="I258" i="3"/>
  <c r="A259" i="3"/>
  <c r="A254" i="9"/>
  <c r="J253" i="9" a="1"/>
  <c r="J253" i="9" s="1"/>
  <c r="I253" i="9"/>
  <c r="A283" i="6"/>
  <c r="I282" i="6"/>
  <c r="J282" i="6" a="1"/>
  <c r="J282" i="6" s="1"/>
  <c r="A243" i="5"/>
  <c r="I242" i="5"/>
  <c r="J242" i="5" a="1"/>
  <c r="J242" i="5" s="1"/>
  <c r="A246" i="7"/>
  <c r="J245" i="7" a="1"/>
  <c r="J245" i="7" s="1"/>
  <c r="I245" i="7"/>
  <c r="J251" i="8" a="1"/>
  <c r="J251" i="8" s="1"/>
  <c r="A252" i="8"/>
  <c r="I251" i="8"/>
  <c r="J252" i="8" l="1" a="1"/>
  <c r="J252" i="8" s="1"/>
  <c r="A253" i="8"/>
  <c r="I252" i="8"/>
  <c r="A247" i="7"/>
  <c r="I246" i="7"/>
  <c r="J246" i="7" a="1"/>
  <c r="J246" i="7" s="1"/>
  <c r="A244" i="5"/>
  <c r="I243" i="5"/>
  <c r="J243" i="5" a="1"/>
  <c r="J243" i="5" s="1"/>
  <c r="A284" i="6"/>
  <c r="I283" i="6"/>
  <c r="J283" i="6" a="1"/>
  <c r="J283" i="6" s="1"/>
  <c r="A255" i="9"/>
  <c r="J254" i="9" a="1"/>
  <c r="J254" i="9" s="1"/>
  <c r="I254" i="9"/>
  <c r="A260" i="3"/>
  <c r="J259" i="3" a="1"/>
  <c r="J259" i="3" s="1"/>
  <c r="I259" i="3"/>
  <c r="J260" i="3" l="1" a="1"/>
  <c r="J260" i="3" s="1"/>
  <c r="I260" i="3"/>
  <c r="A261" i="3"/>
  <c r="A256" i="9"/>
  <c r="J255" i="9" a="1"/>
  <c r="J255" i="9" s="1"/>
  <c r="I255" i="9"/>
  <c r="J284" i="6" a="1"/>
  <c r="J284" i="6" s="1"/>
  <c r="A285" i="6"/>
  <c r="I284" i="6"/>
  <c r="A245" i="5"/>
  <c r="I244" i="5"/>
  <c r="J244" i="5" a="1"/>
  <c r="J244" i="5" s="1"/>
  <c r="A248" i="7"/>
  <c r="J247" i="7" a="1"/>
  <c r="J247" i="7" s="1"/>
  <c r="I247" i="7"/>
  <c r="A254" i="8"/>
  <c r="J253" i="8" a="1"/>
  <c r="J253" i="8" s="1"/>
  <c r="I253" i="8"/>
  <c r="A255" i="8" l="1"/>
  <c r="J254" i="8" a="1"/>
  <c r="J254" i="8" s="1"/>
  <c r="I254" i="8"/>
  <c r="I248" i="7"/>
  <c r="A249" i="7"/>
  <c r="J248" i="7" a="1"/>
  <c r="J248" i="7" s="1"/>
  <c r="A246" i="5"/>
  <c r="J245" i="5" a="1"/>
  <c r="J245" i="5" s="1"/>
  <c r="I245" i="5"/>
  <c r="A286" i="6"/>
  <c r="I285" i="6"/>
  <c r="J285" i="6" a="1"/>
  <c r="J285" i="6" s="1"/>
  <c r="A257" i="9"/>
  <c r="J256" i="9" a="1"/>
  <c r="J256" i="9" s="1"/>
  <c r="I256" i="9"/>
  <c r="I261" i="3"/>
  <c r="A262" i="3"/>
  <c r="J261" i="3" a="1"/>
  <c r="J261" i="3" s="1"/>
  <c r="A263" i="3" l="1"/>
  <c r="I262" i="3"/>
  <c r="J262" i="3" a="1"/>
  <c r="J262" i="3" s="1"/>
  <c r="J257" i="9" a="1"/>
  <c r="J257" i="9" s="1"/>
  <c r="I257" i="9"/>
  <c r="A258" i="9"/>
  <c r="J286" i="6" a="1"/>
  <c r="J286" i="6" s="1"/>
  <c r="A287" i="6"/>
  <c r="I286" i="6"/>
  <c r="A247" i="5"/>
  <c r="I246" i="5"/>
  <c r="J246" i="5" a="1"/>
  <c r="J246" i="5" s="1"/>
  <c r="J249" i="7" a="1"/>
  <c r="J249" i="7" s="1"/>
  <c r="A250" i="7"/>
  <c r="I249" i="7"/>
  <c r="A256" i="8"/>
  <c r="J255" i="8" a="1"/>
  <c r="J255" i="8" s="1"/>
  <c r="I255" i="8"/>
  <c r="A257" i="8" l="1"/>
  <c r="J256" i="8" a="1"/>
  <c r="J256" i="8" s="1"/>
  <c r="I256" i="8"/>
  <c r="A251" i="7"/>
  <c r="J250" i="7" a="1"/>
  <c r="J250" i="7" s="1"/>
  <c r="I250" i="7"/>
  <c r="A248" i="5"/>
  <c r="I247" i="5"/>
  <c r="J247" i="5" a="1"/>
  <c r="J247" i="5" s="1"/>
  <c r="A288" i="6"/>
  <c r="J287" i="6" a="1"/>
  <c r="J287" i="6" s="1"/>
  <c r="I287" i="6"/>
  <c r="A259" i="9"/>
  <c r="J258" i="9" a="1"/>
  <c r="J258" i="9" s="1"/>
  <c r="I258" i="9"/>
  <c r="A264" i="3"/>
  <c r="J263" i="3" a="1"/>
  <c r="J263" i="3" s="1"/>
  <c r="I263" i="3"/>
  <c r="A265" i="3" l="1"/>
  <c r="I264" i="3"/>
  <c r="J264" i="3" a="1"/>
  <c r="J264" i="3" s="1"/>
  <c r="A260" i="9"/>
  <c r="J259" i="9" a="1"/>
  <c r="J259" i="9" s="1"/>
  <c r="I259" i="9"/>
  <c r="A289" i="6"/>
  <c r="J288" i="6" a="1"/>
  <c r="J288" i="6" s="1"/>
  <c r="I288" i="6"/>
  <c r="J248" i="5" a="1"/>
  <c r="J248" i="5" s="1"/>
  <c r="A249" i="5"/>
  <c r="I248" i="5"/>
  <c r="A252" i="7"/>
  <c r="I251" i="7"/>
  <c r="J251" i="7" a="1"/>
  <c r="J251" i="7" s="1"/>
  <c r="J257" i="8" a="1"/>
  <c r="J257" i="8" s="1"/>
  <c r="A258" i="8"/>
  <c r="I257" i="8"/>
  <c r="J258" i="8" l="1" a="1"/>
  <c r="J258" i="8" s="1"/>
  <c r="A259" i="8"/>
  <c r="I258" i="8"/>
  <c r="A253" i="7"/>
  <c r="J252" i="7" a="1"/>
  <c r="J252" i="7" s="1"/>
  <c r="I252" i="7"/>
  <c r="A250" i="5"/>
  <c r="J249" i="5" a="1"/>
  <c r="J249" i="5" s="1"/>
  <c r="I249" i="5"/>
  <c r="A290" i="6"/>
  <c r="J289" i="6" a="1"/>
  <c r="J289" i="6" s="1"/>
  <c r="I289" i="6"/>
  <c r="A261" i="9"/>
  <c r="J260" i="9" a="1"/>
  <c r="J260" i="9" s="1"/>
  <c r="I260" i="9"/>
  <c r="I265" i="3"/>
  <c r="A266" i="3"/>
  <c r="J265" i="3" a="1"/>
  <c r="J265" i="3" s="1"/>
  <c r="J266" i="3" l="1" a="1"/>
  <c r="J266" i="3" s="1"/>
  <c r="A267" i="3"/>
  <c r="I266" i="3"/>
  <c r="A262" i="9"/>
  <c r="J261" i="9" a="1"/>
  <c r="J261" i="9" s="1"/>
  <c r="I261" i="9"/>
  <c r="J290" i="6" a="1"/>
  <c r="J290" i="6" s="1"/>
  <c r="I290" i="6"/>
  <c r="A291" i="6"/>
  <c r="A251" i="5"/>
  <c r="J250" i="5" a="1"/>
  <c r="J250" i="5" s="1"/>
  <c r="I250" i="5"/>
  <c r="A254" i="7"/>
  <c r="J253" i="7" a="1"/>
  <c r="J253" i="7" s="1"/>
  <c r="I253" i="7"/>
  <c r="A260" i="8"/>
  <c r="J259" i="8" a="1"/>
  <c r="J259" i="8" s="1"/>
  <c r="I259" i="8"/>
  <c r="A261" i="8" l="1"/>
  <c r="J260" i="8" a="1"/>
  <c r="J260" i="8" s="1"/>
  <c r="I260" i="8"/>
  <c r="J254" i="7" a="1"/>
  <c r="J254" i="7" s="1"/>
  <c r="A255" i="7"/>
  <c r="I254" i="7"/>
  <c r="A252" i="5"/>
  <c r="I251" i="5"/>
  <c r="J251" i="5" a="1"/>
  <c r="J251" i="5" s="1"/>
  <c r="A292" i="6"/>
  <c r="I291" i="6"/>
  <c r="J291" i="6" a="1"/>
  <c r="J291" i="6" s="1"/>
  <c r="A263" i="9"/>
  <c r="J262" i="9" a="1"/>
  <c r="J262" i="9" s="1"/>
  <c r="I262" i="9"/>
  <c r="J267" i="3" a="1"/>
  <c r="J267" i="3" s="1"/>
  <c r="A268" i="3"/>
  <c r="I267" i="3"/>
  <c r="J268" i="3" l="1" a="1"/>
  <c r="J268" i="3" s="1"/>
  <c r="I268" i="3"/>
  <c r="A269" i="3"/>
  <c r="J263" i="9" a="1"/>
  <c r="J263" i="9" s="1"/>
  <c r="I263" i="9"/>
  <c r="A264" i="9"/>
  <c r="A293" i="6"/>
  <c r="J292" i="6" a="1"/>
  <c r="J292" i="6" s="1"/>
  <c r="I292" i="6"/>
  <c r="A253" i="5"/>
  <c r="J252" i="5" a="1"/>
  <c r="J252" i="5" s="1"/>
  <c r="I252" i="5"/>
  <c r="I255" i="7"/>
  <c r="A256" i="7"/>
  <c r="J255" i="7" a="1"/>
  <c r="J255" i="7" s="1"/>
  <c r="A262" i="8"/>
  <c r="J261" i="8" a="1"/>
  <c r="J261" i="8" s="1"/>
  <c r="I261" i="8"/>
  <c r="A263" i="8" l="1"/>
  <c r="J262" i="8" a="1"/>
  <c r="J262" i="8" s="1"/>
  <c r="I262" i="8"/>
  <c r="A257" i="7"/>
  <c r="J256" i="7" a="1"/>
  <c r="J256" i="7" s="1"/>
  <c r="I256" i="7"/>
  <c r="J253" i="5" a="1"/>
  <c r="J253" i="5" s="1"/>
  <c r="I253" i="5"/>
  <c r="A254" i="5"/>
  <c r="A294" i="6"/>
  <c r="J293" i="6" a="1"/>
  <c r="J293" i="6" s="1"/>
  <c r="I293" i="6"/>
  <c r="A265" i="9"/>
  <c r="J264" i="9" a="1"/>
  <c r="J264" i="9" s="1"/>
  <c r="I264" i="9"/>
  <c r="A270" i="3"/>
  <c r="J269" i="3" a="1"/>
  <c r="J269" i="3" s="1"/>
  <c r="I269" i="3"/>
  <c r="J270" i="3" l="1" a="1"/>
  <c r="J270" i="3" s="1"/>
  <c r="I270" i="3"/>
  <c r="A271" i="3"/>
  <c r="A266" i="9"/>
  <c r="J265" i="9" a="1"/>
  <c r="J265" i="9" s="1"/>
  <c r="I265" i="9"/>
  <c r="A295" i="6"/>
  <c r="I294" i="6"/>
  <c r="J294" i="6" a="1"/>
  <c r="J294" i="6" s="1"/>
  <c r="I254" i="5"/>
  <c r="A255" i="5"/>
  <c r="J254" i="5" a="1"/>
  <c r="J254" i="5" s="1"/>
  <c r="A258" i="7"/>
  <c r="J257" i="7" a="1"/>
  <c r="J257" i="7" s="1"/>
  <c r="I257" i="7"/>
  <c r="J263" i="8" a="1"/>
  <c r="J263" i="8" s="1"/>
  <c r="A264" i="8"/>
  <c r="I263" i="8"/>
  <c r="J264" i="8" l="1" a="1"/>
  <c r="J264" i="8" s="1"/>
  <c r="A265" i="8"/>
  <c r="I264" i="8"/>
  <c r="J258" i="7" a="1"/>
  <c r="J258" i="7" s="1"/>
  <c r="I258" i="7"/>
  <c r="A259" i="7"/>
  <c r="A256" i="5"/>
  <c r="J255" i="5" a="1"/>
  <c r="J255" i="5" s="1"/>
  <c r="I255" i="5"/>
  <c r="I295" i="6"/>
  <c r="A296" i="6"/>
  <c r="J295" i="6" a="1"/>
  <c r="J295" i="6" s="1"/>
  <c r="A267" i="9"/>
  <c r="J266" i="9" a="1"/>
  <c r="J266" i="9" s="1"/>
  <c r="I266" i="9"/>
  <c r="J271" i="3" a="1"/>
  <c r="J271" i="3" s="1"/>
  <c r="I271" i="3"/>
  <c r="A272" i="3"/>
  <c r="J272" i="3" l="1" a="1"/>
  <c r="J272" i="3" s="1"/>
  <c r="A273" i="3"/>
  <c r="I272" i="3"/>
  <c r="J267" i="9" a="1"/>
  <c r="J267" i="9" s="1"/>
  <c r="I267" i="9"/>
  <c r="A268" i="9"/>
  <c r="J296" i="6" a="1"/>
  <c r="J296" i="6" s="1"/>
  <c r="A297" i="6"/>
  <c r="I296" i="6"/>
  <c r="J256" i="5" a="1"/>
  <c r="J256" i="5" s="1"/>
  <c r="A257" i="5"/>
  <c r="I256" i="5"/>
  <c r="A260" i="7"/>
  <c r="I259" i="7"/>
  <c r="J259" i="7" a="1"/>
  <c r="J259" i="7" s="1"/>
  <c r="A266" i="8"/>
  <c r="J265" i="8" a="1"/>
  <c r="J265" i="8" s="1"/>
  <c r="I265" i="8"/>
  <c r="A267" i="8" l="1"/>
  <c r="J266" i="8" a="1"/>
  <c r="J266" i="8" s="1"/>
  <c r="I266" i="8"/>
  <c r="A261" i="7"/>
  <c r="J260" i="7" a="1"/>
  <c r="J260" i="7" s="1"/>
  <c r="I260" i="7"/>
  <c r="A258" i="5"/>
  <c r="J257" i="5" a="1"/>
  <c r="J257" i="5" s="1"/>
  <c r="I257" i="5"/>
  <c r="A298" i="6"/>
  <c r="I297" i="6"/>
  <c r="J297" i="6" a="1"/>
  <c r="J297" i="6" s="1"/>
  <c r="A269" i="9"/>
  <c r="J268" i="9" a="1"/>
  <c r="J268" i="9" s="1"/>
  <c r="I268" i="9"/>
  <c r="A274" i="3"/>
  <c r="J273" i="3" a="1"/>
  <c r="J273" i="3" s="1"/>
  <c r="I273" i="3"/>
  <c r="A275" i="3" l="1"/>
  <c r="J274" i="3" a="1"/>
  <c r="J274" i="3" s="1"/>
  <c r="I274" i="3"/>
  <c r="A270" i="9"/>
  <c r="J269" i="9" a="1"/>
  <c r="J269" i="9" s="1"/>
  <c r="I269" i="9"/>
  <c r="A299" i="6"/>
  <c r="J298" i="6" a="1"/>
  <c r="J298" i="6" s="1"/>
  <c r="I298" i="6"/>
  <c r="J258" i="5" a="1"/>
  <c r="J258" i="5" s="1"/>
  <c r="I258" i="5"/>
  <c r="A259" i="5"/>
  <c r="I261" i="7"/>
  <c r="A262" i="7"/>
  <c r="J261" i="7" a="1"/>
  <c r="J261" i="7" s="1"/>
  <c r="A268" i="8"/>
  <c r="J267" i="8" a="1"/>
  <c r="J267" i="8" s="1"/>
  <c r="I267" i="8"/>
  <c r="A269" i="8" l="1"/>
  <c r="J268" i="8" a="1"/>
  <c r="J268" i="8" s="1"/>
  <c r="I268" i="8"/>
  <c r="A263" i="7"/>
  <c r="J262" i="7" a="1"/>
  <c r="J262" i="7" s="1"/>
  <c r="I262" i="7"/>
  <c r="J259" i="5" a="1"/>
  <c r="J259" i="5" s="1"/>
  <c r="I259" i="5"/>
  <c r="A260" i="5"/>
  <c r="A300" i="6"/>
  <c r="J299" i="6" a="1"/>
  <c r="J299" i="6" s="1"/>
  <c r="I299" i="6"/>
  <c r="A271" i="9"/>
  <c r="J270" i="9" a="1"/>
  <c r="J270" i="9" s="1"/>
  <c r="I270" i="9"/>
  <c r="A276" i="3"/>
  <c r="I275" i="3"/>
  <c r="J275" i="3" a="1"/>
  <c r="J275" i="3" s="1"/>
  <c r="A277" i="3" l="1"/>
  <c r="J276" i="3" a="1"/>
  <c r="J276" i="3" s="1"/>
  <c r="I276" i="3"/>
  <c r="A272" i="9"/>
  <c r="J271" i="9" a="1"/>
  <c r="J271" i="9" s="1"/>
  <c r="I271" i="9"/>
  <c r="J300" i="6" a="1"/>
  <c r="J300" i="6" s="1"/>
  <c r="I300" i="6"/>
  <c r="A301" i="6"/>
  <c r="A261" i="5"/>
  <c r="J260" i="5" a="1"/>
  <c r="J260" i="5" s="1"/>
  <c r="I260" i="5"/>
  <c r="A264" i="7"/>
  <c r="J263" i="7" a="1"/>
  <c r="J263" i="7" s="1"/>
  <c r="I263" i="7"/>
  <c r="J269" i="8" a="1"/>
  <c r="J269" i="8" s="1"/>
  <c r="A270" i="8"/>
  <c r="I269" i="8"/>
  <c r="J270" i="8" l="1" a="1"/>
  <c r="J270" i="8" s="1"/>
  <c r="I270" i="8"/>
  <c r="A271" i="8"/>
  <c r="J264" i="7" a="1"/>
  <c r="J264" i="7" s="1"/>
  <c r="I264" i="7"/>
  <c r="A265" i="7"/>
  <c r="A262" i="5"/>
  <c r="J261" i="5" a="1"/>
  <c r="J261" i="5" s="1"/>
  <c r="I261" i="5"/>
  <c r="J301" i="6" a="1"/>
  <c r="J301" i="6" s="1"/>
  <c r="A302" i="6"/>
  <c r="I301" i="6"/>
  <c r="A273" i="9"/>
  <c r="J272" i="9" a="1"/>
  <c r="J272" i="9" s="1"/>
  <c r="I272" i="9"/>
  <c r="A278" i="3"/>
  <c r="I277" i="3"/>
  <c r="J277" i="3" a="1"/>
  <c r="J277" i="3" s="1"/>
  <c r="J278" i="3" l="1" a="1"/>
  <c r="J278" i="3" s="1"/>
  <c r="I278" i="3"/>
  <c r="A279" i="3"/>
  <c r="A274" i="9"/>
  <c r="J273" i="9" a="1"/>
  <c r="J273" i="9" s="1"/>
  <c r="I273" i="9"/>
  <c r="J302" i="6" a="1"/>
  <c r="J302" i="6" s="1"/>
  <c r="I302" i="6"/>
  <c r="A303" i="6"/>
  <c r="I262" i="5"/>
  <c r="A263" i="5"/>
  <c r="J262" i="5" a="1"/>
  <c r="J262" i="5" s="1"/>
  <c r="A266" i="7"/>
  <c r="J265" i="7" a="1"/>
  <c r="J265" i="7" s="1"/>
  <c r="I265" i="7"/>
  <c r="A272" i="8"/>
  <c r="J271" i="8" a="1"/>
  <c r="J271" i="8" s="1"/>
  <c r="I271" i="8"/>
  <c r="A273" i="8" l="1"/>
  <c r="J272" i="8" a="1"/>
  <c r="J272" i="8" s="1"/>
  <c r="I272" i="8"/>
  <c r="A267" i="7"/>
  <c r="J266" i="7" a="1"/>
  <c r="J266" i="7" s="1"/>
  <c r="I266" i="7"/>
  <c r="J263" i="5" a="1"/>
  <c r="J263" i="5" s="1"/>
  <c r="A264" i="5"/>
  <c r="I263" i="5"/>
  <c r="I303" i="6"/>
  <c r="J303" i="6" a="1"/>
  <c r="J303" i="6" s="1"/>
  <c r="A304" i="6"/>
  <c r="A275" i="9"/>
  <c r="I274" i="9"/>
  <c r="J274" i="9" a="1"/>
  <c r="J274" i="9" s="1"/>
  <c r="A280" i="3"/>
  <c r="J279" i="3" a="1"/>
  <c r="J279" i="3" s="1"/>
  <c r="I279" i="3"/>
  <c r="A281" i="3" l="1"/>
  <c r="J280" i="3" a="1"/>
  <c r="J280" i="3" s="1"/>
  <c r="I280" i="3"/>
  <c r="A276" i="9"/>
  <c r="J275" i="9" a="1"/>
  <c r="J275" i="9" s="1"/>
  <c r="I275" i="9"/>
  <c r="I304" i="6"/>
  <c r="A305" i="6"/>
  <c r="J304" i="6" a="1"/>
  <c r="J304" i="6" s="1"/>
  <c r="A265" i="5"/>
  <c r="J264" i="5" a="1"/>
  <c r="J264" i="5" s="1"/>
  <c r="I264" i="5"/>
  <c r="J267" i="7" a="1"/>
  <c r="J267" i="7" s="1"/>
  <c r="A268" i="7"/>
  <c r="I267" i="7"/>
  <c r="A274" i="8"/>
  <c r="J273" i="8" a="1"/>
  <c r="J273" i="8" s="1"/>
  <c r="I273" i="8"/>
  <c r="A275" i="8" l="1"/>
  <c r="J274" i="8" a="1"/>
  <c r="J274" i="8" s="1"/>
  <c r="I274" i="8"/>
  <c r="A269" i="7"/>
  <c r="I268" i="7"/>
  <c r="J268" i="7" a="1"/>
  <c r="J268" i="7" s="1"/>
  <c r="A266" i="5"/>
  <c r="J265" i="5" a="1"/>
  <c r="J265" i="5" s="1"/>
  <c r="I265" i="5"/>
  <c r="A306" i="6"/>
  <c r="J305" i="6" a="1"/>
  <c r="J305" i="6" s="1"/>
  <c r="I305" i="6"/>
  <c r="J276" i="9" a="1"/>
  <c r="J276" i="9" s="1"/>
  <c r="I276" i="9"/>
  <c r="A277" i="9"/>
  <c r="J281" i="3" a="1"/>
  <c r="J281" i="3" s="1"/>
  <c r="I281" i="3"/>
  <c r="A282" i="3"/>
  <c r="A283" i="3" l="1"/>
  <c r="J282" i="3" a="1"/>
  <c r="J282" i="3" s="1"/>
  <c r="I282" i="3"/>
  <c r="A278" i="9"/>
  <c r="J277" i="9" a="1"/>
  <c r="J277" i="9" s="1"/>
  <c r="I277" i="9"/>
  <c r="I306" i="6"/>
  <c r="A307" i="6"/>
  <c r="J306" i="6" a="1"/>
  <c r="J306" i="6" s="1"/>
  <c r="J266" i="5" a="1"/>
  <c r="J266" i="5" s="1"/>
  <c r="I266" i="5"/>
  <c r="A267" i="5"/>
  <c r="A270" i="7"/>
  <c r="I269" i="7"/>
  <c r="J269" i="7" a="1"/>
  <c r="J269" i="7" s="1"/>
  <c r="J275" i="8" a="1"/>
  <c r="J275" i="8" s="1"/>
  <c r="A276" i="8"/>
  <c r="I275" i="8"/>
  <c r="J276" i="8" l="1" a="1"/>
  <c r="J276" i="8" s="1"/>
  <c r="A277" i="8"/>
  <c r="I276" i="8"/>
  <c r="A271" i="7"/>
  <c r="J270" i="7" a="1"/>
  <c r="J270" i="7" s="1"/>
  <c r="I270" i="7"/>
  <c r="A268" i="5"/>
  <c r="I267" i="5"/>
  <c r="J267" i="5" a="1"/>
  <c r="J267" i="5" s="1"/>
  <c r="A308" i="6"/>
  <c r="J307" i="6" a="1"/>
  <c r="J307" i="6" s="1"/>
  <c r="I307" i="6"/>
  <c r="A279" i="9"/>
  <c r="J278" i="9" a="1"/>
  <c r="J278" i="9" s="1"/>
  <c r="I278" i="9"/>
  <c r="J283" i="3" a="1"/>
  <c r="J283" i="3" s="1"/>
  <c r="I283" i="3"/>
  <c r="A284" i="3"/>
  <c r="J284" i="3" l="1" a="1"/>
  <c r="J284" i="3" s="1"/>
  <c r="A285" i="3"/>
  <c r="I284" i="3"/>
  <c r="A280" i="9"/>
  <c r="J279" i="9" a="1"/>
  <c r="J279" i="9" s="1"/>
  <c r="I279" i="9"/>
  <c r="I308" i="6"/>
  <c r="A309" i="6"/>
  <c r="J308" i="6" a="1"/>
  <c r="J308" i="6" s="1"/>
  <c r="J268" i="5" a="1"/>
  <c r="J268" i="5" s="1"/>
  <c r="I268" i="5"/>
  <c r="A269" i="5"/>
  <c r="A272" i="7"/>
  <c r="J271" i="7" a="1"/>
  <c r="J271" i="7" s="1"/>
  <c r="I271" i="7"/>
  <c r="A278" i="8"/>
  <c r="J277" i="8" a="1"/>
  <c r="J277" i="8" s="1"/>
  <c r="I277" i="8"/>
  <c r="A279" i="8" l="1"/>
  <c r="J278" i="8" a="1"/>
  <c r="J278" i="8" s="1"/>
  <c r="I278" i="8"/>
  <c r="A273" i="7"/>
  <c r="I272" i="7"/>
  <c r="J272" i="7" a="1"/>
  <c r="J272" i="7" s="1"/>
  <c r="A270" i="5"/>
  <c r="I269" i="5"/>
  <c r="J269" i="5" a="1"/>
  <c r="J269" i="5" s="1"/>
  <c r="I309" i="6"/>
  <c r="J309" i="6" a="1"/>
  <c r="J309" i="6" s="1"/>
  <c r="A310" i="6"/>
  <c r="J280" i="9" a="1"/>
  <c r="J280" i="9" s="1"/>
  <c r="I280" i="9"/>
  <c r="A281" i="9"/>
  <c r="A286" i="3"/>
  <c r="J285" i="3" a="1"/>
  <c r="J285" i="3" s="1"/>
  <c r="I285" i="3"/>
  <c r="I286" i="3" l="1"/>
  <c r="A287" i="3"/>
  <c r="J286" i="3" a="1"/>
  <c r="J286" i="3" s="1"/>
  <c r="A282" i="9"/>
  <c r="J281" i="9" a="1"/>
  <c r="J281" i="9" s="1"/>
  <c r="I281" i="9"/>
  <c r="J310" i="6" a="1"/>
  <c r="J310" i="6" s="1"/>
  <c r="A311" i="6"/>
  <c r="I310" i="6"/>
  <c r="A271" i="5"/>
  <c r="J270" i="5" a="1"/>
  <c r="J270" i="5" s="1"/>
  <c r="I270" i="5"/>
  <c r="A274" i="7"/>
  <c r="J273" i="7" a="1"/>
  <c r="J273" i="7" s="1"/>
  <c r="I273" i="7"/>
  <c r="A280" i="8"/>
  <c r="J279" i="8" a="1"/>
  <c r="J279" i="8" s="1"/>
  <c r="I279" i="8"/>
  <c r="A281" i="8" l="1"/>
  <c r="J280" i="8" a="1"/>
  <c r="J280" i="8" s="1"/>
  <c r="I280" i="8"/>
  <c r="A275" i="7"/>
  <c r="I274" i="7"/>
  <c r="J274" i="7" a="1"/>
  <c r="J274" i="7" s="1"/>
  <c r="A272" i="5"/>
  <c r="I271" i="5"/>
  <c r="J271" i="5" a="1"/>
  <c r="J271" i="5" s="1"/>
  <c r="A312" i="6"/>
  <c r="J311" i="6" a="1"/>
  <c r="J311" i="6" s="1"/>
  <c r="I311" i="6"/>
  <c r="A283" i="9"/>
  <c r="J282" i="9" a="1"/>
  <c r="J282" i="9" s="1"/>
  <c r="I282" i="9"/>
  <c r="A288" i="3"/>
  <c r="J287" i="3" a="1"/>
  <c r="J287" i="3" s="1"/>
  <c r="I287" i="3"/>
  <c r="A289" i="3" l="1"/>
  <c r="I288" i="3"/>
  <c r="J288" i="3" a="1"/>
  <c r="J288" i="3" s="1"/>
  <c r="A284" i="9"/>
  <c r="J283" i="9" a="1"/>
  <c r="J283" i="9" s="1"/>
  <c r="I283" i="9"/>
  <c r="J312" i="6" a="1"/>
  <c r="J312" i="6" s="1"/>
  <c r="I312" i="6"/>
  <c r="A313" i="6"/>
  <c r="A273" i="5"/>
  <c r="I272" i="5"/>
  <c r="J272" i="5" a="1"/>
  <c r="J272" i="5" s="1"/>
  <c r="A276" i="7"/>
  <c r="J275" i="7" a="1"/>
  <c r="J275" i="7" s="1"/>
  <c r="I275" i="7"/>
  <c r="J281" i="8" a="1"/>
  <c r="J281" i="8" s="1"/>
  <c r="A282" i="8"/>
  <c r="I281" i="8"/>
  <c r="J282" i="8" l="1" a="1"/>
  <c r="J282" i="8" s="1"/>
  <c r="A283" i="8"/>
  <c r="I282" i="8"/>
  <c r="A277" i="7"/>
  <c r="J276" i="7" a="1"/>
  <c r="J276" i="7" s="1"/>
  <c r="I276" i="7"/>
  <c r="A274" i="5"/>
  <c r="J273" i="5" a="1"/>
  <c r="J273" i="5" s="1"/>
  <c r="I273" i="5"/>
  <c r="A314" i="6"/>
  <c r="J313" i="6" a="1"/>
  <c r="J313" i="6" s="1"/>
  <c r="I313" i="6"/>
  <c r="A285" i="9"/>
  <c r="J284" i="9" a="1"/>
  <c r="J284" i="9" s="1"/>
  <c r="I284" i="9"/>
  <c r="A290" i="3"/>
  <c r="J289" i="3" a="1"/>
  <c r="J289" i="3" s="1"/>
  <c r="I289" i="3"/>
  <c r="J290" i="3" l="1" a="1"/>
  <c r="J290" i="3" s="1"/>
  <c r="A291" i="3"/>
  <c r="I290" i="3"/>
  <c r="A286" i="9"/>
  <c r="J285" i="9" a="1"/>
  <c r="J285" i="9" s="1"/>
  <c r="I285" i="9"/>
  <c r="A315" i="6"/>
  <c r="J314" i="6" a="1"/>
  <c r="J314" i="6" s="1"/>
  <c r="I314" i="6"/>
  <c r="J274" i="5" a="1"/>
  <c r="J274" i="5" s="1"/>
  <c r="A275" i="5"/>
  <c r="I274" i="5"/>
  <c r="J277" i="7" a="1"/>
  <c r="J277" i="7" s="1"/>
  <c r="I277" i="7"/>
  <c r="A278" i="7"/>
  <c r="A284" i="8"/>
  <c r="J283" i="8" a="1"/>
  <c r="J283" i="8" s="1"/>
  <c r="I283" i="8"/>
  <c r="A285" i="8" l="1"/>
  <c r="J284" i="8" a="1"/>
  <c r="J284" i="8" s="1"/>
  <c r="I284" i="8"/>
  <c r="A279" i="7"/>
  <c r="J278" i="7" a="1"/>
  <c r="J278" i="7" s="1"/>
  <c r="I278" i="7"/>
  <c r="A276" i="5"/>
  <c r="J275" i="5" a="1"/>
  <c r="J275" i="5" s="1"/>
  <c r="I275" i="5"/>
  <c r="I315" i="6"/>
  <c r="A316" i="6"/>
  <c r="J315" i="6" a="1"/>
  <c r="J315" i="6" s="1"/>
  <c r="A287" i="9"/>
  <c r="J286" i="9" a="1"/>
  <c r="J286" i="9" s="1"/>
  <c r="I286" i="9"/>
  <c r="J291" i="3" a="1"/>
  <c r="J291" i="3" s="1"/>
  <c r="I291" i="3"/>
  <c r="A292" i="3"/>
  <c r="J292" i="3" l="1" a="1"/>
  <c r="J292" i="3" s="1"/>
  <c r="A293" i="3"/>
  <c r="I292" i="3"/>
  <c r="A288" i="9"/>
  <c r="I287" i="9"/>
  <c r="J287" i="9" a="1"/>
  <c r="J287" i="9" s="1"/>
  <c r="J316" i="6" a="1"/>
  <c r="J316" i="6" s="1"/>
  <c r="I316" i="6"/>
  <c r="A317" i="6"/>
  <c r="A277" i="5"/>
  <c r="I276" i="5"/>
  <c r="J276" i="5" a="1"/>
  <c r="J276" i="5" s="1"/>
  <c r="A280" i="7"/>
  <c r="J279" i="7" a="1"/>
  <c r="J279" i="7" s="1"/>
  <c r="I279" i="7"/>
  <c r="A286" i="8"/>
  <c r="J285" i="8" a="1"/>
  <c r="J285" i="8" s="1"/>
  <c r="I285" i="8"/>
  <c r="A287" i="8" l="1"/>
  <c r="J286" i="8" a="1"/>
  <c r="J286" i="8" s="1"/>
  <c r="I286" i="8"/>
  <c r="A281" i="7"/>
  <c r="J280" i="7" a="1"/>
  <c r="J280" i="7" s="1"/>
  <c r="I280" i="7"/>
  <c r="A278" i="5"/>
  <c r="J277" i="5" a="1"/>
  <c r="J277" i="5" s="1"/>
  <c r="I277" i="5"/>
  <c r="J317" i="6" a="1"/>
  <c r="J317" i="6" s="1"/>
  <c r="A318" i="6"/>
  <c r="I317" i="6"/>
  <c r="A289" i="9"/>
  <c r="J288" i="9" a="1"/>
  <c r="J288" i="9" s="1"/>
  <c r="I288" i="9"/>
  <c r="A294" i="3"/>
  <c r="J293" i="3" a="1"/>
  <c r="J293" i="3" s="1"/>
  <c r="I293" i="3"/>
  <c r="J294" i="3" l="1" a="1"/>
  <c r="J294" i="3" s="1"/>
  <c r="I294" i="3"/>
  <c r="A295" i="3"/>
  <c r="J289" i="9" a="1"/>
  <c r="J289" i="9" s="1"/>
  <c r="I289" i="9"/>
  <c r="A290" i="9"/>
  <c r="J318" i="6" a="1"/>
  <c r="J318" i="6" s="1"/>
  <c r="A319" i="6"/>
  <c r="I318" i="6"/>
  <c r="J278" i="5" a="1"/>
  <c r="J278" i="5" s="1"/>
  <c r="I278" i="5"/>
  <c r="A279" i="5"/>
  <c r="A282" i="7"/>
  <c r="J281" i="7" a="1"/>
  <c r="J281" i="7" s="1"/>
  <c r="I281" i="7"/>
  <c r="J287" i="8" a="1"/>
  <c r="J287" i="8" s="1"/>
  <c r="A288" i="8"/>
  <c r="I287" i="8"/>
  <c r="J288" i="8" l="1" a="1"/>
  <c r="J288" i="8" s="1"/>
  <c r="A289" i="8"/>
  <c r="I288" i="8"/>
  <c r="J282" i="7" a="1"/>
  <c r="J282" i="7" s="1"/>
  <c r="A283" i="7"/>
  <c r="I282" i="7"/>
  <c r="A280" i="5"/>
  <c r="I279" i="5"/>
  <c r="J279" i="5" a="1"/>
  <c r="J279" i="5" s="1"/>
  <c r="J319" i="6" a="1"/>
  <c r="J319" i="6" s="1"/>
  <c r="A320" i="6"/>
  <c r="I319" i="6"/>
  <c r="A291" i="9"/>
  <c r="J290" i="9" a="1"/>
  <c r="J290" i="9" s="1"/>
  <c r="I290" i="9"/>
  <c r="A296" i="3"/>
  <c r="J295" i="3" a="1"/>
  <c r="J295" i="3" s="1"/>
  <c r="I295" i="3"/>
  <c r="J296" i="3" l="1" a="1"/>
  <c r="J296" i="3" s="1"/>
  <c r="A297" i="3"/>
  <c r="I296" i="3"/>
  <c r="A292" i="9"/>
  <c r="J291" i="9" a="1"/>
  <c r="J291" i="9" s="1"/>
  <c r="I291" i="9"/>
  <c r="A321" i="6"/>
  <c r="J320" i="6" a="1"/>
  <c r="J320" i="6" s="1"/>
  <c r="I320" i="6"/>
  <c r="A281" i="5"/>
  <c r="J280" i="5" a="1"/>
  <c r="J280" i="5" s="1"/>
  <c r="I280" i="5"/>
  <c r="A284" i="7"/>
  <c r="J283" i="7" a="1"/>
  <c r="J283" i="7" s="1"/>
  <c r="I283" i="7"/>
  <c r="A290" i="8"/>
  <c r="J289" i="8" a="1"/>
  <c r="J289" i="8" s="1"/>
  <c r="I289" i="8"/>
  <c r="A291" i="8" l="1"/>
  <c r="J290" i="8" a="1"/>
  <c r="J290" i="8" s="1"/>
  <c r="I290" i="8"/>
  <c r="A285" i="7"/>
  <c r="J284" i="7" a="1"/>
  <c r="J284" i="7" s="1"/>
  <c r="I284" i="7"/>
  <c r="J281" i="5" a="1"/>
  <c r="J281" i="5" s="1"/>
  <c r="A282" i="5"/>
  <c r="I281" i="5"/>
  <c r="I321" i="6"/>
  <c r="J321" i="6" a="1"/>
  <c r="J321" i="6" s="1"/>
  <c r="A322" i="6"/>
  <c r="A293" i="9"/>
  <c r="J292" i="9" a="1"/>
  <c r="J292" i="9" s="1"/>
  <c r="I292" i="9"/>
  <c r="A298" i="3"/>
  <c r="J297" i="3" a="1"/>
  <c r="J297" i="3" s="1"/>
  <c r="I297" i="3"/>
  <c r="A299" i="3" l="1"/>
  <c r="J298" i="3" a="1"/>
  <c r="J298" i="3" s="1"/>
  <c r="I298" i="3"/>
  <c r="J293" i="9" a="1"/>
  <c r="J293" i="9" s="1"/>
  <c r="I293" i="9"/>
  <c r="A294" i="9"/>
  <c r="A323" i="6"/>
  <c r="I322" i="6"/>
  <c r="J322" i="6" a="1"/>
  <c r="J322" i="6" s="1"/>
  <c r="A283" i="5"/>
  <c r="J282" i="5" a="1"/>
  <c r="J282" i="5" s="1"/>
  <c r="I282" i="5"/>
  <c r="A286" i="7"/>
  <c r="I285" i="7"/>
  <c r="J285" i="7" a="1"/>
  <c r="J285" i="7" s="1"/>
  <c r="A292" i="8"/>
  <c r="J291" i="8" a="1"/>
  <c r="J291" i="8" s="1"/>
  <c r="I291" i="8"/>
  <c r="A293" i="8" l="1"/>
  <c r="J292" i="8" a="1"/>
  <c r="J292" i="8" s="1"/>
  <c r="I292" i="8"/>
  <c r="A287" i="7"/>
  <c r="J286" i="7" a="1"/>
  <c r="J286" i="7" s="1"/>
  <c r="I286" i="7"/>
  <c r="J283" i="5" a="1"/>
  <c r="J283" i="5" s="1"/>
  <c r="I283" i="5"/>
  <c r="A284" i="5"/>
  <c r="A324" i="6"/>
  <c r="J323" i="6" a="1"/>
  <c r="J323" i="6" s="1"/>
  <c r="I323" i="6"/>
  <c r="A295" i="9"/>
  <c r="J294" i="9" a="1"/>
  <c r="J294" i="9" s="1"/>
  <c r="I294" i="9"/>
  <c r="A300" i="3"/>
  <c r="J299" i="3" a="1"/>
  <c r="J299" i="3" s="1"/>
  <c r="I299" i="3"/>
  <c r="A301" i="3" l="1"/>
  <c r="J300" i="3" a="1"/>
  <c r="J300" i="3" s="1"/>
  <c r="I300" i="3"/>
  <c r="A296" i="9"/>
  <c r="J295" i="9" a="1"/>
  <c r="J295" i="9" s="1"/>
  <c r="I295" i="9"/>
  <c r="A325" i="6"/>
  <c r="I324" i="6"/>
  <c r="J324" i="6" a="1"/>
  <c r="J324" i="6" s="1"/>
  <c r="J284" i="5" a="1"/>
  <c r="J284" i="5" s="1"/>
  <c r="I284" i="5"/>
  <c r="A285" i="5"/>
  <c r="A288" i="7"/>
  <c r="J287" i="7" a="1"/>
  <c r="J287" i="7" s="1"/>
  <c r="I287" i="7"/>
  <c r="J293" i="8" a="1"/>
  <c r="J293" i="8" s="1"/>
  <c r="A294" i="8"/>
  <c r="I293" i="8"/>
  <c r="J294" i="8" l="1" a="1"/>
  <c r="J294" i="8" s="1"/>
  <c r="I294" i="8"/>
  <c r="A295" i="8"/>
  <c r="I288" i="7"/>
  <c r="A289" i="7"/>
  <c r="J288" i="7" a="1"/>
  <c r="J288" i="7" s="1"/>
  <c r="A286" i="5"/>
  <c r="J285" i="5" a="1"/>
  <c r="J285" i="5" s="1"/>
  <c r="I285" i="5"/>
  <c r="J325" i="6" a="1"/>
  <c r="J325" i="6" s="1"/>
  <c r="I325" i="6"/>
  <c r="A326" i="6"/>
  <c r="A297" i="9"/>
  <c r="J296" i="9" a="1"/>
  <c r="J296" i="9" s="1"/>
  <c r="I296" i="9"/>
  <c r="A302" i="3"/>
  <c r="I301" i="3"/>
  <c r="J301" i="3" a="1"/>
  <c r="J301" i="3" s="1"/>
  <c r="J302" i="3" l="1" a="1"/>
  <c r="J302" i="3" s="1"/>
  <c r="A303" i="3"/>
  <c r="I302" i="3"/>
  <c r="A298" i="9"/>
  <c r="J297" i="9" a="1"/>
  <c r="J297" i="9" s="1"/>
  <c r="I297" i="9"/>
  <c r="J326" i="6" a="1"/>
  <c r="J326" i="6" s="1"/>
  <c r="I326" i="6"/>
  <c r="A327" i="6"/>
  <c r="A287" i="5"/>
  <c r="I286" i="5"/>
  <c r="J286" i="5" a="1"/>
  <c r="J286" i="5" s="1"/>
  <c r="A290" i="7"/>
  <c r="J289" i="7" a="1"/>
  <c r="J289" i="7" s="1"/>
  <c r="I289" i="7"/>
  <c r="A296" i="8"/>
  <c r="J295" i="8" a="1"/>
  <c r="J295" i="8" s="1"/>
  <c r="I295" i="8"/>
  <c r="A297" i="8" l="1"/>
  <c r="J296" i="8" a="1"/>
  <c r="J296" i="8" s="1"/>
  <c r="I296" i="8"/>
  <c r="J290" i="7" a="1"/>
  <c r="J290" i="7" s="1"/>
  <c r="I290" i="7"/>
  <c r="A291" i="7"/>
  <c r="I287" i="5"/>
  <c r="A288" i="5"/>
  <c r="J287" i="5" a="1"/>
  <c r="J287" i="5" s="1"/>
  <c r="I327" i="6"/>
  <c r="J327" i="6" a="1"/>
  <c r="J327" i="6" s="1"/>
  <c r="A328" i="6"/>
  <c r="A299" i="9"/>
  <c r="J298" i="9" a="1"/>
  <c r="J298" i="9" s="1"/>
  <c r="I298" i="9"/>
  <c r="A304" i="3"/>
  <c r="J303" i="3" a="1"/>
  <c r="J303" i="3" s="1"/>
  <c r="I303" i="3"/>
  <c r="A305" i="3" l="1"/>
  <c r="J304" i="3" a="1"/>
  <c r="J304" i="3" s="1"/>
  <c r="I304" i="3"/>
  <c r="A300" i="9"/>
  <c r="J299" i="9" a="1"/>
  <c r="J299" i="9" s="1"/>
  <c r="I299" i="9"/>
  <c r="J328" i="6" a="1"/>
  <c r="J328" i="6" s="1"/>
  <c r="I328" i="6"/>
  <c r="A329" i="6"/>
  <c r="J288" i="5" a="1"/>
  <c r="J288" i="5" s="1"/>
  <c r="A289" i="5"/>
  <c r="I288" i="5"/>
  <c r="I291" i="7"/>
  <c r="A292" i="7"/>
  <c r="J291" i="7" a="1"/>
  <c r="J291" i="7" s="1"/>
  <c r="A298" i="8"/>
  <c r="J297" i="8" a="1"/>
  <c r="J297" i="8" s="1"/>
  <c r="I297" i="8"/>
  <c r="A299" i="8" l="1"/>
  <c r="J298" i="8" a="1"/>
  <c r="J298" i="8" s="1"/>
  <c r="I298" i="8"/>
  <c r="A293" i="7"/>
  <c r="J292" i="7" a="1"/>
  <c r="J292" i="7" s="1"/>
  <c r="I292" i="7"/>
  <c r="A290" i="5"/>
  <c r="J289" i="5" a="1"/>
  <c r="J289" i="5" s="1"/>
  <c r="I289" i="5"/>
  <c r="I329" i="6"/>
  <c r="A330" i="6"/>
  <c r="J329" i="6" a="1"/>
  <c r="J329" i="6" s="1"/>
  <c r="A301" i="9"/>
  <c r="I300" i="9"/>
  <c r="J300" i="9" a="1"/>
  <c r="J300" i="9" s="1"/>
  <c r="A306" i="3"/>
  <c r="J305" i="3" a="1"/>
  <c r="J305" i="3" s="1"/>
  <c r="I305" i="3"/>
  <c r="A307" i="3" l="1"/>
  <c r="J306" i="3" a="1"/>
  <c r="J306" i="3" s="1"/>
  <c r="I306" i="3"/>
  <c r="A302" i="9"/>
  <c r="J301" i="9" a="1"/>
  <c r="J301" i="9" s="1"/>
  <c r="I301" i="9"/>
  <c r="A331" i="6"/>
  <c r="J330" i="6" a="1"/>
  <c r="J330" i="6" s="1"/>
  <c r="I330" i="6"/>
  <c r="A291" i="5"/>
  <c r="J290" i="5" a="1"/>
  <c r="J290" i="5" s="1"/>
  <c r="I290" i="5"/>
  <c r="A294" i="7"/>
  <c r="I293" i="7"/>
  <c r="J293" i="7" a="1"/>
  <c r="J293" i="7" s="1"/>
  <c r="J299" i="8" a="1"/>
  <c r="J299" i="8" s="1"/>
  <c r="A300" i="8"/>
  <c r="I299" i="8"/>
  <c r="J300" i="8" l="1" a="1"/>
  <c r="J300" i="8" s="1"/>
  <c r="A301" i="8"/>
  <c r="I300" i="8"/>
  <c r="J294" i="7" a="1"/>
  <c r="J294" i="7" s="1"/>
  <c r="I294" i="7"/>
  <c r="A295" i="7"/>
  <c r="A292" i="5"/>
  <c r="J291" i="5" a="1"/>
  <c r="J291" i="5" s="1"/>
  <c r="I291" i="5"/>
  <c r="I331" i="6"/>
  <c r="A332" i="6"/>
  <c r="J331" i="6" a="1"/>
  <c r="J331" i="6" s="1"/>
  <c r="A303" i="9"/>
  <c r="J302" i="9" a="1"/>
  <c r="J302" i="9" s="1"/>
  <c r="I302" i="9"/>
  <c r="A308" i="3"/>
  <c r="J307" i="3" a="1"/>
  <c r="J307" i="3" s="1"/>
  <c r="I307" i="3"/>
  <c r="J308" i="3" l="1" a="1"/>
  <c r="J308" i="3" s="1"/>
  <c r="A309" i="3"/>
  <c r="I308" i="3"/>
  <c r="A304" i="9"/>
  <c r="J303" i="9" a="1"/>
  <c r="J303" i="9" s="1"/>
  <c r="I303" i="9"/>
  <c r="A333" i="6"/>
  <c r="I332" i="6"/>
  <c r="J332" i="6" a="1"/>
  <c r="J332" i="6" s="1"/>
  <c r="J292" i="5" a="1"/>
  <c r="J292" i="5" s="1"/>
  <c r="A293" i="5"/>
  <c r="I292" i="5"/>
  <c r="J295" i="7" a="1"/>
  <c r="J295" i="7" s="1"/>
  <c r="A296" i="7"/>
  <c r="I295" i="7"/>
  <c r="A302" i="8"/>
  <c r="J301" i="8" a="1"/>
  <c r="J301" i="8" s="1"/>
  <c r="I301" i="8"/>
  <c r="A303" i="8" l="1"/>
  <c r="J302" i="8" a="1"/>
  <c r="J302" i="8" s="1"/>
  <c r="I302" i="8"/>
  <c r="A297" i="7"/>
  <c r="I296" i="7"/>
  <c r="J296" i="7" a="1"/>
  <c r="J296" i="7" s="1"/>
  <c r="J293" i="5" a="1"/>
  <c r="J293" i="5" s="1"/>
  <c r="I293" i="5"/>
  <c r="A294" i="5"/>
  <c r="I333" i="6"/>
  <c r="A334" i="6"/>
  <c r="J333" i="6" a="1"/>
  <c r="J333" i="6" s="1"/>
  <c r="A305" i="9"/>
  <c r="J304" i="9" a="1"/>
  <c r="J304" i="9" s="1"/>
  <c r="I304" i="9"/>
  <c r="A310" i="3"/>
  <c r="J309" i="3" a="1"/>
  <c r="J309" i="3" s="1"/>
  <c r="I309" i="3"/>
  <c r="A311" i="3" l="1"/>
  <c r="I310" i="3"/>
  <c r="J310" i="3" a="1"/>
  <c r="J310" i="3" s="1"/>
  <c r="A306" i="9"/>
  <c r="J305" i="9" a="1"/>
  <c r="J305" i="9" s="1"/>
  <c r="I305" i="9"/>
  <c r="J334" i="6" a="1"/>
  <c r="J334" i="6" s="1"/>
  <c r="I334" i="6"/>
  <c r="A335" i="6"/>
  <c r="A295" i="5"/>
  <c r="I294" i="5"/>
  <c r="J294" i="5" a="1"/>
  <c r="J294" i="5" s="1"/>
  <c r="A298" i="7"/>
  <c r="J297" i="7" a="1"/>
  <c r="J297" i="7" s="1"/>
  <c r="I297" i="7"/>
  <c r="A304" i="8"/>
  <c r="J303" i="8" a="1"/>
  <c r="J303" i="8" s="1"/>
  <c r="I303" i="8"/>
  <c r="A305" i="8" l="1"/>
  <c r="J304" i="8" a="1"/>
  <c r="J304" i="8" s="1"/>
  <c r="I304" i="8"/>
  <c r="A299" i="7"/>
  <c r="I298" i="7"/>
  <c r="J298" i="7" a="1"/>
  <c r="J298" i="7" s="1"/>
  <c r="A296" i="5"/>
  <c r="J295" i="5" a="1"/>
  <c r="J295" i="5" s="1"/>
  <c r="I295" i="5"/>
  <c r="J335" i="6" a="1"/>
  <c r="J335" i="6" s="1"/>
  <c r="I335" i="6"/>
  <c r="A336" i="6"/>
  <c r="J306" i="9" a="1"/>
  <c r="J306" i="9" s="1"/>
  <c r="I306" i="9"/>
  <c r="A307" i="9"/>
  <c r="I311" i="3"/>
  <c r="J311" i="3" a="1"/>
  <c r="J311" i="3" s="1"/>
  <c r="A312" i="3"/>
  <c r="A313" i="3" l="1"/>
  <c r="J312" i="3" a="1"/>
  <c r="J312" i="3" s="1"/>
  <c r="I312" i="3"/>
  <c r="A308" i="9"/>
  <c r="J307" i="9" a="1"/>
  <c r="J307" i="9" s="1"/>
  <c r="I307" i="9"/>
  <c r="A337" i="6"/>
  <c r="J336" i="6" a="1"/>
  <c r="J336" i="6" s="1"/>
  <c r="I336" i="6"/>
  <c r="A297" i="5"/>
  <c r="I296" i="5"/>
  <c r="J296" i="5" a="1"/>
  <c r="J296" i="5" s="1"/>
  <c r="A300" i="7"/>
  <c r="I299" i="7"/>
  <c r="J299" i="7" a="1"/>
  <c r="J299" i="7" s="1"/>
  <c r="I305" i="8"/>
  <c r="A306" i="8"/>
  <c r="J305" i="8" a="1"/>
  <c r="J305" i="8" s="1"/>
  <c r="A307" i="8" l="1"/>
  <c r="J306" i="8" a="1"/>
  <c r="J306" i="8" s="1"/>
  <c r="I306" i="8"/>
  <c r="A301" i="7"/>
  <c r="J300" i="7" a="1"/>
  <c r="J300" i="7" s="1"/>
  <c r="I300" i="7"/>
  <c r="A298" i="5"/>
  <c r="I297" i="5"/>
  <c r="J297" i="5" a="1"/>
  <c r="J297" i="5" s="1"/>
  <c r="J337" i="6" a="1"/>
  <c r="J337" i="6" s="1"/>
  <c r="I337" i="6"/>
  <c r="A338" i="6"/>
  <c r="A309" i="9"/>
  <c r="J308" i="9" a="1"/>
  <c r="J308" i="9" s="1"/>
  <c r="I308" i="9"/>
  <c r="A314" i="3"/>
  <c r="I313" i="3"/>
  <c r="J313" i="3" a="1"/>
  <c r="J313" i="3" s="1"/>
  <c r="J314" i="3" l="1" a="1"/>
  <c r="J314" i="3" s="1"/>
  <c r="I314" i="3"/>
  <c r="A315" i="3"/>
  <c r="J309" i="9" a="1"/>
  <c r="J309" i="9" s="1"/>
  <c r="I309" i="9"/>
  <c r="A310" i="9"/>
  <c r="A339" i="6"/>
  <c r="J338" i="6" a="1"/>
  <c r="J338" i="6" s="1"/>
  <c r="I338" i="6"/>
  <c r="I298" i="5"/>
  <c r="A299" i="5"/>
  <c r="J298" i="5" a="1"/>
  <c r="J298" i="5" s="1"/>
  <c r="I301" i="7"/>
  <c r="A302" i="7"/>
  <c r="J301" i="7" a="1"/>
  <c r="J301" i="7" s="1"/>
  <c r="I307" i="8"/>
  <c r="A308" i="8"/>
  <c r="J307" i="8" a="1"/>
  <c r="J307" i="8" s="1"/>
  <c r="A309" i="8" l="1"/>
  <c r="J308" i="8" a="1"/>
  <c r="J308" i="8" s="1"/>
  <c r="I308" i="8"/>
  <c r="A303" i="7"/>
  <c r="J302" i="7" a="1"/>
  <c r="J302" i="7" s="1"/>
  <c r="I302" i="7"/>
  <c r="J299" i="5" a="1"/>
  <c r="J299" i="5" s="1"/>
  <c r="I299" i="5"/>
  <c r="A300" i="5"/>
  <c r="I339" i="6"/>
  <c r="A340" i="6"/>
  <c r="J339" i="6" a="1"/>
  <c r="J339" i="6" s="1"/>
  <c r="A311" i="9"/>
  <c r="J310" i="9" a="1"/>
  <c r="J310" i="9" s="1"/>
  <c r="I310" i="9"/>
  <c r="A316" i="3"/>
  <c r="J315" i="3" a="1"/>
  <c r="J315" i="3" s="1"/>
  <c r="I315" i="3"/>
  <c r="A317" i="3" l="1"/>
  <c r="J316" i="3" a="1"/>
  <c r="J316" i="3" s="1"/>
  <c r="I316" i="3"/>
  <c r="A312" i="9"/>
  <c r="J311" i="9" a="1"/>
  <c r="J311" i="9" s="1"/>
  <c r="I311" i="9"/>
  <c r="A341" i="6"/>
  <c r="I340" i="6"/>
  <c r="J340" i="6" a="1"/>
  <c r="J340" i="6" s="1"/>
  <c r="A301" i="5"/>
  <c r="J300" i="5" a="1"/>
  <c r="J300" i="5" s="1"/>
  <c r="I300" i="5"/>
  <c r="J303" i="7" a="1"/>
  <c r="J303" i="7" s="1"/>
  <c r="I303" i="7"/>
  <c r="A304" i="7"/>
  <c r="J309" i="8" a="1"/>
  <c r="J309" i="8" s="1"/>
  <c r="I309" i="8"/>
  <c r="A310" i="8"/>
  <c r="A311" i="8" l="1"/>
  <c r="J310" i="8" a="1"/>
  <c r="J310" i="8" s="1"/>
  <c r="I310" i="8"/>
  <c r="A305" i="7"/>
  <c r="I304" i="7"/>
  <c r="J304" i="7" a="1"/>
  <c r="J304" i="7" s="1"/>
  <c r="A302" i="5"/>
  <c r="I301" i="5"/>
  <c r="J301" i="5" a="1"/>
  <c r="J301" i="5" s="1"/>
  <c r="I341" i="6"/>
  <c r="A342" i="6"/>
  <c r="J341" i="6" a="1"/>
  <c r="J341" i="6" s="1"/>
  <c r="A313" i="9"/>
  <c r="J312" i="9" a="1"/>
  <c r="J312" i="9" s="1"/>
  <c r="I312" i="9"/>
  <c r="J317" i="3" a="1"/>
  <c r="J317" i="3" s="1"/>
  <c r="A318" i="3"/>
  <c r="I317" i="3"/>
  <c r="I318" i="3" l="1"/>
  <c r="A319" i="3"/>
  <c r="J318" i="3" a="1"/>
  <c r="J318" i="3" s="1"/>
  <c r="A314" i="9"/>
  <c r="I313" i="9"/>
  <c r="J313" i="9" a="1"/>
  <c r="J313" i="9" s="1"/>
  <c r="J342" i="6" a="1"/>
  <c r="J342" i="6" s="1"/>
  <c r="I342" i="6"/>
  <c r="A343" i="6"/>
  <c r="A303" i="5"/>
  <c r="J302" i="5" a="1"/>
  <c r="J302" i="5" s="1"/>
  <c r="I302" i="5"/>
  <c r="A306" i="7"/>
  <c r="J305" i="7" a="1"/>
  <c r="J305" i="7" s="1"/>
  <c r="I305" i="7"/>
  <c r="A312" i="8"/>
  <c r="J311" i="8" a="1"/>
  <c r="J311" i="8" s="1"/>
  <c r="I311" i="8"/>
  <c r="A313" i="8" l="1"/>
  <c r="J312" i="8" a="1"/>
  <c r="J312" i="8" s="1"/>
  <c r="I312" i="8"/>
  <c r="A307" i="7"/>
  <c r="J306" i="7" a="1"/>
  <c r="J306" i="7" s="1"/>
  <c r="I306" i="7"/>
  <c r="A304" i="5"/>
  <c r="J303" i="5" a="1"/>
  <c r="J303" i="5" s="1"/>
  <c r="I303" i="5"/>
  <c r="J343" i="6" a="1"/>
  <c r="J343" i="6" s="1"/>
  <c r="I343" i="6"/>
  <c r="A344" i="6"/>
  <c r="A315" i="9"/>
  <c r="J314" i="9" a="1"/>
  <c r="J314" i="9" s="1"/>
  <c r="I314" i="9"/>
  <c r="A320" i="3"/>
  <c r="J319" i="3" a="1"/>
  <c r="J319" i="3" s="1"/>
  <c r="I319" i="3"/>
  <c r="J320" i="3" l="1" a="1"/>
  <c r="J320" i="3" s="1"/>
  <c r="A321" i="3"/>
  <c r="I320" i="3"/>
  <c r="A316" i="9"/>
  <c r="J315" i="9" a="1"/>
  <c r="J315" i="9" s="1"/>
  <c r="I315" i="9"/>
  <c r="A345" i="6"/>
  <c r="J344" i="6" a="1"/>
  <c r="J344" i="6" s="1"/>
  <c r="I344" i="6"/>
  <c r="A305" i="5"/>
  <c r="J304" i="5" a="1"/>
  <c r="J304" i="5" s="1"/>
  <c r="I304" i="5"/>
  <c r="J307" i="7" a="1"/>
  <c r="J307" i="7" s="1"/>
  <c r="I307" i="7"/>
  <c r="A308" i="7"/>
  <c r="A314" i="8"/>
  <c r="J313" i="8" a="1"/>
  <c r="J313" i="8" s="1"/>
  <c r="I313" i="8"/>
  <c r="A315" i="8" l="1"/>
  <c r="J314" i="8" a="1"/>
  <c r="J314" i="8" s="1"/>
  <c r="I314" i="8"/>
  <c r="J308" i="7" a="1"/>
  <c r="J308" i="7" s="1"/>
  <c r="I308" i="7"/>
  <c r="A309" i="7"/>
  <c r="A306" i="5"/>
  <c r="J305" i="5" a="1"/>
  <c r="J305" i="5" s="1"/>
  <c r="I305" i="5"/>
  <c r="I345" i="6"/>
  <c r="J345" i="6" a="1"/>
  <c r="J345" i="6" s="1"/>
  <c r="A346" i="6"/>
  <c r="A317" i="9"/>
  <c r="J316" i="9" a="1"/>
  <c r="J316" i="9" s="1"/>
  <c r="I316" i="9"/>
  <c r="J321" i="3" a="1"/>
  <c r="J321" i="3" s="1"/>
  <c r="I321" i="3"/>
  <c r="A322" i="3"/>
  <c r="A323" i="3" l="1"/>
  <c r="J322" i="3" a="1"/>
  <c r="J322" i="3" s="1"/>
  <c r="I322" i="3"/>
  <c r="A318" i="9"/>
  <c r="J317" i="9" a="1"/>
  <c r="J317" i="9" s="1"/>
  <c r="I317" i="9"/>
  <c r="J346" i="6" a="1"/>
  <c r="J346" i="6" s="1"/>
  <c r="A347" i="6"/>
  <c r="I346" i="6"/>
  <c r="J306" i="5" a="1"/>
  <c r="J306" i="5" s="1"/>
  <c r="A307" i="5"/>
  <c r="I306" i="5"/>
  <c r="A310" i="7"/>
  <c r="I309" i="7"/>
  <c r="J309" i="7" a="1"/>
  <c r="J309" i="7" s="1"/>
  <c r="A316" i="8"/>
  <c r="J315" i="8" a="1"/>
  <c r="J315" i="8" s="1"/>
  <c r="I315" i="8"/>
  <c r="A317" i="8" l="1"/>
  <c r="J316" i="8" a="1"/>
  <c r="J316" i="8" s="1"/>
  <c r="I316" i="8"/>
  <c r="A311" i="7"/>
  <c r="J310" i="7" a="1"/>
  <c r="J310" i="7" s="1"/>
  <c r="I310" i="7"/>
  <c r="A308" i="5"/>
  <c r="J307" i="5" a="1"/>
  <c r="J307" i="5" s="1"/>
  <c r="I307" i="5"/>
  <c r="A348" i="6"/>
  <c r="I347" i="6"/>
  <c r="J347" i="6" a="1"/>
  <c r="J347" i="6" s="1"/>
  <c r="A319" i="9"/>
  <c r="J318" i="9" a="1"/>
  <c r="J318" i="9" s="1"/>
  <c r="I318" i="9"/>
  <c r="A324" i="3"/>
  <c r="J323" i="3" a="1"/>
  <c r="J323" i="3" s="1"/>
  <c r="I323" i="3"/>
  <c r="A325" i="3" l="1"/>
  <c r="J324" i="3" a="1"/>
  <c r="J324" i="3" s="1"/>
  <c r="I324" i="3"/>
  <c r="J319" i="9" a="1"/>
  <c r="J319" i="9" s="1"/>
  <c r="I319" i="9"/>
  <c r="A320" i="9"/>
  <c r="A349" i="6"/>
  <c r="I348" i="6"/>
  <c r="J348" i="6" a="1"/>
  <c r="J348" i="6" s="1"/>
  <c r="J308" i="5" a="1"/>
  <c r="J308" i="5" s="1"/>
  <c r="I308" i="5"/>
  <c r="A309" i="5"/>
  <c r="A312" i="7"/>
  <c r="J311" i="7" a="1"/>
  <c r="J311" i="7" s="1"/>
  <c r="I311" i="7"/>
  <c r="A318" i="8"/>
  <c r="J317" i="8" a="1"/>
  <c r="J317" i="8" s="1"/>
  <c r="I317" i="8"/>
  <c r="A319" i="8" l="1"/>
  <c r="J318" i="8" a="1"/>
  <c r="J318" i="8" s="1"/>
  <c r="I318" i="8"/>
  <c r="A313" i="7"/>
  <c r="J312" i="7" a="1"/>
  <c r="J312" i="7" s="1"/>
  <c r="I312" i="7"/>
  <c r="A310" i="5"/>
  <c r="J309" i="5" a="1"/>
  <c r="J309" i="5" s="1"/>
  <c r="I309" i="5"/>
  <c r="A350" i="6"/>
  <c r="J349" i="6" a="1"/>
  <c r="J349" i="6" s="1"/>
  <c r="I349" i="6"/>
  <c r="A321" i="9"/>
  <c r="J320" i="9" a="1"/>
  <c r="J320" i="9" s="1"/>
  <c r="I320" i="9"/>
  <c r="A326" i="3"/>
  <c r="J325" i="3" a="1"/>
  <c r="J325" i="3" s="1"/>
  <c r="I325" i="3"/>
  <c r="J326" i="3" l="1" a="1"/>
  <c r="J326" i="3" s="1"/>
  <c r="A327" i="3"/>
  <c r="I326" i="3"/>
  <c r="A322" i="9"/>
  <c r="J321" i="9" a="1"/>
  <c r="J321" i="9" s="1"/>
  <c r="I321" i="9"/>
  <c r="J350" i="6" a="1"/>
  <c r="J350" i="6" s="1"/>
  <c r="I350" i="6"/>
  <c r="A351" i="6"/>
  <c r="A311" i="5"/>
  <c r="J310" i="5" a="1"/>
  <c r="J310" i="5" s="1"/>
  <c r="I310" i="5"/>
  <c r="A314" i="7"/>
  <c r="J313" i="7" a="1"/>
  <c r="J313" i="7" s="1"/>
  <c r="I313" i="7"/>
  <c r="I319" i="8"/>
  <c r="A320" i="8"/>
  <c r="J319" i="8" a="1"/>
  <c r="J319" i="8" s="1"/>
  <c r="A321" i="8" l="1"/>
  <c r="J320" i="8" a="1"/>
  <c r="J320" i="8" s="1"/>
  <c r="I320" i="8"/>
  <c r="I314" i="7"/>
  <c r="A315" i="7"/>
  <c r="J314" i="7" a="1"/>
  <c r="J314" i="7" s="1"/>
  <c r="A312" i="5"/>
  <c r="I311" i="5"/>
  <c r="J311" i="5" a="1"/>
  <c r="J311" i="5" s="1"/>
  <c r="I351" i="6"/>
  <c r="A352" i="6"/>
  <c r="J351" i="6" a="1"/>
  <c r="J351" i="6" s="1"/>
  <c r="J322" i="9" a="1"/>
  <c r="J322" i="9" s="1"/>
  <c r="I322" i="9"/>
  <c r="A323" i="9"/>
  <c r="A328" i="3"/>
  <c r="I327" i="3"/>
  <c r="J327" i="3" a="1"/>
  <c r="J327" i="3" s="1"/>
  <c r="A329" i="3" l="1"/>
  <c r="J328" i="3" a="1"/>
  <c r="J328" i="3" s="1"/>
  <c r="I328" i="3"/>
  <c r="A324" i="9"/>
  <c r="J323" i="9" a="1"/>
  <c r="J323" i="9" s="1"/>
  <c r="I323" i="9"/>
  <c r="A353" i="6"/>
  <c r="I352" i="6"/>
  <c r="J352" i="6" a="1"/>
  <c r="J352" i="6" s="1"/>
  <c r="I312" i="5"/>
  <c r="A313" i="5"/>
  <c r="J312" i="5" a="1"/>
  <c r="J312" i="5" s="1"/>
  <c r="A316" i="7"/>
  <c r="J315" i="7" a="1"/>
  <c r="J315" i="7" s="1"/>
  <c r="I315" i="7"/>
  <c r="A322" i="8"/>
  <c r="J321" i="8" a="1"/>
  <c r="J321" i="8" s="1"/>
  <c r="I321" i="8"/>
  <c r="A323" i="8" l="1"/>
  <c r="J322" i="8" a="1"/>
  <c r="J322" i="8" s="1"/>
  <c r="I322" i="8"/>
  <c r="A317" i="7"/>
  <c r="J316" i="7" a="1"/>
  <c r="J316" i="7" s="1"/>
  <c r="I316" i="7"/>
  <c r="J313" i="5" a="1"/>
  <c r="J313" i="5" s="1"/>
  <c r="A314" i="5"/>
  <c r="I313" i="5"/>
  <c r="J353" i="6" a="1"/>
  <c r="J353" i="6" s="1"/>
  <c r="I353" i="6"/>
  <c r="A354" i="6"/>
  <c r="A325" i="9"/>
  <c r="J324" i="9" a="1"/>
  <c r="J324" i="9" s="1"/>
  <c r="I324" i="9"/>
  <c r="A330" i="3"/>
  <c r="J329" i="3" a="1"/>
  <c r="J329" i="3" s="1"/>
  <c r="I329" i="3"/>
  <c r="J330" i="3" l="1" a="1"/>
  <c r="J330" i="3" s="1"/>
  <c r="I330" i="3"/>
  <c r="A331" i="3"/>
  <c r="A326" i="9"/>
  <c r="J325" i="9" a="1"/>
  <c r="J325" i="9" s="1"/>
  <c r="I325" i="9"/>
  <c r="I354" i="6"/>
  <c r="A355" i="6"/>
  <c r="J354" i="6" a="1"/>
  <c r="J354" i="6" s="1"/>
  <c r="A315" i="5"/>
  <c r="J314" i="5" a="1"/>
  <c r="J314" i="5" s="1"/>
  <c r="I314" i="5"/>
  <c r="A318" i="7"/>
  <c r="J317" i="7" a="1"/>
  <c r="J317" i="7" s="1"/>
  <c r="I317" i="7"/>
  <c r="J323" i="8" a="1"/>
  <c r="J323" i="8" s="1"/>
  <c r="I323" i="8"/>
  <c r="A324" i="8"/>
  <c r="A325" i="8" l="1"/>
  <c r="J324" i="8" a="1"/>
  <c r="J324" i="8" s="1"/>
  <c r="I324" i="8"/>
  <c r="A319" i="7"/>
  <c r="I318" i="7"/>
  <c r="J318" i="7" a="1"/>
  <c r="J318" i="7" s="1"/>
  <c r="A316" i="5"/>
  <c r="J315" i="5" a="1"/>
  <c r="J315" i="5" s="1"/>
  <c r="I315" i="5"/>
  <c r="A356" i="6"/>
  <c r="J355" i="6" a="1"/>
  <c r="J355" i="6" s="1"/>
  <c r="I355" i="6"/>
  <c r="A327" i="9"/>
  <c r="I326" i="9"/>
  <c r="J326" i="9" a="1"/>
  <c r="J326" i="9" s="1"/>
  <c r="J331" i="3" a="1"/>
  <c r="J331" i="3" s="1"/>
  <c r="I331" i="3"/>
  <c r="A332" i="3"/>
  <c r="J332" i="3" l="1" a="1"/>
  <c r="J332" i="3" s="1"/>
  <c r="A333" i="3"/>
  <c r="I332" i="3"/>
  <c r="A328" i="9"/>
  <c r="J327" i="9" a="1"/>
  <c r="J327" i="9" s="1"/>
  <c r="I327" i="9"/>
  <c r="I356" i="6"/>
  <c r="A357" i="6"/>
  <c r="J356" i="6" a="1"/>
  <c r="J356" i="6" s="1"/>
  <c r="A317" i="5"/>
  <c r="I316" i="5"/>
  <c r="J316" i="5" a="1"/>
  <c r="J316" i="5" s="1"/>
  <c r="A320" i="7"/>
  <c r="J319" i="7" a="1"/>
  <c r="J319" i="7" s="1"/>
  <c r="I319" i="7"/>
  <c r="A326" i="8"/>
  <c r="J325" i="8" a="1"/>
  <c r="J325" i="8" s="1"/>
  <c r="I325" i="8"/>
  <c r="J326" i="8" l="1" a="1"/>
  <c r="J326" i="8" s="1"/>
  <c r="A327" i="8"/>
  <c r="I326" i="8"/>
  <c r="J320" i="7" a="1"/>
  <c r="J320" i="7" s="1"/>
  <c r="I320" i="7"/>
  <c r="A321" i="7"/>
  <c r="J317" i="5" a="1"/>
  <c r="J317" i="5" s="1"/>
  <c r="A318" i="5"/>
  <c r="I317" i="5"/>
  <c r="I357" i="6"/>
  <c r="A358" i="6"/>
  <c r="J357" i="6" a="1"/>
  <c r="J357" i="6" s="1"/>
  <c r="A329" i="9"/>
  <c r="J328" i="9" a="1"/>
  <c r="J328" i="9" s="1"/>
  <c r="I328" i="9"/>
  <c r="I333" i="3"/>
  <c r="A334" i="3"/>
  <c r="J333" i="3" a="1"/>
  <c r="J333" i="3" s="1"/>
  <c r="A335" i="3" l="1"/>
  <c r="J334" i="3" a="1"/>
  <c r="J334" i="3" s="1"/>
  <c r="I334" i="3"/>
  <c r="A330" i="9"/>
  <c r="J329" i="9" a="1"/>
  <c r="J329" i="9" s="1"/>
  <c r="I329" i="9"/>
  <c r="A359" i="6"/>
  <c r="I358" i="6"/>
  <c r="J358" i="6" a="1"/>
  <c r="J358" i="6" s="1"/>
  <c r="J318" i="5" a="1"/>
  <c r="J318" i="5" s="1"/>
  <c r="I318" i="5"/>
  <c r="A319" i="5"/>
  <c r="J321" i="7" a="1"/>
  <c r="J321" i="7" s="1"/>
  <c r="A322" i="7"/>
  <c r="I321" i="7"/>
  <c r="J327" i="8" a="1"/>
  <c r="J327" i="8" s="1"/>
  <c r="A328" i="8"/>
  <c r="I327" i="8"/>
  <c r="A329" i="8" l="1"/>
  <c r="J328" i="8" a="1"/>
  <c r="J328" i="8" s="1"/>
  <c r="I328" i="8"/>
  <c r="A323" i="7"/>
  <c r="I322" i="7"/>
  <c r="J322" i="7" a="1"/>
  <c r="J322" i="7" s="1"/>
  <c r="A320" i="5"/>
  <c r="I319" i="5"/>
  <c r="J319" i="5" a="1"/>
  <c r="J319" i="5" s="1"/>
  <c r="A360" i="6"/>
  <c r="I359" i="6"/>
  <c r="J359" i="6" a="1"/>
  <c r="J359" i="6" s="1"/>
  <c r="A331" i="9"/>
  <c r="J330" i="9" a="1"/>
  <c r="J330" i="9" s="1"/>
  <c r="I330" i="9"/>
  <c r="A336" i="3"/>
  <c r="I335" i="3"/>
  <c r="J335" i="3" a="1"/>
  <c r="J335" i="3" s="1"/>
  <c r="I336" i="3" l="1"/>
  <c r="A337" i="3"/>
  <c r="J336" i="3" a="1"/>
  <c r="J336" i="3" s="1"/>
  <c r="A332" i="9"/>
  <c r="J331" i="9" a="1"/>
  <c r="J331" i="9" s="1"/>
  <c r="I331" i="9"/>
  <c r="J360" i="6" a="1"/>
  <c r="J360" i="6" s="1"/>
  <c r="A361" i="6"/>
  <c r="I360" i="6"/>
  <c r="A321" i="5"/>
  <c r="J320" i="5" a="1"/>
  <c r="J320" i="5" s="1"/>
  <c r="I320" i="5"/>
  <c r="A324" i="7"/>
  <c r="I323" i="7"/>
  <c r="J323" i="7" a="1"/>
  <c r="J323" i="7" s="1"/>
  <c r="A330" i="8"/>
  <c r="J329" i="8" a="1"/>
  <c r="J329" i="8" s="1"/>
  <c r="I329" i="8"/>
  <c r="A331" i="8" l="1"/>
  <c r="I330" i="8"/>
  <c r="J330" i="8" a="1"/>
  <c r="J330" i="8" s="1"/>
  <c r="I324" i="7"/>
  <c r="A325" i="7"/>
  <c r="J324" i="7" a="1"/>
  <c r="J324" i="7" s="1"/>
  <c r="A322" i="5"/>
  <c r="I321" i="5"/>
  <c r="J321" i="5" a="1"/>
  <c r="J321" i="5" s="1"/>
  <c r="A362" i="6"/>
  <c r="J361" i="6" a="1"/>
  <c r="J361" i="6" s="1"/>
  <c r="I361" i="6"/>
  <c r="A333" i="9"/>
  <c r="J332" i="9" a="1"/>
  <c r="J332" i="9" s="1"/>
  <c r="I332" i="9"/>
  <c r="A338" i="3"/>
  <c r="J337" i="3" a="1"/>
  <c r="J337" i="3" s="1"/>
  <c r="I337" i="3"/>
  <c r="J338" i="3" l="1" a="1"/>
  <c r="J338" i="3" s="1"/>
  <c r="I338" i="3"/>
  <c r="A339" i="3"/>
  <c r="A334" i="9"/>
  <c r="I333" i="9"/>
  <c r="J333" i="9" a="1"/>
  <c r="J333" i="9" s="1"/>
  <c r="J362" i="6" a="1"/>
  <c r="J362" i="6" s="1"/>
  <c r="I362" i="6"/>
  <c r="A363" i="6"/>
  <c r="J322" i="5" a="1"/>
  <c r="J322" i="5" s="1"/>
  <c r="I322" i="5"/>
  <c r="A323" i="5"/>
  <c r="A326" i="7"/>
  <c r="J325" i="7" a="1"/>
  <c r="J325" i="7" s="1"/>
  <c r="I325" i="7"/>
  <c r="A332" i="8"/>
  <c r="J331" i="8" a="1"/>
  <c r="J331" i="8" s="1"/>
  <c r="I331" i="8"/>
  <c r="A333" i="8" l="1"/>
  <c r="J332" i="8" a="1"/>
  <c r="J332" i="8" s="1"/>
  <c r="I332" i="8"/>
  <c r="A327" i="7"/>
  <c r="J326" i="7" a="1"/>
  <c r="J326" i="7" s="1"/>
  <c r="I326" i="7"/>
  <c r="I323" i="5"/>
  <c r="A324" i="5"/>
  <c r="J323" i="5" a="1"/>
  <c r="J323" i="5" s="1"/>
  <c r="I363" i="6"/>
  <c r="A364" i="6"/>
  <c r="J363" i="6" a="1"/>
  <c r="J363" i="6" s="1"/>
  <c r="A335" i="9"/>
  <c r="J334" i="9" a="1"/>
  <c r="J334" i="9" s="1"/>
  <c r="I334" i="9"/>
  <c r="J339" i="3" a="1"/>
  <c r="J339" i="3" s="1"/>
  <c r="A340" i="3"/>
  <c r="I339" i="3"/>
  <c r="J340" i="3" l="1" a="1"/>
  <c r="J340" i="3" s="1"/>
  <c r="I340" i="3"/>
  <c r="A341" i="3"/>
  <c r="J335" i="9" a="1"/>
  <c r="J335" i="9" s="1"/>
  <c r="I335" i="9"/>
  <c r="A336" i="9"/>
  <c r="A365" i="6"/>
  <c r="J364" i="6" a="1"/>
  <c r="J364" i="6" s="1"/>
  <c r="I364" i="6"/>
  <c r="J324" i="5" a="1"/>
  <c r="J324" i="5" s="1"/>
  <c r="A325" i="5"/>
  <c r="I324" i="5"/>
  <c r="J327" i="7" a="1"/>
  <c r="J327" i="7" s="1"/>
  <c r="I327" i="7"/>
  <c r="A328" i="7"/>
  <c r="I333" i="8"/>
  <c r="A334" i="8"/>
  <c r="J333" i="8" a="1"/>
  <c r="J333" i="8" s="1"/>
  <c r="A335" i="8" l="1"/>
  <c r="I334" i="8"/>
  <c r="J334" i="8" a="1"/>
  <c r="J334" i="8" s="1"/>
  <c r="A329" i="7"/>
  <c r="I328" i="7"/>
  <c r="J328" i="7" a="1"/>
  <c r="J328" i="7" s="1"/>
  <c r="A326" i="5"/>
  <c r="J325" i="5" a="1"/>
  <c r="J325" i="5" s="1"/>
  <c r="I325" i="5"/>
  <c r="A366" i="6"/>
  <c r="I365" i="6"/>
  <c r="J365" i="6" a="1"/>
  <c r="J365" i="6" s="1"/>
  <c r="A337" i="9"/>
  <c r="J336" i="9" a="1"/>
  <c r="J336" i="9" s="1"/>
  <c r="I336" i="9"/>
  <c r="A342" i="3"/>
  <c r="J341" i="3" a="1"/>
  <c r="J341" i="3" s="1"/>
  <c r="I341" i="3"/>
  <c r="J342" i="3" l="1" a="1"/>
  <c r="J342" i="3" s="1"/>
  <c r="A343" i="3"/>
  <c r="I342" i="3"/>
  <c r="A338" i="9"/>
  <c r="J337" i="9" a="1"/>
  <c r="J337" i="9" s="1"/>
  <c r="I337" i="9"/>
  <c r="I366" i="6"/>
  <c r="A367" i="6"/>
  <c r="J366" i="6" a="1"/>
  <c r="J366" i="6" s="1"/>
  <c r="A327" i="5"/>
  <c r="I326" i="5"/>
  <c r="J326" i="5" a="1"/>
  <c r="J326" i="5" s="1"/>
  <c r="A330" i="7"/>
  <c r="I329" i="7"/>
  <c r="J329" i="7" a="1"/>
  <c r="J329" i="7" s="1"/>
  <c r="I335" i="8"/>
  <c r="A336" i="8"/>
  <c r="J335" i="8" a="1"/>
  <c r="J335" i="8" s="1"/>
  <c r="A337" i="8" l="1"/>
  <c r="I336" i="8"/>
  <c r="J336" i="8" a="1"/>
  <c r="J336" i="8" s="1"/>
  <c r="A331" i="7"/>
  <c r="I330" i="7"/>
  <c r="J330" i="7" a="1"/>
  <c r="J330" i="7" s="1"/>
  <c r="A328" i="5"/>
  <c r="J327" i="5" a="1"/>
  <c r="J327" i="5" s="1"/>
  <c r="I327" i="5"/>
  <c r="A368" i="6"/>
  <c r="I367" i="6"/>
  <c r="J367" i="6" a="1"/>
  <c r="J367" i="6" s="1"/>
  <c r="A339" i="9"/>
  <c r="J338" i="9" a="1"/>
  <c r="J338" i="9" s="1"/>
  <c r="I338" i="9"/>
  <c r="A344" i="3"/>
  <c r="J343" i="3" a="1"/>
  <c r="J343" i="3" s="1"/>
  <c r="I343" i="3"/>
  <c r="J344" i="3" l="1" a="1"/>
  <c r="J344" i="3" s="1"/>
  <c r="A345" i="3"/>
  <c r="I344" i="3"/>
  <c r="J339" i="9" a="1"/>
  <c r="J339" i="9" s="1"/>
  <c r="I339" i="9"/>
  <c r="A340" i="9"/>
  <c r="J368" i="6" a="1"/>
  <c r="J368" i="6" s="1"/>
  <c r="A369" i="6"/>
  <c r="I368" i="6"/>
  <c r="J328" i="5" a="1"/>
  <c r="J328" i="5" s="1"/>
  <c r="I328" i="5"/>
  <c r="A329" i="5"/>
  <c r="J331" i="7" a="1"/>
  <c r="J331" i="7" s="1"/>
  <c r="A332" i="7"/>
  <c r="I331" i="7"/>
  <c r="A338" i="8"/>
  <c r="J337" i="8" a="1"/>
  <c r="J337" i="8" s="1"/>
  <c r="I337" i="8"/>
  <c r="A339" i="8" l="1"/>
  <c r="J338" i="8" a="1"/>
  <c r="J338" i="8" s="1"/>
  <c r="I338" i="8"/>
  <c r="A333" i="7"/>
  <c r="J332" i="7" a="1"/>
  <c r="J332" i="7" s="1"/>
  <c r="I332" i="7"/>
  <c r="A330" i="5"/>
  <c r="J329" i="5" a="1"/>
  <c r="J329" i="5" s="1"/>
  <c r="I329" i="5"/>
  <c r="I369" i="6"/>
  <c r="J369" i="6" a="1"/>
  <c r="J369" i="6" s="1"/>
  <c r="A370" i="6"/>
  <c r="A341" i="9"/>
  <c r="J340" i="9" a="1"/>
  <c r="J340" i="9" s="1"/>
  <c r="I340" i="9"/>
  <c r="J345" i="3" a="1"/>
  <c r="J345" i="3" s="1"/>
  <c r="I345" i="3"/>
  <c r="A346" i="3"/>
  <c r="A347" i="3" l="1"/>
  <c r="J346" i="3" a="1"/>
  <c r="J346" i="3" s="1"/>
  <c r="I346" i="3"/>
  <c r="A342" i="9"/>
  <c r="J341" i="9" a="1"/>
  <c r="J341" i="9" s="1"/>
  <c r="I341" i="9"/>
  <c r="A371" i="6"/>
  <c r="J370" i="6" a="1"/>
  <c r="J370" i="6" s="1"/>
  <c r="I370" i="6"/>
  <c r="A331" i="5"/>
  <c r="J330" i="5" a="1"/>
  <c r="J330" i="5" s="1"/>
  <c r="I330" i="5"/>
  <c r="A334" i="7"/>
  <c r="J333" i="7" a="1"/>
  <c r="J333" i="7" s="1"/>
  <c r="I333" i="7"/>
  <c r="A340" i="8"/>
  <c r="J339" i="8" a="1"/>
  <c r="J339" i="8" s="1"/>
  <c r="I339" i="8"/>
  <c r="A341" i="8" l="1"/>
  <c r="J340" i="8" a="1"/>
  <c r="J340" i="8" s="1"/>
  <c r="I340" i="8"/>
  <c r="A335" i="7"/>
  <c r="J334" i="7" a="1"/>
  <c r="J334" i="7" s="1"/>
  <c r="I334" i="7"/>
  <c r="J331" i="5" a="1"/>
  <c r="J331" i="5" s="1"/>
  <c r="A332" i="5"/>
  <c r="I331" i="5"/>
  <c r="J371" i="6" a="1"/>
  <c r="J371" i="6" s="1"/>
  <c r="I371" i="6"/>
  <c r="A372" i="6"/>
  <c r="A343" i="9"/>
  <c r="J342" i="9" a="1"/>
  <c r="J342" i="9" s="1"/>
  <c r="I342" i="9"/>
  <c r="A348" i="3"/>
  <c r="J347" i="3" a="1"/>
  <c r="J347" i="3" s="1"/>
  <c r="I347" i="3"/>
  <c r="A349" i="3" l="1"/>
  <c r="J348" i="3" a="1"/>
  <c r="J348" i="3" s="1"/>
  <c r="I348" i="3"/>
  <c r="A344" i="9"/>
  <c r="J343" i="9" a="1"/>
  <c r="J343" i="9" s="1"/>
  <c r="I343" i="9"/>
  <c r="A373" i="6"/>
  <c r="I372" i="6"/>
  <c r="J372" i="6" a="1"/>
  <c r="J372" i="6" s="1"/>
  <c r="A333" i="5"/>
  <c r="J332" i="5" a="1"/>
  <c r="J332" i="5" s="1"/>
  <c r="I332" i="5"/>
  <c r="A336" i="7"/>
  <c r="J335" i="7" a="1"/>
  <c r="J335" i="7" s="1"/>
  <c r="I335" i="7"/>
  <c r="I341" i="8"/>
  <c r="A342" i="8"/>
  <c r="J341" i="8" a="1"/>
  <c r="J341" i="8" s="1"/>
  <c r="A343" i="8" l="1"/>
  <c r="I342" i="8"/>
  <c r="J342" i="8" a="1"/>
  <c r="J342" i="8" s="1"/>
  <c r="A337" i="7"/>
  <c r="J336" i="7" a="1"/>
  <c r="J336" i="7" s="1"/>
  <c r="I336" i="7"/>
  <c r="A334" i="5"/>
  <c r="J333" i="5" a="1"/>
  <c r="J333" i="5" s="1"/>
  <c r="I333" i="5"/>
  <c r="A374" i="6"/>
  <c r="J373" i="6" a="1"/>
  <c r="J373" i="6" s="1"/>
  <c r="I373" i="6"/>
  <c r="A345" i="9"/>
  <c r="J344" i="9" a="1"/>
  <c r="J344" i="9" s="1"/>
  <c r="I344" i="9"/>
  <c r="A350" i="3"/>
  <c r="J349" i="3" a="1"/>
  <c r="J349" i="3" s="1"/>
  <c r="I349" i="3"/>
  <c r="J350" i="3" l="1" a="1"/>
  <c r="J350" i="3" s="1"/>
  <c r="A351" i="3"/>
  <c r="I350" i="3"/>
  <c r="A346" i="9"/>
  <c r="J345" i="9" a="1"/>
  <c r="J345" i="9" s="1"/>
  <c r="I345" i="9"/>
  <c r="A375" i="6"/>
  <c r="J374" i="6" a="1"/>
  <c r="J374" i="6" s="1"/>
  <c r="I374" i="6"/>
  <c r="A335" i="5"/>
  <c r="J334" i="5" a="1"/>
  <c r="J334" i="5" s="1"/>
  <c r="I334" i="5"/>
  <c r="A338" i="7"/>
  <c r="I337" i="7"/>
  <c r="J337" i="7" a="1"/>
  <c r="J337" i="7" s="1"/>
  <c r="A344" i="8"/>
  <c r="J343" i="8" a="1"/>
  <c r="J343" i="8" s="1"/>
  <c r="I343" i="8"/>
  <c r="A345" i="8" l="1"/>
  <c r="J344" i="8" a="1"/>
  <c r="J344" i="8" s="1"/>
  <c r="I344" i="8"/>
  <c r="I338" i="7"/>
  <c r="A339" i="7"/>
  <c r="J338" i="7" a="1"/>
  <c r="J338" i="7" s="1"/>
  <c r="A336" i="5"/>
  <c r="J335" i="5" a="1"/>
  <c r="J335" i="5" s="1"/>
  <c r="I335" i="5"/>
  <c r="I375" i="6"/>
  <c r="A376" i="6"/>
  <c r="J375" i="6" a="1"/>
  <c r="J375" i="6" s="1"/>
  <c r="A347" i="9"/>
  <c r="I346" i="9"/>
  <c r="J346" i="9" a="1"/>
  <c r="J346" i="9" s="1"/>
  <c r="A352" i="3"/>
  <c r="I351" i="3"/>
  <c r="J351" i="3" a="1"/>
  <c r="J351" i="3" s="1"/>
  <c r="J352" i="3" l="1" a="1"/>
  <c r="J352" i="3" s="1"/>
  <c r="I352" i="3"/>
  <c r="A353" i="3"/>
  <c r="J347" i="9" a="1"/>
  <c r="J347" i="9" s="1"/>
  <c r="A348" i="9"/>
  <c r="I347" i="9"/>
  <c r="A377" i="6"/>
  <c r="I376" i="6"/>
  <c r="J376" i="6" a="1"/>
  <c r="J376" i="6" s="1"/>
  <c r="A337" i="5"/>
  <c r="I336" i="5"/>
  <c r="J336" i="5" a="1"/>
  <c r="J336" i="5" s="1"/>
  <c r="A340" i="7"/>
  <c r="J339" i="7" a="1"/>
  <c r="J339" i="7" s="1"/>
  <c r="I339" i="7"/>
  <c r="I345" i="8"/>
  <c r="A346" i="8"/>
  <c r="J345" i="8" a="1"/>
  <c r="J345" i="8" s="1"/>
  <c r="A347" i="8" l="1"/>
  <c r="J346" i="8" a="1"/>
  <c r="J346" i="8" s="1"/>
  <c r="I346" i="8"/>
  <c r="A341" i="7"/>
  <c r="J340" i="7" a="1"/>
  <c r="J340" i="7" s="1"/>
  <c r="I340" i="7"/>
  <c r="I337" i="5"/>
  <c r="A338" i="5"/>
  <c r="J337" i="5" a="1"/>
  <c r="J337" i="5" s="1"/>
  <c r="A378" i="6"/>
  <c r="I377" i="6"/>
  <c r="J377" i="6" a="1"/>
  <c r="J377" i="6" s="1"/>
  <c r="J348" i="9" a="1"/>
  <c r="J348" i="9" s="1"/>
  <c r="I348" i="9"/>
  <c r="A349" i="9"/>
  <c r="A354" i="3"/>
  <c r="J353" i="3" a="1"/>
  <c r="J353" i="3" s="1"/>
  <c r="I353" i="3"/>
  <c r="A355" i="3" l="1"/>
  <c r="I354" i="3"/>
  <c r="J354" i="3" a="1"/>
  <c r="J354" i="3" s="1"/>
  <c r="A350" i="9"/>
  <c r="J349" i="9" a="1"/>
  <c r="J349" i="9" s="1"/>
  <c r="I349" i="9"/>
  <c r="J378" i="6" a="1"/>
  <c r="J378" i="6" s="1"/>
  <c r="A379" i="6"/>
  <c r="I378" i="6"/>
  <c r="J338" i="5" a="1"/>
  <c r="J338" i="5" s="1"/>
  <c r="A339" i="5"/>
  <c r="I338" i="5"/>
  <c r="A342" i="7"/>
  <c r="J341" i="7" a="1"/>
  <c r="J341" i="7" s="1"/>
  <c r="I341" i="7"/>
  <c r="I347" i="8"/>
  <c r="A348" i="8"/>
  <c r="J347" i="8" a="1"/>
  <c r="J347" i="8" s="1"/>
  <c r="A349" i="8" l="1"/>
  <c r="I348" i="8"/>
  <c r="J348" i="8" a="1"/>
  <c r="J348" i="8" s="1"/>
  <c r="A343" i="7"/>
  <c r="J342" i="7" a="1"/>
  <c r="J342" i="7" s="1"/>
  <c r="I342" i="7"/>
  <c r="A340" i="5"/>
  <c r="J339" i="5" a="1"/>
  <c r="J339" i="5" s="1"/>
  <c r="I339" i="5"/>
  <c r="I379" i="6"/>
  <c r="J379" i="6" a="1"/>
  <c r="J379" i="6" s="1"/>
  <c r="A380" i="6"/>
  <c r="A351" i="9"/>
  <c r="J350" i="9" a="1"/>
  <c r="J350" i="9" s="1"/>
  <c r="I350" i="9"/>
  <c r="J355" i="3" a="1"/>
  <c r="J355" i="3" s="1"/>
  <c r="I355" i="3"/>
  <c r="A356" i="3"/>
  <c r="J356" i="3" l="1" a="1"/>
  <c r="J356" i="3" s="1"/>
  <c r="A357" i="3"/>
  <c r="I356" i="3"/>
  <c r="A352" i="9"/>
  <c r="J351" i="9" a="1"/>
  <c r="J351" i="9" s="1"/>
  <c r="I351" i="9"/>
  <c r="A381" i="6"/>
  <c r="J380" i="6" a="1"/>
  <c r="J380" i="6" s="1"/>
  <c r="I380" i="6"/>
  <c r="A341" i="5"/>
  <c r="I340" i="5"/>
  <c r="J340" i="5" a="1"/>
  <c r="J340" i="5" s="1"/>
  <c r="A344" i="7"/>
  <c r="J343" i="7" a="1"/>
  <c r="J343" i="7" s="1"/>
  <c r="I343" i="7"/>
  <c r="A350" i="8"/>
  <c r="J349" i="8" a="1"/>
  <c r="J349" i="8" s="1"/>
  <c r="I349" i="8"/>
  <c r="I350" i="8" l="1"/>
  <c r="A351" i="8"/>
  <c r="J350" i="8" a="1"/>
  <c r="J350" i="8" s="1"/>
  <c r="I344" i="7"/>
  <c r="A345" i="7"/>
  <c r="J344" i="7" a="1"/>
  <c r="J344" i="7" s="1"/>
  <c r="A342" i="5"/>
  <c r="I341" i="5"/>
  <c r="J341" i="5" a="1"/>
  <c r="J341" i="5" s="1"/>
  <c r="I381" i="6"/>
  <c r="J381" i="6" a="1"/>
  <c r="J381" i="6" s="1"/>
  <c r="A382" i="6"/>
  <c r="A353" i="9"/>
  <c r="J352" i="9" a="1"/>
  <c r="J352" i="9" s="1"/>
  <c r="I352" i="9"/>
  <c r="A358" i="3"/>
  <c r="J357" i="3" a="1"/>
  <c r="J357" i="3" s="1"/>
  <c r="I357" i="3"/>
  <c r="I358" i="3" l="1"/>
  <c r="A359" i="3"/>
  <c r="J358" i="3" a="1"/>
  <c r="J358" i="3" s="1"/>
  <c r="J353" i="9" a="1"/>
  <c r="J353" i="9" s="1"/>
  <c r="A354" i="9"/>
  <c r="I353" i="9"/>
  <c r="I382" i="6"/>
  <c r="A383" i="6"/>
  <c r="J382" i="6" a="1"/>
  <c r="J382" i="6" s="1"/>
  <c r="J342" i="5" a="1"/>
  <c r="J342" i="5" s="1"/>
  <c r="A343" i="5"/>
  <c r="I342" i="5"/>
  <c r="I345" i="7"/>
  <c r="A346" i="7"/>
  <c r="J345" i="7" a="1"/>
  <c r="J345" i="7" s="1"/>
  <c r="A352" i="8"/>
  <c r="J351" i="8" a="1"/>
  <c r="J351" i="8" s="1"/>
  <c r="I351" i="8"/>
  <c r="A353" i="8" l="1"/>
  <c r="J352" i="8" a="1"/>
  <c r="J352" i="8" s="1"/>
  <c r="I352" i="8"/>
  <c r="A347" i="7"/>
  <c r="J346" i="7" a="1"/>
  <c r="J346" i="7" s="1"/>
  <c r="I346" i="7"/>
  <c r="J343" i="5" a="1"/>
  <c r="J343" i="5" s="1"/>
  <c r="I343" i="5"/>
  <c r="A344" i="5"/>
  <c r="A384" i="6"/>
  <c r="J383" i="6" a="1"/>
  <c r="J383" i="6" s="1"/>
  <c r="I383" i="6"/>
  <c r="A355" i="9"/>
  <c r="J354" i="9" a="1"/>
  <c r="J354" i="9" s="1"/>
  <c r="I354" i="9"/>
  <c r="I359" i="3"/>
  <c r="A360" i="3"/>
  <c r="J359" i="3" a="1"/>
  <c r="J359" i="3" s="1"/>
  <c r="A361" i="3" l="1"/>
  <c r="J360" i="3" a="1"/>
  <c r="J360" i="3" s="1"/>
  <c r="I360" i="3"/>
  <c r="J355" i="9" a="1"/>
  <c r="J355" i="9" s="1"/>
  <c r="I355" i="9"/>
  <c r="A356" i="9"/>
  <c r="A385" i="6"/>
  <c r="J384" i="6" a="1"/>
  <c r="J384" i="6" s="1"/>
  <c r="I384" i="6"/>
  <c r="A345" i="5"/>
  <c r="I344" i="5"/>
  <c r="J344" i="5" a="1"/>
  <c r="J344" i="5" s="1"/>
  <c r="A348" i="7"/>
  <c r="I347" i="7"/>
  <c r="J347" i="7" a="1"/>
  <c r="J347" i="7" s="1"/>
  <c r="I353" i="8"/>
  <c r="A354" i="8"/>
  <c r="J353" i="8" a="1"/>
  <c r="J353" i="8" s="1"/>
  <c r="A355" i="8" l="1"/>
  <c r="I354" i="8"/>
  <c r="J354" i="8" a="1"/>
  <c r="J354" i="8" s="1"/>
  <c r="A349" i="7"/>
  <c r="J348" i="7" a="1"/>
  <c r="J348" i="7" s="1"/>
  <c r="I348" i="7"/>
  <c r="A346" i="5"/>
  <c r="J345" i="5" a="1"/>
  <c r="J345" i="5" s="1"/>
  <c r="I345" i="5"/>
  <c r="J385" i="6" a="1"/>
  <c r="J385" i="6" s="1"/>
  <c r="A386" i="6"/>
  <c r="I385" i="6"/>
  <c r="A357" i="9"/>
  <c r="J356" i="9" a="1"/>
  <c r="J356" i="9" s="1"/>
  <c r="I356" i="9"/>
  <c r="I361" i="3"/>
  <c r="A362" i="3"/>
  <c r="J361" i="3" a="1"/>
  <c r="J361" i="3" s="1"/>
  <c r="J362" i="3" l="1" a="1"/>
  <c r="J362" i="3" s="1"/>
  <c r="I362" i="3"/>
  <c r="A363" i="3"/>
  <c r="A358" i="9"/>
  <c r="J357" i="9" a="1"/>
  <c r="J357" i="9" s="1"/>
  <c r="I357" i="9"/>
  <c r="A387" i="6"/>
  <c r="J386" i="6" a="1"/>
  <c r="J386" i="6" s="1"/>
  <c r="I386" i="6"/>
  <c r="A347" i="5"/>
  <c r="J346" i="5" a="1"/>
  <c r="J346" i="5" s="1"/>
  <c r="I346" i="5"/>
  <c r="A350" i="7"/>
  <c r="J349" i="7" a="1"/>
  <c r="J349" i="7" s="1"/>
  <c r="I349" i="7"/>
  <c r="A356" i="8"/>
  <c r="J355" i="8" a="1"/>
  <c r="J355" i="8" s="1"/>
  <c r="I355" i="8"/>
  <c r="I356" i="8" l="1"/>
  <c r="A357" i="8"/>
  <c r="J356" i="8" a="1"/>
  <c r="J356" i="8" s="1"/>
  <c r="A351" i="7"/>
  <c r="J350" i="7" a="1"/>
  <c r="J350" i="7" s="1"/>
  <c r="I350" i="7"/>
  <c r="J347" i="5" a="1"/>
  <c r="J347" i="5" s="1"/>
  <c r="I347" i="5"/>
  <c r="A348" i="5"/>
  <c r="I387" i="6"/>
  <c r="J387" i="6" a="1"/>
  <c r="J387" i="6" s="1"/>
  <c r="A388" i="6"/>
  <c r="A359" i="9"/>
  <c r="J358" i="9" a="1"/>
  <c r="J358" i="9" s="1"/>
  <c r="I358" i="9"/>
  <c r="A364" i="3"/>
  <c r="J363" i="3" a="1"/>
  <c r="J363" i="3" s="1"/>
  <c r="I363" i="3"/>
  <c r="J364" i="3" l="1" a="1"/>
  <c r="J364" i="3" s="1"/>
  <c r="A365" i="3"/>
  <c r="I364" i="3"/>
  <c r="J359" i="9" a="1"/>
  <c r="J359" i="9" s="1"/>
  <c r="A360" i="9"/>
  <c r="I359" i="9"/>
  <c r="J388" i="6" a="1"/>
  <c r="J388" i="6" s="1"/>
  <c r="A389" i="6"/>
  <c r="I388" i="6"/>
  <c r="I348" i="5"/>
  <c r="A349" i="5"/>
  <c r="J348" i="5" a="1"/>
  <c r="J348" i="5" s="1"/>
  <c r="I351" i="7"/>
  <c r="J351" i="7" a="1"/>
  <c r="J351" i="7" s="1"/>
  <c r="A352" i="7"/>
  <c r="I357" i="8"/>
  <c r="A358" i="8"/>
  <c r="J357" i="8" a="1"/>
  <c r="J357" i="8" s="1"/>
  <c r="A359" i="8" l="1"/>
  <c r="J358" i="8" a="1"/>
  <c r="J358" i="8" s="1"/>
  <c r="I358" i="8"/>
  <c r="A353" i="7"/>
  <c r="I352" i="7"/>
  <c r="J352" i="7" a="1"/>
  <c r="J352" i="7" s="1"/>
  <c r="J349" i="5" a="1"/>
  <c r="J349" i="5" s="1"/>
  <c r="I349" i="5"/>
  <c r="A350" i="5"/>
  <c r="J389" i="6" a="1"/>
  <c r="J389" i="6" s="1"/>
  <c r="A390" i="6"/>
  <c r="I389" i="6"/>
  <c r="A361" i="9"/>
  <c r="J360" i="9" a="1"/>
  <c r="J360" i="9" s="1"/>
  <c r="I360" i="9"/>
  <c r="A366" i="3"/>
  <c r="J365" i="3" a="1"/>
  <c r="J365" i="3" s="1"/>
  <c r="I365" i="3"/>
  <c r="A367" i="3" l="1"/>
  <c r="J366" i="3" a="1"/>
  <c r="J366" i="3" s="1"/>
  <c r="I366" i="3"/>
  <c r="A362" i="9"/>
  <c r="J361" i="9" a="1"/>
  <c r="J361" i="9" s="1"/>
  <c r="I361" i="9"/>
  <c r="A391" i="6"/>
  <c r="I390" i="6"/>
  <c r="J390" i="6" a="1"/>
  <c r="J390" i="6" s="1"/>
  <c r="A351" i="5"/>
  <c r="J350" i="5" a="1"/>
  <c r="J350" i="5" s="1"/>
  <c r="I350" i="5"/>
  <c r="A354" i="7"/>
  <c r="J353" i="7" a="1"/>
  <c r="J353" i="7" s="1"/>
  <c r="I353" i="7"/>
  <c r="I359" i="8"/>
  <c r="A360" i="8"/>
  <c r="J359" i="8" a="1"/>
  <c r="J359" i="8" s="1"/>
  <c r="A361" i="8" l="1"/>
  <c r="I360" i="8"/>
  <c r="J360" i="8" a="1"/>
  <c r="J360" i="8" s="1"/>
  <c r="I354" i="7"/>
  <c r="A355" i="7"/>
  <c r="J354" i="7" a="1"/>
  <c r="J354" i="7" s="1"/>
  <c r="A352" i="5"/>
  <c r="I351" i="5"/>
  <c r="J351" i="5" a="1"/>
  <c r="J351" i="5" s="1"/>
  <c r="A392" i="6"/>
  <c r="J391" i="6" a="1"/>
  <c r="J391" i="6" s="1"/>
  <c r="I391" i="6"/>
  <c r="A363" i="9"/>
  <c r="J362" i="9" a="1"/>
  <c r="J362" i="9" s="1"/>
  <c r="I362" i="9"/>
  <c r="J367" i="3" a="1"/>
  <c r="J367" i="3" s="1"/>
  <c r="A368" i="3"/>
  <c r="I367" i="3"/>
  <c r="J368" i="3" l="1" a="1"/>
  <c r="J368" i="3" s="1"/>
  <c r="A369" i="3"/>
  <c r="I368" i="3"/>
  <c r="I363" i="9"/>
  <c r="A364" i="9"/>
  <c r="J363" i="9" a="1"/>
  <c r="J363" i="9" s="1"/>
  <c r="A393" i="6"/>
  <c r="J392" i="6" a="1"/>
  <c r="J392" i="6" s="1"/>
  <c r="I392" i="6"/>
  <c r="J352" i="5" a="1"/>
  <c r="J352" i="5" s="1"/>
  <c r="I352" i="5"/>
  <c r="A353" i="5"/>
  <c r="A356" i="7"/>
  <c r="J355" i="7" a="1"/>
  <c r="J355" i="7" s="1"/>
  <c r="I355" i="7"/>
  <c r="A362" i="8"/>
  <c r="J361" i="8" a="1"/>
  <c r="J361" i="8" s="1"/>
  <c r="I361" i="8"/>
  <c r="A363" i="8" l="1"/>
  <c r="J362" i="8" a="1"/>
  <c r="J362" i="8" s="1"/>
  <c r="I362" i="8"/>
  <c r="A357" i="7"/>
  <c r="J356" i="7" a="1"/>
  <c r="J356" i="7" s="1"/>
  <c r="I356" i="7"/>
  <c r="J353" i="5" a="1"/>
  <c r="J353" i="5" s="1"/>
  <c r="I353" i="5"/>
  <c r="A354" i="5"/>
  <c r="I393" i="6"/>
  <c r="A394" i="6"/>
  <c r="J393" i="6" a="1"/>
  <c r="J393" i="6" s="1"/>
  <c r="J364" i="9" a="1"/>
  <c r="J364" i="9" s="1"/>
  <c r="A365" i="9"/>
  <c r="I364" i="9"/>
  <c r="A370" i="3"/>
  <c r="J369" i="3" a="1"/>
  <c r="J369" i="3" s="1"/>
  <c r="I369" i="3"/>
  <c r="A371" i="3" l="1"/>
  <c r="J370" i="3" a="1"/>
  <c r="J370" i="3" s="1"/>
  <c r="I370" i="3"/>
  <c r="J365" i="9" a="1"/>
  <c r="J365" i="9" s="1"/>
  <c r="A366" i="9"/>
  <c r="I365" i="9"/>
  <c r="A395" i="6"/>
  <c r="J394" i="6" a="1"/>
  <c r="J394" i="6" s="1"/>
  <c r="I394" i="6"/>
  <c r="A355" i="5"/>
  <c r="J354" i="5" a="1"/>
  <c r="J354" i="5" s="1"/>
  <c r="I354" i="5"/>
  <c r="J357" i="7" a="1"/>
  <c r="J357" i="7" s="1"/>
  <c r="A358" i="7"/>
  <c r="I357" i="7"/>
  <c r="J363" i="8" a="1"/>
  <c r="J363" i="8" s="1"/>
  <c r="A364" i="8"/>
  <c r="I363" i="8"/>
  <c r="A365" i="8" l="1"/>
  <c r="J364" i="8" a="1"/>
  <c r="J364" i="8" s="1"/>
  <c r="I364" i="8"/>
  <c r="A359" i="7"/>
  <c r="J358" i="7" a="1"/>
  <c r="J358" i="7" s="1"/>
  <c r="I358" i="7"/>
  <c r="A356" i="5"/>
  <c r="J355" i="5" a="1"/>
  <c r="J355" i="5" s="1"/>
  <c r="I355" i="5"/>
  <c r="A396" i="6"/>
  <c r="J395" i="6" a="1"/>
  <c r="J395" i="6" s="1"/>
  <c r="I395" i="6"/>
  <c r="A367" i="9"/>
  <c r="J366" i="9" a="1"/>
  <c r="J366" i="9" s="1"/>
  <c r="I366" i="9"/>
  <c r="J371" i="3" a="1"/>
  <c r="J371" i="3" s="1"/>
  <c r="I371" i="3"/>
  <c r="A372" i="3"/>
  <c r="J372" i="3" l="1" a="1"/>
  <c r="J372" i="3" s="1"/>
  <c r="I372" i="3"/>
  <c r="A373" i="3"/>
  <c r="J367" i="9" a="1"/>
  <c r="J367" i="9" s="1"/>
  <c r="I367" i="9"/>
  <c r="A368" i="9"/>
  <c r="J396" i="6" a="1"/>
  <c r="J396" i="6" s="1"/>
  <c r="I396" i="6"/>
  <c r="A397" i="6"/>
  <c r="J356" i="5" a="1"/>
  <c r="J356" i="5" s="1"/>
  <c r="A357" i="5"/>
  <c r="I356" i="5"/>
  <c r="A360" i="7"/>
  <c r="J359" i="7" a="1"/>
  <c r="J359" i="7" s="1"/>
  <c r="I359" i="7"/>
  <c r="I365" i="8"/>
  <c r="A366" i="8"/>
  <c r="J365" i="8" a="1"/>
  <c r="J365" i="8" s="1"/>
  <c r="A367" i="8" l="1"/>
  <c r="I366" i="8"/>
  <c r="J366" i="8" a="1"/>
  <c r="J366" i="8" s="1"/>
  <c r="J360" i="7" a="1"/>
  <c r="J360" i="7" s="1"/>
  <c r="A361" i="7"/>
  <c r="I360" i="7"/>
  <c r="A358" i="5"/>
  <c r="J357" i="5" a="1"/>
  <c r="J357" i="5" s="1"/>
  <c r="I357" i="5"/>
  <c r="A398" i="6"/>
  <c r="I397" i="6"/>
  <c r="J397" i="6" a="1"/>
  <c r="J397" i="6" s="1"/>
  <c r="A369" i="9"/>
  <c r="J368" i="9" a="1"/>
  <c r="J368" i="9" s="1"/>
  <c r="I368" i="9"/>
  <c r="A374" i="3"/>
  <c r="J373" i="3" a="1"/>
  <c r="J373" i="3" s="1"/>
  <c r="I373" i="3"/>
  <c r="J374" i="3" l="1" a="1"/>
  <c r="J374" i="3" s="1"/>
  <c r="A375" i="3"/>
  <c r="I374" i="3"/>
  <c r="A370" i="9"/>
  <c r="J369" i="9" a="1"/>
  <c r="J369" i="9" s="1"/>
  <c r="I369" i="9"/>
  <c r="J398" i="6" a="1"/>
  <c r="J398" i="6" s="1"/>
  <c r="I398" i="6"/>
  <c r="A399" i="6"/>
  <c r="A359" i="5"/>
  <c r="J358" i="5" a="1"/>
  <c r="J358" i="5" s="1"/>
  <c r="I358" i="5"/>
  <c r="I361" i="7"/>
  <c r="A362" i="7"/>
  <c r="J361" i="7" a="1"/>
  <c r="J361" i="7" s="1"/>
  <c r="A368" i="8"/>
  <c r="J367" i="8" a="1"/>
  <c r="J367" i="8" s="1"/>
  <c r="I367" i="8"/>
  <c r="I368" i="8" l="1"/>
  <c r="A369" i="8"/>
  <c r="J368" i="8" a="1"/>
  <c r="J368" i="8" s="1"/>
  <c r="A363" i="7"/>
  <c r="J362" i="7" a="1"/>
  <c r="J362" i="7" s="1"/>
  <c r="I362" i="7"/>
  <c r="A360" i="5"/>
  <c r="J359" i="5" a="1"/>
  <c r="J359" i="5" s="1"/>
  <c r="I359" i="5"/>
  <c r="I399" i="6"/>
  <c r="A400" i="6"/>
  <c r="J399" i="6" a="1"/>
  <c r="J399" i="6" s="1"/>
  <c r="J370" i="9" a="1"/>
  <c r="J370" i="9" s="1"/>
  <c r="I370" i="9"/>
  <c r="A371" i="9"/>
  <c r="A376" i="3"/>
  <c r="J375" i="3" a="1"/>
  <c r="J375" i="3" s="1"/>
  <c r="I375" i="3"/>
  <c r="A377" i="3" l="1"/>
  <c r="I376" i="3"/>
  <c r="J376" i="3" a="1"/>
  <c r="J376" i="3" s="1"/>
  <c r="J371" i="9" a="1"/>
  <c r="J371" i="9" s="1"/>
  <c r="A372" i="9"/>
  <c r="I371" i="9"/>
  <c r="I400" i="6"/>
  <c r="A401" i="6"/>
  <c r="J400" i="6" a="1"/>
  <c r="J400" i="6" s="1"/>
  <c r="A361" i="5"/>
  <c r="J360" i="5" a="1"/>
  <c r="J360" i="5" s="1"/>
  <c r="I360" i="5"/>
  <c r="A364" i="7"/>
  <c r="J363" i="7" a="1"/>
  <c r="J363" i="7" s="1"/>
  <c r="I363" i="7"/>
  <c r="J369" i="8" a="1"/>
  <c r="J369" i="8" s="1"/>
  <c r="I369" i="8"/>
  <c r="A370" i="8"/>
  <c r="A371" i="8" l="1"/>
  <c r="I370" i="8"/>
  <c r="J370" i="8" a="1"/>
  <c r="J370" i="8" s="1"/>
  <c r="A365" i="7"/>
  <c r="I364" i="7"/>
  <c r="J364" i="7" a="1"/>
  <c r="J364" i="7" s="1"/>
  <c r="A362" i="5"/>
  <c r="I361" i="5"/>
  <c r="J361" i="5" a="1"/>
  <c r="J361" i="5" s="1"/>
  <c r="A402" i="6"/>
  <c r="I401" i="6"/>
  <c r="J401" i="6" a="1"/>
  <c r="J401" i="6" s="1"/>
  <c r="A373" i="9"/>
  <c r="J372" i="9" a="1"/>
  <c r="J372" i="9" s="1"/>
  <c r="I372" i="9"/>
  <c r="A378" i="3"/>
  <c r="J377" i="3" a="1"/>
  <c r="J377" i="3" s="1"/>
  <c r="I377" i="3"/>
  <c r="A379" i="3" l="1"/>
  <c r="J378" i="3" a="1"/>
  <c r="J378" i="3" s="1"/>
  <c r="I378" i="3"/>
  <c r="A374" i="9"/>
  <c r="J373" i="9" a="1"/>
  <c r="J373" i="9" s="1"/>
  <c r="I373" i="9"/>
  <c r="A403" i="6"/>
  <c r="J402" i="6" a="1"/>
  <c r="J402" i="6" s="1"/>
  <c r="I402" i="6"/>
  <c r="I362" i="5"/>
  <c r="A363" i="5"/>
  <c r="J362" i="5" a="1"/>
  <c r="J362" i="5" s="1"/>
  <c r="A366" i="7"/>
  <c r="J365" i="7" a="1"/>
  <c r="J365" i="7" s="1"/>
  <c r="I365" i="7"/>
  <c r="I371" i="8"/>
  <c r="A372" i="8"/>
  <c r="J371" i="8" a="1"/>
  <c r="J371" i="8" s="1"/>
  <c r="A373" i="8" l="1"/>
  <c r="I372" i="8"/>
  <c r="J372" i="8" a="1"/>
  <c r="J372" i="8" s="1"/>
  <c r="A367" i="7"/>
  <c r="J366" i="7" a="1"/>
  <c r="J366" i="7" s="1"/>
  <c r="I366" i="7"/>
  <c r="A364" i="5"/>
  <c r="J363" i="5" a="1"/>
  <c r="J363" i="5" s="1"/>
  <c r="I363" i="5"/>
  <c r="J403" i="6" a="1"/>
  <c r="J403" i="6" s="1"/>
  <c r="A404" i="6"/>
  <c r="I403" i="6"/>
  <c r="A375" i="9"/>
  <c r="J374" i="9" a="1"/>
  <c r="J374" i="9" s="1"/>
  <c r="I374" i="9"/>
  <c r="A380" i="3"/>
  <c r="J379" i="3" a="1"/>
  <c r="J379" i="3" s="1"/>
  <c r="I379" i="3"/>
  <c r="J380" i="3" l="1" a="1"/>
  <c r="J380" i="3" s="1"/>
  <c r="A381" i="3"/>
  <c r="I380" i="3"/>
  <c r="A376" i="9"/>
  <c r="J375" i="9" a="1"/>
  <c r="J375" i="9" s="1"/>
  <c r="I375" i="9"/>
  <c r="I404" i="6"/>
  <c r="J404" i="6" a="1"/>
  <c r="J404" i="6" s="1"/>
  <c r="A405" i="6"/>
  <c r="A365" i="5"/>
  <c r="J364" i="5" a="1"/>
  <c r="J364" i="5" s="1"/>
  <c r="I364" i="5"/>
  <c r="A368" i="7"/>
  <c r="J367" i="7" a="1"/>
  <c r="J367" i="7" s="1"/>
  <c r="I367" i="7"/>
  <c r="A374" i="8"/>
  <c r="J373" i="8" a="1"/>
  <c r="J373" i="8" s="1"/>
  <c r="I373" i="8"/>
  <c r="A375" i="8" l="1"/>
  <c r="J374" i="8" a="1"/>
  <c r="J374" i="8" s="1"/>
  <c r="I374" i="8"/>
  <c r="I368" i="7"/>
  <c r="A369" i="7"/>
  <c r="J368" i="7" a="1"/>
  <c r="J368" i="7" s="1"/>
  <c r="A366" i="5"/>
  <c r="I365" i="5"/>
  <c r="J365" i="5" a="1"/>
  <c r="J365" i="5" s="1"/>
  <c r="I405" i="6"/>
  <c r="J405" i="6" a="1"/>
  <c r="J405" i="6" s="1"/>
  <c r="A406" i="6"/>
  <c r="J376" i="9" a="1"/>
  <c r="J376" i="9" s="1"/>
  <c r="A377" i="9"/>
  <c r="I376" i="9"/>
  <c r="J381" i="3" a="1"/>
  <c r="J381" i="3" s="1"/>
  <c r="I381" i="3"/>
  <c r="A382" i="3"/>
  <c r="A383" i="3" l="1"/>
  <c r="J382" i="3" a="1"/>
  <c r="J382" i="3" s="1"/>
  <c r="I382" i="3"/>
  <c r="J377" i="9" a="1"/>
  <c r="J377" i="9" s="1"/>
  <c r="A378" i="9"/>
  <c r="I377" i="9"/>
  <c r="J406" i="6" a="1"/>
  <c r="J406" i="6" s="1"/>
  <c r="I406" i="6"/>
  <c r="A407" i="6"/>
  <c r="A367" i="5"/>
  <c r="I366" i="5"/>
  <c r="J366" i="5" a="1"/>
  <c r="J366" i="5" s="1"/>
  <c r="A370" i="7"/>
  <c r="J369" i="7" a="1"/>
  <c r="J369" i="7" s="1"/>
  <c r="I369" i="7"/>
  <c r="J375" i="8" a="1"/>
  <c r="J375" i="8" s="1"/>
  <c r="I375" i="8"/>
  <c r="A376" i="8"/>
  <c r="A377" i="8" l="1"/>
  <c r="J376" i="8" a="1"/>
  <c r="J376" i="8" s="1"/>
  <c r="I376" i="8"/>
  <c r="A371" i="7"/>
  <c r="I370" i="7"/>
  <c r="J370" i="7" a="1"/>
  <c r="J370" i="7" s="1"/>
  <c r="J367" i="5" a="1"/>
  <c r="J367" i="5" s="1"/>
  <c r="A368" i="5"/>
  <c r="I367" i="5"/>
  <c r="J407" i="6" a="1"/>
  <c r="J407" i="6" s="1"/>
  <c r="A408" i="6"/>
  <c r="I407" i="6"/>
  <c r="J378" i="9" a="1"/>
  <c r="J378" i="9" s="1"/>
  <c r="I378" i="9"/>
  <c r="A379" i="9"/>
  <c r="I383" i="3"/>
  <c r="A384" i="3"/>
  <c r="J383" i="3" a="1"/>
  <c r="J383" i="3" s="1"/>
  <c r="A385" i="3" l="1"/>
  <c r="J384" i="3" a="1"/>
  <c r="J384" i="3" s="1"/>
  <c r="I384" i="3"/>
  <c r="A380" i="9"/>
  <c r="J379" i="9" a="1"/>
  <c r="J379" i="9" s="1"/>
  <c r="I379" i="9"/>
  <c r="A409" i="6"/>
  <c r="J408" i="6" a="1"/>
  <c r="J408" i="6" s="1"/>
  <c r="I408" i="6"/>
  <c r="J368" i="5" a="1"/>
  <c r="J368" i="5" s="1"/>
  <c r="I368" i="5"/>
  <c r="A369" i="5"/>
  <c r="A372" i="7"/>
  <c r="J371" i="7" a="1"/>
  <c r="J371" i="7" s="1"/>
  <c r="I371" i="7"/>
  <c r="I377" i="8"/>
  <c r="A378" i="8"/>
  <c r="J377" i="8" a="1"/>
  <c r="J377" i="8" s="1"/>
  <c r="A379" i="8" l="1"/>
  <c r="I378" i="8"/>
  <c r="J378" i="8" a="1"/>
  <c r="J378" i="8" s="1"/>
  <c r="A373" i="7"/>
  <c r="J372" i="7" a="1"/>
  <c r="J372" i="7" s="1"/>
  <c r="I372" i="7"/>
  <c r="A370" i="5"/>
  <c r="I369" i="5"/>
  <c r="J369" i="5" a="1"/>
  <c r="J369" i="5" s="1"/>
  <c r="A410" i="6"/>
  <c r="J409" i="6" a="1"/>
  <c r="J409" i="6" s="1"/>
  <c r="I409" i="6"/>
  <c r="A381" i="9"/>
  <c r="J380" i="9" a="1"/>
  <c r="J380" i="9" s="1"/>
  <c r="I380" i="9"/>
  <c r="A386" i="3"/>
  <c r="I385" i="3"/>
  <c r="J385" i="3" a="1"/>
  <c r="J385" i="3" s="1"/>
  <c r="J386" i="3" l="1" a="1"/>
  <c r="J386" i="3" s="1"/>
  <c r="I386" i="3"/>
  <c r="A387" i="3"/>
  <c r="A382" i="9"/>
  <c r="J381" i="9" a="1"/>
  <c r="J381" i="9" s="1"/>
  <c r="I381" i="9"/>
  <c r="J410" i="6" a="1"/>
  <c r="J410" i="6" s="1"/>
  <c r="A411" i="6"/>
  <c r="I410" i="6"/>
  <c r="A371" i="5"/>
  <c r="I370" i="5"/>
  <c r="J370" i="5" a="1"/>
  <c r="J370" i="5" s="1"/>
  <c r="J373" i="7" a="1"/>
  <c r="J373" i="7" s="1"/>
  <c r="I373" i="7"/>
  <c r="A374" i="7"/>
  <c r="I379" i="8"/>
  <c r="A380" i="8"/>
  <c r="J379" i="8" a="1"/>
  <c r="J379" i="8" s="1"/>
  <c r="I380" i="8" l="1"/>
  <c r="J380" i="8" a="1"/>
  <c r="J380" i="8" s="1"/>
  <c r="A381" i="8"/>
  <c r="I374" i="7"/>
  <c r="A375" i="7"/>
  <c r="J374" i="7" a="1"/>
  <c r="J374" i="7" s="1"/>
  <c r="A372" i="5"/>
  <c r="J371" i="5" a="1"/>
  <c r="J371" i="5" s="1"/>
  <c r="I371" i="5"/>
  <c r="I411" i="6"/>
  <c r="A412" i="6"/>
  <c r="J411" i="6" a="1"/>
  <c r="J411" i="6" s="1"/>
  <c r="J382" i="9" a="1"/>
  <c r="J382" i="9" s="1"/>
  <c r="A383" i="9"/>
  <c r="I382" i="9"/>
  <c r="A388" i="3"/>
  <c r="J387" i="3" a="1"/>
  <c r="J387" i="3" s="1"/>
  <c r="I387" i="3"/>
  <c r="A389" i="3" l="1"/>
  <c r="J388" i="3" a="1"/>
  <c r="J388" i="3" s="1"/>
  <c r="I388" i="3"/>
  <c r="J383" i="9" a="1"/>
  <c r="J383" i="9" s="1"/>
  <c r="A384" i="9"/>
  <c r="I383" i="9"/>
  <c r="J412" i="6" a="1"/>
  <c r="J412" i="6" s="1"/>
  <c r="I412" i="6"/>
  <c r="A413" i="6"/>
  <c r="J372" i="5" a="1"/>
  <c r="J372" i="5" s="1"/>
  <c r="I372" i="5"/>
  <c r="A373" i="5"/>
  <c r="A376" i="7"/>
  <c r="J375" i="7" a="1"/>
  <c r="J375" i="7" s="1"/>
  <c r="I375" i="7"/>
  <c r="A382" i="8"/>
  <c r="J381" i="8" a="1"/>
  <c r="J381" i="8" s="1"/>
  <c r="I381" i="8"/>
  <c r="A383" i="8" l="1"/>
  <c r="J382" i="8" a="1"/>
  <c r="J382" i="8" s="1"/>
  <c r="I382" i="8"/>
  <c r="A377" i="7"/>
  <c r="J376" i="7" a="1"/>
  <c r="J376" i="7" s="1"/>
  <c r="I376" i="7"/>
  <c r="I373" i="5"/>
  <c r="A374" i="5"/>
  <c r="J373" i="5" a="1"/>
  <c r="J373" i="5" s="1"/>
  <c r="J413" i="6" a="1"/>
  <c r="J413" i="6" s="1"/>
  <c r="A414" i="6"/>
  <c r="I413" i="6"/>
  <c r="A385" i="9"/>
  <c r="J384" i="9" a="1"/>
  <c r="J384" i="9" s="1"/>
  <c r="I384" i="9"/>
  <c r="J389" i="3" a="1"/>
  <c r="J389" i="3" s="1"/>
  <c r="A390" i="3"/>
  <c r="I389" i="3"/>
  <c r="A391" i="3" l="1"/>
  <c r="J390" i="3" a="1"/>
  <c r="J390" i="3" s="1"/>
  <c r="I390" i="3"/>
  <c r="J385" i="9" a="1"/>
  <c r="J385" i="9" s="1"/>
  <c r="I385" i="9"/>
  <c r="A386" i="9"/>
  <c r="A415" i="6"/>
  <c r="J414" i="6" a="1"/>
  <c r="J414" i="6" s="1"/>
  <c r="I414" i="6"/>
  <c r="J374" i="5" a="1"/>
  <c r="J374" i="5" s="1"/>
  <c r="A375" i="5"/>
  <c r="I374" i="5"/>
  <c r="A378" i="7"/>
  <c r="J377" i="7" a="1"/>
  <c r="J377" i="7" s="1"/>
  <c r="I377" i="7"/>
  <c r="I383" i="8"/>
  <c r="A384" i="8"/>
  <c r="J383" i="8" a="1"/>
  <c r="J383" i="8" s="1"/>
  <c r="A385" i="8" l="1"/>
  <c r="I384" i="8"/>
  <c r="J384" i="8" a="1"/>
  <c r="J384" i="8" s="1"/>
  <c r="I378" i="7"/>
  <c r="A379" i="7"/>
  <c r="J378" i="7" a="1"/>
  <c r="J378" i="7" s="1"/>
  <c r="A376" i="5"/>
  <c r="J375" i="5" a="1"/>
  <c r="J375" i="5" s="1"/>
  <c r="I375" i="5"/>
  <c r="A416" i="6"/>
  <c r="I415" i="6"/>
  <c r="J415" i="6" a="1"/>
  <c r="J415" i="6" s="1"/>
  <c r="A387" i="9"/>
  <c r="J386" i="9" a="1"/>
  <c r="J386" i="9" s="1"/>
  <c r="I386" i="9"/>
  <c r="A392" i="3"/>
  <c r="J391" i="3" a="1"/>
  <c r="J391" i="3" s="1"/>
  <c r="I391" i="3"/>
  <c r="J392" i="3" l="1" a="1"/>
  <c r="J392" i="3" s="1"/>
  <c r="A393" i="3"/>
  <c r="I392" i="3"/>
  <c r="A388" i="9"/>
  <c r="J387" i="9" a="1"/>
  <c r="J387" i="9" s="1"/>
  <c r="I387" i="9"/>
  <c r="A417" i="6"/>
  <c r="J416" i="6" a="1"/>
  <c r="J416" i="6" s="1"/>
  <c r="I416" i="6"/>
  <c r="A377" i="5"/>
  <c r="J376" i="5" a="1"/>
  <c r="J376" i="5" s="1"/>
  <c r="I376" i="5"/>
  <c r="A380" i="7"/>
  <c r="J379" i="7" a="1"/>
  <c r="J379" i="7" s="1"/>
  <c r="I379" i="7"/>
  <c r="A386" i="8"/>
  <c r="J385" i="8" a="1"/>
  <c r="J385" i="8" s="1"/>
  <c r="I385" i="8"/>
  <c r="J386" i="8" l="1" a="1"/>
  <c r="J386" i="8" s="1"/>
  <c r="A387" i="8"/>
  <c r="I386" i="8"/>
  <c r="J380" i="7" a="1"/>
  <c r="J380" i="7" s="1"/>
  <c r="A381" i="7"/>
  <c r="I380" i="7"/>
  <c r="J377" i="5" a="1"/>
  <c r="J377" i="5" s="1"/>
  <c r="I377" i="5"/>
  <c r="A378" i="5"/>
  <c r="I417" i="6"/>
  <c r="A418" i="6"/>
  <c r="J417" i="6" a="1"/>
  <c r="J417" i="6" s="1"/>
  <c r="J388" i="9" a="1"/>
  <c r="J388" i="9" s="1"/>
  <c r="A389" i="9"/>
  <c r="I388" i="9"/>
  <c r="J393" i="3" a="1"/>
  <c r="J393" i="3" s="1"/>
  <c r="I393" i="3"/>
  <c r="A394" i="3"/>
  <c r="A395" i="3" l="1"/>
  <c r="J394" i="3" a="1"/>
  <c r="J394" i="3" s="1"/>
  <c r="I394" i="3"/>
  <c r="A390" i="9"/>
  <c r="J389" i="9" a="1"/>
  <c r="J389" i="9" s="1"/>
  <c r="I389" i="9"/>
  <c r="A419" i="6"/>
  <c r="J418" i="6" a="1"/>
  <c r="J418" i="6" s="1"/>
  <c r="I418" i="6"/>
  <c r="J378" i="5" a="1"/>
  <c r="J378" i="5" s="1"/>
  <c r="I378" i="5"/>
  <c r="A379" i="5"/>
  <c r="A382" i="7"/>
  <c r="J381" i="7" a="1"/>
  <c r="J381" i="7" s="1"/>
  <c r="I381" i="7"/>
  <c r="J387" i="8" a="1"/>
  <c r="J387" i="8" s="1"/>
  <c r="A388" i="8"/>
  <c r="I387" i="8"/>
  <c r="A389" i="8" l="1"/>
  <c r="J388" i="8" a="1"/>
  <c r="J388" i="8" s="1"/>
  <c r="I388" i="8"/>
  <c r="A383" i="7"/>
  <c r="J382" i="7" a="1"/>
  <c r="J382" i="7" s="1"/>
  <c r="I382" i="7"/>
  <c r="A380" i="5"/>
  <c r="J379" i="5" a="1"/>
  <c r="J379" i="5" s="1"/>
  <c r="I379" i="5"/>
  <c r="A420" i="6"/>
  <c r="J419" i="6" a="1"/>
  <c r="J419" i="6" s="1"/>
  <c r="I419" i="6"/>
  <c r="A391" i="9"/>
  <c r="J390" i="9" a="1"/>
  <c r="J390" i="9" s="1"/>
  <c r="I390" i="9"/>
  <c r="A396" i="3"/>
  <c r="I395" i="3"/>
  <c r="J395" i="3" a="1"/>
  <c r="J395" i="3" s="1"/>
  <c r="J396" i="3" l="1" a="1"/>
  <c r="J396" i="3" s="1"/>
  <c r="I396" i="3"/>
  <c r="A397" i="3"/>
  <c r="A392" i="9"/>
  <c r="J391" i="9" a="1"/>
  <c r="J391" i="9" s="1"/>
  <c r="I391" i="9"/>
  <c r="A421" i="6"/>
  <c r="I420" i="6"/>
  <c r="J420" i="6" a="1"/>
  <c r="J420" i="6" s="1"/>
  <c r="A381" i="5"/>
  <c r="J380" i="5" a="1"/>
  <c r="J380" i="5" s="1"/>
  <c r="I380" i="5"/>
  <c r="A384" i="7"/>
  <c r="J383" i="7" a="1"/>
  <c r="J383" i="7" s="1"/>
  <c r="I383" i="7"/>
  <c r="I389" i="8"/>
  <c r="A390" i="8"/>
  <c r="J389" i="8" a="1"/>
  <c r="J389" i="8" s="1"/>
  <c r="A391" i="8" l="1"/>
  <c r="I390" i="8"/>
  <c r="J390" i="8" a="1"/>
  <c r="J390" i="8" s="1"/>
  <c r="I384" i="7"/>
  <c r="A385" i="7"/>
  <c r="J384" i="7" a="1"/>
  <c r="J384" i="7" s="1"/>
  <c r="A382" i="5"/>
  <c r="J381" i="5" a="1"/>
  <c r="J381" i="5" s="1"/>
  <c r="I381" i="5"/>
  <c r="J421" i="6" a="1"/>
  <c r="J421" i="6" s="1"/>
  <c r="I421" i="6"/>
  <c r="A422" i="6"/>
  <c r="A393" i="9"/>
  <c r="J392" i="9" a="1"/>
  <c r="J392" i="9" s="1"/>
  <c r="I392" i="9"/>
  <c r="A398" i="3"/>
  <c r="J397" i="3" a="1"/>
  <c r="J397" i="3" s="1"/>
  <c r="I397" i="3"/>
  <c r="J398" i="3" l="1" a="1"/>
  <c r="J398" i="3" s="1"/>
  <c r="A399" i="3"/>
  <c r="I398" i="3"/>
  <c r="J393" i="9" a="1"/>
  <c r="J393" i="9" s="1"/>
  <c r="I393" i="9"/>
  <c r="A394" i="9"/>
  <c r="A423" i="6"/>
  <c r="I422" i="6"/>
  <c r="J422" i="6" a="1"/>
  <c r="J422" i="6" s="1"/>
  <c r="J382" i="5" a="1"/>
  <c r="J382" i="5" s="1"/>
  <c r="A383" i="5"/>
  <c r="I382" i="5"/>
  <c r="J385" i="7" a="1"/>
  <c r="J385" i="7" s="1"/>
  <c r="I385" i="7"/>
  <c r="A386" i="7"/>
  <c r="I391" i="8"/>
  <c r="A392" i="8"/>
  <c r="J391" i="8" a="1"/>
  <c r="J391" i="8" s="1"/>
  <c r="A393" i="8" l="1"/>
  <c r="J392" i="8" a="1"/>
  <c r="J392" i="8" s="1"/>
  <c r="I392" i="8"/>
  <c r="J386" i="7" a="1"/>
  <c r="J386" i="7" s="1"/>
  <c r="I386" i="7"/>
  <c r="A387" i="7"/>
  <c r="A384" i="5"/>
  <c r="J383" i="5" a="1"/>
  <c r="J383" i="5" s="1"/>
  <c r="I383" i="5"/>
  <c r="I423" i="6"/>
  <c r="J423" i="6" a="1"/>
  <c r="J423" i="6" s="1"/>
  <c r="A424" i="6"/>
  <c r="J394" i="9" a="1"/>
  <c r="J394" i="9" s="1"/>
  <c r="A395" i="9"/>
  <c r="I394" i="9"/>
  <c r="A400" i="3"/>
  <c r="I399" i="3"/>
  <c r="J399" i="3" a="1"/>
  <c r="J399" i="3" s="1"/>
  <c r="I400" i="3" l="1"/>
  <c r="A401" i="3"/>
  <c r="J400" i="3" a="1"/>
  <c r="J400" i="3" s="1"/>
  <c r="A396" i="9"/>
  <c r="J395" i="9" a="1"/>
  <c r="J395" i="9" s="1"/>
  <c r="I395" i="9"/>
  <c r="A425" i="6"/>
  <c r="J424" i="6" a="1"/>
  <c r="J424" i="6" s="1"/>
  <c r="I424" i="6"/>
  <c r="A385" i="5"/>
  <c r="J384" i="5" a="1"/>
  <c r="J384" i="5" s="1"/>
  <c r="I384" i="5"/>
  <c r="A388" i="7"/>
  <c r="I387" i="7"/>
  <c r="J387" i="7" a="1"/>
  <c r="J387" i="7" s="1"/>
  <c r="I393" i="8"/>
  <c r="A394" i="8"/>
  <c r="J393" i="8" a="1"/>
  <c r="J393" i="8" s="1"/>
  <c r="A395" i="8" l="1"/>
  <c r="J394" i="8" a="1"/>
  <c r="J394" i="8" s="1"/>
  <c r="I394" i="8"/>
  <c r="A389" i="7"/>
  <c r="J388" i="7" a="1"/>
  <c r="J388" i="7" s="1"/>
  <c r="I388" i="7"/>
  <c r="A386" i="5"/>
  <c r="J385" i="5" a="1"/>
  <c r="J385" i="5" s="1"/>
  <c r="I385" i="5"/>
  <c r="I425" i="6"/>
  <c r="A426" i="6"/>
  <c r="J425" i="6" a="1"/>
  <c r="J425" i="6" s="1"/>
  <c r="A397" i="9"/>
  <c r="J396" i="9" a="1"/>
  <c r="J396" i="9" s="1"/>
  <c r="I396" i="9"/>
  <c r="A402" i="3"/>
  <c r="J401" i="3" a="1"/>
  <c r="J401" i="3" s="1"/>
  <c r="I401" i="3"/>
  <c r="A403" i="3" l="1"/>
  <c r="I402" i="3"/>
  <c r="J402" i="3" a="1"/>
  <c r="J402" i="3" s="1"/>
  <c r="A398" i="9"/>
  <c r="J397" i="9" a="1"/>
  <c r="J397" i="9" s="1"/>
  <c r="I397" i="9"/>
  <c r="A427" i="6"/>
  <c r="J426" i="6" a="1"/>
  <c r="J426" i="6" s="1"/>
  <c r="I426" i="6"/>
  <c r="A387" i="5"/>
  <c r="I386" i="5"/>
  <c r="J386" i="5" a="1"/>
  <c r="J386" i="5" s="1"/>
  <c r="A390" i="7"/>
  <c r="J389" i="7" a="1"/>
  <c r="J389" i="7" s="1"/>
  <c r="I389" i="7"/>
  <c r="I395" i="8"/>
  <c r="A396" i="8"/>
  <c r="J395" i="8" a="1"/>
  <c r="J395" i="8" s="1"/>
  <c r="A397" i="8" l="1"/>
  <c r="I396" i="8"/>
  <c r="J396" i="8" a="1"/>
  <c r="J396" i="8" s="1"/>
  <c r="I390" i="7"/>
  <c r="A391" i="7"/>
  <c r="J390" i="7" a="1"/>
  <c r="J390" i="7" s="1"/>
  <c r="A388" i="5"/>
  <c r="I387" i="5"/>
  <c r="J387" i="5" a="1"/>
  <c r="J387" i="5" s="1"/>
  <c r="A428" i="6"/>
  <c r="J427" i="6" a="1"/>
  <c r="J427" i="6" s="1"/>
  <c r="I427" i="6"/>
  <c r="A399" i="9"/>
  <c r="J398" i="9" a="1"/>
  <c r="J398" i="9" s="1"/>
  <c r="I398" i="9"/>
  <c r="A404" i="3"/>
  <c r="J403" i="3" a="1"/>
  <c r="J403" i="3" s="1"/>
  <c r="I403" i="3"/>
  <c r="J404" i="3" l="1" a="1"/>
  <c r="J404" i="3" s="1"/>
  <c r="A405" i="3"/>
  <c r="I404" i="3"/>
  <c r="A400" i="9"/>
  <c r="J399" i="9" a="1"/>
  <c r="J399" i="9" s="1"/>
  <c r="I399" i="9"/>
  <c r="J428" i="6" a="1"/>
  <c r="J428" i="6" s="1"/>
  <c r="A429" i="6"/>
  <c r="I428" i="6"/>
  <c r="A389" i="5"/>
  <c r="I388" i="5"/>
  <c r="J388" i="5" a="1"/>
  <c r="J388" i="5" s="1"/>
  <c r="A392" i="7"/>
  <c r="J391" i="7" a="1"/>
  <c r="J391" i="7" s="1"/>
  <c r="I391" i="7"/>
  <c r="A398" i="8"/>
  <c r="J397" i="8" a="1"/>
  <c r="J397" i="8" s="1"/>
  <c r="I397" i="8"/>
  <c r="J398" i="8" l="1" a="1"/>
  <c r="J398" i="8" s="1"/>
  <c r="I398" i="8"/>
  <c r="A399" i="8"/>
  <c r="A393" i="7"/>
  <c r="J392" i="7" a="1"/>
  <c r="J392" i="7" s="1"/>
  <c r="I392" i="7"/>
  <c r="A390" i="5"/>
  <c r="J389" i="5" a="1"/>
  <c r="J389" i="5" s="1"/>
  <c r="I389" i="5"/>
  <c r="I429" i="6"/>
  <c r="J429" i="6" a="1"/>
  <c r="J429" i="6" s="1"/>
  <c r="A430" i="6"/>
  <c r="A401" i="9"/>
  <c r="J400" i="9" a="1"/>
  <c r="J400" i="9" s="1"/>
  <c r="I400" i="9"/>
  <c r="I405" i="3"/>
  <c r="A406" i="3"/>
  <c r="J405" i="3" a="1"/>
  <c r="J405" i="3" s="1"/>
  <c r="A407" i="3" l="1"/>
  <c r="J406" i="3" a="1"/>
  <c r="J406" i="3" s="1"/>
  <c r="I406" i="3"/>
  <c r="A402" i="9"/>
  <c r="J401" i="9" a="1"/>
  <c r="J401" i="9" s="1"/>
  <c r="I401" i="9"/>
  <c r="A431" i="6"/>
  <c r="J430" i="6" a="1"/>
  <c r="J430" i="6" s="1"/>
  <c r="I430" i="6"/>
  <c r="A391" i="5"/>
  <c r="I390" i="5"/>
  <c r="J390" i="5" a="1"/>
  <c r="J390" i="5" s="1"/>
  <c r="A394" i="7"/>
  <c r="J393" i="7" a="1"/>
  <c r="J393" i="7" s="1"/>
  <c r="I393" i="7"/>
  <c r="A400" i="8"/>
  <c r="J399" i="8" a="1"/>
  <c r="J399" i="8" s="1"/>
  <c r="I399" i="8"/>
  <c r="A401" i="8" l="1"/>
  <c r="J400" i="8" a="1"/>
  <c r="J400" i="8" s="1"/>
  <c r="I400" i="8"/>
  <c r="A395" i="7"/>
  <c r="J394" i="7" a="1"/>
  <c r="J394" i="7" s="1"/>
  <c r="I394" i="7"/>
  <c r="A392" i="5"/>
  <c r="I391" i="5"/>
  <c r="J391" i="5" a="1"/>
  <c r="J391" i="5" s="1"/>
  <c r="J431" i="6" a="1"/>
  <c r="J431" i="6" s="1"/>
  <c r="I431" i="6"/>
  <c r="A432" i="6"/>
  <c r="I402" i="9"/>
  <c r="J402" i="9" a="1"/>
  <c r="J402" i="9" s="1"/>
  <c r="A403" i="9"/>
  <c r="A408" i="3"/>
  <c r="J407" i="3" a="1"/>
  <c r="J407" i="3" s="1"/>
  <c r="I407" i="3"/>
  <c r="I408" i="3" l="1"/>
  <c r="A409" i="3"/>
  <c r="J408" i="3" a="1"/>
  <c r="J408" i="3" s="1"/>
  <c r="J403" i="9" a="1"/>
  <c r="J403" i="9" s="1"/>
  <c r="A404" i="9"/>
  <c r="I403" i="9"/>
  <c r="J432" i="6" a="1"/>
  <c r="J432" i="6" s="1"/>
  <c r="I432" i="6"/>
  <c r="A433" i="6"/>
  <c r="J392" i="5" a="1"/>
  <c r="J392" i="5" s="1"/>
  <c r="A393" i="5"/>
  <c r="I392" i="5"/>
  <c r="A396" i="7"/>
  <c r="J395" i="7" a="1"/>
  <c r="J395" i="7" s="1"/>
  <c r="I395" i="7"/>
  <c r="I401" i="8"/>
  <c r="J401" i="8" a="1"/>
  <c r="J401" i="8" s="1"/>
  <c r="A402" i="8"/>
  <c r="A403" i="8" l="1"/>
  <c r="I402" i="8"/>
  <c r="J402" i="8" a="1"/>
  <c r="J402" i="8" s="1"/>
  <c r="J396" i="7" a="1"/>
  <c r="J396" i="7" s="1"/>
  <c r="A397" i="7"/>
  <c r="I396" i="7"/>
  <c r="A394" i="5"/>
  <c r="J393" i="5" a="1"/>
  <c r="J393" i="5" s="1"/>
  <c r="I393" i="5"/>
  <c r="A434" i="6"/>
  <c r="J433" i="6" a="1"/>
  <c r="J433" i="6" s="1"/>
  <c r="I433" i="6"/>
  <c r="J404" i="9" a="1"/>
  <c r="J404" i="9" s="1"/>
  <c r="A405" i="9"/>
  <c r="I404" i="9"/>
  <c r="A410" i="3"/>
  <c r="J409" i="3" a="1"/>
  <c r="J409" i="3" s="1"/>
  <c r="I409" i="3"/>
  <c r="J410" i="3" l="1" a="1"/>
  <c r="J410" i="3" s="1"/>
  <c r="A411" i="3"/>
  <c r="I410" i="3"/>
  <c r="A406" i="9"/>
  <c r="J405" i="9" a="1"/>
  <c r="J405" i="9" s="1"/>
  <c r="I405" i="9"/>
  <c r="A435" i="6"/>
  <c r="J434" i="6" a="1"/>
  <c r="J434" i="6" s="1"/>
  <c r="I434" i="6"/>
  <c r="A395" i="5"/>
  <c r="J394" i="5" a="1"/>
  <c r="J394" i="5" s="1"/>
  <c r="I394" i="5"/>
  <c r="I397" i="7"/>
  <c r="A398" i="7"/>
  <c r="J397" i="7" a="1"/>
  <c r="J397" i="7" s="1"/>
  <c r="I403" i="8"/>
  <c r="A404" i="8"/>
  <c r="J403" i="8" a="1"/>
  <c r="J403" i="8" s="1"/>
  <c r="A405" i="8" l="1"/>
  <c r="J404" i="8" a="1"/>
  <c r="J404" i="8" s="1"/>
  <c r="I404" i="8"/>
  <c r="I398" i="7"/>
  <c r="A399" i="7"/>
  <c r="J398" i="7" a="1"/>
  <c r="J398" i="7" s="1"/>
  <c r="A396" i="5"/>
  <c r="I395" i="5"/>
  <c r="J395" i="5" a="1"/>
  <c r="J395" i="5" s="1"/>
  <c r="I435" i="6"/>
  <c r="A436" i="6"/>
  <c r="J435" i="6" a="1"/>
  <c r="J435" i="6" s="1"/>
  <c r="J406" i="9" a="1"/>
  <c r="J406" i="9" s="1"/>
  <c r="I406" i="9"/>
  <c r="A407" i="9"/>
  <c r="J411" i="3" a="1"/>
  <c r="J411" i="3" s="1"/>
  <c r="A412" i="3"/>
  <c r="I411" i="3"/>
  <c r="J412" i="3" l="1" a="1"/>
  <c r="J412" i="3" s="1"/>
  <c r="I412" i="3"/>
  <c r="A413" i="3"/>
  <c r="A408" i="9"/>
  <c r="J407" i="9" a="1"/>
  <c r="J407" i="9" s="1"/>
  <c r="I407" i="9"/>
  <c r="A437" i="6"/>
  <c r="I436" i="6"/>
  <c r="J436" i="6" a="1"/>
  <c r="J436" i="6" s="1"/>
  <c r="A397" i="5"/>
  <c r="J396" i="5" a="1"/>
  <c r="J396" i="5" s="1"/>
  <c r="I396" i="5"/>
  <c r="J399" i="7" a="1"/>
  <c r="J399" i="7" s="1"/>
  <c r="A400" i="7"/>
  <c r="I399" i="7"/>
  <c r="J405" i="8" a="1"/>
  <c r="J405" i="8" s="1"/>
  <c r="I405" i="8"/>
  <c r="A406" i="8"/>
  <c r="A407" i="8" l="1"/>
  <c r="J406" i="8" a="1"/>
  <c r="J406" i="8" s="1"/>
  <c r="I406" i="8"/>
  <c r="A401" i="7"/>
  <c r="I400" i="7"/>
  <c r="J400" i="7" a="1"/>
  <c r="J400" i="7" s="1"/>
  <c r="J397" i="5" a="1"/>
  <c r="J397" i="5" s="1"/>
  <c r="I397" i="5"/>
  <c r="A398" i="5"/>
  <c r="J437" i="6" a="1"/>
  <c r="J437" i="6" s="1"/>
  <c r="I437" i="6"/>
  <c r="A438" i="6"/>
  <c r="A409" i="9"/>
  <c r="I408" i="9"/>
  <c r="J408" i="9" a="1"/>
  <c r="J408" i="9" s="1"/>
  <c r="J413" i="3" a="1"/>
  <c r="J413" i="3" s="1"/>
  <c r="I413" i="3"/>
  <c r="A414" i="3"/>
  <c r="J414" i="3" l="1" a="1"/>
  <c r="J414" i="3" s="1"/>
  <c r="A415" i="3"/>
  <c r="I414" i="3"/>
  <c r="J409" i="9" a="1"/>
  <c r="J409" i="9" s="1"/>
  <c r="A410" i="9"/>
  <c r="I409" i="9"/>
  <c r="A439" i="6"/>
  <c r="J438" i="6" a="1"/>
  <c r="J438" i="6" s="1"/>
  <c r="I438" i="6"/>
  <c r="I398" i="5"/>
  <c r="A399" i="5"/>
  <c r="J398" i="5" a="1"/>
  <c r="J398" i="5" s="1"/>
  <c r="A402" i="7"/>
  <c r="I401" i="7"/>
  <c r="J401" i="7" a="1"/>
  <c r="J401" i="7" s="1"/>
  <c r="I407" i="8"/>
  <c r="A408" i="8"/>
  <c r="J407" i="8" a="1"/>
  <c r="J407" i="8" s="1"/>
  <c r="A409" i="8" l="1"/>
  <c r="I408" i="8"/>
  <c r="J408" i="8" a="1"/>
  <c r="J408" i="8" s="1"/>
  <c r="A403" i="7"/>
  <c r="I402" i="7"/>
  <c r="J402" i="7" a="1"/>
  <c r="J402" i="7" s="1"/>
  <c r="A400" i="5"/>
  <c r="J399" i="5" a="1"/>
  <c r="J399" i="5" s="1"/>
  <c r="I399" i="5"/>
  <c r="A440" i="6"/>
  <c r="I439" i="6"/>
  <c r="J439" i="6" a="1"/>
  <c r="J439" i="6" s="1"/>
  <c r="J410" i="9" a="1"/>
  <c r="J410" i="9" s="1"/>
  <c r="A411" i="9"/>
  <c r="I410" i="9"/>
  <c r="J415" i="3" a="1"/>
  <c r="J415" i="3" s="1"/>
  <c r="I415" i="3"/>
  <c r="A416" i="3"/>
  <c r="J416" i="3" l="1" a="1"/>
  <c r="J416" i="3" s="1"/>
  <c r="A417" i="3"/>
  <c r="I416" i="3"/>
  <c r="A412" i="9"/>
  <c r="J411" i="9" a="1"/>
  <c r="J411" i="9" s="1"/>
  <c r="I411" i="9"/>
  <c r="A441" i="6"/>
  <c r="I440" i="6"/>
  <c r="J440" i="6" a="1"/>
  <c r="J440" i="6" s="1"/>
  <c r="J400" i="5" a="1"/>
  <c r="J400" i="5" s="1"/>
  <c r="A401" i="5"/>
  <c r="I400" i="5"/>
  <c r="I403" i="7"/>
  <c r="A404" i="7"/>
  <c r="J403" i="7" a="1"/>
  <c r="J403" i="7" s="1"/>
  <c r="J409" i="8" a="1"/>
  <c r="J409" i="8" s="1"/>
  <c r="A410" i="8"/>
  <c r="I409" i="8"/>
  <c r="J410" i="8" l="1" a="1"/>
  <c r="J410" i="8" s="1"/>
  <c r="I410" i="8"/>
  <c r="A411" i="8"/>
  <c r="I404" i="7"/>
  <c r="A405" i="7"/>
  <c r="J404" i="7" a="1"/>
  <c r="J404" i="7" s="1"/>
  <c r="A402" i="5"/>
  <c r="J401" i="5" a="1"/>
  <c r="J401" i="5" s="1"/>
  <c r="I401" i="5"/>
  <c r="I441" i="6"/>
  <c r="A442" i="6"/>
  <c r="J441" i="6" a="1"/>
  <c r="J441" i="6" s="1"/>
  <c r="J412" i="9" a="1"/>
  <c r="J412" i="9" s="1"/>
  <c r="I412" i="9"/>
  <c r="A413" i="9"/>
  <c r="A418" i="3"/>
  <c r="I417" i="3"/>
  <c r="J417" i="3" a="1"/>
  <c r="J417" i="3" s="1"/>
  <c r="A419" i="3" l="1"/>
  <c r="J418" i="3" a="1"/>
  <c r="J418" i="3" s="1"/>
  <c r="I418" i="3"/>
  <c r="J413" i="9" a="1"/>
  <c r="J413" i="9" s="1"/>
  <c r="A414" i="9"/>
  <c r="I413" i="9"/>
  <c r="A443" i="6"/>
  <c r="J442" i="6" a="1"/>
  <c r="J442" i="6" s="1"/>
  <c r="I442" i="6"/>
  <c r="J402" i="5" a="1"/>
  <c r="J402" i="5" s="1"/>
  <c r="I402" i="5"/>
  <c r="A403" i="5"/>
  <c r="A406" i="7"/>
  <c r="J405" i="7" a="1"/>
  <c r="J405" i="7" s="1"/>
  <c r="I405" i="7"/>
  <c r="A412" i="8"/>
  <c r="J411" i="8" a="1"/>
  <c r="J411" i="8" s="1"/>
  <c r="I411" i="8"/>
  <c r="A413" i="8" l="1"/>
  <c r="J412" i="8" a="1"/>
  <c r="J412" i="8" s="1"/>
  <c r="I412" i="8"/>
  <c r="A407" i="7"/>
  <c r="I406" i="7"/>
  <c r="J406" i="7" a="1"/>
  <c r="J406" i="7" s="1"/>
  <c r="J403" i="5" a="1"/>
  <c r="J403" i="5" s="1"/>
  <c r="I403" i="5"/>
  <c r="A404" i="5"/>
  <c r="A444" i="6"/>
  <c r="J443" i="6" a="1"/>
  <c r="J443" i="6" s="1"/>
  <c r="I443" i="6"/>
  <c r="A415" i="9"/>
  <c r="J414" i="9" a="1"/>
  <c r="J414" i="9" s="1"/>
  <c r="I414" i="9"/>
  <c r="A420" i="3"/>
  <c r="J419" i="3" a="1"/>
  <c r="J419" i="3" s="1"/>
  <c r="I419" i="3"/>
  <c r="J420" i="3" l="1" a="1"/>
  <c r="J420" i="3" s="1"/>
  <c r="I420" i="3"/>
  <c r="A421" i="3"/>
  <c r="J415" i="9" a="1"/>
  <c r="J415" i="9" s="1"/>
  <c r="I415" i="9"/>
  <c r="A416" i="9"/>
  <c r="A445" i="6"/>
  <c r="I444" i="6"/>
  <c r="J444" i="6" a="1"/>
  <c r="J444" i="6" s="1"/>
  <c r="A405" i="5"/>
  <c r="J404" i="5" a="1"/>
  <c r="J404" i="5" s="1"/>
  <c r="I404" i="5"/>
  <c r="A408" i="7"/>
  <c r="J407" i="7" a="1"/>
  <c r="J407" i="7" s="1"/>
  <c r="I407" i="7"/>
  <c r="I413" i="8"/>
  <c r="J413" i="8" a="1"/>
  <c r="J413" i="8" s="1"/>
  <c r="A414" i="8"/>
  <c r="A415" i="8" l="1"/>
  <c r="I414" i="8"/>
  <c r="J414" i="8" a="1"/>
  <c r="J414" i="8" s="1"/>
  <c r="A409" i="7"/>
  <c r="J408" i="7" a="1"/>
  <c r="J408" i="7" s="1"/>
  <c r="I408" i="7"/>
  <c r="A406" i="5"/>
  <c r="J405" i="5" a="1"/>
  <c r="J405" i="5" s="1"/>
  <c r="I405" i="5"/>
  <c r="I445" i="6"/>
  <c r="A446" i="6"/>
  <c r="J445" i="6" a="1"/>
  <c r="J445" i="6" s="1"/>
  <c r="J416" i="9" a="1"/>
  <c r="J416" i="9" s="1"/>
  <c r="A417" i="9"/>
  <c r="I416" i="9"/>
  <c r="A422" i="3"/>
  <c r="J421" i="3" a="1"/>
  <c r="J421" i="3" s="1"/>
  <c r="I421" i="3"/>
  <c r="J422" i="3" l="1" a="1"/>
  <c r="J422" i="3" s="1"/>
  <c r="I422" i="3"/>
  <c r="A423" i="3"/>
  <c r="J417" i="9" a="1"/>
  <c r="J417" i="9" s="1"/>
  <c r="I417" i="9"/>
  <c r="A418" i="9"/>
  <c r="J446" i="6" a="1"/>
  <c r="J446" i="6" s="1"/>
  <c r="A447" i="6"/>
  <c r="I446" i="6"/>
  <c r="I406" i="5"/>
  <c r="A407" i="5"/>
  <c r="J406" i="5" a="1"/>
  <c r="J406" i="5" s="1"/>
  <c r="A410" i="7"/>
  <c r="I409" i="7"/>
  <c r="J409" i="7" a="1"/>
  <c r="J409" i="7" s="1"/>
  <c r="A416" i="8"/>
  <c r="J415" i="8" a="1"/>
  <c r="J415" i="8" s="1"/>
  <c r="I415" i="8"/>
  <c r="I416" i="8" l="1"/>
  <c r="A417" i="8"/>
  <c r="J416" i="8" a="1"/>
  <c r="J416" i="8" s="1"/>
  <c r="I410" i="7"/>
  <c r="A411" i="7"/>
  <c r="J410" i="7" a="1"/>
  <c r="J410" i="7" s="1"/>
  <c r="J407" i="5" a="1"/>
  <c r="J407" i="5" s="1"/>
  <c r="A408" i="5"/>
  <c r="I407" i="5"/>
  <c r="I447" i="6"/>
  <c r="J447" i="6" a="1"/>
  <c r="J447" i="6" s="1"/>
  <c r="A448" i="6"/>
  <c r="J418" i="9" a="1"/>
  <c r="J418" i="9" s="1"/>
  <c r="A419" i="9"/>
  <c r="I418" i="9"/>
  <c r="A424" i="3"/>
  <c r="J423" i="3" a="1"/>
  <c r="J423" i="3" s="1"/>
  <c r="I423" i="3"/>
  <c r="A425" i="3" l="1"/>
  <c r="I424" i="3"/>
  <c r="J424" i="3" a="1"/>
  <c r="J424" i="3" s="1"/>
  <c r="A420" i="9"/>
  <c r="J419" i="9" a="1"/>
  <c r="J419" i="9" s="1"/>
  <c r="I419" i="9"/>
  <c r="I448" i="6"/>
  <c r="J448" i="6" a="1"/>
  <c r="J448" i="6" s="1"/>
  <c r="A449" i="6"/>
  <c r="A409" i="5"/>
  <c r="J408" i="5" a="1"/>
  <c r="J408" i="5" s="1"/>
  <c r="I408" i="5"/>
  <c r="A412" i="7"/>
  <c r="I411" i="7"/>
  <c r="J411" i="7" a="1"/>
  <c r="J411" i="7" s="1"/>
  <c r="A418" i="8"/>
  <c r="J417" i="8" a="1"/>
  <c r="J417" i="8" s="1"/>
  <c r="I417" i="8"/>
  <c r="A419" i="8" l="1"/>
  <c r="J418" i="8" a="1"/>
  <c r="J418" i="8" s="1"/>
  <c r="I418" i="8"/>
  <c r="A413" i="7"/>
  <c r="J412" i="7" a="1"/>
  <c r="J412" i="7" s="1"/>
  <c r="I412" i="7"/>
  <c r="A410" i="5"/>
  <c r="J409" i="5" a="1"/>
  <c r="J409" i="5" s="1"/>
  <c r="I409" i="5"/>
  <c r="A450" i="6"/>
  <c r="J449" i="6" a="1"/>
  <c r="J449" i="6" s="1"/>
  <c r="I449" i="6"/>
  <c r="A421" i="9"/>
  <c r="J420" i="9" a="1"/>
  <c r="J420" i="9" s="1"/>
  <c r="I420" i="9"/>
  <c r="A426" i="3"/>
  <c r="J425" i="3" a="1"/>
  <c r="J425" i="3" s="1"/>
  <c r="I425" i="3"/>
  <c r="A427" i="3" l="1"/>
  <c r="I426" i="3"/>
  <c r="J426" i="3" a="1"/>
  <c r="J426" i="3" s="1"/>
  <c r="J421" i="9" a="1"/>
  <c r="J421" i="9" s="1"/>
  <c r="A422" i="9"/>
  <c r="I421" i="9"/>
  <c r="I450" i="6"/>
  <c r="A451" i="6"/>
  <c r="J450" i="6" a="1"/>
  <c r="J450" i="6" s="1"/>
  <c r="A411" i="5"/>
  <c r="J410" i="5" a="1"/>
  <c r="J410" i="5" s="1"/>
  <c r="I410" i="5"/>
  <c r="I413" i="7"/>
  <c r="J413" i="7" a="1"/>
  <c r="J413" i="7" s="1"/>
  <c r="A414" i="7"/>
  <c r="I419" i="8"/>
  <c r="A420" i="8"/>
  <c r="J419" i="8" a="1"/>
  <c r="J419" i="8" s="1"/>
  <c r="A421" i="8" l="1"/>
  <c r="I420" i="8"/>
  <c r="J420" i="8" a="1"/>
  <c r="J420" i="8" s="1"/>
  <c r="I414" i="7"/>
  <c r="A415" i="7"/>
  <c r="J414" i="7" a="1"/>
  <c r="J414" i="7" s="1"/>
  <c r="A412" i="5"/>
  <c r="I411" i="5"/>
  <c r="J411" i="5" a="1"/>
  <c r="J411" i="5" s="1"/>
  <c r="J451" i="6" a="1"/>
  <c r="J451" i="6" s="1"/>
  <c r="A452" i="6"/>
  <c r="I451" i="6"/>
  <c r="J422" i="9" a="1"/>
  <c r="J422" i="9" s="1"/>
  <c r="I422" i="9"/>
  <c r="A423" i="9"/>
  <c r="J427" i="3" a="1"/>
  <c r="J427" i="3" s="1"/>
  <c r="I427" i="3"/>
  <c r="A428" i="3"/>
  <c r="J428" i="3" l="1" a="1"/>
  <c r="J428" i="3" s="1"/>
  <c r="A429" i="3"/>
  <c r="I428" i="3"/>
  <c r="I423" i="9"/>
  <c r="A424" i="9"/>
  <c r="J423" i="9" a="1"/>
  <c r="J423" i="9" s="1"/>
  <c r="A453" i="6"/>
  <c r="J452" i="6" a="1"/>
  <c r="J452" i="6" s="1"/>
  <c r="I452" i="6"/>
  <c r="J412" i="5" a="1"/>
  <c r="J412" i="5" s="1"/>
  <c r="I412" i="5"/>
  <c r="A413" i="5"/>
  <c r="A416" i="7"/>
  <c r="J415" i="7" a="1"/>
  <c r="J415" i="7" s="1"/>
  <c r="I415" i="7"/>
  <c r="J421" i="8" a="1"/>
  <c r="J421" i="8" s="1"/>
  <c r="I421" i="8"/>
  <c r="A422" i="8"/>
  <c r="A423" i="8" l="1"/>
  <c r="J422" i="8" a="1"/>
  <c r="J422" i="8" s="1"/>
  <c r="I422" i="8"/>
  <c r="I416" i="7"/>
  <c r="J416" i="7" a="1"/>
  <c r="J416" i="7" s="1"/>
  <c r="A417" i="7"/>
  <c r="A414" i="5"/>
  <c r="I413" i="5"/>
  <c r="J413" i="5" a="1"/>
  <c r="J413" i="5" s="1"/>
  <c r="I453" i="6"/>
  <c r="A454" i="6"/>
  <c r="J453" i="6" a="1"/>
  <c r="J453" i="6" s="1"/>
  <c r="J424" i="9" a="1"/>
  <c r="J424" i="9" s="1"/>
  <c r="A425" i="9"/>
  <c r="I424" i="9"/>
  <c r="A430" i="3"/>
  <c r="J429" i="3" a="1"/>
  <c r="J429" i="3" s="1"/>
  <c r="I429" i="3"/>
  <c r="I430" i="3" l="1"/>
  <c r="A431" i="3"/>
  <c r="J430" i="3" a="1"/>
  <c r="J430" i="3" s="1"/>
  <c r="I425" i="9"/>
  <c r="A426" i="9"/>
  <c r="J425" i="9" a="1"/>
  <c r="J425" i="9" s="1"/>
  <c r="J454" i="6" a="1"/>
  <c r="J454" i="6" s="1"/>
  <c r="A455" i="6"/>
  <c r="I454" i="6"/>
  <c r="A415" i="5"/>
  <c r="J414" i="5" a="1"/>
  <c r="J414" i="5" s="1"/>
  <c r="I414" i="5"/>
  <c r="A418" i="7"/>
  <c r="J417" i="7" a="1"/>
  <c r="J417" i="7" s="1"/>
  <c r="I417" i="7"/>
  <c r="A424" i="8"/>
  <c r="J423" i="8" a="1"/>
  <c r="J423" i="8" s="1"/>
  <c r="I423" i="8"/>
  <c r="A425" i="8" l="1"/>
  <c r="J424" i="8" a="1"/>
  <c r="J424" i="8" s="1"/>
  <c r="I424" i="8"/>
  <c r="A419" i="7"/>
  <c r="J418" i="7" a="1"/>
  <c r="J418" i="7" s="1"/>
  <c r="I418" i="7"/>
  <c r="A416" i="5"/>
  <c r="I415" i="5"/>
  <c r="J415" i="5" a="1"/>
  <c r="J415" i="5" s="1"/>
  <c r="A456" i="6"/>
  <c r="I455" i="6"/>
  <c r="J455" i="6" a="1"/>
  <c r="J455" i="6" s="1"/>
  <c r="A427" i="9"/>
  <c r="J426" i="9" a="1"/>
  <c r="J426" i="9" s="1"/>
  <c r="I426" i="9"/>
  <c r="A432" i="3"/>
  <c r="J431" i="3" a="1"/>
  <c r="J431" i="3" s="1"/>
  <c r="I431" i="3"/>
  <c r="A433" i="3" l="1"/>
  <c r="J432" i="3" a="1"/>
  <c r="J432" i="3" s="1"/>
  <c r="I432" i="3"/>
  <c r="J427" i="9" a="1"/>
  <c r="J427" i="9" s="1"/>
  <c r="A428" i="9"/>
  <c r="I427" i="9"/>
  <c r="J456" i="6" a="1"/>
  <c r="J456" i="6" s="1"/>
  <c r="I456" i="6"/>
  <c r="A457" i="6"/>
  <c r="A417" i="5"/>
  <c r="I416" i="5"/>
  <c r="J416" i="5" a="1"/>
  <c r="J416" i="5" s="1"/>
  <c r="J419" i="7" a="1"/>
  <c r="J419" i="7" s="1"/>
  <c r="I419" i="7"/>
  <c r="A420" i="7"/>
  <c r="I425" i="8"/>
  <c r="J425" i="8" a="1"/>
  <c r="J425" i="8" s="1"/>
  <c r="A426" i="8"/>
  <c r="A427" i="8" l="1"/>
  <c r="I426" i="8"/>
  <c r="J426" i="8" a="1"/>
  <c r="J426" i="8" s="1"/>
  <c r="J420" i="7" a="1"/>
  <c r="J420" i="7" s="1"/>
  <c r="I420" i="7"/>
  <c r="A421" i="7"/>
  <c r="A418" i="5"/>
  <c r="J417" i="5" a="1"/>
  <c r="J417" i="5" s="1"/>
  <c r="I417" i="5"/>
  <c r="A458" i="6"/>
  <c r="J457" i="6" a="1"/>
  <c r="J457" i="6" s="1"/>
  <c r="I457" i="6"/>
  <c r="J428" i="9" a="1"/>
  <c r="J428" i="9" s="1"/>
  <c r="A429" i="9"/>
  <c r="I428" i="9"/>
  <c r="I433" i="3"/>
  <c r="A434" i="3"/>
  <c r="J433" i="3" a="1"/>
  <c r="J433" i="3" s="1"/>
  <c r="J434" i="3" l="1" a="1"/>
  <c r="J434" i="3" s="1"/>
  <c r="I434" i="3"/>
  <c r="A435" i="3"/>
  <c r="A430" i="9"/>
  <c r="J429" i="9" a="1"/>
  <c r="J429" i="9" s="1"/>
  <c r="I429" i="9"/>
  <c r="A459" i="6"/>
  <c r="J458" i="6" a="1"/>
  <c r="J458" i="6" s="1"/>
  <c r="I458" i="6"/>
  <c r="J418" i="5" a="1"/>
  <c r="J418" i="5" s="1"/>
  <c r="A419" i="5"/>
  <c r="I418" i="5"/>
  <c r="A422" i="7"/>
  <c r="J421" i="7" a="1"/>
  <c r="J421" i="7" s="1"/>
  <c r="I421" i="7"/>
  <c r="A428" i="8"/>
  <c r="J427" i="8" a="1"/>
  <c r="J427" i="8" s="1"/>
  <c r="I427" i="8"/>
  <c r="J428" i="8" l="1" a="1"/>
  <c r="J428" i="8" s="1"/>
  <c r="A429" i="8"/>
  <c r="I428" i="8"/>
  <c r="A423" i="7"/>
  <c r="J422" i="7" a="1"/>
  <c r="J422" i="7" s="1"/>
  <c r="I422" i="7"/>
  <c r="A420" i="5"/>
  <c r="J419" i="5" a="1"/>
  <c r="J419" i="5" s="1"/>
  <c r="I419" i="5"/>
  <c r="I459" i="6"/>
  <c r="A460" i="6"/>
  <c r="J459" i="6" a="1"/>
  <c r="J459" i="6" s="1"/>
  <c r="J430" i="9" a="1"/>
  <c r="J430" i="9" s="1"/>
  <c r="A431" i="9"/>
  <c r="I430" i="9"/>
  <c r="A436" i="3"/>
  <c r="J435" i="3" a="1"/>
  <c r="J435" i="3" s="1"/>
  <c r="I435" i="3"/>
  <c r="J436" i="3" l="1" a="1"/>
  <c r="J436" i="3" s="1"/>
  <c r="A437" i="3"/>
  <c r="I436" i="3"/>
  <c r="A432" i="9"/>
  <c r="J431" i="9" a="1"/>
  <c r="J431" i="9" s="1"/>
  <c r="I431" i="9"/>
  <c r="A461" i="6"/>
  <c r="J460" i="6" a="1"/>
  <c r="J460" i="6" s="1"/>
  <c r="I460" i="6"/>
  <c r="A421" i="5"/>
  <c r="I420" i="5"/>
  <c r="J420" i="5" a="1"/>
  <c r="J420" i="5" s="1"/>
  <c r="A424" i="7"/>
  <c r="I423" i="7"/>
  <c r="J423" i="7" a="1"/>
  <c r="J423" i="7" s="1"/>
  <c r="J429" i="8" a="1"/>
  <c r="J429" i="8" s="1"/>
  <c r="A430" i="8"/>
  <c r="I429" i="8"/>
  <c r="J430" i="8" l="1" a="1"/>
  <c r="J430" i="8" s="1"/>
  <c r="I430" i="8"/>
  <c r="A431" i="8"/>
  <c r="J424" i="7" a="1"/>
  <c r="J424" i="7" s="1"/>
  <c r="I424" i="7"/>
  <c r="A425" i="7"/>
  <c r="A422" i="5"/>
  <c r="J421" i="5" a="1"/>
  <c r="J421" i="5" s="1"/>
  <c r="I421" i="5"/>
  <c r="I461" i="6"/>
  <c r="A462" i="6"/>
  <c r="J461" i="6" a="1"/>
  <c r="J461" i="6" s="1"/>
  <c r="J432" i="9" a="1"/>
  <c r="J432" i="9" s="1"/>
  <c r="I432" i="9"/>
  <c r="A433" i="9"/>
  <c r="J437" i="3" a="1"/>
  <c r="J437" i="3" s="1"/>
  <c r="I437" i="3"/>
  <c r="A438" i="3"/>
  <c r="A439" i="3" l="1"/>
  <c r="J438" i="3" a="1"/>
  <c r="J438" i="3" s="1"/>
  <c r="I438" i="3"/>
  <c r="J433" i="9" a="1"/>
  <c r="J433" i="9" s="1"/>
  <c r="A434" i="9"/>
  <c r="I433" i="9"/>
  <c r="J462" i="6" a="1"/>
  <c r="J462" i="6" s="1"/>
  <c r="A463" i="6"/>
  <c r="I462" i="6"/>
  <c r="J422" i="5" a="1"/>
  <c r="J422" i="5" s="1"/>
  <c r="I422" i="5"/>
  <c r="A423" i="5"/>
  <c r="I425" i="7"/>
  <c r="A426" i="7"/>
  <c r="J425" i="7" a="1"/>
  <c r="J425" i="7" s="1"/>
  <c r="A432" i="8"/>
  <c r="J431" i="8" a="1"/>
  <c r="J431" i="8" s="1"/>
  <c r="I431" i="8"/>
  <c r="A433" i="8" l="1"/>
  <c r="J432" i="8" a="1"/>
  <c r="J432" i="8" s="1"/>
  <c r="I432" i="8"/>
  <c r="A427" i="7"/>
  <c r="J426" i="7" a="1"/>
  <c r="J426" i="7" s="1"/>
  <c r="I426" i="7"/>
  <c r="A424" i="5"/>
  <c r="I423" i="5"/>
  <c r="J423" i="5" a="1"/>
  <c r="J423" i="5" s="1"/>
  <c r="A464" i="6"/>
  <c r="I463" i="6"/>
  <c r="J463" i="6" a="1"/>
  <c r="J463" i="6" s="1"/>
  <c r="J434" i="9" a="1"/>
  <c r="J434" i="9" s="1"/>
  <c r="A435" i="9"/>
  <c r="I434" i="9"/>
  <c r="J439" i="3" a="1"/>
  <c r="J439" i="3" s="1"/>
  <c r="A440" i="3"/>
  <c r="I439" i="3"/>
  <c r="J440" i="3" l="1" a="1"/>
  <c r="J440" i="3" s="1"/>
  <c r="A441" i="3"/>
  <c r="I440" i="3"/>
  <c r="A436" i="9"/>
  <c r="J435" i="9" a="1"/>
  <c r="J435" i="9" s="1"/>
  <c r="I435" i="9"/>
  <c r="A465" i="6"/>
  <c r="I464" i="6"/>
  <c r="J464" i="6" a="1"/>
  <c r="J464" i="6" s="1"/>
  <c r="A425" i="5"/>
  <c r="J424" i="5" a="1"/>
  <c r="J424" i="5" s="1"/>
  <c r="I424" i="5"/>
  <c r="A428" i="7"/>
  <c r="I427" i="7"/>
  <c r="J427" i="7" a="1"/>
  <c r="J427" i="7" s="1"/>
  <c r="J433" i="8" a="1"/>
  <c r="J433" i="8" s="1"/>
  <c r="A434" i="8"/>
  <c r="I433" i="8"/>
  <c r="J434" i="8" l="1" a="1"/>
  <c r="J434" i="8" s="1"/>
  <c r="I434" i="8"/>
  <c r="A435" i="8"/>
  <c r="J428" i="7" a="1"/>
  <c r="J428" i="7" s="1"/>
  <c r="I428" i="7"/>
  <c r="A429" i="7"/>
  <c r="J425" i="5" a="1"/>
  <c r="J425" i="5" s="1"/>
  <c r="A426" i="5"/>
  <c r="I425" i="5"/>
  <c r="I465" i="6"/>
  <c r="J465" i="6" a="1"/>
  <c r="J465" i="6" s="1"/>
  <c r="A466" i="6"/>
  <c r="J436" i="9" a="1"/>
  <c r="J436" i="9" s="1"/>
  <c r="I436" i="9"/>
  <c r="A437" i="9"/>
  <c r="I441" i="3"/>
  <c r="A442" i="3"/>
  <c r="J441" i="3" a="1"/>
  <c r="J441" i="3" s="1"/>
  <c r="A443" i="3" l="1"/>
  <c r="J442" i="3" a="1"/>
  <c r="J442" i="3" s="1"/>
  <c r="I442" i="3"/>
  <c r="A438" i="9"/>
  <c r="J437" i="9" a="1"/>
  <c r="J437" i="9" s="1"/>
  <c r="I437" i="9"/>
  <c r="A467" i="6"/>
  <c r="I466" i="6"/>
  <c r="J466" i="6" a="1"/>
  <c r="J466" i="6" s="1"/>
  <c r="A427" i="5"/>
  <c r="J426" i="5" a="1"/>
  <c r="J426" i="5" s="1"/>
  <c r="I426" i="5"/>
  <c r="A430" i="7"/>
  <c r="I429" i="7"/>
  <c r="J429" i="7" a="1"/>
  <c r="J429" i="7" s="1"/>
  <c r="J435" i="8" a="1"/>
  <c r="J435" i="8" s="1"/>
  <c r="A436" i="8"/>
  <c r="I435" i="8"/>
  <c r="A437" i="8" l="1"/>
  <c r="J436" i="8" a="1"/>
  <c r="J436" i="8" s="1"/>
  <c r="I436" i="8"/>
  <c r="J430" i="7" a="1"/>
  <c r="J430" i="7" s="1"/>
  <c r="A431" i="7"/>
  <c r="I430" i="7"/>
  <c r="J427" i="5" a="1"/>
  <c r="J427" i="5" s="1"/>
  <c r="I427" i="5"/>
  <c r="A428" i="5"/>
  <c r="J467" i="6" a="1"/>
  <c r="J467" i="6" s="1"/>
  <c r="A468" i="6"/>
  <c r="I467" i="6"/>
  <c r="J438" i="9" a="1"/>
  <c r="J438" i="9" s="1"/>
  <c r="I438" i="9"/>
  <c r="A439" i="9"/>
  <c r="A444" i="3"/>
  <c r="I443" i="3"/>
  <c r="J443" i="3" a="1"/>
  <c r="J443" i="3" s="1"/>
  <c r="A445" i="3" l="1"/>
  <c r="J444" i="3" a="1"/>
  <c r="J444" i="3" s="1"/>
  <c r="I444" i="3"/>
  <c r="A440" i="9"/>
  <c r="J439" i="9" a="1"/>
  <c r="J439" i="9" s="1"/>
  <c r="I439" i="9"/>
  <c r="A469" i="6"/>
  <c r="J468" i="6" a="1"/>
  <c r="J468" i="6" s="1"/>
  <c r="I468" i="6"/>
  <c r="J428" i="5" a="1"/>
  <c r="J428" i="5" s="1"/>
  <c r="I428" i="5"/>
  <c r="A429" i="5"/>
  <c r="A432" i="7"/>
  <c r="I431" i="7"/>
  <c r="J431" i="7" a="1"/>
  <c r="J431" i="7" s="1"/>
  <c r="J437" i="8" a="1"/>
  <c r="J437" i="8" s="1"/>
  <c r="I437" i="8"/>
  <c r="A438" i="8"/>
  <c r="A439" i="8" l="1"/>
  <c r="J438" i="8" a="1"/>
  <c r="J438" i="8" s="1"/>
  <c r="I438" i="8"/>
  <c r="A433" i="7"/>
  <c r="I432" i="7"/>
  <c r="J432" i="7" a="1"/>
  <c r="J432" i="7" s="1"/>
  <c r="A430" i="5"/>
  <c r="J429" i="5" a="1"/>
  <c r="J429" i="5" s="1"/>
  <c r="I429" i="5"/>
  <c r="I469" i="6"/>
  <c r="A470" i="6"/>
  <c r="J469" i="6" a="1"/>
  <c r="J469" i="6" s="1"/>
  <c r="J440" i="9" a="1"/>
  <c r="J440" i="9" s="1"/>
  <c r="I440" i="9"/>
  <c r="A441" i="9"/>
  <c r="A446" i="3"/>
  <c r="J445" i="3" a="1"/>
  <c r="J445" i="3" s="1"/>
  <c r="I445" i="3"/>
  <c r="J446" i="3" l="1" a="1"/>
  <c r="J446" i="3" s="1"/>
  <c r="A447" i="3"/>
  <c r="I446" i="3"/>
  <c r="A442" i="9"/>
  <c r="J441" i="9" a="1"/>
  <c r="J441" i="9" s="1"/>
  <c r="I441" i="9"/>
  <c r="J470" i="6" a="1"/>
  <c r="J470" i="6" s="1"/>
  <c r="A471" i="6"/>
  <c r="I470" i="6"/>
  <c r="A431" i="5"/>
  <c r="I430" i="5"/>
  <c r="J430" i="5" a="1"/>
  <c r="J430" i="5" s="1"/>
  <c r="A434" i="7"/>
  <c r="J433" i="7" a="1"/>
  <c r="J433" i="7" s="1"/>
  <c r="I433" i="7"/>
  <c r="A440" i="8"/>
  <c r="J439" i="8" a="1"/>
  <c r="J439" i="8" s="1"/>
  <c r="I439" i="8"/>
  <c r="J440" i="8" l="1" a="1"/>
  <c r="J440" i="8" s="1"/>
  <c r="I440" i="8"/>
  <c r="A441" i="8"/>
  <c r="I434" i="7"/>
  <c r="A435" i="7"/>
  <c r="J434" i="7" a="1"/>
  <c r="J434" i="7" s="1"/>
  <c r="I431" i="5"/>
  <c r="A432" i="5"/>
  <c r="J431" i="5" a="1"/>
  <c r="J431" i="5" s="1"/>
  <c r="I471" i="6"/>
  <c r="A472" i="6"/>
  <c r="J471" i="6" a="1"/>
  <c r="J471" i="6" s="1"/>
  <c r="A443" i="9"/>
  <c r="J442" i="9" a="1"/>
  <c r="J442" i="9" s="1"/>
  <c r="I442" i="9"/>
  <c r="A448" i="3"/>
  <c r="J447" i="3" a="1"/>
  <c r="J447" i="3" s="1"/>
  <c r="I447" i="3"/>
  <c r="A449" i="3" l="1"/>
  <c r="I448" i="3"/>
  <c r="J448" i="3" a="1"/>
  <c r="J448" i="3" s="1"/>
  <c r="A444" i="9"/>
  <c r="J443" i="9" a="1"/>
  <c r="J443" i="9" s="1"/>
  <c r="I443" i="9"/>
  <c r="J472" i="6" a="1"/>
  <c r="J472" i="6" s="1"/>
  <c r="A473" i="6"/>
  <c r="I472" i="6"/>
  <c r="J432" i="5" a="1"/>
  <c r="J432" i="5" s="1"/>
  <c r="A433" i="5"/>
  <c r="I432" i="5"/>
  <c r="J435" i="7" a="1"/>
  <c r="J435" i="7" s="1"/>
  <c r="A436" i="7"/>
  <c r="I435" i="7"/>
  <c r="J441" i="8" a="1"/>
  <c r="J441" i="8" s="1"/>
  <c r="I441" i="8"/>
  <c r="A442" i="8"/>
  <c r="I442" i="8" l="1"/>
  <c r="A443" i="8"/>
  <c r="J442" i="8" a="1"/>
  <c r="J442" i="8" s="1"/>
  <c r="J436" i="7" a="1"/>
  <c r="J436" i="7" s="1"/>
  <c r="I436" i="7"/>
  <c r="A437" i="7"/>
  <c r="A434" i="5"/>
  <c r="J433" i="5" a="1"/>
  <c r="J433" i="5" s="1"/>
  <c r="I433" i="5"/>
  <c r="I473" i="6"/>
  <c r="A474" i="6"/>
  <c r="J473" i="6" a="1"/>
  <c r="J473" i="6" s="1"/>
  <c r="J444" i="9" a="1"/>
  <c r="J444" i="9" s="1"/>
  <c r="I444" i="9"/>
  <c r="A445" i="9"/>
  <c r="A450" i="3"/>
  <c r="J449" i="3" a="1"/>
  <c r="J449" i="3" s="1"/>
  <c r="I449" i="3"/>
  <c r="A451" i="3" l="1"/>
  <c r="J450" i="3" a="1"/>
  <c r="J450" i="3" s="1"/>
  <c r="I450" i="3"/>
  <c r="A446" i="9"/>
  <c r="J445" i="9" a="1"/>
  <c r="J445" i="9" s="1"/>
  <c r="I445" i="9"/>
  <c r="A475" i="6"/>
  <c r="J474" i="6" a="1"/>
  <c r="J474" i="6" s="1"/>
  <c r="I474" i="6"/>
  <c r="A435" i="5"/>
  <c r="J434" i="5" a="1"/>
  <c r="J434" i="5" s="1"/>
  <c r="I434" i="5"/>
  <c r="A438" i="7"/>
  <c r="J437" i="7" a="1"/>
  <c r="J437" i="7" s="1"/>
  <c r="I437" i="7"/>
  <c r="I443" i="8"/>
  <c r="J443" i="8" a="1"/>
  <c r="J443" i="8" s="1"/>
  <c r="A444" i="8"/>
  <c r="A445" i="8" l="1"/>
  <c r="J444" i="8" a="1"/>
  <c r="J444" i="8" s="1"/>
  <c r="I444" i="8"/>
  <c r="I438" i="7"/>
  <c r="A439" i="7"/>
  <c r="J438" i="7" a="1"/>
  <c r="J438" i="7" s="1"/>
  <c r="A436" i="5"/>
  <c r="J435" i="5" a="1"/>
  <c r="J435" i="5" s="1"/>
  <c r="I435" i="5"/>
  <c r="I475" i="6"/>
  <c r="J475" i="6" a="1"/>
  <c r="J475" i="6" s="1"/>
  <c r="A476" i="6"/>
  <c r="A447" i="9"/>
  <c r="I446" i="9"/>
  <c r="J446" i="9" a="1"/>
  <c r="J446" i="9" s="1"/>
  <c r="A452" i="3"/>
  <c r="I451" i="3"/>
  <c r="J451" i="3" a="1"/>
  <c r="J451" i="3" s="1"/>
  <c r="J452" i="3" l="1" a="1"/>
  <c r="J452" i="3" s="1"/>
  <c r="A453" i="3"/>
  <c r="I452" i="3"/>
  <c r="A448" i="9"/>
  <c r="J447" i="9" a="1"/>
  <c r="J447" i="9" s="1"/>
  <c r="I447" i="9"/>
  <c r="J476" i="6" a="1"/>
  <c r="J476" i="6" s="1"/>
  <c r="A477" i="6"/>
  <c r="I476" i="6"/>
  <c r="J436" i="5" a="1"/>
  <c r="J436" i="5" s="1"/>
  <c r="A437" i="5"/>
  <c r="I436" i="5"/>
  <c r="A440" i="7"/>
  <c r="I439" i="7"/>
  <c r="J439" i="7" a="1"/>
  <c r="J439" i="7" s="1"/>
  <c r="A446" i="8"/>
  <c r="J445" i="8" a="1"/>
  <c r="J445" i="8" s="1"/>
  <c r="I445" i="8"/>
  <c r="J446" i="8" l="1" a="1"/>
  <c r="J446" i="8" s="1"/>
  <c r="I446" i="8"/>
  <c r="A447" i="8"/>
  <c r="A441" i="7"/>
  <c r="J440" i="7" a="1"/>
  <c r="J440" i="7" s="1"/>
  <c r="I440" i="7"/>
  <c r="J437" i="5" a="1"/>
  <c r="J437" i="5" s="1"/>
  <c r="I437" i="5"/>
  <c r="A438" i="5"/>
  <c r="I477" i="6"/>
  <c r="A478" i="6"/>
  <c r="J477" i="6" a="1"/>
  <c r="J477" i="6" s="1"/>
  <c r="A449" i="9"/>
  <c r="I448" i="9"/>
  <c r="J448" i="9" a="1"/>
  <c r="J448" i="9" s="1"/>
  <c r="J453" i="3" a="1"/>
  <c r="J453" i="3" s="1"/>
  <c r="I453" i="3"/>
  <c r="A454" i="3"/>
  <c r="J454" i="3" l="1" a="1"/>
  <c r="J454" i="3" s="1"/>
  <c r="I454" i="3"/>
  <c r="A455" i="3"/>
  <c r="J449" i="9" a="1"/>
  <c r="J449" i="9" s="1"/>
  <c r="I449" i="9"/>
  <c r="A450" i="9"/>
  <c r="A479" i="6"/>
  <c r="J478" i="6" a="1"/>
  <c r="J478" i="6" s="1"/>
  <c r="I478" i="6"/>
  <c r="A439" i="5"/>
  <c r="I438" i="5"/>
  <c r="J438" i="5" a="1"/>
  <c r="J438" i="5" s="1"/>
  <c r="A442" i="7"/>
  <c r="J441" i="7" a="1"/>
  <c r="J441" i="7" s="1"/>
  <c r="I441" i="7"/>
  <c r="J447" i="8" a="1"/>
  <c r="J447" i="8" s="1"/>
  <c r="A448" i="8"/>
  <c r="I447" i="8"/>
  <c r="J448" i="8" l="1" a="1"/>
  <c r="J448" i="8" s="1"/>
  <c r="I448" i="8"/>
  <c r="A449" i="8"/>
  <c r="A443" i="7"/>
  <c r="J442" i="7" a="1"/>
  <c r="J442" i="7" s="1"/>
  <c r="I442" i="7"/>
  <c r="A440" i="5"/>
  <c r="J439" i="5" a="1"/>
  <c r="J439" i="5" s="1"/>
  <c r="I439" i="5"/>
  <c r="J479" i="6" a="1"/>
  <c r="J479" i="6" s="1"/>
  <c r="A480" i="6"/>
  <c r="I479" i="6"/>
  <c r="J450" i="9" a="1"/>
  <c r="J450" i="9" s="1"/>
  <c r="A451" i="9"/>
  <c r="I450" i="9"/>
  <c r="I455" i="3"/>
  <c r="A456" i="3"/>
  <c r="J455" i="3" a="1"/>
  <c r="J455" i="3" s="1"/>
  <c r="J456" i="3" l="1" a="1"/>
  <c r="J456" i="3" s="1"/>
  <c r="I456" i="3"/>
  <c r="A457" i="3"/>
  <c r="A452" i="9"/>
  <c r="J451" i="9" a="1"/>
  <c r="J451" i="9" s="1"/>
  <c r="I451" i="9"/>
  <c r="A481" i="6"/>
  <c r="I480" i="6"/>
  <c r="J480" i="6" a="1"/>
  <c r="J480" i="6" s="1"/>
  <c r="A441" i="5"/>
  <c r="I440" i="5"/>
  <c r="J440" i="5" a="1"/>
  <c r="J440" i="5" s="1"/>
  <c r="I443" i="7"/>
  <c r="A444" i="7"/>
  <c r="J443" i="7" a="1"/>
  <c r="J443" i="7" s="1"/>
  <c r="A450" i="8"/>
  <c r="J449" i="8" a="1"/>
  <c r="J449" i="8" s="1"/>
  <c r="I449" i="8"/>
  <c r="I450" i="8" l="1"/>
  <c r="A451" i="8"/>
  <c r="J450" i="8" a="1"/>
  <c r="J450" i="8" s="1"/>
  <c r="J444" i="7" a="1"/>
  <c r="J444" i="7" s="1"/>
  <c r="A445" i="7"/>
  <c r="I444" i="7"/>
  <c r="A442" i="5"/>
  <c r="I441" i="5"/>
  <c r="J441" i="5" a="1"/>
  <c r="J441" i="5" s="1"/>
  <c r="J481" i="6" a="1"/>
  <c r="J481" i="6" s="1"/>
  <c r="I481" i="6"/>
  <c r="A482" i="6"/>
  <c r="J452" i="9" a="1"/>
  <c r="J452" i="9" s="1"/>
  <c r="I452" i="9"/>
  <c r="A453" i="9"/>
  <c r="A458" i="3"/>
  <c r="J457" i="3" a="1"/>
  <c r="J457" i="3" s="1"/>
  <c r="I457" i="3"/>
  <c r="J458" i="3" l="1" a="1"/>
  <c r="J458" i="3" s="1"/>
  <c r="I458" i="3"/>
  <c r="A459" i="3"/>
  <c r="I453" i="9"/>
  <c r="J453" i="9" a="1"/>
  <c r="J453" i="9" s="1"/>
  <c r="A454" i="9"/>
  <c r="A483" i="6"/>
  <c r="J482" i="6" a="1"/>
  <c r="J482" i="6" s="1"/>
  <c r="I482" i="6"/>
  <c r="I442" i="5"/>
  <c r="A443" i="5"/>
  <c r="J442" i="5" a="1"/>
  <c r="J442" i="5" s="1"/>
  <c r="A446" i="7"/>
  <c r="J445" i="7" a="1"/>
  <c r="J445" i="7" s="1"/>
  <c r="I445" i="7"/>
  <c r="A452" i="8"/>
  <c r="J451" i="8" a="1"/>
  <c r="J451" i="8" s="1"/>
  <c r="I451" i="8"/>
  <c r="J452" i="8" l="1" a="1"/>
  <c r="J452" i="8" s="1"/>
  <c r="I452" i="8"/>
  <c r="A453" i="8"/>
  <c r="I446" i="7"/>
  <c r="A447" i="7"/>
  <c r="J446" i="7" a="1"/>
  <c r="J446" i="7" s="1"/>
  <c r="J443" i="5" a="1"/>
  <c r="J443" i="5" s="1"/>
  <c r="A444" i="5"/>
  <c r="I443" i="5"/>
  <c r="I483" i="6"/>
  <c r="J483" i="6" a="1"/>
  <c r="J483" i="6" s="1"/>
  <c r="A484" i="6"/>
  <c r="J454" i="9" a="1"/>
  <c r="J454" i="9" s="1"/>
  <c r="I454" i="9"/>
  <c r="A455" i="9"/>
  <c r="A460" i="3"/>
  <c r="J459" i="3" a="1"/>
  <c r="J459" i="3" s="1"/>
  <c r="I459" i="3"/>
  <c r="A461" i="3" l="1"/>
  <c r="J460" i="3" a="1"/>
  <c r="J460" i="3" s="1"/>
  <c r="I460" i="3"/>
  <c r="I455" i="9"/>
  <c r="A456" i="9"/>
  <c r="J455" i="9" a="1"/>
  <c r="J455" i="9" s="1"/>
  <c r="A485" i="6"/>
  <c r="I484" i="6"/>
  <c r="J484" i="6" a="1"/>
  <c r="J484" i="6" s="1"/>
  <c r="A445" i="5"/>
  <c r="J444" i="5" a="1"/>
  <c r="J444" i="5" s="1"/>
  <c r="I444" i="5"/>
  <c r="A448" i="7"/>
  <c r="I447" i="7"/>
  <c r="J447" i="7" a="1"/>
  <c r="J447" i="7" s="1"/>
  <c r="J453" i="8" a="1"/>
  <c r="J453" i="8" s="1"/>
  <c r="I453" i="8"/>
  <c r="A454" i="8"/>
  <c r="A455" i="8" l="1"/>
  <c r="J454" i="8" a="1"/>
  <c r="J454" i="8" s="1"/>
  <c r="I454" i="8"/>
  <c r="I448" i="7"/>
  <c r="A449" i="7"/>
  <c r="J448" i="7" a="1"/>
  <c r="J448" i="7" s="1"/>
  <c r="A446" i="5"/>
  <c r="I445" i="5"/>
  <c r="J445" i="5" a="1"/>
  <c r="J445" i="5" s="1"/>
  <c r="A486" i="6"/>
  <c r="J485" i="6" a="1"/>
  <c r="J485" i="6" s="1"/>
  <c r="I485" i="6"/>
  <c r="J456" i="9" a="1"/>
  <c r="J456" i="9" s="1"/>
  <c r="I456" i="9"/>
  <c r="A457" i="9"/>
  <c r="J461" i="3" a="1"/>
  <c r="J461" i="3" s="1"/>
  <c r="I461" i="3"/>
  <c r="A462" i="3"/>
  <c r="A463" i="3" l="1"/>
  <c r="J462" i="3" a="1"/>
  <c r="J462" i="3" s="1"/>
  <c r="I462" i="3"/>
  <c r="A458" i="9"/>
  <c r="J457" i="9" a="1"/>
  <c r="J457" i="9" s="1"/>
  <c r="I457" i="9"/>
  <c r="J486" i="6" a="1"/>
  <c r="J486" i="6" s="1"/>
  <c r="A487" i="6"/>
  <c r="I486" i="6"/>
  <c r="A447" i="5"/>
  <c r="J446" i="5" a="1"/>
  <c r="J446" i="5" s="1"/>
  <c r="I446" i="5"/>
  <c r="A450" i="7"/>
  <c r="J449" i="7" a="1"/>
  <c r="J449" i="7" s="1"/>
  <c r="I449" i="7"/>
  <c r="J455" i="8" a="1"/>
  <c r="J455" i="8" s="1"/>
  <c r="I455" i="8"/>
  <c r="A456" i="8"/>
  <c r="J456" i="8" l="1" a="1"/>
  <c r="J456" i="8" s="1"/>
  <c r="I456" i="8"/>
  <c r="A457" i="8"/>
  <c r="J450" i="7" a="1"/>
  <c r="J450" i="7" s="1"/>
  <c r="I450" i="7"/>
  <c r="A451" i="7"/>
  <c r="A448" i="5"/>
  <c r="J447" i="5" a="1"/>
  <c r="J447" i="5" s="1"/>
  <c r="I447" i="5"/>
  <c r="J487" i="6" a="1"/>
  <c r="J487" i="6" s="1"/>
  <c r="A488" i="6"/>
  <c r="I487" i="6"/>
  <c r="J458" i="9" a="1"/>
  <c r="J458" i="9" s="1"/>
  <c r="A459" i="9"/>
  <c r="I458" i="9"/>
  <c r="A464" i="3"/>
  <c r="J463" i="3" a="1"/>
  <c r="J463" i="3" s="1"/>
  <c r="I463" i="3"/>
  <c r="J464" i="3" l="1" a="1"/>
  <c r="J464" i="3" s="1"/>
  <c r="A465" i="3"/>
  <c r="I464" i="3"/>
  <c r="J459" i="9" a="1"/>
  <c r="J459" i="9" s="1"/>
  <c r="A460" i="9"/>
  <c r="I459" i="9"/>
  <c r="A489" i="6"/>
  <c r="I488" i="6"/>
  <c r="J488" i="6" a="1"/>
  <c r="J488" i="6" s="1"/>
  <c r="A449" i="5"/>
  <c r="J448" i="5" a="1"/>
  <c r="J448" i="5" s="1"/>
  <c r="I448" i="5"/>
  <c r="A452" i="7"/>
  <c r="J451" i="7" a="1"/>
  <c r="J451" i="7" s="1"/>
  <c r="I451" i="7"/>
  <c r="A458" i="8"/>
  <c r="J457" i="8" a="1"/>
  <c r="J457" i="8" s="1"/>
  <c r="I457" i="8"/>
  <c r="J458" i="8" l="1" a="1"/>
  <c r="J458" i="8" s="1"/>
  <c r="I458" i="8"/>
  <c r="A459" i="8"/>
  <c r="A453" i="7"/>
  <c r="J452" i="7" a="1"/>
  <c r="J452" i="7" s="1"/>
  <c r="I452" i="7"/>
  <c r="A450" i="5"/>
  <c r="J449" i="5" a="1"/>
  <c r="J449" i="5" s="1"/>
  <c r="I449" i="5"/>
  <c r="I489" i="6"/>
  <c r="A490" i="6"/>
  <c r="J489" i="6" a="1"/>
  <c r="J489" i="6" s="1"/>
  <c r="I460" i="9"/>
  <c r="A461" i="9"/>
  <c r="J460" i="9" a="1"/>
  <c r="J460" i="9" s="1"/>
  <c r="A466" i="3"/>
  <c r="I465" i="3"/>
  <c r="J465" i="3" a="1"/>
  <c r="J465" i="3" s="1"/>
  <c r="A467" i="3" l="1"/>
  <c r="J466" i="3" a="1"/>
  <c r="J466" i="3" s="1"/>
  <c r="I466" i="3"/>
  <c r="J461" i="9" a="1"/>
  <c r="J461" i="9" s="1"/>
  <c r="A462" i="9"/>
  <c r="I461" i="9"/>
  <c r="J490" i="6" a="1"/>
  <c r="J490" i="6" s="1"/>
  <c r="A491" i="6"/>
  <c r="I490" i="6"/>
  <c r="J450" i="5" a="1"/>
  <c r="J450" i="5" s="1"/>
  <c r="A451" i="5"/>
  <c r="I450" i="5"/>
  <c r="J453" i="7" a="1"/>
  <c r="J453" i="7" s="1"/>
  <c r="I453" i="7"/>
  <c r="A454" i="7"/>
  <c r="J459" i="8" a="1"/>
  <c r="J459" i="8" s="1"/>
  <c r="A460" i="8"/>
  <c r="I459" i="8"/>
  <c r="J460" i="8" l="1" a="1"/>
  <c r="J460" i="8" s="1"/>
  <c r="A461" i="8"/>
  <c r="I460" i="8"/>
  <c r="J454" i="7" a="1"/>
  <c r="J454" i="7" s="1"/>
  <c r="I454" i="7"/>
  <c r="A455" i="7"/>
  <c r="A452" i="5"/>
  <c r="J451" i="5" a="1"/>
  <c r="J451" i="5" s="1"/>
  <c r="I451" i="5"/>
  <c r="A492" i="6"/>
  <c r="I491" i="6"/>
  <c r="J491" i="6" a="1"/>
  <c r="J491" i="6" s="1"/>
  <c r="J462" i="9" a="1"/>
  <c r="J462" i="9" s="1"/>
  <c r="I462" i="9"/>
  <c r="A463" i="9"/>
  <c r="A468" i="3"/>
  <c r="I467" i="3"/>
  <c r="J467" i="3" a="1"/>
  <c r="J467" i="3" s="1"/>
  <c r="J468" i="3" l="1" a="1"/>
  <c r="J468" i="3" s="1"/>
  <c r="I468" i="3"/>
  <c r="A469" i="3"/>
  <c r="A464" i="9"/>
  <c r="J463" i="9" a="1"/>
  <c r="J463" i="9" s="1"/>
  <c r="I463" i="9"/>
  <c r="J492" i="6" a="1"/>
  <c r="J492" i="6" s="1"/>
  <c r="A493" i="6"/>
  <c r="I492" i="6"/>
  <c r="J452" i="5" a="1"/>
  <c r="J452" i="5" s="1"/>
  <c r="I452" i="5"/>
  <c r="A453" i="5"/>
  <c r="I455" i="7"/>
  <c r="A456" i="7"/>
  <c r="J455" i="7" a="1"/>
  <c r="J455" i="7" s="1"/>
  <c r="A462" i="8"/>
  <c r="I461" i="8"/>
  <c r="J461" i="8" a="1"/>
  <c r="J461" i="8" s="1"/>
  <c r="A463" i="8" l="1"/>
  <c r="I462" i="8"/>
  <c r="J462" i="8" a="1"/>
  <c r="J462" i="8" s="1"/>
  <c r="A457" i="7"/>
  <c r="I456" i="7"/>
  <c r="J456" i="7" a="1"/>
  <c r="J456" i="7" s="1"/>
  <c r="A454" i="5"/>
  <c r="J453" i="5" a="1"/>
  <c r="J453" i="5" s="1"/>
  <c r="I453" i="5"/>
  <c r="A494" i="6"/>
  <c r="J493" i="6" a="1"/>
  <c r="J493" i="6" s="1"/>
  <c r="I493" i="6"/>
  <c r="A465" i="9"/>
  <c r="I464" i="9"/>
  <c r="J464" i="9" a="1"/>
  <c r="J464" i="9" s="1"/>
  <c r="A470" i="3"/>
  <c r="J469" i="3" a="1"/>
  <c r="J469" i="3" s="1"/>
  <c r="I469" i="3"/>
  <c r="J470" i="3" l="1" a="1"/>
  <c r="J470" i="3" s="1"/>
  <c r="A471" i="3"/>
  <c r="I470" i="3"/>
  <c r="A466" i="9"/>
  <c r="J465" i="9" a="1"/>
  <c r="J465" i="9" s="1"/>
  <c r="I465" i="9"/>
  <c r="J494" i="6" a="1"/>
  <c r="J494" i="6" s="1"/>
  <c r="A495" i="6"/>
  <c r="I494" i="6"/>
  <c r="A455" i="5"/>
  <c r="J454" i="5" a="1"/>
  <c r="J454" i="5" s="1"/>
  <c r="I454" i="5"/>
  <c r="A458" i="7"/>
  <c r="I457" i="7"/>
  <c r="J457" i="7" a="1"/>
  <c r="J457" i="7" s="1"/>
  <c r="A464" i="8"/>
  <c r="J463" i="8" a="1"/>
  <c r="J463" i="8" s="1"/>
  <c r="I463" i="8"/>
  <c r="J464" i="8" l="1" a="1"/>
  <c r="J464" i="8" s="1"/>
  <c r="A465" i="8"/>
  <c r="I464" i="8"/>
  <c r="I458" i="7"/>
  <c r="J458" i="7" a="1"/>
  <c r="J458" i="7" s="1"/>
  <c r="A459" i="7"/>
  <c r="A456" i="5"/>
  <c r="I455" i="5"/>
  <c r="J455" i="5" a="1"/>
  <c r="J455" i="5" s="1"/>
  <c r="I495" i="6"/>
  <c r="A496" i="6"/>
  <c r="J495" i="6" a="1"/>
  <c r="J495" i="6" s="1"/>
  <c r="A467" i="9"/>
  <c r="J466" i="9" a="1"/>
  <c r="J466" i="9" s="1"/>
  <c r="I466" i="9"/>
  <c r="A472" i="3"/>
  <c r="J471" i="3" a="1"/>
  <c r="J471" i="3" s="1"/>
  <c r="I471" i="3"/>
  <c r="A473" i="3" l="1"/>
  <c r="J472" i="3" a="1"/>
  <c r="J472" i="3" s="1"/>
  <c r="I472" i="3"/>
  <c r="A468" i="9"/>
  <c r="J467" i="9" a="1"/>
  <c r="J467" i="9" s="1"/>
  <c r="I467" i="9"/>
  <c r="A497" i="6"/>
  <c r="J496" i="6" a="1"/>
  <c r="J496" i="6" s="1"/>
  <c r="I496" i="6"/>
  <c r="I456" i="5"/>
  <c r="A457" i="5"/>
  <c r="J456" i="5" a="1"/>
  <c r="J456" i="5" s="1"/>
  <c r="I459" i="7"/>
  <c r="A460" i="7"/>
  <c r="J459" i="7" a="1"/>
  <c r="J459" i="7" s="1"/>
  <c r="J465" i="8" a="1"/>
  <c r="J465" i="8" s="1"/>
  <c r="I465" i="8"/>
  <c r="A466" i="8"/>
  <c r="A467" i="8" l="1"/>
  <c r="J466" i="8" a="1"/>
  <c r="J466" i="8" s="1"/>
  <c r="I466" i="8"/>
  <c r="A461" i="7"/>
  <c r="J460" i="7" a="1"/>
  <c r="J460" i="7" s="1"/>
  <c r="I460" i="7"/>
  <c r="J457" i="5" a="1"/>
  <c r="J457" i="5" s="1"/>
  <c r="A458" i="5"/>
  <c r="I457" i="5"/>
  <c r="J497" i="6" a="1"/>
  <c r="J497" i="6" s="1"/>
  <c r="A498" i="6"/>
  <c r="I497" i="6"/>
  <c r="J468" i="9" a="1"/>
  <c r="J468" i="9" s="1"/>
  <c r="I468" i="9"/>
  <c r="A469" i="9"/>
  <c r="A474" i="3"/>
  <c r="J473" i="3" a="1"/>
  <c r="J473" i="3" s="1"/>
  <c r="I473" i="3"/>
  <c r="A475" i="3" l="1"/>
  <c r="I474" i="3"/>
  <c r="J474" i="3" a="1"/>
  <c r="J474" i="3" s="1"/>
  <c r="A470" i="9"/>
  <c r="J469" i="9" a="1"/>
  <c r="J469" i="9" s="1"/>
  <c r="I469" i="9"/>
  <c r="I498" i="6"/>
  <c r="A499" i="6"/>
  <c r="J498" i="6" a="1"/>
  <c r="J498" i="6" s="1"/>
  <c r="A459" i="5"/>
  <c r="J458" i="5" a="1"/>
  <c r="J458" i="5" s="1"/>
  <c r="I458" i="5"/>
  <c r="I461" i="7"/>
  <c r="A462" i="7"/>
  <c r="J461" i="7" a="1"/>
  <c r="J461" i="7" s="1"/>
  <c r="A468" i="8"/>
  <c r="I467" i="8"/>
  <c r="J467" i="8" a="1"/>
  <c r="J467" i="8" s="1"/>
  <c r="I468" i="8" l="1"/>
  <c r="J468" i="8" a="1"/>
  <c r="J468" i="8" s="1"/>
  <c r="A469" i="8"/>
  <c r="J462" i="7" a="1"/>
  <c r="J462" i="7" s="1"/>
  <c r="A463" i="7"/>
  <c r="I462" i="7"/>
  <c r="A460" i="5"/>
  <c r="J459" i="5" a="1"/>
  <c r="J459" i="5" s="1"/>
  <c r="I459" i="5"/>
  <c r="A500" i="6"/>
  <c r="I499" i="6"/>
  <c r="J499" i="6" a="1"/>
  <c r="J499" i="6" s="1"/>
  <c r="I470" i="9"/>
  <c r="A471" i="9"/>
  <c r="J470" i="9" a="1"/>
  <c r="J470" i="9" s="1"/>
  <c r="I475" i="3"/>
  <c r="A476" i="3"/>
  <c r="J475" i="3" a="1"/>
  <c r="J475" i="3" s="1"/>
  <c r="J476" i="3" l="1" a="1"/>
  <c r="J476" i="3" s="1"/>
  <c r="A477" i="3"/>
  <c r="I476" i="3"/>
  <c r="J471" i="9" a="1"/>
  <c r="J471" i="9" s="1"/>
  <c r="I471" i="9"/>
  <c r="A472" i="9"/>
  <c r="I500" i="6"/>
  <c r="J500" i="6" a="1"/>
  <c r="J500" i="6" s="1"/>
  <c r="A501" i="6"/>
  <c r="A461" i="5"/>
  <c r="I460" i="5"/>
  <c r="J460" i="5" a="1"/>
  <c r="J460" i="5" s="1"/>
  <c r="A464" i="7"/>
  <c r="I463" i="7"/>
  <c r="J463" i="7" a="1"/>
  <c r="J463" i="7" s="1"/>
  <c r="A470" i="8"/>
  <c r="J469" i="8" a="1"/>
  <c r="J469" i="8" s="1"/>
  <c r="I469" i="8"/>
  <c r="A471" i="8" l="1"/>
  <c r="I470" i="8"/>
  <c r="J470" i="8" a="1"/>
  <c r="J470" i="8" s="1"/>
  <c r="J464" i="7" a="1"/>
  <c r="J464" i="7" s="1"/>
  <c r="A465" i="7"/>
  <c r="I464" i="7"/>
  <c r="J461" i="5" a="1"/>
  <c r="J461" i="5" s="1"/>
  <c r="A462" i="5"/>
  <c r="I461" i="5"/>
  <c r="I501" i="6"/>
  <c r="J501" i="6" a="1"/>
  <c r="J501" i="6" s="1"/>
  <c r="A502" i="6"/>
  <c r="A473" i="9"/>
  <c r="I472" i="9"/>
  <c r="J472" i="9" a="1"/>
  <c r="J472" i="9" s="1"/>
  <c r="I477" i="3"/>
  <c r="A478" i="3"/>
  <c r="J477" i="3" a="1"/>
  <c r="J477" i="3" s="1"/>
  <c r="J478" i="3" l="1" a="1"/>
  <c r="J478" i="3" s="1"/>
  <c r="I478" i="3"/>
  <c r="A479" i="3"/>
  <c r="A474" i="9"/>
  <c r="J473" i="9" a="1"/>
  <c r="J473" i="9" s="1"/>
  <c r="I473" i="9"/>
  <c r="A503" i="6"/>
  <c r="J502" i="6" a="1"/>
  <c r="J502" i="6" s="1"/>
  <c r="I502" i="6"/>
  <c r="J462" i="5" a="1"/>
  <c r="J462" i="5" s="1"/>
  <c r="I462" i="5"/>
  <c r="A463" i="5"/>
  <c r="A466" i="7"/>
  <c r="I465" i="7"/>
  <c r="J465" i="7" a="1"/>
  <c r="J465" i="7" s="1"/>
  <c r="A472" i="8"/>
  <c r="J471" i="8" a="1"/>
  <c r="J471" i="8" s="1"/>
  <c r="I471" i="8"/>
  <c r="A473" i="8" l="1"/>
  <c r="J472" i="8" a="1"/>
  <c r="J472" i="8" s="1"/>
  <c r="I472" i="8"/>
  <c r="A467" i="7"/>
  <c r="J466" i="7" a="1"/>
  <c r="J466" i="7" s="1"/>
  <c r="I466" i="7"/>
  <c r="A464" i="5"/>
  <c r="I463" i="5"/>
  <c r="J463" i="5" a="1"/>
  <c r="J463" i="5" s="1"/>
  <c r="A504" i="6"/>
  <c r="J503" i="6" a="1"/>
  <c r="J503" i="6" s="1"/>
  <c r="I503" i="6"/>
  <c r="A475" i="9"/>
  <c r="J474" i="9" a="1"/>
  <c r="J474" i="9" s="1"/>
  <c r="I474" i="9"/>
  <c r="A480" i="3"/>
  <c r="J479" i="3" a="1"/>
  <c r="J479" i="3" s="1"/>
  <c r="I479" i="3"/>
  <c r="I480" i="3" l="1"/>
  <c r="A481" i="3"/>
  <c r="J480" i="3" a="1"/>
  <c r="J480" i="3" s="1"/>
  <c r="I475" i="9"/>
  <c r="J475" i="9" a="1"/>
  <c r="J475" i="9" s="1"/>
  <c r="A476" i="9"/>
  <c r="J504" i="6" a="1"/>
  <c r="J504" i="6" s="1"/>
  <c r="A505" i="6"/>
  <c r="I504" i="6"/>
  <c r="A465" i="5"/>
  <c r="J464" i="5" a="1"/>
  <c r="J464" i="5" s="1"/>
  <c r="I464" i="5"/>
  <c r="A468" i="7"/>
  <c r="I467" i="7"/>
  <c r="J467" i="7" a="1"/>
  <c r="J467" i="7" s="1"/>
  <c r="A474" i="8"/>
  <c r="J473" i="8" a="1"/>
  <c r="J473" i="8" s="1"/>
  <c r="I473" i="8"/>
  <c r="J474" i="8" l="1" a="1"/>
  <c r="J474" i="8" s="1"/>
  <c r="I474" i="8"/>
  <c r="A475" i="8"/>
  <c r="A469" i="7"/>
  <c r="I468" i="7"/>
  <c r="J468" i="7" a="1"/>
  <c r="J468" i="7" s="1"/>
  <c r="A466" i="5"/>
  <c r="I465" i="5"/>
  <c r="J465" i="5" a="1"/>
  <c r="J465" i="5" s="1"/>
  <c r="A506" i="6"/>
  <c r="J505" i="6" a="1"/>
  <c r="J505" i="6" s="1"/>
  <c r="I505" i="6"/>
  <c r="J476" i="9" a="1"/>
  <c r="J476" i="9" s="1"/>
  <c r="A477" i="9"/>
  <c r="I476" i="9"/>
  <c r="A482" i="3"/>
  <c r="J481" i="3" a="1"/>
  <c r="J481" i="3" s="1"/>
  <c r="I481" i="3"/>
  <c r="J482" i="3" l="1" a="1"/>
  <c r="J482" i="3" s="1"/>
  <c r="A483" i="3"/>
  <c r="I482" i="3"/>
  <c r="A478" i="9"/>
  <c r="J477" i="9" a="1"/>
  <c r="J477" i="9" s="1"/>
  <c r="I477" i="9"/>
  <c r="A507" i="6"/>
  <c r="J506" i="6" a="1"/>
  <c r="J506" i="6" s="1"/>
  <c r="I506" i="6"/>
  <c r="J466" i="5" a="1"/>
  <c r="J466" i="5" s="1"/>
  <c r="I466" i="5"/>
  <c r="A467" i="5"/>
  <c r="A470" i="7"/>
  <c r="J469" i="7" a="1"/>
  <c r="J469" i="7" s="1"/>
  <c r="I469" i="7"/>
  <c r="J475" i="8" a="1"/>
  <c r="J475" i="8" s="1"/>
  <c r="A476" i="8"/>
  <c r="I475" i="8"/>
  <c r="A477" i="8" l="1"/>
  <c r="J476" i="8" a="1"/>
  <c r="J476" i="8" s="1"/>
  <c r="I476" i="8"/>
  <c r="A471" i="7"/>
  <c r="I470" i="7"/>
  <c r="J470" i="7" a="1"/>
  <c r="J470" i="7" s="1"/>
  <c r="I467" i="5"/>
  <c r="A468" i="5"/>
  <c r="J467" i="5" a="1"/>
  <c r="J467" i="5" s="1"/>
  <c r="I507" i="6"/>
  <c r="J507" i="6" a="1"/>
  <c r="J507" i="6" s="1"/>
  <c r="A508" i="6"/>
  <c r="A479" i="9"/>
  <c r="I478" i="9"/>
  <c r="J478" i="9" a="1"/>
  <c r="J478" i="9" s="1"/>
  <c r="J483" i="3" a="1"/>
  <c r="J483" i="3" s="1"/>
  <c r="A484" i="3"/>
  <c r="I483" i="3"/>
  <c r="A485" i="3" l="1"/>
  <c r="I484" i="3"/>
  <c r="J484" i="3" a="1"/>
  <c r="J484" i="3" s="1"/>
  <c r="A480" i="9"/>
  <c r="I479" i="9"/>
  <c r="J479" i="9" a="1"/>
  <c r="J479" i="9" s="1"/>
  <c r="J508" i="6" a="1"/>
  <c r="J508" i="6" s="1"/>
  <c r="A509" i="6"/>
  <c r="I508" i="6"/>
  <c r="J468" i="5" a="1"/>
  <c r="J468" i="5" s="1"/>
  <c r="A469" i="5"/>
  <c r="I468" i="5"/>
  <c r="A472" i="7"/>
  <c r="I471" i="7"/>
  <c r="J471" i="7" a="1"/>
  <c r="J471" i="7" s="1"/>
  <c r="I477" i="8"/>
  <c r="A478" i="8"/>
  <c r="J477" i="8" a="1"/>
  <c r="J477" i="8" s="1"/>
  <c r="I478" i="8" l="1"/>
  <c r="A479" i="8"/>
  <c r="J478" i="8" a="1"/>
  <c r="J478" i="8" s="1"/>
  <c r="A473" i="7"/>
  <c r="J472" i="7" a="1"/>
  <c r="J472" i="7" s="1"/>
  <c r="I472" i="7"/>
  <c r="A470" i="5"/>
  <c r="J469" i="5" a="1"/>
  <c r="J469" i="5" s="1"/>
  <c r="I469" i="5"/>
  <c r="J509" i="6" a="1"/>
  <c r="J509" i="6" s="1"/>
  <c r="I509" i="6"/>
  <c r="A510" i="6"/>
  <c r="A481" i="9"/>
  <c r="J480" i="9" a="1"/>
  <c r="J480" i="9" s="1"/>
  <c r="I480" i="9"/>
  <c r="A486" i="3"/>
  <c r="J485" i="3" a="1"/>
  <c r="J485" i="3" s="1"/>
  <c r="I485" i="3"/>
  <c r="J486" i="3" l="1" a="1"/>
  <c r="J486" i="3" s="1"/>
  <c r="A487" i="3"/>
  <c r="I486" i="3"/>
  <c r="J481" i="9" a="1"/>
  <c r="J481" i="9" s="1"/>
  <c r="A482" i="9"/>
  <c r="I481" i="9"/>
  <c r="A511" i="6"/>
  <c r="I510" i="6"/>
  <c r="J510" i="6" a="1"/>
  <c r="J510" i="6" s="1"/>
  <c r="A471" i="5"/>
  <c r="I470" i="5"/>
  <c r="J470" i="5" a="1"/>
  <c r="J470" i="5" s="1"/>
  <c r="A474" i="7"/>
  <c r="J473" i="7" a="1"/>
  <c r="J473" i="7" s="1"/>
  <c r="I473" i="7"/>
  <c r="I479" i="8"/>
  <c r="A480" i="8"/>
  <c r="J479" i="8" a="1"/>
  <c r="J479" i="8" s="1"/>
  <c r="J480" i="8" l="1" a="1"/>
  <c r="J480" i="8" s="1"/>
  <c r="A481" i="8"/>
  <c r="I480" i="8"/>
  <c r="A475" i="7"/>
  <c r="J474" i="7" a="1"/>
  <c r="J474" i="7" s="1"/>
  <c r="I474" i="7"/>
  <c r="A472" i="5"/>
  <c r="J471" i="5" a="1"/>
  <c r="J471" i="5" s="1"/>
  <c r="I471" i="5"/>
  <c r="A512" i="6"/>
  <c r="J511" i="6" a="1"/>
  <c r="J511" i="6" s="1"/>
  <c r="I511" i="6"/>
  <c r="A483" i="9"/>
  <c r="J482" i="9" a="1"/>
  <c r="J482" i="9" s="1"/>
  <c r="I482" i="9"/>
  <c r="J487" i="3" a="1"/>
  <c r="J487" i="3" s="1"/>
  <c r="I487" i="3"/>
  <c r="A488" i="3"/>
  <c r="J488" i="3" l="1" a="1"/>
  <c r="J488" i="3" s="1"/>
  <c r="A489" i="3"/>
  <c r="I488" i="3"/>
  <c r="A484" i="9"/>
  <c r="J483" i="9" a="1"/>
  <c r="J483" i="9" s="1"/>
  <c r="I483" i="9"/>
  <c r="AH112" i="10"/>
  <c r="AH76" i="10"/>
  <c r="AK58" i="10"/>
  <c r="AJ46" i="10"/>
  <c r="AJ28" i="10"/>
  <c r="AG112" i="10"/>
  <c r="AG76" i="10"/>
  <c r="AJ58" i="10"/>
  <c r="AI46" i="10"/>
  <c r="AI28" i="10"/>
  <c r="AE16" i="10"/>
  <c r="AF112" i="10"/>
  <c r="AF76" i="10"/>
  <c r="AI58" i="10"/>
  <c r="AH46" i="10"/>
  <c r="AH28" i="10"/>
  <c r="AE112" i="10"/>
  <c r="AE76" i="10"/>
  <c r="AH58" i="10"/>
  <c r="AG46" i="10"/>
  <c r="AK70" i="10"/>
  <c r="AG58" i="10"/>
  <c r="AF46" i="10"/>
  <c r="AK106" i="10"/>
  <c r="AJ70" i="10"/>
  <c r="AF58" i="10"/>
  <c r="AE46" i="10"/>
  <c r="AE28" i="10"/>
  <c r="AJ106" i="10"/>
  <c r="AI70" i="10"/>
  <c r="AE58" i="10"/>
  <c r="AI106" i="10"/>
  <c r="AH70" i="10"/>
  <c r="AH106" i="10"/>
  <c r="AG70" i="10"/>
  <c r="AG106" i="10"/>
  <c r="AK88" i="10"/>
  <c r="AF70" i="10"/>
  <c r="AK22" i="10"/>
  <c r="AF106" i="10"/>
  <c r="AK100" i="10"/>
  <c r="AJ88" i="10"/>
  <c r="AE70" i="10"/>
  <c r="AK52" i="10"/>
  <c r="AK40" i="10"/>
  <c r="AJ22" i="10"/>
  <c r="AE10" i="10"/>
  <c r="AE106" i="10"/>
  <c r="AJ100" i="10"/>
  <c r="AI88" i="10"/>
  <c r="AJ52" i="10"/>
  <c r="AJ40" i="10"/>
  <c r="AI22" i="10"/>
  <c r="AI100" i="10"/>
  <c r="AH88" i="10"/>
  <c r="AI52" i="10"/>
  <c r="AI40" i="10"/>
  <c r="AK118" i="10"/>
  <c r="AH100" i="10"/>
  <c r="AG88" i="10"/>
  <c r="AH52" i="10"/>
  <c r="AH40" i="10"/>
  <c r="AJ118" i="10"/>
  <c r="AG100" i="10"/>
  <c r="AF88" i="10"/>
  <c r="AG52" i="10"/>
  <c r="AG40" i="10"/>
  <c r="AF22" i="10"/>
  <c r="AI118" i="10"/>
  <c r="AF100" i="10"/>
  <c r="AE88" i="10"/>
  <c r="AF52" i="10"/>
  <c r="AF40" i="10"/>
  <c r="AK34" i="10"/>
  <c r="AE22" i="10"/>
  <c r="AI4" i="10"/>
  <c r="AH118" i="10"/>
  <c r="AE100" i="10"/>
  <c r="AE52" i="10"/>
  <c r="AE40" i="10"/>
  <c r="AG118" i="10"/>
  <c r="AK94" i="10"/>
  <c r="AK82" i="10"/>
  <c r="AK64" i="10"/>
  <c r="AI34" i="10"/>
  <c r="AF118" i="10"/>
  <c r="AJ94" i="10"/>
  <c r="AJ82" i="10"/>
  <c r="AJ64" i="10"/>
  <c r="AH34" i="10"/>
  <c r="AE118" i="10"/>
  <c r="AI94" i="10"/>
  <c r="AI82" i="10"/>
  <c r="AI64" i="10"/>
  <c r="AG34" i="10"/>
  <c r="AH94" i="10"/>
  <c r="AH82" i="10"/>
  <c r="AH64" i="10"/>
  <c r="AK112" i="10"/>
  <c r="AG94" i="10"/>
  <c r="AG82" i="10"/>
  <c r="AK76" i="10"/>
  <c r="AG64" i="10"/>
  <c r="AJ112" i="10"/>
  <c r="AF94" i="10"/>
  <c r="AF82" i="10"/>
  <c r="AJ76" i="10"/>
  <c r="AF64" i="10"/>
  <c r="AI112" i="10"/>
  <c r="AE94" i="10"/>
  <c r="AE82" i="10"/>
  <c r="AI76" i="10"/>
  <c r="AE64" i="10"/>
  <c r="AK46" i="10"/>
  <c r="AG28" i="10"/>
  <c r="AE34" i="10"/>
  <c r="AH16" i="10"/>
  <c r="AF16" i="10"/>
  <c r="AG16" i="10"/>
  <c r="AJ34" i="10"/>
  <c r="AH22" i="10"/>
  <c r="AI10" i="10"/>
  <c r="AF34" i="10"/>
  <c r="AG22" i="10"/>
  <c r="AH10" i="10"/>
  <c r="AG10" i="10"/>
  <c r="AK28" i="10"/>
  <c r="AF28" i="10"/>
  <c r="AK16" i="10"/>
  <c r="AI16" i="10"/>
  <c r="AJ16" i="10"/>
  <c r="AJ10" i="10"/>
  <c r="AH4" i="10"/>
  <c r="AK4" i="10"/>
  <c r="AJ4" i="10"/>
  <c r="AG4" i="10"/>
  <c r="AF4" i="10"/>
  <c r="AE4" i="10"/>
  <c r="AK10" i="10"/>
  <c r="AF10" i="10"/>
  <c r="A513" i="6"/>
  <c r="J512" i="6" a="1"/>
  <c r="J512" i="6" s="1"/>
  <c r="I512" i="6"/>
  <c r="J472" i="5" a="1"/>
  <c r="J472" i="5" s="1"/>
  <c r="I472" i="5"/>
  <c r="A473" i="5"/>
  <c r="A476" i="7"/>
  <c r="J475" i="7" a="1"/>
  <c r="J475" i="7" s="1"/>
  <c r="I475" i="7"/>
  <c r="A482" i="8"/>
  <c r="J481" i="8" a="1"/>
  <c r="J481" i="8" s="1"/>
  <c r="I481" i="8"/>
  <c r="A483" i="8" l="1"/>
  <c r="J482" i="8" a="1"/>
  <c r="J482" i="8" s="1"/>
  <c r="I482" i="8"/>
  <c r="A477" i="7"/>
  <c r="I476" i="7"/>
  <c r="J476" i="7" a="1"/>
  <c r="J476" i="7" s="1"/>
  <c r="A474" i="5"/>
  <c r="J473" i="5" a="1"/>
  <c r="J473" i="5" s="1"/>
  <c r="I473" i="5"/>
  <c r="I513" i="6"/>
  <c r="J513" i="6" a="1"/>
  <c r="J513" i="6" s="1"/>
  <c r="A514" i="6"/>
  <c r="A485" i="9"/>
  <c r="J484" i="9" a="1"/>
  <c r="J484" i="9" s="1"/>
  <c r="I484" i="9"/>
  <c r="A490" i="3"/>
  <c r="I489" i="3"/>
  <c r="J489" i="3" a="1"/>
  <c r="J489" i="3" s="1"/>
  <c r="A491" i="3" l="1"/>
  <c r="J490" i="3" a="1"/>
  <c r="J490" i="3" s="1"/>
  <c r="I490" i="3"/>
  <c r="A486" i="9"/>
  <c r="I485" i="9"/>
  <c r="J485" i="9" a="1"/>
  <c r="J485" i="9" s="1"/>
  <c r="J514" i="6" a="1"/>
  <c r="J514" i="6" s="1"/>
  <c r="I514" i="6"/>
  <c r="A515" i="6"/>
  <c r="A475" i="5"/>
  <c r="J474" i="5" a="1"/>
  <c r="J474" i="5" s="1"/>
  <c r="I474" i="5"/>
  <c r="A478" i="7"/>
  <c r="I477" i="7"/>
  <c r="J477" i="7" a="1"/>
  <c r="J477" i="7" s="1"/>
  <c r="J483" i="8" a="1"/>
  <c r="J483" i="8" s="1"/>
  <c r="I483" i="8"/>
  <c r="A484" i="8"/>
  <c r="J484" i="8" l="1" a="1"/>
  <c r="J484" i="8" s="1"/>
  <c r="I484" i="8"/>
  <c r="A485" i="8"/>
  <c r="A479" i="7"/>
  <c r="J478" i="7" a="1"/>
  <c r="J478" i="7" s="1"/>
  <c r="I478" i="7"/>
  <c r="J475" i="5" a="1"/>
  <c r="J475" i="5" s="1"/>
  <c r="A476" i="5"/>
  <c r="I475" i="5"/>
  <c r="A516" i="6"/>
  <c r="J515" i="6" a="1"/>
  <c r="J515" i="6" s="1"/>
  <c r="I515" i="6"/>
  <c r="I486" i="9"/>
  <c r="A487" i="9"/>
  <c r="J486" i="9" a="1"/>
  <c r="J486" i="9" s="1"/>
  <c r="A492" i="3"/>
  <c r="J491" i="3" a="1"/>
  <c r="J491" i="3" s="1"/>
  <c r="I491" i="3"/>
  <c r="A493" i="3" l="1"/>
  <c r="I492" i="3"/>
  <c r="J492" i="3" a="1"/>
  <c r="J492" i="3" s="1"/>
  <c r="J487" i="9" a="1"/>
  <c r="J487" i="9" s="1"/>
  <c r="A488" i="9"/>
  <c r="I487" i="9"/>
  <c r="A517" i="6"/>
  <c r="J516" i="6" a="1"/>
  <c r="J516" i="6" s="1"/>
  <c r="I516" i="6"/>
  <c r="A477" i="5"/>
  <c r="J476" i="5" a="1"/>
  <c r="J476" i="5" s="1"/>
  <c r="I476" i="5"/>
  <c r="A480" i="7"/>
  <c r="I479" i="7"/>
  <c r="J479" i="7" a="1"/>
  <c r="J479" i="7" s="1"/>
  <c r="J485" i="8" a="1"/>
  <c r="J485" i="8" s="1"/>
  <c r="I485" i="8"/>
  <c r="A486" i="8"/>
  <c r="A487" i="8" l="1"/>
  <c r="J486" i="8" a="1"/>
  <c r="J486" i="8" s="1"/>
  <c r="I486" i="8"/>
  <c r="I480" i="7"/>
  <c r="A481" i="7"/>
  <c r="J480" i="7" a="1"/>
  <c r="J480" i="7" s="1"/>
  <c r="A478" i="5"/>
  <c r="J477" i="5" a="1"/>
  <c r="J477" i="5" s="1"/>
  <c r="I477" i="5"/>
  <c r="J517" i="6" a="1"/>
  <c r="J517" i="6" s="1"/>
  <c r="A518" i="6"/>
  <c r="I517" i="6"/>
  <c r="I488" i="9"/>
  <c r="J488" i="9" a="1"/>
  <c r="J488" i="9" s="1"/>
  <c r="A489" i="9"/>
  <c r="A494" i="3"/>
  <c r="J493" i="3" a="1"/>
  <c r="J493" i="3" s="1"/>
  <c r="I493" i="3"/>
  <c r="J494" i="3" l="1" a="1"/>
  <c r="J494" i="3" s="1"/>
  <c r="I494" i="3"/>
  <c r="A495" i="3"/>
  <c r="A490" i="9"/>
  <c r="J489" i="9" a="1"/>
  <c r="J489" i="9" s="1"/>
  <c r="I489" i="9"/>
  <c r="J518" i="6" a="1"/>
  <c r="J518" i="6" s="1"/>
  <c r="A519" i="6"/>
  <c r="I518" i="6"/>
  <c r="A479" i="5"/>
  <c r="J478" i="5" a="1"/>
  <c r="J478" i="5" s="1"/>
  <c r="I478" i="5"/>
  <c r="A482" i="7"/>
  <c r="J481" i="7" a="1"/>
  <c r="J481" i="7" s="1"/>
  <c r="I481" i="7"/>
  <c r="A488" i="8"/>
  <c r="J487" i="8" a="1"/>
  <c r="J487" i="8" s="1"/>
  <c r="I487" i="8"/>
  <c r="I488" i="8" l="1"/>
  <c r="A489" i="8"/>
  <c r="J488" i="8" a="1"/>
  <c r="J488" i="8" s="1"/>
  <c r="I482" i="7"/>
  <c r="A483" i="7"/>
  <c r="J482" i="7" a="1"/>
  <c r="J482" i="7" s="1"/>
  <c r="A480" i="5"/>
  <c r="J479" i="5" a="1"/>
  <c r="J479" i="5" s="1"/>
  <c r="I479" i="5"/>
  <c r="I519" i="6"/>
  <c r="A520" i="6"/>
  <c r="J519" i="6" a="1"/>
  <c r="J519" i="6" s="1"/>
  <c r="A491" i="9"/>
  <c r="I490" i="9"/>
  <c r="J490" i="9" a="1"/>
  <c r="J490" i="9" s="1"/>
  <c r="A496" i="3"/>
  <c r="J495" i="3" a="1"/>
  <c r="J495" i="3" s="1"/>
  <c r="I495" i="3"/>
  <c r="A497" i="3" l="1"/>
  <c r="I496" i="3"/>
  <c r="J496" i="3" a="1"/>
  <c r="J496" i="3" s="1"/>
  <c r="A492" i="9"/>
  <c r="J491" i="9" a="1"/>
  <c r="J491" i="9" s="1"/>
  <c r="I491" i="9"/>
  <c r="J520" i="6" a="1"/>
  <c r="J520" i="6" s="1"/>
  <c r="I520" i="6"/>
  <c r="A521" i="6"/>
  <c r="A481" i="5"/>
  <c r="I480" i="5"/>
  <c r="J480" i="5" a="1"/>
  <c r="J480" i="5" s="1"/>
  <c r="I483" i="7"/>
  <c r="A484" i="7"/>
  <c r="J483" i="7" a="1"/>
  <c r="J483" i="7" s="1"/>
  <c r="J489" i="8" a="1"/>
  <c r="J489" i="8" s="1"/>
  <c r="I489" i="8"/>
  <c r="A490" i="8"/>
  <c r="A491" i="8" l="1"/>
  <c r="J490" i="8" a="1"/>
  <c r="J490" i="8" s="1"/>
  <c r="I490" i="8"/>
  <c r="J484" i="7" a="1"/>
  <c r="J484" i="7" s="1"/>
  <c r="I484" i="7"/>
  <c r="A485" i="7"/>
  <c r="I481" i="5"/>
  <c r="A482" i="5"/>
  <c r="J481" i="5" a="1"/>
  <c r="J481" i="5" s="1"/>
  <c r="A522" i="6"/>
  <c r="J521" i="6" a="1"/>
  <c r="J521" i="6" s="1"/>
  <c r="I521" i="6"/>
  <c r="A493" i="9"/>
  <c r="I492" i="9"/>
  <c r="J492" i="9" a="1"/>
  <c r="J492" i="9" s="1"/>
  <c r="J497" i="3" a="1"/>
  <c r="J497" i="3" s="1"/>
  <c r="I497" i="3"/>
  <c r="A498" i="3"/>
  <c r="A499" i="3" l="1"/>
  <c r="J498" i="3" a="1"/>
  <c r="J498" i="3" s="1"/>
  <c r="I498" i="3"/>
  <c r="A494" i="9"/>
  <c r="J493" i="9" a="1"/>
  <c r="J493" i="9" s="1"/>
  <c r="I493" i="9"/>
  <c r="J522" i="6" a="1"/>
  <c r="J522" i="6" s="1"/>
  <c r="I522" i="6"/>
  <c r="A523" i="6"/>
  <c r="J482" i="5" a="1"/>
  <c r="J482" i="5" s="1"/>
  <c r="A483" i="5"/>
  <c r="I482" i="5"/>
  <c r="I485" i="7"/>
  <c r="A486" i="7"/>
  <c r="J485" i="7" a="1"/>
  <c r="J485" i="7" s="1"/>
  <c r="I491" i="8"/>
  <c r="A492" i="8"/>
  <c r="J491" i="8" a="1"/>
  <c r="J491" i="8" s="1"/>
  <c r="A493" i="8" l="1"/>
  <c r="J492" i="8" a="1"/>
  <c r="J492" i="8" s="1"/>
  <c r="I492" i="8"/>
  <c r="A487" i="7"/>
  <c r="J486" i="7" a="1"/>
  <c r="J486" i="7" s="1"/>
  <c r="I486" i="7"/>
  <c r="A484" i="5"/>
  <c r="J483" i="5" a="1"/>
  <c r="J483" i="5" s="1"/>
  <c r="I483" i="5"/>
  <c r="A524" i="6"/>
  <c r="I523" i="6"/>
  <c r="J523" i="6" a="1"/>
  <c r="J523" i="6" s="1"/>
  <c r="J494" i="9" a="1"/>
  <c r="J494" i="9" s="1"/>
  <c r="I494" i="9"/>
  <c r="A495" i="9"/>
  <c r="A500" i="3"/>
  <c r="I499" i="3"/>
  <c r="J499" i="3" a="1"/>
  <c r="J499" i="3" s="1"/>
  <c r="J500" i="3" l="1" a="1"/>
  <c r="J500" i="3" s="1"/>
  <c r="A501" i="3"/>
  <c r="I500" i="3"/>
  <c r="I495" i="9"/>
  <c r="J495" i="9" a="1"/>
  <c r="J495" i="9" s="1"/>
  <c r="A496" i="9"/>
  <c r="A525" i="6"/>
  <c r="J524" i="6" a="1"/>
  <c r="J524" i="6" s="1"/>
  <c r="I524" i="6"/>
  <c r="A485" i="5"/>
  <c r="I484" i="5"/>
  <c r="J484" i="5" a="1"/>
  <c r="J484" i="5" s="1"/>
  <c r="A488" i="7"/>
  <c r="J487" i="7" a="1"/>
  <c r="J487" i="7" s="1"/>
  <c r="I487" i="7"/>
  <c r="I493" i="8"/>
  <c r="J493" i="8" a="1"/>
  <c r="J493" i="8" s="1"/>
  <c r="A494" i="8"/>
  <c r="J494" i="8" l="1" a="1"/>
  <c r="J494" i="8" s="1"/>
  <c r="I494" i="8"/>
  <c r="A495" i="8"/>
  <c r="J488" i="7" a="1"/>
  <c r="J488" i="7" s="1"/>
  <c r="A489" i="7"/>
  <c r="I488" i="7"/>
  <c r="A486" i="5"/>
  <c r="I485" i="5"/>
  <c r="J485" i="5" a="1"/>
  <c r="J485" i="5" s="1"/>
  <c r="I525" i="6"/>
  <c r="A526" i="6"/>
  <c r="J525" i="6" a="1"/>
  <c r="J525" i="6" s="1"/>
  <c r="A497" i="9"/>
  <c r="J496" i="9" a="1"/>
  <c r="J496" i="9" s="1"/>
  <c r="I496" i="9"/>
  <c r="A502" i="3"/>
  <c r="J501" i="3" a="1"/>
  <c r="J501" i="3" s="1"/>
  <c r="I501" i="3"/>
  <c r="I502" i="3" l="1"/>
  <c r="J502" i="3" a="1"/>
  <c r="J502" i="3" s="1"/>
  <c r="A503" i="3"/>
  <c r="A498" i="9"/>
  <c r="I497" i="9"/>
  <c r="J497" i="9" a="1"/>
  <c r="J497" i="9" s="1"/>
  <c r="J526" i="6" a="1"/>
  <c r="J526" i="6" s="1"/>
  <c r="I526" i="6"/>
  <c r="A527" i="6"/>
  <c r="J486" i="5" a="1"/>
  <c r="J486" i="5" s="1"/>
  <c r="A487" i="5"/>
  <c r="I486" i="5"/>
  <c r="J489" i="7" a="1"/>
  <c r="J489" i="7" s="1"/>
  <c r="A490" i="7"/>
  <c r="I489" i="7"/>
  <c r="A496" i="8"/>
  <c r="J495" i="8" a="1"/>
  <c r="J495" i="8" s="1"/>
  <c r="I495" i="8"/>
  <c r="I496" i="8" l="1"/>
  <c r="A497" i="8"/>
  <c r="J496" i="8" a="1"/>
  <c r="J496" i="8" s="1"/>
  <c r="A491" i="7"/>
  <c r="J490" i="7" a="1"/>
  <c r="J490" i="7" s="1"/>
  <c r="I490" i="7"/>
  <c r="J487" i="5" a="1"/>
  <c r="J487" i="5" s="1"/>
  <c r="I487" i="5"/>
  <c r="A488" i="5"/>
  <c r="A528" i="6"/>
  <c r="J527" i="6" a="1"/>
  <c r="J527" i="6" s="1"/>
  <c r="I527" i="6"/>
  <c r="A499" i="9"/>
  <c r="J498" i="9" a="1"/>
  <c r="J498" i="9" s="1"/>
  <c r="I498" i="9"/>
  <c r="A504" i="3"/>
  <c r="J503" i="3" a="1"/>
  <c r="J503" i="3" s="1"/>
  <c r="I503" i="3"/>
  <c r="A505" i="3" l="1"/>
  <c r="J504" i="3" a="1"/>
  <c r="J504" i="3" s="1"/>
  <c r="I504" i="3"/>
  <c r="J499" i="9" a="1"/>
  <c r="J499" i="9" s="1"/>
  <c r="I499" i="9"/>
  <c r="A500" i="9"/>
  <c r="A529" i="6"/>
  <c r="J528" i="6" a="1"/>
  <c r="J528" i="6" s="1"/>
  <c r="I528" i="6"/>
  <c r="A489" i="5"/>
  <c r="I488" i="5"/>
  <c r="J488" i="5" a="1"/>
  <c r="J488" i="5" s="1"/>
  <c r="I491" i="7"/>
  <c r="A492" i="7"/>
  <c r="J491" i="7" a="1"/>
  <c r="J491" i="7" s="1"/>
  <c r="A498" i="8"/>
  <c r="I497" i="8"/>
  <c r="J497" i="8" a="1"/>
  <c r="J497" i="8" s="1"/>
  <c r="A499" i="8" l="1"/>
  <c r="J498" i="8" a="1"/>
  <c r="J498" i="8" s="1"/>
  <c r="I498" i="8"/>
  <c r="J492" i="7" a="1"/>
  <c r="J492" i="7" s="1"/>
  <c r="A493" i="7"/>
  <c r="I492" i="7"/>
  <c r="A490" i="5"/>
  <c r="J489" i="5" a="1"/>
  <c r="J489" i="5" s="1"/>
  <c r="I489" i="5"/>
  <c r="A530" i="6"/>
  <c r="J529" i="6" a="1"/>
  <c r="J529" i="6" s="1"/>
  <c r="I529" i="6"/>
  <c r="A501" i="9"/>
  <c r="J500" i="9" a="1"/>
  <c r="J500" i="9" s="1"/>
  <c r="I500" i="9"/>
  <c r="I505" i="3"/>
  <c r="A506" i="3"/>
  <c r="J505" i="3" a="1"/>
  <c r="J505" i="3" s="1"/>
  <c r="J506" i="3" l="1" a="1"/>
  <c r="J506" i="3" s="1"/>
  <c r="A507" i="3"/>
  <c r="I506" i="3"/>
  <c r="I501" i="9"/>
  <c r="A502" i="9"/>
  <c r="J501" i="9" a="1"/>
  <c r="J501" i="9" s="1"/>
  <c r="J530" i="6" a="1"/>
  <c r="J530" i="6" s="1"/>
  <c r="A531" i="6"/>
  <c r="I530" i="6"/>
  <c r="A491" i="5"/>
  <c r="J490" i="5" a="1"/>
  <c r="J490" i="5" s="1"/>
  <c r="I490" i="5"/>
  <c r="A494" i="7"/>
  <c r="J493" i="7" a="1"/>
  <c r="J493" i="7" s="1"/>
  <c r="I493" i="7"/>
  <c r="I499" i="8"/>
  <c r="A500" i="8"/>
  <c r="J499" i="8" a="1"/>
  <c r="J499" i="8" s="1"/>
  <c r="J500" i="8" l="1" a="1"/>
  <c r="J500" i="8" s="1"/>
  <c r="A501" i="8"/>
  <c r="I500" i="8"/>
  <c r="A495" i="7"/>
  <c r="I494" i="7"/>
  <c r="J494" i="7" a="1"/>
  <c r="J494" i="7" s="1"/>
  <c r="J491" i="5" a="1"/>
  <c r="J491" i="5" s="1"/>
  <c r="I491" i="5"/>
  <c r="A492" i="5"/>
  <c r="I531" i="6"/>
  <c r="A532" i="6"/>
  <c r="J531" i="6" a="1"/>
  <c r="J531" i="6" s="1"/>
  <c r="A503" i="9"/>
  <c r="J502" i="9" a="1"/>
  <c r="J502" i="9" s="1"/>
  <c r="I502" i="9"/>
  <c r="A508" i="3"/>
  <c r="J507" i="3" a="1"/>
  <c r="J507" i="3" s="1"/>
  <c r="I507" i="3"/>
  <c r="J508" i="3" l="1" a="1"/>
  <c r="J508" i="3" s="1"/>
  <c r="A509" i="3"/>
  <c r="I508" i="3"/>
  <c r="A504" i="9"/>
  <c r="J503" i="9" a="1"/>
  <c r="J503" i="9" s="1"/>
  <c r="I503" i="9"/>
  <c r="I532" i="6"/>
  <c r="A533" i="6"/>
  <c r="J532" i="6" a="1"/>
  <c r="J532" i="6" s="1"/>
  <c r="I492" i="5"/>
  <c r="A493" i="5"/>
  <c r="J492" i="5" a="1"/>
  <c r="J492" i="5" s="1"/>
  <c r="J495" i="7" a="1"/>
  <c r="J495" i="7" s="1"/>
  <c r="I495" i="7"/>
  <c r="A496" i="7"/>
  <c r="J501" i="8" a="1"/>
  <c r="J501" i="8" s="1"/>
  <c r="I501" i="8"/>
  <c r="A502" i="8"/>
  <c r="J502" i="8" l="1" a="1"/>
  <c r="J502" i="8" s="1"/>
  <c r="I502" i="8"/>
  <c r="A503" i="8"/>
  <c r="J496" i="7" a="1"/>
  <c r="J496" i="7" s="1"/>
  <c r="I496" i="7"/>
  <c r="A497" i="7"/>
  <c r="J493" i="5" a="1"/>
  <c r="J493" i="5" s="1"/>
  <c r="A494" i="5"/>
  <c r="I493" i="5"/>
  <c r="J533" i="6" a="1"/>
  <c r="J533" i="6" s="1"/>
  <c r="A534" i="6"/>
  <c r="I533" i="6"/>
  <c r="A505" i="9"/>
  <c r="I504" i="9"/>
  <c r="J504" i="9" a="1"/>
  <c r="J504" i="9" s="1"/>
  <c r="J509" i="3" a="1"/>
  <c r="J509" i="3" s="1"/>
  <c r="I509" i="3"/>
  <c r="A510" i="3"/>
  <c r="A511" i="3" l="1"/>
  <c r="J510" i="3" a="1"/>
  <c r="J510" i="3" s="1"/>
  <c r="I510" i="3"/>
  <c r="A506" i="9"/>
  <c r="J505" i="9" a="1"/>
  <c r="J505" i="9" s="1"/>
  <c r="I505" i="9"/>
  <c r="A535" i="6"/>
  <c r="J534" i="6" a="1"/>
  <c r="J534" i="6" s="1"/>
  <c r="I534" i="6"/>
  <c r="A495" i="5"/>
  <c r="J494" i="5" a="1"/>
  <c r="J494" i="5" s="1"/>
  <c r="I494" i="5"/>
  <c r="A498" i="7"/>
  <c r="I497" i="7"/>
  <c r="J497" i="7" a="1"/>
  <c r="J497" i="7" s="1"/>
  <c r="A504" i="8"/>
  <c r="J503" i="8" a="1"/>
  <c r="J503" i="8" s="1"/>
  <c r="I503" i="8"/>
  <c r="I504" i="8" l="1"/>
  <c r="A505" i="8"/>
  <c r="J504" i="8" a="1"/>
  <c r="J504" i="8" s="1"/>
  <c r="I498" i="7"/>
  <c r="A499" i="7"/>
  <c r="J498" i="7" a="1"/>
  <c r="J498" i="7" s="1"/>
  <c r="A496" i="5"/>
  <c r="I495" i="5"/>
  <c r="J495" i="5" a="1"/>
  <c r="J495" i="5" s="1"/>
  <c r="J535" i="6" a="1"/>
  <c r="J535" i="6" s="1"/>
  <c r="A536" i="6"/>
  <c r="I535" i="6"/>
  <c r="J506" i="9" a="1"/>
  <c r="J506" i="9" s="1"/>
  <c r="A507" i="9"/>
  <c r="I506" i="9"/>
  <c r="J511" i="3" a="1"/>
  <c r="J511" i="3" s="1"/>
  <c r="A512" i="3"/>
  <c r="I511" i="3"/>
  <c r="J512" i="3" l="1" a="1"/>
  <c r="J512" i="3" s="1"/>
  <c r="A513" i="3"/>
  <c r="I512" i="3"/>
  <c r="AI86" i="10"/>
  <c r="AK92" i="10"/>
  <c r="AE74" i="10"/>
  <c r="AK38" i="10"/>
  <c r="AF32" i="10"/>
  <c r="AH2" i="10"/>
  <c r="AH110" i="10"/>
  <c r="AJ116" i="10"/>
  <c r="AJ68" i="10"/>
  <c r="AJ38" i="10"/>
  <c r="AF8" i="10"/>
  <c r="AE8" i="10"/>
  <c r="AG110" i="10"/>
  <c r="AI116" i="10"/>
  <c r="AI68" i="10"/>
  <c r="AJ14" i="10"/>
  <c r="AG44" i="10"/>
  <c r="AK2" i="10"/>
  <c r="AG86" i="10"/>
  <c r="AI92" i="10"/>
  <c r="AI44" i="10"/>
  <c r="AI38" i="10"/>
  <c r="AE32" i="10"/>
  <c r="AJ2" i="10"/>
  <c r="AF110" i="10"/>
  <c r="AH56" i="10"/>
  <c r="AH68" i="10"/>
  <c r="AI14" i="10"/>
  <c r="AK26" i="10"/>
  <c r="AG2" i="10"/>
  <c r="AF86" i="10"/>
  <c r="AG56" i="10"/>
  <c r="AG68" i="10"/>
  <c r="AH38" i="10"/>
  <c r="AF44" i="10"/>
  <c r="AI2" i="10"/>
  <c r="AE110" i="10"/>
  <c r="AF56" i="10"/>
  <c r="AF68" i="10"/>
  <c r="AH14" i="10"/>
  <c r="AJ26" i="10"/>
  <c r="AE2" i="10"/>
  <c r="AK104" i="10"/>
  <c r="AE56" i="10"/>
  <c r="AJ80" i="10"/>
  <c r="AG38" i="10"/>
  <c r="AE44" i="10"/>
  <c r="AE86" i="10"/>
  <c r="AK50" i="10"/>
  <c r="AE68" i="10"/>
  <c r="AG14" i="10"/>
  <c r="AI26" i="10"/>
  <c r="AK80" i="10"/>
  <c r="AK74" i="10"/>
  <c r="AK62" i="10"/>
  <c r="AF38" i="10"/>
  <c r="AH26" i="10"/>
  <c r="AJ104" i="10"/>
  <c r="AJ50" i="10"/>
  <c r="AI80" i="10"/>
  <c r="AF14" i="10"/>
  <c r="AG26" i="10"/>
  <c r="AH116" i="10"/>
  <c r="AI104" i="10"/>
  <c r="AJ92" i="10"/>
  <c r="AJ62" i="10"/>
  <c r="AE38" i="10"/>
  <c r="AF26" i="10"/>
  <c r="AH92" i="10"/>
  <c r="AH104" i="10"/>
  <c r="AJ74" i="10"/>
  <c r="AH80" i="10"/>
  <c r="AK32" i="10"/>
  <c r="AF2" i="10"/>
  <c r="AG116" i="10"/>
  <c r="AG104" i="10"/>
  <c r="AI50" i="10"/>
  <c r="AI62" i="10"/>
  <c r="AE14" i="10"/>
  <c r="AE26" i="10"/>
  <c r="AG92" i="10"/>
  <c r="AF104" i="10"/>
  <c r="AI74" i="10"/>
  <c r="AG80" i="10"/>
  <c r="AK8" i="10"/>
  <c r="AK20" i="10"/>
  <c r="AF116" i="10"/>
  <c r="AE104" i="10"/>
  <c r="AH50" i="10"/>
  <c r="AH62" i="10"/>
  <c r="AJ32" i="10"/>
  <c r="AJ20" i="10"/>
  <c r="AF92" i="10"/>
  <c r="AK98" i="10"/>
  <c r="AH74" i="10"/>
  <c r="AF80" i="10"/>
  <c r="AJ8" i="10"/>
  <c r="AI20" i="10"/>
  <c r="AE116" i="10"/>
  <c r="AJ98" i="10"/>
  <c r="AG50" i="10"/>
  <c r="AG62" i="10"/>
  <c r="AI32" i="10"/>
  <c r="AH20" i="10"/>
  <c r="AK110" i="10"/>
  <c r="AI98" i="10"/>
  <c r="AH86" i="10"/>
  <c r="AE80" i="10"/>
  <c r="AI8" i="10"/>
  <c r="AG20" i="10"/>
  <c r="AE92" i="10"/>
  <c r="AH98" i="10"/>
  <c r="AG74" i="10"/>
  <c r="AF62" i="10"/>
  <c r="AK44" i="10"/>
  <c r="AF20" i="10"/>
  <c r="AK86" i="10"/>
  <c r="AG98" i="10"/>
  <c r="AF50" i="10"/>
  <c r="AE62" i="10"/>
  <c r="AH32" i="10"/>
  <c r="AH8" i="10"/>
  <c r="AJ110" i="10"/>
  <c r="AF98" i="10"/>
  <c r="AF74" i="10"/>
  <c r="AK56" i="10"/>
  <c r="AJ44" i="10"/>
  <c r="AK14" i="10"/>
  <c r="AJ86" i="10"/>
  <c r="AK116" i="10"/>
  <c r="AK68" i="10"/>
  <c r="AJ56" i="10"/>
  <c r="AG32" i="10"/>
  <c r="AE20" i="10"/>
  <c r="AI110" i="10"/>
  <c r="AE98" i="10"/>
  <c r="AE50" i="10"/>
  <c r="AI56" i="10"/>
  <c r="AH44" i="10"/>
  <c r="AG8" i="10"/>
  <c r="A508" i="9"/>
  <c r="J507" i="9" a="1"/>
  <c r="J507" i="9" s="1"/>
  <c r="I507" i="9"/>
  <c r="A537" i="6"/>
  <c r="I536" i="6"/>
  <c r="J536" i="6" a="1"/>
  <c r="J536" i="6" s="1"/>
  <c r="J496" i="5" a="1"/>
  <c r="J496" i="5" s="1"/>
  <c r="I496" i="5"/>
  <c r="A497" i="5"/>
  <c r="A500" i="7"/>
  <c r="J499" i="7" a="1"/>
  <c r="J499" i="7" s="1"/>
  <c r="I499" i="7"/>
  <c r="I505" i="8"/>
  <c r="J505" i="8" a="1"/>
  <c r="J505" i="8" s="1"/>
  <c r="A506" i="8"/>
  <c r="J506" i="8" l="1" a="1"/>
  <c r="J506" i="8" s="1"/>
  <c r="A507" i="8"/>
  <c r="I506" i="8"/>
  <c r="A501" i="7"/>
  <c r="I500" i="7"/>
  <c r="J500" i="7" a="1"/>
  <c r="J500" i="7" s="1"/>
  <c r="J497" i="5" a="1"/>
  <c r="J497" i="5" s="1"/>
  <c r="I497" i="5"/>
  <c r="A498" i="5"/>
  <c r="I537" i="6"/>
  <c r="A538" i="6"/>
  <c r="J537" i="6" a="1"/>
  <c r="J537" i="6" s="1"/>
  <c r="A509" i="9"/>
  <c r="J508" i="9" a="1"/>
  <c r="J508" i="9" s="1"/>
  <c r="I508" i="9"/>
  <c r="A514" i="3"/>
  <c r="J513" i="3" a="1"/>
  <c r="J513" i="3" s="1"/>
  <c r="I513" i="3"/>
  <c r="A515" i="3" l="1"/>
  <c r="J514" i="3" a="1"/>
  <c r="J514" i="3" s="1"/>
  <c r="I514" i="3"/>
  <c r="I509" i="9"/>
  <c r="J509" i="9" a="1"/>
  <c r="J509" i="9" s="1"/>
  <c r="A510" i="9"/>
  <c r="J538" i="6" a="1"/>
  <c r="J538" i="6" s="1"/>
  <c r="A539" i="6"/>
  <c r="I538" i="6"/>
  <c r="A499" i="5"/>
  <c r="J498" i="5" a="1"/>
  <c r="J498" i="5" s="1"/>
  <c r="I498" i="5"/>
  <c r="A502" i="7"/>
  <c r="J501" i="7" a="1"/>
  <c r="J501" i="7" s="1"/>
  <c r="I501" i="7"/>
  <c r="A508" i="8"/>
  <c r="J507" i="8" a="1"/>
  <c r="J507" i="8" s="1"/>
  <c r="I507" i="8"/>
  <c r="A509" i="8" l="1"/>
  <c r="J508" i="8" a="1"/>
  <c r="J508" i="8" s="1"/>
  <c r="I508" i="8"/>
  <c r="A503" i="7"/>
  <c r="J502" i="7" a="1"/>
  <c r="J502" i="7" s="1"/>
  <c r="I502" i="7"/>
  <c r="A500" i="5"/>
  <c r="J499" i="5" a="1"/>
  <c r="J499" i="5" s="1"/>
  <c r="I499" i="5"/>
  <c r="J539" i="6" a="1"/>
  <c r="J539" i="6" s="1"/>
  <c r="I539" i="6"/>
  <c r="A540" i="6"/>
  <c r="A511" i="9"/>
  <c r="I510" i="9"/>
  <c r="J510" i="9" a="1"/>
  <c r="J510" i="9" s="1"/>
  <c r="A516" i="3"/>
  <c r="I515" i="3"/>
  <c r="J515" i="3" a="1"/>
  <c r="J515" i="3" s="1"/>
  <c r="I516" i="3" l="1"/>
  <c r="A517" i="3"/>
  <c r="J516" i="3" a="1"/>
  <c r="J516" i="3" s="1"/>
  <c r="J511" i="9" a="1"/>
  <c r="J511" i="9" s="1"/>
  <c r="I511" i="9"/>
  <c r="A512" i="9"/>
  <c r="J540" i="6" a="1"/>
  <c r="J540" i="6" s="1"/>
  <c r="I540" i="6"/>
  <c r="A541" i="6"/>
  <c r="J500" i="5" a="1"/>
  <c r="J500" i="5" s="1"/>
  <c r="A501" i="5"/>
  <c r="I500" i="5"/>
  <c r="I503" i="7"/>
  <c r="A504" i="7"/>
  <c r="J503" i="7" a="1"/>
  <c r="J503" i="7" s="1"/>
  <c r="I509" i="8"/>
  <c r="A510" i="8"/>
  <c r="J509" i="8" a="1"/>
  <c r="J509" i="8" s="1"/>
  <c r="J510" i="8" l="1" a="1"/>
  <c r="J510" i="8" s="1"/>
  <c r="I510" i="8"/>
  <c r="A511" i="8"/>
  <c r="J504" i="7" a="1"/>
  <c r="J504" i="7" s="1"/>
  <c r="A505" i="7"/>
  <c r="I504" i="7"/>
  <c r="A502" i="5"/>
  <c r="J501" i="5" a="1"/>
  <c r="J501" i="5" s="1"/>
  <c r="I501" i="5"/>
  <c r="A542" i="6"/>
  <c r="J541" i="6" a="1"/>
  <c r="J541" i="6" s="1"/>
  <c r="I541" i="6"/>
  <c r="AG121" i="10"/>
  <c r="AK115" i="10"/>
  <c r="AH97" i="10"/>
  <c r="AE37" i="10"/>
  <c r="AF121" i="10"/>
  <c r="AJ115" i="10"/>
  <c r="AG97" i="10"/>
  <c r="AK31" i="10"/>
  <c r="AE19" i="10"/>
  <c r="AE121" i="10"/>
  <c r="AI115" i="10"/>
  <c r="AF97" i="10"/>
  <c r="AK61" i="10"/>
  <c r="AK49" i="10"/>
  <c r="AJ31" i="10"/>
  <c r="AH115" i="10"/>
  <c r="AE97" i="10"/>
  <c r="AK79" i="10"/>
  <c r="AJ61" i="10"/>
  <c r="AJ49" i="10"/>
  <c r="AG115" i="10"/>
  <c r="AJ79" i="10"/>
  <c r="AI61" i="10"/>
  <c r="AI49" i="10"/>
  <c r="AH31" i="10"/>
  <c r="AF115" i="10"/>
  <c r="AI79" i="10"/>
  <c r="AH61" i="10"/>
  <c r="AH49" i="10"/>
  <c r="AG31" i="10"/>
  <c r="AJ13" i="10"/>
  <c r="AE115" i="10"/>
  <c r="AH79" i="10"/>
  <c r="AG61" i="10"/>
  <c r="AG49" i="10"/>
  <c r="AF31" i="10"/>
  <c r="AG79" i="10"/>
  <c r="AF61" i="10"/>
  <c r="AF49" i="10"/>
  <c r="AE31" i="10"/>
  <c r="AF79" i="10"/>
  <c r="AE61" i="10"/>
  <c r="AE49" i="10"/>
  <c r="AE79" i="10"/>
  <c r="AK73" i="10"/>
  <c r="AJ73" i="10"/>
  <c r="AK43" i="10"/>
  <c r="AE13" i="10"/>
  <c r="AI73" i="10"/>
  <c r="AJ43" i="10"/>
  <c r="AH73" i="10"/>
  <c r="AK55" i="10"/>
  <c r="AI43" i="10"/>
  <c r="AG73" i="10"/>
  <c r="AJ55" i="10"/>
  <c r="AH43" i="10"/>
  <c r="AK103" i="10"/>
  <c r="AF73" i="10"/>
  <c r="AI55" i="10"/>
  <c r="AG43" i="10"/>
  <c r="AI25" i="10"/>
  <c r="AJ103" i="10"/>
  <c r="AE73" i="10"/>
  <c r="AH55" i="10"/>
  <c r="AF43" i="10"/>
  <c r="AH25" i="10"/>
  <c r="AI103" i="10"/>
  <c r="AK85" i="10"/>
  <c r="AK67" i="10"/>
  <c r="AG55" i="10"/>
  <c r="AE43" i="10"/>
  <c r="AH103" i="10"/>
  <c r="AJ85" i="10"/>
  <c r="AJ67" i="10"/>
  <c r="AF55" i="10"/>
  <c r="AF25" i="10"/>
  <c r="AG103" i="10"/>
  <c r="AI85" i="10"/>
  <c r="AI67" i="10"/>
  <c r="AE55" i="10"/>
  <c r="AK37" i="10"/>
  <c r="AE25" i="10"/>
  <c r="AF103" i="10"/>
  <c r="AH85" i="10"/>
  <c r="AH67" i="10"/>
  <c r="AJ37" i="10"/>
  <c r="AK19" i="10"/>
  <c r="AK121" i="10"/>
  <c r="AE103" i="10"/>
  <c r="AG85" i="10"/>
  <c r="AG67" i="10"/>
  <c r="AI37" i="10"/>
  <c r="AJ121" i="10"/>
  <c r="AK97" i="10"/>
  <c r="AF85" i="10"/>
  <c r="AF67" i="10"/>
  <c r="AI121" i="10"/>
  <c r="AJ97" i="10"/>
  <c r="AE85" i="10"/>
  <c r="AE67" i="10"/>
  <c r="AH121" i="10"/>
  <c r="AI97" i="10"/>
  <c r="AF37" i="10"/>
  <c r="AH37" i="10"/>
  <c r="AJ19" i="10"/>
  <c r="AK25" i="10"/>
  <c r="AI19" i="10"/>
  <c r="AG25" i="10"/>
  <c r="AG19" i="10"/>
  <c r="AK13" i="10"/>
  <c r="AH13" i="10"/>
  <c r="AJ25" i="10"/>
  <c r="AG37" i="10"/>
  <c r="AI31" i="10"/>
  <c r="AF13" i="10"/>
  <c r="AF19" i="10"/>
  <c r="AG7" i="10"/>
  <c r="AH19" i="10"/>
  <c r="AI7" i="10"/>
  <c r="AI13" i="10"/>
  <c r="AG13" i="10"/>
  <c r="AE7" i="10"/>
  <c r="AK7" i="10"/>
  <c r="AJ7" i="10"/>
  <c r="AH7" i="10"/>
  <c r="AF7" i="10"/>
  <c r="A513" i="9"/>
  <c r="J512" i="9" a="1"/>
  <c r="J512" i="9" s="1"/>
  <c r="I512" i="9"/>
  <c r="A518" i="3"/>
  <c r="J517" i="3" a="1"/>
  <c r="J517" i="3" s="1"/>
  <c r="I517" i="3"/>
  <c r="J518" i="3" l="1" a="1"/>
  <c r="J518" i="3" s="1"/>
  <c r="A519" i="3"/>
  <c r="I518" i="3"/>
  <c r="J513" i="9" a="1"/>
  <c r="J513" i="9" s="1"/>
  <c r="I513" i="9"/>
  <c r="A514" i="9"/>
  <c r="J542" i="6" a="1"/>
  <c r="J542" i="6" s="1"/>
  <c r="I542" i="6"/>
  <c r="A543" i="6"/>
  <c r="A503" i="5"/>
  <c r="J502" i="5" a="1"/>
  <c r="J502" i="5" s="1"/>
  <c r="I502" i="5"/>
  <c r="A506" i="7"/>
  <c r="I505" i="7"/>
  <c r="J505" i="7" a="1"/>
  <c r="J505" i="7" s="1"/>
  <c r="I511" i="8"/>
  <c r="A512" i="8"/>
  <c r="J511" i="8" a="1"/>
  <c r="J511" i="8" s="1"/>
  <c r="AK90" i="10" l="1"/>
  <c r="AJ72" i="10"/>
  <c r="AJ90" i="10"/>
  <c r="AI72" i="10"/>
  <c r="AI90" i="10"/>
  <c r="AH72" i="10"/>
  <c r="AK42" i="10"/>
  <c r="AH90" i="10"/>
  <c r="AG72" i="10"/>
  <c r="AK102" i="10"/>
  <c r="AG90" i="10"/>
  <c r="AF72" i="10"/>
  <c r="AK54" i="10"/>
  <c r="AI42" i="10"/>
  <c r="AJ102" i="10"/>
  <c r="AF90" i="10"/>
  <c r="AE72" i="10"/>
  <c r="AJ54" i="10"/>
  <c r="AH42" i="10"/>
  <c r="AJ24" i="10"/>
  <c r="AI102" i="10"/>
  <c r="AE90" i="10"/>
  <c r="AK84" i="10"/>
  <c r="AI54" i="10"/>
  <c r="AG42" i="10"/>
  <c r="AH102" i="10"/>
  <c r="AJ84" i="10"/>
  <c r="AH54" i="10"/>
  <c r="AF42" i="10"/>
  <c r="AH24" i="10"/>
  <c r="AG102" i="10"/>
  <c r="AI84" i="10"/>
  <c r="AK66" i="10"/>
  <c r="AG54" i="10"/>
  <c r="AE42" i="10"/>
  <c r="AK120" i="10"/>
  <c r="AF102" i="10"/>
  <c r="AH84" i="10"/>
  <c r="AJ66" i="10"/>
  <c r="AF54" i="10"/>
  <c r="AK36" i="10"/>
  <c r="AF24" i="10"/>
  <c r="AJ120" i="10"/>
  <c r="AE102" i="10"/>
  <c r="AG84" i="10"/>
  <c r="AI66" i="10"/>
  <c r="AE54" i="10"/>
  <c r="AJ36" i="10"/>
  <c r="AE24" i="10"/>
  <c r="AK18" i="10"/>
  <c r="AJ6" i="10"/>
  <c r="AI120" i="10"/>
  <c r="AF84" i="10"/>
  <c r="AH66" i="10"/>
  <c r="AI36" i="10"/>
  <c r="AJ18" i="10"/>
  <c r="AH120" i="10"/>
  <c r="AK96" i="10"/>
  <c r="AE84" i="10"/>
  <c r="AG66" i="10"/>
  <c r="AH36" i="10"/>
  <c r="AG120" i="10"/>
  <c r="AJ96" i="10"/>
  <c r="AF66" i="10"/>
  <c r="AF120" i="10"/>
  <c r="AK114" i="10"/>
  <c r="AI96" i="10"/>
  <c r="AE66" i="10"/>
  <c r="AF36" i="10"/>
  <c r="AG18" i="10"/>
  <c r="AE120" i="10"/>
  <c r="AJ114" i="10"/>
  <c r="AH96" i="10"/>
  <c r="AE36" i="10"/>
  <c r="AF18" i="10"/>
  <c r="AE6" i="10"/>
  <c r="AI114" i="10"/>
  <c r="AG96" i="10"/>
  <c r="AK78" i="10"/>
  <c r="AH114" i="10"/>
  <c r="AF96" i="10"/>
  <c r="AJ78" i="10"/>
  <c r="AK60" i="10"/>
  <c r="AK48" i="10"/>
  <c r="AJ30" i="10"/>
  <c r="AG114" i="10"/>
  <c r="AE96" i="10"/>
  <c r="AI78" i="10"/>
  <c r="AJ60" i="10"/>
  <c r="AJ48" i="10"/>
  <c r="AI30" i="10"/>
  <c r="AF114" i="10"/>
  <c r="AH78" i="10"/>
  <c r="AI60" i="10"/>
  <c r="AI48" i="10"/>
  <c r="AH30" i="10"/>
  <c r="AE114" i="10"/>
  <c r="AG78" i="10"/>
  <c r="AH60" i="10"/>
  <c r="AH48" i="10"/>
  <c r="AF78" i="10"/>
  <c r="AG60" i="10"/>
  <c r="AG48" i="10"/>
  <c r="AE78" i="10"/>
  <c r="AF60" i="10"/>
  <c r="AF48" i="10"/>
  <c r="AK72" i="10"/>
  <c r="AE60" i="10"/>
  <c r="AE48" i="10"/>
  <c r="AJ42" i="10"/>
  <c r="AK12" i="10"/>
  <c r="AG36" i="10"/>
  <c r="AJ12" i="10"/>
  <c r="AH12" i="10"/>
  <c r="AK30" i="10"/>
  <c r="AI24" i="10"/>
  <c r="AH18" i="10"/>
  <c r="AG30" i="10"/>
  <c r="AF30" i="10"/>
  <c r="AE30" i="10"/>
  <c r="AI18" i="10"/>
  <c r="AF12" i="10"/>
  <c r="AE18" i="10"/>
  <c r="AE12" i="10"/>
  <c r="AK24" i="10"/>
  <c r="AG24" i="10"/>
  <c r="AG12" i="10"/>
  <c r="AI12" i="10"/>
  <c r="AI6" i="10"/>
  <c r="AK6" i="10"/>
  <c r="AH6" i="10"/>
  <c r="AG6" i="10"/>
  <c r="AF6" i="10"/>
  <c r="A513" i="8"/>
  <c r="I512" i="8"/>
  <c r="J512" i="8" a="1"/>
  <c r="J512" i="8" s="1"/>
  <c r="I506" i="7"/>
  <c r="A507" i="7"/>
  <c r="J506" i="7" a="1"/>
  <c r="J506" i="7" s="1"/>
  <c r="A504" i="5"/>
  <c r="J503" i="5" a="1"/>
  <c r="J503" i="5" s="1"/>
  <c r="I503" i="5"/>
  <c r="I543" i="6"/>
  <c r="A544" i="6"/>
  <c r="J543" i="6" a="1"/>
  <c r="J543" i="6" s="1"/>
  <c r="A515" i="9"/>
  <c r="J514" i="9" a="1"/>
  <c r="J514" i="9" s="1"/>
  <c r="I514" i="9"/>
  <c r="J519" i="3" a="1"/>
  <c r="J519" i="3" s="1"/>
  <c r="I519" i="3"/>
  <c r="A520" i="3"/>
  <c r="A521" i="3" l="1"/>
  <c r="J520" i="3" a="1"/>
  <c r="J520" i="3" s="1"/>
  <c r="I520" i="3"/>
  <c r="J515" i="9" a="1"/>
  <c r="J515" i="9" s="1"/>
  <c r="I515" i="9"/>
  <c r="A516" i="9"/>
  <c r="A545" i="6"/>
  <c r="J544" i="6" a="1"/>
  <c r="J544" i="6" s="1"/>
  <c r="I544" i="6"/>
  <c r="A505" i="5"/>
  <c r="J504" i="5" a="1"/>
  <c r="J504" i="5" s="1"/>
  <c r="I504" i="5"/>
  <c r="I507" i="7"/>
  <c r="A508" i="7"/>
  <c r="J507" i="7" a="1"/>
  <c r="J507" i="7" s="1"/>
  <c r="A514" i="8"/>
  <c r="J513" i="8" a="1"/>
  <c r="J513" i="8" s="1"/>
  <c r="I513" i="8"/>
  <c r="J514" i="8" l="1" a="1"/>
  <c r="J514" i="8" s="1"/>
  <c r="A515" i="8"/>
  <c r="I514" i="8"/>
  <c r="I508" i="7"/>
  <c r="A509" i="7"/>
  <c r="J508" i="7" a="1"/>
  <c r="J508" i="7" s="1"/>
  <c r="A506" i="5"/>
  <c r="I505" i="5"/>
  <c r="J505" i="5" a="1"/>
  <c r="J505" i="5" s="1"/>
  <c r="A546" i="6"/>
  <c r="I545" i="6"/>
  <c r="J545" i="6" a="1"/>
  <c r="J545" i="6" s="1"/>
  <c r="A517" i="9"/>
  <c r="J516" i="9" a="1"/>
  <c r="J516" i="9" s="1"/>
  <c r="I516" i="9"/>
  <c r="A522" i="3"/>
  <c r="J521" i="3" a="1"/>
  <c r="J521" i="3" s="1"/>
  <c r="I521" i="3"/>
  <c r="A523" i="3" l="1"/>
  <c r="J522" i="3" a="1"/>
  <c r="J522" i="3" s="1"/>
  <c r="I522" i="3"/>
  <c r="A518" i="9"/>
  <c r="J517" i="9" a="1"/>
  <c r="J517" i="9" s="1"/>
  <c r="I517" i="9"/>
  <c r="A547" i="6"/>
  <c r="J546" i="6" a="1"/>
  <c r="J546" i="6" s="1"/>
  <c r="I546" i="6"/>
  <c r="I506" i="5"/>
  <c r="A507" i="5"/>
  <c r="J506" i="5" a="1"/>
  <c r="J506" i="5" s="1"/>
  <c r="A510" i="7"/>
  <c r="J509" i="7" a="1"/>
  <c r="J509" i="7" s="1"/>
  <c r="I509" i="7"/>
  <c r="J515" i="8" a="1"/>
  <c r="J515" i="8" s="1"/>
  <c r="I515" i="8"/>
  <c r="A516" i="8"/>
  <c r="A517" i="8" l="1"/>
  <c r="J516" i="8" a="1"/>
  <c r="J516" i="8" s="1"/>
  <c r="I516" i="8"/>
  <c r="A511" i="7"/>
  <c r="J510" i="7" a="1"/>
  <c r="J510" i="7" s="1"/>
  <c r="I510" i="7"/>
  <c r="A508" i="5"/>
  <c r="J507" i="5" a="1"/>
  <c r="J507" i="5" s="1"/>
  <c r="I507" i="5"/>
  <c r="A548" i="6"/>
  <c r="J547" i="6" a="1"/>
  <c r="J547" i="6" s="1"/>
  <c r="I547" i="6"/>
  <c r="J518" i="9" a="1"/>
  <c r="J518" i="9" s="1"/>
  <c r="I518" i="9"/>
  <c r="A519" i="9"/>
  <c r="A524" i="3"/>
  <c r="I523" i="3"/>
  <c r="J523" i="3" a="1"/>
  <c r="J523" i="3" s="1"/>
  <c r="J524" i="3" l="1" a="1"/>
  <c r="J524" i="3" s="1"/>
  <c r="A525" i="3"/>
  <c r="I524" i="3"/>
  <c r="A520" i="9"/>
  <c r="J519" i="9" a="1"/>
  <c r="J519" i="9" s="1"/>
  <c r="I519" i="9"/>
  <c r="J548" i="6" a="1"/>
  <c r="J548" i="6" s="1"/>
  <c r="I548" i="6"/>
  <c r="A549" i="6"/>
  <c r="A509" i="5"/>
  <c r="J508" i="5" a="1"/>
  <c r="J508" i="5" s="1"/>
  <c r="I508" i="5"/>
  <c r="A512" i="7"/>
  <c r="J511" i="7" a="1"/>
  <c r="J511" i="7" s="1"/>
  <c r="I511" i="7"/>
  <c r="I517" i="8"/>
  <c r="J517" i="8" a="1"/>
  <c r="J517" i="8" s="1"/>
  <c r="A518" i="8"/>
  <c r="A519" i="8" l="1"/>
  <c r="J518" i="8" a="1"/>
  <c r="J518" i="8" s="1"/>
  <c r="I518" i="8"/>
  <c r="AJ119" i="10"/>
  <c r="AF101" i="10"/>
  <c r="AF89" i="10"/>
  <c r="AF53" i="10"/>
  <c r="AF41" i="10"/>
  <c r="AK35" i="10"/>
  <c r="AI119" i="10"/>
  <c r="AE101" i="10"/>
  <c r="AE89" i="10"/>
  <c r="AK65" i="10"/>
  <c r="AE53" i="10"/>
  <c r="AE41" i="10"/>
  <c r="AJ35" i="10"/>
  <c r="AE23" i="10"/>
  <c r="AH119" i="10"/>
  <c r="AJ65" i="10"/>
  <c r="AI35" i="10"/>
  <c r="AG119" i="10"/>
  <c r="AK83" i="10"/>
  <c r="AI65" i="10"/>
  <c r="AF119" i="10"/>
  <c r="AK95" i="10"/>
  <c r="AJ83" i="10"/>
  <c r="AH65" i="10"/>
  <c r="AG35" i="10"/>
  <c r="AE119" i="10"/>
  <c r="AJ95" i="10"/>
  <c r="AI83" i="10"/>
  <c r="AG65" i="10"/>
  <c r="AF35" i="10"/>
  <c r="AH17" i="10"/>
  <c r="AI95" i="10"/>
  <c r="AH83" i="10"/>
  <c r="AK77" i="10"/>
  <c r="AF65" i="10"/>
  <c r="AE35" i="10"/>
  <c r="AK113" i="10"/>
  <c r="AH95" i="10"/>
  <c r="AG83" i="10"/>
  <c r="AJ77" i="10"/>
  <c r="AE65" i="10"/>
  <c r="AK29" i="10"/>
  <c r="AJ113" i="10"/>
  <c r="AG95" i="10"/>
  <c r="AF83" i="10"/>
  <c r="AI77" i="10"/>
  <c r="AJ29" i="10"/>
  <c r="AI113" i="10"/>
  <c r="AF95" i="10"/>
  <c r="AE83" i="10"/>
  <c r="AH77" i="10"/>
  <c r="AK59" i="10"/>
  <c r="AK47" i="10"/>
  <c r="AI29" i="10"/>
  <c r="AH113" i="10"/>
  <c r="AE95" i="10"/>
  <c r="AG77" i="10"/>
  <c r="AJ59" i="10"/>
  <c r="AJ47" i="10"/>
  <c r="AH29" i="10"/>
  <c r="AG113" i="10"/>
  <c r="AF77" i="10"/>
  <c r="AI59" i="10"/>
  <c r="AI47" i="10"/>
  <c r="AG29" i="10"/>
  <c r="AF113" i="10"/>
  <c r="AE77" i="10"/>
  <c r="AH59" i="10"/>
  <c r="AH47" i="10"/>
  <c r="AE113" i="10"/>
  <c r="AG59" i="10"/>
  <c r="AG47" i="10"/>
  <c r="AK107" i="10"/>
  <c r="AK71" i="10"/>
  <c r="AF59" i="10"/>
  <c r="AF47" i="10"/>
  <c r="AJ107" i="10"/>
  <c r="AJ71" i="10"/>
  <c r="AE59" i="10"/>
  <c r="AE47" i="10"/>
  <c r="AH11" i="10"/>
  <c r="AI107" i="10"/>
  <c r="AI71" i="10"/>
  <c r="AH107" i="10"/>
  <c r="AH71" i="10"/>
  <c r="AF11" i="10"/>
  <c r="AG107" i="10"/>
  <c r="AG71" i="10"/>
  <c r="AF107" i="10"/>
  <c r="AK101" i="10"/>
  <c r="AK89" i="10"/>
  <c r="AF71" i="10"/>
  <c r="AK53" i="10"/>
  <c r="AK41" i="10"/>
  <c r="AK23" i="10"/>
  <c r="AE107" i="10"/>
  <c r="AJ101" i="10"/>
  <c r="AJ89" i="10"/>
  <c r="AE71" i="10"/>
  <c r="AJ53" i="10"/>
  <c r="AJ41" i="10"/>
  <c r="AI101" i="10"/>
  <c r="AI89" i="10"/>
  <c r="AI53" i="10"/>
  <c r="AH101" i="10"/>
  <c r="AH89" i="10"/>
  <c r="AH53" i="10"/>
  <c r="AK119" i="10"/>
  <c r="AG101" i="10"/>
  <c r="AG89" i="10"/>
  <c r="AG53" i="10"/>
  <c r="AG41" i="10"/>
  <c r="AF29" i="10"/>
  <c r="AJ23" i="10"/>
  <c r="AG23" i="10"/>
  <c r="AI17" i="10"/>
  <c r="AI41" i="10"/>
  <c r="AG17" i="10"/>
  <c r="AH41" i="10"/>
  <c r="AE17" i="10"/>
  <c r="AH35" i="10"/>
  <c r="AI23" i="10"/>
  <c r="AH23" i="10"/>
  <c r="AF23" i="10"/>
  <c r="AE29" i="10"/>
  <c r="AK17" i="10"/>
  <c r="AF17" i="10"/>
  <c r="AK11" i="10"/>
  <c r="AE11" i="10"/>
  <c r="AH5" i="10"/>
  <c r="AJ17" i="10"/>
  <c r="AJ11" i="10"/>
  <c r="AI11" i="10"/>
  <c r="AG11" i="10"/>
  <c r="AG5" i="10"/>
  <c r="AK5" i="10"/>
  <c r="AI5" i="10"/>
  <c r="AF5" i="10"/>
  <c r="AE5" i="10"/>
  <c r="AJ5" i="10"/>
  <c r="J512" i="7" a="1"/>
  <c r="J512" i="7" s="1"/>
  <c r="A513" i="7"/>
  <c r="I512" i="7"/>
  <c r="A510" i="5"/>
  <c r="I509" i="5"/>
  <c r="J509" i="5" a="1"/>
  <c r="J509" i="5" s="1"/>
  <c r="I549" i="6"/>
  <c r="J549" i="6" a="1"/>
  <c r="J549" i="6" s="1"/>
  <c r="A550" i="6"/>
  <c r="A521" i="9"/>
  <c r="J520" i="9" a="1"/>
  <c r="J520" i="9" s="1"/>
  <c r="I520" i="9"/>
  <c r="A526" i="3"/>
  <c r="I525" i="3"/>
  <c r="J525" i="3" a="1"/>
  <c r="J525" i="3" s="1"/>
  <c r="A527" i="3" l="1"/>
  <c r="J526" i="3" a="1"/>
  <c r="J526" i="3" s="1"/>
  <c r="I526" i="3"/>
  <c r="J521" i="9" a="1"/>
  <c r="J521" i="9" s="1"/>
  <c r="A522" i="9"/>
  <c r="I521" i="9"/>
  <c r="A551" i="6"/>
  <c r="I550" i="6"/>
  <c r="J550" i="6" a="1"/>
  <c r="J550" i="6" s="1"/>
  <c r="A511" i="5"/>
  <c r="I510" i="5"/>
  <c r="J510" i="5" a="1"/>
  <c r="J510" i="5" s="1"/>
  <c r="J513" i="7" a="1"/>
  <c r="J513" i="7" s="1"/>
  <c r="A514" i="7"/>
  <c r="I513" i="7"/>
  <c r="J519" i="8" a="1"/>
  <c r="J519" i="8" s="1"/>
  <c r="I519" i="8"/>
  <c r="A520" i="8"/>
  <c r="A521" i="8" l="1"/>
  <c r="I520" i="8"/>
  <c r="J520" i="8" a="1"/>
  <c r="J520" i="8" s="1"/>
  <c r="J514" i="7" a="1"/>
  <c r="J514" i="7" s="1"/>
  <c r="A515" i="7"/>
  <c r="I514" i="7"/>
  <c r="J511" i="5" a="1"/>
  <c r="J511" i="5" s="1"/>
  <c r="A512" i="5"/>
  <c r="I511" i="5"/>
  <c r="A552" i="6"/>
  <c r="I551" i="6"/>
  <c r="J551" i="6" a="1"/>
  <c r="J551" i="6" s="1"/>
  <c r="A523" i="9"/>
  <c r="J522" i="9" a="1"/>
  <c r="J522" i="9" s="1"/>
  <c r="I522" i="9"/>
  <c r="I527" i="3"/>
  <c r="A528" i="3"/>
  <c r="J527" i="3" a="1"/>
  <c r="J527" i="3" s="1"/>
  <c r="J528" i="3" l="1" a="1"/>
  <c r="J528" i="3" s="1"/>
  <c r="I528" i="3"/>
  <c r="A529" i="3"/>
  <c r="I523" i="9"/>
  <c r="A524" i="9"/>
  <c r="J523" i="9" a="1"/>
  <c r="J523" i="9" s="1"/>
  <c r="J552" i="6" a="1"/>
  <c r="J552" i="6" s="1"/>
  <c r="I552" i="6"/>
  <c r="A553" i="6"/>
  <c r="AH105" i="10"/>
  <c r="AK87" i="10"/>
  <c r="AF69" i="10"/>
  <c r="AK39" i="10"/>
  <c r="AG105" i="10"/>
  <c r="AJ87" i="10"/>
  <c r="AE69" i="10"/>
  <c r="AJ39" i="10"/>
  <c r="AI21" i="10"/>
  <c r="AF105" i="10"/>
  <c r="AI87" i="10"/>
  <c r="AK51" i="10"/>
  <c r="AI39" i="10"/>
  <c r="AE105" i="10"/>
  <c r="AH87" i="10"/>
  <c r="AJ51" i="10"/>
  <c r="AK99" i="10"/>
  <c r="AG87" i="10"/>
  <c r="AI51" i="10"/>
  <c r="AG39" i="10"/>
  <c r="AK117" i="10"/>
  <c r="AJ99" i="10"/>
  <c r="AF87" i="10"/>
  <c r="AH51" i="10"/>
  <c r="AF39" i="10"/>
  <c r="AE21" i="10"/>
  <c r="AJ117" i="10"/>
  <c r="AI99" i="10"/>
  <c r="AE87" i="10"/>
  <c r="AG51" i="10"/>
  <c r="AE39" i="10"/>
  <c r="AK33" i="10"/>
  <c r="AI117" i="10"/>
  <c r="AH99" i="10"/>
  <c r="AF51" i="10"/>
  <c r="AJ33" i="10"/>
  <c r="AH117" i="10"/>
  <c r="AG99" i="10"/>
  <c r="AK63" i="10"/>
  <c r="AE51" i="10"/>
  <c r="AI33" i="10"/>
  <c r="AG117" i="10"/>
  <c r="AF99" i="10"/>
  <c r="AK81" i="10"/>
  <c r="AJ63" i="10"/>
  <c r="AH33" i="10"/>
  <c r="AF117" i="10"/>
  <c r="AE99" i="10"/>
  <c r="AJ81" i="10"/>
  <c r="AI63" i="10"/>
  <c r="AG33" i="10"/>
  <c r="AK15" i="10"/>
  <c r="AE117" i="10"/>
  <c r="AK93" i="10"/>
  <c r="AI81" i="10"/>
  <c r="AH63" i="10"/>
  <c r="AF33" i="10"/>
  <c r="AK111" i="10"/>
  <c r="AJ93" i="10"/>
  <c r="AH81" i="10"/>
  <c r="AK75" i="10"/>
  <c r="AG63" i="10"/>
  <c r="AE33" i="10"/>
  <c r="AJ111" i="10"/>
  <c r="AI93" i="10"/>
  <c r="AG81" i="10"/>
  <c r="AJ75" i="10"/>
  <c r="AF63" i="10"/>
  <c r="AK45" i="10"/>
  <c r="AI111" i="10"/>
  <c r="AH93" i="10"/>
  <c r="AF81" i="10"/>
  <c r="AI75" i="10"/>
  <c r="AE63" i="10"/>
  <c r="AJ45" i="10"/>
  <c r="AH111" i="10"/>
  <c r="AG93" i="10"/>
  <c r="AE81" i="10"/>
  <c r="AH75" i="10"/>
  <c r="AK57" i="10"/>
  <c r="AI45" i="10"/>
  <c r="AK27" i="10"/>
  <c r="AF15" i="10"/>
  <c r="AG111" i="10"/>
  <c r="AF93" i="10"/>
  <c r="AG75" i="10"/>
  <c r="AJ57" i="10"/>
  <c r="AH45" i="10"/>
  <c r="AF111" i="10"/>
  <c r="AE93" i="10"/>
  <c r="AF75" i="10"/>
  <c r="AI57" i="10"/>
  <c r="AG45" i="10"/>
  <c r="AI27" i="10"/>
  <c r="AE111" i="10"/>
  <c r="AE75" i="10"/>
  <c r="AH57" i="10"/>
  <c r="AF45" i="10"/>
  <c r="AH27" i="10"/>
  <c r="AK69" i="10"/>
  <c r="AG57" i="10"/>
  <c r="AE45" i="10"/>
  <c r="AG27" i="10"/>
  <c r="AJ69" i="10"/>
  <c r="AF57" i="10"/>
  <c r="AK105" i="10"/>
  <c r="AI69" i="10"/>
  <c r="AE57" i="10"/>
  <c r="AJ105" i="10"/>
  <c r="AH69" i="10"/>
  <c r="AI105" i="10"/>
  <c r="AG69" i="10"/>
  <c r="AG15" i="10"/>
  <c r="AF9" i="10"/>
  <c r="AE15" i="10"/>
  <c r="AF3" i="10"/>
  <c r="AH39" i="10"/>
  <c r="AE27" i="10"/>
  <c r="AJ21" i="10"/>
  <c r="AG21" i="10"/>
  <c r="AF27" i="10"/>
  <c r="AJ15" i="10"/>
  <c r="AI15" i="10"/>
  <c r="AH15" i="10"/>
  <c r="AK21" i="10"/>
  <c r="AH21" i="10"/>
  <c r="AH9" i="10"/>
  <c r="AG3" i="10"/>
  <c r="AJ27" i="10"/>
  <c r="AK3" i="10"/>
  <c r="AK9" i="10"/>
  <c r="AE3" i="10"/>
  <c r="AF21" i="10"/>
  <c r="AI3" i="10"/>
  <c r="AI9" i="10"/>
  <c r="AE9" i="10"/>
  <c r="AJ9" i="10"/>
  <c r="AG9" i="10"/>
  <c r="AJ3" i="10"/>
  <c r="AH3" i="10"/>
  <c r="J512" i="5" a="1"/>
  <c r="J512" i="5" s="1"/>
  <c r="I512" i="5"/>
  <c r="A513" i="5"/>
  <c r="I515" i="7"/>
  <c r="A516" i="7"/>
  <c r="J515" i="7" a="1"/>
  <c r="J515" i="7" s="1"/>
  <c r="A522" i="8"/>
  <c r="J521" i="8" a="1"/>
  <c r="J521" i="8" s="1"/>
  <c r="I521" i="8"/>
  <c r="A523" i="8" l="1"/>
  <c r="I522" i="8"/>
  <c r="J522" i="8" a="1"/>
  <c r="J522" i="8" s="1"/>
  <c r="A517" i="7"/>
  <c r="J516" i="7" a="1"/>
  <c r="J516" i="7" s="1"/>
  <c r="I516" i="7"/>
  <c r="A514" i="5"/>
  <c r="I513" i="5"/>
  <c r="J513" i="5" a="1"/>
  <c r="J513" i="5" s="1"/>
  <c r="A554" i="6"/>
  <c r="J553" i="6" a="1"/>
  <c r="J553" i="6" s="1"/>
  <c r="I553" i="6"/>
  <c r="J524" i="9" a="1"/>
  <c r="J524" i="9" s="1"/>
  <c r="I524" i="9"/>
  <c r="A525" i="9"/>
  <c r="J529" i="3" a="1"/>
  <c r="J529" i="3" s="1"/>
  <c r="I529" i="3"/>
  <c r="A530" i="3"/>
  <c r="J530" i="3" l="1" a="1"/>
  <c r="J530" i="3" s="1"/>
  <c r="I530" i="3"/>
  <c r="A531" i="3"/>
  <c r="J525" i="9" a="1"/>
  <c r="J525" i="9" s="1"/>
  <c r="A526" i="9"/>
  <c r="I525" i="9"/>
  <c r="A555" i="6"/>
  <c r="J554" i="6" a="1"/>
  <c r="J554" i="6" s="1"/>
  <c r="I554" i="6"/>
  <c r="A515" i="5"/>
  <c r="I514" i="5"/>
  <c r="J514" i="5" a="1"/>
  <c r="J514" i="5" s="1"/>
  <c r="A518" i="7"/>
  <c r="I517" i="7"/>
  <c r="J517" i="7" a="1"/>
  <c r="J517" i="7" s="1"/>
  <c r="I523" i="8"/>
  <c r="J523" i="8" a="1"/>
  <c r="J523" i="8" s="1"/>
  <c r="A524" i="8"/>
  <c r="A525" i="8" l="1"/>
  <c r="J524" i="8" a="1"/>
  <c r="J524" i="8" s="1"/>
  <c r="I524" i="8"/>
  <c r="A519" i="7"/>
  <c r="J518" i="7" a="1"/>
  <c r="J518" i="7" s="1"/>
  <c r="I518" i="7"/>
  <c r="A516" i="5"/>
  <c r="J515" i="5" a="1"/>
  <c r="J515" i="5" s="1"/>
  <c r="I515" i="5"/>
  <c r="I555" i="6"/>
  <c r="A556" i="6"/>
  <c r="J555" i="6" a="1"/>
  <c r="J555" i="6" s="1"/>
  <c r="A527" i="9"/>
  <c r="J526" i="9" a="1"/>
  <c r="J526" i="9" s="1"/>
  <c r="I526" i="9"/>
  <c r="A532" i="3"/>
  <c r="J531" i="3" a="1"/>
  <c r="J531" i="3" s="1"/>
  <c r="I531" i="3"/>
  <c r="A533" i="3" l="1"/>
  <c r="J532" i="3" a="1"/>
  <c r="J532" i="3" s="1"/>
  <c r="I532" i="3"/>
  <c r="A528" i="9"/>
  <c r="J527" i="9" a="1"/>
  <c r="J527" i="9" s="1"/>
  <c r="I527" i="9"/>
  <c r="A557" i="6"/>
  <c r="J556" i="6" a="1"/>
  <c r="J556" i="6" s="1"/>
  <c r="I556" i="6"/>
  <c r="J516" i="5" a="1"/>
  <c r="J516" i="5" s="1"/>
  <c r="I516" i="5"/>
  <c r="A517" i="5"/>
  <c r="J519" i="7" a="1"/>
  <c r="J519" i="7" s="1"/>
  <c r="A520" i="7"/>
  <c r="I519" i="7"/>
  <c r="A526" i="8"/>
  <c r="J525" i="8" a="1"/>
  <c r="J525" i="8" s="1"/>
  <c r="I525" i="8"/>
  <c r="A527" i="8" l="1"/>
  <c r="J526" i="8" a="1"/>
  <c r="J526" i="8" s="1"/>
  <c r="I526" i="8"/>
  <c r="A521" i="7"/>
  <c r="J520" i="7" a="1"/>
  <c r="J520" i="7" s="1"/>
  <c r="I520" i="7"/>
  <c r="I517" i="5"/>
  <c r="A518" i="5"/>
  <c r="J517" i="5" a="1"/>
  <c r="J517" i="5" s="1"/>
  <c r="I557" i="6"/>
  <c r="A558" i="6"/>
  <c r="J557" i="6" a="1"/>
  <c r="J557" i="6" s="1"/>
  <c r="A529" i="9"/>
  <c r="J528" i="9" a="1"/>
  <c r="J528" i="9" s="1"/>
  <c r="I528" i="9"/>
  <c r="J533" i="3" a="1"/>
  <c r="J533" i="3" s="1"/>
  <c r="A534" i="3"/>
  <c r="I533" i="3"/>
  <c r="A535" i="3" l="1"/>
  <c r="J534" i="3" a="1"/>
  <c r="J534" i="3" s="1"/>
  <c r="I534" i="3"/>
  <c r="I529" i="9"/>
  <c r="A530" i="9"/>
  <c r="J529" i="9" a="1"/>
  <c r="J529" i="9" s="1"/>
  <c r="A559" i="6"/>
  <c r="I558" i="6"/>
  <c r="J558" i="6" a="1"/>
  <c r="J558" i="6" s="1"/>
  <c r="J518" i="5" a="1"/>
  <c r="J518" i="5" s="1"/>
  <c r="A519" i="5"/>
  <c r="I518" i="5"/>
  <c r="A522" i="7"/>
  <c r="J521" i="7" a="1"/>
  <c r="J521" i="7" s="1"/>
  <c r="I521" i="7"/>
  <c r="J527" i="8" a="1"/>
  <c r="J527" i="8" s="1"/>
  <c r="I527" i="8"/>
  <c r="A528" i="8"/>
  <c r="J528" i="8" l="1" a="1"/>
  <c r="J528" i="8" s="1"/>
  <c r="I528" i="8"/>
  <c r="A529" i="8"/>
  <c r="J522" i="7" a="1"/>
  <c r="J522" i="7" s="1"/>
  <c r="I522" i="7"/>
  <c r="A523" i="7"/>
  <c r="A520" i="5"/>
  <c r="J519" i="5" a="1"/>
  <c r="J519" i="5" s="1"/>
  <c r="I519" i="5"/>
  <c r="A560" i="6"/>
  <c r="J559" i="6" a="1"/>
  <c r="J559" i="6" s="1"/>
  <c r="I559" i="6"/>
  <c r="I530" i="9"/>
  <c r="A531" i="9"/>
  <c r="J530" i="9" a="1"/>
  <c r="J530" i="9" s="1"/>
  <c r="A536" i="3"/>
  <c r="J535" i="3" a="1"/>
  <c r="J535" i="3" s="1"/>
  <c r="I535" i="3"/>
  <c r="J536" i="3" l="1" a="1"/>
  <c r="J536" i="3" s="1"/>
  <c r="A537" i="3"/>
  <c r="I536" i="3"/>
  <c r="A532" i="9"/>
  <c r="J531" i="9" a="1"/>
  <c r="J531" i="9" s="1"/>
  <c r="I531" i="9"/>
  <c r="A561" i="6"/>
  <c r="I560" i="6"/>
  <c r="J560" i="6" a="1"/>
  <c r="J560" i="6" s="1"/>
  <c r="A521" i="5"/>
  <c r="J520" i="5" a="1"/>
  <c r="J520" i="5" s="1"/>
  <c r="I520" i="5"/>
  <c r="A524" i="7"/>
  <c r="I523" i="7"/>
  <c r="J523" i="7" a="1"/>
  <c r="J523" i="7" s="1"/>
  <c r="I529" i="8"/>
  <c r="J529" i="8" a="1"/>
  <c r="J529" i="8" s="1"/>
  <c r="A530" i="8"/>
  <c r="I530" i="8" l="1"/>
  <c r="A531" i="8"/>
  <c r="J530" i="8" a="1"/>
  <c r="J530" i="8" s="1"/>
  <c r="I524" i="7"/>
  <c r="A525" i="7"/>
  <c r="J524" i="7" a="1"/>
  <c r="J524" i="7" s="1"/>
  <c r="J521" i="5" a="1"/>
  <c r="J521" i="5" s="1"/>
  <c r="I521" i="5"/>
  <c r="A522" i="5"/>
  <c r="I561" i="6"/>
  <c r="J561" i="6" a="1"/>
  <c r="J561" i="6" s="1"/>
  <c r="A562" i="6"/>
  <c r="J532" i="9" a="1"/>
  <c r="J532" i="9" s="1"/>
  <c r="I532" i="9"/>
  <c r="A533" i="9"/>
  <c r="A538" i="3"/>
  <c r="I537" i="3"/>
  <c r="J537" i="3" a="1"/>
  <c r="J537" i="3" s="1"/>
  <c r="J538" i="3" l="1" a="1"/>
  <c r="J538" i="3" s="1"/>
  <c r="I538" i="3"/>
  <c r="A539" i="3"/>
  <c r="A534" i="9"/>
  <c r="J533" i="9" a="1"/>
  <c r="J533" i="9" s="1"/>
  <c r="I533" i="9"/>
  <c r="J562" i="6" a="1"/>
  <c r="J562" i="6" s="1"/>
  <c r="A563" i="6"/>
  <c r="I562" i="6"/>
  <c r="J522" i="5" a="1"/>
  <c r="J522" i="5" s="1"/>
  <c r="I522" i="5"/>
  <c r="A523" i="5"/>
  <c r="A526" i="7"/>
  <c r="J525" i="7" a="1"/>
  <c r="J525" i="7" s="1"/>
  <c r="I525" i="7"/>
  <c r="I531" i="8"/>
  <c r="A532" i="8"/>
  <c r="J531" i="8" a="1"/>
  <c r="J531" i="8" s="1"/>
  <c r="J532" i="8" l="1" a="1"/>
  <c r="J532" i="8" s="1"/>
  <c r="A533" i="8"/>
  <c r="I532" i="8"/>
  <c r="A527" i="7"/>
  <c r="J526" i="7" a="1"/>
  <c r="J526" i="7" s="1"/>
  <c r="I526" i="7"/>
  <c r="A524" i="5"/>
  <c r="J523" i="5" a="1"/>
  <c r="J523" i="5" s="1"/>
  <c r="I523" i="5"/>
  <c r="J563" i="6" a="1"/>
  <c r="J563" i="6" s="1"/>
  <c r="I563" i="6"/>
  <c r="A564" i="6"/>
  <c r="A535" i="9"/>
  <c r="I534" i="9"/>
  <c r="J534" i="9" a="1"/>
  <c r="J534" i="9" s="1"/>
  <c r="A540" i="3"/>
  <c r="J539" i="3" a="1"/>
  <c r="J539" i="3" s="1"/>
  <c r="I539" i="3"/>
  <c r="A541" i="3" l="1"/>
  <c r="I540" i="3"/>
  <c r="J540" i="3" a="1"/>
  <c r="J540" i="3" s="1"/>
  <c r="J535" i="9" a="1"/>
  <c r="J535" i="9" s="1"/>
  <c r="I535" i="9"/>
  <c r="A536" i="9"/>
  <c r="A565" i="6"/>
  <c r="I564" i="6"/>
  <c r="J564" i="6" a="1"/>
  <c r="J564" i="6" s="1"/>
  <c r="A525" i="5"/>
  <c r="J524" i="5" a="1"/>
  <c r="J524" i="5" s="1"/>
  <c r="I524" i="5"/>
  <c r="A528" i="7"/>
  <c r="I527" i="7"/>
  <c r="J527" i="7" a="1"/>
  <c r="J527" i="7" s="1"/>
  <c r="A534" i="8"/>
  <c r="J533" i="8" a="1"/>
  <c r="J533" i="8" s="1"/>
  <c r="I533" i="8"/>
  <c r="A535" i="8" l="1"/>
  <c r="J534" i="8" a="1"/>
  <c r="J534" i="8" s="1"/>
  <c r="I534" i="8"/>
  <c r="J528" i="7" a="1"/>
  <c r="J528" i="7" s="1"/>
  <c r="I528" i="7"/>
  <c r="A529" i="7"/>
  <c r="A526" i="5"/>
  <c r="J525" i="5" a="1"/>
  <c r="J525" i="5" s="1"/>
  <c r="I525" i="5"/>
  <c r="J565" i="6" a="1"/>
  <c r="J565" i="6" s="1"/>
  <c r="I565" i="6"/>
  <c r="A566" i="6"/>
  <c r="A537" i="9"/>
  <c r="J536" i="9" a="1"/>
  <c r="J536" i="9" s="1"/>
  <c r="I536" i="9"/>
  <c r="A542" i="3"/>
  <c r="J541" i="3" a="1"/>
  <c r="J541" i="3" s="1"/>
  <c r="I541" i="3"/>
  <c r="J542" i="3" l="1" a="1"/>
  <c r="J542" i="3" s="1"/>
  <c r="A543" i="3"/>
  <c r="I542" i="3"/>
  <c r="I537" i="9"/>
  <c r="A538" i="9"/>
  <c r="J537" i="9" a="1"/>
  <c r="J537" i="9" s="1"/>
  <c r="J566" i="6" a="1"/>
  <c r="J566" i="6" s="1"/>
  <c r="I566" i="6"/>
  <c r="A567" i="6"/>
  <c r="J526" i="5" a="1"/>
  <c r="J526" i="5" s="1"/>
  <c r="A527" i="5"/>
  <c r="I526" i="5"/>
  <c r="A530" i="7"/>
  <c r="J529" i="7" a="1"/>
  <c r="J529" i="7" s="1"/>
  <c r="I529" i="7"/>
  <c r="I535" i="8"/>
  <c r="J535" i="8" a="1"/>
  <c r="J535" i="8" s="1"/>
  <c r="A536" i="8"/>
  <c r="A537" i="8" l="1"/>
  <c r="I536" i="8"/>
  <c r="J536" i="8" a="1"/>
  <c r="J536" i="8" s="1"/>
  <c r="J530" i="7" a="1"/>
  <c r="J530" i="7" s="1"/>
  <c r="A531" i="7"/>
  <c r="I530" i="7"/>
  <c r="A528" i="5"/>
  <c r="J527" i="5" a="1"/>
  <c r="J527" i="5" s="1"/>
  <c r="I527" i="5"/>
  <c r="I567" i="6"/>
  <c r="A568" i="6"/>
  <c r="J567" i="6" a="1"/>
  <c r="J567" i="6" s="1"/>
  <c r="I538" i="9"/>
  <c r="A539" i="9"/>
  <c r="J538" i="9" a="1"/>
  <c r="J538" i="9" s="1"/>
  <c r="J543" i="3" a="1"/>
  <c r="J543" i="3" s="1"/>
  <c r="I543" i="3"/>
  <c r="A544" i="3"/>
  <c r="A545" i="3" l="1"/>
  <c r="J544" i="3" a="1"/>
  <c r="J544" i="3" s="1"/>
  <c r="I544" i="3"/>
  <c r="A540" i="9"/>
  <c r="J539" i="9" a="1"/>
  <c r="J539" i="9" s="1"/>
  <c r="I539" i="9"/>
  <c r="A569" i="6"/>
  <c r="I568" i="6"/>
  <c r="J568" i="6" a="1"/>
  <c r="J568" i="6" s="1"/>
  <c r="A529" i="5"/>
  <c r="J528" i="5" a="1"/>
  <c r="J528" i="5" s="1"/>
  <c r="I528" i="5"/>
  <c r="I531" i="7"/>
  <c r="J531" i="7" a="1"/>
  <c r="J531" i="7" s="1"/>
  <c r="A532" i="7"/>
  <c r="I537" i="8"/>
  <c r="A538" i="8"/>
  <c r="J537" i="8" a="1"/>
  <c r="J537" i="8" s="1"/>
  <c r="A539" i="8" l="1"/>
  <c r="J538" i="8" a="1"/>
  <c r="J538" i="8" s="1"/>
  <c r="I538" i="8"/>
  <c r="I532" i="7"/>
  <c r="A533" i="7"/>
  <c r="J532" i="7" a="1"/>
  <c r="J532" i="7" s="1"/>
  <c r="A530" i="5"/>
  <c r="J529" i="5" a="1"/>
  <c r="J529" i="5" s="1"/>
  <c r="I529" i="5"/>
  <c r="A570" i="6"/>
  <c r="J569" i="6" a="1"/>
  <c r="J569" i="6" s="1"/>
  <c r="I569" i="6"/>
  <c r="A541" i="9"/>
  <c r="J540" i="9" a="1"/>
  <c r="J540" i="9" s="1"/>
  <c r="I540" i="9"/>
  <c r="A546" i="3"/>
  <c r="J545" i="3" a="1"/>
  <c r="J545" i="3" s="1"/>
  <c r="I545" i="3"/>
  <c r="A547" i="3" l="1"/>
  <c r="J546" i="3" a="1"/>
  <c r="J546" i="3" s="1"/>
  <c r="I546" i="3"/>
  <c r="J541" i="9" a="1"/>
  <c r="J541" i="9" s="1"/>
  <c r="I541" i="9"/>
  <c r="A542" i="9"/>
  <c r="A571" i="6"/>
  <c r="I570" i="6"/>
  <c r="J570" i="6" a="1"/>
  <c r="J570" i="6" s="1"/>
  <c r="A531" i="5"/>
  <c r="I530" i="5"/>
  <c r="J530" i="5" a="1"/>
  <c r="J530" i="5" s="1"/>
  <c r="I533" i="7"/>
  <c r="A534" i="7"/>
  <c r="J533" i="7" a="1"/>
  <c r="J533" i="7" s="1"/>
  <c r="A540" i="8"/>
  <c r="J539" i="8" a="1"/>
  <c r="J539" i="8" s="1"/>
  <c r="I539" i="8"/>
  <c r="J540" i="8" l="1" a="1"/>
  <c r="J540" i="8" s="1"/>
  <c r="A541" i="8"/>
  <c r="I540" i="8"/>
  <c r="J534" i="7" a="1"/>
  <c r="J534" i="7" s="1"/>
  <c r="A535" i="7"/>
  <c r="I534" i="7"/>
  <c r="A532" i="5"/>
  <c r="I531" i="5"/>
  <c r="J531" i="5" a="1"/>
  <c r="J531" i="5" s="1"/>
  <c r="A572" i="6"/>
  <c r="J571" i="6" a="1"/>
  <c r="J571" i="6" s="1"/>
  <c r="I571" i="6"/>
  <c r="J542" i="9" a="1"/>
  <c r="J542" i="9" s="1"/>
  <c r="I542" i="9"/>
  <c r="A543" i="9"/>
  <c r="A548" i="3"/>
  <c r="J547" i="3" a="1"/>
  <c r="J547" i="3" s="1"/>
  <c r="I547" i="3"/>
  <c r="J548" i="3" l="1" a="1"/>
  <c r="J548" i="3" s="1"/>
  <c r="A549" i="3"/>
  <c r="I548" i="3"/>
  <c r="A544" i="9"/>
  <c r="J543" i="9" a="1"/>
  <c r="J543" i="9" s="1"/>
  <c r="I543" i="9"/>
  <c r="A573" i="6"/>
  <c r="J572" i="6" a="1"/>
  <c r="J572" i="6" s="1"/>
  <c r="I572" i="6"/>
  <c r="A533" i="5"/>
  <c r="I532" i="5"/>
  <c r="J532" i="5" a="1"/>
  <c r="J532" i="5" s="1"/>
  <c r="A536" i="7"/>
  <c r="J535" i="7" a="1"/>
  <c r="J535" i="7" s="1"/>
  <c r="I535" i="7"/>
  <c r="I541" i="8"/>
  <c r="A542" i="8"/>
  <c r="J541" i="8" a="1"/>
  <c r="J541" i="8" s="1"/>
  <c r="I542" i="8" l="1"/>
  <c r="A543" i="8"/>
  <c r="J542" i="8" a="1"/>
  <c r="J542" i="8" s="1"/>
  <c r="A537" i="7"/>
  <c r="J536" i="7" a="1"/>
  <c r="J536" i="7" s="1"/>
  <c r="I536" i="7"/>
  <c r="A534" i="5"/>
  <c r="J533" i="5" a="1"/>
  <c r="J533" i="5" s="1"/>
  <c r="I533" i="5"/>
  <c r="I573" i="6"/>
  <c r="J573" i="6" a="1"/>
  <c r="J573" i="6" s="1"/>
  <c r="A574" i="6"/>
  <c r="I544" i="9"/>
  <c r="A545" i="9"/>
  <c r="J544" i="9" a="1"/>
  <c r="J544" i="9" s="1"/>
  <c r="I549" i="3"/>
  <c r="A550" i="3"/>
  <c r="J549" i="3" a="1"/>
  <c r="J549" i="3" s="1"/>
  <c r="J550" i="3" l="1" a="1"/>
  <c r="J550" i="3" s="1"/>
  <c r="I550" i="3"/>
  <c r="A551" i="3"/>
  <c r="A546" i="9"/>
  <c r="I545" i="9"/>
  <c r="J545" i="9" a="1"/>
  <c r="J545" i="9" s="1"/>
  <c r="J574" i="6" a="1"/>
  <c r="J574" i="6" s="1"/>
  <c r="I574" i="6"/>
  <c r="A575" i="6"/>
  <c r="A535" i="5"/>
  <c r="I534" i="5"/>
  <c r="J534" i="5" a="1"/>
  <c r="J534" i="5" s="1"/>
  <c r="I537" i="7"/>
  <c r="A538" i="7"/>
  <c r="J537" i="7" a="1"/>
  <c r="J537" i="7" s="1"/>
  <c r="I543" i="8"/>
  <c r="J543" i="8" a="1"/>
  <c r="J543" i="8" s="1"/>
  <c r="A544" i="8"/>
  <c r="A545" i="8" l="1"/>
  <c r="J544" i="8" a="1"/>
  <c r="J544" i="8" s="1"/>
  <c r="I544" i="8"/>
  <c r="J538" i="7" a="1"/>
  <c r="J538" i="7" s="1"/>
  <c r="I538" i="7"/>
  <c r="A539" i="7"/>
  <c r="A536" i="5"/>
  <c r="I535" i="5"/>
  <c r="J535" i="5" a="1"/>
  <c r="J535" i="5" s="1"/>
  <c r="A576" i="6"/>
  <c r="J575" i="6" a="1"/>
  <c r="J575" i="6" s="1"/>
  <c r="I575" i="6"/>
  <c r="A547" i="9"/>
  <c r="J546" i="9" a="1"/>
  <c r="J546" i="9" s="1"/>
  <c r="I546" i="9"/>
  <c r="A552" i="3"/>
  <c r="J551" i="3" a="1"/>
  <c r="J551" i="3" s="1"/>
  <c r="I551" i="3"/>
  <c r="I552" i="3" l="1"/>
  <c r="A553" i="3"/>
  <c r="J552" i="3" a="1"/>
  <c r="J552" i="3" s="1"/>
  <c r="A548" i="9"/>
  <c r="J547" i="9" a="1"/>
  <c r="J547" i="9" s="1"/>
  <c r="I547" i="9"/>
  <c r="J576" i="6" a="1"/>
  <c r="J576" i="6" s="1"/>
  <c r="A577" i="6"/>
  <c r="I576" i="6"/>
  <c r="J536" i="5" a="1"/>
  <c r="J536" i="5" s="1"/>
  <c r="A537" i="5"/>
  <c r="I536" i="5"/>
  <c r="J539" i="7" a="1"/>
  <c r="J539" i="7" s="1"/>
  <c r="I539" i="7"/>
  <c r="A540" i="7"/>
  <c r="J545" i="8" a="1"/>
  <c r="J545" i="8" s="1"/>
  <c r="I545" i="8"/>
  <c r="A546" i="8"/>
  <c r="A547" i="8" l="1"/>
  <c r="J546" i="8" a="1"/>
  <c r="J546" i="8" s="1"/>
  <c r="I546" i="8"/>
  <c r="A541" i="7"/>
  <c r="J540" i="7" a="1"/>
  <c r="J540" i="7" s="1"/>
  <c r="I540" i="7"/>
  <c r="A538" i="5"/>
  <c r="J537" i="5" a="1"/>
  <c r="J537" i="5" s="1"/>
  <c r="I537" i="5"/>
  <c r="A578" i="6"/>
  <c r="J577" i="6" a="1"/>
  <c r="J577" i="6" s="1"/>
  <c r="I577" i="6"/>
  <c r="J548" i="9" a="1"/>
  <c r="J548" i="9" s="1"/>
  <c r="A549" i="9"/>
  <c r="I548" i="9"/>
  <c r="J553" i="3" a="1"/>
  <c r="J553" i="3" s="1"/>
  <c r="I553" i="3"/>
  <c r="A554" i="3"/>
  <c r="J554" i="3" l="1" a="1"/>
  <c r="J554" i="3" s="1"/>
  <c r="A555" i="3"/>
  <c r="I554" i="3"/>
  <c r="I549" i="9"/>
  <c r="A550" i="9"/>
  <c r="J549" i="9" a="1"/>
  <c r="J549" i="9" s="1"/>
  <c r="J578" i="6" a="1"/>
  <c r="J578" i="6" s="1"/>
  <c r="I578" i="6"/>
  <c r="A579" i="6"/>
  <c r="A539" i="5"/>
  <c r="J538" i="5" a="1"/>
  <c r="J538" i="5" s="1"/>
  <c r="I538" i="5"/>
  <c r="A542" i="7"/>
  <c r="J541" i="7" a="1"/>
  <c r="J541" i="7" s="1"/>
  <c r="I541" i="7"/>
  <c r="I547" i="8"/>
  <c r="A548" i="8"/>
  <c r="J547" i="8" a="1"/>
  <c r="J547" i="8" s="1"/>
  <c r="I548" i="8" l="1"/>
  <c r="J548" i="8" a="1"/>
  <c r="J548" i="8" s="1"/>
  <c r="A549" i="8"/>
  <c r="I542" i="7"/>
  <c r="J542" i="7" a="1"/>
  <c r="J542" i="7" s="1"/>
  <c r="A543" i="7"/>
  <c r="A540" i="5"/>
  <c r="I539" i="5"/>
  <c r="J539" i="5" a="1"/>
  <c r="J539" i="5" s="1"/>
  <c r="I579" i="6"/>
  <c r="A580" i="6"/>
  <c r="J579" i="6" a="1"/>
  <c r="J579" i="6" s="1"/>
  <c r="A551" i="9"/>
  <c r="J550" i="9" a="1"/>
  <c r="J550" i="9" s="1"/>
  <c r="I550" i="9"/>
  <c r="J555" i="3" a="1"/>
  <c r="J555" i="3" s="1"/>
  <c r="A556" i="3"/>
  <c r="I555" i="3"/>
  <c r="A557" i="3" l="1"/>
  <c r="I556" i="3"/>
  <c r="J556" i="3" a="1"/>
  <c r="J556" i="3" s="1"/>
  <c r="I551" i="9"/>
  <c r="A552" i="9"/>
  <c r="J551" i="9" a="1"/>
  <c r="J551" i="9" s="1"/>
  <c r="A581" i="6"/>
  <c r="J580" i="6" a="1"/>
  <c r="J580" i="6" s="1"/>
  <c r="I580" i="6"/>
  <c r="A541" i="5"/>
  <c r="J540" i="5" a="1"/>
  <c r="J540" i="5" s="1"/>
  <c r="I540" i="5"/>
  <c r="J543" i="7" a="1"/>
  <c r="J543" i="7" s="1"/>
  <c r="A544" i="7"/>
  <c r="I543" i="7"/>
  <c r="J549" i="8" a="1"/>
  <c r="J549" i="8" s="1"/>
  <c r="I549" i="8"/>
  <c r="A550" i="8"/>
  <c r="A551" i="8" l="1"/>
  <c r="J550" i="8" a="1"/>
  <c r="J550" i="8" s="1"/>
  <c r="I550" i="8"/>
  <c r="A545" i="7"/>
  <c r="I544" i="7"/>
  <c r="J544" i="7" a="1"/>
  <c r="J544" i="7" s="1"/>
  <c r="J541" i="5" a="1"/>
  <c r="J541" i="5" s="1"/>
  <c r="I541" i="5"/>
  <c r="A542" i="5"/>
  <c r="A582" i="6"/>
  <c r="I581" i="6"/>
  <c r="J581" i="6" a="1"/>
  <c r="J581" i="6" s="1"/>
  <c r="A553" i="9"/>
  <c r="J552" i="9" a="1"/>
  <c r="J552" i="9" s="1"/>
  <c r="I552" i="9"/>
  <c r="I557" i="3"/>
  <c r="A558" i="3"/>
  <c r="J557" i="3" a="1"/>
  <c r="J557" i="3" s="1"/>
  <c r="J558" i="3" l="1" a="1"/>
  <c r="J558" i="3" s="1"/>
  <c r="A559" i="3"/>
  <c r="I558" i="3"/>
  <c r="I553" i="9"/>
  <c r="A554" i="9"/>
  <c r="J553" i="9" a="1"/>
  <c r="J553" i="9" s="1"/>
  <c r="I582" i="6"/>
  <c r="A583" i="6"/>
  <c r="J582" i="6" a="1"/>
  <c r="J582" i="6" s="1"/>
  <c r="I542" i="5"/>
  <c r="A543" i="5"/>
  <c r="J542" i="5" a="1"/>
  <c r="J542" i="5" s="1"/>
  <c r="J545" i="7" a="1"/>
  <c r="J545" i="7" s="1"/>
  <c r="A546" i="7"/>
  <c r="I545" i="7"/>
  <c r="A552" i="8"/>
  <c r="J551" i="8" a="1"/>
  <c r="J551" i="8" s="1"/>
  <c r="I551" i="8"/>
  <c r="J552" i="8" l="1" a="1"/>
  <c r="J552" i="8" s="1"/>
  <c r="A553" i="8"/>
  <c r="I552" i="8"/>
  <c r="A547" i="7"/>
  <c r="J546" i="7" a="1"/>
  <c r="J546" i="7" s="1"/>
  <c r="I546" i="7"/>
  <c r="A544" i="5"/>
  <c r="J543" i="5" a="1"/>
  <c r="J543" i="5" s="1"/>
  <c r="I543" i="5"/>
  <c r="I583" i="6"/>
  <c r="A584" i="6"/>
  <c r="J583" i="6" a="1"/>
  <c r="J583" i="6" s="1"/>
  <c r="I554" i="9"/>
  <c r="A555" i="9"/>
  <c r="J554" i="9" a="1"/>
  <c r="J554" i="9" s="1"/>
  <c r="A560" i="3"/>
  <c r="I559" i="3"/>
  <c r="J559" i="3" a="1"/>
  <c r="J559" i="3" s="1"/>
  <c r="J560" i="3" l="1" a="1"/>
  <c r="J560" i="3" s="1"/>
  <c r="I560" i="3"/>
  <c r="A561" i="3"/>
  <c r="A556" i="9"/>
  <c r="J555" i="9" a="1"/>
  <c r="J555" i="9" s="1"/>
  <c r="I555" i="9"/>
  <c r="A585" i="6"/>
  <c r="J584" i="6" a="1"/>
  <c r="J584" i="6" s="1"/>
  <c r="I584" i="6"/>
  <c r="J544" i="5" a="1"/>
  <c r="J544" i="5" s="1"/>
  <c r="A545" i="5"/>
  <c r="I544" i="5"/>
  <c r="A548" i="7"/>
  <c r="J547" i="7" a="1"/>
  <c r="J547" i="7" s="1"/>
  <c r="I547" i="7"/>
  <c r="I553" i="8"/>
  <c r="A554" i="8"/>
  <c r="J553" i="8" a="1"/>
  <c r="J553" i="8" s="1"/>
  <c r="J554" i="8" l="1" a="1"/>
  <c r="J554" i="8" s="1"/>
  <c r="A555" i="8"/>
  <c r="I554" i="8"/>
  <c r="J548" i="7" a="1"/>
  <c r="J548" i="7" s="1"/>
  <c r="I548" i="7"/>
  <c r="A549" i="7"/>
  <c r="A546" i="5"/>
  <c r="J545" i="5" a="1"/>
  <c r="J545" i="5" s="1"/>
  <c r="I545" i="5"/>
  <c r="I585" i="6"/>
  <c r="A586" i="6"/>
  <c r="J585" i="6" a="1"/>
  <c r="J585" i="6" s="1"/>
  <c r="J556" i="9" a="1"/>
  <c r="J556" i="9" s="1"/>
  <c r="I556" i="9"/>
  <c r="A557" i="9"/>
  <c r="A562" i="3"/>
  <c r="J561" i="3" a="1"/>
  <c r="J561" i="3" s="1"/>
  <c r="I561" i="3"/>
  <c r="A563" i="3" l="1"/>
  <c r="J562" i="3" a="1"/>
  <c r="J562" i="3" s="1"/>
  <c r="I562" i="3"/>
  <c r="A558" i="9"/>
  <c r="J557" i="9" a="1"/>
  <c r="J557" i="9" s="1"/>
  <c r="I557" i="9"/>
  <c r="A587" i="6"/>
  <c r="J586" i="6" a="1"/>
  <c r="J586" i="6" s="1"/>
  <c r="I586" i="6"/>
  <c r="J546" i="5" a="1"/>
  <c r="J546" i="5" s="1"/>
  <c r="I546" i="5"/>
  <c r="A547" i="5"/>
  <c r="A550" i="7"/>
  <c r="J549" i="7" a="1"/>
  <c r="J549" i="7" s="1"/>
  <c r="I549" i="7"/>
  <c r="I555" i="8"/>
  <c r="A556" i="8"/>
  <c r="J555" i="8" a="1"/>
  <c r="J555" i="8" s="1"/>
  <c r="I556" i="8" l="1"/>
  <c r="J556" i="8" a="1"/>
  <c r="J556" i="8" s="1"/>
  <c r="A557" i="8"/>
  <c r="A551" i="7"/>
  <c r="J550" i="7" a="1"/>
  <c r="J550" i="7" s="1"/>
  <c r="I550" i="7"/>
  <c r="J547" i="5" a="1"/>
  <c r="J547" i="5" s="1"/>
  <c r="I547" i="5"/>
  <c r="A548" i="5"/>
  <c r="A588" i="6"/>
  <c r="J587" i="6" a="1"/>
  <c r="J587" i="6" s="1"/>
  <c r="I587" i="6"/>
  <c r="A559" i="9"/>
  <c r="I558" i="9"/>
  <c r="J558" i="9" a="1"/>
  <c r="J558" i="9" s="1"/>
  <c r="A564" i="3"/>
  <c r="J563" i="3" a="1"/>
  <c r="J563" i="3" s="1"/>
  <c r="I563" i="3"/>
  <c r="A565" i="3" l="1"/>
  <c r="I564" i="3"/>
  <c r="J564" i="3" a="1"/>
  <c r="J564" i="3" s="1"/>
  <c r="I559" i="9"/>
  <c r="A560" i="9"/>
  <c r="J559" i="9" a="1"/>
  <c r="J559" i="9" s="1"/>
  <c r="J588" i="6" a="1"/>
  <c r="J588" i="6" s="1"/>
  <c r="A589" i="6"/>
  <c r="I588" i="6"/>
  <c r="A549" i="5"/>
  <c r="J548" i="5" a="1"/>
  <c r="J548" i="5" s="1"/>
  <c r="I548" i="5"/>
  <c r="A552" i="7"/>
  <c r="J551" i="7" a="1"/>
  <c r="J551" i="7" s="1"/>
  <c r="I551" i="7"/>
  <c r="A558" i="8"/>
  <c r="J557" i="8" a="1"/>
  <c r="J557" i="8" s="1"/>
  <c r="I557" i="8"/>
  <c r="J558" i="8" l="1" a="1"/>
  <c r="J558" i="8" s="1"/>
  <c r="A559" i="8"/>
  <c r="I558" i="8"/>
  <c r="J552" i="7" a="1"/>
  <c r="J552" i="7" s="1"/>
  <c r="I552" i="7"/>
  <c r="A553" i="7"/>
  <c r="A550" i="5"/>
  <c r="J549" i="5" a="1"/>
  <c r="J549" i="5" s="1"/>
  <c r="I549" i="5"/>
  <c r="J589" i="6" a="1"/>
  <c r="J589" i="6" s="1"/>
  <c r="A590" i="6"/>
  <c r="I589" i="6"/>
  <c r="A561" i="9"/>
  <c r="J560" i="9" a="1"/>
  <c r="J560" i="9" s="1"/>
  <c r="I560" i="9"/>
  <c r="A566" i="3"/>
  <c r="J565" i="3" a="1"/>
  <c r="J565" i="3" s="1"/>
  <c r="I565" i="3"/>
  <c r="J566" i="3" l="1" a="1"/>
  <c r="J566" i="3" s="1"/>
  <c r="A567" i="3"/>
  <c r="I566" i="3"/>
  <c r="J561" i="9" a="1"/>
  <c r="J561" i="9" s="1"/>
  <c r="I561" i="9"/>
  <c r="A562" i="9"/>
  <c r="A591" i="6"/>
  <c r="J590" i="6" a="1"/>
  <c r="J590" i="6" s="1"/>
  <c r="I590" i="6"/>
  <c r="I550" i="5"/>
  <c r="A551" i="5"/>
  <c r="J550" i="5" a="1"/>
  <c r="J550" i="5" s="1"/>
  <c r="A554" i="7"/>
  <c r="I553" i="7"/>
  <c r="J553" i="7" a="1"/>
  <c r="J553" i="7" s="1"/>
  <c r="I559" i="8"/>
  <c r="A560" i="8"/>
  <c r="J559" i="8" a="1"/>
  <c r="J559" i="8" s="1"/>
  <c r="I560" i="8" l="1"/>
  <c r="A561" i="8"/>
  <c r="J560" i="8" a="1"/>
  <c r="J560" i="8" s="1"/>
  <c r="A555" i="7"/>
  <c r="I554" i="7"/>
  <c r="J554" i="7" a="1"/>
  <c r="J554" i="7" s="1"/>
  <c r="J551" i="5" a="1"/>
  <c r="J551" i="5" s="1"/>
  <c r="A552" i="5"/>
  <c r="I551" i="5"/>
  <c r="I591" i="6"/>
  <c r="J591" i="6" a="1"/>
  <c r="J591" i="6" s="1"/>
  <c r="A592" i="6"/>
  <c r="A563" i="9"/>
  <c r="I562" i="9"/>
  <c r="J562" i="9" a="1"/>
  <c r="J562" i="9" s="1"/>
  <c r="A568" i="3"/>
  <c r="J567" i="3" a="1"/>
  <c r="J567" i="3" s="1"/>
  <c r="I567" i="3"/>
  <c r="A569" i="3" l="1"/>
  <c r="J568" i="3" a="1"/>
  <c r="J568" i="3" s="1"/>
  <c r="I568" i="3"/>
  <c r="A564" i="9"/>
  <c r="I563" i="9"/>
  <c r="J563" i="9" a="1"/>
  <c r="J563" i="9" s="1"/>
  <c r="A593" i="6"/>
  <c r="J592" i="6" a="1"/>
  <c r="J592" i="6" s="1"/>
  <c r="I592" i="6"/>
  <c r="A553" i="5"/>
  <c r="J552" i="5" a="1"/>
  <c r="J552" i="5" s="1"/>
  <c r="I552" i="5"/>
  <c r="J555" i="7" a="1"/>
  <c r="J555" i="7" s="1"/>
  <c r="I555" i="7"/>
  <c r="A556" i="7"/>
  <c r="J561" i="8" a="1"/>
  <c r="J561" i="8" s="1"/>
  <c r="I561" i="8"/>
  <c r="A562" i="8"/>
  <c r="A563" i="8" l="1"/>
  <c r="I562" i="8"/>
  <c r="J562" i="8" a="1"/>
  <c r="J562" i="8" s="1"/>
  <c r="J556" i="7" a="1"/>
  <c r="J556" i="7" s="1"/>
  <c r="A557" i="7"/>
  <c r="I556" i="7"/>
  <c r="A554" i="5"/>
  <c r="J553" i="5" a="1"/>
  <c r="J553" i="5" s="1"/>
  <c r="I553" i="5"/>
  <c r="A594" i="6"/>
  <c r="I593" i="6"/>
  <c r="J593" i="6" a="1"/>
  <c r="J593" i="6" s="1"/>
  <c r="A565" i="9"/>
  <c r="J564" i="9" a="1"/>
  <c r="J564" i="9" s="1"/>
  <c r="I564" i="9"/>
  <c r="J569" i="3" a="1"/>
  <c r="J569" i="3" s="1"/>
  <c r="I569" i="3"/>
  <c r="A570" i="3"/>
  <c r="A571" i="3" l="1"/>
  <c r="J570" i="3" a="1"/>
  <c r="J570" i="3" s="1"/>
  <c r="I570" i="3"/>
  <c r="I565" i="9"/>
  <c r="J565" i="9" a="1"/>
  <c r="J565" i="9" s="1"/>
  <c r="A566" i="9"/>
  <c r="I594" i="6"/>
  <c r="J594" i="6" a="1"/>
  <c r="J594" i="6" s="1"/>
  <c r="A595" i="6"/>
  <c r="A555" i="5"/>
  <c r="J554" i="5" a="1"/>
  <c r="J554" i="5" s="1"/>
  <c r="I554" i="5"/>
  <c r="I557" i="7"/>
  <c r="J557" i="7" a="1"/>
  <c r="J557" i="7" s="1"/>
  <c r="A558" i="7"/>
  <c r="I563" i="8"/>
  <c r="A564" i="8"/>
  <c r="J563" i="8" a="1"/>
  <c r="J563" i="8" s="1"/>
  <c r="A565" i="8" l="1"/>
  <c r="I564" i="8"/>
  <c r="J564" i="8" a="1"/>
  <c r="J564" i="8" s="1"/>
  <c r="I558" i="7"/>
  <c r="J558" i="7" a="1"/>
  <c r="J558" i="7" s="1"/>
  <c r="A559" i="7"/>
  <c r="A556" i="5"/>
  <c r="I555" i="5"/>
  <c r="J555" i="5" a="1"/>
  <c r="J555" i="5" s="1"/>
  <c r="A596" i="6"/>
  <c r="I595" i="6"/>
  <c r="J595" i="6" a="1"/>
  <c r="J595" i="6" s="1"/>
  <c r="I566" i="9"/>
  <c r="A567" i="9"/>
  <c r="J566" i="9" a="1"/>
  <c r="J566" i="9" s="1"/>
  <c r="A572" i="3"/>
  <c r="I571" i="3"/>
  <c r="J571" i="3" a="1"/>
  <c r="J571" i="3" s="1"/>
  <c r="J572" i="3" l="1" a="1"/>
  <c r="J572" i="3" s="1"/>
  <c r="A573" i="3"/>
  <c r="I572" i="3"/>
  <c r="I567" i="9"/>
  <c r="A568" i="9"/>
  <c r="J567" i="9" a="1"/>
  <c r="J567" i="9" s="1"/>
  <c r="A597" i="6"/>
  <c r="J596" i="6" a="1"/>
  <c r="J596" i="6" s="1"/>
  <c r="I596" i="6"/>
  <c r="J556" i="5" a="1"/>
  <c r="J556" i="5" s="1"/>
  <c r="I556" i="5"/>
  <c r="A557" i="5"/>
  <c r="A560" i="7"/>
  <c r="J559" i="7" a="1"/>
  <c r="J559" i="7" s="1"/>
  <c r="I559" i="7"/>
  <c r="I565" i="8"/>
  <c r="A566" i="8"/>
  <c r="J565" i="8" a="1"/>
  <c r="J565" i="8" s="1"/>
  <c r="A567" i="8" l="1"/>
  <c r="I566" i="8"/>
  <c r="J566" i="8" a="1"/>
  <c r="J566" i="8" s="1"/>
  <c r="A561" i="7"/>
  <c r="J560" i="7" a="1"/>
  <c r="J560" i="7" s="1"/>
  <c r="I560" i="7"/>
  <c r="A558" i="5"/>
  <c r="I557" i="5"/>
  <c r="J557" i="5" a="1"/>
  <c r="J557" i="5" s="1"/>
  <c r="I597" i="6"/>
  <c r="A598" i="6"/>
  <c r="J597" i="6" a="1"/>
  <c r="J597" i="6" s="1"/>
  <c r="A569" i="9"/>
  <c r="J568" i="9" a="1"/>
  <c r="J568" i="9" s="1"/>
  <c r="I568" i="9"/>
  <c r="A574" i="3"/>
  <c r="J573" i="3" a="1"/>
  <c r="J573" i="3" s="1"/>
  <c r="I573" i="3"/>
  <c r="I574" i="3" l="1"/>
  <c r="A575" i="3"/>
  <c r="J574" i="3" a="1"/>
  <c r="J574" i="3" s="1"/>
  <c r="A570" i="9"/>
  <c r="J569" i="9" a="1"/>
  <c r="J569" i="9" s="1"/>
  <c r="I569" i="9"/>
  <c r="I598" i="6"/>
  <c r="J598" i="6" a="1"/>
  <c r="J598" i="6" s="1"/>
  <c r="A599" i="6"/>
  <c r="A559" i="5"/>
  <c r="J558" i="5" a="1"/>
  <c r="J558" i="5" s="1"/>
  <c r="I558" i="5"/>
  <c r="A562" i="7"/>
  <c r="J561" i="7" a="1"/>
  <c r="J561" i="7" s="1"/>
  <c r="I561" i="7"/>
  <c r="A568" i="8"/>
  <c r="J567" i="8" a="1"/>
  <c r="J567" i="8" s="1"/>
  <c r="I567" i="8"/>
  <c r="I568" i="8" l="1"/>
  <c r="A569" i="8"/>
  <c r="J568" i="8" a="1"/>
  <c r="J568" i="8" s="1"/>
  <c r="J562" i="7" a="1"/>
  <c r="J562" i="7" s="1"/>
  <c r="I562" i="7"/>
  <c r="A563" i="7"/>
  <c r="A560" i="5"/>
  <c r="I559" i="5"/>
  <c r="J559" i="5" a="1"/>
  <c r="J559" i="5" s="1"/>
  <c r="J599" i="6" a="1"/>
  <c r="J599" i="6" s="1"/>
  <c r="I599" i="6"/>
  <c r="A600" i="6"/>
  <c r="J570" i="9" a="1"/>
  <c r="J570" i="9" s="1"/>
  <c r="I570" i="9"/>
  <c r="A571" i="9"/>
  <c r="A576" i="3"/>
  <c r="J575" i="3" a="1"/>
  <c r="J575" i="3" s="1"/>
  <c r="I575" i="3"/>
  <c r="A577" i="3" l="1"/>
  <c r="J576" i="3" a="1"/>
  <c r="J576" i="3" s="1"/>
  <c r="I576" i="3"/>
  <c r="I571" i="9"/>
  <c r="J571" i="9" a="1"/>
  <c r="J571" i="9" s="1"/>
  <c r="A572" i="9"/>
  <c r="A601" i="6"/>
  <c r="I600" i="6"/>
  <c r="J600" i="6" a="1"/>
  <c r="J600" i="6" s="1"/>
  <c r="A561" i="5"/>
  <c r="I560" i="5"/>
  <c r="J560" i="5" a="1"/>
  <c r="J560" i="5" s="1"/>
  <c r="J563" i="7" a="1"/>
  <c r="J563" i="7" s="1"/>
  <c r="A564" i="7"/>
  <c r="I563" i="7"/>
  <c r="I569" i="8"/>
  <c r="J569" i="8" a="1"/>
  <c r="J569" i="8" s="1"/>
  <c r="A570" i="8"/>
  <c r="A571" i="8" l="1"/>
  <c r="J570" i="8" a="1"/>
  <c r="J570" i="8" s="1"/>
  <c r="I570" i="8"/>
  <c r="J564" i="7" a="1"/>
  <c r="J564" i="7" s="1"/>
  <c r="I564" i="7"/>
  <c r="A565" i="7"/>
  <c r="A562" i="5"/>
  <c r="J561" i="5" a="1"/>
  <c r="J561" i="5" s="1"/>
  <c r="I561" i="5"/>
  <c r="J601" i="6" a="1"/>
  <c r="J601" i="6" s="1"/>
  <c r="I601" i="6"/>
  <c r="A602" i="6"/>
  <c r="A573" i="9"/>
  <c r="J572" i="9" a="1"/>
  <c r="J572" i="9" s="1"/>
  <c r="I572" i="9"/>
  <c r="I577" i="3"/>
  <c r="J577" i="3" a="1"/>
  <c r="J577" i="3" s="1"/>
  <c r="A578" i="3"/>
  <c r="J578" i="3" l="1" a="1"/>
  <c r="J578" i="3" s="1"/>
  <c r="A579" i="3"/>
  <c r="I578" i="3"/>
  <c r="J573" i="9" a="1"/>
  <c r="J573" i="9" s="1"/>
  <c r="I573" i="9"/>
  <c r="A574" i="9"/>
  <c r="J602" i="6" a="1"/>
  <c r="J602" i="6" s="1"/>
  <c r="A603" i="6"/>
  <c r="I602" i="6"/>
  <c r="J562" i="5" a="1"/>
  <c r="J562" i="5" s="1"/>
  <c r="A563" i="5"/>
  <c r="I562" i="5"/>
  <c r="A566" i="7"/>
  <c r="J565" i="7" a="1"/>
  <c r="J565" i="7" s="1"/>
  <c r="I565" i="7"/>
  <c r="I571" i="8"/>
  <c r="J571" i="8" a="1"/>
  <c r="J571" i="8" s="1"/>
  <c r="A572" i="8"/>
  <c r="A573" i="8" l="1"/>
  <c r="J572" i="8" a="1"/>
  <c r="J572" i="8" s="1"/>
  <c r="I572" i="8"/>
  <c r="A567" i="7"/>
  <c r="J566" i="7" a="1"/>
  <c r="J566" i="7" s="1"/>
  <c r="I566" i="7"/>
  <c r="A564" i="5"/>
  <c r="J563" i="5" a="1"/>
  <c r="J563" i="5" s="1"/>
  <c r="I563" i="5"/>
  <c r="I603" i="6"/>
  <c r="A604" i="6"/>
  <c r="J603" i="6" a="1"/>
  <c r="J603" i="6" s="1"/>
  <c r="I574" i="9"/>
  <c r="J574" i="9" a="1"/>
  <c r="J574" i="9" s="1"/>
  <c r="A575" i="9"/>
  <c r="J579" i="3" a="1"/>
  <c r="J579" i="3" s="1"/>
  <c r="I579" i="3"/>
  <c r="A580" i="3"/>
  <c r="J580" i="3" l="1" a="1"/>
  <c r="J580" i="3" s="1"/>
  <c r="A581" i="3"/>
  <c r="I580" i="3"/>
  <c r="A576" i="9"/>
  <c r="J575" i="9" a="1"/>
  <c r="J575" i="9" s="1"/>
  <c r="I575" i="9"/>
  <c r="J604" i="6" a="1"/>
  <c r="J604" i="6" s="1"/>
  <c r="A605" i="6"/>
  <c r="I604" i="6"/>
  <c r="A565" i="5"/>
  <c r="I564" i="5"/>
  <c r="J564" i="5" a="1"/>
  <c r="J564" i="5" s="1"/>
  <c r="I567" i="7"/>
  <c r="J567" i="7" a="1"/>
  <c r="J567" i="7" s="1"/>
  <c r="A568" i="7"/>
  <c r="I573" i="8"/>
  <c r="J573" i="8" a="1"/>
  <c r="J573" i="8" s="1"/>
  <c r="A574" i="8"/>
  <c r="A575" i="8" l="1"/>
  <c r="J574" i="8" a="1"/>
  <c r="J574" i="8" s="1"/>
  <c r="I574" i="8"/>
  <c r="A569" i="7"/>
  <c r="J568" i="7" a="1"/>
  <c r="J568" i="7" s="1"/>
  <c r="I568" i="7"/>
  <c r="A566" i="5"/>
  <c r="J565" i="5" a="1"/>
  <c r="J565" i="5" s="1"/>
  <c r="I565" i="5"/>
  <c r="A606" i="6"/>
  <c r="J605" i="6" a="1"/>
  <c r="J605" i="6" s="1"/>
  <c r="I605" i="6"/>
  <c r="A577" i="9"/>
  <c r="I576" i="9"/>
  <c r="J576" i="9" a="1"/>
  <c r="J576" i="9" s="1"/>
  <c r="A582" i="3"/>
  <c r="I581" i="3"/>
  <c r="J581" i="3" a="1"/>
  <c r="J581" i="3" s="1"/>
  <c r="A583" i="3" l="1"/>
  <c r="J582" i="3" a="1"/>
  <c r="J582" i="3" s="1"/>
  <c r="I582" i="3"/>
  <c r="I577" i="9"/>
  <c r="A578" i="9"/>
  <c r="J577" i="9" a="1"/>
  <c r="J577" i="9" s="1"/>
  <c r="A607" i="6"/>
  <c r="I606" i="6"/>
  <c r="J606" i="6" a="1"/>
  <c r="J606" i="6" s="1"/>
  <c r="J566" i="5" a="1"/>
  <c r="J566" i="5" s="1"/>
  <c r="I566" i="5"/>
  <c r="A567" i="5"/>
  <c r="J569" i="7" a="1"/>
  <c r="J569" i="7" s="1"/>
  <c r="A570" i="7"/>
  <c r="I569" i="7"/>
  <c r="A576" i="8"/>
  <c r="J575" i="8" a="1"/>
  <c r="J575" i="8" s="1"/>
  <c r="I575" i="8"/>
  <c r="I576" i="8" l="1"/>
  <c r="A577" i="8"/>
  <c r="J576" i="8" a="1"/>
  <c r="J576" i="8" s="1"/>
  <c r="J570" i="7" a="1"/>
  <c r="J570" i="7" s="1"/>
  <c r="A571" i="7"/>
  <c r="I570" i="7"/>
  <c r="A568" i="5"/>
  <c r="I567" i="5"/>
  <c r="J567" i="5" a="1"/>
  <c r="J567" i="5" s="1"/>
  <c r="I607" i="6"/>
  <c r="J607" i="6" a="1"/>
  <c r="J607" i="6" s="1"/>
  <c r="A608" i="6"/>
  <c r="A579" i="9"/>
  <c r="I578" i="9"/>
  <c r="J578" i="9" a="1"/>
  <c r="J578" i="9" s="1"/>
  <c r="J583" i="3" a="1"/>
  <c r="J583" i="3" s="1"/>
  <c r="A584" i="3"/>
  <c r="I583" i="3"/>
  <c r="J584" i="3" l="1" a="1"/>
  <c r="J584" i="3" s="1"/>
  <c r="I584" i="3"/>
  <c r="A585" i="3"/>
  <c r="I579" i="9"/>
  <c r="A580" i="9"/>
  <c r="J579" i="9" a="1"/>
  <c r="J579" i="9" s="1"/>
  <c r="A609" i="6"/>
  <c r="I608" i="6"/>
  <c r="J608" i="6" a="1"/>
  <c r="J608" i="6" s="1"/>
  <c r="A569" i="5"/>
  <c r="J568" i="5" a="1"/>
  <c r="J568" i="5" s="1"/>
  <c r="I568" i="5"/>
  <c r="A572" i="7"/>
  <c r="J571" i="7" a="1"/>
  <c r="J571" i="7" s="1"/>
  <c r="I571" i="7"/>
  <c r="J577" i="8" a="1"/>
  <c r="J577" i="8" s="1"/>
  <c r="A578" i="8"/>
  <c r="I577" i="8"/>
  <c r="J578" i="8" l="1" a="1"/>
  <c r="J578" i="8" s="1"/>
  <c r="A579" i="8"/>
  <c r="I578" i="8"/>
  <c r="A573" i="7"/>
  <c r="J572" i="7" a="1"/>
  <c r="J572" i="7" s="1"/>
  <c r="I572" i="7"/>
  <c r="J569" i="5" a="1"/>
  <c r="J569" i="5" s="1"/>
  <c r="A570" i="5"/>
  <c r="I569" i="5"/>
  <c r="I609" i="6"/>
  <c r="A610" i="6"/>
  <c r="J609" i="6" a="1"/>
  <c r="J609" i="6" s="1"/>
  <c r="I580" i="9"/>
  <c r="A581" i="9"/>
  <c r="J580" i="9" a="1"/>
  <c r="J580" i="9" s="1"/>
  <c r="A586" i="3"/>
  <c r="J585" i="3" a="1"/>
  <c r="J585" i="3" s="1"/>
  <c r="I585" i="3"/>
  <c r="J586" i="3" l="1" a="1"/>
  <c r="J586" i="3" s="1"/>
  <c r="I586" i="3"/>
  <c r="A587" i="3"/>
  <c r="J581" i="9" a="1"/>
  <c r="J581" i="9" s="1"/>
  <c r="I581" i="9"/>
  <c r="A582" i="9"/>
  <c r="A611" i="6"/>
  <c r="J610" i="6" a="1"/>
  <c r="J610" i="6" s="1"/>
  <c r="I610" i="6"/>
  <c r="A571" i="5"/>
  <c r="J570" i="5" a="1"/>
  <c r="J570" i="5" s="1"/>
  <c r="I570" i="5"/>
  <c r="J573" i="7" a="1"/>
  <c r="J573" i="7" s="1"/>
  <c r="I573" i="7"/>
  <c r="A574" i="7"/>
  <c r="A580" i="8"/>
  <c r="I579" i="8"/>
  <c r="J579" i="8" a="1"/>
  <c r="J579" i="8" s="1"/>
  <c r="I580" i="8" l="1"/>
  <c r="J580" i="8" a="1"/>
  <c r="J580" i="8" s="1"/>
  <c r="A581" i="8"/>
  <c r="I574" i="7"/>
  <c r="J574" i="7" a="1"/>
  <c r="J574" i="7" s="1"/>
  <c r="A575" i="7"/>
  <c r="J571" i="5" a="1"/>
  <c r="J571" i="5" s="1"/>
  <c r="I571" i="5"/>
  <c r="A572" i="5"/>
  <c r="I611" i="6"/>
  <c r="A612" i="6"/>
  <c r="J611" i="6" a="1"/>
  <c r="J611" i="6" s="1"/>
  <c r="A583" i="9"/>
  <c r="J582" i="9" a="1"/>
  <c r="J582" i="9" s="1"/>
  <c r="I582" i="9"/>
  <c r="A588" i="3"/>
  <c r="J587" i="3" a="1"/>
  <c r="J587" i="3" s="1"/>
  <c r="I587" i="3"/>
  <c r="A589" i="3" l="1"/>
  <c r="J588" i="3" a="1"/>
  <c r="J588" i="3" s="1"/>
  <c r="I588" i="3"/>
  <c r="I583" i="9"/>
  <c r="J583" i="9" a="1"/>
  <c r="J583" i="9" s="1"/>
  <c r="A584" i="9"/>
  <c r="A613" i="6"/>
  <c r="J612" i="6" a="1"/>
  <c r="J612" i="6" s="1"/>
  <c r="I612" i="6"/>
  <c r="J572" i="5" a="1"/>
  <c r="J572" i="5" s="1"/>
  <c r="I572" i="5"/>
  <c r="A573" i="5"/>
  <c r="A576" i="7"/>
  <c r="I575" i="7"/>
  <c r="J575" i="7" a="1"/>
  <c r="J575" i="7" s="1"/>
  <c r="J581" i="8" a="1"/>
  <c r="J581" i="8" s="1"/>
  <c r="I581" i="8"/>
  <c r="A582" i="8"/>
  <c r="A583" i="8" l="1"/>
  <c r="J582" i="8" a="1"/>
  <c r="J582" i="8" s="1"/>
  <c r="I582" i="8"/>
  <c r="A577" i="7"/>
  <c r="I576" i="7"/>
  <c r="J576" i="7" a="1"/>
  <c r="J576" i="7" s="1"/>
  <c r="A574" i="5"/>
  <c r="J573" i="5" a="1"/>
  <c r="J573" i="5" s="1"/>
  <c r="I573" i="5"/>
  <c r="J613" i="6" a="1"/>
  <c r="J613" i="6" s="1"/>
  <c r="A614" i="6"/>
  <c r="I613" i="6"/>
  <c r="I584" i="9"/>
  <c r="J584" i="9" a="1"/>
  <c r="J584" i="9" s="1"/>
  <c r="A585" i="9"/>
  <c r="A590" i="3"/>
  <c r="J589" i="3" a="1"/>
  <c r="J589" i="3" s="1"/>
  <c r="I589" i="3"/>
  <c r="J590" i="3" l="1" a="1"/>
  <c r="J590" i="3" s="1"/>
  <c r="A591" i="3"/>
  <c r="I590" i="3"/>
  <c r="J585" i="9" a="1"/>
  <c r="J585" i="9" s="1"/>
  <c r="I585" i="9"/>
  <c r="A586" i="9"/>
  <c r="J614" i="6" a="1"/>
  <c r="J614" i="6" s="1"/>
  <c r="I614" i="6"/>
  <c r="A615" i="6"/>
  <c r="A575" i="5"/>
  <c r="I574" i="5"/>
  <c r="J574" i="5" a="1"/>
  <c r="J574" i="5" s="1"/>
  <c r="A578" i="7"/>
  <c r="J577" i="7" a="1"/>
  <c r="J577" i="7" s="1"/>
  <c r="I577" i="7"/>
  <c r="I583" i="8"/>
  <c r="A584" i="8"/>
  <c r="J583" i="8" a="1"/>
  <c r="J583" i="8" s="1"/>
  <c r="A585" i="8" l="1"/>
  <c r="J584" i="8" a="1"/>
  <c r="J584" i="8" s="1"/>
  <c r="I584" i="8"/>
  <c r="J578" i="7" a="1"/>
  <c r="J578" i="7" s="1"/>
  <c r="A579" i="7"/>
  <c r="I578" i="7"/>
  <c r="I575" i="5"/>
  <c r="A576" i="5"/>
  <c r="J575" i="5" a="1"/>
  <c r="J575" i="5" s="1"/>
  <c r="I615" i="6"/>
  <c r="A616" i="6"/>
  <c r="J615" i="6" a="1"/>
  <c r="J615" i="6" s="1"/>
  <c r="J586" i="9" a="1"/>
  <c r="J586" i="9" s="1"/>
  <c r="I586" i="9"/>
  <c r="A587" i="9"/>
  <c r="J591" i="3" a="1"/>
  <c r="J591" i="3" s="1"/>
  <c r="I591" i="3"/>
  <c r="A592" i="3"/>
  <c r="A593" i="3" l="1"/>
  <c r="J592" i="3" a="1"/>
  <c r="J592" i="3" s="1"/>
  <c r="I592" i="3"/>
  <c r="A588" i="9"/>
  <c r="J587" i="9" a="1"/>
  <c r="J587" i="9" s="1"/>
  <c r="I587" i="9"/>
  <c r="I616" i="6"/>
  <c r="A617" i="6"/>
  <c r="J616" i="6" a="1"/>
  <c r="J616" i="6" s="1"/>
  <c r="J576" i="5" a="1"/>
  <c r="J576" i="5" s="1"/>
  <c r="A577" i="5"/>
  <c r="I576" i="5"/>
  <c r="J579" i="7" a="1"/>
  <c r="J579" i="7" s="1"/>
  <c r="I579" i="7"/>
  <c r="A580" i="7"/>
  <c r="I585" i="8"/>
  <c r="A586" i="8"/>
  <c r="J585" i="8" a="1"/>
  <c r="J585" i="8" s="1"/>
  <c r="I586" i="8" l="1"/>
  <c r="A587" i="8"/>
  <c r="J586" i="8" a="1"/>
  <c r="J586" i="8" s="1"/>
  <c r="A581" i="7"/>
  <c r="I580" i="7"/>
  <c r="J580" i="7" a="1"/>
  <c r="J580" i="7" s="1"/>
  <c r="A578" i="5"/>
  <c r="J577" i="5" a="1"/>
  <c r="J577" i="5" s="1"/>
  <c r="I577" i="5"/>
  <c r="J617" i="6" a="1"/>
  <c r="J617" i="6" s="1"/>
  <c r="A618" i="6"/>
  <c r="I617" i="6"/>
  <c r="I588" i="9"/>
  <c r="A589" i="9"/>
  <c r="J588" i="9" a="1"/>
  <c r="J588" i="9" s="1"/>
  <c r="A594" i="3"/>
  <c r="J593" i="3" a="1"/>
  <c r="J593" i="3" s="1"/>
  <c r="I593" i="3"/>
  <c r="J594" i="3" l="1" a="1"/>
  <c r="J594" i="3" s="1"/>
  <c r="I594" i="3"/>
  <c r="A595" i="3"/>
  <c r="I589" i="9"/>
  <c r="J589" i="9" a="1"/>
  <c r="J589" i="9" s="1"/>
  <c r="A590" i="9"/>
  <c r="A619" i="6"/>
  <c r="I618" i="6"/>
  <c r="J618" i="6" a="1"/>
  <c r="J618" i="6" s="1"/>
  <c r="A579" i="5"/>
  <c r="J578" i="5" a="1"/>
  <c r="J578" i="5" s="1"/>
  <c r="I578" i="5"/>
  <c r="I581" i="7"/>
  <c r="A582" i="7"/>
  <c r="J581" i="7" a="1"/>
  <c r="J581" i="7" s="1"/>
  <c r="A588" i="8"/>
  <c r="I587" i="8"/>
  <c r="J587" i="8" a="1"/>
  <c r="J587" i="8" s="1"/>
  <c r="J588" i="8" l="1" a="1"/>
  <c r="J588" i="8" s="1"/>
  <c r="I588" i="8"/>
  <c r="A589" i="8"/>
  <c r="I582" i="7"/>
  <c r="A583" i="7"/>
  <c r="J582" i="7" a="1"/>
  <c r="J582" i="7" s="1"/>
  <c r="A580" i="5"/>
  <c r="J579" i="5" a="1"/>
  <c r="J579" i="5" s="1"/>
  <c r="I579" i="5"/>
  <c r="A620" i="6"/>
  <c r="I619" i="6"/>
  <c r="J619" i="6" a="1"/>
  <c r="J619" i="6" s="1"/>
  <c r="J590" i="9" a="1"/>
  <c r="J590" i="9" s="1"/>
  <c r="A591" i="9"/>
  <c r="I590" i="9"/>
  <c r="A596" i="3"/>
  <c r="J595" i="3" a="1"/>
  <c r="J595" i="3" s="1"/>
  <c r="I595" i="3"/>
  <c r="J596" i="3" l="1" a="1"/>
  <c r="J596" i="3" s="1"/>
  <c r="A597" i="3"/>
  <c r="I596" i="3"/>
  <c r="J591" i="9" a="1"/>
  <c r="J591" i="9" s="1"/>
  <c r="A592" i="9"/>
  <c r="I591" i="9"/>
  <c r="J620" i="6" a="1"/>
  <c r="J620" i="6" s="1"/>
  <c r="A621" i="6"/>
  <c r="I620" i="6"/>
  <c r="J580" i="5" a="1"/>
  <c r="J580" i="5" s="1"/>
  <c r="A581" i="5"/>
  <c r="I580" i="5"/>
  <c r="A584" i="7"/>
  <c r="I583" i="7"/>
  <c r="J583" i="7" a="1"/>
  <c r="J583" i="7" s="1"/>
  <c r="A590" i="8"/>
  <c r="J589" i="8" a="1"/>
  <c r="J589" i="8" s="1"/>
  <c r="I589" i="8"/>
  <c r="I590" i="8" l="1"/>
  <c r="J590" i="8" a="1"/>
  <c r="J590" i="8" s="1"/>
  <c r="A591" i="8"/>
  <c r="I584" i="7"/>
  <c r="A585" i="7"/>
  <c r="J584" i="7" a="1"/>
  <c r="J584" i="7" s="1"/>
  <c r="J581" i="5" a="1"/>
  <c r="J581" i="5" s="1"/>
  <c r="I581" i="5"/>
  <c r="A582" i="5"/>
  <c r="I621" i="6"/>
  <c r="J621" i="6" a="1"/>
  <c r="J621" i="6" s="1"/>
  <c r="A622" i="6"/>
  <c r="I592" i="9"/>
  <c r="A593" i="9"/>
  <c r="J592" i="9" a="1"/>
  <c r="J592" i="9" s="1"/>
  <c r="A598" i="3"/>
  <c r="I597" i="3"/>
  <c r="J597" i="3" a="1"/>
  <c r="J597" i="3" s="1"/>
  <c r="I598" i="3" l="1"/>
  <c r="A599" i="3"/>
  <c r="J598" i="3" a="1"/>
  <c r="J598" i="3" s="1"/>
  <c r="I593" i="9"/>
  <c r="A594" i="9"/>
  <c r="J593" i="9" a="1"/>
  <c r="J593" i="9" s="1"/>
  <c r="I622" i="6"/>
  <c r="A623" i="6"/>
  <c r="J622" i="6" a="1"/>
  <c r="J622" i="6" s="1"/>
  <c r="A583" i="5"/>
  <c r="I582" i="5"/>
  <c r="J582" i="5" a="1"/>
  <c r="J582" i="5" s="1"/>
  <c r="A586" i="7"/>
  <c r="J585" i="7" a="1"/>
  <c r="J585" i="7" s="1"/>
  <c r="I585" i="7"/>
  <c r="A592" i="8"/>
  <c r="J591" i="8" a="1"/>
  <c r="J591" i="8" s="1"/>
  <c r="I591" i="8"/>
  <c r="A593" i="8" l="1"/>
  <c r="J592" i="8" a="1"/>
  <c r="J592" i="8" s="1"/>
  <c r="I592" i="8"/>
  <c r="I586" i="7"/>
  <c r="A587" i="7"/>
  <c r="J586" i="7" a="1"/>
  <c r="J586" i="7" s="1"/>
  <c r="A584" i="5"/>
  <c r="J583" i="5" a="1"/>
  <c r="J583" i="5" s="1"/>
  <c r="I583" i="5"/>
  <c r="A624" i="6"/>
  <c r="J623" i="6" a="1"/>
  <c r="J623" i="6" s="1"/>
  <c r="I623" i="6"/>
  <c r="A595" i="9"/>
  <c r="J594" i="9" a="1"/>
  <c r="J594" i="9" s="1"/>
  <c r="I594" i="9"/>
  <c r="I599" i="3"/>
  <c r="A600" i="3"/>
  <c r="J599" i="3" a="1"/>
  <c r="J599" i="3" s="1"/>
  <c r="A601" i="3" l="1"/>
  <c r="I600" i="3"/>
  <c r="J600" i="3" a="1"/>
  <c r="J600" i="3" s="1"/>
  <c r="I595" i="9"/>
  <c r="J595" i="9" a="1"/>
  <c r="J595" i="9" s="1"/>
  <c r="A596" i="9"/>
  <c r="I624" i="6"/>
  <c r="J624" i="6" a="1"/>
  <c r="J624" i="6" s="1"/>
  <c r="A625" i="6"/>
  <c r="A585" i="5"/>
  <c r="I584" i="5"/>
  <c r="J584" i="5" a="1"/>
  <c r="J584" i="5" s="1"/>
  <c r="A588" i="7"/>
  <c r="I587" i="7"/>
  <c r="J587" i="7" a="1"/>
  <c r="J587" i="7" s="1"/>
  <c r="A594" i="8"/>
  <c r="J593" i="8" a="1"/>
  <c r="J593" i="8" s="1"/>
  <c r="I593" i="8"/>
  <c r="A595" i="8" l="1"/>
  <c r="J594" i="8" a="1"/>
  <c r="J594" i="8" s="1"/>
  <c r="I594" i="8"/>
  <c r="J588" i="7" a="1"/>
  <c r="J588" i="7" s="1"/>
  <c r="I588" i="7"/>
  <c r="A589" i="7"/>
  <c r="A586" i="5"/>
  <c r="I585" i="5"/>
  <c r="J585" i="5" a="1"/>
  <c r="J585" i="5" s="1"/>
  <c r="A626" i="6"/>
  <c r="I625" i="6"/>
  <c r="J625" i="6" a="1"/>
  <c r="J625" i="6" s="1"/>
  <c r="I596" i="9"/>
  <c r="J596" i="9" a="1"/>
  <c r="J596" i="9" s="1"/>
  <c r="A597" i="9"/>
  <c r="A602" i="3"/>
  <c r="J601" i="3" a="1"/>
  <c r="J601" i="3" s="1"/>
  <c r="I601" i="3"/>
  <c r="J602" i="3" l="1" a="1"/>
  <c r="J602" i="3" s="1"/>
  <c r="I602" i="3"/>
  <c r="A603" i="3"/>
  <c r="J597" i="9" a="1"/>
  <c r="J597" i="9" s="1"/>
  <c r="I597" i="9"/>
  <c r="A598" i="9"/>
  <c r="A627" i="6"/>
  <c r="I626" i="6"/>
  <c r="J626" i="6" a="1"/>
  <c r="J626" i="6" s="1"/>
  <c r="I586" i="5"/>
  <c r="A587" i="5"/>
  <c r="J586" i="5" a="1"/>
  <c r="J586" i="5" s="1"/>
  <c r="A590" i="7"/>
  <c r="J589" i="7" a="1"/>
  <c r="J589" i="7" s="1"/>
  <c r="I589" i="7"/>
  <c r="I595" i="8"/>
  <c r="A596" i="8"/>
  <c r="J595" i="8" a="1"/>
  <c r="J595" i="8" s="1"/>
  <c r="I596" i="8" l="1"/>
  <c r="J596" i="8" a="1"/>
  <c r="J596" i="8" s="1"/>
  <c r="A597" i="8"/>
  <c r="A591" i="7"/>
  <c r="J590" i="7" a="1"/>
  <c r="J590" i="7" s="1"/>
  <c r="I590" i="7"/>
  <c r="J587" i="5" a="1"/>
  <c r="J587" i="5" s="1"/>
  <c r="A588" i="5"/>
  <c r="I587" i="5"/>
  <c r="I627" i="6"/>
  <c r="A628" i="6"/>
  <c r="J627" i="6" a="1"/>
  <c r="J627" i="6" s="1"/>
  <c r="J598" i="9" a="1"/>
  <c r="J598" i="9" s="1"/>
  <c r="A599" i="9"/>
  <c r="I598" i="9"/>
  <c r="A604" i="3"/>
  <c r="J603" i="3" a="1"/>
  <c r="J603" i="3" s="1"/>
  <c r="I603" i="3"/>
  <c r="A605" i="3" l="1"/>
  <c r="J604" i="3" a="1"/>
  <c r="J604" i="3" s="1"/>
  <c r="I604" i="3"/>
  <c r="A600" i="9"/>
  <c r="J599" i="9" a="1"/>
  <c r="J599" i="9" s="1"/>
  <c r="I599" i="9"/>
  <c r="A629" i="6"/>
  <c r="J628" i="6" a="1"/>
  <c r="J628" i="6" s="1"/>
  <c r="I628" i="6"/>
  <c r="A589" i="5"/>
  <c r="J588" i="5" a="1"/>
  <c r="J588" i="5" s="1"/>
  <c r="I588" i="5"/>
  <c r="I591" i="7"/>
  <c r="A592" i="7"/>
  <c r="J591" i="7" a="1"/>
  <c r="J591" i="7" s="1"/>
  <c r="A598" i="8"/>
  <c r="I597" i="8"/>
  <c r="J597" i="8" a="1"/>
  <c r="J597" i="8" s="1"/>
  <c r="A599" i="8" l="1"/>
  <c r="J598" i="8" a="1"/>
  <c r="J598" i="8" s="1"/>
  <c r="I598" i="8"/>
  <c r="I592" i="7"/>
  <c r="A593" i="7"/>
  <c r="J592" i="7" a="1"/>
  <c r="J592" i="7" s="1"/>
  <c r="A590" i="5"/>
  <c r="I589" i="5"/>
  <c r="J589" i="5" a="1"/>
  <c r="J589" i="5" s="1"/>
  <c r="A630" i="6"/>
  <c r="J629" i="6" a="1"/>
  <c r="J629" i="6" s="1"/>
  <c r="I629" i="6"/>
  <c r="J600" i="9" a="1"/>
  <c r="J600" i="9" s="1"/>
  <c r="I600" i="9"/>
  <c r="A601" i="9"/>
  <c r="J605" i="3" a="1"/>
  <c r="J605" i="3" s="1"/>
  <c r="A606" i="3"/>
  <c r="I605" i="3"/>
  <c r="A607" i="3" l="1"/>
  <c r="J606" i="3" a="1"/>
  <c r="J606" i="3" s="1"/>
  <c r="I606" i="3"/>
  <c r="I601" i="9"/>
  <c r="J601" i="9" a="1"/>
  <c r="J601" i="9" s="1"/>
  <c r="A602" i="9"/>
  <c r="J630" i="6" a="1"/>
  <c r="J630" i="6" s="1"/>
  <c r="A631" i="6"/>
  <c r="I630" i="6"/>
  <c r="A591" i="5"/>
  <c r="J590" i="5" a="1"/>
  <c r="J590" i="5" s="1"/>
  <c r="I590" i="5"/>
  <c r="I593" i="7"/>
  <c r="A594" i="7"/>
  <c r="J593" i="7" a="1"/>
  <c r="J593" i="7" s="1"/>
  <c r="J599" i="8" a="1"/>
  <c r="J599" i="8" s="1"/>
  <c r="A600" i="8"/>
  <c r="I599" i="8"/>
  <c r="A601" i="8" l="1"/>
  <c r="J600" i="8" a="1"/>
  <c r="J600" i="8" s="1"/>
  <c r="I600" i="8"/>
  <c r="I594" i="7"/>
  <c r="A595" i="7"/>
  <c r="J594" i="7" a="1"/>
  <c r="J594" i="7" s="1"/>
  <c r="A592" i="5"/>
  <c r="J591" i="5" a="1"/>
  <c r="J591" i="5" s="1"/>
  <c r="I591" i="5"/>
  <c r="A632" i="6"/>
  <c r="I631" i="6"/>
  <c r="J631" i="6" a="1"/>
  <c r="J631" i="6" s="1"/>
  <c r="A603" i="9"/>
  <c r="I602" i="9"/>
  <c r="J602" i="9" a="1"/>
  <c r="J602" i="9" s="1"/>
  <c r="A608" i="3"/>
  <c r="J607" i="3" a="1"/>
  <c r="J607" i="3" s="1"/>
  <c r="I607" i="3"/>
  <c r="J608" i="3" l="1" a="1"/>
  <c r="J608" i="3" s="1"/>
  <c r="I608" i="3"/>
  <c r="A609" i="3"/>
  <c r="I603" i="9"/>
  <c r="A604" i="9"/>
  <c r="J603" i="9" a="1"/>
  <c r="J603" i="9" s="1"/>
  <c r="I632" i="6"/>
  <c r="J632" i="6" a="1"/>
  <c r="J632" i="6" s="1"/>
  <c r="A633" i="6"/>
  <c r="A593" i="5"/>
  <c r="J592" i="5" a="1"/>
  <c r="J592" i="5" s="1"/>
  <c r="I592" i="5"/>
  <c r="A596" i="7"/>
  <c r="J595" i="7" a="1"/>
  <c r="J595" i="7" s="1"/>
  <c r="I595" i="7"/>
  <c r="A602" i="8"/>
  <c r="J601" i="8" a="1"/>
  <c r="J601" i="8" s="1"/>
  <c r="I601" i="8"/>
  <c r="J602" i="8" l="1" a="1"/>
  <c r="J602" i="8" s="1"/>
  <c r="A603" i="8"/>
  <c r="I602" i="8"/>
  <c r="A597" i="7"/>
  <c r="J596" i="7" a="1"/>
  <c r="J596" i="7" s="1"/>
  <c r="I596" i="7"/>
  <c r="A594" i="5"/>
  <c r="J593" i="5" a="1"/>
  <c r="J593" i="5" s="1"/>
  <c r="I593" i="5"/>
  <c r="I633" i="6"/>
  <c r="J633" i="6" a="1"/>
  <c r="J633" i="6" s="1"/>
  <c r="A634" i="6"/>
  <c r="A605" i="9"/>
  <c r="J604" i="9" a="1"/>
  <c r="J604" i="9" s="1"/>
  <c r="I604" i="9"/>
  <c r="A610" i="3"/>
  <c r="J609" i="3" a="1"/>
  <c r="J609" i="3" s="1"/>
  <c r="I609" i="3"/>
  <c r="J610" i="3" l="1" a="1"/>
  <c r="J610" i="3" s="1"/>
  <c r="I610" i="3"/>
  <c r="A611" i="3"/>
  <c r="I605" i="9"/>
  <c r="A606" i="9"/>
  <c r="J605" i="9" a="1"/>
  <c r="J605" i="9" s="1"/>
  <c r="J634" i="6" a="1"/>
  <c r="J634" i="6" s="1"/>
  <c r="I634" i="6"/>
  <c r="A635" i="6"/>
  <c r="J594" i="5" a="1"/>
  <c r="J594" i="5" s="1"/>
  <c r="A595" i="5"/>
  <c r="I594" i="5"/>
  <c r="A598" i="7"/>
  <c r="J597" i="7" a="1"/>
  <c r="J597" i="7" s="1"/>
  <c r="I597" i="7"/>
  <c r="I603" i="8"/>
  <c r="A604" i="8"/>
  <c r="J603" i="8" a="1"/>
  <c r="J603" i="8" s="1"/>
  <c r="A605" i="8" l="1"/>
  <c r="J604" i="8" a="1"/>
  <c r="J604" i="8" s="1"/>
  <c r="I604" i="8"/>
  <c r="J598" i="7" a="1"/>
  <c r="J598" i="7" s="1"/>
  <c r="I598" i="7"/>
  <c r="A599" i="7"/>
  <c r="A596" i="5"/>
  <c r="J595" i="5" a="1"/>
  <c r="J595" i="5" s="1"/>
  <c r="I595" i="5"/>
  <c r="I635" i="6"/>
  <c r="A636" i="6"/>
  <c r="J635" i="6" a="1"/>
  <c r="J635" i="6" s="1"/>
  <c r="I606" i="9"/>
  <c r="A607" i="9"/>
  <c r="J606" i="9" a="1"/>
  <c r="J606" i="9" s="1"/>
  <c r="A612" i="3"/>
  <c r="J611" i="3" a="1"/>
  <c r="J611" i="3" s="1"/>
  <c r="I611" i="3"/>
  <c r="A613" i="3" l="1"/>
  <c r="I612" i="3"/>
  <c r="J612" i="3" a="1"/>
  <c r="J612" i="3" s="1"/>
  <c r="I607" i="9"/>
  <c r="A608" i="9"/>
  <c r="J607" i="9" a="1"/>
  <c r="J607" i="9" s="1"/>
  <c r="A637" i="6"/>
  <c r="J636" i="6" a="1"/>
  <c r="J636" i="6" s="1"/>
  <c r="I636" i="6"/>
  <c r="J596" i="5" a="1"/>
  <c r="J596" i="5" s="1"/>
  <c r="I596" i="5"/>
  <c r="A597" i="5"/>
  <c r="J599" i="7" a="1"/>
  <c r="J599" i="7" s="1"/>
  <c r="I599" i="7"/>
  <c r="A600" i="7"/>
  <c r="A606" i="8"/>
  <c r="I605" i="8"/>
  <c r="J605" i="8" a="1"/>
  <c r="J605" i="8" s="1"/>
  <c r="J606" i="8" l="1" a="1"/>
  <c r="J606" i="8" s="1"/>
  <c r="A607" i="8"/>
  <c r="I606" i="8"/>
  <c r="A601" i="7"/>
  <c r="J600" i="7" a="1"/>
  <c r="J600" i="7" s="1"/>
  <c r="I600" i="7"/>
  <c r="A598" i="5"/>
  <c r="J597" i="5" a="1"/>
  <c r="J597" i="5" s="1"/>
  <c r="I597" i="5"/>
  <c r="I637" i="6"/>
  <c r="A638" i="6"/>
  <c r="J637" i="6" a="1"/>
  <c r="J637" i="6" s="1"/>
  <c r="A609" i="9"/>
  <c r="J608" i="9" a="1"/>
  <c r="J608" i="9" s="1"/>
  <c r="I608" i="9"/>
  <c r="J613" i="3" a="1"/>
  <c r="J613" i="3" s="1"/>
  <c r="I613" i="3"/>
  <c r="A614" i="3"/>
  <c r="J614" i="3" l="1" a="1"/>
  <c r="J614" i="3" s="1"/>
  <c r="A615" i="3"/>
  <c r="I614" i="3"/>
  <c r="I609" i="9"/>
  <c r="A610" i="9"/>
  <c r="J609" i="9" a="1"/>
  <c r="J609" i="9" s="1"/>
  <c r="J638" i="6" a="1"/>
  <c r="J638" i="6" s="1"/>
  <c r="A639" i="6"/>
  <c r="I638" i="6"/>
  <c r="A599" i="5"/>
  <c r="J598" i="5" a="1"/>
  <c r="J598" i="5" s="1"/>
  <c r="I598" i="5"/>
  <c r="A602" i="7"/>
  <c r="J601" i="7" a="1"/>
  <c r="J601" i="7" s="1"/>
  <c r="I601" i="7"/>
  <c r="J607" i="8" a="1"/>
  <c r="J607" i="8" s="1"/>
  <c r="I607" i="8"/>
  <c r="A608" i="8"/>
  <c r="A609" i="8" l="1"/>
  <c r="J608" i="8" a="1"/>
  <c r="J608" i="8" s="1"/>
  <c r="I608" i="8"/>
  <c r="I602" i="7"/>
  <c r="A603" i="7"/>
  <c r="J602" i="7" a="1"/>
  <c r="J602" i="7" s="1"/>
  <c r="A600" i="5"/>
  <c r="I599" i="5"/>
  <c r="J599" i="5" a="1"/>
  <c r="J599" i="5" s="1"/>
  <c r="I639" i="6"/>
  <c r="J639" i="6" a="1"/>
  <c r="J639" i="6" s="1"/>
  <c r="A640" i="6"/>
  <c r="A611" i="9"/>
  <c r="J610" i="9" a="1"/>
  <c r="J610" i="9" s="1"/>
  <c r="I610" i="9"/>
  <c r="A616" i="3"/>
  <c r="J615" i="3" a="1"/>
  <c r="J615" i="3" s="1"/>
  <c r="I615" i="3"/>
  <c r="A617" i="3" l="1"/>
  <c r="J616" i="3" a="1"/>
  <c r="J616" i="3" s="1"/>
  <c r="I616" i="3"/>
  <c r="I611" i="9"/>
  <c r="A612" i="9"/>
  <c r="J611" i="9" a="1"/>
  <c r="J611" i="9" s="1"/>
  <c r="A641" i="6"/>
  <c r="I640" i="6"/>
  <c r="J640" i="6" a="1"/>
  <c r="J640" i="6" s="1"/>
  <c r="I600" i="5"/>
  <c r="A601" i="5"/>
  <c r="J600" i="5" a="1"/>
  <c r="J600" i="5" s="1"/>
  <c r="J603" i="7" a="1"/>
  <c r="J603" i="7" s="1"/>
  <c r="I603" i="7"/>
  <c r="A604" i="7"/>
  <c r="A610" i="8"/>
  <c r="J609" i="8" a="1"/>
  <c r="J609" i="8" s="1"/>
  <c r="I609" i="8"/>
  <c r="A611" i="8" l="1"/>
  <c r="I610" i="8"/>
  <c r="J610" i="8" a="1"/>
  <c r="J610" i="8" s="1"/>
  <c r="J604" i="7" a="1"/>
  <c r="J604" i="7" s="1"/>
  <c r="I604" i="7"/>
  <c r="A605" i="7"/>
  <c r="J601" i="5" a="1"/>
  <c r="J601" i="5" s="1"/>
  <c r="A602" i="5"/>
  <c r="I601" i="5"/>
  <c r="A642" i="6"/>
  <c r="J641" i="6" a="1"/>
  <c r="J641" i="6" s="1"/>
  <c r="I641" i="6"/>
  <c r="A613" i="9"/>
  <c r="J612" i="9" a="1"/>
  <c r="J612" i="9" s="1"/>
  <c r="I612" i="9"/>
  <c r="A618" i="3"/>
  <c r="J617" i="3" a="1"/>
  <c r="J617" i="3" s="1"/>
  <c r="I617" i="3"/>
  <c r="J618" i="3" l="1" a="1"/>
  <c r="J618" i="3" s="1"/>
  <c r="I618" i="3"/>
  <c r="A619" i="3"/>
  <c r="I613" i="9"/>
  <c r="A614" i="9"/>
  <c r="J613" i="9" a="1"/>
  <c r="J613" i="9" s="1"/>
  <c r="J642" i="6" a="1"/>
  <c r="J642" i="6" s="1"/>
  <c r="A643" i="6"/>
  <c r="I642" i="6"/>
  <c r="A603" i="5"/>
  <c r="J602" i="5" a="1"/>
  <c r="J602" i="5" s="1"/>
  <c r="I602" i="5"/>
  <c r="J605" i="7" a="1"/>
  <c r="J605" i="7" s="1"/>
  <c r="A606" i="7"/>
  <c r="I605" i="7"/>
  <c r="A612" i="8"/>
  <c r="J611" i="8" a="1"/>
  <c r="J611" i="8" s="1"/>
  <c r="I611" i="8"/>
  <c r="J612" i="8" l="1" a="1"/>
  <c r="J612" i="8" s="1"/>
  <c r="I612" i="8"/>
  <c r="A613" i="8"/>
  <c r="I606" i="7"/>
  <c r="A607" i="7"/>
  <c r="J606" i="7" a="1"/>
  <c r="J606" i="7" s="1"/>
  <c r="A604" i="5"/>
  <c r="J603" i="5" a="1"/>
  <c r="J603" i="5" s="1"/>
  <c r="I603" i="5"/>
  <c r="J643" i="6" a="1"/>
  <c r="J643" i="6" s="1"/>
  <c r="A644" i="6"/>
  <c r="I643" i="6"/>
  <c r="A615" i="9"/>
  <c r="J614" i="9" a="1"/>
  <c r="J614" i="9" s="1"/>
  <c r="I614" i="9"/>
  <c r="A620" i="3"/>
  <c r="J619" i="3" a="1"/>
  <c r="J619" i="3" s="1"/>
  <c r="I619" i="3"/>
  <c r="J620" i="3" l="1" a="1"/>
  <c r="J620" i="3" s="1"/>
  <c r="I620" i="3"/>
  <c r="A621" i="3"/>
  <c r="J615" i="9" a="1"/>
  <c r="J615" i="9" s="1"/>
  <c r="I615" i="9"/>
  <c r="A616" i="9"/>
  <c r="A645" i="6"/>
  <c r="I644" i="6"/>
  <c r="J644" i="6" a="1"/>
  <c r="J644" i="6" s="1"/>
  <c r="A605" i="5"/>
  <c r="I604" i="5"/>
  <c r="J604" i="5" a="1"/>
  <c r="J604" i="5" s="1"/>
  <c r="A608" i="7"/>
  <c r="I607" i="7"/>
  <c r="J607" i="7" a="1"/>
  <c r="J607" i="7" s="1"/>
  <c r="A614" i="8"/>
  <c r="J613" i="8" a="1"/>
  <c r="J613" i="8" s="1"/>
  <c r="I613" i="8"/>
  <c r="A615" i="8" l="1"/>
  <c r="I614" i="8"/>
  <c r="J614" i="8" a="1"/>
  <c r="J614" i="8" s="1"/>
  <c r="J608" i="7" a="1"/>
  <c r="J608" i="7" s="1"/>
  <c r="A609" i="7"/>
  <c r="I608" i="7"/>
  <c r="J605" i="5" a="1"/>
  <c r="J605" i="5" s="1"/>
  <c r="A606" i="5"/>
  <c r="I605" i="5"/>
  <c r="I645" i="6"/>
  <c r="A646" i="6"/>
  <c r="J645" i="6" a="1"/>
  <c r="J645" i="6" s="1"/>
  <c r="I616" i="9"/>
  <c r="J616" i="9" a="1"/>
  <c r="J616" i="9" s="1"/>
  <c r="A617" i="9"/>
  <c r="I621" i="3"/>
  <c r="A622" i="3"/>
  <c r="J621" i="3" a="1"/>
  <c r="J621" i="3" s="1"/>
  <c r="A623" i="3" l="1"/>
  <c r="I622" i="3"/>
  <c r="J622" i="3" a="1"/>
  <c r="J622" i="3" s="1"/>
  <c r="J617" i="9" a="1"/>
  <c r="J617" i="9" s="1"/>
  <c r="A618" i="9"/>
  <c r="I617" i="9"/>
  <c r="J646" i="6" a="1"/>
  <c r="J646" i="6" s="1"/>
  <c r="I646" i="6"/>
  <c r="A647" i="6"/>
  <c r="J606" i="5" a="1"/>
  <c r="J606" i="5" s="1"/>
  <c r="I606" i="5"/>
  <c r="A607" i="5"/>
  <c r="A610" i="7"/>
  <c r="J609" i="7" a="1"/>
  <c r="J609" i="7" s="1"/>
  <c r="I609" i="7"/>
  <c r="J615" i="8" a="1"/>
  <c r="J615" i="8" s="1"/>
  <c r="I615" i="8"/>
  <c r="A616" i="8"/>
  <c r="A617" i="8" l="1"/>
  <c r="I616" i="8"/>
  <c r="J616" i="8" a="1"/>
  <c r="J616" i="8" s="1"/>
  <c r="A611" i="7"/>
  <c r="I610" i="7"/>
  <c r="J610" i="7" a="1"/>
  <c r="J610" i="7" s="1"/>
  <c r="A608" i="5"/>
  <c r="I607" i="5"/>
  <c r="J607" i="5" a="1"/>
  <c r="J607" i="5" s="1"/>
  <c r="J647" i="6" a="1"/>
  <c r="J647" i="6" s="1"/>
  <c r="I647" i="6"/>
  <c r="A648" i="6"/>
  <c r="I618" i="9"/>
  <c r="J618" i="9" a="1"/>
  <c r="J618" i="9" s="1"/>
  <c r="A619" i="9"/>
  <c r="A624" i="3"/>
  <c r="J623" i="3" a="1"/>
  <c r="J623" i="3" s="1"/>
  <c r="I623" i="3"/>
  <c r="I624" i="3" l="1"/>
  <c r="A625" i="3"/>
  <c r="J624" i="3" a="1"/>
  <c r="J624" i="3" s="1"/>
  <c r="I619" i="9"/>
  <c r="J619" i="9" a="1"/>
  <c r="J619" i="9" s="1"/>
  <c r="A620" i="9"/>
  <c r="I648" i="6"/>
  <c r="A649" i="6"/>
  <c r="J648" i="6" a="1"/>
  <c r="J648" i="6" s="1"/>
  <c r="A609" i="5"/>
  <c r="J608" i="5" a="1"/>
  <c r="J608" i="5" s="1"/>
  <c r="I608" i="5"/>
  <c r="A612" i="7"/>
  <c r="I611" i="7"/>
  <c r="J611" i="7" a="1"/>
  <c r="J611" i="7" s="1"/>
  <c r="J617" i="8" a="1"/>
  <c r="J617" i="8" s="1"/>
  <c r="I617" i="8"/>
  <c r="A618" i="8"/>
  <c r="A619" i="8" l="1"/>
  <c r="J618" i="8" a="1"/>
  <c r="J618" i="8" s="1"/>
  <c r="I618" i="8"/>
  <c r="J612" i="7" a="1"/>
  <c r="J612" i="7" s="1"/>
  <c r="I612" i="7"/>
  <c r="A613" i="7"/>
  <c r="A610" i="5"/>
  <c r="I609" i="5"/>
  <c r="J609" i="5" a="1"/>
  <c r="J609" i="5" s="1"/>
  <c r="A650" i="6"/>
  <c r="J649" i="6" a="1"/>
  <c r="J649" i="6" s="1"/>
  <c r="I649" i="6"/>
  <c r="I620" i="9"/>
  <c r="A621" i="9"/>
  <c r="J620" i="9" a="1"/>
  <c r="J620" i="9" s="1"/>
  <c r="J625" i="3" a="1"/>
  <c r="J625" i="3" s="1"/>
  <c r="I625" i="3"/>
  <c r="A626" i="3"/>
  <c r="J626" i="3" l="1" a="1"/>
  <c r="J626" i="3" s="1"/>
  <c r="A627" i="3"/>
  <c r="I626" i="3"/>
  <c r="A622" i="9"/>
  <c r="J621" i="9" a="1"/>
  <c r="J621" i="9" s="1"/>
  <c r="I621" i="9"/>
  <c r="A651" i="6"/>
  <c r="I650" i="6"/>
  <c r="J650" i="6" a="1"/>
  <c r="J650" i="6" s="1"/>
  <c r="J610" i="5" a="1"/>
  <c r="J610" i="5" s="1"/>
  <c r="I610" i="5"/>
  <c r="A611" i="5"/>
  <c r="A614" i="7"/>
  <c r="J613" i="7" a="1"/>
  <c r="J613" i="7" s="1"/>
  <c r="I613" i="7"/>
  <c r="J619" i="8" a="1"/>
  <c r="J619" i="8" s="1"/>
  <c r="A620" i="8"/>
  <c r="I619" i="8"/>
  <c r="A621" i="8" l="1"/>
  <c r="J620" i="8" a="1"/>
  <c r="J620" i="8" s="1"/>
  <c r="I620" i="8"/>
  <c r="A615" i="7"/>
  <c r="I614" i="7"/>
  <c r="J614" i="7" a="1"/>
  <c r="J614" i="7" s="1"/>
  <c r="I611" i="5"/>
  <c r="A612" i="5"/>
  <c r="J611" i="5" a="1"/>
  <c r="J611" i="5" s="1"/>
  <c r="I651" i="6"/>
  <c r="A652" i="6"/>
  <c r="J651" i="6" a="1"/>
  <c r="J651" i="6" s="1"/>
  <c r="J622" i="9" a="1"/>
  <c r="J622" i="9" s="1"/>
  <c r="A623" i="9"/>
  <c r="I622" i="9"/>
  <c r="J627" i="3" a="1"/>
  <c r="J627" i="3" s="1"/>
  <c r="I627" i="3"/>
  <c r="A628" i="3"/>
  <c r="A629" i="3" l="1"/>
  <c r="J628" i="3" a="1"/>
  <c r="J628" i="3" s="1"/>
  <c r="I628" i="3"/>
  <c r="J623" i="9" a="1"/>
  <c r="J623" i="9" s="1"/>
  <c r="I623" i="9"/>
  <c r="A624" i="9"/>
  <c r="A653" i="6"/>
  <c r="J652" i="6" a="1"/>
  <c r="J652" i="6" s="1"/>
  <c r="I652" i="6"/>
  <c r="J612" i="5" a="1"/>
  <c r="J612" i="5" s="1"/>
  <c r="A613" i="5"/>
  <c r="I612" i="5"/>
  <c r="I615" i="7"/>
  <c r="A616" i="7"/>
  <c r="J615" i="7" a="1"/>
  <c r="J615" i="7" s="1"/>
  <c r="I621" i="8"/>
  <c r="A622" i="8"/>
  <c r="J621" i="8" a="1"/>
  <c r="J621" i="8" s="1"/>
  <c r="J622" i="8" l="1" a="1"/>
  <c r="J622" i="8" s="1"/>
  <c r="I622" i="8"/>
  <c r="A623" i="8"/>
  <c r="A617" i="7"/>
  <c r="J616" i="7" a="1"/>
  <c r="J616" i="7" s="1"/>
  <c r="I616" i="7"/>
  <c r="A614" i="5"/>
  <c r="J613" i="5" a="1"/>
  <c r="J613" i="5" s="1"/>
  <c r="I613" i="5"/>
  <c r="A654" i="6"/>
  <c r="I653" i="6"/>
  <c r="J653" i="6" a="1"/>
  <c r="J653" i="6" s="1"/>
  <c r="A625" i="9"/>
  <c r="J624" i="9" a="1"/>
  <c r="J624" i="9" s="1"/>
  <c r="I624" i="9"/>
  <c r="A630" i="3"/>
  <c r="J629" i="3" a="1"/>
  <c r="J629" i="3" s="1"/>
  <c r="I629" i="3"/>
  <c r="J630" i="3" l="1" a="1"/>
  <c r="J630" i="3" s="1"/>
  <c r="A631" i="3"/>
  <c r="I630" i="3"/>
  <c r="I625" i="9"/>
  <c r="A626" i="9"/>
  <c r="J625" i="9" a="1"/>
  <c r="J625" i="9" s="1"/>
  <c r="A655" i="6"/>
  <c r="J654" i="6" a="1"/>
  <c r="J654" i="6" s="1"/>
  <c r="I654" i="6"/>
  <c r="A615" i="5"/>
  <c r="I614" i="5"/>
  <c r="J614" i="5" a="1"/>
  <c r="J614" i="5" s="1"/>
  <c r="I617" i="7"/>
  <c r="J617" i="7" a="1"/>
  <c r="J617" i="7" s="1"/>
  <c r="A618" i="7"/>
  <c r="A624" i="8"/>
  <c r="J623" i="8" a="1"/>
  <c r="J623" i="8" s="1"/>
  <c r="I623" i="8"/>
  <c r="A625" i="8" l="1"/>
  <c r="J624" i="8" a="1"/>
  <c r="J624" i="8" s="1"/>
  <c r="I624" i="8"/>
  <c r="A619" i="7"/>
  <c r="J618" i="7" a="1"/>
  <c r="J618" i="7" s="1"/>
  <c r="I618" i="7"/>
  <c r="A616" i="5"/>
  <c r="J615" i="5" a="1"/>
  <c r="J615" i="5" s="1"/>
  <c r="I615" i="5"/>
  <c r="J655" i="6" a="1"/>
  <c r="J655" i="6" s="1"/>
  <c r="A656" i="6"/>
  <c r="I655" i="6"/>
  <c r="I626" i="9"/>
  <c r="J626" i="9" a="1"/>
  <c r="J626" i="9" s="1"/>
  <c r="A627" i="9"/>
  <c r="A632" i="3"/>
  <c r="I631" i="3"/>
  <c r="J631" i="3" a="1"/>
  <c r="J631" i="3" s="1"/>
  <c r="J632" i="3" l="1" a="1"/>
  <c r="J632" i="3" s="1"/>
  <c r="I632" i="3"/>
  <c r="A633" i="3"/>
  <c r="A628" i="9"/>
  <c r="I627" i="9"/>
  <c r="J627" i="9" a="1"/>
  <c r="J627" i="9" s="1"/>
  <c r="J656" i="6" a="1"/>
  <c r="J656" i="6" s="1"/>
  <c r="A657" i="6"/>
  <c r="I656" i="6"/>
  <c r="J616" i="5" a="1"/>
  <c r="J616" i="5" s="1"/>
  <c r="I616" i="5"/>
  <c r="A617" i="5"/>
  <c r="A620" i="7"/>
  <c r="J619" i="7" a="1"/>
  <c r="J619" i="7" s="1"/>
  <c r="I619" i="7"/>
  <c r="J625" i="8" a="1"/>
  <c r="J625" i="8" s="1"/>
  <c r="A626" i="8"/>
  <c r="I625" i="8"/>
  <c r="I626" i="8" l="1"/>
  <c r="A627" i="8"/>
  <c r="J626" i="8" a="1"/>
  <c r="J626" i="8" s="1"/>
  <c r="A621" i="7"/>
  <c r="J620" i="7" a="1"/>
  <c r="J620" i="7" s="1"/>
  <c r="I620" i="7"/>
  <c r="A618" i="5"/>
  <c r="J617" i="5" a="1"/>
  <c r="J617" i="5" s="1"/>
  <c r="I617" i="5"/>
  <c r="I657" i="6"/>
  <c r="J657" i="6" a="1"/>
  <c r="J657" i="6" s="1"/>
  <c r="A658" i="6"/>
  <c r="J628" i="9" a="1"/>
  <c r="J628" i="9" s="1"/>
  <c r="I628" i="9"/>
  <c r="A629" i="9"/>
  <c r="A634" i="3"/>
  <c r="J633" i="3" a="1"/>
  <c r="J633" i="3" s="1"/>
  <c r="I633" i="3"/>
  <c r="A635" i="3" l="1"/>
  <c r="J634" i="3" a="1"/>
  <c r="J634" i="3" s="1"/>
  <c r="I634" i="3"/>
  <c r="A630" i="9"/>
  <c r="J629" i="9" a="1"/>
  <c r="J629" i="9" s="1"/>
  <c r="I629" i="9"/>
  <c r="A659" i="6"/>
  <c r="J658" i="6" a="1"/>
  <c r="J658" i="6" s="1"/>
  <c r="I658" i="6"/>
  <c r="A619" i="5"/>
  <c r="J618" i="5" a="1"/>
  <c r="J618" i="5" s="1"/>
  <c r="I618" i="5"/>
  <c r="J621" i="7" a="1"/>
  <c r="J621" i="7" s="1"/>
  <c r="I621" i="7"/>
  <c r="A622" i="7"/>
  <c r="J627" i="8" a="1"/>
  <c r="J627" i="8" s="1"/>
  <c r="A628" i="8"/>
  <c r="I627" i="8"/>
  <c r="A629" i="8" l="1"/>
  <c r="J628" i="8" a="1"/>
  <c r="J628" i="8" s="1"/>
  <c r="I628" i="8"/>
  <c r="I622" i="7"/>
  <c r="A623" i="7"/>
  <c r="J622" i="7" a="1"/>
  <c r="J622" i="7" s="1"/>
  <c r="J619" i="5" a="1"/>
  <c r="J619" i="5" s="1"/>
  <c r="A620" i="5"/>
  <c r="I619" i="5"/>
  <c r="A660" i="6"/>
  <c r="I659" i="6"/>
  <c r="J659" i="6" a="1"/>
  <c r="J659" i="6" s="1"/>
  <c r="J630" i="9" a="1"/>
  <c r="J630" i="9" s="1"/>
  <c r="I630" i="9"/>
  <c r="A631" i="9"/>
  <c r="J635" i="3" a="1"/>
  <c r="J635" i="3" s="1"/>
  <c r="I635" i="3"/>
  <c r="A636" i="3"/>
  <c r="A637" i="3" l="1"/>
  <c r="J636" i="3" a="1"/>
  <c r="J636" i="3" s="1"/>
  <c r="I636" i="3"/>
  <c r="I631" i="9"/>
  <c r="J631" i="9" a="1"/>
  <c r="J631" i="9" s="1"/>
  <c r="A632" i="9"/>
  <c r="J660" i="6" a="1"/>
  <c r="J660" i="6" s="1"/>
  <c r="I660" i="6"/>
  <c r="A661" i="6"/>
  <c r="A621" i="5"/>
  <c r="J620" i="5" a="1"/>
  <c r="J620" i="5" s="1"/>
  <c r="I620" i="5"/>
  <c r="J623" i="7" a="1"/>
  <c r="J623" i="7" s="1"/>
  <c r="I623" i="7"/>
  <c r="A624" i="7"/>
  <c r="J629" i="8" a="1"/>
  <c r="J629" i="8" s="1"/>
  <c r="I629" i="8"/>
  <c r="A630" i="8"/>
  <c r="J630" i="8" l="1" a="1"/>
  <c r="J630" i="8" s="1"/>
  <c r="A631" i="8"/>
  <c r="I630" i="8"/>
  <c r="I624" i="7"/>
  <c r="A625" i="7"/>
  <c r="J624" i="7" a="1"/>
  <c r="J624" i="7" s="1"/>
  <c r="A622" i="5"/>
  <c r="J621" i="5" a="1"/>
  <c r="J621" i="5" s="1"/>
  <c r="I621" i="5"/>
  <c r="I661" i="6"/>
  <c r="A662" i="6"/>
  <c r="J661" i="6" a="1"/>
  <c r="J661" i="6" s="1"/>
  <c r="J632" i="9" a="1"/>
  <c r="J632" i="9" s="1"/>
  <c r="A633" i="9"/>
  <c r="I632" i="9"/>
  <c r="A638" i="3"/>
  <c r="J637" i="3" a="1"/>
  <c r="J637" i="3" s="1"/>
  <c r="I637" i="3"/>
  <c r="J638" i="3" l="1" a="1"/>
  <c r="J638" i="3" s="1"/>
  <c r="A639" i="3"/>
  <c r="I638" i="3"/>
  <c r="J633" i="9" a="1"/>
  <c r="J633" i="9" s="1"/>
  <c r="A634" i="9"/>
  <c r="I633" i="9"/>
  <c r="A663" i="6"/>
  <c r="J662" i="6" a="1"/>
  <c r="J662" i="6" s="1"/>
  <c r="I662" i="6"/>
  <c r="A623" i="5"/>
  <c r="J622" i="5" a="1"/>
  <c r="J622" i="5" s="1"/>
  <c r="I622" i="5"/>
  <c r="A626" i="7"/>
  <c r="J625" i="7" a="1"/>
  <c r="J625" i="7" s="1"/>
  <c r="I625" i="7"/>
  <c r="A632" i="8"/>
  <c r="I631" i="8"/>
  <c r="J631" i="8" a="1"/>
  <c r="J631" i="8" s="1"/>
  <c r="A633" i="8" l="1"/>
  <c r="J632" i="8" a="1"/>
  <c r="J632" i="8" s="1"/>
  <c r="I632" i="8"/>
  <c r="I626" i="7"/>
  <c r="A627" i="7"/>
  <c r="J626" i="7" a="1"/>
  <c r="J626" i="7" s="1"/>
  <c r="A624" i="5"/>
  <c r="J623" i="5" a="1"/>
  <c r="J623" i="5" s="1"/>
  <c r="I623" i="5"/>
  <c r="I663" i="6"/>
  <c r="J663" i="6" a="1"/>
  <c r="J663" i="6" s="1"/>
  <c r="A664" i="6"/>
  <c r="I634" i="9"/>
  <c r="J634" i="9" a="1"/>
  <c r="J634" i="9" s="1"/>
  <c r="A635" i="9"/>
  <c r="A640" i="3"/>
  <c r="I639" i="3"/>
  <c r="J639" i="3" a="1"/>
  <c r="J639" i="3" s="1"/>
  <c r="A641" i="3" l="1"/>
  <c r="J640" i="3" a="1"/>
  <c r="J640" i="3" s="1"/>
  <c r="I640" i="3"/>
  <c r="J635" i="9" a="1"/>
  <c r="J635" i="9" s="1"/>
  <c r="I635" i="9"/>
  <c r="A636" i="9"/>
  <c r="J664" i="6" a="1"/>
  <c r="J664" i="6" s="1"/>
  <c r="I664" i="6"/>
  <c r="A665" i="6"/>
  <c r="A625" i="5"/>
  <c r="I624" i="5"/>
  <c r="J624" i="5" a="1"/>
  <c r="J624" i="5" s="1"/>
  <c r="I627" i="7"/>
  <c r="A628" i="7"/>
  <c r="J627" i="7" a="1"/>
  <c r="J627" i="7" s="1"/>
  <c r="A634" i="8"/>
  <c r="I633" i="8"/>
  <c r="J633" i="8" a="1"/>
  <c r="J633" i="8" s="1"/>
  <c r="A635" i="8" l="1"/>
  <c r="J634" i="8" a="1"/>
  <c r="J634" i="8" s="1"/>
  <c r="I634" i="8"/>
  <c r="I628" i="7"/>
  <c r="A629" i="7"/>
  <c r="J628" i="7" a="1"/>
  <c r="J628" i="7" s="1"/>
  <c r="I625" i="5"/>
  <c r="A626" i="5"/>
  <c r="J625" i="5" a="1"/>
  <c r="J625" i="5" s="1"/>
  <c r="J665" i="6" a="1"/>
  <c r="J665" i="6" s="1"/>
  <c r="I665" i="6"/>
  <c r="A666" i="6"/>
  <c r="A637" i="9"/>
  <c r="J636" i="9" a="1"/>
  <c r="J636" i="9" s="1"/>
  <c r="I636" i="9"/>
  <c r="A642" i="3"/>
  <c r="I641" i="3"/>
  <c r="J641" i="3" a="1"/>
  <c r="J641" i="3" s="1"/>
  <c r="A643" i="3" l="1"/>
  <c r="J642" i="3" a="1"/>
  <c r="J642" i="3" s="1"/>
  <c r="I642" i="3"/>
  <c r="I637" i="9"/>
  <c r="A638" i="9"/>
  <c r="J637" i="9" a="1"/>
  <c r="J637" i="9" s="1"/>
  <c r="A667" i="6"/>
  <c r="I666" i="6"/>
  <c r="J666" i="6" a="1"/>
  <c r="J666" i="6" s="1"/>
  <c r="J626" i="5" a="1"/>
  <c r="J626" i="5" s="1"/>
  <c r="A627" i="5"/>
  <c r="I626" i="5"/>
  <c r="A630" i="7"/>
  <c r="J629" i="7" a="1"/>
  <c r="J629" i="7" s="1"/>
  <c r="I629" i="7"/>
  <c r="A636" i="8"/>
  <c r="I635" i="8"/>
  <c r="J635" i="8" a="1"/>
  <c r="J635" i="8" s="1"/>
  <c r="I636" i="8" l="1"/>
  <c r="J636" i="8" a="1"/>
  <c r="J636" i="8" s="1"/>
  <c r="A637" i="8"/>
  <c r="I630" i="7"/>
  <c r="A631" i="7"/>
  <c r="J630" i="7" a="1"/>
  <c r="J630" i="7" s="1"/>
  <c r="A628" i="5"/>
  <c r="J627" i="5" a="1"/>
  <c r="J627" i="5" s="1"/>
  <c r="I627" i="5"/>
  <c r="J667" i="6" a="1"/>
  <c r="J667" i="6" s="1"/>
  <c r="I667" i="6"/>
  <c r="A668" i="6"/>
  <c r="A639" i="9"/>
  <c r="J638" i="9" a="1"/>
  <c r="J638" i="9" s="1"/>
  <c r="I638" i="9"/>
  <c r="A644" i="3"/>
  <c r="J643" i="3" a="1"/>
  <c r="J643" i="3" s="1"/>
  <c r="I643" i="3"/>
  <c r="J644" i="3" l="1" a="1"/>
  <c r="J644" i="3" s="1"/>
  <c r="A645" i="3"/>
  <c r="I644" i="3"/>
  <c r="A640" i="9"/>
  <c r="J639" i="9" a="1"/>
  <c r="J639" i="9" s="1"/>
  <c r="I639" i="9"/>
  <c r="J668" i="6" a="1"/>
  <c r="J668" i="6" s="1"/>
  <c r="I668" i="6"/>
  <c r="A669" i="6"/>
  <c r="A629" i="5"/>
  <c r="I628" i="5"/>
  <c r="J628" i="5" a="1"/>
  <c r="J628" i="5" s="1"/>
  <c r="A632" i="7"/>
  <c r="I631" i="7"/>
  <c r="J631" i="7" a="1"/>
  <c r="J631" i="7" s="1"/>
  <c r="I637" i="8"/>
  <c r="A638" i="8"/>
  <c r="J637" i="8" a="1"/>
  <c r="J637" i="8" s="1"/>
  <c r="J638" i="8" l="1" a="1"/>
  <c r="J638" i="8" s="1"/>
  <c r="A639" i="8"/>
  <c r="I638" i="8"/>
  <c r="J632" i="7" a="1"/>
  <c r="J632" i="7" s="1"/>
  <c r="A633" i="7"/>
  <c r="I632" i="7"/>
  <c r="A630" i="5"/>
  <c r="I629" i="5"/>
  <c r="J629" i="5" a="1"/>
  <c r="J629" i="5" s="1"/>
  <c r="I669" i="6"/>
  <c r="A670" i="6"/>
  <c r="J669" i="6" a="1"/>
  <c r="J669" i="6" s="1"/>
  <c r="J640" i="9" a="1"/>
  <c r="J640" i="9" s="1"/>
  <c r="A641" i="9"/>
  <c r="I640" i="9"/>
  <c r="A646" i="3"/>
  <c r="J645" i="3" a="1"/>
  <c r="J645" i="3" s="1"/>
  <c r="I645" i="3"/>
  <c r="I646" i="3" l="1"/>
  <c r="A647" i="3"/>
  <c r="J646" i="3" a="1"/>
  <c r="J646" i="3" s="1"/>
  <c r="J641" i="9" a="1"/>
  <c r="J641" i="9" s="1"/>
  <c r="I641" i="9"/>
  <c r="A642" i="9"/>
  <c r="I670" i="6"/>
  <c r="A671" i="6"/>
  <c r="J670" i="6" a="1"/>
  <c r="J670" i="6" s="1"/>
  <c r="J630" i="5" a="1"/>
  <c r="J630" i="5" s="1"/>
  <c r="A631" i="5"/>
  <c r="I630" i="5"/>
  <c r="J633" i="7" a="1"/>
  <c r="J633" i="7" s="1"/>
  <c r="A634" i="7"/>
  <c r="I633" i="7"/>
  <c r="A640" i="8"/>
  <c r="J639" i="8" a="1"/>
  <c r="J639" i="8" s="1"/>
  <c r="I639" i="8"/>
  <c r="J640" i="8" l="1" a="1"/>
  <c r="J640" i="8" s="1"/>
  <c r="A641" i="8"/>
  <c r="I640" i="8"/>
  <c r="I634" i="7"/>
  <c r="A635" i="7"/>
  <c r="J634" i="7" a="1"/>
  <c r="J634" i="7" s="1"/>
  <c r="J631" i="5" a="1"/>
  <c r="J631" i="5" s="1"/>
  <c r="I631" i="5"/>
  <c r="A632" i="5"/>
  <c r="A672" i="6"/>
  <c r="J671" i="6" a="1"/>
  <c r="J671" i="6" s="1"/>
  <c r="I671" i="6"/>
  <c r="A643" i="9"/>
  <c r="I642" i="9"/>
  <c r="J642" i="9" a="1"/>
  <c r="J642" i="9" s="1"/>
  <c r="A648" i="3"/>
  <c r="J647" i="3" a="1"/>
  <c r="J647" i="3" s="1"/>
  <c r="I647" i="3"/>
  <c r="A649" i="3" l="1"/>
  <c r="J648" i="3" a="1"/>
  <c r="J648" i="3" s="1"/>
  <c r="I648" i="3"/>
  <c r="I643" i="9"/>
  <c r="A644" i="9"/>
  <c r="J643" i="9" a="1"/>
  <c r="J643" i="9" s="1"/>
  <c r="I672" i="6"/>
  <c r="A673" i="6"/>
  <c r="J672" i="6" a="1"/>
  <c r="J672" i="6" s="1"/>
  <c r="A633" i="5"/>
  <c r="I632" i="5"/>
  <c r="J632" i="5" a="1"/>
  <c r="J632" i="5" s="1"/>
  <c r="A636" i="7"/>
  <c r="J635" i="7" a="1"/>
  <c r="J635" i="7" s="1"/>
  <c r="I635" i="7"/>
  <c r="J641" i="8" a="1"/>
  <c r="J641" i="8" s="1"/>
  <c r="I641" i="8"/>
  <c r="A642" i="8"/>
  <c r="A643" i="8" l="1"/>
  <c r="J642" i="8" a="1"/>
  <c r="J642" i="8" s="1"/>
  <c r="I642" i="8"/>
  <c r="A637" i="7"/>
  <c r="J636" i="7" a="1"/>
  <c r="J636" i="7" s="1"/>
  <c r="I636" i="7"/>
  <c r="A634" i="5"/>
  <c r="J633" i="5" a="1"/>
  <c r="J633" i="5" s="1"/>
  <c r="I633" i="5"/>
  <c r="J673" i="6" a="1"/>
  <c r="J673" i="6" s="1"/>
  <c r="I673" i="6"/>
  <c r="A674" i="6"/>
  <c r="J644" i="9" a="1"/>
  <c r="J644" i="9" s="1"/>
  <c r="A645" i="9"/>
  <c r="I644" i="9"/>
  <c r="I649" i="3"/>
  <c r="A650" i="3"/>
  <c r="J649" i="3" a="1"/>
  <c r="J649" i="3" s="1"/>
  <c r="J650" i="3" l="1" a="1"/>
  <c r="J650" i="3" s="1"/>
  <c r="A651" i="3"/>
  <c r="I650" i="3"/>
  <c r="J645" i="9" a="1"/>
  <c r="J645" i="9" s="1"/>
  <c r="A646" i="9"/>
  <c r="I645" i="9"/>
  <c r="I674" i="6"/>
  <c r="J674" i="6" a="1"/>
  <c r="J674" i="6" s="1"/>
  <c r="A675" i="6"/>
  <c r="A635" i="5"/>
  <c r="J634" i="5" a="1"/>
  <c r="J634" i="5" s="1"/>
  <c r="I634" i="5"/>
  <c r="A638" i="7"/>
  <c r="J637" i="7" a="1"/>
  <c r="J637" i="7" s="1"/>
  <c r="I637" i="7"/>
  <c r="A644" i="8"/>
  <c r="J643" i="8" a="1"/>
  <c r="J643" i="8" s="1"/>
  <c r="I643" i="8"/>
  <c r="A645" i="8" l="1"/>
  <c r="J644" i="8" a="1"/>
  <c r="J644" i="8" s="1"/>
  <c r="I644" i="8"/>
  <c r="J638" i="7" a="1"/>
  <c r="J638" i="7" s="1"/>
  <c r="A639" i="7"/>
  <c r="I638" i="7"/>
  <c r="J635" i="5" a="1"/>
  <c r="J635" i="5" s="1"/>
  <c r="I635" i="5"/>
  <c r="A636" i="5"/>
  <c r="I675" i="6"/>
  <c r="J675" i="6" a="1"/>
  <c r="J675" i="6" s="1"/>
  <c r="A676" i="6"/>
  <c r="A647" i="9"/>
  <c r="J646" i="9" a="1"/>
  <c r="J646" i="9" s="1"/>
  <c r="I646" i="9"/>
  <c r="J651" i="3" a="1"/>
  <c r="J651" i="3" s="1"/>
  <c r="I651" i="3"/>
  <c r="A652" i="3"/>
  <c r="J652" i="3" l="1" a="1"/>
  <c r="J652" i="3" s="1"/>
  <c r="A653" i="3"/>
  <c r="I652" i="3"/>
  <c r="J647" i="9" a="1"/>
  <c r="J647" i="9" s="1"/>
  <c r="A648" i="9"/>
  <c r="I647" i="9"/>
  <c r="I676" i="6"/>
  <c r="J676" i="6" a="1"/>
  <c r="J676" i="6" s="1"/>
  <c r="A677" i="6"/>
  <c r="I636" i="5"/>
  <c r="A637" i="5"/>
  <c r="J636" i="5" a="1"/>
  <c r="J636" i="5" s="1"/>
  <c r="A640" i="7"/>
  <c r="J639" i="7" a="1"/>
  <c r="J639" i="7" s="1"/>
  <c r="I639" i="7"/>
  <c r="J645" i="8" a="1"/>
  <c r="J645" i="8" s="1"/>
  <c r="A646" i="8"/>
  <c r="I645" i="8"/>
  <c r="I646" i="8" l="1"/>
  <c r="A647" i="8"/>
  <c r="J646" i="8" a="1"/>
  <c r="J646" i="8" s="1"/>
  <c r="I640" i="7"/>
  <c r="A641" i="7"/>
  <c r="J640" i="7" a="1"/>
  <c r="J640" i="7" s="1"/>
  <c r="J637" i="5" a="1"/>
  <c r="J637" i="5" s="1"/>
  <c r="A638" i="5"/>
  <c r="I637" i="5"/>
  <c r="A678" i="6"/>
  <c r="J677" i="6" a="1"/>
  <c r="J677" i="6" s="1"/>
  <c r="I677" i="6"/>
  <c r="J648" i="9" a="1"/>
  <c r="J648" i="9" s="1"/>
  <c r="I648" i="9"/>
  <c r="A649" i="9"/>
  <c r="A654" i="3"/>
  <c r="I653" i="3"/>
  <c r="J653" i="3" a="1"/>
  <c r="J653" i="3" s="1"/>
  <c r="J654" i="3" l="1" a="1"/>
  <c r="J654" i="3" s="1"/>
  <c r="I654" i="3"/>
  <c r="A655" i="3"/>
  <c r="I649" i="9"/>
  <c r="A650" i="9"/>
  <c r="J649" i="9" a="1"/>
  <c r="J649" i="9" s="1"/>
  <c r="A679" i="6"/>
  <c r="J678" i="6" a="1"/>
  <c r="J678" i="6" s="1"/>
  <c r="I678" i="6"/>
  <c r="A639" i="5"/>
  <c r="J638" i="5" a="1"/>
  <c r="J638" i="5" s="1"/>
  <c r="I638" i="5"/>
  <c r="I641" i="7"/>
  <c r="A642" i="7"/>
  <c r="J641" i="7" a="1"/>
  <c r="J641" i="7" s="1"/>
  <c r="J647" i="8" a="1"/>
  <c r="J647" i="8" s="1"/>
  <c r="I647" i="8"/>
  <c r="A648" i="8"/>
  <c r="J648" i="8" l="1" a="1"/>
  <c r="J648" i="8" s="1"/>
  <c r="A649" i="8"/>
  <c r="I648" i="8"/>
  <c r="I642" i="7"/>
  <c r="A643" i="7"/>
  <c r="J642" i="7" a="1"/>
  <c r="J642" i="7" s="1"/>
  <c r="A640" i="5"/>
  <c r="I639" i="5"/>
  <c r="J639" i="5" a="1"/>
  <c r="J639" i="5" s="1"/>
  <c r="A680" i="6"/>
  <c r="I679" i="6"/>
  <c r="J679" i="6" a="1"/>
  <c r="J679" i="6" s="1"/>
  <c r="A651" i="9"/>
  <c r="J650" i="9" a="1"/>
  <c r="J650" i="9" s="1"/>
  <c r="I650" i="9"/>
  <c r="J655" i="3" a="1"/>
  <c r="J655" i="3" s="1"/>
  <c r="A656" i="3"/>
  <c r="I655" i="3"/>
  <c r="J656" i="3" l="1" a="1"/>
  <c r="J656" i="3" s="1"/>
  <c r="A657" i="3"/>
  <c r="I656" i="3"/>
  <c r="A652" i="9"/>
  <c r="J651" i="9" a="1"/>
  <c r="J651" i="9" s="1"/>
  <c r="I651" i="9"/>
  <c r="J680" i="6" a="1"/>
  <c r="J680" i="6" s="1"/>
  <c r="I680" i="6"/>
  <c r="A681" i="6"/>
  <c r="J640" i="5" a="1"/>
  <c r="J640" i="5" s="1"/>
  <c r="I640" i="5"/>
  <c r="A641" i="5"/>
  <c r="A644" i="7"/>
  <c r="J643" i="7" a="1"/>
  <c r="J643" i="7" s="1"/>
  <c r="I643" i="7"/>
  <c r="J649" i="8" a="1"/>
  <c r="J649" i="8" s="1"/>
  <c r="I649" i="8"/>
  <c r="A650" i="8"/>
  <c r="A651" i="8" l="1"/>
  <c r="J650" i="8" a="1"/>
  <c r="J650" i="8" s="1"/>
  <c r="I650" i="8"/>
  <c r="A645" i="7"/>
  <c r="J644" i="7" a="1"/>
  <c r="J644" i="7" s="1"/>
  <c r="I644" i="7"/>
  <c r="J641" i="5" a="1"/>
  <c r="J641" i="5" s="1"/>
  <c r="I641" i="5"/>
  <c r="A642" i="5"/>
  <c r="I681" i="6"/>
  <c r="A682" i="6"/>
  <c r="J681" i="6" a="1"/>
  <c r="J681" i="6" s="1"/>
  <c r="A653" i="9"/>
  <c r="J652" i="9" a="1"/>
  <c r="J652" i="9" s="1"/>
  <c r="I652" i="9"/>
  <c r="A658" i="3"/>
  <c r="J657" i="3" a="1"/>
  <c r="J657" i="3" s="1"/>
  <c r="I657" i="3"/>
  <c r="J658" i="3" l="1" a="1"/>
  <c r="J658" i="3" s="1"/>
  <c r="I658" i="3"/>
  <c r="A659" i="3"/>
  <c r="J653" i="9" a="1"/>
  <c r="J653" i="9" s="1"/>
  <c r="I653" i="9"/>
  <c r="A654" i="9"/>
  <c r="J682" i="6" a="1"/>
  <c r="J682" i="6" s="1"/>
  <c r="A683" i="6"/>
  <c r="I682" i="6"/>
  <c r="A643" i="5"/>
  <c r="J642" i="5" a="1"/>
  <c r="J642" i="5" s="1"/>
  <c r="I642" i="5"/>
  <c r="A646" i="7"/>
  <c r="J645" i="7" a="1"/>
  <c r="J645" i="7" s="1"/>
  <c r="I645" i="7"/>
  <c r="J651" i="8" a="1"/>
  <c r="J651" i="8" s="1"/>
  <c r="I651" i="8"/>
  <c r="A652" i="8"/>
  <c r="J652" i="8" l="1" a="1"/>
  <c r="J652" i="8" s="1"/>
  <c r="I652" i="8"/>
  <c r="A653" i="8"/>
  <c r="A647" i="7"/>
  <c r="J646" i="7" a="1"/>
  <c r="J646" i="7" s="1"/>
  <c r="I646" i="7"/>
  <c r="A644" i="5"/>
  <c r="J643" i="5" a="1"/>
  <c r="J643" i="5" s="1"/>
  <c r="I643" i="5"/>
  <c r="I683" i="6"/>
  <c r="A684" i="6"/>
  <c r="J683" i="6" a="1"/>
  <c r="J683" i="6" s="1"/>
  <c r="A655" i="9"/>
  <c r="J654" i="9" a="1"/>
  <c r="J654" i="9" s="1"/>
  <c r="I654" i="9"/>
  <c r="J659" i="3" a="1"/>
  <c r="J659" i="3" s="1"/>
  <c r="I659" i="3"/>
  <c r="A660" i="3"/>
  <c r="A661" i="3" l="1"/>
  <c r="J660" i="3" a="1"/>
  <c r="J660" i="3" s="1"/>
  <c r="I660" i="3"/>
  <c r="I655" i="9"/>
  <c r="A656" i="9"/>
  <c r="J655" i="9" a="1"/>
  <c r="J655" i="9" s="1"/>
  <c r="A685" i="6"/>
  <c r="I684" i="6"/>
  <c r="J684" i="6" a="1"/>
  <c r="J684" i="6" s="1"/>
  <c r="J644" i="5" a="1"/>
  <c r="J644" i="5" s="1"/>
  <c r="A645" i="5"/>
  <c r="I644" i="5"/>
  <c r="J647" i="7" a="1"/>
  <c r="J647" i="7" s="1"/>
  <c r="I647" i="7"/>
  <c r="A648" i="7"/>
  <c r="J653" i="8" a="1"/>
  <c r="J653" i="8" s="1"/>
  <c r="I653" i="8"/>
  <c r="A654" i="8"/>
  <c r="A655" i="8" l="1"/>
  <c r="J654" i="8" a="1"/>
  <c r="J654" i="8" s="1"/>
  <c r="I654" i="8"/>
  <c r="J648" i="7" a="1"/>
  <c r="J648" i="7" s="1"/>
  <c r="I648" i="7"/>
  <c r="A649" i="7"/>
  <c r="A646" i="5"/>
  <c r="J645" i="5" a="1"/>
  <c r="J645" i="5" s="1"/>
  <c r="I645" i="5"/>
  <c r="A686" i="6"/>
  <c r="I685" i="6"/>
  <c r="J685" i="6" a="1"/>
  <c r="J685" i="6" s="1"/>
  <c r="I656" i="9"/>
  <c r="J656" i="9" a="1"/>
  <c r="J656" i="9" s="1"/>
  <c r="A657" i="9"/>
  <c r="J661" i="3" a="1"/>
  <c r="J661" i="3" s="1"/>
  <c r="I661" i="3"/>
  <c r="A662" i="3"/>
  <c r="J662" i="3" l="1" a="1"/>
  <c r="J662" i="3" s="1"/>
  <c r="A663" i="3"/>
  <c r="I662" i="3"/>
  <c r="J657" i="9" a="1"/>
  <c r="J657" i="9" s="1"/>
  <c r="A658" i="9"/>
  <c r="I657" i="9"/>
  <c r="J686" i="6" a="1"/>
  <c r="J686" i="6" s="1"/>
  <c r="A687" i="6"/>
  <c r="I686" i="6"/>
  <c r="A647" i="5"/>
  <c r="J646" i="5" a="1"/>
  <c r="J646" i="5" s="1"/>
  <c r="I646" i="5"/>
  <c r="A650" i="7"/>
  <c r="I649" i="7"/>
  <c r="J649" i="7" a="1"/>
  <c r="J649" i="7" s="1"/>
  <c r="A656" i="8"/>
  <c r="I655" i="8"/>
  <c r="J655" i="8" a="1"/>
  <c r="J655" i="8" s="1"/>
  <c r="J656" i="8" l="1" a="1"/>
  <c r="J656" i="8" s="1"/>
  <c r="I656" i="8"/>
  <c r="A657" i="8"/>
  <c r="J650" i="7" a="1"/>
  <c r="J650" i="7" s="1"/>
  <c r="A651" i="7"/>
  <c r="I650" i="7"/>
  <c r="A648" i="5"/>
  <c r="J647" i="5" a="1"/>
  <c r="J647" i="5" s="1"/>
  <c r="I647" i="5"/>
  <c r="I687" i="6"/>
  <c r="J687" i="6" a="1"/>
  <c r="J687" i="6" s="1"/>
  <c r="A688" i="6"/>
  <c r="J658" i="9" a="1"/>
  <c r="J658" i="9" s="1"/>
  <c r="A659" i="9"/>
  <c r="I658" i="9"/>
  <c r="A664" i="3"/>
  <c r="I663" i="3"/>
  <c r="J663" i="3" a="1"/>
  <c r="J663" i="3" s="1"/>
  <c r="A665" i="3" l="1"/>
  <c r="J664" i="3" a="1"/>
  <c r="J664" i="3" s="1"/>
  <c r="I664" i="3"/>
  <c r="I659" i="9"/>
  <c r="A660" i="9"/>
  <c r="J659" i="9" a="1"/>
  <c r="J659" i="9" s="1"/>
  <c r="A689" i="6"/>
  <c r="J688" i="6" a="1"/>
  <c r="J688" i="6" s="1"/>
  <c r="I688" i="6"/>
  <c r="A649" i="5"/>
  <c r="J648" i="5" a="1"/>
  <c r="J648" i="5" s="1"/>
  <c r="I648" i="5"/>
  <c r="I651" i="7"/>
  <c r="J651" i="7" a="1"/>
  <c r="J651" i="7" s="1"/>
  <c r="A652" i="7"/>
  <c r="A658" i="8"/>
  <c r="J657" i="8" a="1"/>
  <c r="J657" i="8" s="1"/>
  <c r="I657" i="8"/>
  <c r="A659" i="8" l="1"/>
  <c r="J658" i="8" a="1"/>
  <c r="J658" i="8" s="1"/>
  <c r="I658" i="8"/>
  <c r="I652" i="7"/>
  <c r="A653" i="7"/>
  <c r="J652" i="7" a="1"/>
  <c r="J652" i="7" s="1"/>
  <c r="A650" i="5"/>
  <c r="I649" i="5"/>
  <c r="J649" i="5" a="1"/>
  <c r="J649" i="5" s="1"/>
  <c r="J689" i="6" a="1"/>
  <c r="J689" i="6" s="1"/>
  <c r="A690" i="6"/>
  <c r="I689" i="6"/>
  <c r="J660" i="9" a="1"/>
  <c r="J660" i="9" s="1"/>
  <c r="I660" i="9"/>
  <c r="A661" i="9"/>
  <c r="A666" i="3"/>
  <c r="J665" i="3" a="1"/>
  <c r="J665" i="3" s="1"/>
  <c r="I665" i="3"/>
  <c r="J666" i="3" l="1" a="1"/>
  <c r="J666" i="3" s="1"/>
  <c r="I666" i="3"/>
  <c r="A667" i="3"/>
  <c r="I661" i="9"/>
  <c r="A662" i="9"/>
  <c r="J661" i="9" a="1"/>
  <c r="J661" i="9" s="1"/>
  <c r="J690" i="6" a="1"/>
  <c r="J690" i="6" s="1"/>
  <c r="I690" i="6"/>
  <c r="A691" i="6"/>
  <c r="I650" i="5"/>
  <c r="A651" i="5"/>
  <c r="J650" i="5" a="1"/>
  <c r="J650" i="5" s="1"/>
  <c r="J653" i="7" a="1"/>
  <c r="J653" i="7" s="1"/>
  <c r="I653" i="7"/>
  <c r="A654" i="7"/>
  <c r="A660" i="8"/>
  <c r="J659" i="8" a="1"/>
  <c r="J659" i="8" s="1"/>
  <c r="I659" i="8"/>
  <c r="J660" i="8" l="1" a="1"/>
  <c r="J660" i="8" s="1"/>
  <c r="A661" i="8"/>
  <c r="I660" i="8"/>
  <c r="I654" i="7"/>
  <c r="A655" i="7"/>
  <c r="J654" i="7" a="1"/>
  <c r="J654" i="7" s="1"/>
  <c r="A652" i="5"/>
  <c r="J651" i="5" a="1"/>
  <c r="J651" i="5" s="1"/>
  <c r="I651" i="5"/>
  <c r="A692" i="6"/>
  <c r="I691" i="6"/>
  <c r="J691" i="6" a="1"/>
  <c r="J691" i="6" s="1"/>
  <c r="J662" i="9" a="1"/>
  <c r="J662" i="9" s="1"/>
  <c r="I662" i="9"/>
  <c r="A663" i="9"/>
  <c r="A668" i="3"/>
  <c r="J667" i="3" a="1"/>
  <c r="J667" i="3" s="1"/>
  <c r="I667" i="3"/>
  <c r="J668" i="3" l="1" a="1"/>
  <c r="J668" i="3" s="1"/>
  <c r="I668" i="3"/>
  <c r="A669" i="3"/>
  <c r="A664" i="9"/>
  <c r="I663" i="9"/>
  <c r="J663" i="9" a="1"/>
  <c r="J663" i="9" s="1"/>
  <c r="A693" i="6"/>
  <c r="I692" i="6"/>
  <c r="J692" i="6" a="1"/>
  <c r="J692" i="6" s="1"/>
  <c r="A653" i="5"/>
  <c r="J652" i="5" a="1"/>
  <c r="J652" i="5" s="1"/>
  <c r="I652" i="5"/>
  <c r="A656" i="7"/>
  <c r="J655" i="7" a="1"/>
  <c r="J655" i="7" s="1"/>
  <c r="I655" i="7"/>
  <c r="A662" i="8"/>
  <c r="I661" i="8"/>
  <c r="J661" i="8" a="1"/>
  <c r="J661" i="8" s="1"/>
  <c r="A663" i="8" l="1"/>
  <c r="I662" i="8"/>
  <c r="J662" i="8" a="1"/>
  <c r="J662" i="8" s="1"/>
  <c r="J656" i="7" a="1"/>
  <c r="J656" i="7" s="1"/>
  <c r="A657" i="7"/>
  <c r="I656" i="7"/>
  <c r="A654" i="5"/>
  <c r="I653" i="5"/>
  <c r="J653" i="5" a="1"/>
  <c r="J653" i="5" s="1"/>
  <c r="I693" i="6"/>
  <c r="A694" i="6"/>
  <c r="J693" i="6" a="1"/>
  <c r="J693" i="6" s="1"/>
  <c r="A665" i="9"/>
  <c r="J664" i="9" a="1"/>
  <c r="J664" i="9" s="1"/>
  <c r="I664" i="9"/>
  <c r="A670" i="3"/>
  <c r="J669" i="3" a="1"/>
  <c r="J669" i="3" s="1"/>
  <c r="I669" i="3"/>
  <c r="A671" i="3" l="1"/>
  <c r="J670" i="3" a="1"/>
  <c r="J670" i="3" s="1"/>
  <c r="I670" i="3"/>
  <c r="J665" i="9" a="1"/>
  <c r="J665" i="9" s="1"/>
  <c r="I665" i="9"/>
  <c r="A666" i="9"/>
  <c r="A695" i="6"/>
  <c r="J694" i="6" a="1"/>
  <c r="J694" i="6" s="1"/>
  <c r="I694" i="6"/>
  <c r="A655" i="5"/>
  <c r="I654" i="5"/>
  <c r="J654" i="5" a="1"/>
  <c r="J654" i="5" s="1"/>
  <c r="J657" i="7" a="1"/>
  <c r="J657" i="7" s="1"/>
  <c r="A658" i="7"/>
  <c r="I657" i="7"/>
  <c r="I663" i="8"/>
  <c r="J663" i="8" a="1"/>
  <c r="J663" i="8" s="1"/>
  <c r="A664" i="8"/>
  <c r="J664" i="8" l="1" a="1"/>
  <c r="J664" i="8" s="1"/>
  <c r="I664" i="8"/>
  <c r="A665" i="8"/>
  <c r="J658" i="7" a="1"/>
  <c r="J658" i="7" s="1"/>
  <c r="A659" i="7"/>
  <c r="I658" i="7"/>
  <c r="J655" i="5" a="1"/>
  <c r="J655" i="5" s="1"/>
  <c r="A656" i="5"/>
  <c r="I655" i="5"/>
  <c r="A696" i="6"/>
  <c r="J695" i="6" a="1"/>
  <c r="J695" i="6" s="1"/>
  <c r="I695" i="6"/>
  <c r="A667" i="9"/>
  <c r="J666" i="9" a="1"/>
  <c r="J666" i="9" s="1"/>
  <c r="I666" i="9"/>
  <c r="I671" i="3"/>
  <c r="A672" i="3"/>
  <c r="J671" i="3" a="1"/>
  <c r="J671" i="3" s="1"/>
  <c r="A673" i="3" l="1"/>
  <c r="I672" i="3"/>
  <c r="J672" i="3" a="1"/>
  <c r="J672" i="3" s="1"/>
  <c r="I667" i="9"/>
  <c r="J667" i="9" a="1"/>
  <c r="J667" i="9" s="1"/>
  <c r="A668" i="9"/>
  <c r="I696" i="6"/>
  <c r="A697" i="6"/>
  <c r="J696" i="6" a="1"/>
  <c r="J696" i="6" s="1"/>
  <c r="J656" i="5" a="1"/>
  <c r="J656" i="5" s="1"/>
  <c r="I656" i="5"/>
  <c r="A657" i="5"/>
  <c r="A660" i="7"/>
  <c r="I659" i="7"/>
  <c r="J659" i="7" a="1"/>
  <c r="J659" i="7" s="1"/>
  <c r="I665" i="8"/>
  <c r="A666" i="8"/>
  <c r="J665" i="8" a="1"/>
  <c r="J665" i="8" s="1"/>
  <c r="I666" i="8" l="1"/>
  <c r="A667" i="8"/>
  <c r="J666" i="8" a="1"/>
  <c r="J666" i="8" s="1"/>
  <c r="A661" i="7"/>
  <c r="J660" i="7" a="1"/>
  <c r="J660" i="7" s="1"/>
  <c r="I660" i="7"/>
  <c r="A658" i="5"/>
  <c r="I657" i="5"/>
  <c r="J657" i="5" a="1"/>
  <c r="J657" i="5" s="1"/>
  <c r="A698" i="6"/>
  <c r="I697" i="6"/>
  <c r="J697" i="6" a="1"/>
  <c r="J697" i="6" s="1"/>
  <c r="I668" i="9"/>
  <c r="J668" i="9" a="1"/>
  <c r="J668" i="9" s="1"/>
  <c r="A669" i="9"/>
  <c r="I673" i="3"/>
  <c r="A674" i="3"/>
  <c r="J673" i="3" a="1"/>
  <c r="J673" i="3" s="1"/>
  <c r="J674" i="3" l="1" a="1"/>
  <c r="J674" i="3" s="1"/>
  <c r="I674" i="3"/>
  <c r="A675" i="3"/>
  <c r="A670" i="9"/>
  <c r="J669" i="9" a="1"/>
  <c r="J669" i="9" s="1"/>
  <c r="I669" i="9"/>
  <c r="I698" i="6"/>
  <c r="A699" i="6"/>
  <c r="J698" i="6" a="1"/>
  <c r="J698" i="6" s="1"/>
  <c r="A659" i="5"/>
  <c r="I658" i="5"/>
  <c r="J658" i="5" a="1"/>
  <c r="J658" i="5" s="1"/>
  <c r="A662" i="7"/>
  <c r="J661" i="7" a="1"/>
  <c r="J661" i="7" s="1"/>
  <c r="I661" i="7"/>
  <c r="I667" i="8"/>
  <c r="J667" i="8" a="1"/>
  <c r="J667" i="8" s="1"/>
  <c r="A668" i="8"/>
  <c r="J668" i="8" l="1" a="1"/>
  <c r="J668" i="8" s="1"/>
  <c r="I668" i="8"/>
  <c r="A669" i="8"/>
  <c r="I662" i="7"/>
  <c r="A663" i="7"/>
  <c r="J662" i="7" a="1"/>
  <c r="J662" i="7" s="1"/>
  <c r="A660" i="5"/>
  <c r="J659" i="5" a="1"/>
  <c r="J659" i="5" s="1"/>
  <c r="I659" i="5"/>
  <c r="I699" i="6"/>
  <c r="J699" i="6" a="1"/>
  <c r="J699" i="6" s="1"/>
  <c r="A700" i="6"/>
  <c r="J670" i="9" a="1"/>
  <c r="J670" i="9" s="1"/>
  <c r="A671" i="9"/>
  <c r="I670" i="9"/>
  <c r="A676" i="3"/>
  <c r="J675" i="3" a="1"/>
  <c r="J675" i="3" s="1"/>
  <c r="I675" i="3"/>
  <c r="J676" i="3" l="1" a="1"/>
  <c r="J676" i="3" s="1"/>
  <c r="I676" i="3"/>
  <c r="A677" i="3"/>
  <c r="J671" i="9" a="1"/>
  <c r="J671" i="9" s="1"/>
  <c r="A672" i="9"/>
  <c r="I671" i="9"/>
  <c r="J700" i="6" a="1"/>
  <c r="J700" i="6" s="1"/>
  <c r="I700" i="6"/>
  <c r="A701" i="6"/>
  <c r="J660" i="5" a="1"/>
  <c r="J660" i="5" s="1"/>
  <c r="I660" i="5"/>
  <c r="A661" i="5"/>
  <c r="J663" i="7" a="1"/>
  <c r="J663" i="7" s="1"/>
  <c r="I663" i="7"/>
  <c r="A664" i="7"/>
  <c r="A670" i="8"/>
  <c r="J669" i="8" a="1"/>
  <c r="J669" i="8" s="1"/>
  <c r="I669" i="8"/>
  <c r="J670" i="8" l="1" a="1"/>
  <c r="J670" i="8" s="1"/>
  <c r="I670" i="8"/>
  <c r="A671" i="8"/>
  <c r="I664" i="7"/>
  <c r="A665" i="7"/>
  <c r="J664" i="7" a="1"/>
  <c r="J664" i="7" s="1"/>
  <c r="I661" i="5"/>
  <c r="A662" i="5"/>
  <c r="J661" i="5" a="1"/>
  <c r="J661" i="5" s="1"/>
  <c r="I701" i="6"/>
  <c r="A702" i="6"/>
  <c r="J701" i="6" a="1"/>
  <c r="J701" i="6" s="1"/>
  <c r="A673" i="9"/>
  <c r="J672" i="9" a="1"/>
  <c r="J672" i="9" s="1"/>
  <c r="I672" i="9"/>
  <c r="J677" i="3" a="1"/>
  <c r="J677" i="3" s="1"/>
  <c r="A678" i="3"/>
  <c r="I677" i="3"/>
  <c r="A679" i="3" l="1"/>
  <c r="J678" i="3" a="1"/>
  <c r="J678" i="3" s="1"/>
  <c r="I678" i="3"/>
  <c r="I673" i="9"/>
  <c r="A674" i="9"/>
  <c r="J673" i="9" a="1"/>
  <c r="J673" i="9" s="1"/>
  <c r="J702" i="6" a="1"/>
  <c r="J702" i="6" s="1"/>
  <c r="A703" i="6"/>
  <c r="I702" i="6"/>
  <c r="J662" i="5" a="1"/>
  <c r="J662" i="5" s="1"/>
  <c r="A663" i="5"/>
  <c r="I662" i="5"/>
  <c r="J665" i="7" a="1"/>
  <c r="J665" i="7" s="1"/>
  <c r="A666" i="7"/>
  <c r="I665" i="7"/>
  <c r="J671" i="8" a="1"/>
  <c r="J671" i="8" s="1"/>
  <c r="I671" i="8"/>
  <c r="A672" i="8"/>
  <c r="I672" i="8" l="1"/>
  <c r="A673" i="8"/>
  <c r="J672" i="8" a="1"/>
  <c r="J672" i="8" s="1"/>
  <c r="A667" i="7"/>
  <c r="J666" i="7" a="1"/>
  <c r="J666" i="7" s="1"/>
  <c r="I666" i="7"/>
  <c r="A664" i="5"/>
  <c r="J663" i="5" a="1"/>
  <c r="J663" i="5" s="1"/>
  <c r="I663" i="5"/>
  <c r="A704" i="6"/>
  <c r="J703" i="6" a="1"/>
  <c r="J703" i="6" s="1"/>
  <c r="I703" i="6"/>
  <c r="J674" i="9" a="1"/>
  <c r="J674" i="9" s="1"/>
  <c r="A675" i="9"/>
  <c r="I674" i="9"/>
  <c r="A680" i="3"/>
  <c r="J679" i="3" a="1"/>
  <c r="J679" i="3" s="1"/>
  <c r="I679" i="3"/>
  <c r="J680" i="3" l="1" a="1"/>
  <c r="J680" i="3" s="1"/>
  <c r="I680" i="3"/>
  <c r="A681" i="3"/>
  <c r="J675" i="9" a="1"/>
  <c r="J675" i="9" s="1"/>
  <c r="I675" i="9"/>
  <c r="A676" i="9"/>
  <c r="A705" i="6"/>
  <c r="I704" i="6"/>
  <c r="J704" i="6" a="1"/>
  <c r="J704" i="6" s="1"/>
  <c r="A665" i="5"/>
  <c r="J664" i="5" a="1"/>
  <c r="J664" i="5" s="1"/>
  <c r="I664" i="5"/>
  <c r="A668" i="7"/>
  <c r="I667" i="7"/>
  <c r="J667" i="7" a="1"/>
  <c r="J667" i="7" s="1"/>
  <c r="A674" i="8"/>
  <c r="J673" i="8" a="1"/>
  <c r="J673" i="8" s="1"/>
  <c r="I673" i="8"/>
  <c r="J674" i="8" l="1" a="1"/>
  <c r="J674" i="8" s="1"/>
  <c r="I674" i="8"/>
  <c r="A675" i="8"/>
  <c r="J668" i="7" a="1"/>
  <c r="J668" i="7" s="1"/>
  <c r="A669" i="7"/>
  <c r="I668" i="7"/>
  <c r="J665" i="5" a="1"/>
  <c r="J665" i="5" s="1"/>
  <c r="I665" i="5"/>
  <c r="A666" i="5"/>
  <c r="I705" i="6"/>
  <c r="J705" i="6" a="1"/>
  <c r="J705" i="6" s="1"/>
  <c r="A706" i="6"/>
  <c r="A677" i="9"/>
  <c r="J676" i="9" a="1"/>
  <c r="J676" i="9" s="1"/>
  <c r="I676" i="9"/>
  <c r="A682" i="3"/>
  <c r="J681" i="3" a="1"/>
  <c r="J681" i="3" s="1"/>
  <c r="I681" i="3"/>
  <c r="A683" i="3" l="1"/>
  <c r="I682" i="3"/>
  <c r="J682" i="3" a="1"/>
  <c r="J682" i="3" s="1"/>
  <c r="A678" i="9"/>
  <c r="J677" i="9" a="1"/>
  <c r="J677" i="9" s="1"/>
  <c r="I677" i="9"/>
  <c r="A707" i="6"/>
  <c r="I706" i="6"/>
  <c r="J706" i="6" a="1"/>
  <c r="J706" i="6" s="1"/>
  <c r="J666" i="5" a="1"/>
  <c r="J666" i="5" s="1"/>
  <c r="I666" i="5"/>
  <c r="A667" i="5"/>
  <c r="A670" i="7"/>
  <c r="I669" i="7"/>
  <c r="J669" i="7" a="1"/>
  <c r="J669" i="7" s="1"/>
  <c r="J675" i="8" a="1"/>
  <c r="J675" i="8" s="1"/>
  <c r="A676" i="8"/>
  <c r="I675" i="8"/>
  <c r="A677" i="8" l="1"/>
  <c r="J676" i="8" a="1"/>
  <c r="J676" i="8" s="1"/>
  <c r="I676" i="8"/>
  <c r="A671" i="7"/>
  <c r="J670" i="7" a="1"/>
  <c r="J670" i="7" s="1"/>
  <c r="I670" i="7"/>
  <c r="A668" i="5"/>
  <c r="J667" i="5" a="1"/>
  <c r="J667" i="5" s="1"/>
  <c r="I667" i="5"/>
  <c r="J707" i="6" a="1"/>
  <c r="J707" i="6" s="1"/>
  <c r="A708" i="6"/>
  <c r="I707" i="6"/>
  <c r="I678" i="9"/>
  <c r="J678" i="9" a="1"/>
  <c r="J678" i="9" s="1"/>
  <c r="A679" i="9"/>
  <c r="J683" i="3" a="1"/>
  <c r="J683" i="3" s="1"/>
  <c r="I683" i="3"/>
  <c r="A684" i="3"/>
  <c r="A685" i="3" l="1"/>
  <c r="J684" i="3" a="1"/>
  <c r="J684" i="3" s="1"/>
  <c r="I684" i="3"/>
  <c r="I679" i="9"/>
  <c r="A680" i="9"/>
  <c r="J679" i="9" a="1"/>
  <c r="J679" i="9" s="1"/>
  <c r="A709" i="6"/>
  <c r="J708" i="6" a="1"/>
  <c r="J708" i="6" s="1"/>
  <c r="I708" i="6"/>
  <c r="A669" i="5"/>
  <c r="J668" i="5" a="1"/>
  <c r="J668" i="5" s="1"/>
  <c r="I668" i="5"/>
  <c r="A672" i="7"/>
  <c r="J671" i="7" a="1"/>
  <c r="J671" i="7" s="1"/>
  <c r="I671" i="7"/>
  <c r="A678" i="8"/>
  <c r="I677" i="8"/>
  <c r="J677" i="8" a="1"/>
  <c r="J677" i="8" s="1"/>
  <c r="J678" i="8" l="1" a="1"/>
  <c r="J678" i="8" s="1"/>
  <c r="I678" i="8"/>
  <c r="A679" i="8"/>
  <c r="J672" i="7" a="1"/>
  <c r="J672" i="7" s="1"/>
  <c r="A673" i="7"/>
  <c r="I672" i="7"/>
  <c r="A670" i="5"/>
  <c r="J669" i="5" a="1"/>
  <c r="J669" i="5" s="1"/>
  <c r="I669" i="5"/>
  <c r="I709" i="6"/>
  <c r="A710" i="6"/>
  <c r="J709" i="6" a="1"/>
  <c r="J709" i="6" s="1"/>
  <c r="J680" i="9" a="1"/>
  <c r="J680" i="9" s="1"/>
  <c r="I680" i="9"/>
  <c r="A681" i="9"/>
  <c r="J685" i="3" a="1"/>
  <c r="J685" i="3" s="1"/>
  <c r="I685" i="3"/>
  <c r="A686" i="3"/>
  <c r="J686" i="3" l="1" a="1"/>
  <c r="J686" i="3" s="1"/>
  <c r="A687" i="3"/>
  <c r="I686" i="3"/>
  <c r="A682" i="9"/>
  <c r="I681" i="9"/>
  <c r="J681" i="9" a="1"/>
  <c r="J681" i="9" s="1"/>
  <c r="A711" i="6"/>
  <c r="I710" i="6"/>
  <c r="J710" i="6" a="1"/>
  <c r="J710" i="6" s="1"/>
  <c r="J670" i="5" a="1"/>
  <c r="J670" i="5" s="1"/>
  <c r="A671" i="5"/>
  <c r="I670" i="5"/>
  <c r="A674" i="7"/>
  <c r="J673" i="7" a="1"/>
  <c r="J673" i="7" s="1"/>
  <c r="I673" i="7"/>
  <c r="J679" i="8" a="1"/>
  <c r="J679" i="8" s="1"/>
  <c r="A680" i="8"/>
  <c r="I679" i="8"/>
  <c r="J680" i="8" l="1" a="1"/>
  <c r="J680" i="8" s="1"/>
  <c r="I680" i="8"/>
  <c r="A681" i="8"/>
  <c r="J674" i="7" a="1"/>
  <c r="J674" i="7" s="1"/>
  <c r="A675" i="7"/>
  <c r="I674" i="7"/>
  <c r="A672" i="5"/>
  <c r="J671" i="5" a="1"/>
  <c r="J671" i="5" s="1"/>
  <c r="I671" i="5"/>
  <c r="I711" i="6"/>
  <c r="A712" i="6"/>
  <c r="J711" i="6" a="1"/>
  <c r="J711" i="6" s="1"/>
  <c r="J682" i="9" a="1"/>
  <c r="J682" i="9" s="1"/>
  <c r="A683" i="9"/>
  <c r="I682" i="9"/>
  <c r="I687" i="3"/>
  <c r="A688" i="3"/>
  <c r="J687" i="3" a="1"/>
  <c r="J687" i="3" s="1"/>
  <c r="A689" i="3" l="1"/>
  <c r="J688" i="3" a="1"/>
  <c r="J688" i="3" s="1"/>
  <c r="I688" i="3"/>
  <c r="J683" i="9" a="1"/>
  <c r="J683" i="9" s="1"/>
  <c r="A684" i="9"/>
  <c r="I683" i="9"/>
  <c r="J712" i="6" a="1"/>
  <c r="J712" i="6" s="1"/>
  <c r="I712" i="6"/>
  <c r="A713" i="6"/>
  <c r="A673" i="5"/>
  <c r="J672" i="5" a="1"/>
  <c r="J672" i="5" s="1"/>
  <c r="I672" i="5"/>
  <c r="A676" i="7"/>
  <c r="J675" i="7" a="1"/>
  <c r="J675" i="7" s="1"/>
  <c r="I675" i="7"/>
  <c r="J681" i="8" a="1"/>
  <c r="J681" i="8" s="1"/>
  <c r="A682" i="8"/>
  <c r="I681" i="8"/>
  <c r="I682" i="8" l="1"/>
  <c r="A683" i="8"/>
  <c r="J682" i="8" a="1"/>
  <c r="J682" i="8" s="1"/>
  <c r="I676" i="7"/>
  <c r="A677" i="7"/>
  <c r="J676" i="7" a="1"/>
  <c r="J676" i="7" s="1"/>
  <c r="A674" i="5"/>
  <c r="J673" i="5" a="1"/>
  <c r="J673" i="5" s="1"/>
  <c r="I673" i="5"/>
  <c r="J713" i="6" a="1"/>
  <c r="J713" i="6" s="1"/>
  <c r="A714" i="6"/>
  <c r="I713" i="6"/>
  <c r="I684" i="9"/>
  <c r="A685" i="9"/>
  <c r="J684" i="9" a="1"/>
  <c r="J684" i="9" s="1"/>
  <c r="A690" i="3"/>
  <c r="J689" i="3" a="1"/>
  <c r="J689" i="3" s="1"/>
  <c r="I689" i="3"/>
  <c r="A691" i="3" l="1"/>
  <c r="J690" i="3" a="1"/>
  <c r="J690" i="3" s="1"/>
  <c r="I690" i="3"/>
  <c r="I685" i="9"/>
  <c r="A686" i="9"/>
  <c r="J685" i="9" a="1"/>
  <c r="J685" i="9" s="1"/>
  <c r="A715" i="6"/>
  <c r="J714" i="6" a="1"/>
  <c r="J714" i="6" s="1"/>
  <c r="I714" i="6"/>
  <c r="A675" i="5"/>
  <c r="I674" i="5"/>
  <c r="J674" i="5" a="1"/>
  <c r="J674" i="5" s="1"/>
  <c r="I677" i="7"/>
  <c r="J677" i="7" a="1"/>
  <c r="J677" i="7" s="1"/>
  <c r="A678" i="7"/>
  <c r="A684" i="8"/>
  <c r="J683" i="8" a="1"/>
  <c r="J683" i="8" s="1"/>
  <c r="I683" i="8"/>
  <c r="J684" i="8" l="1" a="1"/>
  <c r="J684" i="8" s="1"/>
  <c r="A685" i="8"/>
  <c r="I684" i="8"/>
  <c r="A679" i="7"/>
  <c r="I678" i="7"/>
  <c r="J678" i="7" a="1"/>
  <c r="J678" i="7" s="1"/>
  <c r="A676" i="5"/>
  <c r="I675" i="5"/>
  <c r="J675" i="5" a="1"/>
  <c r="J675" i="5" s="1"/>
  <c r="J715" i="6" a="1"/>
  <c r="J715" i="6" s="1"/>
  <c r="A716" i="6"/>
  <c r="I715" i="6"/>
  <c r="I686" i="9"/>
  <c r="A687" i="9"/>
  <c r="J686" i="9" a="1"/>
  <c r="J686" i="9" s="1"/>
  <c r="A692" i="3"/>
  <c r="J691" i="3" a="1"/>
  <c r="J691" i="3" s="1"/>
  <c r="I691" i="3"/>
  <c r="J692" i="3" l="1" a="1"/>
  <c r="J692" i="3" s="1"/>
  <c r="I692" i="3"/>
  <c r="A693" i="3"/>
  <c r="A688" i="9"/>
  <c r="J687" i="9" a="1"/>
  <c r="J687" i="9" s="1"/>
  <c r="I687" i="9"/>
  <c r="A717" i="6"/>
  <c r="I716" i="6"/>
  <c r="J716" i="6" a="1"/>
  <c r="J716" i="6" s="1"/>
  <c r="A677" i="5"/>
  <c r="I676" i="5"/>
  <c r="J676" i="5" a="1"/>
  <c r="J676" i="5" s="1"/>
  <c r="A680" i="7"/>
  <c r="J679" i="7" a="1"/>
  <c r="J679" i="7" s="1"/>
  <c r="I679" i="7"/>
  <c r="I685" i="8"/>
  <c r="A686" i="8"/>
  <c r="J685" i="8" a="1"/>
  <c r="J685" i="8" s="1"/>
  <c r="A687" i="8" l="1"/>
  <c r="J686" i="8" a="1"/>
  <c r="J686" i="8" s="1"/>
  <c r="I686" i="8"/>
  <c r="J680" i="7" a="1"/>
  <c r="J680" i="7" s="1"/>
  <c r="I680" i="7"/>
  <c r="A681" i="7"/>
  <c r="A678" i="5"/>
  <c r="J677" i="5" a="1"/>
  <c r="J677" i="5" s="1"/>
  <c r="I677" i="5"/>
  <c r="I717" i="6"/>
  <c r="A718" i="6"/>
  <c r="J717" i="6" a="1"/>
  <c r="J717" i="6" s="1"/>
  <c r="A689" i="9"/>
  <c r="J688" i="9" a="1"/>
  <c r="J688" i="9" s="1"/>
  <c r="I688" i="9"/>
  <c r="I693" i="3"/>
  <c r="A694" i="3"/>
  <c r="J693" i="3" a="1"/>
  <c r="J693" i="3" s="1"/>
  <c r="A695" i="3" l="1"/>
  <c r="I694" i="3"/>
  <c r="J694" i="3" a="1"/>
  <c r="J694" i="3" s="1"/>
  <c r="A690" i="9"/>
  <c r="I689" i="9"/>
  <c r="J689" i="9" a="1"/>
  <c r="J689" i="9" s="1"/>
  <c r="J718" i="6" a="1"/>
  <c r="J718" i="6" s="1"/>
  <c r="A719" i="6"/>
  <c r="I718" i="6"/>
  <c r="A679" i="5"/>
  <c r="I678" i="5"/>
  <c r="J678" i="5" a="1"/>
  <c r="J678" i="5" s="1"/>
  <c r="J681" i="7" a="1"/>
  <c r="J681" i="7" s="1"/>
  <c r="I681" i="7"/>
  <c r="A682" i="7"/>
  <c r="J687" i="8" a="1"/>
  <c r="J687" i="8" s="1"/>
  <c r="I687" i="8"/>
  <c r="A688" i="8"/>
  <c r="A689" i="8" l="1"/>
  <c r="I688" i="8"/>
  <c r="J688" i="8" a="1"/>
  <c r="J688" i="8" s="1"/>
  <c r="J682" i="7" a="1"/>
  <c r="J682" i="7" s="1"/>
  <c r="I682" i="7"/>
  <c r="A683" i="7"/>
  <c r="A680" i="5"/>
  <c r="I679" i="5"/>
  <c r="J679" i="5" a="1"/>
  <c r="J679" i="5" s="1"/>
  <c r="A720" i="6"/>
  <c r="I719" i="6"/>
  <c r="J719" i="6" a="1"/>
  <c r="J719" i="6" s="1"/>
  <c r="J690" i="9" a="1"/>
  <c r="J690" i="9" s="1"/>
  <c r="I690" i="9"/>
  <c r="A691" i="9"/>
  <c r="J695" i="3" a="1"/>
  <c r="J695" i="3" s="1"/>
  <c r="I695" i="3"/>
  <c r="A696" i="3"/>
  <c r="I696" i="3" l="1"/>
  <c r="A697" i="3"/>
  <c r="J696" i="3" a="1"/>
  <c r="J696" i="3" s="1"/>
  <c r="I691" i="9"/>
  <c r="J691" i="9" a="1"/>
  <c r="J691" i="9" s="1"/>
  <c r="A692" i="9"/>
  <c r="I720" i="6"/>
  <c r="A721" i="6"/>
  <c r="J720" i="6" a="1"/>
  <c r="J720" i="6" s="1"/>
  <c r="J680" i="5" a="1"/>
  <c r="J680" i="5" s="1"/>
  <c r="A681" i="5"/>
  <c r="I680" i="5"/>
  <c r="J683" i="7" a="1"/>
  <c r="J683" i="7" s="1"/>
  <c r="I683" i="7"/>
  <c r="A684" i="7"/>
  <c r="A690" i="8"/>
  <c r="I689" i="8"/>
  <c r="J689" i="8" a="1"/>
  <c r="J689" i="8" s="1"/>
  <c r="I690" i="8" l="1"/>
  <c r="A691" i="8"/>
  <c r="J690" i="8" a="1"/>
  <c r="J690" i="8" s="1"/>
  <c r="I684" i="7"/>
  <c r="A685" i="7"/>
  <c r="J684" i="7" a="1"/>
  <c r="J684" i="7" s="1"/>
  <c r="A682" i="5"/>
  <c r="J681" i="5" a="1"/>
  <c r="J681" i="5" s="1"/>
  <c r="I681" i="5"/>
  <c r="A722" i="6"/>
  <c r="J721" i="6" a="1"/>
  <c r="J721" i="6" s="1"/>
  <c r="I721" i="6"/>
  <c r="J692" i="9" a="1"/>
  <c r="J692" i="9" s="1"/>
  <c r="A693" i="9"/>
  <c r="I692" i="9"/>
  <c r="A698" i="3"/>
  <c r="I697" i="3"/>
  <c r="J697" i="3" a="1"/>
  <c r="J697" i="3" s="1"/>
  <c r="J698" i="3" l="1" a="1"/>
  <c r="J698" i="3" s="1"/>
  <c r="A699" i="3"/>
  <c r="I698" i="3"/>
  <c r="I693" i="9"/>
  <c r="J693" i="9" a="1"/>
  <c r="J693" i="9" s="1"/>
  <c r="A694" i="9"/>
  <c r="I722" i="6"/>
  <c r="A723" i="6"/>
  <c r="J722" i="6" a="1"/>
  <c r="J722" i="6" s="1"/>
  <c r="A683" i="5"/>
  <c r="J682" i="5" a="1"/>
  <c r="J682" i="5" s="1"/>
  <c r="I682" i="5"/>
  <c r="A686" i="7"/>
  <c r="I685" i="7"/>
  <c r="J685" i="7" a="1"/>
  <c r="J685" i="7" s="1"/>
  <c r="A692" i="8"/>
  <c r="I691" i="8"/>
  <c r="J691" i="8" a="1"/>
  <c r="J691" i="8" s="1"/>
  <c r="A693" i="8" l="1"/>
  <c r="J692" i="8" a="1"/>
  <c r="J692" i="8" s="1"/>
  <c r="I692" i="8"/>
  <c r="I686" i="7"/>
  <c r="A687" i="7"/>
  <c r="J686" i="7" a="1"/>
  <c r="J686" i="7" s="1"/>
  <c r="A684" i="5"/>
  <c r="I683" i="5"/>
  <c r="J683" i="5" a="1"/>
  <c r="J683" i="5" s="1"/>
  <c r="I723" i="6"/>
  <c r="J723" i="6" a="1"/>
  <c r="J723" i="6" s="1"/>
  <c r="A724" i="6"/>
  <c r="A695" i="9"/>
  <c r="J694" i="9" a="1"/>
  <c r="J694" i="9" s="1"/>
  <c r="I694" i="9"/>
  <c r="J699" i="3" a="1"/>
  <c r="J699" i="3" s="1"/>
  <c r="I699" i="3"/>
  <c r="A700" i="3"/>
  <c r="J700" i="3" l="1" a="1"/>
  <c r="J700" i="3" s="1"/>
  <c r="I700" i="3"/>
  <c r="A701" i="3"/>
  <c r="I695" i="9"/>
  <c r="A696" i="9"/>
  <c r="J695" i="9" a="1"/>
  <c r="J695" i="9" s="1"/>
  <c r="A725" i="6"/>
  <c r="I724" i="6"/>
  <c r="J724" i="6" a="1"/>
  <c r="J724" i="6" s="1"/>
  <c r="A685" i="5"/>
  <c r="J684" i="5" a="1"/>
  <c r="J684" i="5" s="1"/>
  <c r="I684" i="5"/>
  <c r="J687" i="7" a="1"/>
  <c r="J687" i="7" s="1"/>
  <c r="A688" i="7"/>
  <c r="I687" i="7"/>
  <c r="I693" i="8"/>
  <c r="A694" i="8"/>
  <c r="J693" i="8" a="1"/>
  <c r="J693" i="8" s="1"/>
  <c r="I694" i="8" l="1"/>
  <c r="A695" i="8"/>
  <c r="J694" i="8" a="1"/>
  <c r="J694" i="8" s="1"/>
  <c r="J688" i="7" a="1"/>
  <c r="J688" i="7" s="1"/>
  <c r="A689" i="7"/>
  <c r="I688" i="7"/>
  <c r="J685" i="5" a="1"/>
  <c r="J685" i="5" s="1"/>
  <c r="I685" i="5"/>
  <c r="A686" i="5"/>
  <c r="A726" i="6"/>
  <c r="I725" i="6"/>
  <c r="J725" i="6" a="1"/>
  <c r="J725" i="6" s="1"/>
  <c r="J696" i="9" a="1"/>
  <c r="J696" i="9" s="1"/>
  <c r="A697" i="9"/>
  <c r="I696" i="9"/>
  <c r="A702" i="3"/>
  <c r="J701" i="3" a="1"/>
  <c r="J701" i="3" s="1"/>
  <c r="I701" i="3"/>
  <c r="J702" i="3" l="1" a="1"/>
  <c r="J702" i="3" s="1"/>
  <c r="I702" i="3"/>
  <c r="A703" i="3"/>
  <c r="I697" i="9"/>
  <c r="A698" i="9"/>
  <c r="J697" i="9" a="1"/>
  <c r="J697" i="9" s="1"/>
  <c r="I726" i="6"/>
  <c r="A727" i="6"/>
  <c r="J726" i="6" a="1"/>
  <c r="J726" i="6" s="1"/>
  <c r="I686" i="5"/>
  <c r="A687" i="5"/>
  <c r="J686" i="5" a="1"/>
  <c r="J686" i="5" s="1"/>
  <c r="I689" i="7"/>
  <c r="J689" i="7" a="1"/>
  <c r="J689" i="7" s="1"/>
  <c r="A690" i="7"/>
  <c r="A696" i="8"/>
  <c r="J695" i="8" a="1"/>
  <c r="J695" i="8" s="1"/>
  <c r="I695" i="8"/>
  <c r="J696" i="8" l="1" a="1"/>
  <c r="J696" i="8" s="1"/>
  <c r="A697" i="8"/>
  <c r="I696" i="8"/>
  <c r="J690" i="7" a="1"/>
  <c r="J690" i="7" s="1"/>
  <c r="I690" i="7"/>
  <c r="A691" i="7"/>
  <c r="A688" i="5"/>
  <c r="J687" i="5" a="1"/>
  <c r="J687" i="5" s="1"/>
  <c r="I687" i="5"/>
  <c r="A728" i="6"/>
  <c r="J727" i="6" a="1"/>
  <c r="J727" i="6" s="1"/>
  <c r="I727" i="6"/>
  <c r="I698" i="9"/>
  <c r="A699" i="9"/>
  <c r="J698" i="9" a="1"/>
  <c r="J698" i="9" s="1"/>
  <c r="A704" i="3"/>
  <c r="J703" i="3" a="1"/>
  <c r="J703" i="3" s="1"/>
  <c r="I703" i="3"/>
  <c r="J704" i="3" l="1" a="1"/>
  <c r="J704" i="3" s="1"/>
  <c r="A705" i="3"/>
  <c r="I704" i="3"/>
  <c r="A700" i="9"/>
  <c r="J699" i="9" a="1"/>
  <c r="J699" i="9" s="1"/>
  <c r="I699" i="9"/>
  <c r="J728" i="6" a="1"/>
  <c r="J728" i="6" s="1"/>
  <c r="A729" i="6"/>
  <c r="I728" i="6"/>
  <c r="J688" i="5" a="1"/>
  <c r="J688" i="5" s="1"/>
  <c r="A689" i="5"/>
  <c r="I688" i="5"/>
  <c r="A692" i="7"/>
  <c r="I691" i="7"/>
  <c r="J691" i="7" a="1"/>
  <c r="J691" i="7" s="1"/>
  <c r="J697" i="8" a="1"/>
  <c r="J697" i="8" s="1"/>
  <c r="I697" i="8"/>
  <c r="A698" i="8"/>
  <c r="A699" i="8" l="1"/>
  <c r="I698" i="8"/>
  <c r="J698" i="8" a="1"/>
  <c r="J698" i="8" s="1"/>
  <c r="J692" i="7" a="1"/>
  <c r="J692" i="7" s="1"/>
  <c r="I692" i="7"/>
  <c r="A693" i="7"/>
  <c r="A690" i="5"/>
  <c r="J689" i="5" a="1"/>
  <c r="J689" i="5" s="1"/>
  <c r="I689" i="5"/>
  <c r="I729" i="6"/>
  <c r="A730" i="6"/>
  <c r="J729" i="6" a="1"/>
  <c r="J729" i="6" s="1"/>
  <c r="J700" i="9" a="1"/>
  <c r="J700" i="9" s="1"/>
  <c r="I700" i="9"/>
  <c r="A701" i="9"/>
  <c r="A706" i="3"/>
  <c r="J705" i="3" a="1"/>
  <c r="J705" i="3" s="1"/>
  <c r="I705" i="3"/>
  <c r="A707" i="3" l="1"/>
  <c r="J706" i="3" a="1"/>
  <c r="J706" i="3" s="1"/>
  <c r="I706" i="3"/>
  <c r="A702" i="9"/>
  <c r="J701" i="9" a="1"/>
  <c r="J701" i="9" s="1"/>
  <c r="I701" i="9"/>
  <c r="A731" i="6"/>
  <c r="I730" i="6"/>
  <c r="J730" i="6" a="1"/>
  <c r="J730" i="6" s="1"/>
  <c r="J690" i="5" a="1"/>
  <c r="J690" i="5" s="1"/>
  <c r="I690" i="5"/>
  <c r="A691" i="5"/>
  <c r="A694" i="7"/>
  <c r="J693" i="7" a="1"/>
  <c r="J693" i="7" s="1"/>
  <c r="I693" i="7"/>
  <c r="I699" i="8"/>
  <c r="J699" i="8" a="1"/>
  <c r="J699" i="8" s="1"/>
  <c r="A700" i="8"/>
  <c r="J700" i="8" l="1" a="1"/>
  <c r="J700" i="8" s="1"/>
  <c r="A701" i="8"/>
  <c r="I700" i="8"/>
  <c r="A695" i="7"/>
  <c r="J694" i="7" a="1"/>
  <c r="J694" i="7" s="1"/>
  <c r="I694" i="7"/>
  <c r="J691" i="5" a="1"/>
  <c r="J691" i="5" s="1"/>
  <c r="I691" i="5"/>
  <c r="A692" i="5"/>
  <c r="J731" i="6" a="1"/>
  <c r="J731" i="6" s="1"/>
  <c r="I731" i="6"/>
  <c r="A732" i="6"/>
  <c r="A703" i="9"/>
  <c r="I702" i="9"/>
  <c r="J702" i="9" a="1"/>
  <c r="J702" i="9" s="1"/>
  <c r="J707" i="3" a="1"/>
  <c r="J707" i="3" s="1"/>
  <c r="I707" i="3"/>
  <c r="A708" i="3"/>
  <c r="A709" i="3" l="1"/>
  <c r="J708" i="3" a="1"/>
  <c r="J708" i="3" s="1"/>
  <c r="I708" i="3"/>
  <c r="I703" i="9"/>
  <c r="J703" i="9" a="1"/>
  <c r="J703" i="9" s="1"/>
  <c r="A704" i="9"/>
  <c r="J732" i="6" a="1"/>
  <c r="J732" i="6" s="1"/>
  <c r="I732" i="6"/>
  <c r="A733" i="6"/>
  <c r="A693" i="5"/>
  <c r="J692" i="5" a="1"/>
  <c r="J692" i="5" s="1"/>
  <c r="I692" i="5"/>
  <c r="A696" i="7"/>
  <c r="I695" i="7"/>
  <c r="J695" i="7" a="1"/>
  <c r="J695" i="7" s="1"/>
  <c r="I701" i="8"/>
  <c r="A702" i="8"/>
  <c r="J701" i="8" a="1"/>
  <c r="J701" i="8" s="1"/>
  <c r="A703" i="8" l="1"/>
  <c r="J702" i="8" a="1"/>
  <c r="J702" i="8" s="1"/>
  <c r="I702" i="8"/>
  <c r="A697" i="7"/>
  <c r="J696" i="7" a="1"/>
  <c r="J696" i="7" s="1"/>
  <c r="I696" i="7"/>
  <c r="A694" i="5"/>
  <c r="J693" i="5" a="1"/>
  <c r="J693" i="5" s="1"/>
  <c r="I693" i="5"/>
  <c r="I733" i="6"/>
  <c r="J733" i="6" a="1"/>
  <c r="J733" i="6" s="1"/>
  <c r="A734" i="6"/>
  <c r="J704" i="9" a="1"/>
  <c r="J704" i="9" s="1"/>
  <c r="I704" i="9"/>
  <c r="A705" i="9"/>
  <c r="A710" i="3"/>
  <c r="J709" i="3" a="1"/>
  <c r="J709" i="3" s="1"/>
  <c r="I709" i="3"/>
  <c r="J710" i="3" l="1" a="1"/>
  <c r="J710" i="3" s="1"/>
  <c r="A711" i="3"/>
  <c r="I710" i="3"/>
  <c r="J705" i="9" a="1"/>
  <c r="J705" i="9" s="1"/>
  <c r="I705" i="9"/>
  <c r="A706" i="9"/>
  <c r="A735" i="6"/>
  <c r="J734" i="6" a="1"/>
  <c r="J734" i="6" s="1"/>
  <c r="I734" i="6"/>
  <c r="I694" i="5"/>
  <c r="A695" i="5"/>
  <c r="J694" i="5" a="1"/>
  <c r="J694" i="5" s="1"/>
  <c r="A698" i="7"/>
  <c r="J697" i="7" a="1"/>
  <c r="J697" i="7" s="1"/>
  <c r="I697" i="7"/>
  <c r="A704" i="8"/>
  <c r="J703" i="8" a="1"/>
  <c r="J703" i="8" s="1"/>
  <c r="I703" i="8"/>
  <c r="J704" i="8" l="1" a="1"/>
  <c r="J704" i="8" s="1"/>
  <c r="I704" i="8"/>
  <c r="A705" i="8"/>
  <c r="J698" i="7" a="1"/>
  <c r="J698" i="7" s="1"/>
  <c r="I698" i="7"/>
  <c r="A699" i="7"/>
  <c r="J695" i="5" a="1"/>
  <c r="J695" i="5" s="1"/>
  <c r="A696" i="5"/>
  <c r="I695" i="5"/>
  <c r="I735" i="6"/>
  <c r="J735" i="6" a="1"/>
  <c r="J735" i="6" s="1"/>
  <c r="A736" i="6"/>
  <c r="A707" i="9"/>
  <c r="J706" i="9" a="1"/>
  <c r="J706" i="9" s="1"/>
  <c r="I706" i="9"/>
  <c r="A712" i="3"/>
  <c r="J711" i="3" a="1"/>
  <c r="J711" i="3" s="1"/>
  <c r="I711" i="3"/>
  <c r="A713" i="3" l="1"/>
  <c r="J712" i="3" a="1"/>
  <c r="J712" i="3" s="1"/>
  <c r="I712" i="3"/>
  <c r="I707" i="9"/>
  <c r="A708" i="9"/>
  <c r="J707" i="9" a="1"/>
  <c r="J707" i="9" s="1"/>
  <c r="A737" i="6"/>
  <c r="J736" i="6" a="1"/>
  <c r="J736" i="6" s="1"/>
  <c r="I736" i="6"/>
  <c r="A697" i="5"/>
  <c r="J696" i="5" a="1"/>
  <c r="J696" i="5" s="1"/>
  <c r="I696" i="5"/>
  <c r="J699" i="7" a="1"/>
  <c r="J699" i="7" s="1"/>
  <c r="A700" i="7"/>
  <c r="I699" i="7"/>
  <c r="J705" i="8" a="1"/>
  <c r="J705" i="8" s="1"/>
  <c r="I705" i="8"/>
  <c r="A706" i="8"/>
  <c r="A707" i="8" l="1"/>
  <c r="J706" i="8" a="1"/>
  <c r="J706" i="8" s="1"/>
  <c r="I706" i="8"/>
  <c r="A701" i="7"/>
  <c r="I700" i="7"/>
  <c r="J700" i="7" a="1"/>
  <c r="J700" i="7" s="1"/>
  <c r="A698" i="5"/>
  <c r="J697" i="5" a="1"/>
  <c r="J697" i="5" s="1"/>
  <c r="I697" i="5"/>
  <c r="A738" i="6"/>
  <c r="I737" i="6"/>
  <c r="J737" i="6" a="1"/>
  <c r="J737" i="6" s="1"/>
  <c r="I708" i="9"/>
  <c r="A709" i="9"/>
  <c r="J708" i="9" a="1"/>
  <c r="J708" i="9" s="1"/>
  <c r="A714" i="3"/>
  <c r="I713" i="3"/>
  <c r="J713" i="3" a="1"/>
  <c r="J713" i="3" s="1"/>
  <c r="A715" i="3" l="1"/>
  <c r="I714" i="3"/>
  <c r="J714" i="3" a="1"/>
  <c r="J714" i="3" s="1"/>
  <c r="I709" i="9"/>
  <c r="J709" i="9" a="1"/>
  <c r="J709" i="9" s="1"/>
  <c r="A710" i="9"/>
  <c r="A739" i="6"/>
  <c r="I738" i="6"/>
  <c r="J738" i="6" a="1"/>
  <c r="J738" i="6" s="1"/>
  <c r="A699" i="5"/>
  <c r="J698" i="5" a="1"/>
  <c r="J698" i="5" s="1"/>
  <c r="I698" i="5"/>
  <c r="I701" i="7"/>
  <c r="A702" i="7"/>
  <c r="J701" i="7" a="1"/>
  <c r="J701" i="7" s="1"/>
  <c r="A708" i="8"/>
  <c r="J707" i="8" a="1"/>
  <c r="J707" i="8" s="1"/>
  <c r="I707" i="8"/>
  <c r="A709" i="8" l="1"/>
  <c r="J708" i="8" a="1"/>
  <c r="J708" i="8" s="1"/>
  <c r="I708" i="8"/>
  <c r="I702" i="7"/>
  <c r="A703" i="7"/>
  <c r="J702" i="7" a="1"/>
  <c r="J702" i="7" s="1"/>
  <c r="A700" i="5"/>
  <c r="I699" i="5"/>
  <c r="J699" i="5" a="1"/>
  <c r="J699" i="5" s="1"/>
  <c r="A740" i="6"/>
  <c r="J739" i="6" a="1"/>
  <c r="J739" i="6" s="1"/>
  <c r="I739" i="6"/>
  <c r="A711" i="9"/>
  <c r="I710" i="9"/>
  <c r="J710" i="9" a="1"/>
  <c r="J710" i="9" s="1"/>
  <c r="A716" i="3"/>
  <c r="J715" i="3" a="1"/>
  <c r="J715" i="3" s="1"/>
  <c r="I715" i="3"/>
  <c r="J716" i="3" l="1" a="1"/>
  <c r="J716" i="3" s="1"/>
  <c r="A717" i="3"/>
  <c r="I716" i="3"/>
  <c r="A712" i="9"/>
  <c r="J711" i="9" a="1"/>
  <c r="J711" i="9" s="1"/>
  <c r="I711" i="9"/>
  <c r="J740" i="6" a="1"/>
  <c r="J740" i="6" s="1"/>
  <c r="A741" i="6"/>
  <c r="I740" i="6"/>
  <c r="J700" i="5" a="1"/>
  <c r="J700" i="5" s="1"/>
  <c r="I700" i="5"/>
  <c r="A701" i="5"/>
  <c r="A704" i="7"/>
  <c r="I703" i="7"/>
  <c r="J703" i="7" a="1"/>
  <c r="J703" i="7" s="1"/>
  <c r="I709" i="8"/>
  <c r="A710" i="8"/>
  <c r="J709" i="8" a="1"/>
  <c r="J709" i="8" s="1"/>
  <c r="J710" i="8" l="1" a="1"/>
  <c r="J710" i="8" s="1"/>
  <c r="A711" i="8"/>
  <c r="I710" i="8"/>
  <c r="A705" i="7"/>
  <c r="J704" i="7" a="1"/>
  <c r="J704" i="7" s="1"/>
  <c r="I704" i="7"/>
  <c r="A702" i="5"/>
  <c r="I701" i="5"/>
  <c r="J701" i="5" a="1"/>
  <c r="J701" i="5" s="1"/>
  <c r="I741" i="6"/>
  <c r="A742" i="6"/>
  <c r="J741" i="6" a="1"/>
  <c r="J741" i="6" s="1"/>
  <c r="A713" i="9"/>
  <c r="J712" i="9" a="1"/>
  <c r="J712" i="9" s="1"/>
  <c r="I712" i="9"/>
  <c r="J717" i="3" a="1"/>
  <c r="J717" i="3" s="1"/>
  <c r="I717" i="3"/>
  <c r="A718" i="3"/>
  <c r="I718" i="3" l="1"/>
  <c r="A719" i="3"/>
  <c r="J718" i="3" a="1"/>
  <c r="J718" i="3" s="1"/>
  <c r="A714" i="9"/>
  <c r="J713" i="9" a="1"/>
  <c r="J713" i="9" s="1"/>
  <c r="I713" i="9"/>
  <c r="A743" i="6"/>
  <c r="I742" i="6"/>
  <c r="J742" i="6" a="1"/>
  <c r="J742" i="6" s="1"/>
  <c r="A703" i="5"/>
  <c r="J702" i="5" a="1"/>
  <c r="J702" i="5" s="1"/>
  <c r="I702" i="5"/>
  <c r="A706" i="7"/>
  <c r="I705" i="7"/>
  <c r="J705" i="7" a="1"/>
  <c r="J705" i="7" s="1"/>
  <c r="I711" i="8"/>
  <c r="A712" i="8"/>
  <c r="J711" i="8" a="1"/>
  <c r="J711" i="8" s="1"/>
  <c r="I712" i="8" l="1"/>
  <c r="A713" i="8"/>
  <c r="J712" i="8" a="1"/>
  <c r="J712" i="8" s="1"/>
  <c r="I706" i="7"/>
  <c r="A707" i="7"/>
  <c r="J706" i="7" a="1"/>
  <c r="J706" i="7" s="1"/>
  <c r="A704" i="5"/>
  <c r="I703" i="5"/>
  <c r="J703" i="5" a="1"/>
  <c r="J703" i="5" s="1"/>
  <c r="A744" i="6"/>
  <c r="I743" i="6"/>
  <c r="J743" i="6" a="1"/>
  <c r="J743" i="6" s="1"/>
  <c r="A715" i="9"/>
  <c r="J714" i="9" a="1"/>
  <c r="J714" i="9" s="1"/>
  <c r="I714" i="9"/>
  <c r="A720" i="3"/>
  <c r="J719" i="3" a="1"/>
  <c r="J719" i="3" s="1"/>
  <c r="I719" i="3"/>
  <c r="A721" i="3" l="1"/>
  <c r="J720" i="3" a="1"/>
  <c r="J720" i="3" s="1"/>
  <c r="I720" i="3"/>
  <c r="I715" i="9"/>
  <c r="J715" i="9" a="1"/>
  <c r="J715" i="9" s="1"/>
  <c r="A716" i="9"/>
  <c r="A745" i="6"/>
  <c r="J744" i="6" a="1"/>
  <c r="J744" i="6" s="1"/>
  <c r="I744" i="6"/>
  <c r="A705" i="5"/>
  <c r="I704" i="5"/>
  <c r="J704" i="5" a="1"/>
  <c r="J704" i="5" s="1"/>
  <c r="J707" i="7" a="1"/>
  <c r="J707" i="7" s="1"/>
  <c r="A708" i="7"/>
  <c r="I707" i="7"/>
  <c r="A714" i="8"/>
  <c r="J713" i="8" a="1"/>
  <c r="J713" i="8" s="1"/>
  <c r="I713" i="8"/>
  <c r="I714" i="8" l="1"/>
  <c r="A715" i="8"/>
  <c r="J714" i="8" a="1"/>
  <c r="J714" i="8" s="1"/>
  <c r="J708" i="7" a="1"/>
  <c r="J708" i="7" s="1"/>
  <c r="A709" i="7"/>
  <c r="I708" i="7"/>
  <c r="A706" i="5"/>
  <c r="J705" i="5" a="1"/>
  <c r="J705" i="5" s="1"/>
  <c r="I705" i="5"/>
  <c r="J745" i="6" a="1"/>
  <c r="J745" i="6" s="1"/>
  <c r="I745" i="6"/>
  <c r="A746" i="6"/>
  <c r="J716" i="9" a="1"/>
  <c r="J716" i="9" s="1"/>
  <c r="A717" i="9"/>
  <c r="I716" i="9"/>
  <c r="I721" i="3"/>
  <c r="A722" i="3"/>
  <c r="J721" i="3" a="1"/>
  <c r="J721" i="3" s="1"/>
  <c r="J722" i="3" l="1" a="1"/>
  <c r="J722" i="3" s="1"/>
  <c r="A723" i="3"/>
  <c r="I722" i="3"/>
  <c r="J717" i="9" a="1"/>
  <c r="J717" i="9" s="1"/>
  <c r="A718" i="9"/>
  <c r="I717" i="9"/>
  <c r="I746" i="6"/>
  <c r="J746" i="6" a="1"/>
  <c r="J746" i="6" s="1"/>
  <c r="A747" i="6"/>
  <c r="J706" i="5" a="1"/>
  <c r="J706" i="5" s="1"/>
  <c r="A707" i="5"/>
  <c r="I706" i="5"/>
  <c r="A710" i="7"/>
  <c r="J709" i="7" a="1"/>
  <c r="J709" i="7" s="1"/>
  <c r="I709" i="7"/>
  <c r="I715" i="8"/>
  <c r="A716" i="8"/>
  <c r="J715" i="8" a="1"/>
  <c r="J715" i="8" s="1"/>
  <c r="A717" i="8" l="1"/>
  <c r="J716" i="8" a="1"/>
  <c r="J716" i="8" s="1"/>
  <c r="I716" i="8"/>
  <c r="I710" i="7"/>
  <c r="A711" i="7"/>
  <c r="J710" i="7" a="1"/>
  <c r="J710" i="7" s="1"/>
  <c r="A708" i="5"/>
  <c r="J707" i="5" a="1"/>
  <c r="J707" i="5" s="1"/>
  <c r="I707" i="5"/>
  <c r="I747" i="6"/>
  <c r="A748" i="6"/>
  <c r="J747" i="6" a="1"/>
  <c r="J747" i="6" s="1"/>
  <c r="A719" i="9"/>
  <c r="J718" i="9" a="1"/>
  <c r="J718" i="9" s="1"/>
  <c r="I718" i="9"/>
  <c r="A724" i="3"/>
  <c r="I723" i="3"/>
  <c r="J723" i="3" a="1"/>
  <c r="J723" i="3" s="1"/>
  <c r="J724" i="3" l="1" a="1"/>
  <c r="J724" i="3" s="1"/>
  <c r="I724" i="3"/>
  <c r="A725" i="3"/>
  <c r="I719" i="9"/>
  <c r="A720" i="9"/>
  <c r="J719" i="9" a="1"/>
  <c r="J719" i="9" s="1"/>
  <c r="J748" i="6" a="1"/>
  <c r="J748" i="6" s="1"/>
  <c r="I748" i="6"/>
  <c r="A749" i="6"/>
  <c r="A709" i="5"/>
  <c r="I708" i="5"/>
  <c r="J708" i="5" a="1"/>
  <c r="J708" i="5" s="1"/>
  <c r="I711" i="7"/>
  <c r="A712" i="7"/>
  <c r="J711" i="7" a="1"/>
  <c r="J711" i="7" s="1"/>
  <c r="A718" i="8"/>
  <c r="J717" i="8" a="1"/>
  <c r="J717" i="8" s="1"/>
  <c r="I717" i="8"/>
  <c r="A719" i="8" l="1"/>
  <c r="J718" i="8" a="1"/>
  <c r="J718" i="8" s="1"/>
  <c r="I718" i="8"/>
  <c r="A713" i="7"/>
  <c r="I712" i="7"/>
  <c r="J712" i="7" a="1"/>
  <c r="J712" i="7" s="1"/>
  <c r="A710" i="5"/>
  <c r="J709" i="5" a="1"/>
  <c r="J709" i="5" s="1"/>
  <c r="I709" i="5"/>
  <c r="A750" i="6"/>
  <c r="I749" i="6"/>
  <c r="J749" i="6" a="1"/>
  <c r="J749" i="6" s="1"/>
  <c r="I720" i="9"/>
  <c r="A721" i="9"/>
  <c r="J720" i="9" a="1"/>
  <c r="J720" i="9" s="1"/>
  <c r="A726" i="3"/>
  <c r="J725" i="3" a="1"/>
  <c r="J725" i="3" s="1"/>
  <c r="I725" i="3"/>
  <c r="J726" i="3" l="1" a="1"/>
  <c r="J726" i="3" s="1"/>
  <c r="I726" i="3"/>
  <c r="A727" i="3"/>
  <c r="I721" i="9"/>
  <c r="A722" i="9"/>
  <c r="J721" i="9" a="1"/>
  <c r="J721" i="9" s="1"/>
  <c r="A751" i="6"/>
  <c r="J750" i="6" a="1"/>
  <c r="J750" i="6" s="1"/>
  <c r="I750" i="6"/>
  <c r="J710" i="5" a="1"/>
  <c r="J710" i="5" s="1"/>
  <c r="I710" i="5"/>
  <c r="A711" i="5"/>
  <c r="A714" i="7"/>
  <c r="I713" i="7"/>
  <c r="J713" i="7" a="1"/>
  <c r="J713" i="7" s="1"/>
  <c r="I719" i="8"/>
  <c r="A720" i="8"/>
  <c r="J719" i="8" a="1"/>
  <c r="J719" i="8" s="1"/>
  <c r="J720" i="8" l="1" a="1"/>
  <c r="J720" i="8" s="1"/>
  <c r="I720" i="8"/>
  <c r="A721" i="8"/>
  <c r="A715" i="7"/>
  <c r="I714" i="7"/>
  <c r="J714" i="7" a="1"/>
  <c r="J714" i="7" s="1"/>
  <c r="A712" i="5"/>
  <c r="I711" i="5"/>
  <c r="J711" i="5" a="1"/>
  <c r="J711" i="5" s="1"/>
  <c r="I751" i="6"/>
  <c r="A752" i="6"/>
  <c r="J751" i="6" a="1"/>
  <c r="J751" i="6" s="1"/>
  <c r="A723" i="9"/>
  <c r="I722" i="9"/>
  <c r="J722" i="9" a="1"/>
  <c r="J722" i="9" s="1"/>
  <c r="J727" i="3" a="1"/>
  <c r="J727" i="3" s="1"/>
  <c r="A728" i="3"/>
  <c r="I727" i="3"/>
  <c r="J728" i="3" l="1" a="1"/>
  <c r="J728" i="3" s="1"/>
  <c r="A729" i="3"/>
  <c r="I728" i="3"/>
  <c r="A724" i="9"/>
  <c r="I723" i="9"/>
  <c r="J723" i="9" a="1"/>
  <c r="J723" i="9" s="1"/>
  <c r="A753" i="6"/>
  <c r="J752" i="6" a="1"/>
  <c r="J752" i="6" s="1"/>
  <c r="I752" i="6"/>
  <c r="A713" i="5"/>
  <c r="J712" i="5" a="1"/>
  <c r="J712" i="5" s="1"/>
  <c r="I712" i="5"/>
  <c r="A716" i="7"/>
  <c r="J715" i="7" a="1"/>
  <c r="J715" i="7" s="1"/>
  <c r="I715" i="7"/>
  <c r="J721" i="8" a="1"/>
  <c r="J721" i="8" s="1"/>
  <c r="A722" i="8"/>
  <c r="I721" i="8"/>
  <c r="A723" i="8" l="1"/>
  <c r="J722" i="8" a="1"/>
  <c r="J722" i="8" s="1"/>
  <c r="I722" i="8"/>
  <c r="A717" i="7"/>
  <c r="J716" i="7" a="1"/>
  <c r="J716" i="7" s="1"/>
  <c r="I716" i="7"/>
  <c r="J713" i="5" a="1"/>
  <c r="J713" i="5" s="1"/>
  <c r="A714" i="5"/>
  <c r="I713" i="5"/>
  <c r="I753" i="6"/>
  <c r="A754" i="6"/>
  <c r="J753" i="6" a="1"/>
  <c r="J753" i="6" s="1"/>
  <c r="A725" i="9"/>
  <c r="J724" i="9" a="1"/>
  <c r="J724" i="9" s="1"/>
  <c r="I724" i="9"/>
  <c r="A730" i="3"/>
  <c r="J729" i="3" a="1"/>
  <c r="J729" i="3" s="1"/>
  <c r="I729" i="3"/>
  <c r="A731" i="3" l="1"/>
  <c r="J730" i="3" a="1"/>
  <c r="J730" i="3" s="1"/>
  <c r="I730" i="3"/>
  <c r="A726" i="9"/>
  <c r="J725" i="9" a="1"/>
  <c r="J725" i="9" s="1"/>
  <c r="I725" i="9"/>
  <c r="A755" i="6"/>
  <c r="J754" i="6" a="1"/>
  <c r="J754" i="6" s="1"/>
  <c r="I754" i="6"/>
  <c r="A715" i="5"/>
  <c r="J714" i="5" a="1"/>
  <c r="J714" i="5" s="1"/>
  <c r="I714" i="5"/>
  <c r="J717" i="7" a="1"/>
  <c r="J717" i="7" s="1"/>
  <c r="I717" i="7"/>
  <c r="A718" i="7"/>
  <c r="J723" i="8" a="1"/>
  <c r="J723" i="8" s="1"/>
  <c r="I723" i="8"/>
  <c r="A724" i="8"/>
  <c r="A725" i="8" l="1"/>
  <c r="J724" i="8" a="1"/>
  <c r="J724" i="8" s="1"/>
  <c r="I724" i="8"/>
  <c r="I718" i="7"/>
  <c r="A719" i="7"/>
  <c r="J718" i="7" a="1"/>
  <c r="J718" i="7" s="1"/>
  <c r="J715" i="5" a="1"/>
  <c r="J715" i="5" s="1"/>
  <c r="I715" i="5"/>
  <c r="A716" i="5"/>
  <c r="A756" i="6"/>
  <c r="I755" i="6"/>
  <c r="J755" i="6" a="1"/>
  <c r="J755" i="6" s="1"/>
  <c r="J726" i="9" a="1"/>
  <c r="J726" i="9" s="1"/>
  <c r="I726" i="9"/>
  <c r="A727" i="9"/>
  <c r="A732" i="3"/>
  <c r="J731" i="3" a="1"/>
  <c r="J731" i="3" s="1"/>
  <c r="I731" i="3"/>
  <c r="A733" i="3" l="1"/>
  <c r="J732" i="3" a="1"/>
  <c r="J732" i="3" s="1"/>
  <c r="I732" i="3"/>
  <c r="I727" i="9"/>
  <c r="A728" i="9"/>
  <c r="J727" i="9" a="1"/>
  <c r="J727" i="9" s="1"/>
  <c r="I756" i="6"/>
  <c r="A757" i="6"/>
  <c r="J756" i="6" a="1"/>
  <c r="J756" i="6" s="1"/>
  <c r="J716" i="5" a="1"/>
  <c r="J716" i="5" s="1"/>
  <c r="I716" i="5"/>
  <c r="A717" i="5"/>
  <c r="A720" i="7"/>
  <c r="I719" i="7"/>
  <c r="J719" i="7" a="1"/>
  <c r="J719" i="7" s="1"/>
  <c r="A726" i="8"/>
  <c r="J725" i="8" a="1"/>
  <c r="J725" i="8" s="1"/>
  <c r="I725" i="8"/>
  <c r="J726" i="8" l="1" a="1"/>
  <c r="J726" i="8" s="1"/>
  <c r="I726" i="8"/>
  <c r="A727" i="8"/>
  <c r="A721" i="7"/>
  <c r="J720" i="7" a="1"/>
  <c r="J720" i="7" s="1"/>
  <c r="I720" i="7"/>
  <c r="A718" i="5"/>
  <c r="J717" i="5" a="1"/>
  <c r="J717" i="5" s="1"/>
  <c r="I717" i="5"/>
  <c r="J757" i="6" a="1"/>
  <c r="J757" i="6" s="1"/>
  <c r="A758" i="6"/>
  <c r="I757" i="6"/>
  <c r="I728" i="9"/>
  <c r="A729" i="9"/>
  <c r="J728" i="9" a="1"/>
  <c r="J728" i="9" s="1"/>
  <c r="J733" i="3" a="1"/>
  <c r="J733" i="3" s="1"/>
  <c r="I733" i="3"/>
  <c r="A734" i="3"/>
  <c r="J734" i="3" l="1" a="1"/>
  <c r="J734" i="3" s="1"/>
  <c r="A735" i="3"/>
  <c r="I734" i="3"/>
  <c r="J729" i="9" a="1"/>
  <c r="J729" i="9" s="1"/>
  <c r="I729" i="9"/>
  <c r="A730" i="9"/>
  <c r="J758" i="6" a="1"/>
  <c r="J758" i="6" s="1"/>
  <c r="A759" i="6"/>
  <c r="I758" i="6"/>
  <c r="A719" i="5"/>
  <c r="I718" i="5"/>
  <c r="J718" i="5" a="1"/>
  <c r="J718" i="5" s="1"/>
  <c r="A722" i="7"/>
  <c r="I721" i="7"/>
  <c r="J721" i="7" a="1"/>
  <c r="J721" i="7" s="1"/>
  <c r="A728" i="8"/>
  <c r="J727" i="8" a="1"/>
  <c r="J727" i="8" s="1"/>
  <c r="I727" i="8"/>
  <c r="J728" i="8" l="1" a="1"/>
  <c r="J728" i="8" s="1"/>
  <c r="A729" i="8"/>
  <c r="I728" i="8"/>
  <c r="A723" i="7"/>
  <c r="J722" i="7" a="1"/>
  <c r="J722" i="7" s="1"/>
  <c r="I722" i="7"/>
  <c r="I719" i="5"/>
  <c r="A720" i="5"/>
  <c r="J719" i="5" a="1"/>
  <c r="J719" i="5" s="1"/>
  <c r="I759" i="6"/>
  <c r="J759" i="6" a="1"/>
  <c r="J759" i="6" s="1"/>
  <c r="A760" i="6"/>
  <c r="J730" i="9" a="1"/>
  <c r="J730" i="9" s="1"/>
  <c r="I730" i="9"/>
  <c r="A731" i="9"/>
  <c r="A736" i="3"/>
  <c r="I735" i="3"/>
  <c r="J735" i="3" a="1"/>
  <c r="J735" i="3" s="1"/>
  <c r="A737" i="3" l="1"/>
  <c r="J736" i="3" a="1"/>
  <c r="J736" i="3" s="1"/>
  <c r="I736" i="3"/>
  <c r="A732" i="9"/>
  <c r="J731" i="9" a="1"/>
  <c r="J731" i="9" s="1"/>
  <c r="I731" i="9"/>
  <c r="A761" i="6"/>
  <c r="J760" i="6" a="1"/>
  <c r="J760" i="6" s="1"/>
  <c r="I760" i="6"/>
  <c r="J720" i="5" a="1"/>
  <c r="J720" i="5" s="1"/>
  <c r="A721" i="5"/>
  <c r="I720" i="5"/>
  <c r="A724" i="7"/>
  <c r="J723" i="7" a="1"/>
  <c r="J723" i="7" s="1"/>
  <c r="I723" i="7"/>
  <c r="A730" i="8"/>
  <c r="J729" i="8" a="1"/>
  <c r="J729" i="8" s="1"/>
  <c r="I729" i="8"/>
  <c r="I730" i="8" l="1"/>
  <c r="A731" i="8"/>
  <c r="J730" i="8" a="1"/>
  <c r="J730" i="8" s="1"/>
  <c r="J724" i="7" a="1"/>
  <c r="J724" i="7" s="1"/>
  <c r="I724" i="7"/>
  <c r="A725" i="7"/>
  <c r="A722" i="5"/>
  <c r="J721" i="5" a="1"/>
  <c r="J721" i="5" s="1"/>
  <c r="I721" i="5"/>
  <c r="J761" i="6" a="1"/>
  <c r="J761" i="6" s="1"/>
  <c r="I761" i="6"/>
  <c r="A762" i="6"/>
  <c r="I732" i="9"/>
  <c r="A733" i="9"/>
  <c r="J732" i="9" a="1"/>
  <c r="J732" i="9" s="1"/>
  <c r="A738" i="3"/>
  <c r="J737" i="3" a="1"/>
  <c r="J737" i="3" s="1"/>
  <c r="I737" i="3"/>
  <c r="A739" i="3" l="1"/>
  <c r="I738" i="3"/>
  <c r="J738" i="3" a="1"/>
  <c r="J738" i="3" s="1"/>
  <c r="I733" i="9"/>
  <c r="A734" i="9"/>
  <c r="J733" i="9" a="1"/>
  <c r="J733" i="9" s="1"/>
  <c r="A763" i="6"/>
  <c r="I762" i="6"/>
  <c r="J762" i="6" a="1"/>
  <c r="J762" i="6" s="1"/>
  <c r="A723" i="5"/>
  <c r="J722" i="5" a="1"/>
  <c r="J722" i="5" s="1"/>
  <c r="I722" i="5"/>
  <c r="J725" i="7" a="1"/>
  <c r="J725" i="7" s="1"/>
  <c r="A726" i="7"/>
  <c r="I725" i="7"/>
  <c r="J731" i="8" a="1"/>
  <c r="J731" i="8" s="1"/>
  <c r="I731" i="8"/>
  <c r="A732" i="8"/>
  <c r="A733" i="8" l="1"/>
  <c r="J732" i="8" a="1"/>
  <c r="J732" i="8" s="1"/>
  <c r="I732" i="8"/>
  <c r="I726" i="7"/>
  <c r="A727" i="7"/>
  <c r="J726" i="7" a="1"/>
  <c r="J726" i="7" s="1"/>
  <c r="A724" i="5"/>
  <c r="J723" i="5" a="1"/>
  <c r="J723" i="5" s="1"/>
  <c r="I723" i="5"/>
  <c r="A764" i="6"/>
  <c r="J763" i="6" a="1"/>
  <c r="J763" i="6" s="1"/>
  <c r="I763" i="6"/>
  <c r="J734" i="9" a="1"/>
  <c r="J734" i="9" s="1"/>
  <c r="I734" i="9"/>
  <c r="A735" i="9"/>
  <c r="A740" i="3"/>
  <c r="J739" i="3" a="1"/>
  <c r="J739" i="3" s="1"/>
  <c r="I739" i="3"/>
  <c r="J740" i="3" l="1" a="1"/>
  <c r="J740" i="3" s="1"/>
  <c r="I740" i="3"/>
  <c r="A741" i="3"/>
  <c r="A736" i="9"/>
  <c r="I735" i="9"/>
  <c r="J735" i="9" a="1"/>
  <c r="J735" i="9" s="1"/>
  <c r="A765" i="6"/>
  <c r="I764" i="6"/>
  <c r="J764" i="6" a="1"/>
  <c r="J764" i="6" s="1"/>
  <c r="J724" i="5" a="1"/>
  <c r="J724" i="5" s="1"/>
  <c r="A725" i="5"/>
  <c r="I724" i="5"/>
  <c r="A728" i="7"/>
  <c r="I727" i="7"/>
  <c r="J727" i="7" a="1"/>
  <c r="J727" i="7" s="1"/>
  <c r="A734" i="8"/>
  <c r="I733" i="8"/>
  <c r="J733" i="8" a="1"/>
  <c r="J733" i="8" s="1"/>
  <c r="A735" i="8" l="1"/>
  <c r="I734" i="8"/>
  <c r="J734" i="8" a="1"/>
  <c r="J734" i="8" s="1"/>
  <c r="J728" i="7" a="1"/>
  <c r="J728" i="7" s="1"/>
  <c r="I728" i="7"/>
  <c r="A729" i="7"/>
  <c r="J725" i="5" a="1"/>
  <c r="J725" i="5" s="1"/>
  <c r="I725" i="5"/>
  <c r="A726" i="5"/>
  <c r="I765" i="6"/>
  <c r="A766" i="6"/>
  <c r="J765" i="6" a="1"/>
  <c r="J765" i="6" s="1"/>
  <c r="A737" i="9"/>
  <c r="J736" i="9" a="1"/>
  <c r="J736" i="9" s="1"/>
  <c r="I736" i="9"/>
  <c r="J741" i="3" a="1"/>
  <c r="J741" i="3" s="1"/>
  <c r="I741" i="3"/>
  <c r="A742" i="3"/>
  <c r="A743" i="3" l="1"/>
  <c r="J742" i="3" a="1"/>
  <c r="J742" i="3" s="1"/>
  <c r="I742" i="3"/>
  <c r="I737" i="9"/>
  <c r="A738" i="9"/>
  <c r="J737" i="9" a="1"/>
  <c r="J737" i="9" s="1"/>
  <c r="J766" i="6" a="1"/>
  <c r="J766" i="6" s="1"/>
  <c r="A767" i="6"/>
  <c r="I766" i="6"/>
  <c r="A727" i="5"/>
  <c r="I726" i="5"/>
  <c r="J726" i="5" a="1"/>
  <c r="J726" i="5" s="1"/>
  <c r="A730" i="7"/>
  <c r="J729" i="7" a="1"/>
  <c r="J729" i="7" s="1"/>
  <c r="I729" i="7"/>
  <c r="I735" i="8"/>
  <c r="A736" i="8"/>
  <c r="J735" i="8" a="1"/>
  <c r="J735" i="8" s="1"/>
  <c r="J736" i="8" l="1" a="1"/>
  <c r="J736" i="8" s="1"/>
  <c r="A737" i="8"/>
  <c r="I736" i="8"/>
  <c r="A731" i="7"/>
  <c r="I730" i="7"/>
  <c r="J730" i="7" a="1"/>
  <c r="J730" i="7" s="1"/>
  <c r="A728" i="5"/>
  <c r="J727" i="5" a="1"/>
  <c r="J727" i="5" s="1"/>
  <c r="I727" i="5"/>
  <c r="A768" i="6"/>
  <c r="J767" i="6" a="1"/>
  <c r="J767" i="6" s="1"/>
  <c r="I767" i="6"/>
  <c r="A739" i="9"/>
  <c r="J738" i="9" a="1"/>
  <c r="J738" i="9" s="1"/>
  <c r="I738" i="9"/>
  <c r="I743" i="3"/>
  <c r="J743" i="3" a="1"/>
  <c r="J743" i="3" s="1"/>
  <c r="A744" i="3"/>
  <c r="A745" i="3" l="1"/>
  <c r="J744" i="3" a="1"/>
  <c r="J744" i="3" s="1"/>
  <c r="I744" i="3"/>
  <c r="I739" i="9"/>
  <c r="J739" i="9" a="1"/>
  <c r="J739" i="9" s="1"/>
  <c r="A740" i="9"/>
  <c r="A769" i="6"/>
  <c r="I768" i="6"/>
  <c r="J768" i="6" a="1"/>
  <c r="J768" i="6" s="1"/>
  <c r="A729" i="5"/>
  <c r="I728" i="5"/>
  <c r="J728" i="5" a="1"/>
  <c r="J728" i="5" s="1"/>
  <c r="J731" i="7" a="1"/>
  <c r="J731" i="7" s="1"/>
  <c r="A732" i="7"/>
  <c r="I731" i="7"/>
  <c r="A738" i="8"/>
  <c r="I737" i="8"/>
  <c r="J737" i="8" a="1"/>
  <c r="J737" i="8" s="1"/>
  <c r="J738" i="8" l="1" a="1"/>
  <c r="J738" i="8" s="1"/>
  <c r="I738" i="8"/>
  <c r="A739" i="8"/>
  <c r="J732" i="7" a="1"/>
  <c r="J732" i="7" s="1"/>
  <c r="A733" i="7"/>
  <c r="I732" i="7"/>
  <c r="A730" i="5"/>
  <c r="I729" i="5"/>
  <c r="J729" i="5" a="1"/>
  <c r="J729" i="5" s="1"/>
  <c r="A770" i="6"/>
  <c r="J769" i="6" a="1"/>
  <c r="J769" i="6" s="1"/>
  <c r="I769" i="6"/>
  <c r="J740" i="9" a="1"/>
  <c r="J740" i="9" s="1"/>
  <c r="A741" i="9"/>
  <c r="I740" i="9"/>
  <c r="A746" i="3"/>
  <c r="J745" i="3" a="1"/>
  <c r="J745" i="3" s="1"/>
  <c r="I745" i="3"/>
  <c r="J746" i="3" l="1" a="1"/>
  <c r="J746" i="3" s="1"/>
  <c r="I746" i="3"/>
  <c r="A747" i="3"/>
  <c r="I741" i="9"/>
  <c r="J741" i="9" a="1"/>
  <c r="J741" i="9" s="1"/>
  <c r="A742" i="9"/>
  <c r="A771" i="6"/>
  <c r="I770" i="6"/>
  <c r="J770" i="6" a="1"/>
  <c r="J770" i="6" s="1"/>
  <c r="I730" i="5"/>
  <c r="A731" i="5"/>
  <c r="J730" i="5" a="1"/>
  <c r="J730" i="5" s="1"/>
  <c r="A734" i="7"/>
  <c r="J733" i="7" a="1"/>
  <c r="J733" i="7" s="1"/>
  <c r="I733" i="7"/>
  <c r="J739" i="8" a="1"/>
  <c r="J739" i="8" s="1"/>
  <c r="I739" i="8"/>
  <c r="A740" i="8"/>
  <c r="I740" i="8" l="1"/>
  <c r="A741" i="8"/>
  <c r="J740" i="8" a="1"/>
  <c r="J740" i="8" s="1"/>
  <c r="J734" i="7" a="1"/>
  <c r="J734" i="7" s="1"/>
  <c r="A735" i="7"/>
  <c r="I734" i="7"/>
  <c r="J731" i="5" a="1"/>
  <c r="J731" i="5" s="1"/>
  <c r="A732" i="5"/>
  <c r="I731" i="5"/>
  <c r="I771" i="6"/>
  <c r="J771" i="6" a="1"/>
  <c r="J771" i="6" s="1"/>
  <c r="A772" i="6"/>
  <c r="J742" i="9" a="1"/>
  <c r="J742" i="9" s="1"/>
  <c r="I742" i="9"/>
  <c r="A743" i="9"/>
  <c r="A748" i="3"/>
  <c r="J747" i="3" a="1"/>
  <c r="J747" i="3" s="1"/>
  <c r="I747" i="3"/>
  <c r="J748" i="3" l="1" a="1"/>
  <c r="J748" i="3" s="1"/>
  <c r="I748" i="3"/>
  <c r="A749" i="3"/>
  <c r="J743" i="9" a="1"/>
  <c r="J743" i="9" s="1"/>
  <c r="A744" i="9"/>
  <c r="I743" i="9"/>
  <c r="J772" i="6" a="1"/>
  <c r="J772" i="6" s="1"/>
  <c r="A773" i="6"/>
  <c r="I772" i="6"/>
  <c r="A733" i="5"/>
  <c r="J732" i="5" a="1"/>
  <c r="J732" i="5" s="1"/>
  <c r="I732" i="5"/>
  <c r="A736" i="7"/>
  <c r="I735" i="7"/>
  <c r="J735" i="7" a="1"/>
  <c r="J735" i="7" s="1"/>
  <c r="A742" i="8"/>
  <c r="J741" i="8" a="1"/>
  <c r="J741" i="8" s="1"/>
  <c r="I741" i="8"/>
  <c r="A743" i="8" l="1"/>
  <c r="J742" i="8" a="1"/>
  <c r="J742" i="8" s="1"/>
  <c r="I742" i="8"/>
  <c r="I736" i="7"/>
  <c r="A737" i="7"/>
  <c r="J736" i="7" a="1"/>
  <c r="J736" i="7" s="1"/>
  <c r="A734" i="5"/>
  <c r="I733" i="5"/>
  <c r="J733" i="5" a="1"/>
  <c r="J733" i="5" s="1"/>
  <c r="J773" i="6" a="1"/>
  <c r="J773" i="6" s="1"/>
  <c r="A774" i="6"/>
  <c r="I773" i="6"/>
  <c r="A745" i="9"/>
  <c r="J744" i="9" a="1"/>
  <c r="J744" i="9" s="1"/>
  <c r="I744" i="9"/>
  <c r="J749" i="3" a="1"/>
  <c r="J749" i="3" s="1"/>
  <c r="A750" i="3"/>
  <c r="I749" i="3"/>
  <c r="A751" i="3" l="1"/>
  <c r="J750" i="3" a="1"/>
  <c r="J750" i="3" s="1"/>
  <c r="I750" i="3"/>
  <c r="I745" i="9"/>
  <c r="J745" i="9" a="1"/>
  <c r="J745" i="9" s="1"/>
  <c r="A746" i="9"/>
  <c r="J774" i="6" a="1"/>
  <c r="J774" i="6" s="1"/>
  <c r="I774" i="6"/>
  <c r="A775" i="6"/>
  <c r="A735" i="5"/>
  <c r="J734" i="5" a="1"/>
  <c r="J734" i="5" s="1"/>
  <c r="I734" i="5"/>
  <c r="I737" i="7"/>
  <c r="A738" i="7"/>
  <c r="J737" i="7" a="1"/>
  <c r="J737" i="7" s="1"/>
  <c r="I743" i="8"/>
  <c r="A744" i="8"/>
  <c r="J743" i="8" a="1"/>
  <c r="J743" i="8" s="1"/>
  <c r="A745" i="8" l="1"/>
  <c r="I744" i="8"/>
  <c r="J744" i="8" a="1"/>
  <c r="J744" i="8" s="1"/>
  <c r="J738" i="7" a="1"/>
  <c r="J738" i="7" s="1"/>
  <c r="A739" i="7"/>
  <c r="I738" i="7"/>
  <c r="A736" i="5"/>
  <c r="J735" i="5" a="1"/>
  <c r="J735" i="5" s="1"/>
  <c r="I735" i="5"/>
  <c r="A776" i="6"/>
  <c r="J775" i="6" a="1"/>
  <c r="J775" i="6" s="1"/>
  <c r="I775" i="6"/>
  <c r="A747" i="9"/>
  <c r="J746" i="9" a="1"/>
  <c r="J746" i="9" s="1"/>
  <c r="I746" i="9"/>
  <c r="J751" i="3" a="1"/>
  <c r="J751" i="3" s="1"/>
  <c r="I751" i="3"/>
  <c r="A752" i="3"/>
  <c r="J752" i="3" l="1" a="1"/>
  <c r="J752" i="3" s="1"/>
  <c r="A753" i="3"/>
  <c r="I752" i="3"/>
  <c r="J747" i="9" a="1"/>
  <c r="J747" i="9" s="1"/>
  <c r="I747" i="9"/>
  <c r="A748" i="9"/>
  <c r="I776" i="6"/>
  <c r="A777" i="6"/>
  <c r="J776" i="6" a="1"/>
  <c r="J776" i="6" s="1"/>
  <c r="A737" i="5"/>
  <c r="J736" i="5" a="1"/>
  <c r="J736" i="5" s="1"/>
  <c r="I736" i="5"/>
  <c r="A740" i="7"/>
  <c r="J739" i="7" a="1"/>
  <c r="J739" i="7" s="1"/>
  <c r="I739" i="7"/>
  <c r="I745" i="8"/>
  <c r="J745" i="8" a="1"/>
  <c r="J745" i="8" s="1"/>
  <c r="A746" i="8"/>
  <c r="J746" i="8" l="1" a="1"/>
  <c r="J746" i="8" s="1"/>
  <c r="I746" i="8"/>
  <c r="A747" i="8"/>
  <c r="I740" i="7"/>
  <c r="A741" i="7"/>
  <c r="J740" i="7" a="1"/>
  <c r="J740" i="7" s="1"/>
  <c r="A738" i="5"/>
  <c r="J737" i="5" a="1"/>
  <c r="J737" i="5" s="1"/>
  <c r="I737" i="5"/>
  <c r="I777" i="6"/>
  <c r="J777" i="6" a="1"/>
  <c r="J777" i="6" s="1"/>
  <c r="A778" i="6"/>
  <c r="A749" i="9"/>
  <c r="I748" i="9"/>
  <c r="J748" i="9" a="1"/>
  <c r="J748" i="9" s="1"/>
  <c r="A754" i="3"/>
  <c r="J753" i="3" a="1"/>
  <c r="J753" i="3" s="1"/>
  <c r="I753" i="3"/>
  <c r="A755" i="3" l="1"/>
  <c r="I754" i="3"/>
  <c r="J754" i="3" a="1"/>
  <c r="J754" i="3" s="1"/>
  <c r="A750" i="9"/>
  <c r="I749" i="9"/>
  <c r="J749" i="9" a="1"/>
  <c r="J749" i="9" s="1"/>
  <c r="A779" i="6"/>
  <c r="I778" i="6"/>
  <c r="J778" i="6" a="1"/>
  <c r="J778" i="6" s="1"/>
  <c r="J738" i="5" a="1"/>
  <c r="J738" i="5" s="1"/>
  <c r="A739" i="5"/>
  <c r="I738" i="5"/>
  <c r="J741" i="7" a="1"/>
  <c r="J741" i="7" s="1"/>
  <c r="A742" i="7"/>
  <c r="I741" i="7"/>
  <c r="A748" i="8"/>
  <c r="J747" i="8" a="1"/>
  <c r="J747" i="8" s="1"/>
  <c r="I747" i="8"/>
  <c r="A749" i="8" l="1"/>
  <c r="J748" i="8" a="1"/>
  <c r="J748" i="8" s="1"/>
  <c r="I748" i="8"/>
  <c r="J742" i="7" a="1"/>
  <c r="J742" i="7" s="1"/>
  <c r="I742" i="7"/>
  <c r="A743" i="7"/>
  <c r="A740" i="5"/>
  <c r="J739" i="5" a="1"/>
  <c r="J739" i="5" s="1"/>
  <c r="I739" i="5"/>
  <c r="J779" i="6" a="1"/>
  <c r="J779" i="6" s="1"/>
  <c r="A780" i="6"/>
  <c r="I779" i="6"/>
  <c r="I750" i="9"/>
  <c r="A751" i="9"/>
  <c r="J750" i="9" a="1"/>
  <c r="J750" i="9" s="1"/>
  <c r="I755" i="3"/>
  <c r="J755" i="3" a="1"/>
  <c r="J755" i="3" s="1"/>
  <c r="A756" i="3"/>
  <c r="A757" i="3" l="1"/>
  <c r="J756" i="3" a="1"/>
  <c r="J756" i="3" s="1"/>
  <c r="I756" i="3"/>
  <c r="I751" i="9"/>
  <c r="A752" i="9"/>
  <c r="J751" i="9" a="1"/>
  <c r="J751" i="9" s="1"/>
  <c r="A781" i="6"/>
  <c r="J780" i="6" a="1"/>
  <c r="J780" i="6" s="1"/>
  <c r="I780" i="6"/>
  <c r="J740" i="5" a="1"/>
  <c r="J740" i="5" s="1"/>
  <c r="I740" i="5"/>
  <c r="A741" i="5"/>
  <c r="A744" i="7"/>
  <c r="J743" i="7" a="1"/>
  <c r="J743" i="7" s="1"/>
  <c r="I743" i="7"/>
  <c r="A750" i="8"/>
  <c r="J749" i="8" a="1"/>
  <c r="J749" i="8" s="1"/>
  <c r="I749" i="8"/>
  <c r="J750" i="8" l="1" a="1"/>
  <c r="J750" i="8" s="1"/>
  <c r="I750" i="8"/>
  <c r="A751" i="8"/>
  <c r="A745" i="7"/>
  <c r="J744" i="7" a="1"/>
  <c r="J744" i="7" s="1"/>
  <c r="I744" i="7"/>
  <c r="A742" i="5"/>
  <c r="J741" i="5" a="1"/>
  <c r="J741" i="5" s="1"/>
  <c r="I741" i="5"/>
  <c r="I781" i="6"/>
  <c r="A782" i="6"/>
  <c r="J781" i="6" a="1"/>
  <c r="J781" i="6" s="1"/>
  <c r="J752" i="9" a="1"/>
  <c r="J752" i="9" s="1"/>
  <c r="A753" i="9"/>
  <c r="I752" i="9"/>
  <c r="A758" i="3"/>
  <c r="I757" i="3"/>
  <c r="J757" i="3" a="1"/>
  <c r="J757" i="3" s="1"/>
  <c r="J758" i="3" l="1" a="1"/>
  <c r="J758" i="3" s="1"/>
  <c r="A759" i="3"/>
  <c r="I758" i="3"/>
  <c r="I753" i="9"/>
  <c r="A754" i="9"/>
  <c r="J753" i="9" a="1"/>
  <c r="J753" i="9" s="1"/>
  <c r="J782" i="6" a="1"/>
  <c r="J782" i="6" s="1"/>
  <c r="A783" i="6"/>
  <c r="I782" i="6"/>
  <c r="A743" i="5"/>
  <c r="J742" i="5" a="1"/>
  <c r="J742" i="5" s="1"/>
  <c r="I742" i="5"/>
  <c r="A746" i="7"/>
  <c r="J745" i="7" a="1"/>
  <c r="J745" i="7" s="1"/>
  <c r="I745" i="7"/>
  <c r="A752" i="8"/>
  <c r="J751" i="8" a="1"/>
  <c r="J751" i="8" s="1"/>
  <c r="I751" i="8"/>
  <c r="J752" i="8" l="1" a="1"/>
  <c r="J752" i="8" s="1"/>
  <c r="A753" i="8"/>
  <c r="I752" i="8"/>
  <c r="I746" i="7"/>
  <c r="J746" i="7" a="1"/>
  <c r="J746" i="7" s="1"/>
  <c r="A747" i="7"/>
  <c r="A744" i="5"/>
  <c r="I743" i="5"/>
  <c r="J743" i="5" a="1"/>
  <c r="J743" i="5" s="1"/>
  <c r="I783" i="6"/>
  <c r="A784" i="6"/>
  <c r="J783" i="6" a="1"/>
  <c r="J783" i="6" s="1"/>
  <c r="J754" i="9" a="1"/>
  <c r="J754" i="9" s="1"/>
  <c r="I754" i="9"/>
  <c r="A755" i="9"/>
  <c r="A760" i="3"/>
  <c r="J759" i="3" a="1"/>
  <c r="J759" i="3" s="1"/>
  <c r="I759" i="3"/>
  <c r="A761" i="3" l="1"/>
  <c r="J760" i="3" a="1"/>
  <c r="J760" i="3" s="1"/>
  <c r="I760" i="3"/>
  <c r="J755" i="9" a="1"/>
  <c r="J755" i="9" s="1"/>
  <c r="I755" i="9"/>
  <c r="A756" i="9"/>
  <c r="J784" i="6" a="1"/>
  <c r="J784" i="6" s="1"/>
  <c r="I784" i="6"/>
  <c r="A785" i="6"/>
  <c r="I744" i="5"/>
  <c r="A745" i="5"/>
  <c r="J744" i="5" a="1"/>
  <c r="J744" i="5" s="1"/>
  <c r="I747" i="7"/>
  <c r="A748" i="7"/>
  <c r="J747" i="7" a="1"/>
  <c r="J747" i="7" s="1"/>
  <c r="I753" i="8"/>
  <c r="J753" i="8" a="1"/>
  <c r="J753" i="8" s="1"/>
  <c r="A754" i="8"/>
  <c r="A755" i="8" l="1"/>
  <c r="J754" i="8" a="1"/>
  <c r="J754" i="8" s="1"/>
  <c r="I754" i="8"/>
  <c r="J748" i="7" a="1"/>
  <c r="J748" i="7" s="1"/>
  <c r="A749" i="7"/>
  <c r="I748" i="7"/>
  <c r="J745" i="5" a="1"/>
  <c r="J745" i="5" s="1"/>
  <c r="A746" i="5"/>
  <c r="I745" i="5"/>
  <c r="J785" i="6" a="1"/>
  <c r="J785" i="6" s="1"/>
  <c r="A786" i="6"/>
  <c r="I785" i="6"/>
  <c r="J756" i="9" a="1"/>
  <c r="J756" i="9" s="1"/>
  <c r="I756" i="9"/>
  <c r="A757" i="9"/>
  <c r="A762" i="3"/>
  <c r="J761" i="3" a="1"/>
  <c r="J761" i="3" s="1"/>
  <c r="I761" i="3"/>
  <c r="I762" i="3" l="1"/>
  <c r="A763" i="3"/>
  <c r="J762" i="3" a="1"/>
  <c r="J762" i="3" s="1"/>
  <c r="I757" i="9"/>
  <c r="J757" i="9" a="1"/>
  <c r="J757" i="9" s="1"/>
  <c r="A758" i="9"/>
  <c r="J786" i="6" a="1"/>
  <c r="J786" i="6" s="1"/>
  <c r="I786" i="6"/>
  <c r="A787" i="6"/>
  <c r="A747" i="5"/>
  <c r="J746" i="5" a="1"/>
  <c r="J746" i="5" s="1"/>
  <c r="I746" i="5"/>
  <c r="A750" i="7"/>
  <c r="J749" i="7" a="1"/>
  <c r="J749" i="7" s="1"/>
  <c r="I749" i="7"/>
  <c r="I755" i="8"/>
  <c r="A756" i="8"/>
  <c r="J755" i="8" a="1"/>
  <c r="J755" i="8" s="1"/>
  <c r="I756" i="8" l="1"/>
  <c r="A757" i="8"/>
  <c r="J756" i="8" a="1"/>
  <c r="J756" i="8" s="1"/>
  <c r="A751" i="7"/>
  <c r="J750" i="7" a="1"/>
  <c r="J750" i="7" s="1"/>
  <c r="I750" i="7"/>
  <c r="A748" i="5"/>
  <c r="J747" i="5" a="1"/>
  <c r="J747" i="5" s="1"/>
  <c r="I747" i="5"/>
  <c r="J787" i="6" a="1"/>
  <c r="J787" i="6" s="1"/>
  <c r="I787" i="6"/>
  <c r="A788" i="6"/>
  <c r="A759" i="9"/>
  <c r="J758" i="9" a="1"/>
  <c r="J758" i="9" s="1"/>
  <c r="I758" i="9"/>
  <c r="A764" i="3"/>
  <c r="J763" i="3" a="1"/>
  <c r="J763" i="3" s="1"/>
  <c r="I763" i="3"/>
  <c r="J764" i="3" l="1" a="1"/>
  <c r="J764" i="3" s="1"/>
  <c r="A765" i="3"/>
  <c r="I764" i="3"/>
  <c r="J759" i="9" a="1"/>
  <c r="J759" i="9" s="1"/>
  <c r="A760" i="9"/>
  <c r="I759" i="9"/>
  <c r="A789" i="6"/>
  <c r="J788" i="6" a="1"/>
  <c r="J788" i="6" s="1"/>
  <c r="I788" i="6"/>
  <c r="A749" i="5"/>
  <c r="I748" i="5"/>
  <c r="J748" i="5" a="1"/>
  <c r="J748" i="5" s="1"/>
  <c r="A752" i="7"/>
  <c r="I751" i="7"/>
  <c r="J751" i="7" a="1"/>
  <c r="J751" i="7" s="1"/>
  <c r="J757" i="8" a="1"/>
  <c r="J757" i="8" s="1"/>
  <c r="A758" i="8"/>
  <c r="I757" i="8"/>
  <c r="A759" i="8" l="1"/>
  <c r="J758" i="8" a="1"/>
  <c r="J758" i="8" s="1"/>
  <c r="I758" i="8"/>
  <c r="J752" i="7" a="1"/>
  <c r="J752" i="7" s="1"/>
  <c r="A753" i="7"/>
  <c r="I752" i="7"/>
  <c r="J749" i="5" a="1"/>
  <c r="J749" i="5" s="1"/>
  <c r="A750" i="5"/>
  <c r="I749" i="5"/>
  <c r="I789" i="6"/>
  <c r="J789" i="6" a="1"/>
  <c r="J789" i="6" s="1"/>
  <c r="A790" i="6"/>
  <c r="A761" i="9"/>
  <c r="I760" i="9"/>
  <c r="J760" i="9" a="1"/>
  <c r="J760" i="9" s="1"/>
  <c r="I765" i="3"/>
  <c r="J765" i="3" a="1"/>
  <c r="J765" i="3" s="1"/>
  <c r="A766" i="3"/>
  <c r="A767" i="3" l="1"/>
  <c r="J766" i="3" a="1"/>
  <c r="J766" i="3" s="1"/>
  <c r="I766" i="3"/>
  <c r="A762" i="9"/>
  <c r="J761" i="9" a="1"/>
  <c r="J761" i="9" s="1"/>
  <c r="I761" i="9"/>
  <c r="J790" i="6" a="1"/>
  <c r="J790" i="6" s="1"/>
  <c r="A791" i="6"/>
  <c r="I790" i="6"/>
  <c r="J750" i="5" a="1"/>
  <c r="J750" i="5" s="1"/>
  <c r="I750" i="5"/>
  <c r="A751" i="5"/>
  <c r="I753" i="7"/>
  <c r="A754" i="7"/>
  <c r="J753" i="7" a="1"/>
  <c r="J753" i="7" s="1"/>
  <c r="A760" i="8"/>
  <c r="J759" i="8" a="1"/>
  <c r="J759" i="8" s="1"/>
  <c r="I759" i="8"/>
  <c r="I760" i="8" l="1"/>
  <c r="A761" i="8"/>
  <c r="J760" i="8" a="1"/>
  <c r="J760" i="8" s="1"/>
  <c r="A755" i="7"/>
  <c r="J754" i="7" a="1"/>
  <c r="J754" i="7" s="1"/>
  <c r="I754" i="7"/>
  <c r="A752" i="5"/>
  <c r="I751" i="5"/>
  <c r="J751" i="5" a="1"/>
  <c r="J751" i="5" s="1"/>
  <c r="A792" i="6"/>
  <c r="I791" i="6"/>
  <c r="J791" i="6" a="1"/>
  <c r="J791" i="6" s="1"/>
  <c r="A763" i="9"/>
  <c r="J762" i="9" a="1"/>
  <c r="J762" i="9" s="1"/>
  <c r="I762" i="9"/>
  <c r="J767" i="3" a="1"/>
  <c r="J767" i="3" s="1"/>
  <c r="I767" i="3"/>
  <c r="A768" i="3"/>
  <c r="I768" i="3" l="1"/>
  <c r="A769" i="3"/>
  <c r="J768" i="3" a="1"/>
  <c r="J768" i="3" s="1"/>
  <c r="I763" i="9"/>
  <c r="A764" i="9"/>
  <c r="J763" i="9" a="1"/>
  <c r="J763" i="9" s="1"/>
  <c r="J792" i="6" a="1"/>
  <c r="J792" i="6" s="1"/>
  <c r="I792" i="6"/>
  <c r="A793" i="6"/>
  <c r="A753" i="5"/>
  <c r="J752" i="5" a="1"/>
  <c r="J752" i="5" s="1"/>
  <c r="I752" i="5"/>
  <c r="A756" i="7"/>
  <c r="J755" i="7" a="1"/>
  <c r="J755" i="7" s="1"/>
  <c r="I755" i="7"/>
  <c r="A762" i="8"/>
  <c r="J761" i="8" a="1"/>
  <c r="J761" i="8" s="1"/>
  <c r="I761" i="8"/>
  <c r="J762" i="8" l="1" a="1"/>
  <c r="J762" i="8" s="1"/>
  <c r="I762" i="8"/>
  <c r="A763" i="8"/>
  <c r="A757" i="7"/>
  <c r="J756" i="7" a="1"/>
  <c r="J756" i="7" s="1"/>
  <c r="I756" i="7"/>
  <c r="A754" i="5"/>
  <c r="I753" i="5"/>
  <c r="J753" i="5" a="1"/>
  <c r="J753" i="5" s="1"/>
  <c r="A794" i="6"/>
  <c r="J793" i="6" a="1"/>
  <c r="J793" i="6" s="1"/>
  <c r="I793" i="6"/>
  <c r="A765" i="9"/>
  <c r="I764" i="9"/>
  <c r="J764" i="9" a="1"/>
  <c r="J764" i="9" s="1"/>
  <c r="A770" i="3"/>
  <c r="I769" i="3"/>
  <c r="J769" i="3" a="1"/>
  <c r="J769" i="3" s="1"/>
  <c r="J770" i="3" l="1" a="1"/>
  <c r="J770" i="3" s="1"/>
  <c r="A771" i="3"/>
  <c r="I770" i="3"/>
  <c r="A766" i="9"/>
  <c r="J765" i="9" a="1"/>
  <c r="J765" i="9" s="1"/>
  <c r="I765" i="9"/>
  <c r="A795" i="6"/>
  <c r="J794" i="6" a="1"/>
  <c r="J794" i="6" s="1"/>
  <c r="I794" i="6"/>
  <c r="J754" i="5" a="1"/>
  <c r="J754" i="5" s="1"/>
  <c r="I754" i="5"/>
  <c r="A755" i="5"/>
  <c r="A758" i="7"/>
  <c r="J757" i="7" a="1"/>
  <c r="J757" i="7" s="1"/>
  <c r="I757" i="7"/>
  <c r="A764" i="8"/>
  <c r="J763" i="8" a="1"/>
  <c r="J763" i="8" s="1"/>
  <c r="I763" i="8"/>
  <c r="A765" i="8" l="1"/>
  <c r="I764" i="8"/>
  <c r="J764" i="8" a="1"/>
  <c r="J764" i="8" s="1"/>
  <c r="A759" i="7"/>
  <c r="I758" i="7"/>
  <c r="J758" i="7" a="1"/>
  <c r="J758" i="7" s="1"/>
  <c r="I755" i="5"/>
  <c r="A756" i="5"/>
  <c r="J755" i="5" a="1"/>
  <c r="J755" i="5" s="1"/>
  <c r="I795" i="6"/>
  <c r="A796" i="6"/>
  <c r="J795" i="6" a="1"/>
  <c r="J795" i="6" s="1"/>
  <c r="J766" i="9" a="1"/>
  <c r="J766" i="9" s="1"/>
  <c r="A767" i="9"/>
  <c r="I766" i="9"/>
  <c r="J771" i="3" a="1"/>
  <c r="J771" i="3" s="1"/>
  <c r="A772" i="3"/>
  <c r="I771" i="3"/>
  <c r="A773" i="3" l="1"/>
  <c r="J772" i="3" a="1"/>
  <c r="J772" i="3" s="1"/>
  <c r="I772" i="3"/>
  <c r="I767" i="9"/>
  <c r="A768" i="9"/>
  <c r="J767" i="9" a="1"/>
  <c r="J767" i="9" s="1"/>
  <c r="A797" i="6"/>
  <c r="I796" i="6"/>
  <c r="J796" i="6" a="1"/>
  <c r="J796" i="6" s="1"/>
  <c r="J756" i="5" a="1"/>
  <c r="J756" i="5" s="1"/>
  <c r="A757" i="5"/>
  <c r="I756" i="5"/>
  <c r="A760" i="7"/>
  <c r="J759" i="7" a="1"/>
  <c r="J759" i="7" s="1"/>
  <c r="I759" i="7"/>
  <c r="I765" i="8"/>
  <c r="J765" i="8" a="1"/>
  <c r="J765" i="8" s="1"/>
  <c r="A766" i="8"/>
  <c r="A767" i="8" l="1"/>
  <c r="J766" i="8" a="1"/>
  <c r="J766" i="8" s="1"/>
  <c r="I766" i="8"/>
  <c r="I760" i="7"/>
  <c r="J760" i="7" a="1"/>
  <c r="J760" i="7" s="1"/>
  <c r="A761" i="7"/>
  <c r="A758" i="5"/>
  <c r="J757" i="5" a="1"/>
  <c r="J757" i="5" s="1"/>
  <c r="I757" i="5"/>
  <c r="J797" i="6" a="1"/>
  <c r="J797" i="6" s="1"/>
  <c r="I797" i="6"/>
  <c r="A798" i="6"/>
  <c r="J768" i="9" a="1"/>
  <c r="J768" i="9" s="1"/>
  <c r="A769" i="9"/>
  <c r="I768" i="9"/>
  <c r="A774" i="3"/>
  <c r="J773" i="3" a="1"/>
  <c r="J773" i="3" s="1"/>
  <c r="I773" i="3"/>
  <c r="J774" i="3" l="1" a="1"/>
  <c r="J774" i="3" s="1"/>
  <c r="I774" i="3"/>
  <c r="A775" i="3"/>
  <c r="I769" i="9"/>
  <c r="A770" i="9"/>
  <c r="J769" i="9" a="1"/>
  <c r="J769" i="9" s="1"/>
  <c r="J798" i="6" a="1"/>
  <c r="J798" i="6" s="1"/>
  <c r="I798" i="6"/>
  <c r="A799" i="6"/>
  <c r="A759" i="5"/>
  <c r="I758" i="5"/>
  <c r="J758" i="5" a="1"/>
  <c r="J758" i="5" s="1"/>
  <c r="I761" i="7"/>
  <c r="A762" i="7"/>
  <c r="J761" i="7" a="1"/>
  <c r="J761" i="7" s="1"/>
  <c r="J767" i="8" a="1"/>
  <c r="J767" i="8" s="1"/>
  <c r="I767" i="8"/>
  <c r="A768" i="8"/>
  <c r="J768" i="8" l="1" a="1"/>
  <c r="J768" i="8" s="1"/>
  <c r="A769" i="8"/>
  <c r="I768" i="8"/>
  <c r="J762" i="7" a="1"/>
  <c r="J762" i="7" s="1"/>
  <c r="A763" i="7"/>
  <c r="I762" i="7"/>
  <c r="A760" i="5"/>
  <c r="J759" i="5" a="1"/>
  <c r="J759" i="5" s="1"/>
  <c r="I759" i="5"/>
  <c r="A800" i="6"/>
  <c r="J799" i="6" a="1"/>
  <c r="J799" i="6" s="1"/>
  <c r="I799" i="6"/>
  <c r="A771" i="9"/>
  <c r="J770" i="9" a="1"/>
  <c r="J770" i="9" s="1"/>
  <c r="I770" i="9"/>
  <c r="J775" i="3" a="1"/>
  <c r="J775" i="3" s="1"/>
  <c r="I775" i="3"/>
  <c r="A776" i="3"/>
  <c r="J776" i="3" l="1" a="1"/>
  <c r="J776" i="3" s="1"/>
  <c r="A777" i="3"/>
  <c r="I776" i="3"/>
  <c r="A772" i="9"/>
  <c r="J771" i="9" a="1"/>
  <c r="J771" i="9" s="1"/>
  <c r="I771" i="9"/>
  <c r="J800" i="6" a="1"/>
  <c r="J800" i="6" s="1"/>
  <c r="I800" i="6"/>
  <c r="A801" i="6"/>
  <c r="J760" i="5" a="1"/>
  <c r="J760" i="5" s="1"/>
  <c r="I760" i="5"/>
  <c r="A761" i="5"/>
  <c r="A764" i="7"/>
  <c r="J763" i="7" a="1"/>
  <c r="J763" i="7" s="1"/>
  <c r="I763" i="7"/>
  <c r="I769" i="8"/>
  <c r="J769" i="8" a="1"/>
  <c r="J769" i="8" s="1"/>
  <c r="A770" i="8"/>
  <c r="A771" i="8" l="1"/>
  <c r="I770" i="8"/>
  <c r="J770" i="8" a="1"/>
  <c r="J770" i="8" s="1"/>
  <c r="A765" i="7"/>
  <c r="J764" i="7" a="1"/>
  <c r="J764" i="7" s="1"/>
  <c r="I764" i="7"/>
  <c r="A762" i="5"/>
  <c r="J761" i="5" a="1"/>
  <c r="J761" i="5" s="1"/>
  <c r="I761" i="5"/>
  <c r="I801" i="6"/>
  <c r="J801" i="6" a="1"/>
  <c r="J801" i="6" s="1"/>
  <c r="A802" i="6"/>
  <c r="J772" i="9" a="1"/>
  <c r="J772" i="9" s="1"/>
  <c r="I772" i="9"/>
  <c r="A773" i="9"/>
  <c r="A778" i="3"/>
  <c r="J777" i="3" a="1"/>
  <c r="J777" i="3" s="1"/>
  <c r="I777" i="3"/>
  <c r="A779" i="3" l="1"/>
  <c r="J778" i="3" a="1"/>
  <c r="J778" i="3" s="1"/>
  <c r="I778" i="3"/>
  <c r="A774" i="9"/>
  <c r="J773" i="9" a="1"/>
  <c r="J773" i="9" s="1"/>
  <c r="I773" i="9"/>
  <c r="A803" i="6"/>
  <c r="J802" i="6" a="1"/>
  <c r="J802" i="6" s="1"/>
  <c r="I802" i="6"/>
  <c r="A763" i="5"/>
  <c r="J762" i="5" a="1"/>
  <c r="J762" i="5" s="1"/>
  <c r="I762" i="5"/>
  <c r="I765" i="7"/>
  <c r="A766" i="7"/>
  <c r="J765" i="7" a="1"/>
  <c r="J765" i="7" s="1"/>
  <c r="J771" i="8" a="1"/>
  <c r="J771" i="8" s="1"/>
  <c r="A772" i="8"/>
  <c r="I771" i="8"/>
  <c r="J772" i="8" l="1" a="1"/>
  <c r="J772" i="8" s="1"/>
  <c r="I772" i="8"/>
  <c r="A773" i="8"/>
  <c r="J766" i="7" a="1"/>
  <c r="J766" i="7" s="1"/>
  <c r="I766" i="7"/>
  <c r="A767" i="7"/>
  <c r="J763" i="5" a="1"/>
  <c r="J763" i="5" s="1"/>
  <c r="A764" i="5"/>
  <c r="I763" i="5"/>
  <c r="J803" i="6" a="1"/>
  <c r="J803" i="6" s="1"/>
  <c r="A804" i="6"/>
  <c r="I803" i="6"/>
  <c r="A775" i="9"/>
  <c r="J774" i="9" a="1"/>
  <c r="J774" i="9" s="1"/>
  <c r="I774" i="9"/>
  <c r="A780" i="3"/>
  <c r="I779" i="3"/>
  <c r="J779" i="3" a="1"/>
  <c r="J779" i="3" s="1"/>
  <c r="A781" i="3" l="1"/>
  <c r="J780" i="3" a="1"/>
  <c r="J780" i="3" s="1"/>
  <c r="I780" i="3"/>
  <c r="I775" i="9"/>
  <c r="A776" i="9"/>
  <c r="J775" i="9" a="1"/>
  <c r="J775" i="9" s="1"/>
  <c r="A805" i="6"/>
  <c r="I804" i="6"/>
  <c r="J804" i="6" a="1"/>
  <c r="J804" i="6" s="1"/>
  <c r="A765" i="5"/>
  <c r="J764" i="5" a="1"/>
  <c r="J764" i="5" s="1"/>
  <c r="I764" i="5"/>
  <c r="J767" i="7" a="1"/>
  <c r="J767" i="7" s="1"/>
  <c r="I767" i="7"/>
  <c r="A768" i="7"/>
  <c r="A774" i="8"/>
  <c r="J773" i="8" a="1"/>
  <c r="J773" i="8" s="1"/>
  <c r="I773" i="8"/>
  <c r="I774" i="8" l="1"/>
  <c r="A775" i="8"/>
  <c r="J774" i="8" a="1"/>
  <c r="J774" i="8" s="1"/>
  <c r="J768" i="7" a="1"/>
  <c r="J768" i="7" s="1"/>
  <c r="A769" i="7"/>
  <c r="I768" i="7"/>
  <c r="A766" i="5"/>
  <c r="J765" i="5" a="1"/>
  <c r="J765" i="5" s="1"/>
  <c r="I765" i="5"/>
  <c r="J805" i="6" a="1"/>
  <c r="J805" i="6" s="1"/>
  <c r="A806" i="6"/>
  <c r="I805" i="6"/>
  <c r="I776" i="9"/>
  <c r="A777" i="9"/>
  <c r="J776" i="9" a="1"/>
  <c r="J776" i="9" s="1"/>
  <c r="A782" i="3"/>
  <c r="J781" i="3" a="1"/>
  <c r="J781" i="3" s="1"/>
  <c r="I781" i="3"/>
  <c r="J782" i="3" l="1" a="1"/>
  <c r="J782" i="3" s="1"/>
  <c r="I782" i="3"/>
  <c r="A783" i="3"/>
  <c r="A778" i="9"/>
  <c r="J777" i="9" a="1"/>
  <c r="J777" i="9" s="1"/>
  <c r="I777" i="9"/>
  <c r="A807" i="6"/>
  <c r="J806" i="6" a="1"/>
  <c r="J806" i="6" s="1"/>
  <c r="I806" i="6"/>
  <c r="A767" i="5"/>
  <c r="J766" i="5" a="1"/>
  <c r="J766" i="5" s="1"/>
  <c r="I766" i="5"/>
  <c r="A770" i="7"/>
  <c r="I769" i="7"/>
  <c r="J769" i="7" a="1"/>
  <c r="J769" i="7" s="1"/>
  <c r="A776" i="8"/>
  <c r="J775" i="8" a="1"/>
  <c r="J775" i="8" s="1"/>
  <c r="I775" i="8"/>
  <c r="I776" i="8" l="1"/>
  <c r="A777" i="8"/>
  <c r="J776" i="8" a="1"/>
  <c r="J776" i="8" s="1"/>
  <c r="I770" i="7"/>
  <c r="A771" i="7"/>
  <c r="J770" i="7" a="1"/>
  <c r="J770" i="7" s="1"/>
  <c r="J767" i="5" a="1"/>
  <c r="J767" i="5" s="1"/>
  <c r="I767" i="5"/>
  <c r="A768" i="5"/>
  <c r="I807" i="6"/>
  <c r="A808" i="6"/>
  <c r="J807" i="6" a="1"/>
  <c r="J807" i="6" s="1"/>
  <c r="I778" i="9"/>
  <c r="A779" i="9"/>
  <c r="J778" i="9" a="1"/>
  <c r="J778" i="9" s="1"/>
  <c r="A784" i="3"/>
  <c r="J783" i="3" a="1"/>
  <c r="J783" i="3" s="1"/>
  <c r="I783" i="3"/>
  <c r="J784" i="3" l="1" a="1"/>
  <c r="J784" i="3" s="1"/>
  <c r="I784" i="3"/>
  <c r="A785" i="3"/>
  <c r="J779" i="9" a="1"/>
  <c r="J779" i="9" s="1"/>
  <c r="I779" i="9"/>
  <c r="A780" i="9"/>
  <c r="A809" i="6"/>
  <c r="I808" i="6"/>
  <c r="J808" i="6" a="1"/>
  <c r="J808" i="6" s="1"/>
  <c r="A769" i="5"/>
  <c r="I768" i="5"/>
  <c r="J768" i="5" a="1"/>
  <c r="J768" i="5" s="1"/>
  <c r="I771" i="7"/>
  <c r="A772" i="7"/>
  <c r="J771" i="7" a="1"/>
  <c r="J771" i="7" s="1"/>
  <c r="A778" i="8"/>
  <c r="J777" i="8" a="1"/>
  <c r="J777" i="8" s="1"/>
  <c r="I777" i="8"/>
  <c r="A779" i="8" l="1"/>
  <c r="J778" i="8" a="1"/>
  <c r="J778" i="8" s="1"/>
  <c r="I778" i="8"/>
  <c r="J772" i="7" a="1"/>
  <c r="J772" i="7" s="1"/>
  <c r="I772" i="7"/>
  <c r="A773" i="7"/>
  <c r="I769" i="5"/>
  <c r="A770" i="5"/>
  <c r="J769" i="5" a="1"/>
  <c r="J769" i="5" s="1"/>
  <c r="A810" i="6"/>
  <c r="I809" i="6"/>
  <c r="J809" i="6" a="1"/>
  <c r="J809" i="6" s="1"/>
  <c r="A781" i="9"/>
  <c r="J780" i="9" a="1"/>
  <c r="J780" i="9" s="1"/>
  <c r="I780" i="9"/>
  <c r="A786" i="3"/>
  <c r="J785" i="3" a="1"/>
  <c r="J785" i="3" s="1"/>
  <c r="I785" i="3"/>
  <c r="A787" i="3" l="1"/>
  <c r="J786" i="3" a="1"/>
  <c r="J786" i="3" s="1"/>
  <c r="I786" i="3"/>
  <c r="I781" i="9"/>
  <c r="J781" i="9" a="1"/>
  <c r="J781" i="9" s="1"/>
  <c r="A782" i="9"/>
  <c r="A811" i="6"/>
  <c r="J810" i="6" a="1"/>
  <c r="J810" i="6" s="1"/>
  <c r="I810" i="6"/>
  <c r="J770" i="5" a="1"/>
  <c r="J770" i="5" s="1"/>
  <c r="A771" i="5"/>
  <c r="I770" i="5"/>
  <c r="I773" i="7"/>
  <c r="A774" i="7"/>
  <c r="J773" i="7" a="1"/>
  <c r="J773" i="7" s="1"/>
  <c r="J779" i="8" a="1"/>
  <c r="J779" i="8" s="1"/>
  <c r="I779" i="8"/>
  <c r="A780" i="8"/>
  <c r="J780" i="8" l="1" a="1"/>
  <c r="J780" i="8" s="1"/>
  <c r="A781" i="8"/>
  <c r="I780" i="8"/>
  <c r="J774" i="7" a="1"/>
  <c r="J774" i="7" s="1"/>
  <c r="A775" i="7"/>
  <c r="I774" i="7"/>
  <c r="A772" i="5"/>
  <c r="J771" i="5" a="1"/>
  <c r="J771" i="5" s="1"/>
  <c r="I771" i="5"/>
  <c r="J811" i="6" a="1"/>
  <c r="J811" i="6" s="1"/>
  <c r="I811" i="6"/>
  <c r="A812" i="6"/>
  <c r="I782" i="9"/>
  <c r="J782" i="9" a="1"/>
  <c r="J782" i="9" s="1"/>
  <c r="A783" i="9"/>
  <c r="A788" i="3"/>
  <c r="J787" i="3" a="1"/>
  <c r="J787" i="3" s="1"/>
  <c r="I787" i="3"/>
  <c r="J788" i="3" l="1" a="1"/>
  <c r="J788" i="3" s="1"/>
  <c r="A789" i="3"/>
  <c r="I788" i="3"/>
  <c r="A784" i="9"/>
  <c r="J783" i="9" a="1"/>
  <c r="J783" i="9" s="1"/>
  <c r="I783" i="9"/>
  <c r="J812" i="6" a="1"/>
  <c r="J812" i="6" s="1"/>
  <c r="I812" i="6"/>
  <c r="A813" i="6"/>
  <c r="A773" i="5"/>
  <c r="I772" i="5"/>
  <c r="J772" i="5" a="1"/>
  <c r="J772" i="5" s="1"/>
  <c r="A776" i="7"/>
  <c r="J775" i="7" a="1"/>
  <c r="J775" i="7" s="1"/>
  <c r="I775" i="7"/>
  <c r="A782" i="8"/>
  <c r="J781" i="8" a="1"/>
  <c r="J781" i="8" s="1"/>
  <c r="I781" i="8"/>
  <c r="I782" i="8" l="1"/>
  <c r="A783" i="8"/>
  <c r="J782" i="8" a="1"/>
  <c r="J782" i="8" s="1"/>
  <c r="J776" i="7" a="1"/>
  <c r="J776" i="7" s="1"/>
  <c r="I776" i="7"/>
  <c r="A777" i="7"/>
  <c r="A774" i="5"/>
  <c r="I773" i="5"/>
  <c r="J773" i="5" a="1"/>
  <c r="J773" i="5" s="1"/>
  <c r="I813" i="6"/>
  <c r="A814" i="6"/>
  <c r="J813" i="6" a="1"/>
  <c r="J813" i="6" s="1"/>
  <c r="J784" i="9" a="1"/>
  <c r="J784" i="9" s="1"/>
  <c r="I784" i="9"/>
  <c r="A785" i="9"/>
  <c r="J789" i="3" a="1"/>
  <c r="J789" i="3" s="1"/>
  <c r="I789" i="3"/>
  <c r="A790" i="3"/>
  <c r="I790" i="3" l="1"/>
  <c r="A791" i="3"/>
  <c r="J790" i="3" a="1"/>
  <c r="J790" i="3" s="1"/>
  <c r="A786" i="9"/>
  <c r="J785" i="9" a="1"/>
  <c r="J785" i="9" s="1"/>
  <c r="I785" i="9"/>
  <c r="J814" i="6" a="1"/>
  <c r="J814" i="6" s="1"/>
  <c r="I814" i="6"/>
  <c r="A815" i="6"/>
  <c r="J774" i="5" a="1"/>
  <c r="J774" i="5" s="1"/>
  <c r="A775" i="5"/>
  <c r="I774" i="5"/>
  <c r="J777" i="7" a="1"/>
  <c r="J777" i="7" s="1"/>
  <c r="I777" i="7"/>
  <c r="A778" i="7"/>
  <c r="A784" i="8"/>
  <c r="J783" i="8" a="1"/>
  <c r="J783" i="8" s="1"/>
  <c r="I783" i="8"/>
  <c r="A785" i="8" l="1"/>
  <c r="J784" i="8" a="1"/>
  <c r="J784" i="8" s="1"/>
  <c r="I784" i="8"/>
  <c r="J778" i="7" a="1"/>
  <c r="J778" i="7" s="1"/>
  <c r="I778" i="7"/>
  <c r="A779" i="7"/>
  <c r="J775" i="5" a="1"/>
  <c r="J775" i="5" s="1"/>
  <c r="I775" i="5"/>
  <c r="A776" i="5"/>
  <c r="A816" i="6"/>
  <c r="I815" i="6"/>
  <c r="J815" i="6" a="1"/>
  <c r="J815" i="6" s="1"/>
  <c r="A787" i="9"/>
  <c r="I786" i="9"/>
  <c r="J786" i="9" a="1"/>
  <c r="J786" i="9" s="1"/>
  <c r="A792" i="3"/>
  <c r="J791" i="3" a="1"/>
  <c r="J791" i="3" s="1"/>
  <c r="I791" i="3"/>
  <c r="J792" i="3" l="1" a="1"/>
  <c r="J792" i="3" s="1"/>
  <c r="I792" i="3"/>
  <c r="A793" i="3"/>
  <c r="I787" i="9"/>
  <c r="A788" i="9"/>
  <c r="J787" i="9" a="1"/>
  <c r="J787" i="9" s="1"/>
  <c r="J816" i="6" a="1"/>
  <c r="J816" i="6" s="1"/>
  <c r="A817" i="6"/>
  <c r="I816" i="6"/>
  <c r="A777" i="5"/>
  <c r="I776" i="5"/>
  <c r="J776" i="5" a="1"/>
  <c r="J776" i="5" s="1"/>
  <c r="A780" i="7"/>
  <c r="I779" i="7"/>
  <c r="J779" i="7" a="1"/>
  <c r="J779" i="7" s="1"/>
  <c r="A786" i="8"/>
  <c r="J785" i="8" a="1"/>
  <c r="J785" i="8" s="1"/>
  <c r="I785" i="8"/>
  <c r="I786" i="8" l="1"/>
  <c r="A787" i="8"/>
  <c r="J786" i="8" a="1"/>
  <c r="J786" i="8" s="1"/>
  <c r="A781" i="7"/>
  <c r="J780" i="7" a="1"/>
  <c r="J780" i="7" s="1"/>
  <c r="I780" i="7"/>
  <c r="A778" i="5"/>
  <c r="J777" i="5" a="1"/>
  <c r="J777" i="5" s="1"/>
  <c r="I777" i="5"/>
  <c r="A818" i="6"/>
  <c r="I817" i="6"/>
  <c r="J817" i="6" a="1"/>
  <c r="J817" i="6" s="1"/>
  <c r="I788" i="9"/>
  <c r="A789" i="9"/>
  <c r="J788" i="9" a="1"/>
  <c r="J788" i="9" s="1"/>
  <c r="I793" i="3"/>
  <c r="A794" i="3"/>
  <c r="J793" i="3" a="1"/>
  <c r="J793" i="3" s="1"/>
  <c r="J794" i="3" l="1" a="1"/>
  <c r="J794" i="3" s="1"/>
  <c r="A795" i="3"/>
  <c r="I794" i="3"/>
  <c r="I789" i="9"/>
  <c r="A790" i="9"/>
  <c r="J789" i="9" a="1"/>
  <c r="J789" i="9" s="1"/>
  <c r="A819" i="6"/>
  <c r="J818" i="6" a="1"/>
  <c r="J818" i="6" s="1"/>
  <c r="I818" i="6"/>
  <c r="A779" i="5"/>
  <c r="J778" i="5" a="1"/>
  <c r="J778" i="5" s="1"/>
  <c r="I778" i="5"/>
  <c r="A782" i="7"/>
  <c r="J781" i="7" a="1"/>
  <c r="J781" i="7" s="1"/>
  <c r="I781" i="7"/>
  <c r="I787" i="8"/>
  <c r="J787" i="8" a="1"/>
  <c r="J787" i="8" s="1"/>
  <c r="A788" i="8"/>
  <c r="J788" i="8" l="1" a="1"/>
  <c r="J788" i="8" s="1"/>
  <c r="A789" i="8"/>
  <c r="I788" i="8"/>
  <c r="A783" i="7"/>
  <c r="J782" i="7" a="1"/>
  <c r="J782" i="7" s="1"/>
  <c r="I782" i="7"/>
  <c r="J779" i="5" a="1"/>
  <c r="J779" i="5" s="1"/>
  <c r="I779" i="5"/>
  <c r="A780" i="5"/>
  <c r="I819" i="6"/>
  <c r="A820" i="6"/>
  <c r="J819" i="6" a="1"/>
  <c r="J819" i="6" s="1"/>
  <c r="A791" i="9"/>
  <c r="J790" i="9" a="1"/>
  <c r="J790" i="9" s="1"/>
  <c r="I790" i="9"/>
  <c r="A796" i="3"/>
  <c r="I795" i="3"/>
  <c r="J795" i="3" a="1"/>
  <c r="J795" i="3" s="1"/>
  <c r="J796" i="3" l="1" a="1"/>
  <c r="J796" i="3" s="1"/>
  <c r="I796" i="3"/>
  <c r="A797" i="3"/>
  <c r="I791" i="9"/>
  <c r="A792" i="9"/>
  <c r="J791" i="9" a="1"/>
  <c r="J791" i="9" s="1"/>
  <c r="I820" i="6"/>
  <c r="J820" i="6" a="1"/>
  <c r="J820" i="6" s="1"/>
  <c r="A821" i="6"/>
  <c r="I780" i="5"/>
  <c r="A781" i="5"/>
  <c r="J780" i="5" a="1"/>
  <c r="J780" i="5" s="1"/>
  <c r="J783" i="7" a="1"/>
  <c r="J783" i="7" s="1"/>
  <c r="A784" i="7"/>
  <c r="I783" i="7"/>
  <c r="J789" i="8" a="1"/>
  <c r="J789" i="8" s="1"/>
  <c r="I789" i="8"/>
  <c r="A790" i="8"/>
  <c r="I790" i="8" l="1"/>
  <c r="A791" i="8"/>
  <c r="J790" i="8" a="1"/>
  <c r="J790" i="8" s="1"/>
  <c r="J784" i="7" a="1"/>
  <c r="J784" i="7" s="1"/>
  <c r="I784" i="7"/>
  <c r="A785" i="7"/>
  <c r="J781" i="5" a="1"/>
  <c r="J781" i="5" s="1"/>
  <c r="A782" i="5"/>
  <c r="I781" i="5"/>
  <c r="A822" i="6"/>
  <c r="I821" i="6"/>
  <c r="J821" i="6" a="1"/>
  <c r="J821" i="6" s="1"/>
  <c r="A793" i="9"/>
  <c r="J792" i="9" a="1"/>
  <c r="J792" i="9" s="1"/>
  <c r="I792" i="9"/>
  <c r="A798" i="3"/>
  <c r="J797" i="3" a="1"/>
  <c r="J797" i="3" s="1"/>
  <c r="I797" i="3"/>
  <c r="A799" i="3" l="1"/>
  <c r="I798" i="3"/>
  <c r="J798" i="3" a="1"/>
  <c r="J798" i="3" s="1"/>
  <c r="I793" i="9"/>
  <c r="J793" i="9" a="1"/>
  <c r="J793" i="9" s="1"/>
  <c r="A794" i="9"/>
  <c r="A823" i="6"/>
  <c r="I822" i="6"/>
  <c r="J822" i="6" a="1"/>
  <c r="J822" i="6" s="1"/>
  <c r="A783" i="5"/>
  <c r="J782" i="5" a="1"/>
  <c r="J782" i="5" s="1"/>
  <c r="I782" i="5"/>
  <c r="A786" i="7"/>
  <c r="J785" i="7" a="1"/>
  <c r="J785" i="7" s="1"/>
  <c r="I785" i="7"/>
  <c r="A792" i="8"/>
  <c r="J791" i="8" a="1"/>
  <c r="J791" i="8" s="1"/>
  <c r="I791" i="8"/>
  <c r="A793" i="8" l="1"/>
  <c r="J792" i="8" a="1"/>
  <c r="J792" i="8" s="1"/>
  <c r="I792" i="8"/>
  <c r="I786" i="7"/>
  <c r="A787" i="7"/>
  <c r="J786" i="7" a="1"/>
  <c r="J786" i="7" s="1"/>
  <c r="A784" i="5"/>
  <c r="I783" i="5"/>
  <c r="J783" i="5" a="1"/>
  <c r="J783" i="5" s="1"/>
  <c r="A824" i="6"/>
  <c r="I823" i="6"/>
  <c r="J823" i="6" a="1"/>
  <c r="J823" i="6" s="1"/>
  <c r="J794" i="9" a="1"/>
  <c r="J794" i="9" s="1"/>
  <c r="I794" i="9"/>
  <c r="A795" i="9"/>
  <c r="J799" i="3" a="1"/>
  <c r="J799" i="3" s="1"/>
  <c r="I799" i="3"/>
  <c r="A800" i="3"/>
  <c r="J800" i="3" l="1" a="1"/>
  <c r="J800" i="3" s="1"/>
  <c r="A801" i="3"/>
  <c r="I800" i="3"/>
  <c r="A796" i="9"/>
  <c r="J795" i="9" a="1"/>
  <c r="J795" i="9" s="1"/>
  <c r="I795" i="9"/>
  <c r="J824" i="6" a="1"/>
  <c r="J824" i="6" s="1"/>
  <c r="A825" i="6"/>
  <c r="I824" i="6"/>
  <c r="J784" i="5" a="1"/>
  <c r="J784" i="5" s="1"/>
  <c r="I784" i="5"/>
  <c r="A785" i="5"/>
  <c r="A788" i="7"/>
  <c r="J787" i="7" a="1"/>
  <c r="J787" i="7" s="1"/>
  <c r="I787" i="7"/>
  <c r="A794" i="8"/>
  <c r="J793" i="8" a="1"/>
  <c r="J793" i="8" s="1"/>
  <c r="I793" i="8"/>
  <c r="I794" i="8" l="1"/>
  <c r="A795" i="8"/>
  <c r="J794" i="8" a="1"/>
  <c r="J794" i="8" s="1"/>
  <c r="A789" i="7"/>
  <c r="I788" i="7"/>
  <c r="J788" i="7" a="1"/>
  <c r="J788" i="7" s="1"/>
  <c r="J785" i="5" a="1"/>
  <c r="J785" i="5" s="1"/>
  <c r="I785" i="5"/>
  <c r="A786" i="5"/>
  <c r="I825" i="6"/>
  <c r="J825" i="6" a="1"/>
  <c r="J825" i="6" s="1"/>
  <c r="A826" i="6"/>
  <c r="A797" i="9"/>
  <c r="J796" i="9" a="1"/>
  <c r="J796" i="9" s="1"/>
  <c r="I796" i="9"/>
  <c r="A802" i="3"/>
  <c r="J801" i="3" a="1"/>
  <c r="J801" i="3" s="1"/>
  <c r="I801" i="3"/>
  <c r="A803" i="3" l="1"/>
  <c r="J802" i="3" a="1"/>
  <c r="J802" i="3" s="1"/>
  <c r="I802" i="3"/>
  <c r="I797" i="9"/>
  <c r="A798" i="9"/>
  <c r="J797" i="9" a="1"/>
  <c r="J797" i="9" s="1"/>
  <c r="J826" i="6" a="1"/>
  <c r="J826" i="6" s="1"/>
  <c r="A827" i="6"/>
  <c r="I826" i="6"/>
  <c r="A787" i="5"/>
  <c r="J786" i="5" a="1"/>
  <c r="J786" i="5" s="1"/>
  <c r="I786" i="5"/>
  <c r="A790" i="7"/>
  <c r="I789" i="7"/>
  <c r="J789" i="7" a="1"/>
  <c r="J789" i="7" s="1"/>
  <c r="I795" i="8"/>
  <c r="A796" i="8"/>
  <c r="J795" i="8" a="1"/>
  <c r="J795" i="8" s="1"/>
  <c r="J796" i="8" l="1" a="1"/>
  <c r="J796" i="8" s="1"/>
  <c r="A797" i="8"/>
  <c r="I796" i="8"/>
  <c r="J790" i="7" a="1"/>
  <c r="J790" i="7" s="1"/>
  <c r="A791" i="7"/>
  <c r="I790" i="7"/>
  <c r="A788" i="5"/>
  <c r="J787" i="5" a="1"/>
  <c r="J787" i="5" s="1"/>
  <c r="I787" i="5"/>
  <c r="A828" i="6"/>
  <c r="J827" i="6" a="1"/>
  <c r="J827" i="6" s="1"/>
  <c r="I827" i="6"/>
  <c r="I798" i="9"/>
  <c r="A799" i="9"/>
  <c r="J798" i="9" a="1"/>
  <c r="J798" i="9" s="1"/>
  <c r="I803" i="3"/>
  <c r="A804" i="3"/>
  <c r="J803" i="3" a="1"/>
  <c r="J803" i="3" s="1"/>
  <c r="A805" i="3" l="1"/>
  <c r="J804" i="3" a="1"/>
  <c r="J804" i="3" s="1"/>
  <c r="I804" i="3"/>
  <c r="I799" i="9"/>
  <c r="J799" i="9" a="1"/>
  <c r="J799" i="9" s="1"/>
  <c r="A800" i="9"/>
  <c r="A829" i="6"/>
  <c r="I828" i="6"/>
  <c r="J828" i="6" a="1"/>
  <c r="J828" i="6" s="1"/>
  <c r="J788" i="5" a="1"/>
  <c r="J788" i="5" s="1"/>
  <c r="A789" i="5"/>
  <c r="I788" i="5"/>
  <c r="J791" i="7" a="1"/>
  <c r="J791" i="7" s="1"/>
  <c r="A792" i="7"/>
  <c r="I791" i="7"/>
  <c r="A798" i="8"/>
  <c r="J797" i="8" a="1"/>
  <c r="J797" i="8" s="1"/>
  <c r="I797" i="8"/>
  <c r="J798" i="8" l="1" a="1"/>
  <c r="J798" i="8" s="1"/>
  <c r="I798" i="8"/>
  <c r="A799" i="8"/>
  <c r="J792" i="7" a="1"/>
  <c r="J792" i="7" s="1"/>
  <c r="A793" i="7"/>
  <c r="I792" i="7"/>
  <c r="A790" i="5"/>
  <c r="J789" i="5" a="1"/>
  <c r="J789" i="5" s="1"/>
  <c r="I789" i="5"/>
  <c r="J829" i="6" a="1"/>
  <c r="J829" i="6" s="1"/>
  <c r="A830" i="6"/>
  <c r="I829" i="6"/>
  <c r="A801" i="9"/>
  <c r="I800" i="9"/>
  <c r="J800" i="9" a="1"/>
  <c r="J800" i="9" s="1"/>
  <c r="A806" i="3"/>
  <c r="J805" i="3" a="1"/>
  <c r="J805" i="3" s="1"/>
  <c r="I805" i="3"/>
  <c r="J806" i="3" l="1" a="1"/>
  <c r="J806" i="3" s="1"/>
  <c r="I806" i="3"/>
  <c r="A807" i="3"/>
  <c r="I801" i="9"/>
  <c r="A802" i="9"/>
  <c r="J801" i="9" a="1"/>
  <c r="J801" i="9" s="1"/>
  <c r="A831" i="6"/>
  <c r="I830" i="6"/>
  <c r="J830" i="6" a="1"/>
  <c r="J830" i="6" s="1"/>
  <c r="A791" i="5"/>
  <c r="J790" i="5" a="1"/>
  <c r="J790" i="5" s="1"/>
  <c r="I790" i="5"/>
  <c r="A794" i="7"/>
  <c r="J793" i="7" a="1"/>
  <c r="J793" i="7" s="1"/>
  <c r="I793" i="7"/>
  <c r="J799" i="8" a="1"/>
  <c r="J799" i="8" s="1"/>
  <c r="I799" i="8"/>
  <c r="A800" i="8"/>
  <c r="A801" i="8" l="1"/>
  <c r="J800" i="8" a="1"/>
  <c r="J800" i="8" s="1"/>
  <c r="I800" i="8"/>
  <c r="A795" i="7"/>
  <c r="I794" i="7"/>
  <c r="J794" i="7" a="1"/>
  <c r="J794" i="7" s="1"/>
  <c r="A792" i="5"/>
  <c r="J791" i="5" a="1"/>
  <c r="J791" i="5" s="1"/>
  <c r="I791" i="5"/>
  <c r="I831" i="6"/>
  <c r="J831" i="6" a="1"/>
  <c r="J831" i="6" s="1"/>
  <c r="A832" i="6"/>
  <c r="I802" i="9"/>
  <c r="A803" i="9"/>
  <c r="J802" i="9" a="1"/>
  <c r="J802" i="9" s="1"/>
  <c r="A808" i="3"/>
  <c r="J807" i="3" a="1"/>
  <c r="J807" i="3" s="1"/>
  <c r="I807" i="3"/>
  <c r="A809" i="3" l="1"/>
  <c r="J808" i="3" a="1"/>
  <c r="J808" i="3" s="1"/>
  <c r="I808" i="3"/>
  <c r="I803" i="9"/>
  <c r="A804" i="9"/>
  <c r="J803" i="9" a="1"/>
  <c r="J803" i="9" s="1"/>
  <c r="J832" i="6" a="1"/>
  <c r="J832" i="6" s="1"/>
  <c r="I832" i="6"/>
  <c r="A833" i="6"/>
  <c r="A793" i="5"/>
  <c r="J792" i="5" a="1"/>
  <c r="J792" i="5" s="1"/>
  <c r="I792" i="5"/>
  <c r="I795" i="7"/>
  <c r="A796" i="7"/>
  <c r="J795" i="7" a="1"/>
  <c r="J795" i="7" s="1"/>
  <c r="I801" i="8"/>
  <c r="A802" i="8"/>
  <c r="J801" i="8" a="1"/>
  <c r="J801" i="8" s="1"/>
  <c r="A803" i="8" l="1"/>
  <c r="J802" i="8" a="1"/>
  <c r="J802" i="8" s="1"/>
  <c r="I802" i="8"/>
  <c r="I796" i="7"/>
  <c r="A797" i="7"/>
  <c r="J796" i="7" a="1"/>
  <c r="J796" i="7" s="1"/>
  <c r="A794" i="5"/>
  <c r="I793" i="5"/>
  <c r="J793" i="5" a="1"/>
  <c r="J793" i="5" s="1"/>
  <c r="J833" i="6" a="1"/>
  <c r="J833" i="6" s="1"/>
  <c r="I833" i="6"/>
  <c r="A834" i="6"/>
  <c r="J804" i="9" a="1"/>
  <c r="J804" i="9" s="1"/>
  <c r="I804" i="9"/>
  <c r="A805" i="9"/>
  <c r="A810" i="3"/>
  <c r="J809" i="3" a="1"/>
  <c r="J809" i="3" s="1"/>
  <c r="I809" i="3"/>
  <c r="A811" i="3" l="1"/>
  <c r="I810" i="3"/>
  <c r="J810" i="3" a="1"/>
  <c r="J810" i="3" s="1"/>
  <c r="I805" i="9"/>
  <c r="J805" i="9" a="1"/>
  <c r="J805" i="9" s="1"/>
  <c r="A806" i="9"/>
  <c r="A835" i="6"/>
  <c r="I834" i="6"/>
  <c r="J834" i="6" a="1"/>
  <c r="J834" i="6" s="1"/>
  <c r="I794" i="5"/>
  <c r="A795" i="5"/>
  <c r="J794" i="5" a="1"/>
  <c r="J794" i="5" s="1"/>
  <c r="J797" i="7" a="1"/>
  <c r="J797" i="7" s="1"/>
  <c r="A798" i="7"/>
  <c r="I797" i="7"/>
  <c r="J803" i="8" a="1"/>
  <c r="J803" i="8" s="1"/>
  <c r="A804" i="8"/>
  <c r="I803" i="8"/>
  <c r="A805" i="8" l="1"/>
  <c r="I804" i="8"/>
  <c r="J804" i="8" a="1"/>
  <c r="J804" i="8" s="1"/>
  <c r="J798" i="7" a="1"/>
  <c r="J798" i="7" s="1"/>
  <c r="I798" i="7"/>
  <c r="A799" i="7"/>
  <c r="A796" i="5"/>
  <c r="J795" i="5" a="1"/>
  <c r="J795" i="5" s="1"/>
  <c r="I795" i="5"/>
  <c r="A836" i="6"/>
  <c r="J835" i="6" a="1"/>
  <c r="J835" i="6" s="1"/>
  <c r="I835" i="6"/>
  <c r="A807" i="9"/>
  <c r="J806" i="9" a="1"/>
  <c r="J806" i="9" s="1"/>
  <c r="I806" i="9"/>
  <c r="A812" i="3"/>
  <c r="J811" i="3" a="1"/>
  <c r="J811" i="3" s="1"/>
  <c r="I811" i="3"/>
  <c r="J812" i="3" l="1" a="1"/>
  <c r="J812" i="3" s="1"/>
  <c r="A813" i="3"/>
  <c r="I812" i="3"/>
  <c r="A808" i="9"/>
  <c r="J807" i="9" a="1"/>
  <c r="J807" i="9" s="1"/>
  <c r="I807" i="9"/>
  <c r="A837" i="6"/>
  <c r="I836" i="6"/>
  <c r="J836" i="6" a="1"/>
  <c r="J836" i="6" s="1"/>
  <c r="A797" i="5"/>
  <c r="J796" i="5" a="1"/>
  <c r="J796" i="5" s="1"/>
  <c r="I796" i="5"/>
  <c r="A800" i="7"/>
  <c r="J799" i="7" a="1"/>
  <c r="J799" i="7" s="1"/>
  <c r="I799" i="7"/>
  <c r="A806" i="8"/>
  <c r="I805" i="8"/>
  <c r="J805" i="8" a="1"/>
  <c r="J805" i="8" s="1"/>
  <c r="J806" i="8" l="1" a="1"/>
  <c r="J806" i="8" s="1"/>
  <c r="I806" i="8"/>
  <c r="A807" i="8"/>
  <c r="A801" i="7"/>
  <c r="J800" i="7" a="1"/>
  <c r="J800" i="7" s="1"/>
  <c r="I800" i="7"/>
  <c r="A798" i="5"/>
  <c r="I797" i="5"/>
  <c r="J797" i="5" a="1"/>
  <c r="J797" i="5" s="1"/>
  <c r="I837" i="6"/>
  <c r="J837" i="6" a="1"/>
  <c r="J837" i="6" s="1"/>
  <c r="A838" i="6"/>
  <c r="J808" i="9" a="1"/>
  <c r="J808" i="9" s="1"/>
  <c r="I808" i="9"/>
  <c r="A809" i="9"/>
  <c r="A814" i="3"/>
  <c r="J813" i="3" a="1"/>
  <c r="J813" i="3" s="1"/>
  <c r="I813" i="3"/>
  <c r="A815" i="3" l="1"/>
  <c r="J814" i="3" a="1"/>
  <c r="J814" i="3" s="1"/>
  <c r="I814" i="3"/>
  <c r="J809" i="9" a="1"/>
  <c r="J809" i="9" s="1"/>
  <c r="I809" i="9"/>
  <c r="A810" i="9"/>
  <c r="A839" i="6"/>
  <c r="J838" i="6" a="1"/>
  <c r="J838" i="6" s="1"/>
  <c r="I838" i="6"/>
  <c r="A799" i="5"/>
  <c r="I798" i="5"/>
  <c r="J798" i="5" a="1"/>
  <c r="J798" i="5" s="1"/>
  <c r="J801" i="7" a="1"/>
  <c r="J801" i="7" s="1"/>
  <c r="A802" i="7"/>
  <c r="I801" i="7"/>
  <c r="J807" i="8" a="1"/>
  <c r="J807" i="8" s="1"/>
  <c r="A808" i="8"/>
  <c r="I807" i="8"/>
  <c r="I808" i="8" l="1"/>
  <c r="A809" i="8"/>
  <c r="J808" i="8" a="1"/>
  <c r="J808" i="8" s="1"/>
  <c r="J802" i="7" a="1"/>
  <c r="J802" i="7" s="1"/>
  <c r="A803" i="7"/>
  <c r="I802" i="7"/>
  <c r="J799" i="5" a="1"/>
  <c r="J799" i="5" s="1"/>
  <c r="A800" i="5"/>
  <c r="I799" i="5"/>
  <c r="A840" i="6"/>
  <c r="J839" i="6" a="1"/>
  <c r="J839" i="6" s="1"/>
  <c r="I839" i="6"/>
  <c r="A811" i="9"/>
  <c r="J810" i="9" a="1"/>
  <c r="J810" i="9" s="1"/>
  <c r="I810" i="9"/>
  <c r="I815" i="3"/>
  <c r="J815" i="3" a="1"/>
  <c r="J815" i="3" s="1"/>
  <c r="A816" i="3"/>
  <c r="J816" i="3" l="1" a="1"/>
  <c r="J816" i="3" s="1"/>
  <c r="I816" i="3"/>
  <c r="A817" i="3"/>
  <c r="I811" i="9"/>
  <c r="A812" i="9"/>
  <c r="J811" i="9" a="1"/>
  <c r="J811" i="9" s="1"/>
  <c r="A841" i="6"/>
  <c r="I840" i="6"/>
  <c r="J840" i="6" a="1"/>
  <c r="J840" i="6" s="1"/>
  <c r="J800" i="5" a="1"/>
  <c r="J800" i="5" s="1"/>
  <c r="I800" i="5"/>
  <c r="A801" i="5"/>
  <c r="I803" i="7"/>
  <c r="A804" i="7"/>
  <c r="J803" i="7" a="1"/>
  <c r="J803" i="7" s="1"/>
  <c r="I809" i="8"/>
  <c r="A810" i="8"/>
  <c r="J809" i="8" a="1"/>
  <c r="J809" i="8" s="1"/>
  <c r="J810" i="8" l="1" a="1"/>
  <c r="J810" i="8" s="1"/>
  <c r="A811" i="8"/>
  <c r="I810" i="8"/>
  <c r="A805" i="7"/>
  <c r="J804" i="7" a="1"/>
  <c r="J804" i="7" s="1"/>
  <c r="I804" i="7"/>
  <c r="A802" i="5"/>
  <c r="I801" i="5"/>
  <c r="J801" i="5" a="1"/>
  <c r="J801" i="5" s="1"/>
  <c r="A842" i="6"/>
  <c r="J841" i="6" a="1"/>
  <c r="J841" i="6" s="1"/>
  <c r="I841" i="6"/>
  <c r="J812" i="9" a="1"/>
  <c r="J812" i="9" s="1"/>
  <c r="I812" i="9"/>
  <c r="A813" i="9"/>
  <c r="A818" i="3"/>
  <c r="J817" i="3" a="1"/>
  <c r="J817" i="3" s="1"/>
  <c r="I817" i="3"/>
  <c r="J818" i="3" l="1" a="1"/>
  <c r="J818" i="3" s="1"/>
  <c r="I818" i="3"/>
  <c r="A819" i="3"/>
  <c r="A814" i="9"/>
  <c r="J813" i="9" a="1"/>
  <c r="J813" i="9" s="1"/>
  <c r="I813" i="9"/>
  <c r="J842" i="6" a="1"/>
  <c r="J842" i="6" s="1"/>
  <c r="A843" i="6"/>
  <c r="I842" i="6"/>
  <c r="A803" i="5"/>
  <c r="I802" i="5"/>
  <c r="J802" i="5" a="1"/>
  <c r="J802" i="5" s="1"/>
  <c r="A806" i="7"/>
  <c r="I805" i="7"/>
  <c r="J805" i="7" a="1"/>
  <c r="J805" i="7" s="1"/>
  <c r="A812" i="8"/>
  <c r="J811" i="8" a="1"/>
  <c r="J811" i="8" s="1"/>
  <c r="I811" i="8"/>
  <c r="A813" i="8" l="1"/>
  <c r="J812" i="8" a="1"/>
  <c r="J812" i="8" s="1"/>
  <c r="I812" i="8"/>
  <c r="J806" i="7" a="1"/>
  <c r="J806" i="7" s="1"/>
  <c r="I806" i="7"/>
  <c r="A807" i="7"/>
  <c r="A804" i="5"/>
  <c r="J803" i="5" a="1"/>
  <c r="J803" i="5" s="1"/>
  <c r="I803" i="5"/>
  <c r="I843" i="6"/>
  <c r="J843" i="6" a="1"/>
  <c r="J843" i="6" s="1"/>
  <c r="A844" i="6"/>
  <c r="I814" i="9"/>
  <c r="A815" i="9"/>
  <c r="J814" i="9" a="1"/>
  <c r="J814" i="9" s="1"/>
  <c r="A820" i="3"/>
  <c r="J819" i="3" a="1"/>
  <c r="J819" i="3" s="1"/>
  <c r="I819" i="3"/>
  <c r="A821" i="3" l="1"/>
  <c r="I820" i="3"/>
  <c r="J820" i="3" a="1"/>
  <c r="J820" i="3" s="1"/>
  <c r="I815" i="9"/>
  <c r="A816" i="9"/>
  <c r="J815" i="9" a="1"/>
  <c r="J815" i="9" s="1"/>
  <c r="I844" i="6"/>
  <c r="J844" i="6" a="1"/>
  <c r="J844" i="6" s="1"/>
  <c r="A845" i="6"/>
  <c r="J804" i="5" a="1"/>
  <c r="J804" i="5" s="1"/>
  <c r="I804" i="5"/>
  <c r="A805" i="5"/>
  <c r="J807" i="7" a="1"/>
  <c r="J807" i="7" s="1"/>
  <c r="I807" i="7"/>
  <c r="A808" i="7"/>
  <c r="I813" i="8"/>
  <c r="A814" i="8"/>
  <c r="J813" i="8" a="1"/>
  <c r="J813" i="8" s="1"/>
  <c r="A815" i="8" l="1"/>
  <c r="I814" i="8"/>
  <c r="J814" i="8" a="1"/>
  <c r="J814" i="8" s="1"/>
  <c r="J808" i="7" a="1"/>
  <c r="J808" i="7" s="1"/>
  <c r="I808" i="7"/>
  <c r="A809" i="7"/>
  <c r="I805" i="5"/>
  <c r="A806" i="5"/>
  <c r="J805" i="5" a="1"/>
  <c r="J805" i="5" s="1"/>
  <c r="I845" i="6"/>
  <c r="J845" i="6" a="1"/>
  <c r="J845" i="6" s="1"/>
  <c r="A846" i="6"/>
  <c r="A817" i="9"/>
  <c r="I816" i="9"/>
  <c r="J816" i="9" a="1"/>
  <c r="J816" i="9" s="1"/>
  <c r="J821" i="3" a="1"/>
  <c r="J821" i="3" s="1"/>
  <c r="A822" i="3"/>
  <c r="I821" i="3"/>
  <c r="A823" i="3" l="1"/>
  <c r="J822" i="3" a="1"/>
  <c r="J822" i="3" s="1"/>
  <c r="I822" i="3"/>
  <c r="J817" i="9" a="1"/>
  <c r="J817" i="9" s="1"/>
  <c r="I817" i="9"/>
  <c r="A818" i="9"/>
  <c r="J846" i="6" a="1"/>
  <c r="J846" i="6" s="1"/>
  <c r="I846" i="6"/>
  <c r="A847" i="6"/>
  <c r="J806" i="5" a="1"/>
  <c r="J806" i="5" s="1"/>
  <c r="A807" i="5"/>
  <c r="I806" i="5"/>
  <c r="A810" i="7"/>
  <c r="J809" i="7" a="1"/>
  <c r="J809" i="7" s="1"/>
  <c r="I809" i="7"/>
  <c r="J815" i="8" a="1"/>
  <c r="J815" i="8" s="1"/>
  <c r="A816" i="8"/>
  <c r="I815" i="8"/>
  <c r="A817" i="8" l="1"/>
  <c r="I816" i="8"/>
  <c r="J816" i="8" a="1"/>
  <c r="J816" i="8" s="1"/>
  <c r="I810" i="7"/>
  <c r="A811" i="7"/>
  <c r="J810" i="7" a="1"/>
  <c r="J810" i="7" s="1"/>
  <c r="A808" i="5"/>
  <c r="J807" i="5" a="1"/>
  <c r="J807" i="5" s="1"/>
  <c r="I807" i="5"/>
  <c r="I847" i="6"/>
  <c r="A848" i="6"/>
  <c r="J847" i="6" a="1"/>
  <c r="J847" i="6" s="1"/>
  <c r="A819" i="9"/>
  <c r="I818" i="9"/>
  <c r="J818" i="9" a="1"/>
  <c r="J818" i="9" s="1"/>
  <c r="J823" i="3" a="1"/>
  <c r="J823" i="3" s="1"/>
  <c r="I823" i="3"/>
  <c r="A824" i="3"/>
  <c r="J824" i="3" l="1" a="1"/>
  <c r="J824" i="3" s="1"/>
  <c r="A825" i="3"/>
  <c r="I824" i="3"/>
  <c r="J819" i="9" a="1"/>
  <c r="J819" i="9" s="1"/>
  <c r="A820" i="9"/>
  <c r="I819" i="9"/>
  <c r="A849" i="6"/>
  <c r="J848" i="6" a="1"/>
  <c r="J848" i="6" s="1"/>
  <c r="I848" i="6"/>
  <c r="A809" i="5"/>
  <c r="J808" i="5" a="1"/>
  <c r="J808" i="5" s="1"/>
  <c r="I808" i="5"/>
  <c r="A812" i="7"/>
  <c r="I811" i="7"/>
  <c r="J811" i="7" a="1"/>
  <c r="J811" i="7" s="1"/>
  <c r="I817" i="8"/>
  <c r="A818" i="8"/>
  <c r="J817" i="8" a="1"/>
  <c r="J817" i="8" s="1"/>
  <c r="A819" i="8" l="1"/>
  <c r="J818" i="8" a="1"/>
  <c r="J818" i="8" s="1"/>
  <c r="I818" i="8"/>
  <c r="A813" i="7"/>
  <c r="J812" i="7" a="1"/>
  <c r="J812" i="7" s="1"/>
  <c r="I812" i="7"/>
  <c r="J809" i="5" a="1"/>
  <c r="J809" i="5" s="1"/>
  <c r="I809" i="5"/>
  <c r="A810" i="5"/>
  <c r="I849" i="6"/>
  <c r="A850" i="6"/>
  <c r="J849" i="6" a="1"/>
  <c r="J849" i="6" s="1"/>
  <c r="A821" i="9"/>
  <c r="J820" i="9" a="1"/>
  <c r="J820" i="9" s="1"/>
  <c r="I820" i="9"/>
  <c r="J825" i="3" a="1"/>
  <c r="J825" i="3" s="1"/>
  <c r="I825" i="3"/>
  <c r="A826" i="3"/>
  <c r="A827" i="3" l="1"/>
  <c r="J826" i="3" a="1"/>
  <c r="J826" i="3" s="1"/>
  <c r="I826" i="3"/>
  <c r="A822" i="9"/>
  <c r="J821" i="9" a="1"/>
  <c r="J821" i="9" s="1"/>
  <c r="I821" i="9"/>
  <c r="J850" i="6" a="1"/>
  <c r="J850" i="6" s="1"/>
  <c r="I850" i="6"/>
  <c r="A851" i="6"/>
  <c r="J810" i="5" a="1"/>
  <c r="J810" i="5" s="1"/>
  <c r="I810" i="5"/>
  <c r="A811" i="5"/>
  <c r="A814" i="7"/>
  <c r="J813" i="7" a="1"/>
  <c r="J813" i="7" s="1"/>
  <c r="I813" i="7"/>
  <c r="A820" i="8"/>
  <c r="J819" i="8" a="1"/>
  <c r="J819" i="8" s="1"/>
  <c r="I819" i="8"/>
  <c r="A821" i="8" l="1"/>
  <c r="J820" i="8" a="1"/>
  <c r="J820" i="8" s="1"/>
  <c r="I820" i="8"/>
  <c r="A815" i="7"/>
  <c r="I814" i="7"/>
  <c r="J814" i="7" a="1"/>
  <c r="J814" i="7" s="1"/>
  <c r="A812" i="5"/>
  <c r="J811" i="5" a="1"/>
  <c r="J811" i="5" s="1"/>
  <c r="I811" i="5"/>
  <c r="J851" i="6" a="1"/>
  <c r="J851" i="6" s="1"/>
  <c r="A852" i="6"/>
  <c r="I851" i="6"/>
  <c r="I822" i="9"/>
  <c r="A823" i="9"/>
  <c r="J822" i="9" a="1"/>
  <c r="J822" i="9" s="1"/>
  <c r="A828" i="3"/>
  <c r="J827" i="3" a="1"/>
  <c r="J827" i="3" s="1"/>
  <c r="I827" i="3"/>
  <c r="A829" i="3" l="1"/>
  <c r="J828" i="3" a="1"/>
  <c r="J828" i="3" s="1"/>
  <c r="I828" i="3"/>
  <c r="J823" i="9" a="1"/>
  <c r="J823" i="9" s="1"/>
  <c r="A824" i="9"/>
  <c r="I823" i="9"/>
  <c r="A853" i="6"/>
  <c r="J852" i="6" a="1"/>
  <c r="J852" i="6" s="1"/>
  <c r="I852" i="6"/>
  <c r="A813" i="5"/>
  <c r="J812" i="5" a="1"/>
  <c r="J812" i="5" s="1"/>
  <c r="I812" i="5"/>
  <c r="J815" i="7" a="1"/>
  <c r="J815" i="7" s="1"/>
  <c r="I815" i="7"/>
  <c r="A816" i="7"/>
  <c r="J821" i="8" a="1"/>
  <c r="J821" i="8" s="1"/>
  <c r="I821" i="8"/>
  <c r="A822" i="8"/>
  <c r="A823" i="8" l="1"/>
  <c r="J822" i="8" a="1"/>
  <c r="J822" i="8" s="1"/>
  <c r="I822" i="8"/>
  <c r="A817" i="7"/>
  <c r="I816" i="7"/>
  <c r="J816" i="7" a="1"/>
  <c r="J816" i="7" s="1"/>
  <c r="A814" i="5"/>
  <c r="J813" i="5" a="1"/>
  <c r="J813" i="5" s="1"/>
  <c r="I813" i="5"/>
  <c r="A854" i="6"/>
  <c r="I853" i="6"/>
  <c r="J853" i="6" a="1"/>
  <c r="J853" i="6" s="1"/>
  <c r="A825" i="9"/>
  <c r="I824" i="9"/>
  <c r="J824" i="9" a="1"/>
  <c r="J824" i="9" s="1"/>
  <c r="A830" i="3"/>
  <c r="I829" i="3"/>
  <c r="J829" i="3" a="1"/>
  <c r="J829" i="3" s="1"/>
  <c r="J830" i="3" l="1" a="1"/>
  <c r="J830" i="3" s="1"/>
  <c r="A831" i="3"/>
  <c r="I830" i="3"/>
  <c r="A826" i="9"/>
  <c r="J825" i="9" a="1"/>
  <c r="J825" i="9" s="1"/>
  <c r="I825" i="9"/>
  <c r="A855" i="6"/>
  <c r="J854" i="6" a="1"/>
  <c r="J854" i="6" s="1"/>
  <c r="I854" i="6"/>
  <c r="J814" i="5" a="1"/>
  <c r="J814" i="5" s="1"/>
  <c r="A815" i="5"/>
  <c r="I814" i="5"/>
  <c r="A818" i="7"/>
  <c r="J817" i="7" a="1"/>
  <c r="J817" i="7" s="1"/>
  <c r="I817" i="7"/>
  <c r="A824" i="8"/>
  <c r="J823" i="8" a="1"/>
  <c r="J823" i="8" s="1"/>
  <c r="I823" i="8"/>
  <c r="J824" i="8" l="1" a="1"/>
  <c r="J824" i="8" s="1"/>
  <c r="A825" i="8"/>
  <c r="I824" i="8"/>
  <c r="A819" i="7"/>
  <c r="J818" i="7" a="1"/>
  <c r="J818" i="7" s="1"/>
  <c r="I818" i="7"/>
  <c r="A816" i="5"/>
  <c r="J815" i="5" a="1"/>
  <c r="J815" i="5" s="1"/>
  <c r="I815" i="5"/>
  <c r="I855" i="6"/>
  <c r="A856" i="6"/>
  <c r="J855" i="6" a="1"/>
  <c r="J855" i="6" s="1"/>
  <c r="A827" i="9"/>
  <c r="J826" i="9" a="1"/>
  <c r="J826" i="9" s="1"/>
  <c r="I826" i="9"/>
  <c r="A832" i="3"/>
  <c r="J831" i="3" a="1"/>
  <c r="J831" i="3" s="1"/>
  <c r="I831" i="3"/>
  <c r="A833" i="3" l="1"/>
  <c r="J832" i="3" a="1"/>
  <c r="J832" i="3" s="1"/>
  <c r="I832" i="3"/>
  <c r="I827" i="9"/>
  <c r="A828" i="9"/>
  <c r="J827" i="9" a="1"/>
  <c r="J827" i="9" s="1"/>
  <c r="J856" i="6" a="1"/>
  <c r="J856" i="6" s="1"/>
  <c r="A857" i="6"/>
  <c r="I856" i="6"/>
  <c r="A817" i="5"/>
  <c r="J816" i="5" a="1"/>
  <c r="J816" i="5" s="1"/>
  <c r="I816" i="5"/>
  <c r="A820" i="7"/>
  <c r="J819" i="7" a="1"/>
  <c r="J819" i="7" s="1"/>
  <c r="I819" i="7"/>
  <c r="J825" i="8" a="1"/>
  <c r="J825" i="8" s="1"/>
  <c r="I825" i="8"/>
  <c r="A826" i="8"/>
  <c r="A827" i="8" l="1"/>
  <c r="J826" i="8" a="1"/>
  <c r="J826" i="8" s="1"/>
  <c r="I826" i="8"/>
  <c r="I820" i="7"/>
  <c r="J820" i="7" a="1"/>
  <c r="J820" i="7" s="1"/>
  <c r="A821" i="7"/>
  <c r="J817" i="5" a="1"/>
  <c r="J817" i="5" s="1"/>
  <c r="I817" i="5"/>
  <c r="A818" i="5"/>
  <c r="I857" i="6"/>
  <c r="J857" i="6" a="1"/>
  <c r="J857" i="6" s="1"/>
  <c r="A858" i="6"/>
  <c r="A829" i="9"/>
  <c r="J828" i="9" a="1"/>
  <c r="J828" i="9" s="1"/>
  <c r="I828" i="9"/>
  <c r="A834" i="3"/>
  <c r="J833" i="3" a="1"/>
  <c r="J833" i="3" s="1"/>
  <c r="I833" i="3"/>
  <c r="A835" i="3" l="1"/>
  <c r="J834" i="3" a="1"/>
  <c r="J834" i="3" s="1"/>
  <c r="I834" i="3"/>
  <c r="J829" i="9" a="1"/>
  <c r="J829" i="9" s="1"/>
  <c r="A830" i="9"/>
  <c r="I829" i="9"/>
  <c r="J858" i="6" a="1"/>
  <c r="J858" i="6" s="1"/>
  <c r="I858" i="6"/>
  <c r="A859" i="6"/>
  <c r="A819" i="5"/>
  <c r="I818" i="5"/>
  <c r="J818" i="5" a="1"/>
  <c r="J818" i="5" s="1"/>
  <c r="I821" i="7"/>
  <c r="A822" i="7"/>
  <c r="J821" i="7" a="1"/>
  <c r="J821" i="7" s="1"/>
  <c r="A828" i="8"/>
  <c r="J827" i="8" a="1"/>
  <c r="J827" i="8" s="1"/>
  <c r="I827" i="8"/>
  <c r="I828" i="8" l="1"/>
  <c r="J828" i="8" a="1"/>
  <c r="J828" i="8" s="1"/>
  <c r="A829" i="8"/>
  <c r="A823" i="7"/>
  <c r="J822" i="7" a="1"/>
  <c r="J822" i="7" s="1"/>
  <c r="I822" i="7"/>
  <c r="A820" i="5"/>
  <c r="I819" i="5"/>
  <c r="J819" i="5" a="1"/>
  <c r="J819" i="5" s="1"/>
  <c r="J859" i="6" a="1"/>
  <c r="J859" i="6" s="1"/>
  <c r="I859" i="6"/>
  <c r="A860" i="6"/>
  <c r="A831" i="9"/>
  <c r="I830" i="9"/>
  <c r="J830" i="9" a="1"/>
  <c r="J830" i="9" s="1"/>
  <c r="A836" i="3"/>
  <c r="J835" i="3" a="1"/>
  <c r="J835" i="3" s="1"/>
  <c r="I835" i="3"/>
  <c r="J836" i="3" l="1" a="1"/>
  <c r="J836" i="3" s="1"/>
  <c r="A837" i="3"/>
  <c r="I836" i="3"/>
  <c r="J831" i="9" a="1"/>
  <c r="J831" i="9" s="1"/>
  <c r="A832" i="9"/>
  <c r="I831" i="9"/>
  <c r="A861" i="6"/>
  <c r="J860" i="6" a="1"/>
  <c r="J860" i="6" s="1"/>
  <c r="I860" i="6"/>
  <c r="A821" i="5"/>
  <c r="I820" i="5"/>
  <c r="J820" i="5" a="1"/>
  <c r="J820" i="5" s="1"/>
  <c r="A824" i="7"/>
  <c r="J823" i="7" a="1"/>
  <c r="J823" i="7" s="1"/>
  <c r="I823" i="7"/>
  <c r="I829" i="8"/>
  <c r="A830" i="8"/>
  <c r="J829" i="8" a="1"/>
  <c r="J829" i="8" s="1"/>
  <c r="J830" i="8" l="1" a="1"/>
  <c r="J830" i="8" s="1"/>
  <c r="I830" i="8"/>
  <c r="A831" i="8"/>
  <c r="I824" i="7"/>
  <c r="A825" i="7"/>
  <c r="J824" i="7" a="1"/>
  <c r="J824" i="7" s="1"/>
  <c r="A822" i="5"/>
  <c r="J821" i="5" a="1"/>
  <c r="J821" i="5" s="1"/>
  <c r="I821" i="5"/>
  <c r="I861" i="6"/>
  <c r="A862" i="6"/>
  <c r="J861" i="6" a="1"/>
  <c r="J861" i="6" s="1"/>
  <c r="J832" i="9" a="1"/>
  <c r="J832" i="9" s="1"/>
  <c r="I832" i="9"/>
  <c r="A833" i="9"/>
  <c r="I837" i="3"/>
  <c r="J837" i="3" a="1"/>
  <c r="J837" i="3" s="1"/>
  <c r="A838" i="3"/>
  <c r="A839" i="3" l="1"/>
  <c r="J838" i="3" a="1"/>
  <c r="J838" i="3" s="1"/>
  <c r="I838" i="3"/>
  <c r="A834" i="9"/>
  <c r="J833" i="9" a="1"/>
  <c r="J833" i="9" s="1"/>
  <c r="I833" i="9"/>
  <c r="A863" i="6"/>
  <c r="I862" i="6"/>
  <c r="J862" i="6" a="1"/>
  <c r="J862" i="6" s="1"/>
  <c r="A823" i="5"/>
  <c r="I822" i="5"/>
  <c r="J822" i="5" a="1"/>
  <c r="J822" i="5" s="1"/>
  <c r="A826" i="7"/>
  <c r="I825" i="7"/>
  <c r="J825" i="7" a="1"/>
  <c r="J825" i="7" s="1"/>
  <c r="A832" i="8"/>
  <c r="J831" i="8" a="1"/>
  <c r="J831" i="8" s="1"/>
  <c r="I831" i="8"/>
  <c r="I832" i="8" l="1"/>
  <c r="A833" i="8"/>
  <c r="J832" i="8" a="1"/>
  <c r="J832" i="8" s="1"/>
  <c r="J826" i="7" a="1"/>
  <c r="J826" i="7" s="1"/>
  <c r="A827" i="7"/>
  <c r="I826" i="7"/>
  <c r="A824" i="5"/>
  <c r="I823" i="5"/>
  <c r="J823" i="5" a="1"/>
  <c r="J823" i="5" s="1"/>
  <c r="A864" i="6"/>
  <c r="J863" i="6" a="1"/>
  <c r="J863" i="6" s="1"/>
  <c r="I863" i="6"/>
  <c r="J834" i="9" a="1"/>
  <c r="J834" i="9" s="1"/>
  <c r="I834" i="9"/>
  <c r="A835" i="9"/>
  <c r="A840" i="3"/>
  <c r="I839" i="3"/>
  <c r="J839" i="3" a="1"/>
  <c r="J839" i="3" s="1"/>
  <c r="I840" i="3" l="1"/>
  <c r="J840" i="3" a="1"/>
  <c r="J840" i="3" s="1"/>
  <c r="A841" i="3"/>
  <c r="J835" i="9" a="1"/>
  <c r="J835" i="9" s="1"/>
  <c r="I835" i="9"/>
  <c r="A836" i="9"/>
  <c r="J864" i="6" a="1"/>
  <c r="J864" i="6" s="1"/>
  <c r="A865" i="6"/>
  <c r="I864" i="6"/>
  <c r="J824" i="5" a="1"/>
  <c r="J824" i="5" s="1"/>
  <c r="A825" i="5"/>
  <c r="I824" i="5"/>
  <c r="J827" i="7" a="1"/>
  <c r="J827" i="7" s="1"/>
  <c r="I827" i="7"/>
  <c r="A828" i="7"/>
  <c r="J833" i="8" a="1"/>
  <c r="J833" i="8" s="1"/>
  <c r="I833" i="8"/>
  <c r="A834" i="8"/>
  <c r="I834" i="8" l="1"/>
  <c r="J834" i="8" a="1"/>
  <c r="J834" i="8" s="1"/>
  <c r="A835" i="8"/>
  <c r="I828" i="7"/>
  <c r="A829" i="7"/>
  <c r="J828" i="7" a="1"/>
  <c r="J828" i="7" s="1"/>
  <c r="A826" i="5"/>
  <c r="J825" i="5" a="1"/>
  <c r="J825" i="5" s="1"/>
  <c r="I825" i="5"/>
  <c r="A866" i="6"/>
  <c r="J865" i="6" a="1"/>
  <c r="J865" i="6" s="1"/>
  <c r="I865" i="6"/>
  <c r="I836" i="9"/>
  <c r="A837" i="9"/>
  <c r="J836" i="9" a="1"/>
  <c r="J836" i="9" s="1"/>
  <c r="A842" i="3"/>
  <c r="J841" i="3" a="1"/>
  <c r="J841" i="3" s="1"/>
  <c r="I841" i="3"/>
  <c r="J842" i="3" l="1" a="1"/>
  <c r="J842" i="3" s="1"/>
  <c r="A843" i="3"/>
  <c r="I842" i="3"/>
  <c r="A838" i="9"/>
  <c r="J837" i="9" a="1"/>
  <c r="J837" i="9" s="1"/>
  <c r="I837" i="9"/>
  <c r="A867" i="6"/>
  <c r="J866" i="6" a="1"/>
  <c r="J866" i="6" s="1"/>
  <c r="I866" i="6"/>
  <c r="A827" i="5"/>
  <c r="J826" i="5" a="1"/>
  <c r="J826" i="5" s="1"/>
  <c r="I826" i="5"/>
  <c r="A830" i="7"/>
  <c r="I829" i="7"/>
  <c r="J829" i="7" a="1"/>
  <c r="J829" i="7" s="1"/>
  <c r="I835" i="8"/>
  <c r="J835" i="8" a="1"/>
  <c r="J835" i="8" s="1"/>
  <c r="A836" i="8"/>
  <c r="I836" i="8" l="1"/>
  <c r="A837" i="8"/>
  <c r="J836" i="8" a="1"/>
  <c r="J836" i="8" s="1"/>
  <c r="I830" i="7"/>
  <c r="A831" i="7"/>
  <c r="J830" i="7" a="1"/>
  <c r="J830" i="7" s="1"/>
  <c r="A828" i="5"/>
  <c r="I827" i="5"/>
  <c r="J827" i="5" a="1"/>
  <c r="J827" i="5" s="1"/>
  <c r="I867" i="6"/>
  <c r="A868" i="6"/>
  <c r="J867" i="6" a="1"/>
  <c r="J867" i="6" s="1"/>
  <c r="A839" i="9"/>
  <c r="J838" i="9" a="1"/>
  <c r="J838" i="9" s="1"/>
  <c r="I838" i="9"/>
  <c r="J843" i="3" a="1"/>
  <c r="J843" i="3" s="1"/>
  <c r="A844" i="3"/>
  <c r="I843" i="3"/>
  <c r="I844" i="3" l="1"/>
  <c r="A845" i="3"/>
  <c r="J844" i="3" a="1"/>
  <c r="J844" i="3" s="1"/>
  <c r="A840" i="9"/>
  <c r="I839" i="9"/>
  <c r="J839" i="9" a="1"/>
  <c r="J839" i="9" s="1"/>
  <c r="A869" i="6"/>
  <c r="J868" i="6" a="1"/>
  <c r="J868" i="6" s="1"/>
  <c r="I868" i="6"/>
  <c r="A829" i="5"/>
  <c r="J828" i="5" a="1"/>
  <c r="J828" i="5" s="1"/>
  <c r="I828" i="5"/>
  <c r="A832" i="7"/>
  <c r="J831" i="7" a="1"/>
  <c r="J831" i="7" s="1"/>
  <c r="I831" i="7"/>
  <c r="J837" i="8" a="1"/>
  <c r="J837" i="8" s="1"/>
  <c r="A838" i="8"/>
  <c r="I837" i="8"/>
  <c r="J838" i="8" l="1" a="1"/>
  <c r="J838" i="8" s="1"/>
  <c r="A839" i="8"/>
  <c r="I838" i="8"/>
  <c r="A833" i="7"/>
  <c r="J832" i="7" a="1"/>
  <c r="J832" i="7" s="1"/>
  <c r="I832" i="7"/>
  <c r="J829" i="5" a="1"/>
  <c r="J829" i="5" s="1"/>
  <c r="I829" i="5"/>
  <c r="A830" i="5"/>
  <c r="J869" i="6" a="1"/>
  <c r="J869" i="6" s="1"/>
  <c r="A870" i="6"/>
  <c r="I869" i="6"/>
  <c r="A841" i="9"/>
  <c r="J840" i="9" a="1"/>
  <c r="J840" i="9" s="1"/>
  <c r="I840" i="9"/>
  <c r="A846" i="3"/>
  <c r="J845" i="3" a="1"/>
  <c r="J845" i="3" s="1"/>
  <c r="I845" i="3"/>
  <c r="J846" i="3" l="1" a="1"/>
  <c r="J846" i="3" s="1"/>
  <c r="A847" i="3"/>
  <c r="I846" i="3"/>
  <c r="J841" i="9" a="1"/>
  <c r="J841" i="9" s="1"/>
  <c r="A842" i="9"/>
  <c r="I841" i="9"/>
  <c r="I870" i="6"/>
  <c r="J870" i="6" a="1"/>
  <c r="J870" i="6" s="1"/>
  <c r="A871" i="6"/>
  <c r="I830" i="5"/>
  <c r="A831" i="5"/>
  <c r="J830" i="5" a="1"/>
  <c r="J830" i="5" s="1"/>
  <c r="A834" i="7"/>
  <c r="J833" i="7" a="1"/>
  <c r="J833" i="7" s="1"/>
  <c r="I833" i="7"/>
  <c r="A840" i="8"/>
  <c r="I839" i="8"/>
  <c r="J839" i="8" a="1"/>
  <c r="J839" i="8" s="1"/>
  <c r="J840" i="8" l="1" a="1"/>
  <c r="J840" i="8" s="1"/>
  <c r="I840" i="8"/>
  <c r="A841" i="8"/>
  <c r="J834" i="7" a="1"/>
  <c r="J834" i="7" s="1"/>
  <c r="A835" i="7"/>
  <c r="I834" i="7"/>
  <c r="A832" i="5"/>
  <c r="J831" i="5" a="1"/>
  <c r="J831" i="5" s="1"/>
  <c r="I831" i="5"/>
  <c r="J871" i="6" a="1"/>
  <c r="J871" i="6" s="1"/>
  <c r="A872" i="6"/>
  <c r="I871" i="6"/>
  <c r="J842" i="9" a="1"/>
  <c r="J842" i="9" s="1"/>
  <c r="A843" i="9"/>
  <c r="I842" i="9"/>
  <c r="A848" i="3"/>
  <c r="J847" i="3" a="1"/>
  <c r="J847" i="3" s="1"/>
  <c r="I847" i="3"/>
  <c r="J848" i="3" l="1" a="1"/>
  <c r="J848" i="3" s="1"/>
  <c r="A849" i="3"/>
  <c r="I848" i="3"/>
  <c r="J843" i="9" a="1"/>
  <c r="J843" i="9" s="1"/>
  <c r="I843" i="9"/>
  <c r="A844" i="9"/>
  <c r="J872" i="6" a="1"/>
  <c r="J872" i="6" s="1"/>
  <c r="I872" i="6"/>
  <c r="A873" i="6"/>
  <c r="J832" i="5" a="1"/>
  <c r="J832" i="5" s="1"/>
  <c r="A833" i="5"/>
  <c r="I832" i="5"/>
  <c r="A836" i="7"/>
  <c r="I835" i="7"/>
  <c r="J835" i="7" a="1"/>
  <c r="J835" i="7" s="1"/>
  <c r="I841" i="8"/>
  <c r="A842" i="8"/>
  <c r="J841" i="8" a="1"/>
  <c r="J841" i="8" s="1"/>
  <c r="I842" i="8" l="1"/>
  <c r="J842" i="8" a="1"/>
  <c r="J842" i="8" s="1"/>
  <c r="A843" i="8"/>
  <c r="J836" i="7" a="1"/>
  <c r="J836" i="7" s="1"/>
  <c r="A837" i="7"/>
  <c r="I836" i="7"/>
  <c r="A834" i="5"/>
  <c r="J833" i="5" a="1"/>
  <c r="J833" i="5" s="1"/>
  <c r="I833" i="5"/>
  <c r="I873" i="6"/>
  <c r="A874" i="6"/>
  <c r="J873" i="6" a="1"/>
  <c r="J873" i="6" s="1"/>
  <c r="A845" i="9"/>
  <c r="J844" i="9" a="1"/>
  <c r="J844" i="9" s="1"/>
  <c r="I844" i="9"/>
  <c r="A850" i="3"/>
  <c r="J849" i="3" a="1"/>
  <c r="J849" i="3" s="1"/>
  <c r="I849" i="3"/>
  <c r="A851" i="3" l="1"/>
  <c r="J850" i="3" a="1"/>
  <c r="J850" i="3" s="1"/>
  <c r="I850" i="3"/>
  <c r="I845" i="9"/>
  <c r="A846" i="9"/>
  <c r="J845" i="9" a="1"/>
  <c r="J845" i="9" s="1"/>
  <c r="A875" i="6"/>
  <c r="J874" i="6" a="1"/>
  <c r="J874" i="6" s="1"/>
  <c r="I874" i="6"/>
  <c r="J834" i="5" a="1"/>
  <c r="J834" i="5" s="1"/>
  <c r="I834" i="5"/>
  <c r="A835" i="5"/>
  <c r="A838" i="7"/>
  <c r="I837" i="7"/>
  <c r="J837" i="7" a="1"/>
  <c r="J837" i="7" s="1"/>
  <c r="A844" i="8"/>
  <c r="I843" i="8"/>
  <c r="J843" i="8" a="1"/>
  <c r="J843" i="8" s="1"/>
  <c r="I844" i="8" l="1"/>
  <c r="A845" i="8"/>
  <c r="J844" i="8" a="1"/>
  <c r="J844" i="8" s="1"/>
  <c r="A839" i="7"/>
  <c r="J838" i="7" a="1"/>
  <c r="J838" i="7" s="1"/>
  <c r="I838" i="7"/>
  <c r="J835" i="5" a="1"/>
  <c r="J835" i="5" s="1"/>
  <c r="I835" i="5"/>
  <c r="A836" i="5"/>
  <c r="A876" i="6"/>
  <c r="I875" i="6"/>
  <c r="J875" i="6" a="1"/>
  <c r="J875" i="6" s="1"/>
  <c r="J846" i="9" a="1"/>
  <c r="J846" i="9" s="1"/>
  <c r="A847" i="9"/>
  <c r="I846" i="9"/>
  <c r="A852" i="3"/>
  <c r="I851" i="3"/>
  <c r="J851" i="3" a="1"/>
  <c r="J851" i="3" s="1"/>
  <c r="A853" i="3" l="1"/>
  <c r="J852" i="3" a="1"/>
  <c r="J852" i="3" s="1"/>
  <c r="I852" i="3"/>
  <c r="J847" i="9" a="1"/>
  <c r="J847" i="9" s="1"/>
  <c r="I847" i="9"/>
  <c r="A848" i="9"/>
  <c r="J876" i="6" a="1"/>
  <c r="J876" i="6" s="1"/>
  <c r="A877" i="6"/>
  <c r="I876" i="6"/>
  <c r="A837" i="5"/>
  <c r="J836" i="5" a="1"/>
  <c r="J836" i="5" s="1"/>
  <c r="I836" i="5"/>
  <c r="A840" i="7"/>
  <c r="I839" i="7"/>
  <c r="J839" i="7" a="1"/>
  <c r="J839" i="7" s="1"/>
  <c r="A846" i="8"/>
  <c r="J845" i="8" a="1"/>
  <c r="J845" i="8" s="1"/>
  <c r="I845" i="8"/>
  <c r="A847" i="8" l="1"/>
  <c r="J846" i="8" a="1"/>
  <c r="J846" i="8" s="1"/>
  <c r="I846" i="8"/>
  <c r="J840" i="7" a="1"/>
  <c r="J840" i="7" s="1"/>
  <c r="I840" i="7"/>
  <c r="A841" i="7"/>
  <c r="A838" i="5"/>
  <c r="J837" i="5" a="1"/>
  <c r="J837" i="5" s="1"/>
  <c r="I837" i="5"/>
  <c r="J877" i="6" a="1"/>
  <c r="J877" i="6" s="1"/>
  <c r="I877" i="6"/>
  <c r="A878" i="6"/>
  <c r="J848" i="9" a="1"/>
  <c r="J848" i="9" s="1"/>
  <c r="I848" i="9"/>
  <c r="A849" i="9"/>
  <c r="A854" i="3"/>
  <c r="J853" i="3" a="1"/>
  <c r="J853" i="3" s="1"/>
  <c r="I853" i="3"/>
  <c r="J854" i="3" l="1" a="1"/>
  <c r="J854" i="3" s="1"/>
  <c r="A855" i="3"/>
  <c r="I854" i="3"/>
  <c r="A850" i="9"/>
  <c r="J849" i="9" a="1"/>
  <c r="J849" i="9" s="1"/>
  <c r="I849" i="9"/>
  <c r="A879" i="6"/>
  <c r="J878" i="6" a="1"/>
  <c r="J878" i="6" s="1"/>
  <c r="I878" i="6"/>
  <c r="I838" i="5"/>
  <c r="A839" i="5"/>
  <c r="J838" i="5" a="1"/>
  <c r="J838" i="5" s="1"/>
  <c r="A842" i="7"/>
  <c r="J841" i="7" a="1"/>
  <c r="J841" i="7" s="1"/>
  <c r="I841" i="7"/>
  <c r="J847" i="8" a="1"/>
  <c r="J847" i="8" s="1"/>
  <c r="I847" i="8"/>
  <c r="A848" i="8"/>
  <c r="I848" i="8" l="1"/>
  <c r="A849" i="8"/>
  <c r="J848" i="8" a="1"/>
  <c r="J848" i="8" s="1"/>
  <c r="A843" i="7"/>
  <c r="J842" i="7" a="1"/>
  <c r="J842" i="7" s="1"/>
  <c r="I842" i="7"/>
  <c r="J839" i="5" a="1"/>
  <c r="J839" i="5" s="1"/>
  <c r="A840" i="5"/>
  <c r="I839" i="5"/>
  <c r="I879" i="6"/>
  <c r="A880" i="6"/>
  <c r="J879" i="6" a="1"/>
  <c r="J879" i="6" s="1"/>
  <c r="A851" i="9"/>
  <c r="J850" i="9" a="1"/>
  <c r="J850" i="9" s="1"/>
  <c r="I850" i="9"/>
  <c r="A856" i="3"/>
  <c r="J855" i="3" a="1"/>
  <c r="J855" i="3" s="1"/>
  <c r="I855" i="3"/>
  <c r="J856" i="3" l="1" a="1"/>
  <c r="J856" i="3" s="1"/>
  <c r="I856" i="3"/>
  <c r="A857" i="3"/>
  <c r="A852" i="9"/>
  <c r="I851" i="9"/>
  <c r="J851" i="9" a="1"/>
  <c r="J851" i="9" s="1"/>
  <c r="I880" i="6"/>
  <c r="A881" i="6"/>
  <c r="J880" i="6" a="1"/>
  <c r="J880" i="6" s="1"/>
  <c r="A841" i="5"/>
  <c r="J840" i="5" a="1"/>
  <c r="J840" i="5" s="1"/>
  <c r="I840" i="5"/>
  <c r="I843" i="7"/>
  <c r="A844" i="7"/>
  <c r="J843" i="7" a="1"/>
  <c r="J843" i="7" s="1"/>
  <c r="A850" i="8"/>
  <c r="J849" i="8" a="1"/>
  <c r="J849" i="8" s="1"/>
  <c r="I849" i="8"/>
  <c r="J850" i="8" l="1" a="1"/>
  <c r="J850" i="8" s="1"/>
  <c r="I850" i="8"/>
  <c r="A851" i="8"/>
  <c r="A845" i="7"/>
  <c r="I844" i="7"/>
  <c r="J844" i="7" a="1"/>
  <c r="J844" i="7" s="1"/>
  <c r="A842" i="5"/>
  <c r="J841" i="5" a="1"/>
  <c r="J841" i="5" s="1"/>
  <c r="I841" i="5"/>
  <c r="A882" i="6"/>
  <c r="J881" i="6" a="1"/>
  <c r="J881" i="6" s="1"/>
  <c r="I881" i="6"/>
  <c r="A853" i="9"/>
  <c r="J852" i="9" a="1"/>
  <c r="J852" i="9" s="1"/>
  <c r="I852" i="9"/>
  <c r="J857" i="3" a="1"/>
  <c r="J857" i="3" s="1"/>
  <c r="I857" i="3"/>
  <c r="A858" i="3"/>
  <c r="A859" i="3" l="1"/>
  <c r="J858" i="3" a="1"/>
  <c r="J858" i="3" s="1"/>
  <c r="I858" i="3"/>
  <c r="J853" i="9" a="1"/>
  <c r="J853" i="9" s="1"/>
  <c r="A854" i="9"/>
  <c r="I853" i="9"/>
  <c r="J882" i="6" a="1"/>
  <c r="J882" i="6" s="1"/>
  <c r="A883" i="6"/>
  <c r="I882" i="6"/>
  <c r="A843" i="5"/>
  <c r="J842" i="5" a="1"/>
  <c r="J842" i="5" s="1"/>
  <c r="I842" i="5"/>
  <c r="I845" i="7"/>
  <c r="A846" i="7"/>
  <c r="J845" i="7" a="1"/>
  <c r="J845" i="7" s="1"/>
  <c r="I851" i="8"/>
  <c r="A852" i="8"/>
  <c r="J851" i="8" a="1"/>
  <c r="J851" i="8" s="1"/>
  <c r="A853" i="8" l="1"/>
  <c r="J852" i="8" a="1"/>
  <c r="J852" i="8" s="1"/>
  <c r="I852" i="8"/>
  <c r="I846" i="7"/>
  <c r="A847" i="7"/>
  <c r="J846" i="7" a="1"/>
  <c r="J846" i="7" s="1"/>
  <c r="A844" i="5"/>
  <c r="I843" i="5"/>
  <c r="J843" i="5" a="1"/>
  <c r="J843" i="5" s="1"/>
  <c r="J883" i="6" a="1"/>
  <c r="J883" i="6" s="1"/>
  <c r="I883" i="6"/>
  <c r="A884" i="6"/>
  <c r="A855" i="9"/>
  <c r="J854" i="9" a="1"/>
  <c r="J854" i="9" s="1"/>
  <c r="I854" i="9"/>
  <c r="J859" i="3" a="1"/>
  <c r="J859" i="3" s="1"/>
  <c r="I859" i="3"/>
  <c r="A860" i="3"/>
  <c r="J860" i="3" l="1" a="1"/>
  <c r="J860" i="3" s="1"/>
  <c r="A861" i="3"/>
  <c r="I860" i="3"/>
  <c r="I855" i="9"/>
  <c r="J855" i="9" a="1"/>
  <c r="J855" i="9" s="1"/>
  <c r="A856" i="9"/>
  <c r="A885" i="6"/>
  <c r="J884" i="6" a="1"/>
  <c r="J884" i="6" s="1"/>
  <c r="I884" i="6"/>
  <c r="J844" i="5" a="1"/>
  <c r="J844" i="5" s="1"/>
  <c r="I844" i="5"/>
  <c r="A845" i="5"/>
  <c r="A848" i="7"/>
  <c r="I847" i="7"/>
  <c r="J847" i="7" a="1"/>
  <c r="J847" i="7" s="1"/>
  <c r="A854" i="8"/>
  <c r="I853" i="8"/>
  <c r="J853" i="8" a="1"/>
  <c r="J853" i="8" s="1"/>
  <c r="I854" i="8" l="1"/>
  <c r="J854" i="8" a="1"/>
  <c r="J854" i="8" s="1"/>
  <c r="A855" i="8"/>
  <c r="A849" i="7"/>
  <c r="J848" i="7" a="1"/>
  <c r="J848" i="7" s="1"/>
  <c r="I848" i="7"/>
  <c r="A846" i="5"/>
  <c r="I845" i="5"/>
  <c r="J845" i="5" a="1"/>
  <c r="J845" i="5" s="1"/>
  <c r="I885" i="6"/>
  <c r="J885" i="6" a="1"/>
  <c r="J885" i="6" s="1"/>
  <c r="A886" i="6"/>
  <c r="J856" i="9" a="1"/>
  <c r="J856" i="9" s="1"/>
  <c r="A857" i="9"/>
  <c r="I856" i="9"/>
  <c r="A862" i="3"/>
  <c r="I861" i="3"/>
  <c r="J861" i="3" a="1"/>
  <c r="J861" i="3" s="1"/>
  <c r="I862" i="3" l="1"/>
  <c r="A863" i="3"/>
  <c r="J862" i="3" a="1"/>
  <c r="J862" i="3" s="1"/>
  <c r="I857" i="9"/>
  <c r="A858" i="9"/>
  <c r="J857" i="9" a="1"/>
  <c r="J857" i="9" s="1"/>
  <c r="A887" i="6"/>
  <c r="I886" i="6"/>
  <c r="J886" i="6" a="1"/>
  <c r="J886" i="6" s="1"/>
  <c r="A847" i="5"/>
  <c r="J846" i="5" a="1"/>
  <c r="J846" i="5" s="1"/>
  <c r="I846" i="5"/>
  <c r="J849" i="7" a="1"/>
  <c r="J849" i="7" s="1"/>
  <c r="I849" i="7"/>
  <c r="A850" i="7"/>
  <c r="J855" i="8" a="1"/>
  <c r="J855" i="8" s="1"/>
  <c r="I855" i="8"/>
  <c r="A856" i="8"/>
  <c r="A857" i="8" l="1"/>
  <c r="J856" i="8" a="1"/>
  <c r="J856" i="8" s="1"/>
  <c r="I856" i="8"/>
  <c r="J850" i="7" a="1"/>
  <c r="J850" i="7" s="1"/>
  <c r="A851" i="7"/>
  <c r="I850" i="7"/>
  <c r="A848" i="5"/>
  <c r="I847" i="5"/>
  <c r="J847" i="5" a="1"/>
  <c r="J847" i="5" s="1"/>
  <c r="A888" i="6"/>
  <c r="J887" i="6" a="1"/>
  <c r="J887" i="6" s="1"/>
  <c r="I887" i="6"/>
  <c r="J858" i="9" a="1"/>
  <c r="J858" i="9" s="1"/>
  <c r="A859" i="9"/>
  <c r="I858" i="9"/>
  <c r="A864" i="3"/>
  <c r="J863" i="3" a="1"/>
  <c r="J863" i="3" s="1"/>
  <c r="I863" i="3"/>
  <c r="J864" i="3" l="1" a="1"/>
  <c r="J864" i="3" s="1"/>
  <c r="I864" i="3"/>
  <c r="A865" i="3"/>
  <c r="J859" i="9" a="1"/>
  <c r="J859" i="9" s="1"/>
  <c r="A860" i="9"/>
  <c r="I859" i="9"/>
  <c r="A889" i="6"/>
  <c r="I888" i="6"/>
  <c r="J888" i="6" a="1"/>
  <c r="J888" i="6" s="1"/>
  <c r="A849" i="5"/>
  <c r="I848" i="5"/>
  <c r="J848" i="5" a="1"/>
  <c r="J848" i="5" s="1"/>
  <c r="J851" i="7" a="1"/>
  <c r="J851" i="7" s="1"/>
  <c r="I851" i="7"/>
  <c r="A852" i="7"/>
  <c r="A858" i="8"/>
  <c r="J857" i="8" a="1"/>
  <c r="J857" i="8" s="1"/>
  <c r="I857" i="8"/>
  <c r="A859" i="8" l="1"/>
  <c r="I858" i="8"/>
  <c r="J858" i="8" a="1"/>
  <c r="J858" i="8" s="1"/>
  <c r="J852" i="7" a="1"/>
  <c r="J852" i="7" s="1"/>
  <c r="A853" i="7"/>
  <c r="I852" i="7"/>
  <c r="A850" i="5"/>
  <c r="J849" i="5" a="1"/>
  <c r="J849" i="5" s="1"/>
  <c r="I849" i="5"/>
  <c r="A890" i="6"/>
  <c r="I889" i="6"/>
  <c r="J889" i="6" a="1"/>
  <c r="J889" i="6" s="1"/>
  <c r="J860" i="9" a="1"/>
  <c r="J860" i="9" s="1"/>
  <c r="I860" i="9"/>
  <c r="A861" i="9"/>
  <c r="I865" i="3"/>
  <c r="A866" i="3"/>
  <c r="J865" i="3" a="1"/>
  <c r="J865" i="3" s="1"/>
  <c r="J866" i="3" l="1" a="1"/>
  <c r="J866" i="3" s="1"/>
  <c r="I866" i="3"/>
  <c r="A867" i="3"/>
  <c r="I861" i="9"/>
  <c r="J861" i="9" a="1"/>
  <c r="J861" i="9" s="1"/>
  <c r="A862" i="9"/>
  <c r="A891" i="6"/>
  <c r="J890" i="6" a="1"/>
  <c r="J890" i="6" s="1"/>
  <c r="I890" i="6"/>
  <c r="J850" i="5" a="1"/>
  <c r="J850" i="5" s="1"/>
  <c r="I850" i="5"/>
  <c r="A851" i="5"/>
  <c r="A854" i="7"/>
  <c r="I853" i="7"/>
  <c r="J853" i="7" a="1"/>
  <c r="J853" i="7" s="1"/>
  <c r="I859" i="8"/>
  <c r="J859" i="8" a="1"/>
  <c r="J859" i="8" s="1"/>
  <c r="A860" i="8"/>
  <c r="A861" i="8" l="1"/>
  <c r="J860" i="8" a="1"/>
  <c r="J860" i="8" s="1"/>
  <c r="I860" i="8"/>
  <c r="J854" i="7" a="1"/>
  <c r="J854" i="7" s="1"/>
  <c r="A855" i="7"/>
  <c r="I854" i="7"/>
  <c r="A852" i="5"/>
  <c r="J851" i="5" a="1"/>
  <c r="J851" i="5" s="1"/>
  <c r="I851" i="5"/>
  <c r="I891" i="6"/>
  <c r="A892" i="6"/>
  <c r="J891" i="6" a="1"/>
  <c r="J891" i="6" s="1"/>
  <c r="I862" i="9"/>
  <c r="J862" i="9" a="1"/>
  <c r="J862" i="9" s="1"/>
  <c r="A863" i="9"/>
  <c r="A868" i="3"/>
  <c r="J867" i="3" a="1"/>
  <c r="J867" i="3" s="1"/>
  <c r="I867" i="3"/>
  <c r="J868" i="3" l="1" a="1"/>
  <c r="J868" i="3" s="1"/>
  <c r="A869" i="3"/>
  <c r="I868" i="3"/>
  <c r="I863" i="9"/>
  <c r="J863" i="9" a="1"/>
  <c r="J863" i="9" s="1"/>
  <c r="A864" i="9"/>
  <c r="I892" i="6"/>
  <c r="A893" i="6"/>
  <c r="J892" i="6" a="1"/>
  <c r="J892" i="6" s="1"/>
  <c r="A853" i="5"/>
  <c r="I852" i="5"/>
  <c r="J852" i="5" a="1"/>
  <c r="J852" i="5" s="1"/>
  <c r="I855" i="7"/>
  <c r="A856" i="7"/>
  <c r="J855" i="7" a="1"/>
  <c r="J855" i="7" s="1"/>
  <c r="I861" i="8"/>
  <c r="A862" i="8"/>
  <c r="J861" i="8" a="1"/>
  <c r="J861" i="8" s="1"/>
  <c r="I862" i="8" l="1"/>
  <c r="A863" i="8"/>
  <c r="J862" i="8" a="1"/>
  <c r="J862" i="8" s="1"/>
  <c r="I856" i="7"/>
  <c r="A857" i="7"/>
  <c r="J856" i="7" a="1"/>
  <c r="J856" i="7" s="1"/>
  <c r="A854" i="5"/>
  <c r="J853" i="5" a="1"/>
  <c r="J853" i="5" s="1"/>
  <c r="I853" i="5"/>
  <c r="A894" i="6"/>
  <c r="J893" i="6" a="1"/>
  <c r="J893" i="6" s="1"/>
  <c r="I893" i="6"/>
  <c r="J864" i="9" a="1"/>
  <c r="J864" i="9" s="1"/>
  <c r="A865" i="9"/>
  <c r="I864" i="9"/>
  <c r="A870" i="3"/>
  <c r="J869" i="3" a="1"/>
  <c r="J869" i="3" s="1"/>
  <c r="I869" i="3"/>
  <c r="A871" i="3" l="1"/>
  <c r="I870" i="3"/>
  <c r="J870" i="3" a="1"/>
  <c r="J870" i="3" s="1"/>
  <c r="J865" i="9" a="1"/>
  <c r="J865" i="9" s="1"/>
  <c r="I865" i="9"/>
  <c r="A866" i="9"/>
  <c r="A895" i="6"/>
  <c r="J894" i="6" a="1"/>
  <c r="J894" i="6" s="1"/>
  <c r="I894" i="6"/>
  <c r="J854" i="5" a="1"/>
  <c r="J854" i="5" s="1"/>
  <c r="I854" i="5"/>
  <c r="A855" i="5"/>
  <c r="A858" i="7"/>
  <c r="J857" i="7" a="1"/>
  <c r="J857" i="7" s="1"/>
  <c r="I857" i="7"/>
  <c r="I863" i="8"/>
  <c r="A864" i="8"/>
  <c r="J863" i="8" a="1"/>
  <c r="J863" i="8" s="1"/>
  <c r="I864" i="8" l="1"/>
  <c r="A865" i="8"/>
  <c r="J864" i="8" a="1"/>
  <c r="J864" i="8" s="1"/>
  <c r="J858" i="7" a="1"/>
  <c r="J858" i="7" s="1"/>
  <c r="I858" i="7"/>
  <c r="A859" i="7"/>
  <c r="A856" i="5"/>
  <c r="I855" i="5"/>
  <c r="J855" i="5" a="1"/>
  <c r="J855" i="5" s="1"/>
  <c r="I895" i="6"/>
  <c r="A896" i="6"/>
  <c r="J895" i="6" a="1"/>
  <c r="J895" i="6" s="1"/>
  <c r="I866" i="9"/>
  <c r="J866" i="9" a="1"/>
  <c r="J866" i="9" s="1"/>
  <c r="A867" i="9"/>
  <c r="J871" i="3" a="1"/>
  <c r="J871" i="3" s="1"/>
  <c r="I871" i="3"/>
  <c r="A872" i="3"/>
  <c r="J872" i="3" l="1" a="1"/>
  <c r="J872" i="3" s="1"/>
  <c r="A873" i="3"/>
  <c r="I872" i="3"/>
  <c r="J867" i="9" a="1"/>
  <c r="J867" i="9" s="1"/>
  <c r="A868" i="9"/>
  <c r="I867" i="9"/>
  <c r="J896" i="6" a="1"/>
  <c r="J896" i="6" s="1"/>
  <c r="I896" i="6"/>
  <c r="A897" i="6"/>
  <c r="A857" i="5"/>
  <c r="J856" i="5" a="1"/>
  <c r="J856" i="5" s="1"/>
  <c r="I856" i="5"/>
  <c r="A860" i="7"/>
  <c r="I859" i="7"/>
  <c r="J859" i="7" a="1"/>
  <c r="J859" i="7" s="1"/>
  <c r="J865" i="8" a="1"/>
  <c r="J865" i="8" s="1"/>
  <c r="A866" i="8"/>
  <c r="I865" i="8"/>
  <c r="J866" i="8" l="1" a="1"/>
  <c r="J866" i="8" s="1"/>
  <c r="A867" i="8"/>
  <c r="I866" i="8"/>
  <c r="J860" i="7" a="1"/>
  <c r="J860" i="7" s="1"/>
  <c r="A861" i="7"/>
  <c r="I860" i="7"/>
  <c r="J857" i="5" a="1"/>
  <c r="J857" i="5" s="1"/>
  <c r="A858" i="5"/>
  <c r="I857" i="5"/>
  <c r="I897" i="6"/>
  <c r="J897" i="6" a="1"/>
  <c r="J897" i="6" s="1"/>
  <c r="A898" i="6"/>
  <c r="I868" i="9"/>
  <c r="A869" i="9"/>
  <c r="J868" i="9" a="1"/>
  <c r="J868" i="9" s="1"/>
  <c r="A874" i="3"/>
  <c r="J873" i="3" a="1"/>
  <c r="J873" i="3" s="1"/>
  <c r="I873" i="3"/>
  <c r="A875" i="3" l="1"/>
  <c r="J874" i="3" a="1"/>
  <c r="J874" i="3" s="1"/>
  <c r="I874" i="3"/>
  <c r="A870" i="9"/>
  <c r="J869" i="9" a="1"/>
  <c r="J869" i="9" s="1"/>
  <c r="I869" i="9"/>
  <c r="J898" i="6" a="1"/>
  <c r="J898" i="6" s="1"/>
  <c r="A899" i="6"/>
  <c r="I898" i="6"/>
  <c r="A859" i="5"/>
  <c r="J858" i="5" a="1"/>
  <c r="J858" i="5" s="1"/>
  <c r="I858" i="5"/>
  <c r="J861" i="7" a="1"/>
  <c r="J861" i="7" s="1"/>
  <c r="A862" i="7"/>
  <c r="I861" i="7"/>
  <c r="I867" i="8"/>
  <c r="A868" i="8"/>
  <c r="J867" i="8" a="1"/>
  <c r="J867" i="8" s="1"/>
  <c r="A869" i="8" l="1"/>
  <c r="J868" i="8" a="1"/>
  <c r="J868" i="8" s="1"/>
  <c r="I868" i="8"/>
  <c r="A863" i="7"/>
  <c r="I862" i="7"/>
  <c r="J862" i="7" a="1"/>
  <c r="J862" i="7" s="1"/>
  <c r="J859" i="5" a="1"/>
  <c r="J859" i="5" s="1"/>
  <c r="I859" i="5"/>
  <c r="A860" i="5"/>
  <c r="A900" i="6"/>
  <c r="J899" i="6" a="1"/>
  <c r="J899" i="6" s="1"/>
  <c r="I899" i="6"/>
  <c r="J870" i="9" a="1"/>
  <c r="J870" i="9" s="1"/>
  <c r="I870" i="9"/>
  <c r="A871" i="9"/>
  <c r="A876" i="3"/>
  <c r="J875" i="3" a="1"/>
  <c r="J875" i="3" s="1"/>
  <c r="I875" i="3"/>
  <c r="A877" i="3" l="1"/>
  <c r="J876" i="3" a="1"/>
  <c r="J876" i="3" s="1"/>
  <c r="I876" i="3"/>
  <c r="J871" i="9" a="1"/>
  <c r="J871" i="9" s="1"/>
  <c r="A872" i="9"/>
  <c r="I871" i="9"/>
  <c r="A901" i="6"/>
  <c r="J900" i="6" a="1"/>
  <c r="J900" i="6" s="1"/>
  <c r="I900" i="6"/>
  <c r="J860" i="5" a="1"/>
  <c r="J860" i="5" s="1"/>
  <c r="I860" i="5"/>
  <c r="A861" i="5"/>
  <c r="A864" i="7"/>
  <c r="I863" i="7"/>
  <c r="J863" i="7" a="1"/>
  <c r="J863" i="7" s="1"/>
  <c r="I869" i="8"/>
  <c r="A870" i="8"/>
  <c r="J869" i="8" a="1"/>
  <c r="J869" i="8" s="1"/>
  <c r="A871" i="8" l="1"/>
  <c r="J870" i="8" a="1"/>
  <c r="J870" i="8" s="1"/>
  <c r="I870" i="8"/>
  <c r="A865" i="7"/>
  <c r="J864" i="7" a="1"/>
  <c r="J864" i="7" s="1"/>
  <c r="I864" i="7"/>
  <c r="A862" i="5"/>
  <c r="J861" i="5" a="1"/>
  <c r="J861" i="5" s="1"/>
  <c r="I861" i="5"/>
  <c r="J901" i="6" a="1"/>
  <c r="J901" i="6" s="1"/>
  <c r="I901" i="6"/>
  <c r="A902" i="6"/>
  <c r="A873" i="9"/>
  <c r="J872" i="9" a="1"/>
  <c r="J872" i="9" s="1"/>
  <c r="I872" i="9"/>
  <c r="A878" i="3"/>
  <c r="J877" i="3" a="1"/>
  <c r="J877" i="3" s="1"/>
  <c r="I877" i="3"/>
  <c r="J878" i="3" l="1" a="1"/>
  <c r="J878" i="3" s="1"/>
  <c r="I878" i="3"/>
  <c r="A879" i="3"/>
  <c r="A874" i="9"/>
  <c r="I873" i="9"/>
  <c r="J873" i="9" a="1"/>
  <c r="J873" i="9" s="1"/>
  <c r="A903" i="6"/>
  <c r="I902" i="6"/>
  <c r="J902" i="6" a="1"/>
  <c r="J902" i="6" s="1"/>
  <c r="A863" i="5"/>
  <c r="I862" i="5"/>
  <c r="J862" i="5" a="1"/>
  <c r="J862" i="5" s="1"/>
  <c r="A866" i="7"/>
  <c r="J865" i="7" a="1"/>
  <c r="J865" i="7" s="1"/>
  <c r="I865" i="7"/>
  <c r="J871" i="8" a="1"/>
  <c r="J871" i="8" s="1"/>
  <c r="I871" i="8"/>
  <c r="A872" i="8"/>
  <c r="J872" i="8" l="1" a="1"/>
  <c r="J872" i="8" s="1"/>
  <c r="A873" i="8"/>
  <c r="I872" i="8"/>
  <c r="A867" i="7"/>
  <c r="J866" i="7" a="1"/>
  <c r="J866" i="7" s="1"/>
  <c r="I866" i="7"/>
  <c r="I863" i="5"/>
  <c r="A864" i="5"/>
  <c r="J863" i="5" a="1"/>
  <c r="J863" i="5" s="1"/>
  <c r="I903" i="6"/>
  <c r="J903" i="6" a="1"/>
  <c r="J903" i="6" s="1"/>
  <c r="A904" i="6"/>
  <c r="I874" i="9"/>
  <c r="A875" i="9"/>
  <c r="J874" i="9" a="1"/>
  <c r="J874" i="9" s="1"/>
  <c r="A880" i="3"/>
  <c r="J879" i="3" a="1"/>
  <c r="J879" i="3" s="1"/>
  <c r="I879" i="3"/>
  <c r="A881" i="3" l="1"/>
  <c r="I880" i="3"/>
  <c r="J880" i="3" a="1"/>
  <c r="J880" i="3" s="1"/>
  <c r="A876" i="9"/>
  <c r="J875" i="9" a="1"/>
  <c r="J875" i="9" s="1"/>
  <c r="I875" i="9"/>
  <c r="A905" i="6"/>
  <c r="J904" i="6" a="1"/>
  <c r="J904" i="6" s="1"/>
  <c r="I904" i="6"/>
  <c r="J864" i="5" a="1"/>
  <c r="J864" i="5" s="1"/>
  <c r="A865" i="5"/>
  <c r="I864" i="5"/>
  <c r="J867" i="7" a="1"/>
  <c r="J867" i="7" s="1"/>
  <c r="A868" i="7"/>
  <c r="I867" i="7"/>
  <c r="I873" i="8"/>
  <c r="A874" i="8"/>
  <c r="J873" i="8" a="1"/>
  <c r="J873" i="8" s="1"/>
  <c r="A875" i="8" l="1"/>
  <c r="J874" i="8" a="1"/>
  <c r="J874" i="8" s="1"/>
  <c r="I874" i="8"/>
  <c r="A869" i="7"/>
  <c r="J868" i="7" a="1"/>
  <c r="J868" i="7" s="1"/>
  <c r="I868" i="7"/>
  <c r="A866" i="5"/>
  <c r="J865" i="5" a="1"/>
  <c r="J865" i="5" s="1"/>
  <c r="I865" i="5"/>
  <c r="I905" i="6"/>
  <c r="A906" i="6"/>
  <c r="J905" i="6" a="1"/>
  <c r="J905" i="6" s="1"/>
  <c r="I876" i="9"/>
  <c r="A877" i="9"/>
  <c r="J876" i="9" a="1"/>
  <c r="J876" i="9" s="1"/>
  <c r="J881" i="3" a="1"/>
  <c r="J881" i="3" s="1"/>
  <c r="I881" i="3"/>
  <c r="A882" i="3"/>
  <c r="A883" i="3" l="1"/>
  <c r="J882" i="3" a="1"/>
  <c r="J882" i="3" s="1"/>
  <c r="I882" i="3"/>
  <c r="J877" i="9" a="1"/>
  <c r="J877" i="9" s="1"/>
  <c r="A878" i="9"/>
  <c r="I877" i="9"/>
  <c r="J906" i="6" a="1"/>
  <c r="J906" i="6" s="1"/>
  <c r="A907" i="6"/>
  <c r="I906" i="6"/>
  <c r="A867" i="5"/>
  <c r="J866" i="5" a="1"/>
  <c r="J866" i="5" s="1"/>
  <c r="I866" i="5"/>
  <c r="A870" i="7"/>
  <c r="J869" i="7" a="1"/>
  <c r="J869" i="7" s="1"/>
  <c r="I869" i="7"/>
  <c r="A876" i="8"/>
  <c r="J875" i="8" a="1"/>
  <c r="J875" i="8" s="1"/>
  <c r="I875" i="8"/>
  <c r="I876" i="8" l="1"/>
  <c r="A877" i="8"/>
  <c r="J876" i="8" a="1"/>
  <c r="J876" i="8" s="1"/>
  <c r="I870" i="7"/>
  <c r="A871" i="7"/>
  <c r="J870" i="7" a="1"/>
  <c r="J870" i="7" s="1"/>
  <c r="A868" i="5"/>
  <c r="J867" i="5" a="1"/>
  <c r="J867" i="5" s="1"/>
  <c r="I867" i="5"/>
  <c r="A908" i="6"/>
  <c r="J907" i="6" a="1"/>
  <c r="J907" i="6" s="1"/>
  <c r="I907" i="6"/>
  <c r="A879" i="9"/>
  <c r="I878" i="9"/>
  <c r="J878" i="9" a="1"/>
  <c r="J878" i="9" s="1"/>
  <c r="A884" i="3"/>
  <c r="J883" i="3" a="1"/>
  <c r="J883" i="3" s="1"/>
  <c r="I883" i="3"/>
  <c r="J884" i="3" l="1" a="1"/>
  <c r="J884" i="3" s="1"/>
  <c r="A885" i="3"/>
  <c r="I884" i="3"/>
  <c r="A880" i="9"/>
  <c r="I879" i="9"/>
  <c r="J879" i="9" a="1"/>
  <c r="J879" i="9" s="1"/>
  <c r="A909" i="6"/>
  <c r="I908" i="6"/>
  <c r="J908" i="6" a="1"/>
  <c r="J908" i="6" s="1"/>
  <c r="J868" i="5" a="1"/>
  <c r="J868" i="5" s="1"/>
  <c r="A869" i="5"/>
  <c r="I868" i="5"/>
  <c r="A872" i="7"/>
  <c r="I871" i="7"/>
  <c r="J871" i="7" a="1"/>
  <c r="J871" i="7" s="1"/>
  <c r="A878" i="8"/>
  <c r="J877" i="8" a="1"/>
  <c r="J877" i="8" s="1"/>
  <c r="I877" i="8"/>
  <c r="J878" i="8" l="1" a="1"/>
  <c r="J878" i="8" s="1"/>
  <c r="I878" i="8"/>
  <c r="A879" i="8"/>
  <c r="I872" i="7"/>
  <c r="A873" i="7"/>
  <c r="J872" i="7" a="1"/>
  <c r="J872" i="7" s="1"/>
  <c r="J869" i="5" a="1"/>
  <c r="J869" i="5" s="1"/>
  <c r="I869" i="5"/>
  <c r="A870" i="5"/>
  <c r="I909" i="6"/>
  <c r="A910" i="6"/>
  <c r="J909" i="6" a="1"/>
  <c r="J909" i="6" s="1"/>
  <c r="A881" i="9"/>
  <c r="J880" i="9" a="1"/>
  <c r="J880" i="9" s="1"/>
  <c r="I880" i="9"/>
  <c r="I885" i="3"/>
  <c r="A886" i="3"/>
  <c r="J885" i="3" a="1"/>
  <c r="J885" i="3" s="1"/>
  <c r="A887" i="3" l="1"/>
  <c r="J886" i="3" a="1"/>
  <c r="J886" i="3" s="1"/>
  <c r="I886" i="3"/>
  <c r="I881" i="9"/>
  <c r="A882" i="9"/>
  <c r="J881" i="9" a="1"/>
  <c r="J881" i="9" s="1"/>
  <c r="J910" i="6" a="1"/>
  <c r="J910" i="6" s="1"/>
  <c r="I910" i="6"/>
  <c r="A911" i="6"/>
  <c r="A871" i="5"/>
  <c r="I870" i="5"/>
  <c r="J870" i="5" a="1"/>
  <c r="J870" i="5" s="1"/>
  <c r="A874" i="7"/>
  <c r="J873" i="7" a="1"/>
  <c r="J873" i="7" s="1"/>
  <c r="I873" i="7"/>
  <c r="A880" i="8"/>
  <c r="I879" i="8"/>
  <c r="J879" i="8" a="1"/>
  <c r="J879" i="8" s="1"/>
  <c r="I880" i="8" l="1"/>
  <c r="J880" i="8" a="1"/>
  <c r="J880" i="8" s="1"/>
  <c r="A881" i="8"/>
  <c r="A875" i="7"/>
  <c r="I874" i="7"/>
  <c r="J874" i="7" a="1"/>
  <c r="J874" i="7" s="1"/>
  <c r="A872" i="5"/>
  <c r="J871" i="5" a="1"/>
  <c r="J871" i="5" s="1"/>
  <c r="I871" i="5"/>
  <c r="J911" i="6" a="1"/>
  <c r="J911" i="6" s="1"/>
  <c r="A912" i="6"/>
  <c r="I911" i="6"/>
  <c r="J882" i="9" a="1"/>
  <c r="J882" i="9" s="1"/>
  <c r="A883" i="9"/>
  <c r="I882" i="9"/>
  <c r="I887" i="3"/>
  <c r="A888" i="3"/>
  <c r="J887" i="3" a="1"/>
  <c r="J887" i="3" s="1"/>
  <c r="A889" i="3" l="1"/>
  <c r="J888" i="3" a="1"/>
  <c r="J888" i="3" s="1"/>
  <c r="I888" i="3"/>
  <c r="J883" i="9" a="1"/>
  <c r="J883" i="9" s="1"/>
  <c r="A884" i="9"/>
  <c r="I883" i="9"/>
  <c r="A913" i="6"/>
  <c r="J912" i="6" a="1"/>
  <c r="J912" i="6" s="1"/>
  <c r="I912" i="6"/>
  <c r="A873" i="5"/>
  <c r="I872" i="5"/>
  <c r="J872" i="5" a="1"/>
  <c r="J872" i="5" s="1"/>
  <c r="A876" i="7"/>
  <c r="J875" i="7" a="1"/>
  <c r="J875" i="7" s="1"/>
  <c r="I875" i="7"/>
  <c r="J881" i="8" a="1"/>
  <c r="J881" i="8" s="1"/>
  <c r="I881" i="8"/>
  <c r="A882" i="8"/>
  <c r="A883" i="8" l="1"/>
  <c r="J882" i="8" a="1"/>
  <c r="J882" i="8" s="1"/>
  <c r="I882" i="8"/>
  <c r="J876" i="7" a="1"/>
  <c r="J876" i="7" s="1"/>
  <c r="I876" i="7"/>
  <c r="A877" i="7"/>
  <c r="A874" i="5"/>
  <c r="I873" i="5"/>
  <c r="J873" i="5" a="1"/>
  <c r="J873" i="5" s="1"/>
  <c r="A914" i="6"/>
  <c r="J913" i="6" a="1"/>
  <c r="J913" i="6" s="1"/>
  <c r="I913" i="6"/>
  <c r="I884" i="9"/>
  <c r="A885" i="9"/>
  <c r="J884" i="9" a="1"/>
  <c r="J884" i="9" s="1"/>
  <c r="A890" i="3"/>
  <c r="J889" i="3" a="1"/>
  <c r="J889" i="3" s="1"/>
  <c r="I889" i="3"/>
  <c r="J890" i="3" l="1" a="1"/>
  <c r="J890" i="3" s="1"/>
  <c r="A891" i="3"/>
  <c r="I890" i="3"/>
  <c r="J885" i="9" a="1"/>
  <c r="J885" i="9" s="1"/>
  <c r="A886" i="9"/>
  <c r="I885" i="9"/>
  <c r="J914" i="6" a="1"/>
  <c r="J914" i="6" s="1"/>
  <c r="A915" i="6"/>
  <c r="I914" i="6"/>
  <c r="I874" i="5"/>
  <c r="A875" i="5"/>
  <c r="J874" i="5" a="1"/>
  <c r="J874" i="5" s="1"/>
  <c r="A878" i="7"/>
  <c r="J877" i="7" a="1"/>
  <c r="J877" i="7" s="1"/>
  <c r="I877" i="7"/>
  <c r="J883" i="8" a="1"/>
  <c r="J883" i="8" s="1"/>
  <c r="I883" i="8"/>
  <c r="A884" i="8"/>
  <c r="I884" i="8" l="1"/>
  <c r="A885" i="8"/>
  <c r="J884" i="8" a="1"/>
  <c r="J884" i="8" s="1"/>
  <c r="I878" i="7"/>
  <c r="A879" i="7"/>
  <c r="J878" i="7" a="1"/>
  <c r="J878" i="7" s="1"/>
  <c r="J875" i="5" a="1"/>
  <c r="J875" i="5" s="1"/>
  <c r="A876" i="5"/>
  <c r="I875" i="5"/>
  <c r="I915" i="6"/>
  <c r="J915" i="6" a="1"/>
  <c r="J915" i="6" s="1"/>
  <c r="A916" i="6"/>
  <c r="I886" i="9"/>
  <c r="A887" i="9"/>
  <c r="J886" i="9" a="1"/>
  <c r="J886" i="9" s="1"/>
  <c r="A892" i="3"/>
  <c r="I891" i="3"/>
  <c r="J891" i="3" a="1"/>
  <c r="J891" i="3" s="1"/>
  <c r="I892" i="3" l="1"/>
  <c r="A893" i="3"/>
  <c r="J892" i="3" a="1"/>
  <c r="J892" i="3" s="1"/>
  <c r="A888" i="9"/>
  <c r="I887" i="9"/>
  <c r="J887" i="9" a="1"/>
  <c r="J887" i="9" s="1"/>
  <c r="I916" i="6"/>
  <c r="J916" i="6" a="1"/>
  <c r="J916" i="6" s="1"/>
  <c r="A917" i="6"/>
  <c r="A877" i="5"/>
  <c r="J876" i="5" a="1"/>
  <c r="J876" i="5" s="1"/>
  <c r="I876" i="5"/>
  <c r="J879" i="7" a="1"/>
  <c r="J879" i="7" s="1"/>
  <c r="A880" i="7"/>
  <c r="I879" i="7"/>
  <c r="I885" i="8"/>
  <c r="A886" i="8"/>
  <c r="J885" i="8" a="1"/>
  <c r="J885" i="8" s="1"/>
  <c r="A887" i="8" l="1"/>
  <c r="J886" i="8" a="1"/>
  <c r="J886" i="8" s="1"/>
  <c r="I886" i="8"/>
  <c r="I880" i="7"/>
  <c r="A881" i="7"/>
  <c r="J880" i="7" a="1"/>
  <c r="J880" i="7" s="1"/>
  <c r="A878" i="5"/>
  <c r="I877" i="5"/>
  <c r="J877" i="5" a="1"/>
  <c r="J877" i="5" s="1"/>
  <c r="A918" i="6"/>
  <c r="J917" i="6" a="1"/>
  <c r="J917" i="6" s="1"/>
  <c r="I917" i="6"/>
  <c r="J888" i="9" a="1"/>
  <c r="J888" i="9" s="1"/>
  <c r="A889" i="9"/>
  <c r="I888" i="9"/>
  <c r="A894" i="3"/>
  <c r="J893" i="3" a="1"/>
  <c r="J893" i="3" s="1"/>
  <c r="I893" i="3"/>
  <c r="A895" i="3" l="1"/>
  <c r="I894" i="3"/>
  <c r="J894" i="3" a="1"/>
  <c r="J894" i="3" s="1"/>
  <c r="J889" i="9" a="1"/>
  <c r="J889" i="9" s="1"/>
  <c r="I889" i="9"/>
  <c r="A890" i="9"/>
  <c r="I918" i="6"/>
  <c r="A919" i="6"/>
  <c r="J918" i="6" a="1"/>
  <c r="J918" i="6" s="1"/>
  <c r="A879" i="5"/>
  <c r="J878" i="5" a="1"/>
  <c r="J878" i="5" s="1"/>
  <c r="I878" i="5"/>
  <c r="A882" i="7"/>
  <c r="I881" i="7"/>
  <c r="J881" i="7" a="1"/>
  <c r="J881" i="7" s="1"/>
  <c r="A888" i="8"/>
  <c r="I887" i="8"/>
  <c r="J887" i="8" a="1"/>
  <c r="J887" i="8" s="1"/>
  <c r="J888" i="8" l="1" a="1"/>
  <c r="J888" i="8" s="1"/>
  <c r="I888" i="8"/>
  <c r="A889" i="8"/>
  <c r="J882" i="7" a="1"/>
  <c r="J882" i="7" s="1"/>
  <c r="A883" i="7"/>
  <c r="I882" i="7"/>
  <c r="A880" i="5"/>
  <c r="J879" i="5" a="1"/>
  <c r="J879" i="5" s="1"/>
  <c r="I879" i="5"/>
  <c r="J919" i="6" a="1"/>
  <c r="J919" i="6" s="1"/>
  <c r="A920" i="6"/>
  <c r="I919" i="6"/>
  <c r="J890" i="9" a="1"/>
  <c r="J890" i="9" s="1"/>
  <c r="A891" i="9"/>
  <c r="I890" i="9"/>
  <c r="J895" i="3" a="1"/>
  <c r="J895" i="3" s="1"/>
  <c r="I895" i="3"/>
  <c r="A896" i="3"/>
  <c r="J896" i="3" l="1" a="1"/>
  <c r="J896" i="3" s="1"/>
  <c r="A897" i="3"/>
  <c r="I896" i="3"/>
  <c r="A892" i="9"/>
  <c r="J891" i="9" a="1"/>
  <c r="J891" i="9" s="1"/>
  <c r="I891" i="9"/>
  <c r="I920" i="6"/>
  <c r="A921" i="6"/>
  <c r="J920" i="6" a="1"/>
  <c r="J920" i="6" s="1"/>
  <c r="A881" i="5"/>
  <c r="J880" i="5" a="1"/>
  <c r="J880" i="5" s="1"/>
  <c r="I880" i="5"/>
  <c r="A884" i="7"/>
  <c r="J883" i="7" a="1"/>
  <c r="J883" i="7" s="1"/>
  <c r="I883" i="7"/>
  <c r="J889" i="8" a="1"/>
  <c r="J889" i="8" s="1"/>
  <c r="A890" i="8"/>
  <c r="I889" i="8"/>
  <c r="J890" i="8" l="1" a="1"/>
  <c r="J890" i="8" s="1"/>
  <c r="A891" i="8"/>
  <c r="I890" i="8"/>
  <c r="A885" i="7"/>
  <c r="J884" i="7" a="1"/>
  <c r="J884" i="7" s="1"/>
  <c r="I884" i="7"/>
  <c r="A882" i="5"/>
  <c r="J881" i="5" a="1"/>
  <c r="J881" i="5" s="1"/>
  <c r="I881" i="5"/>
  <c r="I921" i="6"/>
  <c r="A922" i="6"/>
  <c r="J921" i="6" a="1"/>
  <c r="J921" i="6" s="1"/>
  <c r="J892" i="9" a="1"/>
  <c r="J892" i="9" s="1"/>
  <c r="A893" i="9"/>
  <c r="I892" i="9"/>
  <c r="I897" i="3"/>
  <c r="A898" i="3"/>
  <c r="J897" i="3" a="1"/>
  <c r="J897" i="3" s="1"/>
  <c r="A899" i="3" l="1"/>
  <c r="I898" i="3"/>
  <c r="J898" i="3" a="1"/>
  <c r="J898" i="3" s="1"/>
  <c r="A894" i="9"/>
  <c r="J893" i="9" a="1"/>
  <c r="J893" i="9" s="1"/>
  <c r="I893" i="9"/>
  <c r="J922" i="6" a="1"/>
  <c r="J922" i="6" s="1"/>
  <c r="I922" i="6"/>
  <c r="A923" i="6"/>
  <c r="J882" i="5" a="1"/>
  <c r="J882" i="5" s="1"/>
  <c r="A883" i="5"/>
  <c r="I882" i="5"/>
  <c r="J885" i="7" a="1"/>
  <c r="J885" i="7" s="1"/>
  <c r="I885" i="7"/>
  <c r="A886" i="7"/>
  <c r="A892" i="8"/>
  <c r="J891" i="8" a="1"/>
  <c r="J891" i="8" s="1"/>
  <c r="I891" i="8"/>
  <c r="A893" i="8" l="1"/>
  <c r="J892" i="8" a="1"/>
  <c r="J892" i="8" s="1"/>
  <c r="I892" i="8"/>
  <c r="J886" i="7" a="1"/>
  <c r="J886" i="7" s="1"/>
  <c r="A887" i="7"/>
  <c r="I886" i="7"/>
  <c r="A884" i="5"/>
  <c r="J883" i="5" a="1"/>
  <c r="J883" i="5" s="1"/>
  <c r="I883" i="5"/>
  <c r="A924" i="6"/>
  <c r="J923" i="6" a="1"/>
  <c r="J923" i="6" s="1"/>
  <c r="I923" i="6"/>
  <c r="I894" i="9"/>
  <c r="J894" i="9" a="1"/>
  <c r="J894" i="9" s="1"/>
  <c r="A895" i="9"/>
  <c r="I899" i="3"/>
  <c r="A900" i="3"/>
  <c r="J899" i="3" a="1"/>
  <c r="J899" i="3" s="1"/>
  <c r="I900" i="3" l="1"/>
  <c r="A901" i="3"/>
  <c r="J900" i="3" a="1"/>
  <c r="J900" i="3" s="1"/>
  <c r="J895" i="9" a="1"/>
  <c r="J895" i="9" s="1"/>
  <c r="A896" i="9"/>
  <c r="I895" i="9"/>
  <c r="J924" i="6" a="1"/>
  <c r="J924" i="6" s="1"/>
  <c r="A925" i="6"/>
  <c r="I924" i="6"/>
  <c r="J884" i="5" a="1"/>
  <c r="J884" i="5" s="1"/>
  <c r="I884" i="5"/>
  <c r="A885" i="5"/>
  <c r="A888" i="7"/>
  <c r="J887" i="7" a="1"/>
  <c r="J887" i="7" s="1"/>
  <c r="I887" i="7"/>
  <c r="J893" i="8" a="1"/>
  <c r="J893" i="8" s="1"/>
  <c r="A894" i="8"/>
  <c r="I893" i="8"/>
  <c r="A895" i="8" l="1"/>
  <c r="J894" i="8" a="1"/>
  <c r="J894" i="8" s="1"/>
  <c r="I894" i="8"/>
  <c r="A889" i="7"/>
  <c r="I888" i="7"/>
  <c r="J888" i="7" a="1"/>
  <c r="J888" i="7" s="1"/>
  <c r="A886" i="5"/>
  <c r="J885" i="5" a="1"/>
  <c r="J885" i="5" s="1"/>
  <c r="I885" i="5"/>
  <c r="A926" i="6"/>
  <c r="J925" i="6" a="1"/>
  <c r="J925" i="6" s="1"/>
  <c r="I925" i="6"/>
  <c r="I896" i="9"/>
  <c r="J896" i="9" a="1"/>
  <c r="J896" i="9" s="1"/>
  <c r="A897" i="9"/>
  <c r="A902" i="3"/>
  <c r="I901" i="3"/>
  <c r="J901" i="3" a="1"/>
  <c r="J901" i="3" s="1"/>
  <c r="J902" i="3" l="1" a="1"/>
  <c r="J902" i="3" s="1"/>
  <c r="A903" i="3"/>
  <c r="I902" i="3"/>
  <c r="I897" i="9"/>
  <c r="J897" i="9" a="1"/>
  <c r="J897" i="9" s="1"/>
  <c r="A898" i="9"/>
  <c r="J926" i="6" a="1"/>
  <c r="J926" i="6" s="1"/>
  <c r="A927" i="6"/>
  <c r="I926" i="6"/>
  <c r="A887" i="5"/>
  <c r="J886" i="5" a="1"/>
  <c r="J886" i="5" s="1"/>
  <c r="I886" i="5"/>
  <c r="A890" i="7"/>
  <c r="J889" i="7" a="1"/>
  <c r="J889" i="7" s="1"/>
  <c r="I889" i="7"/>
  <c r="I895" i="8"/>
  <c r="J895" i="8" a="1"/>
  <c r="J895" i="8" s="1"/>
  <c r="A896" i="8"/>
  <c r="I896" i="8" l="1"/>
  <c r="A897" i="8"/>
  <c r="J896" i="8" a="1"/>
  <c r="J896" i="8" s="1"/>
  <c r="I890" i="7"/>
  <c r="A891" i="7"/>
  <c r="J890" i="7" a="1"/>
  <c r="J890" i="7" s="1"/>
  <c r="A888" i="5"/>
  <c r="I887" i="5"/>
  <c r="J887" i="5" a="1"/>
  <c r="J887" i="5" s="1"/>
  <c r="I927" i="6"/>
  <c r="A928" i="6"/>
  <c r="J927" i="6" a="1"/>
  <c r="J927" i="6" s="1"/>
  <c r="A899" i="9"/>
  <c r="J898" i="9" a="1"/>
  <c r="J898" i="9" s="1"/>
  <c r="I898" i="9"/>
  <c r="A904" i="3"/>
  <c r="J903" i="3" a="1"/>
  <c r="J903" i="3" s="1"/>
  <c r="I903" i="3"/>
  <c r="A905" i="3" l="1"/>
  <c r="J904" i="3" a="1"/>
  <c r="J904" i="3" s="1"/>
  <c r="I904" i="3"/>
  <c r="I899" i="9"/>
  <c r="A900" i="9"/>
  <c r="J899" i="9" a="1"/>
  <c r="J899" i="9" s="1"/>
  <c r="J928" i="6" a="1"/>
  <c r="J928" i="6" s="1"/>
  <c r="I928" i="6"/>
  <c r="A929" i="6"/>
  <c r="I888" i="5"/>
  <c r="A889" i="5"/>
  <c r="J888" i="5" a="1"/>
  <c r="J888" i="5" s="1"/>
  <c r="A892" i="7"/>
  <c r="J891" i="7" a="1"/>
  <c r="J891" i="7" s="1"/>
  <c r="I891" i="7"/>
  <c r="J897" i="8" a="1"/>
  <c r="J897" i="8" s="1"/>
  <c r="I897" i="8"/>
  <c r="A898" i="8"/>
  <c r="A899" i="8" l="1"/>
  <c r="I898" i="8"/>
  <c r="J898" i="8" a="1"/>
  <c r="J898" i="8" s="1"/>
  <c r="J892" i="7" a="1"/>
  <c r="J892" i="7" s="1"/>
  <c r="A893" i="7"/>
  <c r="I892" i="7"/>
  <c r="J889" i="5" a="1"/>
  <c r="J889" i="5" s="1"/>
  <c r="A890" i="5"/>
  <c r="I889" i="5"/>
  <c r="I929" i="6"/>
  <c r="J929" i="6" a="1"/>
  <c r="J929" i="6" s="1"/>
  <c r="A930" i="6"/>
  <c r="A901" i="9"/>
  <c r="J900" i="9" a="1"/>
  <c r="J900" i="9" s="1"/>
  <c r="I900" i="9"/>
  <c r="A906" i="3"/>
  <c r="I905" i="3"/>
  <c r="J905" i="3" a="1"/>
  <c r="J905" i="3" s="1"/>
  <c r="I906" i="3" l="1"/>
  <c r="J906" i="3" a="1"/>
  <c r="J906" i="3" s="1"/>
  <c r="A907" i="3"/>
  <c r="J901" i="9" a="1"/>
  <c r="J901" i="9" s="1"/>
  <c r="I901" i="9"/>
  <c r="A902" i="9"/>
  <c r="A931" i="6"/>
  <c r="J930" i="6" a="1"/>
  <c r="J930" i="6" s="1"/>
  <c r="I930" i="6"/>
  <c r="A891" i="5"/>
  <c r="J890" i="5" a="1"/>
  <c r="J890" i="5" s="1"/>
  <c r="I890" i="5"/>
  <c r="J893" i="7" a="1"/>
  <c r="J893" i="7" s="1"/>
  <c r="A894" i="7"/>
  <c r="I893" i="7"/>
  <c r="A900" i="8"/>
  <c r="J899" i="8" a="1"/>
  <c r="J899" i="8" s="1"/>
  <c r="I899" i="8"/>
  <c r="A901" i="8" l="1"/>
  <c r="I900" i="8"/>
  <c r="J900" i="8" a="1"/>
  <c r="J900" i="8" s="1"/>
  <c r="I894" i="7"/>
  <c r="A895" i="7"/>
  <c r="J894" i="7" a="1"/>
  <c r="J894" i="7" s="1"/>
  <c r="A892" i="5"/>
  <c r="J891" i="5" a="1"/>
  <c r="J891" i="5" s="1"/>
  <c r="I891" i="5"/>
  <c r="I931" i="6"/>
  <c r="J931" i="6" a="1"/>
  <c r="J931" i="6" s="1"/>
  <c r="A932" i="6"/>
  <c r="A903" i="9"/>
  <c r="J902" i="9" a="1"/>
  <c r="J902" i="9" s="1"/>
  <c r="I902" i="9"/>
  <c r="A908" i="3"/>
  <c r="J907" i="3" a="1"/>
  <c r="J907" i="3" s="1"/>
  <c r="I907" i="3"/>
  <c r="J908" i="3" l="1" a="1"/>
  <c r="J908" i="3" s="1"/>
  <c r="I908" i="3"/>
  <c r="A909" i="3"/>
  <c r="A904" i="9"/>
  <c r="J903" i="9" a="1"/>
  <c r="J903" i="9" s="1"/>
  <c r="I903" i="9"/>
  <c r="A933" i="6"/>
  <c r="J932" i="6" a="1"/>
  <c r="J932" i="6" s="1"/>
  <c r="I932" i="6"/>
  <c r="A893" i="5"/>
  <c r="I892" i="5"/>
  <c r="J892" i="5" a="1"/>
  <c r="J892" i="5" s="1"/>
  <c r="A896" i="7"/>
  <c r="I895" i="7"/>
  <c r="J895" i="7" a="1"/>
  <c r="J895" i="7" s="1"/>
  <c r="A902" i="8"/>
  <c r="J901" i="8" a="1"/>
  <c r="J901" i="8" s="1"/>
  <c r="I901" i="8"/>
  <c r="A903" i="8" l="1"/>
  <c r="I902" i="8"/>
  <c r="J902" i="8" a="1"/>
  <c r="J902" i="8" s="1"/>
  <c r="J896" i="7" a="1"/>
  <c r="J896" i="7" s="1"/>
  <c r="I896" i="7"/>
  <c r="A897" i="7"/>
  <c r="J893" i="5" a="1"/>
  <c r="J893" i="5" s="1"/>
  <c r="A894" i="5"/>
  <c r="I893" i="5"/>
  <c r="I933" i="6"/>
  <c r="A934" i="6"/>
  <c r="J933" i="6" a="1"/>
  <c r="J933" i="6" s="1"/>
  <c r="A905" i="9"/>
  <c r="J904" i="9" a="1"/>
  <c r="J904" i="9" s="1"/>
  <c r="I904" i="9"/>
  <c r="A910" i="3"/>
  <c r="J909" i="3" a="1"/>
  <c r="J909" i="3" s="1"/>
  <c r="I909" i="3"/>
  <c r="I910" i="3" l="1"/>
  <c r="A911" i="3"/>
  <c r="J910" i="3" a="1"/>
  <c r="J910" i="3" s="1"/>
  <c r="I905" i="9"/>
  <c r="J905" i="9" a="1"/>
  <c r="J905" i="9" s="1"/>
  <c r="A906" i="9"/>
  <c r="A935" i="6"/>
  <c r="I934" i="6"/>
  <c r="J934" i="6" a="1"/>
  <c r="J934" i="6" s="1"/>
  <c r="I894" i="5"/>
  <c r="J894" i="5" a="1"/>
  <c r="J894" i="5" s="1"/>
  <c r="A895" i="5"/>
  <c r="J897" i="7" a="1"/>
  <c r="J897" i="7" s="1"/>
  <c r="I897" i="7"/>
  <c r="A898" i="7"/>
  <c r="I903" i="8"/>
  <c r="A904" i="8"/>
  <c r="J903" i="8" a="1"/>
  <c r="J903" i="8" s="1"/>
  <c r="I904" i="8" l="1"/>
  <c r="J904" i="8" a="1"/>
  <c r="J904" i="8" s="1"/>
  <c r="A905" i="8"/>
  <c r="A899" i="7"/>
  <c r="I898" i="7"/>
  <c r="J898" i="7" a="1"/>
  <c r="J898" i="7" s="1"/>
  <c r="A896" i="5"/>
  <c r="J895" i="5" a="1"/>
  <c r="J895" i="5" s="1"/>
  <c r="I895" i="5"/>
  <c r="J935" i="6" a="1"/>
  <c r="J935" i="6" s="1"/>
  <c r="I935" i="6"/>
  <c r="A936" i="6"/>
  <c r="A907" i="9"/>
  <c r="J906" i="9" a="1"/>
  <c r="J906" i="9" s="1"/>
  <c r="I906" i="9"/>
  <c r="A912" i="3"/>
  <c r="J911" i="3" a="1"/>
  <c r="J911" i="3" s="1"/>
  <c r="I911" i="3"/>
  <c r="A913" i="3" l="1"/>
  <c r="I912" i="3"/>
  <c r="J912" i="3" a="1"/>
  <c r="J912" i="3" s="1"/>
  <c r="J907" i="9" a="1"/>
  <c r="J907" i="9" s="1"/>
  <c r="I907" i="9"/>
  <c r="A908" i="9"/>
  <c r="J936" i="6" a="1"/>
  <c r="J936" i="6" s="1"/>
  <c r="I936" i="6"/>
  <c r="A937" i="6"/>
  <c r="A897" i="5"/>
  <c r="I896" i="5"/>
  <c r="J896" i="5" a="1"/>
  <c r="J896" i="5" s="1"/>
  <c r="I899" i="7"/>
  <c r="A900" i="7"/>
  <c r="J899" i="7" a="1"/>
  <c r="J899" i="7" s="1"/>
  <c r="A906" i="8"/>
  <c r="J905" i="8" a="1"/>
  <c r="J905" i="8" s="1"/>
  <c r="I905" i="8"/>
  <c r="J906" i="8" l="1" a="1"/>
  <c r="J906" i="8" s="1"/>
  <c r="A907" i="8"/>
  <c r="I906" i="8"/>
  <c r="A901" i="7"/>
  <c r="J900" i="7" a="1"/>
  <c r="J900" i="7" s="1"/>
  <c r="I900" i="7"/>
  <c r="A898" i="5"/>
  <c r="J897" i="5" a="1"/>
  <c r="J897" i="5" s="1"/>
  <c r="I897" i="5"/>
  <c r="J937" i="6" a="1"/>
  <c r="J937" i="6" s="1"/>
  <c r="A938" i="6"/>
  <c r="I937" i="6"/>
  <c r="A909" i="9"/>
  <c r="I908" i="9"/>
  <c r="J908" i="9" a="1"/>
  <c r="J908" i="9" s="1"/>
  <c r="I913" i="3"/>
  <c r="J913" i="3" a="1"/>
  <c r="J913" i="3" s="1"/>
  <c r="A914" i="3"/>
  <c r="J914" i="3" l="1" a="1"/>
  <c r="J914" i="3" s="1"/>
  <c r="A915" i="3"/>
  <c r="I914" i="3"/>
  <c r="I909" i="9"/>
  <c r="J909" i="9" a="1"/>
  <c r="J909" i="9" s="1"/>
  <c r="A910" i="9"/>
  <c r="A939" i="6"/>
  <c r="J938" i="6" a="1"/>
  <c r="J938" i="6" s="1"/>
  <c r="I938" i="6"/>
  <c r="I898" i="5"/>
  <c r="J898" i="5" a="1"/>
  <c r="J898" i="5" s="1"/>
  <c r="A899" i="5"/>
  <c r="A902" i="7"/>
  <c r="J901" i="7" a="1"/>
  <c r="J901" i="7" s="1"/>
  <c r="I901" i="7"/>
  <c r="J907" i="8" a="1"/>
  <c r="J907" i="8" s="1"/>
  <c r="A908" i="8"/>
  <c r="I907" i="8"/>
  <c r="J908" i="8" l="1" a="1"/>
  <c r="J908" i="8" s="1"/>
  <c r="I908" i="8"/>
  <c r="A909" i="8"/>
  <c r="A903" i="7"/>
  <c r="J902" i="7" a="1"/>
  <c r="J902" i="7" s="1"/>
  <c r="I902" i="7"/>
  <c r="A900" i="5"/>
  <c r="J899" i="5" a="1"/>
  <c r="J899" i="5" s="1"/>
  <c r="I899" i="5"/>
  <c r="I939" i="6"/>
  <c r="A940" i="6"/>
  <c r="J939" i="6" a="1"/>
  <c r="J939" i="6" s="1"/>
  <c r="I910" i="9"/>
  <c r="A911" i="9"/>
  <c r="J910" i="9" a="1"/>
  <c r="J910" i="9" s="1"/>
  <c r="J915" i="3" a="1"/>
  <c r="J915" i="3" s="1"/>
  <c r="I915" i="3"/>
  <c r="A916" i="3"/>
  <c r="A917" i="3" l="1"/>
  <c r="J916" i="3" a="1"/>
  <c r="J916" i="3" s="1"/>
  <c r="I916" i="3"/>
  <c r="I911" i="9"/>
  <c r="A912" i="9"/>
  <c r="J911" i="9" a="1"/>
  <c r="J911" i="9" s="1"/>
  <c r="A941" i="6"/>
  <c r="J940" i="6" a="1"/>
  <c r="J940" i="6" s="1"/>
  <c r="I940" i="6"/>
  <c r="I900" i="5"/>
  <c r="A901" i="5"/>
  <c r="J900" i="5" a="1"/>
  <c r="J900" i="5" s="1"/>
  <c r="J903" i="7" a="1"/>
  <c r="J903" i="7" s="1"/>
  <c r="I903" i="7"/>
  <c r="A904" i="7"/>
  <c r="I909" i="8"/>
  <c r="A910" i="8"/>
  <c r="J909" i="8" a="1"/>
  <c r="J909" i="8" s="1"/>
  <c r="J910" i="8" l="1" a="1"/>
  <c r="J910" i="8" s="1"/>
  <c r="I910" i="8"/>
  <c r="A911" i="8"/>
  <c r="A905" i="7"/>
  <c r="I904" i="7"/>
  <c r="J904" i="7" a="1"/>
  <c r="J904" i="7" s="1"/>
  <c r="I901" i="5"/>
  <c r="A902" i="5"/>
  <c r="J901" i="5" a="1"/>
  <c r="J901" i="5" s="1"/>
  <c r="J941" i="6" a="1"/>
  <c r="J941" i="6" s="1"/>
  <c r="A942" i="6"/>
  <c r="I941" i="6"/>
  <c r="I912" i="9"/>
  <c r="A913" i="9"/>
  <c r="J912" i="9" a="1"/>
  <c r="J912" i="9" s="1"/>
  <c r="A918" i="3"/>
  <c r="I917" i="3"/>
  <c r="J917" i="3" a="1"/>
  <c r="J917" i="3" s="1"/>
  <c r="A919" i="3" l="1"/>
  <c r="J918" i="3" a="1"/>
  <c r="J918" i="3" s="1"/>
  <c r="I918" i="3"/>
  <c r="J913" i="9" a="1"/>
  <c r="J913" i="9" s="1"/>
  <c r="A914" i="9"/>
  <c r="I913" i="9"/>
  <c r="I942" i="6"/>
  <c r="A943" i="6"/>
  <c r="J942" i="6" a="1"/>
  <c r="J942" i="6" s="1"/>
  <c r="J902" i="5" a="1"/>
  <c r="J902" i="5" s="1"/>
  <c r="A903" i="5"/>
  <c r="I902" i="5"/>
  <c r="I905" i="7"/>
  <c r="A906" i="7"/>
  <c r="J905" i="7" a="1"/>
  <c r="J905" i="7" s="1"/>
  <c r="I911" i="8"/>
  <c r="J911" i="8" a="1"/>
  <c r="J911" i="8" s="1"/>
  <c r="A912" i="8"/>
  <c r="A913" i="8" l="1"/>
  <c r="J912" i="8" a="1"/>
  <c r="J912" i="8" s="1"/>
  <c r="I912" i="8"/>
  <c r="I906" i="7"/>
  <c r="J906" i="7" a="1"/>
  <c r="J906" i="7" s="1"/>
  <c r="A907" i="7"/>
  <c r="A904" i="5"/>
  <c r="J903" i="5" a="1"/>
  <c r="J903" i="5" s="1"/>
  <c r="I903" i="5"/>
  <c r="A944" i="6"/>
  <c r="J943" i="6" a="1"/>
  <c r="J943" i="6" s="1"/>
  <c r="I943" i="6"/>
  <c r="A915" i="9"/>
  <c r="I914" i="9"/>
  <c r="J914" i="9" a="1"/>
  <c r="J914" i="9" s="1"/>
  <c r="A920" i="3"/>
  <c r="J919" i="3" a="1"/>
  <c r="J919" i="3" s="1"/>
  <c r="I919" i="3"/>
  <c r="I920" i="3" l="1"/>
  <c r="A921" i="3"/>
  <c r="J920" i="3" a="1"/>
  <c r="J920" i="3" s="1"/>
  <c r="A916" i="9"/>
  <c r="J915" i="9" a="1"/>
  <c r="J915" i="9" s="1"/>
  <c r="I915" i="9"/>
  <c r="I944" i="6"/>
  <c r="J944" i="6" a="1"/>
  <c r="J944" i="6" s="1"/>
  <c r="A945" i="6"/>
  <c r="J904" i="5" a="1"/>
  <c r="J904" i="5" s="1"/>
  <c r="A905" i="5"/>
  <c r="I904" i="5"/>
  <c r="A908" i="7"/>
  <c r="J907" i="7" a="1"/>
  <c r="J907" i="7" s="1"/>
  <c r="I907" i="7"/>
  <c r="J913" i="8" a="1"/>
  <c r="J913" i="8" s="1"/>
  <c r="A914" i="8"/>
  <c r="I913" i="8"/>
  <c r="A915" i="8" l="1"/>
  <c r="I914" i="8"/>
  <c r="J914" i="8" a="1"/>
  <c r="J914" i="8" s="1"/>
  <c r="A909" i="7"/>
  <c r="J908" i="7" a="1"/>
  <c r="J908" i="7" s="1"/>
  <c r="I908" i="7"/>
  <c r="A906" i="5"/>
  <c r="I905" i="5"/>
  <c r="J905" i="5" a="1"/>
  <c r="J905" i="5" s="1"/>
  <c r="I945" i="6"/>
  <c r="J945" i="6" a="1"/>
  <c r="J945" i="6" s="1"/>
  <c r="A946" i="6"/>
  <c r="J916" i="9" a="1"/>
  <c r="J916" i="9" s="1"/>
  <c r="I916" i="9"/>
  <c r="A917" i="9"/>
  <c r="I921" i="3"/>
  <c r="A922" i="3"/>
  <c r="J921" i="3" a="1"/>
  <c r="J921" i="3" s="1"/>
  <c r="A923" i="3" l="1"/>
  <c r="J922" i="3" a="1"/>
  <c r="J922" i="3" s="1"/>
  <c r="I922" i="3"/>
  <c r="J917" i="9" a="1"/>
  <c r="J917" i="9" s="1"/>
  <c r="A918" i="9"/>
  <c r="I917" i="9"/>
  <c r="I946" i="6"/>
  <c r="A947" i="6"/>
  <c r="J946" i="6" a="1"/>
  <c r="J946" i="6" s="1"/>
  <c r="I906" i="5"/>
  <c r="A907" i="5"/>
  <c r="J906" i="5" a="1"/>
  <c r="J906" i="5" s="1"/>
  <c r="I909" i="7"/>
  <c r="J909" i="7" a="1"/>
  <c r="J909" i="7" s="1"/>
  <c r="A910" i="7"/>
  <c r="J915" i="8" a="1"/>
  <c r="J915" i="8" s="1"/>
  <c r="I915" i="8"/>
  <c r="A916" i="8"/>
  <c r="A917" i="8" l="1"/>
  <c r="I916" i="8"/>
  <c r="J916" i="8" a="1"/>
  <c r="J916" i="8" s="1"/>
  <c r="J910" i="7" a="1"/>
  <c r="J910" i="7" s="1"/>
  <c r="A911" i="7"/>
  <c r="I910" i="7"/>
  <c r="J907" i="5" a="1"/>
  <c r="J907" i="5" s="1"/>
  <c r="A908" i="5"/>
  <c r="I907" i="5"/>
  <c r="A948" i="6"/>
  <c r="I947" i="6"/>
  <c r="J947" i="6" a="1"/>
  <c r="J947" i="6" s="1"/>
  <c r="I918" i="9"/>
  <c r="A919" i="9"/>
  <c r="J918" i="9" a="1"/>
  <c r="J918" i="9" s="1"/>
  <c r="A924" i="3"/>
  <c r="I923" i="3"/>
  <c r="J923" i="3" a="1"/>
  <c r="J923" i="3" s="1"/>
  <c r="J924" i="3" l="1" a="1"/>
  <c r="J924" i="3" s="1"/>
  <c r="I924" i="3"/>
  <c r="A925" i="3"/>
  <c r="J919" i="9" a="1"/>
  <c r="J919" i="9" s="1"/>
  <c r="A920" i="9"/>
  <c r="I919" i="9"/>
  <c r="A949" i="6"/>
  <c r="I948" i="6"/>
  <c r="J948" i="6" a="1"/>
  <c r="J948" i="6" s="1"/>
  <c r="A909" i="5"/>
  <c r="J908" i="5" a="1"/>
  <c r="J908" i="5" s="1"/>
  <c r="I908" i="5"/>
  <c r="J911" i="7" a="1"/>
  <c r="J911" i="7" s="1"/>
  <c r="A912" i="7"/>
  <c r="I911" i="7"/>
  <c r="A918" i="8"/>
  <c r="I917" i="8"/>
  <c r="J917" i="8" a="1"/>
  <c r="J917" i="8" s="1"/>
  <c r="J918" i="8" l="1" a="1"/>
  <c r="J918" i="8" s="1"/>
  <c r="A919" i="8"/>
  <c r="I918" i="8"/>
  <c r="A913" i="7"/>
  <c r="J912" i="7" a="1"/>
  <c r="J912" i="7" s="1"/>
  <c r="I912" i="7"/>
  <c r="A910" i="5"/>
  <c r="I909" i="5"/>
  <c r="J909" i="5" a="1"/>
  <c r="J909" i="5" s="1"/>
  <c r="A950" i="6"/>
  <c r="J949" i="6" a="1"/>
  <c r="J949" i="6" s="1"/>
  <c r="I949" i="6"/>
  <c r="J920" i="9" a="1"/>
  <c r="J920" i="9" s="1"/>
  <c r="I920" i="9"/>
  <c r="A921" i="9"/>
  <c r="A926" i="3"/>
  <c r="J925" i="3" a="1"/>
  <c r="J925" i="3" s="1"/>
  <c r="I925" i="3"/>
  <c r="I926" i="3" l="1"/>
  <c r="A927" i="3"/>
  <c r="J926" i="3" a="1"/>
  <c r="J926" i="3" s="1"/>
  <c r="A922" i="9"/>
  <c r="J921" i="9" a="1"/>
  <c r="J921" i="9" s="1"/>
  <c r="I921" i="9"/>
  <c r="J950" i="6" a="1"/>
  <c r="J950" i="6" s="1"/>
  <c r="A951" i="6"/>
  <c r="I950" i="6"/>
  <c r="J910" i="5" a="1"/>
  <c r="J910" i="5" s="1"/>
  <c r="I910" i="5"/>
  <c r="A911" i="5"/>
  <c r="A914" i="7"/>
  <c r="I913" i="7"/>
  <c r="J913" i="7" a="1"/>
  <c r="J913" i="7" s="1"/>
  <c r="J919" i="8" a="1"/>
  <c r="J919" i="8" s="1"/>
  <c r="I919" i="8"/>
  <c r="A920" i="8"/>
  <c r="A921" i="8" l="1"/>
  <c r="J920" i="8" a="1"/>
  <c r="J920" i="8" s="1"/>
  <c r="I920" i="8"/>
  <c r="I914" i="7"/>
  <c r="A915" i="7"/>
  <c r="J914" i="7" a="1"/>
  <c r="J914" i="7" s="1"/>
  <c r="J911" i="5" a="1"/>
  <c r="J911" i="5" s="1"/>
  <c r="I911" i="5"/>
  <c r="A912" i="5"/>
  <c r="I951" i="6"/>
  <c r="A952" i="6"/>
  <c r="J951" i="6" a="1"/>
  <c r="J951" i="6" s="1"/>
  <c r="J922" i="9" a="1"/>
  <c r="J922" i="9" s="1"/>
  <c r="I922" i="9"/>
  <c r="A923" i="9"/>
  <c r="I927" i="3"/>
  <c r="J927" i="3" a="1"/>
  <c r="J927" i="3" s="1"/>
  <c r="A928" i="3"/>
  <c r="J928" i="3" l="1" a="1"/>
  <c r="J928" i="3" s="1"/>
  <c r="I928" i="3"/>
  <c r="A929" i="3"/>
  <c r="I923" i="9"/>
  <c r="A924" i="9"/>
  <c r="J923" i="9" a="1"/>
  <c r="J923" i="9" s="1"/>
  <c r="A953" i="6"/>
  <c r="I952" i="6"/>
  <c r="J952" i="6" a="1"/>
  <c r="J952" i="6" s="1"/>
  <c r="I912" i="5"/>
  <c r="A913" i="5"/>
  <c r="J912" i="5" a="1"/>
  <c r="J912" i="5" s="1"/>
  <c r="I915" i="7"/>
  <c r="J915" i="7" a="1"/>
  <c r="J915" i="7" s="1"/>
  <c r="A916" i="7"/>
  <c r="A922" i="8"/>
  <c r="J921" i="8" a="1"/>
  <c r="J921" i="8" s="1"/>
  <c r="I921" i="8"/>
  <c r="J922" i="8" l="1" a="1"/>
  <c r="J922" i="8" s="1"/>
  <c r="I922" i="8"/>
  <c r="A923" i="8"/>
  <c r="J916" i="7" a="1"/>
  <c r="J916" i="7" s="1"/>
  <c r="A917" i="7"/>
  <c r="I916" i="7"/>
  <c r="A914" i="5"/>
  <c r="I913" i="5"/>
  <c r="J913" i="5" a="1"/>
  <c r="J913" i="5" s="1"/>
  <c r="A954" i="6"/>
  <c r="J953" i="6" a="1"/>
  <c r="J953" i="6" s="1"/>
  <c r="I953" i="6"/>
  <c r="J924" i="9" a="1"/>
  <c r="J924" i="9" s="1"/>
  <c r="A925" i="9"/>
  <c r="I924" i="9"/>
  <c r="A930" i="3"/>
  <c r="J929" i="3" a="1"/>
  <c r="J929" i="3" s="1"/>
  <c r="I929" i="3"/>
  <c r="J930" i="3" l="1" a="1"/>
  <c r="J930" i="3" s="1"/>
  <c r="A931" i="3"/>
  <c r="I930" i="3"/>
  <c r="J925" i="9" a="1"/>
  <c r="J925" i="9" s="1"/>
  <c r="A926" i="9"/>
  <c r="I925" i="9"/>
  <c r="J954" i="6" a="1"/>
  <c r="J954" i="6" s="1"/>
  <c r="I954" i="6"/>
  <c r="A955" i="6"/>
  <c r="I914" i="5"/>
  <c r="A915" i="5"/>
  <c r="J914" i="5" a="1"/>
  <c r="J914" i="5" s="1"/>
  <c r="J917" i="7" a="1"/>
  <c r="J917" i="7" s="1"/>
  <c r="I917" i="7"/>
  <c r="A918" i="7"/>
  <c r="A924" i="8"/>
  <c r="I923" i="8"/>
  <c r="J923" i="8" a="1"/>
  <c r="J923" i="8" s="1"/>
  <c r="I924" i="8" l="1"/>
  <c r="A925" i="8"/>
  <c r="J924" i="8" a="1"/>
  <c r="J924" i="8" s="1"/>
  <c r="A919" i="7"/>
  <c r="J918" i="7" a="1"/>
  <c r="J918" i="7" s="1"/>
  <c r="I918" i="7"/>
  <c r="J915" i="5" a="1"/>
  <c r="J915" i="5" s="1"/>
  <c r="A916" i="5"/>
  <c r="I915" i="5"/>
  <c r="I955" i="6"/>
  <c r="A956" i="6"/>
  <c r="J955" i="6" a="1"/>
  <c r="J955" i="6" s="1"/>
  <c r="A927" i="9"/>
  <c r="J926" i="9" a="1"/>
  <c r="J926" i="9" s="1"/>
  <c r="I926" i="9"/>
  <c r="A932" i="3"/>
  <c r="J931" i="3" a="1"/>
  <c r="J931" i="3" s="1"/>
  <c r="I931" i="3"/>
  <c r="A933" i="3" l="1"/>
  <c r="I932" i="3"/>
  <c r="J932" i="3" a="1"/>
  <c r="J932" i="3" s="1"/>
  <c r="J927" i="9" a="1"/>
  <c r="J927" i="9" s="1"/>
  <c r="A928" i="9"/>
  <c r="I927" i="9"/>
  <c r="A957" i="6"/>
  <c r="I956" i="6"/>
  <c r="J956" i="6" a="1"/>
  <c r="J956" i="6" s="1"/>
  <c r="A917" i="5"/>
  <c r="J916" i="5" a="1"/>
  <c r="J916" i="5" s="1"/>
  <c r="I916" i="5"/>
  <c r="A920" i="7"/>
  <c r="J919" i="7" a="1"/>
  <c r="J919" i="7" s="1"/>
  <c r="I919" i="7"/>
  <c r="A926" i="8"/>
  <c r="J925" i="8" a="1"/>
  <c r="J925" i="8" s="1"/>
  <c r="I925" i="8"/>
  <c r="I926" i="8" l="1"/>
  <c r="A927" i="8"/>
  <c r="J926" i="8" a="1"/>
  <c r="J926" i="8" s="1"/>
  <c r="J920" i="7" a="1"/>
  <c r="J920" i="7" s="1"/>
  <c r="I920" i="7"/>
  <c r="A921" i="7"/>
  <c r="A918" i="5"/>
  <c r="I917" i="5"/>
  <c r="J917" i="5" a="1"/>
  <c r="J917" i="5" s="1"/>
  <c r="I957" i="6"/>
  <c r="A958" i="6"/>
  <c r="J957" i="6" a="1"/>
  <c r="J957" i="6" s="1"/>
  <c r="I928" i="9"/>
  <c r="J928" i="9" a="1"/>
  <c r="J928" i="9" s="1"/>
  <c r="A929" i="9"/>
  <c r="J933" i="3" a="1"/>
  <c r="J933" i="3" s="1"/>
  <c r="A934" i="3"/>
  <c r="I933" i="3"/>
  <c r="I934" i="3" l="1"/>
  <c r="A935" i="3"/>
  <c r="J934" i="3" a="1"/>
  <c r="J934" i="3" s="1"/>
  <c r="A930" i="9"/>
  <c r="J929" i="9" a="1"/>
  <c r="J929" i="9" s="1"/>
  <c r="I929" i="9"/>
  <c r="A959" i="6"/>
  <c r="I958" i="6"/>
  <c r="J958" i="6" a="1"/>
  <c r="J958" i="6" s="1"/>
  <c r="I918" i="5"/>
  <c r="J918" i="5" a="1"/>
  <c r="J918" i="5" s="1"/>
  <c r="A919" i="5"/>
  <c r="J921" i="7" a="1"/>
  <c r="J921" i="7" s="1"/>
  <c r="A922" i="7"/>
  <c r="I921" i="7"/>
  <c r="A928" i="8"/>
  <c r="J927" i="8" a="1"/>
  <c r="J927" i="8" s="1"/>
  <c r="I927" i="8"/>
  <c r="A929" i="8" l="1"/>
  <c r="I928" i="8"/>
  <c r="J928" i="8" a="1"/>
  <c r="J928" i="8" s="1"/>
  <c r="J922" i="7" a="1"/>
  <c r="J922" i="7" s="1"/>
  <c r="I922" i="7"/>
  <c r="A923" i="7"/>
  <c r="I919" i="5"/>
  <c r="A920" i="5"/>
  <c r="J919" i="5" a="1"/>
  <c r="J919" i="5" s="1"/>
  <c r="A960" i="6"/>
  <c r="J959" i="6" a="1"/>
  <c r="J959" i="6" s="1"/>
  <c r="I959" i="6"/>
  <c r="I930" i="9"/>
  <c r="A931" i="9"/>
  <c r="J930" i="9" a="1"/>
  <c r="J930" i="9" s="1"/>
  <c r="A936" i="3"/>
  <c r="I935" i="3"/>
  <c r="J935" i="3" a="1"/>
  <c r="J935" i="3" s="1"/>
  <c r="I936" i="3" l="1"/>
  <c r="A937" i="3"/>
  <c r="J936" i="3" a="1"/>
  <c r="J936" i="3" s="1"/>
  <c r="J931" i="9" a="1"/>
  <c r="J931" i="9" s="1"/>
  <c r="I931" i="9"/>
  <c r="A932" i="9"/>
  <c r="A961" i="6"/>
  <c r="I960" i="6"/>
  <c r="J960" i="6" a="1"/>
  <c r="J960" i="6" s="1"/>
  <c r="J920" i="5" a="1"/>
  <c r="J920" i="5" s="1"/>
  <c r="A921" i="5"/>
  <c r="I920" i="5"/>
  <c r="A924" i="7"/>
  <c r="I923" i="7"/>
  <c r="J923" i="7" a="1"/>
  <c r="J923" i="7" s="1"/>
  <c r="J929" i="8" a="1"/>
  <c r="J929" i="8" s="1"/>
  <c r="I929" i="8"/>
  <c r="A930" i="8"/>
  <c r="J930" i="8" l="1" a="1"/>
  <c r="J930" i="8" s="1"/>
  <c r="A931" i="8"/>
  <c r="I930" i="8"/>
  <c r="J924" i="7" a="1"/>
  <c r="J924" i="7" s="1"/>
  <c r="I924" i="7"/>
  <c r="A925" i="7"/>
  <c r="A922" i="5"/>
  <c r="J921" i="5" a="1"/>
  <c r="J921" i="5" s="1"/>
  <c r="I921" i="5"/>
  <c r="I961" i="6"/>
  <c r="A962" i="6"/>
  <c r="J961" i="6" a="1"/>
  <c r="J961" i="6" s="1"/>
  <c r="J932" i="9" a="1"/>
  <c r="J932" i="9" s="1"/>
  <c r="A933" i="9"/>
  <c r="I932" i="9"/>
  <c r="J937" i="3" a="1"/>
  <c r="J937" i="3" s="1"/>
  <c r="A938" i="3"/>
  <c r="I937" i="3"/>
  <c r="A939" i="3" l="1"/>
  <c r="I938" i="3"/>
  <c r="J938" i="3" a="1"/>
  <c r="J938" i="3" s="1"/>
  <c r="J933" i="9" a="1"/>
  <c r="J933" i="9" s="1"/>
  <c r="A934" i="9"/>
  <c r="I933" i="9"/>
  <c r="J962" i="6" a="1"/>
  <c r="J962" i="6" s="1"/>
  <c r="I962" i="6"/>
  <c r="A963" i="6"/>
  <c r="A923" i="5"/>
  <c r="I922" i="5"/>
  <c r="J922" i="5" a="1"/>
  <c r="J922" i="5" s="1"/>
  <c r="A926" i="7"/>
  <c r="J925" i="7" a="1"/>
  <c r="J925" i="7" s="1"/>
  <c r="I925" i="7"/>
  <c r="J931" i="8" a="1"/>
  <c r="J931" i="8" s="1"/>
  <c r="I931" i="8"/>
  <c r="A932" i="8"/>
  <c r="J932" i="8" l="1" a="1"/>
  <c r="J932" i="8" s="1"/>
  <c r="A933" i="8"/>
  <c r="I932" i="8"/>
  <c r="A927" i="7"/>
  <c r="I926" i="7"/>
  <c r="J926" i="7" a="1"/>
  <c r="J926" i="7" s="1"/>
  <c r="I923" i="5"/>
  <c r="J923" i="5" a="1"/>
  <c r="J923" i="5" s="1"/>
  <c r="A924" i="5"/>
  <c r="I963" i="6"/>
  <c r="A964" i="6"/>
  <c r="J963" i="6" a="1"/>
  <c r="J963" i="6" s="1"/>
  <c r="A935" i="9"/>
  <c r="J934" i="9" a="1"/>
  <c r="J934" i="9" s="1"/>
  <c r="I934" i="9"/>
  <c r="A940" i="3"/>
  <c r="I939" i="3"/>
  <c r="J939" i="3" a="1"/>
  <c r="J939" i="3" s="1"/>
  <c r="A941" i="3" l="1"/>
  <c r="I940" i="3"/>
  <c r="J940" i="3" a="1"/>
  <c r="J940" i="3" s="1"/>
  <c r="I935" i="9"/>
  <c r="A936" i="9"/>
  <c r="J935" i="9" a="1"/>
  <c r="J935" i="9" s="1"/>
  <c r="I964" i="6"/>
  <c r="A965" i="6"/>
  <c r="J964" i="6" a="1"/>
  <c r="J964" i="6" s="1"/>
  <c r="I924" i="5"/>
  <c r="A925" i="5"/>
  <c r="J924" i="5" a="1"/>
  <c r="J924" i="5" s="1"/>
  <c r="J927" i="7" a="1"/>
  <c r="J927" i="7" s="1"/>
  <c r="I927" i="7"/>
  <c r="A928" i="7"/>
  <c r="I933" i="8"/>
  <c r="A934" i="8"/>
  <c r="J933" i="8" a="1"/>
  <c r="J933" i="8" s="1"/>
  <c r="I934" i="8" l="1"/>
  <c r="A935" i="8"/>
  <c r="J934" i="8" a="1"/>
  <c r="J934" i="8" s="1"/>
  <c r="A929" i="7"/>
  <c r="I928" i="7"/>
  <c r="J928" i="7" a="1"/>
  <c r="J928" i="7" s="1"/>
  <c r="A926" i="5"/>
  <c r="J925" i="5" a="1"/>
  <c r="J925" i="5" s="1"/>
  <c r="I925" i="5"/>
  <c r="A966" i="6"/>
  <c r="J965" i="6" a="1"/>
  <c r="J965" i="6" s="1"/>
  <c r="I965" i="6"/>
  <c r="I936" i="9"/>
  <c r="A937" i="9"/>
  <c r="J936" i="9" a="1"/>
  <c r="J936" i="9" s="1"/>
  <c r="I941" i="3"/>
  <c r="A942" i="3"/>
  <c r="J941" i="3" a="1"/>
  <c r="J941" i="3" s="1"/>
  <c r="J942" i="3" l="1" a="1"/>
  <c r="J942" i="3" s="1"/>
  <c r="I942" i="3"/>
  <c r="A943" i="3"/>
  <c r="J937" i="9" a="1"/>
  <c r="J937" i="9" s="1"/>
  <c r="A938" i="9"/>
  <c r="I937" i="9"/>
  <c r="A967" i="6"/>
  <c r="J966" i="6" a="1"/>
  <c r="J966" i="6" s="1"/>
  <c r="I966" i="6"/>
  <c r="A927" i="5"/>
  <c r="I926" i="5"/>
  <c r="J926" i="5" a="1"/>
  <c r="J926" i="5" s="1"/>
  <c r="J929" i="7" a="1"/>
  <c r="J929" i="7" s="1"/>
  <c r="A930" i="7"/>
  <c r="I929" i="7"/>
  <c r="A936" i="8"/>
  <c r="I935" i="8"/>
  <c r="J935" i="8" a="1"/>
  <c r="J935" i="8" s="1"/>
  <c r="I936" i="8" l="1"/>
  <c r="A937" i="8"/>
  <c r="J936" i="8" a="1"/>
  <c r="J936" i="8" s="1"/>
  <c r="I930" i="7"/>
  <c r="A931" i="7"/>
  <c r="J930" i="7" a="1"/>
  <c r="J930" i="7" s="1"/>
  <c r="I927" i="5"/>
  <c r="A928" i="5"/>
  <c r="J927" i="5" a="1"/>
  <c r="J927" i="5" s="1"/>
  <c r="J967" i="6" a="1"/>
  <c r="J967" i="6" s="1"/>
  <c r="A968" i="6"/>
  <c r="I967" i="6"/>
  <c r="I938" i="9"/>
  <c r="A939" i="9"/>
  <c r="J938" i="9" a="1"/>
  <c r="J938" i="9" s="1"/>
  <c r="J943" i="3" a="1"/>
  <c r="J943" i="3" s="1"/>
  <c r="I943" i="3"/>
  <c r="A944" i="3"/>
  <c r="J944" i="3" l="1" a="1"/>
  <c r="J944" i="3" s="1"/>
  <c r="A945" i="3"/>
  <c r="I944" i="3"/>
  <c r="A940" i="9"/>
  <c r="J939" i="9" a="1"/>
  <c r="J939" i="9" s="1"/>
  <c r="I939" i="9"/>
  <c r="I968" i="6"/>
  <c r="A969" i="6"/>
  <c r="J968" i="6" a="1"/>
  <c r="J968" i="6" s="1"/>
  <c r="J928" i="5" a="1"/>
  <c r="J928" i="5" s="1"/>
  <c r="A929" i="5"/>
  <c r="I928" i="5"/>
  <c r="A932" i="7"/>
  <c r="J931" i="7" a="1"/>
  <c r="J931" i="7" s="1"/>
  <c r="I931" i="7"/>
  <c r="I937" i="8"/>
  <c r="A938" i="8"/>
  <c r="J937" i="8" a="1"/>
  <c r="J937" i="8" s="1"/>
  <c r="A939" i="8" l="1"/>
  <c r="I938" i="8"/>
  <c r="J938" i="8" a="1"/>
  <c r="J938" i="8" s="1"/>
  <c r="A933" i="7"/>
  <c r="J932" i="7" a="1"/>
  <c r="J932" i="7" s="1"/>
  <c r="I932" i="7"/>
  <c r="J929" i="5" a="1"/>
  <c r="J929" i="5" s="1"/>
  <c r="A930" i="5"/>
  <c r="I929" i="5"/>
  <c r="I969" i="6"/>
  <c r="J969" i="6" a="1"/>
  <c r="J969" i="6" s="1"/>
  <c r="A970" i="6"/>
  <c r="J940" i="9" a="1"/>
  <c r="J940" i="9" s="1"/>
  <c r="I940" i="9"/>
  <c r="A941" i="9"/>
  <c r="J945" i="3" a="1"/>
  <c r="J945" i="3" s="1"/>
  <c r="A946" i="3"/>
  <c r="I945" i="3"/>
  <c r="I946" i="3" l="1"/>
  <c r="A947" i="3"/>
  <c r="J946" i="3" a="1"/>
  <c r="J946" i="3" s="1"/>
  <c r="I941" i="9"/>
  <c r="J941" i="9" a="1"/>
  <c r="J941" i="9" s="1"/>
  <c r="A942" i="9"/>
  <c r="J970" i="6" a="1"/>
  <c r="J970" i="6" s="1"/>
  <c r="I970" i="6"/>
  <c r="A971" i="6"/>
  <c r="I930" i="5"/>
  <c r="A931" i="5"/>
  <c r="J930" i="5" a="1"/>
  <c r="J930" i="5" s="1"/>
  <c r="A934" i="7"/>
  <c r="J933" i="7" a="1"/>
  <c r="J933" i="7" s="1"/>
  <c r="I933" i="7"/>
  <c r="A940" i="8"/>
  <c r="J939" i="8" a="1"/>
  <c r="J939" i="8" s="1"/>
  <c r="I939" i="8"/>
  <c r="J940" i="8" l="1" a="1"/>
  <c r="J940" i="8" s="1"/>
  <c r="I940" i="8"/>
  <c r="A941" i="8"/>
  <c r="J934" i="7" a="1"/>
  <c r="J934" i="7" s="1"/>
  <c r="A935" i="7"/>
  <c r="I934" i="7"/>
  <c r="J931" i="5" a="1"/>
  <c r="J931" i="5" s="1"/>
  <c r="I931" i="5"/>
  <c r="A932" i="5"/>
  <c r="I971" i="6"/>
  <c r="A972" i="6"/>
  <c r="J971" i="6" a="1"/>
  <c r="J971" i="6" s="1"/>
  <c r="J942" i="9" a="1"/>
  <c r="J942" i="9" s="1"/>
  <c r="A943" i="9"/>
  <c r="I942" i="9"/>
  <c r="J947" i="3" a="1"/>
  <c r="J947" i="3" s="1"/>
  <c r="I947" i="3"/>
  <c r="A948" i="3"/>
  <c r="I948" i="3" l="1"/>
  <c r="A949" i="3"/>
  <c r="J948" i="3" a="1"/>
  <c r="J948" i="3" s="1"/>
  <c r="J943" i="9" a="1"/>
  <c r="J943" i="9" s="1"/>
  <c r="A944" i="9"/>
  <c r="I943" i="9"/>
  <c r="J972" i="6" a="1"/>
  <c r="J972" i="6" s="1"/>
  <c r="A973" i="6"/>
  <c r="I972" i="6"/>
  <c r="I932" i="5"/>
  <c r="A933" i="5"/>
  <c r="J932" i="5" a="1"/>
  <c r="J932" i="5" s="1"/>
  <c r="A936" i="7"/>
  <c r="I935" i="7"/>
  <c r="J935" i="7" a="1"/>
  <c r="J935" i="7" s="1"/>
  <c r="A942" i="8"/>
  <c r="I941" i="8"/>
  <c r="J941" i="8" a="1"/>
  <c r="J941" i="8" s="1"/>
  <c r="A943" i="8" l="1"/>
  <c r="J942" i="8" a="1"/>
  <c r="J942" i="8" s="1"/>
  <c r="I942" i="8"/>
  <c r="J936" i="7" a="1"/>
  <c r="J936" i="7" s="1"/>
  <c r="A937" i="7"/>
  <c r="I936" i="7"/>
  <c r="J933" i="5" a="1"/>
  <c r="J933" i="5" s="1"/>
  <c r="A934" i="5"/>
  <c r="I933" i="5"/>
  <c r="A974" i="6"/>
  <c r="I973" i="6"/>
  <c r="J973" i="6" a="1"/>
  <c r="J973" i="6" s="1"/>
  <c r="A945" i="9"/>
  <c r="J944" i="9" a="1"/>
  <c r="J944" i="9" s="1"/>
  <c r="I944" i="9"/>
  <c r="A950" i="3"/>
  <c r="J949" i="3" a="1"/>
  <c r="J949" i="3" s="1"/>
  <c r="I949" i="3"/>
  <c r="A951" i="3" l="1"/>
  <c r="J950" i="3" a="1"/>
  <c r="J950" i="3" s="1"/>
  <c r="I950" i="3"/>
  <c r="A946" i="9"/>
  <c r="I945" i="9"/>
  <c r="J945" i="9" a="1"/>
  <c r="J945" i="9" s="1"/>
  <c r="A975" i="6"/>
  <c r="I974" i="6"/>
  <c r="J974" i="6" a="1"/>
  <c r="J974" i="6" s="1"/>
  <c r="A935" i="5"/>
  <c r="J934" i="5" a="1"/>
  <c r="J934" i="5" s="1"/>
  <c r="I934" i="5"/>
  <c r="A938" i="7"/>
  <c r="I937" i="7"/>
  <c r="J937" i="7" a="1"/>
  <c r="J937" i="7" s="1"/>
  <c r="A944" i="8"/>
  <c r="I943" i="8"/>
  <c r="J943" i="8" a="1"/>
  <c r="J943" i="8" s="1"/>
  <c r="A945" i="8" l="1"/>
  <c r="J944" i="8" a="1"/>
  <c r="J944" i="8" s="1"/>
  <c r="I944" i="8"/>
  <c r="A939" i="7"/>
  <c r="J938" i="7" a="1"/>
  <c r="J938" i="7" s="1"/>
  <c r="I938" i="7"/>
  <c r="A936" i="5"/>
  <c r="I935" i="5"/>
  <c r="J935" i="5" a="1"/>
  <c r="J935" i="5" s="1"/>
  <c r="I975" i="6"/>
  <c r="A976" i="6"/>
  <c r="J975" i="6" a="1"/>
  <c r="J975" i="6" s="1"/>
  <c r="J946" i="9" a="1"/>
  <c r="J946" i="9" s="1"/>
  <c r="I946" i="9"/>
  <c r="A947" i="9"/>
  <c r="A952" i="3"/>
  <c r="J951" i="3" a="1"/>
  <c r="J951" i="3" s="1"/>
  <c r="I951" i="3"/>
  <c r="A953" i="3" l="1"/>
  <c r="J952" i="3" a="1"/>
  <c r="J952" i="3" s="1"/>
  <c r="I952" i="3"/>
  <c r="A948" i="9"/>
  <c r="J947" i="9" a="1"/>
  <c r="J947" i="9" s="1"/>
  <c r="I947" i="9"/>
  <c r="A977" i="6"/>
  <c r="J976" i="6" a="1"/>
  <c r="J976" i="6" s="1"/>
  <c r="I976" i="6"/>
  <c r="I936" i="5"/>
  <c r="A937" i="5"/>
  <c r="J936" i="5" a="1"/>
  <c r="J936" i="5" s="1"/>
  <c r="I939" i="7"/>
  <c r="A940" i="7"/>
  <c r="J939" i="7" a="1"/>
  <c r="J939" i="7" s="1"/>
  <c r="J945" i="8" a="1"/>
  <c r="J945" i="8" s="1"/>
  <c r="I945" i="8"/>
  <c r="A946" i="8"/>
  <c r="A947" i="8" l="1"/>
  <c r="J946" i="8" a="1"/>
  <c r="J946" i="8" s="1"/>
  <c r="I946" i="8"/>
  <c r="I940" i="7"/>
  <c r="J940" i="7" a="1"/>
  <c r="J940" i="7" s="1"/>
  <c r="A941" i="7"/>
  <c r="A938" i="5"/>
  <c r="J937" i="5" a="1"/>
  <c r="J937" i="5" s="1"/>
  <c r="I937" i="5"/>
  <c r="I977" i="6"/>
  <c r="A978" i="6"/>
  <c r="J977" i="6" a="1"/>
  <c r="J977" i="6" s="1"/>
  <c r="A949" i="9"/>
  <c r="J948" i="9" a="1"/>
  <c r="J948" i="9" s="1"/>
  <c r="I948" i="9"/>
  <c r="J953" i="3" a="1"/>
  <c r="J953" i="3" s="1"/>
  <c r="I953" i="3"/>
  <c r="A954" i="3"/>
  <c r="A955" i="3" l="1"/>
  <c r="J954" i="3" a="1"/>
  <c r="J954" i="3" s="1"/>
  <c r="I954" i="3"/>
  <c r="J949" i="9" a="1"/>
  <c r="J949" i="9" s="1"/>
  <c r="A950" i="9"/>
  <c r="I949" i="9"/>
  <c r="A979" i="6"/>
  <c r="J978" i="6" a="1"/>
  <c r="J978" i="6" s="1"/>
  <c r="I978" i="6"/>
  <c r="A939" i="5"/>
  <c r="J938" i="5" a="1"/>
  <c r="J938" i="5" s="1"/>
  <c r="I938" i="5"/>
  <c r="A942" i="7"/>
  <c r="I941" i="7"/>
  <c r="J941" i="7" a="1"/>
  <c r="J941" i="7" s="1"/>
  <c r="J947" i="8" a="1"/>
  <c r="J947" i="8" s="1"/>
  <c r="A948" i="8"/>
  <c r="I947" i="8"/>
  <c r="J948" i="8" l="1" a="1"/>
  <c r="J948" i="8" s="1"/>
  <c r="A949" i="8"/>
  <c r="I948" i="8"/>
  <c r="I942" i="7"/>
  <c r="A943" i="7"/>
  <c r="J942" i="7" a="1"/>
  <c r="J942" i="7" s="1"/>
  <c r="A940" i="5"/>
  <c r="I939" i="5"/>
  <c r="J939" i="5" a="1"/>
  <c r="J939" i="5" s="1"/>
  <c r="A980" i="6"/>
  <c r="J979" i="6" a="1"/>
  <c r="J979" i="6" s="1"/>
  <c r="I979" i="6"/>
  <c r="A951" i="9"/>
  <c r="J950" i="9" a="1"/>
  <c r="J950" i="9" s="1"/>
  <c r="I950" i="9"/>
  <c r="I955" i="3"/>
  <c r="A956" i="3"/>
  <c r="J955" i="3" a="1"/>
  <c r="J955" i="3" s="1"/>
  <c r="A957" i="3" l="1"/>
  <c r="J956" i="3" a="1"/>
  <c r="J956" i="3" s="1"/>
  <c r="I956" i="3"/>
  <c r="J951" i="9" a="1"/>
  <c r="J951" i="9" s="1"/>
  <c r="I951" i="9"/>
  <c r="A952" i="9"/>
  <c r="J980" i="6" a="1"/>
  <c r="J980" i="6" s="1"/>
  <c r="A981" i="6"/>
  <c r="I980" i="6"/>
  <c r="I940" i="5"/>
  <c r="A941" i="5"/>
  <c r="J940" i="5" a="1"/>
  <c r="J940" i="5" s="1"/>
  <c r="A944" i="7"/>
  <c r="I943" i="7"/>
  <c r="J943" i="7" a="1"/>
  <c r="J943" i="7" s="1"/>
  <c r="J949" i="8" a="1"/>
  <c r="J949" i="8" s="1"/>
  <c r="I949" i="8"/>
  <c r="A950" i="8"/>
  <c r="A951" i="8" l="1"/>
  <c r="J950" i="8" a="1"/>
  <c r="J950" i="8" s="1"/>
  <c r="I950" i="8"/>
  <c r="A945" i="7"/>
  <c r="J944" i="7" a="1"/>
  <c r="J944" i="7" s="1"/>
  <c r="I944" i="7"/>
  <c r="A942" i="5"/>
  <c r="J941" i="5" a="1"/>
  <c r="J941" i="5" s="1"/>
  <c r="I941" i="5"/>
  <c r="I981" i="6"/>
  <c r="J981" i="6" a="1"/>
  <c r="J981" i="6" s="1"/>
  <c r="A982" i="6"/>
  <c r="A953" i="9"/>
  <c r="I952" i="9"/>
  <c r="J952" i="9" a="1"/>
  <c r="J952" i="9" s="1"/>
  <c r="A958" i="3"/>
  <c r="J957" i="3" a="1"/>
  <c r="J957" i="3" s="1"/>
  <c r="I957" i="3"/>
  <c r="I958" i="3" l="1"/>
  <c r="J958" i="3" a="1"/>
  <c r="J958" i="3" s="1"/>
  <c r="A959" i="3"/>
  <c r="A954" i="9"/>
  <c r="J953" i="9" a="1"/>
  <c r="J953" i="9" s="1"/>
  <c r="I953" i="9"/>
  <c r="A983" i="6"/>
  <c r="J982" i="6" a="1"/>
  <c r="J982" i="6" s="1"/>
  <c r="I982" i="6"/>
  <c r="I942" i="5"/>
  <c r="A943" i="5"/>
  <c r="J942" i="5" a="1"/>
  <c r="J942" i="5" s="1"/>
  <c r="J945" i="7" a="1"/>
  <c r="J945" i="7" s="1"/>
  <c r="A946" i="7"/>
  <c r="I945" i="7"/>
  <c r="A952" i="8"/>
  <c r="J951" i="8" a="1"/>
  <c r="J951" i="8" s="1"/>
  <c r="I951" i="8"/>
  <c r="J952" i="8" l="1" a="1"/>
  <c r="J952" i="8" s="1"/>
  <c r="A953" i="8"/>
  <c r="I952" i="8"/>
  <c r="J946" i="7" a="1"/>
  <c r="J946" i="7" s="1"/>
  <c r="I946" i="7"/>
  <c r="A947" i="7"/>
  <c r="A944" i="5"/>
  <c r="J943" i="5" a="1"/>
  <c r="J943" i="5" s="1"/>
  <c r="I943" i="5"/>
  <c r="J983" i="6" a="1"/>
  <c r="J983" i="6" s="1"/>
  <c r="A984" i="6"/>
  <c r="I983" i="6"/>
  <c r="A955" i="9"/>
  <c r="I954" i="9"/>
  <c r="J954" i="9" a="1"/>
  <c r="J954" i="9" s="1"/>
  <c r="I959" i="3"/>
  <c r="J959" i="3" a="1"/>
  <c r="J959" i="3" s="1"/>
  <c r="A960" i="3"/>
  <c r="A961" i="3" l="1"/>
  <c r="J960" i="3" a="1"/>
  <c r="J960" i="3" s="1"/>
  <c r="I960" i="3"/>
  <c r="J955" i="9" a="1"/>
  <c r="J955" i="9" s="1"/>
  <c r="A956" i="9"/>
  <c r="I955" i="9"/>
  <c r="A985" i="6"/>
  <c r="J984" i="6" a="1"/>
  <c r="J984" i="6" s="1"/>
  <c r="I984" i="6"/>
  <c r="J944" i="5" a="1"/>
  <c r="J944" i="5" s="1"/>
  <c r="I944" i="5"/>
  <c r="A945" i="5"/>
  <c r="A948" i="7"/>
  <c r="J947" i="7" a="1"/>
  <c r="J947" i="7" s="1"/>
  <c r="I947" i="7"/>
  <c r="I953" i="8"/>
  <c r="A954" i="8"/>
  <c r="J953" i="8" a="1"/>
  <c r="J953" i="8" s="1"/>
  <c r="A955" i="8" l="1"/>
  <c r="J954" i="8" a="1"/>
  <c r="J954" i="8" s="1"/>
  <c r="I954" i="8"/>
  <c r="A949" i="7"/>
  <c r="J948" i="7" a="1"/>
  <c r="J948" i="7" s="1"/>
  <c r="I948" i="7"/>
  <c r="I945" i="5"/>
  <c r="A946" i="5"/>
  <c r="J945" i="5" a="1"/>
  <c r="J945" i="5" s="1"/>
  <c r="J985" i="6" a="1"/>
  <c r="J985" i="6" s="1"/>
  <c r="A986" i="6"/>
  <c r="I985" i="6"/>
  <c r="J956" i="9" a="1"/>
  <c r="J956" i="9" s="1"/>
  <c r="A957" i="9"/>
  <c r="I956" i="9"/>
  <c r="A962" i="3"/>
  <c r="I961" i="3"/>
  <c r="J961" i="3" a="1"/>
  <c r="J961" i="3" s="1"/>
  <c r="A963" i="3" l="1"/>
  <c r="J962" i="3" a="1"/>
  <c r="J962" i="3" s="1"/>
  <c r="I962" i="3"/>
  <c r="J957" i="9" a="1"/>
  <c r="J957" i="9" s="1"/>
  <c r="A958" i="9"/>
  <c r="I957" i="9"/>
  <c r="A987" i="6"/>
  <c r="I986" i="6"/>
  <c r="J986" i="6" a="1"/>
  <c r="J986" i="6" s="1"/>
  <c r="J946" i="5" a="1"/>
  <c r="J946" i="5" s="1"/>
  <c r="A947" i="5"/>
  <c r="I946" i="5"/>
  <c r="A950" i="7"/>
  <c r="I949" i="7"/>
  <c r="J949" i="7" a="1"/>
  <c r="J949" i="7" s="1"/>
  <c r="A956" i="8"/>
  <c r="I955" i="8"/>
  <c r="J955" i="8" a="1"/>
  <c r="J955" i="8" s="1"/>
  <c r="J956" i="8" l="1" a="1"/>
  <c r="J956" i="8" s="1"/>
  <c r="I956" i="8"/>
  <c r="A957" i="8"/>
  <c r="A951" i="7"/>
  <c r="I950" i="7"/>
  <c r="J950" i="7" a="1"/>
  <c r="J950" i="7" s="1"/>
  <c r="A948" i="5"/>
  <c r="J947" i="5" a="1"/>
  <c r="J947" i="5" s="1"/>
  <c r="I947" i="5"/>
  <c r="I987" i="6"/>
  <c r="A988" i="6"/>
  <c r="J987" i="6" a="1"/>
  <c r="J987" i="6" s="1"/>
  <c r="J958" i="9" a="1"/>
  <c r="J958" i="9" s="1"/>
  <c r="I958" i="9"/>
  <c r="A959" i="9"/>
  <c r="A964" i="3"/>
  <c r="J963" i="3" a="1"/>
  <c r="J963" i="3" s="1"/>
  <c r="I963" i="3"/>
  <c r="A965" i="3" l="1"/>
  <c r="J964" i="3" a="1"/>
  <c r="J964" i="3" s="1"/>
  <c r="I964" i="3"/>
  <c r="J959" i="9" a="1"/>
  <c r="J959" i="9" s="1"/>
  <c r="I959" i="9"/>
  <c r="A960" i="9"/>
  <c r="A989" i="6"/>
  <c r="J988" i="6" a="1"/>
  <c r="J988" i="6" s="1"/>
  <c r="I988" i="6"/>
  <c r="I948" i="5"/>
  <c r="J948" i="5" a="1"/>
  <c r="J948" i="5" s="1"/>
  <c r="A949" i="5"/>
  <c r="A952" i="7"/>
  <c r="J951" i="7" a="1"/>
  <c r="J951" i="7" s="1"/>
  <c r="I951" i="7"/>
  <c r="J957" i="8" a="1"/>
  <c r="J957" i="8" s="1"/>
  <c r="I957" i="8"/>
  <c r="A958" i="8"/>
  <c r="J958" i="8" l="1" a="1"/>
  <c r="J958" i="8" s="1"/>
  <c r="A959" i="8"/>
  <c r="I958" i="8"/>
  <c r="A953" i="7"/>
  <c r="I952" i="7"/>
  <c r="J952" i="7" a="1"/>
  <c r="J952" i="7" s="1"/>
  <c r="A950" i="5"/>
  <c r="J949" i="5" a="1"/>
  <c r="J949" i="5" s="1"/>
  <c r="I949" i="5"/>
  <c r="I989" i="6"/>
  <c r="A990" i="6"/>
  <c r="J989" i="6" a="1"/>
  <c r="J989" i="6" s="1"/>
  <c r="A961" i="9"/>
  <c r="J960" i="9" a="1"/>
  <c r="J960" i="9" s="1"/>
  <c r="I960" i="9"/>
  <c r="J965" i="3" a="1"/>
  <c r="J965" i="3" s="1"/>
  <c r="I965" i="3"/>
  <c r="A966" i="3"/>
  <c r="A967" i="3" l="1"/>
  <c r="J966" i="3" a="1"/>
  <c r="J966" i="3" s="1"/>
  <c r="I966" i="3"/>
  <c r="J961" i="9" a="1"/>
  <c r="J961" i="9" s="1"/>
  <c r="I961" i="9"/>
  <c r="A962" i="9"/>
  <c r="I990" i="6"/>
  <c r="A991" i="6"/>
  <c r="J990" i="6" a="1"/>
  <c r="J990" i="6" s="1"/>
  <c r="A951" i="5"/>
  <c r="J950" i="5" a="1"/>
  <c r="J950" i="5" s="1"/>
  <c r="I950" i="5"/>
  <c r="J953" i="7" a="1"/>
  <c r="J953" i="7" s="1"/>
  <c r="A954" i="7"/>
  <c r="I953" i="7"/>
  <c r="J959" i="8" a="1"/>
  <c r="J959" i="8" s="1"/>
  <c r="A960" i="8"/>
  <c r="I959" i="8"/>
  <c r="J960" i="8" l="1" a="1"/>
  <c r="J960" i="8" s="1"/>
  <c r="I960" i="8"/>
  <c r="A961" i="8"/>
  <c r="I954" i="7"/>
  <c r="A955" i="7"/>
  <c r="J954" i="7" a="1"/>
  <c r="J954" i="7" s="1"/>
  <c r="A952" i="5"/>
  <c r="J951" i="5" a="1"/>
  <c r="J951" i="5" s="1"/>
  <c r="I951" i="5"/>
  <c r="A992" i="6"/>
  <c r="J991" i="6" a="1"/>
  <c r="J991" i="6" s="1"/>
  <c r="I991" i="6"/>
  <c r="A963" i="9"/>
  <c r="J962" i="9" a="1"/>
  <c r="J962" i="9" s="1"/>
  <c r="I962" i="9"/>
  <c r="A968" i="3"/>
  <c r="I967" i="3"/>
  <c r="J967" i="3" a="1"/>
  <c r="J967" i="3" s="1"/>
  <c r="A969" i="3" l="1"/>
  <c r="J968" i="3" a="1"/>
  <c r="J968" i="3" s="1"/>
  <c r="I968" i="3"/>
  <c r="J963" i="9" a="1"/>
  <c r="J963" i="9" s="1"/>
  <c r="I963" i="9"/>
  <c r="A964" i="9"/>
  <c r="A993" i="6"/>
  <c r="J992" i="6" a="1"/>
  <c r="J992" i="6" s="1"/>
  <c r="I992" i="6"/>
  <c r="A953" i="5"/>
  <c r="I952" i="5"/>
  <c r="J952" i="5" a="1"/>
  <c r="J952" i="5" s="1"/>
  <c r="A956" i="7"/>
  <c r="I955" i="7"/>
  <c r="J955" i="7" a="1"/>
  <c r="J955" i="7" s="1"/>
  <c r="A962" i="8"/>
  <c r="J961" i="8" a="1"/>
  <c r="J961" i="8" s="1"/>
  <c r="I961" i="8"/>
  <c r="A963" i="8" l="1"/>
  <c r="J962" i="8" a="1"/>
  <c r="J962" i="8" s="1"/>
  <c r="I962" i="8"/>
  <c r="I956" i="7"/>
  <c r="A957" i="7"/>
  <c r="J956" i="7" a="1"/>
  <c r="J956" i="7" s="1"/>
  <c r="I953" i="5"/>
  <c r="A954" i="5"/>
  <c r="J953" i="5" a="1"/>
  <c r="J953" i="5" s="1"/>
  <c r="I993" i="6"/>
  <c r="A994" i="6"/>
  <c r="J993" i="6" a="1"/>
  <c r="J993" i="6" s="1"/>
  <c r="I964" i="9"/>
  <c r="J964" i="9" a="1"/>
  <c r="J964" i="9" s="1"/>
  <c r="A965" i="9"/>
  <c r="A970" i="3"/>
  <c r="J969" i="3" a="1"/>
  <c r="J969" i="3" s="1"/>
  <c r="I969" i="3"/>
  <c r="A971" i="3" l="1"/>
  <c r="I970" i="3"/>
  <c r="J970" i="3" a="1"/>
  <c r="J970" i="3" s="1"/>
  <c r="A966" i="9"/>
  <c r="I965" i="9"/>
  <c r="J965" i="9" a="1"/>
  <c r="J965" i="9" s="1"/>
  <c r="J994" i="6" a="1"/>
  <c r="J994" i="6" s="1"/>
  <c r="I994" i="6"/>
  <c r="A995" i="6"/>
  <c r="I954" i="5"/>
  <c r="A955" i="5"/>
  <c r="J954" i="5" a="1"/>
  <c r="J954" i="5" s="1"/>
  <c r="A958" i="7"/>
  <c r="J957" i="7" a="1"/>
  <c r="J957" i="7" s="1"/>
  <c r="I957" i="7"/>
  <c r="I963" i="8"/>
  <c r="A964" i="8"/>
  <c r="J963" i="8" a="1"/>
  <c r="J963" i="8" s="1"/>
  <c r="I964" i="8" l="1"/>
  <c r="A965" i="8"/>
  <c r="J964" i="8" a="1"/>
  <c r="J964" i="8" s="1"/>
  <c r="A959" i="7"/>
  <c r="J958" i="7" a="1"/>
  <c r="J958" i="7" s="1"/>
  <c r="I958" i="7"/>
  <c r="A956" i="5"/>
  <c r="I955" i="5"/>
  <c r="J955" i="5" a="1"/>
  <c r="J955" i="5" s="1"/>
  <c r="J995" i="6" a="1"/>
  <c r="J995" i="6" s="1"/>
  <c r="I995" i="6"/>
  <c r="A996" i="6"/>
  <c r="A967" i="9"/>
  <c r="J966" i="9" a="1"/>
  <c r="J966" i="9" s="1"/>
  <c r="I966" i="9"/>
  <c r="A972" i="3"/>
  <c r="I971" i="3"/>
  <c r="J971" i="3" a="1"/>
  <c r="J971" i="3" s="1"/>
  <c r="A973" i="3" l="1"/>
  <c r="J972" i="3" a="1"/>
  <c r="J972" i="3" s="1"/>
  <c r="I972" i="3"/>
  <c r="J967" i="9" a="1"/>
  <c r="J967" i="9" s="1"/>
  <c r="I967" i="9"/>
  <c r="A968" i="9"/>
  <c r="J996" i="6" a="1"/>
  <c r="J996" i="6" s="1"/>
  <c r="A997" i="6"/>
  <c r="I996" i="6"/>
  <c r="A957" i="5"/>
  <c r="J956" i="5" a="1"/>
  <c r="J956" i="5" s="1"/>
  <c r="I956" i="5"/>
  <c r="A960" i="7"/>
  <c r="J959" i="7" a="1"/>
  <c r="J959" i="7" s="1"/>
  <c r="I959" i="7"/>
  <c r="I965" i="8"/>
  <c r="A966" i="8"/>
  <c r="J965" i="8" a="1"/>
  <c r="J965" i="8" s="1"/>
  <c r="A967" i="8" l="1"/>
  <c r="I966" i="8"/>
  <c r="J966" i="8" a="1"/>
  <c r="J966" i="8" s="1"/>
  <c r="J960" i="7" a="1"/>
  <c r="J960" i="7" s="1"/>
  <c r="A961" i="7"/>
  <c r="I960" i="7"/>
  <c r="J957" i="5" a="1"/>
  <c r="J957" i="5" s="1"/>
  <c r="I957" i="5"/>
  <c r="A958" i="5"/>
  <c r="J997" i="6" a="1"/>
  <c r="J997" i="6" s="1"/>
  <c r="A998" i="6"/>
  <c r="I997" i="6"/>
  <c r="A969" i="9"/>
  <c r="J968" i="9" a="1"/>
  <c r="J968" i="9" s="1"/>
  <c r="I968" i="9"/>
  <c r="A974" i="3"/>
  <c r="I973" i="3"/>
  <c r="J973" i="3" a="1"/>
  <c r="J973" i="3" s="1"/>
  <c r="I974" i="3" l="1"/>
  <c r="J974" i="3" a="1"/>
  <c r="J974" i="3" s="1"/>
  <c r="A975" i="3"/>
  <c r="J969" i="9" a="1"/>
  <c r="J969" i="9" s="1"/>
  <c r="I969" i="9"/>
  <c r="A970" i="9"/>
  <c r="J998" i="6" a="1"/>
  <c r="J998" i="6" s="1"/>
  <c r="I998" i="6"/>
  <c r="A999" i="6"/>
  <c r="I958" i="5"/>
  <c r="A959" i="5"/>
  <c r="J958" i="5" a="1"/>
  <c r="J958" i="5" s="1"/>
  <c r="A962" i="7"/>
  <c r="J961" i="7" a="1"/>
  <c r="J961" i="7" s="1"/>
  <c r="I961" i="7"/>
  <c r="I967" i="8"/>
  <c r="A968" i="8"/>
  <c r="J967" i="8" a="1"/>
  <c r="J967" i="8" s="1"/>
  <c r="A969" i="8" l="1"/>
  <c r="J968" i="8" a="1"/>
  <c r="J968" i="8" s="1"/>
  <c r="I968" i="8"/>
  <c r="A963" i="7"/>
  <c r="I962" i="7"/>
  <c r="J962" i="7" a="1"/>
  <c r="J962" i="7" s="1"/>
  <c r="J959" i="5" a="1"/>
  <c r="J959" i="5" s="1"/>
  <c r="A960" i="5"/>
  <c r="I959" i="5"/>
  <c r="I999" i="6"/>
  <c r="J999" i="6" a="1"/>
  <c r="J999" i="6" s="1"/>
  <c r="A1000" i="6"/>
  <c r="A971" i="9"/>
  <c r="J970" i="9" a="1"/>
  <c r="J970" i="9" s="1"/>
  <c r="I970" i="9"/>
  <c r="A976" i="3"/>
  <c r="J975" i="3" a="1"/>
  <c r="J975" i="3" s="1"/>
  <c r="I975" i="3"/>
  <c r="A977" i="3" l="1"/>
  <c r="J976" i="3" a="1"/>
  <c r="J976" i="3" s="1"/>
  <c r="I976" i="3"/>
  <c r="A972" i="9"/>
  <c r="I971" i="9"/>
  <c r="J971" i="9" a="1"/>
  <c r="J971" i="9" s="1"/>
  <c r="I1000" i="6"/>
  <c r="J1000" i="6" a="1"/>
  <c r="J1000" i="6" s="1"/>
  <c r="I960" i="5"/>
  <c r="A961" i="5"/>
  <c r="J960" i="5" a="1"/>
  <c r="J960" i="5" s="1"/>
  <c r="I963" i="7"/>
  <c r="A964" i="7"/>
  <c r="J963" i="7" a="1"/>
  <c r="J963" i="7" s="1"/>
  <c r="A970" i="8"/>
  <c r="J969" i="8" a="1"/>
  <c r="J969" i="8" s="1"/>
  <c r="I969" i="8"/>
  <c r="A971" i="8" l="1"/>
  <c r="I970" i="8"/>
  <c r="J970" i="8" a="1"/>
  <c r="J970" i="8" s="1"/>
  <c r="I964" i="7"/>
  <c r="A965" i="7"/>
  <c r="J964" i="7" a="1"/>
  <c r="J964" i="7" s="1"/>
  <c r="J961" i="5" a="1"/>
  <c r="J961" i="5" s="1"/>
  <c r="A962" i="5"/>
  <c r="I961" i="5"/>
  <c r="J972" i="9" a="1"/>
  <c r="J972" i="9" s="1"/>
  <c r="I972" i="9"/>
  <c r="A973" i="9"/>
  <c r="J977" i="3" a="1"/>
  <c r="J977" i="3" s="1"/>
  <c r="A978" i="3"/>
  <c r="I977" i="3"/>
  <c r="I978" i="3" l="1"/>
  <c r="A979" i="3"/>
  <c r="J978" i="3" a="1"/>
  <c r="J978" i="3" s="1"/>
  <c r="J973" i="9" a="1"/>
  <c r="J973" i="9" s="1"/>
  <c r="A974" i="9"/>
  <c r="I973" i="9"/>
  <c r="A963" i="5"/>
  <c r="J962" i="5" a="1"/>
  <c r="J962" i="5" s="1"/>
  <c r="I962" i="5"/>
  <c r="I965" i="7"/>
  <c r="J965" i="7" a="1"/>
  <c r="J965" i="7" s="1"/>
  <c r="A966" i="7"/>
  <c r="A972" i="8"/>
  <c r="I971" i="8"/>
  <c r="J971" i="8" a="1"/>
  <c r="J971" i="8" s="1"/>
  <c r="I972" i="8" l="1"/>
  <c r="A973" i="8"/>
  <c r="J972" i="8" a="1"/>
  <c r="J972" i="8" s="1"/>
  <c r="J966" i="7" a="1"/>
  <c r="J966" i="7" s="1"/>
  <c r="A967" i="7"/>
  <c r="I966" i="7"/>
  <c r="A964" i="5"/>
  <c r="J963" i="5" a="1"/>
  <c r="J963" i="5" s="1"/>
  <c r="I963" i="5"/>
  <c r="A975" i="9"/>
  <c r="J974" i="9" a="1"/>
  <c r="J974" i="9" s="1"/>
  <c r="I974" i="9"/>
  <c r="A980" i="3"/>
  <c r="J979" i="3" a="1"/>
  <c r="J979" i="3" s="1"/>
  <c r="I979" i="3"/>
  <c r="J980" i="3" l="1" a="1"/>
  <c r="J980" i="3" s="1"/>
  <c r="I980" i="3"/>
  <c r="A981" i="3"/>
  <c r="A976" i="9"/>
  <c r="J975" i="9" a="1"/>
  <c r="J975" i="9" s="1"/>
  <c r="I975" i="9"/>
  <c r="A965" i="5"/>
  <c r="J964" i="5" a="1"/>
  <c r="J964" i="5" s="1"/>
  <c r="I964" i="5"/>
  <c r="A968" i="7"/>
  <c r="J967" i="7" a="1"/>
  <c r="J967" i="7" s="1"/>
  <c r="I967" i="7"/>
  <c r="A974" i="8"/>
  <c r="J973" i="8" a="1"/>
  <c r="J973" i="8" s="1"/>
  <c r="I973" i="8"/>
  <c r="A975" i="8" l="1"/>
  <c r="J974" i="8" a="1"/>
  <c r="J974" i="8" s="1"/>
  <c r="I974" i="8"/>
  <c r="I968" i="7"/>
  <c r="A969" i="7"/>
  <c r="J968" i="7" a="1"/>
  <c r="J968" i="7" s="1"/>
  <c r="A966" i="5"/>
  <c r="I965" i="5"/>
  <c r="J965" i="5" a="1"/>
  <c r="J965" i="5" s="1"/>
  <c r="A977" i="9"/>
  <c r="I976" i="9"/>
  <c r="J976" i="9" a="1"/>
  <c r="J976" i="9" s="1"/>
  <c r="J981" i="3" a="1"/>
  <c r="J981" i="3" s="1"/>
  <c r="I981" i="3"/>
  <c r="A982" i="3"/>
  <c r="A983" i="3" l="1"/>
  <c r="J982" i="3" a="1"/>
  <c r="J982" i="3" s="1"/>
  <c r="I982" i="3"/>
  <c r="A978" i="9"/>
  <c r="J977" i="9" a="1"/>
  <c r="J977" i="9" s="1"/>
  <c r="I977" i="9"/>
  <c r="I966" i="5"/>
  <c r="J966" i="5" a="1"/>
  <c r="J966" i="5" s="1"/>
  <c r="A967" i="5"/>
  <c r="A970" i="7"/>
  <c r="I969" i="7"/>
  <c r="J969" i="7" a="1"/>
  <c r="J969" i="7" s="1"/>
  <c r="J975" i="8" a="1"/>
  <c r="J975" i="8" s="1"/>
  <c r="A976" i="8"/>
  <c r="I975" i="8"/>
  <c r="A977" i="8" l="1"/>
  <c r="J976" i="8" a="1"/>
  <c r="J976" i="8" s="1"/>
  <c r="I976" i="8"/>
  <c r="J970" i="7" a="1"/>
  <c r="J970" i="7" s="1"/>
  <c r="I970" i="7"/>
  <c r="A971" i="7"/>
  <c r="I967" i="5"/>
  <c r="A968" i="5"/>
  <c r="J967" i="5" a="1"/>
  <c r="J967" i="5" s="1"/>
  <c r="A979" i="9"/>
  <c r="J978" i="9" a="1"/>
  <c r="J978" i="9" s="1"/>
  <c r="I978" i="9"/>
  <c r="A984" i="3"/>
  <c r="J983" i="3" a="1"/>
  <c r="J983" i="3" s="1"/>
  <c r="I983" i="3"/>
  <c r="A985" i="3" l="1"/>
  <c r="I984" i="3"/>
  <c r="J984" i="3" a="1"/>
  <c r="J984" i="3" s="1"/>
  <c r="J979" i="9" a="1"/>
  <c r="J979" i="9" s="1"/>
  <c r="I979" i="9"/>
  <c r="A980" i="9"/>
  <c r="A969" i="5"/>
  <c r="I968" i="5"/>
  <c r="J968" i="5" a="1"/>
  <c r="J968" i="5" s="1"/>
  <c r="J971" i="7" a="1"/>
  <c r="J971" i="7" s="1"/>
  <c r="A972" i="7"/>
  <c r="I971" i="7"/>
  <c r="A978" i="8"/>
  <c r="J977" i="8" a="1"/>
  <c r="J977" i="8" s="1"/>
  <c r="I977" i="8"/>
  <c r="I978" i="8" l="1"/>
  <c r="J978" i="8" a="1"/>
  <c r="J978" i="8" s="1"/>
  <c r="A979" i="8"/>
  <c r="I972" i="7"/>
  <c r="A973" i="7"/>
  <c r="J972" i="7" a="1"/>
  <c r="J972" i="7" s="1"/>
  <c r="A970" i="5"/>
  <c r="J969" i="5" a="1"/>
  <c r="J969" i="5" s="1"/>
  <c r="I969" i="5"/>
  <c r="I980" i="9"/>
  <c r="J980" i="9" a="1"/>
  <c r="J980" i="9" s="1"/>
  <c r="A981" i="9"/>
  <c r="J985" i="3" a="1"/>
  <c r="J985" i="3" s="1"/>
  <c r="I985" i="3"/>
  <c r="A986" i="3"/>
  <c r="J986" i="3" l="1" a="1"/>
  <c r="J986" i="3" s="1"/>
  <c r="A987" i="3"/>
  <c r="I986" i="3"/>
  <c r="A982" i="9"/>
  <c r="J981" i="9" a="1"/>
  <c r="J981" i="9" s="1"/>
  <c r="I981" i="9"/>
  <c r="J970" i="5" a="1"/>
  <c r="J970" i="5" s="1"/>
  <c r="I970" i="5"/>
  <c r="A971" i="5"/>
  <c r="A974" i="7"/>
  <c r="J973" i="7" a="1"/>
  <c r="J973" i="7" s="1"/>
  <c r="I973" i="7"/>
  <c r="J979" i="8" a="1"/>
  <c r="J979" i="8" s="1"/>
  <c r="A980" i="8"/>
  <c r="I979" i="8"/>
  <c r="J980" i="8" l="1" a="1"/>
  <c r="J980" i="8" s="1"/>
  <c r="A981" i="8"/>
  <c r="I980" i="8"/>
  <c r="I974" i="7"/>
  <c r="A975" i="7"/>
  <c r="J974" i="7" a="1"/>
  <c r="J974" i="7" s="1"/>
  <c r="I971" i="5"/>
  <c r="A972" i="5"/>
  <c r="J971" i="5" a="1"/>
  <c r="J971" i="5" s="1"/>
  <c r="J982" i="9" a="1"/>
  <c r="J982" i="9" s="1"/>
  <c r="I982" i="9"/>
  <c r="A983" i="9"/>
  <c r="A988" i="3"/>
  <c r="J987" i="3" a="1"/>
  <c r="J987" i="3" s="1"/>
  <c r="I987" i="3"/>
  <c r="A989" i="3" l="1"/>
  <c r="I988" i="3"/>
  <c r="J988" i="3" a="1"/>
  <c r="J988" i="3" s="1"/>
  <c r="I983" i="9"/>
  <c r="A984" i="9"/>
  <c r="J983" i="9" a="1"/>
  <c r="J983" i="9" s="1"/>
  <c r="I972" i="5"/>
  <c r="A973" i="5"/>
  <c r="J972" i="5" a="1"/>
  <c r="J972" i="5" s="1"/>
  <c r="J975" i="7" a="1"/>
  <c r="J975" i="7" s="1"/>
  <c r="A976" i="7"/>
  <c r="I975" i="7"/>
  <c r="I981" i="8"/>
  <c r="A982" i="8"/>
  <c r="J981" i="8" a="1"/>
  <c r="J981" i="8" s="1"/>
  <c r="I982" i="8" l="1"/>
  <c r="A983" i="8"/>
  <c r="J982" i="8" a="1"/>
  <c r="J982" i="8" s="1"/>
  <c r="I976" i="7"/>
  <c r="A977" i="7"/>
  <c r="J976" i="7" a="1"/>
  <c r="J976" i="7" s="1"/>
  <c r="J973" i="5" a="1"/>
  <c r="J973" i="5" s="1"/>
  <c r="A974" i="5"/>
  <c r="I973" i="5"/>
  <c r="J984" i="9" a="1"/>
  <c r="J984" i="9" s="1"/>
  <c r="A985" i="9"/>
  <c r="I984" i="9"/>
  <c r="I989" i="3"/>
  <c r="J989" i="3" a="1"/>
  <c r="J989" i="3" s="1"/>
  <c r="A990" i="3"/>
  <c r="I990" i="3" l="1"/>
  <c r="A991" i="3"/>
  <c r="J990" i="3" a="1"/>
  <c r="J990" i="3" s="1"/>
  <c r="J985" i="9" a="1"/>
  <c r="J985" i="9" s="1"/>
  <c r="A986" i="9"/>
  <c r="I985" i="9"/>
  <c r="J974" i="5" a="1"/>
  <c r="J974" i="5" s="1"/>
  <c r="A975" i="5"/>
  <c r="I974" i="5"/>
  <c r="J977" i="7" a="1"/>
  <c r="J977" i="7" s="1"/>
  <c r="A978" i="7"/>
  <c r="I977" i="7"/>
  <c r="J983" i="8" a="1"/>
  <c r="J983" i="8" s="1"/>
  <c r="I983" i="8"/>
  <c r="A984" i="8"/>
  <c r="J984" i="8" l="1" a="1"/>
  <c r="J984" i="8" s="1"/>
  <c r="A985" i="8"/>
  <c r="I984" i="8"/>
  <c r="A979" i="7"/>
  <c r="I978" i="7"/>
  <c r="J978" i="7" a="1"/>
  <c r="J978" i="7" s="1"/>
  <c r="A976" i="5"/>
  <c r="J975" i="5" a="1"/>
  <c r="J975" i="5" s="1"/>
  <c r="I975" i="5"/>
  <c r="J986" i="9" a="1"/>
  <c r="J986" i="9" s="1"/>
  <c r="A987" i="9"/>
  <c r="I986" i="9"/>
  <c r="I991" i="3"/>
  <c r="A992" i="3"/>
  <c r="J991" i="3" a="1"/>
  <c r="J991" i="3" s="1"/>
  <c r="A993" i="3" l="1"/>
  <c r="J992" i="3" a="1"/>
  <c r="J992" i="3" s="1"/>
  <c r="I992" i="3"/>
  <c r="A988" i="9"/>
  <c r="I987" i="9"/>
  <c r="J987" i="9" a="1"/>
  <c r="J987" i="9" s="1"/>
  <c r="A977" i="5"/>
  <c r="J976" i="5" a="1"/>
  <c r="J976" i="5" s="1"/>
  <c r="I976" i="5"/>
  <c r="A980" i="7"/>
  <c r="I979" i="7"/>
  <c r="J979" i="7" a="1"/>
  <c r="J979" i="7" s="1"/>
  <c r="I985" i="8"/>
  <c r="A986" i="8"/>
  <c r="J985" i="8" a="1"/>
  <c r="J985" i="8" s="1"/>
  <c r="I986" i="8" l="1"/>
  <c r="J986" i="8" a="1"/>
  <c r="J986" i="8" s="1"/>
  <c r="A987" i="8"/>
  <c r="J980" i="7" a="1"/>
  <c r="J980" i="7" s="1"/>
  <c r="A981" i="7"/>
  <c r="I980" i="7"/>
  <c r="A978" i="5"/>
  <c r="J977" i="5" a="1"/>
  <c r="J977" i="5" s="1"/>
  <c r="I977" i="5"/>
  <c r="A989" i="9"/>
  <c r="J988" i="9" a="1"/>
  <c r="J988" i="9" s="1"/>
  <c r="I988" i="9"/>
  <c r="J993" i="3" a="1"/>
  <c r="J993" i="3" s="1"/>
  <c r="A994" i="3"/>
  <c r="I993" i="3"/>
  <c r="A995" i="3" l="1"/>
  <c r="J994" i="3" a="1"/>
  <c r="J994" i="3" s="1"/>
  <c r="I994" i="3"/>
  <c r="A990" i="9"/>
  <c r="J989" i="9" a="1"/>
  <c r="J989" i="9" s="1"/>
  <c r="I989" i="9"/>
  <c r="I978" i="5"/>
  <c r="J978" i="5" a="1"/>
  <c r="J978" i="5" s="1"/>
  <c r="A979" i="5"/>
  <c r="A982" i="7"/>
  <c r="J981" i="7" a="1"/>
  <c r="J981" i="7" s="1"/>
  <c r="I981" i="7"/>
  <c r="J987" i="8" a="1"/>
  <c r="J987" i="8" s="1"/>
  <c r="A988" i="8"/>
  <c r="I987" i="8"/>
  <c r="J988" i="8" l="1" a="1"/>
  <c r="J988" i="8" s="1"/>
  <c r="I988" i="8"/>
  <c r="A989" i="8"/>
  <c r="A983" i="7"/>
  <c r="J982" i="7" a="1"/>
  <c r="J982" i="7" s="1"/>
  <c r="I982" i="7"/>
  <c r="J979" i="5" a="1"/>
  <c r="J979" i="5" s="1"/>
  <c r="I979" i="5"/>
  <c r="A980" i="5"/>
  <c r="J990" i="9" a="1"/>
  <c r="J990" i="9" s="1"/>
  <c r="I990" i="9"/>
  <c r="A991" i="9"/>
  <c r="J995" i="3" a="1"/>
  <c r="J995" i="3" s="1"/>
  <c r="I995" i="3"/>
  <c r="A996" i="3"/>
  <c r="A997" i="3" l="1"/>
  <c r="J996" i="3" a="1"/>
  <c r="J996" i="3" s="1"/>
  <c r="I996" i="3"/>
  <c r="J991" i="9" a="1"/>
  <c r="J991" i="9" s="1"/>
  <c r="I991" i="9"/>
  <c r="A992" i="9"/>
  <c r="A981" i="5"/>
  <c r="J980" i="5" a="1"/>
  <c r="J980" i="5" s="1"/>
  <c r="I980" i="5"/>
  <c r="A984" i="7"/>
  <c r="J983" i="7" a="1"/>
  <c r="J983" i="7" s="1"/>
  <c r="I983" i="7"/>
  <c r="A990" i="8"/>
  <c r="I989" i="8"/>
  <c r="J989" i="8" a="1"/>
  <c r="J989" i="8" s="1"/>
  <c r="J990" i="8" l="1" a="1"/>
  <c r="J990" i="8" s="1"/>
  <c r="I990" i="8"/>
  <c r="A991" i="8"/>
  <c r="I984" i="7"/>
  <c r="A985" i="7"/>
  <c r="J984" i="7" a="1"/>
  <c r="J984" i="7" s="1"/>
  <c r="A982" i="5"/>
  <c r="I981" i="5"/>
  <c r="J981" i="5" a="1"/>
  <c r="J981" i="5" s="1"/>
  <c r="I992" i="9"/>
  <c r="A993" i="9"/>
  <c r="J992" i="9" a="1"/>
  <c r="J992" i="9" s="1"/>
  <c r="J997" i="3" a="1"/>
  <c r="J997" i="3" s="1"/>
  <c r="I997" i="3"/>
  <c r="A998" i="3"/>
  <c r="A999" i="3" l="1"/>
  <c r="J998" i="3" a="1"/>
  <c r="J998" i="3" s="1"/>
  <c r="I998" i="3"/>
  <c r="A994" i="9"/>
  <c r="J993" i="9" a="1"/>
  <c r="J993" i="9" s="1"/>
  <c r="I993" i="9"/>
  <c r="A983" i="5"/>
  <c r="J982" i="5" a="1"/>
  <c r="J982" i="5" s="1"/>
  <c r="I982" i="5"/>
  <c r="A986" i="7"/>
  <c r="J985" i="7" a="1"/>
  <c r="J985" i="7" s="1"/>
  <c r="I985" i="7"/>
  <c r="J991" i="8" a="1"/>
  <c r="J991" i="8" s="1"/>
  <c r="A992" i="8"/>
  <c r="I991" i="8"/>
  <c r="A993" i="8" l="1"/>
  <c r="J992" i="8" a="1"/>
  <c r="J992" i="8" s="1"/>
  <c r="I992" i="8"/>
  <c r="A987" i="7"/>
  <c r="J986" i="7" a="1"/>
  <c r="J986" i="7" s="1"/>
  <c r="I986" i="7"/>
  <c r="J983" i="5" a="1"/>
  <c r="J983" i="5" s="1"/>
  <c r="I983" i="5"/>
  <c r="A984" i="5"/>
  <c r="J994" i="9" a="1"/>
  <c r="J994" i="9" s="1"/>
  <c r="A995" i="9"/>
  <c r="I994" i="9"/>
  <c r="A1000" i="3"/>
  <c r="J999" i="3" a="1"/>
  <c r="J999" i="3" s="1"/>
  <c r="I999" i="3"/>
  <c r="J1000" i="3" l="1" a="1"/>
  <c r="J1000" i="3" s="1"/>
  <c r="I1000" i="3"/>
  <c r="J995" i="9" a="1"/>
  <c r="J995" i="9" s="1"/>
  <c r="I995" i="9"/>
  <c r="A996" i="9"/>
  <c r="I984" i="5"/>
  <c r="A985" i="5"/>
  <c r="J984" i="5" a="1"/>
  <c r="J984" i="5" s="1"/>
  <c r="I987" i="7"/>
  <c r="A988" i="7"/>
  <c r="J987" i="7" a="1"/>
  <c r="J987" i="7" s="1"/>
  <c r="J993" i="8" a="1"/>
  <c r="J993" i="8" s="1"/>
  <c r="I993" i="8"/>
  <c r="A994" i="8"/>
  <c r="I994" i="8" l="1"/>
  <c r="J994" i="8" a="1"/>
  <c r="J994" i="8" s="1"/>
  <c r="A995" i="8"/>
  <c r="A989" i="7"/>
  <c r="J988" i="7" a="1"/>
  <c r="J988" i="7" s="1"/>
  <c r="I988" i="7"/>
  <c r="A986" i="5"/>
  <c r="J985" i="5" a="1"/>
  <c r="J985" i="5" s="1"/>
  <c r="I985" i="5"/>
  <c r="A997" i="9"/>
  <c r="I996" i="9"/>
  <c r="J996" i="9" a="1"/>
  <c r="J996" i="9" s="1"/>
  <c r="J997" i="9" l="1" a="1"/>
  <c r="J997" i="9" s="1"/>
  <c r="A998" i="9"/>
  <c r="I997" i="9"/>
  <c r="I986" i="5"/>
  <c r="A987" i="5"/>
  <c r="J986" i="5" a="1"/>
  <c r="J986" i="5" s="1"/>
  <c r="I989" i="7"/>
  <c r="J989" i="7" a="1"/>
  <c r="J989" i="7" s="1"/>
  <c r="A990" i="7"/>
  <c r="A996" i="8"/>
  <c r="J995" i="8" a="1"/>
  <c r="J995" i="8" s="1"/>
  <c r="I995" i="8"/>
  <c r="A997" i="8" l="1"/>
  <c r="J996" i="8" a="1"/>
  <c r="J996" i="8" s="1"/>
  <c r="I996" i="8"/>
  <c r="I990" i="7"/>
  <c r="A991" i="7"/>
  <c r="J990" i="7" a="1"/>
  <c r="J990" i="7" s="1"/>
  <c r="J987" i="5" a="1"/>
  <c r="J987" i="5" s="1"/>
  <c r="A988" i="5"/>
  <c r="I987" i="5"/>
  <c r="A999" i="9"/>
  <c r="I998" i="9"/>
  <c r="J998" i="9" a="1"/>
  <c r="J998" i="9" s="1"/>
  <c r="A1000" i="9" l="1"/>
  <c r="J999" i="9" a="1"/>
  <c r="J999" i="9" s="1"/>
  <c r="I999" i="9"/>
  <c r="A989" i="5"/>
  <c r="J988" i="5" a="1"/>
  <c r="J988" i="5" s="1"/>
  <c r="I988" i="5"/>
  <c r="A992" i="7"/>
  <c r="I991" i="7"/>
  <c r="J991" i="7" a="1"/>
  <c r="J991" i="7" s="1"/>
  <c r="A998" i="8"/>
  <c r="J997" i="8" a="1"/>
  <c r="J997" i="8" s="1"/>
  <c r="I997" i="8"/>
  <c r="A999" i="8" l="1"/>
  <c r="J998" i="8" a="1"/>
  <c r="J998" i="8" s="1"/>
  <c r="I998" i="8"/>
  <c r="A993" i="7"/>
  <c r="I992" i="7"/>
  <c r="J992" i="7" a="1"/>
  <c r="J992" i="7" s="1"/>
  <c r="A990" i="5"/>
  <c r="J989" i="5" a="1"/>
  <c r="J989" i="5" s="1"/>
  <c r="I989" i="5"/>
  <c r="J1000" i="9" a="1"/>
  <c r="J1000" i="9" s="1"/>
  <c r="I1000" i="9"/>
  <c r="I990" i="5" l="1"/>
  <c r="A991" i="5"/>
  <c r="J990" i="5" a="1"/>
  <c r="J990" i="5" s="1"/>
  <c r="A994" i="7"/>
  <c r="J993" i="7" a="1"/>
  <c r="J993" i="7" s="1"/>
  <c r="I993" i="7"/>
  <c r="J999" i="8" a="1"/>
  <c r="J999" i="8" s="1"/>
  <c r="A1000" i="8"/>
  <c r="I999" i="8"/>
  <c r="J1000" i="8" l="1" a="1"/>
  <c r="J1000" i="8" s="1"/>
  <c r="I1000" i="8"/>
  <c r="J994" i="7" a="1"/>
  <c r="J994" i="7" s="1"/>
  <c r="A995" i="7"/>
  <c r="I994" i="7"/>
  <c r="J991" i="5" a="1"/>
  <c r="J991" i="5" s="1"/>
  <c r="A992" i="5"/>
  <c r="I991" i="5"/>
  <c r="I992" i="5" l="1"/>
  <c r="J992" i="5" a="1"/>
  <c r="J992" i="5" s="1"/>
  <c r="A993" i="5"/>
  <c r="J995" i="7" a="1"/>
  <c r="J995" i="7" s="1"/>
  <c r="I995" i="7"/>
  <c r="A996" i="7"/>
  <c r="J996" i="7" l="1" a="1"/>
  <c r="J996" i="7" s="1"/>
  <c r="I996" i="7"/>
  <c r="A997" i="7"/>
  <c r="A994" i="5"/>
  <c r="J993" i="5" a="1"/>
  <c r="J993" i="5" s="1"/>
  <c r="I993" i="5"/>
  <c r="A995" i="5" l="1"/>
  <c r="I994" i="5"/>
  <c r="J994" i="5" a="1"/>
  <c r="J994" i="5" s="1"/>
  <c r="A998" i="7"/>
  <c r="J997" i="7" a="1"/>
  <c r="J997" i="7" s="1"/>
  <c r="I997" i="7"/>
  <c r="A999" i="7" l="1"/>
  <c r="J998" i="7" a="1"/>
  <c r="J998" i="7" s="1"/>
  <c r="I998" i="7"/>
  <c r="A996" i="5"/>
  <c r="J995" i="5" a="1"/>
  <c r="J995" i="5" s="1"/>
  <c r="I995" i="5"/>
  <c r="I996" i="5" l="1"/>
  <c r="J996" i="5" a="1"/>
  <c r="J996" i="5" s="1"/>
  <c r="A997" i="5"/>
  <c r="I999" i="7"/>
  <c r="A1000" i="7"/>
  <c r="J999" i="7" a="1"/>
  <c r="J999" i="7" s="1"/>
  <c r="J1000" i="7" l="1" a="1"/>
  <c r="J1000" i="7" s="1"/>
  <c r="I1000" i="7"/>
  <c r="A998" i="5"/>
  <c r="J997" i="5" a="1"/>
  <c r="J997" i="5" s="1"/>
  <c r="I997" i="5"/>
  <c r="J998" i="5" l="1" a="1"/>
  <c r="J998" i="5" s="1"/>
  <c r="A999" i="5"/>
  <c r="I998" i="5"/>
  <c r="I999" i="5" l="1"/>
  <c r="A1000" i="5"/>
  <c r="J999" i="5" a="1"/>
  <c r="J999" i="5" s="1"/>
  <c r="J1000" i="5" l="1" a="1"/>
  <c r="J1000" i="5" s="1"/>
  <c r="I100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<sst xmlns="http://schemas.openxmlformats.org/spreadsheetml/2006/main" count="7386" uniqueCount="118">
  <si>
    <t>Jugador</t>
  </si>
  <si>
    <t>Tipo de Slot</t>
  </si>
  <si>
    <t>Prioridad</t>
  </si>
  <si>
    <t>Hoshiumi</t>
  </si>
  <si>
    <t>Poder vibrante</t>
  </si>
  <si>
    <t>Incremento de poder</t>
  </si>
  <si>
    <t>Kyotani</t>
  </si>
  <si>
    <t>Iwaizumi</t>
  </si>
  <si>
    <t>Oikawa</t>
  </si>
  <si>
    <t>Saque preciso</t>
  </si>
  <si>
    <t>Pase preciso</t>
  </si>
  <si>
    <t>Atsumu</t>
  </si>
  <si>
    <t>Osamu</t>
  </si>
  <si>
    <t>Ataque veloz</t>
  </si>
  <si>
    <t>Sentido agudo</t>
  </si>
  <si>
    <t>Nishinoya</t>
  </si>
  <si>
    <t>Recepción de asistencia</t>
  </si>
  <si>
    <t>Recepción suprema</t>
  </si>
  <si>
    <t>Akagi</t>
  </si>
  <si>
    <t>Sakusa</t>
  </si>
  <si>
    <t>Hirugami</t>
  </si>
  <si>
    <t>Guardia contundente</t>
  </si>
  <si>
    <t>Bloque preciso</t>
  </si>
  <si>
    <t>Movimiento de bloqueo</t>
  </si>
  <si>
    <t>Kuroo</t>
  </si>
  <si>
    <t>Suna</t>
  </si>
  <si>
    <t>Komori</t>
  </si>
  <si>
    <t>Kita</t>
  </si>
  <si>
    <t>Ojiro</t>
  </si>
  <si>
    <t>Opt. de estado</t>
  </si>
  <si>
    <t>Puntos</t>
  </si>
  <si>
    <t>Substats</t>
  </si>
  <si>
    <t>Ataque poderoso</t>
  </si>
  <si>
    <t>Percepción</t>
  </si>
  <si>
    <t>Fuerza</t>
  </si>
  <si>
    <t>Técnica ofensiva</t>
  </si>
  <si>
    <t>Saque</t>
  </si>
  <si>
    <t>Bloqueo</t>
  </si>
  <si>
    <t>Recepción</t>
  </si>
  <si>
    <t>Reflejos</t>
  </si>
  <si>
    <t>Espíritu</t>
  </si>
  <si>
    <t>Colocación</t>
  </si>
  <si>
    <t>Ataque rápido</t>
  </si>
  <si>
    <t>Recuperación</t>
  </si>
  <si>
    <t>Técnica defensiva</t>
  </si>
  <si>
    <t>ID</t>
  </si>
  <si>
    <t>Calidad</t>
  </si>
  <si>
    <t>Tipo</t>
  </si>
  <si>
    <t>Main Stat</t>
  </si>
  <si>
    <t>Substat1</t>
  </si>
  <si>
    <t>Substat2</t>
  </si>
  <si>
    <t>Substat3</t>
  </si>
  <si>
    <t>Substat4</t>
  </si>
  <si>
    <t>Legendario</t>
  </si>
  <si>
    <t>Épico</t>
  </si>
  <si>
    <t>Finta de colocador</t>
  </si>
  <si>
    <t>Potenciación de la moral</t>
  </si>
  <si>
    <t>Opt. de percepción</t>
  </si>
  <si>
    <t xml:space="preserve"> Técnica ofensiva</t>
  </si>
  <si>
    <t>Mejor Build</t>
  </si>
  <si>
    <t>Equipado</t>
  </si>
  <si>
    <t>ID Sec</t>
  </si>
  <si>
    <t>ID Pri</t>
  </si>
  <si>
    <t>Slot</t>
  </si>
  <si>
    <t>Pts ID Pri</t>
  </si>
  <si>
    <t>Pts ID Sec</t>
  </si>
  <si>
    <t>Dif PS</t>
  </si>
  <si>
    <t>Build PS</t>
  </si>
  <si>
    <t>Build SP</t>
  </si>
  <si>
    <t>Pts PS</t>
  </si>
  <si>
    <t>Pts SP</t>
  </si>
  <si>
    <t>Tsukishima</t>
  </si>
  <si>
    <t>Tanaka</t>
  </si>
  <si>
    <t>Sugawara</t>
  </si>
  <si>
    <t>Hinata</t>
  </si>
  <si>
    <t>Yamamoto</t>
  </si>
  <si>
    <t>ID Ter</t>
  </si>
  <si>
    <t>ID Cua</t>
  </si>
  <si>
    <t>Pts ID Ter</t>
  </si>
  <si>
    <t>Pts ID Cua</t>
  </si>
  <si>
    <t>Dif PT</t>
  </si>
  <si>
    <t>Dif ST</t>
  </si>
  <si>
    <t>Dif PC</t>
  </si>
  <si>
    <t>Dif SC</t>
  </si>
  <si>
    <t>Build PT</t>
  </si>
  <si>
    <t>Build PC</t>
  </si>
  <si>
    <t>Build ST</t>
  </si>
  <si>
    <t>Pts PT</t>
  </si>
  <si>
    <t>Build SC</t>
  </si>
  <si>
    <t>Pts PC</t>
  </si>
  <si>
    <t>PtsST</t>
  </si>
  <si>
    <t>PtsSC</t>
  </si>
  <si>
    <t xml:space="preserve"> </t>
  </si>
  <si>
    <t xml:space="preserve">Reflejos </t>
  </si>
  <si>
    <t>Estado Act</t>
  </si>
  <si>
    <t>Ronda</t>
  </si>
  <si>
    <t>Premio</t>
  </si>
  <si>
    <t>Precio</t>
  </si>
  <si>
    <t>Cantidad</t>
  </si>
  <si>
    <t>Total</t>
  </si>
  <si>
    <t>Boleto Morado</t>
  </si>
  <si>
    <t>Oro 50000</t>
  </si>
  <si>
    <t>Exp 5000</t>
  </si>
  <si>
    <t>Bebida 30</t>
  </si>
  <si>
    <t>Manual ent. 10</t>
  </si>
  <si>
    <t>Fragmento SR</t>
  </si>
  <si>
    <t xml:space="preserve">Caja Resis Grande </t>
  </si>
  <si>
    <t>Paq Frag SSR 3</t>
  </si>
  <si>
    <t>Pot Épico azar</t>
  </si>
  <si>
    <t>Interes</t>
  </si>
  <si>
    <t>Si</t>
  </si>
  <si>
    <t>No</t>
  </si>
  <si>
    <t>Manual Asc. Rec. 20</t>
  </si>
  <si>
    <t>Exp Rec. Épico 2</t>
  </si>
  <si>
    <t>Jugador 3*</t>
  </si>
  <si>
    <t>Cupón Leche</t>
  </si>
  <si>
    <t>Pot. Legendario Azar</t>
  </si>
  <si>
    <t>Jugador 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</si>
</sst>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Liberation Sans"/>
      <charset val="1"/>
    </font>
    <font>
      <sz val="10"/>
      <color theme="1"/>
      <name val="Liberation San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Border="1"/>
    <xf numFmtId="0" fontId="0" fillId="0" borderId="0" xfId="0" applyBorder="1"/>
    <xf numFmtId="0" fontId="1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1" fillId="0" borderId="4" xfId="0" applyFont="1" applyBorder="1"/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6" xfId="0" applyFont="1" applyBorder="1"/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" xfId="0" applyBorder="1"/>
    <xf numFmtId="0" fontId="0" fillId="0" borderId="4" xfId="0" applyBorder="1"/>
    <xf numFmtId="0" fontId="0" fillId="0" borderId="6" xfId="0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E18" sqref="E18"/>
    </sheetView>
  </sheetViews>
  <sheetFormatPr baseColWidth="10" defaultColWidth="9.140625" defaultRowHeight="15" x14ac:dyDescent="0.25"/>
  <cols>
    <col min="1" max="1" width="9.28515625" bestFit="1" customWidth="1"/>
    <col min="2" max="2" width="21.5703125" bestFit="1" customWidth="1"/>
    <col min="3" max="3" width="8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1" t="s">
        <v>3</v>
      </c>
      <c r="B2" s="1" t="s">
        <v>4</v>
      </c>
      <c r="C2" s="1">
        <v>1</v>
      </c>
    </row>
    <row r="3" spans="1:4" x14ac:dyDescent="0.25">
      <c r="A3" s="1" t="s">
        <v>3</v>
      </c>
      <c r="B3" s="1" t="s">
        <v>5</v>
      </c>
      <c r="C3" s="1">
        <v>2</v>
      </c>
    </row>
    <row r="4" spans="1:4" x14ac:dyDescent="0.25">
      <c r="A4" s="1" t="s">
        <v>3</v>
      </c>
      <c r="B4" s="1" t="s">
        <v>56</v>
      </c>
      <c r="C4" s="1">
        <v>3</v>
      </c>
    </row>
    <row r="5" spans="1:4" x14ac:dyDescent="0.25">
      <c r="A5" s="1" t="s">
        <v>3</v>
      </c>
      <c r="B5" s="1" t="s">
        <v>29</v>
      </c>
      <c r="C5" s="1">
        <v>4</v>
      </c>
    </row>
    <row r="6" spans="1:4" x14ac:dyDescent="0.25">
      <c r="A6" t="s">
        <v>6</v>
      </c>
      <c r="B6" s="1" t="s">
        <v>4</v>
      </c>
      <c r="C6" s="1">
        <v>1</v>
      </c>
    </row>
    <row r="7" spans="1:4" x14ac:dyDescent="0.25">
      <c r="A7" t="s">
        <v>6</v>
      </c>
      <c r="B7" s="1" t="s">
        <v>5</v>
      </c>
      <c r="C7" s="1">
        <v>2</v>
      </c>
    </row>
    <row r="8" spans="1:4" x14ac:dyDescent="0.25">
      <c r="A8" t="s">
        <v>6</v>
      </c>
      <c r="B8" s="1" t="s">
        <v>56</v>
      </c>
      <c r="C8" s="1">
        <v>3</v>
      </c>
    </row>
    <row r="9" spans="1:4" x14ac:dyDescent="0.25">
      <c r="A9" t="s">
        <v>6</v>
      </c>
      <c r="B9" s="1" t="s">
        <v>29</v>
      </c>
      <c r="C9" s="1">
        <v>4</v>
      </c>
    </row>
    <row r="10" spans="1:4" x14ac:dyDescent="0.25">
      <c r="A10" t="s">
        <v>7</v>
      </c>
      <c r="B10" s="1" t="s">
        <v>4</v>
      </c>
      <c r="C10" s="1">
        <v>1</v>
      </c>
    </row>
    <row r="11" spans="1:4" x14ac:dyDescent="0.25">
      <c r="A11" t="s">
        <v>7</v>
      </c>
      <c r="B11" s="1" t="s">
        <v>5</v>
      </c>
      <c r="C11" s="1">
        <v>2</v>
      </c>
    </row>
    <row r="12" spans="1:4" x14ac:dyDescent="0.25">
      <c r="A12" t="s">
        <v>7</v>
      </c>
      <c r="B12" s="1" t="s">
        <v>56</v>
      </c>
      <c r="C12" s="1">
        <v>3</v>
      </c>
    </row>
    <row r="13" spans="1:4" x14ac:dyDescent="0.25">
      <c r="A13" t="s">
        <v>7</v>
      </c>
      <c r="B13" s="1" t="s">
        <v>29</v>
      </c>
      <c r="C13" s="1">
        <v>4</v>
      </c>
    </row>
    <row r="14" spans="1:4" x14ac:dyDescent="0.25">
      <c r="A14" t="s">
        <v>8</v>
      </c>
      <c r="B14" t="s">
        <v>9</v>
      </c>
      <c r="C14">
        <v>1</v>
      </c>
    </row>
    <row r="15" spans="1:4" x14ac:dyDescent="0.25">
      <c r="A15" t="s">
        <v>8</v>
      </c>
      <c r="B15" t="s">
        <v>10</v>
      </c>
      <c r="C15">
        <v>2</v>
      </c>
    </row>
    <row r="16" spans="1:4" x14ac:dyDescent="0.25">
      <c r="A16" t="s">
        <v>8</v>
      </c>
      <c r="B16" t="s">
        <v>55</v>
      </c>
      <c r="C16">
        <v>3</v>
      </c>
    </row>
    <row r="17" spans="1:3" x14ac:dyDescent="0.25">
      <c r="A17" t="s">
        <v>11</v>
      </c>
      <c r="B17" t="s">
        <v>9</v>
      </c>
      <c r="C17">
        <v>1</v>
      </c>
    </row>
    <row r="18" spans="1:3" x14ac:dyDescent="0.25">
      <c r="A18" t="s">
        <v>11</v>
      </c>
      <c r="B18" t="s">
        <v>10</v>
      </c>
      <c r="C18">
        <v>2</v>
      </c>
    </row>
    <row r="19" spans="1:3" x14ac:dyDescent="0.25">
      <c r="A19" t="s">
        <v>11</v>
      </c>
      <c r="B19" t="s">
        <v>55</v>
      </c>
      <c r="C19">
        <v>3</v>
      </c>
    </row>
    <row r="20" spans="1:3" x14ac:dyDescent="0.25">
      <c r="A20" t="s">
        <v>12</v>
      </c>
      <c r="B20" t="s">
        <v>13</v>
      </c>
      <c r="C20">
        <v>1</v>
      </c>
    </row>
    <row r="21" spans="1:3" x14ac:dyDescent="0.25">
      <c r="A21" t="s">
        <v>12</v>
      </c>
      <c r="B21" t="s">
        <v>14</v>
      </c>
      <c r="C21">
        <v>2</v>
      </c>
    </row>
    <row r="22" spans="1:3" x14ac:dyDescent="0.25">
      <c r="A22" t="s">
        <v>15</v>
      </c>
      <c r="B22" t="s">
        <v>16</v>
      </c>
      <c r="C22">
        <v>1</v>
      </c>
    </row>
    <row r="23" spans="1:3" x14ac:dyDescent="0.25">
      <c r="A23" t="s">
        <v>15</v>
      </c>
      <c r="B23" t="s">
        <v>17</v>
      </c>
      <c r="C23">
        <v>2</v>
      </c>
    </row>
    <row r="24" spans="1:3" x14ac:dyDescent="0.25">
      <c r="A24" t="s">
        <v>18</v>
      </c>
      <c r="B24" t="s">
        <v>16</v>
      </c>
      <c r="C24">
        <v>1</v>
      </c>
    </row>
    <row r="25" spans="1:3" x14ac:dyDescent="0.25">
      <c r="A25" t="s">
        <v>18</v>
      </c>
      <c r="B25" t="s">
        <v>17</v>
      </c>
      <c r="C25">
        <v>2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16</v>
      </c>
      <c r="C27">
        <v>2</v>
      </c>
    </row>
    <row r="28" spans="1:3" x14ac:dyDescent="0.25">
      <c r="A28" t="s">
        <v>20</v>
      </c>
      <c r="B28" t="s">
        <v>21</v>
      </c>
      <c r="C28">
        <v>1</v>
      </c>
    </row>
    <row r="29" spans="1:3" x14ac:dyDescent="0.25">
      <c r="A29" t="s">
        <v>20</v>
      </c>
      <c r="B29" t="s">
        <v>22</v>
      </c>
      <c r="C29">
        <v>2</v>
      </c>
    </row>
    <row r="30" spans="1:3" x14ac:dyDescent="0.25">
      <c r="A30" t="s">
        <v>20</v>
      </c>
      <c r="B30" t="s">
        <v>23</v>
      </c>
      <c r="C30">
        <v>3</v>
      </c>
    </row>
    <row r="31" spans="1:3" x14ac:dyDescent="0.25">
      <c r="A31" t="s">
        <v>24</v>
      </c>
      <c r="B31" t="s">
        <v>22</v>
      </c>
      <c r="C31">
        <v>1</v>
      </c>
    </row>
    <row r="32" spans="1:3" x14ac:dyDescent="0.25">
      <c r="A32" t="s">
        <v>24</v>
      </c>
      <c r="B32" t="s">
        <v>23</v>
      </c>
      <c r="C32">
        <v>2</v>
      </c>
    </row>
    <row r="33" spans="1:3" x14ac:dyDescent="0.25">
      <c r="A33" t="s">
        <v>25</v>
      </c>
      <c r="B33" t="s">
        <v>22</v>
      </c>
      <c r="C33">
        <v>1</v>
      </c>
    </row>
    <row r="34" spans="1:3" x14ac:dyDescent="0.25">
      <c r="A34" t="s">
        <v>25</v>
      </c>
      <c r="B34" t="s">
        <v>13</v>
      </c>
      <c r="C34">
        <v>2</v>
      </c>
    </row>
    <row r="35" spans="1:3" x14ac:dyDescent="0.25">
      <c r="A35" t="s">
        <v>26</v>
      </c>
      <c r="B35" t="s">
        <v>21</v>
      </c>
      <c r="C35">
        <v>1</v>
      </c>
    </row>
    <row r="36" spans="1:3" x14ac:dyDescent="0.25">
      <c r="A36" t="s">
        <v>26</v>
      </c>
      <c r="B36" t="s">
        <v>16</v>
      </c>
      <c r="C36">
        <v>2</v>
      </c>
    </row>
    <row r="37" spans="1:3" x14ac:dyDescent="0.25">
      <c r="A37" t="s">
        <v>26</v>
      </c>
      <c r="B37" t="s">
        <v>17</v>
      </c>
      <c r="C37">
        <v>3</v>
      </c>
    </row>
    <row r="38" spans="1:3" x14ac:dyDescent="0.25">
      <c r="A38" t="s">
        <v>27</v>
      </c>
      <c r="B38" t="s">
        <v>16</v>
      </c>
      <c r="C38">
        <v>1</v>
      </c>
    </row>
    <row r="39" spans="1:3" x14ac:dyDescent="0.25">
      <c r="A39" t="s">
        <v>27</v>
      </c>
      <c r="B39" t="s">
        <v>17</v>
      </c>
      <c r="C39">
        <v>2</v>
      </c>
    </row>
    <row r="40" spans="1:3" x14ac:dyDescent="0.25">
      <c r="A40" t="s">
        <v>28</v>
      </c>
      <c r="B40" t="s">
        <v>29</v>
      </c>
      <c r="C40">
        <v>1</v>
      </c>
    </row>
    <row r="41" spans="1:3" x14ac:dyDescent="0.25">
      <c r="A41" t="s">
        <v>28</v>
      </c>
      <c r="B41" t="s">
        <v>5</v>
      </c>
      <c r="C41">
        <v>2</v>
      </c>
    </row>
    <row r="42" spans="1:3" x14ac:dyDescent="0.25">
      <c r="A42" t="s">
        <v>28</v>
      </c>
      <c r="B42" t="s">
        <v>4</v>
      </c>
      <c r="C42">
        <v>3</v>
      </c>
    </row>
    <row r="43" spans="1:3" x14ac:dyDescent="0.25">
      <c r="A43" t="s">
        <v>71</v>
      </c>
      <c r="B43" t="s">
        <v>21</v>
      </c>
      <c r="C43">
        <v>1</v>
      </c>
    </row>
    <row r="44" spans="1:3" x14ac:dyDescent="0.25">
      <c r="A44" t="s">
        <v>71</v>
      </c>
      <c r="B44" t="s">
        <v>22</v>
      </c>
      <c r="C44">
        <v>2</v>
      </c>
    </row>
    <row r="45" spans="1:3" x14ac:dyDescent="0.25">
      <c r="A45" t="s">
        <v>71</v>
      </c>
      <c r="B45" t="s">
        <v>23</v>
      </c>
      <c r="C45">
        <v>3</v>
      </c>
    </row>
    <row r="46" spans="1:3" x14ac:dyDescent="0.25">
      <c r="A46" t="s">
        <v>72</v>
      </c>
      <c r="B46" s="1" t="s">
        <v>4</v>
      </c>
      <c r="C46" s="1">
        <v>1</v>
      </c>
    </row>
    <row r="47" spans="1:3" x14ac:dyDescent="0.25">
      <c r="A47" t="s">
        <v>72</v>
      </c>
      <c r="B47" s="1" t="s">
        <v>5</v>
      </c>
      <c r="C47" s="1">
        <v>2</v>
      </c>
    </row>
    <row r="48" spans="1:3" x14ac:dyDescent="0.25">
      <c r="A48" t="s">
        <v>72</v>
      </c>
      <c r="B48" s="1" t="s">
        <v>56</v>
      </c>
      <c r="C48" s="1">
        <v>3</v>
      </c>
    </row>
    <row r="49" spans="1:3" x14ac:dyDescent="0.25">
      <c r="A49" t="s">
        <v>72</v>
      </c>
      <c r="B49" s="1" t="s">
        <v>29</v>
      </c>
      <c r="C49" s="1">
        <v>4</v>
      </c>
    </row>
    <row r="50" spans="1:3" x14ac:dyDescent="0.25">
      <c r="A50" t="s">
        <v>73</v>
      </c>
      <c r="B50" t="s">
        <v>9</v>
      </c>
      <c r="C50">
        <v>1</v>
      </c>
    </row>
    <row r="51" spans="1:3" x14ac:dyDescent="0.25">
      <c r="A51" t="s">
        <v>73</v>
      </c>
      <c r="B51" t="s">
        <v>10</v>
      </c>
      <c r="C51">
        <v>2</v>
      </c>
    </row>
    <row r="52" spans="1:3" x14ac:dyDescent="0.25">
      <c r="A52" t="s">
        <v>73</v>
      </c>
      <c r="B52" t="s">
        <v>55</v>
      </c>
      <c r="C52">
        <v>3</v>
      </c>
    </row>
    <row r="53" spans="1:3" x14ac:dyDescent="0.25">
      <c r="A53" t="s">
        <v>74</v>
      </c>
      <c r="B53" t="s">
        <v>13</v>
      </c>
      <c r="C53">
        <v>1</v>
      </c>
    </row>
    <row r="54" spans="1:3" x14ac:dyDescent="0.25">
      <c r="A54" t="s">
        <v>74</v>
      </c>
      <c r="B54" t="s">
        <v>14</v>
      </c>
      <c r="C54">
        <v>2</v>
      </c>
    </row>
    <row r="55" spans="1:3" x14ac:dyDescent="0.25">
      <c r="A55" t="s">
        <v>75</v>
      </c>
      <c r="B55" s="1" t="s">
        <v>4</v>
      </c>
      <c r="C55" s="1">
        <v>1</v>
      </c>
    </row>
    <row r="56" spans="1:3" x14ac:dyDescent="0.25">
      <c r="A56" t="s">
        <v>75</v>
      </c>
      <c r="B56" s="1" t="s">
        <v>5</v>
      </c>
      <c r="C56" s="1">
        <v>2</v>
      </c>
    </row>
    <row r="57" spans="1:3" x14ac:dyDescent="0.25">
      <c r="A57" t="s">
        <v>75</v>
      </c>
      <c r="B57" s="1" t="s">
        <v>56</v>
      </c>
      <c r="C57" s="1">
        <v>3</v>
      </c>
    </row>
    <row r="58" spans="1:3" x14ac:dyDescent="0.25">
      <c r="A58" t="s">
        <v>75</v>
      </c>
      <c r="B58" s="1" t="s">
        <v>29</v>
      </c>
      <c r="C58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9645-1411-405E-8FB3-CBA131E171D3}">
  <dimension ref="A1:C122"/>
  <sheetViews>
    <sheetView topLeftCell="A88" workbookViewId="0">
      <selection activeCell="A105" sqref="A105:C105"/>
    </sheetView>
  </sheetViews>
  <sheetFormatPr baseColWidth="10" defaultColWidth="9.140625" defaultRowHeight="15" x14ac:dyDescent="0.25"/>
  <cols>
    <col min="1" max="1" width="9.28515625" bestFit="1" customWidth="1"/>
    <col min="2" max="2" width="6.5703125" bestFit="1" customWidth="1"/>
    <col min="3" max="3" width="15.85546875" bestFit="1" customWidth="1"/>
  </cols>
  <sheetData>
    <row r="1" spans="1:3" x14ac:dyDescent="0.25">
      <c r="A1" s="1" t="s">
        <v>0</v>
      </c>
      <c r="B1" s="1" t="s">
        <v>30</v>
      </c>
      <c r="C1" s="1" t="s">
        <v>31</v>
      </c>
    </row>
    <row r="2" spans="1:3" x14ac:dyDescent="0.25">
      <c r="A2" s="1" t="s">
        <v>3</v>
      </c>
      <c r="B2" s="1">
        <v>4</v>
      </c>
      <c r="C2" s="1" t="s">
        <v>32</v>
      </c>
    </row>
    <row r="3" spans="1:3" x14ac:dyDescent="0.25">
      <c r="A3" s="1" t="s">
        <v>3</v>
      </c>
      <c r="B3" s="1">
        <v>3</v>
      </c>
      <c r="C3" s="1" t="s">
        <v>33</v>
      </c>
    </row>
    <row r="4" spans="1:3" x14ac:dyDescent="0.25">
      <c r="A4" s="1" t="s">
        <v>3</v>
      </c>
      <c r="B4" s="1">
        <v>3</v>
      </c>
      <c r="C4" s="1" t="s">
        <v>34</v>
      </c>
    </row>
    <row r="5" spans="1:3" x14ac:dyDescent="0.25">
      <c r="A5" s="1" t="s">
        <v>3</v>
      </c>
      <c r="B5" s="1">
        <v>2</v>
      </c>
      <c r="C5" s="1" t="s">
        <v>35</v>
      </c>
    </row>
    <row r="6" spans="1:3" x14ac:dyDescent="0.25">
      <c r="A6" s="1" t="s">
        <v>3</v>
      </c>
      <c r="B6" s="1">
        <v>1</v>
      </c>
      <c r="C6" s="1" t="s">
        <v>36</v>
      </c>
    </row>
    <row r="7" spans="1:3" x14ac:dyDescent="0.25">
      <c r="A7" s="1" t="s">
        <v>3</v>
      </c>
      <c r="B7" s="1">
        <v>1</v>
      </c>
      <c r="C7" s="1" t="s">
        <v>37</v>
      </c>
    </row>
    <row r="8" spans="1:3" x14ac:dyDescent="0.25">
      <c r="A8" s="1" t="s">
        <v>3</v>
      </c>
      <c r="B8" s="1">
        <v>1</v>
      </c>
      <c r="C8" s="1" t="s">
        <v>38</v>
      </c>
    </row>
    <row r="9" spans="1:3" x14ac:dyDescent="0.25">
      <c r="A9" t="s">
        <v>6</v>
      </c>
      <c r="B9" s="1">
        <v>4</v>
      </c>
      <c r="C9" s="1" t="s">
        <v>32</v>
      </c>
    </row>
    <row r="10" spans="1:3" x14ac:dyDescent="0.25">
      <c r="A10" t="s">
        <v>6</v>
      </c>
      <c r="B10">
        <v>3</v>
      </c>
      <c r="C10" t="s">
        <v>36</v>
      </c>
    </row>
    <row r="11" spans="1:3" x14ac:dyDescent="0.25">
      <c r="A11" t="s">
        <v>6</v>
      </c>
      <c r="B11">
        <v>2</v>
      </c>
      <c r="C11" t="s">
        <v>33</v>
      </c>
    </row>
    <row r="12" spans="1:3" x14ac:dyDescent="0.25">
      <c r="A12" t="s">
        <v>6</v>
      </c>
      <c r="B12">
        <v>2</v>
      </c>
      <c r="C12" t="s">
        <v>34</v>
      </c>
    </row>
    <row r="13" spans="1:3" x14ac:dyDescent="0.25">
      <c r="A13" t="s">
        <v>6</v>
      </c>
      <c r="B13">
        <v>1</v>
      </c>
      <c r="C13" t="s">
        <v>35</v>
      </c>
    </row>
    <row r="14" spans="1:3" x14ac:dyDescent="0.25">
      <c r="A14" t="s">
        <v>7</v>
      </c>
      <c r="B14">
        <v>5</v>
      </c>
      <c r="C14" t="s">
        <v>32</v>
      </c>
    </row>
    <row r="15" spans="1:3" x14ac:dyDescent="0.25">
      <c r="A15" t="s">
        <v>7</v>
      </c>
      <c r="B15">
        <v>4</v>
      </c>
      <c r="C15" t="s">
        <v>33</v>
      </c>
    </row>
    <row r="16" spans="1:3" x14ac:dyDescent="0.25">
      <c r="A16" t="s">
        <v>7</v>
      </c>
      <c r="B16">
        <v>4</v>
      </c>
      <c r="C16" t="s">
        <v>34</v>
      </c>
    </row>
    <row r="17" spans="1:3" x14ac:dyDescent="0.25">
      <c r="A17" t="s">
        <v>7</v>
      </c>
      <c r="B17">
        <v>3</v>
      </c>
      <c r="C17" t="s">
        <v>38</v>
      </c>
    </row>
    <row r="18" spans="1:3" x14ac:dyDescent="0.25">
      <c r="A18" t="s">
        <v>7</v>
      </c>
      <c r="B18">
        <v>2</v>
      </c>
      <c r="C18" t="s">
        <v>36</v>
      </c>
    </row>
    <row r="19" spans="1:3" x14ac:dyDescent="0.25">
      <c r="A19" t="s">
        <v>7</v>
      </c>
      <c r="B19">
        <v>1</v>
      </c>
      <c r="C19" t="s">
        <v>39</v>
      </c>
    </row>
    <row r="20" spans="1:3" x14ac:dyDescent="0.25">
      <c r="A20" t="s">
        <v>7</v>
      </c>
      <c r="B20">
        <v>1</v>
      </c>
      <c r="C20" t="s">
        <v>40</v>
      </c>
    </row>
    <row r="21" spans="1:3" x14ac:dyDescent="0.25">
      <c r="A21" t="s">
        <v>8</v>
      </c>
      <c r="B21">
        <v>4</v>
      </c>
      <c r="C21" t="s">
        <v>36</v>
      </c>
    </row>
    <row r="22" spans="1:3" x14ac:dyDescent="0.25">
      <c r="A22" t="s">
        <v>8</v>
      </c>
      <c r="B22">
        <v>3</v>
      </c>
      <c r="C22" t="s">
        <v>41</v>
      </c>
    </row>
    <row r="23" spans="1:3" x14ac:dyDescent="0.25">
      <c r="A23" t="s">
        <v>8</v>
      </c>
      <c r="B23">
        <v>2</v>
      </c>
      <c r="C23" t="s">
        <v>33</v>
      </c>
    </row>
    <row r="24" spans="1:3" x14ac:dyDescent="0.25">
      <c r="A24" t="s">
        <v>8</v>
      </c>
      <c r="B24">
        <v>2</v>
      </c>
      <c r="C24" t="s">
        <v>34</v>
      </c>
    </row>
    <row r="25" spans="1:3" x14ac:dyDescent="0.25">
      <c r="A25" t="s">
        <v>8</v>
      </c>
      <c r="B25">
        <v>1</v>
      </c>
      <c r="C25" t="s">
        <v>35</v>
      </c>
    </row>
    <row r="26" spans="1:3" x14ac:dyDescent="0.25">
      <c r="A26" t="s">
        <v>11</v>
      </c>
      <c r="B26">
        <v>3</v>
      </c>
      <c r="C26" t="s">
        <v>36</v>
      </c>
    </row>
    <row r="27" spans="1:3" x14ac:dyDescent="0.25">
      <c r="A27" t="s">
        <v>11</v>
      </c>
      <c r="B27">
        <v>3</v>
      </c>
      <c r="C27" t="s">
        <v>41</v>
      </c>
    </row>
    <row r="28" spans="1:3" x14ac:dyDescent="0.25">
      <c r="A28" t="s">
        <v>11</v>
      </c>
      <c r="B28">
        <v>2</v>
      </c>
      <c r="C28" t="s">
        <v>33</v>
      </c>
    </row>
    <row r="29" spans="1:3" x14ac:dyDescent="0.25">
      <c r="A29" t="s">
        <v>11</v>
      </c>
      <c r="B29">
        <v>2</v>
      </c>
      <c r="C29" t="s">
        <v>34</v>
      </c>
    </row>
    <row r="30" spans="1:3" x14ac:dyDescent="0.25">
      <c r="A30" t="s">
        <v>11</v>
      </c>
      <c r="B30">
        <v>1</v>
      </c>
      <c r="C30" t="s">
        <v>35</v>
      </c>
    </row>
    <row r="31" spans="1:3" x14ac:dyDescent="0.25">
      <c r="A31" t="s">
        <v>12</v>
      </c>
      <c r="B31">
        <v>3</v>
      </c>
      <c r="C31" t="s">
        <v>42</v>
      </c>
    </row>
    <row r="32" spans="1:3" x14ac:dyDescent="0.25">
      <c r="A32" t="s">
        <v>12</v>
      </c>
      <c r="B32">
        <v>2</v>
      </c>
      <c r="C32" t="s">
        <v>35</v>
      </c>
    </row>
    <row r="33" spans="1:3" x14ac:dyDescent="0.25">
      <c r="A33" t="s">
        <v>12</v>
      </c>
      <c r="B33">
        <v>1</v>
      </c>
      <c r="C33" t="s">
        <v>33</v>
      </c>
    </row>
    <row r="34" spans="1:3" x14ac:dyDescent="0.25">
      <c r="A34" t="s">
        <v>12</v>
      </c>
      <c r="B34">
        <v>1</v>
      </c>
      <c r="C34" t="s">
        <v>36</v>
      </c>
    </row>
    <row r="35" spans="1:3" x14ac:dyDescent="0.25">
      <c r="A35" t="s">
        <v>15</v>
      </c>
      <c r="B35">
        <v>3</v>
      </c>
      <c r="C35" t="s">
        <v>43</v>
      </c>
    </row>
    <row r="36" spans="1:3" x14ac:dyDescent="0.25">
      <c r="A36" t="s">
        <v>15</v>
      </c>
      <c r="B36">
        <v>3</v>
      </c>
      <c r="C36" t="s">
        <v>38</v>
      </c>
    </row>
    <row r="37" spans="1:3" x14ac:dyDescent="0.25">
      <c r="A37" t="s">
        <v>15</v>
      </c>
      <c r="B37">
        <v>2</v>
      </c>
      <c r="C37" t="s">
        <v>39</v>
      </c>
    </row>
    <row r="38" spans="1:3" x14ac:dyDescent="0.25">
      <c r="A38" t="s">
        <v>15</v>
      </c>
      <c r="B38">
        <v>2</v>
      </c>
      <c r="C38" t="s">
        <v>40</v>
      </c>
    </row>
    <row r="39" spans="1:3" x14ac:dyDescent="0.25">
      <c r="A39" t="s">
        <v>15</v>
      </c>
      <c r="B39">
        <v>1</v>
      </c>
      <c r="C39" t="s">
        <v>44</v>
      </c>
    </row>
    <row r="40" spans="1:3" x14ac:dyDescent="0.25">
      <c r="A40" t="s">
        <v>18</v>
      </c>
      <c r="B40">
        <v>3</v>
      </c>
      <c r="C40" t="s">
        <v>43</v>
      </c>
    </row>
    <row r="41" spans="1:3" x14ac:dyDescent="0.25">
      <c r="A41" t="s">
        <v>18</v>
      </c>
      <c r="B41">
        <v>3</v>
      </c>
      <c r="C41" t="s">
        <v>38</v>
      </c>
    </row>
    <row r="42" spans="1:3" x14ac:dyDescent="0.25">
      <c r="A42" t="s">
        <v>18</v>
      </c>
      <c r="B42">
        <v>2</v>
      </c>
      <c r="C42" t="s">
        <v>39</v>
      </c>
    </row>
    <row r="43" spans="1:3" x14ac:dyDescent="0.25">
      <c r="A43" t="s">
        <v>18</v>
      </c>
      <c r="B43">
        <v>2</v>
      </c>
      <c r="C43" t="s">
        <v>40</v>
      </c>
    </row>
    <row r="44" spans="1:3" x14ac:dyDescent="0.25">
      <c r="A44" t="s">
        <v>18</v>
      </c>
      <c r="B44">
        <v>1</v>
      </c>
      <c r="C44" t="s">
        <v>44</v>
      </c>
    </row>
    <row r="45" spans="1:3" x14ac:dyDescent="0.25">
      <c r="A45" t="s">
        <v>19</v>
      </c>
      <c r="B45">
        <v>3</v>
      </c>
      <c r="C45" t="s">
        <v>38</v>
      </c>
    </row>
    <row r="46" spans="1:3" x14ac:dyDescent="0.25">
      <c r="A46" t="s">
        <v>19</v>
      </c>
      <c r="B46">
        <v>3</v>
      </c>
      <c r="C46" t="s">
        <v>32</v>
      </c>
    </row>
    <row r="47" spans="1:3" x14ac:dyDescent="0.25">
      <c r="A47" t="s">
        <v>19</v>
      </c>
      <c r="B47">
        <v>2</v>
      </c>
      <c r="C47" t="s">
        <v>35</v>
      </c>
    </row>
    <row r="48" spans="1:3" x14ac:dyDescent="0.25">
      <c r="A48" t="s">
        <v>19</v>
      </c>
      <c r="B48">
        <v>2</v>
      </c>
      <c r="C48" t="s">
        <v>44</v>
      </c>
    </row>
    <row r="49" spans="1:3" x14ac:dyDescent="0.25">
      <c r="A49" t="s">
        <v>19</v>
      </c>
      <c r="B49">
        <v>1</v>
      </c>
      <c r="C49" t="s">
        <v>39</v>
      </c>
    </row>
    <row r="50" spans="1:3" x14ac:dyDescent="0.25">
      <c r="A50" t="s">
        <v>19</v>
      </c>
      <c r="B50">
        <v>1</v>
      </c>
      <c r="C50" t="s">
        <v>40</v>
      </c>
    </row>
    <row r="51" spans="1:3" x14ac:dyDescent="0.25">
      <c r="A51" t="s">
        <v>20</v>
      </c>
      <c r="B51">
        <v>3</v>
      </c>
      <c r="C51" t="s">
        <v>37</v>
      </c>
    </row>
    <row r="52" spans="1:3" x14ac:dyDescent="0.25">
      <c r="A52" t="s">
        <v>20</v>
      </c>
      <c r="B52">
        <v>2</v>
      </c>
      <c r="C52" t="s">
        <v>42</v>
      </c>
    </row>
    <row r="53" spans="1:3" x14ac:dyDescent="0.25">
      <c r="A53" t="s">
        <v>20</v>
      </c>
      <c r="B53">
        <v>2</v>
      </c>
      <c r="C53" t="s">
        <v>39</v>
      </c>
    </row>
    <row r="54" spans="1:3" x14ac:dyDescent="0.25">
      <c r="A54" t="s">
        <v>20</v>
      </c>
      <c r="B54">
        <v>1</v>
      </c>
      <c r="C54" t="s">
        <v>36</v>
      </c>
    </row>
    <row r="55" spans="1:3" x14ac:dyDescent="0.25">
      <c r="A55" t="s">
        <v>20</v>
      </c>
      <c r="B55">
        <v>1</v>
      </c>
      <c r="C55" t="s">
        <v>44</v>
      </c>
    </row>
    <row r="56" spans="1:3" x14ac:dyDescent="0.25">
      <c r="A56" t="s">
        <v>20</v>
      </c>
      <c r="B56">
        <v>1</v>
      </c>
      <c r="C56" t="s">
        <v>35</v>
      </c>
    </row>
    <row r="57" spans="1:3" x14ac:dyDescent="0.25">
      <c r="A57" t="s">
        <v>20</v>
      </c>
      <c r="B57">
        <v>1</v>
      </c>
      <c r="C57" t="s">
        <v>40</v>
      </c>
    </row>
    <row r="58" spans="1:3" x14ac:dyDescent="0.25">
      <c r="A58" t="s">
        <v>20</v>
      </c>
      <c r="B58">
        <v>1</v>
      </c>
      <c r="C58" t="s">
        <v>34</v>
      </c>
    </row>
    <row r="59" spans="1:3" x14ac:dyDescent="0.25">
      <c r="A59" t="s">
        <v>24</v>
      </c>
      <c r="B59">
        <v>3</v>
      </c>
      <c r="C59" t="s">
        <v>37</v>
      </c>
    </row>
    <row r="60" spans="1:3" x14ac:dyDescent="0.25">
      <c r="A60" t="s">
        <v>24</v>
      </c>
      <c r="B60">
        <v>2</v>
      </c>
      <c r="C60" t="s">
        <v>42</v>
      </c>
    </row>
    <row r="61" spans="1:3" x14ac:dyDescent="0.25">
      <c r="A61" t="s">
        <v>24</v>
      </c>
      <c r="B61">
        <v>1</v>
      </c>
      <c r="C61" t="s">
        <v>39</v>
      </c>
    </row>
    <row r="62" spans="1:3" x14ac:dyDescent="0.25">
      <c r="A62" t="s">
        <v>24</v>
      </c>
      <c r="B62">
        <v>1</v>
      </c>
      <c r="C62" t="s">
        <v>33</v>
      </c>
    </row>
    <row r="63" spans="1:3" x14ac:dyDescent="0.25">
      <c r="A63" t="s">
        <v>24</v>
      </c>
      <c r="B63">
        <v>1</v>
      </c>
      <c r="C63" t="s">
        <v>34</v>
      </c>
    </row>
    <row r="64" spans="1:3" x14ac:dyDescent="0.25">
      <c r="A64" t="s">
        <v>24</v>
      </c>
      <c r="B64">
        <v>1</v>
      </c>
      <c r="C64" t="s">
        <v>40</v>
      </c>
    </row>
    <row r="65" spans="1:3" x14ac:dyDescent="0.25">
      <c r="A65" t="s">
        <v>25</v>
      </c>
      <c r="B65">
        <v>3</v>
      </c>
      <c r="C65" t="s">
        <v>37</v>
      </c>
    </row>
    <row r="66" spans="1:3" x14ac:dyDescent="0.25">
      <c r="A66" t="s">
        <v>25</v>
      </c>
      <c r="B66">
        <v>2</v>
      </c>
      <c r="C66" t="s">
        <v>42</v>
      </c>
    </row>
    <row r="67" spans="1:3" x14ac:dyDescent="0.25">
      <c r="A67" t="s">
        <v>25</v>
      </c>
      <c r="B67">
        <v>2</v>
      </c>
      <c r="C67" t="s">
        <v>39</v>
      </c>
    </row>
    <row r="68" spans="1:3" x14ac:dyDescent="0.25">
      <c r="A68" t="s">
        <v>25</v>
      </c>
      <c r="B68">
        <v>1</v>
      </c>
      <c r="C68" t="s">
        <v>36</v>
      </c>
    </row>
    <row r="69" spans="1:3" x14ac:dyDescent="0.25">
      <c r="A69" t="s">
        <v>25</v>
      </c>
      <c r="B69">
        <v>1</v>
      </c>
      <c r="C69" t="s">
        <v>34</v>
      </c>
    </row>
    <row r="70" spans="1:3" x14ac:dyDescent="0.25">
      <c r="A70" t="s">
        <v>25</v>
      </c>
      <c r="B70">
        <v>1</v>
      </c>
      <c r="C70" t="s">
        <v>40</v>
      </c>
    </row>
    <row r="71" spans="1:3" x14ac:dyDescent="0.25">
      <c r="A71" t="s">
        <v>25</v>
      </c>
      <c r="B71">
        <v>1</v>
      </c>
      <c r="C71" t="s">
        <v>44</v>
      </c>
    </row>
    <row r="72" spans="1:3" x14ac:dyDescent="0.25">
      <c r="A72" t="s">
        <v>25</v>
      </c>
      <c r="B72">
        <v>1</v>
      </c>
      <c r="C72" t="s">
        <v>35</v>
      </c>
    </row>
    <row r="73" spans="1:3" x14ac:dyDescent="0.25">
      <c r="A73" t="s">
        <v>26</v>
      </c>
      <c r="B73">
        <v>3</v>
      </c>
      <c r="C73" t="s">
        <v>38</v>
      </c>
    </row>
    <row r="74" spans="1:3" x14ac:dyDescent="0.25">
      <c r="A74" t="s">
        <v>26</v>
      </c>
      <c r="B74">
        <v>3</v>
      </c>
      <c r="C74" t="s">
        <v>41</v>
      </c>
    </row>
    <row r="75" spans="1:3" x14ac:dyDescent="0.25">
      <c r="A75" t="s">
        <v>26</v>
      </c>
      <c r="B75">
        <v>2</v>
      </c>
      <c r="C75" t="s">
        <v>43</v>
      </c>
    </row>
    <row r="76" spans="1:3" x14ac:dyDescent="0.25">
      <c r="A76" t="s">
        <v>26</v>
      </c>
      <c r="B76">
        <v>1</v>
      </c>
      <c r="C76" t="s">
        <v>39</v>
      </c>
    </row>
    <row r="77" spans="1:3" x14ac:dyDescent="0.25">
      <c r="A77" t="s">
        <v>26</v>
      </c>
      <c r="B77">
        <v>1</v>
      </c>
      <c r="C77" t="s">
        <v>44</v>
      </c>
    </row>
    <row r="78" spans="1:3" x14ac:dyDescent="0.25">
      <c r="A78" t="s">
        <v>27</v>
      </c>
      <c r="B78">
        <v>3</v>
      </c>
      <c r="C78" t="s">
        <v>38</v>
      </c>
    </row>
    <row r="79" spans="1:3" x14ac:dyDescent="0.25">
      <c r="A79" t="s">
        <v>27</v>
      </c>
      <c r="B79">
        <v>2</v>
      </c>
      <c r="C79" t="s">
        <v>32</v>
      </c>
    </row>
    <row r="80" spans="1:3" x14ac:dyDescent="0.25">
      <c r="A80" t="s">
        <v>27</v>
      </c>
      <c r="B80">
        <v>2</v>
      </c>
      <c r="C80" t="s">
        <v>35</v>
      </c>
    </row>
    <row r="81" spans="1:3" x14ac:dyDescent="0.25">
      <c r="A81" t="s">
        <v>27</v>
      </c>
      <c r="B81">
        <v>2</v>
      </c>
      <c r="C81" t="s">
        <v>44</v>
      </c>
    </row>
    <row r="82" spans="1:3" x14ac:dyDescent="0.25">
      <c r="A82" t="s">
        <v>27</v>
      </c>
      <c r="B82">
        <v>1</v>
      </c>
      <c r="C82" t="s">
        <v>39</v>
      </c>
    </row>
    <row r="83" spans="1:3" x14ac:dyDescent="0.25">
      <c r="A83" t="s">
        <v>27</v>
      </c>
      <c r="B83">
        <v>1</v>
      </c>
      <c r="C83" t="s">
        <v>40</v>
      </c>
    </row>
    <row r="84" spans="1:3" x14ac:dyDescent="0.25">
      <c r="A84" t="s">
        <v>71</v>
      </c>
      <c r="B84">
        <v>3</v>
      </c>
      <c r="C84" t="s">
        <v>37</v>
      </c>
    </row>
    <row r="85" spans="1:3" x14ac:dyDescent="0.25">
      <c r="A85" t="s">
        <v>71</v>
      </c>
      <c r="B85">
        <v>2</v>
      </c>
      <c r="C85" t="s">
        <v>42</v>
      </c>
    </row>
    <row r="86" spans="1:3" x14ac:dyDescent="0.25">
      <c r="A86" t="s">
        <v>71</v>
      </c>
      <c r="B86">
        <v>2</v>
      </c>
      <c r="C86" t="s">
        <v>39</v>
      </c>
    </row>
    <row r="87" spans="1:3" x14ac:dyDescent="0.25">
      <c r="A87" t="s">
        <v>71</v>
      </c>
      <c r="B87">
        <v>1</v>
      </c>
      <c r="C87" t="s">
        <v>36</v>
      </c>
    </row>
    <row r="88" spans="1:3" x14ac:dyDescent="0.25">
      <c r="A88" t="s">
        <v>71</v>
      </c>
      <c r="B88">
        <v>1</v>
      </c>
      <c r="C88" t="s">
        <v>44</v>
      </c>
    </row>
    <row r="89" spans="1:3" x14ac:dyDescent="0.25">
      <c r="A89" t="s">
        <v>71</v>
      </c>
      <c r="B89">
        <v>1</v>
      </c>
      <c r="C89" t="s">
        <v>35</v>
      </c>
    </row>
    <row r="90" spans="1:3" x14ac:dyDescent="0.25">
      <c r="A90" t="s">
        <v>71</v>
      </c>
      <c r="B90">
        <v>1</v>
      </c>
      <c r="C90" t="s">
        <v>40</v>
      </c>
    </row>
    <row r="91" spans="1:3" x14ac:dyDescent="0.25">
      <c r="A91" t="s">
        <v>71</v>
      </c>
      <c r="B91">
        <v>1</v>
      </c>
      <c r="C91" t="s">
        <v>34</v>
      </c>
    </row>
    <row r="92" spans="1:3" x14ac:dyDescent="0.25">
      <c r="A92" t="s">
        <v>72</v>
      </c>
      <c r="B92">
        <v>5</v>
      </c>
      <c r="C92" t="s">
        <v>32</v>
      </c>
    </row>
    <row r="93" spans="1:3" x14ac:dyDescent="0.25">
      <c r="A93" t="s">
        <v>72</v>
      </c>
      <c r="B93">
        <v>4</v>
      </c>
      <c r="C93" t="s">
        <v>33</v>
      </c>
    </row>
    <row r="94" spans="1:3" x14ac:dyDescent="0.25">
      <c r="A94" t="s">
        <v>72</v>
      </c>
      <c r="B94">
        <v>4</v>
      </c>
      <c r="C94" t="s">
        <v>34</v>
      </c>
    </row>
    <row r="95" spans="1:3" x14ac:dyDescent="0.25">
      <c r="A95" t="s">
        <v>72</v>
      </c>
      <c r="B95">
        <v>3</v>
      </c>
      <c r="C95" t="s">
        <v>38</v>
      </c>
    </row>
    <row r="96" spans="1:3" x14ac:dyDescent="0.25">
      <c r="A96" t="s">
        <v>72</v>
      </c>
      <c r="B96">
        <v>2</v>
      </c>
      <c r="C96" t="s">
        <v>36</v>
      </c>
    </row>
    <row r="97" spans="1:3" x14ac:dyDescent="0.25">
      <c r="A97" t="s">
        <v>72</v>
      </c>
      <c r="B97">
        <v>1</v>
      </c>
      <c r="C97" t="s">
        <v>39</v>
      </c>
    </row>
    <row r="98" spans="1:3" x14ac:dyDescent="0.25">
      <c r="A98" t="s">
        <v>72</v>
      </c>
      <c r="B98">
        <v>1</v>
      </c>
      <c r="C98" t="s">
        <v>40</v>
      </c>
    </row>
    <row r="99" spans="1:3" x14ac:dyDescent="0.25">
      <c r="A99" t="s">
        <v>28</v>
      </c>
      <c r="B99" s="1">
        <v>4</v>
      </c>
      <c r="C99" s="1" t="s">
        <v>32</v>
      </c>
    </row>
    <row r="100" spans="1:3" x14ac:dyDescent="0.25">
      <c r="A100" t="s">
        <v>28</v>
      </c>
      <c r="B100">
        <v>3</v>
      </c>
      <c r="C100" t="s">
        <v>36</v>
      </c>
    </row>
    <row r="101" spans="1:3" x14ac:dyDescent="0.25">
      <c r="A101" t="s">
        <v>28</v>
      </c>
      <c r="B101">
        <v>2</v>
      </c>
      <c r="C101" t="s">
        <v>33</v>
      </c>
    </row>
    <row r="102" spans="1:3" x14ac:dyDescent="0.25">
      <c r="A102" t="s">
        <v>28</v>
      </c>
      <c r="B102">
        <v>2</v>
      </c>
      <c r="C102" t="s">
        <v>34</v>
      </c>
    </row>
    <row r="103" spans="1:3" x14ac:dyDescent="0.25">
      <c r="A103" t="s">
        <v>28</v>
      </c>
      <c r="B103">
        <v>1</v>
      </c>
      <c r="C103" t="s">
        <v>35</v>
      </c>
    </row>
    <row r="104" spans="1:3" x14ac:dyDescent="0.25">
      <c r="A104" t="s">
        <v>73</v>
      </c>
      <c r="B104">
        <v>4</v>
      </c>
      <c r="C104" t="s">
        <v>36</v>
      </c>
    </row>
    <row r="105" spans="1:3" x14ac:dyDescent="0.25">
      <c r="A105" t="s">
        <v>73</v>
      </c>
      <c r="B105">
        <v>3</v>
      </c>
      <c r="C105" t="s">
        <v>41</v>
      </c>
    </row>
    <row r="106" spans="1:3" x14ac:dyDescent="0.25">
      <c r="A106" t="s">
        <v>73</v>
      </c>
      <c r="B106">
        <v>2</v>
      </c>
      <c r="C106" t="s">
        <v>33</v>
      </c>
    </row>
    <row r="107" spans="1:3" x14ac:dyDescent="0.25">
      <c r="A107" t="s">
        <v>73</v>
      </c>
      <c r="B107">
        <v>2</v>
      </c>
      <c r="C107" t="s">
        <v>34</v>
      </c>
    </row>
    <row r="108" spans="1:3" x14ac:dyDescent="0.25">
      <c r="A108" t="s">
        <v>73</v>
      </c>
      <c r="B108">
        <v>1</v>
      </c>
      <c r="C108" t="s">
        <v>35</v>
      </c>
    </row>
    <row r="109" spans="1:3" x14ac:dyDescent="0.25">
      <c r="A109" t="s">
        <v>74</v>
      </c>
      <c r="B109">
        <v>3</v>
      </c>
      <c r="C109" t="s">
        <v>42</v>
      </c>
    </row>
    <row r="110" spans="1:3" x14ac:dyDescent="0.25">
      <c r="A110" t="s">
        <v>74</v>
      </c>
      <c r="B110">
        <v>2</v>
      </c>
      <c r="C110" t="s">
        <v>33</v>
      </c>
    </row>
    <row r="111" spans="1:3" x14ac:dyDescent="0.25">
      <c r="A111" t="s">
        <v>74</v>
      </c>
      <c r="B111">
        <v>2</v>
      </c>
      <c r="C111" t="s">
        <v>34</v>
      </c>
    </row>
    <row r="112" spans="1:3" x14ac:dyDescent="0.25">
      <c r="A112" t="s">
        <v>74</v>
      </c>
      <c r="B112">
        <v>1</v>
      </c>
      <c r="C112" t="s">
        <v>37</v>
      </c>
    </row>
    <row r="113" spans="1:3" x14ac:dyDescent="0.25">
      <c r="A113" t="s">
        <v>74</v>
      </c>
      <c r="B113">
        <v>1</v>
      </c>
      <c r="C113" t="s">
        <v>39</v>
      </c>
    </row>
    <row r="114" spans="1:3" x14ac:dyDescent="0.25">
      <c r="A114" t="s">
        <v>74</v>
      </c>
      <c r="B114">
        <v>1</v>
      </c>
      <c r="C114" t="s">
        <v>40</v>
      </c>
    </row>
    <row r="115" spans="1:3" x14ac:dyDescent="0.25">
      <c r="A115" t="s">
        <v>74</v>
      </c>
      <c r="B115">
        <v>1</v>
      </c>
      <c r="C115" t="s">
        <v>35</v>
      </c>
    </row>
    <row r="116" spans="1:3" x14ac:dyDescent="0.25">
      <c r="A116" t="s">
        <v>75</v>
      </c>
      <c r="B116">
        <v>5</v>
      </c>
      <c r="C116" t="s">
        <v>32</v>
      </c>
    </row>
    <row r="117" spans="1:3" x14ac:dyDescent="0.25">
      <c r="A117" t="s">
        <v>75</v>
      </c>
      <c r="B117">
        <v>4</v>
      </c>
      <c r="C117" t="s">
        <v>33</v>
      </c>
    </row>
    <row r="118" spans="1:3" x14ac:dyDescent="0.25">
      <c r="A118" t="s">
        <v>75</v>
      </c>
      <c r="B118">
        <v>4</v>
      </c>
      <c r="C118" t="s">
        <v>34</v>
      </c>
    </row>
    <row r="119" spans="1:3" x14ac:dyDescent="0.25">
      <c r="A119" t="s">
        <v>75</v>
      </c>
      <c r="B119">
        <v>3</v>
      </c>
      <c r="C119" t="s">
        <v>38</v>
      </c>
    </row>
    <row r="120" spans="1:3" x14ac:dyDescent="0.25">
      <c r="A120" t="s">
        <v>75</v>
      </c>
      <c r="B120">
        <v>2</v>
      </c>
      <c r="C120" t="s">
        <v>36</v>
      </c>
    </row>
    <row r="121" spans="1:3" x14ac:dyDescent="0.25">
      <c r="A121" t="s">
        <v>75</v>
      </c>
      <c r="B121">
        <v>1</v>
      </c>
      <c r="C121" t="s">
        <v>39</v>
      </c>
    </row>
    <row r="122" spans="1:3" x14ac:dyDescent="0.25">
      <c r="A122" t="s">
        <v>75</v>
      </c>
      <c r="B122">
        <v>1</v>
      </c>
      <c r="C12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6B09-5879-4C00-BEA2-46B16681E00C}">
  <dimension ref="A1:K1000"/>
  <sheetViews>
    <sheetView workbookViewId="0">
      <selection activeCell="K1" sqref="K1:K1048576"/>
    </sheetView>
  </sheetViews>
  <sheetFormatPr baseColWidth="10" defaultColWidth="9.140625" defaultRowHeight="15" x14ac:dyDescent="0.25"/>
  <cols>
    <col min="1" max="1" width="5" bestFit="1" customWidth="1"/>
    <col min="2" max="2" width="10" bestFit="1" customWidth="1"/>
    <col min="3" max="3" width="21.7109375" bestFit="1" customWidth="1"/>
    <col min="4" max="4" width="15" bestFit="1" customWidth="1"/>
    <col min="5" max="7" width="15.5703125" bestFit="1" customWidth="1"/>
    <col min="8" max="8" width="15" bestFit="1" customWidth="1"/>
    <col min="9" max="9" width="12.42578125" bestFit="1" customWidth="1"/>
    <col min="10" max="10" width="11.28515625" bestFit="1" customWidth="1"/>
    <col min="11" max="11" width="22.7109375" customWidth="1"/>
  </cols>
  <sheetData>
    <row r="1" spans="1:1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t="s">
        <v>94</v>
      </c>
      <c r="J1" s="1" t="s">
        <v>0</v>
      </c>
      <c r="K1" s="1"/>
    </row>
    <row r="2" spans="1:11" x14ac:dyDescent="0.25">
      <c r="A2" s="1">
        <v>1</v>
      </c>
      <c r="B2" s="3" t="s">
        <v>53</v>
      </c>
      <c r="C2" s="3" t="s">
        <v>10</v>
      </c>
      <c r="D2" s="3" t="s">
        <v>41</v>
      </c>
      <c r="E2" s="3" t="s">
        <v>38</v>
      </c>
      <c r="F2" s="3" t="s">
        <v>36</v>
      </c>
      <c r="G2" s="3" t="s">
        <v>42</v>
      </c>
      <c r="H2" s="3" t="s">
        <v>34</v>
      </c>
      <c r="I2" s="2" t="str">
        <f>IF(ISNUMBER(A2),
IF(COUNTIFS(Equipar!B:B,1,Equipar!AC:AC,A2),"Equipada",
IF(
OR(COUNTIFS(Equipar!B:B,1,Equipar!C:C,A2)
 +COUNTIFS(Equipar!B:B,1,Equipar!D:D,A2)
+COUNTIFS(Equipar!B:B,1,Equipar!E:E,A2)
+COUNTIFS(Equipar!B:B,1,Equipar!F:F,A2)
&gt;0,COUNTIF('Set recomendado'!B:B,C2)=0),
"Bloqueada",
"Desechable")),""
)</f>
        <v>Equipada</v>
      </c>
      <c r="J2" t="str" cm="1">
        <f t="array" ref="J2">IF(ISNUMBER(A2),IFERROR(_xlfn._xlws.FILTER(Equipar!A:A,(Equipar!B:B=1)*(Equipar!AC:AC=A2)),""),"")</f>
        <v>Oikawa</v>
      </c>
    </row>
    <row r="3" spans="1:11" x14ac:dyDescent="0.25">
      <c r="A3" s="1">
        <v>2</v>
      </c>
      <c r="B3" s="3" t="s">
        <v>53</v>
      </c>
      <c r="C3" s="3" t="s">
        <v>4</v>
      </c>
      <c r="D3" s="3" t="s">
        <v>32</v>
      </c>
      <c r="E3" s="3" t="s">
        <v>38</v>
      </c>
      <c r="F3" s="3" t="s">
        <v>42</v>
      </c>
      <c r="G3" s="3" t="s">
        <v>38</v>
      </c>
      <c r="H3" s="3" t="s">
        <v>35</v>
      </c>
      <c r="I3" s="2" t="str">
        <f>IF(ISNUMBER(A3),
IF(COUNTIFS(Equipar!B:B,1,Equipar!AC:AC,A3),"Equipada",
IF(
OR(COUNTIFS(Equipar!B:B,1,Equipar!C:C,A3)
 +COUNTIFS(Equipar!B:B,1,Equipar!D:D,A3)
+COUNTIFS(Equipar!B:B,1,Equipar!E:E,A3)
+COUNTIFS(Equipar!B:B,1,Equipar!F:F,A3)
&gt;0,COUNTIF('Set recomendado'!B:B,C3)=0),
"Bloqueada",
"Desechable")),""
)</f>
        <v>Equipada</v>
      </c>
      <c r="J3" t="str" cm="1">
        <f t="array" ref="J3">IF(ISNUMBER(A3),IFERROR(_xlfn._xlws.FILTER(Equipar!A:A,(Equipar!B:B=1)*(Equipar!AC:AC=A3)),""),"")</f>
        <v>Sakusa</v>
      </c>
    </row>
    <row r="4" spans="1:11" x14ac:dyDescent="0.25">
      <c r="A4" s="1">
        <v>3</v>
      </c>
      <c r="B4" s="3" t="s">
        <v>53</v>
      </c>
      <c r="C4" s="3" t="s">
        <v>4</v>
      </c>
      <c r="D4" s="3" t="s">
        <v>32</v>
      </c>
      <c r="E4" s="3" t="s">
        <v>32</v>
      </c>
      <c r="F4" s="3" t="s">
        <v>42</v>
      </c>
      <c r="G4" s="3" t="s">
        <v>38</v>
      </c>
      <c r="H4" s="3" t="s">
        <v>43</v>
      </c>
      <c r="I4" s="2" t="str">
        <f>IF(ISNUMBER(A4),
IF(COUNTIFS(Equipar!B:B,1,Equipar!AC:AC,A4),"Equipada",
IF(
OR(COUNTIFS(Equipar!B:B,1,Equipar!C:C,A4)
 +COUNTIFS(Equipar!B:B,1,Equipar!D:D,A4)
+COUNTIFS(Equipar!B:B,1,Equipar!E:E,A4)
+COUNTIFS(Equipar!B:B,1,Equipar!F:F,A4)
&gt;0,COUNTIF('Set recomendado'!B:B,C4)=0),
"Bloqueada",
"Desechable")),""
)</f>
        <v>Equipada</v>
      </c>
      <c r="J4" t="str" cm="1">
        <f t="array" ref="J4">IF(ISNUMBER(A4),IFERROR(_xlfn._xlws.FILTER(Equipar!A:A,(Equipar!B:B=1)*(Equipar!AC:AC=A4)),""),"")</f>
        <v>Tanaka</v>
      </c>
    </row>
    <row r="5" spans="1:11" x14ac:dyDescent="0.25">
      <c r="A5" s="1">
        <v>4</v>
      </c>
      <c r="B5" s="3" t="s">
        <v>53</v>
      </c>
      <c r="C5" s="3" t="s">
        <v>5</v>
      </c>
      <c r="D5" s="3" t="s">
        <v>32</v>
      </c>
      <c r="E5" s="3" t="s">
        <v>37</v>
      </c>
      <c r="F5" s="3" t="s">
        <v>36</v>
      </c>
      <c r="G5" s="3" t="s">
        <v>36</v>
      </c>
      <c r="H5" s="3" t="s">
        <v>34</v>
      </c>
      <c r="I5" s="2" t="str">
        <f>IF(ISNUMBER(A5),
IF(COUNTIFS(Equipar!B:B,1,Equipar!AC:AC,A5),"Equipada",
IF(
OR(COUNTIFS(Equipar!B:B,1,Equipar!C:C,A5)
 +COUNTIFS(Equipar!B:B,1,Equipar!D:D,A5)
+COUNTIFS(Equipar!B:B,1,Equipar!E:E,A5)
+COUNTIFS(Equipar!B:B,1,Equipar!F:F,A5)
&gt;0,COUNTIF('Set recomendado'!B:B,C5)=0),
"Bloqueada",
"Desechable")),""
)</f>
        <v>Equipada</v>
      </c>
      <c r="J5" t="str" cm="1">
        <f t="array" ref="J5">IF(ISNUMBER(A5),IFERROR(_xlfn._xlws.FILTER(Equipar!A:A,(Equipar!B:B=1)*(Equipar!AC:AC=A5)),""),"")</f>
        <v>Hoshiumi</v>
      </c>
    </row>
    <row r="6" spans="1:11" x14ac:dyDescent="0.25">
      <c r="A6" s="1">
        <v>5</v>
      </c>
      <c r="B6" s="3" t="s">
        <v>53</v>
      </c>
      <c r="C6" s="3" t="s">
        <v>22</v>
      </c>
      <c r="D6" s="3" t="s">
        <v>37</v>
      </c>
      <c r="E6" s="3" t="s">
        <v>37</v>
      </c>
      <c r="F6" s="3" t="s">
        <v>41</v>
      </c>
      <c r="G6" s="3" t="s">
        <v>42</v>
      </c>
      <c r="H6" s="3" t="s">
        <v>42</v>
      </c>
      <c r="I6" s="2" t="str">
        <f>IF(ISNUMBER(A6),
IF(COUNTIFS(Equipar!B:B,1,Equipar!AC:AC,A6),"Equipada",
IF(
OR(COUNTIFS(Equipar!B:B,1,Equipar!C:C,A6)
 +COUNTIFS(Equipar!B:B,1,Equipar!D:D,A6)
+COUNTIFS(Equipar!B:B,1,Equipar!E:E,A6)
+COUNTIFS(Equipar!B:B,1,Equipar!F:F,A6)
&gt;0,COUNTIF('Set recomendado'!B:B,C6)=0),
"Bloqueada",
"Desechable")),""
)</f>
        <v>Equipada</v>
      </c>
      <c r="J6" t="str" cm="1">
        <f t="array" ref="J6">IF(ISNUMBER(A6),IFERROR(_xlfn._xlws.FILTER(Equipar!A:A,(Equipar!B:B=1)*(Equipar!AC:AC=A6)),""),"")</f>
        <v>Hirugami</v>
      </c>
    </row>
    <row r="7" spans="1:11" x14ac:dyDescent="0.25">
      <c r="A7" s="1">
        <v>6</v>
      </c>
      <c r="B7" s="3" t="s">
        <v>53</v>
      </c>
      <c r="C7" s="3" t="s">
        <v>57</v>
      </c>
      <c r="D7" s="3" t="s">
        <v>42</v>
      </c>
      <c r="E7" s="3" t="s">
        <v>32</v>
      </c>
      <c r="F7" s="3" t="s">
        <v>38</v>
      </c>
      <c r="G7" s="3" t="s">
        <v>33</v>
      </c>
      <c r="H7" s="3" t="s">
        <v>36</v>
      </c>
      <c r="I7" s="2" t="str">
        <f ca="1">IF(ISNUMBER(A7),
IF(COUNTIFS(Equipar!B:B,1,Equipar!AC:AC,A7),"Equipada",
IF(
OR(COUNTIFS(Equipar!B:B,1,Equipar!C:C,A7)
 +COUNTIFS(Equipar!B:B,1,Equipar!D:D,A7)
+COUNTIFS(Equipar!B:B,1,Equipar!E:E,A7)
+COUNTIFS(Equipar!B:B,1,Equipar!F:F,A7)
&gt;0,COUNTIF('Set recomendado'!B:B,C7)=0),
"Bloqueada",
"Desechable")),""
)</f>
        <v>Bloqueada</v>
      </c>
      <c r="J7" t="str" cm="1">
        <f t="array" ref="J7">IF(ISNUMBER(A7),IFERROR(_xlfn._xlws.FILTER(Equipar!A:A,(Equipar!B:B=1)*(Equipar!AC:AC=A7)),""),"")</f>
        <v/>
      </c>
    </row>
    <row r="8" spans="1:11" x14ac:dyDescent="0.25">
      <c r="A8" s="1">
        <v>7</v>
      </c>
      <c r="B8" s="3" t="s">
        <v>53</v>
      </c>
      <c r="C8" s="3" t="s">
        <v>57</v>
      </c>
      <c r="D8" s="3" t="s">
        <v>42</v>
      </c>
      <c r="E8" s="3" t="s">
        <v>43</v>
      </c>
      <c r="F8" s="3" t="s">
        <v>36</v>
      </c>
      <c r="G8" s="3" t="s">
        <v>43</v>
      </c>
      <c r="H8" s="3"/>
      <c r="I8" s="2" t="str">
        <f ca="1">IF(ISNUMBER(A8),
IF(COUNTIFS(Equipar!B:B,1,Equipar!AC:AC,A8),"Equipada",
IF(
OR(COUNTIFS(Equipar!B:B,1,Equipar!C:C,A8)
 +COUNTIFS(Equipar!B:B,1,Equipar!D:D,A8)
+COUNTIFS(Equipar!B:B,1,Equipar!E:E,A8)
+COUNTIFS(Equipar!B:B,1,Equipar!F:F,A8)
&gt;0,COUNTIF('Set recomendado'!B:B,C8)=0),
"Bloqueada",
"Desechable")),""
)</f>
        <v>Bloqueada</v>
      </c>
      <c r="J8" t="str" cm="1">
        <f t="array" ref="J8">IF(ISNUMBER(A8),IFERROR(_xlfn._xlws.FILTER(Equipar!A:A,(Equipar!B:B=1)*(Equipar!AC:AC=A8)),""),"")</f>
        <v/>
      </c>
    </row>
    <row r="9" spans="1:11" x14ac:dyDescent="0.25">
      <c r="A9" s="1">
        <v>8</v>
      </c>
      <c r="B9" s="5" t="s">
        <v>53</v>
      </c>
      <c r="C9" s="5" t="s">
        <v>21</v>
      </c>
      <c r="D9" s="5" t="s">
        <v>37</v>
      </c>
      <c r="E9" s="5" t="s">
        <v>37</v>
      </c>
      <c r="F9" s="5" t="s">
        <v>41</v>
      </c>
      <c r="G9" s="5" t="s">
        <v>36</v>
      </c>
      <c r="H9" s="4"/>
      <c r="I9" s="2" t="str">
        <f ca="1">IF(ISNUMBER(A9),
IF(COUNTIFS(Equipar!B:B,1,Equipar!AC:AC,A9),"Equipada",
IF(
OR(COUNTIFS(Equipar!B:B,1,Equipar!C:C,A9)
 +COUNTIFS(Equipar!B:B,1,Equipar!D:D,A9)
+COUNTIFS(Equipar!B:B,1,Equipar!E:E,A9)
+COUNTIFS(Equipar!B:B,1,Equipar!F:F,A9)
&gt;0,COUNTIF('Set recomendado'!B:B,C9)=0),
"Bloqueada",
"Desechable")),""
)</f>
        <v>Desechable</v>
      </c>
      <c r="J9" t="str" cm="1">
        <f t="array" ref="J9">IF(ISNUMBER(A9),IFERROR(_xlfn._xlws.FILTER(Equipar!A:A,(Equipar!B:B=1)*(Equipar!AC:AC=A9)),""),"")</f>
        <v/>
      </c>
    </row>
    <row r="10" spans="1:11" x14ac:dyDescent="0.25">
      <c r="A10" s="1">
        <v>9</v>
      </c>
      <c r="B10" s="5" t="s">
        <v>53</v>
      </c>
      <c r="C10" s="5" t="s">
        <v>10</v>
      </c>
      <c r="D10" s="5" t="s">
        <v>41</v>
      </c>
      <c r="E10" s="5" t="s">
        <v>42</v>
      </c>
      <c r="F10" s="5" t="s">
        <v>34</v>
      </c>
      <c r="G10" s="5" t="s">
        <v>43</v>
      </c>
      <c r="H10" s="3"/>
      <c r="I10" s="2" t="str">
        <f ca="1">IF(ISNUMBER(A10),
IF(COUNTIFS(Equipar!B:B,1,Equipar!AC:AC,A10),"Equipada",
IF(
OR(COUNTIFS(Equipar!B:B,1,Equipar!C:C,A10)
 +COUNTIFS(Equipar!B:B,1,Equipar!D:D,A10)
+COUNTIFS(Equipar!B:B,1,Equipar!E:E,A10)
+COUNTIFS(Equipar!B:B,1,Equipar!F:F,A10)
&gt;0,COUNTIF('Set recomendado'!B:B,C10)=0),
"Bloqueada",
"Desechable")),""
)</f>
        <v>Desechable</v>
      </c>
      <c r="J10" t="str" cm="1">
        <f t="array" ref="J10">IF(ISNUMBER(A10),IFERROR(_xlfn._xlws.FILTER(Equipar!A:A,(Equipar!B:B=1)*(Equipar!AC:AC=A10)),""),"")</f>
        <v/>
      </c>
    </row>
    <row r="11" spans="1:11" x14ac:dyDescent="0.25">
      <c r="A11" s="1">
        <v>10</v>
      </c>
      <c r="B11" s="3" t="s">
        <v>53</v>
      </c>
      <c r="C11" s="3" t="s">
        <v>10</v>
      </c>
      <c r="D11" s="3" t="s">
        <v>41</v>
      </c>
      <c r="E11" s="3" t="s">
        <v>32</v>
      </c>
      <c r="F11" s="3" t="s">
        <v>41</v>
      </c>
      <c r="G11" s="3" t="s">
        <v>35</v>
      </c>
      <c r="H11" s="3"/>
      <c r="I11" s="2" t="str">
        <f ca="1">IF(ISNUMBER(A11),
IF(COUNTIFS(Equipar!B:B,1,Equipar!AC:AC,A11),"Equipada",
IF(
OR(COUNTIFS(Equipar!B:B,1,Equipar!C:C,A11)
 +COUNTIFS(Equipar!B:B,1,Equipar!D:D,A11)
+COUNTIFS(Equipar!B:B,1,Equipar!E:E,A11)
+COUNTIFS(Equipar!B:B,1,Equipar!F:F,A11)
&gt;0,COUNTIF('Set recomendado'!B:B,C11)=0),
"Bloqueada",
"Desechable")),""
)</f>
        <v>Bloqueada</v>
      </c>
      <c r="J11" t="str" cm="1">
        <f t="array" ref="J11">IF(ISNUMBER(A11),IFERROR(_xlfn._xlws.FILTER(Equipar!A:A,(Equipar!B:B=1)*(Equipar!AC:AC=A11)),""),"")</f>
        <v/>
      </c>
    </row>
    <row r="12" spans="1:11" x14ac:dyDescent="0.25">
      <c r="A12" s="1">
        <v>11</v>
      </c>
      <c r="B12" s="5" t="s">
        <v>53</v>
      </c>
      <c r="C12" s="3" t="s">
        <v>4</v>
      </c>
      <c r="D12" s="5" t="s">
        <v>32</v>
      </c>
      <c r="E12" s="5" t="s">
        <v>43</v>
      </c>
      <c r="F12" s="5" t="s">
        <v>33</v>
      </c>
      <c r="G12" s="5" t="s">
        <v>37</v>
      </c>
      <c r="H12" s="5" t="s">
        <v>42</v>
      </c>
      <c r="I12" s="2" t="str">
        <f ca="1">IF(ISNUMBER(A12),
IF(COUNTIFS(Equipar!B:B,1,Equipar!AC:AC,A12),"Equipada",
IF(
OR(COUNTIFS(Equipar!B:B,1,Equipar!C:C,A12)
 +COUNTIFS(Equipar!B:B,1,Equipar!D:D,A12)
+COUNTIFS(Equipar!B:B,1,Equipar!E:E,A12)
+COUNTIFS(Equipar!B:B,1,Equipar!F:F,A12)
&gt;0,COUNTIF('Set recomendado'!B:B,C12)=0),
"Bloqueada",
"Desechable")),""
)</f>
        <v>Desechable</v>
      </c>
      <c r="J12" t="str" cm="1">
        <f t="array" ref="J12">IF(ISNUMBER(A12),IFERROR(_xlfn._xlws.FILTER(Equipar!A:A,(Equipar!B:B=1)*(Equipar!AC:AC=A12)),""),"")</f>
        <v/>
      </c>
    </row>
    <row r="13" spans="1:11" x14ac:dyDescent="0.25">
      <c r="A13" s="1">
        <v>12</v>
      </c>
      <c r="B13" s="5" t="s">
        <v>53</v>
      </c>
      <c r="C13" s="5" t="s">
        <v>4</v>
      </c>
      <c r="D13" s="5" t="s">
        <v>32</v>
      </c>
      <c r="E13" s="5" t="s">
        <v>43</v>
      </c>
      <c r="F13" s="5" t="s">
        <v>36</v>
      </c>
      <c r="G13" s="5" t="s">
        <v>44</v>
      </c>
      <c r="H13" s="4"/>
      <c r="I13" s="2" t="str">
        <f ca="1">IF(ISNUMBER(A13),
IF(COUNTIFS(Equipar!B:B,1,Equipar!AC:AC,A13),"Equipada",
IF(
OR(COUNTIFS(Equipar!B:B,1,Equipar!C:C,A13)
 +COUNTIFS(Equipar!B:B,1,Equipar!D:D,A13)
+COUNTIFS(Equipar!B:B,1,Equipar!E:E,A13)
+COUNTIFS(Equipar!B:B,1,Equipar!F:F,A13)
&gt;0,COUNTIF('Set recomendado'!B:B,C13)=0),
"Bloqueada",
"Desechable")),""
)</f>
        <v>Desechable</v>
      </c>
      <c r="J13" t="str" cm="1">
        <f t="array" ref="J13">IF(ISNUMBER(A13),IFERROR(_xlfn._xlws.FILTER(Equipar!A:A,(Equipar!B:B=1)*(Equipar!AC:AC=A13)),""),"")</f>
        <v/>
      </c>
    </row>
    <row r="14" spans="1:11" x14ac:dyDescent="0.25">
      <c r="A14" s="1">
        <v>13</v>
      </c>
      <c r="B14" s="5" t="s">
        <v>53</v>
      </c>
      <c r="C14" s="5" t="s">
        <v>5</v>
      </c>
      <c r="D14" s="5" t="s">
        <v>32</v>
      </c>
      <c r="E14" s="5" t="s">
        <v>42</v>
      </c>
      <c r="F14" s="5" t="s">
        <v>40</v>
      </c>
      <c r="G14" s="5" t="s">
        <v>36</v>
      </c>
      <c r="H14" s="4"/>
      <c r="I14" s="2" t="str">
        <f ca="1">IF(ISNUMBER(A14),
IF(COUNTIFS(Equipar!B:B,1,Equipar!AC:AC,A14),"Equipada",
IF(
OR(COUNTIFS(Equipar!B:B,1,Equipar!C:C,A14)
 +COUNTIFS(Equipar!B:B,1,Equipar!D:D,A14)
+COUNTIFS(Equipar!B:B,1,Equipar!E:E,A14)
+COUNTIFS(Equipar!B:B,1,Equipar!F:F,A14)
&gt;0,COUNTIF('Set recomendado'!B:B,C14)=0),
"Bloqueada",
"Desechable")),""
)</f>
        <v>Desechable</v>
      </c>
      <c r="J14" t="str" cm="1">
        <f t="array" ref="J14">IF(ISNUMBER(A14),IFERROR(_xlfn._xlws.FILTER(Equipar!A:A,(Equipar!B:B=1)*(Equipar!AC:AC=A14)),""),"")</f>
        <v/>
      </c>
    </row>
    <row r="15" spans="1:11" x14ac:dyDescent="0.25">
      <c r="A15" s="1">
        <v>14</v>
      </c>
      <c r="B15" s="5" t="s">
        <v>53</v>
      </c>
      <c r="C15" s="5" t="s">
        <v>5</v>
      </c>
      <c r="D15" s="5" t="s">
        <v>32</v>
      </c>
      <c r="E15" s="5" t="s">
        <v>43</v>
      </c>
      <c r="F15" s="5" t="s">
        <v>41</v>
      </c>
      <c r="G15" s="5" t="s">
        <v>37</v>
      </c>
      <c r="H15" s="4"/>
      <c r="I15" s="2" t="str">
        <f ca="1">IF(ISNUMBER(A15),
IF(COUNTIFS(Equipar!B:B,1,Equipar!AC:AC,A15),"Equipada",
IF(
OR(COUNTIFS(Equipar!B:B,1,Equipar!C:C,A15)
 +COUNTIFS(Equipar!B:B,1,Equipar!D:D,A15)
+COUNTIFS(Equipar!B:B,1,Equipar!E:E,A15)
+COUNTIFS(Equipar!B:B,1,Equipar!F:F,A15)
&gt;0,COUNTIF('Set recomendado'!B:B,C15)=0),
"Bloqueada",
"Desechable")),""
)</f>
        <v>Desechable</v>
      </c>
      <c r="J15" t="str" cm="1">
        <f t="array" ref="J15">IF(ISNUMBER(A15),IFERROR(_xlfn._xlws.FILTER(Equipar!A:A,(Equipar!B:B=1)*(Equipar!AC:AC=A15)),""),"")</f>
        <v/>
      </c>
    </row>
    <row r="16" spans="1:11" x14ac:dyDescent="0.25">
      <c r="A16" s="1">
        <v>15</v>
      </c>
      <c r="B16" s="5" t="s">
        <v>53</v>
      </c>
      <c r="C16" s="5" t="s">
        <v>5</v>
      </c>
      <c r="D16" s="5" t="s">
        <v>32</v>
      </c>
      <c r="E16" s="5" t="s">
        <v>36</v>
      </c>
      <c r="F16" s="5" t="s">
        <v>37</v>
      </c>
      <c r="G16" s="5" t="s">
        <v>40</v>
      </c>
      <c r="H16" s="4"/>
      <c r="I16" s="2" t="str">
        <f ca="1">IF(ISNUMBER(A16),
IF(COUNTIFS(Equipar!B:B,1,Equipar!AC:AC,A16),"Equipada",
IF(
OR(COUNTIFS(Equipar!B:B,1,Equipar!C:C,A16)
 +COUNTIFS(Equipar!B:B,1,Equipar!D:D,A16)
+COUNTIFS(Equipar!B:B,1,Equipar!E:E,A16)
+COUNTIFS(Equipar!B:B,1,Equipar!F:F,A16)
&gt;0,COUNTIF('Set recomendado'!B:B,C16)=0),
"Bloqueada",
"Desechable")),""
)</f>
        <v>Desechable</v>
      </c>
      <c r="J16" t="str" cm="1">
        <f t="array" ref="J16">IF(ISNUMBER(A16),IFERROR(_xlfn._xlws.FILTER(Equipar!A:A,(Equipar!B:B=1)*(Equipar!AC:AC=A16)),""),"")</f>
        <v/>
      </c>
    </row>
    <row r="17" spans="1:10" x14ac:dyDescent="0.25">
      <c r="A17" s="1">
        <v>16</v>
      </c>
      <c r="B17" s="5" t="s">
        <v>53</v>
      </c>
      <c r="C17" s="5" t="s">
        <v>13</v>
      </c>
      <c r="D17" s="5" t="s">
        <v>42</v>
      </c>
      <c r="E17" s="5" t="s">
        <v>39</v>
      </c>
      <c r="F17" s="5" t="s">
        <v>36</v>
      </c>
      <c r="G17" s="5" t="s">
        <v>34</v>
      </c>
      <c r="H17" s="5" t="s">
        <v>43</v>
      </c>
      <c r="I17" s="2" t="str">
        <f ca="1">IF(ISNUMBER(A17),
IF(COUNTIFS(Equipar!B:B,1,Equipar!AC:AC,A17),"Equipada",
IF(
OR(COUNTIFS(Equipar!B:B,1,Equipar!C:C,A17)
 +COUNTIFS(Equipar!B:B,1,Equipar!D:D,A17)
+COUNTIFS(Equipar!B:B,1,Equipar!E:E,A17)
+COUNTIFS(Equipar!B:B,1,Equipar!F:F,A17)
&gt;0,COUNTIF('Set recomendado'!B:B,C17)=0),
"Bloqueada",
"Desechable")),""
)</f>
        <v>Desechable</v>
      </c>
      <c r="J17" t="str" cm="1">
        <f t="array" ref="J17">IF(ISNUMBER(A17),IFERROR(_xlfn._xlws.FILTER(Equipar!A:A,(Equipar!B:B=1)*(Equipar!AC:AC=A17)),""),"")</f>
        <v/>
      </c>
    </row>
    <row r="18" spans="1:10" x14ac:dyDescent="0.25">
      <c r="A18" s="1">
        <v>17</v>
      </c>
      <c r="B18" s="5" t="s">
        <v>53</v>
      </c>
      <c r="C18" s="5" t="s">
        <v>14</v>
      </c>
      <c r="D18" s="5" t="s">
        <v>42</v>
      </c>
      <c r="E18" s="5" t="s">
        <v>35</v>
      </c>
      <c r="F18" s="5" t="s">
        <v>32</v>
      </c>
      <c r="G18" s="5" t="s">
        <v>43</v>
      </c>
      <c r="H18" s="5" t="s">
        <v>37</v>
      </c>
      <c r="I18" s="2" t="str">
        <f ca="1">IF(ISNUMBER(A18),
IF(COUNTIFS(Equipar!B:B,1,Equipar!AC:AC,A18),"Equipada",
IF(
OR(COUNTIFS(Equipar!B:B,1,Equipar!C:C,A18)
 +COUNTIFS(Equipar!B:B,1,Equipar!D:D,A18)
+COUNTIFS(Equipar!B:B,1,Equipar!E:E,A18)
+COUNTIFS(Equipar!B:B,1,Equipar!F:F,A18)
&gt;0,COUNTIF('Set recomendado'!B:B,C18)=0),
"Bloqueada",
"Desechable")),""
)</f>
        <v>Bloqueada</v>
      </c>
      <c r="J18" t="str" cm="1">
        <f t="array" ref="J18">IF(ISNUMBER(A18),IFERROR(_xlfn._xlws.FILTER(Equipar!A:A,(Equipar!B:B=1)*(Equipar!AC:AC=A18)),""),"")</f>
        <v/>
      </c>
    </row>
    <row r="19" spans="1:10" x14ac:dyDescent="0.25">
      <c r="A19" s="1">
        <v>18</v>
      </c>
      <c r="B19" s="5" t="s">
        <v>53</v>
      </c>
      <c r="C19" s="5" t="s">
        <v>14</v>
      </c>
      <c r="D19" s="5" t="s">
        <v>42</v>
      </c>
      <c r="E19" s="5" t="s">
        <v>33</v>
      </c>
      <c r="F19" s="5" t="s">
        <v>36</v>
      </c>
      <c r="G19" s="5" t="s">
        <v>38</v>
      </c>
      <c r="H19" s="4"/>
      <c r="I19" s="2" t="str">
        <f ca="1">IF(ISNUMBER(A19),
IF(COUNTIFS(Equipar!B:B,1,Equipar!AC:AC,A19),"Equipada",
IF(
OR(COUNTIFS(Equipar!B:B,1,Equipar!C:C,A19)
 +COUNTIFS(Equipar!B:B,1,Equipar!D:D,A19)
+COUNTIFS(Equipar!B:B,1,Equipar!E:E,A19)
+COUNTIFS(Equipar!B:B,1,Equipar!F:F,A19)
&gt;0,COUNTIF('Set recomendado'!B:B,C19)=0),
"Bloqueada",
"Desechable")),""
)</f>
        <v>Desechable</v>
      </c>
      <c r="J19" t="str" cm="1">
        <f t="array" ref="J19">IF(ISNUMBER(A19),IFERROR(_xlfn._xlws.FILTER(Equipar!A:A,(Equipar!B:B=1)*(Equipar!AC:AC=A19)),""),"")</f>
        <v/>
      </c>
    </row>
    <row r="20" spans="1:10" x14ac:dyDescent="0.25">
      <c r="A20" s="1">
        <v>19</v>
      </c>
      <c r="B20" s="5" t="s">
        <v>53</v>
      </c>
      <c r="C20" s="5" t="s">
        <v>14</v>
      </c>
      <c r="D20" s="5" t="s">
        <v>42</v>
      </c>
      <c r="E20" s="5" t="s">
        <v>37</v>
      </c>
      <c r="F20" s="5" t="s">
        <v>36</v>
      </c>
      <c r="G20" s="5" t="s">
        <v>42</v>
      </c>
      <c r="H20" s="4"/>
      <c r="I20" s="2" t="str">
        <f>IF(ISNUMBER(A20),
IF(COUNTIFS(Equipar!B:B,1,Equipar!AC:AC,A20),"Equipada",
IF(
OR(COUNTIFS(Equipar!B:B,1,Equipar!C:C,A20)
 +COUNTIFS(Equipar!B:B,1,Equipar!D:D,A20)
+COUNTIFS(Equipar!B:B,1,Equipar!E:E,A20)
+COUNTIFS(Equipar!B:B,1,Equipar!F:F,A20)
&gt;0,COUNTIF('Set recomendado'!B:B,C20)=0),
"Bloqueada",
"Desechable")),""
)</f>
        <v>Equipada</v>
      </c>
      <c r="J20" t="str" cm="1">
        <f t="array" ref="J20">IF(ISNUMBER(A20),IFERROR(_xlfn._xlws.FILTER(Equipar!A:A,(Equipar!B:B=1)*(Equipar!AC:AC=A20)),""),"")</f>
        <v>Hinata</v>
      </c>
    </row>
    <row r="21" spans="1:10" x14ac:dyDescent="0.25">
      <c r="A21" s="1">
        <v>20</v>
      </c>
      <c r="B21" s="5" t="s">
        <v>53</v>
      </c>
      <c r="C21" s="5" t="s">
        <v>22</v>
      </c>
      <c r="D21" s="5" t="s">
        <v>37</v>
      </c>
      <c r="E21" s="5" t="s">
        <v>36</v>
      </c>
      <c r="F21" s="5" t="s">
        <v>37</v>
      </c>
      <c r="G21" s="5" t="s">
        <v>32</v>
      </c>
      <c r="H21" s="4"/>
      <c r="I21" s="2" t="str">
        <f>IF(ISNUMBER(A21),
IF(COUNTIFS(Equipar!B:B,1,Equipar!AC:AC,A21),"Equipada",
IF(
OR(COUNTIFS(Equipar!B:B,1,Equipar!C:C,A21)
 +COUNTIFS(Equipar!B:B,1,Equipar!D:D,A21)
+COUNTIFS(Equipar!B:B,1,Equipar!E:E,A21)
+COUNTIFS(Equipar!B:B,1,Equipar!F:F,A21)
&gt;0,COUNTIF('Set recomendado'!B:B,C21)=0),
"Bloqueada",
"Desechable")),""
)</f>
        <v>Equipada</v>
      </c>
      <c r="J21" t="str" cm="1">
        <f t="array" ref="J21">IF(ISNUMBER(A21),IFERROR(_xlfn._xlws.FILTER(Equipar!A:A,(Equipar!B:B=1)*(Equipar!AC:AC=A21)),""),"")</f>
        <v>Suna</v>
      </c>
    </row>
    <row r="22" spans="1:10" x14ac:dyDescent="0.25">
      <c r="A22" s="1">
        <v>21</v>
      </c>
      <c r="B22" s="5" t="s">
        <v>53</v>
      </c>
      <c r="C22" s="5" t="s">
        <v>22</v>
      </c>
      <c r="D22" s="5" t="s">
        <v>37</v>
      </c>
      <c r="E22" s="5" t="s">
        <v>34</v>
      </c>
      <c r="F22" s="5" t="s">
        <v>41</v>
      </c>
      <c r="G22" s="5" t="s">
        <v>36</v>
      </c>
      <c r="H22" s="4"/>
      <c r="I22" s="2" t="str">
        <f ca="1">IF(ISNUMBER(A22),
IF(COUNTIFS(Equipar!B:B,1,Equipar!AC:AC,A22),"Equipada",
IF(
OR(COUNTIFS(Equipar!B:B,1,Equipar!C:C,A22)
 +COUNTIFS(Equipar!B:B,1,Equipar!D:D,A22)
+COUNTIFS(Equipar!B:B,1,Equipar!E:E,A22)
+COUNTIFS(Equipar!B:B,1,Equipar!F:F,A22)
&gt;0,COUNTIF('Set recomendado'!B:B,C22)=0),
"Bloqueada",
"Desechable")),""
)</f>
        <v>Desechable</v>
      </c>
      <c r="J22" t="str" cm="1">
        <f t="array" ref="J22">IF(ISNUMBER(A22),IFERROR(_xlfn._xlws.FILTER(Equipar!A:A,(Equipar!B:B=1)*(Equipar!AC:AC=A22)),""),"")</f>
        <v/>
      </c>
    </row>
    <row r="23" spans="1:10" x14ac:dyDescent="0.25">
      <c r="A23" s="1">
        <v>22</v>
      </c>
      <c r="B23" s="5" t="s">
        <v>53</v>
      </c>
      <c r="C23" s="5" t="s">
        <v>22</v>
      </c>
      <c r="D23" s="5" t="s">
        <v>37</v>
      </c>
      <c r="E23" s="5" t="s">
        <v>37</v>
      </c>
      <c r="F23" s="5" t="s">
        <v>40</v>
      </c>
      <c r="G23" s="5" t="s">
        <v>38</v>
      </c>
      <c r="H23" s="4"/>
      <c r="I23" s="2" t="str">
        <f ca="1">IF(ISNUMBER(A23),
IF(COUNTIFS(Equipar!B:B,1,Equipar!AC:AC,A23),"Equipada",
IF(
OR(COUNTIFS(Equipar!B:B,1,Equipar!C:C,A23)
 +COUNTIFS(Equipar!B:B,1,Equipar!D:D,A23)
+COUNTIFS(Equipar!B:B,1,Equipar!E:E,A23)
+COUNTIFS(Equipar!B:B,1,Equipar!F:F,A23)
&gt;0,COUNTIF('Set recomendado'!B:B,C23)=0),
"Bloqueada",
"Desechable")),""
)</f>
        <v>Bloqueada</v>
      </c>
      <c r="J23" t="str" cm="1">
        <f t="array" ref="J23">IF(ISNUMBER(A23),IFERROR(_xlfn._xlws.FILTER(Equipar!A:A,(Equipar!B:B=1)*(Equipar!AC:AC=A23)),""),"")</f>
        <v/>
      </c>
    </row>
    <row r="24" spans="1:10" x14ac:dyDescent="0.25">
      <c r="A24" s="1">
        <v>23</v>
      </c>
      <c r="B24" s="5" t="s">
        <v>53</v>
      </c>
      <c r="C24" s="5" t="s">
        <v>22</v>
      </c>
      <c r="D24" s="5" t="s">
        <v>37</v>
      </c>
      <c r="E24" s="5" t="s">
        <v>43</v>
      </c>
      <c r="F24" s="5" t="s">
        <v>42</v>
      </c>
      <c r="G24" s="5" t="s">
        <v>41</v>
      </c>
      <c r="H24" s="4"/>
      <c r="I24" s="2" t="str">
        <f ca="1">IF(ISNUMBER(A24),
IF(COUNTIFS(Equipar!B:B,1,Equipar!AC:AC,A24),"Equipada",
IF(
OR(COUNTIFS(Equipar!B:B,1,Equipar!C:C,A24)
 +COUNTIFS(Equipar!B:B,1,Equipar!D:D,A24)
+COUNTIFS(Equipar!B:B,1,Equipar!E:E,A24)
+COUNTIFS(Equipar!B:B,1,Equipar!F:F,A24)
&gt;0,COUNTIF('Set recomendado'!B:B,C24)=0),
"Bloqueada",
"Desechable")),""
)</f>
        <v>Desechable</v>
      </c>
      <c r="J24" t="str" cm="1">
        <f t="array" ref="J24">IF(ISNUMBER(A24),IFERROR(_xlfn._xlws.FILTER(Equipar!A:A,(Equipar!B:B=1)*(Equipar!AC:AC=A24)),""),"")</f>
        <v/>
      </c>
    </row>
    <row r="25" spans="1:10" x14ac:dyDescent="0.25">
      <c r="A25" s="1">
        <v>24</v>
      </c>
      <c r="B25" s="5" t="s">
        <v>53</v>
      </c>
      <c r="C25" s="5" t="s">
        <v>22</v>
      </c>
      <c r="D25" s="5" t="s">
        <v>37</v>
      </c>
      <c r="E25" s="5" t="s">
        <v>38</v>
      </c>
      <c r="F25" s="5" t="s">
        <v>37</v>
      </c>
      <c r="G25" s="5" t="s">
        <v>43</v>
      </c>
      <c r="H25" s="4"/>
      <c r="I25" s="2" t="str">
        <f ca="1">IF(ISNUMBER(A25),
IF(COUNTIFS(Equipar!B:B,1,Equipar!AC:AC,A25),"Equipada",
IF(
OR(COUNTIFS(Equipar!B:B,1,Equipar!C:C,A25)
 +COUNTIFS(Equipar!B:B,1,Equipar!D:D,A25)
+COUNTIFS(Equipar!B:B,1,Equipar!E:E,A25)
+COUNTIFS(Equipar!B:B,1,Equipar!F:F,A25)
&gt;0,COUNTIF('Set recomendado'!B:B,C25)=0),
"Bloqueada",
"Desechable")),""
)</f>
        <v>Desechable</v>
      </c>
      <c r="J25" t="str" cm="1">
        <f t="array" ref="J25">IF(ISNUMBER(A25),IFERROR(_xlfn._xlws.FILTER(Equipar!A:A,(Equipar!B:B=1)*(Equipar!AC:AC=A25)),""),"")</f>
        <v/>
      </c>
    </row>
    <row r="26" spans="1:10" x14ac:dyDescent="0.25">
      <c r="A26" s="1">
        <v>25</v>
      </c>
      <c r="B26" s="5" t="s">
        <v>53</v>
      </c>
      <c r="C26" s="5" t="s">
        <v>22</v>
      </c>
      <c r="D26" s="5" t="s">
        <v>37</v>
      </c>
      <c r="E26" s="5" t="s">
        <v>32</v>
      </c>
      <c r="F26" s="5" t="s">
        <v>36</v>
      </c>
      <c r="G26" s="5" t="s">
        <v>41</v>
      </c>
      <c r="H26" s="4"/>
      <c r="I26" s="2" t="str">
        <f ca="1">IF(ISNUMBER(A26),
IF(COUNTIFS(Equipar!B:B,1,Equipar!AC:AC,A26),"Equipada",
IF(
OR(COUNTIFS(Equipar!B:B,1,Equipar!C:C,A26)
 +COUNTIFS(Equipar!B:B,1,Equipar!D:D,A26)
+COUNTIFS(Equipar!B:B,1,Equipar!E:E,A26)
+COUNTIFS(Equipar!B:B,1,Equipar!F:F,A26)
&gt;0,COUNTIF('Set recomendado'!B:B,C26)=0),
"Bloqueada",
"Desechable")),""
)</f>
        <v>Desechable</v>
      </c>
      <c r="J26" t="str" cm="1">
        <f t="array" ref="J26">IF(ISNUMBER(A26),IFERROR(_xlfn._xlws.FILTER(Equipar!A:A,(Equipar!B:B=1)*(Equipar!AC:AC=A26)),""),"")</f>
        <v/>
      </c>
    </row>
    <row r="27" spans="1:10" x14ac:dyDescent="0.25">
      <c r="A27" s="1">
        <v>26</v>
      </c>
      <c r="B27" s="5" t="s">
        <v>53</v>
      </c>
      <c r="C27" s="5" t="s">
        <v>23</v>
      </c>
      <c r="D27" s="5" t="s">
        <v>37</v>
      </c>
      <c r="E27" s="5" t="s">
        <v>36</v>
      </c>
      <c r="F27" s="5" t="s">
        <v>37</v>
      </c>
      <c r="G27" s="5" t="s">
        <v>42</v>
      </c>
      <c r="H27" s="4"/>
      <c r="I27" s="2" t="str">
        <f>IF(ISNUMBER(A27),
IF(COUNTIFS(Equipar!B:B,1,Equipar!AC:AC,A27),"Equipada",
IF(
OR(COUNTIFS(Equipar!B:B,1,Equipar!C:C,A27)
 +COUNTIFS(Equipar!B:B,1,Equipar!D:D,A27)
+COUNTIFS(Equipar!B:B,1,Equipar!E:E,A27)
+COUNTIFS(Equipar!B:B,1,Equipar!F:F,A27)
&gt;0,COUNTIF('Set recomendado'!B:B,C27)=0),
"Bloqueada",
"Desechable")),""
)</f>
        <v>Equipada</v>
      </c>
      <c r="J27" t="str" cm="1">
        <f t="array" ref="J27">IF(ISNUMBER(A27),IFERROR(_xlfn._xlws.FILTER(Equipar!A:A,(Equipar!B:B=1)*(Equipar!AC:AC=A27)),""),"")</f>
        <v>Kuroo</v>
      </c>
    </row>
    <row r="28" spans="1:10" x14ac:dyDescent="0.25">
      <c r="A28" s="1">
        <v>27</v>
      </c>
      <c r="B28" s="5" t="s">
        <v>53</v>
      </c>
      <c r="C28" s="5" t="s">
        <v>16</v>
      </c>
      <c r="D28" s="5" t="s">
        <v>38</v>
      </c>
      <c r="E28" s="5" t="s">
        <v>34</v>
      </c>
      <c r="F28" s="5" t="s">
        <v>36</v>
      </c>
      <c r="G28" s="5" t="s">
        <v>38</v>
      </c>
      <c r="H28" s="5" t="s">
        <v>38</v>
      </c>
      <c r="I28" s="2" t="str">
        <f>IF(ISNUMBER(A28),
IF(COUNTIFS(Equipar!B:B,1,Equipar!AC:AC,A28),"Equipada",
IF(
OR(COUNTIFS(Equipar!B:B,1,Equipar!C:C,A28)
 +COUNTIFS(Equipar!B:B,1,Equipar!D:D,A28)
+COUNTIFS(Equipar!B:B,1,Equipar!E:E,A28)
+COUNTIFS(Equipar!B:B,1,Equipar!F:F,A28)
&gt;0,COUNTIF('Set recomendado'!B:B,C28)=0),
"Bloqueada",
"Desechable")),""
)</f>
        <v>Equipada</v>
      </c>
      <c r="J28" t="str" cm="1">
        <f t="array" ref="J28">IF(ISNUMBER(A28),IFERROR(_xlfn._xlws.FILTER(Equipar!A:A,(Equipar!B:B=1)*(Equipar!AC:AC=A28)),""),"")</f>
        <v>Komori</v>
      </c>
    </row>
    <row r="29" spans="1:10" x14ac:dyDescent="0.25">
      <c r="A29" s="1">
        <v>28</v>
      </c>
      <c r="B29" s="5" t="s">
        <v>53</v>
      </c>
      <c r="C29" s="5" t="s">
        <v>16</v>
      </c>
      <c r="D29" s="5" t="s">
        <v>38</v>
      </c>
      <c r="E29" s="5" t="s">
        <v>32</v>
      </c>
      <c r="F29" s="5" t="s">
        <v>32</v>
      </c>
      <c r="G29" s="5" t="s">
        <v>37</v>
      </c>
      <c r="H29" s="5" t="s">
        <v>40</v>
      </c>
      <c r="I29" s="2" t="str">
        <f>IF(ISNUMBER(A29),
IF(COUNTIFS(Equipar!B:B,1,Equipar!AC:AC,A29),"Equipada",
IF(
OR(COUNTIFS(Equipar!B:B,1,Equipar!C:C,A29)
 +COUNTIFS(Equipar!B:B,1,Equipar!D:D,A29)
+COUNTIFS(Equipar!B:B,1,Equipar!E:E,A29)
+COUNTIFS(Equipar!B:B,1,Equipar!F:F,A29)
&gt;0,COUNTIF('Set recomendado'!B:B,C29)=0),
"Bloqueada",
"Desechable")),""
)</f>
        <v>Equipada</v>
      </c>
      <c r="J29" t="str" cm="1">
        <f t="array" ref="J29">IF(ISNUMBER(A29),IFERROR(_xlfn._xlws.FILTER(Equipar!A:A,(Equipar!B:B=1)*(Equipar!AC:AC=A29)),""),"")</f>
        <v>Kita</v>
      </c>
    </row>
    <row r="30" spans="1:10" x14ac:dyDescent="0.25">
      <c r="A30" s="1">
        <v>29</v>
      </c>
      <c r="B30" s="5" t="s">
        <v>53</v>
      </c>
      <c r="C30" s="5" t="s">
        <v>16</v>
      </c>
      <c r="D30" s="5" t="s">
        <v>38</v>
      </c>
      <c r="E30" s="5" t="s">
        <v>41</v>
      </c>
      <c r="F30" s="5" t="s">
        <v>35</v>
      </c>
      <c r="G30" s="5" t="s">
        <v>41</v>
      </c>
      <c r="H30" s="4"/>
      <c r="I30" s="2" t="str">
        <f ca="1">IF(ISNUMBER(A30),
IF(COUNTIFS(Equipar!B:B,1,Equipar!AC:AC,A30),"Equipada",
IF(
OR(COUNTIFS(Equipar!B:B,1,Equipar!C:C,A30)
 +COUNTIFS(Equipar!B:B,1,Equipar!D:D,A30)
+COUNTIFS(Equipar!B:B,1,Equipar!E:E,A30)
+COUNTIFS(Equipar!B:B,1,Equipar!F:F,A30)
&gt;0,COUNTIF('Set recomendado'!B:B,C30)=0),
"Bloqueada",
"Desechable")),""
)</f>
        <v>Desechable</v>
      </c>
      <c r="J30" t="str" cm="1">
        <f t="array" ref="J30">IF(ISNUMBER(A30),IFERROR(_xlfn._xlws.FILTER(Equipar!A:A,(Equipar!B:B=1)*(Equipar!AC:AC=A30)),""),"")</f>
        <v/>
      </c>
    </row>
    <row r="31" spans="1:10" x14ac:dyDescent="0.25">
      <c r="A31" s="1">
        <v>30</v>
      </c>
      <c r="B31" s="5" t="s">
        <v>53</v>
      </c>
      <c r="C31" s="5" t="s">
        <v>17</v>
      </c>
      <c r="D31" s="5" t="s">
        <v>38</v>
      </c>
      <c r="E31" s="5" t="s">
        <v>41</v>
      </c>
      <c r="F31" s="5" t="s">
        <v>34</v>
      </c>
      <c r="G31" s="5" t="s">
        <v>38</v>
      </c>
      <c r="H31" s="5" t="s">
        <v>42</v>
      </c>
      <c r="I31" s="2" t="str">
        <f ca="1">IF(ISNUMBER(A31),
IF(COUNTIFS(Equipar!B:B,1,Equipar!AC:AC,A31),"Equipada",
IF(
OR(COUNTIFS(Equipar!B:B,1,Equipar!C:C,A31)
 +COUNTIFS(Equipar!B:B,1,Equipar!D:D,A31)
+COUNTIFS(Equipar!B:B,1,Equipar!E:E,A31)
+COUNTIFS(Equipar!B:B,1,Equipar!F:F,A31)
&gt;0,COUNTIF('Set recomendado'!B:B,C31)=0),
"Bloqueada",
"Desechable")),""
)</f>
        <v>Bloqueada</v>
      </c>
      <c r="J31" t="str" cm="1">
        <f t="array" ref="J31">IF(ISNUMBER(A31),IFERROR(_xlfn._xlws.FILTER(Equipar!A:A,(Equipar!B:B=1)*(Equipar!AC:AC=A31)),""),"")</f>
        <v/>
      </c>
    </row>
    <row r="32" spans="1:10" x14ac:dyDescent="0.25">
      <c r="A32" s="1">
        <v>31</v>
      </c>
      <c r="B32" s="5" t="s">
        <v>53</v>
      </c>
      <c r="C32" s="5" t="s">
        <v>17</v>
      </c>
      <c r="D32" s="5" t="s">
        <v>38</v>
      </c>
      <c r="E32" s="5" t="s">
        <v>32</v>
      </c>
      <c r="F32" s="5" t="s">
        <v>37</v>
      </c>
      <c r="G32" s="5" t="s">
        <v>35</v>
      </c>
      <c r="H32" s="4"/>
      <c r="I32" s="2" t="str">
        <f ca="1">IF(ISNUMBER(A32),
IF(COUNTIFS(Equipar!B:B,1,Equipar!AC:AC,A32),"Equipada",
IF(
OR(COUNTIFS(Equipar!B:B,1,Equipar!C:C,A32)
 +COUNTIFS(Equipar!B:B,1,Equipar!D:D,A32)
+COUNTIFS(Equipar!B:B,1,Equipar!E:E,A32)
+COUNTIFS(Equipar!B:B,1,Equipar!F:F,A32)
&gt;0,COUNTIF('Set recomendado'!B:B,C32)=0),
"Bloqueada",
"Desechable")),""
)</f>
        <v>Bloqueada</v>
      </c>
      <c r="J32" t="str" cm="1">
        <f t="array" ref="J32">IF(ISNUMBER(A32),IFERROR(_xlfn._xlws.FILTER(Equipar!A:A,(Equipar!B:B=1)*(Equipar!AC:AC=A32)),""),"")</f>
        <v/>
      </c>
    </row>
    <row r="33" spans="1:10" x14ac:dyDescent="0.25">
      <c r="A33" s="1">
        <v>33</v>
      </c>
      <c r="B33" s="5" t="s">
        <v>53</v>
      </c>
      <c r="C33" s="5" t="s">
        <v>21</v>
      </c>
      <c r="D33" s="5" t="s">
        <v>37</v>
      </c>
      <c r="E33" s="5" t="s">
        <v>37</v>
      </c>
      <c r="F33" s="5" t="s">
        <v>32</v>
      </c>
      <c r="G33" s="5" t="s">
        <v>41</v>
      </c>
      <c r="H33" s="5" t="s">
        <v>43</v>
      </c>
      <c r="I33" s="2" t="str">
        <f ca="1">IF(ISNUMBER(A33),
IF(COUNTIFS(Equipar!B:B,1,Equipar!AC:AC,A33),"Equipada",
IF(
OR(COUNTIFS(Equipar!B:B,1,Equipar!C:C,A33)
 +COUNTIFS(Equipar!B:B,1,Equipar!D:D,A33)
+COUNTIFS(Equipar!B:B,1,Equipar!E:E,A33)
+COUNTIFS(Equipar!B:B,1,Equipar!F:F,A33)
&gt;0,COUNTIF('Set recomendado'!B:B,C33)=0),
"Bloqueada",
"Desechable")),""
)</f>
        <v>Desechable</v>
      </c>
      <c r="J33" t="str" cm="1">
        <f t="array" ref="J33">IF(ISNUMBER(A33),IFERROR(_xlfn._xlws.FILTER(Equipar!A:A,(Equipar!B:B=1)*(Equipar!AC:AC=A33)),""),"")</f>
        <v/>
      </c>
    </row>
    <row r="34" spans="1:10" x14ac:dyDescent="0.25">
      <c r="A34" s="1">
        <v>34</v>
      </c>
      <c r="B34" s="5" t="s">
        <v>53</v>
      </c>
      <c r="C34" s="5" t="s">
        <v>29</v>
      </c>
      <c r="D34" s="5" t="s">
        <v>32</v>
      </c>
      <c r="E34" s="5" t="s">
        <v>36</v>
      </c>
      <c r="F34" s="5" t="s">
        <v>39</v>
      </c>
      <c r="G34" s="5" t="s">
        <v>38</v>
      </c>
      <c r="H34" s="4"/>
      <c r="I34" s="2" t="str">
        <f ca="1">IF(ISNUMBER(A34),
IF(COUNTIFS(Equipar!B:B,1,Equipar!AC:AC,A34),"Equipada",
IF(
OR(COUNTIFS(Equipar!B:B,1,Equipar!C:C,A34)
 +COUNTIFS(Equipar!B:B,1,Equipar!D:D,A34)
+COUNTIFS(Equipar!B:B,1,Equipar!E:E,A34)
+COUNTIFS(Equipar!B:B,1,Equipar!F:F,A34)
&gt;0,COUNTIF('Set recomendado'!B:B,C34)=0),
"Bloqueada",
"Desechable")),""
)</f>
        <v>Desechable</v>
      </c>
      <c r="J34" t="str" cm="1">
        <f t="array" ref="J34">IF(ISNUMBER(A34),IFERROR(_xlfn._xlws.FILTER(Equipar!A:A,(Equipar!B:B=1)*(Equipar!AC:AC=A34)),""),"")</f>
        <v/>
      </c>
    </row>
    <row r="35" spans="1:10" x14ac:dyDescent="0.25">
      <c r="A35" s="1">
        <v>35</v>
      </c>
      <c r="B35" s="5" t="s">
        <v>53</v>
      </c>
      <c r="C35" s="5" t="s">
        <v>29</v>
      </c>
      <c r="D35" s="5" t="s">
        <v>32</v>
      </c>
      <c r="E35" s="5" t="s">
        <v>32</v>
      </c>
      <c r="F35" s="5" t="s">
        <v>37</v>
      </c>
      <c r="G35" s="5" t="s">
        <v>40</v>
      </c>
      <c r="H35" s="4"/>
      <c r="I35" s="2" t="str">
        <f ca="1">IF(ISNUMBER(A35),
IF(COUNTIFS(Equipar!B:B,1,Equipar!AC:AC,A35),"Equipada",
IF(
OR(COUNTIFS(Equipar!B:B,1,Equipar!C:C,A35)
 +COUNTIFS(Equipar!B:B,1,Equipar!D:D,A35)
+COUNTIFS(Equipar!B:B,1,Equipar!E:E,A35)
+COUNTIFS(Equipar!B:B,1,Equipar!F:F,A35)
&gt;0,COUNTIF('Set recomendado'!B:B,C35)=0),
"Bloqueada",
"Desechable")),""
)</f>
        <v>Desechable</v>
      </c>
      <c r="J35" t="str" cm="1">
        <f t="array" ref="J35">IF(ISNUMBER(A35),IFERROR(_xlfn._xlws.FILTER(Equipar!A:A,(Equipar!B:B=1)*(Equipar!AC:AC=A35)),""),"")</f>
        <v/>
      </c>
    </row>
    <row r="36" spans="1:10" x14ac:dyDescent="0.25">
      <c r="A36" s="1">
        <v>36</v>
      </c>
      <c r="B36" s="5" t="s">
        <v>54</v>
      </c>
      <c r="C36" s="5" t="s">
        <v>13</v>
      </c>
      <c r="D36" s="5" t="s">
        <v>42</v>
      </c>
      <c r="E36" s="5" t="s">
        <v>42</v>
      </c>
      <c r="F36" s="5" t="s">
        <v>33</v>
      </c>
      <c r="G36" s="5" t="s">
        <v>36</v>
      </c>
      <c r="H36" s="5" t="s">
        <v>38</v>
      </c>
      <c r="I36" s="2" t="str">
        <f>IF(ISNUMBER(A36),
IF(COUNTIFS(Equipar!B:B,1,Equipar!AC:AC,A36),"Equipada",
IF(
OR(COUNTIFS(Equipar!B:B,1,Equipar!C:C,A36)
 +COUNTIFS(Equipar!B:B,1,Equipar!D:D,A36)
+COUNTIFS(Equipar!B:B,1,Equipar!E:E,A36)
+COUNTIFS(Equipar!B:B,1,Equipar!F:F,A36)
&gt;0,COUNTIF('Set recomendado'!B:B,C36)=0),
"Bloqueada",
"Desechable")),""
)</f>
        <v>Equipada</v>
      </c>
      <c r="J36" t="str" cm="1">
        <f t="array" ref="J36">IF(ISNUMBER(A36),IFERROR(_xlfn._xlws.FILTER(Equipar!A:A,(Equipar!B:B=1)*(Equipar!AC:AC=A36)),""),"")</f>
        <v>Osamu</v>
      </c>
    </row>
    <row r="37" spans="1:10" x14ac:dyDescent="0.25">
      <c r="A37" s="1">
        <v>37</v>
      </c>
      <c r="B37" s="5" t="s">
        <v>54</v>
      </c>
      <c r="C37" s="5" t="s">
        <v>57</v>
      </c>
      <c r="D37" s="5" t="s">
        <v>42</v>
      </c>
      <c r="E37" s="5" t="s">
        <v>43</v>
      </c>
      <c r="F37" s="5" t="s">
        <v>42</v>
      </c>
      <c r="G37" s="5" t="s">
        <v>32</v>
      </c>
      <c r="H37" s="4"/>
      <c r="I37" s="2" t="str">
        <f ca="1">IF(ISNUMBER(A37),
IF(COUNTIFS(Equipar!B:B,1,Equipar!AC:AC,A37),"Equipada",
IF(
OR(COUNTIFS(Equipar!B:B,1,Equipar!C:C,A37)
 +COUNTIFS(Equipar!B:B,1,Equipar!D:D,A37)
+COUNTIFS(Equipar!B:B,1,Equipar!E:E,A37)
+COUNTIFS(Equipar!B:B,1,Equipar!F:F,A37)
&gt;0,COUNTIF('Set recomendado'!B:B,C37)=0),
"Bloqueada",
"Desechable")),""
)</f>
        <v>Bloqueada</v>
      </c>
      <c r="J37" t="str" cm="1">
        <f t="array" ref="J37">IF(ISNUMBER(A37),IFERROR(_xlfn._xlws.FILTER(Equipar!A:A,(Equipar!B:B=1)*(Equipar!AC:AC=A37)),""),"")</f>
        <v/>
      </c>
    </row>
    <row r="38" spans="1:10" x14ac:dyDescent="0.25">
      <c r="A38" s="1">
        <v>38</v>
      </c>
      <c r="B38" s="5" t="s">
        <v>54</v>
      </c>
      <c r="C38" s="5" t="s">
        <v>57</v>
      </c>
      <c r="D38" s="5" t="s">
        <v>42</v>
      </c>
      <c r="E38" s="5" t="s">
        <v>41</v>
      </c>
      <c r="F38" s="5" t="s">
        <v>43</v>
      </c>
      <c r="G38" s="4"/>
      <c r="H38" s="4"/>
      <c r="I38" s="2" t="str">
        <f ca="1">IF(ISNUMBER(A38),
IF(COUNTIFS(Equipar!B:B,1,Equipar!AC:AC,A38),"Equipada",
IF(
OR(COUNTIFS(Equipar!B:B,1,Equipar!C:C,A38)
 +COUNTIFS(Equipar!B:B,1,Equipar!D:D,A38)
+COUNTIFS(Equipar!B:B,1,Equipar!E:E,A38)
+COUNTIFS(Equipar!B:B,1,Equipar!F:F,A38)
&gt;0,COUNTIF('Set recomendado'!B:B,C38)=0),
"Bloqueada",
"Desechable")),""
)</f>
        <v>Bloqueada</v>
      </c>
      <c r="J38" t="str" cm="1">
        <f t="array" ref="J38">IF(ISNUMBER(A38),IFERROR(_xlfn._xlws.FILTER(Equipar!A:A,(Equipar!B:B=1)*(Equipar!AC:AC=A38)),""),"")</f>
        <v/>
      </c>
    </row>
    <row r="39" spans="1:10" x14ac:dyDescent="0.25">
      <c r="A39" s="1">
        <v>39</v>
      </c>
      <c r="B39" s="5" t="s">
        <v>54</v>
      </c>
      <c r="C39" s="5" t="s">
        <v>57</v>
      </c>
      <c r="D39" s="5" t="s">
        <v>42</v>
      </c>
      <c r="E39" s="5" t="s">
        <v>43</v>
      </c>
      <c r="F39" s="5" t="s">
        <v>42</v>
      </c>
      <c r="G39" s="4"/>
      <c r="H39" s="4"/>
      <c r="I39" s="2" t="str">
        <f ca="1">IF(ISNUMBER(A39),
IF(COUNTIFS(Equipar!B:B,1,Equipar!AC:AC,A39),"Equipada",
IF(
OR(COUNTIFS(Equipar!B:B,1,Equipar!C:C,A39)
 +COUNTIFS(Equipar!B:B,1,Equipar!D:D,A39)
+COUNTIFS(Equipar!B:B,1,Equipar!E:E,A39)
+COUNTIFS(Equipar!B:B,1,Equipar!F:F,A39)
&gt;0,COUNTIF('Set recomendado'!B:B,C39)=0),
"Bloqueada",
"Desechable")),""
)</f>
        <v>Bloqueada</v>
      </c>
      <c r="J39" t="str" cm="1">
        <f t="array" ref="J39">IF(ISNUMBER(A39),IFERROR(_xlfn._xlws.FILTER(Equipar!A:A,(Equipar!B:B=1)*(Equipar!AC:AC=A39)),""),"")</f>
        <v/>
      </c>
    </row>
    <row r="40" spans="1:10" x14ac:dyDescent="0.25">
      <c r="A40" s="1">
        <v>40</v>
      </c>
      <c r="B40" s="5" t="s">
        <v>54</v>
      </c>
      <c r="C40" s="5" t="s">
        <v>55</v>
      </c>
      <c r="D40" s="5" t="s">
        <v>41</v>
      </c>
      <c r="E40" s="5" t="s">
        <v>32</v>
      </c>
      <c r="F40" s="5" t="s">
        <v>37</v>
      </c>
      <c r="G40" s="4"/>
      <c r="H40" s="4"/>
      <c r="I40" s="2" t="str">
        <f ca="1">IF(ISNUMBER(A40),
IF(COUNTIFS(Equipar!B:B,1,Equipar!AC:AC,A40),"Equipada",
IF(
OR(COUNTIFS(Equipar!B:B,1,Equipar!C:C,A40)
 +COUNTIFS(Equipar!B:B,1,Equipar!D:D,A40)
+COUNTIFS(Equipar!B:B,1,Equipar!E:E,A40)
+COUNTIFS(Equipar!B:B,1,Equipar!F:F,A40)
&gt;0,COUNTIF('Set recomendado'!B:B,C40)=0),
"Bloqueada",
"Desechable")),""
)</f>
        <v>Desechable</v>
      </c>
      <c r="J40" t="str" cm="1">
        <f t="array" ref="J40">IF(ISNUMBER(A40),IFERROR(_xlfn._xlws.FILTER(Equipar!A:A,(Equipar!B:B=1)*(Equipar!AC:AC=A40)),""),"")</f>
        <v/>
      </c>
    </row>
    <row r="41" spans="1:10" x14ac:dyDescent="0.25">
      <c r="A41" s="1">
        <v>41</v>
      </c>
      <c r="B41" s="5" t="s">
        <v>54</v>
      </c>
      <c r="C41" s="5" t="s">
        <v>55</v>
      </c>
      <c r="D41" s="5" t="s">
        <v>41</v>
      </c>
      <c r="E41" s="5" t="s">
        <v>43</v>
      </c>
      <c r="F41" s="5" t="s">
        <v>38</v>
      </c>
      <c r="G41" s="4"/>
      <c r="H41" s="4"/>
      <c r="I41" s="2" t="str">
        <f ca="1">IF(ISNUMBER(A41),
IF(COUNTIFS(Equipar!B:B,1,Equipar!AC:AC,A41),"Equipada",
IF(
OR(COUNTIFS(Equipar!B:B,1,Equipar!C:C,A41)
 +COUNTIFS(Equipar!B:B,1,Equipar!D:D,A41)
+COUNTIFS(Equipar!B:B,1,Equipar!E:E,A41)
+COUNTIFS(Equipar!B:B,1,Equipar!F:F,A41)
&gt;0,COUNTIF('Set recomendado'!B:B,C41)=0),
"Bloqueada",
"Desechable")),""
)</f>
        <v>Desechable</v>
      </c>
      <c r="J41" t="str" cm="1">
        <f t="array" ref="J41">IF(ISNUMBER(A41),IFERROR(_xlfn._xlws.FILTER(Equipar!A:A,(Equipar!B:B=1)*(Equipar!AC:AC=A41)),""),"")</f>
        <v/>
      </c>
    </row>
    <row r="42" spans="1:10" x14ac:dyDescent="0.25">
      <c r="A42" s="1">
        <v>42</v>
      </c>
      <c r="B42" s="5" t="s">
        <v>54</v>
      </c>
      <c r="C42" s="5" t="s">
        <v>55</v>
      </c>
      <c r="D42" s="5" t="s">
        <v>41</v>
      </c>
      <c r="E42" s="5" t="s">
        <v>38</v>
      </c>
      <c r="F42" s="5" t="s">
        <v>43</v>
      </c>
      <c r="G42" s="5" t="s">
        <v>41</v>
      </c>
      <c r="H42" s="4"/>
      <c r="I42" s="2" t="str">
        <f ca="1">IF(ISNUMBER(A42),
IF(COUNTIFS(Equipar!B:B,1,Equipar!AC:AC,A42),"Equipada",
IF(
OR(COUNTIFS(Equipar!B:B,1,Equipar!C:C,A42)
 +COUNTIFS(Equipar!B:B,1,Equipar!D:D,A42)
+COUNTIFS(Equipar!B:B,1,Equipar!E:E,A42)
+COUNTIFS(Equipar!B:B,1,Equipar!F:F,A42)
&gt;0,COUNTIF('Set recomendado'!B:B,C42)=0),
"Bloqueada",
"Desechable")),""
)</f>
        <v>Desechable</v>
      </c>
      <c r="J42" t="str" cm="1">
        <f t="array" ref="J42">IF(ISNUMBER(A42),IFERROR(_xlfn._xlws.FILTER(Equipar!A:A,(Equipar!B:B=1)*(Equipar!AC:AC=A42)),""),"")</f>
        <v/>
      </c>
    </row>
    <row r="43" spans="1:10" x14ac:dyDescent="0.25">
      <c r="A43" s="1">
        <v>43</v>
      </c>
      <c r="B43" s="5" t="s">
        <v>54</v>
      </c>
      <c r="C43" s="5" t="s">
        <v>21</v>
      </c>
      <c r="D43" s="5" t="s">
        <v>37</v>
      </c>
      <c r="E43" s="5" t="s">
        <v>32</v>
      </c>
      <c r="F43" s="5" t="s">
        <v>38</v>
      </c>
      <c r="G43" s="4"/>
      <c r="H43" s="4"/>
      <c r="I43" s="2" t="str">
        <f ca="1">IF(ISNUMBER(A43),
IF(COUNTIFS(Equipar!B:B,1,Equipar!AC:AC,A43),"Equipada",
IF(
OR(COUNTIFS(Equipar!B:B,1,Equipar!C:C,A43)
 +COUNTIFS(Equipar!B:B,1,Equipar!D:D,A43)
+COUNTIFS(Equipar!B:B,1,Equipar!E:E,A43)
+COUNTIFS(Equipar!B:B,1,Equipar!F:F,A43)
&gt;0,COUNTIF('Set recomendado'!B:B,C43)=0),
"Bloqueada",
"Desechable")),""
)</f>
        <v>Desechable</v>
      </c>
      <c r="J43" t="str" cm="1">
        <f t="array" ref="J43">IF(ISNUMBER(A43),IFERROR(_xlfn._xlws.FILTER(Equipar!A:A,(Equipar!B:B=1)*(Equipar!AC:AC=A43)),""),"")</f>
        <v/>
      </c>
    </row>
    <row r="44" spans="1:10" x14ac:dyDescent="0.25">
      <c r="A44" s="1">
        <v>44</v>
      </c>
      <c r="B44" s="5" t="s">
        <v>54</v>
      </c>
      <c r="C44" s="5" t="s">
        <v>9</v>
      </c>
      <c r="D44" s="5" t="s">
        <v>41</v>
      </c>
      <c r="E44" s="5" t="s">
        <v>33</v>
      </c>
      <c r="F44" s="5" t="s">
        <v>36</v>
      </c>
      <c r="G44" s="5" t="s">
        <v>37</v>
      </c>
      <c r="H44" s="4"/>
      <c r="I44" s="2" t="str">
        <f ca="1">IF(ISNUMBER(A44),
IF(COUNTIFS(Equipar!B:B,1,Equipar!AC:AC,A44),"Equipada",
IF(
OR(COUNTIFS(Equipar!B:B,1,Equipar!C:C,A44)
 +COUNTIFS(Equipar!B:B,1,Equipar!D:D,A44)
+COUNTIFS(Equipar!B:B,1,Equipar!E:E,A44)
+COUNTIFS(Equipar!B:B,1,Equipar!F:F,A44)
&gt;0,COUNTIF('Set recomendado'!B:B,C44)=0),
"Bloqueada",
"Desechable")),""
)</f>
        <v>Bloqueada</v>
      </c>
      <c r="J44" t="str" cm="1">
        <f t="array" ref="J44">IF(ISNUMBER(A44),IFERROR(_xlfn._xlws.FILTER(Equipar!A:A,(Equipar!B:B=1)*(Equipar!AC:AC=A44)),""),"")</f>
        <v/>
      </c>
    </row>
    <row r="45" spans="1:10" x14ac:dyDescent="0.25">
      <c r="A45" s="1">
        <v>45</v>
      </c>
      <c r="B45" s="5" t="s">
        <v>54</v>
      </c>
      <c r="C45" s="5" t="s">
        <v>9</v>
      </c>
      <c r="D45" s="5" t="s">
        <v>41</v>
      </c>
      <c r="E45" s="5" t="s">
        <v>41</v>
      </c>
      <c r="F45" s="5" t="s">
        <v>41</v>
      </c>
      <c r="G45" s="4"/>
      <c r="H45" s="4"/>
      <c r="I45" s="2" t="str">
        <f>IF(ISNUMBER(A45),
IF(COUNTIFS(Equipar!B:B,1,Equipar!AC:AC,A45),"Equipada",
IF(
OR(COUNTIFS(Equipar!B:B,1,Equipar!C:C,A45)
 +COUNTIFS(Equipar!B:B,1,Equipar!D:D,A45)
+COUNTIFS(Equipar!B:B,1,Equipar!E:E,A45)
+COUNTIFS(Equipar!B:B,1,Equipar!F:F,A45)
&gt;0,COUNTIF('Set recomendado'!B:B,C45)=0),
"Bloqueada",
"Desechable")),""
)</f>
        <v>Equipada</v>
      </c>
      <c r="J45" t="str" cm="1">
        <f t="array" ref="J45">IF(ISNUMBER(A45),IFERROR(_xlfn._xlws.FILTER(Equipar!A:A,(Equipar!B:B=1)*(Equipar!AC:AC=A45)),""),"")</f>
        <v>Atsumu</v>
      </c>
    </row>
    <row r="46" spans="1:10" x14ac:dyDescent="0.25">
      <c r="A46" s="1">
        <v>46</v>
      </c>
      <c r="B46" s="5" t="s">
        <v>54</v>
      </c>
      <c r="C46" s="5" t="s">
        <v>10</v>
      </c>
      <c r="D46" s="5" t="s">
        <v>41</v>
      </c>
      <c r="E46" s="5" t="s">
        <v>32</v>
      </c>
      <c r="F46" s="5" t="s">
        <v>41</v>
      </c>
      <c r="G46" s="5" t="s">
        <v>36</v>
      </c>
      <c r="H46" s="4"/>
      <c r="I46" s="2" t="str">
        <f>IF(ISNUMBER(A46),
IF(COUNTIFS(Equipar!B:B,1,Equipar!AC:AC,A46),"Equipada",
IF(
OR(COUNTIFS(Equipar!B:B,1,Equipar!C:C,A46)
 +COUNTIFS(Equipar!B:B,1,Equipar!D:D,A46)
+COUNTIFS(Equipar!B:B,1,Equipar!E:E,A46)
+COUNTIFS(Equipar!B:B,1,Equipar!F:F,A46)
&gt;0,COUNTIF('Set recomendado'!B:B,C46)=0),
"Bloqueada",
"Desechable")),""
)</f>
        <v>Equipada</v>
      </c>
      <c r="J46" t="str" cm="1">
        <f t="array" ref="J46">IF(ISNUMBER(A46),IFERROR(_xlfn._xlws.FILTER(Equipar!A:A,(Equipar!B:B=1)*(Equipar!AC:AC=A46)),""),"")</f>
        <v>Sugawara</v>
      </c>
    </row>
    <row r="47" spans="1:10" x14ac:dyDescent="0.25">
      <c r="A47" s="1">
        <v>47</v>
      </c>
      <c r="B47" s="5" t="s">
        <v>54</v>
      </c>
      <c r="C47" s="5" t="s">
        <v>4</v>
      </c>
      <c r="D47" s="5" t="s">
        <v>32</v>
      </c>
      <c r="E47" s="5" t="s">
        <v>42</v>
      </c>
      <c r="F47" s="5" t="s">
        <v>36</v>
      </c>
      <c r="G47" s="4"/>
      <c r="H47" s="4"/>
      <c r="I47" s="2" t="str">
        <f ca="1">IF(ISNUMBER(A47),
IF(COUNTIFS(Equipar!B:B,1,Equipar!AC:AC,A47),"Equipada",
IF(
OR(COUNTIFS(Equipar!B:B,1,Equipar!C:C,A47)
 +COUNTIFS(Equipar!B:B,1,Equipar!D:D,A47)
+COUNTIFS(Equipar!B:B,1,Equipar!E:E,A47)
+COUNTIFS(Equipar!B:B,1,Equipar!F:F,A47)
&gt;0,COUNTIF('Set recomendado'!B:B,C47)=0),
"Bloqueada",
"Desechable")),""
)</f>
        <v>Desechable</v>
      </c>
      <c r="J47" t="str" cm="1">
        <f t="array" ref="J47">IF(ISNUMBER(A47),IFERROR(_xlfn._xlws.FILTER(Equipar!A:A,(Equipar!B:B=1)*(Equipar!AC:AC=A47)),""),"")</f>
        <v/>
      </c>
    </row>
    <row r="48" spans="1:10" x14ac:dyDescent="0.25">
      <c r="A48" s="1">
        <v>48</v>
      </c>
      <c r="B48" s="5" t="s">
        <v>54</v>
      </c>
      <c r="C48" s="5" t="s">
        <v>4</v>
      </c>
      <c r="D48" s="5" t="s">
        <v>32</v>
      </c>
      <c r="E48" s="5" t="s">
        <v>37</v>
      </c>
      <c r="F48" s="5" t="s">
        <v>43</v>
      </c>
      <c r="G48" s="4"/>
      <c r="H48" s="4"/>
      <c r="I48" s="2" t="str">
        <f ca="1">IF(ISNUMBER(A48),
IF(COUNTIFS(Equipar!B:B,1,Equipar!AC:AC,A48),"Equipada",
IF(
OR(COUNTIFS(Equipar!B:B,1,Equipar!C:C,A48)
 +COUNTIFS(Equipar!B:B,1,Equipar!D:D,A48)
+COUNTIFS(Equipar!B:B,1,Equipar!E:E,A48)
+COUNTIFS(Equipar!B:B,1,Equipar!F:F,A48)
&gt;0,COUNTIF('Set recomendado'!B:B,C48)=0),
"Bloqueada",
"Desechable")),""
)</f>
        <v>Desechable</v>
      </c>
      <c r="J48" t="str" cm="1">
        <f t="array" ref="J48">IF(ISNUMBER(A48),IFERROR(_xlfn._xlws.FILTER(Equipar!A:A,(Equipar!B:B=1)*(Equipar!AC:AC=A48)),""),"")</f>
        <v/>
      </c>
    </row>
    <row r="49" spans="1:10" x14ac:dyDescent="0.25">
      <c r="A49" s="1">
        <v>49</v>
      </c>
      <c r="B49" s="5" t="s">
        <v>54</v>
      </c>
      <c r="C49" s="5" t="s">
        <v>4</v>
      </c>
      <c r="D49" s="5" t="s">
        <v>32</v>
      </c>
      <c r="E49" s="5" t="s">
        <v>32</v>
      </c>
      <c r="F49" s="5" t="s">
        <v>37</v>
      </c>
      <c r="G49" s="5" t="s">
        <v>36</v>
      </c>
      <c r="H49" s="4"/>
      <c r="I49" s="2" t="str">
        <f ca="1">IF(ISNUMBER(A49),
IF(COUNTIFS(Equipar!B:B,1,Equipar!AC:AC,A49),"Equipada",
IF(
OR(COUNTIFS(Equipar!B:B,1,Equipar!C:C,A49)
 +COUNTIFS(Equipar!B:B,1,Equipar!D:D,A49)
+COUNTIFS(Equipar!B:B,1,Equipar!E:E,A49)
+COUNTIFS(Equipar!B:B,1,Equipar!F:F,A49)
&gt;0,COUNTIF('Set recomendado'!B:B,C49)=0),
"Bloqueada",
"Desechable")),""
)</f>
        <v>Bloqueada</v>
      </c>
      <c r="J49" t="str" cm="1">
        <f t="array" ref="J49">IF(ISNUMBER(A49),IFERROR(_xlfn._xlws.FILTER(Equipar!A:A,(Equipar!B:B=1)*(Equipar!AC:AC=A49)),""),"")</f>
        <v/>
      </c>
    </row>
    <row r="50" spans="1:10" x14ac:dyDescent="0.25">
      <c r="A50" s="1">
        <v>50</v>
      </c>
      <c r="B50" s="5" t="s">
        <v>54</v>
      </c>
      <c r="C50" s="5" t="s">
        <v>4</v>
      </c>
      <c r="D50" s="5" t="s">
        <v>32</v>
      </c>
      <c r="E50" s="5" t="s">
        <v>36</v>
      </c>
      <c r="F50" s="5" t="s">
        <v>38</v>
      </c>
      <c r="G50" s="4"/>
      <c r="H50" s="4"/>
      <c r="I50" s="2" t="str">
        <f ca="1">IF(ISNUMBER(A50),
IF(COUNTIFS(Equipar!B:B,1,Equipar!AC:AC,A50),"Equipada",
IF(
OR(COUNTIFS(Equipar!B:B,1,Equipar!C:C,A50)
 +COUNTIFS(Equipar!B:B,1,Equipar!D:D,A50)
+COUNTIFS(Equipar!B:B,1,Equipar!E:E,A50)
+COUNTIFS(Equipar!B:B,1,Equipar!F:F,A50)
&gt;0,COUNTIF('Set recomendado'!B:B,C50)=0),
"Bloqueada",
"Desechable")),""
)</f>
        <v>Desechable</v>
      </c>
      <c r="J50" t="str" cm="1">
        <f t="array" ref="J50">IF(ISNUMBER(A50),IFERROR(_xlfn._xlws.FILTER(Equipar!A:A,(Equipar!B:B=1)*(Equipar!AC:AC=A50)),""),"")</f>
        <v/>
      </c>
    </row>
    <row r="51" spans="1:10" x14ac:dyDescent="0.25">
      <c r="A51" s="1">
        <v>51</v>
      </c>
      <c r="B51" s="5" t="s">
        <v>54</v>
      </c>
      <c r="C51" s="5" t="s">
        <v>5</v>
      </c>
      <c r="D51" s="5" t="s">
        <v>32</v>
      </c>
      <c r="E51" s="5" t="s">
        <v>42</v>
      </c>
      <c r="F51" s="5" t="s">
        <v>36</v>
      </c>
      <c r="G51" s="5" t="s">
        <v>32</v>
      </c>
      <c r="H51" s="4"/>
      <c r="I51" s="2" t="str">
        <f ca="1">IF(ISNUMBER(A51),
IF(COUNTIFS(Equipar!B:B,1,Equipar!AC:AC,A51),"Equipada",
IF(
OR(COUNTIFS(Equipar!B:B,1,Equipar!C:C,A51)
 +COUNTIFS(Equipar!B:B,1,Equipar!D:D,A51)
+COUNTIFS(Equipar!B:B,1,Equipar!E:E,A51)
+COUNTIFS(Equipar!B:B,1,Equipar!F:F,A51)
&gt;0,COUNTIF('Set recomendado'!B:B,C51)=0),
"Bloqueada",
"Desechable")),""
)</f>
        <v>Bloqueada</v>
      </c>
      <c r="J51" t="str" cm="1">
        <f t="array" ref="J51">IF(ISNUMBER(A51),IFERROR(_xlfn._xlws.FILTER(Equipar!A:A,(Equipar!B:B=1)*(Equipar!AC:AC=A51)),""),"")</f>
        <v/>
      </c>
    </row>
    <row r="52" spans="1:10" x14ac:dyDescent="0.25">
      <c r="A52" s="1">
        <v>52</v>
      </c>
      <c r="B52" s="5" t="s">
        <v>54</v>
      </c>
      <c r="C52" s="5" t="s">
        <v>13</v>
      </c>
      <c r="D52" s="5" t="s">
        <v>42</v>
      </c>
      <c r="E52" s="5" t="s">
        <v>37</v>
      </c>
      <c r="F52" s="5" t="s">
        <v>44</v>
      </c>
      <c r="G52" s="4"/>
      <c r="H52" s="4"/>
      <c r="I52" s="2" t="str">
        <f ca="1">IF(ISNUMBER(A52),
IF(COUNTIFS(Equipar!B:B,1,Equipar!AC:AC,A52),"Equipada",
IF(
OR(COUNTIFS(Equipar!B:B,1,Equipar!C:C,A52)
 +COUNTIFS(Equipar!B:B,1,Equipar!D:D,A52)
+COUNTIFS(Equipar!B:B,1,Equipar!E:E,A52)
+COUNTIFS(Equipar!B:B,1,Equipar!F:F,A52)
&gt;0,COUNTIF('Set recomendado'!B:B,C52)=0),
"Bloqueada",
"Desechable")),""
)</f>
        <v>Desechable</v>
      </c>
      <c r="J52" t="str" cm="1">
        <f t="array" ref="J52">IF(ISNUMBER(A52),IFERROR(_xlfn._xlws.FILTER(Equipar!A:A,(Equipar!B:B=1)*(Equipar!AC:AC=A52)),""),"")</f>
        <v/>
      </c>
    </row>
    <row r="53" spans="1:10" x14ac:dyDescent="0.25">
      <c r="A53" s="1">
        <v>53</v>
      </c>
      <c r="B53" s="5" t="s">
        <v>54</v>
      </c>
      <c r="C53" s="5" t="s">
        <v>13</v>
      </c>
      <c r="D53" s="5" t="s">
        <v>42</v>
      </c>
      <c r="E53" s="5" t="s">
        <v>42</v>
      </c>
      <c r="F53" s="5" t="s">
        <v>32</v>
      </c>
      <c r="G53" s="5" t="s">
        <v>35</v>
      </c>
      <c r="H53" s="4"/>
      <c r="I53" s="2" t="str">
        <f ca="1">IF(ISNUMBER(A53),
IF(COUNTIFS(Equipar!B:B,1,Equipar!AC:AC,A53),"Equipada",
IF(
OR(COUNTIFS(Equipar!B:B,1,Equipar!C:C,A53)
 +COUNTIFS(Equipar!B:B,1,Equipar!D:D,A53)
+COUNTIFS(Equipar!B:B,1,Equipar!E:E,A53)
+COUNTIFS(Equipar!B:B,1,Equipar!F:F,A53)
&gt;0,COUNTIF('Set recomendado'!B:B,C53)=0),
"Bloqueada",
"Desechable")),""
)</f>
        <v>Desechable</v>
      </c>
      <c r="J53" t="str" cm="1">
        <f t="array" ref="J53">IF(ISNUMBER(A53),IFERROR(_xlfn._xlws.FILTER(Equipar!A:A,(Equipar!B:B=1)*(Equipar!AC:AC=A53)),""),"")</f>
        <v/>
      </c>
    </row>
    <row r="54" spans="1:10" x14ac:dyDescent="0.25">
      <c r="A54" s="1">
        <v>55</v>
      </c>
      <c r="B54" s="5" t="s">
        <v>54</v>
      </c>
      <c r="C54" s="5" t="s">
        <v>22</v>
      </c>
      <c r="D54" s="5" t="s">
        <v>37</v>
      </c>
      <c r="E54" s="5" t="s">
        <v>41</v>
      </c>
      <c r="F54" s="5" t="s">
        <v>37</v>
      </c>
      <c r="G54" s="4"/>
      <c r="H54" s="4"/>
      <c r="I54" s="2" t="str">
        <f ca="1">IF(ISNUMBER(A54),
IF(COUNTIFS(Equipar!B:B,1,Equipar!AC:AC,A54),"Equipada",
IF(
OR(COUNTIFS(Equipar!B:B,1,Equipar!C:C,A54)
 +COUNTIFS(Equipar!B:B,1,Equipar!D:D,A54)
+COUNTIFS(Equipar!B:B,1,Equipar!E:E,A54)
+COUNTIFS(Equipar!B:B,1,Equipar!F:F,A54)
&gt;0,COUNTIF('Set recomendado'!B:B,C54)=0),
"Bloqueada",
"Desechable")),""
)</f>
        <v>Desechable</v>
      </c>
      <c r="J54" t="str" cm="1">
        <f t="array" ref="J54">IF(ISNUMBER(A54),IFERROR(_xlfn._xlws.FILTER(Equipar!A:A,(Equipar!B:B=1)*(Equipar!AC:AC=A54)),""),"")</f>
        <v/>
      </c>
    </row>
    <row r="55" spans="1:10" x14ac:dyDescent="0.25">
      <c r="A55" s="1">
        <v>56</v>
      </c>
      <c r="B55" s="5" t="s">
        <v>54</v>
      </c>
      <c r="C55" s="5" t="s">
        <v>22</v>
      </c>
      <c r="D55" s="5" t="s">
        <v>37</v>
      </c>
      <c r="E55" s="5" t="s">
        <v>36</v>
      </c>
      <c r="F55" s="5" t="s">
        <v>41</v>
      </c>
      <c r="G55" s="5" t="s">
        <v>44</v>
      </c>
      <c r="H55" s="4"/>
      <c r="I55" s="2" t="str">
        <f ca="1">IF(ISNUMBER(A55),
IF(COUNTIFS(Equipar!B:B,1,Equipar!AC:AC,A55),"Equipada",
IF(
OR(COUNTIFS(Equipar!B:B,1,Equipar!C:C,A55)
 +COUNTIFS(Equipar!B:B,1,Equipar!D:D,A55)
+COUNTIFS(Equipar!B:B,1,Equipar!E:E,A55)
+COUNTIFS(Equipar!B:B,1,Equipar!F:F,A55)
&gt;0,COUNTIF('Set recomendado'!B:B,C55)=0),
"Bloqueada",
"Desechable")),""
)</f>
        <v>Desechable</v>
      </c>
      <c r="J55" t="str" cm="1">
        <f t="array" ref="J55">IF(ISNUMBER(A55),IFERROR(_xlfn._xlws.FILTER(Equipar!A:A,(Equipar!B:B=1)*(Equipar!AC:AC=A55)),""),"")</f>
        <v/>
      </c>
    </row>
    <row r="56" spans="1:10" x14ac:dyDescent="0.25">
      <c r="A56" s="1">
        <v>57</v>
      </c>
      <c r="B56" s="5" t="s">
        <v>54</v>
      </c>
      <c r="C56" s="5" t="s">
        <v>22</v>
      </c>
      <c r="D56" s="5" t="s">
        <v>37</v>
      </c>
      <c r="E56" s="5" t="s">
        <v>36</v>
      </c>
      <c r="F56" s="5" t="s">
        <v>32</v>
      </c>
      <c r="G56" s="4"/>
      <c r="H56" s="4"/>
      <c r="I56" s="2" t="str">
        <f ca="1">IF(ISNUMBER(A56),
IF(COUNTIFS(Equipar!B:B,1,Equipar!AC:AC,A56),"Equipada",
IF(
OR(COUNTIFS(Equipar!B:B,1,Equipar!C:C,A56)
 +COUNTIFS(Equipar!B:B,1,Equipar!D:D,A56)
+COUNTIFS(Equipar!B:B,1,Equipar!E:E,A56)
+COUNTIFS(Equipar!B:B,1,Equipar!F:F,A56)
&gt;0,COUNTIF('Set recomendado'!B:B,C56)=0),
"Bloqueada",
"Desechable")),""
)</f>
        <v>Desechable</v>
      </c>
      <c r="J56" t="str" cm="1">
        <f t="array" ref="J56">IF(ISNUMBER(A56),IFERROR(_xlfn._xlws.FILTER(Equipar!A:A,(Equipar!B:B=1)*(Equipar!AC:AC=A56)),""),"")</f>
        <v/>
      </c>
    </row>
    <row r="57" spans="1:10" x14ac:dyDescent="0.25">
      <c r="A57" s="1">
        <v>59</v>
      </c>
      <c r="B57" s="5" t="s">
        <v>54</v>
      </c>
      <c r="C57" s="5" t="s">
        <v>16</v>
      </c>
      <c r="D57" s="5" t="s">
        <v>38</v>
      </c>
      <c r="E57" s="5" t="s">
        <v>38</v>
      </c>
      <c r="F57" s="5" t="s">
        <v>37</v>
      </c>
      <c r="G57" s="5" t="s">
        <v>38</v>
      </c>
      <c r="H57" s="4"/>
      <c r="I57" s="2" t="str">
        <f>IF(ISNUMBER(A57),
IF(COUNTIFS(Equipar!B:B,1,Equipar!AC:AC,A57),"Equipada",
IF(
OR(COUNTIFS(Equipar!B:B,1,Equipar!C:C,A57)
 +COUNTIFS(Equipar!B:B,1,Equipar!D:D,A57)
+COUNTIFS(Equipar!B:B,1,Equipar!E:E,A57)
+COUNTIFS(Equipar!B:B,1,Equipar!F:F,A57)
&gt;0,COUNTIF('Set recomendado'!B:B,C57)=0),
"Bloqueada",
"Desechable")),""
)</f>
        <v>Equipada</v>
      </c>
      <c r="J57" t="str" cm="1">
        <f t="array" ref="J57">IF(ISNUMBER(A57),IFERROR(_xlfn._xlws.FILTER(Equipar!A:A,(Equipar!B:B=1)*(Equipar!AC:AC=A57)),""),"")</f>
        <v>Akagi</v>
      </c>
    </row>
    <row r="58" spans="1:10" x14ac:dyDescent="0.25">
      <c r="A58" s="1">
        <v>60</v>
      </c>
      <c r="B58" s="5" t="s">
        <v>54</v>
      </c>
      <c r="C58" s="5" t="s">
        <v>16</v>
      </c>
      <c r="D58" s="5" t="s">
        <v>38</v>
      </c>
      <c r="E58" s="5" t="s">
        <v>40</v>
      </c>
      <c r="F58" s="5" t="s">
        <v>41</v>
      </c>
      <c r="G58" s="4"/>
      <c r="H58" s="4"/>
      <c r="I58" s="2" t="str">
        <f ca="1">IF(ISNUMBER(A58),
IF(COUNTIFS(Equipar!B:B,1,Equipar!AC:AC,A58),"Equipada",
IF(
OR(COUNTIFS(Equipar!B:B,1,Equipar!C:C,A58)
 +COUNTIFS(Equipar!B:B,1,Equipar!D:D,A58)
+COUNTIFS(Equipar!B:B,1,Equipar!E:E,A58)
+COUNTIFS(Equipar!B:B,1,Equipar!F:F,A58)
&gt;0,COUNTIF('Set recomendado'!B:B,C58)=0),
"Bloqueada",
"Desechable")),""
)</f>
        <v>Desechable</v>
      </c>
      <c r="J58" t="str" cm="1">
        <f t="array" ref="J58">IF(ISNUMBER(A58),IFERROR(_xlfn._xlws.FILTER(Equipar!A:A,(Equipar!B:B=1)*(Equipar!AC:AC=A58)),""),"")</f>
        <v/>
      </c>
    </row>
    <row r="59" spans="1:10" x14ac:dyDescent="0.25">
      <c r="A59" s="1">
        <v>61</v>
      </c>
      <c r="B59" s="5" t="s">
        <v>54</v>
      </c>
      <c r="C59" s="5" t="s">
        <v>16</v>
      </c>
      <c r="D59" s="5" t="s">
        <v>38</v>
      </c>
      <c r="E59" s="5" t="s">
        <v>43</v>
      </c>
      <c r="F59" s="5" t="s">
        <v>43</v>
      </c>
      <c r="G59" s="4"/>
      <c r="H59" s="4"/>
      <c r="I59" s="2" t="str">
        <f ca="1">IF(ISNUMBER(A59),
IF(COUNTIFS(Equipar!B:B,1,Equipar!AC:AC,A59),"Equipada",
IF(
OR(COUNTIFS(Equipar!B:B,1,Equipar!C:C,A59)
 +COUNTIFS(Equipar!B:B,1,Equipar!D:D,A59)
+COUNTIFS(Equipar!B:B,1,Equipar!E:E,A59)
+COUNTIFS(Equipar!B:B,1,Equipar!F:F,A59)
&gt;0,COUNTIF('Set recomendado'!B:B,C59)=0),
"Bloqueada",
"Desechable")),""
)</f>
        <v>Desechable</v>
      </c>
      <c r="J59" t="str" cm="1">
        <f t="array" ref="J59">IF(ISNUMBER(A59),IFERROR(_xlfn._xlws.FILTER(Equipar!A:A,(Equipar!B:B=1)*(Equipar!AC:AC=A59)),""),"")</f>
        <v/>
      </c>
    </row>
    <row r="60" spans="1:10" x14ac:dyDescent="0.25">
      <c r="A60" s="1">
        <v>62</v>
      </c>
      <c r="B60" s="5" t="s">
        <v>54</v>
      </c>
      <c r="C60" s="5" t="s">
        <v>16</v>
      </c>
      <c r="D60" s="5" t="s">
        <v>38</v>
      </c>
      <c r="E60" s="5" t="s">
        <v>38</v>
      </c>
      <c r="F60" s="5" t="s">
        <v>43</v>
      </c>
      <c r="G60" s="5" t="s">
        <v>37</v>
      </c>
      <c r="H60" s="4"/>
      <c r="I60" s="2" t="str">
        <f ca="1">IF(ISNUMBER(A60),
IF(COUNTIFS(Equipar!B:B,1,Equipar!AC:AC,A60),"Equipada",
IF(
OR(COUNTIFS(Equipar!B:B,1,Equipar!C:C,A60)
 +COUNTIFS(Equipar!B:B,1,Equipar!D:D,A60)
+COUNTIFS(Equipar!B:B,1,Equipar!E:E,A60)
+COUNTIFS(Equipar!B:B,1,Equipar!F:F,A60)
&gt;0,COUNTIF('Set recomendado'!B:B,C60)=0),
"Bloqueada",
"Desechable")),""
)</f>
        <v>Desechable</v>
      </c>
      <c r="J60" t="str" cm="1">
        <f t="array" ref="J60">IF(ISNUMBER(A60),IFERROR(_xlfn._xlws.FILTER(Equipar!A:A,(Equipar!B:B=1)*(Equipar!AC:AC=A60)),""),"")</f>
        <v/>
      </c>
    </row>
    <row r="61" spans="1:10" x14ac:dyDescent="0.25">
      <c r="A61" s="1">
        <v>63</v>
      </c>
      <c r="B61" s="5" t="s">
        <v>54</v>
      </c>
      <c r="C61" s="5" t="s">
        <v>16</v>
      </c>
      <c r="D61" s="5" t="s">
        <v>38</v>
      </c>
      <c r="E61" s="5" t="s">
        <v>35</v>
      </c>
      <c r="F61" s="5" t="s">
        <v>32</v>
      </c>
      <c r="G61" s="4"/>
      <c r="H61" s="4"/>
      <c r="I61" s="2" t="str">
        <f ca="1">IF(ISNUMBER(A61),
IF(COUNTIFS(Equipar!B:B,1,Equipar!AC:AC,A61),"Equipada",
IF(
OR(COUNTIFS(Equipar!B:B,1,Equipar!C:C,A61)
 +COUNTIFS(Equipar!B:B,1,Equipar!D:D,A61)
+COUNTIFS(Equipar!B:B,1,Equipar!E:E,A61)
+COUNTIFS(Equipar!B:B,1,Equipar!F:F,A61)
&gt;0,COUNTIF('Set recomendado'!B:B,C61)=0),
"Bloqueada",
"Desechable")),""
)</f>
        <v>Desechable</v>
      </c>
      <c r="J61" t="str" cm="1">
        <f t="array" ref="J61">IF(ISNUMBER(A61),IFERROR(_xlfn._xlws.FILTER(Equipar!A:A,(Equipar!B:B=1)*(Equipar!AC:AC=A61)),""),"")</f>
        <v/>
      </c>
    </row>
    <row r="62" spans="1:10" x14ac:dyDescent="0.25">
      <c r="A62" s="1">
        <v>64</v>
      </c>
      <c r="B62" s="5" t="s">
        <v>54</v>
      </c>
      <c r="C62" s="5" t="s">
        <v>17</v>
      </c>
      <c r="D62" s="5" t="s">
        <v>38</v>
      </c>
      <c r="E62" s="5" t="s">
        <v>43</v>
      </c>
      <c r="F62" s="5" t="s">
        <v>43</v>
      </c>
      <c r="G62" s="4"/>
      <c r="H62" s="4"/>
      <c r="I62" s="2" t="str">
        <f>IF(ISNUMBER(A62),
IF(COUNTIFS(Equipar!B:B,1,Equipar!AC:AC,A62),"Equipada",
IF(
OR(COUNTIFS(Equipar!B:B,1,Equipar!C:C,A62)
 +COUNTIFS(Equipar!B:B,1,Equipar!D:D,A62)
+COUNTIFS(Equipar!B:B,1,Equipar!E:E,A62)
+COUNTIFS(Equipar!B:B,1,Equipar!F:F,A62)
&gt;0,COUNTIF('Set recomendado'!B:B,C62)=0),
"Bloqueada",
"Desechable")),""
)</f>
        <v>Equipada</v>
      </c>
      <c r="J62" t="str" cm="1">
        <f t="array" ref="J62">IF(ISNUMBER(A62),IFERROR(_xlfn._xlws.FILTER(Equipar!A:A,(Equipar!B:B=1)*(Equipar!AC:AC=A62)),""),"")</f>
        <v>Nishinoya</v>
      </c>
    </row>
    <row r="63" spans="1:10" x14ac:dyDescent="0.25">
      <c r="A63" s="1">
        <v>65</v>
      </c>
      <c r="B63" s="5" t="s">
        <v>54</v>
      </c>
      <c r="C63" s="5" t="s">
        <v>57</v>
      </c>
      <c r="D63" s="5" t="s">
        <v>42</v>
      </c>
      <c r="E63" s="5" t="s">
        <v>37</v>
      </c>
      <c r="F63" s="5" t="s">
        <v>41</v>
      </c>
      <c r="I63" s="2" t="str">
        <f ca="1">IF(ISNUMBER(A63),
IF(COUNTIFS(Equipar!B:B,1,Equipar!AC:AC,A63),"Equipada",
IF(
OR(COUNTIFS(Equipar!B:B,1,Equipar!C:C,A63)
 +COUNTIFS(Equipar!B:B,1,Equipar!D:D,A63)
+COUNTIFS(Equipar!B:B,1,Equipar!E:E,A63)
+COUNTIFS(Equipar!B:B,1,Equipar!F:F,A63)
&gt;0,COUNTIF('Set recomendado'!B:B,C63)=0),
"Bloqueada",
"Desechable")),""
)</f>
        <v>Bloqueada</v>
      </c>
      <c r="J63" t="str" cm="1">
        <f t="array" ref="J63">IF(ISNUMBER(A63),IFERROR(_xlfn._xlws.FILTER(Equipar!A:A,(Equipar!B:B=1)*(Equipar!AC:AC=A63)),""),"")</f>
        <v/>
      </c>
    </row>
    <row r="64" spans="1:10" x14ac:dyDescent="0.25">
      <c r="A64" s="1">
        <v>66</v>
      </c>
      <c r="B64" s="5" t="s">
        <v>54</v>
      </c>
      <c r="C64" s="5" t="s">
        <v>57</v>
      </c>
      <c r="D64" s="5" t="s">
        <v>42</v>
      </c>
      <c r="E64" s="5" t="s">
        <v>32</v>
      </c>
      <c r="F64" s="5" t="s">
        <v>43</v>
      </c>
      <c r="I64" s="2" t="str">
        <f ca="1">IF(ISNUMBER(A64),
IF(COUNTIFS(Equipar!B:B,1,Equipar!AC:AC,A64),"Equipada",
IF(
OR(COUNTIFS(Equipar!B:B,1,Equipar!C:C,A64)
 +COUNTIFS(Equipar!B:B,1,Equipar!D:D,A64)
+COUNTIFS(Equipar!B:B,1,Equipar!E:E,A64)
+COUNTIFS(Equipar!B:B,1,Equipar!F:F,A64)
&gt;0,COUNTIF('Set recomendado'!B:B,C64)=0),
"Bloqueada",
"Desechable")),""
)</f>
        <v>Bloqueada</v>
      </c>
      <c r="J64" t="str" cm="1">
        <f t="array" ref="J64">IF(ISNUMBER(A64),IFERROR(_xlfn._xlws.FILTER(Equipar!A:A,(Equipar!B:B=1)*(Equipar!AC:AC=A64)),""),"")</f>
        <v/>
      </c>
    </row>
    <row r="65" spans="1:10" x14ac:dyDescent="0.25">
      <c r="A65" s="1">
        <v>67</v>
      </c>
      <c r="B65" s="5" t="s">
        <v>54</v>
      </c>
      <c r="C65" s="5" t="s">
        <v>57</v>
      </c>
      <c r="D65" s="5" t="s">
        <v>42</v>
      </c>
      <c r="E65" s="5" t="s">
        <v>38</v>
      </c>
      <c r="F65" s="5" t="s">
        <v>32</v>
      </c>
      <c r="I65" s="2" t="str">
        <f ca="1">IF(ISNUMBER(A65),
IF(COUNTIFS(Equipar!B:B,1,Equipar!AC:AC,A65),"Equipada",
IF(
OR(COUNTIFS(Equipar!B:B,1,Equipar!C:C,A65)
 +COUNTIFS(Equipar!B:B,1,Equipar!D:D,A65)
+COUNTIFS(Equipar!B:B,1,Equipar!E:E,A65)
+COUNTIFS(Equipar!B:B,1,Equipar!F:F,A65)
&gt;0,COUNTIF('Set recomendado'!B:B,C65)=0),
"Bloqueada",
"Desechable")),""
)</f>
        <v>Bloqueada</v>
      </c>
      <c r="J65" t="str" cm="1">
        <f t="array" ref="J65">IF(ISNUMBER(A65),IFERROR(_xlfn._xlws.FILTER(Equipar!A:A,(Equipar!B:B=1)*(Equipar!AC:AC=A65)),""),"")</f>
        <v/>
      </c>
    </row>
    <row r="66" spans="1:10" x14ac:dyDescent="0.25">
      <c r="A66" s="1">
        <v>68</v>
      </c>
      <c r="B66" s="5" t="s">
        <v>54</v>
      </c>
      <c r="C66" s="5" t="s">
        <v>57</v>
      </c>
      <c r="D66" s="5" t="s">
        <v>42</v>
      </c>
      <c r="E66" s="5" t="s">
        <v>36</v>
      </c>
      <c r="F66" s="5" t="s">
        <v>38</v>
      </c>
      <c r="G66" s="5" t="s">
        <v>42</v>
      </c>
      <c r="I66" s="2" t="str">
        <f ca="1">IF(ISNUMBER(A66),
IF(COUNTIFS(Equipar!B:B,1,Equipar!AC:AC,A66),"Equipada",
IF(
OR(COUNTIFS(Equipar!B:B,1,Equipar!C:C,A66)
 +COUNTIFS(Equipar!B:B,1,Equipar!D:D,A66)
+COUNTIFS(Equipar!B:B,1,Equipar!E:E,A66)
+COUNTIFS(Equipar!B:B,1,Equipar!F:F,A66)
&gt;0,COUNTIF('Set recomendado'!B:B,C66)=0),
"Bloqueada",
"Desechable")),""
)</f>
        <v>Bloqueada</v>
      </c>
      <c r="J66" t="str" cm="1">
        <f t="array" ref="J66">IF(ISNUMBER(A66),IFERROR(_xlfn._xlws.FILTER(Equipar!A:A,(Equipar!B:B=1)*(Equipar!AC:AC=A66)),""),"")</f>
        <v/>
      </c>
    </row>
    <row r="67" spans="1:10" x14ac:dyDescent="0.25">
      <c r="A67" s="1">
        <v>69</v>
      </c>
      <c r="B67" s="5" t="s">
        <v>54</v>
      </c>
      <c r="C67" s="5" t="s">
        <v>57</v>
      </c>
      <c r="D67" s="5" t="s">
        <v>42</v>
      </c>
      <c r="E67" s="5" t="s">
        <v>41</v>
      </c>
      <c r="F67" s="5" t="s">
        <v>38</v>
      </c>
      <c r="G67" s="5" t="s">
        <v>39</v>
      </c>
      <c r="I67" s="2" t="str">
        <f ca="1">IF(ISNUMBER(A67),
IF(COUNTIFS(Equipar!B:B,1,Equipar!AC:AC,A67),"Equipada",
IF(
OR(COUNTIFS(Equipar!B:B,1,Equipar!C:C,A67)
 +COUNTIFS(Equipar!B:B,1,Equipar!D:D,A67)
+COUNTIFS(Equipar!B:B,1,Equipar!E:E,A67)
+COUNTIFS(Equipar!B:B,1,Equipar!F:F,A67)
&gt;0,COUNTIF('Set recomendado'!B:B,C67)=0),
"Bloqueada",
"Desechable")),""
)</f>
        <v>Bloqueada</v>
      </c>
      <c r="J67" t="str" cm="1">
        <f t="array" ref="J67">IF(ISNUMBER(A67),IFERROR(_xlfn._xlws.FILTER(Equipar!A:A,(Equipar!B:B=1)*(Equipar!AC:AC=A67)),""),"")</f>
        <v/>
      </c>
    </row>
    <row r="68" spans="1:10" x14ac:dyDescent="0.25">
      <c r="A68" s="1">
        <v>70</v>
      </c>
      <c r="B68" s="5" t="s">
        <v>54</v>
      </c>
      <c r="C68" s="5" t="s">
        <v>55</v>
      </c>
      <c r="D68" s="5" t="s">
        <v>41</v>
      </c>
      <c r="E68" s="5" t="s">
        <v>38</v>
      </c>
      <c r="F68" s="5" t="s">
        <v>36</v>
      </c>
      <c r="G68" s="5" t="s">
        <v>37</v>
      </c>
      <c r="I68" s="2" t="str">
        <f ca="1">IF(ISNUMBER(A68),
IF(COUNTIFS(Equipar!B:B,1,Equipar!AC:AC,A68),"Equipada",
IF(
OR(COUNTIFS(Equipar!B:B,1,Equipar!C:C,A68)
 +COUNTIFS(Equipar!B:B,1,Equipar!D:D,A68)
+COUNTIFS(Equipar!B:B,1,Equipar!E:E,A68)
+COUNTIFS(Equipar!B:B,1,Equipar!F:F,A68)
&gt;0,COUNTIF('Set recomendado'!B:B,C68)=0),
"Bloqueada",
"Desechable")),""
)</f>
        <v>Desechable</v>
      </c>
      <c r="J68" t="str" cm="1">
        <f t="array" ref="J68">IF(ISNUMBER(A68),IFERROR(_xlfn._xlws.FILTER(Equipar!A:A,(Equipar!B:B=1)*(Equipar!AC:AC=A68)),""),"")</f>
        <v/>
      </c>
    </row>
    <row r="69" spans="1:10" x14ac:dyDescent="0.25">
      <c r="A69" s="1">
        <v>71</v>
      </c>
      <c r="B69" s="5" t="s">
        <v>54</v>
      </c>
      <c r="C69" s="5" t="s">
        <v>55</v>
      </c>
      <c r="D69" s="5" t="s">
        <v>41</v>
      </c>
      <c r="E69" s="5" t="s">
        <v>41</v>
      </c>
      <c r="F69" s="5" t="s">
        <v>32</v>
      </c>
      <c r="I69" s="2" t="str">
        <f ca="1">IF(ISNUMBER(A69),
IF(COUNTIFS(Equipar!B:B,1,Equipar!AC:AC,A69),"Equipada",
IF(
OR(COUNTIFS(Equipar!B:B,1,Equipar!C:C,A69)
 +COUNTIFS(Equipar!B:B,1,Equipar!D:D,A69)
+COUNTIFS(Equipar!B:B,1,Equipar!E:E,A69)
+COUNTIFS(Equipar!B:B,1,Equipar!F:F,A69)
&gt;0,COUNTIF('Set recomendado'!B:B,C69)=0),
"Bloqueada",
"Desechable")),""
)</f>
        <v>Desechable</v>
      </c>
      <c r="J69" t="str" cm="1">
        <f t="array" ref="J69">IF(ISNUMBER(A69),IFERROR(_xlfn._xlws.FILTER(Equipar!A:A,(Equipar!B:B=1)*(Equipar!AC:AC=A69)),""),"")</f>
        <v/>
      </c>
    </row>
    <row r="70" spans="1:10" x14ac:dyDescent="0.25">
      <c r="A70" s="1">
        <v>72</v>
      </c>
      <c r="B70" s="5" t="s">
        <v>54</v>
      </c>
      <c r="C70" s="5" t="s">
        <v>55</v>
      </c>
      <c r="D70" s="5" t="s">
        <v>41</v>
      </c>
      <c r="E70" s="5" t="s">
        <v>36</v>
      </c>
      <c r="F70" s="5" t="s">
        <v>39</v>
      </c>
      <c r="I70" s="2" t="str">
        <f ca="1">IF(ISNUMBER(A70),
IF(COUNTIFS(Equipar!B:B,1,Equipar!AC:AC,A70),"Equipada",
IF(
OR(COUNTIFS(Equipar!B:B,1,Equipar!C:C,A70)
 +COUNTIFS(Equipar!B:B,1,Equipar!D:D,A70)
+COUNTIFS(Equipar!B:B,1,Equipar!E:E,A70)
+COUNTIFS(Equipar!B:B,1,Equipar!F:F,A70)
&gt;0,COUNTIF('Set recomendado'!B:B,C70)=0),
"Bloqueada",
"Desechable")),""
)</f>
        <v>Desechable</v>
      </c>
      <c r="J70" t="str" cm="1">
        <f t="array" ref="J70">IF(ISNUMBER(A70),IFERROR(_xlfn._xlws.FILTER(Equipar!A:A,(Equipar!B:B=1)*(Equipar!AC:AC=A70)),""),"")</f>
        <v/>
      </c>
    </row>
    <row r="71" spans="1:10" x14ac:dyDescent="0.25">
      <c r="A71" s="1">
        <v>73</v>
      </c>
      <c r="B71" s="5" t="s">
        <v>54</v>
      </c>
      <c r="C71" s="5" t="s">
        <v>21</v>
      </c>
      <c r="D71" s="5" t="s">
        <v>37</v>
      </c>
      <c r="E71" s="5" t="s">
        <v>42</v>
      </c>
      <c r="F71" s="5" t="s">
        <v>41</v>
      </c>
      <c r="I71" s="2" t="str">
        <f ca="1">IF(ISNUMBER(A71),
IF(COUNTIFS(Equipar!B:B,1,Equipar!AC:AC,A71),"Equipada",
IF(
OR(COUNTIFS(Equipar!B:B,1,Equipar!C:C,A71)
 +COUNTIFS(Equipar!B:B,1,Equipar!D:D,A71)
+COUNTIFS(Equipar!B:B,1,Equipar!E:E,A71)
+COUNTIFS(Equipar!B:B,1,Equipar!F:F,A71)
&gt;0,COUNTIF('Set recomendado'!B:B,C71)=0),
"Bloqueada",
"Desechable")),""
)</f>
        <v>Desechable</v>
      </c>
      <c r="J71" t="str" cm="1">
        <f t="array" ref="J71">IF(ISNUMBER(A71),IFERROR(_xlfn._xlws.FILTER(Equipar!A:A,(Equipar!B:B=1)*(Equipar!AC:AC=A71)),""),"")</f>
        <v/>
      </c>
    </row>
    <row r="72" spans="1:10" x14ac:dyDescent="0.25">
      <c r="A72" s="1">
        <v>74</v>
      </c>
      <c r="B72" s="5" t="s">
        <v>54</v>
      </c>
      <c r="C72" s="5" t="s">
        <v>21</v>
      </c>
      <c r="D72" s="5" t="s">
        <v>37</v>
      </c>
      <c r="E72" s="5" t="s">
        <v>43</v>
      </c>
      <c r="F72" s="5" t="s">
        <v>41</v>
      </c>
      <c r="I72" s="2" t="str">
        <f ca="1">IF(ISNUMBER(A72),
IF(COUNTIFS(Equipar!B:B,1,Equipar!AC:AC,A72),"Equipada",
IF(
OR(COUNTIFS(Equipar!B:B,1,Equipar!C:C,A72)
 +COUNTIFS(Equipar!B:B,1,Equipar!D:D,A72)
+COUNTIFS(Equipar!B:B,1,Equipar!E:E,A72)
+COUNTIFS(Equipar!B:B,1,Equipar!F:F,A72)
&gt;0,COUNTIF('Set recomendado'!B:B,C72)=0),
"Bloqueada",
"Desechable")),""
)</f>
        <v>Desechable</v>
      </c>
      <c r="J72" t="str" cm="1">
        <f t="array" ref="J72">IF(ISNUMBER(A72),IFERROR(_xlfn._xlws.FILTER(Equipar!A:A,(Equipar!B:B=1)*(Equipar!AC:AC=A72)),""),"")</f>
        <v/>
      </c>
    </row>
    <row r="73" spans="1:10" x14ac:dyDescent="0.25">
      <c r="A73" s="1">
        <v>75</v>
      </c>
      <c r="B73" s="5" t="s">
        <v>54</v>
      </c>
      <c r="C73" s="5" t="s">
        <v>21</v>
      </c>
      <c r="D73" s="5" t="s">
        <v>37</v>
      </c>
      <c r="E73" s="5" t="s">
        <v>34</v>
      </c>
      <c r="F73" s="5" t="s">
        <v>36</v>
      </c>
      <c r="I73" s="2" t="str">
        <f ca="1">IF(ISNUMBER(A73),
IF(COUNTIFS(Equipar!B:B,1,Equipar!AC:AC,A73),"Equipada",
IF(
OR(COUNTIFS(Equipar!B:B,1,Equipar!C:C,A73)
 +COUNTIFS(Equipar!B:B,1,Equipar!D:D,A73)
+COUNTIFS(Equipar!B:B,1,Equipar!E:E,A73)
+COUNTIFS(Equipar!B:B,1,Equipar!F:F,A73)
&gt;0,COUNTIF('Set recomendado'!B:B,C73)=0),
"Bloqueada",
"Desechable")),""
)</f>
        <v>Desechable</v>
      </c>
      <c r="J73" t="str" cm="1">
        <f t="array" ref="J73">IF(ISNUMBER(A73),IFERROR(_xlfn._xlws.FILTER(Equipar!A:A,(Equipar!B:B=1)*(Equipar!AC:AC=A73)),""),"")</f>
        <v/>
      </c>
    </row>
    <row r="74" spans="1:10" x14ac:dyDescent="0.25">
      <c r="A74" s="1">
        <v>76</v>
      </c>
      <c r="B74" s="5" t="s">
        <v>54</v>
      </c>
      <c r="C74" s="5" t="s">
        <v>21</v>
      </c>
      <c r="D74" s="5" t="s">
        <v>37</v>
      </c>
      <c r="E74" s="5" t="s">
        <v>37</v>
      </c>
      <c r="F74" s="5" t="s">
        <v>39</v>
      </c>
      <c r="I74" s="2" t="str">
        <f ca="1">IF(ISNUMBER(A74),
IF(COUNTIFS(Equipar!B:B,1,Equipar!AC:AC,A74),"Equipada",
IF(
OR(COUNTIFS(Equipar!B:B,1,Equipar!C:C,A74)
 +COUNTIFS(Equipar!B:B,1,Equipar!D:D,A74)
+COUNTIFS(Equipar!B:B,1,Equipar!E:E,A74)
+COUNTIFS(Equipar!B:B,1,Equipar!F:F,A74)
&gt;0,COUNTIF('Set recomendado'!B:B,C74)=0),
"Bloqueada",
"Desechable")),""
)</f>
        <v>Desechable</v>
      </c>
      <c r="J74" t="str" cm="1">
        <f t="array" ref="J74">IF(ISNUMBER(A74),IFERROR(_xlfn._xlws.FILTER(Equipar!A:A,(Equipar!B:B=1)*(Equipar!AC:AC=A74)),""),"")</f>
        <v/>
      </c>
    </row>
    <row r="75" spans="1:10" x14ac:dyDescent="0.25">
      <c r="A75" s="1">
        <v>77</v>
      </c>
      <c r="B75" s="5" t="s">
        <v>54</v>
      </c>
      <c r="C75" s="5" t="s">
        <v>21</v>
      </c>
      <c r="D75" s="5" t="s">
        <v>37</v>
      </c>
      <c r="E75" s="5" t="s">
        <v>33</v>
      </c>
      <c r="F75" s="5" t="s">
        <v>37</v>
      </c>
      <c r="I75" s="2" t="str">
        <f ca="1">IF(ISNUMBER(A75),
IF(COUNTIFS(Equipar!B:B,1,Equipar!AC:AC,A75),"Equipada",
IF(
OR(COUNTIFS(Equipar!B:B,1,Equipar!C:C,A75)
 +COUNTIFS(Equipar!B:B,1,Equipar!D:D,A75)
+COUNTIFS(Equipar!B:B,1,Equipar!E:E,A75)
+COUNTIFS(Equipar!B:B,1,Equipar!F:F,A75)
&gt;0,COUNTIF('Set recomendado'!B:B,C75)=0),
"Bloqueada",
"Desechable")),""
)</f>
        <v>Desechable</v>
      </c>
      <c r="J75" t="str" cm="1">
        <f t="array" ref="J75">IF(ISNUMBER(A75),IFERROR(_xlfn._xlws.FILTER(Equipar!A:A,(Equipar!B:B=1)*(Equipar!AC:AC=A75)),""),"")</f>
        <v/>
      </c>
    </row>
    <row r="76" spans="1:10" x14ac:dyDescent="0.25">
      <c r="A76" s="1">
        <v>78</v>
      </c>
      <c r="B76" s="5" t="s">
        <v>54</v>
      </c>
      <c r="C76" s="5" t="s">
        <v>29</v>
      </c>
      <c r="D76" s="5" t="s">
        <v>32</v>
      </c>
      <c r="E76" s="5" t="s">
        <v>37</v>
      </c>
      <c r="F76" s="5" t="s">
        <v>38</v>
      </c>
      <c r="G76" s="4"/>
      <c r="H76" s="4"/>
      <c r="I76" s="2" t="str">
        <f ca="1">IF(ISNUMBER(A76),
IF(COUNTIFS(Equipar!B:B,1,Equipar!AC:AC,A76),"Equipada",
IF(
OR(COUNTIFS(Equipar!B:B,1,Equipar!C:C,A76)
 +COUNTIFS(Equipar!B:B,1,Equipar!D:D,A76)
+COUNTIFS(Equipar!B:B,1,Equipar!E:E,A76)
+COUNTIFS(Equipar!B:B,1,Equipar!F:F,A76)
&gt;0,COUNTIF('Set recomendado'!B:B,C76)=0),
"Bloqueada",
"Desechable")),""
)</f>
        <v>Desechable</v>
      </c>
      <c r="J76" t="str" cm="1">
        <f t="array" ref="J76">IF(ISNUMBER(A76),IFERROR(_xlfn._xlws.FILTER(Equipar!A:A,(Equipar!B:B=1)*(Equipar!AC:AC=A76)),""),"")</f>
        <v/>
      </c>
    </row>
    <row r="77" spans="1:10" x14ac:dyDescent="0.25">
      <c r="A77" s="1">
        <v>79</v>
      </c>
      <c r="B77" s="5" t="s">
        <v>53</v>
      </c>
      <c r="C77" s="5" t="s">
        <v>56</v>
      </c>
      <c r="D77" s="5" t="s">
        <v>32</v>
      </c>
      <c r="E77" s="5" t="s">
        <v>37</v>
      </c>
      <c r="F77" s="5" t="s">
        <v>36</v>
      </c>
      <c r="G77" s="5" t="s">
        <v>32</v>
      </c>
      <c r="I77" s="2" t="str">
        <f>IF(ISNUMBER(A77),
IF(COUNTIFS(Equipar!B:B,1,Equipar!AC:AC,A77),"Equipada",
IF(
OR(COUNTIFS(Equipar!B:B,1,Equipar!C:C,A77)
 +COUNTIFS(Equipar!B:B,1,Equipar!D:D,A77)
+COUNTIFS(Equipar!B:B,1,Equipar!E:E,A77)
+COUNTIFS(Equipar!B:B,1,Equipar!F:F,A77)
&gt;0,COUNTIF('Set recomendado'!B:B,C77)=0),
"Bloqueada",
"Desechable")),""
)</f>
        <v>Equipada</v>
      </c>
      <c r="J77" t="str" cm="1">
        <f t="array" ref="J77">IF(ISNUMBER(A77),IFERROR(_xlfn._xlws.FILTER(Equipar!A:A,(Equipar!B:B=1)*(Equipar!AC:AC=A77)),""),"")</f>
        <v>Yamamoto</v>
      </c>
    </row>
    <row r="78" spans="1:10" x14ac:dyDescent="0.25">
      <c r="A78" s="1">
        <v>80</v>
      </c>
      <c r="B78" s="5" t="s">
        <v>53</v>
      </c>
      <c r="C78" s="5" t="s">
        <v>56</v>
      </c>
      <c r="D78" s="5" t="s">
        <v>32</v>
      </c>
      <c r="E78" s="5" t="s">
        <v>43</v>
      </c>
      <c r="F78" s="5" t="s">
        <v>41</v>
      </c>
      <c r="G78" s="5" t="s">
        <v>44</v>
      </c>
      <c r="I78" s="2" t="str">
        <f ca="1">IF(ISNUMBER(A78),
IF(COUNTIFS(Equipar!B:B,1,Equipar!AC:AC,A78),"Equipada",
IF(
OR(COUNTIFS(Equipar!B:B,1,Equipar!C:C,A78)
 +COUNTIFS(Equipar!B:B,1,Equipar!D:D,A78)
+COUNTIFS(Equipar!B:B,1,Equipar!E:E,A78)
+COUNTIFS(Equipar!B:B,1,Equipar!F:F,A78)
&gt;0,COUNTIF('Set recomendado'!B:B,C78)=0),
"Bloqueada",
"Desechable")),""
)</f>
        <v>Desechable</v>
      </c>
      <c r="J78" t="str" cm="1">
        <f t="array" ref="J78">IF(ISNUMBER(A78),IFERROR(_xlfn._xlws.FILTER(Equipar!A:A,(Equipar!B:B=1)*(Equipar!AC:AC=A78)),""),"")</f>
        <v/>
      </c>
    </row>
    <row r="79" spans="1:10" x14ac:dyDescent="0.25">
      <c r="A79" s="1">
        <v>81</v>
      </c>
      <c r="B79" s="5" t="s">
        <v>53</v>
      </c>
      <c r="C79" s="5" t="s">
        <v>21</v>
      </c>
      <c r="D79" s="5" t="s">
        <v>37</v>
      </c>
      <c r="E79" s="5" t="s">
        <v>42</v>
      </c>
      <c r="F79" s="5" t="s">
        <v>37</v>
      </c>
      <c r="G79" s="5" t="s">
        <v>32</v>
      </c>
      <c r="H79" s="5" t="s">
        <v>32</v>
      </c>
      <c r="I79" s="2" t="str">
        <f>IF(ISNUMBER(A79),
IF(COUNTIFS(Equipar!B:B,1,Equipar!AC:AC,A79),"Equipada",
IF(
OR(COUNTIFS(Equipar!B:B,1,Equipar!C:C,A79)
 +COUNTIFS(Equipar!B:B,1,Equipar!D:D,A79)
+COUNTIFS(Equipar!B:B,1,Equipar!E:E,A79)
+COUNTIFS(Equipar!B:B,1,Equipar!F:F,A79)
&gt;0,COUNTIF('Set recomendado'!B:B,C79)=0),
"Bloqueada",
"Desechable")),""
)</f>
        <v>Equipada</v>
      </c>
      <c r="J79" t="str" cm="1">
        <f t="array" ref="J79">IF(ISNUMBER(A79),IFERROR(_xlfn._xlws.FILTER(Equipar!A:A,(Equipar!B:B=1)*(Equipar!AC:AC=A79)),""),"")</f>
        <v>Tsukishima</v>
      </c>
    </row>
    <row r="80" spans="1:10" x14ac:dyDescent="0.25">
      <c r="A80" s="1">
        <v>82</v>
      </c>
      <c r="B80" s="5" t="s">
        <v>54</v>
      </c>
      <c r="C80" s="5" t="s">
        <v>57</v>
      </c>
      <c r="D80" s="5" t="s">
        <v>42</v>
      </c>
      <c r="E80" s="5" t="s">
        <v>43</v>
      </c>
      <c r="F80" s="5" t="s">
        <v>42</v>
      </c>
      <c r="I80" s="2" t="str">
        <f ca="1">IF(ISNUMBER(A80),
IF(COUNTIFS(Equipar!B:B,1,Equipar!AC:AC,A80),"Equipada",
IF(
OR(COUNTIFS(Equipar!B:B,1,Equipar!C:C,A80)
 +COUNTIFS(Equipar!B:B,1,Equipar!D:D,A80)
+COUNTIFS(Equipar!B:B,1,Equipar!E:E,A80)
+COUNTIFS(Equipar!B:B,1,Equipar!F:F,A80)
&gt;0,COUNTIF('Set recomendado'!B:B,C80)=0),
"Bloqueada",
"Desechable")),""
)</f>
        <v>Bloqueada</v>
      </c>
      <c r="J80" t="str" cm="1">
        <f t="array" ref="J80">IF(ISNUMBER(A80),IFERROR(_xlfn._xlws.FILTER(Equipar!A:A,(Equipar!B:B=1)*(Equipar!AC:AC=A80)),""),"")</f>
        <v/>
      </c>
    </row>
    <row r="81" spans="1:10" x14ac:dyDescent="0.25">
      <c r="A81" s="1">
        <v>83</v>
      </c>
      <c r="B81" s="5" t="s">
        <v>54</v>
      </c>
      <c r="C81" s="5" t="s">
        <v>57</v>
      </c>
      <c r="D81" s="5" t="s">
        <v>42</v>
      </c>
      <c r="E81" s="5" t="s">
        <v>32</v>
      </c>
      <c r="F81" s="5" t="s">
        <v>41</v>
      </c>
      <c r="G81" s="5" t="s">
        <v>42</v>
      </c>
      <c r="I81" s="2" t="str">
        <f ca="1">IF(ISNUMBER(A81),
IF(COUNTIFS(Equipar!B:B,1,Equipar!AC:AC,A81),"Equipada",
IF(
OR(COUNTIFS(Equipar!B:B,1,Equipar!C:C,A81)
 +COUNTIFS(Equipar!B:B,1,Equipar!D:D,A81)
+COUNTIFS(Equipar!B:B,1,Equipar!E:E,A81)
+COUNTIFS(Equipar!B:B,1,Equipar!F:F,A81)
&gt;0,COUNTIF('Set recomendado'!B:B,C81)=0),
"Bloqueada",
"Desechable")),""
)</f>
        <v>Bloqueada</v>
      </c>
      <c r="J81" t="str" cm="1">
        <f t="array" ref="J81">IF(ISNUMBER(A81),IFERROR(_xlfn._xlws.FILTER(Equipar!A:A,(Equipar!B:B=1)*(Equipar!AC:AC=A81)),""),"")</f>
        <v/>
      </c>
    </row>
    <row r="82" spans="1:10" x14ac:dyDescent="0.25">
      <c r="A82" s="1">
        <v>84</v>
      </c>
      <c r="B82" s="5" t="s">
        <v>54</v>
      </c>
      <c r="C82" s="5" t="s">
        <v>57</v>
      </c>
      <c r="D82" s="5" t="s">
        <v>42</v>
      </c>
      <c r="E82" s="5" t="s">
        <v>43</v>
      </c>
      <c r="F82" s="5" t="s">
        <v>41</v>
      </c>
      <c r="G82" s="5" t="s">
        <v>37</v>
      </c>
      <c r="I82" s="2" t="str">
        <f ca="1">IF(ISNUMBER(A82),
IF(COUNTIFS(Equipar!B:B,1,Equipar!AC:AC,A82),"Equipada",
IF(
OR(COUNTIFS(Equipar!B:B,1,Equipar!C:C,A82)
 +COUNTIFS(Equipar!B:B,1,Equipar!D:D,A82)
+COUNTIFS(Equipar!B:B,1,Equipar!E:E,A82)
+COUNTIFS(Equipar!B:B,1,Equipar!F:F,A82)
&gt;0,COUNTIF('Set recomendado'!B:B,C82)=0),
"Bloqueada",
"Desechable")),""
)</f>
        <v>Bloqueada</v>
      </c>
      <c r="J82" t="str" cm="1">
        <f t="array" ref="J82">IF(ISNUMBER(A82),IFERROR(_xlfn._xlws.FILTER(Equipar!A:A,(Equipar!B:B=1)*(Equipar!AC:AC=A82)),""),"")</f>
        <v/>
      </c>
    </row>
    <row r="83" spans="1:10" x14ac:dyDescent="0.25">
      <c r="A83" s="1">
        <v>85</v>
      </c>
      <c r="B83" s="5" t="s">
        <v>54</v>
      </c>
      <c r="C83" s="5" t="s">
        <v>55</v>
      </c>
      <c r="D83" s="5" t="s">
        <v>41</v>
      </c>
      <c r="E83" s="5" t="s">
        <v>32</v>
      </c>
      <c r="F83" s="5" t="s">
        <v>37</v>
      </c>
      <c r="I83" s="2" t="str">
        <f ca="1">IF(ISNUMBER(A83),
IF(COUNTIFS(Equipar!B:B,1,Equipar!AC:AC,A83),"Equipada",
IF(
OR(COUNTIFS(Equipar!B:B,1,Equipar!C:C,A83)
 +COUNTIFS(Equipar!B:B,1,Equipar!D:D,A83)
+COUNTIFS(Equipar!B:B,1,Equipar!E:E,A83)
+COUNTIFS(Equipar!B:B,1,Equipar!F:F,A83)
&gt;0,COUNTIF('Set recomendado'!B:B,C83)=0),
"Bloqueada",
"Desechable")),""
)</f>
        <v>Desechable</v>
      </c>
      <c r="J83" t="str" cm="1">
        <f t="array" ref="J83">IF(ISNUMBER(A83),IFERROR(_xlfn._xlws.FILTER(Equipar!A:A,(Equipar!B:B=1)*(Equipar!AC:AC=A83)),""),"")</f>
        <v/>
      </c>
    </row>
    <row r="84" spans="1:10" x14ac:dyDescent="0.25">
      <c r="A84" s="1">
        <v>86</v>
      </c>
      <c r="B84" s="5" t="s">
        <v>54</v>
      </c>
      <c r="C84" s="5" t="s">
        <v>55</v>
      </c>
      <c r="D84" s="5" t="s">
        <v>41</v>
      </c>
      <c r="E84" s="5" t="s">
        <v>38</v>
      </c>
      <c r="F84" s="5" t="s">
        <v>35</v>
      </c>
      <c r="G84" s="5" t="s">
        <v>36</v>
      </c>
      <c r="I84" s="2" t="str">
        <f ca="1">IF(ISNUMBER(A84),
IF(COUNTIFS(Equipar!B:B,1,Equipar!AC:AC,A84),"Equipada",
IF(
OR(COUNTIFS(Equipar!B:B,1,Equipar!C:C,A84)
 +COUNTIFS(Equipar!B:B,1,Equipar!D:D,A84)
+COUNTIFS(Equipar!B:B,1,Equipar!E:E,A84)
+COUNTIFS(Equipar!B:B,1,Equipar!F:F,A84)
&gt;0,COUNTIF('Set recomendado'!B:B,C84)=0),
"Bloqueada",
"Desechable")),""
)</f>
        <v>Desechable</v>
      </c>
      <c r="J84" t="str" cm="1">
        <f t="array" ref="J84">IF(ISNUMBER(A84),IFERROR(_xlfn._xlws.FILTER(Equipar!A:A,(Equipar!B:B=1)*(Equipar!AC:AC=A84)),""),"")</f>
        <v/>
      </c>
    </row>
    <row r="85" spans="1:10" x14ac:dyDescent="0.25">
      <c r="A85" s="1">
        <v>87</v>
      </c>
      <c r="B85" s="5" t="s">
        <v>54</v>
      </c>
      <c r="C85" s="5" t="s">
        <v>55</v>
      </c>
      <c r="D85" s="5" t="s">
        <v>41</v>
      </c>
      <c r="E85" s="5" t="s">
        <v>43</v>
      </c>
      <c r="F85" s="5" t="s">
        <v>37</v>
      </c>
      <c r="I85" s="2" t="str">
        <f ca="1">IF(ISNUMBER(A85),
IF(COUNTIFS(Equipar!B:B,1,Equipar!AC:AC,A85),"Equipada",
IF(
OR(COUNTIFS(Equipar!B:B,1,Equipar!C:C,A85)
 +COUNTIFS(Equipar!B:B,1,Equipar!D:D,A85)
+COUNTIFS(Equipar!B:B,1,Equipar!E:E,A85)
+COUNTIFS(Equipar!B:B,1,Equipar!F:F,A85)
&gt;0,COUNTIF('Set recomendado'!B:B,C85)=0),
"Bloqueada",
"Desechable")),""
)</f>
        <v>Desechable</v>
      </c>
      <c r="J85" t="str" cm="1">
        <f t="array" ref="J85">IF(ISNUMBER(A85),IFERROR(_xlfn._xlws.FILTER(Equipar!A:A,(Equipar!B:B=1)*(Equipar!AC:AC=A85)),""),"")</f>
        <v/>
      </c>
    </row>
    <row r="86" spans="1:10" x14ac:dyDescent="0.25">
      <c r="A86" s="1">
        <v>88</v>
      </c>
      <c r="B86" s="5" t="s">
        <v>54</v>
      </c>
      <c r="C86" s="5" t="s">
        <v>55</v>
      </c>
      <c r="D86" s="5" t="s">
        <v>41</v>
      </c>
      <c r="E86" s="5" t="s">
        <v>43</v>
      </c>
      <c r="F86" s="5" t="s">
        <v>37</v>
      </c>
      <c r="I86" s="2" t="str">
        <f ca="1">IF(ISNUMBER(A86),
IF(COUNTIFS(Equipar!B:B,1,Equipar!AC:AC,A86),"Equipada",
IF(
OR(COUNTIFS(Equipar!B:B,1,Equipar!C:C,A86)
 +COUNTIFS(Equipar!B:B,1,Equipar!D:D,A86)
+COUNTIFS(Equipar!B:B,1,Equipar!E:E,A86)
+COUNTIFS(Equipar!B:B,1,Equipar!F:F,A86)
&gt;0,COUNTIF('Set recomendado'!B:B,C86)=0),
"Bloqueada",
"Desechable")),""
)</f>
        <v>Desechable</v>
      </c>
      <c r="J86" t="str" cm="1">
        <f t="array" ref="J86">IF(ISNUMBER(A86),IFERROR(_xlfn._xlws.FILTER(Equipar!A:A,(Equipar!B:B=1)*(Equipar!AC:AC=A86)),""),"")</f>
        <v/>
      </c>
    </row>
    <row r="87" spans="1:10" x14ac:dyDescent="0.25">
      <c r="A87" s="1">
        <v>89</v>
      </c>
      <c r="B87" s="5" t="s">
        <v>54</v>
      </c>
      <c r="C87" s="5" t="s">
        <v>21</v>
      </c>
      <c r="D87" s="5" t="s">
        <v>37</v>
      </c>
      <c r="E87" s="5" t="s">
        <v>32</v>
      </c>
      <c r="F87" s="5" t="s">
        <v>42</v>
      </c>
      <c r="I87" s="2" t="str">
        <f ca="1">IF(ISNUMBER(A87),
IF(COUNTIFS(Equipar!B:B,1,Equipar!AC:AC,A87),"Equipada",
IF(
OR(COUNTIFS(Equipar!B:B,1,Equipar!C:C,A87)
 +COUNTIFS(Equipar!B:B,1,Equipar!D:D,A87)
+COUNTIFS(Equipar!B:B,1,Equipar!E:E,A87)
+COUNTIFS(Equipar!B:B,1,Equipar!F:F,A87)
&gt;0,COUNTIF('Set recomendado'!B:B,C87)=0),
"Bloqueada",
"Desechable")),""
)</f>
        <v>Desechable</v>
      </c>
      <c r="J87" t="str" cm="1">
        <f t="array" ref="J87">IF(ISNUMBER(A87),IFERROR(_xlfn._xlws.FILTER(Equipar!A:A,(Equipar!B:B=1)*(Equipar!AC:AC=A87)),""),"")</f>
        <v/>
      </c>
    </row>
    <row r="88" spans="1:10" x14ac:dyDescent="0.25">
      <c r="A88" s="1">
        <v>90</v>
      </c>
      <c r="B88" s="5" t="s">
        <v>54</v>
      </c>
      <c r="C88" s="5" t="s">
        <v>29</v>
      </c>
      <c r="D88" s="5" t="s">
        <v>32</v>
      </c>
      <c r="E88" s="5" t="s">
        <v>33</v>
      </c>
      <c r="F88" s="5" t="s">
        <v>43</v>
      </c>
      <c r="G88" s="4"/>
      <c r="I88" s="2" t="str">
        <f ca="1">IF(ISNUMBER(A88),
IF(COUNTIFS(Equipar!B:B,1,Equipar!AC:AC,A88),"Equipada",
IF(
OR(COUNTIFS(Equipar!B:B,1,Equipar!C:C,A88)
 +COUNTIFS(Equipar!B:B,1,Equipar!D:D,A88)
+COUNTIFS(Equipar!B:B,1,Equipar!E:E,A88)
+COUNTIFS(Equipar!B:B,1,Equipar!F:F,A88)
&gt;0,COUNTIF('Set recomendado'!B:B,C88)=0),
"Bloqueada",
"Desechable")),""
)</f>
        <v>Desechable</v>
      </c>
      <c r="J88" t="str" cm="1">
        <f t="array" ref="J88">IF(ISNUMBER(A88),IFERROR(_xlfn._xlws.FILTER(Equipar!A:A,(Equipar!B:B=1)*(Equipar!AC:AC=A88)),""),"")</f>
        <v/>
      </c>
    </row>
    <row r="89" spans="1:10" x14ac:dyDescent="0.25">
      <c r="A89" s="1">
        <v>91</v>
      </c>
      <c r="B89" s="5" t="s">
        <v>53</v>
      </c>
      <c r="C89" s="5" t="s">
        <v>23</v>
      </c>
      <c r="D89" s="5" t="s">
        <v>37</v>
      </c>
      <c r="E89" s="5" t="s">
        <v>36</v>
      </c>
      <c r="F89" s="5" t="s">
        <v>36</v>
      </c>
      <c r="G89" s="5" t="s">
        <v>41</v>
      </c>
      <c r="I89" s="2" t="str">
        <f ca="1">IF(ISNUMBER(A89),
IF(COUNTIFS(Equipar!B:B,1,Equipar!AC:AC,A89),"Equipada",
IF(
OR(COUNTIFS(Equipar!B:B,1,Equipar!C:C,A89)
 +COUNTIFS(Equipar!B:B,1,Equipar!D:D,A89)
+COUNTIFS(Equipar!B:B,1,Equipar!E:E,A89)
+COUNTIFS(Equipar!B:B,1,Equipar!F:F,A89)
&gt;0,COUNTIF('Set recomendado'!B:B,C89)=0),
"Bloqueada",
"Desechable")),""
)</f>
        <v>Bloqueada</v>
      </c>
      <c r="J89" t="str" cm="1">
        <f t="array" ref="J89">IF(ISNUMBER(A89),IFERROR(_xlfn._xlws.FILTER(Equipar!A:A,(Equipar!B:B=1)*(Equipar!AC:AC=A89)),""),"")</f>
        <v/>
      </c>
    </row>
    <row r="90" spans="1:10" x14ac:dyDescent="0.25">
      <c r="A90" s="1">
        <v>92</v>
      </c>
      <c r="B90" s="5" t="s">
        <v>53</v>
      </c>
      <c r="C90" s="5" t="s">
        <v>17</v>
      </c>
      <c r="D90" s="5" t="s">
        <v>38</v>
      </c>
      <c r="E90" s="5" t="s">
        <v>37</v>
      </c>
      <c r="F90" s="5" t="s">
        <v>41</v>
      </c>
      <c r="G90" s="5" t="s">
        <v>34</v>
      </c>
      <c r="I90" s="2" t="str">
        <f ca="1">IF(ISNUMBER(A90),
IF(COUNTIFS(Equipar!B:B,1,Equipar!AC:AC,A90),"Equipada",
IF(
OR(COUNTIFS(Equipar!B:B,1,Equipar!C:C,A90)
 +COUNTIFS(Equipar!B:B,1,Equipar!D:D,A90)
+COUNTIFS(Equipar!B:B,1,Equipar!E:E,A90)
+COUNTIFS(Equipar!B:B,1,Equipar!F:F,A90)
&gt;0,COUNTIF('Set recomendado'!B:B,C90)=0),
"Bloqueada",
"Desechable")),""
)</f>
        <v>Desechable</v>
      </c>
      <c r="J90" t="str" cm="1">
        <f t="array" ref="J90">IF(ISNUMBER(A90),IFERROR(_xlfn._xlws.FILTER(Equipar!A:A,(Equipar!B:B=1)*(Equipar!AC:AC=A90)),""),"")</f>
        <v/>
      </c>
    </row>
    <row r="91" spans="1:10" x14ac:dyDescent="0.25">
      <c r="A91" s="1">
        <v>93</v>
      </c>
      <c r="B91" s="5" t="s">
        <v>53</v>
      </c>
      <c r="C91" s="5" t="s">
        <v>57</v>
      </c>
      <c r="D91" s="5" t="s">
        <v>42</v>
      </c>
      <c r="E91" s="5" t="s">
        <v>35</v>
      </c>
      <c r="F91" s="5" t="s">
        <v>43</v>
      </c>
      <c r="G91" s="5" t="s">
        <v>37</v>
      </c>
      <c r="I91" s="2" t="str">
        <f ca="1">IF(ISNUMBER(A91),
IF(COUNTIFS(Equipar!B:B,1,Equipar!AC:AC,A91),"Equipada",
IF(
OR(COUNTIFS(Equipar!B:B,1,Equipar!C:C,A91)
 +COUNTIFS(Equipar!B:B,1,Equipar!D:D,A91)
+COUNTIFS(Equipar!B:B,1,Equipar!E:E,A91)
+COUNTIFS(Equipar!B:B,1,Equipar!F:F,A91)
&gt;0,COUNTIF('Set recomendado'!B:B,C91)=0),
"Bloqueada",
"Desechable")),""
)</f>
        <v>Bloqueada</v>
      </c>
      <c r="J91" t="str" cm="1">
        <f t="array" ref="J91">IF(ISNUMBER(A91),IFERROR(_xlfn._xlws.FILTER(Equipar!A:A,(Equipar!B:B=1)*(Equipar!AC:AC=A91)),""),"")</f>
        <v/>
      </c>
    </row>
    <row r="92" spans="1:10" x14ac:dyDescent="0.25">
      <c r="A92" s="1">
        <v>94</v>
      </c>
      <c r="B92" s="5" t="s">
        <v>54</v>
      </c>
      <c r="C92" s="5" t="s">
        <v>55</v>
      </c>
      <c r="D92" s="5" t="s">
        <v>41</v>
      </c>
      <c r="E92" s="5" t="s">
        <v>42</v>
      </c>
      <c r="F92" s="5" t="s">
        <v>32</v>
      </c>
      <c r="G92" s="5" t="s">
        <v>33</v>
      </c>
      <c r="I92" s="2" t="str">
        <f ca="1">IF(ISNUMBER(A92),
IF(COUNTIFS(Equipar!B:B,1,Equipar!AC:AC,A92),"Equipada",
IF(
OR(COUNTIFS(Equipar!B:B,1,Equipar!C:C,A92)
 +COUNTIFS(Equipar!B:B,1,Equipar!D:D,A92)
+COUNTIFS(Equipar!B:B,1,Equipar!E:E,A92)
+COUNTIFS(Equipar!B:B,1,Equipar!F:F,A92)
&gt;0,COUNTIF('Set recomendado'!B:B,C92)=0),
"Bloqueada",
"Desechable")),""
)</f>
        <v>Desechable</v>
      </c>
      <c r="J92" t="str" cm="1">
        <f t="array" ref="J92">IF(ISNUMBER(A92),IFERROR(_xlfn._xlws.FILTER(Equipar!A:A,(Equipar!B:B=1)*(Equipar!AC:AC=A92)),""),"")</f>
        <v/>
      </c>
    </row>
    <row r="93" spans="1:10" x14ac:dyDescent="0.25">
      <c r="A93" s="1">
        <v>95</v>
      </c>
      <c r="B93" s="5" t="s">
        <v>54</v>
      </c>
      <c r="C93" s="5" t="s">
        <v>55</v>
      </c>
      <c r="D93" s="5" t="s">
        <v>41</v>
      </c>
      <c r="E93" s="5" t="s">
        <v>41</v>
      </c>
      <c r="F93" s="5" t="s">
        <v>36</v>
      </c>
      <c r="I93" s="2" t="str">
        <f ca="1">IF(ISNUMBER(A93),
IF(COUNTIFS(Equipar!B:B,1,Equipar!AC:AC,A93),"Equipada",
IF(
OR(COUNTIFS(Equipar!B:B,1,Equipar!C:C,A93)
 +COUNTIFS(Equipar!B:B,1,Equipar!D:D,A93)
+COUNTIFS(Equipar!B:B,1,Equipar!E:E,A93)
+COUNTIFS(Equipar!B:B,1,Equipar!F:F,A93)
&gt;0,COUNTIF('Set recomendado'!B:B,C93)=0),
"Bloqueada",
"Desechable")),""
)</f>
        <v>Desechable</v>
      </c>
      <c r="J93" t="str" cm="1">
        <f t="array" ref="J93">IF(ISNUMBER(A93),IFERROR(_xlfn._xlws.FILTER(Equipar!A:A,(Equipar!B:B=1)*(Equipar!AC:AC=A93)),""),"")</f>
        <v/>
      </c>
    </row>
    <row r="94" spans="1:10" x14ac:dyDescent="0.25">
      <c r="A94" s="1">
        <v>96</v>
      </c>
      <c r="B94" s="5" t="s">
        <v>54</v>
      </c>
      <c r="C94" s="5" t="s">
        <v>29</v>
      </c>
      <c r="D94" s="5" t="s">
        <v>32</v>
      </c>
      <c r="E94" s="5" t="s">
        <v>32</v>
      </c>
      <c r="F94" s="5" t="s">
        <v>36</v>
      </c>
      <c r="I94" s="2" t="str">
        <f>IF(ISNUMBER(A94),
IF(COUNTIFS(Equipar!B:B,1,Equipar!AC:AC,A94),"Equipada",
IF(
OR(COUNTIFS(Equipar!B:B,1,Equipar!C:C,A94)
 +COUNTIFS(Equipar!B:B,1,Equipar!D:D,A94)
+COUNTIFS(Equipar!B:B,1,Equipar!E:E,A94)
+COUNTIFS(Equipar!B:B,1,Equipar!F:F,A94)
&gt;0,COUNTIF('Set recomendado'!B:B,C94)=0),
"Bloqueada",
"Desechable")),""
)</f>
        <v>Equipada</v>
      </c>
      <c r="J94" t="str" cm="1">
        <f t="array" ref="J94">IF(ISNUMBER(A94),IFERROR(_xlfn._xlws.FILTER(Equipar!A:A,(Equipar!B:B=1)*(Equipar!AC:AC=A94)),""),"")</f>
        <v>Ojiro</v>
      </c>
    </row>
    <row r="95" spans="1:10" x14ac:dyDescent="0.25">
      <c r="A95" s="1">
        <v>97</v>
      </c>
      <c r="B95" s="5" t="s">
        <v>54</v>
      </c>
      <c r="C95" s="5" t="s">
        <v>29</v>
      </c>
      <c r="D95" s="5" t="s">
        <v>32</v>
      </c>
      <c r="E95" s="5" t="s">
        <v>35</v>
      </c>
      <c r="F95" s="5" t="s">
        <v>39</v>
      </c>
      <c r="I95" s="2" t="str">
        <f ca="1">IF(ISNUMBER(A95),
IF(COUNTIFS(Equipar!B:B,1,Equipar!AC:AC,A95),"Equipada",
IF(
OR(COUNTIFS(Equipar!B:B,1,Equipar!C:C,A95)
 +COUNTIFS(Equipar!B:B,1,Equipar!D:D,A95)
+COUNTIFS(Equipar!B:B,1,Equipar!E:E,A95)
+COUNTIFS(Equipar!B:B,1,Equipar!F:F,A95)
&gt;0,COUNTIF('Set recomendado'!B:B,C95)=0),
"Bloqueada",
"Desechable")),""
)</f>
        <v>Desechable</v>
      </c>
      <c r="J95" t="str" cm="1">
        <f t="array" ref="J95">IF(ISNUMBER(A95),IFERROR(_xlfn._xlws.FILTER(Equipar!A:A,(Equipar!B:B=1)*(Equipar!AC:AC=A95)),""),"")</f>
        <v/>
      </c>
    </row>
    <row r="96" spans="1:10" x14ac:dyDescent="0.25">
      <c r="A96" s="1">
        <v>98</v>
      </c>
      <c r="B96" s="5" t="s">
        <v>54</v>
      </c>
      <c r="C96" s="5" t="s">
        <v>29</v>
      </c>
      <c r="D96" s="5" t="s">
        <v>32</v>
      </c>
      <c r="E96" s="5" t="s">
        <v>41</v>
      </c>
      <c r="F96" s="5" t="s">
        <v>44</v>
      </c>
      <c r="G96" s="4"/>
      <c r="H96" s="4"/>
      <c r="I96" s="2" t="str">
        <f ca="1">IF(ISNUMBER(A96),
IF(COUNTIFS(Equipar!B:B,1,Equipar!AC:AC,A96),"Equipada",
IF(
OR(COUNTIFS(Equipar!B:B,1,Equipar!C:C,A96)
 +COUNTIFS(Equipar!B:B,1,Equipar!D:D,A96)
+COUNTIFS(Equipar!B:B,1,Equipar!E:E,A96)
+COUNTIFS(Equipar!B:B,1,Equipar!F:F,A96)
&gt;0,COUNTIF('Set recomendado'!B:B,C96)=0),
"Bloqueada",
"Desechable")),""
)</f>
        <v>Desechable</v>
      </c>
      <c r="J96" t="str" cm="1">
        <f t="array" ref="J96">IF(ISNUMBER(A96),IFERROR(_xlfn._xlws.FILTER(Equipar!A:A,(Equipar!B:B=1)*(Equipar!AC:AC=A96)),""),"")</f>
        <v/>
      </c>
    </row>
    <row r="97" spans="1:10" x14ac:dyDescent="0.25">
      <c r="A97" s="1">
        <v>99</v>
      </c>
      <c r="B97" s="5" t="s">
        <v>53</v>
      </c>
      <c r="C97" s="5" t="s">
        <v>4</v>
      </c>
      <c r="D97" s="5" t="s">
        <v>32</v>
      </c>
      <c r="E97" s="5" t="s">
        <v>41</v>
      </c>
      <c r="F97" s="5" t="s">
        <v>41</v>
      </c>
      <c r="G97" s="5" t="s">
        <v>37</v>
      </c>
      <c r="H97" s="5" t="s">
        <v>43</v>
      </c>
      <c r="I97" s="2" t="str">
        <f ca="1">IF(ISNUMBER(A97),
IF(COUNTIFS(Equipar!B:B,1,Equipar!AC:AC,A97),"Equipada",
IF(
OR(COUNTIFS(Equipar!B:B,1,Equipar!C:C,A97)
 +COUNTIFS(Equipar!B:B,1,Equipar!D:D,A97)
+COUNTIFS(Equipar!B:B,1,Equipar!E:E,A97)
+COUNTIFS(Equipar!B:B,1,Equipar!F:F,A97)
&gt;0,COUNTIF('Set recomendado'!B:B,C97)=0),
"Bloqueada",
"Desechable")),""
)</f>
        <v>Desechable</v>
      </c>
      <c r="J97" t="str" cm="1">
        <f t="array" ref="J97">IF(ISNUMBER(A97),IFERROR(_xlfn._xlws.FILTER(Equipar!A:A,(Equipar!B:B=1)*(Equipar!AC:AC=A97)),""),"")</f>
        <v/>
      </c>
    </row>
    <row r="98" spans="1:10" x14ac:dyDescent="0.25">
      <c r="A98" s="1">
        <v>100</v>
      </c>
      <c r="B98" s="5" t="s">
        <v>54</v>
      </c>
      <c r="C98" s="5" t="s">
        <v>57</v>
      </c>
      <c r="D98" s="5" t="s">
        <v>42</v>
      </c>
      <c r="E98" s="5" t="s">
        <v>34</v>
      </c>
      <c r="F98" s="5" t="s">
        <v>41</v>
      </c>
      <c r="I98" s="2" t="str">
        <f ca="1">IF(ISNUMBER(A98),
IF(COUNTIFS(Equipar!B:B,1,Equipar!AC:AC,A98),"Equipada",
IF(
OR(COUNTIFS(Equipar!B:B,1,Equipar!C:C,A98)
 +COUNTIFS(Equipar!B:B,1,Equipar!D:D,A98)
+COUNTIFS(Equipar!B:B,1,Equipar!E:E,A98)
+COUNTIFS(Equipar!B:B,1,Equipar!F:F,A98)
&gt;0,COUNTIF('Set recomendado'!B:B,C98)=0),
"Bloqueada",
"Desechable")),""
)</f>
        <v>Bloqueada</v>
      </c>
      <c r="J98" t="str" cm="1">
        <f t="array" ref="J98">IF(ISNUMBER(A98),IFERROR(_xlfn._xlws.FILTER(Equipar!A:A,(Equipar!B:B=1)*(Equipar!AC:AC=A98)),""),"")</f>
        <v/>
      </c>
    </row>
    <row r="99" spans="1:10" x14ac:dyDescent="0.25">
      <c r="A99" s="1">
        <v>101</v>
      </c>
      <c r="B99" s="5" t="s">
        <v>54</v>
      </c>
      <c r="C99" s="5" t="s">
        <v>55</v>
      </c>
      <c r="D99" s="5" t="s">
        <v>41</v>
      </c>
      <c r="E99" s="5" t="s">
        <v>39</v>
      </c>
      <c r="F99" s="5" t="s">
        <v>32</v>
      </c>
      <c r="I99" s="2" t="str">
        <f ca="1">IF(ISNUMBER(A99),
IF(COUNTIFS(Equipar!B:B,1,Equipar!AC:AC,A99),"Equipada",
IF(
OR(COUNTIFS(Equipar!B:B,1,Equipar!C:C,A99)
 +COUNTIFS(Equipar!B:B,1,Equipar!D:D,A99)
+COUNTIFS(Equipar!B:B,1,Equipar!E:E,A99)
+COUNTIFS(Equipar!B:B,1,Equipar!F:F,A99)
&gt;0,COUNTIF('Set recomendado'!B:B,C99)=0),
"Bloqueada",
"Desechable")),""
)</f>
        <v>Desechable</v>
      </c>
      <c r="J99" t="str" cm="1">
        <f t="array" ref="J99">IF(ISNUMBER(A99),IFERROR(_xlfn._xlws.FILTER(Equipar!A:A,(Equipar!B:B=1)*(Equipar!AC:AC=A99)),""),"")</f>
        <v/>
      </c>
    </row>
    <row r="100" spans="1:10" x14ac:dyDescent="0.25">
      <c r="A100" s="1">
        <v>102</v>
      </c>
      <c r="B100" s="5" t="s">
        <v>54</v>
      </c>
      <c r="C100" s="5" t="s">
        <v>55</v>
      </c>
      <c r="D100" s="5" t="s">
        <v>41</v>
      </c>
      <c r="E100" s="5" t="s">
        <v>32</v>
      </c>
      <c r="F100" s="5" t="s">
        <v>37</v>
      </c>
      <c r="I100" s="2" t="str">
        <f ca="1">IF(ISNUMBER(A100),
IF(COUNTIFS(Equipar!B:B,1,Equipar!AC:AC,A100),"Equipada",
IF(
OR(COUNTIFS(Equipar!B:B,1,Equipar!C:C,A100)
 +COUNTIFS(Equipar!B:B,1,Equipar!D:D,A100)
+COUNTIFS(Equipar!B:B,1,Equipar!E:E,A100)
+COUNTIFS(Equipar!B:B,1,Equipar!F:F,A100)
&gt;0,COUNTIF('Set recomendado'!B:B,C100)=0),
"Bloqueada",
"Desechable")),""
)</f>
        <v>Desechable</v>
      </c>
      <c r="J100" t="str" cm="1">
        <f t="array" ref="J100">IF(ISNUMBER(A100),IFERROR(_xlfn._xlws.FILTER(Equipar!A:A,(Equipar!B:B=1)*(Equipar!AC:AC=A100)),""),"")</f>
        <v/>
      </c>
    </row>
    <row r="101" spans="1:10" x14ac:dyDescent="0.25">
      <c r="A101" s="1">
        <v>103</v>
      </c>
      <c r="B101" s="5" t="s">
        <v>54</v>
      </c>
      <c r="C101" s="5" t="s">
        <v>55</v>
      </c>
      <c r="D101" s="5" t="s">
        <v>41</v>
      </c>
      <c r="E101" s="5" t="s">
        <v>37</v>
      </c>
      <c r="F101" s="5" t="s">
        <v>35</v>
      </c>
      <c r="I101" s="2" t="str">
        <f ca="1">IF(ISNUMBER(A101),
IF(COUNTIFS(Equipar!B:B,1,Equipar!AC:AC,A101),"Equipada",
IF(
OR(COUNTIFS(Equipar!B:B,1,Equipar!C:C,A101)
 +COUNTIFS(Equipar!B:B,1,Equipar!D:D,A101)
+COUNTIFS(Equipar!B:B,1,Equipar!E:E,A101)
+COUNTIFS(Equipar!B:B,1,Equipar!F:F,A101)
&gt;0,COUNTIF('Set recomendado'!B:B,C101)=0),
"Bloqueada",
"Desechable")),""
)</f>
        <v>Desechable</v>
      </c>
      <c r="J101" t="str" cm="1">
        <f t="array" ref="J101">IF(ISNUMBER(A101),IFERROR(_xlfn._xlws.FILTER(Equipar!A:A,(Equipar!B:B=1)*(Equipar!AC:AC=A101)),""),"")</f>
        <v/>
      </c>
    </row>
    <row r="102" spans="1:10" x14ac:dyDescent="0.25">
      <c r="A102" s="1">
        <v>104</v>
      </c>
      <c r="B102" s="5" t="s">
        <v>54</v>
      </c>
      <c r="C102" s="5" t="s">
        <v>55</v>
      </c>
      <c r="D102" s="5" t="s">
        <v>41</v>
      </c>
      <c r="E102" s="5" t="s">
        <v>36</v>
      </c>
      <c r="F102" s="5" t="s">
        <v>43</v>
      </c>
      <c r="I102" s="2" t="str">
        <f ca="1">IF(ISNUMBER(A102),
IF(COUNTIFS(Equipar!B:B,1,Equipar!AC:AC,A102),"Equipada",
IF(
OR(COUNTIFS(Equipar!B:B,1,Equipar!C:C,A102)
 +COUNTIFS(Equipar!B:B,1,Equipar!D:D,A102)
+COUNTIFS(Equipar!B:B,1,Equipar!E:E,A102)
+COUNTIFS(Equipar!B:B,1,Equipar!F:F,A102)
&gt;0,COUNTIF('Set recomendado'!B:B,C102)=0),
"Bloqueada",
"Desechable")),""
)</f>
        <v>Desechable</v>
      </c>
      <c r="J102" t="str" cm="1">
        <f t="array" ref="J102">IF(ISNUMBER(A102),IFERROR(_xlfn._xlws.FILTER(Equipar!A:A,(Equipar!B:B=1)*(Equipar!AC:AC=A102)),""),"")</f>
        <v/>
      </c>
    </row>
    <row r="103" spans="1:10" x14ac:dyDescent="0.25">
      <c r="A103" s="1">
        <v>105</v>
      </c>
      <c r="B103" s="5" t="s">
        <v>54</v>
      </c>
      <c r="C103" s="5" t="s">
        <v>21</v>
      </c>
      <c r="D103" s="5" t="s">
        <v>37</v>
      </c>
      <c r="E103" s="5" t="s">
        <v>32</v>
      </c>
      <c r="F103" s="5" t="s">
        <v>37</v>
      </c>
      <c r="I103" s="2" t="str">
        <f ca="1">IF(ISNUMBER(A103),
IF(COUNTIFS(Equipar!B:B,1,Equipar!AC:AC,A103),"Equipada",
IF(
OR(COUNTIFS(Equipar!B:B,1,Equipar!C:C,A103)
 +COUNTIFS(Equipar!B:B,1,Equipar!D:D,A103)
+COUNTIFS(Equipar!B:B,1,Equipar!E:E,A103)
+COUNTIFS(Equipar!B:B,1,Equipar!F:F,A103)
&gt;0,COUNTIF('Set recomendado'!B:B,C103)=0),
"Bloqueada",
"Desechable")),""
)</f>
        <v>Desechable</v>
      </c>
      <c r="J103" t="str" cm="1">
        <f t="array" ref="J103">IF(ISNUMBER(A103),IFERROR(_xlfn._xlws.FILTER(Equipar!A:A,(Equipar!B:B=1)*(Equipar!AC:AC=A103)),""),"")</f>
        <v/>
      </c>
    </row>
    <row r="104" spans="1:10" x14ac:dyDescent="0.25">
      <c r="A104" s="1">
        <v>106</v>
      </c>
      <c r="B104" s="5" t="s">
        <v>54</v>
      </c>
      <c r="C104" s="5" t="s">
        <v>21</v>
      </c>
      <c r="D104" s="5" t="s">
        <v>37</v>
      </c>
      <c r="E104" s="5" t="s">
        <v>37</v>
      </c>
      <c r="F104" s="5" t="s">
        <v>41</v>
      </c>
      <c r="I104" s="2" t="str">
        <f ca="1">IF(ISNUMBER(A104),
IF(COUNTIFS(Equipar!B:B,1,Equipar!AC:AC,A104),"Equipada",
IF(
OR(COUNTIFS(Equipar!B:B,1,Equipar!C:C,A104)
 +COUNTIFS(Equipar!B:B,1,Equipar!D:D,A104)
+COUNTIFS(Equipar!B:B,1,Equipar!E:E,A104)
+COUNTIFS(Equipar!B:B,1,Equipar!F:F,A104)
&gt;0,COUNTIF('Set recomendado'!B:B,C104)=0),
"Bloqueada",
"Desechable")),""
)</f>
        <v>Desechable</v>
      </c>
      <c r="J104" t="str" cm="1">
        <f t="array" ref="J104">IF(ISNUMBER(A104),IFERROR(_xlfn._xlws.FILTER(Equipar!A:A,(Equipar!B:B=1)*(Equipar!AC:AC=A104)),""),"")</f>
        <v/>
      </c>
    </row>
    <row r="105" spans="1:10" x14ac:dyDescent="0.25">
      <c r="A105" s="1">
        <v>107</v>
      </c>
      <c r="B105" s="5" t="s">
        <v>54</v>
      </c>
      <c r="C105" s="5" t="s">
        <v>21</v>
      </c>
      <c r="D105" s="5" t="s">
        <v>37</v>
      </c>
      <c r="E105" s="5" t="s">
        <v>38</v>
      </c>
      <c r="F105" s="5" t="s">
        <v>42</v>
      </c>
      <c r="G105" s="4"/>
      <c r="H105" s="4"/>
      <c r="I105" s="2" t="str">
        <f ca="1">IF(ISNUMBER(A105),
IF(COUNTIFS(Equipar!B:B,1,Equipar!AC:AC,A105),"Equipada",
IF(
OR(COUNTIFS(Equipar!B:B,1,Equipar!C:C,A105)
 +COUNTIFS(Equipar!B:B,1,Equipar!D:D,A105)
+COUNTIFS(Equipar!B:B,1,Equipar!E:E,A105)
+COUNTIFS(Equipar!B:B,1,Equipar!F:F,A105)
&gt;0,COUNTIF('Set recomendado'!B:B,C105)=0),
"Bloqueada",
"Desechable")),""
)</f>
        <v>Desechable</v>
      </c>
      <c r="J105" t="str" cm="1">
        <f t="array" ref="J105">IF(ISNUMBER(A105),IFERROR(_xlfn._xlws.FILTER(Equipar!A:A,(Equipar!B:B=1)*(Equipar!AC:AC=A105)),""),"")</f>
        <v/>
      </c>
    </row>
    <row r="106" spans="1:10" x14ac:dyDescent="0.25">
      <c r="A106" s="1">
        <v>108</v>
      </c>
      <c r="B106" s="5" t="s">
        <v>54</v>
      </c>
      <c r="C106" s="5" t="s">
        <v>55</v>
      </c>
      <c r="D106" s="5" t="s">
        <v>41</v>
      </c>
      <c r="E106" s="5" t="s">
        <v>42</v>
      </c>
      <c r="F106" s="5" t="s">
        <v>41</v>
      </c>
      <c r="I106" s="2" t="str">
        <f ca="1">IF(ISNUMBER(A106),
IF(COUNTIFS(Equipar!B:B,1,Equipar!AC:AC,A106),"Equipada",
IF(
OR(COUNTIFS(Equipar!B:B,1,Equipar!C:C,A106)
 +COUNTIFS(Equipar!B:B,1,Equipar!D:D,A106)
+COUNTIFS(Equipar!B:B,1,Equipar!E:E,A106)
+COUNTIFS(Equipar!B:B,1,Equipar!F:F,A106)
&gt;0,COUNTIF('Set recomendado'!B:B,C106)=0),
"Bloqueada",
"Desechable")),""
)</f>
        <v>Desechable</v>
      </c>
      <c r="J106" t="str" cm="1">
        <f t="array" ref="J106">IF(ISNUMBER(A106),IFERROR(_xlfn._xlws.FILTER(Equipar!A:A,(Equipar!B:B=1)*(Equipar!AC:AC=A106)),""),"")</f>
        <v/>
      </c>
    </row>
    <row r="107" spans="1:10" x14ac:dyDescent="0.25">
      <c r="A107" s="1">
        <v>109</v>
      </c>
      <c r="B107" s="5" t="s">
        <v>53</v>
      </c>
      <c r="C107" s="5" t="s">
        <v>4</v>
      </c>
      <c r="D107" s="5" t="s">
        <v>32</v>
      </c>
      <c r="E107" s="5" t="s">
        <v>42</v>
      </c>
      <c r="F107" s="5" t="s">
        <v>43</v>
      </c>
      <c r="G107" s="5" t="s">
        <v>32</v>
      </c>
      <c r="I107" s="2" t="str">
        <f ca="1">IF(ISNUMBER(A107),
IF(COUNTIFS(Equipar!B:B,1,Equipar!AC:AC,A107),"Equipada",
IF(
OR(COUNTIFS(Equipar!B:B,1,Equipar!C:C,A107)
 +COUNTIFS(Equipar!B:B,1,Equipar!D:D,A107)
+COUNTIFS(Equipar!B:B,1,Equipar!E:E,A107)
+COUNTIFS(Equipar!B:B,1,Equipar!F:F,A107)
&gt;0,COUNTIF('Set recomendado'!B:B,C107)=0),
"Bloqueada",
"Desechable")),""
)</f>
        <v>Bloqueada</v>
      </c>
      <c r="J107" t="str" cm="1">
        <f t="array" ref="J107">IF(ISNUMBER(A107),IFERROR(_xlfn._xlws.FILTER(Equipar!A:A,(Equipar!B:B=1)*(Equipar!AC:AC=A107)),""),"")</f>
        <v/>
      </c>
    </row>
    <row r="108" spans="1:10" x14ac:dyDescent="0.25">
      <c r="A108" s="1">
        <v>110</v>
      </c>
      <c r="B108" s="5" t="s">
        <v>53</v>
      </c>
      <c r="C108" s="5" t="s">
        <v>14</v>
      </c>
      <c r="D108" s="5" t="s">
        <v>42</v>
      </c>
      <c r="E108" s="5" t="s">
        <v>43</v>
      </c>
      <c r="F108" s="5" t="s">
        <v>33</v>
      </c>
      <c r="G108" s="5" t="s">
        <v>41</v>
      </c>
      <c r="I108" s="2" t="str">
        <f ca="1">IF(ISNUMBER(A108),
IF(COUNTIFS(Equipar!B:B,1,Equipar!AC:AC,A108),"Equipada",
IF(
OR(COUNTIFS(Equipar!B:B,1,Equipar!C:C,A108)
 +COUNTIFS(Equipar!B:B,1,Equipar!D:D,A108)
+COUNTIFS(Equipar!B:B,1,Equipar!E:E,A108)
+COUNTIFS(Equipar!B:B,1,Equipar!F:F,A108)
&gt;0,COUNTIF('Set recomendado'!B:B,C108)=0),
"Bloqueada",
"Desechable")),""
)</f>
        <v>Desechable</v>
      </c>
      <c r="J108" t="str" cm="1">
        <f t="array" ref="J108">IF(ISNUMBER(A108),IFERROR(_xlfn._xlws.FILTER(Equipar!A:A,(Equipar!B:B=1)*(Equipar!AC:AC=A108)),""),"")</f>
        <v/>
      </c>
    </row>
    <row r="109" spans="1:10" x14ac:dyDescent="0.25">
      <c r="A109" s="1">
        <v>111</v>
      </c>
      <c r="B109" s="5" t="s">
        <v>53</v>
      </c>
      <c r="C109" s="5" t="s">
        <v>22</v>
      </c>
      <c r="D109" s="5" t="s">
        <v>37</v>
      </c>
      <c r="E109" s="5" t="s">
        <v>43</v>
      </c>
      <c r="F109" s="5" t="s">
        <v>37</v>
      </c>
      <c r="G109" s="5" t="s">
        <v>41</v>
      </c>
      <c r="I109" s="2" t="str">
        <f ca="1">IF(ISNUMBER(A109),
IF(COUNTIFS(Equipar!B:B,1,Equipar!AC:AC,A109),"Equipada",
IF(
OR(COUNTIFS(Equipar!B:B,1,Equipar!C:C,A109)
 +COUNTIFS(Equipar!B:B,1,Equipar!D:D,A109)
+COUNTIFS(Equipar!B:B,1,Equipar!E:E,A109)
+COUNTIFS(Equipar!B:B,1,Equipar!F:F,A109)
&gt;0,COUNTIF('Set recomendado'!B:B,C109)=0),
"Bloqueada",
"Desechable")),""
)</f>
        <v>Desechable</v>
      </c>
      <c r="J109" t="str" cm="1">
        <f t="array" ref="J109">IF(ISNUMBER(A109),IFERROR(_xlfn._xlws.FILTER(Equipar!A:A,(Equipar!B:B=1)*(Equipar!AC:AC=A109)),""),"")</f>
        <v/>
      </c>
    </row>
    <row r="110" spans="1:10" x14ac:dyDescent="0.25">
      <c r="A110" s="1">
        <v>113</v>
      </c>
      <c r="B110" s="5" t="s">
        <v>53</v>
      </c>
      <c r="C110" s="5" t="s">
        <v>17</v>
      </c>
      <c r="D110" s="5" t="s">
        <v>38</v>
      </c>
      <c r="E110" s="5" t="s">
        <v>37</v>
      </c>
      <c r="F110" s="5" t="s">
        <v>42</v>
      </c>
      <c r="G110" s="5" t="s">
        <v>35</v>
      </c>
      <c r="I110" s="2" t="str">
        <f ca="1">IF(ISNUMBER(A110),
IF(COUNTIFS(Equipar!B:B,1,Equipar!AC:AC,A110),"Equipada",
IF(
OR(COUNTIFS(Equipar!B:B,1,Equipar!C:C,A110)
 +COUNTIFS(Equipar!B:B,1,Equipar!D:D,A110)
+COUNTIFS(Equipar!B:B,1,Equipar!E:E,A110)
+COUNTIFS(Equipar!B:B,1,Equipar!F:F,A110)
&gt;0,COUNTIF('Set recomendado'!B:B,C110)=0),
"Bloqueada",
"Desechable")),""
)</f>
        <v>Desechable</v>
      </c>
      <c r="J110" t="str" cm="1">
        <f t="array" ref="J110">IF(ISNUMBER(A110),IFERROR(_xlfn._xlws.FILTER(Equipar!A:A,(Equipar!B:B=1)*(Equipar!AC:AC=A110)),""),"")</f>
        <v/>
      </c>
    </row>
    <row r="111" spans="1:10" x14ac:dyDescent="0.25">
      <c r="A111" s="1">
        <v>114</v>
      </c>
      <c r="B111" s="5" t="s">
        <v>54</v>
      </c>
      <c r="C111" s="5" t="s">
        <v>17</v>
      </c>
      <c r="D111" s="5" t="s">
        <v>38</v>
      </c>
      <c r="E111" s="5" t="s">
        <v>40</v>
      </c>
      <c r="F111" s="5" t="s">
        <v>42</v>
      </c>
      <c r="I111" s="2" t="str">
        <f ca="1">IF(ISNUMBER(A111),
IF(COUNTIFS(Equipar!B:B,1,Equipar!AC:AC,A111),"Equipada",
IF(
OR(COUNTIFS(Equipar!B:B,1,Equipar!C:C,A111)
 +COUNTIFS(Equipar!B:B,1,Equipar!D:D,A111)
+COUNTIFS(Equipar!B:B,1,Equipar!E:E,A111)
+COUNTIFS(Equipar!B:B,1,Equipar!F:F,A111)
&gt;0,COUNTIF('Set recomendado'!B:B,C111)=0),
"Bloqueada",
"Desechable")),""
)</f>
        <v>Desechable</v>
      </c>
      <c r="J111" t="str" cm="1">
        <f t="array" ref="J111">IF(ISNUMBER(A111),IFERROR(_xlfn._xlws.FILTER(Equipar!A:A,(Equipar!B:B=1)*(Equipar!AC:AC=A111)),""),"")</f>
        <v/>
      </c>
    </row>
    <row r="112" spans="1:10" x14ac:dyDescent="0.25">
      <c r="A112" s="1">
        <v>115</v>
      </c>
      <c r="B112" s="5" t="s">
        <v>53</v>
      </c>
      <c r="C112" s="5" t="s">
        <v>56</v>
      </c>
      <c r="D112" s="5" t="s">
        <v>32</v>
      </c>
      <c r="E112" s="5" t="s">
        <v>32</v>
      </c>
      <c r="F112" s="5" t="s">
        <v>36</v>
      </c>
      <c r="G112" s="5" t="s">
        <v>41</v>
      </c>
      <c r="I112" s="2" t="str">
        <f>IF(ISNUMBER(A112),
IF(COUNTIFS(Equipar!B:B,1,Equipar!AC:AC,A112),"Equipada",
IF(
OR(COUNTIFS(Equipar!B:B,1,Equipar!C:C,A112)
 +COUNTIFS(Equipar!B:B,1,Equipar!D:D,A112)
+COUNTIFS(Equipar!B:B,1,Equipar!E:E,A112)
+COUNTIFS(Equipar!B:B,1,Equipar!F:F,A112)
&gt;0,COUNTIF('Set recomendado'!B:B,C112)=0),
"Bloqueada",
"Desechable")),""
)</f>
        <v>Equipada</v>
      </c>
      <c r="J112" t="str" cm="1">
        <f t="array" ref="J112">IF(ISNUMBER(A112),IFERROR(_xlfn._xlws.FILTER(Equipar!A:A,(Equipar!B:B=1)*(Equipar!AC:AC=A112)),""),"")</f>
        <v>Kyotani</v>
      </c>
    </row>
    <row r="113" spans="1:10" x14ac:dyDescent="0.25">
      <c r="A113" s="1">
        <v>116</v>
      </c>
      <c r="B113" s="5" t="s">
        <v>54</v>
      </c>
      <c r="C113" s="5" t="s">
        <v>57</v>
      </c>
      <c r="D113" s="5" t="s">
        <v>42</v>
      </c>
      <c r="E113" s="5" t="s">
        <v>43</v>
      </c>
      <c r="F113" s="5" t="s">
        <v>32</v>
      </c>
      <c r="I113" s="2" t="str">
        <f ca="1">IF(ISNUMBER(A113),
IF(COUNTIFS(Equipar!B:B,1,Equipar!AC:AC,A113),"Equipada",
IF(
OR(COUNTIFS(Equipar!B:B,1,Equipar!C:C,A113)
 +COUNTIFS(Equipar!B:B,1,Equipar!D:D,A113)
+COUNTIFS(Equipar!B:B,1,Equipar!E:E,A113)
+COUNTIFS(Equipar!B:B,1,Equipar!F:F,A113)
&gt;0,COUNTIF('Set recomendado'!B:B,C113)=0),
"Bloqueada",
"Desechable")),""
)</f>
        <v>Bloqueada</v>
      </c>
      <c r="J113" t="str" cm="1">
        <f t="array" ref="J113">IF(ISNUMBER(A113),IFERROR(_xlfn._xlws.FILTER(Equipar!A:A,(Equipar!B:B=1)*(Equipar!AC:AC=A113)),""),"")</f>
        <v/>
      </c>
    </row>
    <row r="114" spans="1:10" x14ac:dyDescent="0.25">
      <c r="A114" s="1">
        <v>117</v>
      </c>
      <c r="B114" s="5" t="s">
        <v>54</v>
      </c>
      <c r="C114" s="5" t="s">
        <v>57</v>
      </c>
      <c r="D114" s="5" t="s">
        <v>42</v>
      </c>
      <c r="E114" s="5" t="s">
        <v>42</v>
      </c>
      <c r="F114" s="5" t="s">
        <v>39</v>
      </c>
      <c r="I114" s="2" t="str">
        <f ca="1">IF(ISNUMBER(A114),
IF(COUNTIFS(Equipar!B:B,1,Equipar!AC:AC,A114),"Equipada",
IF(
OR(COUNTIFS(Equipar!B:B,1,Equipar!C:C,A114)
 +COUNTIFS(Equipar!B:B,1,Equipar!D:D,A114)
+COUNTIFS(Equipar!B:B,1,Equipar!E:E,A114)
+COUNTIFS(Equipar!B:B,1,Equipar!F:F,A114)
&gt;0,COUNTIF('Set recomendado'!B:B,C114)=0),
"Bloqueada",
"Desechable")),""
)</f>
        <v>Bloqueada</v>
      </c>
      <c r="J114" t="str" cm="1">
        <f t="array" ref="J114">IF(ISNUMBER(A114),IFERROR(_xlfn._xlws.FILTER(Equipar!A:A,(Equipar!B:B=1)*(Equipar!AC:AC=A114)),""),"")</f>
        <v/>
      </c>
    </row>
    <row r="115" spans="1:10" x14ac:dyDescent="0.25">
      <c r="A115" s="1">
        <v>119</v>
      </c>
      <c r="B115" s="5" t="s">
        <v>53</v>
      </c>
      <c r="C115" s="5" t="s">
        <v>21</v>
      </c>
      <c r="D115" s="5" t="s">
        <v>37</v>
      </c>
      <c r="E115" s="5" t="s">
        <v>41</v>
      </c>
      <c r="F115" s="5" t="s">
        <v>32</v>
      </c>
      <c r="G115" s="5" t="s">
        <v>42</v>
      </c>
      <c r="H115" s="5" t="s">
        <v>37</v>
      </c>
      <c r="I115" s="2" t="str">
        <f ca="1">IF(ISNUMBER(A115),
IF(COUNTIFS(Equipar!B:B,1,Equipar!AC:AC,A115),"Equipada",
IF(
OR(COUNTIFS(Equipar!B:B,1,Equipar!C:C,A115)
 +COUNTIFS(Equipar!B:B,1,Equipar!D:D,A115)
+COUNTIFS(Equipar!B:B,1,Equipar!E:E,A115)
+COUNTIFS(Equipar!B:B,1,Equipar!F:F,A115)
&gt;0,COUNTIF('Set recomendado'!B:B,C115)=0),
"Bloqueada",
"Desechable")),""
)</f>
        <v>Desechable</v>
      </c>
      <c r="J115" t="str" cm="1">
        <f t="array" ref="J115">IF(ISNUMBER(A115),IFERROR(_xlfn._xlws.FILTER(Equipar!A:A,(Equipar!B:B=1)*(Equipar!AC:AC=A115)),""),"")</f>
        <v/>
      </c>
    </row>
    <row r="116" spans="1:10" x14ac:dyDescent="0.25">
      <c r="A116" s="1">
        <v>120</v>
      </c>
      <c r="B116" s="5" t="s">
        <v>54</v>
      </c>
      <c r="C116" s="5" t="s">
        <v>21</v>
      </c>
      <c r="D116" s="5" t="s">
        <v>37</v>
      </c>
      <c r="E116" s="5" t="s">
        <v>44</v>
      </c>
      <c r="F116" s="5" t="s">
        <v>38</v>
      </c>
      <c r="I116" s="2" t="str">
        <f ca="1">IF(ISNUMBER(A116),
IF(COUNTIFS(Equipar!B:B,1,Equipar!AC:AC,A116),"Equipada",
IF(
OR(COUNTIFS(Equipar!B:B,1,Equipar!C:C,A116)
 +COUNTIFS(Equipar!B:B,1,Equipar!D:D,A116)
+COUNTIFS(Equipar!B:B,1,Equipar!E:E,A116)
+COUNTIFS(Equipar!B:B,1,Equipar!F:F,A116)
&gt;0,COUNTIF('Set recomendado'!B:B,C116)=0),
"Bloqueada",
"Desechable")),""
)</f>
        <v>Desechable</v>
      </c>
      <c r="J116" t="str" cm="1">
        <f t="array" ref="J116">IF(ISNUMBER(A116),IFERROR(_xlfn._xlws.FILTER(Equipar!A:A,(Equipar!B:B=1)*(Equipar!AC:AC=A116)),""),"")</f>
        <v/>
      </c>
    </row>
    <row r="117" spans="1:10" x14ac:dyDescent="0.25">
      <c r="A117" s="1">
        <v>121</v>
      </c>
      <c r="B117" s="5" t="s">
        <v>54</v>
      </c>
      <c r="C117" s="5" t="s">
        <v>29</v>
      </c>
      <c r="D117" s="5" t="s">
        <v>32</v>
      </c>
      <c r="E117" s="5" t="s">
        <v>34</v>
      </c>
      <c r="F117" s="5" t="s">
        <v>38</v>
      </c>
      <c r="G117" s="4"/>
      <c r="H117" s="4"/>
      <c r="I117" s="2" t="str">
        <f ca="1">IF(ISNUMBER(A117),
IF(COUNTIFS(Equipar!B:B,1,Equipar!AC:AC,A117),"Equipada",
IF(
OR(COUNTIFS(Equipar!B:B,1,Equipar!C:C,A117)
 +COUNTIFS(Equipar!B:B,1,Equipar!D:D,A117)
+COUNTIFS(Equipar!B:B,1,Equipar!E:E,A117)
+COUNTIFS(Equipar!B:B,1,Equipar!F:F,A117)
&gt;0,COUNTIF('Set recomendado'!B:B,C117)=0),
"Bloqueada",
"Desechable")),""
)</f>
        <v>Desechable</v>
      </c>
      <c r="J117" t="str" cm="1">
        <f t="array" ref="J117">IF(ISNUMBER(A117),IFERROR(_xlfn._xlws.FILTER(Equipar!A:A,(Equipar!B:B=1)*(Equipar!AC:AC=A117)),""),"")</f>
        <v/>
      </c>
    </row>
    <row r="118" spans="1:10" x14ac:dyDescent="0.25">
      <c r="A118" s="1">
        <v>122</v>
      </c>
      <c r="B118" s="7" t="s">
        <v>53</v>
      </c>
      <c r="C118" s="7" t="s">
        <v>22</v>
      </c>
      <c r="D118" s="7" t="s">
        <v>37</v>
      </c>
      <c r="E118" s="7" t="s">
        <v>37</v>
      </c>
      <c r="F118" s="7" t="s">
        <v>36</v>
      </c>
      <c r="G118" s="7" t="s">
        <v>33</v>
      </c>
      <c r="I118" s="2" t="str">
        <f ca="1">IF(ISNUMBER(A118),
IF(COUNTIFS(Equipar!B:B,1,Equipar!AC:AC,A118),"Equipada",
IF(
OR(COUNTIFS(Equipar!B:B,1,Equipar!C:C,A118)
 +COUNTIFS(Equipar!B:B,1,Equipar!D:D,A118)
+COUNTIFS(Equipar!B:B,1,Equipar!E:E,A118)
+COUNTIFS(Equipar!B:B,1,Equipar!F:F,A118)
&gt;0,COUNTIF('Set recomendado'!B:B,C118)=0),
"Bloqueada",
"Desechable")),""
)</f>
        <v>Desechable</v>
      </c>
      <c r="J118" t="str" cm="1">
        <f t="array" ref="J118">IF(ISNUMBER(A118),IFERROR(_xlfn._xlws.FILTER(Equipar!A:A,(Equipar!B:B=1)*(Equipar!AC:AC=A118)),""),"")</f>
        <v/>
      </c>
    </row>
    <row r="119" spans="1:10" x14ac:dyDescent="0.25">
      <c r="A119" s="1">
        <v>123</v>
      </c>
      <c r="B119" s="7" t="s">
        <v>53</v>
      </c>
      <c r="C119" s="7" t="s">
        <v>56</v>
      </c>
      <c r="D119" s="7" t="s">
        <v>32</v>
      </c>
      <c r="E119" s="7" t="s">
        <v>42</v>
      </c>
      <c r="F119" s="7" t="s">
        <v>41</v>
      </c>
      <c r="G119" s="7" t="s">
        <v>37</v>
      </c>
      <c r="I119" s="2" t="str">
        <f ca="1">IF(ISNUMBER(A119),
IF(COUNTIFS(Equipar!B:B,1,Equipar!AC:AC,A119),"Equipada",
IF(
OR(COUNTIFS(Equipar!B:B,1,Equipar!C:C,A119)
 +COUNTIFS(Equipar!B:B,1,Equipar!D:D,A119)
+COUNTIFS(Equipar!B:B,1,Equipar!E:E,A119)
+COUNTIFS(Equipar!B:B,1,Equipar!F:F,A119)
&gt;0,COUNTIF('Set recomendado'!B:B,C119)=0),
"Bloqueada",
"Desechable")),""
)</f>
        <v>Desechable</v>
      </c>
      <c r="J119" t="str" cm="1">
        <f t="array" ref="J119">IF(ISNUMBER(A119),IFERROR(_xlfn._xlws.FILTER(Equipar!A:A,(Equipar!B:B=1)*(Equipar!AC:AC=A119)),""),"")</f>
        <v/>
      </c>
    </row>
    <row r="120" spans="1:10" x14ac:dyDescent="0.25">
      <c r="A120" s="1">
        <v>124</v>
      </c>
      <c r="B120" s="7" t="s">
        <v>53</v>
      </c>
      <c r="C120" s="7" t="s">
        <v>56</v>
      </c>
      <c r="D120" s="7" t="s">
        <v>32</v>
      </c>
      <c r="E120" s="7" t="s">
        <v>32</v>
      </c>
      <c r="F120" s="7" t="s">
        <v>38</v>
      </c>
      <c r="G120" s="7" t="s">
        <v>36</v>
      </c>
      <c r="I120" s="2" t="str">
        <f>IF(ISNUMBER(A120),
IF(COUNTIFS(Equipar!B:B,1,Equipar!AC:AC,A120),"Equipada",
IF(
OR(COUNTIFS(Equipar!B:B,1,Equipar!C:C,A120)
 +COUNTIFS(Equipar!B:B,1,Equipar!D:D,A120)
+COUNTIFS(Equipar!B:B,1,Equipar!E:E,A120)
+COUNTIFS(Equipar!B:B,1,Equipar!F:F,A120)
&gt;0,COUNTIF('Set recomendado'!B:B,C120)=0),
"Bloqueada",
"Desechable")),""
)</f>
        <v>Equipada</v>
      </c>
      <c r="J120" t="str" cm="1">
        <f t="array" ref="J120">IF(ISNUMBER(A120),IFERROR(_xlfn._xlws.FILTER(Equipar!A:A,(Equipar!B:B=1)*(Equipar!AC:AC=A120)),""),"")</f>
        <v>Iwaizumi</v>
      </c>
    </row>
    <row r="121" spans="1:10" x14ac:dyDescent="0.25">
      <c r="A121" s="1">
        <v>125</v>
      </c>
      <c r="B121" s="7" t="s">
        <v>53</v>
      </c>
      <c r="C121" s="7" t="s">
        <v>56</v>
      </c>
      <c r="D121" s="7" t="s">
        <v>32</v>
      </c>
      <c r="E121" s="7" t="s">
        <v>37</v>
      </c>
      <c r="F121" s="7" t="s">
        <v>33</v>
      </c>
      <c r="G121" s="7" t="s">
        <v>41</v>
      </c>
      <c r="I121" s="2" t="str">
        <f ca="1">IF(ISNUMBER(A121),
IF(COUNTIFS(Equipar!B:B,1,Equipar!AC:AC,A121),"Equipada",
IF(
OR(COUNTIFS(Equipar!B:B,1,Equipar!C:C,A121)
 +COUNTIFS(Equipar!B:B,1,Equipar!D:D,A121)
+COUNTIFS(Equipar!B:B,1,Equipar!E:E,A121)
+COUNTIFS(Equipar!B:B,1,Equipar!F:F,A121)
&gt;0,COUNTIF('Set recomendado'!B:B,C121)=0),
"Bloqueada",
"Desechable")),""
)</f>
        <v>Desechable</v>
      </c>
      <c r="J121" t="str" cm="1">
        <f t="array" ref="J121">IF(ISNUMBER(A121),IFERROR(_xlfn._xlws.FILTER(Equipar!A:A,(Equipar!B:B=1)*(Equipar!AC:AC=A121)),""),"")</f>
        <v/>
      </c>
    </row>
    <row r="122" spans="1:10" x14ac:dyDescent="0.25">
      <c r="A122" s="1">
        <v>126</v>
      </c>
      <c r="B122" s="7" t="s">
        <v>53</v>
      </c>
      <c r="C122" s="7" t="s">
        <v>21</v>
      </c>
      <c r="D122" s="7" t="s">
        <v>37</v>
      </c>
      <c r="E122" s="7" t="s">
        <v>32</v>
      </c>
      <c r="F122" s="7" t="s">
        <v>37</v>
      </c>
      <c r="G122" s="7" t="s">
        <v>38</v>
      </c>
      <c r="I122" s="2" t="str">
        <f ca="1">IF(ISNUMBER(A122),
IF(COUNTIFS(Equipar!B:B,1,Equipar!AC:AC,A122),"Equipada",
IF(
OR(COUNTIFS(Equipar!B:B,1,Equipar!C:C,A122)
 +COUNTIFS(Equipar!B:B,1,Equipar!D:D,A122)
+COUNTIFS(Equipar!B:B,1,Equipar!E:E,A122)
+COUNTIFS(Equipar!B:B,1,Equipar!F:F,A122)
&gt;0,COUNTIF('Set recomendado'!B:B,C122)=0),
"Bloqueada",
"Desechable")),""
)</f>
        <v>Desechable</v>
      </c>
      <c r="J122" t="str" cm="1">
        <f t="array" ref="J122">IF(ISNUMBER(A122),IFERROR(_xlfn._xlws.FILTER(Equipar!A:A,(Equipar!B:B=1)*(Equipar!AC:AC=A122)),""),"")</f>
        <v/>
      </c>
    </row>
    <row r="123" spans="1:10" x14ac:dyDescent="0.25">
      <c r="A123" s="1">
        <v>127</v>
      </c>
      <c r="B123" s="7" t="s">
        <v>53</v>
      </c>
      <c r="C123" s="7" t="s">
        <v>21</v>
      </c>
      <c r="D123" s="7" t="s">
        <v>37</v>
      </c>
      <c r="E123" s="7" t="s">
        <v>43</v>
      </c>
      <c r="F123" s="7" t="s">
        <v>38</v>
      </c>
      <c r="G123" s="7" t="s">
        <v>37</v>
      </c>
      <c r="I123" s="2" t="str">
        <f ca="1">IF(ISNUMBER(A123),
IF(COUNTIFS(Equipar!B:B,1,Equipar!AC:AC,A123),"Equipada",
IF(
OR(COUNTIFS(Equipar!B:B,1,Equipar!C:C,A123)
 +COUNTIFS(Equipar!B:B,1,Equipar!D:D,A123)
+COUNTIFS(Equipar!B:B,1,Equipar!E:E,A123)
+COUNTIFS(Equipar!B:B,1,Equipar!F:F,A123)
&gt;0,COUNTIF('Set recomendado'!B:B,C123)=0),
"Bloqueada",
"Desechable")),""
)</f>
        <v>Desechable</v>
      </c>
      <c r="J123" t="str" cm="1">
        <f t="array" ref="J123">IF(ISNUMBER(A123),IFERROR(_xlfn._xlws.FILTER(Equipar!A:A,(Equipar!B:B=1)*(Equipar!AC:AC=A123)),""),"")</f>
        <v/>
      </c>
    </row>
    <row r="124" spans="1:10" x14ac:dyDescent="0.25">
      <c r="A124" s="1">
        <v>128</v>
      </c>
      <c r="B124" s="7" t="s">
        <v>54</v>
      </c>
      <c r="C124" s="7" t="s">
        <v>10</v>
      </c>
      <c r="D124" s="7" t="s">
        <v>41</v>
      </c>
      <c r="E124" s="7" t="s">
        <v>43</v>
      </c>
      <c r="F124" s="7" t="s">
        <v>38</v>
      </c>
      <c r="I124" s="2" t="str">
        <f ca="1">IF(ISNUMBER(A124),
IF(COUNTIFS(Equipar!B:B,1,Equipar!AC:AC,A124),"Equipada",
IF(
OR(COUNTIFS(Equipar!B:B,1,Equipar!C:C,A124)
 +COUNTIFS(Equipar!B:B,1,Equipar!D:D,A124)
+COUNTIFS(Equipar!B:B,1,Equipar!E:E,A124)
+COUNTIFS(Equipar!B:B,1,Equipar!F:F,A124)
&gt;0,COUNTIF('Set recomendado'!B:B,C124)=0),
"Bloqueada",
"Desechable")),""
)</f>
        <v>Desechable</v>
      </c>
      <c r="J124" t="str" cm="1">
        <f t="array" ref="J124">IF(ISNUMBER(A124),IFERROR(_xlfn._xlws.FILTER(Equipar!A:A,(Equipar!B:B=1)*(Equipar!AC:AC=A124)),""),"")</f>
        <v/>
      </c>
    </row>
    <row r="125" spans="1:10" x14ac:dyDescent="0.25">
      <c r="A125" s="1">
        <v>129</v>
      </c>
      <c r="B125" s="7" t="s">
        <v>54</v>
      </c>
      <c r="C125" s="7" t="s">
        <v>5</v>
      </c>
      <c r="D125" s="7" t="s">
        <v>32</v>
      </c>
      <c r="E125" s="7" t="s">
        <v>43</v>
      </c>
      <c r="F125" s="7" t="s">
        <v>38</v>
      </c>
      <c r="G125" s="7" t="s">
        <v>35</v>
      </c>
      <c r="I125" s="2" t="str">
        <f ca="1">IF(ISNUMBER(A125),
IF(COUNTIFS(Equipar!B:B,1,Equipar!AC:AC,A125),"Equipada",
IF(
OR(COUNTIFS(Equipar!B:B,1,Equipar!C:C,A125)
 +COUNTIFS(Equipar!B:B,1,Equipar!D:D,A125)
+COUNTIFS(Equipar!B:B,1,Equipar!E:E,A125)
+COUNTIFS(Equipar!B:B,1,Equipar!F:F,A125)
&gt;0,COUNTIF('Set recomendado'!B:B,C125)=0),
"Bloqueada",
"Desechable")),""
)</f>
        <v>Desechable</v>
      </c>
      <c r="J125" t="str" cm="1">
        <f t="array" ref="J125">IF(ISNUMBER(A125),IFERROR(_xlfn._xlws.FILTER(Equipar!A:A,(Equipar!B:B=1)*(Equipar!AC:AC=A125)),""),"")</f>
        <v/>
      </c>
    </row>
    <row r="126" spans="1:10" x14ac:dyDescent="0.25">
      <c r="A126" s="1">
        <v>130</v>
      </c>
      <c r="B126" s="7" t="s">
        <v>54</v>
      </c>
      <c r="C126" s="7" t="s">
        <v>5</v>
      </c>
      <c r="D126" s="7" t="s">
        <v>32</v>
      </c>
      <c r="E126" s="7" t="s">
        <v>38</v>
      </c>
      <c r="F126" s="7" t="s">
        <v>37</v>
      </c>
      <c r="G126" s="7" t="s">
        <v>35</v>
      </c>
      <c r="I126" s="2" t="str">
        <f ca="1">IF(ISNUMBER(A126),
IF(COUNTIFS(Equipar!B:B,1,Equipar!AC:AC,A126),"Equipada",
IF(
OR(COUNTIFS(Equipar!B:B,1,Equipar!C:C,A126)
 +COUNTIFS(Equipar!B:B,1,Equipar!D:D,A126)
+COUNTIFS(Equipar!B:B,1,Equipar!E:E,A126)
+COUNTIFS(Equipar!B:B,1,Equipar!F:F,A126)
&gt;0,COUNTIF('Set recomendado'!B:B,C126)=0),
"Bloqueada",
"Desechable")),""
)</f>
        <v>Desechable</v>
      </c>
      <c r="J126" t="str" cm="1">
        <f t="array" ref="J126">IF(ISNUMBER(A126),IFERROR(_xlfn._xlws.FILTER(Equipar!A:A,(Equipar!B:B=1)*(Equipar!AC:AC=A126)),""),"")</f>
        <v/>
      </c>
    </row>
    <row r="127" spans="1:10" x14ac:dyDescent="0.25">
      <c r="A127" s="1">
        <v>131</v>
      </c>
      <c r="B127" s="7" t="s">
        <v>54</v>
      </c>
      <c r="C127" s="7" t="s">
        <v>17</v>
      </c>
      <c r="D127" s="7" t="s">
        <v>41</v>
      </c>
      <c r="E127" s="7" t="s">
        <v>36</v>
      </c>
      <c r="F127" s="5"/>
      <c r="G127" s="5"/>
      <c r="I127" s="2" t="str">
        <f ca="1">IF(ISNUMBER(A127),
IF(COUNTIFS(Equipar!B:B,1,Equipar!AC:AC,A127),"Equipada",
IF(
OR(COUNTIFS(Equipar!B:B,1,Equipar!C:C,A127)
 +COUNTIFS(Equipar!B:B,1,Equipar!D:D,A127)
+COUNTIFS(Equipar!B:B,1,Equipar!E:E,A127)
+COUNTIFS(Equipar!B:B,1,Equipar!F:F,A127)
&gt;0,COUNTIF('Set recomendado'!B:B,C127)=0),
"Bloqueada",
"Desechable")),""
)</f>
        <v>Desechable</v>
      </c>
      <c r="J127" t="str" cm="1">
        <f t="array" ref="J127">IF(ISNUMBER(A127),IFERROR(_xlfn._xlws.FILTER(Equipar!A:A,(Equipar!B:B=1)*(Equipar!AC:AC=A127)),""),"")</f>
        <v/>
      </c>
    </row>
    <row r="128" spans="1:10" x14ac:dyDescent="0.25">
      <c r="A128" s="1">
        <v>132</v>
      </c>
      <c r="B128" s="7" t="s">
        <v>54</v>
      </c>
      <c r="C128" s="7" t="s">
        <v>57</v>
      </c>
      <c r="D128" s="7" t="s">
        <v>42</v>
      </c>
      <c r="E128" s="7" t="s">
        <v>43</v>
      </c>
      <c r="F128" s="7" t="s">
        <v>42</v>
      </c>
      <c r="I128" s="2" t="str">
        <f ca="1">IF(ISNUMBER(A128),
IF(COUNTIFS(Equipar!B:B,1,Equipar!AC:AC,A128),"Equipada",
IF(
OR(COUNTIFS(Equipar!B:B,1,Equipar!C:C,A128)
 +COUNTIFS(Equipar!B:B,1,Equipar!D:D,A128)
+COUNTIFS(Equipar!B:B,1,Equipar!E:E,A128)
+COUNTIFS(Equipar!B:B,1,Equipar!F:F,A128)
&gt;0,COUNTIF('Set recomendado'!B:B,C128)=0),
"Bloqueada",
"Desechable")),""
)</f>
        <v>Bloqueada</v>
      </c>
      <c r="J128" t="str" cm="1">
        <f t="array" ref="J128">IF(ISNUMBER(A128),IFERROR(_xlfn._xlws.FILTER(Equipar!A:A,(Equipar!B:B=1)*(Equipar!AC:AC=A128)),""),"")</f>
        <v/>
      </c>
    </row>
    <row r="129" spans="1:10" x14ac:dyDescent="0.25">
      <c r="A129" s="1">
        <v>133</v>
      </c>
      <c r="B129" s="7" t="s">
        <v>54</v>
      </c>
      <c r="C129" s="7" t="s">
        <v>57</v>
      </c>
      <c r="D129" s="7" t="s">
        <v>42</v>
      </c>
      <c r="E129" s="7" t="s">
        <v>38</v>
      </c>
      <c r="F129" s="7" t="s">
        <v>35</v>
      </c>
      <c r="I129" s="2" t="str">
        <f ca="1">IF(ISNUMBER(A129),
IF(COUNTIFS(Equipar!B:B,1,Equipar!AC:AC,A129),"Equipada",
IF(
OR(COUNTIFS(Equipar!B:B,1,Equipar!C:C,A129)
 +COUNTIFS(Equipar!B:B,1,Equipar!D:D,A129)
+COUNTIFS(Equipar!B:B,1,Equipar!E:E,A129)
+COUNTIFS(Equipar!B:B,1,Equipar!F:F,A129)
&gt;0,COUNTIF('Set recomendado'!B:B,C129)=0),
"Bloqueada",
"Desechable")),""
)</f>
        <v>Bloqueada</v>
      </c>
      <c r="J129" t="str" cm="1">
        <f t="array" ref="J129">IF(ISNUMBER(A129),IFERROR(_xlfn._xlws.FILTER(Equipar!A:A,(Equipar!B:B=1)*(Equipar!AC:AC=A129)),""),"")</f>
        <v/>
      </c>
    </row>
    <row r="130" spans="1:10" x14ac:dyDescent="0.25">
      <c r="A130" s="1">
        <v>134</v>
      </c>
      <c r="B130" s="7" t="s">
        <v>54</v>
      </c>
      <c r="C130" s="7" t="s">
        <v>57</v>
      </c>
      <c r="D130" s="7" t="s">
        <v>42</v>
      </c>
      <c r="E130" s="7" t="s">
        <v>32</v>
      </c>
      <c r="F130" s="7" t="s">
        <v>43</v>
      </c>
      <c r="G130" s="7" t="s">
        <v>37</v>
      </c>
      <c r="I130" s="2" t="str">
        <f ca="1">IF(ISNUMBER(A130),
IF(COUNTIFS(Equipar!B:B,1,Equipar!AC:AC,A130),"Equipada",
IF(
OR(COUNTIFS(Equipar!B:B,1,Equipar!C:C,A130)
 +COUNTIFS(Equipar!B:B,1,Equipar!D:D,A130)
+COUNTIFS(Equipar!B:B,1,Equipar!E:E,A130)
+COUNTIFS(Equipar!B:B,1,Equipar!F:F,A130)
&gt;0,COUNTIF('Set recomendado'!B:B,C130)=0),
"Bloqueada",
"Desechable")),""
)</f>
        <v>Bloqueada</v>
      </c>
      <c r="J130" t="str" cm="1">
        <f t="array" ref="J130">IF(ISNUMBER(A130),IFERROR(_xlfn._xlws.FILTER(Equipar!A:A,(Equipar!B:B=1)*(Equipar!AC:AC=A130)),""),"")</f>
        <v/>
      </c>
    </row>
    <row r="131" spans="1:10" x14ac:dyDescent="0.25">
      <c r="A131" s="1">
        <v>135</v>
      </c>
      <c r="B131" s="7" t="s">
        <v>54</v>
      </c>
      <c r="C131" s="7" t="s">
        <v>57</v>
      </c>
      <c r="D131" s="7" t="s">
        <v>42</v>
      </c>
      <c r="E131" s="7" t="s">
        <v>37</v>
      </c>
      <c r="F131" s="7" t="s">
        <v>32</v>
      </c>
      <c r="G131" s="7" t="s">
        <v>41</v>
      </c>
      <c r="I131" s="2" t="str">
        <f ca="1">IF(ISNUMBER(A131),
IF(COUNTIFS(Equipar!B:B,1,Equipar!AC:AC,A131),"Equipada",
IF(
OR(COUNTIFS(Equipar!B:B,1,Equipar!C:C,A131)
 +COUNTIFS(Equipar!B:B,1,Equipar!D:D,A131)
+COUNTIFS(Equipar!B:B,1,Equipar!E:E,A131)
+COUNTIFS(Equipar!B:B,1,Equipar!F:F,A131)
&gt;0,COUNTIF('Set recomendado'!B:B,C131)=0),
"Bloqueada",
"Desechable")),""
)</f>
        <v>Bloqueada</v>
      </c>
      <c r="J131" t="str" cm="1">
        <f t="array" ref="J131">IF(ISNUMBER(A131),IFERROR(_xlfn._xlws.FILTER(Equipar!A:A,(Equipar!B:B=1)*(Equipar!AC:AC=A131)),""),"")</f>
        <v/>
      </c>
    </row>
    <row r="132" spans="1:10" x14ac:dyDescent="0.25">
      <c r="A132" s="1">
        <v>136</v>
      </c>
      <c r="B132" s="7" t="s">
        <v>54</v>
      </c>
      <c r="C132" s="7" t="s">
        <v>57</v>
      </c>
      <c r="D132" s="7" t="s">
        <v>42</v>
      </c>
      <c r="E132" s="7" t="s">
        <v>32</v>
      </c>
      <c r="F132" s="7" t="s">
        <v>36</v>
      </c>
      <c r="I132" s="2" t="str">
        <f ca="1">IF(ISNUMBER(A132),
IF(COUNTIFS(Equipar!B:B,1,Equipar!AC:AC,A132),"Equipada",
IF(
OR(COUNTIFS(Equipar!B:B,1,Equipar!C:C,A132)
 +COUNTIFS(Equipar!B:B,1,Equipar!D:D,A132)
+COUNTIFS(Equipar!B:B,1,Equipar!E:E,A132)
+COUNTIFS(Equipar!B:B,1,Equipar!F:F,A132)
&gt;0,COUNTIF('Set recomendado'!B:B,C132)=0),
"Bloqueada",
"Desechable")),""
)</f>
        <v>Bloqueada</v>
      </c>
      <c r="J132" t="str" cm="1">
        <f t="array" ref="J132">IF(ISNUMBER(A132),IFERROR(_xlfn._xlws.FILTER(Equipar!A:A,(Equipar!B:B=1)*(Equipar!AC:AC=A132)),""),"")</f>
        <v/>
      </c>
    </row>
    <row r="133" spans="1:10" x14ac:dyDescent="0.25">
      <c r="A133" s="1">
        <v>137</v>
      </c>
      <c r="B133" s="7" t="s">
        <v>54</v>
      </c>
      <c r="C133" s="7" t="s">
        <v>57</v>
      </c>
      <c r="D133" s="7" t="s">
        <v>42</v>
      </c>
      <c r="E133" s="7" t="s">
        <v>40</v>
      </c>
      <c r="F133" s="7" t="s">
        <v>32</v>
      </c>
      <c r="I133" s="2" t="str">
        <f ca="1">IF(ISNUMBER(A133),
IF(COUNTIFS(Equipar!B:B,1,Equipar!AC:AC,A133),"Equipada",
IF(
OR(COUNTIFS(Equipar!B:B,1,Equipar!C:C,A133)
 +COUNTIFS(Equipar!B:B,1,Equipar!D:D,A133)
+COUNTIFS(Equipar!B:B,1,Equipar!E:E,A133)
+COUNTIFS(Equipar!B:B,1,Equipar!F:F,A133)
&gt;0,COUNTIF('Set recomendado'!B:B,C133)=0),
"Bloqueada",
"Desechable")),""
)</f>
        <v>Bloqueada</v>
      </c>
      <c r="J133" t="str" cm="1">
        <f t="array" ref="J133">IF(ISNUMBER(A133),IFERROR(_xlfn._xlws.FILTER(Equipar!A:A,(Equipar!B:B=1)*(Equipar!AC:AC=A133)),""),"")</f>
        <v/>
      </c>
    </row>
    <row r="134" spans="1:10" x14ac:dyDescent="0.25">
      <c r="A134" s="1">
        <v>138</v>
      </c>
      <c r="B134" s="7" t="s">
        <v>54</v>
      </c>
      <c r="C134" s="7" t="s">
        <v>57</v>
      </c>
      <c r="D134" s="7" t="s">
        <v>42</v>
      </c>
      <c r="E134" s="7" t="s">
        <v>37</v>
      </c>
      <c r="F134" s="7" t="s">
        <v>41</v>
      </c>
      <c r="I134" s="2" t="str">
        <f ca="1">IF(ISNUMBER(A134),
IF(COUNTIFS(Equipar!B:B,1,Equipar!AC:AC,A134),"Equipada",
IF(
OR(COUNTIFS(Equipar!B:B,1,Equipar!C:C,A134)
 +COUNTIFS(Equipar!B:B,1,Equipar!D:D,A134)
+COUNTIFS(Equipar!B:B,1,Equipar!E:E,A134)
+COUNTIFS(Equipar!B:B,1,Equipar!F:F,A134)
&gt;0,COUNTIF('Set recomendado'!B:B,C134)=0),
"Bloqueada",
"Desechable")),""
)</f>
        <v>Bloqueada</v>
      </c>
      <c r="J134" t="str" cm="1">
        <f t="array" ref="J134">IF(ISNUMBER(A134),IFERROR(_xlfn._xlws.FILTER(Equipar!A:A,(Equipar!B:B=1)*(Equipar!AC:AC=A134)),""),"")</f>
        <v/>
      </c>
    </row>
    <row r="135" spans="1:10" x14ac:dyDescent="0.25">
      <c r="A135" s="1">
        <v>139</v>
      </c>
      <c r="B135" s="7" t="s">
        <v>54</v>
      </c>
      <c r="C135" s="7" t="s">
        <v>57</v>
      </c>
      <c r="D135" s="7" t="s">
        <v>42</v>
      </c>
      <c r="E135" s="7" t="s">
        <v>34</v>
      </c>
      <c r="F135" s="7" t="s">
        <v>37</v>
      </c>
      <c r="I135" s="2" t="str">
        <f ca="1">IF(ISNUMBER(A135),
IF(COUNTIFS(Equipar!B:B,1,Equipar!AC:AC,A135),"Equipada",
IF(
OR(COUNTIFS(Equipar!B:B,1,Equipar!C:C,A135)
 +COUNTIFS(Equipar!B:B,1,Equipar!D:D,A135)
+COUNTIFS(Equipar!B:B,1,Equipar!E:E,A135)
+COUNTIFS(Equipar!B:B,1,Equipar!F:F,A135)
&gt;0,COUNTIF('Set recomendado'!B:B,C135)=0),
"Bloqueada",
"Desechable")),""
)</f>
        <v>Bloqueada</v>
      </c>
      <c r="J135" t="str" cm="1">
        <f t="array" ref="J135">IF(ISNUMBER(A135),IFERROR(_xlfn._xlws.FILTER(Equipar!A:A,(Equipar!B:B=1)*(Equipar!AC:AC=A135)),""),"")</f>
        <v/>
      </c>
    </row>
    <row r="136" spans="1:10" x14ac:dyDescent="0.25">
      <c r="A136" s="1">
        <v>140</v>
      </c>
      <c r="B136" s="7" t="s">
        <v>54</v>
      </c>
      <c r="C136" s="7" t="s">
        <v>57</v>
      </c>
      <c r="D136" s="7" t="s">
        <v>42</v>
      </c>
      <c r="E136" s="7" t="s">
        <v>43</v>
      </c>
      <c r="F136" s="7" t="s">
        <v>37</v>
      </c>
      <c r="I136" s="2" t="str">
        <f ca="1">IF(ISNUMBER(A136),
IF(COUNTIFS(Equipar!B:B,1,Equipar!AC:AC,A136),"Equipada",
IF(
OR(COUNTIFS(Equipar!B:B,1,Equipar!C:C,A136)
 +COUNTIFS(Equipar!B:B,1,Equipar!D:D,A136)
+COUNTIFS(Equipar!B:B,1,Equipar!E:E,A136)
+COUNTIFS(Equipar!B:B,1,Equipar!F:F,A136)
&gt;0,COUNTIF('Set recomendado'!B:B,C136)=0),
"Bloqueada",
"Desechable")),""
)</f>
        <v>Bloqueada</v>
      </c>
      <c r="J136" t="str" cm="1">
        <f t="array" ref="J136">IF(ISNUMBER(A136),IFERROR(_xlfn._xlws.FILTER(Equipar!A:A,(Equipar!B:B=1)*(Equipar!AC:AC=A136)),""),"")</f>
        <v/>
      </c>
    </row>
    <row r="137" spans="1:10" x14ac:dyDescent="0.25">
      <c r="A137" s="1">
        <v>141</v>
      </c>
      <c r="B137" s="7" t="s">
        <v>54</v>
      </c>
      <c r="C137" s="7" t="s">
        <v>57</v>
      </c>
      <c r="D137" s="7" t="s">
        <v>42</v>
      </c>
      <c r="E137" s="7" t="s">
        <v>43</v>
      </c>
      <c r="F137" s="7" t="s">
        <v>36</v>
      </c>
      <c r="I137" s="2" t="str">
        <f ca="1">IF(ISNUMBER(A137),
IF(COUNTIFS(Equipar!B:B,1,Equipar!AC:AC,A137),"Equipada",
IF(
OR(COUNTIFS(Equipar!B:B,1,Equipar!C:C,A137)
 +COUNTIFS(Equipar!B:B,1,Equipar!D:D,A137)
+COUNTIFS(Equipar!B:B,1,Equipar!E:E,A137)
+COUNTIFS(Equipar!B:B,1,Equipar!F:F,A137)
&gt;0,COUNTIF('Set recomendado'!B:B,C137)=0),
"Bloqueada",
"Desechable")),""
)</f>
        <v>Bloqueada</v>
      </c>
      <c r="J137" t="str" cm="1">
        <f t="array" ref="J137">IF(ISNUMBER(A137),IFERROR(_xlfn._xlws.FILTER(Equipar!A:A,(Equipar!B:B=1)*(Equipar!AC:AC=A137)),""),"")</f>
        <v/>
      </c>
    </row>
    <row r="138" spans="1:10" x14ac:dyDescent="0.25">
      <c r="A138" s="1">
        <v>142</v>
      </c>
      <c r="B138" s="7" t="s">
        <v>54</v>
      </c>
      <c r="C138" s="7" t="s">
        <v>57</v>
      </c>
      <c r="D138" s="7" t="s">
        <v>42</v>
      </c>
      <c r="E138" s="7" t="s">
        <v>43</v>
      </c>
      <c r="F138" s="7" t="s">
        <v>39</v>
      </c>
      <c r="I138" s="2" t="str">
        <f ca="1">IF(ISNUMBER(A138),
IF(COUNTIFS(Equipar!B:B,1,Equipar!AC:AC,A138),"Equipada",
IF(
OR(COUNTIFS(Equipar!B:B,1,Equipar!C:C,A138)
 +COUNTIFS(Equipar!B:B,1,Equipar!D:D,A138)
+COUNTIFS(Equipar!B:B,1,Equipar!E:E,A138)
+COUNTIFS(Equipar!B:B,1,Equipar!F:F,A138)
&gt;0,COUNTIF('Set recomendado'!B:B,C138)=0),
"Bloqueada",
"Desechable")),""
)</f>
        <v>Bloqueada</v>
      </c>
      <c r="J138" t="str" cm="1">
        <f t="array" ref="J138">IF(ISNUMBER(A138),IFERROR(_xlfn._xlws.FILTER(Equipar!A:A,(Equipar!B:B=1)*(Equipar!AC:AC=A138)),""),"")</f>
        <v/>
      </c>
    </row>
    <row r="139" spans="1:10" x14ac:dyDescent="0.25">
      <c r="A139" s="1">
        <v>143</v>
      </c>
      <c r="B139" s="7" t="s">
        <v>54</v>
      </c>
      <c r="C139" s="7" t="s">
        <v>57</v>
      </c>
      <c r="D139" s="7" t="s">
        <v>42</v>
      </c>
      <c r="E139" s="7" t="s">
        <v>34</v>
      </c>
      <c r="F139" s="7" t="s">
        <v>37</v>
      </c>
      <c r="I139" s="2" t="str">
        <f ca="1">IF(ISNUMBER(A139),
IF(COUNTIFS(Equipar!B:B,1,Equipar!AC:AC,A139),"Equipada",
IF(
OR(COUNTIFS(Equipar!B:B,1,Equipar!C:C,A139)
 +COUNTIFS(Equipar!B:B,1,Equipar!D:D,A139)
+COUNTIFS(Equipar!B:B,1,Equipar!E:E,A139)
+COUNTIFS(Equipar!B:B,1,Equipar!F:F,A139)
&gt;0,COUNTIF('Set recomendado'!B:B,C139)=0),
"Bloqueada",
"Desechable")),""
)</f>
        <v>Bloqueada</v>
      </c>
      <c r="J139" t="str" cm="1">
        <f t="array" ref="J139">IF(ISNUMBER(A139),IFERROR(_xlfn._xlws.FILTER(Equipar!A:A,(Equipar!B:B=1)*(Equipar!AC:AC=A139)),""),"")</f>
        <v/>
      </c>
    </row>
    <row r="140" spans="1:10" x14ac:dyDescent="0.25">
      <c r="A140" s="1">
        <v>144</v>
      </c>
      <c r="B140" s="7" t="s">
        <v>54</v>
      </c>
      <c r="C140" s="7" t="s">
        <v>55</v>
      </c>
      <c r="D140" s="7" t="s">
        <v>41</v>
      </c>
      <c r="E140" s="7" t="s">
        <v>37</v>
      </c>
      <c r="F140" s="7" t="s">
        <v>42</v>
      </c>
      <c r="I140" s="2" t="str">
        <f ca="1">IF(ISNUMBER(A140),
IF(COUNTIFS(Equipar!B:B,1,Equipar!AC:AC,A140),"Equipada",
IF(
OR(COUNTIFS(Equipar!B:B,1,Equipar!C:C,A140)
 +COUNTIFS(Equipar!B:B,1,Equipar!D:D,A140)
+COUNTIFS(Equipar!B:B,1,Equipar!E:E,A140)
+COUNTIFS(Equipar!B:B,1,Equipar!F:F,A140)
&gt;0,COUNTIF('Set recomendado'!B:B,C140)=0),
"Bloqueada",
"Desechable")),""
)</f>
        <v>Desechable</v>
      </c>
      <c r="J140" t="str" cm="1">
        <f t="array" ref="J140">IF(ISNUMBER(A140),IFERROR(_xlfn._xlws.FILTER(Equipar!A:A,(Equipar!B:B=1)*(Equipar!AC:AC=A140)),""),"")</f>
        <v/>
      </c>
    </row>
    <row r="141" spans="1:10" x14ac:dyDescent="0.25">
      <c r="A141" s="1">
        <v>145</v>
      </c>
      <c r="B141" s="7" t="s">
        <v>54</v>
      </c>
      <c r="C141" s="7" t="s">
        <v>55</v>
      </c>
      <c r="D141" s="7" t="s">
        <v>41</v>
      </c>
      <c r="E141" s="7" t="s">
        <v>43</v>
      </c>
      <c r="F141" s="7" t="s">
        <v>42</v>
      </c>
      <c r="I141" s="2" t="str">
        <f ca="1">IF(ISNUMBER(A141),
IF(COUNTIFS(Equipar!B:B,1,Equipar!AC:AC,A141),"Equipada",
IF(
OR(COUNTIFS(Equipar!B:B,1,Equipar!C:C,A141)
 +COUNTIFS(Equipar!B:B,1,Equipar!D:D,A141)
+COUNTIFS(Equipar!B:B,1,Equipar!E:E,A141)
+COUNTIFS(Equipar!B:B,1,Equipar!F:F,A141)
&gt;0,COUNTIF('Set recomendado'!B:B,C141)=0),
"Bloqueada",
"Desechable")),""
)</f>
        <v>Desechable</v>
      </c>
      <c r="J141" t="str" cm="1">
        <f t="array" ref="J141">IF(ISNUMBER(A141),IFERROR(_xlfn._xlws.FILTER(Equipar!A:A,(Equipar!B:B=1)*(Equipar!AC:AC=A141)),""),"")</f>
        <v/>
      </c>
    </row>
    <row r="142" spans="1:10" x14ac:dyDescent="0.25">
      <c r="A142" s="1">
        <v>146</v>
      </c>
      <c r="B142" s="7" t="s">
        <v>54</v>
      </c>
      <c r="C142" s="7" t="s">
        <v>55</v>
      </c>
      <c r="D142" s="7" t="s">
        <v>41</v>
      </c>
      <c r="E142" s="7" t="s">
        <v>33</v>
      </c>
      <c r="F142" s="7" t="s">
        <v>34</v>
      </c>
      <c r="G142" s="7" t="s">
        <v>36</v>
      </c>
      <c r="I142" s="2" t="str">
        <f ca="1">IF(ISNUMBER(A142),
IF(COUNTIFS(Equipar!B:B,1,Equipar!AC:AC,A142),"Equipada",
IF(
OR(COUNTIFS(Equipar!B:B,1,Equipar!C:C,A142)
 +COUNTIFS(Equipar!B:B,1,Equipar!D:D,A142)
+COUNTIFS(Equipar!B:B,1,Equipar!E:E,A142)
+COUNTIFS(Equipar!B:B,1,Equipar!F:F,A142)
&gt;0,COUNTIF('Set recomendado'!B:B,C142)=0),
"Bloqueada",
"Desechable")),""
)</f>
        <v>Bloqueada</v>
      </c>
      <c r="J142" t="str" cm="1">
        <f t="array" ref="J142">IF(ISNUMBER(A142),IFERROR(_xlfn._xlws.FILTER(Equipar!A:A,(Equipar!B:B=1)*(Equipar!AC:AC=A142)),""),"")</f>
        <v/>
      </c>
    </row>
    <row r="143" spans="1:10" x14ac:dyDescent="0.25">
      <c r="A143" s="1">
        <v>147</v>
      </c>
      <c r="B143" s="7" t="s">
        <v>54</v>
      </c>
      <c r="C143" s="7" t="s">
        <v>55</v>
      </c>
      <c r="D143" s="7" t="s">
        <v>41</v>
      </c>
      <c r="E143" s="7" t="s">
        <v>34</v>
      </c>
      <c r="F143" s="7" t="s">
        <v>38</v>
      </c>
      <c r="I143" s="2" t="str">
        <f ca="1">IF(ISNUMBER(A143),
IF(COUNTIFS(Equipar!B:B,1,Equipar!AC:AC,A143),"Equipada",
IF(
OR(COUNTIFS(Equipar!B:B,1,Equipar!C:C,A143)
 +COUNTIFS(Equipar!B:B,1,Equipar!D:D,A143)
+COUNTIFS(Equipar!B:B,1,Equipar!E:E,A143)
+COUNTIFS(Equipar!B:B,1,Equipar!F:F,A143)
&gt;0,COUNTIF('Set recomendado'!B:B,C143)=0),
"Bloqueada",
"Desechable")),""
)</f>
        <v>Desechable</v>
      </c>
      <c r="J143" t="str" cm="1">
        <f t="array" ref="J143">IF(ISNUMBER(A143),IFERROR(_xlfn._xlws.FILTER(Equipar!A:A,(Equipar!B:B=1)*(Equipar!AC:AC=A143)),""),"")</f>
        <v/>
      </c>
    </row>
    <row r="144" spans="1:10" x14ac:dyDescent="0.25">
      <c r="A144" s="1">
        <v>148</v>
      </c>
      <c r="B144" s="7" t="s">
        <v>54</v>
      </c>
      <c r="C144" s="7" t="s">
        <v>55</v>
      </c>
      <c r="D144" s="7" t="s">
        <v>41</v>
      </c>
      <c r="E144" s="7" t="s">
        <v>37</v>
      </c>
      <c r="F144" s="7" t="s">
        <v>34</v>
      </c>
      <c r="I144" s="2" t="str">
        <f ca="1">IF(ISNUMBER(A144),
IF(COUNTIFS(Equipar!B:B,1,Equipar!AC:AC,A144),"Equipada",
IF(
OR(COUNTIFS(Equipar!B:B,1,Equipar!C:C,A144)
 +COUNTIFS(Equipar!B:B,1,Equipar!D:D,A144)
+COUNTIFS(Equipar!B:B,1,Equipar!E:E,A144)
+COUNTIFS(Equipar!B:B,1,Equipar!F:F,A144)
&gt;0,COUNTIF('Set recomendado'!B:B,C144)=0),
"Bloqueada",
"Desechable")),""
)</f>
        <v>Desechable</v>
      </c>
      <c r="J144" t="str" cm="1">
        <f t="array" ref="J144">IF(ISNUMBER(A144),IFERROR(_xlfn._xlws.FILTER(Equipar!A:A,(Equipar!B:B=1)*(Equipar!AC:AC=A144)),""),"")</f>
        <v/>
      </c>
    </row>
    <row r="145" spans="1:10" x14ac:dyDescent="0.25">
      <c r="A145" s="1">
        <v>149</v>
      </c>
      <c r="B145" s="7" t="s">
        <v>54</v>
      </c>
      <c r="C145" s="7" t="s">
        <v>55</v>
      </c>
      <c r="D145" s="7" t="s">
        <v>41</v>
      </c>
      <c r="E145" s="7" t="s">
        <v>40</v>
      </c>
      <c r="F145" s="7" t="s">
        <v>34</v>
      </c>
      <c r="G145" s="7" t="s">
        <v>37</v>
      </c>
      <c r="I145" s="2" t="str">
        <f ca="1">IF(ISNUMBER(A145),
IF(COUNTIFS(Equipar!B:B,1,Equipar!AC:AC,A145),"Equipada",
IF(
OR(COUNTIFS(Equipar!B:B,1,Equipar!C:C,A145)
 +COUNTIFS(Equipar!B:B,1,Equipar!D:D,A145)
+COUNTIFS(Equipar!B:B,1,Equipar!E:E,A145)
+COUNTIFS(Equipar!B:B,1,Equipar!F:F,A145)
&gt;0,COUNTIF('Set recomendado'!B:B,C145)=0),
"Bloqueada",
"Desechable")),""
)</f>
        <v>Desechable</v>
      </c>
      <c r="J145" t="str" cm="1">
        <f t="array" ref="J145">IF(ISNUMBER(A145),IFERROR(_xlfn._xlws.FILTER(Equipar!A:A,(Equipar!B:B=1)*(Equipar!AC:AC=A145)),""),"")</f>
        <v/>
      </c>
    </row>
    <row r="146" spans="1:10" x14ac:dyDescent="0.25">
      <c r="A146" s="1">
        <v>150</v>
      </c>
      <c r="B146" s="7" t="s">
        <v>54</v>
      </c>
      <c r="C146" s="7" t="s">
        <v>55</v>
      </c>
      <c r="D146" s="7" t="s">
        <v>41</v>
      </c>
      <c r="E146" s="7" t="s">
        <v>36</v>
      </c>
      <c r="F146" s="7" t="s">
        <v>36</v>
      </c>
      <c r="I146" s="2" t="str">
        <f ca="1">IF(ISNUMBER(A146),
IF(COUNTIFS(Equipar!B:B,1,Equipar!AC:AC,A146),"Equipada",
IF(
OR(COUNTIFS(Equipar!B:B,1,Equipar!C:C,A146)
 +COUNTIFS(Equipar!B:B,1,Equipar!D:D,A146)
+COUNTIFS(Equipar!B:B,1,Equipar!E:E,A146)
+COUNTIFS(Equipar!B:B,1,Equipar!F:F,A146)
&gt;0,COUNTIF('Set recomendado'!B:B,C146)=0),
"Bloqueada",
"Desechable")),""
)</f>
        <v>Desechable</v>
      </c>
      <c r="J146" t="str" cm="1">
        <f t="array" ref="J146">IF(ISNUMBER(A146),IFERROR(_xlfn._xlws.FILTER(Equipar!A:A,(Equipar!B:B=1)*(Equipar!AC:AC=A146)),""),"")</f>
        <v/>
      </c>
    </row>
    <row r="147" spans="1:10" x14ac:dyDescent="0.25">
      <c r="A147" s="1">
        <v>151</v>
      </c>
      <c r="B147" s="7" t="s">
        <v>54</v>
      </c>
      <c r="C147" s="7" t="s">
        <v>55</v>
      </c>
      <c r="D147" s="7" t="s">
        <v>41</v>
      </c>
      <c r="E147" s="7" t="s">
        <v>34</v>
      </c>
      <c r="F147" s="7" t="s">
        <v>36</v>
      </c>
      <c r="I147" s="2" t="str">
        <f ca="1">IF(ISNUMBER(A147),
IF(COUNTIFS(Equipar!B:B,1,Equipar!AC:AC,A147),"Equipada",
IF(
OR(COUNTIFS(Equipar!B:B,1,Equipar!C:C,A147)
 +COUNTIFS(Equipar!B:B,1,Equipar!D:D,A147)
+COUNTIFS(Equipar!B:B,1,Equipar!E:E,A147)
+COUNTIFS(Equipar!B:B,1,Equipar!F:F,A147)
&gt;0,COUNTIF('Set recomendado'!B:B,C147)=0),
"Bloqueada",
"Desechable")),""
)</f>
        <v>Desechable</v>
      </c>
      <c r="J147" t="str" cm="1">
        <f t="array" ref="J147">IF(ISNUMBER(A147),IFERROR(_xlfn._xlws.FILTER(Equipar!A:A,(Equipar!B:B=1)*(Equipar!AC:AC=A147)),""),"")</f>
        <v/>
      </c>
    </row>
    <row r="148" spans="1:10" x14ac:dyDescent="0.25">
      <c r="A148" s="1">
        <v>152</v>
      </c>
      <c r="B148" s="7" t="s">
        <v>54</v>
      </c>
      <c r="C148" s="7" t="s">
        <v>55</v>
      </c>
      <c r="D148" s="7" t="s">
        <v>41</v>
      </c>
      <c r="E148" s="7" t="s">
        <v>43</v>
      </c>
      <c r="F148" s="7" t="s">
        <v>41</v>
      </c>
      <c r="G148" s="7" t="s">
        <v>44</v>
      </c>
      <c r="I148" s="2" t="str">
        <f ca="1">IF(ISNUMBER(A148),
IF(COUNTIFS(Equipar!B:B,1,Equipar!AC:AC,A148),"Equipada",
IF(
OR(COUNTIFS(Equipar!B:B,1,Equipar!C:C,A148)
 +COUNTIFS(Equipar!B:B,1,Equipar!D:D,A148)
+COUNTIFS(Equipar!B:B,1,Equipar!E:E,A148)
+COUNTIFS(Equipar!B:B,1,Equipar!F:F,A148)
&gt;0,COUNTIF('Set recomendado'!B:B,C148)=0),
"Bloqueada",
"Desechable")),""
)</f>
        <v>Desechable</v>
      </c>
      <c r="J148" t="str" cm="1">
        <f t="array" ref="J148">IF(ISNUMBER(A148),IFERROR(_xlfn._xlws.FILTER(Equipar!A:A,(Equipar!B:B=1)*(Equipar!AC:AC=A148)),""),"")</f>
        <v/>
      </c>
    </row>
    <row r="149" spans="1:10" x14ac:dyDescent="0.25">
      <c r="A149" s="1">
        <v>153</v>
      </c>
      <c r="B149" s="7" t="s">
        <v>54</v>
      </c>
      <c r="C149" s="7" t="s">
        <v>55</v>
      </c>
      <c r="D149" s="7" t="s">
        <v>41</v>
      </c>
      <c r="E149" s="7" t="s">
        <v>32</v>
      </c>
      <c r="F149" s="7" t="s">
        <v>36</v>
      </c>
      <c r="G149" s="7" t="s">
        <v>43</v>
      </c>
      <c r="I149" s="2" t="str">
        <f ca="1">IF(ISNUMBER(A149),
IF(COUNTIFS(Equipar!B:B,1,Equipar!AC:AC,A149),"Equipada",
IF(
OR(COUNTIFS(Equipar!B:B,1,Equipar!C:C,A149)
 +COUNTIFS(Equipar!B:B,1,Equipar!D:D,A149)
+COUNTIFS(Equipar!B:B,1,Equipar!E:E,A149)
+COUNTIFS(Equipar!B:B,1,Equipar!F:F,A149)
&gt;0,COUNTIF('Set recomendado'!B:B,C149)=0),
"Bloqueada",
"Desechable")),""
)</f>
        <v>Desechable</v>
      </c>
      <c r="J149" t="str" cm="1">
        <f t="array" ref="J149">IF(ISNUMBER(A149),IFERROR(_xlfn._xlws.FILTER(Equipar!A:A,(Equipar!B:B=1)*(Equipar!AC:AC=A149)),""),"")</f>
        <v/>
      </c>
    </row>
    <row r="150" spans="1:10" x14ac:dyDescent="0.25">
      <c r="A150" s="1">
        <v>154</v>
      </c>
      <c r="B150" s="7" t="s">
        <v>54</v>
      </c>
      <c r="C150" s="7" t="s">
        <v>55</v>
      </c>
      <c r="D150" s="7" t="s">
        <v>41</v>
      </c>
      <c r="E150" s="7" t="s">
        <v>32</v>
      </c>
      <c r="F150" s="7" t="s">
        <v>41</v>
      </c>
      <c r="I150" s="2" t="str">
        <f ca="1">IF(ISNUMBER(A150),
IF(COUNTIFS(Equipar!B:B,1,Equipar!AC:AC,A150),"Equipada",
IF(
OR(COUNTIFS(Equipar!B:B,1,Equipar!C:C,A150)
 +COUNTIFS(Equipar!B:B,1,Equipar!D:D,A150)
+COUNTIFS(Equipar!B:B,1,Equipar!E:E,A150)
+COUNTIFS(Equipar!B:B,1,Equipar!F:F,A150)
&gt;0,COUNTIF('Set recomendado'!B:B,C150)=0),
"Bloqueada",
"Desechable")),""
)</f>
        <v>Desechable</v>
      </c>
      <c r="J150" t="str" cm="1">
        <f t="array" ref="J150">IF(ISNUMBER(A150),IFERROR(_xlfn._xlws.FILTER(Equipar!A:A,(Equipar!B:B=1)*(Equipar!AC:AC=A150)),""),"")</f>
        <v/>
      </c>
    </row>
    <row r="151" spans="1:10" x14ac:dyDescent="0.25">
      <c r="A151" s="1">
        <v>155</v>
      </c>
      <c r="B151" s="7" t="s">
        <v>54</v>
      </c>
      <c r="C151" s="7" t="s">
        <v>55</v>
      </c>
      <c r="D151" s="7" t="s">
        <v>41</v>
      </c>
      <c r="E151" s="7" t="s">
        <v>36</v>
      </c>
      <c r="F151" s="7" t="s">
        <v>32</v>
      </c>
      <c r="I151" s="2" t="str">
        <f ca="1">IF(ISNUMBER(A151),
IF(COUNTIFS(Equipar!B:B,1,Equipar!AC:AC,A151),"Equipada",
IF(
OR(COUNTIFS(Equipar!B:B,1,Equipar!C:C,A151)
 +COUNTIFS(Equipar!B:B,1,Equipar!D:D,A151)
+COUNTIFS(Equipar!B:B,1,Equipar!E:E,A151)
+COUNTIFS(Equipar!B:B,1,Equipar!F:F,A151)
&gt;0,COUNTIF('Set recomendado'!B:B,C151)=0),
"Bloqueada",
"Desechable")),""
)</f>
        <v>Desechable</v>
      </c>
      <c r="J151" t="str" cm="1">
        <f t="array" ref="J151">IF(ISNUMBER(A151),IFERROR(_xlfn._xlws.FILTER(Equipar!A:A,(Equipar!B:B=1)*(Equipar!AC:AC=A151)),""),"")</f>
        <v/>
      </c>
    </row>
    <row r="152" spans="1:10" x14ac:dyDescent="0.25">
      <c r="A152" s="1">
        <v>156</v>
      </c>
      <c r="B152" s="7" t="s">
        <v>54</v>
      </c>
      <c r="C152" s="7" t="s">
        <v>55</v>
      </c>
      <c r="D152" s="7" t="s">
        <v>41</v>
      </c>
      <c r="E152" s="7" t="s">
        <v>37</v>
      </c>
      <c r="F152" s="7" t="s">
        <v>36</v>
      </c>
      <c r="G152" s="7" t="s">
        <v>37</v>
      </c>
      <c r="I152" s="2" t="str">
        <f ca="1">IF(ISNUMBER(A152),
IF(COUNTIFS(Equipar!B:B,1,Equipar!AC:AC,A152),"Equipada",
IF(
OR(COUNTIFS(Equipar!B:B,1,Equipar!C:C,A152)
 +COUNTIFS(Equipar!B:B,1,Equipar!D:D,A152)
+COUNTIFS(Equipar!B:B,1,Equipar!E:E,A152)
+COUNTIFS(Equipar!B:B,1,Equipar!F:F,A152)
&gt;0,COUNTIF('Set recomendado'!B:B,C152)=0),
"Bloqueada",
"Desechable")),""
)</f>
        <v>Desechable</v>
      </c>
      <c r="J152" t="str" cm="1">
        <f t="array" ref="J152">IF(ISNUMBER(A152),IFERROR(_xlfn._xlws.FILTER(Equipar!A:A,(Equipar!B:B=1)*(Equipar!AC:AC=A152)),""),"")</f>
        <v/>
      </c>
    </row>
    <row r="153" spans="1:10" x14ac:dyDescent="0.25">
      <c r="A153" s="1">
        <v>157</v>
      </c>
      <c r="B153" s="7" t="s">
        <v>54</v>
      </c>
      <c r="C153" s="7" t="s">
        <v>55</v>
      </c>
      <c r="D153" s="7" t="s">
        <v>41</v>
      </c>
      <c r="E153" s="7" t="s">
        <v>32</v>
      </c>
      <c r="F153" s="7" t="s">
        <v>42</v>
      </c>
      <c r="I153" s="2" t="str">
        <f ca="1">IF(ISNUMBER(A153),
IF(COUNTIFS(Equipar!B:B,1,Equipar!AC:AC,A153),"Equipada",
IF(
OR(COUNTIFS(Equipar!B:B,1,Equipar!C:C,A153)
 +COUNTIFS(Equipar!B:B,1,Equipar!D:D,A153)
+COUNTIFS(Equipar!B:B,1,Equipar!E:E,A153)
+COUNTIFS(Equipar!B:B,1,Equipar!F:F,A153)
&gt;0,COUNTIF('Set recomendado'!B:B,C153)=0),
"Bloqueada",
"Desechable")),""
)</f>
        <v>Desechable</v>
      </c>
      <c r="J153" t="str" cm="1">
        <f t="array" ref="J153">IF(ISNUMBER(A153),IFERROR(_xlfn._xlws.FILTER(Equipar!A:A,(Equipar!B:B=1)*(Equipar!AC:AC=A153)),""),"")</f>
        <v/>
      </c>
    </row>
    <row r="154" spans="1:10" x14ac:dyDescent="0.25">
      <c r="A154" s="1">
        <v>158</v>
      </c>
      <c r="B154" s="7" t="s">
        <v>54</v>
      </c>
      <c r="C154" s="7" t="s">
        <v>55</v>
      </c>
      <c r="D154" s="7" t="s">
        <v>41</v>
      </c>
      <c r="E154" s="7" t="s">
        <v>32</v>
      </c>
      <c r="F154" s="7" t="s">
        <v>39</v>
      </c>
      <c r="I154" s="2" t="str">
        <f ca="1">IF(ISNUMBER(A154),
IF(COUNTIFS(Equipar!B:B,1,Equipar!AC:AC,A154),"Equipada",
IF(
OR(COUNTIFS(Equipar!B:B,1,Equipar!C:C,A154)
 +COUNTIFS(Equipar!B:B,1,Equipar!D:D,A154)
+COUNTIFS(Equipar!B:B,1,Equipar!E:E,A154)
+COUNTIFS(Equipar!B:B,1,Equipar!F:F,A154)
&gt;0,COUNTIF('Set recomendado'!B:B,C154)=0),
"Bloqueada",
"Desechable")),""
)</f>
        <v>Desechable</v>
      </c>
      <c r="J154" t="str" cm="1">
        <f t="array" ref="J154">IF(ISNUMBER(A154),IFERROR(_xlfn._xlws.FILTER(Equipar!A:A,(Equipar!B:B=1)*(Equipar!AC:AC=A154)),""),"")</f>
        <v/>
      </c>
    </row>
    <row r="155" spans="1:10" x14ac:dyDescent="0.25">
      <c r="A155" s="1">
        <v>159</v>
      </c>
      <c r="B155" s="7" t="s">
        <v>54</v>
      </c>
      <c r="C155" s="7" t="s">
        <v>55</v>
      </c>
      <c r="D155" s="7" t="s">
        <v>41</v>
      </c>
      <c r="E155" s="7" t="s">
        <v>43</v>
      </c>
      <c r="F155" s="7" t="s">
        <v>38</v>
      </c>
      <c r="G155" s="7" t="s">
        <v>41</v>
      </c>
      <c r="I155" s="2" t="str">
        <f ca="1">IF(ISNUMBER(A155),
IF(COUNTIFS(Equipar!B:B,1,Equipar!AC:AC,A155),"Equipada",
IF(
OR(COUNTIFS(Equipar!B:B,1,Equipar!C:C,A155)
 +COUNTIFS(Equipar!B:B,1,Equipar!D:D,A155)
+COUNTIFS(Equipar!B:B,1,Equipar!E:E,A155)
+COUNTIFS(Equipar!B:B,1,Equipar!F:F,A155)
&gt;0,COUNTIF('Set recomendado'!B:B,C155)=0),
"Bloqueada",
"Desechable")),""
)</f>
        <v>Desechable</v>
      </c>
      <c r="J155" t="str" cm="1">
        <f t="array" ref="J155">IF(ISNUMBER(A155),IFERROR(_xlfn._xlws.FILTER(Equipar!A:A,(Equipar!B:B=1)*(Equipar!AC:AC=A155)),""),"")</f>
        <v/>
      </c>
    </row>
    <row r="156" spans="1:10" x14ac:dyDescent="0.25">
      <c r="A156" s="1">
        <v>160</v>
      </c>
      <c r="B156" s="7" t="s">
        <v>54</v>
      </c>
      <c r="C156" s="7" t="s">
        <v>55</v>
      </c>
      <c r="D156" s="7" t="s">
        <v>41</v>
      </c>
      <c r="E156" s="7" t="s">
        <v>43</v>
      </c>
      <c r="F156" s="7" t="s">
        <v>36</v>
      </c>
      <c r="I156" s="2" t="str">
        <f ca="1">IF(ISNUMBER(A156),
IF(COUNTIFS(Equipar!B:B,1,Equipar!AC:AC,A156),"Equipada",
IF(
OR(COUNTIFS(Equipar!B:B,1,Equipar!C:C,A156)
 +COUNTIFS(Equipar!B:B,1,Equipar!D:D,A156)
+COUNTIFS(Equipar!B:B,1,Equipar!E:E,A156)
+COUNTIFS(Equipar!B:B,1,Equipar!F:F,A156)
&gt;0,COUNTIF('Set recomendado'!B:B,C156)=0),
"Bloqueada",
"Desechable")),""
)</f>
        <v>Desechable</v>
      </c>
      <c r="J156" t="str" cm="1">
        <f t="array" ref="J156">IF(ISNUMBER(A156),IFERROR(_xlfn._xlws.FILTER(Equipar!A:A,(Equipar!B:B=1)*(Equipar!AC:AC=A156)),""),"")</f>
        <v/>
      </c>
    </row>
    <row r="157" spans="1:10" x14ac:dyDescent="0.25">
      <c r="A157" s="1">
        <v>161</v>
      </c>
      <c r="B157" s="7" t="s">
        <v>54</v>
      </c>
      <c r="C157" s="7" t="s">
        <v>21</v>
      </c>
      <c r="D157" s="7" t="s">
        <v>37</v>
      </c>
      <c r="E157" s="7" t="s">
        <v>41</v>
      </c>
      <c r="F157" s="7" t="s">
        <v>35</v>
      </c>
      <c r="I157" s="2" t="str">
        <f ca="1">IF(ISNUMBER(A157),
IF(COUNTIFS(Equipar!B:B,1,Equipar!AC:AC,A157),"Equipada",
IF(
OR(COUNTIFS(Equipar!B:B,1,Equipar!C:C,A157)
 +COUNTIFS(Equipar!B:B,1,Equipar!D:D,A157)
+COUNTIFS(Equipar!B:B,1,Equipar!E:E,A157)
+COUNTIFS(Equipar!B:B,1,Equipar!F:F,A157)
&gt;0,COUNTIF('Set recomendado'!B:B,C157)=0),
"Bloqueada",
"Desechable")),""
)</f>
        <v>Desechable</v>
      </c>
      <c r="J157" t="str" cm="1">
        <f t="array" ref="J157">IF(ISNUMBER(A157),IFERROR(_xlfn._xlws.FILTER(Equipar!A:A,(Equipar!B:B=1)*(Equipar!AC:AC=A157)),""),"")</f>
        <v/>
      </c>
    </row>
    <row r="158" spans="1:10" x14ac:dyDescent="0.25">
      <c r="A158" s="1">
        <v>162</v>
      </c>
      <c r="B158" s="7" t="s">
        <v>54</v>
      </c>
      <c r="C158" s="7" t="s">
        <v>21</v>
      </c>
      <c r="D158" s="7" t="s">
        <v>37</v>
      </c>
      <c r="E158" s="7" t="s">
        <v>36</v>
      </c>
      <c r="F158" s="7" t="s">
        <v>32</v>
      </c>
      <c r="I158" s="2" t="str">
        <f ca="1">IF(ISNUMBER(A158),
IF(COUNTIFS(Equipar!B:B,1,Equipar!AC:AC,A158),"Equipada",
IF(
OR(COUNTIFS(Equipar!B:B,1,Equipar!C:C,A158)
 +COUNTIFS(Equipar!B:B,1,Equipar!D:D,A158)
+COUNTIFS(Equipar!B:B,1,Equipar!E:E,A158)
+COUNTIFS(Equipar!B:B,1,Equipar!F:F,A158)
&gt;0,COUNTIF('Set recomendado'!B:B,C158)=0),
"Bloqueada",
"Desechable")),""
)</f>
        <v>Desechable</v>
      </c>
      <c r="J158" t="str" cm="1">
        <f t="array" ref="J158">IF(ISNUMBER(A158),IFERROR(_xlfn._xlws.FILTER(Equipar!A:A,(Equipar!B:B=1)*(Equipar!AC:AC=A158)),""),"")</f>
        <v/>
      </c>
    </row>
    <row r="159" spans="1:10" x14ac:dyDescent="0.25">
      <c r="A159" s="1">
        <v>163</v>
      </c>
      <c r="B159" s="7" t="s">
        <v>54</v>
      </c>
      <c r="C159" s="7" t="s">
        <v>21</v>
      </c>
      <c r="D159" s="7" t="s">
        <v>37</v>
      </c>
      <c r="E159" s="7" t="s">
        <v>38</v>
      </c>
      <c r="F159" s="7" t="s">
        <v>32</v>
      </c>
      <c r="I159" s="2" t="str">
        <f ca="1">IF(ISNUMBER(A159),
IF(COUNTIFS(Equipar!B:B,1,Equipar!AC:AC,A159),"Equipada",
IF(
OR(COUNTIFS(Equipar!B:B,1,Equipar!C:C,A159)
 +COUNTIFS(Equipar!B:B,1,Equipar!D:D,A159)
+COUNTIFS(Equipar!B:B,1,Equipar!E:E,A159)
+COUNTIFS(Equipar!B:B,1,Equipar!F:F,A159)
&gt;0,COUNTIF('Set recomendado'!B:B,C159)=0),
"Bloqueada",
"Desechable")),""
)</f>
        <v>Desechable</v>
      </c>
      <c r="J159" t="str" cm="1">
        <f t="array" ref="J159">IF(ISNUMBER(A159),IFERROR(_xlfn._xlws.FILTER(Equipar!A:A,(Equipar!B:B=1)*(Equipar!AC:AC=A159)),""),"")</f>
        <v/>
      </c>
    </row>
    <row r="160" spans="1:10" x14ac:dyDescent="0.25">
      <c r="A160" s="1">
        <v>164</v>
      </c>
      <c r="B160" s="7" t="s">
        <v>54</v>
      </c>
      <c r="C160" s="7" t="s">
        <v>21</v>
      </c>
      <c r="D160" s="7" t="s">
        <v>37</v>
      </c>
      <c r="E160" s="7" t="s">
        <v>38</v>
      </c>
      <c r="F160" s="7" t="s">
        <v>42</v>
      </c>
      <c r="G160" s="7" t="s">
        <v>41</v>
      </c>
      <c r="I160" s="2" t="str">
        <f ca="1">IF(ISNUMBER(A160),
IF(COUNTIFS(Equipar!B:B,1,Equipar!AC:AC,A160),"Equipada",
IF(
OR(COUNTIFS(Equipar!B:B,1,Equipar!C:C,A160)
 +COUNTIFS(Equipar!B:B,1,Equipar!D:D,A160)
+COUNTIFS(Equipar!B:B,1,Equipar!E:E,A160)
+COUNTIFS(Equipar!B:B,1,Equipar!F:F,A160)
&gt;0,COUNTIF('Set recomendado'!B:B,C160)=0),
"Bloqueada",
"Desechable")),""
)</f>
        <v>Desechable</v>
      </c>
      <c r="J160" t="str" cm="1">
        <f t="array" ref="J160">IF(ISNUMBER(A160),IFERROR(_xlfn._xlws.FILTER(Equipar!A:A,(Equipar!B:B=1)*(Equipar!AC:AC=A160)),""),"")</f>
        <v/>
      </c>
    </row>
    <row r="161" spans="1:10" x14ac:dyDescent="0.25">
      <c r="A161" s="1">
        <v>165</v>
      </c>
      <c r="B161" s="7" t="s">
        <v>54</v>
      </c>
      <c r="C161" s="7" t="s">
        <v>21</v>
      </c>
      <c r="D161" s="7" t="s">
        <v>37</v>
      </c>
      <c r="E161" s="7" t="s">
        <v>41</v>
      </c>
      <c r="F161" s="7" t="s">
        <v>40</v>
      </c>
      <c r="I161" s="2" t="str">
        <f ca="1">IF(ISNUMBER(A161),
IF(COUNTIFS(Equipar!B:B,1,Equipar!AC:AC,A161),"Equipada",
IF(
OR(COUNTIFS(Equipar!B:B,1,Equipar!C:C,A161)
 +COUNTIFS(Equipar!B:B,1,Equipar!D:D,A161)
+COUNTIFS(Equipar!B:B,1,Equipar!E:E,A161)
+COUNTIFS(Equipar!B:B,1,Equipar!F:F,A161)
&gt;0,COUNTIF('Set recomendado'!B:B,C161)=0),
"Bloqueada",
"Desechable")),""
)</f>
        <v>Desechable</v>
      </c>
      <c r="J161" t="str" cm="1">
        <f t="array" ref="J161">IF(ISNUMBER(A161),IFERROR(_xlfn._xlws.FILTER(Equipar!A:A,(Equipar!B:B=1)*(Equipar!AC:AC=A161)),""),"")</f>
        <v/>
      </c>
    </row>
    <row r="162" spans="1:10" x14ac:dyDescent="0.25">
      <c r="A162" s="1">
        <v>166</v>
      </c>
      <c r="B162" s="7" t="s">
        <v>54</v>
      </c>
      <c r="C162" s="7" t="s">
        <v>21</v>
      </c>
      <c r="D162" s="7" t="s">
        <v>37</v>
      </c>
      <c r="E162" s="7" t="s">
        <v>32</v>
      </c>
      <c r="F162" s="7" t="s">
        <v>42</v>
      </c>
      <c r="G162" s="7" t="s">
        <v>43</v>
      </c>
      <c r="I162" s="2" t="str">
        <f ca="1">IF(ISNUMBER(A162),
IF(COUNTIFS(Equipar!B:B,1,Equipar!AC:AC,A162),"Equipada",
IF(
OR(COUNTIFS(Equipar!B:B,1,Equipar!C:C,A162)
 +COUNTIFS(Equipar!B:B,1,Equipar!D:D,A162)
+COUNTIFS(Equipar!B:B,1,Equipar!E:E,A162)
+COUNTIFS(Equipar!B:B,1,Equipar!F:F,A162)
&gt;0,COUNTIF('Set recomendado'!B:B,C162)=0),
"Bloqueada",
"Desechable")),""
)</f>
        <v>Desechable</v>
      </c>
      <c r="J162" t="str" cm="1">
        <f t="array" ref="J162">IF(ISNUMBER(A162),IFERROR(_xlfn._xlws.FILTER(Equipar!A:A,(Equipar!B:B=1)*(Equipar!AC:AC=A162)),""),"")</f>
        <v/>
      </c>
    </row>
    <row r="163" spans="1:10" x14ac:dyDescent="0.25">
      <c r="A163" s="1">
        <v>167</v>
      </c>
      <c r="B163" s="7" t="s">
        <v>54</v>
      </c>
      <c r="C163" s="7" t="s">
        <v>29</v>
      </c>
      <c r="D163" s="7" t="s">
        <v>32</v>
      </c>
      <c r="E163" s="7" t="s">
        <v>37</v>
      </c>
      <c r="F163" s="7" t="s">
        <v>41</v>
      </c>
      <c r="G163" s="7" t="s">
        <v>38</v>
      </c>
      <c r="I163" s="2" t="str">
        <f ca="1">IF(ISNUMBER(A163),
IF(COUNTIFS(Equipar!B:B,1,Equipar!AC:AC,A163),"Equipada",
IF(
OR(COUNTIFS(Equipar!B:B,1,Equipar!C:C,A163)
 +COUNTIFS(Equipar!B:B,1,Equipar!D:D,A163)
+COUNTIFS(Equipar!B:B,1,Equipar!E:E,A163)
+COUNTIFS(Equipar!B:B,1,Equipar!F:F,A163)
&gt;0,COUNTIF('Set recomendado'!B:B,C163)=0),
"Bloqueada",
"Desechable")),""
)</f>
        <v>Desechable</v>
      </c>
      <c r="J163" t="str" cm="1">
        <f t="array" ref="J163">IF(ISNUMBER(A163),IFERROR(_xlfn._xlws.FILTER(Equipar!A:A,(Equipar!B:B=1)*(Equipar!AC:AC=A163)),""),"")</f>
        <v/>
      </c>
    </row>
    <row r="164" spans="1:10" x14ac:dyDescent="0.25">
      <c r="A164" s="1">
        <v>168</v>
      </c>
      <c r="B164" s="7" t="s">
        <v>54</v>
      </c>
      <c r="C164" s="7" t="s">
        <v>29</v>
      </c>
      <c r="D164" s="7" t="s">
        <v>32</v>
      </c>
      <c r="E164" s="7" t="s">
        <v>38</v>
      </c>
      <c r="F164" s="7" t="s">
        <v>43</v>
      </c>
      <c r="G164" s="7" t="s">
        <v>92</v>
      </c>
      <c r="I164" s="2" t="str">
        <f ca="1">IF(ISNUMBER(A164),
IF(COUNTIFS(Equipar!B:B,1,Equipar!AC:AC,A164),"Equipada",
IF(
OR(COUNTIFS(Equipar!B:B,1,Equipar!C:C,A164)
 +COUNTIFS(Equipar!B:B,1,Equipar!D:D,A164)
+COUNTIFS(Equipar!B:B,1,Equipar!E:E,A164)
+COUNTIFS(Equipar!B:B,1,Equipar!F:F,A164)
&gt;0,COUNTIF('Set recomendado'!B:B,C164)=0),
"Bloqueada",
"Desechable")),""
)</f>
        <v>Desechable</v>
      </c>
      <c r="J164" t="str" cm="1">
        <f t="array" ref="J164">IF(ISNUMBER(A164),IFERROR(_xlfn._xlws.FILTER(Equipar!A:A,(Equipar!B:B=1)*(Equipar!AC:AC=A164)),""),"")</f>
        <v/>
      </c>
    </row>
    <row r="165" spans="1:10" x14ac:dyDescent="0.25">
      <c r="A165" s="1">
        <v>169</v>
      </c>
      <c r="B165" s="7" t="s">
        <v>54</v>
      </c>
      <c r="C165" s="7" t="s">
        <v>29</v>
      </c>
      <c r="D165" s="7" t="s">
        <v>32</v>
      </c>
      <c r="E165" s="7" t="s">
        <v>32</v>
      </c>
      <c r="F165" s="7" t="s">
        <v>37</v>
      </c>
      <c r="I165" s="2" t="str">
        <f ca="1">IF(ISNUMBER(A165),
IF(COUNTIFS(Equipar!B:B,1,Equipar!AC:AC,A165),"Equipada",
IF(
OR(COUNTIFS(Equipar!B:B,1,Equipar!C:C,A165)
 +COUNTIFS(Equipar!B:B,1,Equipar!D:D,A165)
+COUNTIFS(Equipar!B:B,1,Equipar!E:E,A165)
+COUNTIFS(Equipar!B:B,1,Equipar!F:F,A165)
&gt;0,COUNTIF('Set recomendado'!B:B,C165)=0),
"Bloqueada",
"Desechable")),""
)</f>
        <v>Desechable</v>
      </c>
      <c r="J165" t="str" cm="1">
        <f t="array" ref="J165">IF(ISNUMBER(A165),IFERROR(_xlfn._xlws.FILTER(Equipar!A:A,(Equipar!B:B=1)*(Equipar!AC:AC=A165)),""),"")</f>
        <v/>
      </c>
    </row>
    <row r="166" spans="1:10" x14ac:dyDescent="0.25">
      <c r="A166" s="1">
        <v>170</v>
      </c>
      <c r="B166" s="7" t="s">
        <v>54</v>
      </c>
      <c r="C166" s="7" t="s">
        <v>29</v>
      </c>
      <c r="D166" s="7" t="s">
        <v>32</v>
      </c>
      <c r="E166" s="7" t="s">
        <v>38</v>
      </c>
      <c r="F166" s="7" t="s">
        <v>36</v>
      </c>
      <c r="G166" s="7" t="s">
        <v>39</v>
      </c>
      <c r="I166" s="2" t="str">
        <f ca="1">IF(ISNUMBER(A166),
IF(COUNTIFS(Equipar!B:B,1,Equipar!AC:AC,A166),"Equipada",
IF(
OR(COUNTIFS(Equipar!B:B,1,Equipar!C:C,A166)
 +COUNTIFS(Equipar!B:B,1,Equipar!D:D,A166)
+COUNTIFS(Equipar!B:B,1,Equipar!E:E,A166)
+COUNTIFS(Equipar!B:B,1,Equipar!F:F,A166)
&gt;0,COUNTIF('Set recomendado'!B:B,C166)=0),
"Bloqueada",
"Desechable")),""
)</f>
        <v>Desechable</v>
      </c>
      <c r="J166" t="str" cm="1">
        <f t="array" ref="J166">IF(ISNUMBER(A166),IFERROR(_xlfn._xlws.FILTER(Equipar!A:A,(Equipar!B:B=1)*(Equipar!AC:AC=A166)),""),"")</f>
        <v/>
      </c>
    </row>
    <row r="167" spans="1:10" x14ac:dyDescent="0.25">
      <c r="A167" s="1">
        <v>171</v>
      </c>
      <c r="B167" s="7" t="s">
        <v>54</v>
      </c>
      <c r="C167" s="7" t="s">
        <v>29</v>
      </c>
      <c r="D167" s="7" t="s">
        <v>32</v>
      </c>
      <c r="E167" s="7" t="s">
        <v>38</v>
      </c>
      <c r="F167" s="7" t="s">
        <v>32</v>
      </c>
      <c r="G167" s="7" t="s">
        <v>37</v>
      </c>
      <c r="I167" s="2" t="str">
        <f ca="1">IF(ISNUMBER(A167),
IF(COUNTIFS(Equipar!B:B,1,Equipar!AC:AC,A167),"Equipada",
IF(
OR(COUNTIFS(Equipar!B:B,1,Equipar!C:C,A167)
 +COUNTIFS(Equipar!B:B,1,Equipar!D:D,A167)
+COUNTIFS(Equipar!B:B,1,Equipar!E:E,A167)
+COUNTIFS(Equipar!B:B,1,Equipar!F:F,A167)
&gt;0,COUNTIF('Set recomendado'!B:B,C167)=0),
"Bloqueada",
"Desechable")),""
)</f>
        <v>Desechable</v>
      </c>
      <c r="J167" t="str" cm="1">
        <f t="array" ref="J167">IF(ISNUMBER(A167),IFERROR(_xlfn._xlws.FILTER(Equipar!A:A,(Equipar!B:B=1)*(Equipar!AC:AC=A167)),""),"")</f>
        <v/>
      </c>
    </row>
    <row r="168" spans="1:10" x14ac:dyDescent="0.25">
      <c r="A168" s="1">
        <v>172</v>
      </c>
      <c r="B168" s="7" t="s">
        <v>54</v>
      </c>
      <c r="C168" s="7" t="s">
        <v>29</v>
      </c>
      <c r="D168" s="7" t="s">
        <v>32</v>
      </c>
      <c r="E168" s="7" t="s">
        <v>38</v>
      </c>
      <c r="F168" s="7" t="s">
        <v>32</v>
      </c>
      <c r="I168" s="2" t="str">
        <f ca="1">IF(ISNUMBER(A168),
IF(COUNTIFS(Equipar!B:B,1,Equipar!AC:AC,A168),"Equipada",
IF(
OR(COUNTIFS(Equipar!B:B,1,Equipar!C:C,A168)
 +COUNTIFS(Equipar!B:B,1,Equipar!D:D,A168)
+COUNTIFS(Equipar!B:B,1,Equipar!E:E,A168)
+COUNTIFS(Equipar!B:B,1,Equipar!F:F,A168)
&gt;0,COUNTIF('Set recomendado'!B:B,C168)=0),
"Bloqueada",
"Desechable")),""
)</f>
        <v>Desechable</v>
      </c>
      <c r="J168" t="str" cm="1">
        <f t="array" ref="J168">IF(ISNUMBER(A168),IFERROR(_xlfn._xlws.FILTER(Equipar!A:A,(Equipar!B:B=1)*(Equipar!AC:AC=A168)),""),"")</f>
        <v/>
      </c>
    </row>
    <row r="169" spans="1:10" x14ac:dyDescent="0.25">
      <c r="A169" s="1">
        <v>173</v>
      </c>
      <c r="B169" s="7" t="s">
        <v>54</v>
      </c>
      <c r="C169" s="7" t="s">
        <v>29</v>
      </c>
      <c r="D169" s="7" t="s">
        <v>32</v>
      </c>
      <c r="E169" s="7" t="s">
        <v>36</v>
      </c>
      <c r="F169" s="7" t="s">
        <v>42</v>
      </c>
      <c r="I169" s="2" t="str">
        <f ca="1">IF(ISNUMBER(A169),
IF(COUNTIFS(Equipar!B:B,1,Equipar!AC:AC,A169),"Equipada",
IF(
OR(COUNTIFS(Equipar!B:B,1,Equipar!C:C,A169)
 +COUNTIFS(Equipar!B:B,1,Equipar!D:D,A169)
+COUNTIFS(Equipar!B:B,1,Equipar!E:E,A169)
+COUNTIFS(Equipar!B:B,1,Equipar!F:F,A169)
&gt;0,COUNTIF('Set recomendado'!B:B,C169)=0),
"Bloqueada",
"Desechable")),""
)</f>
        <v>Desechable</v>
      </c>
      <c r="J169" t="str" cm="1">
        <f t="array" ref="J169">IF(ISNUMBER(A169),IFERROR(_xlfn._xlws.FILTER(Equipar!A:A,(Equipar!B:B=1)*(Equipar!AC:AC=A169)),""),"")</f>
        <v/>
      </c>
    </row>
    <row r="170" spans="1:10" x14ac:dyDescent="0.25">
      <c r="A170" s="1">
        <v>174</v>
      </c>
      <c r="B170" s="7" t="s">
        <v>54</v>
      </c>
      <c r="C170" s="7" t="s">
        <v>29</v>
      </c>
      <c r="D170" s="7" t="s">
        <v>32</v>
      </c>
      <c r="E170" s="7" t="s">
        <v>36</v>
      </c>
      <c r="F170" s="7" t="s">
        <v>42</v>
      </c>
      <c r="I170" s="2" t="str">
        <f ca="1">IF(ISNUMBER(A170),
IF(COUNTIFS(Equipar!B:B,1,Equipar!AC:AC,A170),"Equipada",
IF(
OR(COUNTIFS(Equipar!B:B,1,Equipar!C:C,A170)
 +COUNTIFS(Equipar!B:B,1,Equipar!D:D,A170)
+COUNTIFS(Equipar!B:B,1,Equipar!E:E,A170)
+COUNTIFS(Equipar!B:B,1,Equipar!F:F,A170)
&gt;0,COUNTIF('Set recomendado'!B:B,C170)=0),
"Bloqueada",
"Desechable")),""
)</f>
        <v>Desechable</v>
      </c>
      <c r="J170" t="str" cm="1">
        <f t="array" ref="J170">IF(ISNUMBER(A170),IFERROR(_xlfn._xlws.FILTER(Equipar!A:A,(Equipar!B:B=1)*(Equipar!AC:AC=A170)),""),"")</f>
        <v/>
      </c>
    </row>
    <row r="171" spans="1:10" x14ac:dyDescent="0.25">
      <c r="A171" s="1">
        <v>175</v>
      </c>
      <c r="B171" s="7" t="s">
        <v>54</v>
      </c>
      <c r="C171" s="7" t="s">
        <v>29</v>
      </c>
      <c r="D171" s="7" t="s">
        <v>32</v>
      </c>
      <c r="E171" s="7" t="s">
        <v>36</v>
      </c>
      <c r="F171" s="7" t="s">
        <v>34</v>
      </c>
      <c r="I171" s="2" t="str">
        <f ca="1">IF(ISNUMBER(A171),
IF(COUNTIFS(Equipar!B:B,1,Equipar!AC:AC,A171),"Equipada",
IF(
OR(COUNTIFS(Equipar!B:B,1,Equipar!C:C,A171)
 +COUNTIFS(Equipar!B:B,1,Equipar!D:D,A171)
+COUNTIFS(Equipar!B:B,1,Equipar!E:E,A171)
+COUNTIFS(Equipar!B:B,1,Equipar!F:F,A171)
&gt;0,COUNTIF('Set recomendado'!B:B,C171)=0),
"Bloqueada",
"Desechable")),""
)</f>
        <v>Desechable</v>
      </c>
      <c r="J171" t="str" cm="1">
        <f t="array" ref="J171">IF(ISNUMBER(A171),IFERROR(_xlfn._xlws.FILTER(Equipar!A:A,(Equipar!B:B=1)*(Equipar!AC:AC=A171)),""),"")</f>
        <v/>
      </c>
    </row>
    <row r="172" spans="1:10" x14ac:dyDescent="0.25">
      <c r="A172" s="1">
        <v>176</v>
      </c>
      <c r="B172" s="7" t="s">
        <v>54</v>
      </c>
      <c r="C172" s="7" t="s">
        <v>29</v>
      </c>
      <c r="D172" s="7" t="s">
        <v>32</v>
      </c>
      <c r="E172" s="7" t="s">
        <v>32</v>
      </c>
      <c r="F172" s="7" t="s">
        <v>41</v>
      </c>
      <c r="G172" s="4"/>
      <c r="H172" s="4"/>
      <c r="I172" s="2" t="str">
        <f ca="1">IF(ISNUMBER(A172),
IF(COUNTIFS(Equipar!B:B,1,Equipar!AC:AC,A172),"Equipada",
IF(
OR(COUNTIFS(Equipar!B:B,1,Equipar!C:C,A172)
 +COUNTIFS(Equipar!B:B,1,Equipar!D:D,A172)
+COUNTIFS(Equipar!B:B,1,Equipar!E:E,A172)
+COUNTIFS(Equipar!B:B,1,Equipar!F:F,A172)
&gt;0,COUNTIF('Set recomendado'!B:B,C172)=0),
"Bloqueada",
"Desechable")),""
)</f>
        <v>Desechable</v>
      </c>
      <c r="J172" t="str" cm="1">
        <f t="array" ref="J172">IF(ISNUMBER(A172),IFERROR(_xlfn._xlws.FILTER(Equipar!A:A,(Equipar!B:B=1)*(Equipar!AC:AC=A172)),""),"")</f>
        <v/>
      </c>
    </row>
    <row r="173" spans="1:10" x14ac:dyDescent="0.25">
      <c r="A173" s="1">
        <v>177</v>
      </c>
      <c r="B173" s="7" t="s">
        <v>54</v>
      </c>
      <c r="C173" s="7" t="s">
        <v>57</v>
      </c>
      <c r="D173" s="7" t="s">
        <v>42</v>
      </c>
      <c r="E173" s="7" t="s">
        <v>43</v>
      </c>
      <c r="F173" s="7" t="s">
        <v>37</v>
      </c>
      <c r="G173" s="4"/>
      <c r="H173" s="4"/>
      <c r="I173" s="2" t="str">
        <f ca="1">IF(ISNUMBER(A173),
IF(COUNTIFS(Equipar!B:B,1,Equipar!AC:AC,A173),"Equipada",
IF(
OR(COUNTIFS(Equipar!B:B,1,Equipar!C:C,A173)
 +COUNTIFS(Equipar!B:B,1,Equipar!D:D,A173)
+COUNTIFS(Equipar!B:B,1,Equipar!E:E,A173)
+COUNTIFS(Equipar!B:B,1,Equipar!F:F,A173)
&gt;0,COUNTIF('Set recomendado'!B:B,C173)=0),
"Bloqueada",
"Desechable")),""
)</f>
        <v>Bloqueada</v>
      </c>
      <c r="J173" t="str" cm="1">
        <f t="array" ref="J173">IF(ISNUMBER(A173),IFERROR(_xlfn._xlws.FILTER(Equipar!A:A,(Equipar!B:B=1)*(Equipar!AC:AC=A173)),""),"")</f>
        <v/>
      </c>
    </row>
    <row r="174" spans="1:10" x14ac:dyDescent="0.25">
      <c r="A174" s="1">
        <v>178</v>
      </c>
      <c r="B174" s="7" t="s">
        <v>53</v>
      </c>
      <c r="C174" s="7" t="s">
        <v>29</v>
      </c>
      <c r="D174" s="7" t="s">
        <v>32</v>
      </c>
      <c r="E174" s="7" t="s">
        <v>38</v>
      </c>
      <c r="F174" s="7" t="s">
        <v>40</v>
      </c>
      <c r="G174" s="7" t="s">
        <v>44</v>
      </c>
      <c r="H174" s="4"/>
      <c r="I174" s="2" t="str">
        <f ca="1">IF(ISNUMBER(A174),
IF(COUNTIFS(Equipar!B:B,1,Equipar!AC:AC,A174),"Equipada",
IF(
OR(COUNTIFS(Equipar!B:B,1,Equipar!C:C,A174)
 +COUNTIFS(Equipar!B:B,1,Equipar!D:D,A174)
+COUNTIFS(Equipar!B:B,1,Equipar!E:E,A174)
+COUNTIFS(Equipar!B:B,1,Equipar!F:F,A174)
&gt;0,COUNTIF('Set recomendado'!B:B,C174)=0),
"Bloqueada",
"Desechable")),""
)</f>
        <v>Desechable</v>
      </c>
      <c r="J174" t="str" cm="1">
        <f t="array" ref="J174">IF(ISNUMBER(A174),IFERROR(_xlfn._xlws.FILTER(Equipar!A:A,(Equipar!B:B=1)*(Equipar!AC:AC=A174)),""),"")</f>
        <v/>
      </c>
    </row>
    <row r="175" spans="1:10" x14ac:dyDescent="0.25">
      <c r="A175" s="1">
        <v>179</v>
      </c>
      <c r="B175" s="7" t="s">
        <v>54</v>
      </c>
      <c r="C175" s="7" t="s">
        <v>57</v>
      </c>
      <c r="D175" s="7" t="s">
        <v>42</v>
      </c>
      <c r="E175" s="7" t="s">
        <v>41</v>
      </c>
      <c r="F175" s="7" t="s">
        <v>43</v>
      </c>
      <c r="G175" s="4"/>
      <c r="H175" s="4"/>
      <c r="I175" s="2" t="str">
        <f ca="1">IF(ISNUMBER(A175),
IF(COUNTIFS(Equipar!B:B,1,Equipar!AC:AC,A175),"Equipada",
IF(
OR(COUNTIFS(Equipar!B:B,1,Equipar!C:C,A175)
 +COUNTIFS(Equipar!B:B,1,Equipar!D:D,A175)
+COUNTIFS(Equipar!B:B,1,Equipar!E:E,A175)
+COUNTIFS(Equipar!B:B,1,Equipar!F:F,A175)
&gt;0,COUNTIF('Set recomendado'!B:B,C175)=0),
"Bloqueada",
"Desechable")),""
)</f>
        <v>Bloqueada</v>
      </c>
      <c r="J175" t="str" cm="1">
        <f t="array" ref="J175">IF(ISNUMBER(A175),IFERROR(_xlfn._xlws.FILTER(Equipar!A:A,(Equipar!B:B=1)*(Equipar!AC:AC=A175)),""),"")</f>
        <v/>
      </c>
    </row>
    <row r="176" spans="1:10" x14ac:dyDescent="0.25">
      <c r="A176" s="1">
        <v>180</v>
      </c>
      <c r="B176" s="7" t="s">
        <v>54</v>
      </c>
      <c r="C176" s="7" t="s">
        <v>55</v>
      </c>
      <c r="D176" s="7" t="s">
        <v>41</v>
      </c>
      <c r="E176" s="7" t="s">
        <v>38</v>
      </c>
      <c r="F176" s="7" t="s">
        <v>36</v>
      </c>
      <c r="G176" s="7" t="s">
        <v>41</v>
      </c>
      <c r="I176" s="2" t="str">
        <f ca="1">IF(ISNUMBER(A176),
IF(COUNTIFS(Equipar!B:B,1,Equipar!AC:AC,A176),"Equipada",
IF(
OR(COUNTIFS(Equipar!B:B,1,Equipar!C:C,A176)
 +COUNTIFS(Equipar!B:B,1,Equipar!D:D,A176)
+COUNTIFS(Equipar!B:B,1,Equipar!E:E,A176)
+COUNTIFS(Equipar!B:B,1,Equipar!F:F,A176)
&gt;0,COUNTIF('Set recomendado'!B:B,C176)=0),
"Bloqueada",
"Desechable")),""
)</f>
        <v>Desechable</v>
      </c>
      <c r="J176" t="str" cm="1">
        <f t="array" ref="J176">IF(ISNUMBER(A176),IFERROR(_xlfn._xlws.FILTER(Equipar!A:A,(Equipar!B:B=1)*(Equipar!AC:AC=A176)),""),"")</f>
        <v/>
      </c>
    </row>
    <row r="177" spans="1:10" x14ac:dyDescent="0.25">
      <c r="A177" s="1">
        <v>181</v>
      </c>
      <c r="B177" s="7" t="s">
        <v>54</v>
      </c>
      <c r="C177" s="7" t="s">
        <v>55</v>
      </c>
      <c r="D177" s="7" t="s">
        <v>41</v>
      </c>
      <c r="E177" s="7" t="s">
        <v>32</v>
      </c>
      <c r="F177" s="7" t="s">
        <v>41</v>
      </c>
      <c r="I177" s="2" t="str">
        <f ca="1">IF(ISNUMBER(A177),
IF(COUNTIFS(Equipar!B:B,1,Equipar!AC:AC,A177),"Equipada",
IF(
OR(COUNTIFS(Equipar!B:B,1,Equipar!C:C,A177)
 +COUNTIFS(Equipar!B:B,1,Equipar!D:D,A177)
+COUNTIFS(Equipar!B:B,1,Equipar!E:E,A177)
+COUNTIFS(Equipar!B:B,1,Equipar!F:F,A177)
&gt;0,COUNTIF('Set recomendado'!B:B,C177)=0),
"Bloqueada",
"Desechable")),""
)</f>
        <v>Desechable</v>
      </c>
      <c r="J177" t="str" cm="1">
        <f t="array" ref="J177">IF(ISNUMBER(A177),IFERROR(_xlfn._xlws.FILTER(Equipar!A:A,(Equipar!B:B=1)*(Equipar!AC:AC=A177)),""),"")</f>
        <v/>
      </c>
    </row>
    <row r="178" spans="1:10" x14ac:dyDescent="0.25">
      <c r="A178" s="1">
        <v>182</v>
      </c>
      <c r="B178" s="7" t="s">
        <v>54</v>
      </c>
      <c r="C178" s="7" t="s">
        <v>21</v>
      </c>
      <c r="D178" s="7" t="s">
        <v>37</v>
      </c>
      <c r="E178" s="7" t="s">
        <v>41</v>
      </c>
      <c r="F178" s="7" t="s">
        <v>34</v>
      </c>
      <c r="G178" s="7" t="s">
        <v>38</v>
      </c>
      <c r="I178" s="2" t="str">
        <f ca="1">IF(ISNUMBER(A178),
IF(COUNTIFS(Equipar!B:B,1,Equipar!AC:AC,A178),"Equipada",
IF(
OR(COUNTIFS(Equipar!B:B,1,Equipar!C:C,A178)
 +COUNTIFS(Equipar!B:B,1,Equipar!D:D,A178)
+COUNTIFS(Equipar!B:B,1,Equipar!E:E,A178)
+COUNTIFS(Equipar!B:B,1,Equipar!F:F,A178)
&gt;0,COUNTIF('Set recomendado'!B:B,C178)=0),
"Bloqueada",
"Desechable")),""
)</f>
        <v>Desechable</v>
      </c>
      <c r="J178" t="str" cm="1">
        <f t="array" ref="J178">IF(ISNUMBER(A178),IFERROR(_xlfn._xlws.FILTER(Equipar!A:A,(Equipar!B:B=1)*(Equipar!AC:AC=A178)),""),"")</f>
        <v/>
      </c>
    </row>
    <row r="179" spans="1:10" x14ac:dyDescent="0.25">
      <c r="A179" s="1">
        <v>183</v>
      </c>
      <c r="B179" s="7" t="s">
        <v>54</v>
      </c>
      <c r="C179" s="7" t="s">
        <v>21</v>
      </c>
      <c r="D179" s="7" t="s">
        <v>37</v>
      </c>
      <c r="E179" s="7" t="s">
        <v>42</v>
      </c>
      <c r="F179" s="7" t="s">
        <v>41</v>
      </c>
      <c r="G179" s="7" t="s">
        <v>32</v>
      </c>
      <c r="I179" s="2" t="str">
        <f ca="1">IF(ISNUMBER(A179),
IF(COUNTIFS(Equipar!B:B,1,Equipar!AC:AC,A179),"Equipada",
IF(
OR(COUNTIFS(Equipar!B:B,1,Equipar!C:C,A179)
 +COUNTIFS(Equipar!B:B,1,Equipar!D:D,A179)
+COUNTIFS(Equipar!B:B,1,Equipar!E:E,A179)
+COUNTIFS(Equipar!B:B,1,Equipar!F:F,A179)
&gt;0,COUNTIF('Set recomendado'!B:B,C179)=0),
"Bloqueada",
"Desechable")),""
)</f>
        <v>Desechable</v>
      </c>
      <c r="J179" t="str" cm="1">
        <f t="array" ref="J179">IF(ISNUMBER(A179),IFERROR(_xlfn._xlws.FILTER(Equipar!A:A,(Equipar!B:B=1)*(Equipar!AC:AC=A179)),""),"")</f>
        <v/>
      </c>
    </row>
    <row r="180" spans="1:10" x14ac:dyDescent="0.25">
      <c r="A180" s="1">
        <v>184</v>
      </c>
      <c r="B180" s="7" t="s">
        <v>54</v>
      </c>
      <c r="C180" s="7" t="s">
        <v>29</v>
      </c>
      <c r="D180" s="7" t="s">
        <v>32</v>
      </c>
      <c r="E180" s="7" t="s">
        <v>33</v>
      </c>
      <c r="F180" s="7" t="s">
        <v>43</v>
      </c>
      <c r="I180" s="2" t="str">
        <f ca="1">IF(ISNUMBER(A180),
IF(COUNTIFS(Equipar!B:B,1,Equipar!AC:AC,A180),"Equipada",
IF(
OR(COUNTIFS(Equipar!B:B,1,Equipar!C:C,A180)
 +COUNTIFS(Equipar!B:B,1,Equipar!D:D,A180)
+COUNTIFS(Equipar!B:B,1,Equipar!E:E,A180)
+COUNTIFS(Equipar!B:B,1,Equipar!F:F,A180)
&gt;0,COUNTIF('Set recomendado'!B:B,C180)=0),
"Bloqueada",
"Desechable")),""
)</f>
        <v>Desechable</v>
      </c>
      <c r="J180" t="str" cm="1">
        <f t="array" ref="J180">IF(ISNUMBER(A180),IFERROR(_xlfn._xlws.FILTER(Equipar!A:A,(Equipar!B:B=1)*(Equipar!AC:AC=A180)),""),"")</f>
        <v/>
      </c>
    </row>
    <row r="181" spans="1:10" x14ac:dyDescent="0.25">
      <c r="A181" s="1">
        <v>185</v>
      </c>
      <c r="B181" s="7" t="s">
        <v>54</v>
      </c>
      <c r="C181" s="7" t="s">
        <v>57</v>
      </c>
      <c r="D181" s="7" t="s">
        <v>38</v>
      </c>
      <c r="E181" s="7" t="s">
        <v>38</v>
      </c>
      <c r="I181" s="2" t="str">
        <f ca="1">IF(ISNUMBER(A181),
IF(COUNTIFS(Equipar!B:B,1,Equipar!AC:AC,A181),"Equipada",
IF(
OR(COUNTIFS(Equipar!B:B,1,Equipar!C:C,A181)
 +COUNTIFS(Equipar!B:B,1,Equipar!D:D,A181)
+COUNTIFS(Equipar!B:B,1,Equipar!E:E,A181)
+COUNTIFS(Equipar!B:B,1,Equipar!F:F,A181)
&gt;0,COUNTIF('Set recomendado'!B:B,C181)=0),
"Bloqueada",
"Desechable")),""
)</f>
        <v>Bloqueada</v>
      </c>
      <c r="J181" t="str" cm="1">
        <f t="array" ref="J181">IF(ISNUMBER(A181),IFERROR(_xlfn._xlws.FILTER(Equipar!A:A,(Equipar!B:B=1)*(Equipar!AC:AC=A181)),""),"")</f>
        <v/>
      </c>
    </row>
    <row r="182" spans="1:10" x14ac:dyDescent="0.25">
      <c r="A182" s="1">
        <v>186</v>
      </c>
      <c r="B182" s="7" t="s">
        <v>54</v>
      </c>
      <c r="C182" s="7" t="s">
        <v>57</v>
      </c>
      <c r="D182" s="7" t="s">
        <v>42</v>
      </c>
      <c r="E182" s="7" t="s">
        <v>34</v>
      </c>
      <c r="F182" s="7" t="s">
        <v>39</v>
      </c>
      <c r="I182" s="2" t="str">
        <f ca="1">IF(ISNUMBER(A182),
IF(COUNTIFS(Equipar!B:B,1,Equipar!AC:AC,A182),"Equipada",
IF(
OR(COUNTIFS(Equipar!B:B,1,Equipar!C:C,A182)
 +COUNTIFS(Equipar!B:B,1,Equipar!D:D,A182)
+COUNTIFS(Equipar!B:B,1,Equipar!E:E,A182)
+COUNTIFS(Equipar!B:B,1,Equipar!F:F,A182)
&gt;0,COUNTIF('Set recomendado'!B:B,C182)=0),
"Bloqueada",
"Desechable")),""
)</f>
        <v>Bloqueada</v>
      </c>
      <c r="J182" t="str" cm="1">
        <f t="array" ref="J182">IF(ISNUMBER(A182),IFERROR(_xlfn._xlws.FILTER(Equipar!A:A,(Equipar!B:B=1)*(Equipar!AC:AC=A182)),""),"")</f>
        <v/>
      </c>
    </row>
    <row r="183" spans="1:10" x14ac:dyDescent="0.25">
      <c r="A183" s="1">
        <v>187</v>
      </c>
      <c r="B183" s="7" t="s">
        <v>54</v>
      </c>
      <c r="C183" s="7" t="s">
        <v>57</v>
      </c>
      <c r="D183" s="7" t="s">
        <v>42</v>
      </c>
      <c r="E183" s="7" t="s">
        <v>34</v>
      </c>
      <c r="F183" s="7" t="s">
        <v>37</v>
      </c>
      <c r="I183" s="2" t="str">
        <f ca="1">IF(ISNUMBER(A183),
IF(COUNTIFS(Equipar!B:B,1,Equipar!AC:AC,A183),"Equipada",
IF(
OR(COUNTIFS(Equipar!B:B,1,Equipar!C:C,A183)
 +COUNTIFS(Equipar!B:B,1,Equipar!D:D,A183)
+COUNTIFS(Equipar!B:B,1,Equipar!E:E,A183)
+COUNTIFS(Equipar!B:B,1,Equipar!F:F,A183)
&gt;0,COUNTIF('Set recomendado'!B:B,C183)=0),
"Bloqueada",
"Desechable")),""
)</f>
        <v>Bloqueada</v>
      </c>
      <c r="J183" t="str" cm="1">
        <f t="array" ref="J183">IF(ISNUMBER(A183),IFERROR(_xlfn._xlws.FILTER(Equipar!A:A,(Equipar!B:B=1)*(Equipar!AC:AC=A183)),""),"")</f>
        <v/>
      </c>
    </row>
    <row r="184" spans="1:10" x14ac:dyDescent="0.25">
      <c r="A184" s="1">
        <v>188</v>
      </c>
      <c r="B184" s="7" t="s">
        <v>54</v>
      </c>
      <c r="C184" s="7" t="s">
        <v>55</v>
      </c>
      <c r="D184" s="7" t="s">
        <v>41</v>
      </c>
      <c r="E184" s="7" t="s">
        <v>37</v>
      </c>
      <c r="F184" s="7" t="s">
        <v>42</v>
      </c>
      <c r="I184" s="2" t="str">
        <f ca="1">IF(ISNUMBER(A184),
IF(COUNTIFS(Equipar!B:B,1,Equipar!AC:AC,A184),"Equipada",
IF(
OR(COUNTIFS(Equipar!B:B,1,Equipar!C:C,A184)
 +COUNTIFS(Equipar!B:B,1,Equipar!D:D,A184)
+COUNTIFS(Equipar!B:B,1,Equipar!E:E,A184)
+COUNTIFS(Equipar!B:B,1,Equipar!F:F,A184)
&gt;0,COUNTIF('Set recomendado'!B:B,C184)=0),
"Bloqueada",
"Desechable")),""
)</f>
        <v>Desechable</v>
      </c>
      <c r="J184" t="str" cm="1">
        <f t="array" ref="J184">IF(ISNUMBER(A184),IFERROR(_xlfn._xlws.FILTER(Equipar!A:A,(Equipar!B:B=1)*(Equipar!AC:AC=A184)),""),"")</f>
        <v/>
      </c>
    </row>
    <row r="185" spans="1:10" x14ac:dyDescent="0.25">
      <c r="A185" s="1">
        <v>189</v>
      </c>
      <c r="B185" s="7" t="s">
        <v>54</v>
      </c>
      <c r="C185" s="7" t="s">
        <v>21</v>
      </c>
      <c r="D185" s="7" t="s">
        <v>37</v>
      </c>
      <c r="E185" s="7" t="s">
        <v>38</v>
      </c>
      <c r="F185" s="7" t="s">
        <v>41</v>
      </c>
      <c r="G185" s="7" t="s">
        <v>44</v>
      </c>
      <c r="I185" s="2" t="str">
        <f ca="1">IF(ISNUMBER(A185),
IF(COUNTIFS(Equipar!B:B,1,Equipar!AC:AC,A185),"Equipada",
IF(
OR(COUNTIFS(Equipar!B:B,1,Equipar!C:C,A185)
 +COUNTIFS(Equipar!B:B,1,Equipar!D:D,A185)
+COUNTIFS(Equipar!B:B,1,Equipar!E:E,A185)
+COUNTIFS(Equipar!B:B,1,Equipar!F:F,A185)
&gt;0,COUNTIF('Set recomendado'!B:B,C185)=0),
"Bloqueada",
"Desechable")),""
)</f>
        <v>Bloqueada</v>
      </c>
      <c r="J185" t="str" cm="1">
        <f t="array" ref="J185">IF(ISNUMBER(A185),IFERROR(_xlfn._xlws.FILTER(Equipar!A:A,(Equipar!B:B=1)*(Equipar!AC:AC=A185)),""),"")</f>
        <v/>
      </c>
    </row>
    <row r="186" spans="1:10" x14ac:dyDescent="0.25">
      <c r="A186" s="1">
        <v>190</v>
      </c>
      <c r="B186" s="7" t="s">
        <v>54</v>
      </c>
      <c r="C186" s="7" t="s">
        <v>21</v>
      </c>
      <c r="D186" s="7" t="s">
        <v>37</v>
      </c>
      <c r="E186" s="7" t="s">
        <v>37</v>
      </c>
      <c r="F186" s="7" t="s">
        <v>42</v>
      </c>
      <c r="I186" s="2" t="str">
        <f ca="1">IF(ISNUMBER(A186),
IF(COUNTIFS(Equipar!B:B,1,Equipar!AC:AC,A186),"Equipada",
IF(
OR(COUNTIFS(Equipar!B:B,1,Equipar!C:C,A186)
 +COUNTIFS(Equipar!B:B,1,Equipar!D:D,A186)
+COUNTIFS(Equipar!B:B,1,Equipar!E:E,A186)
+COUNTIFS(Equipar!B:B,1,Equipar!F:F,A186)
&gt;0,COUNTIF('Set recomendado'!B:B,C186)=0),
"Bloqueada",
"Desechable")),""
)</f>
        <v>Desechable</v>
      </c>
      <c r="J186" t="str" cm="1">
        <f t="array" ref="J186">IF(ISNUMBER(A186),IFERROR(_xlfn._xlws.FILTER(Equipar!A:A,(Equipar!B:B=1)*(Equipar!AC:AC=A186)),""),"")</f>
        <v/>
      </c>
    </row>
    <row r="187" spans="1:10" x14ac:dyDescent="0.25">
      <c r="A187" s="1">
        <v>191</v>
      </c>
      <c r="B187" s="7" t="s">
        <v>54</v>
      </c>
      <c r="C187" s="7" t="s">
        <v>29</v>
      </c>
      <c r="D187" s="7" t="s">
        <v>32</v>
      </c>
      <c r="E187" s="7" t="s">
        <v>37</v>
      </c>
      <c r="F187" s="7" t="s">
        <v>35</v>
      </c>
      <c r="I187" s="2" t="str">
        <f ca="1">IF(ISNUMBER(A187),
IF(COUNTIFS(Equipar!B:B,1,Equipar!AC:AC,A187),"Equipada",
IF(
OR(COUNTIFS(Equipar!B:B,1,Equipar!C:C,A187)
 +COUNTIFS(Equipar!B:B,1,Equipar!D:D,A187)
+COUNTIFS(Equipar!B:B,1,Equipar!E:E,A187)
+COUNTIFS(Equipar!B:B,1,Equipar!F:F,A187)
&gt;0,COUNTIF('Set recomendado'!B:B,C187)=0),
"Bloqueada",
"Desechable")),""
)</f>
        <v>Desechable</v>
      </c>
      <c r="J187" t="str" cm="1">
        <f t="array" ref="J187">IF(ISNUMBER(A187),IFERROR(_xlfn._xlws.FILTER(Equipar!A:A,(Equipar!B:B=1)*(Equipar!AC:AC=A187)),""),"")</f>
        <v/>
      </c>
    </row>
    <row r="188" spans="1:10" x14ac:dyDescent="0.25">
      <c r="A188" s="1">
        <v>192</v>
      </c>
      <c r="B188" s="7" t="s">
        <v>54</v>
      </c>
      <c r="C188" s="7" t="s">
        <v>29</v>
      </c>
      <c r="D188" s="7" t="s">
        <v>32</v>
      </c>
      <c r="E188" s="7" t="s">
        <v>37</v>
      </c>
      <c r="F188" s="7" t="s">
        <v>41</v>
      </c>
      <c r="G188" s="7" t="s">
        <v>38</v>
      </c>
      <c r="I188" s="2" t="str">
        <f ca="1">IF(ISNUMBER(A188),
IF(COUNTIFS(Equipar!B:B,1,Equipar!AC:AC,A188),"Equipada",
IF(
OR(COUNTIFS(Equipar!B:B,1,Equipar!C:C,A188)
 +COUNTIFS(Equipar!B:B,1,Equipar!D:D,A188)
+COUNTIFS(Equipar!B:B,1,Equipar!E:E,A188)
+COUNTIFS(Equipar!B:B,1,Equipar!F:F,A188)
&gt;0,COUNTIF('Set recomendado'!B:B,C188)=0),
"Bloqueada",
"Desechable")),""
)</f>
        <v>Desechable</v>
      </c>
      <c r="J188" t="str" cm="1">
        <f t="array" ref="J188">IF(ISNUMBER(A188),IFERROR(_xlfn._xlws.FILTER(Equipar!A:A,(Equipar!B:B=1)*(Equipar!AC:AC=A188)),""),"")</f>
        <v/>
      </c>
    </row>
    <row r="189" spans="1:10" x14ac:dyDescent="0.25">
      <c r="A189" s="1">
        <v>193</v>
      </c>
      <c r="B189" s="7" t="s">
        <v>53</v>
      </c>
      <c r="C189" s="7" t="s">
        <v>21</v>
      </c>
      <c r="D189" s="7" t="s">
        <v>37</v>
      </c>
      <c r="E189" s="7" t="s">
        <v>43</v>
      </c>
      <c r="F189" s="7" t="s">
        <v>40</v>
      </c>
      <c r="G189" s="7" t="s">
        <v>37</v>
      </c>
      <c r="I189" s="2" t="str">
        <f ca="1">IF(ISNUMBER(A189),
IF(COUNTIFS(Equipar!B:B,1,Equipar!AC:AC,A189),"Equipada",
IF(
OR(COUNTIFS(Equipar!B:B,1,Equipar!C:C,A189)
 +COUNTIFS(Equipar!B:B,1,Equipar!D:D,A189)
+COUNTIFS(Equipar!B:B,1,Equipar!E:E,A189)
+COUNTIFS(Equipar!B:B,1,Equipar!F:F,A189)
&gt;0,COUNTIF('Set recomendado'!B:B,C189)=0),
"Bloqueada",
"Desechable")),""
)</f>
        <v>Desechable</v>
      </c>
      <c r="J189" t="str" cm="1">
        <f t="array" ref="J189">IF(ISNUMBER(A189),IFERROR(_xlfn._xlws.FILTER(Equipar!A:A,(Equipar!B:B=1)*(Equipar!AC:AC=A189)),""),"")</f>
        <v/>
      </c>
    </row>
    <row r="190" spans="1:10" x14ac:dyDescent="0.25">
      <c r="A190" s="1">
        <f>IF(A189="ID",1,IF(ISBLANK(B190),"",MAX(A$2:A189)+1))</f>
        <v>194</v>
      </c>
      <c r="B190" s="7" t="s">
        <v>53</v>
      </c>
      <c r="C190" s="7" t="s">
        <v>16</v>
      </c>
      <c r="D190" s="7" t="s">
        <v>38</v>
      </c>
      <c r="E190" s="7" t="s">
        <v>37</v>
      </c>
      <c r="F190" s="7" t="s">
        <v>41</v>
      </c>
      <c r="G190" s="7" t="s">
        <v>39</v>
      </c>
      <c r="I190" s="2" t="str">
        <f ca="1">IF(ISNUMBER(A190),
IF(COUNTIFS(Equipar!B:B,1,Equipar!AC:AC,A190),"Equipada",
IF(
OR(COUNTIFS(Equipar!B:B,1,Equipar!C:C,A190)
 +COUNTIFS(Equipar!B:B,1,Equipar!D:D,A190)
+COUNTIFS(Equipar!B:B,1,Equipar!E:E,A190)
+COUNTIFS(Equipar!B:B,1,Equipar!F:F,A190)
&gt;0,COUNTIF('Set recomendado'!B:B,C190)=0),
"Bloqueada",
"Desechable")),""
)</f>
        <v>Desechable</v>
      </c>
      <c r="J190" t="str" cm="1">
        <f t="array" ref="J190">IF(ISNUMBER(A190),IFERROR(_xlfn._xlws.FILTER(Equipar!A:A,(Equipar!B:B=1)*(Equipar!AC:AC=A190)),""),"")</f>
        <v/>
      </c>
    </row>
    <row r="191" spans="1:10" x14ac:dyDescent="0.25">
      <c r="A191" s="1">
        <f>IF(A190="ID",1,IF(ISBLANK(B191),"",MAX(A$2:A190)+1))</f>
        <v>195</v>
      </c>
      <c r="B191" s="7" t="s">
        <v>54</v>
      </c>
      <c r="C191" s="7" t="s">
        <v>9</v>
      </c>
      <c r="D191" s="7" t="s">
        <v>41</v>
      </c>
      <c r="E191" s="7" t="s">
        <v>43</v>
      </c>
      <c r="F191" s="7" t="s">
        <v>32</v>
      </c>
      <c r="I191" s="2" t="str">
        <f ca="1">IF(ISNUMBER(A191),
IF(COUNTIFS(Equipar!B:B,1,Equipar!AC:AC,A191),"Equipada",
IF(
OR(COUNTIFS(Equipar!B:B,1,Equipar!C:C,A191)
 +COUNTIFS(Equipar!B:B,1,Equipar!D:D,A191)
+COUNTIFS(Equipar!B:B,1,Equipar!E:E,A191)
+COUNTIFS(Equipar!B:B,1,Equipar!F:F,A191)
&gt;0,COUNTIF('Set recomendado'!B:B,C191)=0),
"Bloqueada",
"Desechable")),""
)</f>
        <v>Desechable</v>
      </c>
      <c r="J191" t="str" cm="1">
        <f t="array" ref="J191">IF(ISNUMBER(A191),IFERROR(_xlfn._xlws.FILTER(Equipar!A:A,(Equipar!B:B=1)*(Equipar!AC:AC=A191)),""),"")</f>
        <v/>
      </c>
    </row>
    <row r="192" spans="1:10" x14ac:dyDescent="0.25">
      <c r="A192" s="1">
        <f>IF(A191="ID",1,IF(ISBLANK(B192),"",MAX(A$2:A191)+1))</f>
        <v>196</v>
      </c>
      <c r="B192" s="7" t="s">
        <v>54</v>
      </c>
      <c r="C192" s="7" t="s">
        <v>9</v>
      </c>
      <c r="D192" s="7" t="s">
        <v>41</v>
      </c>
      <c r="E192" s="7" t="s">
        <v>37</v>
      </c>
      <c r="F192" s="7" t="s">
        <v>42</v>
      </c>
      <c r="I192" s="2" t="str">
        <f ca="1">IF(ISNUMBER(A192),
IF(COUNTIFS(Equipar!B:B,1,Equipar!AC:AC,A192),"Equipada",
IF(
OR(COUNTIFS(Equipar!B:B,1,Equipar!C:C,A192)
 +COUNTIFS(Equipar!B:B,1,Equipar!D:D,A192)
+COUNTIFS(Equipar!B:B,1,Equipar!E:E,A192)
+COUNTIFS(Equipar!B:B,1,Equipar!F:F,A192)
&gt;0,COUNTIF('Set recomendado'!B:B,C192)=0),
"Bloqueada",
"Desechable")),""
)</f>
        <v>Desechable</v>
      </c>
      <c r="J192" t="str" cm="1">
        <f t="array" ref="J192">IF(ISNUMBER(A192),IFERROR(_xlfn._xlws.FILTER(Equipar!A:A,(Equipar!B:B=1)*(Equipar!AC:AC=A192)),""),"")</f>
        <v/>
      </c>
    </row>
    <row r="193" spans="1:10" x14ac:dyDescent="0.25">
      <c r="A193" s="1">
        <f>IF(A192="ID",1,IF(ISBLANK(B193),"",MAX(A$2:A192)+1))</f>
        <v>197</v>
      </c>
      <c r="B193" s="7" t="s">
        <v>54</v>
      </c>
      <c r="C193" s="7" t="s">
        <v>4</v>
      </c>
      <c r="D193" s="7" t="s">
        <v>32</v>
      </c>
      <c r="E193" s="7" t="s">
        <v>38</v>
      </c>
      <c r="F193" s="7" t="s">
        <v>32</v>
      </c>
      <c r="I193" s="2" t="str">
        <f ca="1">IF(ISNUMBER(A193),
IF(COUNTIFS(Equipar!B:B,1,Equipar!AC:AC,A193),"Equipada",
IF(
OR(COUNTIFS(Equipar!B:B,1,Equipar!C:C,A193)
 +COUNTIFS(Equipar!B:B,1,Equipar!D:D,A193)
+COUNTIFS(Equipar!B:B,1,Equipar!E:E,A193)
+COUNTIFS(Equipar!B:B,1,Equipar!F:F,A193)
&gt;0,COUNTIF('Set recomendado'!B:B,C193)=0),
"Bloqueada",
"Desechable")),""
)</f>
        <v>Desechable</v>
      </c>
      <c r="J193" t="str" cm="1">
        <f t="array" ref="J193">IF(ISNUMBER(A193),IFERROR(_xlfn._xlws.FILTER(Equipar!A:A,(Equipar!B:B=1)*(Equipar!AC:AC=A193)),""),"")</f>
        <v/>
      </c>
    </row>
    <row r="194" spans="1:10" x14ac:dyDescent="0.25">
      <c r="A194" s="1">
        <f>IF(A193="ID",1,IF(ISBLANK(B194),"",MAX(A$2:A193)+1))</f>
        <v>198</v>
      </c>
      <c r="B194" s="7" t="s">
        <v>54</v>
      </c>
      <c r="C194" s="7" t="s">
        <v>4</v>
      </c>
      <c r="D194" s="7" t="s">
        <v>32</v>
      </c>
      <c r="E194" s="7" t="s">
        <v>34</v>
      </c>
      <c r="F194" s="7" t="s">
        <v>37</v>
      </c>
      <c r="I194" s="2" t="str">
        <f ca="1">IF(ISNUMBER(A194),
IF(COUNTIFS(Equipar!B:B,1,Equipar!AC:AC,A194),"Equipada",
IF(
OR(COUNTIFS(Equipar!B:B,1,Equipar!C:C,A194)
 +COUNTIFS(Equipar!B:B,1,Equipar!D:D,A194)
+COUNTIFS(Equipar!B:B,1,Equipar!E:E,A194)
+COUNTIFS(Equipar!B:B,1,Equipar!F:F,A194)
&gt;0,COUNTIF('Set recomendado'!B:B,C194)=0),
"Bloqueada",
"Desechable")),""
)</f>
        <v>Desechable</v>
      </c>
      <c r="J194" t="str" cm="1">
        <f t="array" aca="1" ref="J194" ca="1">IF(ISNUMBER(A194),IFERROR(_xlfn._xlws.FILTER(Equipar!A:A,(Equipar!B:B=1)*(Equipar!AC:AC=A194)),""),"")</f>
        <v/>
      </c>
    </row>
    <row r="195" spans="1:10" x14ac:dyDescent="0.25">
      <c r="A195" s="1">
        <f ca="1">IF(A194="ID",1,IF(ISBLANK(B195),"",MAX(A$2:A194)+1))</f>
        <v>199</v>
      </c>
      <c r="B195" s="7" t="s">
        <v>54</v>
      </c>
      <c r="C195" s="7" t="s">
        <v>4</v>
      </c>
      <c r="D195" s="7" t="s">
        <v>32</v>
      </c>
      <c r="E195" s="7" t="s">
        <v>43</v>
      </c>
      <c r="F195" s="7" t="s">
        <v>43</v>
      </c>
      <c r="I195" s="2" t="str">
        <f ca="1">IF(ISNUMBER(A195),
IF(COUNTIFS(Equipar!B:B,1,Equipar!AC:AC,A195),"Equipada",
IF(
OR(COUNTIFS(Equipar!B:B,1,Equipar!C:C,A195)
 +COUNTIFS(Equipar!B:B,1,Equipar!D:D,A195)
+COUNTIFS(Equipar!B:B,1,Equipar!E:E,A195)
+COUNTIFS(Equipar!B:B,1,Equipar!F:F,A195)
&gt;0,COUNTIF('Set recomendado'!B:B,C195)=0),
"Bloqueada",
"Desechable")),""
)</f>
        <v>Desechable</v>
      </c>
      <c r="J195" t="str" cm="1">
        <f t="array" aca="1" ref="J195" ca="1">IF(ISNUMBER(A195),IFERROR(_xlfn._xlws.FILTER(Equipar!A:A,(Equipar!B:B=1)*(Equipar!AC:AC=A195)),""),"")</f>
        <v/>
      </c>
    </row>
    <row r="196" spans="1:10" x14ac:dyDescent="0.25">
      <c r="A196" s="1">
        <f ca="1">IF(A195="ID",1,IF(ISBLANK(B196),"",MAX(A$2:A195)+1))</f>
        <v>200</v>
      </c>
      <c r="B196" s="7" t="s">
        <v>54</v>
      </c>
      <c r="C196" s="7" t="s">
        <v>4</v>
      </c>
      <c r="D196" s="7" t="s">
        <v>32</v>
      </c>
      <c r="E196" s="7" t="s">
        <v>44</v>
      </c>
      <c r="F196" s="7" t="s">
        <v>36</v>
      </c>
      <c r="I196" s="2" t="str">
        <f ca="1">IF(ISNUMBER(A196),
IF(COUNTIFS(Equipar!B:B,1,Equipar!AC:AC,A196),"Equipada",
IF(
OR(COUNTIFS(Equipar!B:B,1,Equipar!C:C,A196)
 +COUNTIFS(Equipar!B:B,1,Equipar!D:D,A196)
+COUNTIFS(Equipar!B:B,1,Equipar!E:E,A196)
+COUNTIFS(Equipar!B:B,1,Equipar!F:F,A196)
&gt;0,COUNTIF('Set recomendado'!B:B,C196)=0),
"Bloqueada",
"Desechable")),""
)</f>
        <v>Desechable</v>
      </c>
      <c r="J196" t="str" cm="1">
        <f t="array" aca="1" ref="J196" ca="1">IF(ISNUMBER(A196),IFERROR(_xlfn._xlws.FILTER(Equipar!A:A,(Equipar!B:B=1)*(Equipar!AC:AC=A196)),""),"")</f>
        <v/>
      </c>
    </row>
    <row r="197" spans="1:10" x14ac:dyDescent="0.25">
      <c r="A197" s="1">
        <f ca="1">IF(A196="ID",1,IF(ISBLANK(B197),"",MAX(A$2:A196)+1))</f>
        <v>201</v>
      </c>
      <c r="B197" s="7" t="s">
        <v>54</v>
      </c>
      <c r="C197" s="7" t="s">
        <v>4</v>
      </c>
      <c r="D197" s="7" t="s">
        <v>32</v>
      </c>
      <c r="E197" s="7" t="s">
        <v>38</v>
      </c>
      <c r="F197" s="7" t="s">
        <v>42</v>
      </c>
      <c r="I197" s="2" t="str">
        <f ca="1">IF(ISNUMBER(A197),
IF(COUNTIFS(Equipar!B:B,1,Equipar!AC:AC,A197),"Equipada",
IF(
OR(COUNTIFS(Equipar!B:B,1,Equipar!C:C,A197)
 +COUNTIFS(Equipar!B:B,1,Equipar!D:D,A197)
+COUNTIFS(Equipar!B:B,1,Equipar!E:E,A197)
+COUNTIFS(Equipar!B:B,1,Equipar!F:F,A197)
&gt;0,COUNTIF('Set recomendado'!B:B,C197)=0),
"Bloqueada",
"Desechable")),""
)</f>
        <v>Desechable</v>
      </c>
      <c r="J197" t="str" cm="1">
        <f t="array" aca="1" ref="J197" ca="1">IF(ISNUMBER(A197),IFERROR(_xlfn._xlws.FILTER(Equipar!A:A,(Equipar!B:B=1)*(Equipar!AC:AC=A197)),""),"")</f>
        <v/>
      </c>
    </row>
    <row r="198" spans="1:10" x14ac:dyDescent="0.25">
      <c r="A198" s="1">
        <f ca="1">IF(A197="ID",1,IF(ISBLANK(B198),"",MAX(A$2:A197)+1))</f>
        <v>202</v>
      </c>
      <c r="B198" s="7" t="s">
        <v>54</v>
      </c>
      <c r="C198" s="7" t="s">
        <v>4</v>
      </c>
      <c r="D198" s="7" t="s">
        <v>32</v>
      </c>
      <c r="E198" s="7" t="s">
        <v>37</v>
      </c>
      <c r="F198" s="7" t="s">
        <v>32</v>
      </c>
      <c r="I198" s="2" t="str">
        <f ca="1">IF(ISNUMBER(A198),
IF(COUNTIFS(Equipar!B:B,1,Equipar!AC:AC,A198),"Equipada",
IF(
OR(COUNTIFS(Equipar!B:B,1,Equipar!C:C,A198)
 +COUNTIFS(Equipar!B:B,1,Equipar!D:D,A198)
+COUNTIFS(Equipar!B:B,1,Equipar!E:E,A198)
+COUNTIFS(Equipar!B:B,1,Equipar!F:F,A198)
&gt;0,COUNTIF('Set recomendado'!B:B,C198)=0),
"Bloqueada",
"Desechable")),""
)</f>
        <v>Desechable</v>
      </c>
      <c r="J198" t="str" cm="1">
        <f t="array" aca="1" ref="J198" ca="1">IF(ISNUMBER(A198),IFERROR(_xlfn._xlws.FILTER(Equipar!A:A,(Equipar!B:B=1)*(Equipar!AC:AC=A198)),""),"")</f>
        <v/>
      </c>
    </row>
    <row r="199" spans="1:10" x14ac:dyDescent="0.25">
      <c r="A199" s="1">
        <f ca="1">IF(A198="ID",1,IF(ISBLANK(B199),"",MAX(A$2:A198)+1))</f>
        <v>203</v>
      </c>
      <c r="B199" s="7" t="s">
        <v>54</v>
      </c>
      <c r="C199" s="7" t="s">
        <v>13</v>
      </c>
      <c r="D199" s="7" t="s">
        <v>42</v>
      </c>
      <c r="E199" s="7" t="s">
        <v>38</v>
      </c>
      <c r="F199" s="7" t="s">
        <v>41</v>
      </c>
      <c r="G199" s="7" t="s">
        <v>37</v>
      </c>
      <c r="I199" s="2" t="str">
        <f ca="1">IF(ISNUMBER(A199),
IF(COUNTIFS(Equipar!B:B,1,Equipar!AC:AC,A199),"Equipada",
IF(
OR(COUNTIFS(Equipar!B:B,1,Equipar!C:C,A199)
 +COUNTIFS(Equipar!B:B,1,Equipar!D:D,A199)
+COUNTIFS(Equipar!B:B,1,Equipar!E:E,A199)
+COUNTIFS(Equipar!B:B,1,Equipar!F:F,A199)
&gt;0,COUNTIF('Set recomendado'!B:B,C199)=0),
"Bloqueada",
"Desechable")),""
)</f>
        <v>Desechable</v>
      </c>
      <c r="J199" t="str" cm="1">
        <f t="array" aca="1" ref="J199" ca="1">IF(ISNUMBER(A199),IFERROR(_xlfn._xlws.FILTER(Equipar!A:A,(Equipar!B:B=1)*(Equipar!AC:AC=A199)),""),"")</f>
        <v/>
      </c>
    </row>
    <row r="200" spans="1:10" x14ac:dyDescent="0.25">
      <c r="A200" s="1">
        <f ca="1">IF(A199="ID",1,IF(ISBLANK(B200),"",MAX(A$2:A199)+1))</f>
        <v>204</v>
      </c>
      <c r="B200" s="7" t="s">
        <v>54</v>
      </c>
      <c r="C200" s="7" t="s">
        <v>13</v>
      </c>
      <c r="D200" s="7" t="s">
        <v>42</v>
      </c>
      <c r="E200" s="7" t="s">
        <v>37</v>
      </c>
      <c r="F200" s="7" t="s">
        <v>37</v>
      </c>
      <c r="G200" s="7" t="s">
        <v>41</v>
      </c>
      <c r="I200" s="2" t="str">
        <f ca="1">IF(ISNUMBER(A200),
IF(COUNTIFS(Equipar!B:B,1,Equipar!AC:AC,A200),"Equipada",
IF(
OR(COUNTIFS(Equipar!B:B,1,Equipar!C:C,A200)
 +COUNTIFS(Equipar!B:B,1,Equipar!D:D,A200)
+COUNTIFS(Equipar!B:B,1,Equipar!E:E,A200)
+COUNTIFS(Equipar!B:B,1,Equipar!F:F,A200)
&gt;0,COUNTIF('Set recomendado'!B:B,C200)=0),
"Bloqueada",
"Desechable")),""
)</f>
        <v>Bloqueada</v>
      </c>
      <c r="J200" t="str" cm="1">
        <f t="array" aca="1" ref="J200" ca="1">IF(ISNUMBER(A200),IFERROR(_xlfn._xlws.FILTER(Equipar!A:A,(Equipar!B:B=1)*(Equipar!AC:AC=A200)),""),"")</f>
        <v/>
      </c>
    </row>
    <row r="201" spans="1:10" x14ac:dyDescent="0.25">
      <c r="A201" s="1">
        <f ca="1">IF(A200="ID",1,IF(ISBLANK(B201),"",MAX(A$2:A200)+1))</f>
        <v>205</v>
      </c>
      <c r="B201" s="7" t="s">
        <v>54</v>
      </c>
      <c r="C201" s="7" t="s">
        <v>22</v>
      </c>
      <c r="D201" s="7" t="s">
        <v>37</v>
      </c>
      <c r="E201" s="7" t="s">
        <v>38</v>
      </c>
      <c r="F201" s="7" t="s">
        <v>34</v>
      </c>
      <c r="G201" s="7" t="s">
        <v>41</v>
      </c>
      <c r="I201" s="2" t="str">
        <f ca="1">IF(ISNUMBER(A201),
IF(COUNTIFS(Equipar!B:B,1,Equipar!AC:AC,A201),"Equipada",
IF(
OR(COUNTIFS(Equipar!B:B,1,Equipar!C:C,A201)
 +COUNTIFS(Equipar!B:B,1,Equipar!D:D,A201)
+COUNTIFS(Equipar!B:B,1,Equipar!E:E,A201)
+COUNTIFS(Equipar!B:B,1,Equipar!F:F,A201)
&gt;0,COUNTIF('Set recomendado'!B:B,C201)=0),
"Bloqueada",
"Desechable")),""
)</f>
        <v>Desechable</v>
      </c>
      <c r="J201" t="str" cm="1">
        <f t="array" aca="1" ref="J201" ca="1">IF(ISNUMBER(A201),IFERROR(_xlfn._xlws.FILTER(Equipar!A:A,(Equipar!B:B=1)*(Equipar!AC:AC=A201)),""),"")</f>
        <v/>
      </c>
    </row>
    <row r="202" spans="1:10" x14ac:dyDescent="0.25">
      <c r="A202" s="1">
        <f ca="1">IF(A201="ID",1,IF(ISBLANK(B202),"",MAX(A$2:A201)+1))</f>
        <v>206</v>
      </c>
      <c r="B202" s="7" t="s">
        <v>54</v>
      </c>
      <c r="C202" s="7" t="s">
        <v>22</v>
      </c>
      <c r="D202" s="7" t="s">
        <v>37</v>
      </c>
      <c r="E202" s="7" t="s">
        <v>32</v>
      </c>
      <c r="F202" s="7" t="s">
        <v>44</v>
      </c>
      <c r="G202" s="7" t="s">
        <v>38</v>
      </c>
      <c r="I202" s="2" t="str">
        <f ca="1">IF(ISNUMBER(A202),
IF(COUNTIFS(Equipar!B:B,1,Equipar!AC:AC,A202),"Equipada",
IF(
OR(COUNTIFS(Equipar!B:B,1,Equipar!C:C,A202)
 +COUNTIFS(Equipar!B:B,1,Equipar!D:D,A202)
+COUNTIFS(Equipar!B:B,1,Equipar!E:E,A202)
+COUNTIFS(Equipar!B:B,1,Equipar!F:F,A202)
&gt;0,COUNTIF('Set recomendado'!B:B,C202)=0),
"Bloqueada",
"Desechable")),""
)</f>
        <v>Desechable</v>
      </c>
      <c r="J202" t="str" cm="1">
        <f t="array" aca="1" ref="J202" ca="1">IF(ISNUMBER(A202),IFERROR(_xlfn._xlws.FILTER(Equipar!A:A,(Equipar!B:B=1)*(Equipar!AC:AC=A202)),""),"")</f>
        <v/>
      </c>
    </row>
    <row r="203" spans="1:10" x14ac:dyDescent="0.25">
      <c r="A203" s="1">
        <f ca="1">IF(A202="ID",1,IF(ISBLANK(B203),"",MAX(A$2:A202)+1))</f>
        <v>207</v>
      </c>
      <c r="B203" s="7" t="s">
        <v>54</v>
      </c>
      <c r="C203" s="7" t="s">
        <v>16</v>
      </c>
      <c r="D203" s="7" t="s">
        <v>38</v>
      </c>
      <c r="E203" s="7" t="s">
        <v>32</v>
      </c>
      <c r="F203" s="7" t="s">
        <v>41</v>
      </c>
      <c r="I203" s="2" t="str">
        <f ca="1">IF(ISNUMBER(A203),
IF(COUNTIFS(Equipar!B:B,1,Equipar!AC:AC,A203),"Equipada",
IF(
OR(COUNTIFS(Equipar!B:B,1,Equipar!C:C,A203)
 +COUNTIFS(Equipar!B:B,1,Equipar!D:D,A203)
+COUNTIFS(Equipar!B:B,1,Equipar!E:E,A203)
+COUNTIFS(Equipar!B:B,1,Equipar!F:F,A203)
&gt;0,COUNTIF('Set recomendado'!B:B,C203)=0),
"Bloqueada",
"Desechable")),""
)</f>
        <v>Desechable</v>
      </c>
      <c r="J203" t="str" cm="1">
        <f t="array" aca="1" ref="J203" ca="1">IF(ISNUMBER(A203),IFERROR(_xlfn._xlws.FILTER(Equipar!A:A,(Equipar!B:B=1)*(Equipar!AC:AC=A203)),""),"")</f>
        <v/>
      </c>
    </row>
    <row r="204" spans="1:10" x14ac:dyDescent="0.25">
      <c r="A204" s="1">
        <f ca="1">IF(A203="ID",1,IF(ISBLANK(B204),"",MAX(A$2:A203)+1))</f>
        <v>208</v>
      </c>
      <c r="B204" s="7" t="s">
        <v>54</v>
      </c>
      <c r="C204" s="7" t="s">
        <v>16</v>
      </c>
      <c r="D204" s="7" t="s">
        <v>38</v>
      </c>
      <c r="E204" s="7" t="s">
        <v>36</v>
      </c>
      <c r="F204" s="7" t="s">
        <v>42</v>
      </c>
      <c r="I204" s="2" t="str">
        <f ca="1">IF(ISNUMBER(A204),
IF(COUNTIFS(Equipar!B:B,1,Equipar!AC:AC,A204),"Equipada",
IF(
OR(COUNTIFS(Equipar!B:B,1,Equipar!C:C,A204)
 +COUNTIFS(Equipar!B:B,1,Equipar!D:D,A204)
+COUNTIFS(Equipar!B:B,1,Equipar!E:E,A204)
+COUNTIFS(Equipar!B:B,1,Equipar!F:F,A204)
&gt;0,COUNTIF('Set recomendado'!B:B,C204)=0),
"Bloqueada",
"Desechable")),""
)</f>
        <v>Desechable</v>
      </c>
      <c r="J204" t="str" cm="1">
        <f t="array" aca="1" ref="J204" ca="1">IF(ISNUMBER(A204),IFERROR(_xlfn._xlws.FILTER(Equipar!A:A,(Equipar!B:B=1)*(Equipar!AC:AC=A204)),""),"")</f>
        <v/>
      </c>
    </row>
    <row r="205" spans="1:10" x14ac:dyDescent="0.25">
      <c r="A205" s="1">
        <f ca="1">IF(A204="ID",1,IF(ISBLANK(B205),"",MAX(A$2:A204)+1))</f>
        <v>209</v>
      </c>
      <c r="B205" s="7" t="s">
        <v>54</v>
      </c>
      <c r="C205" s="7" t="s">
        <v>55</v>
      </c>
      <c r="D205" s="7" t="s">
        <v>41</v>
      </c>
      <c r="E205" s="7" t="s">
        <v>44</v>
      </c>
      <c r="F205" s="7" t="s">
        <v>34</v>
      </c>
      <c r="G205" s="7" t="s">
        <v>32</v>
      </c>
      <c r="I205" s="2" t="str">
        <f ca="1">IF(ISNUMBER(A205),
IF(COUNTIFS(Equipar!B:B,1,Equipar!AC:AC,A205),"Equipada",
IF(
OR(COUNTIFS(Equipar!B:B,1,Equipar!C:C,A205)
 +COUNTIFS(Equipar!B:B,1,Equipar!D:D,A205)
+COUNTIFS(Equipar!B:B,1,Equipar!E:E,A205)
+COUNTIFS(Equipar!B:B,1,Equipar!F:F,A205)
&gt;0,COUNTIF('Set recomendado'!B:B,C205)=0),
"Bloqueada",
"Desechable")),""
)</f>
        <v>Desechable</v>
      </c>
      <c r="J205" t="str" cm="1">
        <f t="array" aca="1" ref="J205" ca="1">IF(ISNUMBER(A205),IFERROR(_xlfn._xlws.FILTER(Equipar!A:A,(Equipar!B:B=1)*(Equipar!AC:AC=A205)),""),"")</f>
        <v/>
      </c>
    </row>
    <row r="206" spans="1:10" x14ac:dyDescent="0.25">
      <c r="A206" s="1">
        <f ca="1">IF(A205="ID",1,IF(ISBLANK(B206),"",MAX(A$2:A205)+1))</f>
        <v>210</v>
      </c>
      <c r="B206" s="7" t="s">
        <v>54</v>
      </c>
      <c r="C206" s="7" t="s">
        <v>55</v>
      </c>
      <c r="D206" s="7" t="s">
        <v>41</v>
      </c>
      <c r="E206" s="7" t="s">
        <v>36</v>
      </c>
      <c r="F206" s="7" t="s">
        <v>43</v>
      </c>
      <c r="G206" s="7" t="s">
        <v>43</v>
      </c>
      <c r="I206" s="2" t="str">
        <f ca="1">IF(ISNUMBER(A206),
IF(COUNTIFS(Equipar!B:B,1,Equipar!AC:AC,A206),"Equipada",
IF(
OR(COUNTIFS(Equipar!B:B,1,Equipar!C:C,A206)
 +COUNTIFS(Equipar!B:B,1,Equipar!D:D,A206)
+COUNTIFS(Equipar!B:B,1,Equipar!E:E,A206)
+COUNTIFS(Equipar!B:B,1,Equipar!F:F,A206)
&gt;0,COUNTIF('Set recomendado'!B:B,C206)=0),
"Bloqueada",
"Desechable")),""
)</f>
        <v>Desechable</v>
      </c>
      <c r="J206" t="str" cm="1">
        <f t="array" aca="1" ref="J206" ca="1">IF(ISNUMBER(A206),IFERROR(_xlfn._xlws.FILTER(Equipar!A:A,(Equipar!B:B=1)*(Equipar!AC:AC=A206)),""),"")</f>
        <v/>
      </c>
    </row>
    <row r="207" spans="1:10" x14ac:dyDescent="0.25">
      <c r="A207" s="1">
        <f ca="1">IF(A206="ID",1,IF(ISBLANK(B207),"",MAX(A$2:A206)+1))</f>
        <v>211</v>
      </c>
      <c r="B207" s="7" t="s">
        <v>54</v>
      </c>
      <c r="C207" s="7" t="s">
        <v>55</v>
      </c>
      <c r="D207" s="7" t="s">
        <v>41</v>
      </c>
      <c r="E207" s="7" t="s">
        <v>32</v>
      </c>
      <c r="F207" s="7" t="s">
        <v>43</v>
      </c>
      <c r="I207" s="2" t="str">
        <f ca="1">IF(ISNUMBER(A207),
IF(COUNTIFS(Equipar!B:B,1,Equipar!AC:AC,A207),"Equipada",
IF(
OR(COUNTIFS(Equipar!B:B,1,Equipar!C:C,A207)
 +COUNTIFS(Equipar!B:B,1,Equipar!D:D,A207)
+COUNTIFS(Equipar!B:B,1,Equipar!E:E,A207)
+COUNTIFS(Equipar!B:B,1,Equipar!F:F,A207)
&gt;0,COUNTIF('Set recomendado'!B:B,C207)=0),
"Bloqueada",
"Desechable")),""
)</f>
        <v>Desechable</v>
      </c>
      <c r="J207" t="str" cm="1">
        <f t="array" aca="1" ref="J207" ca="1">IF(ISNUMBER(A207),IFERROR(_xlfn._xlws.FILTER(Equipar!A:A,(Equipar!B:B=1)*(Equipar!AC:AC=A207)),""),"")</f>
        <v/>
      </c>
    </row>
    <row r="208" spans="1:10" x14ac:dyDescent="0.25">
      <c r="A208" s="1">
        <f ca="1">IF(A207="ID",1,IF(ISBLANK(B208),"",MAX(A$2:A207)+1))</f>
        <v>212</v>
      </c>
      <c r="B208" s="7" t="s">
        <v>54</v>
      </c>
      <c r="C208" s="7" t="s">
        <v>21</v>
      </c>
      <c r="D208" s="7" t="s">
        <v>37</v>
      </c>
      <c r="E208" s="7" t="s">
        <v>42</v>
      </c>
      <c r="F208" s="7" t="s">
        <v>32</v>
      </c>
      <c r="I208" s="2" t="str">
        <f ca="1">IF(ISNUMBER(A208),
IF(COUNTIFS(Equipar!B:B,1,Equipar!AC:AC,A208),"Equipada",
IF(
OR(COUNTIFS(Equipar!B:B,1,Equipar!C:C,A208)
 +COUNTIFS(Equipar!B:B,1,Equipar!D:D,A208)
+COUNTIFS(Equipar!B:B,1,Equipar!E:E,A208)
+COUNTIFS(Equipar!B:B,1,Equipar!F:F,A208)
&gt;0,COUNTIF('Set recomendado'!B:B,C208)=0),
"Bloqueada",
"Desechable")),""
)</f>
        <v>Desechable</v>
      </c>
      <c r="J208" t="str" cm="1">
        <f t="array" aca="1" ref="J208" ca="1">IF(ISNUMBER(A208),IFERROR(_xlfn._xlws.FILTER(Equipar!A:A,(Equipar!B:B=1)*(Equipar!AC:AC=A208)),""),"")</f>
        <v/>
      </c>
    </row>
    <row r="209" spans="1:10" x14ac:dyDescent="0.25">
      <c r="A209" s="1">
        <f ca="1">IF(A208="ID",1,IF(ISBLANK(B209),"",MAX(A$2:A208)+1))</f>
        <v>213</v>
      </c>
      <c r="B209" s="7" t="s">
        <v>54</v>
      </c>
      <c r="C209" s="7" t="s">
        <v>29</v>
      </c>
      <c r="D209" s="7" t="s">
        <v>32</v>
      </c>
      <c r="E209" s="7" t="s">
        <v>41</v>
      </c>
      <c r="F209" s="7" t="s">
        <v>32</v>
      </c>
      <c r="I209" s="2" t="str">
        <f ca="1">IF(ISNUMBER(A209),
IF(COUNTIFS(Equipar!B:B,1,Equipar!AC:AC,A209),"Equipada",
IF(
OR(COUNTIFS(Equipar!B:B,1,Equipar!C:C,A209)
 +COUNTIFS(Equipar!B:B,1,Equipar!D:D,A209)
+COUNTIFS(Equipar!B:B,1,Equipar!E:E,A209)
+COUNTIFS(Equipar!B:B,1,Equipar!F:F,A209)
&gt;0,COUNTIF('Set recomendado'!B:B,C209)=0),
"Bloqueada",
"Desechable")),""
)</f>
        <v>Desechable</v>
      </c>
      <c r="J209" t="str" cm="1">
        <f t="array" aca="1" ref="J209" ca="1">IF(ISNUMBER(A209),IFERROR(_xlfn._xlws.FILTER(Equipar!A:A,(Equipar!B:B=1)*(Equipar!AC:AC=A209)),""),"")</f>
        <v/>
      </c>
    </row>
    <row r="210" spans="1:10" x14ac:dyDescent="0.25">
      <c r="A210" s="1">
        <f ca="1">IF(A209="ID",1,IF(ISBLANK(B210),"",MAX(A$2:A209)+1))</f>
        <v>214</v>
      </c>
      <c r="B210" s="7" t="s">
        <v>54</v>
      </c>
      <c r="C210" s="7" t="s">
        <v>29</v>
      </c>
      <c r="D210" s="7" t="s">
        <v>32</v>
      </c>
      <c r="E210" s="7" t="s">
        <v>41</v>
      </c>
      <c r="F210" s="7" t="s">
        <v>32</v>
      </c>
      <c r="I210" s="2" t="str">
        <f ca="1">IF(ISNUMBER(A210),
IF(COUNTIFS(Equipar!B:B,1,Equipar!AC:AC,A210),"Equipada",
IF(
OR(COUNTIFS(Equipar!B:B,1,Equipar!C:C,A210)
 +COUNTIFS(Equipar!B:B,1,Equipar!D:D,A210)
+COUNTIFS(Equipar!B:B,1,Equipar!E:E,A210)
+COUNTIFS(Equipar!B:B,1,Equipar!F:F,A210)
&gt;0,COUNTIF('Set recomendado'!B:B,C210)=0),
"Bloqueada",
"Desechable")),""
)</f>
        <v>Desechable</v>
      </c>
      <c r="J210" t="str" cm="1">
        <f t="array" aca="1" ref="J210" ca="1">IF(ISNUMBER(A210),IFERROR(_xlfn._xlws.FILTER(Equipar!A:A,(Equipar!B:B=1)*(Equipar!AC:AC=A210)),""),"")</f>
        <v/>
      </c>
    </row>
    <row r="211" spans="1:10" x14ac:dyDescent="0.25">
      <c r="A211" s="1" t="str">
        <f ca="1">IF(A210="ID",1,IF(ISBLANK(B211),"",MAX(A$2:A210)+1))</f>
        <v/>
      </c>
      <c r="I211" s="2" t="str">
        <f ca="1">IF(ISNUMBER(A211),
IF(COUNTIFS(Equipar!B:B,1,Equipar!AC:AC,A211),"Equipada",
IF(
OR(COUNTIFS(Equipar!B:B,1,Equipar!C:C,A211)
 +COUNTIFS(Equipar!B:B,1,Equipar!D:D,A211)
+COUNTIFS(Equipar!B:B,1,Equipar!E:E,A211)
+COUNTIFS(Equipar!B:B,1,Equipar!F:F,A211)
&gt;0,COUNTIF('Set recomendado'!B:B,C211)=0),
"Bloqueada",
"Desechable")),""
)</f>
        <v/>
      </c>
      <c r="J211" t="str" cm="1">
        <f t="array" aca="1" ref="J211" ca="1">IF(ISNUMBER(A211),IFERROR(_xlfn._xlws.FILTER(Equipar!A:A,(Equipar!B:B=1)*(Equipar!AC:AC=A211)),""),"")</f>
        <v/>
      </c>
    </row>
    <row r="212" spans="1:10" x14ac:dyDescent="0.25">
      <c r="A212" s="1" t="str">
        <f ca="1">IF(A211="ID",1,IF(ISBLANK(B212),"",MAX(A$2:A211)+1))</f>
        <v/>
      </c>
      <c r="I212" s="2" t="str">
        <f ca="1">IF(ISNUMBER(A212),
IF(COUNTIFS(Equipar!B:B,1,Equipar!AC:AC,A212),"Equipada",
IF(
OR(COUNTIFS(Equipar!B:B,1,Equipar!C:C,A212)
 +COUNTIFS(Equipar!B:B,1,Equipar!D:D,A212)
+COUNTIFS(Equipar!B:B,1,Equipar!E:E,A212)
+COUNTIFS(Equipar!B:B,1,Equipar!F:F,A212)
&gt;0,COUNTIF('Set recomendado'!B:B,C212)=0),
"Bloqueada",
"Desechable")),""
)</f>
        <v/>
      </c>
      <c r="J212" t="str" cm="1">
        <f t="array" aca="1" ref="J212" ca="1">IF(ISNUMBER(A212),IFERROR(_xlfn._xlws.FILTER(Equipar!A:A,(Equipar!B:B=1)*(Equipar!AC:AC=A212)),""),"")</f>
        <v/>
      </c>
    </row>
    <row r="213" spans="1:10" x14ac:dyDescent="0.25">
      <c r="A213" s="1" t="str">
        <f ca="1">IF(A212="ID",1,IF(ISBLANK(B213),"",MAX(A$2:A212)+1))</f>
        <v/>
      </c>
      <c r="I213" s="2" t="str">
        <f ca="1">IF(ISNUMBER(A213),
IF(COUNTIFS(Equipar!B:B,1,Equipar!AC:AC,A213),"Equipada",
IF(
OR(COUNTIFS(Equipar!B:B,1,Equipar!C:C,A213)
 +COUNTIFS(Equipar!B:B,1,Equipar!D:D,A213)
+COUNTIFS(Equipar!B:B,1,Equipar!E:E,A213)
+COUNTIFS(Equipar!B:B,1,Equipar!F:F,A213)
&gt;0,COUNTIF('Set recomendado'!B:B,C213)=0),
"Bloqueada",
"Desechable")),""
)</f>
        <v/>
      </c>
      <c r="J213" t="str" cm="1">
        <f t="array" aca="1" ref="J213" ca="1">IF(ISNUMBER(A213),IFERROR(_xlfn._xlws.FILTER(Equipar!A:A,(Equipar!B:B=1)*(Equipar!AC:AC=A213)),""),"")</f>
        <v/>
      </c>
    </row>
    <row r="214" spans="1:10" x14ac:dyDescent="0.25">
      <c r="A214" s="1" t="str">
        <f ca="1">IF(A213="ID",1,IF(ISBLANK(B214),"",MAX(A$2:A213)+1))</f>
        <v/>
      </c>
      <c r="I214" s="2" t="str">
        <f ca="1">IF(ISNUMBER(A214),
IF(COUNTIFS(Equipar!B:B,1,Equipar!AC:AC,A214),"Equipada",
IF(
OR(COUNTIFS(Equipar!B:B,1,Equipar!C:C,A214)
 +COUNTIFS(Equipar!B:B,1,Equipar!D:D,A214)
+COUNTIFS(Equipar!B:B,1,Equipar!E:E,A214)
+COUNTIFS(Equipar!B:B,1,Equipar!F:F,A214)
&gt;0,COUNTIF('Set recomendado'!B:B,C214)=0),
"Bloqueada",
"Desechable")),""
)</f>
        <v/>
      </c>
      <c r="J214" t="str" cm="1">
        <f t="array" aca="1" ref="J214" ca="1">IF(ISNUMBER(A214),IFERROR(_xlfn._xlws.FILTER(Equipar!A:A,(Equipar!B:B=1)*(Equipar!AC:AC=A214)),""),"")</f>
        <v/>
      </c>
    </row>
    <row r="215" spans="1:10" x14ac:dyDescent="0.25">
      <c r="A215" s="1" t="str">
        <f ca="1">IF(A214="ID",1,IF(ISBLANK(B215),"",MAX(A$2:A214)+1))</f>
        <v/>
      </c>
      <c r="I215" s="2" t="str">
        <f ca="1">IF(ISNUMBER(A215),
IF(COUNTIFS(Equipar!B:B,1,Equipar!AC:AC,A215),"Equipada",
IF(
OR(COUNTIFS(Equipar!B:B,1,Equipar!C:C,A215)
 +COUNTIFS(Equipar!B:B,1,Equipar!D:D,A215)
+COUNTIFS(Equipar!B:B,1,Equipar!E:E,A215)
+COUNTIFS(Equipar!B:B,1,Equipar!F:F,A215)
&gt;0,COUNTIF('Set recomendado'!B:B,C215)=0),
"Bloqueada",
"Desechable")),""
)</f>
        <v/>
      </c>
      <c r="J215" t="str" cm="1">
        <f t="array" aca="1" ref="J215" ca="1">IF(ISNUMBER(A215),IFERROR(_xlfn._xlws.FILTER(Equipar!A:A,(Equipar!B:B=1)*(Equipar!AC:AC=A215)),""),"")</f>
        <v/>
      </c>
    </row>
    <row r="216" spans="1:10" x14ac:dyDescent="0.25">
      <c r="A216" s="1" t="str">
        <f ca="1">IF(A215="ID",1,IF(ISBLANK(B216),"",MAX(A$2:A215)+1))</f>
        <v/>
      </c>
      <c r="I216" s="2" t="str">
        <f ca="1">IF(ISNUMBER(A216),
IF(COUNTIFS(Equipar!B:B,1,Equipar!AC:AC,A216),"Equipada",
IF(
OR(COUNTIFS(Equipar!B:B,1,Equipar!C:C,A216)
 +COUNTIFS(Equipar!B:B,1,Equipar!D:D,A216)
+COUNTIFS(Equipar!B:B,1,Equipar!E:E,A216)
+COUNTIFS(Equipar!B:B,1,Equipar!F:F,A216)
&gt;0,COUNTIF('Set recomendado'!B:B,C216)=0),
"Bloqueada",
"Desechable")),""
)</f>
        <v/>
      </c>
      <c r="J216" t="str" cm="1">
        <f t="array" aca="1" ref="J216" ca="1">IF(ISNUMBER(A216),IFERROR(_xlfn._xlws.FILTER(Equipar!A:A,(Equipar!B:B=1)*(Equipar!AC:AC=A216)),""),"")</f>
        <v/>
      </c>
    </row>
    <row r="217" spans="1:10" x14ac:dyDescent="0.25">
      <c r="A217" s="1" t="str">
        <f ca="1">IF(A216="ID",1,IF(ISBLANK(B217),"",MAX(A$2:A216)+1))</f>
        <v/>
      </c>
      <c r="I217" s="2" t="str">
        <f ca="1">IF(ISNUMBER(A217),
IF(COUNTIFS(Equipar!B:B,1,Equipar!AC:AC,A217),"Equipada",
IF(
OR(COUNTIFS(Equipar!B:B,1,Equipar!C:C,A217)
 +COUNTIFS(Equipar!B:B,1,Equipar!D:D,A217)
+COUNTIFS(Equipar!B:B,1,Equipar!E:E,A217)
+COUNTIFS(Equipar!B:B,1,Equipar!F:F,A217)
&gt;0,COUNTIF('Set recomendado'!B:B,C217)=0),
"Bloqueada",
"Desechable")),""
)</f>
        <v/>
      </c>
      <c r="J217" t="str" cm="1">
        <f t="array" aca="1" ref="J217" ca="1">IF(ISNUMBER(A217),IFERROR(_xlfn._xlws.FILTER(Equipar!A:A,(Equipar!B:B=1)*(Equipar!AC:AC=A217)),""),"")</f>
        <v/>
      </c>
    </row>
    <row r="218" spans="1:10" x14ac:dyDescent="0.25">
      <c r="A218" s="1" t="str">
        <f ca="1">IF(A217="ID",1,IF(ISBLANK(B218),"",MAX(A$2:A217)+1))</f>
        <v/>
      </c>
      <c r="I218" s="2" t="str">
        <f ca="1">IF(ISNUMBER(A218),
IF(COUNTIFS(Equipar!B:B,1,Equipar!AC:AC,A218),"Equipada",
IF(
OR(COUNTIFS(Equipar!B:B,1,Equipar!C:C,A218)
 +COUNTIFS(Equipar!B:B,1,Equipar!D:D,A218)
+COUNTIFS(Equipar!B:B,1,Equipar!E:E,A218)
+COUNTIFS(Equipar!B:B,1,Equipar!F:F,A218)
&gt;0,COUNTIF('Set recomendado'!B:B,C218)=0),
"Bloqueada",
"Desechable")),""
)</f>
        <v/>
      </c>
      <c r="J218" t="str" cm="1">
        <f t="array" aca="1" ref="J218" ca="1">IF(ISNUMBER(A218),IFERROR(_xlfn._xlws.FILTER(Equipar!A:A,(Equipar!B:B=1)*(Equipar!AC:AC=A218)),""),"")</f>
        <v/>
      </c>
    </row>
    <row r="219" spans="1:10" x14ac:dyDescent="0.25">
      <c r="A219" s="1" t="str">
        <f ca="1">IF(A218="ID",1,IF(ISBLANK(B219),"",MAX(A$2:A218)+1))</f>
        <v/>
      </c>
      <c r="I219" s="2" t="str">
        <f ca="1">IF(ISNUMBER(A219),
IF(COUNTIFS(Equipar!B:B,1,Equipar!AC:AC,A219),"Equipada",
IF(
OR(COUNTIFS(Equipar!B:B,1,Equipar!C:C,A219)
 +COUNTIFS(Equipar!B:B,1,Equipar!D:D,A219)
+COUNTIFS(Equipar!B:B,1,Equipar!E:E,A219)
+COUNTIFS(Equipar!B:B,1,Equipar!F:F,A219)
&gt;0,COUNTIF('Set recomendado'!B:B,C219)=0),
"Bloqueada",
"Desechable")),""
)</f>
        <v/>
      </c>
      <c r="J219" t="str" cm="1">
        <f t="array" aca="1" ref="J219" ca="1">IF(ISNUMBER(A219),IFERROR(_xlfn._xlws.FILTER(Equipar!A:A,(Equipar!B:B=1)*(Equipar!AC:AC=A219)),""),"")</f>
        <v/>
      </c>
    </row>
    <row r="220" spans="1:10" x14ac:dyDescent="0.25">
      <c r="A220" s="1" t="str">
        <f ca="1">IF(A219="ID",1,IF(ISBLANK(B220),"",MAX(A$2:A219)+1))</f>
        <v/>
      </c>
      <c r="I220" s="2" t="str">
        <f ca="1">IF(ISNUMBER(A220),
IF(COUNTIFS(Equipar!B:B,1,Equipar!AC:AC,A220),"Equipada",
IF(
OR(COUNTIFS(Equipar!B:B,1,Equipar!C:C,A220)
 +COUNTIFS(Equipar!B:B,1,Equipar!D:D,A220)
+COUNTIFS(Equipar!B:B,1,Equipar!E:E,A220)
+COUNTIFS(Equipar!B:B,1,Equipar!F:F,A220)
&gt;0,COUNTIF('Set recomendado'!B:B,C220)=0),
"Bloqueada",
"Desechable")),""
)</f>
        <v/>
      </c>
      <c r="J220" t="str" cm="1">
        <f t="array" aca="1" ref="J220" ca="1">IF(ISNUMBER(A220),IFERROR(_xlfn._xlws.FILTER(Equipar!A:A,(Equipar!B:B=1)*(Equipar!AC:AC=A220)),""),"")</f>
        <v/>
      </c>
    </row>
    <row r="221" spans="1:10" x14ac:dyDescent="0.25">
      <c r="A221" s="1" t="str">
        <f ca="1">IF(A220="ID",1,IF(ISBLANK(B221),"",MAX(A$2:A220)+1))</f>
        <v/>
      </c>
      <c r="I221" s="2" t="str">
        <f ca="1">IF(ISNUMBER(A221),
IF(COUNTIFS(Equipar!B:B,1,Equipar!AC:AC,A221),"Equipada",
IF(
OR(COUNTIFS(Equipar!B:B,1,Equipar!C:C,A221)
 +COUNTIFS(Equipar!B:B,1,Equipar!D:D,A221)
+COUNTIFS(Equipar!B:B,1,Equipar!E:E,A221)
+COUNTIFS(Equipar!B:B,1,Equipar!F:F,A221)
&gt;0,COUNTIF('Set recomendado'!B:B,C221)=0),
"Bloqueada",
"Desechable")),""
)</f>
        <v/>
      </c>
      <c r="J221" t="str" cm="1">
        <f t="array" aca="1" ref="J221" ca="1">IF(ISNUMBER(A221),IFERROR(_xlfn._xlws.FILTER(Equipar!A:A,(Equipar!B:B=1)*(Equipar!AC:AC=A221)),""),"")</f>
        <v/>
      </c>
    </row>
    <row r="222" spans="1:10" x14ac:dyDescent="0.25">
      <c r="A222" s="1" t="str">
        <f ca="1">IF(A221="ID",1,IF(ISBLANK(B222),"",MAX(A$2:A221)+1))</f>
        <v/>
      </c>
      <c r="I222" s="2" t="str">
        <f ca="1">IF(ISNUMBER(A222),
IF(COUNTIFS(Equipar!B:B,1,Equipar!AC:AC,A222),"Equipada",
IF(
OR(COUNTIFS(Equipar!B:B,1,Equipar!C:C,A222)
 +COUNTIFS(Equipar!B:B,1,Equipar!D:D,A222)
+COUNTIFS(Equipar!B:B,1,Equipar!E:E,A222)
+COUNTIFS(Equipar!B:B,1,Equipar!F:F,A222)
&gt;0,COUNTIF('Set recomendado'!B:B,C222)=0),
"Bloqueada",
"Desechable")),""
)</f>
        <v/>
      </c>
      <c r="J222" t="str" cm="1">
        <f t="array" aca="1" ref="J222" ca="1">IF(ISNUMBER(A222),IFERROR(_xlfn._xlws.FILTER(Equipar!A:A,(Equipar!B:B=1)*(Equipar!AC:AC=A222)),""),"")</f>
        <v/>
      </c>
    </row>
    <row r="223" spans="1:10" x14ac:dyDescent="0.25">
      <c r="A223" s="1" t="str">
        <f ca="1">IF(A222="ID",1,IF(ISBLANK(B223),"",MAX(A$2:A222)+1))</f>
        <v/>
      </c>
      <c r="I223" s="2" t="str">
        <f ca="1">IF(ISNUMBER(A223),
IF(COUNTIFS(Equipar!B:B,1,Equipar!AC:AC,A223),"Equipada",
IF(
OR(COUNTIFS(Equipar!B:B,1,Equipar!C:C,A223)
 +COUNTIFS(Equipar!B:B,1,Equipar!D:D,A223)
+COUNTIFS(Equipar!B:B,1,Equipar!E:E,A223)
+COUNTIFS(Equipar!B:B,1,Equipar!F:F,A223)
&gt;0,COUNTIF('Set recomendado'!B:B,C223)=0),
"Bloqueada",
"Desechable")),""
)</f>
        <v/>
      </c>
      <c r="J223" t="str" cm="1">
        <f t="array" aca="1" ref="J223" ca="1">IF(ISNUMBER(A223),IFERROR(_xlfn._xlws.FILTER(Equipar!A:A,(Equipar!B:B=1)*(Equipar!AC:AC=A223)),""),"")</f>
        <v/>
      </c>
    </row>
    <row r="224" spans="1:10" x14ac:dyDescent="0.25">
      <c r="A224" s="1" t="str">
        <f ca="1">IF(A223="ID",1,IF(ISBLANK(B224),"",MAX(A$2:A223)+1))</f>
        <v/>
      </c>
      <c r="I224" s="2" t="str">
        <f ca="1">IF(ISNUMBER(A224),
IF(COUNTIFS(Equipar!B:B,1,Equipar!AC:AC,A224),"Equipada",
IF(
OR(COUNTIFS(Equipar!B:B,1,Equipar!C:C,A224)
 +COUNTIFS(Equipar!B:B,1,Equipar!D:D,A224)
+COUNTIFS(Equipar!B:B,1,Equipar!E:E,A224)
+COUNTIFS(Equipar!B:B,1,Equipar!F:F,A224)
&gt;0,COUNTIF('Set recomendado'!B:B,C224)=0),
"Bloqueada",
"Desechable")),""
)</f>
        <v/>
      </c>
      <c r="J224" t="str" cm="1">
        <f t="array" aca="1" ref="J224" ca="1">IF(ISNUMBER(A224),IFERROR(_xlfn._xlws.FILTER(Equipar!A:A,(Equipar!B:B=1)*(Equipar!AC:AC=A224)),""),"")</f>
        <v/>
      </c>
    </row>
    <row r="225" spans="1:10" x14ac:dyDescent="0.25">
      <c r="A225" s="1" t="str">
        <f ca="1">IF(A224="ID",1,IF(ISBLANK(B225),"",MAX(A$2:A224)+1))</f>
        <v/>
      </c>
      <c r="I225" s="2" t="str">
        <f ca="1">IF(ISNUMBER(A225),
IF(COUNTIFS(Equipar!B:B,1,Equipar!AC:AC,A225),"Equipada",
IF(
OR(COUNTIFS(Equipar!B:B,1,Equipar!C:C,A225)
 +COUNTIFS(Equipar!B:B,1,Equipar!D:D,A225)
+COUNTIFS(Equipar!B:B,1,Equipar!E:E,A225)
+COUNTIFS(Equipar!B:B,1,Equipar!F:F,A225)
&gt;0,COUNTIF('Set recomendado'!B:B,C225)=0),
"Bloqueada",
"Desechable")),""
)</f>
        <v/>
      </c>
      <c r="J225" t="str" cm="1">
        <f t="array" aca="1" ref="J225" ca="1">IF(ISNUMBER(A225),IFERROR(_xlfn._xlws.FILTER(Equipar!A:A,(Equipar!B:B=1)*(Equipar!AC:AC=A225)),""),"")</f>
        <v/>
      </c>
    </row>
    <row r="226" spans="1:10" x14ac:dyDescent="0.25">
      <c r="A226" s="1" t="str">
        <f ca="1">IF(A225="ID",1,IF(ISBLANK(B226),"",MAX(A$2:A225)+1))</f>
        <v/>
      </c>
      <c r="I226" s="2" t="str">
        <f ca="1">IF(ISNUMBER(A226),
IF(COUNTIFS(Equipar!B:B,1,Equipar!AC:AC,A226),"Equipada",
IF(
OR(COUNTIFS(Equipar!B:B,1,Equipar!C:C,A226)
 +COUNTIFS(Equipar!B:B,1,Equipar!D:D,A226)
+COUNTIFS(Equipar!B:B,1,Equipar!E:E,A226)
+COUNTIFS(Equipar!B:B,1,Equipar!F:F,A226)
&gt;0,COUNTIF('Set recomendado'!B:B,C226)=0),
"Bloqueada",
"Desechable")),""
)</f>
        <v/>
      </c>
      <c r="J226" t="str" cm="1">
        <f t="array" aca="1" ref="J226" ca="1">IF(ISNUMBER(A226),IFERROR(_xlfn._xlws.FILTER(Equipar!A:A,(Equipar!B:B=1)*(Equipar!AC:AC=A226)),""),"")</f>
        <v/>
      </c>
    </row>
    <row r="227" spans="1:10" x14ac:dyDescent="0.25">
      <c r="A227" s="1" t="str">
        <f ca="1">IF(A226="ID",1,IF(ISBLANK(B227),"",MAX(A$2:A226)+1))</f>
        <v/>
      </c>
      <c r="I227" s="2" t="str">
        <f ca="1">IF(ISNUMBER(A227),
IF(COUNTIFS(Equipar!B:B,1,Equipar!AC:AC,A227),"Equipada",
IF(
OR(COUNTIFS(Equipar!B:B,1,Equipar!C:C,A227)
 +COUNTIFS(Equipar!B:B,1,Equipar!D:D,A227)
+COUNTIFS(Equipar!B:B,1,Equipar!E:E,A227)
+COUNTIFS(Equipar!B:B,1,Equipar!F:F,A227)
&gt;0,COUNTIF('Set recomendado'!B:B,C227)=0),
"Bloqueada",
"Desechable")),""
)</f>
        <v/>
      </c>
      <c r="J227" t="str" cm="1">
        <f t="array" aca="1" ref="J227" ca="1">IF(ISNUMBER(A227),IFERROR(_xlfn._xlws.FILTER(Equipar!A:A,(Equipar!B:B=1)*(Equipar!AC:AC=A227)),""),"")</f>
        <v/>
      </c>
    </row>
    <row r="228" spans="1:10" x14ac:dyDescent="0.25">
      <c r="A228" s="1" t="str">
        <f ca="1">IF(A227="ID",1,IF(ISBLANK(B228),"",MAX(A$2:A227)+1))</f>
        <v/>
      </c>
      <c r="I228" s="2" t="str">
        <f ca="1">IF(ISNUMBER(A228),
IF(COUNTIFS(Equipar!B:B,1,Equipar!AC:AC,A228),"Equipada",
IF(
OR(COUNTIFS(Equipar!B:B,1,Equipar!C:C,A228)
 +COUNTIFS(Equipar!B:B,1,Equipar!D:D,A228)
+COUNTIFS(Equipar!B:B,1,Equipar!E:E,A228)
+COUNTIFS(Equipar!B:B,1,Equipar!F:F,A228)
&gt;0,COUNTIF('Set recomendado'!B:B,C228)=0),
"Bloqueada",
"Desechable")),""
)</f>
        <v/>
      </c>
      <c r="J228" t="str" cm="1">
        <f t="array" aca="1" ref="J228" ca="1">IF(ISNUMBER(A228),IFERROR(_xlfn._xlws.FILTER(Equipar!A:A,(Equipar!B:B=1)*(Equipar!AC:AC=A228)),""),"")</f>
        <v/>
      </c>
    </row>
    <row r="229" spans="1:10" x14ac:dyDescent="0.25">
      <c r="A229" s="1" t="str">
        <f ca="1">IF(A228="ID",1,IF(ISBLANK(B229),"",MAX(A$2:A228)+1))</f>
        <v/>
      </c>
      <c r="I229" s="2" t="str">
        <f ca="1">IF(ISNUMBER(A229),
IF(COUNTIFS(Equipar!B:B,1,Equipar!AC:AC,A229),"Equipada",
IF(
OR(COUNTIFS(Equipar!B:B,1,Equipar!C:C,A229)
 +COUNTIFS(Equipar!B:B,1,Equipar!D:D,A229)
+COUNTIFS(Equipar!B:B,1,Equipar!E:E,A229)
+COUNTIFS(Equipar!B:B,1,Equipar!F:F,A229)
&gt;0,COUNTIF('Set recomendado'!B:B,C229)=0),
"Bloqueada",
"Desechable")),""
)</f>
        <v/>
      </c>
      <c r="J229" t="str" cm="1">
        <f t="array" aca="1" ref="J229" ca="1">IF(ISNUMBER(A229),IFERROR(_xlfn._xlws.FILTER(Equipar!A:A,(Equipar!B:B=1)*(Equipar!AC:AC=A229)),""),"")</f>
        <v/>
      </c>
    </row>
    <row r="230" spans="1:10" x14ac:dyDescent="0.25">
      <c r="A230" s="1" t="str">
        <f ca="1">IF(A229="ID",1,IF(ISBLANK(B230),"",MAX(A$2:A229)+1))</f>
        <v/>
      </c>
      <c r="I230" s="2" t="str">
        <f ca="1">IF(ISNUMBER(A230),
IF(COUNTIFS(Equipar!B:B,1,Equipar!AC:AC,A230),"Equipada",
IF(
OR(COUNTIFS(Equipar!B:B,1,Equipar!C:C,A230)
 +COUNTIFS(Equipar!B:B,1,Equipar!D:D,A230)
+COUNTIFS(Equipar!B:B,1,Equipar!E:E,A230)
+COUNTIFS(Equipar!B:B,1,Equipar!F:F,A230)
&gt;0,COUNTIF('Set recomendado'!B:B,C230)=0),
"Bloqueada",
"Desechable")),""
)</f>
        <v/>
      </c>
      <c r="J230" t="str" cm="1">
        <f t="array" aca="1" ref="J230" ca="1">IF(ISNUMBER(A230),IFERROR(_xlfn._xlws.FILTER(Equipar!A:A,(Equipar!B:B=1)*(Equipar!AC:AC=A230)),""),"")</f>
        <v/>
      </c>
    </row>
    <row r="231" spans="1:10" x14ac:dyDescent="0.25">
      <c r="A231" s="1" t="str">
        <f ca="1">IF(A230="ID",1,IF(ISBLANK(B231),"",MAX(A$2:A230)+1))</f>
        <v/>
      </c>
      <c r="I231" s="2" t="str">
        <f ca="1">IF(ISNUMBER(A231),
IF(COUNTIFS(Equipar!B:B,1,Equipar!AC:AC,A231),"Equipada",
IF(
OR(COUNTIFS(Equipar!B:B,1,Equipar!C:C,A231)
 +COUNTIFS(Equipar!B:B,1,Equipar!D:D,A231)
+COUNTIFS(Equipar!B:B,1,Equipar!E:E,A231)
+COUNTIFS(Equipar!B:B,1,Equipar!F:F,A231)
&gt;0,COUNTIF('Set recomendado'!B:B,C231)=0),
"Bloqueada",
"Desechable")),""
)</f>
        <v/>
      </c>
      <c r="J231" t="str" cm="1">
        <f t="array" aca="1" ref="J231" ca="1">IF(ISNUMBER(A231),IFERROR(_xlfn._xlws.FILTER(Equipar!A:A,(Equipar!B:B=1)*(Equipar!AC:AC=A231)),""),"")</f>
        <v/>
      </c>
    </row>
    <row r="232" spans="1:10" x14ac:dyDescent="0.25">
      <c r="A232" s="1" t="str">
        <f ca="1">IF(A231="ID",1,IF(ISBLANK(B232),"",MAX(A$2:A231)+1))</f>
        <v/>
      </c>
      <c r="I232" s="2" t="str">
        <f ca="1">IF(ISNUMBER(A232),
IF(COUNTIFS(Equipar!B:B,1,Equipar!AC:AC,A232),"Equipada",
IF(
OR(COUNTIFS(Equipar!B:B,1,Equipar!C:C,A232)
 +COUNTIFS(Equipar!B:B,1,Equipar!D:D,A232)
+COUNTIFS(Equipar!B:B,1,Equipar!E:E,A232)
+COUNTIFS(Equipar!B:B,1,Equipar!F:F,A232)
&gt;0,COUNTIF('Set recomendado'!B:B,C232)=0),
"Bloqueada",
"Desechable")),""
)</f>
        <v/>
      </c>
      <c r="J232" t="str" cm="1">
        <f t="array" aca="1" ref="J232" ca="1">IF(ISNUMBER(A232),IFERROR(_xlfn._xlws.FILTER(Equipar!A:A,(Equipar!B:B=1)*(Equipar!AC:AC=A232)),""),"")</f>
        <v/>
      </c>
    </row>
    <row r="233" spans="1:10" x14ac:dyDescent="0.25">
      <c r="A233" s="1" t="str">
        <f ca="1">IF(A232="ID",1,IF(ISBLANK(B233),"",MAX(A$2:A232)+1))</f>
        <v/>
      </c>
      <c r="I233" s="2" t="str">
        <f ca="1">IF(ISNUMBER(A233),
IF(COUNTIFS(Equipar!B:B,1,Equipar!AC:AC,A233),"Equipada",
IF(
OR(COUNTIFS(Equipar!B:B,1,Equipar!C:C,A233)
 +COUNTIFS(Equipar!B:B,1,Equipar!D:D,A233)
+COUNTIFS(Equipar!B:B,1,Equipar!E:E,A233)
+COUNTIFS(Equipar!B:B,1,Equipar!F:F,A233)
&gt;0,COUNTIF('Set recomendado'!B:B,C233)=0),
"Bloqueada",
"Desechable")),""
)</f>
        <v/>
      </c>
      <c r="J233" t="str" cm="1">
        <f t="array" aca="1" ref="J233" ca="1">IF(ISNUMBER(A233),IFERROR(_xlfn._xlws.FILTER(Equipar!A:A,(Equipar!B:B=1)*(Equipar!AC:AC=A233)),""),"")</f>
        <v/>
      </c>
    </row>
    <row r="234" spans="1:10" x14ac:dyDescent="0.25">
      <c r="A234" s="1" t="str">
        <f ca="1">IF(A233="ID",1,IF(ISBLANK(B234),"",MAX(A$2:A233)+1))</f>
        <v/>
      </c>
      <c r="I234" s="2" t="str">
        <f ca="1">IF(ISNUMBER(A234),
IF(COUNTIFS(Equipar!B:B,1,Equipar!AC:AC,A234),"Equipada",
IF(
OR(COUNTIFS(Equipar!B:B,1,Equipar!C:C,A234)
 +COUNTIFS(Equipar!B:B,1,Equipar!D:D,A234)
+COUNTIFS(Equipar!B:B,1,Equipar!E:E,A234)
+COUNTIFS(Equipar!B:B,1,Equipar!F:F,A234)
&gt;0,COUNTIF('Set recomendado'!B:B,C234)=0),
"Bloqueada",
"Desechable")),""
)</f>
        <v/>
      </c>
      <c r="J234" t="str" cm="1">
        <f t="array" aca="1" ref="J234" ca="1">IF(ISNUMBER(A234),IFERROR(_xlfn._xlws.FILTER(Equipar!A:A,(Equipar!B:B=1)*(Equipar!AC:AC=A234)),""),"")</f>
        <v/>
      </c>
    </row>
    <row r="235" spans="1:10" x14ac:dyDescent="0.25">
      <c r="A235" s="1" t="str">
        <f ca="1">IF(A234="ID",1,IF(ISBLANK(B235),"",MAX(A$2:A234)+1))</f>
        <v/>
      </c>
      <c r="I235" s="2" t="str">
        <f ca="1">IF(ISNUMBER(A235),
IF(COUNTIFS(Equipar!B:B,1,Equipar!AC:AC,A235),"Equipada",
IF(
OR(COUNTIFS(Equipar!B:B,1,Equipar!C:C,A235)
 +COUNTIFS(Equipar!B:B,1,Equipar!D:D,A235)
+COUNTIFS(Equipar!B:B,1,Equipar!E:E,A235)
+COUNTIFS(Equipar!B:B,1,Equipar!F:F,A235)
&gt;0,COUNTIF('Set recomendado'!B:B,C235)=0),
"Bloqueada",
"Desechable")),""
)</f>
        <v/>
      </c>
      <c r="J235" t="str" cm="1">
        <f t="array" aca="1" ref="J235" ca="1">IF(ISNUMBER(A235),IFERROR(_xlfn._xlws.FILTER(Equipar!A:A,(Equipar!B:B=1)*(Equipar!AC:AC=A235)),""),"")</f>
        <v/>
      </c>
    </row>
    <row r="236" spans="1:10" x14ac:dyDescent="0.25">
      <c r="A236" s="1" t="str">
        <f ca="1">IF(A235="ID",1,IF(ISBLANK(B236),"",MAX(A$2:A235)+1))</f>
        <v/>
      </c>
      <c r="I236" s="2" t="str">
        <f ca="1">IF(ISNUMBER(A236),
IF(COUNTIFS(Equipar!B:B,1,Equipar!AC:AC,A236),"Equipada",
IF(
OR(COUNTIFS(Equipar!B:B,1,Equipar!C:C,A236)
 +COUNTIFS(Equipar!B:B,1,Equipar!D:D,A236)
+COUNTIFS(Equipar!B:B,1,Equipar!E:E,A236)
+COUNTIFS(Equipar!B:B,1,Equipar!F:F,A236)
&gt;0,COUNTIF('Set recomendado'!B:B,C236)=0),
"Bloqueada",
"Desechable")),""
)</f>
        <v/>
      </c>
      <c r="J236" t="str" cm="1">
        <f t="array" aca="1" ref="J236" ca="1">IF(ISNUMBER(A236),IFERROR(_xlfn._xlws.FILTER(Equipar!A:A,(Equipar!B:B=1)*(Equipar!AC:AC=A236)),""),"")</f>
        <v/>
      </c>
    </row>
    <row r="237" spans="1:10" x14ac:dyDescent="0.25">
      <c r="A237" s="1" t="str">
        <f ca="1">IF(A236="ID",1,IF(ISBLANK(B237),"",MAX(A$2:A236)+1))</f>
        <v/>
      </c>
      <c r="I237" s="2" t="str">
        <f ca="1">IF(ISNUMBER(A237),
IF(COUNTIFS(Equipar!B:B,1,Equipar!AC:AC,A237),"Equipada",
IF(
OR(COUNTIFS(Equipar!B:B,1,Equipar!C:C,A237)
 +COUNTIFS(Equipar!B:B,1,Equipar!D:D,A237)
+COUNTIFS(Equipar!B:B,1,Equipar!E:E,A237)
+COUNTIFS(Equipar!B:B,1,Equipar!F:F,A237)
&gt;0,COUNTIF('Set recomendado'!B:B,C237)=0),
"Bloqueada",
"Desechable")),""
)</f>
        <v/>
      </c>
      <c r="J237" t="str" cm="1">
        <f t="array" aca="1" ref="J237" ca="1">IF(ISNUMBER(A237),IFERROR(_xlfn._xlws.FILTER(Equipar!A:A,(Equipar!B:B=1)*(Equipar!AC:AC=A237)),""),"")</f>
        <v/>
      </c>
    </row>
    <row r="238" spans="1:10" x14ac:dyDescent="0.25">
      <c r="A238" s="1" t="str">
        <f ca="1">IF(A237="ID",1,IF(ISBLANK(B238),"",MAX(A$2:A237)+1))</f>
        <v/>
      </c>
      <c r="I238" s="2" t="str">
        <f ca="1">IF(ISNUMBER(A238),
IF(COUNTIFS(Equipar!B:B,1,Equipar!AC:AC,A238),"Equipada",
IF(
OR(COUNTIFS(Equipar!B:B,1,Equipar!C:C,A238)
 +COUNTIFS(Equipar!B:B,1,Equipar!D:D,A238)
+COUNTIFS(Equipar!B:B,1,Equipar!E:E,A238)
+COUNTIFS(Equipar!B:B,1,Equipar!F:F,A238)
&gt;0,COUNTIF('Set recomendado'!B:B,C238)=0),
"Bloqueada",
"Desechable")),""
)</f>
        <v/>
      </c>
      <c r="J238" t="str" cm="1">
        <f t="array" aca="1" ref="J238" ca="1">IF(ISNUMBER(A238),IFERROR(_xlfn._xlws.FILTER(Equipar!A:A,(Equipar!B:B=1)*(Equipar!AC:AC=A238)),""),"")</f>
        <v/>
      </c>
    </row>
    <row r="239" spans="1:10" x14ac:dyDescent="0.25">
      <c r="A239" s="1" t="str">
        <f ca="1">IF(A238="ID",1,IF(ISBLANK(B239),"",MAX(A$2:A238)+1))</f>
        <v/>
      </c>
      <c r="I239" s="2" t="str">
        <f ca="1">IF(ISNUMBER(A239),
IF(COUNTIFS(Equipar!B:B,1,Equipar!AC:AC,A239),"Equipada",
IF(
OR(COUNTIFS(Equipar!B:B,1,Equipar!C:C,A239)
 +COUNTIFS(Equipar!B:B,1,Equipar!D:D,A239)
+COUNTIFS(Equipar!B:B,1,Equipar!E:E,A239)
+COUNTIFS(Equipar!B:B,1,Equipar!F:F,A239)
&gt;0,COUNTIF('Set recomendado'!B:B,C239)=0),
"Bloqueada",
"Desechable")),""
)</f>
        <v/>
      </c>
      <c r="J239" t="str" cm="1">
        <f t="array" aca="1" ref="J239" ca="1">IF(ISNUMBER(A239),IFERROR(_xlfn._xlws.FILTER(Equipar!A:A,(Equipar!B:B=1)*(Equipar!AC:AC=A239)),""),"")</f>
        <v/>
      </c>
    </row>
    <row r="240" spans="1:10" x14ac:dyDescent="0.25">
      <c r="A240" s="1" t="str">
        <f ca="1">IF(A239="ID",1,IF(ISBLANK(B240),"",MAX(A$2:A239)+1))</f>
        <v/>
      </c>
      <c r="I240" s="2" t="str">
        <f ca="1">IF(ISNUMBER(A240),
IF(COUNTIFS(Equipar!B:B,1,Equipar!AC:AC,A240),"Equipada",
IF(
OR(COUNTIFS(Equipar!B:B,1,Equipar!C:C,A240)
 +COUNTIFS(Equipar!B:B,1,Equipar!D:D,A240)
+COUNTIFS(Equipar!B:B,1,Equipar!E:E,A240)
+COUNTIFS(Equipar!B:B,1,Equipar!F:F,A240)
&gt;0,COUNTIF('Set recomendado'!B:B,C240)=0),
"Bloqueada",
"Desechable")),""
)</f>
        <v/>
      </c>
      <c r="J240" t="str" cm="1">
        <f t="array" aca="1" ref="J240" ca="1">IF(ISNUMBER(A240),IFERROR(_xlfn._xlws.FILTER(Equipar!A:A,(Equipar!B:B=1)*(Equipar!AC:AC=A240)),""),"")</f>
        <v/>
      </c>
    </row>
    <row r="241" spans="1:10" x14ac:dyDescent="0.25">
      <c r="A241" s="1" t="str">
        <f ca="1">IF(A240="ID",1,IF(ISBLANK(B241),"",MAX(A$2:A240)+1))</f>
        <v/>
      </c>
      <c r="I241" s="2" t="str">
        <f ca="1">IF(ISNUMBER(A241),
IF(COUNTIFS(Equipar!B:B,1,Equipar!AC:AC,A241),"Equipada",
IF(
OR(COUNTIFS(Equipar!B:B,1,Equipar!C:C,A241)
 +COUNTIFS(Equipar!B:B,1,Equipar!D:D,A241)
+COUNTIFS(Equipar!B:B,1,Equipar!E:E,A241)
+COUNTIFS(Equipar!B:B,1,Equipar!F:F,A241)
&gt;0,COUNTIF('Set recomendado'!B:B,C241)=0),
"Bloqueada",
"Desechable")),""
)</f>
        <v/>
      </c>
      <c r="J241" t="str" cm="1">
        <f t="array" aca="1" ref="J241" ca="1">IF(ISNUMBER(A241),IFERROR(_xlfn._xlws.FILTER(Equipar!A:A,(Equipar!B:B=1)*(Equipar!AC:AC=A241)),""),"")</f>
        <v/>
      </c>
    </row>
    <row r="242" spans="1:10" x14ac:dyDescent="0.25">
      <c r="A242" s="1" t="str">
        <f ca="1">IF(A241="ID",1,IF(ISBLANK(B242),"",MAX(A$2:A241)+1))</f>
        <v/>
      </c>
      <c r="I242" s="2" t="str">
        <f ca="1">IF(ISNUMBER(A242),
IF(COUNTIFS(Equipar!B:B,1,Equipar!AC:AC,A242),"Equipada",
IF(
OR(COUNTIFS(Equipar!B:B,1,Equipar!C:C,A242)
 +COUNTIFS(Equipar!B:B,1,Equipar!D:D,A242)
+COUNTIFS(Equipar!B:B,1,Equipar!E:E,A242)
+COUNTIFS(Equipar!B:B,1,Equipar!F:F,A242)
&gt;0,COUNTIF('Set recomendado'!B:B,C242)=0),
"Bloqueada",
"Desechable")),""
)</f>
        <v/>
      </c>
      <c r="J242" t="str" cm="1">
        <f t="array" aca="1" ref="J242" ca="1">IF(ISNUMBER(A242),IFERROR(_xlfn._xlws.FILTER(Equipar!A:A,(Equipar!B:B=1)*(Equipar!AC:AC=A242)),""),"")</f>
        <v/>
      </c>
    </row>
    <row r="243" spans="1:10" x14ac:dyDescent="0.25">
      <c r="A243" s="1" t="str">
        <f ca="1">IF(A242="ID",1,IF(ISBLANK(B243),"",MAX(A$2:A242)+1))</f>
        <v/>
      </c>
      <c r="I243" s="2" t="str">
        <f ca="1">IF(ISNUMBER(A243),
IF(COUNTIFS(Equipar!B:B,1,Equipar!AC:AC,A243),"Equipada",
IF(
OR(COUNTIFS(Equipar!B:B,1,Equipar!C:C,A243)
 +COUNTIFS(Equipar!B:B,1,Equipar!D:D,A243)
+COUNTIFS(Equipar!B:B,1,Equipar!E:E,A243)
+COUNTIFS(Equipar!B:B,1,Equipar!F:F,A243)
&gt;0,COUNTIF('Set recomendado'!B:B,C243)=0),
"Bloqueada",
"Desechable")),""
)</f>
        <v/>
      </c>
      <c r="J243" t="str" cm="1">
        <f t="array" aca="1" ref="J243" ca="1">IF(ISNUMBER(A243),IFERROR(_xlfn._xlws.FILTER(Equipar!A:A,(Equipar!B:B=1)*(Equipar!AC:AC=A243)),""),"")</f>
        <v/>
      </c>
    </row>
    <row r="244" spans="1:10" x14ac:dyDescent="0.25">
      <c r="A244" s="1" t="str">
        <f ca="1">IF(A243="ID",1,IF(ISBLANK(B244),"",MAX(A$2:A243)+1))</f>
        <v/>
      </c>
      <c r="I244" s="2" t="str">
        <f ca="1">IF(ISNUMBER(A244),
IF(COUNTIFS(Equipar!B:B,1,Equipar!AC:AC,A244),"Equipada",
IF(
OR(COUNTIFS(Equipar!B:B,1,Equipar!C:C,A244)
 +COUNTIFS(Equipar!B:B,1,Equipar!D:D,A244)
+COUNTIFS(Equipar!B:B,1,Equipar!E:E,A244)
+COUNTIFS(Equipar!B:B,1,Equipar!F:F,A244)
&gt;0,COUNTIF('Set recomendado'!B:B,C244)=0),
"Bloqueada",
"Desechable")),""
)</f>
        <v/>
      </c>
      <c r="J244" t="str" cm="1">
        <f t="array" aca="1" ref="J244" ca="1">IF(ISNUMBER(A244),IFERROR(_xlfn._xlws.FILTER(Equipar!A:A,(Equipar!B:B=1)*(Equipar!AC:AC=A244)),""),"")</f>
        <v/>
      </c>
    </row>
    <row r="245" spans="1:10" x14ac:dyDescent="0.25">
      <c r="A245" s="1" t="str">
        <f ca="1">IF(A244="ID",1,IF(ISBLANK(B245),"",MAX(A$2:A244)+1))</f>
        <v/>
      </c>
      <c r="I245" s="2" t="str">
        <f ca="1">IF(ISNUMBER(A245),
IF(COUNTIFS(Equipar!B:B,1,Equipar!AC:AC,A245),"Equipada",
IF(
OR(COUNTIFS(Equipar!B:B,1,Equipar!C:C,A245)
 +COUNTIFS(Equipar!B:B,1,Equipar!D:D,A245)
+COUNTIFS(Equipar!B:B,1,Equipar!E:E,A245)
+COUNTIFS(Equipar!B:B,1,Equipar!F:F,A245)
&gt;0,COUNTIF('Set recomendado'!B:B,C245)=0),
"Bloqueada",
"Desechable")),""
)</f>
        <v/>
      </c>
      <c r="J245" t="str" cm="1">
        <f t="array" aca="1" ref="J245" ca="1">IF(ISNUMBER(A245),IFERROR(_xlfn._xlws.FILTER(Equipar!A:A,(Equipar!B:B=1)*(Equipar!AC:AC=A245)),""),"")</f>
        <v/>
      </c>
    </row>
    <row r="246" spans="1:10" x14ac:dyDescent="0.25">
      <c r="A246" s="1" t="str">
        <f ca="1">IF(A245="ID",1,IF(ISBLANK(B246),"",MAX(A$2:A245)+1))</f>
        <v/>
      </c>
      <c r="I246" s="2" t="str">
        <f ca="1">IF(ISNUMBER(A246),
IF(COUNTIFS(Equipar!B:B,1,Equipar!AC:AC,A246),"Equipada",
IF(
OR(COUNTIFS(Equipar!B:B,1,Equipar!C:C,A246)
 +COUNTIFS(Equipar!B:B,1,Equipar!D:D,A246)
+COUNTIFS(Equipar!B:B,1,Equipar!E:E,A246)
+COUNTIFS(Equipar!B:B,1,Equipar!F:F,A246)
&gt;0,COUNTIF('Set recomendado'!B:B,C246)=0),
"Bloqueada",
"Desechable")),""
)</f>
        <v/>
      </c>
      <c r="J246" t="str" cm="1">
        <f t="array" aca="1" ref="J246" ca="1">IF(ISNUMBER(A246),IFERROR(_xlfn._xlws.FILTER(Equipar!A:A,(Equipar!B:B=1)*(Equipar!AC:AC=A246)),""),"")</f>
        <v/>
      </c>
    </row>
    <row r="247" spans="1:10" x14ac:dyDescent="0.25">
      <c r="A247" s="1" t="str">
        <f ca="1">IF(A246="ID",1,IF(ISBLANK(B247),"",MAX(A$2:A246)+1))</f>
        <v/>
      </c>
      <c r="I247" s="2" t="str">
        <f ca="1">IF(ISNUMBER(A247),
IF(COUNTIFS(Equipar!B:B,1,Equipar!AC:AC,A247),"Equipada",
IF(
OR(COUNTIFS(Equipar!B:B,1,Equipar!C:C,A247)
 +COUNTIFS(Equipar!B:B,1,Equipar!D:D,A247)
+COUNTIFS(Equipar!B:B,1,Equipar!E:E,A247)
+COUNTIFS(Equipar!B:B,1,Equipar!F:F,A247)
&gt;0,COUNTIF('Set recomendado'!B:B,C247)=0),
"Bloqueada",
"Desechable")),""
)</f>
        <v/>
      </c>
      <c r="J247" t="str" cm="1">
        <f t="array" aca="1" ref="J247" ca="1">IF(ISNUMBER(A247),IFERROR(_xlfn._xlws.FILTER(Equipar!A:A,(Equipar!B:B=1)*(Equipar!AC:AC=A247)),""),"")</f>
        <v/>
      </c>
    </row>
    <row r="248" spans="1:10" x14ac:dyDescent="0.25">
      <c r="A248" s="1" t="str">
        <f ca="1">IF(A247="ID",1,IF(ISBLANK(B248),"",MAX(A$2:A247)+1))</f>
        <v/>
      </c>
      <c r="I248" s="2" t="str">
        <f ca="1">IF(ISNUMBER(A248),
IF(COUNTIFS(Equipar!B:B,1,Equipar!AC:AC,A248),"Equipada",
IF(
OR(COUNTIFS(Equipar!B:B,1,Equipar!C:C,A248)
 +COUNTIFS(Equipar!B:B,1,Equipar!D:D,A248)
+COUNTIFS(Equipar!B:B,1,Equipar!E:E,A248)
+COUNTIFS(Equipar!B:B,1,Equipar!F:F,A248)
&gt;0,COUNTIF('Set recomendado'!B:B,C248)=0),
"Bloqueada",
"Desechable")),""
)</f>
        <v/>
      </c>
      <c r="J248" t="str" cm="1">
        <f t="array" aca="1" ref="J248" ca="1">IF(ISNUMBER(A248),IFERROR(_xlfn._xlws.FILTER(Equipar!A:A,(Equipar!B:B=1)*(Equipar!AC:AC=A248)),""),"")</f>
        <v/>
      </c>
    </row>
    <row r="249" spans="1:10" x14ac:dyDescent="0.25">
      <c r="A249" s="1" t="str">
        <f ca="1">IF(A248="ID",1,IF(ISBLANK(B249),"",MAX(A$2:A248)+1))</f>
        <v/>
      </c>
      <c r="I249" s="2" t="str">
        <f ca="1">IF(ISNUMBER(A249),
IF(COUNTIFS(Equipar!B:B,1,Equipar!AC:AC,A249),"Equipada",
IF(
OR(COUNTIFS(Equipar!B:B,1,Equipar!C:C,A249)
 +COUNTIFS(Equipar!B:B,1,Equipar!D:D,A249)
+COUNTIFS(Equipar!B:B,1,Equipar!E:E,A249)
+COUNTIFS(Equipar!B:B,1,Equipar!F:F,A249)
&gt;0,COUNTIF('Set recomendado'!B:B,C249)=0),
"Bloqueada",
"Desechable")),""
)</f>
        <v/>
      </c>
      <c r="J249" t="str" cm="1">
        <f t="array" aca="1" ref="J249" ca="1">IF(ISNUMBER(A249),IFERROR(_xlfn._xlws.FILTER(Equipar!A:A,(Equipar!B:B=1)*(Equipar!AC:AC=A249)),""),"")</f>
        <v/>
      </c>
    </row>
    <row r="250" spans="1:10" x14ac:dyDescent="0.25">
      <c r="A250" s="1" t="str">
        <f ca="1">IF(A249="ID",1,IF(ISBLANK(B250),"",MAX(A$2:A249)+1))</f>
        <v/>
      </c>
      <c r="I250" s="2" t="str">
        <f ca="1">IF(ISNUMBER(A250),
IF(COUNTIFS(Equipar!B:B,1,Equipar!AC:AC,A250),"Equipada",
IF(
OR(COUNTIFS(Equipar!B:B,1,Equipar!C:C,A250)
 +COUNTIFS(Equipar!B:B,1,Equipar!D:D,A250)
+COUNTIFS(Equipar!B:B,1,Equipar!E:E,A250)
+COUNTIFS(Equipar!B:B,1,Equipar!F:F,A250)
&gt;0,COUNTIF('Set recomendado'!B:B,C250)=0),
"Bloqueada",
"Desechable")),""
)</f>
        <v/>
      </c>
      <c r="J250" t="str" cm="1">
        <f t="array" aca="1" ref="J250" ca="1">IF(ISNUMBER(A250),IFERROR(_xlfn._xlws.FILTER(Equipar!A:A,(Equipar!B:B=1)*(Equipar!AC:AC=A250)),""),"")</f>
        <v/>
      </c>
    </row>
    <row r="251" spans="1:10" x14ac:dyDescent="0.25">
      <c r="A251" s="1" t="str">
        <f ca="1">IF(A250="ID",1,IF(ISBLANK(B251),"",MAX(A$2:A250)+1))</f>
        <v/>
      </c>
      <c r="I251" s="2" t="str">
        <f ca="1">IF(ISNUMBER(A251),
IF(COUNTIFS(Equipar!B:B,1,Equipar!AC:AC,A251),"Equipada",
IF(
OR(COUNTIFS(Equipar!B:B,1,Equipar!C:C,A251)
 +COUNTIFS(Equipar!B:B,1,Equipar!D:D,A251)
+COUNTIFS(Equipar!B:B,1,Equipar!E:E,A251)
+COUNTIFS(Equipar!B:B,1,Equipar!F:F,A251)
&gt;0,COUNTIF('Set recomendado'!B:B,C251)=0),
"Bloqueada",
"Desechable")),""
)</f>
        <v/>
      </c>
      <c r="J251" t="str" cm="1">
        <f t="array" aca="1" ref="J251" ca="1">IF(ISNUMBER(A251),IFERROR(_xlfn._xlws.FILTER(Equipar!A:A,(Equipar!B:B=1)*(Equipar!AC:AC=A251)),""),"")</f>
        <v/>
      </c>
    </row>
    <row r="252" spans="1:10" x14ac:dyDescent="0.25">
      <c r="A252" s="1" t="str">
        <f ca="1">IF(A251="ID",1,IF(ISBLANK(B252),"",MAX(A$2:A251)+1))</f>
        <v/>
      </c>
      <c r="I252" s="2" t="str">
        <f ca="1">IF(ISNUMBER(A252),
IF(COUNTIFS(Equipar!B:B,1,Equipar!AC:AC,A252),"Equipada",
IF(
OR(COUNTIFS(Equipar!B:B,1,Equipar!C:C,A252)
 +COUNTIFS(Equipar!B:B,1,Equipar!D:D,A252)
+COUNTIFS(Equipar!B:B,1,Equipar!E:E,A252)
+COUNTIFS(Equipar!B:B,1,Equipar!F:F,A252)
&gt;0,COUNTIF('Set recomendado'!B:B,C252)=0),
"Bloqueada",
"Desechable")),""
)</f>
        <v/>
      </c>
      <c r="J252" t="str" cm="1">
        <f t="array" aca="1" ref="J252" ca="1">IF(ISNUMBER(A252),IFERROR(_xlfn._xlws.FILTER(Equipar!A:A,(Equipar!B:B=1)*(Equipar!AC:AC=A252)),""),"")</f>
        <v/>
      </c>
    </row>
    <row r="253" spans="1:10" x14ac:dyDescent="0.25">
      <c r="A253" s="1" t="str">
        <f ca="1">IF(A252="ID",1,IF(ISBLANK(B253),"",MAX(A$2:A252)+1))</f>
        <v/>
      </c>
      <c r="I253" s="2" t="str">
        <f ca="1">IF(ISNUMBER(A253),
IF(COUNTIFS(Equipar!B:B,1,Equipar!AC:AC,A253),"Equipada",
IF(
OR(COUNTIFS(Equipar!B:B,1,Equipar!C:C,A253)
 +COUNTIFS(Equipar!B:B,1,Equipar!D:D,A253)
+COUNTIFS(Equipar!B:B,1,Equipar!E:E,A253)
+COUNTIFS(Equipar!B:B,1,Equipar!F:F,A253)
&gt;0,COUNTIF('Set recomendado'!B:B,C253)=0),
"Bloqueada",
"Desechable")),""
)</f>
        <v/>
      </c>
      <c r="J253" t="str" cm="1">
        <f t="array" aca="1" ref="J253" ca="1">IF(ISNUMBER(A253),IFERROR(_xlfn._xlws.FILTER(Equipar!A:A,(Equipar!B:B=1)*(Equipar!AC:AC=A253)),""),"")</f>
        <v/>
      </c>
    </row>
    <row r="254" spans="1:10" x14ac:dyDescent="0.25">
      <c r="A254" s="1" t="str">
        <f ca="1">IF(A253="ID",1,IF(ISBLANK(B254),"",MAX(A$2:A253)+1))</f>
        <v/>
      </c>
      <c r="I254" s="2" t="str">
        <f ca="1">IF(ISNUMBER(A254),
IF(COUNTIFS(Equipar!B:B,1,Equipar!AC:AC,A254),"Equipada",
IF(
OR(COUNTIFS(Equipar!B:B,1,Equipar!C:C,A254)
 +COUNTIFS(Equipar!B:B,1,Equipar!D:D,A254)
+COUNTIFS(Equipar!B:B,1,Equipar!E:E,A254)
+COUNTIFS(Equipar!B:B,1,Equipar!F:F,A254)
&gt;0,COUNTIF('Set recomendado'!B:B,C254)=0),
"Bloqueada",
"Desechable")),""
)</f>
        <v/>
      </c>
      <c r="J254" t="str" cm="1">
        <f t="array" aca="1" ref="J254" ca="1">IF(ISNUMBER(A254),IFERROR(_xlfn._xlws.FILTER(Equipar!A:A,(Equipar!B:B=1)*(Equipar!AC:AC=A254)),""),"")</f>
        <v/>
      </c>
    </row>
    <row r="255" spans="1:10" x14ac:dyDescent="0.25">
      <c r="A255" s="1" t="str">
        <f ca="1">IF(A254="ID",1,IF(ISBLANK(B255),"",MAX(A$2:A254)+1))</f>
        <v/>
      </c>
      <c r="I255" s="2" t="str">
        <f ca="1">IF(ISNUMBER(A255),
IF(COUNTIFS(Equipar!B:B,1,Equipar!AC:AC,A255),"Equipada",
IF(
OR(COUNTIFS(Equipar!B:B,1,Equipar!C:C,A255)
 +COUNTIFS(Equipar!B:B,1,Equipar!D:D,A255)
+COUNTIFS(Equipar!B:B,1,Equipar!E:E,A255)
+COUNTIFS(Equipar!B:B,1,Equipar!F:F,A255)
&gt;0,COUNTIF('Set recomendado'!B:B,C255)=0),
"Bloqueada",
"Desechable")),""
)</f>
        <v/>
      </c>
      <c r="J255" t="str" cm="1">
        <f t="array" aca="1" ref="J255" ca="1">IF(ISNUMBER(A255),IFERROR(_xlfn._xlws.FILTER(Equipar!A:A,(Equipar!B:B=1)*(Equipar!AC:AC=A255)),""),"")</f>
        <v/>
      </c>
    </row>
    <row r="256" spans="1:10" x14ac:dyDescent="0.25">
      <c r="A256" s="1" t="str">
        <f ca="1">IF(A255="ID",1,IF(ISBLANK(B256),"",MAX(A$2:A255)+1))</f>
        <v/>
      </c>
      <c r="I256" s="2" t="str">
        <f ca="1">IF(ISNUMBER(A256),
IF(COUNTIFS(Equipar!B:B,1,Equipar!AC:AC,A256),"Equipada",
IF(
OR(COUNTIFS(Equipar!B:B,1,Equipar!C:C,A256)
 +COUNTIFS(Equipar!B:B,1,Equipar!D:D,A256)
+COUNTIFS(Equipar!B:B,1,Equipar!E:E,A256)
+COUNTIFS(Equipar!B:B,1,Equipar!F:F,A256)
&gt;0,COUNTIF('Set recomendado'!B:B,C256)=0),
"Bloqueada",
"Desechable")),""
)</f>
        <v/>
      </c>
      <c r="J256" t="str" cm="1">
        <f t="array" aca="1" ref="J256" ca="1">IF(ISNUMBER(A256),IFERROR(_xlfn._xlws.FILTER(Equipar!A:A,(Equipar!B:B=1)*(Equipar!AC:AC=A256)),""),"")</f>
        <v/>
      </c>
    </row>
    <row r="257" spans="1:10" x14ac:dyDescent="0.25">
      <c r="A257" s="1" t="str">
        <f ca="1">IF(A256="ID",1,IF(ISBLANK(B257),"",MAX(A$2:A256)+1))</f>
        <v/>
      </c>
      <c r="I257" s="2" t="str">
        <f ca="1">IF(ISNUMBER(A257),
IF(COUNTIFS(Equipar!B:B,1,Equipar!AC:AC,A257),"Equipada",
IF(
OR(COUNTIFS(Equipar!B:B,1,Equipar!C:C,A257)
 +COUNTIFS(Equipar!B:B,1,Equipar!D:D,A257)
+COUNTIFS(Equipar!B:B,1,Equipar!E:E,A257)
+COUNTIFS(Equipar!B:B,1,Equipar!F:F,A257)
&gt;0,COUNTIF('Set recomendado'!B:B,C257)=0),
"Bloqueada",
"Desechable")),""
)</f>
        <v/>
      </c>
      <c r="J257" t="str" cm="1">
        <f t="array" aca="1" ref="J257" ca="1">IF(ISNUMBER(A257),IFERROR(_xlfn._xlws.FILTER(Equipar!A:A,(Equipar!B:B=1)*(Equipar!AC:AC=A257)),""),"")</f>
        <v/>
      </c>
    </row>
    <row r="258" spans="1:10" x14ac:dyDescent="0.25">
      <c r="A258" s="1" t="str">
        <f ca="1">IF(A257="ID",1,IF(ISBLANK(B258),"",MAX(A$2:A257)+1))</f>
        <v/>
      </c>
      <c r="I258" s="2" t="str">
        <f ca="1">IF(ISNUMBER(A258),
IF(COUNTIFS(Equipar!B:B,1,Equipar!AC:AC,A258),"Equipada",
IF(
OR(COUNTIFS(Equipar!B:B,1,Equipar!C:C,A258)
 +COUNTIFS(Equipar!B:B,1,Equipar!D:D,A258)
+COUNTIFS(Equipar!B:B,1,Equipar!E:E,A258)
+COUNTIFS(Equipar!B:B,1,Equipar!F:F,A258)
&gt;0,COUNTIF('Set recomendado'!B:B,C258)=0),
"Bloqueada",
"Desechable")),""
)</f>
        <v/>
      </c>
      <c r="J258" t="str" cm="1">
        <f t="array" aca="1" ref="J258" ca="1">IF(ISNUMBER(A258),IFERROR(_xlfn._xlws.FILTER(Equipar!A:A,(Equipar!B:B=1)*(Equipar!AC:AC=A258)),""),"")</f>
        <v/>
      </c>
    </row>
    <row r="259" spans="1:10" x14ac:dyDescent="0.25">
      <c r="A259" s="1" t="str">
        <f ca="1">IF(A258="ID",1,IF(ISBLANK(B259),"",MAX(A$2:A258)+1))</f>
        <v/>
      </c>
      <c r="I259" s="2" t="str">
        <f ca="1">IF(ISNUMBER(A259),
IF(COUNTIFS(Equipar!B:B,1,Equipar!AC:AC,A259),"Equipada",
IF(
OR(COUNTIFS(Equipar!B:B,1,Equipar!C:C,A259)
 +COUNTIFS(Equipar!B:B,1,Equipar!D:D,A259)
+COUNTIFS(Equipar!B:B,1,Equipar!E:E,A259)
+COUNTIFS(Equipar!B:B,1,Equipar!F:F,A259)
&gt;0,COUNTIF('Set recomendado'!B:B,C259)=0),
"Bloqueada",
"Desechable")),""
)</f>
        <v/>
      </c>
      <c r="J259" t="str" cm="1">
        <f t="array" aca="1" ref="J259" ca="1">IF(ISNUMBER(A259),IFERROR(_xlfn._xlws.FILTER(Equipar!A:A,(Equipar!B:B=1)*(Equipar!AC:AC=A259)),""),"")</f>
        <v/>
      </c>
    </row>
    <row r="260" spans="1:10" x14ac:dyDescent="0.25">
      <c r="A260" s="1" t="str">
        <f ca="1">IF(A259="ID",1,IF(ISBLANK(B260),"",MAX(A$2:A259)+1))</f>
        <v/>
      </c>
      <c r="I260" s="2" t="str">
        <f ca="1">IF(ISNUMBER(A260),
IF(COUNTIFS(Equipar!B:B,1,Equipar!AC:AC,A260),"Equipada",
IF(
OR(COUNTIFS(Equipar!B:B,1,Equipar!C:C,A260)
 +COUNTIFS(Equipar!B:B,1,Equipar!D:D,A260)
+COUNTIFS(Equipar!B:B,1,Equipar!E:E,A260)
+COUNTIFS(Equipar!B:B,1,Equipar!F:F,A260)
&gt;0,COUNTIF('Set recomendado'!B:B,C260)=0),
"Bloqueada",
"Desechable")),""
)</f>
        <v/>
      </c>
      <c r="J260" t="str" cm="1">
        <f t="array" aca="1" ref="J260" ca="1">IF(ISNUMBER(A260),IFERROR(_xlfn._xlws.FILTER(Equipar!A:A,(Equipar!B:B=1)*(Equipar!AC:AC=A260)),""),"")</f>
        <v/>
      </c>
    </row>
    <row r="261" spans="1:10" x14ac:dyDescent="0.25">
      <c r="A261" s="1" t="str">
        <f ca="1">IF(A260="ID",1,IF(ISBLANK(B261),"",MAX(A$2:A260)+1))</f>
        <v/>
      </c>
      <c r="I261" s="2" t="str">
        <f ca="1">IF(ISNUMBER(A261),
IF(COUNTIFS(Equipar!B:B,1,Equipar!AC:AC,A261),"Equipada",
IF(
OR(COUNTIFS(Equipar!B:B,1,Equipar!C:C,A261)
 +COUNTIFS(Equipar!B:B,1,Equipar!D:D,A261)
+COUNTIFS(Equipar!B:B,1,Equipar!E:E,A261)
+COUNTIFS(Equipar!B:B,1,Equipar!F:F,A261)
&gt;0,COUNTIF('Set recomendado'!B:B,C261)=0),
"Bloqueada",
"Desechable")),""
)</f>
        <v/>
      </c>
      <c r="J261" t="str" cm="1">
        <f t="array" aca="1" ref="J261" ca="1">IF(ISNUMBER(A261),IFERROR(_xlfn._xlws.FILTER(Equipar!A:A,(Equipar!B:B=1)*(Equipar!AC:AC=A261)),""),"")</f>
        <v/>
      </c>
    </row>
    <row r="262" spans="1:10" x14ac:dyDescent="0.25">
      <c r="A262" s="1" t="str">
        <f ca="1">IF(A261="ID",1,IF(ISBLANK(B262),"",MAX(A$2:A261)+1))</f>
        <v/>
      </c>
      <c r="I262" s="2" t="str">
        <f ca="1">IF(ISNUMBER(A262),
IF(COUNTIFS(Equipar!B:B,1,Equipar!AC:AC,A262),"Equipada",
IF(
OR(COUNTIFS(Equipar!B:B,1,Equipar!C:C,A262)
 +COUNTIFS(Equipar!B:B,1,Equipar!D:D,A262)
+COUNTIFS(Equipar!B:B,1,Equipar!E:E,A262)
+COUNTIFS(Equipar!B:B,1,Equipar!F:F,A262)
&gt;0,COUNTIF('Set recomendado'!B:B,C262)=0),
"Bloqueada",
"Desechable")),""
)</f>
        <v/>
      </c>
      <c r="J262" t="str" cm="1">
        <f t="array" aca="1" ref="J262" ca="1">IF(ISNUMBER(A262),IFERROR(_xlfn._xlws.FILTER(Equipar!A:A,(Equipar!B:B=1)*(Equipar!AC:AC=A262)),""),"")</f>
        <v/>
      </c>
    </row>
    <row r="263" spans="1:10" x14ac:dyDescent="0.25">
      <c r="A263" s="1" t="str">
        <f ca="1">IF(A262="ID",1,IF(ISBLANK(B263),"",MAX(A$2:A262)+1))</f>
        <v/>
      </c>
      <c r="I263" s="2" t="str">
        <f ca="1">IF(ISNUMBER(A263),
IF(COUNTIFS(Equipar!B:B,1,Equipar!AC:AC,A263),"Equipada",
IF(
OR(COUNTIFS(Equipar!B:B,1,Equipar!C:C,A263)
 +COUNTIFS(Equipar!B:B,1,Equipar!D:D,A263)
+COUNTIFS(Equipar!B:B,1,Equipar!E:E,A263)
+COUNTIFS(Equipar!B:B,1,Equipar!F:F,A263)
&gt;0,COUNTIF('Set recomendado'!B:B,C263)=0),
"Bloqueada",
"Desechable")),""
)</f>
        <v/>
      </c>
      <c r="J263" t="str" cm="1">
        <f t="array" aca="1" ref="J263" ca="1">IF(ISNUMBER(A263),IFERROR(_xlfn._xlws.FILTER(Equipar!A:A,(Equipar!B:B=1)*(Equipar!AC:AC=A263)),""),"")</f>
        <v/>
      </c>
    </row>
    <row r="264" spans="1:10" x14ac:dyDescent="0.25">
      <c r="A264" s="1" t="str">
        <f ca="1">IF(A263="ID",1,IF(ISBLANK(B264),"",MAX(A$2:A263)+1))</f>
        <v/>
      </c>
      <c r="I264" s="2" t="str">
        <f ca="1">IF(ISNUMBER(A264),
IF(COUNTIFS(Equipar!B:B,1,Equipar!AC:AC,A264),"Equipada",
IF(
OR(COUNTIFS(Equipar!B:B,1,Equipar!C:C,A264)
 +COUNTIFS(Equipar!B:B,1,Equipar!D:D,A264)
+COUNTIFS(Equipar!B:B,1,Equipar!E:E,A264)
+COUNTIFS(Equipar!B:B,1,Equipar!F:F,A264)
&gt;0,COUNTIF('Set recomendado'!B:B,C264)=0),
"Bloqueada",
"Desechable")),""
)</f>
        <v/>
      </c>
      <c r="J264" t="str" cm="1">
        <f t="array" aca="1" ref="J264" ca="1">IF(ISNUMBER(A264),IFERROR(_xlfn._xlws.FILTER(Equipar!A:A,(Equipar!B:B=1)*(Equipar!AC:AC=A264)),""),"")</f>
        <v/>
      </c>
    </row>
    <row r="265" spans="1:10" x14ac:dyDescent="0.25">
      <c r="A265" s="1" t="str">
        <f ca="1">IF(A264="ID",1,IF(ISBLANK(B265),"",MAX(A$2:A264)+1))</f>
        <v/>
      </c>
      <c r="I265" s="2" t="str">
        <f ca="1">IF(ISNUMBER(A265),
IF(COUNTIFS(Equipar!B:B,1,Equipar!AC:AC,A265),"Equipada",
IF(
OR(COUNTIFS(Equipar!B:B,1,Equipar!C:C,A265)
 +COUNTIFS(Equipar!B:B,1,Equipar!D:D,A265)
+COUNTIFS(Equipar!B:B,1,Equipar!E:E,A265)
+COUNTIFS(Equipar!B:B,1,Equipar!F:F,A265)
&gt;0,COUNTIF('Set recomendado'!B:B,C265)=0),
"Bloqueada",
"Desechable")),""
)</f>
        <v/>
      </c>
      <c r="J265" t="str" cm="1">
        <f t="array" aca="1" ref="J265" ca="1">IF(ISNUMBER(A265),IFERROR(_xlfn._xlws.FILTER(Equipar!A:A,(Equipar!B:B=1)*(Equipar!AC:AC=A265)),""),"")</f>
        <v/>
      </c>
    </row>
    <row r="266" spans="1:10" x14ac:dyDescent="0.25">
      <c r="A266" s="1" t="str">
        <f ca="1">IF(A265="ID",1,IF(ISBLANK(B266),"",MAX(A$2:A265)+1))</f>
        <v/>
      </c>
      <c r="I266" s="2" t="str">
        <f ca="1">IF(ISNUMBER(A266),
IF(COUNTIFS(Equipar!B:B,1,Equipar!AC:AC,A266),"Equipada",
IF(
OR(COUNTIFS(Equipar!B:B,1,Equipar!C:C,A266)
 +COUNTIFS(Equipar!B:B,1,Equipar!D:D,A266)
+COUNTIFS(Equipar!B:B,1,Equipar!E:E,A266)
+COUNTIFS(Equipar!B:B,1,Equipar!F:F,A266)
&gt;0,COUNTIF('Set recomendado'!B:B,C266)=0),
"Bloqueada",
"Desechable")),""
)</f>
        <v/>
      </c>
      <c r="J266" t="str" cm="1">
        <f t="array" aca="1" ref="J266" ca="1">IF(ISNUMBER(A266),IFERROR(_xlfn._xlws.FILTER(Equipar!A:A,(Equipar!B:B=1)*(Equipar!AC:AC=A266)),""),"")</f>
        <v/>
      </c>
    </row>
    <row r="267" spans="1:10" x14ac:dyDescent="0.25">
      <c r="A267" s="1" t="str">
        <f ca="1">IF(A266="ID",1,IF(ISBLANK(B267),"",MAX(A$2:A266)+1))</f>
        <v/>
      </c>
      <c r="I267" s="2" t="str">
        <f ca="1">IF(ISNUMBER(A267),
IF(COUNTIFS(Equipar!B:B,1,Equipar!AC:AC,A267),"Equipada",
IF(
OR(COUNTIFS(Equipar!B:B,1,Equipar!C:C,A267)
 +COUNTIFS(Equipar!B:B,1,Equipar!D:D,A267)
+COUNTIFS(Equipar!B:B,1,Equipar!E:E,A267)
+COUNTIFS(Equipar!B:B,1,Equipar!F:F,A267)
&gt;0,COUNTIF('Set recomendado'!B:B,C267)=0),
"Bloqueada",
"Desechable")),""
)</f>
        <v/>
      </c>
      <c r="J267" t="str" cm="1">
        <f t="array" aca="1" ref="J267" ca="1">IF(ISNUMBER(A267),IFERROR(_xlfn._xlws.FILTER(Equipar!A:A,(Equipar!B:B=1)*(Equipar!AC:AC=A267)),""),"")</f>
        <v/>
      </c>
    </row>
    <row r="268" spans="1:10" x14ac:dyDescent="0.25">
      <c r="A268" s="1" t="str">
        <f ca="1">IF(A267="ID",1,IF(ISBLANK(B268),"",MAX(A$2:A267)+1))</f>
        <v/>
      </c>
      <c r="I268" s="2" t="str">
        <f ca="1">IF(ISNUMBER(A268),
IF(COUNTIFS(Equipar!B:B,1,Equipar!AC:AC,A268),"Equipada",
IF(
OR(COUNTIFS(Equipar!B:B,1,Equipar!C:C,A268)
 +COUNTIFS(Equipar!B:B,1,Equipar!D:D,A268)
+COUNTIFS(Equipar!B:B,1,Equipar!E:E,A268)
+COUNTIFS(Equipar!B:B,1,Equipar!F:F,A268)
&gt;0,COUNTIF('Set recomendado'!B:B,C268)=0),
"Bloqueada",
"Desechable")),""
)</f>
        <v/>
      </c>
      <c r="J268" t="str" cm="1">
        <f t="array" aca="1" ref="J268" ca="1">IF(ISNUMBER(A268),IFERROR(_xlfn._xlws.FILTER(Equipar!A:A,(Equipar!B:B=1)*(Equipar!AC:AC=A268)),""),"")</f>
        <v/>
      </c>
    </row>
    <row r="269" spans="1:10" x14ac:dyDescent="0.25">
      <c r="A269" s="1" t="str">
        <f ca="1">IF(A268="ID",1,IF(ISBLANK(B269),"",MAX(A$2:A268)+1))</f>
        <v/>
      </c>
      <c r="I269" s="2" t="str">
        <f ca="1">IF(ISNUMBER(A269),
IF(COUNTIFS(Equipar!B:B,1,Equipar!AC:AC,A269),"Equipada",
IF(
OR(COUNTIFS(Equipar!B:B,1,Equipar!C:C,A269)
 +COUNTIFS(Equipar!B:B,1,Equipar!D:D,A269)
+COUNTIFS(Equipar!B:B,1,Equipar!E:E,A269)
+COUNTIFS(Equipar!B:B,1,Equipar!F:F,A269)
&gt;0,COUNTIF('Set recomendado'!B:B,C269)=0),
"Bloqueada",
"Desechable")),""
)</f>
        <v/>
      </c>
      <c r="J269" t="str" cm="1">
        <f t="array" aca="1" ref="J269" ca="1">IF(ISNUMBER(A269),IFERROR(_xlfn._xlws.FILTER(Equipar!A:A,(Equipar!B:B=1)*(Equipar!AC:AC=A269)),""),"")</f>
        <v/>
      </c>
    </row>
    <row r="270" spans="1:10" x14ac:dyDescent="0.25">
      <c r="A270" s="1" t="str">
        <f ca="1">IF(A269="ID",1,IF(ISBLANK(B270),"",MAX(A$2:A269)+1))</f>
        <v/>
      </c>
      <c r="I270" s="2" t="str">
        <f ca="1">IF(ISNUMBER(A270),
IF(COUNTIFS(Equipar!B:B,1,Equipar!AC:AC,A270),"Equipada",
IF(
OR(COUNTIFS(Equipar!B:B,1,Equipar!C:C,A270)
 +COUNTIFS(Equipar!B:B,1,Equipar!D:D,A270)
+COUNTIFS(Equipar!B:B,1,Equipar!E:E,A270)
+COUNTIFS(Equipar!B:B,1,Equipar!F:F,A270)
&gt;0,COUNTIF('Set recomendado'!B:B,C270)=0),
"Bloqueada",
"Desechable")),""
)</f>
        <v/>
      </c>
      <c r="J270" t="str" cm="1">
        <f t="array" aca="1" ref="J270" ca="1">IF(ISNUMBER(A270),IFERROR(_xlfn._xlws.FILTER(Equipar!A:A,(Equipar!B:B=1)*(Equipar!AC:AC=A270)),""),"")</f>
        <v/>
      </c>
    </row>
    <row r="271" spans="1:10" x14ac:dyDescent="0.25">
      <c r="A271" s="1" t="str">
        <f ca="1">IF(A270="ID",1,IF(ISBLANK(B271),"",MAX(A$2:A270)+1))</f>
        <v/>
      </c>
      <c r="I271" s="2" t="str">
        <f ca="1">IF(ISNUMBER(A271),
IF(COUNTIFS(Equipar!B:B,1,Equipar!AC:AC,A271),"Equipada",
IF(
OR(COUNTIFS(Equipar!B:B,1,Equipar!C:C,A271)
 +COUNTIFS(Equipar!B:B,1,Equipar!D:D,A271)
+COUNTIFS(Equipar!B:B,1,Equipar!E:E,A271)
+COUNTIFS(Equipar!B:B,1,Equipar!F:F,A271)
&gt;0,COUNTIF('Set recomendado'!B:B,C271)=0),
"Bloqueada",
"Desechable")),""
)</f>
        <v/>
      </c>
      <c r="J271" t="str" cm="1">
        <f t="array" aca="1" ref="J271" ca="1">IF(ISNUMBER(A271),IFERROR(_xlfn._xlws.FILTER(Equipar!A:A,(Equipar!B:B=1)*(Equipar!AC:AC=A271)),""),"")</f>
        <v/>
      </c>
    </row>
    <row r="272" spans="1:10" x14ac:dyDescent="0.25">
      <c r="A272" s="1" t="str">
        <f ca="1">IF(A271="ID",1,IF(ISBLANK(B272),"",MAX(A$2:A271)+1))</f>
        <v/>
      </c>
      <c r="I272" s="2" t="str">
        <f ca="1">IF(ISNUMBER(A272),
IF(COUNTIFS(Equipar!B:B,1,Equipar!AC:AC,A272),"Equipada",
IF(
OR(COUNTIFS(Equipar!B:B,1,Equipar!C:C,A272)
 +COUNTIFS(Equipar!B:B,1,Equipar!D:D,A272)
+COUNTIFS(Equipar!B:B,1,Equipar!E:E,A272)
+COUNTIFS(Equipar!B:B,1,Equipar!F:F,A272)
&gt;0,COUNTIF('Set recomendado'!B:B,C272)=0),
"Bloqueada",
"Desechable")),""
)</f>
        <v/>
      </c>
      <c r="J272" t="str" cm="1">
        <f t="array" aca="1" ref="J272" ca="1">IF(ISNUMBER(A272),IFERROR(_xlfn._xlws.FILTER(Equipar!A:A,(Equipar!B:B=1)*(Equipar!AC:AC=A272)),""),"")</f>
        <v/>
      </c>
    </row>
    <row r="273" spans="1:10" x14ac:dyDescent="0.25">
      <c r="A273" s="1" t="str">
        <f ca="1">IF(A272="ID",1,IF(ISBLANK(B273),"",MAX(A$2:A272)+1))</f>
        <v/>
      </c>
      <c r="I273" s="2" t="str">
        <f ca="1">IF(ISNUMBER(A273),
IF(COUNTIFS(Equipar!B:B,1,Equipar!AC:AC,A273),"Equipada",
IF(
OR(COUNTIFS(Equipar!B:B,1,Equipar!C:C,A273)
 +COUNTIFS(Equipar!B:B,1,Equipar!D:D,A273)
+COUNTIFS(Equipar!B:B,1,Equipar!E:E,A273)
+COUNTIFS(Equipar!B:B,1,Equipar!F:F,A273)
&gt;0,COUNTIF('Set recomendado'!B:B,C273)=0),
"Bloqueada",
"Desechable")),""
)</f>
        <v/>
      </c>
      <c r="J273" t="str" cm="1">
        <f t="array" aca="1" ref="J273" ca="1">IF(ISNUMBER(A273),IFERROR(_xlfn._xlws.FILTER(Equipar!A:A,(Equipar!B:B=1)*(Equipar!AC:AC=A273)),""),"")</f>
        <v/>
      </c>
    </row>
    <row r="274" spans="1:10" x14ac:dyDescent="0.25">
      <c r="A274" s="1" t="str">
        <f ca="1">IF(A273="ID",1,IF(ISBLANK(B274),"",MAX(A$2:A273)+1))</f>
        <v/>
      </c>
      <c r="I274" s="2" t="str">
        <f ca="1">IF(ISNUMBER(A274),
IF(COUNTIFS(Equipar!B:B,1,Equipar!AC:AC,A274),"Equipada",
IF(
OR(COUNTIFS(Equipar!B:B,1,Equipar!C:C,A274)
 +COUNTIFS(Equipar!B:B,1,Equipar!D:D,A274)
+COUNTIFS(Equipar!B:B,1,Equipar!E:E,A274)
+COUNTIFS(Equipar!B:B,1,Equipar!F:F,A274)
&gt;0,COUNTIF('Set recomendado'!B:B,C274)=0),
"Bloqueada",
"Desechable")),""
)</f>
        <v/>
      </c>
      <c r="J274" t="str" cm="1">
        <f t="array" aca="1" ref="J274" ca="1">IF(ISNUMBER(A274),IFERROR(_xlfn._xlws.FILTER(Equipar!A:A,(Equipar!B:B=1)*(Equipar!AC:AC=A274)),""),"")</f>
        <v/>
      </c>
    </row>
    <row r="275" spans="1:10" x14ac:dyDescent="0.25">
      <c r="A275" s="1" t="str">
        <f ca="1">IF(A274="ID",1,IF(ISBLANK(B275),"",MAX(A$2:A274)+1))</f>
        <v/>
      </c>
      <c r="I275" s="2" t="str">
        <f ca="1">IF(ISNUMBER(A275),
IF(COUNTIFS(Equipar!B:B,1,Equipar!AC:AC,A275),"Equipada",
IF(
OR(COUNTIFS(Equipar!B:B,1,Equipar!C:C,A275)
 +COUNTIFS(Equipar!B:B,1,Equipar!D:D,A275)
+COUNTIFS(Equipar!B:B,1,Equipar!E:E,A275)
+COUNTIFS(Equipar!B:B,1,Equipar!F:F,A275)
&gt;0,COUNTIF('Set recomendado'!B:B,C275)=0),
"Bloqueada",
"Desechable")),""
)</f>
        <v/>
      </c>
      <c r="J275" t="str" cm="1">
        <f t="array" aca="1" ref="J275" ca="1">IF(ISNUMBER(A275),IFERROR(_xlfn._xlws.FILTER(Equipar!A:A,(Equipar!B:B=1)*(Equipar!AC:AC=A275)),""),"")</f>
        <v/>
      </c>
    </row>
    <row r="276" spans="1:10" x14ac:dyDescent="0.25">
      <c r="A276" s="1" t="str">
        <f ca="1">IF(A275="ID",1,IF(ISBLANK(B276),"",MAX(A$2:A275)+1))</f>
        <v/>
      </c>
      <c r="I276" s="2" t="str">
        <f ca="1">IF(ISNUMBER(A276),
IF(COUNTIFS(Equipar!B:B,1,Equipar!AC:AC,A276),"Equipada",
IF(
OR(COUNTIFS(Equipar!B:B,1,Equipar!C:C,A276)
 +COUNTIFS(Equipar!B:B,1,Equipar!D:D,A276)
+COUNTIFS(Equipar!B:B,1,Equipar!E:E,A276)
+COUNTIFS(Equipar!B:B,1,Equipar!F:F,A276)
&gt;0,COUNTIF('Set recomendado'!B:B,C276)=0),
"Bloqueada",
"Desechable")),""
)</f>
        <v/>
      </c>
      <c r="J276" t="str" cm="1">
        <f t="array" aca="1" ref="J276" ca="1">IF(ISNUMBER(A276),IFERROR(_xlfn._xlws.FILTER(Equipar!A:A,(Equipar!B:B=1)*(Equipar!AC:AC=A276)),""),"")</f>
        <v/>
      </c>
    </row>
    <row r="277" spans="1:10" x14ac:dyDescent="0.25">
      <c r="A277" s="1" t="str">
        <f ca="1">IF(A276="ID",1,IF(ISBLANK(B277),"",MAX(A$2:A276)+1))</f>
        <v/>
      </c>
      <c r="I277" s="2" t="str">
        <f ca="1">IF(ISNUMBER(A277),
IF(COUNTIFS(Equipar!B:B,1,Equipar!AC:AC,A277),"Equipada",
IF(
OR(COUNTIFS(Equipar!B:B,1,Equipar!C:C,A277)
 +COUNTIFS(Equipar!B:B,1,Equipar!D:D,A277)
+COUNTIFS(Equipar!B:B,1,Equipar!E:E,A277)
+COUNTIFS(Equipar!B:B,1,Equipar!F:F,A277)
&gt;0,COUNTIF('Set recomendado'!B:B,C277)=0),
"Bloqueada",
"Desechable")),""
)</f>
        <v/>
      </c>
      <c r="J277" t="str" cm="1">
        <f t="array" aca="1" ref="J277" ca="1">IF(ISNUMBER(A277),IFERROR(_xlfn._xlws.FILTER(Equipar!A:A,(Equipar!B:B=1)*(Equipar!AC:AC=A277)),""),"")</f>
        <v/>
      </c>
    </row>
    <row r="278" spans="1:10" x14ac:dyDescent="0.25">
      <c r="A278" s="1" t="str">
        <f ca="1">IF(A277="ID",1,IF(ISBLANK(B278),"",MAX(A$2:A277)+1))</f>
        <v/>
      </c>
      <c r="I278" s="2" t="str">
        <f ca="1">IF(ISNUMBER(A278),
IF(COUNTIFS(Equipar!B:B,1,Equipar!AC:AC,A278),"Equipada",
IF(
OR(COUNTIFS(Equipar!B:B,1,Equipar!C:C,A278)
 +COUNTIFS(Equipar!B:B,1,Equipar!D:D,A278)
+COUNTIFS(Equipar!B:B,1,Equipar!E:E,A278)
+COUNTIFS(Equipar!B:B,1,Equipar!F:F,A278)
&gt;0,COUNTIF('Set recomendado'!B:B,C278)=0),
"Bloqueada",
"Desechable")),""
)</f>
        <v/>
      </c>
      <c r="J278" t="str" cm="1">
        <f t="array" aca="1" ref="J278" ca="1">IF(ISNUMBER(A278),IFERROR(_xlfn._xlws.FILTER(Equipar!A:A,(Equipar!B:B=1)*(Equipar!AC:AC=A278)),""),"")</f>
        <v/>
      </c>
    </row>
    <row r="279" spans="1:10" x14ac:dyDescent="0.25">
      <c r="A279" s="1" t="str">
        <f ca="1">IF(A278="ID",1,IF(ISBLANK(B279),"",MAX(A$2:A278)+1))</f>
        <v/>
      </c>
      <c r="I279" s="2" t="str">
        <f ca="1">IF(ISNUMBER(A279),
IF(COUNTIFS(Equipar!B:B,1,Equipar!AC:AC,A279),"Equipada",
IF(
OR(COUNTIFS(Equipar!B:B,1,Equipar!C:C,A279)
 +COUNTIFS(Equipar!B:B,1,Equipar!D:D,A279)
+COUNTIFS(Equipar!B:B,1,Equipar!E:E,A279)
+COUNTIFS(Equipar!B:B,1,Equipar!F:F,A279)
&gt;0,COUNTIF('Set recomendado'!B:B,C279)=0),
"Bloqueada",
"Desechable")),""
)</f>
        <v/>
      </c>
      <c r="J279" t="str" cm="1">
        <f t="array" aca="1" ref="J279" ca="1">IF(ISNUMBER(A279),IFERROR(_xlfn._xlws.FILTER(Equipar!A:A,(Equipar!B:B=1)*(Equipar!AC:AC=A279)),""),"")</f>
        <v/>
      </c>
    </row>
    <row r="280" spans="1:10" x14ac:dyDescent="0.25">
      <c r="A280" s="1" t="str">
        <f ca="1">IF(A279="ID",1,IF(ISBLANK(B280),"",MAX(A$2:A279)+1))</f>
        <v/>
      </c>
      <c r="I280" s="2" t="str">
        <f ca="1">IF(ISNUMBER(A280),
IF(COUNTIFS(Equipar!B:B,1,Equipar!AC:AC,A280),"Equipada",
IF(
OR(COUNTIFS(Equipar!B:B,1,Equipar!C:C,A280)
 +COUNTIFS(Equipar!B:B,1,Equipar!D:D,A280)
+COUNTIFS(Equipar!B:B,1,Equipar!E:E,A280)
+COUNTIFS(Equipar!B:B,1,Equipar!F:F,A280)
&gt;0,COUNTIF('Set recomendado'!B:B,C280)=0),
"Bloqueada",
"Desechable")),""
)</f>
        <v/>
      </c>
      <c r="J280" t="str" cm="1">
        <f t="array" aca="1" ref="J280" ca="1">IF(ISNUMBER(A280),IFERROR(_xlfn._xlws.FILTER(Equipar!A:A,(Equipar!B:B=1)*(Equipar!AC:AC=A280)),""),"")</f>
        <v/>
      </c>
    </row>
    <row r="281" spans="1:10" x14ac:dyDescent="0.25">
      <c r="A281" s="1" t="str">
        <f ca="1">IF(A280="ID",1,IF(ISBLANK(B281),"",MAX(A$2:A280)+1))</f>
        <v/>
      </c>
      <c r="I281" s="2" t="str">
        <f ca="1">IF(ISNUMBER(A281),
IF(COUNTIFS(Equipar!B:B,1,Equipar!AC:AC,A281),"Equipada",
IF(
OR(COUNTIFS(Equipar!B:B,1,Equipar!C:C,A281)
 +COUNTIFS(Equipar!B:B,1,Equipar!D:D,A281)
+COUNTIFS(Equipar!B:B,1,Equipar!E:E,A281)
+COUNTIFS(Equipar!B:B,1,Equipar!F:F,A281)
&gt;0,COUNTIF('Set recomendado'!B:B,C281)=0),
"Bloqueada",
"Desechable")),""
)</f>
        <v/>
      </c>
      <c r="J281" t="str" cm="1">
        <f t="array" aca="1" ref="J281" ca="1">IF(ISNUMBER(A281),IFERROR(_xlfn._xlws.FILTER(Equipar!A:A,(Equipar!B:B=1)*(Equipar!AC:AC=A281)),""),"")</f>
        <v/>
      </c>
    </row>
    <row r="282" spans="1:10" x14ac:dyDescent="0.25">
      <c r="A282" s="1" t="str">
        <f ca="1">IF(A281="ID",1,IF(ISBLANK(B282),"",MAX(A$2:A281)+1))</f>
        <v/>
      </c>
      <c r="I282" s="2" t="str">
        <f ca="1">IF(ISNUMBER(A282),
IF(COUNTIFS(Equipar!B:B,1,Equipar!AC:AC,A282),"Equipada",
IF(
OR(COUNTIFS(Equipar!B:B,1,Equipar!C:C,A282)
 +COUNTIFS(Equipar!B:B,1,Equipar!D:D,A282)
+COUNTIFS(Equipar!B:B,1,Equipar!E:E,A282)
+COUNTIFS(Equipar!B:B,1,Equipar!F:F,A282)
&gt;0,COUNTIF('Set recomendado'!B:B,C282)=0),
"Bloqueada",
"Desechable")),""
)</f>
        <v/>
      </c>
      <c r="J282" t="str" cm="1">
        <f t="array" aca="1" ref="J282" ca="1">IF(ISNUMBER(A282),IFERROR(_xlfn._xlws.FILTER(Equipar!A:A,(Equipar!B:B=1)*(Equipar!AC:AC=A282)),""),"")</f>
        <v/>
      </c>
    </row>
    <row r="283" spans="1:10" x14ac:dyDescent="0.25">
      <c r="A283" s="1" t="str">
        <f ca="1">IF(A282="ID",1,IF(ISBLANK(B283),"",MAX(A$2:A282)+1))</f>
        <v/>
      </c>
      <c r="I283" s="2" t="str">
        <f ca="1">IF(ISNUMBER(A283),
IF(COUNTIFS(Equipar!B:B,1,Equipar!AC:AC,A283),"Equipada",
IF(
OR(COUNTIFS(Equipar!B:B,1,Equipar!C:C,A283)
 +COUNTIFS(Equipar!B:B,1,Equipar!D:D,A283)
+COUNTIFS(Equipar!B:B,1,Equipar!E:E,A283)
+COUNTIFS(Equipar!B:B,1,Equipar!F:F,A283)
&gt;0,COUNTIF('Set recomendado'!B:B,C283)=0),
"Bloqueada",
"Desechable")),""
)</f>
        <v/>
      </c>
      <c r="J283" t="str" cm="1">
        <f t="array" aca="1" ref="J283" ca="1">IF(ISNUMBER(A283),IFERROR(_xlfn._xlws.FILTER(Equipar!A:A,(Equipar!B:B=1)*(Equipar!AC:AC=A283)),""),"")</f>
        <v/>
      </c>
    </row>
    <row r="284" spans="1:10" x14ac:dyDescent="0.25">
      <c r="A284" s="1" t="str">
        <f ca="1">IF(A283="ID",1,IF(ISBLANK(B284),"",MAX(A$2:A283)+1))</f>
        <v/>
      </c>
      <c r="I284" s="2" t="str">
        <f ca="1">IF(ISNUMBER(A284),
IF(COUNTIFS(Equipar!B:B,1,Equipar!AC:AC,A284),"Equipada",
IF(
OR(COUNTIFS(Equipar!B:B,1,Equipar!C:C,A284)
 +COUNTIFS(Equipar!B:B,1,Equipar!D:D,A284)
+COUNTIFS(Equipar!B:B,1,Equipar!E:E,A284)
+COUNTIFS(Equipar!B:B,1,Equipar!F:F,A284)
&gt;0,COUNTIF('Set recomendado'!B:B,C284)=0),
"Bloqueada",
"Desechable")),""
)</f>
        <v/>
      </c>
      <c r="J284" t="str" cm="1">
        <f t="array" aca="1" ref="J284" ca="1">IF(ISNUMBER(A284),IFERROR(_xlfn._xlws.FILTER(Equipar!A:A,(Equipar!B:B=1)*(Equipar!AC:AC=A284)),""),"")</f>
        <v/>
      </c>
    </row>
    <row r="285" spans="1:10" x14ac:dyDescent="0.25">
      <c r="A285" s="1" t="str">
        <f ca="1">IF(A284="ID",1,IF(ISBLANK(B285),"",MAX(A$2:A284)+1))</f>
        <v/>
      </c>
      <c r="I285" s="2" t="str">
        <f ca="1">IF(ISNUMBER(A285),
IF(COUNTIFS(Equipar!B:B,1,Equipar!AC:AC,A285),"Equipada",
IF(
OR(COUNTIFS(Equipar!B:B,1,Equipar!C:C,A285)
 +COUNTIFS(Equipar!B:B,1,Equipar!D:D,A285)
+COUNTIFS(Equipar!B:B,1,Equipar!E:E,A285)
+COUNTIFS(Equipar!B:B,1,Equipar!F:F,A285)
&gt;0,COUNTIF('Set recomendado'!B:B,C285)=0),
"Bloqueada",
"Desechable")),""
)</f>
        <v/>
      </c>
      <c r="J285" t="str" cm="1">
        <f t="array" aca="1" ref="J285" ca="1">IF(ISNUMBER(A285),IFERROR(_xlfn._xlws.FILTER(Equipar!A:A,(Equipar!B:B=1)*(Equipar!AC:AC=A285)),""),"")</f>
        <v/>
      </c>
    </row>
    <row r="286" spans="1:10" x14ac:dyDescent="0.25">
      <c r="A286" s="1" t="str">
        <f ca="1">IF(A285="ID",1,IF(ISBLANK(B286),"",MAX(A$2:A285)+1))</f>
        <v/>
      </c>
      <c r="I286" s="2" t="str">
        <f ca="1">IF(ISNUMBER(A286),
IF(COUNTIFS(Equipar!B:B,1,Equipar!AC:AC,A286),"Equipada",
IF(
OR(COUNTIFS(Equipar!B:B,1,Equipar!C:C,A286)
 +COUNTIFS(Equipar!B:B,1,Equipar!D:D,A286)
+COUNTIFS(Equipar!B:B,1,Equipar!E:E,A286)
+COUNTIFS(Equipar!B:B,1,Equipar!F:F,A286)
&gt;0,COUNTIF('Set recomendado'!B:B,C286)=0),
"Bloqueada",
"Desechable")),""
)</f>
        <v/>
      </c>
      <c r="J286" t="str" cm="1">
        <f t="array" aca="1" ref="J286" ca="1">IF(ISNUMBER(A286),IFERROR(_xlfn._xlws.FILTER(Equipar!A:A,(Equipar!B:B=1)*(Equipar!AC:AC=A286)),""),"")</f>
        <v/>
      </c>
    </row>
    <row r="287" spans="1:10" x14ac:dyDescent="0.25">
      <c r="A287" s="1" t="str">
        <f ca="1">IF(A286="ID",1,IF(ISBLANK(B287),"",MAX(A$2:A286)+1))</f>
        <v/>
      </c>
      <c r="I287" s="2" t="str">
        <f ca="1">IF(ISNUMBER(A287),
IF(COUNTIFS(Equipar!B:B,1,Equipar!AC:AC,A287),"Equipada",
IF(
OR(COUNTIFS(Equipar!B:B,1,Equipar!C:C,A287)
 +COUNTIFS(Equipar!B:B,1,Equipar!D:D,A287)
+COUNTIFS(Equipar!B:B,1,Equipar!E:E,A287)
+COUNTIFS(Equipar!B:B,1,Equipar!F:F,A287)
&gt;0,COUNTIF('Set recomendado'!B:B,C287)=0),
"Bloqueada",
"Desechable")),""
)</f>
        <v/>
      </c>
      <c r="J287" t="str" cm="1">
        <f t="array" aca="1" ref="J287" ca="1">IF(ISNUMBER(A287),IFERROR(_xlfn._xlws.FILTER(Equipar!A:A,(Equipar!B:B=1)*(Equipar!AC:AC=A287)),""),"")</f>
        <v/>
      </c>
    </row>
    <row r="288" spans="1:10" x14ac:dyDescent="0.25">
      <c r="A288" s="1" t="str">
        <f ca="1">IF(A287="ID",1,IF(ISBLANK(B288),"",MAX(A$2:A287)+1))</f>
        <v/>
      </c>
      <c r="I288" s="2" t="str">
        <f ca="1">IF(ISNUMBER(A288),
IF(COUNTIFS(Equipar!B:B,1,Equipar!AC:AC,A288),"Equipada",
IF(
OR(COUNTIFS(Equipar!B:B,1,Equipar!C:C,A288)
 +COUNTIFS(Equipar!B:B,1,Equipar!D:D,A288)
+COUNTIFS(Equipar!B:B,1,Equipar!E:E,A288)
+COUNTIFS(Equipar!B:B,1,Equipar!F:F,A288)
&gt;0,COUNTIF('Set recomendado'!B:B,C288)=0),
"Bloqueada",
"Desechable")),""
)</f>
        <v/>
      </c>
      <c r="J288" t="str" cm="1">
        <f t="array" aca="1" ref="J288" ca="1">IF(ISNUMBER(A288),IFERROR(_xlfn._xlws.FILTER(Equipar!A:A,(Equipar!B:B=1)*(Equipar!AC:AC=A288)),""),"")</f>
        <v/>
      </c>
    </row>
    <row r="289" spans="1:10" x14ac:dyDescent="0.25">
      <c r="A289" s="1" t="str">
        <f ca="1">IF(A288="ID",1,IF(ISBLANK(B289),"",MAX(A$2:A288)+1))</f>
        <v/>
      </c>
      <c r="I289" s="2" t="str">
        <f ca="1">IF(ISNUMBER(A289),
IF(COUNTIFS(Equipar!B:B,1,Equipar!AC:AC,A289),"Equipada",
IF(
OR(COUNTIFS(Equipar!B:B,1,Equipar!C:C,A289)
 +COUNTIFS(Equipar!B:B,1,Equipar!D:D,A289)
+COUNTIFS(Equipar!B:B,1,Equipar!E:E,A289)
+COUNTIFS(Equipar!B:B,1,Equipar!F:F,A289)
&gt;0,COUNTIF('Set recomendado'!B:B,C289)=0),
"Bloqueada",
"Desechable")),""
)</f>
        <v/>
      </c>
      <c r="J289" t="str" cm="1">
        <f t="array" aca="1" ref="J289" ca="1">IF(ISNUMBER(A289),IFERROR(_xlfn._xlws.FILTER(Equipar!A:A,(Equipar!B:B=1)*(Equipar!AC:AC=A289)),""),"")</f>
        <v/>
      </c>
    </row>
    <row r="290" spans="1:10" x14ac:dyDescent="0.25">
      <c r="A290" s="1" t="str">
        <f ca="1">IF(A289="ID",1,IF(ISBLANK(B290),"",MAX(A$2:A289)+1))</f>
        <v/>
      </c>
      <c r="I290" s="2" t="str">
        <f ca="1">IF(ISNUMBER(A290),
IF(COUNTIFS(Equipar!B:B,1,Equipar!AC:AC,A290),"Equipada",
IF(
OR(COUNTIFS(Equipar!B:B,1,Equipar!C:C,A290)
 +COUNTIFS(Equipar!B:B,1,Equipar!D:D,A290)
+COUNTIFS(Equipar!B:B,1,Equipar!E:E,A290)
+COUNTIFS(Equipar!B:B,1,Equipar!F:F,A290)
&gt;0,COUNTIF('Set recomendado'!B:B,C290)=0),
"Bloqueada",
"Desechable")),""
)</f>
        <v/>
      </c>
      <c r="J290" t="str" cm="1">
        <f t="array" aca="1" ref="J290" ca="1">IF(ISNUMBER(A290),IFERROR(_xlfn._xlws.FILTER(Equipar!A:A,(Equipar!B:B=1)*(Equipar!AC:AC=A290)),""),"")</f>
        <v/>
      </c>
    </row>
    <row r="291" spans="1:10" x14ac:dyDescent="0.25">
      <c r="A291" s="1" t="str">
        <f ca="1">IF(A290="ID",1,IF(ISBLANK(B291),"",MAX(A$2:A290)+1))</f>
        <v/>
      </c>
      <c r="I291" s="2" t="str">
        <f ca="1">IF(ISNUMBER(A291),
IF(COUNTIFS(Equipar!B:B,1,Equipar!AC:AC,A291),"Equipada",
IF(
OR(COUNTIFS(Equipar!B:B,1,Equipar!C:C,A291)
 +COUNTIFS(Equipar!B:B,1,Equipar!D:D,A291)
+COUNTIFS(Equipar!B:B,1,Equipar!E:E,A291)
+COUNTIFS(Equipar!B:B,1,Equipar!F:F,A291)
&gt;0,COUNTIF('Set recomendado'!B:B,C291)=0),
"Bloqueada",
"Desechable")),""
)</f>
        <v/>
      </c>
      <c r="J291" t="str" cm="1">
        <f t="array" aca="1" ref="J291" ca="1">IF(ISNUMBER(A291),IFERROR(_xlfn._xlws.FILTER(Equipar!A:A,(Equipar!B:B=1)*(Equipar!AC:AC=A291)),""),"")</f>
        <v/>
      </c>
    </row>
    <row r="292" spans="1:10" x14ac:dyDescent="0.25">
      <c r="A292" s="1" t="str">
        <f ca="1">IF(A291="ID",1,IF(ISBLANK(B292),"",MAX(A$2:A291)+1))</f>
        <v/>
      </c>
      <c r="I292" s="2" t="str">
        <f ca="1">IF(ISNUMBER(A292),
IF(COUNTIFS(Equipar!B:B,1,Equipar!AC:AC,A292),"Equipada",
IF(
OR(COUNTIFS(Equipar!B:B,1,Equipar!C:C,A292)
 +COUNTIFS(Equipar!B:B,1,Equipar!D:D,A292)
+COUNTIFS(Equipar!B:B,1,Equipar!E:E,A292)
+COUNTIFS(Equipar!B:B,1,Equipar!F:F,A292)
&gt;0,COUNTIF('Set recomendado'!B:B,C292)=0),
"Bloqueada",
"Desechable")),""
)</f>
        <v/>
      </c>
      <c r="J292" t="str" cm="1">
        <f t="array" aca="1" ref="J292" ca="1">IF(ISNUMBER(A292),IFERROR(_xlfn._xlws.FILTER(Equipar!A:A,(Equipar!B:B=1)*(Equipar!AC:AC=A292)),""),"")</f>
        <v/>
      </c>
    </row>
    <row r="293" spans="1:10" x14ac:dyDescent="0.25">
      <c r="A293" s="1" t="str">
        <f ca="1">IF(A292="ID",1,IF(ISBLANK(B293),"",MAX(A$2:A292)+1))</f>
        <v/>
      </c>
      <c r="I293" s="2" t="str">
        <f ca="1">IF(ISNUMBER(A293),
IF(COUNTIFS(Equipar!B:B,1,Equipar!AC:AC,A293),"Equipada",
IF(
OR(COUNTIFS(Equipar!B:B,1,Equipar!C:C,A293)
 +COUNTIFS(Equipar!B:B,1,Equipar!D:D,A293)
+COUNTIFS(Equipar!B:B,1,Equipar!E:E,A293)
+COUNTIFS(Equipar!B:B,1,Equipar!F:F,A293)
&gt;0,COUNTIF('Set recomendado'!B:B,C293)=0),
"Bloqueada",
"Desechable")),""
)</f>
        <v/>
      </c>
      <c r="J293" t="str" cm="1">
        <f t="array" aca="1" ref="J293" ca="1">IF(ISNUMBER(A293),IFERROR(_xlfn._xlws.FILTER(Equipar!A:A,(Equipar!B:B=1)*(Equipar!AC:AC=A293)),""),"")</f>
        <v/>
      </c>
    </row>
    <row r="294" spans="1:10" x14ac:dyDescent="0.25">
      <c r="A294" s="1" t="str">
        <f ca="1">IF(A293="ID",1,IF(ISBLANK(B294),"",MAX(A$2:A293)+1))</f>
        <v/>
      </c>
      <c r="I294" s="2" t="str">
        <f ca="1">IF(ISNUMBER(A294),
IF(COUNTIFS(Equipar!B:B,1,Equipar!AC:AC,A294),"Equipada",
IF(
OR(COUNTIFS(Equipar!B:B,1,Equipar!C:C,A294)
 +COUNTIFS(Equipar!B:B,1,Equipar!D:D,A294)
+COUNTIFS(Equipar!B:B,1,Equipar!E:E,A294)
+COUNTIFS(Equipar!B:B,1,Equipar!F:F,A294)
&gt;0,COUNTIF('Set recomendado'!B:B,C294)=0),
"Bloqueada",
"Desechable")),""
)</f>
        <v/>
      </c>
      <c r="J294" t="str" cm="1">
        <f t="array" aca="1" ref="J294" ca="1">IF(ISNUMBER(A294),IFERROR(_xlfn._xlws.FILTER(Equipar!A:A,(Equipar!B:B=1)*(Equipar!AC:AC=A294)),""),"")</f>
        <v/>
      </c>
    </row>
    <row r="295" spans="1:10" x14ac:dyDescent="0.25">
      <c r="A295" s="1" t="str">
        <f ca="1">IF(A294="ID",1,IF(ISBLANK(B295),"",MAX(A$2:A294)+1))</f>
        <v/>
      </c>
      <c r="I295" s="2" t="str">
        <f ca="1">IF(ISNUMBER(A295),
IF(COUNTIFS(Equipar!B:B,1,Equipar!AC:AC,A295),"Equipada",
IF(
OR(COUNTIFS(Equipar!B:B,1,Equipar!C:C,A295)
 +COUNTIFS(Equipar!B:B,1,Equipar!D:D,A295)
+COUNTIFS(Equipar!B:B,1,Equipar!E:E,A295)
+COUNTIFS(Equipar!B:B,1,Equipar!F:F,A295)
&gt;0,COUNTIF('Set recomendado'!B:B,C295)=0),
"Bloqueada",
"Desechable")),""
)</f>
        <v/>
      </c>
      <c r="J295" t="str" cm="1">
        <f t="array" aca="1" ref="J295" ca="1">IF(ISNUMBER(A295),IFERROR(_xlfn._xlws.FILTER(Equipar!A:A,(Equipar!B:B=1)*(Equipar!AC:AC=A295)),""),"")</f>
        <v/>
      </c>
    </row>
    <row r="296" spans="1:10" x14ac:dyDescent="0.25">
      <c r="A296" s="1" t="str">
        <f ca="1">IF(A295="ID",1,IF(ISBLANK(B296),"",MAX(A$2:A295)+1))</f>
        <v/>
      </c>
      <c r="I296" s="2" t="str">
        <f ca="1">IF(ISNUMBER(A296),
IF(COUNTIFS(Equipar!B:B,1,Equipar!AC:AC,A296),"Equipada",
IF(
OR(COUNTIFS(Equipar!B:B,1,Equipar!C:C,A296)
 +COUNTIFS(Equipar!B:B,1,Equipar!D:D,A296)
+COUNTIFS(Equipar!B:B,1,Equipar!E:E,A296)
+COUNTIFS(Equipar!B:B,1,Equipar!F:F,A296)
&gt;0,COUNTIF('Set recomendado'!B:B,C296)=0),
"Bloqueada",
"Desechable")),""
)</f>
        <v/>
      </c>
      <c r="J296" t="str" cm="1">
        <f t="array" aca="1" ref="J296" ca="1">IF(ISNUMBER(A296),IFERROR(_xlfn._xlws.FILTER(Equipar!A:A,(Equipar!B:B=1)*(Equipar!AC:AC=A296)),""),"")</f>
        <v/>
      </c>
    </row>
    <row r="297" spans="1:10" x14ac:dyDescent="0.25">
      <c r="A297" s="1" t="str">
        <f ca="1">IF(A296="ID",1,IF(ISBLANK(B297),"",MAX(A$2:A296)+1))</f>
        <v/>
      </c>
      <c r="I297" s="2" t="str">
        <f ca="1">IF(ISNUMBER(A297),
IF(COUNTIFS(Equipar!B:B,1,Equipar!AC:AC,A297),"Equipada",
IF(
OR(COUNTIFS(Equipar!B:B,1,Equipar!C:C,A297)
 +COUNTIFS(Equipar!B:B,1,Equipar!D:D,A297)
+COUNTIFS(Equipar!B:B,1,Equipar!E:E,A297)
+COUNTIFS(Equipar!B:B,1,Equipar!F:F,A297)
&gt;0,COUNTIF('Set recomendado'!B:B,C297)=0),
"Bloqueada",
"Desechable")),""
)</f>
        <v/>
      </c>
      <c r="J297" t="str" cm="1">
        <f t="array" aca="1" ref="J297" ca="1">IF(ISNUMBER(A297),IFERROR(_xlfn._xlws.FILTER(Equipar!A:A,(Equipar!B:B=1)*(Equipar!AC:AC=A297)),""),"")</f>
        <v/>
      </c>
    </row>
    <row r="298" spans="1:10" x14ac:dyDescent="0.25">
      <c r="A298" s="1" t="str">
        <f ca="1">IF(A297="ID",1,IF(ISBLANK(B298),"",MAX(A$2:A297)+1))</f>
        <v/>
      </c>
      <c r="I298" s="2" t="str">
        <f ca="1">IF(ISNUMBER(A298),
IF(COUNTIFS(Equipar!B:B,1,Equipar!AC:AC,A298),"Equipada",
IF(
OR(COUNTIFS(Equipar!B:B,1,Equipar!C:C,A298)
 +COUNTIFS(Equipar!B:B,1,Equipar!D:D,A298)
+COUNTIFS(Equipar!B:B,1,Equipar!E:E,A298)
+COUNTIFS(Equipar!B:B,1,Equipar!F:F,A298)
&gt;0,COUNTIF('Set recomendado'!B:B,C298)=0),
"Bloqueada",
"Desechable")),""
)</f>
        <v/>
      </c>
      <c r="J298" t="str" cm="1">
        <f t="array" aca="1" ref="J298" ca="1">IF(ISNUMBER(A298),IFERROR(_xlfn._xlws.FILTER(Equipar!A:A,(Equipar!B:B=1)*(Equipar!AC:AC=A298)),""),"")</f>
        <v/>
      </c>
    </row>
    <row r="299" spans="1:10" x14ac:dyDescent="0.25">
      <c r="A299" s="1" t="str">
        <f ca="1">IF(A298="ID",1,IF(ISBLANK(B299),"",MAX(A$2:A298)+1))</f>
        <v/>
      </c>
      <c r="I299" s="2" t="str">
        <f ca="1">IF(ISNUMBER(A299),
IF(COUNTIFS(Equipar!B:B,1,Equipar!AC:AC,A299),"Equipada",
IF(
OR(COUNTIFS(Equipar!B:B,1,Equipar!C:C,A299)
 +COUNTIFS(Equipar!B:B,1,Equipar!D:D,A299)
+COUNTIFS(Equipar!B:B,1,Equipar!E:E,A299)
+COUNTIFS(Equipar!B:B,1,Equipar!F:F,A299)
&gt;0,COUNTIF('Set recomendado'!B:B,C299)=0),
"Bloqueada",
"Desechable")),""
)</f>
        <v/>
      </c>
      <c r="J299" t="str" cm="1">
        <f t="array" aca="1" ref="J299" ca="1">IF(ISNUMBER(A299),IFERROR(_xlfn._xlws.FILTER(Equipar!A:A,(Equipar!B:B=1)*(Equipar!AC:AC=A299)),""),"")</f>
        <v/>
      </c>
    </row>
    <row r="300" spans="1:10" x14ac:dyDescent="0.25">
      <c r="A300" s="1" t="str">
        <f ca="1">IF(A299="ID",1,IF(ISBLANK(B300),"",MAX(A$2:A299)+1))</f>
        <v/>
      </c>
      <c r="I300" s="2" t="str">
        <f ca="1">IF(ISNUMBER(A300),
IF(COUNTIFS(Equipar!B:B,1,Equipar!AC:AC,A300),"Equipada",
IF(
OR(COUNTIFS(Equipar!B:B,1,Equipar!C:C,A300)
 +COUNTIFS(Equipar!B:B,1,Equipar!D:D,A300)
+COUNTIFS(Equipar!B:B,1,Equipar!E:E,A300)
+COUNTIFS(Equipar!B:B,1,Equipar!F:F,A300)
&gt;0,COUNTIF('Set recomendado'!B:B,C300)=0),
"Bloqueada",
"Desechable")),""
)</f>
        <v/>
      </c>
      <c r="J300" t="str" cm="1">
        <f t="array" aca="1" ref="J300" ca="1">IF(ISNUMBER(A300),IFERROR(_xlfn._xlws.FILTER(Equipar!A:A,(Equipar!B:B=1)*(Equipar!AC:AC=A300)),""),"")</f>
        <v/>
      </c>
    </row>
    <row r="301" spans="1:10" x14ac:dyDescent="0.25">
      <c r="A301" s="1" t="str">
        <f ca="1">IF(A300="ID",1,IF(ISBLANK(B301),"",MAX(A$2:A300)+1))</f>
        <v/>
      </c>
      <c r="I301" s="2" t="str">
        <f ca="1">IF(ISNUMBER(A301),
IF(COUNTIFS(Equipar!B:B,1,Equipar!AC:AC,A301),"Equipada",
IF(
OR(COUNTIFS(Equipar!B:B,1,Equipar!C:C,A301)
 +COUNTIFS(Equipar!B:B,1,Equipar!D:D,A301)
+COUNTIFS(Equipar!B:B,1,Equipar!E:E,A301)
+COUNTIFS(Equipar!B:B,1,Equipar!F:F,A301)
&gt;0,COUNTIF('Set recomendado'!B:B,C301)=0),
"Bloqueada",
"Desechable")),""
)</f>
        <v/>
      </c>
      <c r="J301" t="str" cm="1">
        <f t="array" aca="1" ref="J301" ca="1">IF(ISNUMBER(A301),IFERROR(_xlfn._xlws.FILTER(Equipar!A:A,(Equipar!B:B=1)*(Equipar!AC:AC=A301)),""),"")</f>
        <v/>
      </c>
    </row>
    <row r="302" spans="1:10" x14ac:dyDescent="0.25">
      <c r="A302" s="1" t="str">
        <f ca="1">IF(A301="ID",1,IF(ISBLANK(B302),"",MAX(A$2:A301)+1))</f>
        <v/>
      </c>
      <c r="I302" s="2" t="str">
        <f ca="1">IF(ISNUMBER(A302),
IF(COUNTIFS(Equipar!B:B,1,Equipar!AC:AC,A302),"Equipada",
IF(
OR(COUNTIFS(Equipar!B:B,1,Equipar!C:C,A302)
 +COUNTIFS(Equipar!B:B,1,Equipar!D:D,A302)
+COUNTIFS(Equipar!B:B,1,Equipar!E:E,A302)
+COUNTIFS(Equipar!B:B,1,Equipar!F:F,A302)
&gt;0,COUNTIF('Set recomendado'!B:B,C302)=0),
"Bloqueada",
"Desechable")),""
)</f>
        <v/>
      </c>
      <c r="J302" t="str" cm="1">
        <f t="array" aca="1" ref="J302" ca="1">IF(ISNUMBER(A302),IFERROR(_xlfn._xlws.FILTER(Equipar!A:A,(Equipar!B:B=1)*(Equipar!AC:AC=A302)),""),"")</f>
        <v/>
      </c>
    </row>
    <row r="303" spans="1:10" x14ac:dyDescent="0.25">
      <c r="A303" s="1" t="str">
        <f ca="1">IF(A302="ID",1,IF(ISBLANK(B303),"",MAX(A$2:A302)+1))</f>
        <v/>
      </c>
      <c r="I303" s="2" t="str">
        <f ca="1">IF(ISNUMBER(A303),
IF(COUNTIFS(Equipar!B:B,1,Equipar!AC:AC,A303),"Equipada",
IF(
OR(COUNTIFS(Equipar!B:B,1,Equipar!C:C,A303)
 +COUNTIFS(Equipar!B:B,1,Equipar!D:D,A303)
+COUNTIFS(Equipar!B:B,1,Equipar!E:E,A303)
+COUNTIFS(Equipar!B:B,1,Equipar!F:F,A303)
&gt;0,COUNTIF('Set recomendado'!B:B,C303)=0),
"Bloqueada",
"Desechable")),""
)</f>
        <v/>
      </c>
      <c r="J303" t="str" cm="1">
        <f t="array" aca="1" ref="J303" ca="1">IF(ISNUMBER(A303),IFERROR(_xlfn._xlws.FILTER(Equipar!A:A,(Equipar!B:B=1)*(Equipar!AC:AC=A303)),""),"")</f>
        <v/>
      </c>
    </row>
    <row r="304" spans="1:10" x14ac:dyDescent="0.25">
      <c r="A304" s="1" t="str">
        <f ca="1">IF(A303="ID",1,IF(ISBLANK(B304),"",MAX(A$2:A303)+1))</f>
        <v/>
      </c>
      <c r="I304" s="2" t="str">
        <f ca="1">IF(ISNUMBER(A304),
IF(COUNTIFS(Equipar!B:B,1,Equipar!AC:AC,A304),"Equipada",
IF(
OR(COUNTIFS(Equipar!B:B,1,Equipar!C:C,A304)
 +COUNTIFS(Equipar!B:B,1,Equipar!D:D,A304)
+COUNTIFS(Equipar!B:B,1,Equipar!E:E,A304)
+COUNTIFS(Equipar!B:B,1,Equipar!F:F,A304)
&gt;0,COUNTIF('Set recomendado'!B:B,C304)=0),
"Bloqueada",
"Desechable")),""
)</f>
        <v/>
      </c>
      <c r="J304" t="str" cm="1">
        <f t="array" aca="1" ref="J304" ca="1">IF(ISNUMBER(A304),IFERROR(_xlfn._xlws.FILTER(Equipar!A:A,(Equipar!B:B=1)*(Equipar!AC:AC=A304)),""),"")</f>
        <v/>
      </c>
    </row>
    <row r="305" spans="1:10" x14ac:dyDescent="0.25">
      <c r="A305" s="1" t="str">
        <f ca="1">IF(A304="ID",1,IF(ISBLANK(B305),"",MAX(A$2:A304)+1))</f>
        <v/>
      </c>
      <c r="I305" s="2" t="str">
        <f ca="1">IF(ISNUMBER(A305),
IF(COUNTIFS(Equipar!B:B,1,Equipar!AC:AC,A305),"Equipada",
IF(
OR(COUNTIFS(Equipar!B:B,1,Equipar!C:C,A305)
 +COUNTIFS(Equipar!B:B,1,Equipar!D:D,A305)
+COUNTIFS(Equipar!B:B,1,Equipar!E:E,A305)
+COUNTIFS(Equipar!B:B,1,Equipar!F:F,A305)
&gt;0,COUNTIF('Set recomendado'!B:B,C305)=0),
"Bloqueada",
"Desechable")),""
)</f>
        <v/>
      </c>
      <c r="J305" t="str" cm="1">
        <f t="array" aca="1" ref="J305" ca="1">IF(ISNUMBER(A305),IFERROR(_xlfn._xlws.FILTER(Equipar!A:A,(Equipar!B:B=1)*(Equipar!AC:AC=A305)),""),"")</f>
        <v/>
      </c>
    </row>
    <row r="306" spans="1:10" x14ac:dyDescent="0.25">
      <c r="A306" s="1" t="str">
        <f ca="1">IF(A305="ID",1,IF(ISBLANK(B306),"",MAX(A$2:A305)+1))</f>
        <v/>
      </c>
      <c r="I306" s="2" t="str">
        <f ca="1">IF(ISNUMBER(A306),
IF(COUNTIFS(Equipar!B:B,1,Equipar!AC:AC,A306),"Equipada",
IF(
OR(COUNTIFS(Equipar!B:B,1,Equipar!C:C,A306)
 +COUNTIFS(Equipar!B:B,1,Equipar!D:D,A306)
+COUNTIFS(Equipar!B:B,1,Equipar!E:E,A306)
+COUNTIFS(Equipar!B:B,1,Equipar!F:F,A306)
&gt;0,COUNTIF('Set recomendado'!B:B,C306)=0),
"Bloqueada",
"Desechable")),""
)</f>
        <v/>
      </c>
      <c r="J306" t="str" cm="1">
        <f t="array" aca="1" ref="J306" ca="1">IF(ISNUMBER(A306),IFERROR(_xlfn._xlws.FILTER(Equipar!A:A,(Equipar!B:B=1)*(Equipar!AC:AC=A306)),""),"")</f>
        <v/>
      </c>
    </row>
    <row r="307" spans="1:10" x14ac:dyDescent="0.25">
      <c r="A307" s="1" t="str">
        <f ca="1">IF(A306="ID",1,IF(ISBLANK(B307),"",MAX(A$2:A306)+1))</f>
        <v/>
      </c>
      <c r="I307" s="2" t="str">
        <f ca="1">IF(ISNUMBER(A307),
IF(COUNTIFS(Equipar!B:B,1,Equipar!AC:AC,A307),"Equipada",
IF(
OR(COUNTIFS(Equipar!B:B,1,Equipar!C:C,A307)
 +COUNTIFS(Equipar!B:B,1,Equipar!D:D,A307)
+COUNTIFS(Equipar!B:B,1,Equipar!E:E,A307)
+COUNTIFS(Equipar!B:B,1,Equipar!F:F,A307)
&gt;0,COUNTIF('Set recomendado'!B:B,C307)=0),
"Bloqueada",
"Desechable")),""
)</f>
        <v/>
      </c>
      <c r="J307" t="str" cm="1">
        <f t="array" aca="1" ref="J307" ca="1">IF(ISNUMBER(A307),IFERROR(_xlfn._xlws.FILTER(Equipar!A:A,(Equipar!B:B=1)*(Equipar!AC:AC=A307)),""),"")</f>
        <v/>
      </c>
    </row>
    <row r="308" spans="1:10" x14ac:dyDescent="0.25">
      <c r="A308" s="1" t="str">
        <f ca="1">IF(A307="ID",1,IF(ISBLANK(B308),"",MAX(A$2:A307)+1))</f>
        <v/>
      </c>
      <c r="I308" s="2" t="str">
        <f ca="1">IF(ISNUMBER(A308),
IF(COUNTIFS(Equipar!B:B,1,Equipar!AC:AC,A308),"Equipada",
IF(
OR(COUNTIFS(Equipar!B:B,1,Equipar!C:C,A308)
 +COUNTIFS(Equipar!B:B,1,Equipar!D:D,A308)
+COUNTIFS(Equipar!B:B,1,Equipar!E:E,A308)
+COUNTIFS(Equipar!B:B,1,Equipar!F:F,A308)
&gt;0,COUNTIF('Set recomendado'!B:B,C308)=0),
"Bloqueada",
"Desechable")),""
)</f>
        <v/>
      </c>
      <c r="J308" t="str" cm="1">
        <f t="array" aca="1" ref="J308" ca="1">IF(ISNUMBER(A308),IFERROR(_xlfn._xlws.FILTER(Equipar!A:A,(Equipar!B:B=1)*(Equipar!AC:AC=A308)),""),"")</f>
        <v/>
      </c>
    </row>
    <row r="309" spans="1:10" x14ac:dyDescent="0.25">
      <c r="A309" s="1" t="str">
        <f ca="1">IF(A308="ID",1,IF(ISBLANK(B309),"",MAX(A$2:A308)+1))</f>
        <v/>
      </c>
      <c r="I309" s="2" t="str">
        <f ca="1">IF(ISNUMBER(A309),
IF(COUNTIFS(Equipar!B:B,1,Equipar!AC:AC,A309),"Equipada",
IF(
OR(COUNTIFS(Equipar!B:B,1,Equipar!C:C,A309)
 +COUNTIFS(Equipar!B:B,1,Equipar!D:D,A309)
+COUNTIFS(Equipar!B:B,1,Equipar!E:E,A309)
+COUNTIFS(Equipar!B:B,1,Equipar!F:F,A309)
&gt;0,COUNTIF('Set recomendado'!B:B,C309)=0),
"Bloqueada",
"Desechable")),""
)</f>
        <v/>
      </c>
      <c r="J309" t="str" cm="1">
        <f t="array" aca="1" ref="J309" ca="1">IF(ISNUMBER(A309),IFERROR(_xlfn._xlws.FILTER(Equipar!A:A,(Equipar!B:B=1)*(Equipar!AC:AC=A309)),""),"")</f>
        <v/>
      </c>
    </row>
    <row r="310" spans="1:10" x14ac:dyDescent="0.25">
      <c r="A310" s="1" t="str">
        <f ca="1">IF(A309="ID",1,IF(ISBLANK(B310),"",MAX(A$2:A309)+1))</f>
        <v/>
      </c>
      <c r="I310" s="2" t="str">
        <f ca="1">IF(ISNUMBER(A310),
IF(COUNTIFS(Equipar!B:B,1,Equipar!AC:AC,A310),"Equipada",
IF(
OR(COUNTIFS(Equipar!B:B,1,Equipar!C:C,A310)
 +COUNTIFS(Equipar!B:B,1,Equipar!D:D,A310)
+COUNTIFS(Equipar!B:B,1,Equipar!E:E,A310)
+COUNTIFS(Equipar!B:B,1,Equipar!F:F,A310)
&gt;0,COUNTIF('Set recomendado'!B:B,C310)=0),
"Bloqueada",
"Desechable")),""
)</f>
        <v/>
      </c>
      <c r="J310" t="str" cm="1">
        <f t="array" aca="1" ref="J310" ca="1">IF(ISNUMBER(A310),IFERROR(_xlfn._xlws.FILTER(Equipar!A:A,(Equipar!B:B=1)*(Equipar!AC:AC=A310)),""),"")</f>
        <v/>
      </c>
    </row>
    <row r="311" spans="1:10" x14ac:dyDescent="0.25">
      <c r="A311" s="1" t="str">
        <f ca="1">IF(A310="ID",1,IF(ISBLANK(B311),"",MAX(A$2:A310)+1))</f>
        <v/>
      </c>
      <c r="I311" s="2" t="str">
        <f ca="1">IF(ISNUMBER(A311),
IF(COUNTIFS(Equipar!B:B,1,Equipar!AC:AC,A311),"Equipada",
IF(
OR(COUNTIFS(Equipar!B:B,1,Equipar!C:C,A311)
 +COUNTIFS(Equipar!B:B,1,Equipar!D:D,A311)
+COUNTIFS(Equipar!B:B,1,Equipar!E:E,A311)
+COUNTIFS(Equipar!B:B,1,Equipar!F:F,A311)
&gt;0,COUNTIF('Set recomendado'!B:B,C311)=0),
"Bloqueada",
"Desechable")),""
)</f>
        <v/>
      </c>
      <c r="J311" t="str" cm="1">
        <f t="array" aca="1" ref="J311" ca="1">IF(ISNUMBER(A311),IFERROR(_xlfn._xlws.FILTER(Equipar!A:A,(Equipar!B:B=1)*(Equipar!AC:AC=A311)),""),"")</f>
        <v/>
      </c>
    </row>
    <row r="312" spans="1:10" x14ac:dyDescent="0.25">
      <c r="A312" s="1" t="str">
        <f ca="1">IF(A311="ID",1,IF(ISBLANK(B312),"",MAX(A$2:A311)+1))</f>
        <v/>
      </c>
      <c r="I312" s="2" t="str">
        <f ca="1">IF(ISNUMBER(A312),
IF(COUNTIFS(Equipar!B:B,1,Equipar!AC:AC,A312),"Equipada",
IF(
OR(COUNTIFS(Equipar!B:B,1,Equipar!C:C,A312)
 +COUNTIFS(Equipar!B:B,1,Equipar!D:D,A312)
+COUNTIFS(Equipar!B:B,1,Equipar!E:E,A312)
+COUNTIFS(Equipar!B:B,1,Equipar!F:F,A312)
&gt;0,COUNTIF('Set recomendado'!B:B,C312)=0),
"Bloqueada",
"Desechable")),""
)</f>
        <v/>
      </c>
      <c r="J312" t="str" cm="1">
        <f t="array" aca="1" ref="J312" ca="1">IF(ISNUMBER(A312),IFERROR(_xlfn._xlws.FILTER(Equipar!A:A,(Equipar!B:B=1)*(Equipar!AC:AC=A312)),""),"")</f>
        <v/>
      </c>
    </row>
    <row r="313" spans="1:10" x14ac:dyDescent="0.25">
      <c r="A313" s="1" t="str">
        <f ca="1">IF(A312="ID",1,IF(ISBLANK(B313),"",MAX(A$2:A312)+1))</f>
        <v/>
      </c>
      <c r="I313" s="2" t="str">
        <f ca="1">IF(ISNUMBER(A313),
IF(COUNTIFS(Equipar!B:B,1,Equipar!AC:AC,A313),"Equipada",
IF(
OR(COUNTIFS(Equipar!B:B,1,Equipar!C:C,A313)
 +COUNTIFS(Equipar!B:B,1,Equipar!D:D,A313)
+COUNTIFS(Equipar!B:B,1,Equipar!E:E,A313)
+COUNTIFS(Equipar!B:B,1,Equipar!F:F,A313)
&gt;0,COUNTIF('Set recomendado'!B:B,C313)=0),
"Bloqueada",
"Desechable")),""
)</f>
        <v/>
      </c>
      <c r="J313" t="str" cm="1">
        <f t="array" aca="1" ref="J313" ca="1">IF(ISNUMBER(A313),IFERROR(_xlfn._xlws.FILTER(Equipar!A:A,(Equipar!B:B=1)*(Equipar!AC:AC=A313)),""),"")</f>
        <v/>
      </c>
    </row>
    <row r="314" spans="1:10" x14ac:dyDescent="0.25">
      <c r="A314" s="1" t="str">
        <f ca="1">IF(A313="ID",1,IF(ISBLANK(B314),"",MAX(A$2:A313)+1))</f>
        <v/>
      </c>
      <c r="I314" s="2" t="str">
        <f ca="1">IF(ISNUMBER(A314),
IF(COUNTIFS(Equipar!B:B,1,Equipar!AC:AC,A314),"Equipada",
IF(
OR(COUNTIFS(Equipar!B:B,1,Equipar!C:C,A314)
 +COUNTIFS(Equipar!B:B,1,Equipar!D:D,A314)
+COUNTIFS(Equipar!B:B,1,Equipar!E:E,A314)
+COUNTIFS(Equipar!B:B,1,Equipar!F:F,A314)
&gt;0,COUNTIF('Set recomendado'!B:B,C314)=0),
"Bloqueada",
"Desechable")),""
)</f>
        <v/>
      </c>
      <c r="J314" t="str" cm="1">
        <f t="array" aca="1" ref="J314" ca="1">IF(ISNUMBER(A314),IFERROR(_xlfn._xlws.FILTER(Equipar!A:A,(Equipar!B:B=1)*(Equipar!AC:AC=A314)),""),"")</f>
        <v/>
      </c>
    </row>
    <row r="315" spans="1:10" x14ac:dyDescent="0.25">
      <c r="A315" s="1" t="str">
        <f ca="1">IF(A314="ID",1,IF(ISBLANK(B315),"",MAX(A$2:A314)+1))</f>
        <v/>
      </c>
      <c r="I315" s="2" t="str">
        <f ca="1">IF(ISNUMBER(A315),
IF(COUNTIFS(Equipar!B:B,1,Equipar!AC:AC,A315),"Equipada",
IF(
OR(COUNTIFS(Equipar!B:B,1,Equipar!C:C,A315)
 +COUNTIFS(Equipar!B:B,1,Equipar!D:D,A315)
+COUNTIFS(Equipar!B:B,1,Equipar!E:E,A315)
+COUNTIFS(Equipar!B:B,1,Equipar!F:F,A315)
&gt;0,COUNTIF('Set recomendado'!B:B,C315)=0),
"Bloqueada",
"Desechable")),""
)</f>
        <v/>
      </c>
      <c r="J315" t="str" cm="1">
        <f t="array" aca="1" ref="J315" ca="1">IF(ISNUMBER(A315),IFERROR(_xlfn._xlws.FILTER(Equipar!A:A,(Equipar!B:B=1)*(Equipar!AC:AC=A315)),""),"")</f>
        <v/>
      </c>
    </row>
    <row r="316" spans="1:10" x14ac:dyDescent="0.25">
      <c r="A316" s="1" t="str">
        <f ca="1">IF(A315="ID",1,IF(ISBLANK(B316),"",MAX(A$2:A315)+1))</f>
        <v/>
      </c>
      <c r="I316" s="2" t="str">
        <f ca="1">IF(ISNUMBER(A316),
IF(COUNTIFS(Equipar!B:B,1,Equipar!AC:AC,A316),"Equipada",
IF(
OR(COUNTIFS(Equipar!B:B,1,Equipar!C:C,A316)
 +COUNTIFS(Equipar!B:B,1,Equipar!D:D,A316)
+COUNTIFS(Equipar!B:B,1,Equipar!E:E,A316)
+COUNTIFS(Equipar!B:B,1,Equipar!F:F,A316)
&gt;0,COUNTIF('Set recomendado'!B:B,C316)=0),
"Bloqueada",
"Desechable")),""
)</f>
        <v/>
      </c>
      <c r="J316" t="str" cm="1">
        <f t="array" aca="1" ref="J316" ca="1">IF(ISNUMBER(A316),IFERROR(_xlfn._xlws.FILTER(Equipar!A:A,(Equipar!B:B=1)*(Equipar!AC:AC=A316)),""),"")</f>
        <v/>
      </c>
    </row>
    <row r="317" spans="1:10" x14ac:dyDescent="0.25">
      <c r="A317" s="1" t="str">
        <f ca="1">IF(A316="ID",1,IF(ISBLANK(B317),"",MAX(A$2:A316)+1))</f>
        <v/>
      </c>
      <c r="I317" s="2" t="str">
        <f ca="1">IF(ISNUMBER(A317),
IF(COUNTIFS(Equipar!B:B,1,Equipar!AC:AC,A317),"Equipada",
IF(
OR(COUNTIFS(Equipar!B:B,1,Equipar!C:C,A317)
 +COUNTIFS(Equipar!B:B,1,Equipar!D:D,A317)
+COUNTIFS(Equipar!B:B,1,Equipar!E:E,A317)
+COUNTIFS(Equipar!B:B,1,Equipar!F:F,A317)
&gt;0,COUNTIF('Set recomendado'!B:B,C317)=0),
"Bloqueada",
"Desechable")),""
)</f>
        <v/>
      </c>
      <c r="J317" t="str" cm="1">
        <f t="array" aca="1" ref="J317" ca="1">IF(ISNUMBER(A317),IFERROR(_xlfn._xlws.FILTER(Equipar!A:A,(Equipar!B:B=1)*(Equipar!AC:AC=A317)),""),"")</f>
        <v/>
      </c>
    </row>
    <row r="318" spans="1:10" x14ac:dyDescent="0.25">
      <c r="A318" s="1" t="str">
        <f ca="1">IF(A317="ID",1,IF(ISBLANK(B318),"",MAX(A$2:A317)+1))</f>
        <v/>
      </c>
      <c r="I318" s="2" t="str">
        <f ca="1">IF(ISNUMBER(A318),
IF(COUNTIFS(Equipar!B:B,1,Equipar!AC:AC,A318),"Equipada",
IF(
OR(COUNTIFS(Equipar!B:B,1,Equipar!C:C,A318)
 +COUNTIFS(Equipar!B:B,1,Equipar!D:D,A318)
+COUNTIFS(Equipar!B:B,1,Equipar!E:E,A318)
+COUNTIFS(Equipar!B:B,1,Equipar!F:F,A318)
&gt;0,COUNTIF('Set recomendado'!B:B,C318)=0),
"Bloqueada",
"Desechable")),""
)</f>
        <v/>
      </c>
      <c r="J318" t="str" cm="1">
        <f t="array" aca="1" ref="J318" ca="1">IF(ISNUMBER(A318),IFERROR(_xlfn._xlws.FILTER(Equipar!A:A,(Equipar!B:B=1)*(Equipar!AC:AC=A318)),""),"")</f>
        <v/>
      </c>
    </row>
    <row r="319" spans="1:10" x14ac:dyDescent="0.25">
      <c r="A319" s="1" t="str">
        <f ca="1">IF(A318="ID",1,IF(ISBLANK(B319),"",MAX(A$2:A318)+1))</f>
        <v/>
      </c>
      <c r="I319" s="2" t="str">
        <f ca="1">IF(ISNUMBER(A319),
IF(COUNTIFS(Equipar!B:B,1,Equipar!AC:AC,A319),"Equipada",
IF(
OR(COUNTIFS(Equipar!B:B,1,Equipar!C:C,A319)
 +COUNTIFS(Equipar!B:B,1,Equipar!D:D,A319)
+COUNTIFS(Equipar!B:B,1,Equipar!E:E,A319)
+COUNTIFS(Equipar!B:B,1,Equipar!F:F,A319)
&gt;0,COUNTIF('Set recomendado'!B:B,C319)=0),
"Bloqueada",
"Desechable")),""
)</f>
        <v/>
      </c>
      <c r="J319" t="str" cm="1">
        <f t="array" aca="1" ref="J319" ca="1">IF(ISNUMBER(A319),IFERROR(_xlfn._xlws.FILTER(Equipar!A:A,(Equipar!B:B=1)*(Equipar!AC:AC=A319)),""),"")</f>
        <v/>
      </c>
    </row>
    <row r="320" spans="1:10" x14ac:dyDescent="0.25">
      <c r="A320" s="1" t="str">
        <f ca="1">IF(A319="ID",1,IF(ISBLANK(B320),"",MAX(A$2:A319)+1))</f>
        <v/>
      </c>
      <c r="I320" s="2" t="str">
        <f ca="1">IF(ISNUMBER(A320),
IF(COUNTIFS(Equipar!B:B,1,Equipar!AC:AC,A320),"Equipada",
IF(
OR(COUNTIFS(Equipar!B:B,1,Equipar!C:C,A320)
 +COUNTIFS(Equipar!B:B,1,Equipar!D:D,A320)
+COUNTIFS(Equipar!B:B,1,Equipar!E:E,A320)
+COUNTIFS(Equipar!B:B,1,Equipar!F:F,A320)
&gt;0,COUNTIF('Set recomendado'!B:B,C320)=0),
"Bloqueada",
"Desechable")),""
)</f>
        <v/>
      </c>
      <c r="J320" t="str" cm="1">
        <f t="array" aca="1" ref="J320" ca="1">IF(ISNUMBER(A320),IFERROR(_xlfn._xlws.FILTER(Equipar!A:A,(Equipar!B:B=1)*(Equipar!AC:AC=A320)),""),"")</f>
        <v/>
      </c>
    </row>
    <row r="321" spans="1:10" x14ac:dyDescent="0.25">
      <c r="A321" s="1" t="str">
        <f ca="1">IF(A320="ID",1,IF(ISBLANK(B321),"",MAX(A$2:A320)+1))</f>
        <v/>
      </c>
      <c r="I321" s="2" t="str">
        <f ca="1">IF(ISNUMBER(A321),
IF(COUNTIFS(Equipar!B:B,1,Equipar!AC:AC,A321),"Equipada",
IF(
OR(COUNTIFS(Equipar!B:B,1,Equipar!C:C,A321)
 +COUNTIFS(Equipar!B:B,1,Equipar!D:D,A321)
+COUNTIFS(Equipar!B:B,1,Equipar!E:E,A321)
+COUNTIFS(Equipar!B:B,1,Equipar!F:F,A321)
&gt;0,COUNTIF('Set recomendado'!B:B,C321)=0),
"Bloqueada",
"Desechable")),""
)</f>
        <v/>
      </c>
      <c r="J321" t="str" cm="1">
        <f t="array" aca="1" ref="J321" ca="1">IF(ISNUMBER(A321),IFERROR(_xlfn._xlws.FILTER(Equipar!A:A,(Equipar!B:B=1)*(Equipar!AC:AC=A321)),""),"")</f>
        <v/>
      </c>
    </row>
    <row r="322" spans="1:10" x14ac:dyDescent="0.25">
      <c r="A322" s="1" t="str">
        <f ca="1">IF(A321="ID",1,IF(ISBLANK(B322),"",MAX(A$2:A321)+1))</f>
        <v/>
      </c>
      <c r="I322" s="2" t="str">
        <f ca="1">IF(ISNUMBER(A322),
IF(COUNTIFS(Equipar!B:B,1,Equipar!AC:AC,A322),"Equipada",
IF(
OR(COUNTIFS(Equipar!B:B,1,Equipar!C:C,A322)
 +COUNTIFS(Equipar!B:B,1,Equipar!D:D,A322)
+COUNTIFS(Equipar!B:B,1,Equipar!E:E,A322)
+COUNTIFS(Equipar!B:B,1,Equipar!F:F,A322)
&gt;0,COUNTIF('Set recomendado'!B:B,C322)=0),
"Bloqueada",
"Desechable")),""
)</f>
        <v/>
      </c>
      <c r="J322" t="str" cm="1">
        <f t="array" aca="1" ref="J322" ca="1">IF(ISNUMBER(A322),IFERROR(_xlfn._xlws.FILTER(Equipar!A:A,(Equipar!B:B=1)*(Equipar!AC:AC=A322)),""),"")</f>
        <v/>
      </c>
    </row>
    <row r="323" spans="1:10" x14ac:dyDescent="0.25">
      <c r="A323" s="1" t="str">
        <f ca="1">IF(A322="ID",1,IF(ISBLANK(B323),"",MAX(A$2:A322)+1))</f>
        <v/>
      </c>
      <c r="I323" s="2" t="str">
        <f ca="1">IF(ISNUMBER(A323),
IF(COUNTIFS(Equipar!B:B,1,Equipar!AC:AC,A323),"Equipada",
IF(
OR(COUNTIFS(Equipar!B:B,1,Equipar!C:C,A323)
 +COUNTIFS(Equipar!B:B,1,Equipar!D:D,A323)
+COUNTIFS(Equipar!B:B,1,Equipar!E:E,A323)
+COUNTIFS(Equipar!B:B,1,Equipar!F:F,A323)
&gt;0,COUNTIF('Set recomendado'!B:B,C323)=0),
"Bloqueada",
"Desechable")),""
)</f>
        <v/>
      </c>
      <c r="J323" t="str" cm="1">
        <f t="array" aca="1" ref="J323" ca="1">IF(ISNUMBER(A323),IFERROR(_xlfn._xlws.FILTER(Equipar!A:A,(Equipar!B:B=1)*(Equipar!AC:AC=A323)),""),"")</f>
        <v/>
      </c>
    </row>
    <row r="324" spans="1:10" x14ac:dyDescent="0.25">
      <c r="A324" s="1" t="str">
        <f ca="1">IF(A323="ID",1,IF(ISBLANK(B324),"",MAX(A$2:A323)+1))</f>
        <v/>
      </c>
      <c r="I324" s="2" t="str">
        <f ca="1">IF(ISNUMBER(A324),
IF(COUNTIFS(Equipar!B:B,1,Equipar!AC:AC,A324),"Equipada",
IF(
OR(COUNTIFS(Equipar!B:B,1,Equipar!C:C,A324)
 +COUNTIFS(Equipar!B:B,1,Equipar!D:D,A324)
+COUNTIFS(Equipar!B:B,1,Equipar!E:E,A324)
+COUNTIFS(Equipar!B:B,1,Equipar!F:F,A324)
&gt;0,COUNTIF('Set recomendado'!B:B,C324)=0),
"Bloqueada",
"Desechable")),""
)</f>
        <v/>
      </c>
      <c r="J324" t="str" cm="1">
        <f t="array" aca="1" ref="J324" ca="1">IF(ISNUMBER(A324),IFERROR(_xlfn._xlws.FILTER(Equipar!A:A,(Equipar!B:B=1)*(Equipar!AC:AC=A324)),""),"")</f>
        <v/>
      </c>
    </row>
    <row r="325" spans="1:10" x14ac:dyDescent="0.25">
      <c r="A325" s="1" t="str">
        <f ca="1">IF(A324="ID",1,IF(ISBLANK(B325),"",MAX(A$2:A324)+1))</f>
        <v/>
      </c>
      <c r="I325" s="2" t="str">
        <f ca="1">IF(ISNUMBER(A325),
IF(COUNTIFS(Equipar!B:B,1,Equipar!AC:AC,A325),"Equipada",
IF(
OR(COUNTIFS(Equipar!B:B,1,Equipar!C:C,A325)
 +COUNTIFS(Equipar!B:B,1,Equipar!D:D,A325)
+COUNTIFS(Equipar!B:B,1,Equipar!E:E,A325)
+COUNTIFS(Equipar!B:B,1,Equipar!F:F,A325)
&gt;0,COUNTIF('Set recomendado'!B:B,C325)=0),
"Bloqueada",
"Desechable")),""
)</f>
        <v/>
      </c>
      <c r="J325" t="str" cm="1">
        <f t="array" aca="1" ref="J325" ca="1">IF(ISNUMBER(A325),IFERROR(_xlfn._xlws.FILTER(Equipar!A:A,(Equipar!B:B=1)*(Equipar!AC:AC=A325)),""),"")</f>
        <v/>
      </c>
    </row>
    <row r="326" spans="1:10" x14ac:dyDescent="0.25">
      <c r="A326" s="1" t="str">
        <f ca="1">IF(A325="ID",1,IF(ISBLANK(B326),"",MAX(A$2:A325)+1))</f>
        <v/>
      </c>
      <c r="I326" s="2" t="str">
        <f ca="1">IF(ISNUMBER(A326),
IF(COUNTIFS(Equipar!B:B,1,Equipar!AC:AC,A326),"Equipada",
IF(
OR(COUNTIFS(Equipar!B:B,1,Equipar!C:C,A326)
 +COUNTIFS(Equipar!B:B,1,Equipar!D:D,A326)
+COUNTIFS(Equipar!B:B,1,Equipar!E:E,A326)
+COUNTIFS(Equipar!B:B,1,Equipar!F:F,A326)
&gt;0,COUNTIF('Set recomendado'!B:B,C326)=0),
"Bloqueada",
"Desechable")),""
)</f>
        <v/>
      </c>
      <c r="J326" t="str" cm="1">
        <f t="array" aca="1" ref="J326" ca="1">IF(ISNUMBER(A326),IFERROR(_xlfn._xlws.FILTER(Equipar!A:A,(Equipar!B:B=1)*(Equipar!AC:AC=A326)),""),"")</f>
        <v/>
      </c>
    </row>
    <row r="327" spans="1:10" x14ac:dyDescent="0.25">
      <c r="A327" s="1" t="str">
        <f ca="1">IF(A326="ID",1,IF(ISBLANK(B327),"",MAX(A$2:A326)+1))</f>
        <v/>
      </c>
      <c r="I327" s="2" t="str">
        <f ca="1">IF(ISNUMBER(A327),
IF(COUNTIFS(Equipar!B:B,1,Equipar!AC:AC,A327),"Equipada",
IF(
OR(COUNTIFS(Equipar!B:B,1,Equipar!C:C,A327)
 +COUNTIFS(Equipar!B:B,1,Equipar!D:D,A327)
+COUNTIFS(Equipar!B:B,1,Equipar!E:E,A327)
+COUNTIFS(Equipar!B:B,1,Equipar!F:F,A327)
&gt;0,COUNTIF('Set recomendado'!B:B,C327)=0),
"Bloqueada",
"Desechable")),""
)</f>
        <v/>
      </c>
      <c r="J327" t="str" cm="1">
        <f t="array" aca="1" ref="J327" ca="1">IF(ISNUMBER(A327),IFERROR(_xlfn._xlws.FILTER(Equipar!A:A,(Equipar!B:B=1)*(Equipar!AC:AC=A327)),""),"")</f>
        <v/>
      </c>
    </row>
    <row r="328" spans="1:10" x14ac:dyDescent="0.25">
      <c r="A328" s="1" t="str">
        <f ca="1">IF(A327="ID",1,IF(ISBLANK(B328),"",MAX(A$2:A327)+1))</f>
        <v/>
      </c>
      <c r="I328" s="2" t="str">
        <f ca="1">IF(ISNUMBER(A328),
IF(COUNTIFS(Equipar!B:B,1,Equipar!AC:AC,A328),"Equipada",
IF(
OR(COUNTIFS(Equipar!B:B,1,Equipar!C:C,A328)
 +COUNTIFS(Equipar!B:B,1,Equipar!D:D,A328)
+COUNTIFS(Equipar!B:B,1,Equipar!E:E,A328)
+COUNTIFS(Equipar!B:B,1,Equipar!F:F,A328)
&gt;0,COUNTIF('Set recomendado'!B:B,C328)=0),
"Bloqueada",
"Desechable")),""
)</f>
        <v/>
      </c>
      <c r="J328" t="str" cm="1">
        <f t="array" aca="1" ref="J328" ca="1">IF(ISNUMBER(A328),IFERROR(_xlfn._xlws.FILTER(Equipar!A:A,(Equipar!B:B=1)*(Equipar!AC:AC=A328)),""),"")</f>
        <v/>
      </c>
    </row>
    <row r="329" spans="1:10" x14ac:dyDescent="0.25">
      <c r="A329" s="1" t="str">
        <f ca="1">IF(A328="ID",1,IF(ISBLANK(B329),"",MAX(A$2:A328)+1))</f>
        <v/>
      </c>
      <c r="I329" s="2" t="str">
        <f ca="1">IF(ISNUMBER(A329),
IF(COUNTIFS(Equipar!B:B,1,Equipar!AC:AC,A329),"Equipada",
IF(
OR(COUNTIFS(Equipar!B:B,1,Equipar!C:C,A329)
 +COUNTIFS(Equipar!B:B,1,Equipar!D:D,A329)
+COUNTIFS(Equipar!B:B,1,Equipar!E:E,A329)
+COUNTIFS(Equipar!B:B,1,Equipar!F:F,A329)
&gt;0,COUNTIF('Set recomendado'!B:B,C329)=0),
"Bloqueada",
"Desechable")),""
)</f>
        <v/>
      </c>
      <c r="J329" t="str" cm="1">
        <f t="array" aca="1" ref="J329" ca="1">IF(ISNUMBER(A329),IFERROR(_xlfn._xlws.FILTER(Equipar!A:A,(Equipar!B:B=1)*(Equipar!AC:AC=A329)),""),"")</f>
        <v/>
      </c>
    </row>
    <row r="330" spans="1:10" x14ac:dyDescent="0.25">
      <c r="A330" s="1" t="str">
        <f ca="1">IF(A329="ID",1,IF(ISBLANK(B330),"",MAX(A$2:A329)+1))</f>
        <v/>
      </c>
      <c r="I330" s="2" t="str">
        <f ca="1">IF(ISNUMBER(A330),
IF(COUNTIFS(Equipar!B:B,1,Equipar!AC:AC,A330),"Equipada",
IF(
OR(COUNTIFS(Equipar!B:B,1,Equipar!C:C,A330)
 +COUNTIFS(Equipar!B:B,1,Equipar!D:D,A330)
+COUNTIFS(Equipar!B:B,1,Equipar!E:E,A330)
+COUNTIFS(Equipar!B:B,1,Equipar!F:F,A330)
&gt;0,COUNTIF('Set recomendado'!B:B,C330)=0),
"Bloqueada",
"Desechable")),""
)</f>
        <v/>
      </c>
      <c r="J330" t="str" cm="1">
        <f t="array" aca="1" ref="J330" ca="1">IF(ISNUMBER(A330),IFERROR(_xlfn._xlws.FILTER(Equipar!A:A,(Equipar!B:B=1)*(Equipar!AC:AC=A330)),""),"")</f>
        <v/>
      </c>
    </row>
    <row r="331" spans="1:10" x14ac:dyDescent="0.25">
      <c r="A331" s="1" t="str">
        <f ca="1">IF(A330="ID",1,IF(ISBLANK(B331),"",MAX(A$2:A330)+1))</f>
        <v/>
      </c>
      <c r="I331" s="2" t="str">
        <f ca="1">IF(ISNUMBER(A331),
IF(COUNTIFS(Equipar!B:B,1,Equipar!AC:AC,A331),"Equipada",
IF(
OR(COUNTIFS(Equipar!B:B,1,Equipar!C:C,A331)
 +COUNTIFS(Equipar!B:B,1,Equipar!D:D,A331)
+COUNTIFS(Equipar!B:B,1,Equipar!E:E,A331)
+COUNTIFS(Equipar!B:B,1,Equipar!F:F,A331)
&gt;0,COUNTIF('Set recomendado'!B:B,C331)=0),
"Bloqueada",
"Desechable")),""
)</f>
        <v/>
      </c>
      <c r="J331" t="str" cm="1">
        <f t="array" aca="1" ref="J331" ca="1">IF(ISNUMBER(A331),IFERROR(_xlfn._xlws.FILTER(Equipar!A:A,(Equipar!B:B=1)*(Equipar!AC:AC=A331)),""),"")</f>
        <v/>
      </c>
    </row>
    <row r="332" spans="1:10" x14ac:dyDescent="0.25">
      <c r="A332" s="1" t="str">
        <f ca="1">IF(A331="ID",1,IF(ISBLANK(B332),"",MAX(A$2:A331)+1))</f>
        <v/>
      </c>
      <c r="I332" s="2" t="str">
        <f ca="1">IF(ISNUMBER(A332),
IF(COUNTIFS(Equipar!B:B,1,Equipar!AC:AC,A332),"Equipada",
IF(
OR(COUNTIFS(Equipar!B:B,1,Equipar!C:C,A332)
 +COUNTIFS(Equipar!B:B,1,Equipar!D:D,A332)
+COUNTIFS(Equipar!B:B,1,Equipar!E:E,A332)
+COUNTIFS(Equipar!B:B,1,Equipar!F:F,A332)
&gt;0,COUNTIF('Set recomendado'!B:B,C332)=0),
"Bloqueada",
"Desechable")),""
)</f>
        <v/>
      </c>
      <c r="J332" t="str" cm="1">
        <f t="array" aca="1" ref="J332" ca="1">IF(ISNUMBER(A332),IFERROR(_xlfn._xlws.FILTER(Equipar!A:A,(Equipar!B:B=1)*(Equipar!AC:AC=A332)),""),"")</f>
        <v/>
      </c>
    </row>
    <row r="333" spans="1:10" x14ac:dyDescent="0.25">
      <c r="A333" s="1" t="str">
        <f ca="1">IF(A332="ID",1,IF(ISBLANK(B333),"",MAX(A$2:A332)+1))</f>
        <v/>
      </c>
      <c r="I333" s="2" t="str">
        <f ca="1">IF(ISNUMBER(A333),
IF(COUNTIFS(Equipar!B:B,1,Equipar!AC:AC,A333),"Equipada",
IF(
OR(COUNTIFS(Equipar!B:B,1,Equipar!C:C,A333)
 +COUNTIFS(Equipar!B:B,1,Equipar!D:D,A333)
+COUNTIFS(Equipar!B:B,1,Equipar!E:E,A333)
+COUNTIFS(Equipar!B:B,1,Equipar!F:F,A333)
&gt;0,COUNTIF('Set recomendado'!B:B,C333)=0),
"Bloqueada",
"Desechable")),""
)</f>
        <v/>
      </c>
      <c r="J333" t="str" cm="1">
        <f t="array" aca="1" ref="J333" ca="1">IF(ISNUMBER(A333),IFERROR(_xlfn._xlws.FILTER(Equipar!A:A,(Equipar!B:B=1)*(Equipar!AC:AC=A333)),""),"")</f>
        <v/>
      </c>
    </row>
    <row r="334" spans="1:10" x14ac:dyDescent="0.25">
      <c r="A334" s="1" t="str">
        <f ca="1">IF(A333="ID",1,IF(ISBLANK(B334),"",MAX(A$2:A333)+1))</f>
        <v/>
      </c>
      <c r="I334" s="2" t="str">
        <f ca="1">IF(ISNUMBER(A334),
IF(COUNTIFS(Equipar!B:B,1,Equipar!AC:AC,A334),"Equipada",
IF(
OR(COUNTIFS(Equipar!B:B,1,Equipar!C:C,A334)
 +COUNTIFS(Equipar!B:B,1,Equipar!D:D,A334)
+COUNTIFS(Equipar!B:B,1,Equipar!E:E,A334)
+COUNTIFS(Equipar!B:B,1,Equipar!F:F,A334)
&gt;0,COUNTIF('Set recomendado'!B:B,C334)=0),
"Bloqueada",
"Desechable")),""
)</f>
        <v/>
      </c>
      <c r="J334" t="str" cm="1">
        <f t="array" aca="1" ref="J334" ca="1">IF(ISNUMBER(A334),IFERROR(_xlfn._xlws.FILTER(Equipar!A:A,(Equipar!B:B=1)*(Equipar!AC:AC=A334)),""),"")</f>
        <v/>
      </c>
    </row>
    <row r="335" spans="1:10" x14ac:dyDescent="0.25">
      <c r="A335" s="1" t="str">
        <f ca="1">IF(A334="ID",1,IF(ISBLANK(B335),"",MAX(A$2:A334)+1))</f>
        <v/>
      </c>
      <c r="I335" s="2" t="str">
        <f ca="1">IF(ISNUMBER(A335),
IF(COUNTIFS(Equipar!B:B,1,Equipar!AC:AC,A335),"Equipada",
IF(
OR(COUNTIFS(Equipar!B:B,1,Equipar!C:C,A335)
 +COUNTIFS(Equipar!B:B,1,Equipar!D:D,A335)
+COUNTIFS(Equipar!B:B,1,Equipar!E:E,A335)
+COUNTIFS(Equipar!B:B,1,Equipar!F:F,A335)
&gt;0,COUNTIF('Set recomendado'!B:B,C335)=0),
"Bloqueada",
"Desechable")),""
)</f>
        <v/>
      </c>
      <c r="J335" t="str" cm="1">
        <f t="array" aca="1" ref="J335" ca="1">IF(ISNUMBER(A335),IFERROR(_xlfn._xlws.FILTER(Equipar!A:A,(Equipar!B:B=1)*(Equipar!AC:AC=A335)),""),"")</f>
        <v/>
      </c>
    </row>
    <row r="336" spans="1:10" x14ac:dyDescent="0.25">
      <c r="A336" s="1" t="str">
        <f ca="1">IF(A335="ID",1,IF(ISBLANK(B336),"",MAX(A$2:A335)+1))</f>
        <v/>
      </c>
      <c r="I336" s="2" t="str">
        <f ca="1">IF(ISNUMBER(A336),
IF(COUNTIFS(Equipar!B:B,1,Equipar!AC:AC,A336),"Equipada",
IF(
OR(COUNTIFS(Equipar!B:B,1,Equipar!C:C,A336)
 +COUNTIFS(Equipar!B:B,1,Equipar!D:D,A336)
+COUNTIFS(Equipar!B:B,1,Equipar!E:E,A336)
+COUNTIFS(Equipar!B:B,1,Equipar!F:F,A336)
&gt;0,COUNTIF('Set recomendado'!B:B,C336)=0),
"Bloqueada",
"Desechable")),""
)</f>
        <v/>
      </c>
      <c r="J336" t="str" cm="1">
        <f t="array" aca="1" ref="J336" ca="1">IF(ISNUMBER(A336),IFERROR(_xlfn._xlws.FILTER(Equipar!A:A,(Equipar!B:B=1)*(Equipar!AC:AC=A336)),""),"")</f>
        <v/>
      </c>
    </row>
    <row r="337" spans="1:10" x14ac:dyDescent="0.25">
      <c r="A337" s="1" t="str">
        <f ca="1">IF(A336="ID",1,IF(ISBLANK(B337),"",MAX(A$2:A336)+1))</f>
        <v/>
      </c>
      <c r="I337" s="2" t="str">
        <f ca="1">IF(ISNUMBER(A337),
IF(COUNTIFS(Equipar!B:B,1,Equipar!AC:AC,A337),"Equipada",
IF(
OR(COUNTIFS(Equipar!B:B,1,Equipar!C:C,A337)
 +COUNTIFS(Equipar!B:B,1,Equipar!D:D,A337)
+COUNTIFS(Equipar!B:B,1,Equipar!E:E,A337)
+COUNTIFS(Equipar!B:B,1,Equipar!F:F,A337)
&gt;0,COUNTIF('Set recomendado'!B:B,C337)=0),
"Bloqueada",
"Desechable")),""
)</f>
        <v/>
      </c>
      <c r="J337" t="str" cm="1">
        <f t="array" aca="1" ref="J337" ca="1">IF(ISNUMBER(A337),IFERROR(_xlfn._xlws.FILTER(Equipar!A:A,(Equipar!B:B=1)*(Equipar!AC:AC=A337)),""),"")</f>
        <v/>
      </c>
    </row>
    <row r="338" spans="1:10" x14ac:dyDescent="0.25">
      <c r="A338" s="1" t="str">
        <f ca="1">IF(A337="ID",1,IF(ISBLANK(B338),"",MAX(A$2:A337)+1))</f>
        <v/>
      </c>
      <c r="I338" s="2" t="str">
        <f ca="1">IF(ISNUMBER(A338),
IF(COUNTIFS(Equipar!B:B,1,Equipar!AC:AC,A338),"Equipada",
IF(
OR(COUNTIFS(Equipar!B:B,1,Equipar!C:C,A338)
 +COUNTIFS(Equipar!B:B,1,Equipar!D:D,A338)
+COUNTIFS(Equipar!B:B,1,Equipar!E:E,A338)
+COUNTIFS(Equipar!B:B,1,Equipar!F:F,A338)
&gt;0,COUNTIF('Set recomendado'!B:B,C338)=0),
"Bloqueada",
"Desechable")),""
)</f>
        <v/>
      </c>
      <c r="J338" t="str" cm="1">
        <f t="array" aca="1" ref="J338" ca="1">IF(ISNUMBER(A338),IFERROR(_xlfn._xlws.FILTER(Equipar!A:A,(Equipar!B:B=1)*(Equipar!AC:AC=A338)),""),"")</f>
        <v/>
      </c>
    </row>
    <row r="339" spans="1:10" x14ac:dyDescent="0.25">
      <c r="A339" s="1" t="str">
        <f ca="1">IF(A338="ID",1,IF(ISBLANK(B339),"",MAX(A$2:A338)+1))</f>
        <v/>
      </c>
      <c r="I339" s="2" t="str">
        <f ca="1">IF(ISNUMBER(A339),
IF(COUNTIFS(Equipar!B:B,1,Equipar!AC:AC,A339),"Equipada",
IF(
OR(COUNTIFS(Equipar!B:B,1,Equipar!C:C,A339)
 +COUNTIFS(Equipar!B:B,1,Equipar!D:D,A339)
+COUNTIFS(Equipar!B:B,1,Equipar!E:E,A339)
+COUNTIFS(Equipar!B:B,1,Equipar!F:F,A339)
&gt;0,COUNTIF('Set recomendado'!B:B,C339)=0),
"Bloqueada",
"Desechable")),""
)</f>
        <v/>
      </c>
      <c r="J339" t="str" cm="1">
        <f t="array" aca="1" ref="J339" ca="1">IF(ISNUMBER(A339),IFERROR(_xlfn._xlws.FILTER(Equipar!A:A,(Equipar!B:B=1)*(Equipar!AC:AC=A339)),""),"")</f>
        <v/>
      </c>
    </row>
    <row r="340" spans="1:10" x14ac:dyDescent="0.25">
      <c r="A340" s="1" t="str">
        <f ca="1">IF(A339="ID",1,IF(ISBLANK(B340),"",MAX(A$2:A339)+1))</f>
        <v/>
      </c>
      <c r="I340" s="2" t="str">
        <f ca="1">IF(ISNUMBER(A340),
IF(COUNTIFS(Equipar!B:B,1,Equipar!AC:AC,A340),"Equipada",
IF(
OR(COUNTIFS(Equipar!B:B,1,Equipar!C:C,A340)
 +COUNTIFS(Equipar!B:B,1,Equipar!D:D,A340)
+COUNTIFS(Equipar!B:B,1,Equipar!E:E,A340)
+COUNTIFS(Equipar!B:B,1,Equipar!F:F,A340)
&gt;0,COUNTIF('Set recomendado'!B:B,C340)=0),
"Bloqueada",
"Desechable")),""
)</f>
        <v/>
      </c>
      <c r="J340" t="str" cm="1">
        <f t="array" aca="1" ref="J340" ca="1">IF(ISNUMBER(A340),IFERROR(_xlfn._xlws.FILTER(Equipar!A:A,(Equipar!B:B=1)*(Equipar!AC:AC=A340)),""),"")</f>
        <v/>
      </c>
    </row>
    <row r="341" spans="1:10" x14ac:dyDescent="0.25">
      <c r="A341" s="1" t="str">
        <f ca="1">IF(A340="ID",1,IF(ISBLANK(B341),"",MAX(A$2:A340)+1))</f>
        <v/>
      </c>
      <c r="I341" s="2" t="str">
        <f ca="1">IF(ISNUMBER(A341),
IF(COUNTIFS(Equipar!B:B,1,Equipar!AC:AC,A341),"Equipada",
IF(
OR(COUNTIFS(Equipar!B:B,1,Equipar!C:C,A341)
 +COUNTIFS(Equipar!B:B,1,Equipar!D:D,A341)
+COUNTIFS(Equipar!B:B,1,Equipar!E:E,A341)
+COUNTIFS(Equipar!B:B,1,Equipar!F:F,A341)
&gt;0,COUNTIF('Set recomendado'!B:B,C341)=0),
"Bloqueada",
"Desechable")),""
)</f>
        <v/>
      </c>
      <c r="J341" t="str" cm="1">
        <f t="array" aca="1" ref="J341" ca="1">IF(ISNUMBER(A341),IFERROR(_xlfn._xlws.FILTER(Equipar!A:A,(Equipar!B:B=1)*(Equipar!AC:AC=A341)),""),"")</f>
        <v/>
      </c>
    </row>
    <row r="342" spans="1:10" x14ac:dyDescent="0.25">
      <c r="A342" s="1" t="str">
        <f ca="1">IF(A341="ID",1,IF(ISBLANK(B342),"",MAX(A$2:A341)+1))</f>
        <v/>
      </c>
      <c r="I342" s="2" t="str">
        <f ca="1">IF(ISNUMBER(A342),
IF(COUNTIFS(Equipar!B:B,1,Equipar!AC:AC,A342),"Equipada",
IF(
OR(COUNTIFS(Equipar!B:B,1,Equipar!C:C,A342)
 +COUNTIFS(Equipar!B:B,1,Equipar!D:D,A342)
+COUNTIFS(Equipar!B:B,1,Equipar!E:E,A342)
+COUNTIFS(Equipar!B:B,1,Equipar!F:F,A342)
&gt;0,COUNTIF('Set recomendado'!B:B,C342)=0),
"Bloqueada",
"Desechable")),""
)</f>
        <v/>
      </c>
      <c r="J342" t="str" cm="1">
        <f t="array" aca="1" ref="J342" ca="1">IF(ISNUMBER(A342),IFERROR(_xlfn._xlws.FILTER(Equipar!A:A,(Equipar!B:B=1)*(Equipar!AC:AC=A342)),""),"")</f>
        <v/>
      </c>
    </row>
    <row r="343" spans="1:10" x14ac:dyDescent="0.25">
      <c r="A343" s="1" t="str">
        <f ca="1">IF(A342="ID",1,IF(ISBLANK(B343),"",MAX(A$2:A342)+1))</f>
        <v/>
      </c>
      <c r="I343" s="2" t="str">
        <f ca="1">IF(ISNUMBER(A343),
IF(COUNTIFS(Equipar!B:B,1,Equipar!AC:AC,A343),"Equipada",
IF(
OR(COUNTIFS(Equipar!B:B,1,Equipar!C:C,A343)
 +COUNTIFS(Equipar!B:B,1,Equipar!D:D,A343)
+COUNTIFS(Equipar!B:B,1,Equipar!E:E,A343)
+COUNTIFS(Equipar!B:B,1,Equipar!F:F,A343)
&gt;0,COUNTIF('Set recomendado'!B:B,C343)=0),
"Bloqueada",
"Desechable")),""
)</f>
        <v/>
      </c>
      <c r="J343" t="str" cm="1">
        <f t="array" aca="1" ref="J343" ca="1">IF(ISNUMBER(A343),IFERROR(_xlfn._xlws.FILTER(Equipar!A:A,(Equipar!B:B=1)*(Equipar!AC:AC=A343)),""),"")</f>
        <v/>
      </c>
    </row>
    <row r="344" spans="1:10" x14ac:dyDescent="0.25">
      <c r="A344" s="1" t="str">
        <f ca="1">IF(A343="ID",1,IF(ISBLANK(B344),"",MAX(A$2:A343)+1))</f>
        <v/>
      </c>
      <c r="I344" s="2" t="str">
        <f ca="1">IF(ISNUMBER(A344),
IF(COUNTIFS(Equipar!B:B,1,Equipar!AC:AC,A344),"Equipada",
IF(
OR(COUNTIFS(Equipar!B:B,1,Equipar!C:C,A344)
 +COUNTIFS(Equipar!B:B,1,Equipar!D:D,A344)
+COUNTIFS(Equipar!B:B,1,Equipar!E:E,A344)
+COUNTIFS(Equipar!B:B,1,Equipar!F:F,A344)
&gt;0,COUNTIF('Set recomendado'!B:B,C344)=0),
"Bloqueada",
"Desechable")),""
)</f>
        <v/>
      </c>
      <c r="J344" t="str" cm="1">
        <f t="array" aca="1" ref="J344" ca="1">IF(ISNUMBER(A344),IFERROR(_xlfn._xlws.FILTER(Equipar!A:A,(Equipar!B:B=1)*(Equipar!AC:AC=A344)),""),"")</f>
        <v/>
      </c>
    </row>
    <row r="345" spans="1:10" x14ac:dyDescent="0.25">
      <c r="A345" s="1" t="str">
        <f ca="1">IF(A344="ID",1,IF(ISBLANK(B345),"",MAX(A$2:A344)+1))</f>
        <v/>
      </c>
      <c r="I345" s="2" t="str">
        <f ca="1">IF(ISNUMBER(A345),
IF(COUNTIFS(Equipar!B:B,1,Equipar!AC:AC,A345),"Equipada",
IF(
OR(COUNTIFS(Equipar!B:B,1,Equipar!C:C,A345)
 +COUNTIFS(Equipar!B:B,1,Equipar!D:D,A345)
+COUNTIFS(Equipar!B:B,1,Equipar!E:E,A345)
+COUNTIFS(Equipar!B:B,1,Equipar!F:F,A345)
&gt;0,COUNTIF('Set recomendado'!B:B,C345)=0),
"Bloqueada",
"Desechable")),""
)</f>
        <v/>
      </c>
      <c r="J345" t="str" cm="1">
        <f t="array" aca="1" ref="J345" ca="1">IF(ISNUMBER(A345),IFERROR(_xlfn._xlws.FILTER(Equipar!A:A,(Equipar!B:B=1)*(Equipar!AC:AC=A345)),""),"")</f>
        <v/>
      </c>
    </row>
    <row r="346" spans="1:10" x14ac:dyDescent="0.25">
      <c r="A346" s="1" t="str">
        <f ca="1">IF(A345="ID",1,IF(ISBLANK(B346),"",MAX(A$2:A345)+1))</f>
        <v/>
      </c>
      <c r="I346" s="2" t="str">
        <f ca="1">IF(ISNUMBER(A346),
IF(COUNTIFS(Equipar!B:B,1,Equipar!AC:AC,A346),"Equipada",
IF(
OR(COUNTIFS(Equipar!B:B,1,Equipar!C:C,A346)
 +COUNTIFS(Equipar!B:B,1,Equipar!D:D,A346)
+COUNTIFS(Equipar!B:B,1,Equipar!E:E,A346)
+COUNTIFS(Equipar!B:B,1,Equipar!F:F,A346)
&gt;0,COUNTIF('Set recomendado'!B:B,C346)=0),
"Bloqueada",
"Desechable")),""
)</f>
        <v/>
      </c>
      <c r="J346" t="str" cm="1">
        <f t="array" aca="1" ref="J346" ca="1">IF(ISNUMBER(A346),IFERROR(_xlfn._xlws.FILTER(Equipar!A:A,(Equipar!B:B=1)*(Equipar!AC:AC=A346)),""),"")</f>
        <v/>
      </c>
    </row>
    <row r="347" spans="1:10" x14ac:dyDescent="0.25">
      <c r="A347" s="1" t="str">
        <f ca="1">IF(A346="ID",1,IF(ISBLANK(B347),"",MAX(A$2:A346)+1))</f>
        <v/>
      </c>
      <c r="I347" s="2" t="str">
        <f ca="1">IF(ISNUMBER(A347),
IF(COUNTIFS(Equipar!B:B,1,Equipar!AC:AC,A347),"Equipada",
IF(
OR(COUNTIFS(Equipar!B:B,1,Equipar!C:C,A347)
 +COUNTIFS(Equipar!B:B,1,Equipar!D:D,A347)
+COUNTIFS(Equipar!B:B,1,Equipar!E:E,A347)
+COUNTIFS(Equipar!B:B,1,Equipar!F:F,A347)
&gt;0,COUNTIF('Set recomendado'!B:B,C347)=0),
"Bloqueada",
"Desechable")),""
)</f>
        <v/>
      </c>
      <c r="J347" t="str" cm="1">
        <f t="array" aca="1" ref="J347" ca="1">IF(ISNUMBER(A347),IFERROR(_xlfn._xlws.FILTER(Equipar!A:A,(Equipar!B:B=1)*(Equipar!AC:AC=A347)),""),"")</f>
        <v/>
      </c>
    </row>
    <row r="348" spans="1:10" x14ac:dyDescent="0.25">
      <c r="A348" s="1" t="str">
        <f ca="1">IF(A347="ID",1,IF(ISBLANK(B348),"",MAX(A$2:A347)+1))</f>
        <v/>
      </c>
      <c r="I348" s="2" t="str">
        <f ca="1">IF(ISNUMBER(A348),
IF(COUNTIFS(Equipar!B:B,1,Equipar!AC:AC,A348),"Equipada",
IF(
OR(COUNTIFS(Equipar!B:B,1,Equipar!C:C,A348)
 +COUNTIFS(Equipar!B:B,1,Equipar!D:D,A348)
+COUNTIFS(Equipar!B:B,1,Equipar!E:E,A348)
+COUNTIFS(Equipar!B:B,1,Equipar!F:F,A348)
&gt;0,COUNTIF('Set recomendado'!B:B,C348)=0),
"Bloqueada",
"Desechable")),""
)</f>
        <v/>
      </c>
      <c r="J348" t="str" cm="1">
        <f t="array" aca="1" ref="J348" ca="1">IF(ISNUMBER(A348),IFERROR(_xlfn._xlws.FILTER(Equipar!A:A,(Equipar!B:B=1)*(Equipar!AC:AC=A348)),""),"")</f>
        <v/>
      </c>
    </row>
    <row r="349" spans="1:10" x14ac:dyDescent="0.25">
      <c r="A349" s="1" t="str">
        <f ca="1">IF(A348="ID",1,IF(ISBLANK(B349),"",MAX(A$2:A348)+1))</f>
        <v/>
      </c>
      <c r="I349" s="2" t="str">
        <f ca="1">IF(ISNUMBER(A349),
IF(COUNTIFS(Equipar!B:B,1,Equipar!AC:AC,A349),"Equipada",
IF(
OR(COUNTIFS(Equipar!B:B,1,Equipar!C:C,A349)
 +COUNTIFS(Equipar!B:B,1,Equipar!D:D,A349)
+COUNTIFS(Equipar!B:B,1,Equipar!E:E,A349)
+COUNTIFS(Equipar!B:B,1,Equipar!F:F,A349)
&gt;0,COUNTIF('Set recomendado'!B:B,C349)=0),
"Bloqueada",
"Desechable")),""
)</f>
        <v/>
      </c>
      <c r="J349" t="str" cm="1">
        <f t="array" aca="1" ref="J349" ca="1">IF(ISNUMBER(A349),IFERROR(_xlfn._xlws.FILTER(Equipar!A:A,(Equipar!B:B=1)*(Equipar!AC:AC=A349)),""),"")</f>
        <v/>
      </c>
    </row>
    <row r="350" spans="1:10" x14ac:dyDescent="0.25">
      <c r="A350" s="1" t="str">
        <f ca="1">IF(A349="ID",1,IF(ISBLANK(B350),"",MAX(A$2:A349)+1))</f>
        <v/>
      </c>
      <c r="I350" s="2" t="str">
        <f ca="1">IF(ISNUMBER(A350),
IF(COUNTIFS(Equipar!B:B,1,Equipar!AC:AC,A350),"Equipada",
IF(
OR(COUNTIFS(Equipar!B:B,1,Equipar!C:C,A350)
 +COUNTIFS(Equipar!B:B,1,Equipar!D:D,A350)
+COUNTIFS(Equipar!B:B,1,Equipar!E:E,A350)
+COUNTIFS(Equipar!B:B,1,Equipar!F:F,A350)
&gt;0,COUNTIF('Set recomendado'!B:B,C350)=0),
"Bloqueada",
"Desechable")),""
)</f>
        <v/>
      </c>
      <c r="J350" t="str" cm="1">
        <f t="array" aca="1" ref="J350" ca="1">IF(ISNUMBER(A350),IFERROR(_xlfn._xlws.FILTER(Equipar!A:A,(Equipar!B:B=1)*(Equipar!AC:AC=A350)),""),"")</f>
        <v/>
      </c>
    </row>
    <row r="351" spans="1:10" x14ac:dyDescent="0.25">
      <c r="A351" s="1" t="str">
        <f ca="1">IF(A350="ID",1,IF(ISBLANK(B351),"",MAX(A$2:A350)+1))</f>
        <v/>
      </c>
      <c r="I351" s="2" t="str">
        <f ca="1">IF(ISNUMBER(A351),
IF(COUNTIFS(Equipar!B:B,1,Equipar!AC:AC,A351),"Equipada",
IF(
OR(COUNTIFS(Equipar!B:B,1,Equipar!C:C,A351)
 +COUNTIFS(Equipar!B:B,1,Equipar!D:D,A351)
+COUNTIFS(Equipar!B:B,1,Equipar!E:E,A351)
+COUNTIFS(Equipar!B:B,1,Equipar!F:F,A351)
&gt;0,COUNTIF('Set recomendado'!B:B,C351)=0),
"Bloqueada",
"Desechable")),""
)</f>
        <v/>
      </c>
      <c r="J351" t="str" cm="1">
        <f t="array" aca="1" ref="J351" ca="1">IF(ISNUMBER(A351),IFERROR(_xlfn._xlws.FILTER(Equipar!A:A,(Equipar!B:B=1)*(Equipar!AC:AC=A351)),""),"")</f>
        <v/>
      </c>
    </row>
    <row r="352" spans="1:10" x14ac:dyDescent="0.25">
      <c r="A352" s="1" t="str">
        <f ca="1">IF(A351="ID",1,IF(ISBLANK(B352),"",MAX(A$2:A351)+1))</f>
        <v/>
      </c>
      <c r="I352" s="2" t="str">
        <f ca="1">IF(ISNUMBER(A352),
IF(COUNTIFS(Equipar!B:B,1,Equipar!AC:AC,A352),"Equipada",
IF(
OR(COUNTIFS(Equipar!B:B,1,Equipar!C:C,A352)
 +COUNTIFS(Equipar!B:B,1,Equipar!D:D,A352)
+COUNTIFS(Equipar!B:B,1,Equipar!E:E,A352)
+COUNTIFS(Equipar!B:B,1,Equipar!F:F,A352)
&gt;0,COUNTIF('Set recomendado'!B:B,C352)=0),
"Bloqueada",
"Desechable")),""
)</f>
        <v/>
      </c>
      <c r="J352" t="str" cm="1">
        <f t="array" aca="1" ref="J352" ca="1">IF(ISNUMBER(A352),IFERROR(_xlfn._xlws.FILTER(Equipar!A:A,(Equipar!B:B=1)*(Equipar!AC:AC=A352)),""),"")</f>
        <v/>
      </c>
    </row>
    <row r="353" spans="1:10" x14ac:dyDescent="0.25">
      <c r="A353" s="1" t="str">
        <f ca="1">IF(A352="ID",1,IF(ISBLANK(B353),"",MAX(A$2:A352)+1))</f>
        <v/>
      </c>
      <c r="I353" s="2" t="str">
        <f ca="1">IF(ISNUMBER(A353),
IF(COUNTIFS(Equipar!B:B,1,Equipar!AC:AC,A353),"Equipada",
IF(
OR(COUNTIFS(Equipar!B:B,1,Equipar!C:C,A353)
 +COUNTIFS(Equipar!B:B,1,Equipar!D:D,A353)
+COUNTIFS(Equipar!B:B,1,Equipar!E:E,A353)
+COUNTIFS(Equipar!B:B,1,Equipar!F:F,A353)
&gt;0,COUNTIF('Set recomendado'!B:B,C353)=0),
"Bloqueada",
"Desechable")),""
)</f>
        <v/>
      </c>
      <c r="J353" t="str" cm="1">
        <f t="array" aca="1" ref="J353" ca="1">IF(ISNUMBER(A353),IFERROR(_xlfn._xlws.FILTER(Equipar!A:A,(Equipar!B:B=1)*(Equipar!AC:AC=A353)),""),"")</f>
        <v/>
      </c>
    </row>
    <row r="354" spans="1:10" x14ac:dyDescent="0.25">
      <c r="A354" s="1" t="str">
        <f ca="1">IF(A353="ID",1,IF(ISBLANK(B354),"",MAX(A$2:A353)+1))</f>
        <v/>
      </c>
      <c r="I354" s="2" t="str">
        <f ca="1">IF(ISNUMBER(A354),
IF(COUNTIFS(Equipar!B:B,1,Equipar!AC:AC,A354),"Equipada",
IF(
OR(COUNTIFS(Equipar!B:B,1,Equipar!C:C,A354)
 +COUNTIFS(Equipar!B:B,1,Equipar!D:D,A354)
+COUNTIFS(Equipar!B:B,1,Equipar!E:E,A354)
+COUNTIFS(Equipar!B:B,1,Equipar!F:F,A354)
&gt;0,COUNTIF('Set recomendado'!B:B,C354)=0),
"Bloqueada",
"Desechable")),""
)</f>
        <v/>
      </c>
      <c r="J354" t="str" cm="1">
        <f t="array" aca="1" ref="J354" ca="1">IF(ISNUMBER(A354),IFERROR(_xlfn._xlws.FILTER(Equipar!A:A,(Equipar!B:B=1)*(Equipar!AC:AC=A354)),""),"")</f>
        <v/>
      </c>
    </row>
    <row r="355" spans="1:10" x14ac:dyDescent="0.25">
      <c r="A355" s="1" t="str">
        <f ca="1">IF(A354="ID",1,IF(ISBLANK(B355),"",MAX(A$2:A354)+1))</f>
        <v/>
      </c>
      <c r="I355" s="2" t="str">
        <f ca="1">IF(ISNUMBER(A355),
IF(COUNTIFS(Equipar!B:B,1,Equipar!AC:AC,A355),"Equipada",
IF(
OR(COUNTIFS(Equipar!B:B,1,Equipar!C:C,A355)
 +COUNTIFS(Equipar!B:B,1,Equipar!D:D,A355)
+COUNTIFS(Equipar!B:B,1,Equipar!E:E,A355)
+COUNTIFS(Equipar!B:B,1,Equipar!F:F,A355)
&gt;0,COUNTIF('Set recomendado'!B:B,C355)=0),
"Bloqueada",
"Desechable")),""
)</f>
        <v/>
      </c>
      <c r="J355" t="str" cm="1">
        <f t="array" aca="1" ref="J355" ca="1">IF(ISNUMBER(A355),IFERROR(_xlfn._xlws.FILTER(Equipar!A:A,(Equipar!B:B=1)*(Equipar!AC:AC=A355)),""),"")</f>
        <v/>
      </c>
    </row>
    <row r="356" spans="1:10" x14ac:dyDescent="0.25">
      <c r="A356" s="1" t="str">
        <f ca="1">IF(A355="ID",1,IF(ISBLANK(B356),"",MAX(A$2:A355)+1))</f>
        <v/>
      </c>
      <c r="I356" s="2" t="str">
        <f ca="1">IF(ISNUMBER(A356),
IF(COUNTIFS(Equipar!B:B,1,Equipar!AC:AC,A356),"Equipada",
IF(
OR(COUNTIFS(Equipar!B:B,1,Equipar!C:C,A356)
 +COUNTIFS(Equipar!B:B,1,Equipar!D:D,A356)
+COUNTIFS(Equipar!B:B,1,Equipar!E:E,A356)
+COUNTIFS(Equipar!B:B,1,Equipar!F:F,A356)
&gt;0,COUNTIF('Set recomendado'!B:B,C356)=0),
"Bloqueada",
"Desechable")),""
)</f>
        <v/>
      </c>
      <c r="J356" t="str" cm="1">
        <f t="array" aca="1" ref="J356" ca="1">IF(ISNUMBER(A356),IFERROR(_xlfn._xlws.FILTER(Equipar!A:A,(Equipar!B:B=1)*(Equipar!AC:AC=A356)),""),"")</f>
        <v/>
      </c>
    </row>
    <row r="357" spans="1:10" x14ac:dyDescent="0.25">
      <c r="A357" s="1" t="str">
        <f ca="1">IF(A356="ID",1,IF(ISBLANK(B357),"",MAX(A$2:A356)+1))</f>
        <v/>
      </c>
      <c r="I357" s="2" t="str">
        <f ca="1">IF(ISNUMBER(A357),
IF(COUNTIFS(Equipar!B:B,1,Equipar!AC:AC,A357),"Equipada",
IF(
OR(COUNTIFS(Equipar!B:B,1,Equipar!C:C,A357)
 +COUNTIFS(Equipar!B:B,1,Equipar!D:D,A357)
+COUNTIFS(Equipar!B:B,1,Equipar!E:E,A357)
+COUNTIFS(Equipar!B:B,1,Equipar!F:F,A357)
&gt;0,COUNTIF('Set recomendado'!B:B,C357)=0),
"Bloqueada",
"Desechable")),""
)</f>
        <v/>
      </c>
      <c r="J357" t="str" cm="1">
        <f t="array" aca="1" ref="J357" ca="1">IF(ISNUMBER(A357),IFERROR(_xlfn._xlws.FILTER(Equipar!A:A,(Equipar!B:B=1)*(Equipar!AC:AC=A357)),""),"")</f>
        <v/>
      </c>
    </row>
    <row r="358" spans="1:10" x14ac:dyDescent="0.25">
      <c r="A358" s="1" t="str">
        <f ca="1">IF(A357="ID",1,IF(ISBLANK(B358),"",MAX(A$2:A357)+1))</f>
        <v/>
      </c>
      <c r="I358" s="2" t="str">
        <f ca="1">IF(ISNUMBER(A358),
IF(COUNTIFS(Equipar!B:B,1,Equipar!AC:AC,A358),"Equipada",
IF(
OR(COUNTIFS(Equipar!B:B,1,Equipar!C:C,A358)
 +COUNTIFS(Equipar!B:B,1,Equipar!D:D,A358)
+COUNTIFS(Equipar!B:B,1,Equipar!E:E,A358)
+COUNTIFS(Equipar!B:B,1,Equipar!F:F,A358)
&gt;0,COUNTIF('Set recomendado'!B:B,C358)=0),
"Bloqueada",
"Desechable")),""
)</f>
        <v/>
      </c>
      <c r="J358" t="str" cm="1">
        <f t="array" aca="1" ref="J358" ca="1">IF(ISNUMBER(A358),IFERROR(_xlfn._xlws.FILTER(Equipar!A:A,(Equipar!B:B=1)*(Equipar!AC:AC=A358)),""),"")</f>
        <v/>
      </c>
    </row>
    <row r="359" spans="1:10" x14ac:dyDescent="0.25">
      <c r="A359" s="1" t="str">
        <f ca="1">IF(A358="ID",1,IF(ISBLANK(B359),"",MAX(A$2:A358)+1))</f>
        <v/>
      </c>
      <c r="I359" s="2" t="str">
        <f ca="1">IF(ISNUMBER(A359),
IF(COUNTIFS(Equipar!B:B,1,Equipar!AC:AC,A359),"Equipada",
IF(
OR(COUNTIFS(Equipar!B:B,1,Equipar!C:C,A359)
 +COUNTIFS(Equipar!B:B,1,Equipar!D:D,A359)
+COUNTIFS(Equipar!B:B,1,Equipar!E:E,A359)
+COUNTIFS(Equipar!B:B,1,Equipar!F:F,A359)
&gt;0,COUNTIF('Set recomendado'!B:B,C359)=0),
"Bloqueada",
"Desechable")),""
)</f>
        <v/>
      </c>
      <c r="J359" t="str" cm="1">
        <f t="array" aca="1" ref="J359" ca="1">IF(ISNUMBER(A359),IFERROR(_xlfn._xlws.FILTER(Equipar!A:A,(Equipar!B:B=1)*(Equipar!AC:AC=A359)),""),"")</f>
        <v/>
      </c>
    </row>
    <row r="360" spans="1:10" x14ac:dyDescent="0.25">
      <c r="A360" s="1" t="str">
        <f ca="1">IF(A359="ID",1,IF(ISBLANK(B360),"",MAX(A$2:A359)+1))</f>
        <v/>
      </c>
      <c r="I360" s="2" t="str">
        <f ca="1">IF(ISNUMBER(A360),
IF(COUNTIFS(Equipar!B:B,1,Equipar!AC:AC,A360),"Equipada",
IF(
OR(COUNTIFS(Equipar!B:B,1,Equipar!C:C,A360)
 +COUNTIFS(Equipar!B:B,1,Equipar!D:D,A360)
+COUNTIFS(Equipar!B:B,1,Equipar!E:E,A360)
+COUNTIFS(Equipar!B:B,1,Equipar!F:F,A360)
&gt;0,COUNTIF('Set recomendado'!B:B,C360)=0),
"Bloqueada",
"Desechable")),""
)</f>
        <v/>
      </c>
      <c r="J360" t="str" cm="1">
        <f t="array" aca="1" ref="J360" ca="1">IF(ISNUMBER(A360),IFERROR(_xlfn._xlws.FILTER(Equipar!A:A,(Equipar!B:B=1)*(Equipar!AC:AC=A360)),""),"")</f>
        <v/>
      </c>
    </row>
    <row r="361" spans="1:10" x14ac:dyDescent="0.25">
      <c r="A361" s="1" t="str">
        <f ca="1">IF(A360="ID",1,IF(ISBLANK(B361),"",MAX(A$2:A360)+1))</f>
        <v/>
      </c>
      <c r="I361" s="2" t="str">
        <f ca="1">IF(ISNUMBER(A361),
IF(COUNTIFS(Equipar!B:B,1,Equipar!AC:AC,A361),"Equipada",
IF(
OR(COUNTIFS(Equipar!B:B,1,Equipar!C:C,A361)
 +COUNTIFS(Equipar!B:B,1,Equipar!D:D,A361)
+COUNTIFS(Equipar!B:B,1,Equipar!E:E,A361)
+COUNTIFS(Equipar!B:B,1,Equipar!F:F,A361)
&gt;0,COUNTIF('Set recomendado'!B:B,C361)=0),
"Bloqueada",
"Desechable")),""
)</f>
        <v/>
      </c>
      <c r="J361" t="str" cm="1">
        <f t="array" aca="1" ref="J361" ca="1">IF(ISNUMBER(A361),IFERROR(_xlfn._xlws.FILTER(Equipar!A:A,(Equipar!B:B=1)*(Equipar!AC:AC=A361)),""),"")</f>
        <v/>
      </c>
    </row>
    <row r="362" spans="1:10" x14ac:dyDescent="0.25">
      <c r="A362" s="1" t="str">
        <f ca="1">IF(A361="ID",1,IF(ISBLANK(B362),"",MAX(A$2:A361)+1))</f>
        <v/>
      </c>
      <c r="I362" s="2" t="str">
        <f ca="1">IF(ISNUMBER(A362),
IF(COUNTIFS(Equipar!B:B,1,Equipar!AC:AC,A362),"Equipada",
IF(
OR(COUNTIFS(Equipar!B:B,1,Equipar!C:C,A362)
 +COUNTIFS(Equipar!B:B,1,Equipar!D:D,A362)
+COUNTIFS(Equipar!B:B,1,Equipar!E:E,A362)
+COUNTIFS(Equipar!B:B,1,Equipar!F:F,A362)
&gt;0,COUNTIF('Set recomendado'!B:B,C362)=0),
"Bloqueada",
"Desechable")),""
)</f>
        <v/>
      </c>
      <c r="J362" t="str" cm="1">
        <f t="array" aca="1" ref="J362" ca="1">IF(ISNUMBER(A362),IFERROR(_xlfn._xlws.FILTER(Equipar!A:A,(Equipar!B:B=1)*(Equipar!AC:AC=A362)),""),"")</f>
        <v/>
      </c>
    </row>
    <row r="363" spans="1:10" x14ac:dyDescent="0.25">
      <c r="A363" s="1" t="str">
        <f ca="1">IF(A362="ID",1,IF(ISBLANK(B363),"",MAX(A$2:A362)+1))</f>
        <v/>
      </c>
      <c r="I363" s="2" t="str">
        <f ca="1">IF(ISNUMBER(A363),
IF(COUNTIFS(Equipar!B:B,1,Equipar!AC:AC,A363),"Equipada",
IF(
OR(COUNTIFS(Equipar!B:B,1,Equipar!C:C,A363)
 +COUNTIFS(Equipar!B:B,1,Equipar!D:D,A363)
+COUNTIFS(Equipar!B:B,1,Equipar!E:E,A363)
+COUNTIFS(Equipar!B:B,1,Equipar!F:F,A363)
&gt;0,COUNTIF('Set recomendado'!B:B,C363)=0),
"Bloqueada",
"Desechable")),""
)</f>
        <v/>
      </c>
      <c r="J363" t="str" cm="1">
        <f t="array" aca="1" ref="J363" ca="1">IF(ISNUMBER(A363),IFERROR(_xlfn._xlws.FILTER(Equipar!A:A,(Equipar!B:B=1)*(Equipar!AC:AC=A363)),""),"")</f>
        <v/>
      </c>
    </row>
    <row r="364" spans="1:10" x14ac:dyDescent="0.25">
      <c r="A364" s="1" t="str">
        <f ca="1">IF(A363="ID",1,IF(ISBLANK(B364),"",MAX(A$2:A363)+1))</f>
        <v/>
      </c>
      <c r="I364" s="2" t="str">
        <f ca="1">IF(ISNUMBER(A364),
IF(COUNTIFS(Equipar!B:B,1,Equipar!AC:AC,A364),"Equipada",
IF(
OR(COUNTIFS(Equipar!B:B,1,Equipar!C:C,A364)
 +COUNTIFS(Equipar!B:B,1,Equipar!D:D,A364)
+COUNTIFS(Equipar!B:B,1,Equipar!E:E,A364)
+COUNTIFS(Equipar!B:B,1,Equipar!F:F,A364)
&gt;0,COUNTIF('Set recomendado'!B:B,C364)=0),
"Bloqueada",
"Desechable")),""
)</f>
        <v/>
      </c>
      <c r="J364" t="str" cm="1">
        <f t="array" aca="1" ref="J364" ca="1">IF(ISNUMBER(A364),IFERROR(_xlfn._xlws.FILTER(Equipar!A:A,(Equipar!B:B=1)*(Equipar!AC:AC=A364)),""),"")</f>
        <v/>
      </c>
    </row>
    <row r="365" spans="1:10" x14ac:dyDescent="0.25">
      <c r="A365" s="1" t="str">
        <f ca="1">IF(A364="ID",1,IF(ISBLANK(B365),"",MAX(A$2:A364)+1))</f>
        <v/>
      </c>
      <c r="I365" s="2" t="str">
        <f ca="1">IF(ISNUMBER(A365),
IF(COUNTIFS(Equipar!B:B,1,Equipar!AC:AC,A365),"Equipada",
IF(
OR(COUNTIFS(Equipar!B:B,1,Equipar!C:C,A365)
 +COUNTIFS(Equipar!B:B,1,Equipar!D:D,A365)
+COUNTIFS(Equipar!B:B,1,Equipar!E:E,A365)
+COUNTIFS(Equipar!B:B,1,Equipar!F:F,A365)
&gt;0,COUNTIF('Set recomendado'!B:B,C365)=0),
"Bloqueada",
"Desechable")),""
)</f>
        <v/>
      </c>
      <c r="J365" t="str" cm="1">
        <f t="array" aca="1" ref="J365" ca="1">IF(ISNUMBER(A365),IFERROR(_xlfn._xlws.FILTER(Equipar!A:A,(Equipar!B:B=1)*(Equipar!AC:AC=A365)),""),"")</f>
        <v/>
      </c>
    </row>
    <row r="366" spans="1:10" x14ac:dyDescent="0.25">
      <c r="A366" s="1" t="str">
        <f ca="1">IF(A365="ID",1,IF(ISBLANK(B366),"",MAX(A$2:A365)+1))</f>
        <v/>
      </c>
      <c r="I366" s="2" t="str">
        <f ca="1">IF(ISNUMBER(A366),
IF(COUNTIFS(Equipar!B:B,1,Equipar!AC:AC,A366),"Equipada",
IF(
OR(COUNTIFS(Equipar!B:B,1,Equipar!C:C,A366)
 +COUNTIFS(Equipar!B:B,1,Equipar!D:D,A366)
+COUNTIFS(Equipar!B:B,1,Equipar!E:E,A366)
+COUNTIFS(Equipar!B:B,1,Equipar!F:F,A366)
&gt;0,COUNTIF('Set recomendado'!B:B,C366)=0),
"Bloqueada",
"Desechable")),""
)</f>
        <v/>
      </c>
      <c r="J366" t="str" cm="1">
        <f t="array" aca="1" ref="J366" ca="1">IF(ISNUMBER(A366),IFERROR(_xlfn._xlws.FILTER(Equipar!A:A,(Equipar!B:B=1)*(Equipar!AC:AC=A366)),""),"")</f>
        <v/>
      </c>
    </row>
    <row r="367" spans="1:10" x14ac:dyDescent="0.25">
      <c r="A367" s="1" t="str">
        <f ca="1">IF(A366="ID",1,IF(ISBLANK(B367),"",MAX(A$2:A366)+1))</f>
        <v/>
      </c>
      <c r="I367" s="2" t="str">
        <f ca="1">IF(ISNUMBER(A367),
IF(COUNTIFS(Equipar!B:B,1,Equipar!AC:AC,A367),"Equipada",
IF(
OR(COUNTIFS(Equipar!B:B,1,Equipar!C:C,A367)
 +COUNTIFS(Equipar!B:B,1,Equipar!D:D,A367)
+COUNTIFS(Equipar!B:B,1,Equipar!E:E,A367)
+COUNTIFS(Equipar!B:B,1,Equipar!F:F,A367)
&gt;0,COUNTIF('Set recomendado'!B:B,C367)=0),
"Bloqueada",
"Desechable")),""
)</f>
        <v/>
      </c>
      <c r="J367" t="str" cm="1">
        <f t="array" aca="1" ref="J367" ca="1">IF(ISNUMBER(A367),IFERROR(_xlfn._xlws.FILTER(Equipar!A:A,(Equipar!B:B=1)*(Equipar!AC:AC=A367)),""),"")</f>
        <v/>
      </c>
    </row>
    <row r="368" spans="1:10" x14ac:dyDescent="0.25">
      <c r="A368" s="1" t="str">
        <f ca="1">IF(A367="ID",1,IF(ISBLANK(B368),"",MAX(A$2:A367)+1))</f>
        <v/>
      </c>
      <c r="I368" s="2" t="str">
        <f ca="1">IF(ISNUMBER(A368),
IF(COUNTIFS(Equipar!B:B,1,Equipar!AC:AC,A368),"Equipada",
IF(
OR(COUNTIFS(Equipar!B:B,1,Equipar!C:C,A368)
 +COUNTIFS(Equipar!B:B,1,Equipar!D:D,A368)
+COUNTIFS(Equipar!B:B,1,Equipar!E:E,A368)
+COUNTIFS(Equipar!B:B,1,Equipar!F:F,A368)
&gt;0,COUNTIF('Set recomendado'!B:B,C368)=0),
"Bloqueada",
"Desechable")),""
)</f>
        <v/>
      </c>
      <c r="J368" t="str" cm="1">
        <f t="array" aca="1" ref="J368" ca="1">IF(ISNUMBER(A368),IFERROR(_xlfn._xlws.FILTER(Equipar!A:A,(Equipar!B:B=1)*(Equipar!AC:AC=A368)),""),"")</f>
        <v/>
      </c>
    </row>
    <row r="369" spans="1:10" x14ac:dyDescent="0.25">
      <c r="A369" s="1" t="str">
        <f ca="1">IF(A368="ID",1,IF(ISBLANK(B369),"",MAX(A$2:A368)+1))</f>
        <v/>
      </c>
      <c r="I369" s="2" t="str">
        <f ca="1">IF(ISNUMBER(A369),
IF(COUNTIFS(Equipar!B:B,1,Equipar!AC:AC,A369),"Equipada",
IF(
OR(COUNTIFS(Equipar!B:B,1,Equipar!C:C,A369)
 +COUNTIFS(Equipar!B:B,1,Equipar!D:D,A369)
+COUNTIFS(Equipar!B:B,1,Equipar!E:E,A369)
+COUNTIFS(Equipar!B:B,1,Equipar!F:F,A369)
&gt;0,COUNTIF('Set recomendado'!B:B,C369)=0),
"Bloqueada",
"Desechable")),""
)</f>
        <v/>
      </c>
      <c r="J369" t="str" cm="1">
        <f t="array" aca="1" ref="J369" ca="1">IF(ISNUMBER(A369),IFERROR(_xlfn._xlws.FILTER(Equipar!A:A,(Equipar!B:B=1)*(Equipar!AC:AC=A369)),""),"")</f>
        <v/>
      </c>
    </row>
    <row r="370" spans="1:10" x14ac:dyDescent="0.25">
      <c r="A370" s="1" t="str">
        <f ca="1">IF(A369="ID",1,IF(ISBLANK(B370),"",MAX(A$2:A369)+1))</f>
        <v/>
      </c>
      <c r="I370" s="2" t="str">
        <f ca="1">IF(ISNUMBER(A370),
IF(COUNTIFS(Equipar!B:B,1,Equipar!AC:AC,A370),"Equipada",
IF(
OR(COUNTIFS(Equipar!B:B,1,Equipar!C:C,A370)
 +COUNTIFS(Equipar!B:B,1,Equipar!D:D,A370)
+COUNTIFS(Equipar!B:B,1,Equipar!E:E,A370)
+COUNTIFS(Equipar!B:B,1,Equipar!F:F,A370)
&gt;0,COUNTIF('Set recomendado'!B:B,C370)=0),
"Bloqueada",
"Desechable")),""
)</f>
        <v/>
      </c>
      <c r="J370" t="str" cm="1">
        <f t="array" aca="1" ref="J370" ca="1">IF(ISNUMBER(A370),IFERROR(_xlfn._xlws.FILTER(Equipar!A:A,(Equipar!B:B=1)*(Equipar!AC:AC=A370)),""),"")</f>
        <v/>
      </c>
    </row>
    <row r="371" spans="1:10" x14ac:dyDescent="0.25">
      <c r="A371" s="1" t="str">
        <f ca="1">IF(A370="ID",1,IF(ISBLANK(B371),"",MAX(A$2:A370)+1))</f>
        <v/>
      </c>
      <c r="I371" s="2" t="str">
        <f ca="1">IF(ISNUMBER(A371),
IF(COUNTIFS(Equipar!B:B,1,Equipar!AC:AC,A371),"Equipada",
IF(
OR(COUNTIFS(Equipar!B:B,1,Equipar!C:C,A371)
 +COUNTIFS(Equipar!B:B,1,Equipar!D:D,A371)
+COUNTIFS(Equipar!B:B,1,Equipar!E:E,A371)
+COUNTIFS(Equipar!B:B,1,Equipar!F:F,A371)
&gt;0,COUNTIF('Set recomendado'!B:B,C371)=0),
"Bloqueada",
"Desechable")),""
)</f>
        <v/>
      </c>
      <c r="J371" t="str" cm="1">
        <f t="array" aca="1" ref="J371" ca="1">IF(ISNUMBER(A371),IFERROR(_xlfn._xlws.FILTER(Equipar!A:A,(Equipar!B:B=1)*(Equipar!AC:AC=A371)),""),"")</f>
        <v/>
      </c>
    </row>
    <row r="372" spans="1:10" x14ac:dyDescent="0.25">
      <c r="A372" s="1" t="str">
        <f ca="1">IF(A371="ID",1,IF(ISBLANK(B372),"",MAX(A$2:A371)+1))</f>
        <v/>
      </c>
      <c r="I372" s="2" t="str">
        <f ca="1">IF(ISNUMBER(A372),
IF(COUNTIFS(Equipar!B:B,1,Equipar!AC:AC,A372),"Equipada",
IF(
OR(COUNTIFS(Equipar!B:B,1,Equipar!C:C,A372)
 +COUNTIFS(Equipar!B:B,1,Equipar!D:D,A372)
+COUNTIFS(Equipar!B:B,1,Equipar!E:E,A372)
+COUNTIFS(Equipar!B:B,1,Equipar!F:F,A372)
&gt;0,COUNTIF('Set recomendado'!B:B,C372)=0),
"Bloqueada",
"Desechable")),""
)</f>
        <v/>
      </c>
      <c r="J372" t="str" cm="1">
        <f t="array" aca="1" ref="J372" ca="1">IF(ISNUMBER(A372),IFERROR(_xlfn._xlws.FILTER(Equipar!A:A,(Equipar!B:B=1)*(Equipar!AC:AC=A372)),""),"")</f>
        <v/>
      </c>
    </row>
    <row r="373" spans="1:10" x14ac:dyDescent="0.25">
      <c r="A373" s="1" t="str">
        <f ca="1">IF(A372="ID",1,IF(ISBLANK(B373),"",MAX(A$2:A372)+1))</f>
        <v/>
      </c>
      <c r="I373" s="2" t="str">
        <f ca="1">IF(ISNUMBER(A373),
IF(COUNTIFS(Equipar!B:B,1,Equipar!AC:AC,A373),"Equipada",
IF(
OR(COUNTIFS(Equipar!B:B,1,Equipar!C:C,A373)
 +COUNTIFS(Equipar!B:B,1,Equipar!D:D,A373)
+COUNTIFS(Equipar!B:B,1,Equipar!E:E,A373)
+COUNTIFS(Equipar!B:B,1,Equipar!F:F,A373)
&gt;0,COUNTIF('Set recomendado'!B:B,C373)=0),
"Bloqueada",
"Desechable")),""
)</f>
        <v/>
      </c>
      <c r="J373" t="str" cm="1">
        <f t="array" aca="1" ref="J373" ca="1">IF(ISNUMBER(A373),IFERROR(_xlfn._xlws.FILTER(Equipar!A:A,(Equipar!B:B=1)*(Equipar!AC:AC=A373)),""),"")</f>
        <v/>
      </c>
    </row>
    <row r="374" spans="1:10" x14ac:dyDescent="0.25">
      <c r="A374" s="1" t="str">
        <f ca="1">IF(A373="ID",1,IF(ISBLANK(B374),"",MAX(A$2:A373)+1))</f>
        <v/>
      </c>
      <c r="I374" s="2" t="str">
        <f ca="1">IF(ISNUMBER(A374),
IF(COUNTIFS(Equipar!B:B,1,Equipar!AC:AC,A374),"Equipada",
IF(
OR(COUNTIFS(Equipar!B:B,1,Equipar!C:C,A374)
 +COUNTIFS(Equipar!B:B,1,Equipar!D:D,A374)
+COUNTIFS(Equipar!B:B,1,Equipar!E:E,A374)
+COUNTIFS(Equipar!B:B,1,Equipar!F:F,A374)
&gt;0,COUNTIF('Set recomendado'!B:B,C374)=0),
"Bloqueada",
"Desechable")),""
)</f>
        <v/>
      </c>
      <c r="J374" t="str" cm="1">
        <f t="array" aca="1" ref="J374" ca="1">IF(ISNUMBER(A374),IFERROR(_xlfn._xlws.FILTER(Equipar!A:A,(Equipar!B:B=1)*(Equipar!AC:AC=A374)),""),"")</f>
        <v/>
      </c>
    </row>
    <row r="375" spans="1:10" x14ac:dyDescent="0.25">
      <c r="A375" s="1" t="str">
        <f ca="1">IF(A374="ID",1,IF(ISBLANK(B375),"",MAX(A$2:A374)+1))</f>
        <v/>
      </c>
      <c r="I375" s="2" t="str">
        <f ca="1">IF(ISNUMBER(A375),
IF(COUNTIFS(Equipar!B:B,1,Equipar!AC:AC,A375),"Equipada",
IF(
OR(COUNTIFS(Equipar!B:B,1,Equipar!C:C,A375)
 +COUNTIFS(Equipar!B:B,1,Equipar!D:D,A375)
+COUNTIFS(Equipar!B:B,1,Equipar!E:E,A375)
+COUNTIFS(Equipar!B:B,1,Equipar!F:F,A375)
&gt;0,COUNTIF('Set recomendado'!B:B,C375)=0),
"Bloqueada",
"Desechable")),""
)</f>
        <v/>
      </c>
      <c r="J375" t="str" cm="1">
        <f t="array" aca="1" ref="J375" ca="1">IF(ISNUMBER(A375),IFERROR(_xlfn._xlws.FILTER(Equipar!A:A,(Equipar!B:B=1)*(Equipar!AC:AC=A375)),""),"")</f>
        <v/>
      </c>
    </row>
    <row r="376" spans="1:10" x14ac:dyDescent="0.25">
      <c r="A376" s="1" t="str">
        <f ca="1">IF(A375="ID",1,IF(ISBLANK(B376),"",MAX(A$2:A375)+1))</f>
        <v/>
      </c>
      <c r="I376" s="2" t="str">
        <f ca="1">IF(ISNUMBER(A376),
IF(COUNTIFS(Equipar!B:B,1,Equipar!AC:AC,A376),"Equipada",
IF(
OR(COUNTIFS(Equipar!B:B,1,Equipar!C:C,A376)
 +COUNTIFS(Equipar!B:B,1,Equipar!D:D,A376)
+COUNTIFS(Equipar!B:B,1,Equipar!E:E,A376)
+COUNTIFS(Equipar!B:B,1,Equipar!F:F,A376)
&gt;0,COUNTIF('Set recomendado'!B:B,C376)=0),
"Bloqueada",
"Desechable")),""
)</f>
        <v/>
      </c>
      <c r="J376" t="str" cm="1">
        <f t="array" aca="1" ref="J376" ca="1">IF(ISNUMBER(A376),IFERROR(_xlfn._xlws.FILTER(Equipar!A:A,(Equipar!B:B=1)*(Equipar!AC:AC=A376)),""),"")</f>
        <v/>
      </c>
    </row>
    <row r="377" spans="1:10" x14ac:dyDescent="0.25">
      <c r="A377" s="1" t="str">
        <f ca="1">IF(A376="ID",1,IF(ISBLANK(B377),"",MAX(A$2:A376)+1))</f>
        <v/>
      </c>
      <c r="I377" s="2" t="str">
        <f ca="1">IF(ISNUMBER(A377),
IF(COUNTIFS(Equipar!B:B,1,Equipar!AC:AC,A377),"Equipada",
IF(
OR(COUNTIFS(Equipar!B:B,1,Equipar!C:C,A377)
 +COUNTIFS(Equipar!B:B,1,Equipar!D:D,A377)
+COUNTIFS(Equipar!B:B,1,Equipar!E:E,A377)
+COUNTIFS(Equipar!B:B,1,Equipar!F:F,A377)
&gt;0,COUNTIF('Set recomendado'!B:B,C377)=0),
"Bloqueada",
"Desechable")),""
)</f>
        <v/>
      </c>
      <c r="J377" t="str" cm="1">
        <f t="array" aca="1" ref="J377" ca="1">IF(ISNUMBER(A377),IFERROR(_xlfn._xlws.FILTER(Equipar!A:A,(Equipar!B:B=1)*(Equipar!AC:AC=A377)),""),"")</f>
        <v/>
      </c>
    </row>
    <row r="378" spans="1:10" x14ac:dyDescent="0.25">
      <c r="A378" s="1" t="str">
        <f ca="1">IF(A377="ID",1,IF(ISBLANK(B378),"",MAX(A$2:A377)+1))</f>
        <v/>
      </c>
      <c r="I378" s="2" t="str">
        <f ca="1">IF(ISNUMBER(A378),
IF(COUNTIFS(Equipar!B:B,1,Equipar!AC:AC,A378),"Equipada",
IF(
OR(COUNTIFS(Equipar!B:B,1,Equipar!C:C,A378)
 +COUNTIFS(Equipar!B:B,1,Equipar!D:D,A378)
+COUNTIFS(Equipar!B:B,1,Equipar!E:E,A378)
+COUNTIFS(Equipar!B:B,1,Equipar!F:F,A378)
&gt;0,COUNTIF('Set recomendado'!B:B,C378)=0),
"Bloqueada",
"Desechable")),""
)</f>
        <v/>
      </c>
      <c r="J378" t="str" cm="1">
        <f t="array" aca="1" ref="J378" ca="1">IF(ISNUMBER(A378),IFERROR(_xlfn._xlws.FILTER(Equipar!A:A,(Equipar!B:B=1)*(Equipar!AC:AC=A378)),""),"")</f>
        <v/>
      </c>
    </row>
    <row r="379" spans="1:10" x14ac:dyDescent="0.25">
      <c r="A379" s="1" t="str">
        <f ca="1">IF(A378="ID",1,IF(ISBLANK(B379),"",MAX(A$2:A378)+1))</f>
        <v/>
      </c>
      <c r="I379" s="2" t="str">
        <f ca="1">IF(ISNUMBER(A379),
IF(COUNTIFS(Equipar!B:B,1,Equipar!AC:AC,A379),"Equipada",
IF(
OR(COUNTIFS(Equipar!B:B,1,Equipar!C:C,A379)
 +COUNTIFS(Equipar!B:B,1,Equipar!D:D,A379)
+COUNTIFS(Equipar!B:B,1,Equipar!E:E,A379)
+COUNTIFS(Equipar!B:B,1,Equipar!F:F,A379)
&gt;0,COUNTIF('Set recomendado'!B:B,C379)=0),
"Bloqueada",
"Desechable")),""
)</f>
        <v/>
      </c>
      <c r="J379" t="str" cm="1">
        <f t="array" aca="1" ref="J379" ca="1">IF(ISNUMBER(A379),IFERROR(_xlfn._xlws.FILTER(Equipar!A:A,(Equipar!B:B=1)*(Equipar!AC:AC=A379)),""),"")</f>
        <v/>
      </c>
    </row>
    <row r="380" spans="1:10" x14ac:dyDescent="0.25">
      <c r="A380" s="1" t="str">
        <f ca="1">IF(A379="ID",1,IF(ISBLANK(B380),"",MAX(A$2:A379)+1))</f>
        <v/>
      </c>
      <c r="I380" s="2" t="str">
        <f ca="1">IF(ISNUMBER(A380),
IF(COUNTIFS(Equipar!B:B,1,Equipar!AC:AC,A380),"Equipada",
IF(
OR(COUNTIFS(Equipar!B:B,1,Equipar!C:C,A380)
 +COUNTIFS(Equipar!B:B,1,Equipar!D:D,A380)
+COUNTIFS(Equipar!B:B,1,Equipar!E:E,A380)
+COUNTIFS(Equipar!B:B,1,Equipar!F:F,A380)
&gt;0,COUNTIF('Set recomendado'!B:B,C380)=0),
"Bloqueada",
"Desechable")),""
)</f>
        <v/>
      </c>
      <c r="J380" t="str" cm="1">
        <f t="array" aca="1" ref="J380" ca="1">IF(ISNUMBER(A380),IFERROR(_xlfn._xlws.FILTER(Equipar!A:A,(Equipar!B:B=1)*(Equipar!AC:AC=A380)),""),"")</f>
        <v/>
      </c>
    </row>
    <row r="381" spans="1:10" x14ac:dyDescent="0.25">
      <c r="A381" s="1" t="str">
        <f ca="1">IF(A380="ID",1,IF(ISBLANK(B381),"",MAX(A$2:A380)+1))</f>
        <v/>
      </c>
      <c r="I381" s="2" t="str">
        <f ca="1">IF(ISNUMBER(A381),
IF(COUNTIFS(Equipar!B:B,1,Equipar!AC:AC,A381),"Equipada",
IF(
OR(COUNTIFS(Equipar!B:B,1,Equipar!C:C,A381)
 +COUNTIFS(Equipar!B:B,1,Equipar!D:D,A381)
+COUNTIFS(Equipar!B:B,1,Equipar!E:E,A381)
+COUNTIFS(Equipar!B:B,1,Equipar!F:F,A381)
&gt;0,COUNTIF('Set recomendado'!B:B,C381)=0),
"Bloqueada",
"Desechable")),""
)</f>
        <v/>
      </c>
      <c r="J381" t="str" cm="1">
        <f t="array" aca="1" ref="J381" ca="1">IF(ISNUMBER(A381),IFERROR(_xlfn._xlws.FILTER(Equipar!A:A,(Equipar!B:B=1)*(Equipar!AC:AC=A381)),""),"")</f>
        <v/>
      </c>
    </row>
    <row r="382" spans="1:10" x14ac:dyDescent="0.25">
      <c r="A382" s="1" t="str">
        <f ca="1">IF(A381="ID",1,IF(ISBLANK(B382),"",MAX(A$2:A381)+1))</f>
        <v/>
      </c>
      <c r="I382" s="2" t="str">
        <f ca="1">IF(ISNUMBER(A382),
IF(COUNTIFS(Equipar!B:B,1,Equipar!AC:AC,A382),"Equipada",
IF(
OR(COUNTIFS(Equipar!B:B,1,Equipar!C:C,A382)
 +COUNTIFS(Equipar!B:B,1,Equipar!D:D,A382)
+COUNTIFS(Equipar!B:B,1,Equipar!E:E,A382)
+COUNTIFS(Equipar!B:B,1,Equipar!F:F,A382)
&gt;0,COUNTIF('Set recomendado'!B:B,C382)=0),
"Bloqueada",
"Desechable")),""
)</f>
        <v/>
      </c>
      <c r="J382" t="str" cm="1">
        <f t="array" aca="1" ref="J382" ca="1">IF(ISNUMBER(A382),IFERROR(_xlfn._xlws.FILTER(Equipar!A:A,(Equipar!B:B=1)*(Equipar!AC:AC=A382)),""),"")</f>
        <v/>
      </c>
    </row>
    <row r="383" spans="1:10" x14ac:dyDescent="0.25">
      <c r="A383" s="1" t="str">
        <f ca="1">IF(A382="ID",1,IF(ISBLANK(B383),"",MAX(A$2:A382)+1))</f>
        <v/>
      </c>
      <c r="I383" s="2" t="str">
        <f ca="1">IF(ISNUMBER(A383),
IF(COUNTIFS(Equipar!B:B,1,Equipar!AC:AC,A383),"Equipada",
IF(
OR(COUNTIFS(Equipar!B:B,1,Equipar!C:C,A383)
 +COUNTIFS(Equipar!B:B,1,Equipar!D:D,A383)
+COUNTIFS(Equipar!B:B,1,Equipar!E:E,A383)
+COUNTIFS(Equipar!B:B,1,Equipar!F:F,A383)
&gt;0,COUNTIF('Set recomendado'!B:B,C383)=0),
"Bloqueada",
"Desechable")),""
)</f>
        <v/>
      </c>
      <c r="J383" t="str" cm="1">
        <f t="array" aca="1" ref="J383" ca="1">IF(ISNUMBER(A383),IFERROR(_xlfn._xlws.FILTER(Equipar!A:A,(Equipar!B:B=1)*(Equipar!AC:AC=A383)),""),"")</f>
        <v/>
      </c>
    </row>
    <row r="384" spans="1:10" x14ac:dyDescent="0.25">
      <c r="A384" s="1" t="str">
        <f ca="1">IF(A383="ID",1,IF(ISBLANK(B384),"",MAX(A$2:A383)+1))</f>
        <v/>
      </c>
      <c r="I384" s="2" t="str">
        <f ca="1">IF(ISNUMBER(A384),
IF(COUNTIFS(Equipar!B:B,1,Equipar!AC:AC,A384),"Equipada",
IF(
OR(COUNTIFS(Equipar!B:B,1,Equipar!C:C,A384)
 +COUNTIFS(Equipar!B:B,1,Equipar!D:D,A384)
+COUNTIFS(Equipar!B:B,1,Equipar!E:E,A384)
+COUNTIFS(Equipar!B:B,1,Equipar!F:F,A384)
&gt;0,COUNTIF('Set recomendado'!B:B,C384)=0),
"Bloqueada",
"Desechable")),""
)</f>
        <v/>
      </c>
      <c r="J384" t="str" cm="1">
        <f t="array" aca="1" ref="J384" ca="1">IF(ISNUMBER(A384),IFERROR(_xlfn._xlws.FILTER(Equipar!A:A,(Equipar!B:B=1)*(Equipar!AC:AC=A384)),""),"")</f>
        <v/>
      </c>
    </row>
    <row r="385" spans="1:10" x14ac:dyDescent="0.25">
      <c r="A385" s="1" t="str">
        <f ca="1">IF(A384="ID",1,IF(ISBLANK(B385),"",MAX(A$2:A384)+1))</f>
        <v/>
      </c>
      <c r="I385" s="2" t="str">
        <f ca="1">IF(ISNUMBER(A385),
IF(COUNTIFS(Equipar!B:B,1,Equipar!AC:AC,A385),"Equipada",
IF(
OR(COUNTIFS(Equipar!B:B,1,Equipar!C:C,A385)
 +COUNTIFS(Equipar!B:B,1,Equipar!D:D,A385)
+COUNTIFS(Equipar!B:B,1,Equipar!E:E,A385)
+COUNTIFS(Equipar!B:B,1,Equipar!F:F,A385)
&gt;0,COUNTIF('Set recomendado'!B:B,C385)=0),
"Bloqueada",
"Desechable")),""
)</f>
        <v/>
      </c>
      <c r="J385" t="str" cm="1">
        <f t="array" aca="1" ref="J385" ca="1">IF(ISNUMBER(A385),IFERROR(_xlfn._xlws.FILTER(Equipar!A:A,(Equipar!B:B=1)*(Equipar!AC:AC=A385)),""),"")</f>
        <v/>
      </c>
    </row>
    <row r="386" spans="1:10" x14ac:dyDescent="0.25">
      <c r="A386" s="1" t="str">
        <f ca="1">IF(A385="ID",1,IF(ISBLANK(B386),"",MAX(A$2:A385)+1))</f>
        <v/>
      </c>
      <c r="I386" s="2" t="str">
        <f ca="1">IF(ISNUMBER(A386),
IF(COUNTIFS(Equipar!B:B,1,Equipar!AC:AC,A386),"Equipada",
IF(
OR(COUNTIFS(Equipar!B:B,1,Equipar!C:C,A386)
 +COUNTIFS(Equipar!B:B,1,Equipar!D:D,A386)
+COUNTIFS(Equipar!B:B,1,Equipar!E:E,A386)
+COUNTIFS(Equipar!B:B,1,Equipar!F:F,A386)
&gt;0,COUNTIF('Set recomendado'!B:B,C386)=0),
"Bloqueada",
"Desechable")),""
)</f>
        <v/>
      </c>
      <c r="J386" t="str" cm="1">
        <f t="array" aca="1" ref="J386" ca="1">IF(ISNUMBER(A386),IFERROR(_xlfn._xlws.FILTER(Equipar!A:A,(Equipar!B:B=1)*(Equipar!AC:AC=A386)),""),"")</f>
        <v/>
      </c>
    </row>
    <row r="387" spans="1:10" x14ac:dyDescent="0.25">
      <c r="A387" s="1" t="str">
        <f ca="1">IF(A386="ID",1,IF(ISBLANK(B387),"",MAX(A$2:A386)+1))</f>
        <v/>
      </c>
      <c r="I387" s="2" t="str">
        <f ca="1">IF(ISNUMBER(A387),
IF(COUNTIFS(Equipar!B:B,1,Equipar!AC:AC,A387),"Equipada",
IF(
OR(COUNTIFS(Equipar!B:B,1,Equipar!C:C,A387)
 +COUNTIFS(Equipar!B:B,1,Equipar!D:D,A387)
+COUNTIFS(Equipar!B:B,1,Equipar!E:E,A387)
+COUNTIFS(Equipar!B:B,1,Equipar!F:F,A387)
&gt;0,COUNTIF('Set recomendado'!B:B,C387)=0),
"Bloqueada",
"Desechable")),""
)</f>
        <v/>
      </c>
      <c r="J387" t="str" cm="1">
        <f t="array" aca="1" ref="J387" ca="1">IF(ISNUMBER(A387),IFERROR(_xlfn._xlws.FILTER(Equipar!A:A,(Equipar!B:B=1)*(Equipar!AC:AC=A387)),""),"")</f>
        <v/>
      </c>
    </row>
    <row r="388" spans="1:10" x14ac:dyDescent="0.25">
      <c r="A388" s="1" t="str">
        <f ca="1">IF(A387="ID",1,IF(ISBLANK(B388),"",MAX(A$2:A387)+1))</f>
        <v/>
      </c>
      <c r="I388" s="2" t="str">
        <f ca="1">IF(ISNUMBER(A388),
IF(COUNTIFS(Equipar!B:B,1,Equipar!AC:AC,A388),"Equipada",
IF(
OR(COUNTIFS(Equipar!B:B,1,Equipar!C:C,A388)
 +COUNTIFS(Equipar!B:B,1,Equipar!D:D,A388)
+COUNTIFS(Equipar!B:B,1,Equipar!E:E,A388)
+COUNTIFS(Equipar!B:B,1,Equipar!F:F,A388)
&gt;0,COUNTIF('Set recomendado'!B:B,C388)=0),
"Bloqueada",
"Desechable")),""
)</f>
        <v/>
      </c>
      <c r="J388" t="str" cm="1">
        <f t="array" aca="1" ref="J388" ca="1">IF(ISNUMBER(A388),IFERROR(_xlfn._xlws.FILTER(Equipar!A:A,(Equipar!B:B=1)*(Equipar!AC:AC=A388)),""),"")</f>
        <v/>
      </c>
    </row>
    <row r="389" spans="1:10" x14ac:dyDescent="0.25">
      <c r="A389" s="1" t="str">
        <f ca="1">IF(A388="ID",1,IF(ISBLANK(B389),"",MAX(A$2:A388)+1))</f>
        <v/>
      </c>
      <c r="I389" s="2" t="str">
        <f ca="1">IF(ISNUMBER(A389),
IF(COUNTIFS(Equipar!B:B,1,Equipar!AC:AC,A389),"Equipada",
IF(
OR(COUNTIFS(Equipar!B:B,1,Equipar!C:C,A389)
 +COUNTIFS(Equipar!B:B,1,Equipar!D:D,A389)
+COUNTIFS(Equipar!B:B,1,Equipar!E:E,A389)
+COUNTIFS(Equipar!B:B,1,Equipar!F:F,A389)
&gt;0,COUNTIF('Set recomendado'!B:B,C389)=0),
"Bloqueada",
"Desechable")),""
)</f>
        <v/>
      </c>
      <c r="J389" t="str" cm="1">
        <f t="array" aca="1" ref="J389" ca="1">IF(ISNUMBER(A389),IFERROR(_xlfn._xlws.FILTER(Equipar!A:A,(Equipar!B:B=1)*(Equipar!AC:AC=A389)),""),"")</f>
        <v/>
      </c>
    </row>
    <row r="390" spans="1:10" x14ac:dyDescent="0.25">
      <c r="A390" s="1" t="str">
        <f ca="1">IF(A389="ID",1,IF(ISBLANK(B390),"",MAX(A$2:A389)+1))</f>
        <v/>
      </c>
      <c r="I390" s="2" t="str">
        <f ca="1">IF(ISNUMBER(A390),
IF(COUNTIFS(Equipar!B:B,1,Equipar!AC:AC,A390),"Equipada",
IF(
OR(COUNTIFS(Equipar!B:B,1,Equipar!C:C,A390)
 +COUNTIFS(Equipar!B:B,1,Equipar!D:D,A390)
+COUNTIFS(Equipar!B:B,1,Equipar!E:E,A390)
+COUNTIFS(Equipar!B:B,1,Equipar!F:F,A390)
&gt;0,COUNTIF('Set recomendado'!B:B,C390)=0),
"Bloqueada",
"Desechable")),""
)</f>
        <v/>
      </c>
      <c r="J390" t="str" cm="1">
        <f t="array" aca="1" ref="J390" ca="1">IF(ISNUMBER(A390),IFERROR(_xlfn._xlws.FILTER(Equipar!A:A,(Equipar!B:B=1)*(Equipar!AC:AC=A390)),""),"")</f>
        <v/>
      </c>
    </row>
    <row r="391" spans="1:10" x14ac:dyDescent="0.25">
      <c r="A391" s="1" t="str">
        <f ca="1">IF(A390="ID",1,IF(ISBLANK(B391),"",MAX(A$2:A390)+1))</f>
        <v/>
      </c>
      <c r="I391" s="2" t="str">
        <f ca="1">IF(ISNUMBER(A391),
IF(COUNTIFS(Equipar!B:B,1,Equipar!AC:AC,A391),"Equipada",
IF(
OR(COUNTIFS(Equipar!B:B,1,Equipar!C:C,A391)
 +COUNTIFS(Equipar!B:B,1,Equipar!D:D,A391)
+COUNTIFS(Equipar!B:B,1,Equipar!E:E,A391)
+COUNTIFS(Equipar!B:B,1,Equipar!F:F,A391)
&gt;0,COUNTIF('Set recomendado'!B:B,C391)=0),
"Bloqueada",
"Desechable")),""
)</f>
        <v/>
      </c>
      <c r="J391" t="str" cm="1">
        <f t="array" aca="1" ref="J391" ca="1">IF(ISNUMBER(A391),IFERROR(_xlfn._xlws.FILTER(Equipar!A:A,(Equipar!B:B=1)*(Equipar!AC:AC=A391)),""),"")</f>
        <v/>
      </c>
    </row>
    <row r="392" spans="1:10" x14ac:dyDescent="0.25">
      <c r="A392" s="1" t="str">
        <f ca="1">IF(A391="ID",1,IF(ISBLANK(B392),"",MAX(A$2:A391)+1))</f>
        <v/>
      </c>
      <c r="I392" s="2" t="str">
        <f ca="1">IF(ISNUMBER(A392),
IF(COUNTIFS(Equipar!B:B,1,Equipar!AC:AC,A392),"Equipada",
IF(
OR(COUNTIFS(Equipar!B:B,1,Equipar!C:C,A392)
 +COUNTIFS(Equipar!B:B,1,Equipar!D:D,A392)
+COUNTIFS(Equipar!B:B,1,Equipar!E:E,A392)
+COUNTIFS(Equipar!B:B,1,Equipar!F:F,A392)
&gt;0,COUNTIF('Set recomendado'!B:B,C392)=0),
"Bloqueada",
"Desechable")),""
)</f>
        <v/>
      </c>
      <c r="J392" t="str" cm="1">
        <f t="array" aca="1" ref="J392" ca="1">IF(ISNUMBER(A392),IFERROR(_xlfn._xlws.FILTER(Equipar!A:A,(Equipar!B:B=1)*(Equipar!AC:AC=A392)),""),"")</f>
        <v/>
      </c>
    </row>
    <row r="393" spans="1:10" x14ac:dyDescent="0.25">
      <c r="A393" s="1" t="str">
        <f ca="1">IF(A392="ID",1,IF(ISBLANK(B393),"",MAX(A$2:A392)+1))</f>
        <v/>
      </c>
      <c r="I393" s="2" t="str">
        <f ca="1">IF(ISNUMBER(A393),
IF(COUNTIFS(Equipar!B:B,1,Equipar!AC:AC,A393),"Equipada",
IF(
OR(COUNTIFS(Equipar!B:B,1,Equipar!C:C,A393)
 +COUNTIFS(Equipar!B:B,1,Equipar!D:D,A393)
+COUNTIFS(Equipar!B:B,1,Equipar!E:E,A393)
+COUNTIFS(Equipar!B:B,1,Equipar!F:F,A393)
&gt;0,COUNTIF('Set recomendado'!B:B,C393)=0),
"Bloqueada",
"Desechable")),""
)</f>
        <v/>
      </c>
      <c r="J393" t="str" cm="1">
        <f t="array" aca="1" ref="J393" ca="1">IF(ISNUMBER(A393),IFERROR(_xlfn._xlws.FILTER(Equipar!A:A,(Equipar!B:B=1)*(Equipar!AC:AC=A393)),""),"")</f>
        <v/>
      </c>
    </row>
    <row r="394" spans="1:10" x14ac:dyDescent="0.25">
      <c r="A394" s="1" t="str">
        <f ca="1">IF(A393="ID",1,IF(ISBLANK(B394),"",MAX(A$2:A393)+1))</f>
        <v/>
      </c>
      <c r="I394" s="2" t="str">
        <f ca="1">IF(ISNUMBER(A394),
IF(COUNTIFS(Equipar!B:B,1,Equipar!AC:AC,A394),"Equipada",
IF(
OR(COUNTIFS(Equipar!B:B,1,Equipar!C:C,A394)
 +COUNTIFS(Equipar!B:B,1,Equipar!D:D,A394)
+COUNTIFS(Equipar!B:B,1,Equipar!E:E,A394)
+COUNTIFS(Equipar!B:B,1,Equipar!F:F,A394)
&gt;0,COUNTIF('Set recomendado'!B:B,C394)=0),
"Bloqueada",
"Desechable")),""
)</f>
        <v/>
      </c>
      <c r="J394" t="str" cm="1">
        <f t="array" aca="1" ref="J394" ca="1">IF(ISNUMBER(A394),IFERROR(_xlfn._xlws.FILTER(Equipar!A:A,(Equipar!B:B=1)*(Equipar!AC:AC=A394)),""),"")</f>
        <v/>
      </c>
    </row>
    <row r="395" spans="1:10" x14ac:dyDescent="0.25">
      <c r="A395" s="1" t="str">
        <f ca="1">IF(A394="ID",1,IF(ISBLANK(B395),"",MAX(A$2:A394)+1))</f>
        <v/>
      </c>
      <c r="I395" s="2" t="str">
        <f ca="1">IF(ISNUMBER(A395),
IF(COUNTIFS(Equipar!B:B,1,Equipar!AC:AC,A395),"Equipada",
IF(
OR(COUNTIFS(Equipar!B:B,1,Equipar!C:C,A395)
 +COUNTIFS(Equipar!B:B,1,Equipar!D:D,A395)
+COUNTIFS(Equipar!B:B,1,Equipar!E:E,A395)
+COUNTIFS(Equipar!B:B,1,Equipar!F:F,A395)
&gt;0,COUNTIF('Set recomendado'!B:B,C395)=0),
"Bloqueada",
"Desechable")),""
)</f>
        <v/>
      </c>
      <c r="J395" t="str" cm="1">
        <f t="array" aca="1" ref="J395" ca="1">IF(ISNUMBER(A395),IFERROR(_xlfn._xlws.FILTER(Equipar!A:A,(Equipar!B:B=1)*(Equipar!AC:AC=A395)),""),"")</f>
        <v/>
      </c>
    </row>
    <row r="396" spans="1:10" x14ac:dyDescent="0.25">
      <c r="A396" s="1" t="str">
        <f ca="1">IF(A395="ID",1,IF(ISBLANK(B396),"",MAX(A$2:A395)+1))</f>
        <v/>
      </c>
      <c r="I396" s="2" t="str">
        <f ca="1">IF(ISNUMBER(A396),
IF(COUNTIFS(Equipar!B:B,1,Equipar!AC:AC,A396),"Equipada",
IF(
OR(COUNTIFS(Equipar!B:B,1,Equipar!C:C,A396)
 +COUNTIFS(Equipar!B:B,1,Equipar!D:D,A396)
+COUNTIFS(Equipar!B:B,1,Equipar!E:E,A396)
+COUNTIFS(Equipar!B:B,1,Equipar!F:F,A396)
&gt;0,COUNTIF('Set recomendado'!B:B,C396)=0),
"Bloqueada",
"Desechable")),""
)</f>
        <v/>
      </c>
      <c r="J396" t="str" cm="1">
        <f t="array" aca="1" ref="J396" ca="1">IF(ISNUMBER(A396),IFERROR(_xlfn._xlws.FILTER(Equipar!A:A,(Equipar!B:B=1)*(Equipar!AC:AC=A396)),""),"")</f>
        <v/>
      </c>
    </row>
    <row r="397" spans="1:10" x14ac:dyDescent="0.25">
      <c r="A397" s="1" t="str">
        <f ca="1">IF(A396="ID",1,IF(ISBLANK(B397),"",MAX(A$2:A396)+1))</f>
        <v/>
      </c>
      <c r="I397" s="2" t="str">
        <f ca="1">IF(ISNUMBER(A397),
IF(COUNTIFS(Equipar!B:B,1,Equipar!AC:AC,A397),"Equipada",
IF(
OR(COUNTIFS(Equipar!B:B,1,Equipar!C:C,A397)
 +COUNTIFS(Equipar!B:B,1,Equipar!D:D,A397)
+COUNTIFS(Equipar!B:B,1,Equipar!E:E,A397)
+COUNTIFS(Equipar!B:B,1,Equipar!F:F,A397)
&gt;0,COUNTIF('Set recomendado'!B:B,C397)=0),
"Bloqueada",
"Desechable")),""
)</f>
        <v/>
      </c>
      <c r="J397" t="str" cm="1">
        <f t="array" aca="1" ref="J397" ca="1">IF(ISNUMBER(A397),IFERROR(_xlfn._xlws.FILTER(Equipar!A:A,(Equipar!B:B=1)*(Equipar!AC:AC=A397)),""),"")</f>
        <v/>
      </c>
    </row>
    <row r="398" spans="1:10" x14ac:dyDescent="0.25">
      <c r="A398" s="1" t="str">
        <f ca="1">IF(A397="ID",1,IF(ISBLANK(B398),"",MAX(A$2:A397)+1))</f>
        <v/>
      </c>
      <c r="I398" s="2" t="str">
        <f ca="1">IF(ISNUMBER(A398),
IF(COUNTIFS(Equipar!B:B,1,Equipar!AC:AC,A398),"Equipada",
IF(
OR(COUNTIFS(Equipar!B:B,1,Equipar!C:C,A398)
 +COUNTIFS(Equipar!B:B,1,Equipar!D:D,A398)
+COUNTIFS(Equipar!B:B,1,Equipar!E:E,A398)
+COUNTIFS(Equipar!B:B,1,Equipar!F:F,A398)
&gt;0,COUNTIF('Set recomendado'!B:B,C398)=0),
"Bloqueada",
"Desechable")),""
)</f>
        <v/>
      </c>
      <c r="J398" t="str" cm="1">
        <f t="array" aca="1" ref="J398" ca="1">IF(ISNUMBER(A398),IFERROR(_xlfn._xlws.FILTER(Equipar!A:A,(Equipar!B:B=1)*(Equipar!AC:AC=A398)),""),"")</f>
        <v/>
      </c>
    </row>
    <row r="399" spans="1:10" x14ac:dyDescent="0.25">
      <c r="A399" s="1" t="str">
        <f ca="1">IF(A398="ID",1,IF(ISBLANK(B399),"",MAX(A$2:A398)+1))</f>
        <v/>
      </c>
      <c r="I399" s="2" t="str">
        <f ca="1">IF(ISNUMBER(A399),
IF(COUNTIFS(Equipar!B:B,1,Equipar!AC:AC,A399),"Equipada",
IF(
OR(COUNTIFS(Equipar!B:B,1,Equipar!C:C,A399)
 +COUNTIFS(Equipar!B:B,1,Equipar!D:D,A399)
+COUNTIFS(Equipar!B:B,1,Equipar!E:E,A399)
+COUNTIFS(Equipar!B:B,1,Equipar!F:F,A399)
&gt;0,COUNTIF('Set recomendado'!B:B,C399)=0),
"Bloqueada",
"Desechable")),""
)</f>
        <v/>
      </c>
      <c r="J399" t="str" cm="1">
        <f t="array" aca="1" ref="J399" ca="1">IF(ISNUMBER(A399),IFERROR(_xlfn._xlws.FILTER(Equipar!A:A,(Equipar!B:B=1)*(Equipar!AC:AC=A399)),""),"")</f>
        <v/>
      </c>
    </row>
    <row r="400" spans="1:10" x14ac:dyDescent="0.25">
      <c r="A400" s="1" t="str">
        <f ca="1">IF(A399="ID",1,IF(ISBLANK(B400),"",MAX(A$2:A399)+1))</f>
        <v/>
      </c>
      <c r="I400" s="2" t="str">
        <f ca="1">IF(ISNUMBER(A400),
IF(COUNTIFS(Equipar!B:B,1,Equipar!AC:AC,A400),"Equipada",
IF(
OR(COUNTIFS(Equipar!B:B,1,Equipar!C:C,A400)
 +COUNTIFS(Equipar!B:B,1,Equipar!D:D,A400)
+COUNTIFS(Equipar!B:B,1,Equipar!E:E,A400)
+COUNTIFS(Equipar!B:B,1,Equipar!F:F,A400)
&gt;0,COUNTIF('Set recomendado'!B:B,C400)=0),
"Bloqueada",
"Desechable")),""
)</f>
        <v/>
      </c>
      <c r="J400" t="str" cm="1">
        <f t="array" aca="1" ref="J400" ca="1">IF(ISNUMBER(A400),IFERROR(_xlfn._xlws.FILTER(Equipar!A:A,(Equipar!B:B=1)*(Equipar!AC:AC=A400)),""),"")</f>
        <v/>
      </c>
    </row>
    <row r="401" spans="1:10" x14ac:dyDescent="0.25">
      <c r="A401" s="1" t="str">
        <f ca="1">IF(A400="ID",1,IF(ISBLANK(B401),"",MAX(A$2:A400)+1))</f>
        <v/>
      </c>
      <c r="I401" s="2" t="str">
        <f ca="1">IF(ISNUMBER(A401),
IF(COUNTIFS(Equipar!B:B,1,Equipar!AC:AC,A401),"Equipada",
IF(
OR(COUNTIFS(Equipar!B:B,1,Equipar!C:C,A401)
 +COUNTIFS(Equipar!B:B,1,Equipar!D:D,A401)
+COUNTIFS(Equipar!B:B,1,Equipar!E:E,A401)
+COUNTIFS(Equipar!B:B,1,Equipar!F:F,A401)
&gt;0,COUNTIF('Set recomendado'!B:B,C401)=0),
"Bloqueada",
"Desechable")),""
)</f>
        <v/>
      </c>
      <c r="J401" t="str" cm="1">
        <f t="array" aca="1" ref="J401" ca="1">IF(ISNUMBER(A401),IFERROR(_xlfn._xlws.FILTER(Equipar!A:A,(Equipar!B:B=1)*(Equipar!AC:AC=A401)),""),"")</f>
        <v/>
      </c>
    </row>
    <row r="402" spans="1:10" x14ac:dyDescent="0.25">
      <c r="A402" s="1" t="str">
        <f ca="1">IF(A401="ID",1,IF(ISBLANK(B402),"",MAX(A$2:A401)+1))</f>
        <v/>
      </c>
      <c r="I402" s="2" t="str">
        <f ca="1">IF(ISNUMBER(A402),
IF(COUNTIFS(Equipar!B:B,1,Equipar!AC:AC,A402),"Equipada",
IF(
OR(COUNTIFS(Equipar!B:B,1,Equipar!C:C,A402)
 +COUNTIFS(Equipar!B:B,1,Equipar!D:D,A402)
+COUNTIFS(Equipar!B:B,1,Equipar!E:E,A402)
+COUNTIFS(Equipar!B:B,1,Equipar!F:F,A402)
&gt;0,COUNTIF('Set recomendado'!B:B,C402)=0),
"Bloqueada",
"Desechable")),""
)</f>
        <v/>
      </c>
      <c r="J402" t="str" cm="1">
        <f t="array" aca="1" ref="J402" ca="1">IF(ISNUMBER(A402),IFERROR(_xlfn._xlws.FILTER(Equipar!A:A,(Equipar!B:B=1)*(Equipar!AC:AC=A402)),""),"")</f>
        <v/>
      </c>
    </row>
    <row r="403" spans="1:10" x14ac:dyDescent="0.25">
      <c r="A403" s="1" t="str">
        <f ca="1">IF(A402="ID",1,IF(ISBLANK(B403),"",MAX(A$2:A402)+1))</f>
        <v/>
      </c>
      <c r="I403" s="2" t="str">
        <f ca="1">IF(ISNUMBER(A403),
IF(COUNTIFS(Equipar!B:B,1,Equipar!AC:AC,A403),"Equipada",
IF(
OR(COUNTIFS(Equipar!B:B,1,Equipar!C:C,A403)
 +COUNTIFS(Equipar!B:B,1,Equipar!D:D,A403)
+COUNTIFS(Equipar!B:B,1,Equipar!E:E,A403)
+COUNTIFS(Equipar!B:B,1,Equipar!F:F,A403)
&gt;0,COUNTIF('Set recomendado'!B:B,C403)=0),
"Bloqueada",
"Desechable")),""
)</f>
        <v/>
      </c>
      <c r="J403" t="str" cm="1">
        <f t="array" aca="1" ref="J403" ca="1">IF(ISNUMBER(A403),IFERROR(_xlfn._xlws.FILTER(Equipar!A:A,(Equipar!B:B=1)*(Equipar!AC:AC=A403)),""),"")</f>
        <v/>
      </c>
    </row>
    <row r="404" spans="1:10" x14ac:dyDescent="0.25">
      <c r="A404" s="1" t="str">
        <f ca="1">IF(A403="ID",1,IF(ISBLANK(B404),"",MAX(A$2:A403)+1))</f>
        <v/>
      </c>
      <c r="I404" s="2" t="str">
        <f ca="1">IF(ISNUMBER(A404),
IF(COUNTIFS(Equipar!B:B,1,Equipar!AC:AC,A404),"Equipada",
IF(
OR(COUNTIFS(Equipar!B:B,1,Equipar!C:C,A404)
 +COUNTIFS(Equipar!B:B,1,Equipar!D:D,A404)
+COUNTIFS(Equipar!B:B,1,Equipar!E:E,A404)
+COUNTIFS(Equipar!B:B,1,Equipar!F:F,A404)
&gt;0,COUNTIF('Set recomendado'!B:B,C404)=0),
"Bloqueada",
"Desechable")),""
)</f>
        <v/>
      </c>
      <c r="J404" t="str" cm="1">
        <f t="array" aca="1" ref="J404" ca="1">IF(ISNUMBER(A404),IFERROR(_xlfn._xlws.FILTER(Equipar!A:A,(Equipar!B:B=1)*(Equipar!AC:AC=A404)),""),"")</f>
        <v/>
      </c>
    </row>
    <row r="405" spans="1:10" x14ac:dyDescent="0.25">
      <c r="A405" s="1" t="str">
        <f ca="1">IF(A404="ID",1,IF(ISBLANK(B405),"",MAX(A$2:A404)+1))</f>
        <v/>
      </c>
      <c r="I405" s="2" t="str">
        <f ca="1">IF(ISNUMBER(A405),
IF(COUNTIFS(Equipar!B:B,1,Equipar!AC:AC,A405),"Equipada",
IF(
OR(COUNTIFS(Equipar!B:B,1,Equipar!C:C,A405)
 +COUNTIFS(Equipar!B:B,1,Equipar!D:D,A405)
+COUNTIFS(Equipar!B:B,1,Equipar!E:E,A405)
+COUNTIFS(Equipar!B:B,1,Equipar!F:F,A405)
&gt;0,COUNTIF('Set recomendado'!B:B,C405)=0),
"Bloqueada",
"Desechable")),""
)</f>
        <v/>
      </c>
      <c r="J405" t="str" cm="1">
        <f t="array" aca="1" ref="J405" ca="1">IF(ISNUMBER(A405),IFERROR(_xlfn._xlws.FILTER(Equipar!A:A,(Equipar!B:B=1)*(Equipar!AC:AC=A405)),""),"")</f>
        <v/>
      </c>
    </row>
    <row r="406" spans="1:10" x14ac:dyDescent="0.25">
      <c r="A406" s="1" t="str">
        <f ca="1">IF(A405="ID",1,IF(ISBLANK(B406),"",MAX(A$2:A405)+1))</f>
        <v/>
      </c>
      <c r="I406" s="2" t="str">
        <f ca="1">IF(ISNUMBER(A406),
IF(COUNTIFS(Equipar!B:B,1,Equipar!AC:AC,A406),"Equipada",
IF(
OR(COUNTIFS(Equipar!B:B,1,Equipar!C:C,A406)
 +COUNTIFS(Equipar!B:B,1,Equipar!D:D,A406)
+COUNTIFS(Equipar!B:B,1,Equipar!E:E,A406)
+COUNTIFS(Equipar!B:B,1,Equipar!F:F,A406)
&gt;0,COUNTIF('Set recomendado'!B:B,C406)=0),
"Bloqueada",
"Desechable")),""
)</f>
        <v/>
      </c>
      <c r="J406" t="str" cm="1">
        <f t="array" aca="1" ref="J406" ca="1">IF(ISNUMBER(A406),IFERROR(_xlfn._xlws.FILTER(Equipar!A:A,(Equipar!B:B=1)*(Equipar!AC:AC=A406)),""),"")</f>
        <v/>
      </c>
    </row>
    <row r="407" spans="1:10" x14ac:dyDescent="0.25">
      <c r="A407" s="1" t="str">
        <f ca="1">IF(A406="ID",1,IF(ISBLANK(B407),"",MAX(A$2:A406)+1))</f>
        <v/>
      </c>
      <c r="I407" s="2" t="str">
        <f ca="1">IF(ISNUMBER(A407),
IF(COUNTIFS(Equipar!B:B,1,Equipar!AC:AC,A407),"Equipada",
IF(
OR(COUNTIFS(Equipar!B:B,1,Equipar!C:C,A407)
 +COUNTIFS(Equipar!B:B,1,Equipar!D:D,A407)
+COUNTIFS(Equipar!B:B,1,Equipar!E:E,A407)
+COUNTIFS(Equipar!B:B,1,Equipar!F:F,A407)
&gt;0,COUNTIF('Set recomendado'!B:B,C407)=0),
"Bloqueada",
"Desechable")),""
)</f>
        <v/>
      </c>
      <c r="J407" t="str" cm="1">
        <f t="array" aca="1" ref="J407" ca="1">IF(ISNUMBER(A407),IFERROR(_xlfn._xlws.FILTER(Equipar!A:A,(Equipar!B:B=1)*(Equipar!AC:AC=A407)),""),"")</f>
        <v/>
      </c>
    </row>
    <row r="408" spans="1:10" x14ac:dyDescent="0.25">
      <c r="A408" s="1" t="str">
        <f ca="1">IF(A407="ID",1,IF(ISBLANK(B408),"",MAX(A$2:A407)+1))</f>
        <v/>
      </c>
      <c r="I408" s="2" t="str">
        <f ca="1">IF(ISNUMBER(A408),
IF(COUNTIFS(Equipar!B:B,1,Equipar!AC:AC,A408),"Equipada",
IF(
OR(COUNTIFS(Equipar!B:B,1,Equipar!C:C,A408)
 +COUNTIFS(Equipar!B:B,1,Equipar!D:D,A408)
+COUNTIFS(Equipar!B:B,1,Equipar!E:E,A408)
+COUNTIFS(Equipar!B:B,1,Equipar!F:F,A408)
&gt;0,COUNTIF('Set recomendado'!B:B,C408)=0),
"Bloqueada",
"Desechable")),""
)</f>
        <v/>
      </c>
      <c r="J408" t="str" cm="1">
        <f t="array" aca="1" ref="J408" ca="1">IF(ISNUMBER(A408),IFERROR(_xlfn._xlws.FILTER(Equipar!A:A,(Equipar!B:B=1)*(Equipar!AC:AC=A408)),""),"")</f>
        <v/>
      </c>
    </row>
    <row r="409" spans="1:10" x14ac:dyDescent="0.25">
      <c r="A409" s="1" t="str">
        <f ca="1">IF(A408="ID",1,IF(ISBLANK(B409),"",MAX(A$2:A408)+1))</f>
        <v/>
      </c>
      <c r="I409" s="2" t="str">
        <f ca="1">IF(ISNUMBER(A409),
IF(COUNTIFS(Equipar!B:B,1,Equipar!AC:AC,A409),"Equipada",
IF(
OR(COUNTIFS(Equipar!B:B,1,Equipar!C:C,A409)
 +COUNTIFS(Equipar!B:B,1,Equipar!D:D,A409)
+COUNTIFS(Equipar!B:B,1,Equipar!E:E,A409)
+COUNTIFS(Equipar!B:B,1,Equipar!F:F,A409)
&gt;0,COUNTIF('Set recomendado'!B:B,C409)=0),
"Bloqueada",
"Desechable")),""
)</f>
        <v/>
      </c>
      <c r="J409" t="str" cm="1">
        <f t="array" aca="1" ref="J409" ca="1">IF(ISNUMBER(A409),IFERROR(_xlfn._xlws.FILTER(Equipar!A:A,(Equipar!B:B=1)*(Equipar!AC:AC=A409)),""),"")</f>
        <v/>
      </c>
    </row>
    <row r="410" spans="1:10" x14ac:dyDescent="0.25">
      <c r="A410" s="1" t="str">
        <f ca="1">IF(A409="ID",1,IF(ISBLANK(B410),"",MAX(A$2:A409)+1))</f>
        <v/>
      </c>
      <c r="I410" s="2" t="str">
        <f ca="1">IF(ISNUMBER(A410),
IF(COUNTIFS(Equipar!B:B,1,Equipar!AC:AC,A410),"Equipada",
IF(
OR(COUNTIFS(Equipar!B:B,1,Equipar!C:C,A410)
 +COUNTIFS(Equipar!B:B,1,Equipar!D:D,A410)
+COUNTIFS(Equipar!B:B,1,Equipar!E:E,A410)
+COUNTIFS(Equipar!B:B,1,Equipar!F:F,A410)
&gt;0,COUNTIF('Set recomendado'!B:B,C410)=0),
"Bloqueada",
"Desechable")),""
)</f>
        <v/>
      </c>
      <c r="J410" t="str" cm="1">
        <f t="array" aca="1" ref="J410" ca="1">IF(ISNUMBER(A410),IFERROR(_xlfn._xlws.FILTER(Equipar!A:A,(Equipar!B:B=1)*(Equipar!AC:AC=A410)),""),"")</f>
        <v/>
      </c>
    </row>
    <row r="411" spans="1:10" x14ac:dyDescent="0.25">
      <c r="A411" s="1" t="str">
        <f ca="1">IF(A410="ID",1,IF(ISBLANK(B411),"",MAX(A$2:A410)+1))</f>
        <v/>
      </c>
      <c r="I411" s="2" t="str">
        <f ca="1">IF(ISNUMBER(A411),
IF(COUNTIFS(Equipar!B:B,1,Equipar!AC:AC,A411),"Equipada",
IF(
OR(COUNTIFS(Equipar!B:B,1,Equipar!C:C,A411)
 +COUNTIFS(Equipar!B:B,1,Equipar!D:D,A411)
+COUNTIFS(Equipar!B:B,1,Equipar!E:E,A411)
+COUNTIFS(Equipar!B:B,1,Equipar!F:F,A411)
&gt;0,COUNTIF('Set recomendado'!B:B,C411)=0),
"Bloqueada",
"Desechable")),""
)</f>
        <v/>
      </c>
      <c r="J411" t="str" cm="1">
        <f t="array" aca="1" ref="J411" ca="1">IF(ISNUMBER(A411),IFERROR(_xlfn._xlws.FILTER(Equipar!A:A,(Equipar!B:B=1)*(Equipar!AC:AC=A411)),""),"")</f>
        <v/>
      </c>
    </row>
    <row r="412" spans="1:10" x14ac:dyDescent="0.25">
      <c r="A412" s="1" t="str">
        <f ca="1">IF(A411="ID",1,IF(ISBLANK(B412),"",MAX(A$2:A411)+1))</f>
        <v/>
      </c>
      <c r="I412" s="2" t="str">
        <f ca="1">IF(ISNUMBER(A412),
IF(COUNTIFS(Equipar!B:B,1,Equipar!AC:AC,A412),"Equipada",
IF(
OR(COUNTIFS(Equipar!B:B,1,Equipar!C:C,A412)
 +COUNTIFS(Equipar!B:B,1,Equipar!D:D,A412)
+COUNTIFS(Equipar!B:B,1,Equipar!E:E,A412)
+COUNTIFS(Equipar!B:B,1,Equipar!F:F,A412)
&gt;0,COUNTIF('Set recomendado'!B:B,C412)=0),
"Bloqueada",
"Desechable")),""
)</f>
        <v/>
      </c>
      <c r="J412" t="str" cm="1">
        <f t="array" aca="1" ref="J412" ca="1">IF(ISNUMBER(A412),IFERROR(_xlfn._xlws.FILTER(Equipar!A:A,(Equipar!B:B=1)*(Equipar!AC:AC=A412)),""),"")</f>
        <v/>
      </c>
    </row>
    <row r="413" spans="1:10" x14ac:dyDescent="0.25">
      <c r="A413" s="1" t="str">
        <f ca="1">IF(A412="ID",1,IF(ISBLANK(B413),"",MAX(A$2:A412)+1))</f>
        <v/>
      </c>
      <c r="I413" s="2" t="str">
        <f ca="1">IF(ISNUMBER(A413),
IF(COUNTIFS(Equipar!B:B,1,Equipar!AC:AC,A413),"Equipada",
IF(
OR(COUNTIFS(Equipar!B:B,1,Equipar!C:C,A413)
 +COUNTIFS(Equipar!B:B,1,Equipar!D:D,A413)
+COUNTIFS(Equipar!B:B,1,Equipar!E:E,A413)
+COUNTIFS(Equipar!B:B,1,Equipar!F:F,A413)
&gt;0,COUNTIF('Set recomendado'!B:B,C413)=0),
"Bloqueada",
"Desechable")),""
)</f>
        <v/>
      </c>
      <c r="J413" t="str" cm="1">
        <f t="array" aca="1" ref="J413" ca="1">IF(ISNUMBER(A413),IFERROR(_xlfn._xlws.FILTER(Equipar!A:A,(Equipar!B:B=1)*(Equipar!AC:AC=A413)),""),"")</f>
        <v/>
      </c>
    </row>
    <row r="414" spans="1:10" x14ac:dyDescent="0.25">
      <c r="A414" s="1" t="str">
        <f ca="1">IF(A413="ID",1,IF(ISBLANK(B414),"",MAX(A$2:A413)+1))</f>
        <v/>
      </c>
      <c r="I414" s="2" t="str">
        <f ca="1">IF(ISNUMBER(A414),
IF(COUNTIFS(Equipar!B:B,1,Equipar!AC:AC,A414),"Equipada",
IF(
OR(COUNTIFS(Equipar!B:B,1,Equipar!C:C,A414)
 +COUNTIFS(Equipar!B:B,1,Equipar!D:D,A414)
+COUNTIFS(Equipar!B:B,1,Equipar!E:E,A414)
+COUNTIFS(Equipar!B:B,1,Equipar!F:F,A414)
&gt;0,COUNTIF('Set recomendado'!B:B,C414)=0),
"Bloqueada",
"Desechable")),""
)</f>
        <v/>
      </c>
      <c r="J414" t="str" cm="1">
        <f t="array" aca="1" ref="J414" ca="1">IF(ISNUMBER(A414),IFERROR(_xlfn._xlws.FILTER(Equipar!A:A,(Equipar!B:B=1)*(Equipar!AC:AC=A414)),""),"")</f>
        <v/>
      </c>
    </row>
    <row r="415" spans="1:10" x14ac:dyDescent="0.25">
      <c r="A415" s="1" t="str">
        <f ca="1">IF(A414="ID",1,IF(ISBLANK(B415),"",MAX(A$2:A414)+1))</f>
        <v/>
      </c>
      <c r="I415" s="2" t="str">
        <f ca="1">IF(ISNUMBER(A415),
IF(COUNTIFS(Equipar!B:B,1,Equipar!AC:AC,A415),"Equipada",
IF(
OR(COUNTIFS(Equipar!B:B,1,Equipar!C:C,A415)
 +COUNTIFS(Equipar!B:B,1,Equipar!D:D,A415)
+COUNTIFS(Equipar!B:B,1,Equipar!E:E,A415)
+COUNTIFS(Equipar!B:B,1,Equipar!F:F,A415)
&gt;0,COUNTIF('Set recomendado'!B:B,C415)=0),
"Bloqueada",
"Desechable")),""
)</f>
        <v/>
      </c>
      <c r="J415" t="str" cm="1">
        <f t="array" aca="1" ref="J415" ca="1">IF(ISNUMBER(A415),IFERROR(_xlfn._xlws.FILTER(Equipar!A:A,(Equipar!B:B=1)*(Equipar!AC:AC=A415)),""),"")</f>
        <v/>
      </c>
    </row>
    <row r="416" spans="1:10" x14ac:dyDescent="0.25">
      <c r="A416" s="1" t="str">
        <f ca="1">IF(A415="ID",1,IF(ISBLANK(B416),"",MAX(A$2:A415)+1))</f>
        <v/>
      </c>
      <c r="I416" s="2" t="str">
        <f ca="1">IF(ISNUMBER(A416),
IF(COUNTIFS(Equipar!B:B,1,Equipar!AC:AC,A416),"Equipada",
IF(
OR(COUNTIFS(Equipar!B:B,1,Equipar!C:C,A416)
 +COUNTIFS(Equipar!B:B,1,Equipar!D:D,A416)
+COUNTIFS(Equipar!B:B,1,Equipar!E:E,A416)
+COUNTIFS(Equipar!B:B,1,Equipar!F:F,A416)
&gt;0,COUNTIF('Set recomendado'!B:B,C416)=0),
"Bloqueada",
"Desechable")),""
)</f>
        <v/>
      </c>
      <c r="J416" t="str" cm="1">
        <f t="array" aca="1" ref="J416" ca="1">IF(ISNUMBER(A416),IFERROR(_xlfn._xlws.FILTER(Equipar!A:A,(Equipar!B:B=1)*(Equipar!AC:AC=A416)),""),"")</f>
        <v/>
      </c>
    </row>
    <row r="417" spans="1:10" x14ac:dyDescent="0.25">
      <c r="A417" s="1" t="str">
        <f ca="1">IF(A416="ID",1,IF(ISBLANK(B417),"",MAX(A$2:A416)+1))</f>
        <v/>
      </c>
      <c r="I417" s="2" t="str">
        <f ca="1">IF(ISNUMBER(A417),
IF(COUNTIFS(Equipar!B:B,1,Equipar!AC:AC,A417),"Equipada",
IF(
OR(COUNTIFS(Equipar!B:B,1,Equipar!C:C,A417)
 +COUNTIFS(Equipar!B:B,1,Equipar!D:D,A417)
+COUNTIFS(Equipar!B:B,1,Equipar!E:E,A417)
+COUNTIFS(Equipar!B:B,1,Equipar!F:F,A417)
&gt;0,COUNTIF('Set recomendado'!B:B,C417)=0),
"Bloqueada",
"Desechable")),""
)</f>
        <v/>
      </c>
      <c r="J417" t="str" cm="1">
        <f t="array" aca="1" ref="J417" ca="1">IF(ISNUMBER(A417),IFERROR(_xlfn._xlws.FILTER(Equipar!A:A,(Equipar!B:B=1)*(Equipar!AC:AC=A417)),""),"")</f>
        <v/>
      </c>
    </row>
    <row r="418" spans="1:10" x14ac:dyDescent="0.25">
      <c r="A418" s="1" t="str">
        <f ca="1">IF(A417="ID",1,IF(ISBLANK(B418),"",MAX(A$2:A417)+1))</f>
        <v/>
      </c>
      <c r="I418" s="2" t="str">
        <f ca="1">IF(ISNUMBER(A418),
IF(COUNTIFS(Equipar!B:B,1,Equipar!AC:AC,A418),"Equipada",
IF(
OR(COUNTIFS(Equipar!B:B,1,Equipar!C:C,A418)
 +COUNTIFS(Equipar!B:B,1,Equipar!D:D,A418)
+COUNTIFS(Equipar!B:B,1,Equipar!E:E,A418)
+COUNTIFS(Equipar!B:B,1,Equipar!F:F,A418)
&gt;0,COUNTIF('Set recomendado'!B:B,C418)=0),
"Bloqueada",
"Desechable")),""
)</f>
        <v/>
      </c>
      <c r="J418" t="str" cm="1">
        <f t="array" aca="1" ref="J418" ca="1">IF(ISNUMBER(A418),IFERROR(_xlfn._xlws.FILTER(Equipar!A:A,(Equipar!B:B=1)*(Equipar!AC:AC=A418)),""),"")</f>
        <v/>
      </c>
    </row>
    <row r="419" spans="1:10" x14ac:dyDescent="0.25">
      <c r="A419" s="1" t="str">
        <f ca="1">IF(A418="ID",1,IF(ISBLANK(B419),"",MAX(A$2:A418)+1))</f>
        <v/>
      </c>
      <c r="I419" s="2" t="str">
        <f ca="1">IF(ISNUMBER(A419),
IF(COUNTIFS(Equipar!B:B,1,Equipar!AC:AC,A419),"Equipada",
IF(
OR(COUNTIFS(Equipar!B:B,1,Equipar!C:C,A419)
 +COUNTIFS(Equipar!B:B,1,Equipar!D:D,A419)
+COUNTIFS(Equipar!B:B,1,Equipar!E:E,A419)
+COUNTIFS(Equipar!B:B,1,Equipar!F:F,A419)
&gt;0,COUNTIF('Set recomendado'!B:B,C419)=0),
"Bloqueada",
"Desechable")),""
)</f>
        <v/>
      </c>
      <c r="J419" t="str" cm="1">
        <f t="array" aca="1" ref="J419" ca="1">IF(ISNUMBER(A419),IFERROR(_xlfn._xlws.FILTER(Equipar!A:A,(Equipar!B:B=1)*(Equipar!AC:AC=A419)),""),"")</f>
        <v/>
      </c>
    </row>
    <row r="420" spans="1:10" x14ac:dyDescent="0.25">
      <c r="A420" s="1" t="str">
        <f ca="1">IF(A419="ID",1,IF(ISBLANK(B420),"",MAX(A$2:A419)+1))</f>
        <v/>
      </c>
      <c r="I420" s="2" t="str">
        <f ca="1">IF(ISNUMBER(A420),
IF(COUNTIFS(Equipar!B:B,1,Equipar!AC:AC,A420),"Equipada",
IF(
OR(COUNTIFS(Equipar!B:B,1,Equipar!C:C,A420)
 +COUNTIFS(Equipar!B:B,1,Equipar!D:D,A420)
+COUNTIFS(Equipar!B:B,1,Equipar!E:E,A420)
+COUNTIFS(Equipar!B:B,1,Equipar!F:F,A420)
&gt;0,COUNTIF('Set recomendado'!B:B,C420)=0),
"Bloqueada",
"Desechable")),""
)</f>
        <v/>
      </c>
      <c r="J420" t="str" cm="1">
        <f t="array" aca="1" ref="J420" ca="1">IF(ISNUMBER(A420),IFERROR(_xlfn._xlws.FILTER(Equipar!A:A,(Equipar!B:B=1)*(Equipar!AC:AC=A420)),""),"")</f>
        <v/>
      </c>
    </row>
    <row r="421" spans="1:10" x14ac:dyDescent="0.25">
      <c r="A421" s="1" t="str">
        <f ca="1">IF(A420="ID",1,IF(ISBLANK(B421),"",MAX(A$2:A420)+1))</f>
        <v/>
      </c>
      <c r="I421" s="2" t="str">
        <f ca="1">IF(ISNUMBER(A421),
IF(COUNTIFS(Equipar!B:B,1,Equipar!AC:AC,A421),"Equipada",
IF(
OR(COUNTIFS(Equipar!B:B,1,Equipar!C:C,A421)
 +COUNTIFS(Equipar!B:B,1,Equipar!D:D,A421)
+COUNTIFS(Equipar!B:B,1,Equipar!E:E,A421)
+COUNTIFS(Equipar!B:B,1,Equipar!F:F,A421)
&gt;0,COUNTIF('Set recomendado'!B:B,C421)=0),
"Bloqueada",
"Desechable")),""
)</f>
        <v/>
      </c>
      <c r="J421" t="str" cm="1">
        <f t="array" aca="1" ref="J421" ca="1">IF(ISNUMBER(A421),IFERROR(_xlfn._xlws.FILTER(Equipar!A:A,(Equipar!B:B=1)*(Equipar!AC:AC=A421)),""),"")</f>
        <v/>
      </c>
    </row>
    <row r="422" spans="1:10" x14ac:dyDescent="0.25">
      <c r="A422" s="1" t="str">
        <f ca="1">IF(A421="ID",1,IF(ISBLANK(B422),"",MAX(A$2:A421)+1))</f>
        <v/>
      </c>
      <c r="I422" s="2" t="str">
        <f ca="1">IF(ISNUMBER(A422),
IF(COUNTIFS(Equipar!B:B,1,Equipar!AC:AC,A422),"Equipada",
IF(
OR(COUNTIFS(Equipar!B:B,1,Equipar!C:C,A422)
 +COUNTIFS(Equipar!B:B,1,Equipar!D:D,A422)
+COUNTIFS(Equipar!B:B,1,Equipar!E:E,A422)
+COUNTIFS(Equipar!B:B,1,Equipar!F:F,A422)
&gt;0,COUNTIF('Set recomendado'!B:B,C422)=0),
"Bloqueada",
"Desechable")),""
)</f>
        <v/>
      </c>
      <c r="J422" t="str" cm="1">
        <f t="array" aca="1" ref="J422" ca="1">IF(ISNUMBER(A422),IFERROR(_xlfn._xlws.FILTER(Equipar!A:A,(Equipar!B:B=1)*(Equipar!AC:AC=A422)),""),"")</f>
        <v/>
      </c>
    </row>
    <row r="423" spans="1:10" x14ac:dyDescent="0.25">
      <c r="A423" s="1" t="str">
        <f ca="1">IF(A422="ID",1,IF(ISBLANK(B423),"",MAX(A$2:A422)+1))</f>
        <v/>
      </c>
      <c r="I423" s="2" t="str">
        <f ca="1">IF(ISNUMBER(A423),
IF(COUNTIFS(Equipar!B:B,1,Equipar!AC:AC,A423),"Equipada",
IF(
OR(COUNTIFS(Equipar!B:B,1,Equipar!C:C,A423)
 +COUNTIFS(Equipar!B:B,1,Equipar!D:D,A423)
+COUNTIFS(Equipar!B:B,1,Equipar!E:E,A423)
+COUNTIFS(Equipar!B:B,1,Equipar!F:F,A423)
&gt;0,COUNTIF('Set recomendado'!B:B,C423)=0),
"Bloqueada",
"Desechable")),""
)</f>
        <v/>
      </c>
      <c r="J423" t="str" cm="1">
        <f t="array" aca="1" ref="J423" ca="1">IF(ISNUMBER(A423),IFERROR(_xlfn._xlws.FILTER(Equipar!A:A,(Equipar!B:B=1)*(Equipar!AC:AC=A423)),""),"")</f>
        <v/>
      </c>
    </row>
    <row r="424" spans="1:10" x14ac:dyDescent="0.25">
      <c r="A424" s="1" t="str">
        <f ca="1">IF(A423="ID",1,IF(ISBLANK(B424),"",MAX(A$2:A423)+1))</f>
        <v/>
      </c>
      <c r="I424" s="2" t="str">
        <f ca="1">IF(ISNUMBER(A424),
IF(COUNTIFS(Equipar!B:B,1,Equipar!AC:AC,A424),"Equipada",
IF(
OR(COUNTIFS(Equipar!B:B,1,Equipar!C:C,A424)
 +COUNTIFS(Equipar!B:B,1,Equipar!D:D,A424)
+COUNTIFS(Equipar!B:B,1,Equipar!E:E,A424)
+COUNTIFS(Equipar!B:B,1,Equipar!F:F,A424)
&gt;0,COUNTIF('Set recomendado'!B:B,C424)=0),
"Bloqueada",
"Desechable")),""
)</f>
        <v/>
      </c>
      <c r="J424" t="str" cm="1">
        <f t="array" aca="1" ref="J424" ca="1">IF(ISNUMBER(A424),IFERROR(_xlfn._xlws.FILTER(Equipar!A:A,(Equipar!B:B=1)*(Equipar!AC:AC=A424)),""),"")</f>
        <v/>
      </c>
    </row>
    <row r="425" spans="1:10" x14ac:dyDescent="0.25">
      <c r="A425" s="1" t="str">
        <f ca="1">IF(A424="ID",1,IF(ISBLANK(B425),"",MAX(A$2:A424)+1))</f>
        <v/>
      </c>
      <c r="I425" s="2" t="str">
        <f ca="1">IF(ISNUMBER(A425),
IF(COUNTIFS(Equipar!B:B,1,Equipar!AC:AC,A425),"Equipada",
IF(
OR(COUNTIFS(Equipar!B:B,1,Equipar!C:C,A425)
 +COUNTIFS(Equipar!B:B,1,Equipar!D:D,A425)
+COUNTIFS(Equipar!B:B,1,Equipar!E:E,A425)
+COUNTIFS(Equipar!B:B,1,Equipar!F:F,A425)
&gt;0,COUNTIF('Set recomendado'!B:B,C425)=0),
"Bloqueada",
"Desechable")),""
)</f>
        <v/>
      </c>
      <c r="J425" t="str" cm="1">
        <f t="array" aca="1" ref="J425" ca="1">IF(ISNUMBER(A425),IFERROR(_xlfn._xlws.FILTER(Equipar!A:A,(Equipar!B:B=1)*(Equipar!AC:AC=A425)),""),"")</f>
        <v/>
      </c>
    </row>
    <row r="426" spans="1:10" x14ac:dyDescent="0.25">
      <c r="A426" s="1" t="str">
        <f ca="1">IF(A425="ID",1,IF(ISBLANK(B426),"",MAX(A$2:A425)+1))</f>
        <v/>
      </c>
      <c r="I426" s="2" t="str">
        <f ca="1">IF(ISNUMBER(A426),
IF(COUNTIFS(Equipar!B:B,1,Equipar!AC:AC,A426),"Equipada",
IF(
OR(COUNTIFS(Equipar!B:B,1,Equipar!C:C,A426)
 +COUNTIFS(Equipar!B:B,1,Equipar!D:D,A426)
+COUNTIFS(Equipar!B:B,1,Equipar!E:E,A426)
+COUNTIFS(Equipar!B:B,1,Equipar!F:F,A426)
&gt;0,COUNTIF('Set recomendado'!B:B,C426)=0),
"Bloqueada",
"Desechable")),""
)</f>
        <v/>
      </c>
      <c r="J426" t="str" cm="1">
        <f t="array" aca="1" ref="J426" ca="1">IF(ISNUMBER(A426),IFERROR(_xlfn._xlws.FILTER(Equipar!A:A,(Equipar!B:B=1)*(Equipar!AC:AC=A426)),""),"")</f>
        <v/>
      </c>
    </row>
    <row r="427" spans="1:10" x14ac:dyDescent="0.25">
      <c r="A427" s="1" t="str">
        <f ca="1">IF(A426="ID",1,IF(ISBLANK(B427),"",MAX(A$2:A426)+1))</f>
        <v/>
      </c>
      <c r="I427" s="2" t="str">
        <f ca="1">IF(ISNUMBER(A427),
IF(COUNTIFS(Equipar!B:B,1,Equipar!AC:AC,A427),"Equipada",
IF(
OR(COUNTIFS(Equipar!B:B,1,Equipar!C:C,A427)
 +COUNTIFS(Equipar!B:B,1,Equipar!D:D,A427)
+COUNTIFS(Equipar!B:B,1,Equipar!E:E,A427)
+COUNTIFS(Equipar!B:B,1,Equipar!F:F,A427)
&gt;0,COUNTIF('Set recomendado'!B:B,C427)=0),
"Bloqueada",
"Desechable")),""
)</f>
        <v/>
      </c>
      <c r="J427" t="str" cm="1">
        <f t="array" aca="1" ref="J427" ca="1">IF(ISNUMBER(A427),IFERROR(_xlfn._xlws.FILTER(Equipar!A:A,(Equipar!B:B=1)*(Equipar!AC:AC=A427)),""),"")</f>
        <v/>
      </c>
    </row>
    <row r="428" spans="1:10" x14ac:dyDescent="0.25">
      <c r="A428" s="1" t="str">
        <f ca="1">IF(A427="ID",1,IF(ISBLANK(B428),"",MAX(A$2:A427)+1))</f>
        <v/>
      </c>
      <c r="I428" s="2" t="str">
        <f ca="1">IF(ISNUMBER(A428),
IF(COUNTIFS(Equipar!B:B,1,Equipar!AC:AC,A428),"Equipada",
IF(
OR(COUNTIFS(Equipar!B:B,1,Equipar!C:C,A428)
 +COUNTIFS(Equipar!B:B,1,Equipar!D:D,A428)
+COUNTIFS(Equipar!B:B,1,Equipar!E:E,A428)
+COUNTIFS(Equipar!B:B,1,Equipar!F:F,A428)
&gt;0,COUNTIF('Set recomendado'!B:B,C428)=0),
"Bloqueada",
"Desechable")),""
)</f>
        <v/>
      </c>
      <c r="J428" t="str" cm="1">
        <f t="array" aca="1" ref="J428" ca="1">IF(ISNUMBER(A428),IFERROR(_xlfn._xlws.FILTER(Equipar!A:A,(Equipar!B:B=1)*(Equipar!AC:AC=A428)),""),"")</f>
        <v/>
      </c>
    </row>
    <row r="429" spans="1:10" x14ac:dyDescent="0.25">
      <c r="A429" s="1" t="str">
        <f ca="1">IF(A428="ID",1,IF(ISBLANK(B429),"",MAX(A$2:A428)+1))</f>
        <v/>
      </c>
      <c r="I429" s="2" t="str">
        <f ca="1">IF(ISNUMBER(A429),
IF(COUNTIFS(Equipar!B:B,1,Equipar!AC:AC,A429),"Equipada",
IF(
OR(COUNTIFS(Equipar!B:B,1,Equipar!C:C,A429)
 +COUNTIFS(Equipar!B:B,1,Equipar!D:D,A429)
+COUNTIFS(Equipar!B:B,1,Equipar!E:E,A429)
+COUNTIFS(Equipar!B:B,1,Equipar!F:F,A429)
&gt;0,COUNTIF('Set recomendado'!B:B,C429)=0),
"Bloqueada",
"Desechable")),""
)</f>
        <v/>
      </c>
      <c r="J429" t="str" cm="1">
        <f t="array" aca="1" ref="J429" ca="1">IF(ISNUMBER(A429),IFERROR(_xlfn._xlws.FILTER(Equipar!A:A,(Equipar!B:B=1)*(Equipar!AC:AC=A429)),""),"")</f>
        <v/>
      </c>
    </row>
    <row r="430" spans="1:10" x14ac:dyDescent="0.25">
      <c r="A430" s="1" t="str">
        <f ca="1">IF(A429="ID",1,IF(ISBLANK(B430),"",MAX(A$2:A429)+1))</f>
        <v/>
      </c>
      <c r="I430" s="2" t="str">
        <f ca="1">IF(ISNUMBER(A430),
IF(COUNTIFS(Equipar!B:B,1,Equipar!AC:AC,A430),"Equipada",
IF(
OR(COUNTIFS(Equipar!B:B,1,Equipar!C:C,A430)
 +COUNTIFS(Equipar!B:B,1,Equipar!D:D,A430)
+COUNTIFS(Equipar!B:B,1,Equipar!E:E,A430)
+COUNTIFS(Equipar!B:B,1,Equipar!F:F,A430)
&gt;0,COUNTIF('Set recomendado'!B:B,C430)=0),
"Bloqueada",
"Desechable")),""
)</f>
        <v/>
      </c>
      <c r="J430" t="str" cm="1">
        <f t="array" aca="1" ref="J430" ca="1">IF(ISNUMBER(A430),IFERROR(_xlfn._xlws.FILTER(Equipar!A:A,(Equipar!B:B=1)*(Equipar!AC:AC=A430)),""),"")</f>
        <v/>
      </c>
    </row>
    <row r="431" spans="1:10" x14ac:dyDescent="0.25">
      <c r="A431" s="1" t="str">
        <f ca="1">IF(A430="ID",1,IF(ISBLANK(B431),"",MAX(A$2:A430)+1))</f>
        <v/>
      </c>
      <c r="I431" s="2" t="str">
        <f ca="1">IF(ISNUMBER(A431),
IF(COUNTIFS(Equipar!B:B,1,Equipar!AC:AC,A431),"Equipada",
IF(
OR(COUNTIFS(Equipar!B:B,1,Equipar!C:C,A431)
 +COUNTIFS(Equipar!B:B,1,Equipar!D:D,A431)
+COUNTIFS(Equipar!B:B,1,Equipar!E:E,A431)
+COUNTIFS(Equipar!B:B,1,Equipar!F:F,A431)
&gt;0,COUNTIF('Set recomendado'!B:B,C431)=0),
"Bloqueada",
"Desechable")),""
)</f>
        <v/>
      </c>
      <c r="J431" t="str" cm="1">
        <f t="array" aca="1" ref="J431" ca="1">IF(ISNUMBER(A431),IFERROR(_xlfn._xlws.FILTER(Equipar!A:A,(Equipar!B:B=1)*(Equipar!AC:AC=A431)),""),"")</f>
        <v/>
      </c>
    </row>
    <row r="432" spans="1:10" x14ac:dyDescent="0.25">
      <c r="A432" s="1" t="str">
        <f ca="1">IF(A431="ID",1,IF(ISBLANK(B432),"",MAX(A$2:A431)+1))</f>
        <v/>
      </c>
      <c r="I432" s="2" t="str">
        <f ca="1">IF(ISNUMBER(A432),
IF(COUNTIFS(Equipar!B:B,1,Equipar!AC:AC,A432),"Equipada",
IF(
OR(COUNTIFS(Equipar!B:B,1,Equipar!C:C,A432)
 +COUNTIFS(Equipar!B:B,1,Equipar!D:D,A432)
+COUNTIFS(Equipar!B:B,1,Equipar!E:E,A432)
+COUNTIFS(Equipar!B:B,1,Equipar!F:F,A432)
&gt;0,COUNTIF('Set recomendado'!B:B,C432)=0),
"Bloqueada",
"Desechable")),""
)</f>
        <v/>
      </c>
      <c r="J432" t="str" cm="1">
        <f t="array" aca="1" ref="J432" ca="1">IF(ISNUMBER(A432),IFERROR(_xlfn._xlws.FILTER(Equipar!A:A,(Equipar!B:B=1)*(Equipar!AC:AC=A432)),""),"")</f>
        <v/>
      </c>
    </row>
    <row r="433" spans="1:10" x14ac:dyDescent="0.25">
      <c r="A433" s="1" t="str">
        <f ca="1">IF(A432="ID",1,IF(ISBLANK(B433),"",MAX(A$2:A432)+1))</f>
        <v/>
      </c>
      <c r="I433" s="2" t="str">
        <f ca="1">IF(ISNUMBER(A433),
IF(COUNTIFS(Equipar!B:B,1,Equipar!AC:AC,A433),"Equipada",
IF(
OR(COUNTIFS(Equipar!B:B,1,Equipar!C:C,A433)
 +COUNTIFS(Equipar!B:B,1,Equipar!D:D,A433)
+COUNTIFS(Equipar!B:B,1,Equipar!E:E,A433)
+COUNTIFS(Equipar!B:B,1,Equipar!F:F,A433)
&gt;0,COUNTIF('Set recomendado'!B:B,C433)=0),
"Bloqueada",
"Desechable")),""
)</f>
        <v/>
      </c>
      <c r="J433" t="str" cm="1">
        <f t="array" aca="1" ref="J433" ca="1">IF(ISNUMBER(A433),IFERROR(_xlfn._xlws.FILTER(Equipar!A:A,(Equipar!B:B=1)*(Equipar!AC:AC=A433)),""),"")</f>
        <v/>
      </c>
    </row>
    <row r="434" spans="1:10" x14ac:dyDescent="0.25">
      <c r="A434" s="1" t="str">
        <f ca="1">IF(A433="ID",1,IF(ISBLANK(B434),"",MAX(A$2:A433)+1))</f>
        <v/>
      </c>
      <c r="I434" s="2" t="str">
        <f ca="1">IF(ISNUMBER(A434),
IF(COUNTIFS(Equipar!B:B,1,Equipar!AC:AC,A434),"Equipada",
IF(
OR(COUNTIFS(Equipar!B:B,1,Equipar!C:C,A434)
 +COUNTIFS(Equipar!B:B,1,Equipar!D:D,A434)
+COUNTIFS(Equipar!B:B,1,Equipar!E:E,A434)
+COUNTIFS(Equipar!B:B,1,Equipar!F:F,A434)
&gt;0,COUNTIF('Set recomendado'!B:B,C434)=0),
"Bloqueada",
"Desechable")),""
)</f>
        <v/>
      </c>
      <c r="J434" t="str" cm="1">
        <f t="array" aca="1" ref="J434" ca="1">IF(ISNUMBER(A434),IFERROR(_xlfn._xlws.FILTER(Equipar!A:A,(Equipar!B:B=1)*(Equipar!AC:AC=A434)),""),"")</f>
        <v/>
      </c>
    </row>
    <row r="435" spans="1:10" x14ac:dyDescent="0.25">
      <c r="A435" s="1" t="str">
        <f ca="1">IF(A434="ID",1,IF(ISBLANK(B435),"",MAX(A$2:A434)+1))</f>
        <v/>
      </c>
      <c r="I435" s="2" t="str">
        <f ca="1">IF(ISNUMBER(A435),
IF(COUNTIFS(Equipar!B:B,1,Equipar!AC:AC,A435),"Equipada",
IF(
OR(COUNTIFS(Equipar!B:B,1,Equipar!C:C,A435)
 +COUNTIFS(Equipar!B:B,1,Equipar!D:D,A435)
+COUNTIFS(Equipar!B:B,1,Equipar!E:E,A435)
+COUNTIFS(Equipar!B:B,1,Equipar!F:F,A435)
&gt;0,COUNTIF('Set recomendado'!B:B,C435)=0),
"Bloqueada",
"Desechable")),""
)</f>
        <v/>
      </c>
      <c r="J435" t="str" cm="1">
        <f t="array" aca="1" ref="J435" ca="1">IF(ISNUMBER(A435),IFERROR(_xlfn._xlws.FILTER(Equipar!A:A,(Equipar!B:B=1)*(Equipar!AC:AC=A435)),""),"")</f>
        <v/>
      </c>
    </row>
    <row r="436" spans="1:10" x14ac:dyDescent="0.25">
      <c r="A436" s="1" t="str">
        <f ca="1">IF(A435="ID",1,IF(ISBLANK(B436),"",MAX(A$2:A435)+1))</f>
        <v/>
      </c>
      <c r="I436" s="2" t="str">
        <f ca="1">IF(ISNUMBER(A436),
IF(COUNTIFS(Equipar!B:B,1,Equipar!AC:AC,A436),"Equipada",
IF(
OR(COUNTIFS(Equipar!B:B,1,Equipar!C:C,A436)
 +COUNTIFS(Equipar!B:B,1,Equipar!D:D,A436)
+COUNTIFS(Equipar!B:B,1,Equipar!E:E,A436)
+COUNTIFS(Equipar!B:B,1,Equipar!F:F,A436)
&gt;0,COUNTIF('Set recomendado'!B:B,C436)=0),
"Bloqueada",
"Desechable")),""
)</f>
        <v/>
      </c>
      <c r="J436" t="str" cm="1">
        <f t="array" aca="1" ref="J436" ca="1">IF(ISNUMBER(A436),IFERROR(_xlfn._xlws.FILTER(Equipar!A:A,(Equipar!B:B=1)*(Equipar!AC:AC=A436)),""),"")</f>
        <v/>
      </c>
    </row>
    <row r="437" spans="1:10" x14ac:dyDescent="0.25">
      <c r="A437" s="1" t="str">
        <f ca="1">IF(A436="ID",1,IF(ISBLANK(B437),"",MAX(A$2:A436)+1))</f>
        <v/>
      </c>
      <c r="I437" s="2" t="str">
        <f ca="1">IF(ISNUMBER(A437),
IF(COUNTIFS(Equipar!B:B,1,Equipar!AC:AC,A437),"Equipada",
IF(
OR(COUNTIFS(Equipar!B:B,1,Equipar!C:C,A437)
 +COUNTIFS(Equipar!B:B,1,Equipar!D:D,A437)
+COUNTIFS(Equipar!B:B,1,Equipar!E:E,A437)
+COUNTIFS(Equipar!B:B,1,Equipar!F:F,A437)
&gt;0,COUNTIF('Set recomendado'!B:B,C437)=0),
"Bloqueada",
"Desechable")),""
)</f>
        <v/>
      </c>
      <c r="J437" t="str" cm="1">
        <f t="array" aca="1" ref="J437" ca="1">IF(ISNUMBER(A437),IFERROR(_xlfn._xlws.FILTER(Equipar!A:A,(Equipar!B:B=1)*(Equipar!AC:AC=A437)),""),"")</f>
        <v/>
      </c>
    </row>
    <row r="438" spans="1:10" x14ac:dyDescent="0.25">
      <c r="A438" s="1" t="str">
        <f ca="1">IF(A437="ID",1,IF(ISBLANK(B438),"",MAX(A$2:A437)+1))</f>
        <v/>
      </c>
      <c r="I438" s="2" t="str">
        <f ca="1">IF(ISNUMBER(A438),
IF(COUNTIFS(Equipar!B:B,1,Equipar!AC:AC,A438),"Equipada",
IF(
OR(COUNTIFS(Equipar!B:B,1,Equipar!C:C,A438)
 +COUNTIFS(Equipar!B:B,1,Equipar!D:D,A438)
+COUNTIFS(Equipar!B:B,1,Equipar!E:E,A438)
+COUNTIFS(Equipar!B:B,1,Equipar!F:F,A438)
&gt;0,COUNTIF('Set recomendado'!B:B,C438)=0),
"Bloqueada",
"Desechable")),""
)</f>
        <v/>
      </c>
      <c r="J438" t="str" cm="1">
        <f t="array" aca="1" ref="J438" ca="1">IF(ISNUMBER(A438),IFERROR(_xlfn._xlws.FILTER(Equipar!A:A,(Equipar!B:B=1)*(Equipar!AC:AC=A438)),""),"")</f>
        <v/>
      </c>
    </row>
    <row r="439" spans="1:10" x14ac:dyDescent="0.25">
      <c r="A439" s="1" t="str">
        <f ca="1">IF(A438="ID",1,IF(ISBLANK(B439),"",MAX(A$2:A438)+1))</f>
        <v/>
      </c>
      <c r="I439" s="2" t="str">
        <f ca="1">IF(ISNUMBER(A439),
IF(COUNTIFS(Equipar!B:B,1,Equipar!AC:AC,A439),"Equipada",
IF(
OR(COUNTIFS(Equipar!B:B,1,Equipar!C:C,A439)
 +COUNTIFS(Equipar!B:B,1,Equipar!D:D,A439)
+COUNTIFS(Equipar!B:B,1,Equipar!E:E,A439)
+COUNTIFS(Equipar!B:B,1,Equipar!F:F,A439)
&gt;0,COUNTIF('Set recomendado'!B:B,C439)=0),
"Bloqueada",
"Desechable")),""
)</f>
        <v/>
      </c>
      <c r="J439" t="str" cm="1">
        <f t="array" aca="1" ref="J439" ca="1">IF(ISNUMBER(A439),IFERROR(_xlfn._xlws.FILTER(Equipar!A:A,(Equipar!B:B=1)*(Equipar!AC:AC=A439)),""),"")</f>
        <v/>
      </c>
    </row>
    <row r="440" spans="1:10" x14ac:dyDescent="0.25">
      <c r="A440" s="1" t="str">
        <f ca="1">IF(A439="ID",1,IF(ISBLANK(B440),"",MAX(A$2:A439)+1))</f>
        <v/>
      </c>
      <c r="I440" s="2" t="str">
        <f ca="1">IF(ISNUMBER(A440),
IF(COUNTIFS(Equipar!B:B,1,Equipar!AC:AC,A440),"Equipada",
IF(
OR(COUNTIFS(Equipar!B:B,1,Equipar!C:C,A440)
 +COUNTIFS(Equipar!B:B,1,Equipar!D:D,A440)
+COUNTIFS(Equipar!B:B,1,Equipar!E:E,A440)
+COUNTIFS(Equipar!B:B,1,Equipar!F:F,A440)
&gt;0,COUNTIF('Set recomendado'!B:B,C440)=0),
"Bloqueada",
"Desechable")),""
)</f>
        <v/>
      </c>
      <c r="J440" t="str" cm="1">
        <f t="array" aca="1" ref="J440" ca="1">IF(ISNUMBER(A440),IFERROR(_xlfn._xlws.FILTER(Equipar!A:A,(Equipar!B:B=1)*(Equipar!AC:AC=A440)),""),"")</f>
        <v/>
      </c>
    </row>
    <row r="441" spans="1:10" x14ac:dyDescent="0.25">
      <c r="A441" s="1" t="str">
        <f ca="1">IF(A440="ID",1,IF(ISBLANK(B441),"",MAX(A$2:A440)+1))</f>
        <v/>
      </c>
      <c r="I441" s="2" t="str">
        <f ca="1">IF(ISNUMBER(A441),
IF(COUNTIFS(Equipar!B:B,1,Equipar!AC:AC,A441),"Equipada",
IF(
OR(COUNTIFS(Equipar!B:B,1,Equipar!C:C,A441)
 +COUNTIFS(Equipar!B:B,1,Equipar!D:D,A441)
+COUNTIFS(Equipar!B:B,1,Equipar!E:E,A441)
+COUNTIFS(Equipar!B:B,1,Equipar!F:F,A441)
&gt;0,COUNTIF('Set recomendado'!B:B,C441)=0),
"Bloqueada",
"Desechable")),""
)</f>
        <v/>
      </c>
      <c r="J441" t="str" cm="1">
        <f t="array" aca="1" ref="J441" ca="1">IF(ISNUMBER(A441),IFERROR(_xlfn._xlws.FILTER(Equipar!A:A,(Equipar!B:B=1)*(Equipar!AC:AC=A441)),""),"")</f>
        <v/>
      </c>
    </row>
    <row r="442" spans="1:10" x14ac:dyDescent="0.25">
      <c r="A442" s="1" t="str">
        <f ca="1">IF(A441="ID",1,IF(ISBLANK(B442),"",MAX(A$2:A441)+1))</f>
        <v/>
      </c>
      <c r="I442" s="2" t="str">
        <f ca="1">IF(ISNUMBER(A442),
IF(COUNTIFS(Equipar!B:B,1,Equipar!AC:AC,A442),"Equipada",
IF(
OR(COUNTIFS(Equipar!B:B,1,Equipar!C:C,A442)
 +COUNTIFS(Equipar!B:B,1,Equipar!D:D,A442)
+COUNTIFS(Equipar!B:B,1,Equipar!E:E,A442)
+COUNTIFS(Equipar!B:B,1,Equipar!F:F,A442)
&gt;0,COUNTIF('Set recomendado'!B:B,C442)=0),
"Bloqueada",
"Desechable")),""
)</f>
        <v/>
      </c>
      <c r="J442" t="str" cm="1">
        <f t="array" aca="1" ref="J442" ca="1">IF(ISNUMBER(A442),IFERROR(_xlfn._xlws.FILTER(Equipar!A:A,(Equipar!B:B=1)*(Equipar!AC:AC=A442)),""),"")</f>
        <v/>
      </c>
    </row>
    <row r="443" spans="1:10" x14ac:dyDescent="0.25">
      <c r="A443" s="1" t="str">
        <f ca="1">IF(A442="ID",1,IF(ISBLANK(B443),"",MAX(A$2:A442)+1))</f>
        <v/>
      </c>
      <c r="I443" s="2" t="str">
        <f ca="1">IF(ISNUMBER(A443),
IF(COUNTIFS(Equipar!B:B,1,Equipar!AC:AC,A443),"Equipada",
IF(
OR(COUNTIFS(Equipar!B:B,1,Equipar!C:C,A443)
 +COUNTIFS(Equipar!B:B,1,Equipar!D:D,A443)
+COUNTIFS(Equipar!B:B,1,Equipar!E:E,A443)
+COUNTIFS(Equipar!B:B,1,Equipar!F:F,A443)
&gt;0,COUNTIF('Set recomendado'!B:B,C443)=0),
"Bloqueada",
"Desechable")),""
)</f>
        <v/>
      </c>
      <c r="J443" t="str" cm="1">
        <f t="array" aca="1" ref="J443" ca="1">IF(ISNUMBER(A443),IFERROR(_xlfn._xlws.FILTER(Equipar!A:A,(Equipar!B:B=1)*(Equipar!AC:AC=A443)),""),"")</f>
        <v/>
      </c>
    </row>
    <row r="444" spans="1:10" x14ac:dyDescent="0.25">
      <c r="A444" s="1" t="str">
        <f ca="1">IF(A443="ID",1,IF(ISBLANK(B444),"",MAX(A$2:A443)+1))</f>
        <v/>
      </c>
      <c r="I444" s="2" t="str">
        <f ca="1">IF(ISNUMBER(A444),
IF(COUNTIFS(Equipar!B:B,1,Equipar!AC:AC,A444),"Equipada",
IF(
OR(COUNTIFS(Equipar!B:B,1,Equipar!C:C,A444)
 +COUNTIFS(Equipar!B:B,1,Equipar!D:D,A444)
+COUNTIFS(Equipar!B:B,1,Equipar!E:E,A444)
+COUNTIFS(Equipar!B:B,1,Equipar!F:F,A444)
&gt;0,COUNTIF('Set recomendado'!B:B,C444)=0),
"Bloqueada",
"Desechable")),""
)</f>
        <v/>
      </c>
      <c r="J444" t="str" cm="1">
        <f t="array" aca="1" ref="J444" ca="1">IF(ISNUMBER(A444),IFERROR(_xlfn._xlws.FILTER(Equipar!A:A,(Equipar!B:B=1)*(Equipar!AC:AC=A444)),""),"")</f>
        <v/>
      </c>
    </row>
    <row r="445" spans="1:10" x14ac:dyDescent="0.25">
      <c r="A445" s="1" t="str">
        <f ca="1">IF(A444="ID",1,IF(ISBLANK(B445),"",MAX(A$2:A444)+1))</f>
        <v/>
      </c>
      <c r="I445" s="2" t="str">
        <f ca="1">IF(ISNUMBER(A445),
IF(COUNTIFS(Equipar!B:B,1,Equipar!AC:AC,A445),"Equipada",
IF(
OR(COUNTIFS(Equipar!B:B,1,Equipar!C:C,A445)
 +COUNTIFS(Equipar!B:B,1,Equipar!D:D,A445)
+COUNTIFS(Equipar!B:B,1,Equipar!E:E,A445)
+COUNTIFS(Equipar!B:B,1,Equipar!F:F,A445)
&gt;0,COUNTIF('Set recomendado'!B:B,C445)=0),
"Bloqueada",
"Desechable")),""
)</f>
        <v/>
      </c>
      <c r="J445" t="str" cm="1">
        <f t="array" aca="1" ref="J445" ca="1">IF(ISNUMBER(A445),IFERROR(_xlfn._xlws.FILTER(Equipar!A:A,(Equipar!B:B=1)*(Equipar!AC:AC=A445)),""),"")</f>
        <v/>
      </c>
    </row>
    <row r="446" spans="1:10" x14ac:dyDescent="0.25">
      <c r="A446" s="1" t="str">
        <f ca="1">IF(A445="ID",1,IF(ISBLANK(B446),"",MAX(A$2:A445)+1))</f>
        <v/>
      </c>
      <c r="I446" s="2" t="str">
        <f ca="1">IF(ISNUMBER(A446),
IF(COUNTIFS(Equipar!B:B,1,Equipar!AC:AC,A446),"Equipada",
IF(
OR(COUNTIFS(Equipar!B:B,1,Equipar!C:C,A446)
 +COUNTIFS(Equipar!B:B,1,Equipar!D:D,A446)
+COUNTIFS(Equipar!B:B,1,Equipar!E:E,A446)
+COUNTIFS(Equipar!B:B,1,Equipar!F:F,A446)
&gt;0,COUNTIF('Set recomendado'!B:B,C446)=0),
"Bloqueada",
"Desechable")),""
)</f>
        <v/>
      </c>
      <c r="J446" t="str" cm="1">
        <f t="array" aca="1" ref="J446" ca="1">IF(ISNUMBER(A446),IFERROR(_xlfn._xlws.FILTER(Equipar!A:A,(Equipar!B:B=1)*(Equipar!AC:AC=A446)),""),"")</f>
        <v/>
      </c>
    </row>
    <row r="447" spans="1:10" x14ac:dyDescent="0.25">
      <c r="A447" s="1" t="str">
        <f ca="1">IF(A446="ID",1,IF(ISBLANK(B447),"",MAX(A$2:A446)+1))</f>
        <v/>
      </c>
      <c r="I447" s="2" t="str">
        <f ca="1">IF(ISNUMBER(A447),
IF(COUNTIFS(Equipar!B:B,1,Equipar!AC:AC,A447),"Equipada",
IF(
OR(COUNTIFS(Equipar!B:B,1,Equipar!C:C,A447)
 +COUNTIFS(Equipar!B:B,1,Equipar!D:D,A447)
+COUNTIFS(Equipar!B:B,1,Equipar!E:E,A447)
+COUNTIFS(Equipar!B:B,1,Equipar!F:F,A447)
&gt;0,COUNTIF('Set recomendado'!B:B,C447)=0),
"Bloqueada",
"Desechable")),""
)</f>
        <v/>
      </c>
      <c r="J447" t="str" cm="1">
        <f t="array" aca="1" ref="J447" ca="1">IF(ISNUMBER(A447),IFERROR(_xlfn._xlws.FILTER(Equipar!A:A,(Equipar!B:B=1)*(Equipar!AC:AC=A447)),""),"")</f>
        <v/>
      </c>
    </row>
    <row r="448" spans="1:10" x14ac:dyDescent="0.25">
      <c r="A448" s="1" t="str">
        <f ca="1">IF(A447="ID",1,IF(ISBLANK(B448),"",MAX(A$2:A447)+1))</f>
        <v/>
      </c>
      <c r="I448" s="2" t="str">
        <f ca="1">IF(ISNUMBER(A448),
IF(COUNTIFS(Equipar!B:B,1,Equipar!AC:AC,A448),"Equipada",
IF(
OR(COUNTIFS(Equipar!B:B,1,Equipar!C:C,A448)
 +COUNTIFS(Equipar!B:B,1,Equipar!D:D,A448)
+COUNTIFS(Equipar!B:B,1,Equipar!E:E,A448)
+COUNTIFS(Equipar!B:B,1,Equipar!F:F,A448)
&gt;0,COUNTIF('Set recomendado'!B:B,C448)=0),
"Bloqueada",
"Desechable")),""
)</f>
        <v/>
      </c>
      <c r="J448" t="str" cm="1">
        <f t="array" aca="1" ref="J448" ca="1">IF(ISNUMBER(A448),IFERROR(_xlfn._xlws.FILTER(Equipar!A:A,(Equipar!B:B=1)*(Equipar!AC:AC=A448)),""),"")</f>
        <v/>
      </c>
    </row>
    <row r="449" spans="1:10" x14ac:dyDescent="0.25">
      <c r="A449" s="1" t="str">
        <f ca="1">IF(A448="ID",1,IF(ISBLANK(B449),"",MAX(A$2:A448)+1))</f>
        <v/>
      </c>
      <c r="I449" s="2" t="str">
        <f ca="1">IF(ISNUMBER(A449),
IF(COUNTIFS(Equipar!B:B,1,Equipar!AC:AC,A449),"Equipada",
IF(
OR(COUNTIFS(Equipar!B:B,1,Equipar!C:C,A449)
 +COUNTIFS(Equipar!B:B,1,Equipar!D:D,A449)
+COUNTIFS(Equipar!B:B,1,Equipar!E:E,A449)
+COUNTIFS(Equipar!B:B,1,Equipar!F:F,A449)
&gt;0,COUNTIF('Set recomendado'!B:B,C449)=0),
"Bloqueada",
"Desechable")),""
)</f>
        <v/>
      </c>
      <c r="J449" t="str" cm="1">
        <f t="array" aca="1" ref="J449" ca="1">IF(ISNUMBER(A449),IFERROR(_xlfn._xlws.FILTER(Equipar!A:A,(Equipar!B:B=1)*(Equipar!AC:AC=A449)),""),"")</f>
        <v/>
      </c>
    </row>
    <row r="450" spans="1:10" x14ac:dyDescent="0.25">
      <c r="A450" s="1" t="str">
        <f ca="1">IF(A449="ID",1,IF(ISBLANK(B450),"",MAX(A$2:A449)+1))</f>
        <v/>
      </c>
      <c r="I450" s="2" t="str">
        <f ca="1">IF(ISNUMBER(A450),
IF(COUNTIFS(Equipar!B:B,1,Equipar!AC:AC,A450),"Equipada",
IF(
OR(COUNTIFS(Equipar!B:B,1,Equipar!C:C,A450)
 +COUNTIFS(Equipar!B:B,1,Equipar!D:D,A450)
+COUNTIFS(Equipar!B:B,1,Equipar!E:E,A450)
+COUNTIFS(Equipar!B:B,1,Equipar!F:F,A450)
&gt;0,COUNTIF('Set recomendado'!B:B,C450)=0),
"Bloqueada",
"Desechable")),""
)</f>
        <v/>
      </c>
      <c r="J450" t="str" cm="1">
        <f t="array" aca="1" ref="J450" ca="1">IF(ISNUMBER(A450),IFERROR(_xlfn._xlws.FILTER(Equipar!A:A,(Equipar!B:B=1)*(Equipar!AC:AC=A450)),""),"")</f>
        <v/>
      </c>
    </row>
    <row r="451" spans="1:10" x14ac:dyDescent="0.25">
      <c r="A451" s="1" t="str">
        <f ca="1">IF(A450="ID",1,IF(ISBLANK(B451),"",MAX(A$2:A450)+1))</f>
        <v/>
      </c>
      <c r="I451" s="2" t="str">
        <f ca="1">IF(ISNUMBER(A451),
IF(COUNTIFS(Equipar!B:B,1,Equipar!AC:AC,A451),"Equipada",
IF(
OR(COUNTIFS(Equipar!B:B,1,Equipar!C:C,A451)
 +COUNTIFS(Equipar!B:B,1,Equipar!D:D,A451)
+COUNTIFS(Equipar!B:B,1,Equipar!E:E,A451)
+COUNTIFS(Equipar!B:B,1,Equipar!F:F,A451)
&gt;0,COUNTIF('Set recomendado'!B:B,C451)=0),
"Bloqueada",
"Desechable")),""
)</f>
        <v/>
      </c>
      <c r="J451" t="str" cm="1">
        <f t="array" aca="1" ref="J451" ca="1">IF(ISNUMBER(A451),IFERROR(_xlfn._xlws.FILTER(Equipar!A:A,(Equipar!B:B=1)*(Equipar!AC:AC=A451)),""),"")</f>
        <v/>
      </c>
    </row>
    <row r="452" spans="1:10" x14ac:dyDescent="0.25">
      <c r="A452" s="1" t="str">
        <f ca="1">IF(A451="ID",1,IF(ISBLANK(B452),"",MAX(A$2:A451)+1))</f>
        <v/>
      </c>
      <c r="I452" s="2" t="str">
        <f ca="1">IF(ISNUMBER(A452),
IF(COUNTIFS(Equipar!B:B,1,Equipar!AC:AC,A452),"Equipada",
IF(
OR(COUNTIFS(Equipar!B:B,1,Equipar!C:C,A452)
 +COUNTIFS(Equipar!B:B,1,Equipar!D:D,A452)
+COUNTIFS(Equipar!B:B,1,Equipar!E:E,A452)
+COUNTIFS(Equipar!B:B,1,Equipar!F:F,A452)
&gt;0,COUNTIF('Set recomendado'!B:B,C452)=0),
"Bloqueada",
"Desechable")),""
)</f>
        <v/>
      </c>
      <c r="J452" t="str" cm="1">
        <f t="array" aca="1" ref="J452" ca="1">IF(ISNUMBER(A452),IFERROR(_xlfn._xlws.FILTER(Equipar!A:A,(Equipar!B:B=1)*(Equipar!AC:AC=A452)),""),"")</f>
        <v/>
      </c>
    </row>
    <row r="453" spans="1:10" x14ac:dyDescent="0.25">
      <c r="A453" s="1" t="str">
        <f ca="1">IF(A452="ID",1,IF(ISBLANK(B453),"",MAX(A$2:A452)+1))</f>
        <v/>
      </c>
      <c r="I453" s="2" t="str">
        <f ca="1">IF(ISNUMBER(A453),
IF(COUNTIFS(Equipar!B:B,1,Equipar!AC:AC,A453),"Equipada",
IF(
OR(COUNTIFS(Equipar!B:B,1,Equipar!C:C,A453)
 +COUNTIFS(Equipar!B:B,1,Equipar!D:D,A453)
+COUNTIFS(Equipar!B:B,1,Equipar!E:E,A453)
+COUNTIFS(Equipar!B:B,1,Equipar!F:F,A453)
&gt;0,COUNTIF('Set recomendado'!B:B,C453)=0),
"Bloqueada",
"Desechable")),""
)</f>
        <v/>
      </c>
      <c r="J453" t="str" cm="1">
        <f t="array" aca="1" ref="J453" ca="1">IF(ISNUMBER(A453),IFERROR(_xlfn._xlws.FILTER(Equipar!A:A,(Equipar!B:B=1)*(Equipar!AC:AC=A453)),""),"")</f>
        <v/>
      </c>
    </row>
    <row r="454" spans="1:10" x14ac:dyDescent="0.25">
      <c r="A454" s="1" t="str">
        <f ca="1">IF(A453="ID",1,IF(ISBLANK(B454),"",MAX(A$2:A453)+1))</f>
        <v/>
      </c>
      <c r="I454" s="2" t="str">
        <f ca="1">IF(ISNUMBER(A454),
IF(COUNTIFS(Equipar!B:B,1,Equipar!AC:AC,A454),"Equipada",
IF(
OR(COUNTIFS(Equipar!B:B,1,Equipar!C:C,A454)
 +COUNTIFS(Equipar!B:B,1,Equipar!D:D,A454)
+COUNTIFS(Equipar!B:B,1,Equipar!E:E,A454)
+COUNTIFS(Equipar!B:B,1,Equipar!F:F,A454)
&gt;0,COUNTIF('Set recomendado'!B:B,C454)=0),
"Bloqueada",
"Desechable")),""
)</f>
        <v/>
      </c>
      <c r="J454" t="str" cm="1">
        <f t="array" aca="1" ref="J454" ca="1">IF(ISNUMBER(A454),IFERROR(_xlfn._xlws.FILTER(Equipar!A:A,(Equipar!B:B=1)*(Equipar!AC:AC=A454)),""),"")</f>
        <v/>
      </c>
    </row>
    <row r="455" spans="1:10" x14ac:dyDescent="0.25">
      <c r="A455" s="1" t="str">
        <f ca="1">IF(A454="ID",1,IF(ISBLANK(B455),"",MAX(A$2:A454)+1))</f>
        <v/>
      </c>
      <c r="I455" s="2" t="str">
        <f ca="1">IF(ISNUMBER(A455),
IF(COUNTIFS(Equipar!B:B,1,Equipar!AC:AC,A455),"Equipada",
IF(
OR(COUNTIFS(Equipar!B:B,1,Equipar!C:C,A455)
 +COUNTIFS(Equipar!B:B,1,Equipar!D:D,A455)
+COUNTIFS(Equipar!B:B,1,Equipar!E:E,A455)
+COUNTIFS(Equipar!B:B,1,Equipar!F:F,A455)
&gt;0,COUNTIF('Set recomendado'!B:B,C455)=0),
"Bloqueada",
"Desechable")),""
)</f>
        <v/>
      </c>
      <c r="J455" t="str" cm="1">
        <f t="array" aca="1" ref="J455" ca="1">IF(ISNUMBER(A455),IFERROR(_xlfn._xlws.FILTER(Equipar!A:A,(Equipar!B:B=1)*(Equipar!AC:AC=A455)),""),"")</f>
        <v/>
      </c>
    </row>
    <row r="456" spans="1:10" x14ac:dyDescent="0.25">
      <c r="A456" s="1" t="str">
        <f ca="1">IF(A455="ID",1,IF(ISBLANK(B456),"",MAX(A$2:A455)+1))</f>
        <v/>
      </c>
      <c r="I456" s="2" t="str">
        <f ca="1">IF(ISNUMBER(A456),
IF(COUNTIFS(Equipar!B:B,1,Equipar!AC:AC,A456),"Equipada",
IF(
OR(COUNTIFS(Equipar!B:B,1,Equipar!C:C,A456)
 +COUNTIFS(Equipar!B:B,1,Equipar!D:D,A456)
+COUNTIFS(Equipar!B:B,1,Equipar!E:E,A456)
+COUNTIFS(Equipar!B:B,1,Equipar!F:F,A456)
&gt;0,COUNTIF('Set recomendado'!B:B,C456)=0),
"Bloqueada",
"Desechable")),""
)</f>
        <v/>
      </c>
      <c r="J456" t="str" cm="1">
        <f t="array" aca="1" ref="J456" ca="1">IF(ISNUMBER(A456),IFERROR(_xlfn._xlws.FILTER(Equipar!A:A,(Equipar!B:B=1)*(Equipar!AC:AC=A456)),""),"")</f>
        <v/>
      </c>
    </row>
    <row r="457" spans="1:10" x14ac:dyDescent="0.25">
      <c r="A457" s="1" t="str">
        <f ca="1">IF(A456="ID",1,IF(ISBLANK(B457),"",MAX(A$2:A456)+1))</f>
        <v/>
      </c>
      <c r="I457" s="2" t="str">
        <f ca="1">IF(ISNUMBER(A457),
IF(COUNTIFS(Equipar!B:B,1,Equipar!AC:AC,A457),"Equipada",
IF(
OR(COUNTIFS(Equipar!B:B,1,Equipar!C:C,A457)
 +COUNTIFS(Equipar!B:B,1,Equipar!D:D,A457)
+COUNTIFS(Equipar!B:B,1,Equipar!E:E,A457)
+COUNTIFS(Equipar!B:B,1,Equipar!F:F,A457)
&gt;0,COUNTIF('Set recomendado'!B:B,C457)=0),
"Bloqueada",
"Desechable")),""
)</f>
        <v/>
      </c>
      <c r="J457" t="str" cm="1">
        <f t="array" aca="1" ref="J457" ca="1">IF(ISNUMBER(A457),IFERROR(_xlfn._xlws.FILTER(Equipar!A:A,(Equipar!B:B=1)*(Equipar!AC:AC=A457)),""),"")</f>
        <v/>
      </c>
    </row>
    <row r="458" spans="1:10" x14ac:dyDescent="0.25">
      <c r="A458" s="1" t="str">
        <f ca="1">IF(A457="ID",1,IF(ISBLANK(B458),"",MAX(A$2:A457)+1))</f>
        <v/>
      </c>
      <c r="I458" s="2" t="str">
        <f ca="1">IF(ISNUMBER(A458),
IF(COUNTIFS(Equipar!B:B,1,Equipar!AC:AC,A458),"Equipada",
IF(
OR(COUNTIFS(Equipar!B:B,1,Equipar!C:C,A458)
 +COUNTIFS(Equipar!B:B,1,Equipar!D:D,A458)
+COUNTIFS(Equipar!B:B,1,Equipar!E:E,A458)
+COUNTIFS(Equipar!B:B,1,Equipar!F:F,A458)
&gt;0,COUNTIF('Set recomendado'!B:B,C458)=0),
"Bloqueada",
"Desechable")),""
)</f>
        <v/>
      </c>
      <c r="J458" t="str" cm="1">
        <f t="array" aca="1" ref="J458" ca="1">IF(ISNUMBER(A458),IFERROR(_xlfn._xlws.FILTER(Equipar!A:A,(Equipar!B:B=1)*(Equipar!AC:AC=A458)),""),"")</f>
        <v/>
      </c>
    </row>
    <row r="459" spans="1:10" x14ac:dyDescent="0.25">
      <c r="A459" s="1" t="str">
        <f ca="1">IF(A458="ID",1,IF(ISBLANK(B459),"",MAX(A$2:A458)+1))</f>
        <v/>
      </c>
      <c r="I459" s="2" t="str">
        <f ca="1">IF(ISNUMBER(A459),
IF(COUNTIFS(Equipar!B:B,1,Equipar!AC:AC,A459),"Equipada",
IF(
OR(COUNTIFS(Equipar!B:B,1,Equipar!C:C,A459)
 +COUNTIFS(Equipar!B:B,1,Equipar!D:D,A459)
+COUNTIFS(Equipar!B:B,1,Equipar!E:E,A459)
+COUNTIFS(Equipar!B:B,1,Equipar!F:F,A459)
&gt;0,COUNTIF('Set recomendado'!B:B,C459)=0),
"Bloqueada",
"Desechable")),""
)</f>
        <v/>
      </c>
      <c r="J459" t="str" cm="1">
        <f t="array" aca="1" ref="J459" ca="1">IF(ISNUMBER(A459),IFERROR(_xlfn._xlws.FILTER(Equipar!A:A,(Equipar!B:B=1)*(Equipar!AC:AC=A459)),""),"")</f>
        <v/>
      </c>
    </row>
    <row r="460" spans="1:10" x14ac:dyDescent="0.25">
      <c r="A460" s="1" t="str">
        <f ca="1">IF(A459="ID",1,IF(ISBLANK(B460),"",MAX(A$2:A459)+1))</f>
        <v/>
      </c>
      <c r="I460" s="2" t="str">
        <f ca="1">IF(ISNUMBER(A460),
IF(COUNTIFS(Equipar!B:B,1,Equipar!AC:AC,A460),"Equipada",
IF(
OR(COUNTIFS(Equipar!B:B,1,Equipar!C:C,A460)
 +COUNTIFS(Equipar!B:B,1,Equipar!D:D,A460)
+COUNTIFS(Equipar!B:B,1,Equipar!E:E,A460)
+COUNTIFS(Equipar!B:B,1,Equipar!F:F,A460)
&gt;0,COUNTIF('Set recomendado'!B:B,C460)=0),
"Bloqueada",
"Desechable")),""
)</f>
        <v/>
      </c>
      <c r="J460" t="str" cm="1">
        <f t="array" aca="1" ref="J460" ca="1">IF(ISNUMBER(A460),IFERROR(_xlfn._xlws.FILTER(Equipar!A:A,(Equipar!B:B=1)*(Equipar!AC:AC=A460)),""),"")</f>
        <v/>
      </c>
    </row>
    <row r="461" spans="1:10" x14ac:dyDescent="0.25">
      <c r="A461" s="1" t="str">
        <f ca="1">IF(A460="ID",1,IF(ISBLANK(B461),"",MAX(A$2:A460)+1))</f>
        <v/>
      </c>
      <c r="I461" s="2" t="str">
        <f ca="1">IF(ISNUMBER(A461),
IF(COUNTIFS(Equipar!B:B,1,Equipar!AC:AC,A461),"Equipada",
IF(
OR(COUNTIFS(Equipar!B:B,1,Equipar!C:C,A461)
 +COUNTIFS(Equipar!B:B,1,Equipar!D:D,A461)
+COUNTIFS(Equipar!B:B,1,Equipar!E:E,A461)
+COUNTIFS(Equipar!B:B,1,Equipar!F:F,A461)
&gt;0,COUNTIF('Set recomendado'!B:B,C461)=0),
"Bloqueada",
"Desechable")),""
)</f>
        <v/>
      </c>
      <c r="J461" t="str" cm="1">
        <f t="array" aca="1" ref="J461" ca="1">IF(ISNUMBER(A461),IFERROR(_xlfn._xlws.FILTER(Equipar!A:A,(Equipar!B:B=1)*(Equipar!AC:AC=A461)),""),"")</f>
        <v/>
      </c>
    </row>
    <row r="462" spans="1:10" x14ac:dyDescent="0.25">
      <c r="A462" s="1" t="str">
        <f ca="1">IF(A461="ID",1,IF(ISBLANK(B462),"",MAX(A$2:A461)+1))</f>
        <v/>
      </c>
      <c r="I462" s="2" t="str">
        <f ca="1">IF(ISNUMBER(A462),
IF(COUNTIFS(Equipar!B:B,1,Equipar!AC:AC,A462),"Equipada",
IF(
OR(COUNTIFS(Equipar!B:B,1,Equipar!C:C,A462)
 +COUNTIFS(Equipar!B:B,1,Equipar!D:D,A462)
+COUNTIFS(Equipar!B:B,1,Equipar!E:E,A462)
+COUNTIFS(Equipar!B:B,1,Equipar!F:F,A462)
&gt;0,COUNTIF('Set recomendado'!B:B,C462)=0),
"Bloqueada",
"Desechable")),""
)</f>
        <v/>
      </c>
      <c r="J462" t="str" cm="1">
        <f t="array" aca="1" ref="J462" ca="1">IF(ISNUMBER(A462),IFERROR(_xlfn._xlws.FILTER(Equipar!A:A,(Equipar!B:B=1)*(Equipar!AC:AC=A462)),""),"")</f>
        <v/>
      </c>
    </row>
    <row r="463" spans="1:10" x14ac:dyDescent="0.25">
      <c r="A463" s="1" t="str">
        <f ca="1">IF(A462="ID",1,IF(ISBLANK(B463),"",MAX(A$2:A462)+1))</f>
        <v/>
      </c>
      <c r="I463" s="2" t="str">
        <f ca="1">IF(ISNUMBER(A463),
IF(COUNTIFS(Equipar!B:B,1,Equipar!AC:AC,A463),"Equipada",
IF(
OR(COUNTIFS(Equipar!B:B,1,Equipar!C:C,A463)
 +COUNTIFS(Equipar!B:B,1,Equipar!D:D,A463)
+COUNTIFS(Equipar!B:B,1,Equipar!E:E,A463)
+COUNTIFS(Equipar!B:B,1,Equipar!F:F,A463)
&gt;0,COUNTIF('Set recomendado'!B:B,C463)=0),
"Bloqueada",
"Desechable")),""
)</f>
        <v/>
      </c>
      <c r="J463" t="str" cm="1">
        <f t="array" aca="1" ref="J463" ca="1">IF(ISNUMBER(A463),IFERROR(_xlfn._xlws.FILTER(Equipar!A:A,(Equipar!B:B=1)*(Equipar!AC:AC=A463)),""),"")</f>
        <v/>
      </c>
    </row>
    <row r="464" spans="1:10" x14ac:dyDescent="0.25">
      <c r="A464" s="1" t="str">
        <f ca="1">IF(A463="ID",1,IF(ISBLANK(B464),"",MAX(A$2:A463)+1))</f>
        <v/>
      </c>
      <c r="I464" s="2" t="str">
        <f ca="1">IF(ISNUMBER(A464),
IF(COUNTIFS(Equipar!B:B,1,Equipar!AC:AC,A464),"Equipada",
IF(
OR(COUNTIFS(Equipar!B:B,1,Equipar!C:C,A464)
 +COUNTIFS(Equipar!B:B,1,Equipar!D:D,A464)
+COUNTIFS(Equipar!B:B,1,Equipar!E:E,A464)
+COUNTIFS(Equipar!B:B,1,Equipar!F:F,A464)
&gt;0,COUNTIF('Set recomendado'!B:B,C464)=0),
"Bloqueada",
"Desechable")),""
)</f>
        <v/>
      </c>
      <c r="J464" t="str" cm="1">
        <f t="array" aca="1" ref="J464" ca="1">IF(ISNUMBER(A464),IFERROR(_xlfn._xlws.FILTER(Equipar!A:A,(Equipar!B:B=1)*(Equipar!AC:AC=A464)),""),"")</f>
        <v/>
      </c>
    </row>
    <row r="465" spans="1:10" x14ac:dyDescent="0.25">
      <c r="A465" s="1" t="str">
        <f ca="1">IF(A464="ID",1,IF(ISBLANK(B465),"",MAX(A$2:A464)+1))</f>
        <v/>
      </c>
      <c r="I465" s="2" t="str">
        <f ca="1">IF(ISNUMBER(A465),
IF(COUNTIFS(Equipar!B:B,1,Equipar!AC:AC,A465),"Equipada",
IF(
OR(COUNTIFS(Equipar!B:B,1,Equipar!C:C,A465)
 +COUNTIFS(Equipar!B:B,1,Equipar!D:D,A465)
+COUNTIFS(Equipar!B:B,1,Equipar!E:E,A465)
+COUNTIFS(Equipar!B:B,1,Equipar!F:F,A465)
&gt;0,COUNTIF('Set recomendado'!B:B,C465)=0),
"Bloqueada",
"Desechable")),""
)</f>
        <v/>
      </c>
      <c r="J465" t="str" cm="1">
        <f t="array" aca="1" ref="J465" ca="1">IF(ISNUMBER(A465),IFERROR(_xlfn._xlws.FILTER(Equipar!A:A,(Equipar!B:B=1)*(Equipar!AC:AC=A465)),""),"")</f>
        <v/>
      </c>
    </row>
    <row r="466" spans="1:10" x14ac:dyDescent="0.25">
      <c r="A466" s="1" t="str">
        <f ca="1">IF(A465="ID",1,IF(ISBLANK(B466),"",MAX(A$2:A465)+1))</f>
        <v/>
      </c>
      <c r="I466" s="2" t="str">
        <f ca="1">IF(ISNUMBER(A466),
IF(COUNTIFS(Equipar!B:B,1,Equipar!AC:AC,A466),"Equipada",
IF(
OR(COUNTIFS(Equipar!B:B,1,Equipar!C:C,A466)
 +COUNTIFS(Equipar!B:B,1,Equipar!D:D,A466)
+COUNTIFS(Equipar!B:B,1,Equipar!E:E,A466)
+COUNTIFS(Equipar!B:B,1,Equipar!F:F,A466)
&gt;0,COUNTIF('Set recomendado'!B:B,C466)=0),
"Bloqueada",
"Desechable")),""
)</f>
        <v/>
      </c>
      <c r="J466" t="str" cm="1">
        <f t="array" aca="1" ref="J466" ca="1">IF(ISNUMBER(A466),IFERROR(_xlfn._xlws.FILTER(Equipar!A:A,(Equipar!B:B=1)*(Equipar!AC:AC=A466)),""),"")</f>
        <v/>
      </c>
    </row>
    <row r="467" spans="1:10" x14ac:dyDescent="0.25">
      <c r="A467" s="1" t="str">
        <f ca="1">IF(A466="ID",1,IF(ISBLANK(B467),"",MAX(A$2:A466)+1))</f>
        <v/>
      </c>
      <c r="I467" s="2" t="str">
        <f ca="1">IF(ISNUMBER(A467),
IF(COUNTIFS(Equipar!B:B,1,Equipar!AC:AC,A467),"Equipada",
IF(
OR(COUNTIFS(Equipar!B:B,1,Equipar!C:C,A467)
 +COUNTIFS(Equipar!B:B,1,Equipar!D:D,A467)
+COUNTIFS(Equipar!B:B,1,Equipar!E:E,A467)
+COUNTIFS(Equipar!B:B,1,Equipar!F:F,A467)
&gt;0,COUNTIF('Set recomendado'!B:B,C467)=0),
"Bloqueada",
"Desechable")),""
)</f>
        <v/>
      </c>
      <c r="J467" t="str" cm="1">
        <f t="array" aca="1" ref="J467" ca="1">IF(ISNUMBER(A467),IFERROR(_xlfn._xlws.FILTER(Equipar!A:A,(Equipar!B:B=1)*(Equipar!AC:AC=A467)),""),"")</f>
        <v/>
      </c>
    </row>
    <row r="468" spans="1:10" x14ac:dyDescent="0.25">
      <c r="A468" s="1" t="str">
        <f ca="1">IF(A467="ID",1,IF(ISBLANK(B468),"",MAX(A$2:A467)+1))</f>
        <v/>
      </c>
      <c r="I468" s="2" t="str">
        <f ca="1">IF(ISNUMBER(A468),
IF(COUNTIFS(Equipar!B:B,1,Equipar!AC:AC,A468),"Equipada",
IF(
OR(COUNTIFS(Equipar!B:B,1,Equipar!C:C,A468)
 +COUNTIFS(Equipar!B:B,1,Equipar!D:D,A468)
+COUNTIFS(Equipar!B:B,1,Equipar!E:E,A468)
+COUNTIFS(Equipar!B:B,1,Equipar!F:F,A468)
&gt;0,COUNTIF('Set recomendado'!B:B,C468)=0),
"Bloqueada",
"Desechable")),""
)</f>
        <v/>
      </c>
      <c r="J468" t="str" cm="1">
        <f t="array" aca="1" ref="J468" ca="1">IF(ISNUMBER(A468),IFERROR(_xlfn._xlws.FILTER(Equipar!A:A,(Equipar!B:B=1)*(Equipar!AC:AC=A468)),""),"")</f>
        <v/>
      </c>
    </row>
    <row r="469" spans="1:10" x14ac:dyDescent="0.25">
      <c r="A469" s="1" t="str">
        <f ca="1">IF(A468="ID",1,IF(ISBLANK(B469),"",MAX(A$2:A468)+1))</f>
        <v/>
      </c>
      <c r="I469" s="2" t="str">
        <f ca="1">IF(ISNUMBER(A469),
IF(COUNTIFS(Equipar!B:B,1,Equipar!AC:AC,A469),"Equipada",
IF(
OR(COUNTIFS(Equipar!B:B,1,Equipar!C:C,A469)
 +COUNTIFS(Equipar!B:B,1,Equipar!D:D,A469)
+COUNTIFS(Equipar!B:B,1,Equipar!E:E,A469)
+COUNTIFS(Equipar!B:B,1,Equipar!F:F,A469)
&gt;0,COUNTIF('Set recomendado'!B:B,C469)=0),
"Bloqueada",
"Desechable")),""
)</f>
        <v/>
      </c>
      <c r="J469" t="str" cm="1">
        <f t="array" aca="1" ref="J469" ca="1">IF(ISNUMBER(A469),IFERROR(_xlfn._xlws.FILTER(Equipar!A:A,(Equipar!B:B=1)*(Equipar!AC:AC=A469)),""),"")</f>
        <v/>
      </c>
    </row>
    <row r="470" spans="1:10" x14ac:dyDescent="0.25">
      <c r="A470" s="1" t="str">
        <f ca="1">IF(A469="ID",1,IF(ISBLANK(B470),"",MAX(A$2:A469)+1))</f>
        <v/>
      </c>
      <c r="I470" s="2" t="str">
        <f ca="1">IF(ISNUMBER(A470),
IF(COUNTIFS(Equipar!B:B,1,Equipar!AC:AC,A470),"Equipada",
IF(
OR(COUNTIFS(Equipar!B:B,1,Equipar!C:C,A470)
 +COUNTIFS(Equipar!B:B,1,Equipar!D:D,A470)
+COUNTIFS(Equipar!B:B,1,Equipar!E:E,A470)
+COUNTIFS(Equipar!B:B,1,Equipar!F:F,A470)
&gt;0,COUNTIF('Set recomendado'!B:B,C470)=0),
"Bloqueada",
"Desechable")),""
)</f>
        <v/>
      </c>
      <c r="J470" t="str" cm="1">
        <f t="array" aca="1" ref="J470" ca="1">IF(ISNUMBER(A470),IFERROR(_xlfn._xlws.FILTER(Equipar!A:A,(Equipar!B:B=1)*(Equipar!AC:AC=A470)),""),"")</f>
        <v/>
      </c>
    </row>
    <row r="471" spans="1:10" x14ac:dyDescent="0.25">
      <c r="A471" s="1" t="str">
        <f ca="1">IF(A470="ID",1,IF(ISBLANK(B471),"",MAX(A$2:A470)+1))</f>
        <v/>
      </c>
      <c r="I471" s="2" t="str">
        <f ca="1">IF(ISNUMBER(A471),
IF(COUNTIFS(Equipar!B:B,1,Equipar!AC:AC,A471),"Equipada",
IF(
OR(COUNTIFS(Equipar!B:B,1,Equipar!C:C,A471)
 +COUNTIFS(Equipar!B:B,1,Equipar!D:D,A471)
+COUNTIFS(Equipar!B:B,1,Equipar!E:E,A471)
+COUNTIFS(Equipar!B:B,1,Equipar!F:F,A471)
&gt;0,COUNTIF('Set recomendado'!B:B,C471)=0),
"Bloqueada",
"Desechable")),""
)</f>
        <v/>
      </c>
      <c r="J471" t="str" cm="1">
        <f t="array" aca="1" ref="J471" ca="1">IF(ISNUMBER(A471),IFERROR(_xlfn._xlws.FILTER(Equipar!A:A,(Equipar!B:B=1)*(Equipar!AC:AC=A471)),""),"")</f>
        <v/>
      </c>
    </row>
    <row r="472" spans="1:10" x14ac:dyDescent="0.25">
      <c r="A472" s="1" t="str">
        <f ca="1">IF(A471="ID",1,IF(ISBLANK(B472),"",MAX(A$2:A471)+1))</f>
        <v/>
      </c>
      <c r="I472" s="2" t="str">
        <f ca="1">IF(ISNUMBER(A472),
IF(COUNTIFS(Equipar!B:B,1,Equipar!AC:AC,A472),"Equipada",
IF(
OR(COUNTIFS(Equipar!B:B,1,Equipar!C:C,A472)
 +COUNTIFS(Equipar!B:B,1,Equipar!D:D,A472)
+COUNTIFS(Equipar!B:B,1,Equipar!E:E,A472)
+COUNTIFS(Equipar!B:B,1,Equipar!F:F,A472)
&gt;0,COUNTIF('Set recomendado'!B:B,C472)=0),
"Bloqueada",
"Desechable")),""
)</f>
        <v/>
      </c>
      <c r="J472" t="str" cm="1">
        <f t="array" aca="1" ref="J472" ca="1">IF(ISNUMBER(A472),IFERROR(_xlfn._xlws.FILTER(Equipar!A:A,(Equipar!B:B=1)*(Equipar!AC:AC=A472)),""),"")</f>
        <v/>
      </c>
    </row>
    <row r="473" spans="1:10" x14ac:dyDescent="0.25">
      <c r="A473" s="1" t="str">
        <f ca="1">IF(A472="ID",1,IF(ISBLANK(B473),"",MAX(A$2:A472)+1))</f>
        <v/>
      </c>
      <c r="I473" s="2" t="str">
        <f ca="1">IF(ISNUMBER(A473),
IF(COUNTIFS(Equipar!B:B,1,Equipar!AC:AC,A473),"Equipada",
IF(
OR(COUNTIFS(Equipar!B:B,1,Equipar!C:C,A473)
 +COUNTIFS(Equipar!B:B,1,Equipar!D:D,A473)
+COUNTIFS(Equipar!B:B,1,Equipar!E:E,A473)
+COUNTIFS(Equipar!B:B,1,Equipar!F:F,A473)
&gt;0,COUNTIF('Set recomendado'!B:B,C473)=0),
"Bloqueada",
"Desechable")),""
)</f>
        <v/>
      </c>
      <c r="J473" t="str" cm="1">
        <f t="array" aca="1" ref="J473" ca="1">IF(ISNUMBER(A473),IFERROR(_xlfn._xlws.FILTER(Equipar!A:A,(Equipar!B:B=1)*(Equipar!AC:AC=A473)),""),"")</f>
        <v/>
      </c>
    </row>
    <row r="474" spans="1:10" x14ac:dyDescent="0.25">
      <c r="A474" s="1" t="str">
        <f ca="1">IF(A473="ID",1,IF(ISBLANK(B474),"",MAX(A$2:A473)+1))</f>
        <v/>
      </c>
      <c r="I474" s="2" t="str">
        <f ca="1">IF(ISNUMBER(A474),
IF(COUNTIFS(Equipar!B:B,1,Equipar!AC:AC,A474),"Equipada",
IF(
OR(COUNTIFS(Equipar!B:B,1,Equipar!C:C,A474)
 +COUNTIFS(Equipar!B:B,1,Equipar!D:D,A474)
+COUNTIFS(Equipar!B:B,1,Equipar!E:E,A474)
+COUNTIFS(Equipar!B:B,1,Equipar!F:F,A474)
&gt;0,COUNTIF('Set recomendado'!B:B,C474)=0),
"Bloqueada",
"Desechable")),""
)</f>
        <v/>
      </c>
      <c r="J474" t="str" cm="1">
        <f t="array" aca="1" ref="J474" ca="1">IF(ISNUMBER(A474),IFERROR(_xlfn._xlws.FILTER(Equipar!A:A,(Equipar!B:B=1)*(Equipar!AC:AC=A474)),""),"")</f>
        <v/>
      </c>
    </row>
    <row r="475" spans="1:10" x14ac:dyDescent="0.25">
      <c r="A475" s="1" t="str">
        <f ca="1">IF(A474="ID",1,IF(ISBLANK(B475),"",MAX(A$2:A474)+1))</f>
        <v/>
      </c>
      <c r="I475" s="2" t="str">
        <f ca="1">IF(ISNUMBER(A475),
IF(COUNTIFS(Equipar!B:B,1,Equipar!AC:AC,A475),"Equipada",
IF(
OR(COUNTIFS(Equipar!B:B,1,Equipar!C:C,A475)
 +COUNTIFS(Equipar!B:B,1,Equipar!D:D,A475)
+COUNTIFS(Equipar!B:B,1,Equipar!E:E,A475)
+COUNTIFS(Equipar!B:B,1,Equipar!F:F,A475)
&gt;0,COUNTIF('Set recomendado'!B:B,C475)=0),
"Bloqueada",
"Desechable")),""
)</f>
        <v/>
      </c>
      <c r="J475" t="str" cm="1">
        <f t="array" aca="1" ref="J475" ca="1">IF(ISNUMBER(A475),IFERROR(_xlfn._xlws.FILTER(Equipar!A:A,(Equipar!B:B=1)*(Equipar!AC:AC=A475)),""),"")</f>
        <v/>
      </c>
    </row>
    <row r="476" spans="1:10" x14ac:dyDescent="0.25">
      <c r="A476" s="1" t="str">
        <f ca="1">IF(A475="ID",1,IF(ISBLANK(B476),"",MAX(A$2:A475)+1))</f>
        <v/>
      </c>
      <c r="I476" s="2" t="str">
        <f ca="1">IF(ISNUMBER(A476),
IF(COUNTIFS(Equipar!B:B,1,Equipar!AC:AC,A476),"Equipada",
IF(
OR(COUNTIFS(Equipar!B:B,1,Equipar!C:C,A476)
 +COUNTIFS(Equipar!B:B,1,Equipar!D:D,A476)
+COUNTIFS(Equipar!B:B,1,Equipar!E:E,A476)
+COUNTIFS(Equipar!B:B,1,Equipar!F:F,A476)
&gt;0,COUNTIF('Set recomendado'!B:B,C476)=0),
"Bloqueada",
"Desechable")),""
)</f>
        <v/>
      </c>
      <c r="J476" t="str" cm="1">
        <f t="array" aca="1" ref="J476" ca="1">IF(ISNUMBER(A476),IFERROR(_xlfn._xlws.FILTER(Equipar!A:A,(Equipar!B:B=1)*(Equipar!AC:AC=A476)),""),"")</f>
        <v/>
      </c>
    </row>
    <row r="477" spans="1:10" x14ac:dyDescent="0.25">
      <c r="A477" s="1" t="str">
        <f ca="1">IF(A476="ID",1,IF(ISBLANK(B477),"",MAX(A$2:A476)+1))</f>
        <v/>
      </c>
      <c r="I477" s="2" t="str">
        <f ca="1">IF(ISNUMBER(A477),
IF(COUNTIFS(Equipar!B:B,1,Equipar!AC:AC,A477),"Equipada",
IF(
OR(COUNTIFS(Equipar!B:B,1,Equipar!C:C,A477)
 +COUNTIFS(Equipar!B:B,1,Equipar!D:D,A477)
+COUNTIFS(Equipar!B:B,1,Equipar!E:E,A477)
+COUNTIFS(Equipar!B:B,1,Equipar!F:F,A477)
&gt;0,COUNTIF('Set recomendado'!B:B,C477)=0),
"Bloqueada",
"Desechable")),""
)</f>
        <v/>
      </c>
      <c r="J477" t="str" cm="1">
        <f t="array" aca="1" ref="J477" ca="1">IF(ISNUMBER(A477),IFERROR(_xlfn._xlws.FILTER(Equipar!A:A,(Equipar!B:B=1)*(Equipar!AC:AC=A477)),""),"")</f>
        <v/>
      </c>
    </row>
    <row r="478" spans="1:10" x14ac:dyDescent="0.25">
      <c r="A478" s="1" t="str">
        <f ca="1">IF(A477="ID",1,IF(ISBLANK(B478),"",MAX(A$2:A477)+1))</f>
        <v/>
      </c>
      <c r="I478" s="2" t="str">
        <f ca="1">IF(ISNUMBER(A478),
IF(COUNTIFS(Equipar!B:B,1,Equipar!AC:AC,A478),"Equipada",
IF(
OR(COUNTIFS(Equipar!B:B,1,Equipar!C:C,A478)
 +COUNTIFS(Equipar!B:B,1,Equipar!D:D,A478)
+COUNTIFS(Equipar!B:B,1,Equipar!E:E,A478)
+COUNTIFS(Equipar!B:B,1,Equipar!F:F,A478)
&gt;0,COUNTIF('Set recomendado'!B:B,C478)=0),
"Bloqueada",
"Desechable")),""
)</f>
        <v/>
      </c>
      <c r="J478" t="str" cm="1">
        <f t="array" aca="1" ref="J478" ca="1">IF(ISNUMBER(A478),IFERROR(_xlfn._xlws.FILTER(Equipar!A:A,(Equipar!B:B=1)*(Equipar!AC:AC=A478)),""),"")</f>
        <v/>
      </c>
    </row>
    <row r="479" spans="1:10" x14ac:dyDescent="0.25">
      <c r="A479" s="1" t="str">
        <f ca="1">IF(A478="ID",1,IF(ISBLANK(B479),"",MAX(A$2:A478)+1))</f>
        <v/>
      </c>
      <c r="I479" s="2" t="str">
        <f ca="1">IF(ISNUMBER(A479),
IF(COUNTIFS(Equipar!B:B,1,Equipar!AC:AC,A479),"Equipada",
IF(
OR(COUNTIFS(Equipar!B:B,1,Equipar!C:C,A479)
 +COUNTIFS(Equipar!B:B,1,Equipar!D:D,A479)
+COUNTIFS(Equipar!B:B,1,Equipar!E:E,A479)
+COUNTIFS(Equipar!B:B,1,Equipar!F:F,A479)
&gt;0,COUNTIF('Set recomendado'!B:B,C479)=0),
"Bloqueada",
"Desechable")),""
)</f>
        <v/>
      </c>
      <c r="J479" t="str" cm="1">
        <f t="array" aca="1" ref="J479" ca="1">IF(ISNUMBER(A479),IFERROR(_xlfn._xlws.FILTER(Equipar!A:A,(Equipar!B:B=1)*(Equipar!AC:AC=A479)),""),"")</f>
        <v/>
      </c>
    </row>
    <row r="480" spans="1:10" x14ac:dyDescent="0.25">
      <c r="A480" s="1" t="str">
        <f ca="1">IF(A479="ID",1,IF(ISBLANK(B480),"",MAX(A$2:A479)+1))</f>
        <v/>
      </c>
      <c r="I480" s="2" t="str">
        <f ca="1">IF(ISNUMBER(A480),
IF(COUNTIFS(Equipar!B:B,1,Equipar!AC:AC,A480),"Equipada",
IF(
OR(COUNTIFS(Equipar!B:B,1,Equipar!C:C,A480)
 +COUNTIFS(Equipar!B:B,1,Equipar!D:D,A480)
+COUNTIFS(Equipar!B:B,1,Equipar!E:E,A480)
+COUNTIFS(Equipar!B:B,1,Equipar!F:F,A480)
&gt;0,COUNTIF('Set recomendado'!B:B,C480)=0),
"Bloqueada",
"Desechable")),""
)</f>
        <v/>
      </c>
      <c r="J480" t="str" cm="1">
        <f t="array" aca="1" ref="J480" ca="1">IF(ISNUMBER(A480),IFERROR(_xlfn._xlws.FILTER(Equipar!A:A,(Equipar!B:B=1)*(Equipar!AC:AC=A480)),""),"")</f>
        <v/>
      </c>
    </row>
    <row r="481" spans="1:10" x14ac:dyDescent="0.25">
      <c r="A481" s="1" t="str">
        <f ca="1">IF(A480="ID",1,IF(ISBLANK(B481),"",MAX(A$2:A480)+1))</f>
        <v/>
      </c>
      <c r="I481" s="2" t="str">
        <f ca="1">IF(ISNUMBER(A481),
IF(COUNTIFS(Equipar!B:B,1,Equipar!AC:AC,A481),"Equipada",
IF(
OR(COUNTIFS(Equipar!B:B,1,Equipar!C:C,A481)
 +COUNTIFS(Equipar!B:B,1,Equipar!D:D,A481)
+COUNTIFS(Equipar!B:B,1,Equipar!E:E,A481)
+COUNTIFS(Equipar!B:B,1,Equipar!F:F,A481)
&gt;0,COUNTIF('Set recomendado'!B:B,C481)=0),
"Bloqueada",
"Desechable")),""
)</f>
        <v/>
      </c>
      <c r="J481" t="str" cm="1">
        <f t="array" aca="1" ref="J481" ca="1">IF(ISNUMBER(A481),IFERROR(_xlfn._xlws.FILTER(Equipar!A:A,(Equipar!B:B=1)*(Equipar!AC:AC=A481)),""),"")</f>
        <v/>
      </c>
    </row>
    <row r="482" spans="1:10" x14ac:dyDescent="0.25">
      <c r="A482" s="1" t="str">
        <f ca="1">IF(A481="ID",1,IF(ISBLANK(B482),"",MAX(A$2:A481)+1))</f>
        <v/>
      </c>
      <c r="I482" s="2" t="str">
        <f ca="1">IF(ISNUMBER(A482),
IF(COUNTIFS(Equipar!B:B,1,Equipar!AC:AC,A482),"Equipada",
IF(
OR(COUNTIFS(Equipar!B:B,1,Equipar!C:C,A482)
 +COUNTIFS(Equipar!B:B,1,Equipar!D:D,A482)
+COUNTIFS(Equipar!B:B,1,Equipar!E:E,A482)
+COUNTIFS(Equipar!B:B,1,Equipar!F:F,A482)
&gt;0,COUNTIF('Set recomendado'!B:B,C482)=0),
"Bloqueada",
"Desechable")),""
)</f>
        <v/>
      </c>
      <c r="J482" t="str" cm="1">
        <f t="array" aca="1" ref="J482" ca="1">IF(ISNUMBER(A482),IFERROR(_xlfn._xlws.FILTER(Equipar!A:A,(Equipar!B:B=1)*(Equipar!AC:AC=A482)),""),"")</f>
        <v/>
      </c>
    </row>
    <row r="483" spans="1:10" x14ac:dyDescent="0.25">
      <c r="A483" s="1" t="str">
        <f ca="1">IF(A482="ID",1,IF(ISBLANK(B483),"",MAX(A$2:A482)+1))</f>
        <v/>
      </c>
      <c r="I483" s="2" t="str">
        <f ca="1">IF(ISNUMBER(A483),
IF(COUNTIFS(Equipar!B:B,1,Equipar!AC:AC,A483),"Equipada",
IF(
OR(COUNTIFS(Equipar!B:B,1,Equipar!C:C,A483)
 +COUNTIFS(Equipar!B:B,1,Equipar!D:D,A483)
+COUNTIFS(Equipar!B:B,1,Equipar!E:E,A483)
+COUNTIFS(Equipar!B:B,1,Equipar!F:F,A483)
&gt;0,COUNTIF('Set recomendado'!B:B,C483)=0),
"Bloqueada",
"Desechable")),""
)</f>
        <v/>
      </c>
      <c r="J483" t="str" cm="1">
        <f t="array" aca="1" ref="J483" ca="1">IF(ISNUMBER(A483),IFERROR(_xlfn._xlws.FILTER(Equipar!A:A,(Equipar!B:B=1)*(Equipar!AC:AC=A483)),""),"")</f>
        <v/>
      </c>
    </row>
    <row r="484" spans="1:10" x14ac:dyDescent="0.25">
      <c r="A484" s="1" t="str">
        <f ca="1">IF(A483="ID",1,IF(ISBLANK(B484),"",MAX(A$2:A483)+1))</f>
        <v/>
      </c>
      <c r="I484" s="2" t="str">
        <f ca="1">IF(ISNUMBER(A484),
IF(COUNTIFS(Equipar!B:B,1,Equipar!AC:AC,A484),"Equipada",
IF(
OR(COUNTIFS(Equipar!B:B,1,Equipar!C:C,A484)
 +COUNTIFS(Equipar!B:B,1,Equipar!D:D,A484)
+COUNTIFS(Equipar!B:B,1,Equipar!E:E,A484)
+COUNTIFS(Equipar!B:B,1,Equipar!F:F,A484)
&gt;0,COUNTIF('Set recomendado'!B:B,C484)=0),
"Bloqueada",
"Desechable")),""
)</f>
        <v/>
      </c>
      <c r="J484" t="str" cm="1">
        <f t="array" aca="1" ref="J484" ca="1">IF(ISNUMBER(A484),IFERROR(_xlfn._xlws.FILTER(Equipar!A:A,(Equipar!B:B=1)*(Equipar!AC:AC=A484)),""),"")</f>
        <v/>
      </c>
    </row>
    <row r="485" spans="1:10" x14ac:dyDescent="0.25">
      <c r="A485" s="1" t="str">
        <f ca="1">IF(A484="ID",1,IF(ISBLANK(B485),"",MAX(A$2:A484)+1))</f>
        <v/>
      </c>
      <c r="I485" s="2" t="str">
        <f ca="1">IF(ISNUMBER(A485),
IF(COUNTIFS(Equipar!B:B,1,Equipar!AC:AC,A485),"Equipada",
IF(
OR(COUNTIFS(Equipar!B:B,1,Equipar!C:C,A485)
 +COUNTIFS(Equipar!B:B,1,Equipar!D:D,A485)
+COUNTIFS(Equipar!B:B,1,Equipar!E:E,A485)
+COUNTIFS(Equipar!B:B,1,Equipar!F:F,A485)
&gt;0,COUNTIF('Set recomendado'!B:B,C485)=0),
"Bloqueada",
"Desechable")),""
)</f>
        <v/>
      </c>
      <c r="J485" t="str" cm="1">
        <f t="array" aca="1" ref="J485" ca="1">IF(ISNUMBER(A485),IFERROR(_xlfn._xlws.FILTER(Equipar!A:A,(Equipar!B:B=1)*(Equipar!AC:AC=A485)),""),"")</f>
        <v/>
      </c>
    </row>
    <row r="486" spans="1:10" x14ac:dyDescent="0.25">
      <c r="A486" s="1" t="str">
        <f ca="1">IF(A485="ID",1,IF(ISBLANK(B486),"",MAX(A$2:A485)+1))</f>
        <v/>
      </c>
      <c r="I486" s="2" t="str">
        <f ca="1">IF(ISNUMBER(A486),
IF(COUNTIFS(Equipar!B:B,1,Equipar!AC:AC,A486),"Equipada",
IF(
OR(COUNTIFS(Equipar!B:B,1,Equipar!C:C,A486)
 +COUNTIFS(Equipar!B:B,1,Equipar!D:D,A486)
+COUNTIFS(Equipar!B:B,1,Equipar!E:E,A486)
+COUNTIFS(Equipar!B:B,1,Equipar!F:F,A486)
&gt;0,COUNTIF('Set recomendado'!B:B,C486)=0),
"Bloqueada",
"Desechable")),""
)</f>
        <v/>
      </c>
      <c r="J486" t="str" cm="1">
        <f t="array" aca="1" ref="J486" ca="1">IF(ISNUMBER(A486),IFERROR(_xlfn._xlws.FILTER(Equipar!A:A,(Equipar!B:B=1)*(Equipar!AC:AC=A486)),""),"")</f>
        <v/>
      </c>
    </row>
    <row r="487" spans="1:10" x14ac:dyDescent="0.25">
      <c r="A487" s="1" t="str">
        <f ca="1">IF(A486="ID",1,IF(ISBLANK(B487),"",MAX(A$2:A486)+1))</f>
        <v/>
      </c>
      <c r="I487" s="2" t="str">
        <f ca="1">IF(ISNUMBER(A487),
IF(COUNTIFS(Equipar!B:B,1,Equipar!AC:AC,A487),"Equipada",
IF(
OR(COUNTIFS(Equipar!B:B,1,Equipar!C:C,A487)
 +COUNTIFS(Equipar!B:B,1,Equipar!D:D,A487)
+COUNTIFS(Equipar!B:B,1,Equipar!E:E,A487)
+COUNTIFS(Equipar!B:B,1,Equipar!F:F,A487)
&gt;0,COUNTIF('Set recomendado'!B:B,C487)=0),
"Bloqueada",
"Desechable")),""
)</f>
        <v/>
      </c>
      <c r="J487" t="str" cm="1">
        <f t="array" aca="1" ref="J487" ca="1">IF(ISNUMBER(A487),IFERROR(_xlfn._xlws.FILTER(Equipar!A:A,(Equipar!B:B=1)*(Equipar!AC:AC=A487)),""),"")</f>
        <v/>
      </c>
    </row>
    <row r="488" spans="1:10" x14ac:dyDescent="0.25">
      <c r="A488" s="1" t="str">
        <f ca="1">IF(A487="ID",1,IF(ISBLANK(B488),"",MAX(A$2:A487)+1))</f>
        <v/>
      </c>
      <c r="I488" s="2" t="str">
        <f ca="1">IF(ISNUMBER(A488),
IF(COUNTIFS(Equipar!B:B,1,Equipar!AC:AC,A488),"Equipada",
IF(
OR(COUNTIFS(Equipar!B:B,1,Equipar!C:C,A488)
 +COUNTIFS(Equipar!B:B,1,Equipar!D:D,A488)
+COUNTIFS(Equipar!B:B,1,Equipar!E:E,A488)
+COUNTIFS(Equipar!B:B,1,Equipar!F:F,A488)
&gt;0,COUNTIF('Set recomendado'!B:B,C488)=0),
"Bloqueada",
"Desechable")),""
)</f>
        <v/>
      </c>
      <c r="J488" t="str" cm="1">
        <f t="array" aca="1" ref="J488" ca="1">IF(ISNUMBER(A488),IFERROR(_xlfn._xlws.FILTER(Equipar!A:A,(Equipar!B:B=1)*(Equipar!AC:AC=A488)),""),"")</f>
        <v/>
      </c>
    </row>
    <row r="489" spans="1:10" x14ac:dyDescent="0.25">
      <c r="A489" s="1" t="str">
        <f ca="1">IF(A488="ID",1,IF(ISBLANK(B489),"",MAX(A$2:A488)+1))</f>
        <v/>
      </c>
      <c r="I489" s="2" t="str">
        <f ca="1">IF(ISNUMBER(A489),
IF(COUNTIFS(Equipar!B:B,1,Equipar!AC:AC,A489),"Equipada",
IF(
OR(COUNTIFS(Equipar!B:B,1,Equipar!C:C,A489)
 +COUNTIFS(Equipar!B:B,1,Equipar!D:D,A489)
+COUNTIFS(Equipar!B:B,1,Equipar!E:E,A489)
+COUNTIFS(Equipar!B:B,1,Equipar!F:F,A489)
&gt;0,COUNTIF('Set recomendado'!B:B,C489)=0),
"Bloqueada",
"Desechable")),""
)</f>
        <v/>
      </c>
      <c r="J489" t="str" cm="1">
        <f t="array" aca="1" ref="J489" ca="1">IF(ISNUMBER(A489),IFERROR(_xlfn._xlws.FILTER(Equipar!A:A,(Equipar!B:B=1)*(Equipar!AC:AC=A489)),""),"")</f>
        <v/>
      </c>
    </row>
    <row r="490" spans="1:10" x14ac:dyDescent="0.25">
      <c r="A490" s="1" t="str">
        <f ca="1">IF(A489="ID",1,IF(ISBLANK(B490),"",MAX(A$2:A489)+1))</f>
        <v/>
      </c>
      <c r="I490" s="2" t="str">
        <f ca="1">IF(ISNUMBER(A490),
IF(COUNTIFS(Equipar!B:B,1,Equipar!AC:AC,A490),"Equipada",
IF(
OR(COUNTIFS(Equipar!B:B,1,Equipar!C:C,A490)
 +COUNTIFS(Equipar!B:B,1,Equipar!D:D,A490)
+COUNTIFS(Equipar!B:B,1,Equipar!E:E,A490)
+COUNTIFS(Equipar!B:B,1,Equipar!F:F,A490)
&gt;0,COUNTIF('Set recomendado'!B:B,C490)=0),
"Bloqueada",
"Desechable")),""
)</f>
        <v/>
      </c>
      <c r="J490" t="str" cm="1">
        <f t="array" aca="1" ref="J490" ca="1">IF(ISNUMBER(A490),IFERROR(_xlfn._xlws.FILTER(Equipar!A:A,(Equipar!B:B=1)*(Equipar!AC:AC=A490)),""),"")</f>
        <v/>
      </c>
    </row>
    <row r="491" spans="1:10" x14ac:dyDescent="0.25">
      <c r="A491" s="1" t="str">
        <f ca="1">IF(A490="ID",1,IF(ISBLANK(B491),"",MAX(A$2:A490)+1))</f>
        <v/>
      </c>
      <c r="I491" s="2" t="str">
        <f ca="1">IF(ISNUMBER(A491),
IF(COUNTIFS(Equipar!B:B,1,Equipar!AC:AC,A491),"Equipada",
IF(
OR(COUNTIFS(Equipar!B:B,1,Equipar!C:C,A491)
 +COUNTIFS(Equipar!B:B,1,Equipar!D:D,A491)
+COUNTIFS(Equipar!B:B,1,Equipar!E:E,A491)
+COUNTIFS(Equipar!B:B,1,Equipar!F:F,A491)
&gt;0,COUNTIF('Set recomendado'!B:B,C491)=0),
"Bloqueada",
"Desechable")),""
)</f>
        <v/>
      </c>
      <c r="J491" t="str" cm="1">
        <f t="array" aca="1" ref="J491" ca="1">IF(ISNUMBER(A491),IFERROR(_xlfn._xlws.FILTER(Equipar!A:A,(Equipar!B:B=1)*(Equipar!AC:AC=A491)),""),"")</f>
        <v/>
      </c>
    </row>
    <row r="492" spans="1:10" x14ac:dyDescent="0.25">
      <c r="A492" s="1" t="str">
        <f ca="1">IF(A491="ID",1,IF(ISBLANK(B492),"",MAX(A$2:A491)+1))</f>
        <v/>
      </c>
      <c r="I492" s="2" t="str">
        <f ca="1">IF(ISNUMBER(A492),
IF(COUNTIFS(Equipar!B:B,1,Equipar!AC:AC,A492),"Equipada",
IF(
OR(COUNTIFS(Equipar!B:B,1,Equipar!C:C,A492)
 +COUNTIFS(Equipar!B:B,1,Equipar!D:D,A492)
+COUNTIFS(Equipar!B:B,1,Equipar!E:E,A492)
+COUNTIFS(Equipar!B:B,1,Equipar!F:F,A492)
&gt;0,COUNTIF('Set recomendado'!B:B,C492)=0),
"Bloqueada",
"Desechable")),""
)</f>
        <v/>
      </c>
      <c r="J492" t="str" cm="1">
        <f t="array" aca="1" ref="J492" ca="1">IF(ISNUMBER(A492),IFERROR(_xlfn._xlws.FILTER(Equipar!A:A,(Equipar!B:B=1)*(Equipar!AC:AC=A492)),""),"")</f>
        <v/>
      </c>
    </row>
    <row r="493" spans="1:10" x14ac:dyDescent="0.25">
      <c r="A493" s="1" t="str">
        <f ca="1">IF(A492="ID",1,IF(ISBLANK(B493),"",MAX(A$2:A492)+1))</f>
        <v/>
      </c>
      <c r="I493" s="2" t="str">
        <f ca="1">IF(ISNUMBER(A493),
IF(COUNTIFS(Equipar!B:B,1,Equipar!AC:AC,A493),"Equipada",
IF(
OR(COUNTIFS(Equipar!B:B,1,Equipar!C:C,A493)
 +COUNTIFS(Equipar!B:B,1,Equipar!D:D,A493)
+COUNTIFS(Equipar!B:B,1,Equipar!E:E,A493)
+COUNTIFS(Equipar!B:B,1,Equipar!F:F,A493)
&gt;0,COUNTIF('Set recomendado'!B:B,C493)=0),
"Bloqueada",
"Desechable")),""
)</f>
        <v/>
      </c>
      <c r="J493" t="str" cm="1">
        <f t="array" aca="1" ref="J493" ca="1">IF(ISNUMBER(A493),IFERROR(_xlfn._xlws.FILTER(Equipar!A:A,(Equipar!B:B=1)*(Equipar!AC:AC=A493)),""),"")</f>
        <v/>
      </c>
    </row>
    <row r="494" spans="1:10" x14ac:dyDescent="0.25">
      <c r="A494" s="1" t="str">
        <f ca="1">IF(A493="ID",1,IF(ISBLANK(B494),"",MAX(A$2:A493)+1))</f>
        <v/>
      </c>
      <c r="I494" s="2" t="str">
        <f ca="1">IF(ISNUMBER(A494),
IF(COUNTIFS(Equipar!B:B,1,Equipar!AC:AC,A494),"Equipada",
IF(
OR(COUNTIFS(Equipar!B:B,1,Equipar!C:C,A494)
 +COUNTIFS(Equipar!B:B,1,Equipar!D:D,A494)
+COUNTIFS(Equipar!B:B,1,Equipar!E:E,A494)
+COUNTIFS(Equipar!B:B,1,Equipar!F:F,A494)
&gt;0,COUNTIF('Set recomendado'!B:B,C494)=0),
"Bloqueada",
"Desechable")),""
)</f>
        <v/>
      </c>
      <c r="J494" t="str" cm="1">
        <f t="array" aca="1" ref="J494" ca="1">IF(ISNUMBER(A494),IFERROR(_xlfn._xlws.FILTER(Equipar!A:A,(Equipar!B:B=1)*(Equipar!AC:AC=A494)),""),"")</f>
        <v/>
      </c>
    </row>
    <row r="495" spans="1:10" x14ac:dyDescent="0.25">
      <c r="A495" s="1" t="str">
        <f ca="1">IF(A494="ID",1,IF(ISBLANK(B495),"",MAX(A$2:A494)+1))</f>
        <v/>
      </c>
      <c r="I495" s="2" t="str">
        <f ca="1">IF(ISNUMBER(A495),
IF(COUNTIFS(Equipar!B:B,1,Equipar!AC:AC,A495),"Equipada",
IF(
OR(COUNTIFS(Equipar!B:B,1,Equipar!C:C,A495)
 +COUNTIFS(Equipar!B:B,1,Equipar!D:D,A495)
+COUNTIFS(Equipar!B:B,1,Equipar!E:E,A495)
+COUNTIFS(Equipar!B:B,1,Equipar!F:F,A495)
&gt;0,COUNTIF('Set recomendado'!B:B,C495)=0),
"Bloqueada",
"Desechable")),""
)</f>
        <v/>
      </c>
      <c r="J495" t="str" cm="1">
        <f t="array" aca="1" ref="J495" ca="1">IF(ISNUMBER(A495),IFERROR(_xlfn._xlws.FILTER(Equipar!A:A,(Equipar!B:B=1)*(Equipar!AC:AC=A495)),""),"")</f>
        <v/>
      </c>
    </row>
    <row r="496" spans="1:10" x14ac:dyDescent="0.25">
      <c r="A496" s="1" t="str">
        <f ca="1">IF(A495="ID",1,IF(ISBLANK(B496),"",MAX(A$2:A495)+1))</f>
        <v/>
      </c>
      <c r="I496" s="2" t="str">
        <f ca="1">IF(ISNUMBER(A496),
IF(COUNTIFS(Equipar!B:B,1,Equipar!AC:AC,A496),"Equipada",
IF(
OR(COUNTIFS(Equipar!B:B,1,Equipar!C:C,A496)
 +COUNTIFS(Equipar!B:B,1,Equipar!D:D,A496)
+COUNTIFS(Equipar!B:B,1,Equipar!E:E,A496)
+COUNTIFS(Equipar!B:B,1,Equipar!F:F,A496)
&gt;0,COUNTIF('Set recomendado'!B:B,C496)=0),
"Bloqueada",
"Desechable")),""
)</f>
        <v/>
      </c>
      <c r="J496" t="str" cm="1">
        <f t="array" aca="1" ref="J496" ca="1">IF(ISNUMBER(A496),IFERROR(_xlfn._xlws.FILTER(Equipar!A:A,(Equipar!B:B=1)*(Equipar!AC:AC=A496)),""),"")</f>
        <v/>
      </c>
    </row>
    <row r="497" spans="1:10" x14ac:dyDescent="0.25">
      <c r="A497" s="1" t="str">
        <f ca="1">IF(A496="ID",1,IF(ISBLANK(B497),"",MAX(A$2:A496)+1))</f>
        <v/>
      </c>
      <c r="I497" s="2" t="str">
        <f ca="1">IF(ISNUMBER(A497),
IF(COUNTIFS(Equipar!B:B,1,Equipar!AC:AC,A497),"Equipada",
IF(
OR(COUNTIFS(Equipar!B:B,1,Equipar!C:C,A497)
 +COUNTIFS(Equipar!B:B,1,Equipar!D:D,A497)
+COUNTIFS(Equipar!B:B,1,Equipar!E:E,A497)
+COUNTIFS(Equipar!B:B,1,Equipar!F:F,A497)
&gt;0,COUNTIF('Set recomendado'!B:B,C497)=0),
"Bloqueada",
"Desechable")),""
)</f>
        <v/>
      </c>
      <c r="J497" t="str" cm="1">
        <f t="array" aca="1" ref="J497" ca="1">IF(ISNUMBER(A497),IFERROR(_xlfn._xlws.FILTER(Equipar!A:A,(Equipar!B:B=1)*(Equipar!AC:AC=A497)),""),"")</f>
        <v/>
      </c>
    </row>
    <row r="498" spans="1:10" x14ac:dyDescent="0.25">
      <c r="A498" s="1" t="str">
        <f ca="1">IF(A497="ID",1,IF(ISBLANK(B498),"",MAX(A$2:A497)+1))</f>
        <v/>
      </c>
      <c r="I498" s="2" t="str">
        <f ca="1">IF(ISNUMBER(A498),
IF(COUNTIFS(Equipar!B:B,1,Equipar!AC:AC,A498),"Equipada",
IF(
OR(COUNTIFS(Equipar!B:B,1,Equipar!C:C,A498)
 +COUNTIFS(Equipar!B:B,1,Equipar!D:D,A498)
+COUNTIFS(Equipar!B:B,1,Equipar!E:E,A498)
+COUNTIFS(Equipar!B:B,1,Equipar!F:F,A498)
&gt;0,COUNTIF('Set recomendado'!B:B,C498)=0),
"Bloqueada",
"Desechable")),""
)</f>
        <v/>
      </c>
      <c r="J498" t="str" cm="1">
        <f t="array" aca="1" ref="J498" ca="1">IF(ISNUMBER(A498),IFERROR(_xlfn._xlws.FILTER(Equipar!A:A,(Equipar!B:B=1)*(Equipar!AC:AC=A498)),""),"")</f>
        <v/>
      </c>
    </row>
    <row r="499" spans="1:10" x14ac:dyDescent="0.25">
      <c r="A499" s="1" t="str">
        <f ca="1">IF(A498="ID",1,IF(ISBLANK(B499),"",MAX(A$2:A498)+1))</f>
        <v/>
      </c>
      <c r="I499" s="2" t="str">
        <f ca="1">IF(ISNUMBER(A499),
IF(COUNTIFS(Equipar!B:B,1,Equipar!AC:AC,A499),"Equipada",
IF(
OR(COUNTIFS(Equipar!B:B,1,Equipar!C:C,A499)
 +COUNTIFS(Equipar!B:B,1,Equipar!D:D,A499)
+COUNTIFS(Equipar!B:B,1,Equipar!E:E,A499)
+COUNTIFS(Equipar!B:B,1,Equipar!F:F,A499)
&gt;0,COUNTIF('Set recomendado'!B:B,C499)=0),
"Bloqueada",
"Desechable")),""
)</f>
        <v/>
      </c>
      <c r="J499" t="str" cm="1">
        <f t="array" aca="1" ref="J499" ca="1">IF(ISNUMBER(A499),IFERROR(_xlfn._xlws.FILTER(Equipar!A:A,(Equipar!B:B=1)*(Equipar!AC:AC=A499)),""),"")</f>
        <v/>
      </c>
    </row>
    <row r="500" spans="1:10" x14ac:dyDescent="0.25">
      <c r="A500" s="1" t="str">
        <f ca="1">IF(A499="ID",1,IF(ISBLANK(B500),"",MAX(A$2:A499)+1))</f>
        <v/>
      </c>
      <c r="I500" s="2" t="str">
        <f ca="1">IF(ISNUMBER(A500),
IF(COUNTIFS(Equipar!B:B,1,Equipar!AC:AC,A500),"Equipada",
IF(
OR(COUNTIFS(Equipar!B:B,1,Equipar!C:C,A500)
 +COUNTIFS(Equipar!B:B,1,Equipar!D:D,A500)
+COUNTIFS(Equipar!B:B,1,Equipar!E:E,A500)
+COUNTIFS(Equipar!B:B,1,Equipar!F:F,A500)
&gt;0,COUNTIF('Set recomendado'!B:B,C500)=0),
"Bloqueada",
"Desechable")),""
)</f>
        <v/>
      </c>
      <c r="J500" t="str" cm="1">
        <f t="array" aca="1" ref="J500" ca="1">IF(ISNUMBER(A500),IFERROR(_xlfn._xlws.FILTER(Equipar!A:A,(Equipar!B:B=1)*(Equipar!AC:AC=A500)),""),"")</f>
        <v/>
      </c>
    </row>
    <row r="501" spans="1:10" x14ac:dyDescent="0.25">
      <c r="A501" s="1" t="str">
        <f ca="1">IF(A500="ID",1,IF(ISBLANK(B501),"",MAX(A$2:A500)+1))</f>
        <v/>
      </c>
      <c r="I501" s="2" t="str">
        <f ca="1">IF(ISNUMBER(A501),
IF(COUNTIFS(Equipar!B:B,1,Equipar!AC:AC,A501),"Equipada",
IF(
OR(COUNTIFS(Equipar!B:B,1,Equipar!C:C,A501)
 +COUNTIFS(Equipar!B:B,1,Equipar!D:D,A501)
+COUNTIFS(Equipar!B:B,1,Equipar!E:E,A501)
+COUNTIFS(Equipar!B:B,1,Equipar!F:F,A501)
&gt;0,COUNTIF('Set recomendado'!B:B,C501)=0),
"Bloqueada",
"Desechable")),""
)</f>
        <v/>
      </c>
      <c r="J501" t="str" cm="1">
        <f t="array" aca="1" ref="J501" ca="1">IF(ISNUMBER(A501),IFERROR(_xlfn._xlws.FILTER(Equipar!A:A,(Equipar!B:B=1)*(Equipar!AC:AC=A501)),""),"")</f>
        <v/>
      </c>
    </row>
    <row r="502" spans="1:10" x14ac:dyDescent="0.25">
      <c r="A502" s="1" t="str">
        <f ca="1">IF(A501="ID",1,IF(ISBLANK(B502),"",MAX(A$2:A501)+1))</f>
        <v/>
      </c>
      <c r="I502" s="2" t="str">
        <f ca="1">IF(ISNUMBER(A502),
IF(COUNTIFS(Equipar!B:B,1,Equipar!AC:AC,A502),"Equipada",
IF(
OR(COUNTIFS(Equipar!B:B,1,Equipar!C:C,A502)
 +COUNTIFS(Equipar!B:B,1,Equipar!D:D,A502)
+COUNTIFS(Equipar!B:B,1,Equipar!E:E,A502)
+COUNTIFS(Equipar!B:B,1,Equipar!F:F,A502)
&gt;0,COUNTIF('Set recomendado'!B:B,C502)=0),
"Bloqueada",
"Desechable")),""
)</f>
        <v/>
      </c>
      <c r="J502" t="str" cm="1">
        <f t="array" aca="1" ref="J502" ca="1">IF(ISNUMBER(A502),IFERROR(_xlfn._xlws.FILTER(Equipar!A:A,(Equipar!B:B=1)*(Equipar!AC:AC=A502)),""),"")</f>
        <v/>
      </c>
    </row>
    <row r="503" spans="1:10" x14ac:dyDescent="0.25">
      <c r="A503" s="1" t="str">
        <f ca="1">IF(A502="ID",1,IF(ISBLANK(B503),"",MAX(A$2:A502)+1))</f>
        <v/>
      </c>
      <c r="I503" s="2" t="str">
        <f ca="1">IF(ISNUMBER(A503),
IF(COUNTIFS(Equipar!B:B,1,Equipar!AC:AC,A503),"Equipada",
IF(
OR(COUNTIFS(Equipar!B:B,1,Equipar!C:C,A503)
 +COUNTIFS(Equipar!B:B,1,Equipar!D:D,A503)
+COUNTIFS(Equipar!B:B,1,Equipar!E:E,A503)
+COUNTIFS(Equipar!B:B,1,Equipar!F:F,A503)
&gt;0,COUNTIF('Set recomendado'!B:B,C503)=0),
"Bloqueada",
"Desechable")),""
)</f>
        <v/>
      </c>
      <c r="J503" t="str" cm="1">
        <f t="array" aca="1" ref="J503" ca="1">IF(ISNUMBER(A503),IFERROR(_xlfn._xlws.FILTER(Equipar!A:A,(Equipar!B:B=1)*(Equipar!AC:AC=A503)),""),"")</f>
        <v/>
      </c>
    </row>
    <row r="504" spans="1:10" x14ac:dyDescent="0.25">
      <c r="A504" s="1" t="str">
        <f ca="1">IF(A503="ID",1,IF(ISBLANK(B504),"",MAX(A$2:A503)+1))</f>
        <v/>
      </c>
      <c r="I504" s="2" t="str">
        <f ca="1">IF(ISNUMBER(A504),
IF(COUNTIFS(Equipar!B:B,1,Equipar!AC:AC,A504),"Equipada",
IF(
OR(COUNTIFS(Equipar!B:B,1,Equipar!C:C,A504)
 +COUNTIFS(Equipar!B:B,1,Equipar!D:D,A504)
+COUNTIFS(Equipar!B:B,1,Equipar!E:E,A504)
+COUNTIFS(Equipar!B:B,1,Equipar!F:F,A504)
&gt;0,COUNTIF('Set recomendado'!B:B,C504)=0),
"Bloqueada",
"Desechable")),""
)</f>
        <v/>
      </c>
      <c r="J504" t="str" cm="1">
        <f t="array" aca="1" ref="J504" ca="1">IF(ISNUMBER(A504),IFERROR(_xlfn._xlws.FILTER(Equipar!A:A,(Equipar!B:B=1)*(Equipar!AC:AC=A504)),""),"")</f>
        <v/>
      </c>
    </row>
    <row r="505" spans="1:10" x14ac:dyDescent="0.25">
      <c r="A505" s="1" t="str">
        <f ca="1">IF(A504="ID",1,IF(ISBLANK(B505),"",MAX(A$2:A504)+1))</f>
        <v/>
      </c>
      <c r="I505" s="2" t="str">
        <f ca="1">IF(ISNUMBER(A505),
IF(COUNTIFS(Equipar!B:B,1,Equipar!AC:AC,A505),"Equipada",
IF(
OR(COUNTIFS(Equipar!B:B,1,Equipar!C:C,A505)
 +COUNTIFS(Equipar!B:B,1,Equipar!D:D,A505)
+COUNTIFS(Equipar!B:B,1,Equipar!E:E,A505)
+COUNTIFS(Equipar!B:B,1,Equipar!F:F,A505)
&gt;0,COUNTIF('Set recomendado'!B:B,C505)=0),
"Bloqueada",
"Desechable")),""
)</f>
        <v/>
      </c>
      <c r="J505" t="str" cm="1">
        <f t="array" aca="1" ref="J505" ca="1">IF(ISNUMBER(A505),IFERROR(_xlfn._xlws.FILTER(Equipar!A:A,(Equipar!B:B=1)*(Equipar!AC:AC=A505)),""),"")</f>
        <v/>
      </c>
    </row>
    <row r="506" spans="1:10" x14ac:dyDescent="0.25">
      <c r="A506" s="1" t="str">
        <f ca="1">IF(A505="ID",1,IF(ISBLANK(B506),"",MAX(A$2:A505)+1))</f>
        <v/>
      </c>
      <c r="I506" s="2" t="str">
        <f ca="1">IF(ISNUMBER(A506),
IF(COUNTIFS(Equipar!B:B,1,Equipar!AC:AC,A506),"Equipada",
IF(
OR(COUNTIFS(Equipar!B:B,1,Equipar!C:C,A506)
 +COUNTIFS(Equipar!B:B,1,Equipar!D:D,A506)
+COUNTIFS(Equipar!B:B,1,Equipar!E:E,A506)
+COUNTIFS(Equipar!B:B,1,Equipar!F:F,A506)
&gt;0,COUNTIF('Set recomendado'!B:B,C506)=0),
"Bloqueada",
"Desechable")),""
)</f>
        <v/>
      </c>
      <c r="J506" t="str" cm="1">
        <f t="array" aca="1" ref="J506" ca="1">IF(ISNUMBER(A506),IFERROR(_xlfn._xlws.FILTER(Equipar!A:A,(Equipar!B:B=1)*(Equipar!AC:AC=A506)),""),"")</f>
        <v/>
      </c>
    </row>
    <row r="507" spans="1:10" x14ac:dyDescent="0.25">
      <c r="A507" s="1" t="str">
        <f ca="1">IF(A506="ID",1,IF(ISBLANK(B507),"",MAX(A$2:A506)+1))</f>
        <v/>
      </c>
      <c r="I507" s="2" t="str">
        <f ca="1">IF(ISNUMBER(A507),
IF(COUNTIFS(Equipar!B:B,1,Equipar!AC:AC,A507),"Equipada",
IF(
OR(COUNTIFS(Equipar!B:B,1,Equipar!C:C,A507)
 +COUNTIFS(Equipar!B:B,1,Equipar!D:D,A507)
+COUNTIFS(Equipar!B:B,1,Equipar!E:E,A507)
+COUNTIFS(Equipar!B:B,1,Equipar!F:F,A507)
&gt;0,COUNTIF('Set recomendado'!B:B,C507)=0),
"Bloqueada",
"Desechable")),""
)</f>
        <v/>
      </c>
      <c r="J507" t="str" cm="1">
        <f t="array" aca="1" ref="J507" ca="1">IF(ISNUMBER(A507),IFERROR(_xlfn._xlws.FILTER(Equipar!A:A,(Equipar!B:B=1)*(Equipar!AC:AC=A507)),""),"")</f>
        <v/>
      </c>
    </row>
    <row r="508" spans="1:10" x14ac:dyDescent="0.25">
      <c r="A508" s="1" t="str">
        <f ca="1">IF(A507="ID",1,IF(ISBLANK(B508),"",MAX(A$2:A507)+1))</f>
        <v/>
      </c>
      <c r="I508" s="2" t="str">
        <f ca="1">IF(ISNUMBER(A508),
IF(COUNTIFS(Equipar!B:B,1,Equipar!AC:AC,A508),"Equipada",
IF(
OR(COUNTIFS(Equipar!B:B,1,Equipar!C:C,A508)
 +COUNTIFS(Equipar!B:B,1,Equipar!D:D,A508)
+COUNTIFS(Equipar!B:B,1,Equipar!E:E,A508)
+COUNTIFS(Equipar!B:B,1,Equipar!F:F,A508)
&gt;0,COUNTIF('Set recomendado'!B:B,C508)=0),
"Bloqueada",
"Desechable")),""
)</f>
        <v/>
      </c>
      <c r="J508" t="str" cm="1">
        <f t="array" aca="1" ref="J508" ca="1">IF(ISNUMBER(A508),IFERROR(_xlfn._xlws.FILTER(Equipar!A:A,(Equipar!B:B=1)*(Equipar!AC:AC=A508)),""),"")</f>
        <v/>
      </c>
    </row>
    <row r="509" spans="1:10" x14ac:dyDescent="0.25">
      <c r="A509" s="1" t="str">
        <f ca="1">IF(A508="ID",1,IF(ISBLANK(B509),"",MAX(A$2:A508)+1))</f>
        <v/>
      </c>
      <c r="I509" s="2" t="str">
        <f ca="1">IF(ISNUMBER(A509),
IF(COUNTIFS(Equipar!B:B,1,Equipar!AC:AC,A509),"Equipada",
IF(
OR(COUNTIFS(Equipar!B:B,1,Equipar!C:C,A509)
 +COUNTIFS(Equipar!B:B,1,Equipar!D:D,A509)
+COUNTIFS(Equipar!B:B,1,Equipar!E:E,A509)
+COUNTIFS(Equipar!B:B,1,Equipar!F:F,A509)
&gt;0,COUNTIF('Set recomendado'!B:B,C509)=0),
"Bloqueada",
"Desechable")),""
)</f>
        <v/>
      </c>
      <c r="J509" t="str" cm="1">
        <f t="array" aca="1" ref="J509" ca="1">IF(ISNUMBER(A509),IFERROR(_xlfn._xlws.FILTER(Equipar!A:A,(Equipar!B:B=1)*(Equipar!AC:AC=A509)),""),"")</f>
        <v/>
      </c>
    </row>
    <row r="510" spans="1:10" x14ac:dyDescent="0.25">
      <c r="A510" s="1" t="str">
        <f ca="1">IF(A509="ID",1,IF(ISBLANK(B510),"",MAX(A$2:A509)+1))</f>
        <v/>
      </c>
      <c r="I510" s="2" t="str">
        <f ca="1">IF(ISNUMBER(A510),
IF(COUNTIFS(Equipar!B:B,1,Equipar!AC:AC,A510),"Equipada",
IF(
OR(COUNTIFS(Equipar!B:B,1,Equipar!C:C,A510)
 +COUNTIFS(Equipar!B:B,1,Equipar!D:D,A510)
+COUNTIFS(Equipar!B:B,1,Equipar!E:E,A510)
+COUNTIFS(Equipar!B:B,1,Equipar!F:F,A510)
&gt;0,COUNTIF('Set recomendado'!B:B,C510)=0),
"Bloqueada",
"Desechable")),""
)</f>
        <v/>
      </c>
      <c r="J510" t="str" cm="1">
        <f t="array" aca="1" ref="J510" ca="1">IF(ISNUMBER(A510),IFERROR(_xlfn._xlws.FILTER(Equipar!A:A,(Equipar!B:B=1)*(Equipar!AC:AC=A510)),""),"")</f>
        <v/>
      </c>
    </row>
    <row r="511" spans="1:10" x14ac:dyDescent="0.25">
      <c r="A511" s="1" t="str">
        <f ca="1">IF(A510="ID",1,IF(ISBLANK(B511),"",MAX(A$2:A510)+1))</f>
        <v/>
      </c>
      <c r="I511" s="2" t="str">
        <f ca="1">IF(ISNUMBER(A511),
IF(COUNTIFS(Equipar!B:B,1,Equipar!AC:AC,A511),"Equipada",
IF(
OR(COUNTIFS(Equipar!B:B,1,Equipar!C:C,A511)
 +COUNTIFS(Equipar!B:B,1,Equipar!D:D,A511)
+COUNTIFS(Equipar!B:B,1,Equipar!E:E,A511)
+COUNTIFS(Equipar!B:B,1,Equipar!F:F,A511)
&gt;0,COUNTIF('Set recomendado'!B:B,C511)=0),
"Bloqueada",
"Desechable")),""
)</f>
        <v/>
      </c>
      <c r="J511" t="str" cm="1">
        <f t="array" aca="1" ref="J511" ca="1">IF(ISNUMBER(A511),IFERROR(_xlfn._xlws.FILTER(Equipar!A:A,(Equipar!B:B=1)*(Equipar!AC:AC=A511)),""),"")</f>
        <v/>
      </c>
    </row>
    <row r="512" spans="1:10" x14ac:dyDescent="0.25">
      <c r="A512" s="1" t="str">
        <f ca="1">IF(A511="ID",1,IF(ISBLANK(B512),"",MAX(A$2:A511)+1))</f>
        <v/>
      </c>
      <c r="I512" s="2" t="str">
        <f ca="1">IF(ISNUMBER(A512),
IF(COUNTIFS(Equipar!B:B,1,Equipar!AC:AC,A512),"Equipada",
IF(
OR(COUNTIFS(Equipar!B:B,1,Equipar!C:C,A512)
 +COUNTIFS(Equipar!B:B,1,Equipar!D:D,A512)
+COUNTIFS(Equipar!B:B,1,Equipar!E:E,A512)
+COUNTIFS(Equipar!B:B,1,Equipar!F:F,A512)
&gt;0,COUNTIF('Set recomendado'!B:B,C512)=0),
"Bloqueada",
"Desechable")),""
)</f>
        <v/>
      </c>
      <c r="J512" t="str" cm="1">
        <f t="array" aca="1" ref="J512" ca="1">IF(ISNUMBER(A512),IFERROR(_xlfn._xlws.FILTER(Equipar!A:A,(Equipar!B:B=1)*(Equipar!AC:AC=A512)),""),"")</f>
        <v/>
      </c>
    </row>
    <row r="513" spans="1:10" x14ac:dyDescent="0.25">
      <c r="A513" s="1" t="str">
        <f ca="1">IF(A512="ID",1,IF(ISBLANK(B513),"",MAX(A$2:A512)+1))</f>
        <v/>
      </c>
      <c r="I513" s="2" t="str">
        <f ca="1">IF(ISNUMBER(A513),
IF(COUNTIFS(Equipar!B:B,1,Equipar!AC:AC,A513),"Equipada",
IF(
OR(COUNTIFS(Equipar!B:B,1,Equipar!C:C,A513)
 +COUNTIFS(Equipar!B:B,1,Equipar!D:D,A513)
+COUNTIFS(Equipar!B:B,1,Equipar!E:E,A513)
+COUNTIFS(Equipar!B:B,1,Equipar!F:F,A513)
&gt;0,COUNTIF('Set recomendado'!B:B,C513)=0),
"Bloqueada",
"Desechable")),""
)</f>
        <v/>
      </c>
      <c r="J513" t="str" cm="1">
        <f t="array" aca="1" ref="J513" ca="1">IF(ISNUMBER(A513),IFERROR(_xlfn._xlws.FILTER(Equipar!A:A,(Equipar!B:B=1)*(Equipar!AC:AC=A513)),""),"")</f>
        <v/>
      </c>
    </row>
    <row r="514" spans="1:10" x14ac:dyDescent="0.25">
      <c r="A514" s="1" t="str">
        <f ca="1">IF(A513="ID",1,IF(ISBLANK(B514),"",MAX(A$2:A513)+1))</f>
        <v/>
      </c>
      <c r="I514" s="2" t="str">
        <f ca="1">IF(ISNUMBER(A514),
IF(COUNTIFS(Equipar!B:B,1,Equipar!AC:AC,A514),"Equipada",
IF(
OR(COUNTIFS(Equipar!B:B,1,Equipar!C:C,A514)
 +COUNTIFS(Equipar!B:B,1,Equipar!D:D,A514)
+COUNTIFS(Equipar!B:B,1,Equipar!E:E,A514)
+COUNTIFS(Equipar!B:B,1,Equipar!F:F,A514)
&gt;0,COUNTIF('Set recomendado'!B:B,C514)=0),
"Bloqueada",
"Desechable")),""
)</f>
        <v/>
      </c>
      <c r="J514" t="str" cm="1">
        <f t="array" aca="1" ref="J514" ca="1">IF(ISNUMBER(A514),IFERROR(_xlfn._xlws.FILTER(Equipar!A:A,(Equipar!B:B=1)*(Equipar!AC:AC=A514)),""),"")</f>
        <v/>
      </c>
    </row>
    <row r="515" spans="1:10" x14ac:dyDescent="0.25">
      <c r="A515" s="1" t="str">
        <f ca="1">IF(A514="ID",1,IF(ISBLANK(B515),"",MAX(A$2:A514)+1))</f>
        <v/>
      </c>
      <c r="I515" s="2" t="str">
        <f ca="1">IF(ISNUMBER(A515),
IF(COUNTIFS(Equipar!B:B,1,Equipar!AC:AC,A515),"Equipada",
IF(
OR(COUNTIFS(Equipar!B:B,1,Equipar!C:C,A515)
 +COUNTIFS(Equipar!B:B,1,Equipar!D:D,A515)
+COUNTIFS(Equipar!B:B,1,Equipar!E:E,A515)
+COUNTIFS(Equipar!B:B,1,Equipar!F:F,A515)
&gt;0,COUNTIF('Set recomendado'!B:B,C515)=0),
"Bloqueada",
"Desechable")),""
)</f>
        <v/>
      </c>
      <c r="J515" t="str" cm="1">
        <f t="array" aca="1" ref="J515" ca="1">IF(ISNUMBER(A515),IFERROR(_xlfn._xlws.FILTER(Equipar!A:A,(Equipar!B:B=1)*(Equipar!AC:AC=A515)),""),"")</f>
        <v/>
      </c>
    </row>
    <row r="516" spans="1:10" x14ac:dyDescent="0.25">
      <c r="A516" s="1" t="str">
        <f ca="1">IF(A515="ID",1,IF(ISBLANK(B516),"",MAX(A$2:A515)+1))</f>
        <v/>
      </c>
      <c r="I516" s="2" t="str">
        <f ca="1">IF(ISNUMBER(A516),
IF(COUNTIFS(Equipar!B:B,1,Equipar!AC:AC,A516),"Equipada",
IF(
OR(COUNTIFS(Equipar!B:B,1,Equipar!C:C,A516)
 +COUNTIFS(Equipar!B:B,1,Equipar!D:D,A516)
+COUNTIFS(Equipar!B:B,1,Equipar!E:E,A516)
+COUNTIFS(Equipar!B:B,1,Equipar!F:F,A516)
&gt;0,COUNTIF('Set recomendado'!B:B,C516)=0),
"Bloqueada",
"Desechable")),""
)</f>
        <v/>
      </c>
      <c r="J516" t="str" cm="1">
        <f t="array" aca="1" ref="J516" ca="1">IF(ISNUMBER(A516),IFERROR(_xlfn._xlws.FILTER(Equipar!A:A,(Equipar!B:B=1)*(Equipar!AC:AC=A516)),""),"")</f>
        <v/>
      </c>
    </row>
    <row r="517" spans="1:10" x14ac:dyDescent="0.25">
      <c r="A517" s="1" t="str">
        <f ca="1">IF(A516="ID",1,IF(ISBLANK(B517),"",MAX(A$2:A516)+1))</f>
        <v/>
      </c>
      <c r="I517" s="2" t="str">
        <f ca="1">IF(ISNUMBER(A517),
IF(COUNTIFS(Equipar!B:B,1,Equipar!AC:AC,A517),"Equipada",
IF(
OR(COUNTIFS(Equipar!B:B,1,Equipar!C:C,A517)
 +COUNTIFS(Equipar!B:B,1,Equipar!D:D,A517)
+COUNTIFS(Equipar!B:B,1,Equipar!E:E,A517)
+COUNTIFS(Equipar!B:B,1,Equipar!F:F,A517)
&gt;0,COUNTIF('Set recomendado'!B:B,C517)=0),
"Bloqueada",
"Desechable")),""
)</f>
        <v/>
      </c>
      <c r="J517" t="str" cm="1">
        <f t="array" aca="1" ref="J517" ca="1">IF(ISNUMBER(A517),IFERROR(_xlfn._xlws.FILTER(Equipar!A:A,(Equipar!B:B=1)*(Equipar!AC:AC=A517)),""),"")</f>
        <v/>
      </c>
    </row>
    <row r="518" spans="1:10" x14ac:dyDescent="0.25">
      <c r="A518" s="1" t="str">
        <f ca="1">IF(A517="ID",1,IF(ISBLANK(B518),"",MAX(A$2:A517)+1))</f>
        <v/>
      </c>
      <c r="I518" s="2" t="str">
        <f ca="1">IF(ISNUMBER(A518),
IF(COUNTIFS(Equipar!B:B,1,Equipar!AC:AC,A518),"Equipada",
IF(
OR(COUNTIFS(Equipar!B:B,1,Equipar!C:C,A518)
 +COUNTIFS(Equipar!B:B,1,Equipar!D:D,A518)
+COUNTIFS(Equipar!B:B,1,Equipar!E:E,A518)
+COUNTIFS(Equipar!B:B,1,Equipar!F:F,A518)
&gt;0,COUNTIF('Set recomendado'!B:B,C518)=0),
"Bloqueada",
"Desechable")),""
)</f>
        <v/>
      </c>
      <c r="J518" t="str" cm="1">
        <f t="array" aca="1" ref="J518" ca="1">IF(ISNUMBER(A518),IFERROR(_xlfn._xlws.FILTER(Equipar!A:A,(Equipar!B:B=1)*(Equipar!AC:AC=A518)),""),"")</f>
        <v/>
      </c>
    </row>
    <row r="519" spans="1:10" x14ac:dyDescent="0.25">
      <c r="A519" s="1" t="str">
        <f ca="1">IF(A518="ID",1,IF(ISBLANK(B519),"",MAX(A$2:A518)+1))</f>
        <v/>
      </c>
      <c r="I519" s="2" t="str">
        <f ca="1">IF(ISNUMBER(A519),
IF(COUNTIFS(Equipar!B:B,1,Equipar!AC:AC,A519),"Equipada",
IF(
OR(COUNTIFS(Equipar!B:B,1,Equipar!C:C,A519)
 +COUNTIFS(Equipar!B:B,1,Equipar!D:D,A519)
+COUNTIFS(Equipar!B:B,1,Equipar!E:E,A519)
+COUNTIFS(Equipar!B:B,1,Equipar!F:F,A519)
&gt;0,COUNTIF('Set recomendado'!B:B,C519)=0),
"Bloqueada",
"Desechable")),""
)</f>
        <v/>
      </c>
      <c r="J519" t="str" cm="1">
        <f t="array" aca="1" ref="J519" ca="1">IF(ISNUMBER(A519),IFERROR(_xlfn._xlws.FILTER(Equipar!A:A,(Equipar!B:B=1)*(Equipar!AC:AC=A519)),""),"")</f>
        <v/>
      </c>
    </row>
    <row r="520" spans="1:10" x14ac:dyDescent="0.25">
      <c r="A520" s="1" t="str">
        <f ca="1">IF(A519="ID",1,IF(ISBLANK(B520),"",MAX(A$2:A519)+1))</f>
        <v/>
      </c>
      <c r="I520" s="2" t="str">
        <f ca="1">IF(ISNUMBER(A520),
IF(COUNTIFS(Equipar!B:B,1,Equipar!AC:AC,A520),"Equipada",
IF(
OR(COUNTIFS(Equipar!B:B,1,Equipar!C:C,A520)
 +COUNTIFS(Equipar!B:B,1,Equipar!D:D,A520)
+COUNTIFS(Equipar!B:B,1,Equipar!E:E,A520)
+COUNTIFS(Equipar!B:B,1,Equipar!F:F,A520)
&gt;0,COUNTIF('Set recomendado'!B:B,C520)=0),
"Bloqueada",
"Desechable")),""
)</f>
        <v/>
      </c>
      <c r="J520" t="str" cm="1">
        <f t="array" aca="1" ref="J520" ca="1">IF(ISNUMBER(A520),IFERROR(_xlfn._xlws.FILTER(Equipar!A:A,(Equipar!B:B=1)*(Equipar!AC:AC=A520)),""),"")</f>
        <v/>
      </c>
    </row>
    <row r="521" spans="1:10" x14ac:dyDescent="0.25">
      <c r="A521" s="1" t="str">
        <f ca="1">IF(A520="ID",1,IF(ISBLANK(B521),"",MAX(A$2:A520)+1))</f>
        <v/>
      </c>
      <c r="I521" s="2" t="str">
        <f ca="1">IF(ISNUMBER(A521),
IF(COUNTIFS(Equipar!B:B,1,Equipar!AC:AC,A521),"Equipada",
IF(
OR(COUNTIFS(Equipar!B:B,1,Equipar!C:C,A521)
 +COUNTIFS(Equipar!B:B,1,Equipar!D:D,A521)
+COUNTIFS(Equipar!B:B,1,Equipar!E:E,A521)
+COUNTIFS(Equipar!B:B,1,Equipar!F:F,A521)
&gt;0,COUNTIF('Set recomendado'!B:B,C521)=0),
"Bloqueada",
"Desechable")),""
)</f>
        <v/>
      </c>
      <c r="J521" t="str" cm="1">
        <f t="array" aca="1" ref="J521" ca="1">IF(ISNUMBER(A521),IFERROR(_xlfn._xlws.FILTER(Equipar!A:A,(Equipar!B:B=1)*(Equipar!AC:AC=A521)),""),"")</f>
        <v/>
      </c>
    </row>
    <row r="522" spans="1:10" x14ac:dyDescent="0.25">
      <c r="A522" s="1" t="str">
        <f ca="1">IF(A521="ID",1,IF(ISBLANK(B522),"",MAX(A$2:A521)+1))</f>
        <v/>
      </c>
      <c r="I522" s="2" t="str">
        <f ca="1">IF(ISNUMBER(A522),
IF(COUNTIFS(Equipar!B:B,1,Equipar!AC:AC,A522),"Equipada",
IF(
OR(COUNTIFS(Equipar!B:B,1,Equipar!C:C,A522)
 +COUNTIFS(Equipar!B:B,1,Equipar!D:D,A522)
+COUNTIFS(Equipar!B:B,1,Equipar!E:E,A522)
+COUNTIFS(Equipar!B:B,1,Equipar!F:F,A522)
&gt;0,COUNTIF('Set recomendado'!B:B,C522)=0),
"Bloqueada",
"Desechable")),""
)</f>
        <v/>
      </c>
      <c r="J522" t="str" cm="1">
        <f t="array" aca="1" ref="J522" ca="1">IF(ISNUMBER(A522),IFERROR(_xlfn._xlws.FILTER(Equipar!A:A,(Equipar!B:B=1)*(Equipar!AC:AC=A522)),""),"")</f>
        <v/>
      </c>
    </row>
    <row r="523" spans="1:10" x14ac:dyDescent="0.25">
      <c r="A523" s="1" t="str">
        <f ca="1">IF(A522="ID",1,IF(ISBLANK(B523),"",MAX(A$2:A522)+1))</f>
        <v/>
      </c>
      <c r="I523" s="2" t="str">
        <f ca="1">IF(ISNUMBER(A523),
IF(COUNTIFS(Equipar!B:B,1,Equipar!AC:AC,A523),"Equipada",
IF(
OR(COUNTIFS(Equipar!B:B,1,Equipar!C:C,A523)
 +COUNTIFS(Equipar!B:B,1,Equipar!D:D,A523)
+COUNTIFS(Equipar!B:B,1,Equipar!E:E,A523)
+COUNTIFS(Equipar!B:B,1,Equipar!F:F,A523)
&gt;0,COUNTIF('Set recomendado'!B:B,C523)=0),
"Bloqueada",
"Desechable")),""
)</f>
        <v/>
      </c>
      <c r="J523" t="str" cm="1">
        <f t="array" aca="1" ref="J523" ca="1">IF(ISNUMBER(A523),IFERROR(_xlfn._xlws.FILTER(Equipar!A:A,(Equipar!B:B=1)*(Equipar!AC:AC=A523)),""),"")</f>
        <v/>
      </c>
    </row>
    <row r="524" spans="1:10" x14ac:dyDescent="0.25">
      <c r="A524" s="1" t="str">
        <f ca="1">IF(A523="ID",1,IF(ISBLANK(B524),"",MAX(A$2:A523)+1))</f>
        <v/>
      </c>
      <c r="I524" s="2" t="str">
        <f ca="1">IF(ISNUMBER(A524),
IF(COUNTIFS(Equipar!B:B,1,Equipar!AC:AC,A524),"Equipada",
IF(
OR(COUNTIFS(Equipar!B:B,1,Equipar!C:C,A524)
 +COUNTIFS(Equipar!B:B,1,Equipar!D:D,A524)
+COUNTIFS(Equipar!B:B,1,Equipar!E:E,A524)
+COUNTIFS(Equipar!B:B,1,Equipar!F:F,A524)
&gt;0,COUNTIF('Set recomendado'!B:B,C524)=0),
"Bloqueada",
"Desechable")),""
)</f>
        <v/>
      </c>
      <c r="J524" t="str" cm="1">
        <f t="array" aca="1" ref="J524" ca="1">IF(ISNUMBER(A524),IFERROR(_xlfn._xlws.FILTER(Equipar!A:A,(Equipar!B:B=1)*(Equipar!AC:AC=A524)),""),"")</f>
        <v/>
      </c>
    </row>
    <row r="525" spans="1:10" x14ac:dyDescent="0.25">
      <c r="A525" s="1" t="str">
        <f ca="1">IF(A524="ID",1,IF(ISBLANK(B525),"",MAX(A$2:A524)+1))</f>
        <v/>
      </c>
      <c r="I525" s="2" t="str">
        <f ca="1">IF(ISNUMBER(A525),
IF(COUNTIFS(Equipar!B:B,1,Equipar!AC:AC,A525),"Equipada",
IF(
OR(COUNTIFS(Equipar!B:B,1,Equipar!C:C,A525)
 +COUNTIFS(Equipar!B:B,1,Equipar!D:D,A525)
+COUNTIFS(Equipar!B:B,1,Equipar!E:E,A525)
+COUNTIFS(Equipar!B:B,1,Equipar!F:F,A525)
&gt;0,COUNTIF('Set recomendado'!B:B,C525)=0),
"Bloqueada",
"Desechable")),""
)</f>
        <v/>
      </c>
      <c r="J525" t="str" cm="1">
        <f t="array" aca="1" ref="J525" ca="1">IF(ISNUMBER(A525),IFERROR(_xlfn._xlws.FILTER(Equipar!A:A,(Equipar!B:B=1)*(Equipar!AC:AC=A525)),""),"")</f>
        <v/>
      </c>
    </row>
    <row r="526" spans="1:10" x14ac:dyDescent="0.25">
      <c r="A526" s="1" t="str">
        <f ca="1">IF(A525="ID",1,IF(ISBLANK(B526),"",MAX(A$2:A525)+1))</f>
        <v/>
      </c>
      <c r="I526" s="2" t="str">
        <f ca="1">IF(ISNUMBER(A526),
IF(COUNTIFS(Equipar!B:B,1,Equipar!AC:AC,A526),"Equipada",
IF(
OR(COUNTIFS(Equipar!B:B,1,Equipar!C:C,A526)
 +COUNTIFS(Equipar!B:B,1,Equipar!D:D,A526)
+COUNTIFS(Equipar!B:B,1,Equipar!E:E,A526)
+COUNTIFS(Equipar!B:B,1,Equipar!F:F,A526)
&gt;0,COUNTIF('Set recomendado'!B:B,C526)=0),
"Bloqueada",
"Desechable")),""
)</f>
        <v/>
      </c>
      <c r="J526" t="str" cm="1">
        <f t="array" aca="1" ref="J526" ca="1">IF(ISNUMBER(A526),IFERROR(_xlfn._xlws.FILTER(Equipar!A:A,(Equipar!B:B=1)*(Equipar!AC:AC=A526)),""),"")</f>
        <v/>
      </c>
    </row>
    <row r="527" spans="1:10" x14ac:dyDescent="0.25">
      <c r="A527" s="1" t="str">
        <f ca="1">IF(A526="ID",1,IF(ISBLANK(B527),"",MAX(A$2:A526)+1))</f>
        <v/>
      </c>
      <c r="I527" s="2" t="str">
        <f ca="1">IF(ISNUMBER(A527),
IF(COUNTIFS(Equipar!B:B,1,Equipar!AC:AC,A527),"Equipada",
IF(
OR(COUNTIFS(Equipar!B:B,1,Equipar!C:C,A527)
 +COUNTIFS(Equipar!B:B,1,Equipar!D:D,A527)
+COUNTIFS(Equipar!B:B,1,Equipar!E:E,A527)
+COUNTIFS(Equipar!B:B,1,Equipar!F:F,A527)
&gt;0,COUNTIF('Set recomendado'!B:B,C527)=0),
"Bloqueada",
"Desechable")),""
)</f>
        <v/>
      </c>
      <c r="J527" t="str" cm="1">
        <f t="array" aca="1" ref="J527" ca="1">IF(ISNUMBER(A527),IFERROR(_xlfn._xlws.FILTER(Equipar!A:A,(Equipar!B:B=1)*(Equipar!AC:AC=A527)),""),"")</f>
        <v/>
      </c>
    </row>
    <row r="528" spans="1:10" x14ac:dyDescent="0.25">
      <c r="A528" s="1" t="str">
        <f ca="1">IF(A527="ID",1,IF(ISBLANK(B528),"",MAX(A$2:A527)+1))</f>
        <v/>
      </c>
      <c r="I528" s="2" t="str">
        <f ca="1">IF(ISNUMBER(A528),
IF(COUNTIFS(Equipar!B:B,1,Equipar!AC:AC,A528),"Equipada",
IF(
OR(COUNTIFS(Equipar!B:B,1,Equipar!C:C,A528)
 +COUNTIFS(Equipar!B:B,1,Equipar!D:D,A528)
+COUNTIFS(Equipar!B:B,1,Equipar!E:E,A528)
+COUNTIFS(Equipar!B:B,1,Equipar!F:F,A528)
&gt;0,COUNTIF('Set recomendado'!B:B,C528)=0),
"Bloqueada",
"Desechable")),""
)</f>
        <v/>
      </c>
      <c r="J528" t="str" cm="1">
        <f t="array" aca="1" ref="J528" ca="1">IF(ISNUMBER(A528),IFERROR(_xlfn._xlws.FILTER(Equipar!A:A,(Equipar!B:B=1)*(Equipar!AC:AC=A528)),""),"")</f>
        <v/>
      </c>
    </row>
    <row r="529" spans="1:10" x14ac:dyDescent="0.25">
      <c r="A529" s="1" t="str">
        <f ca="1">IF(A528="ID",1,IF(ISBLANK(B529),"",MAX(A$2:A528)+1))</f>
        <v/>
      </c>
      <c r="I529" s="2" t="str">
        <f ca="1">IF(ISNUMBER(A529),
IF(COUNTIFS(Equipar!B:B,1,Equipar!AC:AC,A529),"Equipada",
IF(
OR(COUNTIFS(Equipar!B:B,1,Equipar!C:C,A529)
 +COUNTIFS(Equipar!B:B,1,Equipar!D:D,A529)
+COUNTIFS(Equipar!B:B,1,Equipar!E:E,A529)
+COUNTIFS(Equipar!B:B,1,Equipar!F:F,A529)
&gt;0,COUNTIF('Set recomendado'!B:B,C529)=0),
"Bloqueada",
"Desechable")),""
)</f>
        <v/>
      </c>
      <c r="J529" t="str" cm="1">
        <f t="array" aca="1" ref="J529" ca="1">IF(ISNUMBER(A529),IFERROR(_xlfn._xlws.FILTER(Equipar!A:A,(Equipar!B:B=1)*(Equipar!AC:AC=A529)),""),"")</f>
        <v/>
      </c>
    </row>
    <row r="530" spans="1:10" x14ac:dyDescent="0.25">
      <c r="A530" s="1" t="str">
        <f ca="1">IF(A529="ID",1,IF(ISBLANK(B530),"",MAX(A$2:A529)+1))</f>
        <v/>
      </c>
      <c r="I530" s="2" t="str">
        <f ca="1">IF(ISNUMBER(A530),
IF(COUNTIFS(Equipar!B:B,1,Equipar!AC:AC,A530),"Equipada",
IF(
OR(COUNTIFS(Equipar!B:B,1,Equipar!C:C,A530)
 +COUNTIFS(Equipar!B:B,1,Equipar!D:D,A530)
+COUNTIFS(Equipar!B:B,1,Equipar!E:E,A530)
+COUNTIFS(Equipar!B:B,1,Equipar!F:F,A530)
&gt;0,COUNTIF('Set recomendado'!B:B,C530)=0),
"Bloqueada",
"Desechable")),""
)</f>
        <v/>
      </c>
      <c r="J530" t="str" cm="1">
        <f t="array" aca="1" ref="J530" ca="1">IF(ISNUMBER(A530),IFERROR(_xlfn._xlws.FILTER(Equipar!A:A,(Equipar!B:B=1)*(Equipar!AC:AC=A530)),""),"")</f>
        <v/>
      </c>
    </row>
    <row r="531" spans="1:10" x14ac:dyDescent="0.25">
      <c r="A531" s="1" t="str">
        <f ca="1">IF(A530="ID",1,IF(ISBLANK(B531),"",MAX(A$2:A530)+1))</f>
        <v/>
      </c>
      <c r="I531" s="2" t="str">
        <f ca="1">IF(ISNUMBER(A531),
IF(COUNTIFS(Equipar!B:B,1,Equipar!AC:AC,A531),"Equipada",
IF(
OR(COUNTIFS(Equipar!B:B,1,Equipar!C:C,A531)
 +COUNTIFS(Equipar!B:B,1,Equipar!D:D,A531)
+COUNTIFS(Equipar!B:B,1,Equipar!E:E,A531)
+COUNTIFS(Equipar!B:B,1,Equipar!F:F,A531)
&gt;0,COUNTIF('Set recomendado'!B:B,C531)=0),
"Bloqueada",
"Desechable")),""
)</f>
        <v/>
      </c>
      <c r="J531" t="str" cm="1">
        <f t="array" aca="1" ref="J531" ca="1">IF(ISNUMBER(A531),IFERROR(_xlfn._xlws.FILTER(Equipar!A:A,(Equipar!B:B=1)*(Equipar!AC:AC=A531)),""),"")</f>
        <v/>
      </c>
    </row>
    <row r="532" spans="1:10" x14ac:dyDescent="0.25">
      <c r="A532" s="1" t="str">
        <f ca="1">IF(A531="ID",1,IF(ISBLANK(B532),"",MAX(A$2:A531)+1))</f>
        <v/>
      </c>
      <c r="I532" s="2" t="str">
        <f ca="1">IF(ISNUMBER(A532),
IF(COUNTIFS(Equipar!B:B,1,Equipar!AC:AC,A532),"Equipada",
IF(
OR(COUNTIFS(Equipar!B:B,1,Equipar!C:C,A532)
 +COUNTIFS(Equipar!B:B,1,Equipar!D:D,A532)
+COUNTIFS(Equipar!B:B,1,Equipar!E:E,A532)
+COUNTIFS(Equipar!B:B,1,Equipar!F:F,A532)
&gt;0,COUNTIF('Set recomendado'!B:B,C532)=0),
"Bloqueada",
"Desechable")),""
)</f>
        <v/>
      </c>
      <c r="J532" t="str" cm="1">
        <f t="array" aca="1" ref="J532" ca="1">IF(ISNUMBER(A532),IFERROR(_xlfn._xlws.FILTER(Equipar!A:A,(Equipar!B:B=1)*(Equipar!AC:AC=A532)),""),"")</f>
        <v/>
      </c>
    </row>
    <row r="533" spans="1:10" x14ac:dyDescent="0.25">
      <c r="A533" s="1" t="str">
        <f ca="1">IF(A532="ID",1,IF(ISBLANK(B533),"",MAX(A$2:A532)+1))</f>
        <v/>
      </c>
      <c r="I533" s="2" t="str">
        <f ca="1">IF(ISNUMBER(A533),
IF(COUNTIFS(Equipar!B:B,1,Equipar!AC:AC,A533),"Equipada",
IF(
OR(COUNTIFS(Equipar!B:B,1,Equipar!C:C,A533)
 +COUNTIFS(Equipar!B:B,1,Equipar!D:D,A533)
+COUNTIFS(Equipar!B:B,1,Equipar!E:E,A533)
+COUNTIFS(Equipar!B:B,1,Equipar!F:F,A533)
&gt;0,COUNTIF('Set recomendado'!B:B,C533)=0),
"Bloqueada",
"Desechable")),""
)</f>
        <v/>
      </c>
      <c r="J533" t="str" cm="1">
        <f t="array" aca="1" ref="J533" ca="1">IF(ISNUMBER(A533),IFERROR(_xlfn._xlws.FILTER(Equipar!A:A,(Equipar!B:B=1)*(Equipar!AC:AC=A533)),""),"")</f>
        <v/>
      </c>
    </row>
    <row r="534" spans="1:10" x14ac:dyDescent="0.25">
      <c r="A534" s="1" t="str">
        <f ca="1">IF(A533="ID",1,IF(ISBLANK(B534),"",MAX(A$2:A533)+1))</f>
        <v/>
      </c>
      <c r="I534" s="2" t="str">
        <f ca="1">IF(ISNUMBER(A534),
IF(COUNTIFS(Equipar!B:B,1,Equipar!AC:AC,A534),"Equipada",
IF(
OR(COUNTIFS(Equipar!B:B,1,Equipar!C:C,A534)
 +COUNTIFS(Equipar!B:B,1,Equipar!D:D,A534)
+COUNTIFS(Equipar!B:B,1,Equipar!E:E,A534)
+COUNTIFS(Equipar!B:B,1,Equipar!F:F,A534)
&gt;0,COUNTIF('Set recomendado'!B:B,C534)=0),
"Bloqueada",
"Desechable")),""
)</f>
        <v/>
      </c>
      <c r="J534" t="str" cm="1">
        <f t="array" aca="1" ref="J534" ca="1">IF(ISNUMBER(A534),IFERROR(_xlfn._xlws.FILTER(Equipar!A:A,(Equipar!B:B=1)*(Equipar!AC:AC=A534)),""),"")</f>
        <v/>
      </c>
    </row>
    <row r="535" spans="1:10" x14ac:dyDescent="0.25">
      <c r="A535" s="1" t="str">
        <f ca="1">IF(A534="ID",1,IF(ISBLANK(B535),"",MAX(A$2:A534)+1))</f>
        <v/>
      </c>
      <c r="I535" s="2" t="str">
        <f ca="1">IF(ISNUMBER(A535),
IF(COUNTIFS(Equipar!B:B,1,Equipar!AC:AC,A535),"Equipada",
IF(
OR(COUNTIFS(Equipar!B:B,1,Equipar!C:C,A535)
 +COUNTIFS(Equipar!B:B,1,Equipar!D:D,A535)
+COUNTIFS(Equipar!B:B,1,Equipar!E:E,A535)
+COUNTIFS(Equipar!B:B,1,Equipar!F:F,A535)
&gt;0,COUNTIF('Set recomendado'!B:B,C535)=0),
"Bloqueada",
"Desechable")),""
)</f>
        <v/>
      </c>
      <c r="J535" t="str" cm="1">
        <f t="array" aca="1" ref="J535" ca="1">IF(ISNUMBER(A535),IFERROR(_xlfn._xlws.FILTER(Equipar!A:A,(Equipar!B:B=1)*(Equipar!AC:AC=A535)),""),"")</f>
        <v/>
      </c>
    </row>
    <row r="536" spans="1:10" x14ac:dyDescent="0.25">
      <c r="A536" s="1" t="str">
        <f ca="1">IF(A535="ID",1,IF(ISBLANK(B536),"",MAX(A$2:A535)+1))</f>
        <v/>
      </c>
      <c r="I536" s="2" t="str">
        <f ca="1">IF(ISNUMBER(A536),
IF(COUNTIFS(Equipar!B:B,1,Equipar!AC:AC,A536),"Equipada",
IF(
OR(COUNTIFS(Equipar!B:B,1,Equipar!C:C,A536)
 +COUNTIFS(Equipar!B:B,1,Equipar!D:D,A536)
+COUNTIFS(Equipar!B:B,1,Equipar!E:E,A536)
+COUNTIFS(Equipar!B:B,1,Equipar!F:F,A536)
&gt;0,COUNTIF('Set recomendado'!B:B,C536)=0),
"Bloqueada",
"Desechable")),""
)</f>
        <v/>
      </c>
      <c r="J536" t="str" cm="1">
        <f t="array" aca="1" ref="J536" ca="1">IF(ISNUMBER(A536),IFERROR(_xlfn._xlws.FILTER(Equipar!A:A,(Equipar!B:B=1)*(Equipar!AC:AC=A536)),""),"")</f>
        <v/>
      </c>
    </row>
    <row r="537" spans="1:10" x14ac:dyDescent="0.25">
      <c r="A537" s="1" t="str">
        <f ca="1">IF(A536="ID",1,IF(ISBLANK(B537),"",MAX(A$2:A536)+1))</f>
        <v/>
      </c>
      <c r="I537" s="2" t="str">
        <f ca="1">IF(ISNUMBER(A537),
IF(COUNTIFS(Equipar!B:B,1,Equipar!AC:AC,A537),"Equipada",
IF(
OR(COUNTIFS(Equipar!B:B,1,Equipar!C:C,A537)
 +COUNTIFS(Equipar!B:B,1,Equipar!D:D,A537)
+COUNTIFS(Equipar!B:B,1,Equipar!E:E,A537)
+COUNTIFS(Equipar!B:B,1,Equipar!F:F,A537)
&gt;0,COUNTIF('Set recomendado'!B:B,C537)=0),
"Bloqueada",
"Desechable")),""
)</f>
        <v/>
      </c>
      <c r="J537" t="str" cm="1">
        <f t="array" aca="1" ref="J537" ca="1">IF(ISNUMBER(A537),IFERROR(_xlfn._xlws.FILTER(Equipar!A:A,(Equipar!B:B=1)*(Equipar!AC:AC=A537)),""),"")</f>
        <v/>
      </c>
    </row>
    <row r="538" spans="1:10" x14ac:dyDescent="0.25">
      <c r="A538" s="1" t="str">
        <f ca="1">IF(A537="ID",1,IF(ISBLANK(B538),"",MAX(A$2:A537)+1))</f>
        <v/>
      </c>
      <c r="I538" s="2" t="str">
        <f ca="1">IF(ISNUMBER(A538),
IF(COUNTIFS(Equipar!B:B,1,Equipar!AC:AC,A538),"Equipada",
IF(
OR(COUNTIFS(Equipar!B:B,1,Equipar!C:C,A538)
 +COUNTIFS(Equipar!B:B,1,Equipar!D:D,A538)
+COUNTIFS(Equipar!B:B,1,Equipar!E:E,A538)
+COUNTIFS(Equipar!B:B,1,Equipar!F:F,A538)
&gt;0,COUNTIF('Set recomendado'!B:B,C538)=0),
"Bloqueada",
"Desechable")),""
)</f>
        <v/>
      </c>
      <c r="J538" t="str" cm="1">
        <f t="array" aca="1" ref="J538" ca="1">IF(ISNUMBER(A538),IFERROR(_xlfn._xlws.FILTER(Equipar!A:A,(Equipar!B:B=1)*(Equipar!AC:AC=A538)),""),"")</f>
        <v/>
      </c>
    </row>
    <row r="539" spans="1:10" x14ac:dyDescent="0.25">
      <c r="A539" s="1" t="str">
        <f ca="1">IF(A538="ID",1,IF(ISBLANK(B539),"",MAX(A$2:A538)+1))</f>
        <v/>
      </c>
      <c r="I539" s="2" t="str">
        <f ca="1">IF(ISNUMBER(A539),
IF(COUNTIFS(Equipar!B:B,1,Equipar!AC:AC,A539),"Equipada",
IF(
OR(COUNTIFS(Equipar!B:B,1,Equipar!C:C,A539)
 +COUNTIFS(Equipar!B:B,1,Equipar!D:D,A539)
+COUNTIFS(Equipar!B:B,1,Equipar!E:E,A539)
+COUNTIFS(Equipar!B:B,1,Equipar!F:F,A539)
&gt;0,COUNTIF('Set recomendado'!B:B,C539)=0),
"Bloqueada",
"Desechable")),""
)</f>
        <v/>
      </c>
      <c r="J539" t="str" cm="1">
        <f t="array" aca="1" ref="J539" ca="1">IF(ISNUMBER(A539),IFERROR(_xlfn._xlws.FILTER(Equipar!A:A,(Equipar!B:B=1)*(Equipar!AC:AC=A539)),""),"")</f>
        <v/>
      </c>
    </row>
    <row r="540" spans="1:10" x14ac:dyDescent="0.25">
      <c r="A540" s="1" t="str">
        <f ca="1">IF(A539="ID",1,IF(ISBLANK(B540),"",MAX(A$2:A539)+1))</f>
        <v/>
      </c>
      <c r="I540" s="2" t="str">
        <f ca="1">IF(ISNUMBER(A540),
IF(COUNTIFS(Equipar!B:B,1,Equipar!AC:AC,A540),"Equipada",
IF(
OR(COUNTIFS(Equipar!B:B,1,Equipar!C:C,A540)
 +COUNTIFS(Equipar!B:B,1,Equipar!D:D,A540)
+COUNTIFS(Equipar!B:B,1,Equipar!E:E,A540)
+COUNTIFS(Equipar!B:B,1,Equipar!F:F,A540)
&gt;0,COUNTIF('Set recomendado'!B:B,C540)=0),
"Bloqueada",
"Desechable")),""
)</f>
        <v/>
      </c>
      <c r="J540" t="str" cm="1">
        <f t="array" aca="1" ref="J540" ca="1">IF(ISNUMBER(A540),IFERROR(_xlfn._xlws.FILTER(Equipar!A:A,(Equipar!B:B=1)*(Equipar!AC:AC=A540)),""),"")</f>
        <v/>
      </c>
    </row>
    <row r="541" spans="1:10" x14ac:dyDescent="0.25">
      <c r="A541" s="1" t="str">
        <f ca="1">IF(A540="ID",1,IF(ISBLANK(B541),"",MAX(A$2:A540)+1))</f>
        <v/>
      </c>
      <c r="I541" s="2" t="str">
        <f ca="1">IF(ISNUMBER(A541),
IF(COUNTIFS(Equipar!B:B,1,Equipar!AC:AC,A541),"Equipada",
IF(
OR(COUNTIFS(Equipar!B:B,1,Equipar!C:C,A541)
 +COUNTIFS(Equipar!B:B,1,Equipar!D:D,A541)
+COUNTIFS(Equipar!B:B,1,Equipar!E:E,A541)
+COUNTIFS(Equipar!B:B,1,Equipar!F:F,A541)
&gt;0,COUNTIF('Set recomendado'!B:B,C541)=0),
"Bloqueada",
"Desechable")),""
)</f>
        <v/>
      </c>
      <c r="J541" t="str" cm="1">
        <f t="array" aca="1" ref="J541" ca="1">IF(ISNUMBER(A541),IFERROR(_xlfn._xlws.FILTER(Equipar!A:A,(Equipar!B:B=1)*(Equipar!AC:AC=A541)),""),"")</f>
        <v/>
      </c>
    </row>
    <row r="542" spans="1:10" x14ac:dyDescent="0.25">
      <c r="A542" s="1" t="str">
        <f ca="1">IF(A541="ID",1,IF(ISBLANK(B542),"",MAX(A$2:A541)+1))</f>
        <v/>
      </c>
      <c r="I542" s="2" t="str">
        <f ca="1">IF(ISNUMBER(A542),
IF(COUNTIFS(Equipar!B:B,1,Equipar!AC:AC,A542),"Equipada",
IF(
OR(COUNTIFS(Equipar!B:B,1,Equipar!C:C,A542)
 +COUNTIFS(Equipar!B:B,1,Equipar!D:D,A542)
+COUNTIFS(Equipar!B:B,1,Equipar!E:E,A542)
+COUNTIFS(Equipar!B:B,1,Equipar!F:F,A542)
&gt;0,COUNTIF('Set recomendado'!B:B,C542)=0),
"Bloqueada",
"Desechable")),""
)</f>
        <v/>
      </c>
      <c r="J542" t="str" cm="1">
        <f t="array" aca="1" ref="J542" ca="1">IF(ISNUMBER(A542),IFERROR(_xlfn._xlws.FILTER(Equipar!A:A,(Equipar!B:B=1)*(Equipar!AC:AC=A542)),""),"")</f>
        <v/>
      </c>
    </row>
    <row r="543" spans="1:10" x14ac:dyDescent="0.25">
      <c r="A543" s="1" t="str">
        <f ca="1">IF(A542="ID",1,IF(ISBLANK(B543),"",MAX(A$2:A542)+1))</f>
        <v/>
      </c>
      <c r="I543" s="2" t="str">
        <f ca="1">IF(ISNUMBER(A543),
IF(COUNTIFS(Equipar!B:B,1,Equipar!AC:AC,A543),"Equipada",
IF(
OR(COUNTIFS(Equipar!B:B,1,Equipar!C:C,A543)
 +COUNTIFS(Equipar!B:B,1,Equipar!D:D,A543)
+COUNTIFS(Equipar!B:B,1,Equipar!E:E,A543)
+COUNTIFS(Equipar!B:B,1,Equipar!F:F,A543)
&gt;0,COUNTIF('Set recomendado'!B:B,C543)=0),
"Bloqueada",
"Desechable")),""
)</f>
        <v/>
      </c>
      <c r="J543" t="str" cm="1">
        <f t="array" aca="1" ref="J543" ca="1">IF(ISNUMBER(A543),IFERROR(_xlfn._xlws.FILTER(Equipar!A:A,(Equipar!B:B=1)*(Equipar!AC:AC=A543)),""),"")</f>
        <v/>
      </c>
    </row>
    <row r="544" spans="1:10" x14ac:dyDescent="0.25">
      <c r="A544" s="1" t="str">
        <f ca="1">IF(A543="ID",1,IF(ISBLANK(B544),"",MAX(A$2:A543)+1))</f>
        <v/>
      </c>
      <c r="I544" s="2" t="str">
        <f ca="1">IF(ISNUMBER(A544),
IF(COUNTIFS(Equipar!B:B,1,Equipar!AC:AC,A544),"Equipada",
IF(
OR(COUNTIFS(Equipar!B:B,1,Equipar!C:C,A544)
 +COUNTIFS(Equipar!B:B,1,Equipar!D:D,A544)
+COUNTIFS(Equipar!B:B,1,Equipar!E:E,A544)
+COUNTIFS(Equipar!B:B,1,Equipar!F:F,A544)
&gt;0,COUNTIF('Set recomendado'!B:B,C544)=0),
"Bloqueada",
"Desechable")),""
)</f>
        <v/>
      </c>
      <c r="J544" t="str" cm="1">
        <f t="array" aca="1" ref="J544" ca="1">IF(ISNUMBER(A544),IFERROR(_xlfn._xlws.FILTER(Equipar!A:A,(Equipar!B:B=1)*(Equipar!AC:AC=A544)),""),"")</f>
        <v/>
      </c>
    </row>
    <row r="545" spans="1:10" x14ac:dyDescent="0.25">
      <c r="A545" s="1" t="str">
        <f ca="1">IF(A544="ID",1,IF(ISBLANK(B545),"",MAX(A$2:A544)+1))</f>
        <v/>
      </c>
      <c r="I545" s="2" t="str">
        <f ca="1">IF(ISNUMBER(A545),
IF(COUNTIFS(Equipar!B:B,1,Equipar!AC:AC,A545),"Equipada",
IF(
OR(COUNTIFS(Equipar!B:B,1,Equipar!C:C,A545)
 +COUNTIFS(Equipar!B:B,1,Equipar!D:D,A545)
+COUNTIFS(Equipar!B:B,1,Equipar!E:E,A545)
+COUNTIFS(Equipar!B:B,1,Equipar!F:F,A545)
&gt;0,COUNTIF('Set recomendado'!B:B,C545)=0),
"Bloqueada",
"Desechable")),""
)</f>
        <v/>
      </c>
      <c r="J545" t="str" cm="1">
        <f t="array" aca="1" ref="J545" ca="1">IF(ISNUMBER(A545),IFERROR(_xlfn._xlws.FILTER(Equipar!A:A,(Equipar!B:B=1)*(Equipar!AC:AC=A545)),""),"")</f>
        <v/>
      </c>
    </row>
    <row r="546" spans="1:10" x14ac:dyDescent="0.25">
      <c r="A546" s="1" t="str">
        <f ca="1">IF(A545="ID",1,IF(ISBLANK(B546),"",MAX(A$2:A545)+1))</f>
        <v/>
      </c>
      <c r="I546" s="2" t="str">
        <f ca="1">IF(ISNUMBER(A546),
IF(COUNTIFS(Equipar!B:B,1,Equipar!AC:AC,A546),"Equipada",
IF(
OR(COUNTIFS(Equipar!B:B,1,Equipar!C:C,A546)
 +COUNTIFS(Equipar!B:B,1,Equipar!D:D,A546)
+COUNTIFS(Equipar!B:B,1,Equipar!E:E,A546)
+COUNTIFS(Equipar!B:B,1,Equipar!F:F,A546)
&gt;0,COUNTIF('Set recomendado'!B:B,C546)=0),
"Bloqueada",
"Desechable")),""
)</f>
        <v/>
      </c>
      <c r="J546" t="str" cm="1">
        <f t="array" aca="1" ref="J546" ca="1">IF(ISNUMBER(A546),IFERROR(_xlfn._xlws.FILTER(Equipar!A:A,(Equipar!B:B=1)*(Equipar!AC:AC=A546)),""),"")</f>
        <v/>
      </c>
    </row>
    <row r="547" spans="1:10" x14ac:dyDescent="0.25">
      <c r="A547" s="1" t="str">
        <f ca="1">IF(A546="ID",1,IF(ISBLANK(B547),"",MAX(A$2:A546)+1))</f>
        <v/>
      </c>
      <c r="I547" s="2" t="str">
        <f ca="1">IF(ISNUMBER(A547),
IF(COUNTIFS(Equipar!B:B,1,Equipar!AC:AC,A547),"Equipada",
IF(
OR(COUNTIFS(Equipar!B:B,1,Equipar!C:C,A547)
 +COUNTIFS(Equipar!B:B,1,Equipar!D:D,A547)
+COUNTIFS(Equipar!B:B,1,Equipar!E:E,A547)
+COUNTIFS(Equipar!B:B,1,Equipar!F:F,A547)
&gt;0,COUNTIF('Set recomendado'!B:B,C547)=0),
"Bloqueada",
"Desechable")),""
)</f>
        <v/>
      </c>
      <c r="J547" t="str" cm="1">
        <f t="array" aca="1" ref="J547" ca="1">IF(ISNUMBER(A547),IFERROR(_xlfn._xlws.FILTER(Equipar!A:A,(Equipar!B:B=1)*(Equipar!AC:AC=A547)),""),"")</f>
        <v/>
      </c>
    </row>
    <row r="548" spans="1:10" x14ac:dyDescent="0.25">
      <c r="A548" s="1" t="str">
        <f ca="1">IF(A547="ID",1,IF(ISBLANK(B548),"",MAX(A$2:A547)+1))</f>
        <v/>
      </c>
      <c r="I548" s="2" t="str">
        <f ca="1">IF(ISNUMBER(A548),
IF(COUNTIFS(Equipar!B:B,1,Equipar!AC:AC,A548),"Equipada",
IF(
OR(COUNTIFS(Equipar!B:B,1,Equipar!C:C,A548)
 +COUNTIFS(Equipar!B:B,1,Equipar!D:D,A548)
+COUNTIFS(Equipar!B:B,1,Equipar!E:E,A548)
+COUNTIFS(Equipar!B:B,1,Equipar!F:F,A548)
&gt;0,COUNTIF('Set recomendado'!B:B,C548)=0),
"Bloqueada",
"Desechable")),""
)</f>
        <v/>
      </c>
      <c r="J548" t="str" cm="1">
        <f t="array" aca="1" ref="J548" ca="1">IF(ISNUMBER(A548),IFERROR(_xlfn._xlws.FILTER(Equipar!A:A,(Equipar!B:B=1)*(Equipar!AC:AC=A548)),""),"")</f>
        <v/>
      </c>
    </row>
    <row r="549" spans="1:10" x14ac:dyDescent="0.25">
      <c r="A549" s="1" t="str">
        <f ca="1">IF(A548="ID",1,IF(ISBLANK(B549),"",MAX(A$2:A548)+1))</f>
        <v/>
      </c>
      <c r="I549" s="2" t="str">
        <f ca="1">IF(ISNUMBER(A549),
IF(COUNTIFS(Equipar!B:B,1,Equipar!AC:AC,A549),"Equipada",
IF(
OR(COUNTIFS(Equipar!B:B,1,Equipar!C:C,A549)
 +COUNTIFS(Equipar!B:B,1,Equipar!D:D,A549)
+COUNTIFS(Equipar!B:B,1,Equipar!E:E,A549)
+COUNTIFS(Equipar!B:B,1,Equipar!F:F,A549)
&gt;0,COUNTIF('Set recomendado'!B:B,C549)=0),
"Bloqueada",
"Desechable")),""
)</f>
        <v/>
      </c>
      <c r="J549" t="str" cm="1">
        <f t="array" aca="1" ref="J549" ca="1">IF(ISNUMBER(A549),IFERROR(_xlfn._xlws.FILTER(Equipar!A:A,(Equipar!B:B=1)*(Equipar!AC:AC=A549)),""),"")</f>
        <v/>
      </c>
    </row>
    <row r="550" spans="1:10" x14ac:dyDescent="0.25">
      <c r="A550" s="1" t="str">
        <f ca="1">IF(A549="ID",1,IF(ISBLANK(B550),"",MAX(A$2:A549)+1))</f>
        <v/>
      </c>
      <c r="I550" s="2" t="str">
        <f ca="1">IF(ISNUMBER(A550),
IF(COUNTIFS(Equipar!B:B,1,Equipar!AC:AC,A550),"Equipada",
IF(
OR(COUNTIFS(Equipar!B:B,1,Equipar!C:C,A550)
 +COUNTIFS(Equipar!B:B,1,Equipar!D:D,A550)
+COUNTIFS(Equipar!B:B,1,Equipar!E:E,A550)
+COUNTIFS(Equipar!B:B,1,Equipar!F:F,A550)
&gt;0,COUNTIF('Set recomendado'!B:B,C550)=0),
"Bloqueada",
"Desechable")),""
)</f>
        <v/>
      </c>
      <c r="J550" t="str" cm="1">
        <f t="array" aca="1" ref="J550" ca="1">IF(ISNUMBER(A550),IFERROR(_xlfn._xlws.FILTER(Equipar!A:A,(Equipar!B:B=1)*(Equipar!AC:AC=A550)),""),"")</f>
        <v/>
      </c>
    </row>
    <row r="551" spans="1:10" x14ac:dyDescent="0.25">
      <c r="A551" s="1" t="str">
        <f ca="1">IF(A550="ID",1,IF(ISBLANK(B551),"",MAX(A$2:A550)+1))</f>
        <v/>
      </c>
      <c r="I551" s="2" t="str">
        <f ca="1">IF(ISNUMBER(A551),
IF(COUNTIFS(Equipar!B:B,1,Equipar!AC:AC,A551),"Equipada",
IF(
OR(COUNTIFS(Equipar!B:B,1,Equipar!C:C,A551)
 +COUNTIFS(Equipar!B:B,1,Equipar!D:D,A551)
+COUNTIFS(Equipar!B:B,1,Equipar!E:E,A551)
+COUNTIFS(Equipar!B:B,1,Equipar!F:F,A551)
&gt;0,COUNTIF('Set recomendado'!B:B,C551)=0),
"Bloqueada",
"Desechable")),""
)</f>
        <v/>
      </c>
      <c r="J551" t="str" cm="1">
        <f t="array" aca="1" ref="J551" ca="1">IF(ISNUMBER(A551),IFERROR(_xlfn._xlws.FILTER(Equipar!A:A,(Equipar!B:B=1)*(Equipar!AC:AC=A551)),""),"")</f>
        <v/>
      </c>
    </row>
    <row r="552" spans="1:10" x14ac:dyDescent="0.25">
      <c r="A552" s="1" t="str">
        <f ca="1">IF(A551="ID",1,IF(ISBLANK(B552),"",MAX(A$2:A551)+1))</f>
        <v/>
      </c>
      <c r="I552" s="2" t="str">
        <f ca="1">IF(ISNUMBER(A552),
IF(COUNTIFS(Equipar!B:B,1,Equipar!AC:AC,A552),"Equipada",
IF(
OR(COUNTIFS(Equipar!B:B,1,Equipar!C:C,A552)
 +COUNTIFS(Equipar!B:B,1,Equipar!D:D,A552)
+COUNTIFS(Equipar!B:B,1,Equipar!E:E,A552)
+COUNTIFS(Equipar!B:B,1,Equipar!F:F,A552)
&gt;0,COUNTIF('Set recomendado'!B:B,C552)=0),
"Bloqueada",
"Desechable")),""
)</f>
        <v/>
      </c>
      <c r="J552" t="str" cm="1">
        <f t="array" aca="1" ref="J552" ca="1">IF(ISNUMBER(A552),IFERROR(_xlfn._xlws.FILTER(Equipar!A:A,(Equipar!B:B=1)*(Equipar!AC:AC=A552)),""),"")</f>
        <v/>
      </c>
    </row>
    <row r="553" spans="1:10" x14ac:dyDescent="0.25">
      <c r="A553" s="1" t="str">
        <f ca="1">IF(A552="ID",1,IF(ISBLANK(B553),"",MAX(A$2:A552)+1))</f>
        <v/>
      </c>
      <c r="I553" s="2" t="str">
        <f ca="1">IF(ISNUMBER(A553),
IF(COUNTIFS(Equipar!B:B,1,Equipar!AC:AC,A553),"Equipada",
IF(
OR(COUNTIFS(Equipar!B:B,1,Equipar!C:C,A553)
 +COUNTIFS(Equipar!B:B,1,Equipar!D:D,A553)
+COUNTIFS(Equipar!B:B,1,Equipar!E:E,A553)
+COUNTIFS(Equipar!B:B,1,Equipar!F:F,A553)
&gt;0,COUNTIF('Set recomendado'!B:B,C553)=0),
"Bloqueada",
"Desechable")),""
)</f>
        <v/>
      </c>
      <c r="J553" t="str" cm="1">
        <f t="array" aca="1" ref="J553" ca="1">IF(ISNUMBER(A553),IFERROR(_xlfn._xlws.FILTER(Equipar!A:A,(Equipar!B:B=1)*(Equipar!AC:AC=A553)),""),"")</f>
        <v/>
      </c>
    </row>
    <row r="554" spans="1:10" x14ac:dyDescent="0.25">
      <c r="A554" s="1" t="str">
        <f ca="1">IF(A553="ID",1,IF(ISBLANK(B554),"",MAX(A$2:A553)+1))</f>
        <v/>
      </c>
      <c r="I554" s="2" t="str">
        <f ca="1">IF(ISNUMBER(A554),
IF(COUNTIFS(Equipar!B:B,1,Equipar!AC:AC,A554),"Equipada",
IF(
OR(COUNTIFS(Equipar!B:B,1,Equipar!C:C,A554)
 +COUNTIFS(Equipar!B:B,1,Equipar!D:D,A554)
+COUNTIFS(Equipar!B:B,1,Equipar!E:E,A554)
+COUNTIFS(Equipar!B:B,1,Equipar!F:F,A554)
&gt;0,COUNTIF('Set recomendado'!B:B,C554)=0),
"Bloqueada",
"Desechable")),""
)</f>
        <v/>
      </c>
      <c r="J554" t="str" cm="1">
        <f t="array" aca="1" ref="J554" ca="1">IF(ISNUMBER(A554),IFERROR(_xlfn._xlws.FILTER(Equipar!A:A,(Equipar!B:B=1)*(Equipar!AC:AC=A554)),""),"")</f>
        <v/>
      </c>
    </row>
    <row r="555" spans="1:10" x14ac:dyDescent="0.25">
      <c r="A555" s="1" t="str">
        <f ca="1">IF(A554="ID",1,IF(ISBLANK(B555),"",MAX(A$2:A554)+1))</f>
        <v/>
      </c>
      <c r="I555" s="2" t="str">
        <f ca="1">IF(ISNUMBER(A555),
IF(COUNTIFS(Equipar!B:B,1,Equipar!AC:AC,A555),"Equipada",
IF(
OR(COUNTIFS(Equipar!B:B,1,Equipar!C:C,A555)
 +COUNTIFS(Equipar!B:B,1,Equipar!D:D,A555)
+COUNTIFS(Equipar!B:B,1,Equipar!E:E,A555)
+COUNTIFS(Equipar!B:B,1,Equipar!F:F,A555)
&gt;0,COUNTIF('Set recomendado'!B:B,C555)=0),
"Bloqueada",
"Desechable")),""
)</f>
        <v/>
      </c>
      <c r="J555" t="str" cm="1">
        <f t="array" aca="1" ref="J555" ca="1">IF(ISNUMBER(A555),IFERROR(_xlfn._xlws.FILTER(Equipar!A:A,(Equipar!B:B=1)*(Equipar!AC:AC=A555)),""),"")</f>
        <v/>
      </c>
    </row>
    <row r="556" spans="1:10" x14ac:dyDescent="0.25">
      <c r="A556" s="1" t="str">
        <f ca="1">IF(A555="ID",1,IF(ISBLANK(B556),"",MAX(A$2:A555)+1))</f>
        <v/>
      </c>
      <c r="I556" s="2" t="str">
        <f ca="1">IF(ISNUMBER(A556),
IF(COUNTIFS(Equipar!B:B,1,Equipar!AC:AC,A556),"Equipada",
IF(
OR(COUNTIFS(Equipar!B:B,1,Equipar!C:C,A556)
 +COUNTIFS(Equipar!B:B,1,Equipar!D:D,A556)
+COUNTIFS(Equipar!B:B,1,Equipar!E:E,A556)
+COUNTIFS(Equipar!B:B,1,Equipar!F:F,A556)
&gt;0,COUNTIF('Set recomendado'!B:B,C556)=0),
"Bloqueada",
"Desechable")),""
)</f>
        <v/>
      </c>
      <c r="J556" t="str" cm="1">
        <f t="array" aca="1" ref="J556" ca="1">IF(ISNUMBER(A556),IFERROR(_xlfn._xlws.FILTER(Equipar!A:A,(Equipar!B:B=1)*(Equipar!AC:AC=A556)),""),"")</f>
        <v/>
      </c>
    </row>
    <row r="557" spans="1:10" x14ac:dyDescent="0.25">
      <c r="A557" s="1" t="str">
        <f ca="1">IF(A556="ID",1,IF(ISBLANK(B557),"",MAX(A$2:A556)+1))</f>
        <v/>
      </c>
      <c r="I557" s="2" t="str">
        <f ca="1">IF(ISNUMBER(A557),
IF(COUNTIFS(Equipar!B:B,1,Equipar!AC:AC,A557),"Equipada",
IF(
OR(COUNTIFS(Equipar!B:B,1,Equipar!C:C,A557)
 +COUNTIFS(Equipar!B:B,1,Equipar!D:D,A557)
+COUNTIFS(Equipar!B:B,1,Equipar!E:E,A557)
+COUNTIFS(Equipar!B:B,1,Equipar!F:F,A557)
&gt;0,COUNTIF('Set recomendado'!B:B,C557)=0),
"Bloqueada",
"Desechable")),""
)</f>
        <v/>
      </c>
      <c r="J557" t="str" cm="1">
        <f t="array" aca="1" ref="J557" ca="1">IF(ISNUMBER(A557),IFERROR(_xlfn._xlws.FILTER(Equipar!A:A,(Equipar!B:B=1)*(Equipar!AC:AC=A557)),""),"")</f>
        <v/>
      </c>
    </row>
    <row r="558" spans="1:10" x14ac:dyDescent="0.25">
      <c r="A558" s="1" t="str">
        <f ca="1">IF(A557="ID",1,IF(ISBLANK(B558),"",MAX(A$2:A557)+1))</f>
        <v/>
      </c>
      <c r="I558" s="2" t="str">
        <f ca="1">IF(ISNUMBER(A558),
IF(COUNTIFS(Equipar!B:B,1,Equipar!AC:AC,A558),"Equipada",
IF(
OR(COUNTIFS(Equipar!B:B,1,Equipar!C:C,A558)
 +COUNTIFS(Equipar!B:B,1,Equipar!D:D,A558)
+COUNTIFS(Equipar!B:B,1,Equipar!E:E,A558)
+COUNTIFS(Equipar!B:B,1,Equipar!F:F,A558)
&gt;0,COUNTIF('Set recomendado'!B:B,C558)=0),
"Bloqueada",
"Desechable")),""
)</f>
        <v/>
      </c>
      <c r="J558" t="str" cm="1">
        <f t="array" aca="1" ref="J558" ca="1">IF(ISNUMBER(A558),IFERROR(_xlfn._xlws.FILTER(Equipar!A:A,(Equipar!B:B=1)*(Equipar!AC:AC=A558)),""),"")</f>
        <v/>
      </c>
    </row>
    <row r="559" spans="1:10" x14ac:dyDescent="0.25">
      <c r="A559" s="1" t="str">
        <f ca="1">IF(A558="ID",1,IF(ISBLANK(B559),"",MAX(A$2:A558)+1))</f>
        <v/>
      </c>
      <c r="I559" s="2" t="str">
        <f ca="1">IF(ISNUMBER(A559),
IF(COUNTIFS(Equipar!B:B,1,Equipar!AC:AC,A559),"Equipada",
IF(
OR(COUNTIFS(Equipar!B:B,1,Equipar!C:C,A559)
 +COUNTIFS(Equipar!B:B,1,Equipar!D:D,A559)
+COUNTIFS(Equipar!B:B,1,Equipar!E:E,A559)
+COUNTIFS(Equipar!B:B,1,Equipar!F:F,A559)
&gt;0,COUNTIF('Set recomendado'!B:B,C559)=0),
"Bloqueada",
"Desechable")),""
)</f>
        <v/>
      </c>
      <c r="J559" t="str" cm="1">
        <f t="array" aca="1" ref="J559" ca="1">IF(ISNUMBER(A559),IFERROR(_xlfn._xlws.FILTER(Equipar!A:A,(Equipar!B:B=1)*(Equipar!AC:AC=A559)),""),"")</f>
        <v/>
      </c>
    </row>
    <row r="560" spans="1:10" x14ac:dyDescent="0.25">
      <c r="A560" s="1" t="str">
        <f ca="1">IF(A559="ID",1,IF(ISBLANK(B560),"",MAX(A$2:A559)+1))</f>
        <v/>
      </c>
      <c r="I560" s="2" t="str">
        <f ca="1">IF(ISNUMBER(A560),
IF(COUNTIFS(Equipar!B:B,1,Equipar!AC:AC,A560),"Equipada",
IF(
OR(COUNTIFS(Equipar!B:B,1,Equipar!C:C,A560)
 +COUNTIFS(Equipar!B:B,1,Equipar!D:D,A560)
+COUNTIFS(Equipar!B:B,1,Equipar!E:E,A560)
+COUNTIFS(Equipar!B:B,1,Equipar!F:F,A560)
&gt;0,COUNTIF('Set recomendado'!B:B,C560)=0),
"Bloqueada",
"Desechable")),""
)</f>
        <v/>
      </c>
      <c r="J560" t="str" cm="1">
        <f t="array" aca="1" ref="J560" ca="1">IF(ISNUMBER(A560),IFERROR(_xlfn._xlws.FILTER(Equipar!A:A,(Equipar!B:B=1)*(Equipar!AC:AC=A560)),""),"")</f>
        <v/>
      </c>
    </row>
    <row r="561" spans="1:10" x14ac:dyDescent="0.25">
      <c r="A561" s="1" t="str">
        <f ca="1">IF(A560="ID",1,IF(ISBLANK(B561),"",MAX(A$2:A560)+1))</f>
        <v/>
      </c>
      <c r="I561" s="2" t="str">
        <f ca="1">IF(ISNUMBER(A561),
IF(COUNTIFS(Equipar!B:B,1,Equipar!AC:AC,A561),"Equipada",
IF(
OR(COUNTIFS(Equipar!B:B,1,Equipar!C:C,A561)
 +COUNTIFS(Equipar!B:B,1,Equipar!D:D,A561)
+COUNTIFS(Equipar!B:B,1,Equipar!E:E,A561)
+COUNTIFS(Equipar!B:B,1,Equipar!F:F,A561)
&gt;0,COUNTIF('Set recomendado'!B:B,C561)=0),
"Bloqueada",
"Desechable")),""
)</f>
        <v/>
      </c>
      <c r="J561" t="str" cm="1">
        <f t="array" aca="1" ref="J561" ca="1">IF(ISNUMBER(A561),IFERROR(_xlfn._xlws.FILTER(Equipar!A:A,(Equipar!B:B=1)*(Equipar!AC:AC=A561)),""),"")</f>
        <v/>
      </c>
    </row>
    <row r="562" spans="1:10" x14ac:dyDescent="0.25">
      <c r="A562" s="1" t="str">
        <f ca="1">IF(A561="ID",1,IF(ISBLANK(B562),"",MAX(A$2:A561)+1))</f>
        <v/>
      </c>
      <c r="I562" s="2" t="str">
        <f ca="1">IF(ISNUMBER(A562),
IF(COUNTIFS(Equipar!B:B,1,Equipar!AC:AC,A562),"Equipada",
IF(
OR(COUNTIFS(Equipar!B:B,1,Equipar!C:C,A562)
 +COUNTIFS(Equipar!B:B,1,Equipar!D:D,A562)
+COUNTIFS(Equipar!B:B,1,Equipar!E:E,A562)
+COUNTIFS(Equipar!B:B,1,Equipar!F:F,A562)
&gt;0,COUNTIF('Set recomendado'!B:B,C562)=0),
"Bloqueada",
"Desechable")),""
)</f>
        <v/>
      </c>
      <c r="J562" t="str" cm="1">
        <f t="array" aca="1" ref="J562" ca="1">IF(ISNUMBER(A562),IFERROR(_xlfn._xlws.FILTER(Equipar!A:A,(Equipar!B:B=1)*(Equipar!AC:AC=A562)),""),"")</f>
        <v/>
      </c>
    </row>
    <row r="563" spans="1:10" x14ac:dyDescent="0.25">
      <c r="A563" s="1" t="str">
        <f ca="1">IF(A562="ID",1,IF(ISBLANK(B563),"",MAX(A$2:A562)+1))</f>
        <v/>
      </c>
      <c r="I563" s="2" t="str">
        <f ca="1">IF(ISNUMBER(A563),
IF(COUNTIFS(Equipar!B:B,1,Equipar!AC:AC,A563),"Equipada",
IF(
OR(COUNTIFS(Equipar!B:B,1,Equipar!C:C,A563)
 +COUNTIFS(Equipar!B:B,1,Equipar!D:D,A563)
+COUNTIFS(Equipar!B:B,1,Equipar!E:E,A563)
+COUNTIFS(Equipar!B:B,1,Equipar!F:F,A563)
&gt;0,COUNTIF('Set recomendado'!B:B,C563)=0),
"Bloqueada",
"Desechable")),""
)</f>
        <v/>
      </c>
      <c r="J563" t="str" cm="1">
        <f t="array" aca="1" ref="J563" ca="1">IF(ISNUMBER(A563),IFERROR(_xlfn._xlws.FILTER(Equipar!A:A,(Equipar!B:B=1)*(Equipar!AC:AC=A563)),""),"")</f>
        <v/>
      </c>
    </row>
    <row r="564" spans="1:10" x14ac:dyDescent="0.25">
      <c r="A564" s="1" t="str">
        <f ca="1">IF(A563="ID",1,IF(ISBLANK(B564),"",MAX(A$2:A563)+1))</f>
        <v/>
      </c>
      <c r="I564" s="2" t="str">
        <f ca="1">IF(ISNUMBER(A564),
IF(COUNTIFS(Equipar!B:B,1,Equipar!AC:AC,A564),"Equipada",
IF(
OR(COUNTIFS(Equipar!B:B,1,Equipar!C:C,A564)
 +COUNTIFS(Equipar!B:B,1,Equipar!D:D,A564)
+COUNTIFS(Equipar!B:B,1,Equipar!E:E,A564)
+COUNTIFS(Equipar!B:B,1,Equipar!F:F,A564)
&gt;0,COUNTIF('Set recomendado'!B:B,C564)=0),
"Bloqueada",
"Desechable")),""
)</f>
        <v/>
      </c>
      <c r="J564" t="str" cm="1">
        <f t="array" aca="1" ref="J564" ca="1">IF(ISNUMBER(A564),IFERROR(_xlfn._xlws.FILTER(Equipar!A:A,(Equipar!B:B=1)*(Equipar!AC:AC=A564)),""),"")</f>
        <v/>
      </c>
    </row>
    <row r="565" spans="1:10" x14ac:dyDescent="0.25">
      <c r="A565" s="1" t="str">
        <f ca="1">IF(A564="ID",1,IF(ISBLANK(B565),"",MAX(A$2:A564)+1))</f>
        <v/>
      </c>
      <c r="I565" s="2" t="str">
        <f ca="1">IF(ISNUMBER(A565),
IF(COUNTIFS(Equipar!B:B,1,Equipar!AC:AC,A565),"Equipada",
IF(
OR(COUNTIFS(Equipar!B:B,1,Equipar!C:C,A565)
 +COUNTIFS(Equipar!B:B,1,Equipar!D:D,A565)
+COUNTIFS(Equipar!B:B,1,Equipar!E:E,A565)
+COUNTIFS(Equipar!B:B,1,Equipar!F:F,A565)
&gt;0,COUNTIF('Set recomendado'!B:B,C565)=0),
"Bloqueada",
"Desechable")),""
)</f>
        <v/>
      </c>
      <c r="J565" t="str" cm="1">
        <f t="array" aca="1" ref="J565" ca="1">IF(ISNUMBER(A565),IFERROR(_xlfn._xlws.FILTER(Equipar!A:A,(Equipar!B:B=1)*(Equipar!AC:AC=A565)),""),"")</f>
        <v/>
      </c>
    </row>
    <row r="566" spans="1:10" x14ac:dyDescent="0.25">
      <c r="A566" s="1" t="str">
        <f ca="1">IF(A565="ID",1,IF(ISBLANK(B566),"",MAX(A$2:A565)+1))</f>
        <v/>
      </c>
      <c r="I566" s="2" t="str">
        <f ca="1">IF(ISNUMBER(A566),
IF(COUNTIFS(Equipar!B:B,1,Equipar!AC:AC,A566),"Equipada",
IF(
OR(COUNTIFS(Equipar!B:B,1,Equipar!C:C,A566)
 +COUNTIFS(Equipar!B:B,1,Equipar!D:D,A566)
+COUNTIFS(Equipar!B:B,1,Equipar!E:E,A566)
+COUNTIFS(Equipar!B:B,1,Equipar!F:F,A566)
&gt;0,COUNTIF('Set recomendado'!B:B,C566)=0),
"Bloqueada",
"Desechable")),""
)</f>
        <v/>
      </c>
      <c r="J566" t="str" cm="1">
        <f t="array" aca="1" ref="J566" ca="1">IF(ISNUMBER(A566),IFERROR(_xlfn._xlws.FILTER(Equipar!A:A,(Equipar!B:B=1)*(Equipar!AC:AC=A566)),""),"")</f>
        <v/>
      </c>
    </row>
    <row r="567" spans="1:10" x14ac:dyDescent="0.25">
      <c r="A567" s="1" t="str">
        <f ca="1">IF(A566="ID",1,IF(ISBLANK(B567),"",MAX(A$2:A566)+1))</f>
        <v/>
      </c>
      <c r="I567" s="2" t="str">
        <f ca="1">IF(ISNUMBER(A567),
IF(COUNTIFS(Equipar!B:B,1,Equipar!AC:AC,A567),"Equipada",
IF(
OR(COUNTIFS(Equipar!B:B,1,Equipar!C:C,A567)
 +COUNTIFS(Equipar!B:B,1,Equipar!D:D,A567)
+COUNTIFS(Equipar!B:B,1,Equipar!E:E,A567)
+COUNTIFS(Equipar!B:B,1,Equipar!F:F,A567)
&gt;0,COUNTIF('Set recomendado'!B:B,C567)=0),
"Bloqueada",
"Desechable")),""
)</f>
        <v/>
      </c>
      <c r="J567" t="str" cm="1">
        <f t="array" aca="1" ref="J567" ca="1">IF(ISNUMBER(A567),IFERROR(_xlfn._xlws.FILTER(Equipar!A:A,(Equipar!B:B=1)*(Equipar!AC:AC=A567)),""),"")</f>
        <v/>
      </c>
    </row>
    <row r="568" spans="1:10" x14ac:dyDescent="0.25">
      <c r="A568" s="1" t="str">
        <f ca="1">IF(A567="ID",1,IF(ISBLANK(B568),"",MAX(A$2:A567)+1))</f>
        <v/>
      </c>
      <c r="I568" s="2" t="str">
        <f ca="1">IF(ISNUMBER(A568),
IF(COUNTIFS(Equipar!B:B,1,Equipar!AC:AC,A568),"Equipada",
IF(
OR(COUNTIFS(Equipar!B:B,1,Equipar!C:C,A568)
 +COUNTIFS(Equipar!B:B,1,Equipar!D:D,A568)
+COUNTIFS(Equipar!B:B,1,Equipar!E:E,A568)
+COUNTIFS(Equipar!B:B,1,Equipar!F:F,A568)
&gt;0,COUNTIF('Set recomendado'!B:B,C568)=0),
"Bloqueada",
"Desechable")),""
)</f>
        <v/>
      </c>
      <c r="J568" t="str" cm="1">
        <f t="array" aca="1" ref="J568" ca="1">IF(ISNUMBER(A568),IFERROR(_xlfn._xlws.FILTER(Equipar!A:A,(Equipar!B:B=1)*(Equipar!AC:AC=A568)),""),"")</f>
        <v/>
      </c>
    </row>
    <row r="569" spans="1:10" x14ac:dyDescent="0.25">
      <c r="A569" s="1" t="str">
        <f ca="1">IF(A568="ID",1,IF(ISBLANK(B569),"",MAX(A$2:A568)+1))</f>
        <v/>
      </c>
      <c r="I569" s="2" t="str">
        <f ca="1">IF(ISNUMBER(A569),
IF(COUNTIFS(Equipar!B:B,1,Equipar!AC:AC,A569),"Equipada",
IF(
OR(COUNTIFS(Equipar!B:B,1,Equipar!C:C,A569)
 +COUNTIFS(Equipar!B:B,1,Equipar!D:D,A569)
+COUNTIFS(Equipar!B:B,1,Equipar!E:E,A569)
+COUNTIFS(Equipar!B:B,1,Equipar!F:F,A569)
&gt;0,COUNTIF('Set recomendado'!B:B,C569)=0),
"Bloqueada",
"Desechable")),""
)</f>
        <v/>
      </c>
      <c r="J569" t="str" cm="1">
        <f t="array" aca="1" ref="J569" ca="1">IF(ISNUMBER(A569),IFERROR(_xlfn._xlws.FILTER(Equipar!A:A,(Equipar!B:B=1)*(Equipar!AC:AC=A569)),""),"")</f>
        <v/>
      </c>
    </row>
    <row r="570" spans="1:10" x14ac:dyDescent="0.25">
      <c r="A570" s="1" t="str">
        <f ca="1">IF(A569="ID",1,IF(ISBLANK(B570),"",MAX(A$2:A569)+1))</f>
        <v/>
      </c>
      <c r="I570" s="2" t="str">
        <f ca="1">IF(ISNUMBER(A570),
IF(COUNTIFS(Equipar!B:B,1,Equipar!AC:AC,A570),"Equipada",
IF(
OR(COUNTIFS(Equipar!B:B,1,Equipar!C:C,A570)
 +COUNTIFS(Equipar!B:B,1,Equipar!D:D,A570)
+COUNTIFS(Equipar!B:B,1,Equipar!E:E,A570)
+COUNTIFS(Equipar!B:B,1,Equipar!F:F,A570)
&gt;0,COUNTIF('Set recomendado'!B:B,C570)=0),
"Bloqueada",
"Desechable")),""
)</f>
        <v/>
      </c>
      <c r="J570" t="str" cm="1">
        <f t="array" aca="1" ref="J570" ca="1">IF(ISNUMBER(A570),IFERROR(_xlfn._xlws.FILTER(Equipar!A:A,(Equipar!B:B=1)*(Equipar!AC:AC=A570)),""),"")</f>
        <v/>
      </c>
    </row>
    <row r="571" spans="1:10" x14ac:dyDescent="0.25">
      <c r="A571" s="1" t="str">
        <f ca="1">IF(A570="ID",1,IF(ISBLANK(B571),"",MAX(A$2:A570)+1))</f>
        <v/>
      </c>
      <c r="I571" s="2" t="str">
        <f ca="1">IF(ISNUMBER(A571),
IF(COUNTIFS(Equipar!B:B,1,Equipar!AC:AC,A571),"Equipada",
IF(
OR(COUNTIFS(Equipar!B:B,1,Equipar!C:C,A571)
 +COUNTIFS(Equipar!B:B,1,Equipar!D:D,A571)
+COUNTIFS(Equipar!B:B,1,Equipar!E:E,A571)
+COUNTIFS(Equipar!B:B,1,Equipar!F:F,A571)
&gt;0,COUNTIF('Set recomendado'!B:B,C571)=0),
"Bloqueada",
"Desechable")),""
)</f>
        <v/>
      </c>
      <c r="J571" t="str" cm="1">
        <f t="array" aca="1" ref="J571" ca="1">IF(ISNUMBER(A571),IFERROR(_xlfn._xlws.FILTER(Equipar!A:A,(Equipar!B:B=1)*(Equipar!AC:AC=A571)),""),"")</f>
        <v/>
      </c>
    </row>
    <row r="572" spans="1:10" x14ac:dyDescent="0.25">
      <c r="A572" s="1" t="str">
        <f ca="1">IF(A571="ID",1,IF(ISBLANK(B572),"",MAX(A$2:A571)+1))</f>
        <v/>
      </c>
      <c r="I572" s="2" t="str">
        <f ca="1">IF(ISNUMBER(A572),
IF(COUNTIFS(Equipar!B:B,1,Equipar!AC:AC,A572),"Equipada",
IF(
OR(COUNTIFS(Equipar!B:B,1,Equipar!C:C,A572)
 +COUNTIFS(Equipar!B:B,1,Equipar!D:D,A572)
+COUNTIFS(Equipar!B:B,1,Equipar!E:E,A572)
+COUNTIFS(Equipar!B:B,1,Equipar!F:F,A572)
&gt;0,COUNTIF('Set recomendado'!B:B,C572)=0),
"Bloqueada",
"Desechable")),""
)</f>
        <v/>
      </c>
      <c r="J572" t="str" cm="1">
        <f t="array" aca="1" ref="J572" ca="1">IF(ISNUMBER(A572),IFERROR(_xlfn._xlws.FILTER(Equipar!A:A,(Equipar!B:B=1)*(Equipar!AC:AC=A572)),""),"")</f>
        <v/>
      </c>
    </row>
    <row r="573" spans="1:10" x14ac:dyDescent="0.25">
      <c r="A573" s="1" t="str">
        <f ca="1">IF(A572="ID",1,IF(ISBLANK(B573),"",MAX(A$2:A572)+1))</f>
        <v/>
      </c>
      <c r="I573" s="2" t="str">
        <f ca="1">IF(ISNUMBER(A573),
IF(COUNTIFS(Equipar!B:B,1,Equipar!AC:AC,A573),"Equipada",
IF(
OR(COUNTIFS(Equipar!B:B,1,Equipar!C:C,A573)
 +COUNTIFS(Equipar!B:B,1,Equipar!D:D,A573)
+COUNTIFS(Equipar!B:B,1,Equipar!E:E,A573)
+COUNTIFS(Equipar!B:B,1,Equipar!F:F,A573)
&gt;0,COUNTIF('Set recomendado'!B:B,C573)=0),
"Bloqueada",
"Desechable")),""
)</f>
        <v/>
      </c>
      <c r="J573" t="str" cm="1">
        <f t="array" aca="1" ref="J573" ca="1">IF(ISNUMBER(A573),IFERROR(_xlfn._xlws.FILTER(Equipar!A:A,(Equipar!B:B=1)*(Equipar!AC:AC=A573)),""),"")</f>
        <v/>
      </c>
    </row>
    <row r="574" spans="1:10" x14ac:dyDescent="0.25">
      <c r="A574" s="1" t="str">
        <f ca="1">IF(A573="ID",1,IF(ISBLANK(B574),"",MAX(A$2:A573)+1))</f>
        <v/>
      </c>
      <c r="I574" s="2" t="str">
        <f ca="1">IF(ISNUMBER(A574),
IF(COUNTIFS(Equipar!B:B,1,Equipar!AC:AC,A574),"Equipada",
IF(
OR(COUNTIFS(Equipar!B:B,1,Equipar!C:C,A574)
 +COUNTIFS(Equipar!B:B,1,Equipar!D:D,A574)
+COUNTIFS(Equipar!B:B,1,Equipar!E:E,A574)
+COUNTIFS(Equipar!B:B,1,Equipar!F:F,A574)
&gt;0,COUNTIF('Set recomendado'!B:B,C574)=0),
"Bloqueada",
"Desechable")),""
)</f>
        <v/>
      </c>
      <c r="J574" t="str" cm="1">
        <f t="array" aca="1" ref="J574" ca="1">IF(ISNUMBER(A574),IFERROR(_xlfn._xlws.FILTER(Equipar!A:A,(Equipar!B:B=1)*(Equipar!AC:AC=A574)),""),"")</f>
        <v/>
      </c>
    </row>
    <row r="575" spans="1:10" x14ac:dyDescent="0.25">
      <c r="A575" s="1" t="str">
        <f ca="1">IF(A574="ID",1,IF(ISBLANK(B575),"",MAX(A$2:A574)+1))</f>
        <v/>
      </c>
      <c r="I575" s="2" t="str">
        <f ca="1">IF(ISNUMBER(A575),
IF(COUNTIFS(Equipar!B:B,1,Equipar!AC:AC,A575),"Equipada",
IF(
OR(COUNTIFS(Equipar!B:B,1,Equipar!C:C,A575)
 +COUNTIFS(Equipar!B:B,1,Equipar!D:D,A575)
+COUNTIFS(Equipar!B:B,1,Equipar!E:E,A575)
+COUNTIFS(Equipar!B:B,1,Equipar!F:F,A575)
&gt;0,COUNTIF('Set recomendado'!B:B,C575)=0),
"Bloqueada",
"Desechable")),""
)</f>
        <v/>
      </c>
      <c r="J575" t="str" cm="1">
        <f t="array" aca="1" ref="J575" ca="1">IF(ISNUMBER(A575),IFERROR(_xlfn._xlws.FILTER(Equipar!A:A,(Equipar!B:B=1)*(Equipar!AC:AC=A575)),""),"")</f>
        <v/>
      </c>
    </row>
    <row r="576" spans="1:10" x14ac:dyDescent="0.25">
      <c r="A576" s="1" t="str">
        <f ca="1">IF(A575="ID",1,IF(ISBLANK(B576),"",MAX(A$2:A575)+1))</f>
        <v/>
      </c>
      <c r="I576" s="2" t="str">
        <f ca="1">IF(ISNUMBER(A576),
IF(COUNTIFS(Equipar!B:B,1,Equipar!AC:AC,A576),"Equipada",
IF(
OR(COUNTIFS(Equipar!B:B,1,Equipar!C:C,A576)
 +COUNTIFS(Equipar!B:B,1,Equipar!D:D,A576)
+COUNTIFS(Equipar!B:B,1,Equipar!E:E,A576)
+COUNTIFS(Equipar!B:B,1,Equipar!F:F,A576)
&gt;0,COUNTIF('Set recomendado'!B:B,C576)=0),
"Bloqueada",
"Desechable")),""
)</f>
        <v/>
      </c>
      <c r="J576" t="str" cm="1">
        <f t="array" aca="1" ref="J576" ca="1">IF(ISNUMBER(A576),IFERROR(_xlfn._xlws.FILTER(Equipar!A:A,(Equipar!B:B=1)*(Equipar!AC:AC=A576)),""),"")</f>
        <v/>
      </c>
    </row>
    <row r="577" spans="1:10" x14ac:dyDescent="0.25">
      <c r="A577" s="1" t="str">
        <f ca="1">IF(A576="ID",1,IF(ISBLANK(B577),"",MAX(A$2:A576)+1))</f>
        <v/>
      </c>
      <c r="I577" s="2" t="str">
        <f ca="1">IF(ISNUMBER(A577),
IF(COUNTIFS(Equipar!B:B,1,Equipar!AC:AC,A577),"Equipada",
IF(
OR(COUNTIFS(Equipar!B:B,1,Equipar!C:C,A577)
 +COUNTIFS(Equipar!B:B,1,Equipar!D:D,A577)
+COUNTIFS(Equipar!B:B,1,Equipar!E:E,A577)
+COUNTIFS(Equipar!B:B,1,Equipar!F:F,A577)
&gt;0,COUNTIF('Set recomendado'!B:B,C577)=0),
"Bloqueada",
"Desechable")),""
)</f>
        <v/>
      </c>
      <c r="J577" t="str" cm="1">
        <f t="array" aca="1" ref="J577" ca="1">IF(ISNUMBER(A577),IFERROR(_xlfn._xlws.FILTER(Equipar!A:A,(Equipar!B:B=1)*(Equipar!AC:AC=A577)),""),"")</f>
        <v/>
      </c>
    </row>
    <row r="578" spans="1:10" x14ac:dyDescent="0.25">
      <c r="A578" s="1" t="str">
        <f ca="1">IF(A577="ID",1,IF(ISBLANK(B578),"",MAX(A$2:A577)+1))</f>
        <v/>
      </c>
      <c r="I578" s="2" t="str">
        <f ca="1">IF(ISNUMBER(A578),
IF(COUNTIFS(Equipar!B:B,1,Equipar!AC:AC,A578),"Equipada",
IF(
OR(COUNTIFS(Equipar!B:B,1,Equipar!C:C,A578)
 +COUNTIFS(Equipar!B:B,1,Equipar!D:D,A578)
+COUNTIFS(Equipar!B:B,1,Equipar!E:E,A578)
+COUNTIFS(Equipar!B:B,1,Equipar!F:F,A578)
&gt;0,COUNTIF('Set recomendado'!B:B,C578)=0),
"Bloqueada",
"Desechable")),""
)</f>
        <v/>
      </c>
      <c r="J578" t="str" cm="1">
        <f t="array" aca="1" ref="J578" ca="1">IF(ISNUMBER(A578),IFERROR(_xlfn._xlws.FILTER(Equipar!A:A,(Equipar!B:B=1)*(Equipar!AC:AC=A578)),""),"")</f>
        <v/>
      </c>
    </row>
    <row r="579" spans="1:10" x14ac:dyDescent="0.25">
      <c r="A579" s="1" t="str">
        <f ca="1">IF(A578="ID",1,IF(ISBLANK(B579),"",MAX(A$2:A578)+1))</f>
        <v/>
      </c>
      <c r="I579" s="2" t="str">
        <f ca="1">IF(ISNUMBER(A579),
IF(COUNTIFS(Equipar!B:B,1,Equipar!AC:AC,A579),"Equipada",
IF(
OR(COUNTIFS(Equipar!B:B,1,Equipar!C:C,A579)
 +COUNTIFS(Equipar!B:B,1,Equipar!D:D,A579)
+COUNTIFS(Equipar!B:B,1,Equipar!E:E,A579)
+COUNTIFS(Equipar!B:B,1,Equipar!F:F,A579)
&gt;0,COUNTIF('Set recomendado'!B:B,C579)=0),
"Bloqueada",
"Desechable")),""
)</f>
        <v/>
      </c>
      <c r="J579" t="str" cm="1">
        <f t="array" aca="1" ref="J579" ca="1">IF(ISNUMBER(A579),IFERROR(_xlfn._xlws.FILTER(Equipar!A:A,(Equipar!B:B=1)*(Equipar!AC:AC=A579)),""),"")</f>
        <v/>
      </c>
    </row>
    <row r="580" spans="1:10" x14ac:dyDescent="0.25">
      <c r="A580" s="1" t="str">
        <f ca="1">IF(A579="ID",1,IF(ISBLANK(B580),"",MAX(A$2:A579)+1))</f>
        <v/>
      </c>
      <c r="I580" s="2" t="str">
        <f ca="1">IF(ISNUMBER(A580),
IF(COUNTIFS(Equipar!B:B,1,Equipar!AC:AC,A580),"Equipada",
IF(
OR(COUNTIFS(Equipar!B:B,1,Equipar!C:C,A580)
 +COUNTIFS(Equipar!B:B,1,Equipar!D:D,A580)
+COUNTIFS(Equipar!B:B,1,Equipar!E:E,A580)
+COUNTIFS(Equipar!B:B,1,Equipar!F:F,A580)
&gt;0,COUNTIF('Set recomendado'!B:B,C580)=0),
"Bloqueada",
"Desechable")),""
)</f>
        <v/>
      </c>
      <c r="J580" t="str" cm="1">
        <f t="array" aca="1" ref="J580" ca="1">IF(ISNUMBER(A580),IFERROR(_xlfn._xlws.FILTER(Equipar!A:A,(Equipar!B:B=1)*(Equipar!AC:AC=A580)),""),"")</f>
        <v/>
      </c>
    </row>
    <row r="581" spans="1:10" x14ac:dyDescent="0.25">
      <c r="A581" s="1" t="str">
        <f ca="1">IF(A580="ID",1,IF(ISBLANK(B581),"",MAX(A$2:A580)+1))</f>
        <v/>
      </c>
      <c r="I581" s="2" t="str">
        <f ca="1">IF(ISNUMBER(A581),
IF(COUNTIFS(Equipar!B:B,1,Equipar!AC:AC,A581),"Equipada",
IF(
OR(COUNTIFS(Equipar!B:B,1,Equipar!C:C,A581)
 +COUNTIFS(Equipar!B:B,1,Equipar!D:D,A581)
+COUNTIFS(Equipar!B:B,1,Equipar!E:E,A581)
+COUNTIFS(Equipar!B:B,1,Equipar!F:F,A581)
&gt;0,COUNTIF('Set recomendado'!B:B,C581)=0),
"Bloqueada",
"Desechable")),""
)</f>
        <v/>
      </c>
      <c r="J581" t="str" cm="1">
        <f t="array" aca="1" ref="J581" ca="1">IF(ISNUMBER(A581),IFERROR(_xlfn._xlws.FILTER(Equipar!A:A,(Equipar!B:B=1)*(Equipar!AC:AC=A581)),""),"")</f>
        <v/>
      </c>
    </row>
    <row r="582" spans="1:10" x14ac:dyDescent="0.25">
      <c r="A582" s="1" t="str">
        <f ca="1">IF(A581="ID",1,IF(ISBLANK(B582),"",MAX(A$2:A581)+1))</f>
        <v/>
      </c>
      <c r="I582" s="2" t="str">
        <f ca="1">IF(ISNUMBER(A582),
IF(COUNTIFS(Equipar!B:B,1,Equipar!AC:AC,A582),"Equipada",
IF(
OR(COUNTIFS(Equipar!B:B,1,Equipar!C:C,A582)
 +COUNTIFS(Equipar!B:B,1,Equipar!D:D,A582)
+COUNTIFS(Equipar!B:B,1,Equipar!E:E,A582)
+COUNTIFS(Equipar!B:B,1,Equipar!F:F,A582)
&gt;0,COUNTIF('Set recomendado'!B:B,C582)=0),
"Bloqueada",
"Desechable")),""
)</f>
        <v/>
      </c>
      <c r="J582" t="str" cm="1">
        <f t="array" aca="1" ref="J582" ca="1">IF(ISNUMBER(A582),IFERROR(_xlfn._xlws.FILTER(Equipar!A:A,(Equipar!B:B=1)*(Equipar!AC:AC=A582)),""),"")</f>
        <v/>
      </c>
    </row>
    <row r="583" spans="1:10" x14ac:dyDescent="0.25">
      <c r="A583" s="1" t="str">
        <f ca="1">IF(A582="ID",1,IF(ISBLANK(B583),"",MAX(A$2:A582)+1))</f>
        <v/>
      </c>
      <c r="I583" s="2" t="str">
        <f ca="1">IF(ISNUMBER(A583),
IF(COUNTIFS(Equipar!B:B,1,Equipar!AC:AC,A583),"Equipada",
IF(
OR(COUNTIFS(Equipar!B:B,1,Equipar!C:C,A583)
 +COUNTIFS(Equipar!B:B,1,Equipar!D:D,A583)
+COUNTIFS(Equipar!B:B,1,Equipar!E:E,A583)
+COUNTIFS(Equipar!B:B,1,Equipar!F:F,A583)
&gt;0,COUNTIF('Set recomendado'!B:B,C583)=0),
"Bloqueada",
"Desechable")),""
)</f>
        <v/>
      </c>
      <c r="J583" t="str" cm="1">
        <f t="array" aca="1" ref="J583" ca="1">IF(ISNUMBER(A583),IFERROR(_xlfn._xlws.FILTER(Equipar!A:A,(Equipar!B:B=1)*(Equipar!AC:AC=A583)),""),"")</f>
        <v/>
      </c>
    </row>
    <row r="584" spans="1:10" x14ac:dyDescent="0.25">
      <c r="A584" s="1" t="str">
        <f ca="1">IF(A583="ID",1,IF(ISBLANK(B584),"",MAX(A$2:A583)+1))</f>
        <v/>
      </c>
      <c r="I584" s="2" t="str">
        <f ca="1">IF(ISNUMBER(A584),
IF(COUNTIFS(Equipar!B:B,1,Equipar!AC:AC,A584),"Equipada",
IF(
OR(COUNTIFS(Equipar!B:B,1,Equipar!C:C,A584)
 +COUNTIFS(Equipar!B:B,1,Equipar!D:D,A584)
+COUNTIFS(Equipar!B:B,1,Equipar!E:E,A584)
+COUNTIFS(Equipar!B:B,1,Equipar!F:F,A584)
&gt;0,COUNTIF('Set recomendado'!B:B,C584)=0),
"Bloqueada",
"Desechable")),""
)</f>
        <v/>
      </c>
      <c r="J584" t="str" cm="1">
        <f t="array" aca="1" ref="J584" ca="1">IF(ISNUMBER(A584),IFERROR(_xlfn._xlws.FILTER(Equipar!A:A,(Equipar!B:B=1)*(Equipar!AC:AC=A584)),""),"")</f>
        <v/>
      </c>
    </row>
    <row r="585" spans="1:10" x14ac:dyDescent="0.25">
      <c r="A585" s="1" t="str">
        <f ca="1">IF(A584="ID",1,IF(ISBLANK(B585),"",MAX(A$2:A584)+1))</f>
        <v/>
      </c>
      <c r="I585" s="2" t="str">
        <f ca="1">IF(ISNUMBER(A585),
IF(COUNTIFS(Equipar!B:B,1,Equipar!AC:AC,A585),"Equipada",
IF(
OR(COUNTIFS(Equipar!B:B,1,Equipar!C:C,A585)
 +COUNTIFS(Equipar!B:B,1,Equipar!D:D,A585)
+COUNTIFS(Equipar!B:B,1,Equipar!E:E,A585)
+COUNTIFS(Equipar!B:B,1,Equipar!F:F,A585)
&gt;0,COUNTIF('Set recomendado'!B:B,C585)=0),
"Bloqueada",
"Desechable")),""
)</f>
        <v/>
      </c>
      <c r="J585" t="str" cm="1">
        <f t="array" aca="1" ref="J585" ca="1">IF(ISNUMBER(A585),IFERROR(_xlfn._xlws.FILTER(Equipar!A:A,(Equipar!B:B=1)*(Equipar!AC:AC=A585)),""),"")</f>
        <v/>
      </c>
    </row>
    <row r="586" spans="1:10" x14ac:dyDescent="0.25">
      <c r="A586" s="1" t="str">
        <f ca="1">IF(A585="ID",1,IF(ISBLANK(B586),"",MAX(A$2:A585)+1))</f>
        <v/>
      </c>
      <c r="I586" s="2" t="str">
        <f ca="1">IF(ISNUMBER(A586),
IF(COUNTIFS(Equipar!B:B,1,Equipar!AC:AC,A586),"Equipada",
IF(
OR(COUNTIFS(Equipar!B:B,1,Equipar!C:C,A586)
 +COUNTIFS(Equipar!B:B,1,Equipar!D:D,A586)
+COUNTIFS(Equipar!B:B,1,Equipar!E:E,A586)
+COUNTIFS(Equipar!B:B,1,Equipar!F:F,A586)
&gt;0,COUNTIF('Set recomendado'!B:B,C586)=0),
"Bloqueada",
"Desechable")),""
)</f>
        <v/>
      </c>
      <c r="J586" t="str" cm="1">
        <f t="array" aca="1" ref="J586" ca="1">IF(ISNUMBER(A586),IFERROR(_xlfn._xlws.FILTER(Equipar!A:A,(Equipar!B:B=1)*(Equipar!AC:AC=A586)),""),"")</f>
        <v/>
      </c>
    </row>
    <row r="587" spans="1:10" x14ac:dyDescent="0.25">
      <c r="A587" s="1" t="str">
        <f ca="1">IF(A586="ID",1,IF(ISBLANK(B587),"",MAX(A$2:A586)+1))</f>
        <v/>
      </c>
      <c r="I587" s="2" t="str">
        <f ca="1">IF(ISNUMBER(A587),
IF(COUNTIFS(Equipar!B:B,1,Equipar!AC:AC,A587),"Equipada",
IF(
OR(COUNTIFS(Equipar!B:B,1,Equipar!C:C,A587)
 +COUNTIFS(Equipar!B:B,1,Equipar!D:D,A587)
+COUNTIFS(Equipar!B:B,1,Equipar!E:E,A587)
+COUNTIFS(Equipar!B:B,1,Equipar!F:F,A587)
&gt;0,COUNTIF('Set recomendado'!B:B,C587)=0),
"Bloqueada",
"Desechable")),""
)</f>
        <v/>
      </c>
      <c r="J587" t="str" cm="1">
        <f t="array" aca="1" ref="J587" ca="1">IF(ISNUMBER(A587),IFERROR(_xlfn._xlws.FILTER(Equipar!A:A,(Equipar!B:B=1)*(Equipar!AC:AC=A587)),""),"")</f>
        <v/>
      </c>
    </row>
    <row r="588" spans="1:10" x14ac:dyDescent="0.25">
      <c r="A588" s="1" t="str">
        <f ca="1">IF(A587="ID",1,IF(ISBLANK(B588),"",MAX(A$2:A587)+1))</f>
        <v/>
      </c>
      <c r="I588" s="2" t="str">
        <f ca="1">IF(ISNUMBER(A588),
IF(COUNTIFS(Equipar!B:B,1,Equipar!AC:AC,A588),"Equipada",
IF(
OR(COUNTIFS(Equipar!B:B,1,Equipar!C:C,A588)
 +COUNTIFS(Equipar!B:B,1,Equipar!D:D,A588)
+COUNTIFS(Equipar!B:B,1,Equipar!E:E,A588)
+COUNTIFS(Equipar!B:B,1,Equipar!F:F,A588)
&gt;0,COUNTIF('Set recomendado'!B:B,C588)=0),
"Bloqueada",
"Desechable")),""
)</f>
        <v/>
      </c>
      <c r="J588" t="str" cm="1">
        <f t="array" aca="1" ref="J588" ca="1">IF(ISNUMBER(A588),IFERROR(_xlfn._xlws.FILTER(Equipar!A:A,(Equipar!B:B=1)*(Equipar!AC:AC=A588)),""),"")</f>
        <v/>
      </c>
    </row>
    <row r="589" spans="1:10" x14ac:dyDescent="0.25">
      <c r="A589" s="1" t="str">
        <f ca="1">IF(A588="ID",1,IF(ISBLANK(B589),"",MAX(A$2:A588)+1))</f>
        <v/>
      </c>
      <c r="I589" s="2" t="str">
        <f ca="1">IF(ISNUMBER(A589),
IF(COUNTIFS(Equipar!B:B,1,Equipar!AC:AC,A589),"Equipada",
IF(
OR(COUNTIFS(Equipar!B:B,1,Equipar!C:C,A589)
 +COUNTIFS(Equipar!B:B,1,Equipar!D:D,A589)
+COUNTIFS(Equipar!B:B,1,Equipar!E:E,A589)
+COUNTIFS(Equipar!B:B,1,Equipar!F:F,A589)
&gt;0,COUNTIF('Set recomendado'!B:B,C589)=0),
"Bloqueada",
"Desechable")),""
)</f>
        <v/>
      </c>
      <c r="J589" t="str" cm="1">
        <f t="array" aca="1" ref="J589" ca="1">IF(ISNUMBER(A589),IFERROR(_xlfn._xlws.FILTER(Equipar!A:A,(Equipar!B:B=1)*(Equipar!AC:AC=A589)),""),"")</f>
        <v/>
      </c>
    </row>
    <row r="590" spans="1:10" x14ac:dyDescent="0.25">
      <c r="A590" s="1" t="str">
        <f ca="1">IF(A589="ID",1,IF(ISBLANK(B590),"",MAX(A$2:A589)+1))</f>
        <v/>
      </c>
      <c r="I590" s="2" t="str">
        <f ca="1">IF(ISNUMBER(A590),
IF(COUNTIFS(Equipar!B:B,1,Equipar!AC:AC,A590),"Equipada",
IF(
OR(COUNTIFS(Equipar!B:B,1,Equipar!C:C,A590)
 +COUNTIFS(Equipar!B:B,1,Equipar!D:D,A590)
+COUNTIFS(Equipar!B:B,1,Equipar!E:E,A590)
+COUNTIFS(Equipar!B:B,1,Equipar!F:F,A590)
&gt;0,COUNTIF('Set recomendado'!B:B,C590)=0),
"Bloqueada",
"Desechable")),""
)</f>
        <v/>
      </c>
      <c r="J590" t="str" cm="1">
        <f t="array" aca="1" ref="J590" ca="1">IF(ISNUMBER(A590),IFERROR(_xlfn._xlws.FILTER(Equipar!A:A,(Equipar!B:B=1)*(Equipar!AC:AC=A590)),""),"")</f>
        <v/>
      </c>
    </row>
    <row r="591" spans="1:10" x14ac:dyDescent="0.25">
      <c r="A591" s="1" t="str">
        <f ca="1">IF(A590="ID",1,IF(ISBLANK(B591),"",MAX(A$2:A590)+1))</f>
        <v/>
      </c>
      <c r="I591" s="2" t="str">
        <f ca="1">IF(ISNUMBER(A591),
IF(COUNTIFS(Equipar!B:B,1,Equipar!AC:AC,A591),"Equipada",
IF(
OR(COUNTIFS(Equipar!B:B,1,Equipar!C:C,A591)
 +COUNTIFS(Equipar!B:B,1,Equipar!D:D,A591)
+COUNTIFS(Equipar!B:B,1,Equipar!E:E,A591)
+COUNTIFS(Equipar!B:B,1,Equipar!F:F,A591)
&gt;0,COUNTIF('Set recomendado'!B:B,C591)=0),
"Bloqueada",
"Desechable")),""
)</f>
        <v/>
      </c>
      <c r="J591" t="str" cm="1">
        <f t="array" aca="1" ref="J591" ca="1">IF(ISNUMBER(A591),IFERROR(_xlfn._xlws.FILTER(Equipar!A:A,(Equipar!B:B=1)*(Equipar!AC:AC=A591)),""),"")</f>
        <v/>
      </c>
    </row>
    <row r="592" spans="1:10" x14ac:dyDescent="0.25">
      <c r="A592" s="1" t="str">
        <f ca="1">IF(A591="ID",1,IF(ISBLANK(B592),"",MAX(A$2:A591)+1))</f>
        <v/>
      </c>
      <c r="I592" s="2" t="str">
        <f ca="1">IF(ISNUMBER(A592),
IF(COUNTIFS(Equipar!B:B,1,Equipar!AC:AC,A592),"Equipada",
IF(
OR(COUNTIFS(Equipar!B:B,1,Equipar!C:C,A592)
 +COUNTIFS(Equipar!B:B,1,Equipar!D:D,A592)
+COUNTIFS(Equipar!B:B,1,Equipar!E:E,A592)
+COUNTIFS(Equipar!B:B,1,Equipar!F:F,A592)
&gt;0,COUNTIF('Set recomendado'!B:B,C592)=0),
"Bloqueada",
"Desechable")),""
)</f>
        <v/>
      </c>
      <c r="J592" t="str" cm="1">
        <f t="array" aca="1" ref="J592" ca="1">IF(ISNUMBER(A592),IFERROR(_xlfn._xlws.FILTER(Equipar!A:A,(Equipar!B:B=1)*(Equipar!AC:AC=A592)),""),"")</f>
        <v/>
      </c>
    </row>
    <row r="593" spans="1:10" x14ac:dyDescent="0.25">
      <c r="A593" s="1" t="str">
        <f ca="1">IF(A592="ID",1,IF(ISBLANK(B593),"",MAX(A$2:A592)+1))</f>
        <v/>
      </c>
      <c r="I593" s="2" t="str">
        <f ca="1">IF(ISNUMBER(A593),
IF(COUNTIFS(Equipar!B:B,1,Equipar!AC:AC,A593),"Equipada",
IF(
OR(COUNTIFS(Equipar!B:B,1,Equipar!C:C,A593)
 +COUNTIFS(Equipar!B:B,1,Equipar!D:D,A593)
+COUNTIFS(Equipar!B:B,1,Equipar!E:E,A593)
+COUNTIFS(Equipar!B:B,1,Equipar!F:F,A593)
&gt;0,COUNTIF('Set recomendado'!B:B,C593)=0),
"Bloqueada",
"Desechable")),""
)</f>
        <v/>
      </c>
      <c r="J593" t="str" cm="1">
        <f t="array" aca="1" ref="J593" ca="1">IF(ISNUMBER(A593),IFERROR(_xlfn._xlws.FILTER(Equipar!A:A,(Equipar!B:B=1)*(Equipar!AC:AC=A593)),""),"")</f>
        <v/>
      </c>
    </row>
    <row r="594" spans="1:10" x14ac:dyDescent="0.25">
      <c r="A594" s="1" t="str">
        <f ca="1">IF(A593="ID",1,IF(ISBLANK(B594),"",MAX(A$2:A593)+1))</f>
        <v/>
      </c>
      <c r="I594" s="2" t="str">
        <f ca="1">IF(ISNUMBER(A594),
IF(COUNTIFS(Equipar!B:B,1,Equipar!AC:AC,A594),"Equipada",
IF(
OR(COUNTIFS(Equipar!B:B,1,Equipar!C:C,A594)
 +COUNTIFS(Equipar!B:B,1,Equipar!D:D,A594)
+COUNTIFS(Equipar!B:B,1,Equipar!E:E,A594)
+COUNTIFS(Equipar!B:B,1,Equipar!F:F,A594)
&gt;0,COUNTIF('Set recomendado'!B:B,C594)=0),
"Bloqueada",
"Desechable")),""
)</f>
        <v/>
      </c>
      <c r="J594" t="str" cm="1">
        <f t="array" aca="1" ref="J594" ca="1">IF(ISNUMBER(A594),IFERROR(_xlfn._xlws.FILTER(Equipar!A:A,(Equipar!B:B=1)*(Equipar!AC:AC=A594)),""),"")</f>
        <v/>
      </c>
    </row>
    <row r="595" spans="1:10" x14ac:dyDescent="0.25">
      <c r="A595" s="1" t="str">
        <f ca="1">IF(A594="ID",1,IF(ISBLANK(B595),"",MAX(A$2:A594)+1))</f>
        <v/>
      </c>
      <c r="I595" s="2" t="str">
        <f ca="1">IF(ISNUMBER(A595),
IF(COUNTIFS(Equipar!B:B,1,Equipar!AC:AC,A595),"Equipada",
IF(
OR(COUNTIFS(Equipar!B:B,1,Equipar!C:C,A595)
 +COUNTIFS(Equipar!B:B,1,Equipar!D:D,A595)
+COUNTIFS(Equipar!B:B,1,Equipar!E:E,A595)
+COUNTIFS(Equipar!B:B,1,Equipar!F:F,A595)
&gt;0,COUNTIF('Set recomendado'!B:B,C595)=0),
"Bloqueada",
"Desechable")),""
)</f>
        <v/>
      </c>
      <c r="J595" t="str" cm="1">
        <f t="array" aca="1" ref="J595" ca="1">IF(ISNUMBER(A595),IFERROR(_xlfn._xlws.FILTER(Equipar!A:A,(Equipar!B:B=1)*(Equipar!AC:AC=A595)),""),"")</f>
        <v/>
      </c>
    </row>
    <row r="596" spans="1:10" x14ac:dyDescent="0.25">
      <c r="A596" s="1" t="str">
        <f ca="1">IF(A595="ID",1,IF(ISBLANK(B596),"",MAX(A$2:A595)+1))</f>
        <v/>
      </c>
      <c r="I596" s="2" t="str">
        <f ca="1">IF(ISNUMBER(A596),
IF(COUNTIFS(Equipar!B:B,1,Equipar!AC:AC,A596),"Equipada",
IF(
OR(COUNTIFS(Equipar!B:B,1,Equipar!C:C,A596)
 +COUNTIFS(Equipar!B:B,1,Equipar!D:D,A596)
+COUNTIFS(Equipar!B:B,1,Equipar!E:E,A596)
+COUNTIFS(Equipar!B:B,1,Equipar!F:F,A596)
&gt;0,COUNTIF('Set recomendado'!B:B,C596)=0),
"Bloqueada",
"Desechable")),""
)</f>
        <v/>
      </c>
      <c r="J596" t="str" cm="1">
        <f t="array" aca="1" ref="J596" ca="1">IF(ISNUMBER(A596),IFERROR(_xlfn._xlws.FILTER(Equipar!A:A,(Equipar!B:B=1)*(Equipar!AC:AC=A596)),""),"")</f>
        <v/>
      </c>
    </row>
    <row r="597" spans="1:10" x14ac:dyDescent="0.25">
      <c r="A597" s="1" t="str">
        <f ca="1">IF(A596="ID",1,IF(ISBLANK(B597),"",MAX(A$2:A596)+1))</f>
        <v/>
      </c>
      <c r="I597" s="2" t="str">
        <f ca="1">IF(ISNUMBER(A597),
IF(COUNTIFS(Equipar!B:B,1,Equipar!AC:AC,A597),"Equipada",
IF(
OR(COUNTIFS(Equipar!B:B,1,Equipar!C:C,A597)
 +COUNTIFS(Equipar!B:B,1,Equipar!D:D,A597)
+COUNTIFS(Equipar!B:B,1,Equipar!E:E,A597)
+COUNTIFS(Equipar!B:B,1,Equipar!F:F,A597)
&gt;0,COUNTIF('Set recomendado'!B:B,C597)=0),
"Bloqueada",
"Desechable")),""
)</f>
        <v/>
      </c>
      <c r="J597" t="str" cm="1">
        <f t="array" aca="1" ref="J597" ca="1">IF(ISNUMBER(A597),IFERROR(_xlfn._xlws.FILTER(Equipar!A:A,(Equipar!B:B=1)*(Equipar!AC:AC=A597)),""),"")</f>
        <v/>
      </c>
    </row>
    <row r="598" spans="1:10" x14ac:dyDescent="0.25">
      <c r="A598" s="1" t="str">
        <f ca="1">IF(A597="ID",1,IF(ISBLANK(B598),"",MAX(A$2:A597)+1))</f>
        <v/>
      </c>
      <c r="I598" s="2" t="str">
        <f ca="1">IF(ISNUMBER(A598),
IF(COUNTIFS(Equipar!B:B,1,Equipar!AC:AC,A598),"Equipada",
IF(
OR(COUNTIFS(Equipar!B:B,1,Equipar!C:C,A598)
 +COUNTIFS(Equipar!B:B,1,Equipar!D:D,A598)
+COUNTIFS(Equipar!B:B,1,Equipar!E:E,A598)
+COUNTIFS(Equipar!B:B,1,Equipar!F:F,A598)
&gt;0,COUNTIF('Set recomendado'!B:B,C598)=0),
"Bloqueada",
"Desechable")),""
)</f>
        <v/>
      </c>
      <c r="J598" t="str" cm="1">
        <f t="array" aca="1" ref="J598" ca="1">IF(ISNUMBER(A598),IFERROR(_xlfn._xlws.FILTER(Equipar!A:A,(Equipar!B:B=1)*(Equipar!AC:AC=A598)),""),"")</f>
        <v/>
      </c>
    </row>
    <row r="599" spans="1:10" x14ac:dyDescent="0.25">
      <c r="A599" s="1" t="str">
        <f ca="1">IF(A598="ID",1,IF(ISBLANK(B599),"",MAX(A$2:A598)+1))</f>
        <v/>
      </c>
      <c r="I599" s="2" t="str">
        <f ca="1">IF(ISNUMBER(A599),
IF(COUNTIFS(Equipar!B:B,1,Equipar!AC:AC,A599),"Equipada",
IF(
OR(COUNTIFS(Equipar!B:B,1,Equipar!C:C,A599)
 +COUNTIFS(Equipar!B:B,1,Equipar!D:D,A599)
+COUNTIFS(Equipar!B:B,1,Equipar!E:E,A599)
+COUNTIFS(Equipar!B:B,1,Equipar!F:F,A599)
&gt;0,COUNTIF('Set recomendado'!B:B,C599)=0),
"Bloqueada",
"Desechable")),""
)</f>
        <v/>
      </c>
      <c r="J599" t="str" cm="1">
        <f t="array" aca="1" ref="J599" ca="1">IF(ISNUMBER(A599),IFERROR(_xlfn._xlws.FILTER(Equipar!A:A,(Equipar!B:B=1)*(Equipar!AC:AC=A599)),""),"")</f>
        <v/>
      </c>
    </row>
    <row r="600" spans="1:10" x14ac:dyDescent="0.25">
      <c r="A600" s="1" t="str">
        <f ca="1">IF(A599="ID",1,IF(ISBLANK(B600),"",MAX(A$2:A599)+1))</f>
        <v/>
      </c>
      <c r="I600" s="2" t="str">
        <f ca="1">IF(ISNUMBER(A600),
IF(COUNTIFS(Equipar!B:B,1,Equipar!AC:AC,A600),"Equipada",
IF(
OR(COUNTIFS(Equipar!B:B,1,Equipar!C:C,A600)
 +COUNTIFS(Equipar!B:B,1,Equipar!D:D,A600)
+COUNTIFS(Equipar!B:B,1,Equipar!E:E,A600)
+COUNTIFS(Equipar!B:B,1,Equipar!F:F,A600)
&gt;0,COUNTIF('Set recomendado'!B:B,C600)=0),
"Bloqueada",
"Desechable")),""
)</f>
        <v/>
      </c>
      <c r="J600" t="str" cm="1">
        <f t="array" aca="1" ref="J600" ca="1">IF(ISNUMBER(A600),IFERROR(_xlfn._xlws.FILTER(Equipar!A:A,(Equipar!B:B=1)*(Equipar!AC:AC=A600)),""),"")</f>
        <v/>
      </c>
    </row>
    <row r="601" spans="1:10" x14ac:dyDescent="0.25">
      <c r="A601" s="1" t="str">
        <f ca="1">IF(A600="ID",1,IF(ISBLANK(B601),"",MAX(A$2:A600)+1))</f>
        <v/>
      </c>
      <c r="I601" s="2" t="str">
        <f ca="1">IF(ISNUMBER(A601),
IF(COUNTIFS(Equipar!B:B,1,Equipar!AC:AC,A601),"Equipada",
IF(
OR(COUNTIFS(Equipar!B:B,1,Equipar!C:C,A601)
 +COUNTIFS(Equipar!B:B,1,Equipar!D:D,A601)
+COUNTIFS(Equipar!B:B,1,Equipar!E:E,A601)
+COUNTIFS(Equipar!B:B,1,Equipar!F:F,A601)
&gt;0,COUNTIF('Set recomendado'!B:B,C601)=0),
"Bloqueada",
"Desechable")),""
)</f>
        <v/>
      </c>
      <c r="J601" t="str" cm="1">
        <f t="array" aca="1" ref="J601" ca="1">IF(ISNUMBER(A601),IFERROR(_xlfn._xlws.FILTER(Equipar!A:A,(Equipar!B:B=1)*(Equipar!AC:AC=A601)),""),"")</f>
        <v/>
      </c>
    </row>
    <row r="602" spans="1:10" x14ac:dyDescent="0.25">
      <c r="A602" s="1" t="str">
        <f ca="1">IF(A601="ID",1,IF(ISBLANK(B602),"",MAX(A$2:A601)+1))</f>
        <v/>
      </c>
      <c r="I602" s="2" t="str">
        <f ca="1">IF(ISNUMBER(A602),
IF(COUNTIFS(Equipar!B:B,1,Equipar!AC:AC,A602),"Equipada",
IF(
OR(COUNTIFS(Equipar!B:B,1,Equipar!C:C,A602)
 +COUNTIFS(Equipar!B:B,1,Equipar!D:D,A602)
+COUNTIFS(Equipar!B:B,1,Equipar!E:E,A602)
+COUNTIFS(Equipar!B:B,1,Equipar!F:F,A602)
&gt;0,COUNTIF('Set recomendado'!B:B,C602)=0),
"Bloqueada",
"Desechable")),""
)</f>
        <v/>
      </c>
      <c r="J602" t="str" cm="1">
        <f t="array" aca="1" ref="J602" ca="1">IF(ISNUMBER(A602),IFERROR(_xlfn._xlws.FILTER(Equipar!A:A,(Equipar!B:B=1)*(Equipar!AC:AC=A602)),""),"")</f>
        <v/>
      </c>
    </row>
    <row r="603" spans="1:10" x14ac:dyDescent="0.25">
      <c r="A603" s="1" t="str">
        <f ca="1">IF(A602="ID",1,IF(ISBLANK(B603),"",MAX(A$2:A602)+1))</f>
        <v/>
      </c>
      <c r="I603" s="2" t="str">
        <f ca="1">IF(ISNUMBER(A603),
IF(COUNTIFS(Equipar!B:B,1,Equipar!AC:AC,A603),"Equipada",
IF(
OR(COUNTIFS(Equipar!B:B,1,Equipar!C:C,A603)
 +COUNTIFS(Equipar!B:B,1,Equipar!D:D,A603)
+COUNTIFS(Equipar!B:B,1,Equipar!E:E,A603)
+COUNTIFS(Equipar!B:B,1,Equipar!F:F,A603)
&gt;0,COUNTIF('Set recomendado'!B:B,C603)=0),
"Bloqueada",
"Desechable")),""
)</f>
        <v/>
      </c>
      <c r="J603" t="str" cm="1">
        <f t="array" aca="1" ref="J603" ca="1">IF(ISNUMBER(A603),IFERROR(_xlfn._xlws.FILTER(Equipar!A:A,(Equipar!B:B=1)*(Equipar!AC:AC=A603)),""),"")</f>
        <v/>
      </c>
    </row>
    <row r="604" spans="1:10" x14ac:dyDescent="0.25">
      <c r="A604" s="1" t="str">
        <f ca="1">IF(A603="ID",1,IF(ISBLANK(B604),"",MAX(A$2:A603)+1))</f>
        <v/>
      </c>
      <c r="I604" s="2" t="str">
        <f ca="1">IF(ISNUMBER(A604),
IF(COUNTIFS(Equipar!B:B,1,Equipar!AC:AC,A604),"Equipada",
IF(
OR(COUNTIFS(Equipar!B:B,1,Equipar!C:C,A604)
 +COUNTIFS(Equipar!B:B,1,Equipar!D:D,A604)
+COUNTIFS(Equipar!B:B,1,Equipar!E:E,A604)
+COUNTIFS(Equipar!B:B,1,Equipar!F:F,A604)
&gt;0,COUNTIF('Set recomendado'!B:B,C604)=0),
"Bloqueada",
"Desechable")),""
)</f>
        <v/>
      </c>
      <c r="J604" t="str" cm="1">
        <f t="array" aca="1" ref="J604" ca="1">IF(ISNUMBER(A604),IFERROR(_xlfn._xlws.FILTER(Equipar!A:A,(Equipar!B:B=1)*(Equipar!AC:AC=A604)),""),"")</f>
        <v/>
      </c>
    </row>
    <row r="605" spans="1:10" x14ac:dyDescent="0.25">
      <c r="A605" s="1" t="str">
        <f ca="1">IF(A604="ID",1,IF(ISBLANK(B605),"",MAX(A$2:A604)+1))</f>
        <v/>
      </c>
      <c r="I605" s="2" t="str">
        <f ca="1">IF(ISNUMBER(A605),
IF(COUNTIFS(Equipar!B:B,1,Equipar!AC:AC,A605),"Equipada",
IF(
OR(COUNTIFS(Equipar!B:B,1,Equipar!C:C,A605)
 +COUNTIFS(Equipar!B:B,1,Equipar!D:D,A605)
+COUNTIFS(Equipar!B:B,1,Equipar!E:E,A605)
+COUNTIFS(Equipar!B:B,1,Equipar!F:F,A605)
&gt;0,COUNTIF('Set recomendado'!B:B,C605)=0),
"Bloqueada",
"Desechable")),""
)</f>
        <v/>
      </c>
      <c r="J605" t="str" cm="1">
        <f t="array" aca="1" ref="J605" ca="1">IF(ISNUMBER(A605),IFERROR(_xlfn._xlws.FILTER(Equipar!A:A,(Equipar!B:B=1)*(Equipar!AC:AC=A605)),""),"")</f>
        <v/>
      </c>
    </row>
    <row r="606" spans="1:10" x14ac:dyDescent="0.25">
      <c r="A606" s="1" t="str">
        <f ca="1">IF(A605="ID",1,IF(ISBLANK(B606),"",MAX(A$2:A605)+1))</f>
        <v/>
      </c>
      <c r="I606" s="2" t="str">
        <f ca="1">IF(ISNUMBER(A606),
IF(COUNTIFS(Equipar!B:B,1,Equipar!AC:AC,A606),"Equipada",
IF(
OR(COUNTIFS(Equipar!B:B,1,Equipar!C:C,A606)
 +COUNTIFS(Equipar!B:B,1,Equipar!D:D,A606)
+COUNTIFS(Equipar!B:B,1,Equipar!E:E,A606)
+COUNTIFS(Equipar!B:B,1,Equipar!F:F,A606)
&gt;0,COUNTIF('Set recomendado'!B:B,C606)=0),
"Bloqueada",
"Desechable")),""
)</f>
        <v/>
      </c>
      <c r="J606" t="str" cm="1">
        <f t="array" aca="1" ref="J606" ca="1">IF(ISNUMBER(A606),IFERROR(_xlfn._xlws.FILTER(Equipar!A:A,(Equipar!B:B=1)*(Equipar!AC:AC=A606)),""),"")</f>
        <v/>
      </c>
    </row>
    <row r="607" spans="1:10" x14ac:dyDescent="0.25">
      <c r="A607" s="1" t="str">
        <f ca="1">IF(A606="ID",1,IF(ISBLANK(B607),"",MAX(A$2:A606)+1))</f>
        <v/>
      </c>
      <c r="I607" s="2" t="str">
        <f ca="1">IF(ISNUMBER(A607),
IF(COUNTIFS(Equipar!B:B,1,Equipar!AC:AC,A607),"Equipada",
IF(
OR(COUNTIFS(Equipar!B:B,1,Equipar!C:C,A607)
 +COUNTIFS(Equipar!B:B,1,Equipar!D:D,A607)
+COUNTIFS(Equipar!B:B,1,Equipar!E:E,A607)
+COUNTIFS(Equipar!B:B,1,Equipar!F:F,A607)
&gt;0,COUNTIF('Set recomendado'!B:B,C607)=0),
"Bloqueada",
"Desechable")),""
)</f>
        <v/>
      </c>
      <c r="J607" t="str" cm="1">
        <f t="array" aca="1" ref="J607" ca="1">IF(ISNUMBER(A607),IFERROR(_xlfn._xlws.FILTER(Equipar!A:A,(Equipar!B:B=1)*(Equipar!AC:AC=A607)),""),"")</f>
        <v/>
      </c>
    </row>
    <row r="608" spans="1:10" x14ac:dyDescent="0.25">
      <c r="A608" s="1" t="str">
        <f ca="1">IF(A607="ID",1,IF(ISBLANK(B608),"",MAX(A$2:A607)+1))</f>
        <v/>
      </c>
      <c r="I608" s="2" t="str">
        <f ca="1">IF(ISNUMBER(A608),
IF(COUNTIFS(Equipar!B:B,1,Equipar!AC:AC,A608),"Equipada",
IF(
OR(COUNTIFS(Equipar!B:B,1,Equipar!C:C,A608)
 +COUNTIFS(Equipar!B:B,1,Equipar!D:D,A608)
+COUNTIFS(Equipar!B:B,1,Equipar!E:E,A608)
+COUNTIFS(Equipar!B:B,1,Equipar!F:F,A608)
&gt;0,COUNTIF('Set recomendado'!B:B,C608)=0),
"Bloqueada",
"Desechable")),""
)</f>
        <v/>
      </c>
      <c r="J608" t="str" cm="1">
        <f t="array" aca="1" ref="J608" ca="1">IF(ISNUMBER(A608),IFERROR(_xlfn._xlws.FILTER(Equipar!A:A,(Equipar!B:B=1)*(Equipar!AC:AC=A608)),""),"")</f>
        <v/>
      </c>
    </row>
    <row r="609" spans="1:10" x14ac:dyDescent="0.25">
      <c r="A609" s="1" t="str">
        <f ca="1">IF(A608="ID",1,IF(ISBLANK(B609),"",MAX(A$2:A608)+1))</f>
        <v/>
      </c>
      <c r="I609" s="2" t="str">
        <f ca="1">IF(ISNUMBER(A609),
IF(COUNTIFS(Equipar!B:B,1,Equipar!AC:AC,A609),"Equipada",
IF(
OR(COUNTIFS(Equipar!B:B,1,Equipar!C:C,A609)
 +COUNTIFS(Equipar!B:B,1,Equipar!D:D,A609)
+COUNTIFS(Equipar!B:B,1,Equipar!E:E,A609)
+COUNTIFS(Equipar!B:B,1,Equipar!F:F,A609)
&gt;0,COUNTIF('Set recomendado'!B:B,C609)=0),
"Bloqueada",
"Desechable")),""
)</f>
        <v/>
      </c>
      <c r="J609" t="str" cm="1">
        <f t="array" aca="1" ref="J609" ca="1">IF(ISNUMBER(A609),IFERROR(_xlfn._xlws.FILTER(Equipar!A:A,(Equipar!B:B=1)*(Equipar!AC:AC=A609)),""),"")</f>
        <v/>
      </c>
    </row>
    <row r="610" spans="1:10" x14ac:dyDescent="0.25">
      <c r="A610" s="1" t="str">
        <f ca="1">IF(A609="ID",1,IF(ISBLANK(B610),"",MAX(A$2:A609)+1))</f>
        <v/>
      </c>
      <c r="I610" s="2" t="str">
        <f ca="1">IF(ISNUMBER(A610),
IF(COUNTIFS(Equipar!B:B,1,Equipar!AC:AC,A610),"Equipada",
IF(
OR(COUNTIFS(Equipar!B:B,1,Equipar!C:C,A610)
 +COUNTIFS(Equipar!B:B,1,Equipar!D:D,A610)
+COUNTIFS(Equipar!B:B,1,Equipar!E:E,A610)
+COUNTIFS(Equipar!B:B,1,Equipar!F:F,A610)
&gt;0,COUNTIF('Set recomendado'!B:B,C610)=0),
"Bloqueada",
"Desechable")),""
)</f>
        <v/>
      </c>
      <c r="J610" t="str" cm="1">
        <f t="array" aca="1" ref="J610" ca="1">IF(ISNUMBER(A610),IFERROR(_xlfn._xlws.FILTER(Equipar!A:A,(Equipar!B:B=1)*(Equipar!AC:AC=A610)),""),"")</f>
        <v/>
      </c>
    </row>
    <row r="611" spans="1:10" x14ac:dyDescent="0.25">
      <c r="A611" s="1" t="str">
        <f ca="1">IF(A610="ID",1,IF(ISBLANK(B611),"",MAX(A$2:A610)+1))</f>
        <v/>
      </c>
      <c r="I611" s="2" t="str">
        <f ca="1">IF(ISNUMBER(A611),
IF(COUNTIFS(Equipar!B:B,1,Equipar!AC:AC,A611),"Equipada",
IF(
OR(COUNTIFS(Equipar!B:B,1,Equipar!C:C,A611)
 +COUNTIFS(Equipar!B:B,1,Equipar!D:D,A611)
+COUNTIFS(Equipar!B:B,1,Equipar!E:E,A611)
+COUNTIFS(Equipar!B:B,1,Equipar!F:F,A611)
&gt;0,COUNTIF('Set recomendado'!B:B,C611)=0),
"Bloqueada",
"Desechable")),""
)</f>
        <v/>
      </c>
      <c r="J611" t="str" cm="1">
        <f t="array" aca="1" ref="J611" ca="1">IF(ISNUMBER(A611),IFERROR(_xlfn._xlws.FILTER(Equipar!A:A,(Equipar!B:B=1)*(Equipar!AC:AC=A611)),""),"")</f>
        <v/>
      </c>
    </row>
    <row r="612" spans="1:10" x14ac:dyDescent="0.25">
      <c r="A612" s="1" t="str">
        <f ca="1">IF(A611="ID",1,IF(ISBLANK(B612),"",MAX(A$2:A611)+1))</f>
        <v/>
      </c>
      <c r="I612" s="2" t="str">
        <f ca="1">IF(ISNUMBER(A612),
IF(COUNTIFS(Equipar!B:B,1,Equipar!AC:AC,A612),"Equipada",
IF(
OR(COUNTIFS(Equipar!B:B,1,Equipar!C:C,A612)
 +COUNTIFS(Equipar!B:B,1,Equipar!D:D,A612)
+COUNTIFS(Equipar!B:B,1,Equipar!E:E,A612)
+COUNTIFS(Equipar!B:B,1,Equipar!F:F,A612)
&gt;0,COUNTIF('Set recomendado'!B:B,C612)=0),
"Bloqueada",
"Desechable")),""
)</f>
        <v/>
      </c>
      <c r="J612" t="str" cm="1">
        <f t="array" aca="1" ref="J612" ca="1">IF(ISNUMBER(A612),IFERROR(_xlfn._xlws.FILTER(Equipar!A:A,(Equipar!B:B=1)*(Equipar!AC:AC=A612)),""),"")</f>
        <v/>
      </c>
    </row>
    <row r="613" spans="1:10" x14ac:dyDescent="0.25">
      <c r="A613" s="1" t="str">
        <f ca="1">IF(A612="ID",1,IF(ISBLANK(B613),"",MAX(A$2:A612)+1))</f>
        <v/>
      </c>
      <c r="I613" s="2" t="str">
        <f ca="1">IF(ISNUMBER(A613),
IF(COUNTIFS(Equipar!B:B,1,Equipar!AC:AC,A613),"Equipada",
IF(
OR(COUNTIFS(Equipar!B:B,1,Equipar!C:C,A613)
 +COUNTIFS(Equipar!B:B,1,Equipar!D:D,A613)
+COUNTIFS(Equipar!B:B,1,Equipar!E:E,A613)
+COUNTIFS(Equipar!B:B,1,Equipar!F:F,A613)
&gt;0,COUNTIF('Set recomendado'!B:B,C613)=0),
"Bloqueada",
"Desechable")),""
)</f>
        <v/>
      </c>
      <c r="J613" t="str" cm="1">
        <f t="array" aca="1" ref="J613" ca="1">IF(ISNUMBER(A613),IFERROR(_xlfn._xlws.FILTER(Equipar!A:A,(Equipar!B:B=1)*(Equipar!AC:AC=A613)),""),"")</f>
        <v/>
      </c>
    </row>
    <row r="614" spans="1:10" x14ac:dyDescent="0.25">
      <c r="A614" s="1" t="str">
        <f ca="1">IF(A613="ID",1,IF(ISBLANK(B614),"",MAX(A$2:A613)+1))</f>
        <v/>
      </c>
      <c r="I614" s="2" t="str">
        <f ca="1">IF(ISNUMBER(A614),
IF(COUNTIFS(Equipar!B:B,1,Equipar!AC:AC,A614),"Equipada",
IF(
OR(COUNTIFS(Equipar!B:B,1,Equipar!C:C,A614)
 +COUNTIFS(Equipar!B:B,1,Equipar!D:D,A614)
+COUNTIFS(Equipar!B:B,1,Equipar!E:E,A614)
+COUNTIFS(Equipar!B:B,1,Equipar!F:F,A614)
&gt;0,COUNTIF('Set recomendado'!B:B,C614)=0),
"Bloqueada",
"Desechable")),""
)</f>
        <v/>
      </c>
      <c r="J614" t="str" cm="1">
        <f t="array" aca="1" ref="J614" ca="1">IF(ISNUMBER(A614),IFERROR(_xlfn._xlws.FILTER(Equipar!A:A,(Equipar!B:B=1)*(Equipar!AC:AC=A614)),""),"")</f>
        <v/>
      </c>
    </row>
    <row r="615" spans="1:10" x14ac:dyDescent="0.25">
      <c r="A615" s="1" t="str">
        <f ca="1">IF(A614="ID",1,IF(ISBLANK(B615),"",MAX(A$2:A614)+1))</f>
        <v/>
      </c>
      <c r="I615" s="2" t="str">
        <f ca="1">IF(ISNUMBER(A615),
IF(COUNTIFS(Equipar!B:B,1,Equipar!AC:AC,A615),"Equipada",
IF(
OR(COUNTIFS(Equipar!B:B,1,Equipar!C:C,A615)
 +COUNTIFS(Equipar!B:B,1,Equipar!D:D,A615)
+COUNTIFS(Equipar!B:B,1,Equipar!E:E,A615)
+COUNTIFS(Equipar!B:B,1,Equipar!F:F,A615)
&gt;0,COUNTIF('Set recomendado'!B:B,C615)=0),
"Bloqueada",
"Desechable")),""
)</f>
        <v/>
      </c>
      <c r="J615" t="str" cm="1">
        <f t="array" aca="1" ref="J615" ca="1">IF(ISNUMBER(A615),IFERROR(_xlfn._xlws.FILTER(Equipar!A:A,(Equipar!B:B=1)*(Equipar!AC:AC=A615)),""),"")</f>
        <v/>
      </c>
    </row>
    <row r="616" spans="1:10" x14ac:dyDescent="0.25">
      <c r="A616" s="1" t="str">
        <f ca="1">IF(A615="ID",1,IF(ISBLANK(B616),"",MAX(A$2:A615)+1))</f>
        <v/>
      </c>
      <c r="I616" s="2" t="str">
        <f ca="1">IF(ISNUMBER(A616),
IF(COUNTIFS(Equipar!B:B,1,Equipar!AC:AC,A616),"Equipada",
IF(
OR(COUNTIFS(Equipar!B:B,1,Equipar!C:C,A616)
 +COUNTIFS(Equipar!B:B,1,Equipar!D:D,A616)
+COUNTIFS(Equipar!B:B,1,Equipar!E:E,A616)
+COUNTIFS(Equipar!B:B,1,Equipar!F:F,A616)
&gt;0,COUNTIF('Set recomendado'!B:B,C616)=0),
"Bloqueada",
"Desechable")),""
)</f>
        <v/>
      </c>
      <c r="J616" t="str" cm="1">
        <f t="array" aca="1" ref="J616" ca="1">IF(ISNUMBER(A616),IFERROR(_xlfn._xlws.FILTER(Equipar!A:A,(Equipar!B:B=1)*(Equipar!AC:AC=A616)),""),"")</f>
        <v/>
      </c>
    </row>
    <row r="617" spans="1:10" x14ac:dyDescent="0.25">
      <c r="A617" s="1" t="str">
        <f ca="1">IF(A616="ID",1,IF(ISBLANK(B617),"",MAX(A$2:A616)+1))</f>
        <v/>
      </c>
      <c r="I617" s="2" t="str">
        <f ca="1">IF(ISNUMBER(A617),
IF(COUNTIFS(Equipar!B:B,1,Equipar!AC:AC,A617),"Equipada",
IF(
OR(COUNTIFS(Equipar!B:B,1,Equipar!C:C,A617)
 +COUNTIFS(Equipar!B:B,1,Equipar!D:D,A617)
+COUNTIFS(Equipar!B:B,1,Equipar!E:E,A617)
+COUNTIFS(Equipar!B:B,1,Equipar!F:F,A617)
&gt;0,COUNTIF('Set recomendado'!B:B,C617)=0),
"Bloqueada",
"Desechable")),""
)</f>
        <v/>
      </c>
      <c r="J617" t="str" cm="1">
        <f t="array" aca="1" ref="J617" ca="1">IF(ISNUMBER(A617),IFERROR(_xlfn._xlws.FILTER(Equipar!A:A,(Equipar!B:B=1)*(Equipar!AC:AC=A617)),""),"")</f>
        <v/>
      </c>
    </row>
    <row r="618" spans="1:10" x14ac:dyDescent="0.25">
      <c r="A618" s="1" t="str">
        <f ca="1">IF(A617="ID",1,IF(ISBLANK(B618),"",MAX(A$2:A617)+1))</f>
        <v/>
      </c>
      <c r="I618" s="2" t="str">
        <f ca="1">IF(ISNUMBER(A618),
IF(COUNTIFS(Equipar!B:B,1,Equipar!AC:AC,A618),"Equipada",
IF(
OR(COUNTIFS(Equipar!B:B,1,Equipar!C:C,A618)
 +COUNTIFS(Equipar!B:B,1,Equipar!D:D,A618)
+COUNTIFS(Equipar!B:B,1,Equipar!E:E,A618)
+COUNTIFS(Equipar!B:B,1,Equipar!F:F,A618)
&gt;0,COUNTIF('Set recomendado'!B:B,C618)=0),
"Bloqueada",
"Desechable")),""
)</f>
        <v/>
      </c>
      <c r="J618" t="str" cm="1">
        <f t="array" aca="1" ref="J618" ca="1">IF(ISNUMBER(A618),IFERROR(_xlfn._xlws.FILTER(Equipar!A:A,(Equipar!B:B=1)*(Equipar!AC:AC=A618)),""),"")</f>
        <v/>
      </c>
    </row>
    <row r="619" spans="1:10" x14ac:dyDescent="0.25">
      <c r="A619" s="1" t="str">
        <f ca="1">IF(A618="ID",1,IF(ISBLANK(B619),"",MAX(A$2:A618)+1))</f>
        <v/>
      </c>
      <c r="I619" s="2" t="str">
        <f ca="1">IF(ISNUMBER(A619),
IF(COUNTIFS(Equipar!B:B,1,Equipar!AC:AC,A619),"Equipada",
IF(
OR(COUNTIFS(Equipar!B:B,1,Equipar!C:C,A619)
 +COUNTIFS(Equipar!B:B,1,Equipar!D:D,A619)
+COUNTIFS(Equipar!B:B,1,Equipar!E:E,A619)
+COUNTIFS(Equipar!B:B,1,Equipar!F:F,A619)
&gt;0,COUNTIF('Set recomendado'!B:B,C619)=0),
"Bloqueada",
"Desechable")),""
)</f>
        <v/>
      </c>
      <c r="J619" t="str" cm="1">
        <f t="array" aca="1" ref="J619" ca="1">IF(ISNUMBER(A619),IFERROR(_xlfn._xlws.FILTER(Equipar!A:A,(Equipar!B:B=1)*(Equipar!AC:AC=A619)),""),"")</f>
        <v/>
      </c>
    </row>
    <row r="620" spans="1:10" x14ac:dyDescent="0.25">
      <c r="A620" s="1" t="str">
        <f ca="1">IF(A619="ID",1,IF(ISBLANK(B620),"",MAX(A$2:A619)+1))</f>
        <v/>
      </c>
      <c r="I620" s="2" t="str">
        <f ca="1">IF(ISNUMBER(A620),
IF(COUNTIFS(Equipar!B:B,1,Equipar!AC:AC,A620),"Equipada",
IF(
OR(COUNTIFS(Equipar!B:B,1,Equipar!C:C,A620)
 +COUNTIFS(Equipar!B:B,1,Equipar!D:D,A620)
+COUNTIFS(Equipar!B:B,1,Equipar!E:E,A620)
+COUNTIFS(Equipar!B:B,1,Equipar!F:F,A620)
&gt;0,COUNTIF('Set recomendado'!B:B,C620)=0),
"Bloqueada",
"Desechable")),""
)</f>
        <v/>
      </c>
      <c r="J620" t="str" cm="1">
        <f t="array" aca="1" ref="J620" ca="1">IF(ISNUMBER(A620),IFERROR(_xlfn._xlws.FILTER(Equipar!A:A,(Equipar!B:B=1)*(Equipar!AC:AC=A620)),""),"")</f>
        <v/>
      </c>
    </row>
    <row r="621" spans="1:10" x14ac:dyDescent="0.25">
      <c r="A621" s="1" t="str">
        <f ca="1">IF(A620="ID",1,IF(ISBLANK(B621),"",MAX(A$2:A620)+1))</f>
        <v/>
      </c>
      <c r="I621" s="2" t="str">
        <f ca="1">IF(ISNUMBER(A621),
IF(COUNTIFS(Equipar!B:B,1,Equipar!AC:AC,A621),"Equipada",
IF(
OR(COUNTIFS(Equipar!B:B,1,Equipar!C:C,A621)
 +COUNTIFS(Equipar!B:B,1,Equipar!D:D,A621)
+COUNTIFS(Equipar!B:B,1,Equipar!E:E,A621)
+COUNTIFS(Equipar!B:B,1,Equipar!F:F,A621)
&gt;0,COUNTIF('Set recomendado'!B:B,C621)=0),
"Bloqueada",
"Desechable")),""
)</f>
        <v/>
      </c>
      <c r="J621" t="str" cm="1">
        <f t="array" aca="1" ref="J621" ca="1">IF(ISNUMBER(A621),IFERROR(_xlfn._xlws.FILTER(Equipar!A:A,(Equipar!B:B=1)*(Equipar!AC:AC=A621)),""),"")</f>
        <v/>
      </c>
    </row>
    <row r="622" spans="1:10" x14ac:dyDescent="0.25">
      <c r="A622" s="1" t="str">
        <f ca="1">IF(A621="ID",1,IF(ISBLANK(B622),"",MAX(A$2:A621)+1))</f>
        <v/>
      </c>
      <c r="I622" s="2" t="str">
        <f ca="1">IF(ISNUMBER(A622),
IF(COUNTIFS(Equipar!B:B,1,Equipar!AC:AC,A622),"Equipada",
IF(
OR(COUNTIFS(Equipar!B:B,1,Equipar!C:C,A622)
 +COUNTIFS(Equipar!B:B,1,Equipar!D:D,A622)
+COUNTIFS(Equipar!B:B,1,Equipar!E:E,A622)
+COUNTIFS(Equipar!B:B,1,Equipar!F:F,A622)
&gt;0,COUNTIF('Set recomendado'!B:B,C622)=0),
"Bloqueada",
"Desechable")),""
)</f>
        <v/>
      </c>
      <c r="J622" t="str" cm="1">
        <f t="array" aca="1" ref="J622" ca="1">IF(ISNUMBER(A622),IFERROR(_xlfn._xlws.FILTER(Equipar!A:A,(Equipar!B:B=1)*(Equipar!AC:AC=A622)),""),"")</f>
        <v/>
      </c>
    </row>
    <row r="623" spans="1:10" x14ac:dyDescent="0.25">
      <c r="A623" s="1" t="str">
        <f ca="1">IF(A622="ID",1,IF(ISBLANK(B623),"",MAX(A$2:A622)+1))</f>
        <v/>
      </c>
      <c r="I623" s="2" t="str">
        <f ca="1">IF(ISNUMBER(A623),
IF(COUNTIFS(Equipar!B:B,1,Equipar!AC:AC,A623),"Equipada",
IF(
OR(COUNTIFS(Equipar!B:B,1,Equipar!C:C,A623)
 +COUNTIFS(Equipar!B:B,1,Equipar!D:D,A623)
+COUNTIFS(Equipar!B:B,1,Equipar!E:E,A623)
+COUNTIFS(Equipar!B:B,1,Equipar!F:F,A623)
&gt;0,COUNTIF('Set recomendado'!B:B,C623)=0),
"Bloqueada",
"Desechable")),""
)</f>
        <v/>
      </c>
      <c r="J623" t="str" cm="1">
        <f t="array" aca="1" ref="J623" ca="1">IF(ISNUMBER(A623),IFERROR(_xlfn._xlws.FILTER(Equipar!A:A,(Equipar!B:B=1)*(Equipar!AC:AC=A623)),""),"")</f>
        <v/>
      </c>
    </row>
    <row r="624" spans="1:10" x14ac:dyDescent="0.25">
      <c r="A624" s="1" t="str">
        <f ca="1">IF(A623="ID",1,IF(ISBLANK(B624),"",MAX(A$2:A623)+1))</f>
        <v/>
      </c>
      <c r="I624" s="2" t="str">
        <f ca="1">IF(ISNUMBER(A624),
IF(COUNTIFS(Equipar!B:B,1,Equipar!AC:AC,A624),"Equipada",
IF(
OR(COUNTIFS(Equipar!B:B,1,Equipar!C:C,A624)
 +COUNTIFS(Equipar!B:B,1,Equipar!D:D,A624)
+COUNTIFS(Equipar!B:B,1,Equipar!E:E,A624)
+COUNTIFS(Equipar!B:B,1,Equipar!F:F,A624)
&gt;0,COUNTIF('Set recomendado'!B:B,C624)=0),
"Bloqueada",
"Desechable")),""
)</f>
        <v/>
      </c>
      <c r="J624" t="str" cm="1">
        <f t="array" aca="1" ref="J624" ca="1">IF(ISNUMBER(A624),IFERROR(_xlfn._xlws.FILTER(Equipar!A:A,(Equipar!B:B=1)*(Equipar!AC:AC=A624)),""),"")</f>
        <v/>
      </c>
    </row>
    <row r="625" spans="1:10" x14ac:dyDescent="0.25">
      <c r="A625" s="1" t="str">
        <f ca="1">IF(A624="ID",1,IF(ISBLANK(B625),"",MAX(A$2:A624)+1))</f>
        <v/>
      </c>
      <c r="I625" s="2" t="str">
        <f ca="1">IF(ISNUMBER(A625),
IF(COUNTIFS(Equipar!B:B,1,Equipar!AC:AC,A625),"Equipada",
IF(
OR(COUNTIFS(Equipar!B:B,1,Equipar!C:C,A625)
 +COUNTIFS(Equipar!B:B,1,Equipar!D:D,A625)
+COUNTIFS(Equipar!B:B,1,Equipar!E:E,A625)
+COUNTIFS(Equipar!B:B,1,Equipar!F:F,A625)
&gt;0,COUNTIF('Set recomendado'!B:B,C625)=0),
"Bloqueada",
"Desechable")),""
)</f>
        <v/>
      </c>
      <c r="J625" t="str" cm="1">
        <f t="array" aca="1" ref="J625" ca="1">IF(ISNUMBER(A625),IFERROR(_xlfn._xlws.FILTER(Equipar!A:A,(Equipar!B:B=1)*(Equipar!AC:AC=A625)),""),"")</f>
        <v/>
      </c>
    </row>
    <row r="626" spans="1:10" x14ac:dyDescent="0.25">
      <c r="A626" s="1" t="str">
        <f ca="1">IF(A625="ID",1,IF(ISBLANK(B626),"",MAX(A$2:A625)+1))</f>
        <v/>
      </c>
      <c r="I626" s="2" t="str">
        <f ca="1">IF(ISNUMBER(A626),
IF(COUNTIFS(Equipar!B:B,1,Equipar!AC:AC,A626),"Equipada",
IF(
OR(COUNTIFS(Equipar!B:B,1,Equipar!C:C,A626)
 +COUNTIFS(Equipar!B:B,1,Equipar!D:D,A626)
+COUNTIFS(Equipar!B:B,1,Equipar!E:E,A626)
+COUNTIFS(Equipar!B:B,1,Equipar!F:F,A626)
&gt;0,COUNTIF('Set recomendado'!B:B,C626)=0),
"Bloqueada",
"Desechable")),""
)</f>
        <v/>
      </c>
      <c r="J626" t="str" cm="1">
        <f t="array" aca="1" ref="J626" ca="1">IF(ISNUMBER(A626),IFERROR(_xlfn._xlws.FILTER(Equipar!A:A,(Equipar!B:B=1)*(Equipar!AC:AC=A626)),""),"")</f>
        <v/>
      </c>
    </row>
    <row r="627" spans="1:10" x14ac:dyDescent="0.25">
      <c r="A627" s="1" t="str">
        <f ca="1">IF(A626="ID",1,IF(ISBLANK(B627),"",MAX(A$2:A626)+1))</f>
        <v/>
      </c>
      <c r="I627" s="2" t="str">
        <f ca="1">IF(ISNUMBER(A627),
IF(COUNTIFS(Equipar!B:B,1,Equipar!AC:AC,A627),"Equipada",
IF(
OR(COUNTIFS(Equipar!B:B,1,Equipar!C:C,A627)
 +COUNTIFS(Equipar!B:B,1,Equipar!D:D,A627)
+COUNTIFS(Equipar!B:B,1,Equipar!E:E,A627)
+COUNTIFS(Equipar!B:B,1,Equipar!F:F,A627)
&gt;0,COUNTIF('Set recomendado'!B:B,C627)=0),
"Bloqueada",
"Desechable")),""
)</f>
        <v/>
      </c>
      <c r="J627" t="str" cm="1">
        <f t="array" aca="1" ref="J627" ca="1">IF(ISNUMBER(A627),IFERROR(_xlfn._xlws.FILTER(Equipar!A:A,(Equipar!B:B=1)*(Equipar!AC:AC=A627)),""),"")</f>
        <v/>
      </c>
    </row>
    <row r="628" spans="1:10" x14ac:dyDescent="0.25">
      <c r="A628" s="1" t="str">
        <f ca="1">IF(A627="ID",1,IF(ISBLANK(B628),"",MAX(A$2:A627)+1))</f>
        <v/>
      </c>
      <c r="I628" s="2" t="str">
        <f ca="1">IF(ISNUMBER(A628),
IF(COUNTIFS(Equipar!B:B,1,Equipar!AC:AC,A628),"Equipada",
IF(
OR(COUNTIFS(Equipar!B:B,1,Equipar!C:C,A628)
 +COUNTIFS(Equipar!B:B,1,Equipar!D:D,A628)
+COUNTIFS(Equipar!B:B,1,Equipar!E:E,A628)
+COUNTIFS(Equipar!B:B,1,Equipar!F:F,A628)
&gt;0,COUNTIF('Set recomendado'!B:B,C628)=0),
"Bloqueada",
"Desechable")),""
)</f>
        <v/>
      </c>
      <c r="J628" t="str" cm="1">
        <f t="array" aca="1" ref="J628" ca="1">IF(ISNUMBER(A628),IFERROR(_xlfn._xlws.FILTER(Equipar!A:A,(Equipar!B:B=1)*(Equipar!AC:AC=A628)),""),"")</f>
        <v/>
      </c>
    </row>
    <row r="629" spans="1:10" x14ac:dyDescent="0.25">
      <c r="A629" s="1" t="str">
        <f ca="1">IF(A628="ID",1,IF(ISBLANK(B629),"",MAX(A$2:A628)+1))</f>
        <v/>
      </c>
      <c r="I629" s="2" t="str">
        <f ca="1">IF(ISNUMBER(A629),
IF(COUNTIFS(Equipar!B:B,1,Equipar!AC:AC,A629),"Equipada",
IF(
OR(COUNTIFS(Equipar!B:B,1,Equipar!C:C,A629)
 +COUNTIFS(Equipar!B:B,1,Equipar!D:D,A629)
+COUNTIFS(Equipar!B:B,1,Equipar!E:E,A629)
+COUNTIFS(Equipar!B:B,1,Equipar!F:F,A629)
&gt;0,COUNTIF('Set recomendado'!B:B,C629)=0),
"Bloqueada",
"Desechable")),""
)</f>
        <v/>
      </c>
      <c r="J629" t="str" cm="1">
        <f t="array" aca="1" ref="J629" ca="1">IF(ISNUMBER(A629),IFERROR(_xlfn._xlws.FILTER(Equipar!A:A,(Equipar!B:B=1)*(Equipar!AC:AC=A629)),""),"")</f>
        <v/>
      </c>
    </row>
    <row r="630" spans="1:10" x14ac:dyDescent="0.25">
      <c r="A630" s="1" t="str">
        <f ca="1">IF(A629="ID",1,IF(ISBLANK(B630),"",MAX(A$2:A629)+1))</f>
        <v/>
      </c>
      <c r="I630" s="2" t="str">
        <f ca="1">IF(ISNUMBER(A630),
IF(COUNTIFS(Equipar!B:B,1,Equipar!AC:AC,A630),"Equipada",
IF(
OR(COUNTIFS(Equipar!B:B,1,Equipar!C:C,A630)
 +COUNTIFS(Equipar!B:B,1,Equipar!D:D,A630)
+COUNTIFS(Equipar!B:B,1,Equipar!E:E,A630)
+COUNTIFS(Equipar!B:B,1,Equipar!F:F,A630)
&gt;0,COUNTIF('Set recomendado'!B:B,C630)=0),
"Bloqueada",
"Desechable")),""
)</f>
        <v/>
      </c>
      <c r="J630" t="str" cm="1">
        <f t="array" aca="1" ref="J630" ca="1">IF(ISNUMBER(A630),IFERROR(_xlfn._xlws.FILTER(Equipar!A:A,(Equipar!B:B=1)*(Equipar!AC:AC=A630)),""),"")</f>
        <v/>
      </c>
    </row>
    <row r="631" spans="1:10" x14ac:dyDescent="0.25">
      <c r="A631" s="1" t="str">
        <f ca="1">IF(A630="ID",1,IF(ISBLANK(B631),"",MAX(A$2:A630)+1))</f>
        <v/>
      </c>
      <c r="I631" s="2" t="str">
        <f ca="1">IF(ISNUMBER(A631),
IF(COUNTIFS(Equipar!B:B,1,Equipar!AC:AC,A631),"Equipada",
IF(
OR(COUNTIFS(Equipar!B:B,1,Equipar!C:C,A631)
 +COUNTIFS(Equipar!B:B,1,Equipar!D:D,A631)
+COUNTIFS(Equipar!B:B,1,Equipar!E:E,A631)
+COUNTIFS(Equipar!B:B,1,Equipar!F:F,A631)
&gt;0,COUNTIF('Set recomendado'!B:B,C631)=0),
"Bloqueada",
"Desechable")),""
)</f>
        <v/>
      </c>
      <c r="J631" t="str" cm="1">
        <f t="array" aca="1" ref="J631" ca="1">IF(ISNUMBER(A631),IFERROR(_xlfn._xlws.FILTER(Equipar!A:A,(Equipar!B:B=1)*(Equipar!AC:AC=A631)),""),"")</f>
        <v/>
      </c>
    </row>
    <row r="632" spans="1:10" x14ac:dyDescent="0.25">
      <c r="A632" s="1" t="str">
        <f ca="1">IF(A631="ID",1,IF(ISBLANK(B632),"",MAX(A$2:A631)+1))</f>
        <v/>
      </c>
      <c r="I632" s="2" t="str">
        <f ca="1">IF(ISNUMBER(A632),
IF(COUNTIFS(Equipar!B:B,1,Equipar!AC:AC,A632),"Equipada",
IF(
OR(COUNTIFS(Equipar!B:B,1,Equipar!C:C,A632)
 +COUNTIFS(Equipar!B:B,1,Equipar!D:D,A632)
+COUNTIFS(Equipar!B:B,1,Equipar!E:E,A632)
+COUNTIFS(Equipar!B:B,1,Equipar!F:F,A632)
&gt;0,COUNTIF('Set recomendado'!B:B,C632)=0),
"Bloqueada",
"Desechable")),""
)</f>
        <v/>
      </c>
      <c r="J632" t="str" cm="1">
        <f t="array" aca="1" ref="J632" ca="1">IF(ISNUMBER(A632),IFERROR(_xlfn._xlws.FILTER(Equipar!A:A,(Equipar!B:B=1)*(Equipar!AC:AC=A632)),""),"")</f>
        <v/>
      </c>
    </row>
    <row r="633" spans="1:10" x14ac:dyDescent="0.25">
      <c r="A633" s="1" t="str">
        <f ca="1">IF(A632="ID",1,IF(ISBLANK(B633),"",MAX(A$2:A632)+1))</f>
        <v/>
      </c>
      <c r="I633" s="2" t="str">
        <f ca="1">IF(ISNUMBER(A633),
IF(COUNTIFS(Equipar!B:B,1,Equipar!AC:AC,A633),"Equipada",
IF(
OR(COUNTIFS(Equipar!B:B,1,Equipar!C:C,A633)
 +COUNTIFS(Equipar!B:B,1,Equipar!D:D,A633)
+COUNTIFS(Equipar!B:B,1,Equipar!E:E,A633)
+COUNTIFS(Equipar!B:B,1,Equipar!F:F,A633)
&gt;0,COUNTIF('Set recomendado'!B:B,C633)=0),
"Bloqueada",
"Desechable")),""
)</f>
        <v/>
      </c>
      <c r="J633" t="str" cm="1">
        <f t="array" aca="1" ref="J633" ca="1">IF(ISNUMBER(A633),IFERROR(_xlfn._xlws.FILTER(Equipar!A:A,(Equipar!B:B=1)*(Equipar!AC:AC=A633)),""),"")</f>
        <v/>
      </c>
    </row>
    <row r="634" spans="1:10" x14ac:dyDescent="0.25">
      <c r="A634" s="1" t="str">
        <f ca="1">IF(A633="ID",1,IF(ISBLANK(B634),"",MAX(A$2:A633)+1))</f>
        <v/>
      </c>
      <c r="I634" s="2" t="str">
        <f ca="1">IF(ISNUMBER(A634),
IF(COUNTIFS(Equipar!B:B,1,Equipar!AC:AC,A634),"Equipada",
IF(
OR(COUNTIFS(Equipar!B:B,1,Equipar!C:C,A634)
 +COUNTIFS(Equipar!B:B,1,Equipar!D:D,A634)
+COUNTIFS(Equipar!B:B,1,Equipar!E:E,A634)
+COUNTIFS(Equipar!B:B,1,Equipar!F:F,A634)
&gt;0,COUNTIF('Set recomendado'!B:B,C634)=0),
"Bloqueada",
"Desechable")),""
)</f>
        <v/>
      </c>
      <c r="J634" t="str" cm="1">
        <f t="array" aca="1" ref="J634" ca="1">IF(ISNUMBER(A634),IFERROR(_xlfn._xlws.FILTER(Equipar!A:A,(Equipar!B:B=1)*(Equipar!AC:AC=A634)),""),"")</f>
        <v/>
      </c>
    </row>
    <row r="635" spans="1:10" x14ac:dyDescent="0.25">
      <c r="A635" s="1" t="str">
        <f ca="1">IF(A634="ID",1,IF(ISBLANK(B635),"",MAX(A$2:A634)+1))</f>
        <v/>
      </c>
      <c r="I635" s="2" t="str">
        <f ca="1">IF(ISNUMBER(A635),
IF(COUNTIFS(Equipar!B:B,1,Equipar!AC:AC,A635),"Equipada",
IF(
OR(COUNTIFS(Equipar!B:B,1,Equipar!C:C,A635)
 +COUNTIFS(Equipar!B:B,1,Equipar!D:D,A635)
+COUNTIFS(Equipar!B:B,1,Equipar!E:E,A635)
+COUNTIFS(Equipar!B:B,1,Equipar!F:F,A635)
&gt;0,COUNTIF('Set recomendado'!B:B,C635)=0),
"Bloqueada",
"Desechable")),""
)</f>
        <v/>
      </c>
      <c r="J635" t="str" cm="1">
        <f t="array" aca="1" ref="J635" ca="1">IF(ISNUMBER(A635),IFERROR(_xlfn._xlws.FILTER(Equipar!A:A,(Equipar!B:B=1)*(Equipar!AC:AC=A635)),""),"")</f>
        <v/>
      </c>
    </row>
    <row r="636" spans="1:10" x14ac:dyDescent="0.25">
      <c r="A636" s="1" t="str">
        <f ca="1">IF(A635="ID",1,IF(ISBLANK(B636),"",MAX(A$2:A635)+1))</f>
        <v/>
      </c>
      <c r="I636" s="2" t="str">
        <f ca="1">IF(ISNUMBER(A636),
IF(COUNTIFS(Equipar!B:B,1,Equipar!AC:AC,A636),"Equipada",
IF(
OR(COUNTIFS(Equipar!B:B,1,Equipar!C:C,A636)
 +COUNTIFS(Equipar!B:B,1,Equipar!D:D,A636)
+COUNTIFS(Equipar!B:B,1,Equipar!E:E,A636)
+COUNTIFS(Equipar!B:B,1,Equipar!F:F,A636)
&gt;0,COUNTIF('Set recomendado'!B:B,C636)=0),
"Bloqueada",
"Desechable")),""
)</f>
        <v/>
      </c>
      <c r="J636" t="str" cm="1">
        <f t="array" aca="1" ref="J636" ca="1">IF(ISNUMBER(A636),IFERROR(_xlfn._xlws.FILTER(Equipar!A:A,(Equipar!B:B=1)*(Equipar!AC:AC=A636)),""),"")</f>
        <v/>
      </c>
    </row>
    <row r="637" spans="1:10" x14ac:dyDescent="0.25">
      <c r="A637" s="1" t="str">
        <f ca="1">IF(A636="ID",1,IF(ISBLANK(B637),"",MAX(A$2:A636)+1))</f>
        <v/>
      </c>
      <c r="I637" s="2" t="str">
        <f ca="1">IF(ISNUMBER(A637),
IF(COUNTIFS(Equipar!B:B,1,Equipar!AC:AC,A637),"Equipada",
IF(
OR(COUNTIFS(Equipar!B:B,1,Equipar!C:C,A637)
 +COUNTIFS(Equipar!B:B,1,Equipar!D:D,A637)
+COUNTIFS(Equipar!B:B,1,Equipar!E:E,A637)
+COUNTIFS(Equipar!B:B,1,Equipar!F:F,A637)
&gt;0,COUNTIF('Set recomendado'!B:B,C637)=0),
"Bloqueada",
"Desechable")),""
)</f>
        <v/>
      </c>
      <c r="J637" t="str" cm="1">
        <f t="array" aca="1" ref="J637" ca="1">IF(ISNUMBER(A637),IFERROR(_xlfn._xlws.FILTER(Equipar!A:A,(Equipar!B:B=1)*(Equipar!AC:AC=A637)),""),"")</f>
        <v/>
      </c>
    </row>
    <row r="638" spans="1:10" x14ac:dyDescent="0.25">
      <c r="A638" s="1" t="str">
        <f ca="1">IF(A637="ID",1,IF(ISBLANK(B638),"",MAX(A$2:A637)+1))</f>
        <v/>
      </c>
      <c r="I638" s="2" t="str">
        <f ca="1">IF(ISNUMBER(A638),
IF(COUNTIFS(Equipar!B:B,1,Equipar!AC:AC,A638),"Equipada",
IF(
OR(COUNTIFS(Equipar!B:B,1,Equipar!C:C,A638)
 +COUNTIFS(Equipar!B:B,1,Equipar!D:D,A638)
+COUNTIFS(Equipar!B:B,1,Equipar!E:E,A638)
+COUNTIFS(Equipar!B:B,1,Equipar!F:F,A638)
&gt;0,COUNTIF('Set recomendado'!B:B,C638)=0),
"Bloqueada",
"Desechable")),""
)</f>
        <v/>
      </c>
      <c r="J638" t="str" cm="1">
        <f t="array" aca="1" ref="J638" ca="1">IF(ISNUMBER(A638),IFERROR(_xlfn._xlws.FILTER(Equipar!A:A,(Equipar!B:B=1)*(Equipar!AC:AC=A638)),""),"")</f>
        <v/>
      </c>
    </row>
    <row r="639" spans="1:10" x14ac:dyDescent="0.25">
      <c r="A639" s="1" t="str">
        <f ca="1">IF(A638="ID",1,IF(ISBLANK(B639),"",MAX(A$2:A638)+1))</f>
        <v/>
      </c>
      <c r="I639" s="2" t="str">
        <f ca="1">IF(ISNUMBER(A639),
IF(COUNTIFS(Equipar!B:B,1,Equipar!AC:AC,A639),"Equipada",
IF(
OR(COUNTIFS(Equipar!B:B,1,Equipar!C:C,A639)
 +COUNTIFS(Equipar!B:B,1,Equipar!D:D,A639)
+COUNTIFS(Equipar!B:B,1,Equipar!E:E,A639)
+COUNTIFS(Equipar!B:B,1,Equipar!F:F,A639)
&gt;0,COUNTIF('Set recomendado'!B:B,C639)=0),
"Bloqueada",
"Desechable")),""
)</f>
        <v/>
      </c>
      <c r="J639" t="str" cm="1">
        <f t="array" aca="1" ref="J639" ca="1">IF(ISNUMBER(A639),IFERROR(_xlfn._xlws.FILTER(Equipar!A:A,(Equipar!B:B=1)*(Equipar!AC:AC=A639)),""),"")</f>
        <v/>
      </c>
    </row>
    <row r="640" spans="1:10" x14ac:dyDescent="0.25">
      <c r="A640" s="1" t="str">
        <f ca="1">IF(A639="ID",1,IF(ISBLANK(B640),"",MAX(A$2:A639)+1))</f>
        <v/>
      </c>
      <c r="I640" s="2" t="str">
        <f ca="1">IF(ISNUMBER(A640),
IF(COUNTIFS(Equipar!B:B,1,Equipar!AC:AC,A640),"Equipada",
IF(
OR(COUNTIFS(Equipar!B:B,1,Equipar!C:C,A640)
 +COUNTIFS(Equipar!B:B,1,Equipar!D:D,A640)
+COUNTIFS(Equipar!B:B,1,Equipar!E:E,A640)
+COUNTIFS(Equipar!B:B,1,Equipar!F:F,A640)
&gt;0,COUNTIF('Set recomendado'!B:B,C640)=0),
"Bloqueada",
"Desechable")),""
)</f>
        <v/>
      </c>
      <c r="J640" t="str" cm="1">
        <f t="array" aca="1" ref="J640" ca="1">IF(ISNUMBER(A640),IFERROR(_xlfn._xlws.FILTER(Equipar!A:A,(Equipar!B:B=1)*(Equipar!AC:AC=A640)),""),"")</f>
        <v/>
      </c>
    </row>
    <row r="641" spans="1:10" x14ac:dyDescent="0.25">
      <c r="A641" s="1" t="str">
        <f ca="1">IF(A640="ID",1,IF(ISBLANK(B641),"",MAX(A$2:A640)+1))</f>
        <v/>
      </c>
      <c r="I641" s="2" t="str">
        <f ca="1">IF(ISNUMBER(A641),
IF(COUNTIFS(Equipar!B:B,1,Equipar!AC:AC,A641),"Equipada",
IF(
OR(COUNTIFS(Equipar!B:B,1,Equipar!C:C,A641)
 +COUNTIFS(Equipar!B:B,1,Equipar!D:D,A641)
+COUNTIFS(Equipar!B:B,1,Equipar!E:E,A641)
+COUNTIFS(Equipar!B:B,1,Equipar!F:F,A641)
&gt;0,COUNTIF('Set recomendado'!B:B,C641)=0),
"Bloqueada",
"Desechable")),""
)</f>
        <v/>
      </c>
      <c r="J641" t="str" cm="1">
        <f t="array" aca="1" ref="J641" ca="1">IF(ISNUMBER(A641),IFERROR(_xlfn._xlws.FILTER(Equipar!A:A,(Equipar!B:B=1)*(Equipar!AC:AC=A641)),""),"")</f>
        <v/>
      </c>
    </row>
    <row r="642" spans="1:10" x14ac:dyDescent="0.25">
      <c r="A642" s="1" t="str">
        <f ca="1">IF(A641="ID",1,IF(ISBLANK(B642),"",MAX(A$2:A641)+1))</f>
        <v/>
      </c>
      <c r="I642" s="2" t="str">
        <f ca="1">IF(ISNUMBER(A642),
IF(COUNTIFS(Equipar!B:B,1,Equipar!AC:AC,A642),"Equipada",
IF(
OR(COUNTIFS(Equipar!B:B,1,Equipar!C:C,A642)
 +COUNTIFS(Equipar!B:B,1,Equipar!D:D,A642)
+COUNTIFS(Equipar!B:B,1,Equipar!E:E,A642)
+COUNTIFS(Equipar!B:B,1,Equipar!F:F,A642)
&gt;0,COUNTIF('Set recomendado'!B:B,C642)=0),
"Bloqueada",
"Desechable")),""
)</f>
        <v/>
      </c>
      <c r="J642" t="str" cm="1">
        <f t="array" aca="1" ref="J642" ca="1">IF(ISNUMBER(A642),IFERROR(_xlfn._xlws.FILTER(Equipar!A:A,(Equipar!B:B=1)*(Equipar!AC:AC=A642)),""),"")</f>
        <v/>
      </c>
    </row>
    <row r="643" spans="1:10" x14ac:dyDescent="0.25">
      <c r="A643" s="1" t="str">
        <f ca="1">IF(A642="ID",1,IF(ISBLANK(B643),"",MAX(A$2:A642)+1))</f>
        <v/>
      </c>
      <c r="I643" s="2" t="str">
        <f ca="1">IF(ISNUMBER(A643),
IF(COUNTIFS(Equipar!B:B,1,Equipar!AC:AC,A643),"Equipada",
IF(
OR(COUNTIFS(Equipar!B:B,1,Equipar!C:C,A643)
 +COUNTIFS(Equipar!B:B,1,Equipar!D:D,A643)
+COUNTIFS(Equipar!B:B,1,Equipar!E:E,A643)
+COUNTIFS(Equipar!B:B,1,Equipar!F:F,A643)
&gt;0,COUNTIF('Set recomendado'!B:B,C643)=0),
"Bloqueada",
"Desechable")),""
)</f>
        <v/>
      </c>
      <c r="J643" t="str" cm="1">
        <f t="array" aca="1" ref="J643" ca="1">IF(ISNUMBER(A643),IFERROR(_xlfn._xlws.FILTER(Equipar!A:A,(Equipar!B:B=1)*(Equipar!AC:AC=A643)),""),"")</f>
        <v/>
      </c>
    </row>
    <row r="644" spans="1:10" x14ac:dyDescent="0.25">
      <c r="A644" s="1" t="str">
        <f ca="1">IF(A643="ID",1,IF(ISBLANK(B644),"",MAX(A$2:A643)+1))</f>
        <v/>
      </c>
      <c r="I644" s="2" t="str">
        <f ca="1">IF(ISNUMBER(A644),
IF(COUNTIFS(Equipar!B:B,1,Equipar!AC:AC,A644),"Equipada",
IF(
OR(COUNTIFS(Equipar!B:B,1,Equipar!C:C,A644)
 +COUNTIFS(Equipar!B:B,1,Equipar!D:D,A644)
+COUNTIFS(Equipar!B:B,1,Equipar!E:E,A644)
+COUNTIFS(Equipar!B:B,1,Equipar!F:F,A644)
&gt;0,COUNTIF('Set recomendado'!B:B,C644)=0),
"Bloqueada",
"Desechable")),""
)</f>
        <v/>
      </c>
      <c r="J644" t="str" cm="1">
        <f t="array" aca="1" ref="J644" ca="1">IF(ISNUMBER(A644),IFERROR(_xlfn._xlws.FILTER(Equipar!A:A,(Equipar!B:B=1)*(Equipar!AC:AC=A644)),""),"")</f>
        <v/>
      </c>
    </row>
    <row r="645" spans="1:10" x14ac:dyDescent="0.25">
      <c r="A645" s="1" t="str">
        <f ca="1">IF(A644="ID",1,IF(ISBLANK(B645),"",MAX(A$2:A644)+1))</f>
        <v/>
      </c>
      <c r="I645" s="2" t="str">
        <f ca="1">IF(ISNUMBER(A645),
IF(COUNTIFS(Equipar!B:B,1,Equipar!AC:AC,A645),"Equipada",
IF(
OR(COUNTIFS(Equipar!B:B,1,Equipar!C:C,A645)
 +COUNTIFS(Equipar!B:B,1,Equipar!D:D,A645)
+COUNTIFS(Equipar!B:B,1,Equipar!E:E,A645)
+COUNTIFS(Equipar!B:B,1,Equipar!F:F,A645)
&gt;0,COUNTIF('Set recomendado'!B:B,C645)=0),
"Bloqueada",
"Desechable")),""
)</f>
        <v/>
      </c>
      <c r="J645" t="str" cm="1">
        <f t="array" aca="1" ref="J645" ca="1">IF(ISNUMBER(A645),IFERROR(_xlfn._xlws.FILTER(Equipar!A:A,(Equipar!B:B=1)*(Equipar!AC:AC=A645)),""),"")</f>
        <v/>
      </c>
    </row>
    <row r="646" spans="1:10" x14ac:dyDescent="0.25">
      <c r="A646" s="1" t="str">
        <f ca="1">IF(A645="ID",1,IF(ISBLANK(B646),"",MAX(A$2:A645)+1))</f>
        <v/>
      </c>
      <c r="I646" s="2" t="str">
        <f ca="1">IF(ISNUMBER(A646),
IF(COUNTIFS(Equipar!B:B,1,Equipar!AC:AC,A646),"Equipada",
IF(
OR(COUNTIFS(Equipar!B:B,1,Equipar!C:C,A646)
 +COUNTIFS(Equipar!B:B,1,Equipar!D:D,A646)
+COUNTIFS(Equipar!B:B,1,Equipar!E:E,A646)
+COUNTIFS(Equipar!B:B,1,Equipar!F:F,A646)
&gt;0,COUNTIF('Set recomendado'!B:B,C646)=0),
"Bloqueada",
"Desechable")),""
)</f>
        <v/>
      </c>
      <c r="J646" t="str" cm="1">
        <f t="array" aca="1" ref="J646" ca="1">IF(ISNUMBER(A646),IFERROR(_xlfn._xlws.FILTER(Equipar!A:A,(Equipar!B:B=1)*(Equipar!AC:AC=A646)),""),"")</f>
        <v/>
      </c>
    </row>
    <row r="647" spans="1:10" x14ac:dyDescent="0.25">
      <c r="A647" s="1" t="str">
        <f ca="1">IF(A646="ID",1,IF(ISBLANK(B647),"",MAX(A$2:A646)+1))</f>
        <v/>
      </c>
      <c r="I647" s="2" t="str">
        <f ca="1">IF(ISNUMBER(A647),
IF(COUNTIFS(Equipar!B:B,1,Equipar!AC:AC,A647),"Equipada",
IF(
OR(COUNTIFS(Equipar!B:B,1,Equipar!C:C,A647)
 +COUNTIFS(Equipar!B:B,1,Equipar!D:D,A647)
+COUNTIFS(Equipar!B:B,1,Equipar!E:E,A647)
+COUNTIFS(Equipar!B:B,1,Equipar!F:F,A647)
&gt;0,COUNTIF('Set recomendado'!B:B,C647)=0),
"Bloqueada",
"Desechable")),""
)</f>
        <v/>
      </c>
      <c r="J647" t="str" cm="1">
        <f t="array" aca="1" ref="J647" ca="1">IF(ISNUMBER(A647),IFERROR(_xlfn._xlws.FILTER(Equipar!A:A,(Equipar!B:B=1)*(Equipar!AC:AC=A647)),""),"")</f>
        <v/>
      </c>
    </row>
    <row r="648" spans="1:10" x14ac:dyDescent="0.25">
      <c r="A648" s="1" t="str">
        <f ca="1">IF(A647="ID",1,IF(ISBLANK(B648),"",MAX(A$2:A647)+1))</f>
        <v/>
      </c>
      <c r="I648" s="2" t="str">
        <f ca="1">IF(ISNUMBER(A648),
IF(COUNTIFS(Equipar!B:B,1,Equipar!AC:AC,A648),"Equipada",
IF(
OR(COUNTIFS(Equipar!B:B,1,Equipar!C:C,A648)
 +COUNTIFS(Equipar!B:B,1,Equipar!D:D,A648)
+COUNTIFS(Equipar!B:B,1,Equipar!E:E,A648)
+COUNTIFS(Equipar!B:B,1,Equipar!F:F,A648)
&gt;0,COUNTIF('Set recomendado'!B:B,C648)=0),
"Bloqueada",
"Desechable")),""
)</f>
        <v/>
      </c>
      <c r="J648" t="str" cm="1">
        <f t="array" aca="1" ref="J648" ca="1">IF(ISNUMBER(A648),IFERROR(_xlfn._xlws.FILTER(Equipar!A:A,(Equipar!B:B=1)*(Equipar!AC:AC=A648)),""),"")</f>
        <v/>
      </c>
    </row>
    <row r="649" spans="1:10" x14ac:dyDescent="0.25">
      <c r="A649" s="1" t="str">
        <f ca="1">IF(A648="ID",1,IF(ISBLANK(B649),"",MAX(A$2:A648)+1))</f>
        <v/>
      </c>
      <c r="I649" s="2" t="str">
        <f ca="1">IF(ISNUMBER(A649),
IF(COUNTIFS(Equipar!B:B,1,Equipar!AC:AC,A649),"Equipada",
IF(
OR(COUNTIFS(Equipar!B:B,1,Equipar!C:C,A649)
 +COUNTIFS(Equipar!B:B,1,Equipar!D:D,A649)
+COUNTIFS(Equipar!B:B,1,Equipar!E:E,A649)
+COUNTIFS(Equipar!B:B,1,Equipar!F:F,A649)
&gt;0,COUNTIF('Set recomendado'!B:B,C649)=0),
"Bloqueada",
"Desechable")),""
)</f>
        <v/>
      </c>
      <c r="J649" t="str" cm="1">
        <f t="array" aca="1" ref="J649" ca="1">IF(ISNUMBER(A649),IFERROR(_xlfn._xlws.FILTER(Equipar!A:A,(Equipar!B:B=1)*(Equipar!AC:AC=A649)),""),"")</f>
        <v/>
      </c>
    </row>
    <row r="650" spans="1:10" x14ac:dyDescent="0.25">
      <c r="A650" s="1" t="str">
        <f ca="1">IF(A649="ID",1,IF(ISBLANK(B650),"",MAX(A$2:A649)+1))</f>
        <v/>
      </c>
      <c r="I650" s="2" t="str">
        <f ca="1">IF(ISNUMBER(A650),
IF(COUNTIFS(Equipar!B:B,1,Equipar!AC:AC,A650),"Equipada",
IF(
OR(COUNTIFS(Equipar!B:B,1,Equipar!C:C,A650)
 +COUNTIFS(Equipar!B:B,1,Equipar!D:D,A650)
+COUNTIFS(Equipar!B:B,1,Equipar!E:E,A650)
+COUNTIFS(Equipar!B:B,1,Equipar!F:F,A650)
&gt;0,COUNTIF('Set recomendado'!B:B,C650)=0),
"Bloqueada",
"Desechable")),""
)</f>
        <v/>
      </c>
      <c r="J650" t="str" cm="1">
        <f t="array" aca="1" ref="J650" ca="1">IF(ISNUMBER(A650),IFERROR(_xlfn._xlws.FILTER(Equipar!A:A,(Equipar!B:B=1)*(Equipar!AC:AC=A650)),""),"")</f>
        <v/>
      </c>
    </row>
    <row r="651" spans="1:10" x14ac:dyDescent="0.25">
      <c r="A651" s="1" t="str">
        <f ca="1">IF(A650="ID",1,IF(ISBLANK(B651),"",MAX(A$2:A650)+1))</f>
        <v/>
      </c>
      <c r="I651" s="2" t="str">
        <f ca="1">IF(ISNUMBER(A651),
IF(COUNTIFS(Equipar!B:B,1,Equipar!AC:AC,A651),"Equipada",
IF(
OR(COUNTIFS(Equipar!B:B,1,Equipar!C:C,A651)
 +COUNTIFS(Equipar!B:B,1,Equipar!D:D,A651)
+COUNTIFS(Equipar!B:B,1,Equipar!E:E,A651)
+COUNTIFS(Equipar!B:B,1,Equipar!F:F,A651)
&gt;0,COUNTIF('Set recomendado'!B:B,C651)=0),
"Bloqueada",
"Desechable")),""
)</f>
        <v/>
      </c>
      <c r="J651" t="str" cm="1">
        <f t="array" aca="1" ref="J651" ca="1">IF(ISNUMBER(A651),IFERROR(_xlfn._xlws.FILTER(Equipar!A:A,(Equipar!B:B=1)*(Equipar!AC:AC=A651)),""),"")</f>
        <v/>
      </c>
    </row>
    <row r="652" spans="1:10" x14ac:dyDescent="0.25">
      <c r="A652" s="1" t="str">
        <f ca="1">IF(A651="ID",1,IF(ISBLANK(B652),"",MAX(A$2:A651)+1))</f>
        <v/>
      </c>
      <c r="I652" s="2" t="str">
        <f ca="1">IF(ISNUMBER(A652),
IF(COUNTIFS(Equipar!B:B,1,Equipar!AC:AC,A652),"Equipada",
IF(
OR(COUNTIFS(Equipar!B:B,1,Equipar!C:C,A652)
 +COUNTIFS(Equipar!B:B,1,Equipar!D:D,A652)
+COUNTIFS(Equipar!B:B,1,Equipar!E:E,A652)
+COUNTIFS(Equipar!B:B,1,Equipar!F:F,A652)
&gt;0,COUNTIF('Set recomendado'!B:B,C652)=0),
"Bloqueada",
"Desechable")),""
)</f>
        <v/>
      </c>
      <c r="J652" t="str" cm="1">
        <f t="array" aca="1" ref="J652" ca="1">IF(ISNUMBER(A652),IFERROR(_xlfn._xlws.FILTER(Equipar!A:A,(Equipar!B:B=1)*(Equipar!AC:AC=A652)),""),"")</f>
        <v/>
      </c>
    </row>
    <row r="653" spans="1:10" x14ac:dyDescent="0.25">
      <c r="A653" s="1" t="str">
        <f ca="1">IF(A652="ID",1,IF(ISBLANK(B653),"",MAX(A$2:A652)+1))</f>
        <v/>
      </c>
      <c r="I653" s="2" t="str">
        <f ca="1">IF(ISNUMBER(A653),
IF(COUNTIFS(Equipar!B:B,1,Equipar!AC:AC,A653),"Equipada",
IF(
OR(COUNTIFS(Equipar!B:B,1,Equipar!C:C,A653)
 +COUNTIFS(Equipar!B:B,1,Equipar!D:D,A653)
+COUNTIFS(Equipar!B:B,1,Equipar!E:E,A653)
+COUNTIFS(Equipar!B:B,1,Equipar!F:F,A653)
&gt;0,COUNTIF('Set recomendado'!B:B,C653)=0),
"Bloqueada",
"Desechable")),""
)</f>
        <v/>
      </c>
      <c r="J653" t="str" cm="1">
        <f t="array" aca="1" ref="J653" ca="1">IF(ISNUMBER(A653),IFERROR(_xlfn._xlws.FILTER(Equipar!A:A,(Equipar!B:B=1)*(Equipar!AC:AC=A653)),""),"")</f>
        <v/>
      </c>
    </row>
    <row r="654" spans="1:10" x14ac:dyDescent="0.25">
      <c r="A654" s="1" t="str">
        <f ca="1">IF(A653="ID",1,IF(ISBLANK(B654),"",MAX(A$2:A653)+1))</f>
        <v/>
      </c>
      <c r="I654" s="2" t="str">
        <f ca="1">IF(ISNUMBER(A654),
IF(COUNTIFS(Equipar!B:B,1,Equipar!AC:AC,A654),"Equipada",
IF(
OR(COUNTIFS(Equipar!B:B,1,Equipar!C:C,A654)
 +COUNTIFS(Equipar!B:B,1,Equipar!D:D,A654)
+COUNTIFS(Equipar!B:B,1,Equipar!E:E,A654)
+COUNTIFS(Equipar!B:B,1,Equipar!F:F,A654)
&gt;0,COUNTIF('Set recomendado'!B:B,C654)=0),
"Bloqueada",
"Desechable")),""
)</f>
        <v/>
      </c>
      <c r="J654" t="str" cm="1">
        <f t="array" aca="1" ref="J654" ca="1">IF(ISNUMBER(A654),IFERROR(_xlfn._xlws.FILTER(Equipar!A:A,(Equipar!B:B=1)*(Equipar!AC:AC=A654)),""),"")</f>
        <v/>
      </c>
    </row>
    <row r="655" spans="1:10" x14ac:dyDescent="0.25">
      <c r="A655" s="1" t="str">
        <f ca="1">IF(A654="ID",1,IF(ISBLANK(B655),"",MAX(A$2:A654)+1))</f>
        <v/>
      </c>
      <c r="I655" s="2" t="str">
        <f ca="1">IF(ISNUMBER(A655),
IF(COUNTIFS(Equipar!B:B,1,Equipar!AC:AC,A655),"Equipada",
IF(
OR(COUNTIFS(Equipar!B:B,1,Equipar!C:C,A655)
 +COUNTIFS(Equipar!B:B,1,Equipar!D:D,A655)
+COUNTIFS(Equipar!B:B,1,Equipar!E:E,A655)
+COUNTIFS(Equipar!B:B,1,Equipar!F:F,A655)
&gt;0,COUNTIF('Set recomendado'!B:B,C655)=0),
"Bloqueada",
"Desechable")),""
)</f>
        <v/>
      </c>
      <c r="J655" t="str" cm="1">
        <f t="array" aca="1" ref="J655" ca="1">IF(ISNUMBER(A655),IFERROR(_xlfn._xlws.FILTER(Equipar!A:A,(Equipar!B:B=1)*(Equipar!AC:AC=A655)),""),"")</f>
        <v/>
      </c>
    </row>
    <row r="656" spans="1:10" x14ac:dyDescent="0.25">
      <c r="A656" s="1" t="str">
        <f ca="1">IF(A655="ID",1,IF(ISBLANK(B656),"",MAX(A$2:A655)+1))</f>
        <v/>
      </c>
      <c r="I656" s="2" t="str">
        <f ca="1">IF(ISNUMBER(A656),
IF(COUNTIFS(Equipar!B:B,1,Equipar!AC:AC,A656),"Equipada",
IF(
OR(COUNTIFS(Equipar!B:B,1,Equipar!C:C,A656)
 +COUNTIFS(Equipar!B:B,1,Equipar!D:D,A656)
+COUNTIFS(Equipar!B:B,1,Equipar!E:E,A656)
+COUNTIFS(Equipar!B:B,1,Equipar!F:F,A656)
&gt;0,COUNTIF('Set recomendado'!B:B,C656)=0),
"Bloqueada",
"Desechable")),""
)</f>
        <v/>
      </c>
      <c r="J656" t="str" cm="1">
        <f t="array" aca="1" ref="J656" ca="1">IF(ISNUMBER(A656),IFERROR(_xlfn._xlws.FILTER(Equipar!A:A,(Equipar!B:B=1)*(Equipar!AC:AC=A656)),""),"")</f>
        <v/>
      </c>
    </row>
    <row r="657" spans="1:10" x14ac:dyDescent="0.25">
      <c r="A657" s="1" t="str">
        <f ca="1">IF(A656="ID",1,IF(ISBLANK(B657),"",MAX(A$2:A656)+1))</f>
        <v/>
      </c>
      <c r="I657" s="2" t="str">
        <f ca="1">IF(ISNUMBER(A657),
IF(COUNTIFS(Equipar!B:B,1,Equipar!AC:AC,A657),"Equipada",
IF(
OR(COUNTIFS(Equipar!B:B,1,Equipar!C:C,A657)
 +COUNTIFS(Equipar!B:B,1,Equipar!D:D,A657)
+COUNTIFS(Equipar!B:B,1,Equipar!E:E,A657)
+COUNTIFS(Equipar!B:B,1,Equipar!F:F,A657)
&gt;0,COUNTIF('Set recomendado'!B:B,C657)=0),
"Bloqueada",
"Desechable")),""
)</f>
        <v/>
      </c>
      <c r="J657" t="str" cm="1">
        <f t="array" aca="1" ref="J657" ca="1">IF(ISNUMBER(A657),IFERROR(_xlfn._xlws.FILTER(Equipar!A:A,(Equipar!B:B=1)*(Equipar!AC:AC=A657)),""),"")</f>
        <v/>
      </c>
    </row>
    <row r="658" spans="1:10" x14ac:dyDescent="0.25">
      <c r="A658" s="1" t="str">
        <f ca="1">IF(A657="ID",1,IF(ISBLANK(B658),"",MAX(A$2:A657)+1))</f>
        <v/>
      </c>
      <c r="I658" s="2" t="str">
        <f ca="1">IF(ISNUMBER(A658),
IF(COUNTIFS(Equipar!B:B,1,Equipar!AC:AC,A658),"Equipada",
IF(
OR(COUNTIFS(Equipar!B:B,1,Equipar!C:C,A658)
 +COUNTIFS(Equipar!B:B,1,Equipar!D:D,A658)
+COUNTIFS(Equipar!B:B,1,Equipar!E:E,A658)
+COUNTIFS(Equipar!B:B,1,Equipar!F:F,A658)
&gt;0,COUNTIF('Set recomendado'!B:B,C658)=0),
"Bloqueada",
"Desechable")),""
)</f>
        <v/>
      </c>
      <c r="J658" t="str" cm="1">
        <f t="array" aca="1" ref="J658" ca="1">IF(ISNUMBER(A658),IFERROR(_xlfn._xlws.FILTER(Equipar!A:A,(Equipar!B:B=1)*(Equipar!AC:AC=A658)),""),"")</f>
        <v/>
      </c>
    </row>
    <row r="659" spans="1:10" x14ac:dyDescent="0.25">
      <c r="A659" s="1" t="str">
        <f ca="1">IF(A658="ID",1,IF(ISBLANK(B659),"",MAX(A$2:A658)+1))</f>
        <v/>
      </c>
      <c r="I659" s="2" t="str">
        <f ca="1">IF(ISNUMBER(A659),
IF(COUNTIFS(Equipar!B:B,1,Equipar!AC:AC,A659),"Equipada",
IF(
OR(COUNTIFS(Equipar!B:B,1,Equipar!C:C,A659)
 +COUNTIFS(Equipar!B:B,1,Equipar!D:D,A659)
+COUNTIFS(Equipar!B:B,1,Equipar!E:E,A659)
+COUNTIFS(Equipar!B:B,1,Equipar!F:F,A659)
&gt;0,COUNTIF('Set recomendado'!B:B,C659)=0),
"Bloqueada",
"Desechable")),""
)</f>
        <v/>
      </c>
      <c r="J659" t="str" cm="1">
        <f t="array" aca="1" ref="J659" ca="1">IF(ISNUMBER(A659),IFERROR(_xlfn._xlws.FILTER(Equipar!A:A,(Equipar!B:B=1)*(Equipar!AC:AC=A659)),""),"")</f>
        <v/>
      </c>
    </row>
    <row r="660" spans="1:10" x14ac:dyDescent="0.25">
      <c r="A660" s="1" t="str">
        <f ca="1">IF(A659="ID",1,IF(ISBLANK(B660),"",MAX(A$2:A659)+1))</f>
        <v/>
      </c>
      <c r="I660" s="2" t="str">
        <f ca="1">IF(ISNUMBER(A660),
IF(COUNTIFS(Equipar!B:B,1,Equipar!AC:AC,A660),"Equipada",
IF(
OR(COUNTIFS(Equipar!B:B,1,Equipar!C:C,A660)
 +COUNTIFS(Equipar!B:B,1,Equipar!D:D,A660)
+COUNTIFS(Equipar!B:B,1,Equipar!E:E,A660)
+COUNTIFS(Equipar!B:B,1,Equipar!F:F,A660)
&gt;0,COUNTIF('Set recomendado'!B:B,C660)=0),
"Bloqueada",
"Desechable")),""
)</f>
        <v/>
      </c>
      <c r="J660" t="str" cm="1">
        <f t="array" aca="1" ref="J660" ca="1">IF(ISNUMBER(A660),IFERROR(_xlfn._xlws.FILTER(Equipar!A:A,(Equipar!B:B=1)*(Equipar!AC:AC=A660)),""),"")</f>
        <v/>
      </c>
    </row>
    <row r="661" spans="1:10" x14ac:dyDescent="0.25">
      <c r="A661" s="1" t="str">
        <f ca="1">IF(A660="ID",1,IF(ISBLANK(B661),"",MAX(A$2:A660)+1))</f>
        <v/>
      </c>
      <c r="I661" s="2" t="str">
        <f ca="1">IF(ISNUMBER(A661),
IF(COUNTIFS(Equipar!B:B,1,Equipar!AC:AC,A661),"Equipada",
IF(
OR(COUNTIFS(Equipar!B:B,1,Equipar!C:C,A661)
 +COUNTIFS(Equipar!B:B,1,Equipar!D:D,A661)
+COUNTIFS(Equipar!B:B,1,Equipar!E:E,A661)
+COUNTIFS(Equipar!B:B,1,Equipar!F:F,A661)
&gt;0,COUNTIF('Set recomendado'!B:B,C661)=0),
"Bloqueada",
"Desechable")),""
)</f>
        <v/>
      </c>
      <c r="J661" t="str" cm="1">
        <f t="array" aca="1" ref="J661" ca="1">IF(ISNUMBER(A661),IFERROR(_xlfn._xlws.FILTER(Equipar!A:A,(Equipar!B:B=1)*(Equipar!AC:AC=A661)),""),"")</f>
        <v/>
      </c>
    </row>
    <row r="662" spans="1:10" x14ac:dyDescent="0.25">
      <c r="A662" s="1" t="str">
        <f ca="1">IF(A661="ID",1,IF(ISBLANK(B662),"",MAX(A$2:A661)+1))</f>
        <v/>
      </c>
      <c r="I662" s="2" t="str">
        <f ca="1">IF(ISNUMBER(A662),
IF(COUNTIFS(Equipar!B:B,1,Equipar!AC:AC,A662),"Equipada",
IF(
OR(COUNTIFS(Equipar!B:B,1,Equipar!C:C,A662)
 +COUNTIFS(Equipar!B:B,1,Equipar!D:D,A662)
+COUNTIFS(Equipar!B:B,1,Equipar!E:E,A662)
+COUNTIFS(Equipar!B:B,1,Equipar!F:F,A662)
&gt;0,COUNTIF('Set recomendado'!B:B,C662)=0),
"Bloqueada",
"Desechable")),""
)</f>
        <v/>
      </c>
      <c r="J662" t="str" cm="1">
        <f t="array" aca="1" ref="J662" ca="1">IF(ISNUMBER(A662),IFERROR(_xlfn._xlws.FILTER(Equipar!A:A,(Equipar!B:B=1)*(Equipar!AC:AC=A662)),""),"")</f>
        <v/>
      </c>
    </row>
    <row r="663" spans="1:10" x14ac:dyDescent="0.25">
      <c r="A663" s="1" t="str">
        <f ca="1">IF(A662="ID",1,IF(ISBLANK(B663),"",MAX(A$2:A662)+1))</f>
        <v/>
      </c>
      <c r="I663" s="2" t="str">
        <f ca="1">IF(ISNUMBER(A663),
IF(COUNTIFS(Equipar!B:B,1,Equipar!AC:AC,A663),"Equipada",
IF(
OR(COUNTIFS(Equipar!B:B,1,Equipar!C:C,A663)
 +COUNTIFS(Equipar!B:B,1,Equipar!D:D,A663)
+COUNTIFS(Equipar!B:B,1,Equipar!E:E,A663)
+COUNTIFS(Equipar!B:B,1,Equipar!F:F,A663)
&gt;0,COUNTIF('Set recomendado'!B:B,C663)=0),
"Bloqueada",
"Desechable")),""
)</f>
        <v/>
      </c>
      <c r="J663" t="str" cm="1">
        <f t="array" aca="1" ref="J663" ca="1">IF(ISNUMBER(A663),IFERROR(_xlfn._xlws.FILTER(Equipar!A:A,(Equipar!B:B=1)*(Equipar!AC:AC=A663)),""),"")</f>
        <v/>
      </c>
    </row>
    <row r="664" spans="1:10" x14ac:dyDescent="0.25">
      <c r="A664" s="1" t="str">
        <f ca="1">IF(A663="ID",1,IF(ISBLANK(B664),"",MAX(A$2:A663)+1))</f>
        <v/>
      </c>
      <c r="I664" s="2" t="str">
        <f ca="1">IF(ISNUMBER(A664),
IF(COUNTIFS(Equipar!B:B,1,Equipar!AC:AC,A664),"Equipada",
IF(
OR(COUNTIFS(Equipar!B:B,1,Equipar!C:C,A664)
 +COUNTIFS(Equipar!B:B,1,Equipar!D:D,A664)
+COUNTIFS(Equipar!B:B,1,Equipar!E:E,A664)
+COUNTIFS(Equipar!B:B,1,Equipar!F:F,A664)
&gt;0,COUNTIF('Set recomendado'!B:B,C664)=0),
"Bloqueada",
"Desechable")),""
)</f>
        <v/>
      </c>
      <c r="J664" t="str" cm="1">
        <f t="array" aca="1" ref="J664" ca="1">IF(ISNUMBER(A664),IFERROR(_xlfn._xlws.FILTER(Equipar!A:A,(Equipar!B:B=1)*(Equipar!AC:AC=A664)),""),"")</f>
        <v/>
      </c>
    </row>
    <row r="665" spans="1:10" x14ac:dyDescent="0.25">
      <c r="A665" s="1" t="str">
        <f ca="1">IF(A664="ID",1,IF(ISBLANK(B665),"",MAX(A$2:A664)+1))</f>
        <v/>
      </c>
      <c r="I665" s="2" t="str">
        <f ca="1">IF(ISNUMBER(A665),
IF(COUNTIFS(Equipar!B:B,1,Equipar!AC:AC,A665),"Equipada",
IF(
OR(COUNTIFS(Equipar!B:B,1,Equipar!C:C,A665)
 +COUNTIFS(Equipar!B:B,1,Equipar!D:D,A665)
+COUNTIFS(Equipar!B:B,1,Equipar!E:E,A665)
+COUNTIFS(Equipar!B:B,1,Equipar!F:F,A665)
&gt;0,COUNTIF('Set recomendado'!B:B,C665)=0),
"Bloqueada",
"Desechable")),""
)</f>
        <v/>
      </c>
      <c r="J665" t="str" cm="1">
        <f t="array" aca="1" ref="J665" ca="1">IF(ISNUMBER(A665),IFERROR(_xlfn._xlws.FILTER(Equipar!A:A,(Equipar!B:B=1)*(Equipar!AC:AC=A665)),""),"")</f>
        <v/>
      </c>
    </row>
    <row r="666" spans="1:10" x14ac:dyDescent="0.25">
      <c r="A666" s="1" t="str">
        <f ca="1">IF(A665="ID",1,IF(ISBLANK(B666),"",MAX(A$2:A665)+1))</f>
        <v/>
      </c>
      <c r="I666" s="2" t="str">
        <f ca="1">IF(ISNUMBER(A666),
IF(COUNTIFS(Equipar!B:B,1,Equipar!AC:AC,A666),"Equipada",
IF(
OR(COUNTIFS(Equipar!B:B,1,Equipar!C:C,A666)
 +COUNTIFS(Equipar!B:B,1,Equipar!D:D,A666)
+COUNTIFS(Equipar!B:B,1,Equipar!E:E,A666)
+COUNTIFS(Equipar!B:B,1,Equipar!F:F,A666)
&gt;0,COUNTIF('Set recomendado'!B:B,C666)=0),
"Bloqueada",
"Desechable")),""
)</f>
        <v/>
      </c>
      <c r="J666" t="str" cm="1">
        <f t="array" aca="1" ref="J666" ca="1">IF(ISNUMBER(A666),IFERROR(_xlfn._xlws.FILTER(Equipar!A:A,(Equipar!B:B=1)*(Equipar!AC:AC=A666)),""),"")</f>
        <v/>
      </c>
    </row>
    <row r="667" spans="1:10" x14ac:dyDescent="0.25">
      <c r="A667" s="1" t="str">
        <f ca="1">IF(A666="ID",1,IF(ISBLANK(B667),"",MAX(A$2:A666)+1))</f>
        <v/>
      </c>
      <c r="I667" s="2" t="str">
        <f ca="1">IF(ISNUMBER(A667),
IF(COUNTIFS(Equipar!B:B,1,Equipar!AC:AC,A667),"Equipada",
IF(
OR(COUNTIFS(Equipar!B:B,1,Equipar!C:C,A667)
 +COUNTIFS(Equipar!B:B,1,Equipar!D:D,A667)
+COUNTIFS(Equipar!B:B,1,Equipar!E:E,A667)
+COUNTIFS(Equipar!B:B,1,Equipar!F:F,A667)
&gt;0,COUNTIF('Set recomendado'!B:B,C667)=0),
"Bloqueada",
"Desechable")),""
)</f>
        <v/>
      </c>
      <c r="J667" t="str" cm="1">
        <f t="array" aca="1" ref="J667" ca="1">IF(ISNUMBER(A667),IFERROR(_xlfn._xlws.FILTER(Equipar!A:A,(Equipar!B:B=1)*(Equipar!AC:AC=A667)),""),"")</f>
        <v/>
      </c>
    </row>
    <row r="668" spans="1:10" x14ac:dyDescent="0.25">
      <c r="A668" s="1" t="str">
        <f ca="1">IF(A667="ID",1,IF(ISBLANK(B668),"",MAX(A$2:A667)+1))</f>
        <v/>
      </c>
      <c r="I668" s="2" t="str">
        <f ca="1">IF(ISNUMBER(A668),
IF(COUNTIFS(Equipar!B:B,1,Equipar!AC:AC,A668),"Equipada",
IF(
OR(COUNTIFS(Equipar!B:B,1,Equipar!C:C,A668)
 +COUNTIFS(Equipar!B:B,1,Equipar!D:D,A668)
+COUNTIFS(Equipar!B:B,1,Equipar!E:E,A668)
+COUNTIFS(Equipar!B:B,1,Equipar!F:F,A668)
&gt;0,COUNTIF('Set recomendado'!B:B,C668)=0),
"Bloqueada",
"Desechable")),""
)</f>
        <v/>
      </c>
      <c r="J668" t="str" cm="1">
        <f t="array" aca="1" ref="J668" ca="1">IF(ISNUMBER(A668),IFERROR(_xlfn._xlws.FILTER(Equipar!A:A,(Equipar!B:B=1)*(Equipar!AC:AC=A668)),""),"")</f>
        <v/>
      </c>
    </row>
    <row r="669" spans="1:10" x14ac:dyDescent="0.25">
      <c r="A669" s="1" t="str">
        <f ca="1">IF(A668="ID",1,IF(ISBLANK(B669),"",MAX(A$2:A668)+1))</f>
        <v/>
      </c>
      <c r="I669" s="2" t="str">
        <f ca="1">IF(ISNUMBER(A669),
IF(COUNTIFS(Equipar!B:B,1,Equipar!AC:AC,A669),"Equipada",
IF(
OR(COUNTIFS(Equipar!B:B,1,Equipar!C:C,A669)
 +COUNTIFS(Equipar!B:B,1,Equipar!D:D,A669)
+COUNTIFS(Equipar!B:B,1,Equipar!E:E,A669)
+COUNTIFS(Equipar!B:B,1,Equipar!F:F,A669)
&gt;0,COUNTIF('Set recomendado'!B:B,C669)=0),
"Bloqueada",
"Desechable")),""
)</f>
        <v/>
      </c>
      <c r="J669" t="str" cm="1">
        <f t="array" aca="1" ref="J669" ca="1">IF(ISNUMBER(A669),IFERROR(_xlfn._xlws.FILTER(Equipar!A:A,(Equipar!B:B=1)*(Equipar!AC:AC=A669)),""),"")</f>
        <v/>
      </c>
    </row>
    <row r="670" spans="1:10" x14ac:dyDescent="0.25">
      <c r="A670" s="1" t="str">
        <f ca="1">IF(A669="ID",1,IF(ISBLANK(B670),"",MAX(A$2:A669)+1))</f>
        <v/>
      </c>
      <c r="I670" s="2" t="str">
        <f ca="1">IF(ISNUMBER(A670),
IF(COUNTIFS(Equipar!B:B,1,Equipar!AC:AC,A670),"Equipada",
IF(
OR(COUNTIFS(Equipar!B:B,1,Equipar!C:C,A670)
 +COUNTIFS(Equipar!B:B,1,Equipar!D:D,A670)
+COUNTIFS(Equipar!B:B,1,Equipar!E:E,A670)
+COUNTIFS(Equipar!B:B,1,Equipar!F:F,A670)
&gt;0,COUNTIF('Set recomendado'!B:B,C670)=0),
"Bloqueada",
"Desechable")),""
)</f>
        <v/>
      </c>
      <c r="J670" t="str" cm="1">
        <f t="array" aca="1" ref="J670" ca="1">IF(ISNUMBER(A670),IFERROR(_xlfn._xlws.FILTER(Equipar!A:A,(Equipar!B:B=1)*(Equipar!AC:AC=A670)),""),"")</f>
        <v/>
      </c>
    </row>
    <row r="671" spans="1:10" x14ac:dyDescent="0.25">
      <c r="A671" s="1" t="str">
        <f ca="1">IF(A670="ID",1,IF(ISBLANK(B671),"",MAX(A$2:A670)+1))</f>
        <v/>
      </c>
      <c r="I671" s="2" t="str">
        <f ca="1">IF(ISNUMBER(A671),
IF(COUNTIFS(Equipar!B:B,1,Equipar!AC:AC,A671),"Equipada",
IF(
OR(COUNTIFS(Equipar!B:B,1,Equipar!C:C,A671)
 +COUNTIFS(Equipar!B:B,1,Equipar!D:D,A671)
+COUNTIFS(Equipar!B:B,1,Equipar!E:E,A671)
+COUNTIFS(Equipar!B:B,1,Equipar!F:F,A671)
&gt;0,COUNTIF('Set recomendado'!B:B,C671)=0),
"Bloqueada",
"Desechable")),""
)</f>
        <v/>
      </c>
      <c r="J671" t="str" cm="1">
        <f t="array" aca="1" ref="J671" ca="1">IF(ISNUMBER(A671),IFERROR(_xlfn._xlws.FILTER(Equipar!A:A,(Equipar!B:B=1)*(Equipar!AC:AC=A671)),""),"")</f>
        <v/>
      </c>
    </row>
    <row r="672" spans="1:10" x14ac:dyDescent="0.25">
      <c r="A672" s="1" t="str">
        <f ca="1">IF(A671="ID",1,IF(ISBLANK(B672),"",MAX(A$2:A671)+1))</f>
        <v/>
      </c>
      <c r="I672" s="2" t="str">
        <f ca="1">IF(ISNUMBER(A672),
IF(COUNTIFS(Equipar!B:B,1,Equipar!AC:AC,A672),"Equipada",
IF(
OR(COUNTIFS(Equipar!B:B,1,Equipar!C:C,A672)
 +COUNTIFS(Equipar!B:B,1,Equipar!D:D,A672)
+COUNTIFS(Equipar!B:B,1,Equipar!E:E,A672)
+COUNTIFS(Equipar!B:B,1,Equipar!F:F,A672)
&gt;0,COUNTIF('Set recomendado'!B:B,C672)=0),
"Bloqueada",
"Desechable")),""
)</f>
        <v/>
      </c>
      <c r="J672" t="str" cm="1">
        <f t="array" aca="1" ref="J672" ca="1">IF(ISNUMBER(A672),IFERROR(_xlfn._xlws.FILTER(Equipar!A:A,(Equipar!B:B=1)*(Equipar!AC:AC=A672)),""),"")</f>
        <v/>
      </c>
    </row>
    <row r="673" spans="1:10" x14ac:dyDescent="0.25">
      <c r="A673" s="1" t="str">
        <f ca="1">IF(A672="ID",1,IF(ISBLANK(B673),"",MAX(A$2:A672)+1))</f>
        <v/>
      </c>
      <c r="I673" s="2" t="str">
        <f ca="1">IF(ISNUMBER(A673),
IF(COUNTIFS(Equipar!B:B,1,Equipar!AC:AC,A673),"Equipada",
IF(
OR(COUNTIFS(Equipar!B:B,1,Equipar!C:C,A673)
 +COUNTIFS(Equipar!B:B,1,Equipar!D:D,A673)
+COUNTIFS(Equipar!B:B,1,Equipar!E:E,A673)
+COUNTIFS(Equipar!B:B,1,Equipar!F:F,A673)
&gt;0,COUNTIF('Set recomendado'!B:B,C673)=0),
"Bloqueada",
"Desechable")),""
)</f>
        <v/>
      </c>
      <c r="J673" t="str" cm="1">
        <f t="array" aca="1" ref="J673" ca="1">IF(ISNUMBER(A673),IFERROR(_xlfn._xlws.FILTER(Equipar!A:A,(Equipar!B:B=1)*(Equipar!AC:AC=A673)),""),"")</f>
        <v/>
      </c>
    </row>
    <row r="674" spans="1:10" x14ac:dyDescent="0.25">
      <c r="A674" s="1" t="str">
        <f ca="1">IF(A673="ID",1,IF(ISBLANK(B674),"",MAX(A$2:A673)+1))</f>
        <v/>
      </c>
      <c r="I674" s="2" t="str">
        <f ca="1">IF(ISNUMBER(A674),
IF(COUNTIFS(Equipar!B:B,1,Equipar!AC:AC,A674),"Equipada",
IF(
OR(COUNTIFS(Equipar!B:B,1,Equipar!C:C,A674)
 +COUNTIFS(Equipar!B:B,1,Equipar!D:D,A674)
+COUNTIFS(Equipar!B:B,1,Equipar!E:E,A674)
+COUNTIFS(Equipar!B:B,1,Equipar!F:F,A674)
&gt;0,COUNTIF('Set recomendado'!B:B,C674)=0),
"Bloqueada",
"Desechable")),""
)</f>
        <v/>
      </c>
      <c r="J674" t="str" cm="1">
        <f t="array" aca="1" ref="J674" ca="1">IF(ISNUMBER(A674),IFERROR(_xlfn._xlws.FILTER(Equipar!A:A,(Equipar!B:B=1)*(Equipar!AC:AC=A674)),""),"")</f>
        <v/>
      </c>
    </row>
    <row r="675" spans="1:10" x14ac:dyDescent="0.25">
      <c r="A675" s="1" t="str">
        <f ca="1">IF(A674="ID",1,IF(ISBLANK(B675),"",MAX(A$2:A674)+1))</f>
        <v/>
      </c>
      <c r="I675" s="2" t="str">
        <f ca="1">IF(ISNUMBER(A675),
IF(COUNTIFS(Equipar!B:B,1,Equipar!AC:AC,A675),"Equipada",
IF(
OR(COUNTIFS(Equipar!B:B,1,Equipar!C:C,A675)
 +COUNTIFS(Equipar!B:B,1,Equipar!D:D,A675)
+COUNTIFS(Equipar!B:B,1,Equipar!E:E,A675)
+COUNTIFS(Equipar!B:B,1,Equipar!F:F,A675)
&gt;0,COUNTIF('Set recomendado'!B:B,C675)=0),
"Bloqueada",
"Desechable")),""
)</f>
        <v/>
      </c>
      <c r="J675" t="str" cm="1">
        <f t="array" aca="1" ref="J675" ca="1">IF(ISNUMBER(A675),IFERROR(_xlfn._xlws.FILTER(Equipar!A:A,(Equipar!B:B=1)*(Equipar!AC:AC=A675)),""),"")</f>
        <v/>
      </c>
    </row>
    <row r="676" spans="1:10" x14ac:dyDescent="0.25">
      <c r="A676" s="1" t="str">
        <f ca="1">IF(A675="ID",1,IF(ISBLANK(B676),"",MAX(A$2:A675)+1))</f>
        <v/>
      </c>
      <c r="I676" s="2" t="str">
        <f ca="1">IF(ISNUMBER(A676),
IF(COUNTIFS(Equipar!B:B,1,Equipar!AC:AC,A676),"Equipada",
IF(
OR(COUNTIFS(Equipar!B:B,1,Equipar!C:C,A676)
 +COUNTIFS(Equipar!B:B,1,Equipar!D:D,A676)
+COUNTIFS(Equipar!B:B,1,Equipar!E:E,A676)
+COUNTIFS(Equipar!B:B,1,Equipar!F:F,A676)
&gt;0,COUNTIF('Set recomendado'!B:B,C676)=0),
"Bloqueada",
"Desechable")),""
)</f>
        <v/>
      </c>
      <c r="J676" t="str" cm="1">
        <f t="array" aca="1" ref="J676" ca="1">IF(ISNUMBER(A676),IFERROR(_xlfn._xlws.FILTER(Equipar!A:A,(Equipar!B:B=1)*(Equipar!AC:AC=A676)),""),"")</f>
        <v/>
      </c>
    </row>
    <row r="677" spans="1:10" x14ac:dyDescent="0.25">
      <c r="A677" s="1" t="str">
        <f ca="1">IF(A676="ID",1,IF(ISBLANK(B677),"",MAX(A$2:A676)+1))</f>
        <v/>
      </c>
      <c r="I677" s="2" t="str">
        <f ca="1">IF(ISNUMBER(A677),
IF(COUNTIFS(Equipar!B:B,1,Equipar!AC:AC,A677),"Equipada",
IF(
OR(COUNTIFS(Equipar!B:B,1,Equipar!C:C,A677)
 +COUNTIFS(Equipar!B:B,1,Equipar!D:D,A677)
+COUNTIFS(Equipar!B:B,1,Equipar!E:E,A677)
+COUNTIFS(Equipar!B:B,1,Equipar!F:F,A677)
&gt;0,COUNTIF('Set recomendado'!B:B,C677)=0),
"Bloqueada",
"Desechable")),""
)</f>
        <v/>
      </c>
      <c r="J677" t="str" cm="1">
        <f t="array" aca="1" ref="J677" ca="1">IF(ISNUMBER(A677),IFERROR(_xlfn._xlws.FILTER(Equipar!A:A,(Equipar!B:B=1)*(Equipar!AC:AC=A677)),""),"")</f>
        <v/>
      </c>
    </row>
    <row r="678" spans="1:10" x14ac:dyDescent="0.25">
      <c r="A678" s="1" t="str">
        <f ca="1">IF(A677="ID",1,IF(ISBLANK(B678),"",MAX(A$2:A677)+1))</f>
        <v/>
      </c>
      <c r="I678" s="2" t="str">
        <f ca="1">IF(ISNUMBER(A678),
IF(COUNTIFS(Equipar!B:B,1,Equipar!AC:AC,A678),"Equipada",
IF(
OR(COUNTIFS(Equipar!B:B,1,Equipar!C:C,A678)
 +COUNTIFS(Equipar!B:B,1,Equipar!D:D,A678)
+COUNTIFS(Equipar!B:B,1,Equipar!E:E,A678)
+COUNTIFS(Equipar!B:B,1,Equipar!F:F,A678)
&gt;0,COUNTIF('Set recomendado'!B:B,C678)=0),
"Bloqueada",
"Desechable")),""
)</f>
        <v/>
      </c>
      <c r="J678" t="str" cm="1">
        <f t="array" aca="1" ref="J678" ca="1">IF(ISNUMBER(A678),IFERROR(_xlfn._xlws.FILTER(Equipar!A:A,(Equipar!B:B=1)*(Equipar!AC:AC=A678)),""),"")</f>
        <v/>
      </c>
    </row>
    <row r="679" spans="1:10" x14ac:dyDescent="0.25">
      <c r="A679" s="1" t="str">
        <f ca="1">IF(A678="ID",1,IF(ISBLANK(B679),"",MAX(A$2:A678)+1))</f>
        <v/>
      </c>
      <c r="I679" s="2" t="str">
        <f ca="1">IF(ISNUMBER(A679),
IF(COUNTIFS(Equipar!B:B,1,Equipar!AC:AC,A679),"Equipada",
IF(
OR(COUNTIFS(Equipar!B:B,1,Equipar!C:C,A679)
 +COUNTIFS(Equipar!B:B,1,Equipar!D:D,A679)
+COUNTIFS(Equipar!B:B,1,Equipar!E:E,A679)
+COUNTIFS(Equipar!B:B,1,Equipar!F:F,A679)
&gt;0,COUNTIF('Set recomendado'!B:B,C679)=0),
"Bloqueada",
"Desechable")),""
)</f>
        <v/>
      </c>
      <c r="J679" t="str" cm="1">
        <f t="array" aca="1" ref="J679" ca="1">IF(ISNUMBER(A679),IFERROR(_xlfn._xlws.FILTER(Equipar!A:A,(Equipar!B:B=1)*(Equipar!AC:AC=A679)),""),"")</f>
        <v/>
      </c>
    </row>
    <row r="680" spans="1:10" x14ac:dyDescent="0.25">
      <c r="A680" s="1" t="str">
        <f ca="1">IF(A679="ID",1,IF(ISBLANK(B680),"",MAX(A$2:A679)+1))</f>
        <v/>
      </c>
      <c r="I680" s="2" t="str">
        <f ca="1">IF(ISNUMBER(A680),
IF(COUNTIFS(Equipar!B:B,1,Equipar!AC:AC,A680),"Equipada",
IF(
OR(COUNTIFS(Equipar!B:B,1,Equipar!C:C,A680)
 +COUNTIFS(Equipar!B:B,1,Equipar!D:D,A680)
+COUNTIFS(Equipar!B:B,1,Equipar!E:E,A680)
+COUNTIFS(Equipar!B:B,1,Equipar!F:F,A680)
&gt;0,COUNTIF('Set recomendado'!B:B,C680)=0),
"Bloqueada",
"Desechable")),""
)</f>
        <v/>
      </c>
      <c r="J680" t="str" cm="1">
        <f t="array" aca="1" ref="J680" ca="1">IF(ISNUMBER(A680),IFERROR(_xlfn._xlws.FILTER(Equipar!A:A,(Equipar!B:B=1)*(Equipar!AC:AC=A680)),""),"")</f>
        <v/>
      </c>
    </row>
    <row r="681" spans="1:10" x14ac:dyDescent="0.25">
      <c r="A681" s="1" t="str">
        <f ca="1">IF(A680="ID",1,IF(ISBLANK(B681),"",MAX(A$2:A680)+1))</f>
        <v/>
      </c>
      <c r="I681" s="2" t="str">
        <f ca="1">IF(ISNUMBER(A681),
IF(COUNTIFS(Equipar!B:B,1,Equipar!AC:AC,A681),"Equipada",
IF(
OR(COUNTIFS(Equipar!B:B,1,Equipar!C:C,A681)
 +COUNTIFS(Equipar!B:B,1,Equipar!D:D,A681)
+COUNTIFS(Equipar!B:B,1,Equipar!E:E,A681)
+COUNTIFS(Equipar!B:B,1,Equipar!F:F,A681)
&gt;0,COUNTIF('Set recomendado'!B:B,C681)=0),
"Bloqueada",
"Desechable")),""
)</f>
        <v/>
      </c>
      <c r="J681" t="str" cm="1">
        <f t="array" aca="1" ref="J681" ca="1">IF(ISNUMBER(A681),IFERROR(_xlfn._xlws.FILTER(Equipar!A:A,(Equipar!B:B=1)*(Equipar!AC:AC=A681)),""),"")</f>
        <v/>
      </c>
    </row>
    <row r="682" spans="1:10" x14ac:dyDescent="0.25">
      <c r="A682" s="1" t="str">
        <f ca="1">IF(A681="ID",1,IF(ISBLANK(B682),"",MAX(A$2:A681)+1))</f>
        <v/>
      </c>
      <c r="I682" s="2" t="str">
        <f ca="1">IF(ISNUMBER(A682),
IF(COUNTIFS(Equipar!B:B,1,Equipar!AC:AC,A682),"Equipada",
IF(
OR(COUNTIFS(Equipar!B:B,1,Equipar!C:C,A682)
 +COUNTIFS(Equipar!B:B,1,Equipar!D:D,A682)
+COUNTIFS(Equipar!B:B,1,Equipar!E:E,A682)
+COUNTIFS(Equipar!B:B,1,Equipar!F:F,A682)
&gt;0,COUNTIF('Set recomendado'!B:B,C682)=0),
"Bloqueada",
"Desechable")),""
)</f>
        <v/>
      </c>
      <c r="J682" t="str" cm="1">
        <f t="array" aca="1" ref="J682" ca="1">IF(ISNUMBER(A682),IFERROR(_xlfn._xlws.FILTER(Equipar!A:A,(Equipar!B:B=1)*(Equipar!AC:AC=A682)),""),"")</f>
        <v/>
      </c>
    </row>
    <row r="683" spans="1:10" x14ac:dyDescent="0.25">
      <c r="A683" s="1" t="str">
        <f ca="1">IF(A682="ID",1,IF(ISBLANK(B683),"",MAX(A$2:A682)+1))</f>
        <v/>
      </c>
      <c r="I683" s="2" t="str">
        <f ca="1">IF(ISNUMBER(A683),
IF(COUNTIFS(Equipar!B:B,1,Equipar!AC:AC,A683),"Equipada",
IF(
OR(COUNTIFS(Equipar!B:B,1,Equipar!C:C,A683)
 +COUNTIFS(Equipar!B:B,1,Equipar!D:D,A683)
+COUNTIFS(Equipar!B:B,1,Equipar!E:E,A683)
+COUNTIFS(Equipar!B:B,1,Equipar!F:F,A683)
&gt;0,COUNTIF('Set recomendado'!B:B,C683)=0),
"Bloqueada",
"Desechable")),""
)</f>
        <v/>
      </c>
      <c r="J683" t="str" cm="1">
        <f t="array" aca="1" ref="J683" ca="1">IF(ISNUMBER(A683),IFERROR(_xlfn._xlws.FILTER(Equipar!A:A,(Equipar!B:B=1)*(Equipar!AC:AC=A683)),""),"")</f>
        <v/>
      </c>
    </row>
    <row r="684" spans="1:10" x14ac:dyDescent="0.25">
      <c r="A684" s="1" t="str">
        <f ca="1">IF(A683="ID",1,IF(ISBLANK(B684),"",MAX(A$2:A683)+1))</f>
        <v/>
      </c>
      <c r="I684" s="2" t="str">
        <f ca="1">IF(ISNUMBER(A684),
IF(COUNTIFS(Equipar!B:B,1,Equipar!AC:AC,A684),"Equipada",
IF(
OR(COUNTIFS(Equipar!B:B,1,Equipar!C:C,A684)
 +COUNTIFS(Equipar!B:B,1,Equipar!D:D,A684)
+COUNTIFS(Equipar!B:B,1,Equipar!E:E,A684)
+COUNTIFS(Equipar!B:B,1,Equipar!F:F,A684)
&gt;0,COUNTIF('Set recomendado'!B:B,C684)=0),
"Bloqueada",
"Desechable")),""
)</f>
        <v/>
      </c>
      <c r="J684" t="str" cm="1">
        <f t="array" aca="1" ref="J684" ca="1">IF(ISNUMBER(A684),IFERROR(_xlfn._xlws.FILTER(Equipar!A:A,(Equipar!B:B=1)*(Equipar!AC:AC=A684)),""),"")</f>
        <v/>
      </c>
    </row>
    <row r="685" spans="1:10" x14ac:dyDescent="0.25">
      <c r="A685" s="1" t="str">
        <f ca="1">IF(A684="ID",1,IF(ISBLANK(B685),"",MAX(A$2:A684)+1))</f>
        <v/>
      </c>
      <c r="I685" s="2" t="str">
        <f ca="1">IF(ISNUMBER(A685),
IF(COUNTIFS(Equipar!B:B,1,Equipar!AC:AC,A685),"Equipada",
IF(
OR(COUNTIFS(Equipar!B:B,1,Equipar!C:C,A685)
 +COUNTIFS(Equipar!B:B,1,Equipar!D:D,A685)
+COUNTIFS(Equipar!B:B,1,Equipar!E:E,A685)
+COUNTIFS(Equipar!B:B,1,Equipar!F:F,A685)
&gt;0,COUNTIF('Set recomendado'!B:B,C685)=0),
"Bloqueada",
"Desechable")),""
)</f>
        <v/>
      </c>
      <c r="J685" t="str" cm="1">
        <f t="array" aca="1" ref="J685" ca="1">IF(ISNUMBER(A685),IFERROR(_xlfn._xlws.FILTER(Equipar!A:A,(Equipar!B:B=1)*(Equipar!AC:AC=A685)),""),"")</f>
        <v/>
      </c>
    </row>
    <row r="686" spans="1:10" x14ac:dyDescent="0.25">
      <c r="A686" s="1" t="str">
        <f ca="1">IF(A685="ID",1,IF(ISBLANK(B686),"",MAX(A$2:A685)+1))</f>
        <v/>
      </c>
      <c r="I686" s="2" t="str">
        <f ca="1">IF(ISNUMBER(A686),
IF(COUNTIFS(Equipar!B:B,1,Equipar!AC:AC,A686),"Equipada",
IF(
OR(COUNTIFS(Equipar!B:B,1,Equipar!C:C,A686)
 +COUNTIFS(Equipar!B:B,1,Equipar!D:D,A686)
+COUNTIFS(Equipar!B:B,1,Equipar!E:E,A686)
+COUNTIFS(Equipar!B:B,1,Equipar!F:F,A686)
&gt;0,COUNTIF('Set recomendado'!B:B,C686)=0),
"Bloqueada",
"Desechable")),""
)</f>
        <v/>
      </c>
      <c r="J686" t="str" cm="1">
        <f t="array" aca="1" ref="J686" ca="1">IF(ISNUMBER(A686),IFERROR(_xlfn._xlws.FILTER(Equipar!A:A,(Equipar!B:B=1)*(Equipar!AC:AC=A686)),""),"")</f>
        <v/>
      </c>
    </row>
    <row r="687" spans="1:10" x14ac:dyDescent="0.25">
      <c r="A687" s="1" t="str">
        <f ca="1">IF(A686="ID",1,IF(ISBLANK(B687),"",MAX(A$2:A686)+1))</f>
        <v/>
      </c>
      <c r="I687" s="2" t="str">
        <f ca="1">IF(ISNUMBER(A687),
IF(COUNTIFS(Equipar!B:B,1,Equipar!AC:AC,A687),"Equipada",
IF(
OR(COUNTIFS(Equipar!B:B,1,Equipar!C:C,A687)
 +COUNTIFS(Equipar!B:B,1,Equipar!D:D,A687)
+COUNTIFS(Equipar!B:B,1,Equipar!E:E,A687)
+COUNTIFS(Equipar!B:B,1,Equipar!F:F,A687)
&gt;0,COUNTIF('Set recomendado'!B:B,C687)=0),
"Bloqueada",
"Desechable")),""
)</f>
        <v/>
      </c>
      <c r="J687" t="str" cm="1">
        <f t="array" aca="1" ref="J687" ca="1">IF(ISNUMBER(A687),IFERROR(_xlfn._xlws.FILTER(Equipar!A:A,(Equipar!B:B=1)*(Equipar!AC:AC=A687)),""),"")</f>
        <v/>
      </c>
    </row>
    <row r="688" spans="1:10" x14ac:dyDescent="0.25">
      <c r="A688" s="1" t="str">
        <f ca="1">IF(A687="ID",1,IF(ISBLANK(B688),"",MAX(A$2:A687)+1))</f>
        <v/>
      </c>
      <c r="I688" s="2" t="str">
        <f ca="1">IF(ISNUMBER(A688),
IF(COUNTIFS(Equipar!B:B,1,Equipar!AC:AC,A688),"Equipada",
IF(
OR(COUNTIFS(Equipar!B:B,1,Equipar!C:C,A688)
 +COUNTIFS(Equipar!B:B,1,Equipar!D:D,A688)
+COUNTIFS(Equipar!B:B,1,Equipar!E:E,A688)
+COUNTIFS(Equipar!B:B,1,Equipar!F:F,A688)
&gt;0,COUNTIF('Set recomendado'!B:B,C688)=0),
"Bloqueada",
"Desechable")),""
)</f>
        <v/>
      </c>
      <c r="J688" t="str" cm="1">
        <f t="array" aca="1" ref="J688" ca="1">IF(ISNUMBER(A688),IFERROR(_xlfn._xlws.FILTER(Equipar!A:A,(Equipar!B:B=1)*(Equipar!AC:AC=A688)),""),"")</f>
        <v/>
      </c>
    </row>
    <row r="689" spans="1:10" x14ac:dyDescent="0.25">
      <c r="A689" s="1" t="str">
        <f ca="1">IF(A688="ID",1,IF(ISBLANK(B689),"",MAX(A$2:A688)+1))</f>
        <v/>
      </c>
      <c r="I689" s="2" t="str">
        <f ca="1">IF(ISNUMBER(A689),
IF(COUNTIFS(Equipar!B:B,1,Equipar!AC:AC,A689),"Equipada",
IF(
OR(COUNTIFS(Equipar!B:B,1,Equipar!C:C,A689)
 +COUNTIFS(Equipar!B:B,1,Equipar!D:D,A689)
+COUNTIFS(Equipar!B:B,1,Equipar!E:E,A689)
+COUNTIFS(Equipar!B:B,1,Equipar!F:F,A689)
&gt;0,COUNTIF('Set recomendado'!B:B,C689)=0),
"Bloqueada",
"Desechable")),""
)</f>
        <v/>
      </c>
      <c r="J689" t="str" cm="1">
        <f t="array" aca="1" ref="J689" ca="1">IF(ISNUMBER(A689),IFERROR(_xlfn._xlws.FILTER(Equipar!A:A,(Equipar!B:B=1)*(Equipar!AC:AC=A689)),""),"")</f>
        <v/>
      </c>
    </row>
    <row r="690" spans="1:10" x14ac:dyDescent="0.25">
      <c r="A690" s="1" t="str">
        <f ca="1">IF(A689="ID",1,IF(ISBLANK(B690),"",MAX(A$2:A689)+1))</f>
        <v/>
      </c>
      <c r="I690" s="2" t="str">
        <f ca="1">IF(ISNUMBER(A690),
IF(COUNTIFS(Equipar!B:B,1,Equipar!AC:AC,A690),"Equipada",
IF(
OR(COUNTIFS(Equipar!B:B,1,Equipar!C:C,A690)
 +COUNTIFS(Equipar!B:B,1,Equipar!D:D,A690)
+COUNTIFS(Equipar!B:B,1,Equipar!E:E,A690)
+COUNTIFS(Equipar!B:B,1,Equipar!F:F,A690)
&gt;0,COUNTIF('Set recomendado'!B:B,C690)=0),
"Bloqueada",
"Desechable")),""
)</f>
        <v/>
      </c>
      <c r="J690" t="str" cm="1">
        <f t="array" aca="1" ref="J690" ca="1">IF(ISNUMBER(A690),IFERROR(_xlfn._xlws.FILTER(Equipar!A:A,(Equipar!B:B=1)*(Equipar!AC:AC=A690)),""),"")</f>
        <v/>
      </c>
    </row>
    <row r="691" spans="1:10" x14ac:dyDescent="0.25">
      <c r="A691" s="1" t="str">
        <f ca="1">IF(A690="ID",1,IF(ISBLANK(B691),"",MAX(A$2:A690)+1))</f>
        <v/>
      </c>
      <c r="I691" s="2" t="str">
        <f ca="1">IF(ISNUMBER(A691),
IF(COUNTIFS(Equipar!B:B,1,Equipar!AC:AC,A691),"Equipada",
IF(
OR(COUNTIFS(Equipar!B:B,1,Equipar!C:C,A691)
 +COUNTIFS(Equipar!B:B,1,Equipar!D:D,A691)
+COUNTIFS(Equipar!B:B,1,Equipar!E:E,A691)
+COUNTIFS(Equipar!B:B,1,Equipar!F:F,A691)
&gt;0,COUNTIF('Set recomendado'!B:B,C691)=0),
"Bloqueada",
"Desechable")),""
)</f>
        <v/>
      </c>
      <c r="J691" t="str" cm="1">
        <f t="array" aca="1" ref="J691" ca="1">IF(ISNUMBER(A691),IFERROR(_xlfn._xlws.FILTER(Equipar!A:A,(Equipar!B:B=1)*(Equipar!AC:AC=A691)),""),"")</f>
        <v/>
      </c>
    </row>
    <row r="692" spans="1:10" x14ac:dyDescent="0.25">
      <c r="A692" s="1" t="str">
        <f ca="1">IF(A691="ID",1,IF(ISBLANK(B692),"",MAX(A$2:A691)+1))</f>
        <v/>
      </c>
      <c r="I692" s="2" t="str">
        <f ca="1">IF(ISNUMBER(A692),
IF(COUNTIFS(Equipar!B:B,1,Equipar!AC:AC,A692),"Equipada",
IF(
OR(COUNTIFS(Equipar!B:B,1,Equipar!C:C,A692)
 +COUNTIFS(Equipar!B:B,1,Equipar!D:D,A692)
+COUNTIFS(Equipar!B:B,1,Equipar!E:E,A692)
+COUNTIFS(Equipar!B:B,1,Equipar!F:F,A692)
&gt;0,COUNTIF('Set recomendado'!B:B,C692)=0),
"Bloqueada",
"Desechable")),""
)</f>
        <v/>
      </c>
      <c r="J692" t="str" cm="1">
        <f t="array" aca="1" ref="J692" ca="1">IF(ISNUMBER(A692),IFERROR(_xlfn._xlws.FILTER(Equipar!A:A,(Equipar!B:B=1)*(Equipar!AC:AC=A692)),""),"")</f>
        <v/>
      </c>
    </row>
    <row r="693" spans="1:10" x14ac:dyDescent="0.25">
      <c r="A693" s="1" t="str">
        <f ca="1">IF(A692="ID",1,IF(ISBLANK(B693),"",MAX(A$2:A692)+1))</f>
        <v/>
      </c>
      <c r="I693" s="2" t="str">
        <f ca="1">IF(ISNUMBER(A693),
IF(COUNTIFS(Equipar!B:B,1,Equipar!AC:AC,A693),"Equipada",
IF(
OR(COUNTIFS(Equipar!B:B,1,Equipar!C:C,A693)
 +COUNTIFS(Equipar!B:B,1,Equipar!D:D,A693)
+COUNTIFS(Equipar!B:B,1,Equipar!E:E,A693)
+COUNTIFS(Equipar!B:B,1,Equipar!F:F,A693)
&gt;0,COUNTIF('Set recomendado'!B:B,C693)=0),
"Bloqueada",
"Desechable")),""
)</f>
        <v/>
      </c>
      <c r="J693" t="str" cm="1">
        <f t="array" aca="1" ref="J693" ca="1">IF(ISNUMBER(A693),IFERROR(_xlfn._xlws.FILTER(Equipar!A:A,(Equipar!B:B=1)*(Equipar!AC:AC=A693)),""),"")</f>
        <v/>
      </c>
    </row>
    <row r="694" spans="1:10" x14ac:dyDescent="0.25">
      <c r="A694" s="1" t="str">
        <f ca="1">IF(A693="ID",1,IF(ISBLANK(B694),"",MAX(A$2:A693)+1))</f>
        <v/>
      </c>
      <c r="I694" s="2" t="str">
        <f ca="1">IF(ISNUMBER(A694),
IF(COUNTIFS(Equipar!B:B,1,Equipar!AC:AC,A694),"Equipada",
IF(
OR(COUNTIFS(Equipar!B:B,1,Equipar!C:C,A694)
 +COUNTIFS(Equipar!B:B,1,Equipar!D:D,A694)
+COUNTIFS(Equipar!B:B,1,Equipar!E:E,A694)
+COUNTIFS(Equipar!B:B,1,Equipar!F:F,A694)
&gt;0,COUNTIF('Set recomendado'!B:B,C694)=0),
"Bloqueada",
"Desechable")),""
)</f>
        <v/>
      </c>
      <c r="J694" t="str" cm="1">
        <f t="array" aca="1" ref="J694" ca="1">IF(ISNUMBER(A694),IFERROR(_xlfn._xlws.FILTER(Equipar!A:A,(Equipar!B:B=1)*(Equipar!AC:AC=A694)),""),"")</f>
        <v/>
      </c>
    </row>
    <row r="695" spans="1:10" x14ac:dyDescent="0.25">
      <c r="A695" s="1" t="str">
        <f ca="1">IF(A694="ID",1,IF(ISBLANK(B695),"",MAX(A$2:A694)+1))</f>
        <v/>
      </c>
      <c r="I695" s="2" t="str">
        <f ca="1">IF(ISNUMBER(A695),
IF(COUNTIFS(Equipar!B:B,1,Equipar!AC:AC,A695),"Equipada",
IF(
OR(COUNTIFS(Equipar!B:B,1,Equipar!C:C,A695)
 +COUNTIFS(Equipar!B:B,1,Equipar!D:D,A695)
+COUNTIFS(Equipar!B:B,1,Equipar!E:E,A695)
+COUNTIFS(Equipar!B:B,1,Equipar!F:F,A695)
&gt;0,COUNTIF('Set recomendado'!B:B,C695)=0),
"Bloqueada",
"Desechable")),""
)</f>
        <v/>
      </c>
      <c r="J695" t="str" cm="1">
        <f t="array" aca="1" ref="J695" ca="1">IF(ISNUMBER(A695),IFERROR(_xlfn._xlws.FILTER(Equipar!A:A,(Equipar!B:B=1)*(Equipar!AC:AC=A695)),""),"")</f>
        <v/>
      </c>
    </row>
    <row r="696" spans="1:10" x14ac:dyDescent="0.25">
      <c r="A696" s="1" t="str">
        <f ca="1">IF(A695="ID",1,IF(ISBLANK(B696),"",MAX(A$2:A695)+1))</f>
        <v/>
      </c>
      <c r="I696" s="2" t="str">
        <f ca="1">IF(ISNUMBER(A696),
IF(COUNTIFS(Equipar!B:B,1,Equipar!AC:AC,A696),"Equipada",
IF(
OR(COUNTIFS(Equipar!B:B,1,Equipar!C:C,A696)
 +COUNTIFS(Equipar!B:B,1,Equipar!D:D,A696)
+COUNTIFS(Equipar!B:B,1,Equipar!E:E,A696)
+COUNTIFS(Equipar!B:B,1,Equipar!F:F,A696)
&gt;0,COUNTIF('Set recomendado'!B:B,C696)=0),
"Bloqueada",
"Desechable")),""
)</f>
        <v/>
      </c>
      <c r="J696" t="str" cm="1">
        <f t="array" aca="1" ref="J696" ca="1">IF(ISNUMBER(A696),IFERROR(_xlfn._xlws.FILTER(Equipar!A:A,(Equipar!B:B=1)*(Equipar!AC:AC=A696)),""),"")</f>
        <v/>
      </c>
    </row>
    <row r="697" spans="1:10" x14ac:dyDescent="0.25">
      <c r="A697" s="1" t="str">
        <f ca="1">IF(A696="ID",1,IF(ISBLANK(B697),"",MAX(A$2:A696)+1))</f>
        <v/>
      </c>
      <c r="I697" s="2" t="str">
        <f ca="1">IF(ISNUMBER(A697),
IF(COUNTIFS(Equipar!B:B,1,Equipar!AC:AC,A697),"Equipada",
IF(
OR(COUNTIFS(Equipar!B:B,1,Equipar!C:C,A697)
 +COUNTIFS(Equipar!B:B,1,Equipar!D:D,A697)
+COUNTIFS(Equipar!B:B,1,Equipar!E:E,A697)
+COUNTIFS(Equipar!B:B,1,Equipar!F:F,A697)
&gt;0,COUNTIF('Set recomendado'!B:B,C697)=0),
"Bloqueada",
"Desechable")),""
)</f>
        <v/>
      </c>
      <c r="J697" t="str" cm="1">
        <f t="array" aca="1" ref="J697" ca="1">IF(ISNUMBER(A697),IFERROR(_xlfn._xlws.FILTER(Equipar!A:A,(Equipar!B:B=1)*(Equipar!AC:AC=A697)),""),"")</f>
        <v/>
      </c>
    </row>
    <row r="698" spans="1:10" x14ac:dyDescent="0.25">
      <c r="A698" s="1" t="str">
        <f ca="1">IF(A697="ID",1,IF(ISBLANK(B698),"",MAX(A$2:A697)+1))</f>
        <v/>
      </c>
      <c r="I698" s="2" t="str">
        <f ca="1">IF(ISNUMBER(A698),
IF(COUNTIFS(Equipar!B:B,1,Equipar!AC:AC,A698),"Equipada",
IF(
OR(COUNTIFS(Equipar!B:B,1,Equipar!C:C,A698)
 +COUNTIFS(Equipar!B:B,1,Equipar!D:D,A698)
+COUNTIFS(Equipar!B:B,1,Equipar!E:E,A698)
+COUNTIFS(Equipar!B:B,1,Equipar!F:F,A698)
&gt;0,COUNTIF('Set recomendado'!B:B,C698)=0),
"Bloqueada",
"Desechable")),""
)</f>
        <v/>
      </c>
      <c r="J698" t="str" cm="1">
        <f t="array" aca="1" ref="J698" ca="1">IF(ISNUMBER(A698),IFERROR(_xlfn._xlws.FILTER(Equipar!A:A,(Equipar!B:B=1)*(Equipar!AC:AC=A698)),""),"")</f>
        <v/>
      </c>
    </row>
    <row r="699" spans="1:10" x14ac:dyDescent="0.25">
      <c r="A699" s="1" t="str">
        <f ca="1">IF(A698="ID",1,IF(ISBLANK(B699),"",MAX(A$2:A698)+1))</f>
        <v/>
      </c>
      <c r="I699" s="2" t="str">
        <f ca="1">IF(ISNUMBER(A699),
IF(COUNTIFS(Equipar!B:B,1,Equipar!AC:AC,A699),"Equipada",
IF(
OR(COUNTIFS(Equipar!B:B,1,Equipar!C:C,A699)
 +COUNTIFS(Equipar!B:B,1,Equipar!D:D,A699)
+COUNTIFS(Equipar!B:B,1,Equipar!E:E,A699)
+COUNTIFS(Equipar!B:B,1,Equipar!F:F,A699)
&gt;0,COUNTIF('Set recomendado'!B:B,C699)=0),
"Bloqueada",
"Desechable")),""
)</f>
        <v/>
      </c>
      <c r="J699" t="str" cm="1">
        <f t="array" aca="1" ref="J699" ca="1">IF(ISNUMBER(A699),IFERROR(_xlfn._xlws.FILTER(Equipar!A:A,(Equipar!B:B=1)*(Equipar!AC:AC=A699)),""),"")</f>
        <v/>
      </c>
    </row>
    <row r="700" spans="1:10" x14ac:dyDescent="0.25">
      <c r="A700" s="1" t="str">
        <f ca="1">IF(A699="ID",1,IF(ISBLANK(B700),"",MAX(A$2:A699)+1))</f>
        <v/>
      </c>
      <c r="I700" s="2" t="str">
        <f ca="1">IF(ISNUMBER(A700),
IF(COUNTIFS(Equipar!B:B,1,Equipar!AC:AC,A700),"Equipada",
IF(
OR(COUNTIFS(Equipar!B:B,1,Equipar!C:C,A700)
 +COUNTIFS(Equipar!B:B,1,Equipar!D:D,A700)
+COUNTIFS(Equipar!B:B,1,Equipar!E:E,A700)
+COUNTIFS(Equipar!B:B,1,Equipar!F:F,A700)
&gt;0,COUNTIF('Set recomendado'!B:B,C700)=0),
"Bloqueada",
"Desechable")),""
)</f>
        <v/>
      </c>
      <c r="J700" t="str" cm="1">
        <f t="array" aca="1" ref="J700" ca="1">IF(ISNUMBER(A700),IFERROR(_xlfn._xlws.FILTER(Equipar!A:A,(Equipar!B:B=1)*(Equipar!AC:AC=A700)),""),"")</f>
        <v/>
      </c>
    </row>
    <row r="701" spans="1:10" x14ac:dyDescent="0.25">
      <c r="A701" s="1" t="str">
        <f ca="1">IF(A700="ID",1,IF(ISBLANK(B701),"",MAX(A$2:A700)+1))</f>
        <v/>
      </c>
      <c r="I701" s="2" t="str">
        <f ca="1">IF(ISNUMBER(A701),
IF(COUNTIFS(Equipar!B:B,1,Equipar!AC:AC,A701),"Equipada",
IF(
OR(COUNTIFS(Equipar!B:B,1,Equipar!C:C,A701)
 +COUNTIFS(Equipar!B:B,1,Equipar!D:D,A701)
+COUNTIFS(Equipar!B:B,1,Equipar!E:E,A701)
+COUNTIFS(Equipar!B:B,1,Equipar!F:F,A701)
&gt;0,COUNTIF('Set recomendado'!B:B,C701)=0),
"Bloqueada",
"Desechable")),""
)</f>
        <v/>
      </c>
      <c r="J701" t="str" cm="1">
        <f t="array" aca="1" ref="J701" ca="1">IF(ISNUMBER(A701),IFERROR(_xlfn._xlws.FILTER(Equipar!A:A,(Equipar!B:B=1)*(Equipar!AC:AC=A701)),""),"")</f>
        <v/>
      </c>
    </row>
    <row r="702" spans="1:10" x14ac:dyDescent="0.25">
      <c r="A702" s="1" t="str">
        <f ca="1">IF(A701="ID",1,IF(ISBLANK(B702),"",MAX(A$2:A701)+1))</f>
        <v/>
      </c>
      <c r="I702" s="2" t="str">
        <f ca="1">IF(ISNUMBER(A702),
IF(COUNTIFS(Equipar!B:B,1,Equipar!AC:AC,A702),"Equipada",
IF(
OR(COUNTIFS(Equipar!B:B,1,Equipar!C:C,A702)
 +COUNTIFS(Equipar!B:B,1,Equipar!D:D,A702)
+COUNTIFS(Equipar!B:B,1,Equipar!E:E,A702)
+COUNTIFS(Equipar!B:B,1,Equipar!F:F,A702)
&gt;0,COUNTIF('Set recomendado'!B:B,C702)=0),
"Bloqueada",
"Desechable")),""
)</f>
        <v/>
      </c>
      <c r="J702" t="str" cm="1">
        <f t="array" aca="1" ref="J702" ca="1">IF(ISNUMBER(A702),IFERROR(_xlfn._xlws.FILTER(Equipar!A:A,(Equipar!B:B=1)*(Equipar!AC:AC=A702)),""),"")</f>
        <v/>
      </c>
    </row>
    <row r="703" spans="1:10" x14ac:dyDescent="0.25">
      <c r="A703" s="1" t="str">
        <f ca="1">IF(A702="ID",1,IF(ISBLANK(B703),"",MAX(A$2:A702)+1))</f>
        <v/>
      </c>
      <c r="I703" s="2" t="str">
        <f ca="1">IF(ISNUMBER(A703),
IF(COUNTIFS(Equipar!B:B,1,Equipar!AC:AC,A703),"Equipada",
IF(
OR(COUNTIFS(Equipar!B:B,1,Equipar!C:C,A703)
 +COUNTIFS(Equipar!B:B,1,Equipar!D:D,A703)
+COUNTIFS(Equipar!B:B,1,Equipar!E:E,A703)
+COUNTIFS(Equipar!B:B,1,Equipar!F:F,A703)
&gt;0,COUNTIF('Set recomendado'!B:B,C703)=0),
"Bloqueada",
"Desechable")),""
)</f>
        <v/>
      </c>
      <c r="J703" t="str" cm="1">
        <f t="array" aca="1" ref="J703" ca="1">IF(ISNUMBER(A703),IFERROR(_xlfn._xlws.FILTER(Equipar!A:A,(Equipar!B:B=1)*(Equipar!AC:AC=A703)),""),"")</f>
        <v/>
      </c>
    </row>
    <row r="704" spans="1:10" x14ac:dyDescent="0.25">
      <c r="A704" s="1" t="str">
        <f ca="1">IF(A703="ID",1,IF(ISBLANK(B704),"",MAX(A$2:A703)+1))</f>
        <v/>
      </c>
      <c r="I704" s="2" t="str">
        <f ca="1">IF(ISNUMBER(A704),
IF(COUNTIFS(Equipar!B:B,1,Equipar!AC:AC,A704),"Equipada",
IF(
OR(COUNTIFS(Equipar!B:B,1,Equipar!C:C,A704)
 +COUNTIFS(Equipar!B:B,1,Equipar!D:D,A704)
+COUNTIFS(Equipar!B:B,1,Equipar!E:E,A704)
+COUNTIFS(Equipar!B:B,1,Equipar!F:F,A704)
&gt;0,COUNTIF('Set recomendado'!B:B,C704)=0),
"Bloqueada",
"Desechable")),""
)</f>
        <v/>
      </c>
      <c r="J704" t="str" cm="1">
        <f t="array" aca="1" ref="J704" ca="1">IF(ISNUMBER(A704),IFERROR(_xlfn._xlws.FILTER(Equipar!A:A,(Equipar!B:B=1)*(Equipar!AC:AC=A704)),""),"")</f>
        <v/>
      </c>
    </row>
    <row r="705" spans="1:10" x14ac:dyDescent="0.25">
      <c r="A705" s="1" t="str">
        <f ca="1">IF(A704="ID",1,IF(ISBLANK(B705),"",MAX(A$2:A704)+1))</f>
        <v/>
      </c>
      <c r="I705" s="2" t="str">
        <f ca="1">IF(ISNUMBER(A705),
IF(COUNTIFS(Equipar!B:B,1,Equipar!AC:AC,A705),"Equipada",
IF(
OR(COUNTIFS(Equipar!B:B,1,Equipar!C:C,A705)
 +COUNTIFS(Equipar!B:B,1,Equipar!D:D,A705)
+COUNTIFS(Equipar!B:B,1,Equipar!E:E,A705)
+COUNTIFS(Equipar!B:B,1,Equipar!F:F,A705)
&gt;0,COUNTIF('Set recomendado'!B:B,C705)=0),
"Bloqueada",
"Desechable")),""
)</f>
        <v/>
      </c>
      <c r="J705" t="str" cm="1">
        <f t="array" aca="1" ref="J705" ca="1">IF(ISNUMBER(A705),IFERROR(_xlfn._xlws.FILTER(Equipar!A:A,(Equipar!B:B=1)*(Equipar!AC:AC=A705)),""),"")</f>
        <v/>
      </c>
    </row>
    <row r="706" spans="1:10" x14ac:dyDescent="0.25">
      <c r="A706" s="1" t="str">
        <f ca="1">IF(A705="ID",1,IF(ISBLANK(B706),"",MAX(A$2:A705)+1))</f>
        <v/>
      </c>
      <c r="I706" s="2" t="str">
        <f ca="1">IF(ISNUMBER(A706),
IF(COUNTIFS(Equipar!B:B,1,Equipar!AC:AC,A706),"Equipada",
IF(
OR(COUNTIFS(Equipar!B:B,1,Equipar!C:C,A706)
 +COUNTIFS(Equipar!B:B,1,Equipar!D:D,A706)
+COUNTIFS(Equipar!B:B,1,Equipar!E:E,A706)
+COUNTIFS(Equipar!B:B,1,Equipar!F:F,A706)
&gt;0,COUNTIF('Set recomendado'!B:B,C706)=0),
"Bloqueada",
"Desechable")),""
)</f>
        <v/>
      </c>
      <c r="J706" t="str" cm="1">
        <f t="array" aca="1" ref="J706" ca="1">IF(ISNUMBER(A706),IFERROR(_xlfn._xlws.FILTER(Equipar!A:A,(Equipar!B:B=1)*(Equipar!AC:AC=A706)),""),"")</f>
        <v/>
      </c>
    </row>
    <row r="707" spans="1:10" x14ac:dyDescent="0.25">
      <c r="A707" s="1" t="str">
        <f ca="1">IF(A706="ID",1,IF(ISBLANK(B707),"",MAX(A$2:A706)+1))</f>
        <v/>
      </c>
      <c r="I707" s="2" t="str">
        <f ca="1">IF(ISNUMBER(A707),
IF(COUNTIFS(Equipar!B:B,1,Equipar!AC:AC,A707),"Equipada",
IF(
OR(COUNTIFS(Equipar!B:B,1,Equipar!C:C,A707)
 +COUNTIFS(Equipar!B:B,1,Equipar!D:D,A707)
+COUNTIFS(Equipar!B:B,1,Equipar!E:E,A707)
+COUNTIFS(Equipar!B:B,1,Equipar!F:F,A707)
&gt;0,COUNTIF('Set recomendado'!B:B,C707)=0),
"Bloqueada",
"Desechable")),""
)</f>
        <v/>
      </c>
      <c r="J707" t="str" cm="1">
        <f t="array" aca="1" ref="J707" ca="1">IF(ISNUMBER(A707),IFERROR(_xlfn._xlws.FILTER(Equipar!A:A,(Equipar!B:B=1)*(Equipar!AC:AC=A707)),""),"")</f>
        <v/>
      </c>
    </row>
    <row r="708" spans="1:10" x14ac:dyDescent="0.25">
      <c r="A708" s="1" t="str">
        <f ca="1">IF(A707="ID",1,IF(ISBLANK(B708),"",MAX(A$2:A707)+1))</f>
        <v/>
      </c>
      <c r="I708" s="2" t="str">
        <f ca="1">IF(ISNUMBER(A708),
IF(COUNTIFS(Equipar!B:B,1,Equipar!AC:AC,A708),"Equipada",
IF(
OR(COUNTIFS(Equipar!B:B,1,Equipar!C:C,A708)
 +COUNTIFS(Equipar!B:B,1,Equipar!D:D,A708)
+COUNTIFS(Equipar!B:B,1,Equipar!E:E,A708)
+COUNTIFS(Equipar!B:B,1,Equipar!F:F,A708)
&gt;0,COUNTIF('Set recomendado'!B:B,C708)=0),
"Bloqueada",
"Desechable")),""
)</f>
        <v/>
      </c>
      <c r="J708" t="str" cm="1">
        <f t="array" aca="1" ref="J708" ca="1">IF(ISNUMBER(A708),IFERROR(_xlfn._xlws.FILTER(Equipar!A:A,(Equipar!B:B=1)*(Equipar!AC:AC=A708)),""),"")</f>
        <v/>
      </c>
    </row>
    <row r="709" spans="1:10" x14ac:dyDescent="0.25">
      <c r="A709" s="1" t="str">
        <f ca="1">IF(A708="ID",1,IF(ISBLANK(B709),"",MAX(A$2:A708)+1))</f>
        <v/>
      </c>
      <c r="I709" s="2" t="str">
        <f ca="1">IF(ISNUMBER(A709),
IF(COUNTIFS(Equipar!B:B,1,Equipar!AC:AC,A709),"Equipada",
IF(
OR(COUNTIFS(Equipar!B:B,1,Equipar!C:C,A709)
 +COUNTIFS(Equipar!B:B,1,Equipar!D:D,A709)
+COUNTIFS(Equipar!B:B,1,Equipar!E:E,A709)
+COUNTIFS(Equipar!B:B,1,Equipar!F:F,A709)
&gt;0,COUNTIF('Set recomendado'!B:B,C709)=0),
"Bloqueada",
"Desechable")),""
)</f>
        <v/>
      </c>
      <c r="J709" t="str" cm="1">
        <f t="array" aca="1" ref="J709" ca="1">IF(ISNUMBER(A709),IFERROR(_xlfn._xlws.FILTER(Equipar!A:A,(Equipar!B:B=1)*(Equipar!AC:AC=A709)),""),"")</f>
        <v/>
      </c>
    </row>
    <row r="710" spans="1:10" x14ac:dyDescent="0.25">
      <c r="A710" s="1" t="str">
        <f ca="1">IF(A709="ID",1,IF(ISBLANK(B710),"",MAX(A$2:A709)+1))</f>
        <v/>
      </c>
      <c r="I710" s="2" t="str">
        <f ca="1">IF(ISNUMBER(A710),
IF(COUNTIFS(Equipar!B:B,1,Equipar!AC:AC,A710),"Equipada",
IF(
OR(COUNTIFS(Equipar!B:B,1,Equipar!C:C,A710)
 +COUNTIFS(Equipar!B:B,1,Equipar!D:D,A710)
+COUNTIFS(Equipar!B:B,1,Equipar!E:E,A710)
+COUNTIFS(Equipar!B:B,1,Equipar!F:F,A710)
&gt;0,COUNTIF('Set recomendado'!B:B,C710)=0),
"Bloqueada",
"Desechable")),""
)</f>
        <v/>
      </c>
      <c r="J710" t="str" cm="1">
        <f t="array" aca="1" ref="J710" ca="1">IF(ISNUMBER(A710),IFERROR(_xlfn._xlws.FILTER(Equipar!A:A,(Equipar!B:B=1)*(Equipar!AC:AC=A710)),""),"")</f>
        <v/>
      </c>
    </row>
    <row r="711" spans="1:10" x14ac:dyDescent="0.25">
      <c r="A711" s="1" t="str">
        <f ca="1">IF(A710="ID",1,IF(ISBLANK(B711),"",MAX(A$2:A710)+1))</f>
        <v/>
      </c>
      <c r="I711" s="2" t="str">
        <f ca="1">IF(ISNUMBER(A711),
IF(COUNTIFS(Equipar!B:B,1,Equipar!AC:AC,A711),"Equipada",
IF(
OR(COUNTIFS(Equipar!B:B,1,Equipar!C:C,A711)
 +COUNTIFS(Equipar!B:B,1,Equipar!D:D,A711)
+COUNTIFS(Equipar!B:B,1,Equipar!E:E,A711)
+COUNTIFS(Equipar!B:B,1,Equipar!F:F,A711)
&gt;0,COUNTIF('Set recomendado'!B:B,C711)=0),
"Bloqueada",
"Desechable")),""
)</f>
        <v/>
      </c>
      <c r="J711" t="str" cm="1">
        <f t="array" aca="1" ref="J711" ca="1">IF(ISNUMBER(A711),IFERROR(_xlfn._xlws.FILTER(Equipar!A:A,(Equipar!B:B=1)*(Equipar!AC:AC=A711)),""),"")</f>
        <v/>
      </c>
    </row>
    <row r="712" spans="1:10" x14ac:dyDescent="0.25">
      <c r="A712" s="1" t="str">
        <f ca="1">IF(A711="ID",1,IF(ISBLANK(B712),"",MAX(A$2:A711)+1))</f>
        <v/>
      </c>
      <c r="I712" s="2" t="str">
        <f ca="1">IF(ISNUMBER(A712),
IF(COUNTIFS(Equipar!B:B,1,Equipar!AC:AC,A712),"Equipada",
IF(
OR(COUNTIFS(Equipar!B:B,1,Equipar!C:C,A712)
 +COUNTIFS(Equipar!B:B,1,Equipar!D:D,A712)
+COUNTIFS(Equipar!B:B,1,Equipar!E:E,A712)
+COUNTIFS(Equipar!B:B,1,Equipar!F:F,A712)
&gt;0,COUNTIF('Set recomendado'!B:B,C712)=0),
"Bloqueada",
"Desechable")),""
)</f>
        <v/>
      </c>
      <c r="J712" t="str" cm="1">
        <f t="array" aca="1" ref="J712" ca="1">IF(ISNUMBER(A712),IFERROR(_xlfn._xlws.FILTER(Equipar!A:A,(Equipar!B:B=1)*(Equipar!AC:AC=A712)),""),"")</f>
        <v/>
      </c>
    </row>
    <row r="713" spans="1:10" x14ac:dyDescent="0.25">
      <c r="A713" s="1" t="str">
        <f ca="1">IF(A712="ID",1,IF(ISBLANK(B713),"",MAX(A$2:A712)+1))</f>
        <v/>
      </c>
      <c r="I713" s="2" t="str">
        <f ca="1">IF(ISNUMBER(A713),
IF(COUNTIFS(Equipar!B:B,1,Equipar!AC:AC,A713),"Equipada",
IF(
OR(COUNTIFS(Equipar!B:B,1,Equipar!C:C,A713)
 +COUNTIFS(Equipar!B:B,1,Equipar!D:D,A713)
+COUNTIFS(Equipar!B:B,1,Equipar!E:E,A713)
+COUNTIFS(Equipar!B:B,1,Equipar!F:F,A713)
&gt;0,COUNTIF('Set recomendado'!B:B,C713)=0),
"Bloqueada",
"Desechable")),""
)</f>
        <v/>
      </c>
      <c r="J713" t="str" cm="1">
        <f t="array" aca="1" ref="J713" ca="1">IF(ISNUMBER(A713),IFERROR(_xlfn._xlws.FILTER(Equipar!A:A,(Equipar!B:B=1)*(Equipar!AC:AC=A713)),""),"")</f>
        <v/>
      </c>
    </row>
    <row r="714" spans="1:10" x14ac:dyDescent="0.25">
      <c r="A714" s="1" t="str">
        <f ca="1">IF(A713="ID",1,IF(ISBLANK(B714),"",MAX(A$2:A713)+1))</f>
        <v/>
      </c>
      <c r="I714" s="2" t="str">
        <f ca="1">IF(ISNUMBER(A714),
IF(COUNTIFS(Equipar!B:B,1,Equipar!AC:AC,A714),"Equipada",
IF(
OR(COUNTIFS(Equipar!B:B,1,Equipar!C:C,A714)
 +COUNTIFS(Equipar!B:B,1,Equipar!D:D,A714)
+COUNTIFS(Equipar!B:B,1,Equipar!E:E,A714)
+COUNTIFS(Equipar!B:B,1,Equipar!F:F,A714)
&gt;0,COUNTIF('Set recomendado'!B:B,C714)=0),
"Bloqueada",
"Desechable")),""
)</f>
        <v/>
      </c>
      <c r="J714" t="str" cm="1">
        <f t="array" aca="1" ref="J714" ca="1">IF(ISNUMBER(A714),IFERROR(_xlfn._xlws.FILTER(Equipar!A:A,(Equipar!B:B=1)*(Equipar!AC:AC=A714)),""),"")</f>
        <v/>
      </c>
    </row>
    <row r="715" spans="1:10" x14ac:dyDescent="0.25">
      <c r="A715" s="1" t="str">
        <f ca="1">IF(A714="ID",1,IF(ISBLANK(B715),"",MAX(A$2:A714)+1))</f>
        <v/>
      </c>
      <c r="I715" s="2" t="str">
        <f ca="1">IF(ISNUMBER(A715),
IF(COUNTIFS(Equipar!B:B,1,Equipar!AC:AC,A715),"Equipada",
IF(
OR(COUNTIFS(Equipar!B:B,1,Equipar!C:C,A715)
 +COUNTIFS(Equipar!B:B,1,Equipar!D:D,A715)
+COUNTIFS(Equipar!B:B,1,Equipar!E:E,A715)
+COUNTIFS(Equipar!B:B,1,Equipar!F:F,A715)
&gt;0,COUNTIF('Set recomendado'!B:B,C715)=0),
"Bloqueada",
"Desechable")),""
)</f>
        <v/>
      </c>
      <c r="J715" t="str" cm="1">
        <f t="array" aca="1" ref="J715" ca="1">IF(ISNUMBER(A715),IFERROR(_xlfn._xlws.FILTER(Equipar!A:A,(Equipar!B:B=1)*(Equipar!AC:AC=A715)),""),"")</f>
        <v/>
      </c>
    </row>
    <row r="716" spans="1:10" x14ac:dyDescent="0.25">
      <c r="A716" s="1" t="str">
        <f ca="1">IF(A715="ID",1,IF(ISBLANK(B716),"",MAX(A$2:A715)+1))</f>
        <v/>
      </c>
      <c r="I716" s="2" t="str">
        <f ca="1">IF(ISNUMBER(A716),
IF(COUNTIFS(Equipar!B:B,1,Equipar!AC:AC,A716),"Equipada",
IF(
OR(COUNTIFS(Equipar!B:B,1,Equipar!C:C,A716)
 +COUNTIFS(Equipar!B:B,1,Equipar!D:D,A716)
+COUNTIFS(Equipar!B:B,1,Equipar!E:E,A716)
+COUNTIFS(Equipar!B:B,1,Equipar!F:F,A716)
&gt;0,COUNTIF('Set recomendado'!B:B,C716)=0),
"Bloqueada",
"Desechable")),""
)</f>
        <v/>
      </c>
      <c r="J716" t="str" cm="1">
        <f t="array" aca="1" ref="J716" ca="1">IF(ISNUMBER(A716),IFERROR(_xlfn._xlws.FILTER(Equipar!A:A,(Equipar!B:B=1)*(Equipar!AC:AC=A716)),""),"")</f>
        <v/>
      </c>
    </row>
    <row r="717" spans="1:10" x14ac:dyDescent="0.25">
      <c r="A717" s="1" t="str">
        <f ca="1">IF(A716="ID",1,IF(ISBLANK(B717),"",MAX(A$2:A716)+1))</f>
        <v/>
      </c>
      <c r="I717" s="2" t="str">
        <f ca="1">IF(ISNUMBER(A717),
IF(COUNTIFS(Equipar!B:B,1,Equipar!AC:AC,A717),"Equipada",
IF(
OR(COUNTIFS(Equipar!B:B,1,Equipar!C:C,A717)
 +COUNTIFS(Equipar!B:B,1,Equipar!D:D,A717)
+COUNTIFS(Equipar!B:B,1,Equipar!E:E,A717)
+COUNTIFS(Equipar!B:B,1,Equipar!F:F,A717)
&gt;0,COUNTIF('Set recomendado'!B:B,C717)=0),
"Bloqueada",
"Desechable")),""
)</f>
        <v/>
      </c>
      <c r="J717" t="str" cm="1">
        <f t="array" aca="1" ref="J717" ca="1">IF(ISNUMBER(A717),IFERROR(_xlfn._xlws.FILTER(Equipar!A:A,(Equipar!B:B=1)*(Equipar!AC:AC=A717)),""),"")</f>
        <v/>
      </c>
    </row>
    <row r="718" spans="1:10" x14ac:dyDescent="0.25">
      <c r="A718" s="1" t="str">
        <f ca="1">IF(A717="ID",1,IF(ISBLANK(B718),"",MAX(A$2:A717)+1))</f>
        <v/>
      </c>
      <c r="I718" s="2" t="str">
        <f ca="1">IF(ISNUMBER(A718),
IF(COUNTIFS(Equipar!B:B,1,Equipar!AC:AC,A718),"Equipada",
IF(
OR(COUNTIFS(Equipar!B:B,1,Equipar!C:C,A718)
 +COUNTIFS(Equipar!B:B,1,Equipar!D:D,A718)
+COUNTIFS(Equipar!B:B,1,Equipar!E:E,A718)
+COUNTIFS(Equipar!B:B,1,Equipar!F:F,A718)
&gt;0,COUNTIF('Set recomendado'!B:B,C718)=0),
"Bloqueada",
"Desechable")),""
)</f>
        <v/>
      </c>
      <c r="J718" t="str" cm="1">
        <f t="array" aca="1" ref="J718" ca="1">IF(ISNUMBER(A718),IFERROR(_xlfn._xlws.FILTER(Equipar!A:A,(Equipar!B:B=1)*(Equipar!AC:AC=A718)),""),"")</f>
        <v/>
      </c>
    </row>
    <row r="719" spans="1:10" x14ac:dyDescent="0.25">
      <c r="A719" s="1" t="str">
        <f ca="1">IF(A718="ID",1,IF(ISBLANK(B719),"",MAX(A$2:A718)+1))</f>
        <v/>
      </c>
      <c r="I719" s="2" t="str">
        <f ca="1">IF(ISNUMBER(A719),
IF(COUNTIFS(Equipar!B:B,1,Equipar!AC:AC,A719),"Equipada",
IF(
OR(COUNTIFS(Equipar!B:B,1,Equipar!C:C,A719)
 +COUNTIFS(Equipar!B:B,1,Equipar!D:D,A719)
+COUNTIFS(Equipar!B:B,1,Equipar!E:E,A719)
+COUNTIFS(Equipar!B:B,1,Equipar!F:F,A719)
&gt;0,COUNTIF('Set recomendado'!B:B,C719)=0),
"Bloqueada",
"Desechable")),""
)</f>
        <v/>
      </c>
      <c r="J719" t="str" cm="1">
        <f t="array" aca="1" ref="J719" ca="1">IF(ISNUMBER(A719),IFERROR(_xlfn._xlws.FILTER(Equipar!A:A,(Equipar!B:B=1)*(Equipar!AC:AC=A719)),""),"")</f>
        <v/>
      </c>
    </row>
    <row r="720" spans="1:10" x14ac:dyDescent="0.25">
      <c r="A720" s="1" t="str">
        <f ca="1">IF(A719="ID",1,IF(ISBLANK(B720),"",MAX(A$2:A719)+1))</f>
        <v/>
      </c>
      <c r="I720" s="2" t="str">
        <f ca="1">IF(ISNUMBER(A720),
IF(COUNTIFS(Equipar!B:B,1,Equipar!AC:AC,A720),"Equipada",
IF(
OR(COUNTIFS(Equipar!B:B,1,Equipar!C:C,A720)
 +COUNTIFS(Equipar!B:B,1,Equipar!D:D,A720)
+COUNTIFS(Equipar!B:B,1,Equipar!E:E,A720)
+COUNTIFS(Equipar!B:B,1,Equipar!F:F,A720)
&gt;0,COUNTIF('Set recomendado'!B:B,C720)=0),
"Bloqueada",
"Desechable")),""
)</f>
        <v/>
      </c>
      <c r="J720" t="str" cm="1">
        <f t="array" aca="1" ref="J720" ca="1">IF(ISNUMBER(A720),IFERROR(_xlfn._xlws.FILTER(Equipar!A:A,(Equipar!B:B=1)*(Equipar!AC:AC=A720)),""),"")</f>
        <v/>
      </c>
    </row>
    <row r="721" spans="1:10" x14ac:dyDescent="0.25">
      <c r="A721" s="1" t="str">
        <f ca="1">IF(A720="ID",1,IF(ISBLANK(B721),"",MAX(A$2:A720)+1))</f>
        <v/>
      </c>
      <c r="I721" s="2" t="str">
        <f ca="1">IF(ISNUMBER(A721),
IF(COUNTIFS(Equipar!B:B,1,Equipar!AC:AC,A721),"Equipada",
IF(
OR(COUNTIFS(Equipar!B:B,1,Equipar!C:C,A721)
 +COUNTIFS(Equipar!B:B,1,Equipar!D:D,A721)
+COUNTIFS(Equipar!B:B,1,Equipar!E:E,A721)
+COUNTIFS(Equipar!B:B,1,Equipar!F:F,A721)
&gt;0,COUNTIF('Set recomendado'!B:B,C721)=0),
"Bloqueada",
"Desechable")),""
)</f>
        <v/>
      </c>
      <c r="J721" t="str" cm="1">
        <f t="array" aca="1" ref="J721" ca="1">IF(ISNUMBER(A721),IFERROR(_xlfn._xlws.FILTER(Equipar!A:A,(Equipar!B:B=1)*(Equipar!AC:AC=A721)),""),"")</f>
        <v/>
      </c>
    </row>
    <row r="722" spans="1:10" x14ac:dyDescent="0.25">
      <c r="A722" s="1" t="str">
        <f ca="1">IF(A721="ID",1,IF(ISBLANK(B722),"",MAX(A$2:A721)+1))</f>
        <v/>
      </c>
      <c r="I722" s="2" t="str">
        <f ca="1">IF(ISNUMBER(A722),
IF(COUNTIFS(Equipar!B:B,1,Equipar!AC:AC,A722),"Equipada",
IF(
OR(COUNTIFS(Equipar!B:B,1,Equipar!C:C,A722)
 +COUNTIFS(Equipar!B:B,1,Equipar!D:D,A722)
+COUNTIFS(Equipar!B:B,1,Equipar!E:E,A722)
+COUNTIFS(Equipar!B:B,1,Equipar!F:F,A722)
&gt;0,COUNTIF('Set recomendado'!B:B,C722)=0),
"Bloqueada",
"Desechable")),""
)</f>
        <v/>
      </c>
      <c r="J722" t="str" cm="1">
        <f t="array" aca="1" ref="J722" ca="1">IF(ISNUMBER(A722),IFERROR(_xlfn._xlws.FILTER(Equipar!A:A,(Equipar!B:B=1)*(Equipar!AC:AC=A722)),""),"")</f>
        <v/>
      </c>
    </row>
    <row r="723" spans="1:10" x14ac:dyDescent="0.25">
      <c r="A723" s="1" t="str">
        <f ca="1">IF(A722="ID",1,IF(ISBLANK(B723),"",MAX(A$2:A722)+1))</f>
        <v/>
      </c>
      <c r="I723" s="2" t="str">
        <f ca="1">IF(ISNUMBER(A723),
IF(COUNTIFS(Equipar!B:B,1,Equipar!AC:AC,A723),"Equipada",
IF(
OR(COUNTIFS(Equipar!B:B,1,Equipar!C:C,A723)
 +COUNTIFS(Equipar!B:B,1,Equipar!D:D,A723)
+COUNTIFS(Equipar!B:B,1,Equipar!E:E,A723)
+COUNTIFS(Equipar!B:B,1,Equipar!F:F,A723)
&gt;0,COUNTIF('Set recomendado'!B:B,C723)=0),
"Bloqueada",
"Desechable")),""
)</f>
        <v/>
      </c>
      <c r="J723" t="str" cm="1">
        <f t="array" aca="1" ref="J723" ca="1">IF(ISNUMBER(A723),IFERROR(_xlfn._xlws.FILTER(Equipar!A:A,(Equipar!B:B=1)*(Equipar!AC:AC=A723)),""),"")</f>
        <v/>
      </c>
    </row>
    <row r="724" spans="1:10" x14ac:dyDescent="0.25">
      <c r="A724" s="1" t="str">
        <f ca="1">IF(A723="ID",1,IF(ISBLANK(B724),"",MAX(A$2:A723)+1))</f>
        <v/>
      </c>
      <c r="I724" s="2" t="str">
        <f ca="1">IF(ISNUMBER(A724),
IF(COUNTIFS(Equipar!B:B,1,Equipar!AC:AC,A724),"Equipada",
IF(
OR(COUNTIFS(Equipar!B:B,1,Equipar!C:C,A724)
 +COUNTIFS(Equipar!B:B,1,Equipar!D:D,A724)
+COUNTIFS(Equipar!B:B,1,Equipar!E:E,A724)
+COUNTIFS(Equipar!B:B,1,Equipar!F:F,A724)
&gt;0,COUNTIF('Set recomendado'!B:B,C724)=0),
"Bloqueada",
"Desechable")),""
)</f>
        <v/>
      </c>
      <c r="J724" t="str" cm="1">
        <f t="array" aca="1" ref="J724" ca="1">IF(ISNUMBER(A724),IFERROR(_xlfn._xlws.FILTER(Equipar!A:A,(Equipar!B:B=1)*(Equipar!AC:AC=A724)),""),"")</f>
        <v/>
      </c>
    </row>
    <row r="725" spans="1:10" x14ac:dyDescent="0.25">
      <c r="A725" s="1" t="str">
        <f ca="1">IF(A724="ID",1,IF(ISBLANK(B725),"",MAX(A$2:A724)+1))</f>
        <v/>
      </c>
      <c r="I725" s="2" t="str">
        <f ca="1">IF(ISNUMBER(A725),
IF(COUNTIFS(Equipar!B:B,1,Equipar!AC:AC,A725),"Equipada",
IF(
OR(COUNTIFS(Equipar!B:B,1,Equipar!C:C,A725)
 +COUNTIFS(Equipar!B:B,1,Equipar!D:D,A725)
+COUNTIFS(Equipar!B:B,1,Equipar!E:E,A725)
+COUNTIFS(Equipar!B:B,1,Equipar!F:F,A725)
&gt;0,COUNTIF('Set recomendado'!B:B,C725)=0),
"Bloqueada",
"Desechable")),""
)</f>
        <v/>
      </c>
      <c r="J725" t="str" cm="1">
        <f t="array" aca="1" ref="J725" ca="1">IF(ISNUMBER(A725),IFERROR(_xlfn._xlws.FILTER(Equipar!A:A,(Equipar!B:B=1)*(Equipar!AC:AC=A725)),""),"")</f>
        <v/>
      </c>
    </row>
    <row r="726" spans="1:10" x14ac:dyDescent="0.25">
      <c r="A726" s="1" t="str">
        <f ca="1">IF(A725="ID",1,IF(ISBLANK(B726),"",MAX(A$2:A725)+1))</f>
        <v/>
      </c>
      <c r="I726" s="2" t="str">
        <f ca="1">IF(ISNUMBER(A726),
IF(COUNTIFS(Equipar!B:B,1,Equipar!AC:AC,A726),"Equipada",
IF(
OR(COUNTIFS(Equipar!B:B,1,Equipar!C:C,A726)
 +COUNTIFS(Equipar!B:B,1,Equipar!D:D,A726)
+COUNTIFS(Equipar!B:B,1,Equipar!E:E,A726)
+COUNTIFS(Equipar!B:B,1,Equipar!F:F,A726)
&gt;0,COUNTIF('Set recomendado'!B:B,C726)=0),
"Bloqueada",
"Desechable")),""
)</f>
        <v/>
      </c>
      <c r="J726" t="str" cm="1">
        <f t="array" aca="1" ref="J726" ca="1">IF(ISNUMBER(A726),IFERROR(_xlfn._xlws.FILTER(Equipar!A:A,(Equipar!B:B=1)*(Equipar!AC:AC=A726)),""),"")</f>
        <v/>
      </c>
    </row>
    <row r="727" spans="1:10" x14ac:dyDescent="0.25">
      <c r="A727" s="1" t="str">
        <f ca="1">IF(A726="ID",1,IF(ISBLANK(B727),"",MAX(A$2:A726)+1))</f>
        <v/>
      </c>
      <c r="I727" s="2" t="str">
        <f ca="1">IF(ISNUMBER(A727),
IF(COUNTIFS(Equipar!B:B,1,Equipar!AC:AC,A727),"Equipada",
IF(
OR(COUNTIFS(Equipar!B:B,1,Equipar!C:C,A727)
 +COUNTIFS(Equipar!B:B,1,Equipar!D:D,A727)
+COUNTIFS(Equipar!B:B,1,Equipar!E:E,A727)
+COUNTIFS(Equipar!B:B,1,Equipar!F:F,A727)
&gt;0,COUNTIF('Set recomendado'!B:B,C727)=0),
"Bloqueada",
"Desechable")),""
)</f>
        <v/>
      </c>
      <c r="J727" t="str" cm="1">
        <f t="array" aca="1" ref="J727" ca="1">IF(ISNUMBER(A727),IFERROR(_xlfn._xlws.FILTER(Equipar!A:A,(Equipar!B:B=1)*(Equipar!AC:AC=A727)),""),"")</f>
        <v/>
      </c>
    </row>
    <row r="728" spans="1:10" x14ac:dyDescent="0.25">
      <c r="A728" s="1" t="str">
        <f ca="1">IF(A727="ID",1,IF(ISBLANK(B728),"",MAX(A$2:A727)+1))</f>
        <v/>
      </c>
      <c r="I728" s="2" t="str">
        <f ca="1">IF(ISNUMBER(A728),
IF(COUNTIFS(Equipar!B:B,1,Equipar!AC:AC,A728),"Equipada",
IF(
OR(COUNTIFS(Equipar!B:B,1,Equipar!C:C,A728)
 +COUNTIFS(Equipar!B:B,1,Equipar!D:D,A728)
+COUNTIFS(Equipar!B:B,1,Equipar!E:E,A728)
+COUNTIFS(Equipar!B:B,1,Equipar!F:F,A728)
&gt;0,COUNTIF('Set recomendado'!B:B,C728)=0),
"Bloqueada",
"Desechable")),""
)</f>
        <v/>
      </c>
      <c r="J728" t="str" cm="1">
        <f t="array" aca="1" ref="J728" ca="1">IF(ISNUMBER(A728),IFERROR(_xlfn._xlws.FILTER(Equipar!A:A,(Equipar!B:B=1)*(Equipar!AC:AC=A728)),""),"")</f>
        <v/>
      </c>
    </row>
    <row r="729" spans="1:10" x14ac:dyDescent="0.25">
      <c r="A729" s="1" t="str">
        <f ca="1">IF(A728="ID",1,IF(ISBLANK(B729),"",MAX(A$2:A728)+1))</f>
        <v/>
      </c>
      <c r="I729" s="2" t="str">
        <f ca="1">IF(ISNUMBER(A729),
IF(COUNTIFS(Equipar!B:B,1,Equipar!AC:AC,A729),"Equipada",
IF(
OR(COUNTIFS(Equipar!B:B,1,Equipar!C:C,A729)
 +COUNTIFS(Equipar!B:B,1,Equipar!D:D,A729)
+COUNTIFS(Equipar!B:B,1,Equipar!E:E,A729)
+COUNTIFS(Equipar!B:B,1,Equipar!F:F,A729)
&gt;0,COUNTIF('Set recomendado'!B:B,C729)=0),
"Bloqueada",
"Desechable")),""
)</f>
        <v/>
      </c>
      <c r="J729" t="str" cm="1">
        <f t="array" aca="1" ref="J729" ca="1">IF(ISNUMBER(A729),IFERROR(_xlfn._xlws.FILTER(Equipar!A:A,(Equipar!B:B=1)*(Equipar!AC:AC=A729)),""),"")</f>
        <v/>
      </c>
    </row>
    <row r="730" spans="1:10" x14ac:dyDescent="0.25">
      <c r="A730" s="1" t="str">
        <f ca="1">IF(A729="ID",1,IF(ISBLANK(B730),"",MAX(A$2:A729)+1))</f>
        <v/>
      </c>
      <c r="I730" s="2" t="str">
        <f ca="1">IF(ISNUMBER(A730),
IF(COUNTIFS(Equipar!B:B,1,Equipar!AC:AC,A730),"Equipada",
IF(
OR(COUNTIFS(Equipar!B:B,1,Equipar!C:C,A730)
 +COUNTIFS(Equipar!B:B,1,Equipar!D:D,A730)
+COUNTIFS(Equipar!B:B,1,Equipar!E:E,A730)
+COUNTIFS(Equipar!B:B,1,Equipar!F:F,A730)
&gt;0,COUNTIF('Set recomendado'!B:B,C730)=0),
"Bloqueada",
"Desechable")),""
)</f>
        <v/>
      </c>
      <c r="J730" t="str" cm="1">
        <f t="array" aca="1" ref="J730" ca="1">IF(ISNUMBER(A730),IFERROR(_xlfn._xlws.FILTER(Equipar!A:A,(Equipar!B:B=1)*(Equipar!AC:AC=A730)),""),"")</f>
        <v/>
      </c>
    </row>
    <row r="731" spans="1:10" x14ac:dyDescent="0.25">
      <c r="A731" s="1" t="str">
        <f ca="1">IF(A730="ID",1,IF(ISBLANK(B731),"",MAX(A$2:A730)+1))</f>
        <v/>
      </c>
      <c r="I731" s="2" t="str">
        <f ca="1">IF(ISNUMBER(A731),
IF(COUNTIFS(Equipar!B:B,1,Equipar!AC:AC,A731),"Equipada",
IF(
OR(COUNTIFS(Equipar!B:B,1,Equipar!C:C,A731)
 +COUNTIFS(Equipar!B:B,1,Equipar!D:D,A731)
+COUNTIFS(Equipar!B:B,1,Equipar!E:E,A731)
+COUNTIFS(Equipar!B:B,1,Equipar!F:F,A731)
&gt;0,COUNTIF('Set recomendado'!B:B,C731)=0),
"Bloqueada",
"Desechable")),""
)</f>
        <v/>
      </c>
      <c r="J731" t="str" cm="1">
        <f t="array" aca="1" ref="J731" ca="1">IF(ISNUMBER(A731),IFERROR(_xlfn._xlws.FILTER(Equipar!A:A,(Equipar!B:B=1)*(Equipar!AC:AC=A731)),""),"")</f>
        <v/>
      </c>
    </row>
    <row r="732" spans="1:10" x14ac:dyDescent="0.25">
      <c r="A732" s="1" t="str">
        <f ca="1">IF(A731="ID",1,IF(ISBLANK(B732),"",MAX(A$2:A731)+1))</f>
        <v/>
      </c>
      <c r="I732" s="2" t="str">
        <f ca="1">IF(ISNUMBER(A732),
IF(COUNTIFS(Equipar!B:B,1,Equipar!AC:AC,A732),"Equipada",
IF(
OR(COUNTIFS(Equipar!B:B,1,Equipar!C:C,A732)
 +COUNTIFS(Equipar!B:B,1,Equipar!D:D,A732)
+COUNTIFS(Equipar!B:B,1,Equipar!E:E,A732)
+COUNTIFS(Equipar!B:B,1,Equipar!F:F,A732)
&gt;0,COUNTIF('Set recomendado'!B:B,C732)=0),
"Bloqueada",
"Desechable")),""
)</f>
        <v/>
      </c>
      <c r="J732" t="str" cm="1">
        <f t="array" aca="1" ref="J732" ca="1">IF(ISNUMBER(A732),IFERROR(_xlfn._xlws.FILTER(Equipar!A:A,(Equipar!B:B=1)*(Equipar!AC:AC=A732)),""),"")</f>
        <v/>
      </c>
    </row>
    <row r="733" spans="1:10" x14ac:dyDescent="0.25">
      <c r="A733" s="1" t="str">
        <f ca="1">IF(A732="ID",1,IF(ISBLANK(B733),"",MAX(A$2:A732)+1))</f>
        <v/>
      </c>
      <c r="I733" s="2" t="str">
        <f ca="1">IF(ISNUMBER(A733),
IF(COUNTIFS(Equipar!B:B,1,Equipar!AC:AC,A733),"Equipada",
IF(
OR(COUNTIFS(Equipar!B:B,1,Equipar!C:C,A733)
 +COUNTIFS(Equipar!B:B,1,Equipar!D:D,A733)
+COUNTIFS(Equipar!B:B,1,Equipar!E:E,A733)
+COUNTIFS(Equipar!B:B,1,Equipar!F:F,A733)
&gt;0,COUNTIF('Set recomendado'!B:B,C733)=0),
"Bloqueada",
"Desechable")),""
)</f>
        <v/>
      </c>
      <c r="J733" t="str" cm="1">
        <f t="array" aca="1" ref="J733" ca="1">IF(ISNUMBER(A733),IFERROR(_xlfn._xlws.FILTER(Equipar!A:A,(Equipar!B:B=1)*(Equipar!AC:AC=A733)),""),"")</f>
        <v/>
      </c>
    </row>
    <row r="734" spans="1:10" x14ac:dyDescent="0.25">
      <c r="A734" s="1" t="str">
        <f ca="1">IF(A733="ID",1,IF(ISBLANK(B734),"",MAX(A$2:A733)+1))</f>
        <v/>
      </c>
      <c r="I734" s="2" t="str">
        <f ca="1">IF(ISNUMBER(A734),
IF(COUNTIFS(Equipar!B:B,1,Equipar!AC:AC,A734),"Equipada",
IF(
OR(COUNTIFS(Equipar!B:B,1,Equipar!C:C,A734)
 +COUNTIFS(Equipar!B:B,1,Equipar!D:D,A734)
+COUNTIFS(Equipar!B:B,1,Equipar!E:E,A734)
+COUNTIFS(Equipar!B:B,1,Equipar!F:F,A734)
&gt;0,COUNTIF('Set recomendado'!B:B,C734)=0),
"Bloqueada",
"Desechable")),""
)</f>
        <v/>
      </c>
      <c r="J734" t="str" cm="1">
        <f t="array" aca="1" ref="J734" ca="1">IF(ISNUMBER(A734),IFERROR(_xlfn._xlws.FILTER(Equipar!A:A,(Equipar!B:B=1)*(Equipar!AC:AC=A734)),""),"")</f>
        <v/>
      </c>
    </row>
    <row r="735" spans="1:10" x14ac:dyDescent="0.25">
      <c r="A735" s="1" t="str">
        <f ca="1">IF(A734="ID",1,IF(ISBLANK(B735),"",MAX(A$2:A734)+1))</f>
        <v/>
      </c>
      <c r="I735" s="2" t="str">
        <f ca="1">IF(ISNUMBER(A735),
IF(COUNTIFS(Equipar!B:B,1,Equipar!AC:AC,A735),"Equipada",
IF(
OR(COUNTIFS(Equipar!B:B,1,Equipar!C:C,A735)
 +COUNTIFS(Equipar!B:B,1,Equipar!D:D,A735)
+COUNTIFS(Equipar!B:B,1,Equipar!E:E,A735)
+COUNTIFS(Equipar!B:B,1,Equipar!F:F,A735)
&gt;0,COUNTIF('Set recomendado'!B:B,C735)=0),
"Bloqueada",
"Desechable")),""
)</f>
        <v/>
      </c>
      <c r="J735" t="str" cm="1">
        <f t="array" aca="1" ref="J735" ca="1">IF(ISNUMBER(A735),IFERROR(_xlfn._xlws.FILTER(Equipar!A:A,(Equipar!B:B=1)*(Equipar!AC:AC=A735)),""),"")</f>
        <v/>
      </c>
    </row>
    <row r="736" spans="1:10" x14ac:dyDescent="0.25">
      <c r="A736" s="1" t="str">
        <f ca="1">IF(A735="ID",1,IF(ISBLANK(B736),"",MAX(A$2:A735)+1))</f>
        <v/>
      </c>
      <c r="I736" s="2" t="str">
        <f ca="1">IF(ISNUMBER(A736),
IF(COUNTIFS(Equipar!B:B,1,Equipar!AC:AC,A736),"Equipada",
IF(
OR(COUNTIFS(Equipar!B:B,1,Equipar!C:C,A736)
 +COUNTIFS(Equipar!B:B,1,Equipar!D:D,A736)
+COUNTIFS(Equipar!B:B,1,Equipar!E:E,A736)
+COUNTIFS(Equipar!B:B,1,Equipar!F:F,A736)
&gt;0,COUNTIF('Set recomendado'!B:B,C736)=0),
"Bloqueada",
"Desechable")),""
)</f>
        <v/>
      </c>
      <c r="J736" t="str" cm="1">
        <f t="array" aca="1" ref="J736" ca="1">IF(ISNUMBER(A736),IFERROR(_xlfn._xlws.FILTER(Equipar!A:A,(Equipar!B:B=1)*(Equipar!AC:AC=A736)),""),"")</f>
        <v/>
      </c>
    </row>
    <row r="737" spans="1:10" x14ac:dyDescent="0.25">
      <c r="A737" s="1" t="str">
        <f ca="1">IF(A736="ID",1,IF(ISBLANK(B737),"",MAX(A$2:A736)+1))</f>
        <v/>
      </c>
      <c r="I737" s="2" t="str">
        <f ca="1">IF(ISNUMBER(A737),
IF(COUNTIFS(Equipar!B:B,1,Equipar!AC:AC,A737),"Equipada",
IF(
OR(COUNTIFS(Equipar!B:B,1,Equipar!C:C,A737)
 +COUNTIFS(Equipar!B:B,1,Equipar!D:D,A737)
+COUNTIFS(Equipar!B:B,1,Equipar!E:E,A737)
+COUNTIFS(Equipar!B:B,1,Equipar!F:F,A737)
&gt;0,COUNTIF('Set recomendado'!B:B,C737)=0),
"Bloqueada",
"Desechable")),""
)</f>
        <v/>
      </c>
      <c r="J737" t="str" cm="1">
        <f t="array" aca="1" ref="J737" ca="1">IF(ISNUMBER(A737),IFERROR(_xlfn._xlws.FILTER(Equipar!A:A,(Equipar!B:B=1)*(Equipar!AC:AC=A737)),""),"")</f>
        <v/>
      </c>
    </row>
    <row r="738" spans="1:10" x14ac:dyDescent="0.25">
      <c r="A738" s="1" t="str">
        <f ca="1">IF(A737="ID",1,IF(ISBLANK(B738),"",MAX(A$2:A737)+1))</f>
        <v/>
      </c>
      <c r="I738" s="2" t="str">
        <f ca="1">IF(ISNUMBER(A738),
IF(COUNTIFS(Equipar!B:B,1,Equipar!AC:AC,A738),"Equipada",
IF(
OR(COUNTIFS(Equipar!B:B,1,Equipar!C:C,A738)
 +COUNTIFS(Equipar!B:B,1,Equipar!D:D,A738)
+COUNTIFS(Equipar!B:B,1,Equipar!E:E,A738)
+COUNTIFS(Equipar!B:B,1,Equipar!F:F,A738)
&gt;0,COUNTIF('Set recomendado'!B:B,C738)=0),
"Bloqueada",
"Desechable")),""
)</f>
        <v/>
      </c>
      <c r="J738" t="str" cm="1">
        <f t="array" aca="1" ref="J738" ca="1">IF(ISNUMBER(A738),IFERROR(_xlfn._xlws.FILTER(Equipar!A:A,(Equipar!B:B=1)*(Equipar!AC:AC=A738)),""),"")</f>
        <v/>
      </c>
    </row>
    <row r="739" spans="1:10" x14ac:dyDescent="0.25">
      <c r="A739" s="1" t="str">
        <f ca="1">IF(A738="ID",1,IF(ISBLANK(B739),"",MAX(A$2:A738)+1))</f>
        <v/>
      </c>
      <c r="I739" s="2" t="str">
        <f ca="1">IF(ISNUMBER(A739),
IF(COUNTIFS(Equipar!B:B,1,Equipar!AC:AC,A739),"Equipada",
IF(
OR(COUNTIFS(Equipar!B:B,1,Equipar!C:C,A739)
 +COUNTIFS(Equipar!B:B,1,Equipar!D:D,A739)
+COUNTIFS(Equipar!B:B,1,Equipar!E:E,A739)
+COUNTIFS(Equipar!B:B,1,Equipar!F:F,A739)
&gt;0,COUNTIF('Set recomendado'!B:B,C739)=0),
"Bloqueada",
"Desechable")),""
)</f>
        <v/>
      </c>
      <c r="J739" t="str" cm="1">
        <f t="array" aca="1" ref="J739" ca="1">IF(ISNUMBER(A739),IFERROR(_xlfn._xlws.FILTER(Equipar!A:A,(Equipar!B:B=1)*(Equipar!AC:AC=A739)),""),"")</f>
        <v/>
      </c>
    </row>
    <row r="740" spans="1:10" x14ac:dyDescent="0.25">
      <c r="A740" s="1" t="str">
        <f ca="1">IF(A739="ID",1,IF(ISBLANK(B740),"",MAX(A$2:A739)+1))</f>
        <v/>
      </c>
      <c r="I740" s="2" t="str">
        <f ca="1">IF(ISNUMBER(A740),
IF(COUNTIFS(Equipar!B:B,1,Equipar!AC:AC,A740),"Equipada",
IF(
OR(COUNTIFS(Equipar!B:B,1,Equipar!C:C,A740)
 +COUNTIFS(Equipar!B:B,1,Equipar!D:D,A740)
+COUNTIFS(Equipar!B:B,1,Equipar!E:E,A740)
+COUNTIFS(Equipar!B:B,1,Equipar!F:F,A740)
&gt;0,COUNTIF('Set recomendado'!B:B,C740)=0),
"Bloqueada",
"Desechable")),""
)</f>
        <v/>
      </c>
      <c r="J740" t="str" cm="1">
        <f t="array" aca="1" ref="J740" ca="1">IF(ISNUMBER(A740),IFERROR(_xlfn._xlws.FILTER(Equipar!A:A,(Equipar!B:B=1)*(Equipar!AC:AC=A740)),""),"")</f>
        <v/>
      </c>
    </row>
    <row r="741" spans="1:10" x14ac:dyDescent="0.25">
      <c r="A741" s="1" t="str">
        <f ca="1">IF(A740="ID",1,IF(ISBLANK(B741),"",MAX(A$2:A740)+1))</f>
        <v/>
      </c>
      <c r="I741" s="2" t="str">
        <f ca="1">IF(ISNUMBER(A741),
IF(COUNTIFS(Equipar!B:B,1,Equipar!AC:AC,A741),"Equipada",
IF(
OR(COUNTIFS(Equipar!B:B,1,Equipar!C:C,A741)
 +COUNTIFS(Equipar!B:B,1,Equipar!D:D,A741)
+COUNTIFS(Equipar!B:B,1,Equipar!E:E,A741)
+COUNTIFS(Equipar!B:B,1,Equipar!F:F,A741)
&gt;0,COUNTIF('Set recomendado'!B:B,C741)=0),
"Bloqueada",
"Desechable")),""
)</f>
        <v/>
      </c>
      <c r="J741" t="str" cm="1">
        <f t="array" aca="1" ref="J741" ca="1">IF(ISNUMBER(A741),IFERROR(_xlfn._xlws.FILTER(Equipar!A:A,(Equipar!B:B=1)*(Equipar!AC:AC=A741)),""),"")</f>
        <v/>
      </c>
    </row>
    <row r="742" spans="1:10" x14ac:dyDescent="0.25">
      <c r="A742" s="1" t="str">
        <f ca="1">IF(A741="ID",1,IF(ISBLANK(B742),"",MAX(A$2:A741)+1))</f>
        <v/>
      </c>
      <c r="I742" s="2" t="str">
        <f ca="1">IF(ISNUMBER(A742),
IF(COUNTIFS(Equipar!B:B,1,Equipar!AC:AC,A742),"Equipada",
IF(
OR(COUNTIFS(Equipar!B:B,1,Equipar!C:C,A742)
 +COUNTIFS(Equipar!B:B,1,Equipar!D:D,A742)
+COUNTIFS(Equipar!B:B,1,Equipar!E:E,A742)
+COUNTIFS(Equipar!B:B,1,Equipar!F:F,A742)
&gt;0,COUNTIF('Set recomendado'!B:B,C742)=0),
"Bloqueada",
"Desechable")),""
)</f>
        <v/>
      </c>
      <c r="J742" t="str" cm="1">
        <f t="array" aca="1" ref="J742" ca="1">IF(ISNUMBER(A742),IFERROR(_xlfn._xlws.FILTER(Equipar!A:A,(Equipar!B:B=1)*(Equipar!AC:AC=A742)),""),"")</f>
        <v/>
      </c>
    </row>
    <row r="743" spans="1:10" x14ac:dyDescent="0.25">
      <c r="A743" s="1" t="str">
        <f ca="1">IF(A742="ID",1,IF(ISBLANK(B743),"",MAX(A$2:A742)+1))</f>
        <v/>
      </c>
      <c r="I743" s="2" t="str">
        <f ca="1">IF(ISNUMBER(A743),
IF(COUNTIFS(Equipar!B:B,1,Equipar!AC:AC,A743),"Equipada",
IF(
OR(COUNTIFS(Equipar!B:B,1,Equipar!C:C,A743)
 +COUNTIFS(Equipar!B:B,1,Equipar!D:D,A743)
+COUNTIFS(Equipar!B:B,1,Equipar!E:E,A743)
+COUNTIFS(Equipar!B:B,1,Equipar!F:F,A743)
&gt;0,COUNTIF('Set recomendado'!B:B,C743)=0),
"Bloqueada",
"Desechable")),""
)</f>
        <v/>
      </c>
      <c r="J743" t="str" cm="1">
        <f t="array" aca="1" ref="J743" ca="1">IF(ISNUMBER(A743),IFERROR(_xlfn._xlws.FILTER(Equipar!A:A,(Equipar!B:B=1)*(Equipar!AC:AC=A743)),""),"")</f>
        <v/>
      </c>
    </row>
    <row r="744" spans="1:10" x14ac:dyDescent="0.25">
      <c r="A744" s="1" t="str">
        <f ca="1">IF(A743="ID",1,IF(ISBLANK(B744),"",MAX(A$2:A743)+1))</f>
        <v/>
      </c>
      <c r="I744" s="2" t="str">
        <f ca="1">IF(ISNUMBER(A744),
IF(COUNTIFS(Equipar!B:B,1,Equipar!AC:AC,A744),"Equipada",
IF(
OR(COUNTIFS(Equipar!B:B,1,Equipar!C:C,A744)
 +COUNTIFS(Equipar!B:B,1,Equipar!D:D,A744)
+COUNTIFS(Equipar!B:B,1,Equipar!E:E,A744)
+COUNTIFS(Equipar!B:B,1,Equipar!F:F,A744)
&gt;0,COUNTIF('Set recomendado'!B:B,C744)=0),
"Bloqueada",
"Desechable")),""
)</f>
        <v/>
      </c>
      <c r="J744" t="str" cm="1">
        <f t="array" aca="1" ref="J744" ca="1">IF(ISNUMBER(A744),IFERROR(_xlfn._xlws.FILTER(Equipar!A:A,(Equipar!B:B=1)*(Equipar!AC:AC=A744)),""),"")</f>
        <v/>
      </c>
    </row>
    <row r="745" spans="1:10" x14ac:dyDescent="0.25">
      <c r="A745" s="1" t="str">
        <f ca="1">IF(A744="ID",1,IF(ISBLANK(B745),"",MAX(A$2:A744)+1))</f>
        <v/>
      </c>
      <c r="I745" s="2" t="str">
        <f ca="1">IF(ISNUMBER(A745),
IF(COUNTIFS(Equipar!B:B,1,Equipar!AC:AC,A745),"Equipada",
IF(
OR(COUNTIFS(Equipar!B:B,1,Equipar!C:C,A745)
 +COUNTIFS(Equipar!B:B,1,Equipar!D:D,A745)
+COUNTIFS(Equipar!B:B,1,Equipar!E:E,A745)
+COUNTIFS(Equipar!B:B,1,Equipar!F:F,A745)
&gt;0,COUNTIF('Set recomendado'!B:B,C745)=0),
"Bloqueada",
"Desechable")),""
)</f>
        <v/>
      </c>
      <c r="J745" t="str" cm="1">
        <f t="array" aca="1" ref="J745" ca="1">IF(ISNUMBER(A745),IFERROR(_xlfn._xlws.FILTER(Equipar!A:A,(Equipar!B:B=1)*(Equipar!AC:AC=A745)),""),"")</f>
        <v/>
      </c>
    </row>
    <row r="746" spans="1:10" x14ac:dyDescent="0.25">
      <c r="A746" s="1" t="str">
        <f ca="1">IF(A745="ID",1,IF(ISBLANK(B746),"",MAX(A$2:A745)+1))</f>
        <v/>
      </c>
      <c r="I746" s="2" t="str">
        <f ca="1">IF(ISNUMBER(A746),
IF(COUNTIFS(Equipar!B:B,1,Equipar!AC:AC,A746),"Equipada",
IF(
OR(COUNTIFS(Equipar!B:B,1,Equipar!C:C,A746)
 +COUNTIFS(Equipar!B:B,1,Equipar!D:D,A746)
+COUNTIFS(Equipar!B:B,1,Equipar!E:E,A746)
+COUNTIFS(Equipar!B:B,1,Equipar!F:F,A746)
&gt;0,COUNTIF('Set recomendado'!B:B,C746)=0),
"Bloqueada",
"Desechable")),""
)</f>
        <v/>
      </c>
      <c r="J746" t="str" cm="1">
        <f t="array" aca="1" ref="J746" ca="1">IF(ISNUMBER(A746),IFERROR(_xlfn._xlws.FILTER(Equipar!A:A,(Equipar!B:B=1)*(Equipar!AC:AC=A746)),""),"")</f>
        <v/>
      </c>
    </row>
    <row r="747" spans="1:10" x14ac:dyDescent="0.25">
      <c r="A747" s="1" t="str">
        <f ca="1">IF(A746="ID",1,IF(ISBLANK(B747),"",MAX(A$2:A746)+1))</f>
        <v/>
      </c>
      <c r="I747" s="2" t="str">
        <f ca="1">IF(ISNUMBER(A747),
IF(COUNTIFS(Equipar!B:B,1,Equipar!AC:AC,A747),"Equipada",
IF(
OR(COUNTIFS(Equipar!B:B,1,Equipar!C:C,A747)
 +COUNTIFS(Equipar!B:B,1,Equipar!D:D,A747)
+COUNTIFS(Equipar!B:B,1,Equipar!E:E,A747)
+COUNTIFS(Equipar!B:B,1,Equipar!F:F,A747)
&gt;0,COUNTIF('Set recomendado'!B:B,C747)=0),
"Bloqueada",
"Desechable")),""
)</f>
        <v/>
      </c>
      <c r="J747" t="str" cm="1">
        <f t="array" aca="1" ref="J747" ca="1">IF(ISNUMBER(A747),IFERROR(_xlfn._xlws.FILTER(Equipar!A:A,(Equipar!B:B=1)*(Equipar!AC:AC=A747)),""),"")</f>
        <v/>
      </c>
    </row>
    <row r="748" spans="1:10" x14ac:dyDescent="0.25">
      <c r="A748" s="1" t="str">
        <f ca="1">IF(A747="ID",1,IF(ISBLANK(B748),"",MAX(A$2:A747)+1))</f>
        <v/>
      </c>
      <c r="I748" s="2" t="str">
        <f ca="1">IF(ISNUMBER(A748),
IF(COUNTIFS(Equipar!B:B,1,Equipar!AC:AC,A748),"Equipada",
IF(
OR(COUNTIFS(Equipar!B:B,1,Equipar!C:C,A748)
 +COUNTIFS(Equipar!B:B,1,Equipar!D:D,A748)
+COUNTIFS(Equipar!B:B,1,Equipar!E:E,A748)
+COUNTIFS(Equipar!B:B,1,Equipar!F:F,A748)
&gt;0,COUNTIF('Set recomendado'!B:B,C748)=0),
"Bloqueada",
"Desechable")),""
)</f>
        <v/>
      </c>
      <c r="J748" t="str" cm="1">
        <f t="array" aca="1" ref="J748" ca="1">IF(ISNUMBER(A748),IFERROR(_xlfn._xlws.FILTER(Equipar!A:A,(Equipar!B:B=1)*(Equipar!AC:AC=A748)),""),"")</f>
        <v/>
      </c>
    </row>
    <row r="749" spans="1:10" x14ac:dyDescent="0.25">
      <c r="A749" s="1" t="str">
        <f ca="1">IF(A748="ID",1,IF(ISBLANK(B749),"",MAX(A$2:A748)+1))</f>
        <v/>
      </c>
      <c r="I749" s="2" t="str">
        <f ca="1">IF(ISNUMBER(A749),
IF(COUNTIFS(Equipar!B:B,1,Equipar!AC:AC,A749),"Equipada",
IF(
OR(COUNTIFS(Equipar!B:B,1,Equipar!C:C,A749)
 +COUNTIFS(Equipar!B:B,1,Equipar!D:D,A749)
+COUNTIFS(Equipar!B:B,1,Equipar!E:E,A749)
+COUNTIFS(Equipar!B:B,1,Equipar!F:F,A749)
&gt;0,COUNTIF('Set recomendado'!B:B,C749)=0),
"Bloqueada",
"Desechable")),""
)</f>
        <v/>
      </c>
      <c r="J749" t="str" cm="1">
        <f t="array" aca="1" ref="J749" ca="1">IF(ISNUMBER(A749),IFERROR(_xlfn._xlws.FILTER(Equipar!A:A,(Equipar!B:B=1)*(Equipar!AC:AC=A749)),""),"")</f>
        <v/>
      </c>
    </row>
    <row r="750" spans="1:10" x14ac:dyDescent="0.25">
      <c r="A750" s="1" t="str">
        <f ca="1">IF(A749="ID",1,IF(ISBLANK(B750),"",MAX(A$2:A749)+1))</f>
        <v/>
      </c>
      <c r="I750" s="2" t="str">
        <f ca="1">IF(ISNUMBER(A750),
IF(COUNTIFS(Equipar!B:B,1,Equipar!AC:AC,A750),"Equipada",
IF(
OR(COUNTIFS(Equipar!B:B,1,Equipar!C:C,A750)
 +COUNTIFS(Equipar!B:B,1,Equipar!D:D,A750)
+COUNTIFS(Equipar!B:B,1,Equipar!E:E,A750)
+COUNTIFS(Equipar!B:B,1,Equipar!F:F,A750)
&gt;0,COUNTIF('Set recomendado'!B:B,C750)=0),
"Bloqueada",
"Desechable")),""
)</f>
        <v/>
      </c>
      <c r="J750" t="str" cm="1">
        <f t="array" aca="1" ref="J750" ca="1">IF(ISNUMBER(A750),IFERROR(_xlfn._xlws.FILTER(Equipar!A:A,(Equipar!B:B=1)*(Equipar!AC:AC=A750)),""),"")</f>
        <v/>
      </c>
    </row>
    <row r="751" spans="1:10" x14ac:dyDescent="0.25">
      <c r="A751" s="1" t="str">
        <f ca="1">IF(A750="ID",1,IF(ISBLANK(B751),"",MAX(A$2:A750)+1))</f>
        <v/>
      </c>
      <c r="I751" s="2" t="str">
        <f ca="1">IF(ISNUMBER(A751),
IF(COUNTIFS(Equipar!B:B,1,Equipar!AC:AC,A751),"Equipada",
IF(
OR(COUNTIFS(Equipar!B:B,1,Equipar!C:C,A751)
 +COUNTIFS(Equipar!B:B,1,Equipar!D:D,A751)
+COUNTIFS(Equipar!B:B,1,Equipar!E:E,A751)
+COUNTIFS(Equipar!B:B,1,Equipar!F:F,A751)
&gt;0,COUNTIF('Set recomendado'!B:B,C751)=0),
"Bloqueada",
"Desechable")),""
)</f>
        <v/>
      </c>
      <c r="J751" t="str" cm="1">
        <f t="array" aca="1" ref="J751" ca="1">IF(ISNUMBER(A751),IFERROR(_xlfn._xlws.FILTER(Equipar!A:A,(Equipar!B:B=1)*(Equipar!AC:AC=A751)),""),"")</f>
        <v/>
      </c>
    </row>
    <row r="752" spans="1:10" x14ac:dyDescent="0.25">
      <c r="A752" s="1" t="str">
        <f ca="1">IF(A751="ID",1,IF(ISBLANK(B752),"",MAX(A$2:A751)+1))</f>
        <v/>
      </c>
      <c r="I752" s="2" t="str">
        <f ca="1">IF(ISNUMBER(A752),
IF(COUNTIFS(Equipar!B:B,1,Equipar!AC:AC,A752),"Equipada",
IF(
OR(COUNTIFS(Equipar!B:B,1,Equipar!C:C,A752)
 +COUNTIFS(Equipar!B:B,1,Equipar!D:D,A752)
+COUNTIFS(Equipar!B:B,1,Equipar!E:E,A752)
+COUNTIFS(Equipar!B:B,1,Equipar!F:F,A752)
&gt;0,COUNTIF('Set recomendado'!B:B,C752)=0),
"Bloqueada",
"Desechable")),""
)</f>
        <v/>
      </c>
      <c r="J752" t="str" cm="1">
        <f t="array" aca="1" ref="J752" ca="1">IF(ISNUMBER(A752),IFERROR(_xlfn._xlws.FILTER(Equipar!A:A,(Equipar!B:B=1)*(Equipar!AC:AC=A752)),""),"")</f>
        <v/>
      </c>
    </row>
    <row r="753" spans="1:10" x14ac:dyDescent="0.25">
      <c r="A753" s="1" t="str">
        <f ca="1">IF(A752="ID",1,IF(ISBLANK(B753),"",MAX(A$2:A752)+1))</f>
        <v/>
      </c>
      <c r="I753" s="2" t="str">
        <f ca="1">IF(ISNUMBER(A753),
IF(COUNTIFS(Equipar!B:B,1,Equipar!AC:AC,A753),"Equipada",
IF(
OR(COUNTIFS(Equipar!B:B,1,Equipar!C:C,A753)
 +COUNTIFS(Equipar!B:B,1,Equipar!D:D,A753)
+COUNTIFS(Equipar!B:B,1,Equipar!E:E,A753)
+COUNTIFS(Equipar!B:B,1,Equipar!F:F,A753)
&gt;0,COUNTIF('Set recomendado'!B:B,C753)=0),
"Bloqueada",
"Desechable")),""
)</f>
        <v/>
      </c>
      <c r="J753" t="str" cm="1">
        <f t="array" aca="1" ref="J753" ca="1">IF(ISNUMBER(A753),IFERROR(_xlfn._xlws.FILTER(Equipar!A:A,(Equipar!B:B=1)*(Equipar!AC:AC=A753)),""),"")</f>
        <v/>
      </c>
    </row>
    <row r="754" spans="1:10" x14ac:dyDescent="0.25">
      <c r="A754" s="1" t="str">
        <f ca="1">IF(A753="ID",1,IF(ISBLANK(B754),"",MAX(A$2:A753)+1))</f>
        <v/>
      </c>
      <c r="I754" s="2" t="str">
        <f ca="1">IF(ISNUMBER(A754),
IF(COUNTIFS(Equipar!B:B,1,Equipar!AC:AC,A754),"Equipada",
IF(
OR(COUNTIFS(Equipar!B:B,1,Equipar!C:C,A754)
 +COUNTIFS(Equipar!B:B,1,Equipar!D:D,A754)
+COUNTIFS(Equipar!B:B,1,Equipar!E:E,A754)
+COUNTIFS(Equipar!B:B,1,Equipar!F:F,A754)
&gt;0,COUNTIF('Set recomendado'!B:B,C754)=0),
"Bloqueada",
"Desechable")),""
)</f>
        <v/>
      </c>
      <c r="J754" t="str" cm="1">
        <f t="array" aca="1" ref="J754" ca="1">IF(ISNUMBER(A754),IFERROR(_xlfn._xlws.FILTER(Equipar!A:A,(Equipar!B:B=1)*(Equipar!AC:AC=A754)),""),"")</f>
        <v/>
      </c>
    </row>
    <row r="755" spans="1:10" x14ac:dyDescent="0.25">
      <c r="A755" s="1" t="str">
        <f ca="1">IF(A754="ID",1,IF(ISBLANK(B755),"",MAX(A$2:A754)+1))</f>
        <v/>
      </c>
      <c r="I755" s="2" t="str">
        <f ca="1">IF(ISNUMBER(A755),
IF(COUNTIFS(Equipar!B:B,1,Equipar!AC:AC,A755),"Equipada",
IF(
OR(COUNTIFS(Equipar!B:B,1,Equipar!C:C,A755)
 +COUNTIFS(Equipar!B:B,1,Equipar!D:D,A755)
+COUNTIFS(Equipar!B:B,1,Equipar!E:E,A755)
+COUNTIFS(Equipar!B:B,1,Equipar!F:F,A755)
&gt;0,COUNTIF('Set recomendado'!B:B,C755)=0),
"Bloqueada",
"Desechable")),""
)</f>
        <v/>
      </c>
      <c r="J755" t="str" cm="1">
        <f t="array" aca="1" ref="J755" ca="1">IF(ISNUMBER(A755),IFERROR(_xlfn._xlws.FILTER(Equipar!A:A,(Equipar!B:B=1)*(Equipar!AC:AC=A755)),""),"")</f>
        <v/>
      </c>
    </row>
    <row r="756" spans="1:10" x14ac:dyDescent="0.25">
      <c r="A756" s="1" t="str">
        <f ca="1">IF(A755="ID",1,IF(ISBLANK(B756),"",MAX(A$2:A755)+1))</f>
        <v/>
      </c>
      <c r="I756" s="2" t="str">
        <f ca="1">IF(ISNUMBER(A756),
IF(COUNTIFS(Equipar!B:B,1,Equipar!AC:AC,A756),"Equipada",
IF(
OR(COUNTIFS(Equipar!B:B,1,Equipar!C:C,A756)
 +COUNTIFS(Equipar!B:B,1,Equipar!D:D,A756)
+COUNTIFS(Equipar!B:B,1,Equipar!E:E,A756)
+COUNTIFS(Equipar!B:B,1,Equipar!F:F,A756)
&gt;0,COUNTIF('Set recomendado'!B:B,C756)=0),
"Bloqueada",
"Desechable")),""
)</f>
        <v/>
      </c>
      <c r="J756" t="str" cm="1">
        <f t="array" aca="1" ref="J756" ca="1">IF(ISNUMBER(A756),IFERROR(_xlfn._xlws.FILTER(Equipar!A:A,(Equipar!B:B=1)*(Equipar!AC:AC=A756)),""),"")</f>
        <v/>
      </c>
    </row>
    <row r="757" spans="1:10" x14ac:dyDescent="0.25">
      <c r="A757" s="1" t="str">
        <f ca="1">IF(A756="ID",1,IF(ISBLANK(B757),"",MAX(A$2:A756)+1))</f>
        <v/>
      </c>
      <c r="I757" s="2" t="str">
        <f ca="1">IF(ISNUMBER(A757),
IF(COUNTIFS(Equipar!B:B,1,Equipar!AC:AC,A757),"Equipada",
IF(
OR(COUNTIFS(Equipar!B:B,1,Equipar!C:C,A757)
 +COUNTIFS(Equipar!B:B,1,Equipar!D:D,A757)
+COUNTIFS(Equipar!B:B,1,Equipar!E:E,A757)
+COUNTIFS(Equipar!B:B,1,Equipar!F:F,A757)
&gt;0,COUNTIF('Set recomendado'!B:B,C757)=0),
"Bloqueada",
"Desechable")),""
)</f>
        <v/>
      </c>
      <c r="J757" t="str" cm="1">
        <f t="array" aca="1" ref="J757" ca="1">IF(ISNUMBER(A757),IFERROR(_xlfn._xlws.FILTER(Equipar!A:A,(Equipar!B:B=1)*(Equipar!AC:AC=A757)),""),"")</f>
        <v/>
      </c>
    </row>
    <row r="758" spans="1:10" x14ac:dyDescent="0.25">
      <c r="A758" s="1" t="str">
        <f ca="1">IF(A757="ID",1,IF(ISBLANK(B758),"",MAX(A$2:A757)+1))</f>
        <v/>
      </c>
      <c r="I758" s="2" t="str">
        <f ca="1">IF(ISNUMBER(A758),
IF(COUNTIFS(Equipar!B:B,1,Equipar!AC:AC,A758),"Equipada",
IF(
OR(COUNTIFS(Equipar!B:B,1,Equipar!C:C,A758)
 +COUNTIFS(Equipar!B:B,1,Equipar!D:D,A758)
+COUNTIFS(Equipar!B:B,1,Equipar!E:E,A758)
+COUNTIFS(Equipar!B:B,1,Equipar!F:F,A758)
&gt;0,COUNTIF('Set recomendado'!B:B,C758)=0),
"Bloqueada",
"Desechable")),""
)</f>
        <v/>
      </c>
      <c r="J758" t="str" cm="1">
        <f t="array" aca="1" ref="J758" ca="1">IF(ISNUMBER(A758),IFERROR(_xlfn._xlws.FILTER(Equipar!A:A,(Equipar!B:B=1)*(Equipar!AC:AC=A758)),""),"")</f>
        <v/>
      </c>
    </row>
    <row r="759" spans="1:10" x14ac:dyDescent="0.25">
      <c r="A759" s="1" t="str">
        <f ca="1">IF(A758="ID",1,IF(ISBLANK(B759),"",MAX(A$2:A758)+1))</f>
        <v/>
      </c>
      <c r="I759" s="2" t="str">
        <f ca="1">IF(ISNUMBER(A759),
IF(COUNTIFS(Equipar!B:B,1,Equipar!AC:AC,A759),"Equipada",
IF(
OR(COUNTIFS(Equipar!B:B,1,Equipar!C:C,A759)
 +COUNTIFS(Equipar!B:B,1,Equipar!D:D,A759)
+COUNTIFS(Equipar!B:B,1,Equipar!E:E,A759)
+COUNTIFS(Equipar!B:B,1,Equipar!F:F,A759)
&gt;0,COUNTIF('Set recomendado'!B:B,C759)=0),
"Bloqueada",
"Desechable")),""
)</f>
        <v/>
      </c>
      <c r="J759" t="str" cm="1">
        <f t="array" aca="1" ref="J759" ca="1">IF(ISNUMBER(A759),IFERROR(_xlfn._xlws.FILTER(Equipar!A:A,(Equipar!B:B=1)*(Equipar!AC:AC=A759)),""),"")</f>
        <v/>
      </c>
    </row>
    <row r="760" spans="1:10" x14ac:dyDescent="0.25">
      <c r="A760" s="1" t="str">
        <f ca="1">IF(A759="ID",1,IF(ISBLANK(B760),"",MAX(A$2:A759)+1))</f>
        <v/>
      </c>
      <c r="I760" s="2" t="str">
        <f ca="1">IF(ISNUMBER(A760),
IF(COUNTIFS(Equipar!B:B,1,Equipar!AC:AC,A760),"Equipada",
IF(
OR(COUNTIFS(Equipar!B:B,1,Equipar!C:C,A760)
 +COUNTIFS(Equipar!B:B,1,Equipar!D:D,A760)
+COUNTIFS(Equipar!B:B,1,Equipar!E:E,A760)
+COUNTIFS(Equipar!B:B,1,Equipar!F:F,A760)
&gt;0,COUNTIF('Set recomendado'!B:B,C760)=0),
"Bloqueada",
"Desechable")),""
)</f>
        <v/>
      </c>
      <c r="J760" t="str" cm="1">
        <f t="array" aca="1" ref="J760" ca="1">IF(ISNUMBER(A760),IFERROR(_xlfn._xlws.FILTER(Equipar!A:A,(Equipar!B:B=1)*(Equipar!AC:AC=A760)),""),"")</f>
        <v/>
      </c>
    </row>
    <row r="761" spans="1:10" x14ac:dyDescent="0.25">
      <c r="A761" s="1" t="str">
        <f ca="1">IF(A760="ID",1,IF(ISBLANK(B761),"",MAX(A$2:A760)+1))</f>
        <v/>
      </c>
      <c r="I761" s="2" t="str">
        <f ca="1">IF(ISNUMBER(A761),
IF(COUNTIFS(Equipar!B:B,1,Equipar!AC:AC,A761),"Equipada",
IF(
OR(COUNTIFS(Equipar!B:B,1,Equipar!C:C,A761)
 +COUNTIFS(Equipar!B:B,1,Equipar!D:D,A761)
+COUNTIFS(Equipar!B:B,1,Equipar!E:E,A761)
+COUNTIFS(Equipar!B:B,1,Equipar!F:F,A761)
&gt;0,COUNTIF('Set recomendado'!B:B,C761)=0),
"Bloqueada",
"Desechable")),""
)</f>
        <v/>
      </c>
      <c r="J761" t="str" cm="1">
        <f t="array" aca="1" ref="J761" ca="1">IF(ISNUMBER(A761),IFERROR(_xlfn._xlws.FILTER(Equipar!A:A,(Equipar!B:B=1)*(Equipar!AC:AC=A761)),""),"")</f>
        <v/>
      </c>
    </row>
    <row r="762" spans="1:10" x14ac:dyDescent="0.25">
      <c r="A762" s="1" t="str">
        <f ca="1">IF(A761="ID",1,IF(ISBLANK(B762),"",MAX(A$2:A761)+1))</f>
        <v/>
      </c>
      <c r="I762" s="2" t="str">
        <f ca="1">IF(ISNUMBER(A762),
IF(COUNTIFS(Equipar!B:B,1,Equipar!AC:AC,A762),"Equipada",
IF(
OR(COUNTIFS(Equipar!B:B,1,Equipar!C:C,A762)
 +COUNTIFS(Equipar!B:B,1,Equipar!D:D,A762)
+COUNTIFS(Equipar!B:B,1,Equipar!E:E,A762)
+COUNTIFS(Equipar!B:B,1,Equipar!F:F,A762)
&gt;0,COUNTIF('Set recomendado'!B:B,C762)=0),
"Bloqueada",
"Desechable")),""
)</f>
        <v/>
      </c>
      <c r="J762" t="str" cm="1">
        <f t="array" aca="1" ref="J762" ca="1">IF(ISNUMBER(A762),IFERROR(_xlfn._xlws.FILTER(Equipar!A:A,(Equipar!B:B=1)*(Equipar!AC:AC=A762)),""),"")</f>
        <v/>
      </c>
    </row>
    <row r="763" spans="1:10" x14ac:dyDescent="0.25">
      <c r="A763" s="1" t="str">
        <f ca="1">IF(A762="ID",1,IF(ISBLANK(B763),"",MAX(A$2:A762)+1))</f>
        <v/>
      </c>
      <c r="I763" s="2" t="str">
        <f ca="1">IF(ISNUMBER(A763),
IF(COUNTIFS(Equipar!B:B,1,Equipar!AC:AC,A763),"Equipada",
IF(
OR(COUNTIFS(Equipar!B:B,1,Equipar!C:C,A763)
 +COUNTIFS(Equipar!B:B,1,Equipar!D:D,A763)
+COUNTIFS(Equipar!B:B,1,Equipar!E:E,A763)
+COUNTIFS(Equipar!B:B,1,Equipar!F:F,A763)
&gt;0,COUNTIF('Set recomendado'!B:B,C763)=0),
"Bloqueada",
"Desechable")),""
)</f>
        <v/>
      </c>
      <c r="J763" t="str" cm="1">
        <f t="array" aca="1" ref="J763" ca="1">IF(ISNUMBER(A763),IFERROR(_xlfn._xlws.FILTER(Equipar!A:A,(Equipar!B:B=1)*(Equipar!AC:AC=A763)),""),"")</f>
        <v/>
      </c>
    </row>
    <row r="764" spans="1:10" x14ac:dyDescent="0.25">
      <c r="A764" s="1" t="str">
        <f ca="1">IF(A763="ID",1,IF(ISBLANK(B764),"",MAX(A$2:A763)+1))</f>
        <v/>
      </c>
      <c r="I764" s="2" t="str">
        <f ca="1">IF(ISNUMBER(A764),
IF(COUNTIFS(Equipar!B:B,1,Equipar!AC:AC,A764),"Equipada",
IF(
OR(COUNTIFS(Equipar!B:B,1,Equipar!C:C,A764)
 +COUNTIFS(Equipar!B:B,1,Equipar!D:D,A764)
+COUNTIFS(Equipar!B:B,1,Equipar!E:E,A764)
+COUNTIFS(Equipar!B:B,1,Equipar!F:F,A764)
&gt;0,COUNTIF('Set recomendado'!B:B,C764)=0),
"Bloqueada",
"Desechable")),""
)</f>
        <v/>
      </c>
      <c r="J764" t="str" cm="1">
        <f t="array" aca="1" ref="J764" ca="1">IF(ISNUMBER(A764),IFERROR(_xlfn._xlws.FILTER(Equipar!A:A,(Equipar!B:B=1)*(Equipar!AC:AC=A764)),""),"")</f>
        <v/>
      </c>
    </row>
    <row r="765" spans="1:10" x14ac:dyDescent="0.25">
      <c r="A765" s="1" t="str">
        <f ca="1">IF(A764="ID",1,IF(ISBLANK(B765),"",MAX(A$2:A764)+1))</f>
        <v/>
      </c>
      <c r="I765" s="2" t="str">
        <f ca="1">IF(ISNUMBER(A765),
IF(COUNTIFS(Equipar!B:B,1,Equipar!AC:AC,A765),"Equipada",
IF(
OR(COUNTIFS(Equipar!B:B,1,Equipar!C:C,A765)
 +COUNTIFS(Equipar!B:B,1,Equipar!D:D,A765)
+COUNTIFS(Equipar!B:B,1,Equipar!E:E,A765)
+COUNTIFS(Equipar!B:B,1,Equipar!F:F,A765)
&gt;0,COUNTIF('Set recomendado'!B:B,C765)=0),
"Bloqueada",
"Desechable")),""
)</f>
        <v/>
      </c>
      <c r="J765" t="str" cm="1">
        <f t="array" aca="1" ref="J765" ca="1">IF(ISNUMBER(A765),IFERROR(_xlfn._xlws.FILTER(Equipar!A:A,(Equipar!B:B=1)*(Equipar!AC:AC=A765)),""),"")</f>
        <v/>
      </c>
    </row>
    <row r="766" spans="1:10" x14ac:dyDescent="0.25">
      <c r="A766" s="1" t="str">
        <f ca="1">IF(A765="ID",1,IF(ISBLANK(B766),"",MAX(A$2:A765)+1))</f>
        <v/>
      </c>
      <c r="I766" s="2" t="str">
        <f ca="1">IF(ISNUMBER(A766),
IF(COUNTIFS(Equipar!B:B,1,Equipar!AC:AC,A766),"Equipada",
IF(
OR(COUNTIFS(Equipar!B:B,1,Equipar!C:C,A766)
 +COUNTIFS(Equipar!B:B,1,Equipar!D:D,A766)
+COUNTIFS(Equipar!B:B,1,Equipar!E:E,A766)
+COUNTIFS(Equipar!B:B,1,Equipar!F:F,A766)
&gt;0,COUNTIF('Set recomendado'!B:B,C766)=0),
"Bloqueada",
"Desechable")),""
)</f>
        <v/>
      </c>
      <c r="J766" t="str" cm="1">
        <f t="array" aca="1" ref="J766" ca="1">IF(ISNUMBER(A766),IFERROR(_xlfn._xlws.FILTER(Equipar!A:A,(Equipar!B:B=1)*(Equipar!AC:AC=A766)),""),"")</f>
        <v/>
      </c>
    </row>
    <row r="767" spans="1:10" x14ac:dyDescent="0.25">
      <c r="A767" s="1" t="str">
        <f ca="1">IF(A766="ID",1,IF(ISBLANK(B767),"",MAX(A$2:A766)+1))</f>
        <v/>
      </c>
      <c r="I767" s="2" t="str">
        <f ca="1">IF(ISNUMBER(A767),
IF(COUNTIFS(Equipar!B:B,1,Equipar!AC:AC,A767),"Equipada",
IF(
OR(COUNTIFS(Equipar!B:B,1,Equipar!C:C,A767)
 +COUNTIFS(Equipar!B:B,1,Equipar!D:D,A767)
+COUNTIFS(Equipar!B:B,1,Equipar!E:E,A767)
+COUNTIFS(Equipar!B:B,1,Equipar!F:F,A767)
&gt;0,COUNTIF('Set recomendado'!B:B,C767)=0),
"Bloqueada",
"Desechable")),""
)</f>
        <v/>
      </c>
      <c r="J767" t="str" cm="1">
        <f t="array" aca="1" ref="J767" ca="1">IF(ISNUMBER(A767),IFERROR(_xlfn._xlws.FILTER(Equipar!A:A,(Equipar!B:B=1)*(Equipar!AC:AC=A767)),""),"")</f>
        <v/>
      </c>
    </row>
    <row r="768" spans="1:10" x14ac:dyDescent="0.25">
      <c r="A768" s="1" t="str">
        <f ca="1">IF(A767="ID",1,IF(ISBLANK(B768),"",MAX(A$2:A767)+1))</f>
        <v/>
      </c>
      <c r="I768" s="2" t="str">
        <f ca="1">IF(ISNUMBER(A768),
IF(COUNTIFS(Equipar!B:B,1,Equipar!AC:AC,A768),"Equipada",
IF(
OR(COUNTIFS(Equipar!B:B,1,Equipar!C:C,A768)
 +COUNTIFS(Equipar!B:B,1,Equipar!D:D,A768)
+COUNTIFS(Equipar!B:B,1,Equipar!E:E,A768)
+COUNTIFS(Equipar!B:B,1,Equipar!F:F,A768)
&gt;0,COUNTIF('Set recomendado'!B:B,C768)=0),
"Bloqueada",
"Desechable")),""
)</f>
        <v/>
      </c>
      <c r="J768" t="str" cm="1">
        <f t="array" aca="1" ref="J768" ca="1">IF(ISNUMBER(A768),IFERROR(_xlfn._xlws.FILTER(Equipar!A:A,(Equipar!B:B=1)*(Equipar!AC:AC=A768)),""),"")</f>
        <v/>
      </c>
    </row>
    <row r="769" spans="1:10" x14ac:dyDescent="0.25">
      <c r="A769" s="1" t="str">
        <f ca="1">IF(A768="ID",1,IF(ISBLANK(B769),"",MAX(A$2:A768)+1))</f>
        <v/>
      </c>
      <c r="I769" s="2" t="str">
        <f ca="1">IF(ISNUMBER(A769),
IF(COUNTIFS(Equipar!B:B,1,Equipar!AC:AC,A769),"Equipada",
IF(
OR(COUNTIFS(Equipar!B:B,1,Equipar!C:C,A769)
 +COUNTIFS(Equipar!B:B,1,Equipar!D:D,A769)
+COUNTIFS(Equipar!B:B,1,Equipar!E:E,A769)
+COUNTIFS(Equipar!B:B,1,Equipar!F:F,A769)
&gt;0,COUNTIF('Set recomendado'!B:B,C769)=0),
"Bloqueada",
"Desechable")),""
)</f>
        <v/>
      </c>
      <c r="J769" t="str" cm="1">
        <f t="array" aca="1" ref="J769" ca="1">IF(ISNUMBER(A769),IFERROR(_xlfn._xlws.FILTER(Equipar!A:A,(Equipar!B:B=1)*(Equipar!AC:AC=A769)),""),"")</f>
        <v/>
      </c>
    </row>
    <row r="770" spans="1:10" x14ac:dyDescent="0.25">
      <c r="A770" s="1" t="str">
        <f ca="1">IF(A769="ID",1,IF(ISBLANK(B770),"",MAX(A$2:A769)+1))</f>
        <v/>
      </c>
      <c r="I770" s="2" t="str">
        <f ca="1">IF(ISNUMBER(A770),
IF(COUNTIFS(Equipar!B:B,1,Equipar!AC:AC,A770),"Equipada",
IF(
OR(COUNTIFS(Equipar!B:B,1,Equipar!C:C,A770)
 +COUNTIFS(Equipar!B:B,1,Equipar!D:D,A770)
+COUNTIFS(Equipar!B:B,1,Equipar!E:E,A770)
+COUNTIFS(Equipar!B:B,1,Equipar!F:F,A770)
&gt;0,COUNTIF('Set recomendado'!B:B,C770)=0),
"Bloqueada",
"Desechable")),""
)</f>
        <v/>
      </c>
      <c r="J770" t="str" cm="1">
        <f t="array" aca="1" ref="J770" ca="1">IF(ISNUMBER(A770),IFERROR(_xlfn._xlws.FILTER(Equipar!A:A,(Equipar!B:B=1)*(Equipar!AC:AC=A770)),""),"")</f>
        <v/>
      </c>
    </row>
    <row r="771" spans="1:10" x14ac:dyDescent="0.25">
      <c r="A771" s="1" t="str">
        <f ca="1">IF(A770="ID",1,IF(ISBLANK(B771),"",MAX(A$2:A770)+1))</f>
        <v/>
      </c>
      <c r="I771" s="2" t="str">
        <f ca="1">IF(ISNUMBER(A771),
IF(COUNTIFS(Equipar!B:B,1,Equipar!AC:AC,A771),"Equipada",
IF(
OR(COUNTIFS(Equipar!B:B,1,Equipar!C:C,A771)
 +COUNTIFS(Equipar!B:B,1,Equipar!D:D,A771)
+COUNTIFS(Equipar!B:B,1,Equipar!E:E,A771)
+COUNTIFS(Equipar!B:B,1,Equipar!F:F,A771)
&gt;0,COUNTIF('Set recomendado'!B:B,C771)=0),
"Bloqueada",
"Desechable")),""
)</f>
        <v/>
      </c>
      <c r="J771" t="str" cm="1">
        <f t="array" aca="1" ref="J771" ca="1">IF(ISNUMBER(A771),IFERROR(_xlfn._xlws.FILTER(Equipar!A:A,(Equipar!B:B=1)*(Equipar!AC:AC=A771)),""),"")</f>
        <v/>
      </c>
    </row>
    <row r="772" spans="1:10" x14ac:dyDescent="0.25">
      <c r="A772" s="1" t="str">
        <f ca="1">IF(A771="ID",1,IF(ISBLANK(B772),"",MAX(A$2:A771)+1))</f>
        <v/>
      </c>
      <c r="I772" s="2" t="str">
        <f ca="1">IF(ISNUMBER(A772),
IF(COUNTIFS(Equipar!B:B,1,Equipar!AC:AC,A772),"Equipada",
IF(
OR(COUNTIFS(Equipar!B:B,1,Equipar!C:C,A772)
 +COUNTIFS(Equipar!B:B,1,Equipar!D:D,A772)
+COUNTIFS(Equipar!B:B,1,Equipar!E:E,A772)
+COUNTIFS(Equipar!B:B,1,Equipar!F:F,A772)
&gt;0,COUNTIF('Set recomendado'!B:B,C772)=0),
"Bloqueada",
"Desechable")),""
)</f>
        <v/>
      </c>
      <c r="J772" t="str" cm="1">
        <f t="array" aca="1" ref="J772" ca="1">IF(ISNUMBER(A772),IFERROR(_xlfn._xlws.FILTER(Equipar!A:A,(Equipar!B:B=1)*(Equipar!AC:AC=A772)),""),"")</f>
        <v/>
      </c>
    </row>
    <row r="773" spans="1:10" x14ac:dyDescent="0.25">
      <c r="A773" s="1" t="str">
        <f ca="1">IF(A772="ID",1,IF(ISBLANK(B773),"",MAX(A$2:A772)+1))</f>
        <v/>
      </c>
      <c r="I773" s="2" t="str">
        <f ca="1">IF(ISNUMBER(A773),
IF(COUNTIFS(Equipar!B:B,1,Equipar!AC:AC,A773),"Equipada",
IF(
OR(COUNTIFS(Equipar!B:B,1,Equipar!C:C,A773)
 +COUNTIFS(Equipar!B:B,1,Equipar!D:D,A773)
+COUNTIFS(Equipar!B:B,1,Equipar!E:E,A773)
+COUNTIFS(Equipar!B:B,1,Equipar!F:F,A773)
&gt;0,COUNTIF('Set recomendado'!B:B,C773)=0),
"Bloqueada",
"Desechable")),""
)</f>
        <v/>
      </c>
      <c r="J773" t="str" cm="1">
        <f t="array" aca="1" ref="J773" ca="1">IF(ISNUMBER(A773),IFERROR(_xlfn._xlws.FILTER(Equipar!A:A,(Equipar!B:B=1)*(Equipar!AC:AC=A773)),""),"")</f>
        <v/>
      </c>
    </row>
    <row r="774" spans="1:10" x14ac:dyDescent="0.25">
      <c r="A774" s="1" t="str">
        <f ca="1">IF(A773="ID",1,IF(ISBLANK(B774),"",MAX(A$2:A773)+1))</f>
        <v/>
      </c>
      <c r="I774" s="2" t="str">
        <f ca="1">IF(ISNUMBER(A774),
IF(COUNTIFS(Equipar!B:B,1,Equipar!AC:AC,A774),"Equipada",
IF(
OR(COUNTIFS(Equipar!B:B,1,Equipar!C:C,A774)
 +COUNTIFS(Equipar!B:B,1,Equipar!D:D,A774)
+COUNTIFS(Equipar!B:B,1,Equipar!E:E,A774)
+COUNTIFS(Equipar!B:B,1,Equipar!F:F,A774)
&gt;0,COUNTIF('Set recomendado'!B:B,C774)=0),
"Bloqueada",
"Desechable")),""
)</f>
        <v/>
      </c>
      <c r="J774" t="str" cm="1">
        <f t="array" aca="1" ref="J774" ca="1">IF(ISNUMBER(A774),IFERROR(_xlfn._xlws.FILTER(Equipar!A:A,(Equipar!B:B=1)*(Equipar!AC:AC=A774)),""),"")</f>
        <v/>
      </c>
    </row>
    <row r="775" spans="1:10" x14ac:dyDescent="0.25">
      <c r="A775" s="1" t="str">
        <f ca="1">IF(A774="ID",1,IF(ISBLANK(B775),"",MAX(A$2:A774)+1))</f>
        <v/>
      </c>
      <c r="I775" s="2" t="str">
        <f ca="1">IF(ISNUMBER(A775),
IF(COUNTIFS(Equipar!B:B,1,Equipar!AC:AC,A775),"Equipada",
IF(
OR(COUNTIFS(Equipar!B:B,1,Equipar!C:C,A775)
 +COUNTIFS(Equipar!B:B,1,Equipar!D:D,A775)
+COUNTIFS(Equipar!B:B,1,Equipar!E:E,A775)
+COUNTIFS(Equipar!B:B,1,Equipar!F:F,A775)
&gt;0,COUNTIF('Set recomendado'!B:B,C775)=0),
"Bloqueada",
"Desechable")),""
)</f>
        <v/>
      </c>
      <c r="J775" t="str" cm="1">
        <f t="array" aca="1" ref="J775" ca="1">IF(ISNUMBER(A775),IFERROR(_xlfn._xlws.FILTER(Equipar!A:A,(Equipar!B:B=1)*(Equipar!AC:AC=A775)),""),"")</f>
        <v/>
      </c>
    </row>
    <row r="776" spans="1:10" x14ac:dyDescent="0.25">
      <c r="A776" s="1" t="str">
        <f ca="1">IF(A775="ID",1,IF(ISBLANK(B776),"",MAX(A$2:A775)+1))</f>
        <v/>
      </c>
      <c r="I776" s="2" t="str">
        <f ca="1">IF(ISNUMBER(A776),
IF(COUNTIFS(Equipar!B:B,1,Equipar!AC:AC,A776),"Equipada",
IF(
OR(COUNTIFS(Equipar!B:B,1,Equipar!C:C,A776)
 +COUNTIFS(Equipar!B:B,1,Equipar!D:D,A776)
+COUNTIFS(Equipar!B:B,1,Equipar!E:E,A776)
+COUNTIFS(Equipar!B:B,1,Equipar!F:F,A776)
&gt;0,COUNTIF('Set recomendado'!B:B,C776)=0),
"Bloqueada",
"Desechable")),""
)</f>
        <v/>
      </c>
      <c r="J776" t="str" cm="1">
        <f t="array" aca="1" ref="J776" ca="1">IF(ISNUMBER(A776),IFERROR(_xlfn._xlws.FILTER(Equipar!A:A,(Equipar!B:B=1)*(Equipar!AC:AC=A776)),""),"")</f>
        <v/>
      </c>
    </row>
    <row r="777" spans="1:10" x14ac:dyDescent="0.25">
      <c r="A777" s="1" t="str">
        <f ca="1">IF(A776="ID",1,IF(ISBLANK(B777),"",MAX(A$2:A776)+1))</f>
        <v/>
      </c>
      <c r="I777" s="2" t="str">
        <f ca="1">IF(ISNUMBER(A777),
IF(COUNTIFS(Equipar!B:B,1,Equipar!AC:AC,A777),"Equipada",
IF(
OR(COUNTIFS(Equipar!B:B,1,Equipar!C:C,A777)
 +COUNTIFS(Equipar!B:B,1,Equipar!D:D,A777)
+COUNTIFS(Equipar!B:B,1,Equipar!E:E,A777)
+COUNTIFS(Equipar!B:B,1,Equipar!F:F,A777)
&gt;0,COUNTIF('Set recomendado'!B:B,C777)=0),
"Bloqueada",
"Desechable")),""
)</f>
        <v/>
      </c>
      <c r="J777" t="str" cm="1">
        <f t="array" aca="1" ref="J777" ca="1">IF(ISNUMBER(A777),IFERROR(_xlfn._xlws.FILTER(Equipar!A:A,(Equipar!B:B=1)*(Equipar!AC:AC=A777)),""),"")</f>
        <v/>
      </c>
    </row>
    <row r="778" spans="1:10" x14ac:dyDescent="0.25">
      <c r="A778" s="1" t="str">
        <f ca="1">IF(A777="ID",1,IF(ISBLANK(B778),"",MAX(A$2:A777)+1))</f>
        <v/>
      </c>
      <c r="I778" s="2" t="str">
        <f ca="1">IF(ISNUMBER(A778),
IF(COUNTIFS(Equipar!B:B,1,Equipar!AC:AC,A778),"Equipada",
IF(
OR(COUNTIFS(Equipar!B:B,1,Equipar!C:C,A778)
 +COUNTIFS(Equipar!B:B,1,Equipar!D:D,A778)
+COUNTIFS(Equipar!B:B,1,Equipar!E:E,A778)
+COUNTIFS(Equipar!B:B,1,Equipar!F:F,A778)
&gt;0,COUNTIF('Set recomendado'!B:B,C778)=0),
"Bloqueada",
"Desechable")),""
)</f>
        <v/>
      </c>
      <c r="J778" t="str" cm="1">
        <f t="array" aca="1" ref="J778" ca="1">IF(ISNUMBER(A778),IFERROR(_xlfn._xlws.FILTER(Equipar!A:A,(Equipar!B:B=1)*(Equipar!AC:AC=A778)),""),"")</f>
        <v/>
      </c>
    </row>
    <row r="779" spans="1:10" x14ac:dyDescent="0.25">
      <c r="A779" s="1" t="str">
        <f ca="1">IF(A778="ID",1,IF(ISBLANK(B779),"",MAX(A$2:A778)+1))</f>
        <v/>
      </c>
      <c r="I779" s="2" t="str">
        <f ca="1">IF(ISNUMBER(A779),
IF(COUNTIFS(Equipar!B:B,1,Equipar!AC:AC,A779),"Equipada",
IF(
OR(COUNTIFS(Equipar!B:B,1,Equipar!C:C,A779)
 +COUNTIFS(Equipar!B:B,1,Equipar!D:D,A779)
+COUNTIFS(Equipar!B:B,1,Equipar!E:E,A779)
+COUNTIFS(Equipar!B:B,1,Equipar!F:F,A779)
&gt;0,COUNTIF('Set recomendado'!B:B,C779)=0),
"Bloqueada",
"Desechable")),""
)</f>
        <v/>
      </c>
      <c r="J779" t="str" cm="1">
        <f t="array" aca="1" ref="J779" ca="1">IF(ISNUMBER(A779),IFERROR(_xlfn._xlws.FILTER(Equipar!A:A,(Equipar!B:B=1)*(Equipar!AC:AC=A779)),""),"")</f>
        <v/>
      </c>
    </row>
    <row r="780" spans="1:10" x14ac:dyDescent="0.25">
      <c r="A780" s="1" t="str">
        <f ca="1">IF(A779="ID",1,IF(ISBLANK(B780),"",MAX(A$2:A779)+1))</f>
        <v/>
      </c>
      <c r="I780" s="2" t="str">
        <f ca="1">IF(ISNUMBER(A780),
IF(COUNTIFS(Equipar!B:B,1,Equipar!AC:AC,A780),"Equipada",
IF(
OR(COUNTIFS(Equipar!B:B,1,Equipar!C:C,A780)
 +COUNTIFS(Equipar!B:B,1,Equipar!D:D,A780)
+COUNTIFS(Equipar!B:B,1,Equipar!E:E,A780)
+COUNTIFS(Equipar!B:B,1,Equipar!F:F,A780)
&gt;0,COUNTIF('Set recomendado'!B:B,C780)=0),
"Bloqueada",
"Desechable")),""
)</f>
        <v/>
      </c>
      <c r="J780" t="str" cm="1">
        <f t="array" aca="1" ref="J780" ca="1">IF(ISNUMBER(A780),IFERROR(_xlfn._xlws.FILTER(Equipar!A:A,(Equipar!B:B=1)*(Equipar!AC:AC=A780)),""),"")</f>
        <v/>
      </c>
    </row>
    <row r="781" spans="1:10" x14ac:dyDescent="0.25">
      <c r="A781" s="1" t="str">
        <f ca="1">IF(A780="ID",1,IF(ISBLANK(B781),"",MAX(A$2:A780)+1))</f>
        <v/>
      </c>
      <c r="I781" s="2" t="str">
        <f ca="1">IF(ISNUMBER(A781),
IF(COUNTIFS(Equipar!B:B,1,Equipar!AC:AC,A781),"Equipada",
IF(
OR(COUNTIFS(Equipar!B:B,1,Equipar!C:C,A781)
 +COUNTIFS(Equipar!B:B,1,Equipar!D:D,A781)
+COUNTIFS(Equipar!B:B,1,Equipar!E:E,A781)
+COUNTIFS(Equipar!B:B,1,Equipar!F:F,A781)
&gt;0,COUNTIF('Set recomendado'!B:B,C781)=0),
"Bloqueada",
"Desechable")),""
)</f>
        <v/>
      </c>
      <c r="J781" t="str" cm="1">
        <f t="array" aca="1" ref="J781" ca="1">IF(ISNUMBER(A781),IFERROR(_xlfn._xlws.FILTER(Equipar!A:A,(Equipar!B:B=1)*(Equipar!AC:AC=A781)),""),"")</f>
        <v/>
      </c>
    </row>
    <row r="782" spans="1:10" x14ac:dyDescent="0.25">
      <c r="A782" s="1" t="str">
        <f ca="1">IF(A781="ID",1,IF(ISBLANK(B782),"",MAX(A$2:A781)+1))</f>
        <v/>
      </c>
      <c r="I782" s="2" t="str">
        <f ca="1">IF(ISNUMBER(A782),
IF(COUNTIFS(Equipar!B:B,1,Equipar!AC:AC,A782),"Equipada",
IF(
OR(COUNTIFS(Equipar!B:B,1,Equipar!C:C,A782)
 +COUNTIFS(Equipar!B:B,1,Equipar!D:D,A782)
+COUNTIFS(Equipar!B:B,1,Equipar!E:E,A782)
+COUNTIFS(Equipar!B:B,1,Equipar!F:F,A782)
&gt;0,COUNTIF('Set recomendado'!B:B,C782)=0),
"Bloqueada",
"Desechable")),""
)</f>
        <v/>
      </c>
      <c r="J782" t="str" cm="1">
        <f t="array" aca="1" ref="J782" ca="1">IF(ISNUMBER(A782),IFERROR(_xlfn._xlws.FILTER(Equipar!A:A,(Equipar!B:B=1)*(Equipar!AC:AC=A782)),""),"")</f>
        <v/>
      </c>
    </row>
    <row r="783" spans="1:10" x14ac:dyDescent="0.25">
      <c r="A783" s="1" t="str">
        <f ca="1">IF(A782="ID",1,IF(ISBLANK(B783),"",MAX(A$2:A782)+1))</f>
        <v/>
      </c>
      <c r="I783" s="2" t="str">
        <f ca="1">IF(ISNUMBER(A783),
IF(COUNTIFS(Equipar!B:B,1,Equipar!AC:AC,A783),"Equipada",
IF(
OR(COUNTIFS(Equipar!B:B,1,Equipar!C:C,A783)
 +COUNTIFS(Equipar!B:B,1,Equipar!D:D,A783)
+COUNTIFS(Equipar!B:B,1,Equipar!E:E,A783)
+COUNTIFS(Equipar!B:B,1,Equipar!F:F,A783)
&gt;0,COUNTIF('Set recomendado'!B:B,C783)=0),
"Bloqueada",
"Desechable")),""
)</f>
        <v/>
      </c>
      <c r="J783" t="str" cm="1">
        <f t="array" aca="1" ref="J783" ca="1">IF(ISNUMBER(A783),IFERROR(_xlfn._xlws.FILTER(Equipar!A:A,(Equipar!B:B=1)*(Equipar!AC:AC=A783)),""),"")</f>
        <v/>
      </c>
    </row>
    <row r="784" spans="1:10" x14ac:dyDescent="0.25">
      <c r="A784" s="1" t="str">
        <f ca="1">IF(A783="ID",1,IF(ISBLANK(B784),"",MAX(A$2:A783)+1))</f>
        <v/>
      </c>
      <c r="I784" s="2" t="str">
        <f ca="1">IF(ISNUMBER(A784),
IF(COUNTIFS(Equipar!B:B,1,Equipar!AC:AC,A784),"Equipada",
IF(
OR(COUNTIFS(Equipar!B:B,1,Equipar!C:C,A784)
 +COUNTIFS(Equipar!B:B,1,Equipar!D:D,A784)
+COUNTIFS(Equipar!B:B,1,Equipar!E:E,A784)
+COUNTIFS(Equipar!B:B,1,Equipar!F:F,A784)
&gt;0,COUNTIF('Set recomendado'!B:B,C784)=0),
"Bloqueada",
"Desechable")),""
)</f>
        <v/>
      </c>
      <c r="J784" t="str" cm="1">
        <f t="array" aca="1" ref="J784" ca="1">IF(ISNUMBER(A784),IFERROR(_xlfn._xlws.FILTER(Equipar!A:A,(Equipar!B:B=1)*(Equipar!AC:AC=A784)),""),"")</f>
        <v/>
      </c>
    </row>
    <row r="785" spans="1:10" x14ac:dyDescent="0.25">
      <c r="A785" s="1" t="str">
        <f ca="1">IF(A784="ID",1,IF(ISBLANK(B785),"",MAX(A$2:A784)+1))</f>
        <v/>
      </c>
      <c r="I785" s="2" t="str">
        <f ca="1">IF(ISNUMBER(A785),
IF(COUNTIFS(Equipar!B:B,1,Equipar!AC:AC,A785),"Equipada",
IF(
OR(COUNTIFS(Equipar!B:B,1,Equipar!C:C,A785)
 +COUNTIFS(Equipar!B:B,1,Equipar!D:D,A785)
+COUNTIFS(Equipar!B:B,1,Equipar!E:E,A785)
+COUNTIFS(Equipar!B:B,1,Equipar!F:F,A785)
&gt;0,COUNTIF('Set recomendado'!B:B,C785)=0),
"Bloqueada",
"Desechable")),""
)</f>
        <v/>
      </c>
      <c r="J785" t="str" cm="1">
        <f t="array" aca="1" ref="J785" ca="1">IF(ISNUMBER(A785),IFERROR(_xlfn._xlws.FILTER(Equipar!A:A,(Equipar!B:B=1)*(Equipar!AC:AC=A785)),""),"")</f>
        <v/>
      </c>
    </row>
    <row r="786" spans="1:10" x14ac:dyDescent="0.25">
      <c r="A786" s="1" t="str">
        <f ca="1">IF(A785="ID",1,IF(ISBLANK(B786),"",MAX(A$2:A785)+1))</f>
        <v/>
      </c>
      <c r="I786" s="2" t="str">
        <f ca="1">IF(ISNUMBER(A786),
IF(COUNTIFS(Equipar!B:B,1,Equipar!AC:AC,A786),"Equipada",
IF(
OR(COUNTIFS(Equipar!B:B,1,Equipar!C:C,A786)
 +COUNTIFS(Equipar!B:B,1,Equipar!D:D,A786)
+COUNTIFS(Equipar!B:B,1,Equipar!E:E,A786)
+COUNTIFS(Equipar!B:B,1,Equipar!F:F,A786)
&gt;0,COUNTIF('Set recomendado'!B:B,C786)=0),
"Bloqueada",
"Desechable")),""
)</f>
        <v/>
      </c>
      <c r="J786" t="str" cm="1">
        <f t="array" aca="1" ref="J786" ca="1">IF(ISNUMBER(A786),IFERROR(_xlfn._xlws.FILTER(Equipar!A:A,(Equipar!B:B=1)*(Equipar!AC:AC=A786)),""),"")</f>
        <v/>
      </c>
    </row>
    <row r="787" spans="1:10" x14ac:dyDescent="0.25">
      <c r="A787" s="1" t="str">
        <f ca="1">IF(A786="ID",1,IF(ISBLANK(B787),"",MAX(A$2:A786)+1))</f>
        <v/>
      </c>
      <c r="I787" s="2" t="str">
        <f ca="1">IF(ISNUMBER(A787),
IF(COUNTIFS(Equipar!B:B,1,Equipar!AC:AC,A787),"Equipada",
IF(
OR(COUNTIFS(Equipar!B:B,1,Equipar!C:C,A787)
 +COUNTIFS(Equipar!B:B,1,Equipar!D:D,A787)
+COUNTIFS(Equipar!B:B,1,Equipar!E:E,A787)
+COUNTIFS(Equipar!B:B,1,Equipar!F:F,A787)
&gt;0,COUNTIF('Set recomendado'!B:B,C787)=0),
"Bloqueada",
"Desechable")),""
)</f>
        <v/>
      </c>
      <c r="J787" t="str" cm="1">
        <f t="array" aca="1" ref="J787" ca="1">IF(ISNUMBER(A787),IFERROR(_xlfn._xlws.FILTER(Equipar!A:A,(Equipar!B:B=1)*(Equipar!AC:AC=A787)),""),"")</f>
        <v/>
      </c>
    </row>
    <row r="788" spans="1:10" x14ac:dyDescent="0.25">
      <c r="A788" s="1" t="str">
        <f ca="1">IF(A787="ID",1,IF(ISBLANK(B788),"",MAX(A$2:A787)+1))</f>
        <v/>
      </c>
      <c r="I788" s="2" t="str">
        <f ca="1">IF(ISNUMBER(A788),
IF(COUNTIFS(Equipar!B:B,1,Equipar!AC:AC,A788),"Equipada",
IF(
OR(COUNTIFS(Equipar!B:B,1,Equipar!C:C,A788)
 +COUNTIFS(Equipar!B:B,1,Equipar!D:D,A788)
+COUNTIFS(Equipar!B:B,1,Equipar!E:E,A788)
+COUNTIFS(Equipar!B:B,1,Equipar!F:F,A788)
&gt;0,COUNTIF('Set recomendado'!B:B,C788)=0),
"Bloqueada",
"Desechable")),""
)</f>
        <v/>
      </c>
      <c r="J788" t="str" cm="1">
        <f t="array" aca="1" ref="J788" ca="1">IF(ISNUMBER(A788),IFERROR(_xlfn._xlws.FILTER(Equipar!A:A,(Equipar!B:B=1)*(Equipar!AC:AC=A788)),""),"")</f>
        <v/>
      </c>
    </row>
    <row r="789" spans="1:10" x14ac:dyDescent="0.25">
      <c r="A789" s="1" t="str">
        <f ca="1">IF(A788="ID",1,IF(ISBLANK(B789),"",MAX(A$2:A788)+1))</f>
        <v/>
      </c>
      <c r="I789" s="2" t="str">
        <f ca="1">IF(ISNUMBER(A789),
IF(COUNTIFS(Equipar!B:B,1,Equipar!AC:AC,A789),"Equipada",
IF(
OR(COUNTIFS(Equipar!B:B,1,Equipar!C:C,A789)
 +COUNTIFS(Equipar!B:B,1,Equipar!D:D,A789)
+COUNTIFS(Equipar!B:B,1,Equipar!E:E,A789)
+COUNTIFS(Equipar!B:B,1,Equipar!F:F,A789)
&gt;0,COUNTIF('Set recomendado'!B:B,C789)=0),
"Bloqueada",
"Desechable")),""
)</f>
        <v/>
      </c>
      <c r="J789" t="str" cm="1">
        <f t="array" aca="1" ref="J789" ca="1">IF(ISNUMBER(A789),IFERROR(_xlfn._xlws.FILTER(Equipar!A:A,(Equipar!B:B=1)*(Equipar!AC:AC=A789)),""),"")</f>
        <v/>
      </c>
    </row>
    <row r="790" spans="1:10" x14ac:dyDescent="0.25">
      <c r="A790" s="1" t="str">
        <f ca="1">IF(A789="ID",1,IF(ISBLANK(B790),"",MAX(A$2:A789)+1))</f>
        <v/>
      </c>
      <c r="I790" s="2" t="str">
        <f ca="1">IF(ISNUMBER(A790),
IF(COUNTIFS(Equipar!B:B,1,Equipar!AC:AC,A790),"Equipada",
IF(
OR(COUNTIFS(Equipar!B:B,1,Equipar!C:C,A790)
 +COUNTIFS(Equipar!B:B,1,Equipar!D:D,A790)
+COUNTIFS(Equipar!B:B,1,Equipar!E:E,A790)
+COUNTIFS(Equipar!B:B,1,Equipar!F:F,A790)
&gt;0,COUNTIF('Set recomendado'!B:B,C790)=0),
"Bloqueada",
"Desechable")),""
)</f>
        <v/>
      </c>
      <c r="J790" t="str" cm="1">
        <f t="array" aca="1" ref="J790" ca="1">IF(ISNUMBER(A790),IFERROR(_xlfn._xlws.FILTER(Equipar!A:A,(Equipar!B:B=1)*(Equipar!AC:AC=A790)),""),"")</f>
        <v/>
      </c>
    </row>
    <row r="791" spans="1:10" x14ac:dyDescent="0.25">
      <c r="A791" s="1" t="str">
        <f ca="1">IF(A790="ID",1,IF(ISBLANK(B791),"",MAX(A$2:A790)+1))</f>
        <v/>
      </c>
      <c r="I791" s="2" t="str">
        <f ca="1">IF(ISNUMBER(A791),
IF(COUNTIFS(Equipar!B:B,1,Equipar!AC:AC,A791),"Equipada",
IF(
OR(COUNTIFS(Equipar!B:B,1,Equipar!C:C,A791)
 +COUNTIFS(Equipar!B:B,1,Equipar!D:D,A791)
+COUNTIFS(Equipar!B:B,1,Equipar!E:E,A791)
+COUNTIFS(Equipar!B:B,1,Equipar!F:F,A791)
&gt;0,COUNTIF('Set recomendado'!B:B,C791)=0),
"Bloqueada",
"Desechable")),""
)</f>
        <v/>
      </c>
      <c r="J791" t="str" cm="1">
        <f t="array" aca="1" ref="J791" ca="1">IF(ISNUMBER(A791),IFERROR(_xlfn._xlws.FILTER(Equipar!A:A,(Equipar!B:B=1)*(Equipar!AC:AC=A791)),""),"")</f>
        <v/>
      </c>
    </row>
    <row r="792" spans="1:10" x14ac:dyDescent="0.25">
      <c r="A792" s="1" t="str">
        <f ca="1">IF(A791="ID",1,IF(ISBLANK(B792),"",MAX(A$2:A791)+1))</f>
        <v/>
      </c>
      <c r="I792" s="2" t="str">
        <f ca="1">IF(ISNUMBER(A792),
IF(COUNTIFS(Equipar!B:B,1,Equipar!AC:AC,A792),"Equipada",
IF(
OR(COUNTIFS(Equipar!B:B,1,Equipar!C:C,A792)
 +COUNTIFS(Equipar!B:B,1,Equipar!D:D,A792)
+COUNTIFS(Equipar!B:B,1,Equipar!E:E,A792)
+COUNTIFS(Equipar!B:B,1,Equipar!F:F,A792)
&gt;0,COUNTIF('Set recomendado'!B:B,C792)=0),
"Bloqueada",
"Desechable")),""
)</f>
        <v/>
      </c>
      <c r="J792" t="str" cm="1">
        <f t="array" aca="1" ref="J792" ca="1">IF(ISNUMBER(A792),IFERROR(_xlfn._xlws.FILTER(Equipar!A:A,(Equipar!B:B=1)*(Equipar!AC:AC=A792)),""),"")</f>
        <v/>
      </c>
    </row>
    <row r="793" spans="1:10" x14ac:dyDescent="0.25">
      <c r="A793" s="1" t="str">
        <f ca="1">IF(A792="ID",1,IF(ISBLANK(B793),"",MAX(A$2:A792)+1))</f>
        <v/>
      </c>
      <c r="I793" s="2" t="str">
        <f ca="1">IF(ISNUMBER(A793),
IF(COUNTIFS(Equipar!B:B,1,Equipar!AC:AC,A793),"Equipada",
IF(
OR(COUNTIFS(Equipar!B:B,1,Equipar!C:C,A793)
 +COUNTIFS(Equipar!B:B,1,Equipar!D:D,A793)
+COUNTIFS(Equipar!B:B,1,Equipar!E:E,A793)
+COUNTIFS(Equipar!B:B,1,Equipar!F:F,A793)
&gt;0,COUNTIF('Set recomendado'!B:B,C793)=0),
"Bloqueada",
"Desechable")),""
)</f>
        <v/>
      </c>
      <c r="J793" t="str" cm="1">
        <f t="array" aca="1" ref="J793" ca="1">IF(ISNUMBER(A793),IFERROR(_xlfn._xlws.FILTER(Equipar!A:A,(Equipar!B:B=1)*(Equipar!AC:AC=A793)),""),"")</f>
        <v/>
      </c>
    </row>
    <row r="794" spans="1:10" x14ac:dyDescent="0.25">
      <c r="A794" s="1" t="str">
        <f ca="1">IF(A793="ID",1,IF(ISBLANK(B794),"",MAX(A$2:A793)+1))</f>
        <v/>
      </c>
      <c r="I794" s="2" t="str">
        <f ca="1">IF(ISNUMBER(A794),
IF(COUNTIFS(Equipar!B:B,1,Equipar!AC:AC,A794),"Equipada",
IF(
OR(COUNTIFS(Equipar!B:B,1,Equipar!C:C,A794)
 +COUNTIFS(Equipar!B:B,1,Equipar!D:D,A794)
+COUNTIFS(Equipar!B:B,1,Equipar!E:E,A794)
+COUNTIFS(Equipar!B:B,1,Equipar!F:F,A794)
&gt;0,COUNTIF('Set recomendado'!B:B,C794)=0),
"Bloqueada",
"Desechable")),""
)</f>
        <v/>
      </c>
      <c r="J794" t="str" cm="1">
        <f t="array" aca="1" ref="J794" ca="1">IF(ISNUMBER(A794),IFERROR(_xlfn._xlws.FILTER(Equipar!A:A,(Equipar!B:B=1)*(Equipar!AC:AC=A794)),""),"")</f>
        <v/>
      </c>
    </row>
    <row r="795" spans="1:10" x14ac:dyDescent="0.25">
      <c r="A795" s="1" t="str">
        <f ca="1">IF(A794="ID",1,IF(ISBLANK(B795),"",MAX(A$2:A794)+1))</f>
        <v/>
      </c>
      <c r="I795" s="2" t="str">
        <f ca="1">IF(ISNUMBER(A795),
IF(COUNTIFS(Equipar!B:B,1,Equipar!AC:AC,A795),"Equipada",
IF(
OR(COUNTIFS(Equipar!B:B,1,Equipar!C:C,A795)
 +COUNTIFS(Equipar!B:B,1,Equipar!D:D,A795)
+COUNTIFS(Equipar!B:B,1,Equipar!E:E,A795)
+COUNTIFS(Equipar!B:B,1,Equipar!F:F,A795)
&gt;0,COUNTIF('Set recomendado'!B:B,C795)=0),
"Bloqueada",
"Desechable")),""
)</f>
        <v/>
      </c>
      <c r="J795" t="str" cm="1">
        <f t="array" aca="1" ref="J795" ca="1">IF(ISNUMBER(A795),IFERROR(_xlfn._xlws.FILTER(Equipar!A:A,(Equipar!B:B=1)*(Equipar!AC:AC=A795)),""),"")</f>
        <v/>
      </c>
    </row>
    <row r="796" spans="1:10" x14ac:dyDescent="0.25">
      <c r="A796" s="1" t="str">
        <f ca="1">IF(A795="ID",1,IF(ISBLANK(B796),"",MAX(A$2:A795)+1))</f>
        <v/>
      </c>
      <c r="I796" s="2" t="str">
        <f ca="1">IF(ISNUMBER(A796),
IF(COUNTIFS(Equipar!B:B,1,Equipar!AC:AC,A796),"Equipada",
IF(
OR(COUNTIFS(Equipar!B:B,1,Equipar!C:C,A796)
 +COUNTIFS(Equipar!B:B,1,Equipar!D:D,A796)
+COUNTIFS(Equipar!B:B,1,Equipar!E:E,A796)
+COUNTIFS(Equipar!B:B,1,Equipar!F:F,A796)
&gt;0,COUNTIF('Set recomendado'!B:B,C796)=0),
"Bloqueada",
"Desechable")),""
)</f>
        <v/>
      </c>
      <c r="J796" t="str" cm="1">
        <f t="array" aca="1" ref="J796" ca="1">IF(ISNUMBER(A796),IFERROR(_xlfn._xlws.FILTER(Equipar!A:A,(Equipar!B:B=1)*(Equipar!AC:AC=A796)),""),"")</f>
        <v/>
      </c>
    </row>
    <row r="797" spans="1:10" x14ac:dyDescent="0.25">
      <c r="A797" s="1" t="str">
        <f ca="1">IF(A796="ID",1,IF(ISBLANK(B797),"",MAX(A$2:A796)+1))</f>
        <v/>
      </c>
      <c r="I797" s="2" t="str">
        <f ca="1">IF(ISNUMBER(A797),
IF(COUNTIFS(Equipar!B:B,1,Equipar!AC:AC,A797),"Equipada",
IF(
OR(COUNTIFS(Equipar!B:B,1,Equipar!C:C,A797)
 +COUNTIFS(Equipar!B:B,1,Equipar!D:D,A797)
+COUNTIFS(Equipar!B:B,1,Equipar!E:E,A797)
+COUNTIFS(Equipar!B:B,1,Equipar!F:F,A797)
&gt;0,COUNTIF('Set recomendado'!B:B,C797)=0),
"Bloqueada",
"Desechable")),""
)</f>
        <v/>
      </c>
      <c r="J797" t="str" cm="1">
        <f t="array" aca="1" ref="J797" ca="1">IF(ISNUMBER(A797),IFERROR(_xlfn._xlws.FILTER(Equipar!A:A,(Equipar!B:B=1)*(Equipar!AC:AC=A797)),""),"")</f>
        <v/>
      </c>
    </row>
    <row r="798" spans="1:10" x14ac:dyDescent="0.25">
      <c r="A798" s="1" t="str">
        <f ca="1">IF(A797="ID",1,IF(ISBLANK(B798),"",MAX(A$2:A797)+1))</f>
        <v/>
      </c>
      <c r="I798" s="2" t="str">
        <f ca="1">IF(ISNUMBER(A798),
IF(COUNTIFS(Equipar!B:B,1,Equipar!AC:AC,A798),"Equipada",
IF(
OR(COUNTIFS(Equipar!B:B,1,Equipar!C:C,A798)
 +COUNTIFS(Equipar!B:B,1,Equipar!D:D,A798)
+COUNTIFS(Equipar!B:B,1,Equipar!E:E,A798)
+COUNTIFS(Equipar!B:B,1,Equipar!F:F,A798)
&gt;0,COUNTIF('Set recomendado'!B:B,C798)=0),
"Bloqueada",
"Desechable")),""
)</f>
        <v/>
      </c>
      <c r="J798" t="str" cm="1">
        <f t="array" aca="1" ref="J798" ca="1">IF(ISNUMBER(A798),IFERROR(_xlfn._xlws.FILTER(Equipar!A:A,(Equipar!B:B=1)*(Equipar!AC:AC=A798)),""),"")</f>
        <v/>
      </c>
    </row>
    <row r="799" spans="1:10" x14ac:dyDescent="0.25">
      <c r="A799" s="1" t="str">
        <f ca="1">IF(A798="ID",1,IF(ISBLANK(B799),"",MAX(A$2:A798)+1))</f>
        <v/>
      </c>
      <c r="I799" s="2" t="str">
        <f ca="1">IF(ISNUMBER(A799),
IF(COUNTIFS(Equipar!B:B,1,Equipar!AC:AC,A799),"Equipada",
IF(
OR(COUNTIFS(Equipar!B:B,1,Equipar!C:C,A799)
 +COUNTIFS(Equipar!B:B,1,Equipar!D:D,A799)
+COUNTIFS(Equipar!B:B,1,Equipar!E:E,A799)
+COUNTIFS(Equipar!B:B,1,Equipar!F:F,A799)
&gt;0,COUNTIF('Set recomendado'!B:B,C799)=0),
"Bloqueada",
"Desechable")),""
)</f>
        <v/>
      </c>
      <c r="J799" t="str" cm="1">
        <f t="array" aca="1" ref="J799" ca="1">IF(ISNUMBER(A799),IFERROR(_xlfn._xlws.FILTER(Equipar!A:A,(Equipar!B:B=1)*(Equipar!AC:AC=A799)),""),"")</f>
        <v/>
      </c>
    </row>
    <row r="800" spans="1:10" x14ac:dyDescent="0.25">
      <c r="A800" s="1" t="str">
        <f ca="1">IF(A799="ID",1,IF(ISBLANK(B800),"",MAX(A$2:A799)+1))</f>
        <v/>
      </c>
      <c r="I800" s="2" t="str">
        <f ca="1">IF(ISNUMBER(A800),
IF(COUNTIFS(Equipar!B:B,1,Equipar!AC:AC,A800),"Equipada",
IF(
OR(COUNTIFS(Equipar!B:B,1,Equipar!C:C,A800)
 +COUNTIFS(Equipar!B:B,1,Equipar!D:D,A800)
+COUNTIFS(Equipar!B:B,1,Equipar!E:E,A800)
+COUNTIFS(Equipar!B:B,1,Equipar!F:F,A800)
&gt;0,COUNTIF('Set recomendado'!B:B,C800)=0),
"Bloqueada",
"Desechable")),""
)</f>
        <v/>
      </c>
      <c r="J800" t="str" cm="1">
        <f t="array" aca="1" ref="J800" ca="1">IF(ISNUMBER(A800),IFERROR(_xlfn._xlws.FILTER(Equipar!A:A,(Equipar!B:B=1)*(Equipar!AC:AC=A800)),""),"")</f>
        <v/>
      </c>
    </row>
    <row r="801" spans="1:10" x14ac:dyDescent="0.25">
      <c r="A801" s="1" t="str">
        <f ca="1">IF(A800="ID",1,IF(ISBLANK(B801),"",MAX(A$2:A800)+1))</f>
        <v/>
      </c>
      <c r="I801" s="2" t="str">
        <f ca="1">IF(ISNUMBER(A801),
IF(COUNTIFS(Equipar!B:B,1,Equipar!AC:AC,A801),"Equipada",
IF(
OR(COUNTIFS(Equipar!B:B,1,Equipar!C:C,A801)
 +COUNTIFS(Equipar!B:B,1,Equipar!D:D,A801)
+COUNTIFS(Equipar!B:B,1,Equipar!E:E,A801)
+COUNTIFS(Equipar!B:B,1,Equipar!F:F,A801)
&gt;0,COUNTIF('Set recomendado'!B:B,C801)=0),
"Bloqueada",
"Desechable")),""
)</f>
        <v/>
      </c>
      <c r="J801" t="str" cm="1">
        <f t="array" aca="1" ref="J801" ca="1">IF(ISNUMBER(A801),IFERROR(_xlfn._xlws.FILTER(Equipar!A:A,(Equipar!B:B=1)*(Equipar!AC:AC=A801)),""),"")</f>
        <v/>
      </c>
    </row>
    <row r="802" spans="1:10" x14ac:dyDescent="0.25">
      <c r="A802" s="1" t="str">
        <f ca="1">IF(A801="ID",1,IF(ISBLANK(B802),"",MAX(A$2:A801)+1))</f>
        <v/>
      </c>
      <c r="I802" s="2" t="str">
        <f ca="1">IF(ISNUMBER(A802),
IF(COUNTIFS(Equipar!B:B,1,Equipar!AC:AC,A802),"Equipada",
IF(
OR(COUNTIFS(Equipar!B:B,1,Equipar!C:C,A802)
 +COUNTIFS(Equipar!B:B,1,Equipar!D:D,A802)
+COUNTIFS(Equipar!B:B,1,Equipar!E:E,A802)
+COUNTIFS(Equipar!B:B,1,Equipar!F:F,A802)
&gt;0,COUNTIF('Set recomendado'!B:B,C802)=0),
"Bloqueada",
"Desechable")),""
)</f>
        <v/>
      </c>
      <c r="J802" t="str" cm="1">
        <f t="array" aca="1" ref="J802" ca="1">IF(ISNUMBER(A802),IFERROR(_xlfn._xlws.FILTER(Equipar!A:A,(Equipar!B:B=1)*(Equipar!AC:AC=A802)),""),"")</f>
        <v/>
      </c>
    </row>
    <row r="803" spans="1:10" x14ac:dyDescent="0.25">
      <c r="A803" s="1" t="str">
        <f ca="1">IF(A802="ID",1,IF(ISBLANK(B803),"",MAX(A$2:A802)+1))</f>
        <v/>
      </c>
      <c r="I803" s="2" t="str">
        <f ca="1">IF(ISNUMBER(A803),
IF(COUNTIFS(Equipar!B:B,1,Equipar!AC:AC,A803),"Equipada",
IF(
OR(COUNTIFS(Equipar!B:B,1,Equipar!C:C,A803)
 +COUNTIFS(Equipar!B:B,1,Equipar!D:D,A803)
+COUNTIFS(Equipar!B:B,1,Equipar!E:E,A803)
+COUNTIFS(Equipar!B:B,1,Equipar!F:F,A803)
&gt;0,COUNTIF('Set recomendado'!B:B,C803)=0),
"Bloqueada",
"Desechable")),""
)</f>
        <v/>
      </c>
      <c r="J803" t="str" cm="1">
        <f t="array" aca="1" ref="J803" ca="1">IF(ISNUMBER(A803),IFERROR(_xlfn._xlws.FILTER(Equipar!A:A,(Equipar!B:B=1)*(Equipar!AC:AC=A803)),""),"")</f>
        <v/>
      </c>
    </row>
    <row r="804" spans="1:10" x14ac:dyDescent="0.25">
      <c r="A804" s="1" t="str">
        <f ca="1">IF(A803="ID",1,IF(ISBLANK(B804),"",MAX(A$2:A803)+1))</f>
        <v/>
      </c>
      <c r="I804" s="2" t="str">
        <f ca="1">IF(ISNUMBER(A804),
IF(COUNTIFS(Equipar!B:B,1,Equipar!AC:AC,A804),"Equipada",
IF(
OR(COUNTIFS(Equipar!B:B,1,Equipar!C:C,A804)
 +COUNTIFS(Equipar!B:B,1,Equipar!D:D,A804)
+COUNTIFS(Equipar!B:B,1,Equipar!E:E,A804)
+COUNTIFS(Equipar!B:B,1,Equipar!F:F,A804)
&gt;0,COUNTIF('Set recomendado'!B:B,C804)=0),
"Bloqueada",
"Desechable")),""
)</f>
        <v/>
      </c>
      <c r="J804" t="str" cm="1">
        <f t="array" aca="1" ref="J804" ca="1">IF(ISNUMBER(A804),IFERROR(_xlfn._xlws.FILTER(Equipar!A:A,(Equipar!B:B=1)*(Equipar!AC:AC=A804)),""),"")</f>
        <v/>
      </c>
    </row>
    <row r="805" spans="1:10" x14ac:dyDescent="0.25">
      <c r="A805" s="1" t="str">
        <f ca="1">IF(A804="ID",1,IF(ISBLANK(B805),"",MAX(A$2:A804)+1))</f>
        <v/>
      </c>
      <c r="I805" s="2" t="str">
        <f ca="1">IF(ISNUMBER(A805),
IF(COUNTIFS(Equipar!B:B,1,Equipar!AC:AC,A805),"Equipada",
IF(
OR(COUNTIFS(Equipar!B:B,1,Equipar!C:C,A805)
 +COUNTIFS(Equipar!B:B,1,Equipar!D:D,A805)
+COUNTIFS(Equipar!B:B,1,Equipar!E:E,A805)
+COUNTIFS(Equipar!B:B,1,Equipar!F:F,A805)
&gt;0,COUNTIF('Set recomendado'!B:B,C805)=0),
"Bloqueada",
"Desechable")),""
)</f>
        <v/>
      </c>
      <c r="J805" t="str" cm="1">
        <f t="array" aca="1" ref="J805" ca="1">IF(ISNUMBER(A805),IFERROR(_xlfn._xlws.FILTER(Equipar!A:A,(Equipar!B:B=1)*(Equipar!AC:AC=A805)),""),"")</f>
        <v/>
      </c>
    </row>
    <row r="806" spans="1:10" x14ac:dyDescent="0.25">
      <c r="A806" s="1" t="str">
        <f ca="1">IF(A805="ID",1,IF(ISBLANK(B806),"",MAX(A$2:A805)+1))</f>
        <v/>
      </c>
      <c r="I806" s="2" t="str">
        <f ca="1">IF(ISNUMBER(A806),
IF(COUNTIFS(Equipar!B:B,1,Equipar!AC:AC,A806),"Equipada",
IF(
OR(COUNTIFS(Equipar!B:B,1,Equipar!C:C,A806)
 +COUNTIFS(Equipar!B:B,1,Equipar!D:D,A806)
+COUNTIFS(Equipar!B:B,1,Equipar!E:E,A806)
+COUNTIFS(Equipar!B:B,1,Equipar!F:F,A806)
&gt;0,COUNTIF('Set recomendado'!B:B,C806)=0),
"Bloqueada",
"Desechable")),""
)</f>
        <v/>
      </c>
      <c r="J806" t="str" cm="1">
        <f t="array" aca="1" ref="J806" ca="1">IF(ISNUMBER(A806),IFERROR(_xlfn._xlws.FILTER(Equipar!A:A,(Equipar!B:B=1)*(Equipar!AC:AC=A806)),""),"")</f>
        <v/>
      </c>
    </row>
    <row r="807" spans="1:10" x14ac:dyDescent="0.25">
      <c r="A807" s="1" t="str">
        <f ca="1">IF(A806="ID",1,IF(ISBLANK(B807),"",MAX(A$2:A806)+1))</f>
        <v/>
      </c>
      <c r="I807" s="2" t="str">
        <f ca="1">IF(ISNUMBER(A807),
IF(COUNTIFS(Equipar!B:B,1,Equipar!AC:AC,A807),"Equipada",
IF(
OR(COUNTIFS(Equipar!B:B,1,Equipar!C:C,A807)
 +COUNTIFS(Equipar!B:B,1,Equipar!D:D,A807)
+COUNTIFS(Equipar!B:B,1,Equipar!E:E,A807)
+COUNTIFS(Equipar!B:B,1,Equipar!F:F,A807)
&gt;0,COUNTIF('Set recomendado'!B:B,C807)=0),
"Bloqueada",
"Desechable")),""
)</f>
        <v/>
      </c>
      <c r="J807" t="str" cm="1">
        <f t="array" aca="1" ref="J807" ca="1">IF(ISNUMBER(A807),IFERROR(_xlfn._xlws.FILTER(Equipar!A:A,(Equipar!B:B=1)*(Equipar!AC:AC=A807)),""),"")</f>
        <v/>
      </c>
    </row>
    <row r="808" spans="1:10" x14ac:dyDescent="0.25">
      <c r="A808" s="1" t="str">
        <f ca="1">IF(A807="ID",1,IF(ISBLANK(B808),"",MAX(A$2:A807)+1))</f>
        <v/>
      </c>
      <c r="I808" s="2" t="str">
        <f ca="1">IF(ISNUMBER(A808),
IF(COUNTIFS(Equipar!B:B,1,Equipar!AC:AC,A808),"Equipada",
IF(
OR(COUNTIFS(Equipar!B:B,1,Equipar!C:C,A808)
 +COUNTIFS(Equipar!B:B,1,Equipar!D:D,A808)
+COUNTIFS(Equipar!B:B,1,Equipar!E:E,A808)
+COUNTIFS(Equipar!B:B,1,Equipar!F:F,A808)
&gt;0,COUNTIF('Set recomendado'!B:B,C808)=0),
"Bloqueada",
"Desechable")),""
)</f>
        <v/>
      </c>
      <c r="J808" t="str" cm="1">
        <f t="array" aca="1" ref="J808" ca="1">IF(ISNUMBER(A808),IFERROR(_xlfn._xlws.FILTER(Equipar!A:A,(Equipar!B:B=1)*(Equipar!AC:AC=A808)),""),"")</f>
        <v/>
      </c>
    </row>
    <row r="809" spans="1:10" x14ac:dyDescent="0.25">
      <c r="A809" s="1" t="str">
        <f ca="1">IF(A808="ID",1,IF(ISBLANK(B809),"",MAX(A$2:A808)+1))</f>
        <v/>
      </c>
      <c r="I809" s="2" t="str">
        <f ca="1">IF(ISNUMBER(A809),
IF(COUNTIFS(Equipar!B:B,1,Equipar!AC:AC,A809),"Equipada",
IF(
OR(COUNTIFS(Equipar!B:B,1,Equipar!C:C,A809)
 +COUNTIFS(Equipar!B:B,1,Equipar!D:D,A809)
+COUNTIFS(Equipar!B:B,1,Equipar!E:E,A809)
+COUNTIFS(Equipar!B:B,1,Equipar!F:F,A809)
&gt;0,COUNTIF('Set recomendado'!B:B,C809)=0),
"Bloqueada",
"Desechable")),""
)</f>
        <v/>
      </c>
      <c r="J809" t="str" cm="1">
        <f t="array" aca="1" ref="J809" ca="1">IF(ISNUMBER(A809),IFERROR(_xlfn._xlws.FILTER(Equipar!A:A,(Equipar!B:B=1)*(Equipar!AC:AC=A809)),""),"")</f>
        <v/>
      </c>
    </row>
    <row r="810" spans="1:10" x14ac:dyDescent="0.25">
      <c r="A810" s="1" t="str">
        <f ca="1">IF(A809="ID",1,IF(ISBLANK(B810),"",MAX(A$2:A809)+1))</f>
        <v/>
      </c>
      <c r="I810" s="2" t="str">
        <f ca="1">IF(ISNUMBER(A810),
IF(COUNTIFS(Equipar!B:B,1,Equipar!AC:AC,A810),"Equipada",
IF(
OR(COUNTIFS(Equipar!B:B,1,Equipar!C:C,A810)
 +COUNTIFS(Equipar!B:B,1,Equipar!D:D,A810)
+COUNTIFS(Equipar!B:B,1,Equipar!E:E,A810)
+COUNTIFS(Equipar!B:B,1,Equipar!F:F,A810)
&gt;0,COUNTIF('Set recomendado'!B:B,C810)=0),
"Bloqueada",
"Desechable")),""
)</f>
        <v/>
      </c>
      <c r="J810" t="str" cm="1">
        <f t="array" aca="1" ref="J810" ca="1">IF(ISNUMBER(A810),IFERROR(_xlfn._xlws.FILTER(Equipar!A:A,(Equipar!B:B=1)*(Equipar!AC:AC=A810)),""),"")</f>
        <v/>
      </c>
    </row>
    <row r="811" spans="1:10" x14ac:dyDescent="0.25">
      <c r="A811" s="1" t="str">
        <f ca="1">IF(A810="ID",1,IF(ISBLANK(B811),"",MAX(A$2:A810)+1))</f>
        <v/>
      </c>
      <c r="I811" s="2" t="str">
        <f ca="1">IF(ISNUMBER(A811),
IF(COUNTIFS(Equipar!B:B,1,Equipar!AC:AC,A811),"Equipada",
IF(
OR(COUNTIFS(Equipar!B:B,1,Equipar!C:C,A811)
 +COUNTIFS(Equipar!B:B,1,Equipar!D:D,A811)
+COUNTIFS(Equipar!B:B,1,Equipar!E:E,A811)
+COUNTIFS(Equipar!B:B,1,Equipar!F:F,A811)
&gt;0,COUNTIF('Set recomendado'!B:B,C811)=0),
"Bloqueada",
"Desechable")),""
)</f>
        <v/>
      </c>
      <c r="J811" t="str" cm="1">
        <f t="array" aca="1" ref="J811" ca="1">IF(ISNUMBER(A811),IFERROR(_xlfn._xlws.FILTER(Equipar!A:A,(Equipar!B:B=1)*(Equipar!AC:AC=A811)),""),"")</f>
        <v/>
      </c>
    </row>
    <row r="812" spans="1:10" x14ac:dyDescent="0.25">
      <c r="A812" s="1" t="str">
        <f ca="1">IF(A811="ID",1,IF(ISBLANK(B812),"",MAX(A$2:A811)+1))</f>
        <v/>
      </c>
      <c r="I812" s="2" t="str">
        <f ca="1">IF(ISNUMBER(A812),
IF(COUNTIFS(Equipar!B:B,1,Equipar!AC:AC,A812),"Equipada",
IF(
OR(COUNTIFS(Equipar!B:B,1,Equipar!C:C,A812)
 +COUNTIFS(Equipar!B:B,1,Equipar!D:D,A812)
+COUNTIFS(Equipar!B:B,1,Equipar!E:E,A812)
+COUNTIFS(Equipar!B:B,1,Equipar!F:F,A812)
&gt;0,COUNTIF('Set recomendado'!B:B,C812)=0),
"Bloqueada",
"Desechable")),""
)</f>
        <v/>
      </c>
      <c r="J812" t="str" cm="1">
        <f t="array" aca="1" ref="J812" ca="1">IF(ISNUMBER(A812),IFERROR(_xlfn._xlws.FILTER(Equipar!A:A,(Equipar!B:B=1)*(Equipar!AC:AC=A812)),""),"")</f>
        <v/>
      </c>
    </row>
    <row r="813" spans="1:10" x14ac:dyDescent="0.25">
      <c r="A813" s="1" t="str">
        <f ca="1">IF(A812="ID",1,IF(ISBLANK(B813),"",MAX(A$2:A812)+1))</f>
        <v/>
      </c>
      <c r="I813" s="2" t="str">
        <f ca="1">IF(ISNUMBER(A813),
IF(COUNTIFS(Equipar!B:B,1,Equipar!AC:AC,A813),"Equipada",
IF(
OR(COUNTIFS(Equipar!B:B,1,Equipar!C:C,A813)
 +COUNTIFS(Equipar!B:B,1,Equipar!D:D,A813)
+COUNTIFS(Equipar!B:B,1,Equipar!E:E,A813)
+COUNTIFS(Equipar!B:B,1,Equipar!F:F,A813)
&gt;0,COUNTIF('Set recomendado'!B:B,C813)=0),
"Bloqueada",
"Desechable")),""
)</f>
        <v/>
      </c>
      <c r="J813" t="str" cm="1">
        <f t="array" aca="1" ref="J813" ca="1">IF(ISNUMBER(A813),IFERROR(_xlfn._xlws.FILTER(Equipar!A:A,(Equipar!B:B=1)*(Equipar!AC:AC=A813)),""),"")</f>
        <v/>
      </c>
    </row>
    <row r="814" spans="1:10" x14ac:dyDescent="0.25">
      <c r="A814" s="1" t="str">
        <f ca="1">IF(A813="ID",1,IF(ISBLANK(B814),"",MAX(A$2:A813)+1))</f>
        <v/>
      </c>
      <c r="I814" s="2" t="str">
        <f ca="1">IF(ISNUMBER(A814),
IF(COUNTIFS(Equipar!B:B,1,Equipar!AC:AC,A814),"Equipada",
IF(
OR(COUNTIFS(Equipar!B:B,1,Equipar!C:C,A814)
 +COUNTIFS(Equipar!B:B,1,Equipar!D:D,A814)
+COUNTIFS(Equipar!B:B,1,Equipar!E:E,A814)
+COUNTIFS(Equipar!B:B,1,Equipar!F:F,A814)
&gt;0,COUNTIF('Set recomendado'!B:B,C814)=0),
"Bloqueada",
"Desechable")),""
)</f>
        <v/>
      </c>
      <c r="J814" t="str" cm="1">
        <f t="array" aca="1" ref="J814" ca="1">IF(ISNUMBER(A814),IFERROR(_xlfn._xlws.FILTER(Equipar!A:A,(Equipar!B:B=1)*(Equipar!AC:AC=A814)),""),"")</f>
        <v/>
      </c>
    </row>
    <row r="815" spans="1:10" x14ac:dyDescent="0.25">
      <c r="A815" s="1" t="str">
        <f ca="1">IF(A814="ID",1,IF(ISBLANK(B815),"",MAX(A$2:A814)+1))</f>
        <v/>
      </c>
      <c r="I815" s="2" t="str">
        <f ca="1">IF(ISNUMBER(A815),
IF(COUNTIFS(Equipar!B:B,1,Equipar!AC:AC,A815),"Equipada",
IF(
OR(COUNTIFS(Equipar!B:B,1,Equipar!C:C,A815)
 +COUNTIFS(Equipar!B:B,1,Equipar!D:D,A815)
+COUNTIFS(Equipar!B:B,1,Equipar!E:E,A815)
+COUNTIFS(Equipar!B:B,1,Equipar!F:F,A815)
&gt;0,COUNTIF('Set recomendado'!B:B,C815)=0),
"Bloqueada",
"Desechable")),""
)</f>
        <v/>
      </c>
      <c r="J815" t="str" cm="1">
        <f t="array" aca="1" ref="J815" ca="1">IF(ISNUMBER(A815),IFERROR(_xlfn._xlws.FILTER(Equipar!A:A,(Equipar!B:B=1)*(Equipar!AC:AC=A815)),""),"")</f>
        <v/>
      </c>
    </row>
    <row r="816" spans="1:10" x14ac:dyDescent="0.25">
      <c r="A816" s="1" t="str">
        <f ca="1">IF(A815="ID",1,IF(ISBLANK(B816),"",MAX(A$2:A815)+1))</f>
        <v/>
      </c>
      <c r="I816" s="2" t="str">
        <f ca="1">IF(ISNUMBER(A816),
IF(COUNTIFS(Equipar!B:B,1,Equipar!AC:AC,A816),"Equipada",
IF(
OR(COUNTIFS(Equipar!B:B,1,Equipar!C:C,A816)
 +COUNTIFS(Equipar!B:B,1,Equipar!D:D,A816)
+COUNTIFS(Equipar!B:B,1,Equipar!E:E,A816)
+COUNTIFS(Equipar!B:B,1,Equipar!F:F,A816)
&gt;0,COUNTIF('Set recomendado'!B:B,C816)=0),
"Bloqueada",
"Desechable")),""
)</f>
        <v/>
      </c>
      <c r="J816" t="str" cm="1">
        <f t="array" aca="1" ref="J816" ca="1">IF(ISNUMBER(A816),IFERROR(_xlfn._xlws.FILTER(Equipar!A:A,(Equipar!B:B=1)*(Equipar!AC:AC=A816)),""),"")</f>
        <v/>
      </c>
    </row>
    <row r="817" spans="1:10" x14ac:dyDescent="0.25">
      <c r="A817" s="1" t="str">
        <f ca="1">IF(A816="ID",1,IF(ISBLANK(B817),"",MAX(A$2:A816)+1))</f>
        <v/>
      </c>
      <c r="I817" s="2" t="str">
        <f ca="1">IF(ISNUMBER(A817),
IF(COUNTIFS(Equipar!B:B,1,Equipar!AC:AC,A817),"Equipada",
IF(
OR(COUNTIFS(Equipar!B:B,1,Equipar!C:C,A817)
 +COUNTIFS(Equipar!B:B,1,Equipar!D:D,A817)
+COUNTIFS(Equipar!B:B,1,Equipar!E:E,A817)
+COUNTIFS(Equipar!B:B,1,Equipar!F:F,A817)
&gt;0,COUNTIF('Set recomendado'!B:B,C817)=0),
"Bloqueada",
"Desechable")),""
)</f>
        <v/>
      </c>
      <c r="J817" t="str" cm="1">
        <f t="array" aca="1" ref="J817" ca="1">IF(ISNUMBER(A817),IFERROR(_xlfn._xlws.FILTER(Equipar!A:A,(Equipar!B:B=1)*(Equipar!AC:AC=A817)),""),"")</f>
        <v/>
      </c>
    </row>
    <row r="818" spans="1:10" x14ac:dyDescent="0.25">
      <c r="A818" s="1" t="str">
        <f ca="1">IF(A817="ID",1,IF(ISBLANK(B818),"",MAX(A$2:A817)+1))</f>
        <v/>
      </c>
      <c r="I818" s="2" t="str">
        <f ca="1">IF(ISNUMBER(A818),
IF(COUNTIFS(Equipar!B:B,1,Equipar!AC:AC,A818),"Equipada",
IF(
OR(COUNTIFS(Equipar!B:B,1,Equipar!C:C,A818)
 +COUNTIFS(Equipar!B:B,1,Equipar!D:D,A818)
+COUNTIFS(Equipar!B:B,1,Equipar!E:E,A818)
+COUNTIFS(Equipar!B:B,1,Equipar!F:F,A818)
&gt;0,COUNTIF('Set recomendado'!B:B,C818)=0),
"Bloqueada",
"Desechable")),""
)</f>
        <v/>
      </c>
      <c r="J818" t="str" cm="1">
        <f t="array" aca="1" ref="J818" ca="1">IF(ISNUMBER(A818),IFERROR(_xlfn._xlws.FILTER(Equipar!A:A,(Equipar!B:B=1)*(Equipar!AC:AC=A818)),""),"")</f>
        <v/>
      </c>
    </row>
    <row r="819" spans="1:10" x14ac:dyDescent="0.25">
      <c r="A819" s="1" t="str">
        <f ca="1">IF(A818="ID",1,IF(ISBLANK(B819),"",MAX(A$2:A818)+1))</f>
        <v/>
      </c>
      <c r="I819" s="2" t="str">
        <f ca="1">IF(ISNUMBER(A819),
IF(COUNTIFS(Equipar!B:B,1,Equipar!AC:AC,A819),"Equipada",
IF(
OR(COUNTIFS(Equipar!B:B,1,Equipar!C:C,A819)
 +COUNTIFS(Equipar!B:B,1,Equipar!D:D,A819)
+COUNTIFS(Equipar!B:B,1,Equipar!E:E,A819)
+COUNTIFS(Equipar!B:B,1,Equipar!F:F,A819)
&gt;0,COUNTIF('Set recomendado'!B:B,C819)=0),
"Bloqueada",
"Desechable")),""
)</f>
        <v/>
      </c>
      <c r="J819" t="str" cm="1">
        <f t="array" aca="1" ref="J819" ca="1">IF(ISNUMBER(A819),IFERROR(_xlfn._xlws.FILTER(Equipar!A:A,(Equipar!B:B=1)*(Equipar!AC:AC=A819)),""),"")</f>
        <v/>
      </c>
    </row>
    <row r="820" spans="1:10" x14ac:dyDescent="0.25">
      <c r="A820" s="1" t="str">
        <f ca="1">IF(A819="ID",1,IF(ISBLANK(B820),"",MAX(A$2:A819)+1))</f>
        <v/>
      </c>
      <c r="I820" s="2" t="str">
        <f ca="1">IF(ISNUMBER(A820),
IF(COUNTIFS(Equipar!B:B,1,Equipar!AC:AC,A820),"Equipada",
IF(
OR(COUNTIFS(Equipar!B:B,1,Equipar!C:C,A820)
 +COUNTIFS(Equipar!B:B,1,Equipar!D:D,A820)
+COUNTIFS(Equipar!B:B,1,Equipar!E:E,A820)
+COUNTIFS(Equipar!B:B,1,Equipar!F:F,A820)
&gt;0,COUNTIF('Set recomendado'!B:B,C820)=0),
"Bloqueada",
"Desechable")),""
)</f>
        <v/>
      </c>
      <c r="J820" t="str" cm="1">
        <f t="array" aca="1" ref="J820" ca="1">IF(ISNUMBER(A820),IFERROR(_xlfn._xlws.FILTER(Equipar!A:A,(Equipar!B:B=1)*(Equipar!AC:AC=A820)),""),"")</f>
        <v/>
      </c>
    </row>
    <row r="821" spans="1:10" x14ac:dyDescent="0.25">
      <c r="A821" s="1" t="str">
        <f ca="1">IF(A820="ID",1,IF(ISBLANK(B821),"",MAX(A$2:A820)+1))</f>
        <v/>
      </c>
      <c r="I821" s="2" t="str">
        <f ca="1">IF(ISNUMBER(A821),
IF(COUNTIFS(Equipar!B:B,1,Equipar!AC:AC,A821),"Equipada",
IF(
OR(COUNTIFS(Equipar!B:B,1,Equipar!C:C,A821)
 +COUNTIFS(Equipar!B:B,1,Equipar!D:D,A821)
+COUNTIFS(Equipar!B:B,1,Equipar!E:E,A821)
+COUNTIFS(Equipar!B:B,1,Equipar!F:F,A821)
&gt;0,COUNTIF('Set recomendado'!B:B,C821)=0),
"Bloqueada",
"Desechable")),""
)</f>
        <v/>
      </c>
      <c r="J821" t="str" cm="1">
        <f t="array" aca="1" ref="J821" ca="1">IF(ISNUMBER(A821),IFERROR(_xlfn._xlws.FILTER(Equipar!A:A,(Equipar!B:B=1)*(Equipar!AC:AC=A821)),""),"")</f>
        <v/>
      </c>
    </row>
    <row r="822" spans="1:10" x14ac:dyDescent="0.25">
      <c r="A822" s="1" t="str">
        <f ca="1">IF(A821="ID",1,IF(ISBLANK(B822),"",MAX(A$2:A821)+1))</f>
        <v/>
      </c>
      <c r="I822" s="2" t="str">
        <f ca="1">IF(ISNUMBER(A822),
IF(COUNTIFS(Equipar!B:B,1,Equipar!AC:AC,A822),"Equipada",
IF(
OR(COUNTIFS(Equipar!B:B,1,Equipar!C:C,A822)
 +COUNTIFS(Equipar!B:B,1,Equipar!D:D,A822)
+COUNTIFS(Equipar!B:B,1,Equipar!E:E,A822)
+COUNTIFS(Equipar!B:B,1,Equipar!F:F,A822)
&gt;0,COUNTIF('Set recomendado'!B:B,C822)=0),
"Bloqueada",
"Desechable")),""
)</f>
        <v/>
      </c>
      <c r="J822" t="str" cm="1">
        <f t="array" aca="1" ref="J822" ca="1">IF(ISNUMBER(A822),IFERROR(_xlfn._xlws.FILTER(Equipar!A:A,(Equipar!B:B=1)*(Equipar!AC:AC=A822)),""),"")</f>
        <v/>
      </c>
    </row>
    <row r="823" spans="1:10" x14ac:dyDescent="0.25">
      <c r="A823" s="1" t="str">
        <f ca="1">IF(A822="ID",1,IF(ISBLANK(B823),"",MAX(A$2:A822)+1))</f>
        <v/>
      </c>
      <c r="I823" s="2" t="str">
        <f ca="1">IF(ISNUMBER(A823),
IF(COUNTIFS(Equipar!B:B,1,Equipar!AC:AC,A823),"Equipada",
IF(
OR(COUNTIFS(Equipar!B:B,1,Equipar!C:C,A823)
 +COUNTIFS(Equipar!B:B,1,Equipar!D:D,A823)
+COUNTIFS(Equipar!B:B,1,Equipar!E:E,A823)
+COUNTIFS(Equipar!B:B,1,Equipar!F:F,A823)
&gt;0,COUNTIF('Set recomendado'!B:B,C823)=0),
"Bloqueada",
"Desechable")),""
)</f>
        <v/>
      </c>
      <c r="J823" t="str" cm="1">
        <f t="array" aca="1" ref="J823" ca="1">IF(ISNUMBER(A823),IFERROR(_xlfn._xlws.FILTER(Equipar!A:A,(Equipar!B:B=1)*(Equipar!AC:AC=A823)),""),"")</f>
        <v/>
      </c>
    </row>
    <row r="824" spans="1:10" x14ac:dyDescent="0.25">
      <c r="A824" s="1" t="str">
        <f ca="1">IF(A823="ID",1,IF(ISBLANK(B824),"",MAX(A$2:A823)+1))</f>
        <v/>
      </c>
      <c r="I824" s="2" t="str">
        <f ca="1">IF(ISNUMBER(A824),
IF(COUNTIFS(Equipar!B:B,1,Equipar!AC:AC,A824),"Equipada",
IF(
OR(COUNTIFS(Equipar!B:B,1,Equipar!C:C,A824)
 +COUNTIFS(Equipar!B:B,1,Equipar!D:D,A824)
+COUNTIFS(Equipar!B:B,1,Equipar!E:E,A824)
+COUNTIFS(Equipar!B:B,1,Equipar!F:F,A824)
&gt;0,COUNTIF('Set recomendado'!B:B,C824)=0),
"Bloqueada",
"Desechable")),""
)</f>
        <v/>
      </c>
      <c r="J824" t="str" cm="1">
        <f t="array" aca="1" ref="J824" ca="1">IF(ISNUMBER(A824),IFERROR(_xlfn._xlws.FILTER(Equipar!A:A,(Equipar!B:B=1)*(Equipar!AC:AC=A824)),""),"")</f>
        <v/>
      </c>
    </row>
    <row r="825" spans="1:10" x14ac:dyDescent="0.25">
      <c r="A825" s="1" t="str">
        <f ca="1">IF(A824="ID",1,IF(ISBLANK(B825),"",MAX(A$2:A824)+1))</f>
        <v/>
      </c>
      <c r="I825" s="2" t="str">
        <f ca="1">IF(ISNUMBER(A825),
IF(COUNTIFS(Equipar!B:B,1,Equipar!AC:AC,A825),"Equipada",
IF(
OR(COUNTIFS(Equipar!B:B,1,Equipar!C:C,A825)
 +COUNTIFS(Equipar!B:B,1,Equipar!D:D,A825)
+COUNTIFS(Equipar!B:B,1,Equipar!E:E,A825)
+COUNTIFS(Equipar!B:B,1,Equipar!F:F,A825)
&gt;0,COUNTIF('Set recomendado'!B:B,C825)=0),
"Bloqueada",
"Desechable")),""
)</f>
        <v/>
      </c>
      <c r="J825" t="str" cm="1">
        <f t="array" aca="1" ref="J825" ca="1">IF(ISNUMBER(A825),IFERROR(_xlfn._xlws.FILTER(Equipar!A:A,(Equipar!B:B=1)*(Equipar!AC:AC=A825)),""),"")</f>
        <v/>
      </c>
    </row>
    <row r="826" spans="1:10" x14ac:dyDescent="0.25">
      <c r="A826" s="1" t="str">
        <f ca="1">IF(A825="ID",1,IF(ISBLANK(B826),"",MAX(A$2:A825)+1))</f>
        <v/>
      </c>
      <c r="I826" s="2" t="str">
        <f ca="1">IF(ISNUMBER(A826),
IF(COUNTIFS(Equipar!B:B,1,Equipar!AC:AC,A826),"Equipada",
IF(
OR(COUNTIFS(Equipar!B:B,1,Equipar!C:C,A826)
 +COUNTIFS(Equipar!B:B,1,Equipar!D:D,A826)
+COUNTIFS(Equipar!B:B,1,Equipar!E:E,A826)
+COUNTIFS(Equipar!B:B,1,Equipar!F:F,A826)
&gt;0,COUNTIF('Set recomendado'!B:B,C826)=0),
"Bloqueada",
"Desechable")),""
)</f>
        <v/>
      </c>
      <c r="J826" t="str" cm="1">
        <f t="array" aca="1" ref="J826" ca="1">IF(ISNUMBER(A826),IFERROR(_xlfn._xlws.FILTER(Equipar!A:A,(Equipar!B:B=1)*(Equipar!AC:AC=A826)),""),"")</f>
        <v/>
      </c>
    </row>
    <row r="827" spans="1:10" x14ac:dyDescent="0.25">
      <c r="A827" s="1" t="str">
        <f ca="1">IF(A826="ID",1,IF(ISBLANK(B827),"",MAX(A$2:A826)+1))</f>
        <v/>
      </c>
      <c r="I827" s="2" t="str">
        <f ca="1">IF(ISNUMBER(A827),
IF(COUNTIFS(Equipar!B:B,1,Equipar!AC:AC,A827),"Equipada",
IF(
OR(COUNTIFS(Equipar!B:B,1,Equipar!C:C,A827)
 +COUNTIFS(Equipar!B:B,1,Equipar!D:D,A827)
+COUNTIFS(Equipar!B:B,1,Equipar!E:E,A827)
+COUNTIFS(Equipar!B:B,1,Equipar!F:F,A827)
&gt;0,COUNTIF('Set recomendado'!B:B,C827)=0),
"Bloqueada",
"Desechable")),""
)</f>
        <v/>
      </c>
      <c r="J827" t="str" cm="1">
        <f t="array" aca="1" ref="J827" ca="1">IF(ISNUMBER(A827),IFERROR(_xlfn._xlws.FILTER(Equipar!A:A,(Equipar!B:B=1)*(Equipar!AC:AC=A827)),""),"")</f>
        <v/>
      </c>
    </row>
    <row r="828" spans="1:10" x14ac:dyDescent="0.25">
      <c r="A828" s="1" t="str">
        <f ca="1">IF(A827="ID",1,IF(ISBLANK(B828),"",MAX(A$2:A827)+1))</f>
        <v/>
      </c>
      <c r="I828" s="2" t="str">
        <f ca="1">IF(ISNUMBER(A828),
IF(COUNTIFS(Equipar!B:B,1,Equipar!AC:AC,A828),"Equipada",
IF(
OR(COUNTIFS(Equipar!B:B,1,Equipar!C:C,A828)
 +COUNTIFS(Equipar!B:B,1,Equipar!D:D,A828)
+COUNTIFS(Equipar!B:B,1,Equipar!E:E,A828)
+COUNTIFS(Equipar!B:B,1,Equipar!F:F,A828)
&gt;0,COUNTIF('Set recomendado'!B:B,C828)=0),
"Bloqueada",
"Desechable")),""
)</f>
        <v/>
      </c>
      <c r="J828" t="str" cm="1">
        <f t="array" aca="1" ref="J828" ca="1">IF(ISNUMBER(A828),IFERROR(_xlfn._xlws.FILTER(Equipar!A:A,(Equipar!B:B=1)*(Equipar!AC:AC=A828)),""),"")</f>
        <v/>
      </c>
    </row>
    <row r="829" spans="1:10" x14ac:dyDescent="0.25">
      <c r="A829" s="1" t="str">
        <f ca="1">IF(A828="ID",1,IF(ISBLANK(B829),"",MAX(A$2:A828)+1))</f>
        <v/>
      </c>
      <c r="I829" s="2" t="str">
        <f ca="1">IF(ISNUMBER(A829),
IF(COUNTIFS(Equipar!B:B,1,Equipar!AC:AC,A829),"Equipada",
IF(
OR(COUNTIFS(Equipar!B:B,1,Equipar!C:C,A829)
 +COUNTIFS(Equipar!B:B,1,Equipar!D:D,A829)
+COUNTIFS(Equipar!B:B,1,Equipar!E:E,A829)
+COUNTIFS(Equipar!B:B,1,Equipar!F:F,A829)
&gt;0,COUNTIF('Set recomendado'!B:B,C829)=0),
"Bloqueada",
"Desechable")),""
)</f>
        <v/>
      </c>
      <c r="J829" t="str" cm="1">
        <f t="array" aca="1" ref="J829" ca="1">IF(ISNUMBER(A829),IFERROR(_xlfn._xlws.FILTER(Equipar!A:A,(Equipar!B:B=1)*(Equipar!AC:AC=A829)),""),"")</f>
        <v/>
      </c>
    </row>
    <row r="830" spans="1:10" x14ac:dyDescent="0.25">
      <c r="A830" s="1" t="str">
        <f ca="1">IF(A829="ID",1,IF(ISBLANK(B830),"",MAX(A$2:A829)+1))</f>
        <v/>
      </c>
      <c r="I830" s="2" t="str">
        <f ca="1">IF(ISNUMBER(A830),
IF(COUNTIFS(Equipar!B:B,1,Equipar!AC:AC,A830),"Equipada",
IF(
OR(COUNTIFS(Equipar!B:B,1,Equipar!C:C,A830)
 +COUNTIFS(Equipar!B:B,1,Equipar!D:D,A830)
+COUNTIFS(Equipar!B:B,1,Equipar!E:E,A830)
+COUNTIFS(Equipar!B:B,1,Equipar!F:F,A830)
&gt;0,COUNTIF('Set recomendado'!B:B,C830)=0),
"Bloqueada",
"Desechable")),""
)</f>
        <v/>
      </c>
      <c r="J830" t="str" cm="1">
        <f t="array" aca="1" ref="J830" ca="1">IF(ISNUMBER(A830),IFERROR(_xlfn._xlws.FILTER(Equipar!A:A,(Equipar!B:B=1)*(Equipar!AC:AC=A830)),""),"")</f>
        <v/>
      </c>
    </row>
    <row r="831" spans="1:10" x14ac:dyDescent="0.25">
      <c r="A831" s="1" t="str">
        <f ca="1">IF(A830="ID",1,IF(ISBLANK(B831),"",MAX(A$2:A830)+1))</f>
        <v/>
      </c>
      <c r="I831" s="2" t="str">
        <f ca="1">IF(ISNUMBER(A831),
IF(COUNTIFS(Equipar!B:B,1,Equipar!AC:AC,A831),"Equipada",
IF(
OR(COUNTIFS(Equipar!B:B,1,Equipar!C:C,A831)
 +COUNTIFS(Equipar!B:B,1,Equipar!D:D,A831)
+COUNTIFS(Equipar!B:B,1,Equipar!E:E,A831)
+COUNTIFS(Equipar!B:B,1,Equipar!F:F,A831)
&gt;0,COUNTIF('Set recomendado'!B:B,C831)=0),
"Bloqueada",
"Desechable")),""
)</f>
        <v/>
      </c>
      <c r="J831" t="str" cm="1">
        <f t="array" aca="1" ref="J831" ca="1">IF(ISNUMBER(A831),IFERROR(_xlfn._xlws.FILTER(Equipar!A:A,(Equipar!B:B=1)*(Equipar!AC:AC=A831)),""),"")</f>
        <v/>
      </c>
    </row>
    <row r="832" spans="1:10" x14ac:dyDescent="0.25">
      <c r="A832" s="1" t="str">
        <f ca="1">IF(A831="ID",1,IF(ISBLANK(B832),"",MAX(A$2:A831)+1))</f>
        <v/>
      </c>
      <c r="I832" s="2" t="str">
        <f ca="1">IF(ISNUMBER(A832),
IF(COUNTIFS(Equipar!B:B,1,Equipar!AC:AC,A832),"Equipada",
IF(
OR(COUNTIFS(Equipar!B:B,1,Equipar!C:C,A832)
 +COUNTIFS(Equipar!B:B,1,Equipar!D:D,A832)
+COUNTIFS(Equipar!B:B,1,Equipar!E:E,A832)
+COUNTIFS(Equipar!B:B,1,Equipar!F:F,A832)
&gt;0,COUNTIF('Set recomendado'!B:B,C832)=0),
"Bloqueada",
"Desechable")),""
)</f>
        <v/>
      </c>
      <c r="J832" t="str" cm="1">
        <f t="array" aca="1" ref="J832" ca="1">IF(ISNUMBER(A832),IFERROR(_xlfn._xlws.FILTER(Equipar!A:A,(Equipar!B:B=1)*(Equipar!AC:AC=A832)),""),"")</f>
        <v/>
      </c>
    </row>
    <row r="833" spans="1:10" x14ac:dyDescent="0.25">
      <c r="A833" s="1" t="str">
        <f ca="1">IF(A832="ID",1,IF(ISBLANK(B833),"",MAX(A$2:A832)+1))</f>
        <v/>
      </c>
      <c r="I833" s="2" t="str">
        <f ca="1">IF(ISNUMBER(A833),
IF(COUNTIFS(Equipar!B:B,1,Equipar!AC:AC,A833),"Equipada",
IF(
OR(COUNTIFS(Equipar!B:B,1,Equipar!C:C,A833)
 +COUNTIFS(Equipar!B:B,1,Equipar!D:D,A833)
+COUNTIFS(Equipar!B:B,1,Equipar!E:E,A833)
+COUNTIFS(Equipar!B:B,1,Equipar!F:F,A833)
&gt;0,COUNTIF('Set recomendado'!B:B,C833)=0),
"Bloqueada",
"Desechable")),""
)</f>
        <v/>
      </c>
      <c r="J833" t="str" cm="1">
        <f t="array" aca="1" ref="J833" ca="1">IF(ISNUMBER(A833),IFERROR(_xlfn._xlws.FILTER(Equipar!A:A,(Equipar!B:B=1)*(Equipar!AC:AC=A833)),""),"")</f>
        <v/>
      </c>
    </row>
    <row r="834" spans="1:10" x14ac:dyDescent="0.25">
      <c r="A834" s="1" t="str">
        <f ca="1">IF(A833="ID",1,IF(ISBLANK(B834),"",MAX(A$2:A833)+1))</f>
        <v/>
      </c>
      <c r="I834" s="2" t="str">
        <f ca="1">IF(ISNUMBER(A834),
IF(COUNTIFS(Equipar!B:B,1,Equipar!AC:AC,A834),"Equipada",
IF(
OR(COUNTIFS(Equipar!B:B,1,Equipar!C:C,A834)
 +COUNTIFS(Equipar!B:B,1,Equipar!D:D,A834)
+COUNTIFS(Equipar!B:B,1,Equipar!E:E,A834)
+COUNTIFS(Equipar!B:B,1,Equipar!F:F,A834)
&gt;0,COUNTIF('Set recomendado'!B:B,C834)=0),
"Bloqueada",
"Desechable")),""
)</f>
        <v/>
      </c>
      <c r="J834" t="str" cm="1">
        <f t="array" aca="1" ref="J834" ca="1">IF(ISNUMBER(A834),IFERROR(_xlfn._xlws.FILTER(Equipar!A:A,(Equipar!B:B=1)*(Equipar!AC:AC=A834)),""),"")</f>
        <v/>
      </c>
    </row>
    <row r="835" spans="1:10" x14ac:dyDescent="0.25">
      <c r="A835" s="1" t="str">
        <f ca="1">IF(A834="ID",1,IF(ISBLANK(B835),"",MAX(A$2:A834)+1))</f>
        <v/>
      </c>
      <c r="I835" s="2" t="str">
        <f ca="1">IF(ISNUMBER(A835),
IF(COUNTIFS(Equipar!B:B,1,Equipar!AC:AC,A835),"Equipada",
IF(
OR(COUNTIFS(Equipar!B:B,1,Equipar!C:C,A835)
 +COUNTIFS(Equipar!B:B,1,Equipar!D:D,A835)
+COUNTIFS(Equipar!B:B,1,Equipar!E:E,A835)
+COUNTIFS(Equipar!B:B,1,Equipar!F:F,A835)
&gt;0,COUNTIF('Set recomendado'!B:B,C835)=0),
"Bloqueada",
"Desechable")),""
)</f>
        <v/>
      </c>
      <c r="J835" t="str" cm="1">
        <f t="array" aca="1" ref="J835" ca="1">IF(ISNUMBER(A835),IFERROR(_xlfn._xlws.FILTER(Equipar!A:A,(Equipar!B:B=1)*(Equipar!AC:AC=A835)),""),"")</f>
        <v/>
      </c>
    </row>
    <row r="836" spans="1:10" x14ac:dyDescent="0.25">
      <c r="A836" s="1" t="str">
        <f ca="1">IF(A835="ID",1,IF(ISBLANK(B836),"",MAX(A$2:A835)+1))</f>
        <v/>
      </c>
      <c r="I836" s="2" t="str">
        <f ca="1">IF(ISNUMBER(A836),
IF(COUNTIFS(Equipar!B:B,1,Equipar!AC:AC,A836),"Equipada",
IF(
OR(COUNTIFS(Equipar!B:B,1,Equipar!C:C,A836)
 +COUNTIFS(Equipar!B:B,1,Equipar!D:D,A836)
+COUNTIFS(Equipar!B:B,1,Equipar!E:E,A836)
+COUNTIFS(Equipar!B:B,1,Equipar!F:F,A836)
&gt;0,COUNTIF('Set recomendado'!B:B,C836)=0),
"Bloqueada",
"Desechable")),""
)</f>
        <v/>
      </c>
      <c r="J836" t="str" cm="1">
        <f t="array" aca="1" ref="J836" ca="1">IF(ISNUMBER(A836),IFERROR(_xlfn._xlws.FILTER(Equipar!A:A,(Equipar!B:B=1)*(Equipar!AC:AC=A836)),""),"")</f>
        <v/>
      </c>
    </row>
    <row r="837" spans="1:10" x14ac:dyDescent="0.25">
      <c r="A837" s="1" t="str">
        <f ca="1">IF(A836="ID",1,IF(ISBLANK(B837),"",MAX(A$2:A836)+1))</f>
        <v/>
      </c>
      <c r="I837" s="2" t="str">
        <f ca="1">IF(ISNUMBER(A837),
IF(COUNTIFS(Equipar!B:B,1,Equipar!AC:AC,A837),"Equipada",
IF(
OR(COUNTIFS(Equipar!B:B,1,Equipar!C:C,A837)
 +COUNTIFS(Equipar!B:B,1,Equipar!D:D,A837)
+COUNTIFS(Equipar!B:B,1,Equipar!E:E,A837)
+COUNTIFS(Equipar!B:B,1,Equipar!F:F,A837)
&gt;0,COUNTIF('Set recomendado'!B:B,C837)=0),
"Bloqueada",
"Desechable")),""
)</f>
        <v/>
      </c>
      <c r="J837" t="str" cm="1">
        <f t="array" aca="1" ref="J837" ca="1">IF(ISNUMBER(A837),IFERROR(_xlfn._xlws.FILTER(Equipar!A:A,(Equipar!B:B=1)*(Equipar!AC:AC=A837)),""),"")</f>
        <v/>
      </c>
    </row>
    <row r="838" spans="1:10" x14ac:dyDescent="0.25">
      <c r="A838" s="1" t="str">
        <f ca="1">IF(A837="ID",1,IF(ISBLANK(B838),"",MAX(A$2:A837)+1))</f>
        <v/>
      </c>
      <c r="I838" s="2" t="str">
        <f ca="1">IF(ISNUMBER(A838),
IF(COUNTIFS(Equipar!B:B,1,Equipar!AC:AC,A838),"Equipada",
IF(
OR(COUNTIFS(Equipar!B:B,1,Equipar!C:C,A838)
 +COUNTIFS(Equipar!B:B,1,Equipar!D:D,A838)
+COUNTIFS(Equipar!B:B,1,Equipar!E:E,A838)
+COUNTIFS(Equipar!B:B,1,Equipar!F:F,A838)
&gt;0,COUNTIF('Set recomendado'!B:B,C838)=0),
"Bloqueada",
"Desechable")),""
)</f>
        <v/>
      </c>
      <c r="J838" t="str" cm="1">
        <f t="array" aca="1" ref="J838" ca="1">IF(ISNUMBER(A838),IFERROR(_xlfn._xlws.FILTER(Equipar!A:A,(Equipar!B:B=1)*(Equipar!AC:AC=A838)),""),"")</f>
        <v/>
      </c>
    </row>
    <row r="839" spans="1:10" x14ac:dyDescent="0.25">
      <c r="A839" s="1" t="str">
        <f ca="1">IF(A838="ID",1,IF(ISBLANK(B839),"",MAX(A$2:A838)+1))</f>
        <v/>
      </c>
      <c r="I839" s="2" t="str">
        <f ca="1">IF(ISNUMBER(A839),
IF(COUNTIFS(Equipar!B:B,1,Equipar!AC:AC,A839),"Equipada",
IF(
OR(COUNTIFS(Equipar!B:B,1,Equipar!C:C,A839)
 +COUNTIFS(Equipar!B:B,1,Equipar!D:D,A839)
+COUNTIFS(Equipar!B:B,1,Equipar!E:E,A839)
+COUNTIFS(Equipar!B:B,1,Equipar!F:F,A839)
&gt;0,COUNTIF('Set recomendado'!B:B,C839)=0),
"Bloqueada",
"Desechable")),""
)</f>
        <v/>
      </c>
      <c r="J839" t="str" cm="1">
        <f t="array" aca="1" ref="J839" ca="1">IF(ISNUMBER(A839),IFERROR(_xlfn._xlws.FILTER(Equipar!A:A,(Equipar!B:B=1)*(Equipar!AC:AC=A839)),""),"")</f>
        <v/>
      </c>
    </row>
    <row r="840" spans="1:10" x14ac:dyDescent="0.25">
      <c r="A840" s="1" t="str">
        <f ca="1">IF(A839="ID",1,IF(ISBLANK(B840),"",MAX(A$2:A839)+1))</f>
        <v/>
      </c>
      <c r="I840" s="2" t="str">
        <f ca="1">IF(ISNUMBER(A840),
IF(COUNTIFS(Equipar!B:B,1,Equipar!AC:AC,A840),"Equipada",
IF(
OR(COUNTIFS(Equipar!B:B,1,Equipar!C:C,A840)
 +COUNTIFS(Equipar!B:B,1,Equipar!D:D,A840)
+COUNTIFS(Equipar!B:B,1,Equipar!E:E,A840)
+COUNTIFS(Equipar!B:B,1,Equipar!F:F,A840)
&gt;0,COUNTIF('Set recomendado'!B:B,C840)=0),
"Bloqueada",
"Desechable")),""
)</f>
        <v/>
      </c>
      <c r="J840" t="str" cm="1">
        <f t="array" aca="1" ref="J840" ca="1">IF(ISNUMBER(A840),IFERROR(_xlfn._xlws.FILTER(Equipar!A:A,(Equipar!B:B=1)*(Equipar!AC:AC=A840)),""),"")</f>
        <v/>
      </c>
    </row>
    <row r="841" spans="1:10" x14ac:dyDescent="0.25">
      <c r="A841" s="1" t="str">
        <f ca="1">IF(A840="ID",1,IF(ISBLANK(B841),"",MAX(A$2:A840)+1))</f>
        <v/>
      </c>
      <c r="I841" s="2" t="str">
        <f ca="1">IF(ISNUMBER(A841),
IF(COUNTIFS(Equipar!B:B,1,Equipar!AC:AC,A841),"Equipada",
IF(
OR(COUNTIFS(Equipar!B:B,1,Equipar!C:C,A841)
 +COUNTIFS(Equipar!B:B,1,Equipar!D:D,A841)
+COUNTIFS(Equipar!B:B,1,Equipar!E:E,A841)
+COUNTIFS(Equipar!B:B,1,Equipar!F:F,A841)
&gt;0,COUNTIF('Set recomendado'!B:B,C841)=0),
"Bloqueada",
"Desechable")),""
)</f>
        <v/>
      </c>
      <c r="J841" t="str" cm="1">
        <f t="array" aca="1" ref="J841" ca="1">IF(ISNUMBER(A841),IFERROR(_xlfn._xlws.FILTER(Equipar!A:A,(Equipar!B:B=1)*(Equipar!AC:AC=A841)),""),"")</f>
        <v/>
      </c>
    </row>
    <row r="842" spans="1:10" x14ac:dyDescent="0.25">
      <c r="A842" s="1" t="str">
        <f ca="1">IF(A841="ID",1,IF(ISBLANK(B842),"",MAX(A$2:A841)+1))</f>
        <v/>
      </c>
      <c r="I842" s="2" t="str">
        <f ca="1">IF(ISNUMBER(A842),
IF(COUNTIFS(Equipar!B:B,1,Equipar!AC:AC,A842),"Equipada",
IF(
OR(COUNTIFS(Equipar!B:B,1,Equipar!C:C,A842)
 +COUNTIFS(Equipar!B:B,1,Equipar!D:D,A842)
+COUNTIFS(Equipar!B:B,1,Equipar!E:E,A842)
+COUNTIFS(Equipar!B:B,1,Equipar!F:F,A842)
&gt;0,COUNTIF('Set recomendado'!B:B,C842)=0),
"Bloqueada",
"Desechable")),""
)</f>
        <v/>
      </c>
      <c r="J842" t="str" cm="1">
        <f t="array" aca="1" ref="J842" ca="1">IF(ISNUMBER(A842),IFERROR(_xlfn._xlws.FILTER(Equipar!A:A,(Equipar!B:B=1)*(Equipar!AC:AC=A842)),""),"")</f>
        <v/>
      </c>
    </row>
    <row r="843" spans="1:10" x14ac:dyDescent="0.25">
      <c r="A843" s="1" t="str">
        <f ca="1">IF(A842="ID",1,IF(ISBLANK(B843),"",MAX(A$2:A842)+1))</f>
        <v/>
      </c>
      <c r="I843" s="2" t="str">
        <f ca="1">IF(ISNUMBER(A843),
IF(COUNTIFS(Equipar!B:B,1,Equipar!AC:AC,A843),"Equipada",
IF(
OR(COUNTIFS(Equipar!B:B,1,Equipar!C:C,A843)
 +COUNTIFS(Equipar!B:B,1,Equipar!D:D,A843)
+COUNTIFS(Equipar!B:B,1,Equipar!E:E,A843)
+COUNTIFS(Equipar!B:B,1,Equipar!F:F,A843)
&gt;0,COUNTIF('Set recomendado'!B:B,C843)=0),
"Bloqueada",
"Desechable")),""
)</f>
        <v/>
      </c>
      <c r="J843" t="str" cm="1">
        <f t="array" aca="1" ref="J843" ca="1">IF(ISNUMBER(A843),IFERROR(_xlfn._xlws.FILTER(Equipar!A:A,(Equipar!B:B=1)*(Equipar!AC:AC=A843)),""),"")</f>
        <v/>
      </c>
    </row>
    <row r="844" spans="1:10" x14ac:dyDescent="0.25">
      <c r="A844" s="1" t="str">
        <f ca="1">IF(A843="ID",1,IF(ISBLANK(B844),"",MAX(A$2:A843)+1))</f>
        <v/>
      </c>
      <c r="I844" s="2" t="str">
        <f ca="1">IF(ISNUMBER(A844),
IF(COUNTIFS(Equipar!B:B,1,Equipar!AC:AC,A844),"Equipada",
IF(
OR(COUNTIFS(Equipar!B:B,1,Equipar!C:C,A844)
 +COUNTIFS(Equipar!B:B,1,Equipar!D:D,A844)
+COUNTIFS(Equipar!B:B,1,Equipar!E:E,A844)
+COUNTIFS(Equipar!B:B,1,Equipar!F:F,A844)
&gt;0,COUNTIF('Set recomendado'!B:B,C844)=0),
"Bloqueada",
"Desechable")),""
)</f>
        <v/>
      </c>
      <c r="J844" t="str" cm="1">
        <f t="array" aca="1" ref="J844" ca="1">IF(ISNUMBER(A844),IFERROR(_xlfn._xlws.FILTER(Equipar!A:A,(Equipar!B:B=1)*(Equipar!AC:AC=A844)),""),"")</f>
        <v/>
      </c>
    </row>
    <row r="845" spans="1:10" x14ac:dyDescent="0.25">
      <c r="A845" s="1" t="str">
        <f ca="1">IF(A844="ID",1,IF(ISBLANK(B845),"",MAX(A$2:A844)+1))</f>
        <v/>
      </c>
      <c r="I845" s="2" t="str">
        <f ca="1">IF(ISNUMBER(A845),
IF(COUNTIFS(Equipar!B:B,1,Equipar!AC:AC,A845),"Equipada",
IF(
OR(COUNTIFS(Equipar!B:B,1,Equipar!C:C,A845)
 +COUNTIFS(Equipar!B:B,1,Equipar!D:D,A845)
+COUNTIFS(Equipar!B:B,1,Equipar!E:E,A845)
+COUNTIFS(Equipar!B:B,1,Equipar!F:F,A845)
&gt;0,COUNTIF('Set recomendado'!B:B,C845)=0),
"Bloqueada",
"Desechable")),""
)</f>
        <v/>
      </c>
      <c r="J845" t="str" cm="1">
        <f t="array" aca="1" ref="J845" ca="1">IF(ISNUMBER(A845),IFERROR(_xlfn._xlws.FILTER(Equipar!A:A,(Equipar!B:B=1)*(Equipar!AC:AC=A845)),""),"")</f>
        <v/>
      </c>
    </row>
    <row r="846" spans="1:10" x14ac:dyDescent="0.25">
      <c r="A846" s="1" t="str">
        <f ca="1">IF(A845="ID",1,IF(ISBLANK(B846),"",MAX(A$2:A845)+1))</f>
        <v/>
      </c>
      <c r="I846" s="2" t="str">
        <f ca="1">IF(ISNUMBER(A846),
IF(COUNTIFS(Equipar!B:B,1,Equipar!AC:AC,A846),"Equipada",
IF(
OR(COUNTIFS(Equipar!B:B,1,Equipar!C:C,A846)
 +COUNTIFS(Equipar!B:B,1,Equipar!D:D,A846)
+COUNTIFS(Equipar!B:B,1,Equipar!E:E,A846)
+COUNTIFS(Equipar!B:B,1,Equipar!F:F,A846)
&gt;0,COUNTIF('Set recomendado'!B:B,C846)=0),
"Bloqueada",
"Desechable")),""
)</f>
        <v/>
      </c>
      <c r="J846" t="str" cm="1">
        <f t="array" aca="1" ref="J846" ca="1">IF(ISNUMBER(A846),IFERROR(_xlfn._xlws.FILTER(Equipar!A:A,(Equipar!B:B=1)*(Equipar!AC:AC=A846)),""),"")</f>
        <v/>
      </c>
    </row>
    <row r="847" spans="1:10" x14ac:dyDescent="0.25">
      <c r="A847" s="1" t="str">
        <f ca="1">IF(A846="ID",1,IF(ISBLANK(B847),"",MAX(A$2:A846)+1))</f>
        <v/>
      </c>
      <c r="I847" s="2" t="str">
        <f ca="1">IF(ISNUMBER(A847),
IF(COUNTIFS(Equipar!B:B,1,Equipar!AC:AC,A847),"Equipada",
IF(
OR(COUNTIFS(Equipar!B:B,1,Equipar!C:C,A847)
 +COUNTIFS(Equipar!B:B,1,Equipar!D:D,A847)
+COUNTIFS(Equipar!B:B,1,Equipar!E:E,A847)
+COUNTIFS(Equipar!B:B,1,Equipar!F:F,A847)
&gt;0,COUNTIF('Set recomendado'!B:B,C847)=0),
"Bloqueada",
"Desechable")),""
)</f>
        <v/>
      </c>
      <c r="J847" t="str" cm="1">
        <f t="array" aca="1" ref="J847" ca="1">IF(ISNUMBER(A847),IFERROR(_xlfn._xlws.FILTER(Equipar!A:A,(Equipar!B:B=1)*(Equipar!AC:AC=A847)),""),"")</f>
        <v/>
      </c>
    </row>
    <row r="848" spans="1:10" x14ac:dyDescent="0.25">
      <c r="A848" s="1" t="str">
        <f ca="1">IF(A847="ID",1,IF(ISBLANK(B848),"",MAX(A$2:A847)+1))</f>
        <v/>
      </c>
      <c r="I848" s="2" t="str">
        <f ca="1">IF(ISNUMBER(A848),
IF(COUNTIFS(Equipar!B:B,1,Equipar!AC:AC,A848),"Equipada",
IF(
OR(COUNTIFS(Equipar!B:B,1,Equipar!C:C,A848)
 +COUNTIFS(Equipar!B:B,1,Equipar!D:D,A848)
+COUNTIFS(Equipar!B:B,1,Equipar!E:E,A848)
+COUNTIFS(Equipar!B:B,1,Equipar!F:F,A848)
&gt;0,COUNTIF('Set recomendado'!B:B,C848)=0),
"Bloqueada",
"Desechable")),""
)</f>
        <v/>
      </c>
      <c r="J848" t="str" cm="1">
        <f t="array" aca="1" ref="J848" ca="1">IF(ISNUMBER(A848),IFERROR(_xlfn._xlws.FILTER(Equipar!A:A,(Equipar!B:B=1)*(Equipar!AC:AC=A848)),""),"")</f>
        <v/>
      </c>
    </row>
    <row r="849" spans="1:10" x14ac:dyDescent="0.25">
      <c r="A849" s="1" t="str">
        <f ca="1">IF(A848="ID",1,IF(ISBLANK(B849),"",MAX(A$2:A848)+1))</f>
        <v/>
      </c>
      <c r="I849" s="2" t="str">
        <f ca="1">IF(ISNUMBER(A849),
IF(COUNTIFS(Equipar!B:B,1,Equipar!AC:AC,A849),"Equipada",
IF(
OR(COUNTIFS(Equipar!B:B,1,Equipar!C:C,A849)
 +COUNTIFS(Equipar!B:B,1,Equipar!D:D,A849)
+COUNTIFS(Equipar!B:B,1,Equipar!E:E,A849)
+COUNTIFS(Equipar!B:B,1,Equipar!F:F,A849)
&gt;0,COUNTIF('Set recomendado'!B:B,C849)=0),
"Bloqueada",
"Desechable")),""
)</f>
        <v/>
      </c>
      <c r="J849" t="str" cm="1">
        <f t="array" aca="1" ref="J849" ca="1">IF(ISNUMBER(A849),IFERROR(_xlfn._xlws.FILTER(Equipar!A:A,(Equipar!B:B=1)*(Equipar!AC:AC=A849)),""),"")</f>
        <v/>
      </c>
    </row>
    <row r="850" spans="1:10" x14ac:dyDescent="0.25">
      <c r="A850" s="1" t="str">
        <f ca="1">IF(A849="ID",1,IF(ISBLANK(B850),"",MAX(A$2:A849)+1))</f>
        <v/>
      </c>
      <c r="I850" s="2" t="str">
        <f ca="1">IF(ISNUMBER(A850),
IF(COUNTIFS(Equipar!B:B,1,Equipar!AC:AC,A850),"Equipada",
IF(
OR(COUNTIFS(Equipar!B:B,1,Equipar!C:C,A850)
 +COUNTIFS(Equipar!B:B,1,Equipar!D:D,A850)
+COUNTIFS(Equipar!B:B,1,Equipar!E:E,A850)
+COUNTIFS(Equipar!B:B,1,Equipar!F:F,A850)
&gt;0,COUNTIF('Set recomendado'!B:B,C850)=0),
"Bloqueada",
"Desechable")),""
)</f>
        <v/>
      </c>
      <c r="J850" t="str" cm="1">
        <f t="array" aca="1" ref="J850" ca="1">IF(ISNUMBER(A850),IFERROR(_xlfn._xlws.FILTER(Equipar!A:A,(Equipar!B:B=1)*(Equipar!AC:AC=A850)),""),"")</f>
        <v/>
      </c>
    </row>
    <row r="851" spans="1:10" x14ac:dyDescent="0.25">
      <c r="A851" s="1" t="str">
        <f ca="1">IF(A850="ID",1,IF(ISBLANK(B851),"",MAX(A$2:A850)+1))</f>
        <v/>
      </c>
      <c r="I851" s="2" t="str">
        <f ca="1">IF(ISNUMBER(A851),
IF(COUNTIFS(Equipar!B:B,1,Equipar!AC:AC,A851),"Equipada",
IF(
OR(COUNTIFS(Equipar!B:B,1,Equipar!C:C,A851)
 +COUNTIFS(Equipar!B:B,1,Equipar!D:D,A851)
+COUNTIFS(Equipar!B:B,1,Equipar!E:E,A851)
+COUNTIFS(Equipar!B:B,1,Equipar!F:F,A851)
&gt;0,COUNTIF('Set recomendado'!B:B,C851)=0),
"Bloqueada",
"Desechable")),""
)</f>
        <v/>
      </c>
      <c r="J851" t="str" cm="1">
        <f t="array" aca="1" ref="J851" ca="1">IF(ISNUMBER(A851),IFERROR(_xlfn._xlws.FILTER(Equipar!A:A,(Equipar!B:B=1)*(Equipar!AC:AC=A851)),""),"")</f>
        <v/>
      </c>
    </row>
    <row r="852" spans="1:10" x14ac:dyDescent="0.25">
      <c r="A852" s="1" t="str">
        <f ca="1">IF(A851="ID",1,IF(ISBLANK(B852),"",MAX(A$2:A851)+1))</f>
        <v/>
      </c>
      <c r="I852" s="2" t="str">
        <f ca="1">IF(ISNUMBER(A852),
IF(COUNTIFS(Equipar!B:B,1,Equipar!AC:AC,A852),"Equipada",
IF(
OR(COUNTIFS(Equipar!B:B,1,Equipar!C:C,A852)
 +COUNTIFS(Equipar!B:B,1,Equipar!D:D,A852)
+COUNTIFS(Equipar!B:B,1,Equipar!E:E,A852)
+COUNTIFS(Equipar!B:B,1,Equipar!F:F,A852)
&gt;0,COUNTIF('Set recomendado'!B:B,C852)=0),
"Bloqueada",
"Desechable")),""
)</f>
        <v/>
      </c>
      <c r="J852" t="str" cm="1">
        <f t="array" aca="1" ref="J852" ca="1">IF(ISNUMBER(A852),IFERROR(_xlfn._xlws.FILTER(Equipar!A:A,(Equipar!B:B=1)*(Equipar!AC:AC=A852)),""),"")</f>
        <v/>
      </c>
    </row>
    <row r="853" spans="1:10" x14ac:dyDescent="0.25">
      <c r="A853" s="1" t="str">
        <f ca="1">IF(A852="ID",1,IF(ISBLANK(B853),"",MAX(A$2:A852)+1))</f>
        <v/>
      </c>
      <c r="I853" s="2" t="str">
        <f ca="1">IF(ISNUMBER(A853),
IF(COUNTIFS(Equipar!B:B,1,Equipar!AC:AC,A853),"Equipada",
IF(
OR(COUNTIFS(Equipar!B:B,1,Equipar!C:C,A853)
 +COUNTIFS(Equipar!B:B,1,Equipar!D:D,A853)
+COUNTIFS(Equipar!B:B,1,Equipar!E:E,A853)
+COUNTIFS(Equipar!B:B,1,Equipar!F:F,A853)
&gt;0,COUNTIF('Set recomendado'!B:B,C853)=0),
"Bloqueada",
"Desechable")),""
)</f>
        <v/>
      </c>
      <c r="J853" t="str" cm="1">
        <f t="array" aca="1" ref="J853" ca="1">IF(ISNUMBER(A853),IFERROR(_xlfn._xlws.FILTER(Equipar!A:A,(Equipar!B:B=1)*(Equipar!AC:AC=A853)),""),"")</f>
        <v/>
      </c>
    </row>
    <row r="854" spans="1:10" x14ac:dyDescent="0.25">
      <c r="A854" s="1" t="str">
        <f ca="1">IF(A853="ID",1,IF(ISBLANK(B854),"",MAX(A$2:A853)+1))</f>
        <v/>
      </c>
      <c r="I854" s="2" t="str">
        <f ca="1">IF(ISNUMBER(A854),
IF(COUNTIFS(Equipar!B:B,1,Equipar!AC:AC,A854),"Equipada",
IF(
OR(COUNTIFS(Equipar!B:B,1,Equipar!C:C,A854)
 +COUNTIFS(Equipar!B:B,1,Equipar!D:D,A854)
+COUNTIFS(Equipar!B:B,1,Equipar!E:E,A854)
+COUNTIFS(Equipar!B:B,1,Equipar!F:F,A854)
&gt;0,COUNTIF('Set recomendado'!B:B,C854)=0),
"Bloqueada",
"Desechable")),""
)</f>
        <v/>
      </c>
      <c r="J854" t="str" cm="1">
        <f t="array" aca="1" ref="J854" ca="1">IF(ISNUMBER(A854),IFERROR(_xlfn._xlws.FILTER(Equipar!A:A,(Equipar!B:B=1)*(Equipar!AC:AC=A854)),""),"")</f>
        <v/>
      </c>
    </row>
    <row r="855" spans="1:10" x14ac:dyDescent="0.25">
      <c r="A855" s="1" t="str">
        <f ca="1">IF(A854="ID",1,IF(ISBLANK(B855),"",MAX(A$2:A854)+1))</f>
        <v/>
      </c>
      <c r="I855" s="2" t="str">
        <f ca="1">IF(ISNUMBER(A855),
IF(COUNTIFS(Equipar!B:B,1,Equipar!AC:AC,A855),"Equipada",
IF(
OR(COUNTIFS(Equipar!B:B,1,Equipar!C:C,A855)
 +COUNTIFS(Equipar!B:B,1,Equipar!D:D,A855)
+COUNTIFS(Equipar!B:B,1,Equipar!E:E,A855)
+COUNTIFS(Equipar!B:B,1,Equipar!F:F,A855)
&gt;0,COUNTIF('Set recomendado'!B:B,C855)=0),
"Bloqueada",
"Desechable")),""
)</f>
        <v/>
      </c>
      <c r="J855" t="str" cm="1">
        <f t="array" aca="1" ref="J855" ca="1">IF(ISNUMBER(A855),IFERROR(_xlfn._xlws.FILTER(Equipar!A:A,(Equipar!B:B=1)*(Equipar!AC:AC=A855)),""),"")</f>
        <v/>
      </c>
    </row>
    <row r="856" spans="1:10" x14ac:dyDescent="0.25">
      <c r="A856" s="1" t="str">
        <f ca="1">IF(A855="ID",1,IF(ISBLANK(B856),"",MAX(A$2:A855)+1))</f>
        <v/>
      </c>
      <c r="I856" s="2" t="str">
        <f ca="1">IF(ISNUMBER(A856),
IF(COUNTIFS(Equipar!B:B,1,Equipar!AC:AC,A856),"Equipada",
IF(
OR(COUNTIFS(Equipar!B:B,1,Equipar!C:C,A856)
 +COUNTIFS(Equipar!B:B,1,Equipar!D:D,A856)
+COUNTIFS(Equipar!B:B,1,Equipar!E:E,A856)
+COUNTIFS(Equipar!B:B,1,Equipar!F:F,A856)
&gt;0,COUNTIF('Set recomendado'!B:B,C856)=0),
"Bloqueada",
"Desechable")),""
)</f>
        <v/>
      </c>
      <c r="J856" t="str" cm="1">
        <f t="array" aca="1" ref="J856" ca="1">IF(ISNUMBER(A856),IFERROR(_xlfn._xlws.FILTER(Equipar!A:A,(Equipar!B:B=1)*(Equipar!AC:AC=A856)),""),"")</f>
        <v/>
      </c>
    </row>
    <row r="857" spans="1:10" x14ac:dyDescent="0.25">
      <c r="A857" s="1" t="str">
        <f ca="1">IF(A856="ID",1,IF(ISBLANK(B857),"",MAX(A$2:A856)+1))</f>
        <v/>
      </c>
      <c r="I857" s="2" t="str">
        <f ca="1">IF(ISNUMBER(A857),
IF(COUNTIFS(Equipar!B:B,1,Equipar!AC:AC,A857),"Equipada",
IF(
OR(COUNTIFS(Equipar!B:B,1,Equipar!C:C,A857)
 +COUNTIFS(Equipar!B:B,1,Equipar!D:D,A857)
+COUNTIFS(Equipar!B:B,1,Equipar!E:E,A857)
+COUNTIFS(Equipar!B:B,1,Equipar!F:F,A857)
&gt;0,COUNTIF('Set recomendado'!B:B,C857)=0),
"Bloqueada",
"Desechable")),""
)</f>
        <v/>
      </c>
      <c r="J857" t="str" cm="1">
        <f t="array" aca="1" ref="J857" ca="1">IF(ISNUMBER(A857),IFERROR(_xlfn._xlws.FILTER(Equipar!A:A,(Equipar!B:B=1)*(Equipar!AC:AC=A857)),""),"")</f>
        <v/>
      </c>
    </row>
    <row r="858" spans="1:10" x14ac:dyDescent="0.25">
      <c r="A858" s="1" t="str">
        <f ca="1">IF(A857="ID",1,IF(ISBLANK(B858),"",MAX(A$2:A857)+1))</f>
        <v/>
      </c>
      <c r="I858" s="2" t="str">
        <f ca="1">IF(ISNUMBER(A858),
IF(COUNTIFS(Equipar!B:B,1,Equipar!AC:AC,A858),"Equipada",
IF(
OR(COUNTIFS(Equipar!B:B,1,Equipar!C:C,A858)
 +COUNTIFS(Equipar!B:B,1,Equipar!D:D,A858)
+COUNTIFS(Equipar!B:B,1,Equipar!E:E,A858)
+COUNTIFS(Equipar!B:B,1,Equipar!F:F,A858)
&gt;0,COUNTIF('Set recomendado'!B:B,C858)=0),
"Bloqueada",
"Desechable")),""
)</f>
        <v/>
      </c>
      <c r="J858" t="str" cm="1">
        <f t="array" aca="1" ref="J858" ca="1">IF(ISNUMBER(A858),IFERROR(_xlfn._xlws.FILTER(Equipar!A:A,(Equipar!B:B=1)*(Equipar!AC:AC=A858)),""),"")</f>
        <v/>
      </c>
    </row>
    <row r="859" spans="1:10" x14ac:dyDescent="0.25">
      <c r="A859" s="1" t="str">
        <f ca="1">IF(A858="ID",1,IF(ISBLANK(B859),"",MAX(A$2:A858)+1))</f>
        <v/>
      </c>
      <c r="I859" s="2" t="str">
        <f ca="1">IF(ISNUMBER(A859),
IF(COUNTIFS(Equipar!B:B,1,Equipar!AC:AC,A859),"Equipada",
IF(
OR(COUNTIFS(Equipar!B:B,1,Equipar!C:C,A859)
 +COUNTIFS(Equipar!B:B,1,Equipar!D:D,A859)
+COUNTIFS(Equipar!B:B,1,Equipar!E:E,A859)
+COUNTIFS(Equipar!B:B,1,Equipar!F:F,A859)
&gt;0,COUNTIF('Set recomendado'!B:B,C859)=0),
"Bloqueada",
"Desechable")),""
)</f>
        <v/>
      </c>
      <c r="J859" t="str" cm="1">
        <f t="array" aca="1" ref="J859" ca="1">IF(ISNUMBER(A859),IFERROR(_xlfn._xlws.FILTER(Equipar!A:A,(Equipar!B:B=1)*(Equipar!AC:AC=A859)),""),"")</f>
        <v/>
      </c>
    </row>
    <row r="860" spans="1:10" x14ac:dyDescent="0.25">
      <c r="A860" s="1" t="str">
        <f ca="1">IF(A859="ID",1,IF(ISBLANK(B860),"",MAX(A$2:A859)+1))</f>
        <v/>
      </c>
      <c r="I860" s="2" t="str">
        <f ca="1">IF(ISNUMBER(A860),
IF(COUNTIFS(Equipar!B:B,1,Equipar!AC:AC,A860),"Equipada",
IF(
OR(COUNTIFS(Equipar!B:B,1,Equipar!C:C,A860)
 +COUNTIFS(Equipar!B:B,1,Equipar!D:D,A860)
+COUNTIFS(Equipar!B:B,1,Equipar!E:E,A860)
+COUNTIFS(Equipar!B:B,1,Equipar!F:F,A860)
&gt;0,COUNTIF('Set recomendado'!B:B,C860)=0),
"Bloqueada",
"Desechable")),""
)</f>
        <v/>
      </c>
      <c r="J860" t="str" cm="1">
        <f t="array" aca="1" ref="J860" ca="1">IF(ISNUMBER(A860),IFERROR(_xlfn._xlws.FILTER(Equipar!A:A,(Equipar!B:B=1)*(Equipar!AC:AC=A860)),""),"")</f>
        <v/>
      </c>
    </row>
    <row r="861" spans="1:10" x14ac:dyDescent="0.25">
      <c r="A861" s="1" t="str">
        <f ca="1">IF(A860="ID",1,IF(ISBLANK(B861),"",MAX(A$2:A860)+1))</f>
        <v/>
      </c>
      <c r="I861" s="2" t="str">
        <f ca="1">IF(ISNUMBER(A861),
IF(COUNTIFS(Equipar!B:B,1,Equipar!AC:AC,A861),"Equipada",
IF(
OR(COUNTIFS(Equipar!B:B,1,Equipar!C:C,A861)
 +COUNTIFS(Equipar!B:B,1,Equipar!D:D,A861)
+COUNTIFS(Equipar!B:B,1,Equipar!E:E,A861)
+COUNTIFS(Equipar!B:B,1,Equipar!F:F,A861)
&gt;0,COUNTIF('Set recomendado'!B:B,C861)=0),
"Bloqueada",
"Desechable")),""
)</f>
        <v/>
      </c>
      <c r="J861" t="str" cm="1">
        <f t="array" aca="1" ref="J861" ca="1">IF(ISNUMBER(A861),IFERROR(_xlfn._xlws.FILTER(Equipar!A:A,(Equipar!B:B=1)*(Equipar!AC:AC=A861)),""),"")</f>
        <v/>
      </c>
    </row>
    <row r="862" spans="1:10" x14ac:dyDescent="0.25">
      <c r="A862" s="1" t="str">
        <f ca="1">IF(A861="ID",1,IF(ISBLANK(B862),"",MAX(A$2:A861)+1))</f>
        <v/>
      </c>
      <c r="I862" s="2" t="str">
        <f ca="1">IF(ISNUMBER(A862),
IF(COUNTIFS(Equipar!B:B,1,Equipar!AC:AC,A862),"Equipada",
IF(
OR(COUNTIFS(Equipar!B:B,1,Equipar!C:C,A862)
 +COUNTIFS(Equipar!B:B,1,Equipar!D:D,A862)
+COUNTIFS(Equipar!B:B,1,Equipar!E:E,A862)
+COUNTIFS(Equipar!B:B,1,Equipar!F:F,A862)
&gt;0,COUNTIF('Set recomendado'!B:B,C862)=0),
"Bloqueada",
"Desechable")),""
)</f>
        <v/>
      </c>
      <c r="J862" t="str" cm="1">
        <f t="array" aca="1" ref="J862" ca="1">IF(ISNUMBER(A862),IFERROR(_xlfn._xlws.FILTER(Equipar!A:A,(Equipar!B:B=1)*(Equipar!AC:AC=A862)),""),"")</f>
        <v/>
      </c>
    </row>
    <row r="863" spans="1:10" x14ac:dyDescent="0.25">
      <c r="A863" s="1" t="str">
        <f ca="1">IF(A862="ID",1,IF(ISBLANK(B863),"",MAX(A$2:A862)+1))</f>
        <v/>
      </c>
      <c r="I863" s="2" t="str">
        <f ca="1">IF(ISNUMBER(A863),
IF(COUNTIFS(Equipar!B:B,1,Equipar!AC:AC,A863),"Equipada",
IF(
OR(COUNTIFS(Equipar!B:B,1,Equipar!C:C,A863)
 +COUNTIFS(Equipar!B:B,1,Equipar!D:D,A863)
+COUNTIFS(Equipar!B:B,1,Equipar!E:E,A863)
+COUNTIFS(Equipar!B:B,1,Equipar!F:F,A863)
&gt;0,COUNTIF('Set recomendado'!B:B,C863)=0),
"Bloqueada",
"Desechable")),""
)</f>
        <v/>
      </c>
      <c r="J863" t="str" cm="1">
        <f t="array" aca="1" ref="J863" ca="1">IF(ISNUMBER(A863),IFERROR(_xlfn._xlws.FILTER(Equipar!A:A,(Equipar!B:B=1)*(Equipar!AC:AC=A863)),""),"")</f>
        <v/>
      </c>
    </row>
    <row r="864" spans="1:10" x14ac:dyDescent="0.25">
      <c r="A864" s="1" t="str">
        <f ca="1">IF(A863="ID",1,IF(ISBLANK(B864),"",MAX(A$2:A863)+1))</f>
        <v/>
      </c>
      <c r="I864" s="2" t="str">
        <f ca="1">IF(ISNUMBER(A864),
IF(COUNTIFS(Equipar!B:B,1,Equipar!AC:AC,A864),"Equipada",
IF(
OR(COUNTIFS(Equipar!B:B,1,Equipar!C:C,A864)
 +COUNTIFS(Equipar!B:B,1,Equipar!D:D,A864)
+COUNTIFS(Equipar!B:B,1,Equipar!E:E,A864)
+COUNTIFS(Equipar!B:B,1,Equipar!F:F,A864)
&gt;0,COUNTIF('Set recomendado'!B:B,C864)=0),
"Bloqueada",
"Desechable")),""
)</f>
        <v/>
      </c>
      <c r="J864" t="str" cm="1">
        <f t="array" aca="1" ref="J864" ca="1">IF(ISNUMBER(A864),IFERROR(_xlfn._xlws.FILTER(Equipar!A:A,(Equipar!B:B=1)*(Equipar!AC:AC=A864)),""),"")</f>
        <v/>
      </c>
    </row>
    <row r="865" spans="1:10" x14ac:dyDescent="0.25">
      <c r="A865" s="1" t="str">
        <f ca="1">IF(A864="ID",1,IF(ISBLANK(B865),"",MAX(A$2:A864)+1))</f>
        <v/>
      </c>
      <c r="I865" s="2" t="str">
        <f ca="1">IF(ISNUMBER(A865),
IF(COUNTIFS(Equipar!B:B,1,Equipar!AC:AC,A865),"Equipada",
IF(
OR(COUNTIFS(Equipar!B:B,1,Equipar!C:C,A865)
 +COUNTIFS(Equipar!B:B,1,Equipar!D:D,A865)
+COUNTIFS(Equipar!B:B,1,Equipar!E:E,A865)
+COUNTIFS(Equipar!B:B,1,Equipar!F:F,A865)
&gt;0,COUNTIF('Set recomendado'!B:B,C865)=0),
"Bloqueada",
"Desechable")),""
)</f>
        <v/>
      </c>
      <c r="J865" t="str" cm="1">
        <f t="array" aca="1" ref="J865" ca="1">IF(ISNUMBER(A865),IFERROR(_xlfn._xlws.FILTER(Equipar!A:A,(Equipar!B:B=1)*(Equipar!AC:AC=A865)),""),"")</f>
        <v/>
      </c>
    </row>
    <row r="866" spans="1:10" x14ac:dyDescent="0.25">
      <c r="A866" s="1" t="str">
        <f ca="1">IF(A865="ID",1,IF(ISBLANK(B866),"",MAX(A$2:A865)+1))</f>
        <v/>
      </c>
      <c r="I866" s="2" t="str">
        <f ca="1">IF(ISNUMBER(A866),
IF(COUNTIFS(Equipar!B:B,1,Equipar!AC:AC,A866),"Equipada",
IF(
OR(COUNTIFS(Equipar!B:B,1,Equipar!C:C,A866)
 +COUNTIFS(Equipar!B:B,1,Equipar!D:D,A866)
+COUNTIFS(Equipar!B:B,1,Equipar!E:E,A866)
+COUNTIFS(Equipar!B:B,1,Equipar!F:F,A866)
&gt;0,COUNTIF('Set recomendado'!B:B,C866)=0),
"Bloqueada",
"Desechable")),""
)</f>
        <v/>
      </c>
      <c r="J866" t="str" cm="1">
        <f t="array" aca="1" ref="J866" ca="1">IF(ISNUMBER(A866),IFERROR(_xlfn._xlws.FILTER(Equipar!A:A,(Equipar!B:B=1)*(Equipar!AC:AC=A866)),""),"")</f>
        <v/>
      </c>
    </row>
    <row r="867" spans="1:10" x14ac:dyDescent="0.25">
      <c r="A867" s="1" t="str">
        <f ca="1">IF(A866="ID",1,IF(ISBLANK(B867),"",MAX(A$2:A866)+1))</f>
        <v/>
      </c>
      <c r="I867" s="2" t="str">
        <f ca="1">IF(ISNUMBER(A867),
IF(COUNTIFS(Equipar!B:B,1,Equipar!AC:AC,A867),"Equipada",
IF(
OR(COUNTIFS(Equipar!B:B,1,Equipar!C:C,A867)
 +COUNTIFS(Equipar!B:B,1,Equipar!D:D,A867)
+COUNTIFS(Equipar!B:B,1,Equipar!E:E,A867)
+COUNTIFS(Equipar!B:B,1,Equipar!F:F,A867)
&gt;0,COUNTIF('Set recomendado'!B:B,C867)=0),
"Bloqueada",
"Desechable")),""
)</f>
        <v/>
      </c>
      <c r="J867" t="str" cm="1">
        <f t="array" aca="1" ref="J867" ca="1">IF(ISNUMBER(A867),IFERROR(_xlfn._xlws.FILTER(Equipar!A:A,(Equipar!B:B=1)*(Equipar!AC:AC=A867)),""),"")</f>
        <v/>
      </c>
    </row>
    <row r="868" spans="1:10" x14ac:dyDescent="0.25">
      <c r="A868" s="1" t="str">
        <f ca="1">IF(A867="ID",1,IF(ISBLANK(B868),"",MAX(A$2:A867)+1))</f>
        <v/>
      </c>
      <c r="I868" s="2" t="str">
        <f ca="1">IF(ISNUMBER(A868),
IF(COUNTIFS(Equipar!B:B,1,Equipar!AC:AC,A868),"Equipada",
IF(
OR(COUNTIFS(Equipar!B:B,1,Equipar!C:C,A868)
 +COUNTIFS(Equipar!B:B,1,Equipar!D:D,A868)
+COUNTIFS(Equipar!B:B,1,Equipar!E:E,A868)
+COUNTIFS(Equipar!B:B,1,Equipar!F:F,A868)
&gt;0,COUNTIF('Set recomendado'!B:B,C868)=0),
"Bloqueada",
"Desechable")),""
)</f>
        <v/>
      </c>
      <c r="J868" t="str" cm="1">
        <f t="array" aca="1" ref="J868" ca="1">IF(ISNUMBER(A868),IFERROR(_xlfn._xlws.FILTER(Equipar!A:A,(Equipar!B:B=1)*(Equipar!AC:AC=A868)),""),"")</f>
        <v/>
      </c>
    </row>
    <row r="869" spans="1:10" x14ac:dyDescent="0.25">
      <c r="A869" s="1" t="str">
        <f ca="1">IF(A868="ID",1,IF(ISBLANK(B869),"",MAX(A$2:A868)+1))</f>
        <v/>
      </c>
      <c r="I869" s="2" t="str">
        <f ca="1">IF(ISNUMBER(A869),
IF(COUNTIFS(Equipar!B:B,1,Equipar!AC:AC,A869),"Equipada",
IF(
OR(COUNTIFS(Equipar!B:B,1,Equipar!C:C,A869)
 +COUNTIFS(Equipar!B:B,1,Equipar!D:D,A869)
+COUNTIFS(Equipar!B:B,1,Equipar!E:E,A869)
+COUNTIFS(Equipar!B:B,1,Equipar!F:F,A869)
&gt;0,COUNTIF('Set recomendado'!B:B,C869)=0),
"Bloqueada",
"Desechable")),""
)</f>
        <v/>
      </c>
      <c r="J869" t="str" cm="1">
        <f t="array" aca="1" ref="J869" ca="1">IF(ISNUMBER(A869),IFERROR(_xlfn._xlws.FILTER(Equipar!A:A,(Equipar!B:B=1)*(Equipar!AC:AC=A869)),""),"")</f>
        <v/>
      </c>
    </row>
    <row r="870" spans="1:10" x14ac:dyDescent="0.25">
      <c r="A870" s="1" t="str">
        <f ca="1">IF(A869="ID",1,IF(ISBLANK(B870),"",MAX(A$2:A869)+1))</f>
        <v/>
      </c>
      <c r="I870" s="2" t="str">
        <f ca="1">IF(ISNUMBER(A870),
IF(COUNTIFS(Equipar!B:B,1,Equipar!AC:AC,A870),"Equipada",
IF(
OR(COUNTIFS(Equipar!B:B,1,Equipar!C:C,A870)
 +COUNTIFS(Equipar!B:B,1,Equipar!D:D,A870)
+COUNTIFS(Equipar!B:B,1,Equipar!E:E,A870)
+COUNTIFS(Equipar!B:B,1,Equipar!F:F,A870)
&gt;0,COUNTIF('Set recomendado'!B:B,C870)=0),
"Bloqueada",
"Desechable")),""
)</f>
        <v/>
      </c>
      <c r="J870" t="str" cm="1">
        <f t="array" aca="1" ref="J870" ca="1">IF(ISNUMBER(A870),IFERROR(_xlfn._xlws.FILTER(Equipar!A:A,(Equipar!B:B=1)*(Equipar!AC:AC=A870)),""),"")</f>
        <v/>
      </c>
    </row>
    <row r="871" spans="1:10" x14ac:dyDescent="0.25">
      <c r="A871" s="1" t="str">
        <f ca="1">IF(A870="ID",1,IF(ISBLANK(B871),"",MAX(A$2:A870)+1))</f>
        <v/>
      </c>
      <c r="I871" s="2" t="str">
        <f ca="1">IF(ISNUMBER(A871),
IF(COUNTIFS(Equipar!B:B,1,Equipar!AC:AC,A871),"Equipada",
IF(
OR(COUNTIFS(Equipar!B:B,1,Equipar!C:C,A871)
 +COUNTIFS(Equipar!B:B,1,Equipar!D:D,A871)
+COUNTIFS(Equipar!B:B,1,Equipar!E:E,A871)
+COUNTIFS(Equipar!B:B,1,Equipar!F:F,A871)
&gt;0,COUNTIF('Set recomendado'!B:B,C871)=0),
"Bloqueada",
"Desechable")),""
)</f>
        <v/>
      </c>
      <c r="J871" t="str" cm="1">
        <f t="array" aca="1" ref="J871" ca="1">IF(ISNUMBER(A871),IFERROR(_xlfn._xlws.FILTER(Equipar!A:A,(Equipar!B:B=1)*(Equipar!AC:AC=A871)),""),"")</f>
        <v/>
      </c>
    </row>
    <row r="872" spans="1:10" x14ac:dyDescent="0.25">
      <c r="A872" s="1" t="str">
        <f ca="1">IF(A871="ID",1,IF(ISBLANK(B872),"",MAX(A$2:A871)+1))</f>
        <v/>
      </c>
      <c r="I872" s="2" t="str">
        <f ca="1">IF(ISNUMBER(A872),
IF(COUNTIFS(Equipar!B:B,1,Equipar!AC:AC,A872),"Equipada",
IF(
OR(COUNTIFS(Equipar!B:B,1,Equipar!C:C,A872)
 +COUNTIFS(Equipar!B:B,1,Equipar!D:D,A872)
+COUNTIFS(Equipar!B:B,1,Equipar!E:E,A872)
+COUNTIFS(Equipar!B:B,1,Equipar!F:F,A872)
&gt;0,COUNTIF('Set recomendado'!B:B,C872)=0),
"Bloqueada",
"Desechable")),""
)</f>
        <v/>
      </c>
      <c r="J872" t="str" cm="1">
        <f t="array" aca="1" ref="J872" ca="1">IF(ISNUMBER(A872),IFERROR(_xlfn._xlws.FILTER(Equipar!A:A,(Equipar!B:B=1)*(Equipar!AC:AC=A872)),""),"")</f>
        <v/>
      </c>
    </row>
    <row r="873" spans="1:10" x14ac:dyDescent="0.25">
      <c r="A873" s="1" t="str">
        <f ca="1">IF(A872="ID",1,IF(ISBLANK(B873),"",MAX(A$2:A872)+1))</f>
        <v/>
      </c>
      <c r="I873" s="2" t="str">
        <f ca="1">IF(ISNUMBER(A873),
IF(COUNTIFS(Equipar!B:B,1,Equipar!AC:AC,A873),"Equipada",
IF(
OR(COUNTIFS(Equipar!B:B,1,Equipar!C:C,A873)
 +COUNTIFS(Equipar!B:B,1,Equipar!D:D,A873)
+COUNTIFS(Equipar!B:B,1,Equipar!E:E,A873)
+COUNTIFS(Equipar!B:B,1,Equipar!F:F,A873)
&gt;0,COUNTIF('Set recomendado'!B:B,C873)=0),
"Bloqueada",
"Desechable")),""
)</f>
        <v/>
      </c>
      <c r="J873" t="str" cm="1">
        <f t="array" aca="1" ref="J873" ca="1">IF(ISNUMBER(A873),IFERROR(_xlfn._xlws.FILTER(Equipar!A:A,(Equipar!B:B=1)*(Equipar!AC:AC=A873)),""),"")</f>
        <v/>
      </c>
    </row>
    <row r="874" spans="1:10" x14ac:dyDescent="0.25">
      <c r="A874" s="1" t="str">
        <f ca="1">IF(A873="ID",1,IF(ISBLANK(B874),"",MAX(A$2:A873)+1))</f>
        <v/>
      </c>
      <c r="I874" s="2" t="str">
        <f ca="1">IF(ISNUMBER(A874),
IF(COUNTIFS(Equipar!B:B,1,Equipar!AC:AC,A874),"Equipada",
IF(
OR(COUNTIFS(Equipar!B:B,1,Equipar!C:C,A874)
 +COUNTIFS(Equipar!B:B,1,Equipar!D:D,A874)
+COUNTIFS(Equipar!B:B,1,Equipar!E:E,A874)
+COUNTIFS(Equipar!B:B,1,Equipar!F:F,A874)
&gt;0,COUNTIF('Set recomendado'!B:B,C874)=0),
"Bloqueada",
"Desechable")),""
)</f>
        <v/>
      </c>
      <c r="J874" t="str" cm="1">
        <f t="array" aca="1" ref="J874" ca="1">IF(ISNUMBER(A874),IFERROR(_xlfn._xlws.FILTER(Equipar!A:A,(Equipar!B:B=1)*(Equipar!AC:AC=A874)),""),"")</f>
        <v/>
      </c>
    </row>
    <row r="875" spans="1:10" x14ac:dyDescent="0.25">
      <c r="A875" s="1" t="str">
        <f ca="1">IF(A874="ID",1,IF(ISBLANK(B875),"",MAX(A$2:A874)+1))</f>
        <v/>
      </c>
      <c r="I875" s="2" t="str">
        <f ca="1">IF(ISNUMBER(A875),
IF(COUNTIFS(Equipar!B:B,1,Equipar!AC:AC,A875),"Equipada",
IF(
OR(COUNTIFS(Equipar!B:B,1,Equipar!C:C,A875)
 +COUNTIFS(Equipar!B:B,1,Equipar!D:D,A875)
+COUNTIFS(Equipar!B:B,1,Equipar!E:E,A875)
+COUNTIFS(Equipar!B:B,1,Equipar!F:F,A875)
&gt;0,COUNTIF('Set recomendado'!B:B,C875)=0),
"Bloqueada",
"Desechable")),""
)</f>
        <v/>
      </c>
      <c r="J875" t="str" cm="1">
        <f t="array" aca="1" ref="J875" ca="1">IF(ISNUMBER(A875),IFERROR(_xlfn._xlws.FILTER(Equipar!A:A,(Equipar!B:B=1)*(Equipar!AC:AC=A875)),""),"")</f>
        <v/>
      </c>
    </row>
    <row r="876" spans="1:10" x14ac:dyDescent="0.25">
      <c r="A876" s="1" t="str">
        <f ca="1">IF(A875="ID",1,IF(ISBLANK(B876),"",MAX(A$2:A875)+1))</f>
        <v/>
      </c>
      <c r="I876" s="2" t="str">
        <f ca="1">IF(ISNUMBER(A876),
IF(COUNTIFS(Equipar!B:B,1,Equipar!AC:AC,A876),"Equipada",
IF(
OR(COUNTIFS(Equipar!B:B,1,Equipar!C:C,A876)
 +COUNTIFS(Equipar!B:B,1,Equipar!D:D,A876)
+COUNTIFS(Equipar!B:B,1,Equipar!E:E,A876)
+COUNTIFS(Equipar!B:B,1,Equipar!F:F,A876)
&gt;0,COUNTIF('Set recomendado'!B:B,C876)=0),
"Bloqueada",
"Desechable")),""
)</f>
        <v/>
      </c>
      <c r="J876" t="str" cm="1">
        <f t="array" aca="1" ref="J876" ca="1">IF(ISNUMBER(A876),IFERROR(_xlfn._xlws.FILTER(Equipar!A:A,(Equipar!B:B=1)*(Equipar!AC:AC=A876)),""),"")</f>
        <v/>
      </c>
    </row>
    <row r="877" spans="1:10" x14ac:dyDescent="0.25">
      <c r="A877" s="1" t="str">
        <f ca="1">IF(A876="ID",1,IF(ISBLANK(B877),"",MAX(A$2:A876)+1))</f>
        <v/>
      </c>
      <c r="I877" s="2" t="str">
        <f ca="1">IF(ISNUMBER(A877),
IF(COUNTIFS(Equipar!B:B,1,Equipar!AC:AC,A877),"Equipada",
IF(
OR(COUNTIFS(Equipar!B:B,1,Equipar!C:C,A877)
 +COUNTIFS(Equipar!B:B,1,Equipar!D:D,A877)
+COUNTIFS(Equipar!B:B,1,Equipar!E:E,A877)
+COUNTIFS(Equipar!B:B,1,Equipar!F:F,A877)
&gt;0,COUNTIF('Set recomendado'!B:B,C877)=0),
"Bloqueada",
"Desechable")),""
)</f>
        <v/>
      </c>
      <c r="J877" t="str" cm="1">
        <f t="array" aca="1" ref="J877" ca="1">IF(ISNUMBER(A877),IFERROR(_xlfn._xlws.FILTER(Equipar!A:A,(Equipar!B:B=1)*(Equipar!AC:AC=A877)),""),"")</f>
        <v/>
      </c>
    </row>
    <row r="878" spans="1:10" x14ac:dyDescent="0.25">
      <c r="A878" s="1" t="str">
        <f ca="1">IF(A877="ID",1,IF(ISBLANK(B878),"",MAX(A$2:A877)+1))</f>
        <v/>
      </c>
      <c r="I878" s="2" t="str">
        <f ca="1">IF(ISNUMBER(A878),
IF(COUNTIFS(Equipar!B:B,1,Equipar!AC:AC,A878),"Equipada",
IF(
OR(COUNTIFS(Equipar!B:B,1,Equipar!C:C,A878)
 +COUNTIFS(Equipar!B:B,1,Equipar!D:D,A878)
+COUNTIFS(Equipar!B:B,1,Equipar!E:E,A878)
+COUNTIFS(Equipar!B:B,1,Equipar!F:F,A878)
&gt;0,COUNTIF('Set recomendado'!B:B,C878)=0),
"Bloqueada",
"Desechable")),""
)</f>
        <v/>
      </c>
      <c r="J878" t="str" cm="1">
        <f t="array" aca="1" ref="J878" ca="1">IF(ISNUMBER(A878),IFERROR(_xlfn._xlws.FILTER(Equipar!A:A,(Equipar!B:B=1)*(Equipar!AC:AC=A878)),""),"")</f>
        <v/>
      </c>
    </row>
    <row r="879" spans="1:10" x14ac:dyDescent="0.25">
      <c r="A879" s="1" t="str">
        <f ca="1">IF(A878="ID",1,IF(ISBLANK(B879),"",MAX(A$2:A878)+1))</f>
        <v/>
      </c>
      <c r="I879" s="2" t="str">
        <f ca="1">IF(ISNUMBER(A879),
IF(COUNTIFS(Equipar!B:B,1,Equipar!AC:AC,A879),"Equipada",
IF(
OR(COUNTIFS(Equipar!B:B,1,Equipar!C:C,A879)
 +COUNTIFS(Equipar!B:B,1,Equipar!D:D,A879)
+COUNTIFS(Equipar!B:B,1,Equipar!E:E,A879)
+COUNTIFS(Equipar!B:B,1,Equipar!F:F,A879)
&gt;0,COUNTIF('Set recomendado'!B:B,C879)=0),
"Bloqueada",
"Desechable")),""
)</f>
        <v/>
      </c>
      <c r="J879" t="str" cm="1">
        <f t="array" aca="1" ref="J879" ca="1">IF(ISNUMBER(A879),IFERROR(_xlfn._xlws.FILTER(Equipar!A:A,(Equipar!B:B=1)*(Equipar!AC:AC=A879)),""),"")</f>
        <v/>
      </c>
    </row>
    <row r="880" spans="1:10" x14ac:dyDescent="0.25">
      <c r="A880" s="1" t="str">
        <f ca="1">IF(A879="ID",1,IF(ISBLANK(B880),"",MAX(A$2:A879)+1))</f>
        <v/>
      </c>
      <c r="I880" s="2" t="str">
        <f ca="1">IF(ISNUMBER(A880),
IF(COUNTIFS(Equipar!B:B,1,Equipar!AC:AC,A880),"Equipada",
IF(
OR(COUNTIFS(Equipar!B:B,1,Equipar!C:C,A880)
 +COUNTIFS(Equipar!B:B,1,Equipar!D:D,A880)
+COUNTIFS(Equipar!B:B,1,Equipar!E:E,A880)
+COUNTIFS(Equipar!B:B,1,Equipar!F:F,A880)
&gt;0,COUNTIF('Set recomendado'!B:B,C880)=0),
"Bloqueada",
"Desechable")),""
)</f>
        <v/>
      </c>
      <c r="J880" t="str" cm="1">
        <f t="array" aca="1" ref="J880" ca="1">IF(ISNUMBER(A880),IFERROR(_xlfn._xlws.FILTER(Equipar!A:A,(Equipar!B:B=1)*(Equipar!AC:AC=A880)),""),"")</f>
        <v/>
      </c>
    </row>
    <row r="881" spans="1:10" x14ac:dyDescent="0.25">
      <c r="A881" s="1" t="str">
        <f ca="1">IF(A880="ID",1,IF(ISBLANK(B881),"",MAX(A$2:A880)+1))</f>
        <v/>
      </c>
      <c r="I881" s="2" t="str">
        <f ca="1">IF(ISNUMBER(A881),
IF(COUNTIFS(Equipar!B:B,1,Equipar!AC:AC,A881),"Equipada",
IF(
OR(COUNTIFS(Equipar!B:B,1,Equipar!C:C,A881)
 +COUNTIFS(Equipar!B:B,1,Equipar!D:D,A881)
+COUNTIFS(Equipar!B:B,1,Equipar!E:E,A881)
+COUNTIFS(Equipar!B:B,1,Equipar!F:F,A881)
&gt;0,COUNTIF('Set recomendado'!B:B,C881)=0),
"Bloqueada",
"Desechable")),""
)</f>
        <v/>
      </c>
      <c r="J881" t="str" cm="1">
        <f t="array" aca="1" ref="J881" ca="1">IF(ISNUMBER(A881),IFERROR(_xlfn._xlws.FILTER(Equipar!A:A,(Equipar!B:B=1)*(Equipar!AC:AC=A881)),""),"")</f>
        <v/>
      </c>
    </row>
    <row r="882" spans="1:10" x14ac:dyDescent="0.25">
      <c r="A882" s="1" t="str">
        <f ca="1">IF(A881="ID",1,IF(ISBLANK(B882),"",MAX(A$2:A881)+1))</f>
        <v/>
      </c>
      <c r="I882" s="2" t="str">
        <f ca="1">IF(ISNUMBER(A882),
IF(COUNTIFS(Equipar!B:B,1,Equipar!AC:AC,A882),"Equipada",
IF(
OR(COUNTIFS(Equipar!B:B,1,Equipar!C:C,A882)
 +COUNTIFS(Equipar!B:B,1,Equipar!D:D,A882)
+COUNTIFS(Equipar!B:B,1,Equipar!E:E,A882)
+COUNTIFS(Equipar!B:B,1,Equipar!F:F,A882)
&gt;0,COUNTIF('Set recomendado'!B:B,C882)=0),
"Bloqueada",
"Desechable")),""
)</f>
        <v/>
      </c>
      <c r="J882" t="str" cm="1">
        <f t="array" aca="1" ref="J882" ca="1">IF(ISNUMBER(A882),IFERROR(_xlfn._xlws.FILTER(Equipar!A:A,(Equipar!B:B=1)*(Equipar!AC:AC=A882)),""),"")</f>
        <v/>
      </c>
    </row>
    <row r="883" spans="1:10" x14ac:dyDescent="0.25">
      <c r="A883" s="1" t="str">
        <f ca="1">IF(A882="ID",1,IF(ISBLANK(B883),"",MAX(A$2:A882)+1))</f>
        <v/>
      </c>
      <c r="I883" s="2" t="str">
        <f ca="1">IF(ISNUMBER(A883),
IF(COUNTIFS(Equipar!B:B,1,Equipar!AC:AC,A883),"Equipada",
IF(
OR(COUNTIFS(Equipar!B:B,1,Equipar!C:C,A883)
 +COUNTIFS(Equipar!B:B,1,Equipar!D:D,A883)
+COUNTIFS(Equipar!B:B,1,Equipar!E:E,A883)
+COUNTIFS(Equipar!B:B,1,Equipar!F:F,A883)
&gt;0,COUNTIF('Set recomendado'!B:B,C883)=0),
"Bloqueada",
"Desechable")),""
)</f>
        <v/>
      </c>
      <c r="J883" t="str" cm="1">
        <f t="array" aca="1" ref="J883" ca="1">IF(ISNUMBER(A883),IFERROR(_xlfn._xlws.FILTER(Equipar!A:A,(Equipar!B:B=1)*(Equipar!AC:AC=A883)),""),"")</f>
        <v/>
      </c>
    </row>
    <row r="884" spans="1:10" x14ac:dyDescent="0.25">
      <c r="A884" s="1" t="str">
        <f ca="1">IF(A883="ID",1,IF(ISBLANK(B884),"",MAX(A$2:A883)+1))</f>
        <v/>
      </c>
      <c r="I884" s="2" t="str">
        <f ca="1">IF(ISNUMBER(A884),
IF(COUNTIFS(Equipar!B:B,1,Equipar!AC:AC,A884),"Equipada",
IF(
OR(COUNTIFS(Equipar!B:B,1,Equipar!C:C,A884)
 +COUNTIFS(Equipar!B:B,1,Equipar!D:D,A884)
+COUNTIFS(Equipar!B:B,1,Equipar!E:E,A884)
+COUNTIFS(Equipar!B:B,1,Equipar!F:F,A884)
&gt;0,COUNTIF('Set recomendado'!B:B,C884)=0),
"Bloqueada",
"Desechable")),""
)</f>
        <v/>
      </c>
      <c r="J884" t="str" cm="1">
        <f t="array" aca="1" ref="J884" ca="1">IF(ISNUMBER(A884),IFERROR(_xlfn._xlws.FILTER(Equipar!A:A,(Equipar!B:B=1)*(Equipar!AC:AC=A884)),""),"")</f>
        <v/>
      </c>
    </row>
    <row r="885" spans="1:10" x14ac:dyDescent="0.25">
      <c r="A885" s="1" t="str">
        <f ca="1">IF(A884="ID",1,IF(ISBLANK(B885),"",MAX(A$2:A884)+1))</f>
        <v/>
      </c>
      <c r="I885" s="2" t="str">
        <f ca="1">IF(ISNUMBER(A885),
IF(COUNTIFS(Equipar!B:B,1,Equipar!AC:AC,A885),"Equipada",
IF(
OR(COUNTIFS(Equipar!B:B,1,Equipar!C:C,A885)
 +COUNTIFS(Equipar!B:B,1,Equipar!D:D,A885)
+COUNTIFS(Equipar!B:B,1,Equipar!E:E,A885)
+COUNTIFS(Equipar!B:B,1,Equipar!F:F,A885)
&gt;0,COUNTIF('Set recomendado'!B:B,C885)=0),
"Bloqueada",
"Desechable")),""
)</f>
        <v/>
      </c>
      <c r="J885" t="str" cm="1">
        <f t="array" aca="1" ref="J885" ca="1">IF(ISNUMBER(A885),IFERROR(_xlfn._xlws.FILTER(Equipar!A:A,(Equipar!B:B=1)*(Equipar!AC:AC=A885)),""),"")</f>
        <v/>
      </c>
    </row>
    <row r="886" spans="1:10" x14ac:dyDescent="0.25">
      <c r="A886" s="1" t="str">
        <f ca="1">IF(A885="ID",1,IF(ISBLANK(B886),"",MAX(A$2:A885)+1))</f>
        <v/>
      </c>
      <c r="I886" s="2" t="str">
        <f ca="1">IF(ISNUMBER(A886),
IF(COUNTIFS(Equipar!B:B,1,Equipar!AC:AC,A886),"Equipada",
IF(
OR(COUNTIFS(Equipar!B:B,1,Equipar!C:C,A886)
 +COUNTIFS(Equipar!B:B,1,Equipar!D:D,A886)
+COUNTIFS(Equipar!B:B,1,Equipar!E:E,A886)
+COUNTIFS(Equipar!B:B,1,Equipar!F:F,A886)
&gt;0,COUNTIF('Set recomendado'!B:B,C886)=0),
"Bloqueada",
"Desechable")),""
)</f>
        <v/>
      </c>
      <c r="J886" t="str" cm="1">
        <f t="array" aca="1" ref="J886" ca="1">IF(ISNUMBER(A886),IFERROR(_xlfn._xlws.FILTER(Equipar!A:A,(Equipar!B:B=1)*(Equipar!AC:AC=A886)),""),"")</f>
        <v/>
      </c>
    </row>
    <row r="887" spans="1:10" x14ac:dyDescent="0.25">
      <c r="A887" s="1" t="str">
        <f ca="1">IF(A886="ID",1,IF(ISBLANK(B887),"",MAX(A$2:A886)+1))</f>
        <v/>
      </c>
      <c r="I887" s="2" t="str">
        <f ca="1">IF(ISNUMBER(A887),
IF(COUNTIFS(Equipar!B:B,1,Equipar!AC:AC,A887),"Equipada",
IF(
OR(COUNTIFS(Equipar!B:B,1,Equipar!C:C,A887)
 +COUNTIFS(Equipar!B:B,1,Equipar!D:D,A887)
+COUNTIFS(Equipar!B:B,1,Equipar!E:E,A887)
+COUNTIFS(Equipar!B:B,1,Equipar!F:F,A887)
&gt;0,COUNTIF('Set recomendado'!B:B,C887)=0),
"Bloqueada",
"Desechable")),""
)</f>
        <v/>
      </c>
      <c r="J887" t="str" cm="1">
        <f t="array" aca="1" ref="J887" ca="1">IF(ISNUMBER(A887),IFERROR(_xlfn._xlws.FILTER(Equipar!A:A,(Equipar!B:B=1)*(Equipar!AC:AC=A887)),""),"")</f>
        <v/>
      </c>
    </row>
    <row r="888" spans="1:10" x14ac:dyDescent="0.25">
      <c r="A888" s="1" t="str">
        <f ca="1">IF(A887="ID",1,IF(ISBLANK(B888),"",MAX(A$2:A887)+1))</f>
        <v/>
      </c>
      <c r="I888" s="2" t="str">
        <f ca="1">IF(ISNUMBER(A888),
IF(COUNTIFS(Equipar!B:B,1,Equipar!AC:AC,A888),"Equipada",
IF(
OR(COUNTIFS(Equipar!B:B,1,Equipar!C:C,A888)
 +COUNTIFS(Equipar!B:B,1,Equipar!D:D,A888)
+COUNTIFS(Equipar!B:B,1,Equipar!E:E,A888)
+COUNTIFS(Equipar!B:B,1,Equipar!F:F,A888)
&gt;0,COUNTIF('Set recomendado'!B:B,C888)=0),
"Bloqueada",
"Desechable")),""
)</f>
        <v/>
      </c>
      <c r="J888" t="str" cm="1">
        <f t="array" aca="1" ref="J888" ca="1">IF(ISNUMBER(A888),IFERROR(_xlfn._xlws.FILTER(Equipar!A:A,(Equipar!B:B=1)*(Equipar!AC:AC=A888)),""),"")</f>
        <v/>
      </c>
    </row>
    <row r="889" spans="1:10" x14ac:dyDescent="0.25">
      <c r="A889" s="1" t="str">
        <f ca="1">IF(A888="ID",1,IF(ISBLANK(B889),"",MAX(A$2:A888)+1))</f>
        <v/>
      </c>
      <c r="I889" s="2" t="str">
        <f ca="1">IF(ISNUMBER(A889),
IF(COUNTIFS(Equipar!B:B,1,Equipar!AC:AC,A889),"Equipada",
IF(
OR(COUNTIFS(Equipar!B:B,1,Equipar!C:C,A889)
 +COUNTIFS(Equipar!B:B,1,Equipar!D:D,A889)
+COUNTIFS(Equipar!B:B,1,Equipar!E:E,A889)
+COUNTIFS(Equipar!B:B,1,Equipar!F:F,A889)
&gt;0,COUNTIF('Set recomendado'!B:B,C889)=0),
"Bloqueada",
"Desechable")),""
)</f>
        <v/>
      </c>
      <c r="J889" t="str" cm="1">
        <f t="array" aca="1" ref="J889" ca="1">IF(ISNUMBER(A889),IFERROR(_xlfn._xlws.FILTER(Equipar!A:A,(Equipar!B:B=1)*(Equipar!AC:AC=A889)),""),"")</f>
        <v/>
      </c>
    </row>
    <row r="890" spans="1:10" x14ac:dyDescent="0.25">
      <c r="A890" s="1" t="str">
        <f ca="1">IF(A889="ID",1,IF(ISBLANK(B890),"",MAX(A$2:A889)+1))</f>
        <v/>
      </c>
      <c r="I890" s="2" t="str">
        <f ca="1">IF(ISNUMBER(A890),
IF(COUNTIFS(Equipar!B:B,1,Equipar!AC:AC,A890),"Equipada",
IF(
OR(COUNTIFS(Equipar!B:B,1,Equipar!C:C,A890)
 +COUNTIFS(Equipar!B:B,1,Equipar!D:D,A890)
+COUNTIFS(Equipar!B:B,1,Equipar!E:E,A890)
+COUNTIFS(Equipar!B:B,1,Equipar!F:F,A890)
&gt;0,COUNTIF('Set recomendado'!B:B,C890)=0),
"Bloqueada",
"Desechable")),""
)</f>
        <v/>
      </c>
      <c r="J890" t="str" cm="1">
        <f t="array" aca="1" ref="J890" ca="1">IF(ISNUMBER(A890),IFERROR(_xlfn._xlws.FILTER(Equipar!A:A,(Equipar!B:B=1)*(Equipar!AC:AC=A890)),""),"")</f>
        <v/>
      </c>
    </row>
    <row r="891" spans="1:10" x14ac:dyDescent="0.25">
      <c r="A891" s="1" t="str">
        <f ca="1">IF(A890="ID",1,IF(ISBLANK(B891),"",MAX(A$2:A890)+1))</f>
        <v/>
      </c>
      <c r="I891" s="2" t="str">
        <f ca="1">IF(ISNUMBER(A891),
IF(COUNTIFS(Equipar!B:B,1,Equipar!AC:AC,A891),"Equipada",
IF(
OR(COUNTIFS(Equipar!B:B,1,Equipar!C:C,A891)
 +COUNTIFS(Equipar!B:B,1,Equipar!D:D,A891)
+COUNTIFS(Equipar!B:B,1,Equipar!E:E,A891)
+COUNTIFS(Equipar!B:B,1,Equipar!F:F,A891)
&gt;0,COUNTIF('Set recomendado'!B:B,C891)=0),
"Bloqueada",
"Desechable")),""
)</f>
        <v/>
      </c>
      <c r="J891" t="str" cm="1">
        <f t="array" aca="1" ref="J891" ca="1">IF(ISNUMBER(A891),IFERROR(_xlfn._xlws.FILTER(Equipar!A:A,(Equipar!B:B=1)*(Equipar!AC:AC=A891)),""),"")</f>
        <v/>
      </c>
    </row>
    <row r="892" spans="1:10" x14ac:dyDescent="0.25">
      <c r="A892" s="1" t="str">
        <f ca="1">IF(A891="ID",1,IF(ISBLANK(B892),"",MAX(A$2:A891)+1))</f>
        <v/>
      </c>
      <c r="I892" s="2" t="str">
        <f ca="1">IF(ISNUMBER(A892),
IF(COUNTIFS(Equipar!B:B,1,Equipar!AC:AC,A892),"Equipada",
IF(
OR(COUNTIFS(Equipar!B:B,1,Equipar!C:C,A892)
 +COUNTIFS(Equipar!B:B,1,Equipar!D:D,A892)
+COUNTIFS(Equipar!B:B,1,Equipar!E:E,A892)
+COUNTIFS(Equipar!B:B,1,Equipar!F:F,A892)
&gt;0,COUNTIF('Set recomendado'!B:B,C892)=0),
"Bloqueada",
"Desechable")),""
)</f>
        <v/>
      </c>
      <c r="J892" t="str" cm="1">
        <f t="array" aca="1" ref="J892" ca="1">IF(ISNUMBER(A892),IFERROR(_xlfn._xlws.FILTER(Equipar!A:A,(Equipar!B:B=1)*(Equipar!AC:AC=A892)),""),"")</f>
        <v/>
      </c>
    </row>
    <row r="893" spans="1:10" x14ac:dyDescent="0.25">
      <c r="A893" s="1" t="str">
        <f ca="1">IF(A892="ID",1,IF(ISBLANK(B893),"",MAX(A$2:A892)+1))</f>
        <v/>
      </c>
      <c r="I893" s="2" t="str">
        <f ca="1">IF(ISNUMBER(A893),
IF(COUNTIFS(Equipar!B:B,1,Equipar!AC:AC,A893),"Equipada",
IF(
OR(COUNTIFS(Equipar!B:B,1,Equipar!C:C,A893)
 +COUNTIFS(Equipar!B:B,1,Equipar!D:D,A893)
+COUNTIFS(Equipar!B:B,1,Equipar!E:E,A893)
+COUNTIFS(Equipar!B:B,1,Equipar!F:F,A893)
&gt;0,COUNTIF('Set recomendado'!B:B,C893)=0),
"Bloqueada",
"Desechable")),""
)</f>
        <v/>
      </c>
      <c r="J893" t="str" cm="1">
        <f t="array" aca="1" ref="J893" ca="1">IF(ISNUMBER(A893),IFERROR(_xlfn._xlws.FILTER(Equipar!A:A,(Equipar!B:B=1)*(Equipar!AC:AC=A893)),""),"")</f>
        <v/>
      </c>
    </row>
    <row r="894" spans="1:10" x14ac:dyDescent="0.25">
      <c r="A894" s="1" t="str">
        <f ca="1">IF(A893="ID",1,IF(ISBLANK(B894),"",MAX(A$2:A893)+1))</f>
        <v/>
      </c>
      <c r="I894" s="2" t="str">
        <f ca="1">IF(ISNUMBER(A894),
IF(COUNTIFS(Equipar!B:B,1,Equipar!AC:AC,A894),"Equipada",
IF(
OR(COUNTIFS(Equipar!B:B,1,Equipar!C:C,A894)
 +COUNTIFS(Equipar!B:B,1,Equipar!D:D,A894)
+COUNTIFS(Equipar!B:B,1,Equipar!E:E,A894)
+COUNTIFS(Equipar!B:B,1,Equipar!F:F,A894)
&gt;0,COUNTIF('Set recomendado'!B:B,C894)=0),
"Bloqueada",
"Desechable")),""
)</f>
        <v/>
      </c>
      <c r="J894" t="str" cm="1">
        <f t="array" aca="1" ref="J894" ca="1">IF(ISNUMBER(A894),IFERROR(_xlfn._xlws.FILTER(Equipar!A:A,(Equipar!B:B=1)*(Equipar!AC:AC=A894)),""),"")</f>
        <v/>
      </c>
    </row>
    <row r="895" spans="1:10" x14ac:dyDescent="0.25">
      <c r="A895" s="1" t="str">
        <f ca="1">IF(A894="ID",1,IF(ISBLANK(B895),"",MAX(A$2:A894)+1))</f>
        <v/>
      </c>
      <c r="I895" s="2" t="str">
        <f ca="1">IF(ISNUMBER(A895),
IF(COUNTIFS(Equipar!B:B,1,Equipar!AC:AC,A895),"Equipada",
IF(
OR(COUNTIFS(Equipar!B:B,1,Equipar!C:C,A895)
 +COUNTIFS(Equipar!B:B,1,Equipar!D:D,A895)
+COUNTIFS(Equipar!B:B,1,Equipar!E:E,A895)
+COUNTIFS(Equipar!B:B,1,Equipar!F:F,A895)
&gt;0,COUNTIF('Set recomendado'!B:B,C895)=0),
"Bloqueada",
"Desechable")),""
)</f>
        <v/>
      </c>
      <c r="J895" t="str" cm="1">
        <f t="array" aca="1" ref="J895" ca="1">IF(ISNUMBER(A895),IFERROR(_xlfn._xlws.FILTER(Equipar!A:A,(Equipar!B:B=1)*(Equipar!AC:AC=A895)),""),"")</f>
        <v/>
      </c>
    </row>
    <row r="896" spans="1:10" x14ac:dyDescent="0.25">
      <c r="A896" s="1" t="str">
        <f ca="1">IF(A895="ID",1,IF(ISBLANK(B896),"",MAX(A$2:A895)+1))</f>
        <v/>
      </c>
      <c r="I896" s="2" t="str">
        <f ca="1">IF(ISNUMBER(A896),
IF(COUNTIFS(Equipar!B:B,1,Equipar!AC:AC,A896),"Equipada",
IF(
OR(COUNTIFS(Equipar!B:B,1,Equipar!C:C,A896)
 +COUNTIFS(Equipar!B:B,1,Equipar!D:D,A896)
+COUNTIFS(Equipar!B:B,1,Equipar!E:E,A896)
+COUNTIFS(Equipar!B:B,1,Equipar!F:F,A896)
&gt;0,COUNTIF('Set recomendado'!B:B,C896)=0),
"Bloqueada",
"Desechable")),""
)</f>
        <v/>
      </c>
      <c r="J896" t="str" cm="1">
        <f t="array" aca="1" ref="J896" ca="1">IF(ISNUMBER(A896),IFERROR(_xlfn._xlws.FILTER(Equipar!A:A,(Equipar!B:B=1)*(Equipar!AC:AC=A896)),""),"")</f>
        <v/>
      </c>
    </row>
    <row r="897" spans="1:10" x14ac:dyDescent="0.25">
      <c r="A897" s="1" t="str">
        <f ca="1">IF(A896="ID",1,IF(ISBLANK(B897),"",MAX(A$2:A896)+1))</f>
        <v/>
      </c>
      <c r="I897" s="2" t="str">
        <f ca="1">IF(ISNUMBER(A897),
IF(COUNTIFS(Equipar!B:B,1,Equipar!AC:AC,A897),"Equipada",
IF(
OR(COUNTIFS(Equipar!B:B,1,Equipar!C:C,A897)
 +COUNTIFS(Equipar!B:B,1,Equipar!D:D,A897)
+COUNTIFS(Equipar!B:B,1,Equipar!E:E,A897)
+COUNTIFS(Equipar!B:B,1,Equipar!F:F,A897)
&gt;0,COUNTIF('Set recomendado'!B:B,C897)=0),
"Bloqueada",
"Desechable")),""
)</f>
        <v/>
      </c>
      <c r="J897" t="str" cm="1">
        <f t="array" aca="1" ref="J897" ca="1">IF(ISNUMBER(A897),IFERROR(_xlfn._xlws.FILTER(Equipar!A:A,(Equipar!B:B=1)*(Equipar!AC:AC=A897)),""),"")</f>
        <v/>
      </c>
    </row>
    <row r="898" spans="1:10" x14ac:dyDescent="0.25">
      <c r="A898" s="1" t="str">
        <f ca="1">IF(A897="ID",1,IF(ISBLANK(B898),"",MAX(A$2:A897)+1))</f>
        <v/>
      </c>
      <c r="I898" s="2" t="str">
        <f ca="1">IF(ISNUMBER(A898),
IF(COUNTIFS(Equipar!B:B,1,Equipar!AC:AC,A898),"Equipada",
IF(
OR(COUNTIFS(Equipar!B:B,1,Equipar!C:C,A898)
 +COUNTIFS(Equipar!B:B,1,Equipar!D:D,A898)
+COUNTIFS(Equipar!B:B,1,Equipar!E:E,A898)
+COUNTIFS(Equipar!B:B,1,Equipar!F:F,A898)
&gt;0,COUNTIF('Set recomendado'!B:B,C898)=0),
"Bloqueada",
"Desechable")),""
)</f>
        <v/>
      </c>
      <c r="J898" t="str" cm="1">
        <f t="array" aca="1" ref="J898" ca="1">IF(ISNUMBER(A898),IFERROR(_xlfn._xlws.FILTER(Equipar!A:A,(Equipar!B:B=1)*(Equipar!AC:AC=A898)),""),"")</f>
        <v/>
      </c>
    </row>
    <row r="899" spans="1:10" x14ac:dyDescent="0.25">
      <c r="A899" s="1" t="str">
        <f ca="1">IF(A898="ID",1,IF(ISBLANK(B899),"",MAX(A$2:A898)+1))</f>
        <v/>
      </c>
      <c r="I899" s="2" t="str">
        <f ca="1">IF(ISNUMBER(A899),
IF(COUNTIFS(Equipar!B:B,1,Equipar!AC:AC,A899),"Equipada",
IF(
OR(COUNTIFS(Equipar!B:B,1,Equipar!C:C,A899)
 +COUNTIFS(Equipar!B:B,1,Equipar!D:D,A899)
+COUNTIFS(Equipar!B:B,1,Equipar!E:E,A899)
+COUNTIFS(Equipar!B:B,1,Equipar!F:F,A899)
&gt;0,COUNTIF('Set recomendado'!B:B,C899)=0),
"Bloqueada",
"Desechable")),""
)</f>
        <v/>
      </c>
      <c r="J899" t="str" cm="1">
        <f t="array" aca="1" ref="J899" ca="1">IF(ISNUMBER(A899),IFERROR(_xlfn._xlws.FILTER(Equipar!A:A,(Equipar!B:B=1)*(Equipar!AC:AC=A899)),""),"")</f>
        <v/>
      </c>
    </row>
    <row r="900" spans="1:10" x14ac:dyDescent="0.25">
      <c r="A900" s="1" t="str">
        <f ca="1">IF(A899="ID",1,IF(ISBLANK(B900),"",MAX(A$2:A899)+1))</f>
        <v/>
      </c>
      <c r="I900" s="2" t="str">
        <f ca="1">IF(ISNUMBER(A900),
IF(COUNTIFS(Equipar!B:B,1,Equipar!AC:AC,A900),"Equipada",
IF(
OR(COUNTIFS(Equipar!B:B,1,Equipar!C:C,A900)
 +COUNTIFS(Equipar!B:B,1,Equipar!D:D,A900)
+COUNTIFS(Equipar!B:B,1,Equipar!E:E,A900)
+COUNTIFS(Equipar!B:B,1,Equipar!F:F,A900)
&gt;0,COUNTIF('Set recomendado'!B:B,C900)=0),
"Bloqueada",
"Desechable")),""
)</f>
        <v/>
      </c>
      <c r="J900" t="str" cm="1">
        <f t="array" aca="1" ref="J900" ca="1">IF(ISNUMBER(A900),IFERROR(_xlfn._xlws.FILTER(Equipar!A:A,(Equipar!B:B=1)*(Equipar!AC:AC=A900)),""),"")</f>
        <v/>
      </c>
    </row>
    <row r="901" spans="1:10" x14ac:dyDescent="0.25">
      <c r="A901" s="1" t="str">
        <f ca="1">IF(A900="ID",1,IF(ISBLANK(B901),"",MAX(A$2:A900)+1))</f>
        <v/>
      </c>
      <c r="I901" s="2" t="str">
        <f ca="1">IF(ISNUMBER(A901),
IF(COUNTIFS(Equipar!B:B,1,Equipar!AC:AC,A901),"Equipada",
IF(
OR(COUNTIFS(Equipar!B:B,1,Equipar!C:C,A901)
 +COUNTIFS(Equipar!B:B,1,Equipar!D:D,A901)
+COUNTIFS(Equipar!B:B,1,Equipar!E:E,A901)
+COUNTIFS(Equipar!B:B,1,Equipar!F:F,A901)
&gt;0,COUNTIF('Set recomendado'!B:B,C901)=0),
"Bloqueada",
"Desechable")),""
)</f>
        <v/>
      </c>
      <c r="J901" t="str" cm="1">
        <f t="array" aca="1" ref="J901" ca="1">IF(ISNUMBER(A901),IFERROR(_xlfn._xlws.FILTER(Equipar!A:A,(Equipar!B:B=1)*(Equipar!AC:AC=A901)),""),"")</f>
        <v/>
      </c>
    </row>
    <row r="902" spans="1:10" x14ac:dyDescent="0.25">
      <c r="A902" s="1" t="str">
        <f ca="1">IF(A901="ID",1,IF(ISBLANK(B902),"",MAX(A$2:A901)+1))</f>
        <v/>
      </c>
      <c r="I902" s="2" t="str">
        <f ca="1">IF(ISNUMBER(A902),
IF(COUNTIFS(Equipar!B:B,1,Equipar!AC:AC,A902),"Equipada",
IF(
OR(COUNTIFS(Equipar!B:B,1,Equipar!C:C,A902)
 +COUNTIFS(Equipar!B:B,1,Equipar!D:D,A902)
+COUNTIFS(Equipar!B:B,1,Equipar!E:E,A902)
+COUNTIFS(Equipar!B:B,1,Equipar!F:F,A902)
&gt;0,COUNTIF('Set recomendado'!B:B,C902)=0),
"Bloqueada",
"Desechable")),""
)</f>
        <v/>
      </c>
      <c r="J902" t="str" cm="1">
        <f t="array" aca="1" ref="J902" ca="1">IF(ISNUMBER(A902),IFERROR(_xlfn._xlws.FILTER(Equipar!A:A,(Equipar!B:B=1)*(Equipar!AC:AC=A902)),""),"")</f>
        <v/>
      </c>
    </row>
    <row r="903" spans="1:10" x14ac:dyDescent="0.25">
      <c r="A903" s="1" t="str">
        <f ca="1">IF(A902="ID",1,IF(ISBLANK(B903),"",MAX(A$2:A902)+1))</f>
        <v/>
      </c>
      <c r="I903" s="2" t="str">
        <f ca="1">IF(ISNUMBER(A903),
IF(COUNTIFS(Equipar!B:B,1,Equipar!AC:AC,A903),"Equipada",
IF(
OR(COUNTIFS(Equipar!B:B,1,Equipar!C:C,A903)
 +COUNTIFS(Equipar!B:B,1,Equipar!D:D,A903)
+COUNTIFS(Equipar!B:B,1,Equipar!E:E,A903)
+COUNTIFS(Equipar!B:B,1,Equipar!F:F,A903)
&gt;0,COUNTIF('Set recomendado'!B:B,C903)=0),
"Bloqueada",
"Desechable")),""
)</f>
        <v/>
      </c>
      <c r="J903" t="str" cm="1">
        <f t="array" aca="1" ref="J903" ca="1">IF(ISNUMBER(A903),IFERROR(_xlfn._xlws.FILTER(Equipar!A:A,(Equipar!B:B=1)*(Equipar!AC:AC=A903)),""),"")</f>
        <v/>
      </c>
    </row>
    <row r="904" spans="1:10" x14ac:dyDescent="0.25">
      <c r="A904" s="1" t="str">
        <f ca="1">IF(A903="ID",1,IF(ISBLANK(B904),"",MAX(A$2:A903)+1))</f>
        <v/>
      </c>
      <c r="I904" s="2" t="str">
        <f ca="1">IF(ISNUMBER(A904),
IF(COUNTIFS(Equipar!B:B,1,Equipar!AC:AC,A904),"Equipada",
IF(
OR(COUNTIFS(Equipar!B:B,1,Equipar!C:C,A904)
 +COUNTIFS(Equipar!B:B,1,Equipar!D:D,A904)
+COUNTIFS(Equipar!B:B,1,Equipar!E:E,A904)
+COUNTIFS(Equipar!B:B,1,Equipar!F:F,A904)
&gt;0,COUNTIF('Set recomendado'!B:B,C904)=0),
"Bloqueada",
"Desechable")),""
)</f>
        <v/>
      </c>
      <c r="J904" t="str" cm="1">
        <f t="array" aca="1" ref="J904" ca="1">IF(ISNUMBER(A904),IFERROR(_xlfn._xlws.FILTER(Equipar!A:A,(Equipar!B:B=1)*(Equipar!AC:AC=A904)),""),"")</f>
        <v/>
      </c>
    </row>
    <row r="905" spans="1:10" x14ac:dyDescent="0.25">
      <c r="A905" s="1" t="str">
        <f ca="1">IF(A904="ID",1,IF(ISBLANK(B905),"",MAX(A$2:A904)+1))</f>
        <v/>
      </c>
      <c r="I905" s="2" t="str">
        <f ca="1">IF(ISNUMBER(A905),
IF(COUNTIFS(Equipar!B:B,1,Equipar!AC:AC,A905),"Equipada",
IF(
OR(COUNTIFS(Equipar!B:B,1,Equipar!C:C,A905)
 +COUNTIFS(Equipar!B:B,1,Equipar!D:D,A905)
+COUNTIFS(Equipar!B:B,1,Equipar!E:E,A905)
+COUNTIFS(Equipar!B:B,1,Equipar!F:F,A905)
&gt;0,COUNTIF('Set recomendado'!B:B,C905)=0),
"Bloqueada",
"Desechable")),""
)</f>
        <v/>
      </c>
      <c r="J905" t="str" cm="1">
        <f t="array" aca="1" ref="J905" ca="1">IF(ISNUMBER(A905),IFERROR(_xlfn._xlws.FILTER(Equipar!A:A,(Equipar!B:B=1)*(Equipar!AC:AC=A905)),""),"")</f>
        <v/>
      </c>
    </row>
    <row r="906" spans="1:10" x14ac:dyDescent="0.25">
      <c r="A906" s="1" t="str">
        <f ca="1">IF(A905="ID",1,IF(ISBLANK(B906),"",MAX(A$2:A905)+1))</f>
        <v/>
      </c>
      <c r="I906" s="2" t="str">
        <f ca="1">IF(ISNUMBER(A906),
IF(COUNTIFS(Equipar!B:B,1,Equipar!AC:AC,A906),"Equipada",
IF(
OR(COUNTIFS(Equipar!B:B,1,Equipar!C:C,A906)
 +COUNTIFS(Equipar!B:B,1,Equipar!D:D,A906)
+COUNTIFS(Equipar!B:B,1,Equipar!E:E,A906)
+COUNTIFS(Equipar!B:B,1,Equipar!F:F,A906)
&gt;0,COUNTIF('Set recomendado'!B:B,C906)=0),
"Bloqueada",
"Desechable")),""
)</f>
        <v/>
      </c>
      <c r="J906" t="str" cm="1">
        <f t="array" aca="1" ref="J906" ca="1">IF(ISNUMBER(A906),IFERROR(_xlfn._xlws.FILTER(Equipar!A:A,(Equipar!B:B=1)*(Equipar!AC:AC=A906)),""),"")</f>
        <v/>
      </c>
    </row>
    <row r="907" spans="1:10" x14ac:dyDescent="0.25">
      <c r="A907" s="1" t="str">
        <f ca="1">IF(A906="ID",1,IF(ISBLANK(B907),"",MAX(A$2:A906)+1))</f>
        <v/>
      </c>
      <c r="I907" s="2" t="str">
        <f ca="1">IF(ISNUMBER(A907),
IF(COUNTIFS(Equipar!B:B,1,Equipar!AC:AC,A907),"Equipada",
IF(
OR(COUNTIFS(Equipar!B:B,1,Equipar!C:C,A907)
 +COUNTIFS(Equipar!B:B,1,Equipar!D:D,A907)
+COUNTIFS(Equipar!B:B,1,Equipar!E:E,A907)
+COUNTIFS(Equipar!B:B,1,Equipar!F:F,A907)
&gt;0,COUNTIF('Set recomendado'!B:B,C907)=0),
"Bloqueada",
"Desechable")),""
)</f>
        <v/>
      </c>
      <c r="J907" t="str" cm="1">
        <f t="array" aca="1" ref="J907" ca="1">IF(ISNUMBER(A907),IFERROR(_xlfn._xlws.FILTER(Equipar!A:A,(Equipar!B:B=1)*(Equipar!AC:AC=A907)),""),"")</f>
        <v/>
      </c>
    </row>
    <row r="908" spans="1:10" x14ac:dyDescent="0.25">
      <c r="A908" s="1" t="str">
        <f ca="1">IF(A907="ID",1,IF(ISBLANK(B908),"",MAX(A$2:A907)+1))</f>
        <v/>
      </c>
      <c r="I908" s="2" t="str">
        <f ca="1">IF(ISNUMBER(A908),
IF(COUNTIFS(Equipar!B:B,1,Equipar!AC:AC,A908),"Equipada",
IF(
OR(COUNTIFS(Equipar!B:B,1,Equipar!C:C,A908)
 +COUNTIFS(Equipar!B:B,1,Equipar!D:D,A908)
+COUNTIFS(Equipar!B:B,1,Equipar!E:E,A908)
+COUNTIFS(Equipar!B:B,1,Equipar!F:F,A908)
&gt;0,COUNTIF('Set recomendado'!B:B,C908)=0),
"Bloqueada",
"Desechable")),""
)</f>
        <v/>
      </c>
      <c r="J908" t="str" cm="1">
        <f t="array" aca="1" ref="J908" ca="1">IF(ISNUMBER(A908),IFERROR(_xlfn._xlws.FILTER(Equipar!A:A,(Equipar!B:B=1)*(Equipar!AC:AC=A908)),""),"")</f>
        <v/>
      </c>
    </row>
    <row r="909" spans="1:10" x14ac:dyDescent="0.25">
      <c r="A909" s="1" t="str">
        <f ca="1">IF(A908="ID",1,IF(ISBLANK(B909),"",MAX(A$2:A908)+1))</f>
        <v/>
      </c>
      <c r="I909" s="2" t="str">
        <f ca="1">IF(ISNUMBER(A909),
IF(COUNTIFS(Equipar!B:B,1,Equipar!AC:AC,A909),"Equipada",
IF(
OR(COUNTIFS(Equipar!B:B,1,Equipar!C:C,A909)
 +COUNTIFS(Equipar!B:B,1,Equipar!D:D,A909)
+COUNTIFS(Equipar!B:B,1,Equipar!E:E,A909)
+COUNTIFS(Equipar!B:B,1,Equipar!F:F,A909)
&gt;0,COUNTIF('Set recomendado'!B:B,C909)=0),
"Bloqueada",
"Desechable")),""
)</f>
        <v/>
      </c>
      <c r="J909" t="str" cm="1">
        <f t="array" aca="1" ref="J909" ca="1">IF(ISNUMBER(A909),IFERROR(_xlfn._xlws.FILTER(Equipar!A:A,(Equipar!B:B=1)*(Equipar!AC:AC=A909)),""),"")</f>
        <v/>
      </c>
    </row>
    <row r="910" spans="1:10" x14ac:dyDescent="0.25">
      <c r="A910" s="1" t="str">
        <f ca="1">IF(A909="ID",1,IF(ISBLANK(B910),"",MAX(A$2:A909)+1))</f>
        <v/>
      </c>
      <c r="I910" s="2" t="str">
        <f ca="1">IF(ISNUMBER(A910),
IF(COUNTIFS(Equipar!B:B,1,Equipar!AC:AC,A910),"Equipada",
IF(
OR(COUNTIFS(Equipar!B:B,1,Equipar!C:C,A910)
 +COUNTIFS(Equipar!B:B,1,Equipar!D:D,A910)
+COUNTIFS(Equipar!B:B,1,Equipar!E:E,A910)
+COUNTIFS(Equipar!B:B,1,Equipar!F:F,A910)
&gt;0,COUNTIF('Set recomendado'!B:B,C910)=0),
"Bloqueada",
"Desechable")),""
)</f>
        <v/>
      </c>
      <c r="J910" t="str" cm="1">
        <f t="array" aca="1" ref="J910" ca="1">IF(ISNUMBER(A910),IFERROR(_xlfn._xlws.FILTER(Equipar!A:A,(Equipar!B:B=1)*(Equipar!AC:AC=A910)),""),"")</f>
        <v/>
      </c>
    </row>
    <row r="911" spans="1:10" x14ac:dyDescent="0.25">
      <c r="A911" s="1" t="str">
        <f ca="1">IF(A910="ID",1,IF(ISBLANK(B911),"",MAX(A$2:A910)+1))</f>
        <v/>
      </c>
      <c r="I911" s="2" t="str">
        <f ca="1">IF(ISNUMBER(A911),
IF(COUNTIFS(Equipar!B:B,1,Equipar!AC:AC,A911),"Equipada",
IF(
OR(COUNTIFS(Equipar!B:B,1,Equipar!C:C,A911)
 +COUNTIFS(Equipar!B:B,1,Equipar!D:D,A911)
+COUNTIFS(Equipar!B:B,1,Equipar!E:E,A911)
+COUNTIFS(Equipar!B:B,1,Equipar!F:F,A911)
&gt;0,COUNTIF('Set recomendado'!B:B,C911)=0),
"Bloqueada",
"Desechable")),""
)</f>
        <v/>
      </c>
      <c r="J911" t="str" cm="1">
        <f t="array" aca="1" ref="J911" ca="1">IF(ISNUMBER(A911),IFERROR(_xlfn._xlws.FILTER(Equipar!A:A,(Equipar!B:B=1)*(Equipar!AC:AC=A911)),""),"")</f>
        <v/>
      </c>
    </row>
    <row r="912" spans="1:10" x14ac:dyDescent="0.25">
      <c r="A912" s="1" t="str">
        <f ca="1">IF(A911="ID",1,IF(ISBLANK(B912),"",MAX(A$2:A911)+1))</f>
        <v/>
      </c>
      <c r="I912" s="2" t="str">
        <f ca="1">IF(ISNUMBER(A912),
IF(COUNTIFS(Equipar!B:B,1,Equipar!AC:AC,A912),"Equipada",
IF(
OR(COUNTIFS(Equipar!B:B,1,Equipar!C:C,A912)
 +COUNTIFS(Equipar!B:B,1,Equipar!D:D,A912)
+COUNTIFS(Equipar!B:B,1,Equipar!E:E,A912)
+COUNTIFS(Equipar!B:B,1,Equipar!F:F,A912)
&gt;0,COUNTIF('Set recomendado'!B:B,C912)=0),
"Bloqueada",
"Desechable")),""
)</f>
        <v/>
      </c>
      <c r="J912" t="str" cm="1">
        <f t="array" aca="1" ref="J912" ca="1">IF(ISNUMBER(A912),IFERROR(_xlfn._xlws.FILTER(Equipar!A:A,(Equipar!B:B=1)*(Equipar!AC:AC=A912)),""),"")</f>
        <v/>
      </c>
    </row>
    <row r="913" spans="1:10" x14ac:dyDescent="0.25">
      <c r="A913" s="1" t="str">
        <f ca="1">IF(A912="ID",1,IF(ISBLANK(B913),"",MAX(A$2:A912)+1))</f>
        <v/>
      </c>
      <c r="I913" s="2" t="str">
        <f ca="1">IF(ISNUMBER(A913),
IF(COUNTIFS(Equipar!B:B,1,Equipar!AC:AC,A913),"Equipada",
IF(
OR(COUNTIFS(Equipar!B:B,1,Equipar!C:C,A913)
 +COUNTIFS(Equipar!B:B,1,Equipar!D:D,A913)
+COUNTIFS(Equipar!B:B,1,Equipar!E:E,A913)
+COUNTIFS(Equipar!B:B,1,Equipar!F:F,A913)
&gt;0,COUNTIF('Set recomendado'!B:B,C913)=0),
"Bloqueada",
"Desechable")),""
)</f>
        <v/>
      </c>
      <c r="J913" t="str" cm="1">
        <f t="array" aca="1" ref="J913" ca="1">IF(ISNUMBER(A913),IFERROR(_xlfn._xlws.FILTER(Equipar!A:A,(Equipar!B:B=1)*(Equipar!AC:AC=A913)),""),"")</f>
        <v/>
      </c>
    </row>
    <row r="914" spans="1:10" x14ac:dyDescent="0.25">
      <c r="A914" s="1" t="str">
        <f ca="1">IF(A913="ID",1,IF(ISBLANK(B914),"",MAX(A$2:A913)+1))</f>
        <v/>
      </c>
      <c r="I914" s="2" t="str">
        <f ca="1">IF(ISNUMBER(A914),
IF(COUNTIFS(Equipar!B:B,1,Equipar!AC:AC,A914),"Equipada",
IF(
OR(COUNTIFS(Equipar!B:B,1,Equipar!C:C,A914)
 +COUNTIFS(Equipar!B:B,1,Equipar!D:D,A914)
+COUNTIFS(Equipar!B:B,1,Equipar!E:E,A914)
+COUNTIFS(Equipar!B:B,1,Equipar!F:F,A914)
&gt;0,COUNTIF('Set recomendado'!B:B,C914)=0),
"Bloqueada",
"Desechable")),""
)</f>
        <v/>
      </c>
      <c r="J914" t="str" cm="1">
        <f t="array" aca="1" ref="J914" ca="1">IF(ISNUMBER(A914),IFERROR(_xlfn._xlws.FILTER(Equipar!A:A,(Equipar!B:B=1)*(Equipar!AC:AC=A914)),""),"")</f>
        <v/>
      </c>
    </row>
    <row r="915" spans="1:10" x14ac:dyDescent="0.25">
      <c r="A915" s="1" t="str">
        <f ca="1">IF(A914="ID",1,IF(ISBLANK(B915),"",MAX(A$2:A914)+1))</f>
        <v/>
      </c>
      <c r="I915" s="2" t="str">
        <f ca="1">IF(ISNUMBER(A915),
IF(COUNTIFS(Equipar!B:B,1,Equipar!AC:AC,A915),"Equipada",
IF(
OR(COUNTIFS(Equipar!B:B,1,Equipar!C:C,A915)
 +COUNTIFS(Equipar!B:B,1,Equipar!D:D,A915)
+COUNTIFS(Equipar!B:B,1,Equipar!E:E,A915)
+COUNTIFS(Equipar!B:B,1,Equipar!F:F,A915)
&gt;0,COUNTIF('Set recomendado'!B:B,C915)=0),
"Bloqueada",
"Desechable")),""
)</f>
        <v/>
      </c>
      <c r="J915" t="str" cm="1">
        <f t="array" aca="1" ref="J915" ca="1">IF(ISNUMBER(A915),IFERROR(_xlfn._xlws.FILTER(Equipar!A:A,(Equipar!B:B=1)*(Equipar!AC:AC=A915)),""),"")</f>
        <v/>
      </c>
    </row>
    <row r="916" spans="1:10" x14ac:dyDescent="0.25">
      <c r="A916" s="1" t="str">
        <f ca="1">IF(A915="ID",1,IF(ISBLANK(B916),"",MAX(A$2:A915)+1))</f>
        <v/>
      </c>
      <c r="I916" s="2" t="str">
        <f ca="1">IF(ISNUMBER(A916),
IF(COUNTIFS(Equipar!B:B,1,Equipar!AC:AC,A916),"Equipada",
IF(
OR(COUNTIFS(Equipar!B:B,1,Equipar!C:C,A916)
 +COUNTIFS(Equipar!B:B,1,Equipar!D:D,A916)
+COUNTIFS(Equipar!B:B,1,Equipar!E:E,A916)
+COUNTIFS(Equipar!B:B,1,Equipar!F:F,A916)
&gt;0,COUNTIF('Set recomendado'!B:B,C916)=0),
"Bloqueada",
"Desechable")),""
)</f>
        <v/>
      </c>
      <c r="J916" t="str" cm="1">
        <f t="array" aca="1" ref="J916" ca="1">IF(ISNUMBER(A916),IFERROR(_xlfn._xlws.FILTER(Equipar!A:A,(Equipar!B:B=1)*(Equipar!AC:AC=A916)),""),"")</f>
        <v/>
      </c>
    </row>
    <row r="917" spans="1:10" x14ac:dyDescent="0.25">
      <c r="A917" s="1" t="str">
        <f ca="1">IF(A916="ID",1,IF(ISBLANK(B917),"",MAX(A$2:A916)+1))</f>
        <v/>
      </c>
      <c r="I917" s="2" t="str">
        <f ca="1">IF(ISNUMBER(A917),
IF(COUNTIFS(Equipar!B:B,1,Equipar!AC:AC,A917),"Equipada",
IF(
OR(COUNTIFS(Equipar!B:B,1,Equipar!C:C,A917)
 +COUNTIFS(Equipar!B:B,1,Equipar!D:D,A917)
+COUNTIFS(Equipar!B:B,1,Equipar!E:E,A917)
+COUNTIFS(Equipar!B:B,1,Equipar!F:F,A917)
&gt;0,COUNTIF('Set recomendado'!B:B,C917)=0),
"Bloqueada",
"Desechable")),""
)</f>
        <v/>
      </c>
      <c r="J917" t="str" cm="1">
        <f t="array" aca="1" ref="J917" ca="1">IF(ISNUMBER(A917),IFERROR(_xlfn._xlws.FILTER(Equipar!A:A,(Equipar!B:B=1)*(Equipar!AC:AC=A917)),""),"")</f>
        <v/>
      </c>
    </row>
    <row r="918" spans="1:10" x14ac:dyDescent="0.25">
      <c r="A918" s="1" t="str">
        <f ca="1">IF(A917="ID",1,IF(ISBLANK(B918),"",MAX(A$2:A917)+1))</f>
        <v/>
      </c>
      <c r="I918" s="2" t="str">
        <f ca="1">IF(ISNUMBER(A918),
IF(COUNTIFS(Equipar!B:B,1,Equipar!AC:AC,A918),"Equipada",
IF(
OR(COUNTIFS(Equipar!B:B,1,Equipar!C:C,A918)
 +COUNTIFS(Equipar!B:B,1,Equipar!D:D,A918)
+COUNTIFS(Equipar!B:B,1,Equipar!E:E,A918)
+COUNTIFS(Equipar!B:B,1,Equipar!F:F,A918)
&gt;0,COUNTIF('Set recomendado'!B:B,C918)=0),
"Bloqueada",
"Desechable")),""
)</f>
        <v/>
      </c>
      <c r="J918" t="str" cm="1">
        <f t="array" aca="1" ref="J918" ca="1">IF(ISNUMBER(A918),IFERROR(_xlfn._xlws.FILTER(Equipar!A:A,(Equipar!B:B=1)*(Equipar!AC:AC=A918)),""),"")</f>
        <v/>
      </c>
    </row>
    <row r="919" spans="1:10" x14ac:dyDescent="0.25">
      <c r="A919" s="1" t="str">
        <f ca="1">IF(A918="ID",1,IF(ISBLANK(B919),"",MAX(A$2:A918)+1))</f>
        <v/>
      </c>
      <c r="I919" s="2" t="str">
        <f ca="1">IF(ISNUMBER(A919),
IF(COUNTIFS(Equipar!B:B,1,Equipar!AC:AC,A919),"Equipada",
IF(
OR(COUNTIFS(Equipar!B:B,1,Equipar!C:C,A919)
 +COUNTIFS(Equipar!B:B,1,Equipar!D:D,A919)
+COUNTIFS(Equipar!B:B,1,Equipar!E:E,A919)
+COUNTIFS(Equipar!B:B,1,Equipar!F:F,A919)
&gt;0,COUNTIF('Set recomendado'!B:B,C919)=0),
"Bloqueada",
"Desechable")),""
)</f>
        <v/>
      </c>
      <c r="J919" t="str" cm="1">
        <f t="array" aca="1" ref="J919" ca="1">IF(ISNUMBER(A919),IFERROR(_xlfn._xlws.FILTER(Equipar!A:A,(Equipar!B:B=1)*(Equipar!AC:AC=A919)),""),"")</f>
        <v/>
      </c>
    </row>
    <row r="920" spans="1:10" x14ac:dyDescent="0.25">
      <c r="A920" s="1" t="str">
        <f ca="1">IF(A919="ID",1,IF(ISBLANK(B920),"",MAX(A$2:A919)+1))</f>
        <v/>
      </c>
      <c r="I920" s="2" t="str">
        <f ca="1">IF(ISNUMBER(A920),
IF(COUNTIFS(Equipar!B:B,1,Equipar!AC:AC,A920),"Equipada",
IF(
OR(COUNTIFS(Equipar!B:B,1,Equipar!C:C,A920)
 +COUNTIFS(Equipar!B:B,1,Equipar!D:D,A920)
+COUNTIFS(Equipar!B:B,1,Equipar!E:E,A920)
+COUNTIFS(Equipar!B:B,1,Equipar!F:F,A920)
&gt;0,COUNTIF('Set recomendado'!B:B,C920)=0),
"Bloqueada",
"Desechable")),""
)</f>
        <v/>
      </c>
      <c r="J920" t="str" cm="1">
        <f t="array" aca="1" ref="J920" ca="1">IF(ISNUMBER(A920),IFERROR(_xlfn._xlws.FILTER(Equipar!A:A,(Equipar!B:B=1)*(Equipar!AC:AC=A920)),""),"")</f>
        <v/>
      </c>
    </row>
    <row r="921" spans="1:10" x14ac:dyDescent="0.25">
      <c r="A921" s="1" t="str">
        <f ca="1">IF(A920="ID",1,IF(ISBLANK(B921),"",MAX(A$2:A920)+1))</f>
        <v/>
      </c>
      <c r="I921" s="2" t="str">
        <f ca="1">IF(ISNUMBER(A921),
IF(COUNTIFS(Equipar!B:B,1,Equipar!AC:AC,A921),"Equipada",
IF(
OR(COUNTIFS(Equipar!B:B,1,Equipar!C:C,A921)
 +COUNTIFS(Equipar!B:B,1,Equipar!D:D,A921)
+COUNTIFS(Equipar!B:B,1,Equipar!E:E,A921)
+COUNTIFS(Equipar!B:B,1,Equipar!F:F,A921)
&gt;0,COUNTIF('Set recomendado'!B:B,C921)=0),
"Bloqueada",
"Desechable")),""
)</f>
        <v/>
      </c>
      <c r="J921" t="str" cm="1">
        <f t="array" aca="1" ref="J921" ca="1">IF(ISNUMBER(A921),IFERROR(_xlfn._xlws.FILTER(Equipar!A:A,(Equipar!B:B=1)*(Equipar!AC:AC=A921)),""),"")</f>
        <v/>
      </c>
    </row>
    <row r="922" spans="1:10" x14ac:dyDescent="0.25">
      <c r="A922" s="1" t="str">
        <f ca="1">IF(A921="ID",1,IF(ISBLANK(B922),"",MAX(A$2:A921)+1))</f>
        <v/>
      </c>
      <c r="I922" s="2" t="str">
        <f ca="1">IF(ISNUMBER(A922),
IF(COUNTIFS(Equipar!B:B,1,Equipar!AC:AC,A922),"Equipada",
IF(
OR(COUNTIFS(Equipar!B:B,1,Equipar!C:C,A922)
 +COUNTIFS(Equipar!B:B,1,Equipar!D:D,A922)
+COUNTIFS(Equipar!B:B,1,Equipar!E:E,A922)
+COUNTIFS(Equipar!B:B,1,Equipar!F:F,A922)
&gt;0,COUNTIF('Set recomendado'!B:B,C922)=0),
"Bloqueada",
"Desechable")),""
)</f>
        <v/>
      </c>
      <c r="J922" t="str" cm="1">
        <f t="array" aca="1" ref="J922" ca="1">IF(ISNUMBER(A922),IFERROR(_xlfn._xlws.FILTER(Equipar!A:A,(Equipar!B:B=1)*(Equipar!AC:AC=A922)),""),"")</f>
        <v/>
      </c>
    </row>
    <row r="923" spans="1:10" x14ac:dyDescent="0.25">
      <c r="A923" s="1" t="str">
        <f ca="1">IF(A922="ID",1,IF(ISBLANK(B923),"",MAX(A$2:A922)+1))</f>
        <v/>
      </c>
      <c r="I923" s="2" t="str">
        <f ca="1">IF(ISNUMBER(A923),
IF(COUNTIFS(Equipar!B:B,1,Equipar!AC:AC,A923),"Equipada",
IF(
OR(COUNTIFS(Equipar!B:B,1,Equipar!C:C,A923)
 +COUNTIFS(Equipar!B:B,1,Equipar!D:D,A923)
+COUNTIFS(Equipar!B:B,1,Equipar!E:E,A923)
+COUNTIFS(Equipar!B:B,1,Equipar!F:F,A923)
&gt;0,COUNTIF('Set recomendado'!B:B,C923)=0),
"Bloqueada",
"Desechable")),""
)</f>
        <v/>
      </c>
      <c r="J923" t="str" cm="1">
        <f t="array" aca="1" ref="J923" ca="1">IF(ISNUMBER(A923),IFERROR(_xlfn._xlws.FILTER(Equipar!A:A,(Equipar!B:B=1)*(Equipar!AC:AC=A923)),""),"")</f>
        <v/>
      </c>
    </row>
    <row r="924" spans="1:10" x14ac:dyDescent="0.25">
      <c r="A924" s="1" t="str">
        <f ca="1">IF(A923="ID",1,IF(ISBLANK(B924),"",MAX(A$2:A923)+1))</f>
        <v/>
      </c>
      <c r="I924" s="2" t="str">
        <f ca="1">IF(ISNUMBER(A924),
IF(COUNTIFS(Equipar!B:B,1,Equipar!AC:AC,A924),"Equipada",
IF(
OR(COUNTIFS(Equipar!B:B,1,Equipar!C:C,A924)
 +COUNTIFS(Equipar!B:B,1,Equipar!D:D,A924)
+COUNTIFS(Equipar!B:B,1,Equipar!E:E,A924)
+COUNTIFS(Equipar!B:B,1,Equipar!F:F,A924)
&gt;0,COUNTIF('Set recomendado'!B:B,C924)=0),
"Bloqueada",
"Desechable")),""
)</f>
        <v/>
      </c>
      <c r="J924" t="str" cm="1">
        <f t="array" aca="1" ref="J924" ca="1">IF(ISNUMBER(A924),IFERROR(_xlfn._xlws.FILTER(Equipar!A:A,(Equipar!B:B=1)*(Equipar!AC:AC=A924)),""),"")</f>
        <v/>
      </c>
    </row>
    <row r="925" spans="1:10" x14ac:dyDescent="0.25">
      <c r="A925" s="1" t="str">
        <f ca="1">IF(A924="ID",1,IF(ISBLANK(B925),"",MAX(A$2:A924)+1))</f>
        <v/>
      </c>
      <c r="I925" s="2" t="str">
        <f ca="1">IF(ISNUMBER(A925),
IF(COUNTIFS(Equipar!B:B,1,Equipar!AC:AC,A925),"Equipada",
IF(
OR(COUNTIFS(Equipar!B:B,1,Equipar!C:C,A925)
 +COUNTIFS(Equipar!B:B,1,Equipar!D:D,A925)
+COUNTIFS(Equipar!B:B,1,Equipar!E:E,A925)
+COUNTIFS(Equipar!B:B,1,Equipar!F:F,A925)
&gt;0,COUNTIF('Set recomendado'!B:B,C925)=0),
"Bloqueada",
"Desechable")),""
)</f>
        <v/>
      </c>
      <c r="J925" t="str" cm="1">
        <f t="array" aca="1" ref="J925" ca="1">IF(ISNUMBER(A925),IFERROR(_xlfn._xlws.FILTER(Equipar!A:A,(Equipar!B:B=1)*(Equipar!AC:AC=A925)),""),"")</f>
        <v/>
      </c>
    </row>
    <row r="926" spans="1:10" x14ac:dyDescent="0.25">
      <c r="A926" s="1" t="str">
        <f ca="1">IF(A925="ID",1,IF(ISBLANK(B926),"",MAX(A$2:A925)+1))</f>
        <v/>
      </c>
      <c r="I926" s="2" t="str">
        <f ca="1">IF(ISNUMBER(A926),
IF(COUNTIFS(Equipar!B:B,1,Equipar!AC:AC,A926),"Equipada",
IF(
OR(COUNTIFS(Equipar!B:B,1,Equipar!C:C,A926)
 +COUNTIFS(Equipar!B:B,1,Equipar!D:D,A926)
+COUNTIFS(Equipar!B:B,1,Equipar!E:E,A926)
+COUNTIFS(Equipar!B:B,1,Equipar!F:F,A926)
&gt;0,COUNTIF('Set recomendado'!B:B,C926)=0),
"Bloqueada",
"Desechable")),""
)</f>
        <v/>
      </c>
      <c r="J926" t="str" cm="1">
        <f t="array" aca="1" ref="J926" ca="1">IF(ISNUMBER(A926),IFERROR(_xlfn._xlws.FILTER(Equipar!A:A,(Equipar!B:B=1)*(Equipar!AC:AC=A926)),""),"")</f>
        <v/>
      </c>
    </row>
    <row r="927" spans="1:10" x14ac:dyDescent="0.25">
      <c r="A927" s="1" t="str">
        <f ca="1">IF(A926="ID",1,IF(ISBLANK(B927),"",MAX(A$2:A926)+1))</f>
        <v/>
      </c>
      <c r="I927" s="2" t="str">
        <f ca="1">IF(ISNUMBER(A927),
IF(COUNTIFS(Equipar!B:B,1,Equipar!AC:AC,A927),"Equipada",
IF(
OR(COUNTIFS(Equipar!B:B,1,Equipar!C:C,A927)
 +COUNTIFS(Equipar!B:B,1,Equipar!D:D,A927)
+COUNTIFS(Equipar!B:B,1,Equipar!E:E,A927)
+COUNTIFS(Equipar!B:B,1,Equipar!F:F,A927)
&gt;0,COUNTIF('Set recomendado'!B:B,C927)=0),
"Bloqueada",
"Desechable")),""
)</f>
        <v/>
      </c>
      <c r="J927" t="str" cm="1">
        <f t="array" aca="1" ref="J927" ca="1">IF(ISNUMBER(A927),IFERROR(_xlfn._xlws.FILTER(Equipar!A:A,(Equipar!B:B=1)*(Equipar!AC:AC=A927)),""),"")</f>
        <v/>
      </c>
    </row>
    <row r="928" spans="1:10" x14ac:dyDescent="0.25">
      <c r="A928" s="1" t="str">
        <f ca="1">IF(A927="ID",1,IF(ISBLANK(B928),"",MAX(A$2:A927)+1))</f>
        <v/>
      </c>
      <c r="I928" s="2" t="str">
        <f ca="1">IF(ISNUMBER(A928),
IF(COUNTIFS(Equipar!B:B,1,Equipar!AC:AC,A928),"Equipada",
IF(
OR(COUNTIFS(Equipar!B:B,1,Equipar!C:C,A928)
 +COUNTIFS(Equipar!B:B,1,Equipar!D:D,A928)
+COUNTIFS(Equipar!B:B,1,Equipar!E:E,A928)
+COUNTIFS(Equipar!B:B,1,Equipar!F:F,A928)
&gt;0,COUNTIF('Set recomendado'!B:B,C928)=0),
"Bloqueada",
"Desechable")),""
)</f>
        <v/>
      </c>
      <c r="J928" t="str" cm="1">
        <f t="array" aca="1" ref="J928" ca="1">IF(ISNUMBER(A928),IFERROR(_xlfn._xlws.FILTER(Equipar!A:A,(Equipar!B:B=1)*(Equipar!AC:AC=A928)),""),"")</f>
        <v/>
      </c>
    </row>
    <row r="929" spans="1:10" x14ac:dyDescent="0.25">
      <c r="A929" s="1" t="str">
        <f ca="1">IF(A928="ID",1,IF(ISBLANK(B929),"",MAX(A$2:A928)+1))</f>
        <v/>
      </c>
      <c r="I929" s="2" t="str">
        <f ca="1">IF(ISNUMBER(A929),
IF(COUNTIFS(Equipar!B:B,1,Equipar!AC:AC,A929),"Equipada",
IF(
OR(COUNTIFS(Equipar!B:B,1,Equipar!C:C,A929)
 +COUNTIFS(Equipar!B:B,1,Equipar!D:D,A929)
+COUNTIFS(Equipar!B:B,1,Equipar!E:E,A929)
+COUNTIFS(Equipar!B:B,1,Equipar!F:F,A929)
&gt;0,COUNTIF('Set recomendado'!B:B,C929)=0),
"Bloqueada",
"Desechable")),""
)</f>
        <v/>
      </c>
      <c r="J929" t="str" cm="1">
        <f t="array" aca="1" ref="J929" ca="1">IF(ISNUMBER(A929),IFERROR(_xlfn._xlws.FILTER(Equipar!A:A,(Equipar!B:B=1)*(Equipar!AC:AC=A929)),""),"")</f>
        <v/>
      </c>
    </row>
    <row r="930" spans="1:10" x14ac:dyDescent="0.25">
      <c r="A930" s="1" t="str">
        <f ca="1">IF(A929="ID",1,IF(ISBLANK(B930),"",MAX(A$2:A929)+1))</f>
        <v/>
      </c>
      <c r="I930" s="2" t="str">
        <f ca="1">IF(ISNUMBER(A930),
IF(COUNTIFS(Equipar!B:B,1,Equipar!AC:AC,A930),"Equipada",
IF(
OR(COUNTIFS(Equipar!B:B,1,Equipar!C:C,A930)
 +COUNTIFS(Equipar!B:B,1,Equipar!D:D,A930)
+COUNTIFS(Equipar!B:B,1,Equipar!E:E,A930)
+COUNTIFS(Equipar!B:B,1,Equipar!F:F,A930)
&gt;0,COUNTIF('Set recomendado'!B:B,C930)=0),
"Bloqueada",
"Desechable")),""
)</f>
        <v/>
      </c>
      <c r="J930" t="str" cm="1">
        <f t="array" aca="1" ref="J930" ca="1">IF(ISNUMBER(A930),IFERROR(_xlfn._xlws.FILTER(Equipar!A:A,(Equipar!B:B=1)*(Equipar!AC:AC=A930)),""),"")</f>
        <v/>
      </c>
    </row>
    <row r="931" spans="1:10" x14ac:dyDescent="0.25">
      <c r="A931" s="1" t="str">
        <f ca="1">IF(A930="ID",1,IF(ISBLANK(B931),"",MAX(A$2:A930)+1))</f>
        <v/>
      </c>
      <c r="I931" s="2" t="str">
        <f ca="1">IF(ISNUMBER(A931),
IF(COUNTIFS(Equipar!B:B,1,Equipar!AC:AC,A931),"Equipada",
IF(
OR(COUNTIFS(Equipar!B:B,1,Equipar!C:C,A931)
 +COUNTIFS(Equipar!B:B,1,Equipar!D:D,A931)
+COUNTIFS(Equipar!B:B,1,Equipar!E:E,A931)
+COUNTIFS(Equipar!B:B,1,Equipar!F:F,A931)
&gt;0,COUNTIF('Set recomendado'!B:B,C931)=0),
"Bloqueada",
"Desechable")),""
)</f>
        <v/>
      </c>
      <c r="J931" t="str" cm="1">
        <f t="array" aca="1" ref="J931" ca="1">IF(ISNUMBER(A931),IFERROR(_xlfn._xlws.FILTER(Equipar!A:A,(Equipar!B:B=1)*(Equipar!AC:AC=A931)),""),"")</f>
        <v/>
      </c>
    </row>
    <row r="932" spans="1:10" x14ac:dyDescent="0.25">
      <c r="A932" s="1" t="str">
        <f ca="1">IF(A931="ID",1,IF(ISBLANK(B932),"",MAX(A$2:A931)+1))</f>
        <v/>
      </c>
      <c r="I932" s="2" t="str">
        <f ca="1">IF(ISNUMBER(A932),
IF(COUNTIFS(Equipar!B:B,1,Equipar!AC:AC,A932),"Equipada",
IF(
OR(COUNTIFS(Equipar!B:B,1,Equipar!C:C,A932)
 +COUNTIFS(Equipar!B:B,1,Equipar!D:D,A932)
+COUNTIFS(Equipar!B:B,1,Equipar!E:E,A932)
+COUNTIFS(Equipar!B:B,1,Equipar!F:F,A932)
&gt;0,COUNTIF('Set recomendado'!B:B,C932)=0),
"Bloqueada",
"Desechable")),""
)</f>
        <v/>
      </c>
      <c r="J932" t="str" cm="1">
        <f t="array" aca="1" ref="J932" ca="1">IF(ISNUMBER(A932),IFERROR(_xlfn._xlws.FILTER(Equipar!A:A,(Equipar!B:B=1)*(Equipar!AC:AC=A932)),""),"")</f>
        <v/>
      </c>
    </row>
    <row r="933" spans="1:10" x14ac:dyDescent="0.25">
      <c r="A933" s="1" t="str">
        <f ca="1">IF(A932="ID",1,IF(ISBLANK(B933),"",MAX(A$2:A932)+1))</f>
        <v/>
      </c>
      <c r="I933" s="2" t="str">
        <f ca="1">IF(ISNUMBER(A933),
IF(COUNTIFS(Equipar!B:B,1,Equipar!AC:AC,A933),"Equipada",
IF(
OR(COUNTIFS(Equipar!B:B,1,Equipar!C:C,A933)
 +COUNTIFS(Equipar!B:B,1,Equipar!D:D,A933)
+COUNTIFS(Equipar!B:B,1,Equipar!E:E,A933)
+COUNTIFS(Equipar!B:B,1,Equipar!F:F,A933)
&gt;0,COUNTIF('Set recomendado'!B:B,C933)=0),
"Bloqueada",
"Desechable")),""
)</f>
        <v/>
      </c>
      <c r="J933" t="str" cm="1">
        <f t="array" aca="1" ref="J933" ca="1">IF(ISNUMBER(A933),IFERROR(_xlfn._xlws.FILTER(Equipar!A:A,(Equipar!B:B=1)*(Equipar!AC:AC=A933)),""),"")</f>
        <v/>
      </c>
    </row>
    <row r="934" spans="1:10" x14ac:dyDescent="0.25">
      <c r="A934" s="1" t="str">
        <f ca="1">IF(A933="ID",1,IF(ISBLANK(B934),"",MAX(A$2:A933)+1))</f>
        <v/>
      </c>
      <c r="I934" s="2" t="str">
        <f ca="1">IF(ISNUMBER(A934),
IF(COUNTIFS(Equipar!B:B,1,Equipar!AC:AC,A934),"Equipada",
IF(
OR(COUNTIFS(Equipar!B:B,1,Equipar!C:C,A934)
 +COUNTIFS(Equipar!B:B,1,Equipar!D:D,A934)
+COUNTIFS(Equipar!B:B,1,Equipar!E:E,A934)
+COUNTIFS(Equipar!B:B,1,Equipar!F:F,A934)
&gt;0,COUNTIF('Set recomendado'!B:B,C934)=0),
"Bloqueada",
"Desechable")),""
)</f>
        <v/>
      </c>
      <c r="J934" t="str" cm="1">
        <f t="array" aca="1" ref="J934" ca="1">IF(ISNUMBER(A934),IFERROR(_xlfn._xlws.FILTER(Equipar!A:A,(Equipar!B:B=1)*(Equipar!AC:AC=A934)),""),"")</f>
        <v/>
      </c>
    </row>
    <row r="935" spans="1:10" x14ac:dyDescent="0.25">
      <c r="A935" s="1" t="str">
        <f ca="1">IF(A934="ID",1,IF(ISBLANK(B935),"",MAX(A$2:A934)+1))</f>
        <v/>
      </c>
      <c r="I935" s="2" t="str">
        <f ca="1">IF(ISNUMBER(A935),
IF(COUNTIFS(Equipar!B:B,1,Equipar!AC:AC,A935),"Equipada",
IF(
OR(COUNTIFS(Equipar!B:B,1,Equipar!C:C,A935)
 +COUNTIFS(Equipar!B:B,1,Equipar!D:D,A935)
+COUNTIFS(Equipar!B:B,1,Equipar!E:E,A935)
+COUNTIFS(Equipar!B:B,1,Equipar!F:F,A935)
&gt;0,COUNTIF('Set recomendado'!B:B,C935)=0),
"Bloqueada",
"Desechable")),""
)</f>
        <v/>
      </c>
      <c r="J935" t="str" cm="1">
        <f t="array" aca="1" ref="J935" ca="1">IF(ISNUMBER(A935),IFERROR(_xlfn._xlws.FILTER(Equipar!A:A,(Equipar!B:B=1)*(Equipar!AC:AC=A935)),""),"")</f>
        <v/>
      </c>
    </row>
    <row r="936" spans="1:10" x14ac:dyDescent="0.25">
      <c r="A936" s="1" t="str">
        <f ca="1">IF(A935="ID",1,IF(ISBLANK(B936),"",MAX(A$2:A935)+1))</f>
        <v/>
      </c>
      <c r="I936" s="2" t="str">
        <f ca="1">IF(ISNUMBER(A936),
IF(COUNTIFS(Equipar!B:B,1,Equipar!AC:AC,A936),"Equipada",
IF(
OR(COUNTIFS(Equipar!B:B,1,Equipar!C:C,A936)
 +COUNTIFS(Equipar!B:B,1,Equipar!D:D,A936)
+COUNTIFS(Equipar!B:B,1,Equipar!E:E,A936)
+COUNTIFS(Equipar!B:B,1,Equipar!F:F,A936)
&gt;0,COUNTIF('Set recomendado'!B:B,C936)=0),
"Bloqueada",
"Desechable")),""
)</f>
        <v/>
      </c>
      <c r="J936" t="str" cm="1">
        <f t="array" aca="1" ref="J936" ca="1">IF(ISNUMBER(A936),IFERROR(_xlfn._xlws.FILTER(Equipar!A:A,(Equipar!B:B=1)*(Equipar!AC:AC=A936)),""),"")</f>
        <v/>
      </c>
    </row>
    <row r="937" spans="1:10" x14ac:dyDescent="0.25">
      <c r="A937" s="1" t="str">
        <f ca="1">IF(A936="ID",1,IF(ISBLANK(B937),"",MAX(A$2:A936)+1))</f>
        <v/>
      </c>
      <c r="I937" s="2" t="str">
        <f ca="1">IF(ISNUMBER(A937),
IF(COUNTIFS(Equipar!B:B,1,Equipar!AC:AC,A937),"Equipada",
IF(
OR(COUNTIFS(Equipar!B:B,1,Equipar!C:C,A937)
 +COUNTIFS(Equipar!B:B,1,Equipar!D:D,A937)
+COUNTIFS(Equipar!B:B,1,Equipar!E:E,A937)
+COUNTIFS(Equipar!B:B,1,Equipar!F:F,A937)
&gt;0,COUNTIF('Set recomendado'!B:B,C937)=0),
"Bloqueada",
"Desechable")),""
)</f>
        <v/>
      </c>
      <c r="J937" t="str" cm="1">
        <f t="array" aca="1" ref="J937" ca="1">IF(ISNUMBER(A937),IFERROR(_xlfn._xlws.FILTER(Equipar!A:A,(Equipar!B:B=1)*(Equipar!AC:AC=A937)),""),"")</f>
        <v/>
      </c>
    </row>
    <row r="938" spans="1:10" x14ac:dyDescent="0.25">
      <c r="A938" s="1" t="str">
        <f ca="1">IF(A937="ID",1,IF(ISBLANK(B938),"",MAX(A$2:A937)+1))</f>
        <v/>
      </c>
      <c r="I938" s="2" t="str">
        <f ca="1">IF(ISNUMBER(A938),
IF(COUNTIFS(Equipar!B:B,1,Equipar!AC:AC,A938),"Equipada",
IF(
OR(COUNTIFS(Equipar!B:B,1,Equipar!C:C,A938)
 +COUNTIFS(Equipar!B:B,1,Equipar!D:D,A938)
+COUNTIFS(Equipar!B:B,1,Equipar!E:E,A938)
+COUNTIFS(Equipar!B:B,1,Equipar!F:F,A938)
&gt;0,COUNTIF('Set recomendado'!B:B,C938)=0),
"Bloqueada",
"Desechable")),""
)</f>
        <v/>
      </c>
      <c r="J938" t="str" cm="1">
        <f t="array" aca="1" ref="J938" ca="1">IF(ISNUMBER(A938),IFERROR(_xlfn._xlws.FILTER(Equipar!A:A,(Equipar!B:B=1)*(Equipar!AC:AC=A938)),""),"")</f>
        <v/>
      </c>
    </row>
    <row r="939" spans="1:10" x14ac:dyDescent="0.25">
      <c r="A939" s="1" t="str">
        <f ca="1">IF(A938="ID",1,IF(ISBLANK(B939),"",MAX(A$2:A938)+1))</f>
        <v/>
      </c>
      <c r="I939" s="2" t="str">
        <f ca="1">IF(ISNUMBER(A939),
IF(COUNTIFS(Equipar!B:B,1,Equipar!AC:AC,A939),"Equipada",
IF(
OR(COUNTIFS(Equipar!B:B,1,Equipar!C:C,A939)
 +COUNTIFS(Equipar!B:B,1,Equipar!D:D,A939)
+COUNTIFS(Equipar!B:B,1,Equipar!E:E,A939)
+COUNTIFS(Equipar!B:B,1,Equipar!F:F,A939)
&gt;0,COUNTIF('Set recomendado'!B:B,C939)=0),
"Bloqueada",
"Desechable")),""
)</f>
        <v/>
      </c>
      <c r="J939" t="str" cm="1">
        <f t="array" aca="1" ref="J939" ca="1">IF(ISNUMBER(A939),IFERROR(_xlfn._xlws.FILTER(Equipar!A:A,(Equipar!B:B=1)*(Equipar!AC:AC=A939)),""),"")</f>
        <v/>
      </c>
    </row>
    <row r="940" spans="1:10" x14ac:dyDescent="0.25">
      <c r="A940" s="1" t="str">
        <f ca="1">IF(A939="ID",1,IF(ISBLANK(B940),"",MAX(A$2:A939)+1))</f>
        <v/>
      </c>
      <c r="I940" s="2" t="str">
        <f ca="1">IF(ISNUMBER(A940),
IF(COUNTIFS(Equipar!B:B,1,Equipar!AC:AC,A940),"Equipada",
IF(
OR(COUNTIFS(Equipar!B:B,1,Equipar!C:C,A940)
 +COUNTIFS(Equipar!B:B,1,Equipar!D:D,A940)
+COUNTIFS(Equipar!B:B,1,Equipar!E:E,A940)
+COUNTIFS(Equipar!B:B,1,Equipar!F:F,A940)
&gt;0,COUNTIF('Set recomendado'!B:B,C940)=0),
"Bloqueada",
"Desechable")),""
)</f>
        <v/>
      </c>
      <c r="J940" t="str" cm="1">
        <f t="array" aca="1" ref="J940" ca="1">IF(ISNUMBER(A940),IFERROR(_xlfn._xlws.FILTER(Equipar!A:A,(Equipar!B:B=1)*(Equipar!AC:AC=A940)),""),"")</f>
        <v/>
      </c>
    </row>
    <row r="941" spans="1:10" x14ac:dyDescent="0.25">
      <c r="A941" s="1" t="str">
        <f ca="1">IF(A940="ID",1,IF(ISBLANK(B941),"",MAX(A$2:A940)+1))</f>
        <v/>
      </c>
      <c r="I941" s="2" t="str">
        <f ca="1">IF(ISNUMBER(A941),
IF(COUNTIFS(Equipar!B:B,1,Equipar!AC:AC,A941),"Equipada",
IF(
OR(COUNTIFS(Equipar!B:B,1,Equipar!C:C,A941)
 +COUNTIFS(Equipar!B:B,1,Equipar!D:D,A941)
+COUNTIFS(Equipar!B:B,1,Equipar!E:E,A941)
+COUNTIFS(Equipar!B:B,1,Equipar!F:F,A941)
&gt;0,COUNTIF('Set recomendado'!B:B,C941)=0),
"Bloqueada",
"Desechable")),""
)</f>
        <v/>
      </c>
      <c r="J941" t="str" cm="1">
        <f t="array" aca="1" ref="J941" ca="1">IF(ISNUMBER(A941),IFERROR(_xlfn._xlws.FILTER(Equipar!A:A,(Equipar!B:B=1)*(Equipar!AC:AC=A941)),""),"")</f>
        <v/>
      </c>
    </row>
    <row r="942" spans="1:10" x14ac:dyDescent="0.25">
      <c r="A942" s="1" t="str">
        <f ca="1">IF(A941="ID",1,IF(ISBLANK(B942),"",MAX(A$2:A941)+1))</f>
        <v/>
      </c>
      <c r="I942" s="2" t="str">
        <f ca="1">IF(ISNUMBER(A942),
IF(COUNTIFS(Equipar!B:B,1,Equipar!AC:AC,A942),"Equipada",
IF(
OR(COUNTIFS(Equipar!B:B,1,Equipar!C:C,A942)
 +COUNTIFS(Equipar!B:B,1,Equipar!D:D,A942)
+COUNTIFS(Equipar!B:B,1,Equipar!E:E,A942)
+COUNTIFS(Equipar!B:B,1,Equipar!F:F,A942)
&gt;0,COUNTIF('Set recomendado'!B:B,C942)=0),
"Bloqueada",
"Desechable")),""
)</f>
        <v/>
      </c>
      <c r="J942" t="str" cm="1">
        <f t="array" aca="1" ref="J942" ca="1">IF(ISNUMBER(A942),IFERROR(_xlfn._xlws.FILTER(Equipar!A:A,(Equipar!B:B=1)*(Equipar!AC:AC=A942)),""),"")</f>
        <v/>
      </c>
    </row>
    <row r="943" spans="1:10" x14ac:dyDescent="0.25">
      <c r="A943" s="1" t="str">
        <f ca="1">IF(A942="ID",1,IF(ISBLANK(B943),"",MAX(A$2:A942)+1))</f>
        <v/>
      </c>
      <c r="I943" s="2" t="str">
        <f ca="1">IF(ISNUMBER(A943),
IF(COUNTIFS(Equipar!B:B,1,Equipar!AC:AC,A943),"Equipada",
IF(
OR(COUNTIFS(Equipar!B:B,1,Equipar!C:C,A943)
 +COUNTIFS(Equipar!B:B,1,Equipar!D:D,A943)
+COUNTIFS(Equipar!B:B,1,Equipar!E:E,A943)
+COUNTIFS(Equipar!B:B,1,Equipar!F:F,A943)
&gt;0,COUNTIF('Set recomendado'!B:B,C943)=0),
"Bloqueada",
"Desechable")),""
)</f>
        <v/>
      </c>
      <c r="J943" t="str" cm="1">
        <f t="array" aca="1" ref="J943" ca="1">IF(ISNUMBER(A943),IFERROR(_xlfn._xlws.FILTER(Equipar!A:A,(Equipar!B:B=1)*(Equipar!AC:AC=A943)),""),"")</f>
        <v/>
      </c>
    </row>
    <row r="944" spans="1:10" x14ac:dyDescent="0.25">
      <c r="A944" s="1" t="str">
        <f ca="1">IF(A943="ID",1,IF(ISBLANK(B944),"",MAX(A$2:A943)+1))</f>
        <v/>
      </c>
      <c r="I944" s="2" t="str">
        <f ca="1">IF(ISNUMBER(A944),
IF(COUNTIFS(Equipar!B:B,1,Equipar!AC:AC,A944),"Equipada",
IF(
OR(COUNTIFS(Equipar!B:B,1,Equipar!C:C,A944)
 +COUNTIFS(Equipar!B:B,1,Equipar!D:D,A944)
+COUNTIFS(Equipar!B:B,1,Equipar!E:E,A944)
+COUNTIFS(Equipar!B:B,1,Equipar!F:F,A944)
&gt;0,COUNTIF('Set recomendado'!B:B,C944)=0),
"Bloqueada",
"Desechable")),""
)</f>
        <v/>
      </c>
      <c r="J944" t="str" cm="1">
        <f t="array" aca="1" ref="J944" ca="1">IF(ISNUMBER(A944),IFERROR(_xlfn._xlws.FILTER(Equipar!A:A,(Equipar!B:B=1)*(Equipar!AC:AC=A944)),""),"")</f>
        <v/>
      </c>
    </row>
    <row r="945" spans="1:10" x14ac:dyDescent="0.25">
      <c r="A945" s="1" t="str">
        <f ca="1">IF(A944="ID",1,IF(ISBLANK(B945),"",MAX(A$2:A944)+1))</f>
        <v/>
      </c>
      <c r="I945" s="2" t="str">
        <f ca="1">IF(ISNUMBER(A945),
IF(COUNTIFS(Equipar!B:B,1,Equipar!AC:AC,A945),"Equipada",
IF(
OR(COUNTIFS(Equipar!B:B,1,Equipar!C:C,A945)
 +COUNTIFS(Equipar!B:B,1,Equipar!D:D,A945)
+COUNTIFS(Equipar!B:B,1,Equipar!E:E,A945)
+COUNTIFS(Equipar!B:B,1,Equipar!F:F,A945)
&gt;0,COUNTIF('Set recomendado'!B:B,C945)=0),
"Bloqueada",
"Desechable")),""
)</f>
        <v/>
      </c>
      <c r="J945" t="str" cm="1">
        <f t="array" aca="1" ref="J945" ca="1">IF(ISNUMBER(A945),IFERROR(_xlfn._xlws.FILTER(Equipar!A:A,(Equipar!B:B=1)*(Equipar!AC:AC=A945)),""),"")</f>
        <v/>
      </c>
    </row>
    <row r="946" spans="1:10" x14ac:dyDescent="0.25">
      <c r="A946" s="1" t="str">
        <f ca="1">IF(A945="ID",1,IF(ISBLANK(B946),"",MAX(A$2:A945)+1))</f>
        <v/>
      </c>
      <c r="I946" s="2" t="str">
        <f ca="1">IF(ISNUMBER(A946),
IF(COUNTIFS(Equipar!B:B,1,Equipar!AC:AC,A946),"Equipada",
IF(
OR(COUNTIFS(Equipar!B:B,1,Equipar!C:C,A946)
 +COUNTIFS(Equipar!B:B,1,Equipar!D:D,A946)
+COUNTIFS(Equipar!B:B,1,Equipar!E:E,A946)
+COUNTIFS(Equipar!B:B,1,Equipar!F:F,A946)
&gt;0,COUNTIF('Set recomendado'!B:B,C946)=0),
"Bloqueada",
"Desechable")),""
)</f>
        <v/>
      </c>
      <c r="J946" t="str" cm="1">
        <f t="array" aca="1" ref="J946" ca="1">IF(ISNUMBER(A946),IFERROR(_xlfn._xlws.FILTER(Equipar!A:A,(Equipar!B:B=1)*(Equipar!AC:AC=A946)),""),"")</f>
        <v/>
      </c>
    </row>
    <row r="947" spans="1:10" x14ac:dyDescent="0.25">
      <c r="A947" s="1" t="str">
        <f ca="1">IF(A946="ID",1,IF(ISBLANK(B947),"",MAX(A$2:A946)+1))</f>
        <v/>
      </c>
      <c r="I947" s="2" t="str">
        <f ca="1">IF(ISNUMBER(A947),
IF(COUNTIFS(Equipar!B:B,1,Equipar!AC:AC,A947),"Equipada",
IF(
OR(COUNTIFS(Equipar!B:B,1,Equipar!C:C,A947)
 +COUNTIFS(Equipar!B:B,1,Equipar!D:D,A947)
+COUNTIFS(Equipar!B:B,1,Equipar!E:E,A947)
+COUNTIFS(Equipar!B:B,1,Equipar!F:F,A947)
&gt;0,COUNTIF('Set recomendado'!B:B,C947)=0),
"Bloqueada",
"Desechable")),""
)</f>
        <v/>
      </c>
      <c r="J947" t="str" cm="1">
        <f t="array" aca="1" ref="J947" ca="1">IF(ISNUMBER(A947),IFERROR(_xlfn._xlws.FILTER(Equipar!A:A,(Equipar!B:B=1)*(Equipar!AC:AC=A947)),""),"")</f>
        <v/>
      </c>
    </row>
    <row r="948" spans="1:10" x14ac:dyDescent="0.25">
      <c r="A948" s="1" t="str">
        <f ca="1">IF(A947="ID",1,IF(ISBLANK(B948),"",MAX(A$2:A947)+1))</f>
        <v/>
      </c>
      <c r="I948" s="2" t="str">
        <f ca="1">IF(ISNUMBER(A948),
IF(COUNTIFS(Equipar!B:B,1,Equipar!AC:AC,A948),"Equipada",
IF(
OR(COUNTIFS(Equipar!B:B,1,Equipar!C:C,A948)
 +COUNTIFS(Equipar!B:B,1,Equipar!D:D,A948)
+COUNTIFS(Equipar!B:B,1,Equipar!E:E,A948)
+COUNTIFS(Equipar!B:B,1,Equipar!F:F,A948)
&gt;0,COUNTIF('Set recomendado'!B:B,C948)=0),
"Bloqueada",
"Desechable")),""
)</f>
        <v/>
      </c>
      <c r="J948" t="str" cm="1">
        <f t="array" aca="1" ref="J948" ca="1">IF(ISNUMBER(A948),IFERROR(_xlfn._xlws.FILTER(Equipar!A:A,(Equipar!B:B=1)*(Equipar!AC:AC=A948)),""),"")</f>
        <v/>
      </c>
    </row>
    <row r="949" spans="1:10" x14ac:dyDescent="0.25">
      <c r="A949" s="1" t="str">
        <f ca="1">IF(A948="ID",1,IF(ISBLANK(B949),"",MAX(A$2:A948)+1))</f>
        <v/>
      </c>
      <c r="I949" s="2" t="str">
        <f ca="1">IF(ISNUMBER(A949),
IF(COUNTIFS(Equipar!B:B,1,Equipar!AC:AC,A949),"Equipada",
IF(
OR(COUNTIFS(Equipar!B:B,1,Equipar!C:C,A949)
 +COUNTIFS(Equipar!B:B,1,Equipar!D:D,A949)
+COUNTIFS(Equipar!B:B,1,Equipar!E:E,A949)
+COUNTIFS(Equipar!B:B,1,Equipar!F:F,A949)
&gt;0,COUNTIF('Set recomendado'!B:B,C949)=0),
"Bloqueada",
"Desechable")),""
)</f>
        <v/>
      </c>
      <c r="J949" t="str" cm="1">
        <f t="array" aca="1" ref="J949" ca="1">IF(ISNUMBER(A949),IFERROR(_xlfn._xlws.FILTER(Equipar!A:A,(Equipar!B:B=1)*(Equipar!AC:AC=A949)),""),"")</f>
        <v/>
      </c>
    </row>
    <row r="950" spans="1:10" x14ac:dyDescent="0.25">
      <c r="A950" s="1" t="str">
        <f ca="1">IF(A949="ID",1,IF(ISBLANK(B950),"",MAX(A$2:A949)+1))</f>
        <v/>
      </c>
      <c r="I950" s="2" t="str">
        <f ca="1">IF(ISNUMBER(A950),
IF(COUNTIFS(Equipar!B:B,1,Equipar!AC:AC,A950),"Equipada",
IF(
OR(COUNTIFS(Equipar!B:B,1,Equipar!C:C,A950)
 +COUNTIFS(Equipar!B:B,1,Equipar!D:D,A950)
+COUNTIFS(Equipar!B:B,1,Equipar!E:E,A950)
+COUNTIFS(Equipar!B:B,1,Equipar!F:F,A950)
&gt;0,COUNTIF('Set recomendado'!B:B,C950)=0),
"Bloqueada",
"Desechable")),""
)</f>
        <v/>
      </c>
      <c r="J950" t="str" cm="1">
        <f t="array" aca="1" ref="J950" ca="1">IF(ISNUMBER(A950),IFERROR(_xlfn._xlws.FILTER(Equipar!A:A,(Equipar!B:B=1)*(Equipar!AC:AC=A950)),""),"")</f>
        <v/>
      </c>
    </row>
    <row r="951" spans="1:10" x14ac:dyDescent="0.25">
      <c r="A951" s="1" t="str">
        <f ca="1">IF(A950="ID",1,IF(ISBLANK(B951),"",MAX(A$2:A950)+1))</f>
        <v/>
      </c>
      <c r="I951" s="2" t="str">
        <f ca="1">IF(ISNUMBER(A951),
IF(COUNTIFS(Equipar!B:B,1,Equipar!AC:AC,A951),"Equipada",
IF(
OR(COUNTIFS(Equipar!B:B,1,Equipar!C:C,A951)
 +COUNTIFS(Equipar!B:B,1,Equipar!D:D,A951)
+COUNTIFS(Equipar!B:B,1,Equipar!E:E,A951)
+COUNTIFS(Equipar!B:B,1,Equipar!F:F,A951)
&gt;0,COUNTIF('Set recomendado'!B:B,C951)=0),
"Bloqueada",
"Desechable")),""
)</f>
        <v/>
      </c>
      <c r="J951" t="str" cm="1">
        <f t="array" aca="1" ref="J951" ca="1">IF(ISNUMBER(A951),IFERROR(_xlfn._xlws.FILTER(Equipar!A:A,(Equipar!B:B=1)*(Equipar!AC:AC=A951)),""),"")</f>
        <v/>
      </c>
    </row>
    <row r="952" spans="1:10" x14ac:dyDescent="0.25">
      <c r="A952" s="1" t="str">
        <f ca="1">IF(A951="ID",1,IF(ISBLANK(B952),"",MAX(A$2:A951)+1))</f>
        <v/>
      </c>
      <c r="I952" s="2" t="str">
        <f ca="1">IF(ISNUMBER(A952),
IF(COUNTIFS(Equipar!B:B,1,Equipar!AC:AC,A952),"Equipada",
IF(
OR(COUNTIFS(Equipar!B:B,1,Equipar!C:C,A952)
 +COUNTIFS(Equipar!B:B,1,Equipar!D:D,A952)
+COUNTIFS(Equipar!B:B,1,Equipar!E:E,A952)
+COUNTIFS(Equipar!B:B,1,Equipar!F:F,A952)
&gt;0,COUNTIF('Set recomendado'!B:B,C952)=0),
"Bloqueada",
"Desechable")),""
)</f>
        <v/>
      </c>
      <c r="J952" t="str" cm="1">
        <f t="array" aca="1" ref="J952" ca="1">IF(ISNUMBER(A952),IFERROR(_xlfn._xlws.FILTER(Equipar!A:A,(Equipar!B:B=1)*(Equipar!AC:AC=A952)),""),"")</f>
        <v/>
      </c>
    </row>
    <row r="953" spans="1:10" x14ac:dyDescent="0.25">
      <c r="A953" s="1" t="str">
        <f ca="1">IF(A952="ID",1,IF(ISBLANK(B953),"",MAX(A$2:A952)+1))</f>
        <v/>
      </c>
      <c r="I953" s="2" t="str">
        <f ca="1">IF(ISNUMBER(A953),
IF(COUNTIFS(Equipar!B:B,1,Equipar!AC:AC,A953),"Equipada",
IF(
OR(COUNTIFS(Equipar!B:B,1,Equipar!C:C,A953)
 +COUNTIFS(Equipar!B:B,1,Equipar!D:D,A953)
+COUNTIFS(Equipar!B:B,1,Equipar!E:E,A953)
+COUNTIFS(Equipar!B:B,1,Equipar!F:F,A953)
&gt;0,COUNTIF('Set recomendado'!B:B,C953)=0),
"Bloqueada",
"Desechable")),""
)</f>
        <v/>
      </c>
      <c r="J953" t="str" cm="1">
        <f t="array" aca="1" ref="J953" ca="1">IF(ISNUMBER(A953),IFERROR(_xlfn._xlws.FILTER(Equipar!A:A,(Equipar!B:B=1)*(Equipar!AC:AC=A953)),""),"")</f>
        <v/>
      </c>
    </row>
    <row r="954" spans="1:10" x14ac:dyDescent="0.25">
      <c r="A954" s="1" t="str">
        <f ca="1">IF(A953="ID",1,IF(ISBLANK(B954),"",MAX(A$2:A953)+1))</f>
        <v/>
      </c>
      <c r="I954" s="2" t="str">
        <f ca="1">IF(ISNUMBER(A954),
IF(COUNTIFS(Equipar!B:B,1,Equipar!AC:AC,A954),"Equipada",
IF(
OR(COUNTIFS(Equipar!B:B,1,Equipar!C:C,A954)
 +COUNTIFS(Equipar!B:B,1,Equipar!D:D,A954)
+COUNTIFS(Equipar!B:B,1,Equipar!E:E,A954)
+COUNTIFS(Equipar!B:B,1,Equipar!F:F,A954)
&gt;0,COUNTIF('Set recomendado'!B:B,C954)=0),
"Bloqueada",
"Desechable")),""
)</f>
        <v/>
      </c>
      <c r="J954" t="str" cm="1">
        <f t="array" aca="1" ref="J954" ca="1">IF(ISNUMBER(A954),IFERROR(_xlfn._xlws.FILTER(Equipar!A:A,(Equipar!B:B=1)*(Equipar!AC:AC=A954)),""),"")</f>
        <v/>
      </c>
    </row>
    <row r="955" spans="1:10" x14ac:dyDescent="0.25">
      <c r="A955" s="1" t="str">
        <f ca="1">IF(A954="ID",1,IF(ISBLANK(B955),"",MAX(A$2:A954)+1))</f>
        <v/>
      </c>
      <c r="I955" s="2" t="str">
        <f ca="1">IF(ISNUMBER(A955),
IF(COUNTIFS(Equipar!B:B,1,Equipar!AC:AC,A955),"Equipada",
IF(
OR(COUNTIFS(Equipar!B:B,1,Equipar!C:C,A955)
 +COUNTIFS(Equipar!B:B,1,Equipar!D:D,A955)
+COUNTIFS(Equipar!B:B,1,Equipar!E:E,A955)
+COUNTIFS(Equipar!B:B,1,Equipar!F:F,A955)
&gt;0,COUNTIF('Set recomendado'!B:B,C955)=0),
"Bloqueada",
"Desechable")),""
)</f>
        <v/>
      </c>
      <c r="J955" t="str" cm="1">
        <f t="array" aca="1" ref="J955" ca="1">IF(ISNUMBER(A955),IFERROR(_xlfn._xlws.FILTER(Equipar!A:A,(Equipar!B:B=1)*(Equipar!AC:AC=A955)),""),"")</f>
        <v/>
      </c>
    </row>
    <row r="956" spans="1:10" x14ac:dyDescent="0.25">
      <c r="A956" s="1" t="str">
        <f ca="1">IF(A955="ID",1,IF(ISBLANK(B956),"",MAX(A$2:A955)+1))</f>
        <v/>
      </c>
      <c r="I956" s="2" t="str">
        <f ca="1">IF(ISNUMBER(A956),
IF(COUNTIFS(Equipar!B:B,1,Equipar!AC:AC,A956),"Equipada",
IF(
OR(COUNTIFS(Equipar!B:B,1,Equipar!C:C,A956)
 +COUNTIFS(Equipar!B:B,1,Equipar!D:D,A956)
+COUNTIFS(Equipar!B:B,1,Equipar!E:E,A956)
+COUNTIFS(Equipar!B:B,1,Equipar!F:F,A956)
&gt;0,COUNTIF('Set recomendado'!B:B,C956)=0),
"Bloqueada",
"Desechable")),""
)</f>
        <v/>
      </c>
      <c r="J956" t="str" cm="1">
        <f t="array" aca="1" ref="J956" ca="1">IF(ISNUMBER(A956),IFERROR(_xlfn._xlws.FILTER(Equipar!A:A,(Equipar!B:B=1)*(Equipar!AC:AC=A956)),""),"")</f>
        <v/>
      </c>
    </row>
    <row r="957" spans="1:10" x14ac:dyDescent="0.25">
      <c r="A957" s="1" t="str">
        <f ca="1">IF(A956="ID",1,IF(ISBLANK(B957),"",MAX(A$2:A956)+1))</f>
        <v/>
      </c>
      <c r="I957" s="2" t="str">
        <f ca="1">IF(ISNUMBER(A957),
IF(COUNTIFS(Equipar!B:B,1,Equipar!AC:AC,A957),"Equipada",
IF(
OR(COUNTIFS(Equipar!B:B,1,Equipar!C:C,A957)
 +COUNTIFS(Equipar!B:B,1,Equipar!D:D,A957)
+COUNTIFS(Equipar!B:B,1,Equipar!E:E,A957)
+COUNTIFS(Equipar!B:B,1,Equipar!F:F,A957)
&gt;0,COUNTIF('Set recomendado'!B:B,C957)=0),
"Bloqueada",
"Desechable")),""
)</f>
        <v/>
      </c>
      <c r="J957" t="str" cm="1">
        <f t="array" aca="1" ref="J957" ca="1">IF(ISNUMBER(A957),IFERROR(_xlfn._xlws.FILTER(Equipar!A:A,(Equipar!B:B=1)*(Equipar!AC:AC=A957)),""),"")</f>
        <v/>
      </c>
    </row>
    <row r="958" spans="1:10" x14ac:dyDescent="0.25">
      <c r="A958" s="1" t="str">
        <f ca="1">IF(A957="ID",1,IF(ISBLANK(B958),"",MAX(A$2:A957)+1))</f>
        <v/>
      </c>
      <c r="I958" s="2" t="str">
        <f ca="1">IF(ISNUMBER(A958),
IF(COUNTIFS(Equipar!B:B,1,Equipar!AC:AC,A958),"Equipada",
IF(
OR(COUNTIFS(Equipar!B:B,1,Equipar!C:C,A958)
 +COUNTIFS(Equipar!B:B,1,Equipar!D:D,A958)
+COUNTIFS(Equipar!B:B,1,Equipar!E:E,A958)
+COUNTIFS(Equipar!B:B,1,Equipar!F:F,A958)
&gt;0,COUNTIF('Set recomendado'!B:B,C958)=0),
"Bloqueada",
"Desechable")),""
)</f>
        <v/>
      </c>
      <c r="J958" t="str" cm="1">
        <f t="array" aca="1" ref="J958" ca="1">IF(ISNUMBER(A958),IFERROR(_xlfn._xlws.FILTER(Equipar!A:A,(Equipar!B:B=1)*(Equipar!AC:AC=A958)),""),"")</f>
        <v/>
      </c>
    </row>
    <row r="959" spans="1:10" x14ac:dyDescent="0.25">
      <c r="A959" s="1" t="str">
        <f ca="1">IF(A958="ID",1,IF(ISBLANK(B959),"",MAX(A$2:A958)+1))</f>
        <v/>
      </c>
      <c r="I959" s="2" t="str">
        <f ca="1">IF(ISNUMBER(A959),
IF(COUNTIFS(Equipar!B:B,1,Equipar!AC:AC,A959),"Equipada",
IF(
OR(COUNTIFS(Equipar!B:B,1,Equipar!C:C,A959)
 +COUNTIFS(Equipar!B:B,1,Equipar!D:D,A959)
+COUNTIFS(Equipar!B:B,1,Equipar!E:E,A959)
+COUNTIFS(Equipar!B:B,1,Equipar!F:F,A959)
&gt;0,COUNTIF('Set recomendado'!B:B,C959)=0),
"Bloqueada",
"Desechable")),""
)</f>
        <v/>
      </c>
      <c r="J959" t="str" cm="1">
        <f t="array" aca="1" ref="J959" ca="1">IF(ISNUMBER(A959),IFERROR(_xlfn._xlws.FILTER(Equipar!A:A,(Equipar!B:B=1)*(Equipar!AC:AC=A959)),""),"")</f>
        <v/>
      </c>
    </row>
    <row r="960" spans="1:10" x14ac:dyDescent="0.25">
      <c r="A960" s="1" t="str">
        <f ca="1">IF(A959="ID",1,IF(ISBLANK(B960),"",MAX(A$2:A959)+1))</f>
        <v/>
      </c>
      <c r="I960" s="2" t="str">
        <f ca="1">IF(ISNUMBER(A960),
IF(COUNTIFS(Equipar!B:B,1,Equipar!AC:AC,A960),"Equipada",
IF(
OR(COUNTIFS(Equipar!B:B,1,Equipar!C:C,A960)
 +COUNTIFS(Equipar!B:B,1,Equipar!D:D,A960)
+COUNTIFS(Equipar!B:B,1,Equipar!E:E,A960)
+COUNTIFS(Equipar!B:B,1,Equipar!F:F,A960)
&gt;0,COUNTIF('Set recomendado'!B:B,C960)=0),
"Bloqueada",
"Desechable")),""
)</f>
        <v/>
      </c>
      <c r="J960" t="str" cm="1">
        <f t="array" aca="1" ref="J960" ca="1">IF(ISNUMBER(A960),IFERROR(_xlfn._xlws.FILTER(Equipar!A:A,(Equipar!B:B=1)*(Equipar!AC:AC=A960)),""),"")</f>
        <v/>
      </c>
    </row>
    <row r="961" spans="1:10" x14ac:dyDescent="0.25">
      <c r="A961" s="1" t="str">
        <f ca="1">IF(A960="ID",1,IF(ISBLANK(B961),"",MAX(A$2:A960)+1))</f>
        <v/>
      </c>
      <c r="I961" s="2" t="str">
        <f ca="1">IF(ISNUMBER(A961),
IF(COUNTIFS(Equipar!B:B,1,Equipar!AC:AC,A961),"Equipada",
IF(
OR(COUNTIFS(Equipar!B:B,1,Equipar!C:C,A961)
 +COUNTIFS(Equipar!B:B,1,Equipar!D:D,A961)
+COUNTIFS(Equipar!B:B,1,Equipar!E:E,A961)
+COUNTIFS(Equipar!B:B,1,Equipar!F:F,A961)
&gt;0,COUNTIF('Set recomendado'!B:B,C961)=0),
"Bloqueada",
"Desechable")),""
)</f>
        <v/>
      </c>
      <c r="J961" t="str" cm="1">
        <f t="array" aca="1" ref="J961" ca="1">IF(ISNUMBER(A961),IFERROR(_xlfn._xlws.FILTER(Equipar!A:A,(Equipar!B:B=1)*(Equipar!AC:AC=A961)),""),"")</f>
        <v/>
      </c>
    </row>
    <row r="962" spans="1:10" x14ac:dyDescent="0.25">
      <c r="A962" s="1" t="str">
        <f ca="1">IF(A961="ID",1,IF(ISBLANK(B962),"",MAX(A$2:A961)+1))</f>
        <v/>
      </c>
      <c r="I962" s="2" t="str">
        <f ca="1">IF(ISNUMBER(A962),
IF(COUNTIFS(Equipar!B:B,1,Equipar!AC:AC,A962),"Equipada",
IF(
OR(COUNTIFS(Equipar!B:B,1,Equipar!C:C,A962)
 +COUNTIFS(Equipar!B:B,1,Equipar!D:D,A962)
+COUNTIFS(Equipar!B:B,1,Equipar!E:E,A962)
+COUNTIFS(Equipar!B:B,1,Equipar!F:F,A962)
&gt;0,COUNTIF('Set recomendado'!B:B,C962)=0),
"Bloqueada",
"Desechable")),""
)</f>
        <v/>
      </c>
      <c r="J962" t="str" cm="1">
        <f t="array" aca="1" ref="J962" ca="1">IF(ISNUMBER(A962),IFERROR(_xlfn._xlws.FILTER(Equipar!A:A,(Equipar!B:B=1)*(Equipar!AC:AC=A962)),""),"")</f>
        <v/>
      </c>
    </row>
    <row r="963" spans="1:10" x14ac:dyDescent="0.25">
      <c r="A963" s="1" t="str">
        <f ca="1">IF(A962="ID",1,IF(ISBLANK(B963),"",MAX(A$2:A962)+1))</f>
        <v/>
      </c>
      <c r="I963" s="2" t="str">
        <f ca="1">IF(ISNUMBER(A963),
IF(COUNTIFS(Equipar!B:B,1,Equipar!AC:AC,A963),"Equipada",
IF(
OR(COUNTIFS(Equipar!B:B,1,Equipar!C:C,A963)
 +COUNTIFS(Equipar!B:B,1,Equipar!D:D,A963)
+COUNTIFS(Equipar!B:B,1,Equipar!E:E,A963)
+COUNTIFS(Equipar!B:B,1,Equipar!F:F,A963)
&gt;0,COUNTIF('Set recomendado'!B:B,C963)=0),
"Bloqueada",
"Desechable")),""
)</f>
        <v/>
      </c>
      <c r="J963" t="str" cm="1">
        <f t="array" aca="1" ref="J963" ca="1">IF(ISNUMBER(A963),IFERROR(_xlfn._xlws.FILTER(Equipar!A:A,(Equipar!B:B=1)*(Equipar!AC:AC=A963)),""),"")</f>
        <v/>
      </c>
    </row>
    <row r="964" spans="1:10" x14ac:dyDescent="0.25">
      <c r="A964" s="1" t="str">
        <f ca="1">IF(A963="ID",1,IF(ISBLANK(B964),"",MAX(A$2:A963)+1))</f>
        <v/>
      </c>
      <c r="I964" s="2" t="str">
        <f ca="1">IF(ISNUMBER(A964),
IF(COUNTIFS(Equipar!B:B,1,Equipar!AC:AC,A964),"Equipada",
IF(
OR(COUNTIFS(Equipar!B:B,1,Equipar!C:C,A964)
 +COUNTIFS(Equipar!B:B,1,Equipar!D:D,A964)
+COUNTIFS(Equipar!B:B,1,Equipar!E:E,A964)
+COUNTIFS(Equipar!B:B,1,Equipar!F:F,A964)
&gt;0,COUNTIF('Set recomendado'!B:B,C964)=0),
"Bloqueada",
"Desechable")),""
)</f>
        <v/>
      </c>
      <c r="J964" t="str" cm="1">
        <f t="array" aca="1" ref="J964" ca="1">IF(ISNUMBER(A964),IFERROR(_xlfn._xlws.FILTER(Equipar!A:A,(Equipar!B:B=1)*(Equipar!AC:AC=A964)),""),"")</f>
        <v/>
      </c>
    </row>
    <row r="965" spans="1:10" x14ac:dyDescent="0.25">
      <c r="A965" s="1" t="str">
        <f ca="1">IF(A964="ID",1,IF(ISBLANK(B965),"",MAX(A$2:A964)+1))</f>
        <v/>
      </c>
      <c r="I965" s="2" t="str">
        <f ca="1">IF(ISNUMBER(A965),
IF(COUNTIFS(Equipar!B:B,1,Equipar!AC:AC,A965),"Equipada",
IF(
OR(COUNTIFS(Equipar!B:B,1,Equipar!C:C,A965)
 +COUNTIFS(Equipar!B:B,1,Equipar!D:D,A965)
+COUNTIFS(Equipar!B:B,1,Equipar!E:E,A965)
+COUNTIFS(Equipar!B:B,1,Equipar!F:F,A965)
&gt;0,COUNTIF('Set recomendado'!B:B,C965)=0),
"Bloqueada",
"Desechable")),""
)</f>
        <v/>
      </c>
      <c r="J965" t="str" cm="1">
        <f t="array" aca="1" ref="J965" ca="1">IF(ISNUMBER(A965),IFERROR(_xlfn._xlws.FILTER(Equipar!A:A,(Equipar!B:B=1)*(Equipar!AC:AC=A965)),""),"")</f>
        <v/>
      </c>
    </row>
    <row r="966" spans="1:10" x14ac:dyDescent="0.25">
      <c r="A966" s="1" t="str">
        <f ca="1">IF(A965="ID",1,IF(ISBLANK(B966),"",MAX(A$2:A965)+1))</f>
        <v/>
      </c>
      <c r="I966" s="2" t="str">
        <f ca="1">IF(ISNUMBER(A966),
IF(COUNTIFS(Equipar!B:B,1,Equipar!AC:AC,A966),"Equipada",
IF(
OR(COUNTIFS(Equipar!B:B,1,Equipar!C:C,A966)
 +COUNTIFS(Equipar!B:B,1,Equipar!D:D,A966)
+COUNTIFS(Equipar!B:B,1,Equipar!E:E,A966)
+COUNTIFS(Equipar!B:B,1,Equipar!F:F,A966)
&gt;0,COUNTIF('Set recomendado'!B:B,C966)=0),
"Bloqueada",
"Desechable")),""
)</f>
        <v/>
      </c>
      <c r="J966" t="str" cm="1">
        <f t="array" aca="1" ref="J966" ca="1">IF(ISNUMBER(A966),IFERROR(_xlfn._xlws.FILTER(Equipar!A:A,(Equipar!B:B=1)*(Equipar!AC:AC=A966)),""),"")</f>
        <v/>
      </c>
    </row>
    <row r="967" spans="1:10" x14ac:dyDescent="0.25">
      <c r="A967" s="1" t="str">
        <f ca="1">IF(A966="ID",1,IF(ISBLANK(B967),"",MAX(A$2:A966)+1))</f>
        <v/>
      </c>
      <c r="I967" s="2" t="str">
        <f ca="1">IF(ISNUMBER(A967),
IF(COUNTIFS(Equipar!B:B,1,Equipar!AC:AC,A967),"Equipada",
IF(
OR(COUNTIFS(Equipar!B:B,1,Equipar!C:C,A967)
 +COUNTIFS(Equipar!B:B,1,Equipar!D:D,A967)
+COUNTIFS(Equipar!B:B,1,Equipar!E:E,A967)
+COUNTIFS(Equipar!B:B,1,Equipar!F:F,A967)
&gt;0,COUNTIF('Set recomendado'!B:B,C967)=0),
"Bloqueada",
"Desechable")),""
)</f>
        <v/>
      </c>
      <c r="J967" t="str" cm="1">
        <f t="array" aca="1" ref="J967" ca="1">IF(ISNUMBER(A967),IFERROR(_xlfn._xlws.FILTER(Equipar!A:A,(Equipar!B:B=1)*(Equipar!AC:AC=A967)),""),"")</f>
        <v/>
      </c>
    </row>
    <row r="968" spans="1:10" x14ac:dyDescent="0.25">
      <c r="A968" s="1" t="str">
        <f ca="1">IF(A967="ID",1,IF(ISBLANK(B968),"",MAX(A$2:A967)+1))</f>
        <v/>
      </c>
      <c r="I968" s="2" t="str">
        <f ca="1">IF(ISNUMBER(A968),
IF(COUNTIFS(Equipar!B:B,1,Equipar!AC:AC,A968),"Equipada",
IF(
OR(COUNTIFS(Equipar!B:B,1,Equipar!C:C,A968)
 +COUNTIFS(Equipar!B:B,1,Equipar!D:D,A968)
+COUNTIFS(Equipar!B:B,1,Equipar!E:E,A968)
+COUNTIFS(Equipar!B:B,1,Equipar!F:F,A968)
&gt;0,COUNTIF('Set recomendado'!B:B,C968)=0),
"Bloqueada",
"Desechable")),""
)</f>
        <v/>
      </c>
      <c r="J968" t="str" cm="1">
        <f t="array" aca="1" ref="J968" ca="1">IF(ISNUMBER(A968),IFERROR(_xlfn._xlws.FILTER(Equipar!A:A,(Equipar!B:B=1)*(Equipar!AC:AC=A968)),""),"")</f>
        <v/>
      </c>
    </row>
    <row r="969" spans="1:10" x14ac:dyDescent="0.25">
      <c r="A969" s="1" t="str">
        <f ca="1">IF(A968="ID",1,IF(ISBLANK(B969),"",MAX(A$2:A968)+1))</f>
        <v/>
      </c>
      <c r="I969" s="2" t="str">
        <f ca="1">IF(ISNUMBER(A969),
IF(COUNTIFS(Equipar!B:B,1,Equipar!AC:AC,A969),"Equipada",
IF(
OR(COUNTIFS(Equipar!B:B,1,Equipar!C:C,A969)
 +COUNTIFS(Equipar!B:B,1,Equipar!D:D,A969)
+COUNTIFS(Equipar!B:B,1,Equipar!E:E,A969)
+COUNTIFS(Equipar!B:B,1,Equipar!F:F,A969)
&gt;0,COUNTIF('Set recomendado'!B:B,C969)=0),
"Bloqueada",
"Desechable")),""
)</f>
        <v/>
      </c>
      <c r="J969" t="str" cm="1">
        <f t="array" aca="1" ref="J969" ca="1">IF(ISNUMBER(A969),IFERROR(_xlfn._xlws.FILTER(Equipar!A:A,(Equipar!B:B=1)*(Equipar!AC:AC=A969)),""),"")</f>
        <v/>
      </c>
    </row>
    <row r="970" spans="1:10" x14ac:dyDescent="0.25">
      <c r="A970" s="1" t="str">
        <f ca="1">IF(A969="ID",1,IF(ISBLANK(B970),"",MAX(A$2:A969)+1))</f>
        <v/>
      </c>
      <c r="I970" s="2" t="str">
        <f ca="1">IF(ISNUMBER(A970),
IF(COUNTIFS(Equipar!B:B,1,Equipar!AC:AC,A970),"Equipada",
IF(
OR(COUNTIFS(Equipar!B:B,1,Equipar!C:C,A970)
 +COUNTIFS(Equipar!B:B,1,Equipar!D:D,A970)
+COUNTIFS(Equipar!B:B,1,Equipar!E:E,A970)
+COUNTIFS(Equipar!B:B,1,Equipar!F:F,A970)
&gt;0,COUNTIF('Set recomendado'!B:B,C970)=0),
"Bloqueada",
"Desechable")),""
)</f>
        <v/>
      </c>
      <c r="J970" t="str" cm="1">
        <f t="array" aca="1" ref="J970" ca="1">IF(ISNUMBER(A970),IFERROR(_xlfn._xlws.FILTER(Equipar!A:A,(Equipar!B:B=1)*(Equipar!AC:AC=A970)),""),"")</f>
        <v/>
      </c>
    </row>
    <row r="971" spans="1:10" x14ac:dyDescent="0.25">
      <c r="A971" s="1" t="str">
        <f ca="1">IF(A970="ID",1,IF(ISBLANK(B971),"",MAX(A$2:A970)+1))</f>
        <v/>
      </c>
      <c r="I971" s="2" t="str">
        <f ca="1">IF(ISNUMBER(A971),
IF(COUNTIFS(Equipar!B:B,1,Equipar!AC:AC,A971),"Equipada",
IF(
OR(COUNTIFS(Equipar!B:B,1,Equipar!C:C,A971)
 +COUNTIFS(Equipar!B:B,1,Equipar!D:D,A971)
+COUNTIFS(Equipar!B:B,1,Equipar!E:E,A971)
+COUNTIFS(Equipar!B:B,1,Equipar!F:F,A971)
&gt;0,COUNTIF('Set recomendado'!B:B,C971)=0),
"Bloqueada",
"Desechable")),""
)</f>
        <v/>
      </c>
      <c r="J971" t="str" cm="1">
        <f t="array" aca="1" ref="J971" ca="1">IF(ISNUMBER(A971),IFERROR(_xlfn._xlws.FILTER(Equipar!A:A,(Equipar!B:B=1)*(Equipar!AC:AC=A971)),""),"")</f>
        <v/>
      </c>
    </row>
    <row r="972" spans="1:10" x14ac:dyDescent="0.25">
      <c r="A972" s="1" t="str">
        <f ca="1">IF(A971="ID",1,IF(ISBLANK(B972),"",MAX(A$2:A971)+1))</f>
        <v/>
      </c>
      <c r="I972" s="2" t="str">
        <f ca="1">IF(ISNUMBER(A972),
IF(COUNTIFS(Equipar!B:B,1,Equipar!AC:AC,A972),"Equipada",
IF(
OR(COUNTIFS(Equipar!B:B,1,Equipar!C:C,A972)
 +COUNTIFS(Equipar!B:B,1,Equipar!D:D,A972)
+COUNTIFS(Equipar!B:B,1,Equipar!E:E,A972)
+COUNTIFS(Equipar!B:B,1,Equipar!F:F,A972)
&gt;0,COUNTIF('Set recomendado'!B:B,C972)=0),
"Bloqueada",
"Desechable")),""
)</f>
        <v/>
      </c>
      <c r="J972" t="str" cm="1">
        <f t="array" aca="1" ref="J972" ca="1">IF(ISNUMBER(A972),IFERROR(_xlfn._xlws.FILTER(Equipar!A:A,(Equipar!B:B=1)*(Equipar!AC:AC=A972)),""),"")</f>
        <v/>
      </c>
    </row>
    <row r="973" spans="1:10" x14ac:dyDescent="0.25">
      <c r="A973" s="1" t="str">
        <f ca="1">IF(A972="ID",1,IF(ISBLANK(B973),"",MAX(A$2:A972)+1))</f>
        <v/>
      </c>
      <c r="I973" s="2" t="str">
        <f ca="1">IF(ISNUMBER(A973),
IF(COUNTIFS(Equipar!B:B,1,Equipar!AC:AC,A973),"Equipada",
IF(
OR(COUNTIFS(Equipar!B:B,1,Equipar!C:C,A973)
 +COUNTIFS(Equipar!B:B,1,Equipar!D:D,A973)
+COUNTIFS(Equipar!B:B,1,Equipar!E:E,A973)
+COUNTIFS(Equipar!B:B,1,Equipar!F:F,A973)
&gt;0,COUNTIF('Set recomendado'!B:B,C973)=0),
"Bloqueada",
"Desechable")),""
)</f>
        <v/>
      </c>
      <c r="J973" t="str" cm="1">
        <f t="array" aca="1" ref="J973" ca="1">IF(ISNUMBER(A973),IFERROR(_xlfn._xlws.FILTER(Equipar!A:A,(Equipar!B:B=1)*(Equipar!AC:AC=A973)),""),"")</f>
        <v/>
      </c>
    </row>
    <row r="974" spans="1:10" x14ac:dyDescent="0.25">
      <c r="A974" s="1" t="str">
        <f ca="1">IF(A973="ID",1,IF(ISBLANK(B974),"",MAX(A$2:A973)+1))</f>
        <v/>
      </c>
      <c r="I974" s="2" t="str">
        <f ca="1">IF(ISNUMBER(A974),
IF(COUNTIFS(Equipar!B:B,1,Equipar!AC:AC,A974),"Equipada",
IF(
OR(COUNTIFS(Equipar!B:B,1,Equipar!C:C,A974)
 +COUNTIFS(Equipar!B:B,1,Equipar!D:D,A974)
+COUNTIFS(Equipar!B:B,1,Equipar!E:E,A974)
+COUNTIFS(Equipar!B:B,1,Equipar!F:F,A974)
&gt;0,COUNTIF('Set recomendado'!B:B,C974)=0),
"Bloqueada",
"Desechable")),""
)</f>
        <v/>
      </c>
      <c r="J974" t="str" cm="1">
        <f t="array" aca="1" ref="J974" ca="1">IF(ISNUMBER(A974),IFERROR(_xlfn._xlws.FILTER(Equipar!A:A,(Equipar!B:B=1)*(Equipar!AC:AC=A974)),""),"")</f>
        <v/>
      </c>
    </row>
    <row r="975" spans="1:10" x14ac:dyDescent="0.25">
      <c r="A975" s="1" t="str">
        <f ca="1">IF(A974="ID",1,IF(ISBLANK(B975),"",MAX(A$2:A974)+1))</f>
        <v/>
      </c>
      <c r="I975" s="2" t="str">
        <f ca="1">IF(ISNUMBER(A975),
IF(COUNTIFS(Equipar!B:B,1,Equipar!AC:AC,A975),"Equipada",
IF(
OR(COUNTIFS(Equipar!B:B,1,Equipar!C:C,A975)
 +COUNTIFS(Equipar!B:B,1,Equipar!D:D,A975)
+COUNTIFS(Equipar!B:B,1,Equipar!E:E,A975)
+COUNTIFS(Equipar!B:B,1,Equipar!F:F,A975)
&gt;0,COUNTIF('Set recomendado'!B:B,C975)=0),
"Bloqueada",
"Desechable")),""
)</f>
        <v/>
      </c>
      <c r="J975" t="str" cm="1">
        <f t="array" aca="1" ref="J975" ca="1">IF(ISNUMBER(A975),IFERROR(_xlfn._xlws.FILTER(Equipar!A:A,(Equipar!B:B=1)*(Equipar!AC:AC=A975)),""),"")</f>
        <v/>
      </c>
    </row>
    <row r="976" spans="1:10" x14ac:dyDescent="0.25">
      <c r="A976" s="1" t="str">
        <f ca="1">IF(A975="ID",1,IF(ISBLANK(B976),"",MAX(A$2:A975)+1))</f>
        <v/>
      </c>
      <c r="I976" s="2" t="str">
        <f ca="1">IF(ISNUMBER(A976),
IF(COUNTIFS(Equipar!B:B,1,Equipar!AC:AC,A976),"Equipada",
IF(
OR(COUNTIFS(Equipar!B:B,1,Equipar!C:C,A976)
 +COUNTIFS(Equipar!B:B,1,Equipar!D:D,A976)
+COUNTIFS(Equipar!B:B,1,Equipar!E:E,A976)
+COUNTIFS(Equipar!B:B,1,Equipar!F:F,A976)
&gt;0,COUNTIF('Set recomendado'!B:B,C976)=0),
"Bloqueada",
"Desechable")),""
)</f>
        <v/>
      </c>
      <c r="J976" t="str" cm="1">
        <f t="array" aca="1" ref="J976" ca="1">IF(ISNUMBER(A976),IFERROR(_xlfn._xlws.FILTER(Equipar!A:A,(Equipar!B:B=1)*(Equipar!AC:AC=A976)),""),"")</f>
        <v/>
      </c>
    </row>
    <row r="977" spans="1:10" x14ac:dyDescent="0.25">
      <c r="A977" s="1" t="str">
        <f ca="1">IF(A976="ID",1,IF(ISBLANK(B977),"",MAX(A$2:A976)+1))</f>
        <v/>
      </c>
      <c r="I977" s="2" t="str">
        <f ca="1">IF(ISNUMBER(A977),
IF(COUNTIFS(Equipar!B:B,1,Equipar!AC:AC,A977),"Equipada",
IF(
OR(COUNTIFS(Equipar!B:B,1,Equipar!C:C,A977)
 +COUNTIFS(Equipar!B:B,1,Equipar!D:D,A977)
+COUNTIFS(Equipar!B:B,1,Equipar!E:E,A977)
+COUNTIFS(Equipar!B:B,1,Equipar!F:F,A977)
&gt;0,COUNTIF('Set recomendado'!B:B,C977)=0),
"Bloqueada",
"Desechable")),""
)</f>
        <v/>
      </c>
      <c r="J977" t="str" cm="1">
        <f t="array" aca="1" ref="J977" ca="1">IF(ISNUMBER(A977),IFERROR(_xlfn._xlws.FILTER(Equipar!A:A,(Equipar!B:B=1)*(Equipar!AC:AC=A977)),""),"")</f>
        <v/>
      </c>
    </row>
    <row r="978" spans="1:10" x14ac:dyDescent="0.25">
      <c r="A978" s="1" t="str">
        <f ca="1">IF(A977="ID",1,IF(ISBLANK(B978),"",MAX(A$2:A977)+1))</f>
        <v/>
      </c>
      <c r="I978" s="2" t="str">
        <f ca="1">IF(ISNUMBER(A978),
IF(COUNTIFS(Equipar!B:B,1,Equipar!AC:AC,A978),"Equipada",
IF(
OR(COUNTIFS(Equipar!B:B,1,Equipar!C:C,A978)
 +COUNTIFS(Equipar!B:B,1,Equipar!D:D,A978)
+COUNTIFS(Equipar!B:B,1,Equipar!E:E,A978)
+COUNTIFS(Equipar!B:B,1,Equipar!F:F,A978)
&gt;0,COUNTIF('Set recomendado'!B:B,C978)=0),
"Bloqueada",
"Desechable")),""
)</f>
        <v/>
      </c>
      <c r="J978" t="str" cm="1">
        <f t="array" aca="1" ref="J978" ca="1">IF(ISNUMBER(A978),IFERROR(_xlfn._xlws.FILTER(Equipar!A:A,(Equipar!B:B=1)*(Equipar!AC:AC=A978)),""),"")</f>
        <v/>
      </c>
    </row>
    <row r="979" spans="1:10" x14ac:dyDescent="0.25">
      <c r="A979" s="1" t="str">
        <f ca="1">IF(A978="ID",1,IF(ISBLANK(B979),"",MAX(A$2:A978)+1))</f>
        <v/>
      </c>
      <c r="I979" s="2" t="str">
        <f ca="1">IF(ISNUMBER(A979),
IF(COUNTIFS(Equipar!B:B,1,Equipar!AC:AC,A979),"Equipada",
IF(
OR(COUNTIFS(Equipar!B:B,1,Equipar!C:C,A979)
 +COUNTIFS(Equipar!B:B,1,Equipar!D:D,A979)
+COUNTIFS(Equipar!B:B,1,Equipar!E:E,A979)
+COUNTIFS(Equipar!B:B,1,Equipar!F:F,A979)
&gt;0,COUNTIF('Set recomendado'!B:B,C979)=0),
"Bloqueada",
"Desechable")),""
)</f>
        <v/>
      </c>
      <c r="J979" t="str" cm="1">
        <f t="array" aca="1" ref="J979" ca="1">IF(ISNUMBER(A979),IFERROR(_xlfn._xlws.FILTER(Equipar!A:A,(Equipar!B:B=1)*(Equipar!AC:AC=A979)),""),"")</f>
        <v/>
      </c>
    </row>
    <row r="980" spans="1:10" x14ac:dyDescent="0.25">
      <c r="A980" s="1" t="str">
        <f ca="1">IF(A979="ID",1,IF(ISBLANK(B980),"",MAX(A$2:A979)+1))</f>
        <v/>
      </c>
      <c r="I980" s="2" t="str">
        <f ca="1">IF(ISNUMBER(A980),
IF(COUNTIFS(Equipar!B:B,1,Equipar!AC:AC,A980),"Equipada",
IF(
OR(COUNTIFS(Equipar!B:B,1,Equipar!C:C,A980)
 +COUNTIFS(Equipar!B:B,1,Equipar!D:D,A980)
+COUNTIFS(Equipar!B:B,1,Equipar!E:E,A980)
+COUNTIFS(Equipar!B:B,1,Equipar!F:F,A980)
&gt;0,COUNTIF('Set recomendado'!B:B,C980)=0),
"Bloqueada",
"Desechable")),""
)</f>
        <v/>
      </c>
      <c r="J980" t="str" cm="1">
        <f t="array" aca="1" ref="J980" ca="1">IF(ISNUMBER(A980),IFERROR(_xlfn._xlws.FILTER(Equipar!A:A,(Equipar!B:B=1)*(Equipar!AC:AC=A980)),""),"")</f>
        <v/>
      </c>
    </row>
    <row r="981" spans="1:10" x14ac:dyDescent="0.25">
      <c r="A981" s="1" t="str">
        <f ca="1">IF(A980="ID",1,IF(ISBLANK(B981),"",MAX(A$2:A980)+1))</f>
        <v/>
      </c>
      <c r="I981" s="2" t="str">
        <f ca="1">IF(ISNUMBER(A981),
IF(COUNTIFS(Equipar!B:B,1,Equipar!AC:AC,A981),"Equipada",
IF(
OR(COUNTIFS(Equipar!B:B,1,Equipar!C:C,A981)
 +COUNTIFS(Equipar!B:B,1,Equipar!D:D,A981)
+COUNTIFS(Equipar!B:B,1,Equipar!E:E,A981)
+COUNTIFS(Equipar!B:B,1,Equipar!F:F,A981)
&gt;0,COUNTIF('Set recomendado'!B:B,C981)=0),
"Bloqueada",
"Desechable")),""
)</f>
        <v/>
      </c>
      <c r="J981" t="str" cm="1">
        <f t="array" aca="1" ref="J981" ca="1">IF(ISNUMBER(A981),IFERROR(_xlfn._xlws.FILTER(Equipar!A:A,(Equipar!B:B=1)*(Equipar!AC:AC=A981)),""),"")</f>
        <v/>
      </c>
    </row>
    <row r="982" spans="1:10" x14ac:dyDescent="0.25">
      <c r="A982" s="1" t="str">
        <f ca="1">IF(A981="ID",1,IF(ISBLANK(B982),"",MAX(A$2:A981)+1))</f>
        <v/>
      </c>
      <c r="I982" s="2" t="str">
        <f ca="1">IF(ISNUMBER(A982),
IF(COUNTIFS(Equipar!B:B,1,Equipar!AC:AC,A982),"Equipada",
IF(
OR(COUNTIFS(Equipar!B:B,1,Equipar!C:C,A982)
 +COUNTIFS(Equipar!B:B,1,Equipar!D:D,A982)
+COUNTIFS(Equipar!B:B,1,Equipar!E:E,A982)
+COUNTIFS(Equipar!B:B,1,Equipar!F:F,A982)
&gt;0,COUNTIF('Set recomendado'!B:B,C982)=0),
"Bloqueada",
"Desechable")),""
)</f>
        <v/>
      </c>
      <c r="J982" t="str" cm="1">
        <f t="array" aca="1" ref="J982" ca="1">IF(ISNUMBER(A982),IFERROR(_xlfn._xlws.FILTER(Equipar!A:A,(Equipar!B:B=1)*(Equipar!AC:AC=A982)),""),"")</f>
        <v/>
      </c>
    </row>
    <row r="983" spans="1:10" x14ac:dyDescent="0.25">
      <c r="A983" s="1" t="str">
        <f ca="1">IF(A982="ID",1,IF(ISBLANK(B983),"",MAX(A$2:A982)+1))</f>
        <v/>
      </c>
      <c r="I983" s="2" t="str">
        <f ca="1">IF(ISNUMBER(A983),
IF(COUNTIFS(Equipar!B:B,1,Equipar!AC:AC,A983),"Equipada",
IF(
OR(COUNTIFS(Equipar!B:B,1,Equipar!C:C,A983)
 +COUNTIFS(Equipar!B:B,1,Equipar!D:D,A983)
+COUNTIFS(Equipar!B:B,1,Equipar!E:E,A983)
+COUNTIFS(Equipar!B:B,1,Equipar!F:F,A983)
&gt;0,COUNTIF('Set recomendado'!B:B,C983)=0),
"Bloqueada",
"Desechable")),""
)</f>
        <v/>
      </c>
      <c r="J983" t="str" cm="1">
        <f t="array" aca="1" ref="J983" ca="1">IF(ISNUMBER(A983),IFERROR(_xlfn._xlws.FILTER(Equipar!A:A,(Equipar!B:B=1)*(Equipar!AC:AC=A983)),""),"")</f>
        <v/>
      </c>
    </row>
    <row r="984" spans="1:10" x14ac:dyDescent="0.25">
      <c r="A984" s="1" t="str">
        <f ca="1">IF(A983="ID",1,IF(ISBLANK(B984),"",MAX(A$2:A983)+1))</f>
        <v/>
      </c>
      <c r="I984" s="2" t="str">
        <f ca="1">IF(ISNUMBER(A984),
IF(COUNTIFS(Equipar!B:B,1,Equipar!AC:AC,A984),"Equipada",
IF(
OR(COUNTIFS(Equipar!B:B,1,Equipar!C:C,A984)
 +COUNTIFS(Equipar!B:B,1,Equipar!D:D,A984)
+COUNTIFS(Equipar!B:B,1,Equipar!E:E,A984)
+COUNTIFS(Equipar!B:B,1,Equipar!F:F,A984)
&gt;0,COUNTIF('Set recomendado'!B:B,C984)=0),
"Bloqueada",
"Desechable")),""
)</f>
        <v/>
      </c>
      <c r="J984" t="str" cm="1">
        <f t="array" aca="1" ref="J984" ca="1">IF(ISNUMBER(A984),IFERROR(_xlfn._xlws.FILTER(Equipar!A:A,(Equipar!B:B=1)*(Equipar!AC:AC=A984)),""),"")</f>
        <v/>
      </c>
    </row>
    <row r="985" spans="1:10" x14ac:dyDescent="0.25">
      <c r="A985" s="1" t="str">
        <f ca="1">IF(A984="ID",1,IF(ISBLANK(B985),"",MAX(A$2:A984)+1))</f>
        <v/>
      </c>
      <c r="I985" s="2" t="str">
        <f ca="1">IF(ISNUMBER(A985),
IF(COUNTIFS(Equipar!B:B,1,Equipar!AC:AC,A985),"Equipada",
IF(
OR(COUNTIFS(Equipar!B:B,1,Equipar!C:C,A985)
 +COUNTIFS(Equipar!B:B,1,Equipar!D:D,A985)
+COUNTIFS(Equipar!B:B,1,Equipar!E:E,A985)
+COUNTIFS(Equipar!B:B,1,Equipar!F:F,A985)
&gt;0,COUNTIF('Set recomendado'!B:B,C985)=0),
"Bloqueada",
"Desechable")),""
)</f>
        <v/>
      </c>
      <c r="J985" t="str" cm="1">
        <f t="array" aca="1" ref="J985" ca="1">IF(ISNUMBER(A985),IFERROR(_xlfn._xlws.FILTER(Equipar!A:A,(Equipar!B:B=1)*(Equipar!AC:AC=A985)),""),"")</f>
        <v/>
      </c>
    </row>
    <row r="986" spans="1:10" x14ac:dyDescent="0.25">
      <c r="A986" s="1" t="str">
        <f ca="1">IF(A985="ID",1,IF(ISBLANK(B986),"",MAX(A$2:A985)+1))</f>
        <v/>
      </c>
      <c r="I986" s="2" t="str">
        <f ca="1">IF(ISNUMBER(A986),
IF(COUNTIFS(Equipar!B:B,1,Equipar!AC:AC,A986),"Equipada",
IF(
OR(COUNTIFS(Equipar!B:B,1,Equipar!C:C,A986)
 +COUNTIFS(Equipar!B:B,1,Equipar!D:D,A986)
+COUNTIFS(Equipar!B:B,1,Equipar!E:E,A986)
+COUNTIFS(Equipar!B:B,1,Equipar!F:F,A986)
&gt;0,COUNTIF('Set recomendado'!B:B,C986)=0),
"Bloqueada",
"Desechable")),""
)</f>
        <v/>
      </c>
      <c r="J986" t="str" cm="1">
        <f t="array" aca="1" ref="J986" ca="1">IF(ISNUMBER(A986),IFERROR(_xlfn._xlws.FILTER(Equipar!A:A,(Equipar!B:B=1)*(Equipar!AC:AC=A986)),""),"")</f>
        <v/>
      </c>
    </row>
    <row r="987" spans="1:10" x14ac:dyDescent="0.25">
      <c r="A987" s="1" t="str">
        <f ca="1">IF(A986="ID",1,IF(ISBLANK(B987),"",MAX(A$2:A986)+1))</f>
        <v/>
      </c>
      <c r="I987" s="2" t="str">
        <f ca="1">IF(ISNUMBER(A987),
IF(COUNTIFS(Equipar!B:B,1,Equipar!AC:AC,A987),"Equipada",
IF(
OR(COUNTIFS(Equipar!B:B,1,Equipar!C:C,A987)
 +COUNTIFS(Equipar!B:B,1,Equipar!D:D,A987)
+COUNTIFS(Equipar!B:B,1,Equipar!E:E,A987)
+COUNTIFS(Equipar!B:B,1,Equipar!F:F,A987)
&gt;0,COUNTIF('Set recomendado'!B:B,C987)=0),
"Bloqueada",
"Desechable")),""
)</f>
        <v/>
      </c>
      <c r="J987" t="str" cm="1">
        <f t="array" aca="1" ref="J987" ca="1">IF(ISNUMBER(A987),IFERROR(_xlfn._xlws.FILTER(Equipar!A:A,(Equipar!B:B=1)*(Equipar!AC:AC=A987)),""),"")</f>
        <v/>
      </c>
    </row>
    <row r="988" spans="1:10" x14ac:dyDescent="0.25">
      <c r="A988" s="1" t="str">
        <f ca="1">IF(A987="ID",1,IF(ISBLANK(B988),"",MAX(A$2:A987)+1))</f>
        <v/>
      </c>
      <c r="I988" s="2" t="str">
        <f ca="1">IF(ISNUMBER(A988),
IF(COUNTIFS(Equipar!B:B,1,Equipar!AC:AC,A988),"Equipada",
IF(
OR(COUNTIFS(Equipar!B:B,1,Equipar!C:C,A988)
 +COUNTIFS(Equipar!B:B,1,Equipar!D:D,A988)
+COUNTIFS(Equipar!B:B,1,Equipar!E:E,A988)
+COUNTIFS(Equipar!B:B,1,Equipar!F:F,A988)
&gt;0,COUNTIF('Set recomendado'!B:B,C988)=0),
"Bloqueada",
"Desechable")),""
)</f>
        <v/>
      </c>
      <c r="J988" t="str" cm="1">
        <f t="array" aca="1" ref="J988" ca="1">IF(ISNUMBER(A988),IFERROR(_xlfn._xlws.FILTER(Equipar!A:A,(Equipar!B:B=1)*(Equipar!AC:AC=A988)),""),"")</f>
        <v/>
      </c>
    </row>
    <row r="989" spans="1:10" x14ac:dyDescent="0.25">
      <c r="A989" s="1" t="str">
        <f ca="1">IF(A988="ID",1,IF(ISBLANK(B989),"",MAX(A$2:A988)+1))</f>
        <v/>
      </c>
      <c r="I989" s="2" t="str">
        <f ca="1">IF(ISNUMBER(A989),
IF(COUNTIFS(Equipar!B:B,1,Equipar!AC:AC,A989),"Equipada",
IF(
OR(COUNTIFS(Equipar!B:B,1,Equipar!C:C,A989)
 +COUNTIFS(Equipar!B:B,1,Equipar!D:D,A989)
+COUNTIFS(Equipar!B:B,1,Equipar!E:E,A989)
+COUNTIFS(Equipar!B:B,1,Equipar!F:F,A989)
&gt;0,COUNTIF('Set recomendado'!B:B,C989)=0),
"Bloqueada",
"Desechable")),""
)</f>
        <v/>
      </c>
      <c r="J989" t="str" cm="1">
        <f t="array" aca="1" ref="J989" ca="1">IF(ISNUMBER(A989),IFERROR(_xlfn._xlws.FILTER(Equipar!A:A,(Equipar!B:B=1)*(Equipar!AC:AC=A989)),""),"")</f>
        <v/>
      </c>
    </row>
    <row r="990" spans="1:10" x14ac:dyDescent="0.25">
      <c r="A990" s="1" t="str">
        <f ca="1">IF(A989="ID",1,IF(ISBLANK(B990),"",MAX(A$2:A989)+1))</f>
        <v/>
      </c>
      <c r="I990" s="2" t="str">
        <f ca="1">IF(ISNUMBER(A990),
IF(COUNTIFS(Equipar!B:B,1,Equipar!AC:AC,A990),"Equipada",
IF(
OR(COUNTIFS(Equipar!B:B,1,Equipar!C:C,A990)
 +COUNTIFS(Equipar!B:B,1,Equipar!D:D,A990)
+COUNTIFS(Equipar!B:B,1,Equipar!E:E,A990)
+COUNTIFS(Equipar!B:B,1,Equipar!F:F,A990)
&gt;0,COUNTIF('Set recomendado'!B:B,C990)=0),
"Bloqueada",
"Desechable")),""
)</f>
        <v/>
      </c>
      <c r="J990" t="str" cm="1">
        <f t="array" aca="1" ref="J990" ca="1">IF(ISNUMBER(A990),IFERROR(_xlfn._xlws.FILTER(Equipar!A:A,(Equipar!B:B=1)*(Equipar!AC:AC=A990)),""),"")</f>
        <v/>
      </c>
    </row>
    <row r="991" spans="1:10" x14ac:dyDescent="0.25">
      <c r="A991" s="1" t="str">
        <f ca="1">IF(A990="ID",1,IF(ISBLANK(B991),"",MAX(A$2:A990)+1))</f>
        <v/>
      </c>
      <c r="I991" s="2" t="str">
        <f ca="1">IF(ISNUMBER(A991),
IF(COUNTIFS(Equipar!B:B,1,Equipar!AC:AC,A991),"Equipada",
IF(
OR(COUNTIFS(Equipar!B:B,1,Equipar!C:C,A991)
 +COUNTIFS(Equipar!B:B,1,Equipar!D:D,A991)
+COUNTIFS(Equipar!B:B,1,Equipar!E:E,A991)
+COUNTIFS(Equipar!B:B,1,Equipar!F:F,A991)
&gt;0,COUNTIF('Set recomendado'!B:B,C991)=0),
"Bloqueada",
"Desechable")),""
)</f>
        <v/>
      </c>
      <c r="J991" t="str" cm="1">
        <f t="array" aca="1" ref="J991" ca="1">IF(ISNUMBER(A991),IFERROR(_xlfn._xlws.FILTER(Equipar!A:A,(Equipar!B:B=1)*(Equipar!AC:AC=A991)),""),"")</f>
        <v/>
      </c>
    </row>
    <row r="992" spans="1:10" x14ac:dyDescent="0.25">
      <c r="A992" s="1" t="str">
        <f ca="1">IF(A991="ID",1,IF(ISBLANK(B992),"",MAX(A$2:A991)+1))</f>
        <v/>
      </c>
      <c r="I992" s="2" t="str">
        <f ca="1">IF(ISNUMBER(A992),
IF(COUNTIFS(Equipar!B:B,1,Equipar!AC:AC,A992),"Equipada",
IF(
OR(COUNTIFS(Equipar!B:B,1,Equipar!C:C,A992)
 +COUNTIFS(Equipar!B:B,1,Equipar!D:D,A992)
+COUNTIFS(Equipar!B:B,1,Equipar!E:E,A992)
+COUNTIFS(Equipar!B:B,1,Equipar!F:F,A992)
&gt;0,COUNTIF('Set recomendado'!B:B,C992)=0),
"Bloqueada",
"Desechable")),""
)</f>
        <v/>
      </c>
      <c r="J992" t="str" cm="1">
        <f t="array" aca="1" ref="J992" ca="1">IF(ISNUMBER(A992),IFERROR(_xlfn._xlws.FILTER(Equipar!A:A,(Equipar!B:B=1)*(Equipar!AC:AC=A992)),""),"")</f>
        <v/>
      </c>
    </row>
    <row r="993" spans="1:10" x14ac:dyDescent="0.25">
      <c r="A993" s="1" t="str">
        <f ca="1">IF(A992="ID",1,IF(ISBLANK(B993),"",MAX(A$2:A992)+1))</f>
        <v/>
      </c>
      <c r="I993" s="2" t="str">
        <f ca="1">IF(ISNUMBER(A993),
IF(COUNTIFS(Equipar!B:B,1,Equipar!AC:AC,A993),"Equipada",
IF(
OR(COUNTIFS(Equipar!B:B,1,Equipar!C:C,A993)
 +COUNTIFS(Equipar!B:B,1,Equipar!D:D,A993)
+COUNTIFS(Equipar!B:B,1,Equipar!E:E,A993)
+COUNTIFS(Equipar!B:B,1,Equipar!F:F,A993)
&gt;0,COUNTIF('Set recomendado'!B:B,C993)=0),
"Bloqueada",
"Desechable")),""
)</f>
        <v/>
      </c>
      <c r="J993" t="str" cm="1">
        <f t="array" aca="1" ref="J993" ca="1">IF(ISNUMBER(A993),IFERROR(_xlfn._xlws.FILTER(Equipar!A:A,(Equipar!B:B=1)*(Equipar!AC:AC=A993)),""),"")</f>
        <v/>
      </c>
    </row>
    <row r="994" spans="1:10" x14ac:dyDescent="0.25">
      <c r="A994" s="1" t="str">
        <f ca="1">IF(A993="ID",1,IF(ISBLANK(B994),"",MAX(A$2:A993)+1))</f>
        <v/>
      </c>
      <c r="I994" s="2" t="str">
        <f ca="1">IF(ISNUMBER(A994),
IF(COUNTIFS(Equipar!B:B,1,Equipar!AC:AC,A994),"Equipada",
IF(
OR(COUNTIFS(Equipar!B:B,1,Equipar!C:C,A994)
 +COUNTIFS(Equipar!B:B,1,Equipar!D:D,A994)
+COUNTIFS(Equipar!B:B,1,Equipar!E:E,A994)
+COUNTIFS(Equipar!B:B,1,Equipar!F:F,A994)
&gt;0,COUNTIF('Set recomendado'!B:B,C994)=0),
"Bloqueada",
"Desechable")),""
)</f>
        <v/>
      </c>
      <c r="J994" t="str" cm="1">
        <f t="array" aca="1" ref="J994" ca="1">IF(ISNUMBER(A994),IFERROR(_xlfn._xlws.FILTER(Equipar!A:A,(Equipar!B:B=1)*(Equipar!AC:AC=A994)),""),"")</f>
        <v/>
      </c>
    </row>
    <row r="995" spans="1:10" x14ac:dyDescent="0.25">
      <c r="A995" s="1" t="str">
        <f ca="1">IF(A994="ID",1,IF(ISBLANK(B995),"",MAX(A$2:A994)+1))</f>
        <v/>
      </c>
      <c r="I995" s="2" t="str">
        <f ca="1">IF(ISNUMBER(A995),
IF(COUNTIFS(Equipar!B:B,1,Equipar!AC:AC,A995),"Equipada",
IF(
OR(COUNTIFS(Equipar!B:B,1,Equipar!C:C,A995)
 +COUNTIFS(Equipar!B:B,1,Equipar!D:D,A995)
+COUNTIFS(Equipar!B:B,1,Equipar!E:E,A995)
+COUNTIFS(Equipar!B:B,1,Equipar!F:F,A995)
&gt;0,COUNTIF('Set recomendado'!B:B,C995)=0),
"Bloqueada",
"Desechable")),""
)</f>
        <v/>
      </c>
      <c r="J995" t="str" cm="1">
        <f t="array" aca="1" ref="J995" ca="1">IF(ISNUMBER(A995),IFERROR(_xlfn._xlws.FILTER(Equipar!A:A,(Equipar!B:B=1)*(Equipar!AC:AC=A995)),""),"")</f>
        <v/>
      </c>
    </row>
    <row r="996" spans="1:10" x14ac:dyDescent="0.25">
      <c r="A996" s="1" t="str">
        <f ca="1">IF(A995="ID",1,IF(ISBLANK(B996),"",MAX(A$2:A995)+1))</f>
        <v/>
      </c>
      <c r="I996" s="2" t="str">
        <f ca="1">IF(ISNUMBER(A996),
IF(COUNTIFS(Equipar!B:B,1,Equipar!AC:AC,A996),"Equipada",
IF(
OR(COUNTIFS(Equipar!B:B,1,Equipar!C:C,A996)
 +COUNTIFS(Equipar!B:B,1,Equipar!D:D,A996)
+COUNTIFS(Equipar!B:B,1,Equipar!E:E,A996)
+COUNTIFS(Equipar!B:B,1,Equipar!F:F,A996)
&gt;0,COUNTIF('Set recomendado'!B:B,C996)=0),
"Bloqueada",
"Desechable")),""
)</f>
        <v/>
      </c>
      <c r="J996" t="str" cm="1">
        <f t="array" aca="1" ref="J996" ca="1">IF(ISNUMBER(A996),IFERROR(_xlfn._xlws.FILTER(Equipar!A:A,(Equipar!B:B=1)*(Equipar!AC:AC=A996)),""),"")</f>
        <v/>
      </c>
    </row>
    <row r="997" spans="1:10" x14ac:dyDescent="0.25">
      <c r="A997" s="1" t="str">
        <f ca="1">IF(A996="ID",1,IF(ISBLANK(B997),"",MAX(A$2:A996)+1))</f>
        <v/>
      </c>
      <c r="I997" s="2" t="str">
        <f ca="1">IF(ISNUMBER(A997),
IF(COUNTIFS(Equipar!B:B,1,Equipar!AC:AC,A997),"Equipada",
IF(
OR(COUNTIFS(Equipar!B:B,1,Equipar!C:C,A997)
 +COUNTIFS(Equipar!B:B,1,Equipar!D:D,A997)
+COUNTIFS(Equipar!B:B,1,Equipar!E:E,A997)
+COUNTIFS(Equipar!B:B,1,Equipar!F:F,A997)
&gt;0,COUNTIF('Set recomendado'!B:B,C997)=0),
"Bloqueada",
"Desechable")),""
)</f>
        <v/>
      </c>
      <c r="J997" t="str" cm="1">
        <f t="array" aca="1" ref="J997" ca="1">IF(ISNUMBER(A997),IFERROR(_xlfn._xlws.FILTER(Equipar!A:A,(Equipar!B:B=1)*(Equipar!AC:AC=A997)),""),"")</f>
        <v/>
      </c>
    </row>
    <row r="998" spans="1:10" x14ac:dyDescent="0.25">
      <c r="A998" s="1" t="str">
        <f ca="1">IF(A997="ID",1,IF(ISBLANK(B998),"",MAX(A$2:A997)+1))</f>
        <v/>
      </c>
      <c r="I998" s="2" t="str">
        <f ca="1">IF(ISNUMBER(A998),
IF(COUNTIFS(Equipar!B:B,1,Equipar!AC:AC,A998),"Equipada",
IF(
OR(COUNTIFS(Equipar!B:B,1,Equipar!C:C,A998)
 +COUNTIFS(Equipar!B:B,1,Equipar!D:D,A998)
+COUNTIFS(Equipar!B:B,1,Equipar!E:E,A998)
+COUNTIFS(Equipar!B:B,1,Equipar!F:F,A998)
&gt;0,COUNTIF('Set recomendado'!B:B,C998)=0),
"Bloqueada",
"Desechable")),""
)</f>
        <v/>
      </c>
      <c r="J998" t="str" cm="1">
        <f t="array" aca="1" ref="J998" ca="1">IF(ISNUMBER(A998),IFERROR(_xlfn._xlws.FILTER(Equipar!A:A,(Equipar!B:B=1)*(Equipar!AC:AC=A998)),""),"")</f>
        <v/>
      </c>
    </row>
    <row r="999" spans="1:10" x14ac:dyDescent="0.25">
      <c r="A999" s="1" t="str">
        <f ca="1">IF(A998="ID",1,IF(ISBLANK(B999),"",MAX(A$2:A998)+1))</f>
        <v/>
      </c>
      <c r="I999" s="2" t="str">
        <f ca="1">IF(ISNUMBER(A999),
IF(COUNTIFS(Equipar!B:B,1,Equipar!AC:AC,A999),"Equipada",
IF(
OR(COUNTIFS(Equipar!B:B,1,Equipar!C:C,A999)
 +COUNTIFS(Equipar!B:B,1,Equipar!D:D,A999)
+COUNTIFS(Equipar!B:B,1,Equipar!E:E,A999)
+COUNTIFS(Equipar!B:B,1,Equipar!F:F,A999)
&gt;0,COUNTIF('Set recomendado'!B:B,C999)=0),
"Bloqueada",
"Desechable")),""
)</f>
        <v/>
      </c>
      <c r="J999" t="str" cm="1">
        <f t="array" aca="1" ref="J999" ca="1">IF(ISNUMBER(A999),IFERROR(_xlfn._xlws.FILTER(Equipar!A:A,(Equipar!B:B=1)*(Equipar!AC:AC=A999)),""),"")</f>
        <v/>
      </c>
    </row>
    <row r="1000" spans="1:10" x14ac:dyDescent="0.25">
      <c r="A1000" s="1" t="str">
        <f ca="1">IF(A999="ID",1,IF(ISBLANK(B1000),"",MAX(A$2:A999)+1))</f>
        <v/>
      </c>
      <c r="I1000" s="2" t="str">
        <f ca="1">IF(ISNUMBER(A1000),
IF(COUNTIFS(Equipar!B:B,1,Equipar!AC:AC,A1000),"Equipada",
IF(
OR(COUNTIFS(Equipar!B:B,1,Equipar!C:C,A1000)
 +COUNTIFS(Equipar!B:B,1,Equipar!D:D,A1000)
+COUNTIFS(Equipar!B:B,1,Equipar!E:E,A1000)
+COUNTIFS(Equipar!B:B,1,Equipar!F:F,A1000)
&gt;0,COUNTIF('Set recomendado'!B:B,C1000)=0),
"Bloqueada",
"Desechable")),""
)</f>
        <v/>
      </c>
      <c r="J1000" t="str" cm="1">
        <f t="array" aca="1" ref="J1000" ca="1">IF(ISNUMBER(A1000),IFERROR(_xlfn._xlws.FILTER(Equipar!A:A,(Equipar!B:B=1)*(Equipar!AC:AC=A1000)),""),"")</f>
        <v/>
      </c>
    </row>
  </sheetData>
  <autoFilter ref="A1:K190" xr:uid="{0AB86B09-5879-4C00-BEA2-46B16681E00C}"/>
  <pageMargins left="0.7" right="0.7" top="0.75" bottom="0.75" header="0.3" footer="0.3"/>
  <cellWatches>
    <cellWatch r="K2"/>
  </cellWatch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97C2-9EE7-4F0E-BB25-273194DDAD68}">
  <dimension ref="A1:K1000"/>
  <sheetViews>
    <sheetView workbookViewId="0">
      <selection activeCell="K1" sqref="K1:K1048576"/>
    </sheetView>
  </sheetViews>
  <sheetFormatPr baseColWidth="10" defaultColWidth="9.140625" defaultRowHeight="15" x14ac:dyDescent="0.25"/>
  <cols>
    <col min="1" max="1" width="5" bestFit="1" customWidth="1"/>
    <col min="2" max="2" width="10" bestFit="1" customWidth="1"/>
    <col min="3" max="3" width="21.7109375" bestFit="1" customWidth="1"/>
    <col min="4" max="4" width="15" bestFit="1" customWidth="1"/>
    <col min="5" max="7" width="15.5703125" bestFit="1" customWidth="1"/>
    <col min="8" max="8" width="15" bestFit="1" customWidth="1"/>
    <col min="9" max="9" width="12.42578125" bestFit="1" customWidth="1"/>
    <col min="10" max="10" width="11.28515625" bestFit="1" customWidth="1"/>
    <col min="11" max="11" width="8.28515625" bestFit="1" customWidth="1"/>
  </cols>
  <sheetData>
    <row r="1" spans="1:1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t="s">
        <v>94</v>
      </c>
      <c r="J1" s="1" t="s">
        <v>0</v>
      </c>
      <c r="K1" s="1"/>
    </row>
    <row r="2" spans="1:11" x14ac:dyDescent="0.25">
      <c r="A2" s="1">
        <v>3</v>
      </c>
      <c r="B2" s="5" t="s">
        <v>53</v>
      </c>
      <c r="C2" s="5" t="s">
        <v>23</v>
      </c>
      <c r="D2" s="5" t="s">
        <v>36</v>
      </c>
      <c r="E2" s="5" t="s">
        <v>36</v>
      </c>
      <c r="F2" s="5" t="s">
        <v>32</v>
      </c>
      <c r="G2" s="5" t="s">
        <v>38</v>
      </c>
      <c r="H2" s="5" t="s">
        <v>43</v>
      </c>
      <c r="I2" s="2" t="str">
        <f ca="1">IF(ISNUMBER(A2),
IF(COUNTIFS(Equipar!B:B,2,Equipar!AC:AC,A2),"Equipada",
IF(
  OR(COUNTIFS(Equipar!B:B,2,Equipar!C:C,A2)
 +COUNTIFS(Equipar!B:B,2,Equipar!D:D,A2)
+COUNTIFS(Equipar!B:B,2,Equipar!E:E,A2)
+COUNTIFS(Equipar!B:B,2,Equipar!F:F,A2)
&gt;0,COUNTIF('Set recomendado'!B:B,C2)=0),
"Bloqueada",
"Desechable")),""
)</f>
        <v>Desechable</v>
      </c>
      <c r="J2" t="str" cm="1">
        <f t="array" ref="J2">IF(ISNUMBER(A2),IFERROR(_xlfn._xlws.FILTER(Equipar!A:A,(Equipar!B:B=2)*(Equipar!AC:AC=A2)),""),"")</f>
        <v/>
      </c>
    </row>
    <row r="3" spans="1:11" x14ac:dyDescent="0.25">
      <c r="A3" s="1">
        <v>4</v>
      </c>
      <c r="B3" s="5" t="s">
        <v>53</v>
      </c>
      <c r="C3" s="5" t="s">
        <v>16</v>
      </c>
      <c r="D3" s="5" t="s">
        <v>36</v>
      </c>
      <c r="E3" s="5" t="s">
        <v>37</v>
      </c>
      <c r="F3" s="5" t="s">
        <v>36</v>
      </c>
      <c r="G3" s="5" t="s">
        <v>32</v>
      </c>
      <c r="H3" s="5" t="s">
        <v>41</v>
      </c>
      <c r="I3" s="2" t="str">
        <f ca="1">IF(ISNUMBER(A3),
IF(COUNTIFS(Equipar!B:B,2,Equipar!AC:AC,A3),"Equipada",
IF(
  OR(COUNTIFS(Equipar!B:B,2,Equipar!C:C,A3)
 +COUNTIFS(Equipar!B:B,2,Equipar!D:D,A3)
+COUNTIFS(Equipar!B:B,2,Equipar!E:E,A3)
+COUNTIFS(Equipar!B:B,2,Equipar!F:F,A3)
&gt;0,COUNTIF('Set recomendado'!B:B,C3)=0),
"Bloqueada",
"Desechable")),""
)</f>
        <v>Desechable</v>
      </c>
      <c r="J3" t="str" cm="1">
        <f t="array" ref="J3">IF(ISNUMBER(A3),IFERROR(_xlfn._xlws.FILTER(Equipar!A:A,(Equipar!B:B=2)*(Equipar!AC:AC=A3)),""),"")</f>
        <v/>
      </c>
    </row>
    <row r="4" spans="1:11" x14ac:dyDescent="0.25">
      <c r="A4" s="1">
        <v>5</v>
      </c>
      <c r="B4" s="5" t="s">
        <v>53</v>
      </c>
      <c r="C4" s="5" t="s">
        <v>9</v>
      </c>
      <c r="D4" s="5" t="s">
        <v>41</v>
      </c>
      <c r="E4" s="5" t="s">
        <v>38</v>
      </c>
      <c r="F4" s="5" t="s">
        <v>36</v>
      </c>
      <c r="G4" s="5" t="s">
        <v>32</v>
      </c>
      <c r="H4" s="5" t="s">
        <v>42</v>
      </c>
      <c r="I4" s="2" t="str">
        <f ca="1">IF(ISNUMBER(A4),
IF(COUNTIFS(Equipar!B:B,2,Equipar!AC:AC,A4),"Equipada",
IF(
  OR(COUNTIFS(Equipar!B:B,2,Equipar!C:C,A4)
 +COUNTIFS(Equipar!B:B,2,Equipar!D:D,A4)
+COUNTIFS(Equipar!B:B,2,Equipar!E:E,A4)
+COUNTIFS(Equipar!B:B,2,Equipar!F:F,A4)
&gt;0,COUNTIF('Set recomendado'!B:B,C4)=0),
"Bloqueada",
"Desechable")),""
)</f>
        <v>Bloqueada</v>
      </c>
      <c r="J4" t="str" cm="1">
        <f t="array" ref="J4">IF(ISNUMBER(A4),IFERROR(_xlfn._xlws.FILTER(Equipar!A:A,(Equipar!B:B=2)*(Equipar!AC:AC=A4)),""),"")</f>
        <v/>
      </c>
    </row>
    <row r="5" spans="1:11" x14ac:dyDescent="0.25">
      <c r="A5" s="1">
        <v>8</v>
      </c>
      <c r="B5" s="5" t="s">
        <v>53</v>
      </c>
      <c r="C5" s="5" t="s">
        <v>5</v>
      </c>
      <c r="D5" s="5" t="s">
        <v>33</v>
      </c>
      <c r="E5" s="5" t="s">
        <v>42</v>
      </c>
      <c r="F5" s="5" t="s">
        <v>38</v>
      </c>
      <c r="G5" s="5" t="s">
        <v>40</v>
      </c>
      <c r="H5" s="5" t="s">
        <v>41</v>
      </c>
      <c r="I5" s="2" t="str">
        <f ca="1">IF(ISNUMBER(A5),
IF(COUNTIFS(Equipar!B:B,2,Equipar!AC:AC,A5),"Equipada",
IF(
  OR(COUNTIFS(Equipar!B:B,2,Equipar!C:C,A5)
 +COUNTIFS(Equipar!B:B,2,Equipar!D:D,A5)
+COUNTIFS(Equipar!B:B,2,Equipar!E:E,A5)
+COUNTIFS(Equipar!B:B,2,Equipar!F:F,A5)
&gt;0,COUNTIF('Set recomendado'!B:B,C5)=0),
"Bloqueada",
"Desechable")),""
)</f>
        <v>Desechable</v>
      </c>
      <c r="J5" t="str" cm="1">
        <f t="array" ref="J5">IF(ISNUMBER(A5),IFERROR(_xlfn._xlws.FILTER(Equipar!A:A,(Equipar!B:B=2)*(Equipar!AC:AC=A5)),""),"")</f>
        <v/>
      </c>
    </row>
    <row r="6" spans="1:11" x14ac:dyDescent="0.25">
      <c r="A6" s="1">
        <v>10</v>
      </c>
      <c r="B6" s="5" t="s">
        <v>53</v>
      </c>
      <c r="C6" s="5" t="s">
        <v>13</v>
      </c>
      <c r="D6" s="5" t="s">
        <v>42</v>
      </c>
      <c r="E6" s="5" t="s">
        <v>32</v>
      </c>
      <c r="F6" s="5" t="s">
        <v>38</v>
      </c>
      <c r="G6" s="5" t="s">
        <v>35</v>
      </c>
      <c r="H6" s="5" t="s">
        <v>37</v>
      </c>
      <c r="I6" s="2" t="str">
        <f>IF(ISNUMBER(A6),
IF(COUNTIFS(Equipar!B:B,2,Equipar!AC:AC,A6),"Equipada",
IF(
  OR(COUNTIFS(Equipar!B:B,2,Equipar!C:C,A6)
 +COUNTIFS(Equipar!B:B,2,Equipar!D:D,A6)
+COUNTIFS(Equipar!B:B,2,Equipar!E:E,A6)
+COUNTIFS(Equipar!B:B,2,Equipar!F:F,A6)
&gt;0,COUNTIF('Set recomendado'!B:B,C6)=0),
"Bloqueada",
"Desechable")),""
)</f>
        <v>Equipada</v>
      </c>
      <c r="J6" t="str" cm="1">
        <f t="array" ref="J6">IF(ISNUMBER(A6),IFERROR(_xlfn._xlws.FILTER(Equipar!A:A,(Equipar!B:B=2)*(Equipar!AC:AC=A6)),""),"")</f>
        <v>Suna</v>
      </c>
    </row>
    <row r="7" spans="1:11" x14ac:dyDescent="0.25">
      <c r="A7" s="1">
        <v>11</v>
      </c>
      <c r="B7" s="5" t="s">
        <v>53</v>
      </c>
      <c r="C7" s="5" t="s">
        <v>13</v>
      </c>
      <c r="D7" s="5" t="s">
        <v>36</v>
      </c>
      <c r="E7" s="5" t="s">
        <v>42</v>
      </c>
      <c r="F7" s="5" t="s">
        <v>38</v>
      </c>
      <c r="G7" s="5" t="s">
        <v>43</v>
      </c>
      <c r="H7" s="5" t="s">
        <v>32</v>
      </c>
      <c r="I7" s="2" t="str">
        <f ca="1">IF(ISNUMBER(A7),
IF(COUNTIFS(Equipar!B:B,2,Equipar!AC:AC,A7),"Equipada",
IF(
  OR(COUNTIFS(Equipar!B:B,2,Equipar!C:C,A7)
 +COUNTIFS(Equipar!B:B,2,Equipar!D:D,A7)
+COUNTIFS(Equipar!B:B,2,Equipar!E:E,A7)
+COUNTIFS(Equipar!B:B,2,Equipar!F:F,A7)
&gt;0,COUNTIF('Set recomendado'!B:B,C7)=0),
"Bloqueada",
"Desechable")),""
)</f>
        <v>Desechable</v>
      </c>
      <c r="J7" t="str" cm="1">
        <f t="array" ref="J7">IF(ISNUMBER(A7),IFERROR(_xlfn._xlws.FILTER(Equipar!A:A,(Equipar!B:B=2)*(Equipar!AC:AC=A7)),""),"")</f>
        <v/>
      </c>
    </row>
    <row r="8" spans="1:11" x14ac:dyDescent="0.25">
      <c r="A8" s="1">
        <v>14</v>
      </c>
      <c r="B8" s="5" t="s">
        <v>53</v>
      </c>
      <c r="C8" s="5" t="s">
        <v>13</v>
      </c>
      <c r="D8" s="5" t="s">
        <v>34</v>
      </c>
      <c r="E8" s="5" t="s">
        <v>44</v>
      </c>
      <c r="F8" s="5" t="s">
        <v>42</v>
      </c>
      <c r="G8" s="5" t="s">
        <v>42</v>
      </c>
      <c r="H8" s="5" t="s">
        <v>41</v>
      </c>
      <c r="I8" s="2" t="str">
        <f>IF(ISNUMBER(A8),
IF(COUNTIFS(Equipar!B:B,2,Equipar!AC:AC,A8),"Equipada",
IF(
  OR(COUNTIFS(Equipar!B:B,2,Equipar!C:C,A8)
 +COUNTIFS(Equipar!B:B,2,Equipar!D:D,A8)
+COUNTIFS(Equipar!B:B,2,Equipar!E:E,A8)
+COUNTIFS(Equipar!B:B,2,Equipar!F:F,A8)
&gt;0,COUNTIF('Set recomendado'!B:B,C8)=0),
"Bloqueada",
"Desechable")),""
)</f>
        <v>Equipada</v>
      </c>
      <c r="J8" t="str" cm="1">
        <f t="array" ref="J8">IF(ISNUMBER(A8),IFERROR(_xlfn._xlws.FILTER(Equipar!A:A,(Equipar!B:B=2)*(Equipar!AC:AC=A8)),""),"")</f>
        <v>Hinata</v>
      </c>
    </row>
    <row r="9" spans="1:11" x14ac:dyDescent="0.25">
      <c r="A9" s="1">
        <v>15</v>
      </c>
      <c r="B9" s="5" t="s">
        <v>53</v>
      </c>
      <c r="C9" s="5" t="s">
        <v>14</v>
      </c>
      <c r="D9" s="5" t="s">
        <v>36</v>
      </c>
      <c r="E9" s="5" t="s">
        <v>39</v>
      </c>
      <c r="F9" s="5" t="s">
        <v>37</v>
      </c>
      <c r="G9" s="5" t="s">
        <v>43</v>
      </c>
      <c r="H9" s="5" t="s">
        <v>36</v>
      </c>
      <c r="I9" s="2" t="str">
        <f ca="1">IF(ISNUMBER(A9),
IF(COUNTIFS(Equipar!B:B,2,Equipar!AC:AC,A9),"Equipada",
IF(
  OR(COUNTIFS(Equipar!B:B,2,Equipar!C:C,A9)
 +COUNTIFS(Equipar!B:B,2,Equipar!D:D,A9)
+COUNTIFS(Equipar!B:B,2,Equipar!E:E,A9)
+COUNTIFS(Equipar!B:B,2,Equipar!F:F,A9)
&gt;0,COUNTIF('Set recomendado'!B:B,C9)=0),
"Bloqueada",
"Desechable")),""
)</f>
        <v>Desechable</v>
      </c>
      <c r="J9" t="str" cm="1">
        <f t="array" ref="J9">IF(ISNUMBER(A9),IFERROR(_xlfn._xlws.FILTER(Equipar!A:A,(Equipar!B:B=2)*(Equipar!AC:AC=A9)),""),"")</f>
        <v/>
      </c>
    </row>
    <row r="10" spans="1:11" x14ac:dyDescent="0.25">
      <c r="A10" s="1">
        <v>16</v>
      </c>
      <c r="B10" s="5" t="s">
        <v>53</v>
      </c>
      <c r="C10" s="5" t="s">
        <v>14</v>
      </c>
      <c r="D10" s="5" t="s">
        <v>42</v>
      </c>
      <c r="E10" s="5" t="s">
        <v>43</v>
      </c>
      <c r="F10" s="5" t="s">
        <v>41</v>
      </c>
      <c r="G10" s="5" t="s">
        <v>42</v>
      </c>
      <c r="I10" s="2" t="str">
        <f>IF(ISNUMBER(A10),
IF(COUNTIFS(Equipar!B:B,2,Equipar!AC:AC,A10),"Equipada",
IF(
  OR(COUNTIFS(Equipar!B:B,2,Equipar!C:C,A10)
 +COUNTIFS(Equipar!B:B,2,Equipar!D:D,A10)
+COUNTIFS(Equipar!B:B,2,Equipar!E:E,A10)
+COUNTIFS(Equipar!B:B,2,Equipar!F:F,A10)
&gt;0,COUNTIF('Set recomendado'!B:B,C10)=0),
"Bloqueada",
"Desechable")),""
)</f>
        <v>Equipada</v>
      </c>
      <c r="J10" t="str" cm="1">
        <f t="array" ref="J10">IF(ISNUMBER(A10),IFERROR(_xlfn._xlws.FILTER(Equipar!A:A,(Equipar!B:B=2)*(Equipar!AC:AC=A10)),""),"")</f>
        <v>Osamu</v>
      </c>
    </row>
    <row r="11" spans="1:11" x14ac:dyDescent="0.25">
      <c r="A11" s="1">
        <v>17</v>
      </c>
      <c r="B11" s="5" t="s">
        <v>53</v>
      </c>
      <c r="C11" s="5" t="s">
        <v>14</v>
      </c>
      <c r="D11" s="5" t="s">
        <v>42</v>
      </c>
      <c r="E11" s="5" t="s">
        <v>40</v>
      </c>
      <c r="F11" s="5" t="s">
        <v>38</v>
      </c>
      <c r="G11" s="5" t="s">
        <v>36</v>
      </c>
      <c r="I11" s="2" t="str">
        <f ca="1">IF(ISNUMBER(A11),
IF(COUNTIFS(Equipar!B:B,2,Equipar!AC:AC,A11),"Equipada",
IF(
  OR(COUNTIFS(Equipar!B:B,2,Equipar!C:C,A11)
 +COUNTIFS(Equipar!B:B,2,Equipar!D:D,A11)
+COUNTIFS(Equipar!B:B,2,Equipar!E:E,A11)
+COUNTIFS(Equipar!B:B,2,Equipar!F:F,A11)
&gt;0,COUNTIF('Set recomendado'!B:B,C11)=0),
"Bloqueada",
"Desechable")),""
)</f>
        <v>Desechable</v>
      </c>
      <c r="J11" t="str" cm="1">
        <f t="array" ref="J11">IF(ISNUMBER(A11),IFERROR(_xlfn._xlws.FILTER(Equipar!A:A,(Equipar!B:B=2)*(Equipar!AC:AC=A11)),""),"")</f>
        <v/>
      </c>
    </row>
    <row r="12" spans="1:11" x14ac:dyDescent="0.25">
      <c r="A12" s="1">
        <v>18</v>
      </c>
      <c r="B12" s="5" t="s">
        <v>53</v>
      </c>
      <c r="C12" s="5" t="s">
        <v>14</v>
      </c>
      <c r="D12" s="5" t="s">
        <v>36</v>
      </c>
      <c r="E12" s="5" t="s">
        <v>38</v>
      </c>
      <c r="F12" s="5" t="s">
        <v>41</v>
      </c>
      <c r="G12" s="5" t="s">
        <v>38</v>
      </c>
      <c r="I12" s="2" t="str">
        <f ca="1">IF(ISNUMBER(A12),
IF(COUNTIFS(Equipar!B:B,2,Equipar!AC:AC,A12),"Equipada",
IF(
  OR(COUNTIFS(Equipar!B:B,2,Equipar!C:C,A12)
 +COUNTIFS(Equipar!B:B,2,Equipar!D:D,A12)
+COUNTIFS(Equipar!B:B,2,Equipar!E:E,A12)
+COUNTIFS(Equipar!B:B,2,Equipar!F:F,A12)
&gt;0,COUNTIF('Set recomendado'!B:B,C12)=0),
"Bloqueada",
"Desechable")),""
)</f>
        <v>Desechable</v>
      </c>
      <c r="J12" t="str" cm="1">
        <f t="array" ref="J12">IF(ISNUMBER(A12),IFERROR(_xlfn._xlws.FILTER(Equipar!A:A,(Equipar!B:B=2)*(Equipar!AC:AC=A12)),""),"")</f>
        <v/>
      </c>
    </row>
    <row r="13" spans="1:11" x14ac:dyDescent="0.25">
      <c r="A13" s="1">
        <v>19</v>
      </c>
      <c r="B13" s="5" t="s">
        <v>53</v>
      </c>
      <c r="C13" s="5" t="s">
        <v>14</v>
      </c>
      <c r="D13" s="5" t="s">
        <v>42</v>
      </c>
      <c r="E13" s="5" t="s">
        <v>41</v>
      </c>
      <c r="F13" s="5" t="s">
        <v>44</v>
      </c>
      <c r="G13" s="5" t="s">
        <v>32</v>
      </c>
      <c r="H13" s="5" t="s">
        <v>41</v>
      </c>
      <c r="I13" s="2" t="str">
        <f ca="1">IF(ISNUMBER(A13),
IF(COUNTIFS(Equipar!B:B,2,Equipar!AC:AC,A13),"Equipada",
IF(
  OR(COUNTIFS(Equipar!B:B,2,Equipar!C:C,A13)
 +COUNTIFS(Equipar!B:B,2,Equipar!D:D,A13)
+COUNTIFS(Equipar!B:B,2,Equipar!E:E,A13)
+COUNTIFS(Equipar!B:B,2,Equipar!F:F,A13)
&gt;0,COUNTIF('Set recomendado'!B:B,C13)=0),
"Bloqueada",
"Desechable")),""
)</f>
        <v>Desechable</v>
      </c>
      <c r="J13" t="str" cm="1">
        <f t="array" ref="J13">IF(ISNUMBER(A13),IFERROR(_xlfn._xlws.FILTER(Equipar!A:A,(Equipar!B:B=2)*(Equipar!AC:AC=A13)),""),"")</f>
        <v/>
      </c>
    </row>
    <row r="14" spans="1:11" x14ac:dyDescent="0.25">
      <c r="A14" s="1">
        <v>21</v>
      </c>
      <c r="B14" s="5" t="s">
        <v>53</v>
      </c>
      <c r="C14" s="5" t="s">
        <v>22</v>
      </c>
      <c r="D14" s="5" t="s">
        <v>41</v>
      </c>
      <c r="E14" s="5" t="s">
        <v>43</v>
      </c>
      <c r="F14" s="5" t="s">
        <v>37</v>
      </c>
      <c r="G14" s="5" t="s">
        <v>41</v>
      </c>
      <c r="I14" s="2" t="str">
        <f ca="1">IF(ISNUMBER(A14),
IF(COUNTIFS(Equipar!B:B,2,Equipar!AC:AC,A14),"Equipada",
IF(
  OR(COUNTIFS(Equipar!B:B,2,Equipar!C:C,A14)
 +COUNTIFS(Equipar!B:B,2,Equipar!D:D,A14)
+COUNTIFS(Equipar!B:B,2,Equipar!E:E,A14)
+COUNTIFS(Equipar!B:B,2,Equipar!F:F,A14)
&gt;0,COUNTIF('Set recomendado'!B:B,C14)=0),
"Bloqueada",
"Desechable")),""
)</f>
        <v>Desechable</v>
      </c>
      <c r="J14" t="str" cm="1">
        <f t="array" ref="J14">IF(ISNUMBER(A14),IFERROR(_xlfn._xlws.FILTER(Equipar!A:A,(Equipar!B:B=2)*(Equipar!AC:AC=A14)),""),"")</f>
        <v/>
      </c>
    </row>
    <row r="15" spans="1:11" x14ac:dyDescent="0.25">
      <c r="A15" s="1">
        <v>22</v>
      </c>
      <c r="B15" s="5" t="s">
        <v>53</v>
      </c>
      <c r="C15" s="5" t="s">
        <v>16</v>
      </c>
      <c r="D15" s="5" t="s">
        <v>42</v>
      </c>
      <c r="E15" s="5" t="s">
        <v>36</v>
      </c>
      <c r="F15" s="5" t="s">
        <v>39</v>
      </c>
      <c r="G15" s="5" t="s">
        <v>41</v>
      </c>
      <c r="I15" s="2" t="str">
        <f ca="1">IF(ISNUMBER(A15),
IF(COUNTIFS(Equipar!B:B,2,Equipar!AC:AC,A15),"Equipada",
IF(
  OR(COUNTIFS(Equipar!B:B,2,Equipar!C:C,A15)
 +COUNTIFS(Equipar!B:B,2,Equipar!D:D,A15)
+COUNTIFS(Equipar!B:B,2,Equipar!E:E,A15)
+COUNTIFS(Equipar!B:B,2,Equipar!F:F,A15)
&gt;0,COUNTIF('Set recomendado'!B:B,C15)=0),
"Bloqueada",
"Desechable")),""
)</f>
        <v>Desechable</v>
      </c>
      <c r="J15" t="str" cm="1">
        <f t="array" ref="J15">IF(ISNUMBER(A15),IFERROR(_xlfn._xlws.FILTER(Equipar!A:A,(Equipar!B:B=2)*(Equipar!AC:AC=A15)),""),"")</f>
        <v/>
      </c>
    </row>
    <row r="16" spans="1:11" x14ac:dyDescent="0.25">
      <c r="A16" s="1">
        <v>23</v>
      </c>
      <c r="B16" s="5" t="s">
        <v>53</v>
      </c>
      <c r="C16" s="5" t="s">
        <v>16</v>
      </c>
      <c r="D16" s="5" t="s">
        <v>32</v>
      </c>
      <c r="E16" s="5" t="s">
        <v>41</v>
      </c>
      <c r="F16" s="5" t="s">
        <v>37</v>
      </c>
      <c r="G16" s="5" t="s">
        <v>42</v>
      </c>
      <c r="I16" s="2" t="str">
        <f ca="1">IF(ISNUMBER(A16),
IF(COUNTIFS(Equipar!B:B,2,Equipar!AC:AC,A16),"Equipada",
IF(
  OR(COUNTIFS(Equipar!B:B,2,Equipar!C:C,A16)
 +COUNTIFS(Equipar!B:B,2,Equipar!D:D,A16)
+COUNTIFS(Equipar!B:B,2,Equipar!E:E,A16)
+COUNTIFS(Equipar!B:B,2,Equipar!F:F,A16)
&gt;0,COUNTIF('Set recomendado'!B:B,C16)=0),
"Bloqueada",
"Desechable")),""
)</f>
        <v>Desechable</v>
      </c>
      <c r="J16" t="str" cm="1">
        <f t="array" ref="J16">IF(ISNUMBER(A16),IFERROR(_xlfn._xlws.FILTER(Equipar!A:A,(Equipar!B:B=2)*(Equipar!AC:AC=A16)),""),"")</f>
        <v/>
      </c>
    </row>
    <row r="17" spans="1:10" x14ac:dyDescent="0.25">
      <c r="A17" s="1">
        <v>24</v>
      </c>
      <c r="B17" s="5" t="s">
        <v>53</v>
      </c>
      <c r="C17" s="5" t="s">
        <v>16</v>
      </c>
      <c r="D17" s="5" t="s">
        <v>33</v>
      </c>
      <c r="E17" s="5" t="s">
        <v>40</v>
      </c>
      <c r="F17" s="5" t="s">
        <v>41</v>
      </c>
      <c r="G17" s="5" t="s">
        <v>41</v>
      </c>
      <c r="I17" s="2" t="str">
        <f ca="1">IF(ISNUMBER(A17),
IF(COUNTIFS(Equipar!B:B,2,Equipar!AC:AC,A17),"Equipada",
IF(
  OR(COUNTIFS(Equipar!B:B,2,Equipar!C:C,A17)
 +COUNTIFS(Equipar!B:B,2,Equipar!D:D,A17)
+COUNTIFS(Equipar!B:B,2,Equipar!E:E,A17)
+COUNTIFS(Equipar!B:B,2,Equipar!F:F,A17)
&gt;0,COUNTIF('Set recomendado'!B:B,C17)=0),
"Bloqueada",
"Desechable")),""
)</f>
        <v>Desechable</v>
      </c>
      <c r="J17" t="str" cm="1">
        <f t="array" ref="J17">IF(ISNUMBER(A17),IFERROR(_xlfn._xlws.FILTER(Equipar!A:A,(Equipar!B:B=2)*(Equipar!AC:AC=A17)),""),"")</f>
        <v/>
      </c>
    </row>
    <row r="18" spans="1:10" x14ac:dyDescent="0.25">
      <c r="A18" s="1">
        <v>25</v>
      </c>
      <c r="B18" s="5" t="s">
        <v>53</v>
      </c>
      <c r="C18" s="5" t="s">
        <v>16</v>
      </c>
      <c r="D18" s="5" t="s">
        <v>42</v>
      </c>
      <c r="E18" s="5" t="s">
        <v>42</v>
      </c>
      <c r="F18" s="5" t="s">
        <v>39</v>
      </c>
      <c r="G18" s="5" t="s">
        <v>41</v>
      </c>
      <c r="H18" s="5" t="s">
        <v>32</v>
      </c>
      <c r="I18" s="2" t="str">
        <f ca="1">IF(ISNUMBER(A18),
IF(COUNTIFS(Equipar!B:B,2,Equipar!AC:AC,A18),"Equipada",
IF(
  OR(COUNTIFS(Equipar!B:B,2,Equipar!C:C,A18)
 +COUNTIFS(Equipar!B:B,2,Equipar!D:D,A18)
+COUNTIFS(Equipar!B:B,2,Equipar!E:E,A18)
+COUNTIFS(Equipar!B:B,2,Equipar!F:F,A18)
&gt;0,COUNTIF('Set recomendado'!B:B,C18)=0),
"Bloqueada",
"Desechable")),""
)</f>
        <v>Desechable</v>
      </c>
      <c r="J18" t="str" cm="1">
        <f t="array" ref="J18">IF(ISNUMBER(A18),IFERROR(_xlfn._xlws.FILTER(Equipar!A:A,(Equipar!B:B=2)*(Equipar!AC:AC=A18)),""),"")</f>
        <v/>
      </c>
    </row>
    <row r="19" spans="1:10" x14ac:dyDescent="0.25">
      <c r="A19" s="1">
        <v>26</v>
      </c>
      <c r="B19" s="5" t="s">
        <v>53</v>
      </c>
      <c r="C19" s="5" t="s">
        <v>17</v>
      </c>
      <c r="D19" s="5" t="s">
        <v>36</v>
      </c>
      <c r="E19" s="5" t="s">
        <v>36</v>
      </c>
      <c r="F19" s="5" t="s">
        <v>32</v>
      </c>
      <c r="G19" s="5" t="s">
        <v>37</v>
      </c>
      <c r="I19" s="2" t="str">
        <f ca="1">IF(ISNUMBER(A19),
IF(COUNTIFS(Equipar!B:B,2,Equipar!AC:AC,A19),"Equipada",
IF(
  OR(COUNTIFS(Equipar!B:B,2,Equipar!C:C,A19)
 +COUNTIFS(Equipar!B:B,2,Equipar!D:D,A19)
+COUNTIFS(Equipar!B:B,2,Equipar!E:E,A19)
+COUNTIFS(Equipar!B:B,2,Equipar!F:F,A19)
&gt;0,COUNTIF('Set recomendado'!B:B,C19)=0),
"Bloqueada",
"Desechable")),""
)</f>
        <v>Desechable</v>
      </c>
      <c r="J19" t="str" cm="1">
        <f t="array" ref="J19">IF(ISNUMBER(A19),IFERROR(_xlfn._xlws.FILTER(Equipar!A:A,(Equipar!B:B=2)*(Equipar!AC:AC=A19)),""),"")</f>
        <v/>
      </c>
    </row>
    <row r="20" spans="1:10" x14ac:dyDescent="0.25">
      <c r="A20" s="1">
        <v>27</v>
      </c>
      <c r="B20" s="5" t="s">
        <v>53</v>
      </c>
      <c r="C20" s="5" t="s">
        <v>57</v>
      </c>
      <c r="D20" s="5" t="s">
        <v>33</v>
      </c>
      <c r="E20" s="5" t="s">
        <v>43</v>
      </c>
      <c r="F20" s="5" t="s">
        <v>43</v>
      </c>
      <c r="I20" s="2" t="str">
        <f ca="1">IF(ISNUMBER(A20),
IF(COUNTIFS(Equipar!B:B,2,Equipar!AC:AC,A20),"Equipada",
IF(
  OR(COUNTIFS(Equipar!B:B,2,Equipar!C:C,A20)
 +COUNTIFS(Equipar!B:B,2,Equipar!D:D,A20)
+COUNTIFS(Equipar!B:B,2,Equipar!E:E,A20)
+COUNTIFS(Equipar!B:B,2,Equipar!F:F,A20)
&gt;0,COUNTIF('Set recomendado'!B:B,C20)=0),
"Bloqueada",
"Desechable")),""
)</f>
        <v>Bloqueada</v>
      </c>
      <c r="J20" t="str" cm="1">
        <f t="array" ref="J20">IF(ISNUMBER(A20),IFERROR(_xlfn._xlws.FILTER(Equipar!A:A,(Equipar!B:B=2)*(Equipar!AC:AC=A20)),""),"")</f>
        <v/>
      </c>
    </row>
    <row r="21" spans="1:10" x14ac:dyDescent="0.25">
      <c r="A21" s="1">
        <v>28</v>
      </c>
      <c r="B21" s="5" t="s">
        <v>53</v>
      </c>
      <c r="C21" s="5" t="s">
        <v>55</v>
      </c>
      <c r="D21" s="5" t="s">
        <v>32</v>
      </c>
      <c r="E21" s="5" t="s">
        <v>36</v>
      </c>
      <c r="F21" s="5" t="s">
        <v>33</v>
      </c>
      <c r="G21" s="5" t="s">
        <v>41</v>
      </c>
      <c r="I21" s="2" t="str">
        <f ca="1">IF(ISNUMBER(A21),
IF(COUNTIFS(Equipar!B:B,2,Equipar!AC:AC,A21),"Equipada",
IF(
  OR(COUNTIFS(Equipar!B:B,2,Equipar!C:C,A21)
 +COUNTIFS(Equipar!B:B,2,Equipar!D:D,A21)
+COUNTIFS(Equipar!B:B,2,Equipar!E:E,A21)
+COUNTIFS(Equipar!B:B,2,Equipar!F:F,A21)
&gt;0,COUNTIF('Set recomendado'!B:B,C21)=0),
"Bloqueada",
"Desechable")),""
)</f>
        <v>Bloqueada</v>
      </c>
      <c r="J21" t="str" cm="1">
        <f t="array" ref="J21">IF(ISNUMBER(A21),IFERROR(_xlfn._xlws.FILTER(Equipar!A:A,(Equipar!B:B=2)*(Equipar!AC:AC=A21)),""),"")</f>
        <v/>
      </c>
    </row>
    <row r="22" spans="1:10" x14ac:dyDescent="0.25">
      <c r="A22" s="1">
        <v>29</v>
      </c>
      <c r="B22" s="5" t="s">
        <v>53</v>
      </c>
      <c r="C22" s="5" t="s">
        <v>55</v>
      </c>
      <c r="D22" s="5" t="s">
        <v>42</v>
      </c>
      <c r="E22" s="5" t="s">
        <v>38</v>
      </c>
      <c r="F22" s="5" t="s">
        <v>36</v>
      </c>
      <c r="G22" s="5" t="s">
        <v>44</v>
      </c>
      <c r="H22" s="5" t="s">
        <v>32</v>
      </c>
      <c r="I22" s="2" t="str">
        <f ca="1">IF(ISNUMBER(A22),
IF(COUNTIFS(Equipar!B:B,2,Equipar!AC:AC,A22),"Equipada",
IF(
  OR(COUNTIFS(Equipar!B:B,2,Equipar!C:C,A22)
 +COUNTIFS(Equipar!B:B,2,Equipar!D:D,A22)
+COUNTIFS(Equipar!B:B,2,Equipar!E:E,A22)
+COUNTIFS(Equipar!B:B,2,Equipar!F:F,A22)
&gt;0,COUNTIF('Set recomendado'!B:B,C22)=0),
"Bloqueada",
"Desechable")),""
)</f>
        <v>Desechable</v>
      </c>
      <c r="J22" t="str" cm="1">
        <f t="array" ref="J22">IF(ISNUMBER(A22),IFERROR(_xlfn._xlws.FILTER(Equipar!A:A,(Equipar!B:B=2)*(Equipar!AC:AC=A22)),""),"")</f>
        <v/>
      </c>
    </row>
    <row r="23" spans="1:10" x14ac:dyDescent="0.25">
      <c r="A23" s="1">
        <v>30</v>
      </c>
      <c r="B23" s="5" t="s">
        <v>54</v>
      </c>
      <c r="C23" s="5" t="s">
        <v>9</v>
      </c>
      <c r="D23" s="5" t="s">
        <v>36</v>
      </c>
      <c r="E23" s="5" t="s">
        <v>36</v>
      </c>
      <c r="F23" s="5" t="s">
        <v>41</v>
      </c>
      <c r="G23" s="5" t="s">
        <v>34</v>
      </c>
      <c r="H23" s="5" t="s">
        <v>37</v>
      </c>
      <c r="I23" s="2" t="str">
        <f>IF(ISNUMBER(A23),
IF(COUNTIFS(Equipar!B:B,2,Equipar!AC:AC,A23),"Equipada",
IF(
  OR(COUNTIFS(Equipar!B:B,2,Equipar!C:C,A23)
 +COUNTIFS(Equipar!B:B,2,Equipar!D:D,A23)
+COUNTIFS(Equipar!B:B,2,Equipar!E:E,A23)
+COUNTIFS(Equipar!B:B,2,Equipar!F:F,A23)
&gt;0,COUNTIF('Set recomendado'!B:B,C23)=0),
"Bloqueada",
"Desechable")),""
)</f>
        <v>Equipada</v>
      </c>
      <c r="J23" t="str" cm="1">
        <f t="array" ref="J23">IF(ISNUMBER(A23),IFERROR(_xlfn._xlws.FILTER(Equipar!A:A,(Equipar!B:B=2)*(Equipar!AC:AC=A23)),""),"")</f>
        <v>Oikawa</v>
      </c>
    </row>
    <row r="24" spans="1:10" x14ac:dyDescent="0.25">
      <c r="A24" s="1">
        <v>31</v>
      </c>
      <c r="B24" s="5" t="s">
        <v>54</v>
      </c>
      <c r="C24" s="5" t="s">
        <v>10</v>
      </c>
      <c r="D24" s="5" t="s">
        <v>41</v>
      </c>
      <c r="E24" s="5" t="s">
        <v>41</v>
      </c>
      <c r="F24" s="5" t="s">
        <v>41</v>
      </c>
      <c r="G24" s="5" t="s">
        <v>35</v>
      </c>
      <c r="H24" s="5" t="s">
        <v>42</v>
      </c>
      <c r="I24" s="2" t="str">
        <f ca="1">IF(ISNUMBER(A24),
IF(COUNTIFS(Equipar!B:B,2,Equipar!AC:AC,A24),"Equipada",
IF(
  OR(COUNTIFS(Equipar!B:B,2,Equipar!C:C,A24)
 +COUNTIFS(Equipar!B:B,2,Equipar!D:D,A24)
+COUNTIFS(Equipar!B:B,2,Equipar!E:E,A24)
+COUNTIFS(Equipar!B:B,2,Equipar!F:F,A24)
&gt;0,COUNTIF('Set recomendado'!B:B,C24)=0),
"Bloqueada",
"Desechable")),""
)</f>
        <v>Desechable</v>
      </c>
      <c r="J24" t="str" cm="1">
        <f t="array" ref="J24">IF(ISNUMBER(A24),IFERROR(_xlfn._xlws.FILTER(Equipar!A:A,(Equipar!B:B=2)*(Equipar!AC:AC=A24)),""),"")</f>
        <v/>
      </c>
    </row>
    <row r="25" spans="1:10" x14ac:dyDescent="0.25">
      <c r="A25" s="1">
        <v>32</v>
      </c>
      <c r="B25" s="5" t="s">
        <v>54</v>
      </c>
      <c r="C25" s="5" t="s">
        <v>4</v>
      </c>
      <c r="D25" s="5" t="s">
        <v>32</v>
      </c>
      <c r="E25" s="5" t="s">
        <v>32</v>
      </c>
      <c r="F25" s="5" t="s">
        <v>36</v>
      </c>
      <c r="G25" s="5" t="s">
        <v>32</v>
      </c>
      <c r="H25" s="5" t="s">
        <v>40</v>
      </c>
      <c r="I25" s="2" t="str">
        <f>IF(ISNUMBER(A25),
IF(COUNTIFS(Equipar!B:B,2,Equipar!AC:AC,A25),"Equipada",
IF(
  OR(COUNTIFS(Equipar!B:B,2,Equipar!C:C,A25)
 +COUNTIFS(Equipar!B:B,2,Equipar!D:D,A25)
+COUNTIFS(Equipar!B:B,2,Equipar!E:E,A25)
+COUNTIFS(Equipar!B:B,2,Equipar!F:F,A25)
&gt;0,COUNTIF('Set recomendado'!B:B,C25)=0),
"Bloqueada",
"Desechable")),""
)</f>
        <v>Equipada</v>
      </c>
      <c r="J25" t="str" cm="1">
        <f t="array" ref="J25">IF(ISNUMBER(A25),IFERROR(_xlfn._xlws.FILTER(Equipar!A:A,(Equipar!B:B=2)*(Equipar!AC:AC=A25)),""),"")</f>
        <v>Hoshiumi</v>
      </c>
    </row>
    <row r="26" spans="1:10" x14ac:dyDescent="0.25">
      <c r="A26" s="1">
        <v>33</v>
      </c>
      <c r="B26" s="5" t="s">
        <v>54</v>
      </c>
      <c r="C26" s="5" t="s">
        <v>4</v>
      </c>
      <c r="D26" s="5" t="s">
        <v>32</v>
      </c>
      <c r="E26" s="5" t="s">
        <v>41</v>
      </c>
      <c r="F26" s="5" t="s">
        <v>41</v>
      </c>
      <c r="G26" s="5" t="s">
        <v>32</v>
      </c>
      <c r="H26" s="5" t="s">
        <v>38</v>
      </c>
      <c r="I26" s="2" t="str">
        <f>IF(ISNUMBER(A26),
IF(COUNTIFS(Equipar!B:B,2,Equipar!AC:AC,A26),"Equipada",
IF(
  OR(COUNTIFS(Equipar!B:B,2,Equipar!C:C,A26)
 +COUNTIFS(Equipar!B:B,2,Equipar!D:D,A26)
+COUNTIFS(Equipar!B:B,2,Equipar!E:E,A26)
+COUNTIFS(Equipar!B:B,2,Equipar!F:F,A26)
&gt;0,COUNTIF('Set recomendado'!B:B,C26)=0),
"Bloqueada",
"Desechable")),""
)</f>
        <v>Equipada</v>
      </c>
      <c r="J26" t="str" cm="1">
        <f t="array" ref="J26">IF(ISNUMBER(A26),IFERROR(_xlfn._xlws.FILTER(Equipar!A:A,(Equipar!B:B=2)*(Equipar!AC:AC=A26)),""),"")</f>
        <v>Tanaka</v>
      </c>
    </row>
    <row r="27" spans="1:10" x14ac:dyDescent="0.25">
      <c r="A27" s="1">
        <v>35</v>
      </c>
      <c r="B27" s="5" t="s">
        <v>54</v>
      </c>
      <c r="C27" s="5" t="s">
        <v>9</v>
      </c>
      <c r="D27" s="5" t="s">
        <v>36</v>
      </c>
      <c r="E27" s="5" t="s">
        <v>32</v>
      </c>
      <c r="F27" s="5" t="s">
        <v>41</v>
      </c>
      <c r="I27" s="2" t="str">
        <f ca="1">IF(ISNUMBER(A27),
IF(COUNTIFS(Equipar!B:B,2,Equipar!AC:AC,A27),"Equipada",
IF(
  OR(COUNTIFS(Equipar!B:B,2,Equipar!C:C,A27)
 +COUNTIFS(Equipar!B:B,2,Equipar!D:D,A27)
+COUNTIFS(Equipar!B:B,2,Equipar!E:E,A27)
+COUNTIFS(Equipar!B:B,2,Equipar!F:F,A27)
&gt;0,COUNTIF('Set recomendado'!B:B,C27)=0),
"Bloqueada",
"Desechable")),""
)</f>
        <v>Desechable</v>
      </c>
      <c r="J27" t="str" cm="1">
        <f t="array" ref="J27">IF(ISNUMBER(A27),IFERROR(_xlfn._xlws.FILTER(Equipar!A:A,(Equipar!B:B=2)*(Equipar!AC:AC=A27)),""),"")</f>
        <v/>
      </c>
    </row>
    <row r="28" spans="1:10" x14ac:dyDescent="0.25">
      <c r="A28" s="1">
        <v>38</v>
      </c>
      <c r="B28" s="5" t="s">
        <v>54</v>
      </c>
      <c r="C28" s="5" t="s">
        <v>4</v>
      </c>
      <c r="D28" s="5" t="s">
        <v>32</v>
      </c>
      <c r="E28" s="5" t="s">
        <v>44</v>
      </c>
      <c r="F28" s="5" t="s">
        <v>38</v>
      </c>
      <c r="I28" s="2" t="str">
        <f ca="1">IF(ISNUMBER(A28),
IF(COUNTIFS(Equipar!B:B,2,Equipar!AC:AC,A28),"Equipada",
IF(
  OR(COUNTIFS(Equipar!B:B,2,Equipar!C:C,A28)
 +COUNTIFS(Equipar!B:B,2,Equipar!D:D,A28)
+COUNTIFS(Equipar!B:B,2,Equipar!E:E,A28)
+COUNTIFS(Equipar!B:B,2,Equipar!F:F,A28)
&gt;0,COUNTIF('Set recomendado'!B:B,C28)=0),
"Bloqueada",
"Desechable")),""
)</f>
        <v>Desechable</v>
      </c>
      <c r="J28" t="str" cm="1">
        <f t="array" ref="J28">IF(ISNUMBER(A28),IFERROR(_xlfn._xlws.FILTER(Equipar!A:A,(Equipar!B:B=2)*(Equipar!AC:AC=A28)),""),"")</f>
        <v/>
      </c>
    </row>
    <row r="29" spans="1:10" x14ac:dyDescent="0.25">
      <c r="A29" s="1">
        <v>40</v>
      </c>
      <c r="B29" s="5" t="s">
        <v>54</v>
      </c>
      <c r="C29" s="5" t="s">
        <v>4</v>
      </c>
      <c r="D29" s="5" t="s">
        <v>33</v>
      </c>
      <c r="E29" s="5" t="s">
        <v>36</v>
      </c>
      <c r="F29" s="5" t="s">
        <v>41</v>
      </c>
      <c r="I29" s="2" t="str">
        <f ca="1">IF(ISNUMBER(A29),
IF(COUNTIFS(Equipar!B:B,2,Equipar!AC:AC,A29),"Equipada",
IF(
  OR(COUNTIFS(Equipar!B:B,2,Equipar!C:C,A29)
 +COUNTIFS(Equipar!B:B,2,Equipar!D:D,A29)
+COUNTIFS(Equipar!B:B,2,Equipar!E:E,A29)
+COUNTIFS(Equipar!B:B,2,Equipar!F:F,A29)
&gt;0,COUNTIF('Set recomendado'!B:B,C29)=0),
"Bloqueada",
"Desechable")),""
)</f>
        <v>Desechable</v>
      </c>
      <c r="J29" t="str" cm="1">
        <f t="array" ref="J29">IF(ISNUMBER(A29),IFERROR(_xlfn._xlws.FILTER(Equipar!A:A,(Equipar!B:B=2)*(Equipar!AC:AC=A29)),""),"")</f>
        <v/>
      </c>
    </row>
    <row r="30" spans="1:10" x14ac:dyDescent="0.25">
      <c r="A30" s="1">
        <v>41</v>
      </c>
      <c r="B30" s="5" t="s">
        <v>54</v>
      </c>
      <c r="C30" s="5" t="s">
        <v>4</v>
      </c>
      <c r="D30" s="5" t="s">
        <v>36</v>
      </c>
      <c r="E30" s="5" t="s">
        <v>34</v>
      </c>
      <c r="F30" s="5" t="s">
        <v>32</v>
      </c>
      <c r="I30" s="2" t="str">
        <f>IF(ISNUMBER(A30),
IF(COUNTIFS(Equipar!B:B,2,Equipar!AC:AC,A30),"Equipada",
IF(
  OR(COUNTIFS(Equipar!B:B,2,Equipar!C:C,A30)
 +COUNTIFS(Equipar!B:B,2,Equipar!D:D,A30)
+COUNTIFS(Equipar!B:B,2,Equipar!E:E,A30)
+COUNTIFS(Equipar!B:B,2,Equipar!F:F,A30)
&gt;0,COUNTIF('Set recomendado'!B:B,C30)=0),
"Bloqueada",
"Desechable")),""
)</f>
        <v>Equipada</v>
      </c>
      <c r="J30" t="str" cm="1">
        <f t="array" ref="J30">IF(ISNUMBER(A30),IFERROR(_xlfn._xlws.FILTER(Equipar!A:A,(Equipar!B:B=2)*(Equipar!AC:AC=A30)),""),"")</f>
        <v>Kyotani</v>
      </c>
    </row>
    <row r="31" spans="1:10" x14ac:dyDescent="0.25">
      <c r="A31" s="1">
        <v>42</v>
      </c>
      <c r="B31" s="5" t="s">
        <v>54</v>
      </c>
      <c r="C31" s="5" t="s">
        <v>5</v>
      </c>
      <c r="D31" s="5" t="s">
        <v>33</v>
      </c>
      <c r="E31" s="5" t="s">
        <v>39</v>
      </c>
      <c r="F31" s="5" t="s">
        <v>32</v>
      </c>
      <c r="I31" s="2" t="str">
        <f ca="1">IF(ISNUMBER(A31),
IF(COUNTIFS(Equipar!B:B,2,Equipar!AC:AC,A31),"Equipada",
IF(
  OR(COUNTIFS(Equipar!B:B,2,Equipar!C:C,A31)
 +COUNTIFS(Equipar!B:B,2,Equipar!D:D,A31)
+COUNTIFS(Equipar!B:B,2,Equipar!E:E,A31)
+COUNTIFS(Equipar!B:B,2,Equipar!F:F,A31)
&gt;0,COUNTIF('Set recomendado'!B:B,C31)=0),
"Bloqueada",
"Desechable")),""
)</f>
        <v>Desechable</v>
      </c>
      <c r="J31" t="str" cm="1">
        <f t="array" ref="J31">IF(ISNUMBER(A31),IFERROR(_xlfn._xlws.FILTER(Equipar!A:A,(Equipar!B:B=2)*(Equipar!AC:AC=A31)),""),"")</f>
        <v/>
      </c>
    </row>
    <row r="32" spans="1:10" x14ac:dyDescent="0.25">
      <c r="A32" s="1">
        <v>43</v>
      </c>
      <c r="B32" s="5" t="s">
        <v>54</v>
      </c>
      <c r="C32" s="5" t="s">
        <v>5</v>
      </c>
      <c r="D32" s="5" t="s">
        <v>32</v>
      </c>
      <c r="E32" s="5" t="s">
        <v>37</v>
      </c>
      <c r="F32" s="5" t="s">
        <v>38</v>
      </c>
      <c r="G32" s="5" t="s">
        <v>35</v>
      </c>
      <c r="I32" s="2" t="str">
        <f ca="1">IF(ISNUMBER(A32),
IF(COUNTIFS(Equipar!B:B,2,Equipar!AC:AC,A32),"Equipada",
IF(
  OR(COUNTIFS(Equipar!B:B,2,Equipar!C:C,A32)
 +COUNTIFS(Equipar!B:B,2,Equipar!D:D,A32)
+COUNTIFS(Equipar!B:B,2,Equipar!E:E,A32)
+COUNTIFS(Equipar!B:B,2,Equipar!F:F,A32)
&gt;0,COUNTIF('Set recomendado'!B:B,C32)=0),
"Bloqueada",
"Desechable")),""
)</f>
        <v>Bloqueada</v>
      </c>
      <c r="J32" t="str" cm="1">
        <f t="array" ref="J32">IF(ISNUMBER(A32),IFERROR(_xlfn._xlws.FILTER(Equipar!A:A,(Equipar!B:B=2)*(Equipar!AC:AC=A32)),""),"")</f>
        <v/>
      </c>
    </row>
    <row r="33" spans="1:10" x14ac:dyDescent="0.25">
      <c r="A33" s="1">
        <v>44</v>
      </c>
      <c r="B33" s="5" t="s">
        <v>54</v>
      </c>
      <c r="C33" s="5" t="s">
        <v>5</v>
      </c>
      <c r="D33" s="5" t="s">
        <v>33</v>
      </c>
      <c r="E33" s="5" t="s">
        <v>42</v>
      </c>
      <c r="F33" s="5" t="s">
        <v>32</v>
      </c>
      <c r="I33" s="2" t="str">
        <f ca="1">IF(ISNUMBER(A33),
IF(COUNTIFS(Equipar!B:B,2,Equipar!AC:AC,A33),"Equipada",
IF(
  OR(COUNTIFS(Equipar!B:B,2,Equipar!C:C,A33)
 +COUNTIFS(Equipar!B:B,2,Equipar!D:D,A33)
+COUNTIFS(Equipar!B:B,2,Equipar!E:E,A33)
+COUNTIFS(Equipar!B:B,2,Equipar!F:F,A33)
&gt;0,COUNTIF('Set recomendado'!B:B,C33)=0),
"Bloqueada",
"Desechable")),""
)</f>
        <v>Desechable</v>
      </c>
      <c r="J33" t="str" cm="1">
        <f t="array" ref="J33">IF(ISNUMBER(A33),IFERROR(_xlfn._xlws.FILTER(Equipar!A:A,(Equipar!B:B=2)*(Equipar!AC:AC=A33)),""),"")</f>
        <v/>
      </c>
    </row>
    <row r="34" spans="1:10" x14ac:dyDescent="0.25">
      <c r="A34" s="1">
        <v>45</v>
      </c>
      <c r="B34" s="5" t="s">
        <v>54</v>
      </c>
      <c r="C34" s="5" t="s">
        <v>5</v>
      </c>
      <c r="D34" s="5" t="s">
        <v>33</v>
      </c>
      <c r="E34" s="5" t="s">
        <v>36</v>
      </c>
      <c r="F34" s="5" t="s">
        <v>32</v>
      </c>
      <c r="I34" s="2" t="str">
        <f>IF(ISNUMBER(A34),
IF(COUNTIFS(Equipar!B:B,2,Equipar!AC:AC,A34),"Equipada",
IF(
  OR(COUNTIFS(Equipar!B:B,2,Equipar!C:C,A34)
 +COUNTIFS(Equipar!B:B,2,Equipar!D:D,A34)
+COUNTIFS(Equipar!B:B,2,Equipar!E:E,A34)
+COUNTIFS(Equipar!B:B,2,Equipar!F:F,A34)
&gt;0,COUNTIF('Set recomendado'!B:B,C34)=0),
"Bloqueada",
"Desechable")),""
)</f>
        <v>Equipada</v>
      </c>
      <c r="J34" t="str" cm="1">
        <f t="array" ref="J34">IF(ISNUMBER(A34),IFERROR(_xlfn._xlws.FILTER(Equipar!A:A,(Equipar!B:B=2)*(Equipar!AC:AC=A34)),""),"")</f>
        <v>Yamamoto</v>
      </c>
    </row>
    <row r="35" spans="1:10" x14ac:dyDescent="0.25">
      <c r="A35" s="1">
        <v>46</v>
      </c>
      <c r="B35" s="5" t="s">
        <v>54</v>
      </c>
      <c r="C35" s="5" t="s">
        <v>13</v>
      </c>
      <c r="D35" s="5" t="s">
        <v>36</v>
      </c>
      <c r="E35" s="5" t="s">
        <v>42</v>
      </c>
      <c r="F35" s="5" t="s">
        <v>42</v>
      </c>
      <c r="I35" s="2" t="str">
        <f ca="1">IF(ISNUMBER(A35),
IF(COUNTIFS(Equipar!B:B,2,Equipar!AC:AC,A35),"Equipada",
IF(
  OR(COUNTIFS(Equipar!B:B,2,Equipar!C:C,A35)
 +COUNTIFS(Equipar!B:B,2,Equipar!D:D,A35)
+COUNTIFS(Equipar!B:B,2,Equipar!E:E,A35)
+COUNTIFS(Equipar!B:B,2,Equipar!F:F,A35)
&gt;0,COUNTIF('Set recomendado'!B:B,C35)=0),
"Bloqueada",
"Desechable")),""
)</f>
        <v>Bloqueada</v>
      </c>
      <c r="J35" t="str" cm="1">
        <f t="array" ref="J35">IF(ISNUMBER(A35),IFERROR(_xlfn._xlws.FILTER(Equipar!A:A,(Equipar!B:B=2)*(Equipar!AC:AC=A35)),""),"")</f>
        <v/>
      </c>
    </row>
    <row r="36" spans="1:10" x14ac:dyDescent="0.25">
      <c r="A36" s="1">
        <v>47</v>
      </c>
      <c r="B36" s="5" t="s">
        <v>54</v>
      </c>
      <c r="C36" s="5" t="s">
        <v>13</v>
      </c>
      <c r="D36" s="5" t="s">
        <v>42</v>
      </c>
      <c r="E36" s="5" t="s">
        <v>32</v>
      </c>
      <c r="F36" s="5" t="s">
        <v>38</v>
      </c>
      <c r="I36" s="2" t="str">
        <f ca="1">IF(ISNUMBER(A36),
IF(COUNTIFS(Equipar!B:B,2,Equipar!AC:AC,A36),"Equipada",
IF(
  OR(COUNTIFS(Equipar!B:B,2,Equipar!C:C,A36)
 +COUNTIFS(Equipar!B:B,2,Equipar!D:D,A36)
+COUNTIFS(Equipar!B:B,2,Equipar!E:E,A36)
+COUNTIFS(Equipar!B:B,2,Equipar!F:F,A36)
&gt;0,COUNTIF('Set recomendado'!B:B,C36)=0),
"Bloqueada",
"Desechable")),""
)</f>
        <v>Desechable</v>
      </c>
      <c r="J36" t="str" cm="1">
        <f t="array" ref="J36">IF(ISNUMBER(A36),IFERROR(_xlfn._xlws.FILTER(Equipar!A:A,(Equipar!B:B=2)*(Equipar!AC:AC=A36)),""),"")</f>
        <v/>
      </c>
    </row>
    <row r="37" spans="1:10" x14ac:dyDescent="0.25">
      <c r="A37" s="1">
        <v>48</v>
      </c>
      <c r="B37" s="5" t="s">
        <v>54</v>
      </c>
      <c r="C37" s="5" t="s">
        <v>22</v>
      </c>
      <c r="D37" s="5" t="s">
        <v>36</v>
      </c>
      <c r="E37" s="5" t="s">
        <v>44</v>
      </c>
      <c r="F37" s="5" t="s">
        <v>37</v>
      </c>
      <c r="G37" s="5" t="s">
        <v>32</v>
      </c>
      <c r="I37" s="2" t="str">
        <f ca="1">IF(ISNUMBER(A37),
IF(COUNTIFS(Equipar!B:B,2,Equipar!AC:AC,A37),"Equipada",
IF(
  OR(COUNTIFS(Equipar!B:B,2,Equipar!C:C,A37)
 +COUNTIFS(Equipar!B:B,2,Equipar!D:D,A37)
+COUNTIFS(Equipar!B:B,2,Equipar!E:E,A37)
+COUNTIFS(Equipar!B:B,2,Equipar!F:F,A37)
&gt;0,COUNTIF('Set recomendado'!B:B,C37)=0),
"Bloqueada",
"Desechable")),""
)</f>
        <v>Bloqueada</v>
      </c>
      <c r="J37" t="str" cm="1">
        <f t="array" ref="J37">IF(ISNUMBER(A37),IFERROR(_xlfn._xlws.FILTER(Equipar!A:A,(Equipar!B:B=2)*(Equipar!AC:AC=A37)),""),"")</f>
        <v/>
      </c>
    </row>
    <row r="38" spans="1:10" x14ac:dyDescent="0.25">
      <c r="A38" s="1">
        <v>50</v>
      </c>
      <c r="B38" s="5" t="s">
        <v>54</v>
      </c>
      <c r="C38" s="5" t="s">
        <v>23</v>
      </c>
      <c r="D38" s="5" t="s">
        <v>34</v>
      </c>
      <c r="E38" s="5" t="s">
        <v>36</v>
      </c>
      <c r="F38" s="5" t="s">
        <v>43</v>
      </c>
      <c r="G38" s="5" t="s">
        <v>37</v>
      </c>
      <c r="I38" s="2" t="str">
        <f ca="1">IF(ISNUMBER(A38),
IF(COUNTIFS(Equipar!B:B,2,Equipar!AC:AC,A38),"Equipada",
IF(
  OR(COUNTIFS(Equipar!B:B,2,Equipar!C:C,A38)
 +COUNTIFS(Equipar!B:B,2,Equipar!D:D,A38)
+COUNTIFS(Equipar!B:B,2,Equipar!E:E,A38)
+COUNTIFS(Equipar!B:B,2,Equipar!F:F,A38)
&gt;0,COUNTIF('Set recomendado'!B:B,C38)=0),
"Bloqueada",
"Desechable")),""
)</f>
        <v>Desechable</v>
      </c>
      <c r="J38" t="str" cm="1">
        <f t="array" ref="J38">IF(ISNUMBER(A38),IFERROR(_xlfn._xlws.FILTER(Equipar!A:A,(Equipar!B:B=2)*(Equipar!AC:AC=A38)),""),"")</f>
        <v/>
      </c>
    </row>
    <row r="39" spans="1:10" x14ac:dyDescent="0.25">
      <c r="A39" s="1">
        <v>51</v>
      </c>
      <c r="B39" s="5" t="s">
        <v>54</v>
      </c>
      <c r="C39" s="5" t="s">
        <v>16</v>
      </c>
      <c r="D39" s="5" t="s">
        <v>32</v>
      </c>
      <c r="E39" s="5" t="s">
        <v>38</v>
      </c>
      <c r="F39" s="5" t="s">
        <v>41</v>
      </c>
      <c r="G39" s="5" t="s">
        <v>32</v>
      </c>
      <c r="I39" s="2" t="str">
        <f>IF(ISNUMBER(A39),
IF(COUNTIFS(Equipar!B:B,2,Equipar!AC:AC,A39),"Equipada",
IF(
  OR(COUNTIFS(Equipar!B:B,2,Equipar!C:C,A39)
 +COUNTIFS(Equipar!B:B,2,Equipar!D:D,A39)
+COUNTIFS(Equipar!B:B,2,Equipar!E:E,A39)
+COUNTIFS(Equipar!B:B,2,Equipar!F:F,A39)
&gt;0,COUNTIF('Set recomendado'!B:B,C39)=0),
"Bloqueada",
"Desechable")),""
)</f>
        <v>Equipada</v>
      </c>
      <c r="J39" t="str" cm="1">
        <f t="array" ref="J39">IF(ISNUMBER(A39),IFERROR(_xlfn._xlws.FILTER(Equipar!A:A,(Equipar!B:B=2)*(Equipar!AC:AC=A39)),""),"")</f>
        <v>Sakusa</v>
      </c>
    </row>
    <row r="40" spans="1:10" x14ac:dyDescent="0.25">
      <c r="A40" s="1">
        <v>52</v>
      </c>
      <c r="B40" s="5" t="s">
        <v>54</v>
      </c>
      <c r="C40" s="5" t="s">
        <v>16</v>
      </c>
      <c r="D40" s="5" t="s">
        <v>42</v>
      </c>
      <c r="E40" s="5" t="s">
        <v>43</v>
      </c>
      <c r="F40" s="5" t="s">
        <v>38</v>
      </c>
      <c r="G40" s="5" t="s">
        <v>44</v>
      </c>
      <c r="I40" s="2" t="str">
        <f>IF(ISNUMBER(A40),
IF(COUNTIFS(Equipar!B:B,2,Equipar!AC:AC,A40),"Equipada",
IF(
  OR(COUNTIFS(Equipar!B:B,2,Equipar!C:C,A40)
 +COUNTIFS(Equipar!B:B,2,Equipar!D:D,A40)
+COUNTIFS(Equipar!B:B,2,Equipar!E:E,A40)
+COUNTIFS(Equipar!B:B,2,Equipar!F:F,A40)
&gt;0,COUNTIF('Set recomendado'!B:B,C40)=0),
"Bloqueada",
"Desechable")),""
)</f>
        <v>Equipada</v>
      </c>
      <c r="J40" t="str" cm="1">
        <f t="array" ref="J40">IF(ISNUMBER(A40),IFERROR(_xlfn._xlws.FILTER(Equipar!A:A,(Equipar!B:B=2)*(Equipar!AC:AC=A40)),""),"")</f>
        <v>Kita</v>
      </c>
    </row>
    <row r="41" spans="1:10" x14ac:dyDescent="0.25">
      <c r="A41" s="1">
        <v>53</v>
      </c>
      <c r="B41" s="5" t="s">
        <v>54</v>
      </c>
      <c r="C41" s="5" t="s">
        <v>17</v>
      </c>
      <c r="D41" s="5" t="s">
        <v>42</v>
      </c>
      <c r="E41" s="5" t="s">
        <v>32</v>
      </c>
      <c r="F41" s="5" t="s">
        <v>43</v>
      </c>
      <c r="I41" s="2" t="str">
        <f ca="1">IF(ISNUMBER(A41),
IF(COUNTIFS(Equipar!B:B,2,Equipar!AC:AC,A41),"Equipada",
IF(
  OR(COUNTIFS(Equipar!B:B,2,Equipar!C:C,A41)
 +COUNTIFS(Equipar!B:B,2,Equipar!D:D,A41)
+COUNTIFS(Equipar!B:B,2,Equipar!E:E,A41)
+COUNTIFS(Equipar!B:B,2,Equipar!F:F,A41)
&gt;0,COUNTIF('Set recomendado'!B:B,C41)=0),
"Bloqueada",
"Desechable")),""
)</f>
        <v>Desechable</v>
      </c>
      <c r="J41" t="str" cm="1">
        <f t="array" ref="J41">IF(ISNUMBER(A41),IFERROR(_xlfn._xlws.FILTER(Equipar!A:A,(Equipar!B:B=2)*(Equipar!AC:AC=A41)),""),"")</f>
        <v/>
      </c>
    </row>
    <row r="42" spans="1:10" x14ac:dyDescent="0.25">
      <c r="A42" s="1">
        <v>54</v>
      </c>
      <c r="B42" s="5" t="s">
        <v>54</v>
      </c>
      <c r="C42" s="5" t="s">
        <v>17</v>
      </c>
      <c r="D42" s="5" t="s">
        <v>32</v>
      </c>
      <c r="E42" s="5" t="s">
        <v>43</v>
      </c>
      <c r="F42" s="5" t="s">
        <v>43</v>
      </c>
      <c r="I42" s="2" t="str">
        <f ca="1">IF(ISNUMBER(A42),
IF(COUNTIFS(Equipar!B:B,2,Equipar!AC:AC,A42),"Equipada",
IF(
  OR(COUNTIFS(Equipar!B:B,2,Equipar!C:C,A42)
 +COUNTIFS(Equipar!B:B,2,Equipar!D:D,A42)
+COUNTIFS(Equipar!B:B,2,Equipar!E:E,A42)
+COUNTIFS(Equipar!B:B,2,Equipar!F:F,A42)
&gt;0,COUNTIF('Set recomendado'!B:B,C42)=0),
"Bloqueada",
"Desechable")),""
)</f>
        <v>Bloqueada</v>
      </c>
      <c r="J42" t="str" cm="1">
        <f t="array" ref="J42">IF(ISNUMBER(A42),IFERROR(_xlfn._xlws.FILTER(Equipar!A:A,(Equipar!B:B=2)*(Equipar!AC:AC=A42)),""),"")</f>
        <v/>
      </c>
    </row>
    <row r="43" spans="1:10" x14ac:dyDescent="0.25">
      <c r="A43" s="1">
        <v>55</v>
      </c>
      <c r="B43" s="5" t="s">
        <v>54</v>
      </c>
      <c r="C43" s="5" t="s">
        <v>17</v>
      </c>
      <c r="D43" s="5" t="s">
        <v>36</v>
      </c>
      <c r="E43" s="5" t="s">
        <v>33</v>
      </c>
      <c r="F43" s="5" t="s">
        <v>43</v>
      </c>
      <c r="G43" s="5" t="s">
        <v>38</v>
      </c>
      <c r="I43" s="2" t="str">
        <f ca="1">IF(ISNUMBER(A43),
IF(COUNTIFS(Equipar!B:B,2,Equipar!AC:AC,A43),"Equipada",
IF(
  OR(COUNTIFS(Equipar!B:B,2,Equipar!C:C,A43)
 +COUNTIFS(Equipar!B:B,2,Equipar!D:D,A43)
+COUNTIFS(Equipar!B:B,2,Equipar!E:E,A43)
+COUNTIFS(Equipar!B:B,2,Equipar!F:F,A43)
&gt;0,COUNTIF('Set recomendado'!B:B,C43)=0),
"Bloqueada",
"Desechable")),""
)</f>
        <v>Desechable</v>
      </c>
      <c r="J43" t="str" cm="1">
        <f t="array" ref="J43">IF(ISNUMBER(A43),IFERROR(_xlfn._xlws.FILTER(Equipar!A:A,(Equipar!B:B=2)*(Equipar!AC:AC=A43)),""),"")</f>
        <v/>
      </c>
    </row>
    <row r="44" spans="1:10" x14ac:dyDescent="0.25">
      <c r="A44" s="1">
        <v>56</v>
      </c>
      <c r="B44" s="5" t="s">
        <v>54</v>
      </c>
      <c r="C44" s="5" t="s">
        <v>17</v>
      </c>
      <c r="D44" s="5" t="s">
        <v>41</v>
      </c>
      <c r="E44" s="5" t="s">
        <v>35</v>
      </c>
      <c r="F44" s="5" t="s">
        <v>38</v>
      </c>
      <c r="I44" s="2" t="str">
        <f ca="1">IF(ISNUMBER(A44),
IF(COUNTIFS(Equipar!B:B,2,Equipar!AC:AC,A44),"Equipada",
IF(
  OR(COUNTIFS(Equipar!B:B,2,Equipar!C:C,A44)
 +COUNTIFS(Equipar!B:B,2,Equipar!D:D,A44)
+COUNTIFS(Equipar!B:B,2,Equipar!E:E,A44)
+COUNTIFS(Equipar!B:B,2,Equipar!F:F,A44)
&gt;0,COUNTIF('Set recomendado'!B:B,C44)=0),
"Bloqueada",
"Desechable")),""
)</f>
        <v>Bloqueada</v>
      </c>
      <c r="J44" t="str" cm="1">
        <f t="array" ref="J44">IF(ISNUMBER(A44),IFERROR(_xlfn._xlws.FILTER(Equipar!A:A,(Equipar!B:B=2)*(Equipar!AC:AC=A44)),""),"")</f>
        <v/>
      </c>
    </row>
    <row r="45" spans="1:10" x14ac:dyDescent="0.25">
      <c r="A45" s="1">
        <v>57</v>
      </c>
      <c r="B45" s="5" t="s">
        <v>54</v>
      </c>
      <c r="C45" s="5" t="s">
        <v>57</v>
      </c>
      <c r="D45" s="5" t="s">
        <v>41</v>
      </c>
      <c r="E45" s="5" t="s">
        <v>33</v>
      </c>
      <c r="F45" s="5" t="s">
        <v>41</v>
      </c>
      <c r="G45" s="5" t="s">
        <v>36</v>
      </c>
      <c r="I45" s="2" t="str">
        <f ca="1">IF(ISNUMBER(A45),
IF(COUNTIFS(Equipar!B:B,2,Equipar!AC:AC,A45),"Equipada",
IF(
  OR(COUNTIFS(Equipar!B:B,2,Equipar!C:C,A45)
 +COUNTIFS(Equipar!B:B,2,Equipar!D:D,A45)
+COUNTIFS(Equipar!B:B,2,Equipar!E:E,A45)
+COUNTIFS(Equipar!B:B,2,Equipar!F:F,A45)
&gt;0,COUNTIF('Set recomendado'!B:B,C45)=0),
"Bloqueada",
"Desechable")),""
)</f>
        <v>Bloqueada</v>
      </c>
      <c r="J45" t="str" cm="1">
        <f t="array" ref="J45">IF(ISNUMBER(A45),IFERROR(_xlfn._xlws.FILTER(Equipar!A:A,(Equipar!B:B=2)*(Equipar!AC:AC=A45)),""),"")</f>
        <v/>
      </c>
    </row>
    <row r="46" spans="1:10" x14ac:dyDescent="0.25">
      <c r="A46" s="1">
        <v>58</v>
      </c>
      <c r="B46" s="5" t="s">
        <v>54</v>
      </c>
      <c r="C46" s="5" t="s">
        <v>57</v>
      </c>
      <c r="D46" s="5" t="s">
        <v>36</v>
      </c>
      <c r="E46" s="5" t="s">
        <v>41</v>
      </c>
      <c r="F46" s="5" t="s">
        <v>36</v>
      </c>
      <c r="G46" s="5" t="s">
        <v>41</v>
      </c>
      <c r="I46" s="2" t="str">
        <f ca="1">IF(ISNUMBER(A46),
IF(COUNTIFS(Equipar!B:B,2,Equipar!AC:AC,A46),"Equipada",
IF(
  OR(COUNTIFS(Equipar!B:B,2,Equipar!C:C,A46)
 +COUNTIFS(Equipar!B:B,2,Equipar!D:D,A46)
+COUNTIFS(Equipar!B:B,2,Equipar!E:E,A46)
+COUNTIFS(Equipar!B:B,2,Equipar!F:F,A46)
&gt;0,COUNTIF('Set recomendado'!B:B,C46)=0),
"Bloqueada",
"Desechable")),""
)</f>
        <v>Bloqueada</v>
      </c>
      <c r="J46" t="str" cm="1">
        <f t="array" ref="J46">IF(ISNUMBER(A46),IFERROR(_xlfn._xlws.FILTER(Equipar!A:A,(Equipar!B:B=2)*(Equipar!AC:AC=A46)),""),"")</f>
        <v/>
      </c>
    </row>
    <row r="47" spans="1:10" x14ac:dyDescent="0.25">
      <c r="A47" s="1">
        <v>59</v>
      </c>
      <c r="B47" s="5" t="s">
        <v>54</v>
      </c>
      <c r="C47" s="5" t="s">
        <v>57</v>
      </c>
      <c r="D47" s="5" t="s">
        <v>41</v>
      </c>
      <c r="E47" s="5" t="s">
        <v>36</v>
      </c>
      <c r="F47" s="5" t="s">
        <v>42</v>
      </c>
      <c r="G47" s="5" t="s">
        <v>36</v>
      </c>
      <c r="I47" s="2" t="str">
        <f ca="1">IF(ISNUMBER(A47),
IF(COUNTIFS(Equipar!B:B,2,Equipar!AC:AC,A47),"Equipada",
IF(
  OR(COUNTIFS(Equipar!B:B,2,Equipar!C:C,A47)
 +COUNTIFS(Equipar!B:B,2,Equipar!D:D,A47)
+COUNTIFS(Equipar!B:B,2,Equipar!E:E,A47)
+COUNTIFS(Equipar!B:B,2,Equipar!F:F,A47)
&gt;0,COUNTIF('Set recomendado'!B:B,C47)=0),
"Bloqueada",
"Desechable")),""
)</f>
        <v>Bloqueada</v>
      </c>
      <c r="J47" t="str" cm="1">
        <f t="array" ref="J47">IF(ISNUMBER(A47),IFERROR(_xlfn._xlws.FILTER(Equipar!A:A,(Equipar!B:B=2)*(Equipar!AC:AC=A47)),""),"")</f>
        <v/>
      </c>
    </row>
    <row r="48" spans="1:10" x14ac:dyDescent="0.25">
      <c r="A48" s="1">
        <v>60</v>
      </c>
      <c r="B48" s="5" t="s">
        <v>54</v>
      </c>
      <c r="C48" s="5" t="s">
        <v>57</v>
      </c>
      <c r="D48" s="5" t="s">
        <v>36</v>
      </c>
      <c r="E48" s="5" t="s">
        <v>36</v>
      </c>
      <c r="F48" s="5" t="s">
        <v>42</v>
      </c>
      <c r="I48" s="2" t="str">
        <f ca="1">IF(ISNUMBER(A48),
IF(COUNTIFS(Equipar!B:B,2,Equipar!AC:AC,A48),"Equipada",
IF(
  OR(COUNTIFS(Equipar!B:B,2,Equipar!C:C,A48)
 +COUNTIFS(Equipar!B:B,2,Equipar!D:D,A48)
+COUNTIFS(Equipar!B:B,2,Equipar!E:E,A48)
+COUNTIFS(Equipar!B:B,2,Equipar!F:F,A48)
&gt;0,COUNTIF('Set recomendado'!B:B,C48)=0),
"Bloqueada",
"Desechable")),""
)</f>
        <v>Bloqueada</v>
      </c>
      <c r="J48" t="str" cm="1">
        <f t="array" ref="J48">IF(ISNUMBER(A48),IFERROR(_xlfn._xlws.FILTER(Equipar!A:A,(Equipar!B:B=2)*(Equipar!AC:AC=A48)),""),"")</f>
        <v/>
      </c>
    </row>
    <row r="49" spans="1:10" x14ac:dyDescent="0.25">
      <c r="A49" s="1">
        <v>61</v>
      </c>
      <c r="B49" s="5" t="s">
        <v>54</v>
      </c>
      <c r="C49" s="5" t="s">
        <v>57</v>
      </c>
      <c r="D49" s="5" t="s">
        <v>34</v>
      </c>
      <c r="E49" s="5" t="s">
        <v>37</v>
      </c>
      <c r="F49" s="5" t="s">
        <v>43</v>
      </c>
      <c r="I49" s="2" t="str">
        <f ca="1">IF(ISNUMBER(A49),
IF(COUNTIFS(Equipar!B:B,2,Equipar!AC:AC,A49),"Equipada",
IF(
  OR(COUNTIFS(Equipar!B:B,2,Equipar!C:C,A49)
 +COUNTIFS(Equipar!B:B,2,Equipar!D:D,A49)
+COUNTIFS(Equipar!B:B,2,Equipar!E:E,A49)
+COUNTIFS(Equipar!B:B,2,Equipar!F:F,A49)
&gt;0,COUNTIF('Set recomendado'!B:B,C49)=0),
"Bloqueada",
"Desechable")),""
)</f>
        <v>Bloqueada</v>
      </c>
      <c r="J49" t="str" cm="1">
        <f t="array" ref="J49">IF(ISNUMBER(A49),IFERROR(_xlfn._xlws.FILTER(Equipar!A:A,(Equipar!B:B=2)*(Equipar!AC:AC=A49)),""),"")</f>
        <v/>
      </c>
    </row>
    <row r="50" spans="1:10" x14ac:dyDescent="0.25">
      <c r="A50" s="1">
        <v>62</v>
      </c>
      <c r="B50" s="5" t="s">
        <v>54</v>
      </c>
      <c r="C50" s="5" t="s">
        <v>21</v>
      </c>
      <c r="D50" s="5" t="s">
        <v>41</v>
      </c>
      <c r="E50" s="5" t="s">
        <v>37</v>
      </c>
      <c r="F50" s="5" t="s">
        <v>43</v>
      </c>
      <c r="I50" s="2" t="str">
        <f ca="1">IF(ISNUMBER(A50),
IF(COUNTIFS(Equipar!B:B,2,Equipar!AC:AC,A50),"Equipada",
IF(
  OR(COUNTIFS(Equipar!B:B,2,Equipar!C:C,A50)
 +COUNTIFS(Equipar!B:B,2,Equipar!D:D,A50)
+COUNTIFS(Equipar!B:B,2,Equipar!E:E,A50)
+COUNTIFS(Equipar!B:B,2,Equipar!F:F,A50)
&gt;0,COUNTIF('Set recomendado'!B:B,C50)=0),
"Bloqueada",
"Desechable")),""
)</f>
        <v>Desechable</v>
      </c>
      <c r="J50" t="str" cm="1">
        <f t="array" ref="J50">IF(ISNUMBER(A50),IFERROR(_xlfn._xlws.FILTER(Equipar!A:A,(Equipar!B:B=2)*(Equipar!AC:AC=A50)),""),"")</f>
        <v/>
      </c>
    </row>
    <row r="51" spans="1:10" x14ac:dyDescent="0.25">
      <c r="A51" s="1">
        <v>63</v>
      </c>
      <c r="B51" s="5" t="s">
        <v>54</v>
      </c>
      <c r="C51" s="5" t="s">
        <v>21</v>
      </c>
      <c r="D51" s="5" t="s">
        <v>42</v>
      </c>
      <c r="E51" s="5" t="s">
        <v>44</v>
      </c>
      <c r="F51" s="5" t="s">
        <v>37</v>
      </c>
      <c r="I51" s="2" t="str">
        <f ca="1">IF(ISNUMBER(A51),
IF(COUNTIFS(Equipar!B:B,2,Equipar!AC:AC,A51),"Equipada",
IF(
  OR(COUNTIFS(Equipar!B:B,2,Equipar!C:C,A51)
 +COUNTIFS(Equipar!B:B,2,Equipar!D:D,A51)
+COUNTIFS(Equipar!B:B,2,Equipar!E:E,A51)
+COUNTIFS(Equipar!B:B,2,Equipar!F:F,A51)
&gt;0,COUNTIF('Set recomendado'!B:B,C51)=0),
"Bloqueada",
"Desechable")),""
)</f>
        <v>Desechable</v>
      </c>
      <c r="J51" t="str" cm="1">
        <f t="array" ref="J51">IF(ISNUMBER(A51),IFERROR(_xlfn._xlws.FILTER(Equipar!A:A,(Equipar!B:B=2)*(Equipar!AC:AC=A51)),""),"")</f>
        <v/>
      </c>
    </row>
    <row r="52" spans="1:10" x14ac:dyDescent="0.25">
      <c r="A52" s="1">
        <v>64</v>
      </c>
      <c r="B52" s="5" t="s">
        <v>54</v>
      </c>
      <c r="C52" s="5" t="s">
        <v>29</v>
      </c>
      <c r="D52" s="5" t="s">
        <v>32</v>
      </c>
      <c r="E52" s="5" t="s">
        <v>36</v>
      </c>
      <c r="F52" s="5" t="s">
        <v>38</v>
      </c>
      <c r="G52" s="5" t="s">
        <v>33</v>
      </c>
      <c r="I52" s="2" t="str">
        <f ca="1">IF(ISNUMBER(A52),
IF(COUNTIFS(Equipar!B:B,2,Equipar!AC:AC,A52),"Equipada",
IF(
  OR(COUNTIFS(Equipar!B:B,2,Equipar!C:C,A52)
 +COUNTIFS(Equipar!B:B,2,Equipar!D:D,A52)
+COUNTIFS(Equipar!B:B,2,Equipar!E:E,A52)
+COUNTIFS(Equipar!B:B,2,Equipar!F:F,A52)
&gt;0,COUNTIF('Set recomendado'!B:B,C52)=0),
"Bloqueada",
"Desechable")),""
)</f>
        <v>Desechable</v>
      </c>
      <c r="J52" t="str" cm="1">
        <f t="array" ref="J52">IF(ISNUMBER(A52),IFERROR(_xlfn._xlws.FILTER(Equipar!A:A,(Equipar!B:B=2)*(Equipar!AC:AC=A52)),""),"")</f>
        <v/>
      </c>
    </row>
    <row r="53" spans="1:10" x14ac:dyDescent="0.25">
      <c r="A53" s="1">
        <v>65</v>
      </c>
      <c r="B53" s="5" t="s">
        <v>54</v>
      </c>
      <c r="C53" s="5" t="s">
        <v>29</v>
      </c>
      <c r="D53" s="5" t="s">
        <v>32</v>
      </c>
      <c r="E53" s="5" t="s">
        <v>42</v>
      </c>
      <c r="F53" s="5" t="s">
        <v>35</v>
      </c>
      <c r="I53" s="2" t="str">
        <f ca="1">IF(ISNUMBER(A53),
IF(COUNTIFS(Equipar!B:B,2,Equipar!AC:AC,A53),"Equipada",
IF(
  OR(COUNTIFS(Equipar!B:B,2,Equipar!C:C,A53)
 +COUNTIFS(Equipar!B:B,2,Equipar!D:D,A53)
+COUNTIFS(Equipar!B:B,2,Equipar!E:E,A53)
+COUNTIFS(Equipar!B:B,2,Equipar!F:F,A53)
&gt;0,COUNTIF('Set recomendado'!B:B,C53)=0),
"Bloqueada",
"Desechable")),""
)</f>
        <v>Desechable</v>
      </c>
      <c r="J53" t="str" cm="1">
        <f t="array" ref="J53">IF(ISNUMBER(A53),IFERROR(_xlfn._xlws.FILTER(Equipar!A:A,(Equipar!B:B=2)*(Equipar!AC:AC=A53)),""),"")</f>
        <v/>
      </c>
    </row>
    <row r="54" spans="1:10" x14ac:dyDescent="0.25">
      <c r="A54" s="1">
        <v>66</v>
      </c>
      <c r="B54" s="5" t="s">
        <v>54</v>
      </c>
      <c r="C54" s="5" t="s">
        <v>29</v>
      </c>
      <c r="D54" s="5" t="s">
        <v>32</v>
      </c>
      <c r="E54" s="5" t="s">
        <v>33</v>
      </c>
      <c r="F54" s="5" t="s">
        <v>32</v>
      </c>
      <c r="I54" s="2" t="str">
        <f ca="1">IF(ISNUMBER(A54),
IF(COUNTIFS(Equipar!B:B,2,Equipar!AC:AC,A54),"Equipada",
IF(
  OR(COUNTIFS(Equipar!B:B,2,Equipar!C:C,A54)
 +COUNTIFS(Equipar!B:B,2,Equipar!D:D,A54)
+COUNTIFS(Equipar!B:B,2,Equipar!E:E,A54)
+COUNTIFS(Equipar!B:B,2,Equipar!F:F,A54)
&gt;0,COUNTIF('Set recomendado'!B:B,C54)=0),
"Bloqueada",
"Desechable")),""
)</f>
        <v>Bloqueada</v>
      </c>
      <c r="J54" t="str" cm="1">
        <f t="array" ref="J54">IF(ISNUMBER(A54),IFERROR(_xlfn._xlws.FILTER(Equipar!A:A,(Equipar!B:B=2)*(Equipar!AC:AC=A54)),""),"")</f>
        <v/>
      </c>
    </row>
    <row r="55" spans="1:10" x14ac:dyDescent="0.25">
      <c r="A55" s="1">
        <v>67</v>
      </c>
      <c r="B55" s="5" t="s">
        <v>54</v>
      </c>
      <c r="C55" s="5" t="s">
        <v>29</v>
      </c>
      <c r="D55" s="5" t="s">
        <v>41</v>
      </c>
      <c r="E55" s="5" t="s">
        <v>41</v>
      </c>
      <c r="F55" s="5" t="s">
        <v>43</v>
      </c>
      <c r="G55" s="4"/>
      <c r="I55" s="2" t="str">
        <f ca="1">IF(ISNUMBER(A55),
IF(COUNTIFS(Equipar!B:B,2,Equipar!AC:AC,A55),"Equipada",
IF(
  OR(COUNTIFS(Equipar!B:B,2,Equipar!C:C,A55)
 +COUNTIFS(Equipar!B:B,2,Equipar!D:D,A55)
+COUNTIFS(Equipar!B:B,2,Equipar!E:E,A55)
+COUNTIFS(Equipar!B:B,2,Equipar!F:F,A55)
&gt;0,COUNTIF('Set recomendado'!B:B,C55)=0),
"Bloqueada",
"Desechable")),""
)</f>
        <v>Desechable</v>
      </c>
      <c r="J55" t="str" cm="1">
        <f t="array" ref="J55">IF(ISNUMBER(A55),IFERROR(_xlfn._xlws.FILTER(Equipar!A:A,(Equipar!B:B=2)*(Equipar!AC:AC=A55)),""),"")</f>
        <v/>
      </c>
    </row>
    <row r="56" spans="1:10" x14ac:dyDescent="0.25">
      <c r="A56" s="1">
        <v>68</v>
      </c>
      <c r="B56" s="5" t="s">
        <v>53</v>
      </c>
      <c r="C56" s="5" t="s">
        <v>23</v>
      </c>
      <c r="D56" s="5" t="s">
        <v>33</v>
      </c>
      <c r="E56" s="5" t="s">
        <v>43</v>
      </c>
      <c r="F56" s="5" t="s">
        <v>37</v>
      </c>
      <c r="G56" s="5" t="s">
        <v>34</v>
      </c>
      <c r="I56" s="2" t="str">
        <f ca="1">IF(ISNUMBER(A56),
IF(COUNTIFS(Equipar!B:B,2,Equipar!AC:AC,A56),"Equipada",
IF(
  OR(COUNTIFS(Equipar!B:B,2,Equipar!C:C,A56)
 +COUNTIFS(Equipar!B:B,2,Equipar!D:D,A56)
+COUNTIFS(Equipar!B:B,2,Equipar!E:E,A56)
+COUNTIFS(Equipar!B:B,2,Equipar!F:F,A56)
&gt;0,COUNTIF('Set recomendado'!B:B,C56)=0),
"Bloqueada",
"Desechable")),""
)</f>
        <v>Bloqueada</v>
      </c>
      <c r="J56" t="str" cm="1">
        <f t="array" ref="J56">IF(ISNUMBER(A56),IFERROR(_xlfn._xlws.FILTER(Equipar!A:A,(Equipar!B:B=2)*(Equipar!AC:AC=A56)),""),"")</f>
        <v/>
      </c>
    </row>
    <row r="57" spans="1:10" x14ac:dyDescent="0.25">
      <c r="A57" s="1">
        <v>69</v>
      </c>
      <c r="B57" s="5" t="s">
        <v>53</v>
      </c>
      <c r="C57" s="5" t="s">
        <v>55</v>
      </c>
      <c r="D57" s="5" t="s">
        <v>42</v>
      </c>
      <c r="E57" s="5" t="s">
        <v>36</v>
      </c>
      <c r="F57" s="5" t="s">
        <v>32</v>
      </c>
      <c r="G57" s="5" t="s">
        <v>38</v>
      </c>
      <c r="I57" s="2" t="str">
        <f ca="1">IF(ISNUMBER(A57),
IF(COUNTIFS(Equipar!B:B,2,Equipar!AC:AC,A57),"Equipada",
IF(
  OR(COUNTIFS(Equipar!B:B,2,Equipar!C:C,A57)
 +COUNTIFS(Equipar!B:B,2,Equipar!D:D,A57)
+COUNTIFS(Equipar!B:B,2,Equipar!E:E,A57)
+COUNTIFS(Equipar!B:B,2,Equipar!F:F,A57)
&gt;0,COUNTIF('Set recomendado'!B:B,C57)=0),
"Bloqueada",
"Desechable")),""
)</f>
        <v>Desechable</v>
      </c>
      <c r="J57" t="str" cm="1">
        <f t="array" ref="J57">IF(ISNUMBER(A57),IFERROR(_xlfn._xlws.FILTER(Equipar!A:A,(Equipar!B:B=2)*(Equipar!AC:AC=A57)),""),"")</f>
        <v/>
      </c>
    </row>
    <row r="58" spans="1:10" x14ac:dyDescent="0.25">
      <c r="A58" s="1">
        <v>70</v>
      </c>
      <c r="B58" s="5" t="s">
        <v>54</v>
      </c>
      <c r="C58" s="5" t="s">
        <v>57</v>
      </c>
      <c r="D58" s="5" t="s">
        <v>33</v>
      </c>
      <c r="E58" s="5" t="s">
        <v>37</v>
      </c>
      <c r="F58" s="5" t="s">
        <v>36</v>
      </c>
      <c r="I58" s="2" t="str">
        <f ca="1">IF(ISNUMBER(A58),
IF(COUNTIFS(Equipar!B:B,2,Equipar!AC:AC,A58),"Equipada",
IF(
  OR(COUNTIFS(Equipar!B:B,2,Equipar!C:C,A58)
 +COUNTIFS(Equipar!B:B,2,Equipar!D:D,A58)
+COUNTIFS(Equipar!B:B,2,Equipar!E:E,A58)
+COUNTIFS(Equipar!B:B,2,Equipar!F:F,A58)
&gt;0,COUNTIF('Set recomendado'!B:B,C58)=0),
"Bloqueada",
"Desechable")),""
)</f>
        <v>Bloqueada</v>
      </c>
      <c r="J58" t="str" cm="1">
        <f t="array" ref="J58">IF(ISNUMBER(A58),IFERROR(_xlfn._xlws.FILTER(Equipar!A:A,(Equipar!B:B=2)*(Equipar!AC:AC=A58)),""),"")</f>
        <v/>
      </c>
    </row>
    <row r="59" spans="1:10" x14ac:dyDescent="0.25">
      <c r="A59" s="1">
        <v>71</v>
      </c>
      <c r="B59" s="5" t="s">
        <v>54</v>
      </c>
      <c r="C59" s="5" t="s">
        <v>57</v>
      </c>
      <c r="D59" s="5" t="s">
        <v>36</v>
      </c>
      <c r="E59" s="5" t="s">
        <v>34</v>
      </c>
      <c r="F59" s="5" t="s">
        <v>43</v>
      </c>
      <c r="I59" s="2" t="str">
        <f ca="1">IF(ISNUMBER(A59),
IF(COUNTIFS(Equipar!B:B,2,Equipar!AC:AC,A59),"Equipada",
IF(
  OR(COUNTIFS(Equipar!B:B,2,Equipar!C:C,A59)
 +COUNTIFS(Equipar!B:B,2,Equipar!D:D,A59)
+COUNTIFS(Equipar!B:B,2,Equipar!E:E,A59)
+COUNTIFS(Equipar!B:B,2,Equipar!F:F,A59)
&gt;0,COUNTIF('Set recomendado'!B:B,C59)=0),
"Bloqueada",
"Desechable")),""
)</f>
        <v>Bloqueada</v>
      </c>
      <c r="J59" t="str" cm="1">
        <f t="array" ref="J59">IF(ISNUMBER(A59),IFERROR(_xlfn._xlws.FILTER(Equipar!A:A,(Equipar!B:B=2)*(Equipar!AC:AC=A59)),""),"")</f>
        <v/>
      </c>
    </row>
    <row r="60" spans="1:10" x14ac:dyDescent="0.25">
      <c r="A60" s="1">
        <v>72</v>
      </c>
      <c r="B60" s="5" t="s">
        <v>54</v>
      </c>
      <c r="C60" s="5" t="s">
        <v>55</v>
      </c>
      <c r="D60" s="5" t="s">
        <v>41</v>
      </c>
      <c r="E60" s="5" t="s">
        <v>33</v>
      </c>
      <c r="F60" s="5" t="s">
        <v>36</v>
      </c>
      <c r="G60" s="5" t="s">
        <v>32</v>
      </c>
      <c r="I60" s="2" t="str">
        <f ca="1">IF(ISNUMBER(A60),
IF(COUNTIFS(Equipar!B:B,2,Equipar!AC:AC,A60),"Equipada",
IF(
  OR(COUNTIFS(Equipar!B:B,2,Equipar!C:C,A60)
 +COUNTIFS(Equipar!B:B,2,Equipar!D:D,A60)
+COUNTIFS(Equipar!B:B,2,Equipar!E:E,A60)
+COUNTIFS(Equipar!B:B,2,Equipar!F:F,A60)
&gt;0,COUNTIF('Set recomendado'!B:B,C60)=0),
"Bloqueada",
"Desechable")),""
)</f>
        <v>Desechable</v>
      </c>
      <c r="J60" t="str" cm="1">
        <f t="array" ref="J60">IF(ISNUMBER(A60),IFERROR(_xlfn._xlws.FILTER(Equipar!A:A,(Equipar!B:B=2)*(Equipar!AC:AC=A60)),""),"")</f>
        <v/>
      </c>
    </row>
    <row r="61" spans="1:10" x14ac:dyDescent="0.25">
      <c r="A61" s="1">
        <v>73</v>
      </c>
      <c r="B61" s="5" t="s">
        <v>54</v>
      </c>
      <c r="C61" s="5" t="s">
        <v>55</v>
      </c>
      <c r="D61" s="5" t="s">
        <v>33</v>
      </c>
      <c r="E61" s="5" t="s">
        <v>36</v>
      </c>
      <c r="F61" s="5" t="s">
        <v>44</v>
      </c>
      <c r="I61" s="2" t="str">
        <f ca="1">IF(ISNUMBER(A61),
IF(COUNTIFS(Equipar!B:B,2,Equipar!AC:AC,A61),"Equipada",
IF(
  OR(COUNTIFS(Equipar!B:B,2,Equipar!C:C,A61)
 +COUNTIFS(Equipar!B:B,2,Equipar!D:D,A61)
+COUNTIFS(Equipar!B:B,2,Equipar!E:E,A61)
+COUNTIFS(Equipar!B:B,2,Equipar!F:F,A61)
&gt;0,COUNTIF('Set recomendado'!B:B,C61)=0),
"Bloqueada",
"Desechable")),""
)</f>
        <v>Desechable</v>
      </c>
      <c r="J61" t="str" cm="1">
        <f t="array" ref="J61">IF(ISNUMBER(A61),IFERROR(_xlfn._xlws.FILTER(Equipar!A:A,(Equipar!B:B=2)*(Equipar!AC:AC=A61)),""),"")</f>
        <v/>
      </c>
    </row>
    <row r="62" spans="1:10" x14ac:dyDescent="0.25">
      <c r="A62" s="1">
        <v>74</v>
      </c>
      <c r="B62" s="5" t="s">
        <v>54</v>
      </c>
      <c r="C62" s="5" t="s">
        <v>21</v>
      </c>
      <c r="D62" s="5" t="s">
        <v>36</v>
      </c>
      <c r="E62" s="5" t="s">
        <v>41</v>
      </c>
      <c r="F62" s="5" t="s">
        <v>38</v>
      </c>
      <c r="I62" s="2" t="str">
        <f ca="1">IF(ISNUMBER(A62),
IF(COUNTIFS(Equipar!B:B,2,Equipar!AC:AC,A62),"Equipada",
IF(
  OR(COUNTIFS(Equipar!B:B,2,Equipar!C:C,A62)
 +COUNTIFS(Equipar!B:B,2,Equipar!D:D,A62)
+COUNTIFS(Equipar!B:B,2,Equipar!E:E,A62)
+COUNTIFS(Equipar!B:B,2,Equipar!F:F,A62)
&gt;0,COUNTIF('Set recomendado'!B:B,C62)=0),
"Bloqueada",
"Desechable")),""
)</f>
        <v>Desechable</v>
      </c>
      <c r="J62" t="str" cm="1">
        <f t="array" ref="J62">IF(ISNUMBER(A62),IFERROR(_xlfn._xlws.FILTER(Equipar!A:A,(Equipar!B:B=2)*(Equipar!AC:AC=A62)),""),"")</f>
        <v/>
      </c>
    </row>
    <row r="63" spans="1:10" x14ac:dyDescent="0.25">
      <c r="A63" s="1">
        <v>75</v>
      </c>
      <c r="B63" s="5" t="s">
        <v>54</v>
      </c>
      <c r="C63" s="5" t="s">
        <v>21</v>
      </c>
      <c r="D63" s="5" t="s">
        <v>42</v>
      </c>
      <c r="E63" s="5" t="s">
        <v>34</v>
      </c>
      <c r="F63" s="5" t="s">
        <v>36</v>
      </c>
      <c r="G63" s="5" t="s">
        <v>41</v>
      </c>
      <c r="I63" s="2" t="str">
        <f ca="1">IF(ISNUMBER(A63),
IF(COUNTIFS(Equipar!B:B,2,Equipar!AC:AC,A63),"Equipada",
IF(
  OR(COUNTIFS(Equipar!B:B,2,Equipar!C:C,A63)
 +COUNTIFS(Equipar!B:B,2,Equipar!D:D,A63)
+COUNTIFS(Equipar!B:B,2,Equipar!E:E,A63)
+COUNTIFS(Equipar!B:B,2,Equipar!F:F,A63)
&gt;0,COUNTIF('Set recomendado'!B:B,C63)=0),
"Bloqueada",
"Desechable")),""
)</f>
        <v>Desechable</v>
      </c>
      <c r="J63" t="str" cm="1">
        <f t="array" ref="J63">IF(ISNUMBER(A63),IFERROR(_xlfn._xlws.FILTER(Equipar!A:A,(Equipar!B:B=2)*(Equipar!AC:AC=A63)),""),"")</f>
        <v/>
      </c>
    </row>
    <row r="64" spans="1:10" x14ac:dyDescent="0.25">
      <c r="A64" s="1">
        <v>76</v>
      </c>
      <c r="B64" s="5" t="s">
        <v>54</v>
      </c>
      <c r="C64" s="5" t="s">
        <v>21</v>
      </c>
      <c r="D64" s="5" t="s">
        <v>34</v>
      </c>
      <c r="E64" s="5" t="s">
        <v>32</v>
      </c>
      <c r="F64" s="5" t="s">
        <v>44</v>
      </c>
      <c r="G64" s="5" t="s">
        <v>33</v>
      </c>
      <c r="H64" s="4"/>
      <c r="I64" s="2" t="str">
        <f ca="1">IF(ISNUMBER(A64),
IF(COUNTIFS(Equipar!B:B,2,Equipar!AC:AC,A64),"Equipada",
IF(
  OR(COUNTIFS(Equipar!B:B,2,Equipar!C:C,A64)
 +COUNTIFS(Equipar!B:B,2,Equipar!D:D,A64)
+COUNTIFS(Equipar!B:B,2,Equipar!E:E,A64)
+COUNTIFS(Equipar!B:B,2,Equipar!F:F,A64)
&gt;0,COUNTIF('Set recomendado'!B:B,C64)=0),
"Bloqueada",
"Desechable")),""
)</f>
        <v>Desechable</v>
      </c>
      <c r="J64" t="str" cm="1">
        <f t="array" ref="J64">IF(ISNUMBER(A64),IFERROR(_xlfn._xlws.FILTER(Equipar!A:A,(Equipar!B:B=2)*(Equipar!AC:AC=A64)),""),"")</f>
        <v/>
      </c>
    </row>
    <row r="65" spans="1:10" x14ac:dyDescent="0.25">
      <c r="A65" s="1">
        <v>77</v>
      </c>
      <c r="B65" s="5" t="s">
        <v>54</v>
      </c>
      <c r="C65" s="5" t="s">
        <v>21</v>
      </c>
      <c r="D65" s="5" t="s">
        <v>42</v>
      </c>
      <c r="E65" s="5" t="s">
        <v>32</v>
      </c>
      <c r="F65" s="5" t="s">
        <v>41</v>
      </c>
      <c r="G65" s="5" t="s">
        <v>37</v>
      </c>
      <c r="I65" s="2" t="str">
        <f ca="1">IF(ISNUMBER(A65),
IF(COUNTIFS(Equipar!B:B,2,Equipar!AC:AC,A65),"Equipada",
IF(
  OR(COUNTIFS(Equipar!B:B,2,Equipar!C:C,A65)
 +COUNTIFS(Equipar!B:B,2,Equipar!D:D,A65)
+COUNTIFS(Equipar!B:B,2,Equipar!E:E,A65)
+COUNTIFS(Equipar!B:B,2,Equipar!F:F,A65)
&gt;0,COUNTIF('Set recomendado'!B:B,C65)=0),
"Bloqueada",
"Desechable")),""
)</f>
        <v>Desechable</v>
      </c>
      <c r="J65" t="str" cm="1">
        <f t="array" ref="J65">IF(ISNUMBER(A65),IFERROR(_xlfn._xlws.FILTER(Equipar!A:A,(Equipar!B:B=2)*(Equipar!AC:AC=A65)),""),"")</f>
        <v/>
      </c>
    </row>
    <row r="66" spans="1:10" x14ac:dyDescent="0.25">
      <c r="A66" s="1">
        <v>78</v>
      </c>
      <c r="B66" s="5" t="s">
        <v>54</v>
      </c>
      <c r="C66" s="5" t="s">
        <v>21</v>
      </c>
      <c r="D66" s="5" t="s">
        <v>42</v>
      </c>
      <c r="E66" s="5" t="s">
        <v>43</v>
      </c>
      <c r="F66" s="5" t="s">
        <v>37</v>
      </c>
      <c r="I66" s="2" t="str">
        <f ca="1">IF(ISNUMBER(A66),
IF(COUNTIFS(Equipar!B:B,2,Equipar!AC:AC,A66),"Equipada",
IF(
  OR(COUNTIFS(Equipar!B:B,2,Equipar!C:C,A66)
 +COUNTIFS(Equipar!B:B,2,Equipar!D:D,A66)
+COUNTIFS(Equipar!B:B,2,Equipar!E:E,A66)
+COUNTIFS(Equipar!B:B,2,Equipar!F:F,A66)
&gt;0,COUNTIF('Set recomendado'!B:B,C66)=0),
"Bloqueada",
"Desechable")),""
)</f>
        <v>Desechable</v>
      </c>
      <c r="J66" t="str" cm="1">
        <f t="array" ref="J66">IF(ISNUMBER(A66),IFERROR(_xlfn._xlws.FILTER(Equipar!A:A,(Equipar!B:B=2)*(Equipar!AC:AC=A66)),""),"")</f>
        <v/>
      </c>
    </row>
    <row r="67" spans="1:10" x14ac:dyDescent="0.25">
      <c r="A67" s="1">
        <v>79</v>
      </c>
      <c r="B67" s="5" t="s">
        <v>54</v>
      </c>
      <c r="C67" s="5" t="s">
        <v>29</v>
      </c>
      <c r="D67" s="5" t="s">
        <v>36</v>
      </c>
      <c r="E67" s="5" t="s">
        <v>38</v>
      </c>
      <c r="F67" s="5" t="s">
        <v>32</v>
      </c>
      <c r="I67" s="2" t="str">
        <f ca="1">IF(ISNUMBER(A67),
IF(COUNTIFS(Equipar!B:B,2,Equipar!AC:AC,A67),"Equipada",
IF(
  OR(COUNTIFS(Equipar!B:B,2,Equipar!C:C,A67)
 +COUNTIFS(Equipar!B:B,2,Equipar!D:D,A67)
+COUNTIFS(Equipar!B:B,2,Equipar!E:E,A67)
+COUNTIFS(Equipar!B:B,2,Equipar!F:F,A67)
&gt;0,COUNTIF('Set recomendado'!B:B,C67)=0),
"Bloqueada",
"Desechable")),""
)</f>
        <v>Desechable</v>
      </c>
      <c r="J67" t="str" cm="1">
        <f t="array" ref="J67">IF(ISNUMBER(A67),IFERROR(_xlfn._xlws.FILTER(Equipar!A:A,(Equipar!B:B=2)*(Equipar!AC:AC=A67)),""),"")</f>
        <v/>
      </c>
    </row>
    <row r="68" spans="1:10" x14ac:dyDescent="0.25">
      <c r="A68" s="1">
        <v>80</v>
      </c>
      <c r="B68" s="5" t="s">
        <v>54</v>
      </c>
      <c r="C68" s="5" t="s">
        <v>29</v>
      </c>
      <c r="D68" s="5" t="s">
        <v>41</v>
      </c>
      <c r="E68" s="5" t="s">
        <v>38</v>
      </c>
      <c r="F68" s="5" t="s">
        <v>36</v>
      </c>
      <c r="I68" s="2" t="str">
        <f ca="1">IF(ISNUMBER(A68),
IF(COUNTIFS(Equipar!B:B,2,Equipar!AC:AC,A68),"Equipada",
IF(
  OR(COUNTIFS(Equipar!B:B,2,Equipar!C:C,A68)
 +COUNTIFS(Equipar!B:B,2,Equipar!D:D,A68)
+COUNTIFS(Equipar!B:B,2,Equipar!E:E,A68)
+COUNTIFS(Equipar!B:B,2,Equipar!F:F,A68)
&gt;0,COUNTIF('Set recomendado'!B:B,C68)=0),
"Bloqueada",
"Desechable")),""
)</f>
        <v>Desechable</v>
      </c>
      <c r="J68" t="str" cm="1">
        <f t="array" ref="J68">IF(ISNUMBER(A68),IFERROR(_xlfn._xlws.FILTER(Equipar!A:A,(Equipar!B:B=2)*(Equipar!AC:AC=A68)),""),"")</f>
        <v/>
      </c>
    </row>
    <row r="69" spans="1:10" x14ac:dyDescent="0.25">
      <c r="A69" s="1">
        <v>81</v>
      </c>
      <c r="B69" s="5" t="s">
        <v>53</v>
      </c>
      <c r="C69" s="5" t="s">
        <v>23</v>
      </c>
      <c r="D69" s="5" t="s">
        <v>32</v>
      </c>
      <c r="E69" s="5" t="s">
        <v>32</v>
      </c>
      <c r="F69" s="5" t="s">
        <v>35</v>
      </c>
      <c r="G69" s="5" t="s">
        <v>43</v>
      </c>
      <c r="I69" s="2" t="str">
        <f ca="1">IF(ISNUMBER(A69),
IF(COUNTIFS(Equipar!B:B,2,Equipar!AC:AC,A69),"Equipada",
IF(
  OR(COUNTIFS(Equipar!B:B,2,Equipar!C:C,A69)
 +COUNTIFS(Equipar!B:B,2,Equipar!D:D,A69)
+COUNTIFS(Equipar!B:B,2,Equipar!E:E,A69)
+COUNTIFS(Equipar!B:B,2,Equipar!F:F,A69)
&gt;0,COUNTIF('Set recomendado'!B:B,C69)=0),
"Bloqueada",
"Desechable")),""
)</f>
        <v>Desechable</v>
      </c>
      <c r="J69" t="str" cm="1">
        <f t="array" ref="J69">IF(ISNUMBER(A69),IFERROR(_xlfn._xlws.FILTER(Equipar!A:A,(Equipar!B:B=2)*(Equipar!AC:AC=A69)),""),"")</f>
        <v/>
      </c>
    </row>
    <row r="70" spans="1:10" x14ac:dyDescent="0.25">
      <c r="A70" s="1">
        <v>82</v>
      </c>
      <c r="B70" s="5" t="s">
        <v>53</v>
      </c>
      <c r="C70" s="5" t="s">
        <v>17</v>
      </c>
      <c r="D70" s="5" t="s">
        <v>42</v>
      </c>
      <c r="E70" s="5" t="s">
        <v>36</v>
      </c>
      <c r="F70" s="5" t="s">
        <v>38</v>
      </c>
      <c r="G70" s="5" t="s">
        <v>42</v>
      </c>
      <c r="I70" s="2" t="str">
        <f ca="1">IF(ISNUMBER(A70),
IF(COUNTIFS(Equipar!B:B,2,Equipar!AC:AC,A70),"Equipada",
IF(
  OR(COUNTIFS(Equipar!B:B,2,Equipar!C:C,A70)
 +COUNTIFS(Equipar!B:B,2,Equipar!D:D,A70)
+COUNTIFS(Equipar!B:B,2,Equipar!E:E,A70)
+COUNTIFS(Equipar!B:B,2,Equipar!F:F,A70)
&gt;0,COUNTIF('Set recomendado'!B:B,C70)=0),
"Bloqueada",
"Desechable")),""
)</f>
        <v>Desechable</v>
      </c>
      <c r="J70" t="str" cm="1">
        <f t="array" ref="J70">IF(ISNUMBER(A70),IFERROR(_xlfn._xlws.FILTER(Equipar!A:A,(Equipar!B:B=2)*(Equipar!AC:AC=A70)),""),"")</f>
        <v/>
      </c>
    </row>
    <row r="71" spans="1:10" x14ac:dyDescent="0.25">
      <c r="A71" s="1">
        <v>83</v>
      </c>
      <c r="B71" s="5" t="s">
        <v>53</v>
      </c>
      <c r="C71" s="5" t="s">
        <v>56</v>
      </c>
      <c r="D71" s="5" t="s">
        <v>34</v>
      </c>
      <c r="E71" s="5" t="s">
        <v>37</v>
      </c>
      <c r="F71" s="5" t="s">
        <v>36</v>
      </c>
      <c r="G71" s="5" t="s">
        <v>38</v>
      </c>
      <c r="I71" s="2" t="str">
        <f ca="1">IF(ISNUMBER(A71),
IF(COUNTIFS(Equipar!B:B,2,Equipar!AC:AC,A71),"Equipada",
IF(
  OR(COUNTIFS(Equipar!B:B,2,Equipar!C:C,A71)
 +COUNTIFS(Equipar!B:B,2,Equipar!D:D,A71)
+COUNTIFS(Equipar!B:B,2,Equipar!E:E,A71)
+COUNTIFS(Equipar!B:B,2,Equipar!F:F,A71)
&gt;0,COUNTIF('Set recomendado'!B:B,C71)=0),
"Bloqueada",
"Desechable")),""
)</f>
        <v>Bloqueada</v>
      </c>
      <c r="J71" t="str" cm="1">
        <f t="array" ref="J71">IF(ISNUMBER(A71),IFERROR(_xlfn._xlws.FILTER(Equipar!A:A,(Equipar!B:B=2)*(Equipar!AC:AC=A71)),""),"")</f>
        <v/>
      </c>
    </row>
    <row r="72" spans="1:10" x14ac:dyDescent="0.25">
      <c r="A72" s="1">
        <v>84</v>
      </c>
      <c r="B72" s="5" t="s">
        <v>53</v>
      </c>
      <c r="C72" s="5" t="s">
        <v>57</v>
      </c>
      <c r="D72" s="5" t="s">
        <v>41</v>
      </c>
      <c r="E72" s="5" t="s">
        <v>36</v>
      </c>
      <c r="F72" s="5" t="s">
        <v>32</v>
      </c>
      <c r="G72" s="5" t="s">
        <v>33</v>
      </c>
      <c r="I72" s="2" t="str">
        <f ca="1">IF(ISNUMBER(A72),
IF(COUNTIFS(Equipar!B:B,2,Equipar!AC:AC,A72),"Equipada",
IF(
  OR(COUNTIFS(Equipar!B:B,2,Equipar!C:C,A72)
 +COUNTIFS(Equipar!B:B,2,Equipar!D:D,A72)
+COUNTIFS(Equipar!B:B,2,Equipar!E:E,A72)
+COUNTIFS(Equipar!B:B,2,Equipar!F:F,A72)
&gt;0,COUNTIF('Set recomendado'!B:B,C72)=0),
"Bloqueada",
"Desechable")),""
)</f>
        <v>Bloqueada</v>
      </c>
      <c r="J72" t="str" cm="1">
        <f t="array" ref="J72">IF(ISNUMBER(A72),IFERROR(_xlfn._xlws.FILTER(Equipar!A:A,(Equipar!B:B=2)*(Equipar!AC:AC=A72)),""),"")</f>
        <v/>
      </c>
    </row>
    <row r="73" spans="1:10" x14ac:dyDescent="0.25">
      <c r="A73" s="1">
        <v>85</v>
      </c>
      <c r="B73" s="5" t="s">
        <v>53</v>
      </c>
      <c r="C73" s="5" t="s">
        <v>55</v>
      </c>
      <c r="D73" s="5" t="s">
        <v>42</v>
      </c>
      <c r="E73" s="5" t="s">
        <v>36</v>
      </c>
      <c r="F73" s="5" t="s">
        <v>37</v>
      </c>
      <c r="G73" s="5" t="s">
        <v>36</v>
      </c>
      <c r="I73" s="2" t="str">
        <f ca="1">IF(ISNUMBER(A73),
IF(COUNTIFS(Equipar!B:B,2,Equipar!AC:AC,A73),"Equipada",
IF(
  OR(COUNTIFS(Equipar!B:B,2,Equipar!C:C,A73)
 +COUNTIFS(Equipar!B:B,2,Equipar!D:D,A73)
+COUNTIFS(Equipar!B:B,2,Equipar!E:E,A73)
+COUNTIFS(Equipar!B:B,2,Equipar!F:F,A73)
&gt;0,COUNTIF('Set recomendado'!B:B,C73)=0),
"Bloqueada",
"Desechable")),""
)</f>
        <v>Desechable</v>
      </c>
      <c r="J73" t="str" cm="1">
        <f t="array" ref="J73">IF(ISNUMBER(A73),IFERROR(_xlfn._xlws.FILTER(Equipar!A:A,(Equipar!B:B=2)*(Equipar!AC:AC=A73)),""),"")</f>
        <v/>
      </c>
    </row>
    <row r="74" spans="1:10" x14ac:dyDescent="0.25">
      <c r="A74" s="1">
        <v>86</v>
      </c>
      <c r="B74" s="5" t="s">
        <v>54</v>
      </c>
      <c r="C74" s="5" t="s">
        <v>57</v>
      </c>
      <c r="D74" s="5" t="s">
        <v>33</v>
      </c>
      <c r="E74" s="5" t="s">
        <v>36</v>
      </c>
      <c r="F74" s="5" t="s">
        <v>38</v>
      </c>
      <c r="G74" s="5" t="s">
        <v>42</v>
      </c>
      <c r="I74" s="2" t="str">
        <f ca="1">IF(ISNUMBER(A74),
IF(COUNTIFS(Equipar!B:B,2,Equipar!AC:AC,A74),"Equipada",
IF(
  OR(COUNTIFS(Equipar!B:B,2,Equipar!C:C,A74)
 +COUNTIFS(Equipar!B:B,2,Equipar!D:D,A74)
+COUNTIFS(Equipar!B:B,2,Equipar!E:E,A74)
+COUNTIFS(Equipar!B:B,2,Equipar!F:F,A74)
&gt;0,COUNTIF('Set recomendado'!B:B,C74)=0),
"Bloqueada",
"Desechable")),""
)</f>
        <v>Bloqueada</v>
      </c>
      <c r="J74" t="str" cm="1">
        <f t="array" ref="J74">IF(ISNUMBER(A74),IFERROR(_xlfn._xlws.FILTER(Equipar!A:A,(Equipar!B:B=2)*(Equipar!AC:AC=A74)),""),"")</f>
        <v/>
      </c>
    </row>
    <row r="75" spans="1:10" x14ac:dyDescent="0.25">
      <c r="A75" s="1">
        <v>87</v>
      </c>
      <c r="B75" s="5" t="s">
        <v>54</v>
      </c>
      <c r="C75" s="5" t="s">
        <v>57</v>
      </c>
      <c r="D75" s="5" t="s">
        <v>36</v>
      </c>
      <c r="E75" s="5" t="s">
        <v>37</v>
      </c>
      <c r="F75" s="5" t="s">
        <v>44</v>
      </c>
      <c r="I75" s="2" t="str">
        <f ca="1">IF(ISNUMBER(A75),
IF(COUNTIFS(Equipar!B:B,2,Equipar!AC:AC,A75),"Equipada",
IF(
  OR(COUNTIFS(Equipar!B:B,2,Equipar!C:C,A75)
 +COUNTIFS(Equipar!B:B,2,Equipar!D:D,A75)
+COUNTIFS(Equipar!B:B,2,Equipar!E:E,A75)
+COUNTIFS(Equipar!B:B,2,Equipar!F:F,A75)
&gt;0,COUNTIF('Set recomendado'!B:B,C75)=0),
"Bloqueada",
"Desechable")),""
)</f>
        <v>Bloqueada</v>
      </c>
      <c r="J75" t="str" cm="1">
        <f t="array" ref="J75">IF(ISNUMBER(A75),IFERROR(_xlfn._xlws.FILTER(Equipar!A:A,(Equipar!B:B=2)*(Equipar!AC:AC=A75)),""),"")</f>
        <v/>
      </c>
    </row>
    <row r="76" spans="1:10" x14ac:dyDescent="0.25">
      <c r="A76" s="1">
        <v>88</v>
      </c>
      <c r="B76" s="5" t="s">
        <v>54</v>
      </c>
      <c r="C76" s="5" t="s">
        <v>57</v>
      </c>
      <c r="D76" s="5" t="s">
        <v>41</v>
      </c>
      <c r="E76" s="5" t="s">
        <v>41</v>
      </c>
      <c r="F76" s="5" t="s">
        <v>36</v>
      </c>
      <c r="I76" s="2" t="str">
        <f ca="1">IF(ISNUMBER(A76),
IF(COUNTIFS(Equipar!B:B,2,Equipar!AC:AC,A76),"Equipada",
IF(
  OR(COUNTIFS(Equipar!B:B,2,Equipar!C:C,A76)
 +COUNTIFS(Equipar!B:B,2,Equipar!D:D,A76)
+COUNTIFS(Equipar!B:B,2,Equipar!E:E,A76)
+COUNTIFS(Equipar!B:B,2,Equipar!F:F,A76)
&gt;0,COUNTIF('Set recomendado'!B:B,C76)=0),
"Bloqueada",
"Desechable")),""
)</f>
        <v>Bloqueada</v>
      </c>
      <c r="J76" t="str" cm="1">
        <f t="array" ref="J76">IF(ISNUMBER(A76),IFERROR(_xlfn._xlws.FILTER(Equipar!A:A,(Equipar!B:B=2)*(Equipar!AC:AC=A76)),""),"")</f>
        <v/>
      </c>
    </row>
    <row r="77" spans="1:10" x14ac:dyDescent="0.25">
      <c r="A77" s="1">
        <v>89</v>
      </c>
      <c r="B77" s="5" t="s">
        <v>54</v>
      </c>
      <c r="C77" s="5" t="s">
        <v>21</v>
      </c>
      <c r="D77" s="5" t="s">
        <v>36</v>
      </c>
      <c r="E77" s="5" t="s">
        <v>32</v>
      </c>
      <c r="F77" s="5" t="s">
        <v>41</v>
      </c>
      <c r="I77" s="2" t="str">
        <f ca="1">IF(ISNUMBER(A77),
IF(COUNTIFS(Equipar!B:B,2,Equipar!AC:AC,A77),"Equipada",
IF(
  OR(COUNTIFS(Equipar!B:B,2,Equipar!C:C,A77)
 +COUNTIFS(Equipar!B:B,2,Equipar!D:D,A77)
+COUNTIFS(Equipar!B:B,2,Equipar!E:E,A77)
+COUNTIFS(Equipar!B:B,2,Equipar!F:F,A77)
&gt;0,COUNTIF('Set recomendado'!B:B,C77)=0),
"Bloqueada",
"Desechable")),""
)</f>
        <v>Desechable</v>
      </c>
      <c r="J77" t="str" cm="1">
        <f t="array" ref="J77">IF(ISNUMBER(A77),IFERROR(_xlfn._xlws.FILTER(Equipar!A:A,(Equipar!B:B=2)*(Equipar!AC:AC=A77)),""),"")</f>
        <v/>
      </c>
    </row>
    <row r="78" spans="1:10" x14ac:dyDescent="0.25">
      <c r="A78" s="1">
        <v>90</v>
      </c>
      <c r="B78" s="5" t="s">
        <v>54</v>
      </c>
      <c r="C78" s="5" t="s">
        <v>29</v>
      </c>
      <c r="D78" s="5" t="s">
        <v>33</v>
      </c>
      <c r="E78" s="5" t="s">
        <v>32</v>
      </c>
      <c r="F78" s="5" t="s">
        <v>37</v>
      </c>
      <c r="I78" s="2" t="str">
        <f ca="1">IF(ISNUMBER(A78),
IF(COUNTIFS(Equipar!B:B,2,Equipar!AC:AC,A78),"Equipada",
IF(
  OR(COUNTIFS(Equipar!B:B,2,Equipar!C:C,A78)
 +COUNTIFS(Equipar!B:B,2,Equipar!D:D,A78)
+COUNTIFS(Equipar!B:B,2,Equipar!E:E,A78)
+COUNTIFS(Equipar!B:B,2,Equipar!F:F,A78)
&gt;0,COUNTIF('Set recomendado'!B:B,C78)=0),
"Bloqueada",
"Desechable")),""
)</f>
        <v>Desechable</v>
      </c>
      <c r="J78" t="str" cm="1">
        <f t="array" ref="J78">IF(ISNUMBER(A78),IFERROR(_xlfn._xlws.FILTER(Equipar!A:A,(Equipar!B:B=2)*(Equipar!AC:AC=A78)),""),"")</f>
        <v/>
      </c>
    </row>
    <row r="79" spans="1:10" x14ac:dyDescent="0.25">
      <c r="A79" s="1">
        <v>91</v>
      </c>
      <c r="B79" s="5" t="s">
        <v>54</v>
      </c>
      <c r="C79" s="5" t="s">
        <v>29</v>
      </c>
      <c r="D79" s="5" t="s">
        <v>36</v>
      </c>
      <c r="E79" s="5" t="s">
        <v>32</v>
      </c>
      <c r="F79" s="5" t="s">
        <v>38</v>
      </c>
      <c r="G79" s="5" t="s">
        <v>41</v>
      </c>
      <c r="H79" s="4"/>
      <c r="I79" s="2" t="str">
        <f ca="1">IF(ISNUMBER(A79),
IF(COUNTIFS(Equipar!B:B,2,Equipar!AC:AC,A79),"Equipada",
IF(
  OR(COUNTIFS(Equipar!B:B,2,Equipar!C:C,A79)
 +COUNTIFS(Equipar!B:B,2,Equipar!D:D,A79)
+COUNTIFS(Equipar!B:B,2,Equipar!E:E,A79)
+COUNTIFS(Equipar!B:B,2,Equipar!F:F,A79)
&gt;0,COUNTIF('Set recomendado'!B:B,C79)=0),
"Bloqueada",
"Desechable")),""
)</f>
        <v>Desechable</v>
      </c>
      <c r="J79" t="str" cm="1">
        <f t="array" ref="J79">IF(ISNUMBER(A79),IFERROR(_xlfn._xlws.FILTER(Equipar!A:A,(Equipar!B:B=2)*(Equipar!AC:AC=A79)),""),"")</f>
        <v/>
      </c>
    </row>
    <row r="80" spans="1:10" x14ac:dyDescent="0.25">
      <c r="A80" s="1">
        <v>92</v>
      </c>
      <c r="B80" s="5" t="s">
        <v>53</v>
      </c>
      <c r="C80" s="5" t="s">
        <v>57</v>
      </c>
      <c r="D80" s="5" t="s">
        <v>42</v>
      </c>
      <c r="E80" s="5" t="s">
        <v>41</v>
      </c>
      <c r="F80" s="5" t="s">
        <v>38</v>
      </c>
      <c r="G80" s="5" t="s">
        <v>37</v>
      </c>
      <c r="I80" s="2" t="str">
        <f ca="1">IF(ISNUMBER(A80),
IF(COUNTIFS(Equipar!B:B,2,Equipar!AC:AC,A80),"Equipada",
IF(
  OR(COUNTIFS(Equipar!B:B,2,Equipar!C:C,A80)
 +COUNTIFS(Equipar!B:B,2,Equipar!D:D,A80)
+COUNTIFS(Equipar!B:B,2,Equipar!E:E,A80)
+COUNTIFS(Equipar!B:B,2,Equipar!F:F,A80)
&gt;0,COUNTIF('Set recomendado'!B:B,C80)=0),
"Bloqueada",
"Desechable")),""
)</f>
        <v>Bloqueada</v>
      </c>
      <c r="J80" t="str" cm="1">
        <f t="array" ref="J80">IF(ISNUMBER(A80),IFERROR(_xlfn._xlws.FILTER(Equipar!A:A,(Equipar!B:B=2)*(Equipar!AC:AC=A80)),""),"")</f>
        <v/>
      </c>
    </row>
    <row r="81" spans="1:10" x14ac:dyDescent="0.25">
      <c r="A81" s="1">
        <v>93</v>
      </c>
      <c r="B81" s="5" t="s">
        <v>53</v>
      </c>
      <c r="C81" s="5" t="s">
        <v>55</v>
      </c>
      <c r="D81" s="5" t="s">
        <v>34</v>
      </c>
      <c r="E81" s="5" t="s">
        <v>43</v>
      </c>
      <c r="F81" s="5" t="s">
        <v>42</v>
      </c>
      <c r="G81" s="5" t="s">
        <v>42</v>
      </c>
      <c r="H81" s="5" t="s">
        <v>39</v>
      </c>
      <c r="I81" s="2" t="str">
        <f ca="1">IF(ISNUMBER(A81),
IF(COUNTIFS(Equipar!B:B,2,Equipar!AC:AC,A81),"Equipada",
IF(
  OR(COUNTIFS(Equipar!B:B,2,Equipar!C:C,A81)
 +COUNTIFS(Equipar!B:B,2,Equipar!D:D,A81)
+COUNTIFS(Equipar!B:B,2,Equipar!E:E,A81)
+COUNTIFS(Equipar!B:B,2,Equipar!F:F,A81)
&gt;0,COUNTIF('Set recomendado'!B:B,C81)=0),
"Bloqueada",
"Desechable")),""
)</f>
        <v>Desechable</v>
      </c>
      <c r="J81" t="str" cm="1">
        <f t="array" ref="J81">IF(ISNUMBER(A81),IFERROR(_xlfn._xlws.FILTER(Equipar!A:A,(Equipar!B:B=2)*(Equipar!AC:AC=A81)),""),"")</f>
        <v/>
      </c>
    </row>
    <row r="82" spans="1:10" x14ac:dyDescent="0.25">
      <c r="A82" s="1">
        <v>94</v>
      </c>
      <c r="B82" s="5" t="s">
        <v>54</v>
      </c>
      <c r="C82" s="5" t="s">
        <v>57</v>
      </c>
      <c r="D82" s="5" t="s">
        <v>36</v>
      </c>
      <c r="E82" s="5" t="s">
        <v>42</v>
      </c>
      <c r="F82" s="5" t="s">
        <v>42</v>
      </c>
      <c r="I82" s="2" t="str">
        <f ca="1">IF(ISNUMBER(A82),
IF(COUNTIFS(Equipar!B:B,2,Equipar!AC:AC,A82),"Equipada",
IF(
  OR(COUNTIFS(Equipar!B:B,2,Equipar!C:C,A82)
 +COUNTIFS(Equipar!B:B,2,Equipar!D:D,A82)
+COUNTIFS(Equipar!B:B,2,Equipar!E:E,A82)
+COUNTIFS(Equipar!B:B,2,Equipar!F:F,A82)
&gt;0,COUNTIF('Set recomendado'!B:B,C82)=0),
"Bloqueada",
"Desechable")),""
)</f>
        <v>Bloqueada</v>
      </c>
      <c r="J82" t="str" cm="1">
        <f t="array" ref="J82">IF(ISNUMBER(A82),IFERROR(_xlfn._xlws.FILTER(Equipar!A:A,(Equipar!B:B=2)*(Equipar!AC:AC=A82)),""),"")</f>
        <v/>
      </c>
    </row>
    <row r="83" spans="1:10" x14ac:dyDescent="0.25">
      <c r="A83" s="1">
        <v>95</v>
      </c>
      <c r="B83" s="5" t="s">
        <v>54</v>
      </c>
      <c r="C83" s="5" t="s">
        <v>57</v>
      </c>
      <c r="D83" s="5" t="s">
        <v>42</v>
      </c>
      <c r="E83" s="5" t="s">
        <v>33</v>
      </c>
      <c r="F83" s="5" t="s">
        <v>41</v>
      </c>
      <c r="I83" s="2" t="str">
        <f ca="1">IF(ISNUMBER(A83),
IF(COUNTIFS(Equipar!B:B,2,Equipar!AC:AC,A83),"Equipada",
IF(
  OR(COUNTIFS(Equipar!B:B,2,Equipar!C:C,A83)
 +COUNTIFS(Equipar!B:B,2,Equipar!D:D,A83)
+COUNTIFS(Equipar!B:B,2,Equipar!E:E,A83)
+COUNTIFS(Equipar!B:B,2,Equipar!F:F,A83)
&gt;0,COUNTIF('Set recomendado'!B:B,C83)=0),
"Bloqueada",
"Desechable")),""
)</f>
        <v>Bloqueada</v>
      </c>
      <c r="J83" t="str" cm="1">
        <f t="array" ref="J83">IF(ISNUMBER(A83),IFERROR(_xlfn._xlws.FILTER(Equipar!A:A,(Equipar!B:B=2)*(Equipar!AC:AC=A83)),""),"")</f>
        <v/>
      </c>
    </row>
    <row r="84" spans="1:10" x14ac:dyDescent="0.25">
      <c r="A84" s="1">
        <v>96</v>
      </c>
      <c r="B84" s="5" t="s">
        <v>54</v>
      </c>
      <c r="C84" s="5" t="s">
        <v>55</v>
      </c>
      <c r="D84" s="5" t="s">
        <v>32</v>
      </c>
      <c r="E84" s="5" t="s">
        <v>33</v>
      </c>
      <c r="F84" s="5" t="s">
        <v>37</v>
      </c>
      <c r="I84" s="2" t="str">
        <f ca="1">IF(ISNUMBER(A84),
IF(COUNTIFS(Equipar!B:B,2,Equipar!AC:AC,A84),"Equipada",
IF(
  OR(COUNTIFS(Equipar!B:B,2,Equipar!C:C,A84)
 +COUNTIFS(Equipar!B:B,2,Equipar!D:D,A84)
+COUNTIFS(Equipar!B:B,2,Equipar!E:E,A84)
+COUNTIFS(Equipar!B:B,2,Equipar!F:F,A84)
&gt;0,COUNTIF('Set recomendado'!B:B,C84)=0),
"Bloqueada",
"Desechable")),""
)</f>
        <v>Desechable</v>
      </c>
      <c r="J84" t="str" cm="1">
        <f t="array" ref="J84">IF(ISNUMBER(A84),IFERROR(_xlfn._xlws.FILTER(Equipar!A:A,(Equipar!B:B=2)*(Equipar!AC:AC=A84)),""),"")</f>
        <v/>
      </c>
    </row>
    <row r="85" spans="1:10" x14ac:dyDescent="0.25">
      <c r="A85" s="1">
        <v>97</v>
      </c>
      <c r="B85" s="5" t="s">
        <v>54</v>
      </c>
      <c r="C85" s="5" t="s">
        <v>55</v>
      </c>
      <c r="D85" s="5" t="s">
        <v>33</v>
      </c>
      <c r="E85" s="5" t="s">
        <v>41</v>
      </c>
      <c r="F85" s="5" t="s">
        <v>36</v>
      </c>
      <c r="G85" s="5" t="s">
        <v>41</v>
      </c>
      <c r="I85" s="2" t="str">
        <f>IF(ISNUMBER(A85),
IF(COUNTIFS(Equipar!B:B,2,Equipar!AC:AC,A85),"Equipada",
IF(
  OR(COUNTIFS(Equipar!B:B,2,Equipar!C:C,A85)
 +COUNTIFS(Equipar!B:B,2,Equipar!D:D,A85)
+COUNTIFS(Equipar!B:B,2,Equipar!E:E,A85)
+COUNTIFS(Equipar!B:B,2,Equipar!F:F,A85)
&gt;0,COUNTIF('Set recomendado'!B:B,C85)=0),
"Bloqueada",
"Desechable")),""
)</f>
        <v>Equipada</v>
      </c>
      <c r="J85" t="str" cm="1">
        <f t="array" ref="J85">IF(ISNUMBER(A85),IFERROR(_xlfn._xlws.FILTER(Equipar!A:A,(Equipar!B:B=2)*(Equipar!AC:AC=A85)),""),"")</f>
        <v>Atsumu</v>
      </c>
    </row>
    <row r="86" spans="1:10" x14ac:dyDescent="0.25">
      <c r="A86" s="1">
        <v>98</v>
      </c>
      <c r="B86" s="5" t="s">
        <v>54</v>
      </c>
      <c r="C86" s="5" t="s">
        <v>55</v>
      </c>
      <c r="D86" s="5" t="s">
        <v>42</v>
      </c>
      <c r="E86" s="5" t="s">
        <v>37</v>
      </c>
      <c r="F86" s="5" t="s">
        <v>41</v>
      </c>
      <c r="G86" s="5" t="s">
        <v>43</v>
      </c>
      <c r="I86" s="2" t="str">
        <f ca="1">IF(ISNUMBER(A86),
IF(COUNTIFS(Equipar!B:B,2,Equipar!AC:AC,A86),"Equipada",
IF(
  OR(COUNTIFS(Equipar!B:B,2,Equipar!C:C,A86)
 +COUNTIFS(Equipar!B:B,2,Equipar!D:D,A86)
+COUNTIFS(Equipar!B:B,2,Equipar!E:E,A86)
+COUNTIFS(Equipar!B:B,2,Equipar!F:F,A86)
&gt;0,COUNTIF('Set recomendado'!B:B,C86)=0),
"Bloqueada",
"Desechable")),""
)</f>
        <v>Desechable</v>
      </c>
      <c r="J86" t="str" cm="1">
        <f t="array" ref="J86">IF(ISNUMBER(A86),IFERROR(_xlfn._xlws.FILTER(Equipar!A:A,(Equipar!B:B=2)*(Equipar!AC:AC=A86)),""),"")</f>
        <v/>
      </c>
    </row>
    <row r="87" spans="1:10" x14ac:dyDescent="0.25">
      <c r="A87" s="1">
        <v>99</v>
      </c>
      <c r="B87" s="5" t="s">
        <v>54</v>
      </c>
      <c r="C87" s="5" t="s">
        <v>55</v>
      </c>
      <c r="D87" s="5" t="s">
        <v>36</v>
      </c>
      <c r="E87" s="5" t="s">
        <v>35</v>
      </c>
      <c r="F87" s="5" t="s">
        <v>36</v>
      </c>
      <c r="G87" s="5" t="s">
        <v>42</v>
      </c>
      <c r="I87" s="2" t="str">
        <f ca="1">IF(ISNUMBER(A87),
IF(COUNTIFS(Equipar!B:B,2,Equipar!AC:AC,A87),"Equipada",
IF(
  OR(COUNTIFS(Equipar!B:B,2,Equipar!C:C,A87)
 +COUNTIFS(Equipar!B:B,2,Equipar!D:D,A87)
+COUNTIFS(Equipar!B:B,2,Equipar!E:E,A87)
+COUNTIFS(Equipar!B:B,2,Equipar!F:F,A87)
&gt;0,COUNTIF('Set recomendado'!B:B,C87)=0),
"Bloqueada",
"Desechable")),""
)</f>
        <v>Desechable</v>
      </c>
      <c r="J87" t="str" cm="1">
        <f t="array" ref="J87">IF(ISNUMBER(A87),IFERROR(_xlfn._xlws.FILTER(Equipar!A:A,(Equipar!B:B=2)*(Equipar!AC:AC=A87)),""),"")</f>
        <v/>
      </c>
    </row>
    <row r="88" spans="1:10" x14ac:dyDescent="0.25">
      <c r="A88" s="1">
        <v>100</v>
      </c>
      <c r="B88" s="5" t="s">
        <v>54</v>
      </c>
      <c r="C88" s="5" t="s">
        <v>21</v>
      </c>
      <c r="D88" s="5" t="s">
        <v>41</v>
      </c>
      <c r="E88" s="5" t="s">
        <v>38</v>
      </c>
      <c r="F88" s="5" t="s">
        <v>41</v>
      </c>
      <c r="I88" s="2" t="str">
        <f>IF(ISNUMBER(A88),
IF(COUNTIFS(Equipar!B:B,2,Equipar!AC:AC,A88),"Equipada",
IF(
  OR(COUNTIFS(Equipar!B:B,2,Equipar!C:C,A88)
 +COUNTIFS(Equipar!B:B,2,Equipar!D:D,A88)
+COUNTIFS(Equipar!B:B,2,Equipar!E:E,A88)
+COUNTIFS(Equipar!B:B,2,Equipar!F:F,A88)
&gt;0,COUNTIF('Set recomendado'!B:B,C88)=0),
"Bloqueada",
"Desechable")),""
)</f>
        <v>Equipada</v>
      </c>
      <c r="J88" t="str" cm="1">
        <f t="array" ref="J88">IF(ISNUMBER(A88),IFERROR(_xlfn._xlws.FILTER(Equipar!A:A,(Equipar!B:B=2)*(Equipar!AC:AC=A88)),""),"")</f>
        <v>Komori</v>
      </c>
    </row>
    <row r="89" spans="1:10" x14ac:dyDescent="0.25">
      <c r="A89" s="1">
        <v>101</v>
      </c>
      <c r="B89" s="5" t="s">
        <v>54</v>
      </c>
      <c r="C89" s="5" t="s">
        <v>29</v>
      </c>
      <c r="D89" s="5" t="s">
        <v>34</v>
      </c>
      <c r="E89" s="5" t="s">
        <v>33</v>
      </c>
      <c r="F89" s="5" t="s">
        <v>34</v>
      </c>
      <c r="I89" s="2" t="str">
        <f ca="1">IF(ISNUMBER(A89),
IF(COUNTIFS(Equipar!B:B,2,Equipar!AC:AC,A89),"Equipada",
IF(
  OR(COUNTIFS(Equipar!B:B,2,Equipar!C:C,A89)
 +COUNTIFS(Equipar!B:B,2,Equipar!D:D,A89)
+COUNTIFS(Equipar!B:B,2,Equipar!E:E,A89)
+COUNTIFS(Equipar!B:B,2,Equipar!F:F,A89)
&gt;0,COUNTIF('Set recomendado'!B:B,C89)=0),
"Bloqueada",
"Desechable")),""
)</f>
        <v>Desechable</v>
      </c>
      <c r="J89" t="str" cm="1">
        <f t="array" ref="J89">IF(ISNUMBER(A89),IFERROR(_xlfn._xlws.FILTER(Equipar!A:A,(Equipar!B:B=2)*(Equipar!AC:AC=A89)),""),"")</f>
        <v/>
      </c>
    </row>
    <row r="90" spans="1:10" x14ac:dyDescent="0.25">
      <c r="A90" s="1">
        <v>102</v>
      </c>
      <c r="B90" s="5" t="s">
        <v>54</v>
      </c>
      <c r="C90" s="5" t="s">
        <v>29</v>
      </c>
      <c r="D90" s="5" t="s">
        <v>36</v>
      </c>
      <c r="E90" s="5" t="s">
        <v>43</v>
      </c>
      <c r="F90" s="5" t="s">
        <v>35</v>
      </c>
      <c r="I90" s="2" t="str">
        <f ca="1">IF(ISNUMBER(A90),
IF(COUNTIFS(Equipar!B:B,2,Equipar!AC:AC,A90),"Equipada",
IF(
  OR(COUNTIFS(Equipar!B:B,2,Equipar!C:C,A90)
 +COUNTIFS(Equipar!B:B,2,Equipar!D:D,A90)
+COUNTIFS(Equipar!B:B,2,Equipar!E:E,A90)
+COUNTIFS(Equipar!B:B,2,Equipar!F:F,A90)
&gt;0,COUNTIF('Set recomendado'!B:B,C90)=0),
"Bloqueada",
"Desechable")),""
)</f>
        <v>Desechable</v>
      </c>
      <c r="J90" t="str" cm="1">
        <f t="array" ref="J90">IF(ISNUMBER(A90),IFERROR(_xlfn._xlws.FILTER(Equipar!A:A,(Equipar!B:B=2)*(Equipar!AC:AC=A90)),""),"")</f>
        <v/>
      </c>
    </row>
    <row r="91" spans="1:10" x14ac:dyDescent="0.25">
      <c r="A91" s="1">
        <v>103</v>
      </c>
      <c r="B91" s="5" t="s">
        <v>54</v>
      </c>
      <c r="C91" s="5" t="s">
        <v>29</v>
      </c>
      <c r="D91" s="5" t="s">
        <v>33</v>
      </c>
      <c r="E91" s="5" t="s">
        <v>38</v>
      </c>
      <c r="F91" s="5" t="s">
        <v>41</v>
      </c>
      <c r="G91" s="5" t="s">
        <v>36</v>
      </c>
      <c r="H91" s="4"/>
      <c r="I91" s="2" t="str">
        <f ca="1">IF(ISNUMBER(A91),
IF(COUNTIFS(Equipar!B:B,2,Equipar!AC:AC,A91),"Equipada",
IF(
  OR(COUNTIFS(Equipar!B:B,2,Equipar!C:C,A91)
 +COUNTIFS(Equipar!B:B,2,Equipar!D:D,A91)
+COUNTIFS(Equipar!B:B,2,Equipar!E:E,A91)
+COUNTIFS(Equipar!B:B,2,Equipar!F:F,A91)
&gt;0,COUNTIF('Set recomendado'!B:B,C91)=0),
"Bloqueada",
"Desechable")),""
)</f>
        <v>Desechable</v>
      </c>
      <c r="J91" t="str" cm="1">
        <f t="array" ref="J91">IF(ISNUMBER(A91),IFERROR(_xlfn._xlws.FILTER(Equipar!A:A,(Equipar!B:B=2)*(Equipar!AC:AC=A91)),""),"")</f>
        <v/>
      </c>
    </row>
    <row r="92" spans="1:10" x14ac:dyDescent="0.25">
      <c r="A92" s="1">
        <v>104</v>
      </c>
      <c r="B92" s="5" t="s">
        <v>53</v>
      </c>
      <c r="C92" s="5" t="s">
        <v>56</v>
      </c>
      <c r="D92" s="5" t="s">
        <v>32</v>
      </c>
      <c r="E92" s="5" t="s">
        <v>41</v>
      </c>
      <c r="F92" s="5" t="s">
        <v>36</v>
      </c>
      <c r="G92" s="5" t="s">
        <v>37</v>
      </c>
      <c r="H92" s="4"/>
      <c r="I92" s="2" t="str">
        <f ca="1">IF(ISNUMBER(A92),
IF(COUNTIFS(Equipar!B:B,2,Equipar!AC:AC,A92),"Equipada",
IF(
  OR(COUNTIFS(Equipar!B:B,2,Equipar!C:C,A92)
 +COUNTIFS(Equipar!B:B,2,Equipar!D:D,A92)
+COUNTIFS(Equipar!B:B,2,Equipar!E:E,A92)
+COUNTIFS(Equipar!B:B,2,Equipar!F:F,A92)
&gt;0,COUNTIF('Set recomendado'!B:B,C92)=0),
"Bloqueada",
"Desechable")),""
)</f>
        <v>Bloqueada</v>
      </c>
      <c r="J92" t="str" cm="1">
        <f t="array" ref="J92">IF(ISNUMBER(A92),IFERROR(_xlfn._xlws.FILTER(Equipar!A:A,(Equipar!B:B=2)*(Equipar!AC:AC=A92)),""),"")</f>
        <v/>
      </c>
    </row>
    <row r="93" spans="1:10" x14ac:dyDescent="0.25">
      <c r="A93" s="1">
        <v>106</v>
      </c>
      <c r="B93" s="5" t="s">
        <v>54</v>
      </c>
      <c r="C93" s="5" t="s">
        <v>55</v>
      </c>
      <c r="D93" s="5" t="s">
        <v>36</v>
      </c>
      <c r="E93" s="5" t="s">
        <v>37</v>
      </c>
      <c r="F93" s="5" t="s">
        <v>39</v>
      </c>
      <c r="G93" s="5" t="s">
        <v>43</v>
      </c>
      <c r="I93" s="2" t="str">
        <f ca="1">IF(ISNUMBER(A93),
IF(COUNTIFS(Equipar!B:B,2,Equipar!AC:AC,A93),"Equipada",
IF(
  OR(COUNTIFS(Equipar!B:B,2,Equipar!C:C,A93)
 +COUNTIFS(Equipar!B:B,2,Equipar!D:D,A93)
+COUNTIFS(Equipar!B:B,2,Equipar!E:E,A93)
+COUNTIFS(Equipar!B:B,2,Equipar!F:F,A93)
&gt;0,COUNTIF('Set recomendado'!B:B,C93)=0),
"Bloqueada",
"Desechable")),""
)</f>
        <v>Desechable</v>
      </c>
      <c r="J93" t="str" cm="1">
        <f t="array" ref="J93">IF(ISNUMBER(A93),IFERROR(_xlfn._xlws.FILTER(Equipar!A:A,(Equipar!B:B=2)*(Equipar!AC:AC=A93)),""),"")</f>
        <v/>
      </c>
    </row>
    <row r="94" spans="1:10" x14ac:dyDescent="0.25">
      <c r="A94" s="1">
        <v>109</v>
      </c>
      <c r="B94" s="5" t="s">
        <v>53</v>
      </c>
      <c r="C94" s="5" t="s">
        <v>10</v>
      </c>
      <c r="D94" s="5" t="s">
        <v>36</v>
      </c>
      <c r="E94" s="5" t="s">
        <v>40</v>
      </c>
      <c r="F94" s="5" t="s">
        <v>34</v>
      </c>
      <c r="G94" s="5" t="s">
        <v>37</v>
      </c>
      <c r="H94" s="5" t="s">
        <v>41</v>
      </c>
      <c r="I94" s="2" t="str">
        <f>IF(ISNUMBER(A94),
IF(COUNTIFS(Equipar!B:B,2,Equipar!AC:AC,A94),"Equipada",
IF(
  OR(COUNTIFS(Equipar!B:B,2,Equipar!C:C,A94)
 +COUNTIFS(Equipar!B:B,2,Equipar!D:D,A94)
+COUNTIFS(Equipar!B:B,2,Equipar!E:E,A94)
+COUNTIFS(Equipar!B:B,2,Equipar!F:F,A94)
&gt;0,COUNTIF('Set recomendado'!B:B,C94)=0),
"Bloqueada",
"Desechable")),""
)</f>
        <v>Equipada</v>
      </c>
      <c r="J94" t="str" cm="1">
        <f t="array" ref="J94">IF(ISNUMBER(A94),IFERROR(_xlfn._xlws.FILTER(Equipar!A:A,(Equipar!B:B=2)*(Equipar!AC:AC=A94)),""),"")</f>
        <v>Sugawara</v>
      </c>
    </row>
    <row r="95" spans="1:10" x14ac:dyDescent="0.25">
      <c r="A95" s="1">
        <v>110</v>
      </c>
      <c r="B95" s="5" t="s">
        <v>53</v>
      </c>
      <c r="C95" s="5" t="s">
        <v>4</v>
      </c>
      <c r="D95" s="5" t="s">
        <v>32</v>
      </c>
      <c r="E95" s="5" t="s">
        <v>36</v>
      </c>
      <c r="F95" s="5" t="s">
        <v>41</v>
      </c>
      <c r="G95" s="5" t="s">
        <v>35</v>
      </c>
      <c r="I95" s="2" t="str">
        <f>IF(ISNUMBER(A95),
IF(COUNTIFS(Equipar!B:B,2,Equipar!AC:AC,A95),"Equipada",
IF(
  OR(COUNTIFS(Equipar!B:B,2,Equipar!C:C,A95)
 +COUNTIFS(Equipar!B:B,2,Equipar!D:D,A95)
+COUNTIFS(Equipar!B:B,2,Equipar!E:E,A95)
+COUNTIFS(Equipar!B:B,2,Equipar!F:F,A95)
&gt;0,COUNTIF('Set recomendado'!B:B,C95)=0),
"Bloqueada",
"Desechable")),""
)</f>
        <v>Equipada</v>
      </c>
      <c r="J95" t="str" cm="1">
        <f t="array" ref="J95">IF(ISNUMBER(A95),IFERROR(_xlfn._xlws.FILTER(Equipar!A:A,(Equipar!B:B=2)*(Equipar!AC:AC=A95)),""),"")</f>
        <v>Ojiro</v>
      </c>
    </row>
    <row r="96" spans="1:10" x14ac:dyDescent="0.25">
      <c r="A96" s="1">
        <v>111</v>
      </c>
      <c r="B96" s="5" t="s">
        <v>54</v>
      </c>
      <c r="C96" s="5" t="s">
        <v>5</v>
      </c>
      <c r="D96" s="5" t="s">
        <v>34</v>
      </c>
      <c r="E96" s="5" t="s">
        <v>38</v>
      </c>
      <c r="F96" s="5" t="s">
        <v>43</v>
      </c>
      <c r="I96" s="2" t="str">
        <f ca="1">IF(ISNUMBER(A96),
IF(COUNTIFS(Equipar!B:B,2,Equipar!AC:AC,A96),"Equipada",
IF(
  OR(COUNTIFS(Equipar!B:B,2,Equipar!C:C,A96)
 +COUNTIFS(Equipar!B:B,2,Equipar!D:D,A96)
+COUNTIFS(Equipar!B:B,2,Equipar!E:E,A96)
+COUNTIFS(Equipar!B:B,2,Equipar!F:F,A96)
&gt;0,COUNTIF('Set recomendado'!B:B,C96)=0),
"Bloqueada",
"Desechable")),""
)</f>
        <v>Desechable</v>
      </c>
      <c r="J96" t="str" cm="1">
        <f t="array" ref="J96">IF(ISNUMBER(A96),IFERROR(_xlfn._xlws.FILTER(Equipar!A:A,(Equipar!B:B=2)*(Equipar!AC:AC=A96)),""),"")</f>
        <v/>
      </c>
    </row>
    <row r="97" spans="1:10" x14ac:dyDescent="0.25">
      <c r="A97" s="1">
        <v>113</v>
      </c>
      <c r="B97" s="5" t="s">
        <v>53</v>
      </c>
      <c r="C97" s="5" t="s">
        <v>23</v>
      </c>
      <c r="D97" s="5" t="s">
        <v>34</v>
      </c>
      <c r="E97" s="5" t="s">
        <v>33</v>
      </c>
      <c r="F97" s="5" t="s">
        <v>34</v>
      </c>
      <c r="G97" s="5" t="s">
        <v>32</v>
      </c>
      <c r="I97" s="2" t="str">
        <f ca="1">IF(ISNUMBER(A97),
IF(COUNTIFS(Equipar!B:B,2,Equipar!AC:AC,A97),"Equipada",
IF(
  OR(COUNTIFS(Equipar!B:B,2,Equipar!C:C,A97)
 +COUNTIFS(Equipar!B:B,2,Equipar!D:D,A97)
+COUNTIFS(Equipar!B:B,2,Equipar!E:E,A97)
+COUNTIFS(Equipar!B:B,2,Equipar!F:F,A97)
&gt;0,COUNTIF('Set recomendado'!B:B,C97)=0),
"Bloqueada",
"Desechable")),""
)</f>
        <v>Desechable</v>
      </c>
      <c r="J97" t="str" cm="1">
        <f t="array" ref="J97">IF(ISNUMBER(A97),IFERROR(_xlfn._xlws.FILTER(Equipar!A:A,(Equipar!B:B=2)*(Equipar!AC:AC=A97)),""),"")</f>
        <v/>
      </c>
    </row>
    <row r="98" spans="1:10" x14ac:dyDescent="0.25">
      <c r="A98" s="1">
        <v>114</v>
      </c>
      <c r="B98" s="5" t="s">
        <v>54</v>
      </c>
      <c r="C98" s="5" t="s">
        <v>57</v>
      </c>
      <c r="D98" s="5" t="s">
        <v>41</v>
      </c>
      <c r="E98" s="5" t="s">
        <v>36</v>
      </c>
      <c r="F98" s="5" t="s">
        <v>42</v>
      </c>
      <c r="G98" s="5" t="s">
        <v>42</v>
      </c>
      <c r="I98" s="2" t="str">
        <f ca="1">IF(ISNUMBER(A98),
IF(COUNTIFS(Equipar!B:B,2,Equipar!AC:AC,A98),"Equipada",
IF(
  OR(COUNTIFS(Equipar!B:B,2,Equipar!C:C,A98)
 +COUNTIFS(Equipar!B:B,2,Equipar!D:D,A98)
+COUNTIFS(Equipar!B:B,2,Equipar!E:E,A98)
+COUNTIFS(Equipar!B:B,2,Equipar!F:F,A98)
&gt;0,COUNTIF('Set recomendado'!B:B,C98)=0),
"Bloqueada",
"Desechable")),""
)</f>
        <v>Bloqueada</v>
      </c>
      <c r="J98" t="str" cm="1">
        <f t="array" ref="J98">IF(ISNUMBER(A98),IFERROR(_xlfn._xlws.FILTER(Equipar!A:A,(Equipar!B:B=2)*(Equipar!AC:AC=A98)),""),"")</f>
        <v/>
      </c>
    </row>
    <row r="99" spans="1:10" x14ac:dyDescent="0.25">
      <c r="A99" s="1">
        <v>115</v>
      </c>
      <c r="B99" s="5" t="s">
        <v>54</v>
      </c>
      <c r="C99" s="5" t="s">
        <v>57</v>
      </c>
      <c r="D99" s="5" t="s">
        <v>34</v>
      </c>
      <c r="E99" s="5" t="s">
        <v>43</v>
      </c>
      <c r="F99" s="5" t="s">
        <v>43</v>
      </c>
      <c r="G99" s="5" t="s">
        <v>36</v>
      </c>
      <c r="I99" s="2" t="str">
        <f ca="1">IF(ISNUMBER(A99),
IF(COUNTIFS(Equipar!B:B,2,Equipar!AC:AC,A99),"Equipada",
IF(
  OR(COUNTIFS(Equipar!B:B,2,Equipar!C:C,A99)
 +COUNTIFS(Equipar!B:B,2,Equipar!D:D,A99)
+COUNTIFS(Equipar!B:B,2,Equipar!E:E,A99)
+COUNTIFS(Equipar!B:B,2,Equipar!F:F,A99)
&gt;0,COUNTIF('Set recomendado'!B:B,C99)=0),
"Bloqueada",
"Desechable")),""
)</f>
        <v>Bloqueada</v>
      </c>
      <c r="J99" t="str" cm="1">
        <f t="array" ref="J99">IF(ISNUMBER(A99),IFERROR(_xlfn._xlws.FILTER(Equipar!A:A,(Equipar!B:B=2)*(Equipar!AC:AC=A99)),""),"")</f>
        <v/>
      </c>
    </row>
    <row r="100" spans="1:10" x14ac:dyDescent="0.25">
      <c r="A100" s="1">
        <v>116</v>
      </c>
      <c r="B100" s="5" t="s">
        <v>54</v>
      </c>
      <c r="C100" s="5" t="s">
        <v>57</v>
      </c>
      <c r="D100" s="5" t="s">
        <v>34</v>
      </c>
      <c r="E100" s="5" t="s">
        <v>38</v>
      </c>
      <c r="F100" s="5" t="s">
        <v>37</v>
      </c>
      <c r="I100" s="2" t="str">
        <f ca="1">IF(ISNUMBER(A100),
IF(COUNTIFS(Equipar!B:B,2,Equipar!AC:AC,A100),"Equipada",
IF(
  OR(COUNTIFS(Equipar!B:B,2,Equipar!C:C,A100)
 +COUNTIFS(Equipar!B:B,2,Equipar!D:D,A100)
+COUNTIFS(Equipar!B:B,2,Equipar!E:E,A100)
+COUNTIFS(Equipar!B:B,2,Equipar!F:F,A100)
&gt;0,COUNTIF('Set recomendado'!B:B,C100)=0),
"Bloqueada",
"Desechable")),""
)</f>
        <v>Bloqueada</v>
      </c>
      <c r="J100" t="str" cm="1">
        <f t="array" ref="J100">IF(ISNUMBER(A100),IFERROR(_xlfn._xlws.FILTER(Equipar!A:A,(Equipar!B:B=2)*(Equipar!AC:AC=A100)),""),"")</f>
        <v/>
      </c>
    </row>
    <row r="101" spans="1:10" x14ac:dyDescent="0.25">
      <c r="A101" s="1">
        <v>117</v>
      </c>
      <c r="B101" s="5" t="s">
        <v>54</v>
      </c>
      <c r="C101" s="5" t="s">
        <v>57</v>
      </c>
      <c r="D101" s="5" t="s">
        <v>34</v>
      </c>
      <c r="E101" s="5" t="s">
        <v>33</v>
      </c>
      <c r="F101" s="5" t="s">
        <v>37</v>
      </c>
      <c r="G101" s="5" t="s">
        <v>36</v>
      </c>
      <c r="I101" s="2" t="str">
        <f ca="1">IF(ISNUMBER(A101),
IF(COUNTIFS(Equipar!B:B,2,Equipar!AC:AC,A101),"Equipada",
IF(
  OR(COUNTIFS(Equipar!B:B,2,Equipar!C:C,A101)
 +COUNTIFS(Equipar!B:B,2,Equipar!D:D,A101)
+COUNTIFS(Equipar!B:B,2,Equipar!E:E,A101)
+COUNTIFS(Equipar!B:B,2,Equipar!F:F,A101)
&gt;0,COUNTIF('Set recomendado'!B:B,C101)=0),
"Bloqueada",
"Desechable")),""
)</f>
        <v>Bloqueada</v>
      </c>
      <c r="J101" t="str" cm="1">
        <f t="array" ref="J101">IF(ISNUMBER(A101),IFERROR(_xlfn._xlws.FILTER(Equipar!A:A,(Equipar!B:B=2)*(Equipar!AC:AC=A101)),""),"")</f>
        <v/>
      </c>
    </row>
    <row r="102" spans="1:10" x14ac:dyDescent="0.25">
      <c r="A102" s="1">
        <v>118</v>
      </c>
      <c r="B102" s="5" t="s">
        <v>53</v>
      </c>
      <c r="C102" s="5" t="s">
        <v>55</v>
      </c>
      <c r="D102" s="5" t="s">
        <v>36</v>
      </c>
      <c r="E102" s="5" t="s">
        <v>42</v>
      </c>
      <c r="F102" s="5" t="s">
        <v>43</v>
      </c>
      <c r="G102" s="5" t="s">
        <v>41</v>
      </c>
      <c r="I102" s="2" t="str">
        <f ca="1">IF(ISNUMBER(A102),
IF(COUNTIFS(Equipar!B:B,2,Equipar!AC:AC,A102),"Equipada",
IF(
  OR(COUNTIFS(Equipar!B:B,2,Equipar!C:C,A102)
 +COUNTIFS(Equipar!B:B,2,Equipar!D:D,A102)
+COUNTIFS(Equipar!B:B,2,Equipar!E:E,A102)
+COUNTIFS(Equipar!B:B,2,Equipar!F:F,A102)
&gt;0,COUNTIF('Set recomendado'!B:B,C102)=0),
"Bloqueada",
"Desechable")),""
)</f>
        <v>Desechable</v>
      </c>
      <c r="J102" t="str" cm="1">
        <f t="array" ref="J102">IF(ISNUMBER(A102),IFERROR(_xlfn._xlws.FILTER(Equipar!A:A,(Equipar!B:B=2)*(Equipar!AC:AC=A102)),""),"")</f>
        <v/>
      </c>
    </row>
    <row r="103" spans="1:10" x14ac:dyDescent="0.25">
      <c r="A103" s="1">
        <v>119</v>
      </c>
      <c r="B103" s="5" t="s">
        <v>53</v>
      </c>
      <c r="C103" s="5" t="s">
        <v>21</v>
      </c>
      <c r="D103" s="5" t="s">
        <v>42</v>
      </c>
      <c r="E103" s="5" t="s">
        <v>42</v>
      </c>
      <c r="F103" s="5" t="s">
        <v>42</v>
      </c>
      <c r="G103" s="5" t="s">
        <v>35</v>
      </c>
      <c r="H103" s="5" t="s">
        <v>37</v>
      </c>
      <c r="I103" s="2" t="str">
        <f>IF(ISNUMBER(A103),
IF(COUNTIFS(Equipar!B:B,2,Equipar!AC:AC,A103),"Equipada",
IF(
  OR(COUNTIFS(Equipar!B:B,2,Equipar!C:C,A103)
 +COUNTIFS(Equipar!B:B,2,Equipar!D:D,A103)
+COUNTIFS(Equipar!B:B,2,Equipar!E:E,A103)
+COUNTIFS(Equipar!B:B,2,Equipar!F:F,A103)
&gt;0,COUNTIF('Set recomendado'!B:B,C103)=0),
"Bloqueada",
"Desechable")),""
)</f>
        <v>Equipada</v>
      </c>
      <c r="J103" t="str" cm="1">
        <f t="array" ref="J103">IF(ISNUMBER(A103),IFERROR(_xlfn._xlws.FILTER(Equipar!A:A,(Equipar!B:B=2)*(Equipar!AC:AC=A103)),""),"")</f>
        <v>Hirugami</v>
      </c>
    </row>
    <row r="104" spans="1:10" x14ac:dyDescent="0.25">
      <c r="A104" s="1">
        <v>120</v>
      </c>
      <c r="B104" s="5" t="s">
        <v>54</v>
      </c>
      <c r="C104" s="5" t="s">
        <v>29</v>
      </c>
      <c r="D104" s="5" t="s">
        <v>33</v>
      </c>
      <c r="E104" s="5" t="s">
        <v>38</v>
      </c>
      <c r="F104" s="5" t="s">
        <v>42</v>
      </c>
      <c r="I104" s="2" t="str">
        <f ca="1">IF(ISNUMBER(A104),
IF(COUNTIFS(Equipar!B:B,2,Equipar!AC:AC,A104),"Equipada",
IF(
  OR(COUNTIFS(Equipar!B:B,2,Equipar!C:C,A104)
 +COUNTIFS(Equipar!B:B,2,Equipar!D:D,A104)
+COUNTIFS(Equipar!B:B,2,Equipar!E:E,A104)
+COUNTIFS(Equipar!B:B,2,Equipar!F:F,A104)
&gt;0,COUNTIF('Set recomendado'!B:B,C104)=0),
"Bloqueada",
"Desechable")),""
)</f>
        <v>Desechable</v>
      </c>
      <c r="J104" t="str" cm="1">
        <f t="array" ref="J104">IF(ISNUMBER(A104),IFERROR(_xlfn._xlws.FILTER(Equipar!A:A,(Equipar!B:B=2)*(Equipar!AC:AC=A104)),""),"")</f>
        <v/>
      </c>
    </row>
    <row r="105" spans="1:10" x14ac:dyDescent="0.25">
      <c r="A105" s="1">
        <v>121</v>
      </c>
      <c r="B105" s="5" t="s">
        <v>54</v>
      </c>
      <c r="C105" s="5" t="s">
        <v>29</v>
      </c>
      <c r="D105" s="5" t="s">
        <v>34</v>
      </c>
      <c r="E105" s="5" t="s">
        <v>36</v>
      </c>
      <c r="F105" s="5" t="s">
        <v>41</v>
      </c>
      <c r="G105" s="4"/>
      <c r="H105" s="4"/>
      <c r="I105" s="2" t="str">
        <f ca="1">IF(ISNUMBER(A105),
IF(COUNTIFS(Equipar!B:B,2,Equipar!AC:AC,A105),"Equipada",
IF(
  OR(COUNTIFS(Equipar!B:B,2,Equipar!C:C,A105)
 +COUNTIFS(Equipar!B:B,2,Equipar!D:D,A105)
+COUNTIFS(Equipar!B:B,2,Equipar!E:E,A105)
+COUNTIFS(Equipar!B:B,2,Equipar!F:F,A105)
&gt;0,COUNTIF('Set recomendado'!B:B,C105)=0),
"Bloqueada",
"Desechable")),""
)</f>
        <v>Desechable</v>
      </c>
      <c r="J105" t="str" cm="1">
        <f t="array" ref="J105">IF(ISNUMBER(A105),IFERROR(_xlfn._xlws.FILTER(Equipar!A:A,(Equipar!B:B=2)*(Equipar!AC:AC=A105)),""),"")</f>
        <v/>
      </c>
    </row>
    <row r="106" spans="1:10" x14ac:dyDescent="0.25">
      <c r="A106" s="1">
        <v>122</v>
      </c>
      <c r="B106" s="7" t="s">
        <v>53</v>
      </c>
      <c r="C106" s="7" t="s">
        <v>56</v>
      </c>
      <c r="D106" s="7" t="s">
        <v>32</v>
      </c>
      <c r="E106" s="7" t="s">
        <v>38</v>
      </c>
      <c r="F106" s="7" t="s">
        <v>44</v>
      </c>
      <c r="G106" s="7" t="s">
        <v>36</v>
      </c>
      <c r="H106" s="7" t="s">
        <v>42</v>
      </c>
      <c r="I106" s="2" t="str">
        <f ca="1">IF(ISNUMBER(A106),
IF(COUNTIFS(Equipar!B:B,2,Equipar!AC:AC,A106),"Equipada",
IF(
  OR(COUNTIFS(Equipar!B:B,2,Equipar!C:C,A106)
 +COUNTIFS(Equipar!B:B,2,Equipar!D:D,A106)
+COUNTIFS(Equipar!B:B,2,Equipar!E:E,A106)
+COUNTIFS(Equipar!B:B,2,Equipar!F:F,A106)
&gt;0,COUNTIF('Set recomendado'!B:B,C106)=0),
"Bloqueada",
"Desechable")),""
)</f>
        <v>Bloqueada</v>
      </c>
      <c r="J106" t="str" cm="1">
        <f t="array" ref="J106">IF(ISNUMBER(A106),IFERROR(_xlfn._xlws.FILTER(Equipar!A:A,(Equipar!B:B=2)*(Equipar!AC:AC=A106)),""),"")</f>
        <v/>
      </c>
    </row>
    <row r="107" spans="1:10" x14ac:dyDescent="0.25">
      <c r="A107" s="1">
        <v>123</v>
      </c>
      <c r="B107" s="7" t="s">
        <v>53</v>
      </c>
      <c r="C107" s="7" t="s">
        <v>29</v>
      </c>
      <c r="D107" s="7" t="s">
        <v>36</v>
      </c>
      <c r="E107" s="7" t="s">
        <v>38</v>
      </c>
      <c r="F107" s="7" t="s">
        <v>42</v>
      </c>
      <c r="G107" s="7" t="s">
        <v>35</v>
      </c>
      <c r="I107" s="2" t="str">
        <f ca="1">IF(ISNUMBER(A107),
IF(COUNTIFS(Equipar!B:B,2,Equipar!AC:AC,A107),"Equipada",
IF(
  OR(COUNTIFS(Equipar!B:B,2,Equipar!C:C,A107)
 +COUNTIFS(Equipar!B:B,2,Equipar!D:D,A107)
+COUNTIFS(Equipar!B:B,2,Equipar!E:E,A107)
+COUNTIFS(Equipar!B:B,2,Equipar!F:F,A107)
&gt;0,COUNTIF('Set recomendado'!B:B,C107)=0),
"Bloqueada",
"Desechable")),""
)</f>
        <v>Desechable</v>
      </c>
      <c r="J107" t="str" cm="1">
        <f t="array" ref="J107">IF(ISNUMBER(A107),IFERROR(_xlfn._xlws.FILTER(Equipar!A:A,(Equipar!B:B=2)*(Equipar!AC:AC=A107)),""),"")</f>
        <v/>
      </c>
    </row>
    <row r="108" spans="1:10" x14ac:dyDescent="0.25">
      <c r="A108" s="1">
        <v>124</v>
      </c>
      <c r="B108" s="7" t="s">
        <v>53</v>
      </c>
      <c r="C108" s="7" t="s">
        <v>29</v>
      </c>
      <c r="D108" s="7" t="s">
        <v>32</v>
      </c>
      <c r="E108" s="7" t="s">
        <v>36</v>
      </c>
      <c r="F108" s="7" t="s">
        <v>42</v>
      </c>
      <c r="G108" s="7" t="s">
        <v>40</v>
      </c>
      <c r="I108" s="2" t="str">
        <f ca="1">IF(ISNUMBER(A108),
IF(COUNTIFS(Equipar!B:B,2,Equipar!AC:AC,A108),"Equipada",
IF(
  OR(COUNTIFS(Equipar!B:B,2,Equipar!C:C,A108)
 +COUNTIFS(Equipar!B:B,2,Equipar!D:D,A108)
+COUNTIFS(Equipar!B:B,2,Equipar!E:E,A108)
+COUNTIFS(Equipar!B:B,2,Equipar!F:F,A108)
&gt;0,COUNTIF('Set recomendado'!B:B,C108)=0),
"Bloqueada",
"Desechable")),""
)</f>
        <v>Desechable</v>
      </c>
      <c r="J108" t="str" cm="1">
        <f t="array" ref="J108">IF(ISNUMBER(A108),IFERROR(_xlfn._xlws.FILTER(Equipar!A:A,(Equipar!B:B=2)*(Equipar!AC:AC=A108)),""),"")</f>
        <v/>
      </c>
    </row>
    <row r="109" spans="1:10" x14ac:dyDescent="0.25">
      <c r="A109" s="1">
        <v>125</v>
      </c>
      <c r="B109" s="7" t="s">
        <v>53</v>
      </c>
      <c r="C109" s="7" t="s">
        <v>29</v>
      </c>
      <c r="D109" s="7" t="s">
        <v>32</v>
      </c>
      <c r="E109" s="7" t="s">
        <v>43</v>
      </c>
      <c r="F109" s="7" t="s">
        <v>41</v>
      </c>
      <c r="G109" s="7" t="s">
        <v>41</v>
      </c>
      <c r="H109" s="7" t="s">
        <v>42</v>
      </c>
      <c r="I109" s="2" t="str">
        <f ca="1">IF(ISNUMBER(A109),
IF(COUNTIFS(Equipar!B:B,2,Equipar!AC:AC,A109),"Equipada",
IF(
  OR(COUNTIFS(Equipar!B:B,2,Equipar!C:C,A109)
 +COUNTIFS(Equipar!B:B,2,Equipar!D:D,A109)
+COUNTIFS(Equipar!B:B,2,Equipar!E:E,A109)
+COUNTIFS(Equipar!B:B,2,Equipar!F:F,A109)
&gt;0,COUNTIF('Set recomendado'!B:B,C109)=0),
"Bloqueada",
"Desechable")),""
)</f>
        <v>Desechable</v>
      </c>
      <c r="J109" t="str" cm="1">
        <f t="array" ref="J109">IF(ISNUMBER(A109),IFERROR(_xlfn._xlws.FILTER(Equipar!A:A,(Equipar!B:B=2)*(Equipar!AC:AC=A109)),""),"")</f>
        <v/>
      </c>
    </row>
    <row r="110" spans="1:10" x14ac:dyDescent="0.25">
      <c r="A110" s="1">
        <v>127</v>
      </c>
      <c r="B110" s="7" t="s">
        <v>54</v>
      </c>
      <c r="C110" s="7" t="s">
        <v>5</v>
      </c>
      <c r="D110" s="7" t="s">
        <v>33</v>
      </c>
      <c r="E110" s="7" t="s">
        <v>37</v>
      </c>
      <c r="F110" s="7" t="s">
        <v>42</v>
      </c>
      <c r="I110" s="2" t="str">
        <f ca="1">IF(ISNUMBER(A110),
IF(COUNTIFS(Equipar!B:B,2,Equipar!AC:AC,A110),"Equipada",
IF(
  OR(COUNTIFS(Equipar!B:B,2,Equipar!C:C,A110)
 +COUNTIFS(Equipar!B:B,2,Equipar!D:D,A110)
+COUNTIFS(Equipar!B:B,2,Equipar!E:E,A110)
+COUNTIFS(Equipar!B:B,2,Equipar!F:F,A110)
&gt;0,COUNTIF('Set recomendado'!B:B,C110)=0),
"Bloqueada",
"Desechable")),""
)</f>
        <v>Desechable</v>
      </c>
      <c r="J110" t="str" cm="1">
        <f t="array" ref="J110">IF(ISNUMBER(A110),IFERROR(_xlfn._xlws.FILTER(Equipar!A:A,(Equipar!B:B=2)*(Equipar!AC:AC=A110)),""),"")</f>
        <v/>
      </c>
    </row>
    <row r="111" spans="1:10" x14ac:dyDescent="0.25">
      <c r="A111" s="1">
        <v>128</v>
      </c>
      <c r="B111" s="7" t="s">
        <v>54</v>
      </c>
      <c r="C111" s="7" t="s">
        <v>5</v>
      </c>
      <c r="D111" s="7" t="s">
        <v>36</v>
      </c>
      <c r="E111" s="7" t="s">
        <v>32</v>
      </c>
      <c r="F111" s="7" t="s">
        <v>37</v>
      </c>
      <c r="G111" s="7" t="s">
        <v>41</v>
      </c>
      <c r="I111" s="2" t="str">
        <f ca="1">IF(ISNUMBER(A111),
IF(COUNTIFS(Equipar!B:B,2,Equipar!AC:AC,A111),"Equipada",
IF(
  OR(COUNTIFS(Equipar!B:B,2,Equipar!C:C,A111)
 +COUNTIFS(Equipar!B:B,2,Equipar!D:D,A111)
+COUNTIFS(Equipar!B:B,2,Equipar!E:E,A111)
+COUNTIFS(Equipar!B:B,2,Equipar!F:F,A111)
&gt;0,COUNTIF('Set recomendado'!B:B,C111)=0),
"Bloqueada",
"Desechable")),""
)</f>
        <v>Bloqueada</v>
      </c>
      <c r="J111" t="str" cm="1">
        <f t="array" ref="J111">IF(ISNUMBER(A111),IFERROR(_xlfn._xlws.FILTER(Equipar!A:A,(Equipar!B:B=2)*(Equipar!AC:AC=A111)),""),"")</f>
        <v/>
      </c>
    </row>
    <row r="112" spans="1:10" x14ac:dyDescent="0.25">
      <c r="A112" s="1">
        <v>129</v>
      </c>
      <c r="B112" s="7" t="s">
        <v>54</v>
      </c>
      <c r="C112" s="7" t="s">
        <v>23</v>
      </c>
      <c r="D112" s="7" t="s">
        <v>42</v>
      </c>
      <c r="E112" s="7" t="s">
        <v>37</v>
      </c>
      <c r="F112" s="7" t="s">
        <v>42</v>
      </c>
      <c r="I112" s="2" t="str">
        <f>IF(ISNUMBER(A112),
IF(COUNTIFS(Equipar!B:B,2,Equipar!AC:AC,A112),"Equipada",
IF(
  OR(COUNTIFS(Equipar!B:B,2,Equipar!C:C,A112)
 +COUNTIFS(Equipar!B:B,2,Equipar!D:D,A112)
+COUNTIFS(Equipar!B:B,2,Equipar!E:E,A112)
+COUNTIFS(Equipar!B:B,2,Equipar!F:F,A112)
&gt;0,COUNTIF('Set recomendado'!B:B,C112)=0),
"Bloqueada",
"Desechable")),""
)</f>
        <v>Equipada</v>
      </c>
      <c r="J112" t="str" cm="1">
        <f t="array" ref="J112">IF(ISNUMBER(A112),IFERROR(_xlfn._xlws.FILTER(Equipar!A:A,(Equipar!B:B=2)*(Equipar!AC:AC=A112)),""),"")</f>
        <v>Kuroo</v>
      </c>
    </row>
    <row r="113" spans="1:10" x14ac:dyDescent="0.25">
      <c r="A113" s="1">
        <v>130</v>
      </c>
      <c r="B113" s="7" t="s">
        <v>54</v>
      </c>
      <c r="C113" s="7" t="s">
        <v>23</v>
      </c>
      <c r="D113" s="7" t="s">
        <v>32</v>
      </c>
      <c r="E113" s="7" t="s">
        <v>43</v>
      </c>
      <c r="F113" s="7" t="s">
        <v>38</v>
      </c>
      <c r="I113" s="2" t="str">
        <f ca="1">IF(ISNUMBER(A113),
IF(COUNTIFS(Equipar!B:B,2,Equipar!AC:AC,A113),"Equipada",
IF(
  OR(COUNTIFS(Equipar!B:B,2,Equipar!C:C,A113)
 +COUNTIFS(Equipar!B:B,2,Equipar!D:D,A113)
+COUNTIFS(Equipar!B:B,2,Equipar!E:E,A113)
+COUNTIFS(Equipar!B:B,2,Equipar!F:F,A113)
&gt;0,COUNTIF('Set recomendado'!B:B,C113)=0),
"Bloqueada",
"Desechable")),""
)</f>
        <v>Desechable</v>
      </c>
      <c r="J113" t="str" cm="1">
        <f t="array" ref="J113">IF(ISNUMBER(A113),IFERROR(_xlfn._xlws.FILTER(Equipar!A:A,(Equipar!B:B=2)*(Equipar!AC:AC=A113)),""),"")</f>
        <v/>
      </c>
    </row>
    <row r="114" spans="1:10" x14ac:dyDescent="0.25">
      <c r="A114" s="1">
        <v>131</v>
      </c>
      <c r="B114" s="7" t="s">
        <v>54</v>
      </c>
      <c r="C114" s="7" t="s">
        <v>57</v>
      </c>
      <c r="D114" s="7" t="s">
        <v>36</v>
      </c>
      <c r="E114" s="7" t="s">
        <v>37</v>
      </c>
      <c r="F114" s="7" t="s">
        <v>38</v>
      </c>
      <c r="I114" s="2" t="str">
        <f ca="1">IF(ISNUMBER(A114),
IF(COUNTIFS(Equipar!B:B,2,Equipar!AC:AC,A114),"Equipada",
IF(
  OR(COUNTIFS(Equipar!B:B,2,Equipar!C:C,A114)
 +COUNTIFS(Equipar!B:B,2,Equipar!D:D,A114)
+COUNTIFS(Equipar!B:B,2,Equipar!E:E,A114)
+COUNTIFS(Equipar!B:B,2,Equipar!F:F,A114)
&gt;0,COUNTIF('Set recomendado'!B:B,C114)=0),
"Bloqueada",
"Desechable")),""
)</f>
        <v>Bloqueada</v>
      </c>
      <c r="J114" t="str" cm="1">
        <f t="array" ref="J114">IF(ISNUMBER(A114),IFERROR(_xlfn._xlws.FILTER(Equipar!A:A,(Equipar!B:B=2)*(Equipar!AC:AC=A114)),""),"")</f>
        <v/>
      </c>
    </row>
    <row r="115" spans="1:10" x14ac:dyDescent="0.25">
      <c r="A115" s="1">
        <v>132</v>
      </c>
      <c r="B115" s="7" t="s">
        <v>54</v>
      </c>
      <c r="C115" s="7" t="s">
        <v>57</v>
      </c>
      <c r="D115" s="7" t="s">
        <v>42</v>
      </c>
      <c r="E115" s="7" t="s">
        <v>37</v>
      </c>
      <c r="F115" s="7" t="s">
        <v>43</v>
      </c>
      <c r="G115" s="7" t="s">
        <v>34</v>
      </c>
      <c r="I115" s="2" t="str">
        <f ca="1">IF(ISNUMBER(A115),
IF(COUNTIFS(Equipar!B:B,2,Equipar!AC:AC,A115),"Equipada",
IF(
  OR(COUNTIFS(Equipar!B:B,2,Equipar!C:C,A115)
 +COUNTIFS(Equipar!B:B,2,Equipar!D:D,A115)
+COUNTIFS(Equipar!B:B,2,Equipar!E:E,A115)
+COUNTIFS(Equipar!B:B,2,Equipar!F:F,A115)
&gt;0,COUNTIF('Set recomendado'!B:B,C115)=0),
"Bloqueada",
"Desechable")),""
)</f>
        <v>Bloqueada</v>
      </c>
      <c r="J115" t="str" cm="1">
        <f t="array" ref="J115">IF(ISNUMBER(A115),IFERROR(_xlfn._xlws.FILTER(Equipar!A:A,(Equipar!B:B=2)*(Equipar!AC:AC=A115)),""),"")</f>
        <v/>
      </c>
    </row>
    <row r="116" spans="1:10" x14ac:dyDescent="0.25">
      <c r="A116" s="1">
        <v>133</v>
      </c>
      <c r="B116" s="7" t="s">
        <v>54</v>
      </c>
      <c r="C116" s="7" t="s">
        <v>57</v>
      </c>
      <c r="D116" s="7" t="s">
        <v>41</v>
      </c>
      <c r="E116" s="7" t="s">
        <v>37</v>
      </c>
      <c r="F116" s="7" t="s">
        <v>36</v>
      </c>
      <c r="I116" s="2" t="str">
        <f ca="1">IF(ISNUMBER(A116),
IF(COUNTIFS(Equipar!B:B,2,Equipar!AC:AC,A116),"Equipada",
IF(
  OR(COUNTIFS(Equipar!B:B,2,Equipar!C:C,A116)
 +COUNTIFS(Equipar!B:B,2,Equipar!D:D,A116)
+COUNTIFS(Equipar!B:B,2,Equipar!E:E,A116)
+COUNTIFS(Equipar!B:B,2,Equipar!F:F,A116)
&gt;0,COUNTIF('Set recomendado'!B:B,C116)=0),
"Bloqueada",
"Desechable")),""
)</f>
        <v>Bloqueada</v>
      </c>
      <c r="J116" t="str" cm="1">
        <f t="array" ref="J116">IF(ISNUMBER(A116),IFERROR(_xlfn._xlws.FILTER(Equipar!A:A,(Equipar!B:B=2)*(Equipar!AC:AC=A116)),""),"")</f>
        <v/>
      </c>
    </row>
    <row r="117" spans="1:10" x14ac:dyDescent="0.25">
      <c r="A117" s="1">
        <v>134</v>
      </c>
      <c r="B117" s="7" t="s">
        <v>54</v>
      </c>
      <c r="C117" s="7" t="s">
        <v>57</v>
      </c>
      <c r="D117" s="7" t="s">
        <v>36</v>
      </c>
      <c r="E117" s="7" t="s">
        <v>36</v>
      </c>
      <c r="F117" s="7" t="s">
        <v>42</v>
      </c>
      <c r="I117" s="2" t="str">
        <f ca="1">IF(ISNUMBER(A117),
IF(COUNTIFS(Equipar!B:B,2,Equipar!AC:AC,A117),"Equipada",
IF(
  OR(COUNTIFS(Equipar!B:B,2,Equipar!C:C,A117)
 +COUNTIFS(Equipar!B:B,2,Equipar!D:D,A117)
+COUNTIFS(Equipar!B:B,2,Equipar!E:E,A117)
+COUNTIFS(Equipar!B:B,2,Equipar!F:F,A117)
&gt;0,COUNTIF('Set recomendado'!B:B,C117)=0),
"Bloqueada",
"Desechable")),""
)</f>
        <v>Bloqueada</v>
      </c>
      <c r="J117" t="str" cm="1">
        <f t="array" ref="J117">IF(ISNUMBER(A117),IFERROR(_xlfn._xlws.FILTER(Equipar!A:A,(Equipar!B:B=2)*(Equipar!AC:AC=A117)),""),"")</f>
        <v/>
      </c>
    </row>
    <row r="118" spans="1:10" x14ac:dyDescent="0.25">
      <c r="A118" s="1">
        <v>135</v>
      </c>
      <c r="B118" s="7" t="s">
        <v>54</v>
      </c>
      <c r="C118" s="7" t="s">
        <v>57</v>
      </c>
      <c r="D118" s="7" t="s">
        <v>41</v>
      </c>
      <c r="E118" s="7" t="s">
        <v>41</v>
      </c>
      <c r="F118" s="7" t="s">
        <v>32</v>
      </c>
      <c r="I118" s="2" t="str">
        <f ca="1">IF(ISNUMBER(A118),
IF(COUNTIFS(Equipar!B:B,2,Equipar!AC:AC,A118),"Equipada",
IF(
  OR(COUNTIFS(Equipar!B:B,2,Equipar!C:C,A118)
 +COUNTIFS(Equipar!B:B,2,Equipar!D:D,A118)
+COUNTIFS(Equipar!B:B,2,Equipar!E:E,A118)
+COUNTIFS(Equipar!B:B,2,Equipar!F:F,A118)
&gt;0,COUNTIF('Set recomendado'!B:B,C118)=0),
"Bloqueada",
"Desechable")),""
)</f>
        <v>Bloqueada</v>
      </c>
      <c r="J118" t="str" cm="1">
        <f t="array" ref="J118">IF(ISNUMBER(A118),IFERROR(_xlfn._xlws.FILTER(Equipar!A:A,(Equipar!B:B=2)*(Equipar!AC:AC=A118)),""),"")</f>
        <v/>
      </c>
    </row>
    <row r="119" spans="1:10" x14ac:dyDescent="0.25">
      <c r="A119" s="1">
        <v>136</v>
      </c>
      <c r="B119" s="7" t="s">
        <v>54</v>
      </c>
      <c r="C119" s="7" t="s">
        <v>57</v>
      </c>
      <c r="D119" s="7" t="s">
        <v>42</v>
      </c>
      <c r="E119" s="7" t="s">
        <v>37</v>
      </c>
      <c r="F119" s="7" t="s">
        <v>41</v>
      </c>
      <c r="I119" s="2" t="str">
        <f ca="1">IF(ISNUMBER(A119),
IF(COUNTIFS(Equipar!B:B,2,Equipar!AC:AC,A119),"Equipada",
IF(
  OR(COUNTIFS(Equipar!B:B,2,Equipar!C:C,A119)
 +COUNTIFS(Equipar!B:B,2,Equipar!D:D,A119)
+COUNTIFS(Equipar!B:B,2,Equipar!E:E,A119)
+COUNTIFS(Equipar!B:B,2,Equipar!F:F,A119)
&gt;0,COUNTIF('Set recomendado'!B:B,C119)=0),
"Bloqueada",
"Desechable")),""
)</f>
        <v>Bloqueada</v>
      </c>
      <c r="J119" t="str" cm="1">
        <f t="array" ref="J119">IF(ISNUMBER(A119),IFERROR(_xlfn._xlws.FILTER(Equipar!A:A,(Equipar!B:B=2)*(Equipar!AC:AC=A119)),""),"")</f>
        <v/>
      </c>
    </row>
    <row r="120" spans="1:10" x14ac:dyDescent="0.25">
      <c r="A120" s="1">
        <v>137</v>
      </c>
      <c r="B120" s="7" t="s">
        <v>54</v>
      </c>
      <c r="C120" s="7" t="s">
        <v>57</v>
      </c>
      <c r="D120" s="7" t="s">
        <v>36</v>
      </c>
      <c r="E120" s="7" t="s">
        <v>35</v>
      </c>
      <c r="F120" s="7" t="s">
        <v>42</v>
      </c>
      <c r="G120" s="7" t="s">
        <v>37</v>
      </c>
      <c r="I120" s="2" t="str">
        <f ca="1">IF(ISNUMBER(A120),
IF(COUNTIFS(Equipar!B:B,2,Equipar!AC:AC,A120),"Equipada",
IF(
  OR(COUNTIFS(Equipar!B:B,2,Equipar!C:C,A120)
 +COUNTIFS(Equipar!B:B,2,Equipar!D:D,A120)
+COUNTIFS(Equipar!B:B,2,Equipar!E:E,A120)
+COUNTIFS(Equipar!B:B,2,Equipar!F:F,A120)
&gt;0,COUNTIF('Set recomendado'!B:B,C120)=0),
"Bloqueada",
"Desechable")),""
)</f>
        <v>Bloqueada</v>
      </c>
      <c r="J120" t="str" cm="1">
        <f t="array" ref="J120">IF(ISNUMBER(A120),IFERROR(_xlfn._xlws.FILTER(Equipar!A:A,(Equipar!B:B=2)*(Equipar!AC:AC=A120)),""),"")</f>
        <v/>
      </c>
    </row>
    <row r="121" spans="1:10" x14ac:dyDescent="0.25">
      <c r="A121" s="1">
        <v>138</v>
      </c>
      <c r="B121" s="7" t="s">
        <v>54</v>
      </c>
      <c r="C121" s="7" t="s">
        <v>57</v>
      </c>
      <c r="D121" s="7" t="s">
        <v>42</v>
      </c>
      <c r="E121" s="7" t="s">
        <v>43</v>
      </c>
      <c r="F121" s="7" t="s">
        <v>41</v>
      </c>
      <c r="I121" s="2" t="str">
        <f ca="1">IF(ISNUMBER(A121),
IF(COUNTIFS(Equipar!B:B,2,Equipar!AC:AC,A121),"Equipada",
IF(
  OR(COUNTIFS(Equipar!B:B,2,Equipar!C:C,A121)
 +COUNTIFS(Equipar!B:B,2,Equipar!D:D,A121)
+COUNTIFS(Equipar!B:B,2,Equipar!E:E,A121)
+COUNTIFS(Equipar!B:B,2,Equipar!F:F,A121)
&gt;0,COUNTIF('Set recomendado'!B:B,C121)=0),
"Bloqueada",
"Desechable")),""
)</f>
        <v>Bloqueada</v>
      </c>
      <c r="J121" t="str" cm="1">
        <f t="array" ref="J121">IF(ISNUMBER(A121),IFERROR(_xlfn._xlws.FILTER(Equipar!A:A,(Equipar!B:B=2)*(Equipar!AC:AC=A121)),""),"")</f>
        <v/>
      </c>
    </row>
    <row r="122" spans="1:10" x14ac:dyDescent="0.25">
      <c r="A122" s="1">
        <v>139</v>
      </c>
      <c r="B122" s="7" t="s">
        <v>54</v>
      </c>
      <c r="C122" s="7" t="s">
        <v>57</v>
      </c>
      <c r="D122" s="7" t="s">
        <v>33</v>
      </c>
      <c r="E122" s="7" t="s">
        <v>38</v>
      </c>
      <c r="F122" s="7" t="s">
        <v>44</v>
      </c>
      <c r="I122" s="2" t="str">
        <f ca="1">IF(ISNUMBER(A122),
IF(COUNTIFS(Equipar!B:B,2,Equipar!AC:AC,A122),"Equipada",
IF(
  OR(COUNTIFS(Equipar!B:B,2,Equipar!C:C,A122)
 +COUNTIFS(Equipar!B:B,2,Equipar!D:D,A122)
+COUNTIFS(Equipar!B:B,2,Equipar!E:E,A122)
+COUNTIFS(Equipar!B:B,2,Equipar!F:F,A122)
&gt;0,COUNTIF('Set recomendado'!B:B,C122)=0),
"Bloqueada",
"Desechable")),""
)</f>
        <v>Bloqueada</v>
      </c>
      <c r="J122" t="str" cm="1">
        <f t="array" ref="J122">IF(ISNUMBER(A122),IFERROR(_xlfn._xlws.FILTER(Equipar!A:A,(Equipar!B:B=2)*(Equipar!AC:AC=A122)),""),"")</f>
        <v/>
      </c>
    </row>
    <row r="123" spans="1:10" x14ac:dyDescent="0.25">
      <c r="A123" s="1">
        <v>140</v>
      </c>
      <c r="B123" s="7" t="s">
        <v>54</v>
      </c>
      <c r="C123" s="7" t="s">
        <v>57</v>
      </c>
      <c r="D123" s="7" t="s">
        <v>42</v>
      </c>
      <c r="E123" s="7" t="s">
        <v>37</v>
      </c>
      <c r="F123" s="7" t="s">
        <v>37</v>
      </c>
      <c r="I123" s="2" t="str">
        <f ca="1">IF(ISNUMBER(A123),
IF(COUNTIFS(Equipar!B:B,2,Equipar!AC:AC,A123),"Equipada",
IF(
  OR(COUNTIFS(Equipar!B:B,2,Equipar!C:C,A123)
 +COUNTIFS(Equipar!B:B,2,Equipar!D:D,A123)
+COUNTIFS(Equipar!B:B,2,Equipar!E:E,A123)
+COUNTIFS(Equipar!B:B,2,Equipar!F:F,A123)
&gt;0,COUNTIF('Set recomendado'!B:B,C123)=0),
"Bloqueada",
"Desechable")),""
)</f>
        <v>Bloqueada</v>
      </c>
      <c r="J123" t="str" cm="1">
        <f t="array" ref="J123">IF(ISNUMBER(A123),IFERROR(_xlfn._xlws.FILTER(Equipar!A:A,(Equipar!B:B=2)*(Equipar!AC:AC=A123)),""),"")</f>
        <v/>
      </c>
    </row>
    <row r="124" spans="1:10" x14ac:dyDescent="0.25">
      <c r="A124" s="1">
        <v>141</v>
      </c>
      <c r="B124" s="7" t="s">
        <v>54</v>
      </c>
      <c r="C124" s="7" t="s">
        <v>57</v>
      </c>
      <c r="D124" s="7" t="s">
        <v>41</v>
      </c>
      <c r="E124" s="7" t="s">
        <v>43</v>
      </c>
      <c r="F124" s="7" t="s">
        <v>32</v>
      </c>
      <c r="G124" s="7" t="s">
        <v>32</v>
      </c>
      <c r="I124" s="2" t="str">
        <f ca="1">IF(ISNUMBER(A124),
IF(COUNTIFS(Equipar!B:B,2,Equipar!AC:AC,A124),"Equipada",
IF(
  OR(COUNTIFS(Equipar!B:B,2,Equipar!C:C,A124)
 +COUNTIFS(Equipar!B:B,2,Equipar!D:D,A124)
+COUNTIFS(Equipar!B:B,2,Equipar!E:E,A124)
+COUNTIFS(Equipar!B:B,2,Equipar!F:F,A124)
&gt;0,COUNTIF('Set recomendado'!B:B,C124)=0),
"Bloqueada",
"Desechable")),""
)</f>
        <v>Bloqueada</v>
      </c>
      <c r="J124" t="str" cm="1">
        <f t="array" ref="J124">IF(ISNUMBER(A124),IFERROR(_xlfn._xlws.FILTER(Equipar!A:A,(Equipar!B:B=2)*(Equipar!AC:AC=A124)),""),"")</f>
        <v/>
      </c>
    </row>
    <row r="125" spans="1:10" x14ac:dyDescent="0.25">
      <c r="A125" s="1">
        <v>142</v>
      </c>
      <c r="B125" s="7" t="s">
        <v>54</v>
      </c>
      <c r="C125" s="7" t="s">
        <v>57</v>
      </c>
      <c r="D125" s="7" t="s">
        <v>42</v>
      </c>
      <c r="E125" s="7" t="s">
        <v>43</v>
      </c>
      <c r="F125" s="7" t="s">
        <v>41</v>
      </c>
      <c r="I125" s="2" t="str">
        <f ca="1">IF(ISNUMBER(A125),
IF(COUNTIFS(Equipar!B:B,2,Equipar!AC:AC,A125),"Equipada",
IF(
  OR(COUNTIFS(Equipar!B:B,2,Equipar!C:C,A125)
 +COUNTIFS(Equipar!B:B,2,Equipar!D:D,A125)
+COUNTIFS(Equipar!B:B,2,Equipar!E:E,A125)
+COUNTIFS(Equipar!B:B,2,Equipar!F:F,A125)
&gt;0,COUNTIF('Set recomendado'!B:B,C125)=0),
"Bloqueada",
"Desechable")),""
)</f>
        <v>Bloqueada</v>
      </c>
      <c r="J125" t="str" cm="1">
        <f t="array" ref="J125">IF(ISNUMBER(A125),IFERROR(_xlfn._xlws.FILTER(Equipar!A:A,(Equipar!B:B=2)*(Equipar!AC:AC=A125)),""),"")</f>
        <v/>
      </c>
    </row>
    <row r="126" spans="1:10" x14ac:dyDescent="0.25">
      <c r="A126" s="1">
        <v>143</v>
      </c>
      <c r="B126" s="7" t="s">
        <v>54</v>
      </c>
      <c r="C126" s="7" t="s">
        <v>55</v>
      </c>
      <c r="D126" s="7" t="s">
        <v>36</v>
      </c>
      <c r="E126" s="7" t="s">
        <v>41</v>
      </c>
      <c r="F126" s="7" t="s">
        <v>43</v>
      </c>
      <c r="G126" s="7" t="s">
        <v>32</v>
      </c>
      <c r="I126" s="2" t="str">
        <f ca="1">IF(ISNUMBER(A126),
IF(COUNTIFS(Equipar!B:B,2,Equipar!AC:AC,A126),"Equipada",
IF(
  OR(COUNTIFS(Equipar!B:B,2,Equipar!C:C,A126)
 +COUNTIFS(Equipar!B:B,2,Equipar!D:D,A126)
+COUNTIFS(Equipar!B:B,2,Equipar!E:E,A126)
+COUNTIFS(Equipar!B:B,2,Equipar!F:F,A126)
&gt;0,COUNTIF('Set recomendado'!B:B,C126)=0),
"Bloqueada",
"Desechable")),""
)</f>
        <v>Desechable</v>
      </c>
      <c r="J126" t="str" cm="1">
        <f t="array" ref="J126">IF(ISNUMBER(A126),IFERROR(_xlfn._xlws.FILTER(Equipar!A:A,(Equipar!B:B=2)*(Equipar!AC:AC=A126)),""),"")</f>
        <v/>
      </c>
    </row>
    <row r="127" spans="1:10" x14ac:dyDescent="0.25">
      <c r="A127" s="1">
        <v>144</v>
      </c>
      <c r="B127" s="7" t="s">
        <v>54</v>
      </c>
      <c r="C127" s="7" t="s">
        <v>55</v>
      </c>
      <c r="D127" s="7" t="s">
        <v>41</v>
      </c>
      <c r="E127" s="7" t="s">
        <v>37</v>
      </c>
      <c r="F127" s="7" t="s">
        <v>41</v>
      </c>
      <c r="I127" s="2" t="str">
        <f ca="1">IF(ISNUMBER(A127),
IF(COUNTIFS(Equipar!B:B,2,Equipar!AC:AC,A127),"Equipada",
IF(
  OR(COUNTIFS(Equipar!B:B,2,Equipar!C:C,A127)
 +COUNTIFS(Equipar!B:B,2,Equipar!D:D,A127)
+COUNTIFS(Equipar!B:B,2,Equipar!E:E,A127)
+COUNTIFS(Equipar!B:B,2,Equipar!F:F,A127)
&gt;0,COUNTIF('Set recomendado'!B:B,C127)=0),
"Bloqueada",
"Desechable")),""
)</f>
        <v>Desechable</v>
      </c>
      <c r="J127" t="str" cm="1">
        <f t="array" ref="J127">IF(ISNUMBER(A127),IFERROR(_xlfn._xlws.FILTER(Equipar!A:A,(Equipar!B:B=2)*(Equipar!AC:AC=A127)),""),"")</f>
        <v/>
      </c>
    </row>
    <row r="128" spans="1:10" x14ac:dyDescent="0.25">
      <c r="A128" s="1">
        <v>145</v>
      </c>
      <c r="B128" s="7" t="s">
        <v>54</v>
      </c>
      <c r="C128" s="7" t="s">
        <v>55</v>
      </c>
      <c r="D128" s="7" t="s">
        <v>33</v>
      </c>
      <c r="E128" s="7" t="s">
        <v>42</v>
      </c>
      <c r="F128" s="7" t="s">
        <v>39</v>
      </c>
      <c r="I128" s="2" t="str">
        <f ca="1">IF(ISNUMBER(A128),
IF(COUNTIFS(Equipar!B:B,2,Equipar!AC:AC,A128),"Equipada",
IF(
  OR(COUNTIFS(Equipar!B:B,2,Equipar!C:C,A128)
 +COUNTIFS(Equipar!B:B,2,Equipar!D:D,A128)
+COUNTIFS(Equipar!B:B,2,Equipar!E:E,A128)
+COUNTIFS(Equipar!B:B,2,Equipar!F:F,A128)
&gt;0,COUNTIF('Set recomendado'!B:B,C128)=0),
"Bloqueada",
"Desechable")),""
)</f>
        <v>Desechable</v>
      </c>
      <c r="J128" t="str" cm="1">
        <f t="array" ref="J128">IF(ISNUMBER(A128),IFERROR(_xlfn._xlws.FILTER(Equipar!A:A,(Equipar!B:B=2)*(Equipar!AC:AC=A128)),""),"")</f>
        <v/>
      </c>
    </row>
    <row r="129" spans="1:10" x14ac:dyDescent="0.25">
      <c r="A129" s="1">
        <v>146</v>
      </c>
      <c r="B129" s="7" t="s">
        <v>54</v>
      </c>
      <c r="C129" s="7" t="s">
        <v>55</v>
      </c>
      <c r="D129" s="7" t="s">
        <v>36</v>
      </c>
      <c r="E129" s="7" t="s">
        <v>42</v>
      </c>
      <c r="F129" s="7" t="s">
        <v>41</v>
      </c>
      <c r="I129" s="2" t="str">
        <f ca="1">IF(ISNUMBER(A129),
IF(COUNTIFS(Equipar!B:B,2,Equipar!AC:AC,A129),"Equipada",
IF(
  OR(COUNTIFS(Equipar!B:B,2,Equipar!C:C,A129)
 +COUNTIFS(Equipar!B:B,2,Equipar!D:D,A129)
+COUNTIFS(Equipar!B:B,2,Equipar!E:E,A129)
+COUNTIFS(Equipar!B:B,2,Equipar!F:F,A129)
&gt;0,COUNTIF('Set recomendado'!B:B,C129)=0),
"Bloqueada",
"Desechable")),""
)</f>
        <v>Desechable</v>
      </c>
      <c r="J129" t="str" cm="1">
        <f t="array" ref="J129">IF(ISNUMBER(A129),IFERROR(_xlfn._xlws.FILTER(Equipar!A:A,(Equipar!B:B=2)*(Equipar!AC:AC=A129)),""),"")</f>
        <v/>
      </c>
    </row>
    <row r="130" spans="1:10" x14ac:dyDescent="0.25">
      <c r="A130" s="1">
        <v>147</v>
      </c>
      <c r="B130" s="7" t="s">
        <v>54</v>
      </c>
      <c r="C130" s="7" t="s">
        <v>55</v>
      </c>
      <c r="D130" s="7" t="s">
        <v>33</v>
      </c>
      <c r="E130" s="7" t="s">
        <v>34</v>
      </c>
      <c r="F130" s="7" t="s">
        <v>43</v>
      </c>
      <c r="G130" s="7" t="s">
        <v>44</v>
      </c>
      <c r="I130" s="2" t="str">
        <f ca="1">IF(ISNUMBER(A130),
IF(COUNTIFS(Equipar!B:B,2,Equipar!AC:AC,A130),"Equipada",
IF(
  OR(COUNTIFS(Equipar!B:B,2,Equipar!C:C,A130)
 +COUNTIFS(Equipar!B:B,2,Equipar!D:D,A130)
+COUNTIFS(Equipar!B:B,2,Equipar!E:E,A130)
+COUNTIFS(Equipar!B:B,2,Equipar!F:F,A130)
&gt;0,COUNTIF('Set recomendado'!B:B,C130)=0),
"Bloqueada",
"Desechable")),""
)</f>
        <v>Desechable</v>
      </c>
      <c r="J130" t="str" cm="1">
        <f t="array" ref="J130">IF(ISNUMBER(A130),IFERROR(_xlfn._xlws.FILTER(Equipar!A:A,(Equipar!B:B=2)*(Equipar!AC:AC=A130)),""),"")</f>
        <v/>
      </c>
    </row>
    <row r="131" spans="1:10" x14ac:dyDescent="0.25">
      <c r="A131" s="1">
        <v>148</v>
      </c>
      <c r="B131" s="7" t="s">
        <v>54</v>
      </c>
      <c r="C131" s="7" t="s">
        <v>55</v>
      </c>
      <c r="D131" s="7" t="s">
        <v>41</v>
      </c>
      <c r="E131" s="7" t="s">
        <v>39</v>
      </c>
      <c r="F131" s="7" t="s">
        <v>37</v>
      </c>
      <c r="G131" s="7" t="s">
        <v>43</v>
      </c>
      <c r="I131" s="2" t="str">
        <f ca="1">IF(ISNUMBER(A131),
IF(COUNTIFS(Equipar!B:B,2,Equipar!AC:AC,A131),"Equipada",
IF(
  OR(COUNTIFS(Equipar!B:B,2,Equipar!C:C,A131)
 +COUNTIFS(Equipar!B:B,2,Equipar!D:D,A131)
+COUNTIFS(Equipar!B:B,2,Equipar!E:E,A131)
+COUNTIFS(Equipar!B:B,2,Equipar!F:F,A131)
&gt;0,COUNTIF('Set recomendado'!B:B,C131)=0),
"Bloqueada",
"Desechable")),""
)</f>
        <v>Desechable</v>
      </c>
      <c r="J131" t="str" cm="1">
        <f t="array" ref="J131">IF(ISNUMBER(A131),IFERROR(_xlfn._xlws.FILTER(Equipar!A:A,(Equipar!B:B=2)*(Equipar!AC:AC=A131)),""),"")</f>
        <v/>
      </c>
    </row>
    <row r="132" spans="1:10" x14ac:dyDescent="0.25">
      <c r="A132" s="1">
        <v>149</v>
      </c>
      <c r="B132" s="7" t="s">
        <v>54</v>
      </c>
      <c r="C132" s="7" t="s">
        <v>55</v>
      </c>
      <c r="D132" s="7" t="s">
        <v>41</v>
      </c>
      <c r="E132" s="7" t="s">
        <v>39</v>
      </c>
      <c r="F132" s="7" t="s">
        <v>36</v>
      </c>
      <c r="I132" s="2" t="str">
        <f ca="1">IF(ISNUMBER(A132),
IF(COUNTIFS(Equipar!B:B,2,Equipar!AC:AC,A132),"Equipada",
IF(
  OR(COUNTIFS(Equipar!B:B,2,Equipar!C:C,A132)
 +COUNTIFS(Equipar!B:B,2,Equipar!D:D,A132)
+COUNTIFS(Equipar!B:B,2,Equipar!E:E,A132)
+COUNTIFS(Equipar!B:B,2,Equipar!F:F,A132)
&gt;0,COUNTIF('Set recomendado'!B:B,C132)=0),
"Bloqueada",
"Desechable")),""
)</f>
        <v>Desechable</v>
      </c>
      <c r="J132" t="str" cm="1">
        <f t="array" ref="J132">IF(ISNUMBER(A132),IFERROR(_xlfn._xlws.FILTER(Equipar!A:A,(Equipar!B:B=2)*(Equipar!AC:AC=A132)),""),"")</f>
        <v/>
      </c>
    </row>
    <row r="133" spans="1:10" x14ac:dyDescent="0.25">
      <c r="A133" s="1">
        <v>150</v>
      </c>
      <c r="B133" s="7" t="s">
        <v>54</v>
      </c>
      <c r="C133" s="7" t="s">
        <v>55</v>
      </c>
      <c r="D133" s="7" t="s">
        <v>32</v>
      </c>
      <c r="E133" s="7" t="s">
        <v>32</v>
      </c>
      <c r="F133" s="7" t="s">
        <v>36</v>
      </c>
      <c r="I133" s="2" t="str">
        <f ca="1">IF(ISNUMBER(A133),
IF(COUNTIFS(Equipar!B:B,2,Equipar!AC:AC,A133),"Equipada",
IF(
  OR(COUNTIFS(Equipar!B:B,2,Equipar!C:C,A133)
 +COUNTIFS(Equipar!B:B,2,Equipar!D:D,A133)
+COUNTIFS(Equipar!B:B,2,Equipar!E:E,A133)
+COUNTIFS(Equipar!B:B,2,Equipar!F:F,A133)
&gt;0,COUNTIF('Set recomendado'!B:B,C133)=0),
"Bloqueada",
"Desechable")),""
)</f>
        <v>Desechable</v>
      </c>
      <c r="J133" t="str" cm="1">
        <f t="array" ref="J133">IF(ISNUMBER(A133),IFERROR(_xlfn._xlws.FILTER(Equipar!A:A,(Equipar!B:B=2)*(Equipar!AC:AC=A133)),""),"")</f>
        <v/>
      </c>
    </row>
    <row r="134" spans="1:10" x14ac:dyDescent="0.25">
      <c r="A134" s="1">
        <v>151</v>
      </c>
      <c r="B134" s="7" t="s">
        <v>54</v>
      </c>
      <c r="C134" s="7" t="s">
        <v>55</v>
      </c>
      <c r="D134" s="7" t="s">
        <v>36</v>
      </c>
      <c r="E134" s="7" t="s">
        <v>34</v>
      </c>
      <c r="F134" s="7" t="s">
        <v>37</v>
      </c>
      <c r="I134" s="2" t="str">
        <f ca="1">IF(ISNUMBER(A134),
IF(COUNTIFS(Equipar!B:B,2,Equipar!AC:AC,A134),"Equipada",
IF(
  OR(COUNTIFS(Equipar!B:B,2,Equipar!C:C,A134)
 +COUNTIFS(Equipar!B:B,2,Equipar!D:D,A134)
+COUNTIFS(Equipar!B:B,2,Equipar!E:E,A134)
+COUNTIFS(Equipar!B:B,2,Equipar!F:F,A134)
&gt;0,COUNTIF('Set recomendado'!B:B,C134)=0),
"Bloqueada",
"Desechable")),""
)</f>
        <v>Desechable</v>
      </c>
      <c r="J134" t="str" cm="1">
        <f t="array" ref="J134">IF(ISNUMBER(A134),IFERROR(_xlfn._xlws.FILTER(Equipar!A:A,(Equipar!B:B=2)*(Equipar!AC:AC=A134)),""),"")</f>
        <v/>
      </c>
    </row>
    <row r="135" spans="1:10" x14ac:dyDescent="0.25">
      <c r="A135" s="1">
        <v>152</v>
      </c>
      <c r="B135" s="7" t="s">
        <v>54</v>
      </c>
      <c r="C135" s="7" t="s">
        <v>21</v>
      </c>
      <c r="D135" s="7" t="s">
        <v>42</v>
      </c>
      <c r="E135" s="7" t="s">
        <v>41</v>
      </c>
      <c r="F135" s="7" t="s">
        <v>42</v>
      </c>
      <c r="G135" s="7" t="s">
        <v>37</v>
      </c>
      <c r="I135" s="2" t="str">
        <f>IF(ISNUMBER(A135),
IF(COUNTIFS(Equipar!B:B,2,Equipar!AC:AC,A135),"Equipada",
IF(
  OR(COUNTIFS(Equipar!B:B,2,Equipar!C:C,A135)
 +COUNTIFS(Equipar!B:B,2,Equipar!D:D,A135)
+COUNTIFS(Equipar!B:B,2,Equipar!E:E,A135)
+COUNTIFS(Equipar!B:B,2,Equipar!F:F,A135)
&gt;0,COUNTIF('Set recomendado'!B:B,C135)=0),
"Bloqueada",
"Desechable")),""
)</f>
        <v>Equipada</v>
      </c>
      <c r="J135" t="str" cm="1">
        <f t="array" ref="J135">IF(ISNUMBER(A135),IFERROR(_xlfn._xlws.FILTER(Equipar!A:A,(Equipar!B:B=2)*(Equipar!AC:AC=A135)),""),"")</f>
        <v>Tsukishima</v>
      </c>
    </row>
    <row r="136" spans="1:10" x14ac:dyDescent="0.25">
      <c r="A136" s="1">
        <v>153</v>
      </c>
      <c r="B136" s="7" t="s">
        <v>54</v>
      </c>
      <c r="C136" s="7" t="s">
        <v>21</v>
      </c>
      <c r="D136" s="7" t="s">
        <v>34</v>
      </c>
      <c r="E136" s="7" t="s">
        <v>32</v>
      </c>
      <c r="F136" s="7" t="s">
        <v>34</v>
      </c>
      <c r="G136" s="7" t="s">
        <v>36</v>
      </c>
      <c r="I136" s="2" t="str">
        <f ca="1">IF(ISNUMBER(A136),
IF(COUNTIFS(Equipar!B:B,2,Equipar!AC:AC,A136),"Equipada",
IF(
  OR(COUNTIFS(Equipar!B:B,2,Equipar!C:C,A136)
 +COUNTIFS(Equipar!B:B,2,Equipar!D:D,A136)
+COUNTIFS(Equipar!B:B,2,Equipar!E:E,A136)
+COUNTIFS(Equipar!B:B,2,Equipar!F:F,A136)
&gt;0,COUNTIF('Set recomendado'!B:B,C136)=0),
"Bloqueada",
"Desechable")),""
)</f>
        <v>Desechable</v>
      </c>
      <c r="J136" t="str" cm="1">
        <f t="array" ref="J136">IF(ISNUMBER(A136),IFERROR(_xlfn._xlws.FILTER(Equipar!A:A,(Equipar!B:B=2)*(Equipar!AC:AC=A136)),""),"")</f>
        <v/>
      </c>
    </row>
    <row r="137" spans="1:10" x14ac:dyDescent="0.25">
      <c r="A137" s="1">
        <v>154</v>
      </c>
      <c r="B137" s="7" t="s">
        <v>54</v>
      </c>
      <c r="C137" s="7" t="s">
        <v>21</v>
      </c>
      <c r="D137" s="7" t="s">
        <v>42</v>
      </c>
      <c r="E137" s="7" t="s">
        <v>32</v>
      </c>
      <c r="F137" s="7" t="s">
        <v>32</v>
      </c>
      <c r="I137" s="2" t="str">
        <f ca="1">IF(ISNUMBER(A137),
IF(COUNTIFS(Equipar!B:B,2,Equipar!AC:AC,A137),"Equipada",
IF(
  OR(COUNTIFS(Equipar!B:B,2,Equipar!C:C,A137)
 +COUNTIFS(Equipar!B:B,2,Equipar!D:D,A137)
+COUNTIFS(Equipar!B:B,2,Equipar!E:E,A137)
+COUNTIFS(Equipar!B:B,2,Equipar!F:F,A137)
&gt;0,COUNTIF('Set recomendado'!B:B,C137)=0),
"Bloqueada",
"Desechable")),""
)</f>
        <v>Desechable</v>
      </c>
      <c r="J137" t="str" cm="1">
        <f t="array" ref="J137">IF(ISNUMBER(A137),IFERROR(_xlfn._xlws.FILTER(Equipar!A:A,(Equipar!B:B=2)*(Equipar!AC:AC=A137)),""),"")</f>
        <v/>
      </c>
    </row>
    <row r="138" spans="1:10" x14ac:dyDescent="0.25">
      <c r="A138" s="1">
        <v>155</v>
      </c>
      <c r="B138" s="7" t="s">
        <v>54</v>
      </c>
      <c r="C138" s="7" t="s">
        <v>29</v>
      </c>
      <c r="D138" s="7" t="s">
        <v>33</v>
      </c>
      <c r="E138" s="7" t="s">
        <v>41</v>
      </c>
      <c r="F138" s="7" t="s">
        <v>32</v>
      </c>
      <c r="I138" s="2" t="str">
        <f ca="1">IF(ISNUMBER(A138),
IF(COUNTIFS(Equipar!B:B,2,Equipar!AC:AC,A138),"Equipada",
IF(
  OR(COUNTIFS(Equipar!B:B,2,Equipar!C:C,A138)
 +COUNTIFS(Equipar!B:B,2,Equipar!D:D,A138)
+COUNTIFS(Equipar!B:B,2,Equipar!E:E,A138)
+COUNTIFS(Equipar!B:B,2,Equipar!F:F,A138)
&gt;0,COUNTIF('Set recomendado'!B:B,C138)=0),
"Bloqueada",
"Desechable")),""
)</f>
        <v>Desechable</v>
      </c>
      <c r="J138" t="str" cm="1">
        <f t="array" ref="J138">IF(ISNUMBER(A138),IFERROR(_xlfn._xlws.FILTER(Equipar!A:A,(Equipar!B:B=2)*(Equipar!AC:AC=A138)),""),"")</f>
        <v/>
      </c>
    </row>
    <row r="139" spans="1:10" x14ac:dyDescent="0.25">
      <c r="A139" s="1">
        <v>156</v>
      </c>
      <c r="B139" s="7" t="s">
        <v>54</v>
      </c>
      <c r="C139" s="7" t="s">
        <v>29</v>
      </c>
      <c r="D139" s="7" t="s">
        <v>33</v>
      </c>
      <c r="E139" s="7" t="s">
        <v>38</v>
      </c>
      <c r="F139" s="7" t="s">
        <v>42</v>
      </c>
      <c r="I139" s="2" t="str">
        <f ca="1">IF(ISNUMBER(A139),
IF(COUNTIFS(Equipar!B:B,2,Equipar!AC:AC,A139),"Equipada",
IF(
  OR(COUNTIFS(Equipar!B:B,2,Equipar!C:C,A139)
 +COUNTIFS(Equipar!B:B,2,Equipar!D:D,A139)
+COUNTIFS(Equipar!B:B,2,Equipar!E:E,A139)
+COUNTIFS(Equipar!B:B,2,Equipar!F:F,A139)
&gt;0,COUNTIF('Set recomendado'!B:B,C139)=0),
"Bloqueada",
"Desechable")),""
)</f>
        <v>Desechable</v>
      </c>
      <c r="J139" t="str" cm="1">
        <f t="array" ref="J139">IF(ISNUMBER(A139),IFERROR(_xlfn._xlws.FILTER(Equipar!A:A,(Equipar!B:B=2)*(Equipar!AC:AC=A139)),""),"")</f>
        <v/>
      </c>
    </row>
    <row r="140" spans="1:10" x14ac:dyDescent="0.25">
      <c r="A140" s="1">
        <v>157</v>
      </c>
      <c r="B140" s="7" t="s">
        <v>54</v>
      </c>
      <c r="C140" s="7" t="s">
        <v>29</v>
      </c>
      <c r="D140" s="7" t="s">
        <v>32</v>
      </c>
      <c r="E140" s="7" t="s">
        <v>42</v>
      </c>
      <c r="F140" s="7" t="s">
        <v>41</v>
      </c>
      <c r="I140" s="2" t="str">
        <f ca="1">IF(ISNUMBER(A140),
IF(COUNTIFS(Equipar!B:B,2,Equipar!AC:AC,A140),"Equipada",
IF(
  OR(COUNTIFS(Equipar!B:B,2,Equipar!C:C,A140)
 +COUNTIFS(Equipar!B:B,2,Equipar!D:D,A140)
+COUNTIFS(Equipar!B:B,2,Equipar!E:E,A140)
+COUNTIFS(Equipar!B:B,2,Equipar!F:F,A140)
&gt;0,COUNTIF('Set recomendado'!B:B,C140)=0),
"Bloqueada",
"Desechable")),""
)</f>
        <v>Desechable</v>
      </c>
      <c r="J140" t="str" cm="1">
        <f t="array" ref="J140">IF(ISNUMBER(A140),IFERROR(_xlfn._xlws.FILTER(Equipar!A:A,(Equipar!B:B=2)*(Equipar!AC:AC=A140)),""),"")</f>
        <v/>
      </c>
    </row>
    <row r="141" spans="1:10" x14ac:dyDescent="0.25">
      <c r="A141" s="1">
        <v>158</v>
      </c>
      <c r="B141" s="7" t="s">
        <v>54</v>
      </c>
      <c r="C141" s="7" t="s">
        <v>29</v>
      </c>
      <c r="D141" s="7" t="s">
        <v>33</v>
      </c>
      <c r="E141" s="7" t="s">
        <v>38</v>
      </c>
      <c r="F141" s="7" t="s">
        <v>33</v>
      </c>
      <c r="G141" s="7" t="s">
        <v>41</v>
      </c>
      <c r="I141" s="2" t="str">
        <f ca="1">IF(ISNUMBER(A141),
IF(COUNTIFS(Equipar!B:B,2,Equipar!AC:AC,A141),"Equipada",
IF(
  OR(COUNTIFS(Equipar!B:B,2,Equipar!C:C,A141)
 +COUNTIFS(Equipar!B:B,2,Equipar!D:D,A141)
+COUNTIFS(Equipar!B:B,2,Equipar!E:E,A141)
+COUNTIFS(Equipar!B:B,2,Equipar!F:F,A141)
&gt;0,COUNTIF('Set recomendado'!B:B,C141)=0),
"Bloqueada",
"Desechable")),""
)</f>
        <v>Desechable</v>
      </c>
      <c r="J141" t="str" cm="1">
        <f t="array" ref="J141">IF(ISNUMBER(A141),IFERROR(_xlfn._xlws.FILTER(Equipar!A:A,(Equipar!B:B=2)*(Equipar!AC:AC=A141)),""),"")</f>
        <v/>
      </c>
    </row>
    <row r="142" spans="1:10" x14ac:dyDescent="0.25">
      <c r="A142" s="1">
        <v>159</v>
      </c>
      <c r="B142" s="7" t="s">
        <v>54</v>
      </c>
      <c r="C142" s="7" t="s">
        <v>29</v>
      </c>
      <c r="D142" s="7" t="s">
        <v>32</v>
      </c>
      <c r="E142" s="7" t="s">
        <v>40</v>
      </c>
      <c r="F142" s="7" t="s">
        <v>37</v>
      </c>
      <c r="G142" s="7" t="s">
        <v>43</v>
      </c>
      <c r="I142" s="2" t="str">
        <f ca="1">IF(ISNUMBER(A142),
IF(COUNTIFS(Equipar!B:B,2,Equipar!AC:AC,A142),"Equipada",
IF(
  OR(COUNTIFS(Equipar!B:B,2,Equipar!C:C,A142)
 +COUNTIFS(Equipar!B:B,2,Equipar!D:D,A142)
+COUNTIFS(Equipar!B:B,2,Equipar!E:E,A142)
+COUNTIFS(Equipar!B:B,2,Equipar!F:F,A142)
&gt;0,COUNTIF('Set recomendado'!B:B,C142)=0),
"Bloqueada",
"Desechable")),""
)</f>
        <v>Desechable</v>
      </c>
      <c r="J142" t="str" cm="1">
        <f t="array" ref="J142">IF(ISNUMBER(A142),IFERROR(_xlfn._xlws.FILTER(Equipar!A:A,(Equipar!B:B=2)*(Equipar!AC:AC=A142)),""),"")</f>
        <v/>
      </c>
    </row>
    <row r="143" spans="1:10" x14ac:dyDescent="0.25">
      <c r="A143" s="1">
        <v>160</v>
      </c>
      <c r="B143" s="7" t="s">
        <v>54</v>
      </c>
      <c r="C143" s="7" t="s">
        <v>29</v>
      </c>
      <c r="D143" s="7" t="s">
        <v>32</v>
      </c>
      <c r="E143" s="7" t="s">
        <v>34</v>
      </c>
      <c r="F143" s="7" t="s">
        <v>36</v>
      </c>
      <c r="I143" s="2" t="str">
        <f ca="1">IF(ISNUMBER(A143),
IF(COUNTIFS(Equipar!B:B,2,Equipar!AC:AC,A143),"Equipada",
IF(
  OR(COUNTIFS(Equipar!B:B,2,Equipar!C:C,A143)
 +COUNTIFS(Equipar!B:B,2,Equipar!D:D,A143)
+COUNTIFS(Equipar!B:B,2,Equipar!E:E,A143)
+COUNTIFS(Equipar!B:B,2,Equipar!F:F,A143)
&gt;0,COUNTIF('Set recomendado'!B:B,C143)=0),
"Bloqueada",
"Desechable")),""
)</f>
        <v>Desechable</v>
      </c>
      <c r="J143" t="str" cm="1">
        <f t="array" ref="J143">IF(ISNUMBER(A143),IFERROR(_xlfn._xlws.FILTER(Equipar!A:A,(Equipar!B:B=2)*(Equipar!AC:AC=A143)),""),"")</f>
        <v/>
      </c>
    </row>
    <row r="144" spans="1:10" x14ac:dyDescent="0.25">
      <c r="A144" s="1">
        <v>161</v>
      </c>
      <c r="B144" s="7" t="s">
        <v>54</v>
      </c>
      <c r="C144" s="7" t="s">
        <v>29</v>
      </c>
      <c r="D144" s="7" t="s">
        <v>34</v>
      </c>
      <c r="E144" s="7" t="s">
        <v>43</v>
      </c>
      <c r="F144" s="7" t="s">
        <v>37</v>
      </c>
      <c r="G144" s="7" t="s">
        <v>36</v>
      </c>
      <c r="I144" s="2" t="str">
        <f ca="1">IF(ISNUMBER(A144),
IF(COUNTIFS(Equipar!B:B,2,Equipar!AC:AC,A144),"Equipada",
IF(
  OR(COUNTIFS(Equipar!B:B,2,Equipar!C:C,A144)
 +COUNTIFS(Equipar!B:B,2,Equipar!D:D,A144)
+COUNTIFS(Equipar!B:B,2,Equipar!E:E,A144)
+COUNTIFS(Equipar!B:B,2,Equipar!F:F,A144)
&gt;0,COUNTIF('Set recomendado'!B:B,C144)=0),
"Bloqueada",
"Desechable")),""
)</f>
        <v>Desechable</v>
      </c>
      <c r="J144" t="str" cm="1">
        <f t="array" ref="J144">IF(ISNUMBER(A144),IFERROR(_xlfn._xlws.FILTER(Equipar!A:A,(Equipar!B:B=2)*(Equipar!AC:AC=A144)),""),"")</f>
        <v/>
      </c>
    </row>
    <row r="145" spans="1:10" x14ac:dyDescent="0.25">
      <c r="A145" s="1">
        <v>162</v>
      </c>
      <c r="B145" s="7" t="s">
        <v>54</v>
      </c>
      <c r="C145" s="7" t="s">
        <v>29</v>
      </c>
      <c r="D145" s="7" t="s">
        <v>41</v>
      </c>
      <c r="E145" s="7" t="s">
        <v>36</v>
      </c>
      <c r="F145" s="7" t="s">
        <v>42</v>
      </c>
      <c r="G145" s="4"/>
      <c r="H145" s="4"/>
      <c r="I145" s="2" t="str">
        <f ca="1">IF(ISNUMBER(A145),
IF(COUNTIFS(Equipar!B:B,2,Equipar!AC:AC,A145),"Equipada",
IF(
  OR(COUNTIFS(Equipar!B:B,2,Equipar!C:C,A145)
 +COUNTIFS(Equipar!B:B,2,Equipar!D:D,A145)
+COUNTIFS(Equipar!B:B,2,Equipar!E:E,A145)
+COUNTIFS(Equipar!B:B,2,Equipar!F:F,A145)
&gt;0,COUNTIF('Set recomendado'!B:B,C145)=0),
"Bloqueada",
"Desechable")),""
)</f>
        <v>Desechable</v>
      </c>
      <c r="J145" t="str" cm="1">
        <f t="array" ref="J145">IF(ISNUMBER(A145),IFERROR(_xlfn._xlws.FILTER(Equipar!A:A,(Equipar!B:B=2)*(Equipar!AC:AC=A145)),""),"")</f>
        <v/>
      </c>
    </row>
    <row r="146" spans="1:10" x14ac:dyDescent="0.25">
      <c r="A146" s="1">
        <v>163</v>
      </c>
      <c r="B146" s="7" t="s">
        <v>53</v>
      </c>
      <c r="C146" s="7" t="s">
        <v>29</v>
      </c>
      <c r="D146" s="7" t="s">
        <v>34</v>
      </c>
      <c r="E146" s="7" t="s">
        <v>43</v>
      </c>
      <c r="F146" s="7" t="s">
        <v>38</v>
      </c>
      <c r="G146" s="7" t="s">
        <v>39</v>
      </c>
      <c r="H146" s="7" t="s">
        <v>33</v>
      </c>
      <c r="I146" s="2" t="str">
        <f ca="1">IF(ISNUMBER(A146),
IF(COUNTIFS(Equipar!B:B,2,Equipar!AC:AC,A146),"Equipada",
IF(
  OR(COUNTIFS(Equipar!B:B,2,Equipar!C:C,A146)
 +COUNTIFS(Equipar!B:B,2,Equipar!D:D,A146)
+COUNTIFS(Equipar!B:B,2,Equipar!E:E,A146)
+COUNTIFS(Equipar!B:B,2,Equipar!F:F,A146)
&gt;0,COUNTIF('Set recomendado'!B:B,C146)=0),
"Bloqueada",
"Desechable")),""
)</f>
        <v>Desechable</v>
      </c>
      <c r="J146" t="str" cm="1">
        <f t="array" ref="J146">IF(ISNUMBER(A146),IFERROR(_xlfn._xlws.FILTER(Equipar!A:A,(Equipar!B:B=2)*(Equipar!AC:AC=A146)),""),"")</f>
        <v/>
      </c>
    </row>
    <row r="147" spans="1:10" x14ac:dyDescent="0.25">
      <c r="A147" s="1">
        <v>164</v>
      </c>
      <c r="B147" s="7" t="s">
        <v>54</v>
      </c>
      <c r="C147" s="7" t="s">
        <v>55</v>
      </c>
      <c r="D147" s="7" t="s">
        <v>32</v>
      </c>
      <c r="E147" s="7" t="s">
        <v>43</v>
      </c>
      <c r="F147" s="7" t="s">
        <v>42</v>
      </c>
      <c r="G147" s="7" t="s">
        <v>32</v>
      </c>
      <c r="I147" s="2" t="str">
        <f ca="1">IF(ISNUMBER(A147),
IF(COUNTIFS(Equipar!B:B,2,Equipar!AC:AC,A147),"Equipada",
IF(
  OR(COUNTIFS(Equipar!B:B,2,Equipar!C:C,A147)
 +COUNTIFS(Equipar!B:B,2,Equipar!D:D,A147)
+COUNTIFS(Equipar!B:B,2,Equipar!E:E,A147)
+COUNTIFS(Equipar!B:B,2,Equipar!F:F,A147)
&gt;0,COUNTIF('Set recomendado'!B:B,C147)=0),
"Bloqueada",
"Desechable")),""
)</f>
        <v>Desechable</v>
      </c>
      <c r="J147" t="str" cm="1">
        <f t="array" ref="J147">IF(ISNUMBER(A147),IFERROR(_xlfn._xlws.FILTER(Equipar!A:A,(Equipar!B:B=2)*(Equipar!AC:AC=A147)),""),"")</f>
        <v/>
      </c>
    </row>
    <row r="148" spans="1:10" x14ac:dyDescent="0.25">
      <c r="A148" s="1">
        <v>165</v>
      </c>
      <c r="B148" s="7" t="s">
        <v>54</v>
      </c>
      <c r="C148" s="7" t="s">
        <v>21</v>
      </c>
      <c r="D148" s="7" t="s">
        <v>41</v>
      </c>
      <c r="E148" s="7" t="s">
        <v>42</v>
      </c>
      <c r="F148" s="7" t="s">
        <v>44</v>
      </c>
      <c r="I148" s="2" t="str">
        <f ca="1">IF(ISNUMBER(A148),
IF(COUNTIFS(Equipar!B:B,2,Equipar!AC:AC,A148),"Equipada",
IF(
  OR(COUNTIFS(Equipar!B:B,2,Equipar!C:C,A148)
 +COUNTIFS(Equipar!B:B,2,Equipar!D:D,A148)
+COUNTIFS(Equipar!B:B,2,Equipar!E:E,A148)
+COUNTIFS(Equipar!B:B,2,Equipar!F:F,A148)
&gt;0,COUNTIF('Set recomendado'!B:B,C148)=0),
"Bloqueada",
"Desechable")),""
)</f>
        <v>Desechable</v>
      </c>
      <c r="J148" t="str" cm="1">
        <f t="array" ref="J148">IF(ISNUMBER(A148),IFERROR(_xlfn._xlws.FILTER(Equipar!A:A,(Equipar!B:B=2)*(Equipar!AC:AC=A148)),""),"")</f>
        <v/>
      </c>
    </row>
    <row r="149" spans="1:10" x14ac:dyDescent="0.25">
      <c r="A149" s="1">
        <v>166</v>
      </c>
      <c r="B149" s="7" t="s">
        <v>54</v>
      </c>
      <c r="C149" s="7" t="s">
        <v>21</v>
      </c>
      <c r="D149" s="7" t="s">
        <v>36</v>
      </c>
      <c r="E149" s="7" t="s">
        <v>40</v>
      </c>
      <c r="F149" s="7" t="s">
        <v>42</v>
      </c>
      <c r="I149" s="2" t="str">
        <f ca="1">IF(ISNUMBER(A149),
IF(COUNTIFS(Equipar!B:B,2,Equipar!AC:AC,A149),"Equipada",
IF(
  OR(COUNTIFS(Equipar!B:B,2,Equipar!C:C,A149)
 +COUNTIFS(Equipar!B:B,2,Equipar!D:D,A149)
+COUNTIFS(Equipar!B:B,2,Equipar!E:E,A149)
+COUNTIFS(Equipar!B:B,2,Equipar!F:F,A149)
&gt;0,COUNTIF('Set recomendado'!B:B,C149)=0),
"Bloqueada",
"Desechable")),""
)</f>
        <v>Desechable</v>
      </c>
      <c r="J149" t="str" cm="1">
        <f t="array" ref="J149">IF(ISNUMBER(A149),IFERROR(_xlfn._xlws.FILTER(Equipar!A:A,(Equipar!B:B=2)*(Equipar!AC:AC=A149)),""),"")</f>
        <v/>
      </c>
    </row>
    <row r="150" spans="1:10" x14ac:dyDescent="0.25">
      <c r="A150" s="1">
        <v>167</v>
      </c>
      <c r="B150" s="7" t="s">
        <v>54</v>
      </c>
      <c r="C150" s="7" t="s">
        <v>29</v>
      </c>
      <c r="D150" s="7" t="s">
        <v>32</v>
      </c>
      <c r="E150" s="7" t="s">
        <v>41</v>
      </c>
      <c r="F150" s="7" t="s">
        <v>38</v>
      </c>
      <c r="G150" s="7" t="s">
        <v>38</v>
      </c>
      <c r="I150" s="2" t="str">
        <f ca="1">IF(ISNUMBER(A150),
IF(COUNTIFS(Equipar!B:B,2,Equipar!AC:AC,A150),"Equipada",
IF(
  OR(COUNTIFS(Equipar!B:B,2,Equipar!C:C,A150)
 +COUNTIFS(Equipar!B:B,2,Equipar!D:D,A150)
+COUNTIFS(Equipar!B:B,2,Equipar!E:E,A150)
+COUNTIFS(Equipar!B:B,2,Equipar!F:F,A150)
&gt;0,COUNTIF('Set recomendado'!B:B,C150)=0),
"Bloqueada",
"Desechable")),""
)</f>
        <v>Desechable</v>
      </c>
      <c r="J150" t="str" cm="1">
        <f t="array" ref="J150">IF(ISNUMBER(A150),IFERROR(_xlfn._xlws.FILTER(Equipar!A:A,(Equipar!B:B=2)*(Equipar!AC:AC=A150)),""),"")</f>
        <v/>
      </c>
    </row>
    <row r="151" spans="1:10" x14ac:dyDescent="0.25">
      <c r="A151" s="1">
        <v>168</v>
      </c>
      <c r="B151" s="7" t="s">
        <v>54</v>
      </c>
      <c r="C151" s="7" t="s">
        <v>29</v>
      </c>
      <c r="D151" s="7" t="s">
        <v>34</v>
      </c>
      <c r="E151" s="7" t="s">
        <v>38</v>
      </c>
      <c r="F151" s="7" t="s">
        <v>42</v>
      </c>
      <c r="G151" s="4"/>
      <c r="H151" s="4"/>
      <c r="I151" s="2" t="str">
        <f ca="1">IF(ISNUMBER(A151),
IF(COUNTIFS(Equipar!B:B,2,Equipar!AC:AC,A151),"Equipada",
IF(
  OR(COUNTIFS(Equipar!B:B,2,Equipar!C:C,A151)
 +COUNTIFS(Equipar!B:B,2,Equipar!D:D,A151)
+COUNTIFS(Equipar!B:B,2,Equipar!E:E,A151)
+COUNTIFS(Equipar!B:B,2,Equipar!F:F,A151)
&gt;0,COUNTIF('Set recomendado'!B:B,C151)=0),
"Bloqueada",
"Desechable")),""
)</f>
        <v>Desechable</v>
      </c>
      <c r="J151" t="str" cm="1">
        <f t="array" ref="J151">IF(ISNUMBER(A151),IFERROR(_xlfn._xlws.FILTER(Equipar!A:A,(Equipar!B:B=2)*(Equipar!AC:AC=A151)),""),"")</f>
        <v/>
      </c>
    </row>
    <row r="152" spans="1:10" x14ac:dyDescent="0.25">
      <c r="A152" s="1">
        <v>169</v>
      </c>
      <c r="B152" s="7" t="s">
        <v>54</v>
      </c>
      <c r="C152" s="7" t="s">
        <v>57</v>
      </c>
      <c r="D152" s="7" t="s">
        <v>41</v>
      </c>
      <c r="E152" s="7" t="s">
        <v>37</v>
      </c>
      <c r="F152" s="7" t="s">
        <v>34</v>
      </c>
      <c r="G152" s="7" t="s">
        <v>32</v>
      </c>
      <c r="I152" s="2" t="str">
        <f ca="1">IF(ISNUMBER(A152),
IF(COUNTIFS(Equipar!B:B,2,Equipar!AC:AC,A152),"Equipada",
IF(
  OR(COUNTIFS(Equipar!B:B,2,Equipar!C:C,A152)
 +COUNTIFS(Equipar!B:B,2,Equipar!D:D,A152)
+COUNTIFS(Equipar!B:B,2,Equipar!E:E,A152)
+COUNTIFS(Equipar!B:B,2,Equipar!F:F,A152)
&gt;0,COUNTIF('Set recomendado'!B:B,C152)=0),
"Bloqueada",
"Desechable")),""
)</f>
        <v>Bloqueada</v>
      </c>
      <c r="J152" t="str" cm="1">
        <f t="array" ref="J152">IF(ISNUMBER(A152),IFERROR(_xlfn._xlws.FILTER(Equipar!A:A,(Equipar!B:B=2)*(Equipar!AC:AC=A152)),""),"")</f>
        <v/>
      </c>
    </row>
    <row r="153" spans="1:10" x14ac:dyDescent="0.25">
      <c r="A153" s="1">
        <v>170</v>
      </c>
      <c r="B153" s="7" t="s">
        <v>54</v>
      </c>
      <c r="C153" s="7" t="s">
        <v>55</v>
      </c>
      <c r="D153" s="7" t="s">
        <v>36</v>
      </c>
      <c r="E153" s="7" t="s">
        <v>38</v>
      </c>
      <c r="F153" s="7" t="s">
        <v>44</v>
      </c>
      <c r="I153" s="2" t="str">
        <f ca="1">IF(ISNUMBER(A153),
IF(COUNTIFS(Equipar!B:B,2,Equipar!AC:AC,A153),"Equipada",
IF(
  OR(COUNTIFS(Equipar!B:B,2,Equipar!C:C,A153)
 +COUNTIFS(Equipar!B:B,2,Equipar!D:D,A153)
+COUNTIFS(Equipar!B:B,2,Equipar!E:E,A153)
+COUNTIFS(Equipar!B:B,2,Equipar!F:F,A153)
&gt;0,COUNTIF('Set recomendado'!B:B,C153)=0),
"Bloqueada",
"Desechable")),""
)</f>
        <v>Desechable</v>
      </c>
      <c r="J153" t="str" cm="1">
        <f t="array" ref="J153">IF(ISNUMBER(A153),IFERROR(_xlfn._xlws.FILTER(Equipar!A:A,(Equipar!B:B=2)*(Equipar!AC:AC=A153)),""),"")</f>
        <v/>
      </c>
    </row>
    <row r="154" spans="1:10" x14ac:dyDescent="0.25">
      <c r="A154" s="1">
        <v>171</v>
      </c>
      <c r="B154" s="7" t="s">
        <v>54</v>
      </c>
      <c r="C154" s="7" t="s">
        <v>55</v>
      </c>
      <c r="D154" s="7" t="s">
        <v>36</v>
      </c>
      <c r="E154" s="7" t="s">
        <v>36</v>
      </c>
      <c r="F154" s="7" t="s">
        <v>34</v>
      </c>
      <c r="I154" s="2" t="str">
        <f ca="1">IF(ISNUMBER(A154),
IF(COUNTIFS(Equipar!B:B,2,Equipar!AC:AC,A154),"Equipada",
IF(
  OR(COUNTIFS(Equipar!B:B,2,Equipar!C:C,A154)
 +COUNTIFS(Equipar!B:B,2,Equipar!D:D,A154)
+COUNTIFS(Equipar!B:B,2,Equipar!E:E,A154)
+COUNTIFS(Equipar!B:B,2,Equipar!F:F,A154)
&gt;0,COUNTIF('Set recomendado'!B:B,C154)=0),
"Bloqueada",
"Desechable")),""
)</f>
        <v>Desechable</v>
      </c>
      <c r="J154" t="str" cm="1">
        <f t="array" ref="J154">IF(ISNUMBER(A154),IFERROR(_xlfn._xlws.FILTER(Equipar!A:A,(Equipar!B:B=2)*(Equipar!AC:AC=A154)),""),"")</f>
        <v/>
      </c>
    </row>
    <row r="155" spans="1:10" x14ac:dyDescent="0.25">
      <c r="A155" s="1">
        <v>172</v>
      </c>
      <c r="B155" s="7" t="s">
        <v>54</v>
      </c>
      <c r="C155" s="7" t="s">
        <v>55</v>
      </c>
      <c r="D155" s="7" t="s">
        <v>32</v>
      </c>
      <c r="E155" s="7" t="s">
        <v>39</v>
      </c>
      <c r="F155" s="7" t="s">
        <v>41</v>
      </c>
      <c r="I155" s="2" t="str">
        <f ca="1">IF(ISNUMBER(A155),
IF(COUNTIFS(Equipar!B:B,2,Equipar!AC:AC,A155),"Equipada",
IF(
  OR(COUNTIFS(Equipar!B:B,2,Equipar!C:C,A155)
 +COUNTIFS(Equipar!B:B,2,Equipar!D:D,A155)
+COUNTIFS(Equipar!B:B,2,Equipar!E:E,A155)
+COUNTIFS(Equipar!B:B,2,Equipar!F:F,A155)
&gt;0,COUNTIF('Set recomendado'!B:B,C155)=0),
"Bloqueada",
"Desechable")),""
)</f>
        <v>Desechable</v>
      </c>
      <c r="J155" t="str" cm="1">
        <f t="array" ref="J155">IF(ISNUMBER(A155),IFERROR(_xlfn._xlws.FILTER(Equipar!A:A,(Equipar!B:B=2)*(Equipar!AC:AC=A155)),""),"")</f>
        <v/>
      </c>
    </row>
    <row r="156" spans="1:10" x14ac:dyDescent="0.25">
      <c r="A156" s="1">
        <v>173</v>
      </c>
      <c r="B156" s="7" t="s">
        <v>54</v>
      </c>
      <c r="C156" s="7" t="s">
        <v>55</v>
      </c>
      <c r="D156" s="7" t="s">
        <v>41</v>
      </c>
      <c r="E156" s="7" t="s">
        <v>43</v>
      </c>
      <c r="F156" s="7" t="s">
        <v>37</v>
      </c>
      <c r="I156" s="2" t="str">
        <f ca="1">IF(ISNUMBER(A156),
IF(COUNTIFS(Equipar!B:B,2,Equipar!AC:AC,A156),"Equipada",
IF(
  OR(COUNTIFS(Equipar!B:B,2,Equipar!C:C,A156)
 +COUNTIFS(Equipar!B:B,2,Equipar!D:D,A156)
+COUNTIFS(Equipar!B:B,2,Equipar!E:E,A156)
+COUNTIFS(Equipar!B:B,2,Equipar!F:F,A156)
&gt;0,COUNTIF('Set recomendado'!B:B,C156)=0),
"Bloqueada",
"Desechable")),""
)</f>
        <v>Desechable</v>
      </c>
      <c r="J156" t="str" cm="1">
        <f t="array" ref="J156">IF(ISNUMBER(A156),IFERROR(_xlfn._xlws.FILTER(Equipar!A:A,(Equipar!B:B=2)*(Equipar!AC:AC=A156)),""),"")</f>
        <v/>
      </c>
    </row>
    <row r="157" spans="1:10" x14ac:dyDescent="0.25">
      <c r="A157" s="1">
        <v>174</v>
      </c>
      <c r="B157" s="7" t="s">
        <v>54</v>
      </c>
      <c r="C157" s="7" t="s">
        <v>55</v>
      </c>
      <c r="D157" s="7" t="s">
        <v>41</v>
      </c>
      <c r="E157" s="7" t="s">
        <v>37</v>
      </c>
      <c r="F157" s="7" t="s">
        <v>38</v>
      </c>
      <c r="I157" s="2" t="str">
        <f ca="1">IF(ISNUMBER(A157),
IF(COUNTIFS(Equipar!B:B,2,Equipar!AC:AC,A157),"Equipada",
IF(
  OR(COUNTIFS(Equipar!B:B,2,Equipar!C:C,A157)
 +COUNTIFS(Equipar!B:B,2,Equipar!D:D,A157)
+COUNTIFS(Equipar!B:B,2,Equipar!E:E,A157)
+COUNTIFS(Equipar!B:B,2,Equipar!F:F,A157)
&gt;0,COUNTIF('Set recomendado'!B:B,C157)=0),
"Bloqueada",
"Desechable")),""
)</f>
        <v>Desechable</v>
      </c>
      <c r="J157" t="str" cm="1">
        <f t="array" ref="J157">IF(ISNUMBER(A157),IFERROR(_xlfn._xlws.FILTER(Equipar!A:A,(Equipar!B:B=2)*(Equipar!AC:AC=A157)),""),"")</f>
        <v/>
      </c>
    </row>
    <row r="158" spans="1:10" x14ac:dyDescent="0.25">
      <c r="A158" s="1">
        <v>175</v>
      </c>
      <c r="B158" s="7" t="s">
        <v>54</v>
      </c>
      <c r="C158" s="7" t="s">
        <v>29</v>
      </c>
      <c r="D158" s="7" t="s">
        <v>36</v>
      </c>
      <c r="E158" s="7" t="s">
        <v>37</v>
      </c>
      <c r="F158" s="7" t="s">
        <v>42</v>
      </c>
      <c r="I158" s="2" t="str">
        <f ca="1">IF(ISNUMBER(A158),
IF(COUNTIFS(Equipar!B:B,2,Equipar!AC:AC,A158),"Equipada",
IF(
  OR(COUNTIFS(Equipar!B:B,2,Equipar!C:C,A158)
 +COUNTIFS(Equipar!B:B,2,Equipar!D:D,A158)
+COUNTIFS(Equipar!B:B,2,Equipar!E:E,A158)
+COUNTIFS(Equipar!B:B,2,Equipar!F:F,A158)
&gt;0,COUNTIF('Set recomendado'!B:B,C158)=0),
"Bloqueada",
"Desechable")),""
)</f>
        <v>Desechable</v>
      </c>
      <c r="J158" t="str" cm="1">
        <f t="array" ref="J158">IF(ISNUMBER(A158),IFERROR(_xlfn._xlws.FILTER(Equipar!A:A,(Equipar!B:B=2)*(Equipar!AC:AC=A158)),""),"")</f>
        <v/>
      </c>
    </row>
    <row r="159" spans="1:10" x14ac:dyDescent="0.25">
      <c r="A159" s="1">
        <v>176</v>
      </c>
      <c r="B159" s="7" t="s">
        <v>54</v>
      </c>
      <c r="C159" s="7" t="s">
        <v>29</v>
      </c>
      <c r="D159" s="7" t="s">
        <v>33</v>
      </c>
      <c r="E159" s="7" t="s">
        <v>43</v>
      </c>
      <c r="F159" s="7" t="s">
        <v>37</v>
      </c>
      <c r="I159" s="2" t="str">
        <f ca="1">IF(ISNUMBER(A159),
IF(COUNTIFS(Equipar!B:B,2,Equipar!AC:AC,A159),"Equipada",
IF(
  OR(COUNTIFS(Equipar!B:B,2,Equipar!C:C,A159)
 +COUNTIFS(Equipar!B:B,2,Equipar!D:D,A159)
+COUNTIFS(Equipar!B:B,2,Equipar!E:E,A159)
+COUNTIFS(Equipar!B:B,2,Equipar!F:F,A159)
&gt;0,COUNTIF('Set recomendado'!B:B,C159)=0),
"Bloqueada",
"Desechable")),""
)</f>
        <v>Desechable</v>
      </c>
      <c r="J159" t="str" cm="1">
        <f t="array" ref="J159">IF(ISNUMBER(A159),IFERROR(_xlfn._xlws.FILTER(Equipar!A:A,(Equipar!B:B=2)*(Equipar!AC:AC=A159)),""),"")</f>
        <v/>
      </c>
    </row>
    <row r="160" spans="1:10" x14ac:dyDescent="0.25">
      <c r="A160" s="1">
        <v>177</v>
      </c>
      <c r="B160" s="7" t="s">
        <v>54</v>
      </c>
      <c r="C160" s="7" t="s">
        <v>57</v>
      </c>
      <c r="D160" s="7" t="s">
        <v>36</v>
      </c>
      <c r="E160" s="7" t="s">
        <v>38</v>
      </c>
      <c r="F160" s="7" t="s">
        <v>37</v>
      </c>
      <c r="I160" s="2" t="str">
        <f ca="1">IF(ISNUMBER(A160),
IF(COUNTIFS(Equipar!B:B,2,Equipar!AC:AC,A160),"Equipada",
IF(
  OR(COUNTIFS(Equipar!B:B,2,Equipar!C:C,A160)
 +COUNTIFS(Equipar!B:B,2,Equipar!D:D,A160)
+COUNTIFS(Equipar!B:B,2,Equipar!E:E,A160)
+COUNTIFS(Equipar!B:B,2,Equipar!F:F,A160)
&gt;0,COUNTIF('Set recomendado'!B:B,C160)=0),
"Bloqueada",
"Desechable")),""
)</f>
        <v>Bloqueada</v>
      </c>
      <c r="J160" t="str" cm="1">
        <f t="array" ref="J160">IF(ISNUMBER(A160),IFERROR(_xlfn._xlws.FILTER(Equipar!A:A,(Equipar!B:B=2)*(Equipar!AC:AC=A160)),""),"")</f>
        <v/>
      </c>
    </row>
    <row r="161" spans="1:10" x14ac:dyDescent="0.25">
      <c r="A161" s="1">
        <v>178</v>
      </c>
      <c r="B161" s="7" t="s">
        <v>54</v>
      </c>
      <c r="C161" s="7" t="s">
        <v>57</v>
      </c>
      <c r="D161" s="7" t="s">
        <v>36</v>
      </c>
      <c r="E161" s="7" t="s">
        <v>37</v>
      </c>
      <c r="F161" s="7" t="s">
        <v>36</v>
      </c>
      <c r="I161" s="2" t="str">
        <f ca="1">IF(ISNUMBER(A161),
IF(COUNTIFS(Equipar!B:B,2,Equipar!AC:AC,A161),"Equipada",
IF(
  OR(COUNTIFS(Equipar!B:B,2,Equipar!C:C,A161)
 +COUNTIFS(Equipar!B:B,2,Equipar!D:D,A161)
+COUNTIFS(Equipar!B:B,2,Equipar!E:E,A161)
+COUNTIFS(Equipar!B:B,2,Equipar!F:F,A161)
&gt;0,COUNTIF('Set recomendado'!B:B,C161)=0),
"Bloqueada",
"Desechable")),""
)</f>
        <v>Bloqueada</v>
      </c>
      <c r="J161" t="str" cm="1">
        <f t="array" ref="J161">IF(ISNUMBER(A161),IFERROR(_xlfn._xlws.FILTER(Equipar!A:A,(Equipar!B:B=2)*(Equipar!AC:AC=A161)),""),"")</f>
        <v/>
      </c>
    </row>
    <row r="162" spans="1:10" x14ac:dyDescent="0.25">
      <c r="A162" s="1">
        <v>179</v>
      </c>
      <c r="B162" s="7" t="s">
        <v>54</v>
      </c>
      <c r="C162" s="7" t="s">
        <v>57</v>
      </c>
      <c r="D162" s="7" t="s">
        <v>36</v>
      </c>
      <c r="E162" s="7" t="s">
        <v>42</v>
      </c>
      <c r="F162" s="7" t="s">
        <v>41</v>
      </c>
      <c r="I162" s="2" t="str">
        <f ca="1">IF(ISNUMBER(A162),
IF(COUNTIFS(Equipar!B:B,2,Equipar!AC:AC,A162),"Equipada",
IF(
  OR(COUNTIFS(Equipar!B:B,2,Equipar!C:C,A162)
 +COUNTIFS(Equipar!B:B,2,Equipar!D:D,A162)
+COUNTIFS(Equipar!B:B,2,Equipar!E:E,A162)
+COUNTIFS(Equipar!B:B,2,Equipar!F:F,A162)
&gt;0,COUNTIF('Set recomendado'!B:B,C162)=0),
"Bloqueada",
"Desechable")),""
)</f>
        <v>Bloqueada</v>
      </c>
      <c r="J162" t="str" cm="1">
        <f t="array" ref="J162">IF(ISNUMBER(A162),IFERROR(_xlfn._xlws.FILTER(Equipar!A:A,(Equipar!B:B=2)*(Equipar!AC:AC=A162)),""),"")</f>
        <v/>
      </c>
    </row>
    <row r="163" spans="1:10" x14ac:dyDescent="0.25">
      <c r="A163" s="1">
        <v>180</v>
      </c>
      <c r="B163" s="7" t="s">
        <v>54</v>
      </c>
      <c r="C163" s="7" t="s">
        <v>57</v>
      </c>
      <c r="D163" s="7" t="s">
        <v>33</v>
      </c>
      <c r="E163" s="7" t="s">
        <v>35</v>
      </c>
      <c r="F163" s="7" t="s">
        <v>34</v>
      </c>
      <c r="G163" s="7" t="s">
        <v>40</v>
      </c>
      <c r="I163" s="2" t="str">
        <f ca="1">IF(ISNUMBER(A163),
IF(COUNTIFS(Equipar!B:B,2,Equipar!AC:AC,A163),"Equipada",
IF(
  OR(COUNTIFS(Equipar!B:B,2,Equipar!C:C,A163)
 +COUNTIFS(Equipar!B:B,2,Equipar!D:D,A163)
+COUNTIFS(Equipar!B:B,2,Equipar!E:E,A163)
+COUNTIFS(Equipar!B:B,2,Equipar!F:F,A163)
&gt;0,COUNTIF('Set recomendado'!B:B,C163)=0),
"Bloqueada",
"Desechable")),""
)</f>
        <v>Bloqueada</v>
      </c>
      <c r="J163" t="str" cm="1">
        <f t="array" ref="J163">IF(ISNUMBER(A163),IFERROR(_xlfn._xlws.FILTER(Equipar!A:A,(Equipar!B:B=2)*(Equipar!AC:AC=A163)),""),"")</f>
        <v/>
      </c>
    </row>
    <row r="164" spans="1:10" x14ac:dyDescent="0.25">
      <c r="A164" s="1">
        <v>181</v>
      </c>
      <c r="B164" s="7" t="s">
        <v>54</v>
      </c>
      <c r="C164" s="7" t="s">
        <v>57</v>
      </c>
      <c r="D164" s="7" t="s">
        <v>33</v>
      </c>
      <c r="E164" s="7" t="s">
        <v>37</v>
      </c>
      <c r="F164" s="7" t="s">
        <v>43</v>
      </c>
      <c r="G164" s="7" t="s">
        <v>33</v>
      </c>
      <c r="I164" s="2" t="str">
        <f ca="1">IF(ISNUMBER(A164),
IF(COUNTIFS(Equipar!B:B,2,Equipar!AC:AC,A164),"Equipada",
IF(
  OR(COUNTIFS(Equipar!B:B,2,Equipar!C:C,A164)
 +COUNTIFS(Equipar!B:B,2,Equipar!D:D,A164)
+COUNTIFS(Equipar!B:B,2,Equipar!E:E,A164)
+COUNTIFS(Equipar!B:B,2,Equipar!F:F,A164)
&gt;0,COUNTIF('Set recomendado'!B:B,C164)=0),
"Bloqueada",
"Desechable")),""
)</f>
        <v>Bloqueada</v>
      </c>
      <c r="J164" t="str" cm="1">
        <f t="array" ref="J164">IF(ISNUMBER(A164),IFERROR(_xlfn._xlws.FILTER(Equipar!A:A,(Equipar!B:B=2)*(Equipar!AC:AC=A164)),""),"")</f>
        <v/>
      </c>
    </row>
    <row r="165" spans="1:10" x14ac:dyDescent="0.25">
      <c r="A165" s="1">
        <v>182</v>
      </c>
      <c r="B165" s="7" t="s">
        <v>54</v>
      </c>
      <c r="C165" s="7" t="s">
        <v>55</v>
      </c>
      <c r="D165" s="7" t="s">
        <v>32</v>
      </c>
      <c r="E165" s="7" t="s">
        <v>38</v>
      </c>
      <c r="F165" s="7" t="s">
        <v>32</v>
      </c>
      <c r="I165" s="2" t="str">
        <f ca="1">IF(ISNUMBER(A165),
IF(COUNTIFS(Equipar!B:B,2,Equipar!AC:AC,A165),"Equipada",
IF(
  OR(COUNTIFS(Equipar!B:B,2,Equipar!C:C,A165)
 +COUNTIFS(Equipar!B:B,2,Equipar!D:D,A165)
+COUNTIFS(Equipar!B:B,2,Equipar!E:E,A165)
+COUNTIFS(Equipar!B:B,2,Equipar!F:F,A165)
&gt;0,COUNTIF('Set recomendado'!B:B,C165)=0),
"Bloqueada",
"Desechable")),""
)</f>
        <v>Desechable</v>
      </c>
      <c r="J165" t="str" cm="1">
        <f t="array" ref="J165">IF(ISNUMBER(A165),IFERROR(_xlfn._xlws.FILTER(Equipar!A:A,(Equipar!B:B=2)*(Equipar!AC:AC=A165)),""),"")</f>
        <v/>
      </c>
    </row>
    <row r="166" spans="1:10" x14ac:dyDescent="0.25">
      <c r="A166" s="1">
        <v>183</v>
      </c>
      <c r="B166" s="7" t="s">
        <v>54</v>
      </c>
      <c r="C166" s="7" t="s">
        <v>55</v>
      </c>
      <c r="D166" s="7" t="s">
        <v>34</v>
      </c>
      <c r="E166" s="7" t="s">
        <v>32</v>
      </c>
      <c r="F166" s="7" t="s">
        <v>41</v>
      </c>
      <c r="G166" s="7" t="s">
        <v>38</v>
      </c>
      <c r="I166" s="2" t="str">
        <f ca="1">IF(ISNUMBER(A166),
IF(COUNTIFS(Equipar!B:B,2,Equipar!AC:AC,A166),"Equipada",
IF(
  OR(COUNTIFS(Equipar!B:B,2,Equipar!C:C,A166)
 +COUNTIFS(Equipar!B:B,2,Equipar!D:D,A166)
+COUNTIFS(Equipar!B:B,2,Equipar!E:E,A166)
+COUNTIFS(Equipar!B:B,2,Equipar!F:F,A166)
&gt;0,COUNTIF('Set recomendado'!B:B,C166)=0),
"Bloqueada",
"Desechable")),""
)</f>
        <v>Desechable</v>
      </c>
      <c r="J166" t="str" cm="1">
        <f t="array" ref="J166">IF(ISNUMBER(A166),IFERROR(_xlfn._xlws.FILTER(Equipar!A:A,(Equipar!B:B=2)*(Equipar!AC:AC=A166)),""),"")</f>
        <v/>
      </c>
    </row>
    <row r="167" spans="1:10" x14ac:dyDescent="0.25">
      <c r="A167" s="1">
        <v>184</v>
      </c>
      <c r="B167" s="7" t="s">
        <v>54</v>
      </c>
      <c r="C167" s="7" t="s">
        <v>21</v>
      </c>
      <c r="D167" s="7" t="s">
        <v>36</v>
      </c>
      <c r="E167" s="7" t="s">
        <v>41</v>
      </c>
      <c r="F167" s="7" t="s">
        <v>36</v>
      </c>
      <c r="I167" s="2" t="str">
        <f ca="1">IF(ISNUMBER(A167),
IF(COUNTIFS(Equipar!B:B,2,Equipar!AC:AC,A167),"Equipada",
IF(
  OR(COUNTIFS(Equipar!B:B,2,Equipar!C:C,A167)
 +COUNTIFS(Equipar!B:B,2,Equipar!D:D,A167)
+COUNTIFS(Equipar!B:B,2,Equipar!E:E,A167)
+COUNTIFS(Equipar!B:B,2,Equipar!F:F,A167)
&gt;0,COUNTIF('Set recomendado'!B:B,C167)=0),
"Bloqueada",
"Desechable")),""
)</f>
        <v>Desechable</v>
      </c>
      <c r="J167" t="str" cm="1">
        <f t="array" ref="J167">IF(ISNUMBER(A167),IFERROR(_xlfn._xlws.FILTER(Equipar!A:A,(Equipar!B:B=2)*(Equipar!AC:AC=A167)),""),"")</f>
        <v/>
      </c>
    </row>
    <row r="168" spans="1:10" x14ac:dyDescent="0.25">
      <c r="A168" s="1">
        <v>185</v>
      </c>
      <c r="B168" s="7" t="s">
        <v>54</v>
      </c>
      <c r="C168" s="7" t="s">
        <v>21</v>
      </c>
      <c r="D168" s="7" t="s">
        <v>42</v>
      </c>
      <c r="E168" s="7" t="s">
        <v>38</v>
      </c>
      <c r="F168" s="7" t="s">
        <v>42</v>
      </c>
      <c r="I168" s="2" t="str">
        <f ca="1">IF(ISNUMBER(A168),
IF(COUNTIFS(Equipar!B:B,2,Equipar!AC:AC,A168),"Equipada",
IF(
  OR(COUNTIFS(Equipar!B:B,2,Equipar!C:C,A168)
 +COUNTIFS(Equipar!B:B,2,Equipar!D:D,A168)
+COUNTIFS(Equipar!B:B,2,Equipar!E:E,A168)
+COUNTIFS(Equipar!B:B,2,Equipar!F:F,A168)
&gt;0,COUNTIF('Set recomendado'!B:B,C168)=0),
"Bloqueada",
"Desechable")),""
)</f>
        <v>Desechable</v>
      </c>
      <c r="J168" t="str" cm="1">
        <f t="array" ref="J168">IF(ISNUMBER(A168),IFERROR(_xlfn._xlws.FILTER(Equipar!A:A,(Equipar!B:B=2)*(Equipar!AC:AC=A168)),""),"")</f>
        <v/>
      </c>
    </row>
    <row r="169" spans="1:10" x14ac:dyDescent="0.25">
      <c r="A169" s="1">
        <v>186</v>
      </c>
      <c r="B169" s="7" t="s">
        <v>54</v>
      </c>
      <c r="C169" s="7" t="s">
        <v>21</v>
      </c>
      <c r="D169" s="7" t="s">
        <v>41</v>
      </c>
      <c r="E169" s="7" t="s">
        <v>44</v>
      </c>
      <c r="F169" s="7" t="s">
        <v>32</v>
      </c>
      <c r="I169" s="2" t="str">
        <f ca="1">IF(ISNUMBER(A169),
IF(COUNTIFS(Equipar!B:B,2,Equipar!AC:AC,A169),"Equipada",
IF(
  OR(COUNTIFS(Equipar!B:B,2,Equipar!C:C,A169)
 +COUNTIFS(Equipar!B:B,2,Equipar!D:D,A169)
+COUNTIFS(Equipar!B:B,2,Equipar!E:E,A169)
+COUNTIFS(Equipar!B:B,2,Equipar!F:F,A169)
&gt;0,COUNTIF('Set recomendado'!B:B,C169)=0),
"Bloqueada",
"Desechable")),""
)</f>
        <v>Desechable</v>
      </c>
      <c r="J169" t="str" cm="1">
        <f t="array" ref="J169">IF(ISNUMBER(A169),IFERROR(_xlfn._xlws.FILTER(Equipar!A:A,(Equipar!B:B=2)*(Equipar!AC:AC=A169)),""),"")</f>
        <v/>
      </c>
    </row>
    <row r="170" spans="1:10" x14ac:dyDescent="0.25">
      <c r="A170" s="1">
        <v>187</v>
      </c>
      <c r="B170" s="7" t="s">
        <v>54</v>
      </c>
      <c r="C170" s="7" t="s">
        <v>21</v>
      </c>
      <c r="D170" s="7" t="s">
        <v>41</v>
      </c>
      <c r="E170" s="7" t="s">
        <v>36</v>
      </c>
      <c r="F170" s="7" t="s">
        <v>37</v>
      </c>
      <c r="G170" s="7" t="s">
        <v>37</v>
      </c>
      <c r="I170" s="2" t="str">
        <f ca="1">IF(ISNUMBER(A170),
IF(COUNTIFS(Equipar!B:B,2,Equipar!AC:AC,A170),"Equipada",
IF(
  OR(COUNTIFS(Equipar!B:B,2,Equipar!C:C,A170)
 +COUNTIFS(Equipar!B:B,2,Equipar!D:D,A170)
+COUNTIFS(Equipar!B:B,2,Equipar!E:E,A170)
+COUNTIFS(Equipar!B:B,2,Equipar!F:F,A170)
&gt;0,COUNTIF('Set recomendado'!B:B,C170)=0),
"Bloqueada",
"Desechable")),""
)</f>
        <v>Desechable</v>
      </c>
      <c r="J170" t="str" cm="1">
        <f t="array" ref="J170">IF(ISNUMBER(A170),IFERROR(_xlfn._xlws.FILTER(Equipar!A:A,(Equipar!B:B=2)*(Equipar!AC:AC=A170)),""),"")</f>
        <v/>
      </c>
    </row>
    <row r="171" spans="1:10" x14ac:dyDescent="0.25">
      <c r="A171" s="1">
        <v>188</v>
      </c>
      <c r="B171" s="7" t="s">
        <v>54</v>
      </c>
      <c r="C171" s="7" t="s">
        <v>21</v>
      </c>
      <c r="D171" s="7" t="s">
        <v>34</v>
      </c>
      <c r="E171" s="7" t="s">
        <v>38</v>
      </c>
      <c r="F171" s="7" t="s">
        <v>43</v>
      </c>
      <c r="I171" s="2" t="str">
        <f ca="1">IF(ISNUMBER(A171),
IF(COUNTIFS(Equipar!B:B,2,Equipar!AC:AC,A171),"Equipada",
IF(
  OR(COUNTIFS(Equipar!B:B,2,Equipar!C:C,A171)
 +COUNTIFS(Equipar!B:B,2,Equipar!D:D,A171)
+COUNTIFS(Equipar!B:B,2,Equipar!E:E,A171)
+COUNTIFS(Equipar!B:B,2,Equipar!F:F,A171)
&gt;0,COUNTIF('Set recomendado'!B:B,C171)=0),
"Bloqueada",
"Desechable")),""
)</f>
        <v>Desechable</v>
      </c>
      <c r="J171" t="str" cm="1">
        <f t="array" ref="J171">IF(ISNUMBER(A171),IFERROR(_xlfn._xlws.FILTER(Equipar!A:A,(Equipar!B:B=2)*(Equipar!AC:AC=A171)),""),"")</f>
        <v/>
      </c>
    </row>
    <row r="172" spans="1:10" x14ac:dyDescent="0.25">
      <c r="A172" s="1">
        <v>189</v>
      </c>
      <c r="B172" s="7" t="s">
        <v>54</v>
      </c>
      <c r="C172" s="7" t="s">
        <v>21</v>
      </c>
      <c r="D172" s="7" t="s">
        <v>32</v>
      </c>
      <c r="E172" s="7" t="s">
        <v>35</v>
      </c>
      <c r="F172" s="7" t="s">
        <v>38</v>
      </c>
      <c r="I172" s="2" t="str">
        <f ca="1">IF(ISNUMBER(A172),
IF(COUNTIFS(Equipar!B:B,2,Equipar!AC:AC,A172),"Equipada",
IF(
  OR(COUNTIFS(Equipar!B:B,2,Equipar!C:C,A172)
 +COUNTIFS(Equipar!B:B,2,Equipar!D:D,A172)
+COUNTIFS(Equipar!B:B,2,Equipar!E:E,A172)
+COUNTIFS(Equipar!B:B,2,Equipar!F:F,A172)
&gt;0,COUNTIF('Set recomendado'!B:B,C172)=0),
"Bloqueada",
"Desechable")),""
)</f>
        <v>Desechable</v>
      </c>
      <c r="J172" t="str" cm="1">
        <f t="array" ref="J172">IF(ISNUMBER(A172),IFERROR(_xlfn._xlws.FILTER(Equipar!A:A,(Equipar!B:B=2)*(Equipar!AC:AC=A172)),""),"")</f>
        <v/>
      </c>
    </row>
    <row r="173" spans="1:10" x14ac:dyDescent="0.25">
      <c r="A173" s="1">
        <v>190</v>
      </c>
      <c r="B173" s="7" t="s">
        <v>53</v>
      </c>
      <c r="C173" s="7" t="s">
        <v>57</v>
      </c>
      <c r="D173" s="7" t="s">
        <v>41</v>
      </c>
      <c r="E173" s="7" t="s">
        <v>43</v>
      </c>
      <c r="F173" s="7" t="s">
        <v>36</v>
      </c>
      <c r="G173" s="7" t="s">
        <v>38</v>
      </c>
      <c r="H173" s="7" t="s">
        <v>37</v>
      </c>
      <c r="I173" s="2" t="str">
        <f ca="1">IF(ISNUMBER(A173),
IF(COUNTIFS(Equipar!B:B,2,Equipar!AC:AC,A173),"Equipada",
IF(
  OR(COUNTIFS(Equipar!B:B,2,Equipar!C:C,A173)
 +COUNTIFS(Equipar!B:B,2,Equipar!D:D,A173)
+COUNTIFS(Equipar!B:B,2,Equipar!E:E,A173)
+COUNTIFS(Equipar!B:B,2,Equipar!F:F,A173)
&gt;0,COUNTIF('Set recomendado'!B:B,C173)=0),
"Bloqueada",
"Desechable")),""
)</f>
        <v>Bloqueada</v>
      </c>
      <c r="J173" t="str" cm="1">
        <f t="array" ref="J173">IF(ISNUMBER(A173),IFERROR(_xlfn._xlws.FILTER(Equipar!A:A,(Equipar!B:B=2)*(Equipar!AC:AC=A173)),""),"")</f>
        <v/>
      </c>
    </row>
    <row r="174" spans="1:10" x14ac:dyDescent="0.25">
      <c r="A174" s="1">
        <f>IF(A173="ID",1,IF(ISBLANK(B174),"",MAX(A$2:A173)+1))</f>
        <v>191</v>
      </c>
      <c r="B174" s="7" t="s">
        <v>53</v>
      </c>
      <c r="C174" s="7" t="s">
        <v>4</v>
      </c>
      <c r="D174" s="7" t="s">
        <v>32</v>
      </c>
      <c r="E174" s="7" t="s">
        <v>37</v>
      </c>
      <c r="F174" s="7" t="s">
        <v>33</v>
      </c>
      <c r="G174" s="7" t="s">
        <v>41</v>
      </c>
      <c r="I174" s="2" t="str">
        <f ca="1">IF(ISNUMBER(A174),
IF(COUNTIFS(Equipar!B:B,2,Equipar!AC:AC,A174),"Equipada",
IF(
  OR(COUNTIFS(Equipar!B:B,2,Equipar!C:C,A174)
 +COUNTIFS(Equipar!B:B,2,Equipar!D:D,A174)
+COUNTIFS(Equipar!B:B,2,Equipar!E:E,A174)
+COUNTIFS(Equipar!B:B,2,Equipar!F:F,A174)
&gt;0,COUNTIF('Set recomendado'!B:B,C174)=0),
"Bloqueada",
"Desechable")),""
)</f>
        <v>Bloqueada</v>
      </c>
      <c r="J174" t="str" cm="1">
        <f t="array" ref="J174">IF(ISNUMBER(A174),IFERROR(_xlfn._xlws.FILTER(Equipar!A:A,(Equipar!B:B=2)*(Equipar!AC:AC=A174)),""),"")</f>
        <v/>
      </c>
    </row>
    <row r="175" spans="1:10" x14ac:dyDescent="0.25">
      <c r="A175" s="1">
        <f>IF(A174="ID",1,IF(ISBLANK(B175),"",MAX(A$2:A174)+1))</f>
        <v>192</v>
      </c>
      <c r="B175" s="7" t="s">
        <v>53</v>
      </c>
      <c r="C175" s="7" t="s">
        <v>4</v>
      </c>
      <c r="D175" s="7" t="s">
        <v>32</v>
      </c>
      <c r="E175" s="7" t="s">
        <v>41</v>
      </c>
      <c r="F175" s="7" t="s">
        <v>38</v>
      </c>
      <c r="G175" s="7" t="s">
        <v>34</v>
      </c>
      <c r="I175" s="2" t="str">
        <f>IF(ISNUMBER(A175),
IF(COUNTIFS(Equipar!B:B,2,Equipar!AC:AC,A175),"Equipada",
IF(
  OR(COUNTIFS(Equipar!B:B,2,Equipar!C:C,A175)
 +COUNTIFS(Equipar!B:B,2,Equipar!D:D,A175)
+COUNTIFS(Equipar!B:B,2,Equipar!E:E,A175)
+COUNTIFS(Equipar!B:B,2,Equipar!F:F,A175)
&gt;0,COUNTIF('Set recomendado'!B:B,C175)=0),
"Bloqueada",
"Desechable")),""
)</f>
        <v>Equipada</v>
      </c>
      <c r="J175" t="str" cm="1">
        <f t="array" ref="J175">IF(ISNUMBER(A175),IFERROR(_xlfn._xlws.FILTER(Equipar!A:A,(Equipar!B:B=2)*(Equipar!AC:AC=A175)),""),"")</f>
        <v>Iwaizumi</v>
      </c>
    </row>
    <row r="176" spans="1:10" x14ac:dyDescent="0.25">
      <c r="A176" s="1">
        <f>IF(A175="ID",1,IF(ISBLANK(B176),"",MAX(A$2:A175)+1))</f>
        <v>193</v>
      </c>
      <c r="B176" s="7" t="s">
        <v>53</v>
      </c>
      <c r="C176" s="7" t="s">
        <v>16</v>
      </c>
      <c r="D176" s="7" t="s">
        <v>33</v>
      </c>
      <c r="E176" s="7" t="s">
        <v>42</v>
      </c>
      <c r="F176" s="7" t="s">
        <v>41</v>
      </c>
      <c r="G176" s="7" t="s">
        <v>41</v>
      </c>
      <c r="H176" s="7" t="s">
        <v>37</v>
      </c>
      <c r="I176" s="2" t="str">
        <f ca="1">IF(ISNUMBER(A176),
IF(COUNTIFS(Equipar!B:B,2,Equipar!AC:AC,A176),"Equipada",
IF(
  OR(COUNTIFS(Equipar!B:B,2,Equipar!C:C,A176)
 +COUNTIFS(Equipar!B:B,2,Equipar!D:D,A176)
+COUNTIFS(Equipar!B:B,2,Equipar!E:E,A176)
+COUNTIFS(Equipar!B:B,2,Equipar!F:F,A176)
&gt;0,COUNTIF('Set recomendado'!B:B,C176)=0),
"Bloqueada",
"Desechable")),""
)</f>
        <v>Desechable</v>
      </c>
      <c r="J176" t="str" cm="1">
        <f t="array" ref="J176">IF(ISNUMBER(A176),IFERROR(_xlfn._xlws.FILTER(Equipar!A:A,(Equipar!B:B=2)*(Equipar!AC:AC=A176)),""),"")</f>
        <v/>
      </c>
    </row>
    <row r="177" spans="1:10" x14ac:dyDescent="0.25">
      <c r="A177" s="1">
        <f>IF(A176="ID",1,IF(ISBLANK(B177),"",MAX(A$2:A176)+1))</f>
        <v>194</v>
      </c>
      <c r="B177" s="7" t="s">
        <v>53</v>
      </c>
      <c r="C177" s="7" t="s">
        <v>29</v>
      </c>
      <c r="D177" s="7" t="s">
        <v>33</v>
      </c>
      <c r="E177" s="7" t="s">
        <v>41</v>
      </c>
      <c r="F177" s="7" t="s">
        <v>38</v>
      </c>
      <c r="G177" s="7" t="s">
        <v>36</v>
      </c>
      <c r="I177" s="2" t="str">
        <f ca="1">IF(ISNUMBER(A177),
IF(COUNTIFS(Equipar!B:B,2,Equipar!AC:AC,A177),"Equipada",
IF(
  OR(COUNTIFS(Equipar!B:B,2,Equipar!C:C,A177)
 +COUNTIFS(Equipar!B:B,2,Equipar!D:D,A177)
+COUNTIFS(Equipar!B:B,2,Equipar!E:E,A177)
+COUNTIFS(Equipar!B:B,2,Equipar!F:F,A177)
&gt;0,COUNTIF('Set recomendado'!B:B,C177)=0),
"Bloqueada",
"Desechable")),""
)</f>
        <v>Desechable</v>
      </c>
      <c r="J177" t="str" cm="1">
        <f t="array" ref="J177">IF(ISNUMBER(A177),IFERROR(_xlfn._xlws.FILTER(Equipar!A:A,(Equipar!B:B=2)*(Equipar!AC:AC=A177)),""),"")</f>
        <v/>
      </c>
    </row>
    <row r="178" spans="1:10" x14ac:dyDescent="0.25">
      <c r="A178" s="1">
        <f>IF(A177="ID",1,IF(ISBLANK(B178),"",MAX(A$2:A177)+1))</f>
        <v>195</v>
      </c>
      <c r="B178" s="7" t="s">
        <v>54</v>
      </c>
      <c r="C178" s="7" t="s">
        <v>9</v>
      </c>
      <c r="D178" s="7" t="s">
        <v>41</v>
      </c>
      <c r="E178" s="7" t="s">
        <v>42</v>
      </c>
      <c r="F178" s="7" t="s">
        <v>43</v>
      </c>
      <c r="G178" s="7" t="s">
        <v>36</v>
      </c>
      <c r="I178" s="2" t="str">
        <f ca="1">IF(ISNUMBER(A178),
IF(COUNTIFS(Equipar!B:B,2,Equipar!AC:AC,A178),"Equipada",
IF(
  OR(COUNTIFS(Equipar!B:B,2,Equipar!C:C,A178)
 +COUNTIFS(Equipar!B:B,2,Equipar!D:D,A178)
+COUNTIFS(Equipar!B:B,2,Equipar!E:E,A178)
+COUNTIFS(Equipar!B:B,2,Equipar!F:F,A178)
&gt;0,COUNTIF('Set recomendado'!B:B,C178)=0),
"Bloqueada",
"Desechable")),""
)</f>
        <v>Desechable</v>
      </c>
      <c r="J178" t="str" cm="1">
        <f t="array" aca="1" ref="J178" ca="1">IF(ISNUMBER(A178),IFERROR(_xlfn._xlws.FILTER(Equipar!A:A,(Equipar!B:B=2)*(Equipar!AC:AC=A178)),""),"")</f>
        <v/>
      </c>
    </row>
    <row r="179" spans="1:10" x14ac:dyDescent="0.25">
      <c r="A179" s="1">
        <f ca="1">IF(A178="ID",1,IF(ISBLANK(B179),"",MAX(A$2:A178)+1))</f>
        <v>196</v>
      </c>
      <c r="B179" s="7" t="s">
        <v>54</v>
      </c>
      <c r="C179" s="7" t="s">
        <v>9</v>
      </c>
      <c r="D179" s="7" t="s">
        <v>32</v>
      </c>
      <c r="E179" s="7" t="s">
        <v>41</v>
      </c>
      <c r="F179" s="7" t="s">
        <v>43</v>
      </c>
      <c r="G179" s="7" t="s">
        <v>36</v>
      </c>
      <c r="I179" s="2" t="str">
        <f ca="1">IF(ISNUMBER(A179),
IF(COUNTIFS(Equipar!B:B,2,Equipar!AC:AC,A179),"Equipada",
IF(
  OR(COUNTIFS(Equipar!B:B,2,Equipar!C:C,A179)
 +COUNTIFS(Equipar!B:B,2,Equipar!D:D,A179)
+COUNTIFS(Equipar!B:B,2,Equipar!E:E,A179)
+COUNTIFS(Equipar!B:B,2,Equipar!F:F,A179)
&gt;0,COUNTIF('Set recomendado'!B:B,C179)=0),
"Bloqueada",
"Desechable")),""
)</f>
        <v>Desechable</v>
      </c>
      <c r="J179" t="str" cm="1">
        <f t="array" aca="1" ref="J179" ca="1">IF(ISNUMBER(A179),IFERROR(_xlfn._xlws.FILTER(Equipar!A:A,(Equipar!B:B=2)*(Equipar!AC:AC=A179)),""),"")</f>
        <v/>
      </c>
    </row>
    <row r="180" spans="1:10" x14ac:dyDescent="0.25">
      <c r="A180" s="1">
        <f ca="1">IF(A179="ID",1,IF(ISBLANK(B180),"",MAX(A$2:A179)+1))</f>
        <v>197</v>
      </c>
      <c r="B180" s="7" t="s">
        <v>54</v>
      </c>
      <c r="C180" s="7" t="s">
        <v>4</v>
      </c>
      <c r="D180" s="7" t="s">
        <v>32</v>
      </c>
      <c r="E180" s="7" t="s">
        <v>37</v>
      </c>
      <c r="F180" s="7" t="s">
        <v>32</v>
      </c>
      <c r="I180" s="2" t="str">
        <f ca="1">IF(ISNUMBER(A180),
IF(COUNTIFS(Equipar!B:B,2,Equipar!AC:AC,A180),"Equipada",
IF(
  OR(COUNTIFS(Equipar!B:B,2,Equipar!C:C,A180)
 +COUNTIFS(Equipar!B:B,2,Equipar!D:D,A180)
+COUNTIFS(Equipar!B:B,2,Equipar!E:E,A180)
+COUNTIFS(Equipar!B:B,2,Equipar!F:F,A180)
&gt;0,COUNTIF('Set recomendado'!B:B,C180)=0),
"Bloqueada",
"Desechable")),""
)</f>
        <v>Desechable</v>
      </c>
      <c r="J180" t="str" cm="1">
        <f t="array" aca="1" ref="J180" ca="1">IF(ISNUMBER(A180),IFERROR(_xlfn._xlws.FILTER(Equipar!A:A,(Equipar!B:B=2)*(Equipar!AC:AC=A180)),""),"")</f>
        <v/>
      </c>
    </row>
    <row r="181" spans="1:10" x14ac:dyDescent="0.25">
      <c r="A181" s="1">
        <f ca="1">IF(A180="ID",1,IF(ISBLANK(B181),"",MAX(A$2:A180)+1))</f>
        <v>198</v>
      </c>
      <c r="B181" s="7" t="s">
        <v>54</v>
      </c>
      <c r="C181" s="7" t="s">
        <v>4</v>
      </c>
      <c r="D181" s="7" t="s">
        <v>38</v>
      </c>
      <c r="E181" s="7" t="s">
        <v>39</v>
      </c>
      <c r="I181" s="2" t="str">
        <f ca="1">IF(ISNUMBER(A181),
IF(COUNTIFS(Equipar!B:B,2,Equipar!AC:AC,A181),"Equipada",
IF(
  OR(COUNTIFS(Equipar!B:B,2,Equipar!C:C,A181)
 +COUNTIFS(Equipar!B:B,2,Equipar!D:D,A181)
+COUNTIFS(Equipar!B:B,2,Equipar!E:E,A181)
+COUNTIFS(Equipar!B:B,2,Equipar!F:F,A181)
&gt;0,COUNTIF('Set recomendado'!B:B,C181)=0),
"Bloqueada",
"Desechable")),""
)</f>
        <v>Desechable</v>
      </c>
      <c r="J181" t="str" cm="1">
        <f t="array" aca="1" ref="J181" ca="1">IF(ISNUMBER(A181),IFERROR(_xlfn._xlws.FILTER(Equipar!A:A,(Equipar!B:B=2)*(Equipar!AC:AC=A181)),""),"")</f>
        <v/>
      </c>
    </row>
    <row r="182" spans="1:10" x14ac:dyDescent="0.25">
      <c r="A182" s="1">
        <f ca="1">IF(A181="ID",1,IF(ISBLANK(B182),"",MAX(A$2:A181)+1))</f>
        <v>199</v>
      </c>
      <c r="B182" s="7" t="s">
        <v>54</v>
      </c>
      <c r="C182" s="7" t="s">
        <v>4</v>
      </c>
      <c r="D182" s="7" t="s">
        <v>33</v>
      </c>
      <c r="E182" s="7" t="s">
        <v>33</v>
      </c>
      <c r="F182" s="7" t="s">
        <v>41</v>
      </c>
      <c r="I182" s="2" t="str">
        <f ca="1">IF(ISNUMBER(A182),
IF(COUNTIFS(Equipar!B:B,2,Equipar!AC:AC,A182),"Equipada",
IF(
  OR(COUNTIFS(Equipar!B:B,2,Equipar!C:C,A182)
 +COUNTIFS(Equipar!B:B,2,Equipar!D:D,A182)
+COUNTIFS(Equipar!B:B,2,Equipar!E:E,A182)
+COUNTIFS(Equipar!B:B,2,Equipar!F:F,A182)
&gt;0,COUNTIF('Set recomendado'!B:B,C182)=0),
"Bloqueada",
"Desechable")),""
)</f>
        <v>Desechable</v>
      </c>
      <c r="J182" t="str" cm="1">
        <f t="array" aca="1" ref="J182" ca="1">IF(ISNUMBER(A182),IFERROR(_xlfn._xlws.FILTER(Equipar!A:A,(Equipar!B:B=2)*(Equipar!AC:AC=A182)),""),"")</f>
        <v/>
      </c>
    </row>
    <row r="183" spans="1:10" x14ac:dyDescent="0.25">
      <c r="A183" s="1">
        <f ca="1">IF(A182="ID",1,IF(ISBLANK(B183),"",MAX(A$2:A182)+1))</f>
        <v>200</v>
      </c>
      <c r="B183" s="7" t="s">
        <v>54</v>
      </c>
      <c r="C183" s="7" t="s">
        <v>4</v>
      </c>
      <c r="D183" s="7" t="s">
        <v>33</v>
      </c>
      <c r="E183" s="7" t="s">
        <v>42</v>
      </c>
      <c r="F183" s="7" t="s">
        <v>32</v>
      </c>
      <c r="G183" s="7" t="s">
        <v>36</v>
      </c>
      <c r="I183" s="2" t="str">
        <f ca="1">IF(ISNUMBER(A183),
IF(COUNTIFS(Equipar!B:B,2,Equipar!AC:AC,A183),"Equipada",
IF(
  OR(COUNTIFS(Equipar!B:B,2,Equipar!C:C,A183)
 +COUNTIFS(Equipar!B:B,2,Equipar!D:D,A183)
+COUNTIFS(Equipar!B:B,2,Equipar!E:E,A183)
+COUNTIFS(Equipar!B:B,2,Equipar!F:F,A183)
&gt;0,COUNTIF('Set recomendado'!B:B,C183)=0),
"Bloqueada",
"Desechable")),""
)</f>
        <v>Desechable</v>
      </c>
      <c r="J183" t="str" cm="1">
        <f t="array" aca="1" ref="J183" ca="1">IF(ISNUMBER(A183),IFERROR(_xlfn._xlws.FILTER(Equipar!A:A,(Equipar!B:B=2)*(Equipar!AC:AC=A183)),""),"")</f>
        <v/>
      </c>
    </row>
    <row r="184" spans="1:10" x14ac:dyDescent="0.25">
      <c r="A184" s="1">
        <f ca="1">IF(A183="ID",1,IF(ISBLANK(B184),"",MAX(A$2:A183)+1))</f>
        <v>201</v>
      </c>
      <c r="B184" s="7" t="s">
        <v>54</v>
      </c>
      <c r="C184" s="7" t="s">
        <v>4</v>
      </c>
      <c r="D184" s="7" t="s">
        <v>32</v>
      </c>
      <c r="E184" s="7" t="s">
        <v>43</v>
      </c>
      <c r="F184" s="7" t="s">
        <v>36</v>
      </c>
      <c r="G184" s="7" t="s">
        <v>41</v>
      </c>
      <c r="I184" s="2" t="str">
        <f ca="1">IF(ISNUMBER(A184),
IF(COUNTIFS(Equipar!B:B,2,Equipar!AC:AC,A184),"Equipada",
IF(
  OR(COUNTIFS(Equipar!B:B,2,Equipar!C:C,A184)
 +COUNTIFS(Equipar!B:B,2,Equipar!D:D,A184)
+COUNTIFS(Equipar!B:B,2,Equipar!E:E,A184)
+COUNTIFS(Equipar!B:B,2,Equipar!F:F,A184)
&gt;0,COUNTIF('Set recomendado'!B:B,C184)=0),
"Bloqueada",
"Desechable")),""
)</f>
        <v>Desechable</v>
      </c>
      <c r="J184" t="str" cm="1">
        <f t="array" aca="1" ref="J184" ca="1">IF(ISNUMBER(A184),IFERROR(_xlfn._xlws.FILTER(Equipar!A:A,(Equipar!B:B=2)*(Equipar!AC:AC=A184)),""),"")</f>
        <v/>
      </c>
    </row>
    <row r="185" spans="1:10" x14ac:dyDescent="0.25">
      <c r="A185" s="1">
        <f ca="1">IF(A184="ID",1,IF(ISBLANK(B185),"",MAX(A$2:A184)+1))</f>
        <v>202</v>
      </c>
      <c r="B185" s="7" t="s">
        <v>54</v>
      </c>
      <c r="C185" s="7" t="s">
        <v>22</v>
      </c>
      <c r="D185" s="7" t="s">
        <v>41</v>
      </c>
      <c r="E185" s="7" t="s">
        <v>41</v>
      </c>
      <c r="F185" s="7" t="s">
        <v>42</v>
      </c>
      <c r="I185" s="2" t="str">
        <f ca="1">IF(ISNUMBER(A185),
IF(COUNTIFS(Equipar!B:B,2,Equipar!AC:AC,A185),"Equipada",
IF(
  OR(COUNTIFS(Equipar!B:B,2,Equipar!C:C,A185)
 +COUNTIFS(Equipar!B:B,2,Equipar!D:D,A185)
+COUNTIFS(Equipar!B:B,2,Equipar!E:E,A185)
+COUNTIFS(Equipar!B:B,2,Equipar!F:F,A185)
&gt;0,COUNTIF('Set recomendado'!B:B,C185)=0),
"Bloqueada",
"Desechable")),""
)</f>
        <v>Desechable</v>
      </c>
      <c r="J185" t="str" cm="1">
        <f t="array" aca="1" ref="J185" ca="1">IF(ISNUMBER(A185),IFERROR(_xlfn._xlws.FILTER(Equipar!A:A,(Equipar!B:B=2)*(Equipar!AC:AC=A185)),""),"")</f>
        <v/>
      </c>
    </row>
    <row r="186" spans="1:10" x14ac:dyDescent="0.25">
      <c r="A186" s="1">
        <f ca="1">IF(A185="ID",1,IF(ISBLANK(B186),"",MAX(A$2:A185)+1))</f>
        <v>203</v>
      </c>
      <c r="B186" s="7" t="s">
        <v>54</v>
      </c>
      <c r="C186" s="7" t="s">
        <v>22</v>
      </c>
      <c r="D186" s="7" t="s">
        <v>33</v>
      </c>
      <c r="E186" s="7" t="s">
        <v>42</v>
      </c>
      <c r="F186" s="7" t="s">
        <v>40</v>
      </c>
      <c r="I186" s="2" t="str">
        <f ca="1">IF(ISNUMBER(A186),
IF(COUNTIFS(Equipar!B:B,2,Equipar!AC:AC,A186),"Equipada",
IF(
  OR(COUNTIFS(Equipar!B:B,2,Equipar!C:C,A186)
 +COUNTIFS(Equipar!B:B,2,Equipar!D:D,A186)
+COUNTIFS(Equipar!B:B,2,Equipar!E:E,A186)
+COUNTIFS(Equipar!B:B,2,Equipar!F:F,A186)
&gt;0,COUNTIF('Set recomendado'!B:B,C186)=0),
"Bloqueada",
"Desechable")),""
)</f>
        <v>Bloqueada</v>
      </c>
      <c r="J186" t="str" cm="1">
        <f t="array" aca="1" ref="J186" ca="1">IF(ISNUMBER(A186),IFERROR(_xlfn._xlws.FILTER(Equipar!A:A,(Equipar!B:B=2)*(Equipar!AC:AC=A186)),""),"")</f>
        <v/>
      </c>
    </row>
    <row r="187" spans="1:10" x14ac:dyDescent="0.25">
      <c r="A187" s="1">
        <f ca="1">IF(A186="ID",1,IF(ISBLANK(B187),"",MAX(A$2:A186)+1))</f>
        <v>204</v>
      </c>
      <c r="B187" s="7" t="s">
        <v>54</v>
      </c>
      <c r="C187" s="7" t="s">
        <v>16</v>
      </c>
      <c r="D187" s="7" t="s">
        <v>42</v>
      </c>
      <c r="E187" s="7" t="s">
        <v>36</v>
      </c>
      <c r="F187" s="7" t="s">
        <v>38</v>
      </c>
      <c r="I187" s="2" t="str">
        <f ca="1">IF(ISNUMBER(A187),
IF(COUNTIFS(Equipar!B:B,2,Equipar!AC:AC,A187),"Equipada",
IF(
  OR(COUNTIFS(Equipar!B:B,2,Equipar!C:C,A187)
 +COUNTIFS(Equipar!B:B,2,Equipar!D:D,A187)
+COUNTIFS(Equipar!B:B,2,Equipar!E:E,A187)
+COUNTIFS(Equipar!B:B,2,Equipar!F:F,A187)
&gt;0,COUNTIF('Set recomendado'!B:B,C187)=0),
"Bloqueada",
"Desechable")),""
)</f>
        <v>Desechable</v>
      </c>
      <c r="J187" t="str" cm="1">
        <f t="array" aca="1" ref="J187" ca="1">IF(ISNUMBER(A187),IFERROR(_xlfn._xlws.FILTER(Equipar!A:A,(Equipar!B:B=2)*(Equipar!AC:AC=A187)),""),"")</f>
        <v/>
      </c>
    </row>
    <row r="188" spans="1:10" x14ac:dyDescent="0.25">
      <c r="A188" s="1">
        <f ca="1">IF(A187="ID",1,IF(ISBLANK(B188),"",MAX(A$2:A187)+1))</f>
        <v>205</v>
      </c>
      <c r="B188" s="7" t="s">
        <v>54</v>
      </c>
      <c r="C188" s="7" t="s">
        <v>16</v>
      </c>
      <c r="D188" s="7" t="s">
        <v>41</v>
      </c>
      <c r="E188" s="7" t="s">
        <v>42</v>
      </c>
      <c r="F188" s="7" t="s">
        <v>43</v>
      </c>
      <c r="G188" s="7" t="s">
        <v>38</v>
      </c>
      <c r="I188" s="2" t="str">
        <f ca="1">IF(ISNUMBER(A188),
IF(COUNTIFS(Equipar!B:B,2,Equipar!AC:AC,A188),"Equipada",
IF(
  OR(COUNTIFS(Equipar!B:B,2,Equipar!C:C,A188)
 +COUNTIFS(Equipar!B:B,2,Equipar!D:D,A188)
+COUNTIFS(Equipar!B:B,2,Equipar!E:E,A188)
+COUNTIFS(Equipar!B:B,2,Equipar!F:F,A188)
&gt;0,COUNTIF('Set recomendado'!B:B,C188)=0),
"Bloqueada",
"Desechable")),""
)</f>
        <v>Equipada</v>
      </c>
      <c r="J188" t="str" cm="1">
        <f t="array" aca="1" ref="J188" ca="1">IF(ISNUMBER(A188),IFERROR(_xlfn._xlws.FILTER(Equipar!A:A,(Equipar!B:B=2)*(Equipar!AC:AC=A188)),""),"")</f>
        <v>Nishinoya</v>
      </c>
    </row>
    <row r="189" spans="1:10" x14ac:dyDescent="0.25">
      <c r="A189" s="1">
        <f ca="1">IF(A188="ID",1,IF(ISBLANK(B189),"",MAX(A$2:A188)+1))</f>
        <v>206</v>
      </c>
      <c r="B189" s="7" t="s">
        <v>54</v>
      </c>
      <c r="C189" s="7" t="s">
        <v>16</v>
      </c>
      <c r="D189" s="7" t="s">
        <v>41</v>
      </c>
      <c r="E189" s="7" t="s">
        <v>38</v>
      </c>
      <c r="F189" s="7" t="s">
        <v>43</v>
      </c>
      <c r="I189" s="2" t="str">
        <f ca="1">IF(ISNUMBER(A189),
IF(COUNTIFS(Equipar!B:B,2,Equipar!AC:AC,A189),"Equipada",
IF(
  OR(COUNTIFS(Equipar!B:B,2,Equipar!C:C,A189)
 +COUNTIFS(Equipar!B:B,2,Equipar!D:D,A189)
+COUNTIFS(Equipar!B:B,2,Equipar!E:E,A189)
+COUNTIFS(Equipar!B:B,2,Equipar!F:F,A189)
&gt;0,COUNTIF('Set recomendado'!B:B,C189)=0),
"Bloqueada",
"Desechable")),""
)</f>
        <v>Equipada</v>
      </c>
      <c r="J189" t="str" cm="1">
        <f t="array" aca="1" ref="J189" ca="1">IF(ISNUMBER(A189),IFERROR(_xlfn._xlws.FILTER(Equipar!A:A,(Equipar!B:B=2)*(Equipar!AC:AC=A189)),""),"")</f>
        <v>Akagi</v>
      </c>
    </row>
    <row r="190" spans="1:10" x14ac:dyDescent="0.25">
      <c r="A190" s="1">
        <f ca="1">IF(A189="ID",1,IF(ISBLANK(B190),"",MAX(A$2:A189)+1))</f>
        <v>207</v>
      </c>
      <c r="B190" s="7" t="s">
        <v>54</v>
      </c>
      <c r="C190" s="7" t="s">
        <v>55</v>
      </c>
      <c r="D190" s="7" t="s">
        <v>42</v>
      </c>
      <c r="E190" s="7" t="s">
        <v>42</v>
      </c>
      <c r="F190" s="7" t="s">
        <v>43</v>
      </c>
      <c r="I190" s="2" t="str">
        <f ca="1">IF(ISNUMBER(A190),
IF(COUNTIFS(Equipar!B:B,2,Equipar!AC:AC,A190),"Equipada",
IF(
  OR(COUNTIFS(Equipar!B:B,2,Equipar!C:C,A190)
 +COUNTIFS(Equipar!B:B,2,Equipar!D:D,A190)
+COUNTIFS(Equipar!B:B,2,Equipar!E:E,A190)
+COUNTIFS(Equipar!B:B,2,Equipar!F:F,A190)
&gt;0,COUNTIF('Set recomendado'!B:B,C190)=0),
"Bloqueada",
"Desechable")),""
)</f>
        <v>Desechable</v>
      </c>
      <c r="J190" t="str" cm="1">
        <f t="array" aca="1" ref="J190" ca="1">IF(ISNUMBER(A190),IFERROR(_xlfn._xlws.FILTER(Equipar!A:A,(Equipar!B:B=2)*(Equipar!AC:AC=A190)),""),"")</f>
        <v/>
      </c>
    </row>
    <row r="191" spans="1:10" x14ac:dyDescent="0.25">
      <c r="A191" s="1">
        <f ca="1">IF(A190="ID",1,IF(ISBLANK(B191),"",MAX(A$2:A190)+1))</f>
        <v>208</v>
      </c>
      <c r="B191" s="7" t="s">
        <v>54</v>
      </c>
      <c r="C191" s="7" t="s">
        <v>55</v>
      </c>
      <c r="D191" s="7" t="s">
        <v>32</v>
      </c>
      <c r="E191" s="7" t="s">
        <v>32</v>
      </c>
      <c r="F191" s="7" t="s">
        <v>44</v>
      </c>
      <c r="I191" s="2" t="str">
        <f ca="1">IF(ISNUMBER(A191),
IF(COUNTIFS(Equipar!B:B,2,Equipar!AC:AC,A191),"Equipada",
IF(
  OR(COUNTIFS(Equipar!B:B,2,Equipar!C:C,A191)
 +COUNTIFS(Equipar!B:B,2,Equipar!D:D,A191)
+COUNTIFS(Equipar!B:B,2,Equipar!E:E,A191)
+COUNTIFS(Equipar!B:B,2,Equipar!F:F,A191)
&gt;0,COUNTIF('Set recomendado'!B:B,C191)=0),
"Bloqueada",
"Desechable")),""
)</f>
        <v>Desechable</v>
      </c>
      <c r="J191" t="str" cm="1">
        <f t="array" aca="1" ref="J191" ca="1">IF(ISNUMBER(A191),IFERROR(_xlfn._xlws.FILTER(Equipar!A:A,(Equipar!B:B=2)*(Equipar!AC:AC=A191)),""),"")</f>
        <v/>
      </c>
    </row>
    <row r="192" spans="1:10" x14ac:dyDescent="0.25">
      <c r="A192" s="1">
        <f ca="1">IF(A191="ID",1,IF(ISBLANK(B192),"",MAX(A$2:A191)+1))</f>
        <v>209</v>
      </c>
      <c r="B192" s="7" t="s">
        <v>54</v>
      </c>
      <c r="C192" s="7" t="s">
        <v>29</v>
      </c>
      <c r="D192" s="7" t="s">
        <v>32</v>
      </c>
      <c r="E192" s="7" t="s">
        <v>37</v>
      </c>
      <c r="F192" s="7" t="s">
        <v>39</v>
      </c>
      <c r="I192" s="2" t="str">
        <f ca="1">IF(ISNUMBER(A192),
IF(COUNTIFS(Equipar!B:B,2,Equipar!AC:AC,A192),"Equipada",
IF(
  OR(COUNTIFS(Equipar!B:B,2,Equipar!C:C,A192)
 +COUNTIFS(Equipar!B:B,2,Equipar!D:D,A192)
+COUNTIFS(Equipar!B:B,2,Equipar!E:E,A192)
+COUNTIFS(Equipar!B:B,2,Equipar!F:F,A192)
&gt;0,COUNTIF('Set recomendado'!B:B,C192)=0),
"Bloqueada",
"Desechable")),""
)</f>
        <v>Desechable</v>
      </c>
      <c r="J192" t="str" cm="1">
        <f t="array" aca="1" ref="J192" ca="1">IF(ISNUMBER(A192),IFERROR(_xlfn._xlws.FILTER(Equipar!A:A,(Equipar!B:B=2)*(Equipar!AC:AC=A192)),""),"")</f>
        <v/>
      </c>
    </row>
    <row r="193" spans="1:10" x14ac:dyDescent="0.25">
      <c r="A193" s="1" t="str">
        <f ca="1">IF(A192="ID",1,IF(ISBLANK(B193),"",MAX(A$2:A192)+1))</f>
        <v/>
      </c>
      <c r="I193" s="2" t="str">
        <f ca="1">IF(ISNUMBER(A193),
IF(COUNTIFS(Equipar!B:B,2,Equipar!AC:AC,A193),"Equipada",
IF(
  OR(COUNTIFS(Equipar!B:B,2,Equipar!C:C,A193)
 +COUNTIFS(Equipar!B:B,2,Equipar!D:D,A193)
+COUNTIFS(Equipar!B:B,2,Equipar!E:E,A193)
+COUNTIFS(Equipar!B:B,2,Equipar!F:F,A193)
&gt;0,COUNTIF('Set recomendado'!B:B,C193)=0),
"Bloqueada",
"Desechable")),""
)</f>
        <v/>
      </c>
      <c r="J193" t="str" cm="1">
        <f t="array" aca="1" ref="J193" ca="1">IF(ISNUMBER(A193),IFERROR(_xlfn._xlws.FILTER(Equipar!A:A,(Equipar!B:B=2)*(Equipar!AC:AC=A193)),""),"")</f>
        <v/>
      </c>
    </row>
    <row r="194" spans="1:10" x14ac:dyDescent="0.25">
      <c r="A194" s="1" t="str">
        <f ca="1">IF(A193="ID",1,IF(ISBLANK(B194),"",MAX(A$2:A193)+1))</f>
        <v/>
      </c>
      <c r="I194" s="2" t="str">
        <f ca="1">IF(ISNUMBER(A194),
IF(COUNTIFS(Equipar!B:B,2,Equipar!AC:AC,A194),"Equipada",
IF(
  OR(COUNTIFS(Equipar!B:B,2,Equipar!C:C,A194)
 +COUNTIFS(Equipar!B:B,2,Equipar!D:D,A194)
+COUNTIFS(Equipar!B:B,2,Equipar!E:E,A194)
+COUNTIFS(Equipar!B:B,2,Equipar!F:F,A194)
&gt;0,COUNTIF('Set recomendado'!B:B,C194)=0),
"Bloqueada",
"Desechable")),""
)</f>
        <v/>
      </c>
      <c r="J194" t="str" cm="1">
        <f t="array" aca="1" ref="J194" ca="1">IF(ISNUMBER(A194),IFERROR(_xlfn._xlws.FILTER(Equipar!A:A,(Equipar!B:B=2)*(Equipar!AC:AC=A194)),""),"")</f>
        <v/>
      </c>
    </row>
    <row r="195" spans="1:10" x14ac:dyDescent="0.25">
      <c r="A195" s="1" t="str">
        <f ca="1">IF(A194="ID",1,IF(ISBLANK(B195),"",MAX(A$2:A194)+1))</f>
        <v/>
      </c>
      <c r="I195" s="2" t="str">
        <f ca="1">IF(ISNUMBER(A195),
IF(COUNTIFS(Equipar!B:B,2,Equipar!AC:AC,A195),"Equipada",
IF(
  OR(COUNTIFS(Equipar!B:B,2,Equipar!C:C,A195)
 +COUNTIFS(Equipar!B:B,2,Equipar!D:D,A195)
+COUNTIFS(Equipar!B:B,2,Equipar!E:E,A195)
+COUNTIFS(Equipar!B:B,2,Equipar!F:F,A195)
&gt;0,COUNTIF('Set recomendado'!B:B,C195)=0),
"Bloqueada",
"Desechable")),""
)</f>
        <v/>
      </c>
      <c r="J195" t="str" cm="1">
        <f t="array" aca="1" ref="J195" ca="1">IF(ISNUMBER(A195),IFERROR(_xlfn._xlws.FILTER(Equipar!A:A,(Equipar!B:B=2)*(Equipar!AC:AC=A195)),""),"")</f>
        <v/>
      </c>
    </row>
    <row r="196" spans="1:10" x14ac:dyDescent="0.25">
      <c r="A196" s="1" t="str">
        <f ca="1">IF(A195="ID",1,IF(ISBLANK(B196),"",MAX(A$2:A195)+1))</f>
        <v/>
      </c>
      <c r="I196" s="2" t="str">
        <f ca="1">IF(ISNUMBER(A196),
IF(COUNTIFS(Equipar!B:B,2,Equipar!AC:AC,A196),"Equipada",
IF(
  OR(COUNTIFS(Equipar!B:B,2,Equipar!C:C,A196)
 +COUNTIFS(Equipar!B:B,2,Equipar!D:D,A196)
+COUNTIFS(Equipar!B:B,2,Equipar!E:E,A196)
+COUNTIFS(Equipar!B:B,2,Equipar!F:F,A196)
&gt;0,COUNTIF('Set recomendado'!B:B,C196)=0),
"Bloqueada",
"Desechable")),""
)</f>
        <v/>
      </c>
      <c r="J196" t="str" cm="1">
        <f t="array" aca="1" ref="J196" ca="1">IF(ISNUMBER(A196),IFERROR(_xlfn._xlws.FILTER(Equipar!A:A,(Equipar!B:B=2)*(Equipar!AC:AC=A196)),""),"")</f>
        <v/>
      </c>
    </row>
    <row r="197" spans="1:10" x14ac:dyDescent="0.25">
      <c r="A197" s="1" t="str">
        <f ca="1">IF(A196="ID",1,IF(ISBLANK(B197),"",MAX(A$2:A196)+1))</f>
        <v/>
      </c>
      <c r="I197" s="2" t="str">
        <f ca="1">IF(ISNUMBER(A197),
IF(COUNTIFS(Equipar!B:B,2,Equipar!AC:AC,A197),"Equipada",
IF(
  OR(COUNTIFS(Equipar!B:B,2,Equipar!C:C,A197)
 +COUNTIFS(Equipar!B:B,2,Equipar!D:D,A197)
+COUNTIFS(Equipar!B:B,2,Equipar!E:E,A197)
+COUNTIFS(Equipar!B:B,2,Equipar!F:F,A197)
&gt;0,COUNTIF('Set recomendado'!B:B,C197)=0),
"Bloqueada",
"Desechable")),""
)</f>
        <v/>
      </c>
      <c r="J197" t="str" cm="1">
        <f t="array" aca="1" ref="J197" ca="1">IF(ISNUMBER(A197),IFERROR(_xlfn._xlws.FILTER(Equipar!A:A,(Equipar!B:B=2)*(Equipar!AC:AC=A197)),""),"")</f>
        <v/>
      </c>
    </row>
    <row r="198" spans="1:10" x14ac:dyDescent="0.25">
      <c r="A198" s="1" t="str">
        <f ca="1">IF(A197="ID",1,IF(ISBLANK(B198),"",MAX(A$2:A197)+1))</f>
        <v/>
      </c>
      <c r="I198" s="2" t="str">
        <f ca="1">IF(ISNUMBER(A198),
IF(COUNTIFS(Equipar!B:B,2,Equipar!AC:AC,A198),"Equipada",
IF(
  OR(COUNTIFS(Equipar!B:B,2,Equipar!C:C,A198)
 +COUNTIFS(Equipar!B:B,2,Equipar!D:D,A198)
+COUNTIFS(Equipar!B:B,2,Equipar!E:E,A198)
+COUNTIFS(Equipar!B:B,2,Equipar!F:F,A198)
&gt;0,COUNTIF('Set recomendado'!B:B,C198)=0),
"Bloqueada",
"Desechable")),""
)</f>
        <v/>
      </c>
      <c r="J198" t="str" cm="1">
        <f t="array" aca="1" ref="J198" ca="1">IF(ISNUMBER(A198),IFERROR(_xlfn._xlws.FILTER(Equipar!A:A,(Equipar!B:B=2)*(Equipar!AC:AC=A198)),""),"")</f>
        <v/>
      </c>
    </row>
    <row r="199" spans="1:10" x14ac:dyDescent="0.25">
      <c r="A199" s="1" t="str">
        <f ca="1">IF(A198="ID",1,IF(ISBLANK(B199),"",MAX(A$2:A198)+1))</f>
        <v/>
      </c>
      <c r="I199" s="2" t="str">
        <f ca="1">IF(ISNUMBER(A199),
IF(COUNTIFS(Equipar!B:B,2,Equipar!AC:AC,A199),"Equipada",
IF(
  OR(COUNTIFS(Equipar!B:B,2,Equipar!C:C,A199)
 +COUNTIFS(Equipar!B:B,2,Equipar!D:D,A199)
+COUNTIFS(Equipar!B:B,2,Equipar!E:E,A199)
+COUNTIFS(Equipar!B:B,2,Equipar!F:F,A199)
&gt;0,COUNTIF('Set recomendado'!B:B,C199)=0),
"Bloqueada",
"Desechable")),""
)</f>
        <v/>
      </c>
      <c r="J199" t="str" cm="1">
        <f t="array" aca="1" ref="J199" ca="1">IF(ISNUMBER(A199),IFERROR(_xlfn._xlws.FILTER(Equipar!A:A,(Equipar!B:B=2)*(Equipar!AC:AC=A199)),""),"")</f>
        <v/>
      </c>
    </row>
    <row r="200" spans="1:10" x14ac:dyDescent="0.25">
      <c r="A200" s="1" t="str">
        <f ca="1">IF(A199="ID",1,IF(ISBLANK(B200),"",MAX(A$2:A199)+1))</f>
        <v/>
      </c>
      <c r="I200" s="2" t="str">
        <f ca="1">IF(ISNUMBER(A200),
IF(COUNTIFS(Equipar!B:B,2,Equipar!AC:AC,A200),"Equipada",
IF(
  OR(COUNTIFS(Equipar!B:B,2,Equipar!C:C,A200)
 +COUNTIFS(Equipar!B:B,2,Equipar!D:D,A200)
+COUNTIFS(Equipar!B:B,2,Equipar!E:E,A200)
+COUNTIFS(Equipar!B:B,2,Equipar!F:F,A200)
&gt;0,COUNTIF('Set recomendado'!B:B,C200)=0),
"Bloqueada",
"Desechable")),""
)</f>
        <v/>
      </c>
      <c r="J200" t="str" cm="1">
        <f t="array" aca="1" ref="J200" ca="1">IF(ISNUMBER(A200),IFERROR(_xlfn._xlws.FILTER(Equipar!A:A,(Equipar!B:B=2)*(Equipar!AC:AC=A200)),""),"")</f>
        <v/>
      </c>
    </row>
    <row r="201" spans="1:10" x14ac:dyDescent="0.25">
      <c r="A201" s="1" t="str">
        <f ca="1">IF(A200="ID",1,IF(ISBLANK(B201),"",MAX(A$2:A200)+1))</f>
        <v/>
      </c>
      <c r="I201" s="2" t="str">
        <f ca="1">IF(ISNUMBER(A201),
IF(COUNTIFS(Equipar!B:B,2,Equipar!AC:AC,A201),"Equipada",
IF(
  OR(COUNTIFS(Equipar!B:B,2,Equipar!C:C,A201)
 +COUNTIFS(Equipar!B:B,2,Equipar!D:D,A201)
+COUNTIFS(Equipar!B:B,2,Equipar!E:E,A201)
+COUNTIFS(Equipar!B:B,2,Equipar!F:F,A201)
&gt;0,COUNTIF('Set recomendado'!B:B,C201)=0),
"Bloqueada",
"Desechable")),""
)</f>
        <v/>
      </c>
      <c r="J201" t="str" cm="1">
        <f t="array" aca="1" ref="J201" ca="1">IF(ISNUMBER(A201),IFERROR(_xlfn._xlws.FILTER(Equipar!A:A,(Equipar!B:B=2)*(Equipar!AC:AC=A201)),""),"")</f>
        <v/>
      </c>
    </row>
    <row r="202" spans="1:10" x14ac:dyDescent="0.25">
      <c r="A202" s="1" t="str">
        <f ca="1">IF(A201="ID",1,IF(ISBLANK(B202),"",MAX(A$2:A201)+1))</f>
        <v/>
      </c>
      <c r="I202" s="2" t="str">
        <f ca="1">IF(ISNUMBER(A202),
IF(COUNTIFS(Equipar!B:B,2,Equipar!AC:AC,A202),"Equipada",
IF(
  OR(COUNTIFS(Equipar!B:B,2,Equipar!C:C,A202)
 +COUNTIFS(Equipar!B:B,2,Equipar!D:D,A202)
+COUNTIFS(Equipar!B:B,2,Equipar!E:E,A202)
+COUNTIFS(Equipar!B:B,2,Equipar!F:F,A202)
&gt;0,COUNTIF('Set recomendado'!B:B,C202)=0),
"Bloqueada",
"Desechable")),""
)</f>
        <v/>
      </c>
      <c r="J202" t="str" cm="1">
        <f t="array" aca="1" ref="J202" ca="1">IF(ISNUMBER(A202),IFERROR(_xlfn._xlws.FILTER(Equipar!A:A,(Equipar!B:B=2)*(Equipar!AC:AC=A202)),""),"")</f>
        <v/>
      </c>
    </row>
    <row r="203" spans="1:10" x14ac:dyDescent="0.25">
      <c r="A203" s="1" t="str">
        <f ca="1">IF(A202="ID",1,IF(ISBLANK(B203),"",MAX(A$2:A202)+1))</f>
        <v/>
      </c>
      <c r="I203" s="2" t="str">
        <f ca="1">IF(ISNUMBER(A203),
IF(COUNTIFS(Equipar!B:B,2,Equipar!AC:AC,A203),"Equipada",
IF(
  OR(COUNTIFS(Equipar!B:B,2,Equipar!C:C,A203)
 +COUNTIFS(Equipar!B:B,2,Equipar!D:D,A203)
+COUNTIFS(Equipar!B:B,2,Equipar!E:E,A203)
+COUNTIFS(Equipar!B:B,2,Equipar!F:F,A203)
&gt;0,COUNTIF('Set recomendado'!B:B,C203)=0),
"Bloqueada",
"Desechable")),""
)</f>
        <v/>
      </c>
      <c r="J203" t="str" cm="1">
        <f t="array" aca="1" ref="J203" ca="1">IF(ISNUMBER(A203),IFERROR(_xlfn._xlws.FILTER(Equipar!A:A,(Equipar!B:B=2)*(Equipar!AC:AC=A203)),""),"")</f>
        <v/>
      </c>
    </row>
    <row r="204" spans="1:10" x14ac:dyDescent="0.25">
      <c r="A204" s="1" t="str">
        <f ca="1">IF(A203="ID",1,IF(ISBLANK(B204),"",MAX(A$2:A203)+1))</f>
        <v/>
      </c>
      <c r="I204" s="2" t="str">
        <f ca="1">IF(ISNUMBER(A204),
IF(COUNTIFS(Equipar!B:B,2,Equipar!AC:AC,A204),"Equipada",
IF(
  OR(COUNTIFS(Equipar!B:B,2,Equipar!C:C,A204)
 +COUNTIFS(Equipar!B:B,2,Equipar!D:D,A204)
+COUNTIFS(Equipar!B:B,2,Equipar!E:E,A204)
+COUNTIFS(Equipar!B:B,2,Equipar!F:F,A204)
&gt;0,COUNTIF('Set recomendado'!B:B,C204)=0),
"Bloqueada",
"Desechable")),""
)</f>
        <v/>
      </c>
      <c r="J204" t="str" cm="1">
        <f t="array" aca="1" ref="J204" ca="1">IF(ISNUMBER(A204),IFERROR(_xlfn._xlws.FILTER(Equipar!A:A,(Equipar!B:B=2)*(Equipar!AC:AC=A204)),""),"")</f>
        <v/>
      </c>
    </row>
    <row r="205" spans="1:10" x14ac:dyDescent="0.25">
      <c r="A205" s="1" t="str">
        <f ca="1">IF(A204="ID",1,IF(ISBLANK(B205),"",MAX(A$2:A204)+1))</f>
        <v/>
      </c>
      <c r="I205" s="2" t="str">
        <f ca="1">IF(ISNUMBER(A205),
IF(COUNTIFS(Equipar!B:B,2,Equipar!AC:AC,A205),"Equipada",
IF(
  OR(COUNTIFS(Equipar!B:B,2,Equipar!C:C,A205)
 +COUNTIFS(Equipar!B:B,2,Equipar!D:D,A205)
+COUNTIFS(Equipar!B:B,2,Equipar!E:E,A205)
+COUNTIFS(Equipar!B:B,2,Equipar!F:F,A205)
&gt;0,COUNTIF('Set recomendado'!B:B,C205)=0),
"Bloqueada",
"Desechable")),""
)</f>
        <v/>
      </c>
      <c r="J205" t="str" cm="1">
        <f t="array" aca="1" ref="J205" ca="1">IF(ISNUMBER(A205),IFERROR(_xlfn._xlws.FILTER(Equipar!A:A,(Equipar!B:B=2)*(Equipar!AC:AC=A205)),""),"")</f>
        <v/>
      </c>
    </row>
    <row r="206" spans="1:10" x14ac:dyDescent="0.25">
      <c r="A206" s="1" t="str">
        <f ca="1">IF(A205="ID",1,IF(ISBLANK(B206),"",MAX(A$2:A205)+1))</f>
        <v/>
      </c>
      <c r="I206" s="2" t="str">
        <f ca="1">IF(ISNUMBER(A206),
IF(COUNTIFS(Equipar!B:B,2,Equipar!AC:AC,A206),"Equipada",
IF(
  OR(COUNTIFS(Equipar!B:B,2,Equipar!C:C,A206)
 +COUNTIFS(Equipar!B:B,2,Equipar!D:D,A206)
+COUNTIFS(Equipar!B:B,2,Equipar!E:E,A206)
+COUNTIFS(Equipar!B:B,2,Equipar!F:F,A206)
&gt;0,COUNTIF('Set recomendado'!B:B,C206)=0),
"Bloqueada",
"Desechable")),""
)</f>
        <v/>
      </c>
      <c r="J206" t="str" cm="1">
        <f t="array" aca="1" ref="J206" ca="1">IF(ISNUMBER(A206),IFERROR(_xlfn._xlws.FILTER(Equipar!A:A,(Equipar!B:B=2)*(Equipar!AC:AC=A206)),""),"")</f>
        <v/>
      </c>
    </row>
    <row r="207" spans="1:10" x14ac:dyDescent="0.25">
      <c r="A207" s="1" t="str">
        <f ca="1">IF(A206="ID",1,IF(ISBLANK(B207),"",MAX(A$2:A206)+1))</f>
        <v/>
      </c>
      <c r="I207" s="2" t="str">
        <f ca="1">IF(ISNUMBER(A207),
IF(COUNTIFS(Equipar!B:B,2,Equipar!AC:AC,A207),"Equipada",
IF(
  OR(COUNTIFS(Equipar!B:B,2,Equipar!C:C,A207)
 +COUNTIFS(Equipar!B:B,2,Equipar!D:D,A207)
+COUNTIFS(Equipar!B:B,2,Equipar!E:E,A207)
+COUNTIFS(Equipar!B:B,2,Equipar!F:F,A207)
&gt;0,COUNTIF('Set recomendado'!B:B,C207)=0),
"Bloqueada",
"Desechable")),""
)</f>
        <v/>
      </c>
      <c r="J207" t="str" cm="1">
        <f t="array" aca="1" ref="J207" ca="1">IF(ISNUMBER(A207),IFERROR(_xlfn._xlws.FILTER(Equipar!A:A,(Equipar!B:B=2)*(Equipar!AC:AC=A207)),""),"")</f>
        <v/>
      </c>
    </row>
    <row r="208" spans="1:10" x14ac:dyDescent="0.25">
      <c r="A208" s="1" t="str">
        <f ca="1">IF(A207="ID",1,IF(ISBLANK(B208),"",MAX(A$2:A207)+1))</f>
        <v/>
      </c>
      <c r="I208" s="2" t="str">
        <f ca="1">IF(ISNUMBER(A208),
IF(COUNTIFS(Equipar!B:B,2,Equipar!AC:AC,A208),"Equipada",
IF(
  OR(COUNTIFS(Equipar!B:B,2,Equipar!C:C,A208)
 +COUNTIFS(Equipar!B:B,2,Equipar!D:D,A208)
+COUNTIFS(Equipar!B:B,2,Equipar!E:E,A208)
+COUNTIFS(Equipar!B:B,2,Equipar!F:F,A208)
&gt;0,COUNTIF('Set recomendado'!B:B,C208)=0),
"Bloqueada",
"Desechable")),""
)</f>
        <v/>
      </c>
      <c r="J208" t="str" cm="1">
        <f t="array" aca="1" ref="J208" ca="1">IF(ISNUMBER(A208),IFERROR(_xlfn._xlws.FILTER(Equipar!A:A,(Equipar!B:B=2)*(Equipar!AC:AC=A208)),""),"")</f>
        <v/>
      </c>
    </row>
    <row r="209" spans="1:10" x14ac:dyDescent="0.25">
      <c r="A209" s="1" t="str">
        <f ca="1">IF(A208="ID",1,IF(ISBLANK(B209),"",MAX(A$2:A208)+1))</f>
        <v/>
      </c>
      <c r="I209" s="2" t="str">
        <f ca="1">IF(ISNUMBER(A209),
IF(COUNTIFS(Equipar!B:B,2,Equipar!AC:AC,A209),"Equipada",
IF(
  OR(COUNTIFS(Equipar!B:B,2,Equipar!C:C,A209)
 +COUNTIFS(Equipar!B:B,2,Equipar!D:D,A209)
+COUNTIFS(Equipar!B:B,2,Equipar!E:E,A209)
+COUNTIFS(Equipar!B:B,2,Equipar!F:F,A209)
&gt;0,COUNTIF('Set recomendado'!B:B,C209)=0),
"Bloqueada",
"Desechable")),""
)</f>
        <v/>
      </c>
      <c r="J209" t="str" cm="1">
        <f t="array" aca="1" ref="J209" ca="1">IF(ISNUMBER(A209),IFERROR(_xlfn._xlws.FILTER(Equipar!A:A,(Equipar!B:B=2)*(Equipar!AC:AC=A209)),""),"")</f>
        <v/>
      </c>
    </row>
    <row r="210" spans="1:10" x14ac:dyDescent="0.25">
      <c r="A210" s="1" t="str">
        <f ca="1">IF(A209="ID",1,IF(ISBLANK(B210),"",MAX(A$2:A209)+1))</f>
        <v/>
      </c>
      <c r="I210" s="2" t="str">
        <f ca="1">IF(ISNUMBER(A210),
IF(COUNTIFS(Equipar!B:B,2,Equipar!AC:AC,A210),"Equipada",
IF(
  OR(COUNTIFS(Equipar!B:B,2,Equipar!C:C,A210)
 +COUNTIFS(Equipar!B:B,2,Equipar!D:D,A210)
+COUNTIFS(Equipar!B:B,2,Equipar!E:E,A210)
+COUNTIFS(Equipar!B:B,2,Equipar!F:F,A210)
&gt;0,COUNTIF('Set recomendado'!B:B,C210)=0),
"Bloqueada",
"Desechable")),""
)</f>
        <v/>
      </c>
      <c r="J210" t="str" cm="1">
        <f t="array" aca="1" ref="J210" ca="1">IF(ISNUMBER(A210),IFERROR(_xlfn._xlws.FILTER(Equipar!A:A,(Equipar!B:B=2)*(Equipar!AC:AC=A210)),""),"")</f>
        <v/>
      </c>
    </row>
    <row r="211" spans="1:10" x14ac:dyDescent="0.25">
      <c r="A211" s="1" t="str">
        <f ca="1">IF(A210="ID",1,IF(ISBLANK(B211),"",MAX(A$2:A210)+1))</f>
        <v/>
      </c>
      <c r="I211" s="2" t="str">
        <f ca="1">IF(ISNUMBER(A211),
IF(COUNTIFS(Equipar!B:B,2,Equipar!AC:AC,A211),"Equipada",
IF(
  OR(COUNTIFS(Equipar!B:B,2,Equipar!C:C,A211)
 +COUNTIFS(Equipar!B:B,2,Equipar!D:D,A211)
+COUNTIFS(Equipar!B:B,2,Equipar!E:E,A211)
+COUNTIFS(Equipar!B:B,2,Equipar!F:F,A211)
&gt;0,COUNTIF('Set recomendado'!B:B,C211)=0),
"Bloqueada",
"Desechable")),""
)</f>
        <v/>
      </c>
      <c r="J211" t="str" cm="1">
        <f t="array" aca="1" ref="J211" ca="1">IF(ISNUMBER(A211),IFERROR(_xlfn._xlws.FILTER(Equipar!A:A,(Equipar!B:B=2)*(Equipar!AC:AC=A211)),""),"")</f>
        <v/>
      </c>
    </row>
    <row r="212" spans="1:10" x14ac:dyDescent="0.25">
      <c r="A212" s="1" t="str">
        <f ca="1">IF(A211="ID",1,IF(ISBLANK(B212),"",MAX(A$2:A211)+1))</f>
        <v/>
      </c>
      <c r="I212" s="2" t="str">
        <f ca="1">IF(ISNUMBER(A212),
IF(COUNTIFS(Equipar!B:B,2,Equipar!AC:AC,A212),"Equipada",
IF(
  OR(COUNTIFS(Equipar!B:B,2,Equipar!C:C,A212)
 +COUNTIFS(Equipar!B:B,2,Equipar!D:D,A212)
+COUNTIFS(Equipar!B:B,2,Equipar!E:E,A212)
+COUNTIFS(Equipar!B:B,2,Equipar!F:F,A212)
&gt;0,COUNTIF('Set recomendado'!B:B,C212)=0),
"Bloqueada",
"Desechable")),""
)</f>
        <v/>
      </c>
      <c r="J212" t="str" cm="1">
        <f t="array" aca="1" ref="J212" ca="1">IF(ISNUMBER(A212),IFERROR(_xlfn._xlws.FILTER(Equipar!A:A,(Equipar!B:B=2)*(Equipar!AC:AC=A212)),""),"")</f>
        <v/>
      </c>
    </row>
    <row r="213" spans="1:10" x14ac:dyDescent="0.25">
      <c r="A213" s="1" t="str">
        <f ca="1">IF(A212="ID",1,IF(ISBLANK(B213),"",MAX(A$2:A212)+1))</f>
        <v/>
      </c>
      <c r="I213" s="2" t="str">
        <f ca="1">IF(ISNUMBER(A213),
IF(COUNTIFS(Equipar!B:B,2,Equipar!AC:AC,A213),"Equipada",
IF(
  OR(COUNTIFS(Equipar!B:B,2,Equipar!C:C,A213)
 +COUNTIFS(Equipar!B:B,2,Equipar!D:D,A213)
+COUNTIFS(Equipar!B:B,2,Equipar!E:E,A213)
+COUNTIFS(Equipar!B:B,2,Equipar!F:F,A213)
&gt;0,COUNTIF('Set recomendado'!B:B,C213)=0),
"Bloqueada",
"Desechable")),""
)</f>
        <v/>
      </c>
      <c r="J213" t="str" cm="1">
        <f t="array" aca="1" ref="J213" ca="1">IF(ISNUMBER(A213),IFERROR(_xlfn._xlws.FILTER(Equipar!A:A,(Equipar!B:B=2)*(Equipar!AC:AC=A213)),""),"")</f>
        <v/>
      </c>
    </row>
    <row r="214" spans="1:10" x14ac:dyDescent="0.25">
      <c r="A214" s="1" t="str">
        <f ca="1">IF(A213="ID",1,IF(ISBLANK(B214),"",MAX(A$2:A213)+1))</f>
        <v/>
      </c>
      <c r="I214" s="2" t="str">
        <f ca="1">IF(ISNUMBER(A214),
IF(COUNTIFS(Equipar!B:B,2,Equipar!AC:AC,A214),"Equipada",
IF(
  OR(COUNTIFS(Equipar!B:B,2,Equipar!C:C,A214)
 +COUNTIFS(Equipar!B:B,2,Equipar!D:D,A214)
+COUNTIFS(Equipar!B:B,2,Equipar!E:E,A214)
+COUNTIFS(Equipar!B:B,2,Equipar!F:F,A214)
&gt;0,COUNTIF('Set recomendado'!B:B,C214)=0),
"Bloqueada",
"Desechable")),""
)</f>
        <v/>
      </c>
      <c r="J214" t="str" cm="1">
        <f t="array" aca="1" ref="J214" ca="1">IF(ISNUMBER(A214),IFERROR(_xlfn._xlws.FILTER(Equipar!A:A,(Equipar!B:B=2)*(Equipar!AC:AC=A214)),""),"")</f>
        <v/>
      </c>
    </row>
    <row r="215" spans="1:10" x14ac:dyDescent="0.25">
      <c r="A215" s="1" t="str">
        <f ca="1">IF(A214="ID",1,IF(ISBLANK(B215),"",MAX(A$2:A214)+1))</f>
        <v/>
      </c>
      <c r="I215" s="2" t="str">
        <f ca="1">IF(ISNUMBER(A215),
IF(COUNTIFS(Equipar!B:B,2,Equipar!AC:AC,A215),"Equipada",
IF(
  OR(COUNTIFS(Equipar!B:B,2,Equipar!C:C,A215)
 +COUNTIFS(Equipar!B:B,2,Equipar!D:D,A215)
+COUNTIFS(Equipar!B:B,2,Equipar!E:E,A215)
+COUNTIFS(Equipar!B:B,2,Equipar!F:F,A215)
&gt;0,COUNTIF('Set recomendado'!B:B,C215)=0),
"Bloqueada",
"Desechable")),""
)</f>
        <v/>
      </c>
      <c r="J215" t="str" cm="1">
        <f t="array" aca="1" ref="J215" ca="1">IF(ISNUMBER(A215),IFERROR(_xlfn._xlws.FILTER(Equipar!A:A,(Equipar!B:B=2)*(Equipar!AC:AC=A215)),""),"")</f>
        <v/>
      </c>
    </row>
    <row r="216" spans="1:10" x14ac:dyDescent="0.25">
      <c r="A216" s="1" t="str">
        <f ca="1">IF(A215="ID",1,IF(ISBLANK(B216),"",MAX(A$2:A215)+1))</f>
        <v/>
      </c>
      <c r="I216" s="2" t="str">
        <f ca="1">IF(ISNUMBER(A216),
IF(COUNTIFS(Equipar!B:B,2,Equipar!AC:AC,A216),"Equipada",
IF(
  OR(COUNTIFS(Equipar!B:B,2,Equipar!C:C,A216)
 +COUNTIFS(Equipar!B:B,2,Equipar!D:D,A216)
+COUNTIFS(Equipar!B:B,2,Equipar!E:E,A216)
+COUNTIFS(Equipar!B:B,2,Equipar!F:F,A216)
&gt;0,COUNTIF('Set recomendado'!B:B,C216)=0),
"Bloqueada",
"Desechable")),""
)</f>
        <v/>
      </c>
      <c r="J216" t="str" cm="1">
        <f t="array" aca="1" ref="J216" ca="1">IF(ISNUMBER(A216),IFERROR(_xlfn._xlws.FILTER(Equipar!A:A,(Equipar!B:B=2)*(Equipar!AC:AC=A216)),""),"")</f>
        <v/>
      </c>
    </row>
    <row r="217" spans="1:10" x14ac:dyDescent="0.25">
      <c r="A217" s="1" t="str">
        <f ca="1">IF(A216="ID",1,IF(ISBLANK(B217),"",MAX(A$2:A216)+1))</f>
        <v/>
      </c>
      <c r="I217" s="2" t="str">
        <f ca="1">IF(ISNUMBER(A217),
IF(COUNTIFS(Equipar!B:B,2,Equipar!AC:AC,A217),"Equipada",
IF(
  OR(COUNTIFS(Equipar!B:B,2,Equipar!C:C,A217)
 +COUNTIFS(Equipar!B:B,2,Equipar!D:D,A217)
+COUNTIFS(Equipar!B:B,2,Equipar!E:E,A217)
+COUNTIFS(Equipar!B:B,2,Equipar!F:F,A217)
&gt;0,COUNTIF('Set recomendado'!B:B,C217)=0),
"Bloqueada",
"Desechable")),""
)</f>
        <v/>
      </c>
      <c r="J217" t="str" cm="1">
        <f t="array" aca="1" ref="J217" ca="1">IF(ISNUMBER(A217),IFERROR(_xlfn._xlws.FILTER(Equipar!A:A,(Equipar!B:B=2)*(Equipar!AC:AC=A217)),""),"")</f>
        <v/>
      </c>
    </row>
    <row r="218" spans="1:10" x14ac:dyDescent="0.25">
      <c r="A218" s="1" t="str">
        <f ca="1">IF(A217="ID",1,IF(ISBLANK(B218),"",MAX(A$2:A217)+1))</f>
        <v/>
      </c>
      <c r="I218" s="2" t="str">
        <f ca="1">IF(ISNUMBER(A218),
IF(COUNTIFS(Equipar!B:B,2,Equipar!AC:AC,A218),"Equipada",
IF(
  OR(COUNTIFS(Equipar!B:B,2,Equipar!C:C,A218)
 +COUNTIFS(Equipar!B:B,2,Equipar!D:D,A218)
+COUNTIFS(Equipar!B:B,2,Equipar!E:E,A218)
+COUNTIFS(Equipar!B:B,2,Equipar!F:F,A218)
&gt;0,COUNTIF('Set recomendado'!B:B,C218)=0),
"Bloqueada",
"Desechable")),""
)</f>
        <v/>
      </c>
      <c r="J218" t="str" cm="1">
        <f t="array" aca="1" ref="J218" ca="1">IF(ISNUMBER(A218),IFERROR(_xlfn._xlws.FILTER(Equipar!A:A,(Equipar!B:B=2)*(Equipar!AC:AC=A218)),""),"")</f>
        <v/>
      </c>
    </row>
    <row r="219" spans="1:10" x14ac:dyDescent="0.25">
      <c r="A219" s="1" t="str">
        <f ca="1">IF(A218="ID",1,IF(ISBLANK(B219),"",MAX(A$2:A218)+1))</f>
        <v/>
      </c>
      <c r="I219" s="2" t="str">
        <f ca="1">IF(ISNUMBER(A219),
IF(COUNTIFS(Equipar!B:B,2,Equipar!AC:AC,A219),"Equipada",
IF(
  OR(COUNTIFS(Equipar!B:B,2,Equipar!C:C,A219)
 +COUNTIFS(Equipar!B:B,2,Equipar!D:D,A219)
+COUNTIFS(Equipar!B:B,2,Equipar!E:E,A219)
+COUNTIFS(Equipar!B:B,2,Equipar!F:F,A219)
&gt;0,COUNTIF('Set recomendado'!B:B,C219)=0),
"Bloqueada",
"Desechable")),""
)</f>
        <v/>
      </c>
      <c r="J219" t="str" cm="1">
        <f t="array" aca="1" ref="J219" ca="1">IF(ISNUMBER(A219),IFERROR(_xlfn._xlws.FILTER(Equipar!A:A,(Equipar!B:B=2)*(Equipar!AC:AC=A219)),""),"")</f>
        <v/>
      </c>
    </row>
    <row r="220" spans="1:10" x14ac:dyDescent="0.25">
      <c r="A220" s="1" t="str">
        <f ca="1">IF(A219="ID",1,IF(ISBLANK(B220),"",MAX(A$2:A219)+1))</f>
        <v/>
      </c>
      <c r="I220" s="2" t="str">
        <f ca="1">IF(ISNUMBER(A220),
IF(COUNTIFS(Equipar!B:B,2,Equipar!AC:AC,A220),"Equipada",
IF(
  OR(COUNTIFS(Equipar!B:B,2,Equipar!C:C,A220)
 +COUNTIFS(Equipar!B:B,2,Equipar!D:D,A220)
+COUNTIFS(Equipar!B:B,2,Equipar!E:E,A220)
+COUNTIFS(Equipar!B:B,2,Equipar!F:F,A220)
&gt;0,COUNTIF('Set recomendado'!B:B,C220)=0),
"Bloqueada",
"Desechable")),""
)</f>
        <v/>
      </c>
      <c r="J220" t="str" cm="1">
        <f t="array" aca="1" ref="J220" ca="1">IF(ISNUMBER(A220),IFERROR(_xlfn._xlws.FILTER(Equipar!A:A,(Equipar!B:B=2)*(Equipar!AC:AC=A220)),""),"")</f>
        <v/>
      </c>
    </row>
    <row r="221" spans="1:10" x14ac:dyDescent="0.25">
      <c r="A221" s="1" t="str">
        <f ca="1">IF(A220="ID",1,IF(ISBLANK(B221),"",MAX(A$2:A220)+1))</f>
        <v/>
      </c>
      <c r="I221" s="2" t="str">
        <f ca="1">IF(ISNUMBER(A221),
IF(COUNTIFS(Equipar!B:B,2,Equipar!AC:AC,A221),"Equipada",
IF(
  OR(COUNTIFS(Equipar!B:B,2,Equipar!C:C,A221)
 +COUNTIFS(Equipar!B:B,2,Equipar!D:D,A221)
+COUNTIFS(Equipar!B:B,2,Equipar!E:E,A221)
+COUNTIFS(Equipar!B:B,2,Equipar!F:F,A221)
&gt;0,COUNTIF('Set recomendado'!B:B,C221)=0),
"Bloqueada",
"Desechable")),""
)</f>
        <v/>
      </c>
      <c r="J221" t="str" cm="1">
        <f t="array" aca="1" ref="J221" ca="1">IF(ISNUMBER(A221),IFERROR(_xlfn._xlws.FILTER(Equipar!A:A,(Equipar!B:B=2)*(Equipar!AC:AC=A221)),""),"")</f>
        <v/>
      </c>
    </row>
    <row r="222" spans="1:10" x14ac:dyDescent="0.25">
      <c r="A222" s="1" t="str">
        <f ca="1">IF(A221="ID",1,IF(ISBLANK(B222),"",MAX(A$2:A221)+1))</f>
        <v/>
      </c>
      <c r="I222" s="2" t="str">
        <f ca="1">IF(ISNUMBER(A222),
IF(COUNTIFS(Equipar!B:B,2,Equipar!AC:AC,A222),"Equipada",
IF(
  OR(COUNTIFS(Equipar!B:B,2,Equipar!C:C,A222)
 +COUNTIFS(Equipar!B:B,2,Equipar!D:D,A222)
+COUNTIFS(Equipar!B:B,2,Equipar!E:E,A222)
+COUNTIFS(Equipar!B:B,2,Equipar!F:F,A222)
&gt;0,COUNTIF('Set recomendado'!B:B,C222)=0),
"Bloqueada",
"Desechable")),""
)</f>
        <v/>
      </c>
      <c r="J222" t="str" cm="1">
        <f t="array" aca="1" ref="J222" ca="1">IF(ISNUMBER(A222),IFERROR(_xlfn._xlws.FILTER(Equipar!A:A,(Equipar!B:B=2)*(Equipar!AC:AC=A222)),""),"")</f>
        <v/>
      </c>
    </row>
    <row r="223" spans="1:10" x14ac:dyDescent="0.25">
      <c r="A223" s="1" t="str">
        <f ca="1">IF(A222="ID",1,IF(ISBLANK(B223),"",MAX(A$2:A222)+1))</f>
        <v/>
      </c>
      <c r="I223" s="2" t="str">
        <f ca="1">IF(ISNUMBER(A223),
IF(COUNTIFS(Equipar!B:B,2,Equipar!AC:AC,A223),"Equipada",
IF(
  OR(COUNTIFS(Equipar!B:B,2,Equipar!C:C,A223)
 +COUNTIFS(Equipar!B:B,2,Equipar!D:D,A223)
+COUNTIFS(Equipar!B:B,2,Equipar!E:E,A223)
+COUNTIFS(Equipar!B:B,2,Equipar!F:F,A223)
&gt;0,COUNTIF('Set recomendado'!B:B,C223)=0),
"Bloqueada",
"Desechable")),""
)</f>
        <v/>
      </c>
      <c r="J223" t="str" cm="1">
        <f t="array" aca="1" ref="J223" ca="1">IF(ISNUMBER(A223),IFERROR(_xlfn._xlws.FILTER(Equipar!A:A,(Equipar!B:B=2)*(Equipar!AC:AC=A223)),""),"")</f>
        <v/>
      </c>
    </row>
    <row r="224" spans="1:10" x14ac:dyDescent="0.25">
      <c r="A224" s="1" t="str">
        <f ca="1">IF(A223="ID",1,IF(ISBLANK(B224),"",MAX(A$2:A223)+1))</f>
        <v/>
      </c>
      <c r="I224" s="2" t="str">
        <f ca="1">IF(ISNUMBER(A224),
IF(COUNTIFS(Equipar!B:B,2,Equipar!AC:AC,A224),"Equipada",
IF(
  OR(COUNTIFS(Equipar!B:B,2,Equipar!C:C,A224)
 +COUNTIFS(Equipar!B:B,2,Equipar!D:D,A224)
+COUNTIFS(Equipar!B:B,2,Equipar!E:E,A224)
+COUNTIFS(Equipar!B:B,2,Equipar!F:F,A224)
&gt;0,COUNTIF('Set recomendado'!B:B,C224)=0),
"Bloqueada",
"Desechable")),""
)</f>
        <v/>
      </c>
      <c r="J224" t="str" cm="1">
        <f t="array" aca="1" ref="J224" ca="1">IF(ISNUMBER(A224),IFERROR(_xlfn._xlws.FILTER(Equipar!A:A,(Equipar!B:B=2)*(Equipar!AC:AC=A224)),""),"")</f>
        <v/>
      </c>
    </row>
    <row r="225" spans="1:10" x14ac:dyDescent="0.25">
      <c r="A225" s="1" t="str">
        <f ca="1">IF(A224="ID",1,IF(ISBLANK(B225),"",MAX(A$2:A224)+1))</f>
        <v/>
      </c>
      <c r="I225" s="2" t="str">
        <f ca="1">IF(ISNUMBER(A225),
IF(COUNTIFS(Equipar!B:B,2,Equipar!AC:AC,A225),"Equipada",
IF(
  OR(COUNTIFS(Equipar!B:B,2,Equipar!C:C,A225)
 +COUNTIFS(Equipar!B:B,2,Equipar!D:D,A225)
+COUNTIFS(Equipar!B:B,2,Equipar!E:E,A225)
+COUNTIFS(Equipar!B:B,2,Equipar!F:F,A225)
&gt;0,COUNTIF('Set recomendado'!B:B,C225)=0),
"Bloqueada",
"Desechable")),""
)</f>
        <v/>
      </c>
      <c r="J225" t="str" cm="1">
        <f t="array" aca="1" ref="J225" ca="1">IF(ISNUMBER(A225),IFERROR(_xlfn._xlws.FILTER(Equipar!A:A,(Equipar!B:B=2)*(Equipar!AC:AC=A225)),""),"")</f>
        <v/>
      </c>
    </row>
    <row r="226" spans="1:10" x14ac:dyDescent="0.25">
      <c r="A226" s="1" t="str">
        <f ca="1">IF(A225="ID",1,IF(ISBLANK(B226),"",MAX(A$2:A225)+1))</f>
        <v/>
      </c>
      <c r="I226" s="2" t="str">
        <f ca="1">IF(ISNUMBER(A226),
IF(COUNTIFS(Equipar!B:B,2,Equipar!AC:AC,A226),"Equipada",
IF(
  OR(COUNTIFS(Equipar!B:B,2,Equipar!C:C,A226)
 +COUNTIFS(Equipar!B:B,2,Equipar!D:D,A226)
+COUNTIFS(Equipar!B:B,2,Equipar!E:E,A226)
+COUNTIFS(Equipar!B:B,2,Equipar!F:F,A226)
&gt;0,COUNTIF('Set recomendado'!B:B,C226)=0),
"Bloqueada",
"Desechable")),""
)</f>
        <v/>
      </c>
      <c r="J226" t="str" cm="1">
        <f t="array" aca="1" ref="J226" ca="1">IF(ISNUMBER(A226),IFERROR(_xlfn._xlws.FILTER(Equipar!A:A,(Equipar!B:B=2)*(Equipar!AC:AC=A226)),""),"")</f>
        <v/>
      </c>
    </row>
    <row r="227" spans="1:10" x14ac:dyDescent="0.25">
      <c r="A227" s="1" t="str">
        <f ca="1">IF(A226="ID",1,IF(ISBLANK(B227),"",MAX(A$2:A226)+1))</f>
        <v/>
      </c>
      <c r="I227" s="2" t="str">
        <f ca="1">IF(ISNUMBER(A227),
IF(COUNTIFS(Equipar!B:B,2,Equipar!AC:AC,A227),"Equipada",
IF(
  OR(COUNTIFS(Equipar!B:B,2,Equipar!C:C,A227)
 +COUNTIFS(Equipar!B:B,2,Equipar!D:D,A227)
+COUNTIFS(Equipar!B:B,2,Equipar!E:E,A227)
+COUNTIFS(Equipar!B:B,2,Equipar!F:F,A227)
&gt;0,COUNTIF('Set recomendado'!B:B,C227)=0),
"Bloqueada",
"Desechable")),""
)</f>
        <v/>
      </c>
      <c r="J227" t="str" cm="1">
        <f t="array" aca="1" ref="J227" ca="1">IF(ISNUMBER(A227),IFERROR(_xlfn._xlws.FILTER(Equipar!A:A,(Equipar!B:B=2)*(Equipar!AC:AC=A227)),""),"")</f>
        <v/>
      </c>
    </row>
    <row r="228" spans="1:10" x14ac:dyDescent="0.25">
      <c r="A228" s="1" t="str">
        <f ca="1">IF(A227="ID",1,IF(ISBLANK(B228),"",MAX(A$2:A227)+1))</f>
        <v/>
      </c>
      <c r="I228" s="2" t="str">
        <f ca="1">IF(ISNUMBER(A228),
IF(COUNTIFS(Equipar!B:B,2,Equipar!AC:AC,A228),"Equipada",
IF(
  OR(COUNTIFS(Equipar!B:B,2,Equipar!C:C,A228)
 +COUNTIFS(Equipar!B:B,2,Equipar!D:D,A228)
+COUNTIFS(Equipar!B:B,2,Equipar!E:E,A228)
+COUNTIFS(Equipar!B:B,2,Equipar!F:F,A228)
&gt;0,COUNTIF('Set recomendado'!B:B,C228)=0),
"Bloqueada",
"Desechable")),""
)</f>
        <v/>
      </c>
      <c r="J228" t="str" cm="1">
        <f t="array" aca="1" ref="J228" ca="1">IF(ISNUMBER(A228),IFERROR(_xlfn._xlws.FILTER(Equipar!A:A,(Equipar!B:B=2)*(Equipar!AC:AC=A228)),""),"")</f>
        <v/>
      </c>
    </row>
    <row r="229" spans="1:10" x14ac:dyDescent="0.25">
      <c r="A229" s="1" t="str">
        <f ca="1">IF(A228="ID",1,IF(ISBLANK(B229),"",MAX(A$2:A228)+1))</f>
        <v/>
      </c>
      <c r="I229" s="2" t="str">
        <f ca="1">IF(ISNUMBER(A229),
IF(COUNTIFS(Equipar!B:B,2,Equipar!AC:AC,A229),"Equipada",
IF(
  OR(COUNTIFS(Equipar!B:B,2,Equipar!C:C,A229)
 +COUNTIFS(Equipar!B:B,2,Equipar!D:D,A229)
+COUNTIFS(Equipar!B:B,2,Equipar!E:E,A229)
+COUNTIFS(Equipar!B:B,2,Equipar!F:F,A229)
&gt;0,COUNTIF('Set recomendado'!B:B,C229)=0),
"Bloqueada",
"Desechable")),""
)</f>
        <v/>
      </c>
      <c r="J229" t="str" cm="1">
        <f t="array" aca="1" ref="J229" ca="1">IF(ISNUMBER(A229),IFERROR(_xlfn._xlws.FILTER(Equipar!A:A,(Equipar!B:B=2)*(Equipar!AC:AC=A229)),""),"")</f>
        <v/>
      </c>
    </row>
    <row r="230" spans="1:10" x14ac:dyDescent="0.25">
      <c r="A230" s="1" t="str">
        <f ca="1">IF(A229="ID",1,IF(ISBLANK(B230),"",MAX(A$2:A229)+1))</f>
        <v/>
      </c>
      <c r="I230" s="2" t="str">
        <f ca="1">IF(ISNUMBER(A230),
IF(COUNTIFS(Equipar!B:B,2,Equipar!AC:AC,A230),"Equipada",
IF(
  OR(COUNTIFS(Equipar!B:B,2,Equipar!C:C,A230)
 +COUNTIFS(Equipar!B:B,2,Equipar!D:D,A230)
+COUNTIFS(Equipar!B:B,2,Equipar!E:E,A230)
+COUNTIFS(Equipar!B:B,2,Equipar!F:F,A230)
&gt;0,COUNTIF('Set recomendado'!B:B,C230)=0),
"Bloqueada",
"Desechable")),""
)</f>
        <v/>
      </c>
      <c r="J230" t="str" cm="1">
        <f t="array" aca="1" ref="J230" ca="1">IF(ISNUMBER(A230),IFERROR(_xlfn._xlws.FILTER(Equipar!A:A,(Equipar!B:B=2)*(Equipar!AC:AC=A230)),""),"")</f>
        <v/>
      </c>
    </row>
    <row r="231" spans="1:10" x14ac:dyDescent="0.25">
      <c r="A231" s="1" t="str">
        <f ca="1">IF(A230="ID",1,IF(ISBLANK(B231),"",MAX(A$2:A230)+1))</f>
        <v/>
      </c>
      <c r="I231" s="2" t="str">
        <f ca="1">IF(ISNUMBER(A231),
IF(COUNTIFS(Equipar!B:B,2,Equipar!AC:AC,A231),"Equipada",
IF(
  OR(COUNTIFS(Equipar!B:B,2,Equipar!C:C,A231)
 +COUNTIFS(Equipar!B:B,2,Equipar!D:D,A231)
+COUNTIFS(Equipar!B:B,2,Equipar!E:E,A231)
+COUNTIFS(Equipar!B:B,2,Equipar!F:F,A231)
&gt;0,COUNTIF('Set recomendado'!B:B,C231)=0),
"Bloqueada",
"Desechable")),""
)</f>
        <v/>
      </c>
      <c r="J231" t="str" cm="1">
        <f t="array" aca="1" ref="J231" ca="1">IF(ISNUMBER(A231),IFERROR(_xlfn._xlws.FILTER(Equipar!A:A,(Equipar!B:B=2)*(Equipar!AC:AC=A231)),""),"")</f>
        <v/>
      </c>
    </row>
    <row r="232" spans="1:10" x14ac:dyDescent="0.25">
      <c r="A232" s="1" t="str">
        <f ca="1">IF(A231="ID",1,IF(ISBLANK(B232),"",MAX(A$2:A231)+1))</f>
        <v/>
      </c>
      <c r="I232" s="2" t="str">
        <f ca="1">IF(ISNUMBER(A232),
IF(COUNTIFS(Equipar!B:B,2,Equipar!AC:AC,A232),"Equipada",
IF(
  OR(COUNTIFS(Equipar!B:B,2,Equipar!C:C,A232)
 +COUNTIFS(Equipar!B:B,2,Equipar!D:D,A232)
+COUNTIFS(Equipar!B:B,2,Equipar!E:E,A232)
+COUNTIFS(Equipar!B:B,2,Equipar!F:F,A232)
&gt;0,COUNTIF('Set recomendado'!B:B,C232)=0),
"Bloqueada",
"Desechable")),""
)</f>
        <v/>
      </c>
      <c r="J232" t="str" cm="1">
        <f t="array" aca="1" ref="J232" ca="1">IF(ISNUMBER(A232),IFERROR(_xlfn._xlws.FILTER(Equipar!A:A,(Equipar!B:B=2)*(Equipar!AC:AC=A232)),""),"")</f>
        <v/>
      </c>
    </row>
    <row r="233" spans="1:10" x14ac:dyDescent="0.25">
      <c r="A233" s="1" t="str">
        <f ca="1">IF(A232="ID",1,IF(ISBLANK(B233),"",MAX(A$2:A232)+1))</f>
        <v/>
      </c>
      <c r="I233" s="2" t="str">
        <f ca="1">IF(ISNUMBER(A233),
IF(COUNTIFS(Equipar!B:B,2,Equipar!AC:AC,A233),"Equipada",
IF(
  OR(COUNTIFS(Equipar!B:B,2,Equipar!C:C,A233)
 +COUNTIFS(Equipar!B:B,2,Equipar!D:D,A233)
+COUNTIFS(Equipar!B:B,2,Equipar!E:E,A233)
+COUNTIFS(Equipar!B:B,2,Equipar!F:F,A233)
&gt;0,COUNTIF('Set recomendado'!B:B,C233)=0),
"Bloqueada",
"Desechable")),""
)</f>
        <v/>
      </c>
      <c r="J233" t="str" cm="1">
        <f t="array" aca="1" ref="J233" ca="1">IF(ISNUMBER(A233),IFERROR(_xlfn._xlws.FILTER(Equipar!A:A,(Equipar!B:B=2)*(Equipar!AC:AC=A233)),""),"")</f>
        <v/>
      </c>
    </row>
    <row r="234" spans="1:10" x14ac:dyDescent="0.25">
      <c r="A234" s="1" t="str">
        <f ca="1">IF(A233="ID",1,IF(ISBLANK(B234),"",MAX(A$2:A233)+1))</f>
        <v/>
      </c>
      <c r="I234" s="2" t="str">
        <f ca="1">IF(ISNUMBER(A234),
IF(COUNTIFS(Equipar!B:B,2,Equipar!AC:AC,A234),"Equipada",
IF(
  OR(COUNTIFS(Equipar!B:B,2,Equipar!C:C,A234)
 +COUNTIFS(Equipar!B:B,2,Equipar!D:D,A234)
+COUNTIFS(Equipar!B:B,2,Equipar!E:E,A234)
+COUNTIFS(Equipar!B:B,2,Equipar!F:F,A234)
&gt;0,COUNTIF('Set recomendado'!B:B,C234)=0),
"Bloqueada",
"Desechable")),""
)</f>
        <v/>
      </c>
      <c r="J234" t="str" cm="1">
        <f t="array" aca="1" ref="J234" ca="1">IF(ISNUMBER(A234),IFERROR(_xlfn._xlws.FILTER(Equipar!A:A,(Equipar!B:B=2)*(Equipar!AC:AC=A234)),""),"")</f>
        <v/>
      </c>
    </row>
    <row r="235" spans="1:10" x14ac:dyDescent="0.25">
      <c r="A235" s="1" t="str">
        <f ca="1">IF(A234="ID",1,IF(ISBLANK(B235),"",MAX(A$2:A234)+1))</f>
        <v/>
      </c>
      <c r="I235" s="2" t="str">
        <f ca="1">IF(ISNUMBER(A235),
IF(COUNTIFS(Equipar!B:B,2,Equipar!AC:AC,A235),"Equipada",
IF(
  OR(COUNTIFS(Equipar!B:B,2,Equipar!C:C,A235)
 +COUNTIFS(Equipar!B:B,2,Equipar!D:D,A235)
+COUNTIFS(Equipar!B:B,2,Equipar!E:E,A235)
+COUNTIFS(Equipar!B:B,2,Equipar!F:F,A235)
&gt;0,COUNTIF('Set recomendado'!B:B,C235)=0),
"Bloqueada",
"Desechable")),""
)</f>
        <v/>
      </c>
      <c r="J235" t="str" cm="1">
        <f t="array" aca="1" ref="J235" ca="1">IF(ISNUMBER(A235),IFERROR(_xlfn._xlws.FILTER(Equipar!A:A,(Equipar!B:B=2)*(Equipar!AC:AC=A235)),""),"")</f>
        <v/>
      </c>
    </row>
    <row r="236" spans="1:10" x14ac:dyDescent="0.25">
      <c r="A236" s="1" t="str">
        <f ca="1">IF(A235="ID",1,IF(ISBLANK(B236),"",MAX(A$2:A235)+1))</f>
        <v/>
      </c>
      <c r="I236" s="2" t="str">
        <f ca="1">IF(ISNUMBER(A236),
IF(COUNTIFS(Equipar!B:B,2,Equipar!AC:AC,A236),"Equipada",
IF(
  OR(COUNTIFS(Equipar!B:B,2,Equipar!C:C,A236)
 +COUNTIFS(Equipar!B:B,2,Equipar!D:D,A236)
+COUNTIFS(Equipar!B:B,2,Equipar!E:E,A236)
+COUNTIFS(Equipar!B:B,2,Equipar!F:F,A236)
&gt;0,COUNTIF('Set recomendado'!B:B,C236)=0),
"Bloqueada",
"Desechable")),""
)</f>
        <v/>
      </c>
      <c r="J236" t="str" cm="1">
        <f t="array" aca="1" ref="J236" ca="1">IF(ISNUMBER(A236),IFERROR(_xlfn._xlws.FILTER(Equipar!A:A,(Equipar!B:B=2)*(Equipar!AC:AC=A236)),""),"")</f>
        <v/>
      </c>
    </row>
    <row r="237" spans="1:10" x14ac:dyDescent="0.25">
      <c r="A237" s="1" t="str">
        <f ca="1">IF(A236="ID",1,IF(ISBLANK(B237),"",MAX(A$2:A236)+1))</f>
        <v/>
      </c>
      <c r="I237" s="2" t="str">
        <f ca="1">IF(ISNUMBER(A237),
IF(COUNTIFS(Equipar!B:B,2,Equipar!AC:AC,A237),"Equipada",
IF(
  OR(COUNTIFS(Equipar!B:B,2,Equipar!C:C,A237)
 +COUNTIFS(Equipar!B:B,2,Equipar!D:D,A237)
+COUNTIFS(Equipar!B:B,2,Equipar!E:E,A237)
+COUNTIFS(Equipar!B:B,2,Equipar!F:F,A237)
&gt;0,COUNTIF('Set recomendado'!B:B,C237)=0),
"Bloqueada",
"Desechable")),""
)</f>
        <v/>
      </c>
      <c r="J237" t="str" cm="1">
        <f t="array" aca="1" ref="J237" ca="1">IF(ISNUMBER(A237),IFERROR(_xlfn._xlws.FILTER(Equipar!A:A,(Equipar!B:B=2)*(Equipar!AC:AC=A237)),""),"")</f>
        <v/>
      </c>
    </row>
    <row r="238" spans="1:10" x14ac:dyDescent="0.25">
      <c r="A238" s="1" t="str">
        <f ca="1">IF(A237="ID",1,IF(ISBLANK(B238),"",MAX(A$2:A237)+1))</f>
        <v/>
      </c>
      <c r="I238" s="2" t="str">
        <f ca="1">IF(ISNUMBER(A238),
IF(COUNTIFS(Equipar!B:B,2,Equipar!AC:AC,A238),"Equipada",
IF(
  OR(COUNTIFS(Equipar!B:B,2,Equipar!C:C,A238)
 +COUNTIFS(Equipar!B:B,2,Equipar!D:D,A238)
+COUNTIFS(Equipar!B:B,2,Equipar!E:E,A238)
+COUNTIFS(Equipar!B:B,2,Equipar!F:F,A238)
&gt;0,COUNTIF('Set recomendado'!B:B,C238)=0),
"Bloqueada",
"Desechable")),""
)</f>
        <v/>
      </c>
      <c r="J238" t="str" cm="1">
        <f t="array" aca="1" ref="J238" ca="1">IF(ISNUMBER(A238),IFERROR(_xlfn._xlws.FILTER(Equipar!A:A,(Equipar!B:B=2)*(Equipar!AC:AC=A238)),""),"")</f>
        <v/>
      </c>
    </row>
    <row r="239" spans="1:10" x14ac:dyDescent="0.25">
      <c r="A239" s="1" t="str">
        <f ca="1">IF(A238="ID",1,IF(ISBLANK(B239),"",MAX(A$2:A238)+1))</f>
        <v/>
      </c>
      <c r="I239" s="2" t="str">
        <f ca="1">IF(ISNUMBER(A239),
IF(COUNTIFS(Equipar!B:B,2,Equipar!AC:AC,A239),"Equipada",
IF(
  OR(COUNTIFS(Equipar!B:B,2,Equipar!C:C,A239)
 +COUNTIFS(Equipar!B:B,2,Equipar!D:D,A239)
+COUNTIFS(Equipar!B:B,2,Equipar!E:E,A239)
+COUNTIFS(Equipar!B:B,2,Equipar!F:F,A239)
&gt;0,COUNTIF('Set recomendado'!B:B,C239)=0),
"Bloqueada",
"Desechable")),""
)</f>
        <v/>
      </c>
      <c r="J239" t="str" cm="1">
        <f t="array" aca="1" ref="J239" ca="1">IF(ISNUMBER(A239),IFERROR(_xlfn._xlws.FILTER(Equipar!A:A,(Equipar!B:B=2)*(Equipar!AC:AC=A239)),""),"")</f>
        <v/>
      </c>
    </row>
    <row r="240" spans="1:10" x14ac:dyDescent="0.25">
      <c r="A240" s="1" t="str">
        <f ca="1">IF(A239="ID",1,IF(ISBLANK(B240),"",MAX(A$2:A239)+1))</f>
        <v/>
      </c>
      <c r="I240" s="2" t="str">
        <f ca="1">IF(ISNUMBER(A240),
IF(COUNTIFS(Equipar!B:B,2,Equipar!AC:AC,A240),"Equipada",
IF(
  OR(COUNTIFS(Equipar!B:B,2,Equipar!C:C,A240)
 +COUNTIFS(Equipar!B:B,2,Equipar!D:D,A240)
+COUNTIFS(Equipar!B:B,2,Equipar!E:E,A240)
+COUNTIFS(Equipar!B:B,2,Equipar!F:F,A240)
&gt;0,COUNTIF('Set recomendado'!B:B,C240)=0),
"Bloqueada",
"Desechable")),""
)</f>
        <v/>
      </c>
      <c r="J240" t="str" cm="1">
        <f t="array" aca="1" ref="J240" ca="1">IF(ISNUMBER(A240),IFERROR(_xlfn._xlws.FILTER(Equipar!A:A,(Equipar!B:B=2)*(Equipar!AC:AC=A240)),""),"")</f>
        <v/>
      </c>
    </row>
    <row r="241" spans="1:10" x14ac:dyDescent="0.25">
      <c r="A241" s="1" t="str">
        <f ca="1">IF(A240="ID",1,IF(ISBLANK(B241),"",MAX(A$2:A240)+1))</f>
        <v/>
      </c>
      <c r="I241" s="2" t="str">
        <f ca="1">IF(ISNUMBER(A241),
IF(COUNTIFS(Equipar!B:B,2,Equipar!AC:AC,A241),"Equipada",
IF(
  OR(COUNTIFS(Equipar!B:B,2,Equipar!C:C,A241)
 +COUNTIFS(Equipar!B:B,2,Equipar!D:D,A241)
+COUNTIFS(Equipar!B:B,2,Equipar!E:E,A241)
+COUNTIFS(Equipar!B:B,2,Equipar!F:F,A241)
&gt;0,COUNTIF('Set recomendado'!B:B,C241)=0),
"Bloqueada",
"Desechable")),""
)</f>
        <v/>
      </c>
      <c r="J241" t="str" cm="1">
        <f t="array" aca="1" ref="J241" ca="1">IF(ISNUMBER(A241),IFERROR(_xlfn._xlws.FILTER(Equipar!A:A,(Equipar!B:B=2)*(Equipar!AC:AC=A241)),""),"")</f>
        <v/>
      </c>
    </row>
    <row r="242" spans="1:10" x14ac:dyDescent="0.25">
      <c r="A242" s="1" t="str">
        <f ca="1">IF(A241="ID",1,IF(ISBLANK(B242),"",MAX(A$2:A241)+1))</f>
        <v/>
      </c>
      <c r="I242" s="2" t="str">
        <f ca="1">IF(ISNUMBER(A242),
IF(COUNTIFS(Equipar!B:B,2,Equipar!AC:AC,A242),"Equipada",
IF(
  OR(COUNTIFS(Equipar!B:B,2,Equipar!C:C,A242)
 +COUNTIFS(Equipar!B:B,2,Equipar!D:D,A242)
+COUNTIFS(Equipar!B:B,2,Equipar!E:E,A242)
+COUNTIFS(Equipar!B:B,2,Equipar!F:F,A242)
&gt;0,COUNTIF('Set recomendado'!B:B,C242)=0),
"Bloqueada",
"Desechable")),""
)</f>
        <v/>
      </c>
      <c r="J242" t="str" cm="1">
        <f t="array" aca="1" ref="J242" ca="1">IF(ISNUMBER(A242),IFERROR(_xlfn._xlws.FILTER(Equipar!A:A,(Equipar!B:B=2)*(Equipar!AC:AC=A242)),""),"")</f>
        <v/>
      </c>
    </row>
    <row r="243" spans="1:10" x14ac:dyDescent="0.25">
      <c r="A243" s="1" t="str">
        <f ca="1">IF(A242="ID",1,IF(ISBLANK(B243),"",MAX(A$2:A242)+1))</f>
        <v/>
      </c>
      <c r="I243" s="2" t="str">
        <f ca="1">IF(ISNUMBER(A243),
IF(COUNTIFS(Equipar!B:B,2,Equipar!AC:AC,A243),"Equipada",
IF(
  OR(COUNTIFS(Equipar!B:B,2,Equipar!C:C,A243)
 +COUNTIFS(Equipar!B:B,2,Equipar!D:D,A243)
+COUNTIFS(Equipar!B:B,2,Equipar!E:E,A243)
+COUNTIFS(Equipar!B:B,2,Equipar!F:F,A243)
&gt;0,COUNTIF('Set recomendado'!B:B,C243)=0),
"Bloqueada",
"Desechable")),""
)</f>
        <v/>
      </c>
      <c r="J243" t="str" cm="1">
        <f t="array" aca="1" ref="J243" ca="1">IF(ISNUMBER(A243),IFERROR(_xlfn._xlws.FILTER(Equipar!A:A,(Equipar!B:B=2)*(Equipar!AC:AC=A243)),""),"")</f>
        <v/>
      </c>
    </row>
    <row r="244" spans="1:10" x14ac:dyDescent="0.25">
      <c r="A244" s="1" t="str">
        <f ca="1">IF(A243="ID",1,IF(ISBLANK(B244),"",MAX(A$2:A243)+1))</f>
        <v/>
      </c>
      <c r="I244" s="2" t="str">
        <f ca="1">IF(ISNUMBER(A244),
IF(COUNTIFS(Equipar!B:B,2,Equipar!AC:AC,A244),"Equipada",
IF(
  OR(COUNTIFS(Equipar!B:B,2,Equipar!C:C,A244)
 +COUNTIFS(Equipar!B:B,2,Equipar!D:D,A244)
+COUNTIFS(Equipar!B:B,2,Equipar!E:E,A244)
+COUNTIFS(Equipar!B:B,2,Equipar!F:F,A244)
&gt;0,COUNTIF('Set recomendado'!B:B,C244)=0),
"Bloqueada",
"Desechable")),""
)</f>
        <v/>
      </c>
      <c r="J244" t="str" cm="1">
        <f t="array" aca="1" ref="J244" ca="1">IF(ISNUMBER(A244),IFERROR(_xlfn._xlws.FILTER(Equipar!A:A,(Equipar!B:B=2)*(Equipar!AC:AC=A244)),""),"")</f>
        <v/>
      </c>
    </row>
    <row r="245" spans="1:10" x14ac:dyDescent="0.25">
      <c r="A245" s="1" t="str">
        <f ca="1">IF(A244="ID",1,IF(ISBLANK(B245),"",MAX(A$2:A244)+1))</f>
        <v/>
      </c>
      <c r="I245" s="2" t="str">
        <f ca="1">IF(ISNUMBER(A245),
IF(COUNTIFS(Equipar!B:B,2,Equipar!AC:AC,A245),"Equipada",
IF(
  OR(COUNTIFS(Equipar!B:B,2,Equipar!C:C,A245)
 +COUNTIFS(Equipar!B:B,2,Equipar!D:D,A245)
+COUNTIFS(Equipar!B:B,2,Equipar!E:E,A245)
+COUNTIFS(Equipar!B:B,2,Equipar!F:F,A245)
&gt;0,COUNTIF('Set recomendado'!B:B,C245)=0),
"Bloqueada",
"Desechable")),""
)</f>
        <v/>
      </c>
      <c r="J245" t="str" cm="1">
        <f t="array" aca="1" ref="J245" ca="1">IF(ISNUMBER(A245),IFERROR(_xlfn._xlws.FILTER(Equipar!A:A,(Equipar!B:B=2)*(Equipar!AC:AC=A245)),""),"")</f>
        <v/>
      </c>
    </row>
    <row r="246" spans="1:10" x14ac:dyDescent="0.25">
      <c r="A246" s="1" t="str">
        <f ca="1">IF(A245="ID",1,IF(ISBLANK(B246),"",MAX(A$2:A245)+1))</f>
        <v/>
      </c>
      <c r="I246" s="2" t="str">
        <f ca="1">IF(ISNUMBER(A246),
IF(COUNTIFS(Equipar!B:B,2,Equipar!AC:AC,A246),"Equipada",
IF(
  OR(COUNTIFS(Equipar!B:B,2,Equipar!C:C,A246)
 +COUNTIFS(Equipar!B:B,2,Equipar!D:D,A246)
+COUNTIFS(Equipar!B:B,2,Equipar!E:E,A246)
+COUNTIFS(Equipar!B:B,2,Equipar!F:F,A246)
&gt;0,COUNTIF('Set recomendado'!B:B,C246)=0),
"Bloqueada",
"Desechable")),""
)</f>
        <v/>
      </c>
      <c r="J246" t="str" cm="1">
        <f t="array" aca="1" ref="J246" ca="1">IF(ISNUMBER(A246),IFERROR(_xlfn._xlws.FILTER(Equipar!A:A,(Equipar!B:B=2)*(Equipar!AC:AC=A246)),""),"")</f>
        <v/>
      </c>
    </row>
    <row r="247" spans="1:10" x14ac:dyDescent="0.25">
      <c r="A247" s="1" t="str">
        <f ca="1">IF(A246="ID",1,IF(ISBLANK(B247),"",MAX(A$2:A246)+1))</f>
        <v/>
      </c>
      <c r="I247" s="2" t="str">
        <f ca="1">IF(ISNUMBER(A247),
IF(COUNTIFS(Equipar!B:B,2,Equipar!AC:AC,A247),"Equipada",
IF(
  OR(COUNTIFS(Equipar!B:B,2,Equipar!C:C,A247)
 +COUNTIFS(Equipar!B:B,2,Equipar!D:D,A247)
+COUNTIFS(Equipar!B:B,2,Equipar!E:E,A247)
+COUNTIFS(Equipar!B:B,2,Equipar!F:F,A247)
&gt;0,COUNTIF('Set recomendado'!B:B,C247)=0),
"Bloqueada",
"Desechable")),""
)</f>
        <v/>
      </c>
      <c r="J247" t="str" cm="1">
        <f t="array" aca="1" ref="J247" ca="1">IF(ISNUMBER(A247),IFERROR(_xlfn._xlws.FILTER(Equipar!A:A,(Equipar!B:B=2)*(Equipar!AC:AC=A247)),""),"")</f>
        <v/>
      </c>
    </row>
    <row r="248" spans="1:10" x14ac:dyDescent="0.25">
      <c r="A248" s="1" t="str">
        <f ca="1">IF(A247="ID",1,IF(ISBLANK(B248),"",MAX(A$2:A247)+1))</f>
        <v/>
      </c>
      <c r="I248" s="2" t="str">
        <f ca="1">IF(ISNUMBER(A248),
IF(COUNTIFS(Equipar!B:B,2,Equipar!AC:AC,A248),"Equipada",
IF(
  OR(COUNTIFS(Equipar!B:B,2,Equipar!C:C,A248)
 +COUNTIFS(Equipar!B:B,2,Equipar!D:D,A248)
+COUNTIFS(Equipar!B:B,2,Equipar!E:E,A248)
+COUNTIFS(Equipar!B:B,2,Equipar!F:F,A248)
&gt;0,COUNTIF('Set recomendado'!B:B,C248)=0),
"Bloqueada",
"Desechable")),""
)</f>
        <v/>
      </c>
      <c r="J248" t="str" cm="1">
        <f t="array" aca="1" ref="J248" ca="1">IF(ISNUMBER(A248),IFERROR(_xlfn._xlws.FILTER(Equipar!A:A,(Equipar!B:B=2)*(Equipar!AC:AC=A248)),""),"")</f>
        <v/>
      </c>
    </row>
    <row r="249" spans="1:10" x14ac:dyDescent="0.25">
      <c r="A249" s="1" t="str">
        <f ca="1">IF(A248="ID",1,IF(ISBLANK(B249),"",MAX(A$2:A248)+1))</f>
        <v/>
      </c>
      <c r="I249" s="2" t="str">
        <f ca="1">IF(ISNUMBER(A249),
IF(COUNTIFS(Equipar!B:B,2,Equipar!AC:AC,A249),"Equipada",
IF(
  OR(COUNTIFS(Equipar!B:B,2,Equipar!C:C,A249)
 +COUNTIFS(Equipar!B:B,2,Equipar!D:D,A249)
+COUNTIFS(Equipar!B:B,2,Equipar!E:E,A249)
+COUNTIFS(Equipar!B:B,2,Equipar!F:F,A249)
&gt;0,COUNTIF('Set recomendado'!B:B,C249)=0),
"Bloqueada",
"Desechable")),""
)</f>
        <v/>
      </c>
      <c r="J249" t="str" cm="1">
        <f t="array" aca="1" ref="J249" ca="1">IF(ISNUMBER(A249),IFERROR(_xlfn._xlws.FILTER(Equipar!A:A,(Equipar!B:B=2)*(Equipar!AC:AC=A249)),""),"")</f>
        <v/>
      </c>
    </row>
    <row r="250" spans="1:10" x14ac:dyDescent="0.25">
      <c r="A250" s="1" t="str">
        <f ca="1">IF(A249="ID",1,IF(ISBLANK(B250),"",MAX(A$2:A249)+1))</f>
        <v/>
      </c>
      <c r="I250" s="2" t="str">
        <f ca="1">IF(ISNUMBER(A250),
IF(COUNTIFS(Equipar!B:B,2,Equipar!AC:AC,A250),"Equipada",
IF(
  OR(COUNTIFS(Equipar!B:B,2,Equipar!C:C,A250)
 +COUNTIFS(Equipar!B:B,2,Equipar!D:D,A250)
+COUNTIFS(Equipar!B:B,2,Equipar!E:E,A250)
+COUNTIFS(Equipar!B:B,2,Equipar!F:F,A250)
&gt;0,COUNTIF('Set recomendado'!B:B,C250)=0),
"Bloqueada",
"Desechable")),""
)</f>
        <v/>
      </c>
      <c r="J250" t="str" cm="1">
        <f t="array" aca="1" ref="J250" ca="1">IF(ISNUMBER(A250),IFERROR(_xlfn._xlws.FILTER(Equipar!A:A,(Equipar!B:B=2)*(Equipar!AC:AC=A250)),""),"")</f>
        <v/>
      </c>
    </row>
    <row r="251" spans="1:10" x14ac:dyDescent="0.25">
      <c r="A251" s="1" t="str">
        <f ca="1">IF(A250="ID",1,IF(ISBLANK(B251),"",MAX(A$2:A250)+1))</f>
        <v/>
      </c>
      <c r="I251" s="2" t="str">
        <f ca="1">IF(ISNUMBER(A251),
IF(COUNTIFS(Equipar!B:B,2,Equipar!AC:AC,A251),"Equipada",
IF(
  OR(COUNTIFS(Equipar!B:B,2,Equipar!C:C,A251)
 +COUNTIFS(Equipar!B:B,2,Equipar!D:D,A251)
+COUNTIFS(Equipar!B:B,2,Equipar!E:E,A251)
+COUNTIFS(Equipar!B:B,2,Equipar!F:F,A251)
&gt;0,COUNTIF('Set recomendado'!B:B,C251)=0),
"Bloqueada",
"Desechable")),""
)</f>
        <v/>
      </c>
      <c r="J251" t="str" cm="1">
        <f t="array" aca="1" ref="J251" ca="1">IF(ISNUMBER(A251),IFERROR(_xlfn._xlws.FILTER(Equipar!A:A,(Equipar!B:B=2)*(Equipar!AC:AC=A251)),""),"")</f>
        <v/>
      </c>
    </row>
    <row r="252" spans="1:10" x14ac:dyDescent="0.25">
      <c r="A252" s="1" t="str">
        <f ca="1">IF(A251="ID",1,IF(ISBLANK(B252),"",MAX(A$2:A251)+1))</f>
        <v/>
      </c>
      <c r="I252" s="2" t="str">
        <f ca="1">IF(ISNUMBER(A252),
IF(COUNTIFS(Equipar!B:B,2,Equipar!AC:AC,A252),"Equipada",
IF(
  OR(COUNTIFS(Equipar!B:B,2,Equipar!C:C,A252)
 +COUNTIFS(Equipar!B:B,2,Equipar!D:D,A252)
+COUNTIFS(Equipar!B:B,2,Equipar!E:E,A252)
+COUNTIFS(Equipar!B:B,2,Equipar!F:F,A252)
&gt;0,COUNTIF('Set recomendado'!B:B,C252)=0),
"Bloqueada",
"Desechable")),""
)</f>
        <v/>
      </c>
      <c r="J252" t="str" cm="1">
        <f t="array" aca="1" ref="J252" ca="1">IF(ISNUMBER(A252),IFERROR(_xlfn._xlws.FILTER(Equipar!A:A,(Equipar!B:B=2)*(Equipar!AC:AC=A252)),""),"")</f>
        <v/>
      </c>
    </row>
    <row r="253" spans="1:10" x14ac:dyDescent="0.25">
      <c r="A253" s="1" t="str">
        <f ca="1">IF(A252="ID",1,IF(ISBLANK(B253),"",MAX(A$2:A252)+1))</f>
        <v/>
      </c>
      <c r="I253" s="2" t="str">
        <f ca="1">IF(ISNUMBER(A253),
IF(COUNTIFS(Equipar!B:B,2,Equipar!AC:AC,A253),"Equipada",
IF(
  OR(COUNTIFS(Equipar!B:B,2,Equipar!C:C,A253)
 +COUNTIFS(Equipar!B:B,2,Equipar!D:D,A253)
+COUNTIFS(Equipar!B:B,2,Equipar!E:E,A253)
+COUNTIFS(Equipar!B:B,2,Equipar!F:F,A253)
&gt;0,COUNTIF('Set recomendado'!B:B,C253)=0),
"Bloqueada",
"Desechable")),""
)</f>
        <v/>
      </c>
      <c r="J253" t="str" cm="1">
        <f t="array" aca="1" ref="J253" ca="1">IF(ISNUMBER(A253),IFERROR(_xlfn._xlws.FILTER(Equipar!A:A,(Equipar!B:B=2)*(Equipar!AC:AC=A253)),""),"")</f>
        <v/>
      </c>
    </row>
    <row r="254" spans="1:10" x14ac:dyDescent="0.25">
      <c r="A254" s="1" t="str">
        <f ca="1">IF(A253="ID",1,IF(ISBLANK(B254),"",MAX(A$2:A253)+1))</f>
        <v/>
      </c>
      <c r="I254" s="2" t="str">
        <f ca="1">IF(ISNUMBER(A254),
IF(COUNTIFS(Equipar!B:B,2,Equipar!AC:AC,A254),"Equipada",
IF(
  OR(COUNTIFS(Equipar!B:B,2,Equipar!C:C,A254)
 +COUNTIFS(Equipar!B:B,2,Equipar!D:D,A254)
+COUNTIFS(Equipar!B:B,2,Equipar!E:E,A254)
+COUNTIFS(Equipar!B:B,2,Equipar!F:F,A254)
&gt;0,COUNTIF('Set recomendado'!B:B,C254)=0),
"Bloqueada",
"Desechable")),""
)</f>
        <v/>
      </c>
      <c r="J254" t="str" cm="1">
        <f t="array" aca="1" ref="J254" ca="1">IF(ISNUMBER(A254),IFERROR(_xlfn._xlws.FILTER(Equipar!A:A,(Equipar!B:B=2)*(Equipar!AC:AC=A254)),""),"")</f>
        <v/>
      </c>
    </row>
    <row r="255" spans="1:10" x14ac:dyDescent="0.25">
      <c r="A255" s="1" t="str">
        <f ca="1">IF(A254="ID",1,IF(ISBLANK(B255),"",MAX(A$2:A254)+1))</f>
        <v/>
      </c>
      <c r="I255" s="2" t="str">
        <f ca="1">IF(ISNUMBER(A255),
IF(COUNTIFS(Equipar!B:B,2,Equipar!AC:AC,A255),"Equipada",
IF(
  OR(COUNTIFS(Equipar!B:B,2,Equipar!C:C,A255)
 +COUNTIFS(Equipar!B:B,2,Equipar!D:D,A255)
+COUNTIFS(Equipar!B:B,2,Equipar!E:E,A255)
+COUNTIFS(Equipar!B:B,2,Equipar!F:F,A255)
&gt;0,COUNTIF('Set recomendado'!B:B,C255)=0),
"Bloqueada",
"Desechable")),""
)</f>
        <v/>
      </c>
      <c r="J255" t="str" cm="1">
        <f t="array" aca="1" ref="J255" ca="1">IF(ISNUMBER(A255),IFERROR(_xlfn._xlws.FILTER(Equipar!A:A,(Equipar!B:B=2)*(Equipar!AC:AC=A255)),""),"")</f>
        <v/>
      </c>
    </row>
    <row r="256" spans="1:10" x14ac:dyDescent="0.25">
      <c r="A256" s="1" t="str">
        <f ca="1">IF(A255="ID",1,IF(ISBLANK(B256),"",MAX(A$2:A255)+1))</f>
        <v/>
      </c>
      <c r="I256" s="2" t="str">
        <f ca="1">IF(ISNUMBER(A256),
IF(COUNTIFS(Equipar!B:B,2,Equipar!AC:AC,A256),"Equipada",
IF(
  OR(COUNTIFS(Equipar!B:B,2,Equipar!C:C,A256)
 +COUNTIFS(Equipar!B:B,2,Equipar!D:D,A256)
+COUNTIFS(Equipar!B:B,2,Equipar!E:E,A256)
+COUNTIFS(Equipar!B:B,2,Equipar!F:F,A256)
&gt;0,COUNTIF('Set recomendado'!B:B,C256)=0),
"Bloqueada",
"Desechable")),""
)</f>
        <v/>
      </c>
      <c r="J256" t="str" cm="1">
        <f t="array" aca="1" ref="J256" ca="1">IF(ISNUMBER(A256),IFERROR(_xlfn._xlws.FILTER(Equipar!A:A,(Equipar!B:B=2)*(Equipar!AC:AC=A256)),""),"")</f>
        <v/>
      </c>
    </row>
    <row r="257" spans="1:10" x14ac:dyDescent="0.25">
      <c r="A257" s="1" t="str">
        <f ca="1">IF(A256="ID",1,IF(ISBLANK(B257),"",MAX(A$2:A256)+1))</f>
        <v/>
      </c>
      <c r="I257" s="2" t="str">
        <f ca="1">IF(ISNUMBER(A257),
IF(COUNTIFS(Equipar!B:B,2,Equipar!AC:AC,A257),"Equipada",
IF(
  OR(COUNTIFS(Equipar!B:B,2,Equipar!C:C,A257)
 +COUNTIFS(Equipar!B:B,2,Equipar!D:D,A257)
+COUNTIFS(Equipar!B:B,2,Equipar!E:E,A257)
+COUNTIFS(Equipar!B:B,2,Equipar!F:F,A257)
&gt;0,COUNTIF('Set recomendado'!B:B,C257)=0),
"Bloqueada",
"Desechable")),""
)</f>
        <v/>
      </c>
      <c r="J257" t="str" cm="1">
        <f t="array" aca="1" ref="J257" ca="1">IF(ISNUMBER(A257),IFERROR(_xlfn._xlws.FILTER(Equipar!A:A,(Equipar!B:B=2)*(Equipar!AC:AC=A257)),""),"")</f>
        <v/>
      </c>
    </row>
    <row r="258" spans="1:10" x14ac:dyDescent="0.25">
      <c r="A258" s="1" t="str">
        <f ca="1">IF(A257="ID",1,IF(ISBLANK(B258),"",MAX(A$2:A257)+1))</f>
        <v/>
      </c>
      <c r="I258" s="2" t="str">
        <f ca="1">IF(ISNUMBER(A258),
IF(COUNTIFS(Equipar!B:B,2,Equipar!AC:AC,A258),"Equipada",
IF(
  OR(COUNTIFS(Equipar!B:B,2,Equipar!C:C,A258)
 +COUNTIFS(Equipar!B:B,2,Equipar!D:D,A258)
+COUNTIFS(Equipar!B:B,2,Equipar!E:E,A258)
+COUNTIFS(Equipar!B:B,2,Equipar!F:F,A258)
&gt;0,COUNTIF('Set recomendado'!B:B,C258)=0),
"Bloqueada",
"Desechable")),""
)</f>
        <v/>
      </c>
      <c r="J258" t="str" cm="1">
        <f t="array" aca="1" ref="J258" ca="1">IF(ISNUMBER(A258),IFERROR(_xlfn._xlws.FILTER(Equipar!A:A,(Equipar!B:B=2)*(Equipar!AC:AC=A258)),""),"")</f>
        <v/>
      </c>
    </row>
    <row r="259" spans="1:10" x14ac:dyDescent="0.25">
      <c r="A259" s="1" t="str">
        <f ca="1">IF(A258="ID",1,IF(ISBLANK(B259),"",MAX(A$2:A258)+1))</f>
        <v/>
      </c>
      <c r="I259" s="2" t="str">
        <f ca="1">IF(ISNUMBER(A259),
IF(COUNTIFS(Equipar!B:B,2,Equipar!AC:AC,A259),"Equipada",
IF(
  OR(COUNTIFS(Equipar!B:B,2,Equipar!C:C,A259)
 +COUNTIFS(Equipar!B:B,2,Equipar!D:D,A259)
+COUNTIFS(Equipar!B:B,2,Equipar!E:E,A259)
+COUNTIFS(Equipar!B:B,2,Equipar!F:F,A259)
&gt;0,COUNTIF('Set recomendado'!B:B,C259)=0),
"Bloqueada",
"Desechable")),""
)</f>
        <v/>
      </c>
      <c r="J259" t="str" cm="1">
        <f t="array" aca="1" ref="J259" ca="1">IF(ISNUMBER(A259),IFERROR(_xlfn._xlws.FILTER(Equipar!A:A,(Equipar!B:B=2)*(Equipar!AC:AC=A259)),""),"")</f>
        <v/>
      </c>
    </row>
    <row r="260" spans="1:10" x14ac:dyDescent="0.25">
      <c r="A260" s="1" t="str">
        <f ca="1">IF(A259="ID",1,IF(ISBLANK(B260),"",MAX(A$2:A259)+1))</f>
        <v/>
      </c>
      <c r="I260" s="2" t="str">
        <f ca="1">IF(ISNUMBER(A260),
IF(COUNTIFS(Equipar!B:B,2,Equipar!AC:AC,A260),"Equipada",
IF(
  OR(COUNTIFS(Equipar!B:B,2,Equipar!C:C,A260)
 +COUNTIFS(Equipar!B:B,2,Equipar!D:D,A260)
+COUNTIFS(Equipar!B:B,2,Equipar!E:E,A260)
+COUNTIFS(Equipar!B:B,2,Equipar!F:F,A260)
&gt;0,COUNTIF('Set recomendado'!B:B,C260)=0),
"Bloqueada",
"Desechable")),""
)</f>
        <v/>
      </c>
      <c r="J260" t="str" cm="1">
        <f t="array" aca="1" ref="J260" ca="1">IF(ISNUMBER(A260),IFERROR(_xlfn._xlws.FILTER(Equipar!A:A,(Equipar!B:B=2)*(Equipar!AC:AC=A260)),""),"")</f>
        <v/>
      </c>
    </row>
    <row r="261" spans="1:10" x14ac:dyDescent="0.25">
      <c r="A261" s="1" t="str">
        <f ca="1">IF(A260="ID",1,IF(ISBLANK(B261),"",MAX(A$2:A260)+1))</f>
        <v/>
      </c>
      <c r="I261" s="2" t="str">
        <f ca="1">IF(ISNUMBER(A261),
IF(COUNTIFS(Equipar!B:B,2,Equipar!AC:AC,A261),"Equipada",
IF(
  OR(COUNTIFS(Equipar!B:B,2,Equipar!C:C,A261)
 +COUNTIFS(Equipar!B:B,2,Equipar!D:D,A261)
+COUNTIFS(Equipar!B:B,2,Equipar!E:E,A261)
+COUNTIFS(Equipar!B:B,2,Equipar!F:F,A261)
&gt;0,COUNTIF('Set recomendado'!B:B,C261)=0),
"Bloqueada",
"Desechable")),""
)</f>
        <v/>
      </c>
      <c r="J261" t="str" cm="1">
        <f t="array" aca="1" ref="J261" ca="1">IF(ISNUMBER(A261),IFERROR(_xlfn._xlws.FILTER(Equipar!A:A,(Equipar!B:B=2)*(Equipar!AC:AC=A261)),""),"")</f>
        <v/>
      </c>
    </row>
    <row r="262" spans="1:10" x14ac:dyDescent="0.25">
      <c r="A262" s="1" t="str">
        <f ca="1">IF(A261="ID",1,IF(ISBLANK(B262),"",MAX(A$2:A261)+1))</f>
        <v/>
      </c>
      <c r="I262" s="2" t="str">
        <f ca="1">IF(ISNUMBER(A262),
IF(COUNTIFS(Equipar!B:B,2,Equipar!AC:AC,A262),"Equipada",
IF(
  OR(COUNTIFS(Equipar!B:B,2,Equipar!C:C,A262)
 +COUNTIFS(Equipar!B:B,2,Equipar!D:D,A262)
+COUNTIFS(Equipar!B:B,2,Equipar!E:E,A262)
+COUNTIFS(Equipar!B:B,2,Equipar!F:F,A262)
&gt;0,COUNTIF('Set recomendado'!B:B,C262)=0),
"Bloqueada",
"Desechable")),""
)</f>
        <v/>
      </c>
      <c r="J262" t="str" cm="1">
        <f t="array" aca="1" ref="J262" ca="1">IF(ISNUMBER(A262),IFERROR(_xlfn._xlws.FILTER(Equipar!A:A,(Equipar!B:B=2)*(Equipar!AC:AC=A262)),""),"")</f>
        <v/>
      </c>
    </row>
    <row r="263" spans="1:10" x14ac:dyDescent="0.25">
      <c r="A263" s="1" t="str">
        <f ca="1">IF(A262="ID",1,IF(ISBLANK(B263),"",MAX(A$2:A262)+1))</f>
        <v/>
      </c>
      <c r="I263" s="2" t="str">
        <f ca="1">IF(ISNUMBER(A263),
IF(COUNTIFS(Equipar!B:B,2,Equipar!AC:AC,A263),"Equipada",
IF(
  OR(COUNTIFS(Equipar!B:B,2,Equipar!C:C,A263)
 +COUNTIFS(Equipar!B:B,2,Equipar!D:D,A263)
+COUNTIFS(Equipar!B:B,2,Equipar!E:E,A263)
+COUNTIFS(Equipar!B:B,2,Equipar!F:F,A263)
&gt;0,COUNTIF('Set recomendado'!B:B,C263)=0),
"Bloqueada",
"Desechable")),""
)</f>
        <v/>
      </c>
      <c r="J263" t="str" cm="1">
        <f t="array" aca="1" ref="J263" ca="1">IF(ISNUMBER(A263),IFERROR(_xlfn._xlws.FILTER(Equipar!A:A,(Equipar!B:B=2)*(Equipar!AC:AC=A263)),""),"")</f>
        <v/>
      </c>
    </row>
    <row r="264" spans="1:10" x14ac:dyDescent="0.25">
      <c r="A264" s="1" t="str">
        <f ca="1">IF(A263="ID",1,IF(ISBLANK(B264),"",MAX(A$2:A263)+1))</f>
        <v/>
      </c>
      <c r="I264" s="2" t="str">
        <f ca="1">IF(ISNUMBER(A264),
IF(COUNTIFS(Equipar!B:B,2,Equipar!AC:AC,A264),"Equipada",
IF(
  OR(COUNTIFS(Equipar!B:B,2,Equipar!C:C,A264)
 +COUNTIFS(Equipar!B:B,2,Equipar!D:D,A264)
+COUNTIFS(Equipar!B:B,2,Equipar!E:E,A264)
+COUNTIFS(Equipar!B:B,2,Equipar!F:F,A264)
&gt;0,COUNTIF('Set recomendado'!B:B,C264)=0),
"Bloqueada",
"Desechable")),""
)</f>
        <v/>
      </c>
      <c r="J264" t="str" cm="1">
        <f t="array" aca="1" ref="J264" ca="1">IF(ISNUMBER(A264),IFERROR(_xlfn._xlws.FILTER(Equipar!A:A,(Equipar!B:B=2)*(Equipar!AC:AC=A264)),""),"")</f>
        <v/>
      </c>
    </row>
    <row r="265" spans="1:10" x14ac:dyDescent="0.25">
      <c r="A265" s="1" t="str">
        <f ca="1">IF(A264="ID",1,IF(ISBLANK(B265),"",MAX(A$2:A264)+1))</f>
        <v/>
      </c>
      <c r="I265" s="2" t="str">
        <f ca="1">IF(ISNUMBER(A265),
IF(COUNTIFS(Equipar!B:B,2,Equipar!AC:AC,A265),"Equipada",
IF(
  OR(COUNTIFS(Equipar!B:B,2,Equipar!C:C,A265)
 +COUNTIFS(Equipar!B:B,2,Equipar!D:D,A265)
+COUNTIFS(Equipar!B:B,2,Equipar!E:E,A265)
+COUNTIFS(Equipar!B:B,2,Equipar!F:F,A265)
&gt;0,COUNTIF('Set recomendado'!B:B,C265)=0),
"Bloqueada",
"Desechable")),""
)</f>
        <v/>
      </c>
      <c r="J265" t="str" cm="1">
        <f t="array" aca="1" ref="J265" ca="1">IF(ISNUMBER(A265),IFERROR(_xlfn._xlws.FILTER(Equipar!A:A,(Equipar!B:B=2)*(Equipar!AC:AC=A265)),""),"")</f>
        <v/>
      </c>
    </row>
    <row r="266" spans="1:10" x14ac:dyDescent="0.25">
      <c r="A266" s="1" t="str">
        <f ca="1">IF(A265="ID",1,IF(ISBLANK(B266),"",MAX(A$2:A265)+1))</f>
        <v/>
      </c>
      <c r="I266" s="2" t="str">
        <f ca="1">IF(ISNUMBER(A266),
IF(COUNTIFS(Equipar!B:B,2,Equipar!AC:AC,A266),"Equipada",
IF(
  OR(COUNTIFS(Equipar!B:B,2,Equipar!C:C,A266)
 +COUNTIFS(Equipar!B:B,2,Equipar!D:D,A266)
+COUNTIFS(Equipar!B:B,2,Equipar!E:E,A266)
+COUNTIFS(Equipar!B:B,2,Equipar!F:F,A266)
&gt;0,COUNTIF('Set recomendado'!B:B,C266)=0),
"Bloqueada",
"Desechable")),""
)</f>
        <v/>
      </c>
      <c r="J266" t="str" cm="1">
        <f t="array" aca="1" ref="J266" ca="1">IF(ISNUMBER(A266),IFERROR(_xlfn._xlws.FILTER(Equipar!A:A,(Equipar!B:B=2)*(Equipar!AC:AC=A266)),""),"")</f>
        <v/>
      </c>
    </row>
    <row r="267" spans="1:10" x14ac:dyDescent="0.25">
      <c r="A267" s="1" t="str">
        <f ca="1">IF(A266="ID",1,IF(ISBLANK(B267),"",MAX(A$2:A266)+1))</f>
        <v/>
      </c>
      <c r="I267" s="2" t="str">
        <f ca="1">IF(ISNUMBER(A267),
IF(COUNTIFS(Equipar!B:B,2,Equipar!AC:AC,A267),"Equipada",
IF(
  OR(COUNTIFS(Equipar!B:B,2,Equipar!C:C,A267)
 +COUNTIFS(Equipar!B:B,2,Equipar!D:D,A267)
+COUNTIFS(Equipar!B:B,2,Equipar!E:E,A267)
+COUNTIFS(Equipar!B:B,2,Equipar!F:F,A267)
&gt;0,COUNTIF('Set recomendado'!B:B,C267)=0),
"Bloqueada",
"Desechable")),""
)</f>
        <v/>
      </c>
      <c r="J267" t="str" cm="1">
        <f t="array" aca="1" ref="J267" ca="1">IF(ISNUMBER(A267),IFERROR(_xlfn._xlws.FILTER(Equipar!A:A,(Equipar!B:B=2)*(Equipar!AC:AC=A267)),""),"")</f>
        <v/>
      </c>
    </row>
    <row r="268" spans="1:10" x14ac:dyDescent="0.25">
      <c r="A268" s="1" t="str">
        <f ca="1">IF(A267="ID",1,IF(ISBLANK(B268),"",MAX(A$2:A267)+1))</f>
        <v/>
      </c>
      <c r="I268" s="2" t="str">
        <f ca="1">IF(ISNUMBER(A268),
IF(COUNTIFS(Equipar!B:B,2,Equipar!AC:AC,A268),"Equipada",
IF(
  OR(COUNTIFS(Equipar!B:B,2,Equipar!C:C,A268)
 +COUNTIFS(Equipar!B:B,2,Equipar!D:D,A268)
+COUNTIFS(Equipar!B:B,2,Equipar!E:E,A268)
+COUNTIFS(Equipar!B:B,2,Equipar!F:F,A268)
&gt;0,COUNTIF('Set recomendado'!B:B,C268)=0),
"Bloqueada",
"Desechable")),""
)</f>
        <v/>
      </c>
      <c r="J268" t="str" cm="1">
        <f t="array" aca="1" ref="J268" ca="1">IF(ISNUMBER(A268),IFERROR(_xlfn._xlws.FILTER(Equipar!A:A,(Equipar!B:B=2)*(Equipar!AC:AC=A268)),""),"")</f>
        <v/>
      </c>
    </row>
    <row r="269" spans="1:10" x14ac:dyDescent="0.25">
      <c r="A269" s="1" t="str">
        <f ca="1">IF(A268="ID",1,IF(ISBLANK(B269),"",MAX(A$2:A268)+1))</f>
        <v/>
      </c>
      <c r="I269" s="2" t="str">
        <f ca="1">IF(ISNUMBER(A269),
IF(COUNTIFS(Equipar!B:B,2,Equipar!AC:AC,A269),"Equipada",
IF(
  OR(COUNTIFS(Equipar!B:B,2,Equipar!C:C,A269)
 +COUNTIFS(Equipar!B:B,2,Equipar!D:D,A269)
+COUNTIFS(Equipar!B:B,2,Equipar!E:E,A269)
+COUNTIFS(Equipar!B:B,2,Equipar!F:F,A269)
&gt;0,COUNTIF('Set recomendado'!B:B,C269)=0),
"Bloqueada",
"Desechable")),""
)</f>
        <v/>
      </c>
      <c r="J269" t="str" cm="1">
        <f t="array" aca="1" ref="J269" ca="1">IF(ISNUMBER(A269),IFERROR(_xlfn._xlws.FILTER(Equipar!A:A,(Equipar!B:B=2)*(Equipar!AC:AC=A269)),""),"")</f>
        <v/>
      </c>
    </row>
    <row r="270" spans="1:10" x14ac:dyDescent="0.25">
      <c r="A270" s="1" t="str">
        <f ca="1">IF(A269="ID",1,IF(ISBLANK(B270),"",MAX(A$2:A269)+1))</f>
        <v/>
      </c>
      <c r="I270" s="2" t="str">
        <f ca="1">IF(ISNUMBER(A270),
IF(COUNTIFS(Equipar!B:B,2,Equipar!AC:AC,A270),"Equipada",
IF(
  OR(COUNTIFS(Equipar!B:B,2,Equipar!C:C,A270)
 +COUNTIFS(Equipar!B:B,2,Equipar!D:D,A270)
+COUNTIFS(Equipar!B:B,2,Equipar!E:E,A270)
+COUNTIFS(Equipar!B:B,2,Equipar!F:F,A270)
&gt;0,COUNTIF('Set recomendado'!B:B,C270)=0),
"Bloqueada",
"Desechable")),""
)</f>
        <v/>
      </c>
      <c r="J270" t="str" cm="1">
        <f t="array" aca="1" ref="J270" ca="1">IF(ISNUMBER(A270),IFERROR(_xlfn._xlws.FILTER(Equipar!A:A,(Equipar!B:B=2)*(Equipar!AC:AC=A270)),""),"")</f>
        <v/>
      </c>
    </row>
    <row r="271" spans="1:10" x14ac:dyDescent="0.25">
      <c r="A271" s="1" t="str">
        <f ca="1">IF(A270="ID",1,IF(ISBLANK(B271),"",MAX(A$2:A270)+1))</f>
        <v/>
      </c>
      <c r="I271" s="2" t="str">
        <f ca="1">IF(ISNUMBER(A271),
IF(COUNTIFS(Equipar!B:B,2,Equipar!AC:AC,A271),"Equipada",
IF(
  OR(COUNTIFS(Equipar!B:B,2,Equipar!C:C,A271)
 +COUNTIFS(Equipar!B:B,2,Equipar!D:D,A271)
+COUNTIFS(Equipar!B:B,2,Equipar!E:E,A271)
+COUNTIFS(Equipar!B:B,2,Equipar!F:F,A271)
&gt;0,COUNTIF('Set recomendado'!B:B,C271)=0),
"Bloqueada",
"Desechable")),""
)</f>
        <v/>
      </c>
      <c r="J271" t="str" cm="1">
        <f t="array" aca="1" ref="J271" ca="1">IF(ISNUMBER(A271),IFERROR(_xlfn._xlws.FILTER(Equipar!A:A,(Equipar!B:B=2)*(Equipar!AC:AC=A271)),""),"")</f>
        <v/>
      </c>
    </row>
    <row r="272" spans="1:10" x14ac:dyDescent="0.25">
      <c r="A272" s="1" t="str">
        <f ca="1">IF(A271="ID",1,IF(ISBLANK(B272),"",MAX(A$2:A271)+1))</f>
        <v/>
      </c>
      <c r="I272" s="2" t="str">
        <f ca="1">IF(ISNUMBER(A272),
IF(COUNTIFS(Equipar!B:B,2,Equipar!AC:AC,A272),"Equipada",
IF(
  OR(COUNTIFS(Equipar!B:B,2,Equipar!C:C,A272)
 +COUNTIFS(Equipar!B:B,2,Equipar!D:D,A272)
+COUNTIFS(Equipar!B:B,2,Equipar!E:E,A272)
+COUNTIFS(Equipar!B:B,2,Equipar!F:F,A272)
&gt;0,COUNTIF('Set recomendado'!B:B,C272)=0),
"Bloqueada",
"Desechable")),""
)</f>
        <v/>
      </c>
      <c r="J272" t="str" cm="1">
        <f t="array" aca="1" ref="J272" ca="1">IF(ISNUMBER(A272),IFERROR(_xlfn._xlws.FILTER(Equipar!A:A,(Equipar!B:B=2)*(Equipar!AC:AC=A272)),""),"")</f>
        <v/>
      </c>
    </row>
    <row r="273" spans="1:10" x14ac:dyDescent="0.25">
      <c r="A273" s="1" t="str">
        <f ca="1">IF(A272="ID",1,IF(ISBLANK(B273),"",MAX(A$2:A272)+1))</f>
        <v/>
      </c>
      <c r="I273" s="2" t="str">
        <f ca="1">IF(ISNUMBER(A273),
IF(COUNTIFS(Equipar!B:B,2,Equipar!AC:AC,A273),"Equipada",
IF(
  OR(COUNTIFS(Equipar!B:B,2,Equipar!C:C,A273)
 +COUNTIFS(Equipar!B:B,2,Equipar!D:D,A273)
+COUNTIFS(Equipar!B:B,2,Equipar!E:E,A273)
+COUNTIFS(Equipar!B:B,2,Equipar!F:F,A273)
&gt;0,COUNTIF('Set recomendado'!B:B,C273)=0),
"Bloqueada",
"Desechable")),""
)</f>
        <v/>
      </c>
      <c r="J273" t="str" cm="1">
        <f t="array" aca="1" ref="J273" ca="1">IF(ISNUMBER(A273),IFERROR(_xlfn._xlws.FILTER(Equipar!A:A,(Equipar!B:B=2)*(Equipar!AC:AC=A273)),""),"")</f>
        <v/>
      </c>
    </row>
    <row r="274" spans="1:10" x14ac:dyDescent="0.25">
      <c r="A274" s="1" t="str">
        <f ca="1">IF(A273="ID",1,IF(ISBLANK(B274),"",MAX(A$2:A273)+1))</f>
        <v/>
      </c>
      <c r="I274" s="2" t="str">
        <f ca="1">IF(ISNUMBER(A274),
IF(COUNTIFS(Equipar!B:B,2,Equipar!AC:AC,A274),"Equipada",
IF(
  OR(COUNTIFS(Equipar!B:B,2,Equipar!C:C,A274)
 +COUNTIFS(Equipar!B:B,2,Equipar!D:D,A274)
+COUNTIFS(Equipar!B:B,2,Equipar!E:E,A274)
+COUNTIFS(Equipar!B:B,2,Equipar!F:F,A274)
&gt;0,COUNTIF('Set recomendado'!B:B,C274)=0),
"Bloqueada",
"Desechable")),""
)</f>
        <v/>
      </c>
      <c r="J274" t="str" cm="1">
        <f t="array" aca="1" ref="J274" ca="1">IF(ISNUMBER(A274),IFERROR(_xlfn._xlws.FILTER(Equipar!A:A,(Equipar!B:B=2)*(Equipar!AC:AC=A274)),""),"")</f>
        <v/>
      </c>
    </row>
    <row r="275" spans="1:10" x14ac:dyDescent="0.25">
      <c r="A275" s="1" t="str">
        <f ca="1">IF(A274="ID",1,IF(ISBLANK(B275),"",MAX(A$2:A274)+1))</f>
        <v/>
      </c>
      <c r="I275" s="2" t="str">
        <f ca="1">IF(ISNUMBER(A275),
IF(COUNTIFS(Equipar!B:B,2,Equipar!AC:AC,A275),"Equipada",
IF(
  OR(COUNTIFS(Equipar!B:B,2,Equipar!C:C,A275)
 +COUNTIFS(Equipar!B:B,2,Equipar!D:D,A275)
+COUNTIFS(Equipar!B:B,2,Equipar!E:E,A275)
+COUNTIFS(Equipar!B:B,2,Equipar!F:F,A275)
&gt;0,COUNTIF('Set recomendado'!B:B,C275)=0),
"Bloqueada",
"Desechable")),""
)</f>
        <v/>
      </c>
      <c r="J275" t="str" cm="1">
        <f t="array" aca="1" ref="J275" ca="1">IF(ISNUMBER(A275),IFERROR(_xlfn._xlws.FILTER(Equipar!A:A,(Equipar!B:B=2)*(Equipar!AC:AC=A275)),""),"")</f>
        <v/>
      </c>
    </row>
    <row r="276" spans="1:10" x14ac:dyDescent="0.25">
      <c r="A276" s="1" t="str">
        <f ca="1">IF(A275="ID",1,IF(ISBLANK(B276),"",MAX(A$2:A275)+1))</f>
        <v/>
      </c>
      <c r="I276" s="2" t="str">
        <f ca="1">IF(ISNUMBER(A276),
IF(COUNTIFS(Equipar!B:B,2,Equipar!AC:AC,A276),"Equipada",
IF(
  OR(COUNTIFS(Equipar!B:B,2,Equipar!C:C,A276)
 +COUNTIFS(Equipar!B:B,2,Equipar!D:D,A276)
+COUNTIFS(Equipar!B:B,2,Equipar!E:E,A276)
+COUNTIFS(Equipar!B:B,2,Equipar!F:F,A276)
&gt;0,COUNTIF('Set recomendado'!B:B,C276)=0),
"Bloqueada",
"Desechable")),""
)</f>
        <v/>
      </c>
      <c r="J276" t="str" cm="1">
        <f t="array" aca="1" ref="J276" ca="1">IF(ISNUMBER(A276),IFERROR(_xlfn._xlws.FILTER(Equipar!A:A,(Equipar!B:B=2)*(Equipar!AC:AC=A276)),""),"")</f>
        <v/>
      </c>
    </row>
    <row r="277" spans="1:10" x14ac:dyDescent="0.25">
      <c r="A277" s="1" t="str">
        <f ca="1">IF(A276="ID",1,IF(ISBLANK(B277),"",MAX(A$2:A276)+1))</f>
        <v/>
      </c>
      <c r="I277" s="2" t="str">
        <f ca="1">IF(ISNUMBER(A277),
IF(COUNTIFS(Equipar!B:B,2,Equipar!AC:AC,A277),"Equipada",
IF(
  OR(COUNTIFS(Equipar!B:B,2,Equipar!C:C,A277)
 +COUNTIFS(Equipar!B:B,2,Equipar!D:D,A277)
+COUNTIFS(Equipar!B:B,2,Equipar!E:E,A277)
+COUNTIFS(Equipar!B:B,2,Equipar!F:F,A277)
&gt;0,COUNTIF('Set recomendado'!B:B,C277)=0),
"Bloqueada",
"Desechable")),""
)</f>
        <v/>
      </c>
      <c r="J277" t="str" cm="1">
        <f t="array" aca="1" ref="J277" ca="1">IF(ISNUMBER(A277),IFERROR(_xlfn._xlws.FILTER(Equipar!A:A,(Equipar!B:B=2)*(Equipar!AC:AC=A277)),""),"")</f>
        <v/>
      </c>
    </row>
    <row r="278" spans="1:10" x14ac:dyDescent="0.25">
      <c r="A278" s="1" t="str">
        <f ca="1">IF(A277="ID",1,IF(ISBLANK(B278),"",MAX(A$2:A277)+1))</f>
        <v/>
      </c>
      <c r="I278" s="2" t="str">
        <f ca="1">IF(ISNUMBER(A278),
IF(COUNTIFS(Equipar!B:B,2,Equipar!AC:AC,A278),"Equipada",
IF(
  OR(COUNTIFS(Equipar!B:B,2,Equipar!C:C,A278)
 +COUNTIFS(Equipar!B:B,2,Equipar!D:D,A278)
+COUNTIFS(Equipar!B:B,2,Equipar!E:E,A278)
+COUNTIFS(Equipar!B:B,2,Equipar!F:F,A278)
&gt;0,COUNTIF('Set recomendado'!B:B,C278)=0),
"Bloqueada",
"Desechable")),""
)</f>
        <v/>
      </c>
      <c r="J278" t="str" cm="1">
        <f t="array" aca="1" ref="J278" ca="1">IF(ISNUMBER(A278),IFERROR(_xlfn._xlws.FILTER(Equipar!A:A,(Equipar!B:B=2)*(Equipar!AC:AC=A278)),""),"")</f>
        <v/>
      </c>
    </row>
    <row r="279" spans="1:10" x14ac:dyDescent="0.25">
      <c r="A279" s="1" t="str">
        <f ca="1">IF(A278="ID",1,IF(ISBLANK(B279),"",MAX(A$2:A278)+1))</f>
        <v/>
      </c>
      <c r="I279" s="2" t="str">
        <f ca="1">IF(ISNUMBER(A279),
IF(COUNTIFS(Equipar!B:B,2,Equipar!AC:AC,A279),"Equipada",
IF(
  OR(COUNTIFS(Equipar!B:B,2,Equipar!C:C,A279)
 +COUNTIFS(Equipar!B:B,2,Equipar!D:D,A279)
+COUNTIFS(Equipar!B:B,2,Equipar!E:E,A279)
+COUNTIFS(Equipar!B:B,2,Equipar!F:F,A279)
&gt;0,COUNTIF('Set recomendado'!B:B,C279)=0),
"Bloqueada",
"Desechable")),""
)</f>
        <v/>
      </c>
      <c r="J279" t="str" cm="1">
        <f t="array" aca="1" ref="J279" ca="1">IF(ISNUMBER(A279),IFERROR(_xlfn._xlws.FILTER(Equipar!A:A,(Equipar!B:B=2)*(Equipar!AC:AC=A279)),""),"")</f>
        <v/>
      </c>
    </row>
    <row r="280" spans="1:10" x14ac:dyDescent="0.25">
      <c r="A280" s="1" t="str">
        <f ca="1">IF(A279="ID",1,IF(ISBLANK(B280),"",MAX(A$2:A279)+1))</f>
        <v/>
      </c>
      <c r="I280" s="2" t="str">
        <f ca="1">IF(ISNUMBER(A280),
IF(COUNTIFS(Equipar!B:B,2,Equipar!AC:AC,A280),"Equipada",
IF(
  OR(COUNTIFS(Equipar!B:B,2,Equipar!C:C,A280)
 +COUNTIFS(Equipar!B:B,2,Equipar!D:D,A280)
+COUNTIFS(Equipar!B:B,2,Equipar!E:E,A280)
+COUNTIFS(Equipar!B:B,2,Equipar!F:F,A280)
&gt;0,COUNTIF('Set recomendado'!B:B,C280)=0),
"Bloqueada",
"Desechable")),""
)</f>
        <v/>
      </c>
      <c r="J280" t="str" cm="1">
        <f t="array" aca="1" ref="J280" ca="1">IF(ISNUMBER(A280),IFERROR(_xlfn._xlws.FILTER(Equipar!A:A,(Equipar!B:B=2)*(Equipar!AC:AC=A280)),""),"")</f>
        <v/>
      </c>
    </row>
    <row r="281" spans="1:10" x14ac:dyDescent="0.25">
      <c r="A281" s="1" t="str">
        <f ca="1">IF(A280="ID",1,IF(ISBLANK(B281),"",MAX(A$2:A280)+1))</f>
        <v/>
      </c>
      <c r="I281" s="2" t="str">
        <f ca="1">IF(ISNUMBER(A281),
IF(COUNTIFS(Equipar!B:B,2,Equipar!AC:AC,A281),"Equipada",
IF(
  OR(COUNTIFS(Equipar!B:B,2,Equipar!C:C,A281)
 +COUNTIFS(Equipar!B:B,2,Equipar!D:D,A281)
+COUNTIFS(Equipar!B:B,2,Equipar!E:E,A281)
+COUNTIFS(Equipar!B:B,2,Equipar!F:F,A281)
&gt;0,COUNTIF('Set recomendado'!B:B,C281)=0),
"Bloqueada",
"Desechable")),""
)</f>
        <v/>
      </c>
      <c r="J281" t="str" cm="1">
        <f t="array" aca="1" ref="J281" ca="1">IF(ISNUMBER(A281),IFERROR(_xlfn._xlws.FILTER(Equipar!A:A,(Equipar!B:B=2)*(Equipar!AC:AC=A281)),""),"")</f>
        <v/>
      </c>
    </row>
    <row r="282" spans="1:10" x14ac:dyDescent="0.25">
      <c r="A282" s="1" t="str">
        <f ca="1">IF(A281="ID",1,IF(ISBLANK(B282),"",MAX(A$2:A281)+1))</f>
        <v/>
      </c>
      <c r="I282" s="2" t="str">
        <f ca="1">IF(ISNUMBER(A282),
IF(COUNTIFS(Equipar!B:B,2,Equipar!AC:AC,A282),"Equipada",
IF(
  OR(COUNTIFS(Equipar!B:B,2,Equipar!C:C,A282)
 +COUNTIFS(Equipar!B:B,2,Equipar!D:D,A282)
+COUNTIFS(Equipar!B:B,2,Equipar!E:E,A282)
+COUNTIFS(Equipar!B:B,2,Equipar!F:F,A282)
&gt;0,COUNTIF('Set recomendado'!B:B,C282)=0),
"Bloqueada",
"Desechable")),""
)</f>
        <v/>
      </c>
      <c r="J282" t="str" cm="1">
        <f t="array" aca="1" ref="J282" ca="1">IF(ISNUMBER(A282),IFERROR(_xlfn._xlws.FILTER(Equipar!A:A,(Equipar!B:B=2)*(Equipar!AC:AC=A282)),""),"")</f>
        <v/>
      </c>
    </row>
    <row r="283" spans="1:10" x14ac:dyDescent="0.25">
      <c r="A283" s="1" t="str">
        <f ca="1">IF(A282="ID",1,IF(ISBLANK(B283),"",MAX(A$2:A282)+1))</f>
        <v/>
      </c>
      <c r="I283" s="2" t="str">
        <f ca="1">IF(ISNUMBER(A283),
IF(COUNTIFS(Equipar!B:B,2,Equipar!AC:AC,A283),"Equipada",
IF(
  OR(COUNTIFS(Equipar!B:B,2,Equipar!C:C,A283)
 +COUNTIFS(Equipar!B:B,2,Equipar!D:D,A283)
+COUNTIFS(Equipar!B:B,2,Equipar!E:E,A283)
+COUNTIFS(Equipar!B:B,2,Equipar!F:F,A283)
&gt;0,COUNTIF('Set recomendado'!B:B,C283)=0),
"Bloqueada",
"Desechable")),""
)</f>
        <v/>
      </c>
      <c r="J283" t="str" cm="1">
        <f t="array" aca="1" ref="J283" ca="1">IF(ISNUMBER(A283),IFERROR(_xlfn._xlws.FILTER(Equipar!A:A,(Equipar!B:B=2)*(Equipar!AC:AC=A283)),""),"")</f>
        <v/>
      </c>
    </row>
    <row r="284" spans="1:10" x14ac:dyDescent="0.25">
      <c r="A284" s="1" t="str">
        <f ca="1">IF(A283="ID",1,IF(ISBLANK(B284),"",MAX(A$2:A283)+1))</f>
        <v/>
      </c>
      <c r="I284" s="2" t="str">
        <f ca="1">IF(ISNUMBER(A284),
IF(COUNTIFS(Equipar!B:B,2,Equipar!AC:AC,A284),"Equipada",
IF(
  OR(COUNTIFS(Equipar!B:B,2,Equipar!C:C,A284)
 +COUNTIFS(Equipar!B:B,2,Equipar!D:D,A284)
+COUNTIFS(Equipar!B:B,2,Equipar!E:E,A284)
+COUNTIFS(Equipar!B:B,2,Equipar!F:F,A284)
&gt;0,COUNTIF('Set recomendado'!B:B,C284)=0),
"Bloqueada",
"Desechable")),""
)</f>
        <v/>
      </c>
      <c r="J284" t="str" cm="1">
        <f t="array" aca="1" ref="J284" ca="1">IF(ISNUMBER(A284),IFERROR(_xlfn._xlws.FILTER(Equipar!A:A,(Equipar!B:B=2)*(Equipar!AC:AC=A284)),""),"")</f>
        <v/>
      </c>
    </row>
    <row r="285" spans="1:10" x14ac:dyDescent="0.25">
      <c r="A285" s="1" t="str">
        <f ca="1">IF(A284="ID",1,IF(ISBLANK(B285),"",MAX(A$2:A284)+1))</f>
        <v/>
      </c>
      <c r="I285" s="2" t="str">
        <f ca="1">IF(ISNUMBER(A285),
IF(COUNTIFS(Equipar!B:B,2,Equipar!AC:AC,A285),"Equipada",
IF(
  OR(COUNTIFS(Equipar!B:B,2,Equipar!C:C,A285)
 +COUNTIFS(Equipar!B:B,2,Equipar!D:D,A285)
+COUNTIFS(Equipar!B:B,2,Equipar!E:E,A285)
+COUNTIFS(Equipar!B:B,2,Equipar!F:F,A285)
&gt;0,COUNTIF('Set recomendado'!B:B,C285)=0),
"Bloqueada",
"Desechable")),""
)</f>
        <v/>
      </c>
      <c r="J285" t="str" cm="1">
        <f t="array" aca="1" ref="J285" ca="1">IF(ISNUMBER(A285),IFERROR(_xlfn._xlws.FILTER(Equipar!A:A,(Equipar!B:B=2)*(Equipar!AC:AC=A285)),""),"")</f>
        <v/>
      </c>
    </row>
    <row r="286" spans="1:10" x14ac:dyDescent="0.25">
      <c r="A286" s="1" t="str">
        <f ca="1">IF(A285="ID",1,IF(ISBLANK(B286),"",MAX(A$2:A285)+1))</f>
        <v/>
      </c>
      <c r="I286" s="2" t="str">
        <f ca="1">IF(ISNUMBER(A286),
IF(COUNTIFS(Equipar!B:B,2,Equipar!AC:AC,A286),"Equipada",
IF(
  OR(COUNTIFS(Equipar!B:B,2,Equipar!C:C,A286)
 +COUNTIFS(Equipar!B:B,2,Equipar!D:D,A286)
+COUNTIFS(Equipar!B:B,2,Equipar!E:E,A286)
+COUNTIFS(Equipar!B:B,2,Equipar!F:F,A286)
&gt;0,COUNTIF('Set recomendado'!B:B,C286)=0),
"Bloqueada",
"Desechable")),""
)</f>
        <v/>
      </c>
      <c r="J286" t="str" cm="1">
        <f t="array" aca="1" ref="J286" ca="1">IF(ISNUMBER(A286),IFERROR(_xlfn._xlws.FILTER(Equipar!A:A,(Equipar!B:B=2)*(Equipar!AC:AC=A286)),""),"")</f>
        <v/>
      </c>
    </row>
    <row r="287" spans="1:10" x14ac:dyDescent="0.25">
      <c r="A287" s="1" t="str">
        <f ca="1">IF(A286="ID",1,IF(ISBLANK(B287),"",MAX(A$2:A286)+1))</f>
        <v/>
      </c>
      <c r="I287" s="2" t="str">
        <f ca="1">IF(ISNUMBER(A287),
IF(COUNTIFS(Equipar!B:B,2,Equipar!AC:AC,A287),"Equipada",
IF(
  OR(COUNTIFS(Equipar!B:B,2,Equipar!C:C,A287)
 +COUNTIFS(Equipar!B:B,2,Equipar!D:D,A287)
+COUNTIFS(Equipar!B:B,2,Equipar!E:E,A287)
+COUNTIFS(Equipar!B:B,2,Equipar!F:F,A287)
&gt;0,COUNTIF('Set recomendado'!B:B,C287)=0),
"Bloqueada",
"Desechable")),""
)</f>
        <v/>
      </c>
      <c r="J287" t="str" cm="1">
        <f t="array" aca="1" ref="J287" ca="1">IF(ISNUMBER(A287),IFERROR(_xlfn._xlws.FILTER(Equipar!A:A,(Equipar!B:B=2)*(Equipar!AC:AC=A287)),""),"")</f>
        <v/>
      </c>
    </row>
    <row r="288" spans="1:10" x14ac:dyDescent="0.25">
      <c r="A288" s="1" t="str">
        <f ca="1">IF(A287="ID",1,IF(ISBLANK(B288),"",MAX(A$2:A287)+1))</f>
        <v/>
      </c>
      <c r="I288" s="2" t="str">
        <f ca="1">IF(ISNUMBER(A288),
IF(COUNTIFS(Equipar!B:B,2,Equipar!AC:AC,A288),"Equipada",
IF(
  OR(COUNTIFS(Equipar!B:B,2,Equipar!C:C,A288)
 +COUNTIFS(Equipar!B:B,2,Equipar!D:D,A288)
+COUNTIFS(Equipar!B:B,2,Equipar!E:E,A288)
+COUNTIFS(Equipar!B:B,2,Equipar!F:F,A288)
&gt;0,COUNTIF('Set recomendado'!B:B,C288)=0),
"Bloqueada",
"Desechable")),""
)</f>
        <v/>
      </c>
      <c r="J288" t="str" cm="1">
        <f t="array" aca="1" ref="J288" ca="1">IF(ISNUMBER(A288),IFERROR(_xlfn._xlws.FILTER(Equipar!A:A,(Equipar!B:B=2)*(Equipar!AC:AC=A288)),""),"")</f>
        <v/>
      </c>
    </row>
    <row r="289" spans="1:10" x14ac:dyDescent="0.25">
      <c r="A289" s="1" t="str">
        <f ca="1">IF(A288="ID",1,IF(ISBLANK(B289),"",MAX(A$2:A288)+1))</f>
        <v/>
      </c>
      <c r="I289" s="2" t="str">
        <f ca="1">IF(ISNUMBER(A289),
IF(COUNTIFS(Equipar!B:B,2,Equipar!AC:AC,A289),"Equipada",
IF(
  OR(COUNTIFS(Equipar!B:B,2,Equipar!C:C,A289)
 +COUNTIFS(Equipar!B:B,2,Equipar!D:D,A289)
+COUNTIFS(Equipar!B:B,2,Equipar!E:E,A289)
+COUNTIFS(Equipar!B:B,2,Equipar!F:F,A289)
&gt;0,COUNTIF('Set recomendado'!B:B,C289)=0),
"Bloqueada",
"Desechable")),""
)</f>
        <v/>
      </c>
      <c r="J289" t="str" cm="1">
        <f t="array" aca="1" ref="J289" ca="1">IF(ISNUMBER(A289),IFERROR(_xlfn._xlws.FILTER(Equipar!A:A,(Equipar!B:B=2)*(Equipar!AC:AC=A289)),""),"")</f>
        <v/>
      </c>
    </row>
    <row r="290" spans="1:10" x14ac:dyDescent="0.25">
      <c r="A290" s="1" t="str">
        <f ca="1">IF(A289="ID",1,IF(ISBLANK(B290),"",MAX(A$2:A289)+1))</f>
        <v/>
      </c>
      <c r="I290" s="2" t="str">
        <f ca="1">IF(ISNUMBER(A290),
IF(COUNTIFS(Equipar!B:B,2,Equipar!AC:AC,A290),"Equipada",
IF(
  OR(COUNTIFS(Equipar!B:B,2,Equipar!C:C,A290)
 +COUNTIFS(Equipar!B:B,2,Equipar!D:D,A290)
+COUNTIFS(Equipar!B:B,2,Equipar!E:E,A290)
+COUNTIFS(Equipar!B:B,2,Equipar!F:F,A290)
&gt;0,COUNTIF('Set recomendado'!B:B,C290)=0),
"Bloqueada",
"Desechable")),""
)</f>
        <v/>
      </c>
      <c r="J290" t="str" cm="1">
        <f t="array" aca="1" ref="J290" ca="1">IF(ISNUMBER(A290),IFERROR(_xlfn._xlws.FILTER(Equipar!A:A,(Equipar!B:B=2)*(Equipar!AC:AC=A290)),""),"")</f>
        <v/>
      </c>
    </row>
    <row r="291" spans="1:10" x14ac:dyDescent="0.25">
      <c r="A291" s="1" t="str">
        <f ca="1">IF(A290="ID",1,IF(ISBLANK(B291),"",MAX(A$2:A290)+1))</f>
        <v/>
      </c>
      <c r="I291" s="2" t="str">
        <f ca="1">IF(ISNUMBER(A291),
IF(COUNTIFS(Equipar!B:B,2,Equipar!AC:AC,A291),"Equipada",
IF(
  OR(COUNTIFS(Equipar!B:B,2,Equipar!C:C,A291)
 +COUNTIFS(Equipar!B:B,2,Equipar!D:D,A291)
+COUNTIFS(Equipar!B:B,2,Equipar!E:E,A291)
+COUNTIFS(Equipar!B:B,2,Equipar!F:F,A291)
&gt;0,COUNTIF('Set recomendado'!B:B,C291)=0),
"Bloqueada",
"Desechable")),""
)</f>
        <v/>
      </c>
      <c r="J291" t="str" cm="1">
        <f t="array" aca="1" ref="J291" ca="1">IF(ISNUMBER(A291),IFERROR(_xlfn._xlws.FILTER(Equipar!A:A,(Equipar!B:B=2)*(Equipar!AC:AC=A291)),""),"")</f>
        <v/>
      </c>
    </row>
    <row r="292" spans="1:10" x14ac:dyDescent="0.25">
      <c r="A292" s="1" t="str">
        <f ca="1">IF(A291="ID",1,IF(ISBLANK(B292),"",MAX(A$2:A291)+1))</f>
        <v/>
      </c>
      <c r="I292" s="2" t="str">
        <f ca="1">IF(ISNUMBER(A292),
IF(COUNTIFS(Equipar!B:B,2,Equipar!AC:AC,A292),"Equipada",
IF(
  OR(COUNTIFS(Equipar!B:B,2,Equipar!C:C,A292)
 +COUNTIFS(Equipar!B:B,2,Equipar!D:D,A292)
+COUNTIFS(Equipar!B:B,2,Equipar!E:E,A292)
+COUNTIFS(Equipar!B:B,2,Equipar!F:F,A292)
&gt;0,COUNTIF('Set recomendado'!B:B,C292)=0),
"Bloqueada",
"Desechable")),""
)</f>
        <v/>
      </c>
      <c r="J292" t="str" cm="1">
        <f t="array" aca="1" ref="J292" ca="1">IF(ISNUMBER(A292),IFERROR(_xlfn._xlws.FILTER(Equipar!A:A,(Equipar!B:B=2)*(Equipar!AC:AC=A292)),""),"")</f>
        <v/>
      </c>
    </row>
    <row r="293" spans="1:10" x14ac:dyDescent="0.25">
      <c r="A293" s="1" t="str">
        <f ca="1">IF(A292="ID",1,IF(ISBLANK(B293),"",MAX(A$2:A292)+1))</f>
        <v/>
      </c>
      <c r="I293" s="2" t="str">
        <f ca="1">IF(ISNUMBER(A293),
IF(COUNTIFS(Equipar!B:B,2,Equipar!AC:AC,A293),"Equipada",
IF(
  OR(COUNTIFS(Equipar!B:B,2,Equipar!C:C,A293)
 +COUNTIFS(Equipar!B:B,2,Equipar!D:D,A293)
+COUNTIFS(Equipar!B:B,2,Equipar!E:E,A293)
+COUNTIFS(Equipar!B:B,2,Equipar!F:F,A293)
&gt;0,COUNTIF('Set recomendado'!B:B,C293)=0),
"Bloqueada",
"Desechable")),""
)</f>
        <v/>
      </c>
      <c r="J293" t="str" cm="1">
        <f t="array" aca="1" ref="J293" ca="1">IF(ISNUMBER(A293),IFERROR(_xlfn._xlws.FILTER(Equipar!A:A,(Equipar!B:B=2)*(Equipar!AC:AC=A293)),""),"")</f>
        <v/>
      </c>
    </row>
    <row r="294" spans="1:10" x14ac:dyDescent="0.25">
      <c r="A294" s="1" t="str">
        <f ca="1">IF(A293="ID",1,IF(ISBLANK(B294),"",MAX(A$2:A293)+1))</f>
        <v/>
      </c>
      <c r="I294" s="2" t="str">
        <f ca="1">IF(ISNUMBER(A294),
IF(COUNTIFS(Equipar!B:B,2,Equipar!AC:AC,A294),"Equipada",
IF(
  OR(COUNTIFS(Equipar!B:B,2,Equipar!C:C,A294)
 +COUNTIFS(Equipar!B:B,2,Equipar!D:D,A294)
+COUNTIFS(Equipar!B:B,2,Equipar!E:E,A294)
+COUNTIFS(Equipar!B:B,2,Equipar!F:F,A294)
&gt;0,COUNTIF('Set recomendado'!B:B,C294)=0),
"Bloqueada",
"Desechable")),""
)</f>
        <v/>
      </c>
      <c r="J294" t="str" cm="1">
        <f t="array" aca="1" ref="J294" ca="1">IF(ISNUMBER(A294),IFERROR(_xlfn._xlws.FILTER(Equipar!A:A,(Equipar!B:B=2)*(Equipar!AC:AC=A294)),""),"")</f>
        <v/>
      </c>
    </row>
    <row r="295" spans="1:10" x14ac:dyDescent="0.25">
      <c r="A295" s="1" t="str">
        <f ca="1">IF(A294="ID",1,IF(ISBLANK(B295),"",MAX(A$2:A294)+1))</f>
        <v/>
      </c>
      <c r="I295" s="2" t="str">
        <f ca="1">IF(ISNUMBER(A295),
IF(COUNTIFS(Equipar!B:B,2,Equipar!AC:AC,A295),"Equipada",
IF(
  OR(COUNTIFS(Equipar!B:B,2,Equipar!C:C,A295)
 +COUNTIFS(Equipar!B:B,2,Equipar!D:D,A295)
+COUNTIFS(Equipar!B:B,2,Equipar!E:E,A295)
+COUNTIFS(Equipar!B:B,2,Equipar!F:F,A295)
&gt;0,COUNTIF('Set recomendado'!B:B,C295)=0),
"Bloqueada",
"Desechable")),""
)</f>
        <v/>
      </c>
      <c r="J295" t="str" cm="1">
        <f t="array" aca="1" ref="J295" ca="1">IF(ISNUMBER(A295),IFERROR(_xlfn._xlws.FILTER(Equipar!A:A,(Equipar!B:B=2)*(Equipar!AC:AC=A295)),""),"")</f>
        <v/>
      </c>
    </row>
    <row r="296" spans="1:10" x14ac:dyDescent="0.25">
      <c r="A296" s="1" t="str">
        <f ca="1">IF(A295="ID",1,IF(ISBLANK(B296),"",MAX(A$2:A295)+1))</f>
        <v/>
      </c>
      <c r="I296" s="2" t="str">
        <f ca="1">IF(ISNUMBER(A296),
IF(COUNTIFS(Equipar!B:B,2,Equipar!AC:AC,A296),"Equipada",
IF(
  OR(COUNTIFS(Equipar!B:B,2,Equipar!C:C,A296)
 +COUNTIFS(Equipar!B:B,2,Equipar!D:D,A296)
+COUNTIFS(Equipar!B:B,2,Equipar!E:E,A296)
+COUNTIFS(Equipar!B:B,2,Equipar!F:F,A296)
&gt;0,COUNTIF('Set recomendado'!B:B,C296)=0),
"Bloqueada",
"Desechable")),""
)</f>
        <v/>
      </c>
      <c r="J296" t="str" cm="1">
        <f t="array" aca="1" ref="J296" ca="1">IF(ISNUMBER(A296),IFERROR(_xlfn._xlws.FILTER(Equipar!A:A,(Equipar!B:B=2)*(Equipar!AC:AC=A296)),""),"")</f>
        <v/>
      </c>
    </row>
    <row r="297" spans="1:10" x14ac:dyDescent="0.25">
      <c r="A297" s="1" t="str">
        <f ca="1">IF(A296="ID",1,IF(ISBLANK(B297),"",MAX(A$2:A296)+1))</f>
        <v/>
      </c>
      <c r="I297" s="2" t="str">
        <f ca="1">IF(ISNUMBER(A297),
IF(COUNTIFS(Equipar!B:B,2,Equipar!AC:AC,A297),"Equipada",
IF(
  OR(COUNTIFS(Equipar!B:B,2,Equipar!C:C,A297)
 +COUNTIFS(Equipar!B:B,2,Equipar!D:D,A297)
+COUNTIFS(Equipar!B:B,2,Equipar!E:E,A297)
+COUNTIFS(Equipar!B:B,2,Equipar!F:F,A297)
&gt;0,COUNTIF('Set recomendado'!B:B,C297)=0),
"Bloqueada",
"Desechable")),""
)</f>
        <v/>
      </c>
      <c r="J297" t="str" cm="1">
        <f t="array" aca="1" ref="J297" ca="1">IF(ISNUMBER(A297),IFERROR(_xlfn._xlws.FILTER(Equipar!A:A,(Equipar!B:B=2)*(Equipar!AC:AC=A297)),""),"")</f>
        <v/>
      </c>
    </row>
    <row r="298" spans="1:10" x14ac:dyDescent="0.25">
      <c r="A298" s="1" t="str">
        <f ca="1">IF(A297="ID",1,IF(ISBLANK(B298),"",MAX(A$2:A297)+1))</f>
        <v/>
      </c>
      <c r="I298" s="2" t="str">
        <f ca="1">IF(ISNUMBER(A298),
IF(COUNTIFS(Equipar!B:B,2,Equipar!AC:AC,A298),"Equipada",
IF(
  OR(COUNTIFS(Equipar!B:B,2,Equipar!C:C,A298)
 +COUNTIFS(Equipar!B:B,2,Equipar!D:D,A298)
+COUNTIFS(Equipar!B:B,2,Equipar!E:E,A298)
+COUNTIFS(Equipar!B:B,2,Equipar!F:F,A298)
&gt;0,COUNTIF('Set recomendado'!B:B,C298)=0),
"Bloqueada",
"Desechable")),""
)</f>
        <v/>
      </c>
      <c r="J298" t="str" cm="1">
        <f t="array" aca="1" ref="J298" ca="1">IF(ISNUMBER(A298),IFERROR(_xlfn._xlws.FILTER(Equipar!A:A,(Equipar!B:B=2)*(Equipar!AC:AC=A298)),""),"")</f>
        <v/>
      </c>
    </row>
    <row r="299" spans="1:10" x14ac:dyDescent="0.25">
      <c r="A299" s="1" t="str">
        <f ca="1">IF(A298="ID",1,IF(ISBLANK(B299),"",MAX(A$2:A298)+1))</f>
        <v/>
      </c>
      <c r="I299" s="2" t="str">
        <f ca="1">IF(ISNUMBER(A299),
IF(COUNTIFS(Equipar!B:B,2,Equipar!AC:AC,A299),"Equipada",
IF(
  OR(COUNTIFS(Equipar!B:B,2,Equipar!C:C,A299)
 +COUNTIFS(Equipar!B:B,2,Equipar!D:D,A299)
+COUNTIFS(Equipar!B:B,2,Equipar!E:E,A299)
+COUNTIFS(Equipar!B:B,2,Equipar!F:F,A299)
&gt;0,COUNTIF('Set recomendado'!B:B,C299)=0),
"Bloqueada",
"Desechable")),""
)</f>
        <v/>
      </c>
      <c r="J299" t="str" cm="1">
        <f t="array" aca="1" ref="J299" ca="1">IF(ISNUMBER(A299),IFERROR(_xlfn._xlws.FILTER(Equipar!A:A,(Equipar!B:B=2)*(Equipar!AC:AC=A299)),""),"")</f>
        <v/>
      </c>
    </row>
    <row r="300" spans="1:10" x14ac:dyDescent="0.25">
      <c r="A300" s="1" t="str">
        <f ca="1">IF(A299="ID",1,IF(ISBLANK(B300),"",MAX(A$2:A299)+1))</f>
        <v/>
      </c>
      <c r="I300" s="2" t="str">
        <f ca="1">IF(ISNUMBER(A300),
IF(COUNTIFS(Equipar!B:B,2,Equipar!AC:AC,A300),"Equipada",
IF(
  OR(COUNTIFS(Equipar!B:B,2,Equipar!C:C,A300)
 +COUNTIFS(Equipar!B:B,2,Equipar!D:D,A300)
+COUNTIFS(Equipar!B:B,2,Equipar!E:E,A300)
+COUNTIFS(Equipar!B:B,2,Equipar!F:F,A300)
&gt;0,COUNTIF('Set recomendado'!B:B,C300)=0),
"Bloqueada",
"Desechable")),""
)</f>
        <v/>
      </c>
      <c r="J300" t="str" cm="1">
        <f t="array" aca="1" ref="J300" ca="1">IF(ISNUMBER(A300),IFERROR(_xlfn._xlws.FILTER(Equipar!A:A,(Equipar!B:B=2)*(Equipar!AC:AC=A300)),""),"")</f>
        <v/>
      </c>
    </row>
    <row r="301" spans="1:10" x14ac:dyDescent="0.25">
      <c r="A301" s="1" t="str">
        <f ca="1">IF(A300="ID",1,IF(ISBLANK(B301),"",MAX(A$2:A300)+1))</f>
        <v/>
      </c>
      <c r="I301" s="2" t="str">
        <f ca="1">IF(ISNUMBER(A301),
IF(COUNTIFS(Equipar!B:B,2,Equipar!AC:AC,A301),"Equipada",
IF(
  OR(COUNTIFS(Equipar!B:B,2,Equipar!C:C,A301)
 +COUNTIFS(Equipar!B:B,2,Equipar!D:D,A301)
+COUNTIFS(Equipar!B:B,2,Equipar!E:E,A301)
+COUNTIFS(Equipar!B:B,2,Equipar!F:F,A301)
&gt;0,COUNTIF('Set recomendado'!B:B,C301)=0),
"Bloqueada",
"Desechable")),""
)</f>
        <v/>
      </c>
      <c r="J301" t="str" cm="1">
        <f t="array" aca="1" ref="J301" ca="1">IF(ISNUMBER(A301),IFERROR(_xlfn._xlws.FILTER(Equipar!A:A,(Equipar!B:B=2)*(Equipar!AC:AC=A301)),""),"")</f>
        <v/>
      </c>
    </row>
    <row r="302" spans="1:10" x14ac:dyDescent="0.25">
      <c r="A302" s="1" t="str">
        <f ca="1">IF(A301="ID",1,IF(ISBLANK(B302),"",MAX(A$2:A301)+1))</f>
        <v/>
      </c>
      <c r="I302" s="2" t="str">
        <f ca="1">IF(ISNUMBER(A302),
IF(COUNTIFS(Equipar!B:B,2,Equipar!AC:AC,A302),"Equipada",
IF(
  OR(COUNTIFS(Equipar!B:B,2,Equipar!C:C,A302)
 +COUNTIFS(Equipar!B:B,2,Equipar!D:D,A302)
+COUNTIFS(Equipar!B:B,2,Equipar!E:E,A302)
+COUNTIFS(Equipar!B:B,2,Equipar!F:F,A302)
&gt;0,COUNTIF('Set recomendado'!B:B,C302)=0),
"Bloqueada",
"Desechable")),""
)</f>
        <v/>
      </c>
      <c r="J302" t="str" cm="1">
        <f t="array" aca="1" ref="J302" ca="1">IF(ISNUMBER(A302),IFERROR(_xlfn._xlws.FILTER(Equipar!A:A,(Equipar!B:B=2)*(Equipar!AC:AC=A302)),""),"")</f>
        <v/>
      </c>
    </row>
    <row r="303" spans="1:10" x14ac:dyDescent="0.25">
      <c r="A303" s="1" t="str">
        <f ca="1">IF(A302="ID",1,IF(ISBLANK(B303),"",MAX(A$2:A302)+1))</f>
        <v/>
      </c>
      <c r="I303" s="2" t="str">
        <f ca="1">IF(ISNUMBER(A303),
IF(COUNTIFS(Equipar!B:B,2,Equipar!AC:AC,A303),"Equipada",
IF(
  OR(COUNTIFS(Equipar!B:B,2,Equipar!C:C,A303)
 +COUNTIFS(Equipar!B:B,2,Equipar!D:D,A303)
+COUNTIFS(Equipar!B:B,2,Equipar!E:E,A303)
+COUNTIFS(Equipar!B:B,2,Equipar!F:F,A303)
&gt;0,COUNTIF('Set recomendado'!B:B,C303)=0),
"Bloqueada",
"Desechable")),""
)</f>
        <v/>
      </c>
      <c r="J303" t="str" cm="1">
        <f t="array" aca="1" ref="J303" ca="1">IF(ISNUMBER(A303),IFERROR(_xlfn._xlws.FILTER(Equipar!A:A,(Equipar!B:B=2)*(Equipar!AC:AC=A303)),""),"")</f>
        <v/>
      </c>
    </row>
    <row r="304" spans="1:10" x14ac:dyDescent="0.25">
      <c r="A304" s="1" t="str">
        <f ca="1">IF(A303="ID",1,IF(ISBLANK(B304),"",MAX(A$2:A303)+1))</f>
        <v/>
      </c>
      <c r="I304" s="2" t="str">
        <f ca="1">IF(ISNUMBER(A304),
IF(COUNTIFS(Equipar!B:B,2,Equipar!AC:AC,A304),"Equipada",
IF(
  OR(COUNTIFS(Equipar!B:B,2,Equipar!C:C,A304)
 +COUNTIFS(Equipar!B:B,2,Equipar!D:D,A304)
+COUNTIFS(Equipar!B:B,2,Equipar!E:E,A304)
+COUNTIFS(Equipar!B:B,2,Equipar!F:F,A304)
&gt;0,COUNTIF('Set recomendado'!B:B,C304)=0),
"Bloqueada",
"Desechable")),""
)</f>
        <v/>
      </c>
      <c r="J304" t="str" cm="1">
        <f t="array" aca="1" ref="J304" ca="1">IF(ISNUMBER(A304),IFERROR(_xlfn._xlws.FILTER(Equipar!A:A,(Equipar!B:B=2)*(Equipar!AC:AC=A304)),""),"")</f>
        <v/>
      </c>
    </row>
    <row r="305" spans="1:10" x14ac:dyDescent="0.25">
      <c r="A305" s="1" t="str">
        <f ca="1">IF(A304="ID",1,IF(ISBLANK(B305),"",MAX(A$2:A304)+1))</f>
        <v/>
      </c>
      <c r="I305" s="2" t="str">
        <f ca="1">IF(ISNUMBER(A305),
IF(COUNTIFS(Equipar!B:B,2,Equipar!AC:AC,A305),"Equipada",
IF(
  OR(COUNTIFS(Equipar!B:B,2,Equipar!C:C,A305)
 +COUNTIFS(Equipar!B:B,2,Equipar!D:D,A305)
+COUNTIFS(Equipar!B:B,2,Equipar!E:E,A305)
+COUNTIFS(Equipar!B:B,2,Equipar!F:F,A305)
&gt;0,COUNTIF('Set recomendado'!B:B,C305)=0),
"Bloqueada",
"Desechable")),""
)</f>
        <v/>
      </c>
      <c r="J305" t="str" cm="1">
        <f t="array" aca="1" ref="J305" ca="1">IF(ISNUMBER(A305),IFERROR(_xlfn._xlws.FILTER(Equipar!A:A,(Equipar!B:B=2)*(Equipar!AC:AC=A305)),""),"")</f>
        <v/>
      </c>
    </row>
    <row r="306" spans="1:10" x14ac:dyDescent="0.25">
      <c r="A306" s="1" t="str">
        <f ca="1">IF(A305="ID",1,IF(ISBLANK(B306),"",MAX(A$2:A305)+1))</f>
        <v/>
      </c>
      <c r="I306" s="2" t="str">
        <f ca="1">IF(ISNUMBER(A306),
IF(COUNTIFS(Equipar!B:B,2,Equipar!AC:AC,A306),"Equipada",
IF(
  OR(COUNTIFS(Equipar!B:B,2,Equipar!C:C,A306)
 +COUNTIFS(Equipar!B:B,2,Equipar!D:D,A306)
+COUNTIFS(Equipar!B:B,2,Equipar!E:E,A306)
+COUNTIFS(Equipar!B:B,2,Equipar!F:F,A306)
&gt;0,COUNTIF('Set recomendado'!B:B,C306)=0),
"Bloqueada",
"Desechable")),""
)</f>
        <v/>
      </c>
      <c r="J306" t="str" cm="1">
        <f t="array" aca="1" ref="J306" ca="1">IF(ISNUMBER(A306),IFERROR(_xlfn._xlws.FILTER(Equipar!A:A,(Equipar!B:B=2)*(Equipar!AC:AC=A306)),""),"")</f>
        <v/>
      </c>
    </row>
    <row r="307" spans="1:10" x14ac:dyDescent="0.25">
      <c r="A307" s="1" t="str">
        <f ca="1">IF(A306="ID",1,IF(ISBLANK(B307),"",MAX(A$2:A306)+1))</f>
        <v/>
      </c>
      <c r="I307" s="2" t="str">
        <f ca="1">IF(ISNUMBER(A307),
IF(COUNTIFS(Equipar!B:B,2,Equipar!AC:AC,A307),"Equipada",
IF(
  OR(COUNTIFS(Equipar!B:B,2,Equipar!C:C,A307)
 +COUNTIFS(Equipar!B:B,2,Equipar!D:D,A307)
+COUNTIFS(Equipar!B:B,2,Equipar!E:E,A307)
+COUNTIFS(Equipar!B:B,2,Equipar!F:F,A307)
&gt;0,COUNTIF('Set recomendado'!B:B,C307)=0),
"Bloqueada",
"Desechable")),""
)</f>
        <v/>
      </c>
      <c r="J307" t="str" cm="1">
        <f t="array" aca="1" ref="J307" ca="1">IF(ISNUMBER(A307),IFERROR(_xlfn._xlws.FILTER(Equipar!A:A,(Equipar!B:B=2)*(Equipar!AC:AC=A307)),""),"")</f>
        <v/>
      </c>
    </row>
    <row r="308" spans="1:10" x14ac:dyDescent="0.25">
      <c r="A308" s="1" t="str">
        <f ca="1">IF(A307="ID",1,IF(ISBLANK(B308),"",MAX(A$2:A307)+1))</f>
        <v/>
      </c>
      <c r="I308" s="2" t="str">
        <f ca="1">IF(ISNUMBER(A308),
IF(COUNTIFS(Equipar!B:B,2,Equipar!AC:AC,A308),"Equipada",
IF(
  OR(COUNTIFS(Equipar!B:B,2,Equipar!C:C,A308)
 +COUNTIFS(Equipar!B:B,2,Equipar!D:D,A308)
+COUNTIFS(Equipar!B:B,2,Equipar!E:E,A308)
+COUNTIFS(Equipar!B:B,2,Equipar!F:F,A308)
&gt;0,COUNTIF('Set recomendado'!B:B,C308)=0),
"Bloqueada",
"Desechable")),""
)</f>
        <v/>
      </c>
      <c r="J308" t="str" cm="1">
        <f t="array" aca="1" ref="J308" ca="1">IF(ISNUMBER(A308),IFERROR(_xlfn._xlws.FILTER(Equipar!A:A,(Equipar!B:B=2)*(Equipar!AC:AC=A308)),""),"")</f>
        <v/>
      </c>
    </row>
    <row r="309" spans="1:10" x14ac:dyDescent="0.25">
      <c r="A309" s="1" t="str">
        <f ca="1">IF(A308="ID",1,IF(ISBLANK(B309),"",MAX(A$2:A308)+1))</f>
        <v/>
      </c>
      <c r="I309" s="2" t="str">
        <f ca="1">IF(ISNUMBER(A309),
IF(COUNTIFS(Equipar!B:B,2,Equipar!AC:AC,A309),"Equipada",
IF(
  OR(COUNTIFS(Equipar!B:B,2,Equipar!C:C,A309)
 +COUNTIFS(Equipar!B:B,2,Equipar!D:D,A309)
+COUNTIFS(Equipar!B:B,2,Equipar!E:E,A309)
+COUNTIFS(Equipar!B:B,2,Equipar!F:F,A309)
&gt;0,COUNTIF('Set recomendado'!B:B,C309)=0),
"Bloqueada",
"Desechable")),""
)</f>
        <v/>
      </c>
      <c r="J309" t="str" cm="1">
        <f t="array" aca="1" ref="J309" ca="1">IF(ISNUMBER(A309),IFERROR(_xlfn._xlws.FILTER(Equipar!A:A,(Equipar!B:B=2)*(Equipar!AC:AC=A309)),""),"")</f>
        <v/>
      </c>
    </row>
    <row r="310" spans="1:10" x14ac:dyDescent="0.25">
      <c r="A310" s="1" t="str">
        <f ca="1">IF(A309="ID",1,IF(ISBLANK(B310),"",MAX(A$2:A309)+1))</f>
        <v/>
      </c>
      <c r="I310" s="2" t="str">
        <f ca="1">IF(ISNUMBER(A310),
IF(COUNTIFS(Equipar!B:B,2,Equipar!AC:AC,A310),"Equipada",
IF(
  OR(COUNTIFS(Equipar!B:B,2,Equipar!C:C,A310)
 +COUNTIFS(Equipar!B:B,2,Equipar!D:D,A310)
+COUNTIFS(Equipar!B:B,2,Equipar!E:E,A310)
+COUNTIFS(Equipar!B:B,2,Equipar!F:F,A310)
&gt;0,COUNTIF('Set recomendado'!B:B,C310)=0),
"Bloqueada",
"Desechable")),""
)</f>
        <v/>
      </c>
      <c r="J310" t="str" cm="1">
        <f t="array" aca="1" ref="J310" ca="1">IF(ISNUMBER(A310),IFERROR(_xlfn._xlws.FILTER(Equipar!A:A,(Equipar!B:B=2)*(Equipar!AC:AC=A310)),""),"")</f>
        <v/>
      </c>
    </row>
    <row r="311" spans="1:10" x14ac:dyDescent="0.25">
      <c r="A311" s="1" t="str">
        <f ca="1">IF(A310="ID",1,IF(ISBLANK(B311),"",MAX(A$2:A310)+1))</f>
        <v/>
      </c>
      <c r="I311" s="2" t="str">
        <f ca="1">IF(ISNUMBER(A311),
IF(COUNTIFS(Equipar!B:B,2,Equipar!AC:AC,A311),"Equipada",
IF(
  OR(COUNTIFS(Equipar!B:B,2,Equipar!C:C,A311)
 +COUNTIFS(Equipar!B:B,2,Equipar!D:D,A311)
+COUNTIFS(Equipar!B:B,2,Equipar!E:E,A311)
+COUNTIFS(Equipar!B:B,2,Equipar!F:F,A311)
&gt;0,COUNTIF('Set recomendado'!B:B,C311)=0),
"Bloqueada",
"Desechable")),""
)</f>
        <v/>
      </c>
      <c r="J311" t="str" cm="1">
        <f t="array" aca="1" ref="J311" ca="1">IF(ISNUMBER(A311),IFERROR(_xlfn._xlws.FILTER(Equipar!A:A,(Equipar!B:B=2)*(Equipar!AC:AC=A311)),""),"")</f>
        <v/>
      </c>
    </row>
    <row r="312" spans="1:10" x14ac:dyDescent="0.25">
      <c r="A312" s="1" t="str">
        <f ca="1">IF(A311="ID",1,IF(ISBLANK(B312),"",MAX(A$2:A311)+1))</f>
        <v/>
      </c>
      <c r="I312" s="2" t="str">
        <f ca="1">IF(ISNUMBER(A312),
IF(COUNTIFS(Equipar!B:B,2,Equipar!AC:AC,A312),"Equipada",
IF(
  OR(COUNTIFS(Equipar!B:B,2,Equipar!C:C,A312)
 +COUNTIFS(Equipar!B:B,2,Equipar!D:D,A312)
+COUNTIFS(Equipar!B:B,2,Equipar!E:E,A312)
+COUNTIFS(Equipar!B:B,2,Equipar!F:F,A312)
&gt;0,COUNTIF('Set recomendado'!B:B,C312)=0),
"Bloqueada",
"Desechable")),""
)</f>
        <v/>
      </c>
      <c r="J312" t="str" cm="1">
        <f t="array" aca="1" ref="J312" ca="1">IF(ISNUMBER(A312),IFERROR(_xlfn._xlws.FILTER(Equipar!A:A,(Equipar!B:B=2)*(Equipar!AC:AC=A312)),""),"")</f>
        <v/>
      </c>
    </row>
    <row r="313" spans="1:10" x14ac:dyDescent="0.25">
      <c r="A313" s="1" t="str">
        <f ca="1">IF(A312="ID",1,IF(ISBLANK(B313),"",MAX(A$2:A312)+1))</f>
        <v/>
      </c>
      <c r="I313" s="2" t="str">
        <f ca="1">IF(ISNUMBER(A313),
IF(COUNTIFS(Equipar!B:B,2,Equipar!AC:AC,A313),"Equipada",
IF(
  OR(COUNTIFS(Equipar!B:B,2,Equipar!C:C,A313)
 +COUNTIFS(Equipar!B:B,2,Equipar!D:D,A313)
+COUNTIFS(Equipar!B:B,2,Equipar!E:E,A313)
+COUNTIFS(Equipar!B:B,2,Equipar!F:F,A313)
&gt;0,COUNTIF('Set recomendado'!B:B,C313)=0),
"Bloqueada",
"Desechable")),""
)</f>
        <v/>
      </c>
      <c r="J313" t="str" cm="1">
        <f t="array" aca="1" ref="J313" ca="1">IF(ISNUMBER(A313),IFERROR(_xlfn._xlws.FILTER(Equipar!A:A,(Equipar!B:B=2)*(Equipar!AC:AC=A313)),""),"")</f>
        <v/>
      </c>
    </row>
    <row r="314" spans="1:10" x14ac:dyDescent="0.25">
      <c r="A314" s="1" t="str">
        <f ca="1">IF(A313="ID",1,IF(ISBLANK(B314),"",MAX(A$2:A313)+1))</f>
        <v/>
      </c>
      <c r="I314" s="2" t="str">
        <f ca="1">IF(ISNUMBER(A314),
IF(COUNTIFS(Equipar!B:B,2,Equipar!AC:AC,A314),"Equipada",
IF(
  OR(COUNTIFS(Equipar!B:B,2,Equipar!C:C,A314)
 +COUNTIFS(Equipar!B:B,2,Equipar!D:D,A314)
+COUNTIFS(Equipar!B:B,2,Equipar!E:E,A314)
+COUNTIFS(Equipar!B:B,2,Equipar!F:F,A314)
&gt;0,COUNTIF('Set recomendado'!B:B,C314)=0),
"Bloqueada",
"Desechable")),""
)</f>
        <v/>
      </c>
      <c r="J314" t="str" cm="1">
        <f t="array" aca="1" ref="J314" ca="1">IF(ISNUMBER(A314),IFERROR(_xlfn._xlws.FILTER(Equipar!A:A,(Equipar!B:B=2)*(Equipar!AC:AC=A314)),""),"")</f>
        <v/>
      </c>
    </row>
    <row r="315" spans="1:10" x14ac:dyDescent="0.25">
      <c r="A315" s="1" t="str">
        <f ca="1">IF(A314="ID",1,IF(ISBLANK(B315),"",MAX(A$2:A314)+1))</f>
        <v/>
      </c>
      <c r="I315" s="2" t="str">
        <f ca="1">IF(ISNUMBER(A315),
IF(COUNTIFS(Equipar!B:B,2,Equipar!AC:AC,A315),"Equipada",
IF(
  OR(COUNTIFS(Equipar!B:B,2,Equipar!C:C,A315)
 +COUNTIFS(Equipar!B:B,2,Equipar!D:D,A315)
+COUNTIFS(Equipar!B:B,2,Equipar!E:E,A315)
+COUNTIFS(Equipar!B:B,2,Equipar!F:F,A315)
&gt;0,COUNTIF('Set recomendado'!B:B,C315)=0),
"Bloqueada",
"Desechable")),""
)</f>
        <v/>
      </c>
      <c r="J315" t="str" cm="1">
        <f t="array" aca="1" ref="J315" ca="1">IF(ISNUMBER(A315),IFERROR(_xlfn._xlws.FILTER(Equipar!A:A,(Equipar!B:B=2)*(Equipar!AC:AC=A315)),""),"")</f>
        <v/>
      </c>
    </row>
    <row r="316" spans="1:10" x14ac:dyDescent="0.25">
      <c r="A316" s="1" t="str">
        <f ca="1">IF(A315="ID",1,IF(ISBLANK(B316),"",MAX(A$2:A315)+1))</f>
        <v/>
      </c>
      <c r="I316" s="2" t="str">
        <f ca="1">IF(ISNUMBER(A316),
IF(COUNTIFS(Equipar!B:B,2,Equipar!AC:AC,A316),"Equipada",
IF(
  OR(COUNTIFS(Equipar!B:B,2,Equipar!C:C,A316)
 +COUNTIFS(Equipar!B:B,2,Equipar!D:D,A316)
+COUNTIFS(Equipar!B:B,2,Equipar!E:E,A316)
+COUNTIFS(Equipar!B:B,2,Equipar!F:F,A316)
&gt;0,COUNTIF('Set recomendado'!B:B,C316)=0),
"Bloqueada",
"Desechable")),""
)</f>
        <v/>
      </c>
      <c r="J316" t="str" cm="1">
        <f t="array" aca="1" ref="J316" ca="1">IF(ISNUMBER(A316),IFERROR(_xlfn._xlws.FILTER(Equipar!A:A,(Equipar!B:B=2)*(Equipar!AC:AC=A316)),""),"")</f>
        <v/>
      </c>
    </row>
    <row r="317" spans="1:10" x14ac:dyDescent="0.25">
      <c r="A317" s="1" t="str">
        <f ca="1">IF(A316="ID",1,IF(ISBLANK(B317),"",MAX(A$2:A316)+1))</f>
        <v/>
      </c>
      <c r="I317" s="2" t="str">
        <f ca="1">IF(ISNUMBER(A317),
IF(COUNTIFS(Equipar!B:B,2,Equipar!AC:AC,A317),"Equipada",
IF(
  OR(COUNTIFS(Equipar!B:B,2,Equipar!C:C,A317)
 +COUNTIFS(Equipar!B:B,2,Equipar!D:D,A317)
+COUNTIFS(Equipar!B:B,2,Equipar!E:E,A317)
+COUNTIFS(Equipar!B:B,2,Equipar!F:F,A317)
&gt;0,COUNTIF('Set recomendado'!B:B,C317)=0),
"Bloqueada",
"Desechable")),""
)</f>
        <v/>
      </c>
      <c r="J317" t="str" cm="1">
        <f t="array" aca="1" ref="J317" ca="1">IF(ISNUMBER(A317),IFERROR(_xlfn._xlws.FILTER(Equipar!A:A,(Equipar!B:B=2)*(Equipar!AC:AC=A317)),""),"")</f>
        <v/>
      </c>
    </row>
    <row r="318" spans="1:10" x14ac:dyDescent="0.25">
      <c r="A318" s="1" t="str">
        <f ca="1">IF(A317="ID",1,IF(ISBLANK(B318),"",MAX(A$2:A317)+1))</f>
        <v/>
      </c>
      <c r="I318" s="2" t="str">
        <f ca="1">IF(ISNUMBER(A318),
IF(COUNTIFS(Equipar!B:B,2,Equipar!AC:AC,A318),"Equipada",
IF(
  OR(COUNTIFS(Equipar!B:B,2,Equipar!C:C,A318)
 +COUNTIFS(Equipar!B:B,2,Equipar!D:D,A318)
+COUNTIFS(Equipar!B:B,2,Equipar!E:E,A318)
+COUNTIFS(Equipar!B:B,2,Equipar!F:F,A318)
&gt;0,COUNTIF('Set recomendado'!B:B,C318)=0),
"Bloqueada",
"Desechable")),""
)</f>
        <v/>
      </c>
      <c r="J318" t="str" cm="1">
        <f t="array" aca="1" ref="J318" ca="1">IF(ISNUMBER(A318),IFERROR(_xlfn._xlws.FILTER(Equipar!A:A,(Equipar!B:B=2)*(Equipar!AC:AC=A318)),""),"")</f>
        <v/>
      </c>
    </row>
    <row r="319" spans="1:10" x14ac:dyDescent="0.25">
      <c r="A319" s="1" t="str">
        <f ca="1">IF(A318="ID",1,IF(ISBLANK(B319),"",MAX(A$2:A318)+1))</f>
        <v/>
      </c>
      <c r="I319" s="2" t="str">
        <f ca="1">IF(ISNUMBER(A319),
IF(COUNTIFS(Equipar!B:B,2,Equipar!AC:AC,A319),"Equipada",
IF(
  OR(COUNTIFS(Equipar!B:B,2,Equipar!C:C,A319)
 +COUNTIFS(Equipar!B:B,2,Equipar!D:D,A319)
+COUNTIFS(Equipar!B:B,2,Equipar!E:E,A319)
+COUNTIFS(Equipar!B:B,2,Equipar!F:F,A319)
&gt;0,COUNTIF('Set recomendado'!B:B,C319)=0),
"Bloqueada",
"Desechable")),""
)</f>
        <v/>
      </c>
      <c r="J319" t="str" cm="1">
        <f t="array" aca="1" ref="J319" ca="1">IF(ISNUMBER(A319),IFERROR(_xlfn._xlws.FILTER(Equipar!A:A,(Equipar!B:B=2)*(Equipar!AC:AC=A319)),""),"")</f>
        <v/>
      </c>
    </row>
    <row r="320" spans="1:10" x14ac:dyDescent="0.25">
      <c r="A320" s="1" t="str">
        <f ca="1">IF(A319="ID",1,IF(ISBLANK(B320),"",MAX(A$2:A319)+1))</f>
        <v/>
      </c>
      <c r="I320" s="2" t="str">
        <f ca="1">IF(ISNUMBER(A320),
IF(COUNTIFS(Equipar!B:B,2,Equipar!AC:AC,A320),"Equipada",
IF(
  OR(COUNTIFS(Equipar!B:B,2,Equipar!C:C,A320)
 +COUNTIFS(Equipar!B:B,2,Equipar!D:D,A320)
+COUNTIFS(Equipar!B:B,2,Equipar!E:E,A320)
+COUNTIFS(Equipar!B:B,2,Equipar!F:F,A320)
&gt;0,COUNTIF('Set recomendado'!B:B,C320)=0),
"Bloqueada",
"Desechable")),""
)</f>
        <v/>
      </c>
      <c r="J320" t="str" cm="1">
        <f t="array" aca="1" ref="J320" ca="1">IF(ISNUMBER(A320),IFERROR(_xlfn._xlws.FILTER(Equipar!A:A,(Equipar!B:B=2)*(Equipar!AC:AC=A320)),""),"")</f>
        <v/>
      </c>
    </row>
    <row r="321" spans="1:10" x14ac:dyDescent="0.25">
      <c r="A321" s="1" t="str">
        <f ca="1">IF(A320="ID",1,IF(ISBLANK(B321),"",MAX(A$2:A320)+1))</f>
        <v/>
      </c>
      <c r="I321" s="2" t="str">
        <f ca="1">IF(ISNUMBER(A321),
IF(COUNTIFS(Equipar!B:B,2,Equipar!AC:AC,A321),"Equipada",
IF(
  OR(COUNTIFS(Equipar!B:B,2,Equipar!C:C,A321)
 +COUNTIFS(Equipar!B:B,2,Equipar!D:D,A321)
+COUNTIFS(Equipar!B:B,2,Equipar!E:E,A321)
+COUNTIFS(Equipar!B:B,2,Equipar!F:F,A321)
&gt;0,COUNTIF('Set recomendado'!B:B,C321)=0),
"Bloqueada",
"Desechable")),""
)</f>
        <v/>
      </c>
      <c r="J321" t="str" cm="1">
        <f t="array" aca="1" ref="J321" ca="1">IF(ISNUMBER(A321),IFERROR(_xlfn._xlws.FILTER(Equipar!A:A,(Equipar!B:B=2)*(Equipar!AC:AC=A321)),""),"")</f>
        <v/>
      </c>
    </row>
    <row r="322" spans="1:10" x14ac:dyDescent="0.25">
      <c r="A322" s="1" t="str">
        <f ca="1">IF(A321="ID",1,IF(ISBLANK(B322),"",MAX(A$2:A321)+1))</f>
        <v/>
      </c>
      <c r="I322" s="2" t="str">
        <f ca="1">IF(ISNUMBER(A322),
IF(COUNTIFS(Equipar!B:B,2,Equipar!AC:AC,A322),"Equipada",
IF(
  OR(COUNTIFS(Equipar!B:B,2,Equipar!C:C,A322)
 +COUNTIFS(Equipar!B:B,2,Equipar!D:D,A322)
+COUNTIFS(Equipar!B:B,2,Equipar!E:E,A322)
+COUNTIFS(Equipar!B:B,2,Equipar!F:F,A322)
&gt;0,COUNTIF('Set recomendado'!B:B,C322)=0),
"Bloqueada",
"Desechable")),""
)</f>
        <v/>
      </c>
      <c r="J322" t="str" cm="1">
        <f t="array" aca="1" ref="J322" ca="1">IF(ISNUMBER(A322),IFERROR(_xlfn._xlws.FILTER(Equipar!A:A,(Equipar!B:B=2)*(Equipar!AC:AC=A322)),""),"")</f>
        <v/>
      </c>
    </row>
    <row r="323" spans="1:10" x14ac:dyDescent="0.25">
      <c r="A323" s="1" t="str">
        <f ca="1">IF(A322="ID",1,IF(ISBLANK(B323),"",MAX(A$2:A322)+1))</f>
        <v/>
      </c>
      <c r="I323" s="2" t="str">
        <f ca="1">IF(ISNUMBER(A323),
IF(COUNTIFS(Equipar!B:B,2,Equipar!AC:AC,A323),"Equipada",
IF(
  OR(COUNTIFS(Equipar!B:B,2,Equipar!C:C,A323)
 +COUNTIFS(Equipar!B:B,2,Equipar!D:D,A323)
+COUNTIFS(Equipar!B:B,2,Equipar!E:E,A323)
+COUNTIFS(Equipar!B:B,2,Equipar!F:F,A323)
&gt;0,COUNTIF('Set recomendado'!B:B,C323)=0),
"Bloqueada",
"Desechable")),""
)</f>
        <v/>
      </c>
      <c r="J323" t="str" cm="1">
        <f t="array" aca="1" ref="J323" ca="1">IF(ISNUMBER(A323),IFERROR(_xlfn._xlws.FILTER(Equipar!A:A,(Equipar!B:B=2)*(Equipar!AC:AC=A323)),""),"")</f>
        <v/>
      </c>
    </row>
    <row r="324" spans="1:10" x14ac:dyDescent="0.25">
      <c r="A324" s="1" t="str">
        <f ca="1">IF(A323="ID",1,IF(ISBLANK(B324),"",MAX(A$2:A323)+1))</f>
        <v/>
      </c>
      <c r="I324" s="2" t="str">
        <f ca="1">IF(ISNUMBER(A324),
IF(COUNTIFS(Equipar!B:B,2,Equipar!AC:AC,A324),"Equipada",
IF(
  OR(COUNTIFS(Equipar!B:B,2,Equipar!C:C,A324)
 +COUNTIFS(Equipar!B:B,2,Equipar!D:D,A324)
+COUNTIFS(Equipar!B:B,2,Equipar!E:E,A324)
+COUNTIFS(Equipar!B:B,2,Equipar!F:F,A324)
&gt;0,COUNTIF('Set recomendado'!B:B,C324)=0),
"Bloqueada",
"Desechable")),""
)</f>
        <v/>
      </c>
      <c r="J324" t="str" cm="1">
        <f t="array" aca="1" ref="J324" ca="1">IF(ISNUMBER(A324),IFERROR(_xlfn._xlws.FILTER(Equipar!A:A,(Equipar!B:B=2)*(Equipar!AC:AC=A324)),""),"")</f>
        <v/>
      </c>
    </row>
    <row r="325" spans="1:10" x14ac:dyDescent="0.25">
      <c r="A325" s="1" t="str">
        <f ca="1">IF(A324="ID",1,IF(ISBLANK(B325),"",MAX(A$2:A324)+1))</f>
        <v/>
      </c>
      <c r="I325" s="2" t="str">
        <f ca="1">IF(ISNUMBER(A325),
IF(COUNTIFS(Equipar!B:B,2,Equipar!AC:AC,A325),"Equipada",
IF(
  OR(COUNTIFS(Equipar!B:B,2,Equipar!C:C,A325)
 +COUNTIFS(Equipar!B:B,2,Equipar!D:D,A325)
+COUNTIFS(Equipar!B:B,2,Equipar!E:E,A325)
+COUNTIFS(Equipar!B:B,2,Equipar!F:F,A325)
&gt;0,COUNTIF('Set recomendado'!B:B,C325)=0),
"Bloqueada",
"Desechable")),""
)</f>
        <v/>
      </c>
      <c r="J325" t="str" cm="1">
        <f t="array" aca="1" ref="J325" ca="1">IF(ISNUMBER(A325),IFERROR(_xlfn._xlws.FILTER(Equipar!A:A,(Equipar!B:B=2)*(Equipar!AC:AC=A325)),""),"")</f>
        <v/>
      </c>
    </row>
    <row r="326" spans="1:10" x14ac:dyDescent="0.25">
      <c r="A326" s="1" t="str">
        <f ca="1">IF(A325="ID",1,IF(ISBLANK(B326),"",MAX(A$2:A325)+1))</f>
        <v/>
      </c>
      <c r="I326" s="2" t="str">
        <f ca="1">IF(ISNUMBER(A326),
IF(COUNTIFS(Equipar!B:B,2,Equipar!AC:AC,A326),"Equipada",
IF(
  OR(COUNTIFS(Equipar!B:B,2,Equipar!C:C,A326)
 +COUNTIFS(Equipar!B:B,2,Equipar!D:D,A326)
+COUNTIFS(Equipar!B:B,2,Equipar!E:E,A326)
+COUNTIFS(Equipar!B:B,2,Equipar!F:F,A326)
&gt;0,COUNTIF('Set recomendado'!B:B,C326)=0),
"Bloqueada",
"Desechable")),""
)</f>
        <v/>
      </c>
      <c r="J326" t="str" cm="1">
        <f t="array" aca="1" ref="J326" ca="1">IF(ISNUMBER(A326),IFERROR(_xlfn._xlws.FILTER(Equipar!A:A,(Equipar!B:B=2)*(Equipar!AC:AC=A326)),""),"")</f>
        <v/>
      </c>
    </row>
    <row r="327" spans="1:10" x14ac:dyDescent="0.25">
      <c r="A327" s="1" t="str">
        <f ca="1">IF(A326="ID",1,IF(ISBLANK(B327),"",MAX(A$2:A326)+1))</f>
        <v/>
      </c>
      <c r="I327" s="2" t="str">
        <f ca="1">IF(ISNUMBER(A327),
IF(COUNTIFS(Equipar!B:B,2,Equipar!AC:AC,A327),"Equipada",
IF(
  OR(COUNTIFS(Equipar!B:B,2,Equipar!C:C,A327)
 +COUNTIFS(Equipar!B:B,2,Equipar!D:D,A327)
+COUNTIFS(Equipar!B:B,2,Equipar!E:E,A327)
+COUNTIFS(Equipar!B:B,2,Equipar!F:F,A327)
&gt;0,COUNTIF('Set recomendado'!B:B,C327)=0),
"Bloqueada",
"Desechable")),""
)</f>
        <v/>
      </c>
      <c r="J327" t="str" cm="1">
        <f t="array" aca="1" ref="J327" ca="1">IF(ISNUMBER(A327),IFERROR(_xlfn._xlws.FILTER(Equipar!A:A,(Equipar!B:B=2)*(Equipar!AC:AC=A327)),""),"")</f>
        <v/>
      </c>
    </row>
    <row r="328" spans="1:10" x14ac:dyDescent="0.25">
      <c r="A328" s="1" t="str">
        <f ca="1">IF(A327="ID",1,IF(ISBLANK(B328),"",MAX(A$2:A327)+1))</f>
        <v/>
      </c>
      <c r="I328" s="2" t="str">
        <f ca="1">IF(ISNUMBER(A328),
IF(COUNTIFS(Equipar!B:B,2,Equipar!AC:AC,A328),"Equipada",
IF(
  OR(COUNTIFS(Equipar!B:B,2,Equipar!C:C,A328)
 +COUNTIFS(Equipar!B:B,2,Equipar!D:D,A328)
+COUNTIFS(Equipar!B:B,2,Equipar!E:E,A328)
+COUNTIFS(Equipar!B:B,2,Equipar!F:F,A328)
&gt;0,COUNTIF('Set recomendado'!B:B,C328)=0),
"Bloqueada",
"Desechable")),""
)</f>
        <v/>
      </c>
      <c r="J328" t="str" cm="1">
        <f t="array" aca="1" ref="J328" ca="1">IF(ISNUMBER(A328),IFERROR(_xlfn._xlws.FILTER(Equipar!A:A,(Equipar!B:B=2)*(Equipar!AC:AC=A328)),""),"")</f>
        <v/>
      </c>
    </row>
    <row r="329" spans="1:10" x14ac:dyDescent="0.25">
      <c r="A329" s="1" t="str">
        <f ca="1">IF(A328="ID",1,IF(ISBLANK(B329),"",MAX(A$2:A328)+1))</f>
        <v/>
      </c>
      <c r="I329" s="2" t="str">
        <f ca="1">IF(ISNUMBER(A329),
IF(COUNTIFS(Equipar!B:B,2,Equipar!AC:AC,A329),"Equipada",
IF(
  OR(COUNTIFS(Equipar!B:B,2,Equipar!C:C,A329)
 +COUNTIFS(Equipar!B:B,2,Equipar!D:D,A329)
+COUNTIFS(Equipar!B:B,2,Equipar!E:E,A329)
+COUNTIFS(Equipar!B:B,2,Equipar!F:F,A329)
&gt;0,COUNTIF('Set recomendado'!B:B,C329)=0),
"Bloqueada",
"Desechable")),""
)</f>
        <v/>
      </c>
      <c r="J329" t="str" cm="1">
        <f t="array" aca="1" ref="J329" ca="1">IF(ISNUMBER(A329),IFERROR(_xlfn._xlws.FILTER(Equipar!A:A,(Equipar!B:B=2)*(Equipar!AC:AC=A329)),""),"")</f>
        <v/>
      </c>
    </row>
    <row r="330" spans="1:10" x14ac:dyDescent="0.25">
      <c r="A330" s="1" t="str">
        <f ca="1">IF(A329="ID",1,IF(ISBLANK(B330),"",MAX(A$2:A329)+1))</f>
        <v/>
      </c>
      <c r="I330" s="2" t="str">
        <f ca="1">IF(ISNUMBER(A330),
IF(COUNTIFS(Equipar!B:B,2,Equipar!AC:AC,A330),"Equipada",
IF(
  OR(COUNTIFS(Equipar!B:B,2,Equipar!C:C,A330)
 +COUNTIFS(Equipar!B:B,2,Equipar!D:D,A330)
+COUNTIFS(Equipar!B:B,2,Equipar!E:E,A330)
+COUNTIFS(Equipar!B:B,2,Equipar!F:F,A330)
&gt;0,COUNTIF('Set recomendado'!B:B,C330)=0),
"Bloqueada",
"Desechable")),""
)</f>
        <v/>
      </c>
      <c r="J330" t="str" cm="1">
        <f t="array" aca="1" ref="J330" ca="1">IF(ISNUMBER(A330),IFERROR(_xlfn._xlws.FILTER(Equipar!A:A,(Equipar!B:B=2)*(Equipar!AC:AC=A330)),""),"")</f>
        <v/>
      </c>
    </row>
    <row r="331" spans="1:10" x14ac:dyDescent="0.25">
      <c r="A331" s="1" t="str">
        <f ca="1">IF(A330="ID",1,IF(ISBLANK(B331),"",MAX(A$2:A330)+1))</f>
        <v/>
      </c>
      <c r="I331" s="2" t="str">
        <f ca="1">IF(ISNUMBER(A331),
IF(COUNTIFS(Equipar!B:B,2,Equipar!AC:AC,A331),"Equipada",
IF(
  OR(COUNTIFS(Equipar!B:B,2,Equipar!C:C,A331)
 +COUNTIFS(Equipar!B:B,2,Equipar!D:D,A331)
+COUNTIFS(Equipar!B:B,2,Equipar!E:E,A331)
+COUNTIFS(Equipar!B:B,2,Equipar!F:F,A331)
&gt;0,COUNTIF('Set recomendado'!B:B,C331)=0),
"Bloqueada",
"Desechable")),""
)</f>
        <v/>
      </c>
      <c r="J331" t="str" cm="1">
        <f t="array" aca="1" ref="J331" ca="1">IF(ISNUMBER(A331),IFERROR(_xlfn._xlws.FILTER(Equipar!A:A,(Equipar!B:B=2)*(Equipar!AC:AC=A331)),""),"")</f>
        <v/>
      </c>
    </row>
    <row r="332" spans="1:10" x14ac:dyDescent="0.25">
      <c r="A332" s="1" t="str">
        <f ca="1">IF(A331="ID",1,IF(ISBLANK(B332),"",MAX(A$2:A331)+1))</f>
        <v/>
      </c>
      <c r="I332" s="2" t="str">
        <f ca="1">IF(ISNUMBER(A332),
IF(COUNTIFS(Equipar!B:B,2,Equipar!AC:AC,A332),"Equipada",
IF(
  OR(COUNTIFS(Equipar!B:B,2,Equipar!C:C,A332)
 +COUNTIFS(Equipar!B:B,2,Equipar!D:D,A332)
+COUNTIFS(Equipar!B:B,2,Equipar!E:E,A332)
+COUNTIFS(Equipar!B:B,2,Equipar!F:F,A332)
&gt;0,COUNTIF('Set recomendado'!B:B,C332)=0),
"Bloqueada",
"Desechable")),""
)</f>
        <v/>
      </c>
      <c r="J332" t="str" cm="1">
        <f t="array" aca="1" ref="J332" ca="1">IF(ISNUMBER(A332),IFERROR(_xlfn._xlws.FILTER(Equipar!A:A,(Equipar!B:B=2)*(Equipar!AC:AC=A332)),""),"")</f>
        <v/>
      </c>
    </row>
    <row r="333" spans="1:10" x14ac:dyDescent="0.25">
      <c r="A333" s="1" t="str">
        <f ca="1">IF(A332="ID",1,IF(ISBLANK(B333),"",MAX(A$2:A332)+1))</f>
        <v/>
      </c>
      <c r="I333" s="2" t="str">
        <f ca="1">IF(ISNUMBER(A333),
IF(COUNTIFS(Equipar!B:B,2,Equipar!AC:AC,A333),"Equipada",
IF(
  OR(COUNTIFS(Equipar!B:B,2,Equipar!C:C,A333)
 +COUNTIFS(Equipar!B:B,2,Equipar!D:D,A333)
+COUNTIFS(Equipar!B:B,2,Equipar!E:E,A333)
+COUNTIFS(Equipar!B:B,2,Equipar!F:F,A333)
&gt;0,COUNTIF('Set recomendado'!B:B,C333)=0),
"Bloqueada",
"Desechable")),""
)</f>
        <v/>
      </c>
      <c r="J333" t="str" cm="1">
        <f t="array" aca="1" ref="J333" ca="1">IF(ISNUMBER(A333),IFERROR(_xlfn._xlws.FILTER(Equipar!A:A,(Equipar!B:B=2)*(Equipar!AC:AC=A333)),""),"")</f>
        <v/>
      </c>
    </row>
    <row r="334" spans="1:10" x14ac:dyDescent="0.25">
      <c r="A334" s="1" t="str">
        <f ca="1">IF(A333="ID",1,IF(ISBLANK(B334),"",MAX(A$2:A333)+1))</f>
        <v/>
      </c>
      <c r="I334" s="2" t="str">
        <f ca="1">IF(ISNUMBER(A334),
IF(COUNTIFS(Equipar!B:B,2,Equipar!AC:AC,A334),"Equipada",
IF(
  OR(COUNTIFS(Equipar!B:B,2,Equipar!C:C,A334)
 +COUNTIFS(Equipar!B:B,2,Equipar!D:D,A334)
+COUNTIFS(Equipar!B:B,2,Equipar!E:E,A334)
+COUNTIFS(Equipar!B:B,2,Equipar!F:F,A334)
&gt;0,COUNTIF('Set recomendado'!B:B,C334)=0),
"Bloqueada",
"Desechable")),""
)</f>
        <v/>
      </c>
      <c r="J334" t="str" cm="1">
        <f t="array" aca="1" ref="J334" ca="1">IF(ISNUMBER(A334),IFERROR(_xlfn._xlws.FILTER(Equipar!A:A,(Equipar!B:B=2)*(Equipar!AC:AC=A334)),""),"")</f>
        <v/>
      </c>
    </row>
    <row r="335" spans="1:10" x14ac:dyDescent="0.25">
      <c r="A335" s="1" t="str">
        <f ca="1">IF(A334="ID",1,IF(ISBLANK(B335),"",MAX(A$2:A334)+1))</f>
        <v/>
      </c>
      <c r="I335" s="2" t="str">
        <f ca="1">IF(ISNUMBER(A335),
IF(COUNTIFS(Equipar!B:B,2,Equipar!AC:AC,A335),"Equipada",
IF(
  OR(COUNTIFS(Equipar!B:B,2,Equipar!C:C,A335)
 +COUNTIFS(Equipar!B:B,2,Equipar!D:D,A335)
+COUNTIFS(Equipar!B:B,2,Equipar!E:E,A335)
+COUNTIFS(Equipar!B:B,2,Equipar!F:F,A335)
&gt;0,COUNTIF('Set recomendado'!B:B,C335)=0),
"Bloqueada",
"Desechable")),""
)</f>
        <v/>
      </c>
      <c r="J335" t="str" cm="1">
        <f t="array" aca="1" ref="J335" ca="1">IF(ISNUMBER(A335),IFERROR(_xlfn._xlws.FILTER(Equipar!A:A,(Equipar!B:B=2)*(Equipar!AC:AC=A335)),""),"")</f>
        <v/>
      </c>
    </row>
    <row r="336" spans="1:10" x14ac:dyDescent="0.25">
      <c r="A336" s="1" t="str">
        <f ca="1">IF(A335="ID",1,IF(ISBLANK(B336),"",MAX(A$2:A335)+1))</f>
        <v/>
      </c>
      <c r="I336" s="2" t="str">
        <f ca="1">IF(ISNUMBER(A336),
IF(COUNTIFS(Equipar!B:B,2,Equipar!AC:AC,A336),"Equipada",
IF(
  OR(COUNTIFS(Equipar!B:B,2,Equipar!C:C,A336)
 +COUNTIFS(Equipar!B:B,2,Equipar!D:D,A336)
+COUNTIFS(Equipar!B:B,2,Equipar!E:E,A336)
+COUNTIFS(Equipar!B:B,2,Equipar!F:F,A336)
&gt;0,COUNTIF('Set recomendado'!B:B,C336)=0),
"Bloqueada",
"Desechable")),""
)</f>
        <v/>
      </c>
      <c r="J336" t="str" cm="1">
        <f t="array" aca="1" ref="J336" ca="1">IF(ISNUMBER(A336),IFERROR(_xlfn._xlws.FILTER(Equipar!A:A,(Equipar!B:B=2)*(Equipar!AC:AC=A336)),""),"")</f>
        <v/>
      </c>
    </row>
    <row r="337" spans="1:10" x14ac:dyDescent="0.25">
      <c r="A337" s="1" t="str">
        <f ca="1">IF(A336="ID",1,IF(ISBLANK(B337),"",MAX(A$2:A336)+1))</f>
        <v/>
      </c>
      <c r="I337" s="2" t="str">
        <f ca="1">IF(ISNUMBER(A337),
IF(COUNTIFS(Equipar!B:B,2,Equipar!AC:AC,A337),"Equipada",
IF(
  OR(COUNTIFS(Equipar!B:B,2,Equipar!C:C,A337)
 +COUNTIFS(Equipar!B:B,2,Equipar!D:D,A337)
+COUNTIFS(Equipar!B:B,2,Equipar!E:E,A337)
+COUNTIFS(Equipar!B:B,2,Equipar!F:F,A337)
&gt;0,COUNTIF('Set recomendado'!B:B,C337)=0),
"Bloqueada",
"Desechable")),""
)</f>
        <v/>
      </c>
      <c r="J337" t="str" cm="1">
        <f t="array" aca="1" ref="J337" ca="1">IF(ISNUMBER(A337),IFERROR(_xlfn._xlws.FILTER(Equipar!A:A,(Equipar!B:B=2)*(Equipar!AC:AC=A337)),""),"")</f>
        <v/>
      </c>
    </row>
    <row r="338" spans="1:10" x14ac:dyDescent="0.25">
      <c r="A338" s="1" t="str">
        <f ca="1">IF(A337="ID",1,IF(ISBLANK(B338),"",MAX(A$2:A337)+1))</f>
        <v/>
      </c>
      <c r="I338" s="2" t="str">
        <f ca="1">IF(ISNUMBER(A338),
IF(COUNTIFS(Equipar!B:B,2,Equipar!AC:AC,A338),"Equipada",
IF(
  OR(COUNTIFS(Equipar!B:B,2,Equipar!C:C,A338)
 +COUNTIFS(Equipar!B:B,2,Equipar!D:D,A338)
+COUNTIFS(Equipar!B:B,2,Equipar!E:E,A338)
+COUNTIFS(Equipar!B:B,2,Equipar!F:F,A338)
&gt;0,COUNTIF('Set recomendado'!B:B,C338)=0),
"Bloqueada",
"Desechable")),""
)</f>
        <v/>
      </c>
      <c r="J338" t="str" cm="1">
        <f t="array" aca="1" ref="J338" ca="1">IF(ISNUMBER(A338),IFERROR(_xlfn._xlws.FILTER(Equipar!A:A,(Equipar!B:B=2)*(Equipar!AC:AC=A338)),""),"")</f>
        <v/>
      </c>
    </row>
    <row r="339" spans="1:10" x14ac:dyDescent="0.25">
      <c r="A339" s="1" t="str">
        <f ca="1">IF(A338="ID",1,IF(ISBLANK(B339),"",MAX(A$2:A338)+1))</f>
        <v/>
      </c>
      <c r="I339" s="2" t="str">
        <f ca="1">IF(ISNUMBER(A339),
IF(COUNTIFS(Equipar!B:B,2,Equipar!AC:AC,A339),"Equipada",
IF(
  OR(COUNTIFS(Equipar!B:B,2,Equipar!C:C,A339)
 +COUNTIFS(Equipar!B:B,2,Equipar!D:D,A339)
+COUNTIFS(Equipar!B:B,2,Equipar!E:E,A339)
+COUNTIFS(Equipar!B:B,2,Equipar!F:F,A339)
&gt;0,COUNTIF('Set recomendado'!B:B,C339)=0),
"Bloqueada",
"Desechable")),""
)</f>
        <v/>
      </c>
      <c r="J339" t="str" cm="1">
        <f t="array" aca="1" ref="J339" ca="1">IF(ISNUMBER(A339),IFERROR(_xlfn._xlws.FILTER(Equipar!A:A,(Equipar!B:B=2)*(Equipar!AC:AC=A339)),""),"")</f>
        <v/>
      </c>
    </row>
    <row r="340" spans="1:10" x14ac:dyDescent="0.25">
      <c r="A340" s="1" t="str">
        <f ca="1">IF(A339="ID",1,IF(ISBLANK(B340),"",MAX(A$2:A339)+1))</f>
        <v/>
      </c>
      <c r="I340" s="2" t="str">
        <f ca="1">IF(ISNUMBER(A340),
IF(COUNTIFS(Equipar!B:B,2,Equipar!AC:AC,A340),"Equipada",
IF(
  OR(COUNTIFS(Equipar!B:B,2,Equipar!C:C,A340)
 +COUNTIFS(Equipar!B:B,2,Equipar!D:D,A340)
+COUNTIFS(Equipar!B:B,2,Equipar!E:E,A340)
+COUNTIFS(Equipar!B:B,2,Equipar!F:F,A340)
&gt;0,COUNTIF('Set recomendado'!B:B,C340)=0),
"Bloqueada",
"Desechable")),""
)</f>
        <v/>
      </c>
      <c r="J340" t="str" cm="1">
        <f t="array" aca="1" ref="J340" ca="1">IF(ISNUMBER(A340),IFERROR(_xlfn._xlws.FILTER(Equipar!A:A,(Equipar!B:B=2)*(Equipar!AC:AC=A340)),""),"")</f>
        <v/>
      </c>
    </row>
    <row r="341" spans="1:10" x14ac:dyDescent="0.25">
      <c r="A341" s="1" t="str">
        <f ca="1">IF(A340="ID",1,IF(ISBLANK(B341),"",MAX(A$2:A340)+1))</f>
        <v/>
      </c>
      <c r="I341" s="2" t="str">
        <f ca="1">IF(ISNUMBER(A341),
IF(COUNTIFS(Equipar!B:B,2,Equipar!AC:AC,A341),"Equipada",
IF(
  OR(COUNTIFS(Equipar!B:B,2,Equipar!C:C,A341)
 +COUNTIFS(Equipar!B:B,2,Equipar!D:D,A341)
+COUNTIFS(Equipar!B:B,2,Equipar!E:E,A341)
+COUNTIFS(Equipar!B:B,2,Equipar!F:F,A341)
&gt;0,COUNTIF('Set recomendado'!B:B,C341)=0),
"Bloqueada",
"Desechable")),""
)</f>
        <v/>
      </c>
      <c r="J341" t="str" cm="1">
        <f t="array" aca="1" ref="J341" ca="1">IF(ISNUMBER(A341),IFERROR(_xlfn._xlws.FILTER(Equipar!A:A,(Equipar!B:B=2)*(Equipar!AC:AC=A341)),""),"")</f>
        <v/>
      </c>
    </row>
    <row r="342" spans="1:10" x14ac:dyDescent="0.25">
      <c r="A342" s="1" t="str">
        <f ca="1">IF(A341="ID",1,IF(ISBLANK(B342),"",MAX(A$2:A341)+1))</f>
        <v/>
      </c>
      <c r="I342" s="2" t="str">
        <f ca="1">IF(ISNUMBER(A342),
IF(COUNTIFS(Equipar!B:B,2,Equipar!AC:AC,A342),"Equipada",
IF(
  OR(COUNTIFS(Equipar!B:B,2,Equipar!C:C,A342)
 +COUNTIFS(Equipar!B:B,2,Equipar!D:D,A342)
+COUNTIFS(Equipar!B:B,2,Equipar!E:E,A342)
+COUNTIFS(Equipar!B:B,2,Equipar!F:F,A342)
&gt;0,COUNTIF('Set recomendado'!B:B,C342)=0),
"Bloqueada",
"Desechable")),""
)</f>
        <v/>
      </c>
      <c r="J342" t="str" cm="1">
        <f t="array" aca="1" ref="J342" ca="1">IF(ISNUMBER(A342),IFERROR(_xlfn._xlws.FILTER(Equipar!A:A,(Equipar!B:B=2)*(Equipar!AC:AC=A342)),""),"")</f>
        <v/>
      </c>
    </row>
    <row r="343" spans="1:10" x14ac:dyDescent="0.25">
      <c r="A343" s="1" t="str">
        <f ca="1">IF(A342="ID",1,IF(ISBLANK(B343),"",MAX(A$2:A342)+1))</f>
        <v/>
      </c>
      <c r="I343" s="2" t="str">
        <f ca="1">IF(ISNUMBER(A343),
IF(COUNTIFS(Equipar!B:B,2,Equipar!AC:AC,A343),"Equipada",
IF(
  OR(COUNTIFS(Equipar!B:B,2,Equipar!C:C,A343)
 +COUNTIFS(Equipar!B:B,2,Equipar!D:D,A343)
+COUNTIFS(Equipar!B:B,2,Equipar!E:E,A343)
+COUNTIFS(Equipar!B:B,2,Equipar!F:F,A343)
&gt;0,COUNTIF('Set recomendado'!B:B,C343)=0),
"Bloqueada",
"Desechable")),""
)</f>
        <v/>
      </c>
      <c r="J343" t="str" cm="1">
        <f t="array" aca="1" ref="J343" ca="1">IF(ISNUMBER(A343),IFERROR(_xlfn._xlws.FILTER(Equipar!A:A,(Equipar!B:B=2)*(Equipar!AC:AC=A343)),""),"")</f>
        <v/>
      </c>
    </row>
    <row r="344" spans="1:10" x14ac:dyDescent="0.25">
      <c r="A344" s="1" t="str">
        <f ca="1">IF(A343="ID",1,IF(ISBLANK(B344),"",MAX(A$2:A343)+1))</f>
        <v/>
      </c>
      <c r="I344" s="2" t="str">
        <f ca="1">IF(ISNUMBER(A344),
IF(COUNTIFS(Equipar!B:B,2,Equipar!AC:AC,A344),"Equipada",
IF(
  OR(COUNTIFS(Equipar!B:B,2,Equipar!C:C,A344)
 +COUNTIFS(Equipar!B:B,2,Equipar!D:D,A344)
+COUNTIFS(Equipar!B:B,2,Equipar!E:E,A344)
+COUNTIFS(Equipar!B:B,2,Equipar!F:F,A344)
&gt;0,COUNTIF('Set recomendado'!B:B,C344)=0),
"Bloqueada",
"Desechable")),""
)</f>
        <v/>
      </c>
      <c r="J344" t="str" cm="1">
        <f t="array" aca="1" ref="J344" ca="1">IF(ISNUMBER(A344),IFERROR(_xlfn._xlws.FILTER(Equipar!A:A,(Equipar!B:B=2)*(Equipar!AC:AC=A344)),""),"")</f>
        <v/>
      </c>
    </row>
    <row r="345" spans="1:10" x14ac:dyDescent="0.25">
      <c r="A345" s="1" t="str">
        <f ca="1">IF(A344="ID",1,IF(ISBLANK(B345),"",MAX(A$2:A344)+1))</f>
        <v/>
      </c>
      <c r="I345" s="2" t="str">
        <f ca="1">IF(ISNUMBER(A345),
IF(COUNTIFS(Equipar!B:B,2,Equipar!AC:AC,A345),"Equipada",
IF(
  OR(COUNTIFS(Equipar!B:B,2,Equipar!C:C,A345)
 +COUNTIFS(Equipar!B:B,2,Equipar!D:D,A345)
+COUNTIFS(Equipar!B:B,2,Equipar!E:E,A345)
+COUNTIFS(Equipar!B:B,2,Equipar!F:F,A345)
&gt;0,COUNTIF('Set recomendado'!B:B,C345)=0),
"Bloqueada",
"Desechable")),""
)</f>
        <v/>
      </c>
      <c r="J345" t="str" cm="1">
        <f t="array" aca="1" ref="J345" ca="1">IF(ISNUMBER(A345),IFERROR(_xlfn._xlws.FILTER(Equipar!A:A,(Equipar!B:B=2)*(Equipar!AC:AC=A345)),""),"")</f>
        <v/>
      </c>
    </row>
    <row r="346" spans="1:10" x14ac:dyDescent="0.25">
      <c r="A346" s="1" t="str">
        <f ca="1">IF(A345="ID",1,IF(ISBLANK(B346),"",MAX(A$2:A345)+1))</f>
        <v/>
      </c>
      <c r="I346" s="2" t="str">
        <f ca="1">IF(ISNUMBER(A346),
IF(COUNTIFS(Equipar!B:B,2,Equipar!AC:AC,A346),"Equipada",
IF(
  OR(COUNTIFS(Equipar!B:B,2,Equipar!C:C,A346)
 +COUNTIFS(Equipar!B:B,2,Equipar!D:D,A346)
+COUNTIFS(Equipar!B:B,2,Equipar!E:E,A346)
+COUNTIFS(Equipar!B:B,2,Equipar!F:F,A346)
&gt;0,COUNTIF('Set recomendado'!B:B,C346)=0),
"Bloqueada",
"Desechable")),""
)</f>
        <v/>
      </c>
      <c r="J346" t="str" cm="1">
        <f t="array" aca="1" ref="J346" ca="1">IF(ISNUMBER(A346),IFERROR(_xlfn._xlws.FILTER(Equipar!A:A,(Equipar!B:B=2)*(Equipar!AC:AC=A346)),""),"")</f>
        <v/>
      </c>
    </row>
    <row r="347" spans="1:10" x14ac:dyDescent="0.25">
      <c r="A347" s="1" t="str">
        <f ca="1">IF(A346="ID",1,IF(ISBLANK(B347),"",MAX(A$2:A346)+1))</f>
        <v/>
      </c>
      <c r="I347" s="2" t="str">
        <f ca="1">IF(ISNUMBER(A347),
IF(COUNTIFS(Equipar!B:B,2,Equipar!AC:AC,A347),"Equipada",
IF(
  OR(COUNTIFS(Equipar!B:B,2,Equipar!C:C,A347)
 +COUNTIFS(Equipar!B:B,2,Equipar!D:D,A347)
+COUNTIFS(Equipar!B:B,2,Equipar!E:E,A347)
+COUNTIFS(Equipar!B:B,2,Equipar!F:F,A347)
&gt;0,COUNTIF('Set recomendado'!B:B,C347)=0),
"Bloqueada",
"Desechable")),""
)</f>
        <v/>
      </c>
      <c r="J347" t="str" cm="1">
        <f t="array" aca="1" ref="J347" ca="1">IF(ISNUMBER(A347),IFERROR(_xlfn._xlws.FILTER(Equipar!A:A,(Equipar!B:B=2)*(Equipar!AC:AC=A347)),""),"")</f>
        <v/>
      </c>
    </row>
    <row r="348" spans="1:10" x14ac:dyDescent="0.25">
      <c r="A348" s="1" t="str">
        <f ca="1">IF(A347="ID",1,IF(ISBLANK(B348),"",MAX(A$2:A347)+1))</f>
        <v/>
      </c>
      <c r="I348" s="2" t="str">
        <f ca="1">IF(ISNUMBER(A348),
IF(COUNTIFS(Equipar!B:B,2,Equipar!AC:AC,A348),"Equipada",
IF(
  OR(COUNTIFS(Equipar!B:B,2,Equipar!C:C,A348)
 +COUNTIFS(Equipar!B:B,2,Equipar!D:D,A348)
+COUNTIFS(Equipar!B:B,2,Equipar!E:E,A348)
+COUNTIFS(Equipar!B:B,2,Equipar!F:F,A348)
&gt;0,COUNTIF('Set recomendado'!B:B,C348)=0),
"Bloqueada",
"Desechable")),""
)</f>
        <v/>
      </c>
      <c r="J348" t="str" cm="1">
        <f t="array" aca="1" ref="J348" ca="1">IF(ISNUMBER(A348),IFERROR(_xlfn._xlws.FILTER(Equipar!A:A,(Equipar!B:B=2)*(Equipar!AC:AC=A348)),""),"")</f>
        <v/>
      </c>
    </row>
    <row r="349" spans="1:10" x14ac:dyDescent="0.25">
      <c r="A349" s="1" t="str">
        <f ca="1">IF(A348="ID",1,IF(ISBLANK(B349),"",MAX(A$2:A348)+1))</f>
        <v/>
      </c>
      <c r="I349" s="2" t="str">
        <f ca="1">IF(ISNUMBER(A349),
IF(COUNTIFS(Equipar!B:B,2,Equipar!AC:AC,A349),"Equipada",
IF(
  OR(COUNTIFS(Equipar!B:B,2,Equipar!C:C,A349)
 +COUNTIFS(Equipar!B:B,2,Equipar!D:D,A349)
+COUNTIFS(Equipar!B:B,2,Equipar!E:E,A349)
+COUNTIFS(Equipar!B:B,2,Equipar!F:F,A349)
&gt;0,COUNTIF('Set recomendado'!B:B,C349)=0),
"Bloqueada",
"Desechable")),""
)</f>
        <v/>
      </c>
      <c r="J349" t="str" cm="1">
        <f t="array" aca="1" ref="J349" ca="1">IF(ISNUMBER(A349),IFERROR(_xlfn._xlws.FILTER(Equipar!A:A,(Equipar!B:B=2)*(Equipar!AC:AC=A349)),""),"")</f>
        <v/>
      </c>
    </row>
    <row r="350" spans="1:10" x14ac:dyDescent="0.25">
      <c r="A350" s="1" t="str">
        <f ca="1">IF(A349="ID",1,IF(ISBLANK(B350),"",MAX(A$2:A349)+1))</f>
        <v/>
      </c>
      <c r="I350" s="2" t="str">
        <f ca="1">IF(ISNUMBER(A350),
IF(COUNTIFS(Equipar!B:B,2,Equipar!AC:AC,A350),"Equipada",
IF(
  OR(COUNTIFS(Equipar!B:B,2,Equipar!C:C,A350)
 +COUNTIFS(Equipar!B:B,2,Equipar!D:D,A350)
+COUNTIFS(Equipar!B:B,2,Equipar!E:E,A350)
+COUNTIFS(Equipar!B:B,2,Equipar!F:F,A350)
&gt;0,COUNTIF('Set recomendado'!B:B,C350)=0),
"Bloqueada",
"Desechable")),""
)</f>
        <v/>
      </c>
      <c r="J350" t="str" cm="1">
        <f t="array" aca="1" ref="J350" ca="1">IF(ISNUMBER(A350),IFERROR(_xlfn._xlws.FILTER(Equipar!A:A,(Equipar!B:B=2)*(Equipar!AC:AC=A350)),""),"")</f>
        <v/>
      </c>
    </row>
    <row r="351" spans="1:10" x14ac:dyDescent="0.25">
      <c r="A351" s="1" t="str">
        <f ca="1">IF(A350="ID",1,IF(ISBLANK(B351),"",MAX(A$2:A350)+1))</f>
        <v/>
      </c>
      <c r="I351" s="2" t="str">
        <f ca="1">IF(ISNUMBER(A351),
IF(COUNTIFS(Equipar!B:B,2,Equipar!AC:AC,A351),"Equipada",
IF(
  OR(COUNTIFS(Equipar!B:B,2,Equipar!C:C,A351)
 +COUNTIFS(Equipar!B:B,2,Equipar!D:D,A351)
+COUNTIFS(Equipar!B:B,2,Equipar!E:E,A351)
+COUNTIFS(Equipar!B:B,2,Equipar!F:F,A351)
&gt;0,COUNTIF('Set recomendado'!B:B,C351)=0),
"Bloqueada",
"Desechable")),""
)</f>
        <v/>
      </c>
      <c r="J351" t="str" cm="1">
        <f t="array" aca="1" ref="J351" ca="1">IF(ISNUMBER(A351),IFERROR(_xlfn._xlws.FILTER(Equipar!A:A,(Equipar!B:B=2)*(Equipar!AC:AC=A351)),""),"")</f>
        <v/>
      </c>
    </row>
    <row r="352" spans="1:10" x14ac:dyDescent="0.25">
      <c r="A352" s="1" t="str">
        <f ca="1">IF(A351="ID",1,IF(ISBLANK(B352),"",MAX(A$2:A351)+1))</f>
        <v/>
      </c>
      <c r="I352" s="2" t="str">
        <f ca="1">IF(ISNUMBER(A352),
IF(COUNTIFS(Equipar!B:B,2,Equipar!AC:AC,A352),"Equipada",
IF(
  OR(COUNTIFS(Equipar!B:B,2,Equipar!C:C,A352)
 +COUNTIFS(Equipar!B:B,2,Equipar!D:D,A352)
+COUNTIFS(Equipar!B:B,2,Equipar!E:E,A352)
+COUNTIFS(Equipar!B:B,2,Equipar!F:F,A352)
&gt;0,COUNTIF('Set recomendado'!B:B,C352)=0),
"Bloqueada",
"Desechable")),""
)</f>
        <v/>
      </c>
      <c r="J352" t="str" cm="1">
        <f t="array" aca="1" ref="J352" ca="1">IF(ISNUMBER(A352),IFERROR(_xlfn._xlws.FILTER(Equipar!A:A,(Equipar!B:B=2)*(Equipar!AC:AC=A352)),""),"")</f>
        <v/>
      </c>
    </row>
    <row r="353" spans="1:10" x14ac:dyDescent="0.25">
      <c r="A353" s="1" t="str">
        <f ca="1">IF(A352="ID",1,IF(ISBLANK(B353),"",MAX(A$2:A352)+1))</f>
        <v/>
      </c>
      <c r="I353" s="2" t="str">
        <f ca="1">IF(ISNUMBER(A353),
IF(COUNTIFS(Equipar!B:B,2,Equipar!AC:AC,A353),"Equipada",
IF(
  OR(COUNTIFS(Equipar!B:B,2,Equipar!C:C,A353)
 +COUNTIFS(Equipar!B:B,2,Equipar!D:D,A353)
+COUNTIFS(Equipar!B:B,2,Equipar!E:E,A353)
+COUNTIFS(Equipar!B:B,2,Equipar!F:F,A353)
&gt;0,COUNTIF('Set recomendado'!B:B,C353)=0),
"Bloqueada",
"Desechable")),""
)</f>
        <v/>
      </c>
      <c r="J353" t="str" cm="1">
        <f t="array" aca="1" ref="J353" ca="1">IF(ISNUMBER(A353),IFERROR(_xlfn._xlws.FILTER(Equipar!A:A,(Equipar!B:B=2)*(Equipar!AC:AC=A353)),""),"")</f>
        <v/>
      </c>
    </row>
    <row r="354" spans="1:10" x14ac:dyDescent="0.25">
      <c r="A354" s="1" t="str">
        <f ca="1">IF(A353="ID",1,IF(ISBLANK(B354),"",MAX(A$2:A353)+1))</f>
        <v/>
      </c>
      <c r="I354" s="2" t="str">
        <f ca="1">IF(ISNUMBER(A354),
IF(COUNTIFS(Equipar!B:B,2,Equipar!AC:AC,A354),"Equipada",
IF(
  OR(COUNTIFS(Equipar!B:B,2,Equipar!C:C,A354)
 +COUNTIFS(Equipar!B:B,2,Equipar!D:D,A354)
+COUNTIFS(Equipar!B:B,2,Equipar!E:E,A354)
+COUNTIFS(Equipar!B:B,2,Equipar!F:F,A354)
&gt;0,COUNTIF('Set recomendado'!B:B,C354)=0),
"Bloqueada",
"Desechable")),""
)</f>
        <v/>
      </c>
      <c r="J354" t="str" cm="1">
        <f t="array" aca="1" ref="J354" ca="1">IF(ISNUMBER(A354),IFERROR(_xlfn._xlws.FILTER(Equipar!A:A,(Equipar!B:B=2)*(Equipar!AC:AC=A354)),""),"")</f>
        <v/>
      </c>
    </row>
    <row r="355" spans="1:10" x14ac:dyDescent="0.25">
      <c r="A355" s="1" t="str">
        <f ca="1">IF(A354="ID",1,IF(ISBLANK(B355),"",MAX(A$2:A354)+1))</f>
        <v/>
      </c>
      <c r="I355" s="2" t="str">
        <f ca="1">IF(ISNUMBER(A355),
IF(COUNTIFS(Equipar!B:B,2,Equipar!AC:AC,A355),"Equipada",
IF(
  OR(COUNTIFS(Equipar!B:B,2,Equipar!C:C,A355)
 +COUNTIFS(Equipar!B:B,2,Equipar!D:D,A355)
+COUNTIFS(Equipar!B:B,2,Equipar!E:E,A355)
+COUNTIFS(Equipar!B:B,2,Equipar!F:F,A355)
&gt;0,COUNTIF('Set recomendado'!B:B,C355)=0),
"Bloqueada",
"Desechable")),""
)</f>
        <v/>
      </c>
      <c r="J355" t="str" cm="1">
        <f t="array" aca="1" ref="J355" ca="1">IF(ISNUMBER(A355),IFERROR(_xlfn._xlws.FILTER(Equipar!A:A,(Equipar!B:B=2)*(Equipar!AC:AC=A355)),""),"")</f>
        <v/>
      </c>
    </row>
    <row r="356" spans="1:10" x14ac:dyDescent="0.25">
      <c r="A356" s="1" t="str">
        <f ca="1">IF(A355="ID",1,IF(ISBLANK(B356),"",MAX(A$2:A355)+1))</f>
        <v/>
      </c>
      <c r="I356" s="2" t="str">
        <f ca="1">IF(ISNUMBER(A356),
IF(COUNTIFS(Equipar!B:B,2,Equipar!AC:AC,A356),"Equipada",
IF(
  OR(COUNTIFS(Equipar!B:B,2,Equipar!C:C,A356)
 +COUNTIFS(Equipar!B:B,2,Equipar!D:D,A356)
+COUNTIFS(Equipar!B:B,2,Equipar!E:E,A356)
+COUNTIFS(Equipar!B:B,2,Equipar!F:F,A356)
&gt;0,COUNTIF('Set recomendado'!B:B,C356)=0),
"Bloqueada",
"Desechable")),""
)</f>
        <v/>
      </c>
      <c r="J356" t="str" cm="1">
        <f t="array" aca="1" ref="J356" ca="1">IF(ISNUMBER(A356),IFERROR(_xlfn._xlws.FILTER(Equipar!A:A,(Equipar!B:B=2)*(Equipar!AC:AC=A356)),""),"")</f>
        <v/>
      </c>
    </row>
    <row r="357" spans="1:10" x14ac:dyDescent="0.25">
      <c r="A357" s="1" t="str">
        <f ca="1">IF(A356="ID",1,IF(ISBLANK(B357),"",MAX(A$2:A356)+1))</f>
        <v/>
      </c>
      <c r="I357" s="2" t="str">
        <f ca="1">IF(ISNUMBER(A357),
IF(COUNTIFS(Equipar!B:B,2,Equipar!AC:AC,A357),"Equipada",
IF(
  OR(COUNTIFS(Equipar!B:B,2,Equipar!C:C,A357)
 +COUNTIFS(Equipar!B:B,2,Equipar!D:D,A357)
+COUNTIFS(Equipar!B:B,2,Equipar!E:E,A357)
+COUNTIFS(Equipar!B:B,2,Equipar!F:F,A357)
&gt;0,COUNTIF('Set recomendado'!B:B,C357)=0),
"Bloqueada",
"Desechable")),""
)</f>
        <v/>
      </c>
      <c r="J357" t="str" cm="1">
        <f t="array" aca="1" ref="J357" ca="1">IF(ISNUMBER(A357),IFERROR(_xlfn._xlws.FILTER(Equipar!A:A,(Equipar!B:B=2)*(Equipar!AC:AC=A357)),""),"")</f>
        <v/>
      </c>
    </row>
    <row r="358" spans="1:10" x14ac:dyDescent="0.25">
      <c r="A358" s="1" t="str">
        <f ca="1">IF(A357="ID",1,IF(ISBLANK(B358),"",MAX(A$2:A357)+1))</f>
        <v/>
      </c>
      <c r="I358" s="2" t="str">
        <f ca="1">IF(ISNUMBER(A358),
IF(COUNTIFS(Equipar!B:B,2,Equipar!AC:AC,A358),"Equipada",
IF(
  OR(COUNTIFS(Equipar!B:B,2,Equipar!C:C,A358)
 +COUNTIFS(Equipar!B:B,2,Equipar!D:D,A358)
+COUNTIFS(Equipar!B:B,2,Equipar!E:E,A358)
+COUNTIFS(Equipar!B:B,2,Equipar!F:F,A358)
&gt;0,COUNTIF('Set recomendado'!B:B,C358)=0),
"Bloqueada",
"Desechable")),""
)</f>
        <v/>
      </c>
      <c r="J358" t="str" cm="1">
        <f t="array" aca="1" ref="J358" ca="1">IF(ISNUMBER(A358),IFERROR(_xlfn._xlws.FILTER(Equipar!A:A,(Equipar!B:B=2)*(Equipar!AC:AC=A358)),""),"")</f>
        <v/>
      </c>
    </row>
    <row r="359" spans="1:10" x14ac:dyDescent="0.25">
      <c r="A359" s="1" t="str">
        <f ca="1">IF(A358="ID",1,IF(ISBLANK(B359),"",MAX(A$2:A358)+1))</f>
        <v/>
      </c>
      <c r="I359" s="2" t="str">
        <f ca="1">IF(ISNUMBER(A359),
IF(COUNTIFS(Equipar!B:B,2,Equipar!AC:AC,A359),"Equipada",
IF(
  OR(COUNTIFS(Equipar!B:B,2,Equipar!C:C,A359)
 +COUNTIFS(Equipar!B:B,2,Equipar!D:D,A359)
+COUNTIFS(Equipar!B:B,2,Equipar!E:E,A359)
+COUNTIFS(Equipar!B:B,2,Equipar!F:F,A359)
&gt;0,COUNTIF('Set recomendado'!B:B,C359)=0),
"Bloqueada",
"Desechable")),""
)</f>
        <v/>
      </c>
      <c r="J359" t="str" cm="1">
        <f t="array" aca="1" ref="J359" ca="1">IF(ISNUMBER(A359),IFERROR(_xlfn._xlws.FILTER(Equipar!A:A,(Equipar!B:B=2)*(Equipar!AC:AC=A359)),""),"")</f>
        <v/>
      </c>
    </row>
    <row r="360" spans="1:10" x14ac:dyDescent="0.25">
      <c r="A360" s="1" t="str">
        <f ca="1">IF(A359="ID",1,IF(ISBLANK(B360),"",MAX(A$2:A359)+1))</f>
        <v/>
      </c>
      <c r="I360" s="2" t="str">
        <f ca="1">IF(ISNUMBER(A360),
IF(COUNTIFS(Equipar!B:B,2,Equipar!AC:AC,A360),"Equipada",
IF(
  OR(COUNTIFS(Equipar!B:B,2,Equipar!C:C,A360)
 +COUNTIFS(Equipar!B:B,2,Equipar!D:D,A360)
+COUNTIFS(Equipar!B:B,2,Equipar!E:E,A360)
+COUNTIFS(Equipar!B:B,2,Equipar!F:F,A360)
&gt;0,COUNTIF('Set recomendado'!B:B,C360)=0),
"Bloqueada",
"Desechable")),""
)</f>
        <v/>
      </c>
      <c r="J360" t="str" cm="1">
        <f t="array" aca="1" ref="J360" ca="1">IF(ISNUMBER(A360),IFERROR(_xlfn._xlws.FILTER(Equipar!A:A,(Equipar!B:B=2)*(Equipar!AC:AC=A360)),""),"")</f>
        <v/>
      </c>
    </row>
    <row r="361" spans="1:10" x14ac:dyDescent="0.25">
      <c r="A361" s="1" t="str">
        <f ca="1">IF(A360="ID",1,IF(ISBLANK(B361),"",MAX(A$2:A360)+1))</f>
        <v/>
      </c>
      <c r="I361" s="2" t="str">
        <f ca="1">IF(ISNUMBER(A361),
IF(COUNTIFS(Equipar!B:B,2,Equipar!AC:AC,A361),"Equipada",
IF(
  OR(COUNTIFS(Equipar!B:B,2,Equipar!C:C,A361)
 +COUNTIFS(Equipar!B:B,2,Equipar!D:D,A361)
+COUNTIFS(Equipar!B:B,2,Equipar!E:E,A361)
+COUNTIFS(Equipar!B:B,2,Equipar!F:F,A361)
&gt;0,COUNTIF('Set recomendado'!B:B,C361)=0),
"Bloqueada",
"Desechable")),""
)</f>
        <v/>
      </c>
      <c r="J361" t="str" cm="1">
        <f t="array" aca="1" ref="J361" ca="1">IF(ISNUMBER(A361),IFERROR(_xlfn._xlws.FILTER(Equipar!A:A,(Equipar!B:B=2)*(Equipar!AC:AC=A361)),""),"")</f>
        <v/>
      </c>
    </row>
    <row r="362" spans="1:10" x14ac:dyDescent="0.25">
      <c r="A362" s="1" t="str">
        <f ca="1">IF(A361="ID",1,IF(ISBLANK(B362),"",MAX(A$2:A361)+1))</f>
        <v/>
      </c>
      <c r="I362" s="2" t="str">
        <f ca="1">IF(ISNUMBER(A362),
IF(COUNTIFS(Equipar!B:B,2,Equipar!AC:AC,A362),"Equipada",
IF(
  OR(COUNTIFS(Equipar!B:B,2,Equipar!C:C,A362)
 +COUNTIFS(Equipar!B:B,2,Equipar!D:D,A362)
+COUNTIFS(Equipar!B:B,2,Equipar!E:E,A362)
+COUNTIFS(Equipar!B:B,2,Equipar!F:F,A362)
&gt;0,COUNTIF('Set recomendado'!B:B,C362)=0),
"Bloqueada",
"Desechable")),""
)</f>
        <v/>
      </c>
      <c r="J362" t="str" cm="1">
        <f t="array" aca="1" ref="J362" ca="1">IF(ISNUMBER(A362),IFERROR(_xlfn._xlws.FILTER(Equipar!A:A,(Equipar!B:B=2)*(Equipar!AC:AC=A362)),""),"")</f>
        <v/>
      </c>
    </row>
    <row r="363" spans="1:10" x14ac:dyDescent="0.25">
      <c r="A363" s="1" t="str">
        <f ca="1">IF(A362="ID",1,IF(ISBLANK(B363),"",MAX(A$2:A362)+1))</f>
        <v/>
      </c>
      <c r="I363" s="2" t="str">
        <f ca="1">IF(ISNUMBER(A363),
IF(COUNTIFS(Equipar!B:B,2,Equipar!AC:AC,A363),"Equipada",
IF(
  OR(COUNTIFS(Equipar!B:B,2,Equipar!C:C,A363)
 +COUNTIFS(Equipar!B:B,2,Equipar!D:D,A363)
+COUNTIFS(Equipar!B:B,2,Equipar!E:E,A363)
+COUNTIFS(Equipar!B:B,2,Equipar!F:F,A363)
&gt;0,COUNTIF('Set recomendado'!B:B,C363)=0),
"Bloqueada",
"Desechable")),""
)</f>
        <v/>
      </c>
      <c r="J363" t="str" cm="1">
        <f t="array" aca="1" ref="J363" ca="1">IF(ISNUMBER(A363),IFERROR(_xlfn._xlws.FILTER(Equipar!A:A,(Equipar!B:B=2)*(Equipar!AC:AC=A363)),""),"")</f>
        <v/>
      </c>
    </row>
    <row r="364" spans="1:10" x14ac:dyDescent="0.25">
      <c r="A364" s="1" t="str">
        <f ca="1">IF(A363="ID",1,IF(ISBLANK(B364),"",MAX(A$2:A363)+1))</f>
        <v/>
      </c>
      <c r="I364" s="2" t="str">
        <f ca="1">IF(ISNUMBER(A364),
IF(COUNTIFS(Equipar!B:B,2,Equipar!AC:AC,A364),"Equipada",
IF(
  OR(COUNTIFS(Equipar!B:B,2,Equipar!C:C,A364)
 +COUNTIFS(Equipar!B:B,2,Equipar!D:D,A364)
+COUNTIFS(Equipar!B:B,2,Equipar!E:E,A364)
+COUNTIFS(Equipar!B:B,2,Equipar!F:F,A364)
&gt;0,COUNTIF('Set recomendado'!B:B,C364)=0),
"Bloqueada",
"Desechable")),""
)</f>
        <v/>
      </c>
      <c r="J364" t="str" cm="1">
        <f t="array" aca="1" ref="J364" ca="1">IF(ISNUMBER(A364),IFERROR(_xlfn._xlws.FILTER(Equipar!A:A,(Equipar!B:B=2)*(Equipar!AC:AC=A364)),""),"")</f>
        <v/>
      </c>
    </row>
    <row r="365" spans="1:10" x14ac:dyDescent="0.25">
      <c r="A365" s="1" t="str">
        <f ca="1">IF(A364="ID",1,IF(ISBLANK(B365),"",MAX(A$2:A364)+1))</f>
        <v/>
      </c>
      <c r="I365" s="2" t="str">
        <f ca="1">IF(ISNUMBER(A365),
IF(COUNTIFS(Equipar!B:B,2,Equipar!AC:AC,A365),"Equipada",
IF(
  OR(COUNTIFS(Equipar!B:B,2,Equipar!C:C,A365)
 +COUNTIFS(Equipar!B:B,2,Equipar!D:D,A365)
+COUNTIFS(Equipar!B:B,2,Equipar!E:E,A365)
+COUNTIFS(Equipar!B:B,2,Equipar!F:F,A365)
&gt;0,COUNTIF('Set recomendado'!B:B,C365)=0),
"Bloqueada",
"Desechable")),""
)</f>
        <v/>
      </c>
      <c r="J365" t="str" cm="1">
        <f t="array" aca="1" ref="J365" ca="1">IF(ISNUMBER(A365),IFERROR(_xlfn._xlws.FILTER(Equipar!A:A,(Equipar!B:B=2)*(Equipar!AC:AC=A365)),""),"")</f>
        <v/>
      </c>
    </row>
    <row r="366" spans="1:10" x14ac:dyDescent="0.25">
      <c r="A366" s="1" t="str">
        <f ca="1">IF(A365="ID",1,IF(ISBLANK(B366),"",MAX(A$2:A365)+1))</f>
        <v/>
      </c>
      <c r="I366" s="2" t="str">
        <f ca="1">IF(ISNUMBER(A366),
IF(COUNTIFS(Equipar!B:B,2,Equipar!AC:AC,A366),"Equipada",
IF(
  OR(COUNTIFS(Equipar!B:B,2,Equipar!C:C,A366)
 +COUNTIFS(Equipar!B:B,2,Equipar!D:D,A366)
+COUNTIFS(Equipar!B:B,2,Equipar!E:E,A366)
+COUNTIFS(Equipar!B:B,2,Equipar!F:F,A366)
&gt;0,COUNTIF('Set recomendado'!B:B,C366)=0),
"Bloqueada",
"Desechable")),""
)</f>
        <v/>
      </c>
      <c r="J366" t="str" cm="1">
        <f t="array" aca="1" ref="J366" ca="1">IF(ISNUMBER(A366),IFERROR(_xlfn._xlws.FILTER(Equipar!A:A,(Equipar!B:B=2)*(Equipar!AC:AC=A366)),""),"")</f>
        <v/>
      </c>
    </row>
    <row r="367" spans="1:10" x14ac:dyDescent="0.25">
      <c r="A367" s="1" t="str">
        <f ca="1">IF(A366="ID",1,IF(ISBLANK(B367),"",MAX(A$2:A366)+1))</f>
        <v/>
      </c>
      <c r="I367" s="2" t="str">
        <f ca="1">IF(ISNUMBER(A367),
IF(COUNTIFS(Equipar!B:B,2,Equipar!AC:AC,A367),"Equipada",
IF(
  OR(COUNTIFS(Equipar!B:B,2,Equipar!C:C,A367)
 +COUNTIFS(Equipar!B:B,2,Equipar!D:D,A367)
+COUNTIFS(Equipar!B:B,2,Equipar!E:E,A367)
+COUNTIFS(Equipar!B:B,2,Equipar!F:F,A367)
&gt;0,COUNTIF('Set recomendado'!B:B,C367)=0),
"Bloqueada",
"Desechable")),""
)</f>
        <v/>
      </c>
      <c r="J367" t="str" cm="1">
        <f t="array" aca="1" ref="J367" ca="1">IF(ISNUMBER(A367),IFERROR(_xlfn._xlws.FILTER(Equipar!A:A,(Equipar!B:B=2)*(Equipar!AC:AC=A367)),""),"")</f>
        <v/>
      </c>
    </row>
    <row r="368" spans="1:10" x14ac:dyDescent="0.25">
      <c r="A368" s="1" t="str">
        <f ca="1">IF(A367="ID",1,IF(ISBLANK(B368),"",MAX(A$2:A367)+1))</f>
        <v/>
      </c>
      <c r="I368" s="2" t="str">
        <f ca="1">IF(ISNUMBER(A368),
IF(COUNTIFS(Equipar!B:B,2,Equipar!AC:AC,A368),"Equipada",
IF(
  OR(COUNTIFS(Equipar!B:B,2,Equipar!C:C,A368)
 +COUNTIFS(Equipar!B:B,2,Equipar!D:D,A368)
+COUNTIFS(Equipar!B:B,2,Equipar!E:E,A368)
+COUNTIFS(Equipar!B:B,2,Equipar!F:F,A368)
&gt;0,COUNTIF('Set recomendado'!B:B,C368)=0),
"Bloqueada",
"Desechable")),""
)</f>
        <v/>
      </c>
      <c r="J368" t="str" cm="1">
        <f t="array" aca="1" ref="J368" ca="1">IF(ISNUMBER(A368),IFERROR(_xlfn._xlws.FILTER(Equipar!A:A,(Equipar!B:B=2)*(Equipar!AC:AC=A368)),""),"")</f>
        <v/>
      </c>
    </row>
    <row r="369" spans="1:10" x14ac:dyDescent="0.25">
      <c r="A369" s="1" t="str">
        <f ca="1">IF(A368="ID",1,IF(ISBLANK(B369),"",MAX(A$2:A368)+1))</f>
        <v/>
      </c>
      <c r="I369" s="2" t="str">
        <f ca="1">IF(ISNUMBER(A369),
IF(COUNTIFS(Equipar!B:B,2,Equipar!AC:AC,A369),"Equipada",
IF(
  OR(COUNTIFS(Equipar!B:B,2,Equipar!C:C,A369)
 +COUNTIFS(Equipar!B:B,2,Equipar!D:D,A369)
+COUNTIFS(Equipar!B:B,2,Equipar!E:E,A369)
+COUNTIFS(Equipar!B:B,2,Equipar!F:F,A369)
&gt;0,COUNTIF('Set recomendado'!B:B,C369)=0),
"Bloqueada",
"Desechable")),""
)</f>
        <v/>
      </c>
      <c r="J369" t="str" cm="1">
        <f t="array" aca="1" ref="J369" ca="1">IF(ISNUMBER(A369),IFERROR(_xlfn._xlws.FILTER(Equipar!A:A,(Equipar!B:B=2)*(Equipar!AC:AC=A369)),""),"")</f>
        <v/>
      </c>
    </row>
    <row r="370" spans="1:10" x14ac:dyDescent="0.25">
      <c r="A370" s="1" t="str">
        <f ca="1">IF(A369="ID",1,IF(ISBLANK(B370),"",MAX(A$2:A369)+1))</f>
        <v/>
      </c>
      <c r="I370" s="2" t="str">
        <f ca="1">IF(ISNUMBER(A370),
IF(COUNTIFS(Equipar!B:B,2,Equipar!AC:AC,A370),"Equipada",
IF(
  OR(COUNTIFS(Equipar!B:B,2,Equipar!C:C,A370)
 +COUNTIFS(Equipar!B:B,2,Equipar!D:D,A370)
+COUNTIFS(Equipar!B:B,2,Equipar!E:E,A370)
+COUNTIFS(Equipar!B:B,2,Equipar!F:F,A370)
&gt;0,COUNTIF('Set recomendado'!B:B,C370)=0),
"Bloqueada",
"Desechable")),""
)</f>
        <v/>
      </c>
      <c r="J370" t="str" cm="1">
        <f t="array" aca="1" ref="J370" ca="1">IF(ISNUMBER(A370),IFERROR(_xlfn._xlws.FILTER(Equipar!A:A,(Equipar!B:B=2)*(Equipar!AC:AC=A370)),""),"")</f>
        <v/>
      </c>
    </row>
    <row r="371" spans="1:10" x14ac:dyDescent="0.25">
      <c r="A371" s="1" t="str">
        <f ca="1">IF(A370="ID",1,IF(ISBLANK(B371),"",MAX(A$2:A370)+1))</f>
        <v/>
      </c>
      <c r="I371" s="2" t="str">
        <f ca="1">IF(ISNUMBER(A371),
IF(COUNTIFS(Equipar!B:B,2,Equipar!AC:AC,A371),"Equipada",
IF(
  OR(COUNTIFS(Equipar!B:B,2,Equipar!C:C,A371)
 +COUNTIFS(Equipar!B:B,2,Equipar!D:D,A371)
+COUNTIFS(Equipar!B:B,2,Equipar!E:E,A371)
+COUNTIFS(Equipar!B:B,2,Equipar!F:F,A371)
&gt;0,COUNTIF('Set recomendado'!B:B,C371)=0),
"Bloqueada",
"Desechable")),""
)</f>
        <v/>
      </c>
      <c r="J371" t="str" cm="1">
        <f t="array" aca="1" ref="J371" ca="1">IF(ISNUMBER(A371),IFERROR(_xlfn._xlws.FILTER(Equipar!A:A,(Equipar!B:B=2)*(Equipar!AC:AC=A371)),""),"")</f>
        <v/>
      </c>
    </row>
    <row r="372" spans="1:10" x14ac:dyDescent="0.25">
      <c r="A372" s="1" t="str">
        <f ca="1">IF(A371="ID",1,IF(ISBLANK(B372),"",MAX(A$2:A371)+1))</f>
        <v/>
      </c>
      <c r="I372" s="2" t="str">
        <f ca="1">IF(ISNUMBER(A372),
IF(COUNTIFS(Equipar!B:B,2,Equipar!AC:AC,A372),"Equipada",
IF(
  OR(COUNTIFS(Equipar!B:B,2,Equipar!C:C,A372)
 +COUNTIFS(Equipar!B:B,2,Equipar!D:D,A372)
+COUNTIFS(Equipar!B:B,2,Equipar!E:E,A372)
+COUNTIFS(Equipar!B:B,2,Equipar!F:F,A372)
&gt;0,COUNTIF('Set recomendado'!B:B,C372)=0),
"Bloqueada",
"Desechable")),""
)</f>
        <v/>
      </c>
      <c r="J372" t="str" cm="1">
        <f t="array" aca="1" ref="J372" ca="1">IF(ISNUMBER(A372),IFERROR(_xlfn._xlws.FILTER(Equipar!A:A,(Equipar!B:B=2)*(Equipar!AC:AC=A372)),""),"")</f>
        <v/>
      </c>
    </row>
    <row r="373" spans="1:10" x14ac:dyDescent="0.25">
      <c r="A373" s="1" t="str">
        <f ca="1">IF(A372="ID",1,IF(ISBLANK(B373),"",MAX(A$2:A372)+1))</f>
        <v/>
      </c>
      <c r="I373" s="2" t="str">
        <f ca="1">IF(ISNUMBER(A373),
IF(COUNTIFS(Equipar!B:B,2,Equipar!AC:AC,A373),"Equipada",
IF(
  OR(COUNTIFS(Equipar!B:B,2,Equipar!C:C,A373)
 +COUNTIFS(Equipar!B:B,2,Equipar!D:D,A373)
+COUNTIFS(Equipar!B:B,2,Equipar!E:E,A373)
+COUNTIFS(Equipar!B:B,2,Equipar!F:F,A373)
&gt;0,COUNTIF('Set recomendado'!B:B,C373)=0),
"Bloqueada",
"Desechable")),""
)</f>
        <v/>
      </c>
      <c r="J373" t="str" cm="1">
        <f t="array" aca="1" ref="J373" ca="1">IF(ISNUMBER(A373),IFERROR(_xlfn._xlws.FILTER(Equipar!A:A,(Equipar!B:B=2)*(Equipar!AC:AC=A373)),""),"")</f>
        <v/>
      </c>
    </row>
    <row r="374" spans="1:10" x14ac:dyDescent="0.25">
      <c r="A374" s="1" t="str">
        <f ca="1">IF(A373="ID",1,IF(ISBLANK(B374),"",MAX(A$2:A373)+1))</f>
        <v/>
      </c>
      <c r="I374" s="2" t="str">
        <f ca="1">IF(ISNUMBER(A374),
IF(COUNTIFS(Equipar!B:B,2,Equipar!AC:AC,A374),"Equipada",
IF(
  OR(COUNTIFS(Equipar!B:B,2,Equipar!C:C,A374)
 +COUNTIFS(Equipar!B:B,2,Equipar!D:D,A374)
+COUNTIFS(Equipar!B:B,2,Equipar!E:E,A374)
+COUNTIFS(Equipar!B:B,2,Equipar!F:F,A374)
&gt;0,COUNTIF('Set recomendado'!B:B,C374)=0),
"Bloqueada",
"Desechable")),""
)</f>
        <v/>
      </c>
      <c r="J374" t="str" cm="1">
        <f t="array" aca="1" ref="J374" ca="1">IF(ISNUMBER(A374),IFERROR(_xlfn._xlws.FILTER(Equipar!A:A,(Equipar!B:B=2)*(Equipar!AC:AC=A374)),""),"")</f>
        <v/>
      </c>
    </row>
    <row r="375" spans="1:10" x14ac:dyDescent="0.25">
      <c r="A375" s="1" t="str">
        <f ca="1">IF(A374="ID",1,IF(ISBLANK(B375),"",MAX(A$2:A374)+1))</f>
        <v/>
      </c>
      <c r="I375" s="2" t="str">
        <f ca="1">IF(ISNUMBER(A375),
IF(COUNTIFS(Equipar!B:B,2,Equipar!AC:AC,A375),"Equipada",
IF(
  OR(COUNTIFS(Equipar!B:B,2,Equipar!C:C,A375)
 +COUNTIFS(Equipar!B:B,2,Equipar!D:D,A375)
+COUNTIFS(Equipar!B:B,2,Equipar!E:E,A375)
+COUNTIFS(Equipar!B:B,2,Equipar!F:F,A375)
&gt;0,COUNTIF('Set recomendado'!B:B,C375)=0),
"Bloqueada",
"Desechable")),""
)</f>
        <v/>
      </c>
      <c r="J375" t="str" cm="1">
        <f t="array" aca="1" ref="J375" ca="1">IF(ISNUMBER(A375),IFERROR(_xlfn._xlws.FILTER(Equipar!A:A,(Equipar!B:B=2)*(Equipar!AC:AC=A375)),""),"")</f>
        <v/>
      </c>
    </row>
    <row r="376" spans="1:10" x14ac:dyDescent="0.25">
      <c r="A376" s="1" t="str">
        <f ca="1">IF(A375="ID",1,IF(ISBLANK(B376),"",MAX(A$2:A375)+1))</f>
        <v/>
      </c>
      <c r="I376" s="2" t="str">
        <f ca="1">IF(ISNUMBER(A376),
IF(COUNTIFS(Equipar!B:B,2,Equipar!AC:AC,A376),"Equipada",
IF(
  OR(COUNTIFS(Equipar!B:B,2,Equipar!C:C,A376)
 +COUNTIFS(Equipar!B:B,2,Equipar!D:D,A376)
+COUNTIFS(Equipar!B:B,2,Equipar!E:E,A376)
+COUNTIFS(Equipar!B:B,2,Equipar!F:F,A376)
&gt;0,COUNTIF('Set recomendado'!B:B,C376)=0),
"Bloqueada",
"Desechable")),""
)</f>
        <v/>
      </c>
      <c r="J376" t="str" cm="1">
        <f t="array" aca="1" ref="J376" ca="1">IF(ISNUMBER(A376),IFERROR(_xlfn._xlws.FILTER(Equipar!A:A,(Equipar!B:B=2)*(Equipar!AC:AC=A376)),""),"")</f>
        <v/>
      </c>
    </row>
    <row r="377" spans="1:10" x14ac:dyDescent="0.25">
      <c r="A377" s="1" t="str">
        <f ca="1">IF(A376="ID",1,IF(ISBLANK(B377),"",MAX(A$2:A376)+1))</f>
        <v/>
      </c>
      <c r="I377" s="2" t="str">
        <f ca="1">IF(ISNUMBER(A377),
IF(COUNTIFS(Equipar!B:B,2,Equipar!AC:AC,A377),"Equipada",
IF(
  OR(COUNTIFS(Equipar!B:B,2,Equipar!C:C,A377)
 +COUNTIFS(Equipar!B:B,2,Equipar!D:D,A377)
+COUNTIFS(Equipar!B:B,2,Equipar!E:E,A377)
+COUNTIFS(Equipar!B:B,2,Equipar!F:F,A377)
&gt;0,COUNTIF('Set recomendado'!B:B,C377)=0),
"Bloqueada",
"Desechable")),""
)</f>
        <v/>
      </c>
      <c r="J377" t="str" cm="1">
        <f t="array" aca="1" ref="J377" ca="1">IF(ISNUMBER(A377),IFERROR(_xlfn._xlws.FILTER(Equipar!A:A,(Equipar!B:B=2)*(Equipar!AC:AC=A377)),""),"")</f>
        <v/>
      </c>
    </row>
    <row r="378" spans="1:10" x14ac:dyDescent="0.25">
      <c r="A378" s="1" t="str">
        <f ca="1">IF(A377="ID",1,IF(ISBLANK(B378),"",MAX(A$2:A377)+1))</f>
        <v/>
      </c>
      <c r="I378" s="2" t="str">
        <f ca="1">IF(ISNUMBER(A378),
IF(COUNTIFS(Equipar!B:B,2,Equipar!AC:AC,A378),"Equipada",
IF(
  OR(COUNTIFS(Equipar!B:B,2,Equipar!C:C,A378)
 +COUNTIFS(Equipar!B:B,2,Equipar!D:D,A378)
+COUNTIFS(Equipar!B:B,2,Equipar!E:E,A378)
+COUNTIFS(Equipar!B:B,2,Equipar!F:F,A378)
&gt;0,COUNTIF('Set recomendado'!B:B,C378)=0),
"Bloqueada",
"Desechable")),""
)</f>
        <v/>
      </c>
      <c r="J378" t="str" cm="1">
        <f t="array" aca="1" ref="J378" ca="1">IF(ISNUMBER(A378),IFERROR(_xlfn._xlws.FILTER(Equipar!A:A,(Equipar!B:B=2)*(Equipar!AC:AC=A378)),""),"")</f>
        <v/>
      </c>
    </row>
    <row r="379" spans="1:10" x14ac:dyDescent="0.25">
      <c r="A379" s="1" t="str">
        <f ca="1">IF(A378="ID",1,IF(ISBLANK(B379),"",MAX(A$2:A378)+1))</f>
        <v/>
      </c>
      <c r="I379" s="2" t="str">
        <f ca="1">IF(ISNUMBER(A379),
IF(COUNTIFS(Equipar!B:B,2,Equipar!AC:AC,A379),"Equipada",
IF(
  OR(COUNTIFS(Equipar!B:B,2,Equipar!C:C,A379)
 +COUNTIFS(Equipar!B:B,2,Equipar!D:D,A379)
+COUNTIFS(Equipar!B:B,2,Equipar!E:E,A379)
+COUNTIFS(Equipar!B:B,2,Equipar!F:F,A379)
&gt;0,COUNTIF('Set recomendado'!B:B,C379)=0),
"Bloqueada",
"Desechable")),""
)</f>
        <v/>
      </c>
      <c r="J379" t="str" cm="1">
        <f t="array" aca="1" ref="J379" ca="1">IF(ISNUMBER(A379),IFERROR(_xlfn._xlws.FILTER(Equipar!A:A,(Equipar!B:B=2)*(Equipar!AC:AC=A379)),""),"")</f>
        <v/>
      </c>
    </row>
    <row r="380" spans="1:10" x14ac:dyDescent="0.25">
      <c r="A380" s="1" t="str">
        <f ca="1">IF(A379="ID",1,IF(ISBLANK(B380),"",MAX(A$2:A379)+1))</f>
        <v/>
      </c>
      <c r="I380" s="2" t="str">
        <f ca="1">IF(ISNUMBER(A380),
IF(COUNTIFS(Equipar!B:B,2,Equipar!AC:AC,A380),"Equipada",
IF(
  OR(COUNTIFS(Equipar!B:B,2,Equipar!C:C,A380)
 +COUNTIFS(Equipar!B:B,2,Equipar!D:D,A380)
+COUNTIFS(Equipar!B:B,2,Equipar!E:E,A380)
+COUNTIFS(Equipar!B:B,2,Equipar!F:F,A380)
&gt;0,COUNTIF('Set recomendado'!B:B,C380)=0),
"Bloqueada",
"Desechable")),""
)</f>
        <v/>
      </c>
      <c r="J380" t="str" cm="1">
        <f t="array" aca="1" ref="J380" ca="1">IF(ISNUMBER(A380),IFERROR(_xlfn._xlws.FILTER(Equipar!A:A,(Equipar!B:B=2)*(Equipar!AC:AC=A380)),""),"")</f>
        <v/>
      </c>
    </row>
    <row r="381" spans="1:10" x14ac:dyDescent="0.25">
      <c r="A381" s="1" t="str">
        <f ca="1">IF(A380="ID",1,IF(ISBLANK(B381),"",MAX(A$2:A380)+1))</f>
        <v/>
      </c>
      <c r="I381" s="2" t="str">
        <f ca="1">IF(ISNUMBER(A381),
IF(COUNTIFS(Equipar!B:B,2,Equipar!AC:AC,A381),"Equipada",
IF(
  OR(COUNTIFS(Equipar!B:B,2,Equipar!C:C,A381)
 +COUNTIFS(Equipar!B:B,2,Equipar!D:D,A381)
+COUNTIFS(Equipar!B:B,2,Equipar!E:E,A381)
+COUNTIFS(Equipar!B:B,2,Equipar!F:F,A381)
&gt;0,COUNTIF('Set recomendado'!B:B,C381)=0),
"Bloqueada",
"Desechable")),""
)</f>
        <v/>
      </c>
      <c r="J381" t="str" cm="1">
        <f t="array" aca="1" ref="J381" ca="1">IF(ISNUMBER(A381),IFERROR(_xlfn._xlws.FILTER(Equipar!A:A,(Equipar!B:B=2)*(Equipar!AC:AC=A381)),""),"")</f>
        <v/>
      </c>
    </row>
    <row r="382" spans="1:10" x14ac:dyDescent="0.25">
      <c r="A382" s="1" t="str">
        <f ca="1">IF(A381="ID",1,IF(ISBLANK(B382),"",MAX(A$2:A381)+1))</f>
        <v/>
      </c>
      <c r="I382" s="2" t="str">
        <f ca="1">IF(ISNUMBER(A382),
IF(COUNTIFS(Equipar!B:B,2,Equipar!AC:AC,A382),"Equipada",
IF(
  OR(COUNTIFS(Equipar!B:B,2,Equipar!C:C,A382)
 +COUNTIFS(Equipar!B:B,2,Equipar!D:D,A382)
+COUNTIFS(Equipar!B:B,2,Equipar!E:E,A382)
+COUNTIFS(Equipar!B:B,2,Equipar!F:F,A382)
&gt;0,COUNTIF('Set recomendado'!B:B,C382)=0),
"Bloqueada",
"Desechable")),""
)</f>
        <v/>
      </c>
      <c r="J382" t="str" cm="1">
        <f t="array" aca="1" ref="J382" ca="1">IF(ISNUMBER(A382),IFERROR(_xlfn._xlws.FILTER(Equipar!A:A,(Equipar!B:B=2)*(Equipar!AC:AC=A382)),""),"")</f>
        <v/>
      </c>
    </row>
    <row r="383" spans="1:10" x14ac:dyDescent="0.25">
      <c r="A383" s="1" t="str">
        <f ca="1">IF(A382="ID",1,IF(ISBLANK(B383),"",MAX(A$2:A382)+1))</f>
        <v/>
      </c>
      <c r="I383" s="2" t="str">
        <f ca="1">IF(ISNUMBER(A383),
IF(COUNTIFS(Equipar!B:B,2,Equipar!AC:AC,A383),"Equipada",
IF(
  OR(COUNTIFS(Equipar!B:B,2,Equipar!C:C,A383)
 +COUNTIFS(Equipar!B:B,2,Equipar!D:D,A383)
+COUNTIFS(Equipar!B:B,2,Equipar!E:E,A383)
+COUNTIFS(Equipar!B:B,2,Equipar!F:F,A383)
&gt;0,COUNTIF('Set recomendado'!B:B,C383)=0),
"Bloqueada",
"Desechable")),""
)</f>
        <v/>
      </c>
      <c r="J383" t="str" cm="1">
        <f t="array" aca="1" ref="J383" ca="1">IF(ISNUMBER(A383),IFERROR(_xlfn._xlws.FILTER(Equipar!A:A,(Equipar!B:B=2)*(Equipar!AC:AC=A383)),""),"")</f>
        <v/>
      </c>
    </row>
    <row r="384" spans="1:10" x14ac:dyDescent="0.25">
      <c r="A384" s="1" t="str">
        <f ca="1">IF(A383="ID",1,IF(ISBLANK(B384),"",MAX(A$2:A383)+1))</f>
        <v/>
      </c>
      <c r="I384" s="2" t="str">
        <f ca="1">IF(ISNUMBER(A384),
IF(COUNTIFS(Equipar!B:B,2,Equipar!AC:AC,A384),"Equipada",
IF(
  OR(COUNTIFS(Equipar!B:B,2,Equipar!C:C,A384)
 +COUNTIFS(Equipar!B:B,2,Equipar!D:D,A384)
+COUNTIFS(Equipar!B:B,2,Equipar!E:E,A384)
+COUNTIFS(Equipar!B:B,2,Equipar!F:F,A384)
&gt;0,COUNTIF('Set recomendado'!B:B,C384)=0),
"Bloqueada",
"Desechable")),""
)</f>
        <v/>
      </c>
      <c r="J384" t="str" cm="1">
        <f t="array" aca="1" ref="J384" ca="1">IF(ISNUMBER(A384),IFERROR(_xlfn._xlws.FILTER(Equipar!A:A,(Equipar!B:B=2)*(Equipar!AC:AC=A384)),""),"")</f>
        <v/>
      </c>
    </row>
    <row r="385" spans="1:10" x14ac:dyDescent="0.25">
      <c r="A385" s="1" t="str">
        <f ca="1">IF(A384="ID",1,IF(ISBLANK(B385),"",MAX(A$2:A384)+1))</f>
        <v/>
      </c>
      <c r="I385" s="2" t="str">
        <f ca="1">IF(ISNUMBER(A385),
IF(COUNTIFS(Equipar!B:B,2,Equipar!AC:AC,A385),"Equipada",
IF(
  OR(COUNTIFS(Equipar!B:B,2,Equipar!C:C,A385)
 +COUNTIFS(Equipar!B:B,2,Equipar!D:D,A385)
+COUNTIFS(Equipar!B:B,2,Equipar!E:E,A385)
+COUNTIFS(Equipar!B:B,2,Equipar!F:F,A385)
&gt;0,COUNTIF('Set recomendado'!B:B,C385)=0),
"Bloqueada",
"Desechable")),""
)</f>
        <v/>
      </c>
      <c r="J385" t="str" cm="1">
        <f t="array" aca="1" ref="J385" ca="1">IF(ISNUMBER(A385),IFERROR(_xlfn._xlws.FILTER(Equipar!A:A,(Equipar!B:B=2)*(Equipar!AC:AC=A385)),""),"")</f>
        <v/>
      </c>
    </row>
    <row r="386" spans="1:10" x14ac:dyDescent="0.25">
      <c r="A386" s="1" t="str">
        <f ca="1">IF(A385="ID",1,IF(ISBLANK(B386),"",MAX(A$2:A385)+1))</f>
        <v/>
      </c>
      <c r="I386" s="2" t="str">
        <f ca="1">IF(ISNUMBER(A386),
IF(COUNTIFS(Equipar!B:B,2,Equipar!AC:AC,A386),"Equipada",
IF(
  OR(COUNTIFS(Equipar!B:B,2,Equipar!C:C,A386)
 +COUNTIFS(Equipar!B:B,2,Equipar!D:D,A386)
+COUNTIFS(Equipar!B:B,2,Equipar!E:E,A386)
+COUNTIFS(Equipar!B:B,2,Equipar!F:F,A386)
&gt;0,COUNTIF('Set recomendado'!B:B,C386)=0),
"Bloqueada",
"Desechable")),""
)</f>
        <v/>
      </c>
      <c r="J386" t="str" cm="1">
        <f t="array" aca="1" ref="J386" ca="1">IF(ISNUMBER(A386),IFERROR(_xlfn._xlws.FILTER(Equipar!A:A,(Equipar!B:B=2)*(Equipar!AC:AC=A386)),""),"")</f>
        <v/>
      </c>
    </row>
    <row r="387" spans="1:10" x14ac:dyDescent="0.25">
      <c r="A387" s="1" t="str">
        <f ca="1">IF(A386="ID",1,IF(ISBLANK(B387),"",MAX(A$2:A386)+1))</f>
        <v/>
      </c>
      <c r="I387" s="2" t="str">
        <f ca="1">IF(ISNUMBER(A387),
IF(COUNTIFS(Equipar!B:B,2,Equipar!AC:AC,A387),"Equipada",
IF(
  OR(COUNTIFS(Equipar!B:B,2,Equipar!C:C,A387)
 +COUNTIFS(Equipar!B:B,2,Equipar!D:D,A387)
+COUNTIFS(Equipar!B:B,2,Equipar!E:E,A387)
+COUNTIFS(Equipar!B:B,2,Equipar!F:F,A387)
&gt;0,COUNTIF('Set recomendado'!B:B,C387)=0),
"Bloqueada",
"Desechable")),""
)</f>
        <v/>
      </c>
      <c r="J387" t="str" cm="1">
        <f t="array" aca="1" ref="J387" ca="1">IF(ISNUMBER(A387),IFERROR(_xlfn._xlws.FILTER(Equipar!A:A,(Equipar!B:B=2)*(Equipar!AC:AC=A387)),""),"")</f>
        <v/>
      </c>
    </row>
    <row r="388" spans="1:10" x14ac:dyDescent="0.25">
      <c r="A388" s="1" t="str">
        <f ca="1">IF(A387="ID",1,IF(ISBLANK(B388),"",MAX(A$2:A387)+1))</f>
        <v/>
      </c>
      <c r="I388" s="2" t="str">
        <f ca="1">IF(ISNUMBER(A388),
IF(COUNTIFS(Equipar!B:B,2,Equipar!AC:AC,A388),"Equipada",
IF(
  OR(COUNTIFS(Equipar!B:B,2,Equipar!C:C,A388)
 +COUNTIFS(Equipar!B:B,2,Equipar!D:D,A388)
+COUNTIFS(Equipar!B:B,2,Equipar!E:E,A388)
+COUNTIFS(Equipar!B:B,2,Equipar!F:F,A388)
&gt;0,COUNTIF('Set recomendado'!B:B,C388)=0),
"Bloqueada",
"Desechable")),""
)</f>
        <v/>
      </c>
      <c r="J388" t="str" cm="1">
        <f t="array" aca="1" ref="J388" ca="1">IF(ISNUMBER(A388),IFERROR(_xlfn._xlws.FILTER(Equipar!A:A,(Equipar!B:B=2)*(Equipar!AC:AC=A388)),""),"")</f>
        <v/>
      </c>
    </row>
    <row r="389" spans="1:10" x14ac:dyDescent="0.25">
      <c r="A389" s="1" t="str">
        <f ca="1">IF(A388="ID",1,IF(ISBLANK(B389),"",MAX(A$2:A388)+1))</f>
        <v/>
      </c>
      <c r="I389" s="2" t="str">
        <f ca="1">IF(ISNUMBER(A389),
IF(COUNTIFS(Equipar!B:B,2,Equipar!AC:AC,A389),"Equipada",
IF(
  OR(COUNTIFS(Equipar!B:B,2,Equipar!C:C,A389)
 +COUNTIFS(Equipar!B:B,2,Equipar!D:D,A389)
+COUNTIFS(Equipar!B:B,2,Equipar!E:E,A389)
+COUNTIFS(Equipar!B:B,2,Equipar!F:F,A389)
&gt;0,COUNTIF('Set recomendado'!B:B,C389)=0),
"Bloqueada",
"Desechable")),""
)</f>
        <v/>
      </c>
      <c r="J389" t="str" cm="1">
        <f t="array" aca="1" ref="J389" ca="1">IF(ISNUMBER(A389),IFERROR(_xlfn._xlws.FILTER(Equipar!A:A,(Equipar!B:B=2)*(Equipar!AC:AC=A389)),""),"")</f>
        <v/>
      </c>
    </row>
    <row r="390" spans="1:10" x14ac:dyDescent="0.25">
      <c r="A390" s="1" t="str">
        <f ca="1">IF(A389="ID",1,IF(ISBLANK(B390),"",MAX(A$2:A389)+1))</f>
        <v/>
      </c>
      <c r="I390" s="2" t="str">
        <f ca="1">IF(ISNUMBER(A390),
IF(COUNTIFS(Equipar!B:B,2,Equipar!AC:AC,A390),"Equipada",
IF(
  OR(COUNTIFS(Equipar!B:B,2,Equipar!C:C,A390)
 +COUNTIFS(Equipar!B:B,2,Equipar!D:D,A390)
+COUNTIFS(Equipar!B:B,2,Equipar!E:E,A390)
+COUNTIFS(Equipar!B:B,2,Equipar!F:F,A390)
&gt;0,COUNTIF('Set recomendado'!B:B,C390)=0),
"Bloqueada",
"Desechable")),""
)</f>
        <v/>
      </c>
      <c r="J390" t="str" cm="1">
        <f t="array" aca="1" ref="J390" ca="1">IF(ISNUMBER(A390),IFERROR(_xlfn._xlws.FILTER(Equipar!A:A,(Equipar!B:B=2)*(Equipar!AC:AC=A390)),""),"")</f>
        <v/>
      </c>
    </row>
    <row r="391" spans="1:10" x14ac:dyDescent="0.25">
      <c r="A391" s="1" t="str">
        <f ca="1">IF(A390="ID",1,IF(ISBLANK(B391),"",MAX(A$2:A390)+1))</f>
        <v/>
      </c>
      <c r="I391" s="2" t="str">
        <f ca="1">IF(ISNUMBER(A391),
IF(COUNTIFS(Equipar!B:B,2,Equipar!AC:AC,A391),"Equipada",
IF(
  OR(COUNTIFS(Equipar!B:B,2,Equipar!C:C,A391)
 +COUNTIFS(Equipar!B:B,2,Equipar!D:D,A391)
+COUNTIFS(Equipar!B:B,2,Equipar!E:E,A391)
+COUNTIFS(Equipar!B:B,2,Equipar!F:F,A391)
&gt;0,COUNTIF('Set recomendado'!B:B,C391)=0),
"Bloqueada",
"Desechable")),""
)</f>
        <v/>
      </c>
      <c r="J391" t="str" cm="1">
        <f t="array" aca="1" ref="J391" ca="1">IF(ISNUMBER(A391),IFERROR(_xlfn._xlws.FILTER(Equipar!A:A,(Equipar!B:B=2)*(Equipar!AC:AC=A391)),""),"")</f>
        <v/>
      </c>
    </row>
    <row r="392" spans="1:10" x14ac:dyDescent="0.25">
      <c r="A392" s="1" t="str">
        <f ca="1">IF(A391="ID",1,IF(ISBLANK(B392),"",MAX(A$2:A391)+1))</f>
        <v/>
      </c>
      <c r="I392" s="2" t="str">
        <f ca="1">IF(ISNUMBER(A392),
IF(COUNTIFS(Equipar!B:B,2,Equipar!AC:AC,A392),"Equipada",
IF(
  OR(COUNTIFS(Equipar!B:B,2,Equipar!C:C,A392)
 +COUNTIFS(Equipar!B:B,2,Equipar!D:D,A392)
+COUNTIFS(Equipar!B:B,2,Equipar!E:E,A392)
+COUNTIFS(Equipar!B:B,2,Equipar!F:F,A392)
&gt;0,COUNTIF('Set recomendado'!B:B,C392)=0),
"Bloqueada",
"Desechable")),""
)</f>
        <v/>
      </c>
      <c r="J392" t="str" cm="1">
        <f t="array" aca="1" ref="J392" ca="1">IF(ISNUMBER(A392),IFERROR(_xlfn._xlws.FILTER(Equipar!A:A,(Equipar!B:B=2)*(Equipar!AC:AC=A392)),""),"")</f>
        <v/>
      </c>
    </row>
    <row r="393" spans="1:10" x14ac:dyDescent="0.25">
      <c r="A393" s="1" t="str">
        <f ca="1">IF(A392="ID",1,IF(ISBLANK(B393),"",MAX(A$2:A392)+1))</f>
        <v/>
      </c>
      <c r="I393" s="2" t="str">
        <f ca="1">IF(ISNUMBER(A393),
IF(COUNTIFS(Equipar!B:B,2,Equipar!AC:AC,A393),"Equipada",
IF(
  OR(COUNTIFS(Equipar!B:B,2,Equipar!C:C,A393)
 +COUNTIFS(Equipar!B:B,2,Equipar!D:D,A393)
+COUNTIFS(Equipar!B:B,2,Equipar!E:E,A393)
+COUNTIFS(Equipar!B:B,2,Equipar!F:F,A393)
&gt;0,COUNTIF('Set recomendado'!B:B,C393)=0),
"Bloqueada",
"Desechable")),""
)</f>
        <v/>
      </c>
      <c r="J393" t="str" cm="1">
        <f t="array" aca="1" ref="J393" ca="1">IF(ISNUMBER(A393),IFERROR(_xlfn._xlws.FILTER(Equipar!A:A,(Equipar!B:B=2)*(Equipar!AC:AC=A393)),""),"")</f>
        <v/>
      </c>
    </row>
    <row r="394" spans="1:10" x14ac:dyDescent="0.25">
      <c r="A394" s="1" t="str">
        <f ca="1">IF(A393="ID",1,IF(ISBLANK(B394),"",MAX(A$2:A393)+1))</f>
        <v/>
      </c>
      <c r="I394" s="2" t="str">
        <f ca="1">IF(ISNUMBER(A394),
IF(COUNTIFS(Equipar!B:B,2,Equipar!AC:AC,A394),"Equipada",
IF(
  OR(COUNTIFS(Equipar!B:B,2,Equipar!C:C,A394)
 +COUNTIFS(Equipar!B:B,2,Equipar!D:D,A394)
+COUNTIFS(Equipar!B:B,2,Equipar!E:E,A394)
+COUNTIFS(Equipar!B:B,2,Equipar!F:F,A394)
&gt;0,COUNTIF('Set recomendado'!B:B,C394)=0),
"Bloqueada",
"Desechable")),""
)</f>
        <v/>
      </c>
      <c r="J394" t="str" cm="1">
        <f t="array" aca="1" ref="J394" ca="1">IF(ISNUMBER(A394),IFERROR(_xlfn._xlws.FILTER(Equipar!A:A,(Equipar!B:B=2)*(Equipar!AC:AC=A394)),""),"")</f>
        <v/>
      </c>
    </row>
    <row r="395" spans="1:10" x14ac:dyDescent="0.25">
      <c r="A395" s="1" t="str">
        <f ca="1">IF(A394="ID",1,IF(ISBLANK(B395),"",MAX(A$2:A394)+1))</f>
        <v/>
      </c>
      <c r="I395" s="2" t="str">
        <f ca="1">IF(ISNUMBER(A395),
IF(COUNTIFS(Equipar!B:B,2,Equipar!AC:AC,A395),"Equipada",
IF(
  OR(COUNTIFS(Equipar!B:B,2,Equipar!C:C,A395)
 +COUNTIFS(Equipar!B:B,2,Equipar!D:D,A395)
+COUNTIFS(Equipar!B:B,2,Equipar!E:E,A395)
+COUNTIFS(Equipar!B:B,2,Equipar!F:F,A395)
&gt;0,COUNTIF('Set recomendado'!B:B,C395)=0),
"Bloqueada",
"Desechable")),""
)</f>
        <v/>
      </c>
      <c r="J395" t="str" cm="1">
        <f t="array" aca="1" ref="J395" ca="1">IF(ISNUMBER(A395),IFERROR(_xlfn._xlws.FILTER(Equipar!A:A,(Equipar!B:B=2)*(Equipar!AC:AC=A395)),""),"")</f>
        <v/>
      </c>
    </row>
    <row r="396" spans="1:10" x14ac:dyDescent="0.25">
      <c r="A396" s="1" t="str">
        <f ca="1">IF(A395="ID",1,IF(ISBLANK(B396),"",MAX(A$2:A395)+1))</f>
        <v/>
      </c>
      <c r="I396" s="2" t="str">
        <f ca="1">IF(ISNUMBER(A396),
IF(COUNTIFS(Equipar!B:B,2,Equipar!AC:AC,A396),"Equipada",
IF(
  OR(COUNTIFS(Equipar!B:B,2,Equipar!C:C,A396)
 +COUNTIFS(Equipar!B:B,2,Equipar!D:D,A396)
+COUNTIFS(Equipar!B:B,2,Equipar!E:E,A396)
+COUNTIFS(Equipar!B:B,2,Equipar!F:F,A396)
&gt;0,COUNTIF('Set recomendado'!B:B,C396)=0),
"Bloqueada",
"Desechable")),""
)</f>
        <v/>
      </c>
      <c r="J396" t="str" cm="1">
        <f t="array" aca="1" ref="J396" ca="1">IF(ISNUMBER(A396),IFERROR(_xlfn._xlws.FILTER(Equipar!A:A,(Equipar!B:B=2)*(Equipar!AC:AC=A396)),""),"")</f>
        <v/>
      </c>
    </row>
    <row r="397" spans="1:10" x14ac:dyDescent="0.25">
      <c r="A397" s="1" t="str">
        <f ca="1">IF(A396="ID",1,IF(ISBLANK(B397),"",MAX(A$2:A396)+1))</f>
        <v/>
      </c>
      <c r="I397" s="2" t="str">
        <f ca="1">IF(ISNUMBER(A397),
IF(COUNTIFS(Equipar!B:B,2,Equipar!AC:AC,A397),"Equipada",
IF(
  OR(COUNTIFS(Equipar!B:B,2,Equipar!C:C,A397)
 +COUNTIFS(Equipar!B:B,2,Equipar!D:D,A397)
+COUNTIFS(Equipar!B:B,2,Equipar!E:E,A397)
+COUNTIFS(Equipar!B:B,2,Equipar!F:F,A397)
&gt;0,COUNTIF('Set recomendado'!B:B,C397)=0),
"Bloqueada",
"Desechable")),""
)</f>
        <v/>
      </c>
      <c r="J397" t="str" cm="1">
        <f t="array" aca="1" ref="J397" ca="1">IF(ISNUMBER(A397),IFERROR(_xlfn._xlws.FILTER(Equipar!A:A,(Equipar!B:B=2)*(Equipar!AC:AC=A397)),""),"")</f>
        <v/>
      </c>
    </row>
    <row r="398" spans="1:10" x14ac:dyDescent="0.25">
      <c r="A398" s="1" t="str">
        <f ca="1">IF(A397="ID",1,IF(ISBLANK(B398),"",MAX(A$2:A397)+1))</f>
        <v/>
      </c>
      <c r="I398" s="2" t="str">
        <f ca="1">IF(ISNUMBER(A398),
IF(COUNTIFS(Equipar!B:B,2,Equipar!AC:AC,A398),"Equipada",
IF(
  OR(COUNTIFS(Equipar!B:B,2,Equipar!C:C,A398)
 +COUNTIFS(Equipar!B:B,2,Equipar!D:D,A398)
+COUNTIFS(Equipar!B:B,2,Equipar!E:E,A398)
+COUNTIFS(Equipar!B:B,2,Equipar!F:F,A398)
&gt;0,COUNTIF('Set recomendado'!B:B,C398)=0),
"Bloqueada",
"Desechable")),""
)</f>
        <v/>
      </c>
      <c r="J398" t="str" cm="1">
        <f t="array" aca="1" ref="J398" ca="1">IF(ISNUMBER(A398),IFERROR(_xlfn._xlws.FILTER(Equipar!A:A,(Equipar!B:B=2)*(Equipar!AC:AC=A398)),""),"")</f>
        <v/>
      </c>
    </row>
    <row r="399" spans="1:10" x14ac:dyDescent="0.25">
      <c r="A399" s="1" t="str">
        <f ca="1">IF(A398="ID",1,IF(ISBLANK(B399),"",MAX(A$2:A398)+1))</f>
        <v/>
      </c>
      <c r="I399" s="2" t="str">
        <f ca="1">IF(ISNUMBER(A399),
IF(COUNTIFS(Equipar!B:B,2,Equipar!AC:AC,A399),"Equipada",
IF(
  OR(COUNTIFS(Equipar!B:B,2,Equipar!C:C,A399)
 +COUNTIFS(Equipar!B:B,2,Equipar!D:D,A399)
+COUNTIFS(Equipar!B:B,2,Equipar!E:E,A399)
+COUNTIFS(Equipar!B:B,2,Equipar!F:F,A399)
&gt;0,COUNTIF('Set recomendado'!B:B,C399)=0),
"Bloqueada",
"Desechable")),""
)</f>
        <v/>
      </c>
      <c r="J399" t="str" cm="1">
        <f t="array" aca="1" ref="J399" ca="1">IF(ISNUMBER(A399),IFERROR(_xlfn._xlws.FILTER(Equipar!A:A,(Equipar!B:B=2)*(Equipar!AC:AC=A399)),""),"")</f>
        <v/>
      </c>
    </row>
    <row r="400" spans="1:10" x14ac:dyDescent="0.25">
      <c r="A400" s="1" t="str">
        <f ca="1">IF(A399="ID",1,IF(ISBLANK(B400),"",MAX(A$2:A399)+1))</f>
        <v/>
      </c>
      <c r="I400" s="2" t="str">
        <f ca="1">IF(ISNUMBER(A400),
IF(COUNTIFS(Equipar!B:B,2,Equipar!AC:AC,A400),"Equipada",
IF(
  OR(COUNTIFS(Equipar!B:B,2,Equipar!C:C,A400)
 +COUNTIFS(Equipar!B:B,2,Equipar!D:D,A400)
+COUNTIFS(Equipar!B:B,2,Equipar!E:E,A400)
+COUNTIFS(Equipar!B:B,2,Equipar!F:F,A400)
&gt;0,COUNTIF('Set recomendado'!B:B,C400)=0),
"Bloqueada",
"Desechable")),""
)</f>
        <v/>
      </c>
      <c r="J400" t="str" cm="1">
        <f t="array" aca="1" ref="J400" ca="1">IF(ISNUMBER(A400),IFERROR(_xlfn._xlws.FILTER(Equipar!A:A,(Equipar!B:B=2)*(Equipar!AC:AC=A400)),""),"")</f>
        <v/>
      </c>
    </row>
    <row r="401" spans="1:10" x14ac:dyDescent="0.25">
      <c r="A401" s="1" t="str">
        <f ca="1">IF(A400="ID",1,IF(ISBLANK(B401),"",MAX(A$2:A400)+1))</f>
        <v/>
      </c>
      <c r="I401" s="2" t="str">
        <f ca="1">IF(ISNUMBER(A401),
IF(COUNTIFS(Equipar!B:B,2,Equipar!AC:AC,A401),"Equipada",
IF(
  OR(COUNTIFS(Equipar!B:B,2,Equipar!C:C,A401)
 +COUNTIFS(Equipar!B:B,2,Equipar!D:D,A401)
+COUNTIFS(Equipar!B:B,2,Equipar!E:E,A401)
+COUNTIFS(Equipar!B:B,2,Equipar!F:F,A401)
&gt;0,COUNTIF('Set recomendado'!B:B,C401)=0),
"Bloqueada",
"Desechable")),""
)</f>
        <v/>
      </c>
      <c r="J401" t="str" cm="1">
        <f t="array" aca="1" ref="J401" ca="1">IF(ISNUMBER(A401),IFERROR(_xlfn._xlws.FILTER(Equipar!A:A,(Equipar!B:B=2)*(Equipar!AC:AC=A401)),""),"")</f>
        <v/>
      </c>
    </row>
    <row r="402" spans="1:10" x14ac:dyDescent="0.25">
      <c r="A402" s="1" t="str">
        <f ca="1">IF(A401="ID",1,IF(ISBLANK(B402),"",MAX(A$2:A401)+1))</f>
        <v/>
      </c>
      <c r="I402" s="2" t="str">
        <f ca="1">IF(ISNUMBER(A402),
IF(COUNTIFS(Equipar!B:B,2,Equipar!AC:AC,A402),"Equipada",
IF(
  OR(COUNTIFS(Equipar!B:B,2,Equipar!C:C,A402)
 +COUNTIFS(Equipar!B:B,2,Equipar!D:D,A402)
+COUNTIFS(Equipar!B:B,2,Equipar!E:E,A402)
+COUNTIFS(Equipar!B:B,2,Equipar!F:F,A402)
&gt;0,COUNTIF('Set recomendado'!B:B,C402)=0),
"Bloqueada",
"Desechable")),""
)</f>
        <v/>
      </c>
      <c r="J402" t="str" cm="1">
        <f t="array" aca="1" ref="J402" ca="1">IF(ISNUMBER(A402),IFERROR(_xlfn._xlws.FILTER(Equipar!A:A,(Equipar!B:B=2)*(Equipar!AC:AC=A402)),""),"")</f>
        <v/>
      </c>
    </row>
    <row r="403" spans="1:10" x14ac:dyDescent="0.25">
      <c r="A403" s="1" t="str">
        <f ca="1">IF(A402="ID",1,IF(ISBLANK(B403),"",MAX(A$2:A402)+1))</f>
        <v/>
      </c>
      <c r="I403" s="2" t="str">
        <f ca="1">IF(ISNUMBER(A403),
IF(COUNTIFS(Equipar!B:B,2,Equipar!AC:AC,A403),"Equipada",
IF(
  OR(COUNTIFS(Equipar!B:B,2,Equipar!C:C,A403)
 +COUNTIFS(Equipar!B:B,2,Equipar!D:D,A403)
+COUNTIFS(Equipar!B:B,2,Equipar!E:E,A403)
+COUNTIFS(Equipar!B:B,2,Equipar!F:F,A403)
&gt;0,COUNTIF('Set recomendado'!B:B,C403)=0),
"Bloqueada",
"Desechable")),""
)</f>
        <v/>
      </c>
      <c r="J403" t="str" cm="1">
        <f t="array" aca="1" ref="J403" ca="1">IF(ISNUMBER(A403),IFERROR(_xlfn._xlws.FILTER(Equipar!A:A,(Equipar!B:B=2)*(Equipar!AC:AC=A403)),""),"")</f>
        <v/>
      </c>
    </row>
    <row r="404" spans="1:10" x14ac:dyDescent="0.25">
      <c r="A404" s="1" t="str">
        <f ca="1">IF(A403="ID",1,IF(ISBLANK(B404),"",MAX(A$2:A403)+1))</f>
        <v/>
      </c>
      <c r="I404" s="2" t="str">
        <f ca="1">IF(ISNUMBER(A404),
IF(COUNTIFS(Equipar!B:B,2,Equipar!AC:AC,A404),"Equipada",
IF(
  OR(COUNTIFS(Equipar!B:B,2,Equipar!C:C,A404)
 +COUNTIFS(Equipar!B:B,2,Equipar!D:D,A404)
+COUNTIFS(Equipar!B:B,2,Equipar!E:E,A404)
+COUNTIFS(Equipar!B:B,2,Equipar!F:F,A404)
&gt;0,COUNTIF('Set recomendado'!B:B,C404)=0),
"Bloqueada",
"Desechable")),""
)</f>
        <v/>
      </c>
      <c r="J404" t="str" cm="1">
        <f t="array" aca="1" ref="J404" ca="1">IF(ISNUMBER(A404),IFERROR(_xlfn._xlws.FILTER(Equipar!A:A,(Equipar!B:B=2)*(Equipar!AC:AC=A404)),""),"")</f>
        <v/>
      </c>
    </row>
    <row r="405" spans="1:10" x14ac:dyDescent="0.25">
      <c r="A405" s="1" t="str">
        <f ca="1">IF(A404="ID",1,IF(ISBLANK(B405),"",MAX(A$2:A404)+1))</f>
        <v/>
      </c>
      <c r="I405" s="2" t="str">
        <f ca="1">IF(ISNUMBER(A405),
IF(COUNTIFS(Equipar!B:B,2,Equipar!AC:AC,A405),"Equipada",
IF(
  OR(COUNTIFS(Equipar!B:B,2,Equipar!C:C,A405)
 +COUNTIFS(Equipar!B:B,2,Equipar!D:D,A405)
+COUNTIFS(Equipar!B:B,2,Equipar!E:E,A405)
+COUNTIFS(Equipar!B:B,2,Equipar!F:F,A405)
&gt;0,COUNTIF('Set recomendado'!B:B,C405)=0),
"Bloqueada",
"Desechable")),""
)</f>
        <v/>
      </c>
      <c r="J405" t="str" cm="1">
        <f t="array" aca="1" ref="J405" ca="1">IF(ISNUMBER(A405),IFERROR(_xlfn._xlws.FILTER(Equipar!A:A,(Equipar!B:B=2)*(Equipar!AC:AC=A405)),""),"")</f>
        <v/>
      </c>
    </row>
    <row r="406" spans="1:10" x14ac:dyDescent="0.25">
      <c r="A406" s="1" t="str">
        <f ca="1">IF(A405="ID",1,IF(ISBLANK(B406),"",MAX(A$2:A405)+1))</f>
        <v/>
      </c>
      <c r="I406" s="2" t="str">
        <f ca="1">IF(ISNUMBER(A406),
IF(COUNTIFS(Equipar!B:B,2,Equipar!AC:AC,A406),"Equipada",
IF(
  OR(COUNTIFS(Equipar!B:B,2,Equipar!C:C,A406)
 +COUNTIFS(Equipar!B:B,2,Equipar!D:D,A406)
+COUNTIFS(Equipar!B:B,2,Equipar!E:E,A406)
+COUNTIFS(Equipar!B:B,2,Equipar!F:F,A406)
&gt;0,COUNTIF('Set recomendado'!B:B,C406)=0),
"Bloqueada",
"Desechable")),""
)</f>
        <v/>
      </c>
      <c r="J406" t="str" cm="1">
        <f t="array" aca="1" ref="J406" ca="1">IF(ISNUMBER(A406),IFERROR(_xlfn._xlws.FILTER(Equipar!A:A,(Equipar!B:B=2)*(Equipar!AC:AC=A406)),""),"")</f>
        <v/>
      </c>
    </row>
    <row r="407" spans="1:10" x14ac:dyDescent="0.25">
      <c r="A407" s="1" t="str">
        <f ca="1">IF(A406="ID",1,IF(ISBLANK(B407),"",MAX(A$2:A406)+1))</f>
        <v/>
      </c>
      <c r="I407" s="2" t="str">
        <f ca="1">IF(ISNUMBER(A407),
IF(COUNTIFS(Equipar!B:B,2,Equipar!AC:AC,A407),"Equipada",
IF(
  OR(COUNTIFS(Equipar!B:B,2,Equipar!C:C,A407)
 +COUNTIFS(Equipar!B:B,2,Equipar!D:D,A407)
+COUNTIFS(Equipar!B:B,2,Equipar!E:E,A407)
+COUNTIFS(Equipar!B:B,2,Equipar!F:F,A407)
&gt;0,COUNTIF('Set recomendado'!B:B,C407)=0),
"Bloqueada",
"Desechable")),""
)</f>
        <v/>
      </c>
      <c r="J407" t="str" cm="1">
        <f t="array" aca="1" ref="J407" ca="1">IF(ISNUMBER(A407),IFERROR(_xlfn._xlws.FILTER(Equipar!A:A,(Equipar!B:B=2)*(Equipar!AC:AC=A407)),""),"")</f>
        <v/>
      </c>
    </row>
    <row r="408" spans="1:10" x14ac:dyDescent="0.25">
      <c r="A408" s="1" t="str">
        <f ca="1">IF(A407="ID",1,IF(ISBLANK(B408),"",MAX(A$2:A407)+1))</f>
        <v/>
      </c>
      <c r="I408" s="2" t="str">
        <f ca="1">IF(ISNUMBER(A408),
IF(COUNTIFS(Equipar!B:B,2,Equipar!AC:AC,A408),"Equipada",
IF(
  OR(COUNTIFS(Equipar!B:B,2,Equipar!C:C,A408)
 +COUNTIFS(Equipar!B:B,2,Equipar!D:D,A408)
+COUNTIFS(Equipar!B:B,2,Equipar!E:E,A408)
+COUNTIFS(Equipar!B:B,2,Equipar!F:F,A408)
&gt;0,COUNTIF('Set recomendado'!B:B,C408)=0),
"Bloqueada",
"Desechable")),""
)</f>
        <v/>
      </c>
      <c r="J408" t="str" cm="1">
        <f t="array" aca="1" ref="J408" ca="1">IF(ISNUMBER(A408),IFERROR(_xlfn._xlws.FILTER(Equipar!A:A,(Equipar!B:B=2)*(Equipar!AC:AC=A408)),""),"")</f>
        <v/>
      </c>
    </row>
    <row r="409" spans="1:10" x14ac:dyDescent="0.25">
      <c r="A409" s="1" t="str">
        <f ca="1">IF(A408="ID",1,IF(ISBLANK(B409),"",MAX(A$2:A408)+1))</f>
        <v/>
      </c>
      <c r="I409" s="2" t="str">
        <f ca="1">IF(ISNUMBER(A409),
IF(COUNTIFS(Equipar!B:B,2,Equipar!AC:AC,A409),"Equipada",
IF(
  OR(COUNTIFS(Equipar!B:B,2,Equipar!C:C,A409)
 +COUNTIFS(Equipar!B:B,2,Equipar!D:D,A409)
+COUNTIFS(Equipar!B:B,2,Equipar!E:E,A409)
+COUNTIFS(Equipar!B:B,2,Equipar!F:F,A409)
&gt;0,COUNTIF('Set recomendado'!B:B,C409)=0),
"Bloqueada",
"Desechable")),""
)</f>
        <v/>
      </c>
      <c r="J409" t="str" cm="1">
        <f t="array" aca="1" ref="J409" ca="1">IF(ISNUMBER(A409),IFERROR(_xlfn._xlws.FILTER(Equipar!A:A,(Equipar!B:B=2)*(Equipar!AC:AC=A409)),""),"")</f>
        <v/>
      </c>
    </row>
    <row r="410" spans="1:10" x14ac:dyDescent="0.25">
      <c r="A410" s="1" t="str">
        <f ca="1">IF(A409="ID",1,IF(ISBLANK(B410),"",MAX(A$2:A409)+1))</f>
        <v/>
      </c>
      <c r="I410" s="2" t="str">
        <f ca="1">IF(ISNUMBER(A410),
IF(COUNTIFS(Equipar!B:B,2,Equipar!AC:AC,A410),"Equipada",
IF(
  OR(COUNTIFS(Equipar!B:B,2,Equipar!C:C,A410)
 +COUNTIFS(Equipar!B:B,2,Equipar!D:D,A410)
+COUNTIFS(Equipar!B:B,2,Equipar!E:E,A410)
+COUNTIFS(Equipar!B:B,2,Equipar!F:F,A410)
&gt;0,COUNTIF('Set recomendado'!B:B,C410)=0),
"Bloqueada",
"Desechable")),""
)</f>
        <v/>
      </c>
      <c r="J410" t="str" cm="1">
        <f t="array" aca="1" ref="J410" ca="1">IF(ISNUMBER(A410),IFERROR(_xlfn._xlws.FILTER(Equipar!A:A,(Equipar!B:B=2)*(Equipar!AC:AC=A410)),""),"")</f>
        <v/>
      </c>
    </row>
    <row r="411" spans="1:10" x14ac:dyDescent="0.25">
      <c r="A411" s="1" t="str">
        <f ca="1">IF(A410="ID",1,IF(ISBLANK(B411),"",MAX(A$2:A410)+1))</f>
        <v/>
      </c>
      <c r="I411" s="2" t="str">
        <f ca="1">IF(ISNUMBER(A411),
IF(COUNTIFS(Equipar!B:B,2,Equipar!AC:AC,A411),"Equipada",
IF(
  OR(COUNTIFS(Equipar!B:B,2,Equipar!C:C,A411)
 +COUNTIFS(Equipar!B:B,2,Equipar!D:D,A411)
+COUNTIFS(Equipar!B:B,2,Equipar!E:E,A411)
+COUNTIFS(Equipar!B:B,2,Equipar!F:F,A411)
&gt;0,COUNTIF('Set recomendado'!B:B,C411)=0),
"Bloqueada",
"Desechable")),""
)</f>
        <v/>
      </c>
      <c r="J411" t="str" cm="1">
        <f t="array" aca="1" ref="J411" ca="1">IF(ISNUMBER(A411),IFERROR(_xlfn._xlws.FILTER(Equipar!A:A,(Equipar!B:B=2)*(Equipar!AC:AC=A411)),""),"")</f>
        <v/>
      </c>
    </row>
    <row r="412" spans="1:10" x14ac:dyDescent="0.25">
      <c r="A412" s="1" t="str">
        <f ca="1">IF(A411="ID",1,IF(ISBLANK(B412),"",MAX(A$2:A411)+1))</f>
        <v/>
      </c>
      <c r="I412" s="2" t="str">
        <f ca="1">IF(ISNUMBER(A412),
IF(COUNTIFS(Equipar!B:B,2,Equipar!AC:AC,A412),"Equipada",
IF(
  OR(COUNTIFS(Equipar!B:B,2,Equipar!C:C,A412)
 +COUNTIFS(Equipar!B:B,2,Equipar!D:D,A412)
+COUNTIFS(Equipar!B:B,2,Equipar!E:E,A412)
+COUNTIFS(Equipar!B:B,2,Equipar!F:F,A412)
&gt;0,COUNTIF('Set recomendado'!B:B,C412)=0),
"Bloqueada",
"Desechable")),""
)</f>
        <v/>
      </c>
      <c r="J412" t="str" cm="1">
        <f t="array" aca="1" ref="J412" ca="1">IF(ISNUMBER(A412),IFERROR(_xlfn._xlws.FILTER(Equipar!A:A,(Equipar!B:B=2)*(Equipar!AC:AC=A412)),""),"")</f>
        <v/>
      </c>
    </row>
    <row r="413" spans="1:10" x14ac:dyDescent="0.25">
      <c r="A413" s="1" t="str">
        <f ca="1">IF(A412="ID",1,IF(ISBLANK(B413),"",MAX(A$2:A412)+1))</f>
        <v/>
      </c>
      <c r="I413" s="2" t="str">
        <f ca="1">IF(ISNUMBER(A413),
IF(COUNTIFS(Equipar!B:B,2,Equipar!AC:AC,A413),"Equipada",
IF(
  OR(COUNTIFS(Equipar!B:B,2,Equipar!C:C,A413)
 +COUNTIFS(Equipar!B:B,2,Equipar!D:D,A413)
+COUNTIFS(Equipar!B:B,2,Equipar!E:E,A413)
+COUNTIFS(Equipar!B:B,2,Equipar!F:F,A413)
&gt;0,COUNTIF('Set recomendado'!B:B,C413)=0),
"Bloqueada",
"Desechable")),""
)</f>
        <v/>
      </c>
      <c r="J413" t="str" cm="1">
        <f t="array" aca="1" ref="J413" ca="1">IF(ISNUMBER(A413),IFERROR(_xlfn._xlws.FILTER(Equipar!A:A,(Equipar!B:B=2)*(Equipar!AC:AC=A413)),""),"")</f>
        <v/>
      </c>
    </row>
    <row r="414" spans="1:10" x14ac:dyDescent="0.25">
      <c r="A414" s="1" t="str">
        <f ca="1">IF(A413="ID",1,IF(ISBLANK(B414),"",MAX(A$2:A413)+1))</f>
        <v/>
      </c>
      <c r="I414" s="2" t="str">
        <f ca="1">IF(ISNUMBER(A414),
IF(COUNTIFS(Equipar!B:B,2,Equipar!AC:AC,A414),"Equipada",
IF(
  OR(COUNTIFS(Equipar!B:B,2,Equipar!C:C,A414)
 +COUNTIFS(Equipar!B:B,2,Equipar!D:D,A414)
+COUNTIFS(Equipar!B:B,2,Equipar!E:E,A414)
+COUNTIFS(Equipar!B:B,2,Equipar!F:F,A414)
&gt;0,COUNTIF('Set recomendado'!B:B,C414)=0),
"Bloqueada",
"Desechable")),""
)</f>
        <v/>
      </c>
      <c r="J414" t="str" cm="1">
        <f t="array" aca="1" ref="J414" ca="1">IF(ISNUMBER(A414),IFERROR(_xlfn._xlws.FILTER(Equipar!A:A,(Equipar!B:B=2)*(Equipar!AC:AC=A414)),""),"")</f>
        <v/>
      </c>
    </row>
    <row r="415" spans="1:10" x14ac:dyDescent="0.25">
      <c r="A415" s="1" t="str">
        <f ca="1">IF(A414="ID",1,IF(ISBLANK(B415),"",MAX(A$2:A414)+1))</f>
        <v/>
      </c>
      <c r="I415" s="2" t="str">
        <f ca="1">IF(ISNUMBER(A415),
IF(COUNTIFS(Equipar!B:B,2,Equipar!AC:AC,A415),"Equipada",
IF(
  OR(COUNTIFS(Equipar!B:B,2,Equipar!C:C,A415)
 +COUNTIFS(Equipar!B:B,2,Equipar!D:D,A415)
+COUNTIFS(Equipar!B:B,2,Equipar!E:E,A415)
+COUNTIFS(Equipar!B:B,2,Equipar!F:F,A415)
&gt;0,COUNTIF('Set recomendado'!B:B,C415)=0),
"Bloqueada",
"Desechable")),""
)</f>
        <v/>
      </c>
      <c r="J415" t="str" cm="1">
        <f t="array" aca="1" ref="J415" ca="1">IF(ISNUMBER(A415),IFERROR(_xlfn._xlws.FILTER(Equipar!A:A,(Equipar!B:B=2)*(Equipar!AC:AC=A415)),""),"")</f>
        <v/>
      </c>
    </row>
    <row r="416" spans="1:10" x14ac:dyDescent="0.25">
      <c r="A416" s="1" t="str">
        <f ca="1">IF(A415="ID",1,IF(ISBLANK(B416),"",MAX(A$2:A415)+1))</f>
        <v/>
      </c>
      <c r="I416" s="2" t="str">
        <f ca="1">IF(ISNUMBER(A416),
IF(COUNTIFS(Equipar!B:B,2,Equipar!AC:AC,A416),"Equipada",
IF(
  OR(COUNTIFS(Equipar!B:B,2,Equipar!C:C,A416)
 +COUNTIFS(Equipar!B:B,2,Equipar!D:D,A416)
+COUNTIFS(Equipar!B:B,2,Equipar!E:E,A416)
+COUNTIFS(Equipar!B:B,2,Equipar!F:F,A416)
&gt;0,COUNTIF('Set recomendado'!B:B,C416)=0),
"Bloqueada",
"Desechable")),""
)</f>
        <v/>
      </c>
      <c r="J416" t="str" cm="1">
        <f t="array" aca="1" ref="J416" ca="1">IF(ISNUMBER(A416),IFERROR(_xlfn._xlws.FILTER(Equipar!A:A,(Equipar!B:B=2)*(Equipar!AC:AC=A416)),""),"")</f>
        <v/>
      </c>
    </row>
    <row r="417" spans="1:10" x14ac:dyDescent="0.25">
      <c r="A417" s="1" t="str">
        <f ca="1">IF(A416="ID",1,IF(ISBLANK(B417),"",MAX(A$2:A416)+1))</f>
        <v/>
      </c>
      <c r="I417" s="2" t="str">
        <f ca="1">IF(ISNUMBER(A417),
IF(COUNTIFS(Equipar!B:B,2,Equipar!AC:AC,A417),"Equipada",
IF(
  OR(COUNTIFS(Equipar!B:B,2,Equipar!C:C,A417)
 +COUNTIFS(Equipar!B:B,2,Equipar!D:D,A417)
+COUNTIFS(Equipar!B:B,2,Equipar!E:E,A417)
+COUNTIFS(Equipar!B:B,2,Equipar!F:F,A417)
&gt;0,COUNTIF('Set recomendado'!B:B,C417)=0),
"Bloqueada",
"Desechable")),""
)</f>
        <v/>
      </c>
      <c r="J417" t="str" cm="1">
        <f t="array" aca="1" ref="J417" ca="1">IF(ISNUMBER(A417),IFERROR(_xlfn._xlws.FILTER(Equipar!A:A,(Equipar!B:B=2)*(Equipar!AC:AC=A417)),""),"")</f>
        <v/>
      </c>
    </row>
    <row r="418" spans="1:10" x14ac:dyDescent="0.25">
      <c r="A418" s="1" t="str">
        <f ca="1">IF(A417="ID",1,IF(ISBLANK(B418),"",MAX(A$2:A417)+1))</f>
        <v/>
      </c>
      <c r="I418" s="2" t="str">
        <f ca="1">IF(ISNUMBER(A418),
IF(COUNTIFS(Equipar!B:B,2,Equipar!AC:AC,A418),"Equipada",
IF(
  OR(COUNTIFS(Equipar!B:B,2,Equipar!C:C,A418)
 +COUNTIFS(Equipar!B:B,2,Equipar!D:D,A418)
+COUNTIFS(Equipar!B:B,2,Equipar!E:E,A418)
+COUNTIFS(Equipar!B:B,2,Equipar!F:F,A418)
&gt;0,COUNTIF('Set recomendado'!B:B,C418)=0),
"Bloqueada",
"Desechable")),""
)</f>
        <v/>
      </c>
      <c r="J418" t="str" cm="1">
        <f t="array" aca="1" ref="J418" ca="1">IF(ISNUMBER(A418),IFERROR(_xlfn._xlws.FILTER(Equipar!A:A,(Equipar!B:B=2)*(Equipar!AC:AC=A418)),""),"")</f>
        <v/>
      </c>
    </row>
    <row r="419" spans="1:10" x14ac:dyDescent="0.25">
      <c r="A419" s="1" t="str">
        <f ca="1">IF(A418="ID",1,IF(ISBLANK(B419),"",MAX(A$2:A418)+1))</f>
        <v/>
      </c>
      <c r="I419" s="2" t="str">
        <f ca="1">IF(ISNUMBER(A419),
IF(COUNTIFS(Equipar!B:B,2,Equipar!AC:AC,A419),"Equipada",
IF(
  OR(COUNTIFS(Equipar!B:B,2,Equipar!C:C,A419)
 +COUNTIFS(Equipar!B:B,2,Equipar!D:D,A419)
+COUNTIFS(Equipar!B:B,2,Equipar!E:E,A419)
+COUNTIFS(Equipar!B:B,2,Equipar!F:F,A419)
&gt;0,COUNTIF('Set recomendado'!B:B,C419)=0),
"Bloqueada",
"Desechable")),""
)</f>
        <v/>
      </c>
      <c r="J419" t="str" cm="1">
        <f t="array" aca="1" ref="J419" ca="1">IF(ISNUMBER(A419),IFERROR(_xlfn._xlws.FILTER(Equipar!A:A,(Equipar!B:B=2)*(Equipar!AC:AC=A419)),""),"")</f>
        <v/>
      </c>
    </row>
    <row r="420" spans="1:10" x14ac:dyDescent="0.25">
      <c r="A420" s="1" t="str">
        <f ca="1">IF(A419="ID",1,IF(ISBLANK(B420),"",MAX(A$2:A419)+1))</f>
        <v/>
      </c>
      <c r="I420" s="2" t="str">
        <f ca="1">IF(ISNUMBER(A420),
IF(COUNTIFS(Equipar!B:B,2,Equipar!AC:AC,A420),"Equipada",
IF(
  OR(COUNTIFS(Equipar!B:B,2,Equipar!C:C,A420)
 +COUNTIFS(Equipar!B:B,2,Equipar!D:D,A420)
+COUNTIFS(Equipar!B:B,2,Equipar!E:E,A420)
+COUNTIFS(Equipar!B:B,2,Equipar!F:F,A420)
&gt;0,COUNTIF('Set recomendado'!B:B,C420)=0),
"Bloqueada",
"Desechable")),""
)</f>
        <v/>
      </c>
      <c r="J420" t="str" cm="1">
        <f t="array" aca="1" ref="J420" ca="1">IF(ISNUMBER(A420),IFERROR(_xlfn._xlws.FILTER(Equipar!A:A,(Equipar!B:B=2)*(Equipar!AC:AC=A420)),""),"")</f>
        <v/>
      </c>
    </row>
    <row r="421" spans="1:10" x14ac:dyDescent="0.25">
      <c r="A421" s="1" t="str">
        <f ca="1">IF(A420="ID",1,IF(ISBLANK(B421),"",MAX(A$2:A420)+1))</f>
        <v/>
      </c>
      <c r="I421" s="2" t="str">
        <f ca="1">IF(ISNUMBER(A421),
IF(COUNTIFS(Equipar!B:B,2,Equipar!AC:AC,A421),"Equipada",
IF(
  OR(COUNTIFS(Equipar!B:B,2,Equipar!C:C,A421)
 +COUNTIFS(Equipar!B:B,2,Equipar!D:D,A421)
+COUNTIFS(Equipar!B:B,2,Equipar!E:E,A421)
+COUNTIFS(Equipar!B:B,2,Equipar!F:F,A421)
&gt;0,COUNTIF('Set recomendado'!B:B,C421)=0),
"Bloqueada",
"Desechable")),""
)</f>
        <v/>
      </c>
      <c r="J421" t="str" cm="1">
        <f t="array" aca="1" ref="J421" ca="1">IF(ISNUMBER(A421),IFERROR(_xlfn._xlws.FILTER(Equipar!A:A,(Equipar!B:B=2)*(Equipar!AC:AC=A421)),""),"")</f>
        <v/>
      </c>
    </row>
    <row r="422" spans="1:10" x14ac:dyDescent="0.25">
      <c r="A422" s="1" t="str">
        <f ca="1">IF(A421="ID",1,IF(ISBLANK(B422),"",MAX(A$2:A421)+1))</f>
        <v/>
      </c>
      <c r="I422" s="2" t="str">
        <f ca="1">IF(ISNUMBER(A422),
IF(COUNTIFS(Equipar!B:B,2,Equipar!AC:AC,A422),"Equipada",
IF(
  OR(COUNTIFS(Equipar!B:B,2,Equipar!C:C,A422)
 +COUNTIFS(Equipar!B:B,2,Equipar!D:D,A422)
+COUNTIFS(Equipar!B:B,2,Equipar!E:E,A422)
+COUNTIFS(Equipar!B:B,2,Equipar!F:F,A422)
&gt;0,COUNTIF('Set recomendado'!B:B,C422)=0),
"Bloqueada",
"Desechable")),""
)</f>
        <v/>
      </c>
      <c r="J422" t="str" cm="1">
        <f t="array" aca="1" ref="J422" ca="1">IF(ISNUMBER(A422),IFERROR(_xlfn._xlws.FILTER(Equipar!A:A,(Equipar!B:B=2)*(Equipar!AC:AC=A422)),""),"")</f>
        <v/>
      </c>
    </row>
    <row r="423" spans="1:10" x14ac:dyDescent="0.25">
      <c r="A423" s="1" t="str">
        <f ca="1">IF(A422="ID",1,IF(ISBLANK(B423),"",MAX(A$2:A422)+1))</f>
        <v/>
      </c>
      <c r="I423" s="2" t="str">
        <f ca="1">IF(ISNUMBER(A423),
IF(COUNTIFS(Equipar!B:B,2,Equipar!AC:AC,A423),"Equipada",
IF(
  OR(COUNTIFS(Equipar!B:B,2,Equipar!C:C,A423)
 +COUNTIFS(Equipar!B:B,2,Equipar!D:D,A423)
+COUNTIFS(Equipar!B:B,2,Equipar!E:E,A423)
+COUNTIFS(Equipar!B:B,2,Equipar!F:F,A423)
&gt;0,COUNTIF('Set recomendado'!B:B,C423)=0),
"Bloqueada",
"Desechable")),""
)</f>
        <v/>
      </c>
      <c r="J423" t="str" cm="1">
        <f t="array" aca="1" ref="J423" ca="1">IF(ISNUMBER(A423),IFERROR(_xlfn._xlws.FILTER(Equipar!A:A,(Equipar!B:B=2)*(Equipar!AC:AC=A423)),""),"")</f>
        <v/>
      </c>
    </row>
    <row r="424" spans="1:10" x14ac:dyDescent="0.25">
      <c r="A424" s="1" t="str">
        <f ca="1">IF(A423="ID",1,IF(ISBLANK(B424),"",MAX(A$2:A423)+1))</f>
        <v/>
      </c>
      <c r="I424" s="2" t="str">
        <f ca="1">IF(ISNUMBER(A424),
IF(COUNTIFS(Equipar!B:B,2,Equipar!AC:AC,A424),"Equipada",
IF(
  OR(COUNTIFS(Equipar!B:B,2,Equipar!C:C,A424)
 +COUNTIFS(Equipar!B:B,2,Equipar!D:D,A424)
+COUNTIFS(Equipar!B:B,2,Equipar!E:E,A424)
+COUNTIFS(Equipar!B:B,2,Equipar!F:F,A424)
&gt;0,COUNTIF('Set recomendado'!B:B,C424)=0),
"Bloqueada",
"Desechable")),""
)</f>
        <v/>
      </c>
      <c r="J424" t="str" cm="1">
        <f t="array" aca="1" ref="J424" ca="1">IF(ISNUMBER(A424),IFERROR(_xlfn._xlws.FILTER(Equipar!A:A,(Equipar!B:B=2)*(Equipar!AC:AC=A424)),""),"")</f>
        <v/>
      </c>
    </row>
    <row r="425" spans="1:10" x14ac:dyDescent="0.25">
      <c r="A425" s="1" t="str">
        <f ca="1">IF(A424="ID",1,IF(ISBLANK(B425),"",MAX(A$2:A424)+1))</f>
        <v/>
      </c>
      <c r="I425" s="2" t="str">
        <f ca="1">IF(ISNUMBER(A425),
IF(COUNTIFS(Equipar!B:B,2,Equipar!AC:AC,A425),"Equipada",
IF(
  OR(COUNTIFS(Equipar!B:B,2,Equipar!C:C,A425)
 +COUNTIFS(Equipar!B:B,2,Equipar!D:D,A425)
+COUNTIFS(Equipar!B:B,2,Equipar!E:E,A425)
+COUNTIFS(Equipar!B:B,2,Equipar!F:F,A425)
&gt;0,COUNTIF('Set recomendado'!B:B,C425)=0),
"Bloqueada",
"Desechable")),""
)</f>
        <v/>
      </c>
      <c r="J425" t="str" cm="1">
        <f t="array" aca="1" ref="J425" ca="1">IF(ISNUMBER(A425),IFERROR(_xlfn._xlws.FILTER(Equipar!A:A,(Equipar!B:B=2)*(Equipar!AC:AC=A425)),""),"")</f>
        <v/>
      </c>
    </row>
    <row r="426" spans="1:10" x14ac:dyDescent="0.25">
      <c r="A426" s="1" t="str">
        <f ca="1">IF(A425="ID",1,IF(ISBLANK(B426),"",MAX(A$2:A425)+1))</f>
        <v/>
      </c>
      <c r="I426" s="2" t="str">
        <f ca="1">IF(ISNUMBER(A426),
IF(COUNTIFS(Equipar!B:B,2,Equipar!AC:AC,A426),"Equipada",
IF(
  OR(COUNTIFS(Equipar!B:B,2,Equipar!C:C,A426)
 +COUNTIFS(Equipar!B:B,2,Equipar!D:D,A426)
+COUNTIFS(Equipar!B:B,2,Equipar!E:E,A426)
+COUNTIFS(Equipar!B:B,2,Equipar!F:F,A426)
&gt;0,COUNTIF('Set recomendado'!B:B,C426)=0),
"Bloqueada",
"Desechable")),""
)</f>
        <v/>
      </c>
      <c r="J426" t="str" cm="1">
        <f t="array" aca="1" ref="J426" ca="1">IF(ISNUMBER(A426),IFERROR(_xlfn._xlws.FILTER(Equipar!A:A,(Equipar!B:B=2)*(Equipar!AC:AC=A426)),""),"")</f>
        <v/>
      </c>
    </row>
    <row r="427" spans="1:10" x14ac:dyDescent="0.25">
      <c r="A427" s="1" t="str">
        <f ca="1">IF(A426="ID",1,IF(ISBLANK(B427),"",MAX(A$2:A426)+1))</f>
        <v/>
      </c>
      <c r="I427" s="2" t="str">
        <f ca="1">IF(ISNUMBER(A427),
IF(COUNTIFS(Equipar!B:B,2,Equipar!AC:AC,A427),"Equipada",
IF(
  OR(COUNTIFS(Equipar!B:B,2,Equipar!C:C,A427)
 +COUNTIFS(Equipar!B:B,2,Equipar!D:D,A427)
+COUNTIFS(Equipar!B:B,2,Equipar!E:E,A427)
+COUNTIFS(Equipar!B:B,2,Equipar!F:F,A427)
&gt;0,COUNTIF('Set recomendado'!B:B,C427)=0),
"Bloqueada",
"Desechable")),""
)</f>
        <v/>
      </c>
      <c r="J427" t="str" cm="1">
        <f t="array" aca="1" ref="J427" ca="1">IF(ISNUMBER(A427),IFERROR(_xlfn._xlws.FILTER(Equipar!A:A,(Equipar!B:B=2)*(Equipar!AC:AC=A427)),""),"")</f>
        <v/>
      </c>
    </row>
    <row r="428" spans="1:10" x14ac:dyDescent="0.25">
      <c r="A428" s="1" t="str">
        <f ca="1">IF(A427="ID",1,IF(ISBLANK(B428),"",MAX(A$2:A427)+1))</f>
        <v/>
      </c>
      <c r="I428" s="2" t="str">
        <f ca="1">IF(ISNUMBER(A428),
IF(COUNTIFS(Equipar!B:B,2,Equipar!AC:AC,A428),"Equipada",
IF(
  OR(COUNTIFS(Equipar!B:B,2,Equipar!C:C,A428)
 +COUNTIFS(Equipar!B:B,2,Equipar!D:D,A428)
+COUNTIFS(Equipar!B:B,2,Equipar!E:E,A428)
+COUNTIFS(Equipar!B:B,2,Equipar!F:F,A428)
&gt;0,COUNTIF('Set recomendado'!B:B,C428)=0),
"Bloqueada",
"Desechable")),""
)</f>
        <v/>
      </c>
      <c r="J428" t="str" cm="1">
        <f t="array" aca="1" ref="J428" ca="1">IF(ISNUMBER(A428),IFERROR(_xlfn._xlws.FILTER(Equipar!A:A,(Equipar!B:B=2)*(Equipar!AC:AC=A428)),""),"")</f>
        <v/>
      </c>
    </row>
    <row r="429" spans="1:10" x14ac:dyDescent="0.25">
      <c r="A429" s="1" t="str">
        <f ca="1">IF(A428="ID",1,IF(ISBLANK(B429),"",MAX(A$2:A428)+1))</f>
        <v/>
      </c>
      <c r="I429" s="2" t="str">
        <f ca="1">IF(ISNUMBER(A429),
IF(COUNTIFS(Equipar!B:B,2,Equipar!AC:AC,A429),"Equipada",
IF(
  OR(COUNTIFS(Equipar!B:B,2,Equipar!C:C,A429)
 +COUNTIFS(Equipar!B:B,2,Equipar!D:D,A429)
+COUNTIFS(Equipar!B:B,2,Equipar!E:E,A429)
+COUNTIFS(Equipar!B:B,2,Equipar!F:F,A429)
&gt;0,COUNTIF('Set recomendado'!B:B,C429)=0),
"Bloqueada",
"Desechable")),""
)</f>
        <v/>
      </c>
      <c r="J429" t="str" cm="1">
        <f t="array" aca="1" ref="J429" ca="1">IF(ISNUMBER(A429),IFERROR(_xlfn._xlws.FILTER(Equipar!A:A,(Equipar!B:B=2)*(Equipar!AC:AC=A429)),""),"")</f>
        <v/>
      </c>
    </row>
    <row r="430" spans="1:10" x14ac:dyDescent="0.25">
      <c r="A430" s="1" t="str">
        <f ca="1">IF(A429="ID",1,IF(ISBLANK(B430),"",MAX(A$2:A429)+1))</f>
        <v/>
      </c>
      <c r="I430" s="2" t="str">
        <f ca="1">IF(ISNUMBER(A430),
IF(COUNTIFS(Equipar!B:B,2,Equipar!AC:AC,A430),"Equipada",
IF(
  OR(COUNTIFS(Equipar!B:B,2,Equipar!C:C,A430)
 +COUNTIFS(Equipar!B:B,2,Equipar!D:D,A430)
+COUNTIFS(Equipar!B:B,2,Equipar!E:E,A430)
+COUNTIFS(Equipar!B:B,2,Equipar!F:F,A430)
&gt;0,COUNTIF('Set recomendado'!B:B,C430)=0),
"Bloqueada",
"Desechable")),""
)</f>
        <v/>
      </c>
      <c r="J430" t="str" cm="1">
        <f t="array" aca="1" ref="J430" ca="1">IF(ISNUMBER(A430),IFERROR(_xlfn._xlws.FILTER(Equipar!A:A,(Equipar!B:B=2)*(Equipar!AC:AC=A430)),""),"")</f>
        <v/>
      </c>
    </row>
    <row r="431" spans="1:10" x14ac:dyDescent="0.25">
      <c r="A431" s="1" t="str">
        <f ca="1">IF(A430="ID",1,IF(ISBLANK(B431),"",MAX(A$2:A430)+1))</f>
        <v/>
      </c>
      <c r="I431" s="2" t="str">
        <f ca="1">IF(ISNUMBER(A431),
IF(COUNTIFS(Equipar!B:B,2,Equipar!AC:AC,A431),"Equipada",
IF(
  OR(COUNTIFS(Equipar!B:B,2,Equipar!C:C,A431)
 +COUNTIFS(Equipar!B:B,2,Equipar!D:D,A431)
+COUNTIFS(Equipar!B:B,2,Equipar!E:E,A431)
+COUNTIFS(Equipar!B:B,2,Equipar!F:F,A431)
&gt;0,COUNTIF('Set recomendado'!B:B,C431)=0),
"Bloqueada",
"Desechable")),""
)</f>
        <v/>
      </c>
      <c r="J431" t="str" cm="1">
        <f t="array" aca="1" ref="J431" ca="1">IF(ISNUMBER(A431),IFERROR(_xlfn._xlws.FILTER(Equipar!A:A,(Equipar!B:B=2)*(Equipar!AC:AC=A431)),""),"")</f>
        <v/>
      </c>
    </row>
    <row r="432" spans="1:10" x14ac:dyDescent="0.25">
      <c r="A432" s="1" t="str">
        <f ca="1">IF(A431="ID",1,IF(ISBLANK(B432),"",MAX(A$2:A431)+1))</f>
        <v/>
      </c>
      <c r="I432" s="2" t="str">
        <f ca="1">IF(ISNUMBER(A432),
IF(COUNTIFS(Equipar!B:B,2,Equipar!AC:AC,A432),"Equipada",
IF(
  OR(COUNTIFS(Equipar!B:B,2,Equipar!C:C,A432)
 +COUNTIFS(Equipar!B:B,2,Equipar!D:D,A432)
+COUNTIFS(Equipar!B:B,2,Equipar!E:E,A432)
+COUNTIFS(Equipar!B:B,2,Equipar!F:F,A432)
&gt;0,COUNTIF('Set recomendado'!B:B,C432)=0),
"Bloqueada",
"Desechable")),""
)</f>
        <v/>
      </c>
      <c r="J432" t="str" cm="1">
        <f t="array" aca="1" ref="J432" ca="1">IF(ISNUMBER(A432),IFERROR(_xlfn._xlws.FILTER(Equipar!A:A,(Equipar!B:B=2)*(Equipar!AC:AC=A432)),""),"")</f>
        <v/>
      </c>
    </row>
    <row r="433" spans="1:10" x14ac:dyDescent="0.25">
      <c r="A433" s="1" t="str">
        <f ca="1">IF(A432="ID",1,IF(ISBLANK(B433),"",MAX(A$2:A432)+1))</f>
        <v/>
      </c>
      <c r="I433" s="2" t="str">
        <f ca="1">IF(ISNUMBER(A433),
IF(COUNTIFS(Equipar!B:B,2,Equipar!AC:AC,A433),"Equipada",
IF(
  OR(COUNTIFS(Equipar!B:B,2,Equipar!C:C,A433)
 +COUNTIFS(Equipar!B:B,2,Equipar!D:D,A433)
+COUNTIFS(Equipar!B:B,2,Equipar!E:E,A433)
+COUNTIFS(Equipar!B:B,2,Equipar!F:F,A433)
&gt;0,COUNTIF('Set recomendado'!B:B,C433)=0),
"Bloqueada",
"Desechable")),""
)</f>
        <v/>
      </c>
      <c r="J433" t="str" cm="1">
        <f t="array" aca="1" ref="J433" ca="1">IF(ISNUMBER(A433),IFERROR(_xlfn._xlws.FILTER(Equipar!A:A,(Equipar!B:B=2)*(Equipar!AC:AC=A433)),""),"")</f>
        <v/>
      </c>
    </row>
    <row r="434" spans="1:10" x14ac:dyDescent="0.25">
      <c r="A434" s="1" t="str">
        <f ca="1">IF(A433="ID",1,IF(ISBLANK(B434),"",MAX(A$2:A433)+1))</f>
        <v/>
      </c>
      <c r="I434" s="2" t="str">
        <f ca="1">IF(ISNUMBER(A434),
IF(COUNTIFS(Equipar!B:B,2,Equipar!AC:AC,A434),"Equipada",
IF(
  OR(COUNTIFS(Equipar!B:B,2,Equipar!C:C,A434)
 +COUNTIFS(Equipar!B:B,2,Equipar!D:D,A434)
+COUNTIFS(Equipar!B:B,2,Equipar!E:E,A434)
+COUNTIFS(Equipar!B:B,2,Equipar!F:F,A434)
&gt;0,COUNTIF('Set recomendado'!B:B,C434)=0),
"Bloqueada",
"Desechable")),""
)</f>
        <v/>
      </c>
      <c r="J434" t="str" cm="1">
        <f t="array" aca="1" ref="J434" ca="1">IF(ISNUMBER(A434),IFERROR(_xlfn._xlws.FILTER(Equipar!A:A,(Equipar!B:B=2)*(Equipar!AC:AC=A434)),""),"")</f>
        <v/>
      </c>
    </row>
    <row r="435" spans="1:10" x14ac:dyDescent="0.25">
      <c r="A435" s="1" t="str">
        <f ca="1">IF(A434="ID",1,IF(ISBLANK(B435),"",MAX(A$2:A434)+1))</f>
        <v/>
      </c>
      <c r="I435" s="2" t="str">
        <f ca="1">IF(ISNUMBER(A435),
IF(COUNTIFS(Equipar!B:B,2,Equipar!AC:AC,A435),"Equipada",
IF(
  OR(COUNTIFS(Equipar!B:B,2,Equipar!C:C,A435)
 +COUNTIFS(Equipar!B:B,2,Equipar!D:D,A435)
+COUNTIFS(Equipar!B:B,2,Equipar!E:E,A435)
+COUNTIFS(Equipar!B:B,2,Equipar!F:F,A435)
&gt;0,COUNTIF('Set recomendado'!B:B,C435)=0),
"Bloqueada",
"Desechable")),""
)</f>
        <v/>
      </c>
      <c r="J435" t="str" cm="1">
        <f t="array" aca="1" ref="J435" ca="1">IF(ISNUMBER(A435),IFERROR(_xlfn._xlws.FILTER(Equipar!A:A,(Equipar!B:B=2)*(Equipar!AC:AC=A435)),""),"")</f>
        <v/>
      </c>
    </row>
    <row r="436" spans="1:10" x14ac:dyDescent="0.25">
      <c r="A436" s="1" t="str">
        <f ca="1">IF(A435="ID",1,IF(ISBLANK(B436),"",MAX(A$2:A435)+1))</f>
        <v/>
      </c>
      <c r="I436" s="2" t="str">
        <f ca="1">IF(ISNUMBER(A436),
IF(COUNTIFS(Equipar!B:B,2,Equipar!AC:AC,A436),"Equipada",
IF(
  OR(COUNTIFS(Equipar!B:B,2,Equipar!C:C,A436)
 +COUNTIFS(Equipar!B:B,2,Equipar!D:D,A436)
+COUNTIFS(Equipar!B:B,2,Equipar!E:E,A436)
+COUNTIFS(Equipar!B:B,2,Equipar!F:F,A436)
&gt;0,COUNTIF('Set recomendado'!B:B,C436)=0),
"Bloqueada",
"Desechable")),""
)</f>
        <v/>
      </c>
      <c r="J436" t="str" cm="1">
        <f t="array" aca="1" ref="J436" ca="1">IF(ISNUMBER(A436),IFERROR(_xlfn._xlws.FILTER(Equipar!A:A,(Equipar!B:B=2)*(Equipar!AC:AC=A436)),""),"")</f>
        <v/>
      </c>
    </row>
    <row r="437" spans="1:10" x14ac:dyDescent="0.25">
      <c r="A437" s="1" t="str">
        <f ca="1">IF(A436="ID",1,IF(ISBLANK(B437),"",MAX(A$2:A436)+1))</f>
        <v/>
      </c>
      <c r="I437" s="2" t="str">
        <f ca="1">IF(ISNUMBER(A437),
IF(COUNTIFS(Equipar!B:B,2,Equipar!AC:AC,A437),"Equipada",
IF(
  OR(COUNTIFS(Equipar!B:B,2,Equipar!C:C,A437)
 +COUNTIFS(Equipar!B:B,2,Equipar!D:D,A437)
+COUNTIFS(Equipar!B:B,2,Equipar!E:E,A437)
+COUNTIFS(Equipar!B:B,2,Equipar!F:F,A437)
&gt;0,COUNTIF('Set recomendado'!B:B,C437)=0),
"Bloqueada",
"Desechable")),""
)</f>
        <v/>
      </c>
      <c r="J437" t="str" cm="1">
        <f t="array" aca="1" ref="J437" ca="1">IF(ISNUMBER(A437),IFERROR(_xlfn._xlws.FILTER(Equipar!A:A,(Equipar!B:B=2)*(Equipar!AC:AC=A437)),""),"")</f>
        <v/>
      </c>
    </row>
    <row r="438" spans="1:10" x14ac:dyDescent="0.25">
      <c r="A438" s="1" t="str">
        <f ca="1">IF(A437="ID",1,IF(ISBLANK(B438),"",MAX(A$2:A437)+1))</f>
        <v/>
      </c>
      <c r="I438" s="2" t="str">
        <f ca="1">IF(ISNUMBER(A438),
IF(COUNTIFS(Equipar!B:B,2,Equipar!AC:AC,A438),"Equipada",
IF(
  OR(COUNTIFS(Equipar!B:B,2,Equipar!C:C,A438)
 +COUNTIFS(Equipar!B:B,2,Equipar!D:D,A438)
+COUNTIFS(Equipar!B:B,2,Equipar!E:E,A438)
+COUNTIFS(Equipar!B:B,2,Equipar!F:F,A438)
&gt;0,COUNTIF('Set recomendado'!B:B,C438)=0),
"Bloqueada",
"Desechable")),""
)</f>
        <v/>
      </c>
      <c r="J438" t="str" cm="1">
        <f t="array" aca="1" ref="J438" ca="1">IF(ISNUMBER(A438),IFERROR(_xlfn._xlws.FILTER(Equipar!A:A,(Equipar!B:B=2)*(Equipar!AC:AC=A438)),""),"")</f>
        <v/>
      </c>
    </row>
    <row r="439" spans="1:10" x14ac:dyDescent="0.25">
      <c r="A439" s="1" t="str">
        <f ca="1">IF(A438="ID",1,IF(ISBLANK(B439),"",MAX(A$2:A438)+1))</f>
        <v/>
      </c>
      <c r="I439" s="2" t="str">
        <f ca="1">IF(ISNUMBER(A439),
IF(COUNTIFS(Equipar!B:B,2,Equipar!AC:AC,A439),"Equipada",
IF(
  OR(COUNTIFS(Equipar!B:B,2,Equipar!C:C,A439)
 +COUNTIFS(Equipar!B:B,2,Equipar!D:D,A439)
+COUNTIFS(Equipar!B:B,2,Equipar!E:E,A439)
+COUNTIFS(Equipar!B:B,2,Equipar!F:F,A439)
&gt;0,COUNTIF('Set recomendado'!B:B,C439)=0),
"Bloqueada",
"Desechable")),""
)</f>
        <v/>
      </c>
      <c r="J439" t="str" cm="1">
        <f t="array" aca="1" ref="J439" ca="1">IF(ISNUMBER(A439),IFERROR(_xlfn._xlws.FILTER(Equipar!A:A,(Equipar!B:B=2)*(Equipar!AC:AC=A439)),""),"")</f>
        <v/>
      </c>
    </row>
    <row r="440" spans="1:10" x14ac:dyDescent="0.25">
      <c r="A440" s="1" t="str">
        <f ca="1">IF(A439="ID",1,IF(ISBLANK(B440),"",MAX(A$2:A439)+1))</f>
        <v/>
      </c>
      <c r="I440" s="2" t="str">
        <f ca="1">IF(ISNUMBER(A440),
IF(COUNTIFS(Equipar!B:B,2,Equipar!AC:AC,A440),"Equipada",
IF(
  OR(COUNTIFS(Equipar!B:B,2,Equipar!C:C,A440)
 +COUNTIFS(Equipar!B:B,2,Equipar!D:D,A440)
+COUNTIFS(Equipar!B:B,2,Equipar!E:E,A440)
+COUNTIFS(Equipar!B:B,2,Equipar!F:F,A440)
&gt;0,COUNTIF('Set recomendado'!B:B,C440)=0),
"Bloqueada",
"Desechable")),""
)</f>
        <v/>
      </c>
      <c r="J440" t="str" cm="1">
        <f t="array" aca="1" ref="J440" ca="1">IF(ISNUMBER(A440),IFERROR(_xlfn._xlws.FILTER(Equipar!A:A,(Equipar!B:B=2)*(Equipar!AC:AC=A440)),""),"")</f>
        <v/>
      </c>
    </row>
    <row r="441" spans="1:10" x14ac:dyDescent="0.25">
      <c r="A441" s="1" t="str">
        <f ca="1">IF(A440="ID",1,IF(ISBLANK(B441),"",MAX(A$2:A440)+1))</f>
        <v/>
      </c>
      <c r="I441" s="2" t="str">
        <f ca="1">IF(ISNUMBER(A441),
IF(COUNTIFS(Equipar!B:B,2,Equipar!AC:AC,A441),"Equipada",
IF(
  OR(COUNTIFS(Equipar!B:B,2,Equipar!C:C,A441)
 +COUNTIFS(Equipar!B:B,2,Equipar!D:D,A441)
+COUNTIFS(Equipar!B:B,2,Equipar!E:E,A441)
+COUNTIFS(Equipar!B:B,2,Equipar!F:F,A441)
&gt;0,COUNTIF('Set recomendado'!B:B,C441)=0),
"Bloqueada",
"Desechable")),""
)</f>
        <v/>
      </c>
      <c r="J441" t="str" cm="1">
        <f t="array" aca="1" ref="J441" ca="1">IF(ISNUMBER(A441),IFERROR(_xlfn._xlws.FILTER(Equipar!A:A,(Equipar!B:B=2)*(Equipar!AC:AC=A441)),""),"")</f>
        <v/>
      </c>
    </row>
    <row r="442" spans="1:10" x14ac:dyDescent="0.25">
      <c r="A442" s="1" t="str">
        <f ca="1">IF(A441="ID",1,IF(ISBLANK(B442),"",MAX(A$2:A441)+1))</f>
        <v/>
      </c>
      <c r="I442" s="2" t="str">
        <f ca="1">IF(ISNUMBER(A442),
IF(COUNTIFS(Equipar!B:B,2,Equipar!AC:AC,A442),"Equipada",
IF(
  OR(COUNTIFS(Equipar!B:B,2,Equipar!C:C,A442)
 +COUNTIFS(Equipar!B:B,2,Equipar!D:D,A442)
+COUNTIFS(Equipar!B:B,2,Equipar!E:E,A442)
+COUNTIFS(Equipar!B:B,2,Equipar!F:F,A442)
&gt;0,COUNTIF('Set recomendado'!B:B,C442)=0),
"Bloqueada",
"Desechable")),""
)</f>
        <v/>
      </c>
      <c r="J442" t="str" cm="1">
        <f t="array" aca="1" ref="J442" ca="1">IF(ISNUMBER(A442),IFERROR(_xlfn._xlws.FILTER(Equipar!A:A,(Equipar!B:B=2)*(Equipar!AC:AC=A442)),""),"")</f>
        <v/>
      </c>
    </row>
    <row r="443" spans="1:10" x14ac:dyDescent="0.25">
      <c r="A443" s="1" t="str">
        <f ca="1">IF(A442="ID",1,IF(ISBLANK(B443),"",MAX(A$2:A442)+1))</f>
        <v/>
      </c>
      <c r="I443" s="2" t="str">
        <f ca="1">IF(ISNUMBER(A443),
IF(COUNTIFS(Equipar!B:B,2,Equipar!AC:AC,A443),"Equipada",
IF(
  OR(COUNTIFS(Equipar!B:B,2,Equipar!C:C,A443)
 +COUNTIFS(Equipar!B:B,2,Equipar!D:D,A443)
+COUNTIFS(Equipar!B:B,2,Equipar!E:E,A443)
+COUNTIFS(Equipar!B:B,2,Equipar!F:F,A443)
&gt;0,COUNTIF('Set recomendado'!B:B,C443)=0),
"Bloqueada",
"Desechable")),""
)</f>
        <v/>
      </c>
      <c r="J443" t="str" cm="1">
        <f t="array" aca="1" ref="J443" ca="1">IF(ISNUMBER(A443),IFERROR(_xlfn._xlws.FILTER(Equipar!A:A,(Equipar!B:B=2)*(Equipar!AC:AC=A443)),""),"")</f>
        <v/>
      </c>
    </row>
    <row r="444" spans="1:10" x14ac:dyDescent="0.25">
      <c r="A444" s="1" t="str">
        <f ca="1">IF(A443="ID",1,IF(ISBLANK(B444),"",MAX(A$2:A443)+1))</f>
        <v/>
      </c>
      <c r="I444" s="2" t="str">
        <f ca="1">IF(ISNUMBER(A444),
IF(COUNTIFS(Equipar!B:B,2,Equipar!AC:AC,A444),"Equipada",
IF(
  OR(COUNTIFS(Equipar!B:B,2,Equipar!C:C,A444)
 +COUNTIFS(Equipar!B:B,2,Equipar!D:D,A444)
+COUNTIFS(Equipar!B:B,2,Equipar!E:E,A444)
+COUNTIFS(Equipar!B:B,2,Equipar!F:F,A444)
&gt;0,COUNTIF('Set recomendado'!B:B,C444)=0),
"Bloqueada",
"Desechable")),""
)</f>
        <v/>
      </c>
      <c r="J444" t="str" cm="1">
        <f t="array" aca="1" ref="J444" ca="1">IF(ISNUMBER(A444),IFERROR(_xlfn._xlws.FILTER(Equipar!A:A,(Equipar!B:B=2)*(Equipar!AC:AC=A444)),""),"")</f>
        <v/>
      </c>
    </row>
    <row r="445" spans="1:10" x14ac:dyDescent="0.25">
      <c r="A445" s="1" t="str">
        <f ca="1">IF(A444="ID",1,IF(ISBLANK(B445),"",MAX(A$2:A444)+1))</f>
        <v/>
      </c>
      <c r="I445" s="2" t="str">
        <f ca="1">IF(ISNUMBER(A445),
IF(COUNTIFS(Equipar!B:B,2,Equipar!AC:AC,A445),"Equipada",
IF(
  OR(COUNTIFS(Equipar!B:B,2,Equipar!C:C,A445)
 +COUNTIFS(Equipar!B:B,2,Equipar!D:D,A445)
+COUNTIFS(Equipar!B:B,2,Equipar!E:E,A445)
+COUNTIFS(Equipar!B:B,2,Equipar!F:F,A445)
&gt;0,COUNTIF('Set recomendado'!B:B,C445)=0),
"Bloqueada",
"Desechable")),""
)</f>
        <v/>
      </c>
      <c r="J445" t="str" cm="1">
        <f t="array" aca="1" ref="J445" ca="1">IF(ISNUMBER(A445),IFERROR(_xlfn._xlws.FILTER(Equipar!A:A,(Equipar!B:B=2)*(Equipar!AC:AC=A445)),""),"")</f>
        <v/>
      </c>
    </row>
    <row r="446" spans="1:10" x14ac:dyDescent="0.25">
      <c r="A446" s="1" t="str">
        <f ca="1">IF(A445="ID",1,IF(ISBLANK(B446),"",MAX(A$2:A445)+1))</f>
        <v/>
      </c>
      <c r="I446" s="2" t="str">
        <f ca="1">IF(ISNUMBER(A446),
IF(COUNTIFS(Equipar!B:B,2,Equipar!AC:AC,A446),"Equipada",
IF(
  OR(COUNTIFS(Equipar!B:B,2,Equipar!C:C,A446)
 +COUNTIFS(Equipar!B:B,2,Equipar!D:D,A446)
+COUNTIFS(Equipar!B:B,2,Equipar!E:E,A446)
+COUNTIFS(Equipar!B:B,2,Equipar!F:F,A446)
&gt;0,COUNTIF('Set recomendado'!B:B,C446)=0),
"Bloqueada",
"Desechable")),""
)</f>
        <v/>
      </c>
      <c r="J446" t="str" cm="1">
        <f t="array" aca="1" ref="J446" ca="1">IF(ISNUMBER(A446),IFERROR(_xlfn._xlws.FILTER(Equipar!A:A,(Equipar!B:B=2)*(Equipar!AC:AC=A446)),""),"")</f>
        <v/>
      </c>
    </row>
    <row r="447" spans="1:10" x14ac:dyDescent="0.25">
      <c r="A447" s="1" t="str">
        <f ca="1">IF(A446="ID",1,IF(ISBLANK(B447),"",MAX(A$2:A446)+1))</f>
        <v/>
      </c>
      <c r="I447" s="2" t="str">
        <f ca="1">IF(ISNUMBER(A447),
IF(COUNTIFS(Equipar!B:B,2,Equipar!AC:AC,A447),"Equipada",
IF(
  OR(COUNTIFS(Equipar!B:B,2,Equipar!C:C,A447)
 +COUNTIFS(Equipar!B:B,2,Equipar!D:D,A447)
+COUNTIFS(Equipar!B:B,2,Equipar!E:E,A447)
+COUNTIFS(Equipar!B:B,2,Equipar!F:F,A447)
&gt;0,COUNTIF('Set recomendado'!B:B,C447)=0),
"Bloqueada",
"Desechable")),""
)</f>
        <v/>
      </c>
      <c r="J447" t="str" cm="1">
        <f t="array" aca="1" ref="J447" ca="1">IF(ISNUMBER(A447),IFERROR(_xlfn._xlws.FILTER(Equipar!A:A,(Equipar!B:B=2)*(Equipar!AC:AC=A447)),""),"")</f>
        <v/>
      </c>
    </row>
    <row r="448" spans="1:10" x14ac:dyDescent="0.25">
      <c r="A448" s="1" t="str">
        <f ca="1">IF(A447="ID",1,IF(ISBLANK(B448),"",MAX(A$2:A447)+1))</f>
        <v/>
      </c>
      <c r="I448" s="2" t="str">
        <f ca="1">IF(ISNUMBER(A448),
IF(COUNTIFS(Equipar!B:B,2,Equipar!AC:AC,A448),"Equipada",
IF(
  OR(COUNTIFS(Equipar!B:B,2,Equipar!C:C,A448)
 +COUNTIFS(Equipar!B:B,2,Equipar!D:D,A448)
+COUNTIFS(Equipar!B:B,2,Equipar!E:E,A448)
+COUNTIFS(Equipar!B:B,2,Equipar!F:F,A448)
&gt;0,COUNTIF('Set recomendado'!B:B,C448)=0),
"Bloqueada",
"Desechable")),""
)</f>
        <v/>
      </c>
      <c r="J448" t="str" cm="1">
        <f t="array" aca="1" ref="J448" ca="1">IF(ISNUMBER(A448),IFERROR(_xlfn._xlws.FILTER(Equipar!A:A,(Equipar!B:B=2)*(Equipar!AC:AC=A448)),""),"")</f>
        <v/>
      </c>
    </row>
    <row r="449" spans="1:10" x14ac:dyDescent="0.25">
      <c r="A449" s="1" t="str">
        <f ca="1">IF(A448="ID",1,IF(ISBLANK(B449),"",MAX(A$2:A448)+1))</f>
        <v/>
      </c>
      <c r="I449" s="2" t="str">
        <f ca="1">IF(ISNUMBER(A449),
IF(COUNTIFS(Equipar!B:B,2,Equipar!AC:AC,A449),"Equipada",
IF(
  OR(COUNTIFS(Equipar!B:B,2,Equipar!C:C,A449)
 +COUNTIFS(Equipar!B:B,2,Equipar!D:D,A449)
+COUNTIFS(Equipar!B:B,2,Equipar!E:E,A449)
+COUNTIFS(Equipar!B:B,2,Equipar!F:F,A449)
&gt;0,COUNTIF('Set recomendado'!B:B,C449)=0),
"Bloqueada",
"Desechable")),""
)</f>
        <v/>
      </c>
      <c r="J449" t="str" cm="1">
        <f t="array" aca="1" ref="J449" ca="1">IF(ISNUMBER(A449),IFERROR(_xlfn._xlws.FILTER(Equipar!A:A,(Equipar!B:B=2)*(Equipar!AC:AC=A449)),""),"")</f>
        <v/>
      </c>
    </row>
    <row r="450" spans="1:10" x14ac:dyDescent="0.25">
      <c r="A450" s="1" t="str">
        <f ca="1">IF(A449="ID",1,IF(ISBLANK(B450),"",MAX(A$2:A449)+1))</f>
        <v/>
      </c>
      <c r="I450" s="2" t="str">
        <f ca="1">IF(ISNUMBER(A450),
IF(COUNTIFS(Equipar!B:B,2,Equipar!AC:AC,A450),"Equipada",
IF(
  OR(COUNTIFS(Equipar!B:B,2,Equipar!C:C,A450)
 +COUNTIFS(Equipar!B:B,2,Equipar!D:D,A450)
+COUNTIFS(Equipar!B:B,2,Equipar!E:E,A450)
+COUNTIFS(Equipar!B:B,2,Equipar!F:F,A450)
&gt;0,COUNTIF('Set recomendado'!B:B,C450)=0),
"Bloqueada",
"Desechable")),""
)</f>
        <v/>
      </c>
      <c r="J450" t="str" cm="1">
        <f t="array" aca="1" ref="J450" ca="1">IF(ISNUMBER(A450),IFERROR(_xlfn._xlws.FILTER(Equipar!A:A,(Equipar!B:B=2)*(Equipar!AC:AC=A450)),""),"")</f>
        <v/>
      </c>
    </row>
    <row r="451" spans="1:10" x14ac:dyDescent="0.25">
      <c r="A451" s="1" t="str">
        <f ca="1">IF(A450="ID",1,IF(ISBLANK(B451),"",MAX(A$2:A450)+1))</f>
        <v/>
      </c>
      <c r="I451" s="2" t="str">
        <f ca="1">IF(ISNUMBER(A451),
IF(COUNTIFS(Equipar!B:B,2,Equipar!AC:AC,A451),"Equipada",
IF(
  OR(COUNTIFS(Equipar!B:B,2,Equipar!C:C,A451)
 +COUNTIFS(Equipar!B:B,2,Equipar!D:D,A451)
+COUNTIFS(Equipar!B:B,2,Equipar!E:E,A451)
+COUNTIFS(Equipar!B:B,2,Equipar!F:F,A451)
&gt;0,COUNTIF('Set recomendado'!B:B,C451)=0),
"Bloqueada",
"Desechable")),""
)</f>
        <v/>
      </c>
      <c r="J451" t="str" cm="1">
        <f t="array" aca="1" ref="J451" ca="1">IF(ISNUMBER(A451),IFERROR(_xlfn._xlws.FILTER(Equipar!A:A,(Equipar!B:B=2)*(Equipar!AC:AC=A451)),""),"")</f>
        <v/>
      </c>
    </row>
    <row r="452" spans="1:10" x14ac:dyDescent="0.25">
      <c r="A452" s="1" t="str">
        <f ca="1">IF(A451="ID",1,IF(ISBLANK(B452),"",MAX(A$2:A451)+1))</f>
        <v/>
      </c>
      <c r="I452" s="2" t="str">
        <f ca="1">IF(ISNUMBER(A452),
IF(COUNTIFS(Equipar!B:B,2,Equipar!AC:AC,A452),"Equipada",
IF(
  OR(COUNTIFS(Equipar!B:B,2,Equipar!C:C,A452)
 +COUNTIFS(Equipar!B:B,2,Equipar!D:D,A452)
+COUNTIFS(Equipar!B:B,2,Equipar!E:E,A452)
+COUNTIFS(Equipar!B:B,2,Equipar!F:F,A452)
&gt;0,COUNTIF('Set recomendado'!B:B,C452)=0),
"Bloqueada",
"Desechable")),""
)</f>
        <v/>
      </c>
      <c r="J452" t="str" cm="1">
        <f t="array" aca="1" ref="J452" ca="1">IF(ISNUMBER(A452),IFERROR(_xlfn._xlws.FILTER(Equipar!A:A,(Equipar!B:B=2)*(Equipar!AC:AC=A452)),""),"")</f>
        <v/>
      </c>
    </row>
    <row r="453" spans="1:10" x14ac:dyDescent="0.25">
      <c r="A453" s="1" t="str">
        <f ca="1">IF(A452="ID",1,IF(ISBLANK(B453),"",MAX(A$2:A452)+1))</f>
        <v/>
      </c>
      <c r="I453" s="2" t="str">
        <f ca="1">IF(ISNUMBER(A453),
IF(COUNTIFS(Equipar!B:B,2,Equipar!AC:AC,A453),"Equipada",
IF(
  OR(COUNTIFS(Equipar!B:B,2,Equipar!C:C,A453)
 +COUNTIFS(Equipar!B:B,2,Equipar!D:D,A453)
+COUNTIFS(Equipar!B:B,2,Equipar!E:E,A453)
+COUNTIFS(Equipar!B:B,2,Equipar!F:F,A453)
&gt;0,COUNTIF('Set recomendado'!B:B,C453)=0),
"Bloqueada",
"Desechable")),""
)</f>
        <v/>
      </c>
      <c r="J453" t="str" cm="1">
        <f t="array" aca="1" ref="J453" ca="1">IF(ISNUMBER(A453),IFERROR(_xlfn._xlws.FILTER(Equipar!A:A,(Equipar!B:B=2)*(Equipar!AC:AC=A453)),""),"")</f>
        <v/>
      </c>
    </row>
    <row r="454" spans="1:10" x14ac:dyDescent="0.25">
      <c r="A454" s="1" t="str">
        <f ca="1">IF(A453="ID",1,IF(ISBLANK(B454),"",MAX(A$2:A453)+1))</f>
        <v/>
      </c>
      <c r="I454" s="2" t="str">
        <f ca="1">IF(ISNUMBER(A454),
IF(COUNTIFS(Equipar!B:B,2,Equipar!AC:AC,A454),"Equipada",
IF(
  OR(COUNTIFS(Equipar!B:B,2,Equipar!C:C,A454)
 +COUNTIFS(Equipar!B:B,2,Equipar!D:D,A454)
+COUNTIFS(Equipar!B:B,2,Equipar!E:E,A454)
+COUNTIFS(Equipar!B:B,2,Equipar!F:F,A454)
&gt;0,COUNTIF('Set recomendado'!B:B,C454)=0),
"Bloqueada",
"Desechable")),""
)</f>
        <v/>
      </c>
      <c r="J454" t="str" cm="1">
        <f t="array" aca="1" ref="J454" ca="1">IF(ISNUMBER(A454),IFERROR(_xlfn._xlws.FILTER(Equipar!A:A,(Equipar!B:B=2)*(Equipar!AC:AC=A454)),""),"")</f>
        <v/>
      </c>
    </row>
    <row r="455" spans="1:10" x14ac:dyDescent="0.25">
      <c r="A455" s="1" t="str">
        <f ca="1">IF(A454="ID",1,IF(ISBLANK(B455),"",MAX(A$2:A454)+1))</f>
        <v/>
      </c>
      <c r="I455" s="2" t="str">
        <f ca="1">IF(ISNUMBER(A455),
IF(COUNTIFS(Equipar!B:B,2,Equipar!AC:AC,A455),"Equipada",
IF(
  OR(COUNTIFS(Equipar!B:B,2,Equipar!C:C,A455)
 +COUNTIFS(Equipar!B:B,2,Equipar!D:D,A455)
+COUNTIFS(Equipar!B:B,2,Equipar!E:E,A455)
+COUNTIFS(Equipar!B:B,2,Equipar!F:F,A455)
&gt;0,COUNTIF('Set recomendado'!B:B,C455)=0),
"Bloqueada",
"Desechable")),""
)</f>
        <v/>
      </c>
      <c r="J455" t="str" cm="1">
        <f t="array" aca="1" ref="J455" ca="1">IF(ISNUMBER(A455),IFERROR(_xlfn._xlws.FILTER(Equipar!A:A,(Equipar!B:B=2)*(Equipar!AC:AC=A455)),""),"")</f>
        <v/>
      </c>
    </row>
    <row r="456" spans="1:10" x14ac:dyDescent="0.25">
      <c r="A456" s="1" t="str">
        <f ca="1">IF(A455="ID",1,IF(ISBLANK(B456),"",MAX(A$2:A455)+1))</f>
        <v/>
      </c>
      <c r="I456" s="2" t="str">
        <f ca="1">IF(ISNUMBER(A456),
IF(COUNTIFS(Equipar!B:B,2,Equipar!AC:AC,A456),"Equipada",
IF(
  OR(COUNTIFS(Equipar!B:B,2,Equipar!C:C,A456)
 +COUNTIFS(Equipar!B:B,2,Equipar!D:D,A456)
+COUNTIFS(Equipar!B:B,2,Equipar!E:E,A456)
+COUNTIFS(Equipar!B:B,2,Equipar!F:F,A456)
&gt;0,COUNTIF('Set recomendado'!B:B,C456)=0),
"Bloqueada",
"Desechable")),""
)</f>
        <v/>
      </c>
      <c r="J456" t="str" cm="1">
        <f t="array" aca="1" ref="J456" ca="1">IF(ISNUMBER(A456),IFERROR(_xlfn._xlws.FILTER(Equipar!A:A,(Equipar!B:B=2)*(Equipar!AC:AC=A456)),""),"")</f>
        <v/>
      </c>
    </row>
    <row r="457" spans="1:10" x14ac:dyDescent="0.25">
      <c r="A457" s="1" t="str">
        <f ca="1">IF(A456="ID",1,IF(ISBLANK(B457),"",MAX(A$2:A456)+1))</f>
        <v/>
      </c>
      <c r="I457" s="2" t="str">
        <f ca="1">IF(ISNUMBER(A457),
IF(COUNTIFS(Equipar!B:B,2,Equipar!AC:AC,A457),"Equipada",
IF(
  OR(COUNTIFS(Equipar!B:B,2,Equipar!C:C,A457)
 +COUNTIFS(Equipar!B:B,2,Equipar!D:D,A457)
+COUNTIFS(Equipar!B:B,2,Equipar!E:E,A457)
+COUNTIFS(Equipar!B:B,2,Equipar!F:F,A457)
&gt;0,COUNTIF('Set recomendado'!B:B,C457)=0),
"Bloqueada",
"Desechable")),""
)</f>
        <v/>
      </c>
      <c r="J457" t="str" cm="1">
        <f t="array" aca="1" ref="J457" ca="1">IF(ISNUMBER(A457),IFERROR(_xlfn._xlws.FILTER(Equipar!A:A,(Equipar!B:B=2)*(Equipar!AC:AC=A457)),""),"")</f>
        <v/>
      </c>
    </row>
    <row r="458" spans="1:10" x14ac:dyDescent="0.25">
      <c r="A458" s="1" t="str">
        <f ca="1">IF(A457="ID",1,IF(ISBLANK(B458),"",MAX(A$2:A457)+1))</f>
        <v/>
      </c>
      <c r="I458" s="2" t="str">
        <f ca="1">IF(ISNUMBER(A458),
IF(COUNTIFS(Equipar!B:B,2,Equipar!AC:AC,A458),"Equipada",
IF(
  OR(COUNTIFS(Equipar!B:B,2,Equipar!C:C,A458)
 +COUNTIFS(Equipar!B:B,2,Equipar!D:D,A458)
+COUNTIFS(Equipar!B:B,2,Equipar!E:E,A458)
+COUNTIFS(Equipar!B:B,2,Equipar!F:F,A458)
&gt;0,COUNTIF('Set recomendado'!B:B,C458)=0),
"Bloqueada",
"Desechable")),""
)</f>
        <v/>
      </c>
      <c r="J458" t="str" cm="1">
        <f t="array" aca="1" ref="J458" ca="1">IF(ISNUMBER(A458),IFERROR(_xlfn._xlws.FILTER(Equipar!A:A,(Equipar!B:B=2)*(Equipar!AC:AC=A458)),""),"")</f>
        <v/>
      </c>
    </row>
    <row r="459" spans="1:10" x14ac:dyDescent="0.25">
      <c r="A459" s="1" t="str">
        <f ca="1">IF(A458="ID",1,IF(ISBLANK(B459),"",MAX(A$2:A458)+1))</f>
        <v/>
      </c>
      <c r="I459" s="2" t="str">
        <f ca="1">IF(ISNUMBER(A459),
IF(COUNTIFS(Equipar!B:B,2,Equipar!AC:AC,A459),"Equipada",
IF(
  OR(COUNTIFS(Equipar!B:B,2,Equipar!C:C,A459)
 +COUNTIFS(Equipar!B:B,2,Equipar!D:D,A459)
+COUNTIFS(Equipar!B:B,2,Equipar!E:E,A459)
+COUNTIFS(Equipar!B:B,2,Equipar!F:F,A459)
&gt;0,COUNTIF('Set recomendado'!B:B,C459)=0),
"Bloqueada",
"Desechable")),""
)</f>
        <v/>
      </c>
      <c r="J459" t="str" cm="1">
        <f t="array" aca="1" ref="J459" ca="1">IF(ISNUMBER(A459),IFERROR(_xlfn._xlws.FILTER(Equipar!A:A,(Equipar!B:B=2)*(Equipar!AC:AC=A459)),""),"")</f>
        <v/>
      </c>
    </row>
    <row r="460" spans="1:10" x14ac:dyDescent="0.25">
      <c r="A460" s="1" t="str">
        <f ca="1">IF(A459="ID",1,IF(ISBLANK(B460),"",MAX(A$2:A459)+1))</f>
        <v/>
      </c>
      <c r="I460" s="2" t="str">
        <f ca="1">IF(ISNUMBER(A460),
IF(COUNTIFS(Equipar!B:B,2,Equipar!AC:AC,A460),"Equipada",
IF(
  OR(COUNTIFS(Equipar!B:B,2,Equipar!C:C,A460)
 +COUNTIFS(Equipar!B:B,2,Equipar!D:D,A460)
+COUNTIFS(Equipar!B:B,2,Equipar!E:E,A460)
+COUNTIFS(Equipar!B:B,2,Equipar!F:F,A460)
&gt;0,COUNTIF('Set recomendado'!B:B,C460)=0),
"Bloqueada",
"Desechable")),""
)</f>
        <v/>
      </c>
      <c r="J460" t="str" cm="1">
        <f t="array" aca="1" ref="J460" ca="1">IF(ISNUMBER(A460),IFERROR(_xlfn._xlws.FILTER(Equipar!A:A,(Equipar!B:B=2)*(Equipar!AC:AC=A460)),""),"")</f>
        <v/>
      </c>
    </row>
    <row r="461" spans="1:10" x14ac:dyDescent="0.25">
      <c r="A461" s="1" t="str">
        <f ca="1">IF(A460="ID",1,IF(ISBLANK(B461),"",MAX(A$2:A460)+1))</f>
        <v/>
      </c>
      <c r="I461" s="2" t="str">
        <f ca="1">IF(ISNUMBER(A461),
IF(COUNTIFS(Equipar!B:B,2,Equipar!AC:AC,A461),"Equipada",
IF(
  OR(COUNTIFS(Equipar!B:B,2,Equipar!C:C,A461)
 +COUNTIFS(Equipar!B:B,2,Equipar!D:D,A461)
+COUNTIFS(Equipar!B:B,2,Equipar!E:E,A461)
+COUNTIFS(Equipar!B:B,2,Equipar!F:F,A461)
&gt;0,COUNTIF('Set recomendado'!B:B,C461)=0),
"Bloqueada",
"Desechable")),""
)</f>
        <v/>
      </c>
      <c r="J461" t="str" cm="1">
        <f t="array" aca="1" ref="J461" ca="1">IF(ISNUMBER(A461),IFERROR(_xlfn._xlws.FILTER(Equipar!A:A,(Equipar!B:B=2)*(Equipar!AC:AC=A461)),""),"")</f>
        <v/>
      </c>
    </row>
    <row r="462" spans="1:10" x14ac:dyDescent="0.25">
      <c r="A462" s="1" t="str">
        <f ca="1">IF(A461="ID",1,IF(ISBLANK(B462),"",MAX(A$2:A461)+1))</f>
        <v/>
      </c>
      <c r="I462" s="2" t="str">
        <f ca="1">IF(ISNUMBER(A462),
IF(COUNTIFS(Equipar!B:B,2,Equipar!AC:AC,A462),"Equipada",
IF(
  OR(COUNTIFS(Equipar!B:B,2,Equipar!C:C,A462)
 +COUNTIFS(Equipar!B:B,2,Equipar!D:D,A462)
+COUNTIFS(Equipar!B:B,2,Equipar!E:E,A462)
+COUNTIFS(Equipar!B:B,2,Equipar!F:F,A462)
&gt;0,COUNTIF('Set recomendado'!B:B,C462)=0),
"Bloqueada",
"Desechable")),""
)</f>
        <v/>
      </c>
      <c r="J462" t="str" cm="1">
        <f t="array" aca="1" ref="J462" ca="1">IF(ISNUMBER(A462),IFERROR(_xlfn._xlws.FILTER(Equipar!A:A,(Equipar!B:B=2)*(Equipar!AC:AC=A462)),""),"")</f>
        <v/>
      </c>
    </row>
    <row r="463" spans="1:10" x14ac:dyDescent="0.25">
      <c r="A463" s="1" t="str">
        <f ca="1">IF(A462="ID",1,IF(ISBLANK(B463),"",MAX(A$2:A462)+1))</f>
        <v/>
      </c>
      <c r="I463" s="2" t="str">
        <f ca="1">IF(ISNUMBER(A463),
IF(COUNTIFS(Equipar!B:B,2,Equipar!AC:AC,A463),"Equipada",
IF(
  OR(COUNTIFS(Equipar!B:B,2,Equipar!C:C,A463)
 +COUNTIFS(Equipar!B:B,2,Equipar!D:D,A463)
+COUNTIFS(Equipar!B:B,2,Equipar!E:E,A463)
+COUNTIFS(Equipar!B:B,2,Equipar!F:F,A463)
&gt;0,COUNTIF('Set recomendado'!B:B,C463)=0),
"Bloqueada",
"Desechable")),""
)</f>
        <v/>
      </c>
      <c r="J463" t="str" cm="1">
        <f t="array" aca="1" ref="J463" ca="1">IF(ISNUMBER(A463),IFERROR(_xlfn._xlws.FILTER(Equipar!A:A,(Equipar!B:B=2)*(Equipar!AC:AC=A463)),""),"")</f>
        <v/>
      </c>
    </row>
    <row r="464" spans="1:10" x14ac:dyDescent="0.25">
      <c r="A464" s="1" t="str">
        <f ca="1">IF(A463="ID",1,IF(ISBLANK(B464),"",MAX(A$2:A463)+1))</f>
        <v/>
      </c>
      <c r="I464" s="2" t="str">
        <f ca="1">IF(ISNUMBER(A464),
IF(COUNTIFS(Equipar!B:B,2,Equipar!AC:AC,A464),"Equipada",
IF(
  OR(COUNTIFS(Equipar!B:B,2,Equipar!C:C,A464)
 +COUNTIFS(Equipar!B:B,2,Equipar!D:D,A464)
+COUNTIFS(Equipar!B:B,2,Equipar!E:E,A464)
+COUNTIFS(Equipar!B:B,2,Equipar!F:F,A464)
&gt;0,COUNTIF('Set recomendado'!B:B,C464)=0),
"Bloqueada",
"Desechable")),""
)</f>
        <v/>
      </c>
      <c r="J464" t="str" cm="1">
        <f t="array" aca="1" ref="J464" ca="1">IF(ISNUMBER(A464),IFERROR(_xlfn._xlws.FILTER(Equipar!A:A,(Equipar!B:B=2)*(Equipar!AC:AC=A464)),""),"")</f>
        <v/>
      </c>
    </row>
    <row r="465" spans="1:10" x14ac:dyDescent="0.25">
      <c r="A465" s="1" t="str">
        <f ca="1">IF(A464="ID",1,IF(ISBLANK(B465),"",MAX(A$2:A464)+1))</f>
        <v/>
      </c>
      <c r="I465" s="2" t="str">
        <f ca="1">IF(ISNUMBER(A465),
IF(COUNTIFS(Equipar!B:B,2,Equipar!AC:AC,A465),"Equipada",
IF(
  OR(COUNTIFS(Equipar!B:B,2,Equipar!C:C,A465)
 +COUNTIFS(Equipar!B:B,2,Equipar!D:D,A465)
+COUNTIFS(Equipar!B:B,2,Equipar!E:E,A465)
+COUNTIFS(Equipar!B:B,2,Equipar!F:F,A465)
&gt;0,COUNTIF('Set recomendado'!B:B,C465)=0),
"Bloqueada",
"Desechable")),""
)</f>
        <v/>
      </c>
      <c r="J465" t="str" cm="1">
        <f t="array" aca="1" ref="J465" ca="1">IF(ISNUMBER(A465),IFERROR(_xlfn._xlws.FILTER(Equipar!A:A,(Equipar!B:B=2)*(Equipar!AC:AC=A465)),""),"")</f>
        <v/>
      </c>
    </row>
    <row r="466" spans="1:10" x14ac:dyDescent="0.25">
      <c r="A466" s="1" t="str">
        <f ca="1">IF(A465="ID",1,IF(ISBLANK(B466),"",MAX(A$2:A465)+1))</f>
        <v/>
      </c>
      <c r="I466" s="2" t="str">
        <f ca="1">IF(ISNUMBER(A466),
IF(COUNTIFS(Equipar!B:B,2,Equipar!AC:AC,A466),"Equipada",
IF(
  OR(COUNTIFS(Equipar!B:B,2,Equipar!C:C,A466)
 +COUNTIFS(Equipar!B:B,2,Equipar!D:D,A466)
+COUNTIFS(Equipar!B:B,2,Equipar!E:E,A466)
+COUNTIFS(Equipar!B:B,2,Equipar!F:F,A466)
&gt;0,COUNTIF('Set recomendado'!B:B,C466)=0),
"Bloqueada",
"Desechable")),""
)</f>
        <v/>
      </c>
      <c r="J466" t="str" cm="1">
        <f t="array" aca="1" ref="J466" ca="1">IF(ISNUMBER(A466),IFERROR(_xlfn._xlws.FILTER(Equipar!A:A,(Equipar!B:B=2)*(Equipar!AC:AC=A466)),""),"")</f>
        <v/>
      </c>
    </row>
    <row r="467" spans="1:10" x14ac:dyDescent="0.25">
      <c r="A467" s="1" t="str">
        <f ca="1">IF(A466="ID",1,IF(ISBLANK(B467),"",MAX(A$2:A466)+1))</f>
        <v/>
      </c>
      <c r="I467" s="2" t="str">
        <f ca="1">IF(ISNUMBER(A467),
IF(COUNTIFS(Equipar!B:B,2,Equipar!AC:AC,A467),"Equipada",
IF(
  OR(COUNTIFS(Equipar!B:B,2,Equipar!C:C,A467)
 +COUNTIFS(Equipar!B:B,2,Equipar!D:D,A467)
+COUNTIFS(Equipar!B:B,2,Equipar!E:E,A467)
+COUNTIFS(Equipar!B:B,2,Equipar!F:F,A467)
&gt;0,COUNTIF('Set recomendado'!B:B,C467)=0),
"Bloqueada",
"Desechable")),""
)</f>
        <v/>
      </c>
      <c r="J467" t="str" cm="1">
        <f t="array" aca="1" ref="J467" ca="1">IF(ISNUMBER(A467),IFERROR(_xlfn._xlws.FILTER(Equipar!A:A,(Equipar!B:B=2)*(Equipar!AC:AC=A467)),""),"")</f>
        <v/>
      </c>
    </row>
    <row r="468" spans="1:10" x14ac:dyDescent="0.25">
      <c r="A468" s="1" t="str">
        <f ca="1">IF(A467="ID",1,IF(ISBLANK(B468),"",MAX(A$2:A467)+1))</f>
        <v/>
      </c>
      <c r="I468" s="2" t="str">
        <f ca="1">IF(ISNUMBER(A468),
IF(COUNTIFS(Equipar!B:B,2,Equipar!AC:AC,A468),"Equipada",
IF(
  OR(COUNTIFS(Equipar!B:B,2,Equipar!C:C,A468)
 +COUNTIFS(Equipar!B:B,2,Equipar!D:D,A468)
+COUNTIFS(Equipar!B:B,2,Equipar!E:E,A468)
+COUNTIFS(Equipar!B:B,2,Equipar!F:F,A468)
&gt;0,COUNTIF('Set recomendado'!B:B,C468)=0),
"Bloqueada",
"Desechable")),""
)</f>
        <v/>
      </c>
      <c r="J468" t="str" cm="1">
        <f t="array" aca="1" ref="J468" ca="1">IF(ISNUMBER(A468),IFERROR(_xlfn._xlws.FILTER(Equipar!A:A,(Equipar!B:B=2)*(Equipar!AC:AC=A468)),""),"")</f>
        <v/>
      </c>
    </row>
    <row r="469" spans="1:10" x14ac:dyDescent="0.25">
      <c r="A469" s="1" t="str">
        <f ca="1">IF(A468="ID",1,IF(ISBLANK(B469),"",MAX(A$2:A468)+1))</f>
        <v/>
      </c>
      <c r="I469" s="2" t="str">
        <f ca="1">IF(ISNUMBER(A469),
IF(COUNTIFS(Equipar!B:B,2,Equipar!AC:AC,A469),"Equipada",
IF(
  OR(COUNTIFS(Equipar!B:B,2,Equipar!C:C,A469)
 +COUNTIFS(Equipar!B:B,2,Equipar!D:D,A469)
+COUNTIFS(Equipar!B:B,2,Equipar!E:E,A469)
+COUNTIFS(Equipar!B:B,2,Equipar!F:F,A469)
&gt;0,COUNTIF('Set recomendado'!B:B,C469)=0),
"Bloqueada",
"Desechable")),""
)</f>
        <v/>
      </c>
      <c r="J469" t="str" cm="1">
        <f t="array" aca="1" ref="J469" ca="1">IF(ISNUMBER(A469),IFERROR(_xlfn._xlws.FILTER(Equipar!A:A,(Equipar!B:B=2)*(Equipar!AC:AC=A469)),""),"")</f>
        <v/>
      </c>
    </row>
    <row r="470" spans="1:10" x14ac:dyDescent="0.25">
      <c r="A470" s="1" t="str">
        <f ca="1">IF(A469="ID",1,IF(ISBLANK(B470),"",MAX(A$2:A469)+1))</f>
        <v/>
      </c>
      <c r="I470" s="2" t="str">
        <f ca="1">IF(ISNUMBER(A470),
IF(COUNTIFS(Equipar!B:B,2,Equipar!AC:AC,A470),"Equipada",
IF(
  OR(COUNTIFS(Equipar!B:B,2,Equipar!C:C,A470)
 +COUNTIFS(Equipar!B:B,2,Equipar!D:D,A470)
+COUNTIFS(Equipar!B:B,2,Equipar!E:E,A470)
+COUNTIFS(Equipar!B:B,2,Equipar!F:F,A470)
&gt;0,COUNTIF('Set recomendado'!B:B,C470)=0),
"Bloqueada",
"Desechable")),""
)</f>
        <v/>
      </c>
      <c r="J470" t="str" cm="1">
        <f t="array" aca="1" ref="J470" ca="1">IF(ISNUMBER(A470),IFERROR(_xlfn._xlws.FILTER(Equipar!A:A,(Equipar!B:B=2)*(Equipar!AC:AC=A470)),""),"")</f>
        <v/>
      </c>
    </row>
    <row r="471" spans="1:10" x14ac:dyDescent="0.25">
      <c r="A471" s="1" t="str">
        <f ca="1">IF(A470="ID",1,IF(ISBLANK(B471),"",MAX(A$2:A470)+1))</f>
        <v/>
      </c>
      <c r="I471" s="2" t="str">
        <f ca="1">IF(ISNUMBER(A471),
IF(COUNTIFS(Equipar!B:B,2,Equipar!AC:AC,A471),"Equipada",
IF(
  OR(COUNTIFS(Equipar!B:B,2,Equipar!C:C,A471)
 +COUNTIFS(Equipar!B:B,2,Equipar!D:D,A471)
+COUNTIFS(Equipar!B:B,2,Equipar!E:E,A471)
+COUNTIFS(Equipar!B:B,2,Equipar!F:F,A471)
&gt;0,COUNTIF('Set recomendado'!B:B,C471)=0),
"Bloqueada",
"Desechable")),""
)</f>
        <v/>
      </c>
      <c r="J471" t="str" cm="1">
        <f t="array" aca="1" ref="J471" ca="1">IF(ISNUMBER(A471),IFERROR(_xlfn._xlws.FILTER(Equipar!A:A,(Equipar!B:B=2)*(Equipar!AC:AC=A471)),""),"")</f>
        <v/>
      </c>
    </row>
    <row r="472" spans="1:10" x14ac:dyDescent="0.25">
      <c r="A472" s="1" t="str">
        <f ca="1">IF(A471="ID",1,IF(ISBLANK(B472),"",MAX(A$2:A471)+1))</f>
        <v/>
      </c>
      <c r="I472" s="2" t="str">
        <f ca="1">IF(ISNUMBER(A472),
IF(COUNTIFS(Equipar!B:B,2,Equipar!AC:AC,A472),"Equipada",
IF(
  OR(COUNTIFS(Equipar!B:B,2,Equipar!C:C,A472)
 +COUNTIFS(Equipar!B:B,2,Equipar!D:D,A472)
+COUNTIFS(Equipar!B:B,2,Equipar!E:E,A472)
+COUNTIFS(Equipar!B:B,2,Equipar!F:F,A472)
&gt;0,COUNTIF('Set recomendado'!B:B,C472)=0),
"Bloqueada",
"Desechable")),""
)</f>
        <v/>
      </c>
      <c r="J472" t="str" cm="1">
        <f t="array" aca="1" ref="J472" ca="1">IF(ISNUMBER(A472),IFERROR(_xlfn._xlws.FILTER(Equipar!A:A,(Equipar!B:B=2)*(Equipar!AC:AC=A472)),""),"")</f>
        <v/>
      </c>
    </row>
    <row r="473" spans="1:10" x14ac:dyDescent="0.25">
      <c r="A473" s="1" t="str">
        <f ca="1">IF(A472="ID",1,IF(ISBLANK(B473),"",MAX(A$2:A472)+1))</f>
        <v/>
      </c>
      <c r="I473" s="2" t="str">
        <f ca="1">IF(ISNUMBER(A473),
IF(COUNTIFS(Equipar!B:B,2,Equipar!AC:AC,A473),"Equipada",
IF(
  OR(COUNTIFS(Equipar!B:B,2,Equipar!C:C,A473)
 +COUNTIFS(Equipar!B:B,2,Equipar!D:D,A473)
+COUNTIFS(Equipar!B:B,2,Equipar!E:E,A473)
+COUNTIFS(Equipar!B:B,2,Equipar!F:F,A473)
&gt;0,COUNTIF('Set recomendado'!B:B,C473)=0),
"Bloqueada",
"Desechable")),""
)</f>
        <v/>
      </c>
      <c r="J473" t="str" cm="1">
        <f t="array" aca="1" ref="J473" ca="1">IF(ISNUMBER(A473),IFERROR(_xlfn._xlws.FILTER(Equipar!A:A,(Equipar!B:B=2)*(Equipar!AC:AC=A473)),""),"")</f>
        <v/>
      </c>
    </row>
    <row r="474" spans="1:10" x14ac:dyDescent="0.25">
      <c r="A474" s="1" t="str">
        <f ca="1">IF(A473="ID",1,IF(ISBLANK(B474),"",MAX(A$2:A473)+1))</f>
        <v/>
      </c>
      <c r="I474" s="2" t="str">
        <f ca="1">IF(ISNUMBER(A474),
IF(COUNTIFS(Equipar!B:B,2,Equipar!AC:AC,A474),"Equipada",
IF(
  OR(COUNTIFS(Equipar!B:B,2,Equipar!C:C,A474)
 +COUNTIFS(Equipar!B:B,2,Equipar!D:D,A474)
+COUNTIFS(Equipar!B:B,2,Equipar!E:E,A474)
+COUNTIFS(Equipar!B:B,2,Equipar!F:F,A474)
&gt;0,COUNTIF('Set recomendado'!B:B,C474)=0),
"Bloqueada",
"Desechable")),""
)</f>
        <v/>
      </c>
      <c r="J474" t="str" cm="1">
        <f t="array" aca="1" ref="J474" ca="1">IF(ISNUMBER(A474),IFERROR(_xlfn._xlws.FILTER(Equipar!A:A,(Equipar!B:B=2)*(Equipar!AC:AC=A474)),""),"")</f>
        <v/>
      </c>
    </row>
    <row r="475" spans="1:10" x14ac:dyDescent="0.25">
      <c r="A475" s="1" t="str">
        <f ca="1">IF(A474="ID",1,IF(ISBLANK(B475),"",MAX(A$2:A474)+1))</f>
        <v/>
      </c>
      <c r="I475" s="2" t="str">
        <f ca="1">IF(ISNUMBER(A475),
IF(COUNTIFS(Equipar!B:B,2,Equipar!AC:AC,A475),"Equipada",
IF(
  OR(COUNTIFS(Equipar!B:B,2,Equipar!C:C,A475)
 +COUNTIFS(Equipar!B:B,2,Equipar!D:D,A475)
+COUNTIFS(Equipar!B:B,2,Equipar!E:E,A475)
+COUNTIFS(Equipar!B:B,2,Equipar!F:F,A475)
&gt;0,COUNTIF('Set recomendado'!B:B,C475)=0),
"Bloqueada",
"Desechable")),""
)</f>
        <v/>
      </c>
      <c r="J475" t="str" cm="1">
        <f t="array" aca="1" ref="J475" ca="1">IF(ISNUMBER(A475),IFERROR(_xlfn._xlws.FILTER(Equipar!A:A,(Equipar!B:B=2)*(Equipar!AC:AC=A475)),""),"")</f>
        <v/>
      </c>
    </row>
    <row r="476" spans="1:10" x14ac:dyDescent="0.25">
      <c r="A476" s="1" t="str">
        <f ca="1">IF(A475="ID",1,IF(ISBLANK(B476),"",MAX(A$2:A475)+1))</f>
        <v/>
      </c>
      <c r="I476" s="2" t="str">
        <f ca="1">IF(ISNUMBER(A476),
IF(COUNTIFS(Equipar!B:B,2,Equipar!AC:AC,A476),"Equipada",
IF(
  OR(COUNTIFS(Equipar!B:B,2,Equipar!C:C,A476)
 +COUNTIFS(Equipar!B:B,2,Equipar!D:D,A476)
+COUNTIFS(Equipar!B:B,2,Equipar!E:E,A476)
+COUNTIFS(Equipar!B:B,2,Equipar!F:F,A476)
&gt;0,COUNTIF('Set recomendado'!B:B,C476)=0),
"Bloqueada",
"Desechable")),""
)</f>
        <v/>
      </c>
      <c r="J476" t="str" cm="1">
        <f t="array" aca="1" ref="J476" ca="1">IF(ISNUMBER(A476),IFERROR(_xlfn._xlws.FILTER(Equipar!A:A,(Equipar!B:B=2)*(Equipar!AC:AC=A476)),""),"")</f>
        <v/>
      </c>
    </row>
    <row r="477" spans="1:10" x14ac:dyDescent="0.25">
      <c r="A477" s="1" t="str">
        <f ca="1">IF(A476="ID",1,IF(ISBLANK(B477),"",MAX(A$2:A476)+1))</f>
        <v/>
      </c>
      <c r="I477" s="2" t="str">
        <f ca="1">IF(ISNUMBER(A477),
IF(COUNTIFS(Equipar!B:B,2,Equipar!AC:AC,A477),"Equipada",
IF(
  OR(COUNTIFS(Equipar!B:B,2,Equipar!C:C,A477)
 +COUNTIFS(Equipar!B:B,2,Equipar!D:D,A477)
+COUNTIFS(Equipar!B:B,2,Equipar!E:E,A477)
+COUNTIFS(Equipar!B:B,2,Equipar!F:F,A477)
&gt;0,COUNTIF('Set recomendado'!B:B,C477)=0),
"Bloqueada",
"Desechable")),""
)</f>
        <v/>
      </c>
      <c r="J477" t="str" cm="1">
        <f t="array" aca="1" ref="J477" ca="1">IF(ISNUMBER(A477),IFERROR(_xlfn._xlws.FILTER(Equipar!A:A,(Equipar!B:B=2)*(Equipar!AC:AC=A477)),""),"")</f>
        <v/>
      </c>
    </row>
    <row r="478" spans="1:10" x14ac:dyDescent="0.25">
      <c r="A478" s="1" t="str">
        <f ca="1">IF(A477="ID",1,IF(ISBLANK(B478),"",MAX(A$2:A477)+1))</f>
        <v/>
      </c>
      <c r="I478" s="2" t="str">
        <f ca="1">IF(ISNUMBER(A478),
IF(COUNTIFS(Equipar!B:B,2,Equipar!AC:AC,A478),"Equipada",
IF(
  OR(COUNTIFS(Equipar!B:B,2,Equipar!C:C,A478)
 +COUNTIFS(Equipar!B:B,2,Equipar!D:D,A478)
+COUNTIFS(Equipar!B:B,2,Equipar!E:E,A478)
+COUNTIFS(Equipar!B:B,2,Equipar!F:F,A478)
&gt;0,COUNTIF('Set recomendado'!B:B,C478)=0),
"Bloqueada",
"Desechable")),""
)</f>
        <v/>
      </c>
      <c r="J478" t="str" cm="1">
        <f t="array" aca="1" ref="J478" ca="1">IF(ISNUMBER(A478),IFERROR(_xlfn._xlws.FILTER(Equipar!A:A,(Equipar!B:B=2)*(Equipar!AC:AC=A478)),""),"")</f>
        <v/>
      </c>
    </row>
    <row r="479" spans="1:10" x14ac:dyDescent="0.25">
      <c r="A479" s="1" t="str">
        <f ca="1">IF(A478="ID",1,IF(ISBLANK(B479),"",MAX(A$2:A478)+1))</f>
        <v/>
      </c>
      <c r="I479" s="2" t="str">
        <f ca="1">IF(ISNUMBER(A479),
IF(COUNTIFS(Equipar!B:B,2,Equipar!AC:AC,A479),"Equipada",
IF(
  OR(COUNTIFS(Equipar!B:B,2,Equipar!C:C,A479)
 +COUNTIFS(Equipar!B:B,2,Equipar!D:D,A479)
+COUNTIFS(Equipar!B:B,2,Equipar!E:E,A479)
+COUNTIFS(Equipar!B:B,2,Equipar!F:F,A479)
&gt;0,COUNTIF('Set recomendado'!B:B,C479)=0),
"Bloqueada",
"Desechable")),""
)</f>
        <v/>
      </c>
      <c r="J479" t="str" cm="1">
        <f t="array" aca="1" ref="J479" ca="1">IF(ISNUMBER(A479),IFERROR(_xlfn._xlws.FILTER(Equipar!A:A,(Equipar!B:B=2)*(Equipar!AC:AC=A479)),""),"")</f>
        <v/>
      </c>
    </row>
    <row r="480" spans="1:10" x14ac:dyDescent="0.25">
      <c r="A480" s="1" t="str">
        <f ca="1">IF(A479="ID",1,IF(ISBLANK(B480),"",MAX(A$2:A479)+1))</f>
        <v/>
      </c>
      <c r="I480" s="2" t="str">
        <f ca="1">IF(ISNUMBER(A480),
IF(COUNTIFS(Equipar!B:B,2,Equipar!AC:AC,A480),"Equipada",
IF(
  OR(COUNTIFS(Equipar!B:B,2,Equipar!C:C,A480)
 +COUNTIFS(Equipar!B:B,2,Equipar!D:D,A480)
+COUNTIFS(Equipar!B:B,2,Equipar!E:E,A480)
+COUNTIFS(Equipar!B:B,2,Equipar!F:F,A480)
&gt;0,COUNTIF('Set recomendado'!B:B,C480)=0),
"Bloqueada",
"Desechable")),""
)</f>
        <v/>
      </c>
      <c r="J480" t="str" cm="1">
        <f t="array" aca="1" ref="J480" ca="1">IF(ISNUMBER(A480),IFERROR(_xlfn._xlws.FILTER(Equipar!A:A,(Equipar!B:B=2)*(Equipar!AC:AC=A480)),""),"")</f>
        <v/>
      </c>
    </row>
    <row r="481" spans="1:10" x14ac:dyDescent="0.25">
      <c r="A481" s="1" t="str">
        <f ca="1">IF(A480="ID",1,IF(ISBLANK(B481),"",MAX(A$2:A480)+1))</f>
        <v/>
      </c>
      <c r="I481" s="2" t="str">
        <f ca="1">IF(ISNUMBER(A481),
IF(COUNTIFS(Equipar!B:B,2,Equipar!AC:AC,A481),"Equipada",
IF(
  OR(COUNTIFS(Equipar!B:B,2,Equipar!C:C,A481)
 +COUNTIFS(Equipar!B:B,2,Equipar!D:D,A481)
+COUNTIFS(Equipar!B:B,2,Equipar!E:E,A481)
+COUNTIFS(Equipar!B:B,2,Equipar!F:F,A481)
&gt;0,COUNTIF('Set recomendado'!B:B,C481)=0),
"Bloqueada",
"Desechable")),""
)</f>
        <v/>
      </c>
      <c r="J481" t="str" cm="1">
        <f t="array" aca="1" ref="J481" ca="1">IF(ISNUMBER(A481),IFERROR(_xlfn._xlws.FILTER(Equipar!A:A,(Equipar!B:B=2)*(Equipar!AC:AC=A481)),""),"")</f>
        <v/>
      </c>
    </row>
    <row r="482" spans="1:10" x14ac:dyDescent="0.25">
      <c r="A482" s="1" t="str">
        <f ca="1">IF(A481="ID",1,IF(ISBLANK(B482),"",MAX(A$2:A481)+1))</f>
        <v/>
      </c>
      <c r="I482" s="2" t="str">
        <f ca="1">IF(ISNUMBER(A482),
IF(COUNTIFS(Equipar!B:B,2,Equipar!AC:AC,A482),"Equipada",
IF(
  OR(COUNTIFS(Equipar!B:B,2,Equipar!C:C,A482)
 +COUNTIFS(Equipar!B:B,2,Equipar!D:D,A482)
+COUNTIFS(Equipar!B:B,2,Equipar!E:E,A482)
+COUNTIFS(Equipar!B:B,2,Equipar!F:F,A482)
&gt;0,COUNTIF('Set recomendado'!B:B,C482)=0),
"Bloqueada",
"Desechable")),""
)</f>
        <v/>
      </c>
      <c r="J482" t="str" cm="1">
        <f t="array" aca="1" ref="J482" ca="1">IF(ISNUMBER(A482),IFERROR(_xlfn._xlws.FILTER(Equipar!A:A,(Equipar!B:B=2)*(Equipar!AC:AC=A482)),""),"")</f>
        <v/>
      </c>
    </row>
    <row r="483" spans="1:10" x14ac:dyDescent="0.25">
      <c r="A483" s="1" t="str">
        <f ca="1">IF(A482="ID",1,IF(ISBLANK(B483),"",MAX(A$2:A482)+1))</f>
        <v/>
      </c>
      <c r="I483" s="2" t="str">
        <f ca="1">IF(ISNUMBER(A483),
IF(COUNTIFS(Equipar!B:B,2,Equipar!AC:AC,A483),"Equipada",
IF(
  OR(COUNTIFS(Equipar!B:B,2,Equipar!C:C,A483)
 +COUNTIFS(Equipar!B:B,2,Equipar!D:D,A483)
+COUNTIFS(Equipar!B:B,2,Equipar!E:E,A483)
+COUNTIFS(Equipar!B:B,2,Equipar!F:F,A483)
&gt;0,COUNTIF('Set recomendado'!B:B,C483)=0),
"Bloqueada",
"Desechable")),""
)</f>
        <v/>
      </c>
      <c r="J483" t="str" cm="1">
        <f t="array" aca="1" ref="J483" ca="1">IF(ISNUMBER(A483),IFERROR(_xlfn._xlws.FILTER(Equipar!A:A,(Equipar!B:B=2)*(Equipar!AC:AC=A483)),""),"")</f>
        <v/>
      </c>
    </row>
    <row r="484" spans="1:10" x14ac:dyDescent="0.25">
      <c r="A484" s="1" t="str">
        <f ca="1">IF(A483="ID",1,IF(ISBLANK(B484),"",MAX(A$2:A483)+1))</f>
        <v/>
      </c>
      <c r="I484" s="2" t="str">
        <f ca="1">IF(ISNUMBER(A484),
IF(COUNTIFS(Equipar!B:B,2,Equipar!AC:AC,A484),"Equipada",
IF(
  OR(COUNTIFS(Equipar!B:B,2,Equipar!C:C,A484)
 +COUNTIFS(Equipar!B:B,2,Equipar!D:D,A484)
+COUNTIFS(Equipar!B:B,2,Equipar!E:E,A484)
+COUNTIFS(Equipar!B:B,2,Equipar!F:F,A484)
&gt;0,COUNTIF('Set recomendado'!B:B,C484)=0),
"Bloqueada",
"Desechable")),""
)</f>
        <v/>
      </c>
      <c r="J484" t="str" cm="1">
        <f t="array" aca="1" ref="J484" ca="1">IF(ISNUMBER(A484),IFERROR(_xlfn._xlws.FILTER(Equipar!A:A,(Equipar!B:B=2)*(Equipar!AC:AC=A484)),""),"")</f>
        <v/>
      </c>
    </row>
    <row r="485" spans="1:10" x14ac:dyDescent="0.25">
      <c r="A485" s="1" t="str">
        <f ca="1">IF(A484="ID",1,IF(ISBLANK(B485),"",MAX(A$2:A484)+1))</f>
        <v/>
      </c>
      <c r="I485" s="2" t="str">
        <f ca="1">IF(ISNUMBER(A485),
IF(COUNTIFS(Equipar!B:B,2,Equipar!AC:AC,A485),"Equipada",
IF(
  OR(COUNTIFS(Equipar!B:B,2,Equipar!C:C,A485)
 +COUNTIFS(Equipar!B:B,2,Equipar!D:D,A485)
+COUNTIFS(Equipar!B:B,2,Equipar!E:E,A485)
+COUNTIFS(Equipar!B:B,2,Equipar!F:F,A485)
&gt;0,COUNTIF('Set recomendado'!B:B,C485)=0),
"Bloqueada",
"Desechable")),""
)</f>
        <v/>
      </c>
      <c r="J485" t="str" cm="1">
        <f t="array" aca="1" ref="J485" ca="1">IF(ISNUMBER(A485),IFERROR(_xlfn._xlws.FILTER(Equipar!A:A,(Equipar!B:B=2)*(Equipar!AC:AC=A485)),""),"")</f>
        <v/>
      </c>
    </row>
    <row r="486" spans="1:10" x14ac:dyDescent="0.25">
      <c r="A486" s="1" t="str">
        <f ca="1">IF(A485="ID",1,IF(ISBLANK(B486),"",MAX(A$2:A485)+1))</f>
        <v/>
      </c>
      <c r="I486" s="2" t="str">
        <f ca="1">IF(ISNUMBER(A486),
IF(COUNTIFS(Equipar!B:B,2,Equipar!AC:AC,A486),"Equipada",
IF(
  OR(COUNTIFS(Equipar!B:B,2,Equipar!C:C,A486)
 +COUNTIFS(Equipar!B:B,2,Equipar!D:D,A486)
+COUNTIFS(Equipar!B:B,2,Equipar!E:E,A486)
+COUNTIFS(Equipar!B:B,2,Equipar!F:F,A486)
&gt;0,COUNTIF('Set recomendado'!B:B,C486)=0),
"Bloqueada",
"Desechable")),""
)</f>
        <v/>
      </c>
      <c r="J486" t="str" cm="1">
        <f t="array" aca="1" ref="J486" ca="1">IF(ISNUMBER(A486),IFERROR(_xlfn._xlws.FILTER(Equipar!A:A,(Equipar!B:B=2)*(Equipar!AC:AC=A486)),""),"")</f>
        <v/>
      </c>
    </row>
    <row r="487" spans="1:10" x14ac:dyDescent="0.25">
      <c r="A487" s="1" t="str">
        <f ca="1">IF(A486="ID",1,IF(ISBLANK(B487),"",MAX(A$2:A486)+1))</f>
        <v/>
      </c>
      <c r="I487" s="2" t="str">
        <f ca="1">IF(ISNUMBER(A487),
IF(COUNTIFS(Equipar!B:B,2,Equipar!AC:AC,A487),"Equipada",
IF(
  OR(COUNTIFS(Equipar!B:B,2,Equipar!C:C,A487)
 +COUNTIFS(Equipar!B:B,2,Equipar!D:D,A487)
+COUNTIFS(Equipar!B:B,2,Equipar!E:E,A487)
+COUNTIFS(Equipar!B:B,2,Equipar!F:F,A487)
&gt;0,COUNTIF('Set recomendado'!B:B,C487)=0),
"Bloqueada",
"Desechable")),""
)</f>
        <v/>
      </c>
      <c r="J487" t="str" cm="1">
        <f t="array" aca="1" ref="J487" ca="1">IF(ISNUMBER(A487),IFERROR(_xlfn._xlws.FILTER(Equipar!A:A,(Equipar!B:B=2)*(Equipar!AC:AC=A487)),""),"")</f>
        <v/>
      </c>
    </row>
    <row r="488" spans="1:10" x14ac:dyDescent="0.25">
      <c r="A488" s="1" t="str">
        <f ca="1">IF(A487="ID",1,IF(ISBLANK(B488),"",MAX(A$2:A487)+1))</f>
        <v/>
      </c>
      <c r="I488" s="2" t="str">
        <f ca="1">IF(ISNUMBER(A488),
IF(COUNTIFS(Equipar!B:B,2,Equipar!AC:AC,A488),"Equipada",
IF(
  OR(COUNTIFS(Equipar!B:B,2,Equipar!C:C,A488)
 +COUNTIFS(Equipar!B:B,2,Equipar!D:D,A488)
+COUNTIFS(Equipar!B:B,2,Equipar!E:E,A488)
+COUNTIFS(Equipar!B:B,2,Equipar!F:F,A488)
&gt;0,COUNTIF('Set recomendado'!B:B,C488)=0),
"Bloqueada",
"Desechable")),""
)</f>
        <v/>
      </c>
      <c r="J488" t="str" cm="1">
        <f t="array" aca="1" ref="J488" ca="1">IF(ISNUMBER(A488),IFERROR(_xlfn._xlws.FILTER(Equipar!A:A,(Equipar!B:B=2)*(Equipar!AC:AC=A488)),""),"")</f>
        <v/>
      </c>
    </row>
    <row r="489" spans="1:10" x14ac:dyDescent="0.25">
      <c r="A489" s="1" t="str">
        <f ca="1">IF(A488="ID",1,IF(ISBLANK(B489),"",MAX(A$2:A488)+1))</f>
        <v/>
      </c>
      <c r="I489" s="2" t="str">
        <f ca="1">IF(ISNUMBER(A489),
IF(COUNTIFS(Equipar!B:B,2,Equipar!AC:AC,A489),"Equipada",
IF(
  OR(COUNTIFS(Equipar!B:B,2,Equipar!C:C,A489)
 +COUNTIFS(Equipar!B:B,2,Equipar!D:D,A489)
+COUNTIFS(Equipar!B:B,2,Equipar!E:E,A489)
+COUNTIFS(Equipar!B:B,2,Equipar!F:F,A489)
&gt;0,COUNTIF('Set recomendado'!B:B,C489)=0),
"Bloqueada",
"Desechable")),""
)</f>
        <v/>
      </c>
      <c r="J489" t="str" cm="1">
        <f t="array" aca="1" ref="J489" ca="1">IF(ISNUMBER(A489),IFERROR(_xlfn._xlws.FILTER(Equipar!A:A,(Equipar!B:B=2)*(Equipar!AC:AC=A489)),""),"")</f>
        <v/>
      </c>
    </row>
    <row r="490" spans="1:10" x14ac:dyDescent="0.25">
      <c r="A490" s="1" t="str">
        <f ca="1">IF(A489="ID",1,IF(ISBLANK(B490),"",MAX(A$2:A489)+1))</f>
        <v/>
      </c>
      <c r="I490" s="2" t="str">
        <f ca="1">IF(ISNUMBER(A490),
IF(COUNTIFS(Equipar!B:B,2,Equipar!AC:AC,A490),"Equipada",
IF(
  OR(COUNTIFS(Equipar!B:B,2,Equipar!C:C,A490)
 +COUNTIFS(Equipar!B:B,2,Equipar!D:D,A490)
+COUNTIFS(Equipar!B:B,2,Equipar!E:E,A490)
+COUNTIFS(Equipar!B:B,2,Equipar!F:F,A490)
&gt;0,COUNTIF('Set recomendado'!B:B,C490)=0),
"Bloqueada",
"Desechable")),""
)</f>
        <v/>
      </c>
      <c r="J490" t="str" cm="1">
        <f t="array" aca="1" ref="J490" ca="1">IF(ISNUMBER(A490),IFERROR(_xlfn._xlws.FILTER(Equipar!A:A,(Equipar!B:B=2)*(Equipar!AC:AC=A490)),""),"")</f>
        <v/>
      </c>
    </row>
    <row r="491" spans="1:10" x14ac:dyDescent="0.25">
      <c r="A491" s="1" t="str">
        <f ca="1">IF(A490="ID",1,IF(ISBLANK(B491),"",MAX(A$2:A490)+1))</f>
        <v/>
      </c>
      <c r="I491" s="2" t="str">
        <f ca="1">IF(ISNUMBER(A491),
IF(COUNTIFS(Equipar!B:B,2,Equipar!AC:AC,A491),"Equipada",
IF(
  OR(COUNTIFS(Equipar!B:B,2,Equipar!C:C,A491)
 +COUNTIFS(Equipar!B:B,2,Equipar!D:D,A491)
+COUNTIFS(Equipar!B:B,2,Equipar!E:E,A491)
+COUNTIFS(Equipar!B:B,2,Equipar!F:F,A491)
&gt;0,COUNTIF('Set recomendado'!B:B,C491)=0),
"Bloqueada",
"Desechable")),""
)</f>
        <v/>
      </c>
      <c r="J491" t="str" cm="1">
        <f t="array" aca="1" ref="J491" ca="1">IF(ISNUMBER(A491),IFERROR(_xlfn._xlws.FILTER(Equipar!A:A,(Equipar!B:B=2)*(Equipar!AC:AC=A491)),""),"")</f>
        <v/>
      </c>
    </row>
    <row r="492" spans="1:10" x14ac:dyDescent="0.25">
      <c r="A492" s="1" t="str">
        <f ca="1">IF(A491="ID",1,IF(ISBLANK(B492),"",MAX(A$2:A491)+1))</f>
        <v/>
      </c>
      <c r="I492" s="2" t="str">
        <f ca="1">IF(ISNUMBER(A492),
IF(COUNTIFS(Equipar!B:B,2,Equipar!AC:AC,A492),"Equipada",
IF(
  OR(COUNTIFS(Equipar!B:B,2,Equipar!C:C,A492)
 +COUNTIFS(Equipar!B:B,2,Equipar!D:D,A492)
+COUNTIFS(Equipar!B:B,2,Equipar!E:E,A492)
+COUNTIFS(Equipar!B:B,2,Equipar!F:F,A492)
&gt;0,COUNTIF('Set recomendado'!B:B,C492)=0),
"Bloqueada",
"Desechable")),""
)</f>
        <v/>
      </c>
      <c r="J492" t="str" cm="1">
        <f t="array" aca="1" ref="J492" ca="1">IF(ISNUMBER(A492),IFERROR(_xlfn._xlws.FILTER(Equipar!A:A,(Equipar!B:B=2)*(Equipar!AC:AC=A492)),""),"")</f>
        <v/>
      </c>
    </row>
    <row r="493" spans="1:10" x14ac:dyDescent="0.25">
      <c r="A493" s="1" t="str">
        <f ca="1">IF(A492="ID",1,IF(ISBLANK(B493),"",MAX(A$2:A492)+1))</f>
        <v/>
      </c>
      <c r="I493" s="2" t="str">
        <f ca="1">IF(ISNUMBER(A493),
IF(COUNTIFS(Equipar!B:B,2,Equipar!AC:AC,A493),"Equipada",
IF(
  OR(COUNTIFS(Equipar!B:B,2,Equipar!C:C,A493)
 +COUNTIFS(Equipar!B:B,2,Equipar!D:D,A493)
+COUNTIFS(Equipar!B:B,2,Equipar!E:E,A493)
+COUNTIFS(Equipar!B:B,2,Equipar!F:F,A493)
&gt;0,COUNTIF('Set recomendado'!B:B,C493)=0),
"Bloqueada",
"Desechable")),""
)</f>
        <v/>
      </c>
      <c r="J493" t="str" cm="1">
        <f t="array" aca="1" ref="J493" ca="1">IF(ISNUMBER(A493),IFERROR(_xlfn._xlws.FILTER(Equipar!A:A,(Equipar!B:B=2)*(Equipar!AC:AC=A493)),""),"")</f>
        <v/>
      </c>
    </row>
    <row r="494" spans="1:10" x14ac:dyDescent="0.25">
      <c r="A494" s="1" t="str">
        <f ca="1">IF(A493="ID",1,IF(ISBLANK(B494),"",MAX(A$2:A493)+1))</f>
        <v/>
      </c>
      <c r="I494" s="2" t="str">
        <f ca="1">IF(ISNUMBER(A494),
IF(COUNTIFS(Equipar!B:B,2,Equipar!AC:AC,A494),"Equipada",
IF(
  OR(COUNTIFS(Equipar!B:B,2,Equipar!C:C,A494)
 +COUNTIFS(Equipar!B:B,2,Equipar!D:D,A494)
+COUNTIFS(Equipar!B:B,2,Equipar!E:E,A494)
+COUNTIFS(Equipar!B:B,2,Equipar!F:F,A494)
&gt;0,COUNTIF('Set recomendado'!B:B,C494)=0),
"Bloqueada",
"Desechable")),""
)</f>
        <v/>
      </c>
      <c r="J494" t="str" cm="1">
        <f t="array" aca="1" ref="J494" ca="1">IF(ISNUMBER(A494),IFERROR(_xlfn._xlws.FILTER(Equipar!A:A,(Equipar!B:B=2)*(Equipar!AC:AC=A494)),""),"")</f>
        <v/>
      </c>
    </row>
    <row r="495" spans="1:10" x14ac:dyDescent="0.25">
      <c r="A495" s="1" t="str">
        <f ca="1">IF(A494="ID",1,IF(ISBLANK(B495),"",MAX(A$2:A494)+1))</f>
        <v/>
      </c>
      <c r="I495" s="2" t="str">
        <f ca="1">IF(ISNUMBER(A495),
IF(COUNTIFS(Equipar!B:B,2,Equipar!AC:AC,A495),"Equipada",
IF(
  OR(COUNTIFS(Equipar!B:B,2,Equipar!C:C,A495)
 +COUNTIFS(Equipar!B:B,2,Equipar!D:D,A495)
+COUNTIFS(Equipar!B:B,2,Equipar!E:E,A495)
+COUNTIFS(Equipar!B:B,2,Equipar!F:F,A495)
&gt;0,COUNTIF('Set recomendado'!B:B,C495)=0),
"Bloqueada",
"Desechable")),""
)</f>
        <v/>
      </c>
      <c r="J495" t="str" cm="1">
        <f t="array" aca="1" ref="J495" ca="1">IF(ISNUMBER(A495),IFERROR(_xlfn._xlws.FILTER(Equipar!A:A,(Equipar!B:B=2)*(Equipar!AC:AC=A495)),""),"")</f>
        <v/>
      </c>
    </row>
    <row r="496" spans="1:10" x14ac:dyDescent="0.25">
      <c r="A496" s="1" t="str">
        <f ca="1">IF(A495="ID",1,IF(ISBLANK(B496),"",MAX(A$2:A495)+1))</f>
        <v/>
      </c>
      <c r="I496" s="2" t="str">
        <f ca="1">IF(ISNUMBER(A496),
IF(COUNTIFS(Equipar!B:B,2,Equipar!AC:AC,A496),"Equipada",
IF(
  OR(COUNTIFS(Equipar!B:B,2,Equipar!C:C,A496)
 +COUNTIFS(Equipar!B:B,2,Equipar!D:D,A496)
+COUNTIFS(Equipar!B:B,2,Equipar!E:E,A496)
+COUNTIFS(Equipar!B:B,2,Equipar!F:F,A496)
&gt;0,COUNTIF('Set recomendado'!B:B,C496)=0),
"Bloqueada",
"Desechable")),""
)</f>
        <v/>
      </c>
      <c r="J496" t="str" cm="1">
        <f t="array" aca="1" ref="J496" ca="1">IF(ISNUMBER(A496),IFERROR(_xlfn._xlws.FILTER(Equipar!A:A,(Equipar!B:B=2)*(Equipar!AC:AC=A496)),""),"")</f>
        <v/>
      </c>
    </row>
    <row r="497" spans="1:10" x14ac:dyDescent="0.25">
      <c r="A497" s="1" t="str">
        <f ca="1">IF(A496="ID",1,IF(ISBLANK(B497),"",MAX(A$2:A496)+1))</f>
        <v/>
      </c>
      <c r="I497" s="2" t="str">
        <f ca="1">IF(ISNUMBER(A497),
IF(COUNTIFS(Equipar!B:B,2,Equipar!AC:AC,A497),"Equipada",
IF(
  OR(COUNTIFS(Equipar!B:B,2,Equipar!C:C,A497)
 +COUNTIFS(Equipar!B:B,2,Equipar!D:D,A497)
+COUNTIFS(Equipar!B:B,2,Equipar!E:E,A497)
+COUNTIFS(Equipar!B:B,2,Equipar!F:F,A497)
&gt;0,COUNTIF('Set recomendado'!B:B,C497)=0),
"Bloqueada",
"Desechable")),""
)</f>
        <v/>
      </c>
      <c r="J497" t="str" cm="1">
        <f t="array" aca="1" ref="J497" ca="1">IF(ISNUMBER(A497),IFERROR(_xlfn._xlws.FILTER(Equipar!A:A,(Equipar!B:B=2)*(Equipar!AC:AC=A497)),""),"")</f>
        <v/>
      </c>
    </row>
    <row r="498" spans="1:10" x14ac:dyDescent="0.25">
      <c r="A498" s="1" t="str">
        <f ca="1">IF(A497="ID",1,IF(ISBLANK(B498),"",MAX(A$2:A497)+1))</f>
        <v/>
      </c>
      <c r="I498" s="2" t="str">
        <f ca="1">IF(ISNUMBER(A498),
IF(COUNTIFS(Equipar!B:B,2,Equipar!AC:AC,A498),"Equipada",
IF(
  OR(COUNTIFS(Equipar!B:B,2,Equipar!C:C,A498)
 +COUNTIFS(Equipar!B:B,2,Equipar!D:D,A498)
+COUNTIFS(Equipar!B:B,2,Equipar!E:E,A498)
+COUNTIFS(Equipar!B:B,2,Equipar!F:F,A498)
&gt;0,COUNTIF('Set recomendado'!B:B,C498)=0),
"Bloqueada",
"Desechable")),""
)</f>
        <v/>
      </c>
      <c r="J498" t="str" cm="1">
        <f t="array" aca="1" ref="J498" ca="1">IF(ISNUMBER(A498),IFERROR(_xlfn._xlws.FILTER(Equipar!A:A,(Equipar!B:B=2)*(Equipar!AC:AC=A498)),""),"")</f>
        <v/>
      </c>
    </row>
    <row r="499" spans="1:10" x14ac:dyDescent="0.25">
      <c r="A499" s="1" t="str">
        <f ca="1">IF(A498="ID",1,IF(ISBLANK(B499),"",MAX(A$2:A498)+1))</f>
        <v/>
      </c>
      <c r="I499" s="2" t="str">
        <f ca="1">IF(ISNUMBER(A499),
IF(COUNTIFS(Equipar!B:B,2,Equipar!AC:AC,A499),"Equipada",
IF(
  OR(COUNTIFS(Equipar!B:B,2,Equipar!C:C,A499)
 +COUNTIFS(Equipar!B:B,2,Equipar!D:D,A499)
+COUNTIFS(Equipar!B:B,2,Equipar!E:E,A499)
+COUNTIFS(Equipar!B:B,2,Equipar!F:F,A499)
&gt;0,COUNTIF('Set recomendado'!B:B,C499)=0),
"Bloqueada",
"Desechable")),""
)</f>
        <v/>
      </c>
      <c r="J499" t="str" cm="1">
        <f t="array" aca="1" ref="J499" ca="1">IF(ISNUMBER(A499),IFERROR(_xlfn._xlws.FILTER(Equipar!A:A,(Equipar!B:B=2)*(Equipar!AC:AC=A499)),""),"")</f>
        <v/>
      </c>
    </row>
    <row r="500" spans="1:10" x14ac:dyDescent="0.25">
      <c r="A500" s="1" t="str">
        <f ca="1">IF(A499="ID",1,IF(ISBLANK(B500),"",MAX(A$2:A499)+1))</f>
        <v/>
      </c>
      <c r="I500" s="2" t="str">
        <f ca="1">IF(ISNUMBER(A500),
IF(COUNTIFS(Equipar!B:B,2,Equipar!AC:AC,A500),"Equipada",
IF(
  OR(COUNTIFS(Equipar!B:B,2,Equipar!C:C,A500)
 +COUNTIFS(Equipar!B:B,2,Equipar!D:D,A500)
+COUNTIFS(Equipar!B:B,2,Equipar!E:E,A500)
+COUNTIFS(Equipar!B:B,2,Equipar!F:F,A500)
&gt;0,COUNTIF('Set recomendado'!B:B,C500)=0),
"Bloqueada",
"Desechable")),""
)</f>
        <v/>
      </c>
      <c r="J500" t="str" cm="1">
        <f t="array" aca="1" ref="J500" ca="1">IF(ISNUMBER(A500),IFERROR(_xlfn._xlws.FILTER(Equipar!A:A,(Equipar!B:B=2)*(Equipar!AC:AC=A500)),""),"")</f>
        <v/>
      </c>
    </row>
    <row r="501" spans="1:10" x14ac:dyDescent="0.25">
      <c r="A501" s="1" t="str">
        <f ca="1">IF(A500="ID",1,IF(ISBLANK(B501),"",MAX(A$2:A500)+1))</f>
        <v/>
      </c>
      <c r="I501" s="2" t="str">
        <f ca="1">IF(ISNUMBER(A501),
IF(COUNTIFS(Equipar!B:B,2,Equipar!AC:AC,A501),"Equipada",
IF(
  OR(COUNTIFS(Equipar!B:B,2,Equipar!C:C,A501)
 +COUNTIFS(Equipar!B:B,2,Equipar!D:D,A501)
+COUNTIFS(Equipar!B:B,2,Equipar!E:E,A501)
+COUNTIFS(Equipar!B:B,2,Equipar!F:F,A501)
&gt;0,COUNTIF('Set recomendado'!B:B,C501)=0),
"Bloqueada",
"Desechable")),""
)</f>
        <v/>
      </c>
      <c r="J501" t="str" cm="1">
        <f t="array" aca="1" ref="J501" ca="1">IF(ISNUMBER(A501),IFERROR(_xlfn._xlws.FILTER(Equipar!A:A,(Equipar!B:B=2)*(Equipar!AC:AC=A501)),""),"")</f>
        <v/>
      </c>
    </row>
    <row r="502" spans="1:10" x14ac:dyDescent="0.25">
      <c r="A502" s="1" t="str">
        <f ca="1">IF(A501="ID",1,IF(ISBLANK(B502),"",MAX(A$2:A501)+1))</f>
        <v/>
      </c>
      <c r="I502" s="2" t="str">
        <f ca="1">IF(ISNUMBER(A502),
IF(COUNTIFS(Equipar!B:B,2,Equipar!AC:AC,A502),"Equipada",
IF(
  OR(COUNTIFS(Equipar!B:B,2,Equipar!C:C,A502)
 +COUNTIFS(Equipar!B:B,2,Equipar!D:D,A502)
+COUNTIFS(Equipar!B:B,2,Equipar!E:E,A502)
+COUNTIFS(Equipar!B:B,2,Equipar!F:F,A502)
&gt;0,COUNTIF('Set recomendado'!B:B,C502)=0),
"Bloqueada",
"Desechable")),""
)</f>
        <v/>
      </c>
      <c r="J502" t="str" cm="1">
        <f t="array" aca="1" ref="J502" ca="1">IF(ISNUMBER(A502),IFERROR(_xlfn._xlws.FILTER(Equipar!A:A,(Equipar!B:B=2)*(Equipar!AC:AC=A502)),""),"")</f>
        <v/>
      </c>
    </row>
    <row r="503" spans="1:10" x14ac:dyDescent="0.25">
      <c r="A503" s="1" t="str">
        <f ca="1">IF(A502="ID",1,IF(ISBLANK(B503),"",MAX(A$2:A502)+1))</f>
        <v/>
      </c>
      <c r="I503" s="2" t="str">
        <f ca="1">IF(ISNUMBER(A503),
IF(COUNTIFS(Equipar!B:B,2,Equipar!AC:AC,A503),"Equipada",
IF(
  OR(COUNTIFS(Equipar!B:B,2,Equipar!C:C,A503)
 +COUNTIFS(Equipar!B:B,2,Equipar!D:D,A503)
+COUNTIFS(Equipar!B:B,2,Equipar!E:E,A503)
+COUNTIFS(Equipar!B:B,2,Equipar!F:F,A503)
&gt;0,COUNTIF('Set recomendado'!B:B,C503)=0),
"Bloqueada",
"Desechable")),""
)</f>
        <v/>
      </c>
      <c r="J503" t="str" cm="1">
        <f t="array" aca="1" ref="J503" ca="1">IF(ISNUMBER(A503),IFERROR(_xlfn._xlws.FILTER(Equipar!A:A,(Equipar!B:B=2)*(Equipar!AC:AC=A503)),""),"")</f>
        <v/>
      </c>
    </row>
    <row r="504" spans="1:10" x14ac:dyDescent="0.25">
      <c r="A504" s="1" t="str">
        <f ca="1">IF(A503="ID",1,IF(ISBLANK(B504),"",MAX(A$2:A503)+1))</f>
        <v/>
      </c>
      <c r="I504" s="2" t="str">
        <f ca="1">IF(ISNUMBER(A504),
IF(COUNTIFS(Equipar!B:B,2,Equipar!AC:AC,A504),"Equipada",
IF(
  OR(COUNTIFS(Equipar!B:B,2,Equipar!C:C,A504)
 +COUNTIFS(Equipar!B:B,2,Equipar!D:D,A504)
+COUNTIFS(Equipar!B:B,2,Equipar!E:E,A504)
+COUNTIFS(Equipar!B:B,2,Equipar!F:F,A504)
&gt;0,COUNTIF('Set recomendado'!B:B,C504)=0),
"Bloqueada",
"Desechable")),""
)</f>
        <v/>
      </c>
      <c r="J504" t="str" cm="1">
        <f t="array" aca="1" ref="J504" ca="1">IF(ISNUMBER(A504),IFERROR(_xlfn._xlws.FILTER(Equipar!A:A,(Equipar!B:B=2)*(Equipar!AC:AC=A504)),""),"")</f>
        <v/>
      </c>
    </row>
    <row r="505" spans="1:10" x14ac:dyDescent="0.25">
      <c r="A505" s="1" t="str">
        <f ca="1">IF(A504="ID",1,IF(ISBLANK(B505),"",MAX(A$2:A504)+1))</f>
        <v/>
      </c>
      <c r="I505" s="2" t="str">
        <f ca="1">IF(ISNUMBER(A505),
IF(COUNTIFS(Equipar!B:B,2,Equipar!AC:AC,A505),"Equipada",
IF(
  OR(COUNTIFS(Equipar!B:B,2,Equipar!C:C,A505)
 +COUNTIFS(Equipar!B:B,2,Equipar!D:D,A505)
+COUNTIFS(Equipar!B:B,2,Equipar!E:E,A505)
+COUNTIFS(Equipar!B:B,2,Equipar!F:F,A505)
&gt;0,COUNTIF('Set recomendado'!B:B,C505)=0),
"Bloqueada",
"Desechable")),""
)</f>
        <v/>
      </c>
      <c r="J505" t="str" cm="1">
        <f t="array" aca="1" ref="J505" ca="1">IF(ISNUMBER(A505),IFERROR(_xlfn._xlws.FILTER(Equipar!A:A,(Equipar!B:B=2)*(Equipar!AC:AC=A505)),""),"")</f>
        <v/>
      </c>
    </row>
    <row r="506" spans="1:10" x14ac:dyDescent="0.25">
      <c r="A506" s="1" t="str">
        <f ca="1">IF(A505="ID",1,IF(ISBLANK(B506),"",MAX(A$2:A505)+1))</f>
        <v/>
      </c>
      <c r="I506" s="2" t="str">
        <f ca="1">IF(ISNUMBER(A506),
IF(COUNTIFS(Equipar!B:B,2,Equipar!AC:AC,A506),"Equipada",
IF(
  OR(COUNTIFS(Equipar!B:B,2,Equipar!C:C,A506)
 +COUNTIFS(Equipar!B:B,2,Equipar!D:D,A506)
+COUNTIFS(Equipar!B:B,2,Equipar!E:E,A506)
+COUNTIFS(Equipar!B:B,2,Equipar!F:F,A506)
&gt;0,COUNTIF('Set recomendado'!B:B,C506)=0),
"Bloqueada",
"Desechable")),""
)</f>
        <v/>
      </c>
      <c r="J506" t="str" cm="1">
        <f t="array" aca="1" ref="J506" ca="1">IF(ISNUMBER(A506),IFERROR(_xlfn._xlws.FILTER(Equipar!A:A,(Equipar!B:B=2)*(Equipar!AC:AC=A506)),""),"")</f>
        <v/>
      </c>
    </row>
    <row r="507" spans="1:10" x14ac:dyDescent="0.25">
      <c r="A507" s="1" t="str">
        <f ca="1">IF(A506="ID",1,IF(ISBLANK(B507),"",MAX(A$2:A506)+1))</f>
        <v/>
      </c>
      <c r="I507" s="2" t="str">
        <f ca="1">IF(ISNUMBER(A507),
IF(COUNTIFS(Equipar!B:B,2,Equipar!AC:AC,A507),"Equipada",
IF(
  OR(COUNTIFS(Equipar!B:B,2,Equipar!C:C,A507)
 +COUNTIFS(Equipar!B:B,2,Equipar!D:D,A507)
+COUNTIFS(Equipar!B:B,2,Equipar!E:E,A507)
+COUNTIFS(Equipar!B:B,2,Equipar!F:F,A507)
&gt;0,COUNTIF('Set recomendado'!B:B,C507)=0),
"Bloqueada",
"Desechable")),""
)</f>
        <v/>
      </c>
      <c r="J507" t="str" cm="1">
        <f t="array" aca="1" ref="J507" ca="1">IF(ISNUMBER(A507),IFERROR(_xlfn._xlws.FILTER(Equipar!A:A,(Equipar!B:B=2)*(Equipar!AC:AC=A507)),""),"")</f>
        <v/>
      </c>
    </row>
    <row r="508" spans="1:10" x14ac:dyDescent="0.25">
      <c r="A508" s="1" t="str">
        <f ca="1">IF(A507="ID",1,IF(ISBLANK(B508),"",MAX(A$2:A507)+1))</f>
        <v/>
      </c>
      <c r="I508" s="2" t="str">
        <f ca="1">IF(ISNUMBER(A508),
IF(COUNTIFS(Equipar!B:B,2,Equipar!AC:AC,A508),"Equipada",
IF(
  OR(COUNTIFS(Equipar!B:B,2,Equipar!C:C,A508)
 +COUNTIFS(Equipar!B:B,2,Equipar!D:D,A508)
+COUNTIFS(Equipar!B:B,2,Equipar!E:E,A508)
+COUNTIFS(Equipar!B:B,2,Equipar!F:F,A508)
&gt;0,COUNTIF('Set recomendado'!B:B,C508)=0),
"Bloqueada",
"Desechable")),""
)</f>
        <v/>
      </c>
      <c r="J508" t="str" cm="1">
        <f t="array" aca="1" ref="J508" ca="1">IF(ISNUMBER(A508),IFERROR(_xlfn._xlws.FILTER(Equipar!A:A,(Equipar!B:B=2)*(Equipar!AC:AC=A508)),""),"")</f>
        <v/>
      </c>
    </row>
    <row r="509" spans="1:10" x14ac:dyDescent="0.25">
      <c r="A509" s="1" t="str">
        <f ca="1">IF(A508="ID",1,IF(ISBLANK(B509),"",MAX(A$2:A508)+1))</f>
        <v/>
      </c>
      <c r="I509" s="2" t="str">
        <f ca="1">IF(ISNUMBER(A509),
IF(COUNTIFS(Equipar!B:B,2,Equipar!AC:AC,A509),"Equipada",
IF(
  OR(COUNTIFS(Equipar!B:B,2,Equipar!C:C,A509)
 +COUNTIFS(Equipar!B:B,2,Equipar!D:D,A509)
+COUNTIFS(Equipar!B:B,2,Equipar!E:E,A509)
+COUNTIFS(Equipar!B:B,2,Equipar!F:F,A509)
&gt;0,COUNTIF('Set recomendado'!B:B,C509)=0),
"Bloqueada",
"Desechable")),""
)</f>
        <v/>
      </c>
      <c r="J509" t="str" cm="1">
        <f t="array" aca="1" ref="J509" ca="1">IF(ISNUMBER(A509),IFERROR(_xlfn._xlws.FILTER(Equipar!A:A,(Equipar!B:B=2)*(Equipar!AC:AC=A509)),""),"")</f>
        <v/>
      </c>
    </row>
    <row r="510" spans="1:10" x14ac:dyDescent="0.25">
      <c r="A510" s="1" t="str">
        <f ca="1">IF(A509="ID",1,IF(ISBLANK(B510),"",MAX(A$2:A509)+1))</f>
        <v/>
      </c>
      <c r="I510" s="2" t="str">
        <f ca="1">IF(ISNUMBER(A510),
IF(COUNTIFS(Equipar!B:B,2,Equipar!AC:AC,A510),"Equipada",
IF(
  OR(COUNTIFS(Equipar!B:B,2,Equipar!C:C,A510)
 +COUNTIFS(Equipar!B:B,2,Equipar!D:D,A510)
+COUNTIFS(Equipar!B:B,2,Equipar!E:E,A510)
+COUNTIFS(Equipar!B:B,2,Equipar!F:F,A510)
&gt;0,COUNTIF('Set recomendado'!B:B,C510)=0),
"Bloqueada",
"Desechable")),""
)</f>
        <v/>
      </c>
      <c r="J510" t="str" cm="1">
        <f t="array" aca="1" ref="J510" ca="1">IF(ISNUMBER(A510),IFERROR(_xlfn._xlws.FILTER(Equipar!A:A,(Equipar!B:B=2)*(Equipar!AC:AC=A510)),""),"")</f>
        <v/>
      </c>
    </row>
    <row r="511" spans="1:10" x14ac:dyDescent="0.25">
      <c r="A511" s="1" t="str">
        <f ca="1">IF(A510="ID",1,IF(ISBLANK(B511),"",MAX(A$2:A510)+1))</f>
        <v/>
      </c>
      <c r="I511" s="2" t="str">
        <f ca="1">IF(ISNUMBER(A511),
IF(COUNTIFS(Equipar!B:B,2,Equipar!AC:AC,A511),"Equipada",
IF(
  OR(COUNTIFS(Equipar!B:B,2,Equipar!C:C,A511)
 +COUNTIFS(Equipar!B:B,2,Equipar!D:D,A511)
+COUNTIFS(Equipar!B:B,2,Equipar!E:E,A511)
+COUNTIFS(Equipar!B:B,2,Equipar!F:F,A511)
&gt;0,COUNTIF('Set recomendado'!B:B,C511)=0),
"Bloqueada",
"Desechable")),""
)</f>
        <v/>
      </c>
      <c r="J511" t="str" cm="1">
        <f t="array" aca="1" ref="J511" ca="1">IF(ISNUMBER(A511),IFERROR(_xlfn._xlws.FILTER(Equipar!A:A,(Equipar!B:B=2)*(Equipar!AC:AC=A511)),""),"")</f>
        <v/>
      </c>
    </row>
    <row r="512" spans="1:10" x14ac:dyDescent="0.25">
      <c r="A512" s="1" t="str">
        <f ca="1">IF(A511="ID",1,IF(ISBLANK(B512),"",MAX(A$2:A511)+1))</f>
        <v/>
      </c>
      <c r="I512" s="2" t="str">
        <f ca="1">IF(ISNUMBER(A512),
IF(COUNTIFS(Equipar!B:B,2,Equipar!AC:AC,A512),"Equipada",
IF(
  OR(COUNTIFS(Equipar!B:B,2,Equipar!C:C,A512)
 +COUNTIFS(Equipar!B:B,2,Equipar!D:D,A512)
+COUNTIFS(Equipar!B:B,2,Equipar!E:E,A512)
+COUNTIFS(Equipar!B:B,2,Equipar!F:F,A512)
&gt;0,COUNTIF('Set recomendado'!B:B,C512)=0),
"Bloqueada",
"Desechable")),""
)</f>
        <v/>
      </c>
      <c r="J512" t="str" cm="1">
        <f t="array" aca="1" ref="J512" ca="1">IF(ISNUMBER(A512),IFERROR(_xlfn._xlws.FILTER(Equipar!A:A,(Equipar!B:B=2)*(Equipar!AC:AC=A512)),""),"")</f>
        <v/>
      </c>
    </row>
    <row r="513" spans="1:10" x14ac:dyDescent="0.25">
      <c r="A513" s="1" t="str">
        <f ca="1">IF(A512="ID",1,IF(ISBLANK(B513),"",MAX(A$2:A512)+1))</f>
        <v/>
      </c>
      <c r="I513" s="2" t="str">
        <f ca="1">IF(ISNUMBER(A513),
IF(COUNTIFS(Equipar!B:B,2,Equipar!AC:AC,A513),"Equipada",
IF(
  OR(COUNTIFS(Equipar!B:B,2,Equipar!C:C,A513)
 +COUNTIFS(Equipar!B:B,2,Equipar!D:D,A513)
+COUNTIFS(Equipar!B:B,2,Equipar!E:E,A513)
+COUNTIFS(Equipar!B:B,2,Equipar!F:F,A513)
&gt;0,COUNTIF('Set recomendado'!B:B,C513)=0),
"Bloqueada",
"Desechable")),""
)</f>
        <v/>
      </c>
      <c r="J513" t="str" cm="1">
        <f t="array" aca="1" ref="J513" ca="1">IF(ISNUMBER(A513),IFERROR(_xlfn._xlws.FILTER(Equipar!A:A,(Equipar!B:B=2)*(Equipar!AC:AC=A513)),""),"")</f>
        <v/>
      </c>
    </row>
    <row r="514" spans="1:10" x14ac:dyDescent="0.25">
      <c r="A514" s="1" t="str">
        <f ca="1">IF(A513="ID",1,IF(ISBLANK(B514),"",MAX(A$2:A513)+1))</f>
        <v/>
      </c>
      <c r="I514" s="2" t="str">
        <f ca="1">IF(ISNUMBER(A514),
IF(COUNTIFS(Equipar!B:B,2,Equipar!AC:AC,A514),"Equipada",
IF(
  OR(COUNTIFS(Equipar!B:B,2,Equipar!C:C,A514)
 +COUNTIFS(Equipar!B:B,2,Equipar!D:D,A514)
+COUNTIFS(Equipar!B:B,2,Equipar!E:E,A514)
+COUNTIFS(Equipar!B:B,2,Equipar!F:F,A514)
&gt;0,COUNTIF('Set recomendado'!B:B,C514)=0),
"Bloqueada",
"Desechable")),""
)</f>
        <v/>
      </c>
      <c r="J514" t="str" cm="1">
        <f t="array" aca="1" ref="J514" ca="1">IF(ISNUMBER(A514),IFERROR(_xlfn._xlws.FILTER(Equipar!A:A,(Equipar!B:B=2)*(Equipar!AC:AC=A514)),""),"")</f>
        <v/>
      </c>
    </row>
    <row r="515" spans="1:10" x14ac:dyDescent="0.25">
      <c r="A515" s="1" t="str">
        <f ca="1">IF(A514="ID",1,IF(ISBLANK(B515),"",MAX(A$2:A514)+1))</f>
        <v/>
      </c>
      <c r="I515" s="2" t="str">
        <f ca="1">IF(ISNUMBER(A515),
IF(COUNTIFS(Equipar!B:B,2,Equipar!AC:AC,A515),"Equipada",
IF(
  OR(COUNTIFS(Equipar!B:B,2,Equipar!C:C,A515)
 +COUNTIFS(Equipar!B:B,2,Equipar!D:D,A515)
+COUNTIFS(Equipar!B:B,2,Equipar!E:E,A515)
+COUNTIFS(Equipar!B:B,2,Equipar!F:F,A515)
&gt;0,COUNTIF('Set recomendado'!B:B,C515)=0),
"Bloqueada",
"Desechable")),""
)</f>
        <v/>
      </c>
      <c r="J515" t="str" cm="1">
        <f t="array" aca="1" ref="J515" ca="1">IF(ISNUMBER(A515),IFERROR(_xlfn._xlws.FILTER(Equipar!A:A,(Equipar!B:B=2)*(Equipar!AC:AC=A515)),""),"")</f>
        <v/>
      </c>
    </row>
    <row r="516" spans="1:10" x14ac:dyDescent="0.25">
      <c r="A516" s="1" t="str">
        <f ca="1">IF(A515="ID",1,IF(ISBLANK(B516),"",MAX(A$2:A515)+1))</f>
        <v/>
      </c>
      <c r="I516" s="2" t="str">
        <f ca="1">IF(ISNUMBER(A516),
IF(COUNTIFS(Equipar!B:B,2,Equipar!AC:AC,A516),"Equipada",
IF(
  OR(COUNTIFS(Equipar!B:B,2,Equipar!C:C,A516)
 +COUNTIFS(Equipar!B:B,2,Equipar!D:D,A516)
+COUNTIFS(Equipar!B:B,2,Equipar!E:E,A516)
+COUNTIFS(Equipar!B:B,2,Equipar!F:F,A516)
&gt;0,COUNTIF('Set recomendado'!B:B,C516)=0),
"Bloqueada",
"Desechable")),""
)</f>
        <v/>
      </c>
      <c r="J516" t="str" cm="1">
        <f t="array" aca="1" ref="J516" ca="1">IF(ISNUMBER(A516),IFERROR(_xlfn._xlws.FILTER(Equipar!A:A,(Equipar!B:B=2)*(Equipar!AC:AC=A516)),""),"")</f>
        <v/>
      </c>
    </row>
    <row r="517" spans="1:10" x14ac:dyDescent="0.25">
      <c r="A517" s="1" t="str">
        <f ca="1">IF(A516="ID",1,IF(ISBLANK(B517),"",MAX(A$2:A516)+1))</f>
        <v/>
      </c>
      <c r="I517" s="2" t="str">
        <f ca="1">IF(ISNUMBER(A517),
IF(COUNTIFS(Equipar!B:B,2,Equipar!AC:AC,A517),"Equipada",
IF(
  OR(COUNTIFS(Equipar!B:B,2,Equipar!C:C,A517)
 +COUNTIFS(Equipar!B:B,2,Equipar!D:D,A517)
+COUNTIFS(Equipar!B:B,2,Equipar!E:E,A517)
+COUNTIFS(Equipar!B:B,2,Equipar!F:F,A517)
&gt;0,COUNTIF('Set recomendado'!B:B,C517)=0),
"Bloqueada",
"Desechable")),""
)</f>
        <v/>
      </c>
      <c r="J517" t="str" cm="1">
        <f t="array" aca="1" ref="J517" ca="1">IF(ISNUMBER(A517),IFERROR(_xlfn._xlws.FILTER(Equipar!A:A,(Equipar!B:B=2)*(Equipar!AC:AC=A517)),""),"")</f>
        <v/>
      </c>
    </row>
    <row r="518" spans="1:10" x14ac:dyDescent="0.25">
      <c r="A518" s="1" t="str">
        <f ca="1">IF(A517="ID",1,IF(ISBLANK(B518),"",MAX(A$2:A517)+1))</f>
        <v/>
      </c>
      <c r="I518" s="2" t="str">
        <f ca="1">IF(ISNUMBER(A518),
IF(COUNTIFS(Equipar!B:B,2,Equipar!AC:AC,A518),"Equipada",
IF(
  OR(COUNTIFS(Equipar!B:B,2,Equipar!C:C,A518)
 +COUNTIFS(Equipar!B:B,2,Equipar!D:D,A518)
+COUNTIFS(Equipar!B:B,2,Equipar!E:E,A518)
+COUNTIFS(Equipar!B:B,2,Equipar!F:F,A518)
&gt;0,COUNTIF('Set recomendado'!B:B,C518)=0),
"Bloqueada",
"Desechable")),""
)</f>
        <v/>
      </c>
      <c r="J518" t="str" cm="1">
        <f t="array" aca="1" ref="J518" ca="1">IF(ISNUMBER(A518),IFERROR(_xlfn._xlws.FILTER(Equipar!A:A,(Equipar!B:B=2)*(Equipar!AC:AC=A518)),""),"")</f>
        <v/>
      </c>
    </row>
    <row r="519" spans="1:10" x14ac:dyDescent="0.25">
      <c r="A519" s="1" t="str">
        <f ca="1">IF(A518="ID",1,IF(ISBLANK(B519),"",MAX(A$2:A518)+1))</f>
        <v/>
      </c>
      <c r="I519" s="2" t="str">
        <f ca="1">IF(ISNUMBER(A519),
IF(COUNTIFS(Equipar!B:B,2,Equipar!AC:AC,A519),"Equipada",
IF(
  OR(COUNTIFS(Equipar!B:B,2,Equipar!C:C,A519)
 +COUNTIFS(Equipar!B:B,2,Equipar!D:D,A519)
+COUNTIFS(Equipar!B:B,2,Equipar!E:E,A519)
+COUNTIFS(Equipar!B:B,2,Equipar!F:F,A519)
&gt;0,COUNTIF('Set recomendado'!B:B,C519)=0),
"Bloqueada",
"Desechable")),""
)</f>
        <v/>
      </c>
      <c r="J519" t="str" cm="1">
        <f t="array" aca="1" ref="J519" ca="1">IF(ISNUMBER(A519),IFERROR(_xlfn._xlws.FILTER(Equipar!A:A,(Equipar!B:B=2)*(Equipar!AC:AC=A519)),""),"")</f>
        <v/>
      </c>
    </row>
    <row r="520" spans="1:10" x14ac:dyDescent="0.25">
      <c r="A520" s="1" t="str">
        <f ca="1">IF(A519="ID",1,IF(ISBLANK(B520),"",MAX(A$2:A519)+1))</f>
        <v/>
      </c>
      <c r="I520" s="2" t="str">
        <f ca="1">IF(ISNUMBER(A520),
IF(COUNTIFS(Equipar!B:B,2,Equipar!AC:AC,A520),"Equipada",
IF(
  OR(COUNTIFS(Equipar!B:B,2,Equipar!C:C,A520)
 +COUNTIFS(Equipar!B:B,2,Equipar!D:D,A520)
+COUNTIFS(Equipar!B:B,2,Equipar!E:E,A520)
+COUNTIFS(Equipar!B:B,2,Equipar!F:F,A520)
&gt;0,COUNTIF('Set recomendado'!B:B,C520)=0),
"Bloqueada",
"Desechable")),""
)</f>
        <v/>
      </c>
      <c r="J520" t="str" cm="1">
        <f t="array" aca="1" ref="J520" ca="1">IF(ISNUMBER(A520),IFERROR(_xlfn._xlws.FILTER(Equipar!A:A,(Equipar!B:B=2)*(Equipar!AC:AC=A520)),""),"")</f>
        <v/>
      </c>
    </row>
    <row r="521" spans="1:10" x14ac:dyDescent="0.25">
      <c r="A521" s="1" t="str">
        <f ca="1">IF(A520="ID",1,IF(ISBLANK(B521),"",MAX(A$2:A520)+1))</f>
        <v/>
      </c>
      <c r="I521" s="2" t="str">
        <f ca="1">IF(ISNUMBER(A521),
IF(COUNTIFS(Equipar!B:B,2,Equipar!AC:AC,A521),"Equipada",
IF(
  OR(COUNTIFS(Equipar!B:B,2,Equipar!C:C,A521)
 +COUNTIFS(Equipar!B:B,2,Equipar!D:D,A521)
+COUNTIFS(Equipar!B:B,2,Equipar!E:E,A521)
+COUNTIFS(Equipar!B:B,2,Equipar!F:F,A521)
&gt;0,COUNTIF('Set recomendado'!B:B,C521)=0),
"Bloqueada",
"Desechable")),""
)</f>
        <v/>
      </c>
      <c r="J521" t="str" cm="1">
        <f t="array" aca="1" ref="J521" ca="1">IF(ISNUMBER(A521),IFERROR(_xlfn._xlws.FILTER(Equipar!A:A,(Equipar!B:B=2)*(Equipar!AC:AC=A521)),""),"")</f>
        <v/>
      </c>
    </row>
    <row r="522" spans="1:10" x14ac:dyDescent="0.25">
      <c r="A522" s="1" t="str">
        <f ca="1">IF(A521="ID",1,IF(ISBLANK(B522),"",MAX(A$2:A521)+1))</f>
        <v/>
      </c>
      <c r="I522" s="2" t="str">
        <f ca="1">IF(ISNUMBER(A522),
IF(COUNTIFS(Equipar!B:B,2,Equipar!AC:AC,A522),"Equipada",
IF(
  OR(COUNTIFS(Equipar!B:B,2,Equipar!C:C,A522)
 +COUNTIFS(Equipar!B:B,2,Equipar!D:D,A522)
+COUNTIFS(Equipar!B:B,2,Equipar!E:E,A522)
+COUNTIFS(Equipar!B:B,2,Equipar!F:F,A522)
&gt;0,COUNTIF('Set recomendado'!B:B,C522)=0),
"Bloqueada",
"Desechable")),""
)</f>
        <v/>
      </c>
      <c r="J522" t="str" cm="1">
        <f t="array" aca="1" ref="J522" ca="1">IF(ISNUMBER(A522),IFERROR(_xlfn._xlws.FILTER(Equipar!A:A,(Equipar!B:B=2)*(Equipar!AC:AC=A522)),""),"")</f>
        <v/>
      </c>
    </row>
    <row r="523" spans="1:10" x14ac:dyDescent="0.25">
      <c r="A523" s="1" t="str">
        <f ca="1">IF(A522="ID",1,IF(ISBLANK(B523),"",MAX(A$2:A522)+1))</f>
        <v/>
      </c>
      <c r="I523" s="2" t="str">
        <f ca="1">IF(ISNUMBER(A523),
IF(COUNTIFS(Equipar!B:B,2,Equipar!AC:AC,A523),"Equipada",
IF(
  OR(COUNTIFS(Equipar!B:B,2,Equipar!C:C,A523)
 +COUNTIFS(Equipar!B:B,2,Equipar!D:D,A523)
+COUNTIFS(Equipar!B:B,2,Equipar!E:E,A523)
+COUNTIFS(Equipar!B:B,2,Equipar!F:F,A523)
&gt;0,COUNTIF('Set recomendado'!B:B,C523)=0),
"Bloqueada",
"Desechable")),""
)</f>
        <v/>
      </c>
      <c r="J523" t="str" cm="1">
        <f t="array" aca="1" ref="J523" ca="1">IF(ISNUMBER(A523),IFERROR(_xlfn._xlws.FILTER(Equipar!A:A,(Equipar!B:B=2)*(Equipar!AC:AC=A523)),""),"")</f>
        <v/>
      </c>
    </row>
    <row r="524" spans="1:10" x14ac:dyDescent="0.25">
      <c r="A524" s="1" t="str">
        <f ca="1">IF(A523="ID",1,IF(ISBLANK(B524),"",MAX(A$2:A523)+1))</f>
        <v/>
      </c>
      <c r="I524" s="2" t="str">
        <f ca="1">IF(ISNUMBER(A524),
IF(COUNTIFS(Equipar!B:B,2,Equipar!AC:AC,A524),"Equipada",
IF(
  OR(COUNTIFS(Equipar!B:B,2,Equipar!C:C,A524)
 +COUNTIFS(Equipar!B:B,2,Equipar!D:D,A524)
+COUNTIFS(Equipar!B:B,2,Equipar!E:E,A524)
+COUNTIFS(Equipar!B:B,2,Equipar!F:F,A524)
&gt;0,COUNTIF('Set recomendado'!B:B,C524)=0),
"Bloqueada",
"Desechable")),""
)</f>
        <v/>
      </c>
      <c r="J524" t="str" cm="1">
        <f t="array" aca="1" ref="J524" ca="1">IF(ISNUMBER(A524),IFERROR(_xlfn._xlws.FILTER(Equipar!A:A,(Equipar!B:B=2)*(Equipar!AC:AC=A524)),""),"")</f>
        <v/>
      </c>
    </row>
    <row r="525" spans="1:10" x14ac:dyDescent="0.25">
      <c r="A525" s="1" t="str">
        <f ca="1">IF(A524="ID",1,IF(ISBLANK(B525),"",MAX(A$2:A524)+1))</f>
        <v/>
      </c>
      <c r="I525" s="2" t="str">
        <f ca="1">IF(ISNUMBER(A525),
IF(COUNTIFS(Equipar!B:B,2,Equipar!AC:AC,A525),"Equipada",
IF(
  OR(COUNTIFS(Equipar!B:B,2,Equipar!C:C,A525)
 +COUNTIFS(Equipar!B:B,2,Equipar!D:D,A525)
+COUNTIFS(Equipar!B:B,2,Equipar!E:E,A525)
+COUNTIFS(Equipar!B:B,2,Equipar!F:F,A525)
&gt;0,COUNTIF('Set recomendado'!B:B,C525)=0),
"Bloqueada",
"Desechable")),""
)</f>
        <v/>
      </c>
      <c r="J525" t="str" cm="1">
        <f t="array" aca="1" ref="J525" ca="1">IF(ISNUMBER(A525),IFERROR(_xlfn._xlws.FILTER(Equipar!A:A,(Equipar!B:B=2)*(Equipar!AC:AC=A525)),""),"")</f>
        <v/>
      </c>
    </row>
    <row r="526" spans="1:10" x14ac:dyDescent="0.25">
      <c r="A526" s="1" t="str">
        <f ca="1">IF(A525="ID",1,IF(ISBLANK(B526),"",MAX(A$2:A525)+1))</f>
        <v/>
      </c>
      <c r="I526" s="2" t="str">
        <f ca="1">IF(ISNUMBER(A526),
IF(COUNTIFS(Equipar!B:B,2,Equipar!AC:AC,A526),"Equipada",
IF(
  OR(COUNTIFS(Equipar!B:B,2,Equipar!C:C,A526)
 +COUNTIFS(Equipar!B:B,2,Equipar!D:D,A526)
+COUNTIFS(Equipar!B:B,2,Equipar!E:E,A526)
+COUNTIFS(Equipar!B:B,2,Equipar!F:F,A526)
&gt;0,COUNTIF('Set recomendado'!B:B,C526)=0),
"Bloqueada",
"Desechable")),""
)</f>
        <v/>
      </c>
      <c r="J526" t="str" cm="1">
        <f t="array" aca="1" ref="J526" ca="1">IF(ISNUMBER(A526),IFERROR(_xlfn._xlws.FILTER(Equipar!A:A,(Equipar!B:B=2)*(Equipar!AC:AC=A526)),""),"")</f>
        <v/>
      </c>
    </row>
    <row r="527" spans="1:10" x14ac:dyDescent="0.25">
      <c r="A527" s="1" t="str">
        <f ca="1">IF(A526="ID",1,IF(ISBLANK(B527),"",MAX(A$2:A526)+1))</f>
        <v/>
      </c>
      <c r="I527" s="2" t="str">
        <f ca="1">IF(ISNUMBER(A527),
IF(COUNTIFS(Equipar!B:B,2,Equipar!AC:AC,A527),"Equipada",
IF(
  OR(COUNTIFS(Equipar!B:B,2,Equipar!C:C,A527)
 +COUNTIFS(Equipar!B:B,2,Equipar!D:D,A527)
+COUNTIFS(Equipar!B:B,2,Equipar!E:E,A527)
+COUNTIFS(Equipar!B:B,2,Equipar!F:F,A527)
&gt;0,COUNTIF('Set recomendado'!B:B,C527)=0),
"Bloqueada",
"Desechable")),""
)</f>
        <v/>
      </c>
      <c r="J527" t="str" cm="1">
        <f t="array" aca="1" ref="J527" ca="1">IF(ISNUMBER(A527),IFERROR(_xlfn._xlws.FILTER(Equipar!A:A,(Equipar!B:B=2)*(Equipar!AC:AC=A527)),""),"")</f>
        <v/>
      </c>
    </row>
    <row r="528" spans="1:10" x14ac:dyDescent="0.25">
      <c r="A528" s="1" t="str">
        <f ca="1">IF(A527="ID",1,IF(ISBLANK(B528),"",MAX(A$2:A527)+1))</f>
        <v/>
      </c>
      <c r="I528" s="2" t="str">
        <f ca="1">IF(ISNUMBER(A528),
IF(COUNTIFS(Equipar!B:B,2,Equipar!AC:AC,A528),"Equipada",
IF(
  OR(COUNTIFS(Equipar!B:B,2,Equipar!C:C,A528)
 +COUNTIFS(Equipar!B:B,2,Equipar!D:D,A528)
+COUNTIFS(Equipar!B:B,2,Equipar!E:E,A528)
+COUNTIFS(Equipar!B:B,2,Equipar!F:F,A528)
&gt;0,COUNTIF('Set recomendado'!B:B,C528)=0),
"Bloqueada",
"Desechable")),""
)</f>
        <v/>
      </c>
      <c r="J528" t="str" cm="1">
        <f t="array" aca="1" ref="J528" ca="1">IF(ISNUMBER(A528),IFERROR(_xlfn._xlws.FILTER(Equipar!A:A,(Equipar!B:B=2)*(Equipar!AC:AC=A528)),""),"")</f>
        <v/>
      </c>
    </row>
    <row r="529" spans="1:10" x14ac:dyDescent="0.25">
      <c r="A529" s="1" t="str">
        <f ca="1">IF(A528="ID",1,IF(ISBLANK(B529),"",MAX(A$2:A528)+1))</f>
        <v/>
      </c>
      <c r="I529" s="2" t="str">
        <f ca="1">IF(ISNUMBER(A529),
IF(COUNTIFS(Equipar!B:B,2,Equipar!AC:AC,A529),"Equipada",
IF(
  OR(COUNTIFS(Equipar!B:B,2,Equipar!C:C,A529)
 +COUNTIFS(Equipar!B:B,2,Equipar!D:D,A529)
+COUNTIFS(Equipar!B:B,2,Equipar!E:E,A529)
+COUNTIFS(Equipar!B:B,2,Equipar!F:F,A529)
&gt;0,COUNTIF('Set recomendado'!B:B,C529)=0),
"Bloqueada",
"Desechable")),""
)</f>
        <v/>
      </c>
      <c r="J529" t="str" cm="1">
        <f t="array" aca="1" ref="J529" ca="1">IF(ISNUMBER(A529),IFERROR(_xlfn._xlws.FILTER(Equipar!A:A,(Equipar!B:B=2)*(Equipar!AC:AC=A529)),""),"")</f>
        <v/>
      </c>
    </row>
    <row r="530" spans="1:10" x14ac:dyDescent="0.25">
      <c r="A530" s="1" t="str">
        <f ca="1">IF(A529="ID",1,IF(ISBLANK(B530),"",MAX(A$2:A529)+1))</f>
        <v/>
      </c>
      <c r="I530" s="2" t="str">
        <f ca="1">IF(ISNUMBER(A530),
IF(COUNTIFS(Equipar!B:B,2,Equipar!AC:AC,A530),"Equipada",
IF(
  OR(COUNTIFS(Equipar!B:B,2,Equipar!C:C,A530)
 +COUNTIFS(Equipar!B:B,2,Equipar!D:D,A530)
+COUNTIFS(Equipar!B:B,2,Equipar!E:E,A530)
+COUNTIFS(Equipar!B:B,2,Equipar!F:F,A530)
&gt;0,COUNTIF('Set recomendado'!B:B,C530)=0),
"Bloqueada",
"Desechable")),""
)</f>
        <v/>
      </c>
      <c r="J530" t="str" cm="1">
        <f t="array" aca="1" ref="J530" ca="1">IF(ISNUMBER(A530),IFERROR(_xlfn._xlws.FILTER(Equipar!A:A,(Equipar!B:B=2)*(Equipar!AC:AC=A530)),""),"")</f>
        <v/>
      </c>
    </row>
    <row r="531" spans="1:10" x14ac:dyDescent="0.25">
      <c r="A531" s="1" t="str">
        <f ca="1">IF(A530="ID",1,IF(ISBLANK(B531),"",MAX(A$2:A530)+1))</f>
        <v/>
      </c>
      <c r="I531" s="2" t="str">
        <f ca="1">IF(ISNUMBER(A531),
IF(COUNTIFS(Equipar!B:B,2,Equipar!AC:AC,A531),"Equipada",
IF(
  OR(COUNTIFS(Equipar!B:B,2,Equipar!C:C,A531)
 +COUNTIFS(Equipar!B:B,2,Equipar!D:D,A531)
+COUNTIFS(Equipar!B:B,2,Equipar!E:E,A531)
+COUNTIFS(Equipar!B:B,2,Equipar!F:F,A531)
&gt;0,COUNTIF('Set recomendado'!B:B,C531)=0),
"Bloqueada",
"Desechable")),""
)</f>
        <v/>
      </c>
      <c r="J531" t="str" cm="1">
        <f t="array" aca="1" ref="J531" ca="1">IF(ISNUMBER(A531),IFERROR(_xlfn._xlws.FILTER(Equipar!A:A,(Equipar!B:B=2)*(Equipar!AC:AC=A531)),""),"")</f>
        <v/>
      </c>
    </row>
    <row r="532" spans="1:10" x14ac:dyDescent="0.25">
      <c r="A532" s="1" t="str">
        <f ca="1">IF(A531="ID",1,IF(ISBLANK(B532),"",MAX(A$2:A531)+1))</f>
        <v/>
      </c>
      <c r="I532" s="2" t="str">
        <f ca="1">IF(ISNUMBER(A532),
IF(COUNTIFS(Equipar!B:B,2,Equipar!AC:AC,A532),"Equipada",
IF(
  OR(COUNTIFS(Equipar!B:B,2,Equipar!C:C,A532)
 +COUNTIFS(Equipar!B:B,2,Equipar!D:D,A532)
+COUNTIFS(Equipar!B:B,2,Equipar!E:E,A532)
+COUNTIFS(Equipar!B:B,2,Equipar!F:F,A532)
&gt;0,COUNTIF('Set recomendado'!B:B,C532)=0),
"Bloqueada",
"Desechable")),""
)</f>
        <v/>
      </c>
      <c r="J532" t="str" cm="1">
        <f t="array" aca="1" ref="J532" ca="1">IF(ISNUMBER(A532),IFERROR(_xlfn._xlws.FILTER(Equipar!A:A,(Equipar!B:B=2)*(Equipar!AC:AC=A532)),""),"")</f>
        <v/>
      </c>
    </row>
    <row r="533" spans="1:10" x14ac:dyDescent="0.25">
      <c r="A533" s="1" t="str">
        <f ca="1">IF(A532="ID",1,IF(ISBLANK(B533),"",MAX(A$2:A532)+1))</f>
        <v/>
      </c>
      <c r="I533" s="2" t="str">
        <f ca="1">IF(ISNUMBER(A533),
IF(COUNTIFS(Equipar!B:B,2,Equipar!AC:AC,A533),"Equipada",
IF(
  OR(COUNTIFS(Equipar!B:B,2,Equipar!C:C,A533)
 +COUNTIFS(Equipar!B:B,2,Equipar!D:D,A533)
+COUNTIFS(Equipar!B:B,2,Equipar!E:E,A533)
+COUNTIFS(Equipar!B:B,2,Equipar!F:F,A533)
&gt;0,COUNTIF('Set recomendado'!B:B,C533)=0),
"Bloqueada",
"Desechable")),""
)</f>
        <v/>
      </c>
      <c r="J533" t="str" cm="1">
        <f t="array" aca="1" ref="J533" ca="1">IF(ISNUMBER(A533),IFERROR(_xlfn._xlws.FILTER(Equipar!A:A,(Equipar!B:B=2)*(Equipar!AC:AC=A533)),""),"")</f>
        <v/>
      </c>
    </row>
    <row r="534" spans="1:10" x14ac:dyDescent="0.25">
      <c r="A534" s="1" t="str">
        <f ca="1">IF(A533="ID",1,IF(ISBLANK(B534),"",MAX(A$2:A533)+1))</f>
        <v/>
      </c>
      <c r="I534" s="2" t="str">
        <f ca="1">IF(ISNUMBER(A534),
IF(COUNTIFS(Equipar!B:B,2,Equipar!AC:AC,A534),"Equipada",
IF(
  OR(COUNTIFS(Equipar!B:B,2,Equipar!C:C,A534)
 +COUNTIFS(Equipar!B:B,2,Equipar!D:D,A534)
+COUNTIFS(Equipar!B:B,2,Equipar!E:E,A534)
+COUNTIFS(Equipar!B:B,2,Equipar!F:F,A534)
&gt;0,COUNTIF('Set recomendado'!B:B,C534)=0),
"Bloqueada",
"Desechable")),""
)</f>
        <v/>
      </c>
      <c r="J534" t="str" cm="1">
        <f t="array" aca="1" ref="J534" ca="1">IF(ISNUMBER(A534),IFERROR(_xlfn._xlws.FILTER(Equipar!A:A,(Equipar!B:B=2)*(Equipar!AC:AC=A534)),""),"")</f>
        <v/>
      </c>
    </row>
    <row r="535" spans="1:10" x14ac:dyDescent="0.25">
      <c r="A535" s="1" t="str">
        <f ca="1">IF(A534="ID",1,IF(ISBLANK(B535),"",MAX(A$2:A534)+1))</f>
        <v/>
      </c>
      <c r="I535" s="2" t="str">
        <f ca="1">IF(ISNUMBER(A535),
IF(COUNTIFS(Equipar!B:B,2,Equipar!AC:AC,A535),"Equipada",
IF(
  OR(COUNTIFS(Equipar!B:B,2,Equipar!C:C,A535)
 +COUNTIFS(Equipar!B:B,2,Equipar!D:D,A535)
+COUNTIFS(Equipar!B:B,2,Equipar!E:E,A535)
+COUNTIFS(Equipar!B:B,2,Equipar!F:F,A535)
&gt;0,COUNTIF('Set recomendado'!B:B,C535)=0),
"Bloqueada",
"Desechable")),""
)</f>
        <v/>
      </c>
      <c r="J535" t="str" cm="1">
        <f t="array" aca="1" ref="J535" ca="1">IF(ISNUMBER(A535),IFERROR(_xlfn._xlws.FILTER(Equipar!A:A,(Equipar!B:B=2)*(Equipar!AC:AC=A535)),""),"")</f>
        <v/>
      </c>
    </row>
    <row r="536" spans="1:10" x14ac:dyDescent="0.25">
      <c r="A536" s="1" t="str">
        <f ca="1">IF(A535="ID",1,IF(ISBLANK(B536),"",MAX(A$2:A535)+1))</f>
        <v/>
      </c>
      <c r="I536" s="2" t="str">
        <f ca="1">IF(ISNUMBER(A536),
IF(COUNTIFS(Equipar!B:B,2,Equipar!AC:AC,A536),"Equipada",
IF(
  OR(COUNTIFS(Equipar!B:B,2,Equipar!C:C,A536)
 +COUNTIFS(Equipar!B:B,2,Equipar!D:D,A536)
+COUNTIFS(Equipar!B:B,2,Equipar!E:E,A536)
+COUNTIFS(Equipar!B:B,2,Equipar!F:F,A536)
&gt;0,COUNTIF('Set recomendado'!B:B,C536)=0),
"Bloqueada",
"Desechable")),""
)</f>
        <v/>
      </c>
      <c r="J536" t="str" cm="1">
        <f t="array" aca="1" ref="J536" ca="1">IF(ISNUMBER(A536),IFERROR(_xlfn._xlws.FILTER(Equipar!A:A,(Equipar!B:B=2)*(Equipar!AC:AC=A536)),""),"")</f>
        <v/>
      </c>
    </row>
    <row r="537" spans="1:10" x14ac:dyDescent="0.25">
      <c r="A537" s="1" t="str">
        <f ca="1">IF(A536="ID",1,IF(ISBLANK(B537),"",MAX(A$2:A536)+1))</f>
        <v/>
      </c>
      <c r="I537" s="2" t="str">
        <f ca="1">IF(ISNUMBER(A537),
IF(COUNTIFS(Equipar!B:B,2,Equipar!AC:AC,A537),"Equipada",
IF(
  OR(COUNTIFS(Equipar!B:B,2,Equipar!C:C,A537)
 +COUNTIFS(Equipar!B:B,2,Equipar!D:D,A537)
+COUNTIFS(Equipar!B:B,2,Equipar!E:E,A537)
+COUNTIFS(Equipar!B:B,2,Equipar!F:F,A537)
&gt;0,COUNTIF('Set recomendado'!B:B,C537)=0),
"Bloqueada",
"Desechable")),""
)</f>
        <v/>
      </c>
      <c r="J537" t="str" cm="1">
        <f t="array" aca="1" ref="J537" ca="1">IF(ISNUMBER(A537),IFERROR(_xlfn._xlws.FILTER(Equipar!A:A,(Equipar!B:B=2)*(Equipar!AC:AC=A537)),""),"")</f>
        <v/>
      </c>
    </row>
    <row r="538" spans="1:10" x14ac:dyDescent="0.25">
      <c r="A538" s="1" t="str">
        <f ca="1">IF(A537="ID",1,IF(ISBLANK(B538),"",MAX(A$2:A537)+1))</f>
        <v/>
      </c>
      <c r="I538" s="2" t="str">
        <f ca="1">IF(ISNUMBER(A538),
IF(COUNTIFS(Equipar!B:B,2,Equipar!AC:AC,A538),"Equipada",
IF(
  OR(COUNTIFS(Equipar!B:B,2,Equipar!C:C,A538)
 +COUNTIFS(Equipar!B:B,2,Equipar!D:D,A538)
+COUNTIFS(Equipar!B:B,2,Equipar!E:E,A538)
+COUNTIFS(Equipar!B:B,2,Equipar!F:F,A538)
&gt;0,COUNTIF('Set recomendado'!B:B,C538)=0),
"Bloqueada",
"Desechable")),""
)</f>
        <v/>
      </c>
      <c r="J538" t="str" cm="1">
        <f t="array" aca="1" ref="J538" ca="1">IF(ISNUMBER(A538),IFERROR(_xlfn._xlws.FILTER(Equipar!A:A,(Equipar!B:B=2)*(Equipar!AC:AC=A538)),""),"")</f>
        <v/>
      </c>
    </row>
    <row r="539" spans="1:10" x14ac:dyDescent="0.25">
      <c r="A539" s="1" t="str">
        <f ca="1">IF(A538="ID",1,IF(ISBLANK(B539),"",MAX(A$2:A538)+1))</f>
        <v/>
      </c>
      <c r="I539" s="2" t="str">
        <f ca="1">IF(ISNUMBER(A539),
IF(COUNTIFS(Equipar!B:B,2,Equipar!AC:AC,A539),"Equipada",
IF(
  OR(COUNTIFS(Equipar!B:B,2,Equipar!C:C,A539)
 +COUNTIFS(Equipar!B:B,2,Equipar!D:D,A539)
+COUNTIFS(Equipar!B:B,2,Equipar!E:E,A539)
+COUNTIFS(Equipar!B:B,2,Equipar!F:F,A539)
&gt;0,COUNTIF('Set recomendado'!B:B,C539)=0),
"Bloqueada",
"Desechable")),""
)</f>
        <v/>
      </c>
      <c r="J539" t="str" cm="1">
        <f t="array" aca="1" ref="J539" ca="1">IF(ISNUMBER(A539),IFERROR(_xlfn._xlws.FILTER(Equipar!A:A,(Equipar!B:B=2)*(Equipar!AC:AC=A539)),""),"")</f>
        <v/>
      </c>
    </row>
    <row r="540" spans="1:10" x14ac:dyDescent="0.25">
      <c r="A540" s="1" t="str">
        <f ca="1">IF(A539="ID",1,IF(ISBLANK(B540),"",MAX(A$2:A539)+1))</f>
        <v/>
      </c>
      <c r="I540" s="2" t="str">
        <f ca="1">IF(ISNUMBER(A540),
IF(COUNTIFS(Equipar!B:B,2,Equipar!AC:AC,A540),"Equipada",
IF(
  OR(COUNTIFS(Equipar!B:B,2,Equipar!C:C,A540)
 +COUNTIFS(Equipar!B:B,2,Equipar!D:D,A540)
+COUNTIFS(Equipar!B:B,2,Equipar!E:E,A540)
+COUNTIFS(Equipar!B:B,2,Equipar!F:F,A540)
&gt;0,COUNTIF('Set recomendado'!B:B,C540)=0),
"Bloqueada",
"Desechable")),""
)</f>
        <v/>
      </c>
      <c r="J540" t="str" cm="1">
        <f t="array" aca="1" ref="J540" ca="1">IF(ISNUMBER(A540),IFERROR(_xlfn._xlws.FILTER(Equipar!A:A,(Equipar!B:B=2)*(Equipar!AC:AC=A540)),""),"")</f>
        <v/>
      </c>
    </row>
    <row r="541" spans="1:10" x14ac:dyDescent="0.25">
      <c r="A541" s="1" t="str">
        <f ca="1">IF(A540="ID",1,IF(ISBLANK(B541),"",MAX(A$2:A540)+1))</f>
        <v/>
      </c>
      <c r="I541" s="2" t="str">
        <f ca="1">IF(ISNUMBER(A541),
IF(COUNTIFS(Equipar!B:B,2,Equipar!AC:AC,A541),"Equipada",
IF(
  OR(COUNTIFS(Equipar!B:B,2,Equipar!C:C,A541)
 +COUNTIFS(Equipar!B:B,2,Equipar!D:D,A541)
+COUNTIFS(Equipar!B:B,2,Equipar!E:E,A541)
+COUNTIFS(Equipar!B:B,2,Equipar!F:F,A541)
&gt;0,COUNTIF('Set recomendado'!B:B,C541)=0),
"Bloqueada",
"Desechable")),""
)</f>
        <v/>
      </c>
      <c r="J541" t="str" cm="1">
        <f t="array" aca="1" ref="J541" ca="1">IF(ISNUMBER(A541),IFERROR(_xlfn._xlws.FILTER(Equipar!A:A,(Equipar!B:B=2)*(Equipar!AC:AC=A541)),""),"")</f>
        <v/>
      </c>
    </row>
    <row r="542" spans="1:10" x14ac:dyDescent="0.25">
      <c r="A542" s="1" t="str">
        <f ca="1">IF(A541="ID",1,IF(ISBLANK(B542),"",MAX(A$2:A541)+1))</f>
        <v/>
      </c>
      <c r="I542" s="2" t="str">
        <f ca="1">IF(ISNUMBER(A542),
IF(COUNTIFS(Equipar!B:B,2,Equipar!AC:AC,A542),"Equipada",
IF(
  OR(COUNTIFS(Equipar!B:B,2,Equipar!C:C,A542)
 +COUNTIFS(Equipar!B:B,2,Equipar!D:D,A542)
+COUNTIFS(Equipar!B:B,2,Equipar!E:E,A542)
+COUNTIFS(Equipar!B:B,2,Equipar!F:F,A542)
&gt;0,COUNTIF('Set recomendado'!B:B,C542)=0),
"Bloqueada",
"Desechable")),""
)</f>
        <v/>
      </c>
      <c r="J542" t="str" cm="1">
        <f t="array" aca="1" ref="J542" ca="1">IF(ISNUMBER(A542),IFERROR(_xlfn._xlws.FILTER(Equipar!A:A,(Equipar!B:B=2)*(Equipar!AC:AC=A542)),""),"")</f>
        <v/>
      </c>
    </row>
    <row r="543" spans="1:10" x14ac:dyDescent="0.25">
      <c r="A543" s="1" t="str">
        <f ca="1">IF(A542="ID",1,IF(ISBLANK(B543),"",MAX(A$2:A542)+1))</f>
        <v/>
      </c>
      <c r="I543" s="2" t="str">
        <f ca="1">IF(ISNUMBER(A543),
IF(COUNTIFS(Equipar!B:B,2,Equipar!AC:AC,A543),"Equipada",
IF(
  OR(COUNTIFS(Equipar!B:B,2,Equipar!C:C,A543)
 +COUNTIFS(Equipar!B:B,2,Equipar!D:D,A543)
+COUNTIFS(Equipar!B:B,2,Equipar!E:E,A543)
+COUNTIFS(Equipar!B:B,2,Equipar!F:F,A543)
&gt;0,COUNTIF('Set recomendado'!B:B,C543)=0),
"Bloqueada",
"Desechable")),""
)</f>
        <v/>
      </c>
      <c r="J543" t="str" cm="1">
        <f t="array" aca="1" ref="J543" ca="1">IF(ISNUMBER(A543),IFERROR(_xlfn._xlws.FILTER(Equipar!A:A,(Equipar!B:B=2)*(Equipar!AC:AC=A543)),""),"")</f>
        <v/>
      </c>
    </row>
    <row r="544" spans="1:10" x14ac:dyDescent="0.25">
      <c r="A544" s="1" t="str">
        <f ca="1">IF(A543="ID",1,IF(ISBLANK(B544),"",MAX(A$2:A543)+1))</f>
        <v/>
      </c>
      <c r="I544" s="2" t="str">
        <f ca="1">IF(ISNUMBER(A544),
IF(COUNTIFS(Equipar!B:B,2,Equipar!AC:AC,A544),"Equipada",
IF(
  OR(COUNTIFS(Equipar!B:B,2,Equipar!C:C,A544)
 +COUNTIFS(Equipar!B:B,2,Equipar!D:D,A544)
+COUNTIFS(Equipar!B:B,2,Equipar!E:E,A544)
+COUNTIFS(Equipar!B:B,2,Equipar!F:F,A544)
&gt;0,COUNTIF('Set recomendado'!B:B,C544)=0),
"Bloqueada",
"Desechable")),""
)</f>
        <v/>
      </c>
      <c r="J544" t="str" cm="1">
        <f t="array" aca="1" ref="J544" ca="1">IF(ISNUMBER(A544),IFERROR(_xlfn._xlws.FILTER(Equipar!A:A,(Equipar!B:B=2)*(Equipar!AC:AC=A544)),""),"")</f>
        <v/>
      </c>
    </row>
    <row r="545" spans="1:10" x14ac:dyDescent="0.25">
      <c r="A545" s="1" t="str">
        <f ca="1">IF(A544="ID",1,IF(ISBLANK(B545),"",MAX(A$2:A544)+1))</f>
        <v/>
      </c>
      <c r="I545" s="2" t="str">
        <f ca="1">IF(ISNUMBER(A545),
IF(COUNTIFS(Equipar!B:B,2,Equipar!AC:AC,A545),"Equipada",
IF(
  OR(COUNTIFS(Equipar!B:B,2,Equipar!C:C,A545)
 +COUNTIFS(Equipar!B:B,2,Equipar!D:D,A545)
+COUNTIFS(Equipar!B:B,2,Equipar!E:E,A545)
+COUNTIFS(Equipar!B:B,2,Equipar!F:F,A545)
&gt;0,COUNTIF('Set recomendado'!B:B,C545)=0),
"Bloqueada",
"Desechable")),""
)</f>
        <v/>
      </c>
      <c r="J545" t="str" cm="1">
        <f t="array" aca="1" ref="J545" ca="1">IF(ISNUMBER(A545),IFERROR(_xlfn._xlws.FILTER(Equipar!A:A,(Equipar!B:B=2)*(Equipar!AC:AC=A545)),""),"")</f>
        <v/>
      </c>
    </row>
    <row r="546" spans="1:10" x14ac:dyDescent="0.25">
      <c r="A546" s="1" t="str">
        <f ca="1">IF(A545="ID",1,IF(ISBLANK(B546),"",MAX(A$2:A545)+1))</f>
        <v/>
      </c>
      <c r="I546" s="2" t="str">
        <f ca="1">IF(ISNUMBER(A546),
IF(COUNTIFS(Equipar!B:B,2,Equipar!AC:AC,A546),"Equipada",
IF(
  OR(COUNTIFS(Equipar!B:B,2,Equipar!C:C,A546)
 +COUNTIFS(Equipar!B:B,2,Equipar!D:D,A546)
+COUNTIFS(Equipar!B:B,2,Equipar!E:E,A546)
+COUNTIFS(Equipar!B:B,2,Equipar!F:F,A546)
&gt;0,COUNTIF('Set recomendado'!B:B,C546)=0),
"Bloqueada",
"Desechable")),""
)</f>
        <v/>
      </c>
      <c r="J546" t="str" cm="1">
        <f t="array" aca="1" ref="J546" ca="1">IF(ISNUMBER(A546),IFERROR(_xlfn._xlws.FILTER(Equipar!A:A,(Equipar!B:B=2)*(Equipar!AC:AC=A546)),""),"")</f>
        <v/>
      </c>
    </row>
    <row r="547" spans="1:10" x14ac:dyDescent="0.25">
      <c r="A547" s="1" t="str">
        <f ca="1">IF(A546="ID",1,IF(ISBLANK(B547),"",MAX(A$2:A546)+1))</f>
        <v/>
      </c>
      <c r="I547" s="2" t="str">
        <f ca="1">IF(ISNUMBER(A547),
IF(COUNTIFS(Equipar!B:B,2,Equipar!AC:AC,A547),"Equipada",
IF(
  OR(COUNTIFS(Equipar!B:B,2,Equipar!C:C,A547)
 +COUNTIFS(Equipar!B:B,2,Equipar!D:D,A547)
+COUNTIFS(Equipar!B:B,2,Equipar!E:E,A547)
+COUNTIFS(Equipar!B:B,2,Equipar!F:F,A547)
&gt;0,COUNTIF('Set recomendado'!B:B,C547)=0),
"Bloqueada",
"Desechable")),""
)</f>
        <v/>
      </c>
      <c r="J547" t="str" cm="1">
        <f t="array" aca="1" ref="J547" ca="1">IF(ISNUMBER(A547),IFERROR(_xlfn._xlws.FILTER(Equipar!A:A,(Equipar!B:B=2)*(Equipar!AC:AC=A547)),""),"")</f>
        <v/>
      </c>
    </row>
    <row r="548" spans="1:10" x14ac:dyDescent="0.25">
      <c r="A548" s="1" t="str">
        <f ca="1">IF(A547="ID",1,IF(ISBLANK(B548),"",MAX(A$2:A547)+1))</f>
        <v/>
      </c>
      <c r="I548" s="2" t="str">
        <f ca="1">IF(ISNUMBER(A548),
IF(COUNTIFS(Equipar!B:B,2,Equipar!AC:AC,A548),"Equipada",
IF(
  OR(COUNTIFS(Equipar!B:B,2,Equipar!C:C,A548)
 +COUNTIFS(Equipar!B:B,2,Equipar!D:D,A548)
+COUNTIFS(Equipar!B:B,2,Equipar!E:E,A548)
+COUNTIFS(Equipar!B:B,2,Equipar!F:F,A548)
&gt;0,COUNTIF('Set recomendado'!B:B,C548)=0),
"Bloqueada",
"Desechable")),""
)</f>
        <v/>
      </c>
      <c r="J548" t="str" cm="1">
        <f t="array" aca="1" ref="J548" ca="1">IF(ISNUMBER(A548),IFERROR(_xlfn._xlws.FILTER(Equipar!A:A,(Equipar!B:B=2)*(Equipar!AC:AC=A548)),""),"")</f>
        <v/>
      </c>
    </row>
    <row r="549" spans="1:10" x14ac:dyDescent="0.25">
      <c r="A549" s="1" t="str">
        <f ca="1">IF(A548="ID",1,IF(ISBLANK(B549),"",MAX(A$2:A548)+1))</f>
        <v/>
      </c>
      <c r="I549" s="2" t="str">
        <f ca="1">IF(ISNUMBER(A549),
IF(COUNTIFS(Equipar!B:B,2,Equipar!AC:AC,A549),"Equipada",
IF(
  OR(COUNTIFS(Equipar!B:B,2,Equipar!C:C,A549)
 +COUNTIFS(Equipar!B:B,2,Equipar!D:D,A549)
+COUNTIFS(Equipar!B:B,2,Equipar!E:E,A549)
+COUNTIFS(Equipar!B:B,2,Equipar!F:F,A549)
&gt;0,COUNTIF('Set recomendado'!B:B,C549)=0),
"Bloqueada",
"Desechable")),""
)</f>
        <v/>
      </c>
      <c r="J549" t="str" cm="1">
        <f t="array" aca="1" ref="J549" ca="1">IF(ISNUMBER(A549),IFERROR(_xlfn._xlws.FILTER(Equipar!A:A,(Equipar!B:B=2)*(Equipar!AC:AC=A549)),""),"")</f>
        <v/>
      </c>
    </row>
    <row r="550" spans="1:10" x14ac:dyDescent="0.25">
      <c r="A550" s="1" t="str">
        <f ca="1">IF(A549="ID",1,IF(ISBLANK(B550),"",MAX(A$2:A549)+1))</f>
        <v/>
      </c>
      <c r="I550" s="2" t="str">
        <f ca="1">IF(ISNUMBER(A550),
IF(COUNTIFS(Equipar!B:B,2,Equipar!AC:AC,A550),"Equipada",
IF(
  OR(COUNTIFS(Equipar!B:B,2,Equipar!C:C,A550)
 +COUNTIFS(Equipar!B:B,2,Equipar!D:D,A550)
+COUNTIFS(Equipar!B:B,2,Equipar!E:E,A550)
+COUNTIFS(Equipar!B:B,2,Equipar!F:F,A550)
&gt;0,COUNTIF('Set recomendado'!B:B,C550)=0),
"Bloqueada",
"Desechable")),""
)</f>
        <v/>
      </c>
      <c r="J550" t="str" cm="1">
        <f t="array" aca="1" ref="J550" ca="1">IF(ISNUMBER(A550),IFERROR(_xlfn._xlws.FILTER(Equipar!A:A,(Equipar!B:B=2)*(Equipar!AC:AC=A550)),""),"")</f>
        <v/>
      </c>
    </row>
    <row r="551" spans="1:10" x14ac:dyDescent="0.25">
      <c r="A551" s="1" t="str">
        <f ca="1">IF(A550="ID",1,IF(ISBLANK(B551),"",MAX(A$2:A550)+1))</f>
        <v/>
      </c>
      <c r="I551" s="2" t="str">
        <f ca="1">IF(ISNUMBER(A551),
IF(COUNTIFS(Equipar!B:B,2,Equipar!AC:AC,A551),"Equipada",
IF(
  OR(COUNTIFS(Equipar!B:B,2,Equipar!C:C,A551)
 +COUNTIFS(Equipar!B:B,2,Equipar!D:D,A551)
+COUNTIFS(Equipar!B:B,2,Equipar!E:E,A551)
+COUNTIFS(Equipar!B:B,2,Equipar!F:F,A551)
&gt;0,COUNTIF('Set recomendado'!B:B,C551)=0),
"Bloqueada",
"Desechable")),""
)</f>
        <v/>
      </c>
      <c r="J551" t="str" cm="1">
        <f t="array" aca="1" ref="J551" ca="1">IF(ISNUMBER(A551),IFERROR(_xlfn._xlws.FILTER(Equipar!A:A,(Equipar!B:B=2)*(Equipar!AC:AC=A551)),""),"")</f>
        <v/>
      </c>
    </row>
    <row r="552" spans="1:10" x14ac:dyDescent="0.25">
      <c r="A552" s="1" t="str">
        <f ca="1">IF(A551="ID",1,IF(ISBLANK(B552),"",MAX(A$2:A551)+1))</f>
        <v/>
      </c>
      <c r="I552" s="2" t="str">
        <f ca="1">IF(ISNUMBER(A552),
IF(COUNTIFS(Equipar!B:B,2,Equipar!AC:AC,A552),"Equipada",
IF(
  OR(COUNTIFS(Equipar!B:B,2,Equipar!C:C,A552)
 +COUNTIFS(Equipar!B:B,2,Equipar!D:D,A552)
+COUNTIFS(Equipar!B:B,2,Equipar!E:E,A552)
+COUNTIFS(Equipar!B:B,2,Equipar!F:F,A552)
&gt;0,COUNTIF('Set recomendado'!B:B,C552)=0),
"Bloqueada",
"Desechable")),""
)</f>
        <v/>
      </c>
      <c r="J552" t="str" cm="1">
        <f t="array" aca="1" ref="J552" ca="1">IF(ISNUMBER(A552),IFERROR(_xlfn._xlws.FILTER(Equipar!A:A,(Equipar!B:B=2)*(Equipar!AC:AC=A552)),""),"")</f>
        <v/>
      </c>
    </row>
    <row r="553" spans="1:10" x14ac:dyDescent="0.25">
      <c r="A553" s="1" t="str">
        <f ca="1">IF(A552="ID",1,IF(ISBLANK(B553),"",MAX(A$2:A552)+1))</f>
        <v/>
      </c>
      <c r="I553" s="2" t="str">
        <f ca="1">IF(ISNUMBER(A553),
IF(COUNTIFS(Equipar!B:B,2,Equipar!AC:AC,A553),"Equipada",
IF(
  OR(COUNTIFS(Equipar!B:B,2,Equipar!C:C,A553)
 +COUNTIFS(Equipar!B:B,2,Equipar!D:D,A553)
+COUNTIFS(Equipar!B:B,2,Equipar!E:E,A553)
+COUNTIFS(Equipar!B:B,2,Equipar!F:F,A553)
&gt;0,COUNTIF('Set recomendado'!B:B,C553)=0),
"Bloqueada",
"Desechable")),""
)</f>
        <v/>
      </c>
      <c r="J553" t="str" cm="1">
        <f t="array" aca="1" ref="J553" ca="1">IF(ISNUMBER(A553),IFERROR(_xlfn._xlws.FILTER(Equipar!A:A,(Equipar!B:B=2)*(Equipar!AC:AC=A553)),""),"")</f>
        <v/>
      </c>
    </row>
    <row r="554" spans="1:10" x14ac:dyDescent="0.25">
      <c r="A554" s="1" t="str">
        <f ca="1">IF(A553="ID",1,IF(ISBLANK(B554),"",MAX(A$2:A553)+1))</f>
        <v/>
      </c>
      <c r="I554" s="2" t="str">
        <f ca="1">IF(ISNUMBER(A554),
IF(COUNTIFS(Equipar!B:B,2,Equipar!AC:AC,A554),"Equipada",
IF(
  OR(COUNTIFS(Equipar!B:B,2,Equipar!C:C,A554)
 +COUNTIFS(Equipar!B:B,2,Equipar!D:D,A554)
+COUNTIFS(Equipar!B:B,2,Equipar!E:E,A554)
+COUNTIFS(Equipar!B:B,2,Equipar!F:F,A554)
&gt;0,COUNTIF('Set recomendado'!B:B,C554)=0),
"Bloqueada",
"Desechable")),""
)</f>
        <v/>
      </c>
      <c r="J554" t="str" cm="1">
        <f t="array" aca="1" ref="J554" ca="1">IF(ISNUMBER(A554),IFERROR(_xlfn._xlws.FILTER(Equipar!A:A,(Equipar!B:B=2)*(Equipar!AC:AC=A554)),""),"")</f>
        <v/>
      </c>
    </row>
    <row r="555" spans="1:10" x14ac:dyDescent="0.25">
      <c r="A555" s="1" t="str">
        <f ca="1">IF(A554="ID",1,IF(ISBLANK(B555),"",MAX(A$2:A554)+1))</f>
        <v/>
      </c>
      <c r="I555" s="2" t="str">
        <f ca="1">IF(ISNUMBER(A555),
IF(COUNTIFS(Equipar!B:B,2,Equipar!AC:AC,A555),"Equipada",
IF(
  OR(COUNTIFS(Equipar!B:B,2,Equipar!C:C,A555)
 +COUNTIFS(Equipar!B:B,2,Equipar!D:D,A555)
+COUNTIFS(Equipar!B:B,2,Equipar!E:E,A555)
+COUNTIFS(Equipar!B:B,2,Equipar!F:F,A555)
&gt;0,COUNTIF('Set recomendado'!B:B,C555)=0),
"Bloqueada",
"Desechable")),""
)</f>
        <v/>
      </c>
      <c r="J555" t="str" cm="1">
        <f t="array" aca="1" ref="J555" ca="1">IF(ISNUMBER(A555),IFERROR(_xlfn._xlws.FILTER(Equipar!A:A,(Equipar!B:B=2)*(Equipar!AC:AC=A555)),""),"")</f>
        <v/>
      </c>
    </row>
    <row r="556" spans="1:10" x14ac:dyDescent="0.25">
      <c r="A556" s="1" t="str">
        <f ca="1">IF(A555="ID",1,IF(ISBLANK(B556),"",MAX(A$2:A555)+1))</f>
        <v/>
      </c>
      <c r="I556" s="2" t="str">
        <f ca="1">IF(ISNUMBER(A556),
IF(COUNTIFS(Equipar!B:B,2,Equipar!AC:AC,A556),"Equipada",
IF(
  OR(COUNTIFS(Equipar!B:B,2,Equipar!C:C,A556)
 +COUNTIFS(Equipar!B:B,2,Equipar!D:D,A556)
+COUNTIFS(Equipar!B:B,2,Equipar!E:E,A556)
+COUNTIFS(Equipar!B:B,2,Equipar!F:F,A556)
&gt;0,COUNTIF('Set recomendado'!B:B,C556)=0),
"Bloqueada",
"Desechable")),""
)</f>
        <v/>
      </c>
      <c r="J556" t="str" cm="1">
        <f t="array" aca="1" ref="J556" ca="1">IF(ISNUMBER(A556),IFERROR(_xlfn._xlws.FILTER(Equipar!A:A,(Equipar!B:B=2)*(Equipar!AC:AC=A556)),""),"")</f>
        <v/>
      </c>
    </row>
    <row r="557" spans="1:10" x14ac:dyDescent="0.25">
      <c r="A557" s="1" t="str">
        <f ca="1">IF(A556="ID",1,IF(ISBLANK(B557),"",MAX(A$2:A556)+1))</f>
        <v/>
      </c>
      <c r="I557" s="2" t="str">
        <f ca="1">IF(ISNUMBER(A557),
IF(COUNTIFS(Equipar!B:B,2,Equipar!AC:AC,A557),"Equipada",
IF(
  OR(COUNTIFS(Equipar!B:B,2,Equipar!C:C,A557)
 +COUNTIFS(Equipar!B:B,2,Equipar!D:D,A557)
+COUNTIFS(Equipar!B:B,2,Equipar!E:E,A557)
+COUNTIFS(Equipar!B:B,2,Equipar!F:F,A557)
&gt;0,COUNTIF('Set recomendado'!B:B,C557)=0),
"Bloqueada",
"Desechable")),""
)</f>
        <v/>
      </c>
      <c r="J557" t="str" cm="1">
        <f t="array" aca="1" ref="J557" ca="1">IF(ISNUMBER(A557),IFERROR(_xlfn._xlws.FILTER(Equipar!A:A,(Equipar!B:B=2)*(Equipar!AC:AC=A557)),""),"")</f>
        <v/>
      </c>
    </row>
    <row r="558" spans="1:10" x14ac:dyDescent="0.25">
      <c r="A558" s="1" t="str">
        <f ca="1">IF(A557="ID",1,IF(ISBLANK(B558),"",MAX(A$2:A557)+1))</f>
        <v/>
      </c>
      <c r="I558" s="2" t="str">
        <f ca="1">IF(ISNUMBER(A558),
IF(COUNTIFS(Equipar!B:B,2,Equipar!AC:AC,A558),"Equipada",
IF(
  OR(COUNTIFS(Equipar!B:B,2,Equipar!C:C,A558)
 +COUNTIFS(Equipar!B:B,2,Equipar!D:D,A558)
+COUNTIFS(Equipar!B:B,2,Equipar!E:E,A558)
+COUNTIFS(Equipar!B:B,2,Equipar!F:F,A558)
&gt;0,COUNTIF('Set recomendado'!B:B,C558)=0),
"Bloqueada",
"Desechable")),""
)</f>
        <v/>
      </c>
      <c r="J558" t="str" cm="1">
        <f t="array" aca="1" ref="J558" ca="1">IF(ISNUMBER(A558),IFERROR(_xlfn._xlws.FILTER(Equipar!A:A,(Equipar!B:B=2)*(Equipar!AC:AC=A558)),""),"")</f>
        <v/>
      </c>
    </row>
    <row r="559" spans="1:10" x14ac:dyDescent="0.25">
      <c r="A559" s="1" t="str">
        <f ca="1">IF(A558="ID",1,IF(ISBLANK(B559),"",MAX(A$2:A558)+1))</f>
        <v/>
      </c>
      <c r="I559" s="2" t="str">
        <f ca="1">IF(ISNUMBER(A559),
IF(COUNTIFS(Equipar!B:B,2,Equipar!AC:AC,A559),"Equipada",
IF(
  OR(COUNTIFS(Equipar!B:B,2,Equipar!C:C,A559)
 +COUNTIFS(Equipar!B:B,2,Equipar!D:D,A559)
+COUNTIFS(Equipar!B:B,2,Equipar!E:E,A559)
+COUNTIFS(Equipar!B:B,2,Equipar!F:F,A559)
&gt;0,COUNTIF('Set recomendado'!B:B,C559)=0),
"Bloqueada",
"Desechable")),""
)</f>
        <v/>
      </c>
      <c r="J559" t="str" cm="1">
        <f t="array" aca="1" ref="J559" ca="1">IF(ISNUMBER(A559),IFERROR(_xlfn._xlws.FILTER(Equipar!A:A,(Equipar!B:B=2)*(Equipar!AC:AC=A559)),""),"")</f>
        <v/>
      </c>
    </row>
    <row r="560" spans="1:10" x14ac:dyDescent="0.25">
      <c r="A560" s="1" t="str">
        <f ca="1">IF(A559="ID",1,IF(ISBLANK(B560),"",MAX(A$2:A559)+1))</f>
        <v/>
      </c>
      <c r="I560" s="2" t="str">
        <f ca="1">IF(ISNUMBER(A560),
IF(COUNTIFS(Equipar!B:B,2,Equipar!AC:AC,A560),"Equipada",
IF(
  OR(COUNTIFS(Equipar!B:B,2,Equipar!C:C,A560)
 +COUNTIFS(Equipar!B:B,2,Equipar!D:D,A560)
+COUNTIFS(Equipar!B:B,2,Equipar!E:E,A560)
+COUNTIFS(Equipar!B:B,2,Equipar!F:F,A560)
&gt;0,COUNTIF('Set recomendado'!B:B,C560)=0),
"Bloqueada",
"Desechable")),""
)</f>
        <v/>
      </c>
      <c r="J560" t="str" cm="1">
        <f t="array" aca="1" ref="J560" ca="1">IF(ISNUMBER(A560),IFERROR(_xlfn._xlws.FILTER(Equipar!A:A,(Equipar!B:B=2)*(Equipar!AC:AC=A560)),""),"")</f>
        <v/>
      </c>
    </row>
    <row r="561" spans="1:10" x14ac:dyDescent="0.25">
      <c r="A561" s="1" t="str">
        <f ca="1">IF(A560="ID",1,IF(ISBLANK(B561),"",MAX(A$2:A560)+1))</f>
        <v/>
      </c>
      <c r="I561" s="2" t="str">
        <f ca="1">IF(ISNUMBER(A561),
IF(COUNTIFS(Equipar!B:B,2,Equipar!AC:AC,A561),"Equipada",
IF(
  OR(COUNTIFS(Equipar!B:B,2,Equipar!C:C,A561)
 +COUNTIFS(Equipar!B:B,2,Equipar!D:D,A561)
+COUNTIFS(Equipar!B:B,2,Equipar!E:E,A561)
+COUNTIFS(Equipar!B:B,2,Equipar!F:F,A561)
&gt;0,COUNTIF('Set recomendado'!B:B,C561)=0),
"Bloqueada",
"Desechable")),""
)</f>
        <v/>
      </c>
      <c r="J561" t="str" cm="1">
        <f t="array" aca="1" ref="J561" ca="1">IF(ISNUMBER(A561),IFERROR(_xlfn._xlws.FILTER(Equipar!A:A,(Equipar!B:B=2)*(Equipar!AC:AC=A561)),""),"")</f>
        <v/>
      </c>
    </row>
    <row r="562" spans="1:10" x14ac:dyDescent="0.25">
      <c r="A562" s="1" t="str">
        <f ca="1">IF(A561="ID",1,IF(ISBLANK(B562),"",MAX(A$2:A561)+1))</f>
        <v/>
      </c>
      <c r="I562" s="2" t="str">
        <f ca="1">IF(ISNUMBER(A562),
IF(COUNTIFS(Equipar!B:B,2,Equipar!AC:AC,A562),"Equipada",
IF(
  OR(COUNTIFS(Equipar!B:B,2,Equipar!C:C,A562)
 +COUNTIFS(Equipar!B:B,2,Equipar!D:D,A562)
+COUNTIFS(Equipar!B:B,2,Equipar!E:E,A562)
+COUNTIFS(Equipar!B:B,2,Equipar!F:F,A562)
&gt;0,COUNTIF('Set recomendado'!B:B,C562)=0),
"Bloqueada",
"Desechable")),""
)</f>
        <v/>
      </c>
      <c r="J562" t="str" cm="1">
        <f t="array" aca="1" ref="J562" ca="1">IF(ISNUMBER(A562),IFERROR(_xlfn._xlws.FILTER(Equipar!A:A,(Equipar!B:B=2)*(Equipar!AC:AC=A562)),""),"")</f>
        <v/>
      </c>
    </row>
    <row r="563" spans="1:10" x14ac:dyDescent="0.25">
      <c r="A563" s="1" t="str">
        <f ca="1">IF(A562="ID",1,IF(ISBLANK(B563),"",MAX(A$2:A562)+1))</f>
        <v/>
      </c>
      <c r="I563" s="2" t="str">
        <f ca="1">IF(ISNUMBER(A563),
IF(COUNTIFS(Equipar!B:B,2,Equipar!AC:AC,A563),"Equipada",
IF(
  OR(COUNTIFS(Equipar!B:B,2,Equipar!C:C,A563)
 +COUNTIFS(Equipar!B:B,2,Equipar!D:D,A563)
+COUNTIFS(Equipar!B:B,2,Equipar!E:E,A563)
+COUNTIFS(Equipar!B:B,2,Equipar!F:F,A563)
&gt;0,COUNTIF('Set recomendado'!B:B,C563)=0),
"Bloqueada",
"Desechable")),""
)</f>
        <v/>
      </c>
      <c r="J563" t="str" cm="1">
        <f t="array" aca="1" ref="J563" ca="1">IF(ISNUMBER(A563),IFERROR(_xlfn._xlws.FILTER(Equipar!A:A,(Equipar!B:B=2)*(Equipar!AC:AC=A563)),""),"")</f>
        <v/>
      </c>
    </row>
    <row r="564" spans="1:10" x14ac:dyDescent="0.25">
      <c r="A564" s="1" t="str">
        <f ca="1">IF(A563="ID",1,IF(ISBLANK(B564),"",MAX(A$2:A563)+1))</f>
        <v/>
      </c>
      <c r="I564" s="2" t="str">
        <f ca="1">IF(ISNUMBER(A564),
IF(COUNTIFS(Equipar!B:B,2,Equipar!AC:AC,A564),"Equipada",
IF(
  OR(COUNTIFS(Equipar!B:B,2,Equipar!C:C,A564)
 +COUNTIFS(Equipar!B:B,2,Equipar!D:D,A564)
+COUNTIFS(Equipar!B:B,2,Equipar!E:E,A564)
+COUNTIFS(Equipar!B:B,2,Equipar!F:F,A564)
&gt;0,COUNTIF('Set recomendado'!B:B,C564)=0),
"Bloqueada",
"Desechable")),""
)</f>
        <v/>
      </c>
      <c r="J564" t="str" cm="1">
        <f t="array" aca="1" ref="J564" ca="1">IF(ISNUMBER(A564),IFERROR(_xlfn._xlws.FILTER(Equipar!A:A,(Equipar!B:B=2)*(Equipar!AC:AC=A564)),""),"")</f>
        <v/>
      </c>
    </row>
    <row r="565" spans="1:10" x14ac:dyDescent="0.25">
      <c r="A565" s="1" t="str">
        <f ca="1">IF(A564="ID",1,IF(ISBLANK(B565),"",MAX(A$2:A564)+1))</f>
        <v/>
      </c>
      <c r="I565" s="2" t="str">
        <f ca="1">IF(ISNUMBER(A565),
IF(COUNTIFS(Equipar!B:B,2,Equipar!AC:AC,A565),"Equipada",
IF(
  OR(COUNTIFS(Equipar!B:B,2,Equipar!C:C,A565)
 +COUNTIFS(Equipar!B:B,2,Equipar!D:D,A565)
+COUNTIFS(Equipar!B:B,2,Equipar!E:E,A565)
+COUNTIFS(Equipar!B:B,2,Equipar!F:F,A565)
&gt;0,COUNTIF('Set recomendado'!B:B,C565)=0),
"Bloqueada",
"Desechable")),""
)</f>
        <v/>
      </c>
      <c r="J565" t="str" cm="1">
        <f t="array" aca="1" ref="J565" ca="1">IF(ISNUMBER(A565),IFERROR(_xlfn._xlws.FILTER(Equipar!A:A,(Equipar!B:B=2)*(Equipar!AC:AC=A565)),""),"")</f>
        <v/>
      </c>
    </row>
    <row r="566" spans="1:10" x14ac:dyDescent="0.25">
      <c r="A566" s="1" t="str">
        <f ca="1">IF(A565="ID",1,IF(ISBLANK(B566),"",MAX(A$2:A565)+1))</f>
        <v/>
      </c>
      <c r="I566" s="2" t="str">
        <f ca="1">IF(ISNUMBER(A566),
IF(COUNTIFS(Equipar!B:B,2,Equipar!AC:AC,A566),"Equipada",
IF(
  OR(COUNTIFS(Equipar!B:B,2,Equipar!C:C,A566)
 +COUNTIFS(Equipar!B:B,2,Equipar!D:D,A566)
+COUNTIFS(Equipar!B:B,2,Equipar!E:E,A566)
+COUNTIFS(Equipar!B:B,2,Equipar!F:F,A566)
&gt;0,COUNTIF('Set recomendado'!B:B,C566)=0),
"Bloqueada",
"Desechable")),""
)</f>
        <v/>
      </c>
      <c r="J566" t="str" cm="1">
        <f t="array" aca="1" ref="J566" ca="1">IF(ISNUMBER(A566),IFERROR(_xlfn._xlws.FILTER(Equipar!A:A,(Equipar!B:B=2)*(Equipar!AC:AC=A566)),""),"")</f>
        <v/>
      </c>
    </row>
    <row r="567" spans="1:10" x14ac:dyDescent="0.25">
      <c r="A567" s="1" t="str">
        <f ca="1">IF(A566="ID",1,IF(ISBLANK(B567),"",MAX(A$2:A566)+1))</f>
        <v/>
      </c>
      <c r="I567" s="2" t="str">
        <f ca="1">IF(ISNUMBER(A567),
IF(COUNTIFS(Equipar!B:B,2,Equipar!AC:AC,A567),"Equipada",
IF(
  OR(COUNTIFS(Equipar!B:B,2,Equipar!C:C,A567)
 +COUNTIFS(Equipar!B:B,2,Equipar!D:D,A567)
+COUNTIFS(Equipar!B:B,2,Equipar!E:E,A567)
+COUNTIFS(Equipar!B:B,2,Equipar!F:F,A567)
&gt;0,COUNTIF('Set recomendado'!B:B,C567)=0),
"Bloqueada",
"Desechable")),""
)</f>
        <v/>
      </c>
      <c r="J567" t="str" cm="1">
        <f t="array" aca="1" ref="J567" ca="1">IF(ISNUMBER(A567),IFERROR(_xlfn._xlws.FILTER(Equipar!A:A,(Equipar!B:B=2)*(Equipar!AC:AC=A567)),""),"")</f>
        <v/>
      </c>
    </row>
    <row r="568" spans="1:10" x14ac:dyDescent="0.25">
      <c r="A568" s="1" t="str">
        <f ca="1">IF(A567="ID",1,IF(ISBLANK(B568),"",MAX(A$2:A567)+1))</f>
        <v/>
      </c>
      <c r="I568" s="2" t="str">
        <f ca="1">IF(ISNUMBER(A568),
IF(COUNTIFS(Equipar!B:B,2,Equipar!AC:AC,A568),"Equipada",
IF(
  OR(COUNTIFS(Equipar!B:B,2,Equipar!C:C,A568)
 +COUNTIFS(Equipar!B:B,2,Equipar!D:D,A568)
+COUNTIFS(Equipar!B:B,2,Equipar!E:E,A568)
+COUNTIFS(Equipar!B:B,2,Equipar!F:F,A568)
&gt;0,COUNTIF('Set recomendado'!B:B,C568)=0),
"Bloqueada",
"Desechable")),""
)</f>
        <v/>
      </c>
      <c r="J568" t="str" cm="1">
        <f t="array" aca="1" ref="J568" ca="1">IF(ISNUMBER(A568),IFERROR(_xlfn._xlws.FILTER(Equipar!A:A,(Equipar!B:B=2)*(Equipar!AC:AC=A568)),""),"")</f>
        <v/>
      </c>
    </row>
    <row r="569" spans="1:10" x14ac:dyDescent="0.25">
      <c r="A569" s="1" t="str">
        <f ca="1">IF(A568="ID",1,IF(ISBLANK(B569),"",MAX(A$2:A568)+1))</f>
        <v/>
      </c>
      <c r="I569" s="2" t="str">
        <f ca="1">IF(ISNUMBER(A569),
IF(COUNTIFS(Equipar!B:B,2,Equipar!AC:AC,A569),"Equipada",
IF(
  OR(COUNTIFS(Equipar!B:B,2,Equipar!C:C,A569)
 +COUNTIFS(Equipar!B:B,2,Equipar!D:D,A569)
+COUNTIFS(Equipar!B:B,2,Equipar!E:E,A569)
+COUNTIFS(Equipar!B:B,2,Equipar!F:F,A569)
&gt;0,COUNTIF('Set recomendado'!B:B,C569)=0),
"Bloqueada",
"Desechable")),""
)</f>
        <v/>
      </c>
      <c r="J569" t="str" cm="1">
        <f t="array" aca="1" ref="J569" ca="1">IF(ISNUMBER(A569),IFERROR(_xlfn._xlws.FILTER(Equipar!A:A,(Equipar!B:B=2)*(Equipar!AC:AC=A569)),""),"")</f>
        <v/>
      </c>
    </row>
    <row r="570" spans="1:10" x14ac:dyDescent="0.25">
      <c r="A570" s="1" t="str">
        <f ca="1">IF(A569="ID",1,IF(ISBLANK(B570),"",MAX(A$2:A569)+1))</f>
        <v/>
      </c>
      <c r="I570" s="2" t="str">
        <f ca="1">IF(ISNUMBER(A570),
IF(COUNTIFS(Equipar!B:B,2,Equipar!AC:AC,A570),"Equipada",
IF(
  OR(COUNTIFS(Equipar!B:B,2,Equipar!C:C,A570)
 +COUNTIFS(Equipar!B:B,2,Equipar!D:D,A570)
+COUNTIFS(Equipar!B:B,2,Equipar!E:E,A570)
+COUNTIFS(Equipar!B:B,2,Equipar!F:F,A570)
&gt;0,COUNTIF('Set recomendado'!B:B,C570)=0),
"Bloqueada",
"Desechable")),""
)</f>
        <v/>
      </c>
      <c r="J570" t="str" cm="1">
        <f t="array" aca="1" ref="J570" ca="1">IF(ISNUMBER(A570),IFERROR(_xlfn._xlws.FILTER(Equipar!A:A,(Equipar!B:B=2)*(Equipar!AC:AC=A570)),""),"")</f>
        <v/>
      </c>
    </row>
    <row r="571" spans="1:10" x14ac:dyDescent="0.25">
      <c r="A571" s="1" t="str">
        <f ca="1">IF(A570="ID",1,IF(ISBLANK(B571),"",MAX(A$2:A570)+1))</f>
        <v/>
      </c>
      <c r="I571" s="2" t="str">
        <f ca="1">IF(ISNUMBER(A571),
IF(COUNTIFS(Equipar!B:B,2,Equipar!AC:AC,A571),"Equipada",
IF(
  OR(COUNTIFS(Equipar!B:B,2,Equipar!C:C,A571)
 +COUNTIFS(Equipar!B:B,2,Equipar!D:D,A571)
+COUNTIFS(Equipar!B:B,2,Equipar!E:E,A571)
+COUNTIFS(Equipar!B:B,2,Equipar!F:F,A571)
&gt;0,COUNTIF('Set recomendado'!B:B,C571)=0),
"Bloqueada",
"Desechable")),""
)</f>
        <v/>
      </c>
      <c r="J571" t="str" cm="1">
        <f t="array" aca="1" ref="J571" ca="1">IF(ISNUMBER(A571),IFERROR(_xlfn._xlws.FILTER(Equipar!A:A,(Equipar!B:B=2)*(Equipar!AC:AC=A571)),""),"")</f>
        <v/>
      </c>
    </row>
    <row r="572" spans="1:10" x14ac:dyDescent="0.25">
      <c r="A572" s="1" t="str">
        <f ca="1">IF(A571="ID",1,IF(ISBLANK(B572),"",MAX(A$2:A571)+1))</f>
        <v/>
      </c>
      <c r="I572" s="2" t="str">
        <f ca="1">IF(ISNUMBER(A572),
IF(COUNTIFS(Equipar!B:B,2,Equipar!AC:AC,A572),"Equipada",
IF(
  OR(COUNTIFS(Equipar!B:B,2,Equipar!C:C,A572)
 +COUNTIFS(Equipar!B:B,2,Equipar!D:D,A572)
+COUNTIFS(Equipar!B:B,2,Equipar!E:E,A572)
+COUNTIFS(Equipar!B:B,2,Equipar!F:F,A572)
&gt;0,COUNTIF('Set recomendado'!B:B,C572)=0),
"Bloqueada",
"Desechable")),""
)</f>
        <v/>
      </c>
      <c r="J572" t="str" cm="1">
        <f t="array" aca="1" ref="J572" ca="1">IF(ISNUMBER(A572),IFERROR(_xlfn._xlws.FILTER(Equipar!A:A,(Equipar!B:B=2)*(Equipar!AC:AC=A572)),""),"")</f>
        <v/>
      </c>
    </row>
    <row r="573" spans="1:10" x14ac:dyDescent="0.25">
      <c r="A573" s="1" t="str">
        <f ca="1">IF(A572="ID",1,IF(ISBLANK(B573),"",MAX(A$2:A572)+1))</f>
        <v/>
      </c>
      <c r="I573" s="2" t="str">
        <f ca="1">IF(ISNUMBER(A573),
IF(COUNTIFS(Equipar!B:B,2,Equipar!AC:AC,A573),"Equipada",
IF(
  OR(COUNTIFS(Equipar!B:B,2,Equipar!C:C,A573)
 +COUNTIFS(Equipar!B:B,2,Equipar!D:D,A573)
+COUNTIFS(Equipar!B:B,2,Equipar!E:E,A573)
+COUNTIFS(Equipar!B:B,2,Equipar!F:F,A573)
&gt;0,COUNTIF('Set recomendado'!B:B,C573)=0),
"Bloqueada",
"Desechable")),""
)</f>
        <v/>
      </c>
      <c r="J573" t="str" cm="1">
        <f t="array" aca="1" ref="J573" ca="1">IF(ISNUMBER(A573),IFERROR(_xlfn._xlws.FILTER(Equipar!A:A,(Equipar!B:B=2)*(Equipar!AC:AC=A573)),""),"")</f>
        <v/>
      </c>
    </row>
    <row r="574" spans="1:10" x14ac:dyDescent="0.25">
      <c r="A574" s="1" t="str">
        <f ca="1">IF(A573="ID",1,IF(ISBLANK(B574),"",MAX(A$2:A573)+1))</f>
        <v/>
      </c>
      <c r="I574" s="2" t="str">
        <f ca="1">IF(ISNUMBER(A574),
IF(COUNTIFS(Equipar!B:B,2,Equipar!AC:AC,A574),"Equipada",
IF(
  OR(COUNTIFS(Equipar!B:B,2,Equipar!C:C,A574)
 +COUNTIFS(Equipar!B:B,2,Equipar!D:D,A574)
+COUNTIFS(Equipar!B:B,2,Equipar!E:E,A574)
+COUNTIFS(Equipar!B:B,2,Equipar!F:F,A574)
&gt;0,COUNTIF('Set recomendado'!B:B,C574)=0),
"Bloqueada",
"Desechable")),""
)</f>
        <v/>
      </c>
      <c r="J574" t="str" cm="1">
        <f t="array" aca="1" ref="J574" ca="1">IF(ISNUMBER(A574),IFERROR(_xlfn._xlws.FILTER(Equipar!A:A,(Equipar!B:B=2)*(Equipar!AC:AC=A574)),""),"")</f>
        <v/>
      </c>
    </row>
    <row r="575" spans="1:10" x14ac:dyDescent="0.25">
      <c r="A575" s="1" t="str">
        <f ca="1">IF(A574="ID",1,IF(ISBLANK(B575),"",MAX(A$2:A574)+1))</f>
        <v/>
      </c>
      <c r="I575" s="2" t="str">
        <f ca="1">IF(ISNUMBER(A575),
IF(COUNTIFS(Equipar!B:B,2,Equipar!AC:AC,A575),"Equipada",
IF(
  OR(COUNTIFS(Equipar!B:B,2,Equipar!C:C,A575)
 +COUNTIFS(Equipar!B:B,2,Equipar!D:D,A575)
+COUNTIFS(Equipar!B:B,2,Equipar!E:E,A575)
+COUNTIFS(Equipar!B:B,2,Equipar!F:F,A575)
&gt;0,COUNTIF('Set recomendado'!B:B,C575)=0),
"Bloqueada",
"Desechable")),""
)</f>
        <v/>
      </c>
      <c r="J575" t="str" cm="1">
        <f t="array" aca="1" ref="J575" ca="1">IF(ISNUMBER(A575),IFERROR(_xlfn._xlws.FILTER(Equipar!A:A,(Equipar!B:B=2)*(Equipar!AC:AC=A575)),""),"")</f>
        <v/>
      </c>
    </row>
    <row r="576" spans="1:10" x14ac:dyDescent="0.25">
      <c r="A576" s="1" t="str">
        <f ca="1">IF(A575="ID",1,IF(ISBLANK(B576),"",MAX(A$2:A575)+1))</f>
        <v/>
      </c>
      <c r="I576" s="2" t="str">
        <f ca="1">IF(ISNUMBER(A576),
IF(COUNTIFS(Equipar!B:B,2,Equipar!AC:AC,A576),"Equipada",
IF(
  OR(COUNTIFS(Equipar!B:B,2,Equipar!C:C,A576)
 +COUNTIFS(Equipar!B:B,2,Equipar!D:D,A576)
+COUNTIFS(Equipar!B:B,2,Equipar!E:E,A576)
+COUNTIFS(Equipar!B:B,2,Equipar!F:F,A576)
&gt;0,COUNTIF('Set recomendado'!B:B,C576)=0),
"Bloqueada",
"Desechable")),""
)</f>
        <v/>
      </c>
      <c r="J576" t="str" cm="1">
        <f t="array" aca="1" ref="J576" ca="1">IF(ISNUMBER(A576),IFERROR(_xlfn._xlws.FILTER(Equipar!A:A,(Equipar!B:B=2)*(Equipar!AC:AC=A576)),""),"")</f>
        <v/>
      </c>
    </row>
    <row r="577" spans="1:10" x14ac:dyDescent="0.25">
      <c r="A577" s="1" t="str">
        <f ca="1">IF(A576="ID",1,IF(ISBLANK(B577),"",MAX(A$2:A576)+1))</f>
        <v/>
      </c>
      <c r="I577" s="2" t="str">
        <f ca="1">IF(ISNUMBER(A577),
IF(COUNTIFS(Equipar!B:B,2,Equipar!AC:AC,A577),"Equipada",
IF(
  OR(COUNTIFS(Equipar!B:B,2,Equipar!C:C,A577)
 +COUNTIFS(Equipar!B:B,2,Equipar!D:D,A577)
+COUNTIFS(Equipar!B:B,2,Equipar!E:E,A577)
+COUNTIFS(Equipar!B:B,2,Equipar!F:F,A577)
&gt;0,COUNTIF('Set recomendado'!B:B,C577)=0),
"Bloqueada",
"Desechable")),""
)</f>
        <v/>
      </c>
      <c r="J577" t="str" cm="1">
        <f t="array" aca="1" ref="J577" ca="1">IF(ISNUMBER(A577),IFERROR(_xlfn._xlws.FILTER(Equipar!A:A,(Equipar!B:B=2)*(Equipar!AC:AC=A577)),""),"")</f>
        <v/>
      </c>
    </row>
    <row r="578" spans="1:10" x14ac:dyDescent="0.25">
      <c r="A578" s="1" t="str">
        <f ca="1">IF(A577="ID",1,IF(ISBLANK(B578),"",MAX(A$2:A577)+1))</f>
        <v/>
      </c>
      <c r="I578" s="2" t="str">
        <f ca="1">IF(ISNUMBER(A578),
IF(COUNTIFS(Equipar!B:B,2,Equipar!AC:AC,A578),"Equipada",
IF(
  OR(COUNTIFS(Equipar!B:B,2,Equipar!C:C,A578)
 +COUNTIFS(Equipar!B:B,2,Equipar!D:D,A578)
+COUNTIFS(Equipar!B:B,2,Equipar!E:E,A578)
+COUNTIFS(Equipar!B:B,2,Equipar!F:F,A578)
&gt;0,COUNTIF('Set recomendado'!B:B,C578)=0),
"Bloqueada",
"Desechable")),""
)</f>
        <v/>
      </c>
      <c r="J578" t="str" cm="1">
        <f t="array" aca="1" ref="J578" ca="1">IF(ISNUMBER(A578),IFERROR(_xlfn._xlws.FILTER(Equipar!A:A,(Equipar!B:B=2)*(Equipar!AC:AC=A578)),""),"")</f>
        <v/>
      </c>
    </row>
    <row r="579" spans="1:10" x14ac:dyDescent="0.25">
      <c r="A579" s="1" t="str">
        <f ca="1">IF(A578="ID",1,IF(ISBLANK(B579),"",MAX(A$2:A578)+1))</f>
        <v/>
      </c>
      <c r="I579" s="2" t="str">
        <f ca="1">IF(ISNUMBER(A579),
IF(COUNTIFS(Equipar!B:B,2,Equipar!AC:AC,A579),"Equipada",
IF(
  OR(COUNTIFS(Equipar!B:B,2,Equipar!C:C,A579)
 +COUNTIFS(Equipar!B:B,2,Equipar!D:D,A579)
+COUNTIFS(Equipar!B:B,2,Equipar!E:E,A579)
+COUNTIFS(Equipar!B:B,2,Equipar!F:F,A579)
&gt;0,COUNTIF('Set recomendado'!B:B,C579)=0),
"Bloqueada",
"Desechable")),""
)</f>
        <v/>
      </c>
      <c r="J579" t="str" cm="1">
        <f t="array" aca="1" ref="J579" ca="1">IF(ISNUMBER(A579),IFERROR(_xlfn._xlws.FILTER(Equipar!A:A,(Equipar!B:B=2)*(Equipar!AC:AC=A579)),""),"")</f>
        <v/>
      </c>
    </row>
    <row r="580" spans="1:10" x14ac:dyDescent="0.25">
      <c r="A580" s="1" t="str">
        <f ca="1">IF(A579="ID",1,IF(ISBLANK(B580),"",MAX(A$2:A579)+1))</f>
        <v/>
      </c>
      <c r="I580" s="2" t="str">
        <f ca="1">IF(ISNUMBER(A580),
IF(COUNTIFS(Equipar!B:B,2,Equipar!AC:AC,A580),"Equipada",
IF(
  OR(COUNTIFS(Equipar!B:B,2,Equipar!C:C,A580)
 +COUNTIFS(Equipar!B:B,2,Equipar!D:D,A580)
+COUNTIFS(Equipar!B:B,2,Equipar!E:E,A580)
+COUNTIFS(Equipar!B:B,2,Equipar!F:F,A580)
&gt;0,COUNTIF('Set recomendado'!B:B,C580)=0),
"Bloqueada",
"Desechable")),""
)</f>
        <v/>
      </c>
      <c r="J580" t="str" cm="1">
        <f t="array" aca="1" ref="J580" ca="1">IF(ISNUMBER(A580),IFERROR(_xlfn._xlws.FILTER(Equipar!A:A,(Equipar!B:B=2)*(Equipar!AC:AC=A580)),""),"")</f>
        <v/>
      </c>
    </row>
    <row r="581" spans="1:10" x14ac:dyDescent="0.25">
      <c r="A581" s="1" t="str">
        <f ca="1">IF(A580="ID",1,IF(ISBLANK(B581),"",MAX(A$2:A580)+1))</f>
        <v/>
      </c>
      <c r="I581" s="2" t="str">
        <f ca="1">IF(ISNUMBER(A581),
IF(COUNTIFS(Equipar!B:B,2,Equipar!AC:AC,A581),"Equipada",
IF(
  OR(COUNTIFS(Equipar!B:B,2,Equipar!C:C,A581)
 +COUNTIFS(Equipar!B:B,2,Equipar!D:D,A581)
+COUNTIFS(Equipar!B:B,2,Equipar!E:E,A581)
+COUNTIFS(Equipar!B:B,2,Equipar!F:F,A581)
&gt;0,COUNTIF('Set recomendado'!B:B,C581)=0),
"Bloqueada",
"Desechable")),""
)</f>
        <v/>
      </c>
      <c r="J581" t="str" cm="1">
        <f t="array" aca="1" ref="J581" ca="1">IF(ISNUMBER(A581),IFERROR(_xlfn._xlws.FILTER(Equipar!A:A,(Equipar!B:B=2)*(Equipar!AC:AC=A581)),""),"")</f>
        <v/>
      </c>
    </row>
    <row r="582" spans="1:10" x14ac:dyDescent="0.25">
      <c r="A582" s="1" t="str">
        <f ca="1">IF(A581="ID",1,IF(ISBLANK(B582),"",MAX(A$2:A581)+1))</f>
        <v/>
      </c>
      <c r="I582" s="2" t="str">
        <f ca="1">IF(ISNUMBER(A582),
IF(COUNTIFS(Equipar!B:B,2,Equipar!AC:AC,A582),"Equipada",
IF(
  OR(COUNTIFS(Equipar!B:B,2,Equipar!C:C,A582)
 +COUNTIFS(Equipar!B:B,2,Equipar!D:D,A582)
+COUNTIFS(Equipar!B:B,2,Equipar!E:E,A582)
+COUNTIFS(Equipar!B:B,2,Equipar!F:F,A582)
&gt;0,COUNTIF('Set recomendado'!B:B,C582)=0),
"Bloqueada",
"Desechable")),""
)</f>
        <v/>
      </c>
      <c r="J582" t="str" cm="1">
        <f t="array" aca="1" ref="J582" ca="1">IF(ISNUMBER(A582),IFERROR(_xlfn._xlws.FILTER(Equipar!A:A,(Equipar!B:B=2)*(Equipar!AC:AC=A582)),""),"")</f>
        <v/>
      </c>
    </row>
    <row r="583" spans="1:10" x14ac:dyDescent="0.25">
      <c r="A583" s="1" t="str">
        <f ca="1">IF(A582="ID",1,IF(ISBLANK(B583),"",MAX(A$2:A582)+1))</f>
        <v/>
      </c>
      <c r="I583" s="2" t="str">
        <f ca="1">IF(ISNUMBER(A583),
IF(COUNTIFS(Equipar!B:B,2,Equipar!AC:AC,A583),"Equipada",
IF(
  OR(COUNTIFS(Equipar!B:B,2,Equipar!C:C,A583)
 +COUNTIFS(Equipar!B:B,2,Equipar!D:D,A583)
+COUNTIFS(Equipar!B:B,2,Equipar!E:E,A583)
+COUNTIFS(Equipar!B:B,2,Equipar!F:F,A583)
&gt;0,COUNTIF('Set recomendado'!B:B,C583)=0),
"Bloqueada",
"Desechable")),""
)</f>
        <v/>
      </c>
      <c r="J583" t="str" cm="1">
        <f t="array" aca="1" ref="J583" ca="1">IF(ISNUMBER(A583),IFERROR(_xlfn._xlws.FILTER(Equipar!A:A,(Equipar!B:B=2)*(Equipar!AC:AC=A583)),""),"")</f>
        <v/>
      </c>
    </row>
    <row r="584" spans="1:10" x14ac:dyDescent="0.25">
      <c r="A584" s="1" t="str">
        <f ca="1">IF(A583="ID",1,IF(ISBLANK(B584),"",MAX(A$2:A583)+1))</f>
        <v/>
      </c>
      <c r="I584" s="2" t="str">
        <f ca="1">IF(ISNUMBER(A584),
IF(COUNTIFS(Equipar!B:B,2,Equipar!AC:AC,A584),"Equipada",
IF(
  OR(COUNTIFS(Equipar!B:B,2,Equipar!C:C,A584)
 +COUNTIFS(Equipar!B:B,2,Equipar!D:D,A584)
+COUNTIFS(Equipar!B:B,2,Equipar!E:E,A584)
+COUNTIFS(Equipar!B:B,2,Equipar!F:F,A584)
&gt;0,COUNTIF('Set recomendado'!B:B,C584)=0),
"Bloqueada",
"Desechable")),""
)</f>
        <v/>
      </c>
      <c r="J584" t="str" cm="1">
        <f t="array" aca="1" ref="J584" ca="1">IF(ISNUMBER(A584),IFERROR(_xlfn._xlws.FILTER(Equipar!A:A,(Equipar!B:B=2)*(Equipar!AC:AC=A584)),""),"")</f>
        <v/>
      </c>
    </row>
    <row r="585" spans="1:10" x14ac:dyDescent="0.25">
      <c r="A585" s="1" t="str">
        <f ca="1">IF(A584="ID",1,IF(ISBLANK(B585),"",MAX(A$2:A584)+1))</f>
        <v/>
      </c>
      <c r="I585" s="2" t="str">
        <f ca="1">IF(ISNUMBER(A585),
IF(COUNTIFS(Equipar!B:B,2,Equipar!AC:AC,A585),"Equipada",
IF(
  OR(COUNTIFS(Equipar!B:B,2,Equipar!C:C,A585)
 +COUNTIFS(Equipar!B:B,2,Equipar!D:D,A585)
+COUNTIFS(Equipar!B:B,2,Equipar!E:E,A585)
+COUNTIFS(Equipar!B:B,2,Equipar!F:F,A585)
&gt;0,COUNTIF('Set recomendado'!B:B,C585)=0),
"Bloqueada",
"Desechable")),""
)</f>
        <v/>
      </c>
      <c r="J585" t="str" cm="1">
        <f t="array" aca="1" ref="J585" ca="1">IF(ISNUMBER(A585),IFERROR(_xlfn._xlws.FILTER(Equipar!A:A,(Equipar!B:B=2)*(Equipar!AC:AC=A585)),""),"")</f>
        <v/>
      </c>
    </row>
    <row r="586" spans="1:10" x14ac:dyDescent="0.25">
      <c r="A586" s="1" t="str">
        <f ca="1">IF(A585="ID",1,IF(ISBLANK(B586),"",MAX(A$2:A585)+1))</f>
        <v/>
      </c>
      <c r="I586" s="2" t="str">
        <f ca="1">IF(ISNUMBER(A586),
IF(COUNTIFS(Equipar!B:B,2,Equipar!AC:AC,A586),"Equipada",
IF(
  OR(COUNTIFS(Equipar!B:B,2,Equipar!C:C,A586)
 +COUNTIFS(Equipar!B:B,2,Equipar!D:D,A586)
+COUNTIFS(Equipar!B:B,2,Equipar!E:E,A586)
+COUNTIFS(Equipar!B:B,2,Equipar!F:F,A586)
&gt;0,COUNTIF('Set recomendado'!B:B,C586)=0),
"Bloqueada",
"Desechable")),""
)</f>
        <v/>
      </c>
      <c r="J586" t="str" cm="1">
        <f t="array" aca="1" ref="J586" ca="1">IF(ISNUMBER(A586),IFERROR(_xlfn._xlws.FILTER(Equipar!A:A,(Equipar!B:B=2)*(Equipar!AC:AC=A586)),""),"")</f>
        <v/>
      </c>
    </row>
    <row r="587" spans="1:10" x14ac:dyDescent="0.25">
      <c r="A587" s="1" t="str">
        <f ca="1">IF(A586="ID",1,IF(ISBLANK(B587),"",MAX(A$2:A586)+1))</f>
        <v/>
      </c>
      <c r="I587" s="2" t="str">
        <f ca="1">IF(ISNUMBER(A587),
IF(COUNTIFS(Equipar!B:B,2,Equipar!AC:AC,A587),"Equipada",
IF(
  OR(COUNTIFS(Equipar!B:B,2,Equipar!C:C,A587)
 +COUNTIFS(Equipar!B:B,2,Equipar!D:D,A587)
+COUNTIFS(Equipar!B:B,2,Equipar!E:E,A587)
+COUNTIFS(Equipar!B:B,2,Equipar!F:F,A587)
&gt;0,COUNTIF('Set recomendado'!B:B,C587)=0),
"Bloqueada",
"Desechable")),""
)</f>
        <v/>
      </c>
      <c r="J587" t="str" cm="1">
        <f t="array" aca="1" ref="J587" ca="1">IF(ISNUMBER(A587),IFERROR(_xlfn._xlws.FILTER(Equipar!A:A,(Equipar!B:B=2)*(Equipar!AC:AC=A587)),""),"")</f>
        <v/>
      </c>
    </row>
    <row r="588" spans="1:10" x14ac:dyDescent="0.25">
      <c r="A588" s="1" t="str">
        <f ca="1">IF(A587="ID",1,IF(ISBLANK(B588),"",MAX(A$2:A587)+1))</f>
        <v/>
      </c>
      <c r="I588" s="2" t="str">
        <f ca="1">IF(ISNUMBER(A588),
IF(COUNTIFS(Equipar!B:B,2,Equipar!AC:AC,A588),"Equipada",
IF(
  OR(COUNTIFS(Equipar!B:B,2,Equipar!C:C,A588)
 +COUNTIFS(Equipar!B:B,2,Equipar!D:D,A588)
+COUNTIFS(Equipar!B:B,2,Equipar!E:E,A588)
+COUNTIFS(Equipar!B:B,2,Equipar!F:F,A588)
&gt;0,COUNTIF('Set recomendado'!B:B,C588)=0),
"Bloqueada",
"Desechable")),""
)</f>
        <v/>
      </c>
      <c r="J588" t="str" cm="1">
        <f t="array" aca="1" ref="J588" ca="1">IF(ISNUMBER(A588),IFERROR(_xlfn._xlws.FILTER(Equipar!A:A,(Equipar!B:B=2)*(Equipar!AC:AC=A588)),""),"")</f>
        <v/>
      </c>
    </row>
    <row r="589" spans="1:10" x14ac:dyDescent="0.25">
      <c r="A589" s="1" t="str">
        <f ca="1">IF(A588="ID",1,IF(ISBLANK(B589),"",MAX(A$2:A588)+1))</f>
        <v/>
      </c>
      <c r="I589" s="2" t="str">
        <f ca="1">IF(ISNUMBER(A589),
IF(COUNTIFS(Equipar!B:B,2,Equipar!AC:AC,A589),"Equipada",
IF(
  OR(COUNTIFS(Equipar!B:B,2,Equipar!C:C,A589)
 +COUNTIFS(Equipar!B:B,2,Equipar!D:D,A589)
+COUNTIFS(Equipar!B:B,2,Equipar!E:E,A589)
+COUNTIFS(Equipar!B:B,2,Equipar!F:F,A589)
&gt;0,COUNTIF('Set recomendado'!B:B,C589)=0),
"Bloqueada",
"Desechable")),""
)</f>
        <v/>
      </c>
      <c r="J589" t="str" cm="1">
        <f t="array" aca="1" ref="J589" ca="1">IF(ISNUMBER(A589),IFERROR(_xlfn._xlws.FILTER(Equipar!A:A,(Equipar!B:B=2)*(Equipar!AC:AC=A589)),""),"")</f>
        <v/>
      </c>
    </row>
    <row r="590" spans="1:10" x14ac:dyDescent="0.25">
      <c r="A590" s="1" t="str">
        <f ca="1">IF(A589="ID",1,IF(ISBLANK(B590),"",MAX(A$2:A589)+1))</f>
        <v/>
      </c>
      <c r="I590" s="2" t="str">
        <f ca="1">IF(ISNUMBER(A590),
IF(COUNTIFS(Equipar!B:B,2,Equipar!AC:AC,A590),"Equipada",
IF(
  OR(COUNTIFS(Equipar!B:B,2,Equipar!C:C,A590)
 +COUNTIFS(Equipar!B:B,2,Equipar!D:D,A590)
+COUNTIFS(Equipar!B:B,2,Equipar!E:E,A590)
+COUNTIFS(Equipar!B:B,2,Equipar!F:F,A590)
&gt;0,COUNTIF('Set recomendado'!B:B,C590)=0),
"Bloqueada",
"Desechable")),""
)</f>
        <v/>
      </c>
      <c r="J590" t="str" cm="1">
        <f t="array" aca="1" ref="J590" ca="1">IF(ISNUMBER(A590),IFERROR(_xlfn._xlws.FILTER(Equipar!A:A,(Equipar!B:B=2)*(Equipar!AC:AC=A590)),""),"")</f>
        <v/>
      </c>
    </row>
    <row r="591" spans="1:10" x14ac:dyDescent="0.25">
      <c r="A591" s="1" t="str">
        <f ca="1">IF(A590="ID",1,IF(ISBLANK(B591),"",MAX(A$2:A590)+1))</f>
        <v/>
      </c>
      <c r="I591" s="2" t="str">
        <f ca="1">IF(ISNUMBER(A591),
IF(COUNTIFS(Equipar!B:B,2,Equipar!AC:AC,A591),"Equipada",
IF(
  OR(COUNTIFS(Equipar!B:B,2,Equipar!C:C,A591)
 +COUNTIFS(Equipar!B:B,2,Equipar!D:D,A591)
+COUNTIFS(Equipar!B:B,2,Equipar!E:E,A591)
+COUNTIFS(Equipar!B:B,2,Equipar!F:F,A591)
&gt;0,COUNTIF('Set recomendado'!B:B,C591)=0),
"Bloqueada",
"Desechable")),""
)</f>
        <v/>
      </c>
      <c r="J591" t="str" cm="1">
        <f t="array" aca="1" ref="J591" ca="1">IF(ISNUMBER(A591),IFERROR(_xlfn._xlws.FILTER(Equipar!A:A,(Equipar!B:B=2)*(Equipar!AC:AC=A591)),""),"")</f>
        <v/>
      </c>
    </row>
    <row r="592" spans="1:10" x14ac:dyDescent="0.25">
      <c r="A592" s="1" t="str">
        <f ca="1">IF(A591="ID",1,IF(ISBLANK(B592),"",MAX(A$2:A591)+1))</f>
        <v/>
      </c>
      <c r="I592" s="2" t="str">
        <f ca="1">IF(ISNUMBER(A592),
IF(COUNTIFS(Equipar!B:B,2,Equipar!AC:AC,A592),"Equipada",
IF(
  OR(COUNTIFS(Equipar!B:B,2,Equipar!C:C,A592)
 +COUNTIFS(Equipar!B:B,2,Equipar!D:D,A592)
+COUNTIFS(Equipar!B:B,2,Equipar!E:E,A592)
+COUNTIFS(Equipar!B:B,2,Equipar!F:F,A592)
&gt;0,COUNTIF('Set recomendado'!B:B,C592)=0),
"Bloqueada",
"Desechable")),""
)</f>
        <v/>
      </c>
      <c r="J592" t="str" cm="1">
        <f t="array" aca="1" ref="J592" ca="1">IF(ISNUMBER(A592),IFERROR(_xlfn._xlws.FILTER(Equipar!A:A,(Equipar!B:B=2)*(Equipar!AC:AC=A592)),""),"")</f>
        <v/>
      </c>
    </row>
    <row r="593" spans="1:10" x14ac:dyDescent="0.25">
      <c r="A593" s="1" t="str">
        <f ca="1">IF(A592="ID",1,IF(ISBLANK(B593),"",MAX(A$2:A592)+1))</f>
        <v/>
      </c>
      <c r="I593" s="2" t="str">
        <f ca="1">IF(ISNUMBER(A593),
IF(COUNTIFS(Equipar!B:B,2,Equipar!AC:AC,A593),"Equipada",
IF(
  OR(COUNTIFS(Equipar!B:B,2,Equipar!C:C,A593)
 +COUNTIFS(Equipar!B:B,2,Equipar!D:D,A593)
+COUNTIFS(Equipar!B:B,2,Equipar!E:E,A593)
+COUNTIFS(Equipar!B:B,2,Equipar!F:F,A593)
&gt;0,COUNTIF('Set recomendado'!B:B,C593)=0),
"Bloqueada",
"Desechable")),""
)</f>
        <v/>
      </c>
      <c r="J593" t="str" cm="1">
        <f t="array" aca="1" ref="J593" ca="1">IF(ISNUMBER(A593),IFERROR(_xlfn._xlws.FILTER(Equipar!A:A,(Equipar!B:B=2)*(Equipar!AC:AC=A593)),""),"")</f>
        <v/>
      </c>
    </row>
    <row r="594" spans="1:10" x14ac:dyDescent="0.25">
      <c r="A594" s="1" t="str">
        <f ca="1">IF(A593="ID",1,IF(ISBLANK(B594),"",MAX(A$2:A593)+1))</f>
        <v/>
      </c>
      <c r="I594" s="2" t="str">
        <f ca="1">IF(ISNUMBER(A594),
IF(COUNTIFS(Equipar!B:B,2,Equipar!AC:AC,A594),"Equipada",
IF(
  OR(COUNTIFS(Equipar!B:B,2,Equipar!C:C,A594)
 +COUNTIFS(Equipar!B:B,2,Equipar!D:D,A594)
+COUNTIFS(Equipar!B:B,2,Equipar!E:E,A594)
+COUNTIFS(Equipar!B:B,2,Equipar!F:F,A594)
&gt;0,COUNTIF('Set recomendado'!B:B,C594)=0),
"Bloqueada",
"Desechable")),""
)</f>
        <v/>
      </c>
      <c r="J594" t="str" cm="1">
        <f t="array" aca="1" ref="J594" ca="1">IF(ISNUMBER(A594),IFERROR(_xlfn._xlws.FILTER(Equipar!A:A,(Equipar!B:B=2)*(Equipar!AC:AC=A594)),""),"")</f>
        <v/>
      </c>
    </row>
    <row r="595" spans="1:10" x14ac:dyDescent="0.25">
      <c r="A595" s="1" t="str">
        <f ca="1">IF(A594="ID",1,IF(ISBLANK(B595),"",MAX(A$2:A594)+1))</f>
        <v/>
      </c>
      <c r="I595" s="2" t="str">
        <f ca="1">IF(ISNUMBER(A595),
IF(COUNTIFS(Equipar!B:B,2,Equipar!AC:AC,A595),"Equipada",
IF(
  OR(COUNTIFS(Equipar!B:B,2,Equipar!C:C,A595)
 +COUNTIFS(Equipar!B:B,2,Equipar!D:D,A595)
+COUNTIFS(Equipar!B:B,2,Equipar!E:E,A595)
+COUNTIFS(Equipar!B:B,2,Equipar!F:F,A595)
&gt;0,COUNTIF('Set recomendado'!B:B,C595)=0),
"Bloqueada",
"Desechable")),""
)</f>
        <v/>
      </c>
      <c r="J595" t="str" cm="1">
        <f t="array" aca="1" ref="J595" ca="1">IF(ISNUMBER(A595),IFERROR(_xlfn._xlws.FILTER(Equipar!A:A,(Equipar!B:B=2)*(Equipar!AC:AC=A595)),""),"")</f>
        <v/>
      </c>
    </row>
    <row r="596" spans="1:10" x14ac:dyDescent="0.25">
      <c r="A596" s="1" t="str">
        <f ca="1">IF(A595="ID",1,IF(ISBLANK(B596),"",MAX(A$2:A595)+1))</f>
        <v/>
      </c>
      <c r="I596" s="2" t="str">
        <f ca="1">IF(ISNUMBER(A596),
IF(COUNTIFS(Equipar!B:B,2,Equipar!AC:AC,A596),"Equipada",
IF(
  OR(COUNTIFS(Equipar!B:B,2,Equipar!C:C,A596)
 +COUNTIFS(Equipar!B:B,2,Equipar!D:D,A596)
+COUNTIFS(Equipar!B:B,2,Equipar!E:E,A596)
+COUNTIFS(Equipar!B:B,2,Equipar!F:F,A596)
&gt;0,COUNTIF('Set recomendado'!B:B,C596)=0),
"Bloqueada",
"Desechable")),""
)</f>
        <v/>
      </c>
      <c r="J596" t="str" cm="1">
        <f t="array" aca="1" ref="J596" ca="1">IF(ISNUMBER(A596),IFERROR(_xlfn._xlws.FILTER(Equipar!A:A,(Equipar!B:B=2)*(Equipar!AC:AC=A596)),""),"")</f>
        <v/>
      </c>
    </row>
    <row r="597" spans="1:10" x14ac:dyDescent="0.25">
      <c r="A597" s="1" t="str">
        <f ca="1">IF(A596="ID",1,IF(ISBLANK(B597),"",MAX(A$2:A596)+1))</f>
        <v/>
      </c>
      <c r="I597" s="2" t="str">
        <f ca="1">IF(ISNUMBER(A597),
IF(COUNTIFS(Equipar!B:B,2,Equipar!AC:AC,A597),"Equipada",
IF(
  OR(COUNTIFS(Equipar!B:B,2,Equipar!C:C,A597)
 +COUNTIFS(Equipar!B:B,2,Equipar!D:D,A597)
+COUNTIFS(Equipar!B:B,2,Equipar!E:E,A597)
+COUNTIFS(Equipar!B:B,2,Equipar!F:F,A597)
&gt;0,COUNTIF('Set recomendado'!B:B,C597)=0),
"Bloqueada",
"Desechable")),""
)</f>
        <v/>
      </c>
      <c r="J597" t="str" cm="1">
        <f t="array" aca="1" ref="J597" ca="1">IF(ISNUMBER(A597),IFERROR(_xlfn._xlws.FILTER(Equipar!A:A,(Equipar!B:B=2)*(Equipar!AC:AC=A597)),""),"")</f>
        <v/>
      </c>
    </row>
    <row r="598" spans="1:10" x14ac:dyDescent="0.25">
      <c r="A598" s="1" t="str">
        <f ca="1">IF(A597="ID",1,IF(ISBLANK(B598),"",MAX(A$2:A597)+1))</f>
        <v/>
      </c>
      <c r="I598" s="2" t="str">
        <f ca="1">IF(ISNUMBER(A598),
IF(COUNTIFS(Equipar!B:B,2,Equipar!AC:AC,A598),"Equipada",
IF(
  OR(COUNTIFS(Equipar!B:B,2,Equipar!C:C,A598)
 +COUNTIFS(Equipar!B:B,2,Equipar!D:D,A598)
+COUNTIFS(Equipar!B:B,2,Equipar!E:E,A598)
+COUNTIFS(Equipar!B:B,2,Equipar!F:F,A598)
&gt;0,COUNTIF('Set recomendado'!B:B,C598)=0),
"Bloqueada",
"Desechable")),""
)</f>
        <v/>
      </c>
      <c r="J598" t="str" cm="1">
        <f t="array" aca="1" ref="J598" ca="1">IF(ISNUMBER(A598),IFERROR(_xlfn._xlws.FILTER(Equipar!A:A,(Equipar!B:B=2)*(Equipar!AC:AC=A598)),""),"")</f>
        <v/>
      </c>
    </row>
    <row r="599" spans="1:10" x14ac:dyDescent="0.25">
      <c r="A599" s="1" t="str">
        <f ca="1">IF(A598="ID",1,IF(ISBLANK(B599),"",MAX(A$2:A598)+1))</f>
        <v/>
      </c>
      <c r="I599" s="2" t="str">
        <f ca="1">IF(ISNUMBER(A599),
IF(COUNTIFS(Equipar!B:B,2,Equipar!AC:AC,A599),"Equipada",
IF(
  OR(COUNTIFS(Equipar!B:B,2,Equipar!C:C,A599)
 +COUNTIFS(Equipar!B:B,2,Equipar!D:D,A599)
+COUNTIFS(Equipar!B:B,2,Equipar!E:E,A599)
+COUNTIFS(Equipar!B:B,2,Equipar!F:F,A599)
&gt;0,COUNTIF('Set recomendado'!B:B,C599)=0),
"Bloqueada",
"Desechable")),""
)</f>
        <v/>
      </c>
      <c r="J599" t="str" cm="1">
        <f t="array" aca="1" ref="J599" ca="1">IF(ISNUMBER(A599),IFERROR(_xlfn._xlws.FILTER(Equipar!A:A,(Equipar!B:B=2)*(Equipar!AC:AC=A599)),""),"")</f>
        <v/>
      </c>
    </row>
    <row r="600" spans="1:10" x14ac:dyDescent="0.25">
      <c r="A600" s="1" t="str">
        <f ca="1">IF(A599="ID",1,IF(ISBLANK(B600),"",MAX(A$2:A599)+1))</f>
        <v/>
      </c>
      <c r="I600" s="2" t="str">
        <f ca="1">IF(ISNUMBER(A600),
IF(COUNTIFS(Equipar!B:B,2,Equipar!AC:AC,A600),"Equipada",
IF(
  OR(COUNTIFS(Equipar!B:B,2,Equipar!C:C,A600)
 +COUNTIFS(Equipar!B:B,2,Equipar!D:D,A600)
+COUNTIFS(Equipar!B:B,2,Equipar!E:E,A600)
+COUNTIFS(Equipar!B:B,2,Equipar!F:F,A600)
&gt;0,COUNTIF('Set recomendado'!B:B,C600)=0),
"Bloqueada",
"Desechable")),""
)</f>
        <v/>
      </c>
      <c r="J600" t="str" cm="1">
        <f t="array" aca="1" ref="J600" ca="1">IF(ISNUMBER(A600),IFERROR(_xlfn._xlws.FILTER(Equipar!A:A,(Equipar!B:B=2)*(Equipar!AC:AC=A600)),""),"")</f>
        <v/>
      </c>
    </row>
    <row r="601" spans="1:10" x14ac:dyDescent="0.25">
      <c r="A601" s="1" t="str">
        <f ca="1">IF(A600="ID",1,IF(ISBLANK(B601),"",MAX(A$2:A600)+1))</f>
        <v/>
      </c>
      <c r="I601" s="2" t="str">
        <f ca="1">IF(ISNUMBER(A601),
IF(COUNTIFS(Equipar!B:B,2,Equipar!AC:AC,A601),"Equipada",
IF(
  OR(COUNTIFS(Equipar!B:B,2,Equipar!C:C,A601)
 +COUNTIFS(Equipar!B:B,2,Equipar!D:D,A601)
+COUNTIFS(Equipar!B:B,2,Equipar!E:E,A601)
+COUNTIFS(Equipar!B:B,2,Equipar!F:F,A601)
&gt;0,COUNTIF('Set recomendado'!B:B,C601)=0),
"Bloqueada",
"Desechable")),""
)</f>
        <v/>
      </c>
      <c r="J601" t="str" cm="1">
        <f t="array" aca="1" ref="J601" ca="1">IF(ISNUMBER(A601),IFERROR(_xlfn._xlws.FILTER(Equipar!A:A,(Equipar!B:B=2)*(Equipar!AC:AC=A601)),""),"")</f>
        <v/>
      </c>
    </row>
    <row r="602" spans="1:10" x14ac:dyDescent="0.25">
      <c r="A602" s="1" t="str">
        <f ca="1">IF(A601="ID",1,IF(ISBLANK(B602),"",MAX(A$2:A601)+1))</f>
        <v/>
      </c>
      <c r="I602" s="2" t="str">
        <f ca="1">IF(ISNUMBER(A602),
IF(COUNTIFS(Equipar!B:B,2,Equipar!AC:AC,A602),"Equipada",
IF(
  OR(COUNTIFS(Equipar!B:B,2,Equipar!C:C,A602)
 +COUNTIFS(Equipar!B:B,2,Equipar!D:D,A602)
+COUNTIFS(Equipar!B:B,2,Equipar!E:E,A602)
+COUNTIFS(Equipar!B:B,2,Equipar!F:F,A602)
&gt;0,COUNTIF('Set recomendado'!B:B,C602)=0),
"Bloqueada",
"Desechable")),""
)</f>
        <v/>
      </c>
      <c r="J602" t="str" cm="1">
        <f t="array" aca="1" ref="J602" ca="1">IF(ISNUMBER(A602),IFERROR(_xlfn._xlws.FILTER(Equipar!A:A,(Equipar!B:B=2)*(Equipar!AC:AC=A602)),""),"")</f>
        <v/>
      </c>
    </row>
    <row r="603" spans="1:10" x14ac:dyDescent="0.25">
      <c r="A603" s="1" t="str">
        <f ca="1">IF(A602="ID",1,IF(ISBLANK(B603),"",MAX(A$2:A602)+1))</f>
        <v/>
      </c>
      <c r="I603" s="2" t="str">
        <f ca="1">IF(ISNUMBER(A603),
IF(COUNTIFS(Equipar!B:B,2,Equipar!AC:AC,A603),"Equipada",
IF(
  OR(COUNTIFS(Equipar!B:B,2,Equipar!C:C,A603)
 +COUNTIFS(Equipar!B:B,2,Equipar!D:D,A603)
+COUNTIFS(Equipar!B:B,2,Equipar!E:E,A603)
+COUNTIFS(Equipar!B:B,2,Equipar!F:F,A603)
&gt;0,COUNTIF('Set recomendado'!B:B,C603)=0),
"Bloqueada",
"Desechable")),""
)</f>
        <v/>
      </c>
      <c r="J603" t="str" cm="1">
        <f t="array" aca="1" ref="J603" ca="1">IF(ISNUMBER(A603),IFERROR(_xlfn._xlws.FILTER(Equipar!A:A,(Equipar!B:B=2)*(Equipar!AC:AC=A603)),""),"")</f>
        <v/>
      </c>
    </row>
    <row r="604" spans="1:10" x14ac:dyDescent="0.25">
      <c r="A604" s="1" t="str">
        <f ca="1">IF(A603="ID",1,IF(ISBLANK(B604),"",MAX(A$2:A603)+1))</f>
        <v/>
      </c>
      <c r="I604" s="2" t="str">
        <f ca="1">IF(ISNUMBER(A604),
IF(COUNTIFS(Equipar!B:B,2,Equipar!AC:AC,A604),"Equipada",
IF(
  OR(COUNTIFS(Equipar!B:B,2,Equipar!C:C,A604)
 +COUNTIFS(Equipar!B:B,2,Equipar!D:D,A604)
+COUNTIFS(Equipar!B:B,2,Equipar!E:E,A604)
+COUNTIFS(Equipar!B:B,2,Equipar!F:F,A604)
&gt;0,COUNTIF('Set recomendado'!B:B,C604)=0),
"Bloqueada",
"Desechable")),""
)</f>
        <v/>
      </c>
      <c r="J604" t="str" cm="1">
        <f t="array" aca="1" ref="J604" ca="1">IF(ISNUMBER(A604),IFERROR(_xlfn._xlws.FILTER(Equipar!A:A,(Equipar!B:B=2)*(Equipar!AC:AC=A604)),""),"")</f>
        <v/>
      </c>
    </row>
    <row r="605" spans="1:10" x14ac:dyDescent="0.25">
      <c r="A605" s="1" t="str">
        <f ca="1">IF(A604="ID",1,IF(ISBLANK(B605),"",MAX(A$2:A604)+1))</f>
        <v/>
      </c>
      <c r="I605" s="2" t="str">
        <f ca="1">IF(ISNUMBER(A605),
IF(COUNTIFS(Equipar!B:B,2,Equipar!AC:AC,A605),"Equipada",
IF(
  OR(COUNTIFS(Equipar!B:B,2,Equipar!C:C,A605)
 +COUNTIFS(Equipar!B:B,2,Equipar!D:D,A605)
+COUNTIFS(Equipar!B:B,2,Equipar!E:E,A605)
+COUNTIFS(Equipar!B:B,2,Equipar!F:F,A605)
&gt;0,COUNTIF('Set recomendado'!B:B,C605)=0),
"Bloqueada",
"Desechable")),""
)</f>
        <v/>
      </c>
      <c r="J605" t="str" cm="1">
        <f t="array" aca="1" ref="J605" ca="1">IF(ISNUMBER(A605),IFERROR(_xlfn._xlws.FILTER(Equipar!A:A,(Equipar!B:B=2)*(Equipar!AC:AC=A605)),""),"")</f>
        <v/>
      </c>
    </row>
    <row r="606" spans="1:10" x14ac:dyDescent="0.25">
      <c r="A606" s="1" t="str">
        <f ca="1">IF(A605="ID",1,IF(ISBLANK(B606),"",MAX(A$2:A605)+1))</f>
        <v/>
      </c>
      <c r="I606" s="2" t="str">
        <f ca="1">IF(ISNUMBER(A606),
IF(COUNTIFS(Equipar!B:B,2,Equipar!AC:AC,A606),"Equipada",
IF(
  OR(COUNTIFS(Equipar!B:B,2,Equipar!C:C,A606)
 +COUNTIFS(Equipar!B:B,2,Equipar!D:D,A606)
+COUNTIFS(Equipar!B:B,2,Equipar!E:E,A606)
+COUNTIFS(Equipar!B:B,2,Equipar!F:F,A606)
&gt;0,COUNTIF('Set recomendado'!B:B,C606)=0),
"Bloqueada",
"Desechable")),""
)</f>
        <v/>
      </c>
      <c r="J606" t="str" cm="1">
        <f t="array" aca="1" ref="J606" ca="1">IF(ISNUMBER(A606),IFERROR(_xlfn._xlws.FILTER(Equipar!A:A,(Equipar!B:B=2)*(Equipar!AC:AC=A606)),""),"")</f>
        <v/>
      </c>
    </row>
    <row r="607" spans="1:10" x14ac:dyDescent="0.25">
      <c r="A607" s="1" t="str">
        <f ca="1">IF(A606="ID",1,IF(ISBLANK(B607),"",MAX(A$2:A606)+1))</f>
        <v/>
      </c>
      <c r="I607" s="2" t="str">
        <f ca="1">IF(ISNUMBER(A607),
IF(COUNTIFS(Equipar!B:B,2,Equipar!AC:AC,A607),"Equipada",
IF(
  OR(COUNTIFS(Equipar!B:B,2,Equipar!C:C,A607)
 +COUNTIFS(Equipar!B:B,2,Equipar!D:D,A607)
+COUNTIFS(Equipar!B:B,2,Equipar!E:E,A607)
+COUNTIFS(Equipar!B:B,2,Equipar!F:F,A607)
&gt;0,COUNTIF('Set recomendado'!B:B,C607)=0),
"Bloqueada",
"Desechable")),""
)</f>
        <v/>
      </c>
      <c r="J607" t="str" cm="1">
        <f t="array" aca="1" ref="J607" ca="1">IF(ISNUMBER(A607),IFERROR(_xlfn._xlws.FILTER(Equipar!A:A,(Equipar!B:B=2)*(Equipar!AC:AC=A607)),""),"")</f>
        <v/>
      </c>
    </row>
    <row r="608" spans="1:10" x14ac:dyDescent="0.25">
      <c r="A608" s="1" t="str">
        <f ca="1">IF(A607="ID",1,IF(ISBLANK(B608),"",MAX(A$2:A607)+1))</f>
        <v/>
      </c>
      <c r="I608" s="2" t="str">
        <f ca="1">IF(ISNUMBER(A608),
IF(COUNTIFS(Equipar!B:B,2,Equipar!AC:AC,A608),"Equipada",
IF(
  OR(COUNTIFS(Equipar!B:B,2,Equipar!C:C,A608)
 +COUNTIFS(Equipar!B:B,2,Equipar!D:D,A608)
+COUNTIFS(Equipar!B:B,2,Equipar!E:E,A608)
+COUNTIFS(Equipar!B:B,2,Equipar!F:F,A608)
&gt;0,COUNTIF('Set recomendado'!B:B,C608)=0),
"Bloqueada",
"Desechable")),""
)</f>
        <v/>
      </c>
      <c r="J608" t="str" cm="1">
        <f t="array" aca="1" ref="J608" ca="1">IF(ISNUMBER(A608),IFERROR(_xlfn._xlws.FILTER(Equipar!A:A,(Equipar!B:B=2)*(Equipar!AC:AC=A608)),""),"")</f>
        <v/>
      </c>
    </row>
    <row r="609" spans="1:10" x14ac:dyDescent="0.25">
      <c r="A609" s="1" t="str">
        <f ca="1">IF(A608="ID",1,IF(ISBLANK(B609),"",MAX(A$2:A608)+1))</f>
        <v/>
      </c>
      <c r="I609" s="2" t="str">
        <f ca="1">IF(ISNUMBER(A609),
IF(COUNTIFS(Equipar!B:B,2,Equipar!AC:AC,A609),"Equipada",
IF(
  OR(COUNTIFS(Equipar!B:B,2,Equipar!C:C,A609)
 +COUNTIFS(Equipar!B:B,2,Equipar!D:D,A609)
+COUNTIFS(Equipar!B:B,2,Equipar!E:E,A609)
+COUNTIFS(Equipar!B:B,2,Equipar!F:F,A609)
&gt;0,COUNTIF('Set recomendado'!B:B,C609)=0),
"Bloqueada",
"Desechable")),""
)</f>
        <v/>
      </c>
      <c r="J609" t="str" cm="1">
        <f t="array" aca="1" ref="J609" ca="1">IF(ISNUMBER(A609),IFERROR(_xlfn._xlws.FILTER(Equipar!A:A,(Equipar!B:B=2)*(Equipar!AC:AC=A609)),""),"")</f>
        <v/>
      </c>
    </row>
    <row r="610" spans="1:10" x14ac:dyDescent="0.25">
      <c r="A610" s="1" t="str">
        <f ca="1">IF(A609="ID",1,IF(ISBLANK(B610),"",MAX(A$2:A609)+1))</f>
        <v/>
      </c>
      <c r="I610" s="2" t="str">
        <f ca="1">IF(ISNUMBER(A610),
IF(COUNTIFS(Equipar!B:B,2,Equipar!AC:AC,A610),"Equipada",
IF(
  OR(COUNTIFS(Equipar!B:B,2,Equipar!C:C,A610)
 +COUNTIFS(Equipar!B:B,2,Equipar!D:D,A610)
+COUNTIFS(Equipar!B:B,2,Equipar!E:E,A610)
+COUNTIFS(Equipar!B:B,2,Equipar!F:F,A610)
&gt;0,COUNTIF('Set recomendado'!B:B,C610)=0),
"Bloqueada",
"Desechable")),""
)</f>
        <v/>
      </c>
      <c r="J610" t="str" cm="1">
        <f t="array" aca="1" ref="J610" ca="1">IF(ISNUMBER(A610),IFERROR(_xlfn._xlws.FILTER(Equipar!A:A,(Equipar!B:B=2)*(Equipar!AC:AC=A610)),""),"")</f>
        <v/>
      </c>
    </row>
    <row r="611" spans="1:10" x14ac:dyDescent="0.25">
      <c r="A611" s="1" t="str">
        <f ca="1">IF(A610="ID",1,IF(ISBLANK(B611),"",MAX(A$2:A610)+1))</f>
        <v/>
      </c>
      <c r="I611" s="2" t="str">
        <f ca="1">IF(ISNUMBER(A611),
IF(COUNTIFS(Equipar!B:B,2,Equipar!AC:AC,A611),"Equipada",
IF(
  OR(COUNTIFS(Equipar!B:B,2,Equipar!C:C,A611)
 +COUNTIFS(Equipar!B:B,2,Equipar!D:D,A611)
+COUNTIFS(Equipar!B:B,2,Equipar!E:E,A611)
+COUNTIFS(Equipar!B:B,2,Equipar!F:F,A611)
&gt;0,COUNTIF('Set recomendado'!B:B,C611)=0),
"Bloqueada",
"Desechable")),""
)</f>
        <v/>
      </c>
      <c r="J611" t="str" cm="1">
        <f t="array" aca="1" ref="J611" ca="1">IF(ISNUMBER(A611),IFERROR(_xlfn._xlws.FILTER(Equipar!A:A,(Equipar!B:B=2)*(Equipar!AC:AC=A611)),""),"")</f>
        <v/>
      </c>
    </row>
    <row r="612" spans="1:10" x14ac:dyDescent="0.25">
      <c r="A612" s="1" t="str">
        <f ca="1">IF(A611="ID",1,IF(ISBLANK(B612),"",MAX(A$2:A611)+1))</f>
        <v/>
      </c>
      <c r="I612" s="2" t="str">
        <f ca="1">IF(ISNUMBER(A612),
IF(COUNTIFS(Equipar!B:B,2,Equipar!AC:AC,A612),"Equipada",
IF(
  OR(COUNTIFS(Equipar!B:B,2,Equipar!C:C,A612)
 +COUNTIFS(Equipar!B:B,2,Equipar!D:D,A612)
+COUNTIFS(Equipar!B:B,2,Equipar!E:E,A612)
+COUNTIFS(Equipar!B:B,2,Equipar!F:F,A612)
&gt;0,COUNTIF('Set recomendado'!B:B,C612)=0),
"Bloqueada",
"Desechable")),""
)</f>
        <v/>
      </c>
      <c r="J612" t="str" cm="1">
        <f t="array" aca="1" ref="J612" ca="1">IF(ISNUMBER(A612),IFERROR(_xlfn._xlws.FILTER(Equipar!A:A,(Equipar!B:B=2)*(Equipar!AC:AC=A612)),""),"")</f>
        <v/>
      </c>
    </row>
    <row r="613" spans="1:10" x14ac:dyDescent="0.25">
      <c r="A613" s="1" t="str">
        <f ca="1">IF(A612="ID",1,IF(ISBLANK(B613),"",MAX(A$2:A612)+1))</f>
        <v/>
      </c>
      <c r="I613" s="2" t="str">
        <f ca="1">IF(ISNUMBER(A613),
IF(COUNTIFS(Equipar!B:B,2,Equipar!AC:AC,A613),"Equipada",
IF(
  OR(COUNTIFS(Equipar!B:B,2,Equipar!C:C,A613)
 +COUNTIFS(Equipar!B:B,2,Equipar!D:D,A613)
+COUNTIFS(Equipar!B:B,2,Equipar!E:E,A613)
+COUNTIFS(Equipar!B:B,2,Equipar!F:F,A613)
&gt;0,COUNTIF('Set recomendado'!B:B,C613)=0),
"Bloqueada",
"Desechable")),""
)</f>
        <v/>
      </c>
      <c r="J613" t="str" cm="1">
        <f t="array" aca="1" ref="J613" ca="1">IF(ISNUMBER(A613),IFERROR(_xlfn._xlws.FILTER(Equipar!A:A,(Equipar!B:B=2)*(Equipar!AC:AC=A613)),""),"")</f>
        <v/>
      </c>
    </row>
    <row r="614" spans="1:10" x14ac:dyDescent="0.25">
      <c r="A614" s="1" t="str">
        <f ca="1">IF(A613="ID",1,IF(ISBLANK(B614),"",MAX(A$2:A613)+1))</f>
        <v/>
      </c>
      <c r="I614" s="2" t="str">
        <f ca="1">IF(ISNUMBER(A614),
IF(COUNTIFS(Equipar!B:B,2,Equipar!AC:AC,A614),"Equipada",
IF(
  OR(COUNTIFS(Equipar!B:B,2,Equipar!C:C,A614)
 +COUNTIFS(Equipar!B:B,2,Equipar!D:D,A614)
+COUNTIFS(Equipar!B:B,2,Equipar!E:E,A614)
+COUNTIFS(Equipar!B:B,2,Equipar!F:F,A614)
&gt;0,COUNTIF('Set recomendado'!B:B,C614)=0),
"Bloqueada",
"Desechable")),""
)</f>
        <v/>
      </c>
      <c r="J614" t="str" cm="1">
        <f t="array" aca="1" ref="J614" ca="1">IF(ISNUMBER(A614),IFERROR(_xlfn._xlws.FILTER(Equipar!A:A,(Equipar!B:B=2)*(Equipar!AC:AC=A614)),""),"")</f>
        <v/>
      </c>
    </row>
    <row r="615" spans="1:10" x14ac:dyDescent="0.25">
      <c r="A615" s="1" t="str">
        <f ca="1">IF(A614="ID",1,IF(ISBLANK(B615),"",MAX(A$2:A614)+1))</f>
        <v/>
      </c>
      <c r="I615" s="2" t="str">
        <f ca="1">IF(ISNUMBER(A615),
IF(COUNTIFS(Equipar!B:B,2,Equipar!AC:AC,A615),"Equipada",
IF(
  OR(COUNTIFS(Equipar!B:B,2,Equipar!C:C,A615)
 +COUNTIFS(Equipar!B:B,2,Equipar!D:D,A615)
+COUNTIFS(Equipar!B:B,2,Equipar!E:E,A615)
+COUNTIFS(Equipar!B:B,2,Equipar!F:F,A615)
&gt;0,COUNTIF('Set recomendado'!B:B,C615)=0),
"Bloqueada",
"Desechable")),""
)</f>
        <v/>
      </c>
      <c r="J615" t="str" cm="1">
        <f t="array" aca="1" ref="J615" ca="1">IF(ISNUMBER(A615),IFERROR(_xlfn._xlws.FILTER(Equipar!A:A,(Equipar!B:B=2)*(Equipar!AC:AC=A615)),""),"")</f>
        <v/>
      </c>
    </row>
    <row r="616" spans="1:10" x14ac:dyDescent="0.25">
      <c r="A616" s="1" t="str">
        <f ca="1">IF(A615="ID",1,IF(ISBLANK(B616),"",MAX(A$2:A615)+1))</f>
        <v/>
      </c>
      <c r="I616" s="2" t="str">
        <f ca="1">IF(ISNUMBER(A616),
IF(COUNTIFS(Equipar!B:B,2,Equipar!AC:AC,A616),"Equipada",
IF(
  OR(COUNTIFS(Equipar!B:B,2,Equipar!C:C,A616)
 +COUNTIFS(Equipar!B:B,2,Equipar!D:D,A616)
+COUNTIFS(Equipar!B:B,2,Equipar!E:E,A616)
+COUNTIFS(Equipar!B:B,2,Equipar!F:F,A616)
&gt;0,COUNTIF('Set recomendado'!B:B,C616)=0),
"Bloqueada",
"Desechable")),""
)</f>
        <v/>
      </c>
      <c r="J616" t="str" cm="1">
        <f t="array" aca="1" ref="J616" ca="1">IF(ISNUMBER(A616),IFERROR(_xlfn._xlws.FILTER(Equipar!A:A,(Equipar!B:B=2)*(Equipar!AC:AC=A616)),""),"")</f>
        <v/>
      </c>
    </row>
    <row r="617" spans="1:10" x14ac:dyDescent="0.25">
      <c r="A617" s="1" t="str">
        <f ca="1">IF(A616="ID",1,IF(ISBLANK(B617),"",MAX(A$2:A616)+1))</f>
        <v/>
      </c>
      <c r="I617" s="2" t="str">
        <f ca="1">IF(ISNUMBER(A617),
IF(COUNTIFS(Equipar!B:B,2,Equipar!AC:AC,A617),"Equipada",
IF(
  OR(COUNTIFS(Equipar!B:B,2,Equipar!C:C,A617)
 +COUNTIFS(Equipar!B:B,2,Equipar!D:D,A617)
+COUNTIFS(Equipar!B:B,2,Equipar!E:E,A617)
+COUNTIFS(Equipar!B:B,2,Equipar!F:F,A617)
&gt;0,COUNTIF('Set recomendado'!B:B,C617)=0),
"Bloqueada",
"Desechable")),""
)</f>
        <v/>
      </c>
      <c r="J617" t="str" cm="1">
        <f t="array" aca="1" ref="J617" ca="1">IF(ISNUMBER(A617),IFERROR(_xlfn._xlws.FILTER(Equipar!A:A,(Equipar!B:B=2)*(Equipar!AC:AC=A617)),""),"")</f>
        <v/>
      </c>
    </row>
    <row r="618" spans="1:10" x14ac:dyDescent="0.25">
      <c r="A618" s="1" t="str">
        <f ca="1">IF(A617="ID",1,IF(ISBLANK(B618),"",MAX(A$2:A617)+1))</f>
        <v/>
      </c>
      <c r="I618" s="2" t="str">
        <f ca="1">IF(ISNUMBER(A618),
IF(COUNTIFS(Equipar!B:B,2,Equipar!AC:AC,A618),"Equipada",
IF(
  OR(COUNTIFS(Equipar!B:B,2,Equipar!C:C,A618)
 +COUNTIFS(Equipar!B:B,2,Equipar!D:D,A618)
+COUNTIFS(Equipar!B:B,2,Equipar!E:E,A618)
+COUNTIFS(Equipar!B:B,2,Equipar!F:F,A618)
&gt;0,COUNTIF('Set recomendado'!B:B,C618)=0),
"Bloqueada",
"Desechable")),""
)</f>
        <v/>
      </c>
      <c r="J618" t="str" cm="1">
        <f t="array" aca="1" ref="J618" ca="1">IF(ISNUMBER(A618),IFERROR(_xlfn._xlws.FILTER(Equipar!A:A,(Equipar!B:B=2)*(Equipar!AC:AC=A618)),""),"")</f>
        <v/>
      </c>
    </row>
    <row r="619" spans="1:10" x14ac:dyDescent="0.25">
      <c r="A619" s="1" t="str">
        <f ca="1">IF(A618="ID",1,IF(ISBLANK(B619),"",MAX(A$2:A618)+1))</f>
        <v/>
      </c>
      <c r="I619" s="2" t="str">
        <f ca="1">IF(ISNUMBER(A619),
IF(COUNTIFS(Equipar!B:B,2,Equipar!AC:AC,A619),"Equipada",
IF(
  OR(COUNTIFS(Equipar!B:B,2,Equipar!C:C,A619)
 +COUNTIFS(Equipar!B:B,2,Equipar!D:D,A619)
+COUNTIFS(Equipar!B:B,2,Equipar!E:E,A619)
+COUNTIFS(Equipar!B:B,2,Equipar!F:F,A619)
&gt;0,COUNTIF('Set recomendado'!B:B,C619)=0),
"Bloqueada",
"Desechable")),""
)</f>
        <v/>
      </c>
      <c r="J619" t="str" cm="1">
        <f t="array" aca="1" ref="J619" ca="1">IF(ISNUMBER(A619),IFERROR(_xlfn._xlws.FILTER(Equipar!A:A,(Equipar!B:B=2)*(Equipar!AC:AC=A619)),""),"")</f>
        <v/>
      </c>
    </row>
    <row r="620" spans="1:10" x14ac:dyDescent="0.25">
      <c r="A620" s="1" t="str">
        <f ca="1">IF(A619="ID",1,IF(ISBLANK(B620),"",MAX(A$2:A619)+1))</f>
        <v/>
      </c>
      <c r="I620" s="2" t="str">
        <f ca="1">IF(ISNUMBER(A620),
IF(COUNTIFS(Equipar!B:B,2,Equipar!AC:AC,A620),"Equipada",
IF(
  OR(COUNTIFS(Equipar!B:B,2,Equipar!C:C,A620)
 +COUNTIFS(Equipar!B:B,2,Equipar!D:D,A620)
+COUNTIFS(Equipar!B:B,2,Equipar!E:E,A620)
+COUNTIFS(Equipar!B:B,2,Equipar!F:F,A620)
&gt;0,COUNTIF('Set recomendado'!B:B,C620)=0),
"Bloqueada",
"Desechable")),""
)</f>
        <v/>
      </c>
      <c r="J620" t="str" cm="1">
        <f t="array" aca="1" ref="J620" ca="1">IF(ISNUMBER(A620),IFERROR(_xlfn._xlws.FILTER(Equipar!A:A,(Equipar!B:B=2)*(Equipar!AC:AC=A620)),""),"")</f>
        <v/>
      </c>
    </row>
    <row r="621" spans="1:10" x14ac:dyDescent="0.25">
      <c r="A621" s="1" t="str">
        <f ca="1">IF(A620="ID",1,IF(ISBLANK(B621),"",MAX(A$2:A620)+1))</f>
        <v/>
      </c>
      <c r="I621" s="2" t="str">
        <f ca="1">IF(ISNUMBER(A621),
IF(COUNTIFS(Equipar!B:B,2,Equipar!AC:AC,A621),"Equipada",
IF(
  OR(COUNTIFS(Equipar!B:B,2,Equipar!C:C,A621)
 +COUNTIFS(Equipar!B:B,2,Equipar!D:D,A621)
+COUNTIFS(Equipar!B:B,2,Equipar!E:E,A621)
+COUNTIFS(Equipar!B:B,2,Equipar!F:F,A621)
&gt;0,COUNTIF('Set recomendado'!B:B,C621)=0),
"Bloqueada",
"Desechable")),""
)</f>
        <v/>
      </c>
      <c r="J621" t="str" cm="1">
        <f t="array" aca="1" ref="J621" ca="1">IF(ISNUMBER(A621),IFERROR(_xlfn._xlws.FILTER(Equipar!A:A,(Equipar!B:B=2)*(Equipar!AC:AC=A621)),""),"")</f>
        <v/>
      </c>
    </row>
    <row r="622" spans="1:10" x14ac:dyDescent="0.25">
      <c r="A622" s="1" t="str">
        <f ca="1">IF(A621="ID",1,IF(ISBLANK(B622),"",MAX(A$2:A621)+1))</f>
        <v/>
      </c>
      <c r="I622" s="2" t="str">
        <f ca="1">IF(ISNUMBER(A622),
IF(COUNTIFS(Equipar!B:B,2,Equipar!AC:AC,A622),"Equipada",
IF(
  OR(COUNTIFS(Equipar!B:B,2,Equipar!C:C,A622)
 +COUNTIFS(Equipar!B:B,2,Equipar!D:D,A622)
+COUNTIFS(Equipar!B:B,2,Equipar!E:E,A622)
+COUNTIFS(Equipar!B:B,2,Equipar!F:F,A622)
&gt;0,COUNTIF('Set recomendado'!B:B,C622)=0),
"Bloqueada",
"Desechable")),""
)</f>
        <v/>
      </c>
      <c r="J622" t="str" cm="1">
        <f t="array" aca="1" ref="J622" ca="1">IF(ISNUMBER(A622),IFERROR(_xlfn._xlws.FILTER(Equipar!A:A,(Equipar!B:B=2)*(Equipar!AC:AC=A622)),""),"")</f>
        <v/>
      </c>
    </row>
    <row r="623" spans="1:10" x14ac:dyDescent="0.25">
      <c r="A623" s="1" t="str">
        <f ca="1">IF(A622="ID",1,IF(ISBLANK(B623),"",MAX(A$2:A622)+1))</f>
        <v/>
      </c>
      <c r="I623" s="2" t="str">
        <f ca="1">IF(ISNUMBER(A623),
IF(COUNTIFS(Equipar!B:B,2,Equipar!AC:AC,A623),"Equipada",
IF(
  OR(COUNTIFS(Equipar!B:B,2,Equipar!C:C,A623)
 +COUNTIFS(Equipar!B:B,2,Equipar!D:D,A623)
+COUNTIFS(Equipar!B:B,2,Equipar!E:E,A623)
+COUNTIFS(Equipar!B:B,2,Equipar!F:F,A623)
&gt;0,COUNTIF('Set recomendado'!B:B,C623)=0),
"Bloqueada",
"Desechable")),""
)</f>
        <v/>
      </c>
      <c r="J623" t="str" cm="1">
        <f t="array" aca="1" ref="J623" ca="1">IF(ISNUMBER(A623),IFERROR(_xlfn._xlws.FILTER(Equipar!A:A,(Equipar!B:B=2)*(Equipar!AC:AC=A623)),""),"")</f>
        <v/>
      </c>
    </row>
    <row r="624" spans="1:10" x14ac:dyDescent="0.25">
      <c r="A624" s="1" t="str">
        <f ca="1">IF(A623="ID",1,IF(ISBLANK(B624),"",MAX(A$2:A623)+1))</f>
        <v/>
      </c>
      <c r="I624" s="2" t="str">
        <f ca="1">IF(ISNUMBER(A624),
IF(COUNTIFS(Equipar!B:B,2,Equipar!AC:AC,A624),"Equipada",
IF(
  OR(COUNTIFS(Equipar!B:B,2,Equipar!C:C,A624)
 +COUNTIFS(Equipar!B:B,2,Equipar!D:D,A624)
+COUNTIFS(Equipar!B:B,2,Equipar!E:E,A624)
+COUNTIFS(Equipar!B:B,2,Equipar!F:F,A624)
&gt;0,COUNTIF('Set recomendado'!B:B,C624)=0),
"Bloqueada",
"Desechable")),""
)</f>
        <v/>
      </c>
      <c r="J624" t="str" cm="1">
        <f t="array" aca="1" ref="J624" ca="1">IF(ISNUMBER(A624),IFERROR(_xlfn._xlws.FILTER(Equipar!A:A,(Equipar!B:B=2)*(Equipar!AC:AC=A624)),""),"")</f>
        <v/>
      </c>
    </row>
    <row r="625" spans="1:10" x14ac:dyDescent="0.25">
      <c r="A625" s="1" t="str">
        <f ca="1">IF(A624="ID",1,IF(ISBLANK(B625),"",MAX(A$2:A624)+1))</f>
        <v/>
      </c>
      <c r="I625" s="2" t="str">
        <f ca="1">IF(ISNUMBER(A625),
IF(COUNTIFS(Equipar!B:B,2,Equipar!AC:AC,A625),"Equipada",
IF(
  OR(COUNTIFS(Equipar!B:B,2,Equipar!C:C,A625)
 +COUNTIFS(Equipar!B:B,2,Equipar!D:D,A625)
+COUNTIFS(Equipar!B:B,2,Equipar!E:E,A625)
+COUNTIFS(Equipar!B:B,2,Equipar!F:F,A625)
&gt;0,COUNTIF('Set recomendado'!B:B,C625)=0),
"Bloqueada",
"Desechable")),""
)</f>
        <v/>
      </c>
      <c r="J625" t="str" cm="1">
        <f t="array" aca="1" ref="J625" ca="1">IF(ISNUMBER(A625),IFERROR(_xlfn._xlws.FILTER(Equipar!A:A,(Equipar!B:B=2)*(Equipar!AC:AC=A625)),""),"")</f>
        <v/>
      </c>
    </row>
    <row r="626" spans="1:10" x14ac:dyDescent="0.25">
      <c r="A626" s="1" t="str">
        <f ca="1">IF(A625="ID",1,IF(ISBLANK(B626),"",MAX(A$2:A625)+1))</f>
        <v/>
      </c>
      <c r="I626" s="2" t="str">
        <f ca="1">IF(ISNUMBER(A626),
IF(COUNTIFS(Equipar!B:B,2,Equipar!AC:AC,A626),"Equipada",
IF(
  OR(COUNTIFS(Equipar!B:B,2,Equipar!C:C,A626)
 +COUNTIFS(Equipar!B:B,2,Equipar!D:D,A626)
+COUNTIFS(Equipar!B:B,2,Equipar!E:E,A626)
+COUNTIFS(Equipar!B:B,2,Equipar!F:F,A626)
&gt;0,COUNTIF('Set recomendado'!B:B,C626)=0),
"Bloqueada",
"Desechable")),""
)</f>
        <v/>
      </c>
      <c r="J626" t="str" cm="1">
        <f t="array" aca="1" ref="J626" ca="1">IF(ISNUMBER(A626),IFERROR(_xlfn._xlws.FILTER(Equipar!A:A,(Equipar!B:B=2)*(Equipar!AC:AC=A626)),""),"")</f>
        <v/>
      </c>
    </row>
    <row r="627" spans="1:10" x14ac:dyDescent="0.25">
      <c r="A627" s="1" t="str">
        <f ca="1">IF(A626="ID",1,IF(ISBLANK(B627),"",MAX(A$2:A626)+1))</f>
        <v/>
      </c>
      <c r="I627" s="2" t="str">
        <f ca="1">IF(ISNUMBER(A627),
IF(COUNTIFS(Equipar!B:B,2,Equipar!AC:AC,A627),"Equipada",
IF(
  OR(COUNTIFS(Equipar!B:B,2,Equipar!C:C,A627)
 +COUNTIFS(Equipar!B:B,2,Equipar!D:D,A627)
+COUNTIFS(Equipar!B:B,2,Equipar!E:E,A627)
+COUNTIFS(Equipar!B:B,2,Equipar!F:F,A627)
&gt;0,COUNTIF('Set recomendado'!B:B,C627)=0),
"Bloqueada",
"Desechable")),""
)</f>
        <v/>
      </c>
      <c r="J627" t="str" cm="1">
        <f t="array" aca="1" ref="J627" ca="1">IF(ISNUMBER(A627),IFERROR(_xlfn._xlws.FILTER(Equipar!A:A,(Equipar!B:B=2)*(Equipar!AC:AC=A627)),""),"")</f>
        <v/>
      </c>
    </row>
    <row r="628" spans="1:10" x14ac:dyDescent="0.25">
      <c r="A628" s="1" t="str">
        <f ca="1">IF(A627="ID",1,IF(ISBLANK(B628),"",MAX(A$2:A627)+1))</f>
        <v/>
      </c>
      <c r="I628" s="2" t="str">
        <f ca="1">IF(ISNUMBER(A628),
IF(COUNTIFS(Equipar!B:B,2,Equipar!AC:AC,A628),"Equipada",
IF(
  OR(COUNTIFS(Equipar!B:B,2,Equipar!C:C,A628)
 +COUNTIFS(Equipar!B:B,2,Equipar!D:D,A628)
+COUNTIFS(Equipar!B:B,2,Equipar!E:E,A628)
+COUNTIFS(Equipar!B:B,2,Equipar!F:F,A628)
&gt;0,COUNTIF('Set recomendado'!B:B,C628)=0),
"Bloqueada",
"Desechable")),""
)</f>
        <v/>
      </c>
      <c r="J628" t="str" cm="1">
        <f t="array" aca="1" ref="J628" ca="1">IF(ISNUMBER(A628),IFERROR(_xlfn._xlws.FILTER(Equipar!A:A,(Equipar!B:B=2)*(Equipar!AC:AC=A628)),""),"")</f>
        <v/>
      </c>
    </row>
    <row r="629" spans="1:10" x14ac:dyDescent="0.25">
      <c r="A629" s="1" t="str">
        <f ca="1">IF(A628="ID",1,IF(ISBLANK(B629),"",MAX(A$2:A628)+1))</f>
        <v/>
      </c>
      <c r="I629" s="2" t="str">
        <f ca="1">IF(ISNUMBER(A629),
IF(COUNTIFS(Equipar!B:B,2,Equipar!AC:AC,A629),"Equipada",
IF(
  OR(COUNTIFS(Equipar!B:B,2,Equipar!C:C,A629)
 +COUNTIFS(Equipar!B:B,2,Equipar!D:D,A629)
+COUNTIFS(Equipar!B:B,2,Equipar!E:E,A629)
+COUNTIFS(Equipar!B:B,2,Equipar!F:F,A629)
&gt;0,COUNTIF('Set recomendado'!B:B,C629)=0),
"Bloqueada",
"Desechable")),""
)</f>
        <v/>
      </c>
      <c r="J629" t="str" cm="1">
        <f t="array" aca="1" ref="J629" ca="1">IF(ISNUMBER(A629),IFERROR(_xlfn._xlws.FILTER(Equipar!A:A,(Equipar!B:B=2)*(Equipar!AC:AC=A629)),""),"")</f>
        <v/>
      </c>
    </row>
    <row r="630" spans="1:10" x14ac:dyDescent="0.25">
      <c r="A630" s="1" t="str">
        <f ca="1">IF(A629="ID",1,IF(ISBLANK(B630),"",MAX(A$2:A629)+1))</f>
        <v/>
      </c>
      <c r="I630" s="2" t="str">
        <f ca="1">IF(ISNUMBER(A630),
IF(COUNTIFS(Equipar!B:B,2,Equipar!AC:AC,A630),"Equipada",
IF(
  OR(COUNTIFS(Equipar!B:B,2,Equipar!C:C,A630)
 +COUNTIFS(Equipar!B:B,2,Equipar!D:D,A630)
+COUNTIFS(Equipar!B:B,2,Equipar!E:E,A630)
+COUNTIFS(Equipar!B:B,2,Equipar!F:F,A630)
&gt;0,COUNTIF('Set recomendado'!B:B,C630)=0),
"Bloqueada",
"Desechable")),""
)</f>
        <v/>
      </c>
      <c r="J630" t="str" cm="1">
        <f t="array" aca="1" ref="J630" ca="1">IF(ISNUMBER(A630),IFERROR(_xlfn._xlws.FILTER(Equipar!A:A,(Equipar!B:B=2)*(Equipar!AC:AC=A630)),""),"")</f>
        <v/>
      </c>
    </row>
    <row r="631" spans="1:10" x14ac:dyDescent="0.25">
      <c r="A631" s="1" t="str">
        <f ca="1">IF(A630="ID",1,IF(ISBLANK(B631),"",MAX(A$2:A630)+1))</f>
        <v/>
      </c>
      <c r="I631" s="2" t="str">
        <f ca="1">IF(ISNUMBER(A631),
IF(COUNTIFS(Equipar!B:B,2,Equipar!AC:AC,A631),"Equipada",
IF(
  OR(COUNTIFS(Equipar!B:B,2,Equipar!C:C,A631)
 +COUNTIFS(Equipar!B:B,2,Equipar!D:D,A631)
+COUNTIFS(Equipar!B:B,2,Equipar!E:E,A631)
+COUNTIFS(Equipar!B:B,2,Equipar!F:F,A631)
&gt;0,COUNTIF('Set recomendado'!B:B,C631)=0),
"Bloqueada",
"Desechable")),""
)</f>
        <v/>
      </c>
      <c r="J631" t="str" cm="1">
        <f t="array" aca="1" ref="J631" ca="1">IF(ISNUMBER(A631),IFERROR(_xlfn._xlws.FILTER(Equipar!A:A,(Equipar!B:B=2)*(Equipar!AC:AC=A631)),""),"")</f>
        <v/>
      </c>
    </row>
    <row r="632" spans="1:10" x14ac:dyDescent="0.25">
      <c r="A632" s="1" t="str">
        <f ca="1">IF(A631="ID",1,IF(ISBLANK(B632),"",MAX(A$2:A631)+1))</f>
        <v/>
      </c>
      <c r="I632" s="2" t="str">
        <f ca="1">IF(ISNUMBER(A632),
IF(COUNTIFS(Equipar!B:B,2,Equipar!AC:AC,A632),"Equipada",
IF(
  OR(COUNTIFS(Equipar!B:B,2,Equipar!C:C,A632)
 +COUNTIFS(Equipar!B:B,2,Equipar!D:D,A632)
+COUNTIFS(Equipar!B:B,2,Equipar!E:E,A632)
+COUNTIFS(Equipar!B:B,2,Equipar!F:F,A632)
&gt;0,COUNTIF('Set recomendado'!B:B,C632)=0),
"Bloqueada",
"Desechable")),""
)</f>
        <v/>
      </c>
      <c r="J632" t="str" cm="1">
        <f t="array" aca="1" ref="J632" ca="1">IF(ISNUMBER(A632),IFERROR(_xlfn._xlws.FILTER(Equipar!A:A,(Equipar!B:B=2)*(Equipar!AC:AC=A632)),""),"")</f>
        <v/>
      </c>
    </row>
    <row r="633" spans="1:10" x14ac:dyDescent="0.25">
      <c r="A633" s="1" t="str">
        <f ca="1">IF(A632="ID",1,IF(ISBLANK(B633),"",MAX(A$2:A632)+1))</f>
        <v/>
      </c>
      <c r="I633" s="2" t="str">
        <f ca="1">IF(ISNUMBER(A633),
IF(COUNTIFS(Equipar!B:B,2,Equipar!AC:AC,A633),"Equipada",
IF(
  OR(COUNTIFS(Equipar!B:B,2,Equipar!C:C,A633)
 +COUNTIFS(Equipar!B:B,2,Equipar!D:D,A633)
+COUNTIFS(Equipar!B:B,2,Equipar!E:E,A633)
+COUNTIFS(Equipar!B:B,2,Equipar!F:F,A633)
&gt;0,COUNTIF('Set recomendado'!B:B,C633)=0),
"Bloqueada",
"Desechable")),""
)</f>
        <v/>
      </c>
      <c r="J633" t="str" cm="1">
        <f t="array" aca="1" ref="J633" ca="1">IF(ISNUMBER(A633),IFERROR(_xlfn._xlws.FILTER(Equipar!A:A,(Equipar!B:B=2)*(Equipar!AC:AC=A633)),""),"")</f>
        <v/>
      </c>
    </row>
    <row r="634" spans="1:10" x14ac:dyDescent="0.25">
      <c r="A634" s="1" t="str">
        <f ca="1">IF(A633="ID",1,IF(ISBLANK(B634),"",MAX(A$2:A633)+1))</f>
        <v/>
      </c>
      <c r="I634" s="2" t="str">
        <f ca="1">IF(ISNUMBER(A634),
IF(COUNTIFS(Equipar!B:B,2,Equipar!AC:AC,A634),"Equipada",
IF(
  OR(COUNTIFS(Equipar!B:B,2,Equipar!C:C,A634)
 +COUNTIFS(Equipar!B:B,2,Equipar!D:D,A634)
+COUNTIFS(Equipar!B:B,2,Equipar!E:E,A634)
+COUNTIFS(Equipar!B:B,2,Equipar!F:F,A634)
&gt;0,COUNTIF('Set recomendado'!B:B,C634)=0),
"Bloqueada",
"Desechable")),""
)</f>
        <v/>
      </c>
      <c r="J634" t="str" cm="1">
        <f t="array" aca="1" ref="J634" ca="1">IF(ISNUMBER(A634),IFERROR(_xlfn._xlws.FILTER(Equipar!A:A,(Equipar!B:B=2)*(Equipar!AC:AC=A634)),""),"")</f>
        <v/>
      </c>
    </row>
    <row r="635" spans="1:10" x14ac:dyDescent="0.25">
      <c r="A635" s="1" t="str">
        <f ca="1">IF(A634="ID",1,IF(ISBLANK(B635),"",MAX(A$2:A634)+1))</f>
        <v/>
      </c>
      <c r="I635" s="2" t="str">
        <f ca="1">IF(ISNUMBER(A635),
IF(COUNTIFS(Equipar!B:B,2,Equipar!AC:AC,A635),"Equipada",
IF(
  OR(COUNTIFS(Equipar!B:B,2,Equipar!C:C,A635)
 +COUNTIFS(Equipar!B:B,2,Equipar!D:D,A635)
+COUNTIFS(Equipar!B:B,2,Equipar!E:E,A635)
+COUNTIFS(Equipar!B:B,2,Equipar!F:F,A635)
&gt;0,COUNTIF('Set recomendado'!B:B,C635)=0),
"Bloqueada",
"Desechable")),""
)</f>
        <v/>
      </c>
      <c r="J635" t="str" cm="1">
        <f t="array" aca="1" ref="J635" ca="1">IF(ISNUMBER(A635),IFERROR(_xlfn._xlws.FILTER(Equipar!A:A,(Equipar!B:B=2)*(Equipar!AC:AC=A635)),""),"")</f>
        <v/>
      </c>
    </row>
    <row r="636" spans="1:10" x14ac:dyDescent="0.25">
      <c r="A636" s="1" t="str">
        <f ca="1">IF(A635="ID",1,IF(ISBLANK(B636),"",MAX(A$2:A635)+1))</f>
        <v/>
      </c>
      <c r="I636" s="2" t="str">
        <f ca="1">IF(ISNUMBER(A636),
IF(COUNTIFS(Equipar!B:B,2,Equipar!AC:AC,A636),"Equipada",
IF(
  OR(COUNTIFS(Equipar!B:B,2,Equipar!C:C,A636)
 +COUNTIFS(Equipar!B:B,2,Equipar!D:D,A636)
+COUNTIFS(Equipar!B:B,2,Equipar!E:E,A636)
+COUNTIFS(Equipar!B:B,2,Equipar!F:F,A636)
&gt;0,COUNTIF('Set recomendado'!B:B,C636)=0),
"Bloqueada",
"Desechable")),""
)</f>
        <v/>
      </c>
      <c r="J636" t="str" cm="1">
        <f t="array" aca="1" ref="J636" ca="1">IF(ISNUMBER(A636),IFERROR(_xlfn._xlws.FILTER(Equipar!A:A,(Equipar!B:B=2)*(Equipar!AC:AC=A636)),""),"")</f>
        <v/>
      </c>
    </row>
    <row r="637" spans="1:10" x14ac:dyDescent="0.25">
      <c r="A637" s="1" t="str">
        <f ca="1">IF(A636="ID",1,IF(ISBLANK(B637),"",MAX(A$2:A636)+1))</f>
        <v/>
      </c>
      <c r="I637" s="2" t="str">
        <f ca="1">IF(ISNUMBER(A637),
IF(COUNTIFS(Equipar!B:B,2,Equipar!AC:AC,A637),"Equipada",
IF(
  OR(COUNTIFS(Equipar!B:B,2,Equipar!C:C,A637)
 +COUNTIFS(Equipar!B:B,2,Equipar!D:D,A637)
+COUNTIFS(Equipar!B:B,2,Equipar!E:E,A637)
+COUNTIFS(Equipar!B:B,2,Equipar!F:F,A637)
&gt;0,COUNTIF('Set recomendado'!B:B,C637)=0),
"Bloqueada",
"Desechable")),""
)</f>
        <v/>
      </c>
      <c r="J637" t="str" cm="1">
        <f t="array" aca="1" ref="J637" ca="1">IF(ISNUMBER(A637),IFERROR(_xlfn._xlws.FILTER(Equipar!A:A,(Equipar!B:B=2)*(Equipar!AC:AC=A637)),""),"")</f>
        <v/>
      </c>
    </row>
    <row r="638" spans="1:10" x14ac:dyDescent="0.25">
      <c r="A638" s="1" t="str">
        <f ca="1">IF(A637="ID",1,IF(ISBLANK(B638),"",MAX(A$2:A637)+1))</f>
        <v/>
      </c>
      <c r="I638" s="2" t="str">
        <f ca="1">IF(ISNUMBER(A638),
IF(COUNTIFS(Equipar!B:B,2,Equipar!AC:AC,A638),"Equipada",
IF(
  OR(COUNTIFS(Equipar!B:B,2,Equipar!C:C,A638)
 +COUNTIFS(Equipar!B:B,2,Equipar!D:D,A638)
+COUNTIFS(Equipar!B:B,2,Equipar!E:E,A638)
+COUNTIFS(Equipar!B:B,2,Equipar!F:F,A638)
&gt;0,COUNTIF('Set recomendado'!B:B,C638)=0),
"Bloqueada",
"Desechable")),""
)</f>
        <v/>
      </c>
      <c r="J638" t="str" cm="1">
        <f t="array" aca="1" ref="J638" ca="1">IF(ISNUMBER(A638),IFERROR(_xlfn._xlws.FILTER(Equipar!A:A,(Equipar!B:B=2)*(Equipar!AC:AC=A638)),""),"")</f>
        <v/>
      </c>
    </row>
    <row r="639" spans="1:10" x14ac:dyDescent="0.25">
      <c r="A639" s="1" t="str">
        <f ca="1">IF(A638="ID",1,IF(ISBLANK(B639),"",MAX(A$2:A638)+1))</f>
        <v/>
      </c>
      <c r="I639" s="2" t="str">
        <f ca="1">IF(ISNUMBER(A639),
IF(COUNTIFS(Equipar!B:B,2,Equipar!AC:AC,A639),"Equipada",
IF(
  OR(COUNTIFS(Equipar!B:B,2,Equipar!C:C,A639)
 +COUNTIFS(Equipar!B:B,2,Equipar!D:D,A639)
+COUNTIFS(Equipar!B:B,2,Equipar!E:E,A639)
+COUNTIFS(Equipar!B:B,2,Equipar!F:F,A639)
&gt;0,COUNTIF('Set recomendado'!B:B,C639)=0),
"Bloqueada",
"Desechable")),""
)</f>
        <v/>
      </c>
      <c r="J639" t="str" cm="1">
        <f t="array" aca="1" ref="J639" ca="1">IF(ISNUMBER(A639),IFERROR(_xlfn._xlws.FILTER(Equipar!A:A,(Equipar!B:B=2)*(Equipar!AC:AC=A639)),""),"")</f>
        <v/>
      </c>
    </row>
    <row r="640" spans="1:10" x14ac:dyDescent="0.25">
      <c r="A640" s="1" t="str">
        <f ca="1">IF(A639="ID",1,IF(ISBLANK(B640),"",MAX(A$2:A639)+1))</f>
        <v/>
      </c>
      <c r="I640" s="2" t="str">
        <f ca="1">IF(ISNUMBER(A640),
IF(COUNTIFS(Equipar!B:B,2,Equipar!AC:AC,A640),"Equipada",
IF(
  OR(COUNTIFS(Equipar!B:B,2,Equipar!C:C,A640)
 +COUNTIFS(Equipar!B:B,2,Equipar!D:D,A640)
+COUNTIFS(Equipar!B:B,2,Equipar!E:E,A640)
+COUNTIFS(Equipar!B:B,2,Equipar!F:F,A640)
&gt;0,COUNTIF('Set recomendado'!B:B,C640)=0),
"Bloqueada",
"Desechable")),""
)</f>
        <v/>
      </c>
      <c r="J640" t="str" cm="1">
        <f t="array" aca="1" ref="J640" ca="1">IF(ISNUMBER(A640),IFERROR(_xlfn._xlws.FILTER(Equipar!A:A,(Equipar!B:B=2)*(Equipar!AC:AC=A640)),""),"")</f>
        <v/>
      </c>
    </row>
    <row r="641" spans="1:10" x14ac:dyDescent="0.25">
      <c r="A641" s="1" t="str">
        <f ca="1">IF(A640="ID",1,IF(ISBLANK(B641),"",MAX(A$2:A640)+1))</f>
        <v/>
      </c>
      <c r="I641" s="2" t="str">
        <f ca="1">IF(ISNUMBER(A641),
IF(COUNTIFS(Equipar!B:B,2,Equipar!AC:AC,A641),"Equipada",
IF(
  OR(COUNTIFS(Equipar!B:B,2,Equipar!C:C,A641)
 +COUNTIFS(Equipar!B:B,2,Equipar!D:D,A641)
+COUNTIFS(Equipar!B:B,2,Equipar!E:E,A641)
+COUNTIFS(Equipar!B:B,2,Equipar!F:F,A641)
&gt;0,COUNTIF('Set recomendado'!B:B,C641)=0),
"Bloqueada",
"Desechable")),""
)</f>
        <v/>
      </c>
      <c r="J641" t="str" cm="1">
        <f t="array" aca="1" ref="J641" ca="1">IF(ISNUMBER(A641),IFERROR(_xlfn._xlws.FILTER(Equipar!A:A,(Equipar!B:B=2)*(Equipar!AC:AC=A641)),""),"")</f>
        <v/>
      </c>
    </row>
    <row r="642" spans="1:10" x14ac:dyDescent="0.25">
      <c r="A642" s="1" t="str">
        <f ca="1">IF(A641="ID",1,IF(ISBLANK(B642),"",MAX(A$2:A641)+1))</f>
        <v/>
      </c>
      <c r="I642" s="2" t="str">
        <f ca="1">IF(ISNUMBER(A642),
IF(COUNTIFS(Equipar!B:B,2,Equipar!AC:AC,A642),"Equipada",
IF(
  OR(COUNTIFS(Equipar!B:B,2,Equipar!C:C,A642)
 +COUNTIFS(Equipar!B:B,2,Equipar!D:D,A642)
+COUNTIFS(Equipar!B:B,2,Equipar!E:E,A642)
+COUNTIFS(Equipar!B:B,2,Equipar!F:F,A642)
&gt;0,COUNTIF('Set recomendado'!B:B,C642)=0),
"Bloqueada",
"Desechable")),""
)</f>
        <v/>
      </c>
      <c r="J642" t="str" cm="1">
        <f t="array" aca="1" ref="J642" ca="1">IF(ISNUMBER(A642),IFERROR(_xlfn._xlws.FILTER(Equipar!A:A,(Equipar!B:B=2)*(Equipar!AC:AC=A642)),""),"")</f>
        <v/>
      </c>
    </row>
    <row r="643" spans="1:10" x14ac:dyDescent="0.25">
      <c r="A643" s="1" t="str">
        <f ca="1">IF(A642="ID",1,IF(ISBLANK(B643),"",MAX(A$2:A642)+1))</f>
        <v/>
      </c>
      <c r="I643" s="2" t="str">
        <f ca="1">IF(ISNUMBER(A643),
IF(COUNTIFS(Equipar!B:B,2,Equipar!AC:AC,A643),"Equipada",
IF(
  OR(COUNTIFS(Equipar!B:B,2,Equipar!C:C,A643)
 +COUNTIFS(Equipar!B:B,2,Equipar!D:D,A643)
+COUNTIFS(Equipar!B:B,2,Equipar!E:E,A643)
+COUNTIFS(Equipar!B:B,2,Equipar!F:F,A643)
&gt;0,COUNTIF('Set recomendado'!B:B,C643)=0),
"Bloqueada",
"Desechable")),""
)</f>
        <v/>
      </c>
      <c r="J643" t="str" cm="1">
        <f t="array" aca="1" ref="J643" ca="1">IF(ISNUMBER(A643),IFERROR(_xlfn._xlws.FILTER(Equipar!A:A,(Equipar!B:B=2)*(Equipar!AC:AC=A643)),""),"")</f>
        <v/>
      </c>
    </row>
    <row r="644" spans="1:10" x14ac:dyDescent="0.25">
      <c r="A644" s="1" t="str">
        <f ca="1">IF(A643="ID",1,IF(ISBLANK(B644),"",MAX(A$2:A643)+1))</f>
        <v/>
      </c>
      <c r="I644" s="2" t="str">
        <f ca="1">IF(ISNUMBER(A644),
IF(COUNTIFS(Equipar!B:B,2,Equipar!AC:AC,A644),"Equipada",
IF(
  OR(COUNTIFS(Equipar!B:B,2,Equipar!C:C,A644)
 +COUNTIFS(Equipar!B:B,2,Equipar!D:D,A644)
+COUNTIFS(Equipar!B:B,2,Equipar!E:E,A644)
+COUNTIFS(Equipar!B:B,2,Equipar!F:F,A644)
&gt;0,COUNTIF('Set recomendado'!B:B,C644)=0),
"Bloqueada",
"Desechable")),""
)</f>
        <v/>
      </c>
      <c r="J644" t="str" cm="1">
        <f t="array" aca="1" ref="J644" ca="1">IF(ISNUMBER(A644),IFERROR(_xlfn._xlws.FILTER(Equipar!A:A,(Equipar!B:B=2)*(Equipar!AC:AC=A644)),""),"")</f>
        <v/>
      </c>
    </row>
    <row r="645" spans="1:10" x14ac:dyDescent="0.25">
      <c r="A645" s="1" t="str">
        <f ca="1">IF(A644="ID",1,IF(ISBLANK(B645),"",MAX(A$2:A644)+1))</f>
        <v/>
      </c>
      <c r="I645" s="2" t="str">
        <f ca="1">IF(ISNUMBER(A645),
IF(COUNTIFS(Equipar!B:B,2,Equipar!AC:AC,A645),"Equipada",
IF(
  OR(COUNTIFS(Equipar!B:B,2,Equipar!C:C,A645)
 +COUNTIFS(Equipar!B:B,2,Equipar!D:D,A645)
+COUNTIFS(Equipar!B:B,2,Equipar!E:E,A645)
+COUNTIFS(Equipar!B:B,2,Equipar!F:F,A645)
&gt;0,COUNTIF('Set recomendado'!B:B,C645)=0),
"Bloqueada",
"Desechable")),""
)</f>
        <v/>
      </c>
      <c r="J645" t="str" cm="1">
        <f t="array" aca="1" ref="J645" ca="1">IF(ISNUMBER(A645),IFERROR(_xlfn._xlws.FILTER(Equipar!A:A,(Equipar!B:B=2)*(Equipar!AC:AC=A645)),""),"")</f>
        <v/>
      </c>
    </row>
    <row r="646" spans="1:10" x14ac:dyDescent="0.25">
      <c r="A646" s="1" t="str">
        <f ca="1">IF(A645="ID",1,IF(ISBLANK(B646),"",MAX(A$2:A645)+1))</f>
        <v/>
      </c>
      <c r="I646" s="2" t="str">
        <f ca="1">IF(ISNUMBER(A646),
IF(COUNTIFS(Equipar!B:B,2,Equipar!AC:AC,A646),"Equipada",
IF(
  OR(COUNTIFS(Equipar!B:B,2,Equipar!C:C,A646)
 +COUNTIFS(Equipar!B:B,2,Equipar!D:D,A646)
+COUNTIFS(Equipar!B:B,2,Equipar!E:E,A646)
+COUNTIFS(Equipar!B:B,2,Equipar!F:F,A646)
&gt;0,COUNTIF('Set recomendado'!B:B,C646)=0),
"Bloqueada",
"Desechable")),""
)</f>
        <v/>
      </c>
      <c r="J646" t="str" cm="1">
        <f t="array" aca="1" ref="J646" ca="1">IF(ISNUMBER(A646),IFERROR(_xlfn._xlws.FILTER(Equipar!A:A,(Equipar!B:B=2)*(Equipar!AC:AC=A646)),""),"")</f>
        <v/>
      </c>
    </row>
    <row r="647" spans="1:10" x14ac:dyDescent="0.25">
      <c r="A647" s="1" t="str">
        <f ca="1">IF(A646="ID",1,IF(ISBLANK(B647),"",MAX(A$2:A646)+1))</f>
        <v/>
      </c>
      <c r="I647" s="2" t="str">
        <f ca="1">IF(ISNUMBER(A647),
IF(COUNTIFS(Equipar!B:B,2,Equipar!AC:AC,A647),"Equipada",
IF(
  OR(COUNTIFS(Equipar!B:B,2,Equipar!C:C,A647)
 +COUNTIFS(Equipar!B:B,2,Equipar!D:D,A647)
+COUNTIFS(Equipar!B:B,2,Equipar!E:E,A647)
+COUNTIFS(Equipar!B:B,2,Equipar!F:F,A647)
&gt;0,COUNTIF('Set recomendado'!B:B,C647)=0),
"Bloqueada",
"Desechable")),""
)</f>
        <v/>
      </c>
      <c r="J647" t="str" cm="1">
        <f t="array" aca="1" ref="J647" ca="1">IF(ISNUMBER(A647),IFERROR(_xlfn._xlws.FILTER(Equipar!A:A,(Equipar!B:B=2)*(Equipar!AC:AC=A647)),""),"")</f>
        <v/>
      </c>
    </row>
    <row r="648" spans="1:10" x14ac:dyDescent="0.25">
      <c r="A648" s="1" t="str">
        <f ca="1">IF(A647="ID",1,IF(ISBLANK(B648),"",MAX(A$2:A647)+1))</f>
        <v/>
      </c>
      <c r="I648" s="2" t="str">
        <f ca="1">IF(ISNUMBER(A648),
IF(COUNTIFS(Equipar!B:B,2,Equipar!AC:AC,A648),"Equipada",
IF(
  OR(COUNTIFS(Equipar!B:B,2,Equipar!C:C,A648)
 +COUNTIFS(Equipar!B:B,2,Equipar!D:D,A648)
+COUNTIFS(Equipar!B:B,2,Equipar!E:E,A648)
+COUNTIFS(Equipar!B:B,2,Equipar!F:F,A648)
&gt;0,COUNTIF('Set recomendado'!B:B,C648)=0),
"Bloqueada",
"Desechable")),""
)</f>
        <v/>
      </c>
      <c r="J648" t="str" cm="1">
        <f t="array" aca="1" ref="J648" ca="1">IF(ISNUMBER(A648),IFERROR(_xlfn._xlws.FILTER(Equipar!A:A,(Equipar!B:B=2)*(Equipar!AC:AC=A648)),""),"")</f>
        <v/>
      </c>
    </row>
    <row r="649" spans="1:10" x14ac:dyDescent="0.25">
      <c r="A649" s="1" t="str">
        <f ca="1">IF(A648="ID",1,IF(ISBLANK(B649),"",MAX(A$2:A648)+1))</f>
        <v/>
      </c>
      <c r="I649" s="2" t="str">
        <f ca="1">IF(ISNUMBER(A649),
IF(COUNTIFS(Equipar!B:B,2,Equipar!AC:AC,A649),"Equipada",
IF(
  OR(COUNTIFS(Equipar!B:B,2,Equipar!C:C,A649)
 +COUNTIFS(Equipar!B:B,2,Equipar!D:D,A649)
+COUNTIFS(Equipar!B:B,2,Equipar!E:E,A649)
+COUNTIFS(Equipar!B:B,2,Equipar!F:F,A649)
&gt;0,COUNTIF('Set recomendado'!B:B,C649)=0),
"Bloqueada",
"Desechable")),""
)</f>
        <v/>
      </c>
      <c r="J649" t="str" cm="1">
        <f t="array" aca="1" ref="J649" ca="1">IF(ISNUMBER(A649),IFERROR(_xlfn._xlws.FILTER(Equipar!A:A,(Equipar!B:B=2)*(Equipar!AC:AC=A649)),""),"")</f>
        <v/>
      </c>
    </row>
    <row r="650" spans="1:10" x14ac:dyDescent="0.25">
      <c r="A650" s="1" t="str">
        <f ca="1">IF(A649="ID",1,IF(ISBLANK(B650),"",MAX(A$2:A649)+1))</f>
        <v/>
      </c>
      <c r="I650" s="2" t="str">
        <f ca="1">IF(ISNUMBER(A650),
IF(COUNTIFS(Equipar!B:B,2,Equipar!AC:AC,A650),"Equipada",
IF(
  OR(COUNTIFS(Equipar!B:B,2,Equipar!C:C,A650)
 +COUNTIFS(Equipar!B:B,2,Equipar!D:D,A650)
+COUNTIFS(Equipar!B:B,2,Equipar!E:E,A650)
+COUNTIFS(Equipar!B:B,2,Equipar!F:F,A650)
&gt;0,COUNTIF('Set recomendado'!B:B,C650)=0),
"Bloqueada",
"Desechable")),""
)</f>
        <v/>
      </c>
      <c r="J650" t="str" cm="1">
        <f t="array" aca="1" ref="J650" ca="1">IF(ISNUMBER(A650),IFERROR(_xlfn._xlws.FILTER(Equipar!A:A,(Equipar!B:B=2)*(Equipar!AC:AC=A650)),""),"")</f>
        <v/>
      </c>
    </row>
    <row r="651" spans="1:10" x14ac:dyDescent="0.25">
      <c r="A651" s="1" t="str">
        <f ca="1">IF(A650="ID",1,IF(ISBLANK(B651),"",MAX(A$2:A650)+1))</f>
        <v/>
      </c>
      <c r="I651" s="2" t="str">
        <f ca="1">IF(ISNUMBER(A651),
IF(COUNTIFS(Equipar!B:B,2,Equipar!AC:AC,A651),"Equipada",
IF(
  OR(COUNTIFS(Equipar!B:B,2,Equipar!C:C,A651)
 +COUNTIFS(Equipar!B:B,2,Equipar!D:D,A651)
+COUNTIFS(Equipar!B:B,2,Equipar!E:E,A651)
+COUNTIFS(Equipar!B:B,2,Equipar!F:F,A651)
&gt;0,COUNTIF('Set recomendado'!B:B,C651)=0),
"Bloqueada",
"Desechable")),""
)</f>
        <v/>
      </c>
      <c r="J651" t="str" cm="1">
        <f t="array" aca="1" ref="J651" ca="1">IF(ISNUMBER(A651),IFERROR(_xlfn._xlws.FILTER(Equipar!A:A,(Equipar!B:B=2)*(Equipar!AC:AC=A651)),""),"")</f>
        <v/>
      </c>
    </row>
    <row r="652" spans="1:10" x14ac:dyDescent="0.25">
      <c r="A652" s="1" t="str">
        <f ca="1">IF(A651="ID",1,IF(ISBLANK(B652),"",MAX(A$2:A651)+1))</f>
        <v/>
      </c>
      <c r="I652" s="2" t="str">
        <f ca="1">IF(ISNUMBER(A652),
IF(COUNTIFS(Equipar!B:B,2,Equipar!AC:AC,A652),"Equipada",
IF(
  OR(COUNTIFS(Equipar!B:B,2,Equipar!C:C,A652)
 +COUNTIFS(Equipar!B:B,2,Equipar!D:D,A652)
+COUNTIFS(Equipar!B:B,2,Equipar!E:E,A652)
+COUNTIFS(Equipar!B:B,2,Equipar!F:F,A652)
&gt;0,COUNTIF('Set recomendado'!B:B,C652)=0),
"Bloqueada",
"Desechable")),""
)</f>
        <v/>
      </c>
      <c r="J652" t="str" cm="1">
        <f t="array" aca="1" ref="J652" ca="1">IF(ISNUMBER(A652),IFERROR(_xlfn._xlws.FILTER(Equipar!A:A,(Equipar!B:B=2)*(Equipar!AC:AC=A652)),""),"")</f>
        <v/>
      </c>
    </row>
    <row r="653" spans="1:10" x14ac:dyDescent="0.25">
      <c r="A653" s="1" t="str">
        <f ca="1">IF(A652="ID",1,IF(ISBLANK(B653),"",MAX(A$2:A652)+1))</f>
        <v/>
      </c>
      <c r="I653" s="2" t="str">
        <f ca="1">IF(ISNUMBER(A653),
IF(COUNTIFS(Equipar!B:B,2,Equipar!AC:AC,A653),"Equipada",
IF(
  OR(COUNTIFS(Equipar!B:B,2,Equipar!C:C,A653)
 +COUNTIFS(Equipar!B:B,2,Equipar!D:D,A653)
+COUNTIFS(Equipar!B:B,2,Equipar!E:E,A653)
+COUNTIFS(Equipar!B:B,2,Equipar!F:F,A653)
&gt;0,COUNTIF('Set recomendado'!B:B,C653)=0),
"Bloqueada",
"Desechable")),""
)</f>
        <v/>
      </c>
      <c r="J653" t="str" cm="1">
        <f t="array" aca="1" ref="J653" ca="1">IF(ISNUMBER(A653),IFERROR(_xlfn._xlws.FILTER(Equipar!A:A,(Equipar!B:B=2)*(Equipar!AC:AC=A653)),""),"")</f>
        <v/>
      </c>
    </row>
    <row r="654" spans="1:10" x14ac:dyDescent="0.25">
      <c r="A654" s="1" t="str">
        <f ca="1">IF(A653="ID",1,IF(ISBLANK(B654),"",MAX(A$2:A653)+1))</f>
        <v/>
      </c>
      <c r="I654" s="2" t="str">
        <f ca="1">IF(ISNUMBER(A654),
IF(COUNTIFS(Equipar!B:B,2,Equipar!AC:AC,A654),"Equipada",
IF(
  OR(COUNTIFS(Equipar!B:B,2,Equipar!C:C,A654)
 +COUNTIFS(Equipar!B:B,2,Equipar!D:D,A654)
+COUNTIFS(Equipar!B:B,2,Equipar!E:E,A654)
+COUNTIFS(Equipar!B:B,2,Equipar!F:F,A654)
&gt;0,COUNTIF('Set recomendado'!B:B,C654)=0),
"Bloqueada",
"Desechable")),""
)</f>
        <v/>
      </c>
      <c r="J654" t="str" cm="1">
        <f t="array" aca="1" ref="J654" ca="1">IF(ISNUMBER(A654),IFERROR(_xlfn._xlws.FILTER(Equipar!A:A,(Equipar!B:B=2)*(Equipar!AC:AC=A654)),""),"")</f>
        <v/>
      </c>
    </row>
    <row r="655" spans="1:10" x14ac:dyDescent="0.25">
      <c r="A655" s="1" t="str">
        <f ca="1">IF(A654="ID",1,IF(ISBLANK(B655),"",MAX(A$2:A654)+1))</f>
        <v/>
      </c>
      <c r="I655" s="2" t="str">
        <f ca="1">IF(ISNUMBER(A655),
IF(COUNTIFS(Equipar!B:B,2,Equipar!AC:AC,A655),"Equipada",
IF(
  OR(COUNTIFS(Equipar!B:B,2,Equipar!C:C,A655)
 +COUNTIFS(Equipar!B:B,2,Equipar!D:D,A655)
+COUNTIFS(Equipar!B:B,2,Equipar!E:E,A655)
+COUNTIFS(Equipar!B:B,2,Equipar!F:F,A655)
&gt;0,COUNTIF('Set recomendado'!B:B,C655)=0),
"Bloqueada",
"Desechable")),""
)</f>
        <v/>
      </c>
      <c r="J655" t="str" cm="1">
        <f t="array" aca="1" ref="J655" ca="1">IF(ISNUMBER(A655),IFERROR(_xlfn._xlws.FILTER(Equipar!A:A,(Equipar!B:B=2)*(Equipar!AC:AC=A655)),""),"")</f>
        <v/>
      </c>
    </row>
    <row r="656" spans="1:10" x14ac:dyDescent="0.25">
      <c r="A656" s="1" t="str">
        <f ca="1">IF(A655="ID",1,IF(ISBLANK(B656),"",MAX(A$2:A655)+1))</f>
        <v/>
      </c>
      <c r="I656" s="2" t="str">
        <f ca="1">IF(ISNUMBER(A656),
IF(COUNTIFS(Equipar!B:B,2,Equipar!AC:AC,A656),"Equipada",
IF(
  OR(COUNTIFS(Equipar!B:B,2,Equipar!C:C,A656)
 +COUNTIFS(Equipar!B:B,2,Equipar!D:D,A656)
+COUNTIFS(Equipar!B:B,2,Equipar!E:E,A656)
+COUNTIFS(Equipar!B:B,2,Equipar!F:F,A656)
&gt;0,COUNTIF('Set recomendado'!B:B,C656)=0),
"Bloqueada",
"Desechable")),""
)</f>
        <v/>
      </c>
      <c r="J656" t="str" cm="1">
        <f t="array" aca="1" ref="J656" ca="1">IF(ISNUMBER(A656),IFERROR(_xlfn._xlws.FILTER(Equipar!A:A,(Equipar!B:B=2)*(Equipar!AC:AC=A656)),""),"")</f>
        <v/>
      </c>
    </row>
    <row r="657" spans="1:10" x14ac:dyDescent="0.25">
      <c r="A657" s="1" t="str">
        <f ca="1">IF(A656="ID",1,IF(ISBLANK(B657),"",MAX(A$2:A656)+1))</f>
        <v/>
      </c>
      <c r="I657" s="2" t="str">
        <f ca="1">IF(ISNUMBER(A657),
IF(COUNTIFS(Equipar!B:B,2,Equipar!AC:AC,A657),"Equipada",
IF(
  OR(COUNTIFS(Equipar!B:B,2,Equipar!C:C,A657)
 +COUNTIFS(Equipar!B:B,2,Equipar!D:D,A657)
+COUNTIFS(Equipar!B:B,2,Equipar!E:E,A657)
+COUNTIFS(Equipar!B:B,2,Equipar!F:F,A657)
&gt;0,COUNTIF('Set recomendado'!B:B,C657)=0),
"Bloqueada",
"Desechable")),""
)</f>
        <v/>
      </c>
      <c r="J657" t="str" cm="1">
        <f t="array" aca="1" ref="J657" ca="1">IF(ISNUMBER(A657),IFERROR(_xlfn._xlws.FILTER(Equipar!A:A,(Equipar!B:B=2)*(Equipar!AC:AC=A657)),""),"")</f>
        <v/>
      </c>
    </row>
    <row r="658" spans="1:10" x14ac:dyDescent="0.25">
      <c r="A658" s="1" t="str">
        <f ca="1">IF(A657="ID",1,IF(ISBLANK(B658),"",MAX(A$2:A657)+1))</f>
        <v/>
      </c>
      <c r="I658" s="2" t="str">
        <f ca="1">IF(ISNUMBER(A658),
IF(COUNTIFS(Equipar!B:B,2,Equipar!AC:AC,A658),"Equipada",
IF(
  OR(COUNTIFS(Equipar!B:B,2,Equipar!C:C,A658)
 +COUNTIFS(Equipar!B:B,2,Equipar!D:D,A658)
+COUNTIFS(Equipar!B:B,2,Equipar!E:E,A658)
+COUNTIFS(Equipar!B:B,2,Equipar!F:F,A658)
&gt;0,COUNTIF('Set recomendado'!B:B,C658)=0),
"Bloqueada",
"Desechable")),""
)</f>
        <v/>
      </c>
      <c r="J658" t="str" cm="1">
        <f t="array" aca="1" ref="J658" ca="1">IF(ISNUMBER(A658),IFERROR(_xlfn._xlws.FILTER(Equipar!A:A,(Equipar!B:B=2)*(Equipar!AC:AC=A658)),""),"")</f>
        <v/>
      </c>
    </row>
    <row r="659" spans="1:10" x14ac:dyDescent="0.25">
      <c r="A659" s="1" t="str">
        <f ca="1">IF(A658="ID",1,IF(ISBLANK(B659),"",MAX(A$2:A658)+1))</f>
        <v/>
      </c>
      <c r="I659" s="2" t="str">
        <f ca="1">IF(ISNUMBER(A659),
IF(COUNTIFS(Equipar!B:B,2,Equipar!AC:AC,A659),"Equipada",
IF(
  OR(COUNTIFS(Equipar!B:B,2,Equipar!C:C,A659)
 +COUNTIFS(Equipar!B:B,2,Equipar!D:D,A659)
+COUNTIFS(Equipar!B:B,2,Equipar!E:E,A659)
+COUNTIFS(Equipar!B:B,2,Equipar!F:F,A659)
&gt;0,COUNTIF('Set recomendado'!B:B,C659)=0),
"Bloqueada",
"Desechable")),""
)</f>
        <v/>
      </c>
      <c r="J659" t="str" cm="1">
        <f t="array" aca="1" ref="J659" ca="1">IF(ISNUMBER(A659),IFERROR(_xlfn._xlws.FILTER(Equipar!A:A,(Equipar!B:B=2)*(Equipar!AC:AC=A659)),""),"")</f>
        <v/>
      </c>
    </row>
    <row r="660" spans="1:10" x14ac:dyDescent="0.25">
      <c r="A660" s="1" t="str">
        <f ca="1">IF(A659="ID",1,IF(ISBLANK(B660),"",MAX(A$2:A659)+1))</f>
        <v/>
      </c>
      <c r="I660" s="2" t="str">
        <f ca="1">IF(ISNUMBER(A660),
IF(COUNTIFS(Equipar!B:B,2,Equipar!AC:AC,A660),"Equipada",
IF(
  OR(COUNTIFS(Equipar!B:B,2,Equipar!C:C,A660)
 +COUNTIFS(Equipar!B:B,2,Equipar!D:D,A660)
+COUNTIFS(Equipar!B:B,2,Equipar!E:E,A660)
+COUNTIFS(Equipar!B:B,2,Equipar!F:F,A660)
&gt;0,COUNTIF('Set recomendado'!B:B,C660)=0),
"Bloqueada",
"Desechable")),""
)</f>
        <v/>
      </c>
      <c r="J660" t="str" cm="1">
        <f t="array" aca="1" ref="J660" ca="1">IF(ISNUMBER(A660),IFERROR(_xlfn._xlws.FILTER(Equipar!A:A,(Equipar!B:B=2)*(Equipar!AC:AC=A660)),""),"")</f>
        <v/>
      </c>
    </row>
    <row r="661" spans="1:10" x14ac:dyDescent="0.25">
      <c r="A661" s="1" t="str">
        <f ca="1">IF(A660="ID",1,IF(ISBLANK(B661),"",MAX(A$2:A660)+1))</f>
        <v/>
      </c>
      <c r="I661" s="2" t="str">
        <f ca="1">IF(ISNUMBER(A661),
IF(COUNTIFS(Equipar!B:B,2,Equipar!AC:AC,A661),"Equipada",
IF(
  OR(COUNTIFS(Equipar!B:B,2,Equipar!C:C,A661)
 +COUNTIFS(Equipar!B:B,2,Equipar!D:D,A661)
+COUNTIFS(Equipar!B:B,2,Equipar!E:E,A661)
+COUNTIFS(Equipar!B:B,2,Equipar!F:F,A661)
&gt;0,COUNTIF('Set recomendado'!B:B,C661)=0),
"Bloqueada",
"Desechable")),""
)</f>
        <v/>
      </c>
      <c r="J661" t="str" cm="1">
        <f t="array" aca="1" ref="J661" ca="1">IF(ISNUMBER(A661),IFERROR(_xlfn._xlws.FILTER(Equipar!A:A,(Equipar!B:B=2)*(Equipar!AC:AC=A661)),""),"")</f>
        <v/>
      </c>
    </row>
    <row r="662" spans="1:10" x14ac:dyDescent="0.25">
      <c r="A662" s="1" t="str">
        <f ca="1">IF(A661="ID",1,IF(ISBLANK(B662),"",MAX(A$2:A661)+1))</f>
        <v/>
      </c>
      <c r="I662" s="2" t="str">
        <f ca="1">IF(ISNUMBER(A662),
IF(COUNTIFS(Equipar!B:B,2,Equipar!AC:AC,A662),"Equipada",
IF(
  OR(COUNTIFS(Equipar!B:B,2,Equipar!C:C,A662)
 +COUNTIFS(Equipar!B:B,2,Equipar!D:D,A662)
+COUNTIFS(Equipar!B:B,2,Equipar!E:E,A662)
+COUNTIFS(Equipar!B:B,2,Equipar!F:F,A662)
&gt;0,COUNTIF('Set recomendado'!B:B,C662)=0),
"Bloqueada",
"Desechable")),""
)</f>
        <v/>
      </c>
      <c r="J662" t="str" cm="1">
        <f t="array" aca="1" ref="J662" ca="1">IF(ISNUMBER(A662),IFERROR(_xlfn._xlws.FILTER(Equipar!A:A,(Equipar!B:B=2)*(Equipar!AC:AC=A662)),""),"")</f>
        <v/>
      </c>
    </row>
    <row r="663" spans="1:10" x14ac:dyDescent="0.25">
      <c r="A663" s="1" t="str">
        <f ca="1">IF(A662="ID",1,IF(ISBLANK(B663),"",MAX(A$2:A662)+1))</f>
        <v/>
      </c>
      <c r="I663" s="2" t="str">
        <f ca="1">IF(ISNUMBER(A663),
IF(COUNTIFS(Equipar!B:B,2,Equipar!AC:AC,A663),"Equipada",
IF(
  OR(COUNTIFS(Equipar!B:B,2,Equipar!C:C,A663)
 +COUNTIFS(Equipar!B:B,2,Equipar!D:D,A663)
+COUNTIFS(Equipar!B:B,2,Equipar!E:E,A663)
+COUNTIFS(Equipar!B:B,2,Equipar!F:F,A663)
&gt;0,COUNTIF('Set recomendado'!B:B,C663)=0),
"Bloqueada",
"Desechable")),""
)</f>
        <v/>
      </c>
      <c r="J663" t="str" cm="1">
        <f t="array" aca="1" ref="J663" ca="1">IF(ISNUMBER(A663),IFERROR(_xlfn._xlws.FILTER(Equipar!A:A,(Equipar!B:B=2)*(Equipar!AC:AC=A663)),""),"")</f>
        <v/>
      </c>
    </row>
    <row r="664" spans="1:10" x14ac:dyDescent="0.25">
      <c r="A664" s="1" t="str">
        <f ca="1">IF(A663="ID",1,IF(ISBLANK(B664),"",MAX(A$2:A663)+1))</f>
        <v/>
      </c>
      <c r="I664" s="2" t="str">
        <f ca="1">IF(ISNUMBER(A664),
IF(COUNTIFS(Equipar!B:B,2,Equipar!AC:AC,A664),"Equipada",
IF(
  OR(COUNTIFS(Equipar!B:B,2,Equipar!C:C,A664)
 +COUNTIFS(Equipar!B:B,2,Equipar!D:D,A664)
+COUNTIFS(Equipar!B:B,2,Equipar!E:E,A664)
+COUNTIFS(Equipar!B:B,2,Equipar!F:F,A664)
&gt;0,COUNTIF('Set recomendado'!B:B,C664)=0),
"Bloqueada",
"Desechable")),""
)</f>
        <v/>
      </c>
      <c r="J664" t="str" cm="1">
        <f t="array" aca="1" ref="J664" ca="1">IF(ISNUMBER(A664),IFERROR(_xlfn._xlws.FILTER(Equipar!A:A,(Equipar!B:B=2)*(Equipar!AC:AC=A664)),""),"")</f>
        <v/>
      </c>
    </row>
    <row r="665" spans="1:10" x14ac:dyDescent="0.25">
      <c r="A665" s="1" t="str">
        <f ca="1">IF(A664="ID",1,IF(ISBLANK(B665),"",MAX(A$2:A664)+1))</f>
        <v/>
      </c>
      <c r="I665" s="2" t="str">
        <f ca="1">IF(ISNUMBER(A665),
IF(COUNTIFS(Equipar!B:B,2,Equipar!AC:AC,A665),"Equipada",
IF(
  OR(COUNTIFS(Equipar!B:B,2,Equipar!C:C,A665)
 +COUNTIFS(Equipar!B:B,2,Equipar!D:D,A665)
+COUNTIFS(Equipar!B:B,2,Equipar!E:E,A665)
+COUNTIFS(Equipar!B:B,2,Equipar!F:F,A665)
&gt;0,COUNTIF('Set recomendado'!B:B,C665)=0),
"Bloqueada",
"Desechable")),""
)</f>
        <v/>
      </c>
      <c r="J665" t="str" cm="1">
        <f t="array" aca="1" ref="J665" ca="1">IF(ISNUMBER(A665),IFERROR(_xlfn._xlws.FILTER(Equipar!A:A,(Equipar!B:B=2)*(Equipar!AC:AC=A665)),""),"")</f>
        <v/>
      </c>
    </row>
    <row r="666" spans="1:10" x14ac:dyDescent="0.25">
      <c r="A666" s="1" t="str">
        <f ca="1">IF(A665="ID",1,IF(ISBLANK(B666),"",MAX(A$2:A665)+1))</f>
        <v/>
      </c>
      <c r="I666" s="2" t="str">
        <f ca="1">IF(ISNUMBER(A666),
IF(COUNTIFS(Equipar!B:B,2,Equipar!AC:AC,A666),"Equipada",
IF(
  OR(COUNTIFS(Equipar!B:B,2,Equipar!C:C,A666)
 +COUNTIFS(Equipar!B:B,2,Equipar!D:D,A666)
+COUNTIFS(Equipar!B:B,2,Equipar!E:E,A666)
+COUNTIFS(Equipar!B:B,2,Equipar!F:F,A666)
&gt;0,COUNTIF('Set recomendado'!B:B,C666)=0),
"Bloqueada",
"Desechable")),""
)</f>
        <v/>
      </c>
      <c r="J666" t="str" cm="1">
        <f t="array" aca="1" ref="J666" ca="1">IF(ISNUMBER(A666),IFERROR(_xlfn._xlws.FILTER(Equipar!A:A,(Equipar!B:B=2)*(Equipar!AC:AC=A666)),""),"")</f>
        <v/>
      </c>
    </row>
    <row r="667" spans="1:10" x14ac:dyDescent="0.25">
      <c r="A667" s="1" t="str">
        <f ca="1">IF(A666="ID",1,IF(ISBLANK(B667),"",MAX(A$2:A666)+1))</f>
        <v/>
      </c>
      <c r="I667" s="2" t="str">
        <f ca="1">IF(ISNUMBER(A667),
IF(COUNTIFS(Equipar!B:B,2,Equipar!AC:AC,A667),"Equipada",
IF(
  OR(COUNTIFS(Equipar!B:B,2,Equipar!C:C,A667)
 +COUNTIFS(Equipar!B:B,2,Equipar!D:D,A667)
+COUNTIFS(Equipar!B:B,2,Equipar!E:E,A667)
+COUNTIFS(Equipar!B:B,2,Equipar!F:F,A667)
&gt;0,COUNTIF('Set recomendado'!B:B,C667)=0),
"Bloqueada",
"Desechable")),""
)</f>
        <v/>
      </c>
      <c r="J667" t="str" cm="1">
        <f t="array" aca="1" ref="J667" ca="1">IF(ISNUMBER(A667),IFERROR(_xlfn._xlws.FILTER(Equipar!A:A,(Equipar!B:B=2)*(Equipar!AC:AC=A667)),""),"")</f>
        <v/>
      </c>
    </row>
    <row r="668" spans="1:10" x14ac:dyDescent="0.25">
      <c r="A668" s="1" t="str">
        <f ca="1">IF(A667="ID",1,IF(ISBLANK(B668),"",MAX(A$2:A667)+1))</f>
        <v/>
      </c>
      <c r="I668" s="2" t="str">
        <f ca="1">IF(ISNUMBER(A668),
IF(COUNTIFS(Equipar!B:B,2,Equipar!AC:AC,A668),"Equipada",
IF(
  OR(COUNTIFS(Equipar!B:B,2,Equipar!C:C,A668)
 +COUNTIFS(Equipar!B:B,2,Equipar!D:D,A668)
+COUNTIFS(Equipar!B:B,2,Equipar!E:E,A668)
+COUNTIFS(Equipar!B:B,2,Equipar!F:F,A668)
&gt;0,COUNTIF('Set recomendado'!B:B,C668)=0),
"Bloqueada",
"Desechable")),""
)</f>
        <v/>
      </c>
      <c r="J668" t="str" cm="1">
        <f t="array" aca="1" ref="J668" ca="1">IF(ISNUMBER(A668),IFERROR(_xlfn._xlws.FILTER(Equipar!A:A,(Equipar!B:B=2)*(Equipar!AC:AC=A668)),""),"")</f>
        <v/>
      </c>
    </row>
    <row r="669" spans="1:10" x14ac:dyDescent="0.25">
      <c r="A669" s="1" t="str">
        <f ca="1">IF(A668="ID",1,IF(ISBLANK(B669),"",MAX(A$2:A668)+1))</f>
        <v/>
      </c>
      <c r="I669" s="2" t="str">
        <f ca="1">IF(ISNUMBER(A669),
IF(COUNTIFS(Equipar!B:B,2,Equipar!AC:AC,A669),"Equipada",
IF(
  OR(COUNTIFS(Equipar!B:B,2,Equipar!C:C,A669)
 +COUNTIFS(Equipar!B:B,2,Equipar!D:D,A669)
+COUNTIFS(Equipar!B:B,2,Equipar!E:E,A669)
+COUNTIFS(Equipar!B:B,2,Equipar!F:F,A669)
&gt;0,COUNTIF('Set recomendado'!B:B,C669)=0),
"Bloqueada",
"Desechable")),""
)</f>
        <v/>
      </c>
      <c r="J669" t="str" cm="1">
        <f t="array" aca="1" ref="J669" ca="1">IF(ISNUMBER(A669),IFERROR(_xlfn._xlws.FILTER(Equipar!A:A,(Equipar!B:B=2)*(Equipar!AC:AC=A669)),""),"")</f>
        <v/>
      </c>
    </row>
    <row r="670" spans="1:10" x14ac:dyDescent="0.25">
      <c r="A670" s="1" t="str">
        <f ca="1">IF(A669="ID",1,IF(ISBLANK(B670),"",MAX(A$2:A669)+1))</f>
        <v/>
      </c>
      <c r="I670" s="2" t="str">
        <f ca="1">IF(ISNUMBER(A670),
IF(COUNTIFS(Equipar!B:B,2,Equipar!AC:AC,A670),"Equipada",
IF(
  OR(COUNTIFS(Equipar!B:B,2,Equipar!C:C,A670)
 +COUNTIFS(Equipar!B:B,2,Equipar!D:D,A670)
+COUNTIFS(Equipar!B:B,2,Equipar!E:E,A670)
+COUNTIFS(Equipar!B:B,2,Equipar!F:F,A670)
&gt;0,COUNTIF('Set recomendado'!B:B,C670)=0),
"Bloqueada",
"Desechable")),""
)</f>
        <v/>
      </c>
      <c r="J670" t="str" cm="1">
        <f t="array" aca="1" ref="J670" ca="1">IF(ISNUMBER(A670),IFERROR(_xlfn._xlws.FILTER(Equipar!A:A,(Equipar!B:B=2)*(Equipar!AC:AC=A670)),""),"")</f>
        <v/>
      </c>
    </row>
    <row r="671" spans="1:10" x14ac:dyDescent="0.25">
      <c r="A671" s="1" t="str">
        <f ca="1">IF(A670="ID",1,IF(ISBLANK(B671),"",MAX(A$2:A670)+1))</f>
        <v/>
      </c>
      <c r="I671" s="2" t="str">
        <f ca="1">IF(ISNUMBER(A671),
IF(COUNTIFS(Equipar!B:B,2,Equipar!AC:AC,A671),"Equipada",
IF(
  OR(COUNTIFS(Equipar!B:B,2,Equipar!C:C,A671)
 +COUNTIFS(Equipar!B:B,2,Equipar!D:D,A671)
+COUNTIFS(Equipar!B:B,2,Equipar!E:E,A671)
+COUNTIFS(Equipar!B:B,2,Equipar!F:F,A671)
&gt;0,COUNTIF('Set recomendado'!B:B,C671)=0),
"Bloqueada",
"Desechable")),""
)</f>
        <v/>
      </c>
      <c r="J671" t="str" cm="1">
        <f t="array" aca="1" ref="J671" ca="1">IF(ISNUMBER(A671),IFERROR(_xlfn._xlws.FILTER(Equipar!A:A,(Equipar!B:B=2)*(Equipar!AC:AC=A671)),""),"")</f>
        <v/>
      </c>
    </row>
    <row r="672" spans="1:10" x14ac:dyDescent="0.25">
      <c r="A672" s="1" t="str">
        <f ca="1">IF(A671="ID",1,IF(ISBLANK(B672),"",MAX(A$2:A671)+1))</f>
        <v/>
      </c>
      <c r="I672" s="2" t="str">
        <f ca="1">IF(ISNUMBER(A672),
IF(COUNTIFS(Equipar!B:B,2,Equipar!AC:AC,A672),"Equipada",
IF(
  OR(COUNTIFS(Equipar!B:B,2,Equipar!C:C,A672)
 +COUNTIFS(Equipar!B:B,2,Equipar!D:D,A672)
+COUNTIFS(Equipar!B:B,2,Equipar!E:E,A672)
+COUNTIFS(Equipar!B:B,2,Equipar!F:F,A672)
&gt;0,COUNTIF('Set recomendado'!B:B,C672)=0),
"Bloqueada",
"Desechable")),""
)</f>
        <v/>
      </c>
      <c r="J672" t="str" cm="1">
        <f t="array" aca="1" ref="J672" ca="1">IF(ISNUMBER(A672),IFERROR(_xlfn._xlws.FILTER(Equipar!A:A,(Equipar!B:B=2)*(Equipar!AC:AC=A672)),""),"")</f>
        <v/>
      </c>
    </row>
    <row r="673" spans="1:10" x14ac:dyDescent="0.25">
      <c r="A673" s="1" t="str">
        <f ca="1">IF(A672="ID",1,IF(ISBLANK(B673),"",MAX(A$2:A672)+1))</f>
        <v/>
      </c>
      <c r="I673" s="2" t="str">
        <f ca="1">IF(ISNUMBER(A673),
IF(COUNTIFS(Equipar!B:B,2,Equipar!AC:AC,A673),"Equipada",
IF(
  OR(COUNTIFS(Equipar!B:B,2,Equipar!C:C,A673)
 +COUNTIFS(Equipar!B:B,2,Equipar!D:D,A673)
+COUNTIFS(Equipar!B:B,2,Equipar!E:E,A673)
+COUNTIFS(Equipar!B:B,2,Equipar!F:F,A673)
&gt;0,COUNTIF('Set recomendado'!B:B,C673)=0),
"Bloqueada",
"Desechable")),""
)</f>
        <v/>
      </c>
      <c r="J673" t="str" cm="1">
        <f t="array" aca="1" ref="J673" ca="1">IF(ISNUMBER(A673),IFERROR(_xlfn._xlws.FILTER(Equipar!A:A,(Equipar!B:B=2)*(Equipar!AC:AC=A673)),""),"")</f>
        <v/>
      </c>
    </row>
    <row r="674" spans="1:10" x14ac:dyDescent="0.25">
      <c r="A674" s="1" t="str">
        <f ca="1">IF(A673="ID",1,IF(ISBLANK(B674),"",MAX(A$2:A673)+1))</f>
        <v/>
      </c>
      <c r="I674" s="2" t="str">
        <f ca="1">IF(ISNUMBER(A674),
IF(COUNTIFS(Equipar!B:B,2,Equipar!AC:AC,A674),"Equipada",
IF(
  OR(COUNTIFS(Equipar!B:B,2,Equipar!C:C,A674)
 +COUNTIFS(Equipar!B:B,2,Equipar!D:D,A674)
+COUNTIFS(Equipar!B:B,2,Equipar!E:E,A674)
+COUNTIFS(Equipar!B:B,2,Equipar!F:F,A674)
&gt;0,COUNTIF('Set recomendado'!B:B,C674)=0),
"Bloqueada",
"Desechable")),""
)</f>
        <v/>
      </c>
      <c r="J674" t="str" cm="1">
        <f t="array" aca="1" ref="J674" ca="1">IF(ISNUMBER(A674),IFERROR(_xlfn._xlws.FILTER(Equipar!A:A,(Equipar!B:B=2)*(Equipar!AC:AC=A674)),""),"")</f>
        <v/>
      </c>
    </row>
    <row r="675" spans="1:10" x14ac:dyDescent="0.25">
      <c r="A675" s="1" t="str">
        <f ca="1">IF(A674="ID",1,IF(ISBLANK(B675),"",MAX(A$2:A674)+1))</f>
        <v/>
      </c>
      <c r="I675" s="2" t="str">
        <f ca="1">IF(ISNUMBER(A675),
IF(COUNTIFS(Equipar!B:B,2,Equipar!AC:AC,A675),"Equipada",
IF(
  OR(COUNTIFS(Equipar!B:B,2,Equipar!C:C,A675)
 +COUNTIFS(Equipar!B:B,2,Equipar!D:D,A675)
+COUNTIFS(Equipar!B:B,2,Equipar!E:E,A675)
+COUNTIFS(Equipar!B:B,2,Equipar!F:F,A675)
&gt;0,COUNTIF('Set recomendado'!B:B,C675)=0),
"Bloqueada",
"Desechable")),""
)</f>
        <v/>
      </c>
      <c r="J675" t="str" cm="1">
        <f t="array" aca="1" ref="J675" ca="1">IF(ISNUMBER(A675),IFERROR(_xlfn._xlws.FILTER(Equipar!A:A,(Equipar!B:B=2)*(Equipar!AC:AC=A675)),""),"")</f>
        <v/>
      </c>
    </row>
    <row r="676" spans="1:10" x14ac:dyDescent="0.25">
      <c r="A676" s="1" t="str">
        <f ca="1">IF(A675="ID",1,IF(ISBLANK(B676),"",MAX(A$2:A675)+1))</f>
        <v/>
      </c>
      <c r="I676" s="2" t="str">
        <f ca="1">IF(ISNUMBER(A676),
IF(COUNTIFS(Equipar!B:B,2,Equipar!AC:AC,A676),"Equipada",
IF(
  OR(COUNTIFS(Equipar!B:B,2,Equipar!C:C,A676)
 +COUNTIFS(Equipar!B:B,2,Equipar!D:D,A676)
+COUNTIFS(Equipar!B:B,2,Equipar!E:E,A676)
+COUNTIFS(Equipar!B:B,2,Equipar!F:F,A676)
&gt;0,COUNTIF('Set recomendado'!B:B,C676)=0),
"Bloqueada",
"Desechable")),""
)</f>
        <v/>
      </c>
      <c r="J676" t="str" cm="1">
        <f t="array" aca="1" ref="J676" ca="1">IF(ISNUMBER(A676),IFERROR(_xlfn._xlws.FILTER(Equipar!A:A,(Equipar!B:B=2)*(Equipar!AC:AC=A676)),""),"")</f>
        <v/>
      </c>
    </row>
    <row r="677" spans="1:10" x14ac:dyDescent="0.25">
      <c r="A677" s="1" t="str">
        <f ca="1">IF(A676="ID",1,IF(ISBLANK(B677),"",MAX(A$2:A676)+1))</f>
        <v/>
      </c>
      <c r="I677" s="2" t="str">
        <f ca="1">IF(ISNUMBER(A677),
IF(COUNTIFS(Equipar!B:B,2,Equipar!AC:AC,A677),"Equipada",
IF(
  OR(COUNTIFS(Equipar!B:B,2,Equipar!C:C,A677)
 +COUNTIFS(Equipar!B:B,2,Equipar!D:D,A677)
+COUNTIFS(Equipar!B:B,2,Equipar!E:E,A677)
+COUNTIFS(Equipar!B:B,2,Equipar!F:F,A677)
&gt;0,COUNTIF('Set recomendado'!B:B,C677)=0),
"Bloqueada",
"Desechable")),""
)</f>
        <v/>
      </c>
      <c r="J677" t="str" cm="1">
        <f t="array" aca="1" ref="J677" ca="1">IF(ISNUMBER(A677),IFERROR(_xlfn._xlws.FILTER(Equipar!A:A,(Equipar!B:B=2)*(Equipar!AC:AC=A677)),""),"")</f>
        <v/>
      </c>
    </row>
    <row r="678" spans="1:10" x14ac:dyDescent="0.25">
      <c r="A678" s="1" t="str">
        <f ca="1">IF(A677="ID",1,IF(ISBLANK(B678),"",MAX(A$2:A677)+1))</f>
        <v/>
      </c>
      <c r="I678" s="2" t="str">
        <f ca="1">IF(ISNUMBER(A678),
IF(COUNTIFS(Equipar!B:B,2,Equipar!AC:AC,A678),"Equipada",
IF(
  OR(COUNTIFS(Equipar!B:B,2,Equipar!C:C,A678)
 +COUNTIFS(Equipar!B:B,2,Equipar!D:D,A678)
+COUNTIFS(Equipar!B:B,2,Equipar!E:E,A678)
+COUNTIFS(Equipar!B:B,2,Equipar!F:F,A678)
&gt;0,COUNTIF('Set recomendado'!B:B,C678)=0),
"Bloqueada",
"Desechable")),""
)</f>
        <v/>
      </c>
      <c r="J678" t="str" cm="1">
        <f t="array" aca="1" ref="J678" ca="1">IF(ISNUMBER(A678),IFERROR(_xlfn._xlws.FILTER(Equipar!A:A,(Equipar!B:B=2)*(Equipar!AC:AC=A678)),""),"")</f>
        <v/>
      </c>
    </row>
    <row r="679" spans="1:10" x14ac:dyDescent="0.25">
      <c r="A679" s="1" t="str">
        <f ca="1">IF(A678="ID",1,IF(ISBLANK(B679),"",MAX(A$2:A678)+1))</f>
        <v/>
      </c>
      <c r="I679" s="2" t="str">
        <f ca="1">IF(ISNUMBER(A679),
IF(COUNTIFS(Equipar!B:B,2,Equipar!AC:AC,A679),"Equipada",
IF(
  OR(COUNTIFS(Equipar!B:B,2,Equipar!C:C,A679)
 +COUNTIFS(Equipar!B:B,2,Equipar!D:D,A679)
+COUNTIFS(Equipar!B:B,2,Equipar!E:E,A679)
+COUNTIFS(Equipar!B:B,2,Equipar!F:F,A679)
&gt;0,COUNTIF('Set recomendado'!B:B,C679)=0),
"Bloqueada",
"Desechable")),""
)</f>
        <v/>
      </c>
      <c r="J679" t="str" cm="1">
        <f t="array" aca="1" ref="J679" ca="1">IF(ISNUMBER(A679),IFERROR(_xlfn._xlws.FILTER(Equipar!A:A,(Equipar!B:B=2)*(Equipar!AC:AC=A679)),""),"")</f>
        <v/>
      </c>
    </row>
    <row r="680" spans="1:10" x14ac:dyDescent="0.25">
      <c r="A680" s="1" t="str">
        <f ca="1">IF(A679="ID",1,IF(ISBLANK(B680),"",MAX(A$2:A679)+1))</f>
        <v/>
      </c>
      <c r="I680" s="2" t="str">
        <f ca="1">IF(ISNUMBER(A680),
IF(COUNTIFS(Equipar!B:B,2,Equipar!AC:AC,A680),"Equipada",
IF(
  OR(COUNTIFS(Equipar!B:B,2,Equipar!C:C,A680)
 +COUNTIFS(Equipar!B:B,2,Equipar!D:D,A680)
+COUNTIFS(Equipar!B:B,2,Equipar!E:E,A680)
+COUNTIFS(Equipar!B:B,2,Equipar!F:F,A680)
&gt;0,COUNTIF('Set recomendado'!B:B,C680)=0),
"Bloqueada",
"Desechable")),""
)</f>
        <v/>
      </c>
      <c r="J680" t="str" cm="1">
        <f t="array" aca="1" ref="J680" ca="1">IF(ISNUMBER(A680),IFERROR(_xlfn._xlws.FILTER(Equipar!A:A,(Equipar!B:B=2)*(Equipar!AC:AC=A680)),""),"")</f>
        <v/>
      </c>
    </row>
    <row r="681" spans="1:10" x14ac:dyDescent="0.25">
      <c r="A681" s="1" t="str">
        <f ca="1">IF(A680="ID",1,IF(ISBLANK(B681),"",MAX(A$2:A680)+1))</f>
        <v/>
      </c>
      <c r="I681" s="2" t="str">
        <f ca="1">IF(ISNUMBER(A681),
IF(COUNTIFS(Equipar!B:B,2,Equipar!AC:AC,A681),"Equipada",
IF(
  OR(COUNTIFS(Equipar!B:B,2,Equipar!C:C,A681)
 +COUNTIFS(Equipar!B:B,2,Equipar!D:D,A681)
+COUNTIFS(Equipar!B:B,2,Equipar!E:E,A681)
+COUNTIFS(Equipar!B:B,2,Equipar!F:F,A681)
&gt;0,COUNTIF('Set recomendado'!B:B,C681)=0),
"Bloqueada",
"Desechable")),""
)</f>
        <v/>
      </c>
      <c r="J681" t="str" cm="1">
        <f t="array" aca="1" ref="J681" ca="1">IF(ISNUMBER(A681),IFERROR(_xlfn._xlws.FILTER(Equipar!A:A,(Equipar!B:B=2)*(Equipar!AC:AC=A681)),""),"")</f>
        <v/>
      </c>
    </row>
    <row r="682" spans="1:10" x14ac:dyDescent="0.25">
      <c r="A682" s="1" t="str">
        <f ca="1">IF(A681="ID",1,IF(ISBLANK(B682),"",MAX(A$2:A681)+1))</f>
        <v/>
      </c>
      <c r="I682" s="2" t="str">
        <f ca="1">IF(ISNUMBER(A682),
IF(COUNTIFS(Equipar!B:B,2,Equipar!AC:AC,A682),"Equipada",
IF(
  OR(COUNTIFS(Equipar!B:B,2,Equipar!C:C,A682)
 +COUNTIFS(Equipar!B:B,2,Equipar!D:D,A682)
+COUNTIFS(Equipar!B:B,2,Equipar!E:E,A682)
+COUNTIFS(Equipar!B:B,2,Equipar!F:F,A682)
&gt;0,COUNTIF('Set recomendado'!B:B,C682)=0),
"Bloqueada",
"Desechable")),""
)</f>
        <v/>
      </c>
      <c r="J682" t="str" cm="1">
        <f t="array" aca="1" ref="J682" ca="1">IF(ISNUMBER(A682),IFERROR(_xlfn._xlws.FILTER(Equipar!A:A,(Equipar!B:B=2)*(Equipar!AC:AC=A682)),""),"")</f>
        <v/>
      </c>
    </row>
    <row r="683" spans="1:10" x14ac:dyDescent="0.25">
      <c r="A683" s="1" t="str">
        <f ca="1">IF(A682="ID",1,IF(ISBLANK(B683),"",MAX(A$2:A682)+1))</f>
        <v/>
      </c>
      <c r="I683" s="2" t="str">
        <f ca="1">IF(ISNUMBER(A683),
IF(COUNTIFS(Equipar!B:B,2,Equipar!AC:AC,A683),"Equipada",
IF(
  OR(COUNTIFS(Equipar!B:B,2,Equipar!C:C,A683)
 +COUNTIFS(Equipar!B:B,2,Equipar!D:D,A683)
+COUNTIFS(Equipar!B:B,2,Equipar!E:E,A683)
+COUNTIFS(Equipar!B:B,2,Equipar!F:F,A683)
&gt;0,COUNTIF('Set recomendado'!B:B,C683)=0),
"Bloqueada",
"Desechable")),""
)</f>
        <v/>
      </c>
      <c r="J683" t="str" cm="1">
        <f t="array" aca="1" ref="J683" ca="1">IF(ISNUMBER(A683),IFERROR(_xlfn._xlws.FILTER(Equipar!A:A,(Equipar!B:B=2)*(Equipar!AC:AC=A683)),""),"")</f>
        <v/>
      </c>
    </row>
    <row r="684" spans="1:10" x14ac:dyDescent="0.25">
      <c r="A684" s="1" t="str">
        <f ca="1">IF(A683="ID",1,IF(ISBLANK(B684),"",MAX(A$2:A683)+1))</f>
        <v/>
      </c>
      <c r="I684" s="2" t="str">
        <f ca="1">IF(ISNUMBER(A684),
IF(COUNTIFS(Equipar!B:B,2,Equipar!AC:AC,A684),"Equipada",
IF(
  OR(COUNTIFS(Equipar!B:B,2,Equipar!C:C,A684)
 +COUNTIFS(Equipar!B:B,2,Equipar!D:D,A684)
+COUNTIFS(Equipar!B:B,2,Equipar!E:E,A684)
+COUNTIFS(Equipar!B:B,2,Equipar!F:F,A684)
&gt;0,COUNTIF('Set recomendado'!B:B,C684)=0),
"Bloqueada",
"Desechable")),""
)</f>
        <v/>
      </c>
      <c r="J684" t="str" cm="1">
        <f t="array" aca="1" ref="J684" ca="1">IF(ISNUMBER(A684),IFERROR(_xlfn._xlws.FILTER(Equipar!A:A,(Equipar!B:B=2)*(Equipar!AC:AC=A684)),""),"")</f>
        <v/>
      </c>
    </row>
    <row r="685" spans="1:10" x14ac:dyDescent="0.25">
      <c r="A685" s="1" t="str">
        <f ca="1">IF(A684="ID",1,IF(ISBLANK(B685),"",MAX(A$2:A684)+1))</f>
        <v/>
      </c>
      <c r="I685" s="2" t="str">
        <f ca="1">IF(ISNUMBER(A685),
IF(COUNTIFS(Equipar!B:B,2,Equipar!AC:AC,A685),"Equipada",
IF(
  OR(COUNTIFS(Equipar!B:B,2,Equipar!C:C,A685)
 +COUNTIFS(Equipar!B:B,2,Equipar!D:D,A685)
+COUNTIFS(Equipar!B:B,2,Equipar!E:E,A685)
+COUNTIFS(Equipar!B:B,2,Equipar!F:F,A685)
&gt;0,COUNTIF('Set recomendado'!B:B,C685)=0),
"Bloqueada",
"Desechable")),""
)</f>
        <v/>
      </c>
      <c r="J685" t="str" cm="1">
        <f t="array" aca="1" ref="J685" ca="1">IF(ISNUMBER(A685),IFERROR(_xlfn._xlws.FILTER(Equipar!A:A,(Equipar!B:B=2)*(Equipar!AC:AC=A685)),""),"")</f>
        <v/>
      </c>
    </row>
    <row r="686" spans="1:10" x14ac:dyDescent="0.25">
      <c r="A686" s="1" t="str">
        <f ca="1">IF(A685="ID",1,IF(ISBLANK(B686),"",MAX(A$2:A685)+1))</f>
        <v/>
      </c>
      <c r="I686" s="2" t="str">
        <f ca="1">IF(ISNUMBER(A686),
IF(COUNTIFS(Equipar!B:B,2,Equipar!AC:AC,A686),"Equipada",
IF(
  OR(COUNTIFS(Equipar!B:B,2,Equipar!C:C,A686)
 +COUNTIFS(Equipar!B:B,2,Equipar!D:D,A686)
+COUNTIFS(Equipar!B:B,2,Equipar!E:E,A686)
+COUNTIFS(Equipar!B:B,2,Equipar!F:F,A686)
&gt;0,COUNTIF('Set recomendado'!B:B,C686)=0),
"Bloqueada",
"Desechable")),""
)</f>
        <v/>
      </c>
      <c r="J686" t="str" cm="1">
        <f t="array" aca="1" ref="J686" ca="1">IF(ISNUMBER(A686),IFERROR(_xlfn._xlws.FILTER(Equipar!A:A,(Equipar!B:B=2)*(Equipar!AC:AC=A686)),""),"")</f>
        <v/>
      </c>
    </row>
    <row r="687" spans="1:10" x14ac:dyDescent="0.25">
      <c r="A687" s="1" t="str">
        <f ca="1">IF(A686="ID",1,IF(ISBLANK(B687),"",MAX(A$2:A686)+1))</f>
        <v/>
      </c>
      <c r="I687" s="2" t="str">
        <f ca="1">IF(ISNUMBER(A687),
IF(COUNTIFS(Equipar!B:B,2,Equipar!AC:AC,A687),"Equipada",
IF(
  OR(COUNTIFS(Equipar!B:B,2,Equipar!C:C,A687)
 +COUNTIFS(Equipar!B:B,2,Equipar!D:D,A687)
+COUNTIFS(Equipar!B:B,2,Equipar!E:E,A687)
+COUNTIFS(Equipar!B:B,2,Equipar!F:F,A687)
&gt;0,COUNTIF('Set recomendado'!B:B,C687)=0),
"Bloqueada",
"Desechable")),""
)</f>
        <v/>
      </c>
      <c r="J687" t="str" cm="1">
        <f t="array" aca="1" ref="J687" ca="1">IF(ISNUMBER(A687),IFERROR(_xlfn._xlws.FILTER(Equipar!A:A,(Equipar!B:B=2)*(Equipar!AC:AC=A687)),""),"")</f>
        <v/>
      </c>
    </row>
    <row r="688" spans="1:10" x14ac:dyDescent="0.25">
      <c r="A688" s="1" t="str">
        <f ca="1">IF(A687="ID",1,IF(ISBLANK(B688),"",MAX(A$2:A687)+1))</f>
        <v/>
      </c>
      <c r="I688" s="2" t="str">
        <f ca="1">IF(ISNUMBER(A688),
IF(COUNTIFS(Equipar!B:B,2,Equipar!AC:AC,A688),"Equipada",
IF(
  OR(COUNTIFS(Equipar!B:B,2,Equipar!C:C,A688)
 +COUNTIFS(Equipar!B:B,2,Equipar!D:D,A688)
+COUNTIFS(Equipar!B:B,2,Equipar!E:E,A688)
+COUNTIFS(Equipar!B:B,2,Equipar!F:F,A688)
&gt;0,COUNTIF('Set recomendado'!B:B,C688)=0),
"Bloqueada",
"Desechable")),""
)</f>
        <v/>
      </c>
      <c r="J688" t="str" cm="1">
        <f t="array" aca="1" ref="J688" ca="1">IF(ISNUMBER(A688),IFERROR(_xlfn._xlws.FILTER(Equipar!A:A,(Equipar!B:B=2)*(Equipar!AC:AC=A688)),""),"")</f>
        <v/>
      </c>
    </row>
    <row r="689" spans="1:10" x14ac:dyDescent="0.25">
      <c r="A689" s="1" t="str">
        <f ca="1">IF(A688="ID",1,IF(ISBLANK(B689),"",MAX(A$2:A688)+1))</f>
        <v/>
      </c>
      <c r="I689" s="2" t="str">
        <f ca="1">IF(ISNUMBER(A689),
IF(COUNTIFS(Equipar!B:B,2,Equipar!AC:AC,A689),"Equipada",
IF(
  OR(COUNTIFS(Equipar!B:B,2,Equipar!C:C,A689)
 +COUNTIFS(Equipar!B:B,2,Equipar!D:D,A689)
+COUNTIFS(Equipar!B:B,2,Equipar!E:E,A689)
+COUNTIFS(Equipar!B:B,2,Equipar!F:F,A689)
&gt;0,COUNTIF('Set recomendado'!B:B,C689)=0),
"Bloqueada",
"Desechable")),""
)</f>
        <v/>
      </c>
      <c r="J689" t="str" cm="1">
        <f t="array" aca="1" ref="J689" ca="1">IF(ISNUMBER(A689),IFERROR(_xlfn._xlws.FILTER(Equipar!A:A,(Equipar!B:B=2)*(Equipar!AC:AC=A689)),""),"")</f>
        <v/>
      </c>
    </row>
    <row r="690" spans="1:10" x14ac:dyDescent="0.25">
      <c r="A690" s="1" t="str">
        <f ca="1">IF(A689="ID",1,IF(ISBLANK(B690),"",MAX(A$2:A689)+1))</f>
        <v/>
      </c>
      <c r="I690" s="2" t="str">
        <f ca="1">IF(ISNUMBER(A690),
IF(COUNTIFS(Equipar!B:B,2,Equipar!AC:AC,A690),"Equipada",
IF(
  OR(COUNTIFS(Equipar!B:B,2,Equipar!C:C,A690)
 +COUNTIFS(Equipar!B:B,2,Equipar!D:D,A690)
+COUNTIFS(Equipar!B:B,2,Equipar!E:E,A690)
+COUNTIFS(Equipar!B:B,2,Equipar!F:F,A690)
&gt;0,COUNTIF('Set recomendado'!B:B,C690)=0),
"Bloqueada",
"Desechable")),""
)</f>
        <v/>
      </c>
      <c r="J690" t="str" cm="1">
        <f t="array" aca="1" ref="J690" ca="1">IF(ISNUMBER(A690),IFERROR(_xlfn._xlws.FILTER(Equipar!A:A,(Equipar!B:B=2)*(Equipar!AC:AC=A690)),""),"")</f>
        <v/>
      </c>
    </row>
    <row r="691" spans="1:10" x14ac:dyDescent="0.25">
      <c r="A691" s="1" t="str">
        <f ca="1">IF(A690="ID",1,IF(ISBLANK(B691),"",MAX(A$2:A690)+1))</f>
        <v/>
      </c>
      <c r="I691" s="2" t="str">
        <f ca="1">IF(ISNUMBER(A691),
IF(COUNTIFS(Equipar!B:B,2,Equipar!AC:AC,A691),"Equipada",
IF(
  OR(COUNTIFS(Equipar!B:B,2,Equipar!C:C,A691)
 +COUNTIFS(Equipar!B:B,2,Equipar!D:D,A691)
+COUNTIFS(Equipar!B:B,2,Equipar!E:E,A691)
+COUNTIFS(Equipar!B:B,2,Equipar!F:F,A691)
&gt;0,COUNTIF('Set recomendado'!B:B,C691)=0),
"Bloqueada",
"Desechable")),""
)</f>
        <v/>
      </c>
      <c r="J691" t="str" cm="1">
        <f t="array" aca="1" ref="J691" ca="1">IF(ISNUMBER(A691),IFERROR(_xlfn._xlws.FILTER(Equipar!A:A,(Equipar!B:B=2)*(Equipar!AC:AC=A691)),""),"")</f>
        <v/>
      </c>
    </row>
    <row r="692" spans="1:10" x14ac:dyDescent="0.25">
      <c r="A692" s="1" t="str">
        <f ca="1">IF(A691="ID",1,IF(ISBLANK(B692),"",MAX(A$2:A691)+1))</f>
        <v/>
      </c>
      <c r="I692" s="2" t="str">
        <f ca="1">IF(ISNUMBER(A692),
IF(COUNTIFS(Equipar!B:B,2,Equipar!AC:AC,A692),"Equipada",
IF(
  OR(COUNTIFS(Equipar!B:B,2,Equipar!C:C,A692)
 +COUNTIFS(Equipar!B:B,2,Equipar!D:D,A692)
+COUNTIFS(Equipar!B:B,2,Equipar!E:E,A692)
+COUNTIFS(Equipar!B:B,2,Equipar!F:F,A692)
&gt;0,COUNTIF('Set recomendado'!B:B,C692)=0),
"Bloqueada",
"Desechable")),""
)</f>
        <v/>
      </c>
      <c r="J692" t="str" cm="1">
        <f t="array" aca="1" ref="J692" ca="1">IF(ISNUMBER(A692),IFERROR(_xlfn._xlws.FILTER(Equipar!A:A,(Equipar!B:B=2)*(Equipar!AC:AC=A692)),""),"")</f>
        <v/>
      </c>
    </row>
    <row r="693" spans="1:10" x14ac:dyDescent="0.25">
      <c r="A693" s="1" t="str">
        <f ca="1">IF(A692="ID",1,IF(ISBLANK(B693),"",MAX(A$2:A692)+1))</f>
        <v/>
      </c>
      <c r="I693" s="2" t="str">
        <f ca="1">IF(ISNUMBER(A693),
IF(COUNTIFS(Equipar!B:B,2,Equipar!AC:AC,A693),"Equipada",
IF(
  OR(COUNTIFS(Equipar!B:B,2,Equipar!C:C,A693)
 +COUNTIFS(Equipar!B:B,2,Equipar!D:D,A693)
+COUNTIFS(Equipar!B:B,2,Equipar!E:E,A693)
+COUNTIFS(Equipar!B:B,2,Equipar!F:F,A693)
&gt;0,COUNTIF('Set recomendado'!B:B,C693)=0),
"Bloqueada",
"Desechable")),""
)</f>
        <v/>
      </c>
      <c r="J693" t="str" cm="1">
        <f t="array" aca="1" ref="J693" ca="1">IF(ISNUMBER(A693),IFERROR(_xlfn._xlws.FILTER(Equipar!A:A,(Equipar!B:B=2)*(Equipar!AC:AC=A693)),""),"")</f>
        <v/>
      </c>
    </row>
    <row r="694" spans="1:10" x14ac:dyDescent="0.25">
      <c r="A694" s="1" t="str">
        <f ca="1">IF(A693="ID",1,IF(ISBLANK(B694),"",MAX(A$2:A693)+1))</f>
        <v/>
      </c>
      <c r="I694" s="2" t="str">
        <f ca="1">IF(ISNUMBER(A694),
IF(COUNTIFS(Equipar!B:B,2,Equipar!AC:AC,A694),"Equipada",
IF(
  OR(COUNTIFS(Equipar!B:B,2,Equipar!C:C,A694)
 +COUNTIFS(Equipar!B:B,2,Equipar!D:D,A694)
+COUNTIFS(Equipar!B:B,2,Equipar!E:E,A694)
+COUNTIFS(Equipar!B:B,2,Equipar!F:F,A694)
&gt;0,COUNTIF('Set recomendado'!B:B,C694)=0),
"Bloqueada",
"Desechable")),""
)</f>
        <v/>
      </c>
      <c r="J694" t="str" cm="1">
        <f t="array" aca="1" ref="J694" ca="1">IF(ISNUMBER(A694),IFERROR(_xlfn._xlws.FILTER(Equipar!A:A,(Equipar!B:B=2)*(Equipar!AC:AC=A694)),""),"")</f>
        <v/>
      </c>
    </row>
    <row r="695" spans="1:10" x14ac:dyDescent="0.25">
      <c r="A695" s="1" t="str">
        <f ca="1">IF(A694="ID",1,IF(ISBLANK(B695),"",MAX(A$2:A694)+1))</f>
        <v/>
      </c>
      <c r="I695" s="2" t="str">
        <f ca="1">IF(ISNUMBER(A695),
IF(COUNTIFS(Equipar!B:B,2,Equipar!AC:AC,A695),"Equipada",
IF(
  OR(COUNTIFS(Equipar!B:B,2,Equipar!C:C,A695)
 +COUNTIFS(Equipar!B:B,2,Equipar!D:D,A695)
+COUNTIFS(Equipar!B:B,2,Equipar!E:E,A695)
+COUNTIFS(Equipar!B:B,2,Equipar!F:F,A695)
&gt;0,COUNTIF('Set recomendado'!B:B,C695)=0),
"Bloqueada",
"Desechable")),""
)</f>
        <v/>
      </c>
      <c r="J695" t="str" cm="1">
        <f t="array" aca="1" ref="J695" ca="1">IF(ISNUMBER(A695),IFERROR(_xlfn._xlws.FILTER(Equipar!A:A,(Equipar!B:B=2)*(Equipar!AC:AC=A695)),""),"")</f>
        <v/>
      </c>
    </row>
    <row r="696" spans="1:10" x14ac:dyDescent="0.25">
      <c r="A696" s="1" t="str">
        <f ca="1">IF(A695="ID",1,IF(ISBLANK(B696),"",MAX(A$2:A695)+1))</f>
        <v/>
      </c>
      <c r="I696" s="2" t="str">
        <f ca="1">IF(ISNUMBER(A696),
IF(COUNTIFS(Equipar!B:B,2,Equipar!AC:AC,A696),"Equipada",
IF(
  OR(COUNTIFS(Equipar!B:B,2,Equipar!C:C,A696)
 +COUNTIFS(Equipar!B:B,2,Equipar!D:D,A696)
+COUNTIFS(Equipar!B:B,2,Equipar!E:E,A696)
+COUNTIFS(Equipar!B:B,2,Equipar!F:F,A696)
&gt;0,COUNTIF('Set recomendado'!B:B,C696)=0),
"Bloqueada",
"Desechable")),""
)</f>
        <v/>
      </c>
      <c r="J696" t="str" cm="1">
        <f t="array" aca="1" ref="J696" ca="1">IF(ISNUMBER(A696),IFERROR(_xlfn._xlws.FILTER(Equipar!A:A,(Equipar!B:B=2)*(Equipar!AC:AC=A696)),""),"")</f>
        <v/>
      </c>
    </row>
    <row r="697" spans="1:10" x14ac:dyDescent="0.25">
      <c r="A697" s="1" t="str">
        <f ca="1">IF(A696="ID",1,IF(ISBLANK(B697),"",MAX(A$2:A696)+1))</f>
        <v/>
      </c>
      <c r="I697" s="2" t="str">
        <f ca="1">IF(ISNUMBER(A697),
IF(COUNTIFS(Equipar!B:B,2,Equipar!AC:AC,A697),"Equipada",
IF(
  OR(COUNTIFS(Equipar!B:B,2,Equipar!C:C,A697)
 +COUNTIFS(Equipar!B:B,2,Equipar!D:D,A697)
+COUNTIFS(Equipar!B:B,2,Equipar!E:E,A697)
+COUNTIFS(Equipar!B:B,2,Equipar!F:F,A697)
&gt;0,COUNTIF('Set recomendado'!B:B,C697)=0),
"Bloqueada",
"Desechable")),""
)</f>
        <v/>
      </c>
      <c r="J697" t="str" cm="1">
        <f t="array" aca="1" ref="J697" ca="1">IF(ISNUMBER(A697),IFERROR(_xlfn._xlws.FILTER(Equipar!A:A,(Equipar!B:B=2)*(Equipar!AC:AC=A697)),""),"")</f>
        <v/>
      </c>
    </row>
    <row r="698" spans="1:10" x14ac:dyDescent="0.25">
      <c r="A698" s="1" t="str">
        <f ca="1">IF(A697="ID",1,IF(ISBLANK(B698),"",MAX(A$2:A697)+1))</f>
        <v/>
      </c>
      <c r="I698" s="2" t="str">
        <f ca="1">IF(ISNUMBER(A698),
IF(COUNTIFS(Equipar!B:B,2,Equipar!AC:AC,A698),"Equipada",
IF(
  OR(COUNTIFS(Equipar!B:B,2,Equipar!C:C,A698)
 +COUNTIFS(Equipar!B:B,2,Equipar!D:D,A698)
+COUNTIFS(Equipar!B:B,2,Equipar!E:E,A698)
+COUNTIFS(Equipar!B:B,2,Equipar!F:F,A698)
&gt;0,COUNTIF('Set recomendado'!B:B,C698)=0),
"Bloqueada",
"Desechable")),""
)</f>
        <v/>
      </c>
      <c r="J698" t="str" cm="1">
        <f t="array" aca="1" ref="J698" ca="1">IF(ISNUMBER(A698),IFERROR(_xlfn._xlws.FILTER(Equipar!A:A,(Equipar!B:B=2)*(Equipar!AC:AC=A698)),""),"")</f>
        <v/>
      </c>
    </row>
    <row r="699" spans="1:10" x14ac:dyDescent="0.25">
      <c r="A699" s="1" t="str">
        <f ca="1">IF(A698="ID",1,IF(ISBLANK(B699),"",MAX(A$2:A698)+1))</f>
        <v/>
      </c>
      <c r="I699" s="2" t="str">
        <f ca="1">IF(ISNUMBER(A699),
IF(COUNTIFS(Equipar!B:B,2,Equipar!AC:AC,A699),"Equipada",
IF(
  OR(COUNTIFS(Equipar!B:B,2,Equipar!C:C,A699)
 +COUNTIFS(Equipar!B:B,2,Equipar!D:D,A699)
+COUNTIFS(Equipar!B:B,2,Equipar!E:E,A699)
+COUNTIFS(Equipar!B:B,2,Equipar!F:F,A699)
&gt;0,COUNTIF('Set recomendado'!B:B,C699)=0),
"Bloqueada",
"Desechable")),""
)</f>
        <v/>
      </c>
      <c r="J699" t="str" cm="1">
        <f t="array" aca="1" ref="J699" ca="1">IF(ISNUMBER(A699),IFERROR(_xlfn._xlws.FILTER(Equipar!A:A,(Equipar!B:B=2)*(Equipar!AC:AC=A699)),""),"")</f>
        <v/>
      </c>
    </row>
    <row r="700" spans="1:10" x14ac:dyDescent="0.25">
      <c r="A700" s="1" t="str">
        <f ca="1">IF(A699="ID",1,IF(ISBLANK(B700),"",MAX(A$2:A699)+1))</f>
        <v/>
      </c>
      <c r="I700" s="2" t="str">
        <f ca="1">IF(ISNUMBER(A700),
IF(COUNTIFS(Equipar!B:B,2,Equipar!AC:AC,A700),"Equipada",
IF(
  OR(COUNTIFS(Equipar!B:B,2,Equipar!C:C,A700)
 +COUNTIFS(Equipar!B:B,2,Equipar!D:D,A700)
+COUNTIFS(Equipar!B:B,2,Equipar!E:E,A700)
+COUNTIFS(Equipar!B:B,2,Equipar!F:F,A700)
&gt;0,COUNTIF('Set recomendado'!B:B,C700)=0),
"Bloqueada",
"Desechable")),""
)</f>
        <v/>
      </c>
      <c r="J700" t="str" cm="1">
        <f t="array" aca="1" ref="J700" ca="1">IF(ISNUMBER(A700),IFERROR(_xlfn._xlws.FILTER(Equipar!A:A,(Equipar!B:B=2)*(Equipar!AC:AC=A700)),""),"")</f>
        <v/>
      </c>
    </row>
    <row r="701" spans="1:10" x14ac:dyDescent="0.25">
      <c r="A701" s="1" t="str">
        <f ca="1">IF(A700="ID",1,IF(ISBLANK(B701),"",MAX(A$2:A700)+1))</f>
        <v/>
      </c>
      <c r="I701" s="2" t="str">
        <f ca="1">IF(ISNUMBER(A701),
IF(COUNTIFS(Equipar!B:B,2,Equipar!AC:AC,A701),"Equipada",
IF(
  OR(COUNTIFS(Equipar!B:B,2,Equipar!C:C,A701)
 +COUNTIFS(Equipar!B:B,2,Equipar!D:D,A701)
+COUNTIFS(Equipar!B:B,2,Equipar!E:E,A701)
+COUNTIFS(Equipar!B:B,2,Equipar!F:F,A701)
&gt;0,COUNTIF('Set recomendado'!B:B,C701)=0),
"Bloqueada",
"Desechable")),""
)</f>
        <v/>
      </c>
      <c r="J701" t="str" cm="1">
        <f t="array" aca="1" ref="J701" ca="1">IF(ISNUMBER(A701),IFERROR(_xlfn._xlws.FILTER(Equipar!A:A,(Equipar!B:B=2)*(Equipar!AC:AC=A701)),""),"")</f>
        <v/>
      </c>
    </row>
    <row r="702" spans="1:10" x14ac:dyDescent="0.25">
      <c r="A702" s="1" t="str">
        <f ca="1">IF(A701="ID",1,IF(ISBLANK(B702),"",MAX(A$2:A701)+1))</f>
        <v/>
      </c>
      <c r="I702" s="2" t="str">
        <f ca="1">IF(ISNUMBER(A702),
IF(COUNTIFS(Equipar!B:B,2,Equipar!AC:AC,A702),"Equipada",
IF(
  OR(COUNTIFS(Equipar!B:B,2,Equipar!C:C,A702)
 +COUNTIFS(Equipar!B:B,2,Equipar!D:D,A702)
+COUNTIFS(Equipar!B:B,2,Equipar!E:E,A702)
+COUNTIFS(Equipar!B:B,2,Equipar!F:F,A702)
&gt;0,COUNTIF('Set recomendado'!B:B,C702)=0),
"Bloqueada",
"Desechable")),""
)</f>
        <v/>
      </c>
      <c r="J702" t="str" cm="1">
        <f t="array" aca="1" ref="J702" ca="1">IF(ISNUMBER(A702),IFERROR(_xlfn._xlws.FILTER(Equipar!A:A,(Equipar!B:B=2)*(Equipar!AC:AC=A702)),""),"")</f>
        <v/>
      </c>
    </row>
    <row r="703" spans="1:10" x14ac:dyDescent="0.25">
      <c r="A703" s="1" t="str">
        <f ca="1">IF(A702="ID",1,IF(ISBLANK(B703),"",MAX(A$2:A702)+1))</f>
        <v/>
      </c>
      <c r="I703" s="2" t="str">
        <f ca="1">IF(ISNUMBER(A703),
IF(COUNTIFS(Equipar!B:B,2,Equipar!AC:AC,A703),"Equipada",
IF(
  OR(COUNTIFS(Equipar!B:B,2,Equipar!C:C,A703)
 +COUNTIFS(Equipar!B:B,2,Equipar!D:D,A703)
+COUNTIFS(Equipar!B:B,2,Equipar!E:E,A703)
+COUNTIFS(Equipar!B:B,2,Equipar!F:F,A703)
&gt;0,COUNTIF('Set recomendado'!B:B,C703)=0),
"Bloqueada",
"Desechable")),""
)</f>
        <v/>
      </c>
      <c r="J703" t="str" cm="1">
        <f t="array" aca="1" ref="J703" ca="1">IF(ISNUMBER(A703),IFERROR(_xlfn._xlws.FILTER(Equipar!A:A,(Equipar!B:B=2)*(Equipar!AC:AC=A703)),""),"")</f>
        <v/>
      </c>
    </row>
    <row r="704" spans="1:10" x14ac:dyDescent="0.25">
      <c r="A704" s="1" t="str">
        <f ca="1">IF(A703="ID",1,IF(ISBLANK(B704),"",MAX(A$2:A703)+1))</f>
        <v/>
      </c>
      <c r="I704" s="2" t="str">
        <f ca="1">IF(ISNUMBER(A704),
IF(COUNTIFS(Equipar!B:B,2,Equipar!AC:AC,A704),"Equipada",
IF(
  OR(COUNTIFS(Equipar!B:B,2,Equipar!C:C,A704)
 +COUNTIFS(Equipar!B:B,2,Equipar!D:D,A704)
+COUNTIFS(Equipar!B:B,2,Equipar!E:E,A704)
+COUNTIFS(Equipar!B:B,2,Equipar!F:F,A704)
&gt;0,COUNTIF('Set recomendado'!B:B,C704)=0),
"Bloqueada",
"Desechable")),""
)</f>
        <v/>
      </c>
      <c r="J704" t="str" cm="1">
        <f t="array" aca="1" ref="J704" ca="1">IF(ISNUMBER(A704),IFERROR(_xlfn._xlws.FILTER(Equipar!A:A,(Equipar!B:B=2)*(Equipar!AC:AC=A704)),""),"")</f>
        <v/>
      </c>
    </row>
    <row r="705" spans="1:10" x14ac:dyDescent="0.25">
      <c r="A705" s="1" t="str">
        <f ca="1">IF(A704="ID",1,IF(ISBLANK(B705),"",MAX(A$2:A704)+1))</f>
        <v/>
      </c>
      <c r="I705" s="2" t="str">
        <f ca="1">IF(ISNUMBER(A705),
IF(COUNTIFS(Equipar!B:B,2,Equipar!AC:AC,A705),"Equipada",
IF(
  OR(COUNTIFS(Equipar!B:B,2,Equipar!C:C,A705)
 +COUNTIFS(Equipar!B:B,2,Equipar!D:D,A705)
+COUNTIFS(Equipar!B:B,2,Equipar!E:E,A705)
+COUNTIFS(Equipar!B:B,2,Equipar!F:F,A705)
&gt;0,COUNTIF('Set recomendado'!B:B,C705)=0),
"Bloqueada",
"Desechable")),""
)</f>
        <v/>
      </c>
      <c r="J705" t="str" cm="1">
        <f t="array" aca="1" ref="J705" ca="1">IF(ISNUMBER(A705),IFERROR(_xlfn._xlws.FILTER(Equipar!A:A,(Equipar!B:B=2)*(Equipar!AC:AC=A705)),""),"")</f>
        <v/>
      </c>
    </row>
    <row r="706" spans="1:10" x14ac:dyDescent="0.25">
      <c r="A706" s="1" t="str">
        <f ca="1">IF(A705="ID",1,IF(ISBLANK(B706),"",MAX(A$2:A705)+1))</f>
        <v/>
      </c>
      <c r="I706" s="2" t="str">
        <f ca="1">IF(ISNUMBER(A706),
IF(COUNTIFS(Equipar!B:B,2,Equipar!AC:AC,A706),"Equipada",
IF(
  OR(COUNTIFS(Equipar!B:B,2,Equipar!C:C,A706)
 +COUNTIFS(Equipar!B:B,2,Equipar!D:D,A706)
+COUNTIFS(Equipar!B:B,2,Equipar!E:E,A706)
+COUNTIFS(Equipar!B:B,2,Equipar!F:F,A706)
&gt;0,COUNTIF('Set recomendado'!B:B,C706)=0),
"Bloqueada",
"Desechable")),""
)</f>
        <v/>
      </c>
      <c r="J706" t="str" cm="1">
        <f t="array" aca="1" ref="J706" ca="1">IF(ISNUMBER(A706),IFERROR(_xlfn._xlws.FILTER(Equipar!A:A,(Equipar!B:B=2)*(Equipar!AC:AC=A706)),""),"")</f>
        <v/>
      </c>
    </row>
    <row r="707" spans="1:10" x14ac:dyDescent="0.25">
      <c r="A707" s="1" t="str">
        <f ca="1">IF(A706="ID",1,IF(ISBLANK(B707),"",MAX(A$2:A706)+1))</f>
        <v/>
      </c>
      <c r="I707" s="2" t="str">
        <f ca="1">IF(ISNUMBER(A707),
IF(COUNTIFS(Equipar!B:B,2,Equipar!AC:AC,A707),"Equipada",
IF(
  OR(COUNTIFS(Equipar!B:B,2,Equipar!C:C,A707)
 +COUNTIFS(Equipar!B:B,2,Equipar!D:D,A707)
+COUNTIFS(Equipar!B:B,2,Equipar!E:E,A707)
+COUNTIFS(Equipar!B:B,2,Equipar!F:F,A707)
&gt;0,COUNTIF('Set recomendado'!B:B,C707)=0),
"Bloqueada",
"Desechable")),""
)</f>
        <v/>
      </c>
      <c r="J707" t="str" cm="1">
        <f t="array" aca="1" ref="J707" ca="1">IF(ISNUMBER(A707),IFERROR(_xlfn._xlws.FILTER(Equipar!A:A,(Equipar!B:B=2)*(Equipar!AC:AC=A707)),""),"")</f>
        <v/>
      </c>
    </row>
    <row r="708" spans="1:10" x14ac:dyDescent="0.25">
      <c r="A708" s="1" t="str">
        <f ca="1">IF(A707="ID",1,IF(ISBLANK(B708),"",MAX(A$2:A707)+1))</f>
        <v/>
      </c>
      <c r="I708" s="2" t="str">
        <f ca="1">IF(ISNUMBER(A708),
IF(COUNTIFS(Equipar!B:B,2,Equipar!AC:AC,A708),"Equipada",
IF(
  OR(COUNTIFS(Equipar!B:B,2,Equipar!C:C,A708)
 +COUNTIFS(Equipar!B:B,2,Equipar!D:D,A708)
+COUNTIFS(Equipar!B:B,2,Equipar!E:E,A708)
+COUNTIFS(Equipar!B:B,2,Equipar!F:F,A708)
&gt;0,COUNTIF('Set recomendado'!B:B,C708)=0),
"Bloqueada",
"Desechable")),""
)</f>
        <v/>
      </c>
      <c r="J708" t="str" cm="1">
        <f t="array" aca="1" ref="J708" ca="1">IF(ISNUMBER(A708),IFERROR(_xlfn._xlws.FILTER(Equipar!A:A,(Equipar!B:B=2)*(Equipar!AC:AC=A708)),""),"")</f>
        <v/>
      </c>
    </row>
    <row r="709" spans="1:10" x14ac:dyDescent="0.25">
      <c r="A709" s="1" t="str">
        <f ca="1">IF(A708="ID",1,IF(ISBLANK(B709),"",MAX(A$2:A708)+1))</f>
        <v/>
      </c>
      <c r="I709" s="2" t="str">
        <f ca="1">IF(ISNUMBER(A709),
IF(COUNTIFS(Equipar!B:B,2,Equipar!AC:AC,A709),"Equipada",
IF(
  OR(COUNTIFS(Equipar!B:B,2,Equipar!C:C,A709)
 +COUNTIFS(Equipar!B:B,2,Equipar!D:D,A709)
+COUNTIFS(Equipar!B:B,2,Equipar!E:E,A709)
+COUNTIFS(Equipar!B:B,2,Equipar!F:F,A709)
&gt;0,COUNTIF('Set recomendado'!B:B,C709)=0),
"Bloqueada",
"Desechable")),""
)</f>
        <v/>
      </c>
      <c r="J709" t="str" cm="1">
        <f t="array" aca="1" ref="J709" ca="1">IF(ISNUMBER(A709),IFERROR(_xlfn._xlws.FILTER(Equipar!A:A,(Equipar!B:B=2)*(Equipar!AC:AC=A709)),""),"")</f>
        <v/>
      </c>
    </row>
    <row r="710" spans="1:10" x14ac:dyDescent="0.25">
      <c r="A710" s="1" t="str">
        <f ca="1">IF(A709="ID",1,IF(ISBLANK(B710),"",MAX(A$2:A709)+1))</f>
        <v/>
      </c>
      <c r="I710" s="2" t="str">
        <f ca="1">IF(ISNUMBER(A710),
IF(COUNTIFS(Equipar!B:B,2,Equipar!AC:AC,A710),"Equipada",
IF(
  OR(COUNTIFS(Equipar!B:B,2,Equipar!C:C,A710)
 +COUNTIFS(Equipar!B:B,2,Equipar!D:D,A710)
+COUNTIFS(Equipar!B:B,2,Equipar!E:E,A710)
+COUNTIFS(Equipar!B:B,2,Equipar!F:F,A710)
&gt;0,COUNTIF('Set recomendado'!B:B,C710)=0),
"Bloqueada",
"Desechable")),""
)</f>
        <v/>
      </c>
      <c r="J710" t="str" cm="1">
        <f t="array" aca="1" ref="J710" ca="1">IF(ISNUMBER(A710),IFERROR(_xlfn._xlws.FILTER(Equipar!A:A,(Equipar!B:B=2)*(Equipar!AC:AC=A710)),""),"")</f>
        <v/>
      </c>
    </row>
    <row r="711" spans="1:10" x14ac:dyDescent="0.25">
      <c r="A711" s="1" t="str">
        <f ca="1">IF(A710="ID",1,IF(ISBLANK(B711),"",MAX(A$2:A710)+1))</f>
        <v/>
      </c>
      <c r="I711" s="2" t="str">
        <f ca="1">IF(ISNUMBER(A711),
IF(COUNTIFS(Equipar!B:B,2,Equipar!AC:AC,A711),"Equipada",
IF(
  OR(COUNTIFS(Equipar!B:B,2,Equipar!C:C,A711)
 +COUNTIFS(Equipar!B:B,2,Equipar!D:D,A711)
+COUNTIFS(Equipar!B:B,2,Equipar!E:E,A711)
+COUNTIFS(Equipar!B:B,2,Equipar!F:F,A711)
&gt;0,COUNTIF('Set recomendado'!B:B,C711)=0),
"Bloqueada",
"Desechable")),""
)</f>
        <v/>
      </c>
      <c r="J711" t="str" cm="1">
        <f t="array" aca="1" ref="J711" ca="1">IF(ISNUMBER(A711),IFERROR(_xlfn._xlws.FILTER(Equipar!A:A,(Equipar!B:B=2)*(Equipar!AC:AC=A711)),""),"")</f>
        <v/>
      </c>
    </row>
    <row r="712" spans="1:10" x14ac:dyDescent="0.25">
      <c r="A712" s="1" t="str">
        <f ca="1">IF(A711="ID",1,IF(ISBLANK(B712),"",MAX(A$2:A711)+1))</f>
        <v/>
      </c>
      <c r="I712" s="2" t="str">
        <f ca="1">IF(ISNUMBER(A712),
IF(COUNTIFS(Equipar!B:B,2,Equipar!AC:AC,A712),"Equipada",
IF(
  OR(COUNTIFS(Equipar!B:B,2,Equipar!C:C,A712)
 +COUNTIFS(Equipar!B:B,2,Equipar!D:D,A712)
+COUNTIFS(Equipar!B:B,2,Equipar!E:E,A712)
+COUNTIFS(Equipar!B:B,2,Equipar!F:F,A712)
&gt;0,COUNTIF('Set recomendado'!B:B,C712)=0),
"Bloqueada",
"Desechable")),""
)</f>
        <v/>
      </c>
      <c r="J712" t="str" cm="1">
        <f t="array" aca="1" ref="J712" ca="1">IF(ISNUMBER(A712),IFERROR(_xlfn._xlws.FILTER(Equipar!A:A,(Equipar!B:B=2)*(Equipar!AC:AC=A712)),""),"")</f>
        <v/>
      </c>
    </row>
    <row r="713" spans="1:10" x14ac:dyDescent="0.25">
      <c r="A713" s="1" t="str">
        <f ca="1">IF(A712="ID",1,IF(ISBLANK(B713),"",MAX(A$2:A712)+1))</f>
        <v/>
      </c>
      <c r="I713" s="2" t="str">
        <f ca="1">IF(ISNUMBER(A713),
IF(COUNTIFS(Equipar!B:B,2,Equipar!AC:AC,A713),"Equipada",
IF(
  OR(COUNTIFS(Equipar!B:B,2,Equipar!C:C,A713)
 +COUNTIFS(Equipar!B:B,2,Equipar!D:D,A713)
+COUNTIFS(Equipar!B:B,2,Equipar!E:E,A713)
+COUNTIFS(Equipar!B:B,2,Equipar!F:F,A713)
&gt;0,COUNTIF('Set recomendado'!B:B,C713)=0),
"Bloqueada",
"Desechable")),""
)</f>
        <v/>
      </c>
      <c r="J713" t="str" cm="1">
        <f t="array" aca="1" ref="J713" ca="1">IF(ISNUMBER(A713),IFERROR(_xlfn._xlws.FILTER(Equipar!A:A,(Equipar!B:B=2)*(Equipar!AC:AC=A713)),""),"")</f>
        <v/>
      </c>
    </row>
    <row r="714" spans="1:10" x14ac:dyDescent="0.25">
      <c r="A714" s="1" t="str">
        <f ca="1">IF(A713="ID",1,IF(ISBLANK(B714),"",MAX(A$2:A713)+1))</f>
        <v/>
      </c>
      <c r="I714" s="2" t="str">
        <f ca="1">IF(ISNUMBER(A714),
IF(COUNTIFS(Equipar!B:B,2,Equipar!AC:AC,A714),"Equipada",
IF(
  OR(COUNTIFS(Equipar!B:B,2,Equipar!C:C,A714)
 +COUNTIFS(Equipar!B:B,2,Equipar!D:D,A714)
+COUNTIFS(Equipar!B:B,2,Equipar!E:E,A714)
+COUNTIFS(Equipar!B:B,2,Equipar!F:F,A714)
&gt;0,COUNTIF('Set recomendado'!B:B,C714)=0),
"Bloqueada",
"Desechable")),""
)</f>
        <v/>
      </c>
      <c r="J714" t="str" cm="1">
        <f t="array" aca="1" ref="J714" ca="1">IF(ISNUMBER(A714),IFERROR(_xlfn._xlws.FILTER(Equipar!A:A,(Equipar!B:B=2)*(Equipar!AC:AC=A714)),""),"")</f>
        <v/>
      </c>
    </row>
    <row r="715" spans="1:10" x14ac:dyDescent="0.25">
      <c r="A715" s="1" t="str">
        <f ca="1">IF(A714="ID",1,IF(ISBLANK(B715),"",MAX(A$2:A714)+1))</f>
        <v/>
      </c>
      <c r="I715" s="2" t="str">
        <f ca="1">IF(ISNUMBER(A715),
IF(COUNTIFS(Equipar!B:B,2,Equipar!AC:AC,A715),"Equipada",
IF(
  OR(COUNTIFS(Equipar!B:B,2,Equipar!C:C,A715)
 +COUNTIFS(Equipar!B:B,2,Equipar!D:D,A715)
+COUNTIFS(Equipar!B:B,2,Equipar!E:E,A715)
+COUNTIFS(Equipar!B:B,2,Equipar!F:F,A715)
&gt;0,COUNTIF('Set recomendado'!B:B,C715)=0),
"Bloqueada",
"Desechable")),""
)</f>
        <v/>
      </c>
      <c r="J715" t="str" cm="1">
        <f t="array" aca="1" ref="J715" ca="1">IF(ISNUMBER(A715),IFERROR(_xlfn._xlws.FILTER(Equipar!A:A,(Equipar!B:B=2)*(Equipar!AC:AC=A715)),""),"")</f>
        <v/>
      </c>
    </row>
    <row r="716" spans="1:10" x14ac:dyDescent="0.25">
      <c r="A716" s="1" t="str">
        <f ca="1">IF(A715="ID",1,IF(ISBLANK(B716),"",MAX(A$2:A715)+1))</f>
        <v/>
      </c>
      <c r="I716" s="2" t="str">
        <f ca="1">IF(ISNUMBER(A716),
IF(COUNTIFS(Equipar!B:B,2,Equipar!AC:AC,A716),"Equipada",
IF(
  OR(COUNTIFS(Equipar!B:B,2,Equipar!C:C,A716)
 +COUNTIFS(Equipar!B:B,2,Equipar!D:D,A716)
+COUNTIFS(Equipar!B:B,2,Equipar!E:E,A716)
+COUNTIFS(Equipar!B:B,2,Equipar!F:F,A716)
&gt;0,COUNTIF('Set recomendado'!B:B,C716)=0),
"Bloqueada",
"Desechable")),""
)</f>
        <v/>
      </c>
      <c r="J716" t="str" cm="1">
        <f t="array" aca="1" ref="J716" ca="1">IF(ISNUMBER(A716),IFERROR(_xlfn._xlws.FILTER(Equipar!A:A,(Equipar!B:B=2)*(Equipar!AC:AC=A716)),""),"")</f>
        <v/>
      </c>
    </row>
    <row r="717" spans="1:10" x14ac:dyDescent="0.25">
      <c r="A717" s="1" t="str">
        <f ca="1">IF(A716="ID",1,IF(ISBLANK(B717),"",MAX(A$2:A716)+1))</f>
        <v/>
      </c>
      <c r="I717" s="2" t="str">
        <f ca="1">IF(ISNUMBER(A717),
IF(COUNTIFS(Equipar!B:B,2,Equipar!AC:AC,A717),"Equipada",
IF(
  OR(COUNTIFS(Equipar!B:B,2,Equipar!C:C,A717)
 +COUNTIFS(Equipar!B:B,2,Equipar!D:D,A717)
+COUNTIFS(Equipar!B:B,2,Equipar!E:E,A717)
+COUNTIFS(Equipar!B:B,2,Equipar!F:F,A717)
&gt;0,COUNTIF('Set recomendado'!B:B,C717)=0),
"Bloqueada",
"Desechable")),""
)</f>
        <v/>
      </c>
      <c r="J717" t="str" cm="1">
        <f t="array" aca="1" ref="J717" ca="1">IF(ISNUMBER(A717),IFERROR(_xlfn._xlws.FILTER(Equipar!A:A,(Equipar!B:B=2)*(Equipar!AC:AC=A717)),""),"")</f>
        <v/>
      </c>
    </row>
    <row r="718" spans="1:10" x14ac:dyDescent="0.25">
      <c r="A718" s="1" t="str">
        <f ca="1">IF(A717="ID",1,IF(ISBLANK(B718),"",MAX(A$2:A717)+1))</f>
        <v/>
      </c>
      <c r="I718" s="2" t="str">
        <f ca="1">IF(ISNUMBER(A718),
IF(COUNTIFS(Equipar!B:B,2,Equipar!AC:AC,A718),"Equipada",
IF(
  OR(COUNTIFS(Equipar!B:B,2,Equipar!C:C,A718)
 +COUNTIFS(Equipar!B:B,2,Equipar!D:D,A718)
+COUNTIFS(Equipar!B:B,2,Equipar!E:E,A718)
+COUNTIFS(Equipar!B:B,2,Equipar!F:F,A718)
&gt;0,COUNTIF('Set recomendado'!B:B,C718)=0),
"Bloqueada",
"Desechable")),""
)</f>
        <v/>
      </c>
      <c r="J718" t="str" cm="1">
        <f t="array" aca="1" ref="J718" ca="1">IF(ISNUMBER(A718),IFERROR(_xlfn._xlws.FILTER(Equipar!A:A,(Equipar!B:B=2)*(Equipar!AC:AC=A718)),""),"")</f>
        <v/>
      </c>
    </row>
    <row r="719" spans="1:10" x14ac:dyDescent="0.25">
      <c r="A719" s="1" t="str">
        <f ca="1">IF(A718="ID",1,IF(ISBLANK(B719),"",MAX(A$2:A718)+1))</f>
        <v/>
      </c>
      <c r="I719" s="2" t="str">
        <f ca="1">IF(ISNUMBER(A719),
IF(COUNTIFS(Equipar!B:B,2,Equipar!AC:AC,A719),"Equipada",
IF(
  OR(COUNTIFS(Equipar!B:B,2,Equipar!C:C,A719)
 +COUNTIFS(Equipar!B:B,2,Equipar!D:D,A719)
+COUNTIFS(Equipar!B:B,2,Equipar!E:E,A719)
+COUNTIFS(Equipar!B:B,2,Equipar!F:F,A719)
&gt;0,COUNTIF('Set recomendado'!B:B,C719)=0),
"Bloqueada",
"Desechable")),""
)</f>
        <v/>
      </c>
      <c r="J719" t="str" cm="1">
        <f t="array" aca="1" ref="J719" ca="1">IF(ISNUMBER(A719),IFERROR(_xlfn._xlws.FILTER(Equipar!A:A,(Equipar!B:B=2)*(Equipar!AC:AC=A719)),""),"")</f>
        <v/>
      </c>
    </row>
    <row r="720" spans="1:10" x14ac:dyDescent="0.25">
      <c r="A720" s="1" t="str">
        <f ca="1">IF(A719="ID",1,IF(ISBLANK(B720),"",MAX(A$2:A719)+1))</f>
        <v/>
      </c>
      <c r="I720" s="2" t="str">
        <f ca="1">IF(ISNUMBER(A720),
IF(COUNTIFS(Equipar!B:B,2,Equipar!AC:AC,A720),"Equipada",
IF(
  OR(COUNTIFS(Equipar!B:B,2,Equipar!C:C,A720)
 +COUNTIFS(Equipar!B:B,2,Equipar!D:D,A720)
+COUNTIFS(Equipar!B:B,2,Equipar!E:E,A720)
+COUNTIFS(Equipar!B:B,2,Equipar!F:F,A720)
&gt;0,COUNTIF('Set recomendado'!B:B,C720)=0),
"Bloqueada",
"Desechable")),""
)</f>
        <v/>
      </c>
      <c r="J720" t="str" cm="1">
        <f t="array" aca="1" ref="J720" ca="1">IF(ISNUMBER(A720),IFERROR(_xlfn._xlws.FILTER(Equipar!A:A,(Equipar!B:B=2)*(Equipar!AC:AC=A720)),""),"")</f>
        <v/>
      </c>
    </row>
    <row r="721" spans="1:10" x14ac:dyDescent="0.25">
      <c r="A721" s="1" t="str">
        <f ca="1">IF(A720="ID",1,IF(ISBLANK(B721),"",MAX(A$2:A720)+1))</f>
        <v/>
      </c>
      <c r="I721" s="2" t="str">
        <f ca="1">IF(ISNUMBER(A721),
IF(COUNTIFS(Equipar!B:B,2,Equipar!AC:AC,A721),"Equipada",
IF(
  OR(COUNTIFS(Equipar!B:B,2,Equipar!C:C,A721)
 +COUNTIFS(Equipar!B:B,2,Equipar!D:D,A721)
+COUNTIFS(Equipar!B:B,2,Equipar!E:E,A721)
+COUNTIFS(Equipar!B:B,2,Equipar!F:F,A721)
&gt;0,COUNTIF('Set recomendado'!B:B,C721)=0),
"Bloqueada",
"Desechable")),""
)</f>
        <v/>
      </c>
      <c r="J721" t="str" cm="1">
        <f t="array" aca="1" ref="J721" ca="1">IF(ISNUMBER(A721),IFERROR(_xlfn._xlws.FILTER(Equipar!A:A,(Equipar!B:B=2)*(Equipar!AC:AC=A721)),""),"")</f>
        <v/>
      </c>
    </row>
    <row r="722" spans="1:10" x14ac:dyDescent="0.25">
      <c r="A722" s="1" t="str">
        <f ca="1">IF(A721="ID",1,IF(ISBLANK(B722),"",MAX(A$2:A721)+1))</f>
        <v/>
      </c>
      <c r="I722" s="2" t="str">
        <f ca="1">IF(ISNUMBER(A722),
IF(COUNTIFS(Equipar!B:B,2,Equipar!AC:AC,A722),"Equipada",
IF(
  OR(COUNTIFS(Equipar!B:B,2,Equipar!C:C,A722)
 +COUNTIFS(Equipar!B:B,2,Equipar!D:D,A722)
+COUNTIFS(Equipar!B:B,2,Equipar!E:E,A722)
+COUNTIFS(Equipar!B:B,2,Equipar!F:F,A722)
&gt;0,COUNTIF('Set recomendado'!B:B,C722)=0),
"Bloqueada",
"Desechable")),""
)</f>
        <v/>
      </c>
      <c r="J722" t="str" cm="1">
        <f t="array" aca="1" ref="J722" ca="1">IF(ISNUMBER(A722),IFERROR(_xlfn._xlws.FILTER(Equipar!A:A,(Equipar!B:B=2)*(Equipar!AC:AC=A722)),""),"")</f>
        <v/>
      </c>
    </row>
    <row r="723" spans="1:10" x14ac:dyDescent="0.25">
      <c r="A723" s="1" t="str">
        <f ca="1">IF(A722="ID",1,IF(ISBLANK(B723),"",MAX(A$2:A722)+1))</f>
        <v/>
      </c>
      <c r="I723" s="2" t="str">
        <f ca="1">IF(ISNUMBER(A723),
IF(COUNTIFS(Equipar!B:B,2,Equipar!AC:AC,A723),"Equipada",
IF(
  OR(COUNTIFS(Equipar!B:B,2,Equipar!C:C,A723)
 +COUNTIFS(Equipar!B:B,2,Equipar!D:D,A723)
+COUNTIFS(Equipar!B:B,2,Equipar!E:E,A723)
+COUNTIFS(Equipar!B:B,2,Equipar!F:F,A723)
&gt;0,COUNTIF('Set recomendado'!B:B,C723)=0),
"Bloqueada",
"Desechable")),""
)</f>
        <v/>
      </c>
      <c r="J723" t="str" cm="1">
        <f t="array" aca="1" ref="J723" ca="1">IF(ISNUMBER(A723),IFERROR(_xlfn._xlws.FILTER(Equipar!A:A,(Equipar!B:B=2)*(Equipar!AC:AC=A723)),""),"")</f>
        <v/>
      </c>
    </row>
    <row r="724" spans="1:10" x14ac:dyDescent="0.25">
      <c r="A724" s="1" t="str">
        <f ca="1">IF(A723="ID",1,IF(ISBLANK(B724),"",MAX(A$2:A723)+1))</f>
        <v/>
      </c>
      <c r="I724" s="2" t="str">
        <f ca="1">IF(ISNUMBER(A724),
IF(COUNTIFS(Equipar!B:B,2,Equipar!AC:AC,A724),"Equipada",
IF(
  OR(COUNTIFS(Equipar!B:B,2,Equipar!C:C,A724)
 +COUNTIFS(Equipar!B:B,2,Equipar!D:D,A724)
+COUNTIFS(Equipar!B:B,2,Equipar!E:E,A724)
+COUNTIFS(Equipar!B:B,2,Equipar!F:F,A724)
&gt;0,COUNTIF('Set recomendado'!B:B,C724)=0),
"Bloqueada",
"Desechable")),""
)</f>
        <v/>
      </c>
      <c r="J724" t="str" cm="1">
        <f t="array" aca="1" ref="J724" ca="1">IF(ISNUMBER(A724),IFERROR(_xlfn._xlws.FILTER(Equipar!A:A,(Equipar!B:B=2)*(Equipar!AC:AC=A724)),""),"")</f>
        <v/>
      </c>
    </row>
    <row r="725" spans="1:10" x14ac:dyDescent="0.25">
      <c r="A725" s="1" t="str">
        <f ca="1">IF(A724="ID",1,IF(ISBLANK(B725),"",MAX(A$2:A724)+1))</f>
        <v/>
      </c>
      <c r="I725" s="2" t="str">
        <f ca="1">IF(ISNUMBER(A725),
IF(COUNTIFS(Equipar!B:B,2,Equipar!AC:AC,A725),"Equipada",
IF(
  OR(COUNTIFS(Equipar!B:B,2,Equipar!C:C,A725)
 +COUNTIFS(Equipar!B:B,2,Equipar!D:D,A725)
+COUNTIFS(Equipar!B:B,2,Equipar!E:E,A725)
+COUNTIFS(Equipar!B:B,2,Equipar!F:F,A725)
&gt;0,COUNTIF('Set recomendado'!B:B,C725)=0),
"Bloqueada",
"Desechable")),""
)</f>
        <v/>
      </c>
      <c r="J725" t="str" cm="1">
        <f t="array" aca="1" ref="J725" ca="1">IF(ISNUMBER(A725),IFERROR(_xlfn._xlws.FILTER(Equipar!A:A,(Equipar!B:B=2)*(Equipar!AC:AC=A725)),""),"")</f>
        <v/>
      </c>
    </row>
    <row r="726" spans="1:10" x14ac:dyDescent="0.25">
      <c r="A726" s="1" t="str">
        <f ca="1">IF(A725="ID",1,IF(ISBLANK(B726),"",MAX(A$2:A725)+1))</f>
        <v/>
      </c>
      <c r="I726" s="2" t="str">
        <f ca="1">IF(ISNUMBER(A726),
IF(COUNTIFS(Equipar!B:B,2,Equipar!AC:AC,A726),"Equipada",
IF(
  OR(COUNTIFS(Equipar!B:B,2,Equipar!C:C,A726)
 +COUNTIFS(Equipar!B:B,2,Equipar!D:D,A726)
+COUNTIFS(Equipar!B:B,2,Equipar!E:E,A726)
+COUNTIFS(Equipar!B:B,2,Equipar!F:F,A726)
&gt;0,COUNTIF('Set recomendado'!B:B,C726)=0),
"Bloqueada",
"Desechable")),""
)</f>
        <v/>
      </c>
      <c r="J726" t="str" cm="1">
        <f t="array" aca="1" ref="J726" ca="1">IF(ISNUMBER(A726),IFERROR(_xlfn._xlws.FILTER(Equipar!A:A,(Equipar!B:B=2)*(Equipar!AC:AC=A726)),""),"")</f>
        <v/>
      </c>
    </row>
    <row r="727" spans="1:10" x14ac:dyDescent="0.25">
      <c r="A727" s="1" t="str">
        <f ca="1">IF(A726="ID",1,IF(ISBLANK(B727),"",MAX(A$2:A726)+1))</f>
        <v/>
      </c>
      <c r="I727" s="2" t="str">
        <f ca="1">IF(ISNUMBER(A727),
IF(COUNTIFS(Equipar!B:B,2,Equipar!AC:AC,A727),"Equipada",
IF(
  OR(COUNTIFS(Equipar!B:B,2,Equipar!C:C,A727)
 +COUNTIFS(Equipar!B:B,2,Equipar!D:D,A727)
+COUNTIFS(Equipar!B:B,2,Equipar!E:E,A727)
+COUNTIFS(Equipar!B:B,2,Equipar!F:F,A727)
&gt;0,COUNTIF('Set recomendado'!B:B,C727)=0),
"Bloqueada",
"Desechable")),""
)</f>
        <v/>
      </c>
      <c r="J727" t="str" cm="1">
        <f t="array" aca="1" ref="J727" ca="1">IF(ISNUMBER(A727),IFERROR(_xlfn._xlws.FILTER(Equipar!A:A,(Equipar!B:B=2)*(Equipar!AC:AC=A727)),""),"")</f>
        <v/>
      </c>
    </row>
    <row r="728" spans="1:10" x14ac:dyDescent="0.25">
      <c r="A728" s="1" t="str">
        <f ca="1">IF(A727="ID",1,IF(ISBLANK(B728),"",MAX(A$2:A727)+1))</f>
        <v/>
      </c>
      <c r="I728" s="2" t="str">
        <f ca="1">IF(ISNUMBER(A728),
IF(COUNTIFS(Equipar!B:B,2,Equipar!AC:AC,A728),"Equipada",
IF(
  OR(COUNTIFS(Equipar!B:B,2,Equipar!C:C,A728)
 +COUNTIFS(Equipar!B:B,2,Equipar!D:D,A728)
+COUNTIFS(Equipar!B:B,2,Equipar!E:E,A728)
+COUNTIFS(Equipar!B:B,2,Equipar!F:F,A728)
&gt;0,COUNTIF('Set recomendado'!B:B,C728)=0),
"Bloqueada",
"Desechable")),""
)</f>
        <v/>
      </c>
      <c r="J728" t="str" cm="1">
        <f t="array" aca="1" ref="J728" ca="1">IF(ISNUMBER(A728),IFERROR(_xlfn._xlws.FILTER(Equipar!A:A,(Equipar!B:B=2)*(Equipar!AC:AC=A728)),""),"")</f>
        <v/>
      </c>
    </row>
    <row r="729" spans="1:10" x14ac:dyDescent="0.25">
      <c r="A729" s="1" t="str">
        <f ca="1">IF(A728="ID",1,IF(ISBLANK(B729),"",MAX(A$2:A728)+1))</f>
        <v/>
      </c>
      <c r="I729" s="2" t="str">
        <f ca="1">IF(ISNUMBER(A729),
IF(COUNTIFS(Equipar!B:B,2,Equipar!AC:AC,A729),"Equipada",
IF(
  OR(COUNTIFS(Equipar!B:B,2,Equipar!C:C,A729)
 +COUNTIFS(Equipar!B:B,2,Equipar!D:D,A729)
+COUNTIFS(Equipar!B:B,2,Equipar!E:E,A729)
+COUNTIFS(Equipar!B:B,2,Equipar!F:F,A729)
&gt;0,COUNTIF('Set recomendado'!B:B,C729)=0),
"Bloqueada",
"Desechable")),""
)</f>
        <v/>
      </c>
      <c r="J729" t="str" cm="1">
        <f t="array" aca="1" ref="J729" ca="1">IF(ISNUMBER(A729),IFERROR(_xlfn._xlws.FILTER(Equipar!A:A,(Equipar!B:B=2)*(Equipar!AC:AC=A729)),""),"")</f>
        <v/>
      </c>
    </row>
    <row r="730" spans="1:10" x14ac:dyDescent="0.25">
      <c r="A730" s="1" t="str">
        <f ca="1">IF(A729="ID",1,IF(ISBLANK(B730),"",MAX(A$2:A729)+1))</f>
        <v/>
      </c>
      <c r="I730" s="2" t="str">
        <f ca="1">IF(ISNUMBER(A730),
IF(COUNTIFS(Equipar!B:B,2,Equipar!AC:AC,A730),"Equipada",
IF(
  OR(COUNTIFS(Equipar!B:B,2,Equipar!C:C,A730)
 +COUNTIFS(Equipar!B:B,2,Equipar!D:D,A730)
+COUNTIFS(Equipar!B:B,2,Equipar!E:E,A730)
+COUNTIFS(Equipar!B:B,2,Equipar!F:F,A730)
&gt;0,COUNTIF('Set recomendado'!B:B,C730)=0),
"Bloqueada",
"Desechable")),""
)</f>
        <v/>
      </c>
      <c r="J730" t="str" cm="1">
        <f t="array" aca="1" ref="J730" ca="1">IF(ISNUMBER(A730),IFERROR(_xlfn._xlws.FILTER(Equipar!A:A,(Equipar!B:B=2)*(Equipar!AC:AC=A730)),""),"")</f>
        <v/>
      </c>
    </row>
    <row r="731" spans="1:10" x14ac:dyDescent="0.25">
      <c r="A731" s="1" t="str">
        <f ca="1">IF(A730="ID",1,IF(ISBLANK(B731),"",MAX(A$2:A730)+1))</f>
        <v/>
      </c>
      <c r="I731" s="2" t="str">
        <f ca="1">IF(ISNUMBER(A731),
IF(COUNTIFS(Equipar!B:B,2,Equipar!AC:AC,A731),"Equipada",
IF(
  OR(COUNTIFS(Equipar!B:B,2,Equipar!C:C,A731)
 +COUNTIFS(Equipar!B:B,2,Equipar!D:D,A731)
+COUNTIFS(Equipar!B:B,2,Equipar!E:E,A731)
+COUNTIFS(Equipar!B:B,2,Equipar!F:F,A731)
&gt;0,COUNTIF('Set recomendado'!B:B,C731)=0),
"Bloqueada",
"Desechable")),""
)</f>
        <v/>
      </c>
      <c r="J731" t="str" cm="1">
        <f t="array" aca="1" ref="J731" ca="1">IF(ISNUMBER(A731),IFERROR(_xlfn._xlws.FILTER(Equipar!A:A,(Equipar!B:B=2)*(Equipar!AC:AC=A731)),""),"")</f>
        <v/>
      </c>
    </row>
    <row r="732" spans="1:10" x14ac:dyDescent="0.25">
      <c r="A732" s="1" t="str">
        <f ca="1">IF(A731="ID",1,IF(ISBLANK(B732),"",MAX(A$2:A731)+1))</f>
        <v/>
      </c>
      <c r="I732" s="2" t="str">
        <f ca="1">IF(ISNUMBER(A732),
IF(COUNTIFS(Equipar!B:B,2,Equipar!AC:AC,A732),"Equipada",
IF(
  OR(COUNTIFS(Equipar!B:B,2,Equipar!C:C,A732)
 +COUNTIFS(Equipar!B:B,2,Equipar!D:D,A732)
+COUNTIFS(Equipar!B:B,2,Equipar!E:E,A732)
+COUNTIFS(Equipar!B:B,2,Equipar!F:F,A732)
&gt;0,COUNTIF('Set recomendado'!B:B,C732)=0),
"Bloqueada",
"Desechable")),""
)</f>
        <v/>
      </c>
      <c r="J732" t="str" cm="1">
        <f t="array" aca="1" ref="J732" ca="1">IF(ISNUMBER(A732),IFERROR(_xlfn._xlws.FILTER(Equipar!A:A,(Equipar!B:B=2)*(Equipar!AC:AC=A732)),""),"")</f>
        <v/>
      </c>
    </row>
    <row r="733" spans="1:10" x14ac:dyDescent="0.25">
      <c r="A733" s="1" t="str">
        <f ca="1">IF(A732="ID",1,IF(ISBLANK(B733),"",MAX(A$2:A732)+1))</f>
        <v/>
      </c>
      <c r="I733" s="2" t="str">
        <f ca="1">IF(ISNUMBER(A733),
IF(COUNTIFS(Equipar!B:B,2,Equipar!AC:AC,A733),"Equipada",
IF(
  OR(COUNTIFS(Equipar!B:B,2,Equipar!C:C,A733)
 +COUNTIFS(Equipar!B:B,2,Equipar!D:D,A733)
+COUNTIFS(Equipar!B:B,2,Equipar!E:E,A733)
+COUNTIFS(Equipar!B:B,2,Equipar!F:F,A733)
&gt;0,COUNTIF('Set recomendado'!B:B,C733)=0),
"Bloqueada",
"Desechable")),""
)</f>
        <v/>
      </c>
      <c r="J733" t="str" cm="1">
        <f t="array" aca="1" ref="J733" ca="1">IF(ISNUMBER(A733),IFERROR(_xlfn._xlws.FILTER(Equipar!A:A,(Equipar!B:B=2)*(Equipar!AC:AC=A733)),""),"")</f>
        <v/>
      </c>
    </row>
    <row r="734" spans="1:10" x14ac:dyDescent="0.25">
      <c r="A734" s="1" t="str">
        <f ca="1">IF(A733="ID",1,IF(ISBLANK(B734),"",MAX(A$2:A733)+1))</f>
        <v/>
      </c>
      <c r="I734" s="2" t="str">
        <f ca="1">IF(ISNUMBER(A734),
IF(COUNTIFS(Equipar!B:B,2,Equipar!AC:AC,A734),"Equipada",
IF(
  OR(COUNTIFS(Equipar!B:B,2,Equipar!C:C,A734)
 +COUNTIFS(Equipar!B:B,2,Equipar!D:D,A734)
+COUNTIFS(Equipar!B:B,2,Equipar!E:E,A734)
+COUNTIFS(Equipar!B:B,2,Equipar!F:F,A734)
&gt;0,COUNTIF('Set recomendado'!B:B,C734)=0),
"Bloqueada",
"Desechable")),""
)</f>
        <v/>
      </c>
      <c r="J734" t="str" cm="1">
        <f t="array" aca="1" ref="J734" ca="1">IF(ISNUMBER(A734),IFERROR(_xlfn._xlws.FILTER(Equipar!A:A,(Equipar!B:B=2)*(Equipar!AC:AC=A734)),""),"")</f>
        <v/>
      </c>
    </row>
    <row r="735" spans="1:10" x14ac:dyDescent="0.25">
      <c r="A735" s="1" t="str">
        <f ca="1">IF(A734="ID",1,IF(ISBLANK(B735),"",MAX(A$2:A734)+1))</f>
        <v/>
      </c>
      <c r="I735" s="2" t="str">
        <f ca="1">IF(ISNUMBER(A735),
IF(COUNTIFS(Equipar!B:B,2,Equipar!AC:AC,A735),"Equipada",
IF(
  OR(COUNTIFS(Equipar!B:B,2,Equipar!C:C,A735)
 +COUNTIFS(Equipar!B:B,2,Equipar!D:D,A735)
+COUNTIFS(Equipar!B:B,2,Equipar!E:E,A735)
+COUNTIFS(Equipar!B:B,2,Equipar!F:F,A735)
&gt;0,COUNTIF('Set recomendado'!B:B,C735)=0),
"Bloqueada",
"Desechable")),""
)</f>
        <v/>
      </c>
      <c r="J735" t="str" cm="1">
        <f t="array" aca="1" ref="J735" ca="1">IF(ISNUMBER(A735),IFERROR(_xlfn._xlws.FILTER(Equipar!A:A,(Equipar!B:B=2)*(Equipar!AC:AC=A735)),""),"")</f>
        <v/>
      </c>
    </row>
    <row r="736" spans="1:10" x14ac:dyDescent="0.25">
      <c r="A736" s="1" t="str">
        <f ca="1">IF(A735="ID",1,IF(ISBLANK(B736),"",MAX(A$2:A735)+1))</f>
        <v/>
      </c>
      <c r="I736" s="2" t="str">
        <f ca="1">IF(ISNUMBER(A736),
IF(COUNTIFS(Equipar!B:B,2,Equipar!AC:AC,A736),"Equipada",
IF(
  OR(COUNTIFS(Equipar!B:B,2,Equipar!C:C,A736)
 +COUNTIFS(Equipar!B:B,2,Equipar!D:D,A736)
+COUNTIFS(Equipar!B:B,2,Equipar!E:E,A736)
+COUNTIFS(Equipar!B:B,2,Equipar!F:F,A736)
&gt;0,COUNTIF('Set recomendado'!B:B,C736)=0),
"Bloqueada",
"Desechable")),""
)</f>
        <v/>
      </c>
      <c r="J736" t="str" cm="1">
        <f t="array" aca="1" ref="J736" ca="1">IF(ISNUMBER(A736),IFERROR(_xlfn._xlws.FILTER(Equipar!A:A,(Equipar!B:B=2)*(Equipar!AC:AC=A736)),""),"")</f>
        <v/>
      </c>
    </row>
    <row r="737" spans="1:10" x14ac:dyDescent="0.25">
      <c r="A737" s="1" t="str">
        <f ca="1">IF(A736="ID",1,IF(ISBLANK(B737),"",MAX(A$2:A736)+1))</f>
        <v/>
      </c>
      <c r="I737" s="2" t="str">
        <f ca="1">IF(ISNUMBER(A737),
IF(COUNTIFS(Equipar!B:B,2,Equipar!AC:AC,A737),"Equipada",
IF(
  OR(COUNTIFS(Equipar!B:B,2,Equipar!C:C,A737)
 +COUNTIFS(Equipar!B:B,2,Equipar!D:D,A737)
+COUNTIFS(Equipar!B:B,2,Equipar!E:E,A737)
+COUNTIFS(Equipar!B:B,2,Equipar!F:F,A737)
&gt;0,COUNTIF('Set recomendado'!B:B,C737)=0),
"Bloqueada",
"Desechable")),""
)</f>
        <v/>
      </c>
      <c r="J737" t="str" cm="1">
        <f t="array" aca="1" ref="J737" ca="1">IF(ISNUMBER(A737),IFERROR(_xlfn._xlws.FILTER(Equipar!A:A,(Equipar!B:B=2)*(Equipar!AC:AC=A737)),""),"")</f>
        <v/>
      </c>
    </row>
    <row r="738" spans="1:10" x14ac:dyDescent="0.25">
      <c r="A738" s="1" t="str">
        <f ca="1">IF(A737="ID",1,IF(ISBLANK(B738),"",MAX(A$2:A737)+1))</f>
        <v/>
      </c>
      <c r="I738" s="2" t="str">
        <f ca="1">IF(ISNUMBER(A738),
IF(COUNTIFS(Equipar!B:B,2,Equipar!AC:AC,A738),"Equipada",
IF(
  OR(COUNTIFS(Equipar!B:B,2,Equipar!C:C,A738)
 +COUNTIFS(Equipar!B:B,2,Equipar!D:D,A738)
+COUNTIFS(Equipar!B:B,2,Equipar!E:E,A738)
+COUNTIFS(Equipar!B:B,2,Equipar!F:F,A738)
&gt;0,COUNTIF('Set recomendado'!B:B,C738)=0),
"Bloqueada",
"Desechable")),""
)</f>
        <v/>
      </c>
      <c r="J738" t="str" cm="1">
        <f t="array" aca="1" ref="J738" ca="1">IF(ISNUMBER(A738),IFERROR(_xlfn._xlws.FILTER(Equipar!A:A,(Equipar!B:B=2)*(Equipar!AC:AC=A738)),""),"")</f>
        <v/>
      </c>
    </row>
    <row r="739" spans="1:10" x14ac:dyDescent="0.25">
      <c r="A739" s="1" t="str">
        <f ca="1">IF(A738="ID",1,IF(ISBLANK(B739),"",MAX(A$2:A738)+1))</f>
        <v/>
      </c>
      <c r="I739" s="2" t="str">
        <f ca="1">IF(ISNUMBER(A739),
IF(COUNTIFS(Equipar!B:B,2,Equipar!AC:AC,A739),"Equipada",
IF(
  OR(COUNTIFS(Equipar!B:B,2,Equipar!C:C,A739)
 +COUNTIFS(Equipar!B:B,2,Equipar!D:D,A739)
+COUNTIFS(Equipar!B:B,2,Equipar!E:E,A739)
+COUNTIFS(Equipar!B:B,2,Equipar!F:F,A739)
&gt;0,COUNTIF('Set recomendado'!B:B,C739)=0),
"Bloqueada",
"Desechable")),""
)</f>
        <v/>
      </c>
      <c r="J739" t="str" cm="1">
        <f t="array" aca="1" ref="J739" ca="1">IF(ISNUMBER(A739),IFERROR(_xlfn._xlws.FILTER(Equipar!A:A,(Equipar!B:B=2)*(Equipar!AC:AC=A739)),""),"")</f>
        <v/>
      </c>
    </row>
    <row r="740" spans="1:10" x14ac:dyDescent="0.25">
      <c r="A740" s="1" t="str">
        <f ca="1">IF(A739="ID",1,IF(ISBLANK(B740),"",MAX(A$2:A739)+1))</f>
        <v/>
      </c>
      <c r="I740" s="2" t="str">
        <f ca="1">IF(ISNUMBER(A740),
IF(COUNTIFS(Equipar!B:B,2,Equipar!AC:AC,A740),"Equipada",
IF(
  OR(COUNTIFS(Equipar!B:B,2,Equipar!C:C,A740)
 +COUNTIFS(Equipar!B:B,2,Equipar!D:D,A740)
+COUNTIFS(Equipar!B:B,2,Equipar!E:E,A740)
+COUNTIFS(Equipar!B:B,2,Equipar!F:F,A740)
&gt;0,COUNTIF('Set recomendado'!B:B,C740)=0),
"Bloqueada",
"Desechable")),""
)</f>
        <v/>
      </c>
      <c r="J740" t="str" cm="1">
        <f t="array" aca="1" ref="J740" ca="1">IF(ISNUMBER(A740),IFERROR(_xlfn._xlws.FILTER(Equipar!A:A,(Equipar!B:B=2)*(Equipar!AC:AC=A740)),""),"")</f>
        <v/>
      </c>
    </row>
    <row r="741" spans="1:10" x14ac:dyDescent="0.25">
      <c r="A741" s="1" t="str">
        <f ca="1">IF(A740="ID",1,IF(ISBLANK(B741),"",MAX(A$2:A740)+1))</f>
        <v/>
      </c>
      <c r="I741" s="2" t="str">
        <f ca="1">IF(ISNUMBER(A741),
IF(COUNTIFS(Equipar!B:B,2,Equipar!AC:AC,A741),"Equipada",
IF(
  OR(COUNTIFS(Equipar!B:B,2,Equipar!C:C,A741)
 +COUNTIFS(Equipar!B:B,2,Equipar!D:D,A741)
+COUNTIFS(Equipar!B:B,2,Equipar!E:E,A741)
+COUNTIFS(Equipar!B:B,2,Equipar!F:F,A741)
&gt;0,COUNTIF('Set recomendado'!B:B,C741)=0),
"Bloqueada",
"Desechable")),""
)</f>
        <v/>
      </c>
      <c r="J741" t="str" cm="1">
        <f t="array" aca="1" ref="J741" ca="1">IF(ISNUMBER(A741),IFERROR(_xlfn._xlws.FILTER(Equipar!A:A,(Equipar!B:B=2)*(Equipar!AC:AC=A741)),""),"")</f>
        <v/>
      </c>
    </row>
    <row r="742" spans="1:10" x14ac:dyDescent="0.25">
      <c r="A742" s="1" t="str">
        <f ca="1">IF(A741="ID",1,IF(ISBLANK(B742),"",MAX(A$2:A741)+1))</f>
        <v/>
      </c>
      <c r="I742" s="2" t="str">
        <f ca="1">IF(ISNUMBER(A742),
IF(COUNTIFS(Equipar!B:B,2,Equipar!AC:AC,A742),"Equipada",
IF(
  OR(COUNTIFS(Equipar!B:B,2,Equipar!C:C,A742)
 +COUNTIFS(Equipar!B:B,2,Equipar!D:D,A742)
+COUNTIFS(Equipar!B:B,2,Equipar!E:E,A742)
+COUNTIFS(Equipar!B:B,2,Equipar!F:F,A742)
&gt;0,COUNTIF('Set recomendado'!B:B,C742)=0),
"Bloqueada",
"Desechable")),""
)</f>
        <v/>
      </c>
      <c r="J742" t="str" cm="1">
        <f t="array" aca="1" ref="J742" ca="1">IF(ISNUMBER(A742),IFERROR(_xlfn._xlws.FILTER(Equipar!A:A,(Equipar!B:B=2)*(Equipar!AC:AC=A742)),""),"")</f>
        <v/>
      </c>
    </row>
    <row r="743" spans="1:10" x14ac:dyDescent="0.25">
      <c r="A743" s="1" t="str">
        <f ca="1">IF(A742="ID",1,IF(ISBLANK(B743),"",MAX(A$2:A742)+1))</f>
        <v/>
      </c>
      <c r="I743" s="2" t="str">
        <f ca="1">IF(ISNUMBER(A743),
IF(COUNTIFS(Equipar!B:B,2,Equipar!AC:AC,A743),"Equipada",
IF(
  OR(COUNTIFS(Equipar!B:B,2,Equipar!C:C,A743)
 +COUNTIFS(Equipar!B:B,2,Equipar!D:D,A743)
+COUNTIFS(Equipar!B:B,2,Equipar!E:E,A743)
+COUNTIFS(Equipar!B:B,2,Equipar!F:F,A743)
&gt;0,COUNTIF('Set recomendado'!B:B,C743)=0),
"Bloqueada",
"Desechable")),""
)</f>
        <v/>
      </c>
      <c r="J743" t="str" cm="1">
        <f t="array" aca="1" ref="J743" ca="1">IF(ISNUMBER(A743),IFERROR(_xlfn._xlws.FILTER(Equipar!A:A,(Equipar!B:B=2)*(Equipar!AC:AC=A743)),""),"")</f>
        <v/>
      </c>
    </row>
    <row r="744" spans="1:10" x14ac:dyDescent="0.25">
      <c r="A744" s="1" t="str">
        <f ca="1">IF(A743="ID",1,IF(ISBLANK(B744),"",MAX(A$2:A743)+1))</f>
        <v/>
      </c>
      <c r="I744" s="2" t="str">
        <f ca="1">IF(ISNUMBER(A744),
IF(COUNTIFS(Equipar!B:B,2,Equipar!AC:AC,A744),"Equipada",
IF(
  OR(COUNTIFS(Equipar!B:B,2,Equipar!C:C,A744)
 +COUNTIFS(Equipar!B:B,2,Equipar!D:D,A744)
+COUNTIFS(Equipar!B:B,2,Equipar!E:E,A744)
+COUNTIFS(Equipar!B:B,2,Equipar!F:F,A744)
&gt;0,COUNTIF('Set recomendado'!B:B,C744)=0),
"Bloqueada",
"Desechable")),""
)</f>
        <v/>
      </c>
      <c r="J744" t="str" cm="1">
        <f t="array" aca="1" ref="J744" ca="1">IF(ISNUMBER(A744),IFERROR(_xlfn._xlws.FILTER(Equipar!A:A,(Equipar!B:B=2)*(Equipar!AC:AC=A744)),""),"")</f>
        <v/>
      </c>
    </row>
    <row r="745" spans="1:10" x14ac:dyDescent="0.25">
      <c r="A745" s="1" t="str">
        <f ca="1">IF(A744="ID",1,IF(ISBLANK(B745),"",MAX(A$2:A744)+1))</f>
        <v/>
      </c>
      <c r="I745" s="2" t="str">
        <f ca="1">IF(ISNUMBER(A745),
IF(COUNTIFS(Equipar!B:B,2,Equipar!AC:AC,A745),"Equipada",
IF(
  OR(COUNTIFS(Equipar!B:B,2,Equipar!C:C,A745)
 +COUNTIFS(Equipar!B:B,2,Equipar!D:D,A745)
+COUNTIFS(Equipar!B:B,2,Equipar!E:E,A745)
+COUNTIFS(Equipar!B:B,2,Equipar!F:F,A745)
&gt;0,COUNTIF('Set recomendado'!B:B,C745)=0),
"Bloqueada",
"Desechable")),""
)</f>
        <v/>
      </c>
      <c r="J745" t="str" cm="1">
        <f t="array" aca="1" ref="J745" ca="1">IF(ISNUMBER(A745),IFERROR(_xlfn._xlws.FILTER(Equipar!A:A,(Equipar!B:B=2)*(Equipar!AC:AC=A745)),""),"")</f>
        <v/>
      </c>
    </row>
    <row r="746" spans="1:10" x14ac:dyDescent="0.25">
      <c r="A746" s="1" t="str">
        <f ca="1">IF(A745="ID",1,IF(ISBLANK(B746),"",MAX(A$2:A745)+1))</f>
        <v/>
      </c>
      <c r="I746" s="2" t="str">
        <f ca="1">IF(ISNUMBER(A746),
IF(COUNTIFS(Equipar!B:B,2,Equipar!AC:AC,A746),"Equipada",
IF(
  OR(COUNTIFS(Equipar!B:B,2,Equipar!C:C,A746)
 +COUNTIFS(Equipar!B:B,2,Equipar!D:D,A746)
+COUNTIFS(Equipar!B:B,2,Equipar!E:E,A746)
+COUNTIFS(Equipar!B:B,2,Equipar!F:F,A746)
&gt;0,COUNTIF('Set recomendado'!B:B,C746)=0),
"Bloqueada",
"Desechable")),""
)</f>
        <v/>
      </c>
      <c r="J746" t="str" cm="1">
        <f t="array" aca="1" ref="J746" ca="1">IF(ISNUMBER(A746),IFERROR(_xlfn._xlws.FILTER(Equipar!A:A,(Equipar!B:B=2)*(Equipar!AC:AC=A746)),""),"")</f>
        <v/>
      </c>
    </row>
    <row r="747" spans="1:10" x14ac:dyDescent="0.25">
      <c r="A747" s="1" t="str">
        <f ca="1">IF(A746="ID",1,IF(ISBLANK(B747),"",MAX(A$2:A746)+1))</f>
        <v/>
      </c>
      <c r="I747" s="2" t="str">
        <f ca="1">IF(ISNUMBER(A747),
IF(COUNTIFS(Equipar!B:B,2,Equipar!AC:AC,A747),"Equipada",
IF(
  OR(COUNTIFS(Equipar!B:B,2,Equipar!C:C,A747)
 +COUNTIFS(Equipar!B:B,2,Equipar!D:D,A747)
+COUNTIFS(Equipar!B:B,2,Equipar!E:E,A747)
+COUNTIFS(Equipar!B:B,2,Equipar!F:F,A747)
&gt;0,COUNTIF('Set recomendado'!B:B,C747)=0),
"Bloqueada",
"Desechable")),""
)</f>
        <v/>
      </c>
      <c r="J747" t="str" cm="1">
        <f t="array" aca="1" ref="J747" ca="1">IF(ISNUMBER(A747),IFERROR(_xlfn._xlws.FILTER(Equipar!A:A,(Equipar!B:B=2)*(Equipar!AC:AC=A747)),""),"")</f>
        <v/>
      </c>
    </row>
    <row r="748" spans="1:10" x14ac:dyDescent="0.25">
      <c r="A748" s="1" t="str">
        <f ca="1">IF(A747="ID",1,IF(ISBLANK(B748),"",MAX(A$2:A747)+1))</f>
        <v/>
      </c>
      <c r="I748" s="2" t="str">
        <f ca="1">IF(ISNUMBER(A748),
IF(COUNTIFS(Equipar!B:B,2,Equipar!AC:AC,A748),"Equipada",
IF(
  OR(COUNTIFS(Equipar!B:B,2,Equipar!C:C,A748)
 +COUNTIFS(Equipar!B:B,2,Equipar!D:D,A748)
+COUNTIFS(Equipar!B:B,2,Equipar!E:E,A748)
+COUNTIFS(Equipar!B:B,2,Equipar!F:F,A748)
&gt;0,COUNTIF('Set recomendado'!B:B,C748)=0),
"Bloqueada",
"Desechable")),""
)</f>
        <v/>
      </c>
      <c r="J748" t="str" cm="1">
        <f t="array" aca="1" ref="J748" ca="1">IF(ISNUMBER(A748),IFERROR(_xlfn._xlws.FILTER(Equipar!A:A,(Equipar!B:B=2)*(Equipar!AC:AC=A748)),""),"")</f>
        <v/>
      </c>
    </row>
    <row r="749" spans="1:10" x14ac:dyDescent="0.25">
      <c r="A749" s="1" t="str">
        <f ca="1">IF(A748="ID",1,IF(ISBLANK(B749),"",MAX(A$2:A748)+1))</f>
        <v/>
      </c>
      <c r="I749" s="2" t="str">
        <f ca="1">IF(ISNUMBER(A749),
IF(COUNTIFS(Equipar!B:B,2,Equipar!AC:AC,A749),"Equipada",
IF(
  OR(COUNTIFS(Equipar!B:B,2,Equipar!C:C,A749)
 +COUNTIFS(Equipar!B:B,2,Equipar!D:D,A749)
+COUNTIFS(Equipar!B:B,2,Equipar!E:E,A749)
+COUNTIFS(Equipar!B:B,2,Equipar!F:F,A749)
&gt;0,COUNTIF('Set recomendado'!B:B,C749)=0),
"Bloqueada",
"Desechable")),""
)</f>
        <v/>
      </c>
      <c r="J749" t="str" cm="1">
        <f t="array" aca="1" ref="J749" ca="1">IF(ISNUMBER(A749),IFERROR(_xlfn._xlws.FILTER(Equipar!A:A,(Equipar!B:B=2)*(Equipar!AC:AC=A749)),""),"")</f>
        <v/>
      </c>
    </row>
    <row r="750" spans="1:10" x14ac:dyDescent="0.25">
      <c r="A750" s="1" t="str">
        <f ca="1">IF(A749="ID",1,IF(ISBLANK(B750),"",MAX(A$2:A749)+1))</f>
        <v/>
      </c>
      <c r="I750" s="2" t="str">
        <f ca="1">IF(ISNUMBER(A750),
IF(COUNTIFS(Equipar!B:B,2,Equipar!AC:AC,A750),"Equipada",
IF(
  OR(COUNTIFS(Equipar!B:B,2,Equipar!C:C,A750)
 +COUNTIFS(Equipar!B:B,2,Equipar!D:D,A750)
+COUNTIFS(Equipar!B:B,2,Equipar!E:E,A750)
+COUNTIFS(Equipar!B:B,2,Equipar!F:F,A750)
&gt;0,COUNTIF('Set recomendado'!B:B,C750)=0),
"Bloqueada",
"Desechable")),""
)</f>
        <v/>
      </c>
      <c r="J750" t="str" cm="1">
        <f t="array" aca="1" ref="J750" ca="1">IF(ISNUMBER(A750),IFERROR(_xlfn._xlws.FILTER(Equipar!A:A,(Equipar!B:B=2)*(Equipar!AC:AC=A750)),""),"")</f>
        <v/>
      </c>
    </row>
    <row r="751" spans="1:10" x14ac:dyDescent="0.25">
      <c r="A751" s="1" t="str">
        <f ca="1">IF(A750="ID",1,IF(ISBLANK(B751),"",MAX(A$2:A750)+1))</f>
        <v/>
      </c>
      <c r="I751" s="2" t="str">
        <f ca="1">IF(ISNUMBER(A751),
IF(COUNTIFS(Equipar!B:B,2,Equipar!AC:AC,A751),"Equipada",
IF(
  OR(COUNTIFS(Equipar!B:B,2,Equipar!C:C,A751)
 +COUNTIFS(Equipar!B:B,2,Equipar!D:D,A751)
+COUNTIFS(Equipar!B:B,2,Equipar!E:E,A751)
+COUNTIFS(Equipar!B:B,2,Equipar!F:F,A751)
&gt;0,COUNTIF('Set recomendado'!B:B,C751)=0),
"Bloqueada",
"Desechable")),""
)</f>
        <v/>
      </c>
      <c r="J751" t="str" cm="1">
        <f t="array" aca="1" ref="J751" ca="1">IF(ISNUMBER(A751),IFERROR(_xlfn._xlws.FILTER(Equipar!A:A,(Equipar!B:B=2)*(Equipar!AC:AC=A751)),""),"")</f>
        <v/>
      </c>
    </row>
    <row r="752" spans="1:10" x14ac:dyDescent="0.25">
      <c r="A752" s="1" t="str">
        <f ca="1">IF(A751="ID",1,IF(ISBLANK(B752),"",MAX(A$2:A751)+1))</f>
        <v/>
      </c>
      <c r="I752" s="2" t="str">
        <f ca="1">IF(ISNUMBER(A752),
IF(COUNTIFS(Equipar!B:B,2,Equipar!AC:AC,A752),"Equipada",
IF(
  OR(COUNTIFS(Equipar!B:B,2,Equipar!C:C,A752)
 +COUNTIFS(Equipar!B:B,2,Equipar!D:D,A752)
+COUNTIFS(Equipar!B:B,2,Equipar!E:E,A752)
+COUNTIFS(Equipar!B:B,2,Equipar!F:F,A752)
&gt;0,COUNTIF('Set recomendado'!B:B,C752)=0),
"Bloqueada",
"Desechable")),""
)</f>
        <v/>
      </c>
      <c r="J752" t="str" cm="1">
        <f t="array" aca="1" ref="J752" ca="1">IF(ISNUMBER(A752),IFERROR(_xlfn._xlws.FILTER(Equipar!A:A,(Equipar!B:B=2)*(Equipar!AC:AC=A752)),""),"")</f>
        <v/>
      </c>
    </row>
    <row r="753" spans="1:10" x14ac:dyDescent="0.25">
      <c r="A753" s="1" t="str">
        <f ca="1">IF(A752="ID",1,IF(ISBLANK(B753),"",MAX(A$2:A752)+1))</f>
        <v/>
      </c>
      <c r="I753" s="2" t="str">
        <f ca="1">IF(ISNUMBER(A753),
IF(COUNTIFS(Equipar!B:B,2,Equipar!AC:AC,A753),"Equipada",
IF(
  OR(COUNTIFS(Equipar!B:B,2,Equipar!C:C,A753)
 +COUNTIFS(Equipar!B:B,2,Equipar!D:D,A753)
+COUNTIFS(Equipar!B:B,2,Equipar!E:E,A753)
+COUNTIFS(Equipar!B:B,2,Equipar!F:F,A753)
&gt;0,COUNTIF('Set recomendado'!B:B,C753)=0),
"Bloqueada",
"Desechable")),""
)</f>
        <v/>
      </c>
      <c r="J753" t="str" cm="1">
        <f t="array" aca="1" ref="J753" ca="1">IF(ISNUMBER(A753),IFERROR(_xlfn._xlws.FILTER(Equipar!A:A,(Equipar!B:B=2)*(Equipar!AC:AC=A753)),""),"")</f>
        <v/>
      </c>
    </row>
    <row r="754" spans="1:10" x14ac:dyDescent="0.25">
      <c r="A754" s="1" t="str">
        <f ca="1">IF(A753="ID",1,IF(ISBLANK(B754),"",MAX(A$2:A753)+1))</f>
        <v/>
      </c>
      <c r="I754" s="2" t="str">
        <f ca="1">IF(ISNUMBER(A754),
IF(COUNTIFS(Equipar!B:B,2,Equipar!AC:AC,A754),"Equipada",
IF(
  OR(COUNTIFS(Equipar!B:B,2,Equipar!C:C,A754)
 +COUNTIFS(Equipar!B:B,2,Equipar!D:D,A754)
+COUNTIFS(Equipar!B:B,2,Equipar!E:E,A754)
+COUNTIFS(Equipar!B:B,2,Equipar!F:F,A754)
&gt;0,COUNTIF('Set recomendado'!B:B,C754)=0),
"Bloqueada",
"Desechable")),""
)</f>
        <v/>
      </c>
      <c r="J754" t="str" cm="1">
        <f t="array" aca="1" ref="J754" ca="1">IF(ISNUMBER(A754),IFERROR(_xlfn._xlws.FILTER(Equipar!A:A,(Equipar!B:B=2)*(Equipar!AC:AC=A754)),""),"")</f>
        <v/>
      </c>
    </row>
    <row r="755" spans="1:10" x14ac:dyDescent="0.25">
      <c r="A755" s="1" t="str">
        <f ca="1">IF(A754="ID",1,IF(ISBLANK(B755),"",MAX(A$2:A754)+1))</f>
        <v/>
      </c>
      <c r="I755" s="2" t="str">
        <f ca="1">IF(ISNUMBER(A755),
IF(COUNTIFS(Equipar!B:B,2,Equipar!AC:AC,A755),"Equipada",
IF(
  OR(COUNTIFS(Equipar!B:B,2,Equipar!C:C,A755)
 +COUNTIFS(Equipar!B:B,2,Equipar!D:D,A755)
+COUNTIFS(Equipar!B:B,2,Equipar!E:E,A755)
+COUNTIFS(Equipar!B:B,2,Equipar!F:F,A755)
&gt;0,COUNTIF('Set recomendado'!B:B,C755)=0),
"Bloqueada",
"Desechable")),""
)</f>
        <v/>
      </c>
      <c r="J755" t="str" cm="1">
        <f t="array" aca="1" ref="J755" ca="1">IF(ISNUMBER(A755),IFERROR(_xlfn._xlws.FILTER(Equipar!A:A,(Equipar!B:B=2)*(Equipar!AC:AC=A755)),""),"")</f>
        <v/>
      </c>
    </row>
    <row r="756" spans="1:10" x14ac:dyDescent="0.25">
      <c r="A756" s="1" t="str">
        <f ca="1">IF(A755="ID",1,IF(ISBLANK(B756),"",MAX(A$2:A755)+1))</f>
        <v/>
      </c>
      <c r="I756" s="2" t="str">
        <f ca="1">IF(ISNUMBER(A756),
IF(COUNTIFS(Equipar!B:B,2,Equipar!AC:AC,A756),"Equipada",
IF(
  OR(COUNTIFS(Equipar!B:B,2,Equipar!C:C,A756)
 +COUNTIFS(Equipar!B:B,2,Equipar!D:D,A756)
+COUNTIFS(Equipar!B:B,2,Equipar!E:E,A756)
+COUNTIFS(Equipar!B:B,2,Equipar!F:F,A756)
&gt;0,COUNTIF('Set recomendado'!B:B,C756)=0),
"Bloqueada",
"Desechable")),""
)</f>
        <v/>
      </c>
      <c r="J756" t="str" cm="1">
        <f t="array" aca="1" ref="J756" ca="1">IF(ISNUMBER(A756),IFERROR(_xlfn._xlws.FILTER(Equipar!A:A,(Equipar!B:B=2)*(Equipar!AC:AC=A756)),""),"")</f>
        <v/>
      </c>
    </row>
    <row r="757" spans="1:10" x14ac:dyDescent="0.25">
      <c r="A757" s="1" t="str">
        <f ca="1">IF(A756="ID",1,IF(ISBLANK(B757),"",MAX(A$2:A756)+1))</f>
        <v/>
      </c>
      <c r="I757" s="2" t="str">
        <f ca="1">IF(ISNUMBER(A757),
IF(COUNTIFS(Equipar!B:B,2,Equipar!AC:AC,A757),"Equipada",
IF(
  OR(COUNTIFS(Equipar!B:B,2,Equipar!C:C,A757)
 +COUNTIFS(Equipar!B:B,2,Equipar!D:D,A757)
+COUNTIFS(Equipar!B:B,2,Equipar!E:E,A757)
+COUNTIFS(Equipar!B:B,2,Equipar!F:F,A757)
&gt;0,COUNTIF('Set recomendado'!B:B,C757)=0),
"Bloqueada",
"Desechable")),""
)</f>
        <v/>
      </c>
      <c r="J757" t="str" cm="1">
        <f t="array" aca="1" ref="J757" ca="1">IF(ISNUMBER(A757),IFERROR(_xlfn._xlws.FILTER(Equipar!A:A,(Equipar!B:B=2)*(Equipar!AC:AC=A757)),""),"")</f>
        <v/>
      </c>
    </row>
    <row r="758" spans="1:10" x14ac:dyDescent="0.25">
      <c r="A758" s="1" t="str">
        <f ca="1">IF(A757="ID",1,IF(ISBLANK(B758),"",MAX(A$2:A757)+1))</f>
        <v/>
      </c>
      <c r="I758" s="2" t="str">
        <f ca="1">IF(ISNUMBER(A758),
IF(COUNTIFS(Equipar!B:B,2,Equipar!AC:AC,A758),"Equipada",
IF(
  OR(COUNTIFS(Equipar!B:B,2,Equipar!C:C,A758)
 +COUNTIFS(Equipar!B:B,2,Equipar!D:D,A758)
+COUNTIFS(Equipar!B:B,2,Equipar!E:E,A758)
+COUNTIFS(Equipar!B:B,2,Equipar!F:F,A758)
&gt;0,COUNTIF('Set recomendado'!B:B,C758)=0),
"Bloqueada",
"Desechable")),""
)</f>
        <v/>
      </c>
      <c r="J758" t="str" cm="1">
        <f t="array" aca="1" ref="J758" ca="1">IF(ISNUMBER(A758),IFERROR(_xlfn._xlws.FILTER(Equipar!A:A,(Equipar!B:B=2)*(Equipar!AC:AC=A758)),""),"")</f>
        <v/>
      </c>
    </row>
    <row r="759" spans="1:10" x14ac:dyDescent="0.25">
      <c r="A759" s="1" t="str">
        <f ca="1">IF(A758="ID",1,IF(ISBLANK(B759),"",MAX(A$2:A758)+1))</f>
        <v/>
      </c>
      <c r="I759" s="2" t="str">
        <f ca="1">IF(ISNUMBER(A759),
IF(COUNTIFS(Equipar!B:B,2,Equipar!AC:AC,A759),"Equipada",
IF(
  OR(COUNTIFS(Equipar!B:B,2,Equipar!C:C,A759)
 +COUNTIFS(Equipar!B:B,2,Equipar!D:D,A759)
+COUNTIFS(Equipar!B:B,2,Equipar!E:E,A759)
+COUNTIFS(Equipar!B:B,2,Equipar!F:F,A759)
&gt;0,COUNTIF('Set recomendado'!B:B,C759)=0),
"Bloqueada",
"Desechable")),""
)</f>
        <v/>
      </c>
      <c r="J759" t="str" cm="1">
        <f t="array" aca="1" ref="J759" ca="1">IF(ISNUMBER(A759),IFERROR(_xlfn._xlws.FILTER(Equipar!A:A,(Equipar!B:B=2)*(Equipar!AC:AC=A759)),""),"")</f>
        <v/>
      </c>
    </row>
    <row r="760" spans="1:10" x14ac:dyDescent="0.25">
      <c r="A760" s="1" t="str">
        <f ca="1">IF(A759="ID",1,IF(ISBLANK(B760),"",MAX(A$2:A759)+1))</f>
        <v/>
      </c>
      <c r="I760" s="2" t="str">
        <f ca="1">IF(ISNUMBER(A760),
IF(COUNTIFS(Equipar!B:B,2,Equipar!AC:AC,A760),"Equipada",
IF(
  OR(COUNTIFS(Equipar!B:B,2,Equipar!C:C,A760)
 +COUNTIFS(Equipar!B:B,2,Equipar!D:D,A760)
+COUNTIFS(Equipar!B:B,2,Equipar!E:E,A760)
+COUNTIFS(Equipar!B:B,2,Equipar!F:F,A760)
&gt;0,COUNTIF('Set recomendado'!B:B,C760)=0),
"Bloqueada",
"Desechable")),""
)</f>
        <v/>
      </c>
      <c r="J760" t="str" cm="1">
        <f t="array" aca="1" ref="J760" ca="1">IF(ISNUMBER(A760),IFERROR(_xlfn._xlws.FILTER(Equipar!A:A,(Equipar!B:B=2)*(Equipar!AC:AC=A760)),""),"")</f>
        <v/>
      </c>
    </row>
    <row r="761" spans="1:10" x14ac:dyDescent="0.25">
      <c r="A761" s="1" t="str">
        <f ca="1">IF(A760="ID",1,IF(ISBLANK(B761),"",MAX(A$2:A760)+1))</f>
        <v/>
      </c>
      <c r="I761" s="2" t="str">
        <f ca="1">IF(ISNUMBER(A761),
IF(COUNTIFS(Equipar!B:B,2,Equipar!AC:AC,A761),"Equipada",
IF(
  OR(COUNTIFS(Equipar!B:B,2,Equipar!C:C,A761)
 +COUNTIFS(Equipar!B:B,2,Equipar!D:D,A761)
+COUNTIFS(Equipar!B:B,2,Equipar!E:E,A761)
+COUNTIFS(Equipar!B:B,2,Equipar!F:F,A761)
&gt;0,COUNTIF('Set recomendado'!B:B,C761)=0),
"Bloqueada",
"Desechable")),""
)</f>
        <v/>
      </c>
      <c r="J761" t="str" cm="1">
        <f t="array" aca="1" ref="J761" ca="1">IF(ISNUMBER(A761),IFERROR(_xlfn._xlws.FILTER(Equipar!A:A,(Equipar!B:B=2)*(Equipar!AC:AC=A761)),""),"")</f>
        <v/>
      </c>
    </row>
    <row r="762" spans="1:10" x14ac:dyDescent="0.25">
      <c r="A762" s="1" t="str">
        <f ca="1">IF(A761="ID",1,IF(ISBLANK(B762),"",MAX(A$2:A761)+1))</f>
        <v/>
      </c>
      <c r="I762" s="2" t="str">
        <f ca="1">IF(ISNUMBER(A762),
IF(COUNTIFS(Equipar!B:B,2,Equipar!AC:AC,A762),"Equipada",
IF(
  OR(COUNTIFS(Equipar!B:B,2,Equipar!C:C,A762)
 +COUNTIFS(Equipar!B:B,2,Equipar!D:D,A762)
+COUNTIFS(Equipar!B:B,2,Equipar!E:E,A762)
+COUNTIFS(Equipar!B:B,2,Equipar!F:F,A762)
&gt;0,COUNTIF('Set recomendado'!B:B,C762)=0),
"Bloqueada",
"Desechable")),""
)</f>
        <v/>
      </c>
      <c r="J762" t="str" cm="1">
        <f t="array" aca="1" ref="J762" ca="1">IF(ISNUMBER(A762),IFERROR(_xlfn._xlws.FILTER(Equipar!A:A,(Equipar!B:B=2)*(Equipar!AC:AC=A762)),""),"")</f>
        <v/>
      </c>
    </row>
    <row r="763" spans="1:10" x14ac:dyDescent="0.25">
      <c r="A763" s="1" t="str">
        <f ca="1">IF(A762="ID",1,IF(ISBLANK(B763),"",MAX(A$2:A762)+1))</f>
        <v/>
      </c>
      <c r="I763" s="2" t="str">
        <f ca="1">IF(ISNUMBER(A763),
IF(COUNTIFS(Equipar!B:B,2,Equipar!AC:AC,A763),"Equipada",
IF(
  OR(COUNTIFS(Equipar!B:B,2,Equipar!C:C,A763)
 +COUNTIFS(Equipar!B:B,2,Equipar!D:D,A763)
+COUNTIFS(Equipar!B:B,2,Equipar!E:E,A763)
+COUNTIFS(Equipar!B:B,2,Equipar!F:F,A763)
&gt;0,COUNTIF('Set recomendado'!B:B,C763)=0),
"Bloqueada",
"Desechable")),""
)</f>
        <v/>
      </c>
      <c r="J763" t="str" cm="1">
        <f t="array" aca="1" ref="J763" ca="1">IF(ISNUMBER(A763),IFERROR(_xlfn._xlws.FILTER(Equipar!A:A,(Equipar!B:B=2)*(Equipar!AC:AC=A763)),""),"")</f>
        <v/>
      </c>
    </row>
    <row r="764" spans="1:10" x14ac:dyDescent="0.25">
      <c r="A764" s="1" t="str">
        <f ca="1">IF(A763="ID",1,IF(ISBLANK(B764),"",MAX(A$2:A763)+1))</f>
        <v/>
      </c>
      <c r="I764" s="2" t="str">
        <f ca="1">IF(ISNUMBER(A764),
IF(COUNTIFS(Equipar!B:B,2,Equipar!AC:AC,A764),"Equipada",
IF(
  OR(COUNTIFS(Equipar!B:B,2,Equipar!C:C,A764)
 +COUNTIFS(Equipar!B:B,2,Equipar!D:D,A764)
+COUNTIFS(Equipar!B:B,2,Equipar!E:E,A764)
+COUNTIFS(Equipar!B:B,2,Equipar!F:F,A764)
&gt;0,COUNTIF('Set recomendado'!B:B,C764)=0),
"Bloqueada",
"Desechable")),""
)</f>
        <v/>
      </c>
      <c r="J764" t="str" cm="1">
        <f t="array" aca="1" ref="J764" ca="1">IF(ISNUMBER(A764),IFERROR(_xlfn._xlws.FILTER(Equipar!A:A,(Equipar!B:B=2)*(Equipar!AC:AC=A764)),""),"")</f>
        <v/>
      </c>
    </row>
    <row r="765" spans="1:10" x14ac:dyDescent="0.25">
      <c r="A765" s="1" t="str">
        <f ca="1">IF(A764="ID",1,IF(ISBLANK(B765),"",MAX(A$2:A764)+1))</f>
        <v/>
      </c>
      <c r="I765" s="2" t="str">
        <f ca="1">IF(ISNUMBER(A765),
IF(COUNTIFS(Equipar!B:B,2,Equipar!AC:AC,A765),"Equipada",
IF(
  OR(COUNTIFS(Equipar!B:B,2,Equipar!C:C,A765)
 +COUNTIFS(Equipar!B:B,2,Equipar!D:D,A765)
+COUNTIFS(Equipar!B:B,2,Equipar!E:E,A765)
+COUNTIFS(Equipar!B:B,2,Equipar!F:F,A765)
&gt;0,COUNTIF('Set recomendado'!B:B,C765)=0),
"Bloqueada",
"Desechable")),""
)</f>
        <v/>
      </c>
      <c r="J765" t="str" cm="1">
        <f t="array" aca="1" ref="J765" ca="1">IF(ISNUMBER(A765),IFERROR(_xlfn._xlws.FILTER(Equipar!A:A,(Equipar!B:B=2)*(Equipar!AC:AC=A765)),""),"")</f>
        <v/>
      </c>
    </row>
    <row r="766" spans="1:10" x14ac:dyDescent="0.25">
      <c r="A766" s="1" t="str">
        <f ca="1">IF(A765="ID",1,IF(ISBLANK(B766),"",MAX(A$2:A765)+1))</f>
        <v/>
      </c>
      <c r="I766" s="2" t="str">
        <f ca="1">IF(ISNUMBER(A766),
IF(COUNTIFS(Equipar!B:B,2,Equipar!AC:AC,A766),"Equipada",
IF(
  OR(COUNTIFS(Equipar!B:B,2,Equipar!C:C,A766)
 +COUNTIFS(Equipar!B:B,2,Equipar!D:D,A766)
+COUNTIFS(Equipar!B:B,2,Equipar!E:E,A766)
+COUNTIFS(Equipar!B:B,2,Equipar!F:F,A766)
&gt;0,COUNTIF('Set recomendado'!B:B,C766)=0),
"Bloqueada",
"Desechable")),""
)</f>
        <v/>
      </c>
      <c r="J766" t="str" cm="1">
        <f t="array" aca="1" ref="J766" ca="1">IF(ISNUMBER(A766),IFERROR(_xlfn._xlws.FILTER(Equipar!A:A,(Equipar!B:B=2)*(Equipar!AC:AC=A766)),""),"")</f>
        <v/>
      </c>
    </row>
    <row r="767" spans="1:10" x14ac:dyDescent="0.25">
      <c r="A767" s="1" t="str">
        <f ca="1">IF(A766="ID",1,IF(ISBLANK(B767),"",MAX(A$2:A766)+1))</f>
        <v/>
      </c>
      <c r="I767" s="2" t="str">
        <f ca="1">IF(ISNUMBER(A767),
IF(COUNTIFS(Equipar!B:B,2,Equipar!AC:AC,A767),"Equipada",
IF(
  OR(COUNTIFS(Equipar!B:B,2,Equipar!C:C,A767)
 +COUNTIFS(Equipar!B:B,2,Equipar!D:D,A767)
+COUNTIFS(Equipar!B:B,2,Equipar!E:E,A767)
+COUNTIFS(Equipar!B:B,2,Equipar!F:F,A767)
&gt;0,COUNTIF('Set recomendado'!B:B,C767)=0),
"Bloqueada",
"Desechable")),""
)</f>
        <v/>
      </c>
      <c r="J767" t="str" cm="1">
        <f t="array" aca="1" ref="J767" ca="1">IF(ISNUMBER(A767),IFERROR(_xlfn._xlws.FILTER(Equipar!A:A,(Equipar!B:B=2)*(Equipar!AC:AC=A767)),""),"")</f>
        <v/>
      </c>
    </row>
    <row r="768" spans="1:10" x14ac:dyDescent="0.25">
      <c r="A768" s="1" t="str">
        <f ca="1">IF(A767="ID",1,IF(ISBLANK(B768),"",MAX(A$2:A767)+1))</f>
        <v/>
      </c>
      <c r="I768" s="2" t="str">
        <f ca="1">IF(ISNUMBER(A768),
IF(COUNTIFS(Equipar!B:B,2,Equipar!AC:AC,A768),"Equipada",
IF(
  OR(COUNTIFS(Equipar!B:B,2,Equipar!C:C,A768)
 +COUNTIFS(Equipar!B:B,2,Equipar!D:D,A768)
+COUNTIFS(Equipar!B:B,2,Equipar!E:E,A768)
+COUNTIFS(Equipar!B:B,2,Equipar!F:F,A768)
&gt;0,COUNTIF('Set recomendado'!B:B,C768)=0),
"Bloqueada",
"Desechable")),""
)</f>
        <v/>
      </c>
      <c r="J768" t="str" cm="1">
        <f t="array" aca="1" ref="J768" ca="1">IF(ISNUMBER(A768),IFERROR(_xlfn._xlws.FILTER(Equipar!A:A,(Equipar!B:B=2)*(Equipar!AC:AC=A768)),""),"")</f>
        <v/>
      </c>
    </row>
    <row r="769" spans="1:10" x14ac:dyDescent="0.25">
      <c r="A769" s="1" t="str">
        <f ca="1">IF(A768="ID",1,IF(ISBLANK(B769),"",MAX(A$2:A768)+1))</f>
        <v/>
      </c>
      <c r="I769" s="2" t="str">
        <f ca="1">IF(ISNUMBER(A769),
IF(COUNTIFS(Equipar!B:B,2,Equipar!AC:AC,A769),"Equipada",
IF(
  OR(COUNTIFS(Equipar!B:B,2,Equipar!C:C,A769)
 +COUNTIFS(Equipar!B:B,2,Equipar!D:D,A769)
+COUNTIFS(Equipar!B:B,2,Equipar!E:E,A769)
+COUNTIFS(Equipar!B:B,2,Equipar!F:F,A769)
&gt;0,COUNTIF('Set recomendado'!B:B,C769)=0),
"Bloqueada",
"Desechable")),""
)</f>
        <v/>
      </c>
      <c r="J769" t="str" cm="1">
        <f t="array" aca="1" ref="J769" ca="1">IF(ISNUMBER(A769),IFERROR(_xlfn._xlws.FILTER(Equipar!A:A,(Equipar!B:B=2)*(Equipar!AC:AC=A769)),""),"")</f>
        <v/>
      </c>
    </row>
    <row r="770" spans="1:10" x14ac:dyDescent="0.25">
      <c r="A770" s="1" t="str">
        <f ca="1">IF(A769="ID",1,IF(ISBLANK(B770),"",MAX(A$2:A769)+1))</f>
        <v/>
      </c>
      <c r="I770" s="2" t="str">
        <f ca="1">IF(ISNUMBER(A770),
IF(COUNTIFS(Equipar!B:B,2,Equipar!AC:AC,A770),"Equipada",
IF(
  OR(COUNTIFS(Equipar!B:B,2,Equipar!C:C,A770)
 +COUNTIFS(Equipar!B:B,2,Equipar!D:D,A770)
+COUNTIFS(Equipar!B:B,2,Equipar!E:E,A770)
+COUNTIFS(Equipar!B:B,2,Equipar!F:F,A770)
&gt;0,COUNTIF('Set recomendado'!B:B,C770)=0),
"Bloqueada",
"Desechable")),""
)</f>
        <v/>
      </c>
      <c r="J770" t="str" cm="1">
        <f t="array" aca="1" ref="J770" ca="1">IF(ISNUMBER(A770),IFERROR(_xlfn._xlws.FILTER(Equipar!A:A,(Equipar!B:B=2)*(Equipar!AC:AC=A770)),""),"")</f>
        <v/>
      </c>
    </row>
    <row r="771" spans="1:10" x14ac:dyDescent="0.25">
      <c r="A771" s="1" t="str">
        <f ca="1">IF(A770="ID",1,IF(ISBLANK(B771),"",MAX(A$2:A770)+1))</f>
        <v/>
      </c>
      <c r="I771" s="2" t="str">
        <f ca="1">IF(ISNUMBER(A771),
IF(COUNTIFS(Equipar!B:B,2,Equipar!AC:AC,A771),"Equipada",
IF(
  OR(COUNTIFS(Equipar!B:B,2,Equipar!C:C,A771)
 +COUNTIFS(Equipar!B:B,2,Equipar!D:D,A771)
+COUNTIFS(Equipar!B:B,2,Equipar!E:E,A771)
+COUNTIFS(Equipar!B:B,2,Equipar!F:F,A771)
&gt;0,COUNTIF('Set recomendado'!B:B,C771)=0),
"Bloqueada",
"Desechable")),""
)</f>
        <v/>
      </c>
      <c r="J771" t="str" cm="1">
        <f t="array" aca="1" ref="J771" ca="1">IF(ISNUMBER(A771),IFERROR(_xlfn._xlws.FILTER(Equipar!A:A,(Equipar!B:B=2)*(Equipar!AC:AC=A771)),""),"")</f>
        <v/>
      </c>
    </row>
    <row r="772" spans="1:10" x14ac:dyDescent="0.25">
      <c r="A772" s="1" t="str">
        <f ca="1">IF(A771="ID",1,IF(ISBLANK(B772),"",MAX(A$2:A771)+1))</f>
        <v/>
      </c>
      <c r="I772" s="2" t="str">
        <f ca="1">IF(ISNUMBER(A772),
IF(COUNTIFS(Equipar!B:B,2,Equipar!AC:AC,A772),"Equipada",
IF(
  OR(COUNTIFS(Equipar!B:B,2,Equipar!C:C,A772)
 +COUNTIFS(Equipar!B:B,2,Equipar!D:D,A772)
+COUNTIFS(Equipar!B:B,2,Equipar!E:E,A772)
+COUNTIFS(Equipar!B:B,2,Equipar!F:F,A772)
&gt;0,COUNTIF('Set recomendado'!B:B,C772)=0),
"Bloqueada",
"Desechable")),""
)</f>
        <v/>
      </c>
      <c r="J772" t="str" cm="1">
        <f t="array" aca="1" ref="J772" ca="1">IF(ISNUMBER(A772),IFERROR(_xlfn._xlws.FILTER(Equipar!A:A,(Equipar!B:B=2)*(Equipar!AC:AC=A772)),""),"")</f>
        <v/>
      </c>
    </row>
    <row r="773" spans="1:10" x14ac:dyDescent="0.25">
      <c r="A773" s="1" t="str">
        <f ca="1">IF(A772="ID",1,IF(ISBLANK(B773),"",MAX(A$2:A772)+1))</f>
        <v/>
      </c>
      <c r="I773" s="2" t="str">
        <f ca="1">IF(ISNUMBER(A773),
IF(COUNTIFS(Equipar!B:B,2,Equipar!AC:AC,A773),"Equipada",
IF(
  OR(COUNTIFS(Equipar!B:B,2,Equipar!C:C,A773)
 +COUNTIFS(Equipar!B:B,2,Equipar!D:D,A773)
+COUNTIFS(Equipar!B:B,2,Equipar!E:E,A773)
+COUNTIFS(Equipar!B:B,2,Equipar!F:F,A773)
&gt;0,COUNTIF('Set recomendado'!B:B,C773)=0),
"Bloqueada",
"Desechable")),""
)</f>
        <v/>
      </c>
      <c r="J773" t="str" cm="1">
        <f t="array" aca="1" ref="J773" ca="1">IF(ISNUMBER(A773),IFERROR(_xlfn._xlws.FILTER(Equipar!A:A,(Equipar!B:B=2)*(Equipar!AC:AC=A773)),""),"")</f>
        <v/>
      </c>
    </row>
    <row r="774" spans="1:10" x14ac:dyDescent="0.25">
      <c r="A774" s="1" t="str">
        <f ca="1">IF(A773="ID",1,IF(ISBLANK(B774),"",MAX(A$2:A773)+1))</f>
        <v/>
      </c>
      <c r="I774" s="2" t="str">
        <f ca="1">IF(ISNUMBER(A774),
IF(COUNTIFS(Equipar!B:B,2,Equipar!AC:AC,A774),"Equipada",
IF(
  OR(COUNTIFS(Equipar!B:B,2,Equipar!C:C,A774)
 +COUNTIFS(Equipar!B:B,2,Equipar!D:D,A774)
+COUNTIFS(Equipar!B:B,2,Equipar!E:E,A774)
+COUNTIFS(Equipar!B:B,2,Equipar!F:F,A774)
&gt;0,COUNTIF('Set recomendado'!B:B,C774)=0),
"Bloqueada",
"Desechable")),""
)</f>
        <v/>
      </c>
      <c r="J774" t="str" cm="1">
        <f t="array" aca="1" ref="J774" ca="1">IF(ISNUMBER(A774),IFERROR(_xlfn._xlws.FILTER(Equipar!A:A,(Equipar!B:B=2)*(Equipar!AC:AC=A774)),""),"")</f>
        <v/>
      </c>
    </row>
    <row r="775" spans="1:10" x14ac:dyDescent="0.25">
      <c r="A775" s="1" t="str">
        <f ca="1">IF(A774="ID",1,IF(ISBLANK(B775),"",MAX(A$2:A774)+1))</f>
        <v/>
      </c>
      <c r="I775" s="2" t="str">
        <f ca="1">IF(ISNUMBER(A775),
IF(COUNTIFS(Equipar!B:B,2,Equipar!AC:AC,A775),"Equipada",
IF(
  OR(COUNTIFS(Equipar!B:B,2,Equipar!C:C,A775)
 +COUNTIFS(Equipar!B:B,2,Equipar!D:D,A775)
+COUNTIFS(Equipar!B:B,2,Equipar!E:E,A775)
+COUNTIFS(Equipar!B:B,2,Equipar!F:F,A775)
&gt;0,COUNTIF('Set recomendado'!B:B,C775)=0),
"Bloqueada",
"Desechable")),""
)</f>
        <v/>
      </c>
      <c r="J775" t="str" cm="1">
        <f t="array" aca="1" ref="J775" ca="1">IF(ISNUMBER(A775),IFERROR(_xlfn._xlws.FILTER(Equipar!A:A,(Equipar!B:B=2)*(Equipar!AC:AC=A775)),""),"")</f>
        <v/>
      </c>
    </row>
    <row r="776" spans="1:10" x14ac:dyDescent="0.25">
      <c r="A776" s="1" t="str">
        <f ca="1">IF(A775="ID",1,IF(ISBLANK(B776),"",MAX(A$2:A775)+1))</f>
        <v/>
      </c>
      <c r="I776" s="2" t="str">
        <f ca="1">IF(ISNUMBER(A776),
IF(COUNTIFS(Equipar!B:B,2,Equipar!AC:AC,A776),"Equipada",
IF(
  OR(COUNTIFS(Equipar!B:B,2,Equipar!C:C,A776)
 +COUNTIFS(Equipar!B:B,2,Equipar!D:D,A776)
+COUNTIFS(Equipar!B:B,2,Equipar!E:E,A776)
+COUNTIFS(Equipar!B:B,2,Equipar!F:F,A776)
&gt;0,COUNTIF('Set recomendado'!B:B,C776)=0),
"Bloqueada",
"Desechable")),""
)</f>
        <v/>
      </c>
      <c r="J776" t="str" cm="1">
        <f t="array" aca="1" ref="J776" ca="1">IF(ISNUMBER(A776),IFERROR(_xlfn._xlws.FILTER(Equipar!A:A,(Equipar!B:B=2)*(Equipar!AC:AC=A776)),""),"")</f>
        <v/>
      </c>
    </row>
    <row r="777" spans="1:10" x14ac:dyDescent="0.25">
      <c r="A777" s="1" t="str">
        <f ca="1">IF(A776="ID",1,IF(ISBLANK(B777),"",MAX(A$2:A776)+1))</f>
        <v/>
      </c>
      <c r="I777" s="2" t="str">
        <f ca="1">IF(ISNUMBER(A777),
IF(COUNTIFS(Equipar!B:B,2,Equipar!AC:AC,A777),"Equipada",
IF(
  OR(COUNTIFS(Equipar!B:B,2,Equipar!C:C,A777)
 +COUNTIFS(Equipar!B:B,2,Equipar!D:D,A777)
+COUNTIFS(Equipar!B:B,2,Equipar!E:E,A777)
+COUNTIFS(Equipar!B:B,2,Equipar!F:F,A777)
&gt;0,COUNTIF('Set recomendado'!B:B,C777)=0),
"Bloqueada",
"Desechable")),""
)</f>
        <v/>
      </c>
      <c r="J777" t="str" cm="1">
        <f t="array" aca="1" ref="J777" ca="1">IF(ISNUMBER(A777),IFERROR(_xlfn._xlws.FILTER(Equipar!A:A,(Equipar!B:B=2)*(Equipar!AC:AC=A777)),""),"")</f>
        <v/>
      </c>
    </row>
    <row r="778" spans="1:10" x14ac:dyDescent="0.25">
      <c r="A778" s="1" t="str">
        <f ca="1">IF(A777="ID",1,IF(ISBLANK(B778),"",MAX(A$2:A777)+1))</f>
        <v/>
      </c>
      <c r="I778" s="2" t="str">
        <f ca="1">IF(ISNUMBER(A778),
IF(COUNTIFS(Equipar!B:B,2,Equipar!AC:AC,A778),"Equipada",
IF(
  OR(COUNTIFS(Equipar!B:B,2,Equipar!C:C,A778)
 +COUNTIFS(Equipar!B:B,2,Equipar!D:D,A778)
+COUNTIFS(Equipar!B:B,2,Equipar!E:E,A778)
+COUNTIFS(Equipar!B:B,2,Equipar!F:F,A778)
&gt;0,COUNTIF('Set recomendado'!B:B,C778)=0),
"Bloqueada",
"Desechable")),""
)</f>
        <v/>
      </c>
      <c r="J778" t="str" cm="1">
        <f t="array" aca="1" ref="J778" ca="1">IF(ISNUMBER(A778),IFERROR(_xlfn._xlws.FILTER(Equipar!A:A,(Equipar!B:B=2)*(Equipar!AC:AC=A778)),""),"")</f>
        <v/>
      </c>
    </row>
    <row r="779" spans="1:10" x14ac:dyDescent="0.25">
      <c r="A779" s="1" t="str">
        <f ca="1">IF(A778="ID",1,IF(ISBLANK(B779),"",MAX(A$2:A778)+1))</f>
        <v/>
      </c>
      <c r="I779" s="2" t="str">
        <f ca="1">IF(ISNUMBER(A779),
IF(COUNTIFS(Equipar!B:B,2,Equipar!AC:AC,A779),"Equipada",
IF(
  OR(COUNTIFS(Equipar!B:B,2,Equipar!C:C,A779)
 +COUNTIFS(Equipar!B:B,2,Equipar!D:D,A779)
+COUNTIFS(Equipar!B:B,2,Equipar!E:E,A779)
+COUNTIFS(Equipar!B:B,2,Equipar!F:F,A779)
&gt;0,COUNTIF('Set recomendado'!B:B,C779)=0),
"Bloqueada",
"Desechable")),""
)</f>
        <v/>
      </c>
      <c r="J779" t="str" cm="1">
        <f t="array" aca="1" ref="J779" ca="1">IF(ISNUMBER(A779),IFERROR(_xlfn._xlws.FILTER(Equipar!A:A,(Equipar!B:B=2)*(Equipar!AC:AC=A779)),""),"")</f>
        <v/>
      </c>
    </row>
    <row r="780" spans="1:10" x14ac:dyDescent="0.25">
      <c r="A780" s="1" t="str">
        <f ca="1">IF(A779="ID",1,IF(ISBLANK(B780),"",MAX(A$2:A779)+1))</f>
        <v/>
      </c>
      <c r="I780" s="2" t="str">
        <f ca="1">IF(ISNUMBER(A780),
IF(COUNTIFS(Equipar!B:B,2,Equipar!AC:AC,A780),"Equipada",
IF(
  OR(COUNTIFS(Equipar!B:B,2,Equipar!C:C,A780)
 +COUNTIFS(Equipar!B:B,2,Equipar!D:D,A780)
+COUNTIFS(Equipar!B:B,2,Equipar!E:E,A780)
+COUNTIFS(Equipar!B:B,2,Equipar!F:F,A780)
&gt;0,COUNTIF('Set recomendado'!B:B,C780)=0),
"Bloqueada",
"Desechable")),""
)</f>
        <v/>
      </c>
      <c r="J780" t="str" cm="1">
        <f t="array" aca="1" ref="J780" ca="1">IF(ISNUMBER(A780),IFERROR(_xlfn._xlws.FILTER(Equipar!A:A,(Equipar!B:B=2)*(Equipar!AC:AC=A780)),""),"")</f>
        <v/>
      </c>
    </row>
    <row r="781" spans="1:10" x14ac:dyDescent="0.25">
      <c r="A781" s="1" t="str">
        <f ca="1">IF(A780="ID",1,IF(ISBLANK(B781),"",MAX(A$2:A780)+1))</f>
        <v/>
      </c>
      <c r="I781" s="2" t="str">
        <f ca="1">IF(ISNUMBER(A781),
IF(COUNTIFS(Equipar!B:B,2,Equipar!AC:AC,A781),"Equipada",
IF(
  OR(COUNTIFS(Equipar!B:B,2,Equipar!C:C,A781)
 +COUNTIFS(Equipar!B:B,2,Equipar!D:D,A781)
+COUNTIFS(Equipar!B:B,2,Equipar!E:E,A781)
+COUNTIFS(Equipar!B:B,2,Equipar!F:F,A781)
&gt;0,COUNTIF('Set recomendado'!B:B,C781)=0),
"Bloqueada",
"Desechable")),""
)</f>
        <v/>
      </c>
      <c r="J781" t="str" cm="1">
        <f t="array" aca="1" ref="J781" ca="1">IF(ISNUMBER(A781),IFERROR(_xlfn._xlws.FILTER(Equipar!A:A,(Equipar!B:B=2)*(Equipar!AC:AC=A781)),""),"")</f>
        <v/>
      </c>
    </row>
    <row r="782" spans="1:10" x14ac:dyDescent="0.25">
      <c r="A782" s="1" t="str">
        <f ca="1">IF(A781="ID",1,IF(ISBLANK(B782),"",MAX(A$2:A781)+1))</f>
        <v/>
      </c>
      <c r="I782" s="2" t="str">
        <f ca="1">IF(ISNUMBER(A782),
IF(COUNTIFS(Equipar!B:B,2,Equipar!AC:AC,A782),"Equipada",
IF(
  OR(COUNTIFS(Equipar!B:B,2,Equipar!C:C,A782)
 +COUNTIFS(Equipar!B:B,2,Equipar!D:D,A782)
+COUNTIFS(Equipar!B:B,2,Equipar!E:E,A782)
+COUNTIFS(Equipar!B:B,2,Equipar!F:F,A782)
&gt;0,COUNTIF('Set recomendado'!B:B,C782)=0),
"Bloqueada",
"Desechable")),""
)</f>
        <v/>
      </c>
      <c r="J782" t="str" cm="1">
        <f t="array" aca="1" ref="J782" ca="1">IF(ISNUMBER(A782),IFERROR(_xlfn._xlws.FILTER(Equipar!A:A,(Equipar!B:B=2)*(Equipar!AC:AC=A782)),""),"")</f>
        <v/>
      </c>
    </row>
    <row r="783" spans="1:10" x14ac:dyDescent="0.25">
      <c r="A783" s="1" t="str">
        <f ca="1">IF(A782="ID",1,IF(ISBLANK(B783),"",MAX(A$2:A782)+1))</f>
        <v/>
      </c>
      <c r="I783" s="2" t="str">
        <f ca="1">IF(ISNUMBER(A783),
IF(COUNTIFS(Equipar!B:B,2,Equipar!AC:AC,A783),"Equipada",
IF(
  OR(COUNTIFS(Equipar!B:B,2,Equipar!C:C,A783)
 +COUNTIFS(Equipar!B:B,2,Equipar!D:D,A783)
+COUNTIFS(Equipar!B:B,2,Equipar!E:E,A783)
+COUNTIFS(Equipar!B:B,2,Equipar!F:F,A783)
&gt;0,COUNTIF('Set recomendado'!B:B,C783)=0),
"Bloqueada",
"Desechable")),""
)</f>
        <v/>
      </c>
      <c r="J783" t="str" cm="1">
        <f t="array" aca="1" ref="J783" ca="1">IF(ISNUMBER(A783),IFERROR(_xlfn._xlws.FILTER(Equipar!A:A,(Equipar!B:B=2)*(Equipar!AC:AC=A783)),""),"")</f>
        <v/>
      </c>
    </row>
    <row r="784" spans="1:10" x14ac:dyDescent="0.25">
      <c r="A784" s="1" t="str">
        <f ca="1">IF(A783="ID",1,IF(ISBLANK(B784),"",MAX(A$2:A783)+1))</f>
        <v/>
      </c>
      <c r="I784" s="2" t="str">
        <f ca="1">IF(ISNUMBER(A784),
IF(COUNTIFS(Equipar!B:B,2,Equipar!AC:AC,A784),"Equipada",
IF(
  OR(COUNTIFS(Equipar!B:B,2,Equipar!C:C,A784)
 +COUNTIFS(Equipar!B:B,2,Equipar!D:D,A784)
+COUNTIFS(Equipar!B:B,2,Equipar!E:E,A784)
+COUNTIFS(Equipar!B:B,2,Equipar!F:F,A784)
&gt;0,COUNTIF('Set recomendado'!B:B,C784)=0),
"Bloqueada",
"Desechable")),""
)</f>
        <v/>
      </c>
      <c r="J784" t="str" cm="1">
        <f t="array" aca="1" ref="J784" ca="1">IF(ISNUMBER(A784),IFERROR(_xlfn._xlws.FILTER(Equipar!A:A,(Equipar!B:B=2)*(Equipar!AC:AC=A784)),""),"")</f>
        <v/>
      </c>
    </row>
    <row r="785" spans="1:10" x14ac:dyDescent="0.25">
      <c r="A785" s="1" t="str">
        <f ca="1">IF(A784="ID",1,IF(ISBLANK(B785),"",MAX(A$2:A784)+1))</f>
        <v/>
      </c>
      <c r="I785" s="2" t="str">
        <f ca="1">IF(ISNUMBER(A785),
IF(COUNTIFS(Equipar!B:B,2,Equipar!AC:AC,A785),"Equipada",
IF(
  OR(COUNTIFS(Equipar!B:B,2,Equipar!C:C,A785)
 +COUNTIFS(Equipar!B:B,2,Equipar!D:D,A785)
+COUNTIFS(Equipar!B:B,2,Equipar!E:E,A785)
+COUNTIFS(Equipar!B:B,2,Equipar!F:F,A785)
&gt;0,COUNTIF('Set recomendado'!B:B,C785)=0),
"Bloqueada",
"Desechable")),""
)</f>
        <v/>
      </c>
      <c r="J785" t="str" cm="1">
        <f t="array" aca="1" ref="J785" ca="1">IF(ISNUMBER(A785),IFERROR(_xlfn._xlws.FILTER(Equipar!A:A,(Equipar!B:B=2)*(Equipar!AC:AC=A785)),""),"")</f>
        <v/>
      </c>
    </row>
    <row r="786" spans="1:10" x14ac:dyDescent="0.25">
      <c r="A786" s="1" t="str">
        <f ca="1">IF(A785="ID",1,IF(ISBLANK(B786),"",MAX(A$2:A785)+1))</f>
        <v/>
      </c>
      <c r="I786" s="2" t="str">
        <f ca="1">IF(ISNUMBER(A786),
IF(COUNTIFS(Equipar!B:B,2,Equipar!AC:AC,A786),"Equipada",
IF(
  OR(COUNTIFS(Equipar!B:B,2,Equipar!C:C,A786)
 +COUNTIFS(Equipar!B:B,2,Equipar!D:D,A786)
+COUNTIFS(Equipar!B:B,2,Equipar!E:E,A786)
+COUNTIFS(Equipar!B:B,2,Equipar!F:F,A786)
&gt;0,COUNTIF('Set recomendado'!B:B,C786)=0),
"Bloqueada",
"Desechable")),""
)</f>
        <v/>
      </c>
      <c r="J786" t="str" cm="1">
        <f t="array" aca="1" ref="J786" ca="1">IF(ISNUMBER(A786),IFERROR(_xlfn._xlws.FILTER(Equipar!A:A,(Equipar!B:B=2)*(Equipar!AC:AC=A786)),""),"")</f>
        <v/>
      </c>
    </row>
    <row r="787" spans="1:10" x14ac:dyDescent="0.25">
      <c r="A787" s="1" t="str">
        <f ca="1">IF(A786="ID",1,IF(ISBLANK(B787),"",MAX(A$2:A786)+1))</f>
        <v/>
      </c>
      <c r="I787" s="2" t="str">
        <f ca="1">IF(ISNUMBER(A787),
IF(COUNTIFS(Equipar!B:B,2,Equipar!AC:AC,A787),"Equipada",
IF(
  OR(COUNTIFS(Equipar!B:B,2,Equipar!C:C,A787)
 +COUNTIFS(Equipar!B:B,2,Equipar!D:D,A787)
+COUNTIFS(Equipar!B:B,2,Equipar!E:E,A787)
+COUNTIFS(Equipar!B:B,2,Equipar!F:F,A787)
&gt;0,COUNTIF('Set recomendado'!B:B,C787)=0),
"Bloqueada",
"Desechable")),""
)</f>
        <v/>
      </c>
      <c r="J787" t="str" cm="1">
        <f t="array" aca="1" ref="J787" ca="1">IF(ISNUMBER(A787),IFERROR(_xlfn._xlws.FILTER(Equipar!A:A,(Equipar!B:B=2)*(Equipar!AC:AC=A787)),""),"")</f>
        <v/>
      </c>
    </row>
    <row r="788" spans="1:10" x14ac:dyDescent="0.25">
      <c r="A788" s="1" t="str">
        <f ca="1">IF(A787="ID",1,IF(ISBLANK(B788),"",MAX(A$2:A787)+1))</f>
        <v/>
      </c>
      <c r="I788" s="2" t="str">
        <f ca="1">IF(ISNUMBER(A788),
IF(COUNTIFS(Equipar!B:B,2,Equipar!AC:AC,A788),"Equipada",
IF(
  OR(COUNTIFS(Equipar!B:B,2,Equipar!C:C,A788)
 +COUNTIFS(Equipar!B:B,2,Equipar!D:D,A788)
+COUNTIFS(Equipar!B:B,2,Equipar!E:E,A788)
+COUNTIFS(Equipar!B:B,2,Equipar!F:F,A788)
&gt;0,COUNTIF('Set recomendado'!B:B,C788)=0),
"Bloqueada",
"Desechable")),""
)</f>
        <v/>
      </c>
      <c r="J788" t="str" cm="1">
        <f t="array" aca="1" ref="J788" ca="1">IF(ISNUMBER(A788),IFERROR(_xlfn._xlws.FILTER(Equipar!A:A,(Equipar!B:B=2)*(Equipar!AC:AC=A788)),""),"")</f>
        <v/>
      </c>
    </row>
    <row r="789" spans="1:10" x14ac:dyDescent="0.25">
      <c r="A789" s="1" t="str">
        <f ca="1">IF(A788="ID",1,IF(ISBLANK(B789),"",MAX(A$2:A788)+1))</f>
        <v/>
      </c>
      <c r="I789" s="2" t="str">
        <f ca="1">IF(ISNUMBER(A789),
IF(COUNTIFS(Equipar!B:B,2,Equipar!AC:AC,A789),"Equipada",
IF(
  OR(COUNTIFS(Equipar!B:B,2,Equipar!C:C,A789)
 +COUNTIFS(Equipar!B:B,2,Equipar!D:D,A789)
+COUNTIFS(Equipar!B:B,2,Equipar!E:E,A789)
+COUNTIFS(Equipar!B:B,2,Equipar!F:F,A789)
&gt;0,COUNTIF('Set recomendado'!B:B,C789)=0),
"Bloqueada",
"Desechable")),""
)</f>
        <v/>
      </c>
      <c r="J789" t="str" cm="1">
        <f t="array" aca="1" ref="J789" ca="1">IF(ISNUMBER(A789),IFERROR(_xlfn._xlws.FILTER(Equipar!A:A,(Equipar!B:B=2)*(Equipar!AC:AC=A789)),""),"")</f>
        <v/>
      </c>
    </row>
    <row r="790" spans="1:10" x14ac:dyDescent="0.25">
      <c r="A790" s="1" t="str">
        <f ca="1">IF(A789="ID",1,IF(ISBLANK(B790),"",MAX(A$2:A789)+1))</f>
        <v/>
      </c>
      <c r="I790" s="2" t="str">
        <f ca="1">IF(ISNUMBER(A790),
IF(COUNTIFS(Equipar!B:B,2,Equipar!AC:AC,A790),"Equipada",
IF(
  OR(COUNTIFS(Equipar!B:B,2,Equipar!C:C,A790)
 +COUNTIFS(Equipar!B:B,2,Equipar!D:D,A790)
+COUNTIFS(Equipar!B:B,2,Equipar!E:E,A790)
+COUNTIFS(Equipar!B:B,2,Equipar!F:F,A790)
&gt;0,COUNTIF('Set recomendado'!B:B,C790)=0),
"Bloqueada",
"Desechable")),""
)</f>
        <v/>
      </c>
      <c r="J790" t="str" cm="1">
        <f t="array" aca="1" ref="J790" ca="1">IF(ISNUMBER(A790),IFERROR(_xlfn._xlws.FILTER(Equipar!A:A,(Equipar!B:B=2)*(Equipar!AC:AC=A790)),""),"")</f>
        <v/>
      </c>
    </row>
    <row r="791" spans="1:10" x14ac:dyDescent="0.25">
      <c r="A791" s="1" t="str">
        <f ca="1">IF(A790="ID",1,IF(ISBLANK(B791),"",MAX(A$2:A790)+1))</f>
        <v/>
      </c>
      <c r="I791" s="2" t="str">
        <f ca="1">IF(ISNUMBER(A791),
IF(COUNTIFS(Equipar!B:B,2,Equipar!AC:AC,A791),"Equipada",
IF(
  OR(COUNTIFS(Equipar!B:B,2,Equipar!C:C,A791)
 +COUNTIFS(Equipar!B:B,2,Equipar!D:D,A791)
+COUNTIFS(Equipar!B:B,2,Equipar!E:E,A791)
+COUNTIFS(Equipar!B:B,2,Equipar!F:F,A791)
&gt;0,COUNTIF('Set recomendado'!B:B,C791)=0),
"Bloqueada",
"Desechable")),""
)</f>
        <v/>
      </c>
      <c r="J791" t="str" cm="1">
        <f t="array" aca="1" ref="J791" ca="1">IF(ISNUMBER(A791),IFERROR(_xlfn._xlws.FILTER(Equipar!A:A,(Equipar!B:B=2)*(Equipar!AC:AC=A791)),""),"")</f>
        <v/>
      </c>
    </row>
    <row r="792" spans="1:10" x14ac:dyDescent="0.25">
      <c r="A792" s="1" t="str">
        <f ca="1">IF(A791="ID",1,IF(ISBLANK(B792),"",MAX(A$2:A791)+1))</f>
        <v/>
      </c>
      <c r="I792" s="2" t="str">
        <f ca="1">IF(ISNUMBER(A792),
IF(COUNTIFS(Equipar!B:B,2,Equipar!AC:AC,A792),"Equipada",
IF(
  OR(COUNTIFS(Equipar!B:B,2,Equipar!C:C,A792)
 +COUNTIFS(Equipar!B:B,2,Equipar!D:D,A792)
+COUNTIFS(Equipar!B:B,2,Equipar!E:E,A792)
+COUNTIFS(Equipar!B:B,2,Equipar!F:F,A792)
&gt;0,COUNTIF('Set recomendado'!B:B,C792)=0),
"Bloqueada",
"Desechable")),""
)</f>
        <v/>
      </c>
      <c r="J792" t="str" cm="1">
        <f t="array" aca="1" ref="J792" ca="1">IF(ISNUMBER(A792),IFERROR(_xlfn._xlws.FILTER(Equipar!A:A,(Equipar!B:B=2)*(Equipar!AC:AC=A792)),""),"")</f>
        <v/>
      </c>
    </row>
    <row r="793" spans="1:10" x14ac:dyDescent="0.25">
      <c r="A793" s="1" t="str">
        <f ca="1">IF(A792="ID",1,IF(ISBLANK(B793),"",MAX(A$2:A792)+1))</f>
        <v/>
      </c>
      <c r="I793" s="2" t="str">
        <f ca="1">IF(ISNUMBER(A793),
IF(COUNTIFS(Equipar!B:B,2,Equipar!AC:AC,A793),"Equipada",
IF(
  OR(COUNTIFS(Equipar!B:B,2,Equipar!C:C,A793)
 +COUNTIFS(Equipar!B:B,2,Equipar!D:D,A793)
+COUNTIFS(Equipar!B:B,2,Equipar!E:E,A793)
+COUNTIFS(Equipar!B:B,2,Equipar!F:F,A793)
&gt;0,COUNTIF('Set recomendado'!B:B,C793)=0),
"Bloqueada",
"Desechable")),""
)</f>
        <v/>
      </c>
      <c r="J793" t="str" cm="1">
        <f t="array" aca="1" ref="J793" ca="1">IF(ISNUMBER(A793),IFERROR(_xlfn._xlws.FILTER(Equipar!A:A,(Equipar!B:B=2)*(Equipar!AC:AC=A793)),""),"")</f>
        <v/>
      </c>
    </row>
    <row r="794" spans="1:10" x14ac:dyDescent="0.25">
      <c r="A794" s="1" t="str">
        <f ca="1">IF(A793="ID",1,IF(ISBLANK(B794),"",MAX(A$2:A793)+1))</f>
        <v/>
      </c>
      <c r="I794" s="2" t="str">
        <f ca="1">IF(ISNUMBER(A794),
IF(COUNTIFS(Equipar!B:B,2,Equipar!AC:AC,A794),"Equipada",
IF(
  OR(COUNTIFS(Equipar!B:B,2,Equipar!C:C,A794)
 +COUNTIFS(Equipar!B:B,2,Equipar!D:D,A794)
+COUNTIFS(Equipar!B:B,2,Equipar!E:E,A794)
+COUNTIFS(Equipar!B:B,2,Equipar!F:F,A794)
&gt;0,COUNTIF('Set recomendado'!B:B,C794)=0),
"Bloqueada",
"Desechable")),""
)</f>
        <v/>
      </c>
      <c r="J794" t="str" cm="1">
        <f t="array" aca="1" ref="J794" ca="1">IF(ISNUMBER(A794),IFERROR(_xlfn._xlws.FILTER(Equipar!A:A,(Equipar!B:B=2)*(Equipar!AC:AC=A794)),""),"")</f>
        <v/>
      </c>
    </row>
    <row r="795" spans="1:10" x14ac:dyDescent="0.25">
      <c r="A795" s="1" t="str">
        <f ca="1">IF(A794="ID",1,IF(ISBLANK(B795),"",MAX(A$2:A794)+1))</f>
        <v/>
      </c>
      <c r="I795" s="2" t="str">
        <f ca="1">IF(ISNUMBER(A795),
IF(COUNTIFS(Equipar!B:B,2,Equipar!AC:AC,A795),"Equipada",
IF(
  OR(COUNTIFS(Equipar!B:B,2,Equipar!C:C,A795)
 +COUNTIFS(Equipar!B:B,2,Equipar!D:D,A795)
+COUNTIFS(Equipar!B:B,2,Equipar!E:E,A795)
+COUNTIFS(Equipar!B:B,2,Equipar!F:F,A795)
&gt;0,COUNTIF('Set recomendado'!B:B,C795)=0),
"Bloqueada",
"Desechable")),""
)</f>
        <v/>
      </c>
      <c r="J795" t="str" cm="1">
        <f t="array" aca="1" ref="J795" ca="1">IF(ISNUMBER(A795),IFERROR(_xlfn._xlws.FILTER(Equipar!A:A,(Equipar!B:B=2)*(Equipar!AC:AC=A795)),""),"")</f>
        <v/>
      </c>
    </row>
    <row r="796" spans="1:10" x14ac:dyDescent="0.25">
      <c r="A796" s="1" t="str">
        <f ca="1">IF(A795="ID",1,IF(ISBLANK(B796),"",MAX(A$2:A795)+1))</f>
        <v/>
      </c>
      <c r="I796" s="2" t="str">
        <f ca="1">IF(ISNUMBER(A796),
IF(COUNTIFS(Equipar!B:B,2,Equipar!AC:AC,A796),"Equipada",
IF(
  OR(COUNTIFS(Equipar!B:B,2,Equipar!C:C,A796)
 +COUNTIFS(Equipar!B:B,2,Equipar!D:D,A796)
+COUNTIFS(Equipar!B:B,2,Equipar!E:E,A796)
+COUNTIFS(Equipar!B:B,2,Equipar!F:F,A796)
&gt;0,COUNTIF('Set recomendado'!B:B,C796)=0),
"Bloqueada",
"Desechable")),""
)</f>
        <v/>
      </c>
      <c r="J796" t="str" cm="1">
        <f t="array" aca="1" ref="J796" ca="1">IF(ISNUMBER(A796),IFERROR(_xlfn._xlws.FILTER(Equipar!A:A,(Equipar!B:B=2)*(Equipar!AC:AC=A796)),""),"")</f>
        <v/>
      </c>
    </row>
    <row r="797" spans="1:10" x14ac:dyDescent="0.25">
      <c r="A797" s="1" t="str">
        <f ca="1">IF(A796="ID",1,IF(ISBLANK(B797),"",MAX(A$2:A796)+1))</f>
        <v/>
      </c>
      <c r="I797" s="2" t="str">
        <f ca="1">IF(ISNUMBER(A797),
IF(COUNTIFS(Equipar!B:B,2,Equipar!AC:AC,A797),"Equipada",
IF(
  OR(COUNTIFS(Equipar!B:B,2,Equipar!C:C,A797)
 +COUNTIFS(Equipar!B:B,2,Equipar!D:D,A797)
+COUNTIFS(Equipar!B:B,2,Equipar!E:E,A797)
+COUNTIFS(Equipar!B:B,2,Equipar!F:F,A797)
&gt;0,COUNTIF('Set recomendado'!B:B,C797)=0),
"Bloqueada",
"Desechable")),""
)</f>
        <v/>
      </c>
      <c r="J797" t="str" cm="1">
        <f t="array" aca="1" ref="J797" ca="1">IF(ISNUMBER(A797),IFERROR(_xlfn._xlws.FILTER(Equipar!A:A,(Equipar!B:B=2)*(Equipar!AC:AC=A797)),""),"")</f>
        <v/>
      </c>
    </row>
    <row r="798" spans="1:10" x14ac:dyDescent="0.25">
      <c r="A798" s="1" t="str">
        <f ca="1">IF(A797="ID",1,IF(ISBLANK(B798),"",MAX(A$2:A797)+1))</f>
        <v/>
      </c>
      <c r="I798" s="2" t="str">
        <f ca="1">IF(ISNUMBER(A798),
IF(COUNTIFS(Equipar!B:B,2,Equipar!AC:AC,A798),"Equipada",
IF(
  OR(COUNTIFS(Equipar!B:B,2,Equipar!C:C,A798)
 +COUNTIFS(Equipar!B:B,2,Equipar!D:D,A798)
+COUNTIFS(Equipar!B:B,2,Equipar!E:E,A798)
+COUNTIFS(Equipar!B:B,2,Equipar!F:F,A798)
&gt;0,COUNTIF('Set recomendado'!B:B,C798)=0),
"Bloqueada",
"Desechable")),""
)</f>
        <v/>
      </c>
      <c r="J798" t="str" cm="1">
        <f t="array" aca="1" ref="J798" ca="1">IF(ISNUMBER(A798),IFERROR(_xlfn._xlws.FILTER(Equipar!A:A,(Equipar!B:B=2)*(Equipar!AC:AC=A798)),""),"")</f>
        <v/>
      </c>
    </row>
    <row r="799" spans="1:10" x14ac:dyDescent="0.25">
      <c r="A799" s="1" t="str">
        <f ca="1">IF(A798="ID",1,IF(ISBLANK(B799),"",MAX(A$2:A798)+1))</f>
        <v/>
      </c>
      <c r="I799" s="2" t="str">
        <f ca="1">IF(ISNUMBER(A799),
IF(COUNTIFS(Equipar!B:B,2,Equipar!AC:AC,A799),"Equipada",
IF(
  OR(COUNTIFS(Equipar!B:B,2,Equipar!C:C,A799)
 +COUNTIFS(Equipar!B:B,2,Equipar!D:D,A799)
+COUNTIFS(Equipar!B:B,2,Equipar!E:E,A799)
+COUNTIFS(Equipar!B:B,2,Equipar!F:F,A799)
&gt;0,COUNTIF('Set recomendado'!B:B,C799)=0),
"Bloqueada",
"Desechable")),""
)</f>
        <v/>
      </c>
      <c r="J799" t="str" cm="1">
        <f t="array" aca="1" ref="J799" ca="1">IF(ISNUMBER(A799),IFERROR(_xlfn._xlws.FILTER(Equipar!A:A,(Equipar!B:B=2)*(Equipar!AC:AC=A799)),""),"")</f>
        <v/>
      </c>
    </row>
    <row r="800" spans="1:10" x14ac:dyDescent="0.25">
      <c r="A800" s="1" t="str">
        <f ca="1">IF(A799="ID",1,IF(ISBLANK(B800),"",MAX(A$2:A799)+1))</f>
        <v/>
      </c>
      <c r="I800" s="2" t="str">
        <f ca="1">IF(ISNUMBER(A800),
IF(COUNTIFS(Equipar!B:B,2,Equipar!AC:AC,A800),"Equipada",
IF(
  OR(COUNTIFS(Equipar!B:B,2,Equipar!C:C,A800)
 +COUNTIFS(Equipar!B:B,2,Equipar!D:D,A800)
+COUNTIFS(Equipar!B:B,2,Equipar!E:E,A800)
+COUNTIFS(Equipar!B:B,2,Equipar!F:F,A800)
&gt;0,COUNTIF('Set recomendado'!B:B,C800)=0),
"Bloqueada",
"Desechable")),""
)</f>
        <v/>
      </c>
      <c r="J800" t="str" cm="1">
        <f t="array" aca="1" ref="J800" ca="1">IF(ISNUMBER(A800),IFERROR(_xlfn._xlws.FILTER(Equipar!A:A,(Equipar!B:B=2)*(Equipar!AC:AC=A800)),""),"")</f>
        <v/>
      </c>
    </row>
    <row r="801" spans="1:10" x14ac:dyDescent="0.25">
      <c r="A801" s="1" t="str">
        <f ca="1">IF(A800="ID",1,IF(ISBLANK(B801),"",MAX(A$2:A800)+1))</f>
        <v/>
      </c>
      <c r="I801" s="2" t="str">
        <f ca="1">IF(ISNUMBER(A801),
IF(COUNTIFS(Equipar!B:B,2,Equipar!AC:AC,A801),"Equipada",
IF(
  OR(COUNTIFS(Equipar!B:B,2,Equipar!C:C,A801)
 +COUNTIFS(Equipar!B:B,2,Equipar!D:D,A801)
+COUNTIFS(Equipar!B:B,2,Equipar!E:E,A801)
+COUNTIFS(Equipar!B:B,2,Equipar!F:F,A801)
&gt;0,COUNTIF('Set recomendado'!B:B,C801)=0),
"Bloqueada",
"Desechable")),""
)</f>
        <v/>
      </c>
      <c r="J801" t="str" cm="1">
        <f t="array" aca="1" ref="J801" ca="1">IF(ISNUMBER(A801),IFERROR(_xlfn._xlws.FILTER(Equipar!A:A,(Equipar!B:B=2)*(Equipar!AC:AC=A801)),""),"")</f>
        <v/>
      </c>
    </row>
    <row r="802" spans="1:10" x14ac:dyDescent="0.25">
      <c r="A802" s="1" t="str">
        <f ca="1">IF(A801="ID",1,IF(ISBLANK(B802),"",MAX(A$2:A801)+1))</f>
        <v/>
      </c>
      <c r="I802" s="2" t="str">
        <f ca="1">IF(ISNUMBER(A802),
IF(COUNTIFS(Equipar!B:B,2,Equipar!AC:AC,A802),"Equipada",
IF(
  OR(COUNTIFS(Equipar!B:B,2,Equipar!C:C,A802)
 +COUNTIFS(Equipar!B:B,2,Equipar!D:D,A802)
+COUNTIFS(Equipar!B:B,2,Equipar!E:E,A802)
+COUNTIFS(Equipar!B:B,2,Equipar!F:F,A802)
&gt;0,COUNTIF('Set recomendado'!B:B,C802)=0),
"Bloqueada",
"Desechable")),""
)</f>
        <v/>
      </c>
      <c r="J802" t="str" cm="1">
        <f t="array" aca="1" ref="J802" ca="1">IF(ISNUMBER(A802),IFERROR(_xlfn._xlws.FILTER(Equipar!A:A,(Equipar!B:B=2)*(Equipar!AC:AC=A802)),""),"")</f>
        <v/>
      </c>
    </row>
    <row r="803" spans="1:10" x14ac:dyDescent="0.25">
      <c r="A803" s="1" t="str">
        <f ca="1">IF(A802="ID",1,IF(ISBLANK(B803),"",MAX(A$2:A802)+1))</f>
        <v/>
      </c>
      <c r="I803" s="2" t="str">
        <f ca="1">IF(ISNUMBER(A803),
IF(COUNTIFS(Equipar!B:B,2,Equipar!AC:AC,A803),"Equipada",
IF(
  OR(COUNTIFS(Equipar!B:B,2,Equipar!C:C,A803)
 +COUNTIFS(Equipar!B:B,2,Equipar!D:D,A803)
+COUNTIFS(Equipar!B:B,2,Equipar!E:E,A803)
+COUNTIFS(Equipar!B:B,2,Equipar!F:F,A803)
&gt;0,COUNTIF('Set recomendado'!B:B,C803)=0),
"Bloqueada",
"Desechable")),""
)</f>
        <v/>
      </c>
      <c r="J803" t="str" cm="1">
        <f t="array" aca="1" ref="J803" ca="1">IF(ISNUMBER(A803),IFERROR(_xlfn._xlws.FILTER(Equipar!A:A,(Equipar!B:B=2)*(Equipar!AC:AC=A803)),""),"")</f>
        <v/>
      </c>
    </row>
    <row r="804" spans="1:10" x14ac:dyDescent="0.25">
      <c r="A804" s="1" t="str">
        <f ca="1">IF(A803="ID",1,IF(ISBLANK(B804),"",MAX(A$2:A803)+1))</f>
        <v/>
      </c>
      <c r="I804" s="2" t="str">
        <f ca="1">IF(ISNUMBER(A804),
IF(COUNTIFS(Equipar!B:B,2,Equipar!AC:AC,A804),"Equipada",
IF(
  OR(COUNTIFS(Equipar!B:B,2,Equipar!C:C,A804)
 +COUNTIFS(Equipar!B:B,2,Equipar!D:D,A804)
+COUNTIFS(Equipar!B:B,2,Equipar!E:E,A804)
+COUNTIFS(Equipar!B:B,2,Equipar!F:F,A804)
&gt;0,COUNTIF('Set recomendado'!B:B,C804)=0),
"Bloqueada",
"Desechable")),""
)</f>
        <v/>
      </c>
      <c r="J804" t="str" cm="1">
        <f t="array" aca="1" ref="J804" ca="1">IF(ISNUMBER(A804),IFERROR(_xlfn._xlws.FILTER(Equipar!A:A,(Equipar!B:B=2)*(Equipar!AC:AC=A804)),""),"")</f>
        <v/>
      </c>
    </row>
    <row r="805" spans="1:10" x14ac:dyDescent="0.25">
      <c r="A805" s="1" t="str">
        <f ca="1">IF(A804="ID",1,IF(ISBLANK(B805),"",MAX(A$2:A804)+1))</f>
        <v/>
      </c>
      <c r="I805" s="2" t="str">
        <f ca="1">IF(ISNUMBER(A805),
IF(COUNTIFS(Equipar!B:B,2,Equipar!AC:AC,A805),"Equipada",
IF(
  OR(COUNTIFS(Equipar!B:B,2,Equipar!C:C,A805)
 +COUNTIFS(Equipar!B:B,2,Equipar!D:D,A805)
+COUNTIFS(Equipar!B:B,2,Equipar!E:E,A805)
+COUNTIFS(Equipar!B:B,2,Equipar!F:F,A805)
&gt;0,COUNTIF('Set recomendado'!B:B,C805)=0),
"Bloqueada",
"Desechable")),""
)</f>
        <v/>
      </c>
      <c r="J805" t="str" cm="1">
        <f t="array" aca="1" ref="J805" ca="1">IF(ISNUMBER(A805),IFERROR(_xlfn._xlws.FILTER(Equipar!A:A,(Equipar!B:B=2)*(Equipar!AC:AC=A805)),""),"")</f>
        <v/>
      </c>
    </row>
    <row r="806" spans="1:10" x14ac:dyDescent="0.25">
      <c r="A806" s="1" t="str">
        <f ca="1">IF(A805="ID",1,IF(ISBLANK(B806),"",MAX(A$2:A805)+1))</f>
        <v/>
      </c>
      <c r="I806" s="2" t="str">
        <f ca="1">IF(ISNUMBER(A806),
IF(COUNTIFS(Equipar!B:B,2,Equipar!AC:AC,A806),"Equipada",
IF(
  OR(COUNTIFS(Equipar!B:B,2,Equipar!C:C,A806)
 +COUNTIFS(Equipar!B:B,2,Equipar!D:D,A806)
+COUNTIFS(Equipar!B:B,2,Equipar!E:E,A806)
+COUNTIFS(Equipar!B:B,2,Equipar!F:F,A806)
&gt;0,COUNTIF('Set recomendado'!B:B,C806)=0),
"Bloqueada",
"Desechable")),""
)</f>
        <v/>
      </c>
      <c r="J806" t="str" cm="1">
        <f t="array" aca="1" ref="J806" ca="1">IF(ISNUMBER(A806),IFERROR(_xlfn._xlws.FILTER(Equipar!A:A,(Equipar!B:B=2)*(Equipar!AC:AC=A806)),""),"")</f>
        <v/>
      </c>
    </row>
    <row r="807" spans="1:10" x14ac:dyDescent="0.25">
      <c r="A807" s="1" t="str">
        <f ca="1">IF(A806="ID",1,IF(ISBLANK(B807),"",MAX(A$2:A806)+1))</f>
        <v/>
      </c>
      <c r="I807" s="2" t="str">
        <f ca="1">IF(ISNUMBER(A807),
IF(COUNTIFS(Equipar!B:B,2,Equipar!AC:AC,A807),"Equipada",
IF(
  OR(COUNTIFS(Equipar!B:B,2,Equipar!C:C,A807)
 +COUNTIFS(Equipar!B:B,2,Equipar!D:D,A807)
+COUNTIFS(Equipar!B:B,2,Equipar!E:E,A807)
+COUNTIFS(Equipar!B:B,2,Equipar!F:F,A807)
&gt;0,COUNTIF('Set recomendado'!B:B,C807)=0),
"Bloqueada",
"Desechable")),""
)</f>
        <v/>
      </c>
      <c r="J807" t="str" cm="1">
        <f t="array" aca="1" ref="J807" ca="1">IF(ISNUMBER(A807),IFERROR(_xlfn._xlws.FILTER(Equipar!A:A,(Equipar!B:B=2)*(Equipar!AC:AC=A807)),""),"")</f>
        <v/>
      </c>
    </row>
    <row r="808" spans="1:10" x14ac:dyDescent="0.25">
      <c r="A808" s="1" t="str">
        <f ca="1">IF(A807="ID",1,IF(ISBLANK(B808),"",MAX(A$2:A807)+1))</f>
        <v/>
      </c>
      <c r="I808" s="2" t="str">
        <f ca="1">IF(ISNUMBER(A808),
IF(COUNTIFS(Equipar!B:B,2,Equipar!AC:AC,A808),"Equipada",
IF(
  OR(COUNTIFS(Equipar!B:B,2,Equipar!C:C,A808)
 +COUNTIFS(Equipar!B:B,2,Equipar!D:D,A808)
+COUNTIFS(Equipar!B:B,2,Equipar!E:E,A808)
+COUNTIFS(Equipar!B:B,2,Equipar!F:F,A808)
&gt;0,COUNTIF('Set recomendado'!B:B,C808)=0),
"Bloqueada",
"Desechable")),""
)</f>
        <v/>
      </c>
      <c r="J808" t="str" cm="1">
        <f t="array" aca="1" ref="J808" ca="1">IF(ISNUMBER(A808),IFERROR(_xlfn._xlws.FILTER(Equipar!A:A,(Equipar!B:B=2)*(Equipar!AC:AC=A808)),""),"")</f>
        <v/>
      </c>
    </row>
    <row r="809" spans="1:10" x14ac:dyDescent="0.25">
      <c r="A809" s="1" t="str">
        <f ca="1">IF(A808="ID",1,IF(ISBLANK(B809),"",MAX(A$2:A808)+1))</f>
        <v/>
      </c>
      <c r="I809" s="2" t="str">
        <f ca="1">IF(ISNUMBER(A809),
IF(COUNTIFS(Equipar!B:B,2,Equipar!AC:AC,A809),"Equipada",
IF(
  OR(COUNTIFS(Equipar!B:B,2,Equipar!C:C,A809)
 +COUNTIFS(Equipar!B:B,2,Equipar!D:D,A809)
+COUNTIFS(Equipar!B:B,2,Equipar!E:E,A809)
+COUNTIFS(Equipar!B:B,2,Equipar!F:F,A809)
&gt;0,COUNTIF('Set recomendado'!B:B,C809)=0),
"Bloqueada",
"Desechable")),""
)</f>
        <v/>
      </c>
      <c r="J809" t="str" cm="1">
        <f t="array" aca="1" ref="J809" ca="1">IF(ISNUMBER(A809),IFERROR(_xlfn._xlws.FILTER(Equipar!A:A,(Equipar!B:B=2)*(Equipar!AC:AC=A809)),""),"")</f>
        <v/>
      </c>
    </row>
    <row r="810" spans="1:10" x14ac:dyDescent="0.25">
      <c r="A810" s="1" t="str">
        <f ca="1">IF(A809="ID",1,IF(ISBLANK(B810),"",MAX(A$2:A809)+1))</f>
        <v/>
      </c>
      <c r="I810" s="2" t="str">
        <f ca="1">IF(ISNUMBER(A810),
IF(COUNTIFS(Equipar!B:B,2,Equipar!AC:AC,A810),"Equipada",
IF(
  OR(COUNTIFS(Equipar!B:B,2,Equipar!C:C,A810)
 +COUNTIFS(Equipar!B:B,2,Equipar!D:D,A810)
+COUNTIFS(Equipar!B:B,2,Equipar!E:E,A810)
+COUNTIFS(Equipar!B:B,2,Equipar!F:F,A810)
&gt;0,COUNTIF('Set recomendado'!B:B,C810)=0),
"Bloqueada",
"Desechable")),""
)</f>
        <v/>
      </c>
      <c r="J810" t="str" cm="1">
        <f t="array" aca="1" ref="J810" ca="1">IF(ISNUMBER(A810),IFERROR(_xlfn._xlws.FILTER(Equipar!A:A,(Equipar!B:B=2)*(Equipar!AC:AC=A810)),""),"")</f>
        <v/>
      </c>
    </row>
    <row r="811" spans="1:10" x14ac:dyDescent="0.25">
      <c r="A811" s="1" t="str">
        <f ca="1">IF(A810="ID",1,IF(ISBLANK(B811),"",MAX(A$2:A810)+1))</f>
        <v/>
      </c>
      <c r="I811" s="2" t="str">
        <f ca="1">IF(ISNUMBER(A811),
IF(COUNTIFS(Equipar!B:B,2,Equipar!AC:AC,A811),"Equipada",
IF(
  OR(COUNTIFS(Equipar!B:B,2,Equipar!C:C,A811)
 +COUNTIFS(Equipar!B:B,2,Equipar!D:D,A811)
+COUNTIFS(Equipar!B:B,2,Equipar!E:E,A811)
+COUNTIFS(Equipar!B:B,2,Equipar!F:F,A811)
&gt;0,COUNTIF('Set recomendado'!B:B,C811)=0),
"Bloqueada",
"Desechable")),""
)</f>
        <v/>
      </c>
      <c r="J811" t="str" cm="1">
        <f t="array" aca="1" ref="J811" ca="1">IF(ISNUMBER(A811),IFERROR(_xlfn._xlws.FILTER(Equipar!A:A,(Equipar!B:B=2)*(Equipar!AC:AC=A811)),""),"")</f>
        <v/>
      </c>
    </row>
    <row r="812" spans="1:10" x14ac:dyDescent="0.25">
      <c r="A812" s="1" t="str">
        <f ca="1">IF(A811="ID",1,IF(ISBLANK(B812),"",MAX(A$2:A811)+1))</f>
        <v/>
      </c>
      <c r="I812" s="2" t="str">
        <f ca="1">IF(ISNUMBER(A812),
IF(COUNTIFS(Equipar!B:B,2,Equipar!AC:AC,A812),"Equipada",
IF(
  OR(COUNTIFS(Equipar!B:B,2,Equipar!C:C,A812)
 +COUNTIFS(Equipar!B:B,2,Equipar!D:D,A812)
+COUNTIFS(Equipar!B:B,2,Equipar!E:E,A812)
+COUNTIFS(Equipar!B:B,2,Equipar!F:F,A812)
&gt;0,COUNTIF('Set recomendado'!B:B,C812)=0),
"Bloqueada",
"Desechable")),""
)</f>
        <v/>
      </c>
      <c r="J812" t="str" cm="1">
        <f t="array" aca="1" ref="J812" ca="1">IF(ISNUMBER(A812),IFERROR(_xlfn._xlws.FILTER(Equipar!A:A,(Equipar!B:B=2)*(Equipar!AC:AC=A812)),""),"")</f>
        <v/>
      </c>
    </row>
    <row r="813" spans="1:10" x14ac:dyDescent="0.25">
      <c r="A813" s="1" t="str">
        <f ca="1">IF(A812="ID",1,IF(ISBLANK(B813),"",MAX(A$2:A812)+1))</f>
        <v/>
      </c>
      <c r="I813" s="2" t="str">
        <f ca="1">IF(ISNUMBER(A813),
IF(COUNTIFS(Equipar!B:B,2,Equipar!AC:AC,A813),"Equipada",
IF(
  OR(COUNTIFS(Equipar!B:B,2,Equipar!C:C,A813)
 +COUNTIFS(Equipar!B:B,2,Equipar!D:D,A813)
+COUNTIFS(Equipar!B:B,2,Equipar!E:E,A813)
+COUNTIFS(Equipar!B:B,2,Equipar!F:F,A813)
&gt;0,COUNTIF('Set recomendado'!B:B,C813)=0),
"Bloqueada",
"Desechable")),""
)</f>
        <v/>
      </c>
      <c r="J813" t="str" cm="1">
        <f t="array" aca="1" ref="J813" ca="1">IF(ISNUMBER(A813),IFERROR(_xlfn._xlws.FILTER(Equipar!A:A,(Equipar!B:B=2)*(Equipar!AC:AC=A813)),""),"")</f>
        <v/>
      </c>
    </row>
    <row r="814" spans="1:10" x14ac:dyDescent="0.25">
      <c r="A814" s="1" t="str">
        <f ca="1">IF(A813="ID",1,IF(ISBLANK(B814),"",MAX(A$2:A813)+1))</f>
        <v/>
      </c>
      <c r="I814" s="2" t="str">
        <f ca="1">IF(ISNUMBER(A814),
IF(COUNTIFS(Equipar!B:B,2,Equipar!AC:AC,A814),"Equipada",
IF(
  OR(COUNTIFS(Equipar!B:B,2,Equipar!C:C,A814)
 +COUNTIFS(Equipar!B:B,2,Equipar!D:D,A814)
+COUNTIFS(Equipar!B:B,2,Equipar!E:E,A814)
+COUNTIFS(Equipar!B:B,2,Equipar!F:F,A814)
&gt;0,COUNTIF('Set recomendado'!B:B,C814)=0),
"Bloqueada",
"Desechable")),""
)</f>
        <v/>
      </c>
      <c r="J814" t="str" cm="1">
        <f t="array" aca="1" ref="J814" ca="1">IF(ISNUMBER(A814),IFERROR(_xlfn._xlws.FILTER(Equipar!A:A,(Equipar!B:B=2)*(Equipar!AC:AC=A814)),""),"")</f>
        <v/>
      </c>
    </row>
    <row r="815" spans="1:10" x14ac:dyDescent="0.25">
      <c r="A815" s="1" t="str">
        <f ca="1">IF(A814="ID",1,IF(ISBLANK(B815),"",MAX(A$2:A814)+1))</f>
        <v/>
      </c>
      <c r="I815" s="2" t="str">
        <f ca="1">IF(ISNUMBER(A815),
IF(COUNTIFS(Equipar!B:B,2,Equipar!AC:AC,A815),"Equipada",
IF(
  OR(COUNTIFS(Equipar!B:B,2,Equipar!C:C,A815)
 +COUNTIFS(Equipar!B:B,2,Equipar!D:D,A815)
+COUNTIFS(Equipar!B:B,2,Equipar!E:E,A815)
+COUNTIFS(Equipar!B:B,2,Equipar!F:F,A815)
&gt;0,COUNTIF('Set recomendado'!B:B,C815)=0),
"Bloqueada",
"Desechable")),""
)</f>
        <v/>
      </c>
      <c r="J815" t="str" cm="1">
        <f t="array" aca="1" ref="J815" ca="1">IF(ISNUMBER(A815),IFERROR(_xlfn._xlws.FILTER(Equipar!A:A,(Equipar!B:B=2)*(Equipar!AC:AC=A815)),""),"")</f>
        <v/>
      </c>
    </row>
    <row r="816" spans="1:10" x14ac:dyDescent="0.25">
      <c r="A816" s="1" t="str">
        <f ca="1">IF(A815="ID",1,IF(ISBLANK(B816),"",MAX(A$2:A815)+1))</f>
        <v/>
      </c>
      <c r="I816" s="2" t="str">
        <f ca="1">IF(ISNUMBER(A816),
IF(COUNTIFS(Equipar!B:B,2,Equipar!AC:AC,A816),"Equipada",
IF(
  OR(COUNTIFS(Equipar!B:B,2,Equipar!C:C,A816)
 +COUNTIFS(Equipar!B:B,2,Equipar!D:D,A816)
+COUNTIFS(Equipar!B:B,2,Equipar!E:E,A816)
+COUNTIFS(Equipar!B:B,2,Equipar!F:F,A816)
&gt;0,COUNTIF('Set recomendado'!B:B,C816)=0),
"Bloqueada",
"Desechable")),""
)</f>
        <v/>
      </c>
      <c r="J816" t="str" cm="1">
        <f t="array" aca="1" ref="J816" ca="1">IF(ISNUMBER(A816),IFERROR(_xlfn._xlws.FILTER(Equipar!A:A,(Equipar!B:B=2)*(Equipar!AC:AC=A816)),""),"")</f>
        <v/>
      </c>
    </row>
    <row r="817" spans="1:10" x14ac:dyDescent="0.25">
      <c r="A817" s="1" t="str">
        <f ca="1">IF(A816="ID",1,IF(ISBLANK(B817),"",MAX(A$2:A816)+1))</f>
        <v/>
      </c>
      <c r="I817" s="2" t="str">
        <f ca="1">IF(ISNUMBER(A817),
IF(COUNTIFS(Equipar!B:B,2,Equipar!AC:AC,A817),"Equipada",
IF(
  OR(COUNTIFS(Equipar!B:B,2,Equipar!C:C,A817)
 +COUNTIFS(Equipar!B:B,2,Equipar!D:D,A817)
+COUNTIFS(Equipar!B:B,2,Equipar!E:E,A817)
+COUNTIFS(Equipar!B:B,2,Equipar!F:F,A817)
&gt;0,COUNTIF('Set recomendado'!B:B,C817)=0),
"Bloqueada",
"Desechable")),""
)</f>
        <v/>
      </c>
      <c r="J817" t="str" cm="1">
        <f t="array" aca="1" ref="J817" ca="1">IF(ISNUMBER(A817),IFERROR(_xlfn._xlws.FILTER(Equipar!A:A,(Equipar!B:B=2)*(Equipar!AC:AC=A817)),""),"")</f>
        <v/>
      </c>
    </row>
    <row r="818" spans="1:10" x14ac:dyDescent="0.25">
      <c r="A818" s="1" t="str">
        <f ca="1">IF(A817="ID",1,IF(ISBLANK(B818),"",MAX(A$2:A817)+1))</f>
        <v/>
      </c>
      <c r="I818" s="2" t="str">
        <f ca="1">IF(ISNUMBER(A818),
IF(COUNTIFS(Equipar!B:B,2,Equipar!AC:AC,A818),"Equipada",
IF(
  OR(COUNTIFS(Equipar!B:B,2,Equipar!C:C,A818)
 +COUNTIFS(Equipar!B:B,2,Equipar!D:D,A818)
+COUNTIFS(Equipar!B:B,2,Equipar!E:E,A818)
+COUNTIFS(Equipar!B:B,2,Equipar!F:F,A818)
&gt;0,COUNTIF('Set recomendado'!B:B,C818)=0),
"Bloqueada",
"Desechable")),""
)</f>
        <v/>
      </c>
      <c r="J818" t="str" cm="1">
        <f t="array" aca="1" ref="J818" ca="1">IF(ISNUMBER(A818),IFERROR(_xlfn._xlws.FILTER(Equipar!A:A,(Equipar!B:B=2)*(Equipar!AC:AC=A818)),""),"")</f>
        <v/>
      </c>
    </row>
    <row r="819" spans="1:10" x14ac:dyDescent="0.25">
      <c r="A819" s="1" t="str">
        <f ca="1">IF(A818="ID",1,IF(ISBLANK(B819),"",MAX(A$2:A818)+1))</f>
        <v/>
      </c>
      <c r="I819" s="2" t="str">
        <f ca="1">IF(ISNUMBER(A819),
IF(COUNTIFS(Equipar!B:B,2,Equipar!AC:AC,A819),"Equipada",
IF(
  OR(COUNTIFS(Equipar!B:B,2,Equipar!C:C,A819)
 +COUNTIFS(Equipar!B:B,2,Equipar!D:D,A819)
+COUNTIFS(Equipar!B:B,2,Equipar!E:E,A819)
+COUNTIFS(Equipar!B:B,2,Equipar!F:F,A819)
&gt;0,COUNTIF('Set recomendado'!B:B,C819)=0),
"Bloqueada",
"Desechable")),""
)</f>
        <v/>
      </c>
      <c r="J819" t="str" cm="1">
        <f t="array" aca="1" ref="J819" ca="1">IF(ISNUMBER(A819),IFERROR(_xlfn._xlws.FILTER(Equipar!A:A,(Equipar!B:B=2)*(Equipar!AC:AC=A819)),""),"")</f>
        <v/>
      </c>
    </row>
    <row r="820" spans="1:10" x14ac:dyDescent="0.25">
      <c r="A820" s="1" t="str">
        <f ca="1">IF(A819="ID",1,IF(ISBLANK(B820),"",MAX(A$2:A819)+1))</f>
        <v/>
      </c>
      <c r="I820" s="2" t="str">
        <f ca="1">IF(ISNUMBER(A820),
IF(COUNTIFS(Equipar!B:B,2,Equipar!AC:AC,A820),"Equipada",
IF(
  OR(COUNTIFS(Equipar!B:B,2,Equipar!C:C,A820)
 +COUNTIFS(Equipar!B:B,2,Equipar!D:D,A820)
+COUNTIFS(Equipar!B:B,2,Equipar!E:E,A820)
+COUNTIFS(Equipar!B:B,2,Equipar!F:F,A820)
&gt;0,COUNTIF('Set recomendado'!B:B,C820)=0),
"Bloqueada",
"Desechable")),""
)</f>
        <v/>
      </c>
      <c r="J820" t="str" cm="1">
        <f t="array" aca="1" ref="J820" ca="1">IF(ISNUMBER(A820),IFERROR(_xlfn._xlws.FILTER(Equipar!A:A,(Equipar!B:B=2)*(Equipar!AC:AC=A820)),""),"")</f>
        <v/>
      </c>
    </row>
    <row r="821" spans="1:10" x14ac:dyDescent="0.25">
      <c r="A821" s="1" t="str">
        <f ca="1">IF(A820="ID",1,IF(ISBLANK(B821),"",MAX(A$2:A820)+1))</f>
        <v/>
      </c>
      <c r="I821" s="2" t="str">
        <f ca="1">IF(ISNUMBER(A821),
IF(COUNTIFS(Equipar!B:B,2,Equipar!AC:AC,A821),"Equipada",
IF(
  OR(COUNTIFS(Equipar!B:B,2,Equipar!C:C,A821)
 +COUNTIFS(Equipar!B:B,2,Equipar!D:D,A821)
+COUNTIFS(Equipar!B:B,2,Equipar!E:E,A821)
+COUNTIFS(Equipar!B:B,2,Equipar!F:F,A821)
&gt;0,COUNTIF('Set recomendado'!B:B,C821)=0),
"Bloqueada",
"Desechable")),""
)</f>
        <v/>
      </c>
      <c r="J821" t="str" cm="1">
        <f t="array" aca="1" ref="J821" ca="1">IF(ISNUMBER(A821),IFERROR(_xlfn._xlws.FILTER(Equipar!A:A,(Equipar!B:B=2)*(Equipar!AC:AC=A821)),""),"")</f>
        <v/>
      </c>
    </row>
    <row r="822" spans="1:10" x14ac:dyDescent="0.25">
      <c r="A822" s="1" t="str">
        <f ca="1">IF(A821="ID",1,IF(ISBLANK(B822),"",MAX(A$2:A821)+1))</f>
        <v/>
      </c>
      <c r="I822" s="2" t="str">
        <f ca="1">IF(ISNUMBER(A822),
IF(COUNTIFS(Equipar!B:B,2,Equipar!AC:AC,A822),"Equipada",
IF(
  OR(COUNTIFS(Equipar!B:B,2,Equipar!C:C,A822)
 +COUNTIFS(Equipar!B:B,2,Equipar!D:D,A822)
+COUNTIFS(Equipar!B:B,2,Equipar!E:E,A822)
+COUNTIFS(Equipar!B:B,2,Equipar!F:F,A822)
&gt;0,COUNTIF('Set recomendado'!B:B,C822)=0),
"Bloqueada",
"Desechable")),""
)</f>
        <v/>
      </c>
      <c r="J822" t="str" cm="1">
        <f t="array" aca="1" ref="J822" ca="1">IF(ISNUMBER(A822),IFERROR(_xlfn._xlws.FILTER(Equipar!A:A,(Equipar!B:B=2)*(Equipar!AC:AC=A822)),""),"")</f>
        <v/>
      </c>
    </row>
    <row r="823" spans="1:10" x14ac:dyDescent="0.25">
      <c r="A823" s="1" t="str">
        <f ca="1">IF(A822="ID",1,IF(ISBLANK(B823),"",MAX(A$2:A822)+1))</f>
        <v/>
      </c>
      <c r="I823" s="2" t="str">
        <f ca="1">IF(ISNUMBER(A823),
IF(COUNTIFS(Equipar!B:B,2,Equipar!AC:AC,A823),"Equipada",
IF(
  OR(COUNTIFS(Equipar!B:B,2,Equipar!C:C,A823)
 +COUNTIFS(Equipar!B:B,2,Equipar!D:D,A823)
+COUNTIFS(Equipar!B:B,2,Equipar!E:E,A823)
+COUNTIFS(Equipar!B:B,2,Equipar!F:F,A823)
&gt;0,COUNTIF('Set recomendado'!B:B,C823)=0),
"Bloqueada",
"Desechable")),""
)</f>
        <v/>
      </c>
      <c r="J823" t="str" cm="1">
        <f t="array" aca="1" ref="J823" ca="1">IF(ISNUMBER(A823),IFERROR(_xlfn._xlws.FILTER(Equipar!A:A,(Equipar!B:B=2)*(Equipar!AC:AC=A823)),""),"")</f>
        <v/>
      </c>
    </row>
    <row r="824" spans="1:10" x14ac:dyDescent="0.25">
      <c r="A824" s="1" t="str">
        <f ca="1">IF(A823="ID",1,IF(ISBLANK(B824),"",MAX(A$2:A823)+1))</f>
        <v/>
      </c>
      <c r="I824" s="2" t="str">
        <f ca="1">IF(ISNUMBER(A824),
IF(COUNTIFS(Equipar!B:B,2,Equipar!AC:AC,A824),"Equipada",
IF(
  OR(COUNTIFS(Equipar!B:B,2,Equipar!C:C,A824)
 +COUNTIFS(Equipar!B:B,2,Equipar!D:D,A824)
+COUNTIFS(Equipar!B:B,2,Equipar!E:E,A824)
+COUNTIFS(Equipar!B:B,2,Equipar!F:F,A824)
&gt;0,COUNTIF('Set recomendado'!B:B,C824)=0),
"Bloqueada",
"Desechable")),""
)</f>
        <v/>
      </c>
      <c r="J824" t="str" cm="1">
        <f t="array" aca="1" ref="J824" ca="1">IF(ISNUMBER(A824),IFERROR(_xlfn._xlws.FILTER(Equipar!A:A,(Equipar!B:B=2)*(Equipar!AC:AC=A824)),""),"")</f>
        <v/>
      </c>
    </row>
    <row r="825" spans="1:10" x14ac:dyDescent="0.25">
      <c r="A825" s="1" t="str">
        <f ca="1">IF(A824="ID",1,IF(ISBLANK(B825),"",MAX(A$2:A824)+1))</f>
        <v/>
      </c>
      <c r="I825" s="2" t="str">
        <f ca="1">IF(ISNUMBER(A825),
IF(COUNTIFS(Equipar!B:B,2,Equipar!AC:AC,A825),"Equipada",
IF(
  OR(COUNTIFS(Equipar!B:B,2,Equipar!C:C,A825)
 +COUNTIFS(Equipar!B:B,2,Equipar!D:D,A825)
+COUNTIFS(Equipar!B:B,2,Equipar!E:E,A825)
+COUNTIFS(Equipar!B:B,2,Equipar!F:F,A825)
&gt;0,COUNTIF('Set recomendado'!B:B,C825)=0),
"Bloqueada",
"Desechable")),""
)</f>
        <v/>
      </c>
      <c r="J825" t="str" cm="1">
        <f t="array" aca="1" ref="J825" ca="1">IF(ISNUMBER(A825),IFERROR(_xlfn._xlws.FILTER(Equipar!A:A,(Equipar!B:B=2)*(Equipar!AC:AC=A825)),""),"")</f>
        <v/>
      </c>
    </row>
    <row r="826" spans="1:10" x14ac:dyDescent="0.25">
      <c r="A826" s="1" t="str">
        <f ca="1">IF(A825="ID",1,IF(ISBLANK(B826),"",MAX(A$2:A825)+1))</f>
        <v/>
      </c>
      <c r="I826" s="2" t="str">
        <f ca="1">IF(ISNUMBER(A826),
IF(COUNTIFS(Equipar!B:B,2,Equipar!AC:AC,A826),"Equipada",
IF(
  OR(COUNTIFS(Equipar!B:B,2,Equipar!C:C,A826)
 +COUNTIFS(Equipar!B:B,2,Equipar!D:D,A826)
+COUNTIFS(Equipar!B:B,2,Equipar!E:E,A826)
+COUNTIFS(Equipar!B:B,2,Equipar!F:F,A826)
&gt;0,COUNTIF('Set recomendado'!B:B,C826)=0),
"Bloqueada",
"Desechable")),""
)</f>
        <v/>
      </c>
      <c r="J826" t="str" cm="1">
        <f t="array" aca="1" ref="J826" ca="1">IF(ISNUMBER(A826),IFERROR(_xlfn._xlws.FILTER(Equipar!A:A,(Equipar!B:B=2)*(Equipar!AC:AC=A826)),""),"")</f>
        <v/>
      </c>
    </row>
    <row r="827" spans="1:10" x14ac:dyDescent="0.25">
      <c r="A827" s="1" t="str">
        <f ca="1">IF(A826="ID",1,IF(ISBLANK(B827),"",MAX(A$2:A826)+1))</f>
        <v/>
      </c>
      <c r="I827" s="2" t="str">
        <f ca="1">IF(ISNUMBER(A827),
IF(COUNTIFS(Equipar!B:B,2,Equipar!AC:AC,A827),"Equipada",
IF(
  OR(COUNTIFS(Equipar!B:B,2,Equipar!C:C,A827)
 +COUNTIFS(Equipar!B:B,2,Equipar!D:D,A827)
+COUNTIFS(Equipar!B:B,2,Equipar!E:E,A827)
+COUNTIFS(Equipar!B:B,2,Equipar!F:F,A827)
&gt;0,COUNTIF('Set recomendado'!B:B,C827)=0),
"Bloqueada",
"Desechable")),""
)</f>
        <v/>
      </c>
      <c r="J827" t="str" cm="1">
        <f t="array" aca="1" ref="J827" ca="1">IF(ISNUMBER(A827),IFERROR(_xlfn._xlws.FILTER(Equipar!A:A,(Equipar!B:B=2)*(Equipar!AC:AC=A827)),""),"")</f>
        <v/>
      </c>
    </row>
    <row r="828" spans="1:10" x14ac:dyDescent="0.25">
      <c r="A828" s="1" t="str">
        <f ca="1">IF(A827="ID",1,IF(ISBLANK(B828),"",MAX(A$2:A827)+1))</f>
        <v/>
      </c>
      <c r="I828" s="2" t="str">
        <f ca="1">IF(ISNUMBER(A828),
IF(COUNTIFS(Equipar!B:B,2,Equipar!AC:AC,A828),"Equipada",
IF(
  OR(COUNTIFS(Equipar!B:B,2,Equipar!C:C,A828)
 +COUNTIFS(Equipar!B:B,2,Equipar!D:D,A828)
+COUNTIFS(Equipar!B:B,2,Equipar!E:E,A828)
+COUNTIFS(Equipar!B:B,2,Equipar!F:F,A828)
&gt;0,COUNTIF('Set recomendado'!B:B,C828)=0),
"Bloqueada",
"Desechable")),""
)</f>
        <v/>
      </c>
      <c r="J828" t="str" cm="1">
        <f t="array" aca="1" ref="J828" ca="1">IF(ISNUMBER(A828),IFERROR(_xlfn._xlws.FILTER(Equipar!A:A,(Equipar!B:B=2)*(Equipar!AC:AC=A828)),""),"")</f>
        <v/>
      </c>
    </row>
    <row r="829" spans="1:10" x14ac:dyDescent="0.25">
      <c r="A829" s="1" t="str">
        <f ca="1">IF(A828="ID",1,IF(ISBLANK(B829),"",MAX(A$2:A828)+1))</f>
        <v/>
      </c>
      <c r="I829" s="2" t="str">
        <f ca="1">IF(ISNUMBER(A829),
IF(COUNTIFS(Equipar!B:B,2,Equipar!AC:AC,A829),"Equipada",
IF(
  OR(COUNTIFS(Equipar!B:B,2,Equipar!C:C,A829)
 +COUNTIFS(Equipar!B:B,2,Equipar!D:D,A829)
+COUNTIFS(Equipar!B:B,2,Equipar!E:E,A829)
+COUNTIFS(Equipar!B:B,2,Equipar!F:F,A829)
&gt;0,COUNTIF('Set recomendado'!B:B,C829)=0),
"Bloqueada",
"Desechable")),""
)</f>
        <v/>
      </c>
      <c r="J829" t="str" cm="1">
        <f t="array" aca="1" ref="J829" ca="1">IF(ISNUMBER(A829),IFERROR(_xlfn._xlws.FILTER(Equipar!A:A,(Equipar!B:B=2)*(Equipar!AC:AC=A829)),""),"")</f>
        <v/>
      </c>
    </row>
    <row r="830" spans="1:10" x14ac:dyDescent="0.25">
      <c r="A830" s="1" t="str">
        <f ca="1">IF(A829="ID",1,IF(ISBLANK(B830),"",MAX(A$2:A829)+1))</f>
        <v/>
      </c>
      <c r="I830" s="2" t="str">
        <f ca="1">IF(ISNUMBER(A830),
IF(COUNTIFS(Equipar!B:B,2,Equipar!AC:AC,A830),"Equipada",
IF(
  OR(COUNTIFS(Equipar!B:B,2,Equipar!C:C,A830)
 +COUNTIFS(Equipar!B:B,2,Equipar!D:D,A830)
+COUNTIFS(Equipar!B:B,2,Equipar!E:E,A830)
+COUNTIFS(Equipar!B:B,2,Equipar!F:F,A830)
&gt;0,COUNTIF('Set recomendado'!B:B,C830)=0),
"Bloqueada",
"Desechable")),""
)</f>
        <v/>
      </c>
      <c r="J830" t="str" cm="1">
        <f t="array" aca="1" ref="J830" ca="1">IF(ISNUMBER(A830),IFERROR(_xlfn._xlws.FILTER(Equipar!A:A,(Equipar!B:B=2)*(Equipar!AC:AC=A830)),""),"")</f>
        <v/>
      </c>
    </row>
    <row r="831" spans="1:10" x14ac:dyDescent="0.25">
      <c r="A831" s="1" t="str">
        <f ca="1">IF(A830="ID",1,IF(ISBLANK(B831),"",MAX(A$2:A830)+1))</f>
        <v/>
      </c>
      <c r="I831" s="2" t="str">
        <f ca="1">IF(ISNUMBER(A831),
IF(COUNTIFS(Equipar!B:B,2,Equipar!AC:AC,A831),"Equipada",
IF(
  OR(COUNTIFS(Equipar!B:B,2,Equipar!C:C,A831)
 +COUNTIFS(Equipar!B:B,2,Equipar!D:D,A831)
+COUNTIFS(Equipar!B:B,2,Equipar!E:E,A831)
+COUNTIFS(Equipar!B:B,2,Equipar!F:F,A831)
&gt;0,COUNTIF('Set recomendado'!B:B,C831)=0),
"Bloqueada",
"Desechable")),""
)</f>
        <v/>
      </c>
      <c r="J831" t="str" cm="1">
        <f t="array" aca="1" ref="J831" ca="1">IF(ISNUMBER(A831),IFERROR(_xlfn._xlws.FILTER(Equipar!A:A,(Equipar!B:B=2)*(Equipar!AC:AC=A831)),""),"")</f>
        <v/>
      </c>
    </row>
    <row r="832" spans="1:10" x14ac:dyDescent="0.25">
      <c r="A832" s="1" t="str">
        <f ca="1">IF(A831="ID",1,IF(ISBLANK(B832),"",MAX(A$2:A831)+1))</f>
        <v/>
      </c>
      <c r="I832" s="2" t="str">
        <f ca="1">IF(ISNUMBER(A832),
IF(COUNTIFS(Equipar!B:B,2,Equipar!AC:AC,A832),"Equipada",
IF(
  OR(COUNTIFS(Equipar!B:B,2,Equipar!C:C,A832)
 +COUNTIFS(Equipar!B:B,2,Equipar!D:D,A832)
+COUNTIFS(Equipar!B:B,2,Equipar!E:E,A832)
+COUNTIFS(Equipar!B:B,2,Equipar!F:F,A832)
&gt;0,COUNTIF('Set recomendado'!B:B,C832)=0),
"Bloqueada",
"Desechable")),""
)</f>
        <v/>
      </c>
      <c r="J832" t="str" cm="1">
        <f t="array" aca="1" ref="J832" ca="1">IF(ISNUMBER(A832),IFERROR(_xlfn._xlws.FILTER(Equipar!A:A,(Equipar!B:B=2)*(Equipar!AC:AC=A832)),""),"")</f>
        <v/>
      </c>
    </row>
    <row r="833" spans="1:10" x14ac:dyDescent="0.25">
      <c r="A833" s="1" t="str">
        <f ca="1">IF(A832="ID",1,IF(ISBLANK(B833),"",MAX(A$2:A832)+1))</f>
        <v/>
      </c>
      <c r="I833" s="2" t="str">
        <f ca="1">IF(ISNUMBER(A833),
IF(COUNTIFS(Equipar!B:B,2,Equipar!AC:AC,A833),"Equipada",
IF(
  OR(COUNTIFS(Equipar!B:B,2,Equipar!C:C,A833)
 +COUNTIFS(Equipar!B:B,2,Equipar!D:D,A833)
+COUNTIFS(Equipar!B:B,2,Equipar!E:E,A833)
+COUNTIFS(Equipar!B:B,2,Equipar!F:F,A833)
&gt;0,COUNTIF('Set recomendado'!B:B,C833)=0),
"Bloqueada",
"Desechable")),""
)</f>
        <v/>
      </c>
      <c r="J833" t="str" cm="1">
        <f t="array" aca="1" ref="J833" ca="1">IF(ISNUMBER(A833),IFERROR(_xlfn._xlws.FILTER(Equipar!A:A,(Equipar!B:B=2)*(Equipar!AC:AC=A833)),""),"")</f>
        <v/>
      </c>
    </row>
    <row r="834" spans="1:10" x14ac:dyDescent="0.25">
      <c r="A834" s="1" t="str">
        <f ca="1">IF(A833="ID",1,IF(ISBLANK(B834),"",MAX(A$2:A833)+1))</f>
        <v/>
      </c>
      <c r="I834" s="2" t="str">
        <f ca="1">IF(ISNUMBER(A834),
IF(COUNTIFS(Equipar!B:B,2,Equipar!AC:AC,A834),"Equipada",
IF(
  OR(COUNTIFS(Equipar!B:B,2,Equipar!C:C,A834)
 +COUNTIFS(Equipar!B:B,2,Equipar!D:D,A834)
+COUNTIFS(Equipar!B:B,2,Equipar!E:E,A834)
+COUNTIFS(Equipar!B:B,2,Equipar!F:F,A834)
&gt;0,COUNTIF('Set recomendado'!B:B,C834)=0),
"Bloqueada",
"Desechable")),""
)</f>
        <v/>
      </c>
      <c r="J834" t="str" cm="1">
        <f t="array" aca="1" ref="J834" ca="1">IF(ISNUMBER(A834),IFERROR(_xlfn._xlws.FILTER(Equipar!A:A,(Equipar!B:B=2)*(Equipar!AC:AC=A834)),""),"")</f>
        <v/>
      </c>
    </row>
    <row r="835" spans="1:10" x14ac:dyDescent="0.25">
      <c r="A835" s="1" t="str">
        <f ca="1">IF(A834="ID",1,IF(ISBLANK(B835),"",MAX(A$2:A834)+1))</f>
        <v/>
      </c>
      <c r="I835" s="2" t="str">
        <f ca="1">IF(ISNUMBER(A835),
IF(COUNTIFS(Equipar!B:B,2,Equipar!AC:AC,A835),"Equipada",
IF(
  OR(COUNTIFS(Equipar!B:B,2,Equipar!C:C,A835)
 +COUNTIFS(Equipar!B:B,2,Equipar!D:D,A835)
+COUNTIFS(Equipar!B:B,2,Equipar!E:E,A835)
+COUNTIFS(Equipar!B:B,2,Equipar!F:F,A835)
&gt;0,COUNTIF('Set recomendado'!B:B,C835)=0),
"Bloqueada",
"Desechable")),""
)</f>
        <v/>
      </c>
      <c r="J835" t="str" cm="1">
        <f t="array" aca="1" ref="J835" ca="1">IF(ISNUMBER(A835),IFERROR(_xlfn._xlws.FILTER(Equipar!A:A,(Equipar!B:B=2)*(Equipar!AC:AC=A835)),""),"")</f>
        <v/>
      </c>
    </row>
    <row r="836" spans="1:10" x14ac:dyDescent="0.25">
      <c r="A836" s="1" t="str">
        <f ca="1">IF(A835="ID",1,IF(ISBLANK(B836),"",MAX(A$2:A835)+1))</f>
        <v/>
      </c>
      <c r="I836" s="2" t="str">
        <f ca="1">IF(ISNUMBER(A836),
IF(COUNTIFS(Equipar!B:B,2,Equipar!AC:AC,A836),"Equipada",
IF(
  OR(COUNTIFS(Equipar!B:B,2,Equipar!C:C,A836)
 +COUNTIFS(Equipar!B:B,2,Equipar!D:D,A836)
+COUNTIFS(Equipar!B:B,2,Equipar!E:E,A836)
+COUNTIFS(Equipar!B:B,2,Equipar!F:F,A836)
&gt;0,COUNTIF('Set recomendado'!B:B,C836)=0),
"Bloqueada",
"Desechable")),""
)</f>
        <v/>
      </c>
      <c r="J836" t="str" cm="1">
        <f t="array" aca="1" ref="J836" ca="1">IF(ISNUMBER(A836),IFERROR(_xlfn._xlws.FILTER(Equipar!A:A,(Equipar!B:B=2)*(Equipar!AC:AC=A836)),""),"")</f>
        <v/>
      </c>
    </row>
    <row r="837" spans="1:10" x14ac:dyDescent="0.25">
      <c r="A837" s="1" t="str">
        <f ca="1">IF(A836="ID",1,IF(ISBLANK(B837),"",MAX(A$2:A836)+1))</f>
        <v/>
      </c>
      <c r="I837" s="2" t="str">
        <f ca="1">IF(ISNUMBER(A837),
IF(COUNTIFS(Equipar!B:B,2,Equipar!AC:AC,A837),"Equipada",
IF(
  OR(COUNTIFS(Equipar!B:B,2,Equipar!C:C,A837)
 +COUNTIFS(Equipar!B:B,2,Equipar!D:D,A837)
+COUNTIFS(Equipar!B:B,2,Equipar!E:E,A837)
+COUNTIFS(Equipar!B:B,2,Equipar!F:F,A837)
&gt;0,COUNTIF('Set recomendado'!B:B,C837)=0),
"Bloqueada",
"Desechable")),""
)</f>
        <v/>
      </c>
      <c r="J837" t="str" cm="1">
        <f t="array" aca="1" ref="J837" ca="1">IF(ISNUMBER(A837),IFERROR(_xlfn._xlws.FILTER(Equipar!A:A,(Equipar!B:B=2)*(Equipar!AC:AC=A837)),""),"")</f>
        <v/>
      </c>
    </row>
    <row r="838" spans="1:10" x14ac:dyDescent="0.25">
      <c r="A838" s="1" t="str">
        <f ca="1">IF(A837="ID",1,IF(ISBLANK(B838),"",MAX(A$2:A837)+1))</f>
        <v/>
      </c>
      <c r="I838" s="2" t="str">
        <f ca="1">IF(ISNUMBER(A838),
IF(COUNTIFS(Equipar!B:B,2,Equipar!AC:AC,A838),"Equipada",
IF(
  OR(COUNTIFS(Equipar!B:B,2,Equipar!C:C,A838)
 +COUNTIFS(Equipar!B:B,2,Equipar!D:D,A838)
+COUNTIFS(Equipar!B:B,2,Equipar!E:E,A838)
+COUNTIFS(Equipar!B:B,2,Equipar!F:F,A838)
&gt;0,COUNTIF('Set recomendado'!B:B,C838)=0),
"Bloqueada",
"Desechable")),""
)</f>
        <v/>
      </c>
      <c r="J838" t="str" cm="1">
        <f t="array" aca="1" ref="J838" ca="1">IF(ISNUMBER(A838),IFERROR(_xlfn._xlws.FILTER(Equipar!A:A,(Equipar!B:B=2)*(Equipar!AC:AC=A838)),""),"")</f>
        <v/>
      </c>
    </row>
    <row r="839" spans="1:10" x14ac:dyDescent="0.25">
      <c r="A839" s="1" t="str">
        <f ca="1">IF(A838="ID",1,IF(ISBLANK(B839),"",MAX(A$2:A838)+1))</f>
        <v/>
      </c>
      <c r="I839" s="2" t="str">
        <f ca="1">IF(ISNUMBER(A839),
IF(COUNTIFS(Equipar!B:B,2,Equipar!AC:AC,A839),"Equipada",
IF(
  OR(COUNTIFS(Equipar!B:B,2,Equipar!C:C,A839)
 +COUNTIFS(Equipar!B:B,2,Equipar!D:D,A839)
+COUNTIFS(Equipar!B:B,2,Equipar!E:E,A839)
+COUNTIFS(Equipar!B:B,2,Equipar!F:F,A839)
&gt;0,COUNTIF('Set recomendado'!B:B,C839)=0),
"Bloqueada",
"Desechable")),""
)</f>
        <v/>
      </c>
      <c r="J839" t="str" cm="1">
        <f t="array" aca="1" ref="J839" ca="1">IF(ISNUMBER(A839),IFERROR(_xlfn._xlws.FILTER(Equipar!A:A,(Equipar!B:B=2)*(Equipar!AC:AC=A839)),""),"")</f>
        <v/>
      </c>
    </row>
    <row r="840" spans="1:10" x14ac:dyDescent="0.25">
      <c r="A840" s="1" t="str">
        <f ca="1">IF(A839="ID",1,IF(ISBLANK(B840),"",MAX(A$2:A839)+1))</f>
        <v/>
      </c>
      <c r="I840" s="2" t="str">
        <f ca="1">IF(ISNUMBER(A840),
IF(COUNTIFS(Equipar!B:B,2,Equipar!AC:AC,A840),"Equipada",
IF(
  OR(COUNTIFS(Equipar!B:B,2,Equipar!C:C,A840)
 +COUNTIFS(Equipar!B:B,2,Equipar!D:D,A840)
+COUNTIFS(Equipar!B:B,2,Equipar!E:E,A840)
+COUNTIFS(Equipar!B:B,2,Equipar!F:F,A840)
&gt;0,COUNTIF('Set recomendado'!B:B,C840)=0),
"Bloqueada",
"Desechable")),""
)</f>
        <v/>
      </c>
      <c r="J840" t="str" cm="1">
        <f t="array" aca="1" ref="J840" ca="1">IF(ISNUMBER(A840),IFERROR(_xlfn._xlws.FILTER(Equipar!A:A,(Equipar!B:B=2)*(Equipar!AC:AC=A840)),""),"")</f>
        <v/>
      </c>
    </row>
    <row r="841" spans="1:10" x14ac:dyDescent="0.25">
      <c r="A841" s="1" t="str">
        <f ca="1">IF(A840="ID",1,IF(ISBLANK(B841),"",MAX(A$2:A840)+1))</f>
        <v/>
      </c>
      <c r="I841" s="2" t="str">
        <f ca="1">IF(ISNUMBER(A841),
IF(COUNTIFS(Equipar!B:B,2,Equipar!AC:AC,A841),"Equipada",
IF(
  OR(COUNTIFS(Equipar!B:B,2,Equipar!C:C,A841)
 +COUNTIFS(Equipar!B:B,2,Equipar!D:D,A841)
+COUNTIFS(Equipar!B:B,2,Equipar!E:E,A841)
+COUNTIFS(Equipar!B:B,2,Equipar!F:F,A841)
&gt;0,COUNTIF('Set recomendado'!B:B,C841)=0),
"Bloqueada",
"Desechable")),""
)</f>
        <v/>
      </c>
      <c r="J841" t="str" cm="1">
        <f t="array" aca="1" ref="J841" ca="1">IF(ISNUMBER(A841),IFERROR(_xlfn._xlws.FILTER(Equipar!A:A,(Equipar!B:B=2)*(Equipar!AC:AC=A841)),""),"")</f>
        <v/>
      </c>
    </row>
    <row r="842" spans="1:10" x14ac:dyDescent="0.25">
      <c r="A842" s="1" t="str">
        <f ca="1">IF(A841="ID",1,IF(ISBLANK(B842),"",MAX(A$2:A841)+1))</f>
        <v/>
      </c>
      <c r="I842" s="2" t="str">
        <f ca="1">IF(ISNUMBER(A842),
IF(COUNTIFS(Equipar!B:B,2,Equipar!AC:AC,A842),"Equipada",
IF(
  OR(COUNTIFS(Equipar!B:B,2,Equipar!C:C,A842)
 +COUNTIFS(Equipar!B:B,2,Equipar!D:D,A842)
+COUNTIFS(Equipar!B:B,2,Equipar!E:E,A842)
+COUNTIFS(Equipar!B:B,2,Equipar!F:F,A842)
&gt;0,COUNTIF('Set recomendado'!B:B,C842)=0),
"Bloqueada",
"Desechable")),""
)</f>
        <v/>
      </c>
      <c r="J842" t="str" cm="1">
        <f t="array" aca="1" ref="J842" ca="1">IF(ISNUMBER(A842),IFERROR(_xlfn._xlws.FILTER(Equipar!A:A,(Equipar!B:B=2)*(Equipar!AC:AC=A842)),""),"")</f>
        <v/>
      </c>
    </row>
    <row r="843" spans="1:10" x14ac:dyDescent="0.25">
      <c r="A843" s="1" t="str">
        <f ca="1">IF(A842="ID",1,IF(ISBLANK(B843),"",MAX(A$2:A842)+1))</f>
        <v/>
      </c>
      <c r="I843" s="2" t="str">
        <f ca="1">IF(ISNUMBER(A843),
IF(COUNTIFS(Equipar!B:B,2,Equipar!AC:AC,A843),"Equipada",
IF(
  OR(COUNTIFS(Equipar!B:B,2,Equipar!C:C,A843)
 +COUNTIFS(Equipar!B:B,2,Equipar!D:D,A843)
+COUNTIFS(Equipar!B:B,2,Equipar!E:E,A843)
+COUNTIFS(Equipar!B:B,2,Equipar!F:F,A843)
&gt;0,COUNTIF('Set recomendado'!B:B,C843)=0),
"Bloqueada",
"Desechable")),""
)</f>
        <v/>
      </c>
      <c r="J843" t="str" cm="1">
        <f t="array" aca="1" ref="J843" ca="1">IF(ISNUMBER(A843),IFERROR(_xlfn._xlws.FILTER(Equipar!A:A,(Equipar!B:B=2)*(Equipar!AC:AC=A843)),""),"")</f>
        <v/>
      </c>
    </row>
    <row r="844" spans="1:10" x14ac:dyDescent="0.25">
      <c r="A844" s="1" t="str">
        <f ca="1">IF(A843="ID",1,IF(ISBLANK(B844),"",MAX(A$2:A843)+1))</f>
        <v/>
      </c>
      <c r="I844" s="2" t="str">
        <f ca="1">IF(ISNUMBER(A844),
IF(COUNTIFS(Equipar!B:B,2,Equipar!AC:AC,A844),"Equipada",
IF(
  OR(COUNTIFS(Equipar!B:B,2,Equipar!C:C,A844)
 +COUNTIFS(Equipar!B:B,2,Equipar!D:D,A844)
+COUNTIFS(Equipar!B:B,2,Equipar!E:E,A844)
+COUNTIFS(Equipar!B:B,2,Equipar!F:F,A844)
&gt;0,COUNTIF('Set recomendado'!B:B,C844)=0),
"Bloqueada",
"Desechable")),""
)</f>
        <v/>
      </c>
      <c r="J844" t="str" cm="1">
        <f t="array" aca="1" ref="J844" ca="1">IF(ISNUMBER(A844),IFERROR(_xlfn._xlws.FILTER(Equipar!A:A,(Equipar!B:B=2)*(Equipar!AC:AC=A844)),""),"")</f>
        <v/>
      </c>
    </row>
    <row r="845" spans="1:10" x14ac:dyDescent="0.25">
      <c r="A845" s="1" t="str">
        <f ca="1">IF(A844="ID",1,IF(ISBLANK(B845),"",MAX(A$2:A844)+1))</f>
        <v/>
      </c>
      <c r="I845" s="2" t="str">
        <f ca="1">IF(ISNUMBER(A845),
IF(COUNTIFS(Equipar!B:B,2,Equipar!AC:AC,A845),"Equipada",
IF(
  OR(COUNTIFS(Equipar!B:B,2,Equipar!C:C,A845)
 +COUNTIFS(Equipar!B:B,2,Equipar!D:D,A845)
+COUNTIFS(Equipar!B:B,2,Equipar!E:E,A845)
+COUNTIFS(Equipar!B:B,2,Equipar!F:F,A845)
&gt;0,COUNTIF('Set recomendado'!B:B,C845)=0),
"Bloqueada",
"Desechable")),""
)</f>
        <v/>
      </c>
      <c r="J845" t="str" cm="1">
        <f t="array" aca="1" ref="J845" ca="1">IF(ISNUMBER(A845),IFERROR(_xlfn._xlws.FILTER(Equipar!A:A,(Equipar!B:B=2)*(Equipar!AC:AC=A845)),""),"")</f>
        <v/>
      </c>
    </row>
    <row r="846" spans="1:10" x14ac:dyDescent="0.25">
      <c r="A846" s="1" t="str">
        <f ca="1">IF(A845="ID",1,IF(ISBLANK(B846),"",MAX(A$2:A845)+1))</f>
        <v/>
      </c>
      <c r="I846" s="2" t="str">
        <f ca="1">IF(ISNUMBER(A846),
IF(COUNTIFS(Equipar!B:B,2,Equipar!AC:AC,A846),"Equipada",
IF(
  OR(COUNTIFS(Equipar!B:B,2,Equipar!C:C,A846)
 +COUNTIFS(Equipar!B:B,2,Equipar!D:D,A846)
+COUNTIFS(Equipar!B:B,2,Equipar!E:E,A846)
+COUNTIFS(Equipar!B:B,2,Equipar!F:F,A846)
&gt;0,COUNTIF('Set recomendado'!B:B,C846)=0),
"Bloqueada",
"Desechable")),""
)</f>
        <v/>
      </c>
      <c r="J846" t="str" cm="1">
        <f t="array" aca="1" ref="J846" ca="1">IF(ISNUMBER(A846),IFERROR(_xlfn._xlws.FILTER(Equipar!A:A,(Equipar!B:B=2)*(Equipar!AC:AC=A846)),""),"")</f>
        <v/>
      </c>
    </row>
    <row r="847" spans="1:10" x14ac:dyDescent="0.25">
      <c r="A847" s="1" t="str">
        <f ca="1">IF(A846="ID",1,IF(ISBLANK(B847),"",MAX(A$2:A846)+1))</f>
        <v/>
      </c>
      <c r="I847" s="2" t="str">
        <f ca="1">IF(ISNUMBER(A847),
IF(COUNTIFS(Equipar!B:B,2,Equipar!AC:AC,A847),"Equipada",
IF(
  OR(COUNTIFS(Equipar!B:B,2,Equipar!C:C,A847)
 +COUNTIFS(Equipar!B:B,2,Equipar!D:D,A847)
+COUNTIFS(Equipar!B:B,2,Equipar!E:E,A847)
+COUNTIFS(Equipar!B:B,2,Equipar!F:F,A847)
&gt;0,COUNTIF('Set recomendado'!B:B,C847)=0),
"Bloqueada",
"Desechable")),""
)</f>
        <v/>
      </c>
      <c r="J847" t="str" cm="1">
        <f t="array" aca="1" ref="J847" ca="1">IF(ISNUMBER(A847),IFERROR(_xlfn._xlws.FILTER(Equipar!A:A,(Equipar!B:B=2)*(Equipar!AC:AC=A847)),""),"")</f>
        <v/>
      </c>
    </row>
    <row r="848" spans="1:10" x14ac:dyDescent="0.25">
      <c r="A848" s="1" t="str">
        <f ca="1">IF(A847="ID",1,IF(ISBLANK(B848),"",MAX(A$2:A847)+1))</f>
        <v/>
      </c>
      <c r="I848" s="2" t="str">
        <f ca="1">IF(ISNUMBER(A848),
IF(COUNTIFS(Equipar!B:B,2,Equipar!AC:AC,A848),"Equipada",
IF(
  OR(COUNTIFS(Equipar!B:B,2,Equipar!C:C,A848)
 +COUNTIFS(Equipar!B:B,2,Equipar!D:D,A848)
+COUNTIFS(Equipar!B:B,2,Equipar!E:E,A848)
+COUNTIFS(Equipar!B:B,2,Equipar!F:F,A848)
&gt;0,COUNTIF('Set recomendado'!B:B,C848)=0),
"Bloqueada",
"Desechable")),""
)</f>
        <v/>
      </c>
      <c r="J848" t="str" cm="1">
        <f t="array" aca="1" ref="J848" ca="1">IF(ISNUMBER(A848),IFERROR(_xlfn._xlws.FILTER(Equipar!A:A,(Equipar!B:B=2)*(Equipar!AC:AC=A848)),""),"")</f>
        <v/>
      </c>
    </row>
    <row r="849" spans="1:10" x14ac:dyDescent="0.25">
      <c r="A849" s="1" t="str">
        <f ca="1">IF(A848="ID",1,IF(ISBLANK(B849),"",MAX(A$2:A848)+1))</f>
        <v/>
      </c>
      <c r="I849" s="2" t="str">
        <f ca="1">IF(ISNUMBER(A849),
IF(COUNTIFS(Equipar!B:B,2,Equipar!AC:AC,A849),"Equipada",
IF(
  OR(COUNTIFS(Equipar!B:B,2,Equipar!C:C,A849)
 +COUNTIFS(Equipar!B:B,2,Equipar!D:D,A849)
+COUNTIFS(Equipar!B:B,2,Equipar!E:E,A849)
+COUNTIFS(Equipar!B:B,2,Equipar!F:F,A849)
&gt;0,COUNTIF('Set recomendado'!B:B,C849)=0),
"Bloqueada",
"Desechable")),""
)</f>
        <v/>
      </c>
      <c r="J849" t="str" cm="1">
        <f t="array" aca="1" ref="J849" ca="1">IF(ISNUMBER(A849),IFERROR(_xlfn._xlws.FILTER(Equipar!A:A,(Equipar!B:B=2)*(Equipar!AC:AC=A849)),""),"")</f>
        <v/>
      </c>
    </row>
    <row r="850" spans="1:10" x14ac:dyDescent="0.25">
      <c r="A850" s="1" t="str">
        <f ca="1">IF(A849="ID",1,IF(ISBLANK(B850),"",MAX(A$2:A849)+1))</f>
        <v/>
      </c>
      <c r="I850" s="2" t="str">
        <f ca="1">IF(ISNUMBER(A850),
IF(COUNTIFS(Equipar!B:B,2,Equipar!AC:AC,A850),"Equipada",
IF(
  OR(COUNTIFS(Equipar!B:B,2,Equipar!C:C,A850)
 +COUNTIFS(Equipar!B:B,2,Equipar!D:D,A850)
+COUNTIFS(Equipar!B:B,2,Equipar!E:E,A850)
+COUNTIFS(Equipar!B:B,2,Equipar!F:F,A850)
&gt;0,COUNTIF('Set recomendado'!B:B,C850)=0),
"Bloqueada",
"Desechable")),""
)</f>
        <v/>
      </c>
      <c r="J850" t="str" cm="1">
        <f t="array" aca="1" ref="J850" ca="1">IF(ISNUMBER(A850),IFERROR(_xlfn._xlws.FILTER(Equipar!A:A,(Equipar!B:B=2)*(Equipar!AC:AC=A850)),""),"")</f>
        <v/>
      </c>
    </row>
    <row r="851" spans="1:10" x14ac:dyDescent="0.25">
      <c r="A851" s="1" t="str">
        <f ca="1">IF(A850="ID",1,IF(ISBLANK(B851),"",MAX(A$2:A850)+1))</f>
        <v/>
      </c>
      <c r="I851" s="2" t="str">
        <f ca="1">IF(ISNUMBER(A851),
IF(COUNTIFS(Equipar!B:B,2,Equipar!AC:AC,A851),"Equipada",
IF(
  OR(COUNTIFS(Equipar!B:B,2,Equipar!C:C,A851)
 +COUNTIFS(Equipar!B:B,2,Equipar!D:D,A851)
+COUNTIFS(Equipar!B:B,2,Equipar!E:E,A851)
+COUNTIFS(Equipar!B:B,2,Equipar!F:F,A851)
&gt;0,COUNTIF('Set recomendado'!B:B,C851)=0),
"Bloqueada",
"Desechable")),""
)</f>
        <v/>
      </c>
      <c r="J851" t="str" cm="1">
        <f t="array" aca="1" ref="J851" ca="1">IF(ISNUMBER(A851),IFERROR(_xlfn._xlws.FILTER(Equipar!A:A,(Equipar!B:B=2)*(Equipar!AC:AC=A851)),""),"")</f>
        <v/>
      </c>
    </row>
    <row r="852" spans="1:10" x14ac:dyDescent="0.25">
      <c r="A852" s="1" t="str">
        <f ca="1">IF(A851="ID",1,IF(ISBLANK(B852),"",MAX(A$2:A851)+1))</f>
        <v/>
      </c>
      <c r="I852" s="2" t="str">
        <f ca="1">IF(ISNUMBER(A852),
IF(COUNTIFS(Equipar!B:B,2,Equipar!AC:AC,A852),"Equipada",
IF(
  OR(COUNTIFS(Equipar!B:B,2,Equipar!C:C,A852)
 +COUNTIFS(Equipar!B:B,2,Equipar!D:D,A852)
+COUNTIFS(Equipar!B:B,2,Equipar!E:E,A852)
+COUNTIFS(Equipar!B:B,2,Equipar!F:F,A852)
&gt;0,COUNTIF('Set recomendado'!B:B,C852)=0),
"Bloqueada",
"Desechable")),""
)</f>
        <v/>
      </c>
      <c r="J852" t="str" cm="1">
        <f t="array" aca="1" ref="J852" ca="1">IF(ISNUMBER(A852),IFERROR(_xlfn._xlws.FILTER(Equipar!A:A,(Equipar!B:B=2)*(Equipar!AC:AC=A852)),""),"")</f>
        <v/>
      </c>
    </row>
    <row r="853" spans="1:10" x14ac:dyDescent="0.25">
      <c r="A853" s="1" t="str">
        <f ca="1">IF(A852="ID",1,IF(ISBLANK(B853),"",MAX(A$2:A852)+1))</f>
        <v/>
      </c>
      <c r="I853" s="2" t="str">
        <f ca="1">IF(ISNUMBER(A853),
IF(COUNTIFS(Equipar!B:B,2,Equipar!AC:AC,A853),"Equipada",
IF(
  OR(COUNTIFS(Equipar!B:B,2,Equipar!C:C,A853)
 +COUNTIFS(Equipar!B:B,2,Equipar!D:D,A853)
+COUNTIFS(Equipar!B:B,2,Equipar!E:E,A853)
+COUNTIFS(Equipar!B:B,2,Equipar!F:F,A853)
&gt;0,COUNTIF('Set recomendado'!B:B,C853)=0),
"Bloqueada",
"Desechable")),""
)</f>
        <v/>
      </c>
      <c r="J853" t="str" cm="1">
        <f t="array" aca="1" ref="J853" ca="1">IF(ISNUMBER(A853),IFERROR(_xlfn._xlws.FILTER(Equipar!A:A,(Equipar!B:B=2)*(Equipar!AC:AC=A853)),""),"")</f>
        <v/>
      </c>
    </row>
    <row r="854" spans="1:10" x14ac:dyDescent="0.25">
      <c r="A854" s="1" t="str">
        <f ca="1">IF(A853="ID",1,IF(ISBLANK(B854),"",MAX(A$2:A853)+1))</f>
        <v/>
      </c>
      <c r="I854" s="2" t="str">
        <f ca="1">IF(ISNUMBER(A854),
IF(COUNTIFS(Equipar!B:B,2,Equipar!AC:AC,A854),"Equipada",
IF(
  OR(COUNTIFS(Equipar!B:B,2,Equipar!C:C,A854)
 +COUNTIFS(Equipar!B:B,2,Equipar!D:D,A854)
+COUNTIFS(Equipar!B:B,2,Equipar!E:E,A854)
+COUNTIFS(Equipar!B:B,2,Equipar!F:F,A854)
&gt;0,COUNTIF('Set recomendado'!B:B,C854)=0),
"Bloqueada",
"Desechable")),""
)</f>
        <v/>
      </c>
      <c r="J854" t="str" cm="1">
        <f t="array" aca="1" ref="J854" ca="1">IF(ISNUMBER(A854),IFERROR(_xlfn._xlws.FILTER(Equipar!A:A,(Equipar!B:B=2)*(Equipar!AC:AC=A854)),""),"")</f>
        <v/>
      </c>
    </row>
    <row r="855" spans="1:10" x14ac:dyDescent="0.25">
      <c r="A855" s="1" t="str">
        <f ca="1">IF(A854="ID",1,IF(ISBLANK(B855),"",MAX(A$2:A854)+1))</f>
        <v/>
      </c>
      <c r="I855" s="2" t="str">
        <f ca="1">IF(ISNUMBER(A855),
IF(COUNTIFS(Equipar!B:B,2,Equipar!AC:AC,A855),"Equipada",
IF(
  OR(COUNTIFS(Equipar!B:B,2,Equipar!C:C,A855)
 +COUNTIFS(Equipar!B:B,2,Equipar!D:D,A855)
+COUNTIFS(Equipar!B:B,2,Equipar!E:E,A855)
+COUNTIFS(Equipar!B:B,2,Equipar!F:F,A855)
&gt;0,COUNTIF('Set recomendado'!B:B,C855)=0),
"Bloqueada",
"Desechable")),""
)</f>
        <v/>
      </c>
      <c r="J855" t="str" cm="1">
        <f t="array" aca="1" ref="J855" ca="1">IF(ISNUMBER(A855),IFERROR(_xlfn._xlws.FILTER(Equipar!A:A,(Equipar!B:B=2)*(Equipar!AC:AC=A855)),""),"")</f>
        <v/>
      </c>
    </row>
    <row r="856" spans="1:10" x14ac:dyDescent="0.25">
      <c r="A856" s="1" t="str">
        <f ca="1">IF(A855="ID",1,IF(ISBLANK(B856),"",MAX(A$2:A855)+1))</f>
        <v/>
      </c>
      <c r="I856" s="2" t="str">
        <f ca="1">IF(ISNUMBER(A856),
IF(COUNTIFS(Equipar!B:B,2,Equipar!AC:AC,A856),"Equipada",
IF(
  OR(COUNTIFS(Equipar!B:B,2,Equipar!C:C,A856)
 +COUNTIFS(Equipar!B:B,2,Equipar!D:D,A856)
+COUNTIFS(Equipar!B:B,2,Equipar!E:E,A856)
+COUNTIFS(Equipar!B:B,2,Equipar!F:F,A856)
&gt;0,COUNTIF('Set recomendado'!B:B,C856)=0),
"Bloqueada",
"Desechable")),""
)</f>
        <v/>
      </c>
      <c r="J856" t="str" cm="1">
        <f t="array" aca="1" ref="J856" ca="1">IF(ISNUMBER(A856),IFERROR(_xlfn._xlws.FILTER(Equipar!A:A,(Equipar!B:B=2)*(Equipar!AC:AC=A856)),""),"")</f>
        <v/>
      </c>
    </row>
    <row r="857" spans="1:10" x14ac:dyDescent="0.25">
      <c r="A857" s="1" t="str">
        <f ca="1">IF(A856="ID",1,IF(ISBLANK(B857),"",MAX(A$2:A856)+1))</f>
        <v/>
      </c>
      <c r="I857" s="2" t="str">
        <f ca="1">IF(ISNUMBER(A857),
IF(COUNTIFS(Equipar!B:B,2,Equipar!AC:AC,A857),"Equipada",
IF(
  OR(COUNTIFS(Equipar!B:B,2,Equipar!C:C,A857)
 +COUNTIFS(Equipar!B:B,2,Equipar!D:D,A857)
+COUNTIFS(Equipar!B:B,2,Equipar!E:E,A857)
+COUNTIFS(Equipar!B:B,2,Equipar!F:F,A857)
&gt;0,COUNTIF('Set recomendado'!B:B,C857)=0),
"Bloqueada",
"Desechable")),""
)</f>
        <v/>
      </c>
      <c r="J857" t="str" cm="1">
        <f t="array" aca="1" ref="J857" ca="1">IF(ISNUMBER(A857),IFERROR(_xlfn._xlws.FILTER(Equipar!A:A,(Equipar!B:B=2)*(Equipar!AC:AC=A857)),""),"")</f>
        <v/>
      </c>
    </row>
    <row r="858" spans="1:10" x14ac:dyDescent="0.25">
      <c r="A858" s="1" t="str">
        <f ca="1">IF(A857="ID",1,IF(ISBLANK(B858),"",MAX(A$2:A857)+1))</f>
        <v/>
      </c>
      <c r="I858" s="2" t="str">
        <f ca="1">IF(ISNUMBER(A858),
IF(COUNTIFS(Equipar!B:B,2,Equipar!AC:AC,A858),"Equipada",
IF(
  OR(COUNTIFS(Equipar!B:B,2,Equipar!C:C,A858)
 +COUNTIFS(Equipar!B:B,2,Equipar!D:D,A858)
+COUNTIFS(Equipar!B:B,2,Equipar!E:E,A858)
+COUNTIFS(Equipar!B:B,2,Equipar!F:F,A858)
&gt;0,COUNTIF('Set recomendado'!B:B,C858)=0),
"Bloqueada",
"Desechable")),""
)</f>
        <v/>
      </c>
      <c r="J858" t="str" cm="1">
        <f t="array" aca="1" ref="J858" ca="1">IF(ISNUMBER(A858),IFERROR(_xlfn._xlws.FILTER(Equipar!A:A,(Equipar!B:B=2)*(Equipar!AC:AC=A858)),""),"")</f>
        <v/>
      </c>
    </row>
    <row r="859" spans="1:10" x14ac:dyDescent="0.25">
      <c r="A859" s="1" t="str">
        <f ca="1">IF(A858="ID",1,IF(ISBLANK(B859),"",MAX(A$2:A858)+1))</f>
        <v/>
      </c>
      <c r="I859" s="2" t="str">
        <f ca="1">IF(ISNUMBER(A859),
IF(COUNTIFS(Equipar!B:B,2,Equipar!AC:AC,A859),"Equipada",
IF(
  OR(COUNTIFS(Equipar!B:B,2,Equipar!C:C,A859)
 +COUNTIFS(Equipar!B:B,2,Equipar!D:D,A859)
+COUNTIFS(Equipar!B:B,2,Equipar!E:E,A859)
+COUNTIFS(Equipar!B:B,2,Equipar!F:F,A859)
&gt;0,COUNTIF('Set recomendado'!B:B,C859)=0),
"Bloqueada",
"Desechable")),""
)</f>
        <v/>
      </c>
      <c r="J859" t="str" cm="1">
        <f t="array" aca="1" ref="J859" ca="1">IF(ISNUMBER(A859),IFERROR(_xlfn._xlws.FILTER(Equipar!A:A,(Equipar!B:B=2)*(Equipar!AC:AC=A859)),""),"")</f>
        <v/>
      </c>
    </row>
    <row r="860" spans="1:10" x14ac:dyDescent="0.25">
      <c r="A860" s="1" t="str">
        <f ca="1">IF(A859="ID",1,IF(ISBLANK(B860),"",MAX(A$2:A859)+1))</f>
        <v/>
      </c>
      <c r="I860" s="2" t="str">
        <f ca="1">IF(ISNUMBER(A860),
IF(COUNTIFS(Equipar!B:B,2,Equipar!AC:AC,A860),"Equipada",
IF(
  OR(COUNTIFS(Equipar!B:B,2,Equipar!C:C,A860)
 +COUNTIFS(Equipar!B:B,2,Equipar!D:D,A860)
+COUNTIFS(Equipar!B:B,2,Equipar!E:E,A860)
+COUNTIFS(Equipar!B:B,2,Equipar!F:F,A860)
&gt;0,COUNTIF('Set recomendado'!B:B,C860)=0),
"Bloqueada",
"Desechable")),""
)</f>
        <v/>
      </c>
      <c r="J860" t="str" cm="1">
        <f t="array" aca="1" ref="J860" ca="1">IF(ISNUMBER(A860),IFERROR(_xlfn._xlws.FILTER(Equipar!A:A,(Equipar!B:B=2)*(Equipar!AC:AC=A860)),""),"")</f>
        <v/>
      </c>
    </row>
    <row r="861" spans="1:10" x14ac:dyDescent="0.25">
      <c r="A861" s="1" t="str">
        <f ca="1">IF(A860="ID",1,IF(ISBLANK(B861),"",MAX(A$2:A860)+1))</f>
        <v/>
      </c>
      <c r="I861" s="2" t="str">
        <f ca="1">IF(ISNUMBER(A861),
IF(COUNTIFS(Equipar!B:B,2,Equipar!AC:AC,A861),"Equipada",
IF(
  OR(COUNTIFS(Equipar!B:B,2,Equipar!C:C,A861)
 +COUNTIFS(Equipar!B:B,2,Equipar!D:D,A861)
+COUNTIFS(Equipar!B:B,2,Equipar!E:E,A861)
+COUNTIFS(Equipar!B:B,2,Equipar!F:F,A861)
&gt;0,COUNTIF('Set recomendado'!B:B,C861)=0),
"Bloqueada",
"Desechable")),""
)</f>
        <v/>
      </c>
      <c r="J861" t="str" cm="1">
        <f t="array" aca="1" ref="J861" ca="1">IF(ISNUMBER(A861),IFERROR(_xlfn._xlws.FILTER(Equipar!A:A,(Equipar!B:B=2)*(Equipar!AC:AC=A861)),""),"")</f>
        <v/>
      </c>
    </row>
    <row r="862" spans="1:10" x14ac:dyDescent="0.25">
      <c r="A862" s="1" t="str">
        <f ca="1">IF(A861="ID",1,IF(ISBLANK(B862),"",MAX(A$2:A861)+1))</f>
        <v/>
      </c>
      <c r="I862" s="2" t="str">
        <f ca="1">IF(ISNUMBER(A862),
IF(COUNTIFS(Equipar!B:B,2,Equipar!AC:AC,A862),"Equipada",
IF(
  OR(COUNTIFS(Equipar!B:B,2,Equipar!C:C,A862)
 +COUNTIFS(Equipar!B:B,2,Equipar!D:D,A862)
+COUNTIFS(Equipar!B:B,2,Equipar!E:E,A862)
+COUNTIFS(Equipar!B:B,2,Equipar!F:F,A862)
&gt;0,COUNTIF('Set recomendado'!B:B,C862)=0),
"Bloqueada",
"Desechable")),""
)</f>
        <v/>
      </c>
      <c r="J862" t="str" cm="1">
        <f t="array" aca="1" ref="J862" ca="1">IF(ISNUMBER(A862),IFERROR(_xlfn._xlws.FILTER(Equipar!A:A,(Equipar!B:B=2)*(Equipar!AC:AC=A862)),""),"")</f>
        <v/>
      </c>
    </row>
    <row r="863" spans="1:10" x14ac:dyDescent="0.25">
      <c r="A863" s="1" t="str">
        <f ca="1">IF(A862="ID",1,IF(ISBLANK(B863),"",MAX(A$2:A862)+1))</f>
        <v/>
      </c>
      <c r="I863" s="2" t="str">
        <f ca="1">IF(ISNUMBER(A863),
IF(COUNTIFS(Equipar!B:B,2,Equipar!AC:AC,A863),"Equipada",
IF(
  OR(COUNTIFS(Equipar!B:B,2,Equipar!C:C,A863)
 +COUNTIFS(Equipar!B:B,2,Equipar!D:D,A863)
+COUNTIFS(Equipar!B:B,2,Equipar!E:E,A863)
+COUNTIFS(Equipar!B:B,2,Equipar!F:F,A863)
&gt;0,COUNTIF('Set recomendado'!B:B,C863)=0),
"Bloqueada",
"Desechable")),""
)</f>
        <v/>
      </c>
      <c r="J863" t="str" cm="1">
        <f t="array" aca="1" ref="J863" ca="1">IF(ISNUMBER(A863),IFERROR(_xlfn._xlws.FILTER(Equipar!A:A,(Equipar!B:B=2)*(Equipar!AC:AC=A863)),""),"")</f>
        <v/>
      </c>
    </row>
    <row r="864" spans="1:10" x14ac:dyDescent="0.25">
      <c r="A864" s="1" t="str">
        <f ca="1">IF(A863="ID",1,IF(ISBLANK(B864),"",MAX(A$2:A863)+1))</f>
        <v/>
      </c>
      <c r="I864" s="2" t="str">
        <f ca="1">IF(ISNUMBER(A864),
IF(COUNTIFS(Equipar!B:B,2,Equipar!AC:AC,A864),"Equipada",
IF(
  OR(COUNTIFS(Equipar!B:B,2,Equipar!C:C,A864)
 +COUNTIFS(Equipar!B:B,2,Equipar!D:D,A864)
+COUNTIFS(Equipar!B:B,2,Equipar!E:E,A864)
+COUNTIFS(Equipar!B:B,2,Equipar!F:F,A864)
&gt;0,COUNTIF('Set recomendado'!B:B,C864)=0),
"Bloqueada",
"Desechable")),""
)</f>
        <v/>
      </c>
      <c r="J864" t="str" cm="1">
        <f t="array" aca="1" ref="J864" ca="1">IF(ISNUMBER(A864),IFERROR(_xlfn._xlws.FILTER(Equipar!A:A,(Equipar!B:B=2)*(Equipar!AC:AC=A864)),""),"")</f>
        <v/>
      </c>
    </row>
    <row r="865" spans="1:10" x14ac:dyDescent="0.25">
      <c r="A865" s="1" t="str">
        <f ca="1">IF(A864="ID",1,IF(ISBLANK(B865),"",MAX(A$2:A864)+1))</f>
        <v/>
      </c>
      <c r="I865" s="2" t="str">
        <f ca="1">IF(ISNUMBER(A865),
IF(COUNTIFS(Equipar!B:B,2,Equipar!AC:AC,A865),"Equipada",
IF(
  OR(COUNTIFS(Equipar!B:B,2,Equipar!C:C,A865)
 +COUNTIFS(Equipar!B:B,2,Equipar!D:D,A865)
+COUNTIFS(Equipar!B:B,2,Equipar!E:E,A865)
+COUNTIFS(Equipar!B:B,2,Equipar!F:F,A865)
&gt;0,COUNTIF('Set recomendado'!B:B,C865)=0),
"Bloqueada",
"Desechable")),""
)</f>
        <v/>
      </c>
      <c r="J865" t="str" cm="1">
        <f t="array" aca="1" ref="J865" ca="1">IF(ISNUMBER(A865),IFERROR(_xlfn._xlws.FILTER(Equipar!A:A,(Equipar!B:B=2)*(Equipar!AC:AC=A865)),""),"")</f>
        <v/>
      </c>
    </row>
    <row r="866" spans="1:10" x14ac:dyDescent="0.25">
      <c r="A866" s="1" t="str">
        <f ca="1">IF(A865="ID",1,IF(ISBLANK(B866),"",MAX(A$2:A865)+1))</f>
        <v/>
      </c>
      <c r="I866" s="2" t="str">
        <f ca="1">IF(ISNUMBER(A866),
IF(COUNTIFS(Equipar!B:B,2,Equipar!AC:AC,A866),"Equipada",
IF(
  OR(COUNTIFS(Equipar!B:B,2,Equipar!C:C,A866)
 +COUNTIFS(Equipar!B:B,2,Equipar!D:D,A866)
+COUNTIFS(Equipar!B:B,2,Equipar!E:E,A866)
+COUNTIFS(Equipar!B:B,2,Equipar!F:F,A866)
&gt;0,COUNTIF('Set recomendado'!B:B,C866)=0),
"Bloqueada",
"Desechable")),""
)</f>
        <v/>
      </c>
      <c r="J866" t="str" cm="1">
        <f t="array" aca="1" ref="J866" ca="1">IF(ISNUMBER(A866),IFERROR(_xlfn._xlws.FILTER(Equipar!A:A,(Equipar!B:B=2)*(Equipar!AC:AC=A866)),""),"")</f>
        <v/>
      </c>
    </row>
    <row r="867" spans="1:10" x14ac:dyDescent="0.25">
      <c r="A867" s="1" t="str">
        <f ca="1">IF(A866="ID",1,IF(ISBLANK(B867),"",MAX(A$2:A866)+1))</f>
        <v/>
      </c>
      <c r="I867" s="2" t="str">
        <f ca="1">IF(ISNUMBER(A867),
IF(COUNTIFS(Equipar!B:B,2,Equipar!AC:AC,A867),"Equipada",
IF(
  OR(COUNTIFS(Equipar!B:B,2,Equipar!C:C,A867)
 +COUNTIFS(Equipar!B:B,2,Equipar!D:D,A867)
+COUNTIFS(Equipar!B:B,2,Equipar!E:E,A867)
+COUNTIFS(Equipar!B:B,2,Equipar!F:F,A867)
&gt;0,COUNTIF('Set recomendado'!B:B,C867)=0),
"Bloqueada",
"Desechable")),""
)</f>
        <v/>
      </c>
      <c r="J867" t="str" cm="1">
        <f t="array" aca="1" ref="J867" ca="1">IF(ISNUMBER(A867),IFERROR(_xlfn._xlws.FILTER(Equipar!A:A,(Equipar!B:B=2)*(Equipar!AC:AC=A867)),""),"")</f>
        <v/>
      </c>
    </row>
    <row r="868" spans="1:10" x14ac:dyDescent="0.25">
      <c r="A868" s="1" t="str">
        <f ca="1">IF(A867="ID",1,IF(ISBLANK(B868),"",MAX(A$2:A867)+1))</f>
        <v/>
      </c>
      <c r="I868" s="2" t="str">
        <f ca="1">IF(ISNUMBER(A868),
IF(COUNTIFS(Equipar!B:B,2,Equipar!AC:AC,A868),"Equipada",
IF(
  OR(COUNTIFS(Equipar!B:B,2,Equipar!C:C,A868)
 +COUNTIFS(Equipar!B:B,2,Equipar!D:D,A868)
+COUNTIFS(Equipar!B:B,2,Equipar!E:E,A868)
+COUNTIFS(Equipar!B:B,2,Equipar!F:F,A868)
&gt;0,COUNTIF('Set recomendado'!B:B,C868)=0),
"Bloqueada",
"Desechable")),""
)</f>
        <v/>
      </c>
      <c r="J868" t="str" cm="1">
        <f t="array" aca="1" ref="J868" ca="1">IF(ISNUMBER(A868),IFERROR(_xlfn._xlws.FILTER(Equipar!A:A,(Equipar!B:B=2)*(Equipar!AC:AC=A868)),""),"")</f>
        <v/>
      </c>
    </row>
    <row r="869" spans="1:10" x14ac:dyDescent="0.25">
      <c r="A869" s="1" t="str">
        <f ca="1">IF(A868="ID",1,IF(ISBLANK(B869),"",MAX(A$2:A868)+1))</f>
        <v/>
      </c>
      <c r="I869" s="2" t="str">
        <f ca="1">IF(ISNUMBER(A869),
IF(COUNTIFS(Equipar!B:B,2,Equipar!AC:AC,A869),"Equipada",
IF(
  OR(COUNTIFS(Equipar!B:B,2,Equipar!C:C,A869)
 +COUNTIFS(Equipar!B:B,2,Equipar!D:D,A869)
+COUNTIFS(Equipar!B:B,2,Equipar!E:E,A869)
+COUNTIFS(Equipar!B:B,2,Equipar!F:F,A869)
&gt;0,COUNTIF('Set recomendado'!B:B,C869)=0),
"Bloqueada",
"Desechable")),""
)</f>
        <v/>
      </c>
      <c r="J869" t="str" cm="1">
        <f t="array" aca="1" ref="J869" ca="1">IF(ISNUMBER(A869),IFERROR(_xlfn._xlws.FILTER(Equipar!A:A,(Equipar!B:B=2)*(Equipar!AC:AC=A869)),""),"")</f>
        <v/>
      </c>
    </row>
    <row r="870" spans="1:10" x14ac:dyDescent="0.25">
      <c r="A870" s="1" t="str">
        <f ca="1">IF(A869="ID",1,IF(ISBLANK(B870),"",MAX(A$2:A869)+1))</f>
        <v/>
      </c>
      <c r="I870" s="2" t="str">
        <f ca="1">IF(ISNUMBER(A870),
IF(COUNTIFS(Equipar!B:B,2,Equipar!AC:AC,A870),"Equipada",
IF(
  OR(COUNTIFS(Equipar!B:B,2,Equipar!C:C,A870)
 +COUNTIFS(Equipar!B:B,2,Equipar!D:D,A870)
+COUNTIFS(Equipar!B:B,2,Equipar!E:E,A870)
+COUNTIFS(Equipar!B:B,2,Equipar!F:F,A870)
&gt;0,COUNTIF('Set recomendado'!B:B,C870)=0),
"Bloqueada",
"Desechable")),""
)</f>
        <v/>
      </c>
      <c r="J870" t="str" cm="1">
        <f t="array" aca="1" ref="J870" ca="1">IF(ISNUMBER(A870),IFERROR(_xlfn._xlws.FILTER(Equipar!A:A,(Equipar!B:B=2)*(Equipar!AC:AC=A870)),""),"")</f>
        <v/>
      </c>
    </row>
    <row r="871" spans="1:10" x14ac:dyDescent="0.25">
      <c r="A871" s="1" t="str">
        <f ca="1">IF(A870="ID",1,IF(ISBLANK(B871),"",MAX(A$2:A870)+1))</f>
        <v/>
      </c>
      <c r="I871" s="2" t="str">
        <f ca="1">IF(ISNUMBER(A871),
IF(COUNTIFS(Equipar!B:B,2,Equipar!AC:AC,A871),"Equipada",
IF(
  OR(COUNTIFS(Equipar!B:B,2,Equipar!C:C,A871)
 +COUNTIFS(Equipar!B:B,2,Equipar!D:D,A871)
+COUNTIFS(Equipar!B:B,2,Equipar!E:E,A871)
+COUNTIFS(Equipar!B:B,2,Equipar!F:F,A871)
&gt;0,COUNTIF('Set recomendado'!B:B,C871)=0),
"Bloqueada",
"Desechable")),""
)</f>
        <v/>
      </c>
      <c r="J871" t="str" cm="1">
        <f t="array" aca="1" ref="J871" ca="1">IF(ISNUMBER(A871),IFERROR(_xlfn._xlws.FILTER(Equipar!A:A,(Equipar!B:B=2)*(Equipar!AC:AC=A871)),""),"")</f>
        <v/>
      </c>
    </row>
    <row r="872" spans="1:10" x14ac:dyDescent="0.25">
      <c r="A872" s="1" t="str">
        <f ca="1">IF(A871="ID",1,IF(ISBLANK(B872),"",MAX(A$2:A871)+1))</f>
        <v/>
      </c>
      <c r="I872" s="2" t="str">
        <f ca="1">IF(ISNUMBER(A872),
IF(COUNTIFS(Equipar!B:B,2,Equipar!AC:AC,A872),"Equipada",
IF(
  OR(COUNTIFS(Equipar!B:B,2,Equipar!C:C,A872)
 +COUNTIFS(Equipar!B:B,2,Equipar!D:D,A872)
+COUNTIFS(Equipar!B:B,2,Equipar!E:E,A872)
+COUNTIFS(Equipar!B:B,2,Equipar!F:F,A872)
&gt;0,COUNTIF('Set recomendado'!B:B,C872)=0),
"Bloqueada",
"Desechable")),""
)</f>
        <v/>
      </c>
      <c r="J872" t="str" cm="1">
        <f t="array" aca="1" ref="J872" ca="1">IF(ISNUMBER(A872),IFERROR(_xlfn._xlws.FILTER(Equipar!A:A,(Equipar!B:B=2)*(Equipar!AC:AC=A872)),""),"")</f>
        <v/>
      </c>
    </row>
    <row r="873" spans="1:10" x14ac:dyDescent="0.25">
      <c r="A873" s="1" t="str">
        <f ca="1">IF(A872="ID",1,IF(ISBLANK(B873),"",MAX(A$2:A872)+1))</f>
        <v/>
      </c>
      <c r="I873" s="2" t="str">
        <f ca="1">IF(ISNUMBER(A873),
IF(COUNTIFS(Equipar!B:B,2,Equipar!AC:AC,A873),"Equipada",
IF(
  OR(COUNTIFS(Equipar!B:B,2,Equipar!C:C,A873)
 +COUNTIFS(Equipar!B:B,2,Equipar!D:D,A873)
+COUNTIFS(Equipar!B:B,2,Equipar!E:E,A873)
+COUNTIFS(Equipar!B:B,2,Equipar!F:F,A873)
&gt;0,COUNTIF('Set recomendado'!B:B,C873)=0),
"Bloqueada",
"Desechable")),""
)</f>
        <v/>
      </c>
      <c r="J873" t="str" cm="1">
        <f t="array" aca="1" ref="J873" ca="1">IF(ISNUMBER(A873),IFERROR(_xlfn._xlws.FILTER(Equipar!A:A,(Equipar!B:B=2)*(Equipar!AC:AC=A873)),""),"")</f>
        <v/>
      </c>
    </row>
    <row r="874" spans="1:10" x14ac:dyDescent="0.25">
      <c r="A874" s="1" t="str">
        <f ca="1">IF(A873="ID",1,IF(ISBLANK(B874),"",MAX(A$2:A873)+1))</f>
        <v/>
      </c>
      <c r="I874" s="2" t="str">
        <f ca="1">IF(ISNUMBER(A874),
IF(COUNTIFS(Equipar!B:B,2,Equipar!AC:AC,A874),"Equipada",
IF(
  OR(COUNTIFS(Equipar!B:B,2,Equipar!C:C,A874)
 +COUNTIFS(Equipar!B:B,2,Equipar!D:D,A874)
+COUNTIFS(Equipar!B:B,2,Equipar!E:E,A874)
+COUNTIFS(Equipar!B:B,2,Equipar!F:F,A874)
&gt;0,COUNTIF('Set recomendado'!B:B,C874)=0),
"Bloqueada",
"Desechable")),""
)</f>
        <v/>
      </c>
      <c r="J874" t="str" cm="1">
        <f t="array" aca="1" ref="J874" ca="1">IF(ISNUMBER(A874),IFERROR(_xlfn._xlws.FILTER(Equipar!A:A,(Equipar!B:B=2)*(Equipar!AC:AC=A874)),""),"")</f>
        <v/>
      </c>
    </row>
    <row r="875" spans="1:10" x14ac:dyDescent="0.25">
      <c r="A875" s="1" t="str">
        <f ca="1">IF(A874="ID",1,IF(ISBLANK(B875),"",MAX(A$2:A874)+1))</f>
        <v/>
      </c>
      <c r="I875" s="2" t="str">
        <f ca="1">IF(ISNUMBER(A875),
IF(COUNTIFS(Equipar!B:B,2,Equipar!AC:AC,A875),"Equipada",
IF(
  OR(COUNTIFS(Equipar!B:B,2,Equipar!C:C,A875)
 +COUNTIFS(Equipar!B:B,2,Equipar!D:D,A875)
+COUNTIFS(Equipar!B:B,2,Equipar!E:E,A875)
+COUNTIFS(Equipar!B:B,2,Equipar!F:F,A875)
&gt;0,COUNTIF('Set recomendado'!B:B,C875)=0),
"Bloqueada",
"Desechable")),""
)</f>
        <v/>
      </c>
      <c r="J875" t="str" cm="1">
        <f t="array" aca="1" ref="J875" ca="1">IF(ISNUMBER(A875),IFERROR(_xlfn._xlws.FILTER(Equipar!A:A,(Equipar!B:B=2)*(Equipar!AC:AC=A875)),""),"")</f>
        <v/>
      </c>
    </row>
    <row r="876" spans="1:10" x14ac:dyDescent="0.25">
      <c r="A876" s="1" t="str">
        <f ca="1">IF(A875="ID",1,IF(ISBLANK(B876),"",MAX(A$2:A875)+1))</f>
        <v/>
      </c>
      <c r="I876" s="2" t="str">
        <f ca="1">IF(ISNUMBER(A876),
IF(COUNTIFS(Equipar!B:B,2,Equipar!AC:AC,A876),"Equipada",
IF(
  OR(COUNTIFS(Equipar!B:B,2,Equipar!C:C,A876)
 +COUNTIFS(Equipar!B:B,2,Equipar!D:D,A876)
+COUNTIFS(Equipar!B:B,2,Equipar!E:E,A876)
+COUNTIFS(Equipar!B:B,2,Equipar!F:F,A876)
&gt;0,COUNTIF('Set recomendado'!B:B,C876)=0),
"Bloqueada",
"Desechable")),""
)</f>
        <v/>
      </c>
      <c r="J876" t="str" cm="1">
        <f t="array" aca="1" ref="J876" ca="1">IF(ISNUMBER(A876),IFERROR(_xlfn._xlws.FILTER(Equipar!A:A,(Equipar!B:B=2)*(Equipar!AC:AC=A876)),""),"")</f>
        <v/>
      </c>
    </row>
    <row r="877" spans="1:10" x14ac:dyDescent="0.25">
      <c r="A877" s="1" t="str">
        <f ca="1">IF(A876="ID",1,IF(ISBLANK(B877),"",MAX(A$2:A876)+1))</f>
        <v/>
      </c>
      <c r="I877" s="2" t="str">
        <f ca="1">IF(ISNUMBER(A877),
IF(COUNTIFS(Equipar!B:B,2,Equipar!AC:AC,A877),"Equipada",
IF(
  OR(COUNTIFS(Equipar!B:B,2,Equipar!C:C,A877)
 +COUNTIFS(Equipar!B:B,2,Equipar!D:D,A877)
+COUNTIFS(Equipar!B:B,2,Equipar!E:E,A877)
+COUNTIFS(Equipar!B:B,2,Equipar!F:F,A877)
&gt;0,COUNTIF('Set recomendado'!B:B,C877)=0),
"Bloqueada",
"Desechable")),""
)</f>
        <v/>
      </c>
      <c r="J877" t="str" cm="1">
        <f t="array" aca="1" ref="J877" ca="1">IF(ISNUMBER(A877),IFERROR(_xlfn._xlws.FILTER(Equipar!A:A,(Equipar!B:B=2)*(Equipar!AC:AC=A877)),""),"")</f>
        <v/>
      </c>
    </row>
    <row r="878" spans="1:10" x14ac:dyDescent="0.25">
      <c r="A878" s="1" t="str">
        <f ca="1">IF(A877="ID",1,IF(ISBLANK(B878),"",MAX(A$2:A877)+1))</f>
        <v/>
      </c>
      <c r="I878" s="2" t="str">
        <f ca="1">IF(ISNUMBER(A878),
IF(COUNTIFS(Equipar!B:B,2,Equipar!AC:AC,A878),"Equipada",
IF(
  OR(COUNTIFS(Equipar!B:B,2,Equipar!C:C,A878)
 +COUNTIFS(Equipar!B:B,2,Equipar!D:D,A878)
+COUNTIFS(Equipar!B:B,2,Equipar!E:E,A878)
+COUNTIFS(Equipar!B:B,2,Equipar!F:F,A878)
&gt;0,COUNTIF('Set recomendado'!B:B,C878)=0),
"Bloqueada",
"Desechable")),""
)</f>
        <v/>
      </c>
      <c r="J878" t="str" cm="1">
        <f t="array" aca="1" ref="J878" ca="1">IF(ISNUMBER(A878),IFERROR(_xlfn._xlws.FILTER(Equipar!A:A,(Equipar!B:B=2)*(Equipar!AC:AC=A878)),""),"")</f>
        <v/>
      </c>
    </row>
    <row r="879" spans="1:10" x14ac:dyDescent="0.25">
      <c r="A879" s="1" t="str">
        <f ca="1">IF(A878="ID",1,IF(ISBLANK(B879),"",MAX(A$2:A878)+1))</f>
        <v/>
      </c>
      <c r="I879" s="2" t="str">
        <f ca="1">IF(ISNUMBER(A879),
IF(COUNTIFS(Equipar!B:B,2,Equipar!AC:AC,A879),"Equipada",
IF(
  OR(COUNTIFS(Equipar!B:B,2,Equipar!C:C,A879)
 +COUNTIFS(Equipar!B:B,2,Equipar!D:D,A879)
+COUNTIFS(Equipar!B:B,2,Equipar!E:E,A879)
+COUNTIFS(Equipar!B:B,2,Equipar!F:F,A879)
&gt;0,COUNTIF('Set recomendado'!B:B,C879)=0),
"Bloqueada",
"Desechable")),""
)</f>
        <v/>
      </c>
      <c r="J879" t="str" cm="1">
        <f t="array" aca="1" ref="J879" ca="1">IF(ISNUMBER(A879),IFERROR(_xlfn._xlws.FILTER(Equipar!A:A,(Equipar!B:B=2)*(Equipar!AC:AC=A879)),""),"")</f>
        <v/>
      </c>
    </row>
    <row r="880" spans="1:10" x14ac:dyDescent="0.25">
      <c r="A880" s="1" t="str">
        <f ca="1">IF(A879="ID",1,IF(ISBLANK(B880),"",MAX(A$2:A879)+1))</f>
        <v/>
      </c>
      <c r="I880" s="2" t="str">
        <f ca="1">IF(ISNUMBER(A880),
IF(COUNTIFS(Equipar!B:B,2,Equipar!AC:AC,A880),"Equipada",
IF(
  OR(COUNTIFS(Equipar!B:B,2,Equipar!C:C,A880)
 +COUNTIFS(Equipar!B:B,2,Equipar!D:D,A880)
+COUNTIFS(Equipar!B:B,2,Equipar!E:E,A880)
+COUNTIFS(Equipar!B:B,2,Equipar!F:F,A880)
&gt;0,COUNTIF('Set recomendado'!B:B,C880)=0),
"Bloqueada",
"Desechable")),""
)</f>
        <v/>
      </c>
      <c r="J880" t="str" cm="1">
        <f t="array" aca="1" ref="J880" ca="1">IF(ISNUMBER(A880),IFERROR(_xlfn._xlws.FILTER(Equipar!A:A,(Equipar!B:B=2)*(Equipar!AC:AC=A880)),""),"")</f>
        <v/>
      </c>
    </row>
    <row r="881" spans="1:10" x14ac:dyDescent="0.25">
      <c r="A881" s="1" t="str">
        <f ca="1">IF(A880="ID",1,IF(ISBLANK(B881),"",MAX(A$2:A880)+1))</f>
        <v/>
      </c>
      <c r="I881" s="2" t="str">
        <f ca="1">IF(ISNUMBER(A881),
IF(COUNTIFS(Equipar!B:B,2,Equipar!AC:AC,A881),"Equipada",
IF(
  OR(COUNTIFS(Equipar!B:B,2,Equipar!C:C,A881)
 +COUNTIFS(Equipar!B:B,2,Equipar!D:D,A881)
+COUNTIFS(Equipar!B:B,2,Equipar!E:E,A881)
+COUNTIFS(Equipar!B:B,2,Equipar!F:F,A881)
&gt;0,COUNTIF('Set recomendado'!B:B,C881)=0),
"Bloqueada",
"Desechable")),""
)</f>
        <v/>
      </c>
      <c r="J881" t="str" cm="1">
        <f t="array" aca="1" ref="J881" ca="1">IF(ISNUMBER(A881),IFERROR(_xlfn._xlws.FILTER(Equipar!A:A,(Equipar!B:B=2)*(Equipar!AC:AC=A881)),""),"")</f>
        <v/>
      </c>
    </row>
    <row r="882" spans="1:10" x14ac:dyDescent="0.25">
      <c r="A882" s="1" t="str">
        <f ca="1">IF(A881="ID",1,IF(ISBLANK(B882),"",MAX(A$2:A881)+1))</f>
        <v/>
      </c>
      <c r="I882" s="2" t="str">
        <f ca="1">IF(ISNUMBER(A882),
IF(COUNTIFS(Equipar!B:B,2,Equipar!AC:AC,A882),"Equipada",
IF(
  OR(COUNTIFS(Equipar!B:B,2,Equipar!C:C,A882)
 +COUNTIFS(Equipar!B:B,2,Equipar!D:D,A882)
+COUNTIFS(Equipar!B:B,2,Equipar!E:E,A882)
+COUNTIFS(Equipar!B:B,2,Equipar!F:F,A882)
&gt;0,COUNTIF('Set recomendado'!B:B,C882)=0),
"Bloqueada",
"Desechable")),""
)</f>
        <v/>
      </c>
      <c r="J882" t="str" cm="1">
        <f t="array" aca="1" ref="J882" ca="1">IF(ISNUMBER(A882),IFERROR(_xlfn._xlws.FILTER(Equipar!A:A,(Equipar!B:B=2)*(Equipar!AC:AC=A882)),""),"")</f>
        <v/>
      </c>
    </row>
    <row r="883" spans="1:10" x14ac:dyDescent="0.25">
      <c r="A883" s="1" t="str">
        <f ca="1">IF(A882="ID",1,IF(ISBLANK(B883),"",MAX(A$2:A882)+1))</f>
        <v/>
      </c>
      <c r="I883" s="2" t="str">
        <f ca="1">IF(ISNUMBER(A883),
IF(COUNTIFS(Equipar!B:B,2,Equipar!AC:AC,A883),"Equipada",
IF(
  OR(COUNTIFS(Equipar!B:B,2,Equipar!C:C,A883)
 +COUNTIFS(Equipar!B:B,2,Equipar!D:D,A883)
+COUNTIFS(Equipar!B:B,2,Equipar!E:E,A883)
+COUNTIFS(Equipar!B:B,2,Equipar!F:F,A883)
&gt;0,COUNTIF('Set recomendado'!B:B,C883)=0),
"Bloqueada",
"Desechable")),""
)</f>
        <v/>
      </c>
      <c r="J883" t="str" cm="1">
        <f t="array" aca="1" ref="J883" ca="1">IF(ISNUMBER(A883),IFERROR(_xlfn._xlws.FILTER(Equipar!A:A,(Equipar!B:B=2)*(Equipar!AC:AC=A883)),""),"")</f>
        <v/>
      </c>
    </row>
    <row r="884" spans="1:10" x14ac:dyDescent="0.25">
      <c r="A884" s="1" t="str">
        <f ca="1">IF(A883="ID",1,IF(ISBLANK(B884),"",MAX(A$2:A883)+1))</f>
        <v/>
      </c>
      <c r="I884" s="2" t="str">
        <f ca="1">IF(ISNUMBER(A884),
IF(COUNTIFS(Equipar!B:B,2,Equipar!AC:AC,A884),"Equipada",
IF(
  OR(COUNTIFS(Equipar!B:B,2,Equipar!C:C,A884)
 +COUNTIFS(Equipar!B:B,2,Equipar!D:D,A884)
+COUNTIFS(Equipar!B:B,2,Equipar!E:E,A884)
+COUNTIFS(Equipar!B:B,2,Equipar!F:F,A884)
&gt;0,COUNTIF('Set recomendado'!B:B,C884)=0),
"Bloqueada",
"Desechable")),""
)</f>
        <v/>
      </c>
      <c r="J884" t="str" cm="1">
        <f t="array" aca="1" ref="J884" ca="1">IF(ISNUMBER(A884),IFERROR(_xlfn._xlws.FILTER(Equipar!A:A,(Equipar!B:B=2)*(Equipar!AC:AC=A884)),""),"")</f>
        <v/>
      </c>
    </row>
    <row r="885" spans="1:10" x14ac:dyDescent="0.25">
      <c r="A885" s="1" t="str">
        <f ca="1">IF(A884="ID",1,IF(ISBLANK(B885),"",MAX(A$2:A884)+1))</f>
        <v/>
      </c>
      <c r="I885" s="2" t="str">
        <f ca="1">IF(ISNUMBER(A885),
IF(COUNTIFS(Equipar!B:B,2,Equipar!AC:AC,A885),"Equipada",
IF(
  OR(COUNTIFS(Equipar!B:B,2,Equipar!C:C,A885)
 +COUNTIFS(Equipar!B:B,2,Equipar!D:D,A885)
+COUNTIFS(Equipar!B:B,2,Equipar!E:E,A885)
+COUNTIFS(Equipar!B:B,2,Equipar!F:F,A885)
&gt;0,COUNTIF('Set recomendado'!B:B,C885)=0),
"Bloqueada",
"Desechable")),""
)</f>
        <v/>
      </c>
      <c r="J885" t="str" cm="1">
        <f t="array" aca="1" ref="J885" ca="1">IF(ISNUMBER(A885),IFERROR(_xlfn._xlws.FILTER(Equipar!A:A,(Equipar!B:B=2)*(Equipar!AC:AC=A885)),""),"")</f>
        <v/>
      </c>
    </row>
    <row r="886" spans="1:10" x14ac:dyDescent="0.25">
      <c r="A886" s="1" t="str">
        <f ca="1">IF(A885="ID",1,IF(ISBLANK(B886),"",MAX(A$2:A885)+1))</f>
        <v/>
      </c>
      <c r="I886" s="2" t="str">
        <f ca="1">IF(ISNUMBER(A886),
IF(COUNTIFS(Equipar!B:B,2,Equipar!AC:AC,A886),"Equipada",
IF(
  OR(COUNTIFS(Equipar!B:B,2,Equipar!C:C,A886)
 +COUNTIFS(Equipar!B:B,2,Equipar!D:D,A886)
+COUNTIFS(Equipar!B:B,2,Equipar!E:E,A886)
+COUNTIFS(Equipar!B:B,2,Equipar!F:F,A886)
&gt;0,COUNTIF('Set recomendado'!B:B,C886)=0),
"Bloqueada",
"Desechable")),""
)</f>
        <v/>
      </c>
      <c r="J886" t="str" cm="1">
        <f t="array" aca="1" ref="J886" ca="1">IF(ISNUMBER(A886),IFERROR(_xlfn._xlws.FILTER(Equipar!A:A,(Equipar!B:B=2)*(Equipar!AC:AC=A886)),""),"")</f>
        <v/>
      </c>
    </row>
    <row r="887" spans="1:10" x14ac:dyDescent="0.25">
      <c r="A887" s="1" t="str">
        <f ca="1">IF(A886="ID",1,IF(ISBLANK(B887),"",MAX(A$2:A886)+1))</f>
        <v/>
      </c>
      <c r="I887" s="2" t="str">
        <f ca="1">IF(ISNUMBER(A887),
IF(COUNTIFS(Equipar!B:B,2,Equipar!AC:AC,A887),"Equipada",
IF(
  OR(COUNTIFS(Equipar!B:B,2,Equipar!C:C,A887)
 +COUNTIFS(Equipar!B:B,2,Equipar!D:D,A887)
+COUNTIFS(Equipar!B:B,2,Equipar!E:E,A887)
+COUNTIFS(Equipar!B:B,2,Equipar!F:F,A887)
&gt;0,COUNTIF('Set recomendado'!B:B,C887)=0),
"Bloqueada",
"Desechable")),""
)</f>
        <v/>
      </c>
      <c r="J887" t="str" cm="1">
        <f t="array" aca="1" ref="J887" ca="1">IF(ISNUMBER(A887),IFERROR(_xlfn._xlws.FILTER(Equipar!A:A,(Equipar!B:B=2)*(Equipar!AC:AC=A887)),""),"")</f>
        <v/>
      </c>
    </row>
    <row r="888" spans="1:10" x14ac:dyDescent="0.25">
      <c r="A888" s="1" t="str">
        <f ca="1">IF(A887="ID",1,IF(ISBLANK(B888),"",MAX(A$2:A887)+1))</f>
        <v/>
      </c>
      <c r="I888" s="2" t="str">
        <f ca="1">IF(ISNUMBER(A888),
IF(COUNTIFS(Equipar!B:B,2,Equipar!AC:AC,A888),"Equipada",
IF(
  OR(COUNTIFS(Equipar!B:B,2,Equipar!C:C,A888)
 +COUNTIFS(Equipar!B:B,2,Equipar!D:D,A888)
+COUNTIFS(Equipar!B:B,2,Equipar!E:E,A888)
+COUNTIFS(Equipar!B:B,2,Equipar!F:F,A888)
&gt;0,COUNTIF('Set recomendado'!B:B,C888)=0),
"Bloqueada",
"Desechable")),""
)</f>
        <v/>
      </c>
      <c r="J888" t="str" cm="1">
        <f t="array" aca="1" ref="J888" ca="1">IF(ISNUMBER(A888),IFERROR(_xlfn._xlws.FILTER(Equipar!A:A,(Equipar!B:B=2)*(Equipar!AC:AC=A888)),""),"")</f>
        <v/>
      </c>
    </row>
    <row r="889" spans="1:10" x14ac:dyDescent="0.25">
      <c r="A889" s="1" t="str">
        <f ca="1">IF(A888="ID",1,IF(ISBLANK(B889),"",MAX(A$2:A888)+1))</f>
        <v/>
      </c>
      <c r="I889" s="2" t="str">
        <f ca="1">IF(ISNUMBER(A889),
IF(COUNTIFS(Equipar!B:B,2,Equipar!AC:AC,A889),"Equipada",
IF(
  OR(COUNTIFS(Equipar!B:B,2,Equipar!C:C,A889)
 +COUNTIFS(Equipar!B:B,2,Equipar!D:D,A889)
+COUNTIFS(Equipar!B:B,2,Equipar!E:E,A889)
+COUNTIFS(Equipar!B:B,2,Equipar!F:F,A889)
&gt;0,COUNTIF('Set recomendado'!B:B,C889)=0),
"Bloqueada",
"Desechable")),""
)</f>
        <v/>
      </c>
      <c r="J889" t="str" cm="1">
        <f t="array" aca="1" ref="J889" ca="1">IF(ISNUMBER(A889),IFERROR(_xlfn._xlws.FILTER(Equipar!A:A,(Equipar!B:B=2)*(Equipar!AC:AC=A889)),""),"")</f>
        <v/>
      </c>
    </row>
    <row r="890" spans="1:10" x14ac:dyDescent="0.25">
      <c r="A890" s="1" t="str">
        <f ca="1">IF(A889="ID",1,IF(ISBLANK(B890),"",MAX(A$2:A889)+1))</f>
        <v/>
      </c>
      <c r="I890" s="2" t="str">
        <f ca="1">IF(ISNUMBER(A890),
IF(COUNTIFS(Equipar!B:B,2,Equipar!AC:AC,A890),"Equipada",
IF(
  OR(COUNTIFS(Equipar!B:B,2,Equipar!C:C,A890)
 +COUNTIFS(Equipar!B:B,2,Equipar!D:D,A890)
+COUNTIFS(Equipar!B:B,2,Equipar!E:E,A890)
+COUNTIFS(Equipar!B:B,2,Equipar!F:F,A890)
&gt;0,COUNTIF('Set recomendado'!B:B,C890)=0),
"Bloqueada",
"Desechable")),""
)</f>
        <v/>
      </c>
      <c r="J890" t="str" cm="1">
        <f t="array" aca="1" ref="J890" ca="1">IF(ISNUMBER(A890),IFERROR(_xlfn._xlws.FILTER(Equipar!A:A,(Equipar!B:B=2)*(Equipar!AC:AC=A890)),""),"")</f>
        <v/>
      </c>
    </row>
    <row r="891" spans="1:10" x14ac:dyDescent="0.25">
      <c r="A891" s="1" t="str">
        <f ca="1">IF(A890="ID",1,IF(ISBLANK(B891),"",MAX(A$2:A890)+1))</f>
        <v/>
      </c>
      <c r="I891" s="2" t="str">
        <f ca="1">IF(ISNUMBER(A891),
IF(COUNTIFS(Equipar!B:B,2,Equipar!AC:AC,A891),"Equipada",
IF(
  OR(COUNTIFS(Equipar!B:B,2,Equipar!C:C,A891)
 +COUNTIFS(Equipar!B:B,2,Equipar!D:D,A891)
+COUNTIFS(Equipar!B:B,2,Equipar!E:E,A891)
+COUNTIFS(Equipar!B:B,2,Equipar!F:F,A891)
&gt;0,COUNTIF('Set recomendado'!B:B,C891)=0),
"Bloqueada",
"Desechable")),""
)</f>
        <v/>
      </c>
      <c r="J891" t="str" cm="1">
        <f t="array" aca="1" ref="J891" ca="1">IF(ISNUMBER(A891),IFERROR(_xlfn._xlws.FILTER(Equipar!A:A,(Equipar!B:B=2)*(Equipar!AC:AC=A891)),""),"")</f>
        <v/>
      </c>
    </row>
    <row r="892" spans="1:10" x14ac:dyDescent="0.25">
      <c r="A892" s="1" t="str">
        <f ca="1">IF(A891="ID",1,IF(ISBLANK(B892),"",MAX(A$2:A891)+1))</f>
        <v/>
      </c>
      <c r="I892" s="2" t="str">
        <f ca="1">IF(ISNUMBER(A892),
IF(COUNTIFS(Equipar!B:B,2,Equipar!AC:AC,A892),"Equipada",
IF(
  OR(COUNTIFS(Equipar!B:B,2,Equipar!C:C,A892)
 +COUNTIFS(Equipar!B:B,2,Equipar!D:D,A892)
+COUNTIFS(Equipar!B:B,2,Equipar!E:E,A892)
+COUNTIFS(Equipar!B:B,2,Equipar!F:F,A892)
&gt;0,COUNTIF('Set recomendado'!B:B,C892)=0),
"Bloqueada",
"Desechable")),""
)</f>
        <v/>
      </c>
      <c r="J892" t="str" cm="1">
        <f t="array" aca="1" ref="J892" ca="1">IF(ISNUMBER(A892),IFERROR(_xlfn._xlws.FILTER(Equipar!A:A,(Equipar!B:B=2)*(Equipar!AC:AC=A892)),""),"")</f>
        <v/>
      </c>
    </row>
    <row r="893" spans="1:10" x14ac:dyDescent="0.25">
      <c r="A893" s="1" t="str">
        <f ca="1">IF(A892="ID",1,IF(ISBLANK(B893),"",MAX(A$2:A892)+1))</f>
        <v/>
      </c>
      <c r="I893" s="2" t="str">
        <f ca="1">IF(ISNUMBER(A893),
IF(COUNTIFS(Equipar!B:B,2,Equipar!AC:AC,A893),"Equipada",
IF(
  OR(COUNTIFS(Equipar!B:B,2,Equipar!C:C,A893)
 +COUNTIFS(Equipar!B:B,2,Equipar!D:D,A893)
+COUNTIFS(Equipar!B:B,2,Equipar!E:E,A893)
+COUNTIFS(Equipar!B:B,2,Equipar!F:F,A893)
&gt;0,COUNTIF('Set recomendado'!B:B,C893)=0),
"Bloqueada",
"Desechable")),""
)</f>
        <v/>
      </c>
      <c r="J893" t="str" cm="1">
        <f t="array" aca="1" ref="J893" ca="1">IF(ISNUMBER(A893),IFERROR(_xlfn._xlws.FILTER(Equipar!A:A,(Equipar!B:B=2)*(Equipar!AC:AC=A893)),""),"")</f>
        <v/>
      </c>
    </row>
    <row r="894" spans="1:10" x14ac:dyDescent="0.25">
      <c r="A894" s="1" t="str">
        <f ca="1">IF(A893="ID",1,IF(ISBLANK(B894),"",MAX(A$2:A893)+1))</f>
        <v/>
      </c>
      <c r="I894" s="2" t="str">
        <f ca="1">IF(ISNUMBER(A894),
IF(COUNTIFS(Equipar!B:B,2,Equipar!AC:AC,A894),"Equipada",
IF(
  OR(COUNTIFS(Equipar!B:B,2,Equipar!C:C,A894)
 +COUNTIFS(Equipar!B:B,2,Equipar!D:D,A894)
+COUNTIFS(Equipar!B:B,2,Equipar!E:E,A894)
+COUNTIFS(Equipar!B:B,2,Equipar!F:F,A894)
&gt;0,COUNTIF('Set recomendado'!B:B,C894)=0),
"Bloqueada",
"Desechable")),""
)</f>
        <v/>
      </c>
      <c r="J894" t="str" cm="1">
        <f t="array" aca="1" ref="J894" ca="1">IF(ISNUMBER(A894),IFERROR(_xlfn._xlws.FILTER(Equipar!A:A,(Equipar!B:B=2)*(Equipar!AC:AC=A894)),""),"")</f>
        <v/>
      </c>
    </row>
    <row r="895" spans="1:10" x14ac:dyDescent="0.25">
      <c r="A895" s="1" t="str">
        <f ca="1">IF(A894="ID",1,IF(ISBLANK(B895),"",MAX(A$2:A894)+1))</f>
        <v/>
      </c>
      <c r="I895" s="2" t="str">
        <f ca="1">IF(ISNUMBER(A895),
IF(COUNTIFS(Equipar!B:B,2,Equipar!AC:AC,A895),"Equipada",
IF(
  OR(COUNTIFS(Equipar!B:B,2,Equipar!C:C,A895)
 +COUNTIFS(Equipar!B:B,2,Equipar!D:D,A895)
+COUNTIFS(Equipar!B:B,2,Equipar!E:E,A895)
+COUNTIFS(Equipar!B:B,2,Equipar!F:F,A895)
&gt;0,COUNTIF('Set recomendado'!B:B,C895)=0),
"Bloqueada",
"Desechable")),""
)</f>
        <v/>
      </c>
      <c r="J895" t="str" cm="1">
        <f t="array" aca="1" ref="J895" ca="1">IF(ISNUMBER(A895),IFERROR(_xlfn._xlws.FILTER(Equipar!A:A,(Equipar!B:B=2)*(Equipar!AC:AC=A895)),""),"")</f>
        <v/>
      </c>
    </row>
    <row r="896" spans="1:10" x14ac:dyDescent="0.25">
      <c r="A896" s="1" t="str">
        <f ca="1">IF(A895="ID",1,IF(ISBLANK(B896),"",MAX(A$2:A895)+1))</f>
        <v/>
      </c>
      <c r="I896" s="2" t="str">
        <f ca="1">IF(ISNUMBER(A896),
IF(COUNTIFS(Equipar!B:B,2,Equipar!AC:AC,A896),"Equipada",
IF(
  OR(COUNTIFS(Equipar!B:B,2,Equipar!C:C,A896)
 +COUNTIFS(Equipar!B:B,2,Equipar!D:D,A896)
+COUNTIFS(Equipar!B:B,2,Equipar!E:E,A896)
+COUNTIFS(Equipar!B:B,2,Equipar!F:F,A896)
&gt;0,COUNTIF('Set recomendado'!B:B,C896)=0),
"Bloqueada",
"Desechable")),""
)</f>
        <v/>
      </c>
      <c r="J896" t="str" cm="1">
        <f t="array" aca="1" ref="J896" ca="1">IF(ISNUMBER(A896),IFERROR(_xlfn._xlws.FILTER(Equipar!A:A,(Equipar!B:B=2)*(Equipar!AC:AC=A896)),""),"")</f>
        <v/>
      </c>
    </row>
    <row r="897" spans="1:10" x14ac:dyDescent="0.25">
      <c r="A897" s="1" t="str">
        <f ca="1">IF(A896="ID",1,IF(ISBLANK(B897),"",MAX(A$2:A896)+1))</f>
        <v/>
      </c>
      <c r="I897" s="2" t="str">
        <f ca="1">IF(ISNUMBER(A897),
IF(COUNTIFS(Equipar!B:B,2,Equipar!AC:AC,A897),"Equipada",
IF(
  OR(COUNTIFS(Equipar!B:B,2,Equipar!C:C,A897)
 +COUNTIFS(Equipar!B:B,2,Equipar!D:D,A897)
+COUNTIFS(Equipar!B:B,2,Equipar!E:E,A897)
+COUNTIFS(Equipar!B:B,2,Equipar!F:F,A897)
&gt;0,COUNTIF('Set recomendado'!B:B,C897)=0),
"Bloqueada",
"Desechable")),""
)</f>
        <v/>
      </c>
      <c r="J897" t="str" cm="1">
        <f t="array" aca="1" ref="J897" ca="1">IF(ISNUMBER(A897),IFERROR(_xlfn._xlws.FILTER(Equipar!A:A,(Equipar!B:B=2)*(Equipar!AC:AC=A897)),""),"")</f>
        <v/>
      </c>
    </row>
    <row r="898" spans="1:10" x14ac:dyDescent="0.25">
      <c r="A898" s="1" t="str">
        <f ca="1">IF(A897="ID",1,IF(ISBLANK(B898),"",MAX(A$2:A897)+1))</f>
        <v/>
      </c>
      <c r="I898" s="2" t="str">
        <f ca="1">IF(ISNUMBER(A898),
IF(COUNTIFS(Equipar!B:B,2,Equipar!AC:AC,A898),"Equipada",
IF(
  OR(COUNTIFS(Equipar!B:B,2,Equipar!C:C,A898)
 +COUNTIFS(Equipar!B:B,2,Equipar!D:D,A898)
+COUNTIFS(Equipar!B:B,2,Equipar!E:E,A898)
+COUNTIFS(Equipar!B:B,2,Equipar!F:F,A898)
&gt;0,COUNTIF('Set recomendado'!B:B,C898)=0),
"Bloqueada",
"Desechable")),""
)</f>
        <v/>
      </c>
      <c r="J898" t="str" cm="1">
        <f t="array" aca="1" ref="J898" ca="1">IF(ISNUMBER(A898),IFERROR(_xlfn._xlws.FILTER(Equipar!A:A,(Equipar!B:B=2)*(Equipar!AC:AC=A898)),""),"")</f>
        <v/>
      </c>
    </row>
    <row r="899" spans="1:10" x14ac:dyDescent="0.25">
      <c r="A899" s="1" t="str">
        <f ca="1">IF(A898="ID",1,IF(ISBLANK(B899),"",MAX(A$2:A898)+1))</f>
        <v/>
      </c>
      <c r="I899" s="2" t="str">
        <f ca="1">IF(ISNUMBER(A899),
IF(COUNTIFS(Equipar!B:B,2,Equipar!AC:AC,A899),"Equipada",
IF(
  OR(COUNTIFS(Equipar!B:B,2,Equipar!C:C,A899)
 +COUNTIFS(Equipar!B:B,2,Equipar!D:D,A899)
+COUNTIFS(Equipar!B:B,2,Equipar!E:E,A899)
+COUNTIFS(Equipar!B:B,2,Equipar!F:F,A899)
&gt;0,COUNTIF('Set recomendado'!B:B,C899)=0),
"Bloqueada",
"Desechable")),""
)</f>
        <v/>
      </c>
      <c r="J899" t="str" cm="1">
        <f t="array" aca="1" ref="J899" ca="1">IF(ISNUMBER(A899),IFERROR(_xlfn._xlws.FILTER(Equipar!A:A,(Equipar!B:B=2)*(Equipar!AC:AC=A899)),""),"")</f>
        <v/>
      </c>
    </row>
    <row r="900" spans="1:10" x14ac:dyDescent="0.25">
      <c r="A900" s="1" t="str">
        <f ca="1">IF(A899="ID",1,IF(ISBLANK(B900),"",MAX(A$2:A899)+1))</f>
        <v/>
      </c>
      <c r="I900" s="2" t="str">
        <f ca="1">IF(ISNUMBER(A900),
IF(COUNTIFS(Equipar!B:B,2,Equipar!AC:AC,A900),"Equipada",
IF(
  OR(COUNTIFS(Equipar!B:B,2,Equipar!C:C,A900)
 +COUNTIFS(Equipar!B:B,2,Equipar!D:D,A900)
+COUNTIFS(Equipar!B:B,2,Equipar!E:E,A900)
+COUNTIFS(Equipar!B:B,2,Equipar!F:F,A900)
&gt;0,COUNTIF('Set recomendado'!B:B,C900)=0),
"Bloqueada",
"Desechable")),""
)</f>
        <v/>
      </c>
      <c r="J900" t="str" cm="1">
        <f t="array" aca="1" ref="J900" ca="1">IF(ISNUMBER(A900),IFERROR(_xlfn._xlws.FILTER(Equipar!A:A,(Equipar!B:B=2)*(Equipar!AC:AC=A900)),""),"")</f>
        <v/>
      </c>
    </row>
    <row r="901" spans="1:10" x14ac:dyDescent="0.25">
      <c r="A901" s="1" t="str">
        <f ca="1">IF(A900="ID",1,IF(ISBLANK(B901),"",MAX(A$2:A900)+1))</f>
        <v/>
      </c>
      <c r="I901" s="2" t="str">
        <f ca="1">IF(ISNUMBER(A901),
IF(COUNTIFS(Equipar!B:B,2,Equipar!AC:AC,A901),"Equipada",
IF(
  OR(COUNTIFS(Equipar!B:B,2,Equipar!C:C,A901)
 +COUNTIFS(Equipar!B:B,2,Equipar!D:D,A901)
+COUNTIFS(Equipar!B:B,2,Equipar!E:E,A901)
+COUNTIFS(Equipar!B:B,2,Equipar!F:F,A901)
&gt;0,COUNTIF('Set recomendado'!B:B,C901)=0),
"Bloqueada",
"Desechable")),""
)</f>
        <v/>
      </c>
      <c r="J901" t="str" cm="1">
        <f t="array" aca="1" ref="J901" ca="1">IF(ISNUMBER(A901),IFERROR(_xlfn._xlws.FILTER(Equipar!A:A,(Equipar!B:B=2)*(Equipar!AC:AC=A901)),""),"")</f>
        <v/>
      </c>
    </row>
    <row r="902" spans="1:10" x14ac:dyDescent="0.25">
      <c r="A902" s="1" t="str">
        <f ca="1">IF(A901="ID",1,IF(ISBLANK(B902),"",MAX(A$2:A901)+1))</f>
        <v/>
      </c>
      <c r="I902" s="2" t="str">
        <f ca="1">IF(ISNUMBER(A902),
IF(COUNTIFS(Equipar!B:B,2,Equipar!AC:AC,A902),"Equipada",
IF(
  OR(COUNTIFS(Equipar!B:B,2,Equipar!C:C,A902)
 +COUNTIFS(Equipar!B:B,2,Equipar!D:D,A902)
+COUNTIFS(Equipar!B:B,2,Equipar!E:E,A902)
+COUNTIFS(Equipar!B:B,2,Equipar!F:F,A902)
&gt;0,COUNTIF('Set recomendado'!B:B,C902)=0),
"Bloqueada",
"Desechable")),""
)</f>
        <v/>
      </c>
      <c r="J902" t="str" cm="1">
        <f t="array" aca="1" ref="J902" ca="1">IF(ISNUMBER(A902),IFERROR(_xlfn._xlws.FILTER(Equipar!A:A,(Equipar!B:B=2)*(Equipar!AC:AC=A902)),""),"")</f>
        <v/>
      </c>
    </row>
    <row r="903" spans="1:10" x14ac:dyDescent="0.25">
      <c r="A903" s="1" t="str">
        <f ca="1">IF(A902="ID",1,IF(ISBLANK(B903),"",MAX(A$2:A902)+1))</f>
        <v/>
      </c>
      <c r="I903" s="2" t="str">
        <f ca="1">IF(ISNUMBER(A903),
IF(COUNTIFS(Equipar!B:B,2,Equipar!AC:AC,A903),"Equipada",
IF(
  OR(COUNTIFS(Equipar!B:B,2,Equipar!C:C,A903)
 +COUNTIFS(Equipar!B:B,2,Equipar!D:D,A903)
+COUNTIFS(Equipar!B:B,2,Equipar!E:E,A903)
+COUNTIFS(Equipar!B:B,2,Equipar!F:F,A903)
&gt;0,COUNTIF('Set recomendado'!B:B,C903)=0),
"Bloqueada",
"Desechable")),""
)</f>
        <v/>
      </c>
      <c r="J903" t="str" cm="1">
        <f t="array" aca="1" ref="J903" ca="1">IF(ISNUMBER(A903),IFERROR(_xlfn._xlws.FILTER(Equipar!A:A,(Equipar!B:B=2)*(Equipar!AC:AC=A903)),""),"")</f>
        <v/>
      </c>
    </row>
    <row r="904" spans="1:10" x14ac:dyDescent="0.25">
      <c r="A904" s="1" t="str">
        <f ca="1">IF(A903="ID",1,IF(ISBLANK(B904),"",MAX(A$2:A903)+1))</f>
        <v/>
      </c>
      <c r="I904" s="2" t="str">
        <f ca="1">IF(ISNUMBER(A904),
IF(COUNTIFS(Equipar!B:B,2,Equipar!AC:AC,A904),"Equipada",
IF(
  OR(COUNTIFS(Equipar!B:B,2,Equipar!C:C,A904)
 +COUNTIFS(Equipar!B:B,2,Equipar!D:D,A904)
+COUNTIFS(Equipar!B:B,2,Equipar!E:E,A904)
+COUNTIFS(Equipar!B:B,2,Equipar!F:F,A904)
&gt;0,COUNTIF('Set recomendado'!B:B,C904)=0),
"Bloqueada",
"Desechable")),""
)</f>
        <v/>
      </c>
      <c r="J904" t="str" cm="1">
        <f t="array" aca="1" ref="J904" ca="1">IF(ISNUMBER(A904),IFERROR(_xlfn._xlws.FILTER(Equipar!A:A,(Equipar!B:B=2)*(Equipar!AC:AC=A904)),""),"")</f>
        <v/>
      </c>
    </row>
    <row r="905" spans="1:10" x14ac:dyDescent="0.25">
      <c r="A905" s="1" t="str">
        <f ca="1">IF(A904="ID",1,IF(ISBLANK(B905),"",MAX(A$2:A904)+1))</f>
        <v/>
      </c>
      <c r="I905" s="2" t="str">
        <f ca="1">IF(ISNUMBER(A905),
IF(COUNTIFS(Equipar!B:B,2,Equipar!AC:AC,A905),"Equipada",
IF(
  OR(COUNTIFS(Equipar!B:B,2,Equipar!C:C,A905)
 +COUNTIFS(Equipar!B:B,2,Equipar!D:D,A905)
+COUNTIFS(Equipar!B:B,2,Equipar!E:E,A905)
+COUNTIFS(Equipar!B:B,2,Equipar!F:F,A905)
&gt;0,COUNTIF('Set recomendado'!B:B,C905)=0),
"Bloqueada",
"Desechable")),""
)</f>
        <v/>
      </c>
      <c r="J905" t="str" cm="1">
        <f t="array" aca="1" ref="J905" ca="1">IF(ISNUMBER(A905),IFERROR(_xlfn._xlws.FILTER(Equipar!A:A,(Equipar!B:B=2)*(Equipar!AC:AC=A905)),""),"")</f>
        <v/>
      </c>
    </row>
    <row r="906" spans="1:10" x14ac:dyDescent="0.25">
      <c r="A906" s="1" t="str">
        <f ca="1">IF(A905="ID",1,IF(ISBLANK(B906),"",MAX(A$2:A905)+1))</f>
        <v/>
      </c>
      <c r="I906" s="2" t="str">
        <f ca="1">IF(ISNUMBER(A906),
IF(COUNTIFS(Equipar!B:B,2,Equipar!AC:AC,A906),"Equipada",
IF(
  OR(COUNTIFS(Equipar!B:B,2,Equipar!C:C,A906)
 +COUNTIFS(Equipar!B:B,2,Equipar!D:D,A906)
+COUNTIFS(Equipar!B:B,2,Equipar!E:E,A906)
+COUNTIFS(Equipar!B:B,2,Equipar!F:F,A906)
&gt;0,COUNTIF('Set recomendado'!B:B,C906)=0),
"Bloqueada",
"Desechable")),""
)</f>
        <v/>
      </c>
      <c r="J906" t="str" cm="1">
        <f t="array" aca="1" ref="J906" ca="1">IF(ISNUMBER(A906),IFERROR(_xlfn._xlws.FILTER(Equipar!A:A,(Equipar!B:B=2)*(Equipar!AC:AC=A906)),""),"")</f>
        <v/>
      </c>
    </row>
    <row r="907" spans="1:10" x14ac:dyDescent="0.25">
      <c r="A907" s="1" t="str">
        <f ca="1">IF(A906="ID",1,IF(ISBLANK(B907),"",MAX(A$2:A906)+1))</f>
        <v/>
      </c>
      <c r="I907" s="2" t="str">
        <f ca="1">IF(ISNUMBER(A907),
IF(COUNTIFS(Equipar!B:B,2,Equipar!AC:AC,A907),"Equipada",
IF(
  OR(COUNTIFS(Equipar!B:B,2,Equipar!C:C,A907)
 +COUNTIFS(Equipar!B:B,2,Equipar!D:D,A907)
+COUNTIFS(Equipar!B:B,2,Equipar!E:E,A907)
+COUNTIFS(Equipar!B:B,2,Equipar!F:F,A907)
&gt;0,COUNTIF('Set recomendado'!B:B,C907)=0),
"Bloqueada",
"Desechable")),""
)</f>
        <v/>
      </c>
      <c r="J907" t="str" cm="1">
        <f t="array" aca="1" ref="J907" ca="1">IF(ISNUMBER(A907),IFERROR(_xlfn._xlws.FILTER(Equipar!A:A,(Equipar!B:B=2)*(Equipar!AC:AC=A907)),""),"")</f>
        <v/>
      </c>
    </row>
    <row r="908" spans="1:10" x14ac:dyDescent="0.25">
      <c r="A908" s="1" t="str">
        <f ca="1">IF(A907="ID",1,IF(ISBLANK(B908),"",MAX(A$2:A907)+1))</f>
        <v/>
      </c>
      <c r="I908" s="2" t="str">
        <f ca="1">IF(ISNUMBER(A908),
IF(COUNTIFS(Equipar!B:B,2,Equipar!AC:AC,A908),"Equipada",
IF(
  OR(COUNTIFS(Equipar!B:B,2,Equipar!C:C,A908)
 +COUNTIFS(Equipar!B:B,2,Equipar!D:D,A908)
+COUNTIFS(Equipar!B:B,2,Equipar!E:E,A908)
+COUNTIFS(Equipar!B:B,2,Equipar!F:F,A908)
&gt;0,COUNTIF('Set recomendado'!B:B,C908)=0),
"Bloqueada",
"Desechable")),""
)</f>
        <v/>
      </c>
      <c r="J908" t="str" cm="1">
        <f t="array" aca="1" ref="J908" ca="1">IF(ISNUMBER(A908),IFERROR(_xlfn._xlws.FILTER(Equipar!A:A,(Equipar!B:B=2)*(Equipar!AC:AC=A908)),""),"")</f>
        <v/>
      </c>
    </row>
    <row r="909" spans="1:10" x14ac:dyDescent="0.25">
      <c r="A909" s="1" t="str">
        <f ca="1">IF(A908="ID",1,IF(ISBLANK(B909),"",MAX(A$2:A908)+1))</f>
        <v/>
      </c>
      <c r="I909" s="2" t="str">
        <f ca="1">IF(ISNUMBER(A909),
IF(COUNTIFS(Equipar!B:B,2,Equipar!AC:AC,A909),"Equipada",
IF(
  OR(COUNTIFS(Equipar!B:B,2,Equipar!C:C,A909)
 +COUNTIFS(Equipar!B:B,2,Equipar!D:D,A909)
+COUNTIFS(Equipar!B:B,2,Equipar!E:E,A909)
+COUNTIFS(Equipar!B:B,2,Equipar!F:F,A909)
&gt;0,COUNTIF('Set recomendado'!B:B,C909)=0),
"Bloqueada",
"Desechable")),""
)</f>
        <v/>
      </c>
      <c r="J909" t="str" cm="1">
        <f t="array" aca="1" ref="J909" ca="1">IF(ISNUMBER(A909),IFERROR(_xlfn._xlws.FILTER(Equipar!A:A,(Equipar!B:B=2)*(Equipar!AC:AC=A909)),""),"")</f>
        <v/>
      </c>
    </row>
    <row r="910" spans="1:10" x14ac:dyDescent="0.25">
      <c r="A910" s="1" t="str">
        <f ca="1">IF(A909="ID",1,IF(ISBLANK(B910),"",MAX(A$2:A909)+1))</f>
        <v/>
      </c>
      <c r="I910" s="2" t="str">
        <f ca="1">IF(ISNUMBER(A910),
IF(COUNTIFS(Equipar!B:B,2,Equipar!AC:AC,A910),"Equipada",
IF(
  OR(COUNTIFS(Equipar!B:B,2,Equipar!C:C,A910)
 +COUNTIFS(Equipar!B:B,2,Equipar!D:D,A910)
+COUNTIFS(Equipar!B:B,2,Equipar!E:E,A910)
+COUNTIFS(Equipar!B:B,2,Equipar!F:F,A910)
&gt;0,COUNTIF('Set recomendado'!B:B,C910)=0),
"Bloqueada",
"Desechable")),""
)</f>
        <v/>
      </c>
      <c r="J910" t="str" cm="1">
        <f t="array" aca="1" ref="J910" ca="1">IF(ISNUMBER(A910),IFERROR(_xlfn._xlws.FILTER(Equipar!A:A,(Equipar!B:B=2)*(Equipar!AC:AC=A910)),""),"")</f>
        <v/>
      </c>
    </row>
    <row r="911" spans="1:10" x14ac:dyDescent="0.25">
      <c r="A911" s="1" t="str">
        <f ca="1">IF(A910="ID",1,IF(ISBLANK(B911),"",MAX(A$2:A910)+1))</f>
        <v/>
      </c>
      <c r="I911" s="2" t="str">
        <f ca="1">IF(ISNUMBER(A911),
IF(COUNTIFS(Equipar!B:B,2,Equipar!AC:AC,A911),"Equipada",
IF(
  OR(COUNTIFS(Equipar!B:B,2,Equipar!C:C,A911)
 +COUNTIFS(Equipar!B:B,2,Equipar!D:D,A911)
+COUNTIFS(Equipar!B:B,2,Equipar!E:E,A911)
+COUNTIFS(Equipar!B:B,2,Equipar!F:F,A911)
&gt;0,COUNTIF('Set recomendado'!B:B,C911)=0),
"Bloqueada",
"Desechable")),""
)</f>
        <v/>
      </c>
      <c r="J911" t="str" cm="1">
        <f t="array" aca="1" ref="J911" ca="1">IF(ISNUMBER(A911),IFERROR(_xlfn._xlws.FILTER(Equipar!A:A,(Equipar!B:B=2)*(Equipar!AC:AC=A911)),""),"")</f>
        <v/>
      </c>
    </row>
    <row r="912" spans="1:10" x14ac:dyDescent="0.25">
      <c r="A912" s="1" t="str">
        <f ca="1">IF(A911="ID",1,IF(ISBLANK(B912),"",MAX(A$2:A911)+1))</f>
        <v/>
      </c>
      <c r="I912" s="2" t="str">
        <f ca="1">IF(ISNUMBER(A912),
IF(COUNTIFS(Equipar!B:B,2,Equipar!AC:AC,A912),"Equipada",
IF(
  OR(COUNTIFS(Equipar!B:B,2,Equipar!C:C,A912)
 +COUNTIFS(Equipar!B:B,2,Equipar!D:D,A912)
+COUNTIFS(Equipar!B:B,2,Equipar!E:E,A912)
+COUNTIFS(Equipar!B:B,2,Equipar!F:F,A912)
&gt;0,COUNTIF('Set recomendado'!B:B,C912)=0),
"Bloqueada",
"Desechable")),""
)</f>
        <v/>
      </c>
      <c r="J912" t="str" cm="1">
        <f t="array" aca="1" ref="J912" ca="1">IF(ISNUMBER(A912),IFERROR(_xlfn._xlws.FILTER(Equipar!A:A,(Equipar!B:B=2)*(Equipar!AC:AC=A912)),""),"")</f>
        <v/>
      </c>
    </row>
    <row r="913" spans="1:10" x14ac:dyDescent="0.25">
      <c r="A913" s="1" t="str">
        <f ca="1">IF(A912="ID",1,IF(ISBLANK(B913),"",MAX(A$2:A912)+1))</f>
        <v/>
      </c>
      <c r="I913" s="2" t="str">
        <f ca="1">IF(ISNUMBER(A913),
IF(COUNTIFS(Equipar!B:B,2,Equipar!AC:AC,A913),"Equipada",
IF(
  OR(COUNTIFS(Equipar!B:B,2,Equipar!C:C,A913)
 +COUNTIFS(Equipar!B:B,2,Equipar!D:D,A913)
+COUNTIFS(Equipar!B:B,2,Equipar!E:E,A913)
+COUNTIFS(Equipar!B:B,2,Equipar!F:F,A913)
&gt;0,COUNTIF('Set recomendado'!B:B,C913)=0),
"Bloqueada",
"Desechable")),""
)</f>
        <v/>
      </c>
      <c r="J913" t="str" cm="1">
        <f t="array" aca="1" ref="J913" ca="1">IF(ISNUMBER(A913),IFERROR(_xlfn._xlws.FILTER(Equipar!A:A,(Equipar!B:B=2)*(Equipar!AC:AC=A913)),""),"")</f>
        <v/>
      </c>
    </row>
    <row r="914" spans="1:10" x14ac:dyDescent="0.25">
      <c r="A914" s="1" t="str">
        <f ca="1">IF(A913="ID",1,IF(ISBLANK(B914),"",MAX(A$2:A913)+1))</f>
        <v/>
      </c>
      <c r="I914" s="2" t="str">
        <f ca="1">IF(ISNUMBER(A914),
IF(COUNTIFS(Equipar!B:B,2,Equipar!AC:AC,A914),"Equipada",
IF(
  OR(COUNTIFS(Equipar!B:B,2,Equipar!C:C,A914)
 +COUNTIFS(Equipar!B:B,2,Equipar!D:D,A914)
+COUNTIFS(Equipar!B:B,2,Equipar!E:E,A914)
+COUNTIFS(Equipar!B:B,2,Equipar!F:F,A914)
&gt;0,COUNTIF('Set recomendado'!B:B,C914)=0),
"Bloqueada",
"Desechable")),""
)</f>
        <v/>
      </c>
      <c r="J914" t="str" cm="1">
        <f t="array" aca="1" ref="J914" ca="1">IF(ISNUMBER(A914),IFERROR(_xlfn._xlws.FILTER(Equipar!A:A,(Equipar!B:B=2)*(Equipar!AC:AC=A914)),""),"")</f>
        <v/>
      </c>
    </row>
    <row r="915" spans="1:10" x14ac:dyDescent="0.25">
      <c r="A915" s="1" t="str">
        <f ca="1">IF(A914="ID",1,IF(ISBLANK(B915),"",MAX(A$2:A914)+1))</f>
        <v/>
      </c>
      <c r="I915" s="2" t="str">
        <f ca="1">IF(ISNUMBER(A915),
IF(COUNTIFS(Equipar!B:B,2,Equipar!AC:AC,A915),"Equipada",
IF(
  OR(COUNTIFS(Equipar!B:B,2,Equipar!C:C,A915)
 +COUNTIFS(Equipar!B:B,2,Equipar!D:D,A915)
+COUNTIFS(Equipar!B:B,2,Equipar!E:E,A915)
+COUNTIFS(Equipar!B:B,2,Equipar!F:F,A915)
&gt;0,COUNTIF('Set recomendado'!B:B,C915)=0),
"Bloqueada",
"Desechable")),""
)</f>
        <v/>
      </c>
      <c r="J915" t="str" cm="1">
        <f t="array" aca="1" ref="J915" ca="1">IF(ISNUMBER(A915),IFERROR(_xlfn._xlws.FILTER(Equipar!A:A,(Equipar!B:B=2)*(Equipar!AC:AC=A915)),""),"")</f>
        <v/>
      </c>
    </row>
    <row r="916" spans="1:10" x14ac:dyDescent="0.25">
      <c r="A916" s="1" t="str">
        <f ca="1">IF(A915="ID",1,IF(ISBLANK(B916),"",MAX(A$2:A915)+1))</f>
        <v/>
      </c>
      <c r="I916" s="2" t="str">
        <f ca="1">IF(ISNUMBER(A916),
IF(COUNTIFS(Equipar!B:B,2,Equipar!AC:AC,A916),"Equipada",
IF(
  OR(COUNTIFS(Equipar!B:B,2,Equipar!C:C,A916)
 +COUNTIFS(Equipar!B:B,2,Equipar!D:D,A916)
+COUNTIFS(Equipar!B:B,2,Equipar!E:E,A916)
+COUNTIFS(Equipar!B:B,2,Equipar!F:F,A916)
&gt;0,COUNTIF('Set recomendado'!B:B,C916)=0),
"Bloqueada",
"Desechable")),""
)</f>
        <v/>
      </c>
      <c r="J916" t="str" cm="1">
        <f t="array" aca="1" ref="J916" ca="1">IF(ISNUMBER(A916),IFERROR(_xlfn._xlws.FILTER(Equipar!A:A,(Equipar!B:B=2)*(Equipar!AC:AC=A916)),""),"")</f>
        <v/>
      </c>
    </row>
    <row r="917" spans="1:10" x14ac:dyDescent="0.25">
      <c r="A917" s="1" t="str">
        <f ca="1">IF(A916="ID",1,IF(ISBLANK(B917),"",MAX(A$2:A916)+1))</f>
        <v/>
      </c>
      <c r="I917" s="2" t="str">
        <f ca="1">IF(ISNUMBER(A917),
IF(COUNTIFS(Equipar!B:B,2,Equipar!AC:AC,A917),"Equipada",
IF(
  OR(COUNTIFS(Equipar!B:B,2,Equipar!C:C,A917)
 +COUNTIFS(Equipar!B:B,2,Equipar!D:D,A917)
+COUNTIFS(Equipar!B:B,2,Equipar!E:E,A917)
+COUNTIFS(Equipar!B:B,2,Equipar!F:F,A917)
&gt;0,COUNTIF('Set recomendado'!B:B,C917)=0),
"Bloqueada",
"Desechable")),""
)</f>
        <v/>
      </c>
      <c r="J917" t="str" cm="1">
        <f t="array" aca="1" ref="J917" ca="1">IF(ISNUMBER(A917),IFERROR(_xlfn._xlws.FILTER(Equipar!A:A,(Equipar!B:B=2)*(Equipar!AC:AC=A917)),""),"")</f>
        <v/>
      </c>
    </row>
    <row r="918" spans="1:10" x14ac:dyDescent="0.25">
      <c r="A918" s="1" t="str">
        <f ca="1">IF(A917="ID",1,IF(ISBLANK(B918),"",MAX(A$2:A917)+1))</f>
        <v/>
      </c>
      <c r="I918" s="2" t="str">
        <f ca="1">IF(ISNUMBER(A918),
IF(COUNTIFS(Equipar!B:B,2,Equipar!AC:AC,A918),"Equipada",
IF(
  OR(COUNTIFS(Equipar!B:B,2,Equipar!C:C,A918)
 +COUNTIFS(Equipar!B:B,2,Equipar!D:D,A918)
+COUNTIFS(Equipar!B:B,2,Equipar!E:E,A918)
+COUNTIFS(Equipar!B:B,2,Equipar!F:F,A918)
&gt;0,COUNTIF('Set recomendado'!B:B,C918)=0),
"Bloqueada",
"Desechable")),""
)</f>
        <v/>
      </c>
      <c r="J918" t="str" cm="1">
        <f t="array" aca="1" ref="J918" ca="1">IF(ISNUMBER(A918),IFERROR(_xlfn._xlws.FILTER(Equipar!A:A,(Equipar!B:B=2)*(Equipar!AC:AC=A918)),""),"")</f>
        <v/>
      </c>
    </row>
    <row r="919" spans="1:10" x14ac:dyDescent="0.25">
      <c r="A919" s="1" t="str">
        <f ca="1">IF(A918="ID",1,IF(ISBLANK(B919),"",MAX(A$2:A918)+1))</f>
        <v/>
      </c>
      <c r="I919" s="2" t="str">
        <f ca="1">IF(ISNUMBER(A919),
IF(COUNTIFS(Equipar!B:B,2,Equipar!AC:AC,A919),"Equipada",
IF(
  OR(COUNTIFS(Equipar!B:B,2,Equipar!C:C,A919)
 +COUNTIFS(Equipar!B:B,2,Equipar!D:D,A919)
+COUNTIFS(Equipar!B:B,2,Equipar!E:E,A919)
+COUNTIFS(Equipar!B:B,2,Equipar!F:F,A919)
&gt;0,COUNTIF('Set recomendado'!B:B,C919)=0),
"Bloqueada",
"Desechable")),""
)</f>
        <v/>
      </c>
      <c r="J919" t="str" cm="1">
        <f t="array" aca="1" ref="J919" ca="1">IF(ISNUMBER(A919),IFERROR(_xlfn._xlws.FILTER(Equipar!A:A,(Equipar!B:B=2)*(Equipar!AC:AC=A919)),""),"")</f>
        <v/>
      </c>
    </row>
    <row r="920" spans="1:10" x14ac:dyDescent="0.25">
      <c r="A920" s="1" t="str">
        <f ca="1">IF(A919="ID",1,IF(ISBLANK(B920),"",MAX(A$2:A919)+1))</f>
        <v/>
      </c>
      <c r="I920" s="2" t="str">
        <f ca="1">IF(ISNUMBER(A920),
IF(COUNTIFS(Equipar!B:B,2,Equipar!AC:AC,A920),"Equipada",
IF(
  OR(COUNTIFS(Equipar!B:B,2,Equipar!C:C,A920)
 +COUNTIFS(Equipar!B:B,2,Equipar!D:D,A920)
+COUNTIFS(Equipar!B:B,2,Equipar!E:E,A920)
+COUNTIFS(Equipar!B:B,2,Equipar!F:F,A920)
&gt;0,COUNTIF('Set recomendado'!B:B,C920)=0),
"Bloqueada",
"Desechable")),""
)</f>
        <v/>
      </c>
      <c r="J920" t="str" cm="1">
        <f t="array" aca="1" ref="J920" ca="1">IF(ISNUMBER(A920),IFERROR(_xlfn._xlws.FILTER(Equipar!A:A,(Equipar!B:B=2)*(Equipar!AC:AC=A920)),""),"")</f>
        <v/>
      </c>
    </row>
    <row r="921" spans="1:10" x14ac:dyDescent="0.25">
      <c r="A921" s="1" t="str">
        <f ca="1">IF(A920="ID",1,IF(ISBLANK(B921),"",MAX(A$2:A920)+1))</f>
        <v/>
      </c>
      <c r="I921" s="2" t="str">
        <f ca="1">IF(ISNUMBER(A921),
IF(COUNTIFS(Equipar!B:B,2,Equipar!AC:AC,A921),"Equipada",
IF(
  OR(COUNTIFS(Equipar!B:B,2,Equipar!C:C,A921)
 +COUNTIFS(Equipar!B:B,2,Equipar!D:D,A921)
+COUNTIFS(Equipar!B:B,2,Equipar!E:E,A921)
+COUNTIFS(Equipar!B:B,2,Equipar!F:F,A921)
&gt;0,COUNTIF('Set recomendado'!B:B,C921)=0),
"Bloqueada",
"Desechable")),""
)</f>
        <v/>
      </c>
      <c r="J921" t="str" cm="1">
        <f t="array" aca="1" ref="J921" ca="1">IF(ISNUMBER(A921),IFERROR(_xlfn._xlws.FILTER(Equipar!A:A,(Equipar!B:B=2)*(Equipar!AC:AC=A921)),""),"")</f>
        <v/>
      </c>
    </row>
    <row r="922" spans="1:10" x14ac:dyDescent="0.25">
      <c r="A922" s="1" t="str">
        <f ca="1">IF(A921="ID",1,IF(ISBLANK(B922),"",MAX(A$2:A921)+1))</f>
        <v/>
      </c>
      <c r="I922" s="2" t="str">
        <f ca="1">IF(ISNUMBER(A922),
IF(COUNTIFS(Equipar!B:B,2,Equipar!AC:AC,A922),"Equipada",
IF(
  OR(COUNTIFS(Equipar!B:B,2,Equipar!C:C,A922)
 +COUNTIFS(Equipar!B:B,2,Equipar!D:D,A922)
+COUNTIFS(Equipar!B:B,2,Equipar!E:E,A922)
+COUNTIFS(Equipar!B:B,2,Equipar!F:F,A922)
&gt;0,COUNTIF('Set recomendado'!B:B,C922)=0),
"Bloqueada",
"Desechable")),""
)</f>
        <v/>
      </c>
      <c r="J922" t="str" cm="1">
        <f t="array" aca="1" ref="J922" ca="1">IF(ISNUMBER(A922),IFERROR(_xlfn._xlws.FILTER(Equipar!A:A,(Equipar!B:B=2)*(Equipar!AC:AC=A922)),""),"")</f>
        <v/>
      </c>
    </row>
    <row r="923" spans="1:10" x14ac:dyDescent="0.25">
      <c r="A923" s="1" t="str">
        <f ca="1">IF(A922="ID",1,IF(ISBLANK(B923),"",MAX(A$2:A922)+1))</f>
        <v/>
      </c>
      <c r="I923" s="2" t="str">
        <f ca="1">IF(ISNUMBER(A923),
IF(COUNTIFS(Equipar!B:B,2,Equipar!AC:AC,A923),"Equipada",
IF(
  OR(COUNTIFS(Equipar!B:B,2,Equipar!C:C,A923)
 +COUNTIFS(Equipar!B:B,2,Equipar!D:D,A923)
+COUNTIFS(Equipar!B:B,2,Equipar!E:E,A923)
+COUNTIFS(Equipar!B:B,2,Equipar!F:F,A923)
&gt;0,COUNTIF('Set recomendado'!B:B,C923)=0),
"Bloqueada",
"Desechable")),""
)</f>
        <v/>
      </c>
      <c r="J923" t="str" cm="1">
        <f t="array" aca="1" ref="J923" ca="1">IF(ISNUMBER(A923),IFERROR(_xlfn._xlws.FILTER(Equipar!A:A,(Equipar!B:B=2)*(Equipar!AC:AC=A923)),""),"")</f>
        <v/>
      </c>
    </row>
    <row r="924" spans="1:10" x14ac:dyDescent="0.25">
      <c r="A924" s="1" t="str">
        <f ca="1">IF(A923="ID",1,IF(ISBLANK(B924),"",MAX(A$2:A923)+1))</f>
        <v/>
      </c>
      <c r="I924" s="2" t="str">
        <f ca="1">IF(ISNUMBER(A924),
IF(COUNTIFS(Equipar!B:B,2,Equipar!AC:AC,A924),"Equipada",
IF(
  OR(COUNTIFS(Equipar!B:B,2,Equipar!C:C,A924)
 +COUNTIFS(Equipar!B:B,2,Equipar!D:D,A924)
+COUNTIFS(Equipar!B:B,2,Equipar!E:E,A924)
+COUNTIFS(Equipar!B:B,2,Equipar!F:F,A924)
&gt;0,COUNTIF('Set recomendado'!B:B,C924)=0),
"Bloqueada",
"Desechable")),""
)</f>
        <v/>
      </c>
      <c r="J924" t="str" cm="1">
        <f t="array" aca="1" ref="J924" ca="1">IF(ISNUMBER(A924),IFERROR(_xlfn._xlws.FILTER(Equipar!A:A,(Equipar!B:B=2)*(Equipar!AC:AC=A924)),""),"")</f>
        <v/>
      </c>
    </row>
    <row r="925" spans="1:10" x14ac:dyDescent="0.25">
      <c r="A925" s="1" t="str">
        <f ca="1">IF(A924="ID",1,IF(ISBLANK(B925),"",MAX(A$2:A924)+1))</f>
        <v/>
      </c>
      <c r="I925" s="2" t="str">
        <f ca="1">IF(ISNUMBER(A925),
IF(COUNTIFS(Equipar!B:B,2,Equipar!AC:AC,A925),"Equipada",
IF(
  OR(COUNTIFS(Equipar!B:B,2,Equipar!C:C,A925)
 +COUNTIFS(Equipar!B:B,2,Equipar!D:D,A925)
+COUNTIFS(Equipar!B:B,2,Equipar!E:E,A925)
+COUNTIFS(Equipar!B:B,2,Equipar!F:F,A925)
&gt;0,COUNTIF('Set recomendado'!B:B,C925)=0),
"Bloqueada",
"Desechable")),""
)</f>
        <v/>
      </c>
      <c r="J925" t="str" cm="1">
        <f t="array" aca="1" ref="J925" ca="1">IF(ISNUMBER(A925),IFERROR(_xlfn._xlws.FILTER(Equipar!A:A,(Equipar!B:B=2)*(Equipar!AC:AC=A925)),""),"")</f>
        <v/>
      </c>
    </row>
    <row r="926" spans="1:10" x14ac:dyDescent="0.25">
      <c r="A926" s="1" t="str">
        <f ca="1">IF(A925="ID",1,IF(ISBLANK(B926),"",MAX(A$2:A925)+1))</f>
        <v/>
      </c>
      <c r="I926" s="2" t="str">
        <f ca="1">IF(ISNUMBER(A926),
IF(COUNTIFS(Equipar!B:B,2,Equipar!AC:AC,A926),"Equipada",
IF(
  OR(COUNTIFS(Equipar!B:B,2,Equipar!C:C,A926)
 +COUNTIFS(Equipar!B:B,2,Equipar!D:D,A926)
+COUNTIFS(Equipar!B:B,2,Equipar!E:E,A926)
+COUNTIFS(Equipar!B:B,2,Equipar!F:F,A926)
&gt;0,COUNTIF('Set recomendado'!B:B,C926)=0),
"Bloqueada",
"Desechable")),""
)</f>
        <v/>
      </c>
      <c r="J926" t="str" cm="1">
        <f t="array" aca="1" ref="J926" ca="1">IF(ISNUMBER(A926),IFERROR(_xlfn._xlws.FILTER(Equipar!A:A,(Equipar!B:B=2)*(Equipar!AC:AC=A926)),""),"")</f>
        <v/>
      </c>
    </row>
    <row r="927" spans="1:10" x14ac:dyDescent="0.25">
      <c r="A927" s="1" t="str">
        <f ca="1">IF(A926="ID",1,IF(ISBLANK(B927),"",MAX(A$2:A926)+1))</f>
        <v/>
      </c>
      <c r="I927" s="2" t="str">
        <f ca="1">IF(ISNUMBER(A927),
IF(COUNTIFS(Equipar!B:B,2,Equipar!AC:AC,A927),"Equipada",
IF(
  OR(COUNTIFS(Equipar!B:B,2,Equipar!C:C,A927)
 +COUNTIFS(Equipar!B:B,2,Equipar!D:D,A927)
+COUNTIFS(Equipar!B:B,2,Equipar!E:E,A927)
+COUNTIFS(Equipar!B:B,2,Equipar!F:F,A927)
&gt;0,COUNTIF('Set recomendado'!B:B,C927)=0),
"Bloqueada",
"Desechable")),""
)</f>
        <v/>
      </c>
      <c r="J927" t="str" cm="1">
        <f t="array" aca="1" ref="J927" ca="1">IF(ISNUMBER(A927),IFERROR(_xlfn._xlws.FILTER(Equipar!A:A,(Equipar!B:B=2)*(Equipar!AC:AC=A927)),""),"")</f>
        <v/>
      </c>
    </row>
    <row r="928" spans="1:10" x14ac:dyDescent="0.25">
      <c r="A928" s="1" t="str">
        <f ca="1">IF(A927="ID",1,IF(ISBLANK(B928),"",MAX(A$2:A927)+1))</f>
        <v/>
      </c>
      <c r="I928" s="2" t="str">
        <f ca="1">IF(ISNUMBER(A928),
IF(COUNTIFS(Equipar!B:B,2,Equipar!AC:AC,A928),"Equipada",
IF(
  OR(COUNTIFS(Equipar!B:B,2,Equipar!C:C,A928)
 +COUNTIFS(Equipar!B:B,2,Equipar!D:D,A928)
+COUNTIFS(Equipar!B:B,2,Equipar!E:E,A928)
+COUNTIFS(Equipar!B:B,2,Equipar!F:F,A928)
&gt;0,COUNTIF('Set recomendado'!B:B,C928)=0),
"Bloqueada",
"Desechable")),""
)</f>
        <v/>
      </c>
      <c r="J928" t="str" cm="1">
        <f t="array" aca="1" ref="J928" ca="1">IF(ISNUMBER(A928),IFERROR(_xlfn._xlws.FILTER(Equipar!A:A,(Equipar!B:B=2)*(Equipar!AC:AC=A928)),""),"")</f>
        <v/>
      </c>
    </row>
    <row r="929" spans="1:10" x14ac:dyDescent="0.25">
      <c r="A929" s="1" t="str">
        <f ca="1">IF(A928="ID",1,IF(ISBLANK(B929),"",MAX(A$2:A928)+1))</f>
        <v/>
      </c>
      <c r="I929" s="2" t="str">
        <f ca="1">IF(ISNUMBER(A929),
IF(COUNTIFS(Equipar!B:B,2,Equipar!AC:AC,A929),"Equipada",
IF(
  OR(COUNTIFS(Equipar!B:B,2,Equipar!C:C,A929)
 +COUNTIFS(Equipar!B:B,2,Equipar!D:D,A929)
+COUNTIFS(Equipar!B:B,2,Equipar!E:E,A929)
+COUNTIFS(Equipar!B:B,2,Equipar!F:F,A929)
&gt;0,COUNTIF('Set recomendado'!B:B,C929)=0),
"Bloqueada",
"Desechable")),""
)</f>
        <v/>
      </c>
      <c r="J929" t="str" cm="1">
        <f t="array" aca="1" ref="J929" ca="1">IF(ISNUMBER(A929),IFERROR(_xlfn._xlws.FILTER(Equipar!A:A,(Equipar!B:B=2)*(Equipar!AC:AC=A929)),""),"")</f>
        <v/>
      </c>
    </row>
    <row r="930" spans="1:10" x14ac:dyDescent="0.25">
      <c r="A930" s="1" t="str">
        <f ca="1">IF(A929="ID",1,IF(ISBLANK(B930),"",MAX(A$2:A929)+1))</f>
        <v/>
      </c>
      <c r="I930" s="2" t="str">
        <f ca="1">IF(ISNUMBER(A930),
IF(COUNTIFS(Equipar!B:B,2,Equipar!AC:AC,A930),"Equipada",
IF(
  OR(COUNTIFS(Equipar!B:B,2,Equipar!C:C,A930)
 +COUNTIFS(Equipar!B:B,2,Equipar!D:D,A930)
+COUNTIFS(Equipar!B:B,2,Equipar!E:E,A930)
+COUNTIFS(Equipar!B:B,2,Equipar!F:F,A930)
&gt;0,COUNTIF('Set recomendado'!B:B,C930)=0),
"Bloqueada",
"Desechable")),""
)</f>
        <v/>
      </c>
      <c r="J930" t="str" cm="1">
        <f t="array" aca="1" ref="J930" ca="1">IF(ISNUMBER(A930),IFERROR(_xlfn._xlws.FILTER(Equipar!A:A,(Equipar!B:B=2)*(Equipar!AC:AC=A930)),""),"")</f>
        <v/>
      </c>
    </row>
    <row r="931" spans="1:10" x14ac:dyDescent="0.25">
      <c r="A931" s="1" t="str">
        <f ca="1">IF(A930="ID",1,IF(ISBLANK(B931),"",MAX(A$2:A930)+1))</f>
        <v/>
      </c>
      <c r="I931" s="2" t="str">
        <f ca="1">IF(ISNUMBER(A931),
IF(COUNTIFS(Equipar!B:B,2,Equipar!AC:AC,A931),"Equipada",
IF(
  OR(COUNTIFS(Equipar!B:B,2,Equipar!C:C,A931)
 +COUNTIFS(Equipar!B:B,2,Equipar!D:D,A931)
+COUNTIFS(Equipar!B:B,2,Equipar!E:E,A931)
+COUNTIFS(Equipar!B:B,2,Equipar!F:F,A931)
&gt;0,COUNTIF('Set recomendado'!B:B,C931)=0),
"Bloqueada",
"Desechable")),""
)</f>
        <v/>
      </c>
      <c r="J931" t="str" cm="1">
        <f t="array" aca="1" ref="J931" ca="1">IF(ISNUMBER(A931),IFERROR(_xlfn._xlws.FILTER(Equipar!A:A,(Equipar!B:B=2)*(Equipar!AC:AC=A931)),""),"")</f>
        <v/>
      </c>
    </row>
    <row r="932" spans="1:10" x14ac:dyDescent="0.25">
      <c r="A932" s="1" t="str">
        <f ca="1">IF(A931="ID",1,IF(ISBLANK(B932),"",MAX(A$2:A931)+1))</f>
        <v/>
      </c>
      <c r="I932" s="2" t="str">
        <f ca="1">IF(ISNUMBER(A932),
IF(COUNTIFS(Equipar!B:B,2,Equipar!AC:AC,A932),"Equipada",
IF(
  OR(COUNTIFS(Equipar!B:B,2,Equipar!C:C,A932)
 +COUNTIFS(Equipar!B:B,2,Equipar!D:D,A932)
+COUNTIFS(Equipar!B:B,2,Equipar!E:E,A932)
+COUNTIFS(Equipar!B:B,2,Equipar!F:F,A932)
&gt;0,COUNTIF('Set recomendado'!B:B,C932)=0),
"Bloqueada",
"Desechable")),""
)</f>
        <v/>
      </c>
      <c r="J932" t="str" cm="1">
        <f t="array" aca="1" ref="J932" ca="1">IF(ISNUMBER(A932),IFERROR(_xlfn._xlws.FILTER(Equipar!A:A,(Equipar!B:B=2)*(Equipar!AC:AC=A932)),""),"")</f>
        <v/>
      </c>
    </row>
    <row r="933" spans="1:10" x14ac:dyDescent="0.25">
      <c r="A933" s="1" t="str">
        <f ca="1">IF(A932="ID",1,IF(ISBLANK(B933),"",MAX(A$2:A932)+1))</f>
        <v/>
      </c>
      <c r="I933" s="2" t="str">
        <f ca="1">IF(ISNUMBER(A933),
IF(COUNTIFS(Equipar!B:B,2,Equipar!AC:AC,A933),"Equipada",
IF(
  OR(COUNTIFS(Equipar!B:B,2,Equipar!C:C,A933)
 +COUNTIFS(Equipar!B:B,2,Equipar!D:D,A933)
+COUNTIFS(Equipar!B:B,2,Equipar!E:E,A933)
+COUNTIFS(Equipar!B:B,2,Equipar!F:F,A933)
&gt;0,COUNTIF('Set recomendado'!B:B,C933)=0),
"Bloqueada",
"Desechable")),""
)</f>
        <v/>
      </c>
      <c r="J933" t="str" cm="1">
        <f t="array" aca="1" ref="J933" ca="1">IF(ISNUMBER(A933),IFERROR(_xlfn._xlws.FILTER(Equipar!A:A,(Equipar!B:B=2)*(Equipar!AC:AC=A933)),""),"")</f>
        <v/>
      </c>
    </row>
    <row r="934" spans="1:10" x14ac:dyDescent="0.25">
      <c r="A934" s="1" t="str">
        <f ca="1">IF(A933="ID",1,IF(ISBLANK(B934),"",MAX(A$2:A933)+1))</f>
        <v/>
      </c>
      <c r="I934" s="2" t="str">
        <f ca="1">IF(ISNUMBER(A934),
IF(COUNTIFS(Equipar!B:B,2,Equipar!AC:AC,A934),"Equipada",
IF(
  OR(COUNTIFS(Equipar!B:B,2,Equipar!C:C,A934)
 +COUNTIFS(Equipar!B:B,2,Equipar!D:D,A934)
+COUNTIFS(Equipar!B:B,2,Equipar!E:E,A934)
+COUNTIFS(Equipar!B:B,2,Equipar!F:F,A934)
&gt;0,COUNTIF('Set recomendado'!B:B,C934)=0),
"Bloqueada",
"Desechable")),""
)</f>
        <v/>
      </c>
      <c r="J934" t="str" cm="1">
        <f t="array" aca="1" ref="J934" ca="1">IF(ISNUMBER(A934),IFERROR(_xlfn._xlws.FILTER(Equipar!A:A,(Equipar!B:B=2)*(Equipar!AC:AC=A934)),""),"")</f>
        <v/>
      </c>
    </row>
    <row r="935" spans="1:10" x14ac:dyDescent="0.25">
      <c r="A935" s="1" t="str">
        <f ca="1">IF(A934="ID",1,IF(ISBLANK(B935),"",MAX(A$2:A934)+1))</f>
        <v/>
      </c>
      <c r="I935" s="2" t="str">
        <f ca="1">IF(ISNUMBER(A935),
IF(COUNTIFS(Equipar!B:B,2,Equipar!AC:AC,A935),"Equipada",
IF(
  OR(COUNTIFS(Equipar!B:B,2,Equipar!C:C,A935)
 +COUNTIFS(Equipar!B:B,2,Equipar!D:D,A935)
+COUNTIFS(Equipar!B:B,2,Equipar!E:E,A935)
+COUNTIFS(Equipar!B:B,2,Equipar!F:F,A935)
&gt;0,COUNTIF('Set recomendado'!B:B,C935)=0),
"Bloqueada",
"Desechable")),""
)</f>
        <v/>
      </c>
      <c r="J935" t="str" cm="1">
        <f t="array" aca="1" ref="J935" ca="1">IF(ISNUMBER(A935),IFERROR(_xlfn._xlws.FILTER(Equipar!A:A,(Equipar!B:B=2)*(Equipar!AC:AC=A935)),""),"")</f>
        <v/>
      </c>
    </row>
    <row r="936" spans="1:10" x14ac:dyDescent="0.25">
      <c r="A936" s="1" t="str">
        <f ca="1">IF(A935="ID",1,IF(ISBLANK(B936),"",MAX(A$2:A935)+1))</f>
        <v/>
      </c>
      <c r="I936" s="2" t="str">
        <f ca="1">IF(ISNUMBER(A936),
IF(COUNTIFS(Equipar!B:B,2,Equipar!AC:AC,A936),"Equipada",
IF(
  OR(COUNTIFS(Equipar!B:B,2,Equipar!C:C,A936)
 +COUNTIFS(Equipar!B:B,2,Equipar!D:D,A936)
+COUNTIFS(Equipar!B:B,2,Equipar!E:E,A936)
+COUNTIFS(Equipar!B:B,2,Equipar!F:F,A936)
&gt;0,COUNTIF('Set recomendado'!B:B,C936)=0),
"Bloqueada",
"Desechable")),""
)</f>
        <v/>
      </c>
      <c r="J936" t="str" cm="1">
        <f t="array" aca="1" ref="J936" ca="1">IF(ISNUMBER(A936),IFERROR(_xlfn._xlws.FILTER(Equipar!A:A,(Equipar!B:B=2)*(Equipar!AC:AC=A936)),""),"")</f>
        <v/>
      </c>
    </row>
    <row r="937" spans="1:10" x14ac:dyDescent="0.25">
      <c r="A937" s="1" t="str">
        <f ca="1">IF(A936="ID",1,IF(ISBLANK(B937),"",MAX(A$2:A936)+1))</f>
        <v/>
      </c>
      <c r="I937" s="2" t="str">
        <f ca="1">IF(ISNUMBER(A937),
IF(COUNTIFS(Equipar!B:B,2,Equipar!AC:AC,A937),"Equipada",
IF(
  OR(COUNTIFS(Equipar!B:B,2,Equipar!C:C,A937)
 +COUNTIFS(Equipar!B:B,2,Equipar!D:D,A937)
+COUNTIFS(Equipar!B:B,2,Equipar!E:E,A937)
+COUNTIFS(Equipar!B:B,2,Equipar!F:F,A937)
&gt;0,COUNTIF('Set recomendado'!B:B,C937)=0),
"Bloqueada",
"Desechable")),""
)</f>
        <v/>
      </c>
      <c r="J937" t="str" cm="1">
        <f t="array" aca="1" ref="J937" ca="1">IF(ISNUMBER(A937),IFERROR(_xlfn._xlws.FILTER(Equipar!A:A,(Equipar!B:B=2)*(Equipar!AC:AC=A937)),""),"")</f>
        <v/>
      </c>
    </row>
    <row r="938" spans="1:10" x14ac:dyDescent="0.25">
      <c r="A938" s="1" t="str">
        <f ca="1">IF(A937="ID",1,IF(ISBLANK(B938),"",MAX(A$2:A937)+1))</f>
        <v/>
      </c>
      <c r="I938" s="2" t="str">
        <f ca="1">IF(ISNUMBER(A938),
IF(COUNTIFS(Equipar!B:B,2,Equipar!AC:AC,A938),"Equipada",
IF(
  OR(COUNTIFS(Equipar!B:B,2,Equipar!C:C,A938)
 +COUNTIFS(Equipar!B:B,2,Equipar!D:D,A938)
+COUNTIFS(Equipar!B:B,2,Equipar!E:E,A938)
+COUNTIFS(Equipar!B:B,2,Equipar!F:F,A938)
&gt;0,COUNTIF('Set recomendado'!B:B,C938)=0),
"Bloqueada",
"Desechable")),""
)</f>
        <v/>
      </c>
      <c r="J938" t="str" cm="1">
        <f t="array" aca="1" ref="J938" ca="1">IF(ISNUMBER(A938),IFERROR(_xlfn._xlws.FILTER(Equipar!A:A,(Equipar!B:B=2)*(Equipar!AC:AC=A938)),""),"")</f>
        <v/>
      </c>
    </row>
    <row r="939" spans="1:10" x14ac:dyDescent="0.25">
      <c r="A939" s="1" t="str">
        <f ca="1">IF(A938="ID",1,IF(ISBLANK(B939),"",MAX(A$2:A938)+1))</f>
        <v/>
      </c>
      <c r="I939" s="2" t="str">
        <f ca="1">IF(ISNUMBER(A939),
IF(COUNTIFS(Equipar!B:B,2,Equipar!AC:AC,A939),"Equipada",
IF(
  OR(COUNTIFS(Equipar!B:B,2,Equipar!C:C,A939)
 +COUNTIFS(Equipar!B:B,2,Equipar!D:D,A939)
+COUNTIFS(Equipar!B:B,2,Equipar!E:E,A939)
+COUNTIFS(Equipar!B:B,2,Equipar!F:F,A939)
&gt;0,COUNTIF('Set recomendado'!B:B,C939)=0),
"Bloqueada",
"Desechable")),""
)</f>
        <v/>
      </c>
      <c r="J939" t="str" cm="1">
        <f t="array" aca="1" ref="J939" ca="1">IF(ISNUMBER(A939),IFERROR(_xlfn._xlws.FILTER(Equipar!A:A,(Equipar!B:B=2)*(Equipar!AC:AC=A939)),""),"")</f>
        <v/>
      </c>
    </row>
    <row r="940" spans="1:10" x14ac:dyDescent="0.25">
      <c r="A940" s="1" t="str">
        <f ca="1">IF(A939="ID",1,IF(ISBLANK(B940),"",MAX(A$2:A939)+1))</f>
        <v/>
      </c>
      <c r="I940" s="2" t="str">
        <f ca="1">IF(ISNUMBER(A940),
IF(COUNTIFS(Equipar!B:B,2,Equipar!AC:AC,A940),"Equipada",
IF(
  OR(COUNTIFS(Equipar!B:B,2,Equipar!C:C,A940)
 +COUNTIFS(Equipar!B:B,2,Equipar!D:D,A940)
+COUNTIFS(Equipar!B:B,2,Equipar!E:E,A940)
+COUNTIFS(Equipar!B:B,2,Equipar!F:F,A940)
&gt;0,COUNTIF('Set recomendado'!B:B,C940)=0),
"Bloqueada",
"Desechable")),""
)</f>
        <v/>
      </c>
      <c r="J940" t="str" cm="1">
        <f t="array" aca="1" ref="J940" ca="1">IF(ISNUMBER(A940),IFERROR(_xlfn._xlws.FILTER(Equipar!A:A,(Equipar!B:B=2)*(Equipar!AC:AC=A940)),""),"")</f>
        <v/>
      </c>
    </row>
    <row r="941" spans="1:10" x14ac:dyDescent="0.25">
      <c r="A941" s="1" t="str">
        <f ca="1">IF(A940="ID",1,IF(ISBLANK(B941),"",MAX(A$2:A940)+1))</f>
        <v/>
      </c>
      <c r="I941" s="2" t="str">
        <f ca="1">IF(ISNUMBER(A941),
IF(COUNTIFS(Equipar!B:B,2,Equipar!AC:AC,A941),"Equipada",
IF(
  OR(COUNTIFS(Equipar!B:B,2,Equipar!C:C,A941)
 +COUNTIFS(Equipar!B:B,2,Equipar!D:D,A941)
+COUNTIFS(Equipar!B:B,2,Equipar!E:E,A941)
+COUNTIFS(Equipar!B:B,2,Equipar!F:F,A941)
&gt;0,COUNTIF('Set recomendado'!B:B,C941)=0),
"Bloqueada",
"Desechable")),""
)</f>
        <v/>
      </c>
      <c r="J941" t="str" cm="1">
        <f t="array" aca="1" ref="J941" ca="1">IF(ISNUMBER(A941),IFERROR(_xlfn._xlws.FILTER(Equipar!A:A,(Equipar!B:B=2)*(Equipar!AC:AC=A941)),""),"")</f>
        <v/>
      </c>
    </row>
    <row r="942" spans="1:10" x14ac:dyDescent="0.25">
      <c r="A942" s="1" t="str">
        <f ca="1">IF(A941="ID",1,IF(ISBLANK(B942),"",MAX(A$2:A941)+1))</f>
        <v/>
      </c>
      <c r="I942" s="2" t="str">
        <f ca="1">IF(ISNUMBER(A942),
IF(COUNTIFS(Equipar!B:B,2,Equipar!AC:AC,A942),"Equipada",
IF(
  OR(COUNTIFS(Equipar!B:B,2,Equipar!C:C,A942)
 +COUNTIFS(Equipar!B:B,2,Equipar!D:D,A942)
+COUNTIFS(Equipar!B:B,2,Equipar!E:E,A942)
+COUNTIFS(Equipar!B:B,2,Equipar!F:F,A942)
&gt;0,COUNTIF('Set recomendado'!B:B,C942)=0),
"Bloqueada",
"Desechable")),""
)</f>
        <v/>
      </c>
      <c r="J942" t="str" cm="1">
        <f t="array" aca="1" ref="J942" ca="1">IF(ISNUMBER(A942),IFERROR(_xlfn._xlws.FILTER(Equipar!A:A,(Equipar!B:B=2)*(Equipar!AC:AC=A942)),""),"")</f>
        <v/>
      </c>
    </row>
    <row r="943" spans="1:10" x14ac:dyDescent="0.25">
      <c r="A943" s="1" t="str">
        <f ca="1">IF(A942="ID",1,IF(ISBLANK(B943),"",MAX(A$2:A942)+1))</f>
        <v/>
      </c>
      <c r="I943" s="2" t="str">
        <f ca="1">IF(ISNUMBER(A943),
IF(COUNTIFS(Equipar!B:B,2,Equipar!AC:AC,A943),"Equipada",
IF(
  OR(COUNTIFS(Equipar!B:B,2,Equipar!C:C,A943)
 +COUNTIFS(Equipar!B:B,2,Equipar!D:D,A943)
+COUNTIFS(Equipar!B:B,2,Equipar!E:E,A943)
+COUNTIFS(Equipar!B:B,2,Equipar!F:F,A943)
&gt;0,COUNTIF('Set recomendado'!B:B,C943)=0),
"Bloqueada",
"Desechable")),""
)</f>
        <v/>
      </c>
      <c r="J943" t="str" cm="1">
        <f t="array" aca="1" ref="J943" ca="1">IF(ISNUMBER(A943),IFERROR(_xlfn._xlws.FILTER(Equipar!A:A,(Equipar!B:B=2)*(Equipar!AC:AC=A943)),""),"")</f>
        <v/>
      </c>
    </row>
    <row r="944" spans="1:10" x14ac:dyDescent="0.25">
      <c r="A944" s="1" t="str">
        <f ca="1">IF(A943="ID",1,IF(ISBLANK(B944),"",MAX(A$2:A943)+1))</f>
        <v/>
      </c>
      <c r="I944" s="2" t="str">
        <f ca="1">IF(ISNUMBER(A944),
IF(COUNTIFS(Equipar!B:B,2,Equipar!AC:AC,A944),"Equipada",
IF(
  OR(COUNTIFS(Equipar!B:B,2,Equipar!C:C,A944)
 +COUNTIFS(Equipar!B:B,2,Equipar!D:D,A944)
+COUNTIFS(Equipar!B:B,2,Equipar!E:E,A944)
+COUNTIFS(Equipar!B:B,2,Equipar!F:F,A944)
&gt;0,COUNTIF('Set recomendado'!B:B,C944)=0),
"Bloqueada",
"Desechable")),""
)</f>
        <v/>
      </c>
      <c r="J944" t="str" cm="1">
        <f t="array" aca="1" ref="J944" ca="1">IF(ISNUMBER(A944),IFERROR(_xlfn._xlws.FILTER(Equipar!A:A,(Equipar!B:B=2)*(Equipar!AC:AC=A944)),""),"")</f>
        <v/>
      </c>
    </row>
    <row r="945" spans="1:10" x14ac:dyDescent="0.25">
      <c r="A945" s="1" t="str">
        <f ca="1">IF(A944="ID",1,IF(ISBLANK(B945),"",MAX(A$2:A944)+1))</f>
        <v/>
      </c>
      <c r="I945" s="2" t="str">
        <f ca="1">IF(ISNUMBER(A945),
IF(COUNTIFS(Equipar!B:B,2,Equipar!AC:AC,A945),"Equipada",
IF(
  OR(COUNTIFS(Equipar!B:B,2,Equipar!C:C,A945)
 +COUNTIFS(Equipar!B:B,2,Equipar!D:D,A945)
+COUNTIFS(Equipar!B:B,2,Equipar!E:E,A945)
+COUNTIFS(Equipar!B:B,2,Equipar!F:F,A945)
&gt;0,COUNTIF('Set recomendado'!B:B,C945)=0),
"Bloqueada",
"Desechable")),""
)</f>
        <v/>
      </c>
      <c r="J945" t="str" cm="1">
        <f t="array" aca="1" ref="J945" ca="1">IF(ISNUMBER(A945),IFERROR(_xlfn._xlws.FILTER(Equipar!A:A,(Equipar!B:B=2)*(Equipar!AC:AC=A945)),""),"")</f>
        <v/>
      </c>
    </row>
    <row r="946" spans="1:10" x14ac:dyDescent="0.25">
      <c r="A946" s="1" t="str">
        <f ca="1">IF(A945="ID",1,IF(ISBLANK(B946),"",MAX(A$2:A945)+1))</f>
        <v/>
      </c>
      <c r="I946" s="2" t="str">
        <f ca="1">IF(ISNUMBER(A946),
IF(COUNTIFS(Equipar!B:B,2,Equipar!AC:AC,A946),"Equipada",
IF(
  OR(COUNTIFS(Equipar!B:B,2,Equipar!C:C,A946)
 +COUNTIFS(Equipar!B:B,2,Equipar!D:D,A946)
+COUNTIFS(Equipar!B:B,2,Equipar!E:E,A946)
+COUNTIFS(Equipar!B:B,2,Equipar!F:F,A946)
&gt;0,COUNTIF('Set recomendado'!B:B,C946)=0),
"Bloqueada",
"Desechable")),""
)</f>
        <v/>
      </c>
      <c r="J946" t="str" cm="1">
        <f t="array" aca="1" ref="J946" ca="1">IF(ISNUMBER(A946),IFERROR(_xlfn._xlws.FILTER(Equipar!A:A,(Equipar!B:B=2)*(Equipar!AC:AC=A946)),""),"")</f>
        <v/>
      </c>
    </row>
    <row r="947" spans="1:10" x14ac:dyDescent="0.25">
      <c r="A947" s="1" t="str">
        <f ca="1">IF(A946="ID",1,IF(ISBLANK(B947),"",MAX(A$2:A946)+1))</f>
        <v/>
      </c>
      <c r="I947" s="2" t="str">
        <f ca="1">IF(ISNUMBER(A947),
IF(COUNTIFS(Equipar!B:B,2,Equipar!AC:AC,A947),"Equipada",
IF(
  OR(COUNTIFS(Equipar!B:B,2,Equipar!C:C,A947)
 +COUNTIFS(Equipar!B:B,2,Equipar!D:D,A947)
+COUNTIFS(Equipar!B:B,2,Equipar!E:E,A947)
+COUNTIFS(Equipar!B:B,2,Equipar!F:F,A947)
&gt;0,COUNTIF('Set recomendado'!B:B,C947)=0),
"Bloqueada",
"Desechable")),""
)</f>
        <v/>
      </c>
      <c r="J947" t="str" cm="1">
        <f t="array" aca="1" ref="J947" ca="1">IF(ISNUMBER(A947),IFERROR(_xlfn._xlws.FILTER(Equipar!A:A,(Equipar!B:B=2)*(Equipar!AC:AC=A947)),""),"")</f>
        <v/>
      </c>
    </row>
    <row r="948" spans="1:10" x14ac:dyDescent="0.25">
      <c r="A948" s="1" t="str">
        <f ca="1">IF(A947="ID",1,IF(ISBLANK(B948),"",MAX(A$2:A947)+1))</f>
        <v/>
      </c>
      <c r="I948" s="2" t="str">
        <f ca="1">IF(ISNUMBER(A948),
IF(COUNTIFS(Equipar!B:B,2,Equipar!AC:AC,A948),"Equipada",
IF(
  OR(COUNTIFS(Equipar!B:B,2,Equipar!C:C,A948)
 +COUNTIFS(Equipar!B:B,2,Equipar!D:D,A948)
+COUNTIFS(Equipar!B:B,2,Equipar!E:E,A948)
+COUNTIFS(Equipar!B:B,2,Equipar!F:F,A948)
&gt;0,COUNTIF('Set recomendado'!B:B,C948)=0),
"Bloqueada",
"Desechable")),""
)</f>
        <v/>
      </c>
      <c r="J948" t="str" cm="1">
        <f t="array" aca="1" ref="J948" ca="1">IF(ISNUMBER(A948),IFERROR(_xlfn._xlws.FILTER(Equipar!A:A,(Equipar!B:B=2)*(Equipar!AC:AC=A948)),""),"")</f>
        <v/>
      </c>
    </row>
    <row r="949" spans="1:10" x14ac:dyDescent="0.25">
      <c r="A949" s="1" t="str">
        <f ca="1">IF(A948="ID",1,IF(ISBLANK(B949),"",MAX(A$2:A948)+1))</f>
        <v/>
      </c>
      <c r="I949" s="2" t="str">
        <f ca="1">IF(ISNUMBER(A949),
IF(COUNTIFS(Equipar!B:B,2,Equipar!AC:AC,A949),"Equipada",
IF(
  OR(COUNTIFS(Equipar!B:B,2,Equipar!C:C,A949)
 +COUNTIFS(Equipar!B:B,2,Equipar!D:D,A949)
+COUNTIFS(Equipar!B:B,2,Equipar!E:E,A949)
+COUNTIFS(Equipar!B:B,2,Equipar!F:F,A949)
&gt;0,COUNTIF('Set recomendado'!B:B,C949)=0),
"Bloqueada",
"Desechable")),""
)</f>
        <v/>
      </c>
      <c r="J949" t="str" cm="1">
        <f t="array" aca="1" ref="J949" ca="1">IF(ISNUMBER(A949),IFERROR(_xlfn._xlws.FILTER(Equipar!A:A,(Equipar!B:B=2)*(Equipar!AC:AC=A949)),""),"")</f>
        <v/>
      </c>
    </row>
    <row r="950" spans="1:10" x14ac:dyDescent="0.25">
      <c r="A950" s="1" t="str">
        <f ca="1">IF(A949="ID",1,IF(ISBLANK(B950),"",MAX(A$2:A949)+1))</f>
        <v/>
      </c>
      <c r="I950" s="2" t="str">
        <f ca="1">IF(ISNUMBER(A950),
IF(COUNTIFS(Equipar!B:B,2,Equipar!AC:AC,A950),"Equipada",
IF(
  OR(COUNTIFS(Equipar!B:B,2,Equipar!C:C,A950)
 +COUNTIFS(Equipar!B:B,2,Equipar!D:D,A950)
+COUNTIFS(Equipar!B:B,2,Equipar!E:E,A950)
+COUNTIFS(Equipar!B:B,2,Equipar!F:F,A950)
&gt;0,COUNTIF('Set recomendado'!B:B,C950)=0),
"Bloqueada",
"Desechable")),""
)</f>
        <v/>
      </c>
      <c r="J950" t="str" cm="1">
        <f t="array" aca="1" ref="J950" ca="1">IF(ISNUMBER(A950),IFERROR(_xlfn._xlws.FILTER(Equipar!A:A,(Equipar!B:B=2)*(Equipar!AC:AC=A950)),""),"")</f>
        <v/>
      </c>
    </row>
    <row r="951" spans="1:10" x14ac:dyDescent="0.25">
      <c r="A951" s="1" t="str">
        <f ca="1">IF(A950="ID",1,IF(ISBLANK(B951),"",MAX(A$2:A950)+1))</f>
        <v/>
      </c>
      <c r="I951" s="2" t="str">
        <f ca="1">IF(ISNUMBER(A951),
IF(COUNTIFS(Equipar!B:B,2,Equipar!AC:AC,A951),"Equipada",
IF(
  OR(COUNTIFS(Equipar!B:B,2,Equipar!C:C,A951)
 +COUNTIFS(Equipar!B:B,2,Equipar!D:D,A951)
+COUNTIFS(Equipar!B:B,2,Equipar!E:E,A951)
+COUNTIFS(Equipar!B:B,2,Equipar!F:F,A951)
&gt;0,COUNTIF('Set recomendado'!B:B,C951)=0),
"Bloqueada",
"Desechable")),""
)</f>
        <v/>
      </c>
      <c r="J951" t="str" cm="1">
        <f t="array" aca="1" ref="J951" ca="1">IF(ISNUMBER(A951),IFERROR(_xlfn._xlws.FILTER(Equipar!A:A,(Equipar!B:B=2)*(Equipar!AC:AC=A951)),""),"")</f>
        <v/>
      </c>
    </row>
    <row r="952" spans="1:10" x14ac:dyDescent="0.25">
      <c r="A952" s="1" t="str">
        <f ca="1">IF(A951="ID",1,IF(ISBLANK(B952),"",MAX(A$2:A951)+1))</f>
        <v/>
      </c>
      <c r="I952" s="2" t="str">
        <f ca="1">IF(ISNUMBER(A952),
IF(COUNTIFS(Equipar!B:B,2,Equipar!AC:AC,A952),"Equipada",
IF(
  OR(COUNTIFS(Equipar!B:B,2,Equipar!C:C,A952)
 +COUNTIFS(Equipar!B:B,2,Equipar!D:D,A952)
+COUNTIFS(Equipar!B:B,2,Equipar!E:E,A952)
+COUNTIFS(Equipar!B:B,2,Equipar!F:F,A952)
&gt;0,COUNTIF('Set recomendado'!B:B,C952)=0),
"Bloqueada",
"Desechable")),""
)</f>
        <v/>
      </c>
      <c r="J952" t="str" cm="1">
        <f t="array" aca="1" ref="J952" ca="1">IF(ISNUMBER(A952),IFERROR(_xlfn._xlws.FILTER(Equipar!A:A,(Equipar!B:B=2)*(Equipar!AC:AC=A952)),""),"")</f>
        <v/>
      </c>
    </row>
    <row r="953" spans="1:10" x14ac:dyDescent="0.25">
      <c r="A953" s="1" t="str">
        <f ca="1">IF(A952="ID",1,IF(ISBLANK(B953),"",MAX(A$2:A952)+1))</f>
        <v/>
      </c>
      <c r="I953" s="2" t="str">
        <f ca="1">IF(ISNUMBER(A953),
IF(COUNTIFS(Equipar!B:B,2,Equipar!AC:AC,A953),"Equipada",
IF(
  OR(COUNTIFS(Equipar!B:B,2,Equipar!C:C,A953)
 +COUNTIFS(Equipar!B:B,2,Equipar!D:D,A953)
+COUNTIFS(Equipar!B:B,2,Equipar!E:E,A953)
+COUNTIFS(Equipar!B:B,2,Equipar!F:F,A953)
&gt;0,COUNTIF('Set recomendado'!B:B,C953)=0),
"Bloqueada",
"Desechable")),""
)</f>
        <v/>
      </c>
      <c r="J953" t="str" cm="1">
        <f t="array" aca="1" ref="J953" ca="1">IF(ISNUMBER(A953),IFERROR(_xlfn._xlws.FILTER(Equipar!A:A,(Equipar!B:B=2)*(Equipar!AC:AC=A953)),""),"")</f>
        <v/>
      </c>
    </row>
    <row r="954" spans="1:10" x14ac:dyDescent="0.25">
      <c r="A954" s="1" t="str">
        <f ca="1">IF(A953="ID",1,IF(ISBLANK(B954),"",MAX(A$2:A953)+1))</f>
        <v/>
      </c>
      <c r="I954" s="2" t="str">
        <f ca="1">IF(ISNUMBER(A954),
IF(COUNTIFS(Equipar!B:B,2,Equipar!AC:AC,A954),"Equipada",
IF(
  OR(COUNTIFS(Equipar!B:B,2,Equipar!C:C,A954)
 +COUNTIFS(Equipar!B:B,2,Equipar!D:D,A954)
+COUNTIFS(Equipar!B:B,2,Equipar!E:E,A954)
+COUNTIFS(Equipar!B:B,2,Equipar!F:F,A954)
&gt;0,COUNTIF('Set recomendado'!B:B,C954)=0),
"Bloqueada",
"Desechable")),""
)</f>
        <v/>
      </c>
      <c r="J954" t="str" cm="1">
        <f t="array" aca="1" ref="J954" ca="1">IF(ISNUMBER(A954),IFERROR(_xlfn._xlws.FILTER(Equipar!A:A,(Equipar!B:B=2)*(Equipar!AC:AC=A954)),""),"")</f>
        <v/>
      </c>
    </row>
    <row r="955" spans="1:10" x14ac:dyDescent="0.25">
      <c r="A955" s="1" t="str">
        <f ca="1">IF(A954="ID",1,IF(ISBLANK(B955),"",MAX(A$2:A954)+1))</f>
        <v/>
      </c>
      <c r="I955" s="2" t="str">
        <f ca="1">IF(ISNUMBER(A955),
IF(COUNTIFS(Equipar!B:B,2,Equipar!AC:AC,A955),"Equipada",
IF(
  OR(COUNTIFS(Equipar!B:B,2,Equipar!C:C,A955)
 +COUNTIFS(Equipar!B:B,2,Equipar!D:D,A955)
+COUNTIFS(Equipar!B:B,2,Equipar!E:E,A955)
+COUNTIFS(Equipar!B:B,2,Equipar!F:F,A955)
&gt;0,COUNTIF('Set recomendado'!B:B,C955)=0),
"Bloqueada",
"Desechable")),""
)</f>
        <v/>
      </c>
      <c r="J955" t="str" cm="1">
        <f t="array" aca="1" ref="J955" ca="1">IF(ISNUMBER(A955),IFERROR(_xlfn._xlws.FILTER(Equipar!A:A,(Equipar!B:B=2)*(Equipar!AC:AC=A955)),""),"")</f>
        <v/>
      </c>
    </row>
    <row r="956" spans="1:10" x14ac:dyDescent="0.25">
      <c r="A956" s="1" t="str">
        <f ca="1">IF(A955="ID",1,IF(ISBLANK(B956),"",MAX(A$2:A955)+1))</f>
        <v/>
      </c>
      <c r="I956" s="2" t="str">
        <f ca="1">IF(ISNUMBER(A956),
IF(COUNTIFS(Equipar!B:B,2,Equipar!AC:AC,A956),"Equipada",
IF(
  OR(COUNTIFS(Equipar!B:B,2,Equipar!C:C,A956)
 +COUNTIFS(Equipar!B:B,2,Equipar!D:D,A956)
+COUNTIFS(Equipar!B:B,2,Equipar!E:E,A956)
+COUNTIFS(Equipar!B:B,2,Equipar!F:F,A956)
&gt;0,COUNTIF('Set recomendado'!B:B,C956)=0),
"Bloqueada",
"Desechable")),""
)</f>
        <v/>
      </c>
      <c r="J956" t="str" cm="1">
        <f t="array" aca="1" ref="J956" ca="1">IF(ISNUMBER(A956),IFERROR(_xlfn._xlws.FILTER(Equipar!A:A,(Equipar!B:B=2)*(Equipar!AC:AC=A956)),""),"")</f>
        <v/>
      </c>
    </row>
    <row r="957" spans="1:10" x14ac:dyDescent="0.25">
      <c r="A957" s="1" t="str">
        <f ca="1">IF(A956="ID",1,IF(ISBLANK(B957),"",MAX(A$2:A956)+1))</f>
        <v/>
      </c>
      <c r="I957" s="2" t="str">
        <f ca="1">IF(ISNUMBER(A957),
IF(COUNTIFS(Equipar!B:B,2,Equipar!AC:AC,A957),"Equipada",
IF(
  OR(COUNTIFS(Equipar!B:B,2,Equipar!C:C,A957)
 +COUNTIFS(Equipar!B:B,2,Equipar!D:D,A957)
+COUNTIFS(Equipar!B:B,2,Equipar!E:E,A957)
+COUNTIFS(Equipar!B:B,2,Equipar!F:F,A957)
&gt;0,COUNTIF('Set recomendado'!B:B,C957)=0),
"Bloqueada",
"Desechable")),""
)</f>
        <v/>
      </c>
      <c r="J957" t="str" cm="1">
        <f t="array" aca="1" ref="J957" ca="1">IF(ISNUMBER(A957),IFERROR(_xlfn._xlws.FILTER(Equipar!A:A,(Equipar!B:B=2)*(Equipar!AC:AC=A957)),""),"")</f>
        <v/>
      </c>
    </row>
    <row r="958" spans="1:10" x14ac:dyDescent="0.25">
      <c r="A958" s="1" t="str">
        <f ca="1">IF(A957="ID",1,IF(ISBLANK(B958),"",MAX(A$2:A957)+1))</f>
        <v/>
      </c>
      <c r="I958" s="2" t="str">
        <f ca="1">IF(ISNUMBER(A958),
IF(COUNTIFS(Equipar!B:B,2,Equipar!AC:AC,A958),"Equipada",
IF(
  OR(COUNTIFS(Equipar!B:B,2,Equipar!C:C,A958)
 +COUNTIFS(Equipar!B:B,2,Equipar!D:D,A958)
+COUNTIFS(Equipar!B:B,2,Equipar!E:E,A958)
+COUNTIFS(Equipar!B:B,2,Equipar!F:F,A958)
&gt;0,COUNTIF('Set recomendado'!B:B,C958)=0),
"Bloqueada",
"Desechable")),""
)</f>
        <v/>
      </c>
      <c r="J958" t="str" cm="1">
        <f t="array" aca="1" ref="J958" ca="1">IF(ISNUMBER(A958),IFERROR(_xlfn._xlws.FILTER(Equipar!A:A,(Equipar!B:B=2)*(Equipar!AC:AC=A958)),""),"")</f>
        <v/>
      </c>
    </row>
    <row r="959" spans="1:10" x14ac:dyDescent="0.25">
      <c r="A959" s="1" t="str">
        <f ca="1">IF(A958="ID",1,IF(ISBLANK(B959),"",MAX(A$2:A958)+1))</f>
        <v/>
      </c>
      <c r="I959" s="2" t="str">
        <f ca="1">IF(ISNUMBER(A959),
IF(COUNTIFS(Equipar!B:B,2,Equipar!AC:AC,A959),"Equipada",
IF(
  OR(COUNTIFS(Equipar!B:B,2,Equipar!C:C,A959)
 +COUNTIFS(Equipar!B:B,2,Equipar!D:D,A959)
+COUNTIFS(Equipar!B:B,2,Equipar!E:E,A959)
+COUNTIFS(Equipar!B:B,2,Equipar!F:F,A959)
&gt;0,COUNTIF('Set recomendado'!B:B,C959)=0),
"Bloqueada",
"Desechable")),""
)</f>
        <v/>
      </c>
      <c r="J959" t="str" cm="1">
        <f t="array" aca="1" ref="J959" ca="1">IF(ISNUMBER(A959),IFERROR(_xlfn._xlws.FILTER(Equipar!A:A,(Equipar!B:B=2)*(Equipar!AC:AC=A959)),""),"")</f>
        <v/>
      </c>
    </row>
    <row r="960" spans="1:10" x14ac:dyDescent="0.25">
      <c r="A960" s="1" t="str">
        <f ca="1">IF(A959="ID",1,IF(ISBLANK(B960),"",MAX(A$2:A959)+1))</f>
        <v/>
      </c>
      <c r="I960" s="2" t="str">
        <f ca="1">IF(ISNUMBER(A960),
IF(COUNTIFS(Equipar!B:B,2,Equipar!AC:AC,A960),"Equipada",
IF(
  OR(COUNTIFS(Equipar!B:B,2,Equipar!C:C,A960)
 +COUNTIFS(Equipar!B:B,2,Equipar!D:D,A960)
+COUNTIFS(Equipar!B:B,2,Equipar!E:E,A960)
+COUNTIFS(Equipar!B:B,2,Equipar!F:F,A960)
&gt;0,COUNTIF('Set recomendado'!B:B,C960)=0),
"Bloqueada",
"Desechable")),""
)</f>
        <v/>
      </c>
      <c r="J960" t="str" cm="1">
        <f t="array" aca="1" ref="J960" ca="1">IF(ISNUMBER(A960),IFERROR(_xlfn._xlws.FILTER(Equipar!A:A,(Equipar!B:B=2)*(Equipar!AC:AC=A960)),""),"")</f>
        <v/>
      </c>
    </row>
    <row r="961" spans="1:10" x14ac:dyDescent="0.25">
      <c r="A961" s="1" t="str">
        <f ca="1">IF(A960="ID",1,IF(ISBLANK(B961),"",MAX(A$2:A960)+1))</f>
        <v/>
      </c>
      <c r="I961" s="2" t="str">
        <f ca="1">IF(ISNUMBER(A961),
IF(COUNTIFS(Equipar!B:B,2,Equipar!AC:AC,A961),"Equipada",
IF(
  OR(COUNTIFS(Equipar!B:B,2,Equipar!C:C,A961)
 +COUNTIFS(Equipar!B:B,2,Equipar!D:D,A961)
+COUNTIFS(Equipar!B:B,2,Equipar!E:E,A961)
+COUNTIFS(Equipar!B:B,2,Equipar!F:F,A961)
&gt;0,COUNTIF('Set recomendado'!B:B,C961)=0),
"Bloqueada",
"Desechable")),""
)</f>
        <v/>
      </c>
      <c r="J961" t="str" cm="1">
        <f t="array" aca="1" ref="J961" ca="1">IF(ISNUMBER(A961),IFERROR(_xlfn._xlws.FILTER(Equipar!A:A,(Equipar!B:B=2)*(Equipar!AC:AC=A961)),""),"")</f>
        <v/>
      </c>
    </row>
    <row r="962" spans="1:10" x14ac:dyDescent="0.25">
      <c r="A962" s="1" t="str">
        <f ca="1">IF(A961="ID",1,IF(ISBLANK(B962),"",MAX(A$2:A961)+1))</f>
        <v/>
      </c>
      <c r="I962" s="2" t="str">
        <f ca="1">IF(ISNUMBER(A962),
IF(COUNTIFS(Equipar!B:B,2,Equipar!AC:AC,A962),"Equipada",
IF(
  OR(COUNTIFS(Equipar!B:B,2,Equipar!C:C,A962)
 +COUNTIFS(Equipar!B:B,2,Equipar!D:D,A962)
+COUNTIFS(Equipar!B:B,2,Equipar!E:E,A962)
+COUNTIFS(Equipar!B:B,2,Equipar!F:F,A962)
&gt;0,COUNTIF('Set recomendado'!B:B,C962)=0),
"Bloqueada",
"Desechable")),""
)</f>
        <v/>
      </c>
      <c r="J962" t="str" cm="1">
        <f t="array" aca="1" ref="J962" ca="1">IF(ISNUMBER(A962),IFERROR(_xlfn._xlws.FILTER(Equipar!A:A,(Equipar!B:B=2)*(Equipar!AC:AC=A962)),""),"")</f>
        <v/>
      </c>
    </row>
    <row r="963" spans="1:10" x14ac:dyDescent="0.25">
      <c r="A963" s="1" t="str">
        <f ca="1">IF(A962="ID",1,IF(ISBLANK(B963),"",MAX(A$2:A962)+1))</f>
        <v/>
      </c>
      <c r="I963" s="2" t="str">
        <f ca="1">IF(ISNUMBER(A963),
IF(COUNTIFS(Equipar!B:B,2,Equipar!AC:AC,A963),"Equipada",
IF(
  OR(COUNTIFS(Equipar!B:B,2,Equipar!C:C,A963)
 +COUNTIFS(Equipar!B:B,2,Equipar!D:D,A963)
+COUNTIFS(Equipar!B:B,2,Equipar!E:E,A963)
+COUNTIFS(Equipar!B:B,2,Equipar!F:F,A963)
&gt;0,COUNTIF('Set recomendado'!B:B,C963)=0),
"Bloqueada",
"Desechable")),""
)</f>
        <v/>
      </c>
      <c r="J963" t="str" cm="1">
        <f t="array" aca="1" ref="J963" ca="1">IF(ISNUMBER(A963),IFERROR(_xlfn._xlws.FILTER(Equipar!A:A,(Equipar!B:B=2)*(Equipar!AC:AC=A963)),""),"")</f>
        <v/>
      </c>
    </row>
    <row r="964" spans="1:10" x14ac:dyDescent="0.25">
      <c r="A964" s="1" t="str">
        <f ca="1">IF(A963="ID",1,IF(ISBLANK(B964),"",MAX(A$2:A963)+1))</f>
        <v/>
      </c>
      <c r="I964" s="2" t="str">
        <f ca="1">IF(ISNUMBER(A964),
IF(COUNTIFS(Equipar!B:B,2,Equipar!AC:AC,A964),"Equipada",
IF(
  OR(COUNTIFS(Equipar!B:B,2,Equipar!C:C,A964)
 +COUNTIFS(Equipar!B:B,2,Equipar!D:D,A964)
+COUNTIFS(Equipar!B:B,2,Equipar!E:E,A964)
+COUNTIFS(Equipar!B:B,2,Equipar!F:F,A964)
&gt;0,COUNTIF('Set recomendado'!B:B,C964)=0),
"Bloqueada",
"Desechable")),""
)</f>
        <v/>
      </c>
      <c r="J964" t="str" cm="1">
        <f t="array" aca="1" ref="J964" ca="1">IF(ISNUMBER(A964),IFERROR(_xlfn._xlws.FILTER(Equipar!A:A,(Equipar!B:B=2)*(Equipar!AC:AC=A964)),""),"")</f>
        <v/>
      </c>
    </row>
    <row r="965" spans="1:10" x14ac:dyDescent="0.25">
      <c r="A965" s="1" t="str">
        <f ca="1">IF(A964="ID",1,IF(ISBLANK(B965),"",MAX(A$2:A964)+1))</f>
        <v/>
      </c>
      <c r="I965" s="2" t="str">
        <f ca="1">IF(ISNUMBER(A965),
IF(COUNTIFS(Equipar!B:B,2,Equipar!AC:AC,A965),"Equipada",
IF(
  OR(COUNTIFS(Equipar!B:B,2,Equipar!C:C,A965)
 +COUNTIFS(Equipar!B:B,2,Equipar!D:D,A965)
+COUNTIFS(Equipar!B:B,2,Equipar!E:E,A965)
+COUNTIFS(Equipar!B:B,2,Equipar!F:F,A965)
&gt;0,COUNTIF('Set recomendado'!B:B,C965)=0),
"Bloqueada",
"Desechable")),""
)</f>
        <v/>
      </c>
      <c r="J965" t="str" cm="1">
        <f t="array" aca="1" ref="J965" ca="1">IF(ISNUMBER(A965),IFERROR(_xlfn._xlws.FILTER(Equipar!A:A,(Equipar!B:B=2)*(Equipar!AC:AC=A965)),""),"")</f>
        <v/>
      </c>
    </row>
    <row r="966" spans="1:10" x14ac:dyDescent="0.25">
      <c r="A966" s="1" t="str">
        <f ca="1">IF(A965="ID",1,IF(ISBLANK(B966),"",MAX(A$2:A965)+1))</f>
        <v/>
      </c>
      <c r="I966" s="2" t="str">
        <f ca="1">IF(ISNUMBER(A966),
IF(COUNTIFS(Equipar!B:B,2,Equipar!AC:AC,A966),"Equipada",
IF(
  OR(COUNTIFS(Equipar!B:B,2,Equipar!C:C,A966)
 +COUNTIFS(Equipar!B:B,2,Equipar!D:D,A966)
+COUNTIFS(Equipar!B:B,2,Equipar!E:E,A966)
+COUNTIFS(Equipar!B:B,2,Equipar!F:F,A966)
&gt;0,COUNTIF('Set recomendado'!B:B,C966)=0),
"Bloqueada",
"Desechable")),""
)</f>
        <v/>
      </c>
      <c r="J966" t="str" cm="1">
        <f t="array" aca="1" ref="J966" ca="1">IF(ISNUMBER(A966),IFERROR(_xlfn._xlws.FILTER(Equipar!A:A,(Equipar!B:B=2)*(Equipar!AC:AC=A966)),""),"")</f>
        <v/>
      </c>
    </row>
    <row r="967" spans="1:10" x14ac:dyDescent="0.25">
      <c r="A967" s="1" t="str">
        <f ca="1">IF(A966="ID",1,IF(ISBLANK(B967),"",MAX(A$2:A966)+1))</f>
        <v/>
      </c>
      <c r="I967" s="2" t="str">
        <f ca="1">IF(ISNUMBER(A967),
IF(COUNTIFS(Equipar!B:B,2,Equipar!AC:AC,A967),"Equipada",
IF(
  OR(COUNTIFS(Equipar!B:B,2,Equipar!C:C,A967)
 +COUNTIFS(Equipar!B:B,2,Equipar!D:D,A967)
+COUNTIFS(Equipar!B:B,2,Equipar!E:E,A967)
+COUNTIFS(Equipar!B:B,2,Equipar!F:F,A967)
&gt;0,COUNTIF('Set recomendado'!B:B,C967)=0),
"Bloqueada",
"Desechable")),""
)</f>
        <v/>
      </c>
      <c r="J967" t="str" cm="1">
        <f t="array" aca="1" ref="J967" ca="1">IF(ISNUMBER(A967),IFERROR(_xlfn._xlws.FILTER(Equipar!A:A,(Equipar!B:B=2)*(Equipar!AC:AC=A967)),""),"")</f>
        <v/>
      </c>
    </row>
    <row r="968" spans="1:10" x14ac:dyDescent="0.25">
      <c r="A968" s="1" t="str">
        <f ca="1">IF(A967="ID",1,IF(ISBLANK(B968),"",MAX(A$2:A967)+1))</f>
        <v/>
      </c>
      <c r="I968" s="2" t="str">
        <f ca="1">IF(ISNUMBER(A968),
IF(COUNTIFS(Equipar!B:B,2,Equipar!AC:AC,A968),"Equipada",
IF(
  OR(COUNTIFS(Equipar!B:B,2,Equipar!C:C,A968)
 +COUNTIFS(Equipar!B:B,2,Equipar!D:D,A968)
+COUNTIFS(Equipar!B:B,2,Equipar!E:E,A968)
+COUNTIFS(Equipar!B:B,2,Equipar!F:F,A968)
&gt;0,COUNTIF('Set recomendado'!B:B,C968)=0),
"Bloqueada",
"Desechable")),""
)</f>
        <v/>
      </c>
      <c r="J968" t="str" cm="1">
        <f t="array" aca="1" ref="J968" ca="1">IF(ISNUMBER(A968),IFERROR(_xlfn._xlws.FILTER(Equipar!A:A,(Equipar!B:B=2)*(Equipar!AC:AC=A968)),""),"")</f>
        <v/>
      </c>
    </row>
    <row r="969" spans="1:10" x14ac:dyDescent="0.25">
      <c r="A969" s="1" t="str">
        <f ca="1">IF(A968="ID",1,IF(ISBLANK(B969),"",MAX(A$2:A968)+1))</f>
        <v/>
      </c>
      <c r="I969" s="2" t="str">
        <f ca="1">IF(ISNUMBER(A969),
IF(COUNTIFS(Equipar!B:B,2,Equipar!AC:AC,A969),"Equipada",
IF(
  OR(COUNTIFS(Equipar!B:B,2,Equipar!C:C,A969)
 +COUNTIFS(Equipar!B:B,2,Equipar!D:D,A969)
+COUNTIFS(Equipar!B:B,2,Equipar!E:E,A969)
+COUNTIFS(Equipar!B:B,2,Equipar!F:F,A969)
&gt;0,COUNTIF('Set recomendado'!B:B,C969)=0),
"Bloqueada",
"Desechable")),""
)</f>
        <v/>
      </c>
      <c r="J969" t="str" cm="1">
        <f t="array" aca="1" ref="J969" ca="1">IF(ISNUMBER(A969),IFERROR(_xlfn._xlws.FILTER(Equipar!A:A,(Equipar!B:B=2)*(Equipar!AC:AC=A969)),""),"")</f>
        <v/>
      </c>
    </row>
    <row r="970" spans="1:10" x14ac:dyDescent="0.25">
      <c r="A970" s="1" t="str">
        <f ca="1">IF(A969="ID",1,IF(ISBLANK(B970),"",MAX(A$2:A969)+1))</f>
        <v/>
      </c>
      <c r="I970" s="2" t="str">
        <f ca="1">IF(ISNUMBER(A970),
IF(COUNTIFS(Equipar!B:B,2,Equipar!AC:AC,A970),"Equipada",
IF(
  OR(COUNTIFS(Equipar!B:B,2,Equipar!C:C,A970)
 +COUNTIFS(Equipar!B:B,2,Equipar!D:D,A970)
+COUNTIFS(Equipar!B:B,2,Equipar!E:E,A970)
+COUNTIFS(Equipar!B:B,2,Equipar!F:F,A970)
&gt;0,COUNTIF('Set recomendado'!B:B,C970)=0),
"Bloqueada",
"Desechable")),""
)</f>
        <v/>
      </c>
      <c r="J970" t="str" cm="1">
        <f t="array" aca="1" ref="J970" ca="1">IF(ISNUMBER(A970),IFERROR(_xlfn._xlws.FILTER(Equipar!A:A,(Equipar!B:B=2)*(Equipar!AC:AC=A970)),""),"")</f>
        <v/>
      </c>
    </row>
    <row r="971" spans="1:10" x14ac:dyDescent="0.25">
      <c r="A971" s="1" t="str">
        <f ca="1">IF(A970="ID",1,IF(ISBLANK(B971),"",MAX(A$2:A970)+1))</f>
        <v/>
      </c>
      <c r="I971" s="2" t="str">
        <f ca="1">IF(ISNUMBER(A971),
IF(COUNTIFS(Equipar!B:B,2,Equipar!AC:AC,A971),"Equipada",
IF(
  OR(COUNTIFS(Equipar!B:B,2,Equipar!C:C,A971)
 +COUNTIFS(Equipar!B:B,2,Equipar!D:D,A971)
+COUNTIFS(Equipar!B:B,2,Equipar!E:E,A971)
+COUNTIFS(Equipar!B:B,2,Equipar!F:F,A971)
&gt;0,COUNTIF('Set recomendado'!B:B,C971)=0),
"Bloqueada",
"Desechable")),""
)</f>
        <v/>
      </c>
      <c r="J971" t="str" cm="1">
        <f t="array" aca="1" ref="J971" ca="1">IF(ISNUMBER(A971),IFERROR(_xlfn._xlws.FILTER(Equipar!A:A,(Equipar!B:B=2)*(Equipar!AC:AC=A971)),""),"")</f>
        <v/>
      </c>
    </row>
    <row r="972" spans="1:10" x14ac:dyDescent="0.25">
      <c r="A972" s="1" t="str">
        <f ca="1">IF(A971="ID",1,IF(ISBLANK(B972),"",MAX(A$2:A971)+1))</f>
        <v/>
      </c>
      <c r="I972" s="2" t="str">
        <f ca="1">IF(ISNUMBER(A972),
IF(COUNTIFS(Equipar!B:B,2,Equipar!AC:AC,A972),"Equipada",
IF(
  OR(COUNTIFS(Equipar!B:B,2,Equipar!C:C,A972)
 +COUNTIFS(Equipar!B:B,2,Equipar!D:D,A972)
+COUNTIFS(Equipar!B:B,2,Equipar!E:E,A972)
+COUNTIFS(Equipar!B:B,2,Equipar!F:F,A972)
&gt;0,COUNTIF('Set recomendado'!B:B,C972)=0),
"Bloqueada",
"Desechable")),""
)</f>
        <v/>
      </c>
      <c r="J972" t="str" cm="1">
        <f t="array" aca="1" ref="J972" ca="1">IF(ISNUMBER(A972),IFERROR(_xlfn._xlws.FILTER(Equipar!A:A,(Equipar!B:B=2)*(Equipar!AC:AC=A972)),""),"")</f>
        <v/>
      </c>
    </row>
    <row r="973" spans="1:10" x14ac:dyDescent="0.25">
      <c r="A973" s="1" t="str">
        <f ca="1">IF(A972="ID",1,IF(ISBLANK(B973),"",MAX(A$2:A972)+1))</f>
        <v/>
      </c>
      <c r="I973" s="2" t="str">
        <f ca="1">IF(ISNUMBER(A973),
IF(COUNTIFS(Equipar!B:B,2,Equipar!AC:AC,A973),"Equipada",
IF(
  OR(COUNTIFS(Equipar!B:B,2,Equipar!C:C,A973)
 +COUNTIFS(Equipar!B:B,2,Equipar!D:D,A973)
+COUNTIFS(Equipar!B:B,2,Equipar!E:E,A973)
+COUNTIFS(Equipar!B:B,2,Equipar!F:F,A973)
&gt;0,COUNTIF('Set recomendado'!B:B,C973)=0),
"Bloqueada",
"Desechable")),""
)</f>
        <v/>
      </c>
      <c r="J973" t="str" cm="1">
        <f t="array" aca="1" ref="J973" ca="1">IF(ISNUMBER(A973),IFERROR(_xlfn._xlws.FILTER(Equipar!A:A,(Equipar!B:B=2)*(Equipar!AC:AC=A973)),""),"")</f>
        <v/>
      </c>
    </row>
    <row r="974" spans="1:10" x14ac:dyDescent="0.25">
      <c r="A974" s="1" t="str">
        <f ca="1">IF(A973="ID",1,IF(ISBLANK(B974),"",MAX(A$2:A973)+1))</f>
        <v/>
      </c>
      <c r="I974" s="2" t="str">
        <f ca="1">IF(ISNUMBER(A974),
IF(COUNTIFS(Equipar!B:B,2,Equipar!AC:AC,A974),"Equipada",
IF(
  OR(COUNTIFS(Equipar!B:B,2,Equipar!C:C,A974)
 +COUNTIFS(Equipar!B:B,2,Equipar!D:D,A974)
+COUNTIFS(Equipar!B:B,2,Equipar!E:E,A974)
+COUNTIFS(Equipar!B:B,2,Equipar!F:F,A974)
&gt;0,COUNTIF('Set recomendado'!B:B,C974)=0),
"Bloqueada",
"Desechable")),""
)</f>
        <v/>
      </c>
      <c r="J974" t="str" cm="1">
        <f t="array" aca="1" ref="J974" ca="1">IF(ISNUMBER(A974),IFERROR(_xlfn._xlws.FILTER(Equipar!A:A,(Equipar!B:B=2)*(Equipar!AC:AC=A974)),""),"")</f>
        <v/>
      </c>
    </row>
    <row r="975" spans="1:10" x14ac:dyDescent="0.25">
      <c r="A975" s="1" t="str">
        <f ca="1">IF(A974="ID",1,IF(ISBLANK(B975),"",MAX(A$2:A974)+1))</f>
        <v/>
      </c>
      <c r="I975" s="2" t="str">
        <f ca="1">IF(ISNUMBER(A975),
IF(COUNTIFS(Equipar!B:B,2,Equipar!AC:AC,A975),"Equipada",
IF(
  OR(COUNTIFS(Equipar!B:B,2,Equipar!C:C,A975)
 +COUNTIFS(Equipar!B:B,2,Equipar!D:D,A975)
+COUNTIFS(Equipar!B:B,2,Equipar!E:E,A975)
+COUNTIFS(Equipar!B:B,2,Equipar!F:F,A975)
&gt;0,COUNTIF('Set recomendado'!B:B,C975)=0),
"Bloqueada",
"Desechable")),""
)</f>
        <v/>
      </c>
      <c r="J975" t="str" cm="1">
        <f t="array" aca="1" ref="J975" ca="1">IF(ISNUMBER(A975),IFERROR(_xlfn._xlws.FILTER(Equipar!A:A,(Equipar!B:B=2)*(Equipar!AC:AC=A975)),""),"")</f>
        <v/>
      </c>
    </row>
    <row r="976" spans="1:10" x14ac:dyDescent="0.25">
      <c r="A976" s="1" t="str">
        <f ca="1">IF(A975="ID",1,IF(ISBLANK(B976),"",MAX(A$2:A975)+1))</f>
        <v/>
      </c>
      <c r="I976" s="2" t="str">
        <f ca="1">IF(ISNUMBER(A976),
IF(COUNTIFS(Equipar!B:B,2,Equipar!AC:AC,A976),"Equipada",
IF(
  OR(COUNTIFS(Equipar!B:B,2,Equipar!C:C,A976)
 +COUNTIFS(Equipar!B:B,2,Equipar!D:D,A976)
+COUNTIFS(Equipar!B:B,2,Equipar!E:E,A976)
+COUNTIFS(Equipar!B:B,2,Equipar!F:F,A976)
&gt;0,COUNTIF('Set recomendado'!B:B,C976)=0),
"Bloqueada",
"Desechable")),""
)</f>
        <v/>
      </c>
      <c r="J976" t="str" cm="1">
        <f t="array" aca="1" ref="J976" ca="1">IF(ISNUMBER(A976),IFERROR(_xlfn._xlws.FILTER(Equipar!A:A,(Equipar!B:B=2)*(Equipar!AC:AC=A976)),""),"")</f>
        <v/>
      </c>
    </row>
    <row r="977" spans="1:10" x14ac:dyDescent="0.25">
      <c r="A977" s="1" t="str">
        <f ca="1">IF(A976="ID",1,IF(ISBLANK(B977),"",MAX(A$2:A976)+1))</f>
        <v/>
      </c>
      <c r="I977" s="2" t="str">
        <f ca="1">IF(ISNUMBER(A977),
IF(COUNTIFS(Equipar!B:B,2,Equipar!AC:AC,A977),"Equipada",
IF(
  OR(COUNTIFS(Equipar!B:B,2,Equipar!C:C,A977)
 +COUNTIFS(Equipar!B:B,2,Equipar!D:D,A977)
+COUNTIFS(Equipar!B:B,2,Equipar!E:E,A977)
+COUNTIFS(Equipar!B:B,2,Equipar!F:F,A977)
&gt;0,COUNTIF('Set recomendado'!B:B,C977)=0),
"Bloqueada",
"Desechable")),""
)</f>
        <v/>
      </c>
      <c r="J977" t="str" cm="1">
        <f t="array" aca="1" ref="J977" ca="1">IF(ISNUMBER(A977),IFERROR(_xlfn._xlws.FILTER(Equipar!A:A,(Equipar!B:B=2)*(Equipar!AC:AC=A977)),""),"")</f>
        <v/>
      </c>
    </row>
    <row r="978" spans="1:10" x14ac:dyDescent="0.25">
      <c r="A978" s="1" t="str">
        <f ca="1">IF(A977="ID",1,IF(ISBLANK(B978),"",MAX(A$2:A977)+1))</f>
        <v/>
      </c>
      <c r="I978" s="2" t="str">
        <f ca="1">IF(ISNUMBER(A978),
IF(COUNTIFS(Equipar!B:B,2,Equipar!AC:AC,A978),"Equipada",
IF(
  OR(COUNTIFS(Equipar!B:B,2,Equipar!C:C,A978)
 +COUNTIFS(Equipar!B:B,2,Equipar!D:D,A978)
+COUNTIFS(Equipar!B:B,2,Equipar!E:E,A978)
+COUNTIFS(Equipar!B:B,2,Equipar!F:F,A978)
&gt;0,COUNTIF('Set recomendado'!B:B,C978)=0),
"Bloqueada",
"Desechable")),""
)</f>
        <v/>
      </c>
      <c r="J978" t="str" cm="1">
        <f t="array" aca="1" ref="J978" ca="1">IF(ISNUMBER(A978),IFERROR(_xlfn._xlws.FILTER(Equipar!A:A,(Equipar!B:B=2)*(Equipar!AC:AC=A978)),""),"")</f>
        <v/>
      </c>
    </row>
    <row r="979" spans="1:10" x14ac:dyDescent="0.25">
      <c r="A979" s="1" t="str">
        <f ca="1">IF(A978="ID",1,IF(ISBLANK(B979),"",MAX(A$2:A978)+1))</f>
        <v/>
      </c>
      <c r="I979" s="2" t="str">
        <f ca="1">IF(ISNUMBER(A979),
IF(COUNTIFS(Equipar!B:B,2,Equipar!AC:AC,A979),"Equipada",
IF(
  OR(COUNTIFS(Equipar!B:B,2,Equipar!C:C,A979)
 +COUNTIFS(Equipar!B:B,2,Equipar!D:D,A979)
+COUNTIFS(Equipar!B:B,2,Equipar!E:E,A979)
+COUNTIFS(Equipar!B:B,2,Equipar!F:F,A979)
&gt;0,COUNTIF('Set recomendado'!B:B,C979)=0),
"Bloqueada",
"Desechable")),""
)</f>
        <v/>
      </c>
      <c r="J979" t="str" cm="1">
        <f t="array" aca="1" ref="J979" ca="1">IF(ISNUMBER(A979),IFERROR(_xlfn._xlws.FILTER(Equipar!A:A,(Equipar!B:B=2)*(Equipar!AC:AC=A979)),""),"")</f>
        <v/>
      </c>
    </row>
    <row r="980" spans="1:10" x14ac:dyDescent="0.25">
      <c r="A980" s="1" t="str">
        <f ca="1">IF(A979="ID",1,IF(ISBLANK(B980),"",MAX(A$2:A979)+1))</f>
        <v/>
      </c>
      <c r="I980" s="2" t="str">
        <f ca="1">IF(ISNUMBER(A980),
IF(COUNTIFS(Equipar!B:B,2,Equipar!AC:AC,A980),"Equipada",
IF(
  OR(COUNTIFS(Equipar!B:B,2,Equipar!C:C,A980)
 +COUNTIFS(Equipar!B:B,2,Equipar!D:D,A980)
+COUNTIFS(Equipar!B:B,2,Equipar!E:E,A980)
+COUNTIFS(Equipar!B:B,2,Equipar!F:F,A980)
&gt;0,COUNTIF('Set recomendado'!B:B,C980)=0),
"Bloqueada",
"Desechable")),""
)</f>
        <v/>
      </c>
      <c r="J980" t="str" cm="1">
        <f t="array" aca="1" ref="J980" ca="1">IF(ISNUMBER(A980),IFERROR(_xlfn._xlws.FILTER(Equipar!A:A,(Equipar!B:B=2)*(Equipar!AC:AC=A980)),""),"")</f>
        <v/>
      </c>
    </row>
    <row r="981" spans="1:10" x14ac:dyDescent="0.25">
      <c r="A981" s="1" t="str">
        <f ca="1">IF(A980="ID",1,IF(ISBLANK(B981),"",MAX(A$2:A980)+1))</f>
        <v/>
      </c>
      <c r="I981" s="2" t="str">
        <f ca="1">IF(ISNUMBER(A981),
IF(COUNTIFS(Equipar!B:B,2,Equipar!AC:AC,A981),"Equipada",
IF(
  OR(COUNTIFS(Equipar!B:B,2,Equipar!C:C,A981)
 +COUNTIFS(Equipar!B:B,2,Equipar!D:D,A981)
+COUNTIFS(Equipar!B:B,2,Equipar!E:E,A981)
+COUNTIFS(Equipar!B:B,2,Equipar!F:F,A981)
&gt;0,COUNTIF('Set recomendado'!B:B,C981)=0),
"Bloqueada",
"Desechable")),""
)</f>
        <v/>
      </c>
      <c r="J981" t="str" cm="1">
        <f t="array" aca="1" ref="J981" ca="1">IF(ISNUMBER(A981),IFERROR(_xlfn._xlws.FILTER(Equipar!A:A,(Equipar!B:B=2)*(Equipar!AC:AC=A981)),""),"")</f>
        <v/>
      </c>
    </row>
    <row r="982" spans="1:10" x14ac:dyDescent="0.25">
      <c r="A982" s="1" t="str">
        <f ca="1">IF(A981="ID",1,IF(ISBLANK(B982),"",MAX(A$2:A981)+1))</f>
        <v/>
      </c>
      <c r="I982" s="2" t="str">
        <f ca="1">IF(ISNUMBER(A982),
IF(COUNTIFS(Equipar!B:B,2,Equipar!AC:AC,A982),"Equipada",
IF(
  OR(COUNTIFS(Equipar!B:B,2,Equipar!C:C,A982)
 +COUNTIFS(Equipar!B:B,2,Equipar!D:D,A982)
+COUNTIFS(Equipar!B:B,2,Equipar!E:E,A982)
+COUNTIFS(Equipar!B:B,2,Equipar!F:F,A982)
&gt;0,COUNTIF('Set recomendado'!B:B,C982)=0),
"Bloqueada",
"Desechable")),""
)</f>
        <v/>
      </c>
      <c r="J982" t="str" cm="1">
        <f t="array" aca="1" ref="J982" ca="1">IF(ISNUMBER(A982),IFERROR(_xlfn._xlws.FILTER(Equipar!A:A,(Equipar!B:B=2)*(Equipar!AC:AC=A982)),""),"")</f>
        <v/>
      </c>
    </row>
    <row r="983" spans="1:10" x14ac:dyDescent="0.25">
      <c r="A983" s="1" t="str">
        <f ca="1">IF(A982="ID",1,IF(ISBLANK(B983),"",MAX(A$2:A982)+1))</f>
        <v/>
      </c>
      <c r="I983" s="2" t="str">
        <f ca="1">IF(ISNUMBER(A983),
IF(COUNTIFS(Equipar!B:B,2,Equipar!AC:AC,A983),"Equipada",
IF(
  OR(COUNTIFS(Equipar!B:B,2,Equipar!C:C,A983)
 +COUNTIFS(Equipar!B:B,2,Equipar!D:D,A983)
+COUNTIFS(Equipar!B:B,2,Equipar!E:E,A983)
+COUNTIFS(Equipar!B:B,2,Equipar!F:F,A983)
&gt;0,COUNTIF('Set recomendado'!B:B,C983)=0),
"Bloqueada",
"Desechable")),""
)</f>
        <v/>
      </c>
      <c r="J983" t="str" cm="1">
        <f t="array" aca="1" ref="J983" ca="1">IF(ISNUMBER(A983),IFERROR(_xlfn._xlws.FILTER(Equipar!A:A,(Equipar!B:B=2)*(Equipar!AC:AC=A983)),""),"")</f>
        <v/>
      </c>
    </row>
    <row r="984" spans="1:10" x14ac:dyDescent="0.25">
      <c r="A984" s="1" t="str">
        <f ca="1">IF(A983="ID",1,IF(ISBLANK(B984),"",MAX(A$2:A983)+1))</f>
        <v/>
      </c>
      <c r="I984" s="2" t="str">
        <f ca="1">IF(ISNUMBER(A984),
IF(COUNTIFS(Equipar!B:B,2,Equipar!AC:AC,A984),"Equipada",
IF(
  OR(COUNTIFS(Equipar!B:B,2,Equipar!C:C,A984)
 +COUNTIFS(Equipar!B:B,2,Equipar!D:D,A984)
+COUNTIFS(Equipar!B:B,2,Equipar!E:E,A984)
+COUNTIFS(Equipar!B:B,2,Equipar!F:F,A984)
&gt;0,COUNTIF('Set recomendado'!B:B,C984)=0),
"Bloqueada",
"Desechable")),""
)</f>
        <v/>
      </c>
      <c r="J984" t="str" cm="1">
        <f t="array" aca="1" ref="J984" ca="1">IF(ISNUMBER(A984),IFERROR(_xlfn._xlws.FILTER(Equipar!A:A,(Equipar!B:B=2)*(Equipar!AC:AC=A984)),""),"")</f>
        <v/>
      </c>
    </row>
    <row r="985" spans="1:10" x14ac:dyDescent="0.25">
      <c r="A985" s="1" t="str">
        <f ca="1">IF(A984="ID",1,IF(ISBLANK(B985),"",MAX(A$2:A984)+1))</f>
        <v/>
      </c>
      <c r="I985" s="2" t="str">
        <f ca="1">IF(ISNUMBER(A985),
IF(COUNTIFS(Equipar!B:B,2,Equipar!AC:AC,A985),"Equipada",
IF(
  OR(COUNTIFS(Equipar!B:B,2,Equipar!C:C,A985)
 +COUNTIFS(Equipar!B:B,2,Equipar!D:D,A985)
+COUNTIFS(Equipar!B:B,2,Equipar!E:E,A985)
+COUNTIFS(Equipar!B:B,2,Equipar!F:F,A985)
&gt;0,COUNTIF('Set recomendado'!B:B,C985)=0),
"Bloqueada",
"Desechable")),""
)</f>
        <v/>
      </c>
      <c r="J985" t="str" cm="1">
        <f t="array" aca="1" ref="J985" ca="1">IF(ISNUMBER(A985),IFERROR(_xlfn._xlws.FILTER(Equipar!A:A,(Equipar!B:B=2)*(Equipar!AC:AC=A985)),""),"")</f>
        <v/>
      </c>
    </row>
    <row r="986" spans="1:10" x14ac:dyDescent="0.25">
      <c r="A986" s="1" t="str">
        <f ca="1">IF(A985="ID",1,IF(ISBLANK(B986),"",MAX(A$2:A985)+1))</f>
        <v/>
      </c>
      <c r="I986" s="2" t="str">
        <f ca="1">IF(ISNUMBER(A986),
IF(COUNTIFS(Equipar!B:B,2,Equipar!AC:AC,A986),"Equipada",
IF(
  OR(COUNTIFS(Equipar!B:B,2,Equipar!C:C,A986)
 +COUNTIFS(Equipar!B:B,2,Equipar!D:D,A986)
+COUNTIFS(Equipar!B:B,2,Equipar!E:E,A986)
+COUNTIFS(Equipar!B:B,2,Equipar!F:F,A986)
&gt;0,COUNTIF('Set recomendado'!B:B,C986)=0),
"Bloqueada",
"Desechable")),""
)</f>
        <v/>
      </c>
      <c r="J986" t="str" cm="1">
        <f t="array" aca="1" ref="J986" ca="1">IF(ISNUMBER(A986),IFERROR(_xlfn._xlws.FILTER(Equipar!A:A,(Equipar!B:B=2)*(Equipar!AC:AC=A986)),""),"")</f>
        <v/>
      </c>
    </row>
    <row r="987" spans="1:10" x14ac:dyDescent="0.25">
      <c r="A987" s="1" t="str">
        <f ca="1">IF(A986="ID",1,IF(ISBLANK(B987),"",MAX(A$2:A986)+1))</f>
        <v/>
      </c>
      <c r="I987" s="2" t="str">
        <f ca="1">IF(ISNUMBER(A987),
IF(COUNTIFS(Equipar!B:B,2,Equipar!AC:AC,A987),"Equipada",
IF(
  OR(COUNTIFS(Equipar!B:B,2,Equipar!C:C,A987)
 +COUNTIFS(Equipar!B:B,2,Equipar!D:D,A987)
+COUNTIFS(Equipar!B:B,2,Equipar!E:E,A987)
+COUNTIFS(Equipar!B:B,2,Equipar!F:F,A987)
&gt;0,COUNTIF('Set recomendado'!B:B,C987)=0),
"Bloqueada",
"Desechable")),""
)</f>
        <v/>
      </c>
      <c r="J987" t="str" cm="1">
        <f t="array" aca="1" ref="J987" ca="1">IF(ISNUMBER(A987),IFERROR(_xlfn._xlws.FILTER(Equipar!A:A,(Equipar!B:B=2)*(Equipar!AC:AC=A987)),""),"")</f>
        <v/>
      </c>
    </row>
    <row r="988" spans="1:10" x14ac:dyDescent="0.25">
      <c r="A988" s="1" t="str">
        <f ca="1">IF(A987="ID",1,IF(ISBLANK(B988),"",MAX(A$2:A987)+1))</f>
        <v/>
      </c>
      <c r="I988" s="2" t="str">
        <f ca="1">IF(ISNUMBER(A988),
IF(COUNTIFS(Equipar!B:B,2,Equipar!AC:AC,A988),"Equipada",
IF(
  OR(COUNTIFS(Equipar!B:B,2,Equipar!C:C,A988)
 +COUNTIFS(Equipar!B:B,2,Equipar!D:D,A988)
+COUNTIFS(Equipar!B:B,2,Equipar!E:E,A988)
+COUNTIFS(Equipar!B:B,2,Equipar!F:F,A988)
&gt;0,COUNTIF('Set recomendado'!B:B,C988)=0),
"Bloqueada",
"Desechable")),""
)</f>
        <v/>
      </c>
      <c r="J988" t="str" cm="1">
        <f t="array" aca="1" ref="J988" ca="1">IF(ISNUMBER(A988),IFERROR(_xlfn._xlws.FILTER(Equipar!A:A,(Equipar!B:B=2)*(Equipar!AC:AC=A988)),""),"")</f>
        <v/>
      </c>
    </row>
    <row r="989" spans="1:10" x14ac:dyDescent="0.25">
      <c r="A989" s="1" t="str">
        <f ca="1">IF(A988="ID",1,IF(ISBLANK(B989),"",MAX(A$2:A988)+1))</f>
        <v/>
      </c>
      <c r="I989" s="2" t="str">
        <f ca="1">IF(ISNUMBER(A989),
IF(COUNTIFS(Equipar!B:B,2,Equipar!AC:AC,A989),"Equipada",
IF(
  OR(COUNTIFS(Equipar!B:B,2,Equipar!C:C,A989)
 +COUNTIFS(Equipar!B:B,2,Equipar!D:D,A989)
+COUNTIFS(Equipar!B:B,2,Equipar!E:E,A989)
+COUNTIFS(Equipar!B:B,2,Equipar!F:F,A989)
&gt;0,COUNTIF('Set recomendado'!B:B,C989)=0),
"Bloqueada",
"Desechable")),""
)</f>
        <v/>
      </c>
      <c r="J989" t="str" cm="1">
        <f t="array" aca="1" ref="J989" ca="1">IF(ISNUMBER(A989),IFERROR(_xlfn._xlws.FILTER(Equipar!A:A,(Equipar!B:B=2)*(Equipar!AC:AC=A989)),""),"")</f>
        <v/>
      </c>
    </row>
    <row r="990" spans="1:10" x14ac:dyDescent="0.25">
      <c r="A990" s="1" t="str">
        <f ca="1">IF(A989="ID",1,IF(ISBLANK(B990),"",MAX(A$2:A989)+1))</f>
        <v/>
      </c>
      <c r="I990" s="2" t="str">
        <f ca="1">IF(ISNUMBER(A990),
IF(COUNTIFS(Equipar!B:B,2,Equipar!AC:AC,A990),"Equipada",
IF(
  OR(COUNTIFS(Equipar!B:B,2,Equipar!C:C,A990)
 +COUNTIFS(Equipar!B:B,2,Equipar!D:D,A990)
+COUNTIFS(Equipar!B:B,2,Equipar!E:E,A990)
+COUNTIFS(Equipar!B:B,2,Equipar!F:F,A990)
&gt;0,COUNTIF('Set recomendado'!B:B,C990)=0),
"Bloqueada",
"Desechable")),""
)</f>
        <v/>
      </c>
      <c r="J990" t="str" cm="1">
        <f t="array" aca="1" ref="J990" ca="1">IF(ISNUMBER(A990),IFERROR(_xlfn._xlws.FILTER(Equipar!A:A,(Equipar!B:B=2)*(Equipar!AC:AC=A990)),""),"")</f>
        <v/>
      </c>
    </row>
    <row r="991" spans="1:10" x14ac:dyDescent="0.25">
      <c r="A991" s="1" t="str">
        <f ca="1">IF(A990="ID",1,IF(ISBLANK(B991),"",MAX(A$2:A990)+1))</f>
        <v/>
      </c>
      <c r="I991" s="2" t="str">
        <f ca="1">IF(ISNUMBER(A991),
IF(COUNTIFS(Equipar!B:B,2,Equipar!AC:AC,A991),"Equipada",
IF(
  OR(COUNTIFS(Equipar!B:B,2,Equipar!C:C,A991)
 +COUNTIFS(Equipar!B:B,2,Equipar!D:D,A991)
+COUNTIFS(Equipar!B:B,2,Equipar!E:E,A991)
+COUNTIFS(Equipar!B:B,2,Equipar!F:F,A991)
&gt;0,COUNTIF('Set recomendado'!B:B,C991)=0),
"Bloqueada",
"Desechable")),""
)</f>
        <v/>
      </c>
      <c r="J991" t="str" cm="1">
        <f t="array" aca="1" ref="J991" ca="1">IF(ISNUMBER(A991),IFERROR(_xlfn._xlws.FILTER(Equipar!A:A,(Equipar!B:B=2)*(Equipar!AC:AC=A991)),""),"")</f>
        <v/>
      </c>
    </row>
    <row r="992" spans="1:10" x14ac:dyDescent="0.25">
      <c r="A992" s="1" t="str">
        <f ca="1">IF(A991="ID",1,IF(ISBLANK(B992),"",MAX(A$2:A991)+1))</f>
        <v/>
      </c>
      <c r="I992" s="2" t="str">
        <f ca="1">IF(ISNUMBER(A992),
IF(COUNTIFS(Equipar!B:B,2,Equipar!AC:AC,A992),"Equipada",
IF(
  OR(COUNTIFS(Equipar!B:B,2,Equipar!C:C,A992)
 +COUNTIFS(Equipar!B:B,2,Equipar!D:D,A992)
+COUNTIFS(Equipar!B:B,2,Equipar!E:E,A992)
+COUNTIFS(Equipar!B:B,2,Equipar!F:F,A992)
&gt;0,COUNTIF('Set recomendado'!B:B,C992)=0),
"Bloqueada",
"Desechable")),""
)</f>
        <v/>
      </c>
      <c r="J992" t="str" cm="1">
        <f t="array" aca="1" ref="J992" ca="1">IF(ISNUMBER(A992),IFERROR(_xlfn._xlws.FILTER(Equipar!A:A,(Equipar!B:B=2)*(Equipar!AC:AC=A992)),""),"")</f>
        <v/>
      </c>
    </row>
    <row r="993" spans="1:10" x14ac:dyDescent="0.25">
      <c r="A993" s="1" t="str">
        <f ca="1">IF(A992="ID",1,IF(ISBLANK(B993),"",MAX(A$2:A992)+1))</f>
        <v/>
      </c>
      <c r="I993" s="2" t="str">
        <f ca="1">IF(ISNUMBER(A993),
IF(COUNTIFS(Equipar!B:B,2,Equipar!AC:AC,A993),"Equipada",
IF(
  OR(COUNTIFS(Equipar!B:B,2,Equipar!C:C,A993)
 +COUNTIFS(Equipar!B:B,2,Equipar!D:D,A993)
+COUNTIFS(Equipar!B:B,2,Equipar!E:E,A993)
+COUNTIFS(Equipar!B:B,2,Equipar!F:F,A993)
&gt;0,COUNTIF('Set recomendado'!B:B,C993)=0),
"Bloqueada",
"Desechable")),""
)</f>
        <v/>
      </c>
      <c r="J993" t="str" cm="1">
        <f t="array" aca="1" ref="J993" ca="1">IF(ISNUMBER(A993),IFERROR(_xlfn._xlws.FILTER(Equipar!A:A,(Equipar!B:B=2)*(Equipar!AC:AC=A993)),""),"")</f>
        <v/>
      </c>
    </row>
    <row r="994" spans="1:10" x14ac:dyDescent="0.25">
      <c r="A994" s="1" t="str">
        <f ca="1">IF(A993="ID",1,IF(ISBLANK(B994),"",MAX(A$2:A993)+1))</f>
        <v/>
      </c>
      <c r="I994" s="2" t="str">
        <f ca="1">IF(ISNUMBER(A994),
IF(COUNTIFS(Equipar!B:B,2,Equipar!AC:AC,A994),"Equipada",
IF(
  OR(COUNTIFS(Equipar!B:B,2,Equipar!C:C,A994)
 +COUNTIFS(Equipar!B:B,2,Equipar!D:D,A994)
+COUNTIFS(Equipar!B:B,2,Equipar!E:E,A994)
+COUNTIFS(Equipar!B:B,2,Equipar!F:F,A994)
&gt;0,COUNTIF('Set recomendado'!B:B,C994)=0),
"Bloqueada",
"Desechable")),""
)</f>
        <v/>
      </c>
      <c r="J994" t="str" cm="1">
        <f t="array" aca="1" ref="J994" ca="1">IF(ISNUMBER(A994),IFERROR(_xlfn._xlws.FILTER(Equipar!A:A,(Equipar!B:B=2)*(Equipar!AC:AC=A994)),""),"")</f>
        <v/>
      </c>
    </row>
    <row r="995" spans="1:10" x14ac:dyDescent="0.25">
      <c r="A995" s="1" t="str">
        <f ca="1">IF(A994="ID",1,IF(ISBLANK(B995),"",MAX(A$2:A994)+1))</f>
        <v/>
      </c>
      <c r="I995" s="2" t="str">
        <f ca="1">IF(ISNUMBER(A995),
IF(COUNTIFS(Equipar!B:B,2,Equipar!AC:AC,A995),"Equipada",
IF(
  OR(COUNTIFS(Equipar!B:B,2,Equipar!C:C,A995)
 +COUNTIFS(Equipar!B:B,2,Equipar!D:D,A995)
+COUNTIFS(Equipar!B:B,2,Equipar!E:E,A995)
+COUNTIFS(Equipar!B:B,2,Equipar!F:F,A995)
&gt;0,COUNTIF('Set recomendado'!B:B,C995)=0),
"Bloqueada",
"Desechable")),""
)</f>
        <v/>
      </c>
      <c r="J995" t="str" cm="1">
        <f t="array" aca="1" ref="J995" ca="1">IF(ISNUMBER(A995),IFERROR(_xlfn._xlws.FILTER(Equipar!A:A,(Equipar!B:B=2)*(Equipar!AC:AC=A995)),""),"")</f>
        <v/>
      </c>
    </row>
    <row r="996" spans="1:10" x14ac:dyDescent="0.25">
      <c r="A996" s="1" t="str">
        <f ca="1">IF(A995="ID",1,IF(ISBLANK(B996),"",MAX(A$2:A995)+1))</f>
        <v/>
      </c>
      <c r="I996" s="2" t="str">
        <f ca="1">IF(ISNUMBER(A996),
IF(COUNTIFS(Equipar!B:B,2,Equipar!AC:AC,A996),"Equipada",
IF(
  OR(COUNTIFS(Equipar!B:B,2,Equipar!C:C,A996)
 +COUNTIFS(Equipar!B:B,2,Equipar!D:D,A996)
+COUNTIFS(Equipar!B:B,2,Equipar!E:E,A996)
+COUNTIFS(Equipar!B:B,2,Equipar!F:F,A996)
&gt;0,COUNTIF('Set recomendado'!B:B,C996)=0),
"Bloqueada",
"Desechable")),""
)</f>
        <v/>
      </c>
      <c r="J996" t="str" cm="1">
        <f t="array" aca="1" ref="J996" ca="1">IF(ISNUMBER(A996),IFERROR(_xlfn._xlws.FILTER(Equipar!A:A,(Equipar!B:B=2)*(Equipar!AC:AC=A996)),""),"")</f>
        <v/>
      </c>
    </row>
    <row r="997" spans="1:10" x14ac:dyDescent="0.25">
      <c r="A997" s="1" t="str">
        <f ca="1">IF(A996="ID",1,IF(ISBLANK(B997),"",MAX(A$2:A996)+1))</f>
        <v/>
      </c>
      <c r="I997" s="2" t="str">
        <f ca="1">IF(ISNUMBER(A997),
IF(COUNTIFS(Equipar!B:B,2,Equipar!AC:AC,A997),"Equipada",
IF(
  OR(COUNTIFS(Equipar!B:B,2,Equipar!C:C,A997)
 +COUNTIFS(Equipar!B:B,2,Equipar!D:D,A997)
+COUNTIFS(Equipar!B:B,2,Equipar!E:E,A997)
+COUNTIFS(Equipar!B:B,2,Equipar!F:F,A997)
&gt;0,COUNTIF('Set recomendado'!B:B,C997)=0),
"Bloqueada",
"Desechable")),""
)</f>
        <v/>
      </c>
      <c r="J997" t="str" cm="1">
        <f t="array" aca="1" ref="J997" ca="1">IF(ISNUMBER(A997),IFERROR(_xlfn._xlws.FILTER(Equipar!A:A,(Equipar!B:B=2)*(Equipar!AC:AC=A997)),""),"")</f>
        <v/>
      </c>
    </row>
    <row r="998" spans="1:10" x14ac:dyDescent="0.25">
      <c r="A998" s="1" t="str">
        <f ca="1">IF(A997="ID",1,IF(ISBLANK(B998),"",MAX(A$2:A997)+1))</f>
        <v/>
      </c>
      <c r="I998" s="2" t="str">
        <f ca="1">IF(ISNUMBER(A998),
IF(COUNTIFS(Equipar!B:B,2,Equipar!AC:AC,A998),"Equipada",
IF(
  OR(COUNTIFS(Equipar!B:B,2,Equipar!C:C,A998)
 +COUNTIFS(Equipar!B:B,2,Equipar!D:D,A998)
+COUNTIFS(Equipar!B:B,2,Equipar!E:E,A998)
+COUNTIFS(Equipar!B:B,2,Equipar!F:F,A998)
&gt;0,COUNTIF('Set recomendado'!B:B,C998)=0),
"Bloqueada",
"Desechable")),""
)</f>
        <v/>
      </c>
      <c r="J998" t="str" cm="1">
        <f t="array" aca="1" ref="J998" ca="1">IF(ISNUMBER(A998),IFERROR(_xlfn._xlws.FILTER(Equipar!A:A,(Equipar!B:B=2)*(Equipar!AC:AC=A998)),""),"")</f>
        <v/>
      </c>
    </row>
    <row r="999" spans="1:10" x14ac:dyDescent="0.25">
      <c r="A999" s="1" t="str">
        <f ca="1">IF(A998="ID",1,IF(ISBLANK(B999),"",MAX(A$2:A998)+1))</f>
        <v/>
      </c>
      <c r="I999" s="2" t="str">
        <f ca="1">IF(ISNUMBER(A999),
IF(COUNTIFS(Equipar!B:B,2,Equipar!AC:AC,A999),"Equipada",
IF(
  OR(COUNTIFS(Equipar!B:B,2,Equipar!C:C,A999)
 +COUNTIFS(Equipar!B:B,2,Equipar!D:D,A999)
+COUNTIFS(Equipar!B:B,2,Equipar!E:E,A999)
+COUNTIFS(Equipar!B:B,2,Equipar!F:F,A999)
&gt;0,COUNTIF('Set recomendado'!B:B,C999)=0),
"Bloqueada",
"Desechable")),""
)</f>
        <v/>
      </c>
      <c r="J999" t="str" cm="1">
        <f t="array" aca="1" ref="J999" ca="1">IF(ISNUMBER(A999),IFERROR(_xlfn._xlws.FILTER(Equipar!A:A,(Equipar!B:B=2)*(Equipar!AC:AC=A999)),""),"")</f>
        <v/>
      </c>
    </row>
    <row r="1000" spans="1:10" x14ac:dyDescent="0.25">
      <c r="A1000" s="1" t="str">
        <f ca="1">IF(A999="ID",1,IF(ISBLANK(B1000),"",MAX(A$2:A999)+1))</f>
        <v/>
      </c>
      <c r="I1000" s="2" t="str">
        <f ca="1">IF(ISNUMBER(A1000),
IF(COUNTIFS(Equipar!B:B,2,Equipar!AC:AC,A1000),"Equipada",
IF(
  OR(COUNTIFS(Equipar!B:B,2,Equipar!C:C,A1000)
 +COUNTIFS(Equipar!B:B,2,Equipar!D:D,A1000)
+COUNTIFS(Equipar!B:B,2,Equipar!E:E,A1000)
+COUNTIFS(Equipar!B:B,2,Equipar!F:F,A1000)
&gt;0,COUNTIF('Set recomendado'!B:B,C1000)=0),
"Bloqueada",
"Desechable")),""
)</f>
        <v/>
      </c>
      <c r="J1000" t="str" cm="1">
        <f t="array" aca="1" ref="J1000" ca="1">IF(ISNUMBER(A1000),IFERROR(_xlfn._xlws.FILTER(Equipar!A:A,(Equipar!B:B=2)*(Equipar!AC:AC=A1000)),""),"")</f>
        <v/>
      </c>
    </row>
  </sheetData>
  <autoFilter ref="A1:K174" xr:uid="{31C297C2-9EE7-4F0E-BB25-273194DDAD6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5984-8E11-44DB-A0EC-75CD9486699B}">
  <dimension ref="A1:K1000"/>
  <sheetViews>
    <sheetView workbookViewId="0">
      <selection activeCell="M8" sqref="M8"/>
    </sheetView>
  </sheetViews>
  <sheetFormatPr baseColWidth="10" defaultColWidth="9.140625" defaultRowHeight="15" x14ac:dyDescent="0.25"/>
  <cols>
    <col min="1" max="1" width="5" bestFit="1" customWidth="1"/>
    <col min="2" max="2" width="10.7109375" bestFit="1" customWidth="1"/>
    <col min="3" max="3" width="22.5703125" bestFit="1" customWidth="1"/>
    <col min="4" max="4" width="11.28515625" bestFit="1" customWidth="1"/>
    <col min="5" max="7" width="16.85546875" bestFit="1" customWidth="1"/>
    <col min="8" max="8" width="16.140625" bestFit="1" customWidth="1"/>
    <col min="9" max="9" width="12.42578125" bestFit="1" customWidth="1"/>
    <col min="10" max="10" width="11.28515625" bestFit="1" customWidth="1"/>
    <col min="11" max="11" width="8.28515625" bestFit="1" customWidth="1"/>
  </cols>
  <sheetData>
    <row r="1" spans="1:1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t="s">
        <v>94</v>
      </c>
      <c r="J1" s="1" t="s">
        <v>0</v>
      </c>
      <c r="K1" s="1"/>
    </row>
    <row r="2" spans="1:11" x14ac:dyDescent="0.25">
      <c r="A2" s="1">
        <v>2</v>
      </c>
      <c r="B2" s="1" t="s">
        <v>53</v>
      </c>
      <c r="C2" s="1" t="s">
        <v>5</v>
      </c>
      <c r="D2" s="1" t="s">
        <v>36</v>
      </c>
      <c r="E2" s="1" t="s">
        <v>33</v>
      </c>
      <c r="F2" s="1" t="s">
        <v>36</v>
      </c>
      <c r="G2" s="1" t="s">
        <v>32</v>
      </c>
      <c r="H2" s="1" t="s">
        <v>37</v>
      </c>
      <c r="I2" s="2" t="str">
        <f>IF(ISNUMBER(A2),
IF(COUNTIFS(Equipar!B:B,3,Equipar!AC:AC,A2),"Equipada",
IF(
  OR(COUNTIFS(Equipar!B:B,3,Equipar!C:C,A2)
 +COUNTIFS(Equipar!B:B,3,Equipar!D:D,A2)
+COUNTIFS(Equipar!B:B,3,Equipar!E:E,A2)
+COUNTIFS(Equipar!B:B,3,Equipar!F:F,A2)
&gt;0,COUNTIF('Set recomendado'!B:B,C2)=0),
"Bloqueada",
"Desechable")),""
)</f>
        <v>Equipada</v>
      </c>
      <c r="J2" t="str" cm="1">
        <f t="array" ref="J2">IF(ISNUMBER(A2),IFERROR(_xlfn._xlws.FILTER(Equipar!A:A,(Equipar!B:B=3)*(Equipar!AC:AC=A2)),""),"")</f>
        <v>Hoshiumi</v>
      </c>
    </row>
    <row r="3" spans="1:11" x14ac:dyDescent="0.25">
      <c r="A3" s="1">
        <v>3</v>
      </c>
      <c r="B3" s="1" t="s">
        <v>53</v>
      </c>
      <c r="C3" s="1" t="s">
        <v>4</v>
      </c>
      <c r="D3" s="1" t="s">
        <v>36</v>
      </c>
      <c r="E3" s="1" t="s">
        <v>44</v>
      </c>
      <c r="F3" s="1" t="s">
        <v>41</v>
      </c>
      <c r="G3" s="1" t="s">
        <v>38</v>
      </c>
      <c r="H3" s="1" t="s">
        <v>32</v>
      </c>
      <c r="I3" s="2" t="str">
        <f>IF(ISNUMBER(A3),
IF(COUNTIFS(Equipar!B:B,3,Equipar!AC:AC,A3),"Equipada",
IF(
  OR(COUNTIFS(Equipar!B:B,3,Equipar!C:C,A3)
 +COUNTIFS(Equipar!B:B,3,Equipar!D:D,A3)
+COUNTIFS(Equipar!B:B,3,Equipar!E:E,A3)
+COUNTIFS(Equipar!B:B,3,Equipar!F:F,A3)
&gt;0,COUNTIF('Set recomendado'!B:B,C3)=0),
"Bloqueada",
"Desechable")),""
)</f>
        <v>Equipada</v>
      </c>
      <c r="J3" t="str" cm="1">
        <f t="array" ref="J3">IF(ISNUMBER(A3),IFERROR(_xlfn._xlws.FILTER(Equipar!A:A,(Equipar!B:B=3)*(Equipar!AC:AC=A3)),""),"")</f>
        <v>Sakusa</v>
      </c>
    </row>
    <row r="4" spans="1:11" x14ac:dyDescent="0.25">
      <c r="A4" s="1">
        <v>4</v>
      </c>
      <c r="B4" s="1" t="s">
        <v>53</v>
      </c>
      <c r="C4" s="1" t="s">
        <v>4</v>
      </c>
      <c r="D4" s="1" t="s">
        <v>36</v>
      </c>
      <c r="E4" s="1" t="s">
        <v>35</v>
      </c>
      <c r="F4" s="1" t="s">
        <v>41</v>
      </c>
      <c r="G4" s="1" t="s">
        <v>36</v>
      </c>
      <c r="H4" s="1" t="s">
        <v>42</v>
      </c>
      <c r="I4" s="2" t="str">
        <f>IF(ISNUMBER(A4),
IF(COUNTIFS(Equipar!B:B,3,Equipar!AC:AC,A4),"Equipada",
IF(
  OR(COUNTIFS(Equipar!B:B,3,Equipar!C:C,A4)
 +COUNTIFS(Equipar!B:B,3,Equipar!D:D,A4)
+COUNTIFS(Equipar!B:B,3,Equipar!E:E,A4)
+COUNTIFS(Equipar!B:B,3,Equipar!F:F,A4)
&gt;0,COUNTIF('Set recomendado'!B:B,C4)=0),
"Bloqueada",
"Desechable")),""
)</f>
        <v>Equipada</v>
      </c>
      <c r="J4" t="str" cm="1">
        <f t="array" ref="J4">IF(ISNUMBER(A4),IFERROR(_xlfn._xlws.FILTER(Equipar!A:A,(Equipar!B:B=3)*(Equipar!AC:AC=A4)),""),"")</f>
        <v>Kyotani</v>
      </c>
    </row>
    <row r="5" spans="1:11" x14ac:dyDescent="0.25">
      <c r="A5" s="1">
        <v>6</v>
      </c>
      <c r="B5" s="1" t="s">
        <v>53</v>
      </c>
      <c r="C5" s="1" t="s">
        <v>5</v>
      </c>
      <c r="D5" s="1" t="s">
        <v>36</v>
      </c>
      <c r="E5" s="1" t="s">
        <v>38</v>
      </c>
      <c r="F5" s="1" t="s">
        <v>32</v>
      </c>
      <c r="G5" s="1" t="s">
        <v>38</v>
      </c>
      <c r="H5" s="1" t="s">
        <v>44</v>
      </c>
      <c r="I5" s="2" t="str">
        <f>IF(ISNUMBER(A5),
IF(COUNTIFS(Equipar!B:B,3,Equipar!AC:AC,A5),"Equipada",
IF(
  OR(COUNTIFS(Equipar!B:B,3,Equipar!C:C,A5)
 +COUNTIFS(Equipar!B:B,3,Equipar!D:D,A5)
+COUNTIFS(Equipar!B:B,3,Equipar!E:E,A5)
+COUNTIFS(Equipar!B:B,3,Equipar!F:F,A5)
&gt;0,COUNTIF('Set recomendado'!B:B,C5)=0),
"Bloqueada",
"Desechable")),""
)</f>
        <v>Equipada</v>
      </c>
      <c r="J5" t="str" cm="1">
        <f t="array" ref="J5">IF(ISNUMBER(A5),IFERROR(_xlfn._xlws.FILTER(Equipar!A:A,(Equipar!B:B=3)*(Equipar!AC:AC=A5)),""),"")</f>
        <v>Tanaka</v>
      </c>
    </row>
    <row r="6" spans="1:11" x14ac:dyDescent="0.25">
      <c r="A6" s="1">
        <v>8</v>
      </c>
      <c r="B6" s="1" t="s">
        <v>54</v>
      </c>
      <c r="C6" s="1" t="s">
        <v>4</v>
      </c>
      <c r="D6" s="1" t="s">
        <v>36</v>
      </c>
      <c r="E6" s="1" t="s">
        <v>36</v>
      </c>
      <c r="F6" s="1" t="s">
        <v>34</v>
      </c>
      <c r="G6" s="1" t="s">
        <v>37</v>
      </c>
      <c r="H6" s="1" t="s">
        <v>38</v>
      </c>
      <c r="I6" s="2" t="str">
        <f ca="1">IF(ISNUMBER(A6),
IF(COUNTIFS(Equipar!B:B,3,Equipar!AC:AC,A6),"Equipada",
IF(
  OR(COUNTIFS(Equipar!B:B,3,Equipar!C:C,A6)
 +COUNTIFS(Equipar!B:B,3,Equipar!D:D,A6)
+COUNTIFS(Equipar!B:B,3,Equipar!E:E,A6)
+COUNTIFS(Equipar!B:B,3,Equipar!F:F,A6)
&gt;0,COUNTIF('Set recomendado'!B:B,C6)=0),
"Bloqueada",
"Desechable")),""
)</f>
        <v>Bloqueada</v>
      </c>
      <c r="J6" t="str" cm="1">
        <f t="array" ref="J6">IF(ISNUMBER(A6),IFERROR(_xlfn._xlws.FILTER(Equipar!A:A,(Equipar!B:B=3)*(Equipar!AC:AC=A6)),""),"")</f>
        <v/>
      </c>
    </row>
    <row r="7" spans="1:11" x14ac:dyDescent="0.25">
      <c r="A7" s="1">
        <v>9</v>
      </c>
      <c r="B7" s="1" t="s">
        <v>54</v>
      </c>
      <c r="C7" s="1" t="s">
        <v>5</v>
      </c>
      <c r="D7" s="1" t="s">
        <v>36</v>
      </c>
      <c r="E7" s="1" t="s">
        <v>35</v>
      </c>
      <c r="F7" s="1" t="s">
        <v>32</v>
      </c>
      <c r="G7" s="1" t="s">
        <v>34</v>
      </c>
      <c r="H7" s="1" t="s">
        <v>39</v>
      </c>
      <c r="I7" s="2" t="str">
        <f>IF(ISNUMBER(A7),
IF(COUNTIFS(Equipar!B:B,3,Equipar!AC:AC,A7),"Equipada",
IF(
  OR(COUNTIFS(Equipar!B:B,3,Equipar!C:C,A7)
 +COUNTIFS(Equipar!B:B,3,Equipar!D:D,A7)
+COUNTIFS(Equipar!B:B,3,Equipar!E:E,A7)
+COUNTIFS(Equipar!B:B,3,Equipar!F:F,A7)
&gt;0,COUNTIF('Set recomendado'!B:B,C7)=0),
"Bloqueada",
"Desechable")),""
)</f>
        <v>Equipada</v>
      </c>
      <c r="J7" t="str" cm="1">
        <f t="array" ref="J7">IF(ISNUMBER(A7),IFERROR(_xlfn._xlws.FILTER(Equipar!A:A,(Equipar!B:B=3)*(Equipar!AC:AC=A7)),""),"")</f>
        <v>Yamamoto</v>
      </c>
    </row>
    <row r="8" spans="1:11" x14ac:dyDescent="0.25">
      <c r="A8" s="1">
        <v>18</v>
      </c>
      <c r="B8" s="1" t="s">
        <v>54</v>
      </c>
      <c r="C8" s="1" t="s">
        <v>4</v>
      </c>
      <c r="D8" s="1" t="s">
        <v>36</v>
      </c>
      <c r="E8" s="1" t="s">
        <v>34</v>
      </c>
      <c r="F8" s="1" t="s">
        <v>42</v>
      </c>
      <c r="G8" s="1" t="s">
        <v>32</v>
      </c>
      <c r="H8" s="1"/>
      <c r="I8" s="2" t="str">
        <f ca="1">IF(ISNUMBER(A8),
IF(COUNTIFS(Equipar!B:B,3,Equipar!AC:AC,A8),"Equipada",
IF(
  OR(COUNTIFS(Equipar!B:B,3,Equipar!C:C,A8)
 +COUNTIFS(Equipar!B:B,3,Equipar!D:D,A8)
+COUNTIFS(Equipar!B:B,3,Equipar!E:E,A8)
+COUNTIFS(Equipar!B:B,3,Equipar!F:F,A8)
&gt;0,COUNTIF('Set recomendado'!B:B,C8)=0),
"Bloqueada",
"Desechable")),""
)</f>
        <v>Desechable</v>
      </c>
      <c r="J8" t="str" cm="1">
        <f t="array" ref="J8">IF(ISNUMBER(A8),IFERROR(_xlfn._xlws.FILTER(Equipar!A:A,(Equipar!B:B=3)*(Equipar!AC:AC=A8)),""),"")</f>
        <v/>
      </c>
    </row>
    <row r="9" spans="1:11" x14ac:dyDescent="0.25">
      <c r="A9" s="1">
        <v>37</v>
      </c>
      <c r="B9" t="s">
        <v>53</v>
      </c>
      <c r="C9" t="s">
        <v>9</v>
      </c>
      <c r="D9" t="s">
        <v>36</v>
      </c>
      <c r="E9" t="s">
        <v>41</v>
      </c>
      <c r="F9" t="s">
        <v>39</v>
      </c>
      <c r="G9" t="s">
        <v>36</v>
      </c>
      <c r="H9" t="s">
        <v>41</v>
      </c>
      <c r="I9" s="2" t="str">
        <f>IF(ISNUMBER(A9),
IF(COUNTIFS(Equipar!B:B,3,Equipar!AC:AC,A9),"Equipada",
IF(
  OR(COUNTIFS(Equipar!B:B,3,Equipar!C:C,A9)
 +COUNTIFS(Equipar!B:B,3,Equipar!D:D,A9)
+COUNTIFS(Equipar!B:B,3,Equipar!E:E,A9)
+COUNTIFS(Equipar!B:B,3,Equipar!F:F,A9)
&gt;0,COUNTIF('Set recomendado'!B:B,C9)=0),
"Bloqueada",
"Desechable")),""
)</f>
        <v>Equipada</v>
      </c>
      <c r="J9" t="str" cm="1">
        <f t="array" ref="J9">IF(ISNUMBER(A9),IFERROR(_xlfn._xlws.FILTER(Equipar!A:A,(Equipar!B:B=3)*(Equipar!AC:AC=A9)),""),"")</f>
        <v>Oikawa</v>
      </c>
    </row>
    <row r="10" spans="1:11" x14ac:dyDescent="0.25">
      <c r="A10" s="1">
        <v>38</v>
      </c>
      <c r="B10" t="s">
        <v>53</v>
      </c>
      <c r="C10" t="s">
        <v>10</v>
      </c>
      <c r="D10" t="s">
        <v>36</v>
      </c>
      <c r="E10" t="s">
        <v>32</v>
      </c>
      <c r="F10" t="s">
        <v>36</v>
      </c>
      <c r="G10" t="s">
        <v>38</v>
      </c>
      <c r="I10" s="2" t="str">
        <f ca="1">IF(ISNUMBER(A10),
IF(COUNTIFS(Equipar!B:B,3,Equipar!AC:AC,A10),"Equipada",
IF(
  OR(COUNTIFS(Equipar!B:B,3,Equipar!C:C,A10)
 +COUNTIFS(Equipar!B:B,3,Equipar!D:D,A10)
+COUNTIFS(Equipar!B:B,3,Equipar!E:E,A10)
+COUNTIFS(Equipar!B:B,3,Equipar!F:F,A10)
&gt;0,COUNTIF('Set recomendado'!B:B,C10)=0),
"Bloqueada",
"Desechable")),""
)</f>
        <v>Desechable</v>
      </c>
      <c r="J10" t="str" cm="1">
        <f t="array" ref="J10">IF(ISNUMBER(A10),IFERROR(_xlfn._xlws.FILTER(Equipar!A:A,(Equipar!B:B=3)*(Equipar!AC:AC=A10)),""),"")</f>
        <v/>
      </c>
    </row>
    <row r="11" spans="1:11" x14ac:dyDescent="0.25">
      <c r="A11" s="1">
        <v>47</v>
      </c>
      <c r="B11" t="s">
        <v>54</v>
      </c>
      <c r="C11" t="s">
        <v>9</v>
      </c>
      <c r="D11" t="s">
        <v>36</v>
      </c>
      <c r="E11" t="s">
        <v>36</v>
      </c>
      <c r="F11" t="s">
        <v>43</v>
      </c>
      <c r="G11" t="s">
        <v>41</v>
      </c>
      <c r="I11" s="2" t="str">
        <f ca="1">IF(ISNUMBER(A11),
IF(COUNTIFS(Equipar!B:B,3,Equipar!AC:AC,A11),"Equipada",
IF(
  OR(COUNTIFS(Equipar!B:B,3,Equipar!C:C,A11)
 +COUNTIFS(Equipar!B:B,3,Equipar!D:D,A11)
+COUNTIFS(Equipar!B:B,3,Equipar!E:E,A11)
+COUNTIFS(Equipar!B:B,3,Equipar!F:F,A11)
&gt;0,COUNTIF('Set recomendado'!B:B,C11)=0),
"Bloqueada",
"Desechable")),""
)</f>
        <v>Desechable</v>
      </c>
      <c r="J11" t="str" cm="1">
        <f t="array" ref="J11">IF(ISNUMBER(A11),IFERROR(_xlfn._xlws.FILTER(Equipar!A:A,(Equipar!B:B=3)*(Equipar!AC:AC=A11)),""),"")</f>
        <v/>
      </c>
    </row>
    <row r="12" spans="1:11" x14ac:dyDescent="0.25">
      <c r="A12" s="1">
        <v>67</v>
      </c>
      <c r="B12" t="s">
        <v>54</v>
      </c>
      <c r="C12" t="s">
        <v>10</v>
      </c>
      <c r="D12" t="s">
        <v>36</v>
      </c>
      <c r="E12" t="s">
        <v>36</v>
      </c>
      <c r="F12" t="s">
        <v>41</v>
      </c>
      <c r="G12" t="s">
        <v>43</v>
      </c>
      <c r="I12" s="2" t="str">
        <f ca="1">IF(ISNUMBER(A12),
IF(COUNTIFS(Equipar!B:B,3,Equipar!AC:AC,A12),"Equipada",
IF(
  OR(COUNTIFS(Equipar!B:B,3,Equipar!C:C,A12)
 +COUNTIFS(Equipar!B:B,3,Equipar!D:D,A12)
+COUNTIFS(Equipar!B:B,3,Equipar!E:E,A12)
+COUNTIFS(Equipar!B:B,3,Equipar!F:F,A12)
&gt;0,COUNTIF('Set recomendado'!B:B,C12)=0),
"Bloqueada",
"Desechable")),""
)</f>
        <v>Bloqueada</v>
      </c>
      <c r="J12" t="str" cm="1">
        <f t="array" ref="J12">IF(ISNUMBER(A12),IFERROR(_xlfn._xlws.FILTER(Equipar!A:A,(Equipar!B:B=3)*(Equipar!AC:AC=A12)),""),"")</f>
        <v/>
      </c>
    </row>
    <row r="13" spans="1:11" x14ac:dyDescent="0.25">
      <c r="A13" s="1">
        <v>73</v>
      </c>
      <c r="B13" t="s">
        <v>53</v>
      </c>
      <c r="C13" t="s">
        <v>13</v>
      </c>
      <c r="D13" t="s">
        <v>36</v>
      </c>
      <c r="E13" t="s">
        <v>42</v>
      </c>
      <c r="F13" t="s">
        <v>32</v>
      </c>
      <c r="G13" t="s">
        <v>41</v>
      </c>
      <c r="I13" s="2" t="str">
        <f ca="1">IF(ISNUMBER(A13),
IF(COUNTIFS(Equipar!B:B,3,Equipar!AC:AC,A13),"Equipada",
IF(
  OR(COUNTIFS(Equipar!B:B,3,Equipar!C:C,A13)
 +COUNTIFS(Equipar!B:B,3,Equipar!D:D,A13)
+COUNTIFS(Equipar!B:B,3,Equipar!E:E,A13)
+COUNTIFS(Equipar!B:B,3,Equipar!F:F,A13)
&gt;0,COUNTIF('Set recomendado'!B:B,C13)=0),
"Bloqueada",
"Desechable")),""
)</f>
        <v>Bloqueada</v>
      </c>
      <c r="J13" t="str" cm="1">
        <f t="array" ref="J13">IF(ISNUMBER(A13),IFERROR(_xlfn._xlws.FILTER(Equipar!A:A,(Equipar!B:B=3)*(Equipar!AC:AC=A13)),""),"")</f>
        <v/>
      </c>
    </row>
    <row r="14" spans="1:11" x14ac:dyDescent="0.25">
      <c r="A14" s="1">
        <v>75</v>
      </c>
      <c r="B14" t="s">
        <v>53</v>
      </c>
      <c r="C14" t="s">
        <v>14</v>
      </c>
      <c r="D14" t="s">
        <v>36</v>
      </c>
      <c r="E14" t="s">
        <v>42</v>
      </c>
      <c r="F14" t="s">
        <v>40</v>
      </c>
      <c r="G14" t="s">
        <v>36</v>
      </c>
      <c r="H14" t="s">
        <v>35</v>
      </c>
      <c r="I14" s="2" t="str">
        <f>IF(ISNUMBER(A14),
IF(COUNTIFS(Equipar!B:B,3,Equipar!AC:AC,A14),"Equipada",
IF(
  OR(COUNTIFS(Equipar!B:B,3,Equipar!C:C,A14)
 +COUNTIFS(Equipar!B:B,3,Equipar!D:D,A14)
+COUNTIFS(Equipar!B:B,3,Equipar!E:E,A14)
+COUNTIFS(Equipar!B:B,3,Equipar!F:F,A14)
&gt;0,COUNTIF('Set recomendado'!B:B,C14)=0),
"Bloqueada",
"Desechable")),""
)</f>
        <v>Equipada</v>
      </c>
      <c r="J14" t="str" cm="1">
        <f t="array" ref="J14">IF(ISNUMBER(A14),IFERROR(_xlfn._xlws.FILTER(Equipar!A:A,(Equipar!B:B=3)*(Equipar!AC:AC=A14)),""),"")</f>
        <v>Hinata</v>
      </c>
    </row>
    <row r="15" spans="1:11" x14ac:dyDescent="0.25">
      <c r="A15" s="1">
        <v>76</v>
      </c>
      <c r="B15" t="s">
        <v>53</v>
      </c>
      <c r="C15" t="s">
        <v>14</v>
      </c>
      <c r="D15" t="s">
        <v>36</v>
      </c>
      <c r="E15" t="s">
        <v>42</v>
      </c>
      <c r="F15" t="s">
        <v>44</v>
      </c>
      <c r="G15" t="s">
        <v>43</v>
      </c>
      <c r="I15" s="2" t="str">
        <f>IF(ISNUMBER(A15),
IF(COUNTIFS(Equipar!B:B,3,Equipar!AC:AC,A15),"Equipada",
IF(
  OR(COUNTIFS(Equipar!B:B,3,Equipar!C:C,A15)
 +COUNTIFS(Equipar!B:B,3,Equipar!D:D,A15)
+COUNTIFS(Equipar!B:B,3,Equipar!E:E,A15)
+COUNTIFS(Equipar!B:B,3,Equipar!F:F,A15)
&gt;0,COUNTIF('Set recomendado'!B:B,C15)=0),
"Bloqueada",
"Desechable")),""
)</f>
        <v>Equipada</v>
      </c>
      <c r="J15" t="str" cm="1">
        <f t="array" ref="J15">IF(ISNUMBER(A15),IFERROR(_xlfn._xlws.FILTER(Equipar!A:A,(Equipar!B:B=3)*(Equipar!AC:AC=A15)),""),"")</f>
        <v>Osamu</v>
      </c>
    </row>
    <row r="16" spans="1:11" x14ac:dyDescent="0.25">
      <c r="A16" s="1">
        <v>77</v>
      </c>
      <c r="B16" t="s">
        <v>53</v>
      </c>
      <c r="C16" t="s">
        <v>23</v>
      </c>
      <c r="D16" t="s">
        <v>36</v>
      </c>
      <c r="E16" t="s">
        <v>37</v>
      </c>
      <c r="F16" t="s">
        <v>41</v>
      </c>
      <c r="G16" t="s">
        <v>38</v>
      </c>
      <c r="H16" t="s">
        <v>32</v>
      </c>
      <c r="I16" s="2" t="str">
        <f ca="1">IF(ISNUMBER(A16),
IF(COUNTIFS(Equipar!B:B,3,Equipar!AC:AC,A16),"Equipada",
IF(
  OR(COUNTIFS(Equipar!B:B,3,Equipar!C:C,A16)
 +COUNTIFS(Equipar!B:B,3,Equipar!D:D,A16)
+COUNTIFS(Equipar!B:B,3,Equipar!E:E,A16)
+COUNTIFS(Equipar!B:B,3,Equipar!F:F,A16)
&gt;0,COUNTIF('Set recomendado'!B:B,C16)=0),
"Bloqueada",
"Desechable")),""
)</f>
        <v>Desechable</v>
      </c>
      <c r="J16" t="str" cm="1">
        <f t="array" ref="J16">IF(ISNUMBER(A16),IFERROR(_xlfn._xlws.FILTER(Equipar!A:A,(Equipar!B:B=3)*(Equipar!AC:AC=A16)),""),"")</f>
        <v/>
      </c>
    </row>
    <row r="17" spans="1:10" x14ac:dyDescent="0.25">
      <c r="A17" s="1">
        <v>78</v>
      </c>
      <c r="B17" t="s">
        <v>53</v>
      </c>
      <c r="C17" t="s">
        <v>23</v>
      </c>
      <c r="D17" t="s">
        <v>36</v>
      </c>
      <c r="E17" t="s">
        <v>38</v>
      </c>
      <c r="F17" t="s">
        <v>32</v>
      </c>
      <c r="G17" t="s">
        <v>37</v>
      </c>
      <c r="I17" s="2" t="str">
        <f ca="1">IF(ISNUMBER(A17),
IF(COUNTIFS(Equipar!B:B,3,Equipar!AC:AC,A17),"Equipada",
IF(
  OR(COUNTIFS(Equipar!B:B,3,Equipar!C:C,A17)
 +COUNTIFS(Equipar!B:B,3,Equipar!D:D,A17)
+COUNTIFS(Equipar!B:B,3,Equipar!E:E,A17)
+COUNTIFS(Equipar!B:B,3,Equipar!F:F,A17)
&gt;0,COUNTIF('Set recomendado'!B:B,C17)=0),
"Bloqueada",
"Desechable")),""
)</f>
        <v>Desechable</v>
      </c>
      <c r="J17" t="str" cm="1">
        <f t="array" ref="J17">IF(ISNUMBER(A17),IFERROR(_xlfn._xlws.FILTER(Equipar!A:A,(Equipar!B:B=3)*(Equipar!AC:AC=A17)),""),"")</f>
        <v/>
      </c>
    </row>
    <row r="18" spans="1:10" x14ac:dyDescent="0.25">
      <c r="A18" s="1">
        <v>102</v>
      </c>
      <c r="B18" t="s">
        <v>54</v>
      </c>
      <c r="C18" t="s">
        <v>22</v>
      </c>
      <c r="D18" t="s">
        <v>36</v>
      </c>
      <c r="E18" t="s">
        <v>43</v>
      </c>
      <c r="F18" t="s">
        <v>37</v>
      </c>
      <c r="G18" t="s">
        <v>36</v>
      </c>
      <c r="I18" s="2" t="str">
        <f ca="1">IF(ISNUMBER(A18),
IF(COUNTIFS(Equipar!B:B,3,Equipar!AC:AC,A18),"Equipada",
IF(
  OR(COUNTIFS(Equipar!B:B,3,Equipar!C:C,A18)
 +COUNTIFS(Equipar!B:B,3,Equipar!D:D,A18)
+COUNTIFS(Equipar!B:B,3,Equipar!E:E,A18)
+COUNTIFS(Equipar!B:B,3,Equipar!F:F,A18)
&gt;0,COUNTIF('Set recomendado'!B:B,C18)=0),
"Bloqueada",
"Desechable")),""
)</f>
        <v>Desechable</v>
      </c>
      <c r="J18" t="str" cm="1">
        <f t="array" ref="J18">IF(ISNUMBER(A18),IFERROR(_xlfn._xlws.FILTER(Equipar!A:A,(Equipar!B:B=3)*(Equipar!AC:AC=A18)),""),"")</f>
        <v/>
      </c>
    </row>
    <row r="19" spans="1:10" x14ac:dyDescent="0.25">
      <c r="A19" s="1">
        <v>105</v>
      </c>
      <c r="B19" t="s">
        <v>54</v>
      </c>
      <c r="C19" t="s">
        <v>22</v>
      </c>
      <c r="D19" t="s">
        <v>36</v>
      </c>
      <c r="E19" t="s">
        <v>39</v>
      </c>
      <c r="F19" t="s">
        <v>36</v>
      </c>
      <c r="G19" t="s">
        <v>37</v>
      </c>
      <c r="I19" s="2" t="str">
        <f ca="1">IF(ISNUMBER(A19),
IF(COUNTIFS(Equipar!B:B,3,Equipar!AC:AC,A19),"Equipada",
IF(
  OR(COUNTIFS(Equipar!B:B,3,Equipar!C:C,A19)
 +COUNTIFS(Equipar!B:B,3,Equipar!D:D,A19)
+COUNTIFS(Equipar!B:B,3,Equipar!E:E,A19)
+COUNTIFS(Equipar!B:B,3,Equipar!F:F,A19)
&gt;0,COUNTIF('Set recomendado'!B:B,C19)=0),
"Bloqueada",
"Desechable")),""
)</f>
        <v>Bloqueada</v>
      </c>
      <c r="J19" t="str" cm="1">
        <f t="array" ref="J19">IF(ISNUMBER(A19),IFERROR(_xlfn._xlws.FILTER(Equipar!A:A,(Equipar!B:B=3)*(Equipar!AC:AC=A19)),""),"")</f>
        <v/>
      </c>
    </row>
    <row r="20" spans="1:10" x14ac:dyDescent="0.25">
      <c r="A20" s="1">
        <v>119</v>
      </c>
      <c r="B20" t="s">
        <v>54</v>
      </c>
      <c r="C20" t="s">
        <v>23</v>
      </c>
      <c r="D20" t="s">
        <v>36</v>
      </c>
      <c r="E20" t="s">
        <v>42</v>
      </c>
      <c r="F20" t="s">
        <v>37</v>
      </c>
      <c r="G20" t="s">
        <v>41</v>
      </c>
      <c r="H20" t="s">
        <v>41</v>
      </c>
      <c r="I20" s="2" t="str">
        <f ca="1">IF(ISNUMBER(A20),
IF(COUNTIFS(Equipar!B:B,3,Equipar!AC:AC,A20),"Equipada",
IF(
  OR(COUNTIFS(Equipar!B:B,3,Equipar!C:C,A20)
 +COUNTIFS(Equipar!B:B,3,Equipar!D:D,A20)
+COUNTIFS(Equipar!B:B,3,Equipar!E:E,A20)
+COUNTIFS(Equipar!B:B,3,Equipar!F:F,A20)
&gt;0,COUNTIF('Set recomendado'!B:B,C20)=0),
"Bloqueada",
"Desechable")),""
)</f>
        <v>Desechable</v>
      </c>
      <c r="J20" t="str" cm="1">
        <f t="array" ref="J20">IF(ISNUMBER(A20),IFERROR(_xlfn._xlws.FILTER(Equipar!A:A,(Equipar!B:B=3)*(Equipar!AC:AC=A20)),""),"")</f>
        <v/>
      </c>
    </row>
    <row r="21" spans="1:10" x14ac:dyDescent="0.25">
      <c r="A21" s="1">
        <v>120</v>
      </c>
      <c r="B21" t="s">
        <v>53</v>
      </c>
      <c r="C21" t="s">
        <v>16</v>
      </c>
      <c r="D21" t="s">
        <v>36</v>
      </c>
      <c r="E21" t="s">
        <v>36</v>
      </c>
      <c r="F21" t="s">
        <v>34</v>
      </c>
      <c r="G21" t="s">
        <v>37</v>
      </c>
      <c r="H21" t="s">
        <v>32</v>
      </c>
      <c r="I21" s="2" t="str">
        <f ca="1">IF(ISNUMBER(A21),
IF(COUNTIFS(Equipar!B:B,3,Equipar!AC:AC,A21),"Equipada",
IF(
  OR(COUNTIFS(Equipar!B:B,3,Equipar!C:C,A21)
 +COUNTIFS(Equipar!B:B,3,Equipar!D:D,A21)
+COUNTIFS(Equipar!B:B,3,Equipar!E:E,A21)
+COUNTIFS(Equipar!B:B,3,Equipar!F:F,A21)
&gt;0,COUNTIF('Set recomendado'!B:B,C21)=0),
"Bloqueada",
"Desechable")),""
)</f>
        <v>Desechable</v>
      </c>
      <c r="J21" t="str" cm="1">
        <f t="array" ref="J21">IF(ISNUMBER(A21),IFERROR(_xlfn._xlws.FILTER(Equipar!A:A,(Equipar!B:B=3)*(Equipar!AC:AC=A21)),""),"")</f>
        <v/>
      </c>
    </row>
    <row r="22" spans="1:10" x14ac:dyDescent="0.25">
      <c r="A22" s="1">
        <v>121</v>
      </c>
      <c r="B22" t="s">
        <v>53</v>
      </c>
      <c r="C22" t="s">
        <v>17</v>
      </c>
      <c r="D22" t="s">
        <v>36</v>
      </c>
      <c r="E22" t="s">
        <v>38</v>
      </c>
      <c r="F22" t="s">
        <v>36</v>
      </c>
      <c r="G22" t="s">
        <v>42</v>
      </c>
      <c r="I22" s="2" t="str">
        <f ca="1">IF(ISNUMBER(A22),
IF(COUNTIFS(Equipar!B:B,3,Equipar!AC:AC,A22),"Equipada",
IF(
  OR(COUNTIFS(Equipar!B:B,3,Equipar!C:C,A22)
 +COUNTIFS(Equipar!B:B,3,Equipar!D:D,A22)
+COUNTIFS(Equipar!B:B,3,Equipar!E:E,A22)
+COUNTIFS(Equipar!B:B,3,Equipar!F:F,A22)
&gt;0,COUNTIF('Set recomendado'!B:B,C22)=0),
"Bloqueada",
"Desechable")),""
)</f>
        <v>Desechable</v>
      </c>
      <c r="J22" t="str" cm="1">
        <f t="array" ref="J22">IF(ISNUMBER(A22),IFERROR(_xlfn._xlws.FILTER(Equipar!A:A,(Equipar!B:B=3)*(Equipar!AC:AC=A22)),""),"")</f>
        <v/>
      </c>
    </row>
    <row r="23" spans="1:10" x14ac:dyDescent="0.25">
      <c r="A23" s="1">
        <v>122</v>
      </c>
      <c r="B23" t="s">
        <v>53</v>
      </c>
      <c r="C23" t="s">
        <v>17</v>
      </c>
      <c r="D23" t="s">
        <v>36</v>
      </c>
      <c r="E23" t="s">
        <v>38</v>
      </c>
      <c r="F23" t="s">
        <v>41</v>
      </c>
      <c r="G23" t="s">
        <v>32</v>
      </c>
      <c r="H23" t="s">
        <v>35</v>
      </c>
      <c r="I23" s="2" t="str">
        <f>IF(ISNUMBER(A23),
IF(COUNTIFS(Equipar!B:B,3,Equipar!AC:AC,A23),"Equipada",
IF(
  OR(COUNTIFS(Equipar!B:B,3,Equipar!C:C,A23)
 +COUNTIFS(Equipar!B:B,3,Equipar!D:D,A23)
+COUNTIFS(Equipar!B:B,3,Equipar!E:E,A23)
+COUNTIFS(Equipar!B:B,3,Equipar!F:F,A23)
&gt;0,COUNTIF('Set recomendado'!B:B,C23)=0),
"Bloqueada",
"Desechable")),""
)</f>
        <v>Equipada</v>
      </c>
      <c r="J23" t="str" cm="1">
        <f t="array" ref="J23">IF(ISNUMBER(A23),IFERROR(_xlfn._xlws.FILTER(Equipar!A:A,(Equipar!B:B=3)*(Equipar!AC:AC=A23)),""),"")</f>
        <v>Kita</v>
      </c>
    </row>
    <row r="24" spans="1:10" x14ac:dyDescent="0.25">
      <c r="A24" s="1">
        <v>137</v>
      </c>
      <c r="B24" t="s">
        <v>54</v>
      </c>
      <c r="C24" t="s">
        <v>16</v>
      </c>
      <c r="D24" t="s">
        <v>36</v>
      </c>
      <c r="E24" t="s">
        <v>32</v>
      </c>
      <c r="F24" t="s">
        <v>32</v>
      </c>
      <c r="I24" s="2" t="str">
        <f ca="1">IF(ISNUMBER(A24),
IF(COUNTIFS(Equipar!B:B,3,Equipar!AC:AC,A24),"Equipada",
IF(
  OR(COUNTIFS(Equipar!B:B,3,Equipar!C:C,A24)
 +COUNTIFS(Equipar!B:B,3,Equipar!D:D,A24)
+COUNTIFS(Equipar!B:B,3,Equipar!E:E,A24)
+COUNTIFS(Equipar!B:B,3,Equipar!F:F,A24)
&gt;0,COUNTIF('Set recomendado'!B:B,C24)=0),
"Bloqueada",
"Desechable")),""
)</f>
        <v>Bloqueada</v>
      </c>
      <c r="J24" t="str" cm="1">
        <f t="array" ref="J24">IF(ISNUMBER(A24),IFERROR(_xlfn._xlws.FILTER(Equipar!A:A,(Equipar!B:B=3)*(Equipar!AC:AC=A24)),""),"")</f>
        <v/>
      </c>
    </row>
    <row r="25" spans="1:10" x14ac:dyDescent="0.25">
      <c r="A25" s="1">
        <v>138</v>
      </c>
      <c r="B25" t="s">
        <v>54</v>
      </c>
      <c r="C25" t="s">
        <v>16</v>
      </c>
      <c r="D25" t="s">
        <v>36</v>
      </c>
      <c r="E25" t="s">
        <v>43</v>
      </c>
      <c r="F25" t="s">
        <v>41</v>
      </c>
      <c r="G25" t="s">
        <v>44</v>
      </c>
      <c r="I25" s="2" t="str">
        <f ca="1">IF(ISNUMBER(A25),
IF(COUNTIFS(Equipar!B:B,3,Equipar!AC:AC,A25),"Equipada",
IF(
  OR(COUNTIFS(Equipar!B:B,3,Equipar!C:C,A25)
 +COUNTIFS(Equipar!B:B,3,Equipar!D:D,A25)
+COUNTIFS(Equipar!B:B,3,Equipar!E:E,A25)
+COUNTIFS(Equipar!B:B,3,Equipar!F:F,A25)
&gt;0,COUNTIF('Set recomendado'!B:B,C25)=0),
"Bloqueada",
"Desechable")),""
)</f>
        <v>Bloqueada</v>
      </c>
      <c r="J25" t="str" cm="1">
        <f t="array" ref="J25">IF(ISNUMBER(A25),IFERROR(_xlfn._xlws.FILTER(Equipar!A:A,(Equipar!B:B=3)*(Equipar!AC:AC=A25)),""),"")</f>
        <v/>
      </c>
    </row>
    <row r="26" spans="1:10" x14ac:dyDescent="0.25">
      <c r="A26" s="1">
        <v>152</v>
      </c>
      <c r="B26" t="s">
        <v>54</v>
      </c>
      <c r="C26" t="s">
        <v>17</v>
      </c>
      <c r="D26" t="s">
        <v>36</v>
      </c>
      <c r="E26" t="s">
        <v>43</v>
      </c>
      <c r="F26" t="s">
        <v>37</v>
      </c>
      <c r="G26" t="s">
        <v>40</v>
      </c>
      <c r="I26" s="2" t="str">
        <f ca="1">IF(ISNUMBER(A26),
IF(COUNTIFS(Equipar!B:B,3,Equipar!AC:AC,A26),"Equipada",
IF(
  OR(COUNTIFS(Equipar!B:B,3,Equipar!C:C,A26)
 +COUNTIFS(Equipar!B:B,3,Equipar!D:D,A26)
+COUNTIFS(Equipar!B:B,3,Equipar!E:E,A26)
+COUNTIFS(Equipar!B:B,3,Equipar!F:F,A26)
&gt;0,COUNTIF('Set recomendado'!B:B,C26)=0),
"Bloqueada",
"Desechable")),""
)</f>
        <v>Desechable</v>
      </c>
      <c r="J26" t="str" cm="1">
        <f t="array" ref="J26">IF(ISNUMBER(A26),IFERROR(_xlfn._xlws.FILTER(Equipar!A:A,(Equipar!B:B=3)*(Equipar!AC:AC=A26)),""),"")</f>
        <v/>
      </c>
    </row>
    <row r="27" spans="1:10" x14ac:dyDescent="0.25">
      <c r="A27" s="3">
        <v>160</v>
      </c>
      <c r="B27" s="4" t="s">
        <v>54</v>
      </c>
      <c r="C27" s="4" t="s">
        <v>17</v>
      </c>
      <c r="D27" s="4" t="s">
        <v>36</v>
      </c>
      <c r="E27" s="4" t="s">
        <v>43</v>
      </c>
      <c r="F27" s="4" t="s">
        <v>40</v>
      </c>
      <c r="G27" s="4" t="s">
        <v>38</v>
      </c>
      <c r="H27" s="4"/>
      <c r="I27" s="2" t="str">
        <f>IF(ISNUMBER(A27),
IF(COUNTIFS(Equipar!B:B,3,Equipar!AC:AC,A27),"Equipada",
IF(
  OR(COUNTIFS(Equipar!B:B,3,Equipar!C:C,A27)
 +COUNTIFS(Equipar!B:B,3,Equipar!D:D,A27)
+COUNTIFS(Equipar!B:B,3,Equipar!E:E,A27)
+COUNTIFS(Equipar!B:B,3,Equipar!F:F,A27)
&gt;0,COUNTIF('Set recomendado'!B:B,C27)=0),
"Bloqueada",
"Desechable")),""
)</f>
        <v>Equipada</v>
      </c>
      <c r="J27" t="str" cm="1">
        <f t="array" ref="J27">IF(ISNUMBER(A27),IFERROR(_xlfn._xlws.FILTER(Equipar!A:A,(Equipar!B:B=3)*(Equipar!AC:AC=A27)),""),"")</f>
        <v>Nishinoya</v>
      </c>
    </row>
    <row r="28" spans="1:10" x14ac:dyDescent="0.25">
      <c r="A28" s="3">
        <v>161</v>
      </c>
      <c r="B28" s="4" t="s">
        <v>53</v>
      </c>
      <c r="C28" s="4" t="s">
        <v>13</v>
      </c>
      <c r="D28" s="4" t="s">
        <v>36</v>
      </c>
      <c r="E28" s="4" t="s">
        <v>37</v>
      </c>
      <c r="F28" s="4" t="s">
        <v>38</v>
      </c>
      <c r="G28" s="4" t="s">
        <v>42</v>
      </c>
      <c r="H28" s="4"/>
      <c r="I28" s="2" t="str">
        <f>IF(ISNUMBER(A28),
IF(COUNTIFS(Equipar!B:B,3,Equipar!AC:AC,A28),"Equipada",
IF(
  OR(COUNTIFS(Equipar!B:B,3,Equipar!C:C,A28)
 +COUNTIFS(Equipar!B:B,3,Equipar!D:D,A28)
+COUNTIFS(Equipar!B:B,3,Equipar!E:E,A28)
+COUNTIFS(Equipar!B:B,3,Equipar!F:F,A28)
&gt;0,COUNTIF('Set recomendado'!B:B,C28)=0),
"Bloqueada",
"Desechable")),""
)</f>
        <v>Equipada</v>
      </c>
      <c r="J28" t="str" cm="1">
        <f t="array" ref="J28">IF(ISNUMBER(A28),IFERROR(_xlfn._xlws.FILTER(Equipar!A:A,(Equipar!B:B=3)*(Equipar!AC:AC=A28)),""),"")</f>
        <v>Suna</v>
      </c>
    </row>
    <row r="29" spans="1:10" x14ac:dyDescent="0.25">
      <c r="A29" s="1">
        <v>162</v>
      </c>
      <c r="B29" t="s">
        <v>53</v>
      </c>
      <c r="C29" t="s">
        <v>14</v>
      </c>
      <c r="D29" t="s">
        <v>36</v>
      </c>
      <c r="E29" t="s">
        <v>42</v>
      </c>
      <c r="F29" t="s">
        <v>40</v>
      </c>
      <c r="G29" t="s">
        <v>32</v>
      </c>
      <c r="H29" t="s">
        <v>38</v>
      </c>
      <c r="I29" s="2" t="str">
        <f ca="1">IF(ISNUMBER(A29),
IF(COUNTIFS(Equipar!B:B,3,Equipar!AC:AC,A29),"Equipada",
IF(
  OR(COUNTIFS(Equipar!B:B,3,Equipar!C:C,A29)
 +COUNTIFS(Equipar!B:B,3,Equipar!D:D,A29)
+COUNTIFS(Equipar!B:B,3,Equipar!E:E,A29)
+COUNTIFS(Equipar!B:B,3,Equipar!F:F,A29)
&gt;0,COUNTIF('Set recomendado'!B:B,C29)=0),
"Bloqueada",
"Desechable")),""
)</f>
        <v>Desechable</v>
      </c>
      <c r="J29" t="str" cm="1">
        <f t="array" ref="J29">IF(ISNUMBER(A29),IFERROR(_xlfn._xlws.FILTER(Equipar!A:A,(Equipar!B:B=3)*(Equipar!AC:AC=A29)),""),"")</f>
        <v/>
      </c>
    </row>
    <row r="30" spans="1:10" x14ac:dyDescent="0.25">
      <c r="A30" s="1">
        <v>163</v>
      </c>
      <c r="B30" t="s">
        <v>54</v>
      </c>
      <c r="C30" t="s">
        <v>9</v>
      </c>
      <c r="D30" t="s">
        <v>36</v>
      </c>
      <c r="E30" t="s">
        <v>38</v>
      </c>
      <c r="F30" t="s">
        <v>36</v>
      </c>
      <c r="I30" s="2" t="str">
        <f ca="1">IF(ISNUMBER(A30),
IF(COUNTIFS(Equipar!B:B,3,Equipar!AC:AC,A30),"Equipada",
IF(
  OR(COUNTIFS(Equipar!B:B,3,Equipar!C:C,A30)
 +COUNTIFS(Equipar!B:B,3,Equipar!D:D,A30)
+COUNTIFS(Equipar!B:B,3,Equipar!E:E,A30)
+COUNTIFS(Equipar!B:B,3,Equipar!F:F,A30)
&gt;0,COUNTIF('Set recomendado'!B:B,C30)=0),
"Bloqueada",
"Desechable")),""
)</f>
        <v>Desechable</v>
      </c>
      <c r="J30" t="str" cm="1">
        <f t="array" ref="J30">IF(ISNUMBER(A30),IFERROR(_xlfn._xlws.FILTER(Equipar!A:A,(Equipar!B:B=3)*(Equipar!AC:AC=A30)),""),"")</f>
        <v/>
      </c>
    </row>
    <row r="31" spans="1:10" x14ac:dyDescent="0.25">
      <c r="A31" s="1">
        <v>164</v>
      </c>
      <c r="B31" t="s">
        <v>54</v>
      </c>
      <c r="C31" t="s">
        <v>4</v>
      </c>
      <c r="D31" t="s">
        <v>36</v>
      </c>
      <c r="E31" t="s">
        <v>34</v>
      </c>
      <c r="F31" t="s">
        <v>32</v>
      </c>
      <c r="G31" t="s">
        <v>38</v>
      </c>
      <c r="I31" s="2" t="str">
        <f>IF(ISNUMBER(A31),
IF(COUNTIFS(Equipar!B:B,3,Equipar!AC:AC,A31),"Equipada",
IF(
  OR(COUNTIFS(Equipar!B:B,3,Equipar!C:C,A31)
 +COUNTIFS(Equipar!B:B,3,Equipar!D:D,A31)
+COUNTIFS(Equipar!B:B,3,Equipar!E:E,A31)
+COUNTIFS(Equipar!B:B,3,Equipar!F:F,A31)
&gt;0,COUNTIF('Set recomendado'!B:B,C31)=0),
"Bloqueada",
"Desechable")),""
)</f>
        <v>Equipada</v>
      </c>
      <c r="J31" t="str" cm="1">
        <f t="array" ref="J31">IF(ISNUMBER(A31),IFERROR(_xlfn._xlws.FILTER(Equipar!A:A,(Equipar!B:B=3)*(Equipar!AC:AC=A31)),""),"")</f>
        <v>Iwaizumi</v>
      </c>
    </row>
    <row r="32" spans="1:10" x14ac:dyDescent="0.25">
      <c r="A32" s="1">
        <v>165</v>
      </c>
      <c r="B32" t="s">
        <v>54</v>
      </c>
      <c r="C32" t="s">
        <v>4</v>
      </c>
      <c r="D32" t="s">
        <v>36</v>
      </c>
      <c r="E32" t="s">
        <v>33</v>
      </c>
      <c r="F32" t="s">
        <v>44</v>
      </c>
      <c r="G32" t="s">
        <v>36</v>
      </c>
      <c r="I32" s="2" t="str">
        <f ca="1">IF(ISNUMBER(A32),
IF(COUNTIFS(Equipar!B:B,3,Equipar!AC:AC,A32),"Equipada",
IF(
  OR(COUNTIFS(Equipar!B:B,3,Equipar!C:C,A32)
 +COUNTIFS(Equipar!B:B,3,Equipar!D:D,A32)
+COUNTIFS(Equipar!B:B,3,Equipar!E:E,A32)
+COUNTIFS(Equipar!B:B,3,Equipar!F:F,A32)
&gt;0,COUNTIF('Set recomendado'!B:B,C32)=0),
"Bloqueada",
"Desechable")),""
)</f>
        <v>Desechable</v>
      </c>
      <c r="J32" t="str" cm="1">
        <f t="array" ref="J32">IF(ISNUMBER(A32),IFERROR(_xlfn._xlws.FILTER(Equipar!A:A,(Equipar!B:B=3)*(Equipar!AC:AC=A32)),""),"")</f>
        <v/>
      </c>
    </row>
    <row r="33" spans="1:10" x14ac:dyDescent="0.25">
      <c r="A33" s="1">
        <v>167</v>
      </c>
      <c r="B33" t="s">
        <v>54</v>
      </c>
      <c r="C33" t="s">
        <v>22</v>
      </c>
      <c r="D33" t="s">
        <v>36</v>
      </c>
      <c r="E33" t="s">
        <v>37</v>
      </c>
      <c r="F33" t="s">
        <v>37</v>
      </c>
      <c r="I33" s="2" t="str">
        <f>IF(ISNUMBER(A33),
IF(COUNTIFS(Equipar!B:B,3,Equipar!AC:AC,A33),"Equipada",
IF(
  OR(COUNTIFS(Equipar!B:B,3,Equipar!C:C,A33)
 +COUNTIFS(Equipar!B:B,3,Equipar!D:D,A33)
+COUNTIFS(Equipar!B:B,3,Equipar!E:E,A33)
+COUNTIFS(Equipar!B:B,3,Equipar!F:F,A33)
&gt;0,COUNTIF('Set recomendado'!B:B,C33)=0),
"Bloqueada",
"Desechable")),""
)</f>
        <v>Equipada</v>
      </c>
      <c r="J33" t="str" cm="1">
        <f t="array" ref="J33">IF(ISNUMBER(A33),IFERROR(_xlfn._xlws.FILTER(Equipar!A:A,(Equipar!B:B=3)*(Equipar!AC:AC=A33)),""),"")</f>
        <v>Kuroo</v>
      </c>
    </row>
    <row r="34" spans="1:10" x14ac:dyDescent="0.25">
      <c r="A34" s="1">
        <v>169</v>
      </c>
      <c r="B34" t="s">
        <v>54</v>
      </c>
      <c r="C34" t="s">
        <v>22</v>
      </c>
      <c r="D34" t="s">
        <v>36</v>
      </c>
      <c r="E34" t="s">
        <v>37</v>
      </c>
      <c r="F34" t="s">
        <v>41</v>
      </c>
      <c r="I34" s="2" t="str">
        <f ca="1">IF(ISNUMBER(A34),
IF(COUNTIFS(Equipar!B:B,3,Equipar!AC:AC,A34),"Equipada",
IF(
  OR(COUNTIFS(Equipar!B:B,3,Equipar!C:C,A34)
 +COUNTIFS(Equipar!B:B,3,Equipar!D:D,A34)
+COUNTIFS(Equipar!B:B,3,Equipar!E:E,A34)
+COUNTIFS(Equipar!B:B,3,Equipar!F:F,A34)
&gt;0,COUNTIF('Set recomendado'!B:B,C34)=0),
"Bloqueada",
"Desechable")),""
)</f>
        <v>Desechable</v>
      </c>
      <c r="J34" t="str" cm="1">
        <f t="array" ref="J34">IF(ISNUMBER(A34),IFERROR(_xlfn._xlws.FILTER(Equipar!A:A,(Equipar!B:B=3)*(Equipar!AC:AC=A34)),""),"")</f>
        <v/>
      </c>
    </row>
    <row r="35" spans="1:10" x14ac:dyDescent="0.25">
      <c r="A35" s="1">
        <v>170</v>
      </c>
      <c r="B35" t="s">
        <v>54</v>
      </c>
      <c r="C35" t="s">
        <v>22</v>
      </c>
      <c r="D35" t="s">
        <v>36</v>
      </c>
      <c r="E35" t="s">
        <v>41</v>
      </c>
      <c r="F35" t="s">
        <v>36</v>
      </c>
      <c r="I35" s="2" t="str">
        <f ca="1">IF(ISNUMBER(A35),
IF(COUNTIFS(Equipar!B:B,3,Equipar!AC:AC,A35),"Equipada",
IF(
  OR(COUNTIFS(Equipar!B:B,3,Equipar!C:C,A35)
 +COUNTIFS(Equipar!B:B,3,Equipar!D:D,A35)
+COUNTIFS(Equipar!B:B,3,Equipar!E:E,A35)
+COUNTIFS(Equipar!B:B,3,Equipar!F:F,A35)
&gt;0,COUNTIF('Set recomendado'!B:B,C35)=0),
"Bloqueada",
"Desechable")),""
)</f>
        <v>Desechable</v>
      </c>
      <c r="J35" t="str" cm="1">
        <f t="array" ref="J35">IF(ISNUMBER(A35),IFERROR(_xlfn._xlws.FILTER(Equipar!A:A,(Equipar!B:B=3)*(Equipar!AC:AC=A35)),""),"")</f>
        <v/>
      </c>
    </row>
    <row r="36" spans="1:10" x14ac:dyDescent="0.25">
      <c r="A36" s="1">
        <v>171</v>
      </c>
      <c r="B36" t="s">
        <v>54</v>
      </c>
      <c r="C36" t="s">
        <v>16</v>
      </c>
      <c r="D36" t="s">
        <v>36</v>
      </c>
      <c r="E36" t="s">
        <v>41</v>
      </c>
      <c r="F36" t="s">
        <v>39</v>
      </c>
      <c r="I36" s="2" t="str">
        <f ca="1">IF(ISNUMBER(A36),
IF(COUNTIFS(Equipar!B:B,3,Equipar!AC:AC,A36),"Equipada",
IF(
  OR(COUNTIFS(Equipar!B:B,3,Equipar!C:C,A36)
 +COUNTIFS(Equipar!B:B,3,Equipar!D:D,A36)
+COUNTIFS(Equipar!B:B,3,Equipar!E:E,A36)
+COUNTIFS(Equipar!B:B,3,Equipar!F:F,A36)
&gt;0,COUNTIF('Set recomendado'!B:B,C36)=0),
"Bloqueada",
"Desechable")),""
)</f>
        <v>Desechable</v>
      </c>
      <c r="J36" t="str" cm="1">
        <f t="array" ref="J36">IF(ISNUMBER(A36),IFERROR(_xlfn._xlws.FILTER(Equipar!A:A,(Equipar!B:B=3)*(Equipar!AC:AC=A36)),""),"")</f>
        <v/>
      </c>
    </row>
    <row r="37" spans="1:10" x14ac:dyDescent="0.25">
      <c r="A37" s="1">
        <v>172</v>
      </c>
      <c r="B37" t="s">
        <v>54</v>
      </c>
      <c r="C37" t="s">
        <v>16</v>
      </c>
      <c r="D37" t="s">
        <v>36</v>
      </c>
      <c r="E37" t="s">
        <v>36</v>
      </c>
      <c r="F37" t="s">
        <v>41</v>
      </c>
      <c r="I37" s="2" t="str">
        <f ca="1">IF(ISNUMBER(A37),
IF(COUNTIFS(Equipar!B:B,3,Equipar!AC:AC,A37),"Equipada",
IF(
  OR(COUNTIFS(Equipar!B:B,3,Equipar!C:C,A37)
 +COUNTIFS(Equipar!B:B,3,Equipar!D:D,A37)
+COUNTIFS(Equipar!B:B,3,Equipar!E:E,A37)
+COUNTIFS(Equipar!B:B,3,Equipar!F:F,A37)
&gt;0,COUNTIF('Set recomendado'!B:B,C37)=0),
"Bloqueada",
"Desechable")),""
)</f>
        <v>Desechable</v>
      </c>
      <c r="J37" t="str" cm="1">
        <f t="array" ref="J37">IF(ISNUMBER(A37),IFERROR(_xlfn._xlws.FILTER(Equipar!A:A,(Equipar!B:B=3)*(Equipar!AC:AC=A37)),""),"")</f>
        <v/>
      </c>
    </row>
    <row r="38" spans="1:10" x14ac:dyDescent="0.25">
      <c r="A38" s="1">
        <v>173</v>
      </c>
      <c r="B38" t="s">
        <v>54</v>
      </c>
      <c r="C38" t="s">
        <v>10</v>
      </c>
      <c r="D38" t="s">
        <v>36</v>
      </c>
      <c r="E38" t="s">
        <v>36</v>
      </c>
      <c r="F38" t="s">
        <v>32</v>
      </c>
      <c r="I38" s="2" t="str">
        <f ca="1">IF(ISNUMBER(A38),
IF(COUNTIFS(Equipar!B:B,3,Equipar!AC:AC,A38),"Equipada",
IF(
  OR(COUNTIFS(Equipar!B:B,3,Equipar!C:C,A38)
 +COUNTIFS(Equipar!B:B,3,Equipar!D:D,A38)
+COUNTIFS(Equipar!B:B,3,Equipar!E:E,A38)
+COUNTIFS(Equipar!B:B,3,Equipar!F:F,A38)
&gt;0,COUNTIF('Set recomendado'!B:B,C38)=0),
"Bloqueada",
"Desechable")),""
)</f>
        <v>Desechable</v>
      </c>
      <c r="J38" t="str" cm="1">
        <f t="array" ref="J38">IF(ISNUMBER(A38),IFERROR(_xlfn._xlws.FILTER(Equipar!A:A,(Equipar!B:B=3)*(Equipar!AC:AC=A38)),""),"")</f>
        <v/>
      </c>
    </row>
    <row r="39" spans="1:10" x14ac:dyDescent="0.25">
      <c r="A39" s="1">
        <v>174</v>
      </c>
      <c r="B39" t="s">
        <v>54</v>
      </c>
      <c r="C39" t="s">
        <v>10</v>
      </c>
      <c r="D39" t="s">
        <v>36</v>
      </c>
      <c r="E39" t="s">
        <v>35</v>
      </c>
      <c r="F39" t="s">
        <v>36</v>
      </c>
      <c r="I39" s="2" t="str">
        <f ca="1">IF(ISNUMBER(A39),
IF(COUNTIFS(Equipar!B:B,3,Equipar!AC:AC,A39),"Equipada",
IF(
  OR(COUNTIFS(Equipar!B:B,3,Equipar!C:C,A39)
 +COUNTIFS(Equipar!B:B,3,Equipar!D:D,A39)
+COUNTIFS(Equipar!B:B,3,Equipar!E:E,A39)
+COUNTIFS(Equipar!B:B,3,Equipar!F:F,A39)
&gt;0,COUNTIF('Set recomendado'!B:B,C39)=0),
"Bloqueada",
"Desechable")),""
)</f>
        <v>Desechable</v>
      </c>
      <c r="J39" t="str" cm="1">
        <f t="array" ref="J39">IF(ISNUMBER(A39),IFERROR(_xlfn._xlws.FILTER(Equipar!A:A,(Equipar!B:B=3)*(Equipar!AC:AC=A39)),""),"")</f>
        <v/>
      </c>
    </row>
    <row r="40" spans="1:10" x14ac:dyDescent="0.25">
      <c r="A40" s="1">
        <v>175</v>
      </c>
      <c r="B40" t="s">
        <v>54</v>
      </c>
      <c r="C40" s="1" t="s">
        <v>5</v>
      </c>
      <c r="D40" t="s">
        <v>36</v>
      </c>
      <c r="E40" t="s">
        <v>43</v>
      </c>
      <c r="F40" t="s">
        <v>34</v>
      </c>
      <c r="I40" s="2" t="str">
        <f ca="1">IF(ISNUMBER(A40),
IF(COUNTIFS(Equipar!B:B,3,Equipar!AC:AC,A40),"Equipada",
IF(
  OR(COUNTIFS(Equipar!B:B,3,Equipar!C:C,A40)
 +COUNTIFS(Equipar!B:B,3,Equipar!D:D,A40)
+COUNTIFS(Equipar!B:B,3,Equipar!E:E,A40)
+COUNTIFS(Equipar!B:B,3,Equipar!F:F,A40)
&gt;0,COUNTIF('Set recomendado'!B:B,C40)=0),
"Bloqueada",
"Desechable")),""
)</f>
        <v>Desechable</v>
      </c>
      <c r="J40" t="str" cm="1">
        <f t="array" ref="J40">IF(ISNUMBER(A40),IFERROR(_xlfn._xlws.FILTER(Equipar!A:A,(Equipar!B:B=3)*(Equipar!AC:AC=A40)),""),"")</f>
        <v/>
      </c>
    </row>
    <row r="41" spans="1:10" x14ac:dyDescent="0.25">
      <c r="A41" s="1">
        <v>176</v>
      </c>
      <c r="B41" t="s">
        <v>54</v>
      </c>
      <c r="C41" s="1" t="s">
        <v>5</v>
      </c>
      <c r="D41" t="s">
        <v>36</v>
      </c>
      <c r="E41" t="s">
        <v>42</v>
      </c>
      <c r="F41" t="s">
        <v>35</v>
      </c>
      <c r="G41" t="s">
        <v>43</v>
      </c>
      <c r="I41" s="2" t="str">
        <f ca="1">IF(ISNUMBER(A41),
IF(COUNTIFS(Equipar!B:B,3,Equipar!AC:AC,A41),"Equipada",
IF(
  OR(COUNTIFS(Equipar!B:B,3,Equipar!C:C,A41)
 +COUNTIFS(Equipar!B:B,3,Equipar!D:D,A41)
+COUNTIFS(Equipar!B:B,3,Equipar!E:E,A41)
+COUNTIFS(Equipar!B:B,3,Equipar!F:F,A41)
&gt;0,COUNTIF('Set recomendado'!B:B,C41)=0),
"Bloqueada",
"Desechable")),""
)</f>
        <v>Desechable</v>
      </c>
      <c r="J41" t="str" cm="1">
        <f t="array" ref="J41">IF(ISNUMBER(A41),IFERROR(_xlfn._xlws.FILTER(Equipar!A:A,(Equipar!B:B=3)*(Equipar!AC:AC=A41)),""),"")</f>
        <v/>
      </c>
    </row>
    <row r="42" spans="1:10" x14ac:dyDescent="0.25">
      <c r="A42" s="1">
        <v>177</v>
      </c>
      <c r="B42" t="s">
        <v>54</v>
      </c>
      <c r="C42" t="s">
        <v>14</v>
      </c>
      <c r="D42" t="s">
        <v>36</v>
      </c>
      <c r="E42" t="s">
        <v>43</v>
      </c>
      <c r="F42" t="s">
        <v>43</v>
      </c>
      <c r="I42" s="2" t="str">
        <f ca="1">IF(ISNUMBER(A42),
IF(COUNTIFS(Equipar!B:B,3,Equipar!AC:AC,A42),"Equipada",
IF(
  OR(COUNTIFS(Equipar!B:B,3,Equipar!C:C,A42)
 +COUNTIFS(Equipar!B:B,3,Equipar!D:D,A42)
+COUNTIFS(Equipar!B:B,3,Equipar!E:E,A42)
+COUNTIFS(Equipar!B:B,3,Equipar!F:F,A42)
&gt;0,COUNTIF('Set recomendado'!B:B,C42)=0),
"Bloqueada",
"Desechable")),""
)</f>
        <v>Desechable</v>
      </c>
      <c r="J42" t="str" cm="1">
        <f t="array" ref="J42">IF(ISNUMBER(A42),IFERROR(_xlfn._xlws.FILTER(Equipar!A:A,(Equipar!B:B=3)*(Equipar!AC:AC=A42)),""),"")</f>
        <v/>
      </c>
    </row>
    <row r="43" spans="1:10" x14ac:dyDescent="0.25">
      <c r="A43" s="1">
        <v>178</v>
      </c>
      <c r="B43" t="s">
        <v>54</v>
      </c>
      <c r="C43" t="s">
        <v>23</v>
      </c>
      <c r="D43" t="s">
        <v>36</v>
      </c>
      <c r="E43" t="s">
        <v>32</v>
      </c>
      <c r="F43" t="s">
        <v>43</v>
      </c>
      <c r="I43" s="2" t="str">
        <f ca="1">IF(ISNUMBER(A43),
IF(COUNTIFS(Equipar!B:B,3,Equipar!AC:AC,A43),"Equipada",
IF(
  OR(COUNTIFS(Equipar!B:B,3,Equipar!C:C,A43)
 +COUNTIFS(Equipar!B:B,3,Equipar!D:D,A43)
+COUNTIFS(Equipar!B:B,3,Equipar!E:E,A43)
+COUNTIFS(Equipar!B:B,3,Equipar!F:F,A43)
&gt;0,COUNTIF('Set recomendado'!B:B,C43)=0),
"Bloqueada",
"Desechable")),""
)</f>
        <v>Desechable</v>
      </c>
      <c r="J43" t="str" cm="1">
        <f t="array" ref="J43">IF(ISNUMBER(A43),IFERROR(_xlfn._xlws.FILTER(Equipar!A:A,(Equipar!B:B=3)*(Equipar!AC:AC=A43)),""),"")</f>
        <v/>
      </c>
    </row>
    <row r="44" spans="1:10" x14ac:dyDescent="0.25">
      <c r="A44" s="1">
        <v>179</v>
      </c>
      <c r="B44" t="s">
        <v>54</v>
      </c>
      <c r="C44" t="s">
        <v>23</v>
      </c>
      <c r="D44" t="s">
        <v>36</v>
      </c>
      <c r="E44" t="s">
        <v>36</v>
      </c>
      <c r="F44" t="s">
        <v>40</v>
      </c>
      <c r="I44" s="2" t="str">
        <f ca="1">IF(ISNUMBER(A44),
IF(COUNTIFS(Equipar!B:B,3,Equipar!AC:AC,A44),"Equipada",
IF(
  OR(COUNTIFS(Equipar!B:B,3,Equipar!C:C,A44)
 +COUNTIFS(Equipar!B:B,3,Equipar!D:D,A44)
+COUNTIFS(Equipar!B:B,3,Equipar!E:E,A44)
+COUNTIFS(Equipar!B:B,3,Equipar!F:F,A44)
&gt;0,COUNTIF('Set recomendado'!B:B,C44)=0),
"Bloqueada",
"Desechable")),""
)</f>
        <v>Desechable</v>
      </c>
      <c r="J44" t="str" cm="1">
        <f t="array" ref="J44">IF(ISNUMBER(A44),IFERROR(_xlfn._xlws.FILTER(Equipar!A:A,(Equipar!B:B=3)*(Equipar!AC:AC=A44)),""),"")</f>
        <v/>
      </c>
    </row>
    <row r="45" spans="1:10" x14ac:dyDescent="0.25">
      <c r="A45" s="1">
        <v>180</v>
      </c>
      <c r="B45" t="s">
        <v>54</v>
      </c>
      <c r="C45" t="s">
        <v>17</v>
      </c>
      <c r="D45" t="s">
        <v>36</v>
      </c>
      <c r="E45" t="s">
        <v>32</v>
      </c>
      <c r="F45" t="s">
        <v>43</v>
      </c>
      <c r="I45" s="2" t="str">
        <f ca="1">IF(ISNUMBER(A45),
IF(COUNTIFS(Equipar!B:B,3,Equipar!AC:AC,A45),"Equipada",
IF(
  OR(COUNTIFS(Equipar!B:B,3,Equipar!C:C,A45)
 +COUNTIFS(Equipar!B:B,3,Equipar!D:D,A45)
+COUNTIFS(Equipar!B:B,3,Equipar!E:E,A45)
+COUNTIFS(Equipar!B:B,3,Equipar!F:F,A45)
&gt;0,COUNTIF('Set recomendado'!B:B,C45)=0),
"Bloqueada",
"Desechable")),""
)</f>
        <v>Desechable</v>
      </c>
      <c r="J45" t="str" cm="1">
        <f t="array" ref="J45">IF(ISNUMBER(A45),IFERROR(_xlfn._xlws.FILTER(Equipar!A:A,(Equipar!B:B=3)*(Equipar!AC:AC=A45)),""),"")</f>
        <v/>
      </c>
    </row>
    <row r="46" spans="1:10" x14ac:dyDescent="0.25">
      <c r="A46" s="1">
        <v>181</v>
      </c>
      <c r="B46" t="s">
        <v>54</v>
      </c>
      <c r="C46" t="s">
        <v>17</v>
      </c>
      <c r="D46" t="s">
        <v>36</v>
      </c>
      <c r="E46" t="s">
        <v>32</v>
      </c>
      <c r="F46" t="s">
        <v>36</v>
      </c>
      <c r="I46" s="2" t="str">
        <f ca="1">IF(ISNUMBER(A46),
IF(COUNTIFS(Equipar!B:B,3,Equipar!AC:AC,A46),"Equipada",
IF(
  OR(COUNTIFS(Equipar!B:B,3,Equipar!C:C,A46)
 +COUNTIFS(Equipar!B:B,3,Equipar!D:D,A46)
+COUNTIFS(Equipar!B:B,3,Equipar!E:E,A46)
+COUNTIFS(Equipar!B:B,3,Equipar!F:F,A46)
&gt;0,COUNTIF('Set recomendado'!B:B,C46)=0),
"Bloqueada",
"Desechable")),""
)</f>
        <v>Desechable</v>
      </c>
      <c r="J46" t="str" cm="1">
        <f t="array" ref="J46">IF(ISNUMBER(A46),IFERROR(_xlfn._xlws.FILTER(Equipar!A:A,(Equipar!B:B=3)*(Equipar!AC:AC=A46)),""),"")</f>
        <v/>
      </c>
    </row>
    <row r="47" spans="1:10" x14ac:dyDescent="0.25">
      <c r="A47" s="1">
        <v>182</v>
      </c>
      <c r="B47" t="s">
        <v>54</v>
      </c>
      <c r="C47" t="s">
        <v>17</v>
      </c>
      <c r="D47" t="s">
        <v>36</v>
      </c>
      <c r="E47" t="s">
        <v>43</v>
      </c>
      <c r="F47" t="s">
        <v>38</v>
      </c>
      <c r="I47" s="2" t="str">
        <f>IF(ISNUMBER(A47),
IF(COUNTIFS(Equipar!B:B,3,Equipar!AC:AC,A47),"Equipada",
IF(
  OR(COUNTIFS(Equipar!B:B,3,Equipar!C:C,A47)
 +COUNTIFS(Equipar!B:B,3,Equipar!D:D,A47)
+COUNTIFS(Equipar!B:B,3,Equipar!E:E,A47)
+COUNTIFS(Equipar!B:B,3,Equipar!F:F,A47)
&gt;0,COUNTIF('Set recomendado'!B:B,C47)=0),
"Bloqueada",
"Desechable")),""
)</f>
        <v>Equipada</v>
      </c>
      <c r="J47" t="str" cm="1">
        <f t="array" ref="J47">IF(ISNUMBER(A47),IFERROR(_xlfn._xlws.FILTER(Equipar!A:A,(Equipar!B:B=3)*(Equipar!AC:AC=A47)),""),"")</f>
        <v>Akagi</v>
      </c>
    </row>
    <row r="48" spans="1:10" x14ac:dyDescent="0.25">
      <c r="A48" s="1">
        <v>183</v>
      </c>
      <c r="B48" t="s">
        <v>54</v>
      </c>
      <c r="C48" t="s">
        <v>29</v>
      </c>
      <c r="D48" t="s">
        <v>36</v>
      </c>
      <c r="E48" t="s">
        <v>40</v>
      </c>
      <c r="F48" t="s">
        <v>43</v>
      </c>
      <c r="I48" s="2" t="str">
        <f ca="1">IF(ISNUMBER(A48),
IF(COUNTIFS(Equipar!B:B,3,Equipar!AC:AC,A48),"Equipada",
IF(
  OR(COUNTIFS(Equipar!B:B,3,Equipar!C:C,A48)
 +COUNTIFS(Equipar!B:B,3,Equipar!D:D,A48)
+COUNTIFS(Equipar!B:B,3,Equipar!E:E,A48)
+COUNTIFS(Equipar!B:B,3,Equipar!F:F,A48)
&gt;0,COUNTIF('Set recomendado'!B:B,C48)=0),
"Bloqueada",
"Desechable")),""
)</f>
        <v>Desechable</v>
      </c>
      <c r="J48" t="str" cm="1">
        <f t="array" ref="J48">IF(ISNUMBER(A48),IFERROR(_xlfn._xlws.FILTER(Equipar!A:A,(Equipar!B:B=3)*(Equipar!AC:AC=A48)),""),"")</f>
        <v/>
      </c>
    </row>
    <row r="49" spans="1:10" x14ac:dyDescent="0.25">
      <c r="A49" s="1">
        <v>184</v>
      </c>
      <c r="B49" t="s">
        <v>53</v>
      </c>
      <c r="C49" t="s">
        <v>22</v>
      </c>
      <c r="D49" t="s">
        <v>36</v>
      </c>
      <c r="E49" t="s">
        <v>42</v>
      </c>
      <c r="F49" t="s">
        <v>36</v>
      </c>
      <c r="G49" t="s">
        <v>39</v>
      </c>
      <c r="I49" s="2" t="str">
        <f>IF(ISNUMBER(A49),
IF(COUNTIFS(Equipar!B:B,3,Equipar!AC:AC,A49),"Equipada",
IF(
  OR(COUNTIFS(Equipar!B:B,3,Equipar!C:C,A49)
 +COUNTIFS(Equipar!B:B,3,Equipar!D:D,A49)
+COUNTIFS(Equipar!B:B,3,Equipar!E:E,A49)
+COUNTIFS(Equipar!B:B,3,Equipar!F:F,A49)
&gt;0,COUNTIF('Set recomendado'!B:B,C49)=0),
"Bloqueada",
"Desechable")),""
)</f>
        <v>Equipada</v>
      </c>
      <c r="J49" t="str" cm="1">
        <f t="array" ref="J49">IF(ISNUMBER(A49),IFERROR(_xlfn._xlws.FILTER(Equipar!A:A,(Equipar!B:B=3)*(Equipar!AC:AC=A49)),""),"")</f>
        <v>Hirugami</v>
      </c>
    </row>
    <row r="50" spans="1:10" x14ac:dyDescent="0.25">
      <c r="A50" s="1">
        <v>185</v>
      </c>
      <c r="B50" t="s">
        <v>53</v>
      </c>
      <c r="C50" t="s">
        <v>29</v>
      </c>
      <c r="D50" t="s">
        <v>36</v>
      </c>
      <c r="E50" t="s">
        <v>32</v>
      </c>
      <c r="F50" t="s">
        <v>37</v>
      </c>
      <c r="G50" t="s">
        <v>42</v>
      </c>
      <c r="I50" s="2" t="str">
        <f ca="1">IF(ISNUMBER(A50),
IF(COUNTIFS(Equipar!B:B,3,Equipar!AC:AC,A50),"Equipada",
IF(
  OR(COUNTIFS(Equipar!B:B,3,Equipar!C:C,A50)
 +COUNTIFS(Equipar!B:B,3,Equipar!D:D,A50)
+COUNTIFS(Equipar!B:B,3,Equipar!E:E,A50)
+COUNTIFS(Equipar!B:B,3,Equipar!F:F,A50)
&gt;0,COUNTIF('Set recomendado'!B:B,C50)=0),
"Bloqueada",
"Desechable")),""
)</f>
        <v>Desechable</v>
      </c>
      <c r="J50" t="str" cm="1">
        <f t="array" ref="J50">IF(ISNUMBER(A50),IFERROR(_xlfn._xlws.FILTER(Equipar!A:A,(Equipar!B:B=3)*(Equipar!AC:AC=A50)),""),"")</f>
        <v/>
      </c>
    </row>
    <row r="51" spans="1:10" x14ac:dyDescent="0.25">
      <c r="A51" s="1">
        <v>186</v>
      </c>
      <c r="B51" t="s">
        <v>54</v>
      </c>
      <c r="C51" t="s">
        <v>57</v>
      </c>
      <c r="D51" t="s">
        <v>36</v>
      </c>
      <c r="E51" t="s">
        <v>41</v>
      </c>
      <c r="F51" t="s">
        <v>41</v>
      </c>
      <c r="I51" s="2" t="str">
        <f ca="1">IF(ISNUMBER(A51),
IF(COUNTIFS(Equipar!B:B,3,Equipar!AC:AC,A51),"Equipada",
IF(
  OR(COUNTIFS(Equipar!B:B,3,Equipar!C:C,A51)
 +COUNTIFS(Equipar!B:B,3,Equipar!D:D,A51)
+COUNTIFS(Equipar!B:B,3,Equipar!E:E,A51)
+COUNTIFS(Equipar!B:B,3,Equipar!F:F,A51)
&gt;0,COUNTIF('Set recomendado'!B:B,C51)=0),
"Bloqueada",
"Desechable")),""
)</f>
        <v>Bloqueada</v>
      </c>
      <c r="J51" t="str" cm="1">
        <f t="array" ref="J51">IF(ISNUMBER(A51),IFERROR(_xlfn._xlws.FILTER(Equipar!A:A,(Equipar!B:B=3)*(Equipar!AC:AC=A51)),""),"")</f>
        <v/>
      </c>
    </row>
    <row r="52" spans="1:10" x14ac:dyDescent="0.25">
      <c r="A52" s="1">
        <v>187</v>
      </c>
      <c r="B52" t="s">
        <v>54</v>
      </c>
      <c r="C52" t="s">
        <v>57</v>
      </c>
      <c r="D52" t="s">
        <v>36</v>
      </c>
      <c r="E52" t="s">
        <v>37</v>
      </c>
      <c r="F52" t="s">
        <v>36</v>
      </c>
      <c r="I52" s="2" t="str">
        <f ca="1">IF(ISNUMBER(A52),
IF(COUNTIFS(Equipar!B:B,3,Equipar!AC:AC,A52),"Equipada",
IF(
  OR(COUNTIFS(Equipar!B:B,3,Equipar!C:C,A52)
 +COUNTIFS(Equipar!B:B,3,Equipar!D:D,A52)
+COUNTIFS(Equipar!B:B,3,Equipar!E:E,A52)
+COUNTIFS(Equipar!B:B,3,Equipar!F:F,A52)
&gt;0,COUNTIF('Set recomendado'!B:B,C52)=0),
"Bloqueada",
"Desechable")),""
)</f>
        <v>Bloqueada</v>
      </c>
      <c r="J52" t="str" cm="1">
        <f t="array" ref="J52">IF(ISNUMBER(A52),IFERROR(_xlfn._xlws.FILTER(Equipar!A:A,(Equipar!B:B=3)*(Equipar!AC:AC=A52)),""),"")</f>
        <v/>
      </c>
    </row>
    <row r="53" spans="1:10" x14ac:dyDescent="0.25">
      <c r="A53" s="1">
        <v>188</v>
      </c>
      <c r="B53" t="s">
        <v>54</v>
      </c>
      <c r="C53" t="s">
        <v>57</v>
      </c>
      <c r="D53" t="s">
        <v>36</v>
      </c>
      <c r="E53" t="s">
        <v>42</v>
      </c>
      <c r="F53" t="s">
        <v>43</v>
      </c>
      <c r="G53" t="s">
        <v>33</v>
      </c>
      <c r="I53" s="2" t="str">
        <f ca="1">IF(ISNUMBER(A53),
IF(COUNTIFS(Equipar!B:B,3,Equipar!AC:AC,A53),"Equipada",
IF(
  OR(COUNTIFS(Equipar!B:B,3,Equipar!C:C,A53)
 +COUNTIFS(Equipar!B:B,3,Equipar!D:D,A53)
+COUNTIFS(Equipar!B:B,3,Equipar!E:E,A53)
+COUNTIFS(Equipar!B:B,3,Equipar!F:F,A53)
&gt;0,COUNTIF('Set recomendado'!B:B,C53)=0),
"Bloqueada",
"Desechable")),""
)</f>
        <v>Bloqueada</v>
      </c>
      <c r="J53" t="str" cm="1">
        <f t="array" ref="J53">IF(ISNUMBER(A53),IFERROR(_xlfn._xlws.FILTER(Equipar!A:A,(Equipar!B:B=3)*(Equipar!AC:AC=A53)),""),"")</f>
        <v/>
      </c>
    </row>
    <row r="54" spans="1:10" x14ac:dyDescent="0.25">
      <c r="A54" s="1">
        <v>189</v>
      </c>
      <c r="B54" t="s">
        <v>54</v>
      </c>
      <c r="C54" t="s">
        <v>57</v>
      </c>
      <c r="D54" t="s">
        <v>36</v>
      </c>
      <c r="E54" t="s">
        <v>44</v>
      </c>
      <c r="F54" t="s">
        <v>39</v>
      </c>
      <c r="G54" t="s">
        <v>36</v>
      </c>
      <c r="I54" s="2" t="str">
        <f ca="1">IF(ISNUMBER(A54),
IF(COUNTIFS(Equipar!B:B,3,Equipar!AC:AC,A54),"Equipada",
IF(
  OR(COUNTIFS(Equipar!B:B,3,Equipar!C:C,A54)
 +COUNTIFS(Equipar!B:B,3,Equipar!D:D,A54)
+COUNTIFS(Equipar!B:B,3,Equipar!E:E,A54)
+COUNTIFS(Equipar!B:B,3,Equipar!F:F,A54)
&gt;0,COUNTIF('Set recomendado'!B:B,C54)=0),
"Bloqueada",
"Desechable")),""
)</f>
        <v>Bloqueada</v>
      </c>
      <c r="J54" t="str" cm="1">
        <f t="array" ref="J54">IF(ISNUMBER(A54),IFERROR(_xlfn._xlws.FILTER(Equipar!A:A,(Equipar!B:B=3)*(Equipar!AC:AC=A54)),""),"")</f>
        <v/>
      </c>
    </row>
    <row r="55" spans="1:10" x14ac:dyDescent="0.25">
      <c r="A55" s="1">
        <v>190</v>
      </c>
      <c r="B55" t="s">
        <v>54</v>
      </c>
      <c r="C55" t="s">
        <v>57</v>
      </c>
      <c r="D55" t="s">
        <v>36</v>
      </c>
      <c r="E55" t="s">
        <v>32</v>
      </c>
      <c r="F55" t="s">
        <v>33</v>
      </c>
      <c r="I55" s="2" t="str">
        <f ca="1">IF(ISNUMBER(A55),
IF(COUNTIFS(Equipar!B:B,3,Equipar!AC:AC,A55),"Equipada",
IF(
  OR(COUNTIFS(Equipar!B:B,3,Equipar!C:C,A55)
 +COUNTIFS(Equipar!B:B,3,Equipar!D:D,A55)
+COUNTIFS(Equipar!B:B,3,Equipar!E:E,A55)
+COUNTIFS(Equipar!B:B,3,Equipar!F:F,A55)
&gt;0,COUNTIF('Set recomendado'!B:B,C55)=0),
"Bloqueada",
"Desechable")),""
)</f>
        <v>Bloqueada</v>
      </c>
      <c r="J55" t="str" cm="1">
        <f t="array" ref="J55">IF(ISNUMBER(A55),IFERROR(_xlfn._xlws.FILTER(Equipar!A:A,(Equipar!B:B=3)*(Equipar!AC:AC=A55)),""),"")</f>
        <v/>
      </c>
    </row>
    <row r="56" spans="1:10" x14ac:dyDescent="0.25">
      <c r="A56" s="1">
        <v>191</v>
      </c>
      <c r="B56" t="s">
        <v>54</v>
      </c>
      <c r="C56" t="s">
        <v>57</v>
      </c>
      <c r="D56" t="s">
        <v>36</v>
      </c>
      <c r="E56" t="s">
        <v>32</v>
      </c>
      <c r="F56" t="s">
        <v>36</v>
      </c>
      <c r="I56" s="2" t="str">
        <f ca="1">IF(ISNUMBER(A56),
IF(COUNTIFS(Equipar!B:B,3,Equipar!AC:AC,A56),"Equipada",
IF(
  OR(COUNTIFS(Equipar!B:B,3,Equipar!C:C,A56)
 +COUNTIFS(Equipar!B:B,3,Equipar!D:D,A56)
+COUNTIFS(Equipar!B:B,3,Equipar!E:E,A56)
+COUNTIFS(Equipar!B:B,3,Equipar!F:F,A56)
&gt;0,COUNTIF('Set recomendado'!B:B,C56)=0),
"Bloqueada",
"Desechable")),""
)</f>
        <v>Bloqueada</v>
      </c>
      <c r="J56" t="str" cm="1">
        <f t="array" ref="J56">IF(ISNUMBER(A56),IFERROR(_xlfn._xlws.FILTER(Equipar!A:A,(Equipar!B:B=3)*(Equipar!AC:AC=A56)),""),"")</f>
        <v/>
      </c>
    </row>
    <row r="57" spans="1:10" x14ac:dyDescent="0.25">
      <c r="A57" s="1">
        <v>192</v>
      </c>
      <c r="B57" t="s">
        <v>54</v>
      </c>
      <c r="C57" t="s">
        <v>55</v>
      </c>
      <c r="D57" t="s">
        <v>36</v>
      </c>
      <c r="E57" t="s">
        <v>40</v>
      </c>
      <c r="F57" t="s">
        <v>42</v>
      </c>
      <c r="G57" t="s">
        <v>37</v>
      </c>
      <c r="I57" s="2" t="str">
        <f ca="1">IF(ISNUMBER(A57),
IF(COUNTIFS(Equipar!B:B,3,Equipar!AC:AC,A57),"Equipada",
IF(
  OR(COUNTIFS(Equipar!B:B,3,Equipar!C:C,A57)
 +COUNTIFS(Equipar!B:B,3,Equipar!D:D,A57)
+COUNTIFS(Equipar!B:B,3,Equipar!E:E,A57)
+COUNTIFS(Equipar!B:B,3,Equipar!F:F,A57)
&gt;0,COUNTIF('Set recomendado'!B:B,C57)=0),
"Bloqueada",
"Desechable")),""
)</f>
        <v>Desechable</v>
      </c>
      <c r="J57" t="str" cm="1">
        <f t="array" ref="J57">IF(ISNUMBER(A57),IFERROR(_xlfn._xlws.FILTER(Equipar!A:A,(Equipar!B:B=3)*(Equipar!AC:AC=A57)),""),"")</f>
        <v/>
      </c>
    </row>
    <row r="58" spans="1:10" x14ac:dyDescent="0.25">
      <c r="A58" s="1">
        <v>193</v>
      </c>
      <c r="B58" t="s">
        <v>54</v>
      </c>
      <c r="C58" t="s">
        <v>55</v>
      </c>
      <c r="D58" t="s">
        <v>36</v>
      </c>
      <c r="E58" t="s">
        <v>42</v>
      </c>
      <c r="F58" t="s">
        <v>32</v>
      </c>
      <c r="G58" t="s">
        <v>39</v>
      </c>
      <c r="I58" s="2" t="str">
        <f ca="1">IF(ISNUMBER(A58),
IF(COUNTIFS(Equipar!B:B,3,Equipar!AC:AC,A58),"Equipada",
IF(
  OR(COUNTIFS(Equipar!B:B,3,Equipar!C:C,A58)
 +COUNTIFS(Equipar!B:B,3,Equipar!D:D,A58)
+COUNTIFS(Equipar!B:B,3,Equipar!E:E,A58)
+COUNTIFS(Equipar!B:B,3,Equipar!F:F,A58)
&gt;0,COUNTIF('Set recomendado'!B:B,C58)=0),
"Bloqueada",
"Desechable")),""
)</f>
        <v>Desechable</v>
      </c>
      <c r="J58" t="str" cm="1">
        <f t="array" ref="J58">IF(ISNUMBER(A58),IFERROR(_xlfn._xlws.FILTER(Equipar!A:A,(Equipar!B:B=3)*(Equipar!AC:AC=A58)),""),"")</f>
        <v/>
      </c>
    </row>
    <row r="59" spans="1:10" x14ac:dyDescent="0.25">
      <c r="A59" s="1">
        <v>194</v>
      </c>
      <c r="B59" t="s">
        <v>54</v>
      </c>
      <c r="C59" t="s">
        <v>55</v>
      </c>
      <c r="D59" t="s">
        <v>36</v>
      </c>
      <c r="E59" t="s">
        <v>42</v>
      </c>
      <c r="F59" t="s">
        <v>40</v>
      </c>
      <c r="I59" s="2" t="str">
        <f ca="1">IF(ISNUMBER(A59),
IF(COUNTIFS(Equipar!B:B,3,Equipar!AC:AC,A59),"Equipada",
IF(
  OR(COUNTIFS(Equipar!B:B,3,Equipar!C:C,A59)
 +COUNTIFS(Equipar!B:B,3,Equipar!D:D,A59)
+COUNTIFS(Equipar!B:B,3,Equipar!E:E,A59)
+COUNTIFS(Equipar!B:B,3,Equipar!F:F,A59)
&gt;0,COUNTIF('Set recomendado'!B:B,C59)=0),
"Bloqueada",
"Desechable")),""
)</f>
        <v>Desechable</v>
      </c>
      <c r="J59" t="str" cm="1">
        <f t="array" ref="J59">IF(ISNUMBER(A59),IFERROR(_xlfn._xlws.FILTER(Equipar!A:A,(Equipar!B:B=3)*(Equipar!AC:AC=A59)),""),"")</f>
        <v/>
      </c>
    </row>
    <row r="60" spans="1:10" x14ac:dyDescent="0.25">
      <c r="A60" s="1">
        <v>195</v>
      </c>
      <c r="B60" t="s">
        <v>54</v>
      </c>
      <c r="C60" t="s">
        <v>55</v>
      </c>
      <c r="D60" t="s">
        <v>36</v>
      </c>
      <c r="E60" t="s">
        <v>33</v>
      </c>
      <c r="F60" t="s">
        <v>37</v>
      </c>
      <c r="G60" t="s">
        <v>38</v>
      </c>
      <c r="I60" s="2" t="str">
        <f ca="1">IF(ISNUMBER(A60),
IF(COUNTIFS(Equipar!B:B,3,Equipar!AC:AC,A60),"Equipada",
IF(
  OR(COUNTIFS(Equipar!B:B,3,Equipar!C:C,A60)
 +COUNTIFS(Equipar!B:B,3,Equipar!D:D,A60)
+COUNTIFS(Equipar!B:B,3,Equipar!E:E,A60)
+COUNTIFS(Equipar!B:B,3,Equipar!F:F,A60)
&gt;0,COUNTIF('Set recomendado'!B:B,C60)=0),
"Bloqueada",
"Desechable")),""
)</f>
        <v>Desechable</v>
      </c>
      <c r="J60" t="str" cm="1">
        <f t="array" ref="J60">IF(ISNUMBER(A60),IFERROR(_xlfn._xlws.FILTER(Equipar!A:A,(Equipar!B:B=3)*(Equipar!AC:AC=A60)),""),"")</f>
        <v/>
      </c>
    </row>
    <row r="61" spans="1:10" x14ac:dyDescent="0.25">
      <c r="A61" s="1">
        <v>196</v>
      </c>
      <c r="B61" t="s">
        <v>54</v>
      </c>
      <c r="C61" t="s">
        <v>55</v>
      </c>
      <c r="D61" t="s">
        <v>36</v>
      </c>
      <c r="E61" t="s">
        <v>44</v>
      </c>
      <c r="F61" t="s">
        <v>38</v>
      </c>
      <c r="I61" s="2" t="str">
        <f ca="1">IF(ISNUMBER(A61),
IF(COUNTIFS(Equipar!B:B,3,Equipar!AC:AC,A61),"Equipada",
IF(
  OR(COUNTIFS(Equipar!B:B,3,Equipar!C:C,A61)
 +COUNTIFS(Equipar!B:B,3,Equipar!D:D,A61)
+COUNTIFS(Equipar!B:B,3,Equipar!E:E,A61)
+COUNTIFS(Equipar!B:B,3,Equipar!F:F,A61)
&gt;0,COUNTIF('Set recomendado'!B:B,C61)=0),
"Bloqueada",
"Desechable")),""
)</f>
        <v>Desechable</v>
      </c>
      <c r="J61" t="str" cm="1">
        <f t="array" ref="J61">IF(ISNUMBER(A61),IFERROR(_xlfn._xlws.FILTER(Equipar!A:A,(Equipar!B:B=3)*(Equipar!AC:AC=A61)),""),"")</f>
        <v/>
      </c>
    </row>
    <row r="62" spans="1:10" x14ac:dyDescent="0.25">
      <c r="A62" s="1">
        <v>197</v>
      </c>
      <c r="B62" t="s">
        <v>54</v>
      </c>
      <c r="C62" t="s">
        <v>55</v>
      </c>
      <c r="D62" t="s">
        <v>36</v>
      </c>
      <c r="E62" t="s">
        <v>41</v>
      </c>
      <c r="F62" t="s">
        <v>35</v>
      </c>
      <c r="G62" t="s">
        <v>41</v>
      </c>
      <c r="I62" s="2" t="str">
        <f ca="1">IF(ISNUMBER(A62),
IF(COUNTIFS(Equipar!B:B,3,Equipar!AC:AC,A62),"Equipada",
IF(
  OR(COUNTIFS(Equipar!B:B,3,Equipar!C:C,A62)
 +COUNTIFS(Equipar!B:B,3,Equipar!D:D,A62)
+COUNTIFS(Equipar!B:B,3,Equipar!E:E,A62)
+COUNTIFS(Equipar!B:B,3,Equipar!F:F,A62)
&gt;0,COUNTIF('Set recomendado'!B:B,C62)=0),
"Bloqueada",
"Desechable")),""
)</f>
        <v>Desechable</v>
      </c>
      <c r="J62" t="str" cm="1">
        <f t="array" ref="J62">IF(ISNUMBER(A62),IFERROR(_xlfn._xlws.FILTER(Equipar!A:A,(Equipar!B:B=3)*(Equipar!AC:AC=A62)),""),"")</f>
        <v/>
      </c>
    </row>
    <row r="63" spans="1:10" x14ac:dyDescent="0.25">
      <c r="A63" s="1">
        <v>198</v>
      </c>
      <c r="B63" t="s">
        <v>54</v>
      </c>
      <c r="C63" t="s">
        <v>55</v>
      </c>
      <c r="D63" t="s">
        <v>36</v>
      </c>
      <c r="E63" t="s">
        <v>43</v>
      </c>
      <c r="F63" t="s">
        <v>42</v>
      </c>
      <c r="I63" s="2" t="str">
        <f ca="1">IF(ISNUMBER(A63),
IF(COUNTIFS(Equipar!B:B,3,Equipar!AC:AC,A63),"Equipada",
IF(
  OR(COUNTIFS(Equipar!B:B,3,Equipar!C:C,A63)
 +COUNTIFS(Equipar!B:B,3,Equipar!D:D,A63)
+COUNTIFS(Equipar!B:B,3,Equipar!E:E,A63)
+COUNTIFS(Equipar!B:B,3,Equipar!F:F,A63)
&gt;0,COUNTIF('Set recomendado'!B:B,C63)=0),
"Bloqueada",
"Desechable")),""
)</f>
        <v>Desechable</v>
      </c>
      <c r="J63" t="str" cm="1">
        <f t="array" ref="J63">IF(ISNUMBER(A63),IFERROR(_xlfn._xlws.FILTER(Equipar!A:A,(Equipar!B:B=3)*(Equipar!AC:AC=A63)),""),"")</f>
        <v/>
      </c>
    </row>
    <row r="64" spans="1:10" x14ac:dyDescent="0.25">
      <c r="A64" s="1">
        <v>199</v>
      </c>
      <c r="B64" t="s">
        <v>54</v>
      </c>
      <c r="C64" t="s">
        <v>55</v>
      </c>
      <c r="D64" t="s">
        <v>36</v>
      </c>
      <c r="E64" t="s">
        <v>44</v>
      </c>
      <c r="F64" t="s">
        <v>43</v>
      </c>
      <c r="I64" s="2" t="str">
        <f ca="1">IF(ISNUMBER(A64),
IF(COUNTIFS(Equipar!B:B,3,Equipar!AC:AC,A64),"Equipada",
IF(
  OR(COUNTIFS(Equipar!B:B,3,Equipar!C:C,A64)
 +COUNTIFS(Equipar!B:B,3,Equipar!D:D,A64)
+COUNTIFS(Equipar!B:B,3,Equipar!E:E,A64)
+COUNTIFS(Equipar!B:B,3,Equipar!F:F,A64)
&gt;0,COUNTIF('Set recomendado'!B:B,C64)=0),
"Bloqueada",
"Desechable")),""
)</f>
        <v>Desechable</v>
      </c>
      <c r="J64" t="str" cm="1">
        <f t="array" ref="J64">IF(ISNUMBER(A64),IFERROR(_xlfn._xlws.FILTER(Equipar!A:A,(Equipar!B:B=3)*(Equipar!AC:AC=A64)),""),"")</f>
        <v/>
      </c>
    </row>
    <row r="65" spans="1:10" x14ac:dyDescent="0.25">
      <c r="A65" s="1">
        <v>200</v>
      </c>
      <c r="B65" t="s">
        <v>54</v>
      </c>
      <c r="C65" t="s">
        <v>55</v>
      </c>
      <c r="D65" t="s">
        <v>36</v>
      </c>
      <c r="E65" t="s">
        <v>33</v>
      </c>
      <c r="F65" t="s">
        <v>35</v>
      </c>
      <c r="G65" t="s">
        <v>41</v>
      </c>
      <c r="I65" s="2" t="str">
        <f ca="1">IF(ISNUMBER(A65),
IF(COUNTIFS(Equipar!B:B,3,Equipar!AC:AC,A65),"Equipada",
IF(
  OR(COUNTIFS(Equipar!B:B,3,Equipar!C:C,A65)
 +COUNTIFS(Equipar!B:B,3,Equipar!D:D,A65)
+COUNTIFS(Equipar!B:B,3,Equipar!E:E,A65)
+COUNTIFS(Equipar!B:B,3,Equipar!F:F,A65)
&gt;0,COUNTIF('Set recomendado'!B:B,C65)=0),
"Bloqueada",
"Desechable")),""
)</f>
        <v>Desechable</v>
      </c>
      <c r="J65" t="str" cm="1">
        <f t="array" ref="J65">IF(ISNUMBER(A65),IFERROR(_xlfn._xlws.FILTER(Equipar!A:A,(Equipar!B:B=3)*(Equipar!AC:AC=A65)),""),"")</f>
        <v/>
      </c>
    </row>
    <row r="66" spans="1:10" x14ac:dyDescent="0.25">
      <c r="A66" s="1">
        <v>201</v>
      </c>
      <c r="B66" t="s">
        <v>54</v>
      </c>
      <c r="C66" t="s">
        <v>55</v>
      </c>
      <c r="D66" t="s">
        <v>36</v>
      </c>
      <c r="E66" t="s">
        <v>40</v>
      </c>
      <c r="F66" t="s">
        <v>32</v>
      </c>
      <c r="G66" t="s">
        <v>43</v>
      </c>
      <c r="I66" s="2" t="str">
        <f ca="1">IF(ISNUMBER(A66),
IF(COUNTIFS(Equipar!B:B,3,Equipar!AC:AC,A66),"Equipada",
IF(
  OR(COUNTIFS(Equipar!B:B,3,Equipar!C:C,A66)
 +COUNTIFS(Equipar!B:B,3,Equipar!D:D,A66)
+COUNTIFS(Equipar!B:B,3,Equipar!E:E,A66)
+COUNTIFS(Equipar!B:B,3,Equipar!F:F,A66)
&gt;0,COUNTIF('Set recomendado'!B:B,C66)=0),
"Bloqueada",
"Desechable")),""
)</f>
        <v>Desechable</v>
      </c>
      <c r="J66" t="str" cm="1">
        <f t="array" ref="J66">IF(ISNUMBER(A66),IFERROR(_xlfn._xlws.FILTER(Equipar!A:A,(Equipar!B:B=3)*(Equipar!AC:AC=A66)),""),"")</f>
        <v/>
      </c>
    </row>
    <row r="67" spans="1:10" x14ac:dyDescent="0.25">
      <c r="A67" s="1">
        <v>202</v>
      </c>
      <c r="B67" t="s">
        <v>54</v>
      </c>
      <c r="C67" t="s">
        <v>21</v>
      </c>
      <c r="D67" t="s">
        <v>36</v>
      </c>
      <c r="E67" t="s">
        <v>38</v>
      </c>
      <c r="F67" t="s">
        <v>36</v>
      </c>
      <c r="I67" s="2" t="str">
        <f ca="1">IF(ISNUMBER(A67),
IF(COUNTIFS(Equipar!B:B,3,Equipar!AC:AC,A67),"Equipada",
IF(
  OR(COUNTIFS(Equipar!B:B,3,Equipar!C:C,A67)
 +COUNTIFS(Equipar!B:B,3,Equipar!D:D,A67)
+COUNTIFS(Equipar!B:B,3,Equipar!E:E,A67)
+COUNTIFS(Equipar!B:B,3,Equipar!F:F,A67)
&gt;0,COUNTIF('Set recomendado'!B:B,C67)=0),
"Bloqueada",
"Desechable")),""
)</f>
        <v>Desechable</v>
      </c>
      <c r="J67" t="str" cm="1">
        <f t="array" ref="J67">IF(ISNUMBER(A67),IFERROR(_xlfn._xlws.FILTER(Equipar!A:A,(Equipar!B:B=3)*(Equipar!AC:AC=A67)),""),"")</f>
        <v/>
      </c>
    </row>
    <row r="68" spans="1:10" x14ac:dyDescent="0.25">
      <c r="A68" s="1">
        <v>203</v>
      </c>
      <c r="B68" t="s">
        <v>54</v>
      </c>
      <c r="C68" t="s">
        <v>21</v>
      </c>
      <c r="D68" t="s">
        <v>36</v>
      </c>
      <c r="E68" t="s">
        <v>37</v>
      </c>
      <c r="F68" t="s">
        <v>36</v>
      </c>
      <c r="I68" s="2" t="str">
        <f ca="1">IF(ISNUMBER(A68),
IF(COUNTIFS(Equipar!B:B,3,Equipar!AC:AC,A68),"Equipada",
IF(
  OR(COUNTIFS(Equipar!B:B,3,Equipar!C:C,A68)
 +COUNTIFS(Equipar!B:B,3,Equipar!D:D,A68)
+COUNTIFS(Equipar!B:B,3,Equipar!E:E,A68)
+COUNTIFS(Equipar!B:B,3,Equipar!F:F,A68)
&gt;0,COUNTIF('Set recomendado'!B:B,C68)=0),
"Bloqueada",
"Desechable")),""
)</f>
        <v>Desechable</v>
      </c>
      <c r="J68" t="str" cm="1">
        <f t="array" ref="J68">IF(ISNUMBER(A68),IFERROR(_xlfn._xlws.FILTER(Equipar!A:A,(Equipar!B:B=3)*(Equipar!AC:AC=A68)),""),"")</f>
        <v/>
      </c>
    </row>
    <row r="69" spans="1:10" x14ac:dyDescent="0.25">
      <c r="A69" s="1">
        <v>204</v>
      </c>
      <c r="B69" t="s">
        <v>54</v>
      </c>
      <c r="C69" t="s">
        <v>21</v>
      </c>
      <c r="D69" t="s">
        <v>36</v>
      </c>
      <c r="E69" t="s">
        <v>38</v>
      </c>
      <c r="F69" t="s">
        <v>37</v>
      </c>
      <c r="I69" s="2" t="str">
        <f ca="1">IF(ISNUMBER(A69),
IF(COUNTIFS(Equipar!B:B,3,Equipar!AC:AC,A69),"Equipada",
IF(
  OR(COUNTIFS(Equipar!B:B,3,Equipar!C:C,A69)
 +COUNTIFS(Equipar!B:B,3,Equipar!D:D,A69)
+COUNTIFS(Equipar!B:B,3,Equipar!E:E,A69)
+COUNTIFS(Equipar!B:B,3,Equipar!F:F,A69)
&gt;0,COUNTIF('Set recomendado'!B:B,C69)=0),
"Bloqueada",
"Desechable")),""
)</f>
        <v>Desechable</v>
      </c>
      <c r="J69" t="str" cm="1">
        <f t="array" ref="J69">IF(ISNUMBER(A69),IFERROR(_xlfn._xlws.FILTER(Equipar!A:A,(Equipar!B:B=3)*(Equipar!AC:AC=A69)),""),"")</f>
        <v/>
      </c>
    </row>
    <row r="70" spans="1:10" x14ac:dyDescent="0.25">
      <c r="A70" s="1">
        <v>205</v>
      </c>
      <c r="B70" t="s">
        <v>54</v>
      </c>
      <c r="C70" t="s">
        <v>21</v>
      </c>
      <c r="D70" t="s">
        <v>36</v>
      </c>
      <c r="E70" t="s">
        <v>36</v>
      </c>
      <c r="F70" t="s">
        <v>38</v>
      </c>
      <c r="G70" t="s">
        <v>43</v>
      </c>
      <c r="I70" s="2" t="str">
        <f ca="1">IF(ISNUMBER(A70),
IF(COUNTIFS(Equipar!B:B,3,Equipar!AC:AC,A70),"Equipada",
IF(
  OR(COUNTIFS(Equipar!B:B,3,Equipar!C:C,A70)
 +COUNTIFS(Equipar!B:B,3,Equipar!D:D,A70)
+COUNTIFS(Equipar!B:B,3,Equipar!E:E,A70)
+COUNTIFS(Equipar!B:B,3,Equipar!F:F,A70)
&gt;0,COUNTIF('Set recomendado'!B:B,C70)=0),
"Bloqueada",
"Desechable")),""
)</f>
        <v>Desechable</v>
      </c>
      <c r="J70" t="str" cm="1">
        <f t="array" ref="J70">IF(ISNUMBER(A70),IFERROR(_xlfn._xlws.FILTER(Equipar!A:A,(Equipar!B:B=3)*(Equipar!AC:AC=A70)),""),"")</f>
        <v/>
      </c>
    </row>
    <row r="71" spans="1:10" x14ac:dyDescent="0.25">
      <c r="A71" s="1">
        <v>206</v>
      </c>
      <c r="B71" t="s">
        <v>54</v>
      </c>
      <c r="C71" t="s">
        <v>21</v>
      </c>
      <c r="D71" t="s">
        <v>36</v>
      </c>
      <c r="E71" t="s">
        <v>34</v>
      </c>
      <c r="F71" t="s">
        <v>41</v>
      </c>
      <c r="I71" s="2" t="str">
        <f ca="1">IF(ISNUMBER(A71),
IF(COUNTIFS(Equipar!B:B,3,Equipar!AC:AC,A71),"Equipada",
IF(
  OR(COUNTIFS(Equipar!B:B,3,Equipar!C:C,A71)
 +COUNTIFS(Equipar!B:B,3,Equipar!D:D,A71)
+COUNTIFS(Equipar!B:B,3,Equipar!E:E,A71)
+COUNTIFS(Equipar!B:B,3,Equipar!F:F,A71)
&gt;0,COUNTIF('Set recomendado'!B:B,C71)=0),
"Bloqueada",
"Desechable")),""
)</f>
        <v>Desechable</v>
      </c>
      <c r="J71" t="str" cm="1">
        <f t="array" ref="J71">IF(ISNUMBER(A71),IFERROR(_xlfn._xlws.FILTER(Equipar!A:A,(Equipar!B:B=3)*(Equipar!AC:AC=A71)),""),"")</f>
        <v/>
      </c>
    </row>
    <row r="72" spans="1:10" x14ac:dyDescent="0.25">
      <c r="A72" s="1">
        <v>207</v>
      </c>
      <c r="B72" t="s">
        <v>54</v>
      </c>
      <c r="C72" t="s">
        <v>21</v>
      </c>
      <c r="D72" t="s">
        <v>36</v>
      </c>
      <c r="E72" t="s">
        <v>36</v>
      </c>
      <c r="F72" t="s">
        <v>42</v>
      </c>
      <c r="G72" t="s">
        <v>38</v>
      </c>
      <c r="I72" s="2" t="str">
        <f ca="1">IF(ISNUMBER(A72),
IF(COUNTIFS(Equipar!B:B,3,Equipar!AC:AC,A72),"Equipada",
IF(
  OR(COUNTIFS(Equipar!B:B,3,Equipar!C:C,A72)
 +COUNTIFS(Equipar!B:B,3,Equipar!D:D,A72)
+COUNTIFS(Equipar!B:B,3,Equipar!E:E,A72)
+COUNTIFS(Equipar!B:B,3,Equipar!F:F,A72)
&gt;0,COUNTIF('Set recomendado'!B:B,C72)=0),
"Bloqueada",
"Desechable")),""
)</f>
        <v>Desechable</v>
      </c>
      <c r="J72" t="str" cm="1">
        <f t="array" ref="J72">IF(ISNUMBER(A72),IFERROR(_xlfn._xlws.FILTER(Equipar!A:A,(Equipar!B:B=3)*(Equipar!AC:AC=A72)),""),"")</f>
        <v/>
      </c>
    </row>
    <row r="73" spans="1:10" x14ac:dyDescent="0.25">
      <c r="A73" s="1">
        <v>208</v>
      </c>
      <c r="B73" t="s">
        <v>54</v>
      </c>
      <c r="C73" t="s">
        <v>21</v>
      </c>
      <c r="D73" t="s">
        <v>36</v>
      </c>
      <c r="E73" t="s">
        <v>43</v>
      </c>
      <c r="F73" t="s">
        <v>42</v>
      </c>
      <c r="I73" s="2" t="str">
        <f ca="1">IF(ISNUMBER(A73),
IF(COUNTIFS(Equipar!B:B,3,Equipar!AC:AC,A73),"Equipada",
IF(
  OR(COUNTIFS(Equipar!B:B,3,Equipar!C:C,A73)
 +COUNTIFS(Equipar!B:B,3,Equipar!D:D,A73)
+COUNTIFS(Equipar!B:B,3,Equipar!E:E,A73)
+COUNTIFS(Equipar!B:B,3,Equipar!F:F,A73)
&gt;0,COUNTIF('Set recomendado'!B:B,C73)=0),
"Bloqueada",
"Desechable")),""
)</f>
        <v>Desechable</v>
      </c>
      <c r="J73" t="str" cm="1">
        <f t="array" ref="J73">IF(ISNUMBER(A73),IFERROR(_xlfn._xlws.FILTER(Equipar!A:A,(Equipar!B:B=3)*(Equipar!AC:AC=A73)),""),"")</f>
        <v/>
      </c>
    </row>
    <row r="74" spans="1:10" x14ac:dyDescent="0.25">
      <c r="A74" s="1">
        <v>209</v>
      </c>
      <c r="B74" t="s">
        <v>54</v>
      </c>
      <c r="C74" t="s">
        <v>21</v>
      </c>
      <c r="D74" t="s">
        <v>36</v>
      </c>
      <c r="E74" t="s">
        <v>38</v>
      </c>
      <c r="F74" t="s">
        <v>37</v>
      </c>
      <c r="G74" t="s">
        <v>32</v>
      </c>
      <c r="I74" s="2" t="str">
        <f ca="1">IF(ISNUMBER(A74),
IF(COUNTIFS(Equipar!B:B,3,Equipar!AC:AC,A74),"Equipada",
IF(
  OR(COUNTIFS(Equipar!B:B,3,Equipar!C:C,A74)
 +COUNTIFS(Equipar!B:B,3,Equipar!D:D,A74)
+COUNTIFS(Equipar!B:B,3,Equipar!E:E,A74)
+COUNTIFS(Equipar!B:B,3,Equipar!F:F,A74)
&gt;0,COUNTIF('Set recomendado'!B:B,C74)=0),
"Bloqueada",
"Desechable")),""
)</f>
        <v>Desechable</v>
      </c>
      <c r="J74" t="str" cm="1">
        <f t="array" ref="J74">IF(ISNUMBER(A74),IFERROR(_xlfn._xlws.FILTER(Equipar!A:A,(Equipar!B:B=3)*(Equipar!AC:AC=A74)),""),"")</f>
        <v/>
      </c>
    </row>
    <row r="75" spans="1:10" x14ac:dyDescent="0.25">
      <c r="A75" s="1">
        <v>210</v>
      </c>
      <c r="B75" t="s">
        <v>54</v>
      </c>
      <c r="C75" t="s">
        <v>21</v>
      </c>
      <c r="D75" t="s">
        <v>36</v>
      </c>
      <c r="E75" t="s">
        <v>40</v>
      </c>
      <c r="F75" t="s">
        <v>37</v>
      </c>
      <c r="I75" s="2" t="str">
        <f ca="1">IF(ISNUMBER(A75),
IF(COUNTIFS(Equipar!B:B,3,Equipar!AC:AC,A75),"Equipada",
IF(
  OR(COUNTIFS(Equipar!B:B,3,Equipar!C:C,A75)
 +COUNTIFS(Equipar!B:B,3,Equipar!D:D,A75)
+COUNTIFS(Equipar!B:B,3,Equipar!E:E,A75)
+COUNTIFS(Equipar!B:B,3,Equipar!F:F,A75)
&gt;0,COUNTIF('Set recomendado'!B:B,C75)=0),
"Bloqueada",
"Desechable")),""
)</f>
        <v>Desechable</v>
      </c>
      <c r="J75" t="str" cm="1">
        <f t="array" ref="J75">IF(ISNUMBER(A75),IFERROR(_xlfn._xlws.FILTER(Equipar!A:A,(Equipar!B:B=3)*(Equipar!AC:AC=A75)),""),"")</f>
        <v/>
      </c>
    </row>
    <row r="76" spans="1:10" x14ac:dyDescent="0.25">
      <c r="A76" s="1">
        <v>211</v>
      </c>
      <c r="B76" t="s">
        <v>54</v>
      </c>
      <c r="C76" t="s">
        <v>21</v>
      </c>
      <c r="D76" t="s">
        <v>36</v>
      </c>
      <c r="E76" t="s">
        <v>32</v>
      </c>
      <c r="F76" t="s">
        <v>37</v>
      </c>
      <c r="I76" s="2" t="str">
        <f ca="1">IF(ISNUMBER(A76),
IF(COUNTIFS(Equipar!B:B,3,Equipar!AC:AC,A76),"Equipada",
IF(
  OR(COUNTIFS(Equipar!B:B,3,Equipar!C:C,A76)
 +COUNTIFS(Equipar!B:B,3,Equipar!D:D,A76)
+COUNTIFS(Equipar!B:B,3,Equipar!E:E,A76)
+COUNTIFS(Equipar!B:B,3,Equipar!F:F,A76)
&gt;0,COUNTIF('Set recomendado'!B:B,C76)=0),
"Bloqueada",
"Desechable")),""
)</f>
        <v>Desechable</v>
      </c>
      <c r="J76" t="str" cm="1">
        <f t="array" ref="J76">IF(ISNUMBER(A76),IFERROR(_xlfn._xlws.FILTER(Equipar!A:A,(Equipar!B:B=3)*(Equipar!AC:AC=A76)),""),"")</f>
        <v/>
      </c>
    </row>
    <row r="77" spans="1:10" x14ac:dyDescent="0.25">
      <c r="A77" s="1">
        <v>212</v>
      </c>
      <c r="B77" t="s">
        <v>54</v>
      </c>
      <c r="C77" t="s">
        <v>21</v>
      </c>
      <c r="D77" t="s">
        <v>36</v>
      </c>
      <c r="E77" t="s">
        <v>32</v>
      </c>
      <c r="F77" t="s">
        <v>38</v>
      </c>
      <c r="I77" s="2" t="str">
        <f ca="1">IF(ISNUMBER(A77),
IF(COUNTIFS(Equipar!B:B,3,Equipar!AC:AC,A77),"Equipada",
IF(
  OR(COUNTIFS(Equipar!B:B,3,Equipar!C:C,A77)
 +COUNTIFS(Equipar!B:B,3,Equipar!D:D,A77)
+COUNTIFS(Equipar!B:B,3,Equipar!E:E,A77)
+COUNTIFS(Equipar!B:B,3,Equipar!F:F,A77)
&gt;0,COUNTIF('Set recomendado'!B:B,C77)=0),
"Bloqueada",
"Desechable")),""
)</f>
        <v>Desechable</v>
      </c>
      <c r="J77" t="str" cm="1">
        <f t="array" ref="J77">IF(ISNUMBER(A77),IFERROR(_xlfn._xlws.FILTER(Equipar!A:A,(Equipar!B:B=3)*(Equipar!AC:AC=A77)),""),"")</f>
        <v/>
      </c>
    </row>
    <row r="78" spans="1:10" x14ac:dyDescent="0.25">
      <c r="A78" s="1">
        <v>213</v>
      </c>
      <c r="B78" t="s">
        <v>54</v>
      </c>
      <c r="C78" t="s">
        <v>21</v>
      </c>
      <c r="D78" t="s">
        <v>36</v>
      </c>
      <c r="E78" t="s">
        <v>36</v>
      </c>
      <c r="F78" t="s">
        <v>42</v>
      </c>
      <c r="I78" s="2" t="str">
        <f ca="1">IF(ISNUMBER(A78),
IF(COUNTIFS(Equipar!B:B,3,Equipar!AC:AC,A78),"Equipada",
IF(
  OR(COUNTIFS(Equipar!B:B,3,Equipar!C:C,A78)
 +COUNTIFS(Equipar!B:B,3,Equipar!D:D,A78)
+COUNTIFS(Equipar!B:B,3,Equipar!E:E,A78)
+COUNTIFS(Equipar!B:B,3,Equipar!F:F,A78)
&gt;0,COUNTIF('Set recomendado'!B:B,C78)=0),
"Bloqueada",
"Desechable")),""
)</f>
        <v>Desechable</v>
      </c>
      <c r="J78" t="str" cm="1">
        <f t="array" ref="J78">IF(ISNUMBER(A78),IFERROR(_xlfn._xlws.FILTER(Equipar!A:A,(Equipar!B:B=3)*(Equipar!AC:AC=A78)),""),"")</f>
        <v/>
      </c>
    </row>
    <row r="79" spans="1:10" x14ac:dyDescent="0.25">
      <c r="A79" s="1">
        <v>214</v>
      </c>
      <c r="B79" t="s">
        <v>54</v>
      </c>
      <c r="C79" t="s">
        <v>29</v>
      </c>
      <c r="D79" t="s">
        <v>36</v>
      </c>
      <c r="E79" t="s">
        <v>40</v>
      </c>
      <c r="F79" t="s">
        <v>43</v>
      </c>
      <c r="G79" t="s">
        <v>42</v>
      </c>
      <c r="I79" s="2" t="str">
        <f ca="1">IF(ISNUMBER(A79),
IF(COUNTIFS(Equipar!B:B,3,Equipar!AC:AC,A79),"Equipada",
IF(
  OR(COUNTIFS(Equipar!B:B,3,Equipar!C:C,A79)
 +COUNTIFS(Equipar!B:B,3,Equipar!D:D,A79)
+COUNTIFS(Equipar!B:B,3,Equipar!E:E,A79)
+COUNTIFS(Equipar!B:B,3,Equipar!F:F,A79)
&gt;0,COUNTIF('Set recomendado'!B:B,C79)=0),
"Bloqueada",
"Desechable")),""
)</f>
        <v>Desechable</v>
      </c>
      <c r="J79" t="str" cm="1">
        <f t="array" ref="J79">IF(ISNUMBER(A79),IFERROR(_xlfn._xlws.FILTER(Equipar!A:A,(Equipar!B:B=3)*(Equipar!AC:AC=A79)),""),"")</f>
        <v/>
      </c>
    </row>
    <row r="80" spans="1:10" x14ac:dyDescent="0.25">
      <c r="A80" s="1">
        <v>215</v>
      </c>
      <c r="B80" t="s">
        <v>54</v>
      </c>
      <c r="C80" t="s">
        <v>29</v>
      </c>
      <c r="D80" t="s">
        <v>36</v>
      </c>
      <c r="E80" t="s">
        <v>36</v>
      </c>
      <c r="F80" t="s">
        <v>38</v>
      </c>
      <c r="G80" t="s">
        <v>39</v>
      </c>
      <c r="I80" s="2" t="str">
        <f ca="1">IF(ISNUMBER(A80),
IF(COUNTIFS(Equipar!B:B,3,Equipar!AC:AC,A80),"Equipada",
IF(
  OR(COUNTIFS(Equipar!B:B,3,Equipar!C:C,A80)
 +COUNTIFS(Equipar!B:B,3,Equipar!D:D,A80)
+COUNTIFS(Equipar!B:B,3,Equipar!E:E,A80)
+COUNTIFS(Equipar!B:B,3,Equipar!F:F,A80)
&gt;0,COUNTIF('Set recomendado'!B:B,C80)=0),
"Bloqueada",
"Desechable")),""
)</f>
        <v>Desechable</v>
      </c>
      <c r="J80" t="str" cm="1">
        <f t="array" ref="J80">IF(ISNUMBER(A80),IFERROR(_xlfn._xlws.FILTER(Equipar!A:A,(Equipar!B:B=3)*(Equipar!AC:AC=A80)),""),"")</f>
        <v/>
      </c>
    </row>
    <row r="81" spans="1:10" x14ac:dyDescent="0.25">
      <c r="A81" s="1">
        <v>216</v>
      </c>
      <c r="B81" t="s">
        <v>54</v>
      </c>
      <c r="C81" t="s">
        <v>29</v>
      </c>
      <c r="D81" t="s">
        <v>36</v>
      </c>
      <c r="E81" t="s">
        <v>36</v>
      </c>
      <c r="F81" t="s">
        <v>37</v>
      </c>
      <c r="G81" t="s">
        <v>43</v>
      </c>
      <c r="I81" s="2" t="str">
        <f ca="1">IF(ISNUMBER(A81),
IF(COUNTIFS(Equipar!B:B,3,Equipar!AC:AC,A81),"Equipada",
IF(
  OR(COUNTIFS(Equipar!B:B,3,Equipar!C:C,A81)
 +COUNTIFS(Equipar!B:B,3,Equipar!D:D,A81)
+COUNTIFS(Equipar!B:B,3,Equipar!E:E,A81)
+COUNTIFS(Equipar!B:B,3,Equipar!F:F,A81)
&gt;0,COUNTIF('Set recomendado'!B:B,C81)=0),
"Bloqueada",
"Desechable")),""
)</f>
        <v>Desechable</v>
      </c>
      <c r="J81" t="str" cm="1">
        <f t="array" ref="J81">IF(ISNUMBER(A81),IFERROR(_xlfn._xlws.FILTER(Equipar!A:A,(Equipar!B:B=3)*(Equipar!AC:AC=A81)),""),"")</f>
        <v/>
      </c>
    </row>
    <row r="82" spans="1:10" x14ac:dyDescent="0.25">
      <c r="A82" s="1">
        <v>217</v>
      </c>
      <c r="B82" t="s">
        <v>54</v>
      </c>
      <c r="C82" t="s">
        <v>29</v>
      </c>
      <c r="D82" t="s">
        <v>36</v>
      </c>
      <c r="E82" t="s">
        <v>36</v>
      </c>
      <c r="F82" t="s">
        <v>42</v>
      </c>
      <c r="G82" t="s">
        <v>38</v>
      </c>
      <c r="H82" t="s">
        <v>42</v>
      </c>
      <c r="I82" s="2" t="str">
        <f ca="1">IF(ISNUMBER(A82),
IF(COUNTIFS(Equipar!B:B,3,Equipar!AC:AC,A82),"Equipada",
IF(
  OR(COUNTIFS(Equipar!B:B,3,Equipar!C:C,A82)
 +COUNTIFS(Equipar!B:B,3,Equipar!D:D,A82)
+COUNTIFS(Equipar!B:B,3,Equipar!E:E,A82)
+COUNTIFS(Equipar!B:B,3,Equipar!F:F,A82)
&gt;0,COUNTIF('Set recomendado'!B:B,C82)=0),
"Bloqueada",
"Desechable")),""
)</f>
        <v>Desechable</v>
      </c>
      <c r="J82" t="str" cm="1">
        <f t="array" ref="J82">IF(ISNUMBER(A82),IFERROR(_xlfn._xlws.FILTER(Equipar!A:A,(Equipar!B:B=3)*(Equipar!AC:AC=A82)),""),"")</f>
        <v/>
      </c>
    </row>
    <row r="83" spans="1:10" x14ac:dyDescent="0.25">
      <c r="A83" s="1">
        <v>218</v>
      </c>
      <c r="B83" t="s">
        <v>54</v>
      </c>
      <c r="C83" t="s">
        <v>29</v>
      </c>
      <c r="D83" t="s">
        <v>36</v>
      </c>
      <c r="E83" t="s">
        <v>41</v>
      </c>
      <c r="F83" t="s">
        <v>43</v>
      </c>
      <c r="G83" t="s">
        <v>41</v>
      </c>
      <c r="I83" s="2" t="str">
        <f ca="1">IF(ISNUMBER(A83),
IF(COUNTIFS(Equipar!B:B,3,Equipar!AC:AC,A83),"Equipada",
IF(
  OR(COUNTIFS(Equipar!B:B,3,Equipar!C:C,A83)
 +COUNTIFS(Equipar!B:B,3,Equipar!D:D,A83)
+COUNTIFS(Equipar!B:B,3,Equipar!E:E,A83)
+COUNTIFS(Equipar!B:B,3,Equipar!F:F,A83)
&gt;0,COUNTIF('Set recomendado'!B:B,C83)=0),
"Bloqueada",
"Desechable")),""
)</f>
        <v>Desechable</v>
      </c>
      <c r="J83" t="str" cm="1">
        <f t="array" ref="J83">IF(ISNUMBER(A83),IFERROR(_xlfn._xlws.FILTER(Equipar!A:A,(Equipar!B:B=3)*(Equipar!AC:AC=A83)),""),"")</f>
        <v/>
      </c>
    </row>
    <row r="84" spans="1:10" x14ac:dyDescent="0.25">
      <c r="A84" s="1">
        <v>219</v>
      </c>
      <c r="B84" t="s">
        <v>54</v>
      </c>
      <c r="C84" t="s">
        <v>29</v>
      </c>
      <c r="D84" t="s">
        <v>36</v>
      </c>
      <c r="E84" t="s">
        <v>42</v>
      </c>
      <c r="F84" t="s">
        <v>36</v>
      </c>
      <c r="I84" s="2" t="str">
        <f ca="1">IF(ISNUMBER(A84),
IF(COUNTIFS(Equipar!B:B,3,Equipar!AC:AC,A84),"Equipada",
IF(
  OR(COUNTIFS(Equipar!B:B,3,Equipar!C:C,A84)
 +COUNTIFS(Equipar!B:B,3,Equipar!D:D,A84)
+COUNTIFS(Equipar!B:B,3,Equipar!E:E,A84)
+COUNTIFS(Equipar!B:B,3,Equipar!F:F,A84)
&gt;0,COUNTIF('Set recomendado'!B:B,C84)=0),
"Bloqueada",
"Desechable")),""
)</f>
        <v>Desechable</v>
      </c>
      <c r="J84" t="str" cm="1">
        <f t="array" ref="J84">IF(ISNUMBER(A84),IFERROR(_xlfn._xlws.FILTER(Equipar!A:A,(Equipar!B:B=3)*(Equipar!AC:AC=A84)),""),"")</f>
        <v/>
      </c>
    </row>
    <row r="85" spans="1:10" x14ac:dyDescent="0.25">
      <c r="A85" s="1">
        <v>220</v>
      </c>
      <c r="B85" s="4" t="s">
        <v>54</v>
      </c>
      <c r="C85" s="4" t="s">
        <v>29</v>
      </c>
      <c r="D85" s="4" t="s">
        <v>36</v>
      </c>
      <c r="E85" s="4" t="s">
        <v>32</v>
      </c>
      <c r="F85" s="4" t="s">
        <v>37</v>
      </c>
      <c r="G85" s="4" t="s">
        <v>44</v>
      </c>
      <c r="H85" s="4"/>
      <c r="I85" s="2" t="str">
        <f ca="1">IF(ISNUMBER(A85),
IF(COUNTIFS(Equipar!B:B,3,Equipar!AC:AC,A85),"Equipada",
IF(
  OR(COUNTIFS(Equipar!B:B,3,Equipar!C:C,A85)
 +COUNTIFS(Equipar!B:B,3,Equipar!D:D,A85)
+COUNTIFS(Equipar!B:B,3,Equipar!E:E,A85)
+COUNTIFS(Equipar!B:B,3,Equipar!F:F,A85)
&gt;0,COUNTIF('Set recomendado'!B:B,C85)=0),
"Bloqueada",
"Desechable")),""
)</f>
        <v>Desechable</v>
      </c>
      <c r="J85" t="str" cm="1">
        <f t="array" ref="J85">IF(ISNUMBER(A85),IFERROR(_xlfn._xlws.FILTER(Equipar!A:A,(Equipar!B:B=3)*(Equipar!AC:AC=A85)),""),"")</f>
        <v/>
      </c>
    </row>
    <row r="86" spans="1:10" x14ac:dyDescent="0.25">
      <c r="A86" s="1">
        <v>221</v>
      </c>
      <c r="B86" s="6" t="s">
        <v>53</v>
      </c>
      <c r="C86" s="6" t="s">
        <v>10</v>
      </c>
      <c r="D86" s="6" t="s">
        <v>36</v>
      </c>
      <c r="E86" s="6" t="s">
        <v>44</v>
      </c>
      <c r="F86" s="6" t="s">
        <v>41</v>
      </c>
      <c r="G86" s="6" t="s">
        <v>32</v>
      </c>
      <c r="H86" s="4"/>
      <c r="I86" s="2" t="str">
        <f ca="1">IF(ISNUMBER(A86),
IF(COUNTIFS(Equipar!B:B,3,Equipar!AC:AC,A86),"Equipada",
IF(
  OR(COUNTIFS(Equipar!B:B,3,Equipar!C:C,A86)
 +COUNTIFS(Equipar!B:B,3,Equipar!D:D,A86)
+COUNTIFS(Equipar!B:B,3,Equipar!E:E,A86)
+COUNTIFS(Equipar!B:B,3,Equipar!F:F,A86)
&gt;0,COUNTIF('Set recomendado'!B:B,C86)=0),
"Bloqueada",
"Desechable")),""
)</f>
        <v>Desechable</v>
      </c>
      <c r="J86" t="str" cm="1">
        <f t="array" ref="J86">IF(ISNUMBER(A86),IFERROR(_xlfn._xlws.FILTER(Equipar!A:A,(Equipar!B:B=3)*(Equipar!AC:AC=A86)),""),"")</f>
        <v/>
      </c>
    </row>
    <row r="87" spans="1:10" x14ac:dyDescent="0.25">
      <c r="A87" s="1">
        <v>223</v>
      </c>
      <c r="B87" s="6" t="s">
        <v>53</v>
      </c>
      <c r="C87" s="6" t="s">
        <v>14</v>
      </c>
      <c r="D87" s="6" t="s">
        <v>36</v>
      </c>
      <c r="E87" s="6" t="s">
        <v>37</v>
      </c>
      <c r="F87" s="6" t="s">
        <v>39</v>
      </c>
      <c r="G87" s="6" t="s">
        <v>33</v>
      </c>
      <c r="H87" s="4"/>
      <c r="I87" s="2" t="str">
        <f ca="1">IF(ISNUMBER(A87),
IF(COUNTIFS(Equipar!B:B,3,Equipar!AC:AC,A87),"Equipada",
IF(
  OR(COUNTIFS(Equipar!B:B,3,Equipar!C:C,A87)
 +COUNTIFS(Equipar!B:B,3,Equipar!D:D,A87)
+COUNTIFS(Equipar!B:B,3,Equipar!E:E,A87)
+COUNTIFS(Equipar!B:B,3,Equipar!F:F,A87)
&gt;0,COUNTIF('Set recomendado'!B:B,C87)=0),
"Bloqueada",
"Desechable")),""
)</f>
        <v>Desechable</v>
      </c>
      <c r="J87" t="str" cm="1">
        <f t="array" ref="J87">IF(ISNUMBER(A87),IFERROR(_xlfn._xlws.FILTER(Equipar!A:A,(Equipar!B:B=3)*(Equipar!AC:AC=A87)),""),"")</f>
        <v/>
      </c>
    </row>
    <row r="88" spans="1:10" x14ac:dyDescent="0.25">
      <c r="A88" s="1">
        <v>224</v>
      </c>
      <c r="B88" s="6" t="s">
        <v>53</v>
      </c>
      <c r="C88" s="6" t="s">
        <v>57</v>
      </c>
      <c r="D88" s="6" t="s">
        <v>36</v>
      </c>
      <c r="E88" s="6" t="s">
        <v>38</v>
      </c>
      <c r="F88" s="6" t="s">
        <v>41</v>
      </c>
      <c r="G88" s="6" t="s">
        <v>32</v>
      </c>
      <c r="H88" s="4"/>
      <c r="I88" s="2" t="str">
        <f ca="1">IF(ISNUMBER(A88),
IF(COUNTIFS(Equipar!B:B,3,Equipar!AC:AC,A88),"Equipada",
IF(
  OR(COUNTIFS(Equipar!B:B,3,Equipar!C:C,A88)
 +COUNTIFS(Equipar!B:B,3,Equipar!D:D,A88)
+COUNTIFS(Equipar!B:B,3,Equipar!E:E,A88)
+COUNTIFS(Equipar!B:B,3,Equipar!F:F,A88)
&gt;0,COUNTIF('Set recomendado'!B:B,C88)=0),
"Bloqueada",
"Desechable")),""
)</f>
        <v>Bloqueada</v>
      </c>
      <c r="J88" t="str" cm="1">
        <f t="array" ref="J88">IF(ISNUMBER(A88),IFERROR(_xlfn._xlws.FILTER(Equipar!A:A,(Equipar!B:B=3)*(Equipar!AC:AC=A88)),""),"")</f>
        <v/>
      </c>
    </row>
    <row r="89" spans="1:10" x14ac:dyDescent="0.25">
      <c r="A89" s="1">
        <v>225</v>
      </c>
      <c r="B89" s="6" t="s">
        <v>54</v>
      </c>
      <c r="C89" s="6" t="s">
        <v>55</v>
      </c>
      <c r="D89" s="6" t="s">
        <v>36</v>
      </c>
      <c r="E89" s="6" t="s">
        <v>32</v>
      </c>
      <c r="F89" s="6" t="s">
        <v>36</v>
      </c>
      <c r="G89" s="6" t="s">
        <v>32</v>
      </c>
      <c r="H89" s="4"/>
      <c r="I89" s="2" t="str">
        <f ca="1">IF(ISNUMBER(A89),
IF(COUNTIFS(Equipar!B:B,3,Equipar!AC:AC,A89),"Equipada",
IF(
  OR(COUNTIFS(Equipar!B:B,3,Equipar!C:C,A89)
 +COUNTIFS(Equipar!B:B,3,Equipar!D:D,A89)
+COUNTIFS(Equipar!B:B,3,Equipar!E:E,A89)
+COUNTIFS(Equipar!B:B,3,Equipar!F:F,A89)
&gt;0,COUNTIF('Set recomendado'!B:B,C89)=0),
"Bloqueada",
"Desechable")),""
)</f>
        <v>Desechable</v>
      </c>
      <c r="J89" t="str" cm="1">
        <f t="array" ref="J89">IF(ISNUMBER(A89),IFERROR(_xlfn._xlws.FILTER(Equipar!A:A,(Equipar!B:B=3)*(Equipar!AC:AC=A89)),""),"")</f>
        <v/>
      </c>
    </row>
    <row r="90" spans="1:10" x14ac:dyDescent="0.25">
      <c r="A90" s="1">
        <v>226</v>
      </c>
      <c r="B90" s="6" t="s">
        <v>54</v>
      </c>
      <c r="C90" s="6" t="s">
        <v>21</v>
      </c>
      <c r="D90" s="6" t="s">
        <v>36</v>
      </c>
      <c r="E90" s="6" t="s">
        <v>40</v>
      </c>
      <c r="F90" s="6" t="s">
        <v>38</v>
      </c>
      <c r="G90" s="4"/>
      <c r="H90" s="4"/>
      <c r="I90" s="2" t="str">
        <f ca="1">IF(ISNUMBER(A90),
IF(COUNTIFS(Equipar!B:B,3,Equipar!AC:AC,A90),"Equipada",
IF(
  OR(COUNTIFS(Equipar!B:B,3,Equipar!C:C,A90)
 +COUNTIFS(Equipar!B:B,3,Equipar!D:D,A90)
+COUNTIFS(Equipar!B:B,3,Equipar!E:E,A90)
+COUNTIFS(Equipar!B:B,3,Equipar!F:F,A90)
&gt;0,COUNTIF('Set recomendado'!B:B,C90)=0),
"Bloqueada",
"Desechable")),""
)</f>
        <v>Desechable</v>
      </c>
      <c r="J90" t="str" cm="1">
        <f t="array" ref="J90">IF(ISNUMBER(A90),IFERROR(_xlfn._xlws.FILTER(Equipar!A:A,(Equipar!B:B=3)*(Equipar!AC:AC=A90)),""),"")</f>
        <v/>
      </c>
    </row>
    <row r="91" spans="1:10" x14ac:dyDescent="0.25">
      <c r="A91" s="1">
        <v>227</v>
      </c>
      <c r="B91" s="6" t="s">
        <v>54</v>
      </c>
      <c r="C91" s="6" t="s">
        <v>21</v>
      </c>
      <c r="D91" s="6" t="s">
        <v>36</v>
      </c>
      <c r="E91" s="6" t="s">
        <v>38</v>
      </c>
      <c r="F91" s="6" t="s">
        <v>36</v>
      </c>
      <c r="G91" s="4"/>
      <c r="H91" s="4"/>
      <c r="I91" s="2" t="str">
        <f ca="1">IF(ISNUMBER(A91),
IF(COUNTIFS(Equipar!B:B,3,Equipar!AC:AC,A91),"Equipada",
IF(
  OR(COUNTIFS(Equipar!B:B,3,Equipar!C:C,A91)
 +COUNTIFS(Equipar!B:B,3,Equipar!D:D,A91)
+COUNTIFS(Equipar!B:B,3,Equipar!E:E,A91)
+COUNTIFS(Equipar!B:B,3,Equipar!F:F,A91)
&gt;0,COUNTIF('Set recomendado'!B:B,C91)=0),
"Bloqueada",
"Desechable")),""
)</f>
        <v>Desechable</v>
      </c>
      <c r="J91" t="str" cm="1">
        <f t="array" ref="J91">IF(ISNUMBER(A91),IFERROR(_xlfn._xlws.FILTER(Equipar!A:A,(Equipar!B:B=3)*(Equipar!AC:AC=A91)),""),"")</f>
        <v/>
      </c>
    </row>
    <row r="92" spans="1:10" x14ac:dyDescent="0.25">
      <c r="A92" s="1">
        <v>228</v>
      </c>
      <c r="B92" s="6" t="s">
        <v>54</v>
      </c>
      <c r="C92" s="6" t="s">
        <v>21</v>
      </c>
      <c r="D92" s="6" t="s">
        <v>36</v>
      </c>
      <c r="E92" s="6" t="s">
        <v>40</v>
      </c>
      <c r="F92" s="6" t="s">
        <v>38</v>
      </c>
      <c r="G92" s="4"/>
      <c r="H92" s="4"/>
      <c r="I92" s="2" t="str">
        <f ca="1">IF(ISNUMBER(A92),
IF(COUNTIFS(Equipar!B:B,3,Equipar!AC:AC,A92),"Equipada",
IF(
  OR(COUNTIFS(Equipar!B:B,3,Equipar!C:C,A92)
 +COUNTIFS(Equipar!B:B,3,Equipar!D:D,A92)
+COUNTIFS(Equipar!B:B,3,Equipar!E:E,A92)
+COUNTIFS(Equipar!B:B,3,Equipar!F:F,A92)
&gt;0,COUNTIF('Set recomendado'!B:B,C92)=0),
"Bloqueada",
"Desechable")),""
)</f>
        <v>Desechable</v>
      </c>
      <c r="J92" t="str" cm="1">
        <f t="array" ref="J92">IF(ISNUMBER(A92),IFERROR(_xlfn._xlws.FILTER(Equipar!A:A,(Equipar!B:B=3)*(Equipar!AC:AC=A92)),""),"")</f>
        <v/>
      </c>
    </row>
    <row r="93" spans="1:10" x14ac:dyDescent="0.25">
      <c r="A93" s="1">
        <v>229</v>
      </c>
      <c r="B93" s="6" t="s">
        <v>54</v>
      </c>
      <c r="C93" s="6" t="s">
        <v>21</v>
      </c>
      <c r="D93" s="6" t="s">
        <v>36</v>
      </c>
      <c r="E93" s="6" t="s">
        <v>34</v>
      </c>
      <c r="F93" s="6" t="s">
        <v>42</v>
      </c>
      <c r="G93" s="4"/>
      <c r="H93" s="4"/>
      <c r="I93" s="2" t="str">
        <f ca="1">IF(ISNUMBER(A93),
IF(COUNTIFS(Equipar!B:B,3,Equipar!AC:AC,A93),"Equipada",
IF(
  OR(COUNTIFS(Equipar!B:B,3,Equipar!C:C,A93)
 +COUNTIFS(Equipar!B:B,3,Equipar!D:D,A93)
+COUNTIFS(Equipar!B:B,3,Equipar!E:E,A93)
+COUNTIFS(Equipar!B:B,3,Equipar!F:F,A93)
&gt;0,COUNTIF('Set recomendado'!B:B,C93)=0),
"Bloqueada",
"Desechable")),""
)</f>
        <v>Desechable</v>
      </c>
      <c r="J93" t="str" cm="1">
        <f t="array" ref="J93">IF(ISNUMBER(A93),IFERROR(_xlfn._xlws.FILTER(Equipar!A:A,(Equipar!B:B=3)*(Equipar!AC:AC=A93)),""),"")</f>
        <v/>
      </c>
    </row>
    <row r="94" spans="1:10" x14ac:dyDescent="0.25">
      <c r="A94" s="1">
        <v>230</v>
      </c>
      <c r="B94" s="6" t="s">
        <v>53</v>
      </c>
      <c r="C94" s="6" t="s">
        <v>13</v>
      </c>
      <c r="D94" s="6" t="s">
        <v>36</v>
      </c>
      <c r="E94" s="6" t="s">
        <v>42</v>
      </c>
      <c r="F94" s="6" t="s">
        <v>38</v>
      </c>
      <c r="G94" s="6" t="s">
        <v>39</v>
      </c>
      <c r="H94" s="4"/>
      <c r="I94" s="2" t="str">
        <f ca="1">IF(ISNUMBER(A94),
IF(COUNTIFS(Equipar!B:B,3,Equipar!AC:AC,A94),"Equipada",
IF(
  OR(COUNTIFS(Equipar!B:B,3,Equipar!C:C,A94)
 +COUNTIFS(Equipar!B:B,3,Equipar!D:D,A94)
+COUNTIFS(Equipar!B:B,3,Equipar!E:E,A94)
+COUNTIFS(Equipar!B:B,3,Equipar!F:F,A94)
&gt;0,COUNTIF('Set recomendado'!B:B,C94)=0),
"Bloqueada",
"Desechable")),""
)</f>
        <v>Desechable</v>
      </c>
      <c r="J94" t="str" cm="1">
        <f t="array" ref="J94">IF(ISNUMBER(A94),IFERROR(_xlfn._xlws.FILTER(Equipar!A:A,(Equipar!B:B=3)*(Equipar!AC:AC=A94)),""),"")</f>
        <v/>
      </c>
    </row>
    <row r="95" spans="1:10" x14ac:dyDescent="0.25">
      <c r="A95" s="1">
        <v>231</v>
      </c>
      <c r="B95" s="6" t="s">
        <v>53</v>
      </c>
      <c r="C95" s="6" t="s">
        <v>29</v>
      </c>
      <c r="D95" s="6" t="s">
        <v>36</v>
      </c>
      <c r="E95" s="6" t="s">
        <v>42</v>
      </c>
      <c r="F95" s="6" t="s">
        <v>37</v>
      </c>
      <c r="G95" s="6" t="s">
        <v>34</v>
      </c>
      <c r="I95" s="2" t="str">
        <f ca="1">IF(ISNUMBER(A95),
IF(COUNTIFS(Equipar!B:B,3,Equipar!AC:AC,A95),"Equipada",
IF(
  OR(COUNTIFS(Equipar!B:B,3,Equipar!C:C,A95)
 +COUNTIFS(Equipar!B:B,3,Equipar!D:D,A95)
+COUNTIFS(Equipar!B:B,3,Equipar!E:E,A95)
+COUNTIFS(Equipar!B:B,3,Equipar!F:F,A95)
&gt;0,COUNTIF('Set recomendado'!B:B,C95)=0),
"Bloqueada",
"Desechable")),""
)</f>
        <v>Desechable</v>
      </c>
      <c r="J95" t="str" cm="1">
        <f t="array" ref="J95">IF(ISNUMBER(A95),IFERROR(_xlfn._xlws.FILTER(Equipar!A:A,(Equipar!B:B=3)*(Equipar!AC:AC=A95)),""),"")</f>
        <v/>
      </c>
    </row>
    <row r="96" spans="1:10" x14ac:dyDescent="0.25">
      <c r="A96" s="1">
        <v>232</v>
      </c>
      <c r="B96" s="6" t="s">
        <v>54</v>
      </c>
      <c r="C96" s="6" t="s">
        <v>55</v>
      </c>
      <c r="D96" s="6" t="s">
        <v>36</v>
      </c>
      <c r="E96" s="6" t="s">
        <v>38</v>
      </c>
      <c r="F96" s="6" t="s">
        <v>32</v>
      </c>
      <c r="G96" s="6" t="s">
        <v>42</v>
      </c>
      <c r="I96" s="2" t="str">
        <f ca="1">IF(ISNUMBER(A96),
IF(COUNTIFS(Equipar!B:B,3,Equipar!AC:AC,A96),"Equipada",
IF(
  OR(COUNTIFS(Equipar!B:B,3,Equipar!C:C,A96)
 +COUNTIFS(Equipar!B:B,3,Equipar!D:D,A96)
+COUNTIFS(Equipar!B:B,3,Equipar!E:E,A96)
+COUNTIFS(Equipar!B:B,3,Equipar!F:F,A96)
&gt;0,COUNTIF('Set recomendado'!B:B,C96)=0),
"Bloqueada",
"Desechable")),""
)</f>
        <v>Desechable</v>
      </c>
      <c r="J96" t="str" cm="1">
        <f t="array" ref="J96">IF(ISNUMBER(A96),IFERROR(_xlfn._xlws.FILTER(Equipar!A:A,(Equipar!B:B=3)*(Equipar!AC:AC=A96)),""),"")</f>
        <v/>
      </c>
    </row>
    <row r="97" spans="1:10" x14ac:dyDescent="0.25">
      <c r="A97" s="1">
        <v>233</v>
      </c>
      <c r="B97" s="6" t="s">
        <v>54</v>
      </c>
      <c r="C97" s="6" t="s">
        <v>21</v>
      </c>
      <c r="D97" s="6" t="s">
        <v>36</v>
      </c>
      <c r="E97" s="6" t="s">
        <v>43</v>
      </c>
      <c r="F97" s="6" t="s">
        <v>37</v>
      </c>
      <c r="G97" s="6" t="s">
        <v>42</v>
      </c>
      <c r="I97" s="2" t="str">
        <f ca="1">IF(ISNUMBER(A97),
IF(COUNTIFS(Equipar!B:B,3,Equipar!AC:AC,A97),"Equipada",
IF(
  OR(COUNTIFS(Equipar!B:B,3,Equipar!C:C,A97)
 +COUNTIFS(Equipar!B:B,3,Equipar!D:D,A97)
+COUNTIFS(Equipar!B:B,3,Equipar!E:E,A97)
+COUNTIFS(Equipar!B:B,3,Equipar!F:F,A97)
&gt;0,COUNTIF('Set recomendado'!B:B,C97)=0),
"Bloqueada",
"Desechable")),""
)</f>
        <v>Bloqueada</v>
      </c>
      <c r="J97" t="str" cm="1">
        <f t="array" ref="J97">IF(ISNUMBER(A97),IFERROR(_xlfn._xlws.FILTER(Equipar!A:A,(Equipar!B:B=3)*(Equipar!AC:AC=A97)),""),"")</f>
        <v/>
      </c>
    </row>
    <row r="98" spans="1:10" x14ac:dyDescent="0.25">
      <c r="A98" s="1">
        <v>234</v>
      </c>
      <c r="B98" s="6" t="s">
        <v>54</v>
      </c>
      <c r="C98" s="6" t="s">
        <v>21</v>
      </c>
      <c r="D98" s="6" t="s">
        <v>36</v>
      </c>
      <c r="E98" s="6" t="s">
        <v>33</v>
      </c>
      <c r="F98" s="6" t="s">
        <v>44</v>
      </c>
      <c r="I98" s="2" t="str">
        <f ca="1">IF(ISNUMBER(A98),
IF(COUNTIFS(Equipar!B:B,3,Equipar!AC:AC,A98),"Equipada",
IF(
  OR(COUNTIFS(Equipar!B:B,3,Equipar!C:C,A98)
 +COUNTIFS(Equipar!B:B,3,Equipar!D:D,A98)
+COUNTIFS(Equipar!B:B,3,Equipar!E:E,A98)
+COUNTIFS(Equipar!B:B,3,Equipar!F:F,A98)
&gt;0,COUNTIF('Set recomendado'!B:B,C98)=0),
"Bloqueada",
"Desechable")),""
)</f>
        <v>Desechable</v>
      </c>
      <c r="J98" t="str" cm="1">
        <f t="array" ref="J98">IF(ISNUMBER(A98),IFERROR(_xlfn._xlws.FILTER(Equipar!A:A,(Equipar!B:B=3)*(Equipar!AC:AC=A98)),""),"")</f>
        <v/>
      </c>
    </row>
    <row r="99" spans="1:10" x14ac:dyDescent="0.25">
      <c r="A99" s="1">
        <v>235</v>
      </c>
      <c r="B99" s="6" t="s">
        <v>54</v>
      </c>
      <c r="C99" s="6" t="s">
        <v>21</v>
      </c>
      <c r="D99" s="6" t="s">
        <v>36</v>
      </c>
      <c r="E99" s="6" t="s">
        <v>43</v>
      </c>
      <c r="F99" s="6" t="s">
        <v>41</v>
      </c>
      <c r="I99" s="2" t="str">
        <f ca="1">IF(ISNUMBER(A99),
IF(COUNTIFS(Equipar!B:B,3,Equipar!AC:AC,A99),"Equipada",
IF(
  OR(COUNTIFS(Equipar!B:B,3,Equipar!C:C,A99)
 +COUNTIFS(Equipar!B:B,3,Equipar!D:D,A99)
+COUNTIFS(Equipar!B:B,3,Equipar!E:E,A99)
+COUNTIFS(Equipar!B:B,3,Equipar!F:F,A99)
&gt;0,COUNTIF('Set recomendado'!B:B,C99)=0),
"Bloqueada",
"Desechable")),""
)</f>
        <v>Desechable</v>
      </c>
      <c r="J99" t="str" cm="1">
        <f t="array" ref="J99">IF(ISNUMBER(A99),IFERROR(_xlfn._xlws.FILTER(Equipar!A:A,(Equipar!B:B=3)*(Equipar!AC:AC=A99)),""),"")</f>
        <v/>
      </c>
    </row>
    <row r="100" spans="1:10" x14ac:dyDescent="0.25">
      <c r="A100" s="1">
        <v>236</v>
      </c>
      <c r="B100" s="6" t="s">
        <v>54</v>
      </c>
      <c r="C100" s="6" t="s">
        <v>21</v>
      </c>
      <c r="D100" s="6" t="s">
        <v>36</v>
      </c>
      <c r="E100" s="6" t="s">
        <v>32</v>
      </c>
      <c r="F100" s="6" t="s">
        <v>34</v>
      </c>
      <c r="I100" s="2" t="str">
        <f ca="1">IF(ISNUMBER(A100),
IF(COUNTIFS(Equipar!B:B,3,Equipar!AC:AC,A100),"Equipada",
IF(
  OR(COUNTIFS(Equipar!B:B,3,Equipar!C:C,A100)
 +COUNTIFS(Equipar!B:B,3,Equipar!D:D,A100)
+COUNTIFS(Equipar!B:B,3,Equipar!E:E,A100)
+COUNTIFS(Equipar!B:B,3,Equipar!F:F,A100)
&gt;0,COUNTIF('Set recomendado'!B:B,C100)=0),
"Bloqueada",
"Desechable")),""
)</f>
        <v>Desechable</v>
      </c>
      <c r="J100" t="str" cm="1">
        <f t="array" ref="J100">IF(ISNUMBER(A100),IFERROR(_xlfn._xlws.FILTER(Equipar!A:A,(Equipar!B:B=3)*(Equipar!AC:AC=A100)),""),"")</f>
        <v/>
      </c>
    </row>
    <row r="101" spans="1:10" x14ac:dyDescent="0.25">
      <c r="A101" s="1">
        <v>237</v>
      </c>
      <c r="B101" s="6" t="s">
        <v>54</v>
      </c>
      <c r="C101" s="6" t="s">
        <v>21</v>
      </c>
      <c r="D101" s="6" t="s">
        <v>36</v>
      </c>
      <c r="E101" s="6" t="s">
        <v>37</v>
      </c>
      <c r="F101" s="6" t="s">
        <v>41</v>
      </c>
      <c r="I101" s="2" t="str">
        <f ca="1">IF(ISNUMBER(A101),
IF(COUNTIFS(Equipar!B:B,3,Equipar!AC:AC,A101),"Equipada",
IF(
  OR(COUNTIFS(Equipar!B:B,3,Equipar!C:C,A101)
 +COUNTIFS(Equipar!B:B,3,Equipar!D:D,A101)
+COUNTIFS(Equipar!B:B,3,Equipar!E:E,A101)
+COUNTIFS(Equipar!B:B,3,Equipar!F:F,A101)
&gt;0,COUNTIF('Set recomendado'!B:B,C101)=0),
"Bloqueada",
"Desechable")),""
)</f>
        <v>Desechable</v>
      </c>
      <c r="J101" t="str" cm="1">
        <f t="array" ref="J101">IF(ISNUMBER(A101),IFERROR(_xlfn._xlws.FILTER(Equipar!A:A,(Equipar!B:B=3)*(Equipar!AC:AC=A101)),""),"")</f>
        <v/>
      </c>
    </row>
    <row r="102" spans="1:10" x14ac:dyDescent="0.25">
      <c r="A102" s="1">
        <v>238</v>
      </c>
      <c r="B102" s="6" t="s">
        <v>54</v>
      </c>
      <c r="C102" s="6" t="s">
        <v>21</v>
      </c>
      <c r="D102" s="6" t="s">
        <v>36</v>
      </c>
      <c r="E102" s="6" t="s">
        <v>39</v>
      </c>
      <c r="F102" s="6" t="s">
        <v>43</v>
      </c>
      <c r="I102" s="2" t="str">
        <f ca="1">IF(ISNUMBER(A102),
IF(COUNTIFS(Equipar!B:B,3,Equipar!AC:AC,A102),"Equipada",
IF(
  OR(COUNTIFS(Equipar!B:B,3,Equipar!C:C,A102)
 +COUNTIFS(Equipar!B:B,3,Equipar!D:D,A102)
+COUNTIFS(Equipar!B:B,3,Equipar!E:E,A102)
+COUNTIFS(Equipar!B:B,3,Equipar!F:F,A102)
&gt;0,COUNTIF('Set recomendado'!B:B,C102)=0),
"Bloqueada",
"Desechable")),""
)</f>
        <v>Desechable</v>
      </c>
      <c r="J102" t="str" cm="1">
        <f t="array" ref="J102">IF(ISNUMBER(A102),IFERROR(_xlfn._xlws.FILTER(Equipar!A:A,(Equipar!B:B=3)*(Equipar!AC:AC=A102)),""),"")</f>
        <v/>
      </c>
    </row>
    <row r="103" spans="1:10" x14ac:dyDescent="0.25">
      <c r="A103" s="1">
        <v>239</v>
      </c>
      <c r="B103" s="6" t="s">
        <v>54</v>
      </c>
      <c r="C103" s="6" t="s">
        <v>29</v>
      </c>
      <c r="D103" s="6" t="s">
        <v>36</v>
      </c>
      <c r="E103" s="6" t="s">
        <v>36</v>
      </c>
      <c r="F103" s="6" t="s">
        <v>44</v>
      </c>
      <c r="G103" s="6" t="s">
        <v>41</v>
      </c>
      <c r="I103" s="2" t="str">
        <f ca="1">IF(ISNUMBER(A103),
IF(COUNTIFS(Equipar!B:B,3,Equipar!AC:AC,A103),"Equipada",
IF(
  OR(COUNTIFS(Equipar!B:B,3,Equipar!C:C,A103)
 +COUNTIFS(Equipar!B:B,3,Equipar!D:D,A103)
+COUNTIFS(Equipar!B:B,3,Equipar!E:E,A103)
+COUNTIFS(Equipar!B:B,3,Equipar!F:F,A103)
&gt;0,COUNTIF('Set recomendado'!B:B,C103)=0),
"Bloqueada",
"Desechable")),""
)</f>
        <v>Desechable</v>
      </c>
      <c r="J103" t="str" cm="1">
        <f t="array" ref="J103">IF(ISNUMBER(A103),IFERROR(_xlfn._xlws.FILTER(Equipar!A:A,(Equipar!B:B=3)*(Equipar!AC:AC=A103)),""),"")</f>
        <v/>
      </c>
    </row>
    <row r="104" spans="1:10" x14ac:dyDescent="0.25">
      <c r="A104" s="1">
        <v>240</v>
      </c>
      <c r="B104" s="6" t="s">
        <v>54</v>
      </c>
      <c r="C104" s="6" t="s">
        <v>29</v>
      </c>
      <c r="D104" s="6" t="s">
        <v>36</v>
      </c>
      <c r="E104" s="6" t="s">
        <v>34</v>
      </c>
      <c r="F104" s="6" t="s">
        <v>43</v>
      </c>
      <c r="G104" s="6" t="s">
        <v>43</v>
      </c>
      <c r="H104" s="4"/>
      <c r="I104" s="2" t="str">
        <f ca="1">IF(ISNUMBER(A104),
IF(COUNTIFS(Equipar!B:B,3,Equipar!AC:AC,A104),"Equipada",
IF(
  OR(COUNTIFS(Equipar!B:B,3,Equipar!C:C,A104)
 +COUNTIFS(Equipar!B:B,3,Equipar!D:D,A104)
+COUNTIFS(Equipar!B:B,3,Equipar!E:E,A104)
+COUNTIFS(Equipar!B:B,3,Equipar!F:F,A104)
&gt;0,COUNTIF('Set recomendado'!B:B,C104)=0),
"Bloqueada",
"Desechable")),""
)</f>
        <v>Desechable</v>
      </c>
      <c r="J104" t="str" cm="1">
        <f t="array" ref="J104">IF(ISNUMBER(A104),IFERROR(_xlfn._xlws.FILTER(Equipar!A:A,(Equipar!B:B=3)*(Equipar!AC:AC=A104)),""),"")</f>
        <v/>
      </c>
    </row>
    <row r="105" spans="1:10" x14ac:dyDescent="0.25">
      <c r="A105" s="1">
        <v>242</v>
      </c>
      <c r="B105" s="6" t="s">
        <v>53</v>
      </c>
      <c r="C105" s="6" t="s">
        <v>13</v>
      </c>
      <c r="D105" s="6" t="s">
        <v>36</v>
      </c>
      <c r="E105" s="6" t="s">
        <v>32</v>
      </c>
      <c r="F105" s="6" t="s">
        <v>42</v>
      </c>
      <c r="G105" s="6" t="s">
        <v>34</v>
      </c>
      <c r="I105" s="2" t="str">
        <f ca="1">IF(ISNUMBER(A105),
IF(COUNTIFS(Equipar!B:B,3,Equipar!AC:AC,A105),"Equipada",
IF(
  OR(COUNTIFS(Equipar!B:B,3,Equipar!C:C,A105)
 +COUNTIFS(Equipar!B:B,3,Equipar!D:D,A105)
+COUNTIFS(Equipar!B:B,3,Equipar!E:E,A105)
+COUNTIFS(Equipar!B:B,3,Equipar!F:F,A105)
&gt;0,COUNTIF('Set recomendado'!B:B,C105)=0),
"Bloqueada",
"Desechable")),""
)</f>
        <v>Bloqueada</v>
      </c>
      <c r="J105" t="str" cm="1">
        <f t="array" ref="J105">IF(ISNUMBER(A105),IFERROR(_xlfn._xlws.FILTER(Equipar!A:A,(Equipar!B:B=3)*(Equipar!AC:AC=A105)),""),"")</f>
        <v/>
      </c>
    </row>
    <row r="106" spans="1:10" x14ac:dyDescent="0.25">
      <c r="A106" s="1">
        <v>243</v>
      </c>
      <c r="B106" s="6" t="s">
        <v>53</v>
      </c>
      <c r="C106" s="6" t="s">
        <v>13</v>
      </c>
      <c r="D106" s="6" t="s">
        <v>36</v>
      </c>
      <c r="E106" s="6" t="s">
        <v>41</v>
      </c>
      <c r="F106" s="6" t="s">
        <v>36</v>
      </c>
      <c r="G106" s="6" t="s">
        <v>37</v>
      </c>
      <c r="H106" s="6" t="s">
        <v>43</v>
      </c>
      <c r="I106" s="2" t="str">
        <f ca="1">IF(ISNUMBER(A106),
IF(COUNTIFS(Equipar!B:B,3,Equipar!AC:AC,A106),"Equipada",
IF(
  OR(COUNTIFS(Equipar!B:B,3,Equipar!C:C,A106)
 +COUNTIFS(Equipar!B:B,3,Equipar!D:D,A106)
+COUNTIFS(Equipar!B:B,3,Equipar!E:E,A106)
+COUNTIFS(Equipar!B:B,3,Equipar!F:F,A106)
&gt;0,COUNTIF('Set recomendado'!B:B,C106)=0),
"Bloqueada",
"Desechable")),""
)</f>
        <v>Desechable</v>
      </c>
      <c r="J106" t="str" cm="1">
        <f t="array" ref="J106">IF(ISNUMBER(A106),IFERROR(_xlfn._xlws.FILTER(Equipar!A:A,(Equipar!B:B=3)*(Equipar!AC:AC=A106)),""),"")</f>
        <v/>
      </c>
    </row>
    <row r="107" spans="1:10" x14ac:dyDescent="0.25">
      <c r="A107" s="1">
        <v>244</v>
      </c>
      <c r="B107" t="s">
        <v>53</v>
      </c>
      <c r="C107" t="s">
        <v>17</v>
      </c>
      <c r="D107" t="s">
        <v>36</v>
      </c>
      <c r="E107" t="s">
        <v>37</v>
      </c>
      <c r="F107" t="s">
        <v>36</v>
      </c>
      <c r="G107" t="s">
        <v>33</v>
      </c>
      <c r="I107" s="2" t="str">
        <f ca="1">IF(ISNUMBER(A107),
IF(COUNTIFS(Equipar!B:B,3,Equipar!AC:AC,A107),"Equipada",
IF(
  OR(COUNTIFS(Equipar!B:B,3,Equipar!C:C,A107)
 +COUNTIFS(Equipar!B:B,3,Equipar!D:D,A107)
+COUNTIFS(Equipar!B:B,3,Equipar!E:E,A107)
+COUNTIFS(Equipar!B:B,3,Equipar!F:F,A107)
&gt;0,COUNTIF('Set recomendado'!B:B,C107)=0),
"Bloqueada",
"Desechable")),""
)</f>
        <v>Desechable</v>
      </c>
      <c r="J107" t="str" cm="1">
        <f t="array" ref="J107">IF(ISNUMBER(A107),IFERROR(_xlfn._xlws.FILTER(Equipar!A:A,(Equipar!B:B=3)*(Equipar!AC:AC=A107)),""),"")</f>
        <v/>
      </c>
    </row>
    <row r="108" spans="1:10" x14ac:dyDescent="0.25">
      <c r="A108" s="1">
        <v>245</v>
      </c>
      <c r="B108" s="6" t="s">
        <v>53</v>
      </c>
      <c r="C108" s="6" t="s">
        <v>57</v>
      </c>
      <c r="D108" s="6" t="s">
        <v>36</v>
      </c>
      <c r="E108" s="6" t="s">
        <v>42</v>
      </c>
      <c r="F108" s="6" t="s">
        <v>38</v>
      </c>
      <c r="G108" s="6" t="s">
        <v>32</v>
      </c>
      <c r="H108" s="6" t="s">
        <v>37</v>
      </c>
      <c r="I108" s="2" t="str">
        <f ca="1">IF(ISNUMBER(A108),
IF(COUNTIFS(Equipar!B:B,3,Equipar!AC:AC,A108),"Equipada",
IF(
  OR(COUNTIFS(Equipar!B:B,3,Equipar!C:C,A108)
 +COUNTIFS(Equipar!B:B,3,Equipar!D:D,A108)
+COUNTIFS(Equipar!B:B,3,Equipar!E:E,A108)
+COUNTIFS(Equipar!B:B,3,Equipar!F:F,A108)
&gt;0,COUNTIF('Set recomendado'!B:B,C108)=0),
"Bloqueada",
"Desechable")),""
)</f>
        <v>Bloqueada</v>
      </c>
      <c r="J108" t="str" cm="1">
        <f t="array" ref="J108">IF(ISNUMBER(A108),IFERROR(_xlfn._xlws.FILTER(Equipar!A:A,(Equipar!B:B=3)*(Equipar!AC:AC=A108)),""),"")</f>
        <v/>
      </c>
    </row>
    <row r="109" spans="1:10" x14ac:dyDescent="0.25">
      <c r="A109" s="1">
        <v>246</v>
      </c>
      <c r="B109" t="s">
        <v>54</v>
      </c>
      <c r="C109" t="s">
        <v>57</v>
      </c>
      <c r="D109" t="s">
        <v>36</v>
      </c>
      <c r="E109" t="s">
        <v>43</v>
      </c>
      <c r="F109" t="s">
        <v>40</v>
      </c>
      <c r="G109" t="s">
        <v>36</v>
      </c>
      <c r="I109" s="2" t="str">
        <f ca="1">IF(ISNUMBER(A109),
IF(COUNTIFS(Equipar!B:B,3,Equipar!AC:AC,A109),"Equipada",
IF(
  OR(COUNTIFS(Equipar!B:B,3,Equipar!C:C,A109)
 +COUNTIFS(Equipar!B:B,3,Equipar!D:D,A109)
+COUNTIFS(Equipar!B:B,3,Equipar!E:E,A109)
+COUNTIFS(Equipar!B:B,3,Equipar!F:F,A109)
&gt;0,COUNTIF('Set recomendado'!B:B,C109)=0),
"Bloqueada",
"Desechable")),""
)</f>
        <v>Bloqueada</v>
      </c>
      <c r="J109" t="str" cm="1">
        <f t="array" ref="J109">IF(ISNUMBER(A109),IFERROR(_xlfn._xlws.FILTER(Equipar!A:A,(Equipar!B:B=3)*(Equipar!AC:AC=A109)),""),"")</f>
        <v/>
      </c>
    </row>
    <row r="110" spans="1:10" x14ac:dyDescent="0.25">
      <c r="A110" s="1">
        <v>247</v>
      </c>
      <c r="B110" t="s">
        <v>54</v>
      </c>
      <c r="C110" t="s">
        <v>57</v>
      </c>
      <c r="D110" t="s">
        <v>36</v>
      </c>
      <c r="E110" t="s">
        <v>43</v>
      </c>
      <c r="F110" t="s">
        <v>35</v>
      </c>
      <c r="G110" t="s">
        <v>32</v>
      </c>
      <c r="I110" s="2" t="str">
        <f ca="1">IF(ISNUMBER(A110),
IF(COUNTIFS(Equipar!B:B,3,Equipar!AC:AC,A110),"Equipada",
IF(
  OR(COUNTIFS(Equipar!B:B,3,Equipar!C:C,A110)
 +COUNTIFS(Equipar!B:B,3,Equipar!D:D,A110)
+COUNTIFS(Equipar!B:B,3,Equipar!E:E,A110)
+COUNTIFS(Equipar!B:B,3,Equipar!F:F,A110)
&gt;0,COUNTIF('Set recomendado'!B:B,C110)=0),
"Bloqueada",
"Desechable")),""
)</f>
        <v>Bloqueada</v>
      </c>
      <c r="J110" t="str" cm="1">
        <f t="array" ref="J110">IF(ISNUMBER(A110),IFERROR(_xlfn._xlws.FILTER(Equipar!A:A,(Equipar!B:B=3)*(Equipar!AC:AC=A110)),""),"")</f>
        <v/>
      </c>
    </row>
    <row r="111" spans="1:10" x14ac:dyDescent="0.25">
      <c r="A111" s="1">
        <v>248</v>
      </c>
      <c r="B111" t="s">
        <v>54</v>
      </c>
      <c r="C111" t="s">
        <v>57</v>
      </c>
      <c r="D111" t="s">
        <v>36</v>
      </c>
      <c r="E111" t="s">
        <v>43</v>
      </c>
      <c r="F111" t="s">
        <v>36</v>
      </c>
      <c r="I111" s="2" t="str">
        <f ca="1">IF(ISNUMBER(A111),
IF(COUNTIFS(Equipar!B:B,3,Equipar!AC:AC,A111),"Equipada",
IF(
  OR(COUNTIFS(Equipar!B:B,3,Equipar!C:C,A111)
 +COUNTIFS(Equipar!B:B,3,Equipar!D:D,A111)
+COUNTIFS(Equipar!B:B,3,Equipar!E:E,A111)
+COUNTIFS(Equipar!B:B,3,Equipar!F:F,A111)
&gt;0,COUNTIF('Set recomendado'!B:B,C111)=0),
"Bloqueada",
"Desechable")),""
)</f>
        <v>Bloqueada</v>
      </c>
      <c r="J111" t="str" cm="1">
        <f t="array" ref="J111">IF(ISNUMBER(A111),IFERROR(_xlfn._xlws.FILTER(Equipar!A:A,(Equipar!B:B=3)*(Equipar!AC:AC=A111)),""),"")</f>
        <v/>
      </c>
    </row>
    <row r="112" spans="1:10" x14ac:dyDescent="0.25">
      <c r="A112" s="1">
        <v>249</v>
      </c>
      <c r="B112" t="s">
        <v>54</v>
      </c>
      <c r="C112" t="s">
        <v>57</v>
      </c>
      <c r="D112" t="s">
        <v>36</v>
      </c>
      <c r="E112" t="s">
        <v>37</v>
      </c>
      <c r="F112" t="s">
        <v>36</v>
      </c>
      <c r="I112" s="2" t="str">
        <f ca="1">IF(ISNUMBER(A112),
IF(COUNTIFS(Equipar!B:B,3,Equipar!AC:AC,A112),"Equipada",
IF(
  OR(COUNTIFS(Equipar!B:B,3,Equipar!C:C,A112)
 +COUNTIFS(Equipar!B:B,3,Equipar!D:D,A112)
+COUNTIFS(Equipar!B:B,3,Equipar!E:E,A112)
+COUNTIFS(Equipar!B:B,3,Equipar!F:F,A112)
&gt;0,COUNTIF('Set recomendado'!B:B,C112)=0),
"Bloqueada",
"Desechable")),""
)</f>
        <v>Bloqueada</v>
      </c>
      <c r="J112" t="str" cm="1">
        <f t="array" ref="J112">IF(ISNUMBER(A112),IFERROR(_xlfn._xlws.FILTER(Equipar!A:A,(Equipar!B:B=3)*(Equipar!AC:AC=A112)),""),"")</f>
        <v/>
      </c>
    </row>
    <row r="113" spans="1:10" x14ac:dyDescent="0.25">
      <c r="A113" s="1">
        <v>250</v>
      </c>
      <c r="B113" t="s">
        <v>54</v>
      </c>
      <c r="C113" t="s">
        <v>55</v>
      </c>
      <c r="D113" t="s">
        <v>36</v>
      </c>
      <c r="E113" t="s">
        <v>33</v>
      </c>
      <c r="F113" t="s">
        <v>38</v>
      </c>
      <c r="I113" s="2" t="str">
        <f ca="1">IF(ISNUMBER(A113),
IF(COUNTIFS(Equipar!B:B,3,Equipar!AC:AC,A113),"Equipada",
IF(
  OR(COUNTIFS(Equipar!B:B,3,Equipar!C:C,A113)
 +COUNTIFS(Equipar!B:B,3,Equipar!D:D,A113)
+COUNTIFS(Equipar!B:B,3,Equipar!E:E,A113)
+COUNTIFS(Equipar!B:B,3,Equipar!F:F,A113)
&gt;0,COUNTIF('Set recomendado'!B:B,C113)=0),
"Bloqueada",
"Desechable")),""
)</f>
        <v>Desechable</v>
      </c>
      <c r="J113" t="str" cm="1">
        <f t="array" ref="J113">IF(ISNUMBER(A113),IFERROR(_xlfn._xlws.FILTER(Equipar!A:A,(Equipar!B:B=3)*(Equipar!AC:AC=A113)),""),"")</f>
        <v/>
      </c>
    </row>
    <row r="114" spans="1:10" x14ac:dyDescent="0.25">
      <c r="A114" s="1">
        <v>251</v>
      </c>
      <c r="B114" t="s">
        <v>54</v>
      </c>
      <c r="C114" t="s">
        <v>55</v>
      </c>
      <c r="D114" t="s">
        <v>36</v>
      </c>
      <c r="E114" t="s">
        <v>36</v>
      </c>
      <c r="F114" t="s">
        <v>43</v>
      </c>
      <c r="I114" s="2" t="str">
        <f ca="1">IF(ISNUMBER(A114),
IF(COUNTIFS(Equipar!B:B,3,Equipar!AC:AC,A114),"Equipada",
IF(
  OR(COUNTIFS(Equipar!B:B,3,Equipar!C:C,A114)
 +COUNTIFS(Equipar!B:B,3,Equipar!D:D,A114)
+COUNTIFS(Equipar!B:B,3,Equipar!E:E,A114)
+COUNTIFS(Equipar!B:B,3,Equipar!F:F,A114)
&gt;0,COUNTIF('Set recomendado'!B:B,C114)=0),
"Bloqueada",
"Desechable")),""
)</f>
        <v>Desechable</v>
      </c>
      <c r="J114" t="str" cm="1">
        <f t="array" ref="J114">IF(ISNUMBER(A114),IFERROR(_xlfn._xlws.FILTER(Equipar!A:A,(Equipar!B:B=3)*(Equipar!AC:AC=A114)),""),"")</f>
        <v/>
      </c>
    </row>
    <row r="115" spans="1:10" x14ac:dyDescent="0.25">
      <c r="A115" s="1">
        <v>252</v>
      </c>
      <c r="B115" t="s">
        <v>54</v>
      </c>
      <c r="C115" t="s">
        <v>55</v>
      </c>
      <c r="D115" t="s">
        <v>36</v>
      </c>
      <c r="E115" t="s">
        <v>36</v>
      </c>
      <c r="F115" t="s">
        <v>36</v>
      </c>
      <c r="I115" s="2" t="str">
        <f ca="1">IF(ISNUMBER(A115),
IF(COUNTIFS(Equipar!B:B,3,Equipar!AC:AC,A115),"Equipada",
IF(
  OR(COUNTIFS(Equipar!B:B,3,Equipar!C:C,A115)
 +COUNTIFS(Equipar!B:B,3,Equipar!D:D,A115)
+COUNTIFS(Equipar!B:B,3,Equipar!E:E,A115)
+COUNTIFS(Equipar!B:B,3,Equipar!F:F,A115)
&gt;0,COUNTIF('Set recomendado'!B:B,C115)=0),
"Bloqueada",
"Desechable")),""
)</f>
        <v>Desechable</v>
      </c>
      <c r="J115" t="str" cm="1">
        <f t="array" ref="J115">IF(ISNUMBER(A115),IFERROR(_xlfn._xlws.FILTER(Equipar!A:A,(Equipar!B:B=3)*(Equipar!AC:AC=A115)),""),"")</f>
        <v/>
      </c>
    </row>
    <row r="116" spans="1:10" x14ac:dyDescent="0.25">
      <c r="A116" s="1">
        <v>253</v>
      </c>
      <c r="B116" s="6" t="s">
        <v>54</v>
      </c>
      <c r="C116" s="6" t="s">
        <v>21</v>
      </c>
      <c r="D116" s="6" t="s">
        <v>36</v>
      </c>
      <c r="E116" s="6" t="s">
        <v>43</v>
      </c>
      <c r="F116" s="6" t="s">
        <v>38</v>
      </c>
      <c r="I116" s="2" t="str">
        <f ca="1">IF(ISNUMBER(A116),
IF(COUNTIFS(Equipar!B:B,3,Equipar!AC:AC,A116),"Equipada",
IF(
  OR(COUNTIFS(Equipar!B:B,3,Equipar!C:C,A116)
 +COUNTIFS(Equipar!B:B,3,Equipar!D:D,A116)
+COUNTIFS(Equipar!B:B,3,Equipar!E:E,A116)
+COUNTIFS(Equipar!B:B,3,Equipar!F:F,A116)
&gt;0,COUNTIF('Set recomendado'!B:B,C116)=0),
"Bloqueada",
"Desechable")),""
)</f>
        <v>Desechable</v>
      </c>
      <c r="J116" t="str" cm="1">
        <f t="array" ref="J116">IF(ISNUMBER(A116),IFERROR(_xlfn._xlws.FILTER(Equipar!A:A,(Equipar!B:B=3)*(Equipar!AC:AC=A116)),""),"")</f>
        <v/>
      </c>
    </row>
    <row r="117" spans="1:10" x14ac:dyDescent="0.25">
      <c r="A117" s="1">
        <v>254</v>
      </c>
      <c r="B117" s="6" t="s">
        <v>54</v>
      </c>
      <c r="C117" s="6" t="s">
        <v>21</v>
      </c>
      <c r="D117" s="6" t="s">
        <v>36</v>
      </c>
      <c r="E117" s="6" t="s">
        <v>37</v>
      </c>
      <c r="F117" s="6" t="s">
        <v>43</v>
      </c>
      <c r="I117" s="2" t="str">
        <f ca="1">IF(ISNUMBER(A117),
IF(COUNTIFS(Equipar!B:B,3,Equipar!AC:AC,A117),"Equipada",
IF(
  OR(COUNTIFS(Equipar!B:B,3,Equipar!C:C,A117)
 +COUNTIFS(Equipar!B:B,3,Equipar!D:D,A117)
+COUNTIFS(Equipar!B:B,3,Equipar!E:E,A117)
+COUNTIFS(Equipar!B:B,3,Equipar!F:F,A117)
&gt;0,COUNTIF('Set recomendado'!B:B,C117)=0),
"Bloqueada",
"Desechable")),""
)</f>
        <v>Desechable</v>
      </c>
      <c r="J117" t="str" cm="1">
        <f t="array" ref="J117">IF(ISNUMBER(A117),IFERROR(_xlfn._xlws.FILTER(Equipar!A:A,(Equipar!B:B=3)*(Equipar!AC:AC=A117)),""),"")</f>
        <v/>
      </c>
    </row>
    <row r="118" spans="1:10" x14ac:dyDescent="0.25">
      <c r="A118" s="1">
        <v>255</v>
      </c>
      <c r="B118" t="s">
        <v>53</v>
      </c>
      <c r="C118" t="s">
        <v>29</v>
      </c>
      <c r="D118" t="s">
        <v>36</v>
      </c>
      <c r="E118" t="s">
        <v>32</v>
      </c>
      <c r="F118" t="s">
        <v>40</v>
      </c>
      <c r="G118" t="s">
        <v>41</v>
      </c>
      <c r="I118" s="2" t="str">
        <f ca="1">IF(ISNUMBER(A118),
IF(COUNTIFS(Equipar!B:B,3,Equipar!AC:AC,A118),"Equipada",
IF(
  OR(COUNTIFS(Equipar!B:B,3,Equipar!C:C,A118)
 +COUNTIFS(Equipar!B:B,3,Equipar!D:D,A118)
+COUNTIFS(Equipar!B:B,3,Equipar!E:E,A118)
+COUNTIFS(Equipar!B:B,3,Equipar!F:F,A118)
&gt;0,COUNTIF('Set recomendado'!B:B,C118)=0),
"Bloqueada",
"Desechable")),""
)</f>
        <v>Desechable</v>
      </c>
      <c r="J118" t="str" cm="1">
        <f t="array" ref="J118">IF(ISNUMBER(A118),IFERROR(_xlfn._xlws.FILTER(Equipar!A:A,(Equipar!B:B=3)*(Equipar!AC:AC=A118)),""),"")</f>
        <v/>
      </c>
    </row>
    <row r="119" spans="1:10" x14ac:dyDescent="0.25">
      <c r="A119" s="1">
        <v>256</v>
      </c>
      <c r="B119" t="s">
        <v>53</v>
      </c>
      <c r="C119" t="s">
        <v>29</v>
      </c>
      <c r="D119" t="s">
        <v>36</v>
      </c>
      <c r="E119" t="s">
        <v>35</v>
      </c>
      <c r="F119" t="s">
        <v>37</v>
      </c>
      <c r="G119" t="s">
        <v>42</v>
      </c>
      <c r="I119" s="2" t="str">
        <f ca="1">IF(ISNUMBER(A119),
IF(COUNTIFS(Equipar!B:B,3,Equipar!AC:AC,A119),"Equipada",
IF(
  OR(COUNTIFS(Equipar!B:B,3,Equipar!C:C,A119)
 +COUNTIFS(Equipar!B:B,3,Equipar!D:D,A119)
+COUNTIFS(Equipar!B:B,3,Equipar!E:E,A119)
+COUNTIFS(Equipar!B:B,3,Equipar!F:F,A119)
&gt;0,COUNTIF('Set recomendado'!B:B,C119)=0),
"Bloqueada",
"Desechable")),""
)</f>
        <v>Desechable</v>
      </c>
      <c r="J119" t="str" cm="1">
        <f t="array" ref="J119">IF(ISNUMBER(A119),IFERROR(_xlfn._xlws.FILTER(Equipar!A:A,(Equipar!B:B=3)*(Equipar!AC:AC=A119)),""),"")</f>
        <v/>
      </c>
    </row>
    <row r="120" spans="1:10" x14ac:dyDescent="0.25">
      <c r="A120" s="1">
        <v>257</v>
      </c>
      <c r="B120" s="4" t="s">
        <v>54</v>
      </c>
      <c r="C120" s="4" t="s">
        <v>29</v>
      </c>
      <c r="D120" s="4" t="s">
        <v>36</v>
      </c>
      <c r="E120" s="4" t="s">
        <v>32</v>
      </c>
      <c r="F120" s="4" t="s">
        <v>32</v>
      </c>
      <c r="G120" s="4"/>
      <c r="H120" s="4"/>
      <c r="I120" s="2" t="str">
        <f>IF(ISNUMBER(A120),
IF(COUNTIFS(Equipar!B:B,3,Equipar!AC:AC,A120),"Equipada",
IF(
  OR(COUNTIFS(Equipar!B:B,3,Equipar!C:C,A120)
 +COUNTIFS(Equipar!B:B,3,Equipar!D:D,A120)
+COUNTIFS(Equipar!B:B,3,Equipar!E:E,A120)
+COUNTIFS(Equipar!B:B,3,Equipar!F:F,A120)
&gt;0,COUNTIF('Set recomendado'!B:B,C120)=0),
"Bloqueada",
"Desechable")),""
)</f>
        <v>Equipada</v>
      </c>
      <c r="J120" t="str" cm="1">
        <f t="array" ref="J120">IF(ISNUMBER(A120),IFERROR(_xlfn._xlws.FILTER(Equipar!A:A,(Equipar!B:B=3)*(Equipar!AC:AC=A120)),""),"")</f>
        <v>Ojiro</v>
      </c>
    </row>
    <row r="121" spans="1:10" x14ac:dyDescent="0.25">
      <c r="A121" s="1">
        <v>258</v>
      </c>
      <c r="B121" s="6" t="s">
        <v>53</v>
      </c>
      <c r="C121" s="6" t="s">
        <v>9</v>
      </c>
      <c r="D121" s="6" t="s">
        <v>36</v>
      </c>
      <c r="E121" s="6" t="s">
        <v>37</v>
      </c>
      <c r="F121" s="6" t="s">
        <v>36</v>
      </c>
      <c r="G121" s="6" t="s">
        <v>36</v>
      </c>
      <c r="H121" s="4"/>
      <c r="I121" s="2" t="str">
        <f>IF(ISNUMBER(A121),
IF(COUNTIFS(Equipar!B:B,3,Equipar!AC:AC,A121),"Equipada",
IF(
  OR(COUNTIFS(Equipar!B:B,3,Equipar!C:C,A121)
 +COUNTIFS(Equipar!B:B,3,Equipar!D:D,A121)
+COUNTIFS(Equipar!B:B,3,Equipar!E:E,A121)
+COUNTIFS(Equipar!B:B,3,Equipar!F:F,A121)
&gt;0,COUNTIF('Set recomendado'!B:B,C121)=0),
"Bloqueada",
"Desechable")),""
)</f>
        <v>Equipada</v>
      </c>
      <c r="J121" t="str" cm="1">
        <f t="array" ref="J121">IF(ISNUMBER(A121),IFERROR(_xlfn._xlws.FILTER(Equipar!A:A,(Equipar!B:B=3)*(Equipar!AC:AC=A121)),""),"")</f>
        <v>Atsumu</v>
      </c>
    </row>
    <row r="122" spans="1:10" x14ac:dyDescent="0.25">
      <c r="A122" s="1">
        <v>260</v>
      </c>
      <c r="B122" s="6" t="s">
        <v>53</v>
      </c>
      <c r="C122" s="6" t="s">
        <v>23</v>
      </c>
      <c r="D122" s="6" t="s">
        <v>36</v>
      </c>
      <c r="E122" s="6" t="s">
        <v>37</v>
      </c>
      <c r="F122" s="6" t="s">
        <v>43</v>
      </c>
      <c r="G122" s="6" t="s">
        <v>34</v>
      </c>
      <c r="H122" s="6" t="s">
        <v>36</v>
      </c>
      <c r="I122" s="2" t="str">
        <f>IF(ISNUMBER(A122),
IF(COUNTIFS(Equipar!B:B,3,Equipar!AC:AC,A122),"Equipada",
IF(
  OR(COUNTIFS(Equipar!B:B,3,Equipar!C:C,A122)
 +COUNTIFS(Equipar!B:B,3,Equipar!D:D,A122)
+COUNTIFS(Equipar!B:B,3,Equipar!E:E,A122)
+COUNTIFS(Equipar!B:B,3,Equipar!F:F,A122)
&gt;0,COUNTIF('Set recomendado'!B:B,C122)=0),
"Bloqueada",
"Desechable")),""
)</f>
        <v>Equipada</v>
      </c>
      <c r="J122" t="str" cm="1">
        <f t="array" ref="J122">IF(ISNUMBER(A122),IFERROR(_xlfn._xlws.FILTER(Equipar!A:A,(Equipar!B:B=3)*(Equipar!AC:AC=A122)),""),"")</f>
        <v>Tsukishima</v>
      </c>
    </row>
    <row r="123" spans="1:10" x14ac:dyDescent="0.25">
      <c r="A123" s="1">
        <v>261</v>
      </c>
      <c r="B123" s="6" t="s">
        <v>53</v>
      </c>
      <c r="C123" s="6" t="s">
        <v>16</v>
      </c>
      <c r="D123" s="6" t="s">
        <v>36</v>
      </c>
      <c r="E123" s="6" t="s">
        <v>43</v>
      </c>
      <c r="F123" s="6" t="s">
        <v>36</v>
      </c>
      <c r="G123" s="6" t="s">
        <v>37</v>
      </c>
      <c r="I123" s="2" t="str">
        <f ca="1">IF(ISNUMBER(A123),
IF(COUNTIFS(Equipar!B:B,3,Equipar!AC:AC,A123),"Equipada",
IF(
  OR(COUNTIFS(Equipar!B:B,3,Equipar!C:C,A123)
 +COUNTIFS(Equipar!B:B,3,Equipar!D:D,A123)
+COUNTIFS(Equipar!B:B,3,Equipar!E:E,A123)
+COUNTIFS(Equipar!B:B,3,Equipar!F:F,A123)
&gt;0,COUNTIF('Set recomendado'!B:B,C123)=0),
"Bloqueada",
"Desechable")),""
)</f>
        <v>Desechable</v>
      </c>
      <c r="J123" t="str" cm="1">
        <f t="array" ref="J123">IF(ISNUMBER(A123),IFERROR(_xlfn._xlws.FILTER(Equipar!A:A,(Equipar!B:B=3)*(Equipar!AC:AC=A123)),""),"")</f>
        <v/>
      </c>
    </row>
    <row r="124" spans="1:10" x14ac:dyDescent="0.25">
      <c r="A124" s="1">
        <v>262</v>
      </c>
      <c r="B124" s="6" t="s">
        <v>53</v>
      </c>
      <c r="C124" s="6" t="s">
        <v>57</v>
      </c>
      <c r="D124" s="6" t="s">
        <v>36</v>
      </c>
      <c r="E124" s="6" t="s">
        <v>37</v>
      </c>
      <c r="F124" s="6" t="s">
        <v>36</v>
      </c>
      <c r="G124" s="6" t="s">
        <v>41</v>
      </c>
      <c r="H124" s="6" t="s">
        <v>42</v>
      </c>
      <c r="I124" s="2" t="str">
        <f ca="1">IF(ISNUMBER(A124),
IF(COUNTIFS(Equipar!B:B,3,Equipar!AC:AC,A124),"Equipada",
IF(
  OR(COUNTIFS(Equipar!B:B,3,Equipar!C:C,A124)
 +COUNTIFS(Equipar!B:B,3,Equipar!D:D,A124)
+COUNTIFS(Equipar!B:B,3,Equipar!E:E,A124)
+COUNTIFS(Equipar!B:B,3,Equipar!F:F,A124)
&gt;0,COUNTIF('Set recomendado'!B:B,C124)=0),
"Bloqueada",
"Desechable")),""
)</f>
        <v>Bloqueada</v>
      </c>
      <c r="J124" t="str" cm="1">
        <f t="array" ref="J124">IF(ISNUMBER(A124),IFERROR(_xlfn._xlws.FILTER(Equipar!A:A,(Equipar!B:B=3)*(Equipar!AC:AC=A124)),""),"")</f>
        <v/>
      </c>
    </row>
    <row r="125" spans="1:10" x14ac:dyDescent="0.25">
      <c r="A125" s="1">
        <v>263</v>
      </c>
      <c r="B125" s="6" t="s">
        <v>53</v>
      </c>
      <c r="C125" s="6" t="s">
        <v>57</v>
      </c>
      <c r="D125" s="6" t="s">
        <v>36</v>
      </c>
      <c r="E125" s="6" t="s">
        <v>36</v>
      </c>
      <c r="F125" s="6" t="s">
        <v>39</v>
      </c>
      <c r="G125" s="6" t="s">
        <v>35</v>
      </c>
      <c r="H125" s="6" t="s">
        <v>37</v>
      </c>
      <c r="I125" s="2" t="str">
        <f ca="1">IF(ISNUMBER(A125),
IF(COUNTIFS(Equipar!B:B,3,Equipar!AC:AC,A125),"Equipada",
IF(
  OR(COUNTIFS(Equipar!B:B,3,Equipar!C:C,A125)
 +COUNTIFS(Equipar!B:B,3,Equipar!D:D,A125)
+COUNTIFS(Equipar!B:B,3,Equipar!E:E,A125)
+COUNTIFS(Equipar!B:B,3,Equipar!F:F,A125)
&gt;0,COUNTIF('Set recomendado'!B:B,C125)=0),
"Bloqueada",
"Desechable")),""
)</f>
        <v>Bloqueada</v>
      </c>
      <c r="J125" t="str" cm="1">
        <f t="array" ref="J125">IF(ISNUMBER(A125),IFERROR(_xlfn._xlws.FILTER(Equipar!A:A,(Equipar!B:B=3)*(Equipar!AC:AC=A125)),""),"")</f>
        <v/>
      </c>
    </row>
    <row r="126" spans="1:10" x14ac:dyDescent="0.25">
      <c r="A126" s="1">
        <v>264</v>
      </c>
      <c r="B126" s="6" t="s">
        <v>53</v>
      </c>
      <c r="C126" s="6" t="s">
        <v>57</v>
      </c>
      <c r="D126" s="6" t="s">
        <v>36</v>
      </c>
      <c r="E126" s="6" t="s">
        <v>44</v>
      </c>
      <c r="F126" s="6" t="s">
        <v>37</v>
      </c>
      <c r="G126" s="6" t="s">
        <v>43</v>
      </c>
      <c r="I126" s="2" t="str">
        <f ca="1">IF(ISNUMBER(A126),
IF(COUNTIFS(Equipar!B:B,3,Equipar!AC:AC,A126),"Equipada",
IF(
  OR(COUNTIFS(Equipar!B:B,3,Equipar!C:C,A126)
 +COUNTIFS(Equipar!B:B,3,Equipar!D:D,A126)
+COUNTIFS(Equipar!B:B,3,Equipar!E:E,A126)
+COUNTIFS(Equipar!B:B,3,Equipar!F:F,A126)
&gt;0,COUNTIF('Set recomendado'!B:B,C126)=0),
"Bloqueada",
"Desechable")),""
)</f>
        <v>Bloqueada</v>
      </c>
      <c r="J126" t="str" cm="1">
        <f t="array" ref="J126">IF(ISNUMBER(A126),IFERROR(_xlfn._xlws.FILTER(Equipar!A:A,(Equipar!B:B=3)*(Equipar!AC:AC=A126)),""),"")</f>
        <v/>
      </c>
    </row>
    <row r="127" spans="1:10" x14ac:dyDescent="0.25">
      <c r="A127" s="1">
        <v>265</v>
      </c>
      <c r="B127" s="6" t="s">
        <v>53</v>
      </c>
      <c r="C127" s="6" t="s">
        <v>57</v>
      </c>
      <c r="D127" s="6" t="s">
        <v>36</v>
      </c>
      <c r="E127" s="6" t="s">
        <v>36</v>
      </c>
      <c r="F127" s="6" t="s">
        <v>32</v>
      </c>
      <c r="G127" s="6" t="s">
        <v>41</v>
      </c>
      <c r="H127" s="6" t="s">
        <v>38</v>
      </c>
      <c r="I127" s="2" t="str">
        <f ca="1">IF(ISNUMBER(A127),
IF(COUNTIFS(Equipar!B:B,3,Equipar!AC:AC,A127),"Equipada",
IF(
  OR(COUNTIFS(Equipar!B:B,3,Equipar!C:C,A127)
 +COUNTIFS(Equipar!B:B,3,Equipar!D:D,A127)
+COUNTIFS(Equipar!B:B,3,Equipar!E:E,A127)
+COUNTIFS(Equipar!B:B,3,Equipar!F:F,A127)
&gt;0,COUNTIF('Set recomendado'!B:B,C127)=0),
"Bloqueada",
"Desechable")),""
)</f>
        <v>Bloqueada</v>
      </c>
      <c r="J127" t="str" cm="1">
        <f t="array" ref="J127">IF(ISNUMBER(A127),IFERROR(_xlfn._xlws.FILTER(Equipar!A:A,(Equipar!B:B=3)*(Equipar!AC:AC=A127)),""),"")</f>
        <v/>
      </c>
    </row>
    <row r="128" spans="1:10" x14ac:dyDescent="0.25">
      <c r="A128" s="1">
        <v>266</v>
      </c>
      <c r="B128" s="6" t="s">
        <v>53</v>
      </c>
      <c r="C128" s="6" t="s">
        <v>55</v>
      </c>
      <c r="D128" s="6" t="s">
        <v>36</v>
      </c>
      <c r="E128" s="6" t="s">
        <v>36</v>
      </c>
      <c r="F128" s="6" t="s">
        <v>37</v>
      </c>
      <c r="G128" s="6" t="s">
        <v>33</v>
      </c>
      <c r="I128" s="2" t="str">
        <f>IF(ISNUMBER(A128),
IF(COUNTIFS(Equipar!B:B,3,Equipar!AC:AC,A128),"Equipada",
IF(
  OR(COUNTIFS(Equipar!B:B,3,Equipar!C:C,A128)
 +COUNTIFS(Equipar!B:B,3,Equipar!D:D,A128)
+COUNTIFS(Equipar!B:B,3,Equipar!E:E,A128)
+COUNTIFS(Equipar!B:B,3,Equipar!F:F,A128)
&gt;0,COUNTIF('Set recomendado'!B:B,C128)=0),
"Bloqueada",
"Desechable")),""
)</f>
        <v>Equipada</v>
      </c>
      <c r="J128" t="str" cm="1">
        <f t="array" ref="J128">IF(ISNUMBER(A128),IFERROR(_xlfn._xlws.FILTER(Equipar!A:A,(Equipar!B:B=3)*(Equipar!AC:AC=A128)),""),"")</f>
        <v>Sugawara</v>
      </c>
    </row>
    <row r="129" spans="1:10" x14ac:dyDescent="0.25">
      <c r="A129" s="1">
        <v>267</v>
      </c>
      <c r="B129" s="6" t="s">
        <v>53</v>
      </c>
      <c r="C129" s="6" t="s">
        <v>21</v>
      </c>
      <c r="D129" s="6" t="s">
        <v>36</v>
      </c>
      <c r="E129" s="6" t="s">
        <v>38</v>
      </c>
      <c r="F129" s="6" t="s">
        <v>32</v>
      </c>
      <c r="G129" s="6" t="s">
        <v>35</v>
      </c>
      <c r="I129" s="2" t="str">
        <f ca="1">IF(ISNUMBER(A129),
IF(COUNTIFS(Equipar!B:B,3,Equipar!AC:AC,A129),"Equipada",
IF(
  OR(COUNTIFS(Equipar!B:B,3,Equipar!C:C,A129)
 +COUNTIFS(Equipar!B:B,3,Equipar!D:D,A129)
+COUNTIFS(Equipar!B:B,3,Equipar!E:E,A129)
+COUNTIFS(Equipar!B:B,3,Equipar!F:F,A129)
&gt;0,COUNTIF('Set recomendado'!B:B,C129)=0),
"Bloqueada",
"Desechable")),""
)</f>
        <v>Desechable</v>
      </c>
      <c r="J129" t="str" cm="1">
        <f t="array" ref="J129">IF(ISNUMBER(A129),IFERROR(_xlfn._xlws.FILTER(Equipar!A:A,(Equipar!B:B=3)*(Equipar!AC:AC=A129)),""),"")</f>
        <v/>
      </c>
    </row>
    <row r="130" spans="1:10" x14ac:dyDescent="0.25">
      <c r="A130" s="1">
        <v>268</v>
      </c>
      <c r="B130" s="6" t="s">
        <v>54</v>
      </c>
      <c r="C130" s="6" t="s">
        <v>5</v>
      </c>
      <c r="D130" s="6" t="s">
        <v>36</v>
      </c>
      <c r="E130" s="6" t="s">
        <v>36</v>
      </c>
      <c r="F130" s="6" t="s">
        <v>43</v>
      </c>
      <c r="I130" s="2" t="str">
        <f ca="1">IF(ISNUMBER(A130),
IF(COUNTIFS(Equipar!B:B,3,Equipar!AC:AC,A130),"Equipada",
IF(
  OR(COUNTIFS(Equipar!B:B,3,Equipar!C:C,A130)
 +COUNTIFS(Equipar!B:B,3,Equipar!D:D,A130)
+COUNTIFS(Equipar!B:B,3,Equipar!E:E,A130)
+COUNTIFS(Equipar!B:B,3,Equipar!F:F,A130)
&gt;0,COUNTIF('Set recomendado'!B:B,C130)=0),
"Bloqueada",
"Desechable")),""
)</f>
        <v>Bloqueada</v>
      </c>
      <c r="J130" t="str" cm="1">
        <f t="array" ref="J130">IF(ISNUMBER(A130),IFERROR(_xlfn._xlws.FILTER(Equipar!A:A,(Equipar!B:B=3)*(Equipar!AC:AC=A130)),""),"")</f>
        <v/>
      </c>
    </row>
    <row r="131" spans="1:10" x14ac:dyDescent="0.25">
      <c r="A131" s="1">
        <v>269</v>
      </c>
      <c r="B131" s="6" t="s">
        <v>54</v>
      </c>
      <c r="C131" s="6" t="s">
        <v>14</v>
      </c>
      <c r="D131" s="6" t="s">
        <v>36</v>
      </c>
      <c r="E131" s="6" t="s">
        <v>38</v>
      </c>
      <c r="F131" s="6" t="s">
        <v>36</v>
      </c>
      <c r="G131" s="6" t="s">
        <v>32</v>
      </c>
      <c r="I131" s="2" t="str">
        <f ca="1">IF(ISNUMBER(A131),
IF(COUNTIFS(Equipar!B:B,3,Equipar!AC:AC,A131),"Equipada",
IF(
  OR(COUNTIFS(Equipar!B:B,3,Equipar!C:C,A131)
 +COUNTIFS(Equipar!B:B,3,Equipar!D:D,A131)
+COUNTIFS(Equipar!B:B,3,Equipar!E:E,A131)
+COUNTIFS(Equipar!B:B,3,Equipar!F:F,A131)
&gt;0,COUNTIF('Set recomendado'!B:B,C131)=0),
"Bloqueada",
"Desechable")),""
)</f>
        <v>Desechable</v>
      </c>
      <c r="J131" t="str" cm="1">
        <f t="array" ref="J131">IF(ISNUMBER(A131),IFERROR(_xlfn._xlws.FILTER(Equipar!A:A,(Equipar!B:B=3)*(Equipar!AC:AC=A131)),""),"")</f>
        <v/>
      </c>
    </row>
    <row r="132" spans="1:10" x14ac:dyDescent="0.25">
      <c r="A132" s="1">
        <v>270</v>
      </c>
      <c r="B132" s="6" t="s">
        <v>54</v>
      </c>
      <c r="C132" s="6" t="s">
        <v>14</v>
      </c>
      <c r="D132" s="6" t="s">
        <v>36</v>
      </c>
      <c r="E132" s="6" t="s">
        <v>38</v>
      </c>
      <c r="F132" s="6" t="s">
        <v>41</v>
      </c>
      <c r="I132" s="2" t="str">
        <f ca="1">IF(ISNUMBER(A132),
IF(COUNTIFS(Equipar!B:B,3,Equipar!AC:AC,A132),"Equipada",
IF(
  OR(COUNTIFS(Equipar!B:B,3,Equipar!C:C,A132)
 +COUNTIFS(Equipar!B:B,3,Equipar!D:D,A132)
+COUNTIFS(Equipar!B:B,3,Equipar!E:E,A132)
+COUNTIFS(Equipar!B:B,3,Equipar!F:F,A132)
&gt;0,COUNTIF('Set recomendado'!B:B,C132)=0),
"Bloqueada",
"Desechable")),""
)</f>
        <v>Desechable</v>
      </c>
      <c r="J132" t="str" cm="1">
        <f t="array" ref="J132">IF(ISNUMBER(A132),IFERROR(_xlfn._xlws.FILTER(Equipar!A:A,(Equipar!B:B=3)*(Equipar!AC:AC=A132)),""),"")</f>
        <v/>
      </c>
    </row>
    <row r="133" spans="1:10" x14ac:dyDescent="0.25">
      <c r="A133" s="1">
        <v>271</v>
      </c>
      <c r="B133" s="6" t="s">
        <v>54</v>
      </c>
      <c r="C133" s="6" t="s">
        <v>23</v>
      </c>
      <c r="D133" s="6" t="s">
        <v>36</v>
      </c>
      <c r="E133" s="6" t="s">
        <v>38</v>
      </c>
      <c r="F133" s="6" t="s">
        <v>32</v>
      </c>
      <c r="I133" s="2" t="str">
        <f ca="1">IF(ISNUMBER(A133),
IF(COUNTIFS(Equipar!B:B,3,Equipar!AC:AC,A133),"Equipada",
IF(
  OR(COUNTIFS(Equipar!B:B,3,Equipar!C:C,A133)
 +COUNTIFS(Equipar!B:B,3,Equipar!D:D,A133)
+COUNTIFS(Equipar!B:B,3,Equipar!E:E,A133)
+COUNTIFS(Equipar!B:B,3,Equipar!F:F,A133)
&gt;0,COUNTIF('Set recomendado'!B:B,C133)=0),
"Bloqueada",
"Desechable")),""
)</f>
        <v>Desechable</v>
      </c>
      <c r="J133" t="str" cm="1">
        <f t="array" ref="J133">IF(ISNUMBER(A133),IFERROR(_xlfn._xlws.FILTER(Equipar!A:A,(Equipar!B:B=3)*(Equipar!AC:AC=A133)),""),"")</f>
        <v/>
      </c>
    </row>
    <row r="134" spans="1:10" x14ac:dyDescent="0.25">
      <c r="A134" s="1">
        <v>272</v>
      </c>
      <c r="B134" s="6" t="s">
        <v>54</v>
      </c>
      <c r="C134" s="6" t="s">
        <v>17</v>
      </c>
      <c r="D134" s="6" t="s">
        <v>36</v>
      </c>
      <c r="E134" s="6" t="s">
        <v>40</v>
      </c>
      <c r="F134" s="6" t="s">
        <v>43</v>
      </c>
      <c r="I134" s="2" t="str">
        <f ca="1">IF(ISNUMBER(A134),
IF(COUNTIFS(Equipar!B:B,3,Equipar!AC:AC,A134),"Equipada",
IF(
  OR(COUNTIFS(Equipar!B:B,3,Equipar!C:C,A134)
 +COUNTIFS(Equipar!B:B,3,Equipar!D:D,A134)
+COUNTIFS(Equipar!B:B,3,Equipar!E:E,A134)
+COUNTIFS(Equipar!B:B,3,Equipar!F:F,A134)
&gt;0,COUNTIF('Set recomendado'!B:B,C134)=0),
"Bloqueada",
"Desechable")),""
)</f>
        <v>Desechable</v>
      </c>
      <c r="J134" t="str" cm="1">
        <f t="array" ref="J134">IF(ISNUMBER(A134),IFERROR(_xlfn._xlws.FILTER(Equipar!A:A,(Equipar!B:B=3)*(Equipar!AC:AC=A134)),""),"")</f>
        <v/>
      </c>
    </row>
    <row r="135" spans="1:10" x14ac:dyDescent="0.25">
      <c r="A135" s="1">
        <v>273</v>
      </c>
      <c r="B135" s="6" t="s">
        <v>54</v>
      </c>
      <c r="C135" s="6" t="s">
        <v>57</v>
      </c>
      <c r="D135" s="6" t="s">
        <v>36</v>
      </c>
      <c r="E135" s="6" t="s">
        <v>40</v>
      </c>
      <c r="F135" s="6" t="s">
        <v>42</v>
      </c>
      <c r="I135" s="2" t="str">
        <f ca="1">IF(ISNUMBER(A135),
IF(COUNTIFS(Equipar!B:B,3,Equipar!AC:AC,A135),"Equipada",
IF(
  OR(COUNTIFS(Equipar!B:B,3,Equipar!C:C,A135)
 +COUNTIFS(Equipar!B:B,3,Equipar!D:D,A135)
+COUNTIFS(Equipar!B:B,3,Equipar!E:E,A135)
+COUNTIFS(Equipar!B:B,3,Equipar!F:F,A135)
&gt;0,COUNTIF('Set recomendado'!B:B,C135)=0),
"Bloqueada",
"Desechable")),""
)</f>
        <v>Bloqueada</v>
      </c>
      <c r="J135" t="str" cm="1">
        <f t="array" ref="J135">IF(ISNUMBER(A135),IFERROR(_xlfn._xlws.FILTER(Equipar!A:A,(Equipar!B:B=3)*(Equipar!AC:AC=A135)),""),"")</f>
        <v/>
      </c>
    </row>
    <row r="136" spans="1:10" x14ac:dyDescent="0.25">
      <c r="A136" s="1">
        <v>274</v>
      </c>
      <c r="B136" s="6" t="s">
        <v>54</v>
      </c>
      <c r="C136" s="6" t="s">
        <v>57</v>
      </c>
      <c r="D136" s="6" t="s">
        <v>36</v>
      </c>
      <c r="E136" s="6" t="s">
        <v>34</v>
      </c>
      <c r="F136" s="6" t="s">
        <v>42</v>
      </c>
      <c r="I136" s="2" t="str">
        <f ca="1">IF(ISNUMBER(A136),
IF(COUNTIFS(Equipar!B:B,3,Equipar!AC:AC,A136),"Equipada",
IF(
  OR(COUNTIFS(Equipar!B:B,3,Equipar!C:C,A136)
 +COUNTIFS(Equipar!B:B,3,Equipar!D:D,A136)
+COUNTIFS(Equipar!B:B,3,Equipar!E:E,A136)
+COUNTIFS(Equipar!B:B,3,Equipar!F:F,A136)
&gt;0,COUNTIF('Set recomendado'!B:B,C136)=0),
"Bloqueada",
"Desechable")),""
)</f>
        <v>Bloqueada</v>
      </c>
      <c r="J136" t="str" cm="1">
        <f t="array" ref="J136">IF(ISNUMBER(A136),IFERROR(_xlfn._xlws.FILTER(Equipar!A:A,(Equipar!B:B=3)*(Equipar!AC:AC=A136)),""),"")</f>
        <v/>
      </c>
    </row>
    <row r="137" spans="1:10" x14ac:dyDescent="0.25">
      <c r="A137" s="1">
        <v>275</v>
      </c>
      <c r="B137" s="6" t="s">
        <v>54</v>
      </c>
      <c r="C137" s="6" t="s">
        <v>57</v>
      </c>
      <c r="D137" s="6" t="s">
        <v>36</v>
      </c>
      <c r="E137" s="6" t="s">
        <v>43</v>
      </c>
      <c r="F137" s="6" t="s">
        <v>32</v>
      </c>
      <c r="I137" s="2" t="str">
        <f ca="1">IF(ISNUMBER(A137),
IF(COUNTIFS(Equipar!B:B,3,Equipar!AC:AC,A137),"Equipada",
IF(
  OR(COUNTIFS(Equipar!B:B,3,Equipar!C:C,A137)
 +COUNTIFS(Equipar!B:B,3,Equipar!D:D,A137)
+COUNTIFS(Equipar!B:B,3,Equipar!E:E,A137)
+COUNTIFS(Equipar!B:B,3,Equipar!F:F,A137)
&gt;0,COUNTIF('Set recomendado'!B:B,C137)=0),
"Bloqueada",
"Desechable")),""
)</f>
        <v>Bloqueada</v>
      </c>
      <c r="J137" t="str" cm="1">
        <f t="array" ref="J137">IF(ISNUMBER(A137),IFERROR(_xlfn._xlws.FILTER(Equipar!A:A,(Equipar!B:B=3)*(Equipar!AC:AC=A137)),""),"")</f>
        <v/>
      </c>
    </row>
    <row r="138" spans="1:10" x14ac:dyDescent="0.25">
      <c r="A138" s="1">
        <v>276</v>
      </c>
      <c r="B138" s="6" t="s">
        <v>54</v>
      </c>
      <c r="C138" s="6" t="s">
        <v>57</v>
      </c>
      <c r="D138" s="6" t="s">
        <v>36</v>
      </c>
      <c r="E138" s="6" t="s">
        <v>32</v>
      </c>
      <c r="F138" s="6" t="s">
        <v>43</v>
      </c>
      <c r="G138" s="6" t="s">
        <v>43</v>
      </c>
      <c r="I138" s="2" t="str">
        <f ca="1">IF(ISNUMBER(A138),
IF(COUNTIFS(Equipar!B:B,3,Equipar!AC:AC,A138),"Equipada",
IF(
  OR(COUNTIFS(Equipar!B:B,3,Equipar!C:C,A138)
 +COUNTIFS(Equipar!B:B,3,Equipar!D:D,A138)
+COUNTIFS(Equipar!B:B,3,Equipar!E:E,A138)
+COUNTIFS(Equipar!B:B,3,Equipar!F:F,A138)
&gt;0,COUNTIF('Set recomendado'!B:B,C138)=0),
"Bloqueada",
"Desechable")),""
)</f>
        <v>Bloqueada</v>
      </c>
      <c r="J138" t="str" cm="1">
        <f t="array" ref="J138">IF(ISNUMBER(A138),IFERROR(_xlfn._xlws.FILTER(Equipar!A:A,(Equipar!B:B=3)*(Equipar!AC:AC=A138)),""),"")</f>
        <v/>
      </c>
    </row>
    <row r="139" spans="1:10" x14ac:dyDescent="0.25">
      <c r="A139" s="1">
        <v>277</v>
      </c>
      <c r="B139" s="6" t="s">
        <v>54</v>
      </c>
      <c r="C139" s="6" t="s">
        <v>57</v>
      </c>
      <c r="D139" s="6" t="s">
        <v>36</v>
      </c>
      <c r="E139" s="6" t="s">
        <v>37</v>
      </c>
      <c r="F139" s="6" t="s">
        <v>36</v>
      </c>
      <c r="G139" s="6" t="s">
        <v>36</v>
      </c>
      <c r="I139" s="2" t="str">
        <f ca="1">IF(ISNUMBER(A139),
IF(COUNTIFS(Equipar!B:B,3,Equipar!AC:AC,A139),"Equipada",
IF(
  OR(COUNTIFS(Equipar!B:B,3,Equipar!C:C,A139)
 +COUNTIFS(Equipar!B:B,3,Equipar!D:D,A139)
+COUNTIFS(Equipar!B:B,3,Equipar!E:E,A139)
+COUNTIFS(Equipar!B:B,3,Equipar!F:F,A139)
&gt;0,COUNTIF('Set recomendado'!B:B,C139)=0),
"Bloqueada",
"Desechable")),""
)</f>
        <v>Bloqueada</v>
      </c>
      <c r="J139" t="str" cm="1">
        <f t="array" ref="J139">IF(ISNUMBER(A139),IFERROR(_xlfn._xlws.FILTER(Equipar!A:A,(Equipar!B:B=3)*(Equipar!AC:AC=A139)),""),"")</f>
        <v/>
      </c>
    </row>
    <row r="140" spans="1:10" x14ac:dyDescent="0.25">
      <c r="A140" s="1">
        <v>278</v>
      </c>
      <c r="B140" s="6" t="s">
        <v>54</v>
      </c>
      <c r="C140" s="6" t="s">
        <v>57</v>
      </c>
      <c r="D140" s="6" t="s">
        <v>36</v>
      </c>
      <c r="E140" s="6" t="s">
        <v>34</v>
      </c>
      <c r="F140" s="6" t="s">
        <v>36</v>
      </c>
      <c r="I140" s="2" t="str">
        <f ca="1">IF(ISNUMBER(A140),
IF(COUNTIFS(Equipar!B:B,3,Equipar!AC:AC,A140),"Equipada",
IF(
  OR(COUNTIFS(Equipar!B:B,3,Equipar!C:C,A140)
 +COUNTIFS(Equipar!B:B,3,Equipar!D:D,A140)
+COUNTIFS(Equipar!B:B,3,Equipar!E:E,A140)
+COUNTIFS(Equipar!B:B,3,Equipar!F:F,A140)
&gt;0,COUNTIF('Set recomendado'!B:B,C140)=0),
"Bloqueada",
"Desechable")),""
)</f>
        <v>Bloqueada</v>
      </c>
      <c r="J140" t="str" cm="1">
        <f t="array" ref="J140">IF(ISNUMBER(A140),IFERROR(_xlfn._xlws.FILTER(Equipar!A:A,(Equipar!B:B=3)*(Equipar!AC:AC=A140)),""),"")</f>
        <v/>
      </c>
    </row>
    <row r="141" spans="1:10" x14ac:dyDescent="0.25">
      <c r="A141" s="1">
        <v>279</v>
      </c>
      <c r="B141" s="6" t="s">
        <v>54</v>
      </c>
      <c r="C141" s="6" t="s">
        <v>57</v>
      </c>
      <c r="D141" s="6" t="s">
        <v>36</v>
      </c>
      <c r="E141" s="6" t="s">
        <v>34</v>
      </c>
      <c r="F141" s="6" t="s">
        <v>42</v>
      </c>
      <c r="I141" s="2" t="str">
        <f ca="1">IF(ISNUMBER(A141),
IF(COUNTIFS(Equipar!B:B,3,Equipar!AC:AC,A141),"Equipada",
IF(
  OR(COUNTIFS(Equipar!B:B,3,Equipar!C:C,A141)
 +COUNTIFS(Equipar!B:B,3,Equipar!D:D,A141)
+COUNTIFS(Equipar!B:B,3,Equipar!E:E,A141)
+COUNTIFS(Equipar!B:B,3,Equipar!F:F,A141)
&gt;0,COUNTIF('Set recomendado'!B:B,C141)=0),
"Bloqueada",
"Desechable")),""
)</f>
        <v>Bloqueada</v>
      </c>
      <c r="J141" t="str" cm="1">
        <f t="array" ref="J141">IF(ISNUMBER(A141),IFERROR(_xlfn._xlws.FILTER(Equipar!A:A,(Equipar!B:B=3)*(Equipar!AC:AC=A141)),""),"")</f>
        <v/>
      </c>
    </row>
    <row r="142" spans="1:10" x14ac:dyDescent="0.25">
      <c r="A142" s="1">
        <v>280</v>
      </c>
      <c r="B142" s="6" t="s">
        <v>54</v>
      </c>
      <c r="C142" s="6" t="s">
        <v>57</v>
      </c>
      <c r="D142" s="6" t="s">
        <v>36</v>
      </c>
      <c r="E142" s="6" t="s">
        <v>40</v>
      </c>
      <c r="F142" s="6" t="s">
        <v>32</v>
      </c>
      <c r="I142" s="2" t="str">
        <f ca="1">IF(ISNUMBER(A142),
IF(COUNTIFS(Equipar!B:B,3,Equipar!AC:AC,A142),"Equipada",
IF(
  OR(COUNTIFS(Equipar!B:B,3,Equipar!C:C,A142)
 +COUNTIFS(Equipar!B:B,3,Equipar!D:D,A142)
+COUNTIFS(Equipar!B:B,3,Equipar!E:E,A142)
+COUNTIFS(Equipar!B:B,3,Equipar!F:F,A142)
&gt;0,COUNTIF('Set recomendado'!B:B,C142)=0),
"Bloqueada",
"Desechable")),""
)</f>
        <v>Bloqueada</v>
      </c>
      <c r="J142" t="str" cm="1">
        <f t="array" ref="J142">IF(ISNUMBER(A142),IFERROR(_xlfn._xlws.FILTER(Equipar!A:A,(Equipar!B:B=3)*(Equipar!AC:AC=A142)),""),"")</f>
        <v/>
      </c>
    </row>
    <row r="143" spans="1:10" x14ac:dyDescent="0.25">
      <c r="A143" s="1">
        <v>281</v>
      </c>
      <c r="B143" s="6" t="s">
        <v>54</v>
      </c>
      <c r="C143" s="6" t="s">
        <v>55</v>
      </c>
      <c r="D143" s="6" t="s">
        <v>36</v>
      </c>
      <c r="E143" s="6" t="s">
        <v>38</v>
      </c>
      <c r="F143" s="6" t="s">
        <v>42</v>
      </c>
      <c r="I143" s="2" t="str">
        <f ca="1">IF(ISNUMBER(A143),
IF(COUNTIFS(Equipar!B:B,3,Equipar!AC:AC,A143),"Equipada",
IF(
  OR(COUNTIFS(Equipar!B:B,3,Equipar!C:C,A143)
 +COUNTIFS(Equipar!B:B,3,Equipar!D:D,A143)
+COUNTIFS(Equipar!B:B,3,Equipar!E:E,A143)
+COUNTIFS(Equipar!B:B,3,Equipar!F:F,A143)
&gt;0,COUNTIF('Set recomendado'!B:B,C143)=0),
"Bloqueada",
"Desechable")),""
)</f>
        <v>Desechable</v>
      </c>
      <c r="J143" t="str" cm="1">
        <f t="array" ref="J143">IF(ISNUMBER(A143),IFERROR(_xlfn._xlws.FILTER(Equipar!A:A,(Equipar!B:B=3)*(Equipar!AC:AC=A143)),""),"")</f>
        <v/>
      </c>
    </row>
    <row r="144" spans="1:10" x14ac:dyDescent="0.25">
      <c r="A144" s="1">
        <v>282</v>
      </c>
      <c r="B144" s="6" t="s">
        <v>54</v>
      </c>
      <c r="C144" s="6" t="s">
        <v>55</v>
      </c>
      <c r="D144" s="6" t="s">
        <v>36</v>
      </c>
      <c r="E144" s="6" t="s">
        <v>43</v>
      </c>
      <c r="F144" s="6" t="s">
        <v>40</v>
      </c>
      <c r="I144" s="2" t="str">
        <f ca="1">IF(ISNUMBER(A144),
IF(COUNTIFS(Equipar!B:B,3,Equipar!AC:AC,A144),"Equipada",
IF(
  OR(COUNTIFS(Equipar!B:B,3,Equipar!C:C,A144)
 +COUNTIFS(Equipar!B:B,3,Equipar!D:D,A144)
+COUNTIFS(Equipar!B:B,3,Equipar!E:E,A144)
+COUNTIFS(Equipar!B:B,3,Equipar!F:F,A144)
&gt;0,COUNTIF('Set recomendado'!B:B,C144)=0),
"Bloqueada",
"Desechable")),""
)</f>
        <v>Desechable</v>
      </c>
      <c r="J144" t="str" cm="1">
        <f t="array" ref="J144">IF(ISNUMBER(A144),IFERROR(_xlfn._xlws.FILTER(Equipar!A:A,(Equipar!B:B=3)*(Equipar!AC:AC=A144)),""),"")</f>
        <v/>
      </c>
    </row>
    <row r="145" spans="1:10" x14ac:dyDescent="0.25">
      <c r="A145" s="1">
        <v>283</v>
      </c>
      <c r="B145" s="6" t="s">
        <v>54</v>
      </c>
      <c r="C145" s="6" t="s">
        <v>55</v>
      </c>
      <c r="D145" s="6" t="s">
        <v>36</v>
      </c>
      <c r="E145" s="6" t="s">
        <v>40</v>
      </c>
      <c r="F145" s="6" t="s">
        <v>43</v>
      </c>
      <c r="I145" s="2" t="str">
        <f ca="1">IF(ISNUMBER(A145),
IF(COUNTIFS(Equipar!B:B,3,Equipar!AC:AC,A145),"Equipada",
IF(
  OR(COUNTIFS(Equipar!B:B,3,Equipar!C:C,A145)
 +COUNTIFS(Equipar!B:B,3,Equipar!D:D,A145)
+COUNTIFS(Equipar!B:B,3,Equipar!E:E,A145)
+COUNTIFS(Equipar!B:B,3,Equipar!F:F,A145)
&gt;0,COUNTIF('Set recomendado'!B:B,C145)=0),
"Bloqueada",
"Desechable")),""
)</f>
        <v>Desechable</v>
      </c>
      <c r="J145" t="str" cm="1">
        <f t="array" ref="J145">IF(ISNUMBER(A145),IFERROR(_xlfn._xlws.FILTER(Equipar!A:A,(Equipar!B:B=3)*(Equipar!AC:AC=A145)),""),"")</f>
        <v/>
      </c>
    </row>
    <row r="146" spans="1:10" x14ac:dyDescent="0.25">
      <c r="A146" s="1">
        <v>284</v>
      </c>
      <c r="B146" s="6" t="s">
        <v>54</v>
      </c>
      <c r="C146" s="6" t="s">
        <v>55</v>
      </c>
      <c r="D146" s="6" t="s">
        <v>36</v>
      </c>
      <c r="E146" s="6" t="s">
        <v>37</v>
      </c>
      <c r="F146" s="6" t="s">
        <v>32</v>
      </c>
      <c r="I146" s="2" t="str">
        <f ca="1">IF(ISNUMBER(A146),
IF(COUNTIFS(Equipar!B:B,3,Equipar!AC:AC,A146),"Equipada",
IF(
  OR(COUNTIFS(Equipar!B:B,3,Equipar!C:C,A146)
 +COUNTIFS(Equipar!B:B,3,Equipar!D:D,A146)
+COUNTIFS(Equipar!B:B,3,Equipar!E:E,A146)
+COUNTIFS(Equipar!B:B,3,Equipar!F:F,A146)
&gt;0,COUNTIF('Set recomendado'!B:B,C146)=0),
"Bloqueada",
"Desechable")),""
)</f>
        <v>Desechable</v>
      </c>
      <c r="J146" t="str" cm="1">
        <f t="array" ref="J146">IF(ISNUMBER(A146),IFERROR(_xlfn._xlws.FILTER(Equipar!A:A,(Equipar!B:B=3)*(Equipar!AC:AC=A146)),""),"")</f>
        <v/>
      </c>
    </row>
    <row r="147" spans="1:10" x14ac:dyDescent="0.25">
      <c r="A147" s="1">
        <v>285</v>
      </c>
      <c r="B147" s="6" t="s">
        <v>54</v>
      </c>
      <c r="C147" s="6" t="s">
        <v>55</v>
      </c>
      <c r="D147" s="6" t="s">
        <v>36</v>
      </c>
      <c r="E147" s="6" t="s">
        <v>35</v>
      </c>
      <c r="F147" s="6" t="s">
        <v>36</v>
      </c>
      <c r="I147" s="2" t="str">
        <f ca="1">IF(ISNUMBER(A147),
IF(COUNTIFS(Equipar!B:B,3,Equipar!AC:AC,A147),"Equipada",
IF(
  OR(COUNTIFS(Equipar!B:B,3,Equipar!C:C,A147)
 +COUNTIFS(Equipar!B:B,3,Equipar!D:D,A147)
+COUNTIFS(Equipar!B:B,3,Equipar!E:E,A147)
+COUNTIFS(Equipar!B:B,3,Equipar!F:F,A147)
&gt;0,COUNTIF('Set recomendado'!B:B,C147)=0),
"Bloqueada",
"Desechable")),""
)</f>
        <v>Desechable</v>
      </c>
      <c r="J147" t="str" cm="1">
        <f t="array" ref="J147">IF(ISNUMBER(A147),IFERROR(_xlfn._xlws.FILTER(Equipar!A:A,(Equipar!B:B=3)*(Equipar!AC:AC=A147)),""),"")</f>
        <v/>
      </c>
    </row>
    <row r="148" spans="1:10" x14ac:dyDescent="0.25">
      <c r="A148" s="1">
        <v>286</v>
      </c>
      <c r="B148" s="6" t="s">
        <v>54</v>
      </c>
      <c r="C148" s="6" t="s">
        <v>55</v>
      </c>
      <c r="D148" s="6" t="s">
        <v>36</v>
      </c>
      <c r="E148" s="6" t="s">
        <v>32</v>
      </c>
      <c r="F148" s="6" t="s">
        <v>38</v>
      </c>
      <c r="I148" s="2" t="str">
        <f ca="1">IF(ISNUMBER(A148),
IF(COUNTIFS(Equipar!B:B,3,Equipar!AC:AC,A148),"Equipada",
IF(
  OR(COUNTIFS(Equipar!B:B,3,Equipar!C:C,A148)
 +COUNTIFS(Equipar!B:B,3,Equipar!D:D,A148)
+COUNTIFS(Equipar!B:B,3,Equipar!E:E,A148)
+COUNTIFS(Equipar!B:B,3,Equipar!F:F,A148)
&gt;0,COUNTIF('Set recomendado'!B:B,C148)=0),
"Bloqueada",
"Desechable")),""
)</f>
        <v>Desechable</v>
      </c>
      <c r="J148" t="str" cm="1">
        <f t="array" ref="J148">IF(ISNUMBER(A148),IFERROR(_xlfn._xlws.FILTER(Equipar!A:A,(Equipar!B:B=3)*(Equipar!AC:AC=A148)),""),"")</f>
        <v/>
      </c>
    </row>
    <row r="149" spans="1:10" x14ac:dyDescent="0.25">
      <c r="A149" s="1">
        <v>287</v>
      </c>
      <c r="B149" s="6" t="s">
        <v>54</v>
      </c>
      <c r="C149" s="6" t="s">
        <v>55</v>
      </c>
      <c r="D149" s="6" t="s">
        <v>36</v>
      </c>
      <c r="E149" s="6" t="s">
        <v>35</v>
      </c>
      <c r="F149" s="6" t="s">
        <v>32</v>
      </c>
      <c r="G149" s="6" t="s">
        <v>38</v>
      </c>
      <c r="I149" s="2" t="str">
        <f ca="1">IF(ISNUMBER(A149),
IF(COUNTIFS(Equipar!B:B,3,Equipar!AC:AC,A149),"Equipada",
IF(
  OR(COUNTIFS(Equipar!B:B,3,Equipar!C:C,A149)
 +COUNTIFS(Equipar!B:B,3,Equipar!D:D,A149)
+COUNTIFS(Equipar!B:B,3,Equipar!E:E,A149)
+COUNTIFS(Equipar!B:B,3,Equipar!F:F,A149)
&gt;0,COUNTIF('Set recomendado'!B:B,C149)=0),
"Bloqueada",
"Desechable")),""
)</f>
        <v>Desechable</v>
      </c>
      <c r="J149" t="str" cm="1">
        <f t="array" ref="J149">IF(ISNUMBER(A149),IFERROR(_xlfn._xlws.FILTER(Equipar!A:A,(Equipar!B:B=3)*(Equipar!AC:AC=A149)),""),"")</f>
        <v/>
      </c>
    </row>
    <row r="150" spans="1:10" x14ac:dyDescent="0.25">
      <c r="A150" s="1">
        <v>288</v>
      </c>
      <c r="B150" s="6" t="s">
        <v>54</v>
      </c>
      <c r="C150" s="6" t="s">
        <v>55</v>
      </c>
      <c r="D150" s="6" t="s">
        <v>36</v>
      </c>
      <c r="E150" s="6" t="s">
        <v>32</v>
      </c>
      <c r="F150" s="6" t="s">
        <v>34</v>
      </c>
      <c r="I150" s="2" t="str">
        <f ca="1">IF(ISNUMBER(A150),
IF(COUNTIFS(Equipar!B:B,3,Equipar!AC:AC,A150),"Equipada",
IF(
  OR(COUNTIFS(Equipar!B:B,3,Equipar!C:C,A150)
 +COUNTIFS(Equipar!B:B,3,Equipar!D:D,A150)
+COUNTIFS(Equipar!B:B,3,Equipar!E:E,A150)
+COUNTIFS(Equipar!B:B,3,Equipar!F:F,A150)
&gt;0,COUNTIF('Set recomendado'!B:B,C150)=0),
"Bloqueada",
"Desechable")),""
)</f>
        <v>Desechable</v>
      </c>
      <c r="J150" t="str" cm="1">
        <f t="array" ref="J150">IF(ISNUMBER(A150),IFERROR(_xlfn._xlws.FILTER(Equipar!A:A,(Equipar!B:B=3)*(Equipar!AC:AC=A150)),""),"")</f>
        <v/>
      </c>
    </row>
    <row r="151" spans="1:10" x14ac:dyDescent="0.25">
      <c r="A151" s="1">
        <v>289</v>
      </c>
      <c r="B151" s="6" t="s">
        <v>54</v>
      </c>
      <c r="C151" s="6" t="s">
        <v>55</v>
      </c>
      <c r="D151" s="6" t="s">
        <v>36</v>
      </c>
      <c r="E151" s="6" t="s">
        <v>32</v>
      </c>
      <c r="F151" s="6" t="s">
        <v>38</v>
      </c>
      <c r="I151" s="2" t="str">
        <f ca="1">IF(ISNUMBER(A151),
IF(COUNTIFS(Equipar!B:B,3,Equipar!AC:AC,A151),"Equipada",
IF(
  OR(COUNTIFS(Equipar!B:B,3,Equipar!C:C,A151)
 +COUNTIFS(Equipar!B:B,3,Equipar!D:D,A151)
+COUNTIFS(Equipar!B:B,3,Equipar!E:E,A151)
+COUNTIFS(Equipar!B:B,3,Equipar!F:F,A151)
&gt;0,COUNTIF('Set recomendado'!B:B,C151)=0),
"Bloqueada",
"Desechable")),""
)</f>
        <v>Desechable</v>
      </c>
      <c r="J151" t="str" cm="1">
        <f t="array" ref="J151">IF(ISNUMBER(A151),IFERROR(_xlfn._xlws.FILTER(Equipar!A:A,(Equipar!B:B=3)*(Equipar!AC:AC=A151)),""),"")</f>
        <v/>
      </c>
    </row>
    <row r="152" spans="1:10" x14ac:dyDescent="0.25">
      <c r="A152" s="1">
        <v>290</v>
      </c>
      <c r="B152" s="6" t="s">
        <v>54</v>
      </c>
      <c r="C152" s="6" t="s">
        <v>55</v>
      </c>
      <c r="D152" s="6" t="s">
        <v>36</v>
      </c>
      <c r="E152" s="6" t="s">
        <v>32</v>
      </c>
      <c r="F152" s="6" t="s">
        <v>42</v>
      </c>
      <c r="I152" s="2" t="str">
        <f ca="1">IF(ISNUMBER(A152),
IF(COUNTIFS(Equipar!B:B,3,Equipar!AC:AC,A152),"Equipada",
IF(
  OR(COUNTIFS(Equipar!B:B,3,Equipar!C:C,A152)
 +COUNTIFS(Equipar!B:B,3,Equipar!D:D,A152)
+COUNTIFS(Equipar!B:B,3,Equipar!E:E,A152)
+COUNTIFS(Equipar!B:B,3,Equipar!F:F,A152)
&gt;0,COUNTIF('Set recomendado'!B:B,C152)=0),
"Bloqueada",
"Desechable")),""
)</f>
        <v>Desechable</v>
      </c>
      <c r="J152" t="str" cm="1">
        <f t="array" ref="J152">IF(ISNUMBER(A152),IFERROR(_xlfn._xlws.FILTER(Equipar!A:A,(Equipar!B:B=3)*(Equipar!AC:AC=A152)),""),"")</f>
        <v/>
      </c>
    </row>
    <row r="153" spans="1:10" x14ac:dyDescent="0.25">
      <c r="A153" s="1">
        <v>291</v>
      </c>
      <c r="B153" s="6" t="s">
        <v>54</v>
      </c>
      <c r="C153" s="6" t="s">
        <v>21</v>
      </c>
      <c r="D153" s="6" t="s">
        <v>36</v>
      </c>
      <c r="E153" s="6" t="s">
        <v>44</v>
      </c>
      <c r="F153" s="6" t="s">
        <v>34</v>
      </c>
      <c r="G153" s="6" t="s">
        <v>32</v>
      </c>
      <c r="I153" s="2" t="str">
        <f ca="1">IF(ISNUMBER(A153),
IF(COUNTIFS(Equipar!B:B,3,Equipar!AC:AC,A153),"Equipada",
IF(
  OR(COUNTIFS(Equipar!B:B,3,Equipar!C:C,A153)
 +COUNTIFS(Equipar!B:B,3,Equipar!D:D,A153)
+COUNTIFS(Equipar!B:B,3,Equipar!E:E,A153)
+COUNTIFS(Equipar!B:B,3,Equipar!F:F,A153)
&gt;0,COUNTIF('Set recomendado'!B:B,C153)=0),
"Bloqueada",
"Desechable")),""
)</f>
        <v>Desechable</v>
      </c>
      <c r="J153" t="str" cm="1">
        <f t="array" ref="J153">IF(ISNUMBER(A153),IFERROR(_xlfn._xlws.FILTER(Equipar!A:A,(Equipar!B:B=3)*(Equipar!AC:AC=A153)),""),"")</f>
        <v/>
      </c>
    </row>
    <row r="154" spans="1:10" x14ac:dyDescent="0.25">
      <c r="A154" s="1">
        <v>292</v>
      </c>
      <c r="B154" s="6" t="s">
        <v>54</v>
      </c>
      <c r="C154" s="6" t="s">
        <v>21</v>
      </c>
      <c r="D154" s="6" t="s">
        <v>36</v>
      </c>
      <c r="E154" s="6" t="s">
        <v>38</v>
      </c>
      <c r="F154" s="6" t="s">
        <v>36</v>
      </c>
      <c r="G154" s="6" t="s">
        <v>42</v>
      </c>
      <c r="I154" s="2" t="str">
        <f ca="1">IF(ISNUMBER(A154),
IF(COUNTIFS(Equipar!B:B,3,Equipar!AC:AC,A154),"Equipada",
IF(
  OR(COUNTIFS(Equipar!B:B,3,Equipar!C:C,A154)
 +COUNTIFS(Equipar!B:B,3,Equipar!D:D,A154)
+COUNTIFS(Equipar!B:B,3,Equipar!E:E,A154)
+COUNTIFS(Equipar!B:B,3,Equipar!F:F,A154)
&gt;0,COUNTIF('Set recomendado'!B:B,C154)=0),
"Bloqueada",
"Desechable")),""
)</f>
        <v>Desechable</v>
      </c>
      <c r="J154" t="str" cm="1">
        <f t="array" ref="J154">IF(ISNUMBER(A154),IFERROR(_xlfn._xlws.FILTER(Equipar!A:A,(Equipar!B:B=3)*(Equipar!AC:AC=A154)),""),"")</f>
        <v/>
      </c>
    </row>
    <row r="155" spans="1:10" x14ac:dyDescent="0.25">
      <c r="A155" s="1">
        <v>293</v>
      </c>
      <c r="B155" s="6" t="s">
        <v>54</v>
      </c>
      <c r="C155" s="6" t="s">
        <v>21</v>
      </c>
      <c r="D155" s="6" t="s">
        <v>36</v>
      </c>
      <c r="E155" s="6" t="s">
        <v>36</v>
      </c>
      <c r="F155" s="6" t="s">
        <v>35</v>
      </c>
      <c r="I155" s="2" t="str">
        <f ca="1">IF(ISNUMBER(A155),
IF(COUNTIFS(Equipar!B:B,3,Equipar!AC:AC,A155),"Equipada",
IF(
  OR(COUNTIFS(Equipar!B:B,3,Equipar!C:C,A155)
 +COUNTIFS(Equipar!B:B,3,Equipar!D:D,A155)
+COUNTIFS(Equipar!B:B,3,Equipar!E:E,A155)
+COUNTIFS(Equipar!B:B,3,Equipar!F:F,A155)
&gt;0,COUNTIF('Set recomendado'!B:B,C155)=0),
"Bloqueada",
"Desechable")),""
)</f>
        <v>Desechable</v>
      </c>
      <c r="J155" t="str" cm="1">
        <f t="array" ref="J155">IF(ISNUMBER(A155),IFERROR(_xlfn._xlws.FILTER(Equipar!A:A,(Equipar!B:B=3)*(Equipar!AC:AC=A155)),""),"")</f>
        <v/>
      </c>
    </row>
    <row r="156" spans="1:10" x14ac:dyDescent="0.25">
      <c r="A156" s="1">
        <v>294</v>
      </c>
      <c r="B156" s="6" t="s">
        <v>54</v>
      </c>
      <c r="C156" s="6" t="s">
        <v>21</v>
      </c>
      <c r="D156" s="6" t="s">
        <v>36</v>
      </c>
      <c r="E156" s="6" t="s">
        <v>41</v>
      </c>
      <c r="F156" s="6" t="s">
        <v>43</v>
      </c>
      <c r="G156" s="6" t="s">
        <v>44</v>
      </c>
      <c r="I156" s="2" t="str">
        <f ca="1">IF(ISNUMBER(A156),
IF(COUNTIFS(Equipar!B:B,3,Equipar!AC:AC,A156),"Equipada",
IF(
  OR(COUNTIFS(Equipar!B:B,3,Equipar!C:C,A156)
 +COUNTIFS(Equipar!B:B,3,Equipar!D:D,A156)
+COUNTIFS(Equipar!B:B,3,Equipar!E:E,A156)
+COUNTIFS(Equipar!B:B,3,Equipar!F:F,A156)
&gt;0,COUNTIF('Set recomendado'!B:B,C156)=0),
"Bloqueada",
"Desechable")),""
)</f>
        <v>Desechable</v>
      </c>
      <c r="J156" t="str" cm="1">
        <f t="array" ref="J156">IF(ISNUMBER(A156),IFERROR(_xlfn._xlws.FILTER(Equipar!A:A,(Equipar!B:B=3)*(Equipar!AC:AC=A156)),""),"")</f>
        <v/>
      </c>
    </row>
    <row r="157" spans="1:10" x14ac:dyDescent="0.25">
      <c r="A157" s="1">
        <v>295</v>
      </c>
      <c r="B157" s="6" t="s">
        <v>54</v>
      </c>
      <c r="C157" s="6" t="s">
        <v>21</v>
      </c>
      <c r="D157" s="6" t="s">
        <v>36</v>
      </c>
      <c r="E157" s="6" t="s">
        <v>43</v>
      </c>
      <c r="F157" s="6" t="s">
        <v>41</v>
      </c>
      <c r="I157" s="2" t="str">
        <f ca="1">IF(ISNUMBER(A157),
IF(COUNTIFS(Equipar!B:B,3,Equipar!AC:AC,A157),"Equipada",
IF(
  OR(COUNTIFS(Equipar!B:B,3,Equipar!C:C,A157)
 +COUNTIFS(Equipar!B:B,3,Equipar!D:D,A157)
+COUNTIFS(Equipar!B:B,3,Equipar!E:E,A157)
+COUNTIFS(Equipar!B:B,3,Equipar!F:F,A157)
&gt;0,COUNTIF('Set recomendado'!B:B,C157)=0),
"Bloqueada",
"Desechable")),""
)</f>
        <v>Desechable</v>
      </c>
      <c r="J157" t="str" cm="1">
        <f t="array" ref="J157">IF(ISNUMBER(A157),IFERROR(_xlfn._xlws.FILTER(Equipar!A:A,(Equipar!B:B=3)*(Equipar!AC:AC=A157)),""),"")</f>
        <v/>
      </c>
    </row>
    <row r="158" spans="1:10" x14ac:dyDescent="0.25">
      <c r="A158" s="1">
        <v>296</v>
      </c>
      <c r="B158" s="6" t="s">
        <v>54</v>
      </c>
      <c r="C158" s="6" t="s">
        <v>21</v>
      </c>
      <c r="D158" s="6" t="s">
        <v>36</v>
      </c>
      <c r="E158" s="6" t="s">
        <v>37</v>
      </c>
      <c r="F158" s="6" t="s">
        <v>43</v>
      </c>
      <c r="I158" s="2" t="str">
        <f ca="1">IF(ISNUMBER(A158),
IF(COUNTIFS(Equipar!B:B,3,Equipar!AC:AC,A158),"Equipada",
IF(
  OR(COUNTIFS(Equipar!B:B,3,Equipar!C:C,A158)
 +COUNTIFS(Equipar!B:B,3,Equipar!D:D,A158)
+COUNTIFS(Equipar!B:B,3,Equipar!E:E,A158)
+COUNTIFS(Equipar!B:B,3,Equipar!F:F,A158)
&gt;0,COUNTIF('Set recomendado'!B:B,C158)=0),
"Bloqueada",
"Desechable")),""
)</f>
        <v>Desechable</v>
      </c>
      <c r="J158" t="str" cm="1">
        <f t="array" ref="J158">IF(ISNUMBER(A158),IFERROR(_xlfn._xlws.FILTER(Equipar!A:A,(Equipar!B:B=3)*(Equipar!AC:AC=A158)),""),"")</f>
        <v/>
      </c>
    </row>
    <row r="159" spans="1:10" x14ac:dyDescent="0.25">
      <c r="A159" s="1">
        <v>297</v>
      </c>
      <c r="B159" s="6" t="s">
        <v>54</v>
      </c>
      <c r="C159" s="6" t="s">
        <v>21</v>
      </c>
      <c r="D159" s="6" t="s">
        <v>36</v>
      </c>
      <c r="E159" s="6" t="s">
        <v>35</v>
      </c>
      <c r="F159" s="6" t="s">
        <v>43</v>
      </c>
      <c r="I159" s="2" t="str">
        <f ca="1">IF(ISNUMBER(A159),
IF(COUNTIFS(Equipar!B:B,3,Equipar!AC:AC,A159),"Equipada",
IF(
  OR(COUNTIFS(Equipar!B:B,3,Equipar!C:C,A159)
 +COUNTIFS(Equipar!B:B,3,Equipar!D:D,A159)
+COUNTIFS(Equipar!B:B,3,Equipar!E:E,A159)
+COUNTIFS(Equipar!B:B,3,Equipar!F:F,A159)
&gt;0,COUNTIF('Set recomendado'!B:B,C159)=0),
"Bloqueada",
"Desechable")),""
)</f>
        <v>Desechable</v>
      </c>
      <c r="J159" t="str" cm="1">
        <f t="array" ref="J159">IF(ISNUMBER(A159),IFERROR(_xlfn._xlws.FILTER(Equipar!A:A,(Equipar!B:B=3)*(Equipar!AC:AC=A159)),""),"")</f>
        <v/>
      </c>
    </row>
    <row r="160" spans="1:10" x14ac:dyDescent="0.25">
      <c r="A160" s="1">
        <v>298</v>
      </c>
      <c r="B160" s="6" t="s">
        <v>54</v>
      </c>
      <c r="C160" s="6" t="s">
        <v>21</v>
      </c>
      <c r="D160" s="6" t="s">
        <v>36</v>
      </c>
      <c r="E160" s="6" t="s">
        <v>36</v>
      </c>
      <c r="F160" s="6" t="s">
        <v>32</v>
      </c>
      <c r="I160" s="2" t="str">
        <f ca="1">IF(ISNUMBER(A160),
IF(COUNTIFS(Equipar!B:B,3,Equipar!AC:AC,A160),"Equipada",
IF(
  OR(COUNTIFS(Equipar!B:B,3,Equipar!C:C,A160)
 +COUNTIFS(Equipar!B:B,3,Equipar!D:D,A160)
+COUNTIFS(Equipar!B:B,3,Equipar!E:E,A160)
+COUNTIFS(Equipar!B:B,3,Equipar!F:F,A160)
&gt;0,COUNTIF('Set recomendado'!B:B,C160)=0),
"Bloqueada",
"Desechable")),""
)</f>
        <v>Desechable</v>
      </c>
      <c r="J160" t="str" cm="1">
        <f t="array" ref="J160">IF(ISNUMBER(A160),IFERROR(_xlfn._xlws.FILTER(Equipar!A:A,(Equipar!B:B=3)*(Equipar!AC:AC=A160)),""),"")</f>
        <v/>
      </c>
    </row>
    <row r="161" spans="1:10" x14ac:dyDescent="0.25">
      <c r="A161" s="1">
        <v>299</v>
      </c>
      <c r="B161" s="6" t="s">
        <v>54</v>
      </c>
      <c r="C161" s="6" t="s">
        <v>21</v>
      </c>
      <c r="D161" s="6" t="s">
        <v>36</v>
      </c>
      <c r="E161" s="6" t="s">
        <v>37</v>
      </c>
      <c r="F161" s="6" t="s">
        <v>41</v>
      </c>
      <c r="I161" s="2" t="str">
        <f ca="1">IF(ISNUMBER(A161),
IF(COUNTIFS(Equipar!B:B,3,Equipar!AC:AC,A161),"Equipada",
IF(
  OR(COUNTIFS(Equipar!B:B,3,Equipar!C:C,A161)
 +COUNTIFS(Equipar!B:B,3,Equipar!D:D,A161)
+COUNTIFS(Equipar!B:B,3,Equipar!E:E,A161)
+COUNTIFS(Equipar!B:B,3,Equipar!F:F,A161)
&gt;0,COUNTIF('Set recomendado'!B:B,C161)=0),
"Bloqueada",
"Desechable")),""
)</f>
        <v>Desechable</v>
      </c>
      <c r="J161" t="str" cm="1">
        <f t="array" ref="J161">IF(ISNUMBER(A161),IFERROR(_xlfn._xlws.FILTER(Equipar!A:A,(Equipar!B:B=3)*(Equipar!AC:AC=A161)),""),"")</f>
        <v/>
      </c>
    </row>
    <row r="162" spans="1:10" x14ac:dyDescent="0.25">
      <c r="A162" s="1">
        <v>300</v>
      </c>
      <c r="B162" s="6" t="s">
        <v>54</v>
      </c>
      <c r="C162" s="6" t="s">
        <v>21</v>
      </c>
      <c r="D162" s="6" t="s">
        <v>36</v>
      </c>
      <c r="E162" s="6" t="s">
        <v>41</v>
      </c>
      <c r="F162" s="6" t="s">
        <v>38</v>
      </c>
      <c r="I162" s="2" t="str">
        <f ca="1">IF(ISNUMBER(A162),
IF(COUNTIFS(Equipar!B:B,3,Equipar!AC:AC,A162),"Equipada",
IF(
  OR(COUNTIFS(Equipar!B:B,3,Equipar!C:C,A162)
 +COUNTIFS(Equipar!B:B,3,Equipar!D:D,A162)
+COUNTIFS(Equipar!B:B,3,Equipar!E:E,A162)
+COUNTIFS(Equipar!B:B,3,Equipar!F:F,A162)
&gt;0,COUNTIF('Set recomendado'!B:B,C162)=0),
"Bloqueada",
"Desechable")),""
)</f>
        <v>Desechable</v>
      </c>
      <c r="J162" t="str" cm="1">
        <f t="array" ref="J162">IF(ISNUMBER(A162),IFERROR(_xlfn._xlws.FILTER(Equipar!A:A,(Equipar!B:B=3)*(Equipar!AC:AC=A162)),""),"")</f>
        <v/>
      </c>
    </row>
    <row r="163" spans="1:10" x14ac:dyDescent="0.25">
      <c r="A163" s="1">
        <v>301</v>
      </c>
      <c r="B163" s="6" t="s">
        <v>54</v>
      </c>
      <c r="C163" s="6" t="s">
        <v>21</v>
      </c>
      <c r="D163" s="6" t="s">
        <v>36</v>
      </c>
      <c r="E163" s="6" t="s">
        <v>42</v>
      </c>
      <c r="F163" s="6" t="s">
        <v>32</v>
      </c>
      <c r="I163" s="2" t="str">
        <f ca="1">IF(ISNUMBER(A163),
IF(COUNTIFS(Equipar!B:B,3,Equipar!AC:AC,A163),"Equipada",
IF(
  OR(COUNTIFS(Equipar!B:B,3,Equipar!C:C,A163)
 +COUNTIFS(Equipar!B:B,3,Equipar!D:D,A163)
+COUNTIFS(Equipar!B:B,3,Equipar!E:E,A163)
+COUNTIFS(Equipar!B:B,3,Equipar!F:F,A163)
&gt;0,COUNTIF('Set recomendado'!B:B,C163)=0),
"Bloqueada",
"Desechable")),""
)</f>
        <v>Desechable</v>
      </c>
      <c r="J163" t="str" cm="1">
        <f t="array" ref="J163">IF(ISNUMBER(A163),IFERROR(_xlfn._xlws.FILTER(Equipar!A:A,(Equipar!B:B=3)*(Equipar!AC:AC=A163)),""),"")</f>
        <v/>
      </c>
    </row>
    <row r="164" spans="1:10" x14ac:dyDescent="0.25">
      <c r="A164" s="1">
        <v>302</v>
      </c>
      <c r="B164" s="6" t="s">
        <v>54</v>
      </c>
      <c r="C164" s="6" t="s">
        <v>21</v>
      </c>
      <c r="D164" s="6" t="s">
        <v>36</v>
      </c>
      <c r="E164" s="6" t="s">
        <v>36</v>
      </c>
      <c r="F164" s="6" t="s">
        <v>38</v>
      </c>
      <c r="I164" s="2" t="str">
        <f ca="1">IF(ISNUMBER(A164),
IF(COUNTIFS(Equipar!B:B,3,Equipar!AC:AC,A164),"Equipada",
IF(
  OR(COUNTIFS(Equipar!B:B,3,Equipar!C:C,A164)
 +COUNTIFS(Equipar!B:B,3,Equipar!D:D,A164)
+COUNTIFS(Equipar!B:B,3,Equipar!E:E,A164)
+COUNTIFS(Equipar!B:B,3,Equipar!F:F,A164)
&gt;0,COUNTIF('Set recomendado'!B:B,C164)=0),
"Bloqueada",
"Desechable")),""
)</f>
        <v>Desechable</v>
      </c>
      <c r="J164" t="str" cm="1">
        <f t="array" ref="J164">IF(ISNUMBER(A164),IFERROR(_xlfn._xlws.FILTER(Equipar!A:A,(Equipar!B:B=3)*(Equipar!AC:AC=A164)),""),"")</f>
        <v/>
      </c>
    </row>
    <row r="165" spans="1:10" x14ac:dyDescent="0.25">
      <c r="A165" s="1">
        <v>303</v>
      </c>
      <c r="B165" s="6" t="s">
        <v>54</v>
      </c>
      <c r="C165" s="6" t="s">
        <v>21</v>
      </c>
      <c r="D165" s="6" t="s">
        <v>36</v>
      </c>
      <c r="E165" s="6" t="s">
        <v>43</v>
      </c>
      <c r="F165" s="6" t="s">
        <v>41</v>
      </c>
      <c r="G165" s="6" t="s">
        <v>32</v>
      </c>
      <c r="I165" s="2" t="str">
        <f ca="1">IF(ISNUMBER(A165),
IF(COUNTIFS(Equipar!B:B,3,Equipar!AC:AC,A165),"Equipada",
IF(
  OR(COUNTIFS(Equipar!B:B,3,Equipar!C:C,A165)
 +COUNTIFS(Equipar!B:B,3,Equipar!D:D,A165)
+COUNTIFS(Equipar!B:B,3,Equipar!E:E,A165)
+COUNTIFS(Equipar!B:B,3,Equipar!F:F,A165)
&gt;0,COUNTIF('Set recomendado'!B:B,C165)=0),
"Bloqueada",
"Desechable")),""
)</f>
        <v>Desechable</v>
      </c>
      <c r="J165" t="str" cm="1">
        <f t="array" ref="J165">IF(ISNUMBER(A165),IFERROR(_xlfn._xlws.FILTER(Equipar!A:A,(Equipar!B:B=3)*(Equipar!AC:AC=A165)),""),"")</f>
        <v/>
      </c>
    </row>
    <row r="166" spans="1:10" x14ac:dyDescent="0.25">
      <c r="A166" s="1">
        <v>304</v>
      </c>
      <c r="B166" s="6" t="s">
        <v>54</v>
      </c>
      <c r="C166" s="6" t="s">
        <v>21</v>
      </c>
      <c r="D166" s="6" t="s">
        <v>36</v>
      </c>
      <c r="E166" s="6" t="s">
        <v>43</v>
      </c>
      <c r="F166" s="6" t="s">
        <v>37</v>
      </c>
      <c r="G166" s="6" t="s">
        <v>39</v>
      </c>
      <c r="I166" s="2" t="str">
        <f ca="1">IF(ISNUMBER(A166),
IF(COUNTIFS(Equipar!B:B,3,Equipar!AC:AC,A166),"Equipada",
IF(
  OR(COUNTIFS(Equipar!B:B,3,Equipar!C:C,A166)
 +COUNTIFS(Equipar!B:B,3,Equipar!D:D,A166)
+COUNTIFS(Equipar!B:B,3,Equipar!E:E,A166)
+COUNTIFS(Equipar!B:B,3,Equipar!F:F,A166)
&gt;0,COUNTIF('Set recomendado'!B:B,C166)=0),
"Bloqueada",
"Desechable")),""
)</f>
        <v>Desechable</v>
      </c>
      <c r="J166" t="str" cm="1">
        <f t="array" ref="J166">IF(ISNUMBER(A166),IFERROR(_xlfn._xlws.FILTER(Equipar!A:A,(Equipar!B:B=3)*(Equipar!AC:AC=A166)),""),"")</f>
        <v/>
      </c>
    </row>
    <row r="167" spans="1:10" x14ac:dyDescent="0.25">
      <c r="A167" s="1">
        <v>305</v>
      </c>
      <c r="B167" s="6" t="s">
        <v>54</v>
      </c>
      <c r="C167" s="6" t="s">
        <v>21</v>
      </c>
      <c r="D167" s="6" t="s">
        <v>36</v>
      </c>
      <c r="E167" s="6" t="s">
        <v>37</v>
      </c>
      <c r="F167" s="6" t="s">
        <v>41</v>
      </c>
      <c r="I167" s="2" t="str">
        <f ca="1">IF(ISNUMBER(A167),
IF(COUNTIFS(Equipar!B:B,3,Equipar!AC:AC,A167),"Equipada",
IF(
  OR(COUNTIFS(Equipar!B:B,3,Equipar!C:C,A167)
 +COUNTIFS(Equipar!B:B,3,Equipar!D:D,A167)
+COUNTIFS(Equipar!B:B,3,Equipar!E:E,A167)
+COUNTIFS(Equipar!B:B,3,Equipar!F:F,A167)
&gt;0,COUNTIF('Set recomendado'!B:B,C167)=0),
"Bloqueada",
"Desechable")),""
)</f>
        <v>Desechable</v>
      </c>
      <c r="J167" t="str" cm="1">
        <f t="array" ref="J167">IF(ISNUMBER(A167),IFERROR(_xlfn._xlws.FILTER(Equipar!A:A,(Equipar!B:B=3)*(Equipar!AC:AC=A167)),""),"")</f>
        <v/>
      </c>
    </row>
    <row r="168" spans="1:10" x14ac:dyDescent="0.25">
      <c r="A168" s="1">
        <v>306</v>
      </c>
      <c r="B168" s="6" t="s">
        <v>54</v>
      </c>
      <c r="C168" s="6" t="s">
        <v>21</v>
      </c>
      <c r="D168" s="6" t="s">
        <v>36</v>
      </c>
      <c r="E168" s="6" t="s">
        <v>35</v>
      </c>
      <c r="F168" s="6" t="s">
        <v>32</v>
      </c>
      <c r="I168" s="2" t="str">
        <f ca="1">IF(ISNUMBER(A168),
IF(COUNTIFS(Equipar!B:B,3,Equipar!AC:AC,A168),"Equipada",
IF(
  OR(COUNTIFS(Equipar!B:B,3,Equipar!C:C,A168)
 +COUNTIFS(Equipar!B:B,3,Equipar!D:D,A168)
+COUNTIFS(Equipar!B:B,3,Equipar!E:E,A168)
+COUNTIFS(Equipar!B:B,3,Equipar!F:F,A168)
&gt;0,COUNTIF('Set recomendado'!B:B,C168)=0),
"Bloqueada",
"Desechable")),""
)</f>
        <v>Desechable</v>
      </c>
      <c r="J168" t="str" cm="1">
        <f t="array" ref="J168">IF(ISNUMBER(A168),IFERROR(_xlfn._xlws.FILTER(Equipar!A:A,(Equipar!B:B=3)*(Equipar!AC:AC=A168)),""),"")</f>
        <v/>
      </c>
    </row>
    <row r="169" spans="1:10" x14ac:dyDescent="0.25">
      <c r="A169" s="1">
        <v>307</v>
      </c>
      <c r="B169" s="6" t="s">
        <v>54</v>
      </c>
      <c r="C169" s="6" t="s">
        <v>29</v>
      </c>
      <c r="D169" s="6" t="s">
        <v>36</v>
      </c>
      <c r="E169" s="6" t="s">
        <v>44</v>
      </c>
      <c r="F169" s="6" t="s">
        <v>35</v>
      </c>
      <c r="I169" s="2" t="str">
        <f ca="1">IF(ISNUMBER(A169),
IF(COUNTIFS(Equipar!B:B,3,Equipar!AC:AC,A169),"Equipada",
IF(
  OR(COUNTIFS(Equipar!B:B,3,Equipar!C:C,A169)
 +COUNTIFS(Equipar!B:B,3,Equipar!D:D,A169)
+COUNTIFS(Equipar!B:B,3,Equipar!E:E,A169)
+COUNTIFS(Equipar!B:B,3,Equipar!F:F,A169)
&gt;0,COUNTIF('Set recomendado'!B:B,C169)=0),
"Bloqueada",
"Desechable")),""
)</f>
        <v>Desechable</v>
      </c>
      <c r="J169" t="str" cm="1">
        <f t="array" ref="J169">IF(ISNUMBER(A169),IFERROR(_xlfn._xlws.FILTER(Equipar!A:A,(Equipar!B:B=3)*(Equipar!AC:AC=A169)),""),"")</f>
        <v/>
      </c>
    </row>
    <row r="170" spans="1:10" x14ac:dyDescent="0.25">
      <c r="A170" s="1">
        <v>308</v>
      </c>
      <c r="B170" s="6" t="s">
        <v>54</v>
      </c>
      <c r="C170" s="6" t="s">
        <v>29</v>
      </c>
      <c r="D170" s="6" t="s">
        <v>36</v>
      </c>
      <c r="E170" s="6" t="s">
        <v>41</v>
      </c>
      <c r="F170" s="6" t="s">
        <v>43</v>
      </c>
      <c r="I170" s="2" t="str">
        <f ca="1">IF(ISNUMBER(A170),
IF(COUNTIFS(Equipar!B:B,3,Equipar!AC:AC,A170),"Equipada",
IF(
  OR(COUNTIFS(Equipar!B:B,3,Equipar!C:C,A170)
 +COUNTIFS(Equipar!B:B,3,Equipar!D:D,A170)
+COUNTIFS(Equipar!B:B,3,Equipar!E:E,A170)
+COUNTIFS(Equipar!B:B,3,Equipar!F:F,A170)
&gt;0,COUNTIF('Set recomendado'!B:B,C170)=0),
"Bloqueada",
"Desechable")),""
)</f>
        <v>Desechable</v>
      </c>
      <c r="J170" t="str" cm="1">
        <f t="array" ref="J170">IF(ISNUMBER(A170),IFERROR(_xlfn._xlws.FILTER(Equipar!A:A,(Equipar!B:B=3)*(Equipar!AC:AC=A170)),""),"")</f>
        <v/>
      </c>
    </row>
    <row r="171" spans="1:10" x14ac:dyDescent="0.25">
      <c r="A171" s="1">
        <v>309</v>
      </c>
      <c r="B171" s="6" t="s">
        <v>54</v>
      </c>
      <c r="C171" s="6" t="s">
        <v>29</v>
      </c>
      <c r="D171" s="6" t="s">
        <v>36</v>
      </c>
      <c r="E171" s="6" t="s">
        <v>33</v>
      </c>
      <c r="F171" s="6" t="s">
        <v>38</v>
      </c>
      <c r="I171" s="2" t="str">
        <f ca="1">IF(ISNUMBER(A171),
IF(COUNTIFS(Equipar!B:B,3,Equipar!AC:AC,A171),"Equipada",
IF(
  OR(COUNTIFS(Equipar!B:B,3,Equipar!C:C,A171)
 +COUNTIFS(Equipar!B:B,3,Equipar!D:D,A171)
+COUNTIFS(Equipar!B:B,3,Equipar!E:E,A171)
+COUNTIFS(Equipar!B:B,3,Equipar!F:F,A171)
&gt;0,COUNTIF('Set recomendado'!B:B,C171)=0),
"Bloqueada",
"Desechable")),""
)</f>
        <v>Desechable</v>
      </c>
      <c r="J171" t="str" cm="1">
        <f t="array" ref="J171">IF(ISNUMBER(A171),IFERROR(_xlfn._xlws.FILTER(Equipar!A:A,(Equipar!B:B=3)*(Equipar!AC:AC=A171)),""),"")</f>
        <v/>
      </c>
    </row>
    <row r="172" spans="1:10" x14ac:dyDescent="0.25">
      <c r="A172" s="1">
        <v>310</v>
      </c>
      <c r="B172" s="6" t="s">
        <v>54</v>
      </c>
      <c r="C172" s="6" t="s">
        <v>29</v>
      </c>
      <c r="D172" s="6" t="s">
        <v>36</v>
      </c>
      <c r="E172" s="6" t="s">
        <v>43</v>
      </c>
      <c r="F172" s="6" t="s">
        <v>42</v>
      </c>
      <c r="I172" s="2" t="str">
        <f ca="1">IF(ISNUMBER(A172),
IF(COUNTIFS(Equipar!B:B,3,Equipar!AC:AC,A172),"Equipada",
IF(
  OR(COUNTIFS(Equipar!B:B,3,Equipar!C:C,A172)
 +COUNTIFS(Equipar!B:B,3,Equipar!D:D,A172)
+COUNTIFS(Equipar!B:B,3,Equipar!E:E,A172)
+COUNTIFS(Equipar!B:B,3,Equipar!F:F,A172)
&gt;0,COUNTIF('Set recomendado'!B:B,C172)=0),
"Bloqueada",
"Desechable")),""
)</f>
        <v>Desechable</v>
      </c>
      <c r="J172" t="str" cm="1">
        <f t="array" ref="J172">IF(ISNUMBER(A172),IFERROR(_xlfn._xlws.FILTER(Equipar!A:A,(Equipar!B:B=3)*(Equipar!AC:AC=A172)),""),"")</f>
        <v/>
      </c>
    </row>
    <row r="173" spans="1:10" x14ac:dyDescent="0.25">
      <c r="A173" s="1">
        <v>311</v>
      </c>
      <c r="B173" s="6" t="s">
        <v>54</v>
      </c>
      <c r="C173" s="6" t="s">
        <v>29</v>
      </c>
      <c r="D173" s="6" t="s">
        <v>36</v>
      </c>
      <c r="E173" s="6" t="s">
        <v>36</v>
      </c>
      <c r="F173" s="6" t="s">
        <v>41</v>
      </c>
      <c r="I173" s="2" t="str">
        <f ca="1">IF(ISNUMBER(A173),
IF(COUNTIFS(Equipar!B:B,3,Equipar!AC:AC,A173),"Equipada",
IF(
  OR(COUNTIFS(Equipar!B:B,3,Equipar!C:C,A173)
 +COUNTIFS(Equipar!B:B,3,Equipar!D:D,A173)
+COUNTIFS(Equipar!B:B,3,Equipar!E:E,A173)
+COUNTIFS(Equipar!B:B,3,Equipar!F:F,A173)
&gt;0,COUNTIF('Set recomendado'!B:B,C173)=0),
"Bloqueada",
"Desechable")),""
)</f>
        <v>Desechable</v>
      </c>
      <c r="J173" t="str" cm="1">
        <f t="array" ref="J173">IF(ISNUMBER(A173),IFERROR(_xlfn._xlws.FILTER(Equipar!A:A,(Equipar!B:B=3)*(Equipar!AC:AC=A173)),""),"")</f>
        <v/>
      </c>
    </row>
    <row r="174" spans="1:10" x14ac:dyDescent="0.25">
      <c r="A174" s="1">
        <v>312</v>
      </c>
      <c r="B174" s="6" t="s">
        <v>54</v>
      </c>
      <c r="C174" s="6" t="s">
        <v>29</v>
      </c>
      <c r="D174" s="6" t="s">
        <v>36</v>
      </c>
      <c r="E174" s="6" t="s">
        <v>44</v>
      </c>
      <c r="F174" s="6" t="s">
        <v>33</v>
      </c>
      <c r="I174" s="2" t="str">
        <f ca="1">IF(ISNUMBER(A174),
IF(COUNTIFS(Equipar!B:B,3,Equipar!AC:AC,A174),"Equipada",
IF(
  OR(COUNTIFS(Equipar!B:B,3,Equipar!C:C,A174)
 +COUNTIFS(Equipar!B:B,3,Equipar!D:D,A174)
+COUNTIFS(Equipar!B:B,3,Equipar!E:E,A174)
+COUNTIFS(Equipar!B:B,3,Equipar!F:F,A174)
&gt;0,COUNTIF('Set recomendado'!B:B,C174)=0),
"Bloqueada",
"Desechable")),""
)</f>
        <v>Desechable</v>
      </c>
      <c r="J174" t="str" cm="1">
        <f t="array" ref="J174">IF(ISNUMBER(A174),IFERROR(_xlfn._xlws.FILTER(Equipar!A:A,(Equipar!B:B=3)*(Equipar!AC:AC=A174)),""),"")</f>
        <v/>
      </c>
    </row>
    <row r="175" spans="1:10" x14ac:dyDescent="0.25">
      <c r="A175" s="1">
        <v>313</v>
      </c>
      <c r="B175" s="6" t="s">
        <v>54</v>
      </c>
      <c r="C175" s="6" t="s">
        <v>29</v>
      </c>
      <c r="D175" s="6" t="s">
        <v>36</v>
      </c>
      <c r="E175" s="6" t="s">
        <v>42</v>
      </c>
      <c r="F175" s="6" t="s">
        <v>32</v>
      </c>
      <c r="I175" s="2" t="str">
        <f ca="1">IF(ISNUMBER(A175),
IF(COUNTIFS(Equipar!B:B,3,Equipar!AC:AC,A175),"Equipada",
IF(
  OR(COUNTIFS(Equipar!B:B,3,Equipar!C:C,A175)
 +COUNTIFS(Equipar!B:B,3,Equipar!D:D,A175)
+COUNTIFS(Equipar!B:B,3,Equipar!E:E,A175)
+COUNTIFS(Equipar!B:B,3,Equipar!F:F,A175)
&gt;0,COUNTIF('Set recomendado'!B:B,C175)=0),
"Bloqueada",
"Desechable")),""
)</f>
        <v>Desechable</v>
      </c>
      <c r="J175" t="str" cm="1">
        <f t="array" ref="J175">IF(ISNUMBER(A175),IFERROR(_xlfn._xlws.FILTER(Equipar!A:A,(Equipar!B:B=3)*(Equipar!AC:AC=A175)),""),"")</f>
        <v/>
      </c>
    </row>
    <row r="176" spans="1:10" x14ac:dyDescent="0.25">
      <c r="A176" s="1">
        <v>314</v>
      </c>
      <c r="B176" s="6" t="s">
        <v>54</v>
      </c>
      <c r="C176" s="6" t="s">
        <v>29</v>
      </c>
      <c r="D176" s="6" t="s">
        <v>36</v>
      </c>
      <c r="E176" s="6" t="s">
        <v>36</v>
      </c>
      <c r="F176" s="6" t="s">
        <v>41</v>
      </c>
      <c r="G176" s="6" t="s">
        <v>36</v>
      </c>
      <c r="I176" s="2" t="str">
        <f ca="1">IF(ISNUMBER(A176),
IF(COUNTIFS(Equipar!B:B,3,Equipar!AC:AC,A176),"Equipada",
IF(
  OR(COUNTIFS(Equipar!B:B,3,Equipar!C:C,A176)
 +COUNTIFS(Equipar!B:B,3,Equipar!D:D,A176)
+COUNTIFS(Equipar!B:B,3,Equipar!E:E,A176)
+COUNTIFS(Equipar!B:B,3,Equipar!F:F,A176)
&gt;0,COUNTIF('Set recomendado'!B:B,C176)=0),
"Bloqueada",
"Desechable")),""
)</f>
        <v>Desechable</v>
      </c>
      <c r="J176" t="str" cm="1">
        <f t="array" ref="J176">IF(ISNUMBER(A176),IFERROR(_xlfn._xlws.FILTER(Equipar!A:A,(Equipar!B:B=3)*(Equipar!AC:AC=A176)),""),"")</f>
        <v/>
      </c>
    </row>
    <row r="177" spans="1:10" x14ac:dyDescent="0.25">
      <c r="A177" s="1">
        <v>315</v>
      </c>
      <c r="B177" s="6" t="s">
        <v>54</v>
      </c>
      <c r="C177" s="6" t="s">
        <v>29</v>
      </c>
      <c r="D177" s="6" t="s">
        <v>36</v>
      </c>
      <c r="E177" s="6" t="s">
        <v>32</v>
      </c>
      <c r="F177" s="6" t="s">
        <v>33</v>
      </c>
      <c r="G177" s="4"/>
      <c r="H177" s="4"/>
      <c r="I177" s="2" t="str">
        <f ca="1">IF(ISNUMBER(A177),
IF(COUNTIFS(Equipar!B:B,3,Equipar!AC:AC,A177),"Equipada",
IF(
  OR(COUNTIFS(Equipar!B:B,3,Equipar!C:C,A177)
 +COUNTIFS(Equipar!B:B,3,Equipar!D:D,A177)
+COUNTIFS(Equipar!B:B,3,Equipar!E:E,A177)
+COUNTIFS(Equipar!B:B,3,Equipar!F:F,A177)
&gt;0,COUNTIF('Set recomendado'!B:B,C177)=0),
"Bloqueada",
"Desechable")),""
)</f>
        <v>Desechable</v>
      </c>
      <c r="J177" t="str" cm="1">
        <f t="array" ref="J177">IF(ISNUMBER(A177),IFERROR(_xlfn._xlws.FILTER(Equipar!A:A,(Equipar!B:B=3)*(Equipar!AC:AC=A177)),""),"")</f>
        <v/>
      </c>
    </row>
    <row r="178" spans="1:10" x14ac:dyDescent="0.25">
      <c r="A178" s="1">
        <v>316</v>
      </c>
      <c r="B178" s="6" t="s">
        <v>54</v>
      </c>
      <c r="C178" s="6" t="s">
        <v>55</v>
      </c>
      <c r="D178" s="6" t="s">
        <v>36</v>
      </c>
      <c r="E178" s="6" t="s">
        <v>37</v>
      </c>
      <c r="F178" s="6" t="s">
        <v>36</v>
      </c>
      <c r="G178" s="4"/>
      <c r="H178" s="4"/>
      <c r="I178" s="2" t="str">
        <f ca="1">IF(ISNUMBER(A178),
IF(COUNTIFS(Equipar!B:B,3,Equipar!AC:AC,A178),"Equipada",
IF(
  OR(COUNTIFS(Equipar!B:B,3,Equipar!C:C,A178)
 +COUNTIFS(Equipar!B:B,3,Equipar!D:D,A178)
+COUNTIFS(Equipar!B:B,3,Equipar!E:E,A178)
+COUNTIFS(Equipar!B:B,3,Equipar!F:F,A178)
&gt;0,COUNTIF('Set recomendado'!B:B,C178)=0),
"Bloqueada",
"Desechable")),""
)</f>
        <v>Desechable</v>
      </c>
      <c r="J178" t="str" cm="1">
        <f t="array" ref="J178">IF(ISNUMBER(A178),IFERROR(_xlfn._xlws.FILTER(Equipar!A:A,(Equipar!B:B=3)*(Equipar!AC:AC=A178)),""),"")</f>
        <v/>
      </c>
    </row>
    <row r="179" spans="1:10" x14ac:dyDescent="0.25">
      <c r="A179" s="1">
        <v>317</v>
      </c>
      <c r="B179" s="6" t="s">
        <v>54</v>
      </c>
      <c r="C179" s="6" t="s">
        <v>21</v>
      </c>
      <c r="D179" s="6" t="s">
        <v>36</v>
      </c>
      <c r="E179" s="6" t="s">
        <v>43</v>
      </c>
      <c r="F179" s="6" t="s">
        <v>41</v>
      </c>
      <c r="G179" s="6" t="s">
        <v>42</v>
      </c>
      <c r="I179" s="2" t="str">
        <f ca="1">IF(ISNUMBER(A179),
IF(COUNTIFS(Equipar!B:B,3,Equipar!AC:AC,A179),"Equipada",
IF(
  OR(COUNTIFS(Equipar!B:B,3,Equipar!C:C,A179)
 +COUNTIFS(Equipar!B:B,3,Equipar!D:D,A179)
+COUNTIFS(Equipar!B:B,3,Equipar!E:E,A179)
+COUNTIFS(Equipar!B:B,3,Equipar!F:F,A179)
&gt;0,COUNTIF('Set recomendado'!B:B,C179)=0),
"Bloqueada",
"Desechable")),""
)</f>
        <v>Desechable</v>
      </c>
      <c r="J179" t="str" cm="1">
        <f t="array" ref="J179">IF(ISNUMBER(A179),IFERROR(_xlfn._xlws.FILTER(Equipar!A:A,(Equipar!B:B=3)*(Equipar!AC:AC=A179)),""),"")</f>
        <v/>
      </c>
    </row>
    <row r="180" spans="1:10" x14ac:dyDescent="0.25">
      <c r="A180" s="1">
        <v>318</v>
      </c>
      <c r="B180" s="6" t="s">
        <v>54</v>
      </c>
      <c r="C180" s="6" t="s">
        <v>29</v>
      </c>
      <c r="D180" s="6" t="s">
        <v>36</v>
      </c>
      <c r="E180" s="6" t="s">
        <v>36</v>
      </c>
      <c r="F180" s="6" t="s">
        <v>32</v>
      </c>
      <c r="I180" s="2" t="str">
        <f ca="1">IF(ISNUMBER(A180),
IF(COUNTIFS(Equipar!B:B,3,Equipar!AC:AC,A180),"Equipada",
IF(
  OR(COUNTIFS(Equipar!B:B,3,Equipar!C:C,A180)
 +COUNTIFS(Equipar!B:B,3,Equipar!D:D,A180)
+COUNTIFS(Equipar!B:B,3,Equipar!E:E,A180)
+COUNTIFS(Equipar!B:B,3,Equipar!F:F,A180)
&gt;0,COUNTIF('Set recomendado'!B:B,C180)=0),
"Bloqueada",
"Desechable")),""
)</f>
        <v>Desechable</v>
      </c>
      <c r="J180" t="str" cm="1">
        <f t="array" ref="J180">IF(ISNUMBER(A180),IFERROR(_xlfn._xlws.FILTER(Equipar!A:A,(Equipar!B:B=3)*(Equipar!AC:AC=A180)),""),"")</f>
        <v/>
      </c>
    </row>
    <row r="181" spans="1:10" x14ac:dyDescent="0.25">
      <c r="A181" s="1">
        <v>319</v>
      </c>
      <c r="B181" s="6" t="s">
        <v>53</v>
      </c>
      <c r="C181" s="6" t="s">
        <v>21</v>
      </c>
      <c r="D181" s="6" t="s">
        <v>36</v>
      </c>
      <c r="E181" s="6" t="s">
        <v>43</v>
      </c>
      <c r="F181" s="6" t="s">
        <v>33</v>
      </c>
      <c r="G181" s="6" t="s">
        <v>38</v>
      </c>
      <c r="I181" s="2" t="str">
        <f ca="1">IF(ISNUMBER(A181),
IF(COUNTIFS(Equipar!B:B,3,Equipar!AC:AC,A181),"Equipada",
IF(
  OR(COUNTIFS(Equipar!B:B,3,Equipar!C:C,A181)
 +COUNTIFS(Equipar!B:B,3,Equipar!D:D,A181)
+COUNTIFS(Equipar!B:B,3,Equipar!E:E,A181)
+COUNTIFS(Equipar!B:B,3,Equipar!F:F,A181)
&gt;0,COUNTIF('Set recomendado'!B:B,C181)=0),
"Bloqueada",
"Desechable")),""
)</f>
        <v>Desechable</v>
      </c>
      <c r="J181" t="str" cm="1">
        <f t="array" ref="J181">IF(ISNUMBER(A181),IFERROR(_xlfn._xlws.FILTER(Equipar!A:A,(Equipar!B:B=3)*(Equipar!AC:AC=A181)),""),"")</f>
        <v/>
      </c>
    </row>
    <row r="182" spans="1:10" x14ac:dyDescent="0.25">
      <c r="A182" s="1">
        <v>320</v>
      </c>
      <c r="B182" s="6" t="s">
        <v>53</v>
      </c>
      <c r="C182" s="6" t="s">
        <v>21</v>
      </c>
      <c r="D182" s="6" t="s">
        <v>36</v>
      </c>
      <c r="E182" s="6" t="s">
        <v>38</v>
      </c>
      <c r="F182" s="6" t="s">
        <v>43</v>
      </c>
      <c r="G182" s="6" t="s">
        <v>42</v>
      </c>
      <c r="I182" s="2" t="str">
        <f ca="1">IF(ISNUMBER(A182),
IF(COUNTIFS(Equipar!B:B,3,Equipar!AC:AC,A182),"Equipada",
IF(
  OR(COUNTIFS(Equipar!B:B,3,Equipar!C:C,A182)
 +COUNTIFS(Equipar!B:B,3,Equipar!D:D,A182)
+COUNTIFS(Equipar!B:B,3,Equipar!E:E,A182)
+COUNTIFS(Equipar!B:B,3,Equipar!F:F,A182)
&gt;0,COUNTIF('Set recomendado'!B:B,C182)=0),
"Bloqueada",
"Desechable")),""
)</f>
        <v>Desechable</v>
      </c>
      <c r="J182" t="str" cm="1">
        <f t="array" ref="J182">IF(ISNUMBER(A182),IFERROR(_xlfn._xlws.FILTER(Equipar!A:A,(Equipar!B:B=3)*(Equipar!AC:AC=A182)),""),"")</f>
        <v/>
      </c>
    </row>
    <row r="183" spans="1:10" x14ac:dyDescent="0.25">
      <c r="A183" s="1">
        <v>321</v>
      </c>
      <c r="B183" s="6" t="s">
        <v>54</v>
      </c>
      <c r="C183" s="6" t="s">
        <v>57</v>
      </c>
      <c r="D183" s="6" t="s">
        <v>36</v>
      </c>
      <c r="E183" s="6" t="s">
        <v>43</v>
      </c>
      <c r="F183" s="6" t="s">
        <v>43</v>
      </c>
      <c r="G183" s="6" t="s">
        <v>37</v>
      </c>
      <c r="I183" s="2" t="str">
        <f ca="1">IF(ISNUMBER(A183),
IF(COUNTIFS(Equipar!B:B,3,Equipar!AC:AC,A183),"Equipada",
IF(
  OR(COUNTIFS(Equipar!B:B,3,Equipar!C:C,A183)
 +COUNTIFS(Equipar!B:B,3,Equipar!D:D,A183)
+COUNTIFS(Equipar!B:B,3,Equipar!E:E,A183)
+COUNTIFS(Equipar!B:B,3,Equipar!F:F,A183)
&gt;0,COUNTIF('Set recomendado'!B:B,C183)=0),
"Bloqueada",
"Desechable")),""
)</f>
        <v>Bloqueada</v>
      </c>
      <c r="J183" t="str" cm="1">
        <f t="array" ref="J183">IF(ISNUMBER(A183),IFERROR(_xlfn._xlws.FILTER(Equipar!A:A,(Equipar!B:B=3)*(Equipar!AC:AC=A183)),""),"")</f>
        <v/>
      </c>
    </row>
    <row r="184" spans="1:10" x14ac:dyDescent="0.25">
      <c r="A184" s="1">
        <v>322</v>
      </c>
      <c r="B184" s="6" t="s">
        <v>54</v>
      </c>
      <c r="C184" s="6" t="s">
        <v>55</v>
      </c>
      <c r="D184" s="6" t="s">
        <v>36</v>
      </c>
      <c r="E184" s="6" t="s">
        <v>37</v>
      </c>
      <c r="F184" s="6" t="s">
        <v>41</v>
      </c>
      <c r="I184" s="2" t="str">
        <f ca="1">IF(ISNUMBER(A184),
IF(COUNTIFS(Equipar!B:B,3,Equipar!AC:AC,A184),"Equipada",
IF(
  OR(COUNTIFS(Equipar!B:B,3,Equipar!C:C,A184)
 +COUNTIFS(Equipar!B:B,3,Equipar!D:D,A184)
+COUNTIFS(Equipar!B:B,3,Equipar!E:E,A184)
+COUNTIFS(Equipar!B:B,3,Equipar!F:F,A184)
&gt;0,COUNTIF('Set recomendado'!B:B,C184)=0),
"Bloqueada",
"Desechable")),""
)</f>
        <v>Desechable</v>
      </c>
      <c r="J184" t="str" cm="1">
        <f t="array" ref="J184">IF(ISNUMBER(A184),IFERROR(_xlfn._xlws.FILTER(Equipar!A:A,(Equipar!B:B=3)*(Equipar!AC:AC=A184)),""),"")</f>
        <v/>
      </c>
    </row>
    <row r="185" spans="1:10" x14ac:dyDescent="0.25">
      <c r="A185" s="1">
        <v>323</v>
      </c>
      <c r="B185" s="6" t="s">
        <v>54</v>
      </c>
      <c r="C185" s="6" t="s">
        <v>55</v>
      </c>
      <c r="D185" s="6" t="s">
        <v>36</v>
      </c>
      <c r="E185" s="6" t="s">
        <v>36</v>
      </c>
      <c r="F185" s="6" t="s">
        <v>42</v>
      </c>
      <c r="G185" s="6" t="s">
        <v>41</v>
      </c>
      <c r="I185" s="2" t="str">
        <f ca="1">IF(ISNUMBER(A185),
IF(COUNTIFS(Equipar!B:B,3,Equipar!AC:AC,A185),"Equipada",
IF(
  OR(COUNTIFS(Equipar!B:B,3,Equipar!C:C,A185)
 +COUNTIFS(Equipar!B:B,3,Equipar!D:D,A185)
+COUNTIFS(Equipar!B:B,3,Equipar!E:E,A185)
+COUNTIFS(Equipar!B:B,3,Equipar!F:F,A185)
&gt;0,COUNTIF('Set recomendado'!B:B,C185)=0),
"Bloqueada",
"Desechable")),""
)</f>
        <v>Desechable</v>
      </c>
      <c r="J185" t="str" cm="1">
        <f t="array" ref="J185">IF(ISNUMBER(A185),IFERROR(_xlfn._xlws.FILTER(Equipar!A:A,(Equipar!B:B=3)*(Equipar!AC:AC=A185)),""),"")</f>
        <v/>
      </c>
    </row>
    <row r="186" spans="1:10" x14ac:dyDescent="0.25">
      <c r="A186" s="1">
        <v>324</v>
      </c>
      <c r="B186" s="6" t="s">
        <v>54</v>
      </c>
      <c r="C186" s="6" t="s">
        <v>21</v>
      </c>
      <c r="D186" s="6" t="s">
        <v>36</v>
      </c>
      <c r="E186" s="6" t="s">
        <v>40</v>
      </c>
      <c r="F186" s="6" t="s">
        <v>36</v>
      </c>
      <c r="I186" s="2" t="str">
        <f ca="1">IF(ISNUMBER(A186),
IF(COUNTIFS(Equipar!B:B,3,Equipar!AC:AC,A186),"Equipada",
IF(
  OR(COUNTIFS(Equipar!B:B,3,Equipar!C:C,A186)
 +COUNTIFS(Equipar!B:B,3,Equipar!D:D,A186)
+COUNTIFS(Equipar!B:B,3,Equipar!E:E,A186)
+COUNTIFS(Equipar!B:B,3,Equipar!F:F,A186)
&gt;0,COUNTIF('Set recomendado'!B:B,C186)=0),
"Bloqueada",
"Desechable")),""
)</f>
        <v>Desechable</v>
      </c>
      <c r="J186" t="str" cm="1">
        <f t="array" ref="J186">IF(ISNUMBER(A186),IFERROR(_xlfn._xlws.FILTER(Equipar!A:A,(Equipar!B:B=3)*(Equipar!AC:AC=A186)),""),"")</f>
        <v/>
      </c>
    </row>
    <row r="187" spans="1:10" x14ac:dyDescent="0.25">
      <c r="A187" s="1">
        <v>325</v>
      </c>
      <c r="B187" s="6" t="s">
        <v>54</v>
      </c>
      <c r="C187" s="6" t="s">
        <v>21</v>
      </c>
      <c r="D187" s="6" t="s">
        <v>36</v>
      </c>
      <c r="E187" s="6" t="s">
        <v>32</v>
      </c>
      <c r="F187" s="6" t="s">
        <v>36</v>
      </c>
      <c r="I187" s="2" t="str">
        <f ca="1">IF(ISNUMBER(A187),
IF(COUNTIFS(Equipar!B:B,3,Equipar!AC:AC,A187),"Equipada",
IF(
  OR(COUNTIFS(Equipar!B:B,3,Equipar!C:C,A187)
 +COUNTIFS(Equipar!B:B,3,Equipar!D:D,A187)
+COUNTIFS(Equipar!B:B,3,Equipar!E:E,A187)
+COUNTIFS(Equipar!B:B,3,Equipar!F:F,A187)
&gt;0,COUNTIF('Set recomendado'!B:B,C187)=0),
"Bloqueada",
"Desechable")),""
)</f>
        <v>Desechable</v>
      </c>
      <c r="J187" t="str" cm="1">
        <f t="array" ref="J187">IF(ISNUMBER(A187),IFERROR(_xlfn._xlws.FILTER(Equipar!A:A,(Equipar!B:B=3)*(Equipar!AC:AC=A187)),""),"")</f>
        <v/>
      </c>
    </row>
    <row r="188" spans="1:10" x14ac:dyDescent="0.25">
      <c r="A188" s="1">
        <v>326</v>
      </c>
      <c r="B188" s="6" t="s">
        <v>54</v>
      </c>
      <c r="C188" s="6" t="s">
        <v>21</v>
      </c>
      <c r="D188" s="6" t="s">
        <v>36</v>
      </c>
      <c r="E188" s="6" t="s">
        <v>42</v>
      </c>
      <c r="F188" s="6" t="s">
        <v>37</v>
      </c>
      <c r="I188" s="2" t="str">
        <f ca="1">IF(ISNUMBER(A188),
IF(COUNTIFS(Equipar!B:B,3,Equipar!AC:AC,A188),"Equipada",
IF(
  OR(COUNTIFS(Equipar!B:B,3,Equipar!C:C,A188)
 +COUNTIFS(Equipar!B:B,3,Equipar!D:D,A188)
+COUNTIFS(Equipar!B:B,3,Equipar!E:E,A188)
+COUNTIFS(Equipar!B:B,3,Equipar!F:F,A188)
&gt;0,COUNTIF('Set recomendado'!B:B,C188)=0),
"Bloqueada",
"Desechable")),""
)</f>
        <v>Desechable</v>
      </c>
      <c r="J188" t="str" cm="1">
        <f t="array" ref="J188">IF(ISNUMBER(A188),IFERROR(_xlfn._xlws.FILTER(Equipar!A:A,(Equipar!B:B=3)*(Equipar!AC:AC=A188)),""),"")</f>
        <v/>
      </c>
    </row>
    <row r="189" spans="1:10" x14ac:dyDescent="0.25">
      <c r="A189" s="1">
        <v>327</v>
      </c>
      <c r="B189" s="6" t="s">
        <v>54</v>
      </c>
      <c r="C189" s="6" t="s">
        <v>21</v>
      </c>
      <c r="D189" s="6" t="s">
        <v>36</v>
      </c>
      <c r="E189" s="6" t="s">
        <v>38</v>
      </c>
      <c r="F189" s="6" t="s">
        <v>36</v>
      </c>
      <c r="I189" s="2" t="str">
        <f ca="1">IF(ISNUMBER(A189),
IF(COUNTIFS(Equipar!B:B,3,Equipar!AC:AC,A189),"Equipada",
IF(
  OR(COUNTIFS(Equipar!B:B,3,Equipar!C:C,A189)
 +COUNTIFS(Equipar!B:B,3,Equipar!D:D,A189)
+COUNTIFS(Equipar!B:B,3,Equipar!E:E,A189)
+COUNTIFS(Equipar!B:B,3,Equipar!F:F,A189)
&gt;0,COUNTIF('Set recomendado'!B:B,C189)=0),
"Bloqueada",
"Desechable")),""
)</f>
        <v>Desechable</v>
      </c>
      <c r="J189" t="str" cm="1">
        <f t="array" ref="J189">IF(ISNUMBER(A189),IFERROR(_xlfn._xlws.FILTER(Equipar!A:A,(Equipar!B:B=3)*(Equipar!AC:AC=A189)),""),"")</f>
        <v/>
      </c>
    </row>
    <row r="190" spans="1:10" x14ac:dyDescent="0.25">
      <c r="A190" s="1">
        <v>328</v>
      </c>
      <c r="B190" s="6" t="s">
        <v>54</v>
      </c>
      <c r="C190" s="6" t="s">
        <v>57</v>
      </c>
      <c r="D190" s="6" t="s">
        <v>36</v>
      </c>
      <c r="E190" s="6" t="s">
        <v>36</v>
      </c>
      <c r="F190" s="6" t="s">
        <v>38</v>
      </c>
      <c r="I190" s="2" t="str">
        <f ca="1">IF(ISNUMBER(A190),
IF(COUNTIFS(Equipar!B:B,3,Equipar!AC:AC,A190),"Equipada",
IF(
  OR(COUNTIFS(Equipar!B:B,3,Equipar!C:C,A190)
 +COUNTIFS(Equipar!B:B,3,Equipar!D:D,A190)
+COUNTIFS(Equipar!B:B,3,Equipar!E:E,A190)
+COUNTIFS(Equipar!B:B,3,Equipar!F:F,A190)
&gt;0,COUNTIF('Set recomendado'!B:B,C190)=0),
"Bloqueada",
"Desechable")),""
)</f>
        <v>Bloqueada</v>
      </c>
      <c r="J190" t="str" cm="1">
        <f t="array" ref="J190">IF(ISNUMBER(A190),IFERROR(_xlfn._xlws.FILTER(Equipar!A:A,(Equipar!B:B=3)*(Equipar!AC:AC=A190)),""),"")</f>
        <v/>
      </c>
    </row>
    <row r="191" spans="1:10" x14ac:dyDescent="0.25">
      <c r="A191" s="1">
        <v>329</v>
      </c>
      <c r="B191" s="6" t="s">
        <v>54</v>
      </c>
      <c r="C191" s="6" t="s">
        <v>57</v>
      </c>
      <c r="D191" s="6" t="s">
        <v>36</v>
      </c>
      <c r="E191" s="6" t="s">
        <v>36</v>
      </c>
      <c r="F191" s="6" t="s">
        <v>43</v>
      </c>
      <c r="G191" s="6" t="s">
        <v>36</v>
      </c>
      <c r="I191" s="2" t="str">
        <f ca="1">IF(ISNUMBER(A191),
IF(COUNTIFS(Equipar!B:B,3,Equipar!AC:AC,A191),"Equipada",
IF(
  OR(COUNTIFS(Equipar!B:B,3,Equipar!C:C,A191)
 +COUNTIFS(Equipar!B:B,3,Equipar!D:D,A191)
+COUNTIFS(Equipar!B:B,3,Equipar!E:E,A191)
+COUNTIFS(Equipar!B:B,3,Equipar!F:F,A191)
&gt;0,COUNTIF('Set recomendado'!B:B,C191)=0),
"Bloqueada",
"Desechable")),""
)</f>
        <v>Bloqueada</v>
      </c>
      <c r="J191" t="str" cm="1">
        <f t="array" ref="J191">IF(ISNUMBER(A191),IFERROR(_xlfn._xlws.FILTER(Equipar!A:A,(Equipar!B:B=3)*(Equipar!AC:AC=A191)),""),"")</f>
        <v/>
      </c>
    </row>
    <row r="192" spans="1:10" x14ac:dyDescent="0.25">
      <c r="A192" s="1">
        <v>330</v>
      </c>
      <c r="B192" s="6" t="s">
        <v>54</v>
      </c>
      <c r="C192" s="6" t="s">
        <v>57</v>
      </c>
      <c r="D192" s="6" t="s">
        <v>36</v>
      </c>
      <c r="E192" s="6" t="s">
        <v>42</v>
      </c>
      <c r="F192" s="6" t="s">
        <v>43</v>
      </c>
      <c r="I192" s="2" t="str">
        <f ca="1">IF(ISNUMBER(A192),
IF(COUNTIFS(Equipar!B:B,3,Equipar!AC:AC,A192),"Equipada",
IF(
  OR(COUNTIFS(Equipar!B:B,3,Equipar!C:C,A192)
 +COUNTIFS(Equipar!B:B,3,Equipar!D:D,A192)
+COUNTIFS(Equipar!B:B,3,Equipar!E:E,A192)
+COUNTIFS(Equipar!B:B,3,Equipar!F:F,A192)
&gt;0,COUNTIF('Set recomendado'!B:B,C192)=0),
"Bloqueada",
"Desechable")),""
)</f>
        <v>Bloqueada</v>
      </c>
      <c r="J192" t="str" cm="1">
        <f t="array" ref="J192">IF(ISNUMBER(A192),IFERROR(_xlfn._xlws.FILTER(Equipar!A:A,(Equipar!B:B=3)*(Equipar!AC:AC=A192)),""),"")</f>
        <v/>
      </c>
    </row>
    <row r="193" spans="1:10" x14ac:dyDescent="0.25">
      <c r="A193" s="1">
        <v>331</v>
      </c>
      <c r="B193" s="6" t="s">
        <v>54</v>
      </c>
      <c r="C193" s="6" t="s">
        <v>55</v>
      </c>
      <c r="D193" s="6" t="s">
        <v>36</v>
      </c>
      <c r="E193" s="6" t="s">
        <v>41</v>
      </c>
      <c r="F193" s="6" t="s">
        <v>32</v>
      </c>
      <c r="I193" s="2" t="str">
        <f ca="1">IF(ISNUMBER(A193),
IF(COUNTIFS(Equipar!B:B,3,Equipar!AC:AC,A193),"Equipada",
IF(
  OR(COUNTIFS(Equipar!B:B,3,Equipar!C:C,A193)
 +COUNTIFS(Equipar!B:B,3,Equipar!D:D,A193)
+COUNTIFS(Equipar!B:B,3,Equipar!E:E,A193)
+COUNTIFS(Equipar!B:B,3,Equipar!F:F,A193)
&gt;0,COUNTIF('Set recomendado'!B:B,C193)=0),
"Bloqueada",
"Desechable")),""
)</f>
        <v>Desechable</v>
      </c>
      <c r="J193" t="str" cm="1">
        <f t="array" ref="J193">IF(ISNUMBER(A193),IFERROR(_xlfn._xlws.FILTER(Equipar!A:A,(Equipar!B:B=3)*(Equipar!AC:AC=A193)),""),"")</f>
        <v/>
      </c>
    </row>
    <row r="194" spans="1:10" x14ac:dyDescent="0.25">
      <c r="A194" s="1">
        <v>332</v>
      </c>
      <c r="B194" s="6" t="s">
        <v>54</v>
      </c>
      <c r="C194" s="6" t="s">
        <v>55</v>
      </c>
      <c r="D194" s="6" t="s">
        <v>36</v>
      </c>
      <c r="E194" s="6" t="s">
        <v>36</v>
      </c>
      <c r="F194" s="6" t="s">
        <v>36</v>
      </c>
      <c r="I194" s="2" t="str">
        <f ca="1">IF(ISNUMBER(A194),
IF(COUNTIFS(Equipar!B:B,3,Equipar!AC:AC,A194),"Equipada",
IF(
  OR(COUNTIFS(Equipar!B:B,3,Equipar!C:C,A194)
 +COUNTIFS(Equipar!B:B,3,Equipar!D:D,A194)
+COUNTIFS(Equipar!B:B,3,Equipar!E:E,A194)
+COUNTIFS(Equipar!B:B,3,Equipar!F:F,A194)
&gt;0,COUNTIF('Set recomendado'!B:B,C194)=0),
"Bloqueada",
"Desechable")),""
)</f>
        <v>Desechable</v>
      </c>
      <c r="J194" t="str" cm="1">
        <f t="array" ref="J194">IF(ISNUMBER(A194),IFERROR(_xlfn._xlws.FILTER(Equipar!A:A,(Equipar!B:B=3)*(Equipar!AC:AC=A194)),""),"")</f>
        <v/>
      </c>
    </row>
    <row r="195" spans="1:10" x14ac:dyDescent="0.25">
      <c r="A195" s="1">
        <v>333</v>
      </c>
      <c r="B195" s="6" t="s">
        <v>54</v>
      </c>
      <c r="C195" s="6" t="s">
        <v>55</v>
      </c>
      <c r="D195" s="6" t="s">
        <v>36</v>
      </c>
      <c r="E195" s="6" t="s">
        <v>39</v>
      </c>
      <c r="F195" s="6" t="s">
        <v>43</v>
      </c>
      <c r="I195" s="2" t="str">
        <f ca="1">IF(ISNUMBER(A195),
IF(COUNTIFS(Equipar!B:B,3,Equipar!AC:AC,A195),"Equipada",
IF(
  OR(COUNTIFS(Equipar!B:B,3,Equipar!C:C,A195)
 +COUNTIFS(Equipar!B:B,3,Equipar!D:D,A195)
+COUNTIFS(Equipar!B:B,3,Equipar!E:E,A195)
+COUNTIFS(Equipar!B:B,3,Equipar!F:F,A195)
&gt;0,COUNTIF('Set recomendado'!B:B,C195)=0),
"Bloqueada",
"Desechable")),""
)</f>
        <v>Desechable</v>
      </c>
      <c r="J195" t="str" cm="1">
        <f t="array" ref="J195">IF(ISNUMBER(A195),IFERROR(_xlfn._xlws.FILTER(Equipar!A:A,(Equipar!B:B=3)*(Equipar!AC:AC=A195)),""),"")</f>
        <v/>
      </c>
    </row>
    <row r="196" spans="1:10" x14ac:dyDescent="0.25">
      <c r="A196" s="1">
        <v>334</v>
      </c>
      <c r="B196" s="6" t="s">
        <v>54</v>
      </c>
      <c r="C196" s="6" t="s">
        <v>55</v>
      </c>
      <c r="D196" s="6" t="s">
        <v>36</v>
      </c>
      <c r="E196" s="6" t="s">
        <v>32</v>
      </c>
      <c r="F196" s="6" t="s">
        <v>37</v>
      </c>
      <c r="I196" s="2" t="str">
        <f ca="1">IF(ISNUMBER(A196),
IF(COUNTIFS(Equipar!B:B,3,Equipar!AC:AC,A196),"Equipada",
IF(
  OR(COUNTIFS(Equipar!B:B,3,Equipar!C:C,A196)
 +COUNTIFS(Equipar!B:B,3,Equipar!D:D,A196)
+COUNTIFS(Equipar!B:B,3,Equipar!E:E,A196)
+COUNTIFS(Equipar!B:B,3,Equipar!F:F,A196)
&gt;0,COUNTIF('Set recomendado'!B:B,C196)=0),
"Bloqueada",
"Desechable")),""
)</f>
        <v>Desechable</v>
      </c>
      <c r="J196" t="str" cm="1">
        <f t="array" ref="J196">IF(ISNUMBER(A196),IFERROR(_xlfn._xlws.FILTER(Equipar!A:A,(Equipar!B:B=3)*(Equipar!AC:AC=A196)),""),"")</f>
        <v/>
      </c>
    </row>
    <row r="197" spans="1:10" x14ac:dyDescent="0.25">
      <c r="A197" s="1">
        <v>335</v>
      </c>
      <c r="B197" s="6" t="s">
        <v>54</v>
      </c>
      <c r="C197" s="6" t="s">
        <v>55</v>
      </c>
      <c r="D197" s="6" t="s">
        <v>36</v>
      </c>
      <c r="E197" s="6" t="s">
        <v>36</v>
      </c>
      <c r="F197" s="6" t="s">
        <v>43</v>
      </c>
      <c r="I197" s="2" t="str">
        <f ca="1">IF(ISNUMBER(A197),
IF(COUNTIFS(Equipar!B:B,3,Equipar!AC:AC,A197),"Equipada",
IF(
  OR(COUNTIFS(Equipar!B:B,3,Equipar!C:C,A197)
 +COUNTIFS(Equipar!B:B,3,Equipar!D:D,A197)
+COUNTIFS(Equipar!B:B,3,Equipar!E:E,A197)
+COUNTIFS(Equipar!B:B,3,Equipar!F:F,A197)
&gt;0,COUNTIF('Set recomendado'!B:B,C197)=0),
"Bloqueada",
"Desechable")),""
)</f>
        <v>Desechable</v>
      </c>
      <c r="J197" t="str" cm="1">
        <f t="array" ref="J197">IF(ISNUMBER(A197),IFERROR(_xlfn._xlws.FILTER(Equipar!A:A,(Equipar!B:B=3)*(Equipar!AC:AC=A197)),""),"")</f>
        <v/>
      </c>
    </row>
    <row r="198" spans="1:10" x14ac:dyDescent="0.25">
      <c r="A198" s="1">
        <v>336</v>
      </c>
      <c r="B198" s="6" t="s">
        <v>54</v>
      </c>
      <c r="C198" s="6" t="s">
        <v>55</v>
      </c>
      <c r="D198" s="6" t="s">
        <v>36</v>
      </c>
      <c r="E198" s="6" t="s">
        <v>37</v>
      </c>
      <c r="F198" s="6" t="s">
        <v>42</v>
      </c>
      <c r="I198" s="2" t="str">
        <f ca="1">IF(ISNUMBER(A198),
IF(COUNTIFS(Equipar!B:B,3,Equipar!AC:AC,A198),"Equipada",
IF(
  OR(COUNTIFS(Equipar!B:B,3,Equipar!C:C,A198)
 +COUNTIFS(Equipar!B:B,3,Equipar!D:D,A198)
+COUNTIFS(Equipar!B:B,3,Equipar!E:E,A198)
+COUNTIFS(Equipar!B:B,3,Equipar!F:F,A198)
&gt;0,COUNTIF('Set recomendado'!B:B,C198)=0),
"Bloqueada",
"Desechable")),""
)</f>
        <v>Desechable</v>
      </c>
      <c r="J198" t="str" cm="1">
        <f t="array" ref="J198">IF(ISNUMBER(A198),IFERROR(_xlfn._xlws.FILTER(Equipar!A:A,(Equipar!B:B=3)*(Equipar!AC:AC=A198)),""),"")</f>
        <v/>
      </c>
    </row>
    <row r="199" spans="1:10" x14ac:dyDescent="0.25">
      <c r="A199" s="1">
        <v>337</v>
      </c>
      <c r="B199" s="6" t="s">
        <v>54</v>
      </c>
      <c r="C199" s="6" t="s">
        <v>55</v>
      </c>
      <c r="D199" s="6" t="s">
        <v>36</v>
      </c>
      <c r="E199" s="6" t="s">
        <v>41</v>
      </c>
      <c r="F199" s="6" t="s">
        <v>43</v>
      </c>
      <c r="I199" s="2" t="str">
        <f ca="1">IF(ISNUMBER(A199),
IF(COUNTIFS(Equipar!B:B,3,Equipar!AC:AC,A199),"Equipada",
IF(
  OR(COUNTIFS(Equipar!B:B,3,Equipar!C:C,A199)
 +COUNTIFS(Equipar!B:B,3,Equipar!D:D,A199)
+COUNTIFS(Equipar!B:B,3,Equipar!E:E,A199)
+COUNTIFS(Equipar!B:B,3,Equipar!F:F,A199)
&gt;0,COUNTIF('Set recomendado'!B:B,C199)=0),
"Bloqueada",
"Desechable")),""
)</f>
        <v>Desechable</v>
      </c>
      <c r="J199" t="str" cm="1">
        <f t="array" ref="J199">IF(ISNUMBER(A199),IFERROR(_xlfn._xlws.FILTER(Equipar!A:A,(Equipar!B:B=3)*(Equipar!AC:AC=A199)),""),"")</f>
        <v/>
      </c>
    </row>
    <row r="200" spans="1:10" x14ac:dyDescent="0.25">
      <c r="A200" s="1">
        <v>338</v>
      </c>
      <c r="B200" s="6" t="s">
        <v>54</v>
      </c>
      <c r="C200" s="6" t="s">
        <v>55</v>
      </c>
      <c r="D200" s="6" t="s">
        <v>36</v>
      </c>
      <c r="E200" s="6" t="s">
        <v>36</v>
      </c>
      <c r="F200" s="6" t="s">
        <v>41</v>
      </c>
      <c r="G200" s="6" t="s">
        <v>43</v>
      </c>
      <c r="I200" s="2" t="str">
        <f ca="1">IF(ISNUMBER(A200),
IF(COUNTIFS(Equipar!B:B,3,Equipar!AC:AC,A200),"Equipada",
IF(
  OR(COUNTIFS(Equipar!B:B,3,Equipar!C:C,A200)
 +COUNTIFS(Equipar!B:B,3,Equipar!D:D,A200)
+COUNTIFS(Equipar!B:B,3,Equipar!E:E,A200)
+COUNTIFS(Equipar!B:B,3,Equipar!F:F,A200)
&gt;0,COUNTIF('Set recomendado'!B:B,C200)=0),
"Bloqueada",
"Desechable")),""
)</f>
        <v>Desechable</v>
      </c>
      <c r="J200" t="str" cm="1">
        <f t="array" ref="J200">IF(ISNUMBER(A200),IFERROR(_xlfn._xlws.FILTER(Equipar!A:A,(Equipar!B:B=3)*(Equipar!AC:AC=A200)),""),"")</f>
        <v/>
      </c>
    </row>
    <row r="201" spans="1:10" x14ac:dyDescent="0.25">
      <c r="A201" s="1">
        <v>339</v>
      </c>
      <c r="B201" s="6" t="s">
        <v>54</v>
      </c>
      <c r="C201" s="6" t="s">
        <v>55</v>
      </c>
      <c r="D201" s="6" t="s">
        <v>36</v>
      </c>
      <c r="E201" s="6" t="s">
        <v>32</v>
      </c>
      <c r="F201" s="6" t="s">
        <v>38</v>
      </c>
      <c r="I201" s="2" t="str">
        <f ca="1">IF(ISNUMBER(A201),
IF(COUNTIFS(Equipar!B:B,3,Equipar!AC:AC,A201),"Equipada",
IF(
  OR(COUNTIFS(Equipar!B:B,3,Equipar!C:C,A201)
 +COUNTIFS(Equipar!B:B,3,Equipar!D:D,A201)
+COUNTIFS(Equipar!B:B,3,Equipar!E:E,A201)
+COUNTIFS(Equipar!B:B,3,Equipar!F:F,A201)
&gt;0,COUNTIF('Set recomendado'!B:B,C201)=0),
"Bloqueada",
"Desechable")),""
)</f>
        <v>Desechable</v>
      </c>
      <c r="J201" t="str" cm="1">
        <f t="array" ref="J201">IF(ISNUMBER(A201),IFERROR(_xlfn._xlws.FILTER(Equipar!A:A,(Equipar!B:B=3)*(Equipar!AC:AC=A201)),""),"")</f>
        <v/>
      </c>
    </row>
    <row r="202" spans="1:10" x14ac:dyDescent="0.25">
      <c r="A202" s="1">
        <v>340</v>
      </c>
      <c r="B202" s="6" t="s">
        <v>54</v>
      </c>
      <c r="C202" s="6" t="s">
        <v>21</v>
      </c>
      <c r="D202" s="6" t="s">
        <v>36</v>
      </c>
      <c r="E202" s="6" t="s">
        <v>43</v>
      </c>
      <c r="F202" s="6" t="s">
        <v>41</v>
      </c>
      <c r="I202" s="2" t="str">
        <f ca="1">IF(ISNUMBER(A202),
IF(COUNTIFS(Equipar!B:B,3,Equipar!AC:AC,A202),"Equipada",
IF(
  OR(COUNTIFS(Equipar!B:B,3,Equipar!C:C,A202)
 +COUNTIFS(Equipar!B:B,3,Equipar!D:D,A202)
+COUNTIFS(Equipar!B:B,3,Equipar!E:E,A202)
+COUNTIFS(Equipar!B:B,3,Equipar!F:F,A202)
&gt;0,COUNTIF('Set recomendado'!B:B,C202)=0),
"Bloqueada",
"Desechable")),""
)</f>
        <v>Desechable</v>
      </c>
      <c r="J202" t="str" cm="1">
        <f t="array" ref="J202">IF(ISNUMBER(A202),IFERROR(_xlfn._xlws.FILTER(Equipar!A:A,(Equipar!B:B=3)*(Equipar!AC:AC=A202)),""),"")</f>
        <v/>
      </c>
    </row>
    <row r="203" spans="1:10" x14ac:dyDescent="0.25">
      <c r="A203" s="1">
        <v>341</v>
      </c>
      <c r="B203" s="6" t="s">
        <v>54</v>
      </c>
      <c r="C203" s="6" t="s">
        <v>21</v>
      </c>
      <c r="D203" s="6" t="s">
        <v>36</v>
      </c>
      <c r="E203" s="6" t="s">
        <v>37</v>
      </c>
      <c r="F203" s="6" t="s">
        <v>35</v>
      </c>
      <c r="I203" s="2" t="str">
        <f ca="1">IF(ISNUMBER(A203),
IF(COUNTIFS(Equipar!B:B,3,Equipar!AC:AC,A203),"Equipada",
IF(
  OR(COUNTIFS(Equipar!B:B,3,Equipar!C:C,A203)
 +COUNTIFS(Equipar!B:B,3,Equipar!D:D,A203)
+COUNTIFS(Equipar!B:B,3,Equipar!E:E,A203)
+COUNTIFS(Equipar!B:B,3,Equipar!F:F,A203)
&gt;0,COUNTIF('Set recomendado'!B:B,C203)=0),
"Bloqueada",
"Desechable")),""
)</f>
        <v>Desechable</v>
      </c>
      <c r="J203" t="str" cm="1">
        <f t="array" ref="J203">IF(ISNUMBER(A203),IFERROR(_xlfn._xlws.FILTER(Equipar!A:A,(Equipar!B:B=3)*(Equipar!AC:AC=A203)),""),"")</f>
        <v/>
      </c>
    </row>
    <row r="204" spans="1:10" x14ac:dyDescent="0.25">
      <c r="A204" s="1">
        <v>342</v>
      </c>
      <c r="B204" s="6" t="s">
        <v>54</v>
      </c>
      <c r="C204" s="6" t="s">
        <v>21</v>
      </c>
      <c r="D204" s="6" t="s">
        <v>36</v>
      </c>
      <c r="E204" s="6" t="s">
        <v>42</v>
      </c>
      <c r="F204" s="6" t="s">
        <v>43</v>
      </c>
      <c r="I204" s="2" t="str">
        <f ca="1">IF(ISNUMBER(A204),
IF(COUNTIFS(Equipar!B:B,3,Equipar!AC:AC,A204),"Equipada",
IF(
  OR(COUNTIFS(Equipar!B:B,3,Equipar!C:C,A204)
 +COUNTIFS(Equipar!B:B,3,Equipar!D:D,A204)
+COUNTIFS(Equipar!B:B,3,Equipar!E:E,A204)
+COUNTIFS(Equipar!B:B,3,Equipar!F:F,A204)
&gt;0,COUNTIF('Set recomendado'!B:B,C204)=0),
"Bloqueada",
"Desechable")),""
)</f>
        <v>Desechable</v>
      </c>
      <c r="J204" t="str" cm="1">
        <f t="array" ref="J204">IF(ISNUMBER(A204),IFERROR(_xlfn._xlws.FILTER(Equipar!A:A,(Equipar!B:B=3)*(Equipar!AC:AC=A204)),""),"")</f>
        <v/>
      </c>
    </row>
    <row r="205" spans="1:10" x14ac:dyDescent="0.25">
      <c r="A205" s="1">
        <v>343</v>
      </c>
      <c r="B205" s="6" t="s">
        <v>54</v>
      </c>
      <c r="C205" s="6" t="s">
        <v>21</v>
      </c>
      <c r="D205" s="6" t="s">
        <v>36</v>
      </c>
      <c r="E205" s="6" t="s">
        <v>42</v>
      </c>
      <c r="F205" s="6" t="s">
        <v>41</v>
      </c>
      <c r="G205" s="6" t="s">
        <v>37</v>
      </c>
      <c r="I205" s="2" t="str">
        <f ca="1">IF(ISNUMBER(A205),
IF(COUNTIFS(Equipar!B:B,3,Equipar!AC:AC,A205),"Equipada",
IF(
  OR(COUNTIFS(Equipar!B:B,3,Equipar!C:C,A205)
 +COUNTIFS(Equipar!B:B,3,Equipar!D:D,A205)
+COUNTIFS(Equipar!B:B,3,Equipar!E:E,A205)
+COUNTIFS(Equipar!B:B,3,Equipar!F:F,A205)
&gt;0,COUNTIF('Set recomendado'!B:B,C205)=0),
"Bloqueada",
"Desechable")),""
)</f>
        <v>Desechable</v>
      </c>
      <c r="J205" t="str" cm="1">
        <f t="array" ref="J205">IF(ISNUMBER(A205),IFERROR(_xlfn._xlws.FILTER(Equipar!A:A,(Equipar!B:B=3)*(Equipar!AC:AC=A205)),""),"")</f>
        <v/>
      </c>
    </row>
    <row r="206" spans="1:10" x14ac:dyDescent="0.25">
      <c r="A206" s="1">
        <v>344</v>
      </c>
      <c r="B206" s="6" t="s">
        <v>54</v>
      </c>
      <c r="C206" s="6" t="s">
        <v>21</v>
      </c>
      <c r="D206" s="6" t="s">
        <v>36</v>
      </c>
      <c r="E206" s="6" t="s">
        <v>41</v>
      </c>
      <c r="F206" s="6" t="s">
        <v>41</v>
      </c>
      <c r="I206" s="2" t="str">
        <f ca="1">IF(ISNUMBER(A206),
IF(COUNTIFS(Equipar!B:B,3,Equipar!AC:AC,A206),"Equipada",
IF(
  OR(COUNTIFS(Equipar!B:B,3,Equipar!C:C,A206)
 +COUNTIFS(Equipar!B:B,3,Equipar!D:D,A206)
+COUNTIFS(Equipar!B:B,3,Equipar!E:E,A206)
+COUNTIFS(Equipar!B:B,3,Equipar!F:F,A206)
&gt;0,COUNTIF('Set recomendado'!B:B,C206)=0),
"Bloqueada",
"Desechable")),""
)</f>
        <v>Desechable</v>
      </c>
      <c r="J206" t="str" cm="1">
        <f t="array" ref="J206">IF(ISNUMBER(A206),IFERROR(_xlfn._xlws.FILTER(Equipar!A:A,(Equipar!B:B=3)*(Equipar!AC:AC=A206)),""),"")</f>
        <v/>
      </c>
    </row>
    <row r="207" spans="1:10" x14ac:dyDescent="0.25">
      <c r="A207" s="1">
        <v>345</v>
      </c>
      <c r="B207" s="6" t="s">
        <v>54</v>
      </c>
      <c r="C207" s="6" t="s">
        <v>29</v>
      </c>
      <c r="D207" s="6" t="s">
        <v>36</v>
      </c>
      <c r="E207" s="6" t="s">
        <v>43</v>
      </c>
      <c r="F207" s="6" t="s">
        <v>32</v>
      </c>
      <c r="G207" s="6" t="s">
        <v>37</v>
      </c>
      <c r="I207" s="2" t="str">
        <f ca="1">IF(ISNUMBER(A207),
IF(COUNTIFS(Equipar!B:B,3,Equipar!AC:AC,A207),"Equipada",
IF(
  OR(COUNTIFS(Equipar!B:B,3,Equipar!C:C,A207)
 +COUNTIFS(Equipar!B:B,3,Equipar!D:D,A207)
+COUNTIFS(Equipar!B:B,3,Equipar!E:E,A207)
+COUNTIFS(Equipar!B:B,3,Equipar!F:F,A207)
&gt;0,COUNTIF('Set recomendado'!B:B,C207)=0),
"Bloqueada",
"Desechable")),""
)</f>
        <v>Desechable</v>
      </c>
      <c r="J207" t="str" cm="1">
        <f t="array" ref="J207">IF(ISNUMBER(A207),IFERROR(_xlfn._xlws.FILTER(Equipar!A:A,(Equipar!B:B=3)*(Equipar!AC:AC=A207)),""),"")</f>
        <v/>
      </c>
    </row>
    <row r="208" spans="1:10" x14ac:dyDescent="0.25">
      <c r="A208" s="1">
        <v>346</v>
      </c>
      <c r="B208" s="6" t="s">
        <v>54</v>
      </c>
      <c r="C208" s="6" t="s">
        <v>29</v>
      </c>
      <c r="D208" s="6" t="s">
        <v>36</v>
      </c>
      <c r="E208" s="6" t="s">
        <v>36</v>
      </c>
      <c r="F208" s="6" t="s">
        <v>43</v>
      </c>
      <c r="I208" s="2" t="str">
        <f ca="1">IF(ISNUMBER(A208),
IF(COUNTIFS(Equipar!B:B,3,Equipar!AC:AC,A208),"Equipada",
IF(
  OR(COUNTIFS(Equipar!B:B,3,Equipar!C:C,A208)
 +COUNTIFS(Equipar!B:B,3,Equipar!D:D,A208)
+COUNTIFS(Equipar!B:B,3,Equipar!E:E,A208)
+COUNTIFS(Equipar!B:B,3,Equipar!F:F,A208)
&gt;0,COUNTIF('Set recomendado'!B:B,C208)=0),
"Bloqueada",
"Desechable")),""
)</f>
        <v>Desechable</v>
      </c>
      <c r="J208" t="str" cm="1">
        <f t="array" ref="J208">IF(ISNUMBER(A208),IFERROR(_xlfn._xlws.FILTER(Equipar!A:A,(Equipar!B:B=3)*(Equipar!AC:AC=A208)),""),"")</f>
        <v/>
      </c>
    </row>
    <row r="209" spans="1:10" x14ac:dyDescent="0.25">
      <c r="A209" s="1">
        <v>347</v>
      </c>
      <c r="B209" s="6" t="s">
        <v>54</v>
      </c>
      <c r="C209" s="6" t="s">
        <v>29</v>
      </c>
      <c r="D209" s="6" t="s">
        <v>36</v>
      </c>
      <c r="E209" s="6" t="s">
        <v>37</v>
      </c>
      <c r="F209" s="6" t="s">
        <v>38</v>
      </c>
      <c r="I209" s="2" t="str">
        <f ca="1">IF(ISNUMBER(A209),
IF(COUNTIFS(Equipar!B:B,3,Equipar!AC:AC,A209),"Equipada",
IF(
  OR(COUNTIFS(Equipar!B:B,3,Equipar!C:C,A209)
 +COUNTIFS(Equipar!B:B,3,Equipar!D:D,A209)
+COUNTIFS(Equipar!B:B,3,Equipar!E:E,A209)
+COUNTIFS(Equipar!B:B,3,Equipar!F:F,A209)
&gt;0,COUNTIF('Set recomendado'!B:B,C209)=0),
"Bloqueada",
"Desechable")),""
)</f>
        <v>Desechable</v>
      </c>
      <c r="J209" t="str" cm="1">
        <f t="array" ref="J209">IF(ISNUMBER(A209),IFERROR(_xlfn._xlws.FILTER(Equipar!A:A,(Equipar!B:B=3)*(Equipar!AC:AC=A209)),""),"")</f>
        <v/>
      </c>
    </row>
    <row r="210" spans="1:10" x14ac:dyDescent="0.25">
      <c r="A210" s="1">
        <v>348</v>
      </c>
      <c r="B210" s="6" t="s">
        <v>54</v>
      </c>
      <c r="C210" s="6" t="s">
        <v>29</v>
      </c>
      <c r="D210" s="6" t="s">
        <v>36</v>
      </c>
      <c r="E210" s="6" t="s">
        <v>32</v>
      </c>
      <c r="F210" s="6" t="s">
        <v>32</v>
      </c>
      <c r="I210" s="2" t="str">
        <f ca="1">IF(ISNUMBER(A210),
IF(COUNTIFS(Equipar!B:B,3,Equipar!AC:AC,A210),"Equipada",
IF(
  OR(COUNTIFS(Equipar!B:B,3,Equipar!C:C,A210)
 +COUNTIFS(Equipar!B:B,3,Equipar!D:D,A210)
+COUNTIFS(Equipar!B:B,3,Equipar!E:E,A210)
+COUNTIFS(Equipar!B:B,3,Equipar!F:F,A210)
&gt;0,COUNTIF('Set recomendado'!B:B,C210)=0),
"Bloqueada",
"Desechable")),""
)</f>
        <v>Desechable</v>
      </c>
      <c r="J210" t="str" cm="1">
        <f t="array" ref="J210">IF(ISNUMBER(A210),IFERROR(_xlfn._xlws.FILTER(Equipar!A:A,(Equipar!B:B=3)*(Equipar!AC:AC=A210)),""),"")</f>
        <v/>
      </c>
    </row>
    <row r="211" spans="1:10" x14ac:dyDescent="0.25">
      <c r="A211" s="1">
        <v>349</v>
      </c>
      <c r="B211" s="6" t="s">
        <v>54</v>
      </c>
      <c r="C211" s="6" t="s">
        <v>29</v>
      </c>
      <c r="D211" s="6" t="s">
        <v>36</v>
      </c>
      <c r="E211" s="6" t="s">
        <v>36</v>
      </c>
      <c r="F211" s="6" t="s">
        <v>37</v>
      </c>
      <c r="G211" s="6" t="s">
        <v>41</v>
      </c>
      <c r="I211" s="2" t="str">
        <f ca="1">IF(ISNUMBER(A211),
IF(COUNTIFS(Equipar!B:B,3,Equipar!AC:AC,A211),"Equipada",
IF(
  OR(COUNTIFS(Equipar!B:B,3,Equipar!C:C,A211)
 +COUNTIFS(Equipar!B:B,3,Equipar!D:D,A211)
+COUNTIFS(Equipar!B:B,3,Equipar!E:E,A211)
+COUNTIFS(Equipar!B:B,3,Equipar!F:F,A211)
&gt;0,COUNTIF('Set recomendado'!B:B,C211)=0),
"Bloqueada",
"Desechable")),""
)</f>
        <v>Desechable</v>
      </c>
      <c r="J211" t="str" cm="1">
        <f t="array" ref="J211">IF(ISNUMBER(A211),IFERROR(_xlfn._xlws.FILTER(Equipar!A:A,(Equipar!B:B=3)*(Equipar!AC:AC=A211)),""),"")</f>
        <v/>
      </c>
    </row>
    <row r="212" spans="1:10" x14ac:dyDescent="0.25">
      <c r="A212" s="1">
        <v>350</v>
      </c>
      <c r="B212" s="6" t="s">
        <v>53</v>
      </c>
      <c r="C212" s="6" t="s">
        <v>21</v>
      </c>
      <c r="D212" s="6" t="s">
        <v>36</v>
      </c>
      <c r="E212" s="6" t="s">
        <v>38</v>
      </c>
      <c r="F212" s="6" t="s">
        <v>43</v>
      </c>
      <c r="G212" s="6" t="s">
        <v>39</v>
      </c>
      <c r="I212" s="2" t="str">
        <f>IF(ISNUMBER(A212),
IF(COUNTIFS(Equipar!B:B,3,Equipar!AC:AC,A212),"Equipada",
IF(
  OR(COUNTIFS(Equipar!B:B,3,Equipar!C:C,A212)
 +COUNTIFS(Equipar!B:B,3,Equipar!D:D,A212)
+COUNTIFS(Equipar!B:B,3,Equipar!E:E,A212)
+COUNTIFS(Equipar!B:B,3,Equipar!F:F,A212)
&gt;0,COUNTIF('Set recomendado'!B:B,C212)=0),
"Bloqueada",
"Desechable")),""
)</f>
        <v>Equipada</v>
      </c>
      <c r="J212" t="str" cm="1">
        <f t="array" ref="J212">IF(ISNUMBER(A212),IFERROR(_xlfn._xlws.FILTER(Equipar!A:A,(Equipar!B:B=3)*(Equipar!AC:AC=A212)),""),"")</f>
        <v>Komori</v>
      </c>
    </row>
    <row r="213" spans="1:10" x14ac:dyDescent="0.25">
      <c r="A213" s="1">
        <f>IF(A212="ID",1,IF(ISBLANK(B213),"",MAX(A$2:A212)+1))</f>
        <v>351</v>
      </c>
      <c r="B213" s="6" t="s">
        <v>53</v>
      </c>
      <c r="C213" s="6" t="s">
        <v>9</v>
      </c>
      <c r="D213" s="6" t="s">
        <v>36</v>
      </c>
      <c r="E213" s="6" t="s">
        <v>41</v>
      </c>
      <c r="F213" s="6" t="s">
        <v>38</v>
      </c>
      <c r="G213" s="6" t="s">
        <v>33</v>
      </c>
      <c r="I213" s="2" t="str">
        <f ca="1">IF(ISNUMBER(A213),
IF(COUNTIFS(Equipar!B:B,3,Equipar!AC:AC,A213),"Equipada",
IF(
  OR(COUNTIFS(Equipar!B:B,3,Equipar!C:C,A213)
 +COUNTIFS(Equipar!B:B,3,Equipar!D:D,A213)
+COUNTIFS(Equipar!B:B,3,Equipar!E:E,A213)
+COUNTIFS(Equipar!B:B,3,Equipar!F:F,A213)
&gt;0,COUNTIF('Set recomendado'!B:B,C213)=0),
"Bloqueada",
"Desechable")),""
)</f>
        <v>Bloqueada</v>
      </c>
      <c r="J213" t="str" cm="1">
        <f t="array" ref="J213">IF(ISNUMBER(A213),IFERROR(_xlfn._xlws.FILTER(Equipar!A:A,(Equipar!B:B=3)*(Equipar!AC:AC=A213)),""),"")</f>
        <v/>
      </c>
    </row>
    <row r="214" spans="1:10" x14ac:dyDescent="0.25">
      <c r="A214" s="1">
        <f>IF(A213="ID",1,IF(ISBLANK(B214),"",MAX(A$2:A213)+1))</f>
        <v>352</v>
      </c>
      <c r="B214" s="6" t="s">
        <v>53</v>
      </c>
      <c r="C214" s="6" t="s">
        <v>22</v>
      </c>
      <c r="D214" s="6" t="s">
        <v>36</v>
      </c>
      <c r="E214" s="6" t="s">
        <v>43</v>
      </c>
      <c r="F214" s="6" t="s">
        <v>36</v>
      </c>
      <c r="G214" s="6" t="s">
        <v>42</v>
      </c>
      <c r="H214" s="6" t="s">
        <v>35</v>
      </c>
      <c r="I214" s="2" t="str">
        <f ca="1">IF(ISNUMBER(A214),
IF(COUNTIFS(Equipar!B:B,3,Equipar!AC:AC,A214),"Equipada",
IF(
  OR(COUNTIFS(Equipar!B:B,3,Equipar!C:C,A214)
 +COUNTIFS(Equipar!B:B,3,Equipar!D:D,A214)
+COUNTIFS(Equipar!B:B,3,Equipar!E:E,A214)
+COUNTIFS(Equipar!B:B,3,Equipar!F:F,A214)
&gt;0,COUNTIF('Set recomendado'!B:B,C214)=0),
"Bloqueada",
"Desechable")),""
)</f>
        <v>Desechable</v>
      </c>
      <c r="J214" t="str" cm="1">
        <f t="array" ref="J214">IF(ISNUMBER(A214),IFERROR(_xlfn._xlws.FILTER(Equipar!A:A,(Equipar!B:B=3)*(Equipar!AC:AC=A214)),""),"")</f>
        <v/>
      </c>
    </row>
    <row r="215" spans="1:10" x14ac:dyDescent="0.25">
      <c r="A215" s="1">
        <f>IF(A214="ID",1,IF(ISBLANK(B215),"",MAX(A$2:A214)+1))</f>
        <v>353</v>
      </c>
      <c r="B215" s="6" t="s">
        <v>54</v>
      </c>
      <c r="C215" s="6" t="s">
        <v>9</v>
      </c>
      <c r="D215" s="6" t="s">
        <v>36</v>
      </c>
      <c r="E215" s="6" t="s">
        <v>36</v>
      </c>
      <c r="F215" s="6" t="s">
        <v>38</v>
      </c>
      <c r="I215" s="2" t="str">
        <f ca="1">IF(ISNUMBER(A215),
IF(COUNTIFS(Equipar!B:B,3,Equipar!AC:AC,A215),"Equipada",
IF(
  OR(COUNTIFS(Equipar!B:B,3,Equipar!C:C,A215)
 +COUNTIFS(Equipar!B:B,3,Equipar!D:D,A215)
+COUNTIFS(Equipar!B:B,3,Equipar!E:E,A215)
+COUNTIFS(Equipar!B:B,3,Equipar!F:F,A215)
&gt;0,COUNTIF('Set recomendado'!B:B,C215)=0),
"Bloqueada",
"Desechable")),""
)</f>
        <v>Desechable</v>
      </c>
      <c r="J215" t="str" cm="1">
        <f t="array" ref="J215">IF(ISNUMBER(A215),IFERROR(_xlfn._xlws.FILTER(Equipar!A:A,(Equipar!B:B=3)*(Equipar!AC:AC=A215)),""),"")</f>
        <v/>
      </c>
    </row>
    <row r="216" spans="1:10" x14ac:dyDescent="0.25">
      <c r="A216" s="1">
        <f>IF(A215="ID",1,IF(ISBLANK(B216),"",MAX(A$2:A215)+1))</f>
        <v>354</v>
      </c>
      <c r="B216" s="6" t="s">
        <v>54</v>
      </c>
      <c r="C216" s="6" t="s">
        <v>4</v>
      </c>
      <c r="D216" s="6" t="s">
        <v>36</v>
      </c>
      <c r="E216" s="6" t="s">
        <v>38</v>
      </c>
      <c r="F216" s="6" t="s">
        <v>41</v>
      </c>
      <c r="I216" s="2" t="str">
        <f ca="1">IF(ISNUMBER(A216),
IF(COUNTIFS(Equipar!B:B,3,Equipar!AC:AC,A216),"Equipada",
IF(
  OR(COUNTIFS(Equipar!B:B,3,Equipar!C:C,A216)
 +COUNTIFS(Equipar!B:B,3,Equipar!D:D,A216)
+COUNTIFS(Equipar!B:B,3,Equipar!E:E,A216)
+COUNTIFS(Equipar!B:B,3,Equipar!F:F,A216)
&gt;0,COUNTIF('Set recomendado'!B:B,C216)=0),
"Bloqueada",
"Desechable")),""
)</f>
        <v>Desechable</v>
      </c>
      <c r="J216" t="str" cm="1">
        <f t="array" ref="J216">IF(ISNUMBER(A216),IFERROR(_xlfn._xlws.FILTER(Equipar!A:A,(Equipar!B:B=3)*(Equipar!AC:AC=A216)),""),"")</f>
        <v/>
      </c>
    </row>
    <row r="217" spans="1:10" x14ac:dyDescent="0.25">
      <c r="A217" s="1">
        <f>IF(A216="ID",1,IF(ISBLANK(B217),"",MAX(A$2:A216)+1))</f>
        <v>355</v>
      </c>
      <c r="B217" s="6" t="s">
        <v>54</v>
      </c>
      <c r="C217" s="6" t="s">
        <v>4</v>
      </c>
      <c r="D217" s="6" t="s">
        <v>36</v>
      </c>
      <c r="E217" s="6" t="s">
        <v>41</v>
      </c>
      <c r="F217" s="6" t="s">
        <v>41</v>
      </c>
      <c r="I217" s="2" t="str">
        <f ca="1">IF(ISNUMBER(A217),
IF(COUNTIFS(Equipar!B:B,3,Equipar!AC:AC,A217),"Equipada",
IF(
  OR(COUNTIFS(Equipar!B:B,3,Equipar!C:C,A217)
 +COUNTIFS(Equipar!B:B,3,Equipar!D:D,A217)
+COUNTIFS(Equipar!B:B,3,Equipar!E:E,A217)
+COUNTIFS(Equipar!B:B,3,Equipar!F:F,A217)
&gt;0,COUNTIF('Set recomendado'!B:B,C217)=0),
"Bloqueada",
"Desechable")),""
)</f>
        <v>Desechable</v>
      </c>
      <c r="J217" t="str" cm="1">
        <f t="array" ref="J217">IF(ISNUMBER(A217),IFERROR(_xlfn._xlws.FILTER(Equipar!A:A,(Equipar!B:B=3)*(Equipar!AC:AC=A217)),""),"")</f>
        <v/>
      </c>
    </row>
    <row r="218" spans="1:10" x14ac:dyDescent="0.25">
      <c r="A218" s="1">
        <f>IF(A217="ID",1,IF(ISBLANK(B218),"",MAX(A$2:A217)+1))</f>
        <v>356</v>
      </c>
      <c r="B218" s="6" t="s">
        <v>54</v>
      </c>
      <c r="C218" s="6" t="s">
        <v>4</v>
      </c>
      <c r="D218" s="6" t="s">
        <v>36</v>
      </c>
      <c r="E218" s="6" t="s">
        <v>36</v>
      </c>
      <c r="F218" s="6" t="s">
        <v>41</v>
      </c>
      <c r="I218" s="2" t="str">
        <f ca="1">IF(ISNUMBER(A218),
IF(COUNTIFS(Equipar!B:B,3,Equipar!AC:AC,A218),"Equipada",
IF(
  OR(COUNTIFS(Equipar!B:B,3,Equipar!C:C,A218)
 +COUNTIFS(Equipar!B:B,3,Equipar!D:D,A218)
+COUNTIFS(Equipar!B:B,3,Equipar!E:E,A218)
+COUNTIFS(Equipar!B:B,3,Equipar!F:F,A218)
&gt;0,COUNTIF('Set recomendado'!B:B,C218)=0),
"Bloqueada",
"Desechable")),""
)</f>
        <v>Desechable</v>
      </c>
      <c r="J218" t="str" cm="1">
        <f t="array" aca="1" ref="J218" ca="1">IF(ISNUMBER(A218),IFERROR(_xlfn._xlws.FILTER(Equipar!A:A,(Equipar!B:B=3)*(Equipar!AC:AC=A218)),""),"")</f>
        <v/>
      </c>
    </row>
    <row r="219" spans="1:10" x14ac:dyDescent="0.25">
      <c r="A219" s="1">
        <f ca="1">IF(A218="ID",1,IF(ISBLANK(B219),"",MAX(A$2:A218)+1))</f>
        <v>357</v>
      </c>
      <c r="B219" s="6" t="s">
        <v>54</v>
      </c>
      <c r="C219" s="6" t="s">
        <v>13</v>
      </c>
      <c r="D219" s="6" t="s">
        <v>36</v>
      </c>
      <c r="E219" s="6" t="s">
        <v>42</v>
      </c>
      <c r="F219" s="6" t="s">
        <v>38</v>
      </c>
      <c r="I219" s="2" t="str">
        <f ca="1">IF(ISNUMBER(A219),
IF(COUNTIFS(Equipar!B:B,3,Equipar!AC:AC,A219),"Equipada",
IF(
  OR(COUNTIFS(Equipar!B:B,3,Equipar!C:C,A219)
 +COUNTIFS(Equipar!B:B,3,Equipar!D:D,A219)
+COUNTIFS(Equipar!B:B,3,Equipar!E:E,A219)
+COUNTIFS(Equipar!B:B,3,Equipar!F:F,A219)
&gt;0,COUNTIF('Set recomendado'!B:B,C219)=0),
"Bloqueada",
"Desechable")),""
)</f>
        <v>Desechable</v>
      </c>
      <c r="J219" t="str" cm="1">
        <f t="array" aca="1" ref="J219" ca="1">IF(ISNUMBER(A219),IFERROR(_xlfn._xlws.FILTER(Equipar!A:A,(Equipar!B:B=3)*(Equipar!AC:AC=A219)),""),"")</f>
        <v/>
      </c>
    </row>
    <row r="220" spans="1:10" x14ac:dyDescent="0.25">
      <c r="A220" s="1">
        <f ca="1">IF(A219="ID",1,IF(ISBLANK(B220),"",MAX(A$2:A219)+1))</f>
        <v>358</v>
      </c>
      <c r="B220" s="6" t="s">
        <v>54</v>
      </c>
      <c r="C220" s="6" t="s">
        <v>13</v>
      </c>
      <c r="D220" s="6" t="s">
        <v>36</v>
      </c>
      <c r="E220" s="6" t="s">
        <v>43</v>
      </c>
      <c r="F220" s="6" t="s">
        <v>37</v>
      </c>
      <c r="I220" s="2" t="str">
        <f ca="1">IF(ISNUMBER(A220),
IF(COUNTIFS(Equipar!B:B,3,Equipar!AC:AC,A220),"Equipada",
IF(
  OR(COUNTIFS(Equipar!B:B,3,Equipar!C:C,A220)
 +COUNTIFS(Equipar!B:B,3,Equipar!D:D,A220)
+COUNTIFS(Equipar!B:B,3,Equipar!E:E,A220)
+COUNTIFS(Equipar!B:B,3,Equipar!F:F,A220)
&gt;0,COUNTIF('Set recomendado'!B:B,C220)=0),
"Bloqueada",
"Desechable")),""
)</f>
        <v>Desechable</v>
      </c>
      <c r="J220" t="str" cm="1">
        <f t="array" aca="1" ref="J220" ca="1">IF(ISNUMBER(A220),IFERROR(_xlfn._xlws.FILTER(Equipar!A:A,(Equipar!B:B=3)*(Equipar!AC:AC=A220)),""),"")</f>
        <v/>
      </c>
    </row>
    <row r="221" spans="1:10" x14ac:dyDescent="0.25">
      <c r="A221" s="1">
        <f ca="1">IF(A220="ID",1,IF(ISBLANK(B221),"",MAX(A$2:A220)+1))</f>
        <v>359</v>
      </c>
      <c r="B221" s="6" t="s">
        <v>54</v>
      </c>
      <c r="C221" s="6" t="s">
        <v>13</v>
      </c>
      <c r="D221" s="6" t="s">
        <v>36</v>
      </c>
      <c r="E221" s="6" t="s">
        <v>35</v>
      </c>
      <c r="F221" s="6" t="s">
        <v>43</v>
      </c>
      <c r="I221" s="2" t="str">
        <f ca="1">IF(ISNUMBER(A221),
IF(COUNTIFS(Equipar!B:B,3,Equipar!AC:AC,A221),"Equipada",
IF(
  OR(COUNTIFS(Equipar!B:B,3,Equipar!C:C,A221)
 +COUNTIFS(Equipar!B:B,3,Equipar!D:D,A221)
+COUNTIFS(Equipar!B:B,3,Equipar!E:E,A221)
+COUNTIFS(Equipar!B:B,3,Equipar!F:F,A221)
&gt;0,COUNTIF('Set recomendado'!B:B,C221)=0),
"Bloqueada",
"Desechable")),""
)</f>
        <v>Desechable</v>
      </c>
      <c r="J221" t="str" cm="1">
        <f t="array" aca="1" ref="J221" ca="1">IF(ISNUMBER(A221),IFERROR(_xlfn._xlws.FILTER(Equipar!A:A,(Equipar!B:B=3)*(Equipar!AC:AC=A221)),""),"")</f>
        <v/>
      </c>
    </row>
    <row r="222" spans="1:10" x14ac:dyDescent="0.25">
      <c r="A222" s="1">
        <f ca="1">IF(A221="ID",1,IF(ISBLANK(B222),"",MAX(A$2:A221)+1))</f>
        <v>360</v>
      </c>
      <c r="B222" s="6" t="s">
        <v>54</v>
      </c>
      <c r="C222" s="6" t="s">
        <v>13</v>
      </c>
      <c r="D222" s="6" t="s">
        <v>36</v>
      </c>
      <c r="E222" s="6" t="s">
        <v>38</v>
      </c>
      <c r="F222" s="6" t="s">
        <v>35</v>
      </c>
      <c r="G222" s="6" t="s">
        <v>39</v>
      </c>
      <c r="I222" s="2" t="str">
        <f ca="1">IF(ISNUMBER(A222),
IF(COUNTIFS(Equipar!B:B,3,Equipar!AC:AC,A222),"Equipada",
IF(
  OR(COUNTIFS(Equipar!B:B,3,Equipar!C:C,A222)
 +COUNTIFS(Equipar!B:B,3,Equipar!D:D,A222)
+COUNTIFS(Equipar!B:B,3,Equipar!E:E,A222)
+COUNTIFS(Equipar!B:B,3,Equipar!F:F,A222)
&gt;0,COUNTIF('Set recomendado'!B:B,C222)=0),
"Bloqueada",
"Desechable")),""
)</f>
        <v>Desechable</v>
      </c>
      <c r="J222" t="str" cm="1">
        <f t="array" aca="1" ref="J222" ca="1">IF(ISNUMBER(A222),IFERROR(_xlfn._xlws.FILTER(Equipar!A:A,(Equipar!B:B=3)*(Equipar!AC:AC=A222)),""),"")</f>
        <v/>
      </c>
    </row>
    <row r="223" spans="1:10" x14ac:dyDescent="0.25">
      <c r="A223" s="1">
        <f ca="1">IF(A222="ID",1,IF(ISBLANK(B223),"",MAX(A$2:A222)+1))</f>
        <v>361</v>
      </c>
      <c r="B223" s="6" t="s">
        <v>54</v>
      </c>
      <c r="C223" s="6" t="s">
        <v>13</v>
      </c>
      <c r="D223" s="6" t="s">
        <v>36</v>
      </c>
      <c r="E223" s="6" t="s">
        <v>43</v>
      </c>
      <c r="F223" s="6" t="s">
        <v>41</v>
      </c>
      <c r="I223" s="2" t="str">
        <f ca="1">IF(ISNUMBER(A223),
IF(COUNTIFS(Equipar!B:B,3,Equipar!AC:AC,A223),"Equipada",
IF(
  OR(COUNTIFS(Equipar!B:B,3,Equipar!C:C,A223)
 +COUNTIFS(Equipar!B:B,3,Equipar!D:D,A223)
+COUNTIFS(Equipar!B:B,3,Equipar!E:E,A223)
+COUNTIFS(Equipar!B:B,3,Equipar!F:F,A223)
&gt;0,COUNTIF('Set recomendado'!B:B,C223)=0),
"Bloqueada",
"Desechable")),""
)</f>
        <v>Desechable</v>
      </c>
      <c r="J223" t="str" cm="1">
        <f t="array" aca="1" ref="J223" ca="1">IF(ISNUMBER(A223),IFERROR(_xlfn._xlws.FILTER(Equipar!A:A,(Equipar!B:B=3)*(Equipar!AC:AC=A223)),""),"")</f>
        <v/>
      </c>
    </row>
    <row r="224" spans="1:10" x14ac:dyDescent="0.25">
      <c r="A224" s="1">
        <f ca="1">IF(A223="ID",1,IF(ISBLANK(B224),"",MAX(A$2:A223)+1))</f>
        <v>362</v>
      </c>
      <c r="B224" s="6" t="s">
        <v>54</v>
      </c>
      <c r="C224" s="6" t="s">
        <v>16</v>
      </c>
      <c r="D224" s="6" t="s">
        <v>36</v>
      </c>
      <c r="E224" s="6" t="s">
        <v>43</v>
      </c>
      <c r="F224" s="6" t="s">
        <v>41</v>
      </c>
      <c r="I224" s="2" t="str">
        <f ca="1">IF(ISNUMBER(A224),
IF(COUNTIFS(Equipar!B:B,3,Equipar!AC:AC,A224),"Equipada",
IF(
  OR(COUNTIFS(Equipar!B:B,3,Equipar!C:C,A224)
 +COUNTIFS(Equipar!B:B,3,Equipar!D:D,A224)
+COUNTIFS(Equipar!B:B,3,Equipar!E:E,A224)
+COUNTIFS(Equipar!B:B,3,Equipar!F:F,A224)
&gt;0,COUNTIF('Set recomendado'!B:B,C224)=0),
"Bloqueada",
"Desechable")),""
)</f>
        <v>Desechable</v>
      </c>
      <c r="J224" t="str" cm="1">
        <f t="array" aca="1" ref="J224" ca="1">IF(ISNUMBER(A224),IFERROR(_xlfn._xlws.FILTER(Equipar!A:A,(Equipar!B:B=3)*(Equipar!AC:AC=A224)),""),"")</f>
        <v/>
      </c>
    </row>
    <row r="225" spans="1:10" x14ac:dyDescent="0.25">
      <c r="A225" s="1">
        <f ca="1">IF(A224="ID",1,IF(ISBLANK(B225),"",MAX(A$2:A224)+1))</f>
        <v>363</v>
      </c>
      <c r="B225" s="6" t="s">
        <v>54</v>
      </c>
      <c r="C225" s="6" t="s">
        <v>55</v>
      </c>
      <c r="D225" s="6" t="s">
        <v>36</v>
      </c>
      <c r="E225" s="6" t="s">
        <v>37</v>
      </c>
      <c r="F225" s="6" t="s">
        <v>32</v>
      </c>
      <c r="I225" s="2" t="str">
        <f ca="1">IF(ISNUMBER(A225),
IF(COUNTIFS(Equipar!B:B,3,Equipar!AC:AC,A225),"Equipada",
IF(
  OR(COUNTIFS(Equipar!B:B,3,Equipar!C:C,A225)
 +COUNTIFS(Equipar!B:B,3,Equipar!D:D,A225)
+COUNTIFS(Equipar!B:B,3,Equipar!E:E,A225)
+COUNTIFS(Equipar!B:B,3,Equipar!F:F,A225)
&gt;0,COUNTIF('Set recomendado'!B:B,C225)=0),
"Bloqueada",
"Desechable")),""
)</f>
        <v>Desechable</v>
      </c>
      <c r="J225" t="str" cm="1">
        <f t="array" aca="1" ref="J225" ca="1">IF(ISNUMBER(A225),IFERROR(_xlfn._xlws.FILTER(Equipar!A:A,(Equipar!B:B=3)*(Equipar!AC:AC=A225)),""),"")</f>
        <v/>
      </c>
    </row>
    <row r="226" spans="1:10" x14ac:dyDescent="0.25">
      <c r="A226" s="1">
        <f ca="1">IF(A225="ID",1,IF(ISBLANK(B226),"",MAX(A$2:A225)+1))</f>
        <v>364</v>
      </c>
      <c r="B226" s="6" t="s">
        <v>54</v>
      </c>
      <c r="C226" s="6" t="s">
        <v>21</v>
      </c>
      <c r="D226" s="6" t="s">
        <v>36</v>
      </c>
      <c r="E226" s="6" t="s">
        <v>36</v>
      </c>
      <c r="F226" s="6" t="s">
        <v>43</v>
      </c>
      <c r="I226" s="2" t="str">
        <f ca="1">IF(ISNUMBER(A226),
IF(COUNTIFS(Equipar!B:B,3,Equipar!AC:AC,A226),"Equipada",
IF(
  OR(COUNTIFS(Equipar!B:B,3,Equipar!C:C,A226)
 +COUNTIFS(Equipar!B:B,3,Equipar!D:D,A226)
+COUNTIFS(Equipar!B:B,3,Equipar!E:E,A226)
+COUNTIFS(Equipar!B:B,3,Equipar!F:F,A226)
&gt;0,COUNTIF('Set recomendado'!B:B,C226)=0),
"Bloqueada",
"Desechable")),""
)</f>
        <v>Desechable</v>
      </c>
      <c r="J226" t="str" cm="1">
        <f t="array" aca="1" ref="J226" ca="1">IF(ISNUMBER(A226),IFERROR(_xlfn._xlws.FILTER(Equipar!A:A,(Equipar!B:B=3)*(Equipar!AC:AC=A226)),""),"")</f>
        <v/>
      </c>
    </row>
    <row r="227" spans="1:10" x14ac:dyDescent="0.25">
      <c r="A227" s="1">
        <f ca="1">IF(A226="ID",1,IF(ISBLANK(B227),"",MAX(A$2:A226)+1))</f>
        <v>365</v>
      </c>
      <c r="B227" s="6" t="s">
        <v>54</v>
      </c>
      <c r="C227" s="6" t="s">
        <v>21</v>
      </c>
      <c r="D227" s="6" t="s">
        <v>36</v>
      </c>
      <c r="E227" s="6" t="s">
        <v>43</v>
      </c>
      <c r="F227" s="6" t="s">
        <v>38</v>
      </c>
      <c r="I227" s="2" t="str">
        <f ca="1">IF(ISNUMBER(A227),
IF(COUNTIFS(Equipar!B:B,3,Equipar!AC:AC,A227),"Equipada",
IF(
  OR(COUNTIFS(Equipar!B:B,3,Equipar!C:C,A227)
 +COUNTIFS(Equipar!B:B,3,Equipar!D:D,A227)
+COUNTIFS(Equipar!B:B,3,Equipar!E:E,A227)
+COUNTIFS(Equipar!B:B,3,Equipar!F:F,A227)
&gt;0,COUNTIF('Set recomendado'!B:B,C227)=0),
"Bloqueada",
"Desechable")),""
)</f>
        <v>Desechable</v>
      </c>
      <c r="J227" t="str" cm="1">
        <f t="array" aca="1" ref="J227" ca="1">IF(ISNUMBER(A227),IFERROR(_xlfn._xlws.FILTER(Equipar!A:A,(Equipar!B:B=3)*(Equipar!AC:AC=A227)),""),"")</f>
        <v/>
      </c>
    </row>
    <row r="228" spans="1:10" x14ac:dyDescent="0.25">
      <c r="A228" s="1" t="str">
        <f ca="1">IF(A227="ID",1,IF(ISBLANK(B228),"",MAX(A$2:A227)+1))</f>
        <v/>
      </c>
      <c r="I228" s="2" t="str">
        <f ca="1">IF(ISNUMBER(A228),
IF(COUNTIFS(Equipar!B:B,3,Equipar!AC:AC,A228),"Equipada",
IF(
  OR(COUNTIFS(Equipar!B:B,3,Equipar!C:C,A228)
 +COUNTIFS(Equipar!B:B,3,Equipar!D:D,A228)
+COUNTIFS(Equipar!B:B,3,Equipar!E:E,A228)
+COUNTIFS(Equipar!B:B,3,Equipar!F:F,A228)
&gt;0,COUNTIF('Set recomendado'!B:B,C228)=0),
"Bloqueada",
"Desechable")),""
)</f>
        <v/>
      </c>
      <c r="J228" t="str" cm="1">
        <f t="array" aca="1" ref="J228" ca="1">IF(ISNUMBER(A228),IFERROR(_xlfn._xlws.FILTER(Equipar!A:A,(Equipar!B:B=3)*(Equipar!AC:AC=A228)),""),"")</f>
        <v/>
      </c>
    </row>
    <row r="229" spans="1:10" x14ac:dyDescent="0.25">
      <c r="A229" s="1" t="str">
        <f ca="1">IF(A228="ID",1,IF(ISBLANK(B229),"",MAX(A$2:A228)+1))</f>
        <v/>
      </c>
      <c r="I229" s="2" t="str">
        <f ca="1">IF(ISNUMBER(A229),
IF(COUNTIFS(Equipar!B:B,3,Equipar!AC:AC,A229),"Equipada",
IF(
  OR(COUNTIFS(Equipar!B:B,3,Equipar!C:C,A229)
 +COUNTIFS(Equipar!B:B,3,Equipar!D:D,A229)
+COUNTIFS(Equipar!B:B,3,Equipar!E:E,A229)
+COUNTIFS(Equipar!B:B,3,Equipar!F:F,A229)
&gt;0,COUNTIF('Set recomendado'!B:B,C229)=0),
"Bloqueada",
"Desechable")),""
)</f>
        <v/>
      </c>
      <c r="J229" t="str" cm="1">
        <f t="array" aca="1" ref="J229" ca="1">IF(ISNUMBER(A229),IFERROR(_xlfn._xlws.FILTER(Equipar!A:A,(Equipar!B:B=3)*(Equipar!AC:AC=A229)),""),"")</f>
        <v/>
      </c>
    </row>
    <row r="230" spans="1:10" x14ac:dyDescent="0.25">
      <c r="A230" s="1" t="str">
        <f ca="1">IF(A229="ID",1,IF(ISBLANK(B230),"",MAX(A$2:A229)+1))</f>
        <v/>
      </c>
      <c r="I230" s="2" t="str">
        <f ca="1">IF(ISNUMBER(A230),
IF(COUNTIFS(Equipar!B:B,3,Equipar!AC:AC,A230),"Equipada",
IF(
  OR(COUNTIFS(Equipar!B:B,3,Equipar!C:C,A230)
 +COUNTIFS(Equipar!B:B,3,Equipar!D:D,A230)
+COUNTIFS(Equipar!B:B,3,Equipar!E:E,A230)
+COUNTIFS(Equipar!B:B,3,Equipar!F:F,A230)
&gt;0,COUNTIF('Set recomendado'!B:B,C230)=0),
"Bloqueada",
"Desechable")),""
)</f>
        <v/>
      </c>
      <c r="J230" t="str" cm="1">
        <f t="array" aca="1" ref="J230" ca="1">IF(ISNUMBER(A230),IFERROR(_xlfn._xlws.FILTER(Equipar!A:A,(Equipar!B:B=3)*(Equipar!AC:AC=A230)),""),"")</f>
        <v/>
      </c>
    </row>
    <row r="231" spans="1:10" x14ac:dyDescent="0.25">
      <c r="A231" s="1" t="str">
        <f ca="1">IF(A230="ID",1,IF(ISBLANK(B231),"",MAX(A$2:A230)+1))</f>
        <v/>
      </c>
      <c r="I231" s="2" t="str">
        <f ca="1">IF(ISNUMBER(A231),
IF(COUNTIFS(Equipar!B:B,3,Equipar!AC:AC,A231),"Equipada",
IF(
  OR(COUNTIFS(Equipar!B:B,3,Equipar!C:C,A231)
 +COUNTIFS(Equipar!B:B,3,Equipar!D:D,A231)
+COUNTIFS(Equipar!B:B,3,Equipar!E:E,A231)
+COUNTIFS(Equipar!B:B,3,Equipar!F:F,A231)
&gt;0,COUNTIF('Set recomendado'!B:B,C231)=0),
"Bloqueada",
"Desechable")),""
)</f>
        <v/>
      </c>
      <c r="J231" t="str" cm="1">
        <f t="array" aca="1" ref="J231" ca="1">IF(ISNUMBER(A231),IFERROR(_xlfn._xlws.FILTER(Equipar!A:A,(Equipar!B:B=3)*(Equipar!AC:AC=A231)),""),"")</f>
        <v/>
      </c>
    </row>
    <row r="232" spans="1:10" x14ac:dyDescent="0.25">
      <c r="A232" s="1" t="str">
        <f ca="1">IF(A231="ID",1,IF(ISBLANK(B232),"",MAX(A$2:A231)+1))</f>
        <v/>
      </c>
      <c r="I232" s="2" t="str">
        <f ca="1">IF(ISNUMBER(A232),
IF(COUNTIFS(Equipar!B:B,3,Equipar!AC:AC,A232),"Equipada",
IF(
  OR(COUNTIFS(Equipar!B:B,3,Equipar!C:C,A232)
 +COUNTIFS(Equipar!B:B,3,Equipar!D:D,A232)
+COUNTIFS(Equipar!B:B,3,Equipar!E:E,A232)
+COUNTIFS(Equipar!B:B,3,Equipar!F:F,A232)
&gt;0,COUNTIF('Set recomendado'!B:B,C232)=0),
"Bloqueada",
"Desechable")),""
)</f>
        <v/>
      </c>
      <c r="J232" t="str" cm="1">
        <f t="array" aca="1" ref="J232" ca="1">IF(ISNUMBER(A232),IFERROR(_xlfn._xlws.FILTER(Equipar!A:A,(Equipar!B:B=3)*(Equipar!AC:AC=A232)),""),"")</f>
        <v/>
      </c>
    </row>
    <row r="233" spans="1:10" x14ac:dyDescent="0.25">
      <c r="A233" s="1" t="str">
        <f ca="1">IF(A232="ID",1,IF(ISBLANK(B233),"",MAX(A$2:A232)+1))</f>
        <v/>
      </c>
      <c r="I233" s="2" t="str">
        <f ca="1">IF(ISNUMBER(A233),
IF(COUNTIFS(Equipar!B:B,3,Equipar!AC:AC,A233),"Equipada",
IF(
  OR(COUNTIFS(Equipar!B:B,3,Equipar!C:C,A233)
 +COUNTIFS(Equipar!B:B,3,Equipar!D:D,A233)
+COUNTIFS(Equipar!B:B,3,Equipar!E:E,A233)
+COUNTIFS(Equipar!B:B,3,Equipar!F:F,A233)
&gt;0,COUNTIF('Set recomendado'!B:B,C233)=0),
"Bloqueada",
"Desechable")),""
)</f>
        <v/>
      </c>
      <c r="J233" t="str" cm="1">
        <f t="array" aca="1" ref="J233" ca="1">IF(ISNUMBER(A233),IFERROR(_xlfn._xlws.FILTER(Equipar!A:A,(Equipar!B:B=3)*(Equipar!AC:AC=A233)),""),"")</f>
        <v/>
      </c>
    </row>
    <row r="234" spans="1:10" x14ac:dyDescent="0.25">
      <c r="A234" s="1" t="str">
        <f ca="1">IF(A233="ID",1,IF(ISBLANK(B234),"",MAX(A$2:A233)+1))</f>
        <v/>
      </c>
      <c r="I234" s="2" t="str">
        <f ca="1">IF(ISNUMBER(A234),
IF(COUNTIFS(Equipar!B:B,3,Equipar!AC:AC,A234),"Equipada",
IF(
  OR(COUNTIFS(Equipar!B:B,3,Equipar!C:C,A234)
 +COUNTIFS(Equipar!B:B,3,Equipar!D:D,A234)
+COUNTIFS(Equipar!B:B,3,Equipar!E:E,A234)
+COUNTIFS(Equipar!B:B,3,Equipar!F:F,A234)
&gt;0,COUNTIF('Set recomendado'!B:B,C234)=0),
"Bloqueada",
"Desechable")),""
)</f>
        <v/>
      </c>
      <c r="J234" t="str" cm="1">
        <f t="array" aca="1" ref="J234" ca="1">IF(ISNUMBER(A234),IFERROR(_xlfn._xlws.FILTER(Equipar!A:A,(Equipar!B:B=3)*(Equipar!AC:AC=A234)),""),"")</f>
        <v/>
      </c>
    </row>
    <row r="235" spans="1:10" x14ac:dyDescent="0.25">
      <c r="A235" s="1" t="str">
        <f ca="1">IF(A234="ID",1,IF(ISBLANK(B235),"",MAX(A$2:A234)+1))</f>
        <v/>
      </c>
      <c r="I235" s="2" t="str">
        <f ca="1">IF(ISNUMBER(A235),
IF(COUNTIFS(Equipar!B:B,3,Equipar!AC:AC,A235),"Equipada",
IF(
  OR(COUNTIFS(Equipar!B:B,3,Equipar!C:C,A235)
 +COUNTIFS(Equipar!B:B,3,Equipar!D:D,A235)
+COUNTIFS(Equipar!B:B,3,Equipar!E:E,A235)
+COUNTIFS(Equipar!B:B,3,Equipar!F:F,A235)
&gt;0,COUNTIF('Set recomendado'!B:B,C235)=0),
"Bloqueada",
"Desechable")),""
)</f>
        <v/>
      </c>
      <c r="J235" t="str" cm="1">
        <f t="array" aca="1" ref="J235" ca="1">IF(ISNUMBER(A235),IFERROR(_xlfn._xlws.FILTER(Equipar!A:A,(Equipar!B:B=3)*(Equipar!AC:AC=A235)),""),"")</f>
        <v/>
      </c>
    </row>
    <row r="236" spans="1:10" x14ac:dyDescent="0.25">
      <c r="A236" s="1" t="str">
        <f ca="1">IF(A235="ID",1,IF(ISBLANK(B236),"",MAX(A$2:A235)+1))</f>
        <v/>
      </c>
      <c r="I236" s="2" t="str">
        <f ca="1">IF(ISNUMBER(A236),
IF(COUNTIFS(Equipar!B:B,3,Equipar!AC:AC,A236),"Equipada",
IF(
  OR(COUNTIFS(Equipar!B:B,3,Equipar!C:C,A236)
 +COUNTIFS(Equipar!B:B,3,Equipar!D:D,A236)
+COUNTIFS(Equipar!B:B,3,Equipar!E:E,A236)
+COUNTIFS(Equipar!B:B,3,Equipar!F:F,A236)
&gt;0,COUNTIF('Set recomendado'!B:B,C236)=0),
"Bloqueada",
"Desechable")),""
)</f>
        <v/>
      </c>
      <c r="J236" t="str" cm="1">
        <f t="array" aca="1" ref="J236" ca="1">IF(ISNUMBER(A236),IFERROR(_xlfn._xlws.FILTER(Equipar!A:A,(Equipar!B:B=3)*(Equipar!AC:AC=A236)),""),"")</f>
        <v/>
      </c>
    </row>
    <row r="237" spans="1:10" x14ac:dyDescent="0.25">
      <c r="A237" s="1" t="str">
        <f ca="1">IF(A236="ID",1,IF(ISBLANK(B237),"",MAX(A$2:A236)+1))</f>
        <v/>
      </c>
      <c r="I237" s="2" t="str">
        <f ca="1">IF(ISNUMBER(A237),
IF(COUNTIFS(Equipar!B:B,3,Equipar!AC:AC,A237),"Equipada",
IF(
  OR(COUNTIFS(Equipar!B:B,3,Equipar!C:C,A237)
 +COUNTIFS(Equipar!B:B,3,Equipar!D:D,A237)
+COUNTIFS(Equipar!B:B,3,Equipar!E:E,A237)
+COUNTIFS(Equipar!B:B,3,Equipar!F:F,A237)
&gt;0,COUNTIF('Set recomendado'!B:B,C237)=0),
"Bloqueada",
"Desechable")),""
)</f>
        <v/>
      </c>
      <c r="J237" t="str" cm="1">
        <f t="array" aca="1" ref="J237" ca="1">IF(ISNUMBER(A237),IFERROR(_xlfn._xlws.FILTER(Equipar!A:A,(Equipar!B:B=3)*(Equipar!AC:AC=A237)),""),"")</f>
        <v/>
      </c>
    </row>
    <row r="238" spans="1:10" x14ac:dyDescent="0.25">
      <c r="A238" s="1" t="str">
        <f ca="1">IF(A237="ID",1,IF(ISBLANK(B238),"",MAX(A$2:A237)+1))</f>
        <v/>
      </c>
      <c r="I238" s="2" t="str">
        <f ca="1">IF(ISNUMBER(A238),
IF(COUNTIFS(Equipar!B:B,3,Equipar!AC:AC,A238),"Equipada",
IF(
  OR(COUNTIFS(Equipar!B:B,3,Equipar!C:C,A238)
 +COUNTIFS(Equipar!B:B,3,Equipar!D:D,A238)
+COUNTIFS(Equipar!B:B,3,Equipar!E:E,A238)
+COUNTIFS(Equipar!B:B,3,Equipar!F:F,A238)
&gt;0,COUNTIF('Set recomendado'!B:B,C238)=0),
"Bloqueada",
"Desechable")),""
)</f>
        <v/>
      </c>
      <c r="J238" t="str" cm="1">
        <f t="array" aca="1" ref="J238" ca="1">IF(ISNUMBER(A238),IFERROR(_xlfn._xlws.FILTER(Equipar!A:A,(Equipar!B:B=3)*(Equipar!AC:AC=A238)),""),"")</f>
        <v/>
      </c>
    </row>
    <row r="239" spans="1:10" x14ac:dyDescent="0.25">
      <c r="A239" s="1" t="str">
        <f ca="1">IF(A238="ID",1,IF(ISBLANK(B239),"",MAX(A$2:A238)+1))</f>
        <v/>
      </c>
      <c r="I239" s="2" t="str">
        <f ca="1">IF(ISNUMBER(A239),
IF(COUNTIFS(Equipar!B:B,3,Equipar!AC:AC,A239),"Equipada",
IF(
  OR(COUNTIFS(Equipar!B:B,3,Equipar!C:C,A239)
 +COUNTIFS(Equipar!B:B,3,Equipar!D:D,A239)
+COUNTIFS(Equipar!B:B,3,Equipar!E:E,A239)
+COUNTIFS(Equipar!B:B,3,Equipar!F:F,A239)
&gt;0,COUNTIF('Set recomendado'!B:B,C239)=0),
"Bloqueada",
"Desechable")),""
)</f>
        <v/>
      </c>
      <c r="J239" t="str" cm="1">
        <f t="array" aca="1" ref="J239" ca="1">IF(ISNUMBER(A239),IFERROR(_xlfn._xlws.FILTER(Equipar!A:A,(Equipar!B:B=3)*(Equipar!AC:AC=A239)),""),"")</f>
        <v/>
      </c>
    </row>
    <row r="240" spans="1:10" x14ac:dyDescent="0.25">
      <c r="A240" s="1" t="str">
        <f ca="1">IF(A239="ID",1,IF(ISBLANK(B240),"",MAX(A$2:A239)+1))</f>
        <v/>
      </c>
      <c r="I240" s="2" t="str">
        <f ca="1">IF(ISNUMBER(A240),
IF(COUNTIFS(Equipar!B:B,3,Equipar!AC:AC,A240),"Equipada",
IF(
  OR(COUNTIFS(Equipar!B:B,3,Equipar!C:C,A240)
 +COUNTIFS(Equipar!B:B,3,Equipar!D:D,A240)
+COUNTIFS(Equipar!B:B,3,Equipar!E:E,A240)
+COUNTIFS(Equipar!B:B,3,Equipar!F:F,A240)
&gt;0,COUNTIF('Set recomendado'!B:B,C240)=0),
"Bloqueada",
"Desechable")),""
)</f>
        <v/>
      </c>
      <c r="J240" t="str" cm="1">
        <f t="array" aca="1" ref="J240" ca="1">IF(ISNUMBER(A240),IFERROR(_xlfn._xlws.FILTER(Equipar!A:A,(Equipar!B:B=3)*(Equipar!AC:AC=A240)),""),"")</f>
        <v/>
      </c>
    </row>
    <row r="241" spans="1:10" x14ac:dyDescent="0.25">
      <c r="A241" s="1" t="str">
        <f ca="1">IF(A240="ID",1,IF(ISBLANK(B241),"",MAX(A$2:A240)+1))</f>
        <v/>
      </c>
      <c r="I241" s="2" t="str">
        <f ca="1">IF(ISNUMBER(A241),
IF(COUNTIFS(Equipar!B:B,3,Equipar!AC:AC,A241),"Equipada",
IF(
  OR(COUNTIFS(Equipar!B:B,3,Equipar!C:C,A241)
 +COUNTIFS(Equipar!B:B,3,Equipar!D:D,A241)
+COUNTIFS(Equipar!B:B,3,Equipar!E:E,A241)
+COUNTIFS(Equipar!B:B,3,Equipar!F:F,A241)
&gt;0,COUNTIF('Set recomendado'!B:B,C241)=0),
"Bloqueada",
"Desechable")),""
)</f>
        <v/>
      </c>
      <c r="J241" t="str" cm="1">
        <f t="array" aca="1" ref="J241" ca="1">IF(ISNUMBER(A241),IFERROR(_xlfn._xlws.FILTER(Equipar!A:A,(Equipar!B:B=3)*(Equipar!AC:AC=A241)),""),"")</f>
        <v/>
      </c>
    </row>
    <row r="242" spans="1:10" x14ac:dyDescent="0.25">
      <c r="A242" s="1" t="str">
        <f ca="1">IF(A241="ID",1,IF(ISBLANK(B242),"",MAX(A$2:A241)+1))</f>
        <v/>
      </c>
      <c r="I242" s="2" t="str">
        <f ca="1">IF(ISNUMBER(A242),
IF(COUNTIFS(Equipar!B:B,3,Equipar!AC:AC,A242),"Equipada",
IF(
  OR(COUNTIFS(Equipar!B:B,3,Equipar!C:C,A242)
 +COUNTIFS(Equipar!B:B,3,Equipar!D:D,A242)
+COUNTIFS(Equipar!B:B,3,Equipar!E:E,A242)
+COUNTIFS(Equipar!B:B,3,Equipar!F:F,A242)
&gt;0,COUNTIF('Set recomendado'!B:B,C242)=0),
"Bloqueada",
"Desechable")),""
)</f>
        <v/>
      </c>
      <c r="J242" t="str" cm="1">
        <f t="array" aca="1" ref="J242" ca="1">IF(ISNUMBER(A242),IFERROR(_xlfn._xlws.FILTER(Equipar!A:A,(Equipar!B:B=3)*(Equipar!AC:AC=A242)),""),"")</f>
        <v/>
      </c>
    </row>
    <row r="243" spans="1:10" x14ac:dyDescent="0.25">
      <c r="A243" s="1" t="str">
        <f ca="1">IF(A242="ID",1,IF(ISBLANK(B243),"",MAX(A$2:A242)+1))</f>
        <v/>
      </c>
      <c r="I243" s="2" t="str">
        <f ca="1">IF(ISNUMBER(A243),
IF(COUNTIFS(Equipar!B:B,3,Equipar!AC:AC,A243),"Equipada",
IF(
  OR(COUNTIFS(Equipar!B:B,3,Equipar!C:C,A243)
 +COUNTIFS(Equipar!B:B,3,Equipar!D:D,A243)
+COUNTIFS(Equipar!B:B,3,Equipar!E:E,A243)
+COUNTIFS(Equipar!B:B,3,Equipar!F:F,A243)
&gt;0,COUNTIF('Set recomendado'!B:B,C243)=0),
"Bloqueada",
"Desechable")),""
)</f>
        <v/>
      </c>
      <c r="J243" t="str" cm="1">
        <f t="array" aca="1" ref="J243" ca="1">IF(ISNUMBER(A243),IFERROR(_xlfn._xlws.FILTER(Equipar!A:A,(Equipar!B:B=3)*(Equipar!AC:AC=A243)),""),"")</f>
        <v/>
      </c>
    </row>
    <row r="244" spans="1:10" x14ac:dyDescent="0.25">
      <c r="A244" s="1" t="str">
        <f ca="1">IF(A243="ID",1,IF(ISBLANK(B244),"",MAX(A$2:A243)+1))</f>
        <v/>
      </c>
      <c r="I244" s="2" t="str">
        <f ca="1">IF(ISNUMBER(A244),
IF(COUNTIFS(Equipar!B:B,3,Equipar!AC:AC,A244),"Equipada",
IF(
  OR(COUNTIFS(Equipar!B:B,3,Equipar!C:C,A244)
 +COUNTIFS(Equipar!B:B,3,Equipar!D:D,A244)
+COUNTIFS(Equipar!B:B,3,Equipar!E:E,A244)
+COUNTIFS(Equipar!B:B,3,Equipar!F:F,A244)
&gt;0,COUNTIF('Set recomendado'!B:B,C244)=0),
"Bloqueada",
"Desechable")),""
)</f>
        <v/>
      </c>
      <c r="J244" t="str" cm="1">
        <f t="array" aca="1" ref="J244" ca="1">IF(ISNUMBER(A244),IFERROR(_xlfn._xlws.FILTER(Equipar!A:A,(Equipar!B:B=3)*(Equipar!AC:AC=A244)),""),"")</f>
        <v/>
      </c>
    </row>
    <row r="245" spans="1:10" x14ac:dyDescent="0.25">
      <c r="A245" s="1" t="str">
        <f ca="1">IF(A244="ID",1,IF(ISBLANK(B245),"",MAX(A$2:A244)+1))</f>
        <v/>
      </c>
      <c r="I245" s="2" t="str">
        <f ca="1">IF(ISNUMBER(A245),
IF(COUNTIFS(Equipar!B:B,3,Equipar!AC:AC,A245),"Equipada",
IF(
  OR(COUNTIFS(Equipar!B:B,3,Equipar!C:C,A245)
 +COUNTIFS(Equipar!B:B,3,Equipar!D:D,A245)
+COUNTIFS(Equipar!B:B,3,Equipar!E:E,A245)
+COUNTIFS(Equipar!B:B,3,Equipar!F:F,A245)
&gt;0,COUNTIF('Set recomendado'!B:B,C245)=0),
"Bloqueada",
"Desechable")),""
)</f>
        <v/>
      </c>
      <c r="J245" t="str" cm="1">
        <f t="array" aca="1" ref="J245" ca="1">IF(ISNUMBER(A245),IFERROR(_xlfn._xlws.FILTER(Equipar!A:A,(Equipar!B:B=3)*(Equipar!AC:AC=A245)),""),"")</f>
        <v/>
      </c>
    </row>
    <row r="246" spans="1:10" x14ac:dyDescent="0.25">
      <c r="A246" s="1" t="str">
        <f ca="1">IF(A245="ID",1,IF(ISBLANK(B246),"",MAX(A$2:A245)+1))</f>
        <v/>
      </c>
      <c r="I246" s="2" t="str">
        <f ca="1">IF(ISNUMBER(A246),
IF(COUNTIFS(Equipar!B:B,3,Equipar!AC:AC,A246),"Equipada",
IF(
  OR(COUNTIFS(Equipar!B:B,3,Equipar!C:C,A246)
 +COUNTIFS(Equipar!B:B,3,Equipar!D:D,A246)
+COUNTIFS(Equipar!B:B,3,Equipar!E:E,A246)
+COUNTIFS(Equipar!B:B,3,Equipar!F:F,A246)
&gt;0,COUNTIF('Set recomendado'!B:B,C246)=0),
"Bloqueada",
"Desechable")),""
)</f>
        <v/>
      </c>
      <c r="J246" t="str" cm="1">
        <f t="array" aca="1" ref="J246" ca="1">IF(ISNUMBER(A246),IFERROR(_xlfn._xlws.FILTER(Equipar!A:A,(Equipar!B:B=3)*(Equipar!AC:AC=A246)),""),"")</f>
        <v/>
      </c>
    </row>
    <row r="247" spans="1:10" x14ac:dyDescent="0.25">
      <c r="A247" s="1" t="str">
        <f ca="1">IF(A246="ID",1,IF(ISBLANK(B247),"",MAX(A$2:A246)+1))</f>
        <v/>
      </c>
      <c r="I247" s="2" t="str">
        <f ca="1">IF(ISNUMBER(A247),
IF(COUNTIFS(Equipar!B:B,3,Equipar!AC:AC,A247),"Equipada",
IF(
  OR(COUNTIFS(Equipar!B:B,3,Equipar!C:C,A247)
 +COUNTIFS(Equipar!B:B,3,Equipar!D:D,A247)
+COUNTIFS(Equipar!B:B,3,Equipar!E:E,A247)
+COUNTIFS(Equipar!B:B,3,Equipar!F:F,A247)
&gt;0,COUNTIF('Set recomendado'!B:B,C247)=0),
"Bloqueada",
"Desechable")),""
)</f>
        <v/>
      </c>
      <c r="J247" t="str" cm="1">
        <f t="array" aca="1" ref="J247" ca="1">IF(ISNUMBER(A247),IFERROR(_xlfn._xlws.FILTER(Equipar!A:A,(Equipar!B:B=3)*(Equipar!AC:AC=A247)),""),"")</f>
        <v/>
      </c>
    </row>
    <row r="248" spans="1:10" x14ac:dyDescent="0.25">
      <c r="A248" s="1" t="str">
        <f ca="1">IF(A247="ID",1,IF(ISBLANK(B248),"",MAX(A$2:A247)+1))</f>
        <v/>
      </c>
      <c r="I248" s="2" t="str">
        <f ca="1">IF(ISNUMBER(A248),
IF(COUNTIFS(Equipar!B:B,3,Equipar!AC:AC,A248),"Equipada",
IF(
  OR(COUNTIFS(Equipar!B:B,3,Equipar!C:C,A248)
 +COUNTIFS(Equipar!B:B,3,Equipar!D:D,A248)
+COUNTIFS(Equipar!B:B,3,Equipar!E:E,A248)
+COUNTIFS(Equipar!B:B,3,Equipar!F:F,A248)
&gt;0,COUNTIF('Set recomendado'!B:B,C248)=0),
"Bloqueada",
"Desechable")),""
)</f>
        <v/>
      </c>
      <c r="J248" t="str" cm="1">
        <f t="array" aca="1" ref="J248" ca="1">IF(ISNUMBER(A248),IFERROR(_xlfn._xlws.FILTER(Equipar!A:A,(Equipar!B:B=3)*(Equipar!AC:AC=A248)),""),"")</f>
        <v/>
      </c>
    </row>
    <row r="249" spans="1:10" x14ac:dyDescent="0.25">
      <c r="A249" s="1" t="str">
        <f ca="1">IF(A248="ID",1,IF(ISBLANK(B249),"",MAX(A$2:A248)+1))</f>
        <v/>
      </c>
      <c r="I249" s="2" t="str">
        <f ca="1">IF(ISNUMBER(A249),
IF(COUNTIFS(Equipar!B:B,3,Equipar!AC:AC,A249),"Equipada",
IF(
  OR(COUNTIFS(Equipar!B:B,3,Equipar!C:C,A249)
 +COUNTIFS(Equipar!B:B,3,Equipar!D:D,A249)
+COUNTIFS(Equipar!B:B,3,Equipar!E:E,A249)
+COUNTIFS(Equipar!B:B,3,Equipar!F:F,A249)
&gt;0,COUNTIF('Set recomendado'!B:B,C249)=0),
"Bloqueada",
"Desechable")),""
)</f>
        <v/>
      </c>
      <c r="J249" t="str" cm="1">
        <f t="array" aca="1" ref="J249" ca="1">IF(ISNUMBER(A249),IFERROR(_xlfn._xlws.FILTER(Equipar!A:A,(Equipar!B:B=3)*(Equipar!AC:AC=A249)),""),"")</f>
        <v/>
      </c>
    </row>
    <row r="250" spans="1:10" x14ac:dyDescent="0.25">
      <c r="A250" s="1" t="str">
        <f ca="1">IF(A249="ID",1,IF(ISBLANK(B250),"",MAX(A$2:A249)+1))</f>
        <v/>
      </c>
      <c r="I250" s="2" t="str">
        <f ca="1">IF(ISNUMBER(A250),
IF(COUNTIFS(Equipar!B:B,3,Equipar!AC:AC,A250),"Equipada",
IF(
  OR(COUNTIFS(Equipar!B:B,3,Equipar!C:C,A250)
 +COUNTIFS(Equipar!B:B,3,Equipar!D:D,A250)
+COUNTIFS(Equipar!B:B,3,Equipar!E:E,A250)
+COUNTIFS(Equipar!B:B,3,Equipar!F:F,A250)
&gt;0,COUNTIF('Set recomendado'!B:B,C250)=0),
"Bloqueada",
"Desechable")),""
)</f>
        <v/>
      </c>
      <c r="J250" t="str" cm="1">
        <f t="array" aca="1" ref="J250" ca="1">IF(ISNUMBER(A250),IFERROR(_xlfn._xlws.FILTER(Equipar!A:A,(Equipar!B:B=3)*(Equipar!AC:AC=A250)),""),"")</f>
        <v/>
      </c>
    </row>
    <row r="251" spans="1:10" x14ac:dyDescent="0.25">
      <c r="A251" s="1" t="str">
        <f ca="1">IF(A250="ID",1,IF(ISBLANK(B251),"",MAX(A$2:A250)+1))</f>
        <v/>
      </c>
      <c r="I251" s="2" t="str">
        <f ca="1">IF(ISNUMBER(A251),
IF(COUNTIFS(Equipar!B:B,3,Equipar!AC:AC,A251),"Equipada",
IF(
  OR(COUNTIFS(Equipar!B:B,3,Equipar!C:C,A251)
 +COUNTIFS(Equipar!B:B,3,Equipar!D:D,A251)
+COUNTIFS(Equipar!B:B,3,Equipar!E:E,A251)
+COUNTIFS(Equipar!B:B,3,Equipar!F:F,A251)
&gt;0,COUNTIF('Set recomendado'!B:B,C251)=0),
"Bloqueada",
"Desechable")),""
)</f>
        <v/>
      </c>
      <c r="J251" t="str" cm="1">
        <f t="array" aca="1" ref="J251" ca="1">IF(ISNUMBER(A251),IFERROR(_xlfn._xlws.FILTER(Equipar!A:A,(Equipar!B:B=3)*(Equipar!AC:AC=A251)),""),"")</f>
        <v/>
      </c>
    </row>
    <row r="252" spans="1:10" x14ac:dyDescent="0.25">
      <c r="A252" s="1" t="str">
        <f ca="1">IF(A251="ID",1,IF(ISBLANK(B252),"",MAX(A$2:A251)+1))</f>
        <v/>
      </c>
      <c r="I252" s="2" t="str">
        <f ca="1">IF(ISNUMBER(A252),
IF(COUNTIFS(Equipar!B:B,3,Equipar!AC:AC,A252),"Equipada",
IF(
  OR(COUNTIFS(Equipar!B:B,3,Equipar!C:C,A252)
 +COUNTIFS(Equipar!B:B,3,Equipar!D:D,A252)
+COUNTIFS(Equipar!B:B,3,Equipar!E:E,A252)
+COUNTIFS(Equipar!B:B,3,Equipar!F:F,A252)
&gt;0,COUNTIF('Set recomendado'!B:B,C252)=0),
"Bloqueada",
"Desechable")),""
)</f>
        <v/>
      </c>
      <c r="J252" t="str" cm="1">
        <f t="array" aca="1" ref="J252" ca="1">IF(ISNUMBER(A252),IFERROR(_xlfn._xlws.FILTER(Equipar!A:A,(Equipar!B:B=3)*(Equipar!AC:AC=A252)),""),"")</f>
        <v/>
      </c>
    </row>
    <row r="253" spans="1:10" x14ac:dyDescent="0.25">
      <c r="A253" s="1" t="str">
        <f ca="1">IF(A252="ID",1,IF(ISBLANK(B253),"",MAX(A$2:A252)+1))</f>
        <v/>
      </c>
      <c r="I253" s="2" t="str">
        <f ca="1">IF(ISNUMBER(A253),
IF(COUNTIFS(Equipar!B:B,3,Equipar!AC:AC,A253),"Equipada",
IF(
  OR(COUNTIFS(Equipar!B:B,3,Equipar!C:C,A253)
 +COUNTIFS(Equipar!B:B,3,Equipar!D:D,A253)
+COUNTIFS(Equipar!B:B,3,Equipar!E:E,A253)
+COUNTIFS(Equipar!B:B,3,Equipar!F:F,A253)
&gt;0,COUNTIF('Set recomendado'!B:B,C253)=0),
"Bloqueada",
"Desechable")),""
)</f>
        <v/>
      </c>
      <c r="J253" t="str" cm="1">
        <f t="array" aca="1" ref="J253" ca="1">IF(ISNUMBER(A253),IFERROR(_xlfn._xlws.FILTER(Equipar!A:A,(Equipar!B:B=3)*(Equipar!AC:AC=A253)),""),"")</f>
        <v/>
      </c>
    </row>
    <row r="254" spans="1:10" x14ac:dyDescent="0.25">
      <c r="A254" s="1" t="str">
        <f ca="1">IF(A253="ID",1,IF(ISBLANK(B254),"",MAX(A$2:A253)+1))</f>
        <v/>
      </c>
      <c r="I254" s="2" t="str">
        <f ca="1">IF(ISNUMBER(A254),
IF(COUNTIFS(Equipar!B:B,3,Equipar!AC:AC,A254),"Equipada",
IF(
  OR(COUNTIFS(Equipar!B:B,3,Equipar!C:C,A254)
 +COUNTIFS(Equipar!B:B,3,Equipar!D:D,A254)
+COUNTIFS(Equipar!B:B,3,Equipar!E:E,A254)
+COUNTIFS(Equipar!B:B,3,Equipar!F:F,A254)
&gt;0,COUNTIF('Set recomendado'!B:B,C254)=0),
"Bloqueada",
"Desechable")),""
)</f>
        <v/>
      </c>
      <c r="J254" t="str" cm="1">
        <f t="array" aca="1" ref="J254" ca="1">IF(ISNUMBER(A254),IFERROR(_xlfn._xlws.FILTER(Equipar!A:A,(Equipar!B:B=3)*(Equipar!AC:AC=A254)),""),"")</f>
        <v/>
      </c>
    </row>
    <row r="255" spans="1:10" x14ac:dyDescent="0.25">
      <c r="A255" s="1" t="str">
        <f ca="1">IF(A254="ID",1,IF(ISBLANK(B255),"",MAX(A$2:A254)+1))</f>
        <v/>
      </c>
      <c r="I255" s="2" t="str">
        <f ca="1">IF(ISNUMBER(A255),
IF(COUNTIFS(Equipar!B:B,3,Equipar!AC:AC,A255),"Equipada",
IF(
  OR(COUNTIFS(Equipar!B:B,3,Equipar!C:C,A255)
 +COUNTIFS(Equipar!B:B,3,Equipar!D:D,A255)
+COUNTIFS(Equipar!B:B,3,Equipar!E:E,A255)
+COUNTIFS(Equipar!B:B,3,Equipar!F:F,A255)
&gt;0,COUNTIF('Set recomendado'!B:B,C255)=0),
"Bloqueada",
"Desechable")),""
)</f>
        <v/>
      </c>
      <c r="J255" t="str" cm="1">
        <f t="array" aca="1" ref="J255" ca="1">IF(ISNUMBER(A255),IFERROR(_xlfn._xlws.FILTER(Equipar!A:A,(Equipar!B:B=3)*(Equipar!AC:AC=A255)),""),"")</f>
        <v/>
      </c>
    </row>
    <row r="256" spans="1:10" x14ac:dyDescent="0.25">
      <c r="A256" s="1" t="str">
        <f ca="1">IF(A255="ID",1,IF(ISBLANK(B256),"",MAX(A$2:A255)+1))</f>
        <v/>
      </c>
      <c r="I256" s="2" t="str">
        <f ca="1">IF(ISNUMBER(A256),
IF(COUNTIFS(Equipar!B:B,3,Equipar!AC:AC,A256),"Equipada",
IF(
  OR(COUNTIFS(Equipar!B:B,3,Equipar!C:C,A256)
 +COUNTIFS(Equipar!B:B,3,Equipar!D:D,A256)
+COUNTIFS(Equipar!B:B,3,Equipar!E:E,A256)
+COUNTIFS(Equipar!B:B,3,Equipar!F:F,A256)
&gt;0,COUNTIF('Set recomendado'!B:B,C256)=0),
"Bloqueada",
"Desechable")),""
)</f>
        <v/>
      </c>
      <c r="J256" t="str" cm="1">
        <f t="array" aca="1" ref="J256" ca="1">IF(ISNUMBER(A256),IFERROR(_xlfn._xlws.FILTER(Equipar!A:A,(Equipar!B:B=3)*(Equipar!AC:AC=A256)),""),"")</f>
        <v/>
      </c>
    </row>
    <row r="257" spans="1:10" x14ac:dyDescent="0.25">
      <c r="A257" s="1" t="str">
        <f ca="1">IF(A256="ID",1,IF(ISBLANK(B257),"",MAX(A$2:A256)+1))</f>
        <v/>
      </c>
      <c r="I257" s="2" t="str">
        <f ca="1">IF(ISNUMBER(A257),
IF(COUNTIFS(Equipar!B:B,3,Equipar!AC:AC,A257),"Equipada",
IF(
  OR(COUNTIFS(Equipar!B:B,3,Equipar!C:C,A257)
 +COUNTIFS(Equipar!B:B,3,Equipar!D:D,A257)
+COUNTIFS(Equipar!B:B,3,Equipar!E:E,A257)
+COUNTIFS(Equipar!B:B,3,Equipar!F:F,A257)
&gt;0,COUNTIF('Set recomendado'!B:B,C257)=0),
"Bloqueada",
"Desechable")),""
)</f>
        <v/>
      </c>
      <c r="J257" t="str" cm="1">
        <f t="array" aca="1" ref="J257" ca="1">IF(ISNUMBER(A257),IFERROR(_xlfn._xlws.FILTER(Equipar!A:A,(Equipar!B:B=3)*(Equipar!AC:AC=A257)),""),"")</f>
        <v/>
      </c>
    </row>
    <row r="258" spans="1:10" x14ac:dyDescent="0.25">
      <c r="A258" s="1" t="str">
        <f ca="1">IF(A257="ID",1,IF(ISBLANK(B258),"",MAX(A$2:A257)+1))</f>
        <v/>
      </c>
      <c r="I258" s="2" t="str">
        <f ca="1">IF(ISNUMBER(A258),
IF(COUNTIFS(Equipar!B:B,3,Equipar!AC:AC,A258),"Equipada",
IF(
  OR(COUNTIFS(Equipar!B:B,3,Equipar!C:C,A258)
 +COUNTIFS(Equipar!B:B,3,Equipar!D:D,A258)
+COUNTIFS(Equipar!B:B,3,Equipar!E:E,A258)
+COUNTIFS(Equipar!B:B,3,Equipar!F:F,A258)
&gt;0,COUNTIF('Set recomendado'!B:B,C258)=0),
"Bloqueada",
"Desechable")),""
)</f>
        <v/>
      </c>
      <c r="J258" t="str" cm="1">
        <f t="array" aca="1" ref="J258" ca="1">IF(ISNUMBER(A258),IFERROR(_xlfn._xlws.FILTER(Equipar!A:A,(Equipar!B:B=3)*(Equipar!AC:AC=A258)),""),"")</f>
        <v/>
      </c>
    </row>
    <row r="259" spans="1:10" x14ac:dyDescent="0.25">
      <c r="A259" s="1" t="str">
        <f ca="1">IF(A258="ID",1,IF(ISBLANK(B259),"",MAX(A$2:A258)+1))</f>
        <v/>
      </c>
      <c r="I259" s="2" t="str">
        <f ca="1">IF(ISNUMBER(A259),
IF(COUNTIFS(Equipar!B:B,3,Equipar!AC:AC,A259),"Equipada",
IF(
  OR(COUNTIFS(Equipar!B:B,3,Equipar!C:C,A259)
 +COUNTIFS(Equipar!B:B,3,Equipar!D:D,A259)
+COUNTIFS(Equipar!B:B,3,Equipar!E:E,A259)
+COUNTIFS(Equipar!B:B,3,Equipar!F:F,A259)
&gt;0,COUNTIF('Set recomendado'!B:B,C259)=0),
"Bloqueada",
"Desechable")),""
)</f>
        <v/>
      </c>
      <c r="J259" t="str" cm="1">
        <f t="array" aca="1" ref="J259" ca="1">IF(ISNUMBER(A259),IFERROR(_xlfn._xlws.FILTER(Equipar!A:A,(Equipar!B:B=3)*(Equipar!AC:AC=A259)),""),"")</f>
        <v/>
      </c>
    </row>
    <row r="260" spans="1:10" x14ac:dyDescent="0.25">
      <c r="A260" s="1" t="str">
        <f ca="1">IF(A259="ID",1,IF(ISBLANK(B260),"",MAX(A$2:A259)+1))</f>
        <v/>
      </c>
      <c r="I260" s="2" t="str">
        <f ca="1">IF(ISNUMBER(A260),
IF(COUNTIFS(Equipar!B:B,3,Equipar!AC:AC,A260),"Equipada",
IF(
  OR(COUNTIFS(Equipar!B:B,3,Equipar!C:C,A260)
 +COUNTIFS(Equipar!B:B,3,Equipar!D:D,A260)
+COUNTIFS(Equipar!B:B,3,Equipar!E:E,A260)
+COUNTIFS(Equipar!B:B,3,Equipar!F:F,A260)
&gt;0,COUNTIF('Set recomendado'!B:B,C260)=0),
"Bloqueada",
"Desechable")),""
)</f>
        <v/>
      </c>
      <c r="J260" t="str" cm="1">
        <f t="array" aca="1" ref="J260" ca="1">IF(ISNUMBER(A260),IFERROR(_xlfn._xlws.FILTER(Equipar!A:A,(Equipar!B:B=3)*(Equipar!AC:AC=A260)),""),"")</f>
        <v/>
      </c>
    </row>
    <row r="261" spans="1:10" x14ac:dyDescent="0.25">
      <c r="A261" s="1" t="str">
        <f ca="1">IF(A260="ID",1,IF(ISBLANK(B261),"",MAX(A$2:A260)+1))</f>
        <v/>
      </c>
      <c r="I261" s="2" t="str">
        <f ca="1">IF(ISNUMBER(A261),
IF(COUNTIFS(Equipar!B:B,3,Equipar!AC:AC,A261),"Equipada",
IF(
  OR(COUNTIFS(Equipar!B:B,3,Equipar!C:C,A261)
 +COUNTIFS(Equipar!B:B,3,Equipar!D:D,A261)
+COUNTIFS(Equipar!B:B,3,Equipar!E:E,A261)
+COUNTIFS(Equipar!B:B,3,Equipar!F:F,A261)
&gt;0,COUNTIF('Set recomendado'!B:B,C261)=0),
"Bloqueada",
"Desechable")),""
)</f>
        <v/>
      </c>
      <c r="J261" t="str" cm="1">
        <f t="array" aca="1" ref="J261" ca="1">IF(ISNUMBER(A261),IFERROR(_xlfn._xlws.FILTER(Equipar!A:A,(Equipar!B:B=3)*(Equipar!AC:AC=A261)),""),"")</f>
        <v/>
      </c>
    </row>
    <row r="262" spans="1:10" x14ac:dyDescent="0.25">
      <c r="A262" s="1" t="str">
        <f ca="1">IF(A261="ID",1,IF(ISBLANK(B262),"",MAX(A$2:A261)+1))</f>
        <v/>
      </c>
      <c r="I262" s="2" t="str">
        <f ca="1">IF(ISNUMBER(A262),
IF(COUNTIFS(Equipar!B:B,3,Equipar!AC:AC,A262),"Equipada",
IF(
  OR(COUNTIFS(Equipar!B:B,3,Equipar!C:C,A262)
 +COUNTIFS(Equipar!B:B,3,Equipar!D:D,A262)
+COUNTIFS(Equipar!B:B,3,Equipar!E:E,A262)
+COUNTIFS(Equipar!B:B,3,Equipar!F:F,A262)
&gt;0,COUNTIF('Set recomendado'!B:B,C262)=0),
"Bloqueada",
"Desechable")),""
)</f>
        <v/>
      </c>
      <c r="J262" t="str" cm="1">
        <f t="array" aca="1" ref="J262" ca="1">IF(ISNUMBER(A262),IFERROR(_xlfn._xlws.FILTER(Equipar!A:A,(Equipar!B:B=3)*(Equipar!AC:AC=A262)),""),"")</f>
        <v/>
      </c>
    </row>
    <row r="263" spans="1:10" x14ac:dyDescent="0.25">
      <c r="A263" s="1" t="str">
        <f ca="1">IF(A262="ID",1,IF(ISBLANK(B263),"",MAX(A$2:A262)+1))</f>
        <v/>
      </c>
      <c r="I263" s="2" t="str">
        <f ca="1">IF(ISNUMBER(A263),
IF(COUNTIFS(Equipar!B:B,3,Equipar!AC:AC,A263),"Equipada",
IF(
  OR(COUNTIFS(Equipar!B:B,3,Equipar!C:C,A263)
 +COUNTIFS(Equipar!B:B,3,Equipar!D:D,A263)
+COUNTIFS(Equipar!B:B,3,Equipar!E:E,A263)
+COUNTIFS(Equipar!B:B,3,Equipar!F:F,A263)
&gt;0,COUNTIF('Set recomendado'!B:B,C263)=0),
"Bloqueada",
"Desechable")),""
)</f>
        <v/>
      </c>
      <c r="J263" t="str" cm="1">
        <f t="array" aca="1" ref="J263" ca="1">IF(ISNUMBER(A263),IFERROR(_xlfn._xlws.FILTER(Equipar!A:A,(Equipar!B:B=3)*(Equipar!AC:AC=A263)),""),"")</f>
        <v/>
      </c>
    </row>
    <row r="264" spans="1:10" x14ac:dyDescent="0.25">
      <c r="A264" s="1" t="str">
        <f ca="1">IF(A263="ID",1,IF(ISBLANK(B264),"",MAX(A$2:A263)+1))</f>
        <v/>
      </c>
      <c r="I264" s="2" t="str">
        <f ca="1">IF(ISNUMBER(A264),
IF(COUNTIFS(Equipar!B:B,3,Equipar!AC:AC,A264),"Equipada",
IF(
  OR(COUNTIFS(Equipar!B:B,3,Equipar!C:C,A264)
 +COUNTIFS(Equipar!B:B,3,Equipar!D:D,A264)
+COUNTIFS(Equipar!B:B,3,Equipar!E:E,A264)
+COUNTIFS(Equipar!B:B,3,Equipar!F:F,A264)
&gt;0,COUNTIF('Set recomendado'!B:B,C264)=0),
"Bloqueada",
"Desechable")),""
)</f>
        <v/>
      </c>
      <c r="J264" t="str" cm="1">
        <f t="array" aca="1" ref="J264" ca="1">IF(ISNUMBER(A264),IFERROR(_xlfn._xlws.FILTER(Equipar!A:A,(Equipar!B:B=3)*(Equipar!AC:AC=A264)),""),"")</f>
        <v/>
      </c>
    </row>
    <row r="265" spans="1:10" x14ac:dyDescent="0.25">
      <c r="A265" s="1" t="str">
        <f ca="1">IF(A264="ID",1,IF(ISBLANK(B265),"",MAX(A$2:A264)+1))</f>
        <v/>
      </c>
      <c r="I265" s="2" t="str">
        <f ca="1">IF(ISNUMBER(A265),
IF(COUNTIFS(Equipar!B:B,3,Equipar!AC:AC,A265),"Equipada",
IF(
  OR(COUNTIFS(Equipar!B:B,3,Equipar!C:C,A265)
 +COUNTIFS(Equipar!B:B,3,Equipar!D:D,A265)
+COUNTIFS(Equipar!B:B,3,Equipar!E:E,A265)
+COUNTIFS(Equipar!B:B,3,Equipar!F:F,A265)
&gt;0,COUNTIF('Set recomendado'!B:B,C265)=0),
"Bloqueada",
"Desechable")),""
)</f>
        <v/>
      </c>
      <c r="J265" t="str" cm="1">
        <f t="array" aca="1" ref="J265" ca="1">IF(ISNUMBER(A265),IFERROR(_xlfn._xlws.FILTER(Equipar!A:A,(Equipar!B:B=3)*(Equipar!AC:AC=A265)),""),"")</f>
        <v/>
      </c>
    </row>
    <row r="266" spans="1:10" x14ac:dyDescent="0.25">
      <c r="A266" s="1" t="str">
        <f ca="1">IF(A265="ID",1,IF(ISBLANK(B266),"",MAX(A$2:A265)+1))</f>
        <v/>
      </c>
      <c r="I266" s="2" t="str">
        <f ca="1">IF(ISNUMBER(A266),
IF(COUNTIFS(Equipar!B:B,3,Equipar!AC:AC,A266),"Equipada",
IF(
  OR(COUNTIFS(Equipar!B:B,3,Equipar!C:C,A266)
 +COUNTIFS(Equipar!B:B,3,Equipar!D:D,A266)
+COUNTIFS(Equipar!B:B,3,Equipar!E:E,A266)
+COUNTIFS(Equipar!B:B,3,Equipar!F:F,A266)
&gt;0,COUNTIF('Set recomendado'!B:B,C266)=0),
"Bloqueada",
"Desechable")),""
)</f>
        <v/>
      </c>
      <c r="J266" t="str" cm="1">
        <f t="array" aca="1" ref="J266" ca="1">IF(ISNUMBER(A266),IFERROR(_xlfn._xlws.FILTER(Equipar!A:A,(Equipar!B:B=3)*(Equipar!AC:AC=A266)),""),"")</f>
        <v/>
      </c>
    </row>
    <row r="267" spans="1:10" x14ac:dyDescent="0.25">
      <c r="A267" s="1" t="str">
        <f ca="1">IF(A266="ID",1,IF(ISBLANK(B267),"",MAX(A$2:A266)+1))</f>
        <v/>
      </c>
      <c r="I267" s="2" t="str">
        <f ca="1">IF(ISNUMBER(A267),
IF(COUNTIFS(Equipar!B:B,3,Equipar!AC:AC,A267),"Equipada",
IF(
  OR(COUNTIFS(Equipar!B:B,3,Equipar!C:C,A267)
 +COUNTIFS(Equipar!B:B,3,Equipar!D:D,A267)
+COUNTIFS(Equipar!B:B,3,Equipar!E:E,A267)
+COUNTIFS(Equipar!B:B,3,Equipar!F:F,A267)
&gt;0,COUNTIF('Set recomendado'!B:B,C267)=0),
"Bloqueada",
"Desechable")),""
)</f>
        <v/>
      </c>
      <c r="J267" t="str" cm="1">
        <f t="array" aca="1" ref="J267" ca="1">IF(ISNUMBER(A267),IFERROR(_xlfn._xlws.FILTER(Equipar!A:A,(Equipar!B:B=3)*(Equipar!AC:AC=A267)),""),"")</f>
        <v/>
      </c>
    </row>
    <row r="268" spans="1:10" x14ac:dyDescent="0.25">
      <c r="A268" s="1" t="str">
        <f ca="1">IF(A267="ID",1,IF(ISBLANK(B268),"",MAX(A$2:A267)+1))</f>
        <v/>
      </c>
      <c r="I268" s="2" t="str">
        <f ca="1">IF(ISNUMBER(A268),
IF(COUNTIFS(Equipar!B:B,3,Equipar!AC:AC,A268),"Equipada",
IF(
  OR(COUNTIFS(Equipar!B:B,3,Equipar!C:C,A268)
 +COUNTIFS(Equipar!B:B,3,Equipar!D:D,A268)
+COUNTIFS(Equipar!B:B,3,Equipar!E:E,A268)
+COUNTIFS(Equipar!B:B,3,Equipar!F:F,A268)
&gt;0,COUNTIF('Set recomendado'!B:B,C268)=0),
"Bloqueada",
"Desechable")),""
)</f>
        <v/>
      </c>
      <c r="J268" t="str" cm="1">
        <f t="array" aca="1" ref="J268" ca="1">IF(ISNUMBER(A268),IFERROR(_xlfn._xlws.FILTER(Equipar!A:A,(Equipar!B:B=3)*(Equipar!AC:AC=A268)),""),"")</f>
        <v/>
      </c>
    </row>
    <row r="269" spans="1:10" x14ac:dyDescent="0.25">
      <c r="A269" s="1" t="str">
        <f ca="1">IF(A268="ID",1,IF(ISBLANK(B269),"",MAX(A$2:A268)+1))</f>
        <v/>
      </c>
      <c r="I269" s="2" t="str">
        <f ca="1">IF(ISNUMBER(A269),
IF(COUNTIFS(Equipar!B:B,3,Equipar!AC:AC,A269),"Equipada",
IF(
  OR(COUNTIFS(Equipar!B:B,3,Equipar!C:C,A269)
 +COUNTIFS(Equipar!B:B,3,Equipar!D:D,A269)
+COUNTIFS(Equipar!B:B,3,Equipar!E:E,A269)
+COUNTIFS(Equipar!B:B,3,Equipar!F:F,A269)
&gt;0,COUNTIF('Set recomendado'!B:B,C269)=0),
"Bloqueada",
"Desechable")),""
)</f>
        <v/>
      </c>
      <c r="J269" t="str" cm="1">
        <f t="array" aca="1" ref="J269" ca="1">IF(ISNUMBER(A269),IFERROR(_xlfn._xlws.FILTER(Equipar!A:A,(Equipar!B:B=3)*(Equipar!AC:AC=A269)),""),"")</f>
        <v/>
      </c>
    </row>
    <row r="270" spans="1:10" x14ac:dyDescent="0.25">
      <c r="A270" s="1" t="str">
        <f ca="1">IF(A269="ID",1,IF(ISBLANK(B270),"",MAX(A$2:A269)+1))</f>
        <v/>
      </c>
      <c r="I270" s="2" t="str">
        <f ca="1">IF(ISNUMBER(A270),
IF(COUNTIFS(Equipar!B:B,3,Equipar!AC:AC,A270),"Equipada",
IF(
  OR(COUNTIFS(Equipar!B:B,3,Equipar!C:C,A270)
 +COUNTIFS(Equipar!B:B,3,Equipar!D:D,A270)
+COUNTIFS(Equipar!B:B,3,Equipar!E:E,A270)
+COUNTIFS(Equipar!B:B,3,Equipar!F:F,A270)
&gt;0,COUNTIF('Set recomendado'!B:B,C270)=0),
"Bloqueada",
"Desechable")),""
)</f>
        <v/>
      </c>
      <c r="J270" t="str" cm="1">
        <f t="array" aca="1" ref="J270" ca="1">IF(ISNUMBER(A270),IFERROR(_xlfn._xlws.FILTER(Equipar!A:A,(Equipar!B:B=3)*(Equipar!AC:AC=A270)),""),"")</f>
        <v/>
      </c>
    </row>
    <row r="271" spans="1:10" x14ac:dyDescent="0.25">
      <c r="A271" s="1" t="str">
        <f ca="1">IF(A270="ID",1,IF(ISBLANK(B271),"",MAX(A$2:A270)+1))</f>
        <v/>
      </c>
      <c r="I271" s="2" t="str">
        <f ca="1">IF(ISNUMBER(A271),
IF(COUNTIFS(Equipar!B:B,3,Equipar!AC:AC,A271),"Equipada",
IF(
  OR(COUNTIFS(Equipar!B:B,3,Equipar!C:C,A271)
 +COUNTIFS(Equipar!B:B,3,Equipar!D:D,A271)
+COUNTIFS(Equipar!B:B,3,Equipar!E:E,A271)
+COUNTIFS(Equipar!B:B,3,Equipar!F:F,A271)
&gt;0,COUNTIF('Set recomendado'!B:B,C271)=0),
"Bloqueada",
"Desechable")),""
)</f>
        <v/>
      </c>
      <c r="J271" t="str" cm="1">
        <f t="array" aca="1" ref="J271" ca="1">IF(ISNUMBER(A271),IFERROR(_xlfn._xlws.FILTER(Equipar!A:A,(Equipar!B:B=3)*(Equipar!AC:AC=A271)),""),"")</f>
        <v/>
      </c>
    </row>
    <row r="272" spans="1:10" x14ac:dyDescent="0.25">
      <c r="A272" s="1" t="str">
        <f ca="1">IF(A271="ID",1,IF(ISBLANK(B272),"",MAX(A$2:A271)+1))</f>
        <v/>
      </c>
      <c r="I272" s="2" t="str">
        <f ca="1">IF(ISNUMBER(A272),
IF(COUNTIFS(Equipar!B:B,3,Equipar!AC:AC,A272),"Equipada",
IF(
  OR(COUNTIFS(Equipar!B:B,3,Equipar!C:C,A272)
 +COUNTIFS(Equipar!B:B,3,Equipar!D:D,A272)
+COUNTIFS(Equipar!B:B,3,Equipar!E:E,A272)
+COUNTIFS(Equipar!B:B,3,Equipar!F:F,A272)
&gt;0,COUNTIF('Set recomendado'!B:B,C272)=0),
"Bloqueada",
"Desechable")),""
)</f>
        <v/>
      </c>
      <c r="J272" t="str" cm="1">
        <f t="array" aca="1" ref="J272" ca="1">IF(ISNUMBER(A272),IFERROR(_xlfn._xlws.FILTER(Equipar!A:A,(Equipar!B:B=3)*(Equipar!AC:AC=A272)),""),"")</f>
        <v/>
      </c>
    </row>
    <row r="273" spans="1:10" x14ac:dyDescent="0.25">
      <c r="A273" s="1" t="str">
        <f ca="1">IF(A272="ID",1,IF(ISBLANK(B273),"",MAX(A$2:A272)+1))</f>
        <v/>
      </c>
      <c r="I273" s="2" t="str">
        <f ca="1">IF(ISNUMBER(A273),
IF(COUNTIFS(Equipar!B:B,3,Equipar!AC:AC,A273),"Equipada",
IF(
  OR(COUNTIFS(Equipar!B:B,3,Equipar!C:C,A273)
 +COUNTIFS(Equipar!B:B,3,Equipar!D:D,A273)
+COUNTIFS(Equipar!B:B,3,Equipar!E:E,A273)
+COUNTIFS(Equipar!B:B,3,Equipar!F:F,A273)
&gt;0,COUNTIF('Set recomendado'!B:B,C273)=0),
"Bloqueada",
"Desechable")),""
)</f>
        <v/>
      </c>
      <c r="J273" t="str" cm="1">
        <f t="array" aca="1" ref="J273" ca="1">IF(ISNUMBER(A273),IFERROR(_xlfn._xlws.FILTER(Equipar!A:A,(Equipar!B:B=3)*(Equipar!AC:AC=A273)),""),"")</f>
        <v/>
      </c>
    </row>
    <row r="274" spans="1:10" x14ac:dyDescent="0.25">
      <c r="A274" s="1" t="str">
        <f ca="1">IF(A273="ID",1,IF(ISBLANK(B274),"",MAX(A$2:A273)+1))</f>
        <v/>
      </c>
      <c r="I274" s="2" t="str">
        <f ca="1">IF(ISNUMBER(A274),
IF(COUNTIFS(Equipar!B:B,3,Equipar!AC:AC,A274),"Equipada",
IF(
  OR(COUNTIFS(Equipar!B:B,3,Equipar!C:C,A274)
 +COUNTIFS(Equipar!B:B,3,Equipar!D:D,A274)
+COUNTIFS(Equipar!B:B,3,Equipar!E:E,A274)
+COUNTIFS(Equipar!B:B,3,Equipar!F:F,A274)
&gt;0,COUNTIF('Set recomendado'!B:B,C274)=0),
"Bloqueada",
"Desechable")),""
)</f>
        <v/>
      </c>
      <c r="J274" t="str" cm="1">
        <f t="array" aca="1" ref="J274" ca="1">IF(ISNUMBER(A274),IFERROR(_xlfn._xlws.FILTER(Equipar!A:A,(Equipar!B:B=3)*(Equipar!AC:AC=A274)),""),"")</f>
        <v/>
      </c>
    </row>
    <row r="275" spans="1:10" x14ac:dyDescent="0.25">
      <c r="A275" s="1" t="str">
        <f ca="1">IF(A274="ID",1,IF(ISBLANK(B275),"",MAX(A$2:A274)+1))</f>
        <v/>
      </c>
      <c r="I275" s="2" t="str">
        <f ca="1">IF(ISNUMBER(A275),
IF(COUNTIFS(Equipar!B:B,3,Equipar!AC:AC,A275),"Equipada",
IF(
  OR(COUNTIFS(Equipar!B:B,3,Equipar!C:C,A275)
 +COUNTIFS(Equipar!B:B,3,Equipar!D:D,A275)
+COUNTIFS(Equipar!B:B,3,Equipar!E:E,A275)
+COUNTIFS(Equipar!B:B,3,Equipar!F:F,A275)
&gt;0,COUNTIF('Set recomendado'!B:B,C275)=0),
"Bloqueada",
"Desechable")),""
)</f>
        <v/>
      </c>
      <c r="J275" t="str" cm="1">
        <f t="array" aca="1" ref="J275" ca="1">IF(ISNUMBER(A275),IFERROR(_xlfn._xlws.FILTER(Equipar!A:A,(Equipar!B:B=3)*(Equipar!AC:AC=A275)),""),"")</f>
        <v/>
      </c>
    </row>
    <row r="276" spans="1:10" x14ac:dyDescent="0.25">
      <c r="A276" s="1" t="str">
        <f ca="1">IF(A275="ID",1,IF(ISBLANK(B276),"",MAX(A$2:A275)+1))</f>
        <v/>
      </c>
      <c r="I276" s="2" t="str">
        <f ca="1">IF(ISNUMBER(A276),
IF(COUNTIFS(Equipar!B:B,3,Equipar!AC:AC,A276),"Equipada",
IF(
  OR(COUNTIFS(Equipar!B:B,3,Equipar!C:C,A276)
 +COUNTIFS(Equipar!B:B,3,Equipar!D:D,A276)
+COUNTIFS(Equipar!B:B,3,Equipar!E:E,A276)
+COUNTIFS(Equipar!B:B,3,Equipar!F:F,A276)
&gt;0,COUNTIF('Set recomendado'!B:B,C276)=0),
"Bloqueada",
"Desechable")),""
)</f>
        <v/>
      </c>
      <c r="J276" t="str" cm="1">
        <f t="array" aca="1" ref="J276" ca="1">IF(ISNUMBER(A276),IFERROR(_xlfn._xlws.FILTER(Equipar!A:A,(Equipar!B:B=3)*(Equipar!AC:AC=A276)),""),"")</f>
        <v/>
      </c>
    </row>
    <row r="277" spans="1:10" x14ac:dyDescent="0.25">
      <c r="A277" s="1" t="str">
        <f ca="1">IF(A276="ID",1,IF(ISBLANK(B277),"",MAX(A$2:A276)+1))</f>
        <v/>
      </c>
      <c r="I277" s="2" t="str">
        <f ca="1">IF(ISNUMBER(A277),
IF(COUNTIFS(Equipar!B:B,3,Equipar!AC:AC,A277),"Equipada",
IF(
  OR(COUNTIFS(Equipar!B:B,3,Equipar!C:C,A277)
 +COUNTIFS(Equipar!B:B,3,Equipar!D:D,A277)
+COUNTIFS(Equipar!B:B,3,Equipar!E:E,A277)
+COUNTIFS(Equipar!B:B,3,Equipar!F:F,A277)
&gt;0,COUNTIF('Set recomendado'!B:B,C277)=0),
"Bloqueada",
"Desechable")),""
)</f>
        <v/>
      </c>
      <c r="J277" t="str" cm="1">
        <f t="array" aca="1" ref="J277" ca="1">IF(ISNUMBER(A277),IFERROR(_xlfn._xlws.FILTER(Equipar!A:A,(Equipar!B:B=3)*(Equipar!AC:AC=A277)),""),"")</f>
        <v/>
      </c>
    </row>
    <row r="278" spans="1:10" x14ac:dyDescent="0.25">
      <c r="A278" s="1" t="str">
        <f ca="1">IF(A277="ID",1,IF(ISBLANK(B278),"",MAX(A$2:A277)+1))</f>
        <v/>
      </c>
      <c r="I278" s="2" t="str">
        <f ca="1">IF(ISNUMBER(A278),
IF(COUNTIFS(Equipar!B:B,3,Equipar!AC:AC,A278),"Equipada",
IF(
  OR(COUNTIFS(Equipar!B:B,3,Equipar!C:C,A278)
 +COUNTIFS(Equipar!B:B,3,Equipar!D:D,A278)
+COUNTIFS(Equipar!B:B,3,Equipar!E:E,A278)
+COUNTIFS(Equipar!B:B,3,Equipar!F:F,A278)
&gt;0,COUNTIF('Set recomendado'!B:B,C278)=0),
"Bloqueada",
"Desechable")),""
)</f>
        <v/>
      </c>
      <c r="J278" t="str" cm="1">
        <f t="array" aca="1" ref="J278" ca="1">IF(ISNUMBER(A278),IFERROR(_xlfn._xlws.FILTER(Equipar!A:A,(Equipar!B:B=3)*(Equipar!AC:AC=A278)),""),"")</f>
        <v/>
      </c>
    </row>
    <row r="279" spans="1:10" x14ac:dyDescent="0.25">
      <c r="A279" s="1" t="str">
        <f ca="1">IF(A278="ID",1,IF(ISBLANK(B279),"",MAX(A$2:A278)+1))</f>
        <v/>
      </c>
      <c r="I279" s="2" t="str">
        <f ca="1">IF(ISNUMBER(A279),
IF(COUNTIFS(Equipar!B:B,3,Equipar!AC:AC,A279),"Equipada",
IF(
  OR(COUNTIFS(Equipar!B:B,3,Equipar!C:C,A279)
 +COUNTIFS(Equipar!B:B,3,Equipar!D:D,A279)
+COUNTIFS(Equipar!B:B,3,Equipar!E:E,A279)
+COUNTIFS(Equipar!B:B,3,Equipar!F:F,A279)
&gt;0,COUNTIF('Set recomendado'!B:B,C279)=0),
"Bloqueada",
"Desechable")),""
)</f>
        <v/>
      </c>
      <c r="J279" t="str" cm="1">
        <f t="array" aca="1" ref="J279" ca="1">IF(ISNUMBER(A279),IFERROR(_xlfn._xlws.FILTER(Equipar!A:A,(Equipar!B:B=3)*(Equipar!AC:AC=A279)),""),"")</f>
        <v/>
      </c>
    </row>
    <row r="280" spans="1:10" x14ac:dyDescent="0.25">
      <c r="A280" s="1" t="str">
        <f ca="1">IF(A279="ID",1,IF(ISBLANK(B280),"",MAX(A$2:A279)+1))</f>
        <v/>
      </c>
      <c r="I280" s="2" t="str">
        <f ca="1">IF(ISNUMBER(A280),
IF(COUNTIFS(Equipar!B:B,3,Equipar!AC:AC,A280),"Equipada",
IF(
  OR(COUNTIFS(Equipar!B:B,3,Equipar!C:C,A280)
 +COUNTIFS(Equipar!B:B,3,Equipar!D:D,A280)
+COUNTIFS(Equipar!B:B,3,Equipar!E:E,A280)
+COUNTIFS(Equipar!B:B,3,Equipar!F:F,A280)
&gt;0,COUNTIF('Set recomendado'!B:B,C280)=0),
"Bloqueada",
"Desechable")),""
)</f>
        <v/>
      </c>
      <c r="J280" t="str" cm="1">
        <f t="array" aca="1" ref="J280" ca="1">IF(ISNUMBER(A280),IFERROR(_xlfn._xlws.FILTER(Equipar!A:A,(Equipar!B:B=3)*(Equipar!AC:AC=A280)),""),"")</f>
        <v/>
      </c>
    </row>
    <row r="281" spans="1:10" x14ac:dyDescent="0.25">
      <c r="A281" s="1" t="str">
        <f ca="1">IF(A280="ID",1,IF(ISBLANK(B281),"",MAX(A$2:A280)+1))</f>
        <v/>
      </c>
      <c r="I281" s="2" t="str">
        <f ca="1">IF(ISNUMBER(A281),
IF(COUNTIFS(Equipar!B:B,3,Equipar!AC:AC,A281),"Equipada",
IF(
  OR(COUNTIFS(Equipar!B:B,3,Equipar!C:C,A281)
 +COUNTIFS(Equipar!B:B,3,Equipar!D:D,A281)
+COUNTIFS(Equipar!B:B,3,Equipar!E:E,A281)
+COUNTIFS(Equipar!B:B,3,Equipar!F:F,A281)
&gt;0,COUNTIF('Set recomendado'!B:B,C281)=0),
"Bloqueada",
"Desechable")),""
)</f>
        <v/>
      </c>
      <c r="J281" t="str" cm="1">
        <f t="array" aca="1" ref="J281" ca="1">IF(ISNUMBER(A281),IFERROR(_xlfn._xlws.FILTER(Equipar!A:A,(Equipar!B:B=3)*(Equipar!AC:AC=A281)),""),"")</f>
        <v/>
      </c>
    </row>
    <row r="282" spans="1:10" x14ac:dyDescent="0.25">
      <c r="A282" s="1" t="str">
        <f ca="1">IF(A281="ID",1,IF(ISBLANK(B282),"",MAX(A$2:A281)+1))</f>
        <v/>
      </c>
      <c r="I282" s="2" t="str">
        <f ca="1">IF(ISNUMBER(A282),
IF(COUNTIFS(Equipar!B:B,3,Equipar!AC:AC,A282),"Equipada",
IF(
  OR(COUNTIFS(Equipar!B:B,3,Equipar!C:C,A282)
 +COUNTIFS(Equipar!B:B,3,Equipar!D:D,A282)
+COUNTIFS(Equipar!B:B,3,Equipar!E:E,A282)
+COUNTIFS(Equipar!B:B,3,Equipar!F:F,A282)
&gt;0,COUNTIF('Set recomendado'!B:B,C282)=0),
"Bloqueada",
"Desechable")),""
)</f>
        <v/>
      </c>
      <c r="J282" t="str" cm="1">
        <f t="array" aca="1" ref="J282" ca="1">IF(ISNUMBER(A282),IFERROR(_xlfn._xlws.FILTER(Equipar!A:A,(Equipar!B:B=3)*(Equipar!AC:AC=A282)),""),"")</f>
        <v/>
      </c>
    </row>
    <row r="283" spans="1:10" x14ac:dyDescent="0.25">
      <c r="A283" s="1" t="str">
        <f ca="1">IF(A282="ID",1,IF(ISBLANK(B283),"",MAX(A$2:A282)+1))</f>
        <v/>
      </c>
      <c r="I283" s="2" t="str">
        <f ca="1">IF(ISNUMBER(A283),
IF(COUNTIFS(Equipar!B:B,3,Equipar!AC:AC,A283),"Equipada",
IF(
  OR(COUNTIFS(Equipar!B:B,3,Equipar!C:C,A283)
 +COUNTIFS(Equipar!B:B,3,Equipar!D:D,A283)
+COUNTIFS(Equipar!B:B,3,Equipar!E:E,A283)
+COUNTIFS(Equipar!B:B,3,Equipar!F:F,A283)
&gt;0,COUNTIF('Set recomendado'!B:B,C283)=0),
"Bloqueada",
"Desechable")),""
)</f>
        <v/>
      </c>
      <c r="J283" t="str" cm="1">
        <f t="array" aca="1" ref="J283" ca="1">IF(ISNUMBER(A283),IFERROR(_xlfn._xlws.FILTER(Equipar!A:A,(Equipar!B:B=3)*(Equipar!AC:AC=A283)),""),"")</f>
        <v/>
      </c>
    </row>
    <row r="284" spans="1:10" x14ac:dyDescent="0.25">
      <c r="A284" s="1" t="str">
        <f ca="1">IF(A283="ID",1,IF(ISBLANK(B284),"",MAX(A$2:A283)+1))</f>
        <v/>
      </c>
      <c r="I284" s="2" t="str">
        <f ca="1">IF(ISNUMBER(A284),
IF(COUNTIFS(Equipar!B:B,3,Equipar!AC:AC,A284),"Equipada",
IF(
  OR(COUNTIFS(Equipar!B:B,3,Equipar!C:C,A284)
 +COUNTIFS(Equipar!B:B,3,Equipar!D:D,A284)
+COUNTIFS(Equipar!B:B,3,Equipar!E:E,A284)
+COUNTIFS(Equipar!B:B,3,Equipar!F:F,A284)
&gt;0,COUNTIF('Set recomendado'!B:B,C284)=0),
"Bloqueada",
"Desechable")),""
)</f>
        <v/>
      </c>
      <c r="J284" t="str" cm="1">
        <f t="array" aca="1" ref="J284" ca="1">IF(ISNUMBER(A284),IFERROR(_xlfn._xlws.FILTER(Equipar!A:A,(Equipar!B:B=3)*(Equipar!AC:AC=A284)),""),"")</f>
        <v/>
      </c>
    </row>
    <row r="285" spans="1:10" x14ac:dyDescent="0.25">
      <c r="A285" s="1" t="str">
        <f ca="1">IF(A284="ID",1,IF(ISBLANK(B285),"",MAX(A$2:A284)+1))</f>
        <v/>
      </c>
      <c r="I285" s="2" t="str">
        <f ca="1">IF(ISNUMBER(A285),
IF(COUNTIFS(Equipar!B:B,3,Equipar!AC:AC,A285),"Equipada",
IF(
  OR(COUNTIFS(Equipar!B:B,3,Equipar!C:C,A285)
 +COUNTIFS(Equipar!B:B,3,Equipar!D:D,A285)
+COUNTIFS(Equipar!B:B,3,Equipar!E:E,A285)
+COUNTIFS(Equipar!B:B,3,Equipar!F:F,A285)
&gt;0,COUNTIF('Set recomendado'!B:B,C285)=0),
"Bloqueada",
"Desechable")),""
)</f>
        <v/>
      </c>
      <c r="J285" t="str" cm="1">
        <f t="array" aca="1" ref="J285" ca="1">IF(ISNUMBER(A285),IFERROR(_xlfn._xlws.FILTER(Equipar!A:A,(Equipar!B:B=3)*(Equipar!AC:AC=A285)),""),"")</f>
        <v/>
      </c>
    </row>
    <row r="286" spans="1:10" x14ac:dyDescent="0.25">
      <c r="A286" s="1" t="str">
        <f ca="1">IF(A285="ID",1,IF(ISBLANK(B286),"",MAX(A$2:A285)+1))</f>
        <v/>
      </c>
      <c r="I286" s="2" t="str">
        <f ca="1">IF(ISNUMBER(A286),
IF(COUNTIFS(Equipar!B:B,3,Equipar!AC:AC,A286),"Equipada",
IF(
  OR(COUNTIFS(Equipar!B:B,3,Equipar!C:C,A286)
 +COUNTIFS(Equipar!B:B,3,Equipar!D:D,A286)
+COUNTIFS(Equipar!B:B,3,Equipar!E:E,A286)
+COUNTIFS(Equipar!B:B,3,Equipar!F:F,A286)
&gt;0,COUNTIF('Set recomendado'!B:B,C286)=0),
"Bloqueada",
"Desechable")),""
)</f>
        <v/>
      </c>
      <c r="J286" t="str" cm="1">
        <f t="array" aca="1" ref="J286" ca="1">IF(ISNUMBER(A286),IFERROR(_xlfn._xlws.FILTER(Equipar!A:A,(Equipar!B:B=3)*(Equipar!AC:AC=A286)),""),"")</f>
        <v/>
      </c>
    </row>
    <row r="287" spans="1:10" x14ac:dyDescent="0.25">
      <c r="A287" s="1" t="str">
        <f ca="1">IF(A286="ID",1,IF(ISBLANK(B287),"",MAX(A$2:A286)+1))</f>
        <v/>
      </c>
      <c r="I287" s="2" t="str">
        <f ca="1">IF(ISNUMBER(A287),
IF(COUNTIFS(Equipar!B:B,3,Equipar!AC:AC,A287),"Equipada",
IF(
  OR(COUNTIFS(Equipar!B:B,3,Equipar!C:C,A287)
 +COUNTIFS(Equipar!B:B,3,Equipar!D:D,A287)
+COUNTIFS(Equipar!B:B,3,Equipar!E:E,A287)
+COUNTIFS(Equipar!B:B,3,Equipar!F:F,A287)
&gt;0,COUNTIF('Set recomendado'!B:B,C287)=0),
"Bloqueada",
"Desechable")),""
)</f>
        <v/>
      </c>
      <c r="J287" t="str" cm="1">
        <f t="array" aca="1" ref="J287" ca="1">IF(ISNUMBER(A287),IFERROR(_xlfn._xlws.FILTER(Equipar!A:A,(Equipar!B:B=3)*(Equipar!AC:AC=A287)),""),"")</f>
        <v/>
      </c>
    </row>
    <row r="288" spans="1:10" x14ac:dyDescent="0.25">
      <c r="A288" s="1" t="str">
        <f ca="1">IF(A287="ID",1,IF(ISBLANK(B288),"",MAX(A$2:A287)+1))</f>
        <v/>
      </c>
      <c r="I288" s="2" t="str">
        <f ca="1">IF(ISNUMBER(A288),
IF(COUNTIFS(Equipar!B:B,3,Equipar!AC:AC,A288),"Equipada",
IF(
  OR(COUNTIFS(Equipar!B:B,3,Equipar!C:C,A288)
 +COUNTIFS(Equipar!B:B,3,Equipar!D:D,A288)
+COUNTIFS(Equipar!B:B,3,Equipar!E:E,A288)
+COUNTIFS(Equipar!B:B,3,Equipar!F:F,A288)
&gt;0,COUNTIF('Set recomendado'!B:B,C288)=0),
"Bloqueada",
"Desechable")),""
)</f>
        <v/>
      </c>
      <c r="J288" t="str" cm="1">
        <f t="array" aca="1" ref="J288" ca="1">IF(ISNUMBER(A288),IFERROR(_xlfn._xlws.FILTER(Equipar!A:A,(Equipar!B:B=3)*(Equipar!AC:AC=A288)),""),"")</f>
        <v/>
      </c>
    </row>
    <row r="289" spans="1:10" x14ac:dyDescent="0.25">
      <c r="A289" s="1" t="str">
        <f ca="1">IF(A288="ID",1,IF(ISBLANK(B289),"",MAX(A$2:A288)+1))</f>
        <v/>
      </c>
      <c r="I289" s="2" t="str">
        <f ca="1">IF(ISNUMBER(A289),
IF(COUNTIFS(Equipar!B:B,3,Equipar!AC:AC,A289),"Equipada",
IF(
  OR(COUNTIFS(Equipar!B:B,3,Equipar!C:C,A289)
 +COUNTIFS(Equipar!B:B,3,Equipar!D:D,A289)
+COUNTIFS(Equipar!B:B,3,Equipar!E:E,A289)
+COUNTIFS(Equipar!B:B,3,Equipar!F:F,A289)
&gt;0,COUNTIF('Set recomendado'!B:B,C289)=0),
"Bloqueada",
"Desechable")),""
)</f>
        <v/>
      </c>
      <c r="J289" t="str" cm="1">
        <f t="array" aca="1" ref="J289" ca="1">IF(ISNUMBER(A289),IFERROR(_xlfn._xlws.FILTER(Equipar!A:A,(Equipar!B:B=3)*(Equipar!AC:AC=A289)),""),"")</f>
        <v/>
      </c>
    </row>
    <row r="290" spans="1:10" x14ac:dyDescent="0.25">
      <c r="A290" s="1" t="str">
        <f ca="1">IF(A289="ID",1,IF(ISBLANK(B290),"",MAX(A$2:A289)+1))</f>
        <v/>
      </c>
      <c r="I290" s="2" t="str">
        <f ca="1">IF(ISNUMBER(A290),
IF(COUNTIFS(Equipar!B:B,3,Equipar!AC:AC,A290),"Equipada",
IF(
  OR(COUNTIFS(Equipar!B:B,3,Equipar!C:C,A290)
 +COUNTIFS(Equipar!B:B,3,Equipar!D:D,A290)
+COUNTIFS(Equipar!B:B,3,Equipar!E:E,A290)
+COUNTIFS(Equipar!B:B,3,Equipar!F:F,A290)
&gt;0,COUNTIF('Set recomendado'!B:B,C290)=0),
"Bloqueada",
"Desechable")),""
)</f>
        <v/>
      </c>
      <c r="J290" t="str" cm="1">
        <f t="array" aca="1" ref="J290" ca="1">IF(ISNUMBER(A290),IFERROR(_xlfn._xlws.FILTER(Equipar!A:A,(Equipar!B:B=3)*(Equipar!AC:AC=A290)),""),"")</f>
        <v/>
      </c>
    </row>
    <row r="291" spans="1:10" x14ac:dyDescent="0.25">
      <c r="A291" s="1" t="str">
        <f ca="1">IF(A290="ID",1,IF(ISBLANK(B291),"",MAX(A$2:A290)+1))</f>
        <v/>
      </c>
      <c r="I291" s="2" t="str">
        <f ca="1">IF(ISNUMBER(A291),
IF(COUNTIFS(Equipar!B:B,3,Equipar!AC:AC,A291),"Equipada",
IF(
  OR(COUNTIFS(Equipar!B:B,3,Equipar!C:C,A291)
 +COUNTIFS(Equipar!B:B,3,Equipar!D:D,A291)
+COUNTIFS(Equipar!B:B,3,Equipar!E:E,A291)
+COUNTIFS(Equipar!B:B,3,Equipar!F:F,A291)
&gt;0,COUNTIF('Set recomendado'!B:B,C291)=0),
"Bloqueada",
"Desechable")),""
)</f>
        <v/>
      </c>
      <c r="J291" t="str" cm="1">
        <f t="array" aca="1" ref="J291" ca="1">IF(ISNUMBER(A291),IFERROR(_xlfn._xlws.FILTER(Equipar!A:A,(Equipar!B:B=3)*(Equipar!AC:AC=A291)),""),"")</f>
        <v/>
      </c>
    </row>
    <row r="292" spans="1:10" x14ac:dyDescent="0.25">
      <c r="A292" s="1" t="str">
        <f ca="1">IF(A291="ID",1,IF(ISBLANK(B292),"",MAX(A$2:A291)+1))</f>
        <v/>
      </c>
      <c r="I292" s="2" t="str">
        <f ca="1">IF(ISNUMBER(A292),
IF(COUNTIFS(Equipar!B:B,3,Equipar!AC:AC,A292),"Equipada",
IF(
  OR(COUNTIFS(Equipar!B:B,3,Equipar!C:C,A292)
 +COUNTIFS(Equipar!B:B,3,Equipar!D:D,A292)
+COUNTIFS(Equipar!B:B,3,Equipar!E:E,A292)
+COUNTIFS(Equipar!B:B,3,Equipar!F:F,A292)
&gt;0,COUNTIF('Set recomendado'!B:B,C292)=0),
"Bloqueada",
"Desechable")),""
)</f>
        <v/>
      </c>
      <c r="J292" t="str" cm="1">
        <f t="array" aca="1" ref="J292" ca="1">IF(ISNUMBER(A292),IFERROR(_xlfn._xlws.FILTER(Equipar!A:A,(Equipar!B:B=3)*(Equipar!AC:AC=A292)),""),"")</f>
        <v/>
      </c>
    </row>
    <row r="293" spans="1:10" x14ac:dyDescent="0.25">
      <c r="A293" s="1" t="str">
        <f ca="1">IF(A292="ID",1,IF(ISBLANK(B293),"",MAX(A$2:A292)+1))</f>
        <v/>
      </c>
      <c r="I293" s="2" t="str">
        <f ca="1">IF(ISNUMBER(A293),
IF(COUNTIFS(Equipar!B:B,3,Equipar!AC:AC,A293),"Equipada",
IF(
  OR(COUNTIFS(Equipar!B:B,3,Equipar!C:C,A293)
 +COUNTIFS(Equipar!B:B,3,Equipar!D:D,A293)
+COUNTIFS(Equipar!B:B,3,Equipar!E:E,A293)
+COUNTIFS(Equipar!B:B,3,Equipar!F:F,A293)
&gt;0,COUNTIF('Set recomendado'!B:B,C293)=0),
"Bloqueada",
"Desechable")),""
)</f>
        <v/>
      </c>
      <c r="J293" t="str" cm="1">
        <f t="array" aca="1" ref="J293" ca="1">IF(ISNUMBER(A293),IFERROR(_xlfn._xlws.FILTER(Equipar!A:A,(Equipar!B:B=3)*(Equipar!AC:AC=A293)),""),"")</f>
        <v/>
      </c>
    </row>
    <row r="294" spans="1:10" x14ac:dyDescent="0.25">
      <c r="A294" s="1" t="str">
        <f ca="1">IF(A293="ID",1,IF(ISBLANK(B294),"",MAX(A$2:A293)+1))</f>
        <v/>
      </c>
      <c r="I294" s="2" t="str">
        <f ca="1">IF(ISNUMBER(A294),
IF(COUNTIFS(Equipar!B:B,3,Equipar!AC:AC,A294),"Equipada",
IF(
  OR(COUNTIFS(Equipar!B:B,3,Equipar!C:C,A294)
 +COUNTIFS(Equipar!B:B,3,Equipar!D:D,A294)
+COUNTIFS(Equipar!B:B,3,Equipar!E:E,A294)
+COUNTIFS(Equipar!B:B,3,Equipar!F:F,A294)
&gt;0,COUNTIF('Set recomendado'!B:B,C294)=0),
"Bloqueada",
"Desechable")),""
)</f>
        <v/>
      </c>
      <c r="J294" t="str" cm="1">
        <f t="array" aca="1" ref="J294" ca="1">IF(ISNUMBER(A294),IFERROR(_xlfn._xlws.FILTER(Equipar!A:A,(Equipar!B:B=3)*(Equipar!AC:AC=A294)),""),"")</f>
        <v/>
      </c>
    </row>
    <row r="295" spans="1:10" x14ac:dyDescent="0.25">
      <c r="A295" s="1" t="str">
        <f ca="1">IF(A294="ID",1,IF(ISBLANK(B295),"",MAX(A$2:A294)+1))</f>
        <v/>
      </c>
      <c r="I295" s="2" t="str">
        <f ca="1">IF(ISNUMBER(A295),
IF(COUNTIFS(Equipar!B:B,3,Equipar!AC:AC,A295),"Equipada",
IF(
  OR(COUNTIFS(Equipar!B:B,3,Equipar!C:C,A295)
 +COUNTIFS(Equipar!B:B,3,Equipar!D:D,A295)
+COUNTIFS(Equipar!B:B,3,Equipar!E:E,A295)
+COUNTIFS(Equipar!B:B,3,Equipar!F:F,A295)
&gt;0,COUNTIF('Set recomendado'!B:B,C295)=0),
"Bloqueada",
"Desechable")),""
)</f>
        <v/>
      </c>
      <c r="J295" t="str" cm="1">
        <f t="array" aca="1" ref="J295" ca="1">IF(ISNUMBER(A295),IFERROR(_xlfn._xlws.FILTER(Equipar!A:A,(Equipar!B:B=3)*(Equipar!AC:AC=A295)),""),"")</f>
        <v/>
      </c>
    </row>
    <row r="296" spans="1:10" x14ac:dyDescent="0.25">
      <c r="A296" s="1" t="str">
        <f ca="1">IF(A295="ID",1,IF(ISBLANK(B296),"",MAX(A$2:A295)+1))</f>
        <v/>
      </c>
      <c r="I296" s="2" t="str">
        <f ca="1">IF(ISNUMBER(A296),
IF(COUNTIFS(Equipar!B:B,3,Equipar!AC:AC,A296),"Equipada",
IF(
  OR(COUNTIFS(Equipar!B:B,3,Equipar!C:C,A296)
 +COUNTIFS(Equipar!B:B,3,Equipar!D:D,A296)
+COUNTIFS(Equipar!B:B,3,Equipar!E:E,A296)
+COUNTIFS(Equipar!B:B,3,Equipar!F:F,A296)
&gt;0,COUNTIF('Set recomendado'!B:B,C296)=0),
"Bloqueada",
"Desechable")),""
)</f>
        <v/>
      </c>
      <c r="J296" t="str" cm="1">
        <f t="array" aca="1" ref="J296" ca="1">IF(ISNUMBER(A296),IFERROR(_xlfn._xlws.FILTER(Equipar!A:A,(Equipar!B:B=3)*(Equipar!AC:AC=A296)),""),"")</f>
        <v/>
      </c>
    </row>
    <row r="297" spans="1:10" x14ac:dyDescent="0.25">
      <c r="A297" s="1" t="str">
        <f ca="1">IF(A296="ID",1,IF(ISBLANK(B297),"",MAX(A$2:A296)+1))</f>
        <v/>
      </c>
      <c r="I297" s="2" t="str">
        <f ca="1">IF(ISNUMBER(A297),
IF(COUNTIFS(Equipar!B:B,3,Equipar!AC:AC,A297),"Equipada",
IF(
  OR(COUNTIFS(Equipar!B:B,3,Equipar!C:C,A297)
 +COUNTIFS(Equipar!B:B,3,Equipar!D:D,A297)
+COUNTIFS(Equipar!B:B,3,Equipar!E:E,A297)
+COUNTIFS(Equipar!B:B,3,Equipar!F:F,A297)
&gt;0,COUNTIF('Set recomendado'!B:B,C297)=0),
"Bloqueada",
"Desechable")),""
)</f>
        <v/>
      </c>
      <c r="J297" t="str" cm="1">
        <f t="array" aca="1" ref="J297" ca="1">IF(ISNUMBER(A297),IFERROR(_xlfn._xlws.FILTER(Equipar!A:A,(Equipar!B:B=3)*(Equipar!AC:AC=A297)),""),"")</f>
        <v/>
      </c>
    </row>
    <row r="298" spans="1:10" x14ac:dyDescent="0.25">
      <c r="A298" s="1" t="str">
        <f ca="1">IF(A297="ID",1,IF(ISBLANK(B298),"",MAX(A$2:A297)+1))</f>
        <v/>
      </c>
      <c r="I298" s="2" t="str">
        <f ca="1">IF(ISNUMBER(A298),
IF(COUNTIFS(Equipar!B:B,3,Equipar!AC:AC,A298),"Equipada",
IF(
  OR(COUNTIFS(Equipar!B:B,3,Equipar!C:C,A298)
 +COUNTIFS(Equipar!B:B,3,Equipar!D:D,A298)
+COUNTIFS(Equipar!B:B,3,Equipar!E:E,A298)
+COUNTIFS(Equipar!B:B,3,Equipar!F:F,A298)
&gt;0,COUNTIF('Set recomendado'!B:B,C298)=0),
"Bloqueada",
"Desechable")),""
)</f>
        <v/>
      </c>
      <c r="J298" t="str" cm="1">
        <f t="array" aca="1" ref="J298" ca="1">IF(ISNUMBER(A298),IFERROR(_xlfn._xlws.FILTER(Equipar!A:A,(Equipar!B:B=3)*(Equipar!AC:AC=A298)),""),"")</f>
        <v/>
      </c>
    </row>
    <row r="299" spans="1:10" x14ac:dyDescent="0.25">
      <c r="A299" s="1" t="str">
        <f ca="1">IF(A298="ID",1,IF(ISBLANK(B299),"",MAX(A$2:A298)+1))</f>
        <v/>
      </c>
      <c r="I299" s="2" t="str">
        <f ca="1">IF(ISNUMBER(A299),
IF(COUNTIFS(Equipar!B:B,3,Equipar!AC:AC,A299),"Equipada",
IF(
  OR(COUNTIFS(Equipar!B:B,3,Equipar!C:C,A299)
 +COUNTIFS(Equipar!B:B,3,Equipar!D:D,A299)
+COUNTIFS(Equipar!B:B,3,Equipar!E:E,A299)
+COUNTIFS(Equipar!B:B,3,Equipar!F:F,A299)
&gt;0,COUNTIF('Set recomendado'!B:B,C299)=0),
"Bloqueada",
"Desechable")),""
)</f>
        <v/>
      </c>
      <c r="J299" t="str" cm="1">
        <f t="array" aca="1" ref="J299" ca="1">IF(ISNUMBER(A299),IFERROR(_xlfn._xlws.FILTER(Equipar!A:A,(Equipar!B:B=3)*(Equipar!AC:AC=A299)),""),"")</f>
        <v/>
      </c>
    </row>
    <row r="300" spans="1:10" x14ac:dyDescent="0.25">
      <c r="A300" s="1" t="str">
        <f ca="1">IF(A299="ID",1,IF(ISBLANK(B300),"",MAX(A$2:A299)+1))</f>
        <v/>
      </c>
      <c r="I300" s="2" t="str">
        <f ca="1">IF(ISNUMBER(A300),
IF(COUNTIFS(Equipar!B:B,3,Equipar!AC:AC,A300),"Equipada",
IF(
  OR(COUNTIFS(Equipar!B:B,3,Equipar!C:C,A300)
 +COUNTIFS(Equipar!B:B,3,Equipar!D:D,A300)
+COUNTIFS(Equipar!B:B,3,Equipar!E:E,A300)
+COUNTIFS(Equipar!B:B,3,Equipar!F:F,A300)
&gt;0,COUNTIF('Set recomendado'!B:B,C300)=0),
"Bloqueada",
"Desechable")),""
)</f>
        <v/>
      </c>
      <c r="J300" t="str" cm="1">
        <f t="array" aca="1" ref="J300" ca="1">IF(ISNUMBER(A300),IFERROR(_xlfn._xlws.FILTER(Equipar!A:A,(Equipar!B:B=3)*(Equipar!AC:AC=A300)),""),"")</f>
        <v/>
      </c>
    </row>
    <row r="301" spans="1:10" x14ac:dyDescent="0.25">
      <c r="A301" s="1" t="str">
        <f ca="1">IF(A300="ID",1,IF(ISBLANK(B301),"",MAX(A$2:A300)+1))</f>
        <v/>
      </c>
      <c r="I301" s="2" t="str">
        <f ca="1">IF(ISNUMBER(A301),
IF(COUNTIFS(Equipar!B:B,3,Equipar!AC:AC,A301),"Equipada",
IF(
  OR(COUNTIFS(Equipar!B:B,3,Equipar!C:C,A301)
 +COUNTIFS(Equipar!B:B,3,Equipar!D:D,A301)
+COUNTIFS(Equipar!B:B,3,Equipar!E:E,A301)
+COUNTIFS(Equipar!B:B,3,Equipar!F:F,A301)
&gt;0,COUNTIF('Set recomendado'!B:B,C301)=0),
"Bloqueada",
"Desechable")),""
)</f>
        <v/>
      </c>
      <c r="J301" t="str" cm="1">
        <f t="array" aca="1" ref="J301" ca="1">IF(ISNUMBER(A301),IFERROR(_xlfn._xlws.FILTER(Equipar!A:A,(Equipar!B:B=3)*(Equipar!AC:AC=A301)),""),"")</f>
        <v/>
      </c>
    </row>
    <row r="302" spans="1:10" x14ac:dyDescent="0.25">
      <c r="A302" s="1" t="str">
        <f ca="1">IF(A301="ID",1,IF(ISBLANK(B302),"",MAX(A$2:A301)+1))</f>
        <v/>
      </c>
      <c r="I302" s="2" t="str">
        <f ca="1">IF(ISNUMBER(A302),
IF(COUNTIFS(Equipar!B:B,3,Equipar!AC:AC,A302),"Equipada",
IF(
  OR(COUNTIFS(Equipar!B:B,3,Equipar!C:C,A302)
 +COUNTIFS(Equipar!B:B,3,Equipar!D:D,A302)
+COUNTIFS(Equipar!B:B,3,Equipar!E:E,A302)
+COUNTIFS(Equipar!B:B,3,Equipar!F:F,A302)
&gt;0,COUNTIF('Set recomendado'!B:B,C302)=0),
"Bloqueada",
"Desechable")),""
)</f>
        <v/>
      </c>
      <c r="J302" t="str" cm="1">
        <f t="array" aca="1" ref="J302" ca="1">IF(ISNUMBER(A302),IFERROR(_xlfn._xlws.FILTER(Equipar!A:A,(Equipar!B:B=3)*(Equipar!AC:AC=A302)),""),"")</f>
        <v/>
      </c>
    </row>
    <row r="303" spans="1:10" x14ac:dyDescent="0.25">
      <c r="A303" s="1" t="str">
        <f ca="1">IF(A302="ID",1,IF(ISBLANK(B303),"",MAX(A$2:A302)+1))</f>
        <v/>
      </c>
      <c r="I303" s="2" t="str">
        <f ca="1">IF(ISNUMBER(A303),
IF(COUNTIFS(Equipar!B:B,3,Equipar!AC:AC,A303),"Equipada",
IF(
  OR(COUNTIFS(Equipar!B:B,3,Equipar!C:C,A303)
 +COUNTIFS(Equipar!B:B,3,Equipar!D:D,A303)
+COUNTIFS(Equipar!B:B,3,Equipar!E:E,A303)
+COUNTIFS(Equipar!B:B,3,Equipar!F:F,A303)
&gt;0,COUNTIF('Set recomendado'!B:B,C303)=0),
"Bloqueada",
"Desechable")),""
)</f>
        <v/>
      </c>
      <c r="J303" t="str" cm="1">
        <f t="array" aca="1" ref="J303" ca="1">IF(ISNUMBER(A303),IFERROR(_xlfn._xlws.FILTER(Equipar!A:A,(Equipar!B:B=3)*(Equipar!AC:AC=A303)),""),"")</f>
        <v/>
      </c>
    </row>
    <row r="304" spans="1:10" x14ac:dyDescent="0.25">
      <c r="A304" s="1" t="str">
        <f ca="1">IF(A303="ID",1,IF(ISBLANK(B304),"",MAX(A$2:A303)+1))</f>
        <v/>
      </c>
      <c r="I304" s="2" t="str">
        <f ca="1">IF(ISNUMBER(A304),
IF(COUNTIFS(Equipar!B:B,3,Equipar!AC:AC,A304),"Equipada",
IF(
  OR(COUNTIFS(Equipar!B:B,3,Equipar!C:C,A304)
 +COUNTIFS(Equipar!B:B,3,Equipar!D:D,A304)
+COUNTIFS(Equipar!B:B,3,Equipar!E:E,A304)
+COUNTIFS(Equipar!B:B,3,Equipar!F:F,A304)
&gt;0,COUNTIF('Set recomendado'!B:B,C304)=0),
"Bloqueada",
"Desechable")),""
)</f>
        <v/>
      </c>
      <c r="J304" t="str" cm="1">
        <f t="array" aca="1" ref="J304" ca="1">IF(ISNUMBER(A304),IFERROR(_xlfn._xlws.FILTER(Equipar!A:A,(Equipar!B:B=3)*(Equipar!AC:AC=A304)),""),"")</f>
        <v/>
      </c>
    </row>
    <row r="305" spans="1:10" x14ac:dyDescent="0.25">
      <c r="A305" s="1" t="str">
        <f ca="1">IF(A304="ID",1,IF(ISBLANK(B305),"",MAX(A$2:A304)+1))</f>
        <v/>
      </c>
      <c r="I305" s="2" t="str">
        <f ca="1">IF(ISNUMBER(A305),
IF(COUNTIFS(Equipar!B:B,3,Equipar!AC:AC,A305),"Equipada",
IF(
  OR(COUNTIFS(Equipar!B:B,3,Equipar!C:C,A305)
 +COUNTIFS(Equipar!B:B,3,Equipar!D:D,A305)
+COUNTIFS(Equipar!B:B,3,Equipar!E:E,A305)
+COUNTIFS(Equipar!B:B,3,Equipar!F:F,A305)
&gt;0,COUNTIF('Set recomendado'!B:B,C305)=0),
"Bloqueada",
"Desechable")),""
)</f>
        <v/>
      </c>
      <c r="J305" t="str" cm="1">
        <f t="array" aca="1" ref="J305" ca="1">IF(ISNUMBER(A305),IFERROR(_xlfn._xlws.FILTER(Equipar!A:A,(Equipar!B:B=3)*(Equipar!AC:AC=A305)),""),"")</f>
        <v/>
      </c>
    </row>
    <row r="306" spans="1:10" x14ac:dyDescent="0.25">
      <c r="A306" s="1" t="str">
        <f ca="1">IF(A305="ID",1,IF(ISBLANK(B306),"",MAX(A$2:A305)+1))</f>
        <v/>
      </c>
      <c r="I306" s="2" t="str">
        <f ca="1">IF(ISNUMBER(A306),
IF(COUNTIFS(Equipar!B:B,3,Equipar!AC:AC,A306),"Equipada",
IF(
  OR(COUNTIFS(Equipar!B:B,3,Equipar!C:C,A306)
 +COUNTIFS(Equipar!B:B,3,Equipar!D:D,A306)
+COUNTIFS(Equipar!B:B,3,Equipar!E:E,A306)
+COUNTIFS(Equipar!B:B,3,Equipar!F:F,A306)
&gt;0,COUNTIF('Set recomendado'!B:B,C306)=0),
"Bloqueada",
"Desechable")),""
)</f>
        <v/>
      </c>
      <c r="J306" t="str" cm="1">
        <f t="array" aca="1" ref="J306" ca="1">IF(ISNUMBER(A306),IFERROR(_xlfn._xlws.FILTER(Equipar!A:A,(Equipar!B:B=3)*(Equipar!AC:AC=A306)),""),"")</f>
        <v/>
      </c>
    </row>
    <row r="307" spans="1:10" x14ac:dyDescent="0.25">
      <c r="A307" s="1" t="str">
        <f ca="1">IF(A306="ID",1,IF(ISBLANK(B307),"",MAX(A$2:A306)+1))</f>
        <v/>
      </c>
      <c r="I307" s="2" t="str">
        <f ca="1">IF(ISNUMBER(A307),
IF(COUNTIFS(Equipar!B:B,3,Equipar!AC:AC,A307),"Equipada",
IF(
  OR(COUNTIFS(Equipar!B:B,3,Equipar!C:C,A307)
 +COUNTIFS(Equipar!B:B,3,Equipar!D:D,A307)
+COUNTIFS(Equipar!B:B,3,Equipar!E:E,A307)
+COUNTIFS(Equipar!B:B,3,Equipar!F:F,A307)
&gt;0,COUNTIF('Set recomendado'!B:B,C307)=0),
"Bloqueada",
"Desechable")),""
)</f>
        <v/>
      </c>
      <c r="J307" t="str" cm="1">
        <f t="array" aca="1" ref="J307" ca="1">IF(ISNUMBER(A307),IFERROR(_xlfn._xlws.FILTER(Equipar!A:A,(Equipar!B:B=3)*(Equipar!AC:AC=A307)),""),"")</f>
        <v/>
      </c>
    </row>
    <row r="308" spans="1:10" x14ac:dyDescent="0.25">
      <c r="A308" s="1" t="str">
        <f ca="1">IF(A307="ID",1,IF(ISBLANK(B308),"",MAX(A$2:A307)+1))</f>
        <v/>
      </c>
      <c r="I308" s="2" t="str">
        <f ca="1">IF(ISNUMBER(A308),
IF(COUNTIFS(Equipar!B:B,3,Equipar!AC:AC,A308),"Equipada",
IF(
  OR(COUNTIFS(Equipar!B:B,3,Equipar!C:C,A308)
 +COUNTIFS(Equipar!B:B,3,Equipar!D:D,A308)
+COUNTIFS(Equipar!B:B,3,Equipar!E:E,A308)
+COUNTIFS(Equipar!B:B,3,Equipar!F:F,A308)
&gt;0,COUNTIF('Set recomendado'!B:B,C308)=0),
"Bloqueada",
"Desechable")),""
)</f>
        <v/>
      </c>
      <c r="J308" t="str" cm="1">
        <f t="array" aca="1" ref="J308" ca="1">IF(ISNUMBER(A308),IFERROR(_xlfn._xlws.FILTER(Equipar!A:A,(Equipar!B:B=3)*(Equipar!AC:AC=A308)),""),"")</f>
        <v/>
      </c>
    </row>
    <row r="309" spans="1:10" x14ac:dyDescent="0.25">
      <c r="A309" s="1" t="str">
        <f ca="1">IF(A308="ID",1,IF(ISBLANK(B309),"",MAX(A$2:A308)+1))</f>
        <v/>
      </c>
      <c r="I309" s="2" t="str">
        <f ca="1">IF(ISNUMBER(A309),
IF(COUNTIFS(Equipar!B:B,3,Equipar!AC:AC,A309),"Equipada",
IF(
  OR(COUNTIFS(Equipar!B:B,3,Equipar!C:C,A309)
 +COUNTIFS(Equipar!B:B,3,Equipar!D:D,A309)
+COUNTIFS(Equipar!B:B,3,Equipar!E:E,A309)
+COUNTIFS(Equipar!B:B,3,Equipar!F:F,A309)
&gt;0,COUNTIF('Set recomendado'!B:B,C309)=0),
"Bloqueada",
"Desechable")),""
)</f>
        <v/>
      </c>
      <c r="J309" t="str" cm="1">
        <f t="array" aca="1" ref="J309" ca="1">IF(ISNUMBER(A309),IFERROR(_xlfn._xlws.FILTER(Equipar!A:A,(Equipar!B:B=3)*(Equipar!AC:AC=A309)),""),"")</f>
        <v/>
      </c>
    </row>
    <row r="310" spans="1:10" x14ac:dyDescent="0.25">
      <c r="A310" s="1" t="str">
        <f ca="1">IF(A309="ID",1,IF(ISBLANK(B310),"",MAX(A$2:A309)+1))</f>
        <v/>
      </c>
      <c r="I310" s="2" t="str">
        <f ca="1">IF(ISNUMBER(A310),
IF(COUNTIFS(Equipar!B:B,3,Equipar!AC:AC,A310),"Equipada",
IF(
  OR(COUNTIFS(Equipar!B:B,3,Equipar!C:C,A310)
 +COUNTIFS(Equipar!B:B,3,Equipar!D:D,A310)
+COUNTIFS(Equipar!B:B,3,Equipar!E:E,A310)
+COUNTIFS(Equipar!B:B,3,Equipar!F:F,A310)
&gt;0,COUNTIF('Set recomendado'!B:B,C310)=0),
"Bloqueada",
"Desechable")),""
)</f>
        <v/>
      </c>
      <c r="J310" t="str" cm="1">
        <f t="array" aca="1" ref="J310" ca="1">IF(ISNUMBER(A310),IFERROR(_xlfn._xlws.FILTER(Equipar!A:A,(Equipar!B:B=3)*(Equipar!AC:AC=A310)),""),"")</f>
        <v/>
      </c>
    </row>
    <row r="311" spans="1:10" x14ac:dyDescent="0.25">
      <c r="A311" s="1" t="str">
        <f ca="1">IF(A310="ID",1,IF(ISBLANK(B311),"",MAX(A$2:A310)+1))</f>
        <v/>
      </c>
      <c r="I311" s="2" t="str">
        <f ca="1">IF(ISNUMBER(A311),
IF(COUNTIFS(Equipar!B:B,3,Equipar!AC:AC,A311),"Equipada",
IF(
  OR(COUNTIFS(Equipar!B:B,3,Equipar!C:C,A311)
 +COUNTIFS(Equipar!B:B,3,Equipar!D:D,A311)
+COUNTIFS(Equipar!B:B,3,Equipar!E:E,A311)
+COUNTIFS(Equipar!B:B,3,Equipar!F:F,A311)
&gt;0,COUNTIF('Set recomendado'!B:B,C311)=0),
"Bloqueada",
"Desechable")),""
)</f>
        <v/>
      </c>
      <c r="J311" t="str" cm="1">
        <f t="array" aca="1" ref="J311" ca="1">IF(ISNUMBER(A311),IFERROR(_xlfn._xlws.FILTER(Equipar!A:A,(Equipar!B:B=3)*(Equipar!AC:AC=A311)),""),"")</f>
        <v/>
      </c>
    </row>
    <row r="312" spans="1:10" x14ac:dyDescent="0.25">
      <c r="A312" s="1" t="str">
        <f ca="1">IF(A311="ID",1,IF(ISBLANK(B312),"",MAX(A$2:A311)+1))</f>
        <v/>
      </c>
      <c r="I312" s="2" t="str">
        <f ca="1">IF(ISNUMBER(A312),
IF(COUNTIFS(Equipar!B:B,3,Equipar!AC:AC,A312),"Equipada",
IF(
  OR(COUNTIFS(Equipar!B:B,3,Equipar!C:C,A312)
 +COUNTIFS(Equipar!B:B,3,Equipar!D:D,A312)
+COUNTIFS(Equipar!B:B,3,Equipar!E:E,A312)
+COUNTIFS(Equipar!B:B,3,Equipar!F:F,A312)
&gt;0,COUNTIF('Set recomendado'!B:B,C312)=0),
"Bloqueada",
"Desechable")),""
)</f>
        <v/>
      </c>
      <c r="J312" t="str" cm="1">
        <f t="array" aca="1" ref="J312" ca="1">IF(ISNUMBER(A312),IFERROR(_xlfn._xlws.FILTER(Equipar!A:A,(Equipar!B:B=3)*(Equipar!AC:AC=A312)),""),"")</f>
        <v/>
      </c>
    </row>
    <row r="313" spans="1:10" x14ac:dyDescent="0.25">
      <c r="A313" s="1" t="str">
        <f ca="1">IF(A312="ID",1,IF(ISBLANK(B313),"",MAX(A$2:A312)+1))</f>
        <v/>
      </c>
      <c r="I313" s="2" t="str">
        <f ca="1">IF(ISNUMBER(A313),
IF(COUNTIFS(Equipar!B:B,3,Equipar!AC:AC,A313),"Equipada",
IF(
  OR(COUNTIFS(Equipar!B:B,3,Equipar!C:C,A313)
 +COUNTIFS(Equipar!B:B,3,Equipar!D:D,A313)
+COUNTIFS(Equipar!B:B,3,Equipar!E:E,A313)
+COUNTIFS(Equipar!B:B,3,Equipar!F:F,A313)
&gt;0,COUNTIF('Set recomendado'!B:B,C313)=0),
"Bloqueada",
"Desechable")),""
)</f>
        <v/>
      </c>
      <c r="J313" t="str" cm="1">
        <f t="array" aca="1" ref="J313" ca="1">IF(ISNUMBER(A313),IFERROR(_xlfn._xlws.FILTER(Equipar!A:A,(Equipar!B:B=3)*(Equipar!AC:AC=A313)),""),"")</f>
        <v/>
      </c>
    </row>
    <row r="314" spans="1:10" x14ac:dyDescent="0.25">
      <c r="A314" s="1" t="str">
        <f ca="1">IF(A313="ID",1,IF(ISBLANK(B314),"",MAX(A$2:A313)+1))</f>
        <v/>
      </c>
      <c r="I314" s="2" t="str">
        <f ca="1">IF(ISNUMBER(A314),
IF(COUNTIFS(Equipar!B:B,3,Equipar!AC:AC,A314),"Equipada",
IF(
  OR(COUNTIFS(Equipar!B:B,3,Equipar!C:C,A314)
 +COUNTIFS(Equipar!B:B,3,Equipar!D:D,A314)
+COUNTIFS(Equipar!B:B,3,Equipar!E:E,A314)
+COUNTIFS(Equipar!B:B,3,Equipar!F:F,A314)
&gt;0,COUNTIF('Set recomendado'!B:B,C314)=0),
"Bloqueada",
"Desechable")),""
)</f>
        <v/>
      </c>
      <c r="J314" t="str" cm="1">
        <f t="array" aca="1" ref="J314" ca="1">IF(ISNUMBER(A314),IFERROR(_xlfn._xlws.FILTER(Equipar!A:A,(Equipar!B:B=3)*(Equipar!AC:AC=A314)),""),"")</f>
        <v/>
      </c>
    </row>
    <row r="315" spans="1:10" x14ac:dyDescent="0.25">
      <c r="A315" s="1" t="str">
        <f ca="1">IF(A314="ID",1,IF(ISBLANK(B315),"",MAX(A$2:A314)+1))</f>
        <v/>
      </c>
      <c r="I315" s="2" t="str">
        <f ca="1">IF(ISNUMBER(A315),
IF(COUNTIFS(Equipar!B:B,3,Equipar!AC:AC,A315),"Equipada",
IF(
  OR(COUNTIFS(Equipar!B:B,3,Equipar!C:C,A315)
 +COUNTIFS(Equipar!B:B,3,Equipar!D:D,A315)
+COUNTIFS(Equipar!B:B,3,Equipar!E:E,A315)
+COUNTIFS(Equipar!B:B,3,Equipar!F:F,A315)
&gt;0,COUNTIF('Set recomendado'!B:B,C315)=0),
"Bloqueada",
"Desechable")),""
)</f>
        <v/>
      </c>
      <c r="J315" t="str" cm="1">
        <f t="array" aca="1" ref="J315" ca="1">IF(ISNUMBER(A315),IFERROR(_xlfn._xlws.FILTER(Equipar!A:A,(Equipar!B:B=3)*(Equipar!AC:AC=A315)),""),"")</f>
        <v/>
      </c>
    </row>
    <row r="316" spans="1:10" x14ac:dyDescent="0.25">
      <c r="A316" s="1" t="str">
        <f ca="1">IF(A315="ID",1,IF(ISBLANK(B316),"",MAX(A$2:A315)+1))</f>
        <v/>
      </c>
      <c r="I316" s="2" t="str">
        <f ca="1">IF(ISNUMBER(A316),
IF(COUNTIFS(Equipar!B:B,3,Equipar!AC:AC,A316),"Equipada",
IF(
  OR(COUNTIFS(Equipar!B:B,3,Equipar!C:C,A316)
 +COUNTIFS(Equipar!B:B,3,Equipar!D:D,A316)
+COUNTIFS(Equipar!B:B,3,Equipar!E:E,A316)
+COUNTIFS(Equipar!B:B,3,Equipar!F:F,A316)
&gt;0,COUNTIF('Set recomendado'!B:B,C316)=0),
"Bloqueada",
"Desechable")),""
)</f>
        <v/>
      </c>
      <c r="J316" t="str" cm="1">
        <f t="array" aca="1" ref="J316" ca="1">IF(ISNUMBER(A316),IFERROR(_xlfn._xlws.FILTER(Equipar!A:A,(Equipar!B:B=3)*(Equipar!AC:AC=A316)),""),"")</f>
        <v/>
      </c>
    </row>
    <row r="317" spans="1:10" x14ac:dyDescent="0.25">
      <c r="A317" s="1" t="str">
        <f ca="1">IF(A316="ID",1,IF(ISBLANK(B317),"",MAX(A$2:A316)+1))</f>
        <v/>
      </c>
      <c r="I317" s="2" t="str">
        <f ca="1">IF(ISNUMBER(A317),
IF(COUNTIFS(Equipar!B:B,3,Equipar!AC:AC,A317),"Equipada",
IF(
  OR(COUNTIFS(Equipar!B:B,3,Equipar!C:C,A317)
 +COUNTIFS(Equipar!B:B,3,Equipar!D:D,A317)
+COUNTIFS(Equipar!B:B,3,Equipar!E:E,A317)
+COUNTIFS(Equipar!B:B,3,Equipar!F:F,A317)
&gt;0,COUNTIF('Set recomendado'!B:B,C317)=0),
"Bloqueada",
"Desechable")),""
)</f>
        <v/>
      </c>
      <c r="J317" t="str" cm="1">
        <f t="array" aca="1" ref="J317" ca="1">IF(ISNUMBER(A317),IFERROR(_xlfn._xlws.FILTER(Equipar!A:A,(Equipar!B:B=3)*(Equipar!AC:AC=A317)),""),"")</f>
        <v/>
      </c>
    </row>
    <row r="318" spans="1:10" x14ac:dyDescent="0.25">
      <c r="A318" s="1" t="str">
        <f ca="1">IF(A317="ID",1,IF(ISBLANK(B318),"",MAX(A$2:A317)+1))</f>
        <v/>
      </c>
      <c r="I318" s="2" t="str">
        <f ca="1">IF(ISNUMBER(A318),
IF(COUNTIFS(Equipar!B:B,3,Equipar!AC:AC,A318),"Equipada",
IF(
  OR(COUNTIFS(Equipar!B:B,3,Equipar!C:C,A318)
 +COUNTIFS(Equipar!B:B,3,Equipar!D:D,A318)
+COUNTIFS(Equipar!B:B,3,Equipar!E:E,A318)
+COUNTIFS(Equipar!B:B,3,Equipar!F:F,A318)
&gt;0,COUNTIF('Set recomendado'!B:B,C318)=0),
"Bloqueada",
"Desechable")),""
)</f>
        <v/>
      </c>
      <c r="J318" t="str" cm="1">
        <f t="array" aca="1" ref="J318" ca="1">IF(ISNUMBER(A318),IFERROR(_xlfn._xlws.FILTER(Equipar!A:A,(Equipar!B:B=3)*(Equipar!AC:AC=A318)),""),"")</f>
        <v/>
      </c>
    </row>
    <row r="319" spans="1:10" x14ac:dyDescent="0.25">
      <c r="A319" s="1" t="str">
        <f ca="1">IF(A318="ID",1,IF(ISBLANK(B319),"",MAX(A$2:A318)+1))</f>
        <v/>
      </c>
      <c r="I319" s="2" t="str">
        <f ca="1">IF(ISNUMBER(A319),
IF(COUNTIFS(Equipar!B:B,3,Equipar!AC:AC,A319),"Equipada",
IF(
  OR(COUNTIFS(Equipar!B:B,3,Equipar!C:C,A319)
 +COUNTIFS(Equipar!B:B,3,Equipar!D:D,A319)
+COUNTIFS(Equipar!B:B,3,Equipar!E:E,A319)
+COUNTIFS(Equipar!B:B,3,Equipar!F:F,A319)
&gt;0,COUNTIF('Set recomendado'!B:B,C319)=0),
"Bloqueada",
"Desechable")),""
)</f>
        <v/>
      </c>
      <c r="J319" t="str" cm="1">
        <f t="array" aca="1" ref="J319" ca="1">IF(ISNUMBER(A319),IFERROR(_xlfn._xlws.FILTER(Equipar!A:A,(Equipar!B:B=3)*(Equipar!AC:AC=A319)),""),"")</f>
        <v/>
      </c>
    </row>
    <row r="320" spans="1:10" x14ac:dyDescent="0.25">
      <c r="A320" s="1" t="str">
        <f ca="1">IF(A319="ID",1,IF(ISBLANK(B320),"",MAX(A$2:A319)+1))</f>
        <v/>
      </c>
      <c r="I320" s="2" t="str">
        <f ca="1">IF(ISNUMBER(A320),
IF(COUNTIFS(Equipar!B:B,3,Equipar!AC:AC,A320),"Equipada",
IF(
  OR(COUNTIFS(Equipar!B:B,3,Equipar!C:C,A320)
 +COUNTIFS(Equipar!B:B,3,Equipar!D:D,A320)
+COUNTIFS(Equipar!B:B,3,Equipar!E:E,A320)
+COUNTIFS(Equipar!B:B,3,Equipar!F:F,A320)
&gt;0,COUNTIF('Set recomendado'!B:B,C320)=0),
"Bloqueada",
"Desechable")),""
)</f>
        <v/>
      </c>
      <c r="J320" t="str" cm="1">
        <f t="array" aca="1" ref="J320" ca="1">IF(ISNUMBER(A320),IFERROR(_xlfn._xlws.FILTER(Equipar!A:A,(Equipar!B:B=3)*(Equipar!AC:AC=A320)),""),"")</f>
        <v/>
      </c>
    </row>
    <row r="321" spans="1:10" x14ac:dyDescent="0.25">
      <c r="A321" s="1" t="str">
        <f ca="1">IF(A320="ID",1,IF(ISBLANK(B321),"",MAX(A$2:A320)+1))</f>
        <v/>
      </c>
      <c r="I321" s="2" t="str">
        <f ca="1">IF(ISNUMBER(A321),
IF(COUNTIFS(Equipar!B:B,3,Equipar!AC:AC,A321),"Equipada",
IF(
  OR(COUNTIFS(Equipar!B:B,3,Equipar!C:C,A321)
 +COUNTIFS(Equipar!B:B,3,Equipar!D:D,A321)
+COUNTIFS(Equipar!B:B,3,Equipar!E:E,A321)
+COUNTIFS(Equipar!B:B,3,Equipar!F:F,A321)
&gt;0,COUNTIF('Set recomendado'!B:B,C321)=0),
"Bloqueada",
"Desechable")),""
)</f>
        <v/>
      </c>
      <c r="J321" t="str" cm="1">
        <f t="array" aca="1" ref="J321" ca="1">IF(ISNUMBER(A321),IFERROR(_xlfn._xlws.FILTER(Equipar!A:A,(Equipar!B:B=3)*(Equipar!AC:AC=A321)),""),"")</f>
        <v/>
      </c>
    </row>
    <row r="322" spans="1:10" x14ac:dyDescent="0.25">
      <c r="A322" s="1" t="str">
        <f ca="1">IF(A321="ID",1,IF(ISBLANK(B322),"",MAX(A$2:A321)+1))</f>
        <v/>
      </c>
      <c r="I322" s="2" t="str">
        <f ca="1">IF(ISNUMBER(A322),
IF(COUNTIFS(Equipar!B:B,3,Equipar!AC:AC,A322),"Equipada",
IF(
  OR(COUNTIFS(Equipar!B:B,3,Equipar!C:C,A322)
 +COUNTIFS(Equipar!B:B,3,Equipar!D:D,A322)
+COUNTIFS(Equipar!B:B,3,Equipar!E:E,A322)
+COUNTIFS(Equipar!B:B,3,Equipar!F:F,A322)
&gt;0,COUNTIF('Set recomendado'!B:B,C322)=0),
"Bloqueada",
"Desechable")),""
)</f>
        <v/>
      </c>
      <c r="J322" t="str" cm="1">
        <f t="array" aca="1" ref="J322" ca="1">IF(ISNUMBER(A322),IFERROR(_xlfn._xlws.FILTER(Equipar!A:A,(Equipar!B:B=3)*(Equipar!AC:AC=A322)),""),"")</f>
        <v/>
      </c>
    </row>
    <row r="323" spans="1:10" x14ac:dyDescent="0.25">
      <c r="A323" s="1" t="str">
        <f ca="1">IF(A322="ID",1,IF(ISBLANK(B323),"",MAX(A$2:A322)+1))</f>
        <v/>
      </c>
      <c r="I323" s="2" t="str">
        <f ca="1">IF(ISNUMBER(A323),
IF(COUNTIFS(Equipar!B:B,3,Equipar!AC:AC,A323),"Equipada",
IF(
  OR(COUNTIFS(Equipar!B:B,3,Equipar!C:C,A323)
 +COUNTIFS(Equipar!B:B,3,Equipar!D:D,A323)
+COUNTIFS(Equipar!B:B,3,Equipar!E:E,A323)
+COUNTIFS(Equipar!B:B,3,Equipar!F:F,A323)
&gt;0,COUNTIF('Set recomendado'!B:B,C323)=0),
"Bloqueada",
"Desechable")),""
)</f>
        <v/>
      </c>
      <c r="J323" t="str" cm="1">
        <f t="array" aca="1" ref="J323" ca="1">IF(ISNUMBER(A323),IFERROR(_xlfn._xlws.FILTER(Equipar!A:A,(Equipar!B:B=3)*(Equipar!AC:AC=A323)),""),"")</f>
        <v/>
      </c>
    </row>
    <row r="324" spans="1:10" x14ac:dyDescent="0.25">
      <c r="A324" s="1" t="str">
        <f ca="1">IF(A323="ID",1,IF(ISBLANK(B324),"",MAX(A$2:A323)+1))</f>
        <v/>
      </c>
      <c r="I324" s="2" t="str">
        <f ca="1">IF(ISNUMBER(A324),
IF(COUNTIFS(Equipar!B:B,3,Equipar!AC:AC,A324),"Equipada",
IF(
  OR(COUNTIFS(Equipar!B:B,3,Equipar!C:C,A324)
 +COUNTIFS(Equipar!B:B,3,Equipar!D:D,A324)
+COUNTIFS(Equipar!B:B,3,Equipar!E:E,A324)
+COUNTIFS(Equipar!B:B,3,Equipar!F:F,A324)
&gt;0,COUNTIF('Set recomendado'!B:B,C324)=0),
"Bloqueada",
"Desechable")),""
)</f>
        <v/>
      </c>
      <c r="J324" t="str" cm="1">
        <f t="array" aca="1" ref="J324" ca="1">IF(ISNUMBER(A324),IFERROR(_xlfn._xlws.FILTER(Equipar!A:A,(Equipar!B:B=3)*(Equipar!AC:AC=A324)),""),"")</f>
        <v/>
      </c>
    </row>
    <row r="325" spans="1:10" x14ac:dyDescent="0.25">
      <c r="A325" s="1" t="str">
        <f ca="1">IF(A324="ID",1,IF(ISBLANK(B325),"",MAX(A$2:A324)+1))</f>
        <v/>
      </c>
      <c r="I325" s="2" t="str">
        <f ca="1">IF(ISNUMBER(A325),
IF(COUNTIFS(Equipar!B:B,3,Equipar!AC:AC,A325),"Equipada",
IF(
  OR(COUNTIFS(Equipar!B:B,3,Equipar!C:C,A325)
 +COUNTIFS(Equipar!B:B,3,Equipar!D:D,A325)
+COUNTIFS(Equipar!B:B,3,Equipar!E:E,A325)
+COUNTIFS(Equipar!B:B,3,Equipar!F:F,A325)
&gt;0,COUNTIF('Set recomendado'!B:B,C325)=0),
"Bloqueada",
"Desechable")),""
)</f>
        <v/>
      </c>
      <c r="J325" t="str" cm="1">
        <f t="array" aca="1" ref="J325" ca="1">IF(ISNUMBER(A325),IFERROR(_xlfn._xlws.FILTER(Equipar!A:A,(Equipar!B:B=3)*(Equipar!AC:AC=A325)),""),"")</f>
        <v/>
      </c>
    </row>
    <row r="326" spans="1:10" x14ac:dyDescent="0.25">
      <c r="A326" s="1" t="str">
        <f ca="1">IF(A325="ID",1,IF(ISBLANK(B326),"",MAX(A$2:A325)+1))</f>
        <v/>
      </c>
      <c r="I326" s="2" t="str">
        <f ca="1">IF(ISNUMBER(A326),
IF(COUNTIFS(Equipar!B:B,3,Equipar!AC:AC,A326),"Equipada",
IF(
  OR(COUNTIFS(Equipar!B:B,3,Equipar!C:C,A326)
 +COUNTIFS(Equipar!B:B,3,Equipar!D:D,A326)
+COUNTIFS(Equipar!B:B,3,Equipar!E:E,A326)
+COUNTIFS(Equipar!B:B,3,Equipar!F:F,A326)
&gt;0,COUNTIF('Set recomendado'!B:B,C326)=0),
"Bloqueada",
"Desechable")),""
)</f>
        <v/>
      </c>
      <c r="J326" t="str" cm="1">
        <f t="array" aca="1" ref="J326" ca="1">IF(ISNUMBER(A326),IFERROR(_xlfn._xlws.FILTER(Equipar!A:A,(Equipar!B:B=3)*(Equipar!AC:AC=A326)),""),"")</f>
        <v/>
      </c>
    </row>
    <row r="327" spans="1:10" x14ac:dyDescent="0.25">
      <c r="A327" s="1" t="str">
        <f ca="1">IF(A326="ID",1,IF(ISBLANK(B327),"",MAX(A$2:A326)+1))</f>
        <v/>
      </c>
      <c r="I327" s="2" t="str">
        <f ca="1">IF(ISNUMBER(A327),
IF(COUNTIFS(Equipar!B:B,3,Equipar!AC:AC,A327),"Equipada",
IF(
  OR(COUNTIFS(Equipar!B:B,3,Equipar!C:C,A327)
 +COUNTIFS(Equipar!B:B,3,Equipar!D:D,A327)
+COUNTIFS(Equipar!B:B,3,Equipar!E:E,A327)
+COUNTIFS(Equipar!B:B,3,Equipar!F:F,A327)
&gt;0,COUNTIF('Set recomendado'!B:B,C327)=0),
"Bloqueada",
"Desechable")),""
)</f>
        <v/>
      </c>
      <c r="J327" t="str" cm="1">
        <f t="array" aca="1" ref="J327" ca="1">IF(ISNUMBER(A327),IFERROR(_xlfn._xlws.FILTER(Equipar!A:A,(Equipar!B:B=3)*(Equipar!AC:AC=A327)),""),"")</f>
        <v/>
      </c>
    </row>
    <row r="328" spans="1:10" x14ac:dyDescent="0.25">
      <c r="A328" s="1" t="str">
        <f ca="1">IF(A327="ID",1,IF(ISBLANK(B328),"",MAX(A$2:A327)+1))</f>
        <v/>
      </c>
      <c r="I328" s="2" t="str">
        <f ca="1">IF(ISNUMBER(A328),
IF(COUNTIFS(Equipar!B:B,3,Equipar!AC:AC,A328),"Equipada",
IF(
  OR(COUNTIFS(Equipar!B:B,3,Equipar!C:C,A328)
 +COUNTIFS(Equipar!B:B,3,Equipar!D:D,A328)
+COUNTIFS(Equipar!B:B,3,Equipar!E:E,A328)
+COUNTIFS(Equipar!B:B,3,Equipar!F:F,A328)
&gt;0,COUNTIF('Set recomendado'!B:B,C328)=0),
"Bloqueada",
"Desechable")),""
)</f>
        <v/>
      </c>
      <c r="J328" t="str" cm="1">
        <f t="array" aca="1" ref="J328" ca="1">IF(ISNUMBER(A328),IFERROR(_xlfn._xlws.FILTER(Equipar!A:A,(Equipar!B:B=3)*(Equipar!AC:AC=A328)),""),"")</f>
        <v/>
      </c>
    </row>
    <row r="329" spans="1:10" x14ac:dyDescent="0.25">
      <c r="A329" s="1" t="str">
        <f ca="1">IF(A328="ID",1,IF(ISBLANK(B329),"",MAX(A$2:A328)+1))</f>
        <v/>
      </c>
      <c r="I329" s="2" t="str">
        <f ca="1">IF(ISNUMBER(A329),
IF(COUNTIFS(Equipar!B:B,3,Equipar!AC:AC,A329),"Equipada",
IF(
  OR(COUNTIFS(Equipar!B:B,3,Equipar!C:C,A329)
 +COUNTIFS(Equipar!B:B,3,Equipar!D:D,A329)
+COUNTIFS(Equipar!B:B,3,Equipar!E:E,A329)
+COUNTIFS(Equipar!B:B,3,Equipar!F:F,A329)
&gt;0,COUNTIF('Set recomendado'!B:B,C329)=0),
"Bloqueada",
"Desechable")),""
)</f>
        <v/>
      </c>
      <c r="J329" t="str" cm="1">
        <f t="array" aca="1" ref="J329" ca="1">IF(ISNUMBER(A329),IFERROR(_xlfn._xlws.FILTER(Equipar!A:A,(Equipar!B:B=3)*(Equipar!AC:AC=A329)),""),"")</f>
        <v/>
      </c>
    </row>
    <row r="330" spans="1:10" x14ac:dyDescent="0.25">
      <c r="A330" s="1" t="str">
        <f ca="1">IF(A329="ID",1,IF(ISBLANK(B330),"",MAX(A$2:A329)+1))</f>
        <v/>
      </c>
      <c r="I330" s="2" t="str">
        <f ca="1">IF(ISNUMBER(A330),
IF(COUNTIFS(Equipar!B:B,3,Equipar!AC:AC,A330),"Equipada",
IF(
  OR(COUNTIFS(Equipar!B:B,3,Equipar!C:C,A330)
 +COUNTIFS(Equipar!B:B,3,Equipar!D:D,A330)
+COUNTIFS(Equipar!B:B,3,Equipar!E:E,A330)
+COUNTIFS(Equipar!B:B,3,Equipar!F:F,A330)
&gt;0,COUNTIF('Set recomendado'!B:B,C330)=0),
"Bloqueada",
"Desechable")),""
)</f>
        <v/>
      </c>
      <c r="J330" t="str" cm="1">
        <f t="array" aca="1" ref="J330" ca="1">IF(ISNUMBER(A330),IFERROR(_xlfn._xlws.FILTER(Equipar!A:A,(Equipar!B:B=3)*(Equipar!AC:AC=A330)),""),"")</f>
        <v/>
      </c>
    </row>
    <row r="331" spans="1:10" x14ac:dyDescent="0.25">
      <c r="A331" s="1" t="str">
        <f ca="1">IF(A330="ID",1,IF(ISBLANK(B331),"",MAX(A$2:A330)+1))</f>
        <v/>
      </c>
      <c r="I331" s="2" t="str">
        <f ca="1">IF(ISNUMBER(A331),
IF(COUNTIFS(Equipar!B:B,3,Equipar!AC:AC,A331),"Equipada",
IF(
  OR(COUNTIFS(Equipar!B:B,3,Equipar!C:C,A331)
 +COUNTIFS(Equipar!B:B,3,Equipar!D:D,A331)
+COUNTIFS(Equipar!B:B,3,Equipar!E:E,A331)
+COUNTIFS(Equipar!B:B,3,Equipar!F:F,A331)
&gt;0,COUNTIF('Set recomendado'!B:B,C331)=0),
"Bloqueada",
"Desechable")),""
)</f>
        <v/>
      </c>
      <c r="J331" t="str" cm="1">
        <f t="array" aca="1" ref="J331" ca="1">IF(ISNUMBER(A331),IFERROR(_xlfn._xlws.FILTER(Equipar!A:A,(Equipar!B:B=3)*(Equipar!AC:AC=A331)),""),"")</f>
        <v/>
      </c>
    </row>
    <row r="332" spans="1:10" x14ac:dyDescent="0.25">
      <c r="A332" s="1" t="str">
        <f ca="1">IF(A331="ID",1,IF(ISBLANK(B332),"",MAX(A$2:A331)+1))</f>
        <v/>
      </c>
      <c r="I332" s="2" t="str">
        <f ca="1">IF(ISNUMBER(A332),
IF(COUNTIFS(Equipar!B:B,3,Equipar!AC:AC,A332),"Equipada",
IF(
  OR(COUNTIFS(Equipar!B:B,3,Equipar!C:C,A332)
 +COUNTIFS(Equipar!B:B,3,Equipar!D:D,A332)
+COUNTIFS(Equipar!B:B,3,Equipar!E:E,A332)
+COUNTIFS(Equipar!B:B,3,Equipar!F:F,A332)
&gt;0,COUNTIF('Set recomendado'!B:B,C332)=0),
"Bloqueada",
"Desechable")),""
)</f>
        <v/>
      </c>
      <c r="J332" t="str" cm="1">
        <f t="array" aca="1" ref="J332" ca="1">IF(ISNUMBER(A332),IFERROR(_xlfn._xlws.FILTER(Equipar!A:A,(Equipar!B:B=3)*(Equipar!AC:AC=A332)),""),"")</f>
        <v/>
      </c>
    </row>
    <row r="333" spans="1:10" x14ac:dyDescent="0.25">
      <c r="A333" s="1" t="str">
        <f ca="1">IF(A332="ID",1,IF(ISBLANK(B333),"",MAX(A$2:A332)+1))</f>
        <v/>
      </c>
      <c r="I333" s="2" t="str">
        <f ca="1">IF(ISNUMBER(A333),
IF(COUNTIFS(Equipar!B:B,3,Equipar!AC:AC,A333),"Equipada",
IF(
  OR(COUNTIFS(Equipar!B:B,3,Equipar!C:C,A333)
 +COUNTIFS(Equipar!B:B,3,Equipar!D:D,A333)
+COUNTIFS(Equipar!B:B,3,Equipar!E:E,A333)
+COUNTIFS(Equipar!B:B,3,Equipar!F:F,A333)
&gt;0,COUNTIF('Set recomendado'!B:B,C333)=0),
"Bloqueada",
"Desechable")),""
)</f>
        <v/>
      </c>
      <c r="J333" t="str" cm="1">
        <f t="array" aca="1" ref="J333" ca="1">IF(ISNUMBER(A333),IFERROR(_xlfn._xlws.FILTER(Equipar!A:A,(Equipar!B:B=3)*(Equipar!AC:AC=A333)),""),"")</f>
        <v/>
      </c>
    </row>
    <row r="334" spans="1:10" x14ac:dyDescent="0.25">
      <c r="A334" s="1" t="str">
        <f ca="1">IF(A333="ID",1,IF(ISBLANK(B334),"",MAX(A$2:A333)+1))</f>
        <v/>
      </c>
      <c r="I334" s="2" t="str">
        <f ca="1">IF(ISNUMBER(A334),
IF(COUNTIFS(Equipar!B:B,3,Equipar!AC:AC,A334),"Equipada",
IF(
  OR(COUNTIFS(Equipar!B:B,3,Equipar!C:C,A334)
 +COUNTIFS(Equipar!B:B,3,Equipar!D:D,A334)
+COUNTIFS(Equipar!B:B,3,Equipar!E:E,A334)
+COUNTIFS(Equipar!B:B,3,Equipar!F:F,A334)
&gt;0,COUNTIF('Set recomendado'!B:B,C334)=0),
"Bloqueada",
"Desechable")),""
)</f>
        <v/>
      </c>
      <c r="J334" t="str" cm="1">
        <f t="array" aca="1" ref="J334" ca="1">IF(ISNUMBER(A334),IFERROR(_xlfn._xlws.FILTER(Equipar!A:A,(Equipar!B:B=3)*(Equipar!AC:AC=A334)),""),"")</f>
        <v/>
      </c>
    </row>
    <row r="335" spans="1:10" x14ac:dyDescent="0.25">
      <c r="A335" s="1" t="str">
        <f ca="1">IF(A334="ID",1,IF(ISBLANK(B335),"",MAX(A$2:A334)+1))</f>
        <v/>
      </c>
      <c r="I335" s="2" t="str">
        <f ca="1">IF(ISNUMBER(A335),
IF(COUNTIFS(Equipar!B:B,3,Equipar!AC:AC,A335),"Equipada",
IF(
  OR(COUNTIFS(Equipar!B:B,3,Equipar!C:C,A335)
 +COUNTIFS(Equipar!B:B,3,Equipar!D:D,A335)
+COUNTIFS(Equipar!B:B,3,Equipar!E:E,A335)
+COUNTIFS(Equipar!B:B,3,Equipar!F:F,A335)
&gt;0,COUNTIF('Set recomendado'!B:B,C335)=0),
"Bloqueada",
"Desechable")),""
)</f>
        <v/>
      </c>
      <c r="J335" t="str" cm="1">
        <f t="array" aca="1" ref="J335" ca="1">IF(ISNUMBER(A335),IFERROR(_xlfn._xlws.FILTER(Equipar!A:A,(Equipar!B:B=3)*(Equipar!AC:AC=A335)),""),"")</f>
        <v/>
      </c>
    </row>
    <row r="336" spans="1:10" x14ac:dyDescent="0.25">
      <c r="A336" s="1" t="str">
        <f ca="1">IF(A335="ID",1,IF(ISBLANK(B336),"",MAX(A$2:A335)+1))</f>
        <v/>
      </c>
      <c r="I336" s="2" t="str">
        <f ca="1">IF(ISNUMBER(A336),
IF(COUNTIFS(Equipar!B:B,3,Equipar!AC:AC,A336),"Equipada",
IF(
  OR(COUNTIFS(Equipar!B:B,3,Equipar!C:C,A336)
 +COUNTIFS(Equipar!B:B,3,Equipar!D:D,A336)
+COUNTIFS(Equipar!B:B,3,Equipar!E:E,A336)
+COUNTIFS(Equipar!B:B,3,Equipar!F:F,A336)
&gt;0,COUNTIF('Set recomendado'!B:B,C336)=0),
"Bloqueada",
"Desechable")),""
)</f>
        <v/>
      </c>
      <c r="J336" t="str" cm="1">
        <f t="array" aca="1" ref="J336" ca="1">IF(ISNUMBER(A336),IFERROR(_xlfn._xlws.FILTER(Equipar!A:A,(Equipar!B:B=3)*(Equipar!AC:AC=A336)),""),"")</f>
        <v/>
      </c>
    </row>
    <row r="337" spans="1:10" x14ac:dyDescent="0.25">
      <c r="A337" s="1" t="str">
        <f ca="1">IF(A336="ID",1,IF(ISBLANK(B337),"",MAX(A$2:A336)+1))</f>
        <v/>
      </c>
      <c r="I337" s="2" t="str">
        <f ca="1">IF(ISNUMBER(A337),
IF(COUNTIFS(Equipar!B:B,3,Equipar!AC:AC,A337),"Equipada",
IF(
  OR(COUNTIFS(Equipar!B:B,3,Equipar!C:C,A337)
 +COUNTIFS(Equipar!B:B,3,Equipar!D:D,A337)
+COUNTIFS(Equipar!B:B,3,Equipar!E:E,A337)
+COUNTIFS(Equipar!B:B,3,Equipar!F:F,A337)
&gt;0,COUNTIF('Set recomendado'!B:B,C337)=0),
"Bloqueada",
"Desechable")),""
)</f>
        <v/>
      </c>
      <c r="J337" t="str" cm="1">
        <f t="array" aca="1" ref="J337" ca="1">IF(ISNUMBER(A337),IFERROR(_xlfn._xlws.FILTER(Equipar!A:A,(Equipar!B:B=3)*(Equipar!AC:AC=A337)),""),"")</f>
        <v/>
      </c>
    </row>
    <row r="338" spans="1:10" x14ac:dyDescent="0.25">
      <c r="A338" s="1" t="str">
        <f ca="1">IF(A337="ID",1,IF(ISBLANK(B338),"",MAX(A$2:A337)+1))</f>
        <v/>
      </c>
      <c r="I338" s="2" t="str">
        <f ca="1">IF(ISNUMBER(A338),
IF(COUNTIFS(Equipar!B:B,3,Equipar!AC:AC,A338),"Equipada",
IF(
  OR(COUNTIFS(Equipar!B:B,3,Equipar!C:C,A338)
 +COUNTIFS(Equipar!B:B,3,Equipar!D:D,A338)
+COUNTIFS(Equipar!B:B,3,Equipar!E:E,A338)
+COUNTIFS(Equipar!B:B,3,Equipar!F:F,A338)
&gt;0,COUNTIF('Set recomendado'!B:B,C338)=0),
"Bloqueada",
"Desechable")),""
)</f>
        <v/>
      </c>
      <c r="J338" t="str" cm="1">
        <f t="array" aca="1" ref="J338" ca="1">IF(ISNUMBER(A338),IFERROR(_xlfn._xlws.FILTER(Equipar!A:A,(Equipar!B:B=3)*(Equipar!AC:AC=A338)),""),"")</f>
        <v/>
      </c>
    </row>
    <row r="339" spans="1:10" x14ac:dyDescent="0.25">
      <c r="A339" s="1" t="str">
        <f ca="1">IF(A338="ID",1,IF(ISBLANK(B339),"",MAX(A$2:A338)+1))</f>
        <v/>
      </c>
      <c r="I339" s="2" t="str">
        <f ca="1">IF(ISNUMBER(A339),
IF(COUNTIFS(Equipar!B:B,3,Equipar!AC:AC,A339),"Equipada",
IF(
  OR(COUNTIFS(Equipar!B:B,3,Equipar!C:C,A339)
 +COUNTIFS(Equipar!B:B,3,Equipar!D:D,A339)
+COUNTIFS(Equipar!B:B,3,Equipar!E:E,A339)
+COUNTIFS(Equipar!B:B,3,Equipar!F:F,A339)
&gt;0,COUNTIF('Set recomendado'!B:B,C339)=0),
"Bloqueada",
"Desechable")),""
)</f>
        <v/>
      </c>
      <c r="J339" t="str" cm="1">
        <f t="array" aca="1" ref="J339" ca="1">IF(ISNUMBER(A339),IFERROR(_xlfn._xlws.FILTER(Equipar!A:A,(Equipar!B:B=3)*(Equipar!AC:AC=A339)),""),"")</f>
        <v/>
      </c>
    </row>
    <row r="340" spans="1:10" x14ac:dyDescent="0.25">
      <c r="A340" s="1" t="str">
        <f ca="1">IF(A339="ID",1,IF(ISBLANK(B340),"",MAX(A$2:A339)+1))</f>
        <v/>
      </c>
      <c r="I340" s="2" t="str">
        <f ca="1">IF(ISNUMBER(A340),
IF(COUNTIFS(Equipar!B:B,3,Equipar!AC:AC,A340),"Equipada",
IF(
  OR(COUNTIFS(Equipar!B:B,3,Equipar!C:C,A340)
 +COUNTIFS(Equipar!B:B,3,Equipar!D:D,A340)
+COUNTIFS(Equipar!B:B,3,Equipar!E:E,A340)
+COUNTIFS(Equipar!B:B,3,Equipar!F:F,A340)
&gt;0,COUNTIF('Set recomendado'!B:B,C340)=0),
"Bloqueada",
"Desechable")),""
)</f>
        <v/>
      </c>
      <c r="J340" t="str" cm="1">
        <f t="array" aca="1" ref="J340" ca="1">IF(ISNUMBER(A340),IFERROR(_xlfn._xlws.FILTER(Equipar!A:A,(Equipar!B:B=3)*(Equipar!AC:AC=A340)),""),"")</f>
        <v/>
      </c>
    </row>
    <row r="341" spans="1:10" x14ac:dyDescent="0.25">
      <c r="A341" s="1" t="str">
        <f ca="1">IF(A340="ID",1,IF(ISBLANK(B341),"",MAX(A$2:A340)+1))</f>
        <v/>
      </c>
      <c r="I341" s="2" t="str">
        <f ca="1">IF(ISNUMBER(A341),
IF(COUNTIFS(Equipar!B:B,3,Equipar!AC:AC,A341),"Equipada",
IF(
  OR(COUNTIFS(Equipar!B:B,3,Equipar!C:C,A341)
 +COUNTIFS(Equipar!B:B,3,Equipar!D:D,A341)
+COUNTIFS(Equipar!B:B,3,Equipar!E:E,A341)
+COUNTIFS(Equipar!B:B,3,Equipar!F:F,A341)
&gt;0,COUNTIF('Set recomendado'!B:B,C341)=0),
"Bloqueada",
"Desechable")),""
)</f>
        <v/>
      </c>
      <c r="J341" t="str" cm="1">
        <f t="array" aca="1" ref="J341" ca="1">IF(ISNUMBER(A341),IFERROR(_xlfn._xlws.FILTER(Equipar!A:A,(Equipar!B:B=3)*(Equipar!AC:AC=A341)),""),"")</f>
        <v/>
      </c>
    </row>
    <row r="342" spans="1:10" x14ac:dyDescent="0.25">
      <c r="A342" s="1" t="str">
        <f ca="1">IF(A341="ID",1,IF(ISBLANK(B342),"",MAX(A$2:A341)+1))</f>
        <v/>
      </c>
      <c r="I342" s="2" t="str">
        <f ca="1">IF(ISNUMBER(A342),
IF(COUNTIFS(Equipar!B:B,3,Equipar!AC:AC,A342),"Equipada",
IF(
  OR(COUNTIFS(Equipar!B:B,3,Equipar!C:C,A342)
 +COUNTIFS(Equipar!B:B,3,Equipar!D:D,A342)
+COUNTIFS(Equipar!B:B,3,Equipar!E:E,A342)
+COUNTIFS(Equipar!B:B,3,Equipar!F:F,A342)
&gt;0,COUNTIF('Set recomendado'!B:B,C342)=0),
"Bloqueada",
"Desechable")),""
)</f>
        <v/>
      </c>
      <c r="J342" t="str" cm="1">
        <f t="array" aca="1" ref="J342" ca="1">IF(ISNUMBER(A342),IFERROR(_xlfn._xlws.FILTER(Equipar!A:A,(Equipar!B:B=3)*(Equipar!AC:AC=A342)),""),"")</f>
        <v/>
      </c>
    </row>
    <row r="343" spans="1:10" x14ac:dyDescent="0.25">
      <c r="A343" s="1" t="str">
        <f ca="1">IF(A342="ID",1,IF(ISBLANK(B343),"",MAX(A$2:A342)+1))</f>
        <v/>
      </c>
      <c r="I343" s="2" t="str">
        <f ca="1">IF(ISNUMBER(A343),
IF(COUNTIFS(Equipar!B:B,3,Equipar!AC:AC,A343),"Equipada",
IF(
  OR(COUNTIFS(Equipar!B:B,3,Equipar!C:C,A343)
 +COUNTIFS(Equipar!B:B,3,Equipar!D:D,A343)
+COUNTIFS(Equipar!B:B,3,Equipar!E:E,A343)
+COUNTIFS(Equipar!B:B,3,Equipar!F:F,A343)
&gt;0,COUNTIF('Set recomendado'!B:B,C343)=0),
"Bloqueada",
"Desechable")),""
)</f>
        <v/>
      </c>
      <c r="J343" t="str" cm="1">
        <f t="array" aca="1" ref="J343" ca="1">IF(ISNUMBER(A343),IFERROR(_xlfn._xlws.FILTER(Equipar!A:A,(Equipar!B:B=3)*(Equipar!AC:AC=A343)),""),"")</f>
        <v/>
      </c>
    </row>
    <row r="344" spans="1:10" x14ac:dyDescent="0.25">
      <c r="A344" s="1" t="str">
        <f ca="1">IF(A343="ID",1,IF(ISBLANK(B344),"",MAX(A$2:A343)+1))</f>
        <v/>
      </c>
      <c r="I344" s="2" t="str">
        <f ca="1">IF(ISNUMBER(A344),
IF(COUNTIFS(Equipar!B:B,3,Equipar!AC:AC,A344),"Equipada",
IF(
  OR(COUNTIFS(Equipar!B:B,3,Equipar!C:C,A344)
 +COUNTIFS(Equipar!B:B,3,Equipar!D:D,A344)
+COUNTIFS(Equipar!B:B,3,Equipar!E:E,A344)
+COUNTIFS(Equipar!B:B,3,Equipar!F:F,A344)
&gt;0,COUNTIF('Set recomendado'!B:B,C344)=0),
"Bloqueada",
"Desechable")),""
)</f>
        <v/>
      </c>
      <c r="J344" t="str" cm="1">
        <f t="array" aca="1" ref="J344" ca="1">IF(ISNUMBER(A344),IFERROR(_xlfn._xlws.FILTER(Equipar!A:A,(Equipar!B:B=3)*(Equipar!AC:AC=A344)),""),"")</f>
        <v/>
      </c>
    </row>
    <row r="345" spans="1:10" x14ac:dyDescent="0.25">
      <c r="A345" s="1" t="str">
        <f ca="1">IF(A344="ID",1,IF(ISBLANK(B345),"",MAX(A$2:A344)+1))</f>
        <v/>
      </c>
      <c r="I345" s="2" t="str">
        <f ca="1">IF(ISNUMBER(A345),
IF(COUNTIFS(Equipar!B:B,3,Equipar!AC:AC,A345),"Equipada",
IF(
  OR(COUNTIFS(Equipar!B:B,3,Equipar!C:C,A345)
 +COUNTIFS(Equipar!B:B,3,Equipar!D:D,A345)
+COUNTIFS(Equipar!B:B,3,Equipar!E:E,A345)
+COUNTIFS(Equipar!B:B,3,Equipar!F:F,A345)
&gt;0,COUNTIF('Set recomendado'!B:B,C345)=0),
"Bloqueada",
"Desechable")),""
)</f>
        <v/>
      </c>
      <c r="J345" t="str" cm="1">
        <f t="array" aca="1" ref="J345" ca="1">IF(ISNUMBER(A345),IFERROR(_xlfn._xlws.FILTER(Equipar!A:A,(Equipar!B:B=3)*(Equipar!AC:AC=A345)),""),"")</f>
        <v/>
      </c>
    </row>
    <row r="346" spans="1:10" x14ac:dyDescent="0.25">
      <c r="A346" s="1" t="str">
        <f ca="1">IF(A345="ID",1,IF(ISBLANK(B346),"",MAX(A$2:A345)+1))</f>
        <v/>
      </c>
      <c r="I346" s="2" t="str">
        <f ca="1">IF(ISNUMBER(A346),
IF(COUNTIFS(Equipar!B:B,3,Equipar!AC:AC,A346),"Equipada",
IF(
  OR(COUNTIFS(Equipar!B:B,3,Equipar!C:C,A346)
 +COUNTIFS(Equipar!B:B,3,Equipar!D:D,A346)
+COUNTIFS(Equipar!B:B,3,Equipar!E:E,A346)
+COUNTIFS(Equipar!B:B,3,Equipar!F:F,A346)
&gt;0,COUNTIF('Set recomendado'!B:B,C346)=0),
"Bloqueada",
"Desechable")),""
)</f>
        <v/>
      </c>
      <c r="J346" t="str" cm="1">
        <f t="array" aca="1" ref="J346" ca="1">IF(ISNUMBER(A346),IFERROR(_xlfn._xlws.FILTER(Equipar!A:A,(Equipar!B:B=3)*(Equipar!AC:AC=A346)),""),"")</f>
        <v/>
      </c>
    </row>
    <row r="347" spans="1:10" x14ac:dyDescent="0.25">
      <c r="A347" s="1" t="str">
        <f ca="1">IF(A346="ID",1,IF(ISBLANK(B347),"",MAX(A$2:A346)+1))</f>
        <v/>
      </c>
      <c r="I347" s="2" t="str">
        <f ca="1">IF(ISNUMBER(A347),
IF(COUNTIFS(Equipar!B:B,3,Equipar!AC:AC,A347),"Equipada",
IF(
  OR(COUNTIFS(Equipar!B:B,3,Equipar!C:C,A347)
 +COUNTIFS(Equipar!B:B,3,Equipar!D:D,A347)
+COUNTIFS(Equipar!B:B,3,Equipar!E:E,A347)
+COUNTIFS(Equipar!B:B,3,Equipar!F:F,A347)
&gt;0,COUNTIF('Set recomendado'!B:B,C347)=0),
"Bloqueada",
"Desechable")),""
)</f>
        <v/>
      </c>
      <c r="J347" t="str" cm="1">
        <f t="array" aca="1" ref="J347" ca="1">IF(ISNUMBER(A347),IFERROR(_xlfn._xlws.FILTER(Equipar!A:A,(Equipar!B:B=3)*(Equipar!AC:AC=A347)),""),"")</f>
        <v/>
      </c>
    </row>
    <row r="348" spans="1:10" x14ac:dyDescent="0.25">
      <c r="A348" s="1" t="str">
        <f ca="1">IF(A347="ID",1,IF(ISBLANK(B348),"",MAX(A$2:A347)+1))</f>
        <v/>
      </c>
      <c r="I348" s="2" t="str">
        <f ca="1">IF(ISNUMBER(A348),
IF(COUNTIFS(Equipar!B:B,3,Equipar!AC:AC,A348),"Equipada",
IF(
  OR(COUNTIFS(Equipar!B:B,3,Equipar!C:C,A348)
 +COUNTIFS(Equipar!B:B,3,Equipar!D:D,A348)
+COUNTIFS(Equipar!B:B,3,Equipar!E:E,A348)
+COUNTIFS(Equipar!B:B,3,Equipar!F:F,A348)
&gt;0,COUNTIF('Set recomendado'!B:B,C348)=0),
"Bloqueada",
"Desechable")),""
)</f>
        <v/>
      </c>
      <c r="J348" t="str" cm="1">
        <f t="array" aca="1" ref="J348" ca="1">IF(ISNUMBER(A348),IFERROR(_xlfn._xlws.FILTER(Equipar!A:A,(Equipar!B:B=3)*(Equipar!AC:AC=A348)),""),"")</f>
        <v/>
      </c>
    </row>
    <row r="349" spans="1:10" x14ac:dyDescent="0.25">
      <c r="A349" s="1" t="str">
        <f ca="1">IF(A348="ID",1,IF(ISBLANK(B349),"",MAX(A$2:A348)+1))</f>
        <v/>
      </c>
      <c r="I349" s="2" t="str">
        <f ca="1">IF(ISNUMBER(A349),
IF(COUNTIFS(Equipar!B:B,3,Equipar!AC:AC,A349),"Equipada",
IF(
  OR(COUNTIFS(Equipar!B:B,3,Equipar!C:C,A349)
 +COUNTIFS(Equipar!B:B,3,Equipar!D:D,A349)
+COUNTIFS(Equipar!B:B,3,Equipar!E:E,A349)
+COUNTIFS(Equipar!B:B,3,Equipar!F:F,A349)
&gt;0,COUNTIF('Set recomendado'!B:B,C349)=0),
"Bloqueada",
"Desechable")),""
)</f>
        <v/>
      </c>
      <c r="J349" t="str" cm="1">
        <f t="array" aca="1" ref="J349" ca="1">IF(ISNUMBER(A349),IFERROR(_xlfn._xlws.FILTER(Equipar!A:A,(Equipar!B:B=3)*(Equipar!AC:AC=A349)),""),"")</f>
        <v/>
      </c>
    </row>
    <row r="350" spans="1:10" x14ac:dyDescent="0.25">
      <c r="A350" s="1" t="str">
        <f ca="1">IF(A349="ID",1,IF(ISBLANK(B350),"",MAX(A$2:A349)+1))</f>
        <v/>
      </c>
      <c r="I350" s="2" t="str">
        <f ca="1">IF(ISNUMBER(A350),
IF(COUNTIFS(Equipar!B:B,3,Equipar!AC:AC,A350),"Equipada",
IF(
  OR(COUNTIFS(Equipar!B:B,3,Equipar!C:C,A350)
 +COUNTIFS(Equipar!B:B,3,Equipar!D:D,A350)
+COUNTIFS(Equipar!B:B,3,Equipar!E:E,A350)
+COUNTIFS(Equipar!B:B,3,Equipar!F:F,A350)
&gt;0,COUNTIF('Set recomendado'!B:B,C350)=0),
"Bloqueada",
"Desechable")),""
)</f>
        <v/>
      </c>
      <c r="J350" t="str" cm="1">
        <f t="array" aca="1" ref="J350" ca="1">IF(ISNUMBER(A350),IFERROR(_xlfn._xlws.FILTER(Equipar!A:A,(Equipar!B:B=3)*(Equipar!AC:AC=A350)),""),"")</f>
        <v/>
      </c>
    </row>
    <row r="351" spans="1:10" x14ac:dyDescent="0.25">
      <c r="A351" s="1" t="str">
        <f ca="1">IF(A350="ID",1,IF(ISBLANK(B351),"",MAX(A$2:A350)+1))</f>
        <v/>
      </c>
      <c r="I351" s="2" t="str">
        <f ca="1">IF(ISNUMBER(A351),
IF(COUNTIFS(Equipar!B:B,3,Equipar!AC:AC,A351),"Equipada",
IF(
  OR(COUNTIFS(Equipar!B:B,3,Equipar!C:C,A351)
 +COUNTIFS(Equipar!B:B,3,Equipar!D:D,A351)
+COUNTIFS(Equipar!B:B,3,Equipar!E:E,A351)
+COUNTIFS(Equipar!B:B,3,Equipar!F:F,A351)
&gt;0,COUNTIF('Set recomendado'!B:B,C351)=0),
"Bloqueada",
"Desechable")),""
)</f>
        <v/>
      </c>
      <c r="J351" t="str" cm="1">
        <f t="array" aca="1" ref="J351" ca="1">IF(ISNUMBER(A351),IFERROR(_xlfn._xlws.FILTER(Equipar!A:A,(Equipar!B:B=3)*(Equipar!AC:AC=A351)),""),"")</f>
        <v/>
      </c>
    </row>
    <row r="352" spans="1:10" x14ac:dyDescent="0.25">
      <c r="A352" s="1" t="str">
        <f ca="1">IF(A351="ID",1,IF(ISBLANK(B352),"",MAX(A$2:A351)+1))</f>
        <v/>
      </c>
      <c r="I352" s="2" t="str">
        <f ca="1">IF(ISNUMBER(A352),
IF(COUNTIFS(Equipar!B:B,3,Equipar!AC:AC,A352),"Equipada",
IF(
  OR(COUNTIFS(Equipar!B:B,3,Equipar!C:C,A352)
 +COUNTIFS(Equipar!B:B,3,Equipar!D:D,A352)
+COUNTIFS(Equipar!B:B,3,Equipar!E:E,A352)
+COUNTIFS(Equipar!B:B,3,Equipar!F:F,A352)
&gt;0,COUNTIF('Set recomendado'!B:B,C352)=0),
"Bloqueada",
"Desechable")),""
)</f>
        <v/>
      </c>
      <c r="J352" t="str" cm="1">
        <f t="array" aca="1" ref="J352" ca="1">IF(ISNUMBER(A352),IFERROR(_xlfn._xlws.FILTER(Equipar!A:A,(Equipar!B:B=3)*(Equipar!AC:AC=A352)),""),"")</f>
        <v/>
      </c>
    </row>
    <row r="353" spans="1:10" x14ac:dyDescent="0.25">
      <c r="A353" s="1" t="str">
        <f ca="1">IF(A352="ID",1,IF(ISBLANK(B353),"",MAX(A$2:A352)+1))</f>
        <v/>
      </c>
      <c r="I353" s="2" t="str">
        <f ca="1">IF(ISNUMBER(A353),
IF(COUNTIFS(Equipar!B:B,3,Equipar!AC:AC,A353),"Equipada",
IF(
  OR(COUNTIFS(Equipar!B:B,3,Equipar!C:C,A353)
 +COUNTIFS(Equipar!B:B,3,Equipar!D:D,A353)
+COUNTIFS(Equipar!B:B,3,Equipar!E:E,A353)
+COUNTIFS(Equipar!B:B,3,Equipar!F:F,A353)
&gt;0,COUNTIF('Set recomendado'!B:B,C353)=0),
"Bloqueada",
"Desechable")),""
)</f>
        <v/>
      </c>
      <c r="J353" t="str" cm="1">
        <f t="array" aca="1" ref="J353" ca="1">IF(ISNUMBER(A353),IFERROR(_xlfn._xlws.FILTER(Equipar!A:A,(Equipar!B:B=3)*(Equipar!AC:AC=A353)),""),"")</f>
        <v/>
      </c>
    </row>
    <row r="354" spans="1:10" x14ac:dyDescent="0.25">
      <c r="A354" s="1" t="str">
        <f ca="1">IF(A353="ID",1,IF(ISBLANK(B354),"",MAX(A$2:A353)+1))</f>
        <v/>
      </c>
      <c r="I354" s="2" t="str">
        <f ca="1">IF(ISNUMBER(A354),
IF(COUNTIFS(Equipar!B:B,3,Equipar!AC:AC,A354),"Equipada",
IF(
  OR(COUNTIFS(Equipar!B:B,3,Equipar!C:C,A354)
 +COUNTIFS(Equipar!B:B,3,Equipar!D:D,A354)
+COUNTIFS(Equipar!B:B,3,Equipar!E:E,A354)
+COUNTIFS(Equipar!B:B,3,Equipar!F:F,A354)
&gt;0,COUNTIF('Set recomendado'!B:B,C354)=0),
"Bloqueada",
"Desechable")),""
)</f>
        <v/>
      </c>
      <c r="J354" t="str" cm="1">
        <f t="array" aca="1" ref="J354" ca="1">IF(ISNUMBER(A354),IFERROR(_xlfn._xlws.FILTER(Equipar!A:A,(Equipar!B:B=3)*(Equipar!AC:AC=A354)),""),"")</f>
        <v/>
      </c>
    </row>
    <row r="355" spans="1:10" x14ac:dyDescent="0.25">
      <c r="A355" s="1" t="str">
        <f ca="1">IF(A354="ID",1,IF(ISBLANK(B355),"",MAX(A$2:A354)+1))</f>
        <v/>
      </c>
      <c r="I355" s="2" t="str">
        <f ca="1">IF(ISNUMBER(A355),
IF(COUNTIFS(Equipar!B:B,3,Equipar!AC:AC,A355),"Equipada",
IF(
  OR(COUNTIFS(Equipar!B:B,3,Equipar!C:C,A355)
 +COUNTIFS(Equipar!B:B,3,Equipar!D:D,A355)
+COUNTIFS(Equipar!B:B,3,Equipar!E:E,A355)
+COUNTIFS(Equipar!B:B,3,Equipar!F:F,A355)
&gt;0,COUNTIF('Set recomendado'!B:B,C355)=0),
"Bloqueada",
"Desechable")),""
)</f>
        <v/>
      </c>
      <c r="J355" t="str" cm="1">
        <f t="array" aca="1" ref="J355" ca="1">IF(ISNUMBER(A355),IFERROR(_xlfn._xlws.FILTER(Equipar!A:A,(Equipar!B:B=3)*(Equipar!AC:AC=A355)),""),"")</f>
        <v/>
      </c>
    </row>
    <row r="356" spans="1:10" x14ac:dyDescent="0.25">
      <c r="A356" s="1" t="str">
        <f ca="1">IF(A355="ID",1,IF(ISBLANK(B356),"",MAX(A$2:A355)+1))</f>
        <v/>
      </c>
      <c r="I356" s="2" t="str">
        <f ca="1">IF(ISNUMBER(A356),
IF(COUNTIFS(Equipar!B:B,3,Equipar!AC:AC,A356),"Equipada",
IF(
  OR(COUNTIFS(Equipar!B:B,3,Equipar!C:C,A356)
 +COUNTIFS(Equipar!B:B,3,Equipar!D:D,A356)
+COUNTIFS(Equipar!B:B,3,Equipar!E:E,A356)
+COUNTIFS(Equipar!B:B,3,Equipar!F:F,A356)
&gt;0,COUNTIF('Set recomendado'!B:B,C356)=0),
"Bloqueada",
"Desechable")),""
)</f>
        <v/>
      </c>
      <c r="J356" t="str" cm="1">
        <f t="array" aca="1" ref="J356" ca="1">IF(ISNUMBER(A356),IFERROR(_xlfn._xlws.FILTER(Equipar!A:A,(Equipar!B:B=3)*(Equipar!AC:AC=A356)),""),"")</f>
        <v/>
      </c>
    </row>
    <row r="357" spans="1:10" x14ac:dyDescent="0.25">
      <c r="A357" s="1" t="str">
        <f ca="1">IF(A356="ID",1,IF(ISBLANK(B357),"",MAX(A$2:A356)+1))</f>
        <v/>
      </c>
      <c r="I357" s="2" t="str">
        <f ca="1">IF(ISNUMBER(A357),
IF(COUNTIFS(Equipar!B:B,3,Equipar!AC:AC,A357),"Equipada",
IF(
  OR(COUNTIFS(Equipar!B:B,3,Equipar!C:C,A357)
 +COUNTIFS(Equipar!B:B,3,Equipar!D:D,A357)
+COUNTIFS(Equipar!B:B,3,Equipar!E:E,A357)
+COUNTIFS(Equipar!B:B,3,Equipar!F:F,A357)
&gt;0,COUNTIF('Set recomendado'!B:B,C357)=0),
"Bloqueada",
"Desechable")),""
)</f>
        <v/>
      </c>
      <c r="J357" t="str" cm="1">
        <f t="array" aca="1" ref="J357" ca="1">IF(ISNUMBER(A357),IFERROR(_xlfn._xlws.FILTER(Equipar!A:A,(Equipar!B:B=3)*(Equipar!AC:AC=A357)),""),"")</f>
        <v/>
      </c>
    </row>
    <row r="358" spans="1:10" x14ac:dyDescent="0.25">
      <c r="A358" s="1" t="str">
        <f ca="1">IF(A357="ID",1,IF(ISBLANK(B358),"",MAX(A$2:A357)+1))</f>
        <v/>
      </c>
      <c r="I358" s="2" t="str">
        <f ca="1">IF(ISNUMBER(A358),
IF(COUNTIFS(Equipar!B:B,3,Equipar!AC:AC,A358),"Equipada",
IF(
  OR(COUNTIFS(Equipar!B:B,3,Equipar!C:C,A358)
 +COUNTIFS(Equipar!B:B,3,Equipar!D:D,A358)
+COUNTIFS(Equipar!B:B,3,Equipar!E:E,A358)
+COUNTIFS(Equipar!B:B,3,Equipar!F:F,A358)
&gt;0,COUNTIF('Set recomendado'!B:B,C358)=0),
"Bloqueada",
"Desechable")),""
)</f>
        <v/>
      </c>
      <c r="J358" t="str" cm="1">
        <f t="array" aca="1" ref="J358" ca="1">IF(ISNUMBER(A358),IFERROR(_xlfn._xlws.FILTER(Equipar!A:A,(Equipar!B:B=3)*(Equipar!AC:AC=A358)),""),"")</f>
        <v/>
      </c>
    </row>
    <row r="359" spans="1:10" x14ac:dyDescent="0.25">
      <c r="A359" s="1" t="str">
        <f ca="1">IF(A358="ID",1,IF(ISBLANK(B359),"",MAX(A$2:A358)+1))</f>
        <v/>
      </c>
      <c r="I359" s="2" t="str">
        <f ca="1">IF(ISNUMBER(A359),
IF(COUNTIFS(Equipar!B:B,3,Equipar!AC:AC,A359),"Equipada",
IF(
  OR(COUNTIFS(Equipar!B:B,3,Equipar!C:C,A359)
 +COUNTIFS(Equipar!B:B,3,Equipar!D:D,A359)
+COUNTIFS(Equipar!B:B,3,Equipar!E:E,A359)
+COUNTIFS(Equipar!B:B,3,Equipar!F:F,A359)
&gt;0,COUNTIF('Set recomendado'!B:B,C359)=0),
"Bloqueada",
"Desechable")),""
)</f>
        <v/>
      </c>
      <c r="J359" t="str" cm="1">
        <f t="array" aca="1" ref="J359" ca="1">IF(ISNUMBER(A359),IFERROR(_xlfn._xlws.FILTER(Equipar!A:A,(Equipar!B:B=3)*(Equipar!AC:AC=A359)),""),"")</f>
        <v/>
      </c>
    </row>
    <row r="360" spans="1:10" x14ac:dyDescent="0.25">
      <c r="A360" s="1" t="str">
        <f ca="1">IF(A359="ID",1,IF(ISBLANK(B360),"",MAX(A$2:A359)+1))</f>
        <v/>
      </c>
      <c r="I360" s="2" t="str">
        <f ca="1">IF(ISNUMBER(A360),
IF(COUNTIFS(Equipar!B:B,3,Equipar!AC:AC,A360),"Equipada",
IF(
  OR(COUNTIFS(Equipar!B:B,3,Equipar!C:C,A360)
 +COUNTIFS(Equipar!B:B,3,Equipar!D:D,A360)
+COUNTIFS(Equipar!B:B,3,Equipar!E:E,A360)
+COUNTIFS(Equipar!B:B,3,Equipar!F:F,A360)
&gt;0,COUNTIF('Set recomendado'!B:B,C360)=0),
"Bloqueada",
"Desechable")),""
)</f>
        <v/>
      </c>
      <c r="J360" t="str" cm="1">
        <f t="array" aca="1" ref="J360" ca="1">IF(ISNUMBER(A360),IFERROR(_xlfn._xlws.FILTER(Equipar!A:A,(Equipar!B:B=3)*(Equipar!AC:AC=A360)),""),"")</f>
        <v/>
      </c>
    </row>
    <row r="361" spans="1:10" x14ac:dyDescent="0.25">
      <c r="A361" s="1" t="str">
        <f ca="1">IF(A360="ID",1,IF(ISBLANK(B361),"",MAX(A$2:A360)+1))</f>
        <v/>
      </c>
      <c r="I361" s="2" t="str">
        <f ca="1">IF(ISNUMBER(A361),
IF(COUNTIFS(Equipar!B:B,3,Equipar!AC:AC,A361),"Equipada",
IF(
  OR(COUNTIFS(Equipar!B:B,3,Equipar!C:C,A361)
 +COUNTIFS(Equipar!B:B,3,Equipar!D:D,A361)
+COUNTIFS(Equipar!B:B,3,Equipar!E:E,A361)
+COUNTIFS(Equipar!B:B,3,Equipar!F:F,A361)
&gt;0,COUNTIF('Set recomendado'!B:B,C361)=0),
"Bloqueada",
"Desechable")),""
)</f>
        <v/>
      </c>
      <c r="J361" t="str" cm="1">
        <f t="array" aca="1" ref="J361" ca="1">IF(ISNUMBER(A361),IFERROR(_xlfn._xlws.FILTER(Equipar!A:A,(Equipar!B:B=3)*(Equipar!AC:AC=A361)),""),"")</f>
        <v/>
      </c>
    </row>
    <row r="362" spans="1:10" x14ac:dyDescent="0.25">
      <c r="A362" s="1" t="str">
        <f ca="1">IF(A361="ID",1,IF(ISBLANK(B362),"",MAX(A$2:A361)+1))</f>
        <v/>
      </c>
      <c r="I362" s="2" t="str">
        <f ca="1">IF(ISNUMBER(A362),
IF(COUNTIFS(Equipar!B:B,3,Equipar!AC:AC,A362),"Equipada",
IF(
  OR(COUNTIFS(Equipar!B:B,3,Equipar!C:C,A362)
 +COUNTIFS(Equipar!B:B,3,Equipar!D:D,A362)
+COUNTIFS(Equipar!B:B,3,Equipar!E:E,A362)
+COUNTIFS(Equipar!B:B,3,Equipar!F:F,A362)
&gt;0,COUNTIF('Set recomendado'!B:B,C362)=0),
"Bloqueada",
"Desechable")),""
)</f>
        <v/>
      </c>
      <c r="J362" t="str" cm="1">
        <f t="array" aca="1" ref="J362" ca="1">IF(ISNUMBER(A362),IFERROR(_xlfn._xlws.FILTER(Equipar!A:A,(Equipar!B:B=3)*(Equipar!AC:AC=A362)),""),"")</f>
        <v/>
      </c>
    </row>
    <row r="363" spans="1:10" x14ac:dyDescent="0.25">
      <c r="A363" s="1" t="str">
        <f ca="1">IF(A362="ID",1,IF(ISBLANK(B363),"",MAX(A$2:A362)+1))</f>
        <v/>
      </c>
      <c r="I363" s="2" t="str">
        <f ca="1">IF(ISNUMBER(A363),
IF(COUNTIFS(Equipar!B:B,3,Equipar!AC:AC,A363),"Equipada",
IF(
  OR(COUNTIFS(Equipar!B:B,3,Equipar!C:C,A363)
 +COUNTIFS(Equipar!B:B,3,Equipar!D:D,A363)
+COUNTIFS(Equipar!B:B,3,Equipar!E:E,A363)
+COUNTIFS(Equipar!B:B,3,Equipar!F:F,A363)
&gt;0,COUNTIF('Set recomendado'!B:B,C363)=0),
"Bloqueada",
"Desechable")),""
)</f>
        <v/>
      </c>
      <c r="J363" t="str" cm="1">
        <f t="array" aca="1" ref="J363" ca="1">IF(ISNUMBER(A363),IFERROR(_xlfn._xlws.FILTER(Equipar!A:A,(Equipar!B:B=3)*(Equipar!AC:AC=A363)),""),"")</f>
        <v/>
      </c>
    </row>
    <row r="364" spans="1:10" x14ac:dyDescent="0.25">
      <c r="A364" s="1" t="str">
        <f ca="1">IF(A363="ID",1,IF(ISBLANK(B364),"",MAX(A$2:A363)+1))</f>
        <v/>
      </c>
      <c r="I364" s="2" t="str">
        <f ca="1">IF(ISNUMBER(A364),
IF(COUNTIFS(Equipar!B:B,3,Equipar!AC:AC,A364),"Equipada",
IF(
  OR(COUNTIFS(Equipar!B:B,3,Equipar!C:C,A364)
 +COUNTIFS(Equipar!B:B,3,Equipar!D:D,A364)
+COUNTIFS(Equipar!B:B,3,Equipar!E:E,A364)
+COUNTIFS(Equipar!B:B,3,Equipar!F:F,A364)
&gt;0,COUNTIF('Set recomendado'!B:B,C364)=0),
"Bloqueada",
"Desechable")),""
)</f>
        <v/>
      </c>
      <c r="J364" t="str" cm="1">
        <f t="array" aca="1" ref="J364" ca="1">IF(ISNUMBER(A364),IFERROR(_xlfn._xlws.FILTER(Equipar!A:A,(Equipar!B:B=3)*(Equipar!AC:AC=A364)),""),"")</f>
        <v/>
      </c>
    </row>
    <row r="365" spans="1:10" x14ac:dyDescent="0.25">
      <c r="A365" s="1" t="str">
        <f ca="1">IF(A364="ID",1,IF(ISBLANK(B365),"",MAX(A$2:A364)+1))</f>
        <v/>
      </c>
      <c r="I365" s="2" t="str">
        <f ca="1">IF(ISNUMBER(A365),
IF(COUNTIFS(Equipar!B:B,3,Equipar!AC:AC,A365),"Equipada",
IF(
  OR(COUNTIFS(Equipar!B:B,3,Equipar!C:C,A365)
 +COUNTIFS(Equipar!B:B,3,Equipar!D:D,A365)
+COUNTIFS(Equipar!B:B,3,Equipar!E:E,A365)
+COUNTIFS(Equipar!B:B,3,Equipar!F:F,A365)
&gt;0,COUNTIF('Set recomendado'!B:B,C365)=0),
"Bloqueada",
"Desechable")),""
)</f>
        <v/>
      </c>
      <c r="J365" t="str" cm="1">
        <f t="array" aca="1" ref="J365" ca="1">IF(ISNUMBER(A365),IFERROR(_xlfn._xlws.FILTER(Equipar!A:A,(Equipar!B:B=3)*(Equipar!AC:AC=A365)),""),"")</f>
        <v/>
      </c>
    </row>
    <row r="366" spans="1:10" x14ac:dyDescent="0.25">
      <c r="A366" s="1" t="str">
        <f ca="1">IF(A365="ID",1,IF(ISBLANK(B366),"",MAX(A$2:A365)+1))</f>
        <v/>
      </c>
      <c r="I366" s="2" t="str">
        <f ca="1">IF(ISNUMBER(A366),
IF(COUNTIFS(Equipar!B:B,3,Equipar!AC:AC,A366),"Equipada",
IF(
  OR(COUNTIFS(Equipar!B:B,3,Equipar!C:C,A366)
 +COUNTIFS(Equipar!B:B,3,Equipar!D:D,A366)
+COUNTIFS(Equipar!B:B,3,Equipar!E:E,A366)
+COUNTIFS(Equipar!B:B,3,Equipar!F:F,A366)
&gt;0,COUNTIF('Set recomendado'!B:B,C366)=0),
"Bloqueada",
"Desechable")),""
)</f>
        <v/>
      </c>
      <c r="J366" t="str" cm="1">
        <f t="array" aca="1" ref="J366" ca="1">IF(ISNUMBER(A366),IFERROR(_xlfn._xlws.FILTER(Equipar!A:A,(Equipar!B:B=3)*(Equipar!AC:AC=A366)),""),"")</f>
        <v/>
      </c>
    </row>
    <row r="367" spans="1:10" x14ac:dyDescent="0.25">
      <c r="A367" s="1" t="str">
        <f ca="1">IF(A366="ID",1,IF(ISBLANK(B367),"",MAX(A$2:A366)+1))</f>
        <v/>
      </c>
      <c r="I367" s="2" t="str">
        <f ca="1">IF(ISNUMBER(A367),
IF(COUNTIFS(Equipar!B:B,3,Equipar!AC:AC,A367),"Equipada",
IF(
  OR(COUNTIFS(Equipar!B:B,3,Equipar!C:C,A367)
 +COUNTIFS(Equipar!B:B,3,Equipar!D:D,A367)
+COUNTIFS(Equipar!B:B,3,Equipar!E:E,A367)
+COUNTIFS(Equipar!B:B,3,Equipar!F:F,A367)
&gt;0,COUNTIF('Set recomendado'!B:B,C367)=0),
"Bloqueada",
"Desechable")),""
)</f>
        <v/>
      </c>
      <c r="J367" t="str" cm="1">
        <f t="array" aca="1" ref="J367" ca="1">IF(ISNUMBER(A367),IFERROR(_xlfn._xlws.FILTER(Equipar!A:A,(Equipar!B:B=3)*(Equipar!AC:AC=A367)),""),"")</f>
        <v/>
      </c>
    </row>
    <row r="368" spans="1:10" x14ac:dyDescent="0.25">
      <c r="A368" s="1" t="str">
        <f ca="1">IF(A367="ID",1,IF(ISBLANK(B368),"",MAX(A$2:A367)+1))</f>
        <v/>
      </c>
      <c r="I368" s="2" t="str">
        <f ca="1">IF(ISNUMBER(A368),
IF(COUNTIFS(Equipar!B:B,3,Equipar!AC:AC,A368),"Equipada",
IF(
  OR(COUNTIFS(Equipar!B:B,3,Equipar!C:C,A368)
 +COUNTIFS(Equipar!B:B,3,Equipar!D:D,A368)
+COUNTIFS(Equipar!B:B,3,Equipar!E:E,A368)
+COUNTIFS(Equipar!B:B,3,Equipar!F:F,A368)
&gt;0,COUNTIF('Set recomendado'!B:B,C368)=0),
"Bloqueada",
"Desechable")),""
)</f>
        <v/>
      </c>
      <c r="J368" t="str" cm="1">
        <f t="array" aca="1" ref="J368" ca="1">IF(ISNUMBER(A368),IFERROR(_xlfn._xlws.FILTER(Equipar!A:A,(Equipar!B:B=3)*(Equipar!AC:AC=A368)),""),"")</f>
        <v/>
      </c>
    </row>
    <row r="369" spans="1:10" x14ac:dyDescent="0.25">
      <c r="A369" s="1" t="str">
        <f ca="1">IF(A368="ID",1,IF(ISBLANK(B369),"",MAX(A$2:A368)+1))</f>
        <v/>
      </c>
      <c r="I369" s="2" t="str">
        <f ca="1">IF(ISNUMBER(A369),
IF(COUNTIFS(Equipar!B:B,3,Equipar!AC:AC,A369),"Equipada",
IF(
  OR(COUNTIFS(Equipar!B:B,3,Equipar!C:C,A369)
 +COUNTIFS(Equipar!B:B,3,Equipar!D:D,A369)
+COUNTIFS(Equipar!B:B,3,Equipar!E:E,A369)
+COUNTIFS(Equipar!B:B,3,Equipar!F:F,A369)
&gt;0,COUNTIF('Set recomendado'!B:B,C369)=0),
"Bloqueada",
"Desechable")),""
)</f>
        <v/>
      </c>
      <c r="J369" t="str" cm="1">
        <f t="array" aca="1" ref="J369" ca="1">IF(ISNUMBER(A369),IFERROR(_xlfn._xlws.FILTER(Equipar!A:A,(Equipar!B:B=3)*(Equipar!AC:AC=A369)),""),"")</f>
        <v/>
      </c>
    </row>
    <row r="370" spans="1:10" x14ac:dyDescent="0.25">
      <c r="A370" s="1" t="str">
        <f ca="1">IF(A369="ID",1,IF(ISBLANK(B370),"",MAX(A$2:A369)+1))</f>
        <v/>
      </c>
      <c r="I370" s="2" t="str">
        <f ca="1">IF(ISNUMBER(A370),
IF(COUNTIFS(Equipar!B:B,3,Equipar!AC:AC,A370),"Equipada",
IF(
  OR(COUNTIFS(Equipar!B:B,3,Equipar!C:C,A370)
 +COUNTIFS(Equipar!B:B,3,Equipar!D:D,A370)
+COUNTIFS(Equipar!B:B,3,Equipar!E:E,A370)
+COUNTIFS(Equipar!B:B,3,Equipar!F:F,A370)
&gt;0,COUNTIF('Set recomendado'!B:B,C370)=0),
"Bloqueada",
"Desechable")),""
)</f>
        <v/>
      </c>
      <c r="J370" t="str" cm="1">
        <f t="array" aca="1" ref="J370" ca="1">IF(ISNUMBER(A370),IFERROR(_xlfn._xlws.FILTER(Equipar!A:A,(Equipar!B:B=3)*(Equipar!AC:AC=A370)),""),"")</f>
        <v/>
      </c>
    </row>
    <row r="371" spans="1:10" x14ac:dyDescent="0.25">
      <c r="A371" s="1" t="str">
        <f ca="1">IF(A370="ID",1,IF(ISBLANK(B371),"",MAX(A$2:A370)+1))</f>
        <v/>
      </c>
      <c r="I371" s="2" t="str">
        <f ca="1">IF(ISNUMBER(A371),
IF(COUNTIFS(Equipar!B:B,3,Equipar!AC:AC,A371),"Equipada",
IF(
  OR(COUNTIFS(Equipar!B:B,3,Equipar!C:C,A371)
 +COUNTIFS(Equipar!B:B,3,Equipar!D:D,A371)
+COUNTIFS(Equipar!B:B,3,Equipar!E:E,A371)
+COUNTIFS(Equipar!B:B,3,Equipar!F:F,A371)
&gt;0,COUNTIF('Set recomendado'!B:B,C371)=0),
"Bloqueada",
"Desechable")),""
)</f>
        <v/>
      </c>
      <c r="J371" t="str" cm="1">
        <f t="array" aca="1" ref="J371" ca="1">IF(ISNUMBER(A371),IFERROR(_xlfn._xlws.FILTER(Equipar!A:A,(Equipar!B:B=3)*(Equipar!AC:AC=A371)),""),"")</f>
        <v/>
      </c>
    </row>
    <row r="372" spans="1:10" x14ac:dyDescent="0.25">
      <c r="A372" s="1" t="str">
        <f ca="1">IF(A371="ID",1,IF(ISBLANK(B372),"",MAX(A$2:A371)+1))</f>
        <v/>
      </c>
      <c r="I372" s="2" t="str">
        <f ca="1">IF(ISNUMBER(A372),
IF(COUNTIFS(Equipar!B:B,3,Equipar!AC:AC,A372),"Equipada",
IF(
  OR(COUNTIFS(Equipar!B:B,3,Equipar!C:C,A372)
 +COUNTIFS(Equipar!B:B,3,Equipar!D:D,A372)
+COUNTIFS(Equipar!B:B,3,Equipar!E:E,A372)
+COUNTIFS(Equipar!B:B,3,Equipar!F:F,A372)
&gt;0,COUNTIF('Set recomendado'!B:B,C372)=0),
"Bloqueada",
"Desechable")),""
)</f>
        <v/>
      </c>
      <c r="J372" t="str" cm="1">
        <f t="array" aca="1" ref="J372" ca="1">IF(ISNUMBER(A372),IFERROR(_xlfn._xlws.FILTER(Equipar!A:A,(Equipar!B:B=3)*(Equipar!AC:AC=A372)),""),"")</f>
        <v/>
      </c>
    </row>
    <row r="373" spans="1:10" x14ac:dyDescent="0.25">
      <c r="A373" s="1" t="str">
        <f ca="1">IF(A372="ID",1,IF(ISBLANK(B373),"",MAX(A$2:A372)+1))</f>
        <v/>
      </c>
      <c r="I373" s="2" t="str">
        <f ca="1">IF(ISNUMBER(A373),
IF(COUNTIFS(Equipar!B:B,3,Equipar!AC:AC,A373),"Equipada",
IF(
  OR(COUNTIFS(Equipar!B:B,3,Equipar!C:C,A373)
 +COUNTIFS(Equipar!B:B,3,Equipar!D:D,A373)
+COUNTIFS(Equipar!B:B,3,Equipar!E:E,A373)
+COUNTIFS(Equipar!B:B,3,Equipar!F:F,A373)
&gt;0,COUNTIF('Set recomendado'!B:B,C373)=0),
"Bloqueada",
"Desechable")),""
)</f>
        <v/>
      </c>
      <c r="J373" t="str" cm="1">
        <f t="array" aca="1" ref="J373" ca="1">IF(ISNUMBER(A373),IFERROR(_xlfn._xlws.FILTER(Equipar!A:A,(Equipar!B:B=3)*(Equipar!AC:AC=A373)),""),"")</f>
        <v/>
      </c>
    </row>
    <row r="374" spans="1:10" x14ac:dyDescent="0.25">
      <c r="A374" s="1" t="str">
        <f ca="1">IF(A373="ID",1,IF(ISBLANK(B374),"",MAX(A$2:A373)+1))</f>
        <v/>
      </c>
      <c r="I374" s="2" t="str">
        <f ca="1">IF(ISNUMBER(A374),
IF(COUNTIFS(Equipar!B:B,3,Equipar!AC:AC,A374),"Equipada",
IF(
  OR(COUNTIFS(Equipar!B:B,3,Equipar!C:C,A374)
 +COUNTIFS(Equipar!B:B,3,Equipar!D:D,A374)
+COUNTIFS(Equipar!B:B,3,Equipar!E:E,A374)
+COUNTIFS(Equipar!B:B,3,Equipar!F:F,A374)
&gt;0,COUNTIF('Set recomendado'!B:B,C374)=0),
"Bloqueada",
"Desechable")),""
)</f>
        <v/>
      </c>
      <c r="J374" t="str" cm="1">
        <f t="array" aca="1" ref="J374" ca="1">IF(ISNUMBER(A374),IFERROR(_xlfn._xlws.FILTER(Equipar!A:A,(Equipar!B:B=3)*(Equipar!AC:AC=A374)),""),"")</f>
        <v/>
      </c>
    </row>
    <row r="375" spans="1:10" x14ac:dyDescent="0.25">
      <c r="A375" s="1" t="str">
        <f ca="1">IF(A374="ID",1,IF(ISBLANK(B375),"",MAX(A$2:A374)+1))</f>
        <v/>
      </c>
      <c r="I375" s="2" t="str">
        <f ca="1">IF(ISNUMBER(A375),
IF(COUNTIFS(Equipar!B:B,3,Equipar!AC:AC,A375),"Equipada",
IF(
  OR(COUNTIFS(Equipar!B:B,3,Equipar!C:C,A375)
 +COUNTIFS(Equipar!B:B,3,Equipar!D:D,A375)
+COUNTIFS(Equipar!B:B,3,Equipar!E:E,A375)
+COUNTIFS(Equipar!B:B,3,Equipar!F:F,A375)
&gt;0,COUNTIF('Set recomendado'!B:B,C375)=0),
"Bloqueada",
"Desechable")),""
)</f>
        <v/>
      </c>
      <c r="J375" t="str" cm="1">
        <f t="array" aca="1" ref="J375" ca="1">IF(ISNUMBER(A375),IFERROR(_xlfn._xlws.FILTER(Equipar!A:A,(Equipar!B:B=3)*(Equipar!AC:AC=A375)),""),"")</f>
        <v/>
      </c>
    </row>
    <row r="376" spans="1:10" x14ac:dyDescent="0.25">
      <c r="A376" s="1" t="str">
        <f ca="1">IF(A375="ID",1,IF(ISBLANK(B376),"",MAX(A$2:A375)+1))</f>
        <v/>
      </c>
      <c r="I376" s="2" t="str">
        <f ca="1">IF(ISNUMBER(A376),
IF(COUNTIFS(Equipar!B:B,3,Equipar!AC:AC,A376),"Equipada",
IF(
  OR(COUNTIFS(Equipar!B:B,3,Equipar!C:C,A376)
 +COUNTIFS(Equipar!B:B,3,Equipar!D:D,A376)
+COUNTIFS(Equipar!B:B,3,Equipar!E:E,A376)
+COUNTIFS(Equipar!B:B,3,Equipar!F:F,A376)
&gt;0,COUNTIF('Set recomendado'!B:B,C376)=0),
"Bloqueada",
"Desechable")),""
)</f>
        <v/>
      </c>
      <c r="J376" t="str" cm="1">
        <f t="array" aca="1" ref="J376" ca="1">IF(ISNUMBER(A376),IFERROR(_xlfn._xlws.FILTER(Equipar!A:A,(Equipar!B:B=3)*(Equipar!AC:AC=A376)),""),"")</f>
        <v/>
      </c>
    </row>
    <row r="377" spans="1:10" x14ac:dyDescent="0.25">
      <c r="A377" s="1" t="str">
        <f ca="1">IF(A376="ID",1,IF(ISBLANK(B377),"",MAX(A$2:A376)+1))</f>
        <v/>
      </c>
      <c r="I377" s="2" t="str">
        <f ca="1">IF(ISNUMBER(A377),
IF(COUNTIFS(Equipar!B:B,3,Equipar!AC:AC,A377),"Equipada",
IF(
  OR(COUNTIFS(Equipar!B:B,3,Equipar!C:C,A377)
 +COUNTIFS(Equipar!B:B,3,Equipar!D:D,A377)
+COUNTIFS(Equipar!B:B,3,Equipar!E:E,A377)
+COUNTIFS(Equipar!B:B,3,Equipar!F:F,A377)
&gt;0,COUNTIF('Set recomendado'!B:B,C377)=0),
"Bloqueada",
"Desechable")),""
)</f>
        <v/>
      </c>
      <c r="J377" t="str" cm="1">
        <f t="array" aca="1" ref="J377" ca="1">IF(ISNUMBER(A377),IFERROR(_xlfn._xlws.FILTER(Equipar!A:A,(Equipar!B:B=3)*(Equipar!AC:AC=A377)),""),"")</f>
        <v/>
      </c>
    </row>
    <row r="378" spans="1:10" x14ac:dyDescent="0.25">
      <c r="A378" s="1" t="str">
        <f ca="1">IF(A377="ID",1,IF(ISBLANK(B378),"",MAX(A$2:A377)+1))</f>
        <v/>
      </c>
      <c r="I378" s="2" t="str">
        <f ca="1">IF(ISNUMBER(A378),
IF(COUNTIFS(Equipar!B:B,3,Equipar!AC:AC,A378),"Equipada",
IF(
  OR(COUNTIFS(Equipar!B:B,3,Equipar!C:C,A378)
 +COUNTIFS(Equipar!B:B,3,Equipar!D:D,A378)
+COUNTIFS(Equipar!B:B,3,Equipar!E:E,A378)
+COUNTIFS(Equipar!B:B,3,Equipar!F:F,A378)
&gt;0,COUNTIF('Set recomendado'!B:B,C378)=0),
"Bloqueada",
"Desechable")),""
)</f>
        <v/>
      </c>
      <c r="J378" t="str" cm="1">
        <f t="array" aca="1" ref="J378" ca="1">IF(ISNUMBER(A378),IFERROR(_xlfn._xlws.FILTER(Equipar!A:A,(Equipar!B:B=3)*(Equipar!AC:AC=A378)),""),"")</f>
        <v/>
      </c>
    </row>
    <row r="379" spans="1:10" x14ac:dyDescent="0.25">
      <c r="A379" s="1" t="str">
        <f ca="1">IF(A378="ID",1,IF(ISBLANK(B379),"",MAX(A$2:A378)+1))</f>
        <v/>
      </c>
      <c r="I379" s="2" t="str">
        <f ca="1">IF(ISNUMBER(A379),
IF(COUNTIFS(Equipar!B:B,3,Equipar!AC:AC,A379),"Equipada",
IF(
  OR(COUNTIFS(Equipar!B:B,3,Equipar!C:C,A379)
 +COUNTIFS(Equipar!B:B,3,Equipar!D:D,A379)
+COUNTIFS(Equipar!B:B,3,Equipar!E:E,A379)
+COUNTIFS(Equipar!B:B,3,Equipar!F:F,A379)
&gt;0,COUNTIF('Set recomendado'!B:B,C379)=0),
"Bloqueada",
"Desechable")),""
)</f>
        <v/>
      </c>
      <c r="J379" t="str" cm="1">
        <f t="array" aca="1" ref="J379" ca="1">IF(ISNUMBER(A379),IFERROR(_xlfn._xlws.FILTER(Equipar!A:A,(Equipar!B:B=3)*(Equipar!AC:AC=A379)),""),"")</f>
        <v/>
      </c>
    </row>
    <row r="380" spans="1:10" x14ac:dyDescent="0.25">
      <c r="A380" s="1" t="str">
        <f ca="1">IF(A379="ID",1,IF(ISBLANK(B380),"",MAX(A$2:A379)+1))</f>
        <v/>
      </c>
      <c r="I380" s="2" t="str">
        <f ca="1">IF(ISNUMBER(A380),
IF(COUNTIFS(Equipar!B:B,3,Equipar!AC:AC,A380),"Equipada",
IF(
  OR(COUNTIFS(Equipar!B:B,3,Equipar!C:C,A380)
 +COUNTIFS(Equipar!B:B,3,Equipar!D:D,A380)
+COUNTIFS(Equipar!B:B,3,Equipar!E:E,A380)
+COUNTIFS(Equipar!B:B,3,Equipar!F:F,A380)
&gt;0,COUNTIF('Set recomendado'!B:B,C380)=0),
"Bloqueada",
"Desechable")),""
)</f>
        <v/>
      </c>
      <c r="J380" t="str" cm="1">
        <f t="array" aca="1" ref="J380" ca="1">IF(ISNUMBER(A380),IFERROR(_xlfn._xlws.FILTER(Equipar!A:A,(Equipar!B:B=3)*(Equipar!AC:AC=A380)),""),"")</f>
        <v/>
      </c>
    </row>
    <row r="381" spans="1:10" x14ac:dyDescent="0.25">
      <c r="A381" s="1" t="str">
        <f ca="1">IF(A380="ID",1,IF(ISBLANK(B381),"",MAX(A$2:A380)+1))</f>
        <v/>
      </c>
      <c r="I381" s="2" t="str">
        <f ca="1">IF(ISNUMBER(A381),
IF(COUNTIFS(Equipar!B:B,3,Equipar!AC:AC,A381),"Equipada",
IF(
  OR(COUNTIFS(Equipar!B:B,3,Equipar!C:C,A381)
 +COUNTIFS(Equipar!B:B,3,Equipar!D:D,A381)
+COUNTIFS(Equipar!B:B,3,Equipar!E:E,A381)
+COUNTIFS(Equipar!B:B,3,Equipar!F:F,A381)
&gt;0,COUNTIF('Set recomendado'!B:B,C381)=0),
"Bloqueada",
"Desechable")),""
)</f>
        <v/>
      </c>
      <c r="J381" t="str" cm="1">
        <f t="array" aca="1" ref="J381" ca="1">IF(ISNUMBER(A381),IFERROR(_xlfn._xlws.FILTER(Equipar!A:A,(Equipar!B:B=3)*(Equipar!AC:AC=A381)),""),"")</f>
        <v/>
      </c>
    </row>
    <row r="382" spans="1:10" x14ac:dyDescent="0.25">
      <c r="A382" s="1" t="str">
        <f ca="1">IF(A381="ID",1,IF(ISBLANK(B382),"",MAX(A$2:A381)+1))</f>
        <v/>
      </c>
      <c r="I382" s="2" t="str">
        <f ca="1">IF(ISNUMBER(A382),
IF(COUNTIFS(Equipar!B:B,3,Equipar!AC:AC,A382),"Equipada",
IF(
  OR(COUNTIFS(Equipar!B:B,3,Equipar!C:C,A382)
 +COUNTIFS(Equipar!B:B,3,Equipar!D:D,A382)
+COUNTIFS(Equipar!B:B,3,Equipar!E:E,A382)
+COUNTIFS(Equipar!B:B,3,Equipar!F:F,A382)
&gt;0,COUNTIF('Set recomendado'!B:B,C382)=0),
"Bloqueada",
"Desechable")),""
)</f>
        <v/>
      </c>
      <c r="J382" t="str" cm="1">
        <f t="array" aca="1" ref="J382" ca="1">IF(ISNUMBER(A382),IFERROR(_xlfn._xlws.FILTER(Equipar!A:A,(Equipar!B:B=3)*(Equipar!AC:AC=A382)),""),"")</f>
        <v/>
      </c>
    </row>
    <row r="383" spans="1:10" x14ac:dyDescent="0.25">
      <c r="A383" s="1" t="str">
        <f ca="1">IF(A382="ID",1,IF(ISBLANK(B383),"",MAX(A$2:A382)+1))</f>
        <v/>
      </c>
      <c r="I383" s="2" t="str">
        <f ca="1">IF(ISNUMBER(A383),
IF(COUNTIFS(Equipar!B:B,3,Equipar!AC:AC,A383),"Equipada",
IF(
  OR(COUNTIFS(Equipar!B:B,3,Equipar!C:C,A383)
 +COUNTIFS(Equipar!B:B,3,Equipar!D:D,A383)
+COUNTIFS(Equipar!B:B,3,Equipar!E:E,A383)
+COUNTIFS(Equipar!B:B,3,Equipar!F:F,A383)
&gt;0,COUNTIF('Set recomendado'!B:B,C383)=0),
"Bloqueada",
"Desechable")),""
)</f>
        <v/>
      </c>
      <c r="J383" t="str" cm="1">
        <f t="array" aca="1" ref="J383" ca="1">IF(ISNUMBER(A383),IFERROR(_xlfn._xlws.FILTER(Equipar!A:A,(Equipar!B:B=3)*(Equipar!AC:AC=A383)),""),"")</f>
        <v/>
      </c>
    </row>
    <row r="384" spans="1:10" x14ac:dyDescent="0.25">
      <c r="A384" s="1" t="str">
        <f ca="1">IF(A383="ID",1,IF(ISBLANK(B384),"",MAX(A$2:A383)+1))</f>
        <v/>
      </c>
      <c r="I384" s="2" t="str">
        <f ca="1">IF(ISNUMBER(A384),
IF(COUNTIFS(Equipar!B:B,3,Equipar!AC:AC,A384),"Equipada",
IF(
  OR(COUNTIFS(Equipar!B:B,3,Equipar!C:C,A384)
 +COUNTIFS(Equipar!B:B,3,Equipar!D:D,A384)
+COUNTIFS(Equipar!B:B,3,Equipar!E:E,A384)
+COUNTIFS(Equipar!B:B,3,Equipar!F:F,A384)
&gt;0,COUNTIF('Set recomendado'!B:B,C384)=0),
"Bloqueada",
"Desechable")),""
)</f>
        <v/>
      </c>
      <c r="J384" t="str" cm="1">
        <f t="array" aca="1" ref="J384" ca="1">IF(ISNUMBER(A384),IFERROR(_xlfn._xlws.FILTER(Equipar!A:A,(Equipar!B:B=3)*(Equipar!AC:AC=A384)),""),"")</f>
        <v/>
      </c>
    </row>
    <row r="385" spans="1:10" x14ac:dyDescent="0.25">
      <c r="A385" s="1" t="str">
        <f ca="1">IF(A384="ID",1,IF(ISBLANK(B385),"",MAX(A$2:A384)+1))</f>
        <v/>
      </c>
      <c r="I385" s="2" t="str">
        <f ca="1">IF(ISNUMBER(A385),
IF(COUNTIFS(Equipar!B:B,3,Equipar!AC:AC,A385),"Equipada",
IF(
  OR(COUNTIFS(Equipar!B:B,3,Equipar!C:C,A385)
 +COUNTIFS(Equipar!B:B,3,Equipar!D:D,A385)
+COUNTIFS(Equipar!B:B,3,Equipar!E:E,A385)
+COUNTIFS(Equipar!B:B,3,Equipar!F:F,A385)
&gt;0,COUNTIF('Set recomendado'!B:B,C385)=0),
"Bloqueada",
"Desechable")),""
)</f>
        <v/>
      </c>
      <c r="J385" t="str" cm="1">
        <f t="array" aca="1" ref="J385" ca="1">IF(ISNUMBER(A385),IFERROR(_xlfn._xlws.FILTER(Equipar!A:A,(Equipar!B:B=3)*(Equipar!AC:AC=A385)),""),"")</f>
        <v/>
      </c>
    </row>
    <row r="386" spans="1:10" x14ac:dyDescent="0.25">
      <c r="A386" s="1" t="str">
        <f ca="1">IF(A385="ID",1,IF(ISBLANK(B386),"",MAX(A$2:A385)+1))</f>
        <v/>
      </c>
      <c r="I386" s="2" t="str">
        <f ca="1">IF(ISNUMBER(A386),
IF(COUNTIFS(Equipar!B:B,3,Equipar!AC:AC,A386),"Equipada",
IF(
  OR(COUNTIFS(Equipar!B:B,3,Equipar!C:C,A386)
 +COUNTIFS(Equipar!B:B,3,Equipar!D:D,A386)
+COUNTIFS(Equipar!B:B,3,Equipar!E:E,A386)
+COUNTIFS(Equipar!B:B,3,Equipar!F:F,A386)
&gt;0,COUNTIF('Set recomendado'!B:B,C386)=0),
"Bloqueada",
"Desechable")),""
)</f>
        <v/>
      </c>
      <c r="J386" t="str" cm="1">
        <f t="array" aca="1" ref="J386" ca="1">IF(ISNUMBER(A386),IFERROR(_xlfn._xlws.FILTER(Equipar!A:A,(Equipar!B:B=3)*(Equipar!AC:AC=A386)),""),"")</f>
        <v/>
      </c>
    </row>
    <row r="387" spans="1:10" x14ac:dyDescent="0.25">
      <c r="A387" s="1" t="str">
        <f ca="1">IF(A386="ID",1,IF(ISBLANK(B387),"",MAX(A$2:A386)+1))</f>
        <v/>
      </c>
      <c r="I387" s="2" t="str">
        <f ca="1">IF(ISNUMBER(A387),
IF(COUNTIFS(Equipar!B:B,3,Equipar!AC:AC,A387),"Equipada",
IF(
  OR(COUNTIFS(Equipar!B:B,3,Equipar!C:C,A387)
 +COUNTIFS(Equipar!B:B,3,Equipar!D:D,A387)
+COUNTIFS(Equipar!B:B,3,Equipar!E:E,A387)
+COUNTIFS(Equipar!B:B,3,Equipar!F:F,A387)
&gt;0,COUNTIF('Set recomendado'!B:B,C387)=0),
"Bloqueada",
"Desechable")),""
)</f>
        <v/>
      </c>
      <c r="J387" t="str" cm="1">
        <f t="array" aca="1" ref="J387" ca="1">IF(ISNUMBER(A387),IFERROR(_xlfn._xlws.FILTER(Equipar!A:A,(Equipar!B:B=3)*(Equipar!AC:AC=A387)),""),"")</f>
        <v/>
      </c>
    </row>
    <row r="388" spans="1:10" x14ac:dyDescent="0.25">
      <c r="A388" s="1" t="str">
        <f ca="1">IF(A387="ID",1,IF(ISBLANK(B388),"",MAX(A$2:A387)+1))</f>
        <v/>
      </c>
      <c r="I388" s="2" t="str">
        <f ca="1">IF(ISNUMBER(A388),
IF(COUNTIFS(Equipar!B:B,3,Equipar!AC:AC,A388),"Equipada",
IF(
  OR(COUNTIFS(Equipar!B:B,3,Equipar!C:C,A388)
 +COUNTIFS(Equipar!B:B,3,Equipar!D:D,A388)
+COUNTIFS(Equipar!B:B,3,Equipar!E:E,A388)
+COUNTIFS(Equipar!B:B,3,Equipar!F:F,A388)
&gt;0,COUNTIF('Set recomendado'!B:B,C388)=0),
"Bloqueada",
"Desechable")),""
)</f>
        <v/>
      </c>
      <c r="J388" t="str" cm="1">
        <f t="array" aca="1" ref="J388" ca="1">IF(ISNUMBER(A388),IFERROR(_xlfn._xlws.FILTER(Equipar!A:A,(Equipar!B:B=3)*(Equipar!AC:AC=A388)),""),"")</f>
        <v/>
      </c>
    </row>
    <row r="389" spans="1:10" x14ac:dyDescent="0.25">
      <c r="A389" s="1" t="str">
        <f ca="1">IF(A388="ID",1,IF(ISBLANK(B389),"",MAX(A$2:A388)+1))</f>
        <v/>
      </c>
      <c r="I389" s="2" t="str">
        <f ca="1">IF(ISNUMBER(A389),
IF(COUNTIFS(Equipar!B:B,3,Equipar!AC:AC,A389),"Equipada",
IF(
  OR(COUNTIFS(Equipar!B:B,3,Equipar!C:C,A389)
 +COUNTIFS(Equipar!B:B,3,Equipar!D:D,A389)
+COUNTIFS(Equipar!B:B,3,Equipar!E:E,A389)
+COUNTIFS(Equipar!B:B,3,Equipar!F:F,A389)
&gt;0,COUNTIF('Set recomendado'!B:B,C389)=0),
"Bloqueada",
"Desechable")),""
)</f>
        <v/>
      </c>
      <c r="J389" t="str" cm="1">
        <f t="array" aca="1" ref="J389" ca="1">IF(ISNUMBER(A389),IFERROR(_xlfn._xlws.FILTER(Equipar!A:A,(Equipar!B:B=3)*(Equipar!AC:AC=A389)),""),"")</f>
        <v/>
      </c>
    </row>
    <row r="390" spans="1:10" x14ac:dyDescent="0.25">
      <c r="A390" s="1" t="str">
        <f ca="1">IF(A389="ID",1,IF(ISBLANK(B390),"",MAX(A$2:A389)+1))</f>
        <v/>
      </c>
      <c r="I390" s="2" t="str">
        <f ca="1">IF(ISNUMBER(A390),
IF(COUNTIFS(Equipar!B:B,3,Equipar!AC:AC,A390),"Equipada",
IF(
  OR(COUNTIFS(Equipar!B:B,3,Equipar!C:C,A390)
 +COUNTIFS(Equipar!B:B,3,Equipar!D:D,A390)
+COUNTIFS(Equipar!B:B,3,Equipar!E:E,A390)
+COUNTIFS(Equipar!B:B,3,Equipar!F:F,A390)
&gt;0,COUNTIF('Set recomendado'!B:B,C390)=0),
"Bloqueada",
"Desechable")),""
)</f>
        <v/>
      </c>
      <c r="J390" t="str" cm="1">
        <f t="array" aca="1" ref="J390" ca="1">IF(ISNUMBER(A390),IFERROR(_xlfn._xlws.FILTER(Equipar!A:A,(Equipar!B:B=3)*(Equipar!AC:AC=A390)),""),"")</f>
        <v/>
      </c>
    </row>
    <row r="391" spans="1:10" x14ac:dyDescent="0.25">
      <c r="A391" s="1" t="str">
        <f ca="1">IF(A390="ID",1,IF(ISBLANK(B391),"",MAX(A$2:A390)+1))</f>
        <v/>
      </c>
      <c r="I391" s="2" t="str">
        <f ca="1">IF(ISNUMBER(A391),
IF(COUNTIFS(Equipar!B:B,3,Equipar!AC:AC,A391),"Equipada",
IF(
  OR(COUNTIFS(Equipar!B:B,3,Equipar!C:C,A391)
 +COUNTIFS(Equipar!B:B,3,Equipar!D:D,A391)
+COUNTIFS(Equipar!B:B,3,Equipar!E:E,A391)
+COUNTIFS(Equipar!B:B,3,Equipar!F:F,A391)
&gt;0,COUNTIF('Set recomendado'!B:B,C391)=0),
"Bloqueada",
"Desechable")),""
)</f>
        <v/>
      </c>
      <c r="J391" t="str" cm="1">
        <f t="array" aca="1" ref="J391" ca="1">IF(ISNUMBER(A391),IFERROR(_xlfn._xlws.FILTER(Equipar!A:A,(Equipar!B:B=3)*(Equipar!AC:AC=A391)),""),"")</f>
        <v/>
      </c>
    </row>
    <row r="392" spans="1:10" x14ac:dyDescent="0.25">
      <c r="A392" s="1" t="str">
        <f ca="1">IF(A391="ID",1,IF(ISBLANK(B392),"",MAX(A$2:A391)+1))</f>
        <v/>
      </c>
      <c r="I392" s="2" t="str">
        <f ca="1">IF(ISNUMBER(A392),
IF(COUNTIFS(Equipar!B:B,3,Equipar!AC:AC,A392),"Equipada",
IF(
  OR(COUNTIFS(Equipar!B:B,3,Equipar!C:C,A392)
 +COUNTIFS(Equipar!B:B,3,Equipar!D:D,A392)
+COUNTIFS(Equipar!B:B,3,Equipar!E:E,A392)
+COUNTIFS(Equipar!B:B,3,Equipar!F:F,A392)
&gt;0,COUNTIF('Set recomendado'!B:B,C392)=0),
"Bloqueada",
"Desechable")),""
)</f>
        <v/>
      </c>
      <c r="J392" t="str" cm="1">
        <f t="array" aca="1" ref="J392" ca="1">IF(ISNUMBER(A392),IFERROR(_xlfn._xlws.FILTER(Equipar!A:A,(Equipar!B:B=3)*(Equipar!AC:AC=A392)),""),"")</f>
        <v/>
      </c>
    </row>
    <row r="393" spans="1:10" x14ac:dyDescent="0.25">
      <c r="A393" s="1" t="str">
        <f ca="1">IF(A392="ID",1,IF(ISBLANK(B393),"",MAX(A$2:A392)+1))</f>
        <v/>
      </c>
      <c r="I393" s="2" t="str">
        <f ca="1">IF(ISNUMBER(A393),
IF(COUNTIFS(Equipar!B:B,3,Equipar!AC:AC,A393),"Equipada",
IF(
  OR(COUNTIFS(Equipar!B:B,3,Equipar!C:C,A393)
 +COUNTIFS(Equipar!B:B,3,Equipar!D:D,A393)
+COUNTIFS(Equipar!B:B,3,Equipar!E:E,A393)
+COUNTIFS(Equipar!B:B,3,Equipar!F:F,A393)
&gt;0,COUNTIF('Set recomendado'!B:B,C393)=0),
"Bloqueada",
"Desechable")),""
)</f>
        <v/>
      </c>
      <c r="J393" t="str" cm="1">
        <f t="array" aca="1" ref="J393" ca="1">IF(ISNUMBER(A393),IFERROR(_xlfn._xlws.FILTER(Equipar!A:A,(Equipar!B:B=3)*(Equipar!AC:AC=A393)),""),"")</f>
        <v/>
      </c>
    </row>
    <row r="394" spans="1:10" x14ac:dyDescent="0.25">
      <c r="A394" s="1" t="str">
        <f ca="1">IF(A393="ID",1,IF(ISBLANK(B394),"",MAX(A$2:A393)+1))</f>
        <v/>
      </c>
      <c r="I394" s="2" t="str">
        <f ca="1">IF(ISNUMBER(A394),
IF(COUNTIFS(Equipar!B:B,3,Equipar!AC:AC,A394),"Equipada",
IF(
  OR(COUNTIFS(Equipar!B:B,3,Equipar!C:C,A394)
 +COUNTIFS(Equipar!B:B,3,Equipar!D:D,A394)
+COUNTIFS(Equipar!B:B,3,Equipar!E:E,A394)
+COUNTIFS(Equipar!B:B,3,Equipar!F:F,A394)
&gt;0,COUNTIF('Set recomendado'!B:B,C394)=0),
"Bloqueada",
"Desechable")),""
)</f>
        <v/>
      </c>
      <c r="J394" t="str" cm="1">
        <f t="array" aca="1" ref="J394" ca="1">IF(ISNUMBER(A394),IFERROR(_xlfn._xlws.FILTER(Equipar!A:A,(Equipar!B:B=3)*(Equipar!AC:AC=A394)),""),"")</f>
        <v/>
      </c>
    </row>
    <row r="395" spans="1:10" x14ac:dyDescent="0.25">
      <c r="A395" s="1" t="str">
        <f ca="1">IF(A394="ID",1,IF(ISBLANK(B395),"",MAX(A$2:A394)+1))</f>
        <v/>
      </c>
      <c r="I395" s="2" t="str">
        <f ca="1">IF(ISNUMBER(A395),
IF(COUNTIFS(Equipar!B:B,3,Equipar!AC:AC,A395),"Equipada",
IF(
  OR(COUNTIFS(Equipar!B:B,3,Equipar!C:C,A395)
 +COUNTIFS(Equipar!B:B,3,Equipar!D:D,A395)
+COUNTIFS(Equipar!B:B,3,Equipar!E:E,A395)
+COUNTIFS(Equipar!B:B,3,Equipar!F:F,A395)
&gt;0,COUNTIF('Set recomendado'!B:B,C395)=0),
"Bloqueada",
"Desechable")),""
)</f>
        <v/>
      </c>
      <c r="J395" t="str" cm="1">
        <f t="array" aca="1" ref="J395" ca="1">IF(ISNUMBER(A395),IFERROR(_xlfn._xlws.FILTER(Equipar!A:A,(Equipar!B:B=3)*(Equipar!AC:AC=A395)),""),"")</f>
        <v/>
      </c>
    </row>
    <row r="396" spans="1:10" x14ac:dyDescent="0.25">
      <c r="A396" s="1" t="str">
        <f ca="1">IF(A395="ID",1,IF(ISBLANK(B396),"",MAX(A$2:A395)+1))</f>
        <v/>
      </c>
      <c r="I396" s="2" t="str">
        <f ca="1">IF(ISNUMBER(A396),
IF(COUNTIFS(Equipar!B:B,3,Equipar!AC:AC,A396),"Equipada",
IF(
  OR(COUNTIFS(Equipar!B:B,3,Equipar!C:C,A396)
 +COUNTIFS(Equipar!B:B,3,Equipar!D:D,A396)
+COUNTIFS(Equipar!B:B,3,Equipar!E:E,A396)
+COUNTIFS(Equipar!B:B,3,Equipar!F:F,A396)
&gt;0,COUNTIF('Set recomendado'!B:B,C396)=0),
"Bloqueada",
"Desechable")),""
)</f>
        <v/>
      </c>
      <c r="J396" t="str" cm="1">
        <f t="array" aca="1" ref="J396" ca="1">IF(ISNUMBER(A396),IFERROR(_xlfn._xlws.FILTER(Equipar!A:A,(Equipar!B:B=3)*(Equipar!AC:AC=A396)),""),"")</f>
        <v/>
      </c>
    </row>
    <row r="397" spans="1:10" x14ac:dyDescent="0.25">
      <c r="A397" s="1" t="str">
        <f ca="1">IF(A396="ID",1,IF(ISBLANK(B397),"",MAX(A$2:A396)+1))</f>
        <v/>
      </c>
      <c r="I397" s="2" t="str">
        <f ca="1">IF(ISNUMBER(A397),
IF(COUNTIFS(Equipar!B:B,3,Equipar!AC:AC,A397),"Equipada",
IF(
  OR(COUNTIFS(Equipar!B:B,3,Equipar!C:C,A397)
 +COUNTIFS(Equipar!B:B,3,Equipar!D:D,A397)
+COUNTIFS(Equipar!B:B,3,Equipar!E:E,A397)
+COUNTIFS(Equipar!B:B,3,Equipar!F:F,A397)
&gt;0,COUNTIF('Set recomendado'!B:B,C397)=0),
"Bloqueada",
"Desechable")),""
)</f>
        <v/>
      </c>
      <c r="J397" t="str" cm="1">
        <f t="array" aca="1" ref="J397" ca="1">IF(ISNUMBER(A397),IFERROR(_xlfn._xlws.FILTER(Equipar!A:A,(Equipar!B:B=3)*(Equipar!AC:AC=A397)),""),"")</f>
        <v/>
      </c>
    </row>
    <row r="398" spans="1:10" x14ac:dyDescent="0.25">
      <c r="A398" s="1" t="str">
        <f ca="1">IF(A397="ID",1,IF(ISBLANK(B398),"",MAX(A$2:A397)+1))</f>
        <v/>
      </c>
      <c r="I398" s="2" t="str">
        <f ca="1">IF(ISNUMBER(A398),
IF(COUNTIFS(Equipar!B:B,3,Equipar!AC:AC,A398),"Equipada",
IF(
  OR(COUNTIFS(Equipar!B:B,3,Equipar!C:C,A398)
 +COUNTIFS(Equipar!B:B,3,Equipar!D:D,A398)
+COUNTIFS(Equipar!B:B,3,Equipar!E:E,A398)
+COUNTIFS(Equipar!B:B,3,Equipar!F:F,A398)
&gt;0,COUNTIF('Set recomendado'!B:B,C398)=0),
"Bloqueada",
"Desechable")),""
)</f>
        <v/>
      </c>
      <c r="J398" t="str" cm="1">
        <f t="array" aca="1" ref="J398" ca="1">IF(ISNUMBER(A398),IFERROR(_xlfn._xlws.FILTER(Equipar!A:A,(Equipar!B:B=3)*(Equipar!AC:AC=A398)),""),"")</f>
        <v/>
      </c>
    </row>
    <row r="399" spans="1:10" x14ac:dyDescent="0.25">
      <c r="A399" s="1" t="str">
        <f ca="1">IF(A398="ID",1,IF(ISBLANK(B399),"",MAX(A$2:A398)+1))</f>
        <v/>
      </c>
      <c r="I399" s="2" t="str">
        <f ca="1">IF(ISNUMBER(A399),
IF(COUNTIFS(Equipar!B:B,3,Equipar!AC:AC,A399),"Equipada",
IF(
  OR(COUNTIFS(Equipar!B:B,3,Equipar!C:C,A399)
 +COUNTIFS(Equipar!B:B,3,Equipar!D:D,A399)
+COUNTIFS(Equipar!B:B,3,Equipar!E:E,A399)
+COUNTIFS(Equipar!B:B,3,Equipar!F:F,A399)
&gt;0,COUNTIF('Set recomendado'!B:B,C399)=0),
"Bloqueada",
"Desechable")),""
)</f>
        <v/>
      </c>
      <c r="J399" t="str" cm="1">
        <f t="array" aca="1" ref="J399" ca="1">IF(ISNUMBER(A399),IFERROR(_xlfn._xlws.FILTER(Equipar!A:A,(Equipar!B:B=3)*(Equipar!AC:AC=A399)),""),"")</f>
        <v/>
      </c>
    </row>
    <row r="400" spans="1:10" x14ac:dyDescent="0.25">
      <c r="A400" s="1" t="str">
        <f ca="1">IF(A399="ID",1,IF(ISBLANK(B400),"",MAX(A$2:A399)+1))</f>
        <v/>
      </c>
      <c r="I400" s="2" t="str">
        <f ca="1">IF(ISNUMBER(A400),
IF(COUNTIFS(Equipar!B:B,3,Equipar!AC:AC,A400),"Equipada",
IF(
  OR(COUNTIFS(Equipar!B:B,3,Equipar!C:C,A400)
 +COUNTIFS(Equipar!B:B,3,Equipar!D:D,A400)
+COUNTIFS(Equipar!B:B,3,Equipar!E:E,A400)
+COUNTIFS(Equipar!B:B,3,Equipar!F:F,A400)
&gt;0,COUNTIF('Set recomendado'!B:B,C400)=0),
"Bloqueada",
"Desechable")),""
)</f>
        <v/>
      </c>
      <c r="J400" t="str" cm="1">
        <f t="array" aca="1" ref="J400" ca="1">IF(ISNUMBER(A400),IFERROR(_xlfn._xlws.FILTER(Equipar!A:A,(Equipar!B:B=3)*(Equipar!AC:AC=A400)),""),"")</f>
        <v/>
      </c>
    </row>
    <row r="401" spans="1:10" x14ac:dyDescent="0.25">
      <c r="A401" s="1" t="str">
        <f ca="1">IF(A400="ID",1,IF(ISBLANK(B401),"",MAX(A$2:A400)+1))</f>
        <v/>
      </c>
      <c r="I401" s="2" t="str">
        <f ca="1">IF(ISNUMBER(A401),
IF(COUNTIFS(Equipar!B:B,3,Equipar!AC:AC,A401),"Equipada",
IF(
  OR(COUNTIFS(Equipar!B:B,3,Equipar!C:C,A401)
 +COUNTIFS(Equipar!B:B,3,Equipar!D:D,A401)
+COUNTIFS(Equipar!B:B,3,Equipar!E:E,A401)
+COUNTIFS(Equipar!B:B,3,Equipar!F:F,A401)
&gt;0,COUNTIF('Set recomendado'!B:B,C401)=0),
"Bloqueada",
"Desechable")),""
)</f>
        <v/>
      </c>
      <c r="J401" t="str" cm="1">
        <f t="array" aca="1" ref="J401" ca="1">IF(ISNUMBER(A401),IFERROR(_xlfn._xlws.FILTER(Equipar!A:A,(Equipar!B:B=3)*(Equipar!AC:AC=A401)),""),"")</f>
        <v/>
      </c>
    </row>
    <row r="402" spans="1:10" x14ac:dyDescent="0.25">
      <c r="A402" s="1" t="str">
        <f ca="1">IF(A401="ID",1,IF(ISBLANK(B402),"",MAX(A$2:A401)+1))</f>
        <v/>
      </c>
      <c r="I402" s="2" t="str">
        <f ca="1">IF(ISNUMBER(A402),
IF(COUNTIFS(Equipar!B:B,3,Equipar!AC:AC,A402),"Equipada",
IF(
  OR(COUNTIFS(Equipar!B:B,3,Equipar!C:C,A402)
 +COUNTIFS(Equipar!B:B,3,Equipar!D:D,A402)
+COUNTIFS(Equipar!B:B,3,Equipar!E:E,A402)
+COUNTIFS(Equipar!B:B,3,Equipar!F:F,A402)
&gt;0,COUNTIF('Set recomendado'!B:B,C402)=0),
"Bloqueada",
"Desechable")),""
)</f>
        <v/>
      </c>
      <c r="J402" t="str" cm="1">
        <f t="array" aca="1" ref="J402" ca="1">IF(ISNUMBER(A402),IFERROR(_xlfn._xlws.FILTER(Equipar!A:A,(Equipar!B:B=3)*(Equipar!AC:AC=A402)),""),"")</f>
        <v/>
      </c>
    </row>
    <row r="403" spans="1:10" x14ac:dyDescent="0.25">
      <c r="A403" s="1" t="str">
        <f ca="1">IF(A402="ID",1,IF(ISBLANK(B403),"",MAX(A$2:A402)+1))</f>
        <v/>
      </c>
      <c r="I403" s="2" t="str">
        <f ca="1">IF(ISNUMBER(A403),
IF(COUNTIFS(Equipar!B:B,3,Equipar!AC:AC,A403),"Equipada",
IF(
  OR(COUNTIFS(Equipar!B:B,3,Equipar!C:C,A403)
 +COUNTIFS(Equipar!B:B,3,Equipar!D:D,A403)
+COUNTIFS(Equipar!B:B,3,Equipar!E:E,A403)
+COUNTIFS(Equipar!B:B,3,Equipar!F:F,A403)
&gt;0,COUNTIF('Set recomendado'!B:B,C403)=0),
"Bloqueada",
"Desechable")),""
)</f>
        <v/>
      </c>
      <c r="J403" t="str" cm="1">
        <f t="array" aca="1" ref="J403" ca="1">IF(ISNUMBER(A403),IFERROR(_xlfn._xlws.FILTER(Equipar!A:A,(Equipar!B:B=3)*(Equipar!AC:AC=A403)),""),"")</f>
        <v/>
      </c>
    </row>
    <row r="404" spans="1:10" x14ac:dyDescent="0.25">
      <c r="A404" s="1" t="str">
        <f ca="1">IF(A403="ID",1,IF(ISBLANK(B404),"",MAX(A$2:A403)+1))</f>
        <v/>
      </c>
      <c r="I404" s="2" t="str">
        <f ca="1">IF(ISNUMBER(A404),
IF(COUNTIFS(Equipar!B:B,3,Equipar!AC:AC,A404),"Equipada",
IF(
  OR(COUNTIFS(Equipar!B:B,3,Equipar!C:C,A404)
 +COUNTIFS(Equipar!B:B,3,Equipar!D:D,A404)
+COUNTIFS(Equipar!B:B,3,Equipar!E:E,A404)
+COUNTIFS(Equipar!B:B,3,Equipar!F:F,A404)
&gt;0,COUNTIF('Set recomendado'!B:B,C404)=0),
"Bloqueada",
"Desechable")),""
)</f>
        <v/>
      </c>
      <c r="J404" t="str" cm="1">
        <f t="array" aca="1" ref="J404" ca="1">IF(ISNUMBER(A404),IFERROR(_xlfn._xlws.FILTER(Equipar!A:A,(Equipar!B:B=3)*(Equipar!AC:AC=A404)),""),"")</f>
        <v/>
      </c>
    </row>
    <row r="405" spans="1:10" x14ac:dyDescent="0.25">
      <c r="A405" s="1" t="str">
        <f ca="1">IF(A404="ID",1,IF(ISBLANK(B405),"",MAX(A$2:A404)+1))</f>
        <v/>
      </c>
      <c r="I405" s="2" t="str">
        <f ca="1">IF(ISNUMBER(A405),
IF(COUNTIFS(Equipar!B:B,3,Equipar!AC:AC,A405),"Equipada",
IF(
  OR(COUNTIFS(Equipar!B:B,3,Equipar!C:C,A405)
 +COUNTIFS(Equipar!B:B,3,Equipar!D:D,A405)
+COUNTIFS(Equipar!B:B,3,Equipar!E:E,A405)
+COUNTIFS(Equipar!B:B,3,Equipar!F:F,A405)
&gt;0,COUNTIF('Set recomendado'!B:B,C405)=0),
"Bloqueada",
"Desechable")),""
)</f>
        <v/>
      </c>
      <c r="J405" t="str" cm="1">
        <f t="array" aca="1" ref="J405" ca="1">IF(ISNUMBER(A405),IFERROR(_xlfn._xlws.FILTER(Equipar!A:A,(Equipar!B:B=3)*(Equipar!AC:AC=A405)),""),"")</f>
        <v/>
      </c>
    </row>
    <row r="406" spans="1:10" x14ac:dyDescent="0.25">
      <c r="A406" s="1" t="str">
        <f ca="1">IF(A405="ID",1,IF(ISBLANK(B406),"",MAX(A$2:A405)+1))</f>
        <v/>
      </c>
      <c r="I406" s="2" t="str">
        <f ca="1">IF(ISNUMBER(A406),
IF(COUNTIFS(Equipar!B:B,3,Equipar!AC:AC,A406),"Equipada",
IF(
  OR(COUNTIFS(Equipar!B:B,3,Equipar!C:C,A406)
 +COUNTIFS(Equipar!B:B,3,Equipar!D:D,A406)
+COUNTIFS(Equipar!B:B,3,Equipar!E:E,A406)
+COUNTIFS(Equipar!B:B,3,Equipar!F:F,A406)
&gt;0,COUNTIF('Set recomendado'!B:B,C406)=0),
"Bloqueada",
"Desechable")),""
)</f>
        <v/>
      </c>
      <c r="J406" t="str" cm="1">
        <f t="array" aca="1" ref="J406" ca="1">IF(ISNUMBER(A406),IFERROR(_xlfn._xlws.FILTER(Equipar!A:A,(Equipar!B:B=3)*(Equipar!AC:AC=A406)),""),"")</f>
        <v/>
      </c>
    </row>
    <row r="407" spans="1:10" x14ac:dyDescent="0.25">
      <c r="A407" s="1" t="str">
        <f ca="1">IF(A406="ID",1,IF(ISBLANK(B407),"",MAX(A$2:A406)+1))</f>
        <v/>
      </c>
      <c r="I407" s="2" t="str">
        <f ca="1">IF(ISNUMBER(A407),
IF(COUNTIFS(Equipar!B:B,3,Equipar!AC:AC,A407),"Equipada",
IF(
  OR(COUNTIFS(Equipar!B:B,3,Equipar!C:C,A407)
 +COUNTIFS(Equipar!B:B,3,Equipar!D:D,A407)
+COUNTIFS(Equipar!B:B,3,Equipar!E:E,A407)
+COUNTIFS(Equipar!B:B,3,Equipar!F:F,A407)
&gt;0,COUNTIF('Set recomendado'!B:B,C407)=0),
"Bloqueada",
"Desechable")),""
)</f>
        <v/>
      </c>
      <c r="J407" t="str" cm="1">
        <f t="array" aca="1" ref="J407" ca="1">IF(ISNUMBER(A407),IFERROR(_xlfn._xlws.FILTER(Equipar!A:A,(Equipar!B:B=3)*(Equipar!AC:AC=A407)),""),"")</f>
        <v/>
      </c>
    </row>
    <row r="408" spans="1:10" x14ac:dyDescent="0.25">
      <c r="A408" s="1" t="str">
        <f ca="1">IF(A407="ID",1,IF(ISBLANK(B408),"",MAX(A$2:A407)+1))</f>
        <v/>
      </c>
      <c r="I408" s="2" t="str">
        <f ca="1">IF(ISNUMBER(A408),
IF(COUNTIFS(Equipar!B:B,3,Equipar!AC:AC,A408),"Equipada",
IF(
  OR(COUNTIFS(Equipar!B:B,3,Equipar!C:C,A408)
 +COUNTIFS(Equipar!B:B,3,Equipar!D:D,A408)
+COUNTIFS(Equipar!B:B,3,Equipar!E:E,A408)
+COUNTIFS(Equipar!B:B,3,Equipar!F:F,A408)
&gt;0,COUNTIF('Set recomendado'!B:B,C408)=0),
"Bloqueada",
"Desechable")),""
)</f>
        <v/>
      </c>
      <c r="J408" t="str" cm="1">
        <f t="array" aca="1" ref="J408" ca="1">IF(ISNUMBER(A408),IFERROR(_xlfn._xlws.FILTER(Equipar!A:A,(Equipar!B:B=3)*(Equipar!AC:AC=A408)),""),"")</f>
        <v/>
      </c>
    </row>
    <row r="409" spans="1:10" x14ac:dyDescent="0.25">
      <c r="A409" s="1" t="str">
        <f ca="1">IF(A408="ID",1,IF(ISBLANK(B409),"",MAX(A$2:A408)+1))</f>
        <v/>
      </c>
      <c r="I409" s="2" t="str">
        <f ca="1">IF(ISNUMBER(A409),
IF(COUNTIFS(Equipar!B:B,3,Equipar!AC:AC,A409),"Equipada",
IF(
  OR(COUNTIFS(Equipar!B:B,3,Equipar!C:C,A409)
 +COUNTIFS(Equipar!B:B,3,Equipar!D:D,A409)
+COUNTIFS(Equipar!B:B,3,Equipar!E:E,A409)
+COUNTIFS(Equipar!B:B,3,Equipar!F:F,A409)
&gt;0,COUNTIF('Set recomendado'!B:B,C409)=0),
"Bloqueada",
"Desechable")),""
)</f>
        <v/>
      </c>
      <c r="J409" t="str" cm="1">
        <f t="array" aca="1" ref="J409" ca="1">IF(ISNUMBER(A409),IFERROR(_xlfn._xlws.FILTER(Equipar!A:A,(Equipar!B:B=3)*(Equipar!AC:AC=A409)),""),"")</f>
        <v/>
      </c>
    </row>
    <row r="410" spans="1:10" x14ac:dyDescent="0.25">
      <c r="A410" s="1" t="str">
        <f ca="1">IF(A409="ID",1,IF(ISBLANK(B410),"",MAX(A$2:A409)+1))</f>
        <v/>
      </c>
      <c r="I410" s="2" t="str">
        <f ca="1">IF(ISNUMBER(A410),
IF(COUNTIFS(Equipar!B:B,3,Equipar!AC:AC,A410),"Equipada",
IF(
  OR(COUNTIFS(Equipar!B:B,3,Equipar!C:C,A410)
 +COUNTIFS(Equipar!B:B,3,Equipar!D:D,A410)
+COUNTIFS(Equipar!B:B,3,Equipar!E:E,A410)
+COUNTIFS(Equipar!B:B,3,Equipar!F:F,A410)
&gt;0,COUNTIF('Set recomendado'!B:B,C410)=0),
"Bloqueada",
"Desechable")),""
)</f>
        <v/>
      </c>
      <c r="J410" t="str" cm="1">
        <f t="array" aca="1" ref="J410" ca="1">IF(ISNUMBER(A410),IFERROR(_xlfn._xlws.FILTER(Equipar!A:A,(Equipar!B:B=3)*(Equipar!AC:AC=A410)),""),"")</f>
        <v/>
      </c>
    </row>
    <row r="411" spans="1:10" x14ac:dyDescent="0.25">
      <c r="A411" s="1" t="str">
        <f ca="1">IF(A410="ID",1,IF(ISBLANK(B411),"",MAX(A$2:A410)+1))</f>
        <v/>
      </c>
      <c r="I411" s="2" t="str">
        <f ca="1">IF(ISNUMBER(A411),
IF(COUNTIFS(Equipar!B:B,3,Equipar!AC:AC,A411),"Equipada",
IF(
  OR(COUNTIFS(Equipar!B:B,3,Equipar!C:C,A411)
 +COUNTIFS(Equipar!B:B,3,Equipar!D:D,A411)
+COUNTIFS(Equipar!B:B,3,Equipar!E:E,A411)
+COUNTIFS(Equipar!B:B,3,Equipar!F:F,A411)
&gt;0,COUNTIF('Set recomendado'!B:B,C411)=0),
"Bloqueada",
"Desechable")),""
)</f>
        <v/>
      </c>
      <c r="J411" t="str" cm="1">
        <f t="array" aca="1" ref="J411" ca="1">IF(ISNUMBER(A411),IFERROR(_xlfn._xlws.FILTER(Equipar!A:A,(Equipar!B:B=3)*(Equipar!AC:AC=A411)),""),"")</f>
        <v/>
      </c>
    </row>
    <row r="412" spans="1:10" x14ac:dyDescent="0.25">
      <c r="A412" s="1" t="str">
        <f ca="1">IF(A411="ID",1,IF(ISBLANK(B412),"",MAX(A$2:A411)+1))</f>
        <v/>
      </c>
      <c r="I412" s="2" t="str">
        <f ca="1">IF(ISNUMBER(A412),
IF(COUNTIFS(Equipar!B:B,3,Equipar!AC:AC,A412),"Equipada",
IF(
  OR(COUNTIFS(Equipar!B:B,3,Equipar!C:C,A412)
 +COUNTIFS(Equipar!B:B,3,Equipar!D:D,A412)
+COUNTIFS(Equipar!B:B,3,Equipar!E:E,A412)
+COUNTIFS(Equipar!B:B,3,Equipar!F:F,A412)
&gt;0,COUNTIF('Set recomendado'!B:B,C412)=0),
"Bloqueada",
"Desechable")),""
)</f>
        <v/>
      </c>
      <c r="J412" t="str" cm="1">
        <f t="array" aca="1" ref="J412" ca="1">IF(ISNUMBER(A412),IFERROR(_xlfn._xlws.FILTER(Equipar!A:A,(Equipar!B:B=3)*(Equipar!AC:AC=A412)),""),"")</f>
        <v/>
      </c>
    </row>
    <row r="413" spans="1:10" x14ac:dyDescent="0.25">
      <c r="A413" s="1" t="str">
        <f ca="1">IF(A412="ID",1,IF(ISBLANK(B413),"",MAX(A$2:A412)+1))</f>
        <v/>
      </c>
      <c r="I413" s="2" t="str">
        <f ca="1">IF(ISNUMBER(A413),
IF(COUNTIFS(Equipar!B:B,3,Equipar!AC:AC,A413),"Equipada",
IF(
  OR(COUNTIFS(Equipar!B:B,3,Equipar!C:C,A413)
 +COUNTIFS(Equipar!B:B,3,Equipar!D:D,A413)
+COUNTIFS(Equipar!B:B,3,Equipar!E:E,A413)
+COUNTIFS(Equipar!B:B,3,Equipar!F:F,A413)
&gt;0,COUNTIF('Set recomendado'!B:B,C413)=0),
"Bloqueada",
"Desechable")),""
)</f>
        <v/>
      </c>
      <c r="J413" t="str" cm="1">
        <f t="array" aca="1" ref="J413" ca="1">IF(ISNUMBER(A413),IFERROR(_xlfn._xlws.FILTER(Equipar!A:A,(Equipar!B:B=3)*(Equipar!AC:AC=A413)),""),"")</f>
        <v/>
      </c>
    </row>
    <row r="414" spans="1:10" x14ac:dyDescent="0.25">
      <c r="A414" s="1" t="str">
        <f ca="1">IF(A413="ID",1,IF(ISBLANK(B414),"",MAX(A$2:A413)+1))</f>
        <v/>
      </c>
      <c r="I414" s="2" t="str">
        <f ca="1">IF(ISNUMBER(A414),
IF(COUNTIFS(Equipar!B:B,3,Equipar!AC:AC,A414),"Equipada",
IF(
  OR(COUNTIFS(Equipar!B:B,3,Equipar!C:C,A414)
 +COUNTIFS(Equipar!B:B,3,Equipar!D:D,A414)
+COUNTIFS(Equipar!B:B,3,Equipar!E:E,A414)
+COUNTIFS(Equipar!B:B,3,Equipar!F:F,A414)
&gt;0,COUNTIF('Set recomendado'!B:B,C414)=0),
"Bloqueada",
"Desechable")),""
)</f>
        <v/>
      </c>
      <c r="J414" t="str" cm="1">
        <f t="array" aca="1" ref="J414" ca="1">IF(ISNUMBER(A414),IFERROR(_xlfn._xlws.FILTER(Equipar!A:A,(Equipar!B:B=3)*(Equipar!AC:AC=A414)),""),"")</f>
        <v/>
      </c>
    </row>
    <row r="415" spans="1:10" x14ac:dyDescent="0.25">
      <c r="A415" s="1" t="str">
        <f ca="1">IF(A414="ID",1,IF(ISBLANK(B415),"",MAX(A$2:A414)+1))</f>
        <v/>
      </c>
      <c r="I415" s="2" t="str">
        <f ca="1">IF(ISNUMBER(A415),
IF(COUNTIFS(Equipar!B:B,3,Equipar!AC:AC,A415),"Equipada",
IF(
  OR(COUNTIFS(Equipar!B:B,3,Equipar!C:C,A415)
 +COUNTIFS(Equipar!B:B,3,Equipar!D:D,A415)
+COUNTIFS(Equipar!B:B,3,Equipar!E:E,A415)
+COUNTIFS(Equipar!B:B,3,Equipar!F:F,A415)
&gt;0,COUNTIF('Set recomendado'!B:B,C415)=0),
"Bloqueada",
"Desechable")),""
)</f>
        <v/>
      </c>
      <c r="J415" t="str" cm="1">
        <f t="array" aca="1" ref="J415" ca="1">IF(ISNUMBER(A415),IFERROR(_xlfn._xlws.FILTER(Equipar!A:A,(Equipar!B:B=3)*(Equipar!AC:AC=A415)),""),"")</f>
        <v/>
      </c>
    </row>
    <row r="416" spans="1:10" x14ac:dyDescent="0.25">
      <c r="A416" s="1" t="str">
        <f ca="1">IF(A415="ID",1,IF(ISBLANK(B416),"",MAX(A$2:A415)+1))</f>
        <v/>
      </c>
      <c r="I416" s="2" t="str">
        <f ca="1">IF(ISNUMBER(A416),
IF(COUNTIFS(Equipar!B:B,3,Equipar!AC:AC,A416),"Equipada",
IF(
  OR(COUNTIFS(Equipar!B:B,3,Equipar!C:C,A416)
 +COUNTIFS(Equipar!B:B,3,Equipar!D:D,A416)
+COUNTIFS(Equipar!B:B,3,Equipar!E:E,A416)
+COUNTIFS(Equipar!B:B,3,Equipar!F:F,A416)
&gt;0,COUNTIF('Set recomendado'!B:B,C416)=0),
"Bloqueada",
"Desechable")),""
)</f>
        <v/>
      </c>
      <c r="J416" t="str" cm="1">
        <f t="array" aca="1" ref="J416" ca="1">IF(ISNUMBER(A416),IFERROR(_xlfn._xlws.FILTER(Equipar!A:A,(Equipar!B:B=3)*(Equipar!AC:AC=A416)),""),"")</f>
        <v/>
      </c>
    </row>
    <row r="417" spans="1:10" x14ac:dyDescent="0.25">
      <c r="A417" s="1" t="str">
        <f ca="1">IF(A416="ID",1,IF(ISBLANK(B417),"",MAX(A$2:A416)+1))</f>
        <v/>
      </c>
      <c r="I417" s="2" t="str">
        <f ca="1">IF(ISNUMBER(A417),
IF(COUNTIFS(Equipar!B:B,3,Equipar!AC:AC,A417),"Equipada",
IF(
  OR(COUNTIFS(Equipar!B:B,3,Equipar!C:C,A417)
 +COUNTIFS(Equipar!B:B,3,Equipar!D:D,A417)
+COUNTIFS(Equipar!B:B,3,Equipar!E:E,A417)
+COUNTIFS(Equipar!B:B,3,Equipar!F:F,A417)
&gt;0,COUNTIF('Set recomendado'!B:B,C417)=0),
"Bloqueada",
"Desechable")),""
)</f>
        <v/>
      </c>
      <c r="J417" t="str" cm="1">
        <f t="array" aca="1" ref="J417" ca="1">IF(ISNUMBER(A417),IFERROR(_xlfn._xlws.FILTER(Equipar!A:A,(Equipar!B:B=3)*(Equipar!AC:AC=A417)),""),"")</f>
        <v/>
      </c>
    </row>
    <row r="418" spans="1:10" x14ac:dyDescent="0.25">
      <c r="A418" s="1" t="str">
        <f ca="1">IF(A417="ID",1,IF(ISBLANK(B418),"",MAX(A$2:A417)+1))</f>
        <v/>
      </c>
      <c r="I418" s="2" t="str">
        <f ca="1">IF(ISNUMBER(A418),
IF(COUNTIFS(Equipar!B:B,3,Equipar!AC:AC,A418),"Equipada",
IF(
  OR(COUNTIFS(Equipar!B:B,3,Equipar!C:C,A418)
 +COUNTIFS(Equipar!B:B,3,Equipar!D:D,A418)
+COUNTIFS(Equipar!B:B,3,Equipar!E:E,A418)
+COUNTIFS(Equipar!B:B,3,Equipar!F:F,A418)
&gt;0,COUNTIF('Set recomendado'!B:B,C418)=0),
"Bloqueada",
"Desechable")),""
)</f>
        <v/>
      </c>
      <c r="J418" t="str" cm="1">
        <f t="array" aca="1" ref="J418" ca="1">IF(ISNUMBER(A418),IFERROR(_xlfn._xlws.FILTER(Equipar!A:A,(Equipar!B:B=3)*(Equipar!AC:AC=A418)),""),"")</f>
        <v/>
      </c>
    </row>
    <row r="419" spans="1:10" x14ac:dyDescent="0.25">
      <c r="A419" s="1" t="str">
        <f ca="1">IF(A418="ID",1,IF(ISBLANK(B419),"",MAX(A$2:A418)+1))</f>
        <v/>
      </c>
      <c r="I419" s="2" t="str">
        <f ca="1">IF(ISNUMBER(A419),
IF(COUNTIFS(Equipar!B:B,3,Equipar!AC:AC,A419),"Equipada",
IF(
  OR(COUNTIFS(Equipar!B:B,3,Equipar!C:C,A419)
 +COUNTIFS(Equipar!B:B,3,Equipar!D:D,A419)
+COUNTIFS(Equipar!B:B,3,Equipar!E:E,A419)
+COUNTIFS(Equipar!B:B,3,Equipar!F:F,A419)
&gt;0,COUNTIF('Set recomendado'!B:B,C419)=0),
"Bloqueada",
"Desechable")),""
)</f>
        <v/>
      </c>
      <c r="J419" t="str" cm="1">
        <f t="array" aca="1" ref="J419" ca="1">IF(ISNUMBER(A419),IFERROR(_xlfn._xlws.FILTER(Equipar!A:A,(Equipar!B:B=3)*(Equipar!AC:AC=A419)),""),"")</f>
        <v/>
      </c>
    </row>
    <row r="420" spans="1:10" x14ac:dyDescent="0.25">
      <c r="A420" s="1" t="str">
        <f ca="1">IF(A419="ID",1,IF(ISBLANK(B420),"",MAX(A$2:A419)+1))</f>
        <v/>
      </c>
      <c r="I420" s="2" t="str">
        <f ca="1">IF(ISNUMBER(A420),
IF(COUNTIFS(Equipar!B:B,3,Equipar!AC:AC,A420),"Equipada",
IF(
  OR(COUNTIFS(Equipar!B:B,3,Equipar!C:C,A420)
 +COUNTIFS(Equipar!B:B,3,Equipar!D:D,A420)
+COUNTIFS(Equipar!B:B,3,Equipar!E:E,A420)
+COUNTIFS(Equipar!B:B,3,Equipar!F:F,A420)
&gt;0,COUNTIF('Set recomendado'!B:B,C420)=0),
"Bloqueada",
"Desechable")),""
)</f>
        <v/>
      </c>
      <c r="J420" t="str" cm="1">
        <f t="array" aca="1" ref="J420" ca="1">IF(ISNUMBER(A420),IFERROR(_xlfn._xlws.FILTER(Equipar!A:A,(Equipar!B:B=3)*(Equipar!AC:AC=A420)),""),"")</f>
        <v/>
      </c>
    </row>
    <row r="421" spans="1:10" x14ac:dyDescent="0.25">
      <c r="A421" s="1" t="str">
        <f ca="1">IF(A420="ID",1,IF(ISBLANK(B421),"",MAX(A$2:A420)+1))</f>
        <v/>
      </c>
      <c r="I421" s="2" t="str">
        <f ca="1">IF(ISNUMBER(A421),
IF(COUNTIFS(Equipar!B:B,3,Equipar!AC:AC,A421),"Equipada",
IF(
  OR(COUNTIFS(Equipar!B:B,3,Equipar!C:C,A421)
 +COUNTIFS(Equipar!B:B,3,Equipar!D:D,A421)
+COUNTIFS(Equipar!B:B,3,Equipar!E:E,A421)
+COUNTIFS(Equipar!B:B,3,Equipar!F:F,A421)
&gt;0,COUNTIF('Set recomendado'!B:B,C421)=0),
"Bloqueada",
"Desechable")),""
)</f>
        <v/>
      </c>
      <c r="J421" t="str" cm="1">
        <f t="array" aca="1" ref="J421" ca="1">IF(ISNUMBER(A421),IFERROR(_xlfn._xlws.FILTER(Equipar!A:A,(Equipar!B:B=3)*(Equipar!AC:AC=A421)),""),"")</f>
        <v/>
      </c>
    </row>
    <row r="422" spans="1:10" x14ac:dyDescent="0.25">
      <c r="A422" s="1" t="str">
        <f ca="1">IF(A421="ID",1,IF(ISBLANK(B422),"",MAX(A$2:A421)+1))</f>
        <v/>
      </c>
      <c r="I422" s="2" t="str">
        <f ca="1">IF(ISNUMBER(A422),
IF(COUNTIFS(Equipar!B:B,3,Equipar!AC:AC,A422),"Equipada",
IF(
  OR(COUNTIFS(Equipar!B:B,3,Equipar!C:C,A422)
 +COUNTIFS(Equipar!B:B,3,Equipar!D:D,A422)
+COUNTIFS(Equipar!B:B,3,Equipar!E:E,A422)
+COUNTIFS(Equipar!B:B,3,Equipar!F:F,A422)
&gt;0,COUNTIF('Set recomendado'!B:B,C422)=0),
"Bloqueada",
"Desechable")),""
)</f>
        <v/>
      </c>
      <c r="J422" t="str" cm="1">
        <f t="array" aca="1" ref="J422" ca="1">IF(ISNUMBER(A422),IFERROR(_xlfn._xlws.FILTER(Equipar!A:A,(Equipar!B:B=3)*(Equipar!AC:AC=A422)),""),"")</f>
        <v/>
      </c>
    </row>
    <row r="423" spans="1:10" x14ac:dyDescent="0.25">
      <c r="A423" s="1" t="str">
        <f ca="1">IF(A422="ID",1,IF(ISBLANK(B423),"",MAX(A$2:A422)+1))</f>
        <v/>
      </c>
      <c r="I423" s="2" t="str">
        <f ca="1">IF(ISNUMBER(A423),
IF(COUNTIFS(Equipar!B:B,3,Equipar!AC:AC,A423),"Equipada",
IF(
  OR(COUNTIFS(Equipar!B:B,3,Equipar!C:C,A423)
 +COUNTIFS(Equipar!B:B,3,Equipar!D:D,A423)
+COUNTIFS(Equipar!B:B,3,Equipar!E:E,A423)
+COUNTIFS(Equipar!B:B,3,Equipar!F:F,A423)
&gt;0,COUNTIF('Set recomendado'!B:B,C423)=0),
"Bloqueada",
"Desechable")),""
)</f>
        <v/>
      </c>
      <c r="J423" t="str" cm="1">
        <f t="array" aca="1" ref="J423" ca="1">IF(ISNUMBER(A423),IFERROR(_xlfn._xlws.FILTER(Equipar!A:A,(Equipar!B:B=3)*(Equipar!AC:AC=A423)),""),"")</f>
        <v/>
      </c>
    </row>
    <row r="424" spans="1:10" x14ac:dyDescent="0.25">
      <c r="A424" s="1" t="str">
        <f ca="1">IF(A423="ID",1,IF(ISBLANK(B424),"",MAX(A$2:A423)+1))</f>
        <v/>
      </c>
      <c r="I424" s="2" t="str">
        <f ca="1">IF(ISNUMBER(A424),
IF(COUNTIFS(Equipar!B:B,3,Equipar!AC:AC,A424),"Equipada",
IF(
  OR(COUNTIFS(Equipar!B:B,3,Equipar!C:C,A424)
 +COUNTIFS(Equipar!B:B,3,Equipar!D:D,A424)
+COUNTIFS(Equipar!B:B,3,Equipar!E:E,A424)
+COUNTIFS(Equipar!B:B,3,Equipar!F:F,A424)
&gt;0,COUNTIF('Set recomendado'!B:B,C424)=0),
"Bloqueada",
"Desechable")),""
)</f>
        <v/>
      </c>
      <c r="J424" t="str" cm="1">
        <f t="array" aca="1" ref="J424" ca="1">IF(ISNUMBER(A424),IFERROR(_xlfn._xlws.FILTER(Equipar!A:A,(Equipar!B:B=3)*(Equipar!AC:AC=A424)),""),"")</f>
        <v/>
      </c>
    </row>
    <row r="425" spans="1:10" x14ac:dyDescent="0.25">
      <c r="A425" s="1" t="str">
        <f ca="1">IF(A424="ID",1,IF(ISBLANK(B425),"",MAX(A$2:A424)+1))</f>
        <v/>
      </c>
      <c r="I425" s="2" t="str">
        <f ca="1">IF(ISNUMBER(A425),
IF(COUNTIFS(Equipar!B:B,3,Equipar!AC:AC,A425),"Equipada",
IF(
  OR(COUNTIFS(Equipar!B:B,3,Equipar!C:C,A425)
 +COUNTIFS(Equipar!B:B,3,Equipar!D:D,A425)
+COUNTIFS(Equipar!B:B,3,Equipar!E:E,A425)
+COUNTIFS(Equipar!B:B,3,Equipar!F:F,A425)
&gt;0,COUNTIF('Set recomendado'!B:B,C425)=0),
"Bloqueada",
"Desechable")),""
)</f>
        <v/>
      </c>
      <c r="J425" t="str" cm="1">
        <f t="array" aca="1" ref="J425" ca="1">IF(ISNUMBER(A425),IFERROR(_xlfn._xlws.FILTER(Equipar!A:A,(Equipar!B:B=3)*(Equipar!AC:AC=A425)),""),"")</f>
        <v/>
      </c>
    </row>
    <row r="426" spans="1:10" x14ac:dyDescent="0.25">
      <c r="A426" s="1" t="str">
        <f ca="1">IF(A425="ID",1,IF(ISBLANK(B426),"",MAX(A$2:A425)+1))</f>
        <v/>
      </c>
      <c r="I426" s="2" t="str">
        <f ca="1">IF(ISNUMBER(A426),
IF(COUNTIFS(Equipar!B:B,3,Equipar!AC:AC,A426),"Equipada",
IF(
  OR(COUNTIFS(Equipar!B:B,3,Equipar!C:C,A426)
 +COUNTIFS(Equipar!B:B,3,Equipar!D:D,A426)
+COUNTIFS(Equipar!B:B,3,Equipar!E:E,A426)
+COUNTIFS(Equipar!B:B,3,Equipar!F:F,A426)
&gt;0,COUNTIF('Set recomendado'!B:B,C426)=0),
"Bloqueada",
"Desechable")),""
)</f>
        <v/>
      </c>
      <c r="J426" t="str" cm="1">
        <f t="array" aca="1" ref="J426" ca="1">IF(ISNUMBER(A426),IFERROR(_xlfn._xlws.FILTER(Equipar!A:A,(Equipar!B:B=3)*(Equipar!AC:AC=A426)),""),"")</f>
        <v/>
      </c>
    </row>
    <row r="427" spans="1:10" x14ac:dyDescent="0.25">
      <c r="A427" s="1" t="str">
        <f ca="1">IF(A426="ID",1,IF(ISBLANK(B427),"",MAX(A$2:A426)+1))</f>
        <v/>
      </c>
      <c r="I427" s="2" t="str">
        <f ca="1">IF(ISNUMBER(A427),
IF(COUNTIFS(Equipar!B:B,3,Equipar!AC:AC,A427),"Equipada",
IF(
  OR(COUNTIFS(Equipar!B:B,3,Equipar!C:C,A427)
 +COUNTIFS(Equipar!B:B,3,Equipar!D:D,A427)
+COUNTIFS(Equipar!B:B,3,Equipar!E:E,A427)
+COUNTIFS(Equipar!B:B,3,Equipar!F:F,A427)
&gt;0,COUNTIF('Set recomendado'!B:B,C427)=0),
"Bloqueada",
"Desechable")),""
)</f>
        <v/>
      </c>
      <c r="J427" t="str" cm="1">
        <f t="array" aca="1" ref="J427" ca="1">IF(ISNUMBER(A427),IFERROR(_xlfn._xlws.FILTER(Equipar!A:A,(Equipar!B:B=3)*(Equipar!AC:AC=A427)),""),"")</f>
        <v/>
      </c>
    </row>
    <row r="428" spans="1:10" x14ac:dyDescent="0.25">
      <c r="A428" s="1" t="str">
        <f ca="1">IF(A427="ID",1,IF(ISBLANK(B428),"",MAX(A$2:A427)+1))</f>
        <v/>
      </c>
      <c r="I428" s="2" t="str">
        <f ca="1">IF(ISNUMBER(A428),
IF(COUNTIFS(Equipar!B:B,3,Equipar!AC:AC,A428),"Equipada",
IF(
  OR(COUNTIFS(Equipar!B:B,3,Equipar!C:C,A428)
 +COUNTIFS(Equipar!B:B,3,Equipar!D:D,A428)
+COUNTIFS(Equipar!B:B,3,Equipar!E:E,A428)
+COUNTIFS(Equipar!B:B,3,Equipar!F:F,A428)
&gt;0,COUNTIF('Set recomendado'!B:B,C428)=0),
"Bloqueada",
"Desechable")),""
)</f>
        <v/>
      </c>
      <c r="J428" t="str" cm="1">
        <f t="array" aca="1" ref="J428" ca="1">IF(ISNUMBER(A428),IFERROR(_xlfn._xlws.FILTER(Equipar!A:A,(Equipar!B:B=3)*(Equipar!AC:AC=A428)),""),"")</f>
        <v/>
      </c>
    </row>
    <row r="429" spans="1:10" x14ac:dyDescent="0.25">
      <c r="A429" s="1" t="str">
        <f ca="1">IF(A428="ID",1,IF(ISBLANK(B429),"",MAX(A$2:A428)+1))</f>
        <v/>
      </c>
      <c r="I429" s="2" t="str">
        <f ca="1">IF(ISNUMBER(A429),
IF(COUNTIFS(Equipar!B:B,3,Equipar!AC:AC,A429),"Equipada",
IF(
  OR(COUNTIFS(Equipar!B:B,3,Equipar!C:C,A429)
 +COUNTIFS(Equipar!B:B,3,Equipar!D:D,A429)
+COUNTIFS(Equipar!B:B,3,Equipar!E:E,A429)
+COUNTIFS(Equipar!B:B,3,Equipar!F:F,A429)
&gt;0,COUNTIF('Set recomendado'!B:B,C429)=0),
"Bloqueada",
"Desechable")),""
)</f>
        <v/>
      </c>
      <c r="J429" t="str" cm="1">
        <f t="array" aca="1" ref="J429" ca="1">IF(ISNUMBER(A429),IFERROR(_xlfn._xlws.FILTER(Equipar!A:A,(Equipar!B:B=3)*(Equipar!AC:AC=A429)),""),"")</f>
        <v/>
      </c>
    </row>
    <row r="430" spans="1:10" x14ac:dyDescent="0.25">
      <c r="A430" s="1" t="str">
        <f ca="1">IF(A429="ID",1,IF(ISBLANK(B430),"",MAX(A$2:A429)+1))</f>
        <v/>
      </c>
      <c r="I430" s="2" t="str">
        <f ca="1">IF(ISNUMBER(A430),
IF(COUNTIFS(Equipar!B:B,3,Equipar!AC:AC,A430),"Equipada",
IF(
  OR(COUNTIFS(Equipar!B:B,3,Equipar!C:C,A430)
 +COUNTIFS(Equipar!B:B,3,Equipar!D:D,A430)
+COUNTIFS(Equipar!B:B,3,Equipar!E:E,A430)
+COUNTIFS(Equipar!B:B,3,Equipar!F:F,A430)
&gt;0,COUNTIF('Set recomendado'!B:B,C430)=0),
"Bloqueada",
"Desechable")),""
)</f>
        <v/>
      </c>
      <c r="J430" t="str" cm="1">
        <f t="array" aca="1" ref="J430" ca="1">IF(ISNUMBER(A430),IFERROR(_xlfn._xlws.FILTER(Equipar!A:A,(Equipar!B:B=3)*(Equipar!AC:AC=A430)),""),"")</f>
        <v/>
      </c>
    </row>
    <row r="431" spans="1:10" x14ac:dyDescent="0.25">
      <c r="A431" s="1" t="str">
        <f ca="1">IF(A430="ID",1,IF(ISBLANK(B431),"",MAX(A$2:A430)+1))</f>
        <v/>
      </c>
      <c r="I431" s="2" t="str">
        <f ca="1">IF(ISNUMBER(A431),
IF(COUNTIFS(Equipar!B:B,3,Equipar!AC:AC,A431),"Equipada",
IF(
  OR(COUNTIFS(Equipar!B:B,3,Equipar!C:C,A431)
 +COUNTIFS(Equipar!B:B,3,Equipar!D:D,A431)
+COUNTIFS(Equipar!B:B,3,Equipar!E:E,A431)
+COUNTIFS(Equipar!B:B,3,Equipar!F:F,A431)
&gt;0,COUNTIF('Set recomendado'!B:B,C431)=0),
"Bloqueada",
"Desechable")),""
)</f>
        <v/>
      </c>
      <c r="J431" t="str" cm="1">
        <f t="array" aca="1" ref="J431" ca="1">IF(ISNUMBER(A431),IFERROR(_xlfn._xlws.FILTER(Equipar!A:A,(Equipar!B:B=3)*(Equipar!AC:AC=A431)),""),"")</f>
        <v/>
      </c>
    </row>
    <row r="432" spans="1:10" x14ac:dyDescent="0.25">
      <c r="A432" s="1" t="str">
        <f ca="1">IF(A431="ID",1,IF(ISBLANK(B432),"",MAX(A$2:A431)+1))</f>
        <v/>
      </c>
      <c r="I432" s="2" t="str">
        <f ca="1">IF(ISNUMBER(A432),
IF(COUNTIFS(Equipar!B:B,3,Equipar!AC:AC,A432),"Equipada",
IF(
  OR(COUNTIFS(Equipar!B:B,3,Equipar!C:C,A432)
 +COUNTIFS(Equipar!B:B,3,Equipar!D:D,A432)
+COUNTIFS(Equipar!B:B,3,Equipar!E:E,A432)
+COUNTIFS(Equipar!B:B,3,Equipar!F:F,A432)
&gt;0,COUNTIF('Set recomendado'!B:B,C432)=0),
"Bloqueada",
"Desechable")),""
)</f>
        <v/>
      </c>
      <c r="J432" t="str" cm="1">
        <f t="array" aca="1" ref="J432" ca="1">IF(ISNUMBER(A432),IFERROR(_xlfn._xlws.FILTER(Equipar!A:A,(Equipar!B:B=3)*(Equipar!AC:AC=A432)),""),"")</f>
        <v/>
      </c>
    </row>
    <row r="433" spans="1:10" x14ac:dyDescent="0.25">
      <c r="A433" s="1" t="str">
        <f ca="1">IF(A432="ID",1,IF(ISBLANK(B433),"",MAX(A$2:A432)+1))</f>
        <v/>
      </c>
      <c r="I433" s="2" t="str">
        <f ca="1">IF(ISNUMBER(A433),
IF(COUNTIFS(Equipar!B:B,3,Equipar!AC:AC,A433),"Equipada",
IF(
  OR(COUNTIFS(Equipar!B:B,3,Equipar!C:C,A433)
 +COUNTIFS(Equipar!B:B,3,Equipar!D:D,A433)
+COUNTIFS(Equipar!B:B,3,Equipar!E:E,A433)
+COUNTIFS(Equipar!B:B,3,Equipar!F:F,A433)
&gt;0,COUNTIF('Set recomendado'!B:B,C433)=0),
"Bloqueada",
"Desechable")),""
)</f>
        <v/>
      </c>
      <c r="J433" t="str" cm="1">
        <f t="array" aca="1" ref="J433" ca="1">IF(ISNUMBER(A433),IFERROR(_xlfn._xlws.FILTER(Equipar!A:A,(Equipar!B:B=3)*(Equipar!AC:AC=A433)),""),"")</f>
        <v/>
      </c>
    </row>
    <row r="434" spans="1:10" x14ac:dyDescent="0.25">
      <c r="A434" s="1" t="str">
        <f ca="1">IF(A433="ID",1,IF(ISBLANK(B434),"",MAX(A$2:A433)+1))</f>
        <v/>
      </c>
      <c r="I434" s="2" t="str">
        <f ca="1">IF(ISNUMBER(A434),
IF(COUNTIFS(Equipar!B:B,3,Equipar!AC:AC,A434),"Equipada",
IF(
  OR(COUNTIFS(Equipar!B:B,3,Equipar!C:C,A434)
 +COUNTIFS(Equipar!B:B,3,Equipar!D:D,A434)
+COUNTIFS(Equipar!B:B,3,Equipar!E:E,A434)
+COUNTIFS(Equipar!B:B,3,Equipar!F:F,A434)
&gt;0,COUNTIF('Set recomendado'!B:B,C434)=0),
"Bloqueada",
"Desechable")),""
)</f>
        <v/>
      </c>
      <c r="J434" t="str" cm="1">
        <f t="array" aca="1" ref="J434" ca="1">IF(ISNUMBER(A434),IFERROR(_xlfn._xlws.FILTER(Equipar!A:A,(Equipar!B:B=3)*(Equipar!AC:AC=A434)),""),"")</f>
        <v/>
      </c>
    </row>
    <row r="435" spans="1:10" x14ac:dyDescent="0.25">
      <c r="A435" s="1" t="str">
        <f ca="1">IF(A434="ID",1,IF(ISBLANK(B435),"",MAX(A$2:A434)+1))</f>
        <v/>
      </c>
      <c r="I435" s="2" t="str">
        <f ca="1">IF(ISNUMBER(A435),
IF(COUNTIFS(Equipar!B:B,3,Equipar!AC:AC,A435),"Equipada",
IF(
  OR(COUNTIFS(Equipar!B:B,3,Equipar!C:C,A435)
 +COUNTIFS(Equipar!B:B,3,Equipar!D:D,A435)
+COUNTIFS(Equipar!B:B,3,Equipar!E:E,A435)
+COUNTIFS(Equipar!B:B,3,Equipar!F:F,A435)
&gt;0,COUNTIF('Set recomendado'!B:B,C435)=0),
"Bloqueada",
"Desechable")),""
)</f>
        <v/>
      </c>
      <c r="J435" t="str" cm="1">
        <f t="array" aca="1" ref="J435" ca="1">IF(ISNUMBER(A435),IFERROR(_xlfn._xlws.FILTER(Equipar!A:A,(Equipar!B:B=3)*(Equipar!AC:AC=A435)),""),"")</f>
        <v/>
      </c>
    </row>
    <row r="436" spans="1:10" x14ac:dyDescent="0.25">
      <c r="A436" s="1" t="str">
        <f ca="1">IF(A435="ID",1,IF(ISBLANK(B436),"",MAX(A$2:A435)+1))</f>
        <v/>
      </c>
      <c r="I436" s="2" t="str">
        <f ca="1">IF(ISNUMBER(A436),
IF(COUNTIFS(Equipar!B:B,3,Equipar!AC:AC,A436),"Equipada",
IF(
  OR(COUNTIFS(Equipar!B:B,3,Equipar!C:C,A436)
 +COUNTIFS(Equipar!B:B,3,Equipar!D:D,A436)
+COUNTIFS(Equipar!B:B,3,Equipar!E:E,A436)
+COUNTIFS(Equipar!B:B,3,Equipar!F:F,A436)
&gt;0,COUNTIF('Set recomendado'!B:B,C436)=0),
"Bloqueada",
"Desechable")),""
)</f>
        <v/>
      </c>
      <c r="J436" t="str" cm="1">
        <f t="array" aca="1" ref="J436" ca="1">IF(ISNUMBER(A436),IFERROR(_xlfn._xlws.FILTER(Equipar!A:A,(Equipar!B:B=3)*(Equipar!AC:AC=A436)),""),"")</f>
        <v/>
      </c>
    </row>
    <row r="437" spans="1:10" x14ac:dyDescent="0.25">
      <c r="A437" s="1" t="str">
        <f ca="1">IF(A436="ID",1,IF(ISBLANK(B437),"",MAX(A$2:A436)+1))</f>
        <v/>
      </c>
      <c r="I437" s="2" t="str">
        <f ca="1">IF(ISNUMBER(A437),
IF(COUNTIFS(Equipar!B:B,3,Equipar!AC:AC,A437),"Equipada",
IF(
  OR(COUNTIFS(Equipar!B:B,3,Equipar!C:C,A437)
 +COUNTIFS(Equipar!B:B,3,Equipar!D:D,A437)
+COUNTIFS(Equipar!B:B,3,Equipar!E:E,A437)
+COUNTIFS(Equipar!B:B,3,Equipar!F:F,A437)
&gt;0,COUNTIF('Set recomendado'!B:B,C437)=0),
"Bloqueada",
"Desechable")),""
)</f>
        <v/>
      </c>
      <c r="J437" t="str" cm="1">
        <f t="array" aca="1" ref="J437" ca="1">IF(ISNUMBER(A437),IFERROR(_xlfn._xlws.FILTER(Equipar!A:A,(Equipar!B:B=3)*(Equipar!AC:AC=A437)),""),"")</f>
        <v/>
      </c>
    </row>
    <row r="438" spans="1:10" x14ac:dyDescent="0.25">
      <c r="A438" s="1" t="str">
        <f ca="1">IF(A437="ID",1,IF(ISBLANK(B438),"",MAX(A$2:A437)+1))</f>
        <v/>
      </c>
      <c r="I438" s="2" t="str">
        <f ca="1">IF(ISNUMBER(A438),
IF(COUNTIFS(Equipar!B:B,3,Equipar!AC:AC,A438),"Equipada",
IF(
  OR(COUNTIFS(Equipar!B:B,3,Equipar!C:C,A438)
 +COUNTIFS(Equipar!B:B,3,Equipar!D:D,A438)
+COUNTIFS(Equipar!B:B,3,Equipar!E:E,A438)
+COUNTIFS(Equipar!B:B,3,Equipar!F:F,A438)
&gt;0,COUNTIF('Set recomendado'!B:B,C438)=0),
"Bloqueada",
"Desechable")),""
)</f>
        <v/>
      </c>
      <c r="J438" t="str" cm="1">
        <f t="array" aca="1" ref="J438" ca="1">IF(ISNUMBER(A438),IFERROR(_xlfn._xlws.FILTER(Equipar!A:A,(Equipar!B:B=3)*(Equipar!AC:AC=A438)),""),"")</f>
        <v/>
      </c>
    </row>
    <row r="439" spans="1:10" x14ac:dyDescent="0.25">
      <c r="A439" s="1" t="str">
        <f ca="1">IF(A438="ID",1,IF(ISBLANK(B439),"",MAX(A$2:A438)+1))</f>
        <v/>
      </c>
      <c r="I439" s="2" t="str">
        <f ca="1">IF(ISNUMBER(A439),
IF(COUNTIFS(Equipar!B:B,3,Equipar!AC:AC,A439),"Equipada",
IF(
  OR(COUNTIFS(Equipar!B:B,3,Equipar!C:C,A439)
 +COUNTIFS(Equipar!B:B,3,Equipar!D:D,A439)
+COUNTIFS(Equipar!B:B,3,Equipar!E:E,A439)
+COUNTIFS(Equipar!B:B,3,Equipar!F:F,A439)
&gt;0,COUNTIF('Set recomendado'!B:B,C439)=0),
"Bloqueada",
"Desechable")),""
)</f>
        <v/>
      </c>
      <c r="J439" t="str" cm="1">
        <f t="array" aca="1" ref="J439" ca="1">IF(ISNUMBER(A439),IFERROR(_xlfn._xlws.FILTER(Equipar!A:A,(Equipar!B:B=3)*(Equipar!AC:AC=A439)),""),"")</f>
        <v/>
      </c>
    </row>
    <row r="440" spans="1:10" x14ac:dyDescent="0.25">
      <c r="A440" s="1" t="str">
        <f ca="1">IF(A439="ID",1,IF(ISBLANK(B440),"",MAX(A$2:A439)+1))</f>
        <v/>
      </c>
      <c r="I440" s="2" t="str">
        <f ca="1">IF(ISNUMBER(A440),
IF(COUNTIFS(Equipar!B:B,3,Equipar!AC:AC,A440),"Equipada",
IF(
  OR(COUNTIFS(Equipar!B:B,3,Equipar!C:C,A440)
 +COUNTIFS(Equipar!B:B,3,Equipar!D:D,A440)
+COUNTIFS(Equipar!B:B,3,Equipar!E:E,A440)
+COUNTIFS(Equipar!B:B,3,Equipar!F:F,A440)
&gt;0,COUNTIF('Set recomendado'!B:B,C440)=0),
"Bloqueada",
"Desechable")),""
)</f>
        <v/>
      </c>
      <c r="J440" t="str" cm="1">
        <f t="array" aca="1" ref="J440" ca="1">IF(ISNUMBER(A440),IFERROR(_xlfn._xlws.FILTER(Equipar!A:A,(Equipar!B:B=3)*(Equipar!AC:AC=A440)),""),"")</f>
        <v/>
      </c>
    </row>
    <row r="441" spans="1:10" x14ac:dyDescent="0.25">
      <c r="A441" s="1" t="str">
        <f ca="1">IF(A440="ID",1,IF(ISBLANK(B441),"",MAX(A$2:A440)+1))</f>
        <v/>
      </c>
      <c r="I441" s="2" t="str">
        <f ca="1">IF(ISNUMBER(A441),
IF(COUNTIFS(Equipar!B:B,3,Equipar!AC:AC,A441),"Equipada",
IF(
  OR(COUNTIFS(Equipar!B:B,3,Equipar!C:C,A441)
 +COUNTIFS(Equipar!B:B,3,Equipar!D:D,A441)
+COUNTIFS(Equipar!B:B,3,Equipar!E:E,A441)
+COUNTIFS(Equipar!B:B,3,Equipar!F:F,A441)
&gt;0,COUNTIF('Set recomendado'!B:B,C441)=0),
"Bloqueada",
"Desechable")),""
)</f>
        <v/>
      </c>
      <c r="J441" t="str" cm="1">
        <f t="array" aca="1" ref="J441" ca="1">IF(ISNUMBER(A441),IFERROR(_xlfn._xlws.FILTER(Equipar!A:A,(Equipar!B:B=3)*(Equipar!AC:AC=A441)),""),"")</f>
        <v/>
      </c>
    </row>
    <row r="442" spans="1:10" x14ac:dyDescent="0.25">
      <c r="A442" s="1" t="str">
        <f ca="1">IF(A441="ID",1,IF(ISBLANK(B442),"",MAX(A$2:A441)+1))</f>
        <v/>
      </c>
      <c r="I442" s="2" t="str">
        <f ca="1">IF(ISNUMBER(A442),
IF(COUNTIFS(Equipar!B:B,3,Equipar!AC:AC,A442),"Equipada",
IF(
  OR(COUNTIFS(Equipar!B:B,3,Equipar!C:C,A442)
 +COUNTIFS(Equipar!B:B,3,Equipar!D:D,A442)
+COUNTIFS(Equipar!B:B,3,Equipar!E:E,A442)
+COUNTIFS(Equipar!B:B,3,Equipar!F:F,A442)
&gt;0,COUNTIF('Set recomendado'!B:B,C442)=0),
"Bloqueada",
"Desechable")),""
)</f>
        <v/>
      </c>
      <c r="J442" t="str" cm="1">
        <f t="array" aca="1" ref="J442" ca="1">IF(ISNUMBER(A442),IFERROR(_xlfn._xlws.FILTER(Equipar!A:A,(Equipar!B:B=3)*(Equipar!AC:AC=A442)),""),"")</f>
        <v/>
      </c>
    </row>
    <row r="443" spans="1:10" x14ac:dyDescent="0.25">
      <c r="A443" s="1" t="str">
        <f ca="1">IF(A442="ID",1,IF(ISBLANK(B443),"",MAX(A$2:A442)+1))</f>
        <v/>
      </c>
      <c r="I443" s="2" t="str">
        <f ca="1">IF(ISNUMBER(A443),
IF(COUNTIFS(Equipar!B:B,3,Equipar!AC:AC,A443),"Equipada",
IF(
  OR(COUNTIFS(Equipar!B:B,3,Equipar!C:C,A443)
 +COUNTIFS(Equipar!B:B,3,Equipar!D:D,A443)
+COUNTIFS(Equipar!B:B,3,Equipar!E:E,A443)
+COUNTIFS(Equipar!B:B,3,Equipar!F:F,A443)
&gt;0,COUNTIF('Set recomendado'!B:B,C443)=0),
"Bloqueada",
"Desechable")),""
)</f>
        <v/>
      </c>
      <c r="J443" t="str" cm="1">
        <f t="array" aca="1" ref="J443" ca="1">IF(ISNUMBER(A443),IFERROR(_xlfn._xlws.FILTER(Equipar!A:A,(Equipar!B:B=3)*(Equipar!AC:AC=A443)),""),"")</f>
        <v/>
      </c>
    </row>
    <row r="444" spans="1:10" x14ac:dyDescent="0.25">
      <c r="A444" s="1" t="str">
        <f ca="1">IF(A443="ID",1,IF(ISBLANK(B444),"",MAX(A$2:A443)+1))</f>
        <v/>
      </c>
      <c r="I444" s="2" t="str">
        <f ca="1">IF(ISNUMBER(A444),
IF(COUNTIFS(Equipar!B:B,3,Equipar!AC:AC,A444),"Equipada",
IF(
  OR(COUNTIFS(Equipar!B:B,3,Equipar!C:C,A444)
 +COUNTIFS(Equipar!B:B,3,Equipar!D:D,A444)
+COUNTIFS(Equipar!B:B,3,Equipar!E:E,A444)
+COUNTIFS(Equipar!B:B,3,Equipar!F:F,A444)
&gt;0,COUNTIF('Set recomendado'!B:B,C444)=0),
"Bloqueada",
"Desechable")),""
)</f>
        <v/>
      </c>
      <c r="J444" t="str" cm="1">
        <f t="array" aca="1" ref="J444" ca="1">IF(ISNUMBER(A444),IFERROR(_xlfn._xlws.FILTER(Equipar!A:A,(Equipar!B:B=3)*(Equipar!AC:AC=A444)),""),"")</f>
        <v/>
      </c>
    </row>
    <row r="445" spans="1:10" x14ac:dyDescent="0.25">
      <c r="A445" s="1" t="str">
        <f ca="1">IF(A444="ID",1,IF(ISBLANK(B445),"",MAX(A$2:A444)+1))</f>
        <v/>
      </c>
      <c r="I445" s="2" t="str">
        <f ca="1">IF(ISNUMBER(A445),
IF(COUNTIFS(Equipar!B:B,3,Equipar!AC:AC,A445),"Equipada",
IF(
  OR(COUNTIFS(Equipar!B:B,3,Equipar!C:C,A445)
 +COUNTIFS(Equipar!B:B,3,Equipar!D:D,A445)
+COUNTIFS(Equipar!B:B,3,Equipar!E:E,A445)
+COUNTIFS(Equipar!B:B,3,Equipar!F:F,A445)
&gt;0,COUNTIF('Set recomendado'!B:B,C445)=0),
"Bloqueada",
"Desechable")),""
)</f>
        <v/>
      </c>
      <c r="J445" t="str" cm="1">
        <f t="array" aca="1" ref="J445" ca="1">IF(ISNUMBER(A445),IFERROR(_xlfn._xlws.FILTER(Equipar!A:A,(Equipar!B:B=3)*(Equipar!AC:AC=A445)),""),"")</f>
        <v/>
      </c>
    </row>
    <row r="446" spans="1:10" x14ac:dyDescent="0.25">
      <c r="A446" s="1" t="str">
        <f ca="1">IF(A445="ID",1,IF(ISBLANK(B446),"",MAX(A$2:A445)+1))</f>
        <v/>
      </c>
      <c r="I446" s="2" t="str">
        <f ca="1">IF(ISNUMBER(A446),
IF(COUNTIFS(Equipar!B:B,3,Equipar!AC:AC,A446),"Equipada",
IF(
  OR(COUNTIFS(Equipar!B:B,3,Equipar!C:C,A446)
 +COUNTIFS(Equipar!B:B,3,Equipar!D:D,A446)
+COUNTIFS(Equipar!B:B,3,Equipar!E:E,A446)
+COUNTIFS(Equipar!B:B,3,Equipar!F:F,A446)
&gt;0,COUNTIF('Set recomendado'!B:B,C446)=0),
"Bloqueada",
"Desechable")),""
)</f>
        <v/>
      </c>
      <c r="J446" t="str" cm="1">
        <f t="array" aca="1" ref="J446" ca="1">IF(ISNUMBER(A446),IFERROR(_xlfn._xlws.FILTER(Equipar!A:A,(Equipar!B:B=3)*(Equipar!AC:AC=A446)),""),"")</f>
        <v/>
      </c>
    </row>
    <row r="447" spans="1:10" x14ac:dyDescent="0.25">
      <c r="A447" s="1" t="str">
        <f ca="1">IF(A446="ID",1,IF(ISBLANK(B447),"",MAX(A$2:A446)+1))</f>
        <v/>
      </c>
      <c r="I447" s="2" t="str">
        <f ca="1">IF(ISNUMBER(A447),
IF(COUNTIFS(Equipar!B:B,3,Equipar!AC:AC,A447),"Equipada",
IF(
  OR(COUNTIFS(Equipar!B:B,3,Equipar!C:C,A447)
 +COUNTIFS(Equipar!B:B,3,Equipar!D:D,A447)
+COUNTIFS(Equipar!B:B,3,Equipar!E:E,A447)
+COUNTIFS(Equipar!B:B,3,Equipar!F:F,A447)
&gt;0,COUNTIF('Set recomendado'!B:B,C447)=0),
"Bloqueada",
"Desechable")),""
)</f>
        <v/>
      </c>
      <c r="J447" t="str" cm="1">
        <f t="array" aca="1" ref="J447" ca="1">IF(ISNUMBER(A447),IFERROR(_xlfn._xlws.FILTER(Equipar!A:A,(Equipar!B:B=3)*(Equipar!AC:AC=A447)),""),"")</f>
        <v/>
      </c>
    </row>
    <row r="448" spans="1:10" x14ac:dyDescent="0.25">
      <c r="A448" s="1" t="str">
        <f ca="1">IF(A447="ID",1,IF(ISBLANK(B448),"",MAX(A$2:A447)+1))</f>
        <v/>
      </c>
      <c r="I448" s="2" t="str">
        <f ca="1">IF(ISNUMBER(A448),
IF(COUNTIFS(Equipar!B:B,3,Equipar!AC:AC,A448),"Equipada",
IF(
  OR(COUNTIFS(Equipar!B:B,3,Equipar!C:C,A448)
 +COUNTIFS(Equipar!B:B,3,Equipar!D:D,A448)
+COUNTIFS(Equipar!B:B,3,Equipar!E:E,A448)
+COUNTIFS(Equipar!B:B,3,Equipar!F:F,A448)
&gt;0,COUNTIF('Set recomendado'!B:B,C448)=0),
"Bloqueada",
"Desechable")),""
)</f>
        <v/>
      </c>
      <c r="J448" t="str" cm="1">
        <f t="array" aca="1" ref="J448" ca="1">IF(ISNUMBER(A448),IFERROR(_xlfn._xlws.FILTER(Equipar!A:A,(Equipar!B:B=3)*(Equipar!AC:AC=A448)),""),"")</f>
        <v/>
      </c>
    </row>
    <row r="449" spans="1:10" x14ac:dyDescent="0.25">
      <c r="A449" s="1" t="str">
        <f ca="1">IF(A448="ID",1,IF(ISBLANK(B449),"",MAX(A$2:A448)+1))</f>
        <v/>
      </c>
      <c r="I449" s="2" t="str">
        <f ca="1">IF(ISNUMBER(A449),
IF(COUNTIFS(Equipar!B:B,3,Equipar!AC:AC,A449),"Equipada",
IF(
  OR(COUNTIFS(Equipar!B:B,3,Equipar!C:C,A449)
 +COUNTIFS(Equipar!B:B,3,Equipar!D:D,A449)
+COUNTIFS(Equipar!B:B,3,Equipar!E:E,A449)
+COUNTIFS(Equipar!B:B,3,Equipar!F:F,A449)
&gt;0,COUNTIF('Set recomendado'!B:B,C449)=0),
"Bloqueada",
"Desechable")),""
)</f>
        <v/>
      </c>
      <c r="J449" t="str" cm="1">
        <f t="array" aca="1" ref="J449" ca="1">IF(ISNUMBER(A449),IFERROR(_xlfn._xlws.FILTER(Equipar!A:A,(Equipar!B:B=3)*(Equipar!AC:AC=A449)),""),"")</f>
        <v/>
      </c>
    </row>
    <row r="450" spans="1:10" x14ac:dyDescent="0.25">
      <c r="A450" s="1" t="str">
        <f ca="1">IF(A449="ID",1,IF(ISBLANK(B450),"",MAX(A$2:A449)+1))</f>
        <v/>
      </c>
      <c r="I450" s="2" t="str">
        <f ca="1">IF(ISNUMBER(A450),
IF(COUNTIFS(Equipar!B:B,3,Equipar!AC:AC,A450),"Equipada",
IF(
  OR(COUNTIFS(Equipar!B:B,3,Equipar!C:C,A450)
 +COUNTIFS(Equipar!B:B,3,Equipar!D:D,A450)
+COUNTIFS(Equipar!B:B,3,Equipar!E:E,A450)
+COUNTIFS(Equipar!B:B,3,Equipar!F:F,A450)
&gt;0,COUNTIF('Set recomendado'!B:B,C450)=0),
"Bloqueada",
"Desechable")),""
)</f>
        <v/>
      </c>
      <c r="J450" t="str" cm="1">
        <f t="array" aca="1" ref="J450" ca="1">IF(ISNUMBER(A450),IFERROR(_xlfn._xlws.FILTER(Equipar!A:A,(Equipar!B:B=3)*(Equipar!AC:AC=A450)),""),"")</f>
        <v/>
      </c>
    </row>
    <row r="451" spans="1:10" x14ac:dyDescent="0.25">
      <c r="A451" s="1" t="str">
        <f ca="1">IF(A450="ID",1,IF(ISBLANK(B451),"",MAX(A$2:A450)+1))</f>
        <v/>
      </c>
      <c r="I451" s="2" t="str">
        <f ca="1">IF(ISNUMBER(A451),
IF(COUNTIFS(Equipar!B:B,3,Equipar!AC:AC,A451),"Equipada",
IF(
  OR(COUNTIFS(Equipar!B:B,3,Equipar!C:C,A451)
 +COUNTIFS(Equipar!B:B,3,Equipar!D:D,A451)
+COUNTIFS(Equipar!B:B,3,Equipar!E:E,A451)
+COUNTIFS(Equipar!B:B,3,Equipar!F:F,A451)
&gt;0,COUNTIF('Set recomendado'!B:B,C451)=0),
"Bloqueada",
"Desechable")),""
)</f>
        <v/>
      </c>
      <c r="J451" t="str" cm="1">
        <f t="array" aca="1" ref="J451" ca="1">IF(ISNUMBER(A451),IFERROR(_xlfn._xlws.FILTER(Equipar!A:A,(Equipar!B:B=3)*(Equipar!AC:AC=A451)),""),"")</f>
        <v/>
      </c>
    </row>
    <row r="452" spans="1:10" x14ac:dyDescent="0.25">
      <c r="A452" s="1" t="str">
        <f ca="1">IF(A451="ID",1,IF(ISBLANK(B452),"",MAX(A$2:A451)+1))</f>
        <v/>
      </c>
      <c r="I452" s="2" t="str">
        <f ca="1">IF(ISNUMBER(A452),
IF(COUNTIFS(Equipar!B:B,3,Equipar!AC:AC,A452),"Equipada",
IF(
  OR(COUNTIFS(Equipar!B:B,3,Equipar!C:C,A452)
 +COUNTIFS(Equipar!B:B,3,Equipar!D:D,A452)
+COUNTIFS(Equipar!B:B,3,Equipar!E:E,A452)
+COUNTIFS(Equipar!B:B,3,Equipar!F:F,A452)
&gt;0,COUNTIF('Set recomendado'!B:B,C452)=0),
"Bloqueada",
"Desechable")),""
)</f>
        <v/>
      </c>
      <c r="J452" t="str" cm="1">
        <f t="array" aca="1" ref="J452" ca="1">IF(ISNUMBER(A452),IFERROR(_xlfn._xlws.FILTER(Equipar!A:A,(Equipar!B:B=3)*(Equipar!AC:AC=A452)),""),"")</f>
        <v/>
      </c>
    </row>
    <row r="453" spans="1:10" x14ac:dyDescent="0.25">
      <c r="A453" s="1" t="str">
        <f ca="1">IF(A452="ID",1,IF(ISBLANK(B453),"",MAX(A$2:A452)+1))</f>
        <v/>
      </c>
      <c r="I453" s="2" t="str">
        <f ca="1">IF(ISNUMBER(A453),
IF(COUNTIFS(Equipar!B:B,3,Equipar!AC:AC,A453),"Equipada",
IF(
  OR(COUNTIFS(Equipar!B:B,3,Equipar!C:C,A453)
 +COUNTIFS(Equipar!B:B,3,Equipar!D:D,A453)
+COUNTIFS(Equipar!B:B,3,Equipar!E:E,A453)
+COUNTIFS(Equipar!B:B,3,Equipar!F:F,A453)
&gt;0,COUNTIF('Set recomendado'!B:B,C453)=0),
"Bloqueada",
"Desechable")),""
)</f>
        <v/>
      </c>
      <c r="J453" t="str" cm="1">
        <f t="array" aca="1" ref="J453" ca="1">IF(ISNUMBER(A453),IFERROR(_xlfn._xlws.FILTER(Equipar!A:A,(Equipar!B:B=3)*(Equipar!AC:AC=A453)),""),"")</f>
        <v/>
      </c>
    </row>
    <row r="454" spans="1:10" x14ac:dyDescent="0.25">
      <c r="A454" s="1" t="str">
        <f ca="1">IF(A453="ID",1,IF(ISBLANK(B454),"",MAX(A$2:A453)+1))</f>
        <v/>
      </c>
      <c r="I454" s="2" t="str">
        <f ca="1">IF(ISNUMBER(A454),
IF(COUNTIFS(Equipar!B:B,3,Equipar!AC:AC,A454),"Equipada",
IF(
  OR(COUNTIFS(Equipar!B:B,3,Equipar!C:C,A454)
 +COUNTIFS(Equipar!B:B,3,Equipar!D:D,A454)
+COUNTIFS(Equipar!B:B,3,Equipar!E:E,A454)
+COUNTIFS(Equipar!B:B,3,Equipar!F:F,A454)
&gt;0,COUNTIF('Set recomendado'!B:B,C454)=0),
"Bloqueada",
"Desechable")),""
)</f>
        <v/>
      </c>
      <c r="J454" t="str" cm="1">
        <f t="array" aca="1" ref="J454" ca="1">IF(ISNUMBER(A454),IFERROR(_xlfn._xlws.FILTER(Equipar!A:A,(Equipar!B:B=3)*(Equipar!AC:AC=A454)),""),"")</f>
        <v/>
      </c>
    </row>
    <row r="455" spans="1:10" x14ac:dyDescent="0.25">
      <c r="A455" s="1" t="str">
        <f ca="1">IF(A454="ID",1,IF(ISBLANK(B455),"",MAX(A$2:A454)+1))</f>
        <v/>
      </c>
      <c r="I455" s="2" t="str">
        <f ca="1">IF(ISNUMBER(A455),
IF(COUNTIFS(Equipar!B:B,3,Equipar!AC:AC,A455),"Equipada",
IF(
  OR(COUNTIFS(Equipar!B:B,3,Equipar!C:C,A455)
 +COUNTIFS(Equipar!B:B,3,Equipar!D:D,A455)
+COUNTIFS(Equipar!B:B,3,Equipar!E:E,A455)
+COUNTIFS(Equipar!B:B,3,Equipar!F:F,A455)
&gt;0,COUNTIF('Set recomendado'!B:B,C455)=0),
"Bloqueada",
"Desechable")),""
)</f>
        <v/>
      </c>
      <c r="J455" t="str" cm="1">
        <f t="array" aca="1" ref="J455" ca="1">IF(ISNUMBER(A455),IFERROR(_xlfn._xlws.FILTER(Equipar!A:A,(Equipar!B:B=3)*(Equipar!AC:AC=A455)),""),"")</f>
        <v/>
      </c>
    </row>
    <row r="456" spans="1:10" x14ac:dyDescent="0.25">
      <c r="A456" s="1" t="str">
        <f ca="1">IF(A455="ID",1,IF(ISBLANK(B456),"",MAX(A$2:A455)+1))</f>
        <v/>
      </c>
      <c r="I456" s="2" t="str">
        <f ca="1">IF(ISNUMBER(A456),
IF(COUNTIFS(Equipar!B:B,3,Equipar!AC:AC,A456),"Equipada",
IF(
  OR(COUNTIFS(Equipar!B:B,3,Equipar!C:C,A456)
 +COUNTIFS(Equipar!B:B,3,Equipar!D:D,A456)
+COUNTIFS(Equipar!B:B,3,Equipar!E:E,A456)
+COUNTIFS(Equipar!B:B,3,Equipar!F:F,A456)
&gt;0,COUNTIF('Set recomendado'!B:B,C456)=0),
"Bloqueada",
"Desechable")),""
)</f>
        <v/>
      </c>
      <c r="J456" t="str" cm="1">
        <f t="array" aca="1" ref="J456" ca="1">IF(ISNUMBER(A456),IFERROR(_xlfn._xlws.FILTER(Equipar!A:A,(Equipar!B:B=3)*(Equipar!AC:AC=A456)),""),"")</f>
        <v/>
      </c>
    </row>
    <row r="457" spans="1:10" x14ac:dyDescent="0.25">
      <c r="A457" s="1" t="str">
        <f ca="1">IF(A456="ID",1,IF(ISBLANK(B457),"",MAX(A$2:A456)+1))</f>
        <v/>
      </c>
      <c r="I457" s="2" t="str">
        <f ca="1">IF(ISNUMBER(A457),
IF(COUNTIFS(Equipar!B:B,3,Equipar!AC:AC,A457),"Equipada",
IF(
  OR(COUNTIFS(Equipar!B:B,3,Equipar!C:C,A457)
 +COUNTIFS(Equipar!B:B,3,Equipar!D:D,A457)
+COUNTIFS(Equipar!B:B,3,Equipar!E:E,A457)
+COUNTIFS(Equipar!B:B,3,Equipar!F:F,A457)
&gt;0,COUNTIF('Set recomendado'!B:B,C457)=0),
"Bloqueada",
"Desechable")),""
)</f>
        <v/>
      </c>
      <c r="J457" t="str" cm="1">
        <f t="array" aca="1" ref="J457" ca="1">IF(ISNUMBER(A457),IFERROR(_xlfn._xlws.FILTER(Equipar!A:A,(Equipar!B:B=3)*(Equipar!AC:AC=A457)),""),"")</f>
        <v/>
      </c>
    </row>
    <row r="458" spans="1:10" x14ac:dyDescent="0.25">
      <c r="A458" s="1" t="str">
        <f ca="1">IF(A457="ID",1,IF(ISBLANK(B458),"",MAX(A$2:A457)+1))</f>
        <v/>
      </c>
      <c r="I458" s="2" t="str">
        <f ca="1">IF(ISNUMBER(A458),
IF(COUNTIFS(Equipar!B:B,3,Equipar!AC:AC,A458),"Equipada",
IF(
  OR(COUNTIFS(Equipar!B:B,3,Equipar!C:C,A458)
 +COUNTIFS(Equipar!B:B,3,Equipar!D:D,A458)
+COUNTIFS(Equipar!B:B,3,Equipar!E:E,A458)
+COUNTIFS(Equipar!B:B,3,Equipar!F:F,A458)
&gt;0,COUNTIF('Set recomendado'!B:B,C458)=0),
"Bloqueada",
"Desechable")),""
)</f>
        <v/>
      </c>
      <c r="J458" t="str" cm="1">
        <f t="array" aca="1" ref="J458" ca="1">IF(ISNUMBER(A458),IFERROR(_xlfn._xlws.FILTER(Equipar!A:A,(Equipar!B:B=3)*(Equipar!AC:AC=A458)),""),"")</f>
        <v/>
      </c>
    </row>
    <row r="459" spans="1:10" x14ac:dyDescent="0.25">
      <c r="A459" s="1" t="str">
        <f ca="1">IF(A458="ID",1,IF(ISBLANK(B459),"",MAX(A$2:A458)+1))</f>
        <v/>
      </c>
      <c r="I459" s="2" t="str">
        <f ca="1">IF(ISNUMBER(A459),
IF(COUNTIFS(Equipar!B:B,3,Equipar!AC:AC,A459),"Equipada",
IF(
  OR(COUNTIFS(Equipar!B:B,3,Equipar!C:C,A459)
 +COUNTIFS(Equipar!B:B,3,Equipar!D:D,A459)
+COUNTIFS(Equipar!B:B,3,Equipar!E:E,A459)
+COUNTIFS(Equipar!B:B,3,Equipar!F:F,A459)
&gt;0,COUNTIF('Set recomendado'!B:B,C459)=0),
"Bloqueada",
"Desechable")),""
)</f>
        <v/>
      </c>
      <c r="J459" t="str" cm="1">
        <f t="array" aca="1" ref="J459" ca="1">IF(ISNUMBER(A459),IFERROR(_xlfn._xlws.FILTER(Equipar!A:A,(Equipar!B:B=3)*(Equipar!AC:AC=A459)),""),"")</f>
        <v/>
      </c>
    </row>
    <row r="460" spans="1:10" x14ac:dyDescent="0.25">
      <c r="A460" s="1" t="str">
        <f ca="1">IF(A459="ID",1,IF(ISBLANK(B460),"",MAX(A$2:A459)+1))</f>
        <v/>
      </c>
      <c r="I460" s="2" t="str">
        <f ca="1">IF(ISNUMBER(A460),
IF(COUNTIFS(Equipar!B:B,3,Equipar!AC:AC,A460),"Equipada",
IF(
  OR(COUNTIFS(Equipar!B:B,3,Equipar!C:C,A460)
 +COUNTIFS(Equipar!B:B,3,Equipar!D:D,A460)
+COUNTIFS(Equipar!B:B,3,Equipar!E:E,A460)
+COUNTIFS(Equipar!B:B,3,Equipar!F:F,A460)
&gt;0,COUNTIF('Set recomendado'!B:B,C460)=0),
"Bloqueada",
"Desechable")),""
)</f>
        <v/>
      </c>
      <c r="J460" t="str" cm="1">
        <f t="array" aca="1" ref="J460" ca="1">IF(ISNUMBER(A460),IFERROR(_xlfn._xlws.FILTER(Equipar!A:A,(Equipar!B:B=3)*(Equipar!AC:AC=A460)),""),"")</f>
        <v/>
      </c>
    </row>
    <row r="461" spans="1:10" x14ac:dyDescent="0.25">
      <c r="A461" s="1" t="str">
        <f ca="1">IF(A460="ID",1,IF(ISBLANK(B461),"",MAX(A$2:A460)+1))</f>
        <v/>
      </c>
      <c r="I461" s="2" t="str">
        <f ca="1">IF(ISNUMBER(A461),
IF(COUNTIFS(Equipar!B:B,3,Equipar!AC:AC,A461),"Equipada",
IF(
  OR(COUNTIFS(Equipar!B:B,3,Equipar!C:C,A461)
 +COUNTIFS(Equipar!B:B,3,Equipar!D:D,A461)
+COUNTIFS(Equipar!B:B,3,Equipar!E:E,A461)
+COUNTIFS(Equipar!B:B,3,Equipar!F:F,A461)
&gt;0,COUNTIF('Set recomendado'!B:B,C461)=0),
"Bloqueada",
"Desechable")),""
)</f>
        <v/>
      </c>
      <c r="J461" t="str" cm="1">
        <f t="array" aca="1" ref="J461" ca="1">IF(ISNUMBER(A461),IFERROR(_xlfn._xlws.FILTER(Equipar!A:A,(Equipar!B:B=3)*(Equipar!AC:AC=A461)),""),"")</f>
        <v/>
      </c>
    </row>
    <row r="462" spans="1:10" x14ac:dyDescent="0.25">
      <c r="A462" s="1" t="str">
        <f ca="1">IF(A461="ID",1,IF(ISBLANK(B462),"",MAX(A$2:A461)+1))</f>
        <v/>
      </c>
      <c r="I462" s="2" t="str">
        <f ca="1">IF(ISNUMBER(A462),
IF(COUNTIFS(Equipar!B:B,3,Equipar!AC:AC,A462),"Equipada",
IF(
  OR(COUNTIFS(Equipar!B:B,3,Equipar!C:C,A462)
 +COUNTIFS(Equipar!B:B,3,Equipar!D:D,A462)
+COUNTIFS(Equipar!B:B,3,Equipar!E:E,A462)
+COUNTIFS(Equipar!B:B,3,Equipar!F:F,A462)
&gt;0,COUNTIF('Set recomendado'!B:B,C462)=0),
"Bloqueada",
"Desechable")),""
)</f>
        <v/>
      </c>
      <c r="J462" t="str" cm="1">
        <f t="array" aca="1" ref="J462" ca="1">IF(ISNUMBER(A462),IFERROR(_xlfn._xlws.FILTER(Equipar!A:A,(Equipar!B:B=3)*(Equipar!AC:AC=A462)),""),"")</f>
        <v/>
      </c>
    </row>
    <row r="463" spans="1:10" x14ac:dyDescent="0.25">
      <c r="A463" s="1" t="str">
        <f ca="1">IF(A462="ID",1,IF(ISBLANK(B463),"",MAX(A$2:A462)+1))</f>
        <v/>
      </c>
      <c r="I463" s="2" t="str">
        <f ca="1">IF(ISNUMBER(A463),
IF(COUNTIFS(Equipar!B:B,3,Equipar!AC:AC,A463),"Equipada",
IF(
  OR(COUNTIFS(Equipar!B:B,3,Equipar!C:C,A463)
 +COUNTIFS(Equipar!B:B,3,Equipar!D:D,A463)
+COUNTIFS(Equipar!B:B,3,Equipar!E:E,A463)
+COUNTIFS(Equipar!B:B,3,Equipar!F:F,A463)
&gt;0,COUNTIF('Set recomendado'!B:B,C463)=0),
"Bloqueada",
"Desechable")),""
)</f>
        <v/>
      </c>
      <c r="J463" t="str" cm="1">
        <f t="array" aca="1" ref="J463" ca="1">IF(ISNUMBER(A463),IFERROR(_xlfn._xlws.FILTER(Equipar!A:A,(Equipar!B:B=3)*(Equipar!AC:AC=A463)),""),"")</f>
        <v/>
      </c>
    </row>
    <row r="464" spans="1:10" x14ac:dyDescent="0.25">
      <c r="A464" s="1" t="str">
        <f ca="1">IF(A463="ID",1,IF(ISBLANK(B464),"",MAX(A$2:A463)+1))</f>
        <v/>
      </c>
      <c r="I464" s="2" t="str">
        <f ca="1">IF(ISNUMBER(A464),
IF(COUNTIFS(Equipar!B:B,3,Equipar!AC:AC,A464),"Equipada",
IF(
  OR(COUNTIFS(Equipar!B:B,3,Equipar!C:C,A464)
 +COUNTIFS(Equipar!B:B,3,Equipar!D:D,A464)
+COUNTIFS(Equipar!B:B,3,Equipar!E:E,A464)
+COUNTIFS(Equipar!B:B,3,Equipar!F:F,A464)
&gt;0,COUNTIF('Set recomendado'!B:B,C464)=0),
"Bloqueada",
"Desechable")),""
)</f>
        <v/>
      </c>
      <c r="J464" t="str" cm="1">
        <f t="array" aca="1" ref="J464" ca="1">IF(ISNUMBER(A464),IFERROR(_xlfn._xlws.FILTER(Equipar!A:A,(Equipar!B:B=3)*(Equipar!AC:AC=A464)),""),"")</f>
        <v/>
      </c>
    </row>
    <row r="465" spans="1:10" x14ac:dyDescent="0.25">
      <c r="A465" s="1" t="str">
        <f ca="1">IF(A464="ID",1,IF(ISBLANK(B465),"",MAX(A$2:A464)+1))</f>
        <v/>
      </c>
      <c r="I465" s="2" t="str">
        <f ca="1">IF(ISNUMBER(A465),
IF(COUNTIFS(Equipar!B:B,3,Equipar!AC:AC,A465),"Equipada",
IF(
  OR(COUNTIFS(Equipar!B:B,3,Equipar!C:C,A465)
 +COUNTIFS(Equipar!B:B,3,Equipar!D:D,A465)
+COUNTIFS(Equipar!B:B,3,Equipar!E:E,A465)
+COUNTIFS(Equipar!B:B,3,Equipar!F:F,A465)
&gt;0,COUNTIF('Set recomendado'!B:B,C465)=0),
"Bloqueada",
"Desechable")),""
)</f>
        <v/>
      </c>
      <c r="J465" t="str" cm="1">
        <f t="array" aca="1" ref="J465" ca="1">IF(ISNUMBER(A465),IFERROR(_xlfn._xlws.FILTER(Equipar!A:A,(Equipar!B:B=3)*(Equipar!AC:AC=A465)),""),"")</f>
        <v/>
      </c>
    </row>
    <row r="466" spans="1:10" x14ac:dyDescent="0.25">
      <c r="A466" s="1" t="str">
        <f ca="1">IF(A465="ID",1,IF(ISBLANK(B466),"",MAX(A$2:A465)+1))</f>
        <v/>
      </c>
      <c r="I466" s="2" t="str">
        <f ca="1">IF(ISNUMBER(A466),
IF(COUNTIFS(Equipar!B:B,3,Equipar!AC:AC,A466),"Equipada",
IF(
  OR(COUNTIFS(Equipar!B:B,3,Equipar!C:C,A466)
 +COUNTIFS(Equipar!B:B,3,Equipar!D:D,A466)
+COUNTIFS(Equipar!B:B,3,Equipar!E:E,A466)
+COUNTIFS(Equipar!B:B,3,Equipar!F:F,A466)
&gt;0,COUNTIF('Set recomendado'!B:B,C466)=0),
"Bloqueada",
"Desechable")),""
)</f>
        <v/>
      </c>
      <c r="J466" t="str" cm="1">
        <f t="array" aca="1" ref="J466" ca="1">IF(ISNUMBER(A466),IFERROR(_xlfn._xlws.FILTER(Equipar!A:A,(Equipar!B:B=3)*(Equipar!AC:AC=A466)),""),"")</f>
        <v/>
      </c>
    </row>
    <row r="467" spans="1:10" x14ac:dyDescent="0.25">
      <c r="A467" s="1" t="str">
        <f ca="1">IF(A466="ID",1,IF(ISBLANK(B467),"",MAX(A$2:A466)+1))</f>
        <v/>
      </c>
      <c r="I467" s="2" t="str">
        <f ca="1">IF(ISNUMBER(A467),
IF(COUNTIFS(Equipar!B:B,3,Equipar!AC:AC,A467),"Equipada",
IF(
  OR(COUNTIFS(Equipar!B:B,3,Equipar!C:C,A467)
 +COUNTIFS(Equipar!B:B,3,Equipar!D:D,A467)
+COUNTIFS(Equipar!B:B,3,Equipar!E:E,A467)
+COUNTIFS(Equipar!B:B,3,Equipar!F:F,A467)
&gt;0,COUNTIF('Set recomendado'!B:B,C467)=0),
"Bloqueada",
"Desechable")),""
)</f>
        <v/>
      </c>
      <c r="J467" t="str" cm="1">
        <f t="array" aca="1" ref="J467" ca="1">IF(ISNUMBER(A467),IFERROR(_xlfn._xlws.FILTER(Equipar!A:A,(Equipar!B:B=3)*(Equipar!AC:AC=A467)),""),"")</f>
        <v/>
      </c>
    </row>
    <row r="468" spans="1:10" x14ac:dyDescent="0.25">
      <c r="A468" s="1" t="str">
        <f ca="1">IF(A467="ID",1,IF(ISBLANK(B468),"",MAX(A$2:A467)+1))</f>
        <v/>
      </c>
      <c r="I468" s="2" t="str">
        <f ca="1">IF(ISNUMBER(A468),
IF(COUNTIFS(Equipar!B:B,3,Equipar!AC:AC,A468),"Equipada",
IF(
  OR(COUNTIFS(Equipar!B:B,3,Equipar!C:C,A468)
 +COUNTIFS(Equipar!B:B,3,Equipar!D:D,A468)
+COUNTIFS(Equipar!B:B,3,Equipar!E:E,A468)
+COUNTIFS(Equipar!B:B,3,Equipar!F:F,A468)
&gt;0,COUNTIF('Set recomendado'!B:B,C468)=0),
"Bloqueada",
"Desechable")),""
)</f>
        <v/>
      </c>
      <c r="J468" t="str" cm="1">
        <f t="array" aca="1" ref="J468" ca="1">IF(ISNUMBER(A468),IFERROR(_xlfn._xlws.FILTER(Equipar!A:A,(Equipar!B:B=3)*(Equipar!AC:AC=A468)),""),"")</f>
        <v/>
      </c>
    </row>
    <row r="469" spans="1:10" x14ac:dyDescent="0.25">
      <c r="A469" s="1" t="str">
        <f ca="1">IF(A468="ID",1,IF(ISBLANK(B469),"",MAX(A$2:A468)+1))</f>
        <v/>
      </c>
      <c r="I469" s="2" t="str">
        <f ca="1">IF(ISNUMBER(A469),
IF(COUNTIFS(Equipar!B:B,3,Equipar!AC:AC,A469),"Equipada",
IF(
  OR(COUNTIFS(Equipar!B:B,3,Equipar!C:C,A469)
 +COUNTIFS(Equipar!B:B,3,Equipar!D:D,A469)
+COUNTIFS(Equipar!B:B,3,Equipar!E:E,A469)
+COUNTIFS(Equipar!B:B,3,Equipar!F:F,A469)
&gt;0,COUNTIF('Set recomendado'!B:B,C469)=0),
"Bloqueada",
"Desechable")),""
)</f>
        <v/>
      </c>
      <c r="J469" t="str" cm="1">
        <f t="array" aca="1" ref="J469" ca="1">IF(ISNUMBER(A469),IFERROR(_xlfn._xlws.FILTER(Equipar!A:A,(Equipar!B:B=3)*(Equipar!AC:AC=A469)),""),"")</f>
        <v/>
      </c>
    </row>
    <row r="470" spans="1:10" x14ac:dyDescent="0.25">
      <c r="A470" s="1" t="str">
        <f ca="1">IF(A469="ID",1,IF(ISBLANK(B470),"",MAX(A$2:A469)+1))</f>
        <v/>
      </c>
      <c r="I470" s="2" t="str">
        <f ca="1">IF(ISNUMBER(A470),
IF(COUNTIFS(Equipar!B:B,3,Equipar!AC:AC,A470),"Equipada",
IF(
  OR(COUNTIFS(Equipar!B:B,3,Equipar!C:C,A470)
 +COUNTIFS(Equipar!B:B,3,Equipar!D:D,A470)
+COUNTIFS(Equipar!B:B,3,Equipar!E:E,A470)
+COUNTIFS(Equipar!B:B,3,Equipar!F:F,A470)
&gt;0,COUNTIF('Set recomendado'!B:B,C470)=0),
"Bloqueada",
"Desechable")),""
)</f>
        <v/>
      </c>
      <c r="J470" t="str" cm="1">
        <f t="array" aca="1" ref="J470" ca="1">IF(ISNUMBER(A470),IFERROR(_xlfn._xlws.FILTER(Equipar!A:A,(Equipar!B:B=3)*(Equipar!AC:AC=A470)),""),"")</f>
        <v/>
      </c>
    </row>
    <row r="471" spans="1:10" x14ac:dyDescent="0.25">
      <c r="A471" s="1" t="str">
        <f ca="1">IF(A470="ID",1,IF(ISBLANK(B471),"",MAX(A$2:A470)+1))</f>
        <v/>
      </c>
      <c r="I471" s="2" t="str">
        <f ca="1">IF(ISNUMBER(A471),
IF(COUNTIFS(Equipar!B:B,3,Equipar!AC:AC,A471),"Equipada",
IF(
  OR(COUNTIFS(Equipar!B:B,3,Equipar!C:C,A471)
 +COUNTIFS(Equipar!B:B,3,Equipar!D:D,A471)
+COUNTIFS(Equipar!B:B,3,Equipar!E:E,A471)
+COUNTIFS(Equipar!B:B,3,Equipar!F:F,A471)
&gt;0,COUNTIF('Set recomendado'!B:B,C471)=0),
"Bloqueada",
"Desechable")),""
)</f>
        <v/>
      </c>
      <c r="J471" t="str" cm="1">
        <f t="array" aca="1" ref="J471" ca="1">IF(ISNUMBER(A471),IFERROR(_xlfn._xlws.FILTER(Equipar!A:A,(Equipar!B:B=3)*(Equipar!AC:AC=A471)),""),"")</f>
        <v/>
      </c>
    </row>
    <row r="472" spans="1:10" x14ac:dyDescent="0.25">
      <c r="A472" s="1" t="str">
        <f ca="1">IF(A471="ID",1,IF(ISBLANK(B472),"",MAX(A$2:A471)+1))</f>
        <v/>
      </c>
      <c r="I472" s="2" t="str">
        <f ca="1">IF(ISNUMBER(A472),
IF(COUNTIFS(Equipar!B:B,3,Equipar!AC:AC,A472),"Equipada",
IF(
  OR(COUNTIFS(Equipar!B:B,3,Equipar!C:C,A472)
 +COUNTIFS(Equipar!B:B,3,Equipar!D:D,A472)
+COUNTIFS(Equipar!B:B,3,Equipar!E:E,A472)
+COUNTIFS(Equipar!B:B,3,Equipar!F:F,A472)
&gt;0,COUNTIF('Set recomendado'!B:B,C472)=0),
"Bloqueada",
"Desechable")),""
)</f>
        <v/>
      </c>
      <c r="J472" t="str" cm="1">
        <f t="array" aca="1" ref="J472" ca="1">IF(ISNUMBER(A472),IFERROR(_xlfn._xlws.FILTER(Equipar!A:A,(Equipar!B:B=3)*(Equipar!AC:AC=A472)),""),"")</f>
        <v/>
      </c>
    </row>
    <row r="473" spans="1:10" x14ac:dyDescent="0.25">
      <c r="A473" s="1" t="str">
        <f ca="1">IF(A472="ID",1,IF(ISBLANK(B473),"",MAX(A$2:A472)+1))</f>
        <v/>
      </c>
      <c r="I473" s="2" t="str">
        <f ca="1">IF(ISNUMBER(A473),
IF(COUNTIFS(Equipar!B:B,3,Equipar!AC:AC,A473),"Equipada",
IF(
  OR(COUNTIFS(Equipar!B:B,3,Equipar!C:C,A473)
 +COUNTIFS(Equipar!B:B,3,Equipar!D:D,A473)
+COUNTIFS(Equipar!B:B,3,Equipar!E:E,A473)
+COUNTIFS(Equipar!B:B,3,Equipar!F:F,A473)
&gt;0,COUNTIF('Set recomendado'!B:B,C473)=0),
"Bloqueada",
"Desechable")),""
)</f>
        <v/>
      </c>
      <c r="J473" t="str" cm="1">
        <f t="array" aca="1" ref="J473" ca="1">IF(ISNUMBER(A473),IFERROR(_xlfn._xlws.FILTER(Equipar!A:A,(Equipar!B:B=3)*(Equipar!AC:AC=A473)),""),"")</f>
        <v/>
      </c>
    </row>
    <row r="474" spans="1:10" x14ac:dyDescent="0.25">
      <c r="A474" s="1" t="str">
        <f ca="1">IF(A473="ID",1,IF(ISBLANK(B474),"",MAX(A$2:A473)+1))</f>
        <v/>
      </c>
      <c r="I474" s="2" t="str">
        <f ca="1">IF(ISNUMBER(A474),
IF(COUNTIFS(Equipar!B:B,3,Equipar!AC:AC,A474),"Equipada",
IF(
  OR(COUNTIFS(Equipar!B:B,3,Equipar!C:C,A474)
 +COUNTIFS(Equipar!B:B,3,Equipar!D:D,A474)
+COUNTIFS(Equipar!B:B,3,Equipar!E:E,A474)
+COUNTIFS(Equipar!B:B,3,Equipar!F:F,A474)
&gt;0,COUNTIF('Set recomendado'!B:B,C474)=0),
"Bloqueada",
"Desechable")),""
)</f>
        <v/>
      </c>
      <c r="J474" t="str" cm="1">
        <f t="array" aca="1" ref="J474" ca="1">IF(ISNUMBER(A474),IFERROR(_xlfn._xlws.FILTER(Equipar!A:A,(Equipar!B:B=3)*(Equipar!AC:AC=A474)),""),"")</f>
        <v/>
      </c>
    </row>
    <row r="475" spans="1:10" x14ac:dyDescent="0.25">
      <c r="A475" s="1" t="str">
        <f ca="1">IF(A474="ID",1,IF(ISBLANK(B475),"",MAX(A$2:A474)+1))</f>
        <v/>
      </c>
      <c r="I475" s="2" t="str">
        <f ca="1">IF(ISNUMBER(A475),
IF(COUNTIFS(Equipar!B:B,3,Equipar!AC:AC,A475),"Equipada",
IF(
  OR(COUNTIFS(Equipar!B:B,3,Equipar!C:C,A475)
 +COUNTIFS(Equipar!B:B,3,Equipar!D:D,A475)
+COUNTIFS(Equipar!B:B,3,Equipar!E:E,A475)
+COUNTIFS(Equipar!B:B,3,Equipar!F:F,A475)
&gt;0,COUNTIF('Set recomendado'!B:B,C475)=0),
"Bloqueada",
"Desechable")),""
)</f>
        <v/>
      </c>
      <c r="J475" t="str" cm="1">
        <f t="array" aca="1" ref="J475" ca="1">IF(ISNUMBER(A475),IFERROR(_xlfn._xlws.FILTER(Equipar!A:A,(Equipar!B:B=3)*(Equipar!AC:AC=A475)),""),"")</f>
        <v/>
      </c>
    </row>
    <row r="476" spans="1:10" x14ac:dyDescent="0.25">
      <c r="A476" s="1" t="str">
        <f ca="1">IF(A475="ID",1,IF(ISBLANK(B476),"",MAX(A$2:A475)+1))</f>
        <v/>
      </c>
      <c r="I476" s="2" t="str">
        <f ca="1">IF(ISNUMBER(A476),
IF(COUNTIFS(Equipar!B:B,3,Equipar!AC:AC,A476),"Equipada",
IF(
  OR(COUNTIFS(Equipar!B:B,3,Equipar!C:C,A476)
 +COUNTIFS(Equipar!B:B,3,Equipar!D:D,A476)
+COUNTIFS(Equipar!B:B,3,Equipar!E:E,A476)
+COUNTIFS(Equipar!B:B,3,Equipar!F:F,A476)
&gt;0,COUNTIF('Set recomendado'!B:B,C476)=0),
"Bloqueada",
"Desechable")),""
)</f>
        <v/>
      </c>
      <c r="J476" t="str" cm="1">
        <f t="array" aca="1" ref="J476" ca="1">IF(ISNUMBER(A476),IFERROR(_xlfn._xlws.FILTER(Equipar!A:A,(Equipar!B:B=3)*(Equipar!AC:AC=A476)),""),"")</f>
        <v/>
      </c>
    </row>
    <row r="477" spans="1:10" x14ac:dyDescent="0.25">
      <c r="A477" s="1" t="str">
        <f ca="1">IF(A476="ID",1,IF(ISBLANK(B477),"",MAX(A$2:A476)+1))</f>
        <v/>
      </c>
      <c r="I477" s="2" t="str">
        <f ca="1">IF(ISNUMBER(A477),
IF(COUNTIFS(Equipar!B:B,3,Equipar!AC:AC,A477),"Equipada",
IF(
  OR(COUNTIFS(Equipar!B:B,3,Equipar!C:C,A477)
 +COUNTIFS(Equipar!B:B,3,Equipar!D:D,A477)
+COUNTIFS(Equipar!B:B,3,Equipar!E:E,A477)
+COUNTIFS(Equipar!B:B,3,Equipar!F:F,A477)
&gt;0,COUNTIF('Set recomendado'!B:B,C477)=0),
"Bloqueada",
"Desechable")),""
)</f>
        <v/>
      </c>
      <c r="J477" t="str" cm="1">
        <f t="array" aca="1" ref="J477" ca="1">IF(ISNUMBER(A477),IFERROR(_xlfn._xlws.FILTER(Equipar!A:A,(Equipar!B:B=3)*(Equipar!AC:AC=A477)),""),"")</f>
        <v/>
      </c>
    </row>
    <row r="478" spans="1:10" x14ac:dyDescent="0.25">
      <c r="A478" s="1" t="str">
        <f ca="1">IF(A477="ID",1,IF(ISBLANK(B478),"",MAX(A$2:A477)+1))</f>
        <v/>
      </c>
      <c r="I478" s="2" t="str">
        <f ca="1">IF(ISNUMBER(A478),
IF(COUNTIFS(Equipar!B:B,3,Equipar!AC:AC,A478),"Equipada",
IF(
  OR(COUNTIFS(Equipar!B:B,3,Equipar!C:C,A478)
 +COUNTIFS(Equipar!B:B,3,Equipar!D:D,A478)
+COUNTIFS(Equipar!B:B,3,Equipar!E:E,A478)
+COUNTIFS(Equipar!B:B,3,Equipar!F:F,A478)
&gt;0,COUNTIF('Set recomendado'!B:B,C478)=0),
"Bloqueada",
"Desechable")),""
)</f>
        <v/>
      </c>
      <c r="J478" t="str" cm="1">
        <f t="array" aca="1" ref="J478" ca="1">IF(ISNUMBER(A478),IFERROR(_xlfn._xlws.FILTER(Equipar!A:A,(Equipar!B:B=3)*(Equipar!AC:AC=A478)),""),"")</f>
        <v/>
      </c>
    </row>
    <row r="479" spans="1:10" x14ac:dyDescent="0.25">
      <c r="A479" s="1" t="str">
        <f ca="1">IF(A478="ID",1,IF(ISBLANK(B479),"",MAX(A$2:A478)+1))</f>
        <v/>
      </c>
      <c r="I479" s="2" t="str">
        <f ca="1">IF(ISNUMBER(A479),
IF(COUNTIFS(Equipar!B:B,3,Equipar!AC:AC,A479),"Equipada",
IF(
  OR(COUNTIFS(Equipar!B:B,3,Equipar!C:C,A479)
 +COUNTIFS(Equipar!B:B,3,Equipar!D:D,A479)
+COUNTIFS(Equipar!B:B,3,Equipar!E:E,A479)
+COUNTIFS(Equipar!B:B,3,Equipar!F:F,A479)
&gt;0,COUNTIF('Set recomendado'!B:B,C479)=0),
"Bloqueada",
"Desechable")),""
)</f>
        <v/>
      </c>
      <c r="J479" t="str" cm="1">
        <f t="array" aca="1" ref="J479" ca="1">IF(ISNUMBER(A479),IFERROR(_xlfn._xlws.FILTER(Equipar!A:A,(Equipar!B:B=3)*(Equipar!AC:AC=A479)),""),"")</f>
        <v/>
      </c>
    </row>
    <row r="480" spans="1:10" x14ac:dyDescent="0.25">
      <c r="A480" s="1" t="str">
        <f ca="1">IF(A479="ID",1,IF(ISBLANK(B480),"",MAX(A$2:A479)+1))</f>
        <v/>
      </c>
      <c r="I480" s="2" t="str">
        <f ca="1">IF(ISNUMBER(A480),
IF(COUNTIFS(Equipar!B:B,3,Equipar!AC:AC,A480),"Equipada",
IF(
  OR(COUNTIFS(Equipar!B:B,3,Equipar!C:C,A480)
 +COUNTIFS(Equipar!B:B,3,Equipar!D:D,A480)
+COUNTIFS(Equipar!B:B,3,Equipar!E:E,A480)
+COUNTIFS(Equipar!B:B,3,Equipar!F:F,A480)
&gt;0,COUNTIF('Set recomendado'!B:B,C480)=0),
"Bloqueada",
"Desechable")),""
)</f>
        <v/>
      </c>
      <c r="J480" t="str" cm="1">
        <f t="array" aca="1" ref="J480" ca="1">IF(ISNUMBER(A480),IFERROR(_xlfn._xlws.FILTER(Equipar!A:A,(Equipar!B:B=3)*(Equipar!AC:AC=A480)),""),"")</f>
        <v/>
      </c>
    </row>
    <row r="481" spans="1:10" x14ac:dyDescent="0.25">
      <c r="A481" s="1" t="str">
        <f ca="1">IF(A480="ID",1,IF(ISBLANK(B481),"",MAX(A$2:A480)+1))</f>
        <v/>
      </c>
      <c r="I481" s="2" t="str">
        <f ca="1">IF(ISNUMBER(A481),
IF(COUNTIFS(Equipar!B:B,3,Equipar!AC:AC,A481),"Equipada",
IF(
  OR(COUNTIFS(Equipar!B:B,3,Equipar!C:C,A481)
 +COUNTIFS(Equipar!B:B,3,Equipar!D:D,A481)
+COUNTIFS(Equipar!B:B,3,Equipar!E:E,A481)
+COUNTIFS(Equipar!B:B,3,Equipar!F:F,A481)
&gt;0,COUNTIF('Set recomendado'!B:B,C481)=0),
"Bloqueada",
"Desechable")),""
)</f>
        <v/>
      </c>
      <c r="J481" t="str" cm="1">
        <f t="array" aca="1" ref="J481" ca="1">IF(ISNUMBER(A481),IFERROR(_xlfn._xlws.FILTER(Equipar!A:A,(Equipar!B:B=3)*(Equipar!AC:AC=A481)),""),"")</f>
        <v/>
      </c>
    </row>
    <row r="482" spans="1:10" x14ac:dyDescent="0.25">
      <c r="A482" s="1" t="str">
        <f ca="1">IF(A481="ID",1,IF(ISBLANK(B482),"",MAX(A$2:A481)+1))</f>
        <v/>
      </c>
      <c r="I482" s="2" t="str">
        <f ca="1">IF(ISNUMBER(A482),
IF(COUNTIFS(Equipar!B:B,3,Equipar!AC:AC,A482),"Equipada",
IF(
  OR(COUNTIFS(Equipar!B:B,3,Equipar!C:C,A482)
 +COUNTIFS(Equipar!B:B,3,Equipar!D:D,A482)
+COUNTIFS(Equipar!B:B,3,Equipar!E:E,A482)
+COUNTIFS(Equipar!B:B,3,Equipar!F:F,A482)
&gt;0,COUNTIF('Set recomendado'!B:B,C482)=0),
"Bloqueada",
"Desechable")),""
)</f>
        <v/>
      </c>
      <c r="J482" t="str" cm="1">
        <f t="array" aca="1" ref="J482" ca="1">IF(ISNUMBER(A482),IFERROR(_xlfn._xlws.FILTER(Equipar!A:A,(Equipar!B:B=3)*(Equipar!AC:AC=A482)),""),"")</f>
        <v/>
      </c>
    </row>
    <row r="483" spans="1:10" x14ac:dyDescent="0.25">
      <c r="A483" s="1" t="str">
        <f ca="1">IF(A482="ID",1,IF(ISBLANK(B483),"",MAX(A$2:A482)+1))</f>
        <v/>
      </c>
      <c r="I483" s="2" t="str">
        <f ca="1">IF(ISNUMBER(A483),
IF(COUNTIFS(Equipar!B:B,3,Equipar!AC:AC,A483),"Equipada",
IF(
  OR(COUNTIFS(Equipar!B:B,3,Equipar!C:C,A483)
 +COUNTIFS(Equipar!B:B,3,Equipar!D:D,A483)
+COUNTIFS(Equipar!B:B,3,Equipar!E:E,A483)
+COUNTIFS(Equipar!B:B,3,Equipar!F:F,A483)
&gt;0,COUNTIF('Set recomendado'!B:B,C483)=0),
"Bloqueada",
"Desechable")),""
)</f>
        <v/>
      </c>
      <c r="J483" t="str" cm="1">
        <f t="array" aca="1" ref="J483" ca="1">IF(ISNUMBER(A483),IFERROR(_xlfn._xlws.FILTER(Equipar!A:A,(Equipar!B:B=3)*(Equipar!AC:AC=A483)),""),"")</f>
        <v/>
      </c>
    </row>
    <row r="484" spans="1:10" x14ac:dyDescent="0.25">
      <c r="A484" s="1" t="str">
        <f ca="1">IF(A483="ID",1,IF(ISBLANK(B484),"",MAX(A$2:A483)+1))</f>
        <v/>
      </c>
      <c r="I484" s="2" t="str">
        <f ca="1">IF(ISNUMBER(A484),
IF(COUNTIFS(Equipar!B:B,3,Equipar!AC:AC,A484),"Equipada",
IF(
  OR(COUNTIFS(Equipar!B:B,3,Equipar!C:C,A484)
 +COUNTIFS(Equipar!B:B,3,Equipar!D:D,A484)
+COUNTIFS(Equipar!B:B,3,Equipar!E:E,A484)
+COUNTIFS(Equipar!B:B,3,Equipar!F:F,A484)
&gt;0,COUNTIF('Set recomendado'!B:B,C484)=0),
"Bloqueada",
"Desechable")),""
)</f>
        <v/>
      </c>
      <c r="J484" t="str" cm="1">
        <f t="array" aca="1" ref="J484" ca="1">IF(ISNUMBER(A484),IFERROR(_xlfn._xlws.FILTER(Equipar!A:A,(Equipar!B:B=3)*(Equipar!AC:AC=A484)),""),"")</f>
        <v/>
      </c>
    </row>
    <row r="485" spans="1:10" x14ac:dyDescent="0.25">
      <c r="A485" s="1" t="str">
        <f ca="1">IF(A484="ID",1,IF(ISBLANK(B485),"",MAX(A$2:A484)+1))</f>
        <v/>
      </c>
      <c r="I485" s="2" t="str">
        <f ca="1">IF(ISNUMBER(A485),
IF(COUNTIFS(Equipar!B:B,3,Equipar!AC:AC,A485),"Equipada",
IF(
  OR(COUNTIFS(Equipar!B:B,3,Equipar!C:C,A485)
 +COUNTIFS(Equipar!B:B,3,Equipar!D:D,A485)
+COUNTIFS(Equipar!B:B,3,Equipar!E:E,A485)
+COUNTIFS(Equipar!B:B,3,Equipar!F:F,A485)
&gt;0,COUNTIF('Set recomendado'!B:B,C485)=0),
"Bloqueada",
"Desechable")),""
)</f>
        <v/>
      </c>
      <c r="J485" t="str" cm="1">
        <f t="array" aca="1" ref="J485" ca="1">IF(ISNUMBER(A485),IFERROR(_xlfn._xlws.FILTER(Equipar!A:A,(Equipar!B:B=3)*(Equipar!AC:AC=A485)),""),"")</f>
        <v/>
      </c>
    </row>
    <row r="486" spans="1:10" x14ac:dyDescent="0.25">
      <c r="A486" s="1" t="str">
        <f ca="1">IF(A485="ID",1,IF(ISBLANK(B486),"",MAX(A$2:A485)+1))</f>
        <v/>
      </c>
      <c r="I486" s="2" t="str">
        <f ca="1">IF(ISNUMBER(A486),
IF(COUNTIFS(Equipar!B:B,3,Equipar!AC:AC,A486),"Equipada",
IF(
  OR(COUNTIFS(Equipar!B:B,3,Equipar!C:C,A486)
 +COUNTIFS(Equipar!B:B,3,Equipar!D:D,A486)
+COUNTIFS(Equipar!B:B,3,Equipar!E:E,A486)
+COUNTIFS(Equipar!B:B,3,Equipar!F:F,A486)
&gt;0,COUNTIF('Set recomendado'!B:B,C486)=0),
"Bloqueada",
"Desechable")),""
)</f>
        <v/>
      </c>
      <c r="J486" t="str" cm="1">
        <f t="array" aca="1" ref="J486" ca="1">IF(ISNUMBER(A486),IFERROR(_xlfn._xlws.FILTER(Equipar!A:A,(Equipar!B:B=3)*(Equipar!AC:AC=A486)),""),"")</f>
        <v/>
      </c>
    </row>
    <row r="487" spans="1:10" x14ac:dyDescent="0.25">
      <c r="A487" s="1" t="str">
        <f ca="1">IF(A486="ID",1,IF(ISBLANK(B487),"",MAX(A$2:A486)+1))</f>
        <v/>
      </c>
      <c r="I487" s="2" t="str">
        <f ca="1">IF(ISNUMBER(A487),
IF(COUNTIFS(Equipar!B:B,3,Equipar!AC:AC,A487),"Equipada",
IF(
  OR(COUNTIFS(Equipar!B:B,3,Equipar!C:C,A487)
 +COUNTIFS(Equipar!B:B,3,Equipar!D:D,A487)
+COUNTIFS(Equipar!B:B,3,Equipar!E:E,A487)
+COUNTIFS(Equipar!B:B,3,Equipar!F:F,A487)
&gt;0,COUNTIF('Set recomendado'!B:B,C487)=0),
"Bloqueada",
"Desechable")),""
)</f>
        <v/>
      </c>
      <c r="J487" t="str" cm="1">
        <f t="array" aca="1" ref="J487" ca="1">IF(ISNUMBER(A487),IFERROR(_xlfn._xlws.FILTER(Equipar!A:A,(Equipar!B:B=3)*(Equipar!AC:AC=A487)),""),"")</f>
        <v/>
      </c>
    </row>
    <row r="488" spans="1:10" x14ac:dyDescent="0.25">
      <c r="A488" s="1" t="str">
        <f ca="1">IF(A487="ID",1,IF(ISBLANK(B488),"",MAX(A$2:A487)+1))</f>
        <v/>
      </c>
      <c r="I488" s="2" t="str">
        <f ca="1">IF(ISNUMBER(A488),
IF(COUNTIFS(Equipar!B:B,3,Equipar!AC:AC,A488),"Equipada",
IF(
  OR(COUNTIFS(Equipar!B:B,3,Equipar!C:C,A488)
 +COUNTIFS(Equipar!B:B,3,Equipar!D:D,A488)
+COUNTIFS(Equipar!B:B,3,Equipar!E:E,A488)
+COUNTIFS(Equipar!B:B,3,Equipar!F:F,A488)
&gt;0,COUNTIF('Set recomendado'!B:B,C488)=0),
"Bloqueada",
"Desechable")),""
)</f>
        <v/>
      </c>
      <c r="J488" t="str" cm="1">
        <f t="array" aca="1" ref="J488" ca="1">IF(ISNUMBER(A488),IFERROR(_xlfn._xlws.FILTER(Equipar!A:A,(Equipar!B:B=3)*(Equipar!AC:AC=A488)),""),"")</f>
        <v/>
      </c>
    </row>
    <row r="489" spans="1:10" x14ac:dyDescent="0.25">
      <c r="A489" s="1" t="str">
        <f ca="1">IF(A488="ID",1,IF(ISBLANK(B489),"",MAX(A$2:A488)+1))</f>
        <v/>
      </c>
      <c r="I489" s="2" t="str">
        <f ca="1">IF(ISNUMBER(A489),
IF(COUNTIFS(Equipar!B:B,3,Equipar!AC:AC,A489),"Equipada",
IF(
  OR(COUNTIFS(Equipar!B:B,3,Equipar!C:C,A489)
 +COUNTIFS(Equipar!B:B,3,Equipar!D:D,A489)
+COUNTIFS(Equipar!B:B,3,Equipar!E:E,A489)
+COUNTIFS(Equipar!B:B,3,Equipar!F:F,A489)
&gt;0,COUNTIF('Set recomendado'!B:B,C489)=0),
"Bloqueada",
"Desechable")),""
)</f>
        <v/>
      </c>
      <c r="J489" t="str" cm="1">
        <f t="array" aca="1" ref="J489" ca="1">IF(ISNUMBER(A489),IFERROR(_xlfn._xlws.FILTER(Equipar!A:A,(Equipar!B:B=3)*(Equipar!AC:AC=A489)),""),"")</f>
        <v/>
      </c>
    </row>
    <row r="490" spans="1:10" x14ac:dyDescent="0.25">
      <c r="A490" s="1" t="str">
        <f ca="1">IF(A489="ID",1,IF(ISBLANK(B490),"",MAX(A$2:A489)+1))</f>
        <v/>
      </c>
      <c r="I490" s="2" t="str">
        <f ca="1">IF(ISNUMBER(A490),
IF(COUNTIFS(Equipar!B:B,3,Equipar!AC:AC,A490),"Equipada",
IF(
  OR(COUNTIFS(Equipar!B:B,3,Equipar!C:C,A490)
 +COUNTIFS(Equipar!B:B,3,Equipar!D:D,A490)
+COUNTIFS(Equipar!B:B,3,Equipar!E:E,A490)
+COUNTIFS(Equipar!B:B,3,Equipar!F:F,A490)
&gt;0,COUNTIF('Set recomendado'!B:B,C490)=0),
"Bloqueada",
"Desechable")),""
)</f>
        <v/>
      </c>
      <c r="J490" t="str" cm="1">
        <f t="array" aca="1" ref="J490" ca="1">IF(ISNUMBER(A490),IFERROR(_xlfn._xlws.FILTER(Equipar!A:A,(Equipar!B:B=3)*(Equipar!AC:AC=A490)),""),"")</f>
        <v/>
      </c>
    </row>
    <row r="491" spans="1:10" x14ac:dyDescent="0.25">
      <c r="A491" s="1" t="str">
        <f ca="1">IF(A490="ID",1,IF(ISBLANK(B491),"",MAX(A$2:A490)+1))</f>
        <v/>
      </c>
      <c r="I491" s="2" t="str">
        <f ca="1">IF(ISNUMBER(A491),
IF(COUNTIFS(Equipar!B:B,3,Equipar!AC:AC,A491),"Equipada",
IF(
  OR(COUNTIFS(Equipar!B:B,3,Equipar!C:C,A491)
 +COUNTIFS(Equipar!B:B,3,Equipar!D:D,A491)
+COUNTIFS(Equipar!B:B,3,Equipar!E:E,A491)
+COUNTIFS(Equipar!B:B,3,Equipar!F:F,A491)
&gt;0,COUNTIF('Set recomendado'!B:B,C491)=0),
"Bloqueada",
"Desechable")),""
)</f>
        <v/>
      </c>
      <c r="J491" t="str" cm="1">
        <f t="array" aca="1" ref="J491" ca="1">IF(ISNUMBER(A491),IFERROR(_xlfn._xlws.FILTER(Equipar!A:A,(Equipar!B:B=3)*(Equipar!AC:AC=A491)),""),"")</f>
        <v/>
      </c>
    </row>
    <row r="492" spans="1:10" x14ac:dyDescent="0.25">
      <c r="A492" s="1" t="str">
        <f ca="1">IF(A491="ID",1,IF(ISBLANK(B492),"",MAX(A$2:A491)+1))</f>
        <v/>
      </c>
      <c r="I492" s="2" t="str">
        <f ca="1">IF(ISNUMBER(A492),
IF(COUNTIFS(Equipar!B:B,3,Equipar!AC:AC,A492),"Equipada",
IF(
  OR(COUNTIFS(Equipar!B:B,3,Equipar!C:C,A492)
 +COUNTIFS(Equipar!B:B,3,Equipar!D:D,A492)
+COUNTIFS(Equipar!B:B,3,Equipar!E:E,A492)
+COUNTIFS(Equipar!B:B,3,Equipar!F:F,A492)
&gt;0,COUNTIF('Set recomendado'!B:B,C492)=0),
"Bloqueada",
"Desechable")),""
)</f>
        <v/>
      </c>
      <c r="J492" t="str" cm="1">
        <f t="array" aca="1" ref="J492" ca="1">IF(ISNUMBER(A492),IFERROR(_xlfn._xlws.FILTER(Equipar!A:A,(Equipar!B:B=3)*(Equipar!AC:AC=A492)),""),"")</f>
        <v/>
      </c>
    </row>
    <row r="493" spans="1:10" x14ac:dyDescent="0.25">
      <c r="A493" s="1" t="str">
        <f ca="1">IF(A492="ID",1,IF(ISBLANK(B493),"",MAX(A$2:A492)+1))</f>
        <v/>
      </c>
      <c r="I493" s="2" t="str">
        <f ca="1">IF(ISNUMBER(A493),
IF(COUNTIFS(Equipar!B:B,3,Equipar!AC:AC,A493),"Equipada",
IF(
  OR(COUNTIFS(Equipar!B:B,3,Equipar!C:C,A493)
 +COUNTIFS(Equipar!B:B,3,Equipar!D:D,A493)
+COUNTIFS(Equipar!B:B,3,Equipar!E:E,A493)
+COUNTIFS(Equipar!B:B,3,Equipar!F:F,A493)
&gt;0,COUNTIF('Set recomendado'!B:B,C493)=0),
"Bloqueada",
"Desechable")),""
)</f>
        <v/>
      </c>
      <c r="J493" t="str" cm="1">
        <f t="array" aca="1" ref="J493" ca="1">IF(ISNUMBER(A493),IFERROR(_xlfn._xlws.FILTER(Equipar!A:A,(Equipar!B:B=3)*(Equipar!AC:AC=A493)),""),"")</f>
        <v/>
      </c>
    </row>
    <row r="494" spans="1:10" x14ac:dyDescent="0.25">
      <c r="A494" s="1" t="str">
        <f ca="1">IF(A493="ID",1,IF(ISBLANK(B494),"",MAX(A$2:A493)+1))</f>
        <v/>
      </c>
      <c r="I494" s="2" t="str">
        <f ca="1">IF(ISNUMBER(A494),
IF(COUNTIFS(Equipar!B:B,3,Equipar!AC:AC,A494),"Equipada",
IF(
  OR(COUNTIFS(Equipar!B:B,3,Equipar!C:C,A494)
 +COUNTIFS(Equipar!B:B,3,Equipar!D:D,A494)
+COUNTIFS(Equipar!B:B,3,Equipar!E:E,A494)
+COUNTIFS(Equipar!B:B,3,Equipar!F:F,A494)
&gt;0,COUNTIF('Set recomendado'!B:B,C494)=0),
"Bloqueada",
"Desechable")),""
)</f>
        <v/>
      </c>
      <c r="J494" t="str" cm="1">
        <f t="array" aca="1" ref="J494" ca="1">IF(ISNUMBER(A494),IFERROR(_xlfn._xlws.FILTER(Equipar!A:A,(Equipar!B:B=3)*(Equipar!AC:AC=A494)),""),"")</f>
        <v/>
      </c>
    </row>
    <row r="495" spans="1:10" x14ac:dyDescent="0.25">
      <c r="A495" s="1" t="str">
        <f ca="1">IF(A494="ID",1,IF(ISBLANK(B495),"",MAX(A$2:A494)+1))</f>
        <v/>
      </c>
      <c r="I495" s="2" t="str">
        <f ca="1">IF(ISNUMBER(A495),
IF(COUNTIFS(Equipar!B:B,3,Equipar!AC:AC,A495),"Equipada",
IF(
  OR(COUNTIFS(Equipar!B:B,3,Equipar!C:C,A495)
 +COUNTIFS(Equipar!B:B,3,Equipar!D:D,A495)
+COUNTIFS(Equipar!B:B,3,Equipar!E:E,A495)
+COUNTIFS(Equipar!B:B,3,Equipar!F:F,A495)
&gt;0,COUNTIF('Set recomendado'!B:B,C495)=0),
"Bloqueada",
"Desechable")),""
)</f>
        <v/>
      </c>
      <c r="J495" t="str" cm="1">
        <f t="array" aca="1" ref="J495" ca="1">IF(ISNUMBER(A495),IFERROR(_xlfn._xlws.FILTER(Equipar!A:A,(Equipar!B:B=3)*(Equipar!AC:AC=A495)),""),"")</f>
        <v/>
      </c>
    </row>
    <row r="496" spans="1:10" x14ac:dyDescent="0.25">
      <c r="A496" s="1" t="str">
        <f ca="1">IF(A495="ID",1,IF(ISBLANK(B496),"",MAX(A$2:A495)+1))</f>
        <v/>
      </c>
      <c r="I496" s="2" t="str">
        <f ca="1">IF(ISNUMBER(A496),
IF(COUNTIFS(Equipar!B:B,3,Equipar!AC:AC,A496),"Equipada",
IF(
  OR(COUNTIFS(Equipar!B:B,3,Equipar!C:C,A496)
 +COUNTIFS(Equipar!B:B,3,Equipar!D:D,A496)
+COUNTIFS(Equipar!B:B,3,Equipar!E:E,A496)
+COUNTIFS(Equipar!B:B,3,Equipar!F:F,A496)
&gt;0,COUNTIF('Set recomendado'!B:B,C496)=0),
"Bloqueada",
"Desechable")),""
)</f>
        <v/>
      </c>
      <c r="J496" t="str" cm="1">
        <f t="array" aca="1" ref="J496" ca="1">IF(ISNUMBER(A496),IFERROR(_xlfn._xlws.FILTER(Equipar!A:A,(Equipar!B:B=3)*(Equipar!AC:AC=A496)),""),"")</f>
        <v/>
      </c>
    </row>
    <row r="497" spans="1:10" x14ac:dyDescent="0.25">
      <c r="A497" s="1" t="str">
        <f ca="1">IF(A496="ID",1,IF(ISBLANK(B497),"",MAX(A$2:A496)+1))</f>
        <v/>
      </c>
      <c r="I497" s="2" t="str">
        <f ca="1">IF(ISNUMBER(A497),
IF(COUNTIFS(Equipar!B:B,3,Equipar!AC:AC,A497),"Equipada",
IF(
  OR(COUNTIFS(Equipar!B:B,3,Equipar!C:C,A497)
 +COUNTIFS(Equipar!B:B,3,Equipar!D:D,A497)
+COUNTIFS(Equipar!B:B,3,Equipar!E:E,A497)
+COUNTIFS(Equipar!B:B,3,Equipar!F:F,A497)
&gt;0,COUNTIF('Set recomendado'!B:B,C497)=0),
"Bloqueada",
"Desechable")),""
)</f>
        <v/>
      </c>
      <c r="J497" t="str" cm="1">
        <f t="array" aca="1" ref="J497" ca="1">IF(ISNUMBER(A497),IFERROR(_xlfn._xlws.FILTER(Equipar!A:A,(Equipar!B:B=3)*(Equipar!AC:AC=A497)),""),"")</f>
        <v/>
      </c>
    </row>
    <row r="498" spans="1:10" x14ac:dyDescent="0.25">
      <c r="A498" s="1" t="str">
        <f ca="1">IF(A497="ID",1,IF(ISBLANK(B498),"",MAX(A$2:A497)+1))</f>
        <v/>
      </c>
      <c r="I498" s="2" t="str">
        <f ca="1">IF(ISNUMBER(A498),
IF(COUNTIFS(Equipar!B:B,3,Equipar!AC:AC,A498),"Equipada",
IF(
  OR(COUNTIFS(Equipar!B:B,3,Equipar!C:C,A498)
 +COUNTIFS(Equipar!B:B,3,Equipar!D:D,A498)
+COUNTIFS(Equipar!B:B,3,Equipar!E:E,A498)
+COUNTIFS(Equipar!B:B,3,Equipar!F:F,A498)
&gt;0,COUNTIF('Set recomendado'!B:B,C498)=0),
"Bloqueada",
"Desechable")),""
)</f>
        <v/>
      </c>
      <c r="J498" t="str" cm="1">
        <f t="array" aca="1" ref="J498" ca="1">IF(ISNUMBER(A498),IFERROR(_xlfn._xlws.FILTER(Equipar!A:A,(Equipar!B:B=3)*(Equipar!AC:AC=A498)),""),"")</f>
        <v/>
      </c>
    </row>
    <row r="499" spans="1:10" x14ac:dyDescent="0.25">
      <c r="A499" s="1" t="str">
        <f ca="1">IF(A498="ID",1,IF(ISBLANK(B499),"",MAX(A$2:A498)+1))</f>
        <v/>
      </c>
      <c r="I499" s="2" t="str">
        <f ca="1">IF(ISNUMBER(A499),
IF(COUNTIFS(Equipar!B:B,3,Equipar!AC:AC,A499),"Equipada",
IF(
  OR(COUNTIFS(Equipar!B:B,3,Equipar!C:C,A499)
 +COUNTIFS(Equipar!B:B,3,Equipar!D:D,A499)
+COUNTIFS(Equipar!B:B,3,Equipar!E:E,A499)
+COUNTIFS(Equipar!B:B,3,Equipar!F:F,A499)
&gt;0,COUNTIF('Set recomendado'!B:B,C499)=0),
"Bloqueada",
"Desechable")),""
)</f>
        <v/>
      </c>
      <c r="J499" t="str" cm="1">
        <f t="array" aca="1" ref="J499" ca="1">IF(ISNUMBER(A499),IFERROR(_xlfn._xlws.FILTER(Equipar!A:A,(Equipar!B:B=3)*(Equipar!AC:AC=A499)),""),"")</f>
        <v/>
      </c>
    </row>
    <row r="500" spans="1:10" x14ac:dyDescent="0.25">
      <c r="A500" s="1" t="str">
        <f ca="1">IF(A499="ID",1,IF(ISBLANK(B500),"",MAX(A$2:A499)+1))</f>
        <v/>
      </c>
      <c r="I500" s="2" t="str">
        <f ca="1">IF(ISNUMBER(A500),
IF(COUNTIFS(Equipar!B:B,3,Equipar!AC:AC,A500),"Equipada",
IF(
  OR(COUNTIFS(Equipar!B:B,3,Equipar!C:C,A500)
 +COUNTIFS(Equipar!B:B,3,Equipar!D:D,A500)
+COUNTIFS(Equipar!B:B,3,Equipar!E:E,A500)
+COUNTIFS(Equipar!B:B,3,Equipar!F:F,A500)
&gt;0,COUNTIF('Set recomendado'!B:B,C500)=0),
"Bloqueada",
"Desechable")),""
)</f>
        <v/>
      </c>
      <c r="J500" t="str" cm="1">
        <f t="array" aca="1" ref="J500" ca="1">IF(ISNUMBER(A500),IFERROR(_xlfn._xlws.FILTER(Equipar!A:A,(Equipar!B:B=3)*(Equipar!AC:AC=A500)),""),"")</f>
        <v/>
      </c>
    </row>
    <row r="501" spans="1:10" x14ac:dyDescent="0.25">
      <c r="A501" s="1" t="str">
        <f ca="1">IF(A500="ID",1,IF(ISBLANK(B501),"",MAX(A$2:A500)+1))</f>
        <v/>
      </c>
      <c r="I501" s="2" t="str">
        <f ca="1">IF(ISNUMBER(A501),
IF(COUNTIFS(Equipar!B:B,3,Equipar!AC:AC,A501),"Equipada",
IF(
  OR(COUNTIFS(Equipar!B:B,3,Equipar!C:C,A501)
 +COUNTIFS(Equipar!B:B,3,Equipar!D:D,A501)
+COUNTIFS(Equipar!B:B,3,Equipar!E:E,A501)
+COUNTIFS(Equipar!B:B,3,Equipar!F:F,A501)
&gt;0,COUNTIF('Set recomendado'!B:B,C501)=0),
"Bloqueada",
"Desechable")),""
)</f>
        <v/>
      </c>
      <c r="J501" t="str" cm="1">
        <f t="array" aca="1" ref="J501" ca="1">IF(ISNUMBER(A501),IFERROR(_xlfn._xlws.FILTER(Equipar!A:A,(Equipar!B:B=3)*(Equipar!AC:AC=A501)),""),"")</f>
        <v/>
      </c>
    </row>
    <row r="502" spans="1:10" x14ac:dyDescent="0.25">
      <c r="A502" s="1" t="str">
        <f ca="1">IF(A501="ID",1,IF(ISBLANK(B502),"",MAX(A$2:A501)+1))</f>
        <v/>
      </c>
      <c r="I502" s="2" t="str">
        <f ca="1">IF(ISNUMBER(A502),
IF(COUNTIFS(Equipar!B:B,3,Equipar!AC:AC,A502),"Equipada",
IF(
  OR(COUNTIFS(Equipar!B:B,3,Equipar!C:C,A502)
 +COUNTIFS(Equipar!B:B,3,Equipar!D:D,A502)
+COUNTIFS(Equipar!B:B,3,Equipar!E:E,A502)
+COUNTIFS(Equipar!B:B,3,Equipar!F:F,A502)
&gt;0,COUNTIF('Set recomendado'!B:B,C502)=0),
"Bloqueada",
"Desechable")),""
)</f>
        <v/>
      </c>
      <c r="J502" t="str" cm="1">
        <f t="array" aca="1" ref="J502" ca="1">IF(ISNUMBER(A502),IFERROR(_xlfn._xlws.FILTER(Equipar!A:A,(Equipar!B:B=3)*(Equipar!AC:AC=A502)),""),"")</f>
        <v/>
      </c>
    </row>
    <row r="503" spans="1:10" x14ac:dyDescent="0.25">
      <c r="A503" s="1" t="str">
        <f ca="1">IF(A502="ID",1,IF(ISBLANK(B503),"",MAX(A$2:A502)+1))</f>
        <v/>
      </c>
      <c r="I503" s="2" t="str">
        <f ca="1">IF(ISNUMBER(A503),
IF(COUNTIFS(Equipar!B:B,3,Equipar!AC:AC,A503),"Equipada",
IF(
  OR(COUNTIFS(Equipar!B:B,3,Equipar!C:C,A503)
 +COUNTIFS(Equipar!B:B,3,Equipar!D:D,A503)
+COUNTIFS(Equipar!B:B,3,Equipar!E:E,A503)
+COUNTIFS(Equipar!B:B,3,Equipar!F:F,A503)
&gt;0,COUNTIF('Set recomendado'!B:B,C503)=0),
"Bloqueada",
"Desechable")),""
)</f>
        <v/>
      </c>
      <c r="J503" t="str" cm="1">
        <f t="array" aca="1" ref="J503" ca="1">IF(ISNUMBER(A503),IFERROR(_xlfn._xlws.FILTER(Equipar!A:A,(Equipar!B:B=3)*(Equipar!AC:AC=A503)),""),"")</f>
        <v/>
      </c>
    </row>
    <row r="504" spans="1:10" x14ac:dyDescent="0.25">
      <c r="A504" s="1" t="str">
        <f ca="1">IF(A503="ID",1,IF(ISBLANK(B504),"",MAX(A$2:A503)+1))</f>
        <v/>
      </c>
      <c r="I504" s="2" t="str">
        <f ca="1">IF(ISNUMBER(A504),
IF(COUNTIFS(Equipar!B:B,3,Equipar!AC:AC,A504),"Equipada",
IF(
  OR(COUNTIFS(Equipar!B:B,3,Equipar!C:C,A504)
 +COUNTIFS(Equipar!B:B,3,Equipar!D:D,A504)
+COUNTIFS(Equipar!B:B,3,Equipar!E:E,A504)
+COUNTIFS(Equipar!B:B,3,Equipar!F:F,A504)
&gt;0,COUNTIF('Set recomendado'!B:B,C504)=0),
"Bloqueada",
"Desechable")),""
)</f>
        <v/>
      </c>
      <c r="J504" t="str" cm="1">
        <f t="array" aca="1" ref="J504" ca="1">IF(ISNUMBER(A504),IFERROR(_xlfn._xlws.FILTER(Equipar!A:A,(Equipar!B:B=3)*(Equipar!AC:AC=A504)),""),"")</f>
        <v/>
      </c>
    </row>
    <row r="505" spans="1:10" x14ac:dyDescent="0.25">
      <c r="A505" s="1" t="str">
        <f ca="1">IF(A504="ID",1,IF(ISBLANK(B505),"",MAX(A$2:A504)+1))</f>
        <v/>
      </c>
      <c r="I505" s="2" t="str">
        <f ca="1">IF(ISNUMBER(A505),
IF(COUNTIFS(Equipar!B:B,3,Equipar!AC:AC,A505),"Equipada",
IF(
  OR(COUNTIFS(Equipar!B:B,3,Equipar!C:C,A505)
 +COUNTIFS(Equipar!B:B,3,Equipar!D:D,A505)
+COUNTIFS(Equipar!B:B,3,Equipar!E:E,A505)
+COUNTIFS(Equipar!B:B,3,Equipar!F:F,A505)
&gt;0,COUNTIF('Set recomendado'!B:B,C505)=0),
"Bloqueada",
"Desechable")),""
)</f>
        <v/>
      </c>
      <c r="J505" t="str" cm="1">
        <f t="array" aca="1" ref="J505" ca="1">IF(ISNUMBER(A505),IFERROR(_xlfn._xlws.FILTER(Equipar!A:A,(Equipar!B:B=3)*(Equipar!AC:AC=A505)),""),"")</f>
        <v/>
      </c>
    </row>
    <row r="506" spans="1:10" x14ac:dyDescent="0.25">
      <c r="A506" s="1" t="str">
        <f ca="1">IF(A505="ID",1,IF(ISBLANK(B506),"",MAX(A$2:A505)+1))</f>
        <v/>
      </c>
      <c r="I506" s="2" t="str">
        <f ca="1">IF(ISNUMBER(A506),
IF(COUNTIFS(Equipar!B:B,3,Equipar!AC:AC,A506),"Equipada",
IF(
  OR(COUNTIFS(Equipar!B:B,3,Equipar!C:C,A506)
 +COUNTIFS(Equipar!B:B,3,Equipar!D:D,A506)
+COUNTIFS(Equipar!B:B,3,Equipar!E:E,A506)
+COUNTIFS(Equipar!B:B,3,Equipar!F:F,A506)
&gt;0,COUNTIF('Set recomendado'!B:B,C506)=0),
"Bloqueada",
"Desechable")),""
)</f>
        <v/>
      </c>
      <c r="J506" t="str" cm="1">
        <f t="array" aca="1" ref="J506" ca="1">IF(ISNUMBER(A506),IFERROR(_xlfn._xlws.FILTER(Equipar!A:A,(Equipar!B:B=3)*(Equipar!AC:AC=A506)),""),"")</f>
        <v/>
      </c>
    </row>
    <row r="507" spans="1:10" x14ac:dyDescent="0.25">
      <c r="A507" s="1" t="str">
        <f ca="1">IF(A506="ID",1,IF(ISBLANK(B507),"",MAX(A$2:A506)+1))</f>
        <v/>
      </c>
      <c r="I507" s="2" t="str">
        <f ca="1">IF(ISNUMBER(A507),
IF(COUNTIFS(Equipar!B:B,3,Equipar!AC:AC,A507),"Equipada",
IF(
  OR(COUNTIFS(Equipar!B:B,3,Equipar!C:C,A507)
 +COUNTIFS(Equipar!B:B,3,Equipar!D:D,A507)
+COUNTIFS(Equipar!B:B,3,Equipar!E:E,A507)
+COUNTIFS(Equipar!B:B,3,Equipar!F:F,A507)
&gt;0,COUNTIF('Set recomendado'!B:B,C507)=0),
"Bloqueada",
"Desechable")),""
)</f>
        <v/>
      </c>
      <c r="J507" t="str" cm="1">
        <f t="array" aca="1" ref="J507" ca="1">IF(ISNUMBER(A507),IFERROR(_xlfn._xlws.FILTER(Equipar!A:A,(Equipar!B:B=3)*(Equipar!AC:AC=A507)),""),"")</f>
        <v/>
      </c>
    </row>
    <row r="508" spans="1:10" x14ac:dyDescent="0.25">
      <c r="A508" s="1" t="str">
        <f ca="1">IF(A507="ID",1,IF(ISBLANK(B508),"",MAX(A$2:A507)+1))</f>
        <v/>
      </c>
      <c r="I508" s="2" t="str">
        <f ca="1">IF(ISNUMBER(A508),
IF(COUNTIFS(Equipar!B:B,3,Equipar!AC:AC,A508),"Equipada",
IF(
  OR(COUNTIFS(Equipar!B:B,3,Equipar!C:C,A508)
 +COUNTIFS(Equipar!B:B,3,Equipar!D:D,A508)
+COUNTIFS(Equipar!B:B,3,Equipar!E:E,A508)
+COUNTIFS(Equipar!B:B,3,Equipar!F:F,A508)
&gt;0,COUNTIF('Set recomendado'!B:B,C508)=0),
"Bloqueada",
"Desechable")),""
)</f>
        <v/>
      </c>
      <c r="J508" t="str" cm="1">
        <f t="array" aca="1" ref="J508" ca="1">IF(ISNUMBER(A508),IFERROR(_xlfn._xlws.FILTER(Equipar!A:A,(Equipar!B:B=3)*(Equipar!AC:AC=A508)),""),"")</f>
        <v/>
      </c>
    </row>
    <row r="509" spans="1:10" x14ac:dyDescent="0.25">
      <c r="A509" s="1" t="str">
        <f ca="1">IF(A508="ID",1,IF(ISBLANK(B509),"",MAX(A$2:A508)+1))</f>
        <v/>
      </c>
      <c r="I509" s="2" t="str">
        <f ca="1">IF(ISNUMBER(A509),
IF(COUNTIFS(Equipar!B:B,3,Equipar!AC:AC,A509),"Equipada",
IF(
  OR(COUNTIFS(Equipar!B:B,3,Equipar!C:C,A509)
 +COUNTIFS(Equipar!B:B,3,Equipar!D:D,A509)
+COUNTIFS(Equipar!B:B,3,Equipar!E:E,A509)
+COUNTIFS(Equipar!B:B,3,Equipar!F:F,A509)
&gt;0,COUNTIF('Set recomendado'!B:B,C509)=0),
"Bloqueada",
"Desechable")),""
)</f>
        <v/>
      </c>
      <c r="J509" t="str" cm="1">
        <f t="array" aca="1" ref="J509" ca="1">IF(ISNUMBER(A509),IFERROR(_xlfn._xlws.FILTER(Equipar!A:A,(Equipar!B:B=3)*(Equipar!AC:AC=A509)),""),"")</f>
        <v/>
      </c>
    </row>
    <row r="510" spans="1:10" x14ac:dyDescent="0.25">
      <c r="A510" s="1" t="str">
        <f ca="1">IF(A509="ID",1,IF(ISBLANK(B510),"",MAX(A$2:A509)+1))</f>
        <v/>
      </c>
      <c r="I510" s="2" t="str">
        <f ca="1">IF(ISNUMBER(A510),
IF(COUNTIFS(Equipar!B:B,3,Equipar!AC:AC,A510),"Equipada",
IF(
  OR(COUNTIFS(Equipar!B:B,3,Equipar!C:C,A510)
 +COUNTIFS(Equipar!B:B,3,Equipar!D:D,A510)
+COUNTIFS(Equipar!B:B,3,Equipar!E:E,A510)
+COUNTIFS(Equipar!B:B,3,Equipar!F:F,A510)
&gt;0,COUNTIF('Set recomendado'!B:B,C510)=0),
"Bloqueada",
"Desechable")),""
)</f>
        <v/>
      </c>
      <c r="J510" t="str" cm="1">
        <f t="array" aca="1" ref="J510" ca="1">IF(ISNUMBER(A510),IFERROR(_xlfn._xlws.FILTER(Equipar!A:A,(Equipar!B:B=3)*(Equipar!AC:AC=A510)),""),"")</f>
        <v/>
      </c>
    </row>
    <row r="511" spans="1:10" x14ac:dyDescent="0.25">
      <c r="A511" s="1" t="str">
        <f ca="1">IF(A510="ID",1,IF(ISBLANK(B511),"",MAX(A$2:A510)+1))</f>
        <v/>
      </c>
      <c r="I511" s="2" t="str">
        <f ca="1">IF(ISNUMBER(A511),
IF(COUNTIFS(Equipar!B:B,3,Equipar!AC:AC,A511),"Equipada",
IF(
  OR(COUNTIFS(Equipar!B:B,3,Equipar!C:C,A511)
 +COUNTIFS(Equipar!B:B,3,Equipar!D:D,A511)
+COUNTIFS(Equipar!B:B,3,Equipar!E:E,A511)
+COUNTIFS(Equipar!B:B,3,Equipar!F:F,A511)
&gt;0,COUNTIF('Set recomendado'!B:B,C511)=0),
"Bloqueada",
"Desechable")),""
)</f>
        <v/>
      </c>
      <c r="J511" t="str" cm="1">
        <f t="array" aca="1" ref="J511" ca="1">IF(ISNUMBER(A511),IFERROR(_xlfn._xlws.FILTER(Equipar!A:A,(Equipar!B:B=3)*(Equipar!AC:AC=A511)),""),"")</f>
        <v/>
      </c>
    </row>
    <row r="512" spans="1:10" x14ac:dyDescent="0.25">
      <c r="A512" s="1" t="str">
        <f ca="1">IF(A511="ID",1,IF(ISBLANK(B512),"",MAX(A$2:A511)+1))</f>
        <v/>
      </c>
      <c r="I512" s="2" t="str">
        <f ca="1">IF(ISNUMBER(A512),
IF(COUNTIFS(Equipar!B:B,3,Equipar!AC:AC,A512),"Equipada",
IF(
  OR(COUNTIFS(Equipar!B:B,3,Equipar!C:C,A512)
 +COUNTIFS(Equipar!B:B,3,Equipar!D:D,A512)
+COUNTIFS(Equipar!B:B,3,Equipar!E:E,A512)
+COUNTIFS(Equipar!B:B,3,Equipar!F:F,A512)
&gt;0,COUNTIF('Set recomendado'!B:B,C512)=0),
"Bloqueada",
"Desechable")),""
)</f>
        <v/>
      </c>
      <c r="J512" t="str" cm="1">
        <f t="array" aca="1" ref="J512" ca="1">IF(ISNUMBER(A512),IFERROR(_xlfn._xlws.FILTER(Equipar!A:A,(Equipar!B:B=3)*(Equipar!AC:AC=A512)),""),"")</f>
        <v/>
      </c>
    </row>
    <row r="513" spans="1:10" x14ac:dyDescent="0.25">
      <c r="A513" s="1" t="str">
        <f ca="1">IF(A512="ID",1,IF(ISBLANK(B513),"",MAX(A$2:A512)+1))</f>
        <v/>
      </c>
      <c r="I513" s="2" t="str">
        <f ca="1">IF(ISNUMBER(A513),
IF(COUNTIFS(Equipar!B:B,3,Equipar!AC:AC,A513),"Equipada",
IF(
  OR(COUNTIFS(Equipar!B:B,3,Equipar!C:C,A513)
 +COUNTIFS(Equipar!B:B,3,Equipar!D:D,A513)
+COUNTIFS(Equipar!B:B,3,Equipar!E:E,A513)
+COUNTIFS(Equipar!B:B,3,Equipar!F:F,A513)
&gt;0,COUNTIF('Set recomendado'!B:B,C513)=0),
"Bloqueada",
"Desechable")),""
)</f>
        <v/>
      </c>
      <c r="J513" t="str" cm="1">
        <f t="array" aca="1" ref="J513" ca="1">IF(ISNUMBER(A513),IFERROR(_xlfn._xlws.FILTER(Equipar!A:A,(Equipar!B:B=3)*(Equipar!AC:AC=A513)),""),"")</f>
        <v/>
      </c>
    </row>
    <row r="514" spans="1:10" x14ac:dyDescent="0.25">
      <c r="A514" s="1" t="str">
        <f ca="1">IF(A513="ID",1,IF(ISBLANK(B514),"",MAX(A$2:A513)+1))</f>
        <v/>
      </c>
      <c r="I514" s="2" t="str">
        <f ca="1">IF(ISNUMBER(A514),
IF(COUNTIFS(Equipar!B:B,3,Equipar!AC:AC,A514),"Equipada",
IF(
  OR(COUNTIFS(Equipar!B:B,3,Equipar!C:C,A514)
 +COUNTIFS(Equipar!B:B,3,Equipar!D:D,A514)
+COUNTIFS(Equipar!B:B,3,Equipar!E:E,A514)
+COUNTIFS(Equipar!B:B,3,Equipar!F:F,A514)
&gt;0,COUNTIF('Set recomendado'!B:B,C514)=0),
"Bloqueada",
"Desechable")),""
)</f>
        <v/>
      </c>
      <c r="J514" t="str" cm="1">
        <f t="array" aca="1" ref="J514" ca="1">IF(ISNUMBER(A514),IFERROR(_xlfn._xlws.FILTER(Equipar!A:A,(Equipar!B:B=3)*(Equipar!AC:AC=A514)),""),"")</f>
        <v/>
      </c>
    </row>
    <row r="515" spans="1:10" x14ac:dyDescent="0.25">
      <c r="A515" s="1" t="str">
        <f ca="1">IF(A514="ID",1,IF(ISBLANK(B515),"",MAX(A$2:A514)+1))</f>
        <v/>
      </c>
      <c r="I515" s="2" t="str">
        <f ca="1">IF(ISNUMBER(A515),
IF(COUNTIFS(Equipar!B:B,3,Equipar!AC:AC,A515),"Equipada",
IF(
  OR(COUNTIFS(Equipar!B:B,3,Equipar!C:C,A515)
 +COUNTIFS(Equipar!B:B,3,Equipar!D:D,A515)
+COUNTIFS(Equipar!B:B,3,Equipar!E:E,A515)
+COUNTIFS(Equipar!B:B,3,Equipar!F:F,A515)
&gt;0,COUNTIF('Set recomendado'!B:B,C515)=0),
"Bloqueada",
"Desechable")),""
)</f>
        <v/>
      </c>
      <c r="J515" t="str" cm="1">
        <f t="array" aca="1" ref="J515" ca="1">IF(ISNUMBER(A515),IFERROR(_xlfn._xlws.FILTER(Equipar!A:A,(Equipar!B:B=3)*(Equipar!AC:AC=A515)),""),"")</f>
        <v/>
      </c>
    </row>
    <row r="516" spans="1:10" x14ac:dyDescent="0.25">
      <c r="A516" s="1" t="str">
        <f ca="1">IF(A515="ID",1,IF(ISBLANK(B516),"",MAX(A$2:A515)+1))</f>
        <v/>
      </c>
      <c r="I516" s="2" t="str">
        <f ca="1">IF(ISNUMBER(A516),
IF(COUNTIFS(Equipar!B:B,3,Equipar!AC:AC,A516),"Equipada",
IF(
  OR(COUNTIFS(Equipar!B:B,3,Equipar!C:C,A516)
 +COUNTIFS(Equipar!B:B,3,Equipar!D:D,A516)
+COUNTIFS(Equipar!B:B,3,Equipar!E:E,A516)
+COUNTIFS(Equipar!B:B,3,Equipar!F:F,A516)
&gt;0,COUNTIF('Set recomendado'!B:B,C516)=0),
"Bloqueada",
"Desechable")),""
)</f>
        <v/>
      </c>
      <c r="J516" t="str" cm="1">
        <f t="array" aca="1" ref="J516" ca="1">IF(ISNUMBER(A516),IFERROR(_xlfn._xlws.FILTER(Equipar!A:A,(Equipar!B:B=3)*(Equipar!AC:AC=A516)),""),"")</f>
        <v/>
      </c>
    </row>
    <row r="517" spans="1:10" x14ac:dyDescent="0.25">
      <c r="A517" s="1" t="str">
        <f ca="1">IF(A516="ID",1,IF(ISBLANK(B517),"",MAX(A$2:A516)+1))</f>
        <v/>
      </c>
      <c r="I517" s="2" t="str">
        <f ca="1">IF(ISNUMBER(A517),
IF(COUNTIFS(Equipar!B:B,3,Equipar!AC:AC,A517),"Equipada",
IF(
  OR(COUNTIFS(Equipar!B:B,3,Equipar!C:C,A517)
 +COUNTIFS(Equipar!B:B,3,Equipar!D:D,A517)
+COUNTIFS(Equipar!B:B,3,Equipar!E:E,A517)
+COUNTIFS(Equipar!B:B,3,Equipar!F:F,A517)
&gt;0,COUNTIF('Set recomendado'!B:B,C517)=0),
"Bloqueada",
"Desechable")),""
)</f>
        <v/>
      </c>
      <c r="J517" t="str" cm="1">
        <f t="array" aca="1" ref="J517" ca="1">IF(ISNUMBER(A517),IFERROR(_xlfn._xlws.FILTER(Equipar!A:A,(Equipar!B:B=3)*(Equipar!AC:AC=A517)),""),"")</f>
        <v/>
      </c>
    </row>
    <row r="518" spans="1:10" x14ac:dyDescent="0.25">
      <c r="A518" s="1" t="str">
        <f ca="1">IF(A517="ID",1,IF(ISBLANK(B518),"",MAX(A$2:A517)+1))</f>
        <v/>
      </c>
      <c r="I518" s="2" t="str">
        <f ca="1">IF(ISNUMBER(A518),
IF(COUNTIFS(Equipar!B:B,3,Equipar!AC:AC,A518),"Equipada",
IF(
  OR(COUNTIFS(Equipar!B:B,3,Equipar!C:C,A518)
 +COUNTIFS(Equipar!B:B,3,Equipar!D:D,A518)
+COUNTIFS(Equipar!B:B,3,Equipar!E:E,A518)
+COUNTIFS(Equipar!B:B,3,Equipar!F:F,A518)
&gt;0,COUNTIF('Set recomendado'!B:B,C518)=0),
"Bloqueada",
"Desechable")),""
)</f>
        <v/>
      </c>
      <c r="J518" t="str" cm="1">
        <f t="array" aca="1" ref="J518" ca="1">IF(ISNUMBER(A518),IFERROR(_xlfn._xlws.FILTER(Equipar!A:A,(Equipar!B:B=3)*(Equipar!AC:AC=A518)),""),"")</f>
        <v/>
      </c>
    </row>
    <row r="519" spans="1:10" x14ac:dyDescent="0.25">
      <c r="A519" s="1" t="str">
        <f ca="1">IF(A518="ID",1,IF(ISBLANK(B519),"",MAX(A$2:A518)+1))</f>
        <v/>
      </c>
      <c r="I519" s="2" t="str">
        <f ca="1">IF(ISNUMBER(A519),
IF(COUNTIFS(Equipar!B:B,3,Equipar!AC:AC,A519),"Equipada",
IF(
  OR(COUNTIFS(Equipar!B:B,3,Equipar!C:C,A519)
 +COUNTIFS(Equipar!B:B,3,Equipar!D:D,A519)
+COUNTIFS(Equipar!B:B,3,Equipar!E:E,A519)
+COUNTIFS(Equipar!B:B,3,Equipar!F:F,A519)
&gt;0,COUNTIF('Set recomendado'!B:B,C519)=0),
"Bloqueada",
"Desechable")),""
)</f>
        <v/>
      </c>
      <c r="J519" t="str" cm="1">
        <f t="array" aca="1" ref="J519" ca="1">IF(ISNUMBER(A519),IFERROR(_xlfn._xlws.FILTER(Equipar!A:A,(Equipar!B:B=3)*(Equipar!AC:AC=A519)),""),"")</f>
        <v/>
      </c>
    </row>
    <row r="520" spans="1:10" x14ac:dyDescent="0.25">
      <c r="A520" s="1" t="str">
        <f ca="1">IF(A519="ID",1,IF(ISBLANK(B520),"",MAX(A$2:A519)+1))</f>
        <v/>
      </c>
      <c r="I520" s="2" t="str">
        <f ca="1">IF(ISNUMBER(A520),
IF(COUNTIFS(Equipar!B:B,3,Equipar!AC:AC,A520),"Equipada",
IF(
  OR(COUNTIFS(Equipar!B:B,3,Equipar!C:C,A520)
 +COUNTIFS(Equipar!B:B,3,Equipar!D:D,A520)
+COUNTIFS(Equipar!B:B,3,Equipar!E:E,A520)
+COUNTIFS(Equipar!B:B,3,Equipar!F:F,A520)
&gt;0,COUNTIF('Set recomendado'!B:B,C520)=0),
"Bloqueada",
"Desechable")),""
)</f>
        <v/>
      </c>
      <c r="J520" t="str" cm="1">
        <f t="array" aca="1" ref="J520" ca="1">IF(ISNUMBER(A520),IFERROR(_xlfn._xlws.FILTER(Equipar!A:A,(Equipar!B:B=3)*(Equipar!AC:AC=A520)),""),"")</f>
        <v/>
      </c>
    </row>
    <row r="521" spans="1:10" x14ac:dyDescent="0.25">
      <c r="A521" s="1" t="str">
        <f ca="1">IF(A520="ID",1,IF(ISBLANK(B521),"",MAX(A$2:A520)+1))</f>
        <v/>
      </c>
      <c r="I521" s="2" t="str">
        <f ca="1">IF(ISNUMBER(A521),
IF(COUNTIFS(Equipar!B:B,3,Equipar!AC:AC,A521),"Equipada",
IF(
  OR(COUNTIFS(Equipar!B:B,3,Equipar!C:C,A521)
 +COUNTIFS(Equipar!B:B,3,Equipar!D:D,A521)
+COUNTIFS(Equipar!B:B,3,Equipar!E:E,A521)
+COUNTIFS(Equipar!B:B,3,Equipar!F:F,A521)
&gt;0,COUNTIF('Set recomendado'!B:B,C521)=0),
"Bloqueada",
"Desechable")),""
)</f>
        <v/>
      </c>
      <c r="J521" t="str" cm="1">
        <f t="array" aca="1" ref="J521" ca="1">IF(ISNUMBER(A521),IFERROR(_xlfn._xlws.FILTER(Equipar!A:A,(Equipar!B:B=3)*(Equipar!AC:AC=A521)),""),"")</f>
        <v/>
      </c>
    </row>
    <row r="522" spans="1:10" x14ac:dyDescent="0.25">
      <c r="A522" s="1" t="str">
        <f ca="1">IF(A521="ID",1,IF(ISBLANK(B522),"",MAX(A$2:A521)+1))</f>
        <v/>
      </c>
      <c r="I522" s="2" t="str">
        <f ca="1">IF(ISNUMBER(A522),
IF(COUNTIFS(Equipar!B:B,3,Equipar!AC:AC,A522),"Equipada",
IF(
  OR(COUNTIFS(Equipar!B:B,3,Equipar!C:C,A522)
 +COUNTIFS(Equipar!B:B,3,Equipar!D:D,A522)
+COUNTIFS(Equipar!B:B,3,Equipar!E:E,A522)
+COUNTIFS(Equipar!B:B,3,Equipar!F:F,A522)
&gt;0,COUNTIF('Set recomendado'!B:B,C522)=0),
"Bloqueada",
"Desechable")),""
)</f>
        <v/>
      </c>
      <c r="J522" t="str" cm="1">
        <f t="array" aca="1" ref="J522" ca="1">IF(ISNUMBER(A522),IFERROR(_xlfn._xlws.FILTER(Equipar!A:A,(Equipar!B:B=3)*(Equipar!AC:AC=A522)),""),"")</f>
        <v/>
      </c>
    </row>
    <row r="523" spans="1:10" x14ac:dyDescent="0.25">
      <c r="A523" s="1" t="str">
        <f ca="1">IF(A522="ID",1,IF(ISBLANK(B523),"",MAX(A$2:A522)+1))</f>
        <v/>
      </c>
      <c r="I523" s="2" t="str">
        <f ca="1">IF(ISNUMBER(A523),
IF(COUNTIFS(Equipar!B:B,3,Equipar!AC:AC,A523),"Equipada",
IF(
  OR(COUNTIFS(Equipar!B:B,3,Equipar!C:C,A523)
 +COUNTIFS(Equipar!B:B,3,Equipar!D:D,A523)
+COUNTIFS(Equipar!B:B,3,Equipar!E:E,A523)
+COUNTIFS(Equipar!B:B,3,Equipar!F:F,A523)
&gt;0,COUNTIF('Set recomendado'!B:B,C523)=0),
"Bloqueada",
"Desechable")),""
)</f>
        <v/>
      </c>
      <c r="J523" t="str" cm="1">
        <f t="array" aca="1" ref="J523" ca="1">IF(ISNUMBER(A523),IFERROR(_xlfn._xlws.FILTER(Equipar!A:A,(Equipar!B:B=3)*(Equipar!AC:AC=A523)),""),"")</f>
        <v/>
      </c>
    </row>
    <row r="524" spans="1:10" x14ac:dyDescent="0.25">
      <c r="A524" s="1" t="str">
        <f ca="1">IF(A523="ID",1,IF(ISBLANK(B524),"",MAX(A$2:A523)+1))</f>
        <v/>
      </c>
      <c r="I524" s="2" t="str">
        <f ca="1">IF(ISNUMBER(A524),
IF(COUNTIFS(Equipar!B:B,3,Equipar!AC:AC,A524),"Equipada",
IF(
  OR(COUNTIFS(Equipar!B:B,3,Equipar!C:C,A524)
 +COUNTIFS(Equipar!B:B,3,Equipar!D:D,A524)
+COUNTIFS(Equipar!B:B,3,Equipar!E:E,A524)
+COUNTIFS(Equipar!B:B,3,Equipar!F:F,A524)
&gt;0,COUNTIF('Set recomendado'!B:B,C524)=0),
"Bloqueada",
"Desechable")),""
)</f>
        <v/>
      </c>
      <c r="J524" t="str" cm="1">
        <f t="array" aca="1" ref="J524" ca="1">IF(ISNUMBER(A524),IFERROR(_xlfn._xlws.FILTER(Equipar!A:A,(Equipar!B:B=3)*(Equipar!AC:AC=A524)),""),"")</f>
        <v/>
      </c>
    </row>
    <row r="525" spans="1:10" x14ac:dyDescent="0.25">
      <c r="A525" s="1" t="str">
        <f ca="1">IF(A524="ID",1,IF(ISBLANK(B525),"",MAX(A$2:A524)+1))</f>
        <v/>
      </c>
      <c r="I525" s="2" t="str">
        <f ca="1">IF(ISNUMBER(A525),
IF(COUNTIFS(Equipar!B:B,3,Equipar!AC:AC,A525),"Equipada",
IF(
  OR(COUNTIFS(Equipar!B:B,3,Equipar!C:C,A525)
 +COUNTIFS(Equipar!B:B,3,Equipar!D:D,A525)
+COUNTIFS(Equipar!B:B,3,Equipar!E:E,A525)
+COUNTIFS(Equipar!B:B,3,Equipar!F:F,A525)
&gt;0,COUNTIF('Set recomendado'!B:B,C525)=0),
"Bloqueada",
"Desechable")),""
)</f>
        <v/>
      </c>
      <c r="J525" t="str" cm="1">
        <f t="array" aca="1" ref="J525" ca="1">IF(ISNUMBER(A525),IFERROR(_xlfn._xlws.FILTER(Equipar!A:A,(Equipar!B:B=3)*(Equipar!AC:AC=A525)),""),"")</f>
        <v/>
      </c>
    </row>
    <row r="526" spans="1:10" x14ac:dyDescent="0.25">
      <c r="A526" s="1" t="str">
        <f ca="1">IF(A525="ID",1,IF(ISBLANK(B526),"",MAX(A$2:A525)+1))</f>
        <v/>
      </c>
      <c r="I526" s="2" t="str">
        <f ca="1">IF(ISNUMBER(A526),
IF(COUNTIFS(Equipar!B:B,3,Equipar!AC:AC,A526),"Equipada",
IF(
  OR(COUNTIFS(Equipar!B:B,3,Equipar!C:C,A526)
 +COUNTIFS(Equipar!B:B,3,Equipar!D:D,A526)
+COUNTIFS(Equipar!B:B,3,Equipar!E:E,A526)
+COUNTIFS(Equipar!B:B,3,Equipar!F:F,A526)
&gt;0,COUNTIF('Set recomendado'!B:B,C526)=0),
"Bloqueada",
"Desechable")),""
)</f>
        <v/>
      </c>
      <c r="J526" t="str" cm="1">
        <f t="array" aca="1" ref="J526" ca="1">IF(ISNUMBER(A526),IFERROR(_xlfn._xlws.FILTER(Equipar!A:A,(Equipar!B:B=3)*(Equipar!AC:AC=A526)),""),"")</f>
        <v/>
      </c>
    </row>
    <row r="527" spans="1:10" x14ac:dyDescent="0.25">
      <c r="A527" s="1" t="str">
        <f ca="1">IF(A526="ID",1,IF(ISBLANK(B527),"",MAX(A$2:A526)+1))</f>
        <v/>
      </c>
      <c r="I527" s="2" t="str">
        <f ca="1">IF(ISNUMBER(A527),
IF(COUNTIFS(Equipar!B:B,3,Equipar!AC:AC,A527),"Equipada",
IF(
  OR(COUNTIFS(Equipar!B:B,3,Equipar!C:C,A527)
 +COUNTIFS(Equipar!B:B,3,Equipar!D:D,A527)
+COUNTIFS(Equipar!B:B,3,Equipar!E:E,A527)
+COUNTIFS(Equipar!B:B,3,Equipar!F:F,A527)
&gt;0,COUNTIF('Set recomendado'!B:B,C527)=0),
"Bloqueada",
"Desechable")),""
)</f>
        <v/>
      </c>
      <c r="J527" t="str" cm="1">
        <f t="array" aca="1" ref="J527" ca="1">IF(ISNUMBER(A527),IFERROR(_xlfn._xlws.FILTER(Equipar!A:A,(Equipar!B:B=3)*(Equipar!AC:AC=A527)),""),"")</f>
        <v/>
      </c>
    </row>
    <row r="528" spans="1:10" x14ac:dyDescent="0.25">
      <c r="A528" s="1" t="str">
        <f ca="1">IF(A527="ID",1,IF(ISBLANK(B528),"",MAX(A$2:A527)+1))</f>
        <v/>
      </c>
      <c r="I528" s="2" t="str">
        <f ca="1">IF(ISNUMBER(A528),
IF(COUNTIFS(Equipar!B:B,3,Equipar!AC:AC,A528),"Equipada",
IF(
  OR(COUNTIFS(Equipar!B:B,3,Equipar!C:C,A528)
 +COUNTIFS(Equipar!B:B,3,Equipar!D:D,A528)
+COUNTIFS(Equipar!B:B,3,Equipar!E:E,A528)
+COUNTIFS(Equipar!B:B,3,Equipar!F:F,A528)
&gt;0,COUNTIF('Set recomendado'!B:B,C528)=0),
"Bloqueada",
"Desechable")),""
)</f>
        <v/>
      </c>
      <c r="J528" t="str" cm="1">
        <f t="array" aca="1" ref="J528" ca="1">IF(ISNUMBER(A528),IFERROR(_xlfn._xlws.FILTER(Equipar!A:A,(Equipar!B:B=3)*(Equipar!AC:AC=A528)),""),"")</f>
        <v/>
      </c>
    </row>
    <row r="529" spans="1:10" x14ac:dyDescent="0.25">
      <c r="A529" s="1" t="str">
        <f ca="1">IF(A528="ID",1,IF(ISBLANK(B529),"",MAX(A$2:A528)+1))</f>
        <v/>
      </c>
      <c r="I529" s="2" t="str">
        <f ca="1">IF(ISNUMBER(A529),
IF(COUNTIFS(Equipar!B:B,3,Equipar!AC:AC,A529),"Equipada",
IF(
  OR(COUNTIFS(Equipar!B:B,3,Equipar!C:C,A529)
 +COUNTIFS(Equipar!B:B,3,Equipar!D:D,A529)
+COUNTIFS(Equipar!B:B,3,Equipar!E:E,A529)
+COUNTIFS(Equipar!B:B,3,Equipar!F:F,A529)
&gt;0,COUNTIF('Set recomendado'!B:B,C529)=0),
"Bloqueada",
"Desechable")),""
)</f>
        <v/>
      </c>
      <c r="J529" t="str" cm="1">
        <f t="array" aca="1" ref="J529" ca="1">IF(ISNUMBER(A529),IFERROR(_xlfn._xlws.FILTER(Equipar!A:A,(Equipar!B:B=3)*(Equipar!AC:AC=A529)),""),"")</f>
        <v/>
      </c>
    </row>
    <row r="530" spans="1:10" x14ac:dyDescent="0.25">
      <c r="A530" s="1" t="str">
        <f ca="1">IF(A529="ID",1,IF(ISBLANK(B530),"",MAX(A$2:A529)+1))</f>
        <v/>
      </c>
      <c r="I530" s="2" t="str">
        <f ca="1">IF(ISNUMBER(A530),
IF(COUNTIFS(Equipar!B:B,3,Equipar!AC:AC,A530),"Equipada",
IF(
  OR(COUNTIFS(Equipar!B:B,3,Equipar!C:C,A530)
 +COUNTIFS(Equipar!B:B,3,Equipar!D:D,A530)
+COUNTIFS(Equipar!B:B,3,Equipar!E:E,A530)
+COUNTIFS(Equipar!B:B,3,Equipar!F:F,A530)
&gt;0,COUNTIF('Set recomendado'!B:B,C530)=0),
"Bloqueada",
"Desechable")),""
)</f>
        <v/>
      </c>
      <c r="J530" t="str" cm="1">
        <f t="array" aca="1" ref="J530" ca="1">IF(ISNUMBER(A530),IFERROR(_xlfn._xlws.FILTER(Equipar!A:A,(Equipar!B:B=3)*(Equipar!AC:AC=A530)),""),"")</f>
        <v/>
      </c>
    </row>
    <row r="531" spans="1:10" x14ac:dyDescent="0.25">
      <c r="A531" s="1" t="str">
        <f ca="1">IF(A530="ID",1,IF(ISBLANK(B531),"",MAX(A$2:A530)+1))</f>
        <v/>
      </c>
      <c r="I531" s="2" t="str">
        <f ca="1">IF(ISNUMBER(A531),
IF(COUNTIFS(Equipar!B:B,3,Equipar!AC:AC,A531),"Equipada",
IF(
  OR(COUNTIFS(Equipar!B:B,3,Equipar!C:C,A531)
 +COUNTIFS(Equipar!B:B,3,Equipar!D:D,A531)
+COUNTIFS(Equipar!B:B,3,Equipar!E:E,A531)
+COUNTIFS(Equipar!B:B,3,Equipar!F:F,A531)
&gt;0,COUNTIF('Set recomendado'!B:B,C531)=0),
"Bloqueada",
"Desechable")),""
)</f>
        <v/>
      </c>
      <c r="J531" t="str" cm="1">
        <f t="array" aca="1" ref="J531" ca="1">IF(ISNUMBER(A531),IFERROR(_xlfn._xlws.FILTER(Equipar!A:A,(Equipar!B:B=3)*(Equipar!AC:AC=A531)),""),"")</f>
        <v/>
      </c>
    </row>
    <row r="532" spans="1:10" x14ac:dyDescent="0.25">
      <c r="A532" s="1" t="str">
        <f ca="1">IF(A531="ID",1,IF(ISBLANK(B532),"",MAX(A$2:A531)+1))</f>
        <v/>
      </c>
      <c r="I532" s="2" t="str">
        <f ca="1">IF(ISNUMBER(A532),
IF(COUNTIFS(Equipar!B:B,3,Equipar!AC:AC,A532),"Equipada",
IF(
  OR(COUNTIFS(Equipar!B:B,3,Equipar!C:C,A532)
 +COUNTIFS(Equipar!B:B,3,Equipar!D:D,A532)
+COUNTIFS(Equipar!B:B,3,Equipar!E:E,A532)
+COUNTIFS(Equipar!B:B,3,Equipar!F:F,A532)
&gt;0,COUNTIF('Set recomendado'!B:B,C532)=0),
"Bloqueada",
"Desechable")),""
)</f>
        <v/>
      </c>
      <c r="J532" t="str" cm="1">
        <f t="array" aca="1" ref="J532" ca="1">IF(ISNUMBER(A532),IFERROR(_xlfn._xlws.FILTER(Equipar!A:A,(Equipar!B:B=3)*(Equipar!AC:AC=A532)),""),"")</f>
        <v/>
      </c>
    </row>
    <row r="533" spans="1:10" x14ac:dyDescent="0.25">
      <c r="A533" s="1" t="str">
        <f ca="1">IF(A532="ID",1,IF(ISBLANK(B533),"",MAX(A$2:A532)+1))</f>
        <v/>
      </c>
      <c r="I533" s="2" t="str">
        <f ca="1">IF(ISNUMBER(A533),
IF(COUNTIFS(Equipar!B:B,3,Equipar!AC:AC,A533),"Equipada",
IF(
  OR(COUNTIFS(Equipar!B:B,3,Equipar!C:C,A533)
 +COUNTIFS(Equipar!B:B,3,Equipar!D:D,A533)
+COUNTIFS(Equipar!B:B,3,Equipar!E:E,A533)
+COUNTIFS(Equipar!B:B,3,Equipar!F:F,A533)
&gt;0,COUNTIF('Set recomendado'!B:B,C533)=0),
"Bloqueada",
"Desechable")),""
)</f>
        <v/>
      </c>
      <c r="J533" t="str" cm="1">
        <f t="array" aca="1" ref="J533" ca="1">IF(ISNUMBER(A533),IFERROR(_xlfn._xlws.FILTER(Equipar!A:A,(Equipar!B:B=3)*(Equipar!AC:AC=A533)),""),"")</f>
        <v/>
      </c>
    </row>
    <row r="534" spans="1:10" x14ac:dyDescent="0.25">
      <c r="A534" s="1" t="str">
        <f ca="1">IF(A533="ID",1,IF(ISBLANK(B534),"",MAX(A$2:A533)+1))</f>
        <v/>
      </c>
      <c r="I534" s="2" t="str">
        <f ca="1">IF(ISNUMBER(A534),
IF(COUNTIFS(Equipar!B:B,3,Equipar!AC:AC,A534),"Equipada",
IF(
  OR(COUNTIFS(Equipar!B:B,3,Equipar!C:C,A534)
 +COUNTIFS(Equipar!B:B,3,Equipar!D:D,A534)
+COUNTIFS(Equipar!B:B,3,Equipar!E:E,A534)
+COUNTIFS(Equipar!B:B,3,Equipar!F:F,A534)
&gt;0,COUNTIF('Set recomendado'!B:B,C534)=0),
"Bloqueada",
"Desechable")),""
)</f>
        <v/>
      </c>
      <c r="J534" t="str" cm="1">
        <f t="array" aca="1" ref="J534" ca="1">IF(ISNUMBER(A534),IFERROR(_xlfn._xlws.FILTER(Equipar!A:A,(Equipar!B:B=3)*(Equipar!AC:AC=A534)),""),"")</f>
        <v/>
      </c>
    </row>
    <row r="535" spans="1:10" x14ac:dyDescent="0.25">
      <c r="A535" s="1" t="str">
        <f ca="1">IF(A534="ID",1,IF(ISBLANK(B535),"",MAX(A$2:A534)+1))</f>
        <v/>
      </c>
      <c r="I535" s="2" t="str">
        <f ca="1">IF(ISNUMBER(A535),
IF(COUNTIFS(Equipar!B:B,3,Equipar!AC:AC,A535),"Equipada",
IF(
  OR(COUNTIFS(Equipar!B:B,3,Equipar!C:C,A535)
 +COUNTIFS(Equipar!B:B,3,Equipar!D:D,A535)
+COUNTIFS(Equipar!B:B,3,Equipar!E:E,A535)
+COUNTIFS(Equipar!B:B,3,Equipar!F:F,A535)
&gt;0,COUNTIF('Set recomendado'!B:B,C535)=0),
"Bloqueada",
"Desechable")),""
)</f>
        <v/>
      </c>
      <c r="J535" t="str" cm="1">
        <f t="array" aca="1" ref="J535" ca="1">IF(ISNUMBER(A535),IFERROR(_xlfn._xlws.FILTER(Equipar!A:A,(Equipar!B:B=3)*(Equipar!AC:AC=A535)),""),"")</f>
        <v/>
      </c>
    </row>
    <row r="536" spans="1:10" x14ac:dyDescent="0.25">
      <c r="A536" s="1" t="str">
        <f ca="1">IF(A535="ID",1,IF(ISBLANK(B536),"",MAX(A$2:A535)+1))</f>
        <v/>
      </c>
      <c r="I536" s="2" t="str">
        <f ca="1">IF(ISNUMBER(A536),
IF(COUNTIFS(Equipar!B:B,3,Equipar!AC:AC,A536),"Equipada",
IF(
  OR(COUNTIFS(Equipar!B:B,3,Equipar!C:C,A536)
 +COUNTIFS(Equipar!B:B,3,Equipar!D:D,A536)
+COUNTIFS(Equipar!B:B,3,Equipar!E:E,A536)
+COUNTIFS(Equipar!B:B,3,Equipar!F:F,A536)
&gt;0,COUNTIF('Set recomendado'!B:B,C536)=0),
"Bloqueada",
"Desechable")),""
)</f>
        <v/>
      </c>
      <c r="J536" t="str" cm="1">
        <f t="array" aca="1" ref="J536" ca="1">IF(ISNUMBER(A536),IFERROR(_xlfn._xlws.FILTER(Equipar!A:A,(Equipar!B:B=3)*(Equipar!AC:AC=A536)),""),"")</f>
        <v/>
      </c>
    </row>
    <row r="537" spans="1:10" x14ac:dyDescent="0.25">
      <c r="A537" s="1" t="str">
        <f ca="1">IF(A536="ID",1,IF(ISBLANK(B537),"",MAX(A$2:A536)+1))</f>
        <v/>
      </c>
      <c r="I537" s="2" t="str">
        <f ca="1">IF(ISNUMBER(A537),
IF(COUNTIFS(Equipar!B:B,3,Equipar!AC:AC,A537),"Equipada",
IF(
  OR(COUNTIFS(Equipar!B:B,3,Equipar!C:C,A537)
 +COUNTIFS(Equipar!B:B,3,Equipar!D:D,A537)
+COUNTIFS(Equipar!B:B,3,Equipar!E:E,A537)
+COUNTIFS(Equipar!B:B,3,Equipar!F:F,A537)
&gt;0,COUNTIF('Set recomendado'!B:B,C537)=0),
"Bloqueada",
"Desechable")),""
)</f>
        <v/>
      </c>
      <c r="J537" t="str" cm="1">
        <f t="array" aca="1" ref="J537" ca="1">IF(ISNUMBER(A537),IFERROR(_xlfn._xlws.FILTER(Equipar!A:A,(Equipar!B:B=3)*(Equipar!AC:AC=A537)),""),"")</f>
        <v/>
      </c>
    </row>
    <row r="538" spans="1:10" x14ac:dyDescent="0.25">
      <c r="A538" s="1" t="str">
        <f ca="1">IF(A537="ID",1,IF(ISBLANK(B538),"",MAX(A$2:A537)+1))</f>
        <v/>
      </c>
      <c r="I538" s="2" t="str">
        <f ca="1">IF(ISNUMBER(A538),
IF(COUNTIFS(Equipar!B:B,3,Equipar!AC:AC,A538),"Equipada",
IF(
  OR(COUNTIFS(Equipar!B:B,3,Equipar!C:C,A538)
 +COUNTIFS(Equipar!B:B,3,Equipar!D:D,A538)
+COUNTIFS(Equipar!B:B,3,Equipar!E:E,A538)
+COUNTIFS(Equipar!B:B,3,Equipar!F:F,A538)
&gt;0,COUNTIF('Set recomendado'!B:B,C538)=0),
"Bloqueada",
"Desechable")),""
)</f>
        <v/>
      </c>
      <c r="J538" t="str" cm="1">
        <f t="array" aca="1" ref="J538" ca="1">IF(ISNUMBER(A538),IFERROR(_xlfn._xlws.FILTER(Equipar!A:A,(Equipar!B:B=3)*(Equipar!AC:AC=A538)),""),"")</f>
        <v/>
      </c>
    </row>
    <row r="539" spans="1:10" x14ac:dyDescent="0.25">
      <c r="A539" s="1" t="str">
        <f ca="1">IF(A538="ID",1,IF(ISBLANK(B539),"",MAX(A$2:A538)+1))</f>
        <v/>
      </c>
      <c r="I539" s="2" t="str">
        <f ca="1">IF(ISNUMBER(A539),
IF(COUNTIFS(Equipar!B:B,3,Equipar!AC:AC,A539),"Equipada",
IF(
  OR(COUNTIFS(Equipar!B:B,3,Equipar!C:C,A539)
 +COUNTIFS(Equipar!B:B,3,Equipar!D:D,A539)
+COUNTIFS(Equipar!B:B,3,Equipar!E:E,A539)
+COUNTIFS(Equipar!B:B,3,Equipar!F:F,A539)
&gt;0,COUNTIF('Set recomendado'!B:B,C539)=0),
"Bloqueada",
"Desechable")),""
)</f>
        <v/>
      </c>
      <c r="J539" t="str" cm="1">
        <f t="array" aca="1" ref="J539" ca="1">IF(ISNUMBER(A539),IFERROR(_xlfn._xlws.FILTER(Equipar!A:A,(Equipar!B:B=3)*(Equipar!AC:AC=A539)),""),"")</f>
        <v/>
      </c>
    </row>
    <row r="540" spans="1:10" x14ac:dyDescent="0.25">
      <c r="A540" s="1" t="str">
        <f ca="1">IF(A539="ID",1,IF(ISBLANK(B540),"",MAX(A$2:A539)+1))</f>
        <v/>
      </c>
      <c r="I540" s="2" t="str">
        <f ca="1">IF(ISNUMBER(A540),
IF(COUNTIFS(Equipar!B:B,3,Equipar!AC:AC,A540),"Equipada",
IF(
  OR(COUNTIFS(Equipar!B:B,3,Equipar!C:C,A540)
 +COUNTIFS(Equipar!B:B,3,Equipar!D:D,A540)
+COUNTIFS(Equipar!B:B,3,Equipar!E:E,A540)
+COUNTIFS(Equipar!B:B,3,Equipar!F:F,A540)
&gt;0,COUNTIF('Set recomendado'!B:B,C540)=0),
"Bloqueada",
"Desechable")),""
)</f>
        <v/>
      </c>
      <c r="J540" t="str" cm="1">
        <f t="array" aca="1" ref="J540" ca="1">IF(ISNUMBER(A540),IFERROR(_xlfn._xlws.FILTER(Equipar!A:A,(Equipar!B:B=3)*(Equipar!AC:AC=A540)),""),"")</f>
        <v/>
      </c>
    </row>
    <row r="541" spans="1:10" x14ac:dyDescent="0.25">
      <c r="A541" s="1" t="str">
        <f ca="1">IF(A540="ID",1,IF(ISBLANK(B541),"",MAX(A$2:A540)+1))</f>
        <v/>
      </c>
      <c r="I541" s="2" t="str">
        <f ca="1">IF(ISNUMBER(A541),
IF(COUNTIFS(Equipar!B:B,3,Equipar!AC:AC,A541),"Equipada",
IF(
  OR(COUNTIFS(Equipar!B:B,3,Equipar!C:C,A541)
 +COUNTIFS(Equipar!B:B,3,Equipar!D:D,A541)
+COUNTIFS(Equipar!B:B,3,Equipar!E:E,A541)
+COUNTIFS(Equipar!B:B,3,Equipar!F:F,A541)
&gt;0,COUNTIF('Set recomendado'!B:B,C541)=0),
"Bloqueada",
"Desechable")),""
)</f>
        <v/>
      </c>
      <c r="J541" t="str" cm="1">
        <f t="array" aca="1" ref="J541" ca="1">IF(ISNUMBER(A541),IFERROR(_xlfn._xlws.FILTER(Equipar!A:A,(Equipar!B:B=3)*(Equipar!AC:AC=A541)),""),"")</f>
        <v/>
      </c>
    </row>
    <row r="542" spans="1:10" x14ac:dyDescent="0.25">
      <c r="A542" s="1" t="str">
        <f ca="1">IF(A541="ID",1,IF(ISBLANK(B542),"",MAX(A$2:A541)+1))</f>
        <v/>
      </c>
      <c r="I542" s="2" t="str">
        <f ca="1">IF(ISNUMBER(A542),
IF(COUNTIFS(Equipar!B:B,3,Equipar!AC:AC,A542),"Equipada",
IF(
  OR(COUNTIFS(Equipar!B:B,3,Equipar!C:C,A542)
 +COUNTIFS(Equipar!B:B,3,Equipar!D:D,A542)
+COUNTIFS(Equipar!B:B,3,Equipar!E:E,A542)
+COUNTIFS(Equipar!B:B,3,Equipar!F:F,A542)
&gt;0,COUNTIF('Set recomendado'!B:B,C542)=0),
"Bloqueada",
"Desechable")),""
)</f>
        <v/>
      </c>
      <c r="J542" t="str" cm="1">
        <f t="array" aca="1" ref="J542" ca="1">IF(ISNUMBER(A542),IFERROR(_xlfn._xlws.FILTER(Equipar!A:A,(Equipar!B:B=3)*(Equipar!AC:AC=A542)),""),"")</f>
        <v/>
      </c>
    </row>
    <row r="543" spans="1:10" x14ac:dyDescent="0.25">
      <c r="A543" s="1" t="str">
        <f ca="1">IF(A542="ID",1,IF(ISBLANK(B543),"",MAX(A$2:A542)+1))</f>
        <v/>
      </c>
      <c r="I543" s="2" t="str">
        <f ca="1">IF(ISNUMBER(A543),
IF(COUNTIFS(Equipar!B:B,3,Equipar!AC:AC,A543),"Equipada",
IF(
  OR(COUNTIFS(Equipar!B:B,3,Equipar!C:C,A543)
 +COUNTIFS(Equipar!B:B,3,Equipar!D:D,A543)
+COUNTIFS(Equipar!B:B,3,Equipar!E:E,A543)
+COUNTIFS(Equipar!B:B,3,Equipar!F:F,A543)
&gt;0,COUNTIF('Set recomendado'!B:B,C543)=0),
"Bloqueada",
"Desechable")),""
)</f>
        <v/>
      </c>
      <c r="J543" t="str" cm="1">
        <f t="array" aca="1" ref="J543" ca="1">IF(ISNUMBER(A543),IFERROR(_xlfn._xlws.FILTER(Equipar!A:A,(Equipar!B:B=3)*(Equipar!AC:AC=A543)),""),"")</f>
        <v/>
      </c>
    </row>
    <row r="544" spans="1:10" x14ac:dyDescent="0.25">
      <c r="A544" s="1" t="str">
        <f ca="1">IF(A543="ID",1,IF(ISBLANK(B544),"",MAX(A$2:A543)+1))</f>
        <v/>
      </c>
      <c r="I544" s="2" t="str">
        <f ca="1">IF(ISNUMBER(A544),
IF(COUNTIFS(Equipar!B:B,3,Equipar!AC:AC,A544),"Equipada",
IF(
  OR(COUNTIFS(Equipar!B:B,3,Equipar!C:C,A544)
 +COUNTIFS(Equipar!B:B,3,Equipar!D:D,A544)
+COUNTIFS(Equipar!B:B,3,Equipar!E:E,A544)
+COUNTIFS(Equipar!B:B,3,Equipar!F:F,A544)
&gt;0,COUNTIF('Set recomendado'!B:B,C544)=0),
"Bloqueada",
"Desechable")),""
)</f>
        <v/>
      </c>
      <c r="J544" t="str" cm="1">
        <f t="array" aca="1" ref="J544" ca="1">IF(ISNUMBER(A544),IFERROR(_xlfn._xlws.FILTER(Equipar!A:A,(Equipar!B:B=3)*(Equipar!AC:AC=A544)),""),"")</f>
        <v/>
      </c>
    </row>
    <row r="545" spans="1:10" x14ac:dyDescent="0.25">
      <c r="A545" s="1" t="str">
        <f ca="1">IF(A544="ID",1,IF(ISBLANK(B545),"",MAX(A$2:A544)+1))</f>
        <v/>
      </c>
      <c r="I545" s="2" t="str">
        <f ca="1">IF(ISNUMBER(A545),
IF(COUNTIFS(Equipar!B:B,3,Equipar!AC:AC,A545),"Equipada",
IF(
  OR(COUNTIFS(Equipar!B:B,3,Equipar!C:C,A545)
 +COUNTIFS(Equipar!B:B,3,Equipar!D:D,A545)
+COUNTIFS(Equipar!B:B,3,Equipar!E:E,A545)
+COUNTIFS(Equipar!B:B,3,Equipar!F:F,A545)
&gt;0,COUNTIF('Set recomendado'!B:B,C545)=0),
"Bloqueada",
"Desechable")),""
)</f>
        <v/>
      </c>
      <c r="J545" t="str" cm="1">
        <f t="array" aca="1" ref="J545" ca="1">IF(ISNUMBER(A545),IFERROR(_xlfn._xlws.FILTER(Equipar!A:A,(Equipar!B:B=3)*(Equipar!AC:AC=A545)),""),"")</f>
        <v/>
      </c>
    </row>
    <row r="546" spans="1:10" x14ac:dyDescent="0.25">
      <c r="A546" s="1" t="str">
        <f ca="1">IF(A545="ID",1,IF(ISBLANK(B546),"",MAX(A$2:A545)+1))</f>
        <v/>
      </c>
      <c r="I546" s="2" t="str">
        <f ca="1">IF(ISNUMBER(A546),
IF(COUNTIFS(Equipar!B:B,3,Equipar!AC:AC,A546),"Equipada",
IF(
  OR(COUNTIFS(Equipar!B:B,3,Equipar!C:C,A546)
 +COUNTIFS(Equipar!B:B,3,Equipar!D:D,A546)
+COUNTIFS(Equipar!B:B,3,Equipar!E:E,A546)
+COUNTIFS(Equipar!B:B,3,Equipar!F:F,A546)
&gt;0,COUNTIF('Set recomendado'!B:B,C546)=0),
"Bloqueada",
"Desechable")),""
)</f>
        <v/>
      </c>
      <c r="J546" t="str" cm="1">
        <f t="array" aca="1" ref="J546" ca="1">IF(ISNUMBER(A546),IFERROR(_xlfn._xlws.FILTER(Equipar!A:A,(Equipar!B:B=3)*(Equipar!AC:AC=A546)),""),"")</f>
        <v/>
      </c>
    </row>
    <row r="547" spans="1:10" x14ac:dyDescent="0.25">
      <c r="A547" s="1" t="str">
        <f ca="1">IF(A546="ID",1,IF(ISBLANK(B547),"",MAX(A$2:A546)+1))</f>
        <v/>
      </c>
      <c r="I547" s="2" t="str">
        <f ca="1">IF(ISNUMBER(A547),
IF(COUNTIFS(Equipar!B:B,3,Equipar!AC:AC,A547),"Equipada",
IF(
  OR(COUNTIFS(Equipar!B:B,3,Equipar!C:C,A547)
 +COUNTIFS(Equipar!B:B,3,Equipar!D:D,A547)
+COUNTIFS(Equipar!B:B,3,Equipar!E:E,A547)
+COUNTIFS(Equipar!B:B,3,Equipar!F:F,A547)
&gt;0,COUNTIF('Set recomendado'!B:B,C547)=0),
"Bloqueada",
"Desechable")),""
)</f>
        <v/>
      </c>
      <c r="J547" t="str" cm="1">
        <f t="array" aca="1" ref="J547" ca="1">IF(ISNUMBER(A547),IFERROR(_xlfn._xlws.FILTER(Equipar!A:A,(Equipar!B:B=3)*(Equipar!AC:AC=A547)),""),"")</f>
        <v/>
      </c>
    </row>
    <row r="548" spans="1:10" x14ac:dyDescent="0.25">
      <c r="A548" s="1" t="str">
        <f ca="1">IF(A547="ID",1,IF(ISBLANK(B548),"",MAX(A$2:A547)+1))</f>
        <v/>
      </c>
      <c r="I548" s="2" t="str">
        <f ca="1">IF(ISNUMBER(A548),
IF(COUNTIFS(Equipar!B:B,3,Equipar!AC:AC,A548),"Equipada",
IF(
  OR(COUNTIFS(Equipar!B:B,3,Equipar!C:C,A548)
 +COUNTIFS(Equipar!B:B,3,Equipar!D:D,A548)
+COUNTIFS(Equipar!B:B,3,Equipar!E:E,A548)
+COUNTIFS(Equipar!B:B,3,Equipar!F:F,A548)
&gt;0,COUNTIF('Set recomendado'!B:B,C548)=0),
"Bloqueada",
"Desechable")),""
)</f>
        <v/>
      </c>
      <c r="J548" t="str" cm="1">
        <f t="array" aca="1" ref="J548" ca="1">IF(ISNUMBER(A548),IFERROR(_xlfn._xlws.FILTER(Equipar!A:A,(Equipar!B:B=3)*(Equipar!AC:AC=A548)),""),"")</f>
        <v/>
      </c>
    </row>
    <row r="549" spans="1:10" x14ac:dyDescent="0.25">
      <c r="A549" s="1" t="str">
        <f ca="1">IF(A548="ID",1,IF(ISBLANK(B549),"",MAX(A$2:A548)+1))</f>
        <v/>
      </c>
      <c r="I549" s="2" t="str">
        <f ca="1">IF(ISNUMBER(A549),
IF(COUNTIFS(Equipar!B:B,3,Equipar!AC:AC,A549),"Equipada",
IF(
  OR(COUNTIFS(Equipar!B:B,3,Equipar!C:C,A549)
 +COUNTIFS(Equipar!B:B,3,Equipar!D:D,A549)
+COUNTIFS(Equipar!B:B,3,Equipar!E:E,A549)
+COUNTIFS(Equipar!B:B,3,Equipar!F:F,A549)
&gt;0,COUNTIF('Set recomendado'!B:B,C549)=0),
"Bloqueada",
"Desechable")),""
)</f>
        <v/>
      </c>
      <c r="J549" t="str" cm="1">
        <f t="array" aca="1" ref="J549" ca="1">IF(ISNUMBER(A549),IFERROR(_xlfn._xlws.FILTER(Equipar!A:A,(Equipar!B:B=3)*(Equipar!AC:AC=A549)),""),"")</f>
        <v/>
      </c>
    </row>
    <row r="550" spans="1:10" x14ac:dyDescent="0.25">
      <c r="A550" s="1" t="str">
        <f ca="1">IF(A549="ID",1,IF(ISBLANK(B550),"",MAX(A$2:A549)+1))</f>
        <v/>
      </c>
      <c r="I550" s="2" t="str">
        <f ca="1">IF(ISNUMBER(A550),
IF(COUNTIFS(Equipar!B:B,3,Equipar!AC:AC,A550),"Equipada",
IF(
  OR(COUNTIFS(Equipar!B:B,3,Equipar!C:C,A550)
 +COUNTIFS(Equipar!B:B,3,Equipar!D:D,A550)
+COUNTIFS(Equipar!B:B,3,Equipar!E:E,A550)
+COUNTIFS(Equipar!B:B,3,Equipar!F:F,A550)
&gt;0,COUNTIF('Set recomendado'!B:B,C550)=0),
"Bloqueada",
"Desechable")),""
)</f>
        <v/>
      </c>
      <c r="J550" t="str" cm="1">
        <f t="array" aca="1" ref="J550" ca="1">IF(ISNUMBER(A550),IFERROR(_xlfn._xlws.FILTER(Equipar!A:A,(Equipar!B:B=3)*(Equipar!AC:AC=A550)),""),"")</f>
        <v/>
      </c>
    </row>
    <row r="551" spans="1:10" x14ac:dyDescent="0.25">
      <c r="A551" s="1" t="str">
        <f ca="1">IF(A550="ID",1,IF(ISBLANK(B551),"",MAX(A$2:A550)+1))</f>
        <v/>
      </c>
      <c r="I551" s="2" t="str">
        <f ca="1">IF(ISNUMBER(A551),
IF(COUNTIFS(Equipar!B:B,3,Equipar!AC:AC,A551),"Equipada",
IF(
  OR(COUNTIFS(Equipar!B:B,3,Equipar!C:C,A551)
 +COUNTIFS(Equipar!B:B,3,Equipar!D:D,A551)
+COUNTIFS(Equipar!B:B,3,Equipar!E:E,A551)
+COUNTIFS(Equipar!B:B,3,Equipar!F:F,A551)
&gt;0,COUNTIF('Set recomendado'!B:B,C551)=0),
"Bloqueada",
"Desechable")),""
)</f>
        <v/>
      </c>
      <c r="J551" t="str" cm="1">
        <f t="array" aca="1" ref="J551" ca="1">IF(ISNUMBER(A551),IFERROR(_xlfn._xlws.FILTER(Equipar!A:A,(Equipar!B:B=3)*(Equipar!AC:AC=A551)),""),"")</f>
        <v/>
      </c>
    </row>
    <row r="552" spans="1:10" x14ac:dyDescent="0.25">
      <c r="A552" s="1" t="str">
        <f ca="1">IF(A551="ID",1,IF(ISBLANK(B552),"",MAX(A$2:A551)+1))</f>
        <v/>
      </c>
      <c r="I552" s="2" t="str">
        <f ca="1">IF(ISNUMBER(A552),
IF(COUNTIFS(Equipar!B:B,3,Equipar!AC:AC,A552),"Equipada",
IF(
  OR(COUNTIFS(Equipar!B:B,3,Equipar!C:C,A552)
 +COUNTIFS(Equipar!B:B,3,Equipar!D:D,A552)
+COUNTIFS(Equipar!B:B,3,Equipar!E:E,A552)
+COUNTIFS(Equipar!B:B,3,Equipar!F:F,A552)
&gt;0,COUNTIF('Set recomendado'!B:B,C552)=0),
"Bloqueada",
"Desechable")),""
)</f>
        <v/>
      </c>
      <c r="J552" t="str" cm="1">
        <f t="array" aca="1" ref="J552" ca="1">IF(ISNUMBER(A552),IFERROR(_xlfn._xlws.FILTER(Equipar!A:A,(Equipar!B:B=3)*(Equipar!AC:AC=A552)),""),"")</f>
        <v/>
      </c>
    </row>
    <row r="553" spans="1:10" x14ac:dyDescent="0.25">
      <c r="A553" s="1" t="str">
        <f ca="1">IF(A552="ID",1,IF(ISBLANK(B553),"",MAX(A$2:A552)+1))</f>
        <v/>
      </c>
      <c r="I553" s="2" t="str">
        <f ca="1">IF(ISNUMBER(A553),
IF(COUNTIFS(Equipar!B:B,3,Equipar!AC:AC,A553),"Equipada",
IF(
  OR(COUNTIFS(Equipar!B:B,3,Equipar!C:C,A553)
 +COUNTIFS(Equipar!B:B,3,Equipar!D:D,A553)
+COUNTIFS(Equipar!B:B,3,Equipar!E:E,A553)
+COUNTIFS(Equipar!B:B,3,Equipar!F:F,A553)
&gt;0,COUNTIF('Set recomendado'!B:B,C553)=0),
"Bloqueada",
"Desechable")),""
)</f>
        <v/>
      </c>
      <c r="J553" t="str" cm="1">
        <f t="array" aca="1" ref="J553" ca="1">IF(ISNUMBER(A553),IFERROR(_xlfn._xlws.FILTER(Equipar!A:A,(Equipar!B:B=3)*(Equipar!AC:AC=A553)),""),"")</f>
        <v/>
      </c>
    </row>
    <row r="554" spans="1:10" x14ac:dyDescent="0.25">
      <c r="A554" s="1" t="str">
        <f ca="1">IF(A553="ID",1,IF(ISBLANK(B554),"",MAX(A$2:A553)+1))</f>
        <v/>
      </c>
      <c r="I554" s="2" t="str">
        <f ca="1">IF(ISNUMBER(A554),
IF(COUNTIFS(Equipar!B:B,3,Equipar!AC:AC,A554),"Equipada",
IF(
  OR(COUNTIFS(Equipar!B:B,3,Equipar!C:C,A554)
 +COUNTIFS(Equipar!B:B,3,Equipar!D:D,A554)
+COUNTIFS(Equipar!B:B,3,Equipar!E:E,A554)
+COUNTIFS(Equipar!B:B,3,Equipar!F:F,A554)
&gt;0,COUNTIF('Set recomendado'!B:B,C554)=0),
"Bloqueada",
"Desechable")),""
)</f>
        <v/>
      </c>
      <c r="J554" t="str" cm="1">
        <f t="array" aca="1" ref="J554" ca="1">IF(ISNUMBER(A554),IFERROR(_xlfn._xlws.FILTER(Equipar!A:A,(Equipar!B:B=3)*(Equipar!AC:AC=A554)),""),"")</f>
        <v/>
      </c>
    </row>
    <row r="555" spans="1:10" x14ac:dyDescent="0.25">
      <c r="A555" s="1" t="str">
        <f ca="1">IF(A554="ID",1,IF(ISBLANK(B555),"",MAX(A$2:A554)+1))</f>
        <v/>
      </c>
      <c r="I555" s="2" t="str">
        <f ca="1">IF(ISNUMBER(A555),
IF(COUNTIFS(Equipar!B:B,3,Equipar!AC:AC,A555),"Equipada",
IF(
  OR(COUNTIFS(Equipar!B:B,3,Equipar!C:C,A555)
 +COUNTIFS(Equipar!B:B,3,Equipar!D:D,A555)
+COUNTIFS(Equipar!B:B,3,Equipar!E:E,A555)
+COUNTIFS(Equipar!B:B,3,Equipar!F:F,A555)
&gt;0,COUNTIF('Set recomendado'!B:B,C555)=0),
"Bloqueada",
"Desechable")),""
)</f>
        <v/>
      </c>
      <c r="J555" t="str" cm="1">
        <f t="array" aca="1" ref="J555" ca="1">IF(ISNUMBER(A555),IFERROR(_xlfn._xlws.FILTER(Equipar!A:A,(Equipar!B:B=3)*(Equipar!AC:AC=A555)),""),"")</f>
        <v/>
      </c>
    </row>
    <row r="556" spans="1:10" x14ac:dyDescent="0.25">
      <c r="A556" s="1" t="str">
        <f ca="1">IF(A555="ID",1,IF(ISBLANK(B556),"",MAX(A$2:A555)+1))</f>
        <v/>
      </c>
      <c r="I556" s="2" t="str">
        <f ca="1">IF(ISNUMBER(A556),
IF(COUNTIFS(Equipar!B:B,3,Equipar!AC:AC,A556),"Equipada",
IF(
  OR(COUNTIFS(Equipar!B:B,3,Equipar!C:C,A556)
 +COUNTIFS(Equipar!B:B,3,Equipar!D:D,A556)
+COUNTIFS(Equipar!B:B,3,Equipar!E:E,A556)
+COUNTIFS(Equipar!B:B,3,Equipar!F:F,A556)
&gt;0,COUNTIF('Set recomendado'!B:B,C556)=0),
"Bloqueada",
"Desechable")),""
)</f>
        <v/>
      </c>
      <c r="J556" t="str" cm="1">
        <f t="array" aca="1" ref="J556" ca="1">IF(ISNUMBER(A556),IFERROR(_xlfn._xlws.FILTER(Equipar!A:A,(Equipar!B:B=3)*(Equipar!AC:AC=A556)),""),"")</f>
        <v/>
      </c>
    </row>
    <row r="557" spans="1:10" x14ac:dyDescent="0.25">
      <c r="A557" s="1" t="str">
        <f ca="1">IF(A556="ID",1,IF(ISBLANK(B557),"",MAX(A$2:A556)+1))</f>
        <v/>
      </c>
      <c r="I557" s="2" t="str">
        <f ca="1">IF(ISNUMBER(A557),
IF(COUNTIFS(Equipar!B:B,3,Equipar!AC:AC,A557),"Equipada",
IF(
  OR(COUNTIFS(Equipar!B:B,3,Equipar!C:C,A557)
 +COUNTIFS(Equipar!B:B,3,Equipar!D:D,A557)
+COUNTIFS(Equipar!B:B,3,Equipar!E:E,A557)
+COUNTIFS(Equipar!B:B,3,Equipar!F:F,A557)
&gt;0,COUNTIF('Set recomendado'!B:B,C557)=0),
"Bloqueada",
"Desechable")),""
)</f>
        <v/>
      </c>
      <c r="J557" t="str" cm="1">
        <f t="array" aca="1" ref="J557" ca="1">IF(ISNUMBER(A557),IFERROR(_xlfn._xlws.FILTER(Equipar!A:A,(Equipar!B:B=3)*(Equipar!AC:AC=A557)),""),"")</f>
        <v/>
      </c>
    </row>
    <row r="558" spans="1:10" x14ac:dyDescent="0.25">
      <c r="A558" s="1" t="str">
        <f ca="1">IF(A557="ID",1,IF(ISBLANK(B558),"",MAX(A$2:A557)+1))</f>
        <v/>
      </c>
      <c r="I558" s="2" t="str">
        <f ca="1">IF(ISNUMBER(A558),
IF(COUNTIFS(Equipar!B:B,3,Equipar!AC:AC,A558),"Equipada",
IF(
  OR(COUNTIFS(Equipar!B:B,3,Equipar!C:C,A558)
 +COUNTIFS(Equipar!B:B,3,Equipar!D:D,A558)
+COUNTIFS(Equipar!B:B,3,Equipar!E:E,A558)
+COUNTIFS(Equipar!B:B,3,Equipar!F:F,A558)
&gt;0,COUNTIF('Set recomendado'!B:B,C558)=0),
"Bloqueada",
"Desechable")),""
)</f>
        <v/>
      </c>
      <c r="J558" t="str" cm="1">
        <f t="array" aca="1" ref="J558" ca="1">IF(ISNUMBER(A558),IFERROR(_xlfn._xlws.FILTER(Equipar!A:A,(Equipar!B:B=3)*(Equipar!AC:AC=A558)),""),"")</f>
        <v/>
      </c>
    </row>
    <row r="559" spans="1:10" x14ac:dyDescent="0.25">
      <c r="A559" s="1" t="str">
        <f ca="1">IF(A558="ID",1,IF(ISBLANK(B559),"",MAX(A$2:A558)+1))</f>
        <v/>
      </c>
      <c r="I559" s="2" t="str">
        <f ca="1">IF(ISNUMBER(A559),
IF(COUNTIFS(Equipar!B:B,3,Equipar!AC:AC,A559),"Equipada",
IF(
  OR(COUNTIFS(Equipar!B:B,3,Equipar!C:C,A559)
 +COUNTIFS(Equipar!B:B,3,Equipar!D:D,A559)
+COUNTIFS(Equipar!B:B,3,Equipar!E:E,A559)
+COUNTIFS(Equipar!B:B,3,Equipar!F:F,A559)
&gt;0,COUNTIF('Set recomendado'!B:B,C559)=0),
"Bloqueada",
"Desechable")),""
)</f>
        <v/>
      </c>
      <c r="J559" t="str" cm="1">
        <f t="array" aca="1" ref="J559" ca="1">IF(ISNUMBER(A559),IFERROR(_xlfn._xlws.FILTER(Equipar!A:A,(Equipar!B:B=3)*(Equipar!AC:AC=A559)),""),"")</f>
        <v/>
      </c>
    </row>
    <row r="560" spans="1:10" x14ac:dyDescent="0.25">
      <c r="A560" s="1" t="str">
        <f ca="1">IF(A559="ID",1,IF(ISBLANK(B560),"",MAX(A$2:A559)+1))</f>
        <v/>
      </c>
      <c r="I560" s="2" t="str">
        <f ca="1">IF(ISNUMBER(A560),
IF(COUNTIFS(Equipar!B:B,3,Equipar!AC:AC,A560),"Equipada",
IF(
  OR(COUNTIFS(Equipar!B:B,3,Equipar!C:C,A560)
 +COUNTIFS(Equipar!B:B,3,Equipar!D:D,A560)
+COUNTIFS(Equipar!B:B,3,Equipar!E:E,A560)
+COUNTIFS(Equipar!B:B,3,Equipar!F:F,A560)
&gt;0,COUNTIF('Set recomendado'!B:B,C560)=0),
"Bloqueada",
"Desechable")),""
)</f>
        <v/>
      </c>
      <c r="J560" t="str" cm="1">
        <f t="array" aca="1" ref="J560" ca="1">IF(ISNUMBER(A560),IFERROR(_xlfn._xlws.FILTER(Equipar!A:A,(Equipar!B:B=3)*(Equipar!AC:AC=A560)),""),"")</f>
        <v/>
      </c>
    </row>
    <row r="561" spans="1:10" x14ac:dyDescent="0.25">
      <c r="A561" s="1" t="str">
        <f ca="1">IF(A560="ID",1,IF(ISBLANK(B561),"",MAX(A$2:A560)+1))</f>
        <v/>
      </c>
      <c r="I561" s="2" t="str">
        <f ca="1">IF(ISNUMBER(A561),
IF(COUNTIFS(Equipar!B:B,3,Equipar!AC:AC,A561),"Equipada",
IF(
  OR(COUNTIFS(Equipar!B:B,3,Equipar!C:C,A561)
 +COUNTIFS(Equipar!B:B,3,Equipar!D:D,A561)
+COUNTIFS(Equipar!B:B,3,Equipar!E:E,A561)
+COUNTIFS(Equipar!B:B,3,Equipar!F:F,A561)
&gt;0,COUNTIF('Set recomendado'!B:B,C561)=0),
"Bloqueada",
"Desechable")),""
)</f>
        <v/>
      </c>
      <c r="J561" t="str" cm="1">
        <f t="array" aca="1" ref="J561" ca="1">IF(ISNUMBER(A561),IFERROR(_xlfn._xlws.FILTER(Equipar!A:A,(Equipar!B:B=3)*(Equipar!AC:AC=A561)),""),"")</f>
        <v/>
      </c>
    </row>
    <row r="562" spans="1:10" x14ac:dyDescent="0.25">
      <c r="A562" s="1" t="str">
        <f ca="1">IF(A561="ID",1,IF(ISBLANK(B562),"",MAX(A$2:A561)+1))</f>
        <v/>
      </c>
      <c r="I562" s="2" t="str">
        <f ca="1">IF(ISNUMBER(A562),
IF(COUNTIFS(Equipar!B:B,3,Equipar!AC:AC,A562),"Equipada",
IF(
  OR(COUNTIFS(Equipar!B:B,3,Equipar!C:C,A562)
 +COUNTIFS(Equipar!B:B,3,Equipar!D:D,A562)
+COUNTIFS(Equipar!B:B,3,Equipar!E:E,A562)
+COUNTIFS(Equipar!B:B,3,Equipar!F:F,A562)
&gt;0,COUNTIF('Set recomendado'!B:B,C562)=0),
"Bloqueada",
"Desechable")),""
)</f>
        <v/>
      </c>
      <c r="J562" t="str" cm="1">
        <f t="array" aca="1" ref="J562" ca="1">IF(ISNUMBER(A562),IFERROR(_xlfn._xlws.FILTER(Equipar!A:A,(Equipar!B:B=3)*(Equipar!AC:AC=A562)),""),"")</f>
        <v/>
      </c>
    </row>
    <row r="563" spans="1:10" x14ac:dyDescent="0.25">
      <c r="A563" s="1" t="str">
        <f ca="1">IF(A562="ID",1,IF(ISBLANK(B563),"",MAX(A$2:A562)+1))</f>
        <v/>
      </c>
      <c r="I563" s="2" t="str">
        <f ca="1">IF(ISNUMBER(A563),
IF(COUNTIFS(Equipar!B:B,3,Equipar!AC:AC,A563),"Equipada",
IF(
  OR(COUNTIFS(Equipar!B:B,3,Equipar!C:C,A563)
 +COUNTIFS(Equipar!B:B,3,Equipar!D:D,A563)
+COUNTIFS(Equipar!B:B,3,Equipar!E:E,A563)
+COUNTIFS(Equipar!B:B,3,Equipar!F:F,A563)
&gt;0,COUNTIF('Set recomendado'!B:B,C563)=0),
"Bloqueada",
"Desechable")),""
)</f>
        <v/>
      </c>
      <c r="J563" t="str" cm="1">
        <f t="array" aca="1" ref="J563" ca="1">IF(ISNUMBER(A563),IFERROR(_xlfn._xlws.FILTER(Equipar!A:A,(Equipar!B:B=3)*(Equipar!AC:AC=A563)),""),"")</f>
        <v/>
      </c>
    </row>
    <row r="564" spans="1:10" x14ac:dyDescent="0.25">
      <c r="A564" s="1" t="str">
        <f ca="1">IF(A563="ID",1,IF(ISBLANK(B564),"",MAX(A$2:A563)+1))</f>
        <v/>
      </c>
      <c r="I564" s="2" t="str">
        <f ca="1">IF(ISNUMBER(A564),
IF(COUNTIFS(Equipar!B:B,3,Equipar!AC:AC,A564),"Equipada",
IF(
  OR(COUNTIFS(Equipar!B:B,3,Equipar!C:C,A564)
 +COUNTIFS(Equipar!B:B,3,Equipar!D:D,A564)
+COUNTIFS(Equipar!B:B,3,Equipar!E:E,A564)
+COUNTIFS(Equipar!B:B,3,Equipar!F:F,A564)
&gt;0,COUNTIF('Set recomendado'!B:B,C564)=0),
"Bloqueada",
"Desechable")),""
)</f>
        <v/>
      </c>
      <c r="J564" t="str" cm="1">
        <f t="array" aca="1" ref="J564" ca="1">IF(ISNUMBER(A564),IFERROR(_xlfn._xlws.FILTER(Equipar!A:A,(Equipar!B:B=3)*(Equipar!AC:AC=A564)),""),"")</f>
        <v/>
      </c>
    </row>
    <row r="565" spans="1:10" x14ac:dyDescent="0.25">
      <c r="A565" s="1" t="str">
        <f ca="1">IF(A564="ID",1,IF(ISBLANK(B565),"",MAX(A$2:A564)+1))</f>
        <v/>
      </c>
      <c r="I565" s="2" t="str">
        <f ca="1">IF(ISNUMBER(A565),
IF(COUNTIFS(Equipar!B:B,3,Equipar!AC:AC,A565),"Equipada",
IF(
  OR(COUNTIFS(Equipar!B:B,3,Equipar!C:C,A565)
 +COUNTIFS(Equipar!B:B,3,Equipar!D:D,A565)
+COUNTIFS(Equipar!B:B,3,Equipar!E:E,A565)
+COUNTIFS(Equipar!B:B,3,Equipar!F:F,A565)
&gt;0,COUNTIF('Set recomendado'!B:B,C565)=0),
"Bloqueada",
"Desechable")),""
)</f>
        <v/>
      </c>
      <c r="J565" t="str" cm="1">
        <f t="array" aca="1" ref="J565" ca="1">IF(ISNUMBER(A565),IFERROR(_xlfn._xlws.FILTER(Equipar!A:A,(Equipar!B:B=3)*(Equipar!AC:AC=A565)),""),"")</f>
        <v/>
      </c>
    </row>
    <row r="566" spans="1:10" x14ac:dyDescent="0.25">
      <c r="A566" s="1" t="str">
        <f ca="1">IF(A565="ID",1,IF(ISBLANK(B566),"",MAX(A$2:A565)+1))</f>
        <v/>
      </c>
      <c r="I566" s="2" t="str">
        <f ca="1">IF(ISNUMBER(A566),
IF(COUNTIFS(Equipar!B:B,3,Equipar!AC:AC,A566),"Equipada",
IF(
  OR(COUNTIFS(Equipar!B:B,3,Equipar!C:C,A566)
 +COUNTIFS(Equipar!B:B,3,Equipar!D:D,A566)
+COUNTIFS(Equipar!B:B,3,Equipar!E:E,A566)
+COUNTIFS(Equipar!B:B,3,Equipar!F:F,A566)
&gt;0,COUNTIF('Set recomendado'!B:B,C566)=0),
"Bloqueada",
"Desechable")),""
)</f>
        <v/>
      </c>
      <c r="J566" t="str" cm="1">
        <f t="array" aca="1" ref="J566" ca="1">IF(ISNUMBER(A566),IFERROR(_xlfn._xlws.FILTER(Equipar!A:A,(Equipar!B:B=3)*(Equipar!AC:AC=A566)),""),"")</f>
        <v/>
      </c>
    </row>
    <row r="567" spans="1:10" x14ac:dyDescent="0.25">
      <c r="A567" s="1" t="str">
        <f ca="1">IF(A566="ID",1,IF(ISBLANK(B567),"",MAX(A$2:A566)+1))</f>
        <v/>
      </c>
      <c r="I567" s="2" t="str">
        <f ca="1">IF(ISNUMBER(A567),
IF(COUNTIFS(Equipar!B:B,3,Equipar!AC:AC,A567),"Equipada",
IF(
  OR(COUNTIFS(Equipar!B:B,3,Equipar!C:C,A567)
 +COUNTIFS(Equipar!B:B,3,Equipar!D:D,A567)
+COUNTIFS(Equipar!B:B,3,Equipar!E:E,A567)
+COUNTIFS(Equipar!B:B,3,Equipar!F:F,A567)
&gt;0,COUNTIF('Set recomendado'!B:B,C567)=0),
"Bloqueada",
"Desechable")),""
)</f>
        <v/>
      </c>
      <c r="J567" t="str" cm="1">
        <f t="array" aca="1" ref="J567" ca="1">IF(ISNUMBER(A567),IFERROR(_xlfn._xlws.FILTER(Equipar!A:A,(Equipar!B:B=3)*(Equipar!AC:AC=A567)),""),"")</f>
        <v/>
      </c>
    </row>
    <row r="568" spans="1:10" x14ac:dyDescent="0.25">
      <c r="A568" s="1" t="str">
        <f ca="1">IF(A567="ID",1,IF(ISBLANK(B568),"",MAX(A$2:A567)+1))</f>
        <v/>
      </c>
      <c r="I568" s="2" t="str">
        <f ca="1">IF(ISNUMBER(A568),
IF(COUNTIFS(Equipar!B:B,3,Equipar!AC:AC,A568),"Equipada",
IF(
  OR(COUNTIFS(Equipar!B:B,3,Equipar!C:C,A568)
 +COUNTIFS(Equipar!B:B,3,Equipar!D:D,A568)
+COUNTIFS(Equipar!B:B,3,Equipar!E:E,A568)
+COUNTIFS(Equipar!B:B,3,Equipar!F:F,A568)
&gt;0,COUNTIF('Set recomendado'!B:B,C568)=0),
"Bloqueada",
"Desechable")),""
)</f>
        <v/>
      </c>
      <c r="J568" t="str" cm="1">
        <f t="array" aca="1" ref="J568" ca="1">IF(ISNUMBER(A568),IFERROR(_xlfn._xlws.FILTER(Equipar!A:A,(Equipar!B:B=3)*(Equipar!AC:AC=A568)),""),"")</f>
        <v/>
      </c>
    </row>
    <row r="569" spans="1:10" x14ac:dyDescent="0.25">
      <c r="A569" s="1" t="str">
        <f ca="1">IF(A568="ID",1,IF(ISBLANK(B569),"",MAX(A$2:A568)+1))</f>
        <v/>
      </c>
      <c r="I569" s="2" t="str">
        <f ca="1">IF(ISNUMBER(A569),
IF(COUNTIFS(Equipar!B:B,3,Equipar!AC:AC,A569),"Equipada",
IF(
  OR(COUNTIFS(Equipar!B:B,3,Equipar!C:C,A569)
 +COUNTIFS(Equipar!B:B,3,Equipar!D:D,A569)
+COUNTIFS(Equipar!B:B,3,Equipar!E:E,A569)
+COUNTIFS(Equipar!B:B,3,Equipar!F:F,A569)
&gt;0,COUNTIF('Set recomendado'!B:B,C569)=0),
"Bloqueada",
"Desechable")),""
)</f>
        <v/>
      </c>
      <c r="J569" t="str" cm="1">
        <f t="array" aca="1" ref="J569" ca="1">IF(ISNUMBER(A569),IFERROR(_xlfn._xlws.FILTER(Equipar!A:A,(Equipar!B:B=3)*(Equipar!AC:AC=A569)),""),"")</f>
        <v/>
      </c>
    </row>
    <row r="570" spans="1:10" x14ac:dyDescent="0.25">
      <c r="A570" s="1" t="str">
        <f ca="1">IF(A569="ID",1,IF(ISBLANK(B570),"",MAX(A$2:A569)+1))</f>
        <v/>
      </c>
      <c r="I570" s="2" t="str">
        <f ca="1">IF(ISNUMBER(A570),
IF(COUNTIFS(Equipar!B:B,3,Equipar!AC:AC,A570),"Equipada",
IF(
  OR(COUNTIFS(Equipar!B:B,3,Equipar!C:C,A570)
 +COUNTIFS(Equipar!B:B,3,Equipar!D:D,A570)
+COUNTIFS(Equipar!B:B,3,Equipar!E:E,A570)
+COUNTIFS(Equipar!B:B,3,Equipar!F:F,A570)
&gt;0,COUNTIF('Set recomendado'!B:B,C570)=0),
"Bloqueada",
"Desechable")),""
)</f>
        <v/>
      </c>
      <c r="J570" t="str" cm="1">
        <f t="array" aca="1" ref="J570" ca="1">IF(ISNUMBER(A570),IFERROR(_xlfn._xlws.FILTER(Equipar!A:A,(Equipar!B:B=3)*(Equipar!AC:AC=A570)),""),"")</f>
        <v/>
      </c>
    </row>
    <row r="571" spans="1:10" x14ac:dyDescent="0.25">
      <c r="A571" s="1" t="str">
        <f ca="1">IF(A570="ID",1,IF(ISBLANK(B571),"",MAX(A$2:A570)+1))</f>
        <v/>
      </c>
      <c r="I571" s="2" t="str">
        <f ca="1">IF(ISNUMBER(A571),
IF(COUNTIFS(Equipar!B:B,3,Equipar!AC:AC,A571),"Equipada",
IF(
  OR(COUNTIFS(Equipar!B:B,3,Equipar!C:C,A571)
 +COUNTIFS(Equipar!B:B,3,Equipar!D:D,A571)
+COUNTIFS(Equipar!B:B,3,Equipar!E:E,A571)
+COUNTIFS(Equipar!B:B,3,Equipar!F:F,A571)
&gt;0,COUNTIF('Set recomendado'!B:B,C571)=0),
"Bloqueada",
"Desechable")),""
)</f>
        <v/>
      </c>
      <c r="J571" t="str" cm="1">
        <f t="array" aca="1" ref="J571" ca="1">IF(ISNUMBER(A571),IFERROR(_xlfn._xlws.FILTER(Equipar!A:A,(Equipar!B:B=3)*(Equipar!AC:AC=A571)),""),"")</f>
        <v/>
      </c>
    </row>
    <row r="572" spans="1:10" x14ac:dyDescent="0.25">
      <c r="A572" s="1" t="str">
        <f ca="1">IF(A571="ID",1,IF(ISBLANK(B572),"",MAX(A$2:A571)+1))</f>
        <v/>
      </c>
      <c r="I572" s="2" t="str">
        <f ca="1">IF(ISNUMBER(A572),
IF(COUNTIFS(Equipar!B:B,3,Equipar!AC:AC,A572),"Equipada",
IF(
  OR(COUNTIFS(Equipar!B:B,3,Equipar!C:C,A572)
 +COUNTIFS(Equipar!B:B,3,Equipar!D:D,A572)
+COUNTIFS(Equipar!B:B,3,Equipar!E:E,A572)
+COUNTIFS(Equipar!B:B,3,Equipar!F:F,A572)
&gt;0,COUNTIF('Set recomendado'!B:B,C572)=0),
"Bloqueada",
"Desechable")),""
)</f>
        <v/>
      </c>
      <c r="J572" t="str" cm="1">
        <f t="array" aca="1" ref="J572" ca="1">IF(ISNUMBER(A572),IFERROR(_xlfn._xlws.FILTER(Equipar!A:A,(Equipar!B:B=3)*(Equipar!AC:AC=A572)),""),"")</f>
        <v/>
      </c>
    </row>
    <row r="573" spans="1:10" x14ac:dyDescent="0.25">
      <c r="A573" s="1" t="str">
        <f ca="1">IF(A572="ID",1,IF(ISBLANK(B573),"",MAX(A$2:A572)+1))</f>
        <v/>
      </c>
      <c r="I573" s="2" t="str">
        <f ca="1">IF(ISNUMBER(A573),
IF(COUNTIFS(Equipar!B:B,3,Equipar!AC:AC,A573),"Equipada",
IF(
  OR(COUNTIFS(Equipar!B:B,3,Equipar!C:C,A573)
 +COUNTIFS(Equipar!B:B,3,Equipar!D:D,A573)
+COUNTIFS(Equipar!B:B,3,Equipar!E:E,A573)
+COUNTIFS(Equipar!B:B,3,Equipar!F:F,A573)
&gt;0,COUNTIF('Set recomendado'!B:B,C573)=0),
"Bloqueada",
"Desechable")),""
)</f>
        <v/>
      </c>
      <c r="J573" t="str" cm="1">
        <f t="array" aca="1" ref="J573" ca="1">IF(ISNUMBER(A573),IFERROR(_xlfn._xlws.FILTER(Equipar!A:A,(Equipar!B:B=3)*(Equipar!AC:AC=A573)),""),"")</f>
        <v/>
      </c>
    </row>
    <row r="574" spans="1:10" x14ac:dyDescent="0.25">
      <c r="A574" s="1" t="str">
        <f ca="1">IF(A573="ID",1,IF(ISBLANK(B574),"",MAX(A$2:A573)+1))</f>
        <v/>
      </c>
      <c r="I574" s="2" t="str">
        <f ca="1">IF(ISNUMBER(A574),
IF(COUNTIFS(Equipar!B:B,3,Equipar!AC:AC,A574),"Equipada",
IF(
  OR(COUNTIFS(Equipar!B:B,3,Equipar!C:C,A574)
 +COUNTIFS(Equipar!B:B,3,Equipar!D:D,A574)
+COUNTIFS(Equipar!B:B,3,Equipar!E:E,A574)
+COUNTIFS(Equipar!B:B,3,Equipar!F:F,A574)
&gt;0,COUNTIF('Set recomendado'!B:B,C574)=0),
"Bloqueada",
"Desechable")),""
)</f>
        <v/>
      </c>
      <c r="J574" t="str" cm="1">
        <f t="array" aca="1" ref="J574" ca="1">IF(ISNUMBER(A574),IFERROR(_xlfn._xlws.FILTER(Equipar!A:A,(Equipar!B:B=3)*(Equipar!AC:AC=A574)),""),"")</f>
        <v/>
      </c>
    </row>
    <row r="575" spans="1:10" x14ac:dyDescent="0.25">
      <c r="A575" s="1" t="str">
        <f ca="1">IF(A574="ID",1,IF(ISBLANK(B575),"",MAX(A$2:A574)+1))</f>
        <v/>
      </c>
      <c r="I575" s="2" t="str">
        <f ca="1">IF(ISNUMBER(A575),
IF(COUNTIFS(Equipar!B:B,3,Equipar!AC:AC,A575),"Equipada",
IF(
  OR(COUNTIFS(Equipar!B:B,3,Equipar!C:C,A575)
 +COUNTIFS(Equipar!B:B,3,Equipar!D:D,A575)
+COUNTIFS(Equipar!B:B,3,Equipar!E:E,A575)
+COUNTIFS(Equipar!B:B,3,Equipar!F:F,A575)
&gt;0,COUNTIF('Set recomendado'!B:B,C575)=0),
"Bloqueada",
"Desechable")),""
)</f>
        <v/>
      </c>
      <c r="J575" t="str" cm="1">
        <f t="array" aca="1" ref="J575" ca="1">IF(ISNUMBER(A575),IFERROR(_xlfn._xlws.FILTER(Equipar!A:A,(Equipar!B:B=3)*(Equipar!AC:AC=A575)),""),"")</f>
        <v/>
      </c>
    </row>
    <row r="576" spans="1:10" x14ac:dyDescent="0.25">
      <c r="A576" s="1" t="str">
        <f ca="1">IF(A575="ID",1,IF(ISBLANK(B576),"",MAX(A$2:A575)+1))</f>
        <v/>
      </c>
      <c r="I576" s="2" t="str">
        <f ca="1">IF(ISNUMBER(A576),
IF(COUNTIFS(Equipar!B:B,3,Equipar!AC:AC,A576),"Equipada",
IF(
  OR(COUNTIFS(Equipar!B:B,3,Equipar!C:C,A576)
 +COUNTIFS(Equipar!B:B,3,Equipar!D:D,A576)
+COUNTIFS(Equipar!B:B,3,Equipar!E:E,A576)
+COUNTIFS(Equipar!B:B,3,Equipar!F:F,A576)
&gt;0,COUNTIF('Set recomendado'!B:B,C576)=0),
"Bloqueada",
"Desechable")),""
)</f>
        <v/>
      </c>
      <c r="J576" t="str" cm="1">
        <f t="array" aca="1" ref="J576" ca="1">IF(ISNUMBER(A576),IFERROR(_xlfn._xlws.FILTER(Equipar!A:A,(Equipar!B:B=3)*(Equipar!AC:AC=A576)),""),"")</f>
        <v/>
      </c>
    </row>
    <row r="577" spans="1:10" x14ac:dyDescent="0.25">
      <c r="A577" s="1" t="str">
        <f ca="1">IF(A576="ID",1,IF(ISBLANK(B577),"",MAX(A$2:A576)+1))</f>
        <v/>
      </c>
      <c r="I577" s="2" t="str">
        <f ca="1">IF(ISNUMBER(A577),
IF(COUNTIFS(Equipar!B:B,3,Equipar!AC:AC,A577),"Equipada",
IF(
  OR(COUNTIFS(Equipar!B:B,3,Equipar!C:C,A577)
 +COUNTIFS(Equipar!B:B,3,Equipar!D:D,A577)
+COUNTIFS(Equipar!B:B,3,Equipar!E:E,A577)
+COUNTIFS(Equipar!B:B,3,Equipar!F:F,A577)
&gt;0,COUNTIF('Set recomendado'!B:B,C577)=0),
"Bloqueada",
"Desechable")),""
)</f>
        <v/>
      </c>
      <c r="J577" t="str" cm="1">
        <f t="array" aca="1" ref="J577" ca="1">IF(ISNUMBER(A577),IFERROR(_xlfn._xlws.FILTER(Equipar!A:A,(Equipar!B:B=3)*(Equipar!AC:AC=A577)),""),"")</f>
        <v/>
      </c>
    </row>
    <row r="578" spans="1:10" x14ac:dyDescent="0.25">
      <c r="A578" s="1" t="str">
        <f ca="1">IF(A577="ID",1,IF(ISBLANK(B578),"",MAX(A$2:A577)+1))</f>
        <v/>
      </c>
      <c r="I578" s="2" t="str">
        <f ca="1">IF(ISNUMBER(A578),
IF(COUNTIFS(Equipar!B:B,3,Equipar!AC:AC,A578),"Equipada",
IF(
  OR(COUNTIFS(Equipar!B:B,3,Equipar!C:C,A578)
 +COUNTIFS(Equipar!B:B,3,Equipar!D:D,A578)
+COUNTIFS(Equipar!B:B,3,Equipar!E:E,A578)
+COUNTIFS(Equipar!B:B,3,Equipar!F:F,A578)
&gt;0,COUNTIF('Set recomendado'!B:B,C578)=0),
"Bloqueada",
"Desechable")),""
)</f>
        <v/>
      </c>
      <c r="J578" t="str" cm="1">
        <f t="array" aca="1" ref="J578" ca="1">IF(ISNUMBER(A578),IFERROR(_xlfn._xlws.FILTER(Equipar!A:A,(Equipar!B:B=3)*(Equipar!AC:AC=A578)),""),"")</f>
        <v/>
      </c>
    </row>
    <row r="579" spans="1:10" x14ac:dyDescent="0.25">
      <c r="A579" s="1" t="str">
        <f ca="1">IF(A578="ID",1,IF(ISBLANK(B579),"",MAX(A$2:A578)+1))</f>
        <v/>
      </c>
      <c r="I579" s="2" t="str">
        <f ca="1">IF(ISNUMBER(A579),
IF(COUNTIFS(Equipar!B:B,3,Equipar!AC:AC,A579),"Equipada",
IF(
  OR(COUNTIFS(Equipar!B:B,3,Equipar!C:C,A579)
 +COUNTIFS(Equipar!B:B,3,Equipar!D:D,A579)
+COUNTIFS(Equipar!B:B,3,Equipar!E:E,A579)
+COUNTIFS(Equipar!B:B,3,Equipar!F:F,A579)
&gt;0,COUNTIF('Set recomendado'!B:B,C579)=0),
"Bloqueada",
"Desechable")),""
)</f>
        <v/>
      </c>
      <c r="J579" t="str" cm="1">
        <f t="array" aca="1" ref="J579" ca="1">IF(ISNUMBER(A579),IFERROR(_xlfn._xlws.FILTER(Equipar!A:A,(Equipar!B:B=3)*(Equipar!AC:AC=A579)),""),"")</f>
        <v/>
      </c>
    </row>
    <row r="580" spans="1:10" x14ac:dyDescent="0.25">
      <c r="A580" s="1" t="str">
        <f ca="1">IF(A579="ID",1,IF(ISBLANK(B580),"",MAX(A$2:A579)+1))</f>
        <v/>
      </c>
      <c r="I580" s="2" t="str">
        <f ca="1">IF(ISNUMBER(A580),
IF(COUNTIFS(Equipar!B:B,3,Equipar!AC:AC,A580),"Equipada",
IF(
  OR(COUNTIFS(Equipar!B:B,3,Equipar!C:C,A580)
 +COUNTIFS(Equipar!B:B,3,Equipar!D:D,A580)
+COUNTIFS(Equipar!B:B,3,Equipar!E:E,A580)
+COUNTIFS(Equipar!B:B,3,Equipar!F:F,A580)
&gt;0,COUNTIF('Set recomendado'!B:B,C580)=0),
"Bloqueada",
"Desechable")),""
)</f>
        <v/>
      </c>
      <c r="J580" t="str" cm="1">
        <f t="array" aca="1" ref="J580" ca="1">IF(ISNUMBER(A580),IFERROR(_xlfn._xlws.FILTER(Equipar!A:A,(Equipar!B:B=3)*(Equipar!AC:AC=A580)),""),"")</f>
        <v/>
      </c>
    </row>
    <row r="581" spans="1:10" x14ac:dyDescent="0.25">
      <c r="A581" s="1" t="str">
        <f ca="1">IF(A580="ID",1,IF(ISBLANK(B581),"",MAX(A$2:A580)+1))</f>
        <v/>
      </c>
      <c r="I581" s="2" t="str">
        <f ca="1">IF(ISNUMBER(A581),
IF(COUNTIFS(Equipar!B:B,3,Equipar!AC:AC,A581),"Equipada",
IF(
  OR(COUNTIFS(Equipar!B:B,3,Equipar!C:C,A581)
 +COUNTIFS(Equipar!B:B,3,Equipar!D:D,A581)
+COUNTIFS(Equipar!B:B,3,Equipar!E:E,A581)
+COUNTIFS(Equipar!B:B,3,Equipar!F:F,A581)
&gt;0,COUNTIF('Set recomendado'!B:B,C581)=0),
"Bloqueada",
"Desechable")),""
)</f>
        <v/>
      </c>
      <c r="J581" t="str" cm="1">
        <f t="array" aca="1" ref="J581" ca="1">IF(ISNUMBER(A581),IFERROR(_xlfn._xlws.FILTER(Equipar!A:A,(Equipar!B:B=3)*(Equipar!AC:AC=A581)),""),"")</f>
        <v/>
      </c>
    </row>
    <row r="582" spans="1:10" x14ac:dyDescent="0.25">
      <c r="A582" s="1" t="str">
        <f ca="1">IF(A581="ID",1,IF(ISBLANK(B582),"",MAX(A$2:A581)+1))</f>
        <v/>
      </c>
      <c r="I582" s="2" t="str">
        <f ca="1">IF(ISNUMBER(A582),
IF(COUNTIFS(Equipar!B:B,3,Equipar!AC:AC,A582),"Equipada",
IF(
  OR(COUNTIFS(Equipar!B:B,3,Equipar!C:C,A582)
 +COUNTIFS(Equipar!B:B,3,Equipar!D:D,A582)
+COUNTIFS(Equipar!B:B,3,Equipar!E:E,A582)
+COUNTIFS(Equipar!B:B,3,Equipar!F:F,A582)
&gt;0,COUNTIF('Set recomendado'!B:B,C582)=0),
"Bloqueada",
"Desechable")),""
)</f>
        <v/>
      </c>
      <c r="J582" t="str" cm="1">
        <f t="array" aca="1" ref="J582" ca="1">IF(ISNUMBER(A582),IFERROR(_xlfn._xlws.FILTER(Equipar!A:A,(Equipar!B:B=3)*(Equipar!AC:AC=A582)),""),"")</f>
        <v/>
      </c>
    </row>
    <row r="583" spans="1:10" x14ac:dyDescent="0.25">
      <c r="A583" s="1" t="str">
        <f ca="1">IF(A582="ID",1,IF(ISBLANK(B583),"",MAX(A$2:A582)+1))</f>
        <v/>
      </c>
      <c r="I583" s="2" t="str">
        <f ca="1">IF(ISNUMBER(A583),
IF(COUNTIFS(Equipar!B:B,3,Equipar!AC:AC,A583),"Equipada",
IF(
  OR(COUNTIFS(Equipar!B:B,3,Equipar!C:C,A583)
 +COUNTIFS(Equipar!B:B,3,Equipar!D:D,A583)
+COUNTIFS(Equipar!B:B,3,Equipar!E:E,A583)
+COUNTIFS(Equipar!B:B,3,Equipar!F:F,A583)
&gt;0,COUNTIF('Set recomendado'!B:B,C583)=0),
"Bloqueada",
"Desechable")),""
)</f>
        <v/>
      </c>
      <c r="J583" t="str" cm="1">
        <f t="array" aca="1" ref="J583" ca="1">IF(ISNUMBER(A583),IFERROR(_xlfn._xlws.FILTER(Equipar!A:A,(Equipar!B:B=3)*(Equipar!AC:AC=A583)),""),"")</f>
        <v/>
      </c>
    </row>
    <row r="584" spans="1:10" x14ac:dyDescent="0.25">
      <c r="A584" s="1" t="str">
        <f ca="1">IF(A583="ID",1,IF(ISBLANK(B584),"",MAX(A$2:A583)+1))</f>
        <v/>
      </c>
      <c r="I584" s="2" t="str">
        <f ca="1">IF(ISNUMBER(A584),
IF(COUNTIFS(Equipar!B:B,3,Equipar!AC:AC,A584),"Equipada",
IF(
  OR(COUNTIFS(Equipar!B:B,3,Equipar!C:C,A584)
 +COUNTIFS(Equipar!B:B,3,Equipar!D:D,A584)
+COUNTIFS(Equipar!B:B,3,Equipar!E:E,A584)
+COUNTIFS(Equipar!B:B,3,Equipar!F:F,A584)
&gt;0,COUNTIF('Set recomendado'!B:B,C584)=0),
"Bloqueada",
"Desechable")),""
)</f>
        <v/>
      </c>
      <c r="J584" t="str" cm="1">
        <f t="array" aca="1" ref="J584" ca="1">IF(ISNUMBER(A584),IFERROR(_xlfn._xlws.FILTER(Equipar!A:A,(Equipar!B:B=3)*(Equipar!AC:AC=A584)),""),"")</f>
        <v/>
      </c>
    </row>
    <row r="585" spans="1:10" x14ac:dyDescent="0.25">
      <c r="A585" s="1" t="str">
        <f ca="1">IF(A584="ID",1,IF(ISBLANK(B585),"",MAX(A$2:A584)+1))</f>
        <v/>
      </c>
      <c r="I585" s="2" t="str">
        <f ca="1">IF(ISNUMBER(A585),
IF(COUNTIFS(Equipar!B:B,3,Equipar!AC:AC,A585),"Equipada",
IF(
  OR(COUNTIFS(Equipar!B:B,3,Equipar!C:C,A585)
 +COUNTIFS(Equipar!B:B,3,Equipar!D:D,A585)
+COUNTIFS(Equipar!B:B,3,Equipar!E:E,A585)
+COUNTIFS(Equipar!B:B,3,Equipar!F:F,A585)
&gt;0,COUNTIF('Set recomendado'!B:B,C585)=0),
"Bloqueada",
"Desechable")),""
)</f>
        <v/>
      </c>
      <c r="J585" t="str" cm="1">
        <f t="array" aca="1" ref="J585" ca="1">IF(ISNUMBER(A585),IFERROR(_xlfn._xlws.FILTER(Equipar!A:A,(Equipar!B:B=3)*(Equipar!AC:AC=A585)),""),"")</f>
        <v/>
      </c>
    </row>
    <row r="586" spans="1:10" x14ac:dyDescent="0.25">
      <c r="A586" s="1" t="str">
        <f ca="1">IF(A585="ID",1,IF(ISBLANK(B586),"",MAX(A$2:A585)+1))</f>
        <v/>
      </c>
      <c r="I586" s="2" t="str">
        <f ca="1">IF(ISNUMBER(A586),
IF(COUNTIFS(Equipar!B:B,3,Equipar!AC:AC,A586),"Equipada",
IF(
  OR(COUNTIFS(Equipar!B:B,3,Equipar!C:C,A586)
 +COUNTIFS(Equipar!B:B,3,Equipar!D:D,A586)
+COUNTIFS(Equipar!B:B,3,Equipar!E:E,A586)
+COUNTIFS(Equipar!B:B,3,Equipar!F:F,A586)
&gt;0,COUNTIF('Set recomendado'!B:B,C586)=0),
"Bloqueada",
"Desechable")),""
)</f>
        <v/>
      </c>
      <c r="J586" t="str" cm="1">
        <f t="array" aca="1" ref="J586" ca="1">IF(ISNUMBER(A586),IFERROR(_xlfn._xlws.FILTER(Equipar!A:A,(Equipar!B:B=3)*(Equipar!AC:AC=A586)),""),"")</f>
        <v/>
      </c>
    </row>
    <row r="587" spans="1:10" x14ac:dyDescent="0.25">
      <c r="A587" s="1" t="str">
        <f ca="1">IF(A586="ID",1,IF(ISBLANK(B587),"",MAX(A$2:A586)+1))</f>
        <v/>
      </c>
      <c r="I587" s="2" t="str">
        <f ca="1">IF(ISNUMBER(A587),
IF(COUNTIFS(Equipar!B:B,3,Equipar!AC:AC,A587),"Equipada",
IF(
  OR(COUNTIFS(Equipar!B:B,3,Equipar!C:C,A587)
 +COUNTIFS(Equipar!B:B,3,Equipar!D:D,A587)
+COUNTIFS(Equipar!B:B,3,Equipar!E:E,A587)
+COUNTIFS(Equipar!B:B,3,Equipar!F:F,A587)
&gt;0,COUNTIF('Set recomendado'!B:B,C587)=0),
"Bloqueada",
"Desechable")),""
)</f>
        <v/>
      </c>
      <c r="J587" t="str" cm="1">
        <f t="array" aca="1" ref="J587" ca="1">IF(ISNUMBER(A587),IFERROR(_xlfn._xlws.FILTER(Equipar!A:A,(Equipar!B:B=3)*(Equipar!AC:AC=A587)),""),"")</f>
        <v/>
      </c>
    </row>
    <row r="588" spans="1:10" x14ac:dyDescent="0.25">
      <c r="A588" s="1" t="str">
        <f ca="1">IF(A587="ID",1,IF(ISBLANK(B588),"",MAX(A$2:A587)+1))</f>
        <v/>
      </c>
      <c r="I588" s="2" t="str">
        <f ca="1">IF(ISNUMBER(A588),
IF(COUNTIFS(Equipar!B:B,3,Equipar!AC:AC,A588),"Equipada",
IF(
  OR(COUNTIFS(Equipar!B:B,3,Equipar!C:C,A588)
 +COUNTIFS(Equipar!B:B,3,Equipar!D:D,A588)
+COUNTIFS(Equipar!B:B,3,Equipar!E:E,A588)
+COUNTIFS(Equipar!B:B,3,Equipar!F:F,A588)
&gt;0,COUNTIF('Set recomendado'!B:B,C588)=0),
"Bloqueada",
"Desechable")),""
)</f>
        <v/>
      </c>
      <c r="J588" t="str" cm="1">
        <f t="array" aca="1" ref="J588" ca="1">IF(ISNUMBER(A588),IFERROR(_xlfn._xlws.FILTER(Equipar!A:A,(Equipar!B:B=3)*(Equipar!AC:AC=A588)),""),"")</f>
        <v/>
      </c>
    </row>
    <row r="589" spans="1:10" x14ac:dyDescent="0.25">
      <c r="A589" s="1" t="str">
        <f ca="1">IF(A588="ID",1,IF(ISBLANK(B589),"",MAX(A$2:A588)+1))</f>
        <v/>
      </c>
      <c r="I589" s="2" t="str">
        <f ca="1">IF(ISNUMBER(A589),
IF(COUNTIFS(Equipar!B:B,3,Equipar!AC:AC,A589),"Equipada",
IF(
  OR(COUNTIFS(Equipar!B:B,3,Equipar!C:C,A589)
 +COUNTIFS(Equipar!B:B,3,Equipar!D:D,A589)
+COUNTIFS(Equipar!B:B,3,Equipar!E:E,A589)
+COUNTIFS(Equipar!B:B,3,Equipar!F:F,A589)
&gt;0,COUNTIF('Set recomendado'!B:B,C589)=0),
"Bloqueada",
"Desechable")),""
)</f>
        <v/>
      </c>
      <c r="J589" t="str" cm="1">
        <f t="array" aca="1" ref="J589" ca="1">IF(ISNUMBER(A589),IFERROR(_xlfn._xlws.FILTER(Equipar!A:A,(Equipar!B:B=3)*(Equipar!AC:AC=A589)),""),"")</f>
        <v/>
      </c>
    </row>
    <row r="590" spans="1:10" x14ac:dyDescent="0.25">
      <c r="A590" s="1" t="str">
        <f ca="1">IF(A589="ID",1,IF(ISBLANK(B590),"",MAX(A$2:A589)+1))</f>
        <v/>
      </c>
      <c r="I590" s="2" t="str">
        <f ca="1">IF(ISNUMBER(A590),
IF(COUNTIFS(Equipar!B:B,3,Equipar!AC:AC,A590),"Equipada",
IF(
  OR(COUNTIFS(Equipar!B:B,3,Equipar!C:C,A590)
 +COUNTIFS(Equipar!B:B,3,Equipar!D:D,A590)
+COUNTIFS(Equipar!B:B,3,Equipar!E:E,A590)
+COUNTIFS(Equipar!B:B,3,Equipar!F:F,A590)
&gt;0,COUNTIF('Set recomendado'!B:B,C590)=0),
"Bloqueada",
"Desechable")),""
)</f>
        <v/>
      </c>
      <c r="J590" t="str" cm="1">
        <f t="array" aca="1" ref="J590" ca="1">IF(ISNUMBER(A590),IFERROR(_xlfn._xlws.FILTER(Equipar!A:A,(Equipar!B:B=3)*(Equipar!AC:AC=A590)),""),"")</f>
        <v/>
      </c>
    </row>
    <row r="591" spans="1:10" x14ac:dyDescent="0.25">
      <c r="A591" s="1" t="str">
        <f ca="1">IF(A590="ID",1,IF(ISBLANK(B591),"",MAX(A$2:A590)+1))</f>
        <v/>
      </c>
      <c r="I591" s="2" t="str">
        <f ca="1">IF(ISNUMBER(A591),
IF(COUNTIFS(Equipar!B:B,3,Equipar!AC:AC,A591),"Equipada",
IF(
  OR(COUNTIFS(Equipar!B:B,3,Equipar!C:C,A591)
 +COUNTIFS(Equipar!B:B,3,Equipar!D:D,A591)
+COUNTIFS(Equipar!B:B,3,Equipar!E:E,A591)
+COUNTIFS(Equipar!B:B,3,Equipar!F:F,A591)
&gt;0,COUNTIF('Set recomendado'!B:B,C591)=0),
"Bloqueada",
"Desechable")),""
)</f>
        <v/>
      </c>
      <c r="J591" t="str" cm="1">
        <f t="array" aca="1" ref="J591" ca="1">IF(ISNUMBER(A591),IFERROR(_xlfn._xlws.FILTER(Equipar!A:A,(Equipar!B:B=3)*(Equipar!AC:AC=A591)),""),"")</f>
        <v/>
      </c>
    </row>
    <row r="592" spans="1:10" x14ac:dyDescent="0.25">
      <c r="A592" s="1" t="str">
        <f ca="1">IF(A591="ID",1,IF(ISBLANK(B592),"",MAX(A$2:A591)+1))</f>
        <v/>
      </c>
      <c r="I592" s="2" t="str">
        <f ca="1">IF(ISNUMBER(A592),
IF(COUNTIFS(Equipar!B:B,3,Equipar!AC:AC,A592),"Equipada",
IF(
  OR(COUNTIFS(Equipar!B:B,3,Equipar!C:C,A592)
 +COUNTIFS(Equipar!B:B,3,Equipar!D:D,A592)
+COUNTIFS(Equipar!B:B,3,Equipar!E:E,A592)
+COUNTIFS(Equipar!B:B,3,Equipar!F:F,A592)
&gt;0,COUNTIF('Set recomendado'!B:B,C592)=0),
"Bloqueada",
"Desechable")),""
)</f>
        <v/>
      </c>
      <c r="J592" t="str" cm="1">
        <f t="array" aca="1" ref="J592" ca="1">IF(ISNUMBER(A592),IFERROR(_xlfn._xlws.FILTER(Equipar!A:A,(Equipar!B:B=3)*(Equipar!AC:AC=A592)),""),"")</f>
        <v/>
      </c>
    </row>
    <row r="593" spans="1:10" x14ac:dyDescent="0.25">
      <c r="A593" s="1" t="str">
        <f ca="1">IF(A592="ID",1,IF(ISBLANK(B593),"",MAX(A$2:A592)+1))</f>
        <v/>
      </c>
      <c r="I593" s="2" t="str">
        <f ca="1">IF(ISNUMBER(A593),
IF(COUNTIFS(Equipar!B:B,3,Equipar!AC:AC,A593),"Equipada",
IF(
  OR(COUNTIFS(Equipar!B:B,3,Equipar!C:C,A593)
 +COUNTIFS(Equipar!B:B,3,Equipar!D:D,A593)
+COUNTIFS(Equipar!B:B,3,Equipar!E:E,A593)
+COUNTIFS(Equipar!B:B,3,Equipar!F:F,A593)
&gt;0,COUNTIF('Set recomendado'!B:B,C593)=0),
"Bloqueada",
"Desechable")),""
)</f>
        <v/>
      </c>
      <c r="J593" t="str" cm="1">
        <f t="array" aca="1" ref="J593" ca="1">IF(ISNUMBER(A593),IFERROR(_xlfn._xlws.FILTER(Equipar!A:A,(Equipar!B:B=3)*(Equipar!AC:AC=A593)),""),"")</f>
        <v/>
      </c>
    </row>
    <row r="594" spans="1:10" x14ac:dyDescent="0.25">
      <c r="A594" s="1" t="str">
        <f ca="1">IF(A593="ID",1,IF(ISBLANK(B594),"",MAX(A$2:A593)+1))</f>
        <v/>
      </c>
      <c r="I594" s="2" t="str">
        <f ca="1">IF(ISNUMBER(A594),
IF(COUNTIFS(Equipar!B:B,3,Equipar!AC:AC,A594),"Equipada",
IF(
  OR(COUNTIFS(Equipar!B:B,3,Equipar!C:C,A594)
 +COUNTIFS(Equipar!B:B,3,Equipar!D:D,A594)
+COUNTIFS(Equipar!B:B,3,Equipar!E:E,A594)
+COUNTIFS(Equipar!B:B,3,Equipar!F:F,A594)
&gt;0,COUNTIF('Set recomendado'!B:B,C594)=0),
"Bloqueada",
"Desechable")),""
)</f>
        <v/>
      </c>
      <c r="J594" t="str" cm="1">
        <f t="array" aca="1" ref="J594" ca="1">IF(ISNUMBER(A594),IFERROR(_xlfn._xlws.FILTER(Equipar!A:A,(Equipar!B:B=3)*(Equipar!AC:AC=A594)),""),"")</f>
        <v/>
      </c>
    </row>
    <row r="595" spans="1:10" x14ac:dyDescent="0.25">
      <c r="A595" s="1" t="str">
        <f ca="1">IF(A594="ID",1,IF(ISBLANK(B595),"",MAX(A$2:A594)+1))</f>
        <v/>
      </c>
      <c r="I595" s="2" t="str">
        <f ca="1">IF(ISNUMBER(A595),
IF(COUNTIFS(Equipar!B:B,3,Equipar!AC:AC,A595),"Equipada",
IF(
  OR(COUNTIFS(Equipar!B:B,3,Equipar!C:C,A595)
 +COUNTIFS(Equipar!B:B,3,Equipar!D:D,A595)
+COUNTIFS(Equipar!B:B,3,Equipar!E:E,A595)
+COUNTIFS(Equipar!B:B,3,Equipar!F:F,A595)
&gt;0,COUNTIF('Set recomendado'!B:B,C595)=0),
"Bloqueada",
"Desechable")),""
)</f>
        <v/>
      </c>
      <c r="J595" t="str" cm="1">
        <f t="array" aca="1" ref="J595" ca="1">IF(ISNUMBER(A595),IFERROR(_xlfn._xlws.FILTER(Equipar!A:A,(Equipar!B:B=3)*(Equipar!AC:AC=A595)),""),"")</f>
        <v/>
      </c>
    </row>
    <row r="596" spans="1:10" x14ac:dyDescent="0.25">
      <c r="A596" s="1" t="str">
        <f ca="1">IF(A595="ID",1,IF(ISBLANK(B596),"",MAX(A$2:A595)+1))</f>
        <v/>
      </c>
      <c r="I596" s="2" t="str">
        <f ca="1">IF(ISNUMBER(A596),
IF(COUNTIFS(Equipar!B:B,3,Equipar!AC:AC,A596),"Equipada",
IF(
  OR(COUNTIFS(Equipar!B:B,3,Equipar!C:C,A596)
 +COUNTIFS(Equipar!B:B,3,Equipar!D:D,A596)
+COUNTIFS(Equipar!B:B,3,Equipar!E:E,A596)
+COUNTIFS(Equipar!B:B,3,Equipar!F:F,A596)
&gt;0,COUNTIF('Set recomendado'!B:B,C596)=0),
"Bloqueada",
"Desechable")),""
)</f>
        <v/>
      </c>
      <c r="J596" t="str" cm="1">
        <f t="array" aca="1" ref="J596" ca="1">IF(ISNUMBER(A596),IFERROR(_xlfn._xlws.FILTER(Equipar!A:A,(Equipar!B:B=3)*(Equipar!AC:AC=A596)),""),"")</f>
        <v/>
      </c>
    </row>
    <row r="597" spans="1:10" x14ac:dyDescent="0.25">
      <c r="A597" s="1" t="str">
        <f ca="1">IF(A596="ID",1,IF(ISBLANK(B597),"",MAX(A$2:A596)+1))</f>
        <v/>
      </c>
      <c r="I597" s="2" t="str">
        <f ca="1">IF(ISNUMBER(A597),
IF(COUNTIFS(Equipar!B:B,3,Equipar!AC:AC,A597),"Equipada",
IF(
  OR(COUNTIFS(Equipar!B:B,3,Equipar!C:C,A597)
 +COUNTIFS(Equipar!B:B,3,Equipar!D:D,A597)
+COUNTIFS(Equipar!B:B,3,Equipar!E:E,A597)
+COUNTIFS(Equipar!B:B,3,Equipar!F:F,A597)
&gt;0,COUNTIF('Set recomendado'!B:B,C597)=0),
"Bloqueada",
"Desechable")),""
)</f>
        <v/>
      </c>
      <c r="J597" t="str" cm="1">
        <f t="array" aca="1" ref="J597" ca="1">IF(ISNUMBER(A597),IFERROR(_xlfn._xlws.FILTER(Equipar!A:A,(Equipar!B:B=3)*(Equipar!AC:AC=A597)),""),"")</f>
        <v/>
      </c>
    </row>
    <row r="598" spans="1:10" x14ac:dyDescent="0.25">
      <c r="A598" s="1" t="str">
        <f ca="1">IF(A597="ID",1,IF(ISBLANK(B598),"",MAX(A$2:A597)+1))</f>
        <v/>
      </c>
      <c r="I598" s="2" t="str">
        <f ca="1">IF(ISNUMBER(A598),
IF(COUNTIFS(Equipar!B:B,3,Equipar!AC:AC,A598),"Equipada",
IF(
  OR(COUNTIFS(Equipar!B:B,3,Equipar!C:C,A598)
 +COUNTIFS(Equipar!B:B,3,Equipar!D:D,A598)
+COUNTIFS(Equipar!B:B,3,Equipar!E:E,A598)
+COUNTIFS(Equipar!B:B,3,Equipar!F:F,A598)
&gt;0,COUNTIF('Set recomendado'!B:B,C598)=0),
"Bloqueada",
"Desechable")),""
)</f>
        <v/>
      </c>
      <c r="J598" t="str" cm="1">
        <f t="array" aca="1" ref="J598" ca="1">IF(ISNUMBER(A598),IFERROR(_xlfn._xlws.FILTER(Equipar!A:A,(Equipar!B:B=3)*(Equipar!AC:AC=A598)),""),"")</f>
        <v/>
      </c>
    </row>
    <row r="599" spans="1:10" x14ac:dyDescent="0.25">
      <c r="A599" s="1" t="str">
        <f ca="1">IF(A598="ID",1,IF(ISBLANK(B599),"",MAX(A$2:A598)+1))</f>
        <v/>
      </c>
      <c r="I599" s="2" t="str">
        <f ca="1">IF(ISNUMBER(A599),
IF(COUNTIFS(Equipar!B:B,3,Equipar!AC:AC,A599),"Equipada",
IF(
  OR(COUNTIFS(Equipar!B:B,3,Equipar!C:C,A599)
 +COUNTIFS(Equipar!B:B,3,Equipar!D:D,A599)
+COUNTIFS(Equipar!B:B,3,Equipar!E:E,A599)
+COUNTIFS(Equipar!B:B,3,Equipar!F:F,A599)
&gt;0,COUNTIF('Set recomendado'!B:B,C599)=0),
"Bloqueada",
"Desechable")),""
)</f>
        <v/>
      </c>
      <c r="J599" t="str" cm="1">
        <f t="array" aca="1" ref="J599" ca="1">IF(ISNUMBER(A599),IFERROR(_xlfn._xlws.FILTER(Equipar!A:A,(Equipar!B:B=3)*(Equipar!AC:AC=A599)),""),"")</f>
        <v/>
      </c>
    </row>
    <row r="600" spans="1:10" x14ac:dyDescent="0.25">
      <c r="A600" s="1" t="str">
        <f ca="1">IF(A599="ID",1,IF(ISBLANK(B600),"",MAX(A$2:A599)+1))</f>
        <v/>
      </c>
      <c r="I600" s="2" t="str">
        <f ca="1">IF(ISNUMBER(A600),
IF(COUNTIFS(Equipar!B:B,3,Equipar!AC:AC,A600),"Equipada",
IF(
  OR(COUNTIFS(Equipar!B:B,3,Equipar!C:C,A600)
 +COUNTIFS(Equipar!B:B,3,Equipar!D:D,A600)
+COUNTIFS(Equipar!B:B,3,Equipar!E:E,A600)
+COUNTIFS(Equipar!B:B,3,Equipar!F:F,A600)
&gt;0,COUNTIF('Set recomendado'!B:B,C600)=0),
"Bloqueada",
"Desechable")),""
)</f>
        <v/>
      </c>
      <c r="J600" t="str" cm="1">
        <f t="array" aca="1" ref="J600" ca="1">IF(ISNUMBER(A600),IFERROR(_xlfn._xlws.FILTER(Equipar!A:A,(Equipar!B:B=3)*(Equipar!AC:AC=A600)),""),"")</f>
        <v/>
      </c>
    </row>
    <row r="601" spans="1:10" x14ac:dyDescent="0.25">
      <c r="A601" s="1" t="str">
        <f ca="1">IF(A600="ID",1,IF(ISBLANK(B601),"",MAX(A$2:A600)+1))</f>
        <v/>
      </c>
      <c r="I601" s="2" t="str">
        <f ca="1">IF(ISNUMBER(A601),
IF(COUNTIFS(Equipar!B:B,3,Equipar!AC:AC,A601),"Equipada",
IF(
  OR(COUNTIFS(Equipar!B:B,3,Equipar!C:C,A601)
 +COUNTIFS(Equipar!B:B,3,Equipar!D:D,A601)
+COUNTIFS(Equipar!B:B,3,Equipar!E:E,A601)
+COUNTIFS(Equipar!B:B,3,Equipar!F:F,A601)
&gt;0,COUNTIF('Set recomendado'!B:B,C601)=0),
"Bloqueada",
"Desechable")),""
)</f>
        <v/>
      </c>
      <c r="J601" t="str" cm="1">
        <f t="array" aca="1" ref="J601" ca="1">IF(ISNUMBER(A601),IFERROR(_xlfn._xlws.FILTER(Equipar!A:A,(Equipar!B:B=3)*(Equipar!AC:AC=A601)),""),"")</f>
        <v/>
      </c>
    </row>
    <row r="602" spans="1:10" x14ac:dyDescent="0.25">
      <c r="A602" s="1" t="str">
        <f ca="1">IF(A601="ID",1,IF(ISBLANK(B602),"",MAX(A$2:A601)+1))</f>
        <v/>
      </c>
      <c r="I602" s="2" t="str">
        <f ca="1">IF(ISNUMBER(A602),
IF(COUNTIFS(Equipar!B:B,3,Equipar!AC:AC,A602),"Equipada",
IF(
  OR(COUNTIFS(Equipar!B:B,3,Equipar!C:C,A602)
 +COUNTIFS(Equipar!B:B,3,Equipar!D:D,A602)
+COUNTIFS(Equipar!B:B,3,Equipar!E:E,A602)
+COUNTIFS(Equipar!B:B,3,Equipar!F:F,A602)
&gt;0,COUNTIF('Set recomendado'!B:B,C602)=0),
"Bloqueada",
"Desechable")),""
)</f>
        <v/>
      </c>
      <c r="J602" t="str" cm="1">
        <f t="array" aca="1" ref="J602" ca="1">IF(ISNUMBER(A602),IFERROR(_xlfn._xlws.FILTER(Equipar!A:A,(Equipar!B:B=3)*(Equipar!AC:AC=A602)),""),"")</f>
        <v/>
      </c>
    </row>
    <row r="603" spans="1:10" x14ac:dyDescent="0.25">
      <c r="A603" s="1" t="str">
        <f ca="1">IF(A602="ID",1,IF(ISBLANK(B603),"",MAX(A$2:A602)+1))</f>
        <v/>
      </c>
      <c r="I603" s="2" t="str">
        <f ca="1">IF(ISNUMBER(A603),
IF(COUNTIFS(Equipar!B:B,3,Equipar!AC:AC,A603),"Equipada",
IF(
  OR(COUNTIFS(Equipar!B:B,3,Equipar!C:C,A603)
 +COUNTIFS(Equipar!B:B,3,Equipar!D:D,A603)
+COUNTIFS(Equipar!B:B,3,Equipar!E:E,A603)
+COUNTIFS(Equipar!B:B,3,Equipar!F:F,A603)
&gt;0,COUNTIF('Set recomendado'!B:B,C603)=0),
"Bloqueada",
"Desechable")),""
)</f>
        <v/>
      </c>
      <c r="J603" t="str" cm="1">
        <f t="array" aca="1" ref="J603" ca="1">IF(ISNUMBER(A603),IFERROR(_xlfn._xlws.FILTER(Equipar!A:A,(Equipar!B:B=3)*(Equipar!AC:AC=A603)),""),"")</f>
        <v/>
      </c>
    </row>
    <row r="604" spans="1:10" x14ac:dyDescent="0.25">
      <c r="A604" s="1" t="str">
        <f ca="1">IF(A603="ID",1,IF(ISBLANK(B604),"",MAX(A$2:A603)+1))</f>
        <v/>
      </c>
      <c r="I604" s="2" t="str">
        <f ca="1">IF(ISNUMBER(A604),
IF(COUNTIFS(Equipar!B:B,3,Equipar!AC:AC,A604),"Equipada",
IF(
  OR(COUNTIFS(Equipar!B:B,3,Equipar!C:C,A604)
 +COUNTIFS(Equipar!B:B,3,Equipar!D:D,A604)
+COUNTIFS(Equipar!B:B,3,Equipar!E:E,A604)
+COUNTIFS(Equipar!B:B,3,Equipar!F:F,A604)
&gt;0,COUNTIF('Set recomendado'!B:B,C604)=0),
"Bloqueada",
"Desechable")),""
)</f>
        <v/>
      </c>
      <c r="J604" t="str" cm="1">
        <f t="array" aca="1" ref="J604" ca="1">IF(ISNUMBER(A604),IFERROR(_xlfn._xlws.FILTER(Equipar!A:A,(Equipar!B:B=3)*(Equipar!AC:AC=A604)),""),"")</f>
        <v/>
      </c>
    </row>
    <row r="605" spans="1:10" x14ac:dyDescent="0.25">
      <c r="A605" s="1" t="str">
        <f ca="1">IF(A604="ID",1,IF(ISBLANK(B605),"",MAX(A$2:A604)+1))</f>
        <v/>
      </c>
      <c r="I605" s="2" t="str">
        <f ca="1">IF(ISNUMBER(A605),
IF(COUNTIFS(Equipar!B:B,3,Equipar!AC:AC,A605),"Equipada",
IF(
  OR(COUNTIFS(Equipar!B:B,3,Equipar!C:C,A605)
 +COUNTIFS(Equipar!B:B,3,Equipar!D:D,A605)
+COUNTIFS(Equipar!B:B,3,Equipar!E:E,A605)
+COUNTIFS(Equipar!B:B,3,Equipar!F:F,A605)
&gt;0,COUNTIF('Set recomendado'!B:B,C605)=0),
"Bloqueada",
"Desechable")),""
)</f>
        <v/>
      </c>
      <c r="J605" t="str" cm="1">
        <f t="array" aca="1" ref="J605" ca="1">IF(ISNUMBER(A605),IFERROR(_xlfn._xlws.FILTER(Equipar!A:A,(Equipar!B:B=3)*(Equipar!AC:AC=A605)),""),"")</f>
        <v/>
      </c>
    </row>
    <row r="606" spans="1:10" x14ac:dyDescent="0.25">
      <c r="A606" s="1" t="str">
        <f ca="1">IF(A605="ID",1,IF(ISBLANK(B606),"",MAX(A$2:A605)+1))</f>
        <v/>
      </c>
      <c r="I606" s="2" t="str">
        <f ca="1">IF(ISNUMBER(A606),
IF(COUNTIFS(Equipar!B:B,3,Equipar!AC:AC,A606),"Equipada",
IF(
  OR(COUNTIFS(Equipar!B:B,3,Equipar!C:C,A606)
 +COUNTIFS(Equipar!B:B,3,Equipar!D:D,A606)
+COUNTIFS(Equipar!B:B,3,Equipar!E:E,A606)
+COUNTIFS(Equipar!B:B,3,Equipar!F:F,A606)
&gt;0,COUNTIF('Set recomendado'!B:B,C606)=0),
"Bloqueada",
"Desechable")),""
)</f>
        <v/>
      </c>
      <c r="J606" t="str" cm="1">
        <f t="array" aca="1" ref="J606" ca="1">IF(ISNUMBER(A606),IFERROR(_xlfn._xlws.FILTER(Equipar!A:A,(Equipar!B:B=3)*(Equipar!AC:AC=A606)),""),"")</f>
        <v/>
      </c>
    </row>
    <row r="607" spans="1:10" x14ac:dyDescent="0.25">
      <c r="A607" s="1" t="str">
        <f ca="1">IF(A606="ID",1,IF(ISBLANK(B607),"",MAX(A$2:A606)+1))</f>
        <v/>
      </c>
      <c r="I607" s="2" t="str">
        <f ca="1">IF(ISNUMBER(A607),
IF(COUNTIFS(Equipar!B:B,3,Equipar!AC:AC,A607),"Equipada",
IF(
  OR(COUNTIFS(Equipar!B:B,3,Equipar!C:C,A607)
 +COUNTIFS(Equipar!B:B,3,Equipar!D:D,A607)
+COUNTIFS(Equipar!B:B,3,Equipar!E:E,A607)
+COUNTIFS(Equipar!B:B,3,Equipar!F:F,A607)
&gt;0,COUNTIF('Set recomendado'!B:B,C607)=0),
"Bloqueada",
"Desechable")),""
)</f>
        <v/>
      </c>
      <c r="J607" t="str" cm="1">
        <f t="array" aca="1" ref="J607" ca="1">IF(ISNUMBER(A607),IFERROR(_xlfn._xlws.FILTER(Equipar!A:A,(Equipar!B:B=3)*(Equipar!AC:AC=A607)),""),"")</f>
        <v/>
      </c>
    </row>
    <row r="608" spans="1:10" x14ac:dyDescent="0.25">
      <c r="A608" s="1" t="str">
        <f ca="1">IF(A607="ID",1,IF(ISBLANK(B608),"",MAX(A$2:A607)+1))</f>
        <v/>
      </c>
      <c r="I608" s="2" t="str">
        <f ca="1">IF(ISNUMBER(A608),
IF(COUNTIFS(Equipar!B:B,3,Equipar!AC:AC,A608),"Equipada",
IF(
  OR(COUNTIFS(Equipar!B:B,3,Equipar!C:C,A608)
 +COUNTIFS(Equipar!B:B,3,Equipar!D:D,A608)
+COUNTIFS(Equipar!B:B,3,Equipar!E:E,A608)
+COUNTIFS(Equipar!B:B,3,Equipar!F:F,A608)
&gt;0,COUNTIF('Set recomendado'!B:B,C608)=0),
"Bloqueada",
"Desechable")),""
)</f>
        <v/>
      </c>
      <c r="J608" t="str" cm="1">
        <f t="array" aca="1" ref="J608" ca="1">IF(ISNUMBER(A608),IFERROR(_xlfn._xlws.FILTER(Equipar!A:A,(Equipar!B:B=3)*(Equipar!AC:AC=A608)),""),"")</f>
        <v/>
      </c>
    </row>
    <row r="609" spans="1:10" x14ac:dyDescent="0.25">
      <c r="A609" s="1" t="str">
        <f ca="1">IF(A608="ID",1,IF(ISBLANK(B609),"",MAX(A$2:A608)+1))</f>
        <v/>
      </c>
      <c r="I609" s="2" t="str">
        <f ca="1">IF(ISNUMBER(A609),
IF(COUNTIFS(Equipar!B:B,3,Equipar!AC:AC,A609),"Equipada",
IF(
  OR(COUNTIFS(Equipar!B:B,3,Equipar!C:C,A609)
 +COUNTIFS(Equipar!B:B,3,Equipar!D:D,A609)
+COUNTIFS(Equipar!B:B,3,Equipar!E:E,A609)
+COUNTIFS(Equipar!B:B,3,Equipar!F:F,A609)
&gt;0,COUNTIF('Set recomendado'!B:B,C609)=0),
"Bloqueada",
"Desechable")),""
)</f>
        <v/>
      </c>
      <c r="J609" t="str" cm="1">
        <f t="array" aca="1" ref="J609" ca="1">IF(ISNUMBER(A609),IFERROR(_xlfn._xlws.FILTER(Equipar!A:A,(Equipar!B:B=3)*(Equipar!AC:AC=A609)),""),"")</f>
        <v/>
      </c>
    </row>
    <row r="610" spans="1:10" x14ac:dyDescent="0.25">
      <c r="A610" s="1" t="str">
        <f ca="1">IF(A609="ID",1,IF(ISBLANK(B610),"",MAX(A$2:A609)+1))</f>
        <v/>
      </c>
      <c r="I610" s="2" t="str">
        <f ca="1">IF(ISNUMBER(A610),
IF(COUNTIFS(Equipar!B:B,3,Equipar!AC:AC,A610),"Equipada",
IF(
  OR(COUNTIFS(Equipar!B:B,3,Equipar!C:C,A610)
 +COUNTIFS(Equipar!B:B,3,Equipar!D:D,A610)
+COUNTIFS(Equipar!B:B,3,Equipar!E:E,A610)
+COUNTIFS(Equipar!B:B,3,Equipar!F:F,A610)
&gt;0,COUNTIF('Set recomendado'!B:B,C610)=0),
"Bloqueada",
"Desechable")),""
)</f>
        <v/>
      </c>
      <c r="J610" t="str" cm="1">
        <f t="array" aca="1" ref="J610" ca="1">IF(ISNUMBER(A610),IFERROR(_xlfn._xlws.FILTER(Equipar!A:A,(Equipar!B:B=3)*(Equipar!AC:AC=A610)),""),"")</f>
        <v/>
      </c>
    </row>
    <row r="611" spans="1:10" x14ac:dyDescent="0.25">
      <c r="A611" s="1" t="str">
        <f ca="1">IF(A610="ID",1,IF(ISBLANK(B611),"",MAX(A$2:A610)+1))</f>
        <v/>
      </c>
      <c r="I611" s="2" t="str">
        <f ca="1">IF(ISNUMBER(A611),
IF(COUNTIFS(Equipar!B:B,3,Equipar!AC:AC,A611),"Equipada",
IF(
  OR(COUNTIFS(Equipar!B:B,3,Equipar!C:C,A611)
 +COUNTIFS(Equipar!B:B,3,Equipar!D:D,A611)
+COUNTIFS(Equipar!B:B,3,Equipar!E:E,A611)
+COUNTIFS(Equipar!B:B,3,Equipar!F:F,A611)
&gt;0,COUNTIF('Set recomendado'!B:B,C611)=0),
"Bloqueada",
"Desechable")),""
)</f>
        <v/>
      </c>
      <c r="J611" t="str" cm="1">
        <f t="array" aca="1" ref="J611" ca="1">IF(ISNUMBER(A611),IFERROR(_xlfn._xlws.FILTER(Equipar!A:A,(Equipar!B:B=3)*(Equipar!AC:AC=A611)),""),"")</f>
        <v/>
      </c>
    </row>
    <row r="612" spans="1:10" x14ac:dyDescent="0.25">
      <c r="A612" s="1" t="str">
        <f ca="1">IF(A611="ID",1,IF(ISBLANK(B612),"",MAX(A$2:A611)+1))</f>
        <v/>
      </c>
      <c r="I612" s="2" t="str">
        <f ca="1">IF(ISNUMBER(A612),
IF(COUNTIFS(Equipar!B:B,3,Equipar!AC:AC,A612),"Equipada",
IF(
  OR(COUNTIFS(Equipar!B:B,3,Equipar!C:C,A612)
 +COUNTIFS(Equipar!B:B,3,Equipar!D:D,A612)
+COUNTIFS(Equipar!B:B,3,Equipar!E:E,A612)
+COUNTIFS(Equipar!B:B,3,Equipar!F:F,A612)
&gt;0,COUNTIF('Set recomendado'!B:B,C612)=0),
"Bloqueada",
"Desechable")),""
)</f>
        <v/>
      </c>
      <c r="J612" t="str" cm="1">
        <f t="array" aca="1" ref="J612" ca="1">IF(ISNUMBER(A612),IFERROR(_xlfn._xlws.FILTER(Equipar!A:A,(Equipar!B:B=3)*(Equipar!AC:AC=A612)),""),"")</f>
        <v/>
      </c>
    </row>
    <row r="613" spans="1:10" x14ac:dyDescent="0.25">
      <c r="A613" s="1" t="str">
        <f ca="1">IF(A612="ID",1,IF(ISBLANK(B613),"",MAX(A$2:A612)+1))</f>
        <v/>
      </c>
      <c r="I613" s="2" t="str">
        <f ca="1">IF(ISNUMBER(A613),
IF(COUNTIFS(Equipar!B:B,3,Equipar!AC:AC,A613),"Equipada",
IF(
  OR(COUNTIFS(Equipar!B:B,3,Equipar!C:C,A613)
 +COUNTIFS(Equipar!B:B,3,Equipar!D:D,A613)
+COUNTIFS(Equipar!B:B,3,Equipar!E:E,A613)
+COUNTIFS(Equipar!B:B,3,Equipar!F:F,A613)
&gt;0,COUNTIF('Set recomendado'!B:B,C613)=0),
"Bloqueada",
"Desechable")),""
)</f>
        <v/>
      </c>
      <c r="J613" t="str" cm="1">
        <f t="array" aca="1" ref="J613" ca="1">IF(ISNUMBER(A613),IFERROR(_xlfn._xlws.FILTER(Equipar!A:A,(Equipar!B:B=3)*(Equipar!AC:AC=A613)),""),"")</f>
        <v/>
      </c>
    </row>
    <row r="614" spans="1:10" x14ac:dyDescent="0.25">
      <c r="A614" s="1" t="str">
        <f ca="1">IF(A613="ID",1,IF(ISBLANK(B614),"",MAX(A$2:A613)+1))</f>
        <v/>
      </c>
      <c r="I614" s="2" t="str">
        <f ca="1">IF(ISNUMBER(A614),
IF(COUNTIFS(Equipar!B:B,3,Equipar!AC:AC,A614),"Equipada",
IF(
  OR(COUNTIFS(Equipar!B:B,3,Equipar!C:C,A614)
 +COUNTIFS(Equipar!B:B,3,Equipar!D:D,A614)
+COUNTIFS(Equipar!B:B,3,Equipar!E:E,A614)
+COUNTIFS(Equipar!B:B,3,Equipar!F:F,A614)
&gt;0,COUNTIF('Set recomendado'!B:B,C614)=0),
"Bloqueada",
"Desechable")),""
)</f>
        <v/>
      </c>
      <c r="J614" t="str" cm="1">
        <f t="array" aca="1" ref="J614" ca="1">IF(ISNUMBER(A614),IFERROR(_xlfn._xlws.FILTER(Equipar!A:A,(Equipar!B:B=3)*(Equipar!AC:AC=A614)),""),"")</f>
        <v/>
      </c>
    </row>
    <row r="615" spans="1:10" x14ac:dyDescent="0.25">
      <c r="A615" s="1" t="str">
        <f ca="1">IF(A614="ID",1,IF(ISBLANK(B615),"",MAX(A$2:A614)+1))</f>
        <v/>
      </c>
      <c r="I615" s="2" t="str">
        <f ca="1">IF(ISNUMBER(A615),
IF(COUNTIFS(Equipar!B:B,3,Equipar!AC:AC,A615),"Equipada",
IF(
  OR(COUNTIFS(Equipar!B:B,3,Equipar!C:C,A615)
 +COUNTIFS(Equipar!B:B,3,Equipar!D:D,A615)
+COUNTIFS(Equipar!B:B,3,Equipar!E:E,A615)
+COUNTIFS(Equipar!B:B,3,Equipar!F:F,A615)
&gt;0,COUNTIF('Set recomendado'!B:B,C615)=0),
"Bloqueada",
"Desechable")),""
)</f>
        <v/>
      </c>
      <c r="J615" t="str" cm="1">
        <f t="array" aca="1" ref="J615" ca="1">IF(ISNUMBER(A615),IFERROR(_xlfn._xlws.FILTER(Equipar!A:A,(Equipar!B:B=3)*(Equipar!AC:AC=A615)),""),"")</f>
        <v/>
      </c>
    </row>
    <row r="616" spans="1:10" x14ac:dyDescent="0.25">
      <c r="A616" s="1" t="str">
        <f ca="1">IF(A615="ID",1,IF(ISBLANK(B616),"",MAX(A$2:A615)+1))</f>
        <v/>
      </c>
      <c r="I616" s="2" t="str">
        <f ca="1">IF(ISNUMBER(A616),
IF(COUNTIFS(Equipar!B:B,3,Equipar!AC:AC,A616),"Equipada",
IF(
  OR(COUNTIFS(Equipar!B:B,3,Equipar!C:C,A616)
 +COUNTIFS(Equipar!B:B,3,Equipar!D:D,A616)
+COUNTIFS(Equipar!B:B,3,Equipar!E:E,A616)
+COUNTIFS(Equipar!B:B,3,Equipar!F:F,A616)
&gt;0,COUNTIF('Set recomendado'!B:B,C616)=0),
"Bloqueada",
"Desechable")),""
)</f>
        <v/>
      </c>
      <c r="J616" t="str" cm="1">
        <f t="array" aca="1" ref="J616" ca="1">IF(ISNUMBER(A616),IFERROR(_xlfn._xlws.FILTER(Equipar!A:A,(Equipar!B:B=3)*(Equipar!AC:AC=A616)),""),"")</f>
        <v/>
      </c>
    </row>
    <row r="617" spans="1:10" x14ac:dyDescent="0.25">
      <c r="A617" s="1" t="str">
        <f ca="1">IF(A616="ID",1,IF(ISBLANK(B617),"",MAX(A$2:A616)+1))</f>
        <v/>
      </c>
      <c r="I617" s="2" t="str">
        <f ca="1">IF(ISNUMBER(A617),
IF(COUNTIFS(Equipar!B:B,3,Equipar!AC:AC,A617),"Equipada",
IF(
  OR(COUNTIFS(Equipar!B:B,3,Equipar!C:C,A617)
 +COUNTIFS(Equipar!B:B,3,Equipar!D:D,A617)
+COUNTIFS(Equipar!B:B,3,Equipar!E:E,A617)
+COUNTIFS(Equipar!B:B,3,Equipar!F:F,A617)
&gt;0,COUNTIF('Set recomendado'!B:B,C617)=0),
"Bloqueada",
"Desechable")),""
)</f>
        <v/>
      </c>
      <c r="J617" t="str" cm="1">
        <f t="array" aca="1" ref="J617" ca="1">IF(ISNUMBER(A617),IFERROR(_xlfn._xlws.FILTER(Equipar!A:A,(Equipar!B:B=3)*(Equipar!AC:AC=A617)),""),"")</f>
        <v/>
      </c>
    </row>
    <row r="618" spans="1:10" x14ac:dyDescent="0.25">
      <c r="A618" s="1" t="str">
        <f ca="1">IF(A617="ID",1,IF(ISBLANK(B618),"",MAX(A$2:A617)+1))</f>
        <v/>
      </c>
      <c r="I618" s="2" t="str">
        <f ca="1">IF(ISNUMBER(A618),
IF(COUNTIFS(Equipar!B:B,3,Equipar!AC:AC,A618),"Equipada",
IF(
  OR(COUNTIFS(Equipar!B:B,3,Equipar!C:C,A618)
 +COUNTIFS(Equipar!B:B,3,Equipar!D:D,A618)
+COUNTIFS(Equipar!B:B,3,Equipar!E:E,A618)
+COUNTIFS(Equipar!B:B,3,Equipar!F:F,A618)
&gt;0,COUNTIF('Set recomendado'!B:B,C618)=0),
"Bloqueada",
"Desechable")),""
)</f>
        <v/>
      </c>
      <c r="J618" t="str" cm="1">
        <f t="array" aca="1" ref="J618" ca="1">IF(ISNUMBER(A618),IFERROR(_xlfn._xlws.FILTER(Equipar!A:A,(Equipar!B:B=3)*(Equipar!AC:AC=A618)),""),"")</f>
        <v/>
      </c>
    </row>
    <row r="619" spans="1:10" x14ac:dyDescent="0.25">
      <c r="A619" s="1" t="str">
        <f ca="1">IF(A618="ID",1,IF(ISBLANK(B619),"",MAX(A$2:A618)+1))</f>
        <v/>
      </c>
      <c r="I619" s="2" t="str">
        <f ca="1">IF(ISNUMBER(A619),
IF(COUNTIFS(Equipar!B:B,3,Equipar!AC:AC,A619),"Equipada",
IF(
  OR(COUNTIFS(Equipar!B:B,3,Equipar!C:C,A619)
 +COUNTIFS(Equipar!B:B,3,Equipar!D:D,A619)
+COUNTIFS(Equipar!B:B,3,Equipar!E:E,A619)
+COUNTIFS(Equipar!B:B,3,Equipar!F:F,A619)
&gt;0,COUNTIF('Set recomendado'!B:B,C619)=0),
"Bloqueada",
"Desechable")),""
)</f>
        <v/>
      </c>
      <c r="J619" t="str" cm="1">
        <f t="array" aca="1" ref="J619" ca="1">IF(ISNUMBER(A619),IFERROR(_xlfn._xlws.FILTER(Equipar!A:A,(Equipar!B:B=3)*(Equipar!AC:AC=A619)),""),"")</f>
        <v/>
      </c>
    </row>
    <row r="620" spans="1:10" x14ac:dyDescent="0.25">
      <c r="A620" s="1" t="str">
        <f ca="1">IF(A619="ID",1,IF(ISBLANK(B620),"",MAX(A$2:A619)+1))</f>
        <v/>
      </c>
      <c r="I620" s="2" t="str">
        <f ca="1">IF(ISNUMBER(A620),
IF(COUNTIFS(Equipar!B:B,3,Equipar!AC:AC,A620),"Equipada",
IF(
  OR(COUNTIFS(Equipar!B:B,3,Equipar!C:C,A620)
 +COUNTIFS(Equipar!B:B,3,Equipar!D:D,A620)
+COUNTIFS(Equipar!B:B,3,Equipar!E:E,A620)
+COUNTIFS(Equipar!B:B,3,Equipar!F:F,A620)
&gt;0,COUNTIF('Set recomendado'!B:B,C620)=0),
"Bloqueada",
"Desechable")),""
)</f>
        <v/>
      </c>
      <c r="J620" t="str" cm="1">
        <f t="array" aca="1" ref="J620" ca="1">IF(ISNUMBER(A620),IFERROR(_xlfn._xlws.FILTER(Equipar!A:A,(Equipar!B:B=3)*(Equipar!AC:AC=A620)),""),"")</f>
        <v/>
      </c>
    </row>
    <row r="621" spans="1:10" x14ac:dyDescent="0.25">
      <c r="A621" s="1" t="str">
        <f ca="1">IF(A620="ID",1,IF(ISBLANK(B621),"",MAX(A$2:A620)+1))</f>
        <v/>
      </c>
      <c r="I621" s="2" t="str">
        <f ca="1">IF(ISNUMBER(A621),
IF(COUNTIFS(Equipar!B:B,3,Equipar!AC:AC,A621),"Equipada",
IF(
  OR(COUNTIFS(Equipar!B:B,3,Equipar!C:C,A621)
 +COUNTIFS(Equipar!B:B,3,Equipar!D:D,A621)
+COUNTIFS(Equipar!B:B,3,Equipar!E:E,A621)
+COUNTIFS(Equipar!B:B,3,Equipar!F:F,A621)
&gt;0,COUNTIF('Set recomendado'!B:B,C621)=0),
"Bloqueada",
"Desechable")),""
)</f>
        <v/>
      </c>
      <c r="J621" t="str" cm="1">
        <f t="array" aca="1" ref="J621" ca="1">IF(ISNUMBER(A621),IFERROR(_xlfn._xlws.FILTER(Equipar!A:A,(Equipar!B:B=3)*(Equipar!AC:AC=A621)),""),"")</f>
        <v/>
      </c>
    </row>
    <row r="622" spans="1:10" x14ac:dyDescent="0.25">
      <c r="A622" s="1" t="str">
        <f ca="1">IF(A621="ID",1,IF(ISBLANK(B622),"",MAX(A$2:A621)+1))</f>
        <v/>
      </c>
      <c r="I622" s="2" t="str">
        <f ca="1">IF(ISNUMBER(A622),
IF(COUNTIFS(Equipar!B:B,3,Equipar!AC:AC,A622),"Equipada",
IF(
  OR(COUNTIFS(Equipar!B:B,3,Equipar!C:C,A622)
 +COUNTIFS(Equipar!B:B,3,Equipar!D:D,A622)
+COUNTIFS(Equipar!B:B,3,Equipar!E:E,A622)
+COUNTIFS(Equipar!B:B,3,Equipar!F:F,A622)
&gt;0,COUNTIF('Set recomendado'!B:B,C622)=0),
"Bloqueada",
"Desechable")),""
)</f>
        <v/>
      </c>
      <c r="J622" t="str" cm="1">
        <f t="array" aca="1" ref="J622" ca="1">IF(ISNUMBER(A622),IFERROR(_xlfn._xlws.FILTER(Equipar!A:A,(Equipar!B:B=3)*(Equipar!AC:AC=A622)),""),"")</f>
        <v/>
      </c>
    </row>
    <row r="623" spans="1:10" x14ac:dyDescent="0.25">
      <c r="A623" s="1" t="str">
        <f ca="1">IF(A622="ID",1,IF(ISBLANK(B623),"",MAX(A$2:A622)+1))</f>
        <v/>
      </c>
      <c r="I623" s="2" t="str">
        <f ca="1">IF(ISNUMBER(A623),
IF(COUNTIFS(Equipar!B:B,3,Equipar!AC:AC,A623),"Equipada",
IF(
  OR(COUNTIFS(Equipar!B:B,3,Equipar!C:C,A623)
 +COUNTIFS(Equipar!B:B,3,Equipar!D:D,A623)
+COUNTIFS(Equipar!B:B,3,Equipar!E:E,A623)
+COUNTIFS(Equipar!B:B,3,Equipar!F:F,A623)
&gt;0,COUNTIF('Set recomendado'!B:B,C623)=0),
"Bloqueada",
"Desechable")),""
)</f>
        <v/>
      </c>
      <c r="J623" t="str" cm="1">
        <f t="array" aca="1" ref="J623" ca="1">IF(ISNUMBER(A623),IFERROR(_xlfn._xlws.FILTER(Equipar!A:A,(Equipar!B:B=3)*(Equipar!AC:AC=A623)),""),"")</f>
        <v/>
      </c>
    </row>
    <row r="624" spans="1:10" x14ac:dyDescent="0.25">
      <c r="A624" s="1" t="str">
        <f ca="1">IF(A623="ID",1,IF(ISBLANK(B624),"",MAX(A$2:A623)+1))</f>
        <v/>
      </c>
      <c r="I624" s="2" t="str">
        <f ca="1">IF(ISNUMBER(A624),
IF(COUNTIFS(Equipar!B:B,3,Equipar!AC:AC,A624),"Equipada",
IF(
  OR(COUNTIFS(Equipar!B:B,3,Equipar!C:C,A624)
 +COUNTIFS(Equipar!B:B,3,Equipar!D:D,A624)
+COUNTIFS(Equipar!B:B,3,Equipar!E:E,A624)
+COUNTIFS(Equipar!B:B,3,Equipar!F:F,A624)
&gt;0,COUNTIF('Set recomendado'!B:B,C624)=0),
"Bloqueada",
"Desechable")),""
)</f>
        <v/>
      </c>
      <c r="J624" t="str" cm="1">
        <f t="array" aca="1" ref="J624" ca="1">IF(ISNUMBER(A624),IFERROR(_xlfn._xlws.FILTER(Equipar!A:A,(Equipar!B:B=3)*(Equipar!AC:AC=A624)),""),"")</f>
        <v/>
      </c>
    </row>
    <row r="625" spans="1:10" x14ac:dyDescent="0.25">
      <c r="A625" s="1" t="str">
        <f ca="1">IF(A624="ID",1,IF(ISBLANK(B625),"",MAX(A$2:A624)+1))</f>
        <v/>
      </c>
      <c r="I625" s="2" t="str">
        <f ca="1">IF(ISNUMBER(A625),
IF(COUNTIFS(Equipar!B:B,3,Equipar!AC:AC,A625),"Equipada",
IF(
  OR(COUNTIFS(Equipar!B:B,3,Equipar!C:C,A625)
 +COUNTIFS(Equipar!B:B,3,Equipar!D:D,A625)
+COUNTIFS(Equipar!B:B,3,Equipar!E:E,A625)
+COUNTIFS(Equipar!B:B,3,Equipar!F:F,A625)
&gt;0,COUNTIF('Set recomendado'!B:B,C625)=0),
"Bloqueada",
"Desechable")),""
)</f>
        <v/>
      </c>
      <c r="J625" t="str" cm="1">
        <f t="array" aca="1" ref="J625" ca="1">IF(ISNUMBER(A625),IFERROR(_xlfn._xlws.FILTER(Equipar!A:A,(Equipar!B:B=3)*(Equipar!AC:AC=A625)),""),"")</f>
        <v/>
      </c>
    </row>
    <row r="626" spans="1:10" x14ac:dyDescent="0.25">
      <c r="A626" s="1" t="str">
        <f ca="1">IF(A625="ID",1,IF(ISBLANK(B626),"",MAX(A$2:A625)+1))</f>
        <v/>
      </c>
      <c r="I626" s="2" t="str">
        <f ca="1">IF(ISNUMBER(A626),
IF(COUNTIFS(Equipar!B:B,3,Equipar!AC:AC,A626),"Equipada",
IF(
  OR(COUNTIFS(Equipar!B:B,3,Equipar!C:C,A626)
 +COUNTIFS(Equipar!B:B,3,Equipar!D:D,A626)
+COUNTIFS(Equipar!B:B,3,Equipar!E:E,A626)
+COUNTIFS(Equipar!B:B,3,Equipar!F:F,A626)
&gt;0,COUNTIF('Set recomendado'!B:B,C626)=0),
"Bloqueada",
"Desechable")),""
)</f>
        <v/>
      </c>
      <c r="J626" t="str" cm="1">
        <f t="array" aca="1" ref="J626" ca="1">IF(ISNUMBER(A626),IFERROR(_xlfn._xlws.FILTER(Equipar!A:A,(Equipar!B:B=3)*(Equipar!AC:AC=A626)),""),"")</f>
        <v/>
      </c>
    </row>
    <row r="627" spans="1:10" x14ac:dyDescent="0.25">
      <c r="A627" s="1" t="str">
        <f ca="1">IF(A626="ID",1,IF(ISBLANK(B627),"",MAX(A$2:A626)+1))</f>
        <v/>
      </c>
      <c r="I627" s="2" t="str">
        <f ca="1">IF(ISNUMBER(A627),
IF(COUNTIFS(Equipar!B:B,3,Equipar!AC:AC,A627),"Equipada",
IF(
  OR(COUNTIFS(Equipar!B:B,3,Equipar!C:C,A627)
 +COUNTIFS(Equipar!B:B,3,Equipar!D:D,A627)
+COUNTIFS(Equipar!B:B,3,Equipar!E:E,A627)
+COUNTIFS(Equipar!B:B,3,Equipar!F:F,A627)
&gt;0,COUNTIF('Set recomendado'!B:B,C627)=0),
"Bloqueada",
"Desechable")),""
)</f>
        <v/>
      </c>
      <c r="J627" t="str" cm="1">
        <f t="array" aca="1" ref="J627" ca="1">IF(ISNUMBER(A627),IFERROR(_xlfn._xlws.FILTER(Equipar!A:A,(Equipar!B:B=3)*(Equipar!AC:AC=A627)),""),"")</f>
        <v/>
      </c>
    </row>
    <row r="628" spans="1:10" x14ac:dyDescent="0.25">
      <c r="A628" s="1" t="str">
        <f ca="1">IF(A627="ID",1,IF(ISBLANK(B628),"",MAX(A$2:A627)+1))</f>
        <v/>
      </c>
      <c r="I628" s="2" t="str">
        <f ca="1">IF(ISNUMBER(A628),
IF(COUNTIFS(Equipar!B:B,3,Equipar!AC:AC,A628),"Equipada",
IF(
  OR(COUNTIFS(Equipar!B:B,3,Equipar!C:C,A628)
 +COUNTIFS(Equipar!B:B,3,Equipar!D:D,A628)
+COUNTIFS(Equipar!B:B,3,Equipar!E:E,A628)
+COUNTIFS(Equipar!B:B,3,Equipar!F:F,A628)
&gt;0,COUNTIF('Set recomendado'!B:B,C628)=0),
"Bloqueada",
"Desechable")),""
)</f>
        <v/>
      </c>
      <c r="J628" t="str" cm="1">
        <f t="array" aca="1" ref="J628" ca="1">IF(ISNUMBER(A628),IFERROR(_xlfn._xlws.FILTER(Equipar!A:A,(Equipar!B:B=3)*(Equipar!AC:AC=A628)),""),"")</f>
        <v/>
      </c>
    </row>
    <row r="629" spans="1:10" x14ac:dyDescent="0.25">
      <c r="A629" s="1" t="str">
        <f ca="1">IF(A628="ID",1,IF(ISBLANK(B629),"",MAX(A$2:A628)+1))</f>
        <v/>
      </c>
      <c r="I629" s="2" t="str">
        <f ca="1">IF(ISNUMBER(A629),
IF(COUNTIFS(Equipar!B:B,3,Equipar!AC:AC,A629),"Equipada",
IF(
  OR(COUNTIFS(Equipar!B:B,3,Equipar!C:C,A629)
 +COUNTIFS(Equipar!B:B,3,Equipar!D:D,A629)
+COUNTIFS(Equipar!B:B,3,Equipar!E:E,A629)
+COUNTIFS(Equipar!B:B,3,Equipar!F:F,A629)
&gt;0,COUNTIF('Set recomendado'!B:B,C629)=0),
"Bloqueada",
"Desechable")),""
)</f>
        <v/>
      </c>
      <c r="J629" t="str" cm="1">
        <f t="array" aca="1" ref="J629" ca="1">IF(ISNUMBER(A629),IFERROR(_xlfn._xlws.FILTER(Equipar!A:A,(Equipar!B:B=3)*(Equipar!AC:AC=A629)),""),"")</f>
        <v/>
      </c>
    </row>
    <row r="630" spans="1:10" x14ac:dyDescent="0.25">
      <c r="A630" s="1" t="str">
        <f ca="1">IF(A629="ID",1,IF(ISBLANK(B630),"",MAX(A$2:A629)+1))</f>
        <v/>
      </c>
      <c r="I630" s="2" t="str">
        <f ca="1">IF(ISNUMBER(A630),
IF(COUNTIFS(Equipar!B:B,3,Equipar!AC:AC,A630),"Equipada",
IF(
  OR(COUNTIFS(Equipar!B:B,3,Equipar!C:C,A630)
 +COUNTIFS(Equipar!B:B,3,Equipar!D:D,A630)
+COUNTIFS(Equipar!B:B,3,Equipar!E:E,A630)
+COUNTIFS(Equipar!B:B,3,Equipar!F:F,A630)
&gt;0,COUNTIF('Set recomendado'!B:B,C630)=0),
"Bloqueada",
"Desechable")),""
)</f>
        <v/>
      </c>
      <c r="J630" t="str" cm="1">
        <f t="array" aca="1" ref="J630" ca="1">IF(ISNUMBER(A630),IFERROR(_xlfn._xlws.FILTER(Equipar!A:A,(Equipar!B:B=3)*(Equipar!AC:AC=A630)),""),"")</f>
        <v/>
      </c>
    </row>
    <row r="631" spans="1:10" x14ac:dyDescent="0.25">
      <c r="A631" s="1" t="str">
        <f ca="1">IF(A630="ID",1,IF(ISBLANK(B631),"",MAX(A$2:A630)+1))</f>
        <v/>
      </c>
      <c r="I631" s="2" t="str">
        <f ca="1">IF(ISNUMBER(A631),
IF(COUNTIFS(Equipar!B:B,3,Equipar!AC:AC,A631),"Equipada",
IF(
  OR(COUNTIFS(Equipar!B:B,3,Equipar!C:C,A631)
 +COUNTIFS(Equipar!B:B,3,Equipar!D:D,A631)
+COUNTIFS(Equipar!B:B,3,Equipar!E:E,A631)
+COUNTIFS(Equipar!B:B,3,Equipar!F:F,A631)
&gt;0,COUNTIF('Set recomendado'!B:B,C631)=0),
"Bloqueada",
"Desechable")),""
)</f>
        <v/>
      </c>
      <c r="J631" t="str" cm="1">
        <f t="array" aca="1" ref="J631" ca="1">IF(ISNUMBER(A631),IFERROR(_xlfn._xlws.FILTER(Equipar!A:A,(Equipar!B:B=3)*(Equipar!AC:AC=A631)),""),"")</f>
        <v/>
      </c>
    </row>
    <row r="632" spans="1:10" x14ac:dyDescent="0.25">
      <c r="A632" s="1" t="str">
        <f ca="1">IF(A631="ID",1,IF(ISBLANK(B632),"",MAX(A$2:A631)+1))</f>
        <v/>
      </c>
      <c r="I632" s="2" t="str">
        <f ca="1">IF(ISNUMBER(A632),
IF(COUNTIFS(Equipar!B:B,3,Equipar!AC:AC,A632),"Equipada",
IF(
  OR(COUNTIFS(Equipar!B:B,3,Equipar!C:C,A632)
 +COUNTIFS(Equipar!B:B,3,Equipar!D:D,A632)
+COUNTIFS(Equipar!B:B,3,Equipar!E:E,A632)
+COUNTIFS(Equipar!B:B,3,Equipar!F:F,A632)
&gt;0,COUNTIF('Set recomendado'!B:B,C632)=0),
"Bloqueada",
"Desechable")),""
)</f>
        <v/>
      </c>
      <c r="J632" t="str" cm="1">
        <f t="array" aca="1" ref="J632" ca="1">IF(ISNUMBER(A632),IFERROR(_xlfn._xlws.FILTER(Equipar!A:A,(Equipar!B:B=3)*(Equipar!AC:AC=A632)),""),"")</f>
        <v/>
      </c>
    </row>
    <row r="633" spans="1:10" x14ac:dyDescent="0.25">
      <c r="A633" s="1" t="str">
        <f ca="1">IF(A632="ID",1,IF(ISBLANK(B633),"",MAX(A$2:A632)+1))</f>
        <v/>
      </c>
      <c r="I633" s="2" t="str">
        <f ca="1">IF(ISNUMBER(A633),
IF(COUNTIFS(Equipar!B:B,3,Equipar!AC:AC,A633),"Equipada",
IF(
  OR(COUNTIFS(Equipar!B:B,3,Equipar!C:C,A633)
 +COUNTIFS(Equipar!B:B,3,Equipar!D:D,A633)
+COUNTIFS(Equipar!B:B,3,Equipar!E:E,A633)
+COUNTIFS(Equipar!B:B,3,Equipar!F:F,A633)
&gt;0,COUNTIF('Set recomendado'!B:B,C633)=0),
"Bloqueada",
"Desechable")),""
)</f>
        <v/>
      </c>
      <c r="J633" t="str" cm="1">
        <f t="array" aca="1" ref="J633" ca="1">IF(ISNUMBER(A633),IFERROR(_xlfn._xlws.FILTER(Equipar!A:A,(Equipar!B:B=3)*(Equipar!AC:AC=A633)),""),"")</f>
        <v/>
      </c>
    </row>
    <row r="634" spans="1:10" x14ac:dyDescent="0.25">
      <c r="A634" s="1" t="str">
        <f ca="1">IF(A633="ID",1,IF(ISBLANK(B634),"",MAX(A$2:A633)+1))</f>
        <v/>
      </c>
      <c r="I634" s="2" t="str">
        <f ca="1">IF(ISNUMBER(A634),
IF(COUNTIFS(Equipar!B:B,3,Equipar!AC:AC,A634),"Equipada",
IF(
  OR(COUNTIFS(Equipar!B:B,3,Equipar!C:C,A634)
 +COUNTIFS(Equipar!B:B,3,Equipar!D:D,A634)
+COUNTIFS(Equipar!B:B,3,Equipar!E:E,A634)
+COUNTIFS(Equipar!B:B,3,Equipar!F:F,A634)
&gt;0,COUNTIF('Set recomendado'!B:B,C634)=0),
"Bloqueada",
"Desechable")),""
)</f>
        <v/>
      </c>
      <c r="J634" t="str" cm="1">
        <f t="array" aca="1" ref="J634" ca="1">IF(ISNUMBER(A634),IFERROR(_xlfn._xlws.FILTER(Equipar!A:A,(Equipar!B:B=3)*(Equipar!AC:AC=A634)),""),"")</f>
        <v/>
      </c>
    </row>
    <row r="635" spans="1:10" x14ac:dyDescent="0.25">
      <c r="A635" s="1" t="str">
        <f ca="1">IF(A634="ID",1,IF(ISBLANK(B635),"",MAX(A$2:A634)+1))</f>
        <v/>
      </c>
      <c r="I635" s="2" t="str">
        <f ca="1">IF(ISNUMBER(A635),
IF(COUNTIFS(Equipar!B:B,3,Equipar!AC:AC,A635),"Equipada",
IF(
  OR(COUNTIFS(Equipar!B:B,3,Equipar!C:C,A635)
 +COUNTIFS(Equipar!B:B,3,Equipar!D:D,A635)
+COUNTIFS(Equipar!B:B,3,Equipar!E:E,A635)
+COUNTIFS(Equipar!B:B,3,Equipar!F:F,A635)
&gt;0,COUNTIF('Set recomendado'!B:B,C635)=0),
"Bloqueada",
"Desechable")),""
)</f>
        <v/>
      </c>
      <c r="J635" t="str" cm="1">
        <f t="array" aca="1" ref="J635" ca="1">IF(ISNUMBER(A635),IFERROR(_xlfn._xlws.FILTER(Equipar!A:A,(Equipar!B:B=3)*(Equipar!AC:AC=A635)),""),"")</f>
        <v/>
      </c>
    </row>
    <row r="636" spans="1:10" x14ac:dyDescent="0.25">
      <c r="A636" s="1" t="str">
        <f ca="1">IF(A635="ID",1,IF(ISBLANK(B636),"",MAX(A$2:A635)+1))</f>
        <v/>
      </c>
      <c r="I636" s="2" t="str">
        <f ca="1">IF(ISNUMBER(A636),
IF(COUNTIFS(Equipar!B:B,3,Equipar!AC:AC,A636),"Equipada",
IF(
  OR(COUNTIFS(Equipar!B:B,3,Equipar!C:C,A636)
 +COUNTIFS(Equipar!B:B,3,Equipar!D:D,A636)
+COUNTIFS(Equipar!B:B,3,Equipar!E:E,A636)
+COUNTIFS(Equipar!B:B,3,Equipar!F:F,A636)
&gt;0,COUNTIF('Set recomendado'!B:B,C636)=0),
"Bloqueada",
"Desechable")),""
)</f>
        <v/>
      </c>
      <c r="J636" t="str" cm="1">
        <f t="array" aca="1" ref="J636" ca="1">IF(ISNUMBER(A636),IFERROR(_xlfn._xlws.FILTER(Equipar!A:A,(Equipar!B:B=3)*(Equipar!AC:AC=A636)),""),"")</f>
        <v/>
      </c>
    </row>
    <row r="637" spans="1:10" x14ac:dyDescent="0.25">
      <c r="A637" s="1" t="str">
        <f ca="1">IF(A636="ID",1,IF(ISBLANK(B637),"",MAX(A$2:A636)+1))</f>
        <v/>
      </c>
      <c r="I637" s="2" t="str">
        <f ca="1">IF(ISNUMBER(A637),
IF(COUNTIFS(Equipar!B:B,3,Equipar!AC:AC,A637),"Equipada",
IF(
  OR(COUNTIFS(Equipar!B:B,3,Equipar!C:C,A637)
 +COUNTIFS(Equipar!B:B,3,Equipar!D:D,A637)
+COUNTIFS(Equipar!B:B,3,Equipar!E:E,A637)
+COUNTIFS(Equipar!B:B,3,Equipar!F:F,A637)
&gt;0,COUNTIF('Set recomendado'!B:B,C637)=0),
"Bloqueada",
"Desechable")),""
)</f>
        <v/>
      </c>
      <c r="J637" t="str" cm="1">
        <f t="array" aca="1" ref="J637" ca="1">IF(ISNUMBER(A637),IFERROR(_xlfn._xlws.FILTER(Equipar!A:A,(Equipar!B:B=3)*(Equipar!AC:AC=A637)),""),"")</f>
        <v/>
      </c>
    </row>
    <row r="638" spans="1:10" x14ac:dyDescent="0.25">
      <c r="A638" s="1" t="str">
        <f ca="1">IF(A637="ID",1,IF(ISBLANK(B638),"",MAX(A$2:A637)+1))</f>
        <v/>
      </c>
      <c r="I638" s="2" t="str">
        <f ca="1">IF(ISNUMBER(A638),
IF(COUNTIFS(Equipar!B:B,3,Equipar!AC:AC,A638),"Equipada",
IF(
  OR(COUNTIFS(Equipar!B:B,3,Equipar!C:C,A638)
 +COUNTIFS(Equipar!B:B,3,Equipar!D:D,A638)
+COUNTIFS(Equipar!B:B,3,Equipar!E:E,A638)
+COUNTIFS(Equipar!B:B,3,Equipar!F:F,A638)
&gt;0,COUNTIF('Set recomendado'!B:B,C638)=0),
"Bloqueada",
"Desechable")),""
)</f>
        <v/>
      </c>
      <c r="J638" t="str" cm="1">
        <f t="array" aca="1" ref="J638" ca="1">IF(ISNUMBER(A638),IFERROR(_xlfn._xlws.FILTER(Equipar!A:A,(Equipar!B:B=3)*(Equipar!AC:AC=A638)),""),"")</f>
        <v/>
      </c>
    </row>
    <row r="639" spans="1:10" x14ac:dyDescent="0.25">
      <c r="A639" s="1" t="str">
        <f ca="1">IF(A638="ID",1,IF(ISBLANK(B639),"",MAX(A$2:A638)+1))</f>
        <v/>
      </c>
      <c r="I639" s="2" t="str">
        <f ca="1">IF(ISNUMBER(A639),
IF(COUNTIFS(Equipar!B:B,3,Equipar!AC:AC,A639),"Equipada",
IF(
  OR(COUNTIFS(Equipar!B:B,3,Equipar!C:C,A639)
 +COUNTIFS(Equipar!B:B,3,Equipar!D:D,A639)
+COUNTIFS(Equipar!B:B,3,Equipar!E:E,A639)
+COUNTIFS(Equipar!B:B,3,Equipar!F:F,A639)
&gt;0,COUNTIF('Set recomendado'!B:B,C639)=0),
"Bloqueada",
"Desechable")),""
)</f>
        <v/>
      </c>
      <c r="J639" t="str" cm="1">
        <f t="array" aca="1" ref="J639" ca="1">IF(ISNUMBER(A639),IFERROR(_xlfn._xlws.FILTER(Equipar!A:A,(Equipar!B:B=3)*(Equipar!AC:AC=A639)),""),"")</f>
        <v/>
      </c>
    </row>
    <row r="640" spans="1:10" x14ac:dyDescent="0.25">
      <c r="A640" s="1" t="str">
        <f ca="1">IF(A639="ID",1,IF(ISBLANK(B640),"",MAX(A$2:A639)+1))</f>
        <v/>
      </c>
      <c r="I640" s="2" t="str">
        <f ca="1">IF(ISNUMBER(A640),
IF(COUNTIFS(Equipar!B:B,3,Equipar!AC:AC,A640),"Equipada",
IF(
  OR(COUNTIFS(Equipar!B:B,3,Equipar!C:C,A640)
 +COUNTIFS(Equipar!B:B,3,Equipar!D:D,A640)
+COUNTIFS(Equipar!B:B,3,Equipar!E:E,A640)
+COUNTIFS(Equipar!B:B,3,Equipar!F:F,A640)
&gt;0,COUNTIF('Set recomendado'!B:B,C640)=0),
"Bloqueada",
"Desechable")),""
)</f>
        <v/>
      </c>
      <c r="J640" t="str" cm="1">
        <f t="array" aca="1" ref="J640" ca="1">IF(ISNUMBER(A640),IFERROR(_xlfn._xlws.FILTER(Equipar!A:A,(Equipar!B:B=3)*(Equipar!AC:AC=A640)),""),"")</f>
        <v/>
      </c>
    </row>
    <row r="641" spans="1:10" x14ac:dyDescent="0.25">
      <c r="A641" s="1" t="str">
        <f ca="1">IF(A640="ID",1,IF(ISBLANK(B641),"",MAX(A$2:A640)+1))</f>
        <v/>
      </c>
      <c r="I641" s="2" t="str">
        <f ca="1">IF(ISNUMBER(A641),
IF(COUNTIFS(Equipar!B:B,3,Equipar!AC:AC,A641),"Equipada",
IF(
  OR(COUNTIFS(Equipar!B:B,3,Equipar!C:C,A641)
 +COUNTIFS(Equipar!B:B,3,Equipar!D:D,A641)
+COUNTIFS(Equipar!B:B,3,Equipar!E:E,A641)
+COUNTIFS(Equipar!B:B,3,Equipar!F:F,A641)
&gt;0,COUNTIF('Set recomendado'!B:B,C641)=0),
"Bloqueada",
"Desechable")),""
)</f>
        <v/>
      </c>
      <c r="J641" t="str" cm="1">
        <f t="array" aca="1" ref="J641" ca="1">IF(ISNUMBER(A641),IFERROR(_xlfn._xlws.FILTER(Equipar!A:A,(Equipar!B:B=3)*(Equipar!AC:AC=A641)),""),"")</f>
        <v/>
      </c>
    </row>
    <row r="642" spans="1:10" x14ac:dyDescent="0.25">
      <c r="A642" s="1" t="str">
        <f ca="1">IF(A641="ID",1,IF(ISBLANK(B642),"",MAX(A$2:A641)+1))</f>
        <v/>
      </c>
      <c r="I642" s="2" t="str">
        <f ca="1">IF(ISNUMBER(A642),
IF(COUNTIFS(Equipar!B:B,3,Equipar!AC:AC,A642),"Equipada",
IF(
  OR(COUNTIFS(Equipar!B:B,3,Equipar!C:C,A642)
 +COUNTIFS(Equipar!B:B,3,Equipar!D:D,A642)
+COUNTIFS(Equipar!B:B,3,Equipar!E:E,A642)
+COUNTIFS(Equipar!B:B,3,Equipar!F:F,A642)
&gt;0,COUNTIF('Set recomendado'!B:B,C642)=0),
"Bloqueada",
"Desechable")),""
)</f>
        <v/>
      </c>
      <c r="J642" t="str" cm="1">
        <f t="array" aca="1" ref="J642" ca="1">IF(ISNUMBER(A642),IFERROR(_xlfn._xlws.FILTER(Equipar!A:A,(Equipar!B:B=3)*(Equipar!AC:AC=A642)),""),"")</f>
        <v/>
      </c>
    </row>
    <row r="643" spans="1:10" x14ac:dyDescent="0.25">
      <c r="A643" s="1" t="str">
        <f ca="1">IF(A642="ID",1,IF(ISBLANK(B643),"",MAX(A$2:A642)+1))</f>
        <v/>
      </c>
      <c r="I643" s="2" t="str">
        <f ca="1">IF(ISNUMBER(A643),
IF(COUNTIFS(Equipar!B:B,3,Equipar!AC:AC,A643),"Equipada",
IF(
  OR(COUNTIFS(Equipar!B:B,3,Equipar!C:C,A643)
 +COUNTIFS(Equipar!B:B,3,Equipar!D:D,A643)
+COUNTIFS(Equipar!B:B,3,Equipar!E:E,A643)
+COUNTIFS(Equipar!B:B,3,Equipar!F:F,A643)
&gt;0,COUNTIF('Set recomendado'!B:B,C643)=0),
"Bloqueada",
"Desechable")),""
)</f>
        <v/>
      </c>
      <c r="J643" t="str" cm="1">
        <f t="array" aca="1" ref="J643" ca="1">IF(ISNUMBER(A643),IFERROR(_xlfn._xlws.FILTER(Equipar!A:A,(Equipar!B:B=3)*(Equipar!AC:AC=A643)),""),"")</f>
        <v/>
      </c>
    </row>
    <row r="644" spans="1:10" x14ac:dyDescent="0.25">
      <c r="A644" s="1" t="str">
        <f ca="1">IF(A643="ID",1,IF(ISBLANK(B644),"",MAX(A$2:A643)+1))</f>
        <v/>
      </c>
      <c r="I644" s="2" t="str">
        <f ca="1">IF(ISNUMBER(A644),
IF(COUNTIFS(Equipar!B:B,3,Equipar!AC:AC,A644),"Equipada",
IF(
  OR(COUNTIFS(Equipar!B:B,3,Equipar!C:C,A644)
 +COUNTIFS(Equipar!B:B,3,Equipar!D:D,A644)
+COUNTIFS(Equipar!B:B,3,Equipar!E:E,A644)
+COUNTIFS(Equipar!B:B,3,Equipar!F:F,A644)
&gt;0,COUNTIF('Set recomendado'!B:B,C644)=0),
"Bloqueada",
"Desechable")),""
)</f>
        <v/>
      </c>
      <c r="J644" t="str" cm="1">
        <f t="array" aca="1" ref="J644" ca="1">IF(ISNUMBER(A644),IFERROR(_xlfn._xlws.FILTER(Equipar!A:A,(Equipar!B:B=3)*(Equipar!AC:AC=A644)),""),"")</f>
        <v/>
      </c>
    </row>
    <row r="645" spans="1:10" x14ac:dyDescent="0.25">
      <c r="A645" s="1" t="str">
        <f ca="1">IF(A644="ID",1,IF(ISBLANK(B645),"",MAX(A$2:A644)+1))</f>
        <v/>
      </c>
      <c r="I645" s="2" t="str">
        <f ca="1">IF(ISNUMBER(A645),
IF(COUNTIFS(Equipar!B:B,3,Equipar!AC:AC,A645),"Equipada",
IF(
  OR(COUNTIFS(Equipar!B:B,3,Equipar!C:C,A645)
 +COUNTIFS(Equipar!B:B,3,Equipar!D:D,A645)
+COUNTIFS(Equipar!B:B,3,Equipar!E:E,A645)
+COUNTIFS(Equipar!B:B,3,Equipar!F:F,A645)
&gt;0,COUNTIF('Set recomendado'!B:B,C645)=0),
"Bloqueada",
"Desechable")),""
)</f>
        <v/>
      </c>
      <c r="J645" t="str" cm="1">
        <f t="array" aca="1" ref="J645" ca="1">IF(ISNUMBER(A645),IFERROR(_xlfn._xlws.FILTER(Equipar!A:A,(Equipar!B:B=3)*(Equipar!AC:AC=A645)),""),"")</f>
        <v/>
      </c>
    </row>
    <row r="646" spans="1:10" x14ac:dyDescent="0.25">
      <c r="A646" s="1" t="str">
        <f ca="1">IF(A645="ID",1,IF(ISBLANK(B646),"",MAX(A$2:A645)+1))</f>
        <v/>
      </c>
      <c r="I646" s="2" t="str">
        <f ca="1">IF(ISNUMBER(A646),
IF(COUNTIFS(Equipar!B:B,3,Equipar!AC:AC,A646),"Equipada",
IF(
  OR(COUNTIFS(Equipar!B:B,3,Equipar!C:C,A646)
 +COUNTIFS(Equipar!B:B,3,Equipar!D:D,A646)
+COUNTIFS(Equipar!B:B,3,Equipar!E:E,A646)
+COUNTIFS(Equipar!B:B,3,Equipar!F:F,A646)
&gt;0,COUNTIF('Set recomendado'!B:B,C646)=0),
"Bloqueada",
"Desechable")),""
)</f>
        <v/>
      </c>
      <c r="J646" t="str" cm="1">
        <f t="array" aca="1" ref="J646" ca="1">IF(ISNUMBER(A646),IFERROR(_xlfn._xlws.FILTER(Equipar!A:A,(Equipar!B:B=3)*(Equipar!AC:AC=A646)),""),"")</f>
        <v/>
      </c>
    </row>
    <row r="647" spans="1:10" x14ac:dyDescent="0.25">
      <c r="A647" s="1" t="str">
        <f ca="1">IF(A646="ID",1,IF(ISBLANK(B647),"",MAX(A$2:A646)+1))</f>
        <v/>
      </c>
      <c r="I647" s="2" t="str">
        <f ca="1">IF(ISNUMBER(A647),
IF(COUNTIFS(Equipar!B:B,3,Equipar!AC:AC,A647),"Equipada",
IF(
  OR(COUNTIFS(Equipar!B:B,3,Equipar!C:C,A647)
 +COUNTIFS(Equipar!B:B,3,Equipar!D:D,A647)
+COUNTIFS(Equipar!B:B,3,Equipar!E:E,A647)
+COUNTIFS(Equipar!B:B,3,Equipar!F:F,A647)
&gt;0,COUNTIF('Set recomendado'!B:B,C647)=0),
"Bloqueada",
"Desechable")),""
)</f>
        <v/>
      </c>
      <c r="J647" t="str" cm="1">
        <f t="array" aca="1" ref="J647" ca="1">IF(ISNUMBER(A647),IFERROR(_xlfn._xlws.FILTER(Equipar!A:A,(Equipar!B:B=3)*(Equipar!AC:AC=A647)),""),"")</f>
        <v/>
      </c>
    </row>
    <row r="648" spans="1:10" x14ac:dyDescent="0.25">
      <c r="A648" s="1" t="str">
        <f ca="1">IF(A647="ID",1,IF(ISBLANK(B648),"",MAX(A$2:A647)+1))</f>
        <v/>
      </c>
      <c r="I648" s="2" t="str">
        <f ca="1">IF(ISNUMBER(A648),
IF(COUNTIFS(Equipar!B:B,3,Equipar!AC:AC,A648),"Equipada",
IF(
  OR(COUNTIFS(Equipar!B:B,3,Equipar!C:C,A648)
 +COUNTIFS(Equipar!B:B,3,Equipar!D:D,A648)
+COUNTIFS(Equipar!B:B,3,Equipar!E:E,A648)
+COUNTIFS(Equipar!B:B,3,Equipar!F:F,A648)
&gt;0,COUNTIF('Set recomendado'!B:B,C648)=0),
"Bloqueada",
"Desechable")),""
)</f>
        <v/>
      </c>
      <c r="J648" t="str" cm="1">
        <f t="array" aca="1" ref="J648" ca="1">IF(ISNUMBER(A648),IFERROR(_xlfn._xlws.FILTER(Equipar!A:A,(Equipar!B:B=3)*(Equipar!AC:AC=A648)),""),"")</f>
        <v/>
      </c>
    </row>
    <row r="649" spans="1:10" x14ac:dyDescent="0.25">
      <c r="A649" s="1" t="str">
        <f ca="1">IF(A648="ID",1,IF(ISBLANK(B649),"",MAX(A$2:A648)+1))</f>
        <v/>
      </c>
      <c r="I649" s="2" t="str">
        <f ca="1">IF(ISNUMBER(A649),
IF(COUNTIFS(Equipar!B:B,3,Equipar!AC:AC,A649),"Equipada",
IF(
  OR(COUNTIFS(Equipar!B:B,3,Equipar!C:C,A649)
 +COUNTIFS(Equipar!B:B,3,Equipar!D:D,A649)
+COUNTIFS(Equipar!B:B,3,Equipar!E:E,A649)
+COUNTIFS(Equipar!B:B,3,Equipar!F:F,A649)
&gt;0,COUNTIF('Set recomendado'!B:B,C649)=0),
"Bloqueada",
"Desechable")),""
)</f>
        <v/>
      </c>
      <c r="J649" t="str" cm="1">
        <f t="array" aca="1" ref="J649" ca="1">IF(ISNUMBER(A649),IFERROR(_xlfn._xlws.FILTER(Equipar!A:A,(Equipar!B:B=3)*(Equipar!AC:AC=A649)),""),"")</f>
        <v/>
      </c>
    </row>
    <row r="650" spans="1:10" x14ac:dyDescent="0.25">
      <c r="A650" s="1" t="str">
        <f ca="1">IF(A649="ID",1,IF(ISBLANK(B650),"",MAX(A$2:A649)+1))</f>
        <v/>
      </c>
      <c r="I650" s="2" t="str">
        <f ca="1">IF(ISNUMBER(A650),
IF(COUNTIFS(Equipar!B:B,3,Equipar!AC:AC,A650),"Equipada",
IF(
  OR(COUNTIFS(Equipar!B:B,3,Equipar!C:C,A650)
 +COUNTIFS(Equipar!B:B,3,Equipar!D:D,A650)
+COUNTIFS(Equipar!B:B,3,Equipar!E:E,A650)
+COUNTIFS(Equipar!B:B,3,Equipar!F:F,A650)
&gt;0,COUNTIF('Set recomendado'!B:B,C650)=0),
"Bloqueada",
"Desechable")),""
)</f>
        <v/>
      </c>
      <c r="J650" t="str" cm="1">
        <f t="array" aca="1" ref="J650" ca="1">IF(ISNUMBER(A650),IFERROR(_xlfn._xlws.FILTER(Equipar!A:A,(Equipar!B:B=3)*(Equipar!AC:AC=A650)),""),"")</f>
        <v/>
      </c>
    </row>
    <row r="651" spans="1:10" x14ac:dyDescent="0.25">
      <c r="A651" s="1" t="str">
        <f ca="1">IF(A650="ID",1,IF(ISBLANK(B651),"",MAX(A$2:A650)+1))</f>
        <v/>
      </c>
      <c r="I651" s="2" t="str">
        <f ca="1">IF(ISNUMBER(A651),
IF(COUNTIFS(Equipar!B:B,3,Equipar!AC:AC,A651),"Equipada",
IF(
  OR(COUNTIFS(Equipar!B:B,3,Equipar!C:C,A651)
 +COUNTIFS(Equipar!B:B,3,Equipar!D:D,A651)
+COUNTIFS(Equipar!B:B,3,Equipar!E:E,A651)
+COUNTIFS(Equipar!B:B,3,Equipar!F:F,A651)
&gt;0,COUNTIF('Set recomendado'!B:B,C651)=0),
"Bloqueada",
"Desechable")),""
)</f>
        <v/>
      </c>
      <c r="J651" t="str" cm="1">
        <f t="array" aca="1" ref="J651" ca="1">IF(ISNUMBER(A651),IFERROR(_xlfn._xlws.FILTER(Equipar!A:A,(Equipar!B:B=3)*(Equipar!AC:AC=A651)),""),"")</f>
        <v/>
      </c>
    </row>
    <row r="652" spans="1:10" x14ac:dyDescent="0.25">
      <c r="A652" s="1" t="str">
        <f ca="1">IF(A651="ID",1,IF(ISBLANK(B652),"",MAX(A$2:A651)+1))</f>
        <v/>
      </c>
      <c r="I652" s="2" t="str">
        <f ca="1">IF(ISNUMBER(A652),
IF(COUNTIFS(Equipar!B:B,3,Equipar!AC:AC,A652),"Equipada",
IF(
  OR(COUNTIFS(Equipar!B:B,3,Equipar!C:C,A652)
 +COUNTIFS(Equipar!B:B,3,Equipar!D:D,A652)
+COUNTIFS(Equipar!B:B,3,Equipar!E:E,A652)
+COUNTIFS(Equipar!B:B,3,Equipar!F:F,A652)
&gt;0,COUNTIF('Set recomendado'!B:B,C652)=0),
"Bloqueada",
"Desechable")),""
)</f>
        <v/>
      </c>
      <c r="J652" t="str" cm="1">
        <f t="array" aca="1" ref="J652" ca="1">IF(ISNUMBER(A652),IFERROR(_xlfn._xlws.FILTER(Equipar!A:A,(Equipar!B:B=3)*(Equipar!AC:AC=A652)),""),"")</f>
        <v/>
      </c>
    </row>
    <row r="653" spans="1:10" x14ac:dyDescent="0.25">
      <c r="A653" s="1" t="str">
        <f ca="1">IF(A652="ID",1,IF(ISBLANK(B653),"",MAX(A$2:A652)+1))</f>
        <v/>
      </c>
      <c r="I653" s="2" t="str">
        <f ca="1">IF(ISNUMBER(A653),
IF(COUNTIFS(Equipar!B:B,3,Equipar!AC:AC,A653),"Equipada",
IF(
  OR(COUNTIFS(Equipar!B:B,3,Equipar!C:C,A653)
 +COUNTIFS(Equipar!B:B,3,Equipar!D:D,A653)
+COUNTIFS(Equipar!B:B,3,Equipar!E:E,A653)
+COUNTIFS(Equipar!B:B,3,Equipar!F:F,A653)
&gt;0,COUNTIF('Set recomendado'!B:B,C653)=0),
"Bloqueada",
"Desechable")),""
)</f>
        <v/>
      </c>
      <c r="J653" t="str" cm="1">
        <f t="array" aca="1" ref="J653" ca="1">IF(ISNUMBER(A653),IFERROR(_xlfn._xlws.FILTER(Equipar!A:A,(Equipar!B:B=3)*(Equipar!AC:AC=A653)),""),"")</f>
        <v/>
      </c>
    </row>
    <row r="654" spans="1:10" x14ac:dyDescent="0.25">
      <c r="A654" s="1" t="str">
        <f ca="1">IF(A653="ID",1,IF(ISBLANK(B654),"",MAX(A$2:A653)+1))</f>
        <v/>
      </c>
      <c r="I654" s="2" t="str">
        <f ca="1">IF(ISNUMBER(A654),
IF(COUNTIFS(Equipar!B:B,3,Equipar!AC:AC,A654),"Equipada",
IF(
  OR(COUNTIFS(Equipar!B:B,3,Equipar!C:C,A654)
 +COUNTIFS(Equipar!B:B,3,Equipar!D:D,A654)
+COUNTIFS(Equipar!B:B,3,Equipar!E:E,A654)
+COUNTIFS(Equipar!B:B,3,Equipar!F:F,A654)
&gt;0,COUNTIF('Set recomendado'!B:B,C654)=0),
"Bloqueada",
"Desechable")),""
)</f>
        <v/>
      </c>
      <c r="J654" t="str" cm="1">
        <f t="array" aca="1" ref="J654" ca="1">IF(ISNUMBER(A654),IFERROR(_xlfn._xlws.FILTER(Equipar!A:A,(Equipar!B:B=3)*(Equipar!AC:AC=A654)),""),"")</f>
        <v/>
      </c>
    </row>
    <row r="655" spans="1:10" x14ac:dyDescent="0.25">
      <c r="A655" s="1" t="str">
        <f ca="1">IF(A654="ID",1,IF(ISBLANK(B655),"",MAX(A$2:A654)+1))</f>
        <v/>
      </c>
      <c r="I655" s="2" t="str">
        <f ca="1">IF(ISNUMBER(A655),
IF(COUNTIFS(Equipar!B:B,3,Equipar!AC:AC,A655),"Equipada",
IF(
  OR(COUNTIFS(Equipar!B:B,3,Equipar!C:C,A655)
 +COUNTIFS(Equipar!B:B,3,Equipar!D:D,A655)
+COUNTIFS(Equipar!B:B,3,Equipar!E:E,A655)
+COUNTIFS(Equipar!B:B,3,Equipar!F:F,A655)
&gt;0,COUNTIF('Set recomendado'!B:B,C655)=0),
"Bloqueada",
"Desechable")),""
)</f>
        <v/>
      </c>
      <c r="J655" t="str" cm="1">
        <f t="array" aca="1" ref="J655" ca="1">IF(ISNUMBER(A655),IFERROR(_xlfn._xlws.FILTER(Equipar!A:A,(Equipar!B:B=3)*(Equipar!AC:AC=A655)),""),"")</f>
        <v/>
      </c>
    </row>
    <row r="656" spans="1:10" x14ac:dyDescent="0.25">
      <c r="A656" s="1" t="str">
        <f ca="1">IF(A655="ID",1,IF(ISBLANK(B656),"",MAX(A$2:A655)+1))</f>
        <v/>
      </c>
      <c r="I656" s="2" t="str">
        <f ca="1">IF(ISNUMBER(A656),
IF(COUNTIFS(Equipar!B:B,3,Equipar!AC:AC,A656),"Equipada",
IF(
  OR(COUNTIFS(Equipar!B:B,3,Equipar!C:C,A656)
 +COUNTIFS(Equipar!B:B,3,Equipar!D:D,A656)
+COUNTIFS(Equipar!B:B,3,Equipar!E:E,A656)
+COUNTIFS(Equipar!B:B,3,Equipar!F:F,A656)
&gt;0,COUNTIF('Set recomendado'!B:B,C656)=0),
"Bloqueada",
"Desechable")),""
)</f>
        <v/>
      </c>
      <c r="J656" t="str" cm="1">
        <f t="array" aca="1" ref="J656" ca="1">IF(ISNUMBER(A656),IFERROR(_xlfn._xlws.FILTER(Equipar!A:A,(Equipar!B:B=3)*(Equipar!AC:AC=A656)),""),"")</f>
        <v/>
      </c>
    </row>
    <row r="657" spans="1:10" x14ac:dyDescent="0.25">
      <c r="A657" s="1" t="str">
        <f ca="1">IF(A656="ID",1,IF(ISBLANK(B657),"",MAX(A$2:A656)+1))</f>
        <v/>
      </c>
      <c r="I657" s="2" t="str">
        <f ca="1">IF(ISNUMBER(A657),
IF(COUNTIFS(Equipar!B:B,3,Equipar!AC:AC,A657),"Equipada",
IF(
  OR(COUNTIFS(Equipar!B:B,3,Equipar!C:C,A657)
 +COUNTIFS(Equipar!B:B,3,Equipar!D:D,A657)
+COUNTIFS(Equipar!B:B,3,Equipar!E:E,A657)
+COUNTIFS(Equipar!B:B,3,Equipar!F:F,A657)
&gt;0,COUNTIF('Set recomendado'!B:B,C657)=0),
"Bloqueada",
"Desechable")),""
)</f>
        <v/>
      </c>
      <c r="J657" t="str" cm="1">
        <f t="array" aca="1" ref="J657" ca="1">IF(ISNUMBER(A657),IFERROR(_xlfn._xlws.FILTER(Equipar!A:A,(Equipar!B:B=3)*(Equipar!AC:AC=A657)),""),"")</f>
        <v/>
      </c>
    </row>
    <row r="658" spans="1:10" x14ac:dyDescent="0.25">
      <c r="A658" s="1" t="str">
        <f ca="1">IF(A657="ID",1,IF(ISBLANK(B658),"",MAX(A$2:A657)+1))</f>
        <v/>
      </c>
      <c r="I658" s="2" t="str">
        <f ca="1">IF(ISNUMBER(A658),
IF(COUNTIFS(Equipar!B:B,3,Equipar!AC:AC,A658),"Equipada",
IF(
  OR(COUNTIFS(Equipar!B:B,3,Equipar!C:C,A658)
 +COUNTIFS(Equipar!B:B,3,Equipar!D:D,A658)
+COUNTIFS(Equipar!B:B,3,Equipar!E:E,A658)
+COUNTIFS(Equipar!B:B,3,Equipar!F:F,A658)
&gt;0,COUNTIF('Set recomendado'!B:B,C658)=0),
"Bloqueada",
"Desechable")),""
)</f>
        <v/>
      </c>
      <c r="J658" t="str" cm="1">
        <f t="array" aca="1" ref="J658" ca="1">IF(ISNUMBER(A658),IFERROR(_xlfn._xlws.FILTER(Equipar!A:A,(Equipar!B:B=3)*(Equipar!AC:AC=A658)),""),"")</f>
        <v/>
      </c>
    </row>
    <row r="659" spans="1:10" x14ac:dyDescent="0.25">
      <c r="A659" s="1" t="str">
        <f ca="1">IF(A658="ID",1,IF(ISBLANK(B659),"",MAX(A$2:A658)+1))</f>
        <v/>
      </c>
      <c r="I659" s="2" t="str">
        <f ca="1">IF(ISNUMBER(A659),
IF(COUNTIFS(Equipar!B:B,3,Equipar!AC:AC,A659),"Equipada",
IF(
  OR(COUNTIFS(Equipar!B:B,3,Equipar!C:C,A659)
 +COUNTIFS(Equipar!B:B,3,Equipar!D:D,A659)
+COUNTIFS(Equipar!B:B,3,Equipar!E:E,A659)
+COUNTIFS(Equipar!B:B,3,Equipar!F:F,A659)
&gt;0,COUNTIF('Set recomendado'!B:B,C659)=0),
"Bloqueada",
"Desechable")),""
)</f>
        <v/>
      </c>
      <c r="J659" t="str" cm="1">
        <f t="array" aca="1" ref="J659" ca="1">IF(ISNUMBER(A659),IFERROR(_xlfn._xlws.FILTER(Equipar!A:A,(Equipar!B:B=3)*(Equipar!AC:AC=A659)),""),"")</f>
        <v/>
      </c>
    </row>
    <row r="660" spans="1:10" x14ac:dyDescent="0.25">
      <c r="A660" s="1" t="str">
        <f ca="1">IF(A659="ID",1,IF(ISBLANK(B660),"",MAX(A$2:A659)+1))</f>
        <v/>
      </c>
      <c r="I660" s="2" t="str">
        <f ca="1">IF(ISNUMBER(A660),
IF(COUNTIFS(Equipar!B:B,3,Equipar!AC:AC,A660),"Equipada",
IF(
  OR(COUNTIFS(Equipar!B:B,3,Equipar!C:C,A660)
 +COUNTIFS(Equipar!B:B,3,Equipar!D:D,A660)
+COUNTIFS(Equipar!B:B,3,Equipar!E:E,A660)
+COUNTIFS(Equipar!B:B,3,Equipar!F:F,A660)
&gt;0,COUNTIF('Set recomendado'!B:B,C660)=0),
"Bloqueada",
"Desechable")),""
)</f>
        <v/>
      </c>
      <c r="J660" t="str" cm="1">
        <f t="array" aca="1" ref="J660" ca="1">IF(ISNUMBER(A660),IFERROR(_xlfn._xlws.FILTER(Equipar!A:A,(Equipar!B:B=3)*(Equipar!AC:AC=A660)),""),"")</f>
        <v/>
      </c>
    </row>
    <row r="661" spans="1:10" x14ac:dyDescent="0.25">
      <c r="A661" s="1" t="str">
        <f ca="1">IF(A660="ID",1,IF(ISBLANK(B661),"",MAX(A$2:A660)+1))</f>
        <v/>
      </c>
      <c r="I661" s="2" t="str">
        <f ca="1">IF(ISNUMBER(A661),
IF(COUNTIFS(Equipar!B:B,3,Equipar!AC:AC,A661),"Equipada",
IF(
  OR(COUNTIFS(Equipar!B:B,3,Equipar!C:C,A661)
 +COUNTIFS(Equipar!B:B,3,Equipar!D:D,A661)
+COUNTIFS(Equipar!B:B,3,Equipar!E:E,A661)
+COUNTIFS(Equipar!B:B,3,Equipar!F:F,A661)
&gt;0,COUNTIF('Set recomendado'!B:B,C661)=0),
"Bloqueada",
"Desechable")),""
)</f>
        <v/>
      </c>
      <c r="J661" t="str" cm="1">
        <f t="array" aca="1" ref="J661" ca="1">IF(ISNUMBER(A661),IFERROR(_xlfn._xlws.FILTER(Equipar!A:A,(Equipar!B:B=3)*(Equipar!AC:AC=A661)),""),"")</f>
        <v/>
      </c>
    </row>
    <row r="662" spans="1:10" x14ac:dyDescent="0.25">
      <c r="A662" s="1" t="str">
        <f ca="1">IF(A661="ID",1,IF(ISBLANK(B662),"",MAX(A$2:A661)+1))</f>
        <v/>
      </c>
      <c r="I662" s="2" t="str">
        <f ca="1">IF(ISNUMBER(A662),
IF(COUNTIFS(Equipar!B:B,3,Equipar!AC:AC,A662),"Equipada",
IF(
  OR(COUNTIFS(Equipar!B:B,3,Equipar!C:C,A662)
 +COUNTIFS(Equipar!B:B,3,Equipar!D:D,A662)
+COUNTIFS(Equipar!B:B,3,Equipar!E:E,A662)
+COUNTIFS(Equipar!B:B,3,Equipar!F:F,A662)
&gt;0,COUNTIF('Set recomendado'!B:B,C662)=0),
"Bloqueada",
"Desechable")),""
)</f>
        <v/>
      </c>
      <c r="J662" t="str" cm="1">
        <f t="array" aca="1" ref="J662" ca="1">IF(ISNUMBER(A662),IFERROR(_xlfn._xlws.FILTER(Equipar!A:A,(Equipar!B:B=3)*(Equipar!AC:AC=A662)),""),"")</f>
        <v/>
      </c>
    </row>
    <row r="663" spans="1:10" x14ac:dyDescent="0.25">
      <c r="A663" s="1" t="str">
        <f ca="1">IF(A662="ID",1,IF(ISBLANK(B663),"",MAX(A$2:A662)+1))</f>
        <v/>
      </c>
      <c r="I663" s="2" t="str">
        <f ca="1">IF(ISNUMBER(A663),
IF(COUNTIFS(Equipar!B:B,3,Equipar!AC:AC,A663),"Equipada",
IF(
  OR(COUNTIFS(Equipar!B:B,3,Equipar!C:C,A663)
 +COUNTIFS(Equipar!B:B,3,Equipar!D:D,A663)
+COUNTIFS(Equipar!B:B,3,Equipar!E:E,A663)
+COUNTIFS(Equipar!B:B,3,Equipar!F:F,A663)
&gt;0,COUNTIF('Set recomendado'!B:B,C663)=0),
"Bloqueada",
"Desechable")),""
)</f>
        <v/>
      </c>
      <c r="J663" t="str" cm="1">
        <f t="array" aca="1" ref="J663" ca="1">IF(ISNUMBER(A663),IFERROR(_xlfn._xlws.FILTER(Equipar!A:A,(Equipar!B:B=3)*(Equipar!AC:AC=A663)),""),"")</f>
        <v/>
      </c>
    </row>
    <row r="664" spans="1:10" x14ac:dyDescent="0.25">
      <c r="A664" s="1" t="str">
        <f ca="1">IF(A663="ID",1,IF(ISBLANK(B664),"",MAX(A$2:A663)+1))</f>
        <v/>
      </c>
      <c r="I664" s="2" t="str">
        <f ca="1">IF(ISNUMBER(A664),
IF(COUNTIFS(Equipar!B:B,3,Equipar!AC:AC,A664),"Equipada",
IF(
  OR(COUNTIFS(Equipar!B:B,3,Equipar!C:C,A664)
 +COUNTIFS(Equipar!B:B,3,Equipar!D:D,A664)
+COUNTIFS(Equipar!B:B,3,Equipar!E:E,A664)
+COUNTIFS(Equipar!B:B,3,Equipar!F:F,A664)
&gt;0,COUNTIF('Set recomendado'!B:B,C664)=0),
"Bloqueada",
"Desechable")),""
)</f>
        <v/>
      </c>
      <c r="J664" t="str" cm="1">
        <f t="array" aca="1" ref="J664" ca="1">IF(ISNUMBER(A664),IFERROR(_xlfn._xlws.FILTER(Equipar!A:A,(Equipar!B:B=3)*(Equipar!AC:AC=A664)),""),"")</f>
        <v/>
      </c>
    </row>
    <row r="665" spans="1:10" x14ac:dyDescent="0.25">
      <c r="A665" s="1" t="str">
        <f ca="1">IF(A664="ID",1,IF(ISBLANK(B665),"",MAX(A$2:A664)+1))</f>
        <v/>
      </c>
      <c r="I665" s="2" t="str">
        <f ca="1">IF(ISNUMBER(A665),
IF(COUNTIFS(Equipar!B:B,3,Equipar!AC:AC,A665),"Equipada",
IF(
  OR(COUNTIFS(Equipar!B:B,3,Equipar!C:C,A665)
 +COUNTIFS(Equipar!B:B,3,Equipar!D:D,A665)
+COUNTIFS(Equipar!B:B,3,Equipar!E:E,A665)
+COUNTIFS(Equipar!B:B,3,Equipar!F:F,A665)
&gt;0,COUNTIF('Set recomendado'!B:B,C665)=0),
"Bloqueada",
"Desechable")),""
)</f>
        <v/>
      </c>
      <c r="J665" t="str" cm="1">
        <f t="array" aca="1" ref="J665" ca="1">IF(ISNUMBER(A665),IFERROR(_xlfn._xlws.FILTER(Equipar!A:A,(Equipar!B:B=3)*(Equipar!AC:AC=A665)),""),"")</f>
        <v/>
      </c>
    </row>
    <row r="666" spans="1:10" x14ac:dyDescent="0.25">
      <c r="A666" s="1" t="str">
        <f ca="1">IF(A665="ID",1,IF(ISBLANK(B666),"",MAX(A$2:A665)+1))</f>
        <v/>
      </c>
      <c r="I666" s="2" t="str">
        <f ca="1">IF(ISNUMBER(A666),
IF(COUNTIFS(Equipar!B:B,3,Equipar!AC:AC,A666),"Equipada",
IF(
  OR(COUNTIFS(Equipar!B:B,3,Equipar!C:C,A666)
 +COUNTIFS(Equipar!B:B,3,Equipar!D:D,A666)
+COUNTIFS(Equipar!B:B,3,Equipar!E:E,A666)
+COUNTIFS(Equipar!B:B,3,Equipar!F:F,A666)
&gt;0,COUNTIF('Set recomendado'!B:B,C666)=0),
"Bloqueada",
"Desechable")),""
)</f>
        <v/>
      </c>
      <c r="J666" t="str" cm="1">
        <f t="array" aca="1" ref="J666" ca="1">IF(ISNUMBER(A666),IFERROR(_xlfn._xlws.FILTER(Equipar!A:A,(Equipar!B:B=3)*(Equipar!AC:AC=A666)),""),"")</f>
        <v/>
      </c>
    </row>
    <row r="667" spans="1:10" x14ac:dyDescent="0.25">
      <c r="A667" s="1" t="str">
        <f ca="1">IF(A666="ID",1,IF(ISBLANK(B667),"",MAX(A$2:A666)+1))</f>
        <v/>
      </c>
      <c r="I667" s="2" t="str">
        <f ca="1">IF(ISNUMBER(A667),
IF(COUNTIFS(Equipar!B:B,3,Equipar!AC:AC,A667),"Equipada",
IF(
  OR(COUNTIFS(Equipar!B:B,3,Equipar!C:C,A667)
 +COUNTIFS(Equipar!B:B,3,Equipar!D:D,A667)
+COUNTIFS(Equipar!B:B,3,Equipar!E:E,A667)
+COUNTIFS(Equipar!B:B,3,Equipar!F:F,A667)
&gt;0,COUNTIF('Set recomendado'!B:B,C667)=0),
"Bloqueada",
"Desechable")),""
)</f>
        <v/>
      </c>
      <c r="J667" t="str" cm="1">
        <f t="array" aca="1" ref="J667" ca="1">IF(ISNUMBER(A667),IFERROR(_xlfn._xlws.FILTER(Equipar!A:A,(Equipar!B:B=3)*(Equipar!AC:AC=A667)),""),"")</f>
        <v/>
      </c>
    </row>
    <row r="668" spans="1:10" x14ac:dyDescent="0.25">
      <c r="A668" s="1" t="str">
        <f ca="1">IF(A667="ID",1,IF(ISBLANK(B668),"",MAX(A$2:A667)+1))</f>
        <v/>
      </c>
      <c r="I668" s="2" t="str">
        <f ca="1">IF(ISNUMBER(A668),
IF(COUNTIFS(Equipar!B:B,3,Equipar!AC:AC,A668),"Equipada",
IF(
  OR(COUNTIFS(Equipar!B:B,3,Equipar!C:C,A668)
 +COUNTIFS(Equipar!B:B,3,Equipar!D:D,A668)
+COUNTIFS(Equipar!B:B,3,Equipar!E:E,A668)
+COUNTIFS(Equipar!B:B,3,Equipar!F:F,A668)
&gt;0,COUNTIF('Set recomendado'!B:B,C668)=0),
"Bloqueada",
"Desechable")),""
)</f>
        <v/>
      </c>
      <c r="J668" t="str" cm="1">
        <f t="array" aca="1" ref="J668" ca="1">IF(ISNUMBER(A668),IFERROR(_xlfn._xlws.FILTER(Equipar!A:A,(Equipar!B:B=3)*(Equipar!AC:AC=A668)),""),"")</f>
        <v/>
      </c>
    </row>
    <row r="669" spans="1:10" x14ac:dyDescent="0.25">
      <c r="A669" s="1" t="str">
        <f ca="1">IF(A668="ID",1,IF(ISBLANK(B669),"",MAX(A$2:A668)+1))</f>
        <v/>
      </c>
      <c r="I669" s="2" t="str">
        <f ca="1">IF(ISNUMBER(A669),
IF(COUNTIFS(Equipar!B:B,3,Equipar!AC:AC,A669),"Equipada",
IF(
  OR(COUNTIFS(Equipar!B:B,3,Equipar!C:C,A669)
 +COUNTIFS(Equipar!B:B,3,Equipar!D:D,A669)
+COUNTIFS(Equipar!B:B,3,Equipar!E:E,A669)
+COUNTIFS(Equipar!B:B,3,Equipar!F:F,A669)
&gt;0,COUNTIF('Set recomendado'!B:B,C669)=0),
"Bloqueada",
"Desechable")),""
)</f>
        <v/>
      </c>
      <c r="J669" t="str" cm="1">
        <f t="array" aca="1" ref="J669" ca="1">IF(ISNUMBER(A669),IFERROR(_xlfn._xlws.FILTER(Equipar!A:A,(Equipar!B:B=3)*(Equipar!AC:AC=A669)),""),"")</f>
        <v/>
      </c>
    </row>
    <row r="670" spans="1:10" x14ac:dyDescent="0.25">
      <c r="A670" s="1" t="str">
        <f ca="1">IF(A669="ID",1,IF(ISBLANK(B670),"",MAX(A$2:A669)+1))</f>
        <v/>
      </c>
      <c r="I670" s="2" t="str">
        <f ca="1">IF(ISNUMBER(A670),
IF(COUNTIFS(Equipar!B:B,3,Equipar!AC:AC,A670),"Equipada",
IF(
  OR(COUNTIFS(Equipar!B:B,3,Equipar!C:C,A670)
 +COUNTIFS(Equipar!B:B,3,Equipar!D:D,A670)
+COUNTIFS(Equipar!B:B,3,Equipar!E:E,A670)
+COUNTIFS(Equipar!B:B,3,Equipar!F:F,A670)
&gt;0,COUNTIF('Set recomendado'!B:B,C670)=0),
"Bloqueada",
"Desechable")),""
)</f>
        <v/>
      </c>
      <c r="J670" t="str" cm="1">
        <f t="array" aca="1" ref="J670" ca="1">IF(ISNUMBER(A670),IFERROR(_xlfn._xlws.FILTER(Equipar!A:A,(Equipar!B:B=3)*(Equipar!AC:AC=A670)),""),"")</f>
        <v/>
      </c>
    </row>
    <row r="671" spans="1:10" x14ac:dyDescent="0.25">
      <c r="A671" s="1" t="str">
        <f ca="1">IF(A670="ID",1,IF(ISBLANK(B671),"",MAX(A$2:A670)+1))</f>
        <v/>
      </c>
      <c r="I671" s="2" t="str">
        <f ca="1">IF(ISNUMBER(A671),
IF(COUNTIFS(Equipar!B:B,3,Equipar!AC:AC,A671),"Equipada",
IF(
  OR(COUNTIFS(Equipar!B:B,3,Equipar!C:C,A671)
 +COUNTIFS(Equipar!B:B,3,Equipar!D:D,A671)
+COUNTIFS(Equipar!B:B,3,Equipar!E:E,A671)
+COUNTIFS(Equipar!B:B,3,Equipar!F:F,A671)
&gt;0,COUNTIF('Set recomendado'!B:B,C671)=0),
"Bloqueada",
"Desechable")),""
)</f>
        <v/>
      </c>
      <c r="J671" t="str" cm="1">
        <f t="array" aca="1" ref="J671" ca="1">IF(ISNUMBER(A671),IFERROR(_xlfn._xlws.FILTER(Equipar!A:A,(Equipar!B:B=3)*(Equipar!AC:AC=A671)),""),"")</f>
        <v/>
      </c>
    </row>
    <row r="672" spans="1:10" x14ac:dyDescent="0.25">
      <c r="A672" s="1" t="str">
        <f ca="1">IF(A671="ID",1,IF(ISBLANK(B672),"",MAX(A$2:A671)+1))</f>
        <v/>
      </c>
      <c r="I672" s="2" t="str">
        <f ca="1">IF(ISNUMBER(A672),
IF(COUNTIFS(Equipar!B:B,3,Equipar!AC:AC,A672),"Equipada",
IF(
  OR(COUNTIFS(Equipar!B:B,3,Equipar!C:C,A672)
 +COUNTIFS(Equipar!B:B,3,Equipar!D:D,A672)
+COUNTIFS(Equipar!B:B,3,Equipar!E:E,A672)
+COUNTIFS(Equipar!B:B,3,Equipar!F:F,A672)
&gt;0,COUNTIF('Set recomendado'!B:B,C672)=0),
"Bloqueada",
"Desechable")),""
)</f>
        <v/>
      </c>
      <c r="J672" t="str" cm="1">
        <f t="array" aca="1" ref="J672" ca="1">IF(ISNUMBER(A672),IFERROR(_xlfn._xlws.FILTER(Equipar!A:A,(Equipar!B:B=3)*(Equipar!AC:AC=A672)),""),"")</f>
        <v/>
      </c>
    </row>
    <row r="673" spans="1:10" x14ac:dyDescent="0.25">
      <c r="A673" s="1" t="str">
        <f ca="1">IF(A672="ID",1,IF(ISBLANK(B673),"",MAX(A$2:A672)+1))</f>
        <v/>
      </c>
      <c r="I673" s="2" t="str">
        <f ca="1">IF(ISNUMBER(A673),
IF(COUNTIFS(Equipar!B:B,3,Equipar!AC:AC,A673),"Equipada",
IF(
  OR(COUNTIFS(Equipar!B:B,3,Equipar!C:C,A673)
 +COUNTIFS(Equipar!B:B,3,Equipar!D:D,A673)
+COUNTIFS(Equipar!B:B,3,Equipar!E:E,A673)
+COUNTIFS(Equipar!B:B,3,Equipar!F:F,A673)
&gt;0,COUNTIF('Set recomendado'!B:B,C673)=0),
"Bloqueada",
"Desechable")),""
)</f>
        <v/>
      </c>
      <c r="J673" t="str" cm="1">
        <f t="array" aca="1" ref="J673" ca="1">IF(ISNUMBER(A673),IFERROR(_xlfn._xlws.FILTER(Equipar!A:A,(Equipar!B:B=3)*(Equipar!AC:AC=A673)),""),"")</f>
        <v/>
      </c>
    </row>
    <row r="674" spans="1:10" x14ac:dyDescent="0.25">
      <c r="A674" s="1" t="str">
        <f ca="1">IF(A673="ID",1,IF(ISBLANK(B674),"",MAX(A$2:A673)+1))</f>
        <v/>
      </c>
      <c r="I674" s="2" t="str">
        <f ca="1">IF(ISNUMBER(A674),
IF(COUNTIFS(Equipar!B:B,3,Equipar!AC:AC,A674),"Equipada",
IF(
  OR(COUNTIFS(Equipar!B:B,3,Equipar!C:C,A674)
 +COUNTIFS(Equipar!B:B,3,Equipar!D:D,A674)
+COUNTIFS(Equipar!B:B,3,Equipar!E:E,A674)
+COUNTIFS(Equipar!B:B,3,Equipar!F:F,A674)
&gt;0,COUNTIF('Set recomendado'!B:B,C674)=0),
"Bloqueada",
"Desechable")),""
)</f>
        <v/>
      </c>
      <c r="J674" t="str" cm="1">
        <f t="array" aca="1" ref="J674" ca="1">IF(ISNUMBER(A674),IFERROR(_xlfn._xlws.FILTER(Equipar!A:A,(Equipar!B:B=3)*(Equipar!AC:AC=A674)),""),"")</f>
        <v/>
      </c>
    </row>
    <row r="675" spans="1:10" x14ac:dyDescent="0.25">
      <c r="A675" s="1" t="str">
        <f ca="1">IF(A674="ID",1,IF(ISBLANK(B675),"",MAX(A$2:A674)+1))</f>
        <v/>
      </c>
      <c r="I675" s="2" t="str">
        <f ca="1">IF(ISNUMBER(A675),
IF(COUNTIFS(Equipar!B:B,3,Equipar!AC:AC,A675),"Equipada",
IF(
  OR(COUNTIFS(Equipar!B:B,3,Equipar!C:C,A675)
 +COUNTIFS(Equipar!B:B,3,Equipar!D:D,A675)
+COUNTIFS(Equipar!B:B,3,Equipar!E:E,A675)
+COUNTIFS(Equipar!B:B,3,Equipar!F:F,A675)
&gt;0,COUNTIF('Set recomendado'!B:B,C675)=0),
"Bloqueada",
"Desechable")),""
)</f>
        <v/>
      </c>
      <c r="J675" t="str" cm="1">
        <f t="array" aca="1" ref="J675" ca="1">IF(ISNUMBER(A675),IFERROR(_xlfn._xlws.FILTER(Equipar!A:A,(Equipar!B:B=3)*(Equipar!AC:AC=A675)),""),"")</f>
        <v/>
      </c>
    </row>
    <row r="676" spans="1:10" x14ac:dyDescent="0.25">
      <c r="A676" s="1" t="str">
        <f ca="1">IF(A675="ID",1,IF(ISBLANK(B676),"",MAX(A$2:A675)+1))</f>
        <v/>
      </c>
      <c r="I676" s="2" t="str">
        <f ca="1">IF(ISNUMBER(A676),
IF(COUNTIFS(Equipar!B:B,3,Equipar!AC:AC,A676),"Equipada",
IF(
  OR(COUNTIFS(Equipar!B:B,3,Equipar!C:C,A676)
 +COUNTIFS(Equipar!B:B,3,Equipar!D:D,A676)
+COUNTIFS(Equipar!B:B,3,Equipar!E:E,A676)
+COUNTIFS(Equipar!B:B,3,Equipar!F:F,A676)
&gt;0,COUNTIF('Set recomendado'!B:B,C676)=0),
"Bloqueada",
"Desechable")),""
)</f>
        <v/>
      </c>
      <c r="J676" t="str" cm="1">
        <f t="array" aca="1" ref="J676" ca="1">IF(ISNUMBER(A676),IFERROR(_xlfn._xlws.FILTER(Equipar!A:A,(Equipar!B:B=3)*(Equipar!AC:AC=A676)),""),"")</f>
        <v/>
      </c>
    </row>
    <row r="677" spans="1:10" x14ac:dyDescent="0.25">
      <c r="A677" s="1" t="str">
        <f ca="1">IF(A676="ID",1,IF(ISBLANK(B677),"",MAX(A$2:A676)+1))</f>
        <v/>
      </c>
      <c r="I677" s="2" t="str">
        <f ca="1">IF(ISNUMBER(A677),
IF(COUNTIFS(Equipar!B:B,3,Equipar!AC:AC,A677),"Equipada",
IF(
  OR(COUNTIFS(Equipar!B:B,3,Equipar!C:C,A677)
 +COUNTIFS(Equipar!B:B,3,Equipar!D:D,A677)
+COUNTIFS(Equipar!B:B,3,Equipar!E:E,A677)
+COUNTIFS(Equipar!B:B,3,Equipar!F:F,A677)
&gt;0,COUNTIF('Set recomendado'!B:B,C677)=0),
"Bloqueada",
"Desechable")),""
)</f>
        <v/>
      </c>
      <c r="J677" t="str" cm="1">
        <f t="array" aca="1" ref="J677" ca="1">IF(ISNUMBER(A677),IFERROR(_xlfn._xlws.FILTER(Equipar!A:A,(Equipar!B:B=3)*(Equipar!AC:AC=A677)),""),"")</f>
        <v/>
      </c>
    </row>
    <row r="678" spans="1:10" x14ac:dyDescent="0.25">
      <c r="A678" s="1" t="str">
        <f ca="1">IF(A677="ID",1,IF(ISBLANK(B678),"",MAX(A$2:A677)+1))</f>
        <v/>
      </c>
      <c r="I678" s="2" t="str">
        <f ca="1">IF(ISNUMBER(A678),
IF(COUNTIFS(Equipar!B:B,3,Equipar!AC:AC,A678),"Equipada",
IF(
  OR(COUNTIFS(Equipar!B:B,3,Equipar!C:C,A678)
 +COUNTIFS(Equipar!B:B,3,Equipar!D:D,A678)
+COUNTIFS(Equipar!B:B,3,Equipar!E:E,A678)
+COUNTIFS(Equipar!B:B,3,Equipar!F:F,A678)
&gt;0,COUNTIF('Set recomendado'!B:B,C678)=0),
"Bloqueada",
"Desechable")),""
)</f>
        <v/>
      </c>
      <c r="J678" t="str" cm="1">
        <f t="array" aca="1" ref="J678" ca="1">IF(ISNUMBER(A678),IFERROR(_xlfn._xlws.FILTER(Equipar!A:A,(Equipar!B:B=3)*(Equipar!AC:AC=A678)),""),"")</f>
        <v/>
      </c>
    </row>
    <row r="679" spans="1:10" x14ac:dyDescent="0.25">
      <c r="A679" s="1" t="str">
        <f ca="1">IF(A678="ID",1,IF(ISBLANK(B679),"",MAX(A$2:A678)+1))</f>
        <v/>
      </c>
      <c r="I679" s="2" t="str">
        <f ca="1">IF(ISNUMBER(A679),
IF(COUNTIFS(Equipar!B:B,3,Equipar!AC:AC,A679),"Equipada",
IF(
  OR(COUNTIFS(Equipar!B:B,3,Equipar!C:C,A679)
 +COUNTIFS(Equipar!B:B,3,Equipar!D:D,A679)
+COUNTIFS(Equipar!B:B,3,Equipar!E:E,A679)
+COUNTIFS(Equipar!B:B,3,Equipar!F:F,A679)
&gt;0,COUNTIF('Set recomendado'!B:B,C679)=0),
"Bloqueada",
"Desechable")),""
)</f>
        <v/>
      </c>
      <c r="J679" t="str" cm="1">
        <f t="array" aca="1" ref="J679" ca="1">IF(ISNUMBER(A679),IFERROR(_xlfn._xlws.FILTER(Equipar!A:A,(Equipar!B:B=3)*(Equipar!AC:AC=A679)),""),"")</f>
        <v/>
      </c>
    </row>
    <row r="680" spans="1:10" x14ac:dyDescent="0.25">
      <c r="A680" s="1" t="str">
        <f ca="1">IF(A679="ID",1,IF(ISBLANK(B680),"",MAX(A$2:A679)+1))</f>
        <v/>
      </c>
      <c r="I680" s="2" t="str">
        <f ca="1">IF(ISNUMBER(A680),
IF(COUNTIFS(Equipar!B:B,3,Equipar!AC:AC,A680),"Equipada",
IF(
  OR(COUNTIFS(Equipar!B:B,3,Equipar!C:C,A680)
 +COUNTIFS(Equipar!B:B,3,Equipar!D:D,A680)
+COUNTIFS(Equipar!B:B,3,Equipar!E:E,A680)
+COUNTIFS(Equipar!B:B,3,Equipar!F:F,A680)
&gt;0,COUNTIF('Set recomendado'!B:B,C680)=0),
"Bloqueada",
"Desechable")),""
)</f>
        <v/>
      </c>
      <c r="J680" t="str" cm="1">
        <f t="array" aca="1" ref="J680" ca="1">IF(ISNUMBER(A680),IFERROR(_xlfn._xlws.FILTER(Equipar!A:A,(Equipar!B:B=3)*(Equipar!AC:AC=A680)),""),"")</f>
        <v/>
      </c>
    </row>
    <row r="681" spans="1:10" x14ac:dyDescent="0.25">
      <c r="A681" s="1" t="str">
        <f ca="1">IF(A680="ID",1,IF(ISBLANK(B681),"",MAX(A$2:A680)+1))</f>
        <v/>
      </c>
      <c r="I681" s="2" t="str">
        <f ca="1">IF(ISNUMBER(A681),
IF(COUNTIFS(Equipar!B:B,3,Equipar!AC:AC,A681),"Equipada",
IF(
  OR(COUNTIFS(Equipar!B:B,3,Equipar!C:C,A681)
 +COUNTIFS(Equipar!B:B,3,Equipar!D:D,A681)
+COUNTIFS(Equipar!B:B,3,Equipar!E:E,A681)
+COUNTIFS(Equipar!B:B,3,Equipar!F:F,A681)
&gt;0,COUNTIF('Set recomendado'!B:B,C681)=0),
"Bloqueada",
"Desechable")),""
)</f>
        <v/>
      </c>
      <c r="J681" t="str" cm="1">
        <f t="array" aca="1" ref="J681" ca="1">IF(ISNUMBER(A681),IFERROR(_xlfn._xlws.FILTER(Equipar!A:A,(Equipar!B:B=3)*(Equipar!AC:AC=A681)),""),"")</f>
        <v/>
      </c>
    </row>
    <row r="682" spans="1:10" x14ac:dyDescent="0.25">
      <c r="A682" s="1" t="str">
        <f ca="1">IF(A681="ID",1,IF(ISBLANK(B682),"",MAX(A$2:A681)+1))</f>
        <v/>
      </c>
      <c r="I682" s="2" t="str">
        <f ca="1">IF(ISNUMBER(A682),
IF(COUNTIFS(Equipar!B:B,3,Equipar!AC:AC,A682),"Equipada",
IF(
  OR(COUNTIFS(Equipar!B:B,3,Equipar!C:C,A682)
 +COUNTIFS(Equipar!B:B,3,Equipar!D:D,A682)
+COUNTIFS(Equipar!B:B,3,Equipar!E:E,A682)
+COUNTIFS(Equipar!B:B,3,Equipar!F:F,A682)
&gt;0,COUNTIF('Set recomendado'!B:B,C682)=0),
"Bloqueada",
"Desechable")),""
)</f>
        <v/>
      </c>
      <c r="J682" t="str" cm="1">
        <f t="array" aca="1" ref="J682" ca="1">IF(ISNUMBER(A682),IFERROR(_xlfn._xlws.FILTER(Equipar!A:A,(Equipar!B:B=3)*(Equipar!AC:AC=A682)),""),"")</f>
        <v/>
      </c>
    </row>
    <row r="683" spans="1:10" x14ac:dyDescent="0.25">
      <c r="A683" s="1" t="str">
        <f ca="1">IF(A682="ID",1,IF(ISBLANK(B683),"",MAX(A$2:A682)+1))</f>
        <v/>
      </c>
      <c r="I683" s="2" t="str">
        <f ca="1">IF(ISNUMBER(A683),
IF(COUNTIFS(Equipar!B:B,3,Equipar!AC:AC,A683),"Equipada",
IF(
  OR(COUNTIFS(Equipar!B:B,3,Equipar!C:C,A683)
 +COUNTIFS(Equipar!B:B,3,Equipar!D:D,A683)
+COUNTIFS(Equipar!B:B,3,Equipar!E:E,A683)
+COUNTIFS(Equipar!B:B,3,Equipar!F:F,A683)
&gt;0,COUNTIF('Set recomendado'!B:B,C683)=0),
"Bloqueada",
"Desechable")),""
)</f>
        <v/>
      </c>
      <c r="J683" t="str" cm="1">
        <f t="array" aca="1" ref="J683" ca="1">IF(ISNUMBER(A683),IFERROR(_xlfn._xlws.FILTER(Equipar!A:A,(Equipar!B:B=3)*(Equipar!AC:AC=A683)),""),"")</f>
        <v/>
      </c>
    </row>
    <row r="684" spans="1:10" x14ac:dyDescent="0.25">
      <c r="A684" s="1" t="str">
        <f ca="1">IF(A683="ID",1,IF(ISBLANK(B684),"",MAX(A$2:A683)+1))</f>
        <v/>
      </c>
      <c r="I684" s="2" t="str">
        <f ca="1">IF(ISNUMBER(A684),
IF(COUNTIFS(Equipar!B:B,3,Equipar!AC:AC,A684),"Equipada",
IF(
  OR(COUNTIFS(Equipar!B:B,3,Equipar!C:C,A684)
 +COUNTIFS(Equipar!B:B,3,Equipar!D:D,A684)
+COUNTIFS(Equipar!B:B,3,Equipar!E:E,A684)
+COUNTIFS(Equipar!B:B,3,Equipar!F:F,A684)
&gt;0,COUNTIF('Set recomendado'!B:B,C684)=0),
"Bloqueada",
"Desechable")),""
)</f>
        <v/>
      </c>
      <c r="J684" t="str" cm="1">
        <f t="array" aca="1" ref="J684" ca="1">IF(ISNUMBER(A684),IFERROR(_xlfn._xlws.FILTER(Equipar!A:A,(Equipar!B:B=3)*(Equipar!AC:AC=A684)),""),"")</f>
        <v/>
      </c>
    </row>
    <row r="685" spans="1:10" x14ac:dyDescent="0.25">
      <c r="A685" s="1" t="str">
        <f ca="1">IF(A684="ID",1,IF(ISBLANK(B685),"",MAX(A$2:A684)+1))</f>
        <v/>
      </c>
      <c r="I685" s="2" t="str">
        <f ca="1">IF(ISNUMBER(A685),
IF(COUNTIFS(Equipar!B:B,3,Equipar!AC:AC,A685),"Equipada",
IF(
  OR(COUNTIFS(Equipar!B:B,3,Equipar!C:C,A685)
 +COUNTIFS(Equipar!B:B,3,Equipar!D:D,A685)
+COUNTIFS(Equipar!B:B,3,Equipar!E:E,A685)
+COUNTIFS(Equipar!B:B,3,Equipar!F:F,A685)
&gt;0,COUNTIF('Set recomendado'!B:B,C685)=0),
"Bloqueada",
"Desechable")),""
)</f>
        <v/>
      </c>
      <c r="J685" t="str" cm="1">
        <f t="array" aca="1" ref="J685" ca="1">IF(ISNUMBER(A685),IFERROR(_xlfn._xlws.FILTER(Equipar!A:A,(Equipar!B:B=3)*(Equipar!AC:AC=A685)),""),"")</f>
        <v/>
      </c>
    </row>
    <row r="686" spans="1:10" x14ac:dyDescent="0.25">
      <c r="A686" s="1" t="str">
        <f ca="1">IF(A685="ID",1,IF(ISBLANK(B686),"",MAX(A$2:A685)+1))</f>
        <v/>
      </c>
      <c r="I686" s="2" t="str">
        <f ca="1">IF(ISNUMBER(A686),
IF(COUNTIFS(Equipar!B:B,3,Equipar!AC:AC,A686),"Equipada",
IF(
  OR(COUNTIFS(Equipar!B:B,3,Equipar!C:C,A686)
 +COUNTIFS(Equipar!B:B,3,Equipar!D:D,A686)
+COUNTIFS(Equipar!B:B,3,Equipar!E:E,A686)
+COUNTIFS(Equipar!B:B,3,Equipar!F:F,A686)
&gt;0,COUNTIF('Set recomendado'!B:B,C686)=0),
"Bloqueada",
"Desechable")),""
)</f>
        <v/>
      </c>
      <c r="J686" t="str" cm="1">
        <f t="array" aca="1" ref="J686" ca="1">IF(ISNUMBER(A686),IFERROR(_xlfn._xlws.FILTER(Equipar!A:A,(Equipar!B:B=3)*(Equipar!AC:AC=A686)),""),"")</f>
        <v/>
      </c>
    </row>
    <row r="687" spans="1:10" x14ac:dyDescent="0.25">
      <c r="A687" s="1" t="str">
        <f ca="1">IF(A686="ID",1,IF(ISBLANK(B687),"",MAX(A$2:A686)+1))</f>
        <v/>
      </c>
      <c r="I687" s="2" t="str">
        <f ca="1">IF(ISNUMBER(A687),
IF(COUNTIFS(Equipar!B:B,3,Equipar!AC:AC,A687),"Equipada",
IF(
  OR(COUNTIFS(Equipar!B:B,3,Equipar!C:C,A687)
 +COUNTIFS(Equipar!B:B,3,Equipar!D:D,A687)
+COUNTIFS(Equipar!B:B,3,Equipar!E:E,A687)
+COUNTIFS(Equipar!B:B,3,Equipar!F:F,A687)
&gt;0,COUNTIF('Set recomendado'!B:B,C687)=0),
"Bloqueada",
"Desechable")),""
)</f>
        <v/>
      </c>
      <c r="J687" t="str" cm="1">
        <f t="array" aca="1" ref="J687" ca="1">IF(ISNUMBER(A687),IFERROR(_xlfn._xlws.FILTER(Equipar!A:A,(Equipar!B:B=3)*(Equipar!AC:AC=A687)),""),"")</f>
        <v/>
      </c>
    </row>
    <row r="688" spans="1:10" x14ac:dyDescent="0.25">
      <c r="A688" s="1" t="str">
        <f ca="1">IF(A687="ID",1,IF(ISBLANK(B688),"",MAX(A$2:A687)+1))</f>
        <v/>
      </c>
      <c r="I688" s="2" t="str">
        <f ca="1">IF(ISNUMBER(A688),
IF(COUNTIFS(Equipar!B:B,3,Equipar!AC:AC,A688),"Equipada",
IF(
  OR(COUNTIFS(Equipar!B:B,3,Equipar!C:C,A688)
 +COUNTIFS(Equipar!B:B,3,Equipar!D:D,A688)
+COUNTIFS(Equipar!B:B,3,Equipar!E:E,A688)
+COUNTIFS(Equipar!B:B,3,Equipar!F:F,A688)
&gt;0,COUNTIF('Set recomendado'!B:B,C688)=0),
"Bloqueada",
"Desechable")),""
)</f>
        <v/>
      </c>
      <c r="J688" t="str" cm="1">
        <f t="array" aca="1" ref="J688" ca="1">IF(ISNUMBER(A688),IFERROR(_xlfn._xlws.FILTER(Equipar!A:A,(Equipar!B:B=3)*(Equipar!AC:AC=A688)),""),"")</f>
        <v/>
      </c>
    </row>
    <row r="689" spans="1:10" x14ac:dyDescent="0.25">
      <c r="A689" s="1" t="str">
        <f ca="1">IF(A688="ID",1,IF(ISBLANK(B689),"",MAX(A$2:A688)+1))</f>
        <v/>
      </c>
      <c r="I689" s="2" t="str">
        <f ca="1">IF(ISNUMBER(A689),
IF(COUNTIFS(Equipar!B:B,3,Equipar!AC:AC,A689),"Equipada",
IF(
  OR(COUNTIFS(Equipar!B:B,3,Equipar!C:C,A689)
 +COUNTIFS(Equipar!B:B,3,Equipar!D:D,A689)
+COUNTIFS(Equipar!B:B,3,Equipar!E:E,A689)
+COUNTIFS(Equipar!B:B,3,Equipar!F:F,A689)
&gt;0,COUNTIF('Set recomendado'!B:B,C689)=0),
"Bloqueada",
"Desechable")),""
)</f>
        <v/>
      </c>
      <c r="J689" t="str" cm="1">
        <f t="array" aca="1" ref="J689" ca="1">IF(ISNUMBER(A689),IFERROR(_xlfn._xlws.FILTER(Equipar!A:A,(Equipar!B:B=3)*(Equipar!AC:AC=A689)),""),"")</f>
        <v/>
      </c>
    </row>
    <row r="690" spans="1:10" x14ac:dyDescent="0.25">
      <c r="A690" s="1" t="str">
        <f ca="1">IF(A689="ID",1,IF(ISBLANK(B690),"",MAX(A$2:A689)+1))</f>
        <v/>
      </c>
      <c r="I690" s="2" t="str">
        <f ca="1">IF(ISNUMBER(A690),
IF(COUNTIFS(Equipar!B:B,3,Equipar!AC:AC,A690),"Equipada",
IF(
  OR(COUNTIFS(Equipar!B:B,3,Equipar!C:C,A690)
 +COUNTIFS(Equipar!B:B,3,Equipar!D:D,A690)
+COUNTIFS(Equipar!B:B,3,Equipar!E:E,A690)
+COUNTIFS(Equipar!B:B,3,Equipar!F:F,A690)
&gt;0,COUNTIF('Set recomendado'!B:B,C690)=0),
"Bloqueada",
"Desechable")),""
)</f>
        <v/>
      </c>
      <c r="J690" t="str" cm="1">
        <f t="array" aca="1" ref="J690" ca="1">IF(ISNUMBER(A690),IFERROR(_xlfn._xlws.FILTER(Equipar!A:A,(Equipar!B:B=3)*(Equipar!AC:AC=A690)),""),"")</f>
        <v/>
      </c>
    </row>
    <row r="691" spans="1:10" x14ac:dyDescent="0.25">
      <c r="A691" s="1" t="str">
        <f ca="1">IF(A690="ID",1,IF(ISBLANK(B691),"",MAX(A$2:A690)+1))</f>
        <v/>
      </c>
      <c r="I691" s="2" t="str">
        <f ca="1">IF(ISNUMBER(A691),
IF(COUNTIFS(Equipar!B:B,3,Equipar!AC:AC,A691),"Equipada",
IF(
  OR(COUNTIFS(Equipar!B:B,3,Equipar!C:C,A691)
 +COUNTIFS(Equipar!B:B,3,Equipar!D:D,A691)
+COUNTIFS(Equipar!B:B,3,Equipar!E:E,A691)
+COUNTIFS(Equipar!B:B,3,Equipar!F:F,A691)
&gt;0,COUNTIF('Set recomendado'!B:B,C691)=0),
"Bloqueada",
"Desechable")),""
)</f>
        <v/>
      </c>
      <c r="J691" t="str" cm="1">
        <f t="array" aca="1" ref="J691" ca="1">IF(ISNUMBER(A691),IFERROR(_xlfn._xlws.FILTER(Equipar!A:A,(Equipar!B:B=3)*(Equipar!AC:AC=A691)),""),"")</f>
        <v/>
      </c>
    </row>
    <row r="692" spans="1:10" x14ac:dyDescent="0.25">
      <c r="A692" s="1" t="str">
        <f ca="1">IF(A691="ID",1,IF(ISBLANK(B692),"",MAX(A$2:A691)+1))</f>
        <v/>
      </c>
      <c r="I692" s="2" t="str">
        <f ca="1">IF(ISNUMBER(A692),
IF(COUNTIFS(Equipar!B:B,3,Equipar!AC:AC,A692),"Equipada",
IF(
  OR(COUNTIFS(Equipar!B:B,3,Equipar!C:C,A692)
 +COUNTIFS(Equipar!B:B,3,Equipar!D:D,A692)
+COUNTIFS(Equipar!B:B,3,Equipar!E:E,A692)
+COUNTIFS(Equipar!B:B,3,Equipar!F:F,A692)
&gt;0,COUNTIF('Set recomendado'!B:B,C692)=0),
"Bloqueada",
"Desechable")),""
)</f>
        <v/>
      </c>
      <c r="J692" t="str" cm="1">
        <f t="array" aca="1" ref="J692" ca="1">IF(ISNUMBER(A692),IFERROR(_xlfn._xlws.FILTER(Equipar!A:A,(Equipar!B:B=3)*(Equipar!AC:AC=A692)),""),"")</f>
        <v/>
      </c>
    </row>
    <row r="693" spans="1:10" x14ac:dyDescent="0.25">
      <c r="A693" s="1" t="str">
        <f ca="1">IF(A692="ID",1,IF(ISBLANK(B693),"",MAX(A$2:A692)+1))</f>
        <v/>
      </c>
      <c r="I693" s="2" t="str">
        <f ca="1">IF(ISNUMBER(A693),
IF(COUNTIFS(Equipar!B:B,3,Equipar!AC:AC,A693),"Equipada",
IF(
  OR(COUNTIFS(Equipar!B:B,3,Equipar!C:C,A693)
 +COUNTIFS(Equipar!B:B,3,Equipar!D:D,A693)
+COUNTIFS(Equipar!B:B,3,Equipar!E:E,A693)
+COUNTIFS(Equipar!B:B,3,Equipar!F:F,A693)
&gt;0,COUNTIF('Set recomendado'!B:B,C693)=0),
"Bloqueada",
"Desechable")),""
)</f>
        <v/>
      </c>
      <c r="J693" t="str" cm="1">
        <f t="array" aca="1" ref="J693" ca="1">IF(ISNUMBER(A693),IFERROR(_xlfn._xlws.FILTER(Equipar!A:A,(Equipar!B:B=3)*(Equipar!AC:AC=A693)),""),"")</f>
        <v/>
      </c>
    </row>
    <row r="694" spans="1:10" x14ac:dyDescent="0.25">
      <c r="A694" s="1" t="str">
        <f ca="1">IF(A693="ID",1,IF(ISBLANK(B694),"",MAX(A$2:A693)+1))</f>
        <v/>
      </c>
      <c r="I694" s="2" t="str">
        <f ca="1">IF(ISNUMBER(A694),
IF(COUNTIFS(Equipar!B:B,3,Equipar!AC:AC,A694),"Equipada",
IF(
  OR(COUNTIFS(Equipar!B:B,3,Equipar!C:C,A694)
 +COUNTIFS(Equipar!B:B,3,Equipar!D:D,A694)
+COUNTIFS(Equipar!B:B,3,Equipar!E:E,A694)
+COUNTIFS(Equipar!B:B,3,Equipar!F:F,A694)
&gt;0,COUNTIF('Set recomendado'!B:B,C694)=0),
"Bloqueada",
"Desechable")),""
)</f>
        <v/>
      </c>
      <c r="J694" t="str" cm="1">
        <f t="array" aca="1" ref="J694" ca="1">IF(ISNUMBER(A694),IFERROR(_xlfn._xlws.FILTER(Equipar!A:A,(Equipar!B:B=3)*(Equipar!AC:AC=A694)),""),"")</f>
        <v/>
      </c>
    </row>
    <row r="695" spans="1:10" x14ac:dyDescent="0.25">
      <c r="A695" s="1" t="str">
        <f ca="1">IF(A694="ID",1,IF(ISBLANK(B695),"",MAX(A$2:A694)+1))</f>
        <v/>
      </c>
      <c r="I695" s="2" t="str">
        <f ca="1">IF(ISNUMBER(A695),
IF(COUNTIFS(Equipar!B:B,3,Equipar!AC:AC,A695),"Equipada",
IF(
  OR(COUNTIFS(Equipar!B:B,3,Equipar!C:C,A695)
 +COUNTIFS(Equipar!B:B,3,Equipar!D:D,A695)
+COUNTIFS(Equipar!B:B,3,Equipar!E:E,A695)
+COUNTIFS(Equipar!B:B,3,Equipar!F:F,A695)
&gt;0,COUNTIF('Set recomendado'!B:B,C695)=0),
"Bloqueada",
"Desechable")),""
)</f>
        <v/>
      </c>
      <c r="J695" t="str" cm="1">
        <f t="array" aca="1" ref="J695" ca="1">IF(ISNUMBER(A695),IFERROR(_xlfn._xlws.FILTER(Equipar!A:A,(Equipar!B:B=3)*(Equipar!AC:AC=A695)),""),"")</f>
        <v/>
      </c>
    </row>
    <row r="696" spans="1:10" x14ac:dyDescent="0.25">
      <c r="A696" s="1" t="str">
        <f ca="1">IF(A695="ID",1,IF(ISBLANK(B696),"",MAX(A$2:A695)+1))</f>
        <v/>
      </c>
      <c r="I696" s="2" t="str">
        <f ca="1">IF(ISNUMBER(A696),
IF(COUNTIFS(Equipar!B:B,3,Equipar!AC:AC,A696),"Equipada",
IF(
  OR(COUNTIFS(Equipar!B:B,3,Equipar!C:C,A696)
 +COUNTIFS(Equipar!B:B,3,Equipar!D:D,A696)
+COUNTIFS(Equipar!B:B,3,Equipar!E:E,A696)
+COUNTIFS(Equipar!B:B,3,Equipar!F:F,A696)
&gt;0,COUNTIF('Set recomendado'!B:B,C696)=0),
"Bloqueada",
"Desechable")),""
)</f>
        <v/>
      </c>
      <c r="J696" t="str" cm="1">
        <f t="array" aca="1" ref="J696" ca="1">IF(ISNUMBER(A696),IFERROR(_xlfn._xlws.FILTER(Equipar!A:A,(Equipar!B:B=3)*(Equipar!AC:AC=A696)),""),"")</f>
        <v/>
      </c>
    </row>
    <row r="697" spans="1:10" x14ac:dyDescent="0.25">
      <c r="A697" s="1" t="str">
        <f ca="1">IF(A696="ID",1,IF(ISBLANK(B697),"",MAX(A$2:A696)+1))</f>
        <v/>
      </c>
      <c r="I697" s="2" t="str">
        <f ca="1">IF(ISNUMBER(A697),
IF(COUNTIFS(Equipar!B:B,3,Equipar!AC:AC,A697),"Equipada",
IF(
  OR(COUNTIFS(Equipar!B:B,3,Equipar!C:C,A697)
 +COUNTIFS(Equipar!B:B,3,Equipar!D:D,A697)
+COUNTIFS(Equipar!B:B,3,Equipar!E:E,A697)
+COUNTIFS(Equipar!B:B,3,Equipar!F:F,A697)
&gt;0,COUNTIF('Set recomendado'!B:B,C697)=0),
"Bloqueada",
"Desechable")),""
)</f>
        <v/>
      </c>
      <c r="J697" t="str" cm="1">
        <f t="array" aca="1" ref="J697" ca="1">IF(ISNUMBER(A697),IFERROR(_xlfn._xlws.FILTER(Equipar!A:A,(Equipar!B:B=3)*(Equipar!AC:AC=A697)),""),"")</f>
        <v/>
      </c>
    </row>
    <row r="698" spans="1:10" x14ac:dyDescent="0.25">
      <c r="A698" s="1" t="str">
        <f ca="1">IF(A697="ID",1,IF(ISBLANK(B698),"",MAX(A$2:A697)+1))</f>
        <v/>
      </c>
      <c r="I698" s="2" t="str">
        <f ca="1">IF(ISNUMBER(A698),
IF(COUNTIFS(Equipar!B:B,3,Equipar!AC:AC,A698),"Equipada",
IF(
  OR(COUNTIFS(Equipar!B:B,3,Equipar!C:C,A698)
 +COUNTIFS(Equipar!B:B,3,Equipar!D:D,A698)
+COUNTIFS(Equipar!B:B,3,Equipar!E:E,A698)
+COUNTIFS(Equipar!B:B,3,Equipar!F:F,A698)
&gt;0,COUNTIF('Set recomendado'!B:B,C698)=0),
"Bloqueada",
"Desechable")),""
)</f>
        <v/>
      </c>
      <c r="J698" t="str" cm="1">
        <f t="array" aca="1" ref="J698" ca="1">IF(ISNUMBER(A698),IFERROR(_xlfn._xlws.FILTER(Equipar!A:A,(Equipar!B:B=3)*(Equipar!AC:AC=A698)),""),"")</f>
        <v/>
      </c>
    </row>
    <row r="699" spans="1:10" x14ac:dyDescent="0.25">
      <c r="A699" s="1" t="str">
        <f ca="1">IF(A698="ID",1,IF(ISBLANK(B699),"",MAX(A$2:A698)+1))</f>
        <v/>
      </c>
      <c r="I699" s="2" t="str">
        <f ca="1">IF(ISNUMBER(A699),
IF(COUNTIFS(Equipar!B:B,3,Equipar!AC:AC,A699),"Equipada",
IF(
  OR(COUNTIFS(Equipar!B:B,3,Equipar!C:C,A699)
 +COUNTIFS(Equipar!B:B,3,Equipar!D:D,A699)
+COUNTIFS(Equipar!B:B,3,Equipar!E:E,A699)
+COUNTIFS(Equipar!B:B,3,Equipar!F:F,A699)
&gt;0,COUNTIF('Set recomendado'!B:B,C699)=0),
"Bloqueada",
"Desechable")),""
)</f>
        <v/>
      </c>
      <c r="J699" t="str" cm="1">
        <f t="array" aca="1" ref="J699" ca="1">IF(ISNUMBER(A699),IFERROR(_xlfn._xlws.FILTER(Equipar!A:A,(Equipar!B:B=3)*(Equipar!AC:AC=A699)),""),"")</f>
        <v/>
      </c>
    </row>
    <row r="700" spans="1:10" x14ac:dyDescent="0.25">
      <c r="A700" s="1" t="str">
        <f ca="1">IF(A699="ID",1,IF(ISBLANK(B700),"",MAX(A$2:A699)+1))</f>
        <v/>
      </c>
      <c r="I700" s="2" t="str">
        <f ca="1">IF(ISNUMBER(A700),
IF(COUNTIFS(Equipar!B:B,3,Equipar!AC:AC,A700),"Equipada",
IF(
  OR(COUNTIFS(Equipar!B:B,3,Equipar!C:C,A700)
 +COUNTIFS(Equipar!B:B,3,Equipar!D:D,A700)
+COUNTIFS(Equipar!B:B,3,Equipar!E:E,A700)
+COUNTIFS(Equipar!B:B,3,Equipar!F:F,A700)
&gt;0,COUNTIF('Set recomendado'!B:B,C700)=0),
"Bloqueada",
"Desechable")),""
)</f>
        <v/>
      </c>
      <c r="J700" t="str" cm="1">
        <f t="array" aca="1" ref="J700" ca="1">IF(ISNUMBER(A700),IFERROR(_xlfn._xlws.FILTER(Equipar!A:A,(Equipar!B:B=3)*(Equipar!AC:AC=A700)),""),"")</f>
        <v/>
      </c>
    </row>
    <row r="701" spans="1:10" x14ac:dyDescent="0.25">
      <c r="A701" s="1" t="str">
        <f ca="1">IF(A700="ID",1,IF(ISBLANK(B701),"",MAX(A$2:A700)+1))</f>
        <v/>
      </c>
      <c r="I701" s="2" t="str">
        <f ca="1">IF(ISNUMBER(A701),
IF(COUNTIFS(Equipar!B:B,3,Equipar!AC:AC,A701),"Equipada",
IF(
  OR(COUNTIFS(Equipar!B:B,3,Equipar!C:C,A701)
 +COUNTIFS(Equipar!B:B,3,Equipar!D:D,A701)
+COUNTIFS(Equipar!B:B,3,Equipar!E:E,A701)
+COUNTIFS(Equipar!B:B,3,Equipar!F:F,A701)
&gt;0,COUNTIF('Set recomendado'!B:B,C701)=0),
"Bloqueada",
"Desechable")),""
)</f>
        <v/>
      </c>
      <c r="J701" t="str" cm="1">
        <f t="array" aca="1" ref="J701" ca="1">IF(ISNUMBER(A701),IFERROR(_xlfn._xlws.FILTER(Equipar!A:A,(Equipar!B:B=3)*(Equipar!AC:AC=A701)),""),"")</f>
        <v/>
      </c>
    </row>
    <row r="702" spans="1:10" x14ac:dyDescent="0.25">
      <c r="A702" s="1" t="str">
        <f ca="1">IF(A701="ID",1,IF(ISBLANK(B702),"",MAX(A$2:A701)+1))</f>
        <v/>
      </c>
      <c r="I702" s="2" t="str">
        <f ca="1">IF(ISNUMBER(A702),
IF(COUNTIFS(Equipar!B:B,3,Equipar!AC:AC,A702),"Equipada",
IF(
  OR(COUNTIFS(Equipar!B:B,3,Equipar!C:C,A702)
 +COUNTIFS(Equipar!B:B,3,Equipar!D:D,A702)
+COUNTIFS(Equipar!B:B,3,Equipar!E:E,A702)
+COUNTIFS(Equipar!B:B,3,Equipar!F:F,A702)
&gt;0,COUNTIF('Set recomendado'!B:B,C702)=0),
"Bloqueada",
"Desechable")),""
)</f>
        <v/>
      </c>
      <c r="J702" t="str" cm="1">
        <f t="array" aca="1" ref="J702" ca="1">IF(ISNUMBER(A702),IFERROR(_xlfn._xlws.FILTER(Equipar!A:A,(Equipar!B:B=3)*(Equipar!AC:AC=A702)),""),"")</f>
        <v/>
      </c>
    </row>
    <row r="703" spans="1:10" x14ac:dyDescent="0.25">
      <c r="A703" s="1" t="str">
        <f ca="1">IF(A702="ID",1,IF(ISBLANK(B703),"",MAX(A$2:A702)+1))</f>
        <v/>
      </c>
      <c r="I703" s="2" t="str">
        <f ca="1">IF(ISNUMBER(A703),
IF(COUNTIFS(Equipar!B:B,3,Equipar!AC:AC,A703),"Equipada",
IF(
  OR(COUNTIFS(Equipar!B:B,3,Equipar!C:C,A703)
 +COUNTIFS(Equipar!B:B,3,Equipar!D:D,A703)
+COUNTIFS(Equipar!B:B,3,Equipar!E:E,A703)
+COUNTIFS(Equipar!B:B,3,Equipar!F:F,A703)
&gt;0,COUNTIF('Set recomendado'!B:B,C703)=0),
"Bloqueada",
"Desechable")),""
)</f>
        <v/>
      </c>
      <c r="J703" t="str" cm="1">
        <f t="array" aca="1" ref="J703" ca="1">IF(ISNUMBER(A703),IFERROR(_xlfn._xlws.FILTER(Equipar!A:A,(Equipar!B:B=3)*(Equipar!AC:AC=A703)),""),"")</f>
        <v/>
      </c>
    </row>
    <row r="704" spans="1:10" x14ac:dyDescent="0.25">
      <c r="A704" s="1" t="str">
        <f ca="1">IF(A703="ID",1,IF(ISBLANK(B704),"",MAX(A$2:A703)+1))</f>
        <v/>
      </c>
      <c r="I704" s="2" t="str">
        <f ca="1">IF(ISNUMBER(A704),
IF(COUNTIFS(Equipar!B:B,3,Equipar!AC:AC,A704),"Equipada",
IF(
  OR(COUNTIFS(Equipar!B:B,3,Equipar!C:C,A704)
 +COUNTIFS(Equipar!B:B,3,Equipar!D:D,A704)
+COUNTIFS(Equipar!B:B,3,Equipar!E:E,A704)
+COUNTIFS(Equipar!B:B,3,Equipar!F:F,A704)
&gt;0,COUNTIF('Set recomendado'!B:B,C704)=0),
"Bloqueada",
"Desechable")),""
)</f>
        <v/>
      </c>
      <c r="J704" t="str" cm="1">
        <f t="array" aca="1" ref="J704" ca="1">IF(ISNUMBER(A704),IFERROR(_xlfn._xlws.FILTER(Equipar!A:A,(Equipar!B:B=3)*(Equipar!AC:AC=A704)),""),"")</f>
        <v/>
      </c>
    </row>
    <row r="705" spans="1:10" x14ac:dyDescent="0.25">
      <c r="A705" s="1" t="str">
        <f ca="1">IF(A704="ID",1,IF(ISBLANK(B705),"",MAX(A$2:A704)+1))</f>
        <v/>
      </c>
      <c r="I705" s="2" t="str">
        <f ca="1">IF(ISNUMBER(A705),
IF(COUNTIFS(Equipar!B:B,3,Equipar!AC:AC,A705),"Equipada",
IF(
  OR(COUNTIFS(Equipar!B:B,3,Equipar!C:C,A705)
 +COUNTIFS(Equipar!B:B,3,Equipar!D:D,A705)
+COUNTIFS(Equipar!B:B,3,Equipar!E:E,A705)
+COUNTIFS(Equipar!B:B,3,Equipar!F:F,A705)
&gt;0,COUNTIF('Set recomendado'!B:B,C705)=0),
"Bloqueada",
"Desechable")),""
)</f>
        <v/>
      </c>
      <c r="J705" t="str" cm="1">
        <f t="array" aca="1" ref="J705" ca="1">IF(ISNUMBER(A705),IFERROR(_xlfn._xlws.FILTER(Equipar!A:A,(Equipar!B:B=3)*(Equipar!AC:AC=A705)),""),"")</f>
        <v/>
      </c>
    </row>
    <row r="706" spans="1:10" x14ac:dyDescent="0.25">
      <c r="A706" s="1" t="str">
        <f ca="1">IF(A705="ID",1,IF(ISBLANK(B706),"",MAX(A$2:A705)+1))</f>
        <v/>
      </c>
      <c r="I706" s="2" t="str">
        <f ca="1">IF(ISNUMBER(A706),
IF(COUNTIFS(Equipar!B:B,3,Equipar!AC:AC,A706),"Equipada",
IF(
  OR(COUNTIFS(Equipar!B:B,3,Equipar!C:C,A706)
 +COUNTIFS(Equipar!B:B,3,Equipar!D:D,A706)
+COUNTIFS(Equipar!B:B,3,Equipar!E:E,A706)
+COUNTIFS(Equipar!B:B,3,Equipar!F:F,A706)
&gt;0,COUNTIF('Set recomendado'!B:B,C706)=0),
"Bloqueada",
"Desechable")),""
)</f>
        <v/>
      </c>
      <c r="J706" t="str" cm="1">
        <f t="array" aca="1" ref="J706" ca="1">IF(ISNUMBER(A706),IFERROR(_xlfn._xlws.FILTER(Equipar!A:A,(Equipar!B:B=3)*(Equipar!AC:AC=A706)),""),"")</f>
        <v/>
      </c>
    </row>
    <row r="707" spans="1:10" x14ac:dyDescent="0.25">
      <c r="A707" s="1" t="str">
        <f ca="1">IF(A706="ID",1,IF(ISBLANK(B707),"",MAX(A$2:A706)+1))</f>
        <v/>
      </c>
      <c r="I707" s="2" t="str">
        <f ca="1">IF(ISNUMBER(A707),
IF(COUNTIFS(Equipar!B:B,3,Equipar!AC:AC,A707),"Equipada",
IF(
  OR(COUNTIFS(Equipar!B:B,3,Equipar!C:C,A707)
 +COUNTIFS(Equipar!B:B,3,Equipar!D:D,A707)
+COUNTIFS(Equipar!B:B,3,Equipar!E:E,A707)
+COUNTIFS(Equipar!B:B,3,Equipar!F:F,A707)
&gt;0,COUNTIF('Set recomendado'!B:B,C707)=0),
"Bloqueada",
"Desechable")),""
)</f>
        <v/>
      </c>
      <c r="J707" t="str" cm="1">
        <f t="array" aca="1" ref="J707" ca="1">IF(ISNUMBER(A707),IFERROR(_xlfn._xlws.FILTER(Equipar!A:A,(Equipar!B:B=3)*(Equipar!AC:AC=A707)),""),"")</f>
        <v/>
      </c>
    </row>
    <row r="708" spans="1:10" x14ac:dyDescent="0.25">
      <c r="A708" s="1" t="str">
        <f ca="1">IF(A707="ID",1,IF(ISBLANK(B708),"",MAX(A$2:A707)+1))</f>
        <v/>
      </c>
      <c r="I708" s="2" t="str">
        <f ca="1">IF(ISNUMBER(A708),
IF(COUNTIFS(Equipar!B:B,3,Equipar!AC:AC,A708),"Equipada",
IF(
  OR(COUNTIFS(Equipar!B:B,3,Equipar!C:C,A708)
 +COUNTIFS(Equipar!B:B,3,Equipar!D:D,A708)
+COUNTIFS(Equipar!B:B,3,Equipar!E:E,A708)
+COUNTIFS(Equipar!B:B,3,Equipar!F:F,A708)
&gt;0,COUNTIF('Set recomendado'!B:B,C708)=0),
"Bloqueada",
"Desechable")),""
)</f>
        <v/>
      </c>
      <c r="J708" t="str" cm="1">
        <f t="array" aca="1" ref="J708" ca="1">IF(ISNUMBER(A708),IFERROR(_xlfn._xlws.FILTER(Equipar!A:A,(Equipar!B:B=3)*(Equipar!AC:AC=A708)),""),"")</f>
        <v/>
      </c>
    </row>
    <row r="709" spans="1:10" x14ac:dyDescent="0.25">
      <c r="A709" s="1" t="str">
        <f ca="1">IF(A708="ID",1,IF(ISBLANK(B709),"",MAX(A$2:A708)+1))</f>
        <v/>
      </c>
      <c r="I709" s="2" t="str">
        <f ca="1">IF(ISNUMBER(A709),
IF(COUNTIFS(Equipar!B:B,3,Equipar!AC:AC,A709),"Equipada",
IF(
  OR(COUNTIFS(Equipar!B:B,3,Equipar!C:C,A709)
 +COUNTIFS(Equipar!B:B,3,Equipar!D:D,A709)
+COUNTIFS(Equipar!B:B,3,Equipar!E:E,A709)
+COUNTIFS(Equipar!B:B,3,Equipar!F:F,A709)
&gt;0,COUNTIF('Set recomendado'!B:B,C709)=0),
"Bloqueada",
"Desechable")),""
)</f>
        <v/>
      </c>
      <c r="J709" t="str" cm="1">
        <f t="array" aca="1" ref="J709" ca="1">IF(ISNUMBER(A709),IFERROR(_xlfn._xlws.FILTER(Equipar!A:A,(Equipar!B:B=3)*(Equipar!AC:AC=A709)),""),"")</f>
        <v/>
      </c>
    </row>
    <row r="710" spans="1:10" x14ac:dyDescent="0.25">
      <c r="A710" s="1" t="str">
        <f ca="1">IF(A709="ID",1,IF(ISBLANK(B710),"",MAX(A$2:A709)+1))</f>
        <v/>
      </c>
      <c r="I710" s="2" t="str">
        <f ca="1">IF(ISNUMBER(A710),
IF(COUNTIFS(Equipar!B:B,3,Equipar!AC:AC,A710),"Equipada",
IF(
  OR(COUNTIFS(Equipar!B:B,3,Equipar!C:C,A710)
 +COUNTIFS(Equipar!B:B,3,Equipar!D:D,A710)
+COUNTIFS(Equipar!B:B,3,Equipar!E:E,A710)
+COUNTIFS(Equipar!B:B,3,Equipar!F:F,A710)
&gt;0,COUNTIF('Set recomendado'!B:B,C710)=0),
"Bloqueada",
"Desechable")),""
)</f>
        <v/>
      </c>
      <c r="J710" t="str" cm="1">
        <f t="array" aca="1" ref="J710" ca="1">IF(ISNUMBER(A710),IFERROR(_xlfn._xlws.FILTER(Equipar!A:A,(Equipar!B:B=3)*(Equipar!AC:AC=A710)),""),"")</f>
        <v/>
      </c>
    </row>
    <row r="711" spans="1:10" x14ac:dyDescent="0.25">
      <c r="A711" s="1" t="str">
        <f ca="1">IF(A710="ID",1,IF(ISBLANK(B711),"",MAX(A$2:A710)+1))</f>
        <v/>
      </c>
      <c r="I711" s="2" t="str">
        <f ca="1">IF(ISNUMBER(A711),
IF(COUNTIFS(Equipar!B:B,3,Equipar!AC:AC,A711),"Equipada",
IF(
  OR(COUNTIFS(Equipar!B:B,3,Equipar!C:C,A711)
 +COUNTIFS(Equipar!B:B,3,Equipar!D:D,A711)
+COUNTIFS(Equipar!B:B,3,Equipar!E:E,A711)
+COUNTIFS(Equipar!B:B,3,Equipar!F:F,A711)
&gt;0,COUNTIF('Set recomendado'!B:B,C711)=0),
"Bloqueada",
"Desechable")),""
)</f>
        <v/>
      </c>
      <c r="J711" t="str" cm="1">
        <f t="array" aca="1" ref="J711" ca="1">IF(ISNUMBER(A711),IFERROR(_xlfn._xlws.FILTER(Equipar!A:A,(Equipar!B:B=3)*(Equipar!AC:AC=A711)),""),"")</f>
        <v/>
      </c>
    </row>
    <row r="712" spans="1:10" x14ac:dyDescent="0.25">
      <c r="A712" s="1" t="str">
        <f ca="1">IF(A711="ID",1,IF(ISBLANK(B712),"",MAX(A$2:A711)+1))</f>
        <v/>
      </c>
      <c r="I712" s="2" t="str">
        <f ca="1">IF(ISNUMBER(A712),
IF(COUNTIFS(Equipar!B:B,3,Equipar!AC:AC,A712),"Equipada",
IF(
  OR(COUNTIFS(Equipar!B:B,3,Equipar!C:C,A712)
 +COUNTIFS(Equipar!B:B,3,Equipar!D:D,A712)
+COUNTIFS(Equipar!B:B,3,Equipar!E:E,A712)
+COUNTIFS(Equipar!B:B,3,Equipar!F:F,A712)
&gt;0,COUNTIF('Set recomendado'!B:B,C712)=0),
"Bloqueada",
"Desechable")),""
)</f>
        <v/>
      </c>
      <c r="J712" t="str" cm="1">
        <f t="array" aca="1" ref="J712" ca="1">IF(ISNUMBER(A712),IFERROR(_xlfn._xlws.FILTER(Equipar!A:A,(Equipar!B:B=3)*(Equipar!AC:AC=A712)),""),"")</f>
        <v/>
      </c>
    </row>
    <row r="713" spans="1:10" x14ac:dyDescent="0.25">
      <c r="A713" s="1" t="str">
        <f ca="1">IF(A712="ID",1,IF(ISBLANK(B713),"",MAX(A$2:A712)+1))</f>
        <v/>
      </c>
      <c r="I713" s="2" t="str">
        <f ca="1">IF(ISNUMBER(A713),
IF(COUNTIFS(Equipar!B:B,3,Equipar!AC:AC,A713),"Equipada",
IF(
  OR(COUNTIFS(Equipar!B:B,3,Equipar!C:C,A713)
 +COUNTIFS(Equipar!B:B,3,Equipar!D:D,A713)
+COUNTIFS(Equipar!B:B,3,Equipar!E:E,A713)
+COUNTIFS(Equipar!B:B,3,Equipar!F:F,A713)
&gt;0,COUNTIF('Set recomendado'!B:B,C713)=0),
"Bloqueada",
"Desechable")),""
)</f>
        <v/>
      </c>
      <c r="J713" t="str" cm="1">
        <f t="array" aca="1" ref="J713" ca="1">IF(ISNUMBER(A713),IFERROR(_xlfn._xlws.FILTER(Equipar!A:A,(Equipar!B:B=3)*(Equipar!AC:AC=A713)),""),"")</f>
        <v/>
      </c>
    </row>
    <row r="714" spans="1:10" x14ac:dyDescent="0.25">
      <c r="A714" s="1" t="str">
        <f ca="1">IF(A713="ID",1,IF(ISBLANK(B714),"",MAX(A$2:A713)+1))</f>
        <v/>
      </c>
      <c r="I714" s="2" t="str">
        <f ca="1">IF(ISNUMBER(A714),
IF(COUNTIFS(Equipar!B:B,3,Equipar!AC:AC,A714),"Equipada",
IF(
  OR(COUNTIFS(Equipar!B:B,3,Equipar!C:C,A714)
 +COUNTIFS(Equipar!B:B,3,Equipar!D:D,A714)
+COUNTIFS(Equipar!B:B,3,Equipar!E:E,A714)
+COUNTIFS(Equipar!B:B,3,Equipar!F:F,A714)
&gt;0,COUNTIF('Set recomendado'!B:B,C714)=0),
"Bloqueada",
"Desechable")),""
)</f>
        <v/>
      </c>
      <c r="J714" t="str" cm="1">
        <f t="array" aca="1" ref="J714" ca="1">IF(ISNUMBER(A714),IFERROR(_xlfn._xlws.FILTER(Equipar!A:A,(Equipar!B:B=3)*(Equipar!AC:AC=A714)),""),"")</f>
        <v/>
      </c>
    </row>
    <row r="715" spans="1:10" x14ac:dyDescent="0.25">
      <c r="A715" s="1" t="str">
        <f ca="1">IF(A714="ID",1,IF(ISBLANK(B715),"",MAX(A$2:A714)+1))</f>
        <v/>
      </c>
      <c r="I715" s="2" t="str">
        <f ca="1">IF(ISNUMBER(A715),
IF(COUNTIFS(Equipar!B:B,3,Equipar!AC:AC,A715),"Equipada",
IF(
  OR(COUNTIFS(Equipar!B:B,3,Equipar!C:C,A715)
 +COUNTIFS(Equipar!B:B,3,Equipar!D:D,A715)
+COUNTIFS(Equipar!B:B,3,Equipar!E:E,A715)
+COUNTIFS(Equipar!B:B,3,Equipar!F:F,A715)
&gt;0,COUNTIF('Set recomendado'!B:B,C715)=0),
"Bloqueada",
"Desechable")),""
)</f>
        <v/>
      </c>
      <c r="J715" t="str" cm="1">
        <f t="array" aca="1" ref="J715" ca="1">IF(ISNUMBER(A715),IFERROR(_xlfn._xlws.FILTER(Equipar!A:A,(Equipar!B:B=3)*(Equipar!AC:AC=A715)),""),"")</f>
        <v/>
      </c>
    </row>
    <row r="716" spans="1:10" x14ac:dyDescent="0.25">
      <c r="A716" s="1" t="str">
        <f ca="1">IF(A715="ID",1,IF(ISBLANK(B716),"",MAX(A$2:A715)+1))</f>
        <v/>
      </c>
      <c r="I716" s="2" t="str">
        <f ca="1">IF(ISNUMBER(A716),
IF(COUNTIFS(Equipar!B:B,3,Equipar!AC:AC,A716),"Equipada",
IF(
  OR(COUNTIFS(Equipar!B:B,3,Equipar!C:C,A716)
 +COUNTIFS(Equipar!B:B,3,Equipar!D:D,A716)
+COUNTIFS(Equipar!B:B,3,Equipar!E:E,A716)
+COUNTIFS(Equipar!B:B,3,Equipar!F:F,A716)
&gt;0,COUNTIF('Set recomendado'!B:B,C716)=0),
"Bloqueada",
"Desechable")),""
)</f>
        <v/>
      </c>
      <c r="J716" t="str" cm="1">
        <f t="array" aca="1" ref="J716" ca="1">IF(ISNUMBER(A716),IFERROR(_xlfn._xlws.FILTER(Equipar!A:A,(Equipar!B:B=3)*(Equipar!AC:AC=A716)),""),"")</f>
        <v/>
      </c>
    </row>
    <row r="717" spans="1:10" x14ac:dyDescent="0.25">
      <c r="A717" s="1" t="str">
        <f ca="1">IF(A716="ID",1,IF(ISBLANK(B717),"",MAX(A$2:A716)+1))</f>
        <v/>
      </c>
      <c r="I717" s="2" t="str">
        <f ca="1">IF(ISNUMBER(A717),
IF(COUNTIFS(Equipar!B:B,3,Equipar!AC:AC,A717),"Equipada",
IF(
  OR(COUNTIFS(Equipar!B:B,3,Equipar!C:C,A717)
 +COUNTIFS(Equipar!B:B,3,Equipar!D:D,A717)
+COUNTIFS(Equipar!B:B,3,Equipar!E:E,A717)
+COUNTIFS(Equipar!B:B,3,Equipar!F:F,A717)
&gt;0,COUNTIF('Set recomendado'!B:B,C717)=0),
"Bloqueada",
"Desechable")),""
)</f>
        <v/>
      </c>
      <c r="J717" t="str" cm="1">
        <f t="array" aca="1" ref="J717" ca="1">IF(ISNUMBER(A717),IFERROR(_xlfn._xlws.FILTER(Equipar!A:A,(Equipar!B:B=3)*(Equipar!AC:AC=A717)),""),"")</f>
        <v/>
      </c>
    </row>
    <row r="718" spans="1:10" x14ac:dyDescent="0.25">
      <c r="A718" s="1" t="str">
        <f ca="1">IF(A717="ID",1,IF(ISBLANK(B718),"",MAX(A$2:A717)+1))</f>
        <v/>
      </c>
      <c r="I718" s="2" t="str">
        <f ca="1">IF(ISNUMBER(A718),
IF(COUNTIFS(Equipar!B:B,3,Equipar!AC:AC,A718),"Equipada",
IF(
  OR(COUNTIFS(Equipar!B:B,3,Equipar!C:C,A718)
 +COUNTIFS(Equipar!B:B,3,Equipar!D:D,A718)
+COUNTIFS(Equipar!B:B,3,Equipar!E:E,A718)
+COUNTIFS(Equipar!B:B,3,Equipar!F:F,A718)
&gt;0,COUNTIF('Set recomendado'!B:B,C718)=0),
"Bloqueada",
"Desechable")),""
)</f>
        <v/>
      </c>
      <c r="J718" t="str" cm="1">
        <f t="array" aca="1" ref="J718" ca="1">IF(ISNUMBER(A718),IFERROR(_xlfn._xlws.FILTER(Equipar!A:A,(Equipar!B:B=3)*(Equipar!AC:AC=A718)),""),"")</f>
        <v/>
      </c>
    </row>
    <row r="719" spans="1:10" x14ac:dyDescent="0.25">
      <c r="A719" s="1" t="str">
        <f ca="1">IF(A718="ID",1,IF(ISBLANK(B719),"",MAX(A$2:A718)+1))</f>
        <v/>
      </c>
      <c r="I719" s="2" t="str">
        <f ca="1">IF(ISNUMBER(A719),
IF(COUNTIFS(Equipar!B:B,3,Equipar!AC:AC,A719),"Equipada",
IF(
  OR(COUNTIFS(Equipar!B:B,3,Equipar!C:C,A719)
 +COUNTIFS(Equipar!B:B,3,Equipar!D:D,A719)
+COUNTIFS(Equipar!B:B,3,Equipar!E:E,A719)
+COUNTIFS(Equipar!B:B,3,Equipar!F:F,A719)
&gt;0,COUNTIF('Set recomendado'!B:B,C719)=0),
"Bloqueada",
"Desechable")),""
)</f>
        <v/>
      </c>
      <c r="J719" t="str" cm="1">
        <f t="array" aca="1" ref="J719" ca="1">IF(ISNUMBER(A719),IFERROR(_xlfn._xlws.FILTER(Equipar!A:A,(Equipar!B:B=3)*(Equipar!AC:AC=A719)),""),"")</f>
        <v/>
      </c>
    </row>
    <row r="720" spans="1:10" x14ac:dyDescent="0.25">
      <c r="A720" s="1" t="str">
        <f ca="1">IF(A719="ID",1,IF(ISBLANK(B720),"",MAX(A$2:A719)+1))</f>
        <v/>
      </c>
      <c r="I720" s="2" t="str">
        <f ca="1">IF(ISNUMBER(A720),
IF(COUNTIFS(Equipar!B:B,3,Equipar!AC:AC,A720),"Equipada",
IF(
  OR(COUNTIFS(Equipar!B:B,3,Equipar!C:C,A720)
 +COUNTIFS(Equipar!B:B,3,Equipar!D:D,A720)
+COUNTIFS(Equipar!B:B,3,Equipar!E:E,A720)
+COUNTIFS(Equipar!B:B,3,Equipar!F:F,A720)
&gt;0,COUNTIF('Set recomendado'!B:B,C720)=0),
"Bloqueada",
"Desechable")),""
)</f>
        <v/>
      </c>
      <c r="J720" t="str" cm="1">
        <f t="array" aca="1" ref="J720" ca="1">IF(ISNUMBER(A720),IFERROR(_xlfn._xlws.FILTER(Equipar!A:A,(Equipar!B:B=3)*(Equipar!AC:AC=A720)),""),"")</f>
        <v/>
      </c>
    </row>
    <row r="721" spans="1:10" x14ac:dyDescent="0.25">
      <c r="A721" s="1" t="str">
        <f ca="1">IF(A720="ID",1,IF(ISBLANK(B721),"",MAX(A$2:A720)+1))</f>
        <v/>
      </c>
      <c r="I721" s="2" t="str">
        <f ca="1">IF(ISNUMBER(A721),
IF(COUNTIFS(Equipar!B:B,3,Equipar!AC:AC,A721),"Equipada",
IF(
  OR(COUNTIFS(Equipar!B:B,3,Equipar!C:C,A721)
 +COUNTIFS(Equipar!B:B,3,Equipar!D:D,A721)
+COUNTIFS(Equipar!B:B,3,Equipar!E:E,A721)
+COUNTIFS(Equipar!B:B,3,Equipar!F:F,A721)
&gt;0,COUNTIF('Set recomendado'!B:B,C721)=0),
"Bloqueada",
"Desechable")),""
)</f>
        <v/>
      </c>
      <c r="J721" t="str" cm="1">
        <f t="array" aca="1" ref="J721" ca="1">IF(ISNUMBER(A721),IFERROR(_xlfn._xlws.FILTER(Equipar!A:A,(Equipar!B:B=3)*(Equipar!AC:AC=A721)),""),"")</f>
        <v/>
      </c>
    </row>
    <row r="722" spans="1:10" x14ac:dyDescent="0.25">
      <c r="A722" s="1" t="str">
        <f ca="1">IF(A721="ID",1,IF(ISBLANK(B722),"",MAX(A$2:A721)+1))</f>
        <v/>
      </c>
      <c r="I722" s="2" t="str">
        <f ca="1">IF(ISNUMBER(A722),
IF(COUNTIFS(Equipar!B:B,3,Equipar!AC:AC,A722),"Equipada",
IF(
  OR(COUNTIFS(Equipar!B:B,3,Equipar!C:C,A722)
 +COUNTIFS(Equipar!B:B,3,Equipar!D:D,A722)
+COUNTIFS(Equipar!B:B,3,Equipar!E:E,A722)
+COUNTIFS(Equipar!B:B,3,Equipar!F:F,A722)
&gt;0,COUNTIF('Set recomendado'!B:B,C722)=0),
"Bloqueada",
"Desechable")),""
)</f>
        <v/>
      </c>
      <c r="J722" t="str" cm="1">
        <f t="array" aca="1" ref="J722" ca="1">IF(ISNUMBER(A722),IFERROR(_xlfn._xlws.FILTER(Equipar!A:A,(Equipar!B:B=3)*(Equipar!AC:AC=A722)),""),"")</f>
        <v/>
      </c>
    </row>
    <row r="723" spans="1:10" x14ac:dyDescent="0.25">
      <c r="A723" s="1" t="str">
        <f ca="1">IF(A722="ID",1,IF(ISBLANK(B723),"",MAX(A$2:A722)+1))</f>
        <v/>
      </c>
      <c r="I723" s="2" t="str">
        <f ca="1">IF(ISNUMBER(A723),
IF(COUNTIFS(Equipar!B:B,3,Equipar!AC:AC,A723),"Equipada",
IF(
  OR(COUNTIFS(Equipar!B:B,3,Equipar!C:C,A723)
 +COUNTIFS(Equipar!B:B,3,Equipar!D:D,A723)
+COUNTIFS(Equipar!B:B,3,Equipar!E:E,A723)
+COUNTIFS(Equipar!B:B,3,Equipar!F:F,A723)
&gt;0,COUNTIF('Set recomendado'!B:B,C723)=0),
"Bloqueada",
"Desechable")),""
)</f>
        <v/>
      </c>
      <c r="J723" t="str" cm="1">
        <f t="array" aca="1" ref="J723" ca="1">IF(ISNUMBER(A723),IFERROR(_xlfn._xlws.FILTER(Equipar!A:A,(Equipar!B:B=3)*(Equipar!AC:AC=A723)),""),"")</f>
        <v/>
      </c>
    </row>
    <row r="724" spans="1:10" x14ac:dyDescent="0.25">
      <c r="A724" s="1" t="str">
        <f ca="1">IF(A723="ID",1,IF(ISBLANK(B724),"",MAX(A$2:A723)+1))</f>
        <v/>
      </c>
      <c r="I724" s="2" t="str">
        <f ca="1">IF(ISNUMBER(A724),
IF(COUNTIFS(Equipar!B:B,3,Equipar!AC:AC,A724),"Equipada",
IF(
  OR(COUNTIFS(Equipar!B:B,3,Equipar!C:C,A724)
 +COUNTIFS(Equipar!B:B,3,Equipar!D:D,A724)
+COUNTIFS(Equipar!B:B,3,Equipar!E:E,A724)
+COUNTIFS(Equipar!B:B,3,Equipar!F:F,A724)
&gt;0,COUNTIF('Set recomendado'!B:B,C724)=0),
"Bloqueada",
"Desechable")),""
)</f>
        <v/>
      </c>
      <c r="J724" t="str" cm="1">
        <f t="array" aca="1" ref="J724" ca="1">IF(ISNUMBER(A724),IFERROR(_xlfn._xlws.FILTER(Equipar!A:A,(Equipar!B:B=3)*(Equipar!AC:AC=A724)),""),"")</f>
        <v/>
      </c>
    </row>
    <row r="725" spans="1:10" x14ac:dyDescent="0.25">
      <c r="A725" s="1" t="str">
        <f ca="1">IF(A724="ID",1,IF(ISBLANK(B725),"",MAX(A$2:A724)+1))</f>
        <v/>
      </c>
      <c r="I725" s="2" t="str">
        <f ca="1">IF(ISNUMBER(A725),
IF(COUNTIFS(Equipar!B:B,3,Equipar!AC:AC,A725),"Equipada",
IF(
  OR(COUNTIFS(Equipar!B:B,3,Equipar!C:C,A725)
 +COUNTIFS(Equipar!B:B,3,Equipar!D:D,A725)
+COUNTIFS(Equipar!B:B,3,Equipar!E:E,A725)
+COUNTIFS(Equipar!B:B,3,Equipar!F:F,A725)
&gt;0,COUNTIF('Set recomendado'!B:B,C725)=0),
"Bloqueada",
"Desechable")),""
)</f>
        <v/>
      </c>
      <c r="J725" t="str" cm="1">
        <f t="array" aca="1" ref="J725" ca="1">IF(ISNUMBER(A725),IFERROR(_xlfn._xlws.FILTER(Equipar!A:A,(Equipar!B:B=3)*(Equipar!AC:AC=A725)),""),"")</f>
        <v/>
      </c>
    </row>
    <row r="726" spans="1:10" x14ac:dyDescent="0.25">
      <c r="A726" s="1" t="str">
        <f ca="1">IF(A725="ID",1,IF(ISBLANK(B726),"",MAX(A$2:A725)+1))</f>
        <v/>
      </c>
      <c r="I726" s="2" t="str">
        <f ca="1">IF(ISNUMBER(A726),
IF(COUNTIFS(Equipar!B:B,3,Equipar!AC:AC,A726),"Equipada",
IF(
  OR(COUNTIFS(Equipar!B:B,3,Equipar!C:C,A726)
 +COUNTIFS(Equipar!B:B,3,Equipar!D:D,A726)
+COUNTIFS(Equipar!B:B,3,Equipar!E:E,A726)
+COUNTIFS(Equipar!B:B,3,Equipar!F:F,A726)
&gt;0,COUNTIF('Set recomendado'!B:B,C726)=0),
"Bloqueada",
"Desechable")),""
)</f>
        <v/>
      </c>
      <c r="J726" t="str" cm="1">
        <f t="array" aca="1" ref="J726" ca="1">IF(ISNUMBER(A726),IFERROR(_xlfn._xlws.FILTER(Equipar!A:A,(Equipar!B:B=3)*(Equipar!AC:AC=A726)),""),"")</f>
        <v/>
      </c>
    </row>
    <row r="727" spans="1:10" x14ac:dyDescent="0.25">
      <c r="A727" s="1" t="str">
        <f ca="1">IF(A726="ID",1,IF(ISBLANK(B727),"",MAX(A$2:A726)+1))</f>
        <v/>
      </c>
      <c r="I727" s="2" t="str">
        <f ca="1">IF(ISNUMBER(A727),
IF(COUNTIFS(Equipar!B:B,3,Equipar!AC:AC,A727),"Equipada",
IF(
  OR(COUNTIFS(Equipar!B:B,3,Equipar!C:C,A727)
 +COUNTIFS(Equipar!B:B,3,Equipar!D:D,A727)
+COUNTIFS(Equipar!B:B,3,Equipar!E:E,A727)
+COUNTIFS(Equipar!B:B,3,Equipar!F:F,A727)
&gt;0,COUNTIF('Set recomendado'!B:B,C727)=0),
"Bloqueada",
"Desechable")),""
)</f>
        <v/>
      </c>
      <c r="J727" t="str" cm="1">
        <f t="array" aca="1" ref="J727" ca="1">IF(ISNUMBER(A727),IFERROR(_xlfn._xlws.FILTER(Equipar!A:A,(Equipar!B:B=3)*(Equipar!AC:AC=A727)),""),"")</f>
        <v/>
      </c>
    </row>
    <row r="728" spans="1:10" x14ac:dyDescent="0.25">
      <c r="A728" s="1" t="str">
        <f ca="1">IF(A727="ID",1,IF(ISBLANK(B728),"",MAX(A$2:A727)+1))</f>
        <v/>
      </c>
      <c r="I728" s="2" t="str">
        <f ca="1">IF(ISNUMBER(A728),
IF(COUNTIFS(Equipar!B:B,3,Equipar!AC:AC,A728),"Equipada",
IF(
  OR(COUNTIFS(Equipar!B:B,3,Equipar!C:C,A728)
 +COUNTIFS(Equipar!B:B,3,Equipar!D:D,A728)
+COUNTIFS(Equipar!B:B,3,Equipar!E:E,A728)
+COUNTIFS(Equipar!B:B,3,Equipar!F:F,A728)
&gt;0,COUNTIF('Set recomendado'!B:B,C728)=0),
"Bloqueada",
"Desechable")),""
)</f>
        <v/>
      </c>
      <c r="J728" t="str" cm="1">
        <f t="array" aca="1" ref="J728" ca="1">IF(ISNUMBER(A728),IFERROR(_xlfn._xlws.FILTER(Equipar!A:A,(Equipar!B:B=3)*(Equipar!AC:AC=A728)),""),"")</f>
        <v/>
      </c>
    </row>
    <row r="729" spans="1:10" x14ac:dyDescent="0.25">
      <c r="A729" s="1" t="str">
        <f ca="1">IF(A728="ID",1,IF(ISBLANK(B729),"",MAX(A$2:A728)+1))</f>
        <v/>
      </c>
      <c r="I729" s="2" t="str">
        <f ca="1">IF(ISNUMBER(A729),
IF(COUNTIFS(Equipar!B:B,3,Equipar!AC:AC,A729),"Equipada",
IF(
  OR(COUNTIFS(Equipar!B:B,3,Equipar!C:C,A729)
 +COUNTIFS(Equipar!B:B,3,Equipar!D:D,A729)
+COUNTIFS(Equipar!B:B,3,Equipar!E:E,A729)
+COUNTIFS(Equipar!B:B,3,Equipar!F:F,A729)
&gt;0,COUNTIF('Set recomendado'!B:B,C729)=0),
"Bloqueada",
"Desechable")),""
)</f>
        <v/>
      </c>
      <c r="J729" t="str" cm="1">
        <f t="array" aca="1" ref="J729" ca="1">IF(ISNUMBER(A729),IFERROR(_xlfn._xlws.FILTER(Equipar!A:A,(Equipar!B:B=3)*(Equipar!AC:AC=A729)),""),"")</f>
        <v/>
      </c>
    </row>
    <row r="730" spans="1:10" x14ac:dyDescent="0.25">
      <c r="A730" s="1" t="str">
        <f ca="1">IF(A729="ID",1,IF(ISBLANK(B730),"",MAX(A$2:A729)+1))</f>
        <v/>
      </c>
      <c r="I730" s="2" t="str">
        <f ca="1">IF(ISNUMBER(A730),
IF(COUNTIFS(Equipar!B:B,3,Equipar!AC:AC,A730),"Equipada",
IF(
  OR(COUNTIFS(Equipar!B:B,3,Equipar!C:C,A730)
 +COUNTIFS(Equipar!B:B,3,Equipar!D:D,A730)
+COUNTIFS(Equipar!B:B,3,Equipar!E:E,A730)
+COUNTIFS(Equipar!B:B,3,Equipar!F:F,A730)
&gt;0,COUNTIF('Set recomendado'!B:B,C730)=0),
"Bloqueada",
"Desechable")),""
)</f>
        <v/>
      </c>
      <c r="J730" t="str" cm="1">
        <f t="array" aca="1" ref="J730" ca="1">IF(ISNUMBER(A730),IFERROR(_xlfn._xlws.FILTER(Equipar!A:A,(Equipar!B:B=3)*(Equipar!AC:AC=A730)),""),"")</f>
        <v/>
      </c>
    </row>
    <row r="731" spans="1:10" x14ac:dyDescent="0.25">
      <c r="A731" s="1" t="str">
        <f ca="1">IF(A730="ID",1,IF(ISBLANK(B731),"",MAX(A$2:A730)+1))</f>
        <v/>
      </c>
      <c r="I731" s="2" t="str">
        <f ca="1">IF(ISNUMBER(A731),
IF(COUNTIFS(Equipar!B:B,3,Equipar!AC:AC,A731),"Equipada",
IF(
  OR(COUNTIFS(Equipar!B:B,3,Equipar!C:C,A731)
 +COUNTIFS(Equipar!B:B,3,Equipar!D:D,A731)
+COUNTIFS(Equipar!B:B,3,Equipar!E:E,A731)
+COUNTIFS(Equipar!B:B,3,Equipar!F:F,A731)
&gt;0,COUNTIF('Set recomendado'!B:B,C731)=0),
"Bloqueada",
"Desechable")),""
)</f>
        <v/>
      </c>
      <c r="J731" t="str" cm="1">
        <f t="array" aca="1" ref="J731" ca="1">IF(ISNUMBER(A731),IFERROR(_xlfn._xlws.FILTER(Equipar!A:A,(Equipar!B:B=3)*(Equipar!AC:AC=A731)),""),"")</f>
        <v/>
      </c>
    </row>
    <row r="732" spans="1:10" x14ac:dyDescent="0.25">
      <c r="A732" s="1" t="str">
        <f ca="1">IF(A731="ID",1,IF(ISBLANK(B732),"",MAX(A$2:A731)+1))</f>
        <v/>
      </c>
      <c r="I732" s="2" t="str">
        <f ca="1">IF(ISNUMBER(A732),
IF(COUNTIFS(Equipar!B:B,3,Equipar!AC:AC,A732),"Equipada",
IF(
  OR(COUNTIFS(Equipar!B:B,3,Equipar!C:C,A732)
 +COUNTIFS(Equipar!B:B,3,Equipar!D:D,A732)
+COUNTIFS(Equipar!B:B,3,Equipar!E:E,A732)
+COUNTIFS(Equipar!B:B,3,Equipar!F:F,A732)
&gt;0,COUNTIF('Set recomendado'!B:B,C732)=0),
"Bloqueada",
"Desechable")),""
)</f>
        <v/>
      </c>
      <c r="J732" t="str" cm="1">
        <f t="array" aca="1" ref="J732" ca="1">IF(ISNUMBER(A732),IFERROR(_xlfn._xlws.FILTER(Equipar!A:A,(Equipar!B:B=3)*(Equipar!AC:AC=A732)),""),"")</f>
        <v/>
      </c>
    </row>
    <row r="733" spans="1:10" x14ac:dyDescent="0.25">
      <c r="A733" s="1" t="str">
        <f ca="1">IF(A732="ID",1,IF(ISBLANK(B733),"",MAX(A$2:A732)+1))</f>
        <v/>
      </c>
      <c r="I733" s="2" t="str">
        <f ca="1">IF(ISNUMBER(A733),
IF(COUNTIFS(Equipar!B:B,3,Equipar!AC:AC,A733),"Equipada",
IF(
  OR(COUNTIFS(Equipar!B:B,3,Equipar!C:C,A733)
 +COUNTIFS(Equipar!B:B,3,Equipar!D:D,A733)
+COUNTIFS(Equipar!B:B,3,Equipar!E:E,A733)
+COUNTIFS(Equipar!B:B,3,Equipar!F:F,A733)
&gt;0,COUNTIF('Set recomendado'!B:B,C733)=0),
"Bloqueada",
"Desechable")),""
)</f>
        <v/>
      </c>
      <c r="J733" t="str" cm="1">
        <f t="array" aca="1" ref="J733" ca="1">IF(ISNUMBER(A733),IFERROR(_xlfn._xlws.FILTER(Equipar!A:A,(Equipar!B:B=3)*(Equipar!AC:AC=A733)),""),"")</f>
        <v/>
      </c>
    </row>
    <row r="734" spans="1:10" x14ac:dyDescent="0.25">
      <c r="A734" s="1" t="str">
        <f ca="1">IF(A733="ID",1,IF(ISBLANK(B734),"",MAX(A$2:A733)+1))</f>
        <v/>
      </c>
      <c r="I734" s="2" t="str">
        <f ca="1">IF(ISNUMBER(A734),
IF(COUNTIFS(Equipar!B:B,3,Equipar!AC:AC,A734),"Equipada",
IF(
  OR(COUNTIFS(Equipar!B:B,3,Equipar!C:C,A734)
 +COUNTIFS(Equipar!B:B,3,Equipar!D:D,A734)
+COUNTIFS(Equipar!B:B,3,Equipar!E:E,A734)
+COUNTIFS(Equipar!B:B,3,Equipar!F:F,A734)
&gt;0,COUNTIF('Set recomendado'!B:B,C734)=0),
"Bloqueada",
"Desechable")),""
)</f>
        <v/>
      </c>
      <c r="J734" t="str" cm="1">
        <f t="array" aca="1" ref="J734" ca="1">IF(ISNUMBER(A734),IFERROR(_xlfn._xlws.FILTER(Equipar!A:A,(Equipar!B:B=3)*(Equipar!AC:AC=A734)),""),"")</f>
        <v/>
      </c>
    </row>
    <row r="735" spans="1:10" x14ac:dyDescent="0.25">
      <c r="A735" s="1" t="str">
        <f ca="1">IF(A734="ID",1,IF(ISBLANK(B735),"",MAX(A$2:A734)+1))</f>
        <v/>
      </c>
      <c r="I735" s="2" t="str">
        <f ca="1">IF(ISNUMBER(A735),
IF(COUNTIFS(Equipar!B:B,3,Equipar!AC:AC,A735),"Equipada",
IF(
  OR(COUNTIFS(Equipar!B:B,3,Equipar!C:C,A735)
 +COUNTIFS(Equipar!B:B,3,Equipar!D:D,A735)
+COUNTIFS(Equipar!B:B,3,Equipar!E:E,A735)
+COUNTIFS(Equipar!B:B,3,Equipar!F:F,A735)
&gt;0,COUNTIF('Set recomendado'!B:B,C735)=0),
"Bloqueada",
"Desechable")),""
)</f>
        <v/>
      </c>
      <c r="J735" t="str" cm="1">
        <f t="array" aca="1" ref="J735" ca="1">IF(ISNUMBER(A735),IFERROR(_xlfn._xlws.FILTER(Equipar!A:A,(Equipar!B:B=3)*(Equipar!AC:AC=A735)),""),"")</f>
        <v/>
      </c>
    </row>
    <row r="736" spans="1:10" x14ac:dyDescent="0.25">
      <c r="A736" s="1" t="str">
        <f ca="1">IF(A735="ID",1,IF(ISBLANK(B736),"",MAX(A$2:A735)+1))</f>
        <v/>
      </c>
      <c r="I736" s="2" t="str">
        <f ca="1">IF(ISNUMBER(A736),
IF(COUNTIFS(Equipar!B:B,3,Equipar!AC:AC,A736),"Equipada",
IF(
  OR(COUNTIFS(Equipar!B:B,3,Equipar!C:C,A736)
 +COUNTIFS(Equipar!B:B,3,Equipar!D:D,A736)
+COUNTIFS(Equipar!B:B,3,Equipar!E:E,A736)
+COUNTIFS(Equipar!B:B,3,Equipar!F:F,A736)
&gt;0,COUNTIF('Set recomendado'!B:B,C736)=0),
"Bloqueada",
"Desechable")),""
)</f>
        <v/>
      </c>
      <c r="J736" t="str" cm="1">
        <f t="array" aca="1" ref="J736" ca="1">IF(ISNUMBER(A736),IFERROR(_xlfn._xlws.FILTER(Equipar!A:A,(Equipar!B:B=3)*(Equipar!AC:AC=A736)),""),"")</f>
        <v/>
      </c>
    </row>
    <row r="737" spans="1:10" x14ac:dyDescent="0.25">
      <c r="A737" s="1" t="str">
        <f ca="1">IF(A736="ID",1,IF(ISBLANK(B737),"",MAX(A$2:A736)+1))</f>
        <v/>
      </c>
      <c r="I737" s="2" t="str">
        <f ca="1">IF(ISNUMBER(A737),
IF(COUNTIFS(Equipar!B:B,3,Equipar!AC:AC,A737),"Equipada",
IF(
  OR(COUNTIFS(Equipar!B:B,3,Equipar!C:C,A737)
 +COUNTIFS(Equipar!B:B,3,Equipar!D:D,A737)
+COUNTIFS(Equipar!B:B,3,Equipar!E:E,A737)
+COUNTIFS(Equipar!B:B,3,Equipar!F:F,A737)
&gt;0,COUNTIF('Set recomendado'!B:B,C737)=0),
"Bloqueada",
"Desechable")),""
)</f>
        <v/>
      </c>
      <c r="J737" t="str" cm="1">
        <f t="array" aca="1" ref="J737" ca="1">IF(ISNUMBER(A737),IFERROR(_xlfn._xlws.FILTER(Equipar!A:A,(Equipar!B:B=3)*(Equipar!AC:AC=A737)),""),"")</f>
        <v/>
      </c>
    </row>
    <row r="738" spans="1:10" x14ac:dyDescent="0.25">
      <c r="A738" s="1" t="str">
        <f ca="1">IF(A737="ID",1,IF(ISBLANK(B738),"",MAX(A$2:A737)+1))</f>
        <v/>
      </c>
      <c r="I738" s="2" t="str">
        <f ca="1">IF(ISNUMBER(A738),
IF(COUNTIFS(Equipar!B:B,3,Equipar!AC:AC,A738),"Equipada",
IF(
  OR(COUNTIFS(Equipar!B:B,3,Equipar!C:C,A738)
 +COUNTIFS(Equipar!B:B,3,Equipar!D:D,A738)
+COUNTIFS(Equipar!B:B,3,Equipar!E:E,A738)
+COUNTIFS(Equipar!B:B,3,Equipar!F:F,A738)
&gt;0,COUNTIF('Set recomendado'!B:B,C738)=0),
"Bloqueada",
"Desechable")),""
)</f>
        <v/>
      </c>
      <c r="J738" t="str" cm="1">
        <f t="array" aca="1" ref="J738" ca="1">IF(ISNUMBER(A738),IFERROR(_xlfn._xlws.FILTER(Equipar!A:A,(Equipar!B:B=3)*(Equipar!AC:AC=A738)),""),"")</f>
        <v/>
      </c>
    </row>
    <row r="739" spans="1:10" x14ac:dyDescent="0.25">
      <c r="A739" s="1" t="str">
        <f ca="1">IF(A738="ID",1,IF(ISBLANK(B739),"",MAX(A$2:A738)+1))</f>
        <v/>
      </c>
      <c r="I739" s="2" t="str">
        <f ca="1">IF(ISNUMBER(A739),
IF(COUNTIFS(Equipar!B:B,3,Equipar!AC:AC,A739),"Equipada",
IF(
  OR(COUNTIFS(Equipar!B:B,3,Equipar!C:C,A739)
 +COUNTIFS(Equipar!B:B,3,Equipar!D:D,A739)
+COUNTIFS(Equipar!B:B,3,Equipar!E:E,A739)
+COUNTIFS(Equipar!B:B,3,Equipar!F:F,A739)
&gt;0,COUNTIF('Set recomendado'!B:B,C739)=0),
"Bloqueada",
"Desechable")),""
)</f>
        <v/>
      </c>
      <c r="J739" t="str" cm="1">
        <f t="array" aca="1" ref="J739" ca="1">IF(ISNUMBER(A739),IFERROR(_xlfn._xlws.FILTER(Equipar!A:A,(Equipar!B:B=3)*(Equipar!AC:AC=A739)),""),"")</f>
        <v/>
      </c>
    </row>
    <row r="740" spans="1:10" x14ac:dyDescent="0.25">
      <c r="A740" s="1" t="str">
        <f ca="1">IF(A739="ID",1,IF(ISBLANK(B740),"",MAX(A$2:A739)+1))</f>
        <v/>
      </c>
      <c r="I740" s="2" t="str">
        <f ca="1">IF(ISNUMBER(A740),
IF(COUNTIFS(Equipar!B:B,3,Equipar!AC:AC,A740),"Equipada",
IF(
  OR(COUNTIFS(Equipar!B:B,3,Equipar!C:C,A740)
 +COUNTIFS(Equipar!B:B,3,Equipar!D:D,A740)
+COUNTIFS(Equipar!B:B,3,Equipar!E:E,A740)
+COUNTIFS(Equipar!B:B,3,Equipar!F:F,A740)
&gt;0,COUNTIF('Set recomendado'!B:B,C740)=0),
"Bloqueada",
"Desechable")),""
)</f>
        <v/>
      </c>
      <c r="J740" t="str" cm="1">
        <f t="array" aca="1" ref="J740" ca="1">IF(ISNUMBER(A740),IFERROR(_xlfn._xlws.FILTER(Equipar!A:A,(Equipar!B:B=3)*(Equipar!AC:AC=A740)),""),"")</f>
        <v/>
      </c>
    </row>
    <row r="741" spans="1:10" x14ac:dyDescent="0.25">
      <c r="A741" s="1" t="str">
        <f ca="1">IF(A740="ID",1,IF(ISBLANK(B741),"",MAX(A$2:A740)+1))</f>
        <v/>
      </c>
      <c r="I741" s="2" t="str">
        <f ca="1">IF(ISNUMBER(A741),
IF(COUNTIFS(Equipar!B:B,3,Equipar!AC:AC,A741),"Equipada",
IF(
  OR(COUNTIFS(Equipar!B:B,3,Equipar!C:C,A741)
 +COUNTIFS(Equipar!B:B,3,Equipar!D:D,A741)
+COUNTIFS(Equipar!B:B,3,Equipar!E:E,A741)
+COUNTIFS(Equipar!B:B,3,Equipar!F:F,A741)
&gt;0,COUNTIF('Set recomendado'!B:B,C741)=0),
"Bloqueada",
"Desechable")),""
)</f>
        <v/>
      </c>
      <c r="J741" t="str" cm="1">
        <f t="array" aca="1" ref="J741" ca="1">IF(ISNUMBER(A741),IFERROR(_xlfn._xlws.FILTER(Equipar!A:A,(Equipar!B:B=3)*(Equipar!AC:AC=A741)),""),"")</f>
        <v/>
      </c>
    </row>
    <row r="742" spans="1:10" x14ac:dyDescent="0.25">
      <c r="A742" s="1" t="str">
        <f ca="1">IF(A741="ID",1,IF(ISBLANK(B742),"",MAX(A$2:A741)+1))</f>
        <v/>
      </c>
      <c r="I742" s="2" t="str">
        <f ca="1">IF(ISNUMBER(A742),
IF(COUNTIFS(Equipar!B:B,3,Equipar!AC:AC,A742),"Equipada",
IF(
  OR(COUNTIFS(Equipar!B:B,3,Equipar!C:C,A742)
 +COUNTIFS(Equipar!B:B,3,Equipar!D:D,A742)
+COUNTIFS(Equipar!B:B,3,Equipar!E:E,A742)
+COUNTIFS(Equipar!B:B,3,Equipar!F:F,A742)
&gt;0,COUNTIF('Set recomendado'!B:B,C742)=0),
"Bloqueada",
"Desechable")),""
)</f>
        <v/>
      </c>
      <c r="J742" t="str" cm="1">
        <f t="array" aca="1" ref="J742" ca="1">IF(ISNUMBER(A742),IFERROR(_xlfn._xlws.FILTER(Equipar!A:A,(Equipar!B:B=3)*(Equipar!AC:AC=A742)),""),"")</f>
        <v/>
      </c>
    </row>
    <row r="743" spans="1:10" x14ac:dyDescent="0.25">
      <c r="A743" s="1" t="str">
        <f ca="1">IF(A742="ID",1,IF(ISBLANK(B743),"",MAX(A$2:A742)+1))</f>
        <v/>
      </c>
      <c r="I743" s="2" t="str">
        <f ca="1">IF(ISNUMBER(A743),
IF(COUNTIFS(Equipar!B:B,3,Equipar!AC:AC,A743),"Equipada",
IF(
  OR(COUNTIFS(Equipar!B:B,3,Equipar!C:C,A743)
 +COUNTIFS(Equipar!B:B,3,Equipar!D:D,A743)
+COUNTIFS(Equipar!B:B,3,Equipar!E:E,A743)
+COUNTIFS(Equipar!B:B,3,Equipar!F:F,A743)
&gt;0,COUNTIF('Set recomendado'!B:B,C743)=0),
"Bloqueada",
"Desechable")),""
)</f>
        <v/>
      </c>
      <c r="J743" t="str" cm="1">
        <f t="array" aca="1" ref="J743" ca="1">IF(ISNUMBER(A743),IFERROR(_xlfn._xlws.FILTER(Equipar!A:A,(Equipar!B:B=3)*(Equipar!AC:AC=A743)),""),"")</f>
        <v/>
      </c>
    </row>
    <row r="744" spans="1:10" x14ac:dyDescent="0.25">
      <c r="A744" s="1" t="str">
        <f ca="1">IF(A743="ID",1,IF(ISBLANK(B744),"",MAX(A$2:A743)+1))</f>
        <v/>
      </c>
      <c r="I744" s="2" t="str">
        <f ca="1">IF(ISNUMBER(A744),
IF(COUNTIFS(Equipar!B:B,3,Equipar!AC:AC,A744),"Equipada",
IF(
  OR(COUNTIFS(Equipar!B:B,3,Equipar!C:C,A744)
 +COUNTIFS(Equipar!B:B,3,Equipar!D:D,A744)
+COUNTIFS(Equipar!B:B,3,Equipar!E:E,A744)
+COUNTIFS(Equipar!B:B,3,Equipar!F:F,A744)
&gt;0,COUNTIF('Set recomendado'!B:B,C744)=0),
"Bloqueada",
"Desechable")),""
)</f>
        <v/>
      </c>
      <c r="J744" t="str" cm="1">
        <f t="array" aca="1" ref="J744" ca="1">IF(ISNUMBER(A744),IFERROR(_xlfn._xlws.FILTER(Equipar!A:A,(Equipar!B:B=3)*(Equipar!AC:AC=A744)),""),"")</f>
        <v/>
      </c>
    </row>
    <row r="745" spans="1:10" x14ac:dyDescent="0.25">
      <c r="A745" s="1" t="str">
        <f ca="1">IF(A744="ID",1,IF(ISBLANK(B745),"",MAX(A$2:A744)+1))</f>
        <v/>
      </c>
      <c r="I745" s="2" t="str">
        <f ca="1">IF(ISNUMBER(A745),
IF(COUNTIFS(Equipar!B:B,3,Equipar!AC:AC,A745),"Equipada",
IF(
  OR(COUNTIFS(Equipar!B:B,3,Equipar!C:C,A745)
 +COUNTIFS(Equipar!B:B,3,Equipar!D:D,A745)
+COUNTIFS(Equipar!B:B,3,Equipar!E:E,A745)
+COUNTIFS(Equipar!B:B,3,Equipar!F:F,A745)
&gt;0,COUNTIF('Set recomendado'!B:B,C745)=0),
"Bloqueada",
"Desechable")),""
)</f>
        <v/>
      </c>
      <c r="J745" t="str" cm="1">
        <f t="array" aca="1" ref="J745" ca="1">IF(ISNUMBER(A745),IFERROR(_xlfn._xlws.FILTER(Equipar!A:A,(Equipar!B:B=3)*(Equipar!AC:AC=A745)),""),"")</f>
        <v/>
      </c>
    </row>
    <row r="746" spans="1:10" x14ac:dyDescent="0.25">
      <c r="A746" s="1" t="str">
        <f ca="1">IF(A745="ID",1,IF(ISBLANK(B746),"",MAX(A$2:A745)+1))</f>
        <v/>
      </c>
      <c r="I746" s="2" t="str">
        <f ca="1">IF(ISNUMBER(A746),
IF(COUNTIFS(Equipar!B:B,3,Equipar!AC:AC,A746),"Equipada",
IF(
  OR(COUNTIFS(Equipar!B:B,3,Equipar!C:C,A746)
 +COUNTIFS(Equipar!B:B,3,Equipar!D:D,A746)
+COUNTIFS(Equipar!B:B,3,Equipar!E:E,A746)
+COUNTIFS(Equipar!B:B,3,Equipar!F:F,A746)
&gt;0,COUNTIF('Set recomendado'!B:B,C746)=0),
"Bloqueada",
"Desechable")),""
)</f>
        <v/>
      </c>
      <c r="J746" t="str" cm="1">
        <f t="array" aca="1" ref="J746" ca="1">IF(ISNUMBER(A746),IFERROR(_xlfn._xlws.FILTER(Equipar!A:A,(Equipar!B:B=3)*(Equipar!AC:AC=A746)),""),"")</f>
        <v/>
      </c>
    </row>
    <row r="747" spans="1:10" x14ac:dyDescent="0.25">
      <c r="A747" s="1" t="str">
        <f ca="1">IF(A746="ID",1,IF(ISBLANK(B747),"",MAX(A$2:A746)+1))</f>
        <v/>
      </c>
      <c r="I747" s="2" t="str">
        <f ca="1">IF(ISNUMBER(A747),
IF(COUNTIFS(Equipar!B:B,3,Equipar!AC:AC,A747),"Equipada",
IF(
  OR(COUNTIFS(Equipar!B:B,3,Equipar!C:C,A747)
 +COUNTIFS(Equipar!B:B,3,Equipar!D:D,A747)
+COUNTIFS(Equipar!B:B,3,Equipar!E:E,A747)
+COUNTIFS(Equipar!B:B,3,Equipar!F:F,A747)
&gt;0,COUNTIF('Set recomendado'!B:B,C747)=0),
"Bloqueada",
"Desechable")),""
)</f>
        <v/>
      </c>
      <c r="J747" t="str" cm="1">
        <f t="array" aca="1" ref="J747" ca="1">IF(ISNUMBER(A747),IFERROR(_xlfn._xlws.FILTER(Equipar!A:A,(Equipar!B:B=3)*(Equipar!AC:AC=A747)),""),"")</f>
        <v/>
      </c>
    </row>
    <row r="748" spans="1:10" x14ac:dyDescent="0.25">
      <c r="A748" s="1" t="str">
        <f ca="1">IF(A747="ID",1,IF(ISBLANK(B748),"",MAX(A$2:A747)+1))</f>
        <v/>
      </c>
      <c r="I748" s="2" t="str">
        <f ca="1">IF(ISNUMBER(A748),
IF(COUNTIFS(Equipar!B:B,3,Equipar!AC:AC,A748),"Equipada",
IF(
  OR(COUNTIFS(Equipar!B:B,3,Equipar!C:C,A748)
 +COUNTIFS(Equipar!B:B,3,Equipar!D:D,A748)
+COUNTIFS(Equipar!B:B,3,Equipar!E:E,A748)
+COUNTIFS(Equipar!B:B,3,Equipar!F:F,A748)
&gt;0,COUNTIF('Set recomendado'!B:B,C748)=0),
"Bloqueada",
"Desechable")),""
)</f>
        <v/>
      </c>
      <c r="J748" t="str" cm="1">
        <f t="array" aca="1" ref="J748" ca="1">IF(ISNUMBER(A748),IFERROR(_xlfn._xlws.FILTER(Equipar!A:A,(Equipar!B:B=3)*(Equipar!AC:AC=A748)),""),"")</f>
        <v/>
      </c>
    </row>
    <row r="749" spans="1:10" x14ac:dyDescent="0.25">
      <c r="A749" s="1" t="str">
        <f ca="1">IF(A748="ID",1,IF(ISBLANK(B749),"",MAX(A$2:A748)+1))</f>
        <v/>
      </c>
      <c r="I749" s="2" t="str">
        <f ca="1">IF(ISNUMBER(A749),
IF(COUNTIFS(Equipar!B:B,3,Equipar!AC:AC,A749),"Equipada",
IF(
  OR(COUNTIFS(Equipar!B:B,3,Equipar!C:C,A749)
 +COUNTIFS(Equipar!B:B,3,Equipar!D:D,A749)
+COUNTIFS(Equipar!B:B,3,Equipar!E:E,A749)
+COUNTIFS(Equipar!B:B,3,Equipar!F:F,A749)
&gt;0,COUNTIF('Set recomendado'!B:B,C749)=0),
"Bloqueada",
"Desechable")),""
)</f>
        <v/>
      </c>
      <c r="J749" t="str" cm="1">
        <f t="array" aca="1" ref="J749" ca="1">IF(ISNUMBER(A749),IFERROR(_xlfn._xlws.FILTER(Equipar!A:A,(Equipar!B:B=3)*(Equipar!AC:AC=A749)),""),"")</f>
        <v/>
      </c>
    </row>
    <row r="750" spans="1:10" x14ac:dyDescent="0.25">
      <c r="A750" s="1" t="str">
        <f ca="1">IF(A749="ID",1,IF(ISBLANK(B750),"",MAX(A$2:A749)+1))</f>
        <v/>
      </c>
      <c r="I750" s="2" t="str">
        <f ca="1">IF(ISNUMBER(A750),
IF(COUNTIFS(Equipar!B:B,3,Equipar!AC:AC,A750),"Equipada",
IF(
  OR(COUNTIFS(Equipar!B:B,3,Equipar!C:C,A750)
 +COUNTIFS(Equipar!B:B,3,Equipar!D:D,A750)
+COUNTIFS(Equipar!B:B,3,Equipar!E:E,A750)
+COUNTIFS(Equipar!B:B,3,Equipar!F:F,A750)
&gt;0,COUNTIF('Set recomendado'!B:B,C750)=0),
"Bloqueada",
"Desechable")),""
)</f>
        <v/>
      </c>
      <c r="J750" t="str" cm="1">
        <f t="array" aca="1" ref="J750" ca="1">IF(ISNUMBER(A750),IFERROR(_xlfn._xlws.FILTER(Equipar!A:A,(Equipar!B:B=3)*(Equipar!AC:AC=A750)),""),"")</f>
        <v/>
      </c>
    </row>
    <row r="751" spans="1:10" x14ac:dyDescent="0.25">
      <c r="A751" s="1" t="str">
        <f ca="1">IF(A750="ID",1,IF(ISBLANK(B751),"",MAX(A$2:A750)+1))</f>
        <v/>
      </c>
      <c r="I751" s="2" t="str">
        <f ca="1">IF(ISNUMBER(A751),
IF(COUNTIFS(Equipar!B:B,3,Equipar!AC:AC,A751),"Equipada",
IF(
  OR(COUNTIFS(Equipar!B:B,3,Equipar!C:C,A751)
 +COUNTIFS(Equipar!B:B,3,Equipar!D:D,A751)
+COUNTIFS(Equipar!B:B,3,Equipar!E:E,A751)
+COUNTIFS(Equipar!B:B,3,Equipar!F:F,A751)
&gt;0,COUNTIF('Set recomendado'!B:B,C751)=0),
"Bloqueada",
"Desechable")),""
)</f>
        <v/>
      </c>
      <c r="J751" t="str" cm="1">
        <f t="array" aca="1" ref="J751" ca="1">IF(ISNUMBER(A751),IFERROR(_xlfn._xlws.FILTER(Equipar!A:A,(Equipar!B:B=3)*(Equipar!AC:AC=A751)),""),"")</f>
        <v/>
      </c>
    </row>
    <row r="752" spans="1:10" x14ac:dyDescent="0.25">
      <c r="A752" s="1" t="str">
        <f ca="1">IF(A751="ID",1,IF(ISBLANK(B752),"",MAX(A$2:A751)+1))</f>
        <v/>
      </c>
      <c r="I752" s="2" t="str">
        <f ca="1">IF(ISNUMBER(A752),
IF(COUNTIFS(Equipar!B:B,3,Equipar!AC:AC,A752),"Equipada",
IF(
  OR(COUNTIFS(Equipar!B:B,3,Equipar!C:C,A752)
 +COUNTIFS(Equipar!B:B,3,Equipar!D:D,A752)
+COUNTIFS(Equipar!B:B,3,Equipar!E:E,A752)
+COUNTIFS(Equipar!B:B,3,Equipar!F:F,A752)
&gt;0,COUNTIF('Set recomendado'!B:B,C752)=0),
"Bloqueada",
"Desechable")),""
)</f>
        <v/>
      </c>
      <c r="J752" t="str" cm="1">
        <f t="array" aca="1" ref="J752" ca="1">IF(ISNUMBER(A752),IFERROR(_xlfn._xlws.FILTER(Equipar!A:A,(Equipar!B:B=3)*(Equipar!AC:AC=A752)),""),"")</f>
        <v/>
      </c>
    </row>
    <row r="753" spans="1:10" x14ac:dyDescent="0.25">
      <c r="A753" s="1" t="str">
        <f ca="1">IF(A752="ID",1,IF(ISBLANK(B753),"",MAX(A$2:A752)+1))</f>
        <v/>
      </c>
      <c r="I753" s="2" t="str">
        <f ca="1">IF(ISNUMBER(A753),
IF(COUNTIFS(Equipar!B:B,3,Equipar!AC:AC,A753),"Equipada",
IF(
  OR(COUNTIFS(Equipar!B:B,3,Equipar!C:C,A753)
 +COUNTIFS(Equipar!B:B,3,Equipar!D:D,A753)
+COUNTIFS(Equipar!B:B,3,Equipar!E:E,A753)
+COUNTIFS(Equipar!B:B,3,Equipar!F:F,A753)
&gt;0,COUNTIF('Set recomendado'!B:B,C753)=0),
"Bloqueada",
"Desechable")),""
)</f>
        <v/>
      </c>
      <c r="J753" t="str" cm="1">
        <f t="array" aca="1" ref="J753" ca="1">IF(ISNUMBER(A753),IFERROR(_xlfn._xlws.FILTER(Equipar!A:A,(Equipar!B:B=3)*(Equipar!AC:AC=A753)),""),"")</f>
        <v/>
      </c>
    </row>
    <row r="754" spans="1:10" x14ac:dyDescent="0.25">
      <c r="A754" s="1" t="str">
        <f ca="1">IF(A753="ID",1,IF(ISBLANK(B754),"",MAX(A$2:A753)+1))</f>
        <v/>
      </c>
      <c r="I754" s="2" t="str">
        <f ca="1">IF(ISNUMBER(A754),
IF(COUNTIFS(Equipar!B:B,3,Equipar!AC:AC,A754),"Equipada",
IF(
  OR(COUNTIFS(Equipar!B:B,3,Equipar!C:C,A754)
 +COUNTIFS(Equipar!B:B,3,Equipar!D:D,A754)
+COUNTIFS(Equipar!B:B,3,Equipar!E:E,A754)
+COUNTIFS(Equipar!B:B,3,Equipar!F:F,A754)
&gt;0,COUNTIF('Set recomendado'!B:B,C754)=0),
"Bloqueada",
"Desechable")),""
)</f>
        <v/>
      </c>
      <c r="J754" t="str" cm="1">
        <f t="array" aca="1" ref="J754" ca="1">IF(ISNUMBER(A754),IFERROR(_xlfn._xlws.FILTER(Equipar!A:A,(Equipar!B:B=3)*(Equipar!AC:AC=A754)),""),"")</f>
        <v/>
      </c>
    </row>
    <row r="755" spans="1:10" x14ac:dyDescent="0.25">
      <c r="A755" s="1" t="str">
        <f ca="1">IF(A754="ID",1,IF(ISBLANK(B755),"",MAX(A$2:A754)+1))</f>
        <v/>
      </c>
      <c r="I755" s="2" t="str">
        <f ca="1">IF(ISNUMBER(A755),
IF(COUNTIFS(Equipar!B:B,3,Equipar!AC:AC,A755),"Equipada",
IF(
  OR(COUNTIFS(Equipar!B:B,3,Equipar!C:C,A755)
 +COUNTIFS(Equipar!B:B,3,Equipar!D:D,A755)
+COUNTIFS(Equipar!B:B,3,Equipar!E:E,A755)
+COUNTIFS(Equipar!B:B,3,Equipar!F:F,A755)
&gt;0,COUNTIF('Set recomendado'!B:B,C755)=0),
"Bloqueada",
"Desechable")),""
)</f>
        <v/>
      </c>
      <c r="J755" t="str" cm="1">
        <f t="array" aca="1" ref="J755" ca="1">IF(ISNUMBER(A755),IFERROR(_xlfn._xlws.FILTER(Equipar!A:A,(Equipar!B:B=3)*(Equipar!AC:AC=A755)),""),"")</f>
        <v/>
      </c>
    </row>
    <row r="756" spans="1:10" x14ac:dyDescent="0.25">
      <c r="A756" s="1" t="str">
        <f ca="1">IF(A755="ID",1,IF(ISBLANK(B756),"",MAX(A$2:A755)+1))</f>
        <v/>
      </c>
      <c r="I756" s="2" t="str">
        <f ca="1">IF(ISNUMBER(A756),
IF(COUNTIFS(Equipar!B:B,3,Equipar!AC:AC,A756),"Equipada",
IF(
  OR(COUNTIFS(Equipar!B:B,3,Equipar!C:C,A756)
 +COUNTIFS(Equipar!B:B,3,Equipar!D:D,A756)
+COUNTIFS(Equipar!B:B,3,Equipar!E:E,A756)
+COUNTIFS(Equipar!B:B,3,Equipar!F:F,A756)
&gt;0,COUNTIF('Set recomendado'!B:B,C756)=0),
"Bloqueada",
"Desechable")),""
)</f>
        <v/>
      </c>
      <c r="J756" t="str" cm="1">
        <f t="array" aca="1" ref="J756" ca="1">IF(ISNUMBER(A756),IFERROR(_xlfn._xlws.FILTER(Equipar!A:A,(Equipar!B:B=3)*(Equipar!AC:AC=A756)),""),"")</f>
        <v/>
      </c>
    </row>
    <row r="757" spans="1:10" x14ac:dyDescent="0.25">
      <c r="A757" s="1" t="str">
        <f ca="1">IF(A756="ID",1,IF(ISBLANK(B757),"",MAX(A$2:A756)+1))</f>
        <v/>
      </c>
      <c r="I757" s="2" t="str">
        <f ca="1">IF(ISNUMBER(A757),
IF(COUNTIFS(Equipar!B:B,3,Equipar!AC:AC,A757),"Equipada",
IF(
  OR(COUNTIFS(Equipar!B:B,3,Equipar!C:C,A757)
 +COUNTIFS(Equipar!B:B,3,Equipar!D:D,A757)
+COUNTIFS(Equipar!B:B,3,Equipar!E:E,A757)
+COUNTIFS(Equipar!B:B,3,Equipar!F:F,A757)
&gt;0,COUNTIF('Set recomendado'!B:B,C757)=0),
"Bloqueada",
"Desechable")),""
)</f>
        <v/>
      </c>
      <c r="J757" t="str" cm="1">
        <f t="array" aca="1" ref="J757" ca="1">IF(ISNUMBER(A757),IFERROR(_xlfn._xlws.FILTER(Equipar!A:A,(Equipar!B:B=3)*(Equipar!AC:AC=A757)),""),"")</f>
        <v/>
      </c>
    </row>
    <row r="758" spans="1:10" x14ac:dyDescent="0.25">
      <c r="A758" s="1" t="str">
        <f ca="1">IF(A757="ID",1,IF(ISBLANK(B758),"",MAX(A$2:A757)+1))</f>
        <v/>
      </c>
      <c r="I758" s="2" t="str">
        <f ca="1">IF(ISNUMBER(A758),
IF(COUNTIFS(Equipar!B:B,3,Equipar!AC:AC,A758),"Equipada",
IF(
  OR(COUNTIFS(Equipar!B:B,3,Equipar!C:C,A758)
 +COUNTIFS(Equipar!B:B,3,Equipar!D:D,A758)
+COUNTIFS(Equipar!B:B,3,Equipar!E:E,A758)
+COUNTIFS(Equipar!B:B,3,Equipar!F:F,A758)
&gt;0,COUNTIF('Set recomendado'!B:B,C758)=0),
"Bloqueada",
"Desechable")),""
)</f>
        <v/>
      </c>
      <c r="J758" t="str" cm="1">
        <f t="array" aca="1" ref="J758" ca="1">IF(ISNUMBER(A758),IFERROR(_xlfn._xlws.FILTER(Equipar!A:A,(Equipar!B:B=3)*(Equipar!AC:AC=A758)),""),"")</f>
        <v/>
      </c>
    </row>
    <row r="759" spans="1:10" x14ac:dyDescent="0.25">
      <c r="A759" s="1" t="str">
        <f ca="1">IF(A758="ID",1,IF(ISBLANK(B759),"",MAX(A$2:A758)+1))</f>
        <v/>
      </c>
      <c r="I759" s="2" t="str">
        <f ca="1">IF(ISNUMBER(A759),
IF(COUNTIFS(Equipar!B:B,3,Equipar!AC:AC,A759),"Equipada",
IF(
  OR(COUNTIFS(Equipar!B:B,3,Equipar!C:C,A759)
 +COUNTIFS(Equipar!B:B,3,Equipar!D:D,A759)
+COUNTIFS(Equipar!B:B,3,Equipar!E:E,A759)
+COUNTIFS(Equipar!B:B,3,Equipar!F:F,A759)
&gt;0,COUNTIF('Set recomendado'!B:B,C759)=0),
"Bloqueada",
"Desechable")),""
)</f>
        <v/>
      </c>
      <c r="J759" t="str" cm="1">
        <f t="array" aca="1" ref="J759" ca="1">IF(ISNUMBER(A759),IFERROR(_xlfn._xlws.FILTER(Equipar!A:A,(Equipar!B:B=3)*(Equipar!AC:AC=A759)),""),"")</f>
        <v/>
      </c>
    </row>
    <row r="760" spans="1:10" x14ac:dyDescent="0.25">
      <c r="A760" s="1" t="str">
        <f ca="1">IF(A759="ID",1,IF(ISBLANK(B760),"",MAX(A$2:A759)+1))</f>
        <v/>
      </c>
      <c r="I760" s="2" t="str">
        <f ca="1">IF(ISNUMBER(A760),
IF(COUNTIFS(Equipar!B:B,3,Equipar!AC:AC,A760),"Equipada",
IF(
  OR(COUNTIFS(Equipar!B:B,3,Equipar!C:C,A760)
 +COUNTIFS(Equipar!B:B,3,Equipar!D:D,A760)
+COUNTIFS(Equipar!B:B,3,Equipar!E:E,A760)
+COUNTIFS(Equipar!B:B,3,Equipar!F:F,A760)
&gt;0,COUNTIF('Set recomendado'!B:B,C760)=0),
"Bloqueada",
"Desechable")),""
)</f>
        <v/>
      </c>
      <c r="J760" t="str" cm="1">
        <f t="array" aca="1" ref="J760" ca="1">IF(ISNUMBER(A760),IFERROR(_xlfn._xlws.FILTER(Equipar!A:A,(Equipar!B:B=3)*(Equipar!AC:AC=A760)),""),"")</f>
        <v/>
      </c>
    </row>
    <row r="761" spans="1:10" x14ac:dyDescent="0.25">
      <c r="A761" s="1" t="str">
        <f ca="1">IF(A760="ID",1,IF(ISBLANK(B761),"",MAX(A$2:A760)+1))</f>
        <v/>
      </c>
      <c r="I761" s="2" t="str">
        <f ca="1">IF(ISNUMBER(A761),
IF(COUNTIFS(Equipar!B:B,3,Equipar!AC:AC,A761),"Equipada",
IF(
  OR(COUNTIFS(Equipar!B:B,3,Equipar!C:C,A761)
 +COUNTIFS(Equipar!B:B,3,Equipar!D:D,A761)
+COUNTIFS(Equipar!B:B,3,Equipar!E:E,A761)
+COUNTIFS(Equipar!B:B,3,Equipar!F:F,A761)
&gt;0,COUNTIF('Set recomendado'!B:B,C761)=0),
"Bloqueada",
"Desechable")),""
)</f>
        <v/>
      </c>
      <c r="J761" t="str" cm="1">
        <f t="array" aca="1" ref="J761" ca="1">IF(ISNUMBER(A761),IFERROR(_xlfn._xlws.FILTER(Equipar!A:A,(Equipar!B:B=3)*(Equipar!AC:AC=A761)),""),"")</f>
        <v/>
      </c>
    </row>
    <row r="762" spans="1:10" x14ac:dyDescent="0.25">
      <c r="A762" s="1" t="str">
        <f ca="1">IF(A761="ID",1,IF(ISBLANK(B762),"",MAX(A$2:A761)+1))</f>
        <v/>
      </c>
      <c r="I762" s="2" t="str">
        <f ca="1">IF(ISNUMBER(A762),
IF(COUNTIFS(Equipar!B:B,3,Equipar!AC:AC,A762),"Equipada",
IF(
  OR(COUNTIFS(Equipar!B:B,3,Equipar!C:C,A762)
 +COUNTIFS(Equipar!B:B,3,Equipar!D:D,A762)
+COUNTIFS(Equipar!B:B,3,Equipar!E:E,A762)
+COUNTIFS(Equipar!B:B,3,Equipar!F:F,A762)
&gt;0,COUNTIF('Set recomendado'!B:B,C762)=0),
"Bloqueada",
"Desechable")),""
)</f>
        <v/>
      </c>
      <c r="J762" t="str" cm="1">
        <f t="array" aca="1" ref="J762" ca="1">IF(ISNUMBER(A762),IFERROR(_xlfn._xlws.FILTER(Equipar!A:A,(Equipar!B:B=3)*(Equipar!AC:AC=A762)),""),"")</f>
        <v/>
      </c>
    </row>
    <row r="763" spans="1:10" x14ac:dyDescent="0.25">
      <c r="A763" s="1" t="str">
        <f ca="1">IF(A762="ID",1,IF(ISBLANK(B763),"",MAX(A$2:A762)+1))</f>
        <v/>
      </c>
      <c r="I763" s="2" t="str">
        <f ca="1">IF(ISNUMBER(A763),
IF(COUNTIFS(Equipar!B:B,3,Equipar!AC:AC,A763),"Equipada",
IF(
  OR(COUNTIFS(Equipar!B:B,3,Equipar!C:C,A763)
 +COUNTIFS(Equipar!B:B,3,Equipar!D:D,A763)
+COUNTIFS(Equipar!B:B,3,Equipar!E:E,A763)
+COUNTIFS(Equipar!B:B,3,Equipar!F:F,A763)
&gt;0,COUNTIF('Set recomendado'!B:B,C763)=0),
"Bloqueada",
"Desechable")),""
)</f>
        <v/>
      </c>
      <c r="J763" t="str" cm="1">
        <f t="array" aca="1" ref="J763" ca="1">IF(ISNUMBER(A763),IFERROR(_xlfn._xlws.FILTER(Equipar!A:A,(Equipar!B:B=3)*(Equipar!AC:AC=A763)),""),"")</f>
        <v/>
      </c>
    </row>
    <row r="764" spans="1:10" x14ac:dyDescent="0.25">
      <c r="A764" s="1" t="str">
        <f ca="1">IF(A763="ID",1,IF(ISBLANK(B764),"",MAX(A$2:A763)+1))</f>
        <v/>
      </c>
      <c r="I764" s="2" t="str">
        <f ca="1">IF(ISNUMBER(A764),
IF(COUNTIFS(Equipar!B:B,3,Equipar!AC:AC,A764),"Equipada",
IF(
  OR(COUNTIFS(Equipar!B:B,3,Equipar!C:C,A764)
 +COUNTIFS(Equipar!B:B,3,Equipar!D:D,A764)
+COUNTIFS(Equipar!B:B,3,Equipar!E:E,A764)
+COUNTIFS(Equipar!B:B,3,Equipar!F:F,A764)
&gt;0,COUNTIF('Set recomendado'!B:B,C764)=0),
"Bloqueada",
"Desechable")),""
)</f>
        <v/>
      </c>
      <c r="J764" t="str" cm="1">
        <f t="array" aca="1" ref="J764" ca="1">IF(ISNUMBER(A764),IFERROR(_xlfn._xlws.FILTER(Equipar!A:A,(Equipar!B:B=3)*(Equipar!AC:AC=A764)),""),"")</f>
        <v/>
      </c>
    </row>
    <row r="765" spans="1:10" x14ac:dyDescent="0.25">
      <c r="A765" s="1" t="str">
        <f ca="1">IF(A764="ID",1,IF(ISBLANK(B765),"",MAX(A$2:A764)+1))</f>
        <v/>
      </c>
      <c r="I765" s="2" t="str">
        <f ca="1">IF(ISNUMBER(A765),
IF(COUNTIFS(Equipar!B:B,3,Equipar!AC:AC,A765),"Equipada",
IF(
  OR(COUNTIFS(Equipar!B:B,3,Equipar!C:C,A765)
 +COUNTIFS(Equipar!B:B,3,Equipar!D:D,A765)
+COUNTIFS(Equipar!B:B,3,Equipar!E:E,A765)
+COUNTIFS(Equipar!B:B,3,Equipar!F:F,A765)
&gt;0,COUNTIF('Set recomendado'!B:B,C765)=0),
"Bloqueada",
"Desechable")),""
)</f>
        <v/>
      </c>
      <c r="J765" t="str" cm="1">
        <f t="array" aca="1" ref="J765" ca="1">IF(ISNUMBER(A765),IFERROR(_xlfn._xlws.FILTER(Equipar!A:A,(Equipar!B:B=3)*(Equipar!AC:AC=A765)),""),"")</f>
        <v/>
      </c>
    </row>
    <row r="766" spans="1:10" x14ac:dyDescent="0.25">
      <c r="A766" s="1" t="str">
        <f ca="1">IF(A765="ID",1,IF(ISBLANK(B766),"",MAX(A$2:A765)+1))</f>
        <v/>
      </c>
      <c r="I766" s="2" t="str">
        <f ca="1">IF(ISNUMBER(A766),
IF(COUNTIFS(Equipar!B:B,3,Equipar!AC:AC,A766),"Equipada",
IF(
  OR(COUNTIFS(Equipar!B:B,3,Equipar!C:C,A766)
 +COUNTIFS(Equipar!B:B,3,Equipar!D:D,A766)
+COUNTIFS(Equipar!B:B,3,Equipar!E:E,A766)
+COUNTIFS(Equipar!B:B,3,Equipar!F:F,A766)
&gt;0,COUNTIF('Set recomendado'!B:B,C766)=0),
"Bloqueada",
"Desechable")),""
)</f>
        <v/>
      </c>
      <c r="J766" t="str" cm="1">
        <f t="array" aca="1" ref="J766" ca="1">IF(ISNUMBER(A766),IFERROR(_xlfn._xlws.FILTER(Equipar!A:A,(Equipar!B:B=3)*(Equipar!AC:AC=A766)),""),"")</f>
        <v/>
      </c>
    </row>
    <row r="767" spans="1:10" x14ac:dyDescent="0.25">
      <c r="A767" s="1" t="str">
        <f ca="1">IF(A766="ID",1,IF(ISBLANK(B767),"",MAX(A$2:A766)+1))</f>
        <v/>
      </c>
      <c r="I767" s="2" t="str">
        <f ca="1">IF(ISNUMBER(A767),
IF(COUNTIFS(Equipar!B:B,3,Equipar!AC:AC,A767),"Equipada",
IF(
  OR(COUNTIFS(Equipar!B:B,3,Equipar!C:C,A767)
 +COUNTIFS(Equipar!B:B,3,Equipar!D:D,A767)
+COUNTIFS(Equipar!B:B,3,Equipar!E:E,A767)
+COUNTIFS(Equipar!B:B,3,Equipar!F:F,A767)
&gt;0,COUNTIF('Set recomendado'!B:B,C767)=0),
"Bloqueada",
"Desechable")),""
)</f>
        <v/>
      </c>
      <c r="J767" t="str" cm="1">
        <f t="array" aca="1" ref="J767" ca="1">IF(ISNUMBER(A767),IFERROR(_xlfn._xlws.FILTER(Equipar!A:A,(Equipar!B:B=3)*(Equipar!AC:AC=A767)),""),"")</f>
        <v/>
      </c>
    </row>
    <row r="768" spans="1:10" x14ac:dyDescent="0.25">
      <c r="A768" s="1" t="str">
        <f ca="1">IF(A767="ID",1,IF(ISBLANK(B768),"",MAX(A$2:A767)+1))</f>
        <v/>
      </c>
      <c r="I768" s="2" t="str">
        <f ca="1">IF(ISNUMBER(A768),
IF(COUNTIFS(Equipar!B:B,3,Equipar!AC:AC,A768),"Equipada",
IF(
  OR(COUNTIFS(Equipar!B:B,3,Equipar!C:C,A768)
 +COUNTIFS(Equipar!B:B,3,Equipar!D:D,A768)
+COUNTIFS(Equipar!B:B,3,Equipar!E:E,A768)
+COUNTIFS(Equipar!B:B,3,Equipar!F:F,A768)
&gt;0,COUNTIF('Set recomendado'!B:B,C768)=0),
"Bloqueada",
"Desechable")),""
)</f>
        <v/>
      </c>
      <c r="J768" t="str" cm="1">
        <f t="array" aca="1" ref="J768" ca="1">IF(ISNUMBER(A768),IFERROR(_xlfn._xlws.FILTER(Equipar!A:A,(Equipar!B:B=3)*(Equipar!AC:AC=A768)),""),"")</f>
        <v/>
      </c>
    </row>
    <row r="769" spans="1:10" x14ac:dyDescent="0.25">
      <c r="A769" s="1" t="str">
        <f ca="1">IF(A768="ID",1,IF(ISBLANK(B769),"",MAX(A$2:A768)+1))</f>
        <v/>
      </c>
      <c r="I769" s="2" t="str">
        <f ca="1">IF(ISNUMBER(A769),
IF(COUNTIFS(Equipar!B:B,3,Equipar!AC:AC,A769),"Equipada",
IF(
  OR(COUNTIFS(Equipar!B:B,3,Equipar!C:C,A769)
 +COUNTIFS(Equipar!B:B,3,Equipar!D:D,A769)
+COUNTIFS(Equipar!B:B,3,Equipar!E:E,A769)
+COUNTIFS(Equipar!B:B,3,Equipar!F:F,A769)
&gt;0,COUNTIF('Set recomendado'!B:B,C769)=0),
"Bloqueada",
"Desechable")),""
)</f>
        <v/>
      </c>
      <c r="J769" t="str" cm="1">
        <f t="array" aca="1" ref="J769" ca="1">IF(ISNUMBER(A769),IFERROR(_xlfn._xlws.FILTER(Equipar!A:A,(Equipar!B:B=3)*(Equipar!AC:AC=A769)),""),"")</f>
        <v/>
      </c>
    </row>
    <row r="770" spans="1:10" x14ac:dyDescent="0.25">
      <c r="A770" s="1" t="str">
        <f ca="1">IF(A769="ID",1,IF(ISBLANK(B770),"",MAX(A$2:A769)+1))</f>
        <v/>
      </c>
      <c r="I770" s="2" t="str">
        <f ca="1">IF(ISNUMBER(A770),
IF(COUNTIFS(Equipar!B:B,3,Equipar!AC:AC,A770),"Equipada",
IF(
  OR(COUNTIFS(Equipar!B:B,3,Equipar!C:C,A770)
 +COUNTIFS(Equipar!B:B,3,Equipar!D:D,A770)
+COUNTIFS(Equipar!B:B,3,Equipar!E:E,A770)
+COUNTIFS(Equipar!B:B,3,Equipar!F:F,A770)
&gt;0,COUNTIF('Set recomendado'!B:B,C770)=0),
"Bloqueada",
"Desechable")),""
)</f>
        <v/>
      </c>
      <c r="J770" t="str" cm="1">
        <f t="array" aca="1" ref="J770" ca="1">IF(ISNUMBER(A770),IFERROR(_xlfn._xlws.FILTER(Equipar!A:A,(Equipar!B:B=3)*(Equipar!AC:AC=A770)),""),"")</f>
        <v/>
      </c>
    </row>
    <row r="771" spans="1:10" x14ac:dyDescent="0.25">
      <c r="A771" s="1" t="str">
        <f ca="1">IF(A770="ID",1,IF(ISBLANK(B771),"",MAX(A$2:A770)+1))</f>
        <v/>
      </c>
      <c r="I771" s="2" t="str">
        <f ca="1">IF(ISNUMBER(A771),
IF(COUNTIFS(Equipar!B:B,3,Equipar!AC:AC,A771),"Equipada",
IF(
  OR(COUNTIFS(Equipar!B:B,3,Equipar!C:C,A771)
 +COUNTIFS(Equipar!B:B,3,Equipar!D:D,A771)
+COUNTIFS(Equipar!B:B,3,Equipar!E:E,A771)
+COUNTIFS(Equipar!B:B,3,Equipar!F:F,A771)
&gt;0,COUNTIF('Set recomendado'!B:B,C771)=0),
"Bloqueada",
"Desechable")),""
)</f>
        <v/>
      </c>
      <c r="J771" t="str" cm="1">
        <f t="array" aca="1" ref="J771" ca="1">IF(ISNUMBER(A771),IFERROR(_xlfn._xlws.FILTER(Equipar!A:A,(Equipar!B:B=3)*(Equipar!AC:AC=A771)),""),"")</f>
        <v/>
      </c>
    </row>
    <row r="772" spans="1:10" x14ac:dyDescent="0.25">
      <c r="A772" s="1" t="str">
        <f ca="1">IF(A771="ID",1,IF(ISBLANK(B772),"",MAX(A$2:A771)+1))</f>
        <v/>
      </c>
      <c r="I772" s="2" t="str">
        <f ca="1">IF(ISNUMBER(A772),
IF(COUNTIFS(Equipar!B:B,3,Equipar!AC:AC,A772),"Equipada",
IF(
  OR(COUNTIFS(Equipar!B:B,3,Equipar!C:C,A772)
 +COUNTIFS(Equipar!B:B,3,Equipar!D:D,A772)
+COUNTIFS(Equipar!B:B,3,Equipar!E:E,A772)
+COUNTIFS(Equipar!B:B,3,Equipar!F:F,A772)
&gt;0,COUNTIF('Set recomendado'!B:B,C772)=0),
"Bloqueada",
"Desechable")),""
)</f>
        <v/>
      </c>
      <c r="J772" t="str" cm="1">
        <f t="array" aca="1" ref="J772" ca="1">IF(ISNUMBER(A772),IFERROR(_xlfn._xlws.FILTER(Equipar!A:A,(Equipar!B:B=3)*(Equipar!AC:AC=A772)),""),"")</f>
        <v/>
      </c>
    </row>
    <row r="773" spans="1:10" x14ac:dyDescent="0.25">
      <c r="A773" s="1" t="str">
        <f ca="1">IF(A772="ID",1,IF(ISBLANK(B773),"",MAX(A$2:A772)+1))</f>
        <v/>
      </c>
      <c r="I773" s="2" t="str">
        <f ca="1">IF(ISNUMBER(A773),
IF(COUNTIFS(Equipar!B:B,3,Equipar!AC:AC,A773),"Equipada",
IF(
  OR(COUNTIFS(Equipar!B:B,3,Equipar!C:C,A773)
 +COUNTIFS(Equipar!B:B,3,Equipar!D:D,A773)
+COUNTIFS(Equipar!B:B,3,Equipar!E:E,A773)
+COUNTIFS(Equipar!B:B,3,Equipar!F:F,A773)
&gt;0,COUNTIF('Set recomendado'!B:B,C773)=0),
"Bloqueada",
"Desechable")),""
)</f>
        <v/>
      </c>
      <c r="J773" t="str" cm="1">
        <f t="array" aca="1" ref="J773" ca="1">IF(ISNUMBER(A773),IFERROR(_xlfn._xlws.FILTER(Equipar!A:A,(Equipar!B:B=3)*(Equipar!AC:AC=A773)),""),"")</f>
        <v/>
      </c>
    </row>
    <row r="774" spans="1:10" x14ac:dyDescent="0.25">
      <c r="A774" s="1" t="str">
        <f ca="1">IF(A773="ID",1,IF(ISBLANK(B774),"",MAX(A$2:A773)+1))</f>
        <v/>
      </c>
      <c r="I774" s="2" t="str">
        <f ca="1">IF(ISNUMBER(A774),
IF(COUNTIFS(Equipar!B:B,3,Equipar!AC:AC,A774),"Equipada",
IF(
  OR(COUNTIFS(Equipar!B:B,3,Equipar!C:C,A774)
 +COUNTIFS(Equipar!B:B,3,Equipar!D:D,A774)
+COUNTIFS(Equipar!B:B,3,Equipar!E:E,A774)
+COUNTIFS(Equipar!B:B,3,Equipar!F:F,A774)
&gt;0,COUNTIF('Set recomendado'!B:B,C774)=0),
"Bloqueada",
"Desechable")),""
)</f>
        <v/>
      </c>
      <c r="J774" t="str" cm="1">
        <f t="array" aca="1" ref="J774" ca="1">IF(ISNUMBER(A774),IFERROR(_xlfn._xlws.FILTER(Equipar!A:A,(Equipar!B:B=3)*(Equipar!AC:AC=A774)),""),"")</f>
        <v/>
      </c>
    </row>
    <row r="775" spans="1:10" x14ac:dyDescent="0.25">
      <c r="A775" s="1" t="str">
        <f ca="1">IF(A774="ID",1,IF(ISBLANK(B775),"",MAX(A$2:A774)+1))</f>
        <v/>
      </c>
      <c r="I775" s="2" t="str">
        <f ca="1">IF(ISNUMBER(A775),
IF(COUNTIFS(Equipar!B:B,3,Equipar!AC:AC,A775),"Equipada",
IF(
  OR(COUNTIFS(Equipar!B:B,3,Equipar!C:C,A775)
 +COUNTIFS(Equipar!B:B,3,Equipar!D:D,A775)
+COUNTIFS(Equipar!B:B,3,Equipar!E:E,A775)
+COUNTIFS(Equipar!B:B,3,Equipar!F:F,A775)
&gt;0,COUNTIF('Set recomendado'!B:B,C775)=0),
"Bloqueada",
"Desechable")),""
)</f>
        <v/>
      </c>
      <c r="J775" t="str" cm="1">
        <f t="array" aca="1" ref="J775" ca="1">IF(ISNUMBER(A775),IFERROR(_xlfn._xlws.FILTER(Equipar!A:A,(Equipar!B:B=3)*(Equipar!AC:AC=A775)),""),"")</f>
        <v/>
      </c>
    </row>
    <row r="776" spans="1:10" x14ac:dyDescent="0.25">
      <c r="A776" s="1" t="str">
        <f ca="1">IF(A775="ID",1,IF(ISBLANK(B776),"",MAX(A$2:A775)+1))</f>
        <v/>
      </c>
      <c r="I776" s="2" t="str">
        <f ca="1">IF(ISNUMBER(A776),
IF(COUNTIFS(Equipar!B:B,3,Equipar!AC:AC,A776),"Equipada",
IF(
  OR(COUNTIFS(Equipar!B:B,3,Equipar!C:C,A776)
 +COUNTIFS(Equipar!B:B,3,Equipar!D:D,A776)
+COUNTIFS(Equipar!B:B,3,Equipar!E:E,A776)
+COUNTIFS(Equipar!B:B,3,Equipar!F:F,A776)
&gt;0,COUNTIF('Set recomendado'!B:B,C776)=0),
"Bloqueada",
"Desechable")),""
)</f>
        <v/>
      </c>
      <c r="J776" t="str" cm="1">
        <f t="array" aca="1" ref="J776" ca="1">IF(ISNUMBER(A776),IFERROR(_xlfn._xlws.FILTER(Equipar!A:A,(Equipar!B:B=3)*(Equipar!AC:AC=A776)),""),"")</f>
        <v/>
      </c>
    </row>
    <row r="777" spans="1:10" x14ac:dyDescent="0.25">
      <c r="A777" s="1" t="str">
        <f ca="1">IF(A776="ID",1,IF(ISBLANK(B777),"",MAX(A$2:A776)+1))</f>
        <v/>
      </c>
      <c r="I777" s="2" t="str">
        <f ca="1">IF(ISNUMBER(A777),
IF(COUNTIFS(Equipar!B:B,3,Equipar!AC:AC,A777),"Equipada",
IF(
  OR(COUNTIFS(Equipar!B:B,3,Equipar!C:C,A777)
 +COUNTIFS(Equipar!B:B,3,Equipar!D:D,A777)
+COUNTIFS(Equipar!B:B,3,Equipar!E:E,A777)
+COUNTIFS(Equipar!B:B,3,Equipar!F:F,A777)
&gt;0,COUNTIF('Set recomendado'!B:B,C777)=0),
"Bloqueada",
"Desechable")),""
)</f>
        <v/>
      </c>
      <c r="J777" t="str" cm="1">
        <f t="array" aca="1" ref="J777" ca="1">IF(ISNUMBER(A777),IFERROR(_xlfn._xlws.FILTER(Equipar!A:A,(Equipar!B:B=3)*(Equipar!AC:AC=A777)),""),"")</f>
        <v/>
      </c>
    </row>
    <row r="778" spans="1:10" x14ac:dyDescent="0.25">
      <c r="A778" s="1" t="str">
        <f ca="1">IF(A777="ID",1,IF(ISBLANK(B778),"",MAX(A$2:A777)+1))</f>
        <v/>
      </c>
      <c r="I778" s="2" t="str">
        <f ca="1">IF(ISNUMBER(A778),
IF(COUNTIFS(Equipar!B:B,3,Equipar!AC:AC,A778),"Equipada",
IF(
  OR(COUNTIFS(Equipar!B:B,3,Equipar!C:C,A778)
 +COUNTIFS(Equipar!B:B,3,Equipar!D:D,A778)
+COUNTIFS(Equipar!B:B,3,Equipar!E:E,A778)
+COUNTIFS(Equipar!B:B,3,Equipar!F:F,A778)
&gt;0,COUNTIF('Set recomendado'!B:B,C778)=0),
"Bloqueada",
"Desechable")),""
)</f>
        <v/>
      </c>
      <c r="J778" t="str" cm="1">
        <f t="array" aca="1" ref="J778" ca="1">IF(ISNUMBER(A778),IFERROR(_xlfn._xlws.FILTER(Equipar!A:A,(Equipar!B:B=3)*(Equipar!AC:AC=A778)),""),"")</f>
        <v/>
      </c>
    </row>
    <row r="779" spans="1:10" x14ac:dyDescent="0.25">
      <c r="A779" s="1" t="str">
        <f ca="1">IF(A778="ID",1,IF(ISBLANK(B779),"",MAX(A$2:A778)+1))</f>
        <v/>
      </c>
      <c r="I779" s="2" t="str">
        <f ca="1">IF(ISNUMBER(A779),
IF(COUNTIFS(Equipar!B:B,3,Equipar!AC:AC,A779),"Equipada",
IF(
  OR(COUNTIFS(Equipar!B:B,3,Equipar!C:C,A779)
 +COUNTIFS(Equipar!B:B,3,Equipar!D:D,A779)
+COUNTIFS(Equipar!B:B,3,Equipar!E:E,A779)
+COUNTIFS(Equipar!B:B,3,Equipar!F:F,A779)
&gt;0,COUNTIF('Set recomendado'!B:B,C779)=0),
"Bloqueada",
"Desechable")),""
)</f>
        <v/>
      </c>
      <c r="J779" t="str" cm="1">
        <f t="array" aca="1" ref="J779" ca="1">IF(ISNUMBER(A779),IFERROR(_xlfn._xlws.FILTER(Equipar!A:A,(Equipar!B:B=3)*(Equipar!AC:AC=A779)),""),"")</f>
        <v/>
      </c>
    </row>
    <row r="780" spans="1:10" x14ac:dyDescent="0.25">
      <c r="A780" s="1" t="str">
        <f ca="1">IF(A779="ID",1,IF(ISBLANK(B780),"",MAX(A$2:A779)+1))</f>
        <v/>
      </c>
      <c r="I780" s="2" t="str">
        <f ca="1">IF(ISNUMBER(A780),
IF(COUNTIFS(Equipar!B:B,3,Equipar!AC:AC,A780),"Equipada",
IF(
  OR(COUNTIFS(Equipar!B:B,3,Equipar!C:C,A780)
 +COUNTIFS(Equipar!B:B,3,Equipar!D:D,A780)
+COUNTIFS(Equipar!B:B,3,Equipar!E:E,A780)
+COUNTIFS(Equipar!B:B,3,Equipar!F:F,A780)
&gt;0,COUNTIF('Set recomendado'!B:B,C780)=0),
"Bloqueada",
"Desechable")),""
)</f>
        <v/>
      </c>
      <c r="J780" t="str" cm="1">
        <f t="array" aca="1" ref="J780" ca="1">IF(ISNUMBER(A780),IFERROR(_xlfn._xlws.FILTER(Equipar!A:A,(Equipar!B:B=3)*(Equipar!AC:AC=A780)),""),"")</f>
        <v/>
      </c>
    </row>
    <row r="781" spans="1:10" x14ac:dyDescent="0.25">
      <c r="A781" s="1" t="str">
        <f ca="1">IF(A780="ID",1,IF(ISBLANK(B781),"",MAX(A$2:A780)+1))</f>
        <v/>
      </c>
      <c r="I781" s="2" t="str">
        <f ca="1">IF(ISNUMBER(A781),
IF(COUNTIFS(Equipar!B:B,3,Equipar!AC:AC,A781),"Equipada",
IF(
  OR(COUNTIFS(Equipar!B:B,3,Equipar!C:C,A781)
 +COUNTIFS(Equipar!B:B,3,Equipar!D:D,A781)
+COUNTIFS(Equipar!B:B,3,Equipar!E:E,A781)
+COUNTIFS(Equipar!B:B,3,Equipar!F:F,A781)
&gt;0,COUNTIF('Set recomendado'!B:B,C781)=0),
"Bloqueada",
"Desechable")),""
)</f>
        <v/>
      </c>
      <c r="J781" t="str" cm="1">
        <f t="array" aca="1" ref="J781" ca="1">IF(ISNUMBER(A781),IFERROR(_xlfn._xlws.FILTER(Equipar!A:A,(Equipar!B:B=3)*(Equipar!AC:AC=A781)),""),"")</f>
        <v/>
      </c>
    </row>
    <row r="782" spans="1:10" x14ac:dyDescent="0.25">
      <c r="A782" s="1" t="str">
        <f ca="1">IF(A781="ID",1,IF(ISBLANK(B782),"",MAX(A$2:A781)+1))</f>
        <v/>
      </c>
      <c r="I782" s="2" t="str">
        <f ca="1">IF(ISNUMBER(A782),
IF(COUNTIFS(Equipar!B:B,3,Equipar!AC:AC,A782),"Equipada",
IF(
  OR(COUNTIFS(Equipar!B:B,3,Equipar!C:C,A782)
 +COUNTIFS(Equipar!B:B,3,Equipar!D:D,A782)
+COUNTIFS(Equipar!B:B,3,Equipar!E:E,A782)
+COUNTIFS(Equipar!B:B,3,Equipar!F:F,A782)
&gt;0,COUNTIF('Set recomendado'!B:B,C782)=0),
"Bloqueada",
"Desechable")),""
)</f>
        <v/>
      </c>
      <c r="J782" t="str" cm="1">
        <f t="array" aca="1" ref="J782" ca="1">IF(ISNUMBER(A782),IFERROR(_xlfn._xlws.FILTER(Equipar!A:A,(Equipar!B:B=3)*(Equipar!AC:AC=A782)),""),"")</f>
        <v/>
      </c>
    </row>
    <row r="783" spans="1:10" x14ac:dyDescent="0.25">
      <c r="A783" s="1" t="str">
        <f ca="1">IF(A782="ID",1,IF(ISBLANK(B783),"",MAX(A$2:A782)+1))</f>
        <v/>
      </c>
      <c r="I783" s="2" t="str">
        <f ca="1">IF(ISNUMBER(A783),
IF(COUNTIFS(Equipar!B:B,3,Equipar!AC:AC,A783),"Equipada",
IF(
  OR(COUNTIFS(Equipar!B:B,3,Equipar!C:C,A783)
 +COUNTIFS(Equipar!B:B,3,Equipar!D:D,A783)
+COUNTIFS(Equipar!B:B,3,Equipar!E:E,A783)
+COUNTIFS(Equipar!B:B,3,Equipar!F:F,A783)
&gt;0,COUNTIF('Set recomendado'!B:B,C783)=0),
"Bloqueada",
"Desechable")),""
)</f>
        <v/>
      </c>
      <c r="J783" t="str" cm="1">
        <f t="array" aca="1" ref="J783" ca="1">IF(ISNUMBER(A783),IFERROR(_xlfn._xlws.FILTER(Equipar!A:A,(Equipar!B:B=3)*(Equipar!AC:AC=A783)),""),"")</f>
        <v/>
      </c>
    </row>
    <row r="784" spans="1:10" x14ac:dyDescent="0.25">
      <c r="A784" s="1" t="str">
        <f ca="1">IF(A783="ID",1,IF(ISBLANK(B784),"",MAX(A$2:A783)+1))</f>
        <v/>
      </c>
      <c r="I784" s="2" t="str">
        <f ca="1">IF(ISNUMBER(A784),
IF(COUNTIFS(Equipar!B:B,3,Equipar!AC:AC,A784),"Equipada",
IF(
  OR(COUNTIFS(Equipar!B:B,3,Equipar!C:C,A784)
 +COUNTIFS(Equipar!B:B,3,Equipar!D:D,A784)
+COUNTIFS(Equipar!B:B,3,Equipar!E:E,A784)
+COUNTIFS(Equipar!B:B,3,Equipar!F:F,A784)
&gt;0,COUNTIF('Set recomendado'!B:B,C784)=0),
"Bloqueada",
"Desechable")),""
)</f>
        <v/>
      </c>
      <c r="J784" t="str" cm="1">
        <f t="array" aca="1" ref="J784" ca="1">IF(ISNUMBER(A784),IFERROR(_xlfn._xlws.FILTER(Equipar!A:A,(Equipar!B:B=3)*(Equipar!AC:AC=A784)),""),"")</f>
        <v/>
      </c>
    </row>
    <row r="785" spans="1:10" x14ac:dyDescent="0.25">
      <c r="A785" s="1" t="str">
        <f ca="1">IF(A784="ID",1,IF(ISBLANK(B785),"",MAX(A$2:A784)+1))</f>
        <v/>
      </c>
      <c r="I785" s="2" t="str">
        <f ca="1">IF(ISNUMBER(A785),
IF(COUNTIFS(Equipar!B:B,3,Equipar!AC:AC,A785),"Equipada",
IF(
  OR(COUNTIFS(Equipar!B:B,3,Equipar!C:C,A785)
 +COUNTIFS(Equipar!B:B,3,Equipar!D:D,A785)
+COUNTIFS(Equipar!B:B,3,Equipar!E:E,A785)
+COUNTIFS(Equipar!B:B,3,Equipar!F:F,A785)
&gt;0,COUNTIF('Set recomendado'!B:B,C785)=0),
"Bloqueada",
"Desechable")),""
)</f>
        <v/>
      </c>
      <c r="J785" t="str" cm="1">
        <f t="array" aca="1" ref="J785" ca="1">IF(ISNUMBER(A785),IFERROR(_xlfn._xlws.FILTER(Equipar!A:A,(Equipar!B:B=3)*(Equipar!AC:AC=A785)),""),"")</f>
        <v/>
      </c>
    </row>
    <row r="786" spans="1:10" x14ac:dyDescent="0.25">
      <c r="A786" s="1" t="str">
        <f ca="1">IF(A785="ID",1,IF(ISBLANK(B786),"",MAX(A$2:A785)+1))</f>
        <v/>
      </c>
      <c r="I786" s="2" t="str">
        <f ca="1">IF(ISNUMBER(A786),
IF(COUNTIFS(Equipar!B:B,3,Equipar!AC:AC,A786),"Equipada",
IF(
  OR(COUNTIFS(Equipar!B:B,3,Equipar!C:C,A786)
 +COUNTIFS(Equipar!B:B,3,Equipar!D:D,A786)
+COUNTIFS(Equipar!B:B,3,Equipar!E:E,A786)
+COUNTIFS(Equipar!B:B,3,Equipar!F:F,A786)
&gt;0,COUNTIF('Set recomendado'!B:B,C786)=0),
"Bloqueada",
"Desechable")),""
)</f>
        <v/>
      </c>
      <c r="J786" t="str" cm="1">
        <f t="array" aca="1" ref="J786" ca="1">IF(ISNUMBER(A786),IFERROR(_xlfn._xlws.FILTER(Equipar!A:A,(Equipar!B:B=3)*(Equipar!AC:AC=A786)),""),"")</f>
        <v/>
      </c>
    </row>
    <row r="787" spans="1:10" x14ac:dyDescent="0.25">
      <c r="A787" s="1" t="str">
        <f ca="1">IF(A786="ID",1,IF(ISBLANK(B787),"",MAX(A$2:A786)+1))</f>
        <v/>
      </c>
      <c r="I787" s="2" t="str">
        <f ca="1">IF(ISNUMBER(A787),
IF(COUNTIFS(Equipar!B:B,3,Equipar!AC:AC,A787),"Equipada",
IF(
  OR(COUNTIFS(Equipar!B:B,3,Equipar!C:C,A787)
 +COUNTIFS(Equipar!B:B,3,Equipar!D:D,A787)
+COUNTIFS(Equipar!B:B,3,Equipar!E:E,A787)
+COUNTIFS(Equipar!B:B,3,Equipar!F:F,A787)
&gt;0,COUNTIF('Set recomendado'!B:B,C787)=0),
"Bloqueada",
"Desechable")),""
)</f>
        <v/>
      </c>
      <c r="J787" t="str" cm="1">
        <f t="array" aca="1" ref="J787" ca="1">IF(ISNUMBER(A787),IFERROR(_xlfn._xlws.FILTER(Equipar!A:A,(Equipar!B:B=3)*(Equipar!AC:AC=A787)),""),"")</f>
        <v/>
      </c>
    </row>
    <row r="788" spans="1:10" x14ac:dyDescent="0.25">
      <c r="A788" s="1" t="str">
        <f ca="1">IF(A787="ID",1,IF(ISBLANK(B788),"",MAX(A$2:A787)+1))</f>
        <v/>
      </c>
      <c r="I788" s="2" t="str">
        <f ca="1">IF(ISNUMBER(A788),
IF(COUNTIFS(Equipar!B:B,3,Equipar!AC:AC,A788),"Equipada",
IF(
  OR(COUNTIFS(Equipar!B:B,3,Equipar!C:C,A788)
 +COUNTIFS(Equipar!B:B,3,Equipar!D:D,A788)
+COUNTIFS(Equipar!B:B,3,Equipar!E:E,A788)
+COUNTIFS(Equipar!B:B,3,Equipar!F:F,A788)
&gt;0,COUNTIF('Set recomendado'!B:B,C788)=0),
"Bloqueada",
"Desechable")),""
)</f>
        <v/>
      </c>
      <c r="J788" t="str" cm="1">
        <f t="array" aca="1" ref="J788" ca="1">IF(ISNUMBER(A788),IFERROR(_xlfn._xlws.FILTER(Equipar!A:A,(Equipar!B:B=3)*(Equipar!AC:AC=A788)),""),"")</f>
        <v/>
      </c>
    </row>
    <row r="789" spans="1:10" x14ac:dyDescent="0.25">
      <c r="A789" s="1" t="str">
        <f ca="1">IF(A788="ID",1,IF(ISBLANK(B789),"",MAX(A$2:A788)+1))</f>
        <v/>
      </c>
      <c r="I789" s="2" t="str">
        <f ca="1">IF(ISNUMBER(A789),
IF(COUNTIFS(Equipar!B:B,3,Equipar!AC:AC,A789),"Equipada",
IF(
  OR(COUNTIFS(Equipar!B:B,3,Equipar!C:C,A789)
 +COUNTIFS(Equipar!B:B,3,Equipar!D:D,A789)
+COUNTIFS(Equipar!B:B,3,Equipar!E:E,A789)
+COUNTIFS(Equipar!B:B,3,Equipar!F:F,A789)
&gt;0,COUNTIF('Set recomendado'!B:B,C789)=0),
"Bloqueada",
"Desechable")),""
)</f>
        <v/>
      </c>
      <c r="J789" t="str" cm="1">
        <f t="array" aca="1" ref="J789" ca="1">IF(ISNUMBER(A789),IFERROR(_xlfn._xlws.FILTER(Equipar!A:A,(Equipar!B:B=3)*(Equipar!AC:AC=A789)),""),"")</f>
        <v/>
      </c>
    </row>
    <row r="790" spans="1:10" x14ac:dyDescent="0.25">
      <c r="A790" s="1" t="str">
        <f ca="1">IF(A789="ID",1,IF(ISBLANK(B790),"",MAX(A$2:A789)+1))</f>
        <v/>
      </c>
      <c r="I790" s="2" t="str">
        <f ca="1">IF(ISNUMBER(A790),
IF(COUNTIFS(Equipar!B:B,3,Equipar!AC:AC,A790),"Equipada",
IF(
  OR(COUNTIFS(Equipar!B:B,3,Equipar!C:C,A790)
 +COUNTIFS(Equipar!B:B,3,Equipar!D:D,A790)
+COUNTIFS(Equipar!B:B,3,Equipar!E:E,A790)
+COUNTIFS(Equipar!B:B,3,Equipar!F:F,A790)
&gt;0,COUNTIF('Set recomendado'!B:B,C790)=0),
"Bloqueada",
"Desechable")),""
)</f>
        <v/>
      </c>
      <c r="J790" t="str" cm="1">
        <f t="array" aca="1" ref="J790" ca="1">IF(ISNUMBER(A790),IFERROR(_xlfn._xlws.FILTER(Equipar!A:A,(Equipar!B:B=3)*(Equipar!AC:AC=A790)),""),"")</f>
        <v/>
      </c>
    </row>
    <row r="791" spans="1:10" x14ac:dyDescent="0.25">
      <c r="A791" s="1" t="str">
        <f ca="1">IF(A790="ID",1,IF(ISBLANK(B791),"",MAX(A$2:A790)+1))</f>
        <v/>
      </c>
      <c r="I791" s="2" t="str">
        <f ca="1">IF(ISNUMBER(A791),
IF(COUNTIFS(Equipar!B:B,3,Equipar!AC:AC,A791),"Equipada",
IF(
  OR(COUNTIFS(Equipar!B:B,3,Equipar!C:C,A791)
 +COUNTIFS(Equipar!B:B,3,Equipar!D:D,A791)
+COUNTIFS(Equipar!B:B,3,Equipar!E:E,A791)
+COUNTIFS(Equipar!B:B,3,Equipar!F:F,A791)
&gt;0,COUNTIF('Set recomendado'!B:B,C791)=0),
"Bloqueada",
"Desechable")),""
)</f>
        <v/>
      </c>
      <c r="J791" t="str" cm="1">
        <f t="array" aca="1" ref="J791" ca="1">IF(ISNUMBER(A791),IFERROR(_xlfn._xlws.FILTER(Equipar!A:A,(Equipar!B:B=3)*(Equipar!AC:AC=A791)),""),"")</f>
        <v/>
      </c>
    </row>
    <row r="792" spans="1:10" x14ac:dyDescent="0.25">
      <c r="A792" s="1" t="str">
        <f ca="1">IF(A791="ID",1,IF(ISBLANK(B792),"",MAX(A$2:A791)+1))</f>
        <v/>
      </c>
      <c r="I792" s="2" t="str">
        <f ca="1">IF(ISNUMBER(A792),
IF(COUNTIFS(Equipar!B:B,3,Equipar!AC:AC,A792),"Equipada",
IF(
  OR(COUNTIFS(Equipar!B:B,3,Equipar!C:C,A792)
 +COUNTIFS(Equipar!B:B,3,Equipar!D:D,A792)
+COUNTIFS(Equipar!B:B,3,Equipar!E:E,A792)
+COUNTIFS(Equipar!B:B,3,Equipar!F:F,A792)
&gt;0,COUNTIF('Set recomendado'!B:B,C792)=0),
"Bloqueada",
"Desechable")),""
)</f>
        <v/>
      </c>
      <c r="J792" t="str" cm="1">
        <f t="array" aca="1" ref="J792" ca="1">IF(ISNUMBER(A792),IFERROR(_xlfn._xlws.FILTER(Equipar!A:A,(Equipar!B:B=3)*(Equipar!AC:AC=A792)),""),"")</f>
        <v/>
      </c>
    </row>
    <row r="793" spans="1:10" x14ac:dyDescent="0.25">
      <c r="A793" s="1" t="str">
        <f ca="1">IF(A792="ID",1,IF(ISBLANK(B793),"",MAX(A$2:A792)+1))</f>
        <v/>
      </c>
      <c r="I793" s="2" t="str">
        <f ca="1">IF(ISNUMBER(A793),
IF(COUNTIFS(Equipar!B:B,3,Equipar!AC:AC,A793),"Equipada",
IF(
  OR(COUNTIFS(Equipar!B:B,3,Equipar!C:C,A793)
 +COUNTIFS(Equipar!B:B,3,Equipar!D:D,A793)
+COUNTIFS(Equipar!B:B,3,Equipar!E:E,A793)
+COUNTIFS(Equipar!B:B,3,Equipar!F:F,A793)
&gt;0,COUNTIF('Set recomendado'!B:B,C793)=0),
"Bloqueada",
"Desechable")),""
)</f>
        <v/>
      </c>
      <c r="J793" t="str" cm="1">
        <f t="array" aca="1" ref="J793" ca="1">IF(ISNUMBER(A793),IFERROR(_xlfn._xlws.FILTER(Equipar!A:A,(Equipar!B:B=3)*(Equipar!AC:AC=A793)),""),"")</f>
        <v/>
      </c>
    </row>
    <row r="794" spans="1:10" x14ac:dyDescent="0.25">
      <c r="A794" s="1" t="str">
        <f ca="1">IF(A793="ID",1,IF(ISBLANK(B794),"",MAX(A$2:A793)+1))</f>
        <v/>
      </c>
      <c r="I794" s="2" t="str">
        <f ca="1">IF(ISNUMBER(A794),
IF(COUNTIFS(Equipar!B:B,3,Equipar!AC:AC,A794),"Equipada",
IF(
  OR(COUNTIFS(Equipar!B:B,3,Equipar!C:C,A794)
 +COUNTIFS(Equipar!B:B,3,Equipar!D:D,A794)
+COUNTIFS(Equipar!B:B,3,Equipar!E:E,A794)
+COUNTIFS(Equipar!B:B,3,Equipar!F:F,A794)
&gt;0,COUNTIF('Set recomendado'!B:B,C794)=0),
"Bloqueada",
"Desechable")),""
)</f>
        <v/>
      </c>
      <c r="J794" t="str" cm="1">
        <f t="array" aca="1" ref="J794" ca="1">IF(ISNUMBER(A794),IFERROR(_xlfn._xlws.FILTER(Equipar!A:A,(Equipar!B:B=3)*(Equipar!AC:AC=A794)),""),"")</f>
        <v/>
      </c>
    </row>
    <row r="795" spans="1:10" x14ac:dyDescent="0.25">
      <c r="A795" s="1" t="str">
        <f ca="1">IF(A794="ID",1,IF(ISBLANK(B795),"",MAX(A$2:A794)+1))</f>
        <v/>
      </c>
      <c r="I795" s="2" t="str">
        <f ca="1">IF(ISNUMBER(A795),
IF(COUNTIFS(Equipar!B:B,3,Equipar!AC:AC,A795),"Equipada",
IF(
  OR(COUNTIFS(Equipar!B:B,3,Equipar!C:C,A795)
 +COUNTIFS(Equipar!B:B,3,Equipar!D:D,A795)
+COUNTIFS(Equipar!B:B,3,Equipar!E:E,A795)
+COUNTIFS(Equipar!B:B,3,Equipar!F:F,A795)
&gt;0,COUNTIF('Set recomendado'!B:B,C795)=0),
"Bloqueada",
"Desechable")),""
)</f>
        <v/>
      </c>
      <c r="J795" t="str" cm="1">
        <f t="array" aca="1" ref="J795" ca="1">IF(ISNUMBER(A795),IFERROR(_xlfn._xlws.FILTER(Equipar!A:A,(Equipar!B:B=3)*(Equipar!AC:AC=A795)),""),"")</f>
        <v/>
      </c>
    </row>
    <row r="796" spans="1:10" x14ac:dyDescent="0.25">
      <c r="A796" s="1" t="str">
        <f ca="1">IF(A795="ID",1,IF(ISBLANK(B796),"",MAX(A$2:A795)+1))</f>
        <v/>
      </c>
      <c r="I796" s="2" t="str">
        <f ca="1">IF(ISNUMBER(A796),
IF(COUNTIFS(Equipar!B:B,3,Equipar!AC:AC,A796),"Equipada",
IF(
  OR(COUNTIFS(Equipar!B:B,3,Equipar!C:C,A796)
 +COUNTIFS(Equipar!B:B,3,Equipar!D:D,A796)
+COUNTIFS(Equipar!B:B,3,Equipar!E:E,A796)
+COUNTIFS(Equipar!B:B,3,Equipar!F:F,A796)
&gt;0,COUNTIF('Set recomendado'!B:B,C796)=0),
"Bloqueada",
"Desechable")),""
)</f>
        <v/>
      </c>
      <c r="J796" t="str" cm="1">
        <f t="array" aca="1" ref="J796" ca="1">IF(ISNUMBER(A796),IFERROR(_xlfn._xlws.FILTER(Equipar!A:A,(Equipar!B:B=3)*(Equipar!AC:AC=A796)),""),"")</f>
        <v/>
      </c>
    </row>
    <row r="797" spans="1:10" x14ac:dyDescent="0.25">
      <c r="A797" s="1" t="str">
        <f ca="1">IF(A796="ID",1,IF(ISBLANK(B797),"",MAX(A$2:A796)+1))</f>
        <v/>
      </c>
      <c r="I797" s="2" t="str">
        <f ca="1">IF(ISNUMBER(A797),
IF(COUNTIFS(Equipar!B:B,3,Equipar!AC:AC,A797),"Equipada",
IF(
  OR(COUNTIFS(Equipar!B:B,3,Equipar!C:C,A797)
 +COUNTIFS(Equipar!B:B,3,Equipar!D:D,A797)
+COUNTIFS(Equipar!B:B,3,Equipar!E:E,A797)
+COUNTIFS(Equipar!B:B,3,Equipar!F:F,A797)
&gt;0,COUNTIF('Set recomendado'!B:B,C797)=0),
"Bloqueada",
"Desechable")),""
)</f>
        <v/>
      </c>
      <c r="J797" t="str" cm="1">
        <f t="array" aca="1" ref="J797" ca="1">IF(ISNUMBER(A797),IFERROR(_xlfn._xlws.FILTER(Equipar!A:A,(Equipar!B:B=3)*(Equipar!AC:AC=A797)),""),"")</f>
        <v/>
      </c>
    </row>
    <row r="798" spans="1:10" x14ac:dyDescent="0.25">
      <c r="A798" s="1" t="str">
        <f ca="1">IF(A797="ID",1,IF(ISBLANK(B798),"",MAX(A$2:A797)+1))</f>
        <v/>
      </c>
      <c r="I798" s="2" t="str">
        <f ca="1">IF(ISNUMBER(A798),
IF(COUNTIFS(Equipar!B:B,3,Equipar!AC:AC,A798),"Equipada",
IF(
  OR(COUNTIFS(Equipar!B:B,3,Equipar!C:C,A798)
 +COUNTIFS(Equipar!B:B,3,Equipar!D:D,A798)
+COUNTIFS(Equipar!B:B,3,Equipar!E:E,A798)
+COUNTIFS(Equipar!B:B,3,Equipar!F:F,A798)
&gt;0,COUNTIF('Set recomendado'!B:B,C798)=0),
"Bloqueada",
"Desechable")),""
)</f>
        <v/>
      </c>
      <c r="J798" t="str" cm="1">
        <f t="array" aca="1" ref="J798" ca="1">IF(ISNUMBER(A798),IFERROR(_xlfn._xlws.FILTER(Equipar!A:A,(Equipar!B:B=3)*(Equipar!AC:AC=A798)),""),"")</f>
        <v/>
      </c>
    </row>
    <row r="799" spans="1:10" x14ac:dyDescent="0.25">
      <c r="A799" s="1" t="str">
        <f ca="1">IF(A798="ID",1,IF(ISBLANK(B799),"",MAX(A$2:A798)+1))</f>
        <v/>
      </c>
      <c r="I799" s="2" t="str">
        <f ca="1">IF(ISNUMBER(A799),
IF(COUNTIFS(Equipar!B:B,3,Equipar!AC:AC,A799),"Equipada",
IF(
  OR(COUNTIFS(Equipar!B:B,3,Equipar!C:C,A799)
 +COUNTIFS(Equipar!B:B,3,Equipar!D:D,A799)
+COUNTIFS(Equipar!B:B,3,Equipar!E:E,A799)
+COUNTIFS(Equipar!B:B,3,Equipar!F:F,A799)
&gt;0,COUNTIF('Set recomendado'!B:B,C799)=0),
"Bloqueada",
"Desechable")),""
)</f>
        <v/>
      </c>
      <c r="J799" t="str" cm="1">
        <f t="array" aca="1" ref="J799" ca="1">IF(ISNUMBER(A799),IFERROR(_xlfn._xlws.FILTER(Equipar!A:A,(Equipar!B:B=3)*(Equipar!AC:AC=A799)),""),"")</f>
        <v/>
      </c>
    </row>
    <row r="800" spans="1:10" x14ac:dyDescent="0.25">
      <c r="A800" s="1" t="str">
        <f ca="1">IF(A799="ID",1,IF(ISBLANK(B800),"",MAX(A$2:A799)+1))</f>
        <v/>
      </c>
      <c r="I800" s="2" t="str">
        <f ca="1">IF(ISNUMBER(A800),
IF(COUNTIFS(Equipar!B:B,3,Equipar!AC:AC,A800),"Equipada",
IF(
  OR(COUNTIFS(Equipar!B:B,3,Equipar!C:C,A800)
 +COUNTIFS(Equipar!B:B,3,Equipar!D:D,A800)
+COUNTIFS(Equipar!B:B,3,Equipar!E:E,A800)
+COUNTIFS(Equipar!B:B,3,Equipar!F:F,A800)
&gt;0,COUNTIF('Set recomendado'!B:B,C800)=0),
"Bloqueada",
"Desechable")),""
)</f>
        <v/>
      </c>
      <c r="J800" t="str" cm="1">
        <f t="array" aca="1" ref="J800" ca="1">IF(ISNUMBER(A800),IFERROR(_xlfn._xlws.FILTER(Equipar!A:A,(Equipar!B:B=3)*(Equipar!AC:AC=A800)),""),"")</f>
        <v/>
      </c>
    </row>
    <row r="801" spans="1:10" x14ac:dyDescent="0.25">
      <c r="A801" s="1" t="str">
        <f ca="1">IF(A800="ID",1,IF(ISBLANK(B801),"",MAX(A$2:A800)+1))</f>
        <v/>
      </c>
      <c r="I801" s="2" t="str">
        <f ca="1">IF(ISNUMBER(A801),
IF(COUNTIFS(Equipar!B:B,3,Equipar!AC:AC,A801),"Equipada",
IF(
  OR(COUNTIFS(Equipar!B:B,3,Equipar!C:C,A801)
 +COUNTIFS(Equipar!B:B,3,Equipar!D:D,A801)
+COUNTIFS(Equipar!B:B,3,Equipar!E:E,A801)
+COUNTIFS(Equipar!B:B,3,Equipar!F:F,A801)
&gt;0,COUNTIF('Set recomendado'!B:B,C801)=0),
"Bloqueada",
"Desechable")),""
)</f>
        <v/>
      </c>
      <c r="J801" t="str" cm="1">
        <f t="array" aca="1" ref="J801" ca="1">IF(ISNUMBER(A801),IFERROR(_xlfn._xlws.FILTER(Equipar!A:A,(Equipar!B:B=3)*(Equipar!AC:AC=A801)),""),"")</f>
        <v/>
      </c>
    </row>
    <row r="802" spans="1:10" x14ac:dyDescent="0.25">
      <c r="A802" s="1" t="str">
        <f ca="1">IF(A801="ID",1,IF(ISBLANK(B802),"",MAX(A$2:A801)+1))</f>
        <v/>
      </c>
      <c r="I802" s="2" t="str">
        <f ca="1">IF(ISNUMBER(A802),
IF(COUNTIFS(Equipar!B:B,3,Equipar!AC:AC,A802),"Equipada",
IF(
  OR(COUNTIFS(Equipar!B:B,3,Equipar!C:C,A802)
 +COUNTIFS(Equipar!B:B,3,Equipar!D:D,A802)
+COUNTIFS(Equipar!B:B,3,Equipar!E:E,A802)
+COUNTIFS(Equipar!B:B,3,Equipar!F:F,A802)
&gt;0,COUNTIF('Set recomendado'!B:B,C802)=0),
"Bloqueada",
"Desechable")),""
)</f>
        <v/>
      </c>
      <c r="J802" t="str" cm="1">
        <f t="array" aca="1" ref="J802" ca="1">IF(ISNUMBER(A802),IFERROR(_xlfn._xlws.FILTER(Equipar!A:A,(Equipar!B:B=3)*(Equipar!AC:AC=A802)),""),"")</f>
        <v/>
      </c>
    </row>
    <row r="803" spans="1:10" x14ac:dyDescent="0.25">
      <c r="A803" s="1" t="str">
        <f ca="1">IF(A802="ID",1,IF(ISBLANK(B803),"",MAX(A$2:A802)+1))</f>
        <v/>
      </c>
      <c r="I803" s="2" t="str">
        <f ca="1">IF(ISNUMBER(A803),
IF(COUNTIFS(Equipar!B:B,3,Equipar!AC:AC,A803),"Equipada",
IF(
  OR(COUNTIFS(Equipar!B:B,3,Equipar!C:C,A803)
 +COUNTIFS(Equipar!B:B,3,Equipar!D:D,A803)
+COUNTIFS(Equipar!B:B,3,Equipar!E:E,A803)
+COUNTIFS(Equipar!B:B,3,Equipar!F:F,A803)
&gt;0,COUNTIF('Set recomendado'!B:B,C803)=0),
"Bloqueada",
"Desechable")),""
)</f>
        <v/>
      </c>
      <c r="J803" t="str" cm="1">
        <f t="array" aca="1" ref="J803" ca="1">IF(ISNUMBER(A803),IFERROR(_xlfn._xlws.FILTER(Equipar!A:A,(Equipar!B:B=3)*(Equipar!AC:AC=A803)),""),"")</f>
        <v/>
      </c>
    </row>
    <row r="804" spans="1:10" x14ac:dyDescent="0.25">
      <c r="A804" s="1" t="str">
        <f ca="1">IF(A803="ID",1,IF(ISBLANK(B804),"",MAX(A$2:A803)+1))</f>
        <v/>
      </c>
      <c r="I804" s="2" t="str">
        <f ca="1">IF(ISNUMBER(A804),
IF(COUNTIFS(Equipar!B:B,3,Equipar!AC:AC,A804),"Equipada",
IF(
  OR(COUNTIFS(Equipar!B:B,3,Equipar!C:C,A804)
 +COUNTIFS(Equipar!B:B,3,Equipar!D:D,A804)
+COUNTIFS(Equipar!B:B,3,Equipar!E:E,A804)
+COUNTIFS(Equipar!B:B,3,Equipar!F:F,A804)
&gt;0,COUNTIF('Set recomendado'!B:B,C804)=0),
"Bloqueada",
"Desechable")),""
)</f>
        <v/>
      </c>
      <c r="J804" t="str" cm="1">
        <f t="array" aca="1" ref="J804" ca="1">IF(ISNUMBER(A804),IFERROR(_xlfn._xlws.FILTER(Equipar!A:A,(Equipar!B:B=3)*(Equipar!AC:AC=A804)),""),"")</f>
        <v/>
      </c>
    </row>
    <row r="805" spans="1:10" x14ac:dyDescent="0.25">
      <c r="A805" s="1" t="str">
        <f ca="1">IF(A804="ID",1,IF(ISBLANK(B805),"",MAX(A$2:A804)+1))</f>
        <v/>
      </c>
      <c r="I805" s="2" t="str">
        <f ca="1">IF(ISNUMBER(A805),
IF(COUNTIFS(Equipar!B:B,3,Equipar!AC:AC,A805),"Equipada",
IF(
  OR(COUNTIFS(Equipar!B:B,3,Equipar!C:C,A805)
 +COUNTIFS(Equipar!B:B,3,Equipar!D:D,A805)
+COUNTIFS(Equipar!B:B,3,Equipar!E:E,A805)
+COUNTIFS(Equipar!B:B,3,Equipar!F:F,A805)
&gt;0,COUNTIF('Set recomendado'!B:B,C805)=0),
"Bloqueada",
"Desechable")),""
)</f>
        <v/>
      </c>
      <c r="J805" t="str" cm="1">
        <f t="array" aca="1" ref="J805" ca="1">IF(ISNUMBER(A805),IFERROR(_xlfn._xlws.FILTER(Equipar!A:A,(Equipar!B:B=3)*(Equipar!AC:AC=A805)),""),"")</f>
        <v/>
      </c>
    </row>
    <row r="806" spans="1:10" x14ac:dyDescent="0.25">
      <c r="A806" s="1" t="str">
        <f ca="1">IF(A805="ID",1,IF(ISBLANK(B806),"",MAX(A$2:A805)+1))</f>
        <v/>
      </c>
      <c r="I806" s="2" t="str">
        <f ca="1">IF(ISNUMBER(A806),
IF(COUNTIFS(Equipar!B:B,3,Equipar!AC:AC,A806),"Equipada",
IF(
  OR(COUNTIFS(Equipar!B:B,3,Equipar!C:C,A806)
 +COUNTIFS(Equipar!B:B,3,Equipar!D:D,A806)
+COUNTIFS(Equipar!B:B,3,Equipar!E:E,A806)
+COUNTIFS(Equipar!B:B,3,Equipar!F:F,A806)
&gt;0,COUNTIF('Set recomendado'!B:B,C806)=0),
"Bloqueada",
"Desechable")),""
)</f>
        <v/>
      </c>
      <c r="J806" t="str" cm="1">
        <f t="array" aca="1" ref="J806" ca="1">IF(ISNUMBER(A806),IFERROR(_xlfn._xlws.FILTER(Equipar!A:A,(Equipar!B:B=3)*(Equipar!AC:AC=A806)),""),"")</f>
        <v/>
      </c>
    </row>
    <row r="807" spans="1:10" x14ac:dyDescent="0.25">
      <c r="A807" s="1" t="str">
        <f ca="1">IF(A806="ID",1,IF(ISBLANK(B807),"",MAX(A$2:A806)+1))</f>
        <v/>
      </c>
      <c r="I807" s="2" t="str">
        <f ca="1">IF(ISNUMBER(A807),
IF(COUNTIFS(Equipar!B:B,3,Equipar!AC:AC,A807),"Equipada",
IF(
  OR(COUNTIFS(Equipar!B:B,3,Equipar!C:C,A807)
 +COUNTIFS(Equipar!B:B,3,Equipar!D:D,A807)
+COUNTIFS(Equipar!B:B,3,Equipar!E:E,A807)
+COUNTIFS(Equipar!B:B,3,Equipar!F:F,A807)
&gt;0,COUNTIF('Set recomendado'!B:B,C807)=0),
"Bloqueada",
"Desechable")),""
)</f>
        <v/>
      </c>
      <c r="J807" t="str" cm="1">
        <f t="array" aca="1" ref="J807" ca="1">IF(ISNUMBER(A807),IFERROR(_xlfn._xlws.FILTER(Equipar!A:A,(Equipar!B:B=3)*(Equipar!AC:AC=A807)),""),"")</f>
        <v/>
      </c>
    </row>
    <row r="808" spans="1:10" x14ac:dyDescent="0.25">
      <c r="A808" s="1" t="str">
        <f ca="1">IF(A807="ID",1,IF(ISBLANK(B808),"",MAX(A$2:A807)+1))</f>
        <v/>
      </c>
      <c r="I808" s="2" t="str">
        <f ca="1">IF(ISNUMBER(A808),
IF(COUNTIFS(Equipar!B:B,3,Equipar!AC:AC,A808),"Equipada",
IF(
  OR(COUNTIFS(Equipar!B:B,3,Equipar!C:C,A808)
 +COUNTIFS(Equipar!B:B,3,Equipar!D:D,A808)
+COUNTIFS(Equipar!B:B,3,Equipar!E:E,A808)
+COUNTIFS(Equipar!B:B,3,Equipar!F:F,A808)
&gt;0,COUNTIF('Set recomendado'!B:B,C808)=0),
"Bloqueada",
"Desechable")),""
)</f>
        <v/>
      </c>
      <c r="J808" t="str" cm="1">
        <f t="array" aca="1" ref="J808" ca="1">IF(ISNUMBER(A808),IFERROR(_xlfn._xlws.FILTER(Equipar!A:A,(Equipar!B:B=3)*(Equipar!AC:AC=A808)),""),"")</f>
        <v/>
      </c>
    </row>
    <row r="809" spans="1:10" x14ac:dyDescent="0.25">
      <c r="A809" s="1" t="str">
        <f ca="1">IF(A808="ID",1,IF(ISBLANK(B809),"",MAX(A$2:A808)+1))</f>
        <v/>
      </c>
      <c r="I809" s="2" t="str">
        <f ca="1">IF(ISNUMBER(A809),
IF(COUNTIFS(Equipar!B:B,3,Equipar!AC:AC,A809),"Equipada",
IF(
  OR(COUNTIFS(Equipar!B:B,3,Equipar!C:C,A809)
 +COUNTIFS(Equipar!B:B,3,Equipar!D:D,A809)
+COUNTIFS(Equipar!B:B,3,Equipar!E:E,A809)
+COUNTIFS(Equipar!B:B,3,Equipar!F:F,A809)
&gt;0,COUNTIF('Set recomendado'!B:B,C809)=0),
"Bloqueada",
"Desechable")),""
)</f>
        <v/>
      </c>
      <c r="J809" t="str" cm="1">
        <f t="array" aca="1" ref="J809" ca="1">IF(ISNUMBER(A809),IFERROR(_xlfn._xlws.FILTER(Equipar!A:A,(Equipar!B:B=3)*(Equipar!AC:AC=A809)),""),"")</f>
        <v/>
      </c>
    </row>
    <row r="810" spans="1:10" x14ac:dyDescent="0.25">
      <c r="A810" s="1" t="str">
        <f ca="1">IF(A809="ID",1,IF(ISBLANK(B810),"",MAX(A$2:A809)+1))</f>
        <v/>
      </c>
      <c r="I810" s="2" t="str">
        <f ca="1">IF(ISNUMBER(A810),
IF(COUNTIFS(Equipar!B:B,3,Equipar!AC:AC,A810),"Equipada",
IF(
  OR(COUNTIFS(Equipar!B:B,3,Equipar!C:C,A810)
 +COUNTIFS(Equipar!B:B,3,Equipar!D:D,A810)
+COUNTIFS(Equipar!B:B,3,Equipar!E:E,A810)
+COUNTIFS(Equipar!B:B,3,Equipar!F:F,A810)
&gt;0,COUNTIF('Set recomendado'!B:B,C810)=0),
"Bloqueada",
"Desechable")),""
)</f>
        <v/>
      </c>
      <c r="J810" t="str" cm="1">
        <f t="array" aca="1" ref="J810" ca="1">IF(ISNUMBER(A810),IFERROR(_xlfn._xlws.FILTER(Equipar!A:A,(Equipar!B:B=3)*(Equipar!AC:AC=A810)),""),"")</f>
        <v/>
      </c>
    </row>
    <row r="811" spans="1:10" x14ac:dyDescent="0.25">
      <c r="A811" s="1" t="str">
        <f ca="1">IF(A810="ID",1,IF(ISBLANK(B811),"",MAX(A$2:A810)+1))</f>
        <v/>
      </c>
      <c r="I811" s="2" t="str">
        <f ca="1">IF(ISNUMBER(A811),
IF(COUNTIFS(Equipar!B:B,3,Equipar!AC:AC,A811),"Equipada",
IF(
  OR(COUNTIFS(Equipar!B:B,3,Equipar!C:C,A811)
 +COUNTIFS(Equipar!B:B,3,Equipar!D:D,A811)
+COUNTIFS(Equipar!B:B,3,Equipar!E:E,A811)
+COUNTIFS(Equipar!B:B,3,Equipar!F:F,A811)
&gt;0,COUNTIF('Set recomendado'!B:B,C811)=0),
"Bloqueada",
"Desechable")),""
)</f>
        <v/>
      </c>
      <c r="J811" t="str" cm="1">
        <f t="array" aca="1" ref="J811" ca="1">IF(ISNUMBER(A811),IFERROR(_xlfn._xlws.FILTER(Equipar!A:A,(Equipar!B:B=3)*(Equipar!AC:AC=A811)),""),"")</f>
        <v/>
      </c>
    </row>
    <row r="812" spans="1:10" x14ac:dyDescent="0.25">
      <c r="A812" s="1" t="str">
        <f ca="1">IF(A811="ID",1,IF(ISBLANK(B812),"",MAX(A$2:A811)+1))</f>
        <v/>
      </c>
      <c r="I812" s="2" t="str">
        <f ca="1">IF(ISNUMBER(A812),
IF(COUNTIFS(Equipar!B:B,3,Equipar!AC:AC,A812),"Equipada",
IF(
  OR(COUNTIFS(Equipar!B:B,3,Equipar!C:C,A812)
 +COUNTIFS(Equipar!B:B,3,Equipar!D:D,A812)
+COUNTIFS(Equipar!B:B,3,Equipar!E:E,A812)
+COUNTIFS(Equipar!B:B,3,Equipar!F:F,A812)
&gt;0,COUNTIF('Set recomendado'!B:B,C812)=0),
"Bloqueada",
"Desechable")),""
)</f>
        <v/>
      </c>
      <c r="J812" t="str" cm="1">
        <f t="array" aca="1" ref="J812" ca="1">IF(ISNUMBER(A812),IFERROR(_xlfn._xlws.FILTER(Equipar!A:A,(Equipar!B:B=3)*(Equipar!AC:AC=A812)),""),"")</f>
        <v/>
      </c>
    </row>
    <row r="813" spans="1:10" x14ac:dyDescent="0.25">
      <c r="A813" s="1" t="str">
        <f ca="1">IF(A812="ID",1,IF(ISBLANK(B813),"",MAX(A$2:A812)+1))</f>
        <v/>
      </c>
      <c r="I813" s="2" t="str">
        <f ca="1">IF(ISNUMBER(A813),
IF(COUNTIFS(Equipar!B:B,3,Equipar!AC:AC,A813),"Equipada",
IF(
  OR(COUNTIFS(Equipar!B:B,3,Equipar!C:C,A813)
 +COUNTIFS(Equipar!B:B,3,Equipar!D:D,A813)
+COUNTIFS(Equipar!B:B,3,Equipar!E:E,A813)
+COUNTIFS(Equipar!B:B,3,Equipar!F:F,A813)
&gt;0,COUNTIF('Set recomendado'!B:B,C813)=0),
"Bloqueada",
"Desechable")),""
)</f>
        <v/>
      </c>
      <c r="J813" t="str" cm="1">
        <f t="array" aca="1" ref="J813" ca="1">IF(ISNUMBER(A813),IFERROR(_xlfn._xlws.FILTER(Equipar!A:A,(Equipar!B:B=3)*(Equipar!AC:AC=A813)),""),"")</f>
        <v/>
      </c>
    </row>
    <row r="814" spans="1:10" x14ac:dyDescent="0.25">
      <c r="A814" s="1" t="str">
        <f ca="1">IF(A813="ID",1,IF(ISBLANK(B814),"",MAX(A$2:A813)+1))</f>
        <v/>
      </c>
      <c r="I814" s="2" t="str">
        <f ca="1">IF(ISNUMBER(A814),
IF(COUNTIFS(Equipar!B:B,3,Equipar!AC:AC,A814),"Equipada",
IF(
  OR(COUNTIFS(Equipar!B:B,3,Equipar!C:C,A814)
 +COUNTIFS(Equipar!B:B,3,Equipar!D:D,A814)
+COUNTIFS(Equipar!B:B,3,Equipar!E:E,A814)
+COUNTIFS(Equipar!B:B,3,Equipar!F:F,A814)
&gt;0,COUNTIF('Set recomendado'!B:B,C814)=0),
"Bloqueada",
"Desechable")),""
)</f>
        <v/>
      </c>
      <c r="J814" t="str" cm="1">
        <f t="array" aca="1" ref="J814" ca="1">IF(ISNUMBER(A814),IFERROR(_xlfn._xlws.FILTER(Equipar!A:A,(Equipar!B:B=3)*(Equipar!AC:AC=A814)),""),"")</f>
        <v/>
      </c>
    </row>
    <row r="815" spans="1:10" x14ac:dyDescent="0.25">
      <c r="A815" s="1" t="str">
        <f ca="1">IF(A814="ID",1,IF(ISBLANK(B815),"",MAX(A$2:A814)+1))</f>
        <v/>
      </c>
      <c r="I815" s="2" t="str">
        <f ca="1">IF(ISNUMBER(A815),
IF(COUNTIFS(Equipar!B:B,3,Equipar!AC:AC,A815),"Equipada",
IF(
  OR(COUNTIFS(Equipar!B:B,3,Equipar!C:C,A815)
 +COUNTIFS(Equipar!B:B,3,Equipar!D:D,A815)
+COUNTIFS(Equipar!B:B,3,Equipar!E:E,A815)
+COUNTIFS(Equipar!B:B,3,Equipar!F:F,A815)
&gt;0,COUNTIF('Set recomendado'!B:B,C815)=0),
"Bloqueada",
"Desechable")),""
)</f>
        <v/>
      </c>
      <c r="J815" t="str" cm="1">
        <f t="array" aca="1" ref="J815" ca="1">IF(ISNUMBER(A815),IFERROR(_xlfn._xlws.FILTER(Equipar!A:A,(Equipar!B:B=3)*(Equipar!AC:AC=A815)),""),"")</f>
        <v/>
      </c>
    </row>
    <row r="816" spans="1:10" x14ac:dyDescent="0.25">
      <c r="A816" s="1" t="str">
        <f ca="1">IF(A815="ID",1,IF(ISBLANK(B816),"",MAX(A$2:A815)+1))</f>
        <v/>
      </c>
      <c r="I816" s="2" t="str">
        <f ca="1">IF(ISNUMBER(A816),
IF(COUNTIFS(Equipar!B:B,3,Equipar!AC:AC,A816),"Equipada",
IF(
  OR(COUNTIFS(Equipar!B:B,3,Equipar!C:C,A816)
 +COUNTIFS(Equipar!B:B,3,Equipar!D:D,A816)
+COUNTIFS(Equipar!B:B,3,Equipar!E:E,A816)
+COUNTIFS(Equipar!B:B,3,Equipar!F:F,A816)
&gt;0,COUNTIF('Set recomendado'!B:B,C816)=0),
"Bloqueada",
"Desechable")),""
)</f>
        <v/>
      </c>
      <c r="J816" t="str" cm="1">
        <f t="array" aca="1" ref="J816" ca="1">IF(ISNUMBER(A816),IFERROR(_xlfn._xlws.FILTER(Equipar!A:A,(Equipar!B:B=3)*(Equipar!AC:AC=A816)),""),"")</f>
        <v/>
      </c>
    </row>
    <row r="817" spans="1:10" x14ac:dyDescent="0.25">
      <c r="A817" s="1" t="str">
        <f ca="1">IF(A816="ID",1,IF(ISBLANK(B817),"",MAX(A$2:A816)+1))</f>
        <v/>
      </c>
      <c r="I817" s="2" t="str">
        <f ca="1">IF(ISNUMBER(A817),
IF(COUNTIFS(Equipar!B:B,3,Equipar!AC:AC,A817),"Equipada",
IF(
  OR(COUNTIFS(Equipar!B:B,3,Equipar!C:C,A817)
 +COUNTIFS(Equipar!B:B,3,Equipar!D:D,A817)
+COUNTIFS(Equipar!B:B,3,Equipar!E:E,A817)
+COUNTIFS(Equipar!B:B,3,Equipar!F:F,A817)
&gt;0,COUNTIF('Set recomendado'!B:B,C817)=0),
"Bloqueada",
"Desechable")),""
)</f>
        <v/>
      </c>
      <c r="J817" t="str" cm="1">
        <f t="array" aca="1" ref="J817" ca="1">IF(ISNUMBER(A817),IFERROR(_xlfn._xlws.FILTER(Equipar!A:A,(Equipar!B:B=3)*(Equipar!AC:AC=A817)),""),"")</f>
        <v/>
      </c>
    </row>
    <row r="818" spans="1:10" x14ac:dyDescent="0.25">
      <c r="A818" s="1" t="str">
        <f ca="1">IF(A817="ID",1,IF(ISBLANK(B818),"",MAX(A$2:A817)+1))</f>
        <v/>
      </c>
      <c r="I818" s="2" t="str">
        <f ca="1">IF(ISNUMBER(A818),
IF(COUNTIFS(Equipar!B:B,3,Equipar!AC:AC,A818),"Equipada",
IF(
  OR(COUNTIFS(Equipar!B:B,3,Equipar!C:C,A818)
 +COUNTIFS(Equipar!B:B,3,Equipar!D:D,A818)
+COUNTIFS(Equipar!B:B,3,Equipar!E:E,A818)
+COUNTIFS(Equipar!B:B,3,Equipar!F:F,A818)
&gt;0,COUNTIF('Set recomendado'!B:B,C818)=0),
"Bloqueada",
"Desechable")),""
)</f>
        <v/>
      </c>
      <c r="J818" t="str" cm="1">
        <f t="array" aca="1" ref="J818" ca="1">IF(ISNUMBER(A818),IFERROR(_xlfn._xlws.FILTER(Equipar!A:A,(Equipar!B:B=3)*(Equipar!AC:AC=A818)),""),"")</f>
        <v/>
      </c>
    </row>
    <row r="819" spans="1:10" x14ac:dyDescent="0.25">
      <c r="A819" s="1" t="str">
        <f ca="1">IF(A818="ID",1,IF(ISBLANK(B819),"",MAX(A$2:A818)+1))</f>
        <v/>
      </c>
      <c r="I819" s="2" t="str">
        <f ca="1">IF(ISNUMBER(A819),
IF(COUNTIFS(Equipar!B:B,3,Equipar!AC:AC,A819),"Equipada",
IF(
  OR(COUNTIFS(Equipar!B:B,3,Equipar!C:C,A819)
 +COUNTIFS(Equipar!B:B,3,Equipar!D:D,A819)
+COUNTIFS(Equipar!B:B,3,Equipar!E:E,A819)
+COUNTIFS(Equipar!B:B,3,Equipar!F:F,A819)
&gt;0,COUNTIF('Set recomendado'!B:B,C819)=0),
"Bloqueada",
"Desechable")),""
)</f>
        <v/>
      </c>
      <c r="J819" t="str" cm="1">
        <f t="array" aca="1" ref="J819" ca="1">IF(ISNUMBER(A819),IFERROR(_xlfn._xlws.FILTER(Equipar!A:A,(Equipar!B:B=3)*(Equipar!AC:AC=A819)),""),"")</f>
        <v/>
      </c>
    </row>
    <row r="820" spans="1:10" x14ac:dyDescent="0.25">
      <c r="A820" s="1" t="str">
        <f ca="1">IF(A819="ID",1,IF(ISBLANK(B820),"",MAX(A$2:A819)+1))</f>
        <v/>
      </c>
      <c r="I820" s="2" t="str">
        <f ca="1">IF(ISNUMBER(A820),
IF(COUNTIFS(Equipar!B:B,3,Equipar!AC:AC,A820),"Equipada",
IF(
  OR(COUNTIFS(Equipar!B:B,3,Equipar!C:C,A820)
 +COUNTIFS(Equipar!B:B,3,Equipar!D:D,A820)
+COUNTIFS(Equipar!B:B,3,Equipar!E:E,A820)
+COUNTIFS(Equipar!B:B,3,Equipar!F:F,A820)
&gt;0,COUNTIF('Set recomendado'!B:B,C820)=0),
"Bloqueada",
"Desechable")),""
)</f>
        <v/>
      </c>
      <c r="J820" t="str" cm="1">
        <f t="array" aca="1" ref="J820" ca="1">IF(ISNUMBER(A820),IFERROR(_xlfn._xlws.FILTER(Equipar!A:A,(Equipar!B:B=3)*(Equipar!AC:AC=A820)),""),"")</f>
        <v/>
      </c>
    </row>
    <row r="821" spans="1:10" x14ac:dyDescent="0.25">
      <c r="A821" s="1" t="str">
        <f ca="1">IF(A820="ID",1,IF(ISBLANK(B821),"",MAX(A$2:A820)+1))</f>
        <v/>
      </c>
      <c r="I821" s="2" t="str">
        <f ca="1">IF(ISNUMBER(A821),
IF(COUNTIFS(Equipar!B:B,3,Equipar!AC:AC,A821),"Equipada",
IF(
  OR(COUNTIFS(Equipar!B:B,3,Equipar!C:C,A821)
 +COUNTIFS(Equipar!B:B,3,Equipar!D:D,A821)
+COUNTIFS(Equipar!B:B,3,Equipar!E:E,A821)
+COUNTIFS(Equipar!B:B,3,Equipar!F:F,A821)
&gt;0,COUNTIF('Set recomendado'!B:B,C821)=0),
"Bloqueada",
"Desechable")),""
)</f>
        <v/>
      </c>
      <c r="J821" t="str" cm="1">
        <f t="array" aca="1" ref="J821" ca="1">IF(ISNUMBER(A821),IFERROR(_xlfn._xlws.FILTER(Equipar!A:A,(Equipar!B:B=3)*(Equipar!AC:AC=A821)),""),"")</f>
        <v/>
      </c>
    </row>
    <row r="822" spans="1:10" x14ac:dyDescent="0.25">
      <c r="A822" s="1" t="str">
        <f ca="1">IF(A821="ID",1,IF(ISBLANK(B822),"",MAX(A$2:A821)+1))</f>
        <v/>
      </c>
      <c r="I822" s="2" t="str">
        <f ca="1">IF(ISNUMBER(A822),
IF(COUNTIFS(Equipar!B:B,3,Equipar!AC:AC,A822),"Equipada",
IF(
  OR(COUNTIFS(Equipar!B:B,3,Equipar!C:C,A822)
 +COUNTIFS(Equipar!B:B,3,Equipar!D:D,A822)
+COUNTIFS(Equipar!B:B,3,Equipar!E:E,A822)
+COUNTIFS(Equipar!B:B,3,Equipar!F:F,A822)
&gt;0,COUNTIF('Set recomendado'!B:B,C822)=0),
"Bloqueada",
"Desechable")),""
)</f>
        <v/>
      </c>
      <c r="J822" t="str" cm="1">
        <f t="array" aca="1" ref="J822" ca="1">IF(ISNUMBER(A822),IFERROR(_xlfn._xlws.FILTER(Equipar!A:A,(Equipar!B:B=3)*(Equipar!AC:AC=A822)),""),"")</f>
        <v/>
      </c>
    </row>
    <row r="823" spans="1:10" x14ac:dyDescent="0.25">
      <c r="A823" s="1" t="str">
        <f ca="1">IF(A822="ID",1,IF(ISBLANK(B823),"",MAX(A$2:A822)+1))</f>
        <v/>
      </c>
      <c r="I823" s="2" t="str">
        <f ca="1">IF(ISNUMBER(A823),
IF(COUNTIFS(Equipar!B:B,3,Equipar!AC:AC,A823),"Equipada",
IF(
  OR(COUNTIFS(Equipar!B:B,3,Equipar!C:C,A823)
 +COUNTIFS(Equipar!B:B,3,Equipar!D:D,A823)
+COUNTIFS(Equipar!B:B,3,Equipar!E:E,A823)
+COUNTIFS(Equipar!B:B,3,Equipar!F:F,A823)
&gt;0,COUNTIF('Set recomendado'!B:B,C823)=0),
"Bloqueada",
"Desechable")),""
)</f>
        <v/>
      </c>
      <c r="J823" t="str" cm="1">
        <f t="array" aca="1" ref="J823" ca="1">IF(ISNUMBER(A823),IFERROR(_xlfn._xlws.FILTER(Equipar!A:A,(Equipar!B:B=3)*(Equipar!AC:AC=A823)),""),"")</f>
        <v/>
      </c>
    </row>
    <row r="824" spans="1:10" x14ac:dyDescent="0.25">
      <c r="A824" s="1" t="str">
        <f ca="1">IF(A823="ID",1,IF(ISBLANK(B824),"",MAX(A$2:A823)+1))</f>
        <v/>
      </c>
      <c r="I824" s="2" t="str">
        <f ca="1">IF(ISNUMBER(A824),
IF(COUNTIFS(Equipar!B:B,3,Equipar!AC:AC,A824),"Equipada",
IF(
  OR(COUNTIFS(Equipar!B:B,3,Equipar!C:C,A824)
 +COUNTIFS(Equipar!B:B,3,Equipar!D:D,A824)
+COUNTIFS(Equipar!B:B,3,Equipar!E:E,A824)
+COUNTIFS(Equipar!B:B,3,Equipar!F:F,A824)
&gt;0,COUNTIF('Set recomendado'!B:B,C824)=0),
"Bloqueada",
"Desechable")),""
)</f>
        <v/>
      </c>
      <c r="J824" t="str" cm="1">
        <f t="array" aca="1" ref="J824" ca="1">IF(ISNUMBER(A824),IFERROR(_xlfn._xlws.FILTER(Equipar!A:A,(Equipar!B:B=3)*(Equipar!AC:AC=A824)),""),"")</f>
        <v/>
      </c>
    </row>
    <row r="825" spans="1:10" x14ac:dyDescent="0.25">
      <c r="A825" s="1" t="str">
        <f ca="1">IF(A824="ID",1,IF(ISBLANK(B825),"",MAX(A$2:A824)+1))</f>
        <v/>
      </c>
      <c r="I825" s="2" t="str">
        <f ca="1">IF(ISNUMBER(A825),
IF(COUNTIFS(Equipar!B:B,3,Equipar!AC:AC,A825),"Equipada",
IF(
  OR(COUNTIFS(Equipar!B:B,3,Equipar!C:C,A825)
 +COUNTIFS(Equipar!B:B,3,Equipar!D:D,A825)
+COUNTIFS(Equipar!B:B,3,Equipar!E:E,A825)
+COUNTIFS(Equipar!B:B,3,Equipar!F:F,A825)
&gt;0,COUNTIF('Set recomendado'!B:B,C825)=0),
"Bloqueada",
"Desechable")),""
)</f>
        <v/>
      </c>
      <c r="J825" t="str" cm="1">
        <f t="array" aca="1" ref="J825" ca="1">IF(ISNUMBER(A825),IFERROR(_xlfn._xlws.FILTER(Equipar!A:A,(Equipar!B:B=3)*(Equipar!AC:AC=A825)),""),"")</f>
        <v/>
      </c>
    </row>
    <row r="826" spans="1:10" x14ac:dyDescent="0.25">
      <c r="A826" s="1" t="str">
        <f ca="1">IF(A825="ID",1,IF(ISBLANK(B826),"",MAX(A$2:A825)+1))</f>
        <v/>
      </c>
      <c r="I826" s="2" t="str">
        <f ca="1">IF(ISNUMBER(A826),
IF(COUNTIFS(Equipar!B:B,3,Equipar!AC:AC,A826),"Equipada",
IF(
  OR(COUNTIFS(Equipar!B:B,3,Equipar!C:C,A826)
 +COUNTIFS(Equipar!B:B,3,Equipar!D:D,A826)
+COUNTIFS(Equipar!B:B,3,Equipar!E:E,A826)
+COUNTIFS(Equipar!B:B,3,Equipar!F:F,A826)
&gt;0,COUNTIF('Set recomendado'!B:B,C826)=0),
"Bloqueada",
"Desechable")),""
)</f>
        <v/>
      </c>
      <c r="J826" t="str" cm="1">
        <f t="array" aca="1" ref="J826" ca="1">IF(ISNUMBER(A826),IFERROR(_xlfn._xlws.FILTER(Equipar!A:A,(Equipar!B:B=3)*(Equipar!AC:AC=A826)),""),"")</f>
        <v/>
      </c>
    </row>
    <row r="827" spans="1:10" x14ac:dyDescent="0.25">
      <c r="A827" s="1" t="str">
        <f ca="1">IF(A826="ID",1,IF(ISBLANK(B827),"",MAX(A$2:A826)+1))</f>
        <v/>
      </c>
      <c r="I827" s="2" t="str">
        <f ca="1">IF(ISNUMBER(A827),
IF(COUNTIFS(Equipar!B:B,3,Equipar!AC:AC,A827),"Equipada",
IF(
  OR(COUNTIFS(Equipar!B:B,3,Equipar!C:C,A827)
 +COUNTIFS(Equipar!B:B,3,Equipar!D:D,A827)
+COUNTIFS(Equipar!B:B,3,Equipar!E:E,A827)
+COUNTIFS(Equipar!B:B,3,Equipar!F:F,A827)
&gt;0,COUNTIF('Set recomendado'!B:B,C827)=0),
"Bloqueada",
"Desechable")),""
)</f>
        <v/>
      </c>
      <c r="J827" t="str" cm="1">
        <f t="array" aca="1" ref="J827" ca="1">IF(ISNUMBER(A827),IFERROR(_xlfn._xlws.FILTER(Equipar!A:A,(Equipar!B:B=3)*(Equipar!AC:AC=A827)),""),"")</f>
        <v/>
      </c>
    </row>
    <row r="828" spans="1:10" x14ac:dyDescent="0.25">
      <c r="A828" s="1" t="str">
        <f ca="1">IF(A827="ID",1,IF(ISBLANK(B828),"",MAX(A$2:A827)+1))</f>
        <v/>
      </c>
      <c r="I828" s="2" t="str">
        <f ca="1">IF(ISNUMBER(A828),
IF(COUNTIFS(Equipar!B:B,3,Equipar!AC:AC,A828),"Equipada",
IF(
  OR(COUNTIFS(Equipar!B:B,3,Equipar!C:C,A828)
 +COUNTIFS(Equipar!B:B,3,Equipar!D:D,A828)
+COUNTIFS(Equipar!B:B,3,Equipar!E:E,A828)
+COUNTIFS(Equipar!B:B,3,Equipar!F:F,A828)
&gt;0,COUNTIF('Set recomendado'!B:B,C828)=0),
"Bloqueada",
"Desechable")),""
)</f>
        <v/>
      </c>
      <c r="J828" t="str" cm="1">
        <f t="array" aca="1" ref="J828" ca="1">IF(ISNUMBER(A828),IFERROR(_xlfn._xlws.FILTER(Equipar!A:A,(Equipar!B:B=3)*(Equipar!AC:AC=A828)),""),"")</f>
        <v/>
      </c>
    </row>
    <row r="829" spans="1:10" x14ac:dyDescent="0.25">
      <c r="A829" s="1" t="str">
        <f ca="1">IF(A828="ID",1,IF(ISBLANK(B829),"",MAX(A$2:A828)+1))</f>
        <v/>
      </c>
      <c r="I829" s="2" t="str">
        <f ca="1">IF(ISNUMBER(A829),
IF(COUNTIFS(Equipar!B:B,3,Equipar!AC:AC,A829),"Equipada",
IF(
  OR(COUNTIFS(Equipar!B:B,3,Equipar!C:C,A829)
 +COUNTIFS(Equipar!B:B,3,Equipar!D:D,A829)
+COUNTIFS(Equipar!B:B,3,Equipar!E:E,A829)
+COUNTIFS(Equipar!B:B,3,Equipar!F:F,A829)
&gt;0,COUNTIF('Set recomendado'!B:B,C829)=0),
"Bloqueada",
"Desechable")),""
)</f>
        <v/>
      </c>
      <c r="J829" t="str" cm="1">
        <f t="array" aca="1" ref="J829" ca="1">IF(ISNUMBER(A829),IFERROR(_xlfn._xlws.FILTER(Equipar!A:A,(Equipar!B:B=3)*(Equipar!AC:AC=A829)),""),"")</f>
        <v/>
      </c>
    </row>
    <row r="830" spans="1:10" x14ac:dyDescent="0.25">
      <c r="A830" s="1" t="str">
        <f ca="1">IF(A829="ID",1,IF(ISBLANK(B830),"",MAX(A$2:A829)+1))</f>
        <v/>
      </c>
      <c r="I830" s="2" t="str">
        <f ca="1">IF(ISNUMBER(A830),
IF(COUNTIFS(Equipar!B:B,3,Equipar!AC:AC,A830),"Equipada",
IF(
  OR(COUNTIFS(Equipar!B:B,3,Equipar!C:C,A830)
 +COUNTIFS(Equipar!B:B,3,Equipar!D:D,A830)
+COUNTIFS(Equipar!B:B,3,Equipar!E:E,A830)
+COUNTIFS(Equipar!B:B,3,Equipar!F:F,A830)
&gt;0,COUNTIF('Set recomendado'!B:B,C830)=0),
"Bloqueada",
"Desechable")),""
)</f>
        <v/>
      </c>
      <c r="J830" t="str" cm="1">
        <f t="array" aca="1" ref="J830" ca="1">IF(ISNUMBER(A830),IFERROR(_xlfn._xlws.FILTER(Equipar!A:A,(Equipar!B:B=3)*(Equipar!AC:AC=A830)),""),"")</f>
        <v/>
      </c>
    </row>
    <row r="831" spans="1:10" x14ac:dyDescent="0.25">
      <c r="A831" s="1" t="str">
        <f ca="1">IF(A830="ID",1,IF(ISBLANK(B831),"",MAX(A$2:A830)+1))</f>
        <v/>
      </c>
      <c r="I831" s="2" t="str">
        <f ca="1">IF(ISNUMBER(A831),
IF(COUNTIFS(Equipar!B:B,3,Equipar!AC:AC,A831),"Equipada",
IF(
  OR(COUNTIFS(Equipar!B:B,3,Equipar!C:C,A831)
 +COUNTIFS(Equipar!B:B,3,Equipar!D:D,A831)
+COUNTIFS(Equipar!B:B,3,Equipar!E:E,A831)
+COUNTIFS(Equipar!B:B,3,Equipar!F:F,A831)
&gt;0,COUNTIF('Set recomendado'!B:B,C831)=0),
"Bloqueada",
"Desechable")),""
)</f>
        <v/>
      </c>
      <c r="J831" t="str" cm="1">
        <f t="array" aca="1" ref="J831" ca="1">IF(ISNUMBER(A831),IFERROR(_xlfn._xlws.FILTER(Equipar!A:A,(Equipar!B:B=3)*(Equipar!AC:AC=A831)),""),"")</f>
        <v/>
      </c>
    </row>
    <row r="832" spans="1:10" x14ac:dyDescent="0.25">
      <c r="A832" s="1" t="str">
        <f ca="1">IF(A831="ID",1,IF(ISBLANK(B832),"",MAX(A$2:A831)+1))</f>
        <v/>
      </c>
      <c r="I832" s="2" t="str">
        <f ca="1">IF(ISNUMBER(A832),
IF(COUNTIFS(Equipar!B:B,3,Equipar!AC:AC,A832),"Equipada",
IF(
  OR(COUNTIFS(Equipar!B:B,3,Equipar!C:C,A832)
 +COUNTIFS(Equipar!B:B,3,Equipar!D:D,A832)
+COUNTIFS(Equipar!B:B,3,Equipar!E:E,A832)
+COUNTIFS(Equipar!B:B,3,Equipar!F:F,A832)
&gt;0,COUNTIF('Set recomendado'!B:B,C832)=0),
"Bloqueada",
"Desechable")),""
)</f>
        <v/>
      </c>
      <c r="J832" t="str" cm="1">
        <f t="array" aca="1" ref="J832" ca="1">IF(ISNUMBER(A832),IFERROR(_xlfn._xlws.FILTER(Equipar!A:A,(Equipar!B:B=3)*(Equipar!AC:AC=A832)),""),"")</f>
        <v/>
      </c>
    </row>
    <row r="833" spans="1:10" x14ac:dyDescent="0.25">
      <c r="A833" s="1" t="str">
        <f ca="1">IF(A832="ID",1,IF(ISBLANK(B833),"",MAX(A$2:A832)+1))</f>
        <v/>
      </c>
      <c r="I833" s="2" t="str">
        <f ca="1">IF(ISNUMBER(A833),
IF(COUNTIFS(Equipar!B:B,3,Equipar!AC:AC,A833),"Equipada",
IF(
  OR(COUNTIFS(Equipar!B:B,3,Equipar!C:C,A833)
 +COUNTIFS(Equipar!B:B,3,Equipar!D:D,A833)
+COUNTIFS(Equipar!B:B,3,Equipar!E:E,A833)
+COUNTIFS(Equipar!B:B,3,Equipar!F:F,A833)
&gt;0,COUNTIF('Set recomendado'!B:B,C833)=0),
"Bloqueada",
"Desechable")),""
)</f>
        <v/>
      </c>
      <c r="J833" t="str" cm="1">
        <f t="array" aca="1" ref="J833" ca="1">IF(ISNUMBER(A833),IFERROR(_xlfn._xlws.FILTER(Equipar!A:A,(Equipar!B:B=3)*(Equipar!AC:AC=A833)),""),"")</f>
        <v/>
      </c>
    </row>
    <row r="834" spans="1:10" x14ac:dyDescent="0.25">
      <c r="A834" s="1" t="str">
        <f ca="1">IF(A833="ID",1,IF(ISBLANK(B834),"",MAX(A$2:A833)+1))</f>
        <v/>
      </c>
      <c r="I834" s="2" t="str">
        <f ca="1">IF(ISNUMBER(A834),
IF(COUNTIFS(Equipar!B:B,3,Equipar!AC:AC,A834),"Equipada",
IF(
  OR(COUNTIFS(Equipar!B:B,3,Equipar!C:C,A834)
 +COUNTIFS(Equipar!B:B,3,Equipar!D:D,A834)
+COUNTIFS(Equipar!B:B,3,Equipar!E:E,A834)
+COUNTIFS(Equipar!B:B,3,Equipar!F:F,A834)
&gt;0,COUNTIF('Set recomendado'!B:B,C834)=0),
"Bloqueada",
"Desechable")),""
)</f>
        <v/>
      </c>
      <c r="J834" t="str" cm="1">
        <f t="array" aca="1" ref="J834" ca="1">IF(ISNUMBER(A834),IFERROR(_xlfn._xlws.FILTER(Equipar!A:A,(Equipar!B:B=3)*(Equipar!AC:AC=A834)),""),"")</f>
        <v/>
      </c>
    </row>
    <row r="835" spans="1:10" x14ac:dyDescent="0.25">
      <c r="A835" s="1" t="str">
        <f ca="1">IF(A834="ID",1,IF(ISBLANK(B835),"",MAX(A$2:A834)+1))</f>
        <v/>
      </c>
      <c r="I835" s="2" t="str">
        <f ca="1">IF(ISNUMBER(A835),
IF(COUNTIFS(Equipar!B:B,3,Equipar!AC:AC,A835),"Equipada",
IF(
  OR(COUNTIFS(Equipar!B:B,3,Equipar!C:C,A835)
 +COUNTIFS(Equipar!B:B,3,Equipar!D:D,A835)
+COUNTIFS(Equipar!B:B,3,Equipar!E:E,A835)
+COUNTIFS(Equipar!B:B,3,Equipar!F:F,A835)
&gt;0,COUNTIF('Set recomendado'!B:B,C835)=0),
"Bloqueada",
"Desechable")),""
)</f>
        <v/>
      </c>
      <c r="J835" t="str" cm="1">
        <f t="array" aca="1" ref="J835" ca="1">IF(ISNUMBER(A835),IFERROR(_xlfn._xlws.FILTER(Equipar!A:A,(Equipar!B:B=3)*(Equipar!AC:AC=A835)),""),"")</f>
        <v/>
      </c>
    </row>
    <row r="836" spans="1:10" x14ac:dyDescent="0.25">
      <c r="A836" s="1" t="str">
        <f ca="1">IF(A835="ID",1,IF(ISBLANK(B836),"",MAX(A$2:A835)+1))</f>
        <v/>
      </c>
      <c r="I836" s="2" t="str">
        <f ca="1">IF(ISNUMBER(A836),
IF(COUNTIFS(Equipar!B:B,3,Equipar!AC:AC,A836),"Equipada",
IF(
  OR(COUNTIFS(Equipar!B:B,3,Equipar!C:C,A836)
 +COUNTIFS(Equipar!B:B,3,Equipar!D:D,A836)
+COUNTIFS(Equipar!B:B,3,Equipar!E:E,A836)
+COUNTIFS(Equipar!B:B,3,Equipar!F:F,A836)
&gt;0,COUNTIF('Set recomendado'!B:B,C836)=0),
"Bloqueada",
"Desechable")),""
)</f>
        <v/>
      </c>
      <c r="J836" t="str" cm="1">
        <f t="array" aca="1" ref="J836" ca="1">IF(ISNUMBER(A836),IFERROR(_xlfn._xlws.FILTER(Equipar!A:A,(Equipar!B:B=3)*(Equipar!AC:AC=A836)),""),"")</f>
        <v/>
      </c>
    </row>
    <row r="837" spans="1:10" x14ac:dyDescent="0.25">
      <c r="A837" s="1" t="str">
        <f ca="1">IF(A836="ID",1,IF(ISBLANK(B837),"",MAX(A$2:A836)+1))</f>
        <v/>
      </c>
      <c r="I837" s="2" t="str">
        <f ca="1">IF(ISNUMBER(A837),
IF(COUNTIFS(Equipar!B:B,3,Equipar!AC:AC,A837),"Equipada",
IF(
  OR(COUNTIFS(Equipar!B:B,3,Equipar!C:C,A837)
 +COUNTIFS(Equipar!B:B,3,Equipar!D:D,A837)
+COUNTIFS(Equipar!B:B,3,Equipar!E:E,A837)
+COUNTIFS(Equipar!B:B,3,Equipar!F:F,A837)
&gt;0,COUNTIF('Set recomendado'!B:B,C837)=0),
"Bloqueada",
"Desechable")),""
)</f>
        <v/>
      </c>
      <c r="J837" t="str" cm="1">
        <f t="array" aca="1" ref="J837" ca="1">IF(ISNUMBER(A837),IFERROR(_xlfn._xlws.FILTER(Equipar!A:A,(Equipar!B:B=3)*(Equipar!AC:AC=A837)),""),"")</f>
        <v/>
      </c>
    </row>
    <row r="838" spans="1:10" x14ac:dyDescent="0.25">
      <c r="A838" s="1" t="str">
        <f ca="1">IF(A837="ID",1,IF(ISBLANK(B838),"",MAX(A$2:A837)+1))</f>
        <v/>
      </c>
      <c r="I838" s="2" t="str">
        <f ca="1">IF(ISNUMBER(A838),
IF(COUNTIFS(Equipar!B:B,3,Equipar!AC:AC,A838),"Equipada",
IF(
  OR(COUNTIFS(Equipar!B:B,3,Equipar!C:C,A838)
 +COUNTIFS(Equipar!B:B,3,Equipar!D:D,A838)
+COUNTIFS(Equipar!B:B,3,Equipar!E:E,A838)
+COUNTIFS(Equipar!B:B,3,Equipar!F:F,A838)
&gt;0,COUNTIF('Set recomendado'!B:B,C838)=0),
"Bloqueada",
"Desechable")),""
)</f>
        <v/>
      </c>
      <c r="J838" t="str" cm="1">
        <f t="array" aca="1" ref="J838" ca="1">IF(ISNUMBER(A838),IFERROR(_xlfn._xlws.FILTER(Equipar!A:A,(Equipar!B:B=3)*(Equipar!AC:AC=A838)),""),"")</f>
        <v/>
      </c>
    </row>
    <row r="839" spans="1:10" x14ac:dyDescent="0.25">
      <c r="A839" s="1" t="str">
        <f ca="1">IF(A838="ID",1,IF(ISBLANK(B839),"",MAX(A$2:A838)+1))</f>
        <v/>
      </c>
      <c r="I839" s="2" t="str">
        <f ca="1">IF(ISNUMBER(A839),
IF(COUNTIFS(Equipar!B:B,3,Equipar!AC:AC,A839),"Equipada",
IF(
  OR(COUNTIFS(Equipar!B:B,3,Equipar!C:C,A839)
 +COUNTIFS(Equipar!B:B,3,Equipar!D:D,A839)
+COUNTIFS(Equipar!B:B,3,Equipar!E:E,A839)
+COUNTIFS(Equipar!B:B,3,Equipar!F:F,A839)
&gt;0,COUNTIF('Set recomendado'!B:B,C839)=0),
"Bloqueada",
"Desechable")),""
)</f>
        <v/>
      </c>
      <c r="J839" t="str" cm="1">
        <f t="array" aca="1" ref="J839" ca="1">IF(ISNUMBER(A839),IFERROR(_xlfn._xlws.FILTER(Equipar!A:A,(Equipar!B:B=3)*(Equipar!AC:AC=A839)),""),"")</f>
        <v/>
      </c>
    </row>
    <row r="840" spans="1:10" x14ac:dyDescent="0.25">
      <c r="A840" s="1" t="str">
        <f ca="1">IF(A839="ID",1,IF(ISBLANK(B840),"",MAX(A$2:A839)+1))</f>
        <v/>
      </c>
      <c r="I840" s="2" t="str">
        <f ca="1">IF(ISNUMBER(A840),
IF(COUNTIFS(Equipar!B:B,3,Equipar!AC:AC,A840),"Equipada",
IF(
  OR(COUNTIFS(Equipar!B:B,3,Equipar!C:C,A840)
 +COUNTIFS(Equipar!B:B,3,Equipar!D:D,A840)
+COUNTIFS(Equipar!B:B,3,Equipar!E:E,A840)
+COUNTIFS(Equipar!B:B,3,Equipar!F:F,A840)
&gt;0,COUNTIF('Set recomendado'!B:B,C840)=0),
"Bloqueada",
"Desechable")),""
)</f>
        <v/>
      </c>
      <c r="J840" t="str" cm="1">
        <f t="array" aca="1" ref="J840" ca="1">IF(ISNUMBER(A840),IFERROR(_xlfn._xlws.FILTER(Equipar!A:A,(Equipar!B:B=3)*(Equipar!AC:AC=A840)),""),"")</f>
        <v/>
      </c>
    </row>
    <row r="841" spans="1:10" x14ac:dyDescent="0.25">
      <c r="A841" s="1" t="str">
        <f ca="1">IF(A840="ID",1,IF(ISBLANK(B841),"",MAX(A$2:A840)+1))</f>
        <v/>
      </c>
      <c r="I841" s="2" t="str">
        <f ca="1">IF(ISNUMBER(A841),
IF(COUNTIFS(Equipar!B:B,3,Equipar!AC:AC,A841),"Equipada",
IF(
  OR(COUNTIFS(Equipar!B:B,3,Equipar!C:C,A841)
 +COUNTIFS(Equipar!B:B,3,Equipar!D:D,A841)
+COUNTIFS(Equipar!B:B,3,Equipar!E:E,A841)
+COUNTIFS(Equipar!B:B,3,Equipar!F:F,A841)
&gt;0,COUNTIF('Set recomendado'!B:B,C841)=0),
"Bloqueada",
"Desechable")),""
)</f>
        <v/>
      </c>
      <c r="J841" t="str" cm="1">
        <f t="array" aca="1" ref="J841" ca="1">IF(ISNUMBER(A841),IFERROR(_xlfn._xlws.FILTER(Equipar!A:A,(Equipar!B:B=3)*(Equipar!AC:AC=A841)),""),"")</f>
        <v/>
      </c>
    </row>
    <row r="842" spans="1:10" x14ac:dyDescent="0.25">
      <c r="A842" s="1" t="str">
        <f ca="1">IF(A841="ID",1,IF(ISBLANK(B842),"",MAX(A$2:A841)+1))</f>
        <v/>
      </c>
      <c r="I842" s="2" t="str">
        <f ca="1">IF(ISNUMBER(A842),
IF(COUNTIFS(Equipar!B:B,3,Equipar!AC:AC,A842),"Equipada",
IF(
  OR(COUNTIFS(Equipar!B:B,3,Equipar!C:C,A842)
 +COUNTIFS(Equipar!B:B,3,Equipar!D:D,A842)
+COUNTIFS(Equipar!B:B,3,Equipar!E:E,A842)
+COUNTIFS(Equipar!B:B,3,Equipar!F:F,A842)
&gt;0,COUNTIF('Set recomendado'!B:B,C842)=0),
"Bloqueada",
"Desechable")),""
)</f>
        <v/>
      </c>
      <c r="J842" t="str" cm="1">
        <f t="array" aca="1" ref="J842" ca="1">IF(ISNUMBER(A842),IFERROR(_xlfn._xlws.FILTER(Equipar!A:A,(Equipar!B:B=3)*(Equipar!AC:AC=A842)),""),"")</f>
        <v/>
      </c>
    </row>
    <row r="843" spans="1:10" x14ac:dyDescent="0.25">
      <c r="A843" s="1" t="str">
        <f ca="1">IF(A842="ID",1,IF(ISBLANK(B843),"",MAX(A$2:A842)+1))</f>
        <v/>
      </c>
      <c r="I843" s="2" t="str">
        <f ca="1">IF(ISNUMBER(A843),
IF(COUNTIFS(Equipar!B:B,3,Equipar!AC:AC,A843),"Equipada",
IF(
  OR(COUNTIFS(Equipar!B:B,3,Equipar!C:C,A843)
 +COUNTIFS(Equipar!B:B,3,Equipar!D:D,A843)
+COUNTIFS(Equipar!B:B,3,Equipar!E:E,A843)
+COUNTIFS(Equipar!B:B,3,Equipar!F:F,A843)
&gt;0,COUNTIF('Set recomendado'!B:B,C843)=0),
"Bloqueada",
"Desechable")),""
)</f>
        <v/>
      </c>
      <c r="J843" t="str" cm="1">
        <f t="array" aca="1" ref="J843" ca="1">IF(ISNUMBER(A843),IFERROR(_xlfn._xlws.FILTER(Equipar!A:A,(Equipar!B:B=3)*(Equipar!AC:AC=A843)),""),"")</f>
        <v/>
      </c>
    </row>
    <row r="844" spans="1:10" x14ac:dyDescent="0.25">
      <c r="A844" s="1" t="str">
        <f ca="1">IF(A843="ID",1,IF(ISBLANK(B844),"",MAX(A$2:A843)+1))</f>
        <v/>
      </c>
      <c r="I844" s="2" t="str">
        <f ca="1">IF(ISNUMBER(A844),
IF(COUNTIFS(Equipar!B:B,3,Equipar!AC:AC,A844),"Equipada",
IF(
  OR(COUNTIFS(Equipar!B:B,3,Equipar!C:C,A844)
 +COUNTIFS(Equipar!B:B,3,Equipar!D:D,A844)
+COUNTIFS(Equipar!B:B,3,Equipar!E:E,A844)
+COUNTIFS(Equipar!B:B,3,Equipar!F:F,A844)
&gt;0,COUNTIF('Set recomendado'!B:B,C844)=0),
"Bloqueada",
"Desechable")),""
)</f>
        <v/>
      </c>
      <c r="J844" t="str" cm="1">
        <f t="array" aca="1" ref="J844" ca="1">IF(ISNUMBER(A844),IFERROR(_xlfn._xlws.FILTER(Equipar!A:A,(Equipar!B:B=3)*(Equipar!AC:AC=A844)),""),"")</f>
        <v/>
      </c>
    </row>
    <row r="845" spans="1:10" x14ac:dyDescent="0.25">
      <c r="A845" s="1" t="str">
        <f ca="1">IF(A844="ID",1,IF(ISBLANK(B845),"",MAX(A$2:A844)+1))</f>
        <v/>
      </c>
      <c r="I845" s="2" t="str">
        <f ca="1">IF(ISNUMBER(A845),
IF(COUNTIFS(Equipar!B:B,3,Equipar!AC:AC,A845),"Equipada",
IF(
  OR(COUNTIFS(Equipar!B:B,3,Equipar!C:C,A845)
 +COUNTIFS(Equipar!B:B,3,Equipar!D:D,A845)
+COUNTIFS(Equipar!B:B,3,Equipar!E:E,A845)
+COUNTIFS(Equipar!B:B,3,Equipar!F:F,A845)
&gt;0,COUNTIF('Set recomendado'!B:B,C845)=0),
"Bloqueada",
"Desechable")),""
)</f>
        <v/>
      </c>
      <c r="J845" t="str" cm="1">
        <f t="array" aca="1" ref="J845" ca="1">IF(ISNUMBER(A845),IFERROR(_xlfn._xlws.FILTER(Equipar!A:A,(Equipar!B:B=3)*(Equipar!AC:AC=A845)),""),"")</f>
        <v/>
      </c>
    </row>
    <row r="846" spans="1:10" x14ac:dyDescent="0.25">
      <c r="A846" s="1" t="str">
        <f ca="1">IF(A845="ID",1,IF(ISBLANK(B846),"",MAX(A$2:A845)+1))</f>
        <v/>
      </c>
      <c r="I846" s="2" t="str">
        <f ca="1">IF(ISNUMBER(A846),
IF(COUNTIFS(Equipar!B:B,3,Equipar!AC:AC,A846),"Equipada",
IF(
  OR(COUNTIFS(Equipar!B:B,3,Equipar!C:C,A846)
 +COUNTIFS(Equipar!B:B,3,Equipar!D:D,A846)
+COUNTIFS(Equipar!B:B,3,Equipar!E:E,A846)
+COUNTIFS(Equipar!B:B,3,Equipar!F:F,A846)
&gt;0,COUNTIF('Set recomendado'!B:B,C846)=0),
"Bloqueada",
"Desechable")),""
)</f>
        <v/>
      </c>
      <c r="J846" t="str" cm="1">
        <f t="array" aca="1" ref="J846" ca="1">IF(ISNUMBER(A846),IFERROR(_xlfn._xlws.FILTER(Equipar!A:A,(Equipar!B:B=3)*(Equipar!AC:AC=A846)),""),"")</f>
        <v/>
      </c>
    </row>
    <row r="847" spans="1:10" x14ac:dyDescent="0.25">
      <c r="A847" s="1" t="str">
        <f ca="1">IF(A846="ID",1,IF(ISBLANK(B847),"",MAX(A$2:A846)+1))</f>
        <v/>
      </c>
      <c r="I847" s="2" t="str">
        <f ca="1">IF(ISNUMBER(A847),
IF(COUNTIFS(Equipar!B:B,3,Equipar!AC:AC,A847),"Equipada",
IF(
  OR(COUNTIFS(Equipar!B:B,3,Equipar!C:C,A847)
 +COUNTIFS(Equipar!B:B,3,Equipar!D:D,A847)
+COUNTIFS(Equipar!B:B,3,Equipar!E:E,A847)
+COUNTIFS(Equipar!B:B,3,Equipar!F:F,A847)
&gt;0,COUNTIF('Set recomendado'!B:B,C847)=0),
"Bloqueada",
"Desechable")),""
)</f>
        <v/>
      </c>
      <c r="J847" t="str" cm="1">
        <f t="array" aca="1" ref="J847" ca="1">IF(ISNUMBER(A847),IFERROR(_xlfn._xlws.FILTER(Equipar!A:A,(Equipar!B:B=3)*(Equipar!AC:AC=A847)),""),"")</f>
        <v/>
      </c>
    </row>
    <row r="848" spans="1:10" x14ac:dyDescent="0.25">
      <c r="A848" s="1" t="str">
        <f ca="1">IF(A847="ID",1,IF(ISBLANK(B848),"",MAX(A$2:A847)+1))</f>
        <v/>
      </c>
      <c r="I848" s="2" t="str">
        <f ca="1">IF(ISNUMBER(A848),
IF(COUNTIFS(Equipar!B:B,3,Equipar!AC:AC,A848),"Equipada",
IF(
  OR(COUNTIFS(Equipar!B:B,3,Equipar!C:C,A848)
 +COUNTIFS(Equipar!B:B,3,Equipar!D:D,A848)
+COUNTIFS(Equipar!B:B,3,Equipar!E:E,A848)
+COUNTIFS(Equipar!B:B,3,Equipar!F:F,A848)
&gt;0,COUNTIF('Set recomendado'!B:B,C848)=0),
"Bloqueada",
"Desechable")),""
)</f>
        <v/>
      </c>
      <c r="J848" t="str" cm="1">
        <f t="array" aca="1" ref="J848" ca="1">IF(ISNUMBER(A848),IFERROR(_xlfn._xlws.FILTER(Equipar!A:A,(Equipar!B:B=3)*(Equipar!AC:AC=A848)),""),"")</f>
        <v/>
      </c>
    </row>
    <row r="849" spans="1:10" x14ac:dyDescent="0.25">
      <c r="A849" s="1" t="str">
        <f ca="1">IF(A848="ID",1,IF(ISBLANK(B849),"",MAX(A$2:A848)+1))</f>
        <v/>
      </c>
      <c r="I849" s="2" t="str">
        <f ca="1">IF(ISNUMBER(A849),
IF(COUNTIFS(Equipar!B:B,3,Equipar!AC:AC,A849),"Equipada",
IF(
  OR(COUNTIFS(Equipar!B:B,3,Equipar!C:C,A849)
 +COUNTIFS(Equipar!B:B,3,Equipar!D:D,A849)
+COUNTIFS(Equipar!B:B,3,Equipar!E:E,A849)
+COUNTIFS(Equipar!B:B,3,Equipar!F:F,A849)
&gt;0,COUNTIF('Set recomendado'!B:B,C849)=0),
"Bloqueada",
"Desechable")),""
)</f>
        <v/>
      </c>
      <c r="J849" t="str" cm="1">
        <f t="array" aca="1" ref="J849" ca="1">IF(ISNUMBER(A849),IFERROR(_xlfn._xlws.FILTER(Equipar!A:A,(Equipar!B:B=3)*(Equipar!AC:AC=A849)),""),"")</f>
        <v/>
      </c>
    </row>
    <row r="850" spans="1:10" x14ac:dyDescent="0.25">
      <c r="A850" s="1" t="str">
        <f ca="1">IF(A849="ID",1,IF(ISBLANK(B850),"",MAX(A$2:A849)+1))</f>
        <v/>
      </c>
      <c r="I850" s="2" t="str">
        <f ca="1">IF(ISNUMBER(A850),
IF(COUNTIFS(Equipar!B:B,3,Equipar!AC:AC,A850),"Equipada",
IF(
  OR(COUNTIFS(Equipar!B:B,3,Equipar!C:C,A850)
 +COUNTIFS(Equipar!B:B,3,Equipar!D:D,A850)
+COUNTIFS(Equipar!B:B,3,Equipar!E:E,A850)
+COUNTIFS(Equipar!B:B,3,Equipar!F:F,A850)
&gt;0,COUNTIF('Set recomendado'!B:B,C850)=0),
"Bloqueada",
"Desechable")),""
)</f>
        <v/>
      </c>
      <c r="J850" t="str" cm="1">
        <f t="array" aca="1" ref="J850" ca="1">IF(ISNUMBER(A850),IFERROR(_xlfn._xlws.FILTER(Equipar!A:A,(Equipar!B:B=3)*(Equipar!AC:AC=A850)),""),"")</f>
        <v/>
      </c>
    </row>
    <row r="851" spans="1:10" x14ac:dyDescent="0.25">
      <c r="A851" s="1" t="str">
        <f ca="1">IF(A850="ID",1,IF(ISBLANK(B851),"",MAX(A$2:A850)+1))</f>
        <v/>
      </c>
      <c r="I851" s="2" t="str">
        <f ca="1">IF(ISNUMBER(A851),
IF(COUNTIFS(Equipar!B:B,3,Equipar!AC:AC,A851),"Equipada",
IF(
  OR(COUNTIFS(Equipar!B:B,3,Equipar!C:C,A851)
 +COUNTIFS(Equipar!B:B,3,Equipar!D:D,A851)
+COUNTIFS(Equipar!B:B,3,Equipar!E:E,A851)
+COUNTIFS(Equipar!B:B,3,Equipar!F:F,A851)
&gt;0,COUNTIF('Set recomendado'!B:B,C851)=0),
"Bloqueada",
"Desechable")),""
)</f>
        <v/>
      </c>
      <c r="J851" t="str" cm="1">
        <f t="array" aca="1" ref="J851" ca="1">IF(ISNUMBER(A851),IFERROR(_xlfn._xlws.FILTER(Equipar!A:A,(Equipar!B:B=3)*(Equipar!AC:AC=A851)),""),"")</f>
        <v/>
      </c>
    </row>
    <row r="852" spans="1:10" x14ac:dyDescent="0.25">
      <c r="A852" s="1" t="str">
        <f ca="1">IF(A851="ID",1,IF(ISBLANK(B852),"",MAX(A$2:A851)+1))</f>
        <v/>
      </c>
      <c r="I852" s="2" t="str">
        <f ca="1">IF(ISNUMBER(A852),
IF(COUNTIFS(Equipar!B:B,3,Equipar!AC:AC,A852),"Equipada",
IF(
  OR(COUNTIFS(Equipar!B:B,3,Equipar!C:C,A852)
 +COUNTIFS(Equipar!B:B,3,Equipar!D:D,A852)
+COUNTIFS(Equipar!B:B,3,Equipar!E:E,A852)
+COUNTIFS(Equipar!B:B,3,Equipar!F:F,A852)
&gt;0,COUNTIF('Set recomendado'!B:B,C852)=0),
"Bloqueada",
"Desechable")),""
)</f>
        <v/>
      </c>
      <c r="J852" t="str" cm="1">
        <f t="array" aca="1" ref="J852" ca="1">IF(ISNUMBER(A852),IFERROR(_xlfn._xlws.FILTER(Equipar!A:A,(Equipar!B:B=3)*(Equipar!AC:AC=A852)),""),"")</f>
        <v/>
      </c>
    </row>
    <row r="853" spans="1:10" x14ac:dyDescent="0.25">
      <c r="A853" s="1" t="str">
        <f ca="1">IF(A852="ID",1,IF(ISBLANK(B853),"",MAX(A$2:A852)+1))</f>
        <v/>
      </c>
      <c r="I853" s="2" t="str">
        <f ca="1">IF(ISNUMBER(A853),
IF(COUNTIFS(Equipar!B:B,3,Equipar!AC:AC,A853),"Equipada",
IF(
  OR(COUNTIFS(Equipar!B:B,3,Equipar!C:C,A853)
 +COUNTIFS(Equipar!B:B,3,Equipar!D:D,A853)
+COUNTIFS(Equipar!B:B,3,Equipar!E:E,A853)
+COUNTIFS(Equipar!B:B,3,Equipar!F:F,A853)
&gt;0,COUNTIF('Set recomendado'!B:B,C853)=0),
"Bloqueada",
"Desechable")),""
)</f>
        <v/>
      </c>
      <c r="J853" t="str" cm="1">
        <f t="array" aca="1" ref="J853" ca="1">IF(ISNUMBER(A853),IFERROR(_xlfn._xlws.FILTER(Equipar!A:A,(Equipar!B:B=3)*(Equipar!AC:AC=A853)),""),"")</f>
        <v/>
      </c>
    </row>
    <row r="854" spans="1:10" x14ac:dyDescent="0.25">
      <c r="A854" s="1" t="str">
        <f ca="1">IF(A853="ID",1,IF(ISBLANK(B854),"",MAX(A$2:A853)+1))</f>
        <v/>
      </c>
      <c r="I854" s="2" t="str">
        <f ca="1">IF(ISNUMBER(A854),
IF(COUNTIFS(Equipar!B:B,3,Equipar!AC:AC,A854),"Equipada",
IF(
  OR(COUNTIFS(Equipar!B:B,3,Equipar!C:C,A854)
 +COUNTIFS(Equipar!B:B,3,Equipar!D:D,A854)
+COUNTIFS(Equipar!B:B,3,Equipar!E:E,A854)
+COUNTIFS(Equipar!B:B,3,Equipar!F:F,A854)
&gt;0,COUNTIF('Set recomendado'!B:B,C854)=0),
"Bloqueada",
"Desechable")),""
)</f>
        <v/>
      </c>
      <c r="J854" t="str" cm="1">
        <f t="array" aca="1" ref="J854" ca="1">IF(ISNUMBER(A854),IFERROR(_xlfn._xlws.FILTER(Equipar!A:A,(Equipar!B:B=3)*(Equipar!AC:AC=A854)),""),"")</f>
        <v/>
      </c>
    </row>
    <row r="855" spans="1:10" x14ac:dyDescent="0.25">
      <c r="A855" s="1" t="str">
        <f ca="1">IF(A854="ID",1,IF(ISBLANK(B855),"",MAX(A$2:A854)+1))</f>
        <v/>
      </c>
      <c r="I855" s="2" t="str">
        <f ca="1">IF(ISNUMBER(A855),
IF(COUNTIFS(Equipar!B:B,3,Equipar!AC:AC,A855),"Equipada",
IF(
  OR(COUNTIFS(Equipar!B:B,3,Equipar!C:C,A855)
 +COUNTIFS(Equipar!B:B,3,Equipar!D:D,A855)
+COUNTIFS(Equipar!B:B,3,Equipar!E:E,A855)
+COUNTIFS(Equipar!B:B,3,Equipar!F:F,A855)
&gt;0,COUNTIF('Set recomendado'!B:B,C855)=0),
"Bloqueada",
"Desechable")),""
)</f>
        <v/>
      </c>
      <c r="J855" t="str" cm="1">
        <f t="array" aca="1" ref="J855" ca="1">IF(ISNUMBER(A855),IFERROR(_xlfn._xlws.FILTER(Equipar!A:A,(Equipar!B:B=3)*(Equipar!AC:AC=A855)),""),"")</f>
        <v/>
      </c>
    </row>
    <row r="856" spans="1:10" x14ac:dyDescent="0.25">
      <c r="A856" s="1" t="str">
        <f ca="1">IF(A855="ID",1,IF(ISBLANK(B856),"",MAX(A$2:A855)+1))</f>
        <v/>
      </c>
      <c r="I856" s="2" t="str">
        <f ca="1">IF(ISNUMBER(A856),
IF(COUNTIFS(Equipar!B:B,3,Equipar!AC:AC,A856),"Equipada",
IF(
  OR(COUNTIFS(Equipar!B:B,3,Equipar!C:C,A856)
 +COUNTIFS(Equipar!B:B,3,Equipar!D:D,A856)
+COUNTIFS(Equipar!B:B,3,Equipar!E:E,A856)
+COUNTIFS(Equipar!B:B,3,Equipar!F:F,A856)
&gt;0,COUNTIF('Set recomendado'!B:B,C856)=0),
"Bloqueada",
"Desechable")),""
)</f>
        <v/>
      </c>
      <c r="J856" t="str" cm="1">
        <f t="array" aca="1" ref="J856" ca="1">IF(ISNUMBER(A856),IFERROR(_xlfn._xlws.FILTER(Equipar!A:A,(Equipar!B:B=3)*(Equipar!AC:AC=A856)),""),"")</f>
        <v/>
      </c>
    </row>
    <row r="857" spans="1:10" x14ac:dyDescent="0.25">
      <c r="A857" s="1" t="str">
        <f ca="1">IF(A856="ID",1,IF(ISBLANK(B857),"",MAX(A$2:A856)+1))</f>
        <v/>
      </c>
      <c r="I857" s="2" t="str">
        <f ca="1">IF(ISNUMBER(A857),
IF(COUNTIFS(Equipar!B:B,3,Equipar!AC:AC,A857),"Equipada",
IF(
  OR(COUNTIFS(Equipar!B:B,3,Equipar!C:C,A857)
 +COUNTIFS(Equipar!B:B,3,Equipar!D:D,A857)
+COUNTIFS(Equipar!B:B,3,Equipar!E:E,A857)
+COUNTIFS(Equipar!B:B,3,Equipar!F:F,A857)
&gt;0,COUNTIF('Set recomendado'!B:B,C857)=0),
"Bloqueada",
"Desechable")),""
)</f>
        <v/>
      </c>
      <c r="J857" t="str" cm="1">
        <f t="array" aca="1" ref="J857" ca="1">IF(ISNUMBER(A857),IFERROR(_xlfn._xlws.FILTER(Equipar!A:A,(Equipar!B:B=3)*(Equipar!AC:AC=A857)),""),"")</f>
        <v/>
      </c>
    </row>
    <row r="858" spans="1:10" x14ac:dyDescent="0.25">
      <c r="A858" s="1" t="str">
        <f ca="1">IF(A857="ID",1,IF(ISBLANK(B858),"",MAX(A$2:A857)+1))</f>
        <v/>
      </c>
      <c r="I858" s="2" t="str">
        <f ca="1">IF(ISNUMBER(A858),
IF(COUNTIFS(Equipar!B:B,3,Equipar!AC:AC,A858),"Equipada",
IF(
  OR(COUNTIFS(Equipar!B:B,3,Equipar!C:C,A858)
 +COUNTIFS(Equipar!B:B,3,Equipar!D:D,A858)
+COUNTIFS(Equipar!B:B,3,Equipar!E:E,A858)
+COUNTIFS(Equipar!B:B,3,Equipar!F:F,A858)
&gt;0,COUNTIF('Set recomendado'!B:B,C858)=0),
"Bloqueada",
"Desechable")),""
)</f>
        <v/>
      </c>
      <c r="J858" t="str" cm="1">
        <f t="array" aca="1" ref="J858" ca="1">IF(ISNUMBER(A858),IFERROR(_xlfn._xlws.FILTER(Equipar!A:A,(Equipar!B:B=3)*(Equipar!AC:AC=A858)),""),"")</f>
        <v/>
      </c>
    </row>
    <row r="859" spans="1:10" x14ac:dyDescent="0.25">
      <c r="A859" s="1" t="str">
        <f ca="1">IF(A858="ID",1,IF(ISBLANK(B859),"",MAX(A$2:A858)+1))</f>
        <v/>
      </c>
      <c r="I859" s="2" t="str">
        <f ca="1">IF(ISNUMBER(A859),
IF(COUNTIFS(Equipar!B:B,3,Equipar!AC:AC,A859),"Equipada",
IF(
  OR(COUNTIFS(Equipar!B:B,3,Equipar!C:C,A859)
 +COUNTIFS(Equipar!B:B,3,Equipar!D:D,A859)
+COUNTIFS(Equipar!B:B,3,Equipar!E:E,A859)
+COUNTIFS(Equipar!B:B,3,Equipar!F:F,A859)
&gt;0,COUNTIF('Set recomendado'!B:B,C859)=0),
"Bloqueada",
"Desechable")),""
)</f>
        <v/>
      </c>
      <c r="J859" t="str" cm="1">
        <f t="array" aca="1" ref="J859" ca="1">IF(ISNUMBER(A859),IFERROR(_xlfn._xlws.FILTER(Equipar!A:A,(Equipar!B:B=3)*(Equipar!AC:AC=A859)),""),"")</f>
        <v/>
      </c>
    </row>
    <row r="860" spans="1:10" x14ac:dyDescent="0.25">
      <c r="A860" s="1" t="str">
        <f ca="1">IF(A859="ID",1,IF(ISBLANK(B860),"",MAX(A$2:A859)+1))</f>
        <v/>
      </c>
      <c r="I860" s="2" t="str">
        <f ca="1">IF(ISNUMBER(A860),
IF(COUNTIFS(Equipar!B:B,3,Equipar!AC:AC,A860),"Equipada",
IF(
  OR(COUNTIFS(Equipar!B:B,3,Equipar!C:C,A860)
 +COUNTIFS(Equipar!B:B,3,Equipar!D:D,A860)
+COUNTIFS(Equipar!B:B,3,Equipar!E:E,A860)
+COUNTIFS(Equipar!B:B,3,Equipar!F:F,A860)
&gt;0,COUNTIF('Set recomendado'!B:B,C860)=0),
"Bloqueada",
"Desechable")),""
)</f>
        <v/>
      </c>
      <c r="J860" t="str" cm="1">
        <f t="array" aca="1" ref="J860" ca="1">IF(ISNUMBER(A860),IFERROR(_xlfn._xlws.FILTER(Equipar!A:A,(Equipar!B:B=3)*(Equipar!AC:AC=A860)),""),"")</f>
        <v/>
      </c>
    </row>
    <row r="861" spans="1:10" x14ac:dyDescent="0.25">
      <c r="A861" s="1" t="str">
        <f ca="1">IF(A860="ID",1,IF(ISBLANK(B861),"",MAX(A$2:A860)+1))</f>
        <v/>
      </c>
      <c r="I861" s="2" t="str">
        <f ca="1">IF(ISNUMBER(A861),
IF(COUNTIFS(Equipar!B:B,3,Equipar!AC:AC,A861),"Equipada",
IF(
  OR(COUNTIFS(Equipar!B:B,3,Equipar!C:C,A861)
 +COUNTIFS(Equipar!B:B,3,Equipar!D:D,A861)
+COUNTIFS(Equipar!B:B,3,Equipar!E:E,A861)
+COUNTIFS(Equipar!B:B,3,Equipar!F:F,A861)
&gt;0,COUNTIF('Set recomendado'!B:B,C861)=0),
"Bloqueada",
"Desechable")),""
)</f>
        <v/>
      </c>
      <c r="J861" t="str" cm="1">
        <f t="array" aca="1" ref="J861" ca="1">IF(ISNUMBER(A861),IFERROR(_xlfn._xlws.FILTER(Equipar!A:A,(Equipar!B:B=3)*(Equipar!AC:AC=A861)),""),"")</f>
        <v/>
      </c>
    </row>
    <row r="862" spans="1:10" x14ac:dyDescent="0.25">
      <c r="A862" s="1" t="str">
        <f ca="1">IF(A861="ID",1,IF(ISBLANK(B862),"",MAX(A$2:A861)+1))</f>
        <v/>
      </c>
      <c r="I862" s="2" t="str">
        <f ca="1">IF(ISNUMBER(A862),
IF(COUNTIFS(Equipar!B:B,3,Equipar!AC:AC,A862),"Equipada",
IF(
  OR(COUNTIFS(Equipar!B:B,3,Equipar!C:C,A862)
 +COUNTIFS(Equipar!B:B,3,Equipar!D:D,A862)
+COUNTIFS(Equipar!B:B,3,Equipar!E:E,A862)
+COUNTIFS(Equipar!B:B,3,Equipar!F:F,A862)
&gt;0,COUNTIF('Set recomendado'!B:B,C862)=0),
"Bloqueada",
"Desechable")),""
)</f>
        <v/>
      </c>
      <c r="J862" t="str" cm="1">
        <f t="array" aca="1" ref="J862" ca="1">IF(ISNUMBER(A862),IFERROR(_xlfn._xlws.FILTER(Equipar!A:A,(Equipar!B:B=3)*(Equipar!AC:AC=A862)),""),"")</f>
        <v/>
      </c>
    </row>
    <row r="863" spans="1:10" x14ac:dyDescent="0.25">
      <c r="A863" s="1" t="str">
        <f ca="1">IF(A862="ID",1,IF(ISBLANK(B863),"",MAX(A$2:A862)+1))</f>
        <v/>
      </c>
      <c r="I863" s="2" t="str">
        <f ca="1">IF(ISNUMBER(A863),
IF(COUNTIFS(Equipar!B:B,3,Equipar!AC:AC,A863),"Equipada",
IF(
  OR(COUNTIFS(Equipar!B:B,3,Equipar!C:C,A863)
 +COUNTIFS(Equipar!B:B,3,Equipar!D:D,A863)
+COUNTIFS(Equipar!B:B,3,Equipar!E:E,A863)
+COUNTIFS(Equipar!B:B,3,Equipar!F:F,A863)
&gt;0,COUNTIF('Set recomendado'!B:B,C863)=0),
"Bloqueada",
"Desechable")),""
)</f>
        <v/>
      </c>
      <c r="J863" t="str" cm="1">
        <f t="array" aca="1" ref="J863" ca="1">IF(ISNUMBER(A863),IFERROR(_xlfn._xlws.FILTER(Equipar!A:A,(Equipar!B:B=3)*(Equipar!AC:AC=A863)),""),"")</f>
        <v/>
      </c>
    </row>
    <row r="864" spans="1:10" x14ac:dyDescent="0.25">
      <c r="A864" s="1" t="str">
        <f ca="1">IF(A863="ID",1,IF(ISBLANK(B864),"",MAX(A$2:A863)+1))</f>
        <v/>
      </c>
      <c r="I864" s="2" t="str">
        <f ca="1">IF(ISNUMBER(A864),
IF(COUNTIFS(Equipar!B:B,3,Equipar!AC:AC,A864),"Equipada",
IF(
  OR(COUNTIFS(Equipar!B:B,3,Equipar!C:C,A864)
 +COUNTIFS(Equipar!B:B,3,Equipar!D:D,A864)
+COUNTIFS(Equipar!B:B,3,Equipar!E:E,A864)
+COUNTIFS(Equipar!B:B,3,Equipar!F:F,A864)
&gt;0,COUNTIF('Set recomendado'!B:B,C864)=0),
"Bloqueada",
"Desechable")),""
)</f>
        <v/>
      </c>
      <c r="J864" t="str" cm="1">
        <f t="array" aca="1" ref="J864" ca="1">IF(ISNUMBER(A864),IFERROR(_xlfn._xlws.FILTER(Equipar!A:A,(Equipar!B:B=3)*(Equipar!AC:AC=A864)),""),"")</f>
        <v/>
      </c>
    </row>
    <row r="865" spans="1:10" x14ac:dyDescent="0.25">
      <c r="A865" s="1" t="str">
        <f ca="1">IF(A864="ID",1,IF(ISBLANK(B865),"",MAX(A$2:A864)+1))</f>
        <v/>
      </c>
      <c r="I865" s="2" t="str">
        <f ca="1">IF(ISNUMBER(A865),
IF(COUNTIFS(Equipar!B:B,3,Equipar!AC:AC,A865),"Equipada",
IF(
  OR(COUNTIFS(Equipar!B:B,3,Equipar!C:C,A865)
 +COUNTIFS(Equipar!B:B,3,Equipar!D:D,A865)
+COUNTIFS(Equipar!B:B,3,Equipar!E:E,A865)
+COUNTIFS(Equipar!B:B,3,Equipar!F:F,A865)
&gt;0,COUNTIF('Set recomendado'!B:B,C865)=0),
"Bloqueada",
"Desechable")),""
)</f>
        <v/>
      </c>
      <c r="J865" t="str" cm="1">
        <f t="array" aca="1" ref="J865" ca="1">IF(ISNUMBER(A865),IFERROR(_xlfn._xlws.FILTER(Equipar!A:A,(Equipar!B:B=3)*(Equipar!AC:AC=A865)),""),"")</f>
        <v/>
      </c>
    </row>
    <row r="866" spans="1:10" x14ac:dyDescent="0.25">
      <c r="A866" s="1" t="str">
        <f ca="1">IF(A865="ID",1,IF(ISBLANK(B866),"",MAX(A$2:A865)+1))</f>
        <v/>
      </c>
      <c r="I866" s="2" t="str">
        <f ca="1">IF(ISNUMBER(A866),
IF(COUNTIFS(Equipar!B:B,3,Equipar!AC:AC,A866),"Equipada",
IF(
  OR(COUNTIFS(Equipar!B:B,3,Equipar!C:C,A866)
 +COUNTIFS(Equipar!B:B,3,Equipar!D:D,A866)
+COUNTIFS(Equipar!B:B,3,Equipar!E:E,A866)
+COUNTIFS(Equipar!B:B,3,Equipar!F:F,A866)
&gt;0,COUNTIF('Set recomendado'!B:B,C866)=0),
"Bloqueada",
"Desechable")),""
)</f>
        <v/>
      </c>
      <c r="J866" t="str" cm="1">
        <f t="array" aca="1" ref="J866" ca="1">IF(ISNUMBER(A866),IFERROR(_xlfn._xlws.FILTER(Equipar!A:A,(Equipar!B:B=3)*(Equipar!AC:AC=A866)),""),"")</f>
        <v/>
      </c>
    </row>
    <row r="867" spans="1:10" x14ac:dyDescent="0.25">
      <c r="A867" s="1" t="str">
        <f ca="1">IF(A866="ID",1,IF(ISBLANK(B867),"",MAX(A$2:A866)+1))</f>
        <v/>
      </c>
      <c r="I867" s="2" t="str">
        <f ca="1">IF(ISNUMBER(A867),
IF(COUNTIFS(Equipar!B:B,3,Equipar!AC:AC,A867),"Equipada",
IF(
  OR(COUNTIFS(Equipar!B:B,3,Equipar!C:C,A867)
 +COUNTIFS(Equipar!B:B,3,Equipar!D:D,A867)
+COUNTIFS(Equipar!B:B,3,Equipar!E:E,A867)
+COUNTIFS(Equipar!B:B,3,Equipar!F:F,A867)
&gt;0,COUNTIF('Set recomendado'!B:B,C867)=0),
"Bloqueada",
"Desechable")),""
)</f>
        <v/>
      </c>
      <c r="J867" t="str" cm="1">
        <f t="array" aca="1" ref="J867" ca="1">IF(ISNUMBER(A867),IFERROR(_xlfn._xlws.FILTER(Equipar!A:A,(Equipar!B:B=3)*(Equipar!AC:AC=A867)),""),"")</f>
        <v/>
      </c>
    </row>
    <row r="868" spans="1:10" x14ac:dyDescent="0.25">
      <c r="A868" s="1" t="str">
        <f ca="1">IF(A867="ID",1,IF(ISBLANK(B868),"",MAX(A$2:A867)+1))</f>
        <v/>
      </c>
      <c r="I868" s="2" t="str">
        <f ca="1">IF(ISNUMBER(A868),
IF(COUNTIFS(Equipar!B:B,3,Equipar!AC:AC,A868),"Equipada",
IF(
  OR(COUNTIFS(Equipar!B:B,3,Equipar!C:C,A868)
 +COUNTIFS(Equipar!B:B,3,Equipar!D:D,A868)
+COUNTIFS(Equipar!B:B,3,Equipar!E:E,A868)
+COUNTIFS(Equipar!B:B,3,Equipar!F:F,A868)
&gt;0,COUNTIF('Set recomendado'!B:B,C868)=0),
"Bloqueada",
"Desechable")),""
)</f>
        <v/>
      </c>
      <c r="J868" t="str" cm="1">
        <f t="array" aca="1" ref="J868" ca="1">IF(ISNUMBER(A868),IFERROR(_xlfn._xlws.FILTER(Equipar!A:A,(Equipar!B:B=3)*(Equipar!AC:AC=A868)),""),"")</f>
        <v/>
      </c>
    </row>
    <row r="869" spans="1:10" x14ac:dyDescent="0.25">
      <c r="A869" s="1" t="str">
        <f ca="1">IF(A868="ID",1,IF(ISBLANK(B869),"",MAX(A$2:A868)+1))</f>
        <v/>
      </c>
      <c r="I869" s="2" t="str">
        <f ca="1">IF(ISNUMBER(A869),
IF(COUNTIFS(Equipar!B:B,3,Equipar!AC:AC,A869),"Equipada",
IF(
  OR(COUNTIFS(Equipar!B:B,3,Equipar!C:C,A869)
 +COUNTIFS(Equipar!B:B,3,Equipar!D:D,A869)
+COUNTIFS(Equipar!B:B,3,Equipar!E:E,A869)
+COUNTIFS(Equipar!B:B,3,Equipar!F:F,A869)
&gt;0,COUNTIF('Set recomendado'!B:B,C869)=0),
"Bloqueada",
"Desechable")),""
)</f>
        <v/>
      </c>
      <c r="J869" t="str" cm="1">
        <f t="array" aca="1" ref="J869" ca="1">IF(ISNUMBER(A869),IFERROR(_xlfn._xlws.FILTER(Equipar!A:A,(Equipar!B:B=3)*(Equipar!AC:AC=A869)),""),"")</f>
        <v/>
      </c>
    </row>
    <row r="870" spans="1:10" x14ac:dyDescent="0.25">
      <c r="A870" s="1" t="str">
        <f ca="1">IF(A869="ID",1,IF(ISBLANK(B870),"",MAX(A$2:A869)+1))</f>
        <v/>
      </c>
      <c r="I870" s="2" t="str">
        <f ca="1">IF(ISNUMBER(A870),
IF(COUNTIFS(Equipar!B:B,3,Equipar!AC:AC,A870),"Equipada",
IF(
  OR(COUNTIFS(Equipar!B:B,3,Equipar!C:C,A870)
 +COUNTIFS(Equipar!B:B,3,Equipar!D:D,A870)
+COUNTIFS(Equipar!B:B,3,Equipar!E:E,A870)
+COUNTIFS(Equipar!B:B,3,Equipar!F:F,A870)
&gt;0,COUNTIF('Set recomendado'!B:B,C870)=0),
"Bloqueada",
"Desechable")),""
)</f>
        <v/>
      </c>
      <c r="J870" t="str" cm="1">
        <f t="array" aca="1" ref="J870" ca="1">IF(ISNUMBER(A870),IFERROR(_xlfn._xlws.FILTER(Equipar!A:A,(Equipar!B:B=3)*(Equipar!AC:AC=A870)),""),"")</f>
        <v/>
      </c>
    </row>
    <row r="871" spans="1:10" x14ac:dyDescent="0.25">
      <c r="A871" s="1" t="str">
        <f ca="1">IF(A870="ID",1,IF(ISBLANK(B871),"",MAX(A$2:A870)+1))</f>
        <v/>
      </c>
      <c r="I871" s="2" t="str">
        <f ca="1">IF(ISNUMBER(A871),
IF(COUNTIFS(Equipar!B:B,3,Equipar!AC:AC,A871),"Equipada",
IF(
  OR(COUNTIFS(Equipar!B:B,3,Equipar!C:C,A871)
 +COUNTIFS(Equipar!B:B,3,Equipar!D:D,A871)
+COUNTIFS(Equipar!B:B,3,Equipar!E:E,A871)
+COUNTIFS(Equipar!B:B,3,Equipar!F:F,A871)
&gt;0,COUNTIF('Set recomendado'!B:B,C871)=0),
"Bloqueada",
"Desechable")),""
)</f>
        <v/>
      </c>
      <c r="J871" t="str" cm="1">
        <f t="array" aca="1" ref="J871" ca="1">IF(ISNUMBER(A871),IFERROR(_xlfn._xlws.FILTER(Equipar!A:A,(Equipar!B:B=3)*(Equipar!AC:AC=A871)),""),"")</f>
        <v/>
      </c>
    </row>
    <row r="872" spans="1:10" x14ac:dyDescent="0.25">
      <c r="A872" s="1" t="str">
        <f ca="1">IF(A871="ID",1,IF(ISBLANK(B872),"",MAX(A$2:A871)+1))</f>
        <v/>
      </c>
      <c r="I872" s="2" t="str">
        <f ca="1">IF(ISNUMBER(A872),
IF(COUNTIFS(Equipar!B:B,3,Equipar!AC:AC,A872),"Equipada",
IF(
  OR(COUNTIFS(Equipar!B:B,3,Equipar!C:C,A872)
 +COUNTIFS(Equipar!B:B,3,Equipar!D:D,A872)
+COUNTIFS(Equipar!B:B,3,Equipar!E:E,A872)
+COUNTIFS(Equipar!B:B,3,Equipar!F:F,A872)
&gt;0,COUNTIF('Set recomendado'!B:B,C872)=0),
"Bloqueada",
"Desechable")),""
)</f>
        <v/>
      </c>
      <c r="J872" t="str" cm="1">
        <f t="array" aca="1" ref="J872" ca="1">IF(ISNUMBER(A872),IFERROR(_xlfn._xlws.FILTER(Equipar!A:A,(Equipar!B:B=3)*(Equipar!AC:AC=A872)),""),"")</f>
        <v/>
      </c>
    </row>
    <row r="873" spans="1:10" x14ac:dyDescent="0.25">
      <c r="A873" s="1" t="str">
        <f ca="1">IF(A872="ID",1,IF(ISBLANK(B873),"",MAX(A$2:A872)+1))</f>
        <v/>
      </c>
      <c r="I873" s="2" t="str">
        <f ca="1">IF(ISNUMBER(A873),
IF(COUNTIFS(Equipar!B:B,3,Equipar!AC:AC,A873),"Equipada",
IF(
  OR(COUNTIFS(Equipar!B:B,3,Equipar!C:C,A873)
 +COUNTIFS(Equipar!B:B,3,Equipar!D:D,A873)
+COUNTIFS(Equipar!B:B,3,Equipar!E:E,A873)
+COUNTIFS(Equipar!B:B,3,Equipar!F:F,A873)
&gt;0,COUNTIF('Set recomendado'!B:B,C873)=0),
"Bloqueada",
"Desechable")),""
)</f>
        <v/>
      </c>
      <c r="J873" t="str" cm="1">
        <f t="array" aca="1" ref="J873" ca="1">IF(ISNUMBER(A873),IFERROR(_xlfn._xlws.FILTER(Equipar!A:A,(Equipar!B:B=3)*(Equipar!AC:AC=A873)),""),"")</f>
        <v/>
      </c>
    </row>
    <row r="874" spans="1:10" x14ac:dyDescent="0.25">
      <c r="A874" s="1" t="str">
        <f ca="1">IF(A873="ID",1,IF(ISBLANK(B874),"",MAX(A$2:A873)+1))</f>
        <v/>
      </c>
      <c r="I874" s="2" t="str">
        <f ca="1">IF(ISNUMBER(A874),
IF(COUNTIFS(Equipar!B:B,3,Equipar!AC:AC,A874),"Equipada",
IF(
  OR(COUNTIFS(Equipar!B:B,3,Equipar!C:C,A874)
 +COUNTIFS(Equipar!B:B,3,Equipar!D:D,A874)
+COUNTIFS(Equipar!B:B,3,Equipar!E:E,A874)
+COUNTIFS(Equipar!B:B,3,Equipar!F:F,A874)
&gt;0,COUNTIF('Set recomendado'!B:B,C874)=0),
"Bloqueada",
"Desechable")),""
)</f>
        <v/>
      </c>
      <c r="J874" t="str" cm="1">
        <f t="array" aca="1" ref="J874" ca="1">IF(ISNUMBER(A874),IFERROR(_xlfn._xlws.FILTER(Equipar!A:A,(Equipar!B:B=3)*(Equipar!AC:AC=A874)),""),"")</f>
        <v/>
      </c>
    </row>
    <row r="875" spans="1:10" x14ac:dyDescent="0.25">
      <c r="A875" s="1" t="str">
        <f ca="1">IF(A874="ID",1,IF(ISBLANK(B875),"",MAX(A$2:A874)+1))</f>
        <v/>
      </c>
      <c r="I875" s="2" t="str">
        <f ca="1">IF(ISNUMBER(A875),
IF(COUNTIFS(Equipar!B:B,3,Equipar!AC:AC,A875),"Equipada",
IF(
  OR(COUNTIFS(Equipar!B:B,3,Equipar!C:C,A875)
 +COUNTIFS(Equipar!B:B,3,Equipar!D:D,A875)
+COUNTIFS(Equipar!B:B,3,Equipar!E:E,A875)
+COUNTIFS(Equipar!B:B,3,Equipar!F:F,A875)
&gt;0,COUNTIF('Set recomendado'!B:B,C875)=0),
"Bloqueada",
"Desechable")),""
)</f>
        <v/>
      </c>
      <c r="J875" t="str" cm="1">
        <f t="array" aca="1" ref="J875" ca="1">IF(ISNUMBER(A875),IFERROR(_xlfn._xlws.FILTER(Equipar!A:A,(Equipar!B:B=3)*(Equipar!AC:AC=A875)),""),"")</f>
        <v/>
      </c>
    </row>
    <row r="876" spans="1:10" x14ac:dyDescent="0.25">
      <c r="A876" s="1" t="str">
        <f ca="1">IF(A875="ID",1,IF(ISBLANK(B876),"",MAX(A$2:A875)+1))</f>
        <v/>
      </c>
      <c r="I876" s="2" t="str">
        <f ca="1">IF(ISNUMBER(A876),
IF(COUNTIFS(Equipar!B:B,3,Equipar!AC:AC,A876),"Equipada",
IF(
  OR(COUNTIFS(Equipar!B:B,3,Equipar!C:C,A876)
 +COUNTIFS(Equipar!B:B,3,Equipar!D:D,A876)
+COUNTIFS(Equipar!B:B,3,Equipar!E:E,A876)
+COUNTIFS(Equipar!B:B,3,Equipar!F:F,A876)
&gt;0,COUNTIF('Set recomendado'!B:B,C876)=0),
"Bloqueada",
"Desechable")),""
)</f>
        <v/>
      </c>
      <c r="J876" t="str" cm="1">
        <f t="array" aca="1" ref="J876" ca="1">IF(ISNUMBER(A876),IFERROR(_xlfn._xlws.FILTER(Equipar!A:A,(Equipar!B:B=3)*(Equipar!AC:AC=A876)),""),"")</f>
        <v/>
      </c>
    </row>
    <row r="877" spans="1:10" x14ac:dyDescent="0.25">
      <c r="A877" s="1" t="str">
        <f ca="1">IF(A876="ID",1,IF(ISBLANK(B877),"",MAX(A$2:A876)+1))</f>
        <v/>
      </c>
      <c r="I877" s="2" t="str">
        <f ca="1">IF(ISNUMBER(A877),
IF(COUNTIFS(Equipar!B:B,3,Equipar!AC:AC,A877),"Equipada",
IF(
  OR(COUNTIFS(Equipar!B:B,3,Equipar!C:C,A877)
 +COUNTIFS(Equipar!B:B,3,Equipar!D:D,A877)
+COUNTIFS(Equipar!B:B,3,Equipar!E:E,A877)
+COUNTIFS(Equipar!B:B,3,Equipar!F:F,A877)
&gt;0,COUNTIF('Set recomendado'!B:B,C877)=0),
"Bloqueada",
"Desechable")),""
)</f>
        <v/>
      </c>
      <c r="J877" t="str" cm="1">
        <f t="array" aca="1" ref="J877" ca="1">IF(ISNUMBER(A877),IFERROR(_xlfn._xlws.FILTER(Equipar!A:A,(Equipar!B:B=3)*(Equipar!AC:AC=A877)),""),"")</f>
        <v/>
      </c>
    </row>
    <row r="878" spans="1:10" x14ac:dyDescent="0.25">
      <c r="A878" s="1" t="str">
        <f ca="1">IF(A877="ID",1,IF(ISBLANK(B878),"",MAX(A$2:A877)+1))</f>
        <v/>
      </c>
      <c r="I878" s="2" t="str">
        <f ca="1">IF(ISNUMBER(A878),
IF(COUNTIFS(Equipar!B:B,3,Equipar!AC:AC,A878),"Equipada",
IF(
  OR(COUNTIFS(Equipar!B:B,3,Equipar!C:C,A878)
 +COUNTIFS(Equipar!B:B,3,Equipar!D:D,A878)
+COUNTIFS(Equipar!B:B,3,Equipar!E:E,A878)
+COUNTIFS(Equipar!B:B,3,Equipar!F:F,A878)
&gt;0,COUNTIF('Set recomendado'!B:B,C878)=0),
"Bloqueada",
"Desechable")),""
)</f>
        <v/>
      </c>
      <c r="J878" t="str" cm="1">
        <f t="array" aca="1" ref="J878" ca="1">IF(ISNUMBER(A878),IFERROR(_xlfn._xlws.FILTER(Equipar!A:A,(Equipar!B:B=3)*(Equipar!AC:AC=A878)),""),"")</f>
        <v/>
      </c>
    </row>
    <row r="879" spans="1:10" x14ac:dyDescent="0.25">
      <c r="A879" s="1" t="str">
        <f ca="1">IF(A878="ID",1,IF(ISBLANK(B879),"",MAX(A$2:A878)+1))</f>
        <v/>
      </c>
      <c r="I879" s="2" t="str">
        <f ca="1">IF(ISNUMBER(A879),
IF(COUNTIFS(Equipar!B:B,3,Equipar!AC:AC,A879),"Equipada",
IF(
  OR(COUNTIFS(Equipar!B:B,3,Equipar!C:C,A879)
 +COUNTIFS(Equipar!B:B,3,Equipar!D:D,A879)
+COUNTIFS(Equipar!B:B,3,Equipar!E:E,A879)
+COUNTIFS(Equipar!B:B,3,Equipar!F:F,A879)
&gt;0,COUNTIF('Set recomendado'!B:B,C879)=0),
"Bloqueada",
"Desechable")),""
)</f>
        <v/>
      </c>
      <c r="J879" t="str" cm="1">
        <f t="array" aca="1" ref="J879" ca="1">IF(ISNUMBER(A879),IFERROR(_xlfn._xlws.FILTER(Equipar!A:A,(Equipar!B:B=3)*(Equipar!AC:AC=A879)),""),"")</f>
        <v/>
      </c>
    </row>
    <row r="880" spans="1:10" x14ac:dyDescent="0.25">
      <c r="A880" s="1" t="str">
        <f ca="1">IF(A879="ID",1,IF(ISBLANK(B880),"",MAX(A$2:A879)+1))</f>
        <v/>
      </c>
      <c r="I880" s="2" t="str">
        <f ca="1">IF(ISNUMBER(A880),
IF(COUNTIFS(Equipar!B:B,3,Equipar!AC:AC,A880),"Equipada",
IF(
  OR(COUNTIFS(Equipar!B:B,3,Equipar!C:C,A880)
 +COUNTIFS(Equipar!B:B,3,Equipar!D:D,A880)
+COUNTIFS(Equipar!B:B,3,Equipar!E:E,A880)
+COUNTIFS(Equipar!B:B,3,Equipar!F:F,A880)
&gt;0,COUNTIF('Set recomendado'!B:B,C880)=0),
"Bloqueada",
"Desechable")),""
)</f>
        <v/>
      </c>
      <c r="J880" t="str" cm="1">
        <f t="array" aca="1" ref="J880" ca="1">IF(ISNUMBER(A880),IFERROR(_xlfn._xlws.FILTER(Equipar!A:A,(Equipar!B:B=3)*(Equipar!AC:AC=A880)),""),"")</f>
        <v/>
      </c>
    </row>
    <row r="881" spans="1:10" x14ac:dyDescent="0.25">
      <c r="A881" s="1" t="str">
        <f ca="1">IF(A880="ID",1,IF(ISBLANK(B881),"",MAX(A$2:A880)+1))</f>
        <v/>
      </c>
      <c r="I881" s="2" t="str">
        <f ca="1">IF(ISNUMBER(A881),
IF(COUNTIFS(Equipar!B:B,3,Equipar!AC:AC,A881),"Equipada",
IF(
  OR(COUNTIFS(Equipar!B:B,3,Equipar!C:C,A881)
 +COUNTIFS(Equipar!B:B,3,Equipar!D:D,A881)
+COUNTIFS(Equipar!B:B,3,Equipar!E:E,A881)
+COUNTIFS(Equipar!B:B,3,Equipar!F:F,A881)
&gt;0,COUNTIF('Set recomendado'!B:B,C881)=0),
"Bloqueada",
"Desechable")),""
)</f>
        <v/>
      </c>
      <c r="J881" t="str" cm="1">
        <f t="array" aca="1" ref="J881" ca="1">IF(ISNUMBER(A881),IFERROR(_xlfn._xlws.FILTER(Equipar!A:A,(Equipar!B:B=3)*(Equipar!AC:AC=A881)),""),"")</f>
        <v/>
      </c>
    </row>
    <row r="882" spans="1:10" x14ac:dyDescent="0.25">
      <c r="A882" s="1" t="str">
        <f ca="1">IF(A881="ID",1,IF(ISBLANK(B882),"",MAX(A$2:A881)+1))</f>
        <v/>
      </c>
      <c r="I882" s="2" t="str">
        <f ca="1">IF(ISNUMBER(A882),
IF(COUNTIFS(Equipar!B:B,3,Equipar!AC:AC,A882),"Equipada",
IF(
  OR(COUNTIFS(Equipar!B:B,3,Equipar!C:C,A882)
 +COUNTIFS(Equipar!B:B,3,Equipar!D:D,A882)
+COUNTIFS(Equipar!B:B,3,Equipar!E:E,A882)
+COUNTIFS(Equipar!B:B,3,Equipar!F:F,A882)
&gt;0,COUNTIF('Set recomendado'!B:B,C882)=0),
"Bloqueada",
"Desechable")),""
)</f>
        <v/>
      </c>
      <c r="J882" t="str" cm="1">
        <f t="array" aca="1" ref="J882" ca="1">IF(ISNUMBER(A882),IFERROR(_xlfn._xlws.FILTER(Equipar!A:A,(Equipar!B:B=3)*(Equipar!AC:AC=A882)),""),"")</f>
        <v/>
      </c>
    </row>
    <row r="883" spans="1:10" x14ac:dyDescent="0.25">
      <c r="A883" s="1" t="str">
        <f ca="1">IF(A882="ID",1,IF(ISBLANK(B883),"",MAX(A$2:A882)+1))</f>
        <v/>
      </c>
      <c r="I883" s="2" t="str">
        <f ca="1">IF(ISNUMBER(A883),
IF(COUNTIFS(Equipar!B:B,3,Equipar!AC:AC,A883),"Equipada",
IF(
  OR(COUNTIFS(Equipar!B:B,3,Equipar!C:C,A883)
 +COUNTIFS(Equipar!B:B,3,Equipar!D:D,A883)
+COUNTIFS(Equipar!B:B,3,Equipar!E:E,A883)
+COUNTIFS(Equipar!B:B,3,Equipar!F:F,A883)
&gt;0,COUNTIF('Set recomendado'!B:B,C883)=0),
"Bloqueada",
"Desechable")),""
)</f>
        <v/>
      </c>
      <c r="J883" t="str" cm="1">
        <f t="array" aca="1" ref="J883" ca="1">IF(ISNUMBER(A883),IFERROR(_xlfn._xlws.FILTER(Equipar!A:A,(Equipar!B:B=3)*(Equipar!AC:AC=A883)),""),"")</f>
        <v/>
      </c>
    </row>
    <row r="884" spans="1:10" x14ac:dyDescent="0.25">
      <c r="A884" s="1" t="str">
        <f ca="1">IF(A883="ID",1,IF(ISBLANK(B884),"",MAX(A$2:A883)+1))</f>
        <v/>
      </c>
      <c r="I884" s="2" t="str">
        <f ca="1">IF(ISNUMBER(A884),
IF(COUNTIFS(Equipar!B:B,3,Equipar!AC:AC,A884),"Equipada",
IF(
  OR(COUNTIFS(Equipar!B:B,3,Equipar!C:C,A884)
 +COUNTIFS(Equipar!B:B,3,Equipar!D:D,A884)
+COUNTIFS(Equipar!B:B,3,Equipar!E:E,A884)
+COUNTIFS(Equipar!B:B,3,Equipar!F:F,A884)
&gt;0,COUNTIF('Set recomendado'!B:B,C884)=0),
"Bloqueada",
"Desechable")),""
)</f>
        <v/>
      </c>
      <c r="J884" t="str" cm="1">
        <f t="array" aca="1" ref="J884" ca="1">IF(ISNUMBER(A884),IFERROR(_xlfn._xlws.FILTER(Equipar!A:A,(Equipar!B:B=3)*(Equipar!AC:AC=A884)),""),"")</f>
        <v/>
      </c>
    </row>
    <row r="885" spans="1:10" x14ac:dyDescent="0.25">
      <c r="A885" s="1" t="str">
        <f ca="1">IF(A884="ID",1,IF(ISBLANK(B885),"",MAX(A$2:A884)+1))</f>
        <v/>
      </c>
      <c r="I885" s="2" t="str">
        <f ca="1">IF(ISNUMBER(A885),
IF(COUNTIFS(Equipar!B:B,3,Equipar!AC:AC,A885),"Equipada",
IF(
  OR(COUNTIFS(Equipar!B:B,3,Equipar!C:C,A885)
 +COUNTIFS(Equipar!B:B,3,Equipar!D:D,A885)
+COUNTIFS(Equipar!B:B,3,Equipar!E:E,A885)
+COUNTIFS(Equipar!B:B,3,Equipar!F:F,A885)
&gt;0,COUNTIF('Set recomendado'!B:B,C885)=0),
"Bloqueada",
"Desechable")),""
)</f>
        <v/>
      </c>
      <c r="J885" t="str" cm="1">
        <f t="array" aca="1" ref="J885" ca="1">IF(ISNUMBER(A885),IFERROR(_xlfn._xlws.FILTER(Equipar!A:A,(Equipar!B:B=3)*(Equipar!AC:AC=A885)),""),"")</f>
        <v/>
      </c>
    </row>
    <row r="886" spans="1:10" x14ac:dyDescent="0.25">
      <c r="A886" s="1" t="str">
        <f ca="1">IF(A885="ID",1,IF(ISBLANK(B886),"",MAX(A$2:A885)+1))</f>
        <v/>
      </c>
      <c r="I886" s="2" t="str">
        <f ca="1">IF(ISNUMBER(A886),
IF(COUNTIFS(Equipar!B:B,3,Equipar!AC:AC,A886),"Equipada",
IF(
  OR(COUNTIFS(Equipar!B:B,3,Equipar!C:C,A886)
 +COUNTIFS(Equipar!B:B,3,Equipar!D:D,A886)
+COUNTIFS(Equipar!B:B,3,Equipar!E:E,A886)
+COUNTIFS(Equipar!B:B,3,Equipar!F:F,A886)
&gt;0,COUNTIF('Set recomendado'!B:B,C886)=0),
"Bloqueada",
"Desechable")),""
)</f>
        <v/>
      </c>
      <c r="J886" t="str" cm="1">
        <f t="array" aca="1" ref="J886" ca="1">IF(ISNUMBER(A886),IFERROR(_xlfn._xlws.FILTER(Equipar!A:A,(Equipar!B:B=3)*(Equipar!AC:AC=A886)),""),"")</f>
        <v/>
      </c>
    </row>
    <row r="887" spans="1:10" x14ac:dyDescent="0.25">
      <c r="A887" s="1" t="str">
        <f ca="1">IF(A886="ID",1,IF(ISBLANK(B887),"",MAX(A$2:A886)+1))</f>
        <v/>
      </c>
      <c r="I887" s="2" t="str">
        <f ca="1">IF(ISNUMBER(A887),
IF(COUNTIFS(Equipar!B:B,3,Equipar!AC:AC,A887),"Equipada",
IF(
  OR(COUNTIFS(Equipar!B:B,3,Equipar!C:C,A887)
 +COUNTIFS(Equipar!B:B,3,Equipar!D:D,A887)
+COUNTIFS(Equipar!B:B,3,Equipar!E:E,A887)
+COUNTIFS(Equipar!B:B,3,Equipar!F:F,A887)
&gt;0,COUNTIF('Set recomendado'!B:B,C887)=0),
"Bloqueada",
"Desechable")),""
)</f>
        <v/>
      </c>
      <c r="J887" t="str" cm="1">
        <f t="array" aca="1" ref="J887" ca="1">IF(ISNUMBER(A887),IFERROR(_xlfn._xlws.FILTER(Equipar!A:A,(Equipar!B:B=3)*(Equipar!AC:AC=A887)),""),"")</f>
        <v/>
      </c>
    </row>
    <row r="888" spans="1:10" x14ac:dyDescent="0.25">
      <c r="A888" s="1" t="str">
        <f ca="1">IF(A887="ID",1,IF(ISBLANK(B888),"",MAX(A$2:A887)+1))</f>
        <v/>
      </c>
      <c r="I888" s="2" t="str">
        <f ca="1">IF(ISNUMBER(A888),
IF(COUNTIFS(Equipar!B:B,3,Equipar!AC:AC,A888),"Equipada",
IF(
  OR(COUNTIFS(Equipar!B:B,3,Equipar!C:C,A888)
 +COUNTIFS(Equipar!B:B,3,Equipar!D:D,A888)
+COUNTIFS(Equipar!B:B,3,Equipar!E:E,A888)
+COUNTIFS(Equipar!B:B,3,Equipar!F:F,A888)
&gt;0,COUNTIF('Set recomendado'!B:B,C888)=0),
"Bloqueada",
"Desechable")),""
)</f>
        <v/>
      </c>
      <c r="J888" t="str" cm="1">
        <f t="array" aca="1" ref="J888" ca="1">IF(ISNUMBER(A888),IFERROR(_xlfn._xlws.FILTER(Equipar!A:A,(Equipar!B:B=3)*(Equipar!AC:AC=A888)),""),"")</f>
        <v/>
      </c>
    </row>
    <row r="889" spans="1:10" x14ac:dyDescent="0.25">
      <c r="A889" s="1" t="str">
        <f ca="1">IF(A888="ID",1,IF(ISBLANK(B889),"",MAX(A$2:A888)+1))</f>
        <v/>
      </c>
      <c r="I889" s="2" t="str">
        <f ca="1">IF(ISNUMBER(A889),
IF(COUNTIFS(Equipar!B:B,3,Equipar!AC:AC,A889),"Equipada",
IF(
  OR(COUNTIFS(Equipar!B:B,3,Equipar!C:C,A889)
 +COUNTIFS(Equipar!B:B,3,Equipar!D:D,A889)
+COUNTIFS(Equipar!B:B,3,Equipar!E:E,A889)
+COUNTIFS(Equipar!B:B,3,Equipar!F:F,A889)
&gt;0,COUNTIF('Set recomendado'!B:B,C889)=0),
"Bloqueada",
"Desechable")),""
)</f>
        <v/>
      </c>
      <c r="J889" t="str" cm="1">
        <f t="array" aca="1" ref="J889" ca="1">IF(ISNUMBER(A889),IFERROR(_xlfn._xlws.FILTER(Equipar!A:A,(Equipar!B:B=3)*(Equipar!AC:AC=A889)),""),"")</f>
        <v/>
      </c>
    </row>
    <row r="890" spans="1:10" x14ac:dyDescent="0.25">
      <c r="A890" s="1" t="str">
        <f ca="1">IF(A889="ID",1,IF(ISBLANK(B890),"",MAX(A$2:A889)+1))</f>
        <v/>
      </c>
      <c r="I890" s="2" t="str">
        <f ca="1">IF(ISNUMBER(A890),
IF(COUNTIFS(Equipar!B:B,3,Equipar!AC:AC,A890),"Equipada",
IF(
  OR(COUNTIFS(Equipar!B:B,3,Equipar!C:C,A890)
 +COUNTIFS(Equipar!B:B,3,Equipar!D:D,A890)
+COUNTIFS(Equipar!B:B,3,Equipar!E:E,A890)
+COUNTIFS(Equipar!B:B,3,Equipar!F:F,A890)
&gt;0,COUNTIF('Set recomendado'!B:B,C890)=0),
"Bloqueada",
"Desechable")),""
)</f>
        <v/>
      </c>
      <c r="J890" t="str" cm="1">
        <f t="array" aca="1" ref="J890" ca="1">IF(ISNUMBER(A890),IFERROR(_xlfn._xlws.FILTER(Equipar!A:A,(Equipar!B:B=3)*(Equipar!AC:AC=A890)),""),"")</f>
        <v/>
      </c>
    </row>
    <row r="891" spans="1:10" x14ac:dyDescent="0.25">
      <c r="A891" s="1" t="str">
        <f ca="1">IF(A890="ID",1,IF(ISBLANK(B891),"",MAX(A$2:A890)+1))</f>
        <v/>
      </c>
      <c r="I891" s="2" t="str">
        <f ca="1">IF(ISNUMBER(A891),
IF(COUNTIFS(Equipar!B:B,3,Equipar!AC:AC,A891),"Equipada",
IF(
  OR(COUNTIFS(Equipar!B:B,3,Equipar!C:C,A891)
 +COUNTIFS(Equipar!B:B,3,Equipar!D:D,A891)
+COUNTIFS(Equipar!B:B,3,Equipar!E:E,A891)
+COUNTIFS(Equipar!B:B,3,Equipar!F:F,A891)
&gt;0,COUNTIF('Set recomendado'!B:B,C891)=0),
"Bloqueada",
"Desechable")),""
)</f>
        <v/>
      </c>
      <c r="J891" t="str" cm="1">
        <f t="array" aca="1" ref="J891" ca="1">IF(ISNUMBER(A891),IFERROR(_xlfn._xlws.FILTER(Equipar!A:A,(Equipar!B:B=3)*(Equipar!AC:AC=A891)),""),"")</f>
        <v/>
      </c>
    </row>
    <row r="892" spans="1:10" x14ac:dyDescent="0.25">
      <c r="A892" s="1" t="str">
        <f ca="1">IF(A891="ID",1,IF(ISBLANK(B892),"",MAX(A$2:A891)+1))</f>
        <v/>
      </c>
      <c r="I892" s="2" t="str">
        <f ca="1">IF(ISNUMBER(A892),
IF(COUNTIFS(Equipar!B:B,3,Equipar!AC:AC,A892),"Equipada",
IF(
  OR(COUNTIFS(Equipar!B:B,3,Equipar!C:C,A892)
 +COUNTIFS(Equipar!B:B,3,Equipar!D:D,A892)
+COUNTIFS(Equipar!B:B,3,Equipar!E:E,A892)
+COUNTIFS(Equipar!B:B,3,Equipar!F:F,A892)
&gt;0,COUNTIF('Set recomendado'!B:B,C892)=0),
"Bloqueada",
"Desechable")),""
)</f>
        <v/>
      </c>
      <c r="J892" t="str" cm="1">
        <f t="array" aca="1" ref="J892" ca="1">IF(ISNUMBER(A892),IFERROR(_xlfn._xlws.FILTER(Equipar!A:A,(Equipar!B:B=3)*(Equipar!AC:AC=A892)),""),"")</f>
        <v/>
      </c>
    </row>
    <row r="893" spans="1:10" x14ac:dyDescent="0.25">
      <c r="A893" s="1" t="str">
        <f ca="1">IF(A892="ID",1,IF(ISBLANK(B893),"",MAX(A$2:A892)+1))</f>
        <v/>
      </c>
      <c r="I893" s="2" t="str">
        <f ca="1">IF(ISNUMBER(A893),
IF(COUNTIFS(Equipar!B:B,3,Equipar!AC:AC,A893),"Equipada",
IF(
  OR(COUNTIFS(Equipar!B:B,3,Equipar!C:C,A893)
 +COUNTIFS(Equipar!B:B,3,Equipar!D:D,A893)
+COUNTIFS(Equipar!B:B,3,Equipar!E:E,A893)
+COUNTIFS(Equipar!B:B,3,Equipar!F:F,A893)
&gt;0,COUNTIF('Set recomendado'!B:B,C893)=0),
"Bloqueada",
"Desechable")),""
)</f>
        <v/>
      </c>
      <c r="J893" t="str" cm="1">
        <f t="array" aca="1" ref="J893" ca="1">IF(ISNUMBER(A893),IFERROR(_xlfn._xlws.FILTER(Equipar!A:A,(Equipar!B:B=3)*(Equipar!AC:AC=A893)),""),"")</f>
        <v/>
      </c>
    </row>
    <row r="894" spans="1:10" x14ac:dyDescent="0.25">
      <c r="A894" s="1" t="str">
        <f ca="1">IF(A893="ID",1,IF(ISBLANK(B894),"",MAX(A$2:A893)+1))</f>
        <v/>
      </c>
      <c r="I894" s="2" t="str">
        <f ca="1">IF(ISNUMBER(A894),
IF(COUNTIFS(Equipar!B:B,3,Equipar!AC:AC,A894),"Equipada",
IF(
  OR(COUNTIFS(Equipar!B:B,3,Equipar!C:C,A894)
 +COUNTIFS(Equipar!B:B,3,Equipar!D:D,A894)
+COUNTIFS(Equipar!B:B,3,Equipar!E:E,A894)
+COUNTIFS(Equipar!B:B,3,Equipar!F:F,A894)
&gt;0,COUNTIF('Set recomendado'!B:B,C894)=0),
"Bloqueada",
"Desechable")),""
)</f>
        <v/>
      </c>
      <c r="J894" t="str" cm="1">
        <f t="array" aca="1" ref="J894" ca="1">IF(ISNUMBER(A894),IFERROR(_xlfn._xlws.FILTER(Equipar!A:A,(Equipar!B:B=3)*(Equipar!AC:AC=A894)),""),"")</f>
        <v/>
      </c>
    </row>
    <row r="895" spans="1:10" x14ac:dyDescent="0.25">
      <c r="A895" s="1" t="str">
        <f ca="1">IF(A894="ID",1,IF(ISBLANK(B895),"",MAX(A$2:A894)+1))</f>
        <v/>
      </c>
      <c r="I895" s="2" t="str">
        <f ca="1">IF(ISNUMBER(A895),
IF(COUNTIFS(Equipar!B:B,3,Equipar!AC:AC,A895),"Equipada",
IF(
  OR(COUNTIFS(Equipar!B:B,3,Equipar!C:C,A895)
 +COUNTIFS(Equipar!B:B,3,Equipar!D:D,A895)
+COUNTIFS(Equipar!B:B,3,Equipar!E:E,A895)
+COUNTIFS(Equipar!B:B,3,Equipar!F:F,A895)
&gt;0,COUNTIF('Set recomendado'!B:B,C895)=0),
"Bloqueada",
"Desechable")),""
)</f>
        <v/>
      </c>
      <c r="J895" t="str" cm="1">
        <f t="array" aca="1" ref="J895" ca="1">IF(ISNUMBER(A895),IFERROR(_xlfn._xlws.FILTER(Equipar!A:A,(Equipar!B:B=3)*(Equipar!AC:AC=A895)),""),"")</f>
        <v/>
      </c>
    </row>
    <row r="896" spans="1:10" x14ac:dyDescent="0.25">
      <c r="A896" s="1" t="str">
        <f ca="1">IF(A895="ID",1,IF(ISBLANK(B896),"",MAX(A$2:A895)+1))</f>
        <v/>
      </c>
      <c r="I896" s="2" t="str">
        <f ca="1">IF(ISNUMBER(A896),
IF(COUNTIFS(Equipar!B:B,3,Equipar!AC:AC,A896),"Equipada",
IF(
  OR(COUNTIFS(Equipar!B:B,3,Equipar!C:C,A896)
 +COUNTIFS(Equipar!B:B,3,Equipar!D:D,A896)
+COUNTIFS(Equipar!B:B,3,Equipar!E:E,A896)
+COUNTIFS(Equipar!B:B,3,Equipar!F:F,A896)
&gt;0,COUNTIF('Set recomendado'!B:B,C896)=0),
"Bloqueada",
"Desechable")),""
)</f>
        <v/>
      </c>
      <c r="J896" t="str" cm="1">
        <f t="array" aca="1" ref="J896" ca="1">IF(ISNUMBER(A896),IFERROR(_xlfn._xlws.FILTER(Equipar!A:A,(Equipar!B:B=3)*(Equipar!AC:AC=A896)),""),"")</f>
        <v/>
      </c>
    </row>
    <row r="897" spans="1:10" x14ac:dyDescent="0.25">
      <c r="A897" s="1" t="str">
        <f ca="1">IF(A896="ID",1,IF(ISBLANK(B897),"",MAX(A$2:A896)+1))</f>
        <v/>
      </c>
      <c r="I897" s="2" t="str">
        <f ca="1">IF(ISNUMBER(A897),
IF(COUNTIFS(Equipar!B:B,3,Equipar!AC:AC,A897),"Equipada",
IF(
  OR(COUNTIFS(Equipar!B:B,3,Equipar!C:C,A897)
 +COUNTIFS(Equipar!B:B,3,Equipar!D:D,A897)
+COUNTIFS(Equipar!B:B,3,Equipar!E:E,A897)
+COUNTIFS(Equipar!B:B,3,Equipar!F:F,A897)
&gt;0,COUNTIF('Set recomendado'!B:B,C897)=0),
"Bloqueada",
"Desechable")),""
)</f>
        <v/>
      </c>
      <c r="J897" t="str" cm="1">
        <f t="array" aca="1" ref="J897" ca="1">IF(ISNUMBER(A897),IFERROR(_xlfn._xlws.FILTER(Equipar!A:A,(Equipar!B:B=3)*(Equipar!AC:AC=A897)),""),"")</f>
        <v/>
      </c>
    </row>
    <row r="898" spans="1:10" x14ac:dyDescent="0.25">
      <c r="A898" s="1" t="str">
        <f ca="1">IF(A897="ID",1,IF(ISBLANK(B898),"",MAX(A$2:A897)+1))</f>
        <v/>
      </c>
      <c r="I898" s="2" t="str">
        <f ca="1">IF(ISNUMBER(A898),
IF(COUNTIFS(Equipar!B:B,3,Equipar!AC:AC,A898),"Equipada",
IF(
  OR(COUNTIFS(Equipar!B:B,3,Equipar!C:C,A898)
 +COUNTIFS(Equipar!B:B,3,Equipar!D:D,A898)
+COUNTIFS(Equipar!B:B,3,Equipar!E:E,A898)
+COUNTIFS(Equipar!B:B,3,Equipar!F:F,A898)
&gt;0,COUNTIF('Set recomendado'!B:B,C898)=0),
"Bloqueada",
"Desechable")),""
)</f>
        <v/>
      </c>
      <c r="J898" t="str" cm="1">
        <f t="array" aca="1" ref="J898" ca="1">IF(ISNUMBER(A898),IFERROR(_xlfn._xlws.FILTER(Equipar!A:A,(Equipar!B:B=3)*(Equipar!AC:AC=A898)),""),"")</f>
        <v/>
      </c>
    </row>
    <row r="899" spans="1:10" x14ac:dyDescent="0.25">
      <c r="A899" s="1" t="str">
        <f ca="1">IF(A898="ID",1,IF(ISBLANK(B899),"",MAX(A$2:A898)+1))</f>
        <v/>
      </c>
      <c r="I899" s="2" t="str">
        <f ca="1">IF(ISNUMBER(A899),
IF(COUNTIFS(Equipar!B:B,3,Equipar!AC:AC,A899),"Equipada",
IF(
  OR(COUNTIFS(Equipar!B:B,3,Equipar!C:C,A899)
 +COUNTIFS(Equipar!B:B,3,Equipar!D:D,A899)
+COUNTIFS(Equipar!B:B,3,Equipar!E:E,A899)
+COUNTIFS(Equipar!B:B,3,Equipar!F:F,A899)
&gt;0,COUNTIF('Set recomendado'!B:B,C899)=0),
"Bloqueada",
"Desechable")),""
)</f>
        <v/>
      </c>
      <c r="J899" t="str" cm="1">
        <f t="array" aca="1" ref="J899" ca="1">IF(ISNUMBER(A899),IFERROR(_xlfn._xlws.FILTER(Equipar!A:A,(Equipar!B:B=3)*(Equipar!AC:AC=A899)),""),"")</f>
        <v/>
      </c>
    </row>
    <row r="900" spans="1:10" x14ac:dyDescent="0.25">
      <c r="A900" s="1" t="str">
        <f ca="1">IF(A899="ID",1,IF(ISBLANK(B900),"",MAX(A$2:A899)+1))</f>
        <v/>
      </c>
      <c r="I900" s="2" t="str">
        <f ca="1">IF(ISNUMBER(A900),
IF(COUNTIFS(Equipar!B:B,3,Equipar!AC:AC,A900),"Equipada",
IF(
  OR(COUNTIFS(Equipar!B:B,3,Equipar!C:C,A900)
 +COUNTIFS(Equipar!B:B,3,Equipar!D:D,A900)
+COUNTIFS(Equipar!B:B,3,Equipar!E:E,A900)
+COUNTIFS(Equipar!B:B,3,Equipar!F:F,A900)
&gt;0,COUNTIF('Set recomendado'!B:B,C900)=0),
"Bloqueada",
"Desechable")),""
)</f>
        <v/>
      </c>
      <c r="J900" t="str" cm="1">
        <f t="array" aca="1" ref="J900" ca="1">IF(ISNUMBER(A900),IFERROR(_xlfn._xlws.FILTER(Equipar!A:A,(Equipar!B:B=3)*(Equipar!AC:AC=A900)),""),"")</f>
        <v/>
      </c>
    </row>
    <row r="901" spans="1:10" x14ac:dyDescent="0.25">
      <c r="A901" s="1" t="str">
        <f ca="1">IF(A900="ID",1,IF(ISBLANK(B901),"",MAX(A$2:A900)+1))</f>
        <v/>
      </c>
      <c r="I901" s="2" t="str">
        <f ca="1">IF(ISNUMBER(A901),
IF(COUNTIFS(Equipar!B:B,3,Equipar!AC:AC,A901),"Equipada",
IF(
  OR(COUNTIFS(Equipar!B:B,3,Equipar!C:C,A901)
 +COUNTIFS(Equipar!B:B,3,Equipar!D:D,A901)
+COUNTIFS(Equipar!B:B,3,Equipar!E:E,A901)
+COUNTIFS(Equipar!B:B,3,Equipar!F:F,A901)
&gt;0,COUNTIF('Set recomendado'!B:B,C901)=0),
"Bloqueada",
"Desechable")),""
)</f>
        <v/>
      </c>
      <c r="J901" t="str" cm="1">
        <f t="array" aca="1" ref="J901" ca="1">IF(ISNUMBER(A901),IFERROR(_xlfn._xlws.FILTER(Equipar!A:A,(Equipar!B:B=3)*(Equipar!AC:AC=A901)),""),"")</f>
        <v/>
      </c>
    </row>
    <row r="902" spans="1:10" x14ac:dyDescent="0.25">
      <c r="A902" s="1" t="str">
        <f ca="1">IF(A901="ID",1,IF(ISBLANK(B902),"",MAX(A$2:A901)+1))</f>
        <v/>
      </c>
      <c r="I902" s="2" t="str">
        <f ca="1">IF(ISNUMBER(A902),
IF(COUNTIFS(Equipar!B:B,3,Equipar!AC:AC,A902),"Equipada",
IF(
  OR(COUNTIFS(Equipar!B:B,3,Equipar!C:C,A902)
 +COUNTIFS(Equipar!B:B,3,Equipar!D:D,A902)
+COUNTIFS(Equipar!B:B,3,Equipar!E:E,A902)
+COUNTIFS(Equipar!B:B,3,Equipar!F:F,A902)
&gt;0,COUNTIF('Set recomendado'!B:B,C902)=0),
"Bloqueada",
"Desechable")),""
)</f>
        <v/>
      </c>
      <c r="J902" t="str" cm="1">
        <f t="array" aca="1" ref="J902" ca="1">IF(ISNUMBER(A902),IFERROR(_xlfn._xlws.FILTER(Equipar!A:A,(Equipar!B:B=3)*(Equipar!AC:AC=A902)),""),"")</f>
        <v/>
      </c>
    </row>
    <row r="903" spans="1:10" x14ac:dyDescent="0.25">
      <c r="A903" s="1" t="str">
        <f ca="1">IF(A902="ID",1,IF(ISBLANK(B903),"",MAX(A$2:A902)+1))</f>
        <v/>
      </c>
      <c r="I903" s="2" t="str">
        <f ca="1">IF(ISNUMBER(A903),
IF(COUNTIFS(Equipar!B:B,3,Equipar!AC:AC,A903),"Equipada",
IF(
  OR(COUNTIFS(Equipar!B:B,3,Equipar!C:C,A903)
 +COUNTIFS(Equipar!B:B,3,Equipar!D:D,A903)
+COUNTIFS(Equipar!B:B,3,Equipar!E:E,A903)
+COUNTIFS(Equipar!B:B,3,Equipar!F:F,A903)
&gt;0,COUNTIF('Set recomendado'!B:B,C903)=0),
"Bloqueada",
"Desechable")),""
)</f>
        <v/>
      </c>
      <c r="J903" t="str" cm="1">
        <f t="array" aca="1" ref="J903" ca="1">IF(ISNUMBER(A903),IFERROR(_xlfn._xlws.FILTER(Equipar!A:A,(Equipar!B:B=3)*(Equipar!AC:AC=A903)),""),"")</f>
        <v/>
      </c>
    </row>
    <row r="904" spans="1:10" x14ac:dyDescent="0.25">
      <c r="A904" s="1" t="str">
        <f ca="1">IF(A903="ID",1,IF(ISBLANK(B904),"",MAX(A$2:A903)+1))</f>
        <v/>
      </c>
      <c r="I904" s="2" t="str">
        <f ca="1">IF(ISNUMBER(A904),
IF(COUNTIFS(Equipar!B:B,3,Equipar!AC:AC,A904),"Equipada",
IF(
  OR(COUNTIFS(Equipar!B:B,3,Equipar!C:C,A904)
 +COUNTIFS(Equipar!B:B,3,Equipar!D:D,A904)
+COUNTIFS(Equipar!B:B,3,Equipar!E:E,A904)
+COUNTIFS(Equipar!B:B,3,Equipar!F:F,A904)
&gt;0,COUNTIF('Set recomendado'!B:B,C904)=0),
"Bloqueada",
"Desechable")),""
)</f>
        <v/>
      </c>
      <c r="J904" t="str" cm="1">
        <f t="array" aca="1" ref="J904" ca="1">IF(ISNUMBER(A904),IFERROR(_xlfn._xlws.FILTER(Equipar!A:A,(Equipar!B:B=3)*(Equipar!AC:AC=A904)),""),"")</f>
        <v/>
      </c>
    </row>
    <row r="905" spans="1:10" x14ac:dyDescent="0.25">
      <c r="A905" s="1" t="str">
        <f ca="1">IF(A904="ID",1,IF(ISBLANK(B905),"",MAX(A$2:A904)+1))</f>
        <v/>
      </c>
      <c r="I905" s="2" t="str">
        <f ca="1">IF(ISNUMBER(A905),
IF(COUNTIFS(Equipar!B:B,3,Equipar!AC:AC,A905),"Equipada",
IF(
  OR(COUNTIFS(Equipar!B:B,3,Equipar!C:C,A905)
 +COUNTIFS(Equipar!B:B,3,Equipar!D:D,A905)
+COUNTIFS(Equipar!B:B,3,Equipar!E:E,A905)
+COUNTIFS(Equipar!B:B,3,Equipar!F:F,A905)
&gt;0,COUNTIF('Set recomendado'!B:B,C905)=0),
"Bloqueada",
"Desechable")),""
)</f>
        <v/>
      </c>
      <c r="J905" t="str" cm="1">
        <f t="array" aca="1" ref="J905" ca="1">IF(ISNUMBER(A905),IFERROR(_xlfn._xlws.FILTER(Equipar!A:A,(Equipar!B:B=3)*(Equipar!AC:AC=A905)),""),"")</f>
        <v/>
      </c>
    </row>
    <row r="906" spans="1:10" x14ac:dyDescent="0.25">
      <c r="A906" s="1" t="str">
        <f ca="1">IF(A905="ID",1,IF(ISBLANK(B906),"",MAX(A$2:A905)+1))</f>
        <v/>
      </c>
      <c r="I906" s="2" t="str">
        <f ca="1">IF(ISNUMBER(A906),
IF(COUNTIFS(Equipar!B:B,3,Equipar!AC:AC,A906),"Equipada",
IF(
  OR(COUNTIFS(Equipar!B:B,3,Equipar!C:C,A906)
 +COUNTIFS(Equipar!B:B,3,Equipar!D:D,A906)
+COUNTIFS(Equipar!B:B,3,Equipar!E:E,A906)
+COUNTIFS(Equipar!B:B,3,Equipar!F:F,A906)
&gt;0,COUNTIF('Set recomendado'!B:B,C906)=0),
"Bloqueada",
"Desechable")),""
)</f>
        <v/>
      </c>
      <c r="J906" t="str" cm="1">
        <f t="array" aca="1" ref="J906" ca="1">IF(ISNUMBER(A906),IFERROR(_xlfn._xlws.FILTER(Equipar!A:A,(Equipar!B:B=3)*(Equipar!AC:AC=A906)),""),"")</f>
        <v/>
      </c>
    </row>
    <row r="907" spans="1:10" x14ac:dyDescent="0.25">
      <c r="A907" s="1" t="str">
        <f ca="1">IF(A906="ID",1,IF(ISBLANK(B907),"",MAX(A$2:A906)+1))</f>
        <v/>
      </c>
      <c r="I907" s="2" t="str">
        <f ca="1">IF(ISNUMBER(A907),
IF(COUNTIFS(Equipar!B:B,3,Equipar!AC:AC,A907),"Equipada",
IF(
  OR(COUNTIFS(Equipar!B:B,3,Equipar!C:C,A907)
 +COUNTIFS(Equipar!B:B,3,Equipar!D:D,A907)
+COUNTIFS(Equipar!B:B,3,Equipar!E:E,A907)
+COUNTIFS(Equipar!B:B,3,Equipar!F:F,A907)
&gt;0,COUNTIF('Set recomendado'!B:B,C907)=0),
"Bloqueada",
"Desechable")),""
)</f>
        <v/>
      </c>
      <c r="J907" t="str" cm="1">
        <f t="array" aca="1" ref="J907" ca="1">IF(ISNUMBER(A907),IFERROR(_xlfn._xlws.FILTER(Equipar!A:A,(Equipar!B:B=3)*(Equipar!AC:AC=A907)),""),"")</f>
        <v/>
      </c>
    </row>
    <row r="908" spans="1:10" x14ac:dyDescent="0.25">
      <c r="A908" s="1" t="str">
        <f ca="1">IF(A907="ID",1,IF(ISBLANK(B908),"",MAX(A$2:A907)+1))</f>
        <v/>
      </c>
      <c r="I908" s="2" t="str">
        <f ca="1">IF(ISNUMBER(A908),
IF(COUNTIFS(Equipar!B:B,3,Equipar!AC:AC,A908),"Equipada",
IF(
  OR(COUNTIFS(Equipar!B:B,3,Equipar!C:C,A908)
 +COUNTIFS(Equipar!B:B,3,Equipar!D:D,A908)
+COUNTIFS(Equipar!B:B,3,Equipar!E:E,A908)
+COUNTIFS(Equipar!B:B,3,Equipar!F:F,A908)
&gt;0,COUNTIF('Set recomendado'!B:B,C908)=0),
"Bloqueada",
"Desechable")),""
)</f>
        <v/>
      </c>
      <c r="J908" t="str" cm="1">
        <f t="array" aca="1" ref="J908" ca="1">IF(ISNUMBER(A908),IFERROR(_xlfn._xlws.FILTER(Equipar!A:A,(Equipar!B:B=3)*(Equipar!AC:AC=A908)),""),"")</f>
        <v/>
      </c>
    </row>
    <row r="909" spans="1:10" x14ac:dyDescent="0.25">
      <c r="A909" s="1" t="str">
        <f ca="1">IF(A908="ID",1,IF(ISBLANK(B909),"",MAX(A$2:A908)+1))</f>
        <v/>
      </c>
      <c r="I909" s="2" t="str">
        <f ca="1">IF(ISNUMBER(A909),
IF(COUNTIFS(Equipar!B:B,3,Equipar!AC:AC,A909),"Equipada",
IF(
  OR(COUNTIFS(Equipar!B:B,3,Equipar!C:C,A909)
 +COUNTIFS(Equipar!B:B,3,Equipar!D:D,A909)
+COUNTIFS(Equipar!B:B,3,Equipar!E:E,A909)
+COUNTIFS(Equipar!B:B,3,Equipar!F:F,A909)
&gt;0,COUNTIF('Set recomendado'!B:B,C909)=0),
"Bloqueada",
"Desechable")),""
)</f>
        <v/>
      </c>
      <c r="J909" t="str" cm="1">
        <f t="array" aca="1" ref="J909" ca="1">IF(ISNUMBER(A909),IFERROR(_xlfn._xlws.FILTER(Equipar!A:A,(Equipar!B:B=3)*(Equipar!AC:AC=A909)),""),"")</f>
        <v/>
      </c>
    </row>
    <row r="910" spans="1:10" x14ac:dyDescent="0.25">
      <c r="A910" s="1" t="str">
        <f ca="1">IF(A909="ID",1,IF(ISBLANK(B910),"",MAX(A$2:A909)+1))</f>
        <v/>
      </c>
      <c r="I910" s="2" t="str">
        <f ca="1">IF(ISNUMBER(A910),
IF(COUNTIFS(Equipar!B:B,3,Equipar!AC:AC,A910),"Equipada",
IF(
  OR(COUNTIFS(Equipar!B:B,3,Equipar!C:C,A910)
 +COUNTIFS(Equipar!B:B,3,Equipar!D:D,A910)
+COUNTIFS(Equipar!B:B,3,Equipar!E:E,A910)
+COUNTIFS(Equipar!B:B,3,Equipar!F:F,A910)
&gt;0,COUNTIF('Set recomendado'!B:B,C910)=0),
"Bloqueada",
"Desechable")),""
)</f>
        <v/>
      </c>
      <c r="J910" t="str" cm="1">
        <f t="array" aca="1" ref="J910" ca="1">IF(ISNUMBER(A910),IFERROR(_xlfn._xlws.FILTER(Equipar!A:A,(Equipar!B:B=3)*(Equipar!AC:AC=A910)),""),"")</f>
        <v/>
      </c>
    </row>
    <row r="911" spans="1:10" x14ac:dyDescent="0.25">
      <c r="A911" s="1" t="str">
        <f ca="1">IF(A910="ID",1,IF(ISBLANK(B911),"",MAX(A$2:A910)+1))</f>
        <v/>
      </c>
      <c r="I911" s="2" t="str">
        <f ca="1">IF(ISNUMBER(A911),
IF(COUNTIFS(Equipar!B:B,3,Equipar!AC:AC,A911),"Equipada",
IF(
  OR(COUNTIFS(Equipar!B:B,3,Equipar!C:C,A911)
 +COUNTIFS(Equipar!B:B,3,Equipar!D:D,A911)
+COUNTIFS(Equipar!B:B,3,Equipar!E:E,A911)
+COUNTIFS(Equipar!B:B,3,Equipar!F:F,A911)
&gt;0,COUNTIF('Set recomendado'!B:B,C911)=0),
"Bloqueada",
"Desechable")),""
)</f>
        <v/>
      </c>
      <c r="J911" t="str" cm="1">
        <f t="array" aca="1" ref="J911" ca="1">IF(ISNUMBER(A911),IFERROR(_xlfn._xlws.FILTER(Equipar!A:A,(Equipar!B:B=3)*(Equipar!AC:AC=A911)),""),"")</f>
        <v/>
      </c>
    </row>
    <row r="912" spans="1:10" x14ac:dyDescent="0.25">
      <c r="A912" s="1" t="str">
        <f ca="1">IF(A911="ID",1,IF(ISBLANK(B912),"",MAX(A$2:A911)+1))</f>
        <v/>
      </c>
      <c r="I912" s="2" t="str">
        <f ca="1">IF(ISNUMBER(A912),
IF(COUNTIFS(Equipar!B:B,3,Equipar!AC:AC,A912),"Equipada",
IF(
  OR(COUNTIFS(Equipar!B:B,3,Equipar!C:C,A912)
 +COUNTIFS(Equipar!B:B,3,Equipar!D:D,A912)
+COUNTIFS(Equipar!B:B,3,Equipar!E:E,A912)
+COUNTIFS(Equipar!B:B,3,Equipar!F:F,A912)
&gt;0,COUNTIF('Set recomendado'!B:B,C912)=0),
"Bloqueada",
"Desechable")),""
)</f>
        <v/>
      </c>
      <c r="J912" t="str" cm="1">
        <f t="array" aca="1" ref="J912" ca="1">IF(ISNUMBER(A912),IFERROR(_xlfn._xlws.FILTER(Equipar!A:A,(Equipar!B:B=3)*(Equipar!AC:AC=A912)),""),"")</f>
        <v/>
      </c>
    </row>
    <row r="913" spans="1:10" x14ac:dyDescent="0.25">
      <c r="A913" s="1" t="str">
        <f ca="1">IF(A912="ID",1,IF(ISBLANK(B913),"",MAX(A$2:A912)+1))</f>
        <v/>
      </c>
      <c r="I913" s="2" t="str">
        <f ca="1">IF(ISNUMBER(A913),
IF(COUNTIFS(Equipar!B:B,3,Equipar!AC:AC,A913),"Equipada",
IF(
  OR(COUNTIFS(Equipar!B:B,3,Equipar!C:C,A913)
 +COUNTIFS(Equipar!B:B,3,Equipar!D:D,A913)
+COUNTIFS(Equipar!B:B,3,Equipar!E:E,A913)
+COUNTIFS(Equipar!B:B,3,Equipar!F:F,A913)
&gt;0,COUNTIF('Set recomendado'!B:B,C913)=0),
"Bloqueada",
"Desechable")),""
)</f>
        <v/>
      </c>
      <c r="J913" t="str" cm="1">
        <f t="array" aca="1" ref="J913" ca="1">IF(ISNUMBER(A913),IFERROR(_xlfn._xlws.FILTER(Equipar!A:A,(Equipar!B:B=3)*(Equipar!AC:AC=A913)),""),"")</f>
        <v/>
      </c>
    </row>
    <row r="914" spans="1:10" x14ac:dyDescent="0.25">
      <c r="A914" s="1" t="str">
        <f ca="1">IF(A913="ID",1,IF(ISBLANK(B914),"",MAX(A$2:A913)+1))</f>
        <v/>
      </c>
      <c r="I914" s="2" t="str">
        <f ca="1">IF(ISNUMBER(A914),
IF(COUNTIFS(Equipar!B:B,3,Equipar!AC:AC,A914),"Equipada",
IF(
  OR(COUNTIFS(Equipar!B:B,3,Equipar!C:C,A914)
 +COUNTIFS(Equipar!B:B,3,Equipar!D:D,A914)
+COUNTIFS(Equipar!B:B,3,Equipar!E:E,A914)
+COUNTIFS(Equipar!B:B,3,Equipar!F:F,A914)
&gt;0,COUNTIF('Set recomendado'!B:B,C914)=0),
"Bloqueada",
"Desechable")),""
)</f>
        <v/>
      </c>
      <c r="J914" t="str" cm="1">
        <f t="array" aca="1" ref="J914" ca="1">IF(ISNUMBER(A914),IFERROR(_xlfn._xlws.FILTER(Equipar!A:A,(Equipar!B:B=3)*(Equipar!AC:AC=A914)),""),"")</f>
        <v/>
      </c>
    </row>
    <row r="915" spans="1:10" x14ac:dyDescent="0.25">
      <c r="A915" s="1" t="str">
        <f ca="1">IF(A914="ID",1,IF(ISBLANK(B915),"",MAX(A$2:A914)+1))</f>
        <v/>
      </c>
      <c r="I915" s="2" t="str">
        <f ca="1">IF(ISNUMBER(A915),
IF(COUNTIFS(Equipar!B:B,3,Equipar!AC:AC,A915),"Equipada",
IF(
  OR(COUNTIFS(Equipar!B:B,3,Equipar!C:C,A915)
 +COUNTIFS(Equipar!B:B,3,Equipar!D:D,A915)
+COUNTIFS(Equipar!B:B,3,Equipar!E:E,A915)
+COUNTIFS(Equipar!B:B,3,Equipar!F:F,A915)
&gt;0,COUNTIF('Set recomendado'!B:B,C915)=0),
"Bloqueada",
"Desechable")),""
)</f>
        <v/>
      </c>
      <c r="J915" t="str" cm="1">
        <f t="array" aca="1" ref="J915" ca="1">IF(ISNUMBER(A915),IFERROR(_xlfn._xlws.FILTER(Equipar!A:A,(Equipar!B:B=3)*(Equipar!AC:AC=A915)),""),"")</f>
        <v/>
      </c>
    </row>
    <row r="916" spans="1:10" x14ac:dyDescent="0.25">
      <c r="A916" s="1" t="str">
        <f ca="1">IF(A915="ID",1,IF(ISBLANK(B916),"",MAX(A$2:A915)+1))</f>
        <v/>
      </c>
      <c r="I916" s="2" t="str">
        <f ca="1">IF(ISNUMBER(A916),
IF(COUNTIFS(Equipar!B:B,3,Equipar!AC:AC,A916),"Equipada",
IF(
  OR(COUNTIFS(Equipar!B:B,3,Equipar!C:C,A916)
 +COUNTIFS(Equipar!B:B,3,Equipar!D:D,A916)
+COUNTIFS(Equipar!B:B,3,Equipar!E:E,A916)
+COUNTIFS(Equipar!B:B,3,Equipar!F:F,A916)
&gt;0,COUNTIF('Set recomendado'!B:B,C916)=0),
"Bloqueada",
"Desechable")),""
)</f>
        <v/>
      </c>
      <c r="J916" t="str" cm="1">
        <f t="array" aca="1" ref="J916" ca="1">IF(ISNUMBER(A916),IFERROR(_xlfn._xlws.FILTER(Equipar!A:A,(Equipar!B:B=3)*(Equipar!AC:AC=A916)),""),"")</f>
        <v/>
      </c>
    </row>
    <row r="917" spans="1:10" x14ac:dyDescent="0.25">
      <c r="A917" s="1" t="str">
        <f ca="1">IF(A916="ID",1,IF(ISBLANK(B917),"",MAX(A$2:A916)+1))</f>
        <v/>
      </c>
      <c r="I917" s="2" t="str">
        <f ca="1">IF(ISNUMBER(A917),
IF(COUNTIFS(Equipar!B:B,3,Equipar!AC:AC,A917),"Equipada",
IF(
  OR(COUNTIFS(Equipar!B:B,3,Equipar!C:C,A917)
 +COUNTIFS(Equipar!B:B,3,Equipar!D:D,A917)
+COUNTIFS(Equipar!B:B,3,Equipar!E:E,A917)
+COUNTIFS(Equipar!B:B,3,Equipar!F:F,A917)
&gt;0,COUNTIF('Set recomendado'!B:B,C917)=0),
"Bloqueada",
"Desechable")),""
)</f>
        <v/>
      </c>
      <c r="J917" t="str" cm="1">
        <f t="array" aca="1" ref="J917" ca="1">IF(ISNUMBER(A917),IFERROR(_xlfn._xlws.FILTER(Equipar!A:A,(Equipar!B:B=3)*(Equipar!AC:AC=A917)),""),"")</f>
        <v/>
      </c>
    </row>
    <row r="918" spans="1:10" x14ac:dyDescent="0.25">
      <c r="A918" s="1" t="str">
        <f ca="1">IF(A917="ID",1,IF(ISBLANK(B918),"",MAX(A$2:A917)+1))</f>
        <v/>
      </c>
      <c r="I918" s="2" t="str">
        <f ca="1">IF(ISNUMBER(A918),
IF(COUNTIFS(Equipar!B:B,3,Equipar!AC:AC,A918),"Equipada",
IF(
  OR(COUNTIFS(Equipar!B:B,3,Equipar!C:C,A918)
 +COUNTIFS(Equipar!B:B,3,Equipar!D:D,A918)
+COUNTIFS(Equipar!B:B,3,Equipar!E:E,A918)
+COUNTIFS(Equipar!B:B,3,Equipar!F:F,A918)
&gt;0,COUNTIF('Set recomendado'!B:B,C918)=0),
"Bloqueada",
"Desechable")),""
)</f>
        <v/>
      </c>
      <c r="J918" t="str" cm="1">
        <f t="array" aca="1" ref="J918" ca="1">IF(ISNUMBER(A918),IFERROR(_xlfn._xlws.FILTER(Equipar!A:A,(Equipar!B:B=3)*(Equipar!AC:AC=A918)),""),"")</f>
        <v/>
      </c>
    </row>
    <row r="919" spans="1:10" x14ac:dyDescent="0.25">
      <c r="A919" s="1" t="str">
        <f ca="1">IF(A918="ID",1,IF(ISBLANK(B919),"",MAX(A$2:A918)+1))</f>
        <v/>
      </c>
      <c r="I919" s="2" t="str">
        <f ca="1">IF(ISNUMBER(A919),
IF(COUNTIFS(Equipar!B:B,3,Equipar!AC:AC,A919),"Equipada",
IF(
  OR(COUNTIFS(Equipar!B:B,3,Equipar!C:C,A919)
 +COUNTIFS(Equipar!B:B,3,Equipar!D:D,A919)
+COUNTIFS(Equipar!B:B,3,Equipar!E:E,A919)
+COUNTIFS(Equipar!B:B,3,Equipar!F:F,A919)
&gt;0,COUNTIF('Set recomendado'!B:B,C919)=0),
"Bloqueada",
"Desechable")),""
)</f>
        <v/>
      </c>
      <c r="J919" t="str" cm="1">
        <f t="array" aca="1" ref="J919" ca="1">IF(ISNUMBER(A919),IFERROR(_xlfn._xlws.FILTER(Equipar!A:A,(Equipar!B:B=3)*(Equipar!AC:AC=A919)),""),"")</f>
        <v/>
      </c>
    </row>
    <row r="920" spans="1:10" x14ac:dyDescent="0.25">
      <c r="A920" s="1" t="str">
        <f ca="1">IF(A919="ID",1,IF(ISBLANK(B920),"",MAX(A$2:A919)+1))</f>
        <v/>
      </c>
      <c r="I920" s="2" t="str">
        <f ca="1">IF(ISNUMBER(A920),
IF(COUNTIFS(Equipar!B:B,3,Equipar!AC:AC,A920),"Equipada",
IF(
  OR(COUNTIFS(Equipar!B:B,3,Equipar!C:C,A920)
 +COUNTIFS(Equipar!B:B,3,Equipar!D:D,A920)
+COUNTIFS(Equipar!B:B,3,Equipar!E:E,A920)
+COUNTIFS(Equipar!B:B,3,Equipar!F:F,A920)
&gt;0,COUNTIF('Set recomendado'!B:B,C920)=0),
"Bloqueada",
"Desechable")),""
)</f>
        <v/>
      </c>
      <c r="J920" t="str" cm="1">
        <f t="array" aca="1" ref="J920" ca="1">IF(ISNUMBER(A920),IFERROR(_xlfn._xlws.FILTER(Equipar!A:A,(Equipar!B:B=3)*(Equipar!AC:AC=A920)),""),"")</f>
        <v/>
      </c>
    </row>
    <row r="921" spans="1:10" x14ac:dyDescent="0.25">
      <c r="A921" s="1" t="str">
        <f ca="1">IF(A920="ID",1,IF(ISBLANK(B921),"",MAX(A$2:A920)+1))</f>
        <v/>
      </c>
      <c r="I921" s="2" t="str">
        <f ca="1">IF(ISNUMBER(A921),
IF(COUNTIFS(Equipar!B:B,3,Equipar!AC:AC,A921),"Equipada",
IF(
  OR(COUNTIFS(Equipar!B:B,3,Equipar!C:C,A921)
 +COUNTIFS(Equipar!B:B,3,Equipar!D:D,A921)
+COUNTIFS(Equipar!B:B,3,Equipar!E:E,A921)
+COUNTIFS(Equipar!B:B,3,Equipar!F:F,A921)
&gt;0,COUNTIF('Set recomendado'!B:B,C921)=0),
"Bloqueada",
"Desechable")),""
)</f>
        <v/>
      </c>
      <c r="J921" t="str" cm="1">
        <f t="array" aca="1" ref="J921" ca="1">IF(ISNUMBER(A921),IFERROR(_xlfn._xlws.FILTER(Equipar!A:A,(Equipar!B:B=3)*(Equipar!AC:AC=A921)),""),"")</f>
        <v/>
      </c>
    </row>
    <row r="922" spans="1:10" x14ac:dyDescent="0.25">
      <c r="A922" s="1" t="str">
        <f ca="1">IF(A921="ID",1,IF(ISBLANK(B922),"",MAX(A$2:A921)+1))</f>
        <v/>
      </c>
      <c r="I922" s="2" t="str">
        <f ca="1">IF(ISNUMBER(A922),
IF(COUNTIFS(Equipar!B:B,3,Equipar!AC:AC,A922),"Equipada",
IF(
  OR(COUNTIFS(Equipar!B:B,3,Equipar!C:C,A922)
 +COUNTIFS(Equipar!B:B,3,Equipar!D:D,A922)
+COUNTIFS(Equipar!B:B,3,Equipar!E:E,A922)
+COUNTIFS(Equipar!B:B,3,Equipar!F:F,A922)
&gt;0,COUNTIF('Set recomendado'!B:B,C922)=0),
"Bloqueada",
"Desechable")),""
)</f>
        <v/>
      </c>
      <c r="J922" t="str" cm="1">
        <f t="array" aca="1" ref="J922" ca="1">IF(ISNUMBER(A922),IFERROR(_xlfn._xlws.FILTER(Equipar!A:A,(Equipar!B:B=3)*(Equipar!AC:AC=A922)),""),"")</f>
        <v/>
      </c>
    </row>
    <row r="923" spans="1:10" x14ac:dyDescent="0.25">
      <c r="A923" s="1" t="str">
        <f ca="1">IF(A922="ID",1,IF(ISBLANK(B923),"",MAX(A$2:A922)+1))</f>
        <v/>
      </c>
      <c r="I923" s="2" t="str">
        <f ca="1">IF(ISNUMBER(A923),
IF(COUNTIFS(Equipar!B:B,3,Equipar!AC:AC,A923),"Equipada",
IF(
  OR(COUNTIFS(Equipar!B:B,3,Equipar!C:C,A923)
 +COUNTIFS(Equipar!B:B,3,Equipar!D:D,A923)
+COUNTIFS(Equipar!B:B,3,Equipar!E:E,A923)
+COUNTIFS(Equipar!B:B,3,Equipar!F:F,A923)
&gt;0,COUNTIF('Set recomendado'!B:B,C923)=0),
"Bloqueada",
"Desechable")),""
)</f>
        <v/>
      </c>
      <c r="J923" t="str" cm="1">
        <f t="array" aca="1" ref="J923" ca="1">IF(ISNUMBER(A923),IFERROR(_xlfn._xlws.FILTER(Equipar!A:A,(Equipar!B:B=3)*(Equipar!AC:AC=A923)),""),"")</f>
        <v/>
      </c>
    </row>
    <row r="924" spans="1:10" x14ac:dyDescent="0.25">
      <c r="A924" s="1" t="str">
        <f ca="1">IF(A923="ID",1,IF(ISBLANK(B924),"",MAX(A$2:A923)+1))</f>
        <v/>
      </c>
      <c r="I924" s="2" t="str">
        <f ca="1">IF(ISNUMBER(A924),
IF(COUNTIFS(Equipar!B:B,3,Equipar!AC:AC,A924),"Equipada",
IF(
  OR(COUNTIFS(Equipar!B:B,3,Equipar!C:C,A924)
 +COUNTIFS(Equipar!B:B,3,Equipar!D:D,A924)
+COUNTIFS(Equipar!B:B,3,Equipar!E:E,A924)
+COUNTIFS(Equipar!B:B,3,Equipar!F:F,A924)
&gt;0,COUNTIF('Set recomendado'!B:B,C924)=0),
"Bloqueada",
"Desechable")),""
)</f>
        <v/>
      </c>
      <c r="J924" t="str" cm="1">
        <f t="array" aca="1" ref="J924" ca="1">IF(ISNUMBER(A924),IFERROR(_xlfn._xlws.FILTER(Equipar!A:A,(Equipar!B:B=3)*(Equipar!AC:AC=A924)),""),"")</f>
        <v/>
      </c>
    </row>
    <row r="925" spans="1:10" x14ac:dyDescent="0.25">
      <c r="A925" s="1" t="str">
        <f ca="1">IF(A924="ID",1,IF(ISBLANK(B925),"",MAX(A$2:A924)+1))</f>
        <v/>
      </c>
      <c r="I925" s="2" t="str">
        <f ca="1">IF(ISNUMBER(A925),
IF(COUNTIFS(Equipar!B:B,3,Equipar!AC:AC,A925),"Equipada",
IF(
  OR(COUNTIFS(Equipar!B:B,3,Equipar!C:C,A925)
 +COUNTIFS(Equipar!B:B,3,Equipar!D:D,A925)
+COUNTIFS(Equipar!B:B,3,Equipar!E:E,A925)
+COUNTIFS(Equipar!B:B,3,Equipar!F:F,A925)
&gt;0,COUNTIF('Set recomendado'!B:B,C925)=0),
"Bloqueada",
"Desechable")),""
)</f>
        <v/>
      </c>
      <c r="J925" t="str" cm="1">
        <f t="array" aca="1" ref="J925" ca="1">IF(ISNUMBER(A925),IFERROR(_xlfn._xlws.FILTER(Equipar!A:A,(Equipar!B:B=3)*(Equipar!AC:AC=A925)),""),"")</f>
        <v/>
      </c>
    </row>
    <row r="926" spans="1:10" x14ac:dyDescent="0.25">
      <c r="A926" s="1" t="str">
        <f ca="1">IF(A925="ID",1,IF(ISBLANK(B926),"",MAX(A$2:A925)+1))</f>
        <v/>
      </c>
      <c r="I926" s="2" t="str">
        <f ca="1">IF(ISNUMBER(A926),
IF(COUNTIFS(Equipar!B:B,3,Equipar!AC:AC,A926),"Equipada",
IF(
  OR(COUNTIFS(Equipar!B:B,3,Equipar!C:C,A926)
 +COUNTIFS(Equipar!B:B,3,Equipar!D:D,A926)
+COUNTIFS(Equipar!B:B,3,Equipar!E:E,A926)
+COUNTIFS(Equipar!B:B,3,Equipar!F:F,A926)
&gt;0,COUNTIF('Set recomendado'!B:B,C926)=0),
"Bloqueada",
"Desechable")),""
)</f>
        <v/>
      </c>
      <c r="J926" t="str" cm="1">
        <f t="array" aca="1" ref="J926" ca="1">IF(ISNUMBER(A926),IFERROR(_xlfn._xlws.FILTER(Equipar!A:A,(Equipar!B:B=3)*(Equipar!AC:AC=A926)),""),"")</f>
        <v/>
      </c>
    </row>
    <row r="927" spans="1:10" x14ac:dyDescent="0.25">
      <c r="A927" s="1" t="str">
        <f ca="1">IF(A926="ID",1,IF(ISBLANK(B927),"",MAX(A$2:A926)+1))</f>
        <v/>
      </c>
      <c r="I927" s="2" t="str">
        <f ca="1">IF(ISNUMBER(A927),
IF(COUNTIFS(Equipar!B:B,3,Equipar!AC:AC,A927),"Equipada",
IF(
  OR(COUNTIFS(Equipar!B:B,3,Equipar!C:C,A927)
 +COUNTIFS(Equipar!B:B,3,Equipar!D:D,A927)
+COUNTIFS(Equipar!B:B,3,Equipar!E:E,A927)
+COUNTIFS(Equipar!B:B,3,Equipar!F:F,A927)
&gt;0,COUNTIF('Set recomendado'!B:B,C927)=0),
"Bloqueada",
"Desechable")),""
)</f>
        <v/>
      </c>
      <c r="J927" t="str" cm="1">
        <f t="array" aca="1" ref="J927" ca="1">IF(ISNUMBER(A927),IFERROR(_xlfn._xlws.FILTER(Equipar!A:A,(Equipar!B:B=3)*(Equipar!AC:AC=A927)),""),"")</f>
        <v/>
      </c>
    </row>
    <row r="928" spans="1:10" x14ac:dyDescent="0.25">
      <c r="A928" s="1" t="str">
        <f ca="1">IF(A927="ID",1,IF(ISBLANK(B928),"",MAX(A$2:A927)+1))</f>
        <v/>
      </c>
      <c r="I928" s="2" t="str">
        <f ca="1">IF(ISNUMBER(A928),
IF(COUNTIFS(Equipar!B:B,3,Equipar!AC:AC,A928),"Equipada",
IF(
  OR(COUNTIFS(Equipar!B:B,3,Equipar!C:C,A928)
 +COUNTIFS(Equipar!B:B,3,Equipar!D:D,A928)
+COUNTIFS(Equipar!B:B,3,Equipar!E:E,A928)
+COUNTIFS(Equipar!B:B,3,Equipar!F:F,A928)
&gt;0,COUNTIF('Set recomendado'!B:B,C928)=0),
"Bloqueada",
"Desechable")),""
)</f>
        <v/>
      </c>
      <c r="J928" t="str" cm="1">
        <f t="array" aca="1" ref="J928" ca="1">IF(ISNUMBER(A928),IFERROR(_xlfn._xlws.FILTER(Equipar!A:A,(Equipar!B:B=3)*(Equipar!AC:AC=A928)),""),"")</f>
        <v/>
      </c>
    </row>
    <row r="929" spans="1:10" x14ac:dyDescent="0.25">
      <c r="A929" s="1" t="str">
        <f ca="1">IF(A928="ID",1,IF(ISBLANK(B929),"",MAX(A$2:A928)+1))</f>
        <v/>
      </c>
      <c r="I929" s="2" t="str">
        <f ca="1">IF(ISNUMBER(A929),
IF(COUNTIFS(Equipar!B:B,3,Equipar!AC:AC,A929),"Equipada",
IF(
  OR(COUNTIFS(Equipar!B:B,3,Equipar!C:C,A929)
 +COUNTIFS(Equipar!B:B,3,Equipar!D:D,A929)
+COUNTIFS(Equipar!B:B,3,Equipar!E:E,A929)
+COUNTIFS(Equipar!B:B,3,Equipar!F:F,A929)
&gt;0,COUNTIF('Set recomendado'!B:B,C929)=0),
"Bloqueada",
"Desechable")),""
)</f>
        <v/>
      </c>
      <c r="J929" t="str" cm="1">
        <f t="array" aca="1" ref="J929" ca="1">IF(ISNUMBER(A929),IFERROR(_xlfn._xlws.FILTER(Equipar!A:A,(Equipar!B:B=3)*(Equipar!AC:AC=A929)),""),"")</f>
        <v/>
      </c>
    </row>
    <row r="930" spans="1:10" x14ac:dyDescent="0.25">
      <c r="A930" s="1" t="str">
        <f ca="1">IF(A929="ID",1,IF(ISBLANK(B930),"",MAX(A$2:A929)+1))</f>
        <v/>
      </c>
      <c r="I930" s="2" t="str">
        <f ca="1">IF(ISNUMBER(A930),
IF(COUNTIFS(Equipar!B:B,3,Equipar!AC:AC,A930),"Equipada",
IF(
  OR(COUNTIFS(Equipar!B:B,3,Equipar!C:C,A930)
 +COUNTIFS(Equipar!B:B,3,Equipar!D:D,A930)
+COUNTIFS(Equipar!B:B,3,Equipar!E:E,A930)
+COUNTIFS(Equipar!B:B,3,Equipar!F:F,A930)
&gt;0,COUNTIF('Set recomendado'!B:B,C930)=0),
"Bloqueada",
"Desechable")),""
)</f>
        <v/>
      </c>
      <c r="J930" t="str" cm="1">
        <f t="array" aca="1" ref="J930" ca="1">IF(ISNUMBER(A930),IFERROR(_xlfn._xlws.FILTER(Equipar!A:A,(Equipar!B:B=3)*(Equipar!AC:AC=A930)),""),"")</f>
        <v/>
      </c>
    </row>
    <row r="931" spans="1:10" x14ac:dyDescent="0.25">
      <c r="A931" s="1" t="str">
        <f ca="1">IF(A930="ID",1,IF(ISBLANK(B931),"",MAX(A$2:A930)+1))</f>
        <v/>
      </c>
      <c r="I931" s="2" t="str">
        <f ca="1">IF(ISNUMBER(A931),
IF(COUNTIFS(Equipar!B:B,3,Equipar!AC:AC,A931),"Equipada",
IF(
  OR(COUNTIFS(Equipar!B:B,3,Equipar!C:C,A931)
 +COUNTIFS(Equipar!B:B,3,Equipar!D:D,A931)
+COUNTIFS(Equipar!B:B,3,Equipar!E:E,A931)
+COUNTIFS(Equipar!B:B,3,Equipar!F:F,A931)
&gt;0,COUNTIF('Set recomendado'!B:B,C931)=0),
"Bloqueada",
"Desechable")),""
)</f>
        <v/>
      </c>
      <c r="J931" t="str" cm="1">
        <f t="array" aca="1" ref="J931" ca="1">IF(ISNUMBER(A931),IFERROR(_xlfn._xlws.FILTER(Equipar!A:A,(Equipar!B:B=3)*(Equipar!AC:AC=A931)),""),"")</f>
        <v/>
      </c>
    </row>
    <row r="932" spans="1:10" x14ac:dyDescent="0.25">
      <c r="A932" s="1" t="str">
        <f ca="1">IF(A931="ID",1,IF(ISBLANK(B932),"",MAX(A$2:A931)+1))</f>
        <v/>
      </c>
      <c r="I932" s="2" t="str">
        <f ca="1">IF(ISNUMBER(A932),
IF(COUNTIFS(Equipar!B:B,3,Equipar!AC:AC,A932),"Equipada",
IF(
  OR(COUNTIFS(Equipar!B:B,3,Equipar!C:C,A932)
 +COUNTIFS(Equipar!B:B,3,Equipar!D:D,A932)
+COUNTIFS(Equipar!B:B,3,Equipar!E:E,A932)
+COUNTIFS(Equipar!B:B,3,Equipar!F:F,A932)
&gt;0,COUNTIF('Set recomendado'!B:B,C932)=0),
"Bloqueada",
"Desechable")),""
)</f>
        <v/>
      </c>
      <c r="J932" t="str" cm="1">
        <f t="array" aca="1" ref="J932" ca="1">IF(ISNUMBER(A932),IFERROR(_xlfn._xlws.FILTER(Equipar!A:A,(Equipar!B:B=3)*(Equipar!AC:AC=A932)),""),"")</f>
        <v/>
      </c>
    </row>
    <row r="933" spans="1:10" x14ac:dyDescent="0.25">
      <c r="A933" s="1" t="str">
        <f ca="1">IF(A932="ID",1,IF(ISBLANK(B933),"",MAX(A$2:A932)+1))</f>
        <v/>
      </c>
      <c r="I933" s="2" t="str">
        <f ca="1">IF(ISNUMBER(A933),
IF(COUNTIFS(Equipar!B:B,3,Equipar!AC:AC,A933),"Equipada",
IF(
  OR(COUNTIFS(Equipar!B:B,3,Equipar!C:C,A933)
 +COUNTIFS(Equipar!B:B,3,Equipar!D:D,A933)
+COUNTIFS(Equipar!B:B,3,Equipar!E:E,A933)
+COUNTIFS(Equipar!B:B,3,Equipar!F:F,A933)
&gt;0,COUNTIF('Set recomendado'!B:B,C933)=0),
"Bloqueada",
"Desechable")),""
)</f>
        <v/>
      </c>
      <c r="J933" t="str" cm="1">
        <f t="array" aca="1" ref="J933" ca="1">IF(ISNUMBER(A933),IFERROR(_xlfn._xlws.FILTER(Equipar!A:A,(Equipar!B:B=3)*(Equipar!AC:AC=A933)),""),"")</f>
        <v/>
      </c>
    </row>
    <row r="934" spans="1:10" x14ac:dyDescent="0.25">
      <c r="A934" s="1" t="str">
        <f ca="1">IF(A933="ID",1,IF(ISBLANK(B934),"",MAX(A$2:A933)+1))</f>
        <v/>
      </c>
      <c r="I934" s="2" t="str">
        <f ca="1">IF(ISNUMBER(A934),
IF(COUNTIFS(Equipar!B:B,3,Equipar!AC:AC,A934),"Equipada",
IF(
  OR(COUNTIFS(Equipar!B:B,3,Equipar!C:C,A934)
 +COUNTIFS(Equipar!B:B,3,Equipar!D:D,A934)
+COUNTIFS(Equipar!B:B,3,Equipar!E:E,A934)
+COUNTIFS(Equipar!B:B,3,Equipar!F:F,A934)
&gt;0,COUNTIF('Set recomendado'!B:B,C934)=0),
"Bloqueada",
"Desechable")),""
)</f>
        <v/>
      </c>
      <c r="J934" t="str" cm="1">
        <f t="array" aca="1" ref="J934" ca="1">IF(ISNUMBER(A934),IFERROR(_xlfn._xlws.FILTER(Equipar!A:A,(Equipar!B:B=3)*(Equipar!AC:AC=A934)),""),"")</f>
        <v/>
      </c>
    </row>
    <row r="935" spans="1:10" x14ac:dyDescent="0.25">
      <c r="A935" s="1" t="str">
        <f ca="1">IF(A934="ID",1,IF(ISBLANK(B935),"",MAX(A$2:A934)+1))</f>
        <v/>
      </c>
      <c r="I935" s="2" t="str">
        <f ca="1">IF(ISNUMBER(A935),
IF(COUNTIFS(Equipar!B:B,3,Equipar!AC:AC,A935),"Equipada",
IF(
  OR(COUNTIFS(Equipar!B:B,3,Equipar!C:C,A935)
 +COUNTIFS(Equipar!B:B,3,Equipar!D:D,A935)
+COUNTIFS(Equipar!B:B,3,Equipar!E:E,A935)
+COUNTIFS(Equipar!B:B,3,Equipar!F:F,A935)
&gt;0,COUNTIF('Set recomendado'!B:B,C935)=0),
"Bloqueada",
"Desechable")),""
)</f>
        <v/>
      </c>
      <c r="J935" t="str" cm="1">
        <f t="array" aca="1" ref="J935" ca="1">IF(ISNUMBER(A935),IFERROR(_xlfn._xlws.FILTER(Equipar!A:A,(Equipar!B:B=3)*(Equipar!AC:AC=A935)),""),"")</f>
        <v/>
      </c>
    </row>
    <row r="936" spans="1:10" x14ac:dyDescent="0.25">
      <c r="A936" s="1" t="str">
        <f ca="1">IF(A935="ID",1,IF(ISBLANK(B936),"",MAX(A$2:A935)+1))</f>
        <v/>
      </c>
      <c r="I936" s="2" t="str">
        <f ca="1">IF(ISNUMBER(A936),
IF(COUNTIFS(Equipar!B:B,3,Equipar!AC:AC,A936),"Equipada",
IF(
  OR(COUNTIFS(Equipar!B:B,3,Equipar!C:C,A936)
 +COUNTIFS(Equipar!B:B,3,Equipar!D:D,A936)
+COUNTIFS(Equipar!B:B,3,Equipar!E:E,A936)
+COUNTIFS(Equipar!B:B,3,Equipar!F:F,A936)
&gt;0,COUNTIF('Set recomendado'!B:B,C936)=0),
"Bloqueada",
"Desechable")),""
)</f>
        <v/>
      </c>
      <c r="J936" t="str" cm="1">
        <f t="array" aca="1" ref="J936" ca="1">IF(ISNUMBER(A936),IFERROR(_xlfn._xlws.FILTER(Equipar!A:A,(Equipar!B:B=3)*(Equipar!AC:AC=A936)),""),"")</f>
        <v/>
      </c>
    </row>
    <row r="937" spans="1:10" x14ac:dyDescent="0.25">
      <c r="A937" s="1" t="str">
        <f ca="1">IF(A936="ID",1,IF(ISBLANK(B937),"",MAX(A$2:A936)+1))</f>
        <v/>
      </c>
      <c r="I937" s="2" t="str">
        <f ca="1">IF(ISNUMBER(A937),
IF(COUNTIFS(Equipar!B:B,3,Equipar!AC:AC,A937),"Equipada",
IF(
  OR(COUNTIFS(Equipar!B:B,3,Equipar!C:C,A937)
 +COUNTIFS(Equipar!B:B,3,Equipar!D:D,A937)
+COUNTIFS(Equipar!B:B,3,Equipar!E:E,A937)
+COUNTIFS(Equipar!B:B,3,Equipar!F:F,A937)
&gt;0,COUNTIF('Set recomendado'!B:B,C937)=0),
"Bloqueada",
"Desechable")),""
)</f>
        <v/>
      </c>
      <c r="J937" t="str" cm="1">
        <f t="array" aca="1" ref="J937" ca="1">IF(ISNUMBER(A937),IFERROR(_xlfn._xlws.FILTER(Equipar!A:A,(Equipar!B:B=3)*(Equipar!AC:AC=A937)),""),"")</f>
        <v/>
      </c>
    </row>
    <row r="938" spans="1:10" x14ac:dyDescent="0.25">
      <c r="A938" s="1" t="str">
        <f ca="1">IF(A937="ID",1,IF(ISBLANK(B938),"",MAX(A$2:A937)+1))</f>
        <v/>
      </c>
      <c r="I938" s="2" t="str">
        <f ca="1">IF(ISNUMBER(A938),
IF(COUNTIFS(Equipar!B:B,3,Equipar!AC:AC,A938),"Equipada",
IF(
  OR(COUNTIFS(Equipar!B:B,3,Equipar!C:C,A938)
 +COUNTIFS(Equipar!B:B,3,Equipar!D:D,A938)
+COUNTIFS(Equipar!B:B,3,Equipar!E:E,A938)
+COUNTIFS(Equipar!B:B,3,Equipar!F:F,A938)
&gt;0,COUNTIF('Set recomendado'!B:B,C938)=0),
"Bloqueada",
"Desechable")),""
)</f>
        <v/>
      </c>
      <c r="J938" t="str" cm="1">
        <f t="array" aca="1" ref="J938" ca="1">IF(ISNUMBER(A938),IFERROR(_xlfn._xlws.FILTER(Equipar!A:A,(Equipar!B:B=3)*(Equipar!AC:AC=A938)),""),"")</f>
        <v/>
      </c>
    </row>
    <row r="939" spans="1:10" x14ac:dyDescent="0.25">
      <c r="A939" s="1" t="str">
        <f ca="1">IF(A938="ID",1,IF(ISBLANK(B939),"",MAX(A$2:A938)+1))</f>
        <v/>
      </c>
      <c r="I939" s="2" t="str">
        <f ca="1">IF(ISNUMBER(A939),
IF(COUNTIFS(Equipar!B:B,3,Equipar!AC:AC,A939),"Equipada",
IF(
  OR(COUNTIFS(Equipar!B:B,3,Equipar!C:C,A939)
 +COUNTIFS(Equipar!B:B,3,Equipar!D:D,A939)
+COUNTIFS(Equipar!B:B,3,Equipar!E:E,A939)
+COUNTIFS(Equipar!B:B,3,Equipar!F:F,A939)
&gt;0,COUNTIF('Set recomendado'!B:B,C939)=0),
"Bloqueada",
"Desechable")),""
)</f>
        <v/>
      </c>
      <c r="J939" t="str" cm="1">
        <f t="array" aca="1" ref="J939" ca="1">IF(ISNUMBER(A939),IFERROR(_xlfn._xlws.FILTER(Equipar!A:A,(Equipar!B:B=3)*(Equipar!AC:AC=A939)),""),"")</f>
        <v/>
      </c>
    </row>
    <row r="940" spans="1:10" x14ac:dyDescent="0.25">
      <c r="A940" s="1" t="str">
        <f ca="1">IF(A939="ID",1,IF(ISBLANK(B940),"",MAX(A$2:A939)+1))</f>
        <v/>
      </c>
      <c r="I940" s="2" t="str">
        <f ca="1">IF(ISNUMBER(A940),
IF(COUNTIFS(Equipar!B:B,3,Equipar!AC:AC,A940),"Equipada",
IF(
  OR(COUNTIFS(Equipar!B:B,3,Equipar!C:C,A940)
 +COUNTIFS(Equipar!B:B,3,Equipar!D:D,A940)
+COUNTIFS(Equipar!B:B,3,Equipar!E:E,A940)
+COUNTIFS(Equipar!B:B,3,Equipar!F:F,A940)
&gt;0,COUNTIF('Set recomendado'!B:B,C940)=0),
"Bloqueada",
"Desechable")),""
)</f>
        <v/>
      </c>
      <c r="J940" t="str" cm="1">
        <f t="array" aca="1" ref="J940" ca="1">IF(ISNUMBER(A940),IFERROR(_xlfn._xlws.FILTER(Equipar!A:A,(Equipar!B:B=3)*(Equipar!AC:AC=A940)),""),"")</f>
        <v/>
      </c>
    </row>
    <row r="941" spans="1:10" x14ac:dyDescent="0.25">
      <c r="A941" s="1" t="str">
        <f ca="1">IF(A940="ID",1,IF(ISBLANK(B941),"",MAX(A$2:A940)+1))</f>
        <v/>
      </c>
      <c r="I941" s="2" t="str">
        <f ca="1">IF(ISNUMBER(A941),
IF(COUNTIFS(Equipar!B:B,3,Equipar!AC:AC,A941),"Equipada",
IF(
  OR(COUNTIFS(Equipar!B:B,3,Equipar!C:C,A941)
 +COUNTIFS(Equipar!B:B,3,Equipar!D:D,A941)
+COUNTIFS(Equipar!B:B,3,Equipar!E:E,A941)
+COUNTIFS(Equipar!B:B,3,Equipar!F:F,A941)
&gt;0,COUNTIF('Set recomendado'!B:B,C941)=0),
"Bloqueada",
"Desechable")),""
)</f>
        <v/>
      </c>
      <c r="J941" t="str" cm="1">
        <f t="array" aca="1" ref="J941" ca="1">IF(ISNUMBER(A941),IFERROR(_xlfn._xlws.FILTER(Equipar!A:A,(Equipar!B:B=3)*(Equipar!AC:AC=A941)),""),"")</f>
        <v/>
      </c>
    </row>
    <row r="942" spans="1:10" x14ac:dyDescent="0.25">
      <c r="A942" s="1" t="str">
        <f ca="1">IF(A941="ID",1,IF(ISBLANK(B942),"",MAX(A$2:A941)+1))</f>
        <v/>
      </c>
      <c r="I942" s="2" t="str">
        <f ca="1">IF(ISNUMBER(A942),
IF(COUNTIFS(Equipar!B:B,3,Equipar!AC:AC,A942),"Equipada",
IF(
  OR(COUNTIFS(Equipar!B:B,3,Equipar!C:C,A942)
 +COUNTIFS(Equipar!B:B,3,Equipar!D:D,A942)
+COUNTIFS(Equipar!B:B,3,Equipar!E:E,A942)
+COUNTIFS(Equipar!B:B,3,Equipar!F:F,A942)
&gt;0,COUNTIF('Set recomendado'!B:B,C942)=0),
"Bloqueada",
"Desechable")),""
)</f>
        <v/>
      </c>
      <c r="J942" t="str" cm="1">
        <f t="array" aca="1" ref="J942" ca="1">IF(ISNUMBER(A942),IFERROR(_xlfn._xlws.FILTER(Equipar!A:A,(Equipar!B:B=3)*(Equipar!AC:AC=A942)),""),"")</f>
        <v/>
      </c>
    </row>
    <row r="943" spans="1:10" x14ac:dyDescent="0.25">
      <c r="A943" s="1" t="str">
        <f ca="1">IF(A942="ID",1,IF(ISBLANK(B943),"",MAX(A$2:A942)+1))</f>
        <v/>
      </c>
      <c r="I943" s="2" t="str">
        <f ca="1">IF(ISNUMBER(A943),
IF(COUNTIFS(Equipar!B:B,3,Equipar!AC:AC,A943),"Equipada",
IF(
  OR(COUNTIFS(Equipar!B:B,3,Equipar!C:C,A943)
 +COUNTIFS(Equipar!B:B,3,Equipar!D:D,A943)
+COUNTIFS(Equipar!B:B,3,Equipar!E:E,A943)
+COUNTIFS(Equipar!B:B,3,Equipar!F:F,A943)
&gt;0,COUNTIF('Set recomendado'!B:B,C943)=0),
"Bloqueada",
"Desechable")),""
)</f>
        <v/>
      </c>
      <c r="J943" t="str" cm="1">
        <f t="array" aca="1" ref="J943" ca="1">IF(ISNUMBER(A943),IFERROR(_xlfn._xlws.FILTER(Equipar!A:A,(Equipar!B:B=3)*(Equipar!AC:AC=A943)),""),"")</f>
        <v/>
      </c>
    </row>
    <row r="944" spans="1:10" x14ac:dyDescent="0.25">
      <c r="A944" s="1" t="str">
        <f ca="1">IF(A943="ID",1,IF(ISBLANK(B944),"",MAX(A$2:A943)+1))</f>
        <v/>
      </c>
      <c r="I944" s="2" t="str">
        <f ca="1">IF(ISNUMBER(A944),
IF(COUNTIFS(Equipar!B:B,3,Equipar!AC:AC,A944),"Equipada",
IF(
  OR(COUNTIFS(Equipar!B:B,3,Equipar!C:C,A944)
 +COUNTIFS(Equipar!B:B,3,Equipar!D:D,A944)
+COUNTIFS(Equipar!B:B,3,Equipar!E:E,A944)
+COUNTIFS(Equipar!B:B,3,Equipar!F:F,A944)
&gt;0,COUNTIF('Set recomendado'!B:B,C944)=0),
"Bloqueada",
"Desechable")),""
)</f>
        <v/>
      </c>
      <c r="J944" t="str" cm="1">
        <f t="array" aca="1" ref="J944" ca="1">IF(ISNUMBER(A944),IFERROR(_xlfn._xlws.FILTER(Equipar!A:A,(Equipar!B:B=3)*(Equipar!AC:AC=A944)),""),"")</f>
        <v/>
      </c>
    </row>
    <row r="945" spans="1:10" x14ac:dyDescent="0.25">
      <c r="A945" s="1" t="str">
        <f ca="1">IF(A944="ID",1,IF(ISBLANK(B945),"",MAX(A$2:A944)+1))</f>
        <v/>
      </c>
      <c r="I945" s="2" t="str">
        <f ca="1">IF(ISNUMBER(A945),
IF(COUNTIFS(Equipar!B:B,3,Equipar!AC:AC,A945),"Equipada",
IF(
  OR(COUNTIFS(Equipar!B:B,3,Equipar!C:C,A945)
 +COUNTIFS(Equipar!B:B,3,Equipar!D:D,A945)
+COUNTIFS(Equipar!B:B,3,Equipar!E:E,A945)
+COUNTIFS(Equipar!B:B,3,Equipar!F:F,A945)
&gt;0,COUNTIF('Set recomendado'!B:B,C945)=0),
"Bloqueada",
"Desechable")),""
)</f>
        <v/>
      </c>
      <c r="J945" t="str" cm="1">
        <f t="array" aca="1" ref="J945" ca="1">IF(ISNUMBER(A945),IFERROR(_xlfn._xlws.FILTER(Equipar!A:A,(Equipar!B:B=3)*(Equipar!AC:AC=A945)),""),"")</f>
        <v/>
      </c>
    </row>
    <row r="946" spans="1:10" x14ac:dyDescent="0.25">
      <c r="A946" s="1" t="str">
        <f ca="1">IF(A945="ID",1,IF(ISBLANK(B946),"",MAX(A$2:A945)+1))</f>
        <v/>
      </c>
      <c r="I946" s="2" t="str">
        <f ca="1">IF(ISNUMBER(A946),
IF(COUNTIFS(Equipar!B:B,3,Equipar!AC:AC,A946),"Equipada",
IF(
  OR(COUNTIFS(Equipar!B:B,3,Equipar!C:C,A946)
 +COUNTIFS(Equipar!B:B,3,Equipar!D:D,A946)
+COUNTIFS(Equipar!B:B,3,Equipar!E:E,A946)
+COUNTIFS(Equipar!B:B,3,Equipar!F:F,A946)
&gt;0,COUNTIF('Set recomendado'!B:B,C946)=0),
"Bloqueada",
"Desechable")),""
)</f>
        <v/>
      </c>
      <c r="J946" t="str" cm="1">
        <f t="array" aca="1" ref="J946" ca="1">IF(ISNUMBER(A946),IFERROR(_xlfn._xlws.FILTER(Equipar!A:A,(Equipar!B:B=3)*(Equipar!AC:AC=A946)),""),"")</f>
        <v/>
      </c>
    </row>
    <row r="947" spans="1:10" x14ac:dyDescent="0.25">
      <c r="A947" s="1" t="str">
        <f ca="1">IF(A946="ID",1,IF(ISBLANK(B947),"",MAX(A$2:A946)+1))</f>
        <v/>
      </c>
      <c r="I947" s="2" t="str">
        <f ca="1">IF(ISNUMBER(A947),
IF(COUNTIFS(Equipar!B:B,3,Equipar!AC:AC,A947),"Equipada",
IF(
  OR(COUNTIFS(Equipar!B:B,3,Equipar!C:C,A947)
 +COUNTIFS(Equipar!B:B,3,Equipar!D:D,A947)
+COUNTIFS(Equipar!B:B,3,Equipar!E:E,A947)
+COUNTIFS(Equipar!B:B,3,Equipar!F:F,A947)
&gt;0,COUNTIF('Set recomendado'!B:B,C947)=0),
"Bloqueada",
"Desechable")),""
)</f>
        <v/>
      </c>
      <c r="J947" t="str" cm="1">
        <f t="array" aca="1" ref="J947" ca="1">IF(ISNUMBER(A947),IFERROR(_xlfn._xlws.FILTER(Equipar!A:A,(Equipar!B:B=3)*(Equipar!AC:AC=A947)),""),"")</f>
        <v/>
      </c>
    </row>
    <row r="948" spans="1:10" x14ac:dyDescent="0.25">
      <c r="A948" s="1" t="str">
        <f ca="1">IF(A947="ID",1,IF(ISBLANK(B948),"",MAX(A$2:A947)+1))</f>
        <v/>
      </c>
      <c r="I948" s="2" t="str">
        <f ca="1">IF(ISNUMBER(A948),
IF(COUNTIFS(Equipar!B:B,3,Equipar!AC:AC,A948),"Equipada",
IF(
  OR(COUNTIFS(Equipar!B:B,3,Equipar!C:C,A948)
 +COUNTIFS(Equipar!B:B,3,Equipar!D:D,A948)
+COUNTIFS(Equipar!B:B,3,Equipar!E:E,A948)
+COUNTIFS(Equipar!B:B,3,Equipar!F:F,A948)
&gt;0,COUNTIF('Set recomendado'!B:B,C948)=0),
"Bloqueada",
"Desechable")),""
)</f>
        <v/>
      </c>
      <c r="J948" t="str" cm="1">
        <f t="array" aca="1" ref="J948" ca="1">IF(ISNUMBER(A948),IFERROR(_xlfn._xlws.FILTER(Equipar!A:A,(Equipar!B:B=3)*(Equipar!AC:AC=A948)),""),"")</f>
        <v/>
      </c>
    </row>
    <row r="949" spans="1:10" x14ac:dyDescent="0.25">
      <c r="A949" s="1" t="str">
        <f ca="1">IF(A948="ID",1,IF(ISBLANK(B949),"",MAX(A$2:A948)+1))</f>
        <v/>
      </c>
      <c r="I949" s="2" t="str">
        <f ca="1">IF(ISNUMBER(A949),
IF(COUNTIFS(Equipar!B:B,3,Equipar!AC:AC,A949),"Equipada",
IF(
  OR(COUNTIFS(Equipar!B:B,3,Equipar!C:C,A949)
 +COUNTIFS(Equipar!B:B,3,Equipar!D:D,A949)
+COUNTIFS(Equipar!B:B,3,Equipar!E:E,A949)
+COUNTIFS(Equipar!B:B,3,Equipar!F:F,A949)
&gt;0,COUNTIF('Set recomendado'!B:B,C949)=0),
"Bloqueada",
"Desechable")),""
)</f>
        <v/>
      </c>
      <c r="J949" t="str" cm="1">
        <f t="array" aca="1" ref="J949" ca="1">IF(ISNUMBER(A949),IFERROR(_xlfn._xlws.FILTER(Equipar!A:A,(Equipar!B:B=3)*(Equipar!AC:AC=A949)),""),"")</f>
        <v/>
      </c>
    </row>
    <row r="950" spans="1:10" x14ac:dyDescent="0.25">
      <c r="A950" s="1" t="str">
        <f ca="1">IF(A949="ID",1,IF(ISBLANK(B950),"",MAX(A$2:A949)+1))</f>
        <v/>
      </c>
      <c r="I950" s="2" t="str">
        <f ca="1">IF(ISNUMBER(A950),
IF(COUNTIFS(Equipar!B:B,3,Equipar!AC:AC,A950),"Equipada",
IF(
  OR(COUNTIFS(Equipar!B:B,3,Equipar!C:C,A950)
 +COUNTIFS(Equipar!B:B,3,Equipar!D:D,A950)
+COUNTIFS(Equipar!B:B,3,Equipar!E:E,A950)
+COUNTIFS(Equipar!B:B,3,Equipar!F:F,A950)
&gt;0,COUNTIF('Set recomendado'!B:B,C950)=0),
"Bloqueada",
"Desechable")),""
)</f>
        <v/>
      </c>
      <c r="J950" t="str" cm="1">
        <f t="array" aca="1" ref="J950" ca="1">IF(ISNUMBER(A950),IFERROR(_xlfn._xlws.FILTER(Equipar!A:A,(Equipar!B:B=3)*(Equipar!AC:AC=A950)),""),"")</f>
        <v/>
      </c>
    </row>
    <row r="951" spans="1:10" x14ac:dyDescent="0.25">
      <c r="A951" s="1" t="str">
        <f ca="1">IF(A950="ID",1,IF(ISBLANK(B951),"",MAX(A$2:A950)+1))</f>
        <v/>
      </c>
      <c r="I951" s="2" t="str">
        <f ca="1">IF(ISNUMBER(A951),
IF(COUNTIFS(Equipar!B:B,3,Equipar!AC:AC,A951),"Equipada",
IF(
  OR(COUNTIFS(Equipar!B:B,3,Equipar!C:C,A951)
 +COUNTIFS(Equipar!B:B,3,Equipar!D:D,A951)
+COUNTIFS(Equipar!B:B,3,Equipar!E:E,A951)
+COUNTIFS(Equipar!B:B,3,Equipar!F:F,A951)
&gt;0,COUNTIF('Set recomendado'!B:B,C951)=0),
"Bloqueada",
"Desechable")),""
)</f>
        <v/>
      </c>
      <c r="J951" t="str" cm="1">
        <f t="array" aca="1" ref="J951" ca="1">IF(ISNUMBER(A951),IFERROR(_xlfn._xlws.FILTER(Equipar!A:A,(Equipar!B:B=3)*(Equipar!AC:AC=A951)),""),"")</f>
        <v/>
      </c>
    </row>
    <row r="952" spans="1:10" x14ac:dyDescent="0.25">
      <c r="A952" s="1" t="str">
        <f ca="1">IF(A951="ID",1,IF(ISBLANK(B952),"",MAX(A$2:A951)+1))</f>
        <v/>
      </c>
      <c r="I952" s="2" t="str">
        <f ca="1">IF(ISNUMBER(A952),
IF(COUNTIFS(Equipar!B:B,3,Equipar!AC:AC,A952),"Equipada",
IF(
  OR(COUNTIFS(Equipar!B:B,3,Equipar!C:C,A952)
 +COUNTIFS(Equipar!B:B,3,Equipar!D:D,A952)
+COUNTIFS(Equipar!B:B,3,Equipar!E:E,A952)
+COUNTIFS(Equipar!B:B,3,Equipar!F:F,A952)
&gt;0,COUNTIF('Set recomendado'!B:B,C952)=0),
"Bloqueada",
"Desechable")),""
)</f>
        <v/>
      </c>
      <c r="J952" t="str" cm="1">
        <f t="array" aca="1" ref="J952" ca="1">IF(ISNUMBER(A952),IFERROR(_xlfn._xlws.FILTER(Equipar!A:A,(Equipar!B:B=3)*(Equipar!AC:AC=A952)),""),"")</f>
        <v/>
      </c>
    </row>
    <row r="953" spans="1:10" x14ac:dyDescent="0.25">
      <c r="A953" s="1" t="str">
        <f ca="1">IF(A952="ID",1,IF(ISBLANK(B953),"",MAX(A$2:A952)+1))</f>
        <v/>
      </c>
      <c r="I953" s="2" t="str">
        <f ca="1">IF(ISNUMBER(A953),
IF(COUNTIFS(Equipar!B:B,3,Equipar!AC:AC,A953),"Equipada",
IF(
  OR(COUNTIFS(Equipar!B:B,3,Equipar!C:C,A953)
 +COUNTIFS(Equipar!B:B,3,Equipar!D:D,A953)
+COUNTIFS(Equipar!B:B,3,Equipar!E:E,A953)
+COUNTIFS(Equipar!B:B,3,Equipar!F:F,A953)
&gt;0,COUNTIF('Set recomendado'!B:B,C953)=0),
"Bloqueada",
"Desechable")),""
)</f>
        <v/>
      </c>
      <c r="J953" t="str" cm="1">
        <f t="array" aca="1" ref="J953" ca="1">IF(ISNUMBER(A953),IFERROR(_xlfn._xlws.FILTER(Equipar!A:A,(Equipar!B:B=3)*(Equipar!AC:AC=A953)),""),"")</f>
        <v/>
      </c>
    </row>
    <row r="954" spans="1:10" x14ac:dyDescent="0.25">
      <c r="A954" s="1" t="str">
        <f ca="1">IF(A953="ID",1,IF(ISBLANK(B954),"",MAX(A$2:A953)+1))</f>
        <v/>
      </c>
      <c r="I954" s="2" t="str">
        <f ca="1">IF(ISNUMBER(A954),
IF(COUNTIFS(Equipar!B:B,3,Equipar!AC:AC,A954),"Equipada",
IF(
  OR(COUNTIFS(Equipar!B:B,3,Equipar!C:C,A954)
 +COUNTIFS(Equipar!B:B,3,Equipar!D:D,A954)
+COUNTIFS(Equipar!B:B,3,Equipar!E:E,A954)
+COUNTIFS(Equipar!B:B,3,Equipar!F:F,A954)
&gt;0,COUNTIF('Set recomendado'!B:B,C954)=0),
"Bloqueada",
"Desechable")),""
)</f>
        <v/>
      </c>
      <c r="J954" t="str" cm="1">
        <f t="array" aca="1" ref="J954" ca="1">IF(ISNUMBER(A954),IFERROR(_xlfn._xlws.FILTER(Equipar!A:A,(Equipar!B:B=3)*(Equipar!AC:AC=A954)),""),"")</f>
        <v/>
      </c>
    </row>
    <row r="955" spans="1:10" x14ac:dyDescent="0.25">
      <c r="A955" s="1" t="str">
        <f ca="1">IF(A954="ID",1,IF(ISBLANK(B955),"",MAX(A$2:A954)+1))</f>
        <v/>
      </c>
      <c r="I955" s="2" t="str">
        <f ca="1">IF(ISNUMBER(A955),
IF(COUNTIFS(Equipar!B:B,3,Equipar!AC:AC,A955),"Equipada",
IF(
  OR(COUNTIFS(Equipar!B:B,3,Equipar!C:C,A955)
 +COUNTIFS(Equipar!B:B,3,Equipar!D:D,A955)
+COUNTIFS(Equipar!B:B,3,Equipar!E:E,A955)
+COUNTIFS(Equipar!B:B,3,Equipar!F:F,A955)
&gt;0,COUNTIF('Set recomendado'!B:B,C955)=0),
"Bloqueada",
"Desechable")),""
)</f>
        <v/>
      </c>
      <c r="J955" t="str" cm="1">
        <f t="array" aca="1" ref="J955" ca="1">IF(ISNUMBER(A955),IFERROR(_xlfn._xlws.FILTER(Equipar!A:A,(Equipar!B:B=3)*(Equipar!AC:AC=A955)),""),"")</f>
        <v/>
      </c>
    </row>
    <row r="956" spans="1:10" x14ac:dyDescent="0.25">
      <c r="A956" s="1" t="str">
        <f ca="1">IF(A955="ID",1,IF(ISBLANK(B956),"",MAX(A$2:A955)+1))</f>
        <v/>
      </c>
      <c r="I956" s="2" t="str">
        <f ca="1">IF(ISNUMBER(A956),
IF(COUNTIFS(Equipar!B:B,3,Equipar!AC:AC,A956),"Equipada",
IF(
  OR(COUNTIFS(Equipar!B:B,3,Equipar!C:C,A956)
 +COUNTIFS(Equipar!B:B,3,Equipar!D:D,A956)
+COUNTIFS(Equipar!B:B,3,Equipar!E:E,A956)
+COUNTIFS(Equipar!B:B,3,Equipar!F:F,A956)
&gt;0,COUNTIF('Set recomendado'!B:B,C956)=0),
"Bloqueada",
"Desechable")),""
)</f>
        <v/>
      </c>
      <c r="J956" t="str" cm="1">
        <f t="array" aca="1" ref="J956" ca="1">IF(ISNUMBER(A956),IFERROR(_xlfn._xlws.FILTER(Equipar!A:A,(Equipar!B:B=3)*(Equipar!AC:AC=A956)),""),"")</f>
        <v/>
      </c>
    </row>
    <row r="957" spans="1:10" x14ac:dyDescent="0.25">
      <c r="A957" s="1" t="str">
        <f ca="1">IF(A956="ID",1,IF(ISBLANK(B957),"",MAX(A$2:A956)+1))</f>
        <v/>
      </c>
      <c r="I957" s="2" t="str">
        <f ca="1">IF(ISNUMBER(A957),
IF(COUNTIFS(Equipar!B:B,3,Equipar!AC:AC,A957),"Equipada",
IF(
  OR(COUNTIFS(Equipar!B:B,3,Equipar!C:C,A957)
 +COUNTIFS(Equipar!B:B,3,Equipar!D:D,A957)
+COUNTIFS(Equipar!B:B,3,Equipar!E:E,A957)
+COUNTIFS(Equipar!B:B,3,Equipar!F:F,A957)
&gt;0,COUNTIF('Set recomendado'!B:B,C957)=0),
"Bloqueada",
"Desechable")),""
)</f>
        <v/>
      </c>
      <c r="J957" t="str" cm="1">
        <f t="array" aca="1" ref="J957" ca="1">IF(ISNUMBER(A957),IFERROR(_xlfn._xlws.FILTER(Equipar!A:A,(Equipar!B:B=3)*(Equipar!AC:AC=A957)),""),"")</f>
        <v/>
      </c>
    </row>
    <row r="958" spans="1:10" x14ac:dyDescent="0.25">
      <c r="A958" s="1" t="str">
        <f ca="1">IF(A957="ID",1,IF(ISBLANK(B958),"",MAX(A$2:A957)+1))</f>
        <v/>
      </c>
      <c r="I958" s="2" t="str">
        <f ca="1">IF(ISNUMBER(A958),
IF(COUNTIFS(Equipar!B:B,3,Equipar!AC:AC,A958),"Equipada",
IF(
  OR(COUNTIFS(Equipar!B:B,3,Equipar!C:C,A958)
 +COUNTIFS(Equipar!B:B,3,Equipar!D:D,A958)
+COUNTIFS(Equipar!B:B,3,Equipar!E:E,A958)
+COUNTIFS(Equipar!B:B,3,Equipar!F:F,A958)
&gt;0,COUNTIF('Set recomendado'!B:B,C958)=0),
"Bloqueada",
"Desechable")),""
)</f>
        <v/>
      </c>
      <c r="J958" t="str" cm="1">
        <f t="array" aca="1" ref="J958" ca="1">IF(ISNUMBER(A958),IFERROR(_xlfn._xlws.FILTER(Equipar!A:A,(Equipar!B:B=3)*(Equipar!AC:AC=A958)),""),"")</f>
        <v/>
      </c>
    </row>
    <row r="959" spans="1:10" x14ac:dyDescent="0.25">
      <c r="A959" s="1" t="str">
        <f ca="1">IF(A958="ID",1,IF(ISBLANK(B959),"",MAX(A$2:A958)+1))</f>
        <v/>
      </c>
      <c r="I959" s="2" t="str">
        <f ca="1">IF(ISNUMBER(A959),
IF(COUNTIFS(Equipar!B:B,3,Equipar!AC:AC,A959),"Equipada",
IF(
  OR(COUNTIFS(Equipar!B:B,3,Equipar!C:C,A959)
 +COUNTIFS(Equipar!B:B,3,Equipar!D:D,A959)
+COUNTIFS(Equipar!B:B,3,Equipar!E:E,A959)
+COUNTIFS(Equipar!B:B,3,Equipar!F:F,A959)
&gt;0,COUNTIF('Set recomendado'!B:B,C959)=0),
"Bloqueada",
"Desechable")),""
)</f>
        <v/>
      </c>
      <c r="J959" t="str" cm="1">
        <f t="array" aca="1" ref="J959" ca="1">IF(ISNUMBER(A959),IFERROR(_xlfn._xlws.FILTER(Equipar!A:A,(Equipar!B:B=3)*(Equipar!AC:AC=A959)),""),"")</f>
        <v/>
      </c>
    </row>
    <row r="960" spans="1:10" x14ac:dyDescent="0.25">
      <c r="A960" s="1" t="str">
        <f ca="1">IF(A959="ID",1,IF(ISBLANK(B960),"",MAX(A$2:A959)+1))</f>
        <v/>
      </c>
      <c r="I960" s="2" t="str">
        <f ca="1">IF(ISNUMBER(A960),
IF(COUNTIFS(Equipar!B:B,3,Equipar!AC:AC,A960),"Equipada",
IF(
  OR(COUNTIFS(Equipar!B:B,3,Equipar!C:C,A960)
 +COUNTIFS(Equipar!B:B,3,Equipar!D:D,A960)
+COUNTIFS(Equipar!B:B,3,Equipar!E:E,A960)
+COUNTIFS(Equipar!B:B,3,Equipar!F:F,A960)
&gt;0,COUNTIF('Set recomendado'!B:B,C960)=0),
"Bloqueada",
"Desechable")),""
)</f>
        <v/>
      </c>
      <c r="J960" t="str" cm="1">
        <f t="array" aca="1" ref="J960" ca="1">IF(ISNUMBER(A960),IFERROR(_xlfn._xlws.FILTER(Equipar!A:A,(Equipar!B:B=3)*(Equipar!AC:AC=A960)),""),"")</f>
        <v/>
      </c>
    </row>
    <row r="961" spans="1:10" x14ac:dyDescent="0.25">
      <c r="A961" s="1" t="str">
        <f ca="1">IF(A960="ID",1,IF(ISBLANK(B961),"",MAX(A$2:A960)+1))</f>
        <v/>
      </c>
      <c r="I961" s="2" t="str">
        <f ca="1">IF(ISNUMBER(A961),
IF(COUNTIFS(Equipar!B:B,3,Equipar!AC:AC,A961),"Equipada",
IF(
  OR(COUNTIFS(Equipar!B:B,3,Equipar!C:C,A961)
 +COUNTIFS(Equipar!B:B,3,Equipar!D:D,A961)
+COUNTIFS(Equipar!B:B,3,Equipar!E:E,A961)
+COUNTIFS(Equipar!B:B,3,Equipar!F:F,A961)
&gt;0,COUNTIF('Set recomendado'!B:B,C961)=0),
"Bloqueada",
"Desechable")),""
)</f>
        <v/>
      </c>
      <c r="J961" t="str" cm="1">
        <f t="array" aca="1" ref="J961" ca="1">IF(ISNUMBER(A961),IFERROR(_xlfn._xlws.FILTER(Equipar!A:A,(Equipar!B:B=3)*(Equipar!AC:AC=A961)),""),"")</f>
        <v/>
      </c>
    </row>
    <row r="962" spans="1:10" x14ac:dyDescent="0.25">
      <c r="A962" s="1" t="str">
        <f ca="1">IF(A961="ID",1,IF(ISBLANK(B962),"",MAX(A$2:A961)+1))</f>
        <v/>
      </c>
      <c r="I962" s="2" t="str">
        <f ca="1">IF(ISNUMBER(A962),
IF(COUNTIFS(Equipar!B:B,3,Equipar!AC:AC,A962),"Equipada",
IF(
  OR(COUNTIFS(Equipar!B:B,3,Equipar!C:C,A962)
 +COUNTIFS(Equipar!B:B,3,Equipar!D:D,A962)
+COUNTIFS(Equipar!B:B,3,Equipar!E:E,A962)
+COUNTIFS(Equipar!B:B,3,Equipar!F:F,A962)
&gt;0,COUNTIF('Set recomendado'!B:B,C962)=0),
"Bloqueada",
"Desechable")),""
)</f>
        <v/>
      </c>
      <c r="J962" t="str" cm="1">
        <f t="array" aca="1" ref="J962" ca="1">IF(ISNUMBER(A962),IFERROR(_xlfn._xlws.FILTER(Equipar!A:A,(Equipar!B:B=3)*(Equipar!AC:AC=A962)),""),"")</f>
        <v/>
      </c>
    </row>
    <row r="963" spans="1:10" x14ac:dyDescent="0.25">
      <c r="A963" s="1" t="str">
        <f ca="1">IF(A962="ID",1,IF(ISBLANK(B963),"",MAX(A$2:A962)+1))</f>
        <v/>
      </c>
      <c r="I963" s="2" t="str">
        <f ca="1">IF(ISNUMBER(A963),
IF(COUNTIFS(Equipar!B:B,3,Equipar!AC:AC,A963),"Equipada",
IF(
  OR(COUNTIFS(Equipar!B:B,3,Equipar!C:C,A963)
 +COUNTIFS(Equipar!B:B,3,Equipar!D:D,A963)
+COUNTIFS(Equipar!B:B,3,Equipar!E:E,A963)
+COUNTIFS(Equipar!B:B,3,Equipar!F:F,A963)
&gt;0,COUNTIF('Set recomendado'!B:B,C963)=0),
"Bloqueada",
"Desechable")),""
)</f>
        <v/>
      </c>
      <c r="J963" t="str" cm="1">
        <f t="array" aca="1" ref="J963" ca="1">IF(ISNUMBER(A963),IFERROR(_xlfn._xlws.FILTER(Equipar!A:A,(Equipar!B:B=3)*(Equipar!AC:AC=A963)),""),"")</f>
        <v/>
      </c>
    </row>
    <row r="964" spans="1:10" x14ac:dyDescent="0.25">
      <c r="A964" s="1" t="str">
        <f ca="1">IF(A963="ID",1,IF(ISBLANK(B964),"",MAX(A$2:A963)+1))</f>
        <v/>
      </c>
      <c r="I964" s="2" t="str">
        <f ca="1">IF(ISNUMBER(A964),
IF(COUNTIFS(Equipar!B:B,3,Equipar!AC:AC,A964),"Equipada",
IF(
  OR(COUNTIFS(Equipar!B:B,3,Equipar!C:C,A964)
 +COUNTIFS(Equipar!B:B,3,Equipar!D:D,A964)
+COUNTIFS(Equipar!B:B,3,Equipar!E:E,A964)
+COUNTIFS(Equipar!B:B,3,Equipar!F:F,A964)
&gt;0,COUNTIF('Set recomendado'!B:B,C964)=0),
"Bloqueada",
"Desechable")),""
)</f>
        <v/>
      </c>
      <c r="J964" t="str" cm="1">
        <f t="array" aca="1" ref="J964" ca="1">IF(ISNUMBER(A964),IFERROR(_xlfn._xlws.FILTER(Equipar!A:A,(Equipar!B:B=3)*(Equipar!AC:AC=A964)),""),"")</f>
        <v/>
      </c>
    </row>
    <row r="965" spans="1:10" x14ac:dyDescent="0.25">
      <c r="A965" s="1" t="str">
        <f ca="1">IF(A964="ID",1,IF(ISBLANK(B965),"",MAX(A$2:A964)+1))</f>
        <v/>
      </c>
      <c r="I965" s="2" t="str">
        <f ca="1">IF(ISNUMBER(A965),
IF(COUNTIFS(Equipar!B:B,3,Equipar!AC:AC,A965),"Equipada",
IF(
  OR(COUNTIFS(Equipar!B:B,3,Equipar!C:C,A965)
 +COUNTIFS(Equipar!B:B,3,Equipar!D:D,A965)
+COUNTIFS(Equipar!B:B,3,Equipar!E:E,A965)
+COUNTIFS(Equipar!B:B,3,Equipar!F:F,A965)
&gt;0,COUNTIF('Set recomendado'!B:B,C965)=0),
"Bloqueada",
"Desechable")),""
)</f>
        <v/>
      </c>
      <c r="J965" t="str" cm="1">
        <f t="array" aca="1" ref="J965" ca="1">IF(ISNUMBER(A965),IFERROR(_xlfn._xlws.FILTER(Equipar!A:A,(Equipar!B:B=3)*(Equipar!AC:AC=A965)),""),"")</f>
        <v/>
      </c>
    </row>
    <row r="966" spans="1:10" x14ac:dyDescent="0.25">
      <c r="A966" s="1" t="str">
        <f ca="1">IF(A965="ID",1,IF(ISBLANK(B966),"",MAX(A$2:A965)+1))</f>
        <v/>
      </c>
      <c r="I966" s="2" t="str">
        <f ca="1">IF(ISNUMBER(A966),
IF(COUNTIFS(Equipar!B:B,3,Equipar!AC:AC,A966),"Equipada",
IF(
  OR(COUNTIFS(Equipar!B:B,3,Equipar!C:C,A966)
 +COUNTIFS(Equipar!B:B,3,Equipar!D:D,A966)
+COUNTIFS(Equipar!B:B,3,Equipar!E:E,A966)
+COUNTIFS(Equipar!B:B,3,Equipar!F:F,A966)
&gt;0,COUNTIF('Set recomendado'!B:B,C966)=0),
"Bloqueada",
"Desechable")),""
)</f>
        <v/>
      </c>
      <c r="J966" t="str" cm="1">
        <f t="array" aca="1" ref="J966" ca="1">IF(ISNUMBER(A966),IFERROR(_xlfn._xlws.FILTER(Equipar!A:A,(Equipar!B:B=3)*(Equipar!AC:AC=A966)),""),"")</f>
        <v/>
      </c>
    </row>
    <row r="967" spans="1:10" x14ac:dyDescent="0.25">
      <c r="A967" s="1" t="str">
        <f ca="1">IF(A966="ID",1,IF(ISBLANK(B967),"",MAX(A$2:A966)+1))</f>
        <v/>
      </c>
      <c r="I967" s="2" t="str">
        <f ca="1">IF(ISNUMBER(A967),
IF(COUNTIFS(Equipar!B:B,3,Equipar!AC:AC,A967),"Equipada",
IF(
  OR(COUNTIFS(Equipar!B:B,3,Equipar!C:C,A967)
 +COUNTIFS(Equipar!B:B,3,Equipar!D:D,A967)
+COUNTIFS(Equipar!B:B,3,Equipar!E:E,A967)
+COUNTIFS(Equipar!B:B,3,Equipar!F:F,A967)
&gt;0,COUNTIF('Set recomendado'!B:B,C967)=0),
"Bloqueada",
"Desechable")),""
)</f>
        <v/>
      </c>
      <c r="J967" t="str" cm="1">
        <f t="array" aca="1" ref="J967" ca="1">IF(ISNUMBER(A967),IFERROR(_xlfn._xlws.FILTER(Equipar!A:A,(Equipar!B:B=3)*(Equipar!AC:AC=A967)),""),"")</f>
        <v/>
      </c>
    </row>
    <row r="968" spans="1:10" x14ac:dyDescent="0.25">
      <c r="A968" s="1" t="str">
        <f ca="1">IF(A967="ID",1,IF(ISBLANK(B968),"",MAX(A$2:A967)+1))</f>
        <v/>
      </c>
      <c r="I968" s="2" t="str">
        <f ca="1">IF(ISNUMBER(A968),
IF(COUNTIFS(Equipar!B:B,3,Equipar!AC:AC,A968),"Equipada",
IF(
  OR(COUNTIFS(Equipar!B:B,3,Equipar!C:C,A968)
 +COUNTIFS(Equipar!B:B,3,Equipar!D:D,A968)
+COUNTIFS(Equipar!B:B,3,Equipar!E:E,A968)
+COUNTIFS(Equipar!B:B,3,Equipar!F:F,A968)
&gt;0,COUNTIF('Set recomendado'!B:B,C968)=0),
"Bloqueada",
"Desechable")),""
)</f>
        <v/>
      </c>
      <c r="J968" t="str" cm="1">
        <f t="array" aca="1" ref="J968" ca="1">IF(ISNUMBER(A968),IFERROR(_xlfn._xlws.FILTER(Equipar!A:A,(Equipar!B:B=3)*(Equipar!AC:AC=A968)),""),"")</f>
        <v/>
      </c>
    </row>
    <row r="969" spans="1:10" x14ac:dyDescent="0.25">
      <c r="A969" s="1" t="str">
        <f ca="1">IF(A968="ID",1,IF(ISBLANK(B969),"",MAX(A$2:A968)+1))</f>
        <v/>
      </c>
      <c r="I969" s="2" t="str">
        <f ca="1">IF(ISNUMBER(A969),
IF(COUNTIFS(Equipar!B:B,3,Equipar!AC:AC,A969),"Equipada",
IF(
  OR(COUNTIFS(Equipar!B:B,3,Equipar!C:C,A969)
 +COUNTIFS(Equipar!B:B,3,Equipar!D:D,A969)
+COUNTIFS(Equipar!B:B,3,Equipar!E:E,A969)
+COUNTIFS(Equipar!B:B,3,Equipar!F:F,A969)
&gt;0,COUNTIF('Set recomendado'!B:B,C969)=0),
"Bloqueada",
"Desechable")),""
)</f>
        <v/>
      </c>
      <c r="J969" t="str" cm="1">
        <f t="array" aca="1" ref="J969" ca="1">IF(ISNUMBER(A969),IFERROR(_xlfn._xlws.FILTER(Equipar!A:A,(Equipar!B:B=3)*(Equipar!AC:AC=A969)),""),"")</f>
        <v/>
      </c>
    </row>
    <row r="970" spans="1:10" x14ac:dyDescent="0.25">
      <c r="A970" s="1" t="str">
        <f ca="1">IF(A969="ID",1,IF(ISBLANK(B970),"",MAX(A$2:A969)+1))</f>
        <v/>
      </c>
      <c r="I970" s="2" t="str">
        <f ca="1">IF(ISNUMBER(A970),
IF(COUNTIFS(Equipar!B:B,3,Equipar!AC:AC,A970),"Equipada",
IF(
  OR(COUNTIFS(Equipar!B:B,3,Equipar!C:C,A970)
 +COUNTIFS(Equipar!B:B,3,Equipar!D:D,A970)
+COUNTIFS(Equipar!B:B,3,Equipar!E:E,A970)
+COUNTIFS(Equipar!B:B,3,Equipar!F:F,A970)
&gt;0,COUNTIF('Set recomendado'!B:B,C970)=0),
"Bloqueada",
"Desechable")),""
)</f>
        <v/>
      </c>
      <c r="J970" t="str" cm="1">
        <f t="array" aca="1" ref="J970" ca="1">IF(ISNUMBER(A970),IFERROR(_xlfn._xlws.FILTER(Equipar!A:A,(Equipar!B:B=3)*(Equipar!AC:AC=A970)),""),"")</f>
        <v/>
      </c>
    </row>
    <row r="971" spans="1:10" x14ac:dyDescent="0.25">
      <c r="A971" s="1" t="str">
        <f ca="1">IF(A970="ID",1,IF(ISBLANK(B971),"",MAX(A$2:A970)+1))</f>
        <v/>
      </c>
      <c r="I971" s="2" t="str">
        <f ca="1">IF(ISNUMBER(A971),
IF(COUNTIFS(Equipar!B:B,3,Equipar!AC:AC,A971),"Equipada",
IF(
  OR(COUNTIFS(Equipar!B:B,3,Equipar!C:C,A971)
 +COUNTIFS(Equipar!B:B,3,Equipar!D:D,A971)
+COUNTIFS(Equipar!B:B,3,Equipar!E:E,A971)
+COUNTIFS(Equipar!B:B,3,Equipar!F:F,A971)
&gt;0,COUNTIF('Set recomendado'!B:B,C971)=0),
"Bloqueada",
"Desechable")),""
)</f>
        <v/>
      </c>
      <c r="J971" t="str" cm="1">
        <f t="array" aca="1" ref="J971" ca="1">IF(ISNUMBER(A971),IFERROR(_xlfn._xlws.FILTER(Equipar!A:A,(Equipar!B:B=3)*(Equipar!AC:AC=A971)),""),"")</f>
        <v/>
      </c>
    </row>
    <row r="972" spans="1:10" x14ac:dyDescent="0.25">
      <c r="A972" s="1" t="str">
        <f ca="1">IF(A971="ID",1,IF(ISBLANK(B972),"",MAX(A$2:A971)+1))</f>
        <v/>
      </c>
      <c r="I972" s="2" t="str">
        <f ca="1">IF(ISNUMBER(A972),
IF(COUNTIFS(Equipar!B:B,3,Equipar!AC:AC,A972),"Equipada",
IF(
  OR(COUNTIFS(Equipar!B:B,3,Equipar!C:C,A972)
 +COUNTIFS(Equipar!B:B,3,Equipar!D:D,A972)
+COUNTIFS(Equipar!B:B,3,Equipar!E:E,A972)
+COUNTIFS(Equipar!B:B,3,Equipar!F:F,A972)
&gt;0,COUNTIF('Set recomendado'!B:B,C972)=0),
"Bloqueada",
"Desechable")),""
)</f>
        <v/>
      </c>
      <c r="J972" t="str" cm="1">
        <f t="array" aca="1" ref="J972" ca="1">IF(ISNUMBER(A972),IFERROR(_xlfn._xlws.FILTER(Equipar!A:A,(Equipar!B:B=3)*(Equipar!AC:AC=A972)),""),"")</f>
        <v/>
      </c>
    </row>
    <row r="973" spans="1:10" x14ac:dyDescent="0.25">
      <c r="A973" s="1" t="str">
        <f ca="1">IF(A972="ID",1,IF(ISBLANK(B973),"",MAX(A$2:A972)+1))</f>
        <v/>
      </c>
      <c r="I973" s="2" t="str">
        <f ca="1">IF(ISNUMBER(A973),
IF(COUNTIFS(Equipar!B:B,3,Equipar!AC:AC,A973),"Equipada",
IF(
  OR(COUNTIFS(Equipar!B:B,3,Equipar!C:C,A973)
 +COUNTIFS(Equipar!B:B,3,Equipar!D:D,A973)
+COUNTIFS(Equipar!B:B,3,Equipar!E:E,A973)
+COUNTIFS(Equipar!B:B,3,Equipar!F:F,A973)
&gt;0,COUNTIF('Set recomendado'!B:B,C973)=0),
"Bloqueada",
"Desechable")),""
)</f>
        <v/>
      </c>
      <c r="J973" t="str" cm="1">
        <f t="array" aca="1" ref="J973" ca="1">IF(ISNUMBER(A973),IFERROR(_xlfn._xlws.FILTER(Equipar!A:A,(Equipar!B:B=3)*(Equipar!AC:AC=A973)),""),"")</f>
        <v/>
      </c>
    </row>
    <row r="974" spans="1:10" x14ac:dyDescent="0.25">
      <c r="A974" s="1" t="str">
        <f ca="1">IF(A973="ID",1,IF(ISBLANK(B974),"",MAX(A$2:A973)+1))</f>
        <v/>
      </c>
      <c r="I974" s="2" t="str">
        <f ca="1">IF(ISNUMBER(A974),
IF(COUNTIFS(Equipar!B:B,3,Equipar!AC:AC,A974),"Equipada",
IF(
  OR(COUNTIFS(Equipar!B:B,3,Equipar!C:C,A974)
 +COUNTIFS(Equipar!B:B,3,Equipar!D:D,A974)
+COUNTIFS(Equipar!B:B,3,Equipar!E:E,A974)
+COUNTIFS(Equipar!B:B,3,Equipar!F:F,A974)
&gt;0,COUNTIF('Set recomendado'!B:B,C974)=0),
"Bloqueada",
"Desechable")),""
)</f>
        <v/>
      </c>
      <c r="J974" t="str" cm="1">
        <f t="array" aca="1" ref="J974" ca="1">IF(ISNUMBER(A974),IFERROR(_xlfn._xlws.FILTER(Equipar!A:A,(Equipar!B:B=3)*(Equipar!AC:AC=A974)),""),"")</f>
        <v/>
      </c>
    </row>
    <row r="975" spans="1:10" x14ac:dyDescent="0.25">
      <c r="A975" s="1" t="str">
        <f ca="1">IF(A974="ID",1,IF(ISBLANK(B975),"",MAX(A$2:A974)+1))</f>
        <v/>
      </c>
      <c r="I975" s="2" t="str">
        <f ca="1">IF(ISNUMBER(A975),
IF(COUNTIFS(Equipar!B:B,3,Equipar!AC:AC,A975),"Equipada",
IF(
  OR(COUNTIFS(Equipar!B:B,3,Equipar!C:C,A975)
 +COUNTIFS(Equipar!B:B,3,Equipar!D:D,A975)
+COUNTIFS(Equipar!B:B,3,Equipar!E:E,A975)
+COUNTIFS(Equipar!B:B,3,Equipar!F:F,A975)
&gt;0,COUNTIF('Set recomendado'!B:B,C975)=0),
"Bloqueada",
"Desechable")),""
)</f>
        <v/>
      </c>
      <c r="J975" t="str" cm="1">
        <f t="array" aca="1" ref="J975" ca="1">IF(ISNUMBER(A975),IFERROR(_xlfn._xlws.FILTER(Equipar!A:A,(Equipar!B:B=3)*(Equipar!AC:AC=A975)),""),"")</f>
        <v/>
      </c>
    </row>
    <row r="976" spans="1:10" x14ac:dyDescent="0.25">
      <c r="A976" s="1" t="str">
        <f ca="1">IF(A975="ID",1,IF(ISBLANK(B976),"",MAX(A$2:A975)+1))</f>
        <v/>
      </c>
      <c r="I976" s="2" t="str">
        <f ca="1">IF(ISNUMBER(A976),
IF(COUNTIFS(Equipar!B:B,3,Equipar!AC:AC,A976),"Equipada",
IF(
  OR(COUNTIFS(Equipar!B:B,3,Equipar!C:C,A976)
 +COUNTIFS(Equipar!B:B,3,Equipar!D:D,A976)
+COUNTIFS(Equipar!B:B,3,Equipar!E:E,A976)
+COUNTIFS(Equipar!B:B,3,Equipar!F:F,A976)
&gt;0,COUNTIF('Set recomendado'!B:B,C976)=0),
"Bloqueada",
"Desechable")),""
)</f>
        <v/>
      </c>
      <c r="J976" t="str" cm="1">
        <f t="array" aca="1" ref="J976" ca="1">IF(ISNUMBER(A976),IFERROR(_xlfn._xlws.FILTER(Equipar!A:A,(Equipar!B:B=3)*(Equipar!AC:AC=A976)),""),"")</f>
        <v/>
      </c>
    </row>
    <row r="977" spans="1:10" x14ac:dyDescent="0.25">
      <c r="A977" s="1" t="str">
        <f ca="1">IF(A976="ID",1,IF(ISBLANK(B977),"",MAX(A$2:A976)+1))</f>
        <v/>
      </c>
      <c r="I977" s="2" t="str">
        <f ca="1">IF(ISNUMBER(A977),
IF(COUNTIFS(Equipar!B:B,3,Equipar!AC:AC,A977),"Equipada",
IF(
  OR(COUNTIFS(Equipar!B:B,3,Equipar!C:C,A977)
 +COUNTIFS(Equipar!B:B,3,Equipar!D:D,A977)
+COUNTIFS(Equipar!B:B,3,Equipar!E:E,A977)
+COUNTIFS(Equipar!B:B,3,Equipar!F:F,A977)
&gt;0,COUNTIF('Set recomendado'!B:B,C977)=0),
"Bloqueada",
"Desechable")),""
)</f>
        <v/>
      </c>
      <c r="J977" t="str" cm="1">
        <f t="array" aca="1" ref="J977" ca="1">IF(ISNUMBER(A977),IFERROR(_xlfn._xlws.FILTER(Equipar!A:A,(Equipar!B:B=3)*(Equipar!AC:AC=A977)),""),"")</f>
        <v/>
      </c>
    </row>
    <row r="978" spans="1:10" x14ac:dyDescent="0.25">
      <c r="A978" s="1" t="str">
        <f ca="1">IF(A977="ID",1,IF(ISBLANK(B978),"",MAX(A$2:A977)+1))</f>
        <v/>
      </c>
      <c r="I978" s="2" t="str">
        <f ca="1">IF(ISNUMBER(A978),
IF(COUNTIFS(Equipar!B:B,3,Equipar!AC:AC,A978),"Equipada",
IF(
  OR(COUNTIFS(Equipar!B:B,3,Equipar!C:C,A978)
 +COUNTIFS(Equipar!B:B,3,Equipar!D:D,A978)
+COUNTIFS(Equipar!B:B,3,Equipar!E:E,A978)
+COUNTIFS(Equipar!B:B,3,Equipar!F:F,A978)
&gt;0,COUNTIF('Set recomendado'!B:B,C978)=0),
"Bloqueada",
"Desechable")),""
)</f>
        <v/>
      </c>
      <c r="J978" t="str" cm="1">
        <f t="array" aca="1" ref="J978" ca="1">IF(ISNUMBER(A978),IFERROR(_xlfn._xlws.FILTER(Equipar!A:A,(Equipar!B:B=3)*(Equipar!AC:AC=A978)),""),"")</f>
        <v/>
      </c>
    </row>
    <row r="979" spans="1:10" x14ac:dyDescent="0.25">
      <c r="A979" s="1" t="str">
        <f ca="1">IF(A978="ID",1,IF(ISBLANK(B979),"",MAX(A$2:A978)+1))</f>
        <v/>
      </c>
      <c r="I979" s="2" t="str">
        <f ca="1">IF(ISNUMBER(A979),
IF(COUNTIFS(Equipar!B:B,3,Equipar!AC:AC,A979),"Equipada",
IF(
  OR(COUNTIFS(Equipar!B:B,3,Equipar!C:C,A979)
 +COUNTIFS(Equipar!B:B,3,Equipar!D:D,A979)
+COUNTIFS(Equipar!B:B,3,Equipar!E:E,A979)
+COUNTIFS(Equipar!B:B,3,Equipar!F:F,A979)
&gt;0,COUNTIF('Set recomendado'!B:B,C979)=0),
"Bloqueada",
"Desechable")),""
)</f>
        <v/>
      </c>
      <c r="J979" t="str" cm="1">
        <f t="array" aca="1" ref="J979" ca="1">IF(ISNUMBER(A979),IFERROR(_xlfn._xlws.FILTER(Equipar!A:A,(Equipar!B:B=3)*(Equipar!AC:AC=A979)),""),"")</f>
        <v/>
      </c>
    </row>
    <row r="980" spans="1:10" x14ac:dyDescent="0.25">
      <c r="A980" s="1" t="str">
        <f ca="1">IF(A979="ID",1,IF(ISBLANK(B980),"",MAX(A$2:A979)+1))</f>
        <v/>
      </c>
      <c r="I980" s="2" t="str">
        <f ca="1">IF(ISNUMBER(A980),
IF(COUNTIFS(Equipar!B:B,3,Equipar!AC:AC,A980),"Equipada",
IF(
  OR(COUNTIFS(Equipar!B:B,3,Equipar!C:C,A980)
 +COUNTIFS(Equipar!B:B,3,Equipar!D:D,A980)
+COUNTIFS(Equipar!B:B,3,Equipar!E:E,A980)
+COUNTIFS(Equipar!B:B,3,Equipar!F:F,A980)
&gt;0,COUNTIF('Set recomendado'!B:B,C980)=0),
"Bloqueada",
"Desechable")),""
)</f>
        <v/>
      </c>
      <c r="J980" t="str" cm="1">
        <f t="array" aca="1" ref="J980" ca="1">IF(ISNUMBER(A980),IFERROR(_xlfn._xlws.FILTER(Equipar!A:A,(Equipar!B:B=3)*(Equipar!AC:AC=A980)),""),"")</f>
        <v/>
      </c>
    </row>
    <row r="981" spans="1:10" x14ac:dyDescent="0.25">
      <c r="A981" s="1" t="str">
        <f ca="1">IF(A980="ID",1,IF(ISBLANK(B981),"",MAX(A$2:A980)+1))</f>
        <v/>
      </c>
      <c r="I981" s="2" t="str">
        <f ca="1">IF(ISNUMBER(A981),
IF(COUNTIFS(Equipar!B:B,3,Equipar!AC:AC,A981),"Equipada",
IF(
  OR(COUNTIFS(Equipar!B:B,3,Equipar!C:C,A981)
 +COUNTIFS(Equipar!B:B,3,Equipar!D:D,A981)
+COUNTIFS(Equipar!B:B,3,Equipar!E:E,A981)
+COUNTIFS(Equipar!B:B,3,Equipar!F:F,A981)
&gt;0,COUNTIF('Set recomendado'!B:B,C981)=0),
"Bloqueada",
"Desechable")),""
)</f>
        <v/>
      </c>
      <c r="J981" t="str" cm="1">
        <f t="array" aca="1" ref="J981" ca="1">IF(ISNUMBER(A981),IFERROR(_xlfn._xlws.FILTER(Equipar!A:A,(Equipar!B:B=3)*(Equipar!AC:AC=A981)),""),"")</f>
        <v/>
      </c>
    </row>
    <row r="982" spans="1:10" x14ac:dyDescent="0.25">
      <c r="A982" s="1" t="str">
        <f ca="1">IF(A981="ID",1,IF(ISBLANK(B982),"",MAX(A$2:A981)+1))</f>
        <v/>
      </c>
      <c r="I982" s="2" t="str">
        <f ca="1">IF(ISNUMBER(A982),
IF(COUNTIFS(Equipar!B:B,3,Equipar!AC:AC,A982),"Equipada",
IF(
  OR(COUNTIFS(Equipar!B:B,3,Equipar!C:C,A982)
 +COUNTIFS(Equipar!B:B,3,Equipar!D:D,A982)
+COUNTIFS(Equipar!B:B,3,Equipar!E:E,A982)
+COUNTIFS(Equipar!B:B,3,Equipar!F:F,A982)
&gt;0,COUNTIF('Set recomendado'!B:B,C982)=0),
"Bloqueada",
"Desechable")),""
)</f>
        <v/>
      </c>
      <c r="J982" t="str" cm="1">
        <f t="array" aca="1" ref="J982" ca="1">IF(ISNUMBER(A982),IFERROR(_xlfn._xlws.FILTER(Equipar!A:A,(Equipar!B:B=3)*(Equipar!AC:AC=A982)),""),"")</f>
        <v/>
      </c>
    </row>
    <row r="983" spans="1:10" x14ac:dyDescent="0.25">
      <c r="A983" s="1" t="str">
        <f ca="1">IF(A982="ID",1,IF(ISBLANK(B983),"",MAX(A$2:A982)+1))</f>
        <v/>
      </c>
      <c r="I983" s="2" t="str">
        <f ca="1">IF(ISNUMBER(A983),
IF(COUNTIFS(Equipar!B:B,3,Equipar!AC:AC,A983),"Equipada",
IF(
  OR(COUNTIFS(Equipar!B:B,3,Equipar!C:C,A983)
 +COUNTIFS(Equipar!B:B,3,Equipar!D:D,A983)
+COUNTIFS(Equipar!B:B,3,Equipar!E:E,A983)
+COUNTIFS(Equipar!B:B,3,Equipar!F:F,A983)
&gt;0,COUNTIF('Set recomendado'!B:B,C983)=0),
"Bloqueada",
"Desechable")),""
)</f>
        <v/>
      </c>
      <c r="J983" t="str" cm="1">
        <f t="array" aca="1" ref="J983" ca="1">IF(ISNUMBER(A983),IFERROR(_xlfn._xlws.FILTER(Equipar!A:A,(Equipar!B:B=3)*(Equipar!AC:AC=A983)),""),"")</f>
        <v/>
      </c>
    </row>
    <row r="984" spans="1:10" x14ac:dyDescent="0.25">
      <c r="A984" s="1" t="str">
        <f ca="1">IF(A983="ID",1,IF(ISBLANK(B984),"",MAX(A$2:A983)+1))</f>
        <v/>
      </c>
      <c r="I984" s="2" t="str">
        <f ca="1">IF(ISNUMBER(A984),
IF(COUNTIFS(Equipar!B:B,3,Equipar!AC:AC,A984),"Equipada",
IF(
  OR(COUNTIFS(Equipar!B:B,3,Equipar!C:C,A984)
 +COUNTIFS(Equipar!B:B,3,Equipar!D:D,A984)
+COUNTIFS(Equipar!B:B,3,Equipar!E:E,A984)
+COUNTIFS(Equipar!B:B,3,Equipar!F:F,A984)
&gt;0,COUNTIF('Set recomendado'!B:B,C984)=0),
"Bloqueada",
"Desechable")),""
)</f>
        <v/>
      </c>
      <c r="J984" t="str" cm="1">
        <f t="array" aca="1" ref="J984" ca="1">IF(ISNUMBER(A984),IFERROR(_xlfn._xlws.FILTER(Equipar!A:A,(Equipar!B:B=3)*(Equipar!AC:AC=A984)),""),"")</f>
        <v/>
      </c>
    </row>
    <row r="985" spans="1:10" x14ac:dyDescent="0.25">
      <c r="A985" s="1" t="str">
        <f ca="1">IF(A984="ID",1,IF(ISBLANK(B985),"",MAX(A$2:A984)+1))</f>
        <v/>
      </c>
      <c r="I985" s="2" t="str">
        <f ca="1">IF(ISNUMBER(A985),
IF(COUNTIFS(Equipar!B:B,3,Equipar!AC:AC,A985),"Equipada",
IF(
  OR(COUNTIFS(Equipar!B:B,3,Equipar!C:C,A985)
 +COUNTIFS(Equipar!B:B,3,Equipar!D:D,A985)
+COUNTIFS(Equipar!B:B,3,Equipar!E:E,A985)
+COUNTIFS(Equipar!B:B,3,Equipar!F:F,A985)
&gt;0,COUNTIF('Set recomendado'!B:B,C985)=0),
"Bloqueada",
"Desechable")),""
)</f>
        <v/>
      </c>
      <c r="J985" t="str" cm="1">
        <f t="array" aca="1" ref="J985" ca="1">IF(ISNUMBER(A985),IFERROR(_xlfn._xlws.FILTER(Equipar!A:A,(Equipar!B:B=3)*(Equipar!AC:AC=A985)),""),"")</f>
        <v/>
      </c>
    </row>
    <row r="986" spans="1:10" x14ac:dyDescent="0.25">
      <c r="A986" s="1" t="str">
        <f ca="1">IF(A985="ID",1,IF(ISBLANK(B986),"",MAX(A$2:A985)+1))</f>
        <v/>
      </c>
      <c r="I986" s="2" t="str">
        <f ca="1">IF(ISNUMBER(A986),
IF(COUNTIFS(Equipar!B:B,3,Equipar!AC:AC,A986),"Equipada",
IF(
  OR(COUNTIFS(Equipar!B:B,3,Equipar!C:C,A986)
 +COUNTIFS(Equipar!B:B,3,Equipar!D:D,A986)
+COUNTIFS(Equipar!B:B,3,Equipar!E:E,A986)
+COUNTIFS(Equipar!B:B,3,Equipar!F:F,A986)
&gt;0,COUNTIF('Set recomendado'!B:B,C986)=0),
"Bloqueada",
"Desechable")),""
)</f>
        <v/>
      </c>
      <c r="J986" t="str" cm="1">
        <f t="array" aca="1" ref="J986" ca="1">IF(ISNUMBER(A986),IFERROR(_xlfn._xlws.FILTER(Equipar!A:A,(Equipar!B:B=3)*(Equipar!AC:AC=A986)),""),"")</f>
        <v/>
      </c>
    </row>
    <row r="987" spans="1:10" x14ac:dyDescent="0.25">
      <c r="A987" s="1" t="str">
        <f ca="1">IF(A986="ID",1,IF(ISBLANK(B987),"",MAX(A$2:A986)+1))</f>
        <v/>
      </c>
      <c r="I987" s="2" t="str">
        <f ca="1">IF(ISNUMBER(A987),
IF(COUNTIFS(Equipar!B:B,3,Equipar!AC:AC,A987),"Equipada",
IF(
  OR(COUNTIFS(Equipar!B:B,3,Equipar!C:C,A987)
 +COUNTIFS(Equipar!B:B,3,Equipar!D:D,A987)
+COUNTIFS(Equipar!B:B,3,Equipar!E:E,A987)
+COUNTIFS(Equipar!B:B,3,Equipar!F:F,A987)
&gt;0,COUNTIF('Set recomendado'!B:B,C987)=0),
"Bloqueada",
"Desechable")),""
)</f>
        <v/>
      </c>
      <c r="J987" t="str" cm="1">
        <f t="array" aca="1" ref="J987" ca="1">IF(ISNUMBER(A987),IFERROR(_xlfn._xlws.FILTER(Equipar!A:A,(Equipar!B:B=3)*(Equipar!AC:AC=A987)),""),"")</f>
        <v/>
      </c>
    </row>
    <row r="988" spans="1:10" x14ac:dyDescent="0.25">
      <c r="A988" s="1" t="str">
        <f ca="1">IF(A987="ID",1,IF(ISBLANK(B988),"",MAX(A$2:A987)+1))</f>
        <v/>
      </c>
      <c r="I988" s="2" t="str">
        <f ca="1">IF(ISNUMBER(A988),
IF(COUNTIFS(Equipar!B:B,3,Equipar!AC:AC,A988),"Equipada",
IF(
  OR(COUNTIFS(Equipar!B:B,3,Equipar!C:C,A988)
 +COUNTIFS(Equipar!B:B,3,Equipar!D:D,A988)
+COUNTIFS(Equipar!B:B,3,Equipar!E:E,A988)
+COUNTIFS(Equipar!B:B,3,Equipar!F:F,A988)
&gt;0,COUNTIF('Set recomendado'!B:B,C988)=0),
"Bloqueada",
"Desechable")),""
)</f>
        <v/>
      </c>
      <c r="J988" t="str" cm="1">
        <f t="array" aca="1" ref="J988" ca="1">IF(ISNUMBER(A988),IFERROR(_xlfn._xlws.FILTER(Equipar!A:A,(Equipar!B:B=3)*(Equipar!AC:AC=A988)),""),"")</f>
        <v/>
      </c>
    </row>
    <row r="989" spans="1:10" x14ac:dyDescent="0.25">
      <c r="A989" s="1" t="str">
        <f ca="1">IF(A988="ID",1,IF(ISBLANK(B989),"",MAX(A$2:A988)+1))</f>
        <v/>
      </c>
      <c r="I989" s="2" t="str">
        <f ca="1">IF(ISNUMBER(A989),
IF(COUNTIFS(Equipar!B:B,3,Equipar!AC:AC,A989),"Equipada",
IF(
  OR(COUNTIFS(Equipar!B:B,3,Equipar!C:C,A989)
 +COUNTIFS(Equipar!B:B,3,Equipar!D:D,A989)
+COUNTIFS(Equipar!B:B,3,Equipar!E:E,A989)
+COUNTIFS(Equipar!B:B,3,Equipar!F:F,A989)
&gt;0,COUNTIF('Set recomendado'!B:B,C989)=0),
"Bloqueada",
"Desechable")),""
)</f>
        <v/>
      </c>
      <c r="J989" t="str" cm="1">
        <f t="array" aca="1" ref="J989" ca="1">IF(ISNUMBER(A989),IFERROR(_xlfn._xlws.FILTER(Equipar!A:A,(Equipar!B:B=3)*(Equipar!AC:AC=A989)),""),"")</f>
        <v/>
      </c>
    </row>
    <row r="990" spans="1:10" x14ac:dyDescent="0.25">
      <c r="A990" s="1" t="str">
        <f ca="1">IF(A989="ID",1,IF(ISBLANK(B990),"",MAX(A$2:A989)+1))</f>
        <v/>
      </c>
      <c r="I990" s="2" t="str">
        <f ca="1">IF(ISNUMBER(A990),
IF(COUNTIFS(Equipar!B:B,3,Equipar!AC:AC,A990),"Equipada",
IF(
  OR(COUNTIFS(Equipar!B:B,3,Equipar!C:C,A990)
 +COUNTIFS(Equipar!B:B,3,Equipar!D:D,A990)
+COUNTIFS(Equipar!B:B,3,Equipar!E:E,A990)
+COUNTIFS(Equipar!B:B,3,Equipar!F:F,A990)
&gt;0,COUNTIF('Set recomendado'!B:B,C990)=0),
"Bloqueada",
"Desechable")),""
)</f>
        <v/>
      </c>
      <c r="J990" t="str" cm="1">
        <f t="array" aca="1" ref="J990" ca="1">IF(ISNUMBER(A990),IFERROR(_xlfn._xlws.FILTER(Equipar!A:A,(Equipar!B:B=3)*(Equipar!AC:AC=A990)),""),"")</f>
        <v/>
      </c>
    </row>
    <row r="991" spans="1:10" x14ac:dyDescent="0.25">
      <c r="A991" s="1" t="str">
        <f ca="1">IF(A990="ID",1,IF(ISBLANK(B991),"",MAX(A$2:A990)+1))</f>
        <v/>
      </c>
      <c r="I991" s="2" t="str">
        <f ca="1">IF(ISNUMBER(A991),
IF(COUNTIFS(Equipar!B:B,3,Equipar!AC:AC,A991),"Equipada",
IF(
  OR(COUNTIFS(Equipar!B:B,3,Equipar!C:C,A991)
 +COUNTIFS(Equipar!B:B,3,Equipar!D:D,A991)
+COUNTIFS(Equipar!B:B,3,Equipar!E:E,A991)
+COUNTIFS(Equipar!B:B,3,Equipar!F:F,A991)
&gt;0,COUNTIF('Set recomendado'!B:B,C991)=0),
"Bloqueada",
"Desechable")),""
)</f>
        <v/>
      </c>
      <c r="J991" t="str" cm="1">
        <f t="array" aca="1" ref="J991" ca="1">IF(ISNUMBER(A991),IFERROR(_xlfn._xlws.FILTER(Equipar!A:A,(Equipar!B:B=3)*(Equipar!AC:AC=A991)),""),"")</f>
        <v/>
      </c>
    </row>
    <row r="992" spans="1:10" x14ac:dyDescent="0.25">
      <c r="A992" s="1" t="str">
        <f ca="1">IF(A991="ID",1,IF(ISBLANK(B992),"",MAX(A$2:A991)+1))</f>
        <v/>
      </c>
      <c r="I992" s="2" t="str">
        <f ca="1">IF(ISNUMBER(A992),
IF(COUNTIFS(Equipar!B:B,3,Equipar!AC:AC,A992),"Equipada",
IF(
  OR(COUNTIFS(Equipar!B:B,3,Equipar!C:C,A992)
 +COUNTIFS(Equipar!B:B,3,Equipar!D:D,A992)
+COUNTIFS(Equipar!B:B,3,Equipar!E:E,A992)
+COUNTIFS(Equipar!B:B,3,Equipar!F:F,A992)
&gt;0,COUNTIF('Set recomendado'!B:B,C992)=0),
"Bloqueada",
"Desechable")),""
)</f>
        <v/>
      </c>
      <c r="J992" t="str" cm="1">
        <f t="array" aca="1" ref="J992" ca="1">IF(ISNUMBER(A992),IFERROR(_xlfn._xlws.FILTER(Equipar!A:A,(Equipar!B:B=3)*(Equipar!AC:AC=A992)),""),"")</f>
        <v/>
      </c>
    </row>
    <row r="993" spans="1:10" x14ac:dyDescent="0.25">
      <c r="A993" s="1" t="str">
        <f ca="1">IF(A992="ID",1,IF(ISBLANK(B993),"",MAX(A$2:A992)+1))</f>
        <v/>
      </c>
      <c r="I993" s="2" t="str">
        <f ca="1">IF(ISNUMBER(A993),
IF(COUNTIFS(Equipar!B:B,3,Equipar!AC:AC,A993),"Equipada",
IF(
  OR(COUNTIFS(Equipar!B:B,3,Equipar!C:C,A993)
 +COUNTIFS(Equipar!B:B,3,Equipar!D:D,A993)
+COUNTIFS(Equipar!B:B,3,Equipar!E:E,A993)
+COUNTIFS(Equipar!B:B,3,Equipar!F:F,A993)
&gt;0,COUNTIF('Set recomendado'!B:B,C993)=0),
"Bloqueada",
"Desechable")),""
)</f>
        <v/>
      </c>
      <c r="J993" t="str" cm="1">
        <f t="array" aca="1" ref="J993" ca="1">IF(ISNUMBER(A993),IFERROR(_xlfn._xlws.FILTER(Equipar!A:A,(Equipar!B:B=3)*(Equipar!AC:AC=A993)),""),"")</f>
        <v/>
      </c>
    </row>
    <row r="994" spans="1:10" x14ac:dyDescent="0.25">
      <c r="A994" s="1" t="str">
        <f ca="1">IF(A993="ID",1,IF(ISBLANK(B994),"",MAX(A$2:A993)+1))</f>
        <v/>
      </c>
      <c r="I994" s="2" t="str">
        <f ca="1">IF(ISNUMBER(A994),
IF(COUNTIFS(Equipar!B:B,3,Equipar!AC:AC,A994),"Equipada",
IF(
  OR(COUNTIFS(Equipar!B:B,3,Equipar!C:C,A994)
 +COUNTIFS(Equipar!B:B,3,Equipar!D:D,A994)
+COUNTIFS(Equipar!B:B,3,Equipar!E:E,A994)
+COUNTIFS(Equipar!B:B,3,Equipar!F:F,A994)
&gt;0,COUNTIF('Set recomendado'!B:B,C994)=0),
"Bloqueada",
"Desechable")),""
)</f>
        <v/>
      </c>
      <c r="J994" t="str" cm="1">
        <f t="array" aca="1" ref="J994" ca="1">IF(ISNUMBER(A994),IFERROR(_xlfn._xlws.FILTER(Equipar!A:A,(Equipar!B:B=3)*(Equipar!AC:AC=A994)),""),"")</f>
        <v/>
      </c>
    </row>
    <row r="995" spans="1:10" x14ac:dyDescent="0.25">
      <c r="A995" s="1" t="str">
        <f ca="1">IF(A994="ID",1,IF(ISBLANK(B995),"",MAX(A$2:A994)+1))</f>
        <v/>
      </c>
      <c r="I995" s="2" t="str">
        <f ca="1">IF(ISNUMBER(A995),
IF(COUNTIFS(Equipar!B:B,3,Equipar!AC:AC,A995),"Equipada",
IF(
  OR(COUNTIFS(Equipar!B:B,3,Equipar!C:C,A995)
 +COUNTIFS(Equipar!B:B,3,Equipar!D:D,A995)
+COUNTIFS(Equipar!B:B,3,Equipar!E:E,A995)
+COUNTIFS(Equipar!B:B,3,Equipar!F:F,A995)
&gt;0,COUNTIF('Set recomendado'!B:B,C995)=0),
"Bloqueada",
"Desechable")),""
)</f>
        <v/>
      </c>
      <c r="J995" t="str" cm="1">
        <f t="array" aca="1" ref="J995" ca="1">IF(ISNUMBER(A995),IFERROR(_xlfn._xlws.FILTER(Equipar!A:A,(Equipar!B:B=3)*(Equipar!AC:AC=A995)),""),"")</f>
        <v/>
      </c>
    </row>
    <row r="996" spans="1:10" x14ac:dyDescent="0.25">
      <c r="A996" s="1" t="str">
        <f ca="1">IF(A995="ID",1,IF(ISBLANK(B996),"",MAX(A$2:A995)+1))</f>
        <v/>
      </c>
      <c r="I996" s="2" t="str">
        <f ca="1">IF(ISNUMBER(A996),
IF(COUNTIFS(Equipar!B:B,3,Equipar!AC:AC,A996),"Equipada",
IF(
  OR(COUNTIFS(Equipar!B:B,3,Equipar!C:C,A996)
 +COUNTIFS(Equipar!B:B,3,Equipar!D:D,A996)
+COUNTIFS(Equipar!B:B,3,Equipar!E:E,A996)
+COUNTIFS(Equipar!B:B,3,Equipar!F:F,A996)
&gt;0,COUNTIF('Set recomendado'!B:B,C996)=0),
"Bloqueada",
"Desechable")),""
)</f>
        <v/>
      </c>
      <c r="J996" t="str" cm="1">
        <f t="array" aca="1" ref="J996" ca="1">IF(ISNUMBER(A996),IFERROR(_xlfn._xlws.FILTER(Equipar!A:A,(Equipar!B:B=3)*(Equipar!AC:AC=A996)),""),"")</f>
        <v/>
      </c>
    </row>
    <row r="997" spans="1:10" x14ac:dyDescent="0.25">
      <c r="A997" s="1" t="str">
        <f ca="1">IF(A996="ID",1,IF(ISBLANK(B997),"",MAX(A$2:A996)+1))</f>
        <v/>
      </c>
      <c r="I997" s="2" t="str">
        <f ca="1">IF(ISNUMBER(A997),
IF(COUNTIFS(Equipar!B:B,3,Equipar!AC:AC,A997),"Equipada",
IF(
  OR(COUNTIFS(Equipar!B:B,3,Equipar!C:C,A997)
 +COUNTIFS(Equipar!B:B,3,Equipar!D:D,A997)
+COUNTIFS(Equipar!B:B,3,Equipar!E:E,A997)
+COUNTIFS(Equipar!B:B,3,Equipar!F:F,A997)
&gt;0,COUNTIF('Set recomendado'!B:B,C997)=0),
"Bloqueada",
"Desechable")),""
)</f>
        <v/>
      </c>
      <c r="J997" t="str" cm="1">
        <f t="array" aca="1" ref="J997" ca="1">IF(ISNUMBER(A997),IFERROR(_xlfn._xlws.FILTER(Equipar!A:A,(Equipar!B:B=3)*(Equipar!AC:AC=A997)),""),"")</f>
        <v/>
      </c>
    </row>
    <row r="998" spans="1:10" x14ac:dyDescent="0.25">
      <c r="A998" s="1" t="str">
        <f ca="1">IF(A997="ID",1,IF(ISBLANK(B998),"",MAX(A$2:A997)+1))</f>
        <v/>
      </c>
      <c r="I998" s="2" t="str">
        <f ca="1">IF(ISNUMBER(A998),
IF(COUNTIFS(Equipar!B:B,3,Equipar!AC:AC,A998),"Equipada",
IF(
  OR(COUNTIFS(Equipar!B:B,3,Equipar!C:C,A998)
 +COUNTIFS(Equipar!B:B,3,Equipar!D:D,A998)
+COUNTIFS(Equipar!B:B,3,Equipar!E:E,A998)
+COUNTIFS(Equipar!B:B,3,Equipar!F:F,A998)
&gt;0,COUNTIF('Set recomendado'!B:B,C998)=0),
"Bloqueada",
"Desechable")),""
)</f>
        <v/>
      </c>
      <c r="J998" t="str" cm="1">
        <f t="array" aca="1" ref="J998" ca="1">IF(ISNUMBER(A998),IFERROR(_xlfn._xlws.FILTER(Equipar!A:A,(Equipar!B:B=3)*(Equipar!AC:AC=A998)),""),"")</f>
        <v/>
      </c>
    </row>
    <row r="999" spans="1:10" x14ac:dyDescent="0.25">
      <c r="A999" s="1" t="str">
        <f ca="1">IF(A998="ID",1,IF(ISBLANK(B999),"",MAX(A$2:A998)+1))</f>
        <v/>
      </c>
      <c r="I999" s="2" t="str">
        <f ca="1">IF(ISNUMBER(A999),
IF(COUNTIFS(Equipar!B:B,3,Equipar!AC:AC,A999),"Equipada",
IF(
  OR(COUNTIFS(Equipar!B:B,3,Equipar!C:C,A999)
 +COUNTIFS(Equipar!B:B,3,Equipar!D:D,A999)
+COUNTIFS(Equipar!B:B,3,Equipar!E:E,A999)
+COUNTIFS(Equipar!B:B,3,Equipar!F:F,A999)
&gt;0,COUNTIF('Set recomendado'!B:B,C999)=0),
"Bloqueada",
"Desechable")),""
)</f>
        <v/>
      </c>
      <c r="J999" t="str" cm="1">
        <f t="array" aca="1" ref="J999" ca="1">IF(ISNUMBER(A999),IFERROR(_xlfn._xlws.FILTER(Equipar!A:A,(Equipar!B:B=3)*(Equipar!AC:AC=A999)),""),"")</f>
        <v/>
      </c>
    </row>
    <row r="1000" spans="1:10" x14ac:dyDescent="0.25">
      <c r="A1000" s="1" t="str">
        <f ca="1">IF(A999="ID",1,IF(ISBLANK(B1000),"",MAX(A$2:A999)+1))</f>
        <v/>
      </c>
      <c r="I1000" s="2" t="str">
        <f ca="1">IF(ISNUMBER(A1000),
IF(COUNTIFS(Equipar!B:B,3,Equipar!AC:AC,A1000),"Equipada",
IF(
  OR(COUNTIFS(Equipar!B:B,3,Equipar!C:C,A1000)
 +COUNTIFS(Equipar!B:B,3,Equipar!D:D,A1000)
+COUNTIFS(Equipar!B:B,3,Equipar!E:E,A1000)
+COUNTIFS(Equipar!B:B,3,Equipar!F:F,A1000)
&gt;0,COUNTIF('Set recomendado'!B:B,C1000)=0),
"Bloqueada",
"Desechable")),""
)</f>
        <v/>
      </c>
      <c r="J1000" t="str" cm="1">
        <f t="array" aca="1" ref="J1000" ca="1">IF(ISNUMBER(A1000),IFERROR(_xlfn._xlws.FILTER(Equipar!A:A,(Equipar!B:B=3)*(Equipar!AC:AC=A1000)),""),"")</f>
        <v/>
      </c>
    </row>
  </sheetData>
  <autoFilter ref="A1:K213" xr:uid="{0AD55984-8E11-44DB-A0EC-75CD9486699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9818-E0EE-4E3A-BE9E-86A315C1842E}">
  <dimension ref="A1:K1000"/>
  <sheetViews>
    <sheetView workbookViewId="0">
      <selection activeCell="K1" sqref="K1:K1048576"/>
    </sheetView>
  </sheetViews>
  <sheetFormatPr baseColWidth="10" defaultColWidth="9.140625" defaultRowHeight="15" x14ac:dyDescent="0.25"/>
  <cols>
    <col min="1" max="1" width="5" bestFit="1" customWidth="1"/>
    <col min="2" max="2" width="10.7109375" bestFit="1" customWidth="1"/>
    <col min="3" max="3" width="23.28515625" bestFit="1" customWidth="1"/>
    <col min="4" max="4" width="13.140625" bestFit="1" customWidth="1"/>
    <col min="5" max="7" width="16.85546875" bestFit="1" customWidth="1"/>
    <col min="8" max="8" width="15.7109375" bestFit="1" customWidth="1"/>
    <col min="9" max="9" width="12.42578125" bestFit="1" customWidth="1"/>
    <col min="10" max="10" width="11.28515625" bestFit="1" customWidth="1"/>
    <col min="11" max="11" width="8.28515625" bestFit="1" customWidth="1"/>
  </cols>
  <sheetData>
    <row r="1" spans="1:1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t="s">
        <v>94</v>
      </c>
      <c r="J1" s="1" t="s">
        <v>0</v>
      </c>
      <c r="K1" s="1"/>
    </row>
    <row r="2" spans="1:11" x14ac:dyDescent="0.25">
      <c r="A2" s="1">
        <v>8</v>
      </c>
      <c r="B2" s="1" t="s">
        <v>54</v>
      </c>
      <c r="C2" s="1" t="s">
        <v>4</v>
      </c>
      <c r="D2" s="1" t="s">
        <v>38</v>
      </c>
      <c r="E2" s="1" t="s">
        <v>38</v>
      </c>
      <c r="F2" s="1" t="s">
        <v>34</v>
      </c>
      <c r="G2" s="1"/>
      <c r="H2" s="1"/>
      <c r="I2" s="2" t="str">
        <f ca="1">IF(ISNUMBER(A2),
IF(COUNTIFS(Equipar!B:B,4,Equipar!AC:AC,A2),"Equipada",
IF(
  OR(COUNTIFS(Equipar!B:B,4,Equipar!C:C,A2)
 +COUNTIFS(Equipar!B:B,4,Equipar!D:D,A2)
+COUNTIFS(Equipar!B:B,4,Equipar!E:E,A2)
+COUNTIFS(Equipar!B:B,4,Equipar!F:F,A2)
&gt;0,COUNTIF('Set recomendado'!B:B,C2)=0),
"Bloqueada",
"Desechable")),""
)</f>
        <v>Bloqueada</v>
      </c>
      <c r="J2" t="str" cm="1">
        <f t="array" ref="J2">IF(ISNUMBER(A2),IFERROR(_xlfn._xlws.FILTER(Equipar!A:A,(Equipar!B:B=4)*(Equipar!AC:AC=A2)),""),"")</f>
        <v/>
      </c>
    </row>
    <row r="3" spans="1:11" x14ac:dyDescent="0.25">
      <c r="A3" s="1">
        <v>9</v>
      </c>
      <c r="B3" s="1" t="s">
        <v>54</v>
      </c>
      <c r="C3" s="1" t="s">
        <v>4</v>
      </c>
      <c r="D3" s="1" t="s">
        <v>43</v>
      </c>
      <c r="E3" s="1" t="s">
        <v>32</v>
      </c>
      <c r="F3" s="1" t="s">
        <v>36</v>
      </c>
      <c r="G3" s="1" t="s">
        <v>35</v>
      </c>
      <c r="H3" s="1" t="s">
        <v>43</v>
      </c>
      <c r="I3" s="2" t="str">
        <f>IF(ISNUMBER(A3),
IF(COUNTIFS(Equipar!B:B,4,Equipar!AC:AC,A3),"Equipada",
IF(
  OR(COUNTIFS(Equipar!B:B,4,Equipar!C:C,A3)
 +COUNTIFS(Equipar!B:B,4,Equipar!D:D,A3)
+COUNTIFS(Equipar!B:B,4,Equipar!E:E,A3)
+COUNTIFS(Equipar!B:B,4,Equipar!F:F,A3)
&gt;0,COUNTIF('Set recomendado'!B:B,C3)=0),
"Bloqueada",
"Desechable")),""
)</f>
        <v>Equipada</v>
      </c>
      <c r="J3" t="str" cm="1">
        <f t="array" ref="J3">IF(ISNUMBER(A3),IFERROR(_xlfn._xlws.FILTER(Equipar!A:A,(Equipar!B:B=4)*(Equipar!AC:AC=A3)),""),"")</f>
        <v>Ojiro</v>
      </c>
    </row>
    <row r="4" spans="1:11" x14ac:dyDescent="0.25">
      <c r="A4" s="1">
        <v>12</v>
      </c>
      <c r="B4" s="1" t="s">
        <v>54</v>
      </c>
      <c r="C4" s="1" t="s">
        <v>4</v>
      </c>
      <c r="D4" s="1" t="s">
        <v>38</v>
      </c>
      <c r="E4" s="1" t="s">
        <v>33</v>
      </c>
      <c r="F4" s="1" t="s">
        <v>36</v>
      </c>
      <c r="G4" s="1"/>
      <c r="H4" s="1"/>
      <c r="I4" s="2" t="str">
        <f ca="1">IF(ISNUMBER(A4),
IF(COUNTIFS(Equipar!B:B,4,Equipar!AC:AC,A4),"Equipada",
IF(
  OR(COUNTIFS(Equipar!B:B,4,Equipar!C:C,A4)
 +COUNTIFS(Equipar!B:B,4,Equipar!D:D,A4)
+COUNTIFS(Equipar!B:B,4,Equipar!E:E,A4)
+COUNTIFS(Equipar!B:B,4,Equipar!F:F,A4)
&gt;0,COUNTIF('Set recomendado'!B:B,C4)=0),
"Bloqueada",
"Desechable")),""
)</f>
        <v>Desechable</v>
      </c>
      <c r="J4" t="str" cm="1">
        <f t="array" ref="J4">IF(ISNUMBER(A4),IFERROR(_xlfn._xlws.FILTER(Equipar!A:A,(Equipar!B:B=4)*(Equipar!AC:AC=A4)),""),"")</f>
        <v/>
      </c>
    </row>
    <row r="5" spans="1:11" x14ac:dyDescent="0.25">
      <c r="A5" s="1">
        <v>15</v>
      </c>
      <c r="B5" s="1" t="s">
        <v>54</v>
      </c>
      <c r="C5" s="1" t="s">
        <v>5</v>
      </c>
      <c r="D5" s="1" t="s">
        <v>40</v>
      </c>
      <c r="E5" s="1" t="s">
        <v>32</v>
      </c>
      <c r="F5" s="1" t="s">
        <v>42</v>
      </c>
      <c r="G5" s="1" t="s">
        <v>36</v>
      </c>
      <c r="H5" s="1"/>
      <c r="I5" s="2" t="str">
        <f ca="1">IF(ISNUMBER(A5),
IF(COUNTIFS(Equipar!B:B,4,Equipar!AC:AC,A5),"Equipada",
IF(
  OR(COUNTIFS(Equipar!B:B,4,Equipar!C:C,A5)
 +COUNTIFS(Equipar!B:B,4,Equipar!D:D,A5)
+COUNTIFS(Equipar!B:B,4,Equipar!E:E,A5)
+COUNTIFS(Equipar!B:B,4,Equipar!F:F,A5)
&gt;0,COUNTIF('Set recomendado'!B:B,C5)=0),
"Bloqueada",
"Desechable")),""
)</f>
        <v>Bloqueada</v>
      </c>
      <c r="J5" t="str" cm="1">
        <f t="array" ref="J5">IF(ISNUMBER(A5),IFERROR(_xlfn._xlws.FILTER(Equipar!A:A,(Equipar!B:B=4)*(Equipar!AC:AC=A5)),""),"")</f>
        <v/>
      </c>
    </row>
    <row r="6" spans="1:11" x14ac:dyDescent="0.25">
      <c r="A6" s="1">
        <v>17</v>
      </c>
      <c r="B6" s="1" t="s">
        <v>54</v>
      </c>
      <c r="C6" s="1" t="s">
        <v>5</v>
      </c>
      <c r="D6" s="1" t="s">
        <v>38</v>
      </c>
      <c r="E6" s="1" t="s">
        <v>38</v>
      </c>
      <c r="F6" s="1" t="s">
        <v>32</v>
      </c>
      <c r="G6" s="1" t="s">
        <v>36</v>
      </c>
      <c r="H6" s="1" t="s">
        <v>40</v>
      </c>
      <c r="I6" s="2" t="str">
        <f>IF(ISNUMBER(A6),
IF(COUNTIFS(Equipar!B:B,4,Equipar!AC:AC,A6),"Equipada",
IF(
  OR(COUNTIFS(Equipar!B:B,4,Equipar!C:C,A6)
 +COUNTIFS(Equipar!B:B,4,Equipar!D:D,A6)
+COUNTIFS(Equipar!B:B,4,Equipar!E:E,A6)
+COUNTIFS(Equipar!B:B,4,Equipar!F:F,A6)
&gt;0,COUNTIF('Set recomendado'!B:B,C6)=0),
"Bloqueada",
"Desechable")),""
)</f>
        <v>Equipada</v>
      </c>
      <c r="J6" t="str" cm="1">
        <f t="array" ref="J6">IF(ISNUMBER(A6),IFERROR(_xlfn._xlws.FILTER(Equipar!A:A,(Equipar!B:B=4)*(Equipar!AC:AC=A6)),""),"")</f>
        <v>Tanaka</v>
      </c>
    </row>
    <row r="7" spans="1:11" x14ac:dyDescent="0.25">
      <c r="A7" s="1">
        <v>29</v>
      </c>
      <c r="B7" t="s">
        <v>53</v>
      </c>
      <c r="C7" t="s">
        <v>9</v>
      </c>
      <c r="D7" t="s">
        <v>38</v>
      </c>
      <c r="E7" t="s">
        <v>36</v>
      </c>
      <c r="F7" t="s">
        <v>32</v>
      </c>
      <c r="G7" t="s">
        <v>43</v>
      </c>
      <c r="H7" t="s">
        <v>41</v>
      </c>
      <c r="I7" s="2" t="str">
        <f>IF(ISNUMBER(A7),
IF(COUNTIFS(Equipar!B:B,4,Equipar!AC:AC,A7),"Equipada",
IF(
  OR(COUNTIFS(Equipar!B:B,4,Equipar!C:C,A7)
 +COUNTIFS(Equipar!B:B,4,Equipar!D:D,A7)
+COUNTIFS(Equipar!B:B,4,Equipar!E:E,A7)
+COUNTIFS(Equipar!B:B,4,Equipar!F:F,A7)
&gt;0,COUNTIF('Set recomendado'!B:B,C7)=0),
"Bloqueada",
"Desechable")),""
)</f>
        <v>Equipada</v>
      </c>
      <c r="J7" t="str" cm="1">
        <f t="array" ref="J7">IF(ISNUMBER(A7),IFERROR(_xlfn._xlws.FILTER(Equipar!A:A,(Equipar!B:B=4)*(Equipar!AC:AC=A7)),""),"")</f>
        <v>Atsumu</v>
      </c>
    </row>
    <row r="8" spans="1:11" x14ac:dyDescent="0.25">
      <c r="A8" s="1">
        <v>30</v>
      </c>
      <c r="B8" t="s">
        <v>53</v>
      </c>
      <c r="C8" t="s">
        <v>9</v>
      </c>
      <c r="D8" t="s">
        <v>40</v>
      </c>
      <c r="E8" t="s">
        <v>42</v>
      </c>
      <c r="F8" t="s">
        <v>32</v>
      </c>
      <c r="G8" t="s">
        <v>35</v>
      </c>
      <c r="H8" t="s">
        <v>41</v>
      </c>
      <c r="I8" s="2" t="str">
        <f ca="1">IF(ISNUMBER(A8),
IF(COUNTIFS(Equipar!B:B,4,Equipar!AC:AC,A8),"Equipada",
IF(
  OR(COUNTIFS(Equipar!B:B,4,Equipar!C:C,A8)
 +COUNTIFS(Equipar!B:B,4,Equipar!D:D,A8)
+COUNTIFS(Equipar!B:B,4,Equipar!E:E,A8)
+COUNTIFS(Equipar!B:B,4,Equipar!F:F,A8)
&gt;0,COUNTIF('Set recomendado'!B:B,C8)=0),
"Bloqueada",
"Desechable")),""
)</f>
        <v>Bloqueada</v>
      </c>
      <c r="J8" t="str" cm="1">
        <f t="array" ref="J8">IF(ISNUMBER(A8),IFERROR(_xlfn._xlws.FILTER(Equipar!A:A,(Equipar!B:B=4)*(Equipar!AC:AC=A8)),""),"")</f>
        <v/>
      </c>
    </row>
    <row r="9" spans="1:11" x14ac:dyDescent="0.25">
      <c r="A9" s="1">
        <v>34</v>
      </c>
      <c r="B9" t="s">
        <v>54</v>
      </c>
      <c r="C9" t="s">
        <v>10</v>
      </c>
      <c r="D9" t="s">
        <v>39</v>
      </c>
      <c r="E9" t="s">
        <v>34</v>
      </c>
      <c r="F9" t="s">
        <v>36</v>
      </c>
      <c r="G9" t="s">
        <v>36</v>
      </c>
      <c r="H9" t="s">
        <v>41</v>
      </c>
      <c r="I9" s="2" t="str">
        <f>IF(ISNUMBER(A9),
IF(COUNTIFS(Equipar!B:B,4,Equipar!AC:AC,A9),"Equipada",
IF(
  OR(COUNTIFS(Equipar!B:B,4,Equipar!C:C,A9)
 +COUNTIFS(Equipar!B:B,4,Equipar!D:D,A9)
+COUNTIFS(Equipar!B:B,4,Equipar!E:E,A9)
+COUNTIFS(Equipar!B:B,4,Equipar!F:F,A9)
&gt;0,COUNTIF('Set recomendado'!B:B,C9)=0),
"Bloqueada",
"Desechable")),""
)</f>
        <v>Equipada</v>
      </c>
      <c r="J9" t="str" cm="1">
        <f t="array" ref="J9">IF(ISNUMBER(A9),IFERROR(_xlfn._xlws.FILTER(Equipar!A:A,(Equipar!B:B=4)*(Equipar!AC:AC=A9)),""),"")</f>
        <v>Oikawa</v>
      </c>
    </row>
    <row r="10" spans="1:11" x14ac:dyDescent="0.25">
      <c r="A10" s="1">
        <v>54</v>
      </c>
      <c r="B10" t="s">
        <v>54</v>
      </c>
      <c r="C10" t="s">
        <v>10</v>
      </c>
      <c r="D10" t="s">
        <v>38</v>
      </c>
      <c r="E10" t="s">
        <v>32</v>
      </c>
      <c r="F10" t="s">
        <v>37</v>
      </c>
      <c r="G10" t="s">
        <v>36</v>
      </c>
      <c r="I10" s="2" t="str">
        <f ca="1">IF(ISNUMBER(A10),
IF(COUNTIFS(Equipar!B:B,4,Equipar!AC:AC,A10),"Equipada",
IF(
  OR(COUNTIFS(Equipar!B:B,4,Equipar!C:C,A10)
 +COUNTIFS(Equipar!B:B,4,Equipar!D:D,A10)
+COUNTIFS(Equipar!B:B,4,Equipar!E:E,A10)
+COUNTIFS(Equipar!B:B,4,Equipar!F:F,A10)
&gt;0,COUNTIF('Set recomendado'!B:B,C10)=0),
"Bloqueada",
"Desechable")),""
)</f>
        <v>Bloqueada</v>
      </c>
      <c r="J10" t="str" cm="1">
        <f t="array" ref="J10">IF(ISNUMBER(A10),IFERROR(_xlfn._xlws.FILTER(Equipar!A:A,(Equipar!B:B=4)*(Equipar!AC:AC=A10)),""),"")</f>
        <v/>
      </c>
    </row>
    <row r="11" spans="1:11" x14ac:dyDescent="0.25">
      <c r="A11" s="1">
        <v>70</v>
      </c>
      <c r="B11" t="s">
        <v>54</v>
      </c>
      <c r="C11" t="s">
        <v>4</v>
      </c>
      <c r="D11" t="s">
        <v>38</v>
      </c>
      <c r="E11" t="s">
        <v>38</v>
      </c>
      <c r="F11" t="s">
        <v>38</v>
      </c>
      <c r="I11" s="2" t="str">
        <f>IF(ISNUMBER(A11),
IF(COUNTIFS(Equipar!B:B,4,Equipar!AC:AC,A11),"Equipada",
IF(
  OR(COUNTIFS(Equipar!B:B,4,Equipar!C:C,A11)
 +COUNTIFS(Equipar!B:B,4,Equipar!D:D,A11)
+COUNTIFS(Equipar!B:B,4,Equipar!E:E,A11)
+COUNTIFS(Equipar!B:B,4,Equipar!F:F,A11)
&gt;0,COUNTIF('Set recomendado'!B:B,C11)=0),
"Bloqueada",
"Desechable")),""
)</f>
        <v>Equipada</v>
      </c>
      <c r="J11" t="str" cm="1">
        <f t="array" ref="J11">IF(ISNUMBER(A11),IFERROR(_xlfn._xlws.FILTER(Equipar!A:A,(Equipar!B:B=4)*(Equipar!AC:AC=A11)),""),"")</f>
        <v>Sakusa</v>
      </c>
    </row>
    <row r="12" spans="1:11" x14ac:dyDescent="0.25">
      <c r="A12" s="1">
        <v>71</v>
      </c>
      <c r="B12" t="s">
        <v>53</v>
      </c>
      <c r="C12" t="s">
        <v>14</v>
      </c>
      <c r="D12" t="s">
        <v>38</v>
      </c>
      <c r="E12" t="s">
        <v>37</v>
      </c>
      <c r="F12" t="s">
        <v>43</v>
      </c>
      <c r="G12" t="s">
        <v>37</v>
      </c>
      <c r="H12" t="s">
        <v>40</v>
      </c>
      <c r="I12" s="2" t="str">
        <f ca="1">IF(ISNUMBER(A12),
IF(COUNTIFS(Equipar!B:B,4,Equipar!AC:AC,A12),"Equipada",
IF(
  OR(COUNTIFS(Equipar!B:B,4,Equipar!C:C,A12)
 +COUNTIFS(Equipar!B:B,4,Equipar!D:D,A12)
+COUNTIFS(Equipar!B:B,4,Equipar!E:E,A12)
+COUNTIFS(Equipar!B:B,4,Equipar!F:F,A12)
&gt;0,COUNTIF('Set recomendado'!B:B,C12)=0),
"Bloqueada",
"Desechable")),""
)</f>
        <v>Desechable</v>
      </c>
      <c r="J12" t="str" cm="1">
        <f t="array" ref="J12">IF(ISNUMBER(A12),IFERROR(_xlfn._xlws.FILTER(Equipar!A:A,(Equipar!B:B=4)*(Equipar!AC:AC=A12)),""),"")</f>
        <v/>
      </c>
    </row>
    <row r="13" spans="1:11" x14ac:dyDescent="0.25">
      <c r="A13" s="1">
        <v>72</v>
      </c>
      <c r="B13" t="s">
        <v>53</v>
      </c>
      <c r="C13" t="s">
        <v>13</v>
      </c>
      <c r="D13" t="s">
        <v>39</v>
      </c>
      <c r="E13" t="s">
        <v>37</v>
      </c>
      <c r="F13" t="s">
        <v>41</v>
      </c>
      <c r="G13" t="s">
        <v>43</v>
      </c>
      <c r="I13" s="2" t="str">
        <f ca="1">IF(ISNUMBER(A13),
IF(COUNTIFS(Equipar!B:B,4,Equipar!AC:AC,A13),"Equipada",
IF(
  OR(COUNTIFS(Equipar!B:B,4,Equipar!C:C,A13)
 +COUNTIFS(Equipar!B:B,4,Equipar!D:D,A13)
+COUNTIFS(Equipar!B:B,4,Equipar!E:E,A13)
+COUNTIFS(Equipar!B:B,4,Equipar!F:F,A13)
&gt;0,COUNTIF('Set recomendado'!B:B,C13)=0),
"Bloqueada",
"Desechable")),""
)</f>
        <v>Desechable</v>
      </c>
      <c r="J13" t="str" cm="1">
        <f t="array" ref="J13">IF(ISNUMBER(A13),IFERROR(_xlfn._xlws.FILTER(Equipar!A:A,(Equipar!B:B=4)*(Equipar!AC:AC=A13)),""),"")</f>
        <v/>
      </c>
    </row>
    <row r="14" spans="1:11" x14ac:dyDescent="0.25">
      <c r="A14" s="1">
        <v>75</v>
      </c>
      <c r="B14" t="s">
        <v>53</v>
      </c>
      <c r="C14" t="s">
        <v>14</v>
      </c>
      <c r="D14" t="s">
        <v>37</v>
      </c>
      <c r="E14" t="s">
        <v>37</v>
      </c>
      <c r="F14" t="s">
        <v>42</v>
      </c>
      <c r="G14" t="s">
        <v>37</v>
      </c>
      <c r="I14" s="2" t="str">
        <f>IF(ISNUMBER(A14),
IF(COUNTIFS(Equipar!B:B,4,Equipar!AC:AC,A14),"Equipada",
IF(
  OR(COUNTIFS(Equipar!B:B,4,Equipar!C:C,A14)
 +COUNTIFS(Equipar!B:B,4,Equipar!D:D,A14)
+COUNTIFS(Equipar!B:B,4,Equipar!E:E,A14)
+COUNTIFS(Equipar!B:B,4,Equipar!F:F,A14)
&gt;0,COUNTIF('Set recomendado'!B:B,C14)=0),
"Bloqueada",
"Desechable")),""
)</f>
        <v>Equipada</v>
      </c>
      <c r="J14" t="str" cm="1">
        <f t="array" ref="J14">IF(ISNUMBER(A14),IFERROR(_xlfn._xlws.FILTER(Equipar!A:A,(Equipar!B:B=4)*(Equipar!AC:AC=A14)),""),"")</f>
        <v>Hinata</v>
      </c>
    </row>
    <row r="15" spans="1:11" x14ac:dyDescent="0.25">
      <c r="A15" s="1">
        <v>76</v>
      </c>
      <c r="B15" t="s">
        <v>53</v>
      </c>
      <c r="C15" t="s">
        <v>14</v>
      </c>
      <c r="D15" t="s">
        <v>37</v>
      </c>
      <c r="E15" t="s">
        <v>42</v>
      </c>
      <c r="F15" t="s">
        <v>39</v>
      </c>
      <c r="G15" t="s">
        <v>41</v>
      </c>
      <c r="I15" s="2" t="str">
        <f ca="1">IF(ISNUMBER(A15),
IF(COUNTIFS(Equipar!B:B,4,Equipar!AC:AC,A15),"Equipada",
IF(
  OR(COUNTIFS(Equipar!B:B,4,Equipar!C:C,A15)
 +COUNTIFS(Equipar!B:B,4,Equipar!D:D,A15)
+COUNTIFS(Equipar!B:B,4,Equipar!E:E,A15)
+COUNTIFS(Equipar!B:B,4,Equipar!F:F,A15)
&gt;0,COUNTIF('Set recomendado'!B:B,C15)=0),
"Bloqueada",
"Desechable")),""
)</f>
        <v>Desechable</v>
      </c>
      <c r="J15" t="str" cm="1">
        <f t="array" ref="J15">IF(ISNUMBER(A15),IFERROR(_xlfn._xlws.FILTER(Equipar!A:A,(Equipar!B:B=4)*(Equipar!AC:AC=A15)),""),"")</f>
        <v/>
      </c>
    </row>
    <row r="16" spans="1:11" x14ac:dyDescent="0.25">
      <c r="A16" s="1">
        <v>77</v>
      </c>
      <c r="B16" t="s">
        <v>53</v>
      </c>
      <c r="C16" t="s">
        <v>14</v>
      </c>
      <c r="D16" t="s">
        <v>38</v>
      </c>
      <c r="E16" t="s">
        <v>43</v>
      </c>
      <c r="F16" t="s">
        <v>43</v>
      </c>
      <c r="G16" t="s">
        <v>44</v>
      </c>
      <c r="H16" t="s">
        <v>42</v>
      </c>
      <c r="I16" s="2" t="str">
        <f ca="1">IF(ISNUMBER(A16),
IF(COUNTIFS(Equipar!B:B,4,Equipar!AC:AC,A16),"Equipada",
IF(
  OR(COUNTIFS(Equipar!B:B,4,Equipar!C:C,A16)
 +COUNTIFS(Equipar!B:B,4,Equipar!D:D,A16)
+COUNTIFS(Equipar!B:B,4,Equipar!E:E,A16)
+COUNTIFS(Equipar!B:B,4,Equipar!F:F,A16)
&gt;0,COUNTIF('Set recomendado'!B:B,C16)=0),
"Bloqueada",
"Desechable")),""
)</f>
        <v>Desechable</v>
      </c>
      <c r="J16" t="str" cm="1">
        <f t="array" ref="J16">IF(ISNUMBER(A16),IFERROR(_xlfn._xlws.FILTER(Equipar!A:A,(Equipar!B:B=4)*(Equipar!AC:AC=A16)),""),"")</f>
        <v/>
      </c>
    </row>
    <row r="17" spans="1:10" x14ac:dyDescent="0.25">
      <c r="A17" s="1">
        <v>81</v>
      </c>
      <c r="B17" t="s">
        <v>54</v>
      </c>
      <c r="C17" t="s">
        <v>13</v>
      </c>
      <c r="D17" t="s">
        <v>37</v>
      </c>
      <c r="E17" t="s">
        <v>42</v>
      </c>
      <c r="F17" t="s">
        <v>41</v>
      </c>
      <c r="I17" s="2" t="str">
        <f ca="1">IF(ISNUMBER(A17),
IF(COUNTIFS(Equipar!B:B,4,Equipar!AC:AC,A17),"Equipada",
IF(
  OR(COUNTIFS(Equipar!B:B,4,Equipar!C:C,A17)
 +COUNTIFS(Equipar!B:B,4,Equipar!D:D,A17)
+COUNTIFS(Equipar!B:B,4,Equipar!E:E,A17)
+COUNTIFS(Equipar!B:B,4,Equipar!F:F,A17)
&gt;0,COUNTIF('Set recomendado'!B:B,C17)=0),
"Bloqueada",
"Desechable")),""
)</f>
        <v>Bloqueada</v>
      </c>
      <c r="J17" t="str" cm="1">
        <f t="array" ref="J17">IF(ISNUMBER(A17),IFERROR(_xlfn._xlws.FILTER(Equipar!A:A,(Equipar!B:B=4)*(Equipar!AC:AC=A17)),""),"")</f>
        <v/>
      </c>
    </row>
    <row r="18" spans="1:10" x14ac:dyDescent="0.25">
      <c r="A18" s="1">
        <v>91</v>
      </c>
      <c r="B18" t="s">
        <v>54</v>
      </c>
      <c r="C18" t="s">
        <v>13</v>
      </c>
      <c r="D18" t="s">
        <v>37</v>
      </c>
      <c r="E18" t="s">
        <v>34</v>
      </c>
      <c r="F18" t="s">
        <v>37</v>
      </c>
      <c r="I18" s="2" t="str">
        <f ca="1">IF(ISNUMBER(A18),
IF(COUNTIFS(Equipar!B:B,4,Equipar!AC:AC,A18),"Equipada",
IF(
  OR(COUNTIFS(Equipar!B:B,4,Equipar!C:C,A18)
 +COUNTIFS(Equipar!B:B,4,Equipar!D:D,A18)
+COUNTIFS(Equipar!B:B,4,Equipar!E:E,A18)
+COUNTIFS(Equipar!B:B,4,Equipar!F:F,A18)
&gt;0,COUNTIF('Set recomendado'!B:B,C18)=0),
"Bloqueada",
"Desechable")),""
)</f>
        <v>Bloqueada</v>
      </c>
      <c r="J18" t="str" cm="1">
        <f t="array" ref="J18">IF(ISNUMBER(A18),IFERROR(_xlfn._xlws.FILTER(Equipar!A:A,(Equipar!B:B=4)*(Equipar!AC:AC=A18)),""),"")</f>
        <v/>
      </c>
    </row>
    <row r="19" spans="1:10" x14ac:dyDescent="0.25">
      <c r="A19" s="1">
        <v>101</v>
      </c>
      <c r="B19" t="s">
        <v>54</v>
      </c>
      <c r="C19" t="s">
        <v>14</v>
      </c>
      <c r="D19" t="s">
        <v>38</v>
      </c>
      <c r="E19" t="s">
        <v>37</v>
      </c>
      <c r="F19" t="s">
        <v>42</v>
      </c>
      <c r="G19" t="s">
        <v>42</v>
      </c>
      <c r="I19" s="2" t="str">
        <f>IF(ISNUMBER(A19),
IF(COUNTIFS(Equipar!B:B,4,Equipar!AC:AC,A19),"Equipada",
IF(
  OR(COUNTIFS(Equipar!B:B,4,Equipar!C:C,A19)
 +COUNTIFS(Equipar!B:B,4,Equipar!D:D,A19)
+COUNTIFS(Equipar!B:B,4,Equipar!E:E,A19)
+COUNTIFS(Equipar!B:B,4,Equipar!F:F,A19)
&gt;0,COUNTIF('Set recomendado'!B:B,C19)=0),
"Bloqueada",
"Desechable")),""
)</f>
        <v>Equipada</v>
      </c>
      <c r="J19" t="str" cm="1">
        <f t="array" ref="J19">IF(ISNUMBER(A19),IFERROR(_xlfn._xlws.FILTER(Equipar!A:A,(Equipar!B:B=4)*(Equipar!AC:AC=A19)),""),"")</f>
        <v>Osamu</v>
      </c>
    </row>
    <row r="20" spans="1:10" x14ac:dyDescent="0.25">
      <c r="A20" s="1">
        <v>103</v>
      </c>
      <c r="B20" t="s">
        <v>53</v>
      </c>
      <c r="C20" t="s">
        <v>23</v>
      </c>
      <c r="D20" t="s">
        <v>43</v>
      </c>
      <c r="E20" t="s">
        <v>42</v>
      </c>
      <c r="F20" t="s">
        <v>42</v>
      </c>
      <c r="G20" t="s">
        <v>43</v>
      </c>
      <c r="I20" s="2" t="str">
        <f ca="1">IF(ISNUMBER(A20),
IF(COUNTIFS(Equipar!B:B,4,Equipar!AC:AC,A20),"Equipada",
IF(
  OR(COUNTIFS(Equipar!B:B,4,Equipar!C:C,A20)
 +COUNTIFS(Equipar!B:B,4,Equipar!D:D,A20)
+COUNTIFS(Equipar!B:B,4,Equipar!E:E,A20)
+COUNTIFS(Equipar!B:B,4,Equipar!F:F,A20)
&gt;0,COUNTIF('Set recomendado'!B:B,C20)=0),
"Bloqueada",
"Desechable")),""
)</f>
        <v>Desechable</v>
      </c>
      <c r="J20" t="str" cm="1">
        <f t="array" ref="J20">IF(ISNUMBER(A20),IFERROR(_xlfn._xlws.FILTER(Equipar!A:A,(Equipar!B:B=4)*(Equipar!AC:AC=A20)),""),"")</f>
        <v/>
      </c>
    </row>
    <row r="21" spans="1:10" x14ac:dyDescent="0.25">
      <c r="A21" s="1">
        <v>104</v>
      </c>
      <c r="B21" t="s">
        <v>53</v>
      </c>
      <c r="C21" t="s">
        <v>23</v>
      </c>
      <c r="D21" t="s">
        <v>43</v>
      </c>
      <c r="E21" t="s">
        <v>42</v>
      </c>
      <c r="F21" t="s">
        <v>43</v>
      </c>
      <c r="G21" t="s">
        <v>37</v>
      </c>
      <c r="H21" t="s">
        <v>41</v>
      </c>
      <c r="I21" s="2" t="str">
        <f ca="1">IF(ISNUMBER(A21),
IF(COUNTIFS(Equipar!B:B,4,Equipar!AC:AC,A21),"Equipada",
IF(
  OR(COUNTIFS(Equipar!B:B,4,Equipar!C:C,A21)
 +COUNTIFS(Equipar!B:B,4,Equipar!D:D,A21)
+COUNTIFS(Equipar!B:B,4,Equipar!E:E,A21)
+COUNTIFS(Equipar!B:B,4,Equipar!F:F,A21)
&gt;0,COUNTIF('Set recomendado'!B:B,C21)=0),
"Bloqueada",
"Desechable")),""
)</f>
        <v>Desechable</v>
      </c>
      <c r="J21" t="str" cm="1">
        <f t="array" ref="J21">IF(ISNUMBER(A21),IFERROR(_xlfn._xlws.FILTER(Equipar!A:A,(Equipar!B:B=4)*(Equipar!AC:AC=A21)),""),"")</f>
        <v/>
      </c>
    </row>
    <row r="22" spans="1:10" x14ac:dyDescent="0.25">
      <c r="A22" s="1">
        <v>113</v>
      </c>
      <c r="B22" t="s">
        <v>54</v>
      </c>
      <c r="C22" t="s">
        <v>22</v>
      </c>
      <c r="D22" t="s">
        <v>37</v>
      </c>
      <c r="E22" t="s">
        <v>42</v>
      </c>
      <c r="F22" t="s">
        <v>37</v>
      </c>
      <c r="G22" t="s">
        <v>39</v>
      </c>
      <c r="H22" t="s">
        <v>37</v>
      </c>
      <c r="I22" s="2" t="str">
        <f>IF(ISNUMBER(A22),
IF(COUNTIFS(Equipar!B:B,4,Equipar!AC:AC,A22),"Equipada",
IF(
  OR(COUNTIFS(Equipar!B:B,4,Equipar!C:C,A22)
 +COUNTIFS(Equipar!B:B,4,Equipar!D:D,A22)
+COUNTIFS(Equipar!B:B,4,Equipar!E:E,A22)
+COUNTIFS(Equipar!B:B,4,Equipar!F:F,A22)
&gt;0,COUNTIF('Set recomendado'!B:B,C22)=0),
"Bloqueada",
"Desechable")),""
)</f>
        <v>Equipada</v>
      </c>
      <c r="J22" t="str" cm="1">
        <f t="array" ref="J22">IF(ISNUMBER(A22),IFERROR(_xlfn._xlws.FILTER(Equipar!A:A,(Equipar!B:B=4)*(Equipar!AC:AC=A22)),""),"")</f>
        <v>Hirugami</v>
      </c>
    </row>
    <row r="23" spans="1:10" x14ac:dyDescent="0.25">
      <c r="A23" s="1">
        <v>118</v>
      </c>
      <c r="B23" t="s">
        <v>54</v>
      </c>
      <c r="C23" t="s">
        <v>22</v>
      </c>
      <c r="D23" t="s">
        <v>39</v>
      </c>
      <c r="E23" t="s">
        <v>37</v>
      </c>
      <c r="F23" t="s">
        <v>41</v>
      </c>
      <c r="G23" t="s">
        <v>37</v>
      </c>
      <c r="I23" s="2" t="str">
        <f>IF(ISNUMBER(A23),
IF(COUNTIFS(Equipar!B:B,4,Equipar!AC:AC,A23),"Equipada",
IF(
  OR(COUNTIFS(Equipar!B:B,4,Equipar!C:C,A23)
 +COUNTIFS(Equipar!B:B,4,Equipar!D:D,A23)
+COUNTIFS(Equipar!B:B,4,Equipar!E:E,A23)
+COUNTIFS(Equipar!B:B,4,Equipar!F:F,A23)
&gt;0,COUNTIF('Set recomendado'!B:B,C23)=0),
"Bloqueada",
"Desechable")),""
)</f>
        <v>Equipada</v>
      </c>
      <c r="J23" t="str" cm="1">
        <f t="array" ref="J23">IF(ISNUMBER(A23),IFERROR(_xlfn._xlws.FILTER(Equipar!A:A,(Equipar!B:B=4)*(Equipar!AC:AC=A23)),""),"")</f>
        <v>Suna</v>
      </c>
    </row>
    <row r="24" spans="1:10" x14ac:dyDescent="0.25">
      <c r="A24" s="1">
        <v>132</v>
      </c>
      <c r="B24" t="s">
        <v>54</v>
      </c>
      <c r="C24" t="s">
        <v>23</v>
      </c>
      <c r="D24" t="s">
        <v>37</v>
      </c>
      <c r="E24" t="s">
        <v>37</v>
      </c>
      <c r="F24" t="s">
        <v>34</v>
      </c>
      <c r="G24" t="s">
        <v>32</v>
      </c>
      <c r="I24" s="2" t="str">
        <f ca="1">IF(ISNUMBER(A24),
IF(COUNTIFS(Equipar!B:B,4,Equipar!AC:AC,A24),"Equipada",
IF(
  OR(COUNTIFS(Equipar!B:B,4,Equipar!C:C,A24)
 +COUNTIFS(Equipar!B:B,4,Equipar!D:D,A24)
+COUNTIFS(Equipar!B:B,4,Equipar!E:E,A24)
+COUNTIFS(Equipar!B:B,4,Equipar!F:F,A24)
&gt;0,COUNTIF('Set recomendado'!B:B,C24)=0),
"Bloqueada",
"Desechable")),""
)</f>
        <v>Desechable</v>
      </c>
      <c r="J24" t="str" cm="1">
        <f t="array" ref="J24">IF(ISNUMBER(A24),IFERROR(_xlfn._xlws.FILTER(Equipar!A:A,(Equipar!B:B=4)*(Equipar!AC:AC=A24)),""),"")</f>
        <v/>
      </c>
    </row>
    <row r="25" spans="1:10" x14ac:dyDescent="0.25">
      <c r="A25" s="1">
        <v>133</v>
      </c>
      <c r="B25" t="s">
        <v>53</v>
      </c>
      <c r="C25" t="s">
        <v>17</v>
      </c>
      <c r="D25" t="s">
        <v>37</v>
      </c>
      <c r="E25" t="s">
        <v>32</v>
      </c>
      <c r="F25" t="s">
        <v>42</v>
      </c>
      <c r="G25" t="s">
        <v>41</v>
      </c>
      <c r="H25" t="s">
        <v>42</v>
      </c>
      <c r="I25" s="2" t="str">
        <f ca="1">IF(ISNUMBER(A25),
IF(COUNTIFS(Equipar!B:B,4,Equipar!AC:AC,A25),"Equipada",
IF(
  OR(COUNTIFS(Equipar!B:B,4,Equipar!C:C,A25)
 +COUNTIFS(Equipar!B:B,4,Equipar!D:D,A25)
+COUNTIFS(Equipar!B:B,4,Equipar!E:E,A25)
+COUNTIFS(Equipar!B:B,4,Equipar!F:F,A25)
&gt;0,COUNTIF('Set recomendado'!B:B,C25)=0),
"Bloqueada",
"Desechable")),""
)</f>
        <v>Desechable</v>
      </c>
      <c r="J25" t="str" cm="1">
        <f t="array" ref="J25">IF(ISNUMBER(A25),IFERROR(_xlfn._xlws.FILTER(Equipar!A:A,(Equipar!B:B=4)*(Equipar!AC:AC=A25)),""),"")</f>
        <v/>
      </c>
    </row>
    <row r="26" spans="1:10" x14ac:dyDescent="0.25">
      <c r="A26" s="1">
        <v>134</v>
      </c>
      <c r="B26" t="s">
        <v>53</v>
      </c>
      <c r="C26" t="s">
        <v>16</v>
      </c>
      <c r="D26" t="s">
        <v>43</v>
      </c>
      <c r="E26" t="s">
        <v>42</v>
      </c>
      <c r="F26" t="s">
        <v>38</v>
      </c>
      <c r="G26" t="s">
        <v>42</v>
      </c>
      <c r="H26" t="s">
        <v>37</v>
      </c>
      <c r="I26" s="2" t="str">
        <f ca="1">IF(ISNUMBER(A26),
IF(COUNTIFS(Equipar!B:B,4,Equipar!AC:AC,A26),"Equipada",
IF(
  OR(COUNTIFS(Equipar!B:B,4,Equipar!C:C,A26)
 +COUNTIFS(Equipar!B:B,4,Equipar!D:D,A26)
+COUNTIFS(Equipar!B:B,4,Equipar!E:E,A26)
+COUNTIFS(Equipar!B:B,4,Equipar!F:F,A26)
&gt;0,COUNTIF('Set recomendado'!B:B,C26)=0),
"Bloqueada",
"Desechable")),""
)</f>
        <v>Bloqueada</v>
      </c>
      <c r="J26" t="str" cm="1">
        <f t="array" ref="J26">IF(ISNUMBER(A26),IFERROR(_xlfn._xlws.FILTER(Equipar!A:A,(Equipar!B:B=4)*(Equipar!AC:AC=A26)),""),"")</f>
        <v/>
      </c>
    </row>
    <row r="27" spans="1:10" x14ac:dyDescent="0.25">
      <c r="A27" s="1">
        <v>135</v>
      </c>
      <c r="B27" t="s">
        <v>53</v>
      </c>
      <c r="C27" t="s">
        <v>16</v>
      </c>
      <c r="D27" t="s">
        <v>38</v>
      </c>
      <c r="E27" t="s">
        <v>35</v>
      </c>
      <c r="F27" t="s">
        <v>42</v>
      </c>
      <c r="G27" t="s">
        <v>36</v>
      </c>
      <c r="I27" s="2" t="str">
        <f ca="1">IF(ISNUMBER(A27),
IF(COUNTIFS(Equipar!B:B,4,Equipar!AC:AC,A27),"Equipada",
IF(
  OR(COUNTIFS(Equipar!B:B,4,Equipar!C:C,A27)
 +COUNTIFS(Equipar!B:B,4,Equipar!D:D,A27)
+COUNTIFS(Equipar!B:B,4,Equipar!E:E,A27)
+COUNTIFS(Equipar!B:B,4,Equipar!F:F,A27)
&gt;0,COUNTIF('Set recomendado'!B:B,C27)=0),
"Bloqueada",
"Desechable")),""
)</f>
        <v>Desechable</v>
      </c>
      <c r="J27" t="str" cm="1">
        <f t="array" ref="J27">IF(ISNUMBER(A27),IFERROR(_xlfn._xlws.FILTER(Equipar!A:A,(Equipar!B:B=4)*(Equipar!AC:AC=A27)),""),"")</f>
        <v/>
      </c>
    </row>
    <row r="28" spans="1:10" x14ac:dyDescent="0.25">
      <c r="A28" s="1">
        <v>142</v>
      </c>
      <c r="B28" t="s">
        <v>53</v>
      </c>
      <c r="C28" t="s">
        <v>16</v>
      </c>
      <c r="D28" t="s">
        <v>43</v>
      </c>
      <c r="E28" t="s">
        <v>42</v>
      </c>
      <c r="F28" t="s">
        <v>36</v>
      </c>
      <c r="G28" t="s">
        <v>38</v>
      </c>
      <c r="H28" t="s">
        <v>40</v>
      </c>
      <c r="I28" s="2" t="str">
        <f>IF(ISNUMBER(A28),
IF(COUNTIFS(Equipar!B:B,4,Equipar!AC:AC,A28),"Equipada",
IF(
  OR(COUNTIFS(Equipar!B:B,4,Equipar!C:C,A28)
 +COUNTIFS(Equipar!B:B,4,Equipar!D:D,A28)
+COUNTIFS(Equipar!B:B,4,Equipar!E:E,A28)
+COUNTIFS(Equipar!B:B,4,Equipar!F:F,A28)
&gt;0,COUNTIF('Set recomendado'!B:B,C28)=0),
"Bloqueada",
"Desechable")),""
)</f>
        <v>Equipada</v>
      </c>
      <c r="J28" t="str" cm="1">
        <f t="array" ref="J28">IF(ISNUMBER(A28),IFERROR(_xlfn._xlws.FILTER(Equipar!A:A,(Equipar!B:B=4)*(Equipar!AC:AC=A28)),""),"")</f>
        <v>Nishinoya</v>
      </c>
    </row>
    <row r="29" spans="1:10" x14ac:dyDescent="0.25">
      <c r="A29" s="1">
        <v>143</v>
      </c>
      <c r="B29" t="s">
        <v>53</v>
      </c>
      <c r="C29" t="s">
        <v>17</v>
      </c>
      <c r="D29" t="s">
        <v>40</v>
      </c>
      <c r="E29" t="s">
        <v>36</v>
      </c>
      <c r="F29" t="s">
        <v>42</v>
      </c>
      <c r="G29" t="s">
        <v>38</v>
      </c>
      <c r="H29" t="s">
        <v>35</v>
      </c>
      <c r="I29" s="2" t="str">
        <f>IF(ISNUMBER(A29),
IF(COUNTIFS(Equipar!B:B,4,Equipar!AC:AC,A29),"Equipada",
IF(
  OR(COUNTIFS(Equipar!B:B,4,Equipar!C:C,A29)
 +COUNTIFS(Equipar!B:B,4,Equipar!D:D,A29)
+COUNTIFS(Equipar!B:B,4,Equipar!E:E,A29)
+COUNTIFS(Equipar!B:B,4,Equipar!F:F,A29)
&gt;0,COUNTIF('Set recomendado'!B:B,C29)=0),
"Bloqueada",
"Desechable")),""
)</f>
        <v>Equipada</v>
      </c>
      <c r="J29" t="str" cm="1">
        <f t="array" ref="J29">IF(ISNUMBER(A29),IFERROR(_xlfn._xlws.FILTER(Equipar!A:A,(Equipar!B:B=4)*(Equipar!AC:AC=A29)),""),"")</f>
        <v>Kita</v>
      </c>
    </row>
    <row r="30" spans="1:10" x14ac:dyDescent="0.25">
      <c r="A30" s="3">
        <v>146</v>
      </c>
      <c r="B30" s="4" t="s">
        <v>54</v>
      </c>
      <c r="C30" s="4" t="s">
        <v>16</v>
      </c>
      <c r="D30" s="4" t="s">
        <v>40</v>
      </c>
      <c r="E30" s="4" t="s">
        <v>38</v>
      </c>
      <c r="F30" s="4" t="s">
        <v>38</v>
      </c>
      <c r="G30" s="4" t="s">
        <v>36</v>
      </c>
      <c r="H30" s="4"/>
      <c r="I30" s="2" t="str">
        <f>IF(ISNUMBER(A30),
IF(COUNTIFS(Equipar!B:B,4,Equipar!AC:AC,A30),"Equipada",
IF(
  OR(COUNTIFS(Equipar!B:B,4,Equipar!C:C,A30)
 +COUNTIFS(Equipar!B:B,4,Equipar!D:D,A30)
+COUNTIFS(Equipar!B:B,4,Equipar!E:E,A30)
+COUNTIFS(Equipar!B:B,4,Equipar!F:F,A30)
&gt;0,COUNTIF('Set recomendado'!B:B,C30)=0),
"Bloqueada",
"Desechable")),""
)</f>
        <v>Equipada</v>
      </c>
      <c r="J30" t="str" cm="1">
        <f t="array" ref="J30">IF(ISNUMBER(A30),IFERROR(_xlfn._xlws.FILTER(Equipar!A:A,(Equipar!B:B=4)*(Equipar!AC:AC=A30)),""),"")</f>
        <v>Akagi</v>
      </c>
    </row>
    <row r="31" spans="1:10" x14ac:dyDescent="0.25">
      <c r="A31" s="1">
        <v>147</v>
      </c>
      <c r="B31" t="s">
        <v>54</v>
      </c>
      <c r="C31" t="s">
        <v>16</v>
      </c>
      <c r="D31" t="s">
        <v>37</v>
      </c>
      <c r="E31" t="s">
        <v>44</v>
      </c>
      <c r="F31" t="s">
        <v>43</v>
      </c>
      <c r="I31" s="2" t="str">
        <f ca="1">IF(ISNUMBER(A31),
IF(COUNTIFS(Equipar!B:B,4,Equipar!AC:AC,A31),"Equipada",
IF(
  OR(COUNTIFS(Equipar!B:B,4,Equipar!C:C,A31)
 +COUNTIFS(Equipar!B:B,4,Equipar!D:D,A31)
+COUNTIFS(Equipar!B:B,4,Equipar!E:E,A31)
+COUNTIFS(Equipar!B:B,4,Equipar!F:F,A31)
&gt;0,COUNTIF('Set recomendado'!B:B,C31)=0),
"Bloqueada",
"Desechable")),""
)</f>
        <v>Desechable</v>
      </c>
      <c r="J31" t="str" cm="1">
        <f t="array" ref="J31">IF(ISNUMBER(A31),IFERROR(_xlfn._xlws.FILTER(Equipar!A:A,(Equipar!B:B=4)*(Equipar!AC:AC=A31)),""),"")</f>
        <v/>
      </c>
    </row>
    <row r="32" spans="1:10" x14ac:dyDescent="0.25">
      <c r="A32" s="1">
        <v>149</v>
      </c>
      <c r="B32" t="s">
        <v>53</v>
      </c>
      <c r="C32" t="s">
        <v>23</v>
      </c>
      <c r="D32" t="s">
        <v>37</v>
      </c>
      <c r="E32" t="s">
        <v>36</v>
      </c>
      <c r="F32" t="s">
        <v>36</v>
      </c>
      <c r="G32" t="s">
        <v>37</v>
      </c>
      <c r="I32" s="2" t="str">
        <f ca="1">IF(ISNUMBER(A32),
IF(COUNTIFS(Equipar!B:B,4,Equipar!AC:AC,A32),"Equipada",
IF(
  OR(COUNTIFS(Equipar!B:B,4,Equipar!C:C,A32)
 +COUNTIFS(Equipar!B:B,4,Equipar!D:D,A32)
+COUNTIFS(Equipar!B:B,4,Equipar!E:E,A32)
+COUNTIFS(Equipar!B:B,4,Equipar!F:F,A32)
&gt;0,COUNTIF('Set recomendado'!B:B,C32)=0),
"Bloqueada",
"Desechable")),""
)</f>
        <v>Bloqueada</v>
      </c>
      <c r="J32" t="str" cm="1">
        <f t="array" ref="J32">IF(ISNUMBER(A32),IFERROR(_xlfn._xlws.FILTER(Equipar!A:A,(Equipar!B:B=4)*(Equipar!AC:AC=A32)),""),"")</f>
        <v/>
      </c>
    </row>
    <row r="33" spans="1:10" x14ac:dyDescent="0.25">
      <c r="A33" s="1">
        <v>150</v>
      </c>
      <c r="B33" t="s">
        <v>53</v>
      </c>
      <c r="C33" t="s">
        <v>4</v>
      </c>
      <c r="D33" t="s">
        <v>38</v>
      </c>
      <c r="E33" t="s">
        <v>36</v>
      </c>
      <c r="F33" t="s">
        <v>37</v>
      </c>
      <c r="G33" t="s">
        <v>32</v>
      </c>
      <c r="H33" t="s">
        <v>42</v>
      </c>
      <c r="I33" s="2" t="str">
        <f>IF(ISNUMBER(A33),
IF(COUNTIFS(Equipar!B:B,4,Equipar!AC:AC,A33),"Equipada",
IF(
  OR(COUNTIFS(Equipar!B:B,4,Equipar!C:C,A33)
 +COUNTIFS(Equipar!B:B,4,Equipar!D:D,A33)
+COUNTIFS(Equipar!B:B,4,Equipar!E:E,A33)
+COUNTIFS(Equipar!B:B,4,Equipar!F:F,A33)
&gt;0,COUNTIF('Set recomendado'!B:B,C33)=0),
"Bloqueada",
"Desechable")),""
)</f>
        <v>Equipada</v>
      </c>
      <c r="J33" t="str" cm="1">
        <f t="array" ref="J33">IF(ISNUMBER(A33),IFERROR(_xlfn._xlws.FILTER(Equipar!A:A,(Equipar!B:B=4)*(Equipar!AC:AC=A33)),""),"")</f>
        <v>Hoshiumi</v>
      </c>
    </row>
    <row r="34" spans="1:10" x14ac:dyDescent="0.25">
      <c r="A34" s="1">
        <v>151</v>
      </c>
      <c r="B34" t="s">
        <v>53</v>
      </c>
      <c r="C34" t="s">
        <v>21</v>
      </c>
      <c r="D34" t="s">
        <v>40</v>
      </c>
      <c r="E34" t="s">
        <v>32</v>
      </c>
      <c r="F34" t="s">
        <v>36</v>
      </c>
      <c r="G34" t="s">
        <v>37</v>
      </c>
      <c r="H34" t="s">
        <v>36</v>
      </c>
      <c r="I34" s="2" t="str">
        <f ca="1">IF(ISNUMBER(A34),
IF(COUNTIFS(Equipar!B:B,4,Equipar!AC:AC,A34),"Equipada",
IF(
  OR(COUNTIFS(Equipar!B:B,4,Equipar!C:C,A34)
 +COUNTIFS(Equipar!B:B,4,Equipar!D:D,A34)
+COUNTIFS(Equipar!B:B,4,Equipar!E:E,A34)
+COUNTIFS(Equipar!B:B,4,Equipar!F:F,A34)
&gt;0,COUNTIF('Set recomendado'!B:B,C34)=0),
"Bloqueada",
"Desechable")),""
)</f>
        <v>Desechable</v>
      </c>
      <c r="J34" t="str" cm="1">
        <f t="array" ref="J34">IF(ISNUMBER(A34),IFERROR(_xlfn._xlws.FILTER(Equipar!A:A,(Equipar!B:B=4)*(Equipar!AC:AC=A34)),""),"")</f>
        <v/>
      </c>
    </row>
    <row r="35" spans="1:10" x14ac:dyDescent="0.25">
      <c r="A35" s="1">
        <v>154</v>
      </c>
      <c r="B35" t="s">
        <v>54</v>
      </c>
      <c r="C35" t="s">
        <v>4</v>
      </c>
      <c r="D35" t="s">
        <v>39</v>
      </c>
      <c r="E35" t="s">
        <v>32</v>
      </c>
      <c r="F35" t="s">
        <v>37</v>
      </c>
      <c r="G35" t="s">
        <v>33</v>
      </c>
      <c r="I35" s="2" t="str">
        <f>IF(ISNUMBER(A35),
IF(COUNTIFS(Equipar!B:B,4,Equipar!AC:AC,A35),"Equipada",
IF(
  OR(COUNTIFS(Equipar!B:B,4,Equipar!C:C,A35)
 +COUNTIFS(Equipar!B:B,4,Equipar!D:D,A35)
+COUNTIFS(Equipar!B:B,4,Equipar!E:E,A35)
+COUNTIFS(Equipar!B:B,4,Equipar!F:F,A35)
&gt;0,COUNTIF('Set recomendado'!B:B,C35)=0),
"Bloqueada",
"Desechable")),""
)</f>
        <v>Equipada</v>
      </c>
      <c r="J35" t="str" cm="1">
        <f t="array" ref="J35">IF(ISNUMBER(A35),IFERROR(_xlfn._xlws.FILTER(Equipar!A:A,(Equipar!B:B=4)*(Equipar!AC:AC=A35)),""),"")</f>
        <v>Kyotani</v>
      </c>
    </row>
    <row r="36" spans="1:10" x14ac:dyDescent="0.25">
      <c r="A36" s="1">
        <v>155</v>
      </c>
      <c r="B36" t="s">
        <v>54</v>
      </c>
      <c r="C36" t="s">
        <v>13</v>
      </c>
      <c r="D36" t="s">
        <v>37</v>
      </c>
      <c r="E36" t="s">
        <v>37</v>
      </c>
      <c r="F36" t="s">
        <v>38</v>
      </c>
      <c r="I36" s="2" t="str">
        <f ca="1">IF(ISNUMBER(A36),
IF(COUNTIFS(Equipar!B:B,4,Equipar!AC:AC,A36),"Equipada",
IF(
  OR(COUNTIFS(Equipar!B:B,4,Equipar!C:C,A36)
 +COUNTIFS(Equipar!B:B,4,Equipar!D:D,A36)
+COUNTIFS(Equipar!B:B,4,Equipar!E:E,A36)
+COUNTIFS(Equipar!B:B,4,Equipar!F:F,A36)
&gt;0,COUNTIF('Set recomendado'!B:B,C36)=0),
"Bloqueada",
"Desechable")),""
)</f>
        <v>Desechable</v>
      </c>
      <c r="J36" t="str" cm="1">
        <f t="array" ref="J36">IF(ISNUMBER(A36),IFERROR(_xlfn._xlws.FILTER(Equipar!A:A,(Equipar!B:B=4)*(Equipar!AC:AC=A36)),""),"")</f>
        <v/>
      </c>
    </row>
    <row r="37" spans="1:10" x14ac:dyDescent="0.25">
      <c r="A37" s="1">
        <v>156</v>
      </c>
      <c r="B37" t="s">
        <v>54</v>
      </c>
      <c r="C37" t="s">
        <v>16</v>
      </c>
      <c r="D37" t="s">
        <v>37</v>
      </c>
      <c r="E37" t="s">
        <v>43</v>
      </c>
      <c r="F37" t="s">
        <v>42</v>
      </c>
      <c r="G37" t="s">
        <v>44</v>
      </c>
      <c r="I37" s="2" t="str">
        <f ca="1">IF(ISNUMBER(A37),
IF(COUNTIFS(Equipar!B:B,4,Equipar!AC:AC,A37),"Equipada",
IF(
  OR(COUNTIFS(Equipar!B:B,4,Equipar!C:C,A37)
 +COUNTIFS(Equipar!B:B,4,Equipar!D:D,A37)
+COUNTIFS(Equipar!B:B,4,Equipar!E:E,A37)
+COUNTIFS(Equipar!B:B,4,Equipar!F:F,A37)
&gt;0,COUNTIF('Set recomendado'!B:B,C37)=0),
"Bloqueada",
"Desechable")),""
)</f>
        <v>Desechable</v>
      </c>
      <c r="J37" t="str" cm="1">
        <f t="array" ref="J37">IF(ISNUMBER(A37),IFERROR(_xlfn._xlws.FILTER(Equipar!A:A,(Equipar!B:B=4)*(Equipar!AC:AC=A37)),""),"")</f>
        <v/>
      </c>
    </row>
    <row r="38" spans="1:10" x14ac:dyDescent="0.25">
      <c r="A38" s="1">
        <v>157</v>
      </c>
      <c r="B38" t="s">
        <v>54</v>
      </c>
      <c r="C38" t="s">
        <v>16</v>
      </c>
      <c r="D38" t="s">
        <v>40</v>
      </c>
      <c r="E38" t="s">
        <v>41</v>
      </c>
      <c r="F38" t="s">
        <v>32</v>
      </c>
      <c r="G38" t="s">
        <v>42</v>
      </c>
      <c r="I38" s="2" t="str">
        <f ca="1">IF(ISNUMBER(A38),
IF(COUNTIFS(Equipar!B:B,4,Equipar!AC:AC,A38),"Equipada",
IF(
  OR(COUNTIFS(Equipar!B:B,4,Equipar!C:C,A38)
 +COUNTIFS(Equipar!B:B,4,Equipar!D:D,A38)
+COUNTIFS(Equipar!B:B,4,Equipar!E:E,A38)
+COUNTIFS(Equipar!B:B,4,Equipar!F:F,A38)
&gt;0,COUNTIF('Set recomendado'!B:B,C38)=0),
"Bloqueada",
"Desechable")),""
)</f>
        <v>Desechable</v>
      </c>
      <c r="J38" t="str" cm="1">
        <f t="array" ref="J38">IF(ISNUMBER(A38),IFERROR(_xlfn._xlws.FILTER(Equipar!A:A,(Equipar!B:B=4)*(Equipar!AC:AC=A38)),""),"")</f>
        <v/>
      </c>
    </row>
    <row r="39" spans="1:10" x14ac:dyDescent="0.25">
      <c r="A39" s="1">
        <v>158</v>
      </c>
      <c r="B39" t="s">
        <v>54</v>
      </c>
      <c r="C39" t="s">
        <v>10</v>
      </c>
      <c r="D39" t="s">
        <v>39</v>
      </c>
      <c r="E39" t="s">
        <v>41</v>
      </c>
      <c r="F39" t="s">
        <v>40</v>
      </c>
      <c r="G39" t="s">
        <v>38</v>
      </c>
      <c r="I39" s="2" t="str">
        <f ca="1">IF(ISNUMBER(A39),
IF(COUNTIFS(Equipar!B:B,4,Equipar!AC:AC,A39),"Equipada",
IF(
  OR(COUNTIFS(Equipar!B:B,4,Equipar!C:C,A39)
 +COUNTIFS(Equipar!B:B,4,Equipar!D:D,A39)
+COUNTIFS(Equipar!B:B,4,Equipar!E:E,A39)
+COUNTIFS(Equipar!B:B,4,Equipar!F:F,A39)
&gt;0,COUNTIF('Set recomendado'!B:B,C39)=0),
"Bloqueada",
"Desechable")),""
)</f>
        <v>Desechable</v>
      </c>
      <c r="J39" t="str" cm="1">
        <f t="array" ref="J39">IF(ISNUMBER(A39),IFERROR(_xlfn._xlws.FILTER(Equipar!A:A,(Equipar!B:B=4)*(Equipar!AC:AC=A39)),""),"")</f>
        <v/>
      </c>
    </row>
    <row r="40" spans="1:10" x14ac:dyDescent="0.25">
      <c r="A40" s="1">
        <v>163</v>
      </c>
      <c r="B40" t="s">
        <v>54</v>
      </c>
      <c r="C40" t="s">
        <v>14</v>
      </c>
      <c r="D40" t="s">
        <v>40</v>
      </c>
      <c r="E40" t="s">
        <v>39</v>
      </c>
      <c r="F40" t="s">
        <v>43</v>
      </c>
      <c r="I40" s="2" t="str">
        <f ca="1">IF(ISNUMBER(A40),
IF(COUNTIFS(Equipar!B:B,4,Equipar!AC:AC,A40),"Equipada",
IF(
  OR(COUNTIFS(Equipar!B:B,4,Equipar!C:C,A40)
 +COUNTIFS(Equipar!B:B,4,Equipar!D:D,A40)
+COUNTIFS(Equipar!B:B,4,Equipar!E:E,A40)
+COUNTIFS(Equipar!B:B,4,Equipar!F:F,A40)
&gt;0,COUNTIF('Set recomendado'!B:B,C40)=0),
"Bloqueada",
"Desechable")),""
)</f>
        <v>Desechable</v>
      </c>
      <c r="J40" t="str" cm="1">
        <f t="array" ref="J40">IF(ISNUMBER(A40),IFERROR(_xlfn._xlws.FILTER(Equipar!A:A,(Equipar!B:B=4)*(Equipar!AC:AC=A40)),""),"")</f>
        <v/>
      </c>
    </row>
    <row r="41" spans="1:10" x14ac:dyDescent="0.25">
      <c r="A41" s="1">
        <v>164</v>
      </c>
      <c r="B41" t="s">
        <v>54</v>
      </c>
      <c r="C41" t="s">
        <v>14</v>
      </c>
      <c r="D41" t="s">
        <v>43</v>
      </c>
      <c r="E41" t="s">
        <v>43</v>
      </c>
      <c r="F41" t="s">
        <v>32</v>
      </c>
      <c r="I41" s="2" t="str">
        <f ca="1">IF(ISNUMBER(A41),
IF(COUNTIFS(Equipar!B:B,4,Equipar!AC:AC,A41),"Equipada",
IF(
  OR(COUNTIFS(Equipar!B:B,4,Equipar!C:C,A41)
 +COUNTIFS(Equipar!B:B,4,Equipar!D:D,A41)
+COUNTIFS(Equipar!B:B,4,Equipar!E:E,A41)
+COUNTIFS(Equipar!B:B,4,Equipar!F:F,A41)
&gt;0,COUNTIF('Set recomendado'!B:B,C41)=0),
"Bloqueada",
"Desechable")),""
)</f>
        <v>Desechable</v>
      </c>
      <c r="J41" t="str" cm="1">
        <f t="array" ref="J41">IF(ISNUMBER(A41),IFERROR(_xlfn._xlws.FILTER(Equipar!A:A,(Equipar!B:B=4)*(Equipar!AC:AC=A41)),""),"")</f>
        <v/>
      </c>
    </row>
    <row r="42" spans="1:10" x14ac:dyDescent="0.25">
      <c r="A42" s="1">
        <v>165</v>
      </c>
      <c r="B42" t="s">
        <v>54</v>
      </c>
      <c r="C42" t="s">
        <v>23</v>
      </c>
      <c r="D42" t="s">
        <v>37</v>
      </c>
      <c r="E42" t="s">
        <v>38</v>
      </c>
      <c r="F42" t="s">
        <v>36</v>
      </c>
      <c r="G42" t="s">
        <v>40</v>
      </c>
      <c r="I42" s="2" t="str">
        <f ca="1">IF(ISNUMBER(A42),
IF(COUNTIFS(Equipar!B:B,4,Equipar!AC:AC,A42),"Equipada",
IF(
  OR(COUNTIFS(Equipar!B:B,4,Equipar!C:C,A42)
 +COUNTIFS(Equipar!B:B,4,Equipar!D:D,A42)
+COUNTIFS(Equipar!B:B,4,Equipar!E:E,A42)
+COUNTIFS(Equipar!B:B,4,Equipar!F:F,A42)
&gt;0,COUNTIF('Set recomendado'!B:B,C42)=0),
"Bloqueada",
"Desechable")),""
)</f>
        <v>Desechable</v>
      </c>
      <c r="J42" t="str" cm="1">
        <f t="array" ref="J42">IF(ISNUMBER(A42),IFERROR(_xlfn._xlws.FILTER(Equipar!A:A,(Equipar!B:B=4)*(Equipar!AC:AC=A42)),""),"")</f>
        <v/>
      </c>
    </row>
    <row r="43" spans="1:10" x14ac:dyDescent="0.25">
      <c r="A43" s="1">
        <v>166</v>
      </c>
      <c r="B43" t="s">
        <v>53</v>
      </c>
      <c r="C43" t="s">
        <v>56</v>
      </c>
      <c r="D43" t="s">
        <v>38</v>
      </c>
      <c r="E43" t="s">
        <v>36</v>
      </c>
      <c r="F43" t="s">
        <v>32</v>
      </c>
      <c r="G43" t="s">
        <v>41</v>
      </c>
      <c r="I43" s="2" t="str">
        <f>IF(ISNUMBER(A43),
IF(COUNTIFS(Equipar!B:B,4,Equipar!AC:AC,A43),"Equipada",
IF(
  OR(COUNTIFS(Equipar!B:B,4,Equipar!C:C,A43)
 +COUNTIFS(Equipar!B:B,4,Equipar!D:D,A43)
+COUNTIFS(Equipar!B:B,4,Equipar!E:E,A43)
+COUNTIFS(Equipar!B:B,4,Equipar!F:F,A43)
&gt;0,COUNTIF('Set recomendado'!B:B,C43)=0),
"Bloqueada",
"Desechable")),""
)</f>
        <v>Equipada</v>
      </c>
      <c r="J43" t="str" cm="1">
        <f t="array" ref="J43">IF(ISNUMBER(A43),IFERROR(_xlfn._xlws.FILTER(Equipar!A:A,(Equipar!B:B=4)*(Equipar!AC:AC=A43)),""),"")</f>
        <v>Yamamoto</v>
      </c>
    </row>
    <row r="44" spans="1:10" x14ac:dyDescent="0.25">
      <c r="A44" s="1">
        <v>167</v>
      </c>
      <c r="B44" t="s">
        <v>54</v>
      </c>
      <c r="C44" t="s">
        <v>57</v>
      </c>
      <c r="D44" t="s">
        <v>37</v>
      </c>
      <c r="E44" t="s">
        <v>38</v>
      </c>
      <c r="F44" t="s">
        <v>32</v>
      </c>
      <c r="I44" s="2" t="str">
        <f ca="1">IF(ISNUMBER(A44),
IF(COUNTIFS(Equipar!B:B,4,Equipar!AC:AC,A44),"Equipada",
IF(
  OR(COUNTIFS(Equipar!B:B,4,Equipar!C:C,A44)
 +COUNTIFS(Equipar!B:B,4,Equipar!D:D,A44)
+COUNTIFS(Equipar!B:B,4,Equipar!E:E,A44)
+COUNTIFS(Equipar!B:B,4,Equipar!F:F,A44)
&gt;0,COUNTIF('Set recomendado'!B:B,C44)=0),
"Bloqueada",
"Desechable")),""
)</f>
        <v>Bloqueada</v>
      </c>
      <c r="J44" t="str" cm="1">
        <f t="array" ref="J44">IF(ISNUMBER(A44),IFERROR(_xlfn._xlws.FILTER(Equipar!A:A,(Equipar!B:B=4)*(Equipar!AC:AC=A44)),""),"")</f>
        <v/>
      </c>
    </row>
    <row r="45" spans="1:10" x14ac:dyDescent="0.25">
      <c r="A45" s="1">
        <v>168</v>
      </c>
      <c r="B45" t="s">
        <v>54</v>
      </c>
      <c r="C45" t="s">
        <v>55</v>
      </c>
      <c r="D45" t="s">
        <v>37</v>
      </c>
      <c r="E45" t="s">
        <v>40</v>
      </c>
      <c r="F45" t="s">
        <v>44</v>
      </c>
      <c r="I45" s="2" t="str">
        <f ca="1">IF(ISNUMBER(A45),
IF(COUNTIFS(Equipar!B:B,4,Equipar!AC:AC,A45),"Equipada",
IF(
  OR(COUNTIFS(Equipar!B:B,4,Equipar!C:C,A45)
 +COUNTIFS(Equipar!B:B,4,Equipar!D:D,A45)
+COUNTIFS(Equipar!B:B,4,Equipar!E:E,A45)
+COUNTIFS(Equipar!B:B,4,Equipar!F:F,A45)
&gt;0,COUNTIF('Set recomendado'!B:B,C45)=0),
"Bloqueada",
"Desechable")),""
)</f>
        <v>Desechable</v>
      </c>
      <c r="J45" t="str" cm="1">
        <f t="array" ref="J45">IF(ISNUMBER(A45),IFERROR(_xlfn._xlws.FILTER(Equipar!A:A,(Equipar!B:B=4)*(Equipar!AC:AC=A45)),""),"")</f>
        <v/>
      </c>
    </row>
    <row r="46" spans="1:10" x14ac:dyDescent="0.25">
      <c r="A46" s="3">
        <v>169</v>
      </c>
      <c r="B46" s="4" t="s">
        <v>54</v>
      </c>
      <c r="C46" s="4" t="s">
        <v>29</v>
      </c>
      <c r="D46" s="4" t="s">
        <v>43</v>
      </c>
      <c r="E46" s="4" t="s">
        <v>42</v>
      </c>
      <c r="F46" s="4" t="s">
        <v>41</v>
      </c>
      <c r="G46" s="4"/>
      <c r="H46" s="4"/>
      <c r="I46" s="2" t="str">
        <f ca="1">IF(ISNUMBER(A46),
IF(COUNTIFS(Equipar!B:B,4,Equipar!AC:AC,A46),"Equipada",
IF(
  OR(COUNTIFS(Equipar!B:B,4,Equipar!C:C,A46)
 +COUNTIFS(Equipar!B:B,4,Equipar!D:D,A46)
+COUNTIFS(Equipar!B:B,4,Equipar!E:E,A46)
+COUNTIFS(Equipar!B:B,4,Equipar!F:F,A46)
&gt;0,COUNTIF('Set recomendado'!B:B,C46)=0),
"Bloqueada",
"Desechable")),""
)</f>
        <v>Desechable</v>
      </c>
      <c r="J46" t="str" cm="1">
        <f t="array" ref="J46">IF(ISNUMBER(A46),IFERROR(_xlfn._xlws.FILTER(Equipar!A:A,(Equipar!B:B=4)*(Equipar!AC:AC=A46)),""),"")</f>
        <v/>
      </c>
    </row>
    <row r="47" spans="1:10" x14ac:dyDescent="0.25">
      <c r="A47" s="3">
        <v>171</v>
      </c>
      <c r="B47" t="s">
        <v>53</v>
      </c>
      <c r="C47" t="s">
        <v>57</v>
      </c>
      <c r="D47" t="s">
        <v>43</v>
      </c>
      <c r="E47" t="s">
        <v>37</v>
      </c>
      <c r="F47" t="s">
        <v>38</v>
      </c>
      <c r="G47" t="s">
        <v>37</v>
      </c>
      <c r="H47" t="s">
        <v>42</v>
      </c>
      <c r="I47" s="2" t="str">
        <f ca="1">IF(ISNUMBER(A47),
IF(COUNTIFS(Equipar!B:B,4,Equipar!AC:AC,A47),"Equipada",
IF(
  OR(COUNTIFS(Equipar!B:B,4,Equipar!C:C,A47)
 +COUNTIFS(Equipar!B:B,4,Equipar!D:D,A47)
+COUNTIFS(Equipar!B:B,4,Equipar!E:E,A47)
+COUNTIFS(Equipar!B:B,4,Equipar!F:F,A47)
&gt;0,COUNTIF('Set recomendado'!B:B,C47)=0),
"Bloqueada",
"Desechable")),""
)</f>
        <v>Bloqueada</v>
      </c>
      <c r="J47" t="str" cm="1">
        <f t="array" ref="J47">IF(ISNUMBER(A47),IFERROR(_xlfn._xlws.FILTER(Equipar!A:A,(Equipar!B:B=4)*(Equipar!AC:AC=A47)),""),"")</f>
        <v/>
      </c>
    </row>
    <row r="48" spans="1:10" x14ac:dyDescent="0.25">
      <c r="A48" s="3">
        <v>172</v>
      </c>
      <c r="B48" t="s">
        <v>53</v>
      </c>
      <c r="C48" t="s">
        <v>57</v>
      </c>
      <c r="D48" t="s">
        <v>39</v>
      </c>
      <c r="E48" t="s">
        <v>41</v>
      </c>
      <c r="F48" t="s">
        <v>40</v>
      </c>
      <c r="G48" t="s">
        <v>34</v>
      </c>
      <c r="H48" t="s">
        <v>37</v>
      </c>
      <c r="I48" s="2" t="str">
        <f ca="1">IF(ISNUMBER(A48),
IF(COUNTIFS(Equipar!B:B,4,Equipar!AC:AC,A48),"Equipada",
IF(
  OR(COUNTIFS(Equipar!B:B,4,Equipar!C:C,A48)
 +COUNTIFS(Equipar!B:B,4,Equipar!D:D,A48)
+COUNTIFS(Equipar!B:B,4,Equipar!E:E,A48)
+COUNTIFS(Equipar!B:B,4,Equipar!F:F,A48)
&gt;0,COUNTIF('Set recomendado'!B:B,C48)=0),
"Bloqueada",
"Desechable")),""
)</f>
        <v>Bloqueada</v>
      </c>
      <c r="J48" t="str" cm="1">
        <f t="array" ref="J48">IF(ISNUMBER(A48),IFERROR(_xlfn._xlws.FILTER(Equipar!A:A,(Equipar!B:B=4)*(Equipar!AC:AC=A48)),""),"")</f>
        <v/>
      </c>
    </row>
    <row r="49" spans="1:10" x14ac:dyDescent="0.25">
      <c r="A49" s="3">
        <v>173</v>
      </c>
      <c r="B49" t="s">
        <v>53</v>
      </c>
      <c r="C49" t="s">
        <v>57</v>
      </c>
      <c r="D49" t="s">
        <v>40</v>
      </c>
      <c r="E49" t="s">
        <v>38</v>
      </c>
      <c r="F49" t="s">
        <v>42</v>
      </c>
      <c r="G49" t="s">
        <v>35</v>
      </c>
      <c r="I49" s="2" t="str">
        <f ca="1">IF(ISNUMBER(A49),
IF(COUNTIFS(Equipar!B:B,4,Equipar!AC:AC,A49),"Equipada",
IF(
  OR(COUNTIFS(Equipar!B:B,4,Equipar!C:C,A49)
 +COUNTIFS(Equipar!B:B,4,Equipar!D:D,A49)
+COUNTIFS(Equipar!B:B,4,Equipar!E:E,A49)
+COUNTIFS(Equipar!B:B,4,Equipar!F:F,A49)
&gt;0,COUNTIF('Set recomendado'!B:B,C49)=0),
"Bloqueada",
"Desechable")),""
)</f>
        <v>Bloqueada</v>
      </c>
      <c r="J49" t="str" cm="1">
        <f t="array" ref="J49">IF(ISNUMBER(A49),IFERROR(_xlfn._xlws.FILTER(Equipar!A:A,(Equipar!B:B=4)*(Equipar!AC:AC=A49)),""),"")</f>
        <v/>
      </c>
    </row>
    <row r="50" spans="1:10" x14ac:dyDescent="0.25">
      <c r="A50" s="3">
        <v>174</v>
      </c>
      <c r="B50" t="s">
        <v>54</v>
      </c>
      <c r="C50" t="s">
        <v>57</v>
      </c>
      <c r="D50" t="s">
        <v>43</v>
      </c>
      <c r="E50" t="s">
        <v>42</v>
      </c>
      <c r="F50" t="s">
        <v>37</v>
      </c>
      <c r="G50" t="s">
        <v>32</v>
      </c>
      <c r="I50" s="2" t="str">
        <f ca="1">IF(ISNUMBER(A50),
IF(COUNTIFS(Equipar!B:B,4,Equipar!AC:AC,A50),"Equipada",
IF(
  OR(COUNTIFS(Equipar!B:B,4,Equipar!C:C,A50)
 +COUNTIFS(Equipar!B:B,4,Equipar!D:D,A50)
+COUNTIFS(Equipar!B:B,4,Equipar!E:E,A50)
+COUNTIFS(Equipar!B:B,4,Equipar!F:F,A50)
&gt;0,COUNTIF('Set recomendado'!B:B,C50)=0),
"Bloqueada",
"Desechable")),""
)</f>
        <v>Bloqueada</v>
      </c>
      <c r="J50" t="str" cm="1">
        <f t="array" ref="J50">IF(ISNUMBER(A50),IFERROR(_xlfn._xlws.FILTER(Equipar!A:A,(Equipar!B:B=4)*(Equipar!AC:AC=A50)),""),"")</f>
        <v/>
      </c>
    </row>
    <row r="51" spans="1:10" x14ac:dyDescent="0.25">
      <c r="A51" s="3">
        <v>175</v>
      </c>
      <c r="B51" t="s">
        <v>54</v>
      </c>
      <c r="C51" t="s">
        <v>57</v>
      </c>
      <c r="D51" t="s">
        <v>38</v>
      </c>
      <c r="E51" t="s">
        <v>33</v>
      </c>
      <c r="F51" t="s">
        <v>37</v>
      </c>
      <c r="I51" s="2" t="str">
        <f ca="1">IF(ISNUMBER(A51),
IF(COUNTIFS(Equipar!B:B,4,Equipar!AC:AC,A51),"Equipada",
IF(
  OR(COUNTIFS(Equipar!B:B,4,Equipar!C:C,A51)
 +COUNTIFS(Equipar!B:B,4,Equipar!D:D,A51)
+COUNTIFS(Equipar!B:B,4,Equipar!E:E,A51)
+COUNTIFS(Equipar!B:B,4,Equipar!F:F,A51)
&gt;0,COUNTIF('Set recomendado'!B:B,C51)=0),
"Bloqueada",
"Desechable")),""
)</f>
        <v>Bloqueada</v>
      </c>
      <c r="J51" t="str" cm="1">
        <f t="array" ref="J51">IF(ISNUMBER(A51),IFERROR(_xlfn._xlws.FILTER(Equipar!A:A,(Equipar!B:B=4)*(Equipar!AC:AC=A51)),""),"")</f>
        <v/>
      </c>
    </row>
    <row r="52" spans="1:10" x14ac:dyDescent="0.25">
      <c r="A52" s="3">
        <v>176</v>
      </c>
      <c r="B52" t="s">
        <v>54</v>
      </c>
      <c r="C52" t="s">
        <v>57</v>
      </c>
      <c r="D52" t="s">
        <v>37</v>
      </c>
      <c r="E52" t="s">
        <v>42</v>
      </c>
      <c r="F52" t="s">
        <v>37</v>
      </c>
      <c r="I52" s="2" t="str">
        <f ca="1">IF(ISNUMBER(A52),
IF(COUNTIFS(Equipar!B:B,4,Equipar!AC:AC,A52),"Equipada",
IF(
  OR(COUNTIFS(Equipar!B:B,4,Equipar!C:C,A52)
 +COUNTIFS(Equipar!B:B,4,Equipar!D:D,A52)
+COUNTIFS(Equipar!B:B,4,Equipar!E:E,A52)
+COUNTIFS(Equipar!B:B,4,Equipar!F:F,A52)
&gt;0,COUNTIF('Set recomendado'!B:B,C52)=0),
"Bloqueada",
"Desechable")),""
)</f>
        <v>Bloqueada</v>
      </c>
      <c r="J52" t="str" cm="1">
        <f t="array" ref="J52">IF(ISNUMBER(A52),IFERROR(_xlfn._xlws.FILTER(Equipar!A:A,(Equipar!B:B=4)*(Equipar!AC:AC=A52)),""),"")</f>
        <v/>
      </c>
    </row>
    <row r="53" spans="1:10" x14ac:dyDescent="0.25">
      <c r="A53" s="3">
        <v>177</v>
      </c>
      <c r="B53" t="s">
        <v>54</v>
      </c>
      <c r="C53" t="s">
        <v>57</v>
      </c>
      <c r="D53" t="s">
        <v>43</v>
      </c>
      <c r="E53" t="s">
        <v>44</v>
      </c>
      <c r="F53" t="s">
        <v>42</v>
      </c>
      <c r="I53" s="2" t="str">
        <f ca="1">IF(ISNUMBER(A53),
IF(COUNTIFS(Equipar!B:B,4,Equipar!AC:AC,A53),"Equipada",
IF(
  OR(COUNTIFS(Equipar!B:B,4,Equipar!C:C,A53)
 +COUNTIFS(Equipar!B:B,4,Equipar!D:D,A53)
+COUNTIFS(Equipar!B:B,4,Equipar!E:E,A53)
+COUNTIFS(Equipar!B:B,4,Equipar!F:F,A53)
&gt;0,COUNTIF('Set recomendado'!B:B,C53)=0),
"Bloqueada",
"Desechable")),""
)</f>
        <v>Bloqueada</v>
      </c>
      <c r="J53" t="str" cm="1">
        <f t="array" ref="J53">IF(ISNUMBER(A53),IFERROR(_xlfn._xlws.FILTER(Equipar!A:A,(Equipar!B:B=4)*(Equipar!AC:AC=A53)),""),"")</f>
        <v/>
      </c>
    </row>
    <row r="54" spans="1:10" x14ac:dyDescent="0.25">
      <c r="A54" s="3">
        <v>178</v>
      </c>
      <c r="B54" t="s">
        <v>54</v>
      </c>
      <c r="C54" t="s">
        <v>57</v>
      </c>
      <c r="D54" t="s">
        <v>38</v>
      </c>
      <c r="E54" t="s">
        <v>32</v>
      </c>
      <c r="F54" t="s">
        <v>41</v>
      </c>
      <c r="G54" t="s">
        <v>35</v>
      </c>
      <c r="I54" s="2" t="str">
        <f ca="1">IF(ISNUMBER(A54),
IF(COUNTIFS(Equipar!B:B,4,Equipar!AC:AC,A54),"Equipada",
IF(
  OR(COUNTIFS(Equipar!B:B,4,Equipar!C:C,A54)
 +COUNTIFS(Equipar!B:B,4,Equipar!D:D,A54)
+COUNTIFS(Equipar!B:B,4,Equipar!E:E,A54)
+COUNTIFS(Equipar!B:B,4,Equipar!F:F,A54)
&gt;0,COUNTIF('Set recomendado'!B:B,C54)=0),
"Bloqueada",
"Desechable")),""
)</f>
        <v>Bloqueada</v>
      </c>
      <c r="J54" t="str" cm="1">
        <f t="array" ref="J54">IF(ISNUMBER(A54),IFERROR(_xlfn._xlws.FILTER(Equipar!A:A,(Equipar!B:B=4)*(Equipar!AC:AC=A54)),""),"")</f>
        <v/>
      </c>
    </row>
    <row r="55" spans="1:10" x14ac:dyDescent="0.25">
      <c r="A55" s="3">
        <v>179</v>
      </c>
      <c r="B55" t="s">
        <v>54</v>
      </c>
      <c r="C55" t="s">
        <v>57</v>
      </c>
      <c r="D55" t="s">
        <v>40</v>
      </c>
      <c r="E55" t="s">
        <v>38</v>
      </c>
      <c r="F55" t="s">
        <v>40</v>
      </c>
      <c r="I55" s="2" t="str">
        <f ca="1">IF(ISNUMBER(A55),
IF(COUNTIFS(Equipar!B:B,4,Equipar!AC:AC,A55),"Equipada",
IF(
  OR(COUNTIFS(Equipar!B:B,4,Equipar!C:C,A55)
 +COUNTIFS(Equipar!B:B,4,Equipar!D:D,A55)
+COUNTIFS(Equipar!B:B,4,Equipar!E:E,A55)
+COUNTIFS(Equipar!B:B,4,Equipar!F:F,A55)
&gt;0,COUNTIF('Set recomendado'!B:B,C55)=0),
"Bloqueada",
"Desechable")),""
)</f>
        <v>Bloqueada</v>
      </c>
      <c r="J55" t="str" cm="1">
        <f t="array" ref="J55">IF(ISNUMBER(A55),IFERROR(_xlfn._xlws.FILTER(Equipar!A:A,(Equipar!B:B=4)*(Equipar!AC:AC=A55)),""),"")</f>
        <v/>
      </c>
    </row>
    <row r="56" spans="1:10" x14ac:dyDescent="0.25">
      <c r="A56" s="3">
        <v>180</v>
      </c>
      <c r="B56" t="s">
        <v>54</v>
      </c>
      <c r="C56" t="s">
        <v>57</v>
      </c>
      <c r="D56" t="s">
        <v>37</v>
      </c>
      <c r="E56" t="s">
        <v>39</v>
      </c>
      <c r="F56" t="s">
        <v>38</v>
      </c>
      <c r="I56" s="2" t="str">
        <f ca="1">IF(ISNUMBER(A56),
IF(COUNTIFS(Equipar!B:B,4,Equipar!AC:AC,A56),"Equipada",
IF(
  OR(COUNTIFS(Equipar!B:B,4,Equipar!C:C,A56)
 +COUNTIFS(Equipar!B:B,4,Equipar!D:D,A56)
+COUNTIFS(Equipar!B:B,4,Equipar!E:E,A56)
+COUNTIFS(Equipar!B:B,4,Equipar!F:F,A56)
&gt;0,COUNTIF('Set recomendado'!B:B,C56)=0),
"Bloqueada",
"Desechable")),""
)</f>
        <v>Bloqueada</v>
      </c>
      <c r="J56" t="str" cm="1">
        <f t="array" ref="J56">IF(ISNUMBER(A56),IFERROR(_xlfn._xlws.FILTER(Equipar!A:A,(Equipar!B:B=4)*(Equipar!AC:AC=A56)),""),"")</f>
        <v/>
      </c>
    </row>
    <row r="57" spans="1:10" x14ac:dyDescent="0.25">
      <c r="A57" s="3">
        <v>181</v>
      </c>
      <c r="B57" t="s">
        <v>54</v>
      </c>
      <c r="C57" t="s">
        <v>57</v>
      </c>
      <c r="D57" t="s">
        <v>40</v>
      </c>
      <c r="E57" t="s">
        <v>43</v>
      </c>
      <c r="F57" t="s">
        <v>41</v>
      </c>
      <c r="I57" s="2" t="str">
        <f ca="1">IF(ISNUMBER(A57),
IF(COUNTIFS(Equipar!B:B,4,Equipar!AC:AC,A57),"Equipada",
IF(
  OR(COUNTIFS(Equipar!B:B,4,Equipar!C:C,A57)
 +COUNTIFS(Equipar!B:B,4,Equipar!D:D,A57)
+COUNTIFS(Equipar!B:B,4,Equipar!E:E,A57)
+COUNTIFS(Equipar!B:B,4,Equipar!F:F,A57)
&gt;0,COUNTIF('Set recomendado'!B:B,C57)=0),
"Bloqueada",
"Desechable")),""
)</f>
        <v>Bloqueada</v>
      </c>
      <c r="J57" t="str" cm="1">
        <f t="array" ref="J57">IF(ISNUMBER(A57),IFERROR(_xlfn._xlws.FILTER(Equipar!A:A,(Equipar!B:B=4)*(Equipar!AC:AC=A57)),""),"")</f>
        <v/>
      </c>
    </row>
    <row r="58" spans="1:10" x14ac:dyDescent="0.25">
      <c r="A58" s="3">
        <v>182</v>
      </c>
      <c r="B58" t="s">
        <v>54</v>
      </c>
      <c r="C58" t="s">
        <v>57</v>
      </c>
      <c r="D58" t="s">
        <v>43</v>
      </c>
      <c r="E58" t="s">
        <v>42</v>
      </c>
      <c r="F58" t="s">
        <v>33</v>
      </c>
      <c r="G58" t="s">
        <v>43</v>
      </c>
      <c r="I58" s="2" t="str">
        <f ca="1">IF(ISNUMBER(A58),
IF(COUNTIFS(Equipar!B:B,4,Equipar!AC:AC,A58),"Equipada",
IF(
  OR(COUNTIFS(Equipar!B:B,4,Equipar!C:C,A58)
 +COUNTIFS(Equipar!B:B,4,Equipar!D:D,A58)
+COUNTIFS(Equipar!B:B,4,Equipar!E:E,A58)
+COUNTIFS(Equipar!B:B,4,Equipar!F:F,A58)
&gt;0,COUNTIF('Set recomendado'!B:B,C58)=0),
"Bloqueada",
"Desechable")),""
)</f>
        <v>Bloqueada</v>
      </c>
      <c r="J58" t="str" cm="1">
        <f t="array" ref="J58">IF(ISNUMBER(A58),IFERROR(_xlfn._xlws.FILTER(Equipar!A:A,(Equipar!B:B=4)*(Equipar!AC:AC=A58)),""),"")</f>
        <v/>
      </c>
    </row>
    <row r="59" spans="1:10" x14ac:dyDescent="0.25">
      <c r="A59" s="3">
        <v>183</v>
      </c>
      <c r="B59" t="s">
        <v>54</v>
      </c>
      <c r="C59" t="s">
        <v>57</v>
      </c>
      <c r="D59" t="s">
        <v>37</v>
      </c>
      <c r="E59" t="s">
        <v>32</v>
      </c>
      <c r="F59" t="s">
        <v>37</v>
      </c>
      <c r="G59" t="s">
        <v>37</v>
      </c>
      <c r="I59" s="2" t="str">
        <f ca="1">IF(ISNUMBER(A59),
IF(COUNTIFS(Equipar!B:B,4,Equipar!AC:AC,A59),"Equipada",
IF(
  OR(COUNTIFS(Equipar!B:B,4,Equipar!C:C,A59)
 +COUNTIFS(Equipar!B:B,4,Equipar!D:D,A59)
+COUNTIFS(Equipar!B:B,4,Equipar!E:E,A59)
+COUNTIFS(Equipar!B:B,4,Equipar!F:F,A59)
&gt;0,COUNTIF('Set recomendado'!B:B,C59)=0),
"Bloqueada",
"Desechable")),""
)</f>
        <v>Bloqueada</v>
      </c>
      <c r="J59" t="str" cm="1">
        <f t="array" ref="J59">IF(ISNUMBER(A59),IFERROR(_xlfn._xlws.FILTER(Equipar!A:A,(Equipar!B:B=4)*(Equipar!AC:AC=A59)),""),"")</f>
        <v/>
      </c>
    </row>
    <row r="60" spans="1:10" x14ac:dyDescent="0.25">
      <c r="A60" s="3">
        <v>184</v>
      </c>
      <c r="B60" t="s">
        <v>54</v>
      </c>
      <c r="C60" t="s">
        <v>57</v>
      </c>
      <c r="D60" t="s">
        <v>43</v>
      </c>
      <c r="E60" t="s">
        <v>34</v>
      </c>
      <c r="F60" t="s">
        <v>36</v>
      </c>
      <c r="I60" s="2" t="str">
        <f ca="1">IF(ISNUMBER(A60),
IF(COUNTIFS(Equipar!B:B,4,Equipar!AC:AC,A60),"Equipada",
IF(
  OR(COUNTIFS(Equipar!B:B,4,Equipar!C:C,A60)
 +COUNTIFS(Equipar!B:B,4,Equipar!D:D,A60)
+COUNTIFS(Equipar!B:B,4,Equipar!E:E,A60)
+COUNTIFS(Equipar!B:B,4,Equipar!F:F,A60)
&gt;0,COUNTIF('Set recomendado'!B:B,C60)=0),
"Bloqueada",
"Desechable")),""
)</f>
        <v>Bloqueada</v>
      </c>
      <c r="J60" t="str" cm="1">
        <f t="array" ref="J60">IF(ISNUMBER(A60),IFERROR(_xlfn._xlws.FILTER(Equipar!A:A,(Equipar!B:B=4)*(Equipar!AC:AC=A60)),""),"")</f>
        <v/>
      </c>
    </row>
    <row r="61" spans="1:10" x14ac:dyDescent="0.25">
      <c r="A61" s="3">
        <v>185</v>
      </c>
      <c r="B61" t="s">
        <v>54</v>
      </c>
      <c r="C61" t="s">
        <v>57</v>
      </c>
      <c r="D61" t="s">
        <v>38</v>
      </c>
      <c r="E61" t="s">
        <v>36</v>
      </c>
      <c r="F61" t="s">
        <v>37</v>
      </c>
      <c r="I61" s="2" t="str">
        <f ca="1">IF(ISNUMBER(A61),
IF(COUNTIFS(Equipar!B:B,4,Equipar!AC:AC,A61),"Equipada",
IF(
  OR(COUNTIFS(Equipar!B:B,4,Equipar!C:C,A61)
 +COUNTIFS(Equipar!B:B,4,Equipar!D:D,A61)
+COUNTIFS(Equipar!B:B,4,Equipar!E:E,A61)
+COUNTIFS(Equipar!B:B,4,Equipar!F:F,A61)
&gt;0,COUNTIF('Set recomendado'!B:B,C61)=0),
"Bloqueada",
"Desechable")),""
)</f>
        <v>Bloqueada</v>
      </c>
      <c r="J61" t="str" cm="1">
        <f t="array" ref="J61">IF(ISNUMBER(A61),IFERROR(_xlfn._xlws.FILTER(Equipar!A:A,(Equipar!B:B=4)*(Equipar!AC:AC=A61)),""),"")</f>
        <v/>
      </c>
    </row>
    <row r="62" spans="1:10" x14ac:dyDescent="0.25">
      <c r="A62" s="3">
        <v>186</v>
      </c>
      <c r="B62" t="s">
        <v>54</v>
      </c>
      <c r="C62" t="s">
        <v>57</v>
      </c>
      <c r="D62" t="s">
        <v>38</v>
      </c>
      <c r="E62" t="s">
        <v>32</v>
      </c>
      <c r="F62" t="s">
        <v>43</v>
      </c>
      <c r="G62" t="s">
        <v>43</v>
      </c>
      <c r="I62" s="2" t="str">
        <f ca="1">IF(ISNUMBER(A62),
IF(COUNTIFS(Equipar!B:B,4,Equipar!AC:AC,A62),"Equipada",
IF(
  OR(COUNTIFS(Equipar!B:B,4,Equipar!C:C,A62)
 +COUNTIFS(Equipar!B:B,4,Equipar!D:D,A62)
+COUNTIFS(Equipar!B:B,4,Equipar!E:E,A62)
+COUNTIFS(Equipar!B:B,4,Equipar!F:F,A62)
&gt;0,COUNTIF('Set recomendado'!B:B,C62)=0),
"Bloqueada",
"Desechable")),""
)</f>
        <v>Bloqueada</v>
      </c>
      <c r="J62" t="str" cm="1">
        <f t="array" ref="J62">IF(ISNUMBER(A62),IFERROR(_xlfn._xlws.FILTER(Equipar!A:A,(Equipar!B:B=4)*(Equipar!AC:AC=A62)),""),"")</f>
        <v/>
      </c>
    </row>
    <row r="63" spans="1:10" x14ac:dyDescent="0.25">
      <c r="A63" s="3">
        <v>187</v>
      </c>
      <c r="B63" t="s">
        <v>54</v>
      </c>
      <c r="C63" t="s">
        <v>57</v>
      </c>
      <c r="D63" t="s">
        <v>37</v>
      </c>
      <c r="E63" t="s">
        <v>32</v>
      </c>
      <c r="F63" t="s">
        <v>37</v>
      </c>
      <c r="I63" s="2" t="str">
        <f ca="1">IF(ISNUMBER(A63),
IF(COUNTIFS(Equipar!B:B,4,Equipar!AC:AC,A63),"Equipada",
IF(
  OR(COUNTIFS(Equipar!B:B,4,Equipar!C:C,A63)
 +COUNTIFS(Equipar!B:B,4,Equipar!D:D,A63)
+COUNTIFS(Equipar!B:B,4,Equipar!E:E,A63)
+COUNTIFS(Equipar!B:B,4,Equipar!F:F,A63)
&gt;0,COUNTIF('Set recomendado'!B:B,C63)=0),
"Bloqueada",
"Desechable")),""
)</f>
        <v>Bloqueada</v>
      </c>
      <c r="J63" t="str" cm="1">
        <f t="array" ref="J63">IF(ISNUMBER(A63),IFERROR(_xlfn._xlws.FILTER(Equipar!A:A,(Equipar!B:B=4)*(Equipar!AC:AC=A63)),""),"")</f>
        <v/>
      </c>
    </row>
    <row r="64" spans="1:10" x14ac:dyDescent="0.25">
      <c r="A64" s="3">
        <v>188</v>
      </c>
      <c r="B64" t="s">
        <v>54</v>
      </c>
      <c r="C64" t="s">
        <v>57</v>
      </c>
      <c r="D64" t="s">
        <v>43</v>
      </c>
      <c r="E64" t="s">
        <v>37</v>
      </c>
      <c r="F64" t="s">
        <v>41</v>
      </c>
      <c r="I64" s="2" t="str">
        <f ca="1">IF(ISNUMBER(A64),
IF(COUNTIFS(Equipar!B:B,4,Equipar!AC:AC,A64),"Equipada",
IF(
  OR(COUNTIFS(Equipar!B:B,4,Equipar!C:C,A64)
 +COUNTIFS(Equipar!B:B,4,Equipar!D:D,A64)
+COUNTIFS(Equipar!B:B,4,Equipar!E:E,A64)
+COUNTIFS(Equipar!B:B,4,Equipar!F:F,A64)
&gt;0,COUNTIF('Set recomendado'!B:B,C64)=0),
"Bloqueada",
"Desechable")),""
)</f>
        <v>Bloqueada</v>
      </c>
      <c r="J64" t="str" cm="1">
        <f t="array" ref="J64">IF(ISNUMBER(A64),IFERROR(_xlfn._xlws.FILTER(Equipar!A:A,(Equipar!B:B=4)*(Equipar!AC:AC=A64)),""),"")</f>
        <v/>
      </c>
    </row>
    <row r="65" spans="1:10" x14ac:dyDescent="0.25">
      <c r="A65" s="3">
        <v>189</v>
      </c>
      <c r="B65" t="s">
        <v>54</v>
      </c>
      <c r="C65" t="s">
        <v>55</v>
      </c>
      <c r="D65" t="s">
        <v>39</v>
      </c>
      <c r="E65" t="s">
        <v>40</v>
      </c>
      <c r="F65" t="s">
        <v>37</v>
      </c>
      <c r="I65" s="2" t="str">
        <f ca="1">IF(ISNUMBER(A65),
IF(COUNTIFS(Equipar!B:B,4,Equipar!AC:AC,A65),"Equipada",
IF(
  OR(COUNTIFS(Equipar!B:B,4,Equipar!C:C,A65)
 +COUNTIFS(Equipar!B:B,4,Equipar!D:D,A65)
+COUNTIFS(Equipar!B:B,4,Equipar!E:E,A65)
+COUNTIFS(Equipar!B:B,4,Equipar!F:F,A65)
&gt;0,COUNTIF('Set recomendado'!B:B,C65)=0),
"Bloqueada",
"Desechable")),""
)</f>
        <v>Desechable</v>
      </c>
      <c r="J65" t="str" cm="1">
        <f t="array" ref="J65">IF(ISNUMBER(A65),IFERROR(_xlfn._xlws.FILTER(Equipar!A:A,(Equipar!B:B=4)*(Equipar!AC:AC=A65)),""),"")</f>
        <v/>
      </c>
    </row>
    <row r="66" spans="1:10" x14ac:dyDescent="0.25">
      <c r="A66" s="3">
        <v>190</v>
      </c>
      <c r="B66" t="s">
        <v>54</v>
      </c>
      <c r="C66" t="s">
        <v>55</v>
      </c>
      <c r="D66" t="s">
        <v>37</v>
      </c>
      <c r="E66" t="s">
        <v>32</v>
      </c>
      <c r="F66" t="s">
        <v>43</v>
      </c>
      <c r="I66" s="2" t="str">
        <f ca="1">IF(ISNUMBER(A66),
IF(COUNTIFS(Equipar!B:B,4,Equipar!AC:AC,A66),"Equipada",
IF(
  OR(COUNTIFS(Equipar!B:B,4,Equipar!C:C,A66)
 +COUNTIFS(Equipar!B:B,4,Equipar!D:D,A66)
+COUNTIFS(Equipar!B:B,4,Equipar!E:E,A66)
+COUNTIFS(Equipar!B:B,4,Equipar!F:F,A66)
&gt;0,COUNTIF('Set recomendado'!B:B,C66)=0),
"Bloqueada",
"Desechable")),""
)</f>
        <v>Desechable</v>
      </c>
      <c r="J66" t="str" cm="1">
        <f t="array" ref="J66">IF(ISNUMBER(A66),IFERROR(_xlfn._xlws.FILTER(Equipar!A:A,(Equipar!B:B=4)*(Equipar!AC:AC=A66)),""),"")</f>
        <v/>
      </c>
    </row>
    <row r="67" spans="1:10" x14ac:dyDescent="0.25">
      <c r="A67" s="3">
        <v>191</v>
      </c>
      <c r="B67" t="s">
        <v>54</v>
      </c>
      <c r="C67" t="s">
        <v>55</v>
      </c>
      <c r="D67" t="s">
        <v>37</v>
      </c>
      <c r="E67" t="s">
        <v>43</v>
      </c>
      <c r="F67" t="s">
        <v>44</v>
      </c>
      <c r="I67" s="2" t="str">
        <f ca="1">IF(ISNUMBER(A67),
IF(COUNTIFS(Equipar!B:B,4,Equipar!AC:AC,A67),"Equipada",
IF(
  OR(COUNTIFS(Equipar!B:B,4,Equipar!C:C,A67)
 +COUNTIFS(Equipar!B:B,4,Equipar!D:D,A67)
+COUNTIFS(Equipar!B:B,4,Equipar!E:E,A67)
+COUNTIFS(Equipar!B:B,4,Equipar!F:F,A67)
&gt;0,COUNTIF('Set recomendado'!B:B,C67)=0),
"Bloqueada",
"Desechable")),""
)</f>
        <v>Desechable</v>
      </c>
      <c r="J67" t="str" cm="1">
        <f t="array" ref="J67">IF(ISNUMBER(A67),IFERROR(_xlfn._xlws.FILTER(Equipar!A:A,(Equipar!B:B=4)*(Equipar!AC:AC=A67)),""),"")</f>
        <v/>
      </c>
    </row>
    <row r="68" spans="1:10" x14ac:dyDescent="0.25">
      <c r="A68" s="3">
        <v>192</v>
      </c>
      <c r="B68" t="s">
        <v>54</v>
      </c>
      <c r="C68" t="s">
        <v>55</v>
      </c>
      <c r="D68" t="s">
        <v>40</v>
      </c>
      <c r="E68" t="s">
        <v>42</v>
      </c>
      <c r="F68" t="s">
        <v>41</v>
      </c>
      <c r="I68" s="2" t="str">
        <f ca="1">IF(ISNUMBER(A68),
IF(COUNTIFS(Equipar!B:B,4,Equipar!AC:AC,A68),"Equipada",
IF(
  OR(COUNTIFS(Equipar!B:B,4,Equipar!C:C,A68)
 +COUNTIFS(Equipar!B:B,4,Equipar!D:D,A68)
+COUNTIFS(Equipar!B:B,4,Equipar!E:E,A68)
+COUNTIFS(Equipar!B:B,4,Equipar!F:F,A68)
&gt;0,COUNTIF('Set recomendado'!B:B,C68)=0),
"Bloqueada",
"Desechable")),""
)</f>
        <v>Desechable</v>
      </c>
      <c r="J68" t="str" cm="1">
        <f t="array" ref="J68">IF(ISNUMBER(A68),IFERROR(_xlfn._xlws.FILTER(Equipar!A:A,(Equipar!B:B=4)*(Equipar!AC:AC=A68)),""),"")</f>
        <v/>
      </c>
    </row>
    <row r="69" spans="1:10" x14ac:dyDescent="0.25">
      <c r="A69" s="3">
        <v>193</v>
      </c>
      <c r="B69" t="s">
        <v>54</v>
      </c>
      <c r="C69" t="s">
        <v>55</v>
      </c>
      <c r="D69" t="s">
        <v>37</v>
      </c>
      <c r="E69" t="s">
        <v>42</v>
      </c>
      <c r="F69" t="s">
        <v>32</v>
      </c>
      <c r="I69" s="2" t="str">
        <f ca="1">IF(ISNUMBER(A69),
IF(COUNTIFS(Equipar!B:B,4,Equipar!AC:AC,A69),"Equipada",
IF(
  OR(COUNTIFS(Equipar!B:B,4,Equipar!C:C,A69)
 +COUNTIFS(Equipar!B:B,4,Equipar!D:D,A69)
+COUNTIFS(Equipar!B:B,4,Equipar!E:E,A69)
+COUNTIFS(Equipar!B:B,4,Equipar!F:F,A69)
&gt;0,COUNTIF('Set recomendado'!B:B,C69)=0),
"Bloqueada",
"Desechable")),""
)</f>
        <v>Desechable</v>
      </c>
      <c r="J69" t="str" cm="1">
        <f t="array" ref="J69">IF(ISNUMBER(A69),IFERROR(_xlfn._xlws.FILTER(Equipar!A:A,(Equipar!B:B=4)*(Equipar!AC:AC=A69)),""),"")</f>
        <v/>
      </c>
    </row>
    <row r="70" spans="1:10" x14ac:dyDescent="0.25">
      <c r="A70" s="3">
        <v>194</v>
      </c>
      <c r="B70" t="s">
        <v>54</v>
      </c>
      <c r="C70" t="s">
        <v>55</v>
      </c>
      <c r="D70" t="s">
        <v>39</v>
      </c>
      <c r="E70" t="s">
        <v>37</v>
      </c>
      <c r="F70" t="s">
        <v>36</v>
      </c>
      <c r="I70" s="2" t="str">
        <f ca="1">IF(ISNUMBER(A70),
IF(COUNTIFS(Equipar!B:B,4,Equipar!AC:AC,A70),"Equipada",
IF(
  OR(COUNTIFS(Equipar!B:B,4,Equipar!C:C,A70)
 +COUNTIFS(Equipar!B:B,4,Equipar!D:D,A70)
+COUNTIFS(Equipar!B:B,4,Equipar!E:E,A70)
+COUNTIFS(Equipar!B:B,4,Equipar!F:F,A70)
&gt;0,COUNTIF('Set recomendado'!B:B,C70)=0),
"Bloqueada",
"Desechable")),""
)</f>
        <v>Desechable</v>
      </c>
      <c r="J70" t="str" cm="1">
        <f t="array" ref="J70">IF(ISNUMBER(A70),IFERROR(_xlfn._xlws.FILTER(Equipar!A:A,(Equipar!B:B=4)*(Equipar!AC:AC=A70)),""),"")</f>
        <v/>
      </c>
    </row>
    <row r="71" spans="1:10" x14ac:dyDescent="0.25">
      <c r="A71" s="3">
        <v>195</v>
      </c>
      <c r="B71" t="s">
        <v>54</v>
      </c>
      <c r="C71" t="s">
        <v>55</v>
      </c>
      <c r="D71" t="s">
        <v>43</v>
      </c>
      <c r="E71" t="s">
        <v>42</v>
      </c>
      <c r="F71" t="s">
        <v>37</v>
      </c>
      <c r="I71" s="2" t="str">
        <f ca="1">IF(ISNUMBER(A71),
IF(COUNTIFS(Equipar!B:B,4,Equipar!AC:AC,A71),"Equipada",
IF(
  OR(COUNTIFS(Equipar!B:B,4,Equipar!C:C,A71)
 +COUNTIFS(Equipar!B:B,4,Equipar!D:D,A71)
+COUNTIFS(Equipar!B:B,4,Equipar!E:E,A71)
+COUNTIFS(Equipar!B:B,4,Equipar!F:F,A71)
&gt;0,COUNTIF('Set recomendado'!B:B,C71)=0),
"Bloqueada",
"Desechable")),""
)</f>
        <v>Desechable</v>
      </c>
      <c r="J71" t="str" cm="1">
        <f t="array" ref="J71">IF(ISNUMBER(A71),IFERROR(_xlfn._xlws.FILTER(Equipar!A:A,(Equipar!B:B=4)*(Equipar!AC:AC=A71)),""),"")</f>
        <v/>
      </c>
    </row>
    <row r="72" spans="1:10" x14ac:dyDescent="0.25">
      <c r="A72" s="3">
        <v>196</v>
      </c>
      <c r="B72" t="s">
        <v>54</v>
      </c>
      <c r="C72" t="s">
        <v>55</v>
      </c>
      <c r="D72" t="s">
        <v>39</v>
      </c>
      <c r="E72" t="s">
        <v>37</v>
      </c>
      <c r="F72" t="s">
        <v>41</v>
      </c>
      <c r="I72" s="2" t="str">
        <f ca="1">IF(ISNUMBER(A72),
IF(COUNTIFS(Equipar!B:B,4,Equipar!AC:AC,A72),"Equipada",
IF(
  OR(COUNTIFS(Equipar!B:B,4,Equipar!C:C,A72)
 +COUNTIFS(Equipar!B:B,4,Equipar!D:D,A72)
+COUNTIFS(Equipar!B:B,4,Equipar!E:E,A72)
+COUNTIFS(Equipar!B:B,4,Equipar!F:F,A72)
&gt;0,COUNTIF('Set recomendado'!B:B,C72)=0),
"Bloqueada",
"Desechable")),""
)</f>
        <v>Desechable</v>
      </c>
      <c r="J72" t="str" cm="1">
        <f t="array" ref="J72">IF(ISNUMBER(A72),IFERROR(_xlfn._xlws.FILTER(Equipar!A:A,(Equipar!B:B=4)*(Equipar!AC:AC=A72)),""),"")</f>
        <v/>
      </c>
    </row>
    <row r="73" spans="1:10" x14ac:dyDescent="0.25">
      <c r="A73" s="3">
        <v>197</v>
      </c>
      <c r="B73" t="s">
        <v>54</v>
      </c>
      <c r="C73" t="s">
        <v>55</v>
      </c>
      <c r="D73" t="s">
        <v>40</v>
      </c>
      <c r="E73" t="s">
        <v>37</v>
      </c>
      <c r="F73" t="s">
        <v>38</v>
      </c>
      <c r="G73" t="s">
        <v>41</v>
      </c>
      <c r="I73" s="2" t="str">
        <f ca="1">IF(ISNUMBER(A73),
IF(COUNTIFS(Equipar!B:B,4,Equipar!AC:AC,A73),"Equipada",
IF(
  OR(COUNTIFS(Equipar!B:B,4,Equipar!C:C,A73)
 +COUNTIFS(Equipar!B:B,4,Equipar!D:D,A73)
+COUNTIFS(Equipar!B:B,4,Equipar!E:E,A73)
+COUNTIFS(Equipar!B:B,4,Equipar!F:F,A73)
&gt;0,COUNTIF('Set recomendado'!B:B,C73)=0),
"Bloqueada",
"Desechable")),""
)</f>
        <v>Desechable</v>
      </c>
      <c r="J73" t="str" cm="1">
        <f t="array" ref="J73">IF(ISNUMBER(A73),IFERROR(_xlfn._xlws.FILTER(Equipar!A:A,(Equipar!B:B=4)*(Equipar!AC:AC=A73)),""),"")</f>
        <v/>
      </c>
    </row>
    <row r="74" spans="1:10" x14ac:dyDescent="0.25">
      <c r="A74" s="3">
        <v>198</v>
      </c>
      <c r="B74" t="s">
        <v>54</v>
      </c>
      <c r="C74" t="s">
        <v>55</v>
      </c>
      <c r="D74" t="s">
        <v>37</v>
      </c>
      <c r="E74" t="s">
        <v>42</v>
      </c>
      <c r="F74" t="s">
        <v>42</v>
      </c>
      <c r="I74" s="2" t="str">
        <f ca="1">IF(ISNUMBER(A74),
IF(COUNTIFS(Equipar!B:B,4,Equipar!AC:AC,A74),"Equipada",
IF(
  OR(COUNTIFS(Equipar!B:B,4,Equipar!C:C,A74)
 +COUNTIFS(Equipar!B:B,4,Equipar!D:D,A74)
+COUNTIFS(Equipar!B:B,4,Equipar!E:E,A74)
+COUNTIFS(Equipar!B:B,4,Equipar!F:F,A74)
&gt;0,COUNTIF('Set recomendado'!B:B,C74)=0),
"Bloqueada",
"Desechable")),""
)</f>
        <v>Desechable</v>
      </c>
      <c r="J74" t="str" cm="1">
        <f t="array" ref="J74">IF(ISNUMBER(A74),IFERROR(_xlfn._xlws.FILTER(Equipar!A:A,(Equipar!B:B=4)*(Equipar!AC:AC=A74)),""),"")</f>
        <v/>
      </c>
    </row>
    <row r="75" spans="1:10" x14ac:dyDescent="0.25">
      <c r="A75" s="3">
        <v>199</v>
      </c>
      <c r="B75" t="s">
        <v>54</v>
      </c>
      <c r="C75" t="s">
        <v>55</v>
      </c>
      <c r="D75" t="s">
        <v>37</v>
      </c>
      <c r="E75" t="s">
        <v>41</v>
      </c>
      <c r="F75" t="s">
        <v>37</v>
      </c>
      <c r="I75" s="2" t="str">
        <f ca="1">IF(ISNUMBER(A75),
IF(COUNTIFS(Equipar!B:B,4,Equipar!AC:AC,A75),"Equipada",
IF(
  OR(COUNTIFS(Equipar!B:B,4,Equipar!C:C,A75)
 +COUNTIFS(Equipar!B:B,4,Equipar!D:D,A75)
+COUNTIFS(Equipar!B:B,4,Equipar!E:E,A75)
+COUNTIFS(Equipar!B:B,4,Equipar!F:F,A75)
&gt;0,COUNTIF('Set recomendado'!B:B,C75)=0),
"Bloqueada",
"Desechable")),""
)</f>
        <v>Desechable</v>
      </c>
      <c r="J75" t="str" cm="1">
        <f t="array" ref="J75">IF(ISNUMBER(A75),IFERROR(_xlfn._xlws.FILTER(Equipar!A:A,(Equipar!B:B=4)*(Equipar!AC:AC=A75)),""),"")</f>
        <v/>
      </c>
    </row>
    <row r="76" spans="1:10" x14ac:dyDescent="0.25">
      <c r="A76" s="3">
        <v>200</v>
      </c>
      <c r="B76" t="s">
        <v>54</v>
      </c>
      <c r="C76" t="s">
        <v>55</v>
      </c>
      <c r="D76" t="s">
        <v>39</v>
      </c>
      <c r="E76" t="s">
        <v>38</v>
      </c>
      <c r="F76" t="s">
        <v>39</v>
      </c>
      <c r="G76" t="s">
        <v>42</v>
      </c>
      <c r="I76" s="2" t="str">
        <f ca="1">IF(ISNUMBER(A76),
IF(COUNTIFS(Equipar!B:B,4,Equipar!AC:AC,A76),"Equipada",
IF(
  OR(COUNTIFS(Equipar!B:B,4,Equipar!C:C,A76)
 +COUNTIFS(Equipar!B:B,4,Equipar!D:D,A76)
+COUNTIFS(Equipar!B:B,4,Equipar!E:E,A76)
+COUNTIFS(Equipar!B:B,4,Equipar!F:F,A76)
&gt;0,COUNTIF('Set recomendado'!B:B,C76)=0),
"Bloqueada",
"Desechable")),""
)</f>
        <v>Desechable</v>
      </c>
      <c r="J76" t="str" cm="1">
        <f t="array" ref="J76">IF(ISNUMBER(A76),IFERROR(_xlfn._xlws.FILTER(Equipar!A:A,(Equipar!B:B=4)*(Equipar!AC:AC=A76)),""),"")</f>
        <v/>
      </c>
    </row>
    <row r="77" spans="1:10" x14ac:dyDescent="0.25">
      <c r="A77" s="3">
        <v>201</v>
      </c>
      <c r="B77" t="s">
        <v>54</v>
      </c>
      <c r="C77" t="s">
        <v>55</v>
      </c>
      <c r="D77" t="s">
        <v>40</v>
      </c>
      <c r="E77" t="s">
        <v>34</v>
      </c>
      <c r="F77" t="s">
        <v>43</v>
      </c>
      <c r="G77" t="s">
        <v>32</v>
      </c>
      <c r="I77" s="2" t="str">
        <f ca="1">IF(ISNUMBER(A77),
IF(COUNTIFS(Equipar!B:B,4,Equipar!AC:AC,A77),"Equipada",
IF(
  OR(COUNTIFS(Equipar!B:B,4,Equipar!C:C,A77)
 +COUNTIFS(Equipar!B:B,4,Equipar!D:D,A77)
+COUNTIFS(Equipar!B:B,4,Equipar!E:E,A77)
+COUNTIFS(Equipar!B:B,4,Equipar!F:F,A77)
&gt;0,COUNTIF('Set recomendado'!B:B,C77)=0),
"Bloqueada",
"Desechable")),""
)</f>
        <v>Desechable</v>
      </c>
      <c r="J77" t="str" cm="1">
        <f t="array" ref="J77">IF(ISNUMBER(A77),IFERROR(_xlfn._xlws.FILTER(Equipar!A:A,(Equipar!B:B=4)*(Equipar!AC:AC=A77)),""),"")</f>
        <v/>
      </c>
    </row>
    <row r="78" spans="1:10" x14ac:dyDescent="0.25">
      <c r="A78" s="3">
        <v>202</v>
      </c>
      <c r="B78" t="s">
        <v>54</v>
      </c>
      <c r="C78" t="s">
        <v>55</v>
      </c>
      <c r="D78" t="s">
        <v>38</v>
      </c>
      <c r="E78" t="s">
        <v>32</v>
      </c>
      <c r="F78" t="s">
        <v>33</v>
      </c>
      <c r="I78" s="2" t="str">
        <f ca="1">IF(ISNUMBER(A78),
IF(COUNTIFS(Equipar!B:B,4,Equipar!AC:AC,A78),"Equipada",
IF(
  OR(COUNTIFS(Equipar!B:B,4,Equipar!C:C,A78)
 +COUNTIFS(Equipar!B:B,4,Equipar!D:D,A78)
+COUNTIFS(Equipar!B:B,4,Equipar!E:E,A78)
+COUNTIFS(Equipar!B:B,4,Equipar!F:F,A78)
&gt;0,COUNTIF('Set recomendado'!B:B,C78)=0),
"Bloqueada",
"Desechable")),""
)</f>
        <v>Desechable</v>
      </c>
      <c r="J78" t="str" cm="1">
        <f t="array" ref="J78">IF(ISNUMBER(A78),IFERROR(_xlfn._xlws.FILTER(Equipar!A:A,(Equipar!B:B=4)*(Equipar!AC:AC=A78)),""),"")</f>
        <v/>
      </c>
    </row>
    <row r="79" spans="1:10" x14ac:dyDescent="0.25">
      <c r="A79" s="3">
        <v>203</v>
      </c>
      <c r="B79" t="s">
        <v>54</v>
      </c>
      <c r="C79" t="s">
        <v>55</v>
      </c>
      <c r="D79" t="s">
        <v>37</v>
      </c>
      <c r="E79" t="s">
        <v>42</v>
      </c>
      <c r="F79" t="s">
        <v>39</v>
      </c>
      <c r="I79" s="2" t="str">
        <f ca="1">IF(ISNUMBER(A79),
IF(COUNTIFS(Equipar!B:B,4,Equipar!AC:AC,A79),"Equipada",
IF(
  OR(COUNTIFS(Equipar!B:B,4,Equipar!C:C,A79)
 +COUNTIFS(Equipar!B:B,4,Equipar!D:D,A79)
+COUNTIFS(Equipar!B:B,4,Equipar!E:E,A79)
+COUNTIFS(Equipar!B:B,4,Equipar!F:F,A79)
&gt;0,COUNTIF('Set recomendado'!B:B,C79)=0),
"Bloqueada",
"Desechable")),""
)</f>
        <v>Desechable</v>
      </c>
      <c r="J79" t="str" cm="1">
        <f t="array" ref="J79">IF(ISNUMBER(A79),IFERROR(_xlfn._xlws.FILTER(Equipar!A:A,(Equipar!B:B=4)*(Equipar!AC:AC=A79)),""),"")</f>
        <v/>
      </c>
    </row>
    <row r="80" spans="1:10" x14ac:dyDescent="0.25">
      <c r="A80" s="3">
        <v>204</v>
      </c>
      <c r="B80" t="s">
        <v>54</v>
      </c>
      <c r="C80" t="s">
        <v>21</v>
      </c>
      <c r="D80" t="s">
        <v>43</v>
      </c>
      <c r="E80" t="s">
        <v>44</v>
      </c>
      <c r="F80" t="s">
        <v>35</v>
      </c>
      <c r="I80" s="2" t="str">
        <f ca="1">IF(ISNUMBER(A80),
IF(COUNTIFS(Equipar!B:B,4,Equipar!AC:AC,A80),"Equipada",
IF(
  OR(COUNTIFS(Equipar!B:B,4,Equipar!C:C,A80)
 +COUNTIFS(Equipar!B:B,4,Equipar!D:D,A80)
+COUNTIFS(Equipar!B:B,4,Equipar!E:E,A80)
+COUNTIFS(Equipar!B:B,4,Equipar!F:F,A80)
&gt;0,COUNTIF('Set recomendado'!B:B,C80)=0),
"Bloqueada",
"Desechable")),""
)</f>
        <v>Desechable</v>
      </c>
      <c r="J80" t="str" cm="1">
        <f t="array" ref="J80">IF(ISNUMBER(A80),IFERROR(_xlfn._xlws.FILTER(Equipar!A:A,(Equipar!B:B=4)*(Equipar!AC:AC=A80)),""),"")</f>
        <v/>
      </c>
    </row>
    <row r="81" spans="1:10" x14ac:dyDescent="0.25">
      <c r="A81" s="3">
        <v>205</v>
      </c>
      <c r="B81" t="s">
        <v>54</v>
      </c>
      <c r="C81" t="s">
        <v>21</v>
      </c>
      <c r="D81" t="s">
        <v>43</v>
      </c>
      <c r="E81" t="s">
        <v>39</v>
      </c>
      <c r="F81" t="s">
        <v>36</v>
      </c>
      <c r="G81" t="s">
        <v>42</v>
      </c>
      <c r="I81" s="2" t="str">
        <f ca="1">IF(ISNUMBER(A81),
IF(COUNTIFS(Equipar!B:B,4,Equipar!AC:AC,A81),"Equipada",
IF(
  OR(COUNTIFS(Equipar!B:B,4,Equipar!C:C,A81)
 +COUNTIFS(Equipar!B:B,4,Equipar!D:D,A81)
+COUNTIFS(Equipar!B:B,4,Equipar!E:E,A81)
+COUNTIFS(Equipar!B:B,4,Equipar!F:F,A81)
&gt;0,COUNTIF('Set recomendado'!B:B,C81)=0),
"Bloqueada",
"Desechable")),""
)</f>
        <v>Desechable</v>
      </c>
      <c r="J81" t="str" cm="1">
        <f t="array" ref="J81">IF(ISNUMBER(A81),IFERROR(_xlfn._xlws.FILTER(Equipar!A:A,(Equipar!B:B=4)*(Equipar!AC:AC=A81)),""),"")</f>
        <v/>
      </c>
    </row>
    <row r="82" spans="1:10" x14ac:dyDescent="0.25">
      <c r="A82" s="3">
        <v>206</v>
      </c>
      <c r="B82" t="s">
        <v>54</v>
      </c>
      <c r="C82" t="s">
        <v>21</v>
      </c>
      <c r="D82" t="s">
        <v>38</v>
      </c>
      <c r="E82" t="s">
        <v>42</v>
      </c>
      <c r="F82" t="s">
        <v>34</v>
      </c>
      <c r="I82" s="2" t="str">
        <f ca="1">IF(ISNUMBER(A82),
IF(COUNTIFS(Equipar!B:B,4,Equipar!AC:AC,A82),"Equipada",
IF(
  OR(COUNTIFS(Equipar!B:B,4,Equipar!C:C,A82)
 +COUNTIFS(Equipar!B:B,4,Equipar!D:D,A82)
+COUNTIFS(Equipar!B:B,4,Equipar!E:E,A82)
+COUNTIFS(Equipar!B:B,4,Equipar!F:F,A82)
&gt;0,COUNTIF('Set recomendado'!B:B,C82)=0),
"Bloqueada",
"Desechable")),""
)</f>
        <v>Desechable</v>
      </c>
      <c r="J82" t="str" cm="1">
        <f t="array" ref="J82">IF(ISNUMBER(A82),IFERROR(_xlfn._xlws.FILTER(Equipar!A:A,(Equipar!B:B=4)*(Equipar!AC:AC=A82)),""),"")</f>
        <v/>
      </c>
    </row>
    <row r="83" spans="1:10" x14ac:dyDescent="0.25">
      <c r="A83" s="3">
        <v>207</v>
      </c>
      <c r="B83" t="s">
        <v>54</v>
      </c>
      <c r="C83" t="s">
        <v>21</v>
      </c>
      <c r="D83" t="s">
        <v>37</v>
      </c>
      <c r="E83" t="s">
        <v>43</v>
      </c>
      <c r="F83" t="s">
        <v>37</v>
      </c>
      <c r="I83" s="2" t="str">
        <f ca="1">IF(ISNUMBER(A83),
IF(COUNTIFS(Equipar!B:B,4,Equipar!AC:AC,A83),"Equipada",
IF(
  OR(COUNTIFS(Equipar!B:B,4,Equipar!C:C,A83)
 +COUNTIFS(Equipar!B:B,4,Equipar!D:D,A83)
+COUNTIFS(Equipar!B:B,4,Equipar!E:E,A83)
+COUNTIFS(Equipar!B:B,4,Equipar!F:F,A83)
&gt;0,COUNTIF('Set recomendado'!B:B,C83)=0),
"Bloqueada",
"Desechable")),""
)</f>
        <v>Desechable</v>
      </c>
      <c r="J83" t="str" cm="1">
        <f t="array" ref="J83">IF(ISNUMBER(A83),IFERROR(_xlfn._xlws.FILTER(Equipar!A:A,(Equipar!B:B=4)*(Equipar!AC:AC=A83)),""),"")</f>
        <v/>
      </c>
    </row>
    <row r="84" spans="1:10" x14ac:dyDescent="0.25">
      <c r="A84" s="3">
        <v>208</v>
      </c>
      <c r="B84" t="s">
        <v>54</v>
      </c>
      <c r="C84" t="s">
        <v>21</v>
      </c>
      <c r="D84" t="s">
        <v>43</v>
      </c>
      <c r="E84" t="s">
        <v>41</v>
      </c>
      <c r="F84" t="s">
        <v>34</v>
      </c>
      <c r="I84" s="2" t="str">
        <f ca="1">IF(ISNUMBER(A84),
IF(COUNTIFS(Equipar!B:B,4,Equipar!AC:AC,A84),"Equipada",
IF(
  OR(COUNTIFS(Equipar!B:B,4,Equipar!C:C,A84)
 +COUNTIFS(Equipar!B:B,4,Equipar!D:D,A84)
+COUNTIFS(Equipar!B:B,4,Equipar!E:E,A84)
+COUNTIFS(Equipar!B:B,4,Equipar!F:F,A84)
&gt;0,COUNTIF('Set recomendado'!B:B,C84)=0),
"Bloqueada",
"Desechable")),""
)</f>
        <v>Desechable</v>
      </c>
      <c r="J84" t="str" cm="1">
        <f t="array" ref="J84">IF(ISNUMBER(A84),IFERROR(_xlfn._xlws.FILTER(Equipar!A:A,(Equipar!B:B=4)*(Equipar!AC:AC=A84)),""),"")</f>
        <v/>
      </c>
    </row>
    <row r="85" spans="1:10" x14ac:dyDescent="0.25">
      <c r="A85" s="3">
        <v>209</v>
      </c>
      <c r="B85" t="s">
        <v>54</v>
      </c>
      <c r="C85" t="s">
        <v>21</v>
      </c>
      <c r="D85" t="s">
        <v>37</v>
      </c>
      <c r="E85" t="s">
        <v>43</v>
      </c>
      <c r="F85" t="s">
        <v>32</v>
      </c>
      <c r="I85" s="2" t="str">
        <f ca="1">IF(ISNUMBER(A85),
IF(COUNTIFS(Equipar!B:B,4,Equipar!AC:AC,A85),"Equipada",
IF(
  OR(COUNTIFS(Equipar!B:B,4,Equipar!C:C,A85)
 +COUNTIFS(Equipar!B:B,4,Equipar!D:D,A85)
+COUNTIFS(Equipar!B:B,4,Equipar!E:E,A85)
+COUNTIFS(Equipar!B:B,4,Equipar!F:F,A85)
&gt;0,COUNTIF('Set recomendado'!B:B,C85)=0),
"Bloqueada",
"Desechable")),""
)</f>
        <v>Desechable</v>
      </c>
      <c r="J85" t="str" cm="1">
        <f t="array" ref="J85">IF(ISNUMBER(A85),IFERROR(_xlfn._xlws.FILTER(Equipar!A:A,(Equipar!B:B=4)*(Equipar!AC:AC=A85)),""),"")</f>
        <v/>
      </c>
    </row>
    <row r="86" spans="1:10" x14ac:dyDescent="0.25">
      <c r="A86" s="3">
        <v>210</v>
      </c>
      <c r="B86" t="s">
        <v>54</v>
      </c>
      <c r="C86" t="s">
        <v>21</v>
      </c>
      <c r="D86" t="s">
        <v>37</v>
      </c>
      <c r="E86" t="s">
        <v>36</v>
      </c>
      <c r="F86" t="s">
        <v>32</v>
      </c>
      <c r="I86" s="2" t="str">
        <f ca="1">IF(ISNUMBER(A86),
IF(COUNTIFS(Equipar!B:B,4,Equipar!AC:AC,A86),"Equipada",
IF(
  OR(COUNTIFS(Equipar!B:B,4,Equipar!C:C,A86)
 +COUNTIFS(Equipar!B:B,4,Equipar!D:D,A86)
+COUNTIFS(Equipar!B:B,4,Equipar!E:E,A86)
+COUNTIFS(Equipar!B:B,4,Equipar!F:F,A86)
&gt;0,COUNTIF('Set recomendado'!B:B,C86)=0),
"Bloqueada",
"Desechable")),""
)</f>
        <v>Desechable</v>
      </c>
      <c r="J86" t="str" cm="1">
        <f t="array" ref="J86">IF(ISNUMBER(A86),IFERROR(_xlfn._xlws.FILTER(Equipar!A:A,(Equipar!B:B=4)*(Equipar!AC:AC=A86)),""),"")</f>
        <v/>
      </c>
    </row>
    <row r="87" spans="1:10" x14ac:dyDescent="0.25">
      <c r="A87" s="3">
        <v>211</v>
      </c>
      <c r="B87" s="4" t="s">
        <v>54</v>
      </c>
      <c r="C87" s="4" t="s">
        <v>29</v>
      </c>
      <c r="D87" t="s">
        <v>39</v>
      </c>
      <c r="E87" t="s">
        <v>43</v>
      </c>
      <c r="F87" t="s">
        <v>32</v>
      </c>
      <c r="I87" s="2" t="str">
        <f ca="1">IF(ISNUMBER(A87),
IF(COUNTIFS(Equipar!B:B,4,Equipar!AC:AC,A87),"Equipada",
IF(
  OR(COUNTIFS(Equipar!B:B,4,Equipar!C:C,A87)
 +COUNTIFS(Equipar!B:B,4,Equipar!D:D,A87)
+COUNTIFS(Equipar!B:B,4,Equipar!E:E,A87)
+COUNTIFS(Equipar!B:B,4,Equipar!F:F,A87)
&gt;0,COUNTIF('Set recomendado'!B:B,C87)=0),
"Bloqueada",
"Desechable")),""
)</f>
        <v>Desechable</v>
      </c>
      <c r="J87" t="str" cm="1">
        <f t="array" ref="J87">IF(ISNUMBER(A87),IFERROR(_xlfn._xlws.FILTER(Equipar!A:A,(Equipar!B:B=4)*(Equipar!AC:AC=A87)),""),"")</f>
        <v/>
      </c>
    </row>
    <row r="88" spans="1:10" x14ac:dyDescent="0.25">
      <c r="A88" s="3">
        <v>212</v>
      </c>
      <c r="B88" s="4" t="s">
        <v>54</v>
      </c>
      <c r="C88" s="4" t="s">
        <v>29</v>
      </c>
      <c r="D88" t="s">
        <v>39</v>
      </c>
      <c r="E88" t="s">
        <v>43</v>
      </c>
      <c r="F88" t="s">
        <v>36</v>
      </c>
      <c r="I88" s="2" t="str">
        <f ca="1">IF(ISNUMBER(A88),
IF(COUNTIFS(Equipar!B:B,4,Equipar!AC:AC,A88),"Equipada",
IF(
  OR(COUNTIFS(Equipar!B:B,4,Equipar!C:C,A88)
 +COUNTIFS(Equipar!B:B,4,Equipar!D:D,A88)
+COUNTIFS(Equipar!B:B,4,Equipar!E:E,A88)
+COUNTIFS(Equipar!B:B,4,Equipar!F:F,A88)
&gt;0,COUNTIF('Set recomendado'!B:B,C88)=0),
"Bloqueada",
"Desechable")),""
)</f>
        <v>Desechable</v>
      </c>
      <c r="J88" t="str" cm="1">
        <f t="array" ref="J88">IF(ISNUMBER(A88),IFERROR(_xlfn._xlws.FILTER(Equipar!A:A,(Equipar!B:B=4)*(Equipar!AC:AC=A88)),""),"")</f>
        <v/>
      </c>
    </row>
    <row r="89" spans="1:10" x14ac:dyDescent="0.25">
      <c r="A89" s="3">
        <v>213</v>
      </c>
      <c r="B89" s="4" t="s">
        <v>54</v>
      </c>
      <c r="C89" s="4" t="s">
        <v>29</v>
      </c>
      <c r="D89" t="s">
        <v>37</v>
      </c>
      <c r="E89" t="s">
        <v>43</v>
      </c>
      <c r="F89" t="s">
        <v>39</v>
      </c>
      <c r="I89" s="2" t="str">
        <f ca="1">IF(ISNUMBER(A89),
IF(COUNTIFS(Equipar!B:B,4,Equipar!AC:AC,A89),"Equipada",
IF(
  OR(COUNTIFS(Equipar!B:B,4,Equipar!C:C,A89)
 +COUNTIFS(Equipar!B:B,4,Equipar!D:D,A89)
+COUNTIFS(Equipar!B:B,4,Equipar!E:E,A89)
+COUNTIFS(Equipar!B:B,4,Equipar!F:F,A89)
&gt;0,COUNTIF('Set recomendado'!B:B,C89)=0),
"Bloqueada",
"Desechable")),""
)</f>
        <v>Desechable</v>
      </c>
      <c r="J89" t="str" cm="1">
        <f t="array" ref="J89">IF(ISNUMBER(A89),IFERROR(_xlfn._xlws.FILTER(Equipar!A:A,(Equipar!B:B=4)*(Equipar!AC:AC=A89)),""),"")</f>
        <v/>
      </c>
    </row>
    <row r="90" spans="1:10" x14ac:dyDescent="0.25">
      <c r="A90" s="3">
        <v>214</v>
      </c>
      <c r="B90" s="4" t="s">
        <v>54</v>
      </c>
      <c r="C90" s="4" t="s">
        <v>29</v>
      </c>
      <c r="D90" t="s">
        <v>43</v>
      </c>
      <c r="E90" t="s">
        <v>38</v>
      </c>
      <c r="F90" t="s">
        <v>42</v>
      </c>
      <c r="G90" t="s">
        <v>33</v>
      </c>
      <c r="I90" s="2" t="str">
        <f ca="1">IF(ISNUMBER(A90),
IF(COUNTIFS(Equipar!B:B,4,Equipar!AC:AC,A90),"Equipada",
IF(
  OR(COUNTIFS(Equipar!B:B,4,Equipar!C:C,A90)
 +COUNTIFS(Equipar!B:B,4,Equipar!D:D,A90)
+COUNTIFS(Equipar!B:B,4,Equipar!E:E,A90)
+COUNTIFS(Equipar!B:B,4,Equipar!F:F,A90)
&gt;0,COUNTIF('Set recomendado'!B:B,C90)=0),
"Bloqueada",
"Desechable")),""
)</f>
        <v>Desechable</v>
      </c>
      <c r="J90" t="str" cm="1">
        <f t="array" ref="J90">IF(ISNUMBER(A90),IFERROR(_xlfn._xlws.FILTER(Equipar!A:A,(Equipar!B:B=4)*(Equipar!AC:AC=A90)),""),"")</f>
        <v/>
      </c>
    </row>
    <row r="91" spans="1:10" x14ac:dyDescent="0.25">
      <c r="A91" s="3">
        <v>215</v>
      </c>
      <c r="B91" s="6" t="s">
        <v>53</v>
      </c>
      <c r="C91" s="6" t="s">
        <v>17</v>
      </c>
      <c r="D91" t="s">
        <v>43</v>
      </c>
      <c r="E91" t="s">
        <v>43</v>
      </c>
      <c r="F91" t="s">
        <v>41</v>
      </c>
      <c r="G91" t="s">
        <v>32</v>
      </c>
      <c r="I91" s="2" t="str">
        <f ca="1">IF(ISNUMBER(A91),
IF(COUNTIFS(Equipar!B:B,4,Equipar!AC:AC,A91),"Equipada",
IF(
  OR(COUNTIFS(Equipar!B:B,4,Equipar!C:C,A91)
 +COUNTIFS(Equipar!B:B,4,Equipar!D:D,A91)
+COUNTIFS(Equipar!B:B,4,Equipar!E:E,A91)
+COUNTIFS(Equipar!B:B,4,Equipar!F:F,A91)
&gt;0,COUNTIF('Set recomendado'!B:B,C91)=0),
"Bloqueada",
"Desechable")),""
)</f>
        <v>Bloqueada</v>
      </c>
      <c r="J91" t="str" cm="1">
        <f t="array" ref="J91">IF(ISNUMBER(A91),IFERROR(_xlfn._xlws.FILTER(Equipar!A:A,(Equipar!B:B=4)*(Equipar!AC:AC=A91)),""),"")</f>
        <v/>
      </c>
    </row>
    <row r="92" spans="1:10" x14ac:dyDescent="0.25">
      <c r="A92" s="3">
        <v>216</v>
      </c>
      <c r="B92" s="6" t="s">
        <v>54</v>
      </c>
      <c r="C92" s="6" t="s">
        <v>57</v>
      </c>
      <c r="D92" t="s">
        <v>40</v>
      </c>
      <c r="E92" t="s">
        <v>43</v>
      </c>
      <c r="F92" t="s">
        <v>36</v>
      </c>
      <c r="I92" s="2" t="str">
        <f ca="1">IF(ISNUMBER(A92),
IF(COUNTIFS(Equipar!B:B,4,Equipar!AC:AC,A92),"Equipada",
IF(
  OR(COUNTIFS(Equipar!B:B,4,Equipar!C:C,A92)
 +COUNTIFS(Equipar!B:B,4,Equipar!D:D,A92)
+COUNTIFS(Equipar!B:B,4,Equipar!E:E,A92)
+COUNTIFS(Equipar!B:B,4,Equipar!F:F,A92)
&gt;0,COUNTIF('Set recomendado'!B:B,C92)=0),
"Bloqueada",
"Desechable")),""
)</f>
        <v>Bloqueada</v>
      </c>
      <c r="J92" t="str" cm="1">
        <f t="array" ref="J92">IF(ISNUMBER(A92),IFERROR(_xlfn._xlws.FILTER(Equipar!A:A,(Equipar!B:B=4)*(Equipar!AC:AC=A92)),""),"")</f>
        <v/>
      </c>
    </row>
    <row r="93" spans="1:10" x14ac:dyDescent="0.25">
      <c r="A93" s="3">
        <v>217</v>
      </c>
      <c r="B93" s="6" t="s">
        <v>54</v>
      </c>
      <c r="C93" s="6" t="s">
        <v>57</v>
      </c>
      <c r="D93" t="s">
        <v>40</v>
      </c>
      <c r="E93" t="s">
        <v>38</v>
      </c>
      <c r="F93" t="s">
        <v>32</v>
      </c>
      <c r="G93" t="s">
        <v>39</v>
      </c>
      <c r="I93" s="2" t="str">
        <f ca="1">IF(ISNUMBER(A93),
IF(COUNTIFS(Equipar!B:B,4,Equipar!AC:AC,A93),"Equipada",
IF(
  OR(COUNTIFS(Equipar!B:B,4,Equipar!C:C,A93)
 +COUNTIFS(Equipar!B:B,4,Equipar!D:D,A93)
+COUNTIFS(Equipar!B:B,4,Equipar!E:E,A93)
+COUNTIFS(Equipar!B:B,4,Equipar!F:F,A93)
&gt;0,COUNTIF('Set recomendado'!B:B,C93)=0),
"Bloqueada",
"Desechable")),""
)</f>
        <v>Bloqueada</v>
      </c>
      <c r="J93" t="str" cm="1">
        <f t="array" ref="J93">IF(ISNUMBER(A93),IFERROR(_xlfn._xlws.FILTER(Equipar!A:A,(Equipar!B:B=4)*(Equipar!AC:AC=A93)),""),"")</f>
        <v/>
      </c>
    </row>
    <row r="94" spans="1:10" x14ac:dyDescent="0.25">
      <c r="A94" s="3">
        <v>218</v>
      </c>
      <c r="B94" s="6" t="s">
        <v>54</v>
      </c>
      <c r="C94" s="6" t="s">
        <v>21</v>
      </c>
      <c r="D94" t="s">
        <v>38</v>
      </c>
      <c r="E94" t="s">
        <v>42</v>
      </c>
      <c r="F94" t="s">
        <v>36</v>
      </c>
      <c r="I94" s="2" t="str">
        <f ca="1">IF(ISNUMBER(A94),
IF(COUNTIFS(Equipar!B:B,4,Equipar!AC:AC,A94),"Equipada",
IF(
  OR(COUNTIFS(Equipar!B:B,4,Equipar!C:C,A94)
 +COUNTIFS(Equipar!B:B,4,Equipar!D:D,A94)
+COUNTIFS(Equipar!B:B,4,Equipar!E:E,A94)
+COUNTIFS(Equipar!B:B,4,Equipar!F:F,A94)
&gt;0,COUNTIF('Set recomendado'!B:B,C94)=0),
"Bloqueada",
"Desechable")),""
)</f>
        <v>Desechable</v>
      </c>
      <c r="J94" t="str" cm="1">
        <f t="array" ref="J94">IF(ISNUMBER(A94),IFERROR(_xlfn._xlws.FILTER(Equipar!A:A,(Equipar!B:B=4)*(Equipar!AC:AC=A94)),""),"")</f>
        <v/>
      </c>
    </row>
    <row r="95" spans="1:10" x14ac:dyDescent="0.25">
      <c r="A95" s="3">
        <v>219</v>
      </c>
      <c r="B95" s="6" t="s">
        <v>54</v>
      </c>
      <c r="C95" s="6" t="s">
        <v>29</v>
      </c>
      <c r="D95" t="s">
        <v>37</v>
      </c>
      <c r="E95" t="s">
        <v>34</v>
      </c>
      <c r="F95" t="s">
        <v>37</v>
      </c>
      <c r="G95" t="s">
        <v>43</v>
      </c>
      <c r="I95" s="2" t="str">
        <f ca="1">IF(ISNUMBER(A95),
IF(COUNTIFS(Equipar!B:B,4,Equipar!AC:AC,A95),"Equipada",
IF(
  OR(COUNTIFS(Equipar!B:B,4,Equipar!C:C,A95)
 +COUNTIFS(Equipar!B:B,4,Equipar!D:D,A95)
+COUNTIFS(Equipar!B:B,4,Equipar!E:E,A95)
+COUNTIFS(Equipar!B:B,4,Equipar!F:F,A95)
&gt;0,COUNTIF('Set recomendado'!B:B,C95)=0),
"Bloqueada",
"Desechable")),""
)</f>
        <v>Desechable</v>
      </c>
      <c r="J95" t="str" cm="1">
        <f t="array" ref="J95">IF(ISNUMBER(A95),IFERROR(_xlfn._xlws.FILTER(Equipar!A:A,(Equipar!B:B=4)*(Equipar!AC:AC=A95)),""),"")</f>
        <v/>
      </c>
    </row>
    <row r="96" spans="1:10" x14ac:dyDescent="0.25">
      <c r="A96" s="3">
        <v>220</v>
      </c>
      <c r="B96" s="6" t="s">
        <v>54</v>
      </c>
      <c r="C96" s="6" t="s">
        <v>29</v>
      </c>
      <c r="D96" t="s">
        <v>38</v>
      </c>
      <c r="E96" t="s">
        <v>37</v>
      </c>
      <c r="F96" t="s">
        <v>43</v>
      </c>
      <c r="G96" t="s">
        <v>36</v>
      </c>
      <c r="I96" s="2" t="str">
        <f ca="1">IF(ISNUMBER(A96),
IF(COUNTIFS(Equipar!B:B,4,Equipar!AC:AC,A96),"Equipada",
IF(
  OR(COUNTIFS(Equipar!B:B,4,Equipar!C:C,A96)
 +COUNTIFS(Equipar!B:B,4,Equipar!D:D,A96)
+COUNTIFS(Equipar!B:B,4,Equipar!E:E,A96)
+COUNTIFS(Equipar!B:B,4,Equipar!F:F,A96)
&gt;0,COUNTIF('Set recomendado'!B:B,C96)=0),
"Bloqueada",
"Desechable")),""
)</f>
        <v>Desechable</v>
      </c>
      <c r="J96" t="str" cm="1">
        <f t="array" ref="J96">IF(ISNUMBER(A96),IFERROR(_xlfn._xlws.FILTER(Equipar!A:A,(Equipar!B:B=4)*(Equipar!AC:AC=A96)),""),"")</f>
        <v/>
      </c>
    </row>
    <row r="97" spans="1:10" x14ac:dyDescent="0.25">
      <c r="A97" s="3">
        <v>221</v>
      </c>
      <c r="B97" s="6" t="s">
        <v>54</v>
      </c>
      <c r="C97" s="6" t="s">
        <v>29</v>
      </c>
      <c r="D97" t="s">
        <v>43</v>
      </c>
      <c r="E97" t="s">
        <v>32</v>
      </c>
      <c r="F97" t="s">
        <v>43</v>
      </c>
      <c r="I97" s="2" t="str">
        <f ca="1">IF(ISNUMBER(A97),
IF(COUNTIFS(Equipar!B:B,4,Equipar!AC:AC,A97),"Equipada",
IF(
  OR(COUNTIFS(Equipar!B:B,4,Equipar!C:C,A97)
 +COUNTIFS(Equipar!B:B,4,Equipar!D:D,A97)
+COUNTIFS(Equipar!B:B,4,Equipar!E:E,A97)
+COUNTIFS(Equipar!B:B,4,Equipar!F:F,A97)
&gt;0,COUNTIF('Set recomendado'!B:B,C97)=0),
"Bloqueada",
"Desechable")),""
)</f>
        <v>Desechable</v>
      </c>
      <c r="J97" t="str" cm="1">
        <f t="array" ref="J97">IF(ISNUMBER(A97),IFERROR(_xlfn._xlws.FILTER(Equipar!A:A,(Equipar!B:B=4)*(Equipar!AC:AC=A97)),""),"")</f>
        <v/>
      </c>
    </row>
    <row r="98" spans="1:10" x14ac:dyDescent="0.25">
      <c r="A98" s="3">
        <v>222</v>
      </c>
      <c r="B98" s="6" t="s">
        <v>54</v>
      </c>
      <c r="C98" s="6" t="s">
        <v>29</v>
      </c>
      <c r="D98" s="4" t="s">
        <v>43</v>
      </c>
      <c r="E98" s="4" t="s">
        <v>39</v>
      </c>
      <c r="F98" s="4" t="s">
        <v>37</v>
      </c>
      <c r="G98" s="4"/>
      <c r="H98" s="4"/>
      <c r="I98" s="2" t="str">
        <f ca="1">IF(ISNUMBER(A98),
IF(COUNTIFS(Equipar!B:B,4,Equipar!AC:AC,A98),"Equipada",
IF(
  OR(COUNTIFS(Equipar!B:B,4,Equipar!C:C,A98)
 +COUNTIFS(Equipar!B:B,4,Equipar!D:D,A98)
+COUNTIFS(Equipar!B:B,4,Equipar!E:E,A98)
+COUNTIFS(Equipar!B:B,4,Equipar!F:F,A98)
&gt;0,COUNTIF('Set recomendado'!B:B,C98)=0),
"Bloqueada",
"Desechable")),""
)</f>
        <v>Desechable</v>
      </c>
      <c r="J98" t="str" cm="1">
        <f t="array" ref="J98">IF(ISNUMBER(A98),IFERROR(_xlfn._xlws.FILTER(Equipar!A:A,(Equipar!B:B=4)*(Equipar!AC:AC=A98)),""),"")</f>
        <v/>
      </c>
    </row>
    <row r="99" spans="1:10" x14ac:dyDescent="0.25">
      <c r="A99" s="3">
        <v>223</v>
      </c>
      <c r="B99" s="6" t="s">
        <v>53</v>
      </c>
      <c r="C99" s="6" t="s">
        <v>57</v>
      </c>
      <c r="D99" s="6" t="s">
        <v>43</v>
      </c>
      <c r="E99" s="6" t="s">
        <v>41</v>
      </c>
      <c r="F99" s="6" t="s">
        <v>41</v>
      </c>
      <c r="G99" s="6" t="s">
        <v>37</v>
      </c>
      <c r="H99" s="6" t="s">
        <v>42</v>
      </c>
      <c r="I99" s="2" t="str">
        <f ca="1">IF(ISNUMBER(A99),
IF(COUNTIFS(Equipar!B:B,4,Equipar!AC:AC,A99),"Equipada",
IF(
  OR(COUNTIFS(Equipar!B:B,4,Equipar!C:C,A99)
 +COUNTIFS(Equipar!B:B,4,Equipar!D:D,A99)
+COUNTIFS(Equipar!B:B,4,Equipar!E:E,A99)
+COUNTIFS(Equipar!B:B,4,Equipar!F:F,A99)
&gt;0,COUNTIF('Set recomendado'!B:B,C99)=0),
"Bloqueada",
"Desechable")),""
)</f>
        <v>Bloqueada</v>
      </c>
      <c r="J99" t="str" cm="1">
        <f t="array" ref="J99">IF(ISNUMBER(A99),IFERROR(_xlfn._xlws.FILTER(Equipar!A:A,(Equipar!B:B=4)*(Equipar!AC:AC=A99)),""),"")</f>
        <v/>
      </c>
    </row>
    <row r="100" spans="1:10" x14ac:dyDescent="0.25">
      <c r="A100" s="3">
        <v>224</v>
      </c>
      <c r="B100" s="6" t="s">
        <v>53</v>
      </c>
      <c r="C100" s="6" t="s">
        <v>21</v>
      </c>
      <c r="D100" s="6" t="s">
        <v>38</v>
      </c>
      <c r="E100" s="6" t="s">
        <v>32</v>
      </c>
      <c r="F100" s="6" t="s">
        <v>32</v>
      </c>
      <c r="G100" s="6" t="s">
        <v>36</v>
      </c>
      <c r="I100" s="2" t="str">
        <f ca="1">IF(ISNUMBER(A100),
IF(COUNTIFS(Equipar!B:B,4,Equipar!AC:AC,A100),"Equipada",
IF(
  OR(COUNTIFS(Equipar!B:B,4,Equipar!C:C,A100)
 +COUNTIFS(Equipar!B:B,4,Equipar!D:D,A100)
+COUNTIFS(Equipar!B:B,4,Equipar!E:E,A100)
+COUNTIFS(Equipar!B:B,4,Equipar!F:F,A100)
&gt;0,COUNTIF('Set recomendado'!B:B,C100)=0),
"Bloqueada",
"Desechable")),""
)</f>
        <v>Desechable</v>
      </c>
      <c r="J100" t="str" cm="1">
        <f t="array" ref="J100">IF(ISNUMBER(A100),IFERROR(_xlfn._xlws.FILTER(Equipar!A:A,(Equipar!B:B=4)*(Equipar!AC:AC=A100)),""),"")</f>
        <v/>
      </c>
    </row>
    <row r="101" spans="1:10" x14ac:dyDescent="0.25">
      <c r="A101" s="3">
        <v>225</v>
      </c>
      <c r="B101" s="6" t="s">
        <v>54</v>
      </c>
      <c r="C101" s="6" t="s">
        <v>57</v>
      </c>
      <c r="D101" s="6" t="s">
        <v>37</v>
      </c>
      <c r="E101" s="6" t="s">
        <v>32</v>
      </c>
      <c r="F101" s="6" t="s">
        <v>38</v>
      </c>
      <c r="I101" s="2" t="str">
        <f ca="1">IF(ISNUMBER(A101),
IF(COUNTIFS(Equipar!B:B,4,Equipar!AC:AC,A101),"Equipada",
IF(
  OR(COUNTIFS(Equipar!B:B,4,Equipar!C:C,A101)
 +COUNTIFS(Equipar!B:B,4,Equipar!D:D,A101)
+COUNTIFS(Equipar!B:B,4,Equipar!E:E,A101)
+COUNTIFS(Equipar!B:B,4,Equipar!F:F,A101)
&gt;0,COUNTIF('Set recomendado'!B:B,C101)=0),
"Bloqueada",
"Desechable")),""
)</f>
        <v>Bloqueada</v>
      </c>
      <c r="J101" t="str" cm="1">
        <f t="array" ref="J101">IF(ISNUMBER(A101),IFERROR(_xlfn._xlws.FILTER(Equipar!A:A,(Equipar!B:B=4)*(Equipar!AC:AC=A101)),""),"")</f>
        <v/>
      </c>
    </row>
    <row r="102" spans="1:10" x14ac:dyDescent="0.25">
      <c r="A102" s="3">
        <v>226</v>
      </c>
      <c r="B102" s="6" t="s">
        <v>54</v>
      </c>
      <c r="C102" s="6" t="s">
        <v>57</v>
      </c>
      <c r="D102" s="6" t="s">
        <v>40</v>
      </c>
      <c r="E102" s="6" t="s">
        <v>37</v>
      </c>
      <c r="F102" s="6" t="s">
        <v>34</v>
      </c>
      <c r="G102" s="6" t="s">
        <v>36</v>
      </c>
      <c r="I102" s="2" t="str">
        <f ca="1">IF(ISNUMBER(A102),
IF(COUNTIFS(Equipar!B:B,4,Equipar!AC:AC,A102),"Equipada",
IF(
  OR(COUNTIFS(Equipar!B:B,4,Equipar!C:C,A102)
 +COUNTIFS(Equipar!B:B,4,Equipar!D:D,A102)
+COUNTIFS(Equipar!B:B,4,Equipar!E:E,A102)
+COUNTIFS(Equipar!B:B,4,Equipar!F:F,A102)
&gt;0,COUNTIF('Set recomendado'!B:B,C102)=0),
"Bloqueada",
"Desechable")),""
)</f>
        <v>Bloqueada</v>
      </c>
      <c r="J102" t="str" cm="1">
        <f t="array" ref="J102">IF(ISNUMBER(A102),IFERROR(_xlfn._xlws.FILTER(Equipar!A:A,(Equipar!B:B=4)*(Equipar!AC:AC=A102)),""),"")</f>
        <v/>
      </c>
    </row>
    <row r="103" spans="1:10" x14ac:dyDescent="0.25">
      <c r="A103" s="3">
        <v>227</v>
      </c>
      <c r="B103" s="6" t="s">
        <v>54</v>
      </c>
      <c r="C103" s="6" t="s">
        <v>57</v>
      </c>
      <c r="D103" s="6" t="s">
        <v>39</v>
      </c>
      <c r="E103" s="6" t="s">
        <v>37</v>
      </c>
      <c r="F103" s="6" t="s">
        <v>41</v>
      </c>
      <c r="G103" s="6" t="s">
        <v>43</v>
      </c>
      <c r="I103" s="2" t="str">
        <f ca="1">IF(ISNUMBER(A103),
IF(COUNTIFS(Equipar!B:B,4,Equipar!AC:AC,A103),"Equipada",
IF(
  OR(COUNTIFS(Equipar!B:B,4,Equipar!C:C,A103)
 +COUNTIFS(Equipar!B:B,4,Equipar!D:D,A103)
+COUNTIFS(Equipar!B:B,4,Equipar!E:E,A103)
+COUNTIFS(Equipar!B:B,4,Equipar!F:F,A103)
&gt;0,COUNTIF('Set recomendado'!B:B,C103)=0),
"Bloqueada",
"Desechable")),""
)</f>
        <v>Bloqueada</v>
      </c>
      <c r="J103" t="str" cm="1">
        <f t="array" ref="J103">IF(ISNUMBER(A103),IFERROR(_xlfn._xlws.FILTER(Equipar!A:A,(Equipar!B:B=4)*(Equipar!AC:AC=A103)),""),"")</f>
        <v/>
      </c>
    </row>
    <row r="104" spans="1:10" x14ac:dyDescent="0.25">
      <c r="A104" s="3">
        <v>228</v>
      </c>
      <c r="B104" s="6" t="s">
        <v>54</v>
      </c>
      <c r="C104" s="6" t="s">
        <v>57</v>
      </c>
      <c r="D104" s="6" t="s">
        <v>40</v>
      </c>
      <c r="E104" s="6" t="s">
        <v>43</v>
      </c>
      <c r="F104" s="6" t="s">
        <v>42</v>
      </c>
      <c r="G104" s="6" t="s">
        <v>32</v>
      </c>
      <c r="I104" s="2" t="str">
        <f ca="1">IF(ISNUMBER(A104),
IF(COUNTIFS(Equipar!B:B,4,Equipar!AC:AC,A104),"Equipada",
IF(
  OR(COUNTIFS(Equipar!B:B,4,Equipar!C:C,A104)
 +COUNTIFS(Equipar!B:B,4,Equipar!D:D,A104)
+COUNTIFS(Equipar!B:B,4,Equipar!E:E,A104)
+COUNTIFS(Equipar!B:B,4,Equipar!F:F,A104)
&gt;0,COUNTIF('Set recomendado'!B:B,C104)=0),
"Bloqueada",
"Desechable")),""
)</f>
        <v>Bloqueada</v>
      </c>
      <c r="J104" t="str" cm="1">
        <f t="array" ref="J104">IF(ISNUMBER(A104),IFERROR(_xlfn._xlws.FILTER(Equipar!A:A,(Equipar!B:B=4)*(Equipar!AC:AC=A104)),""),"")</f>
        <v/>
      </c>
    </row>
    <row r="105" spans="1:10" x14ac:dyDescent="0.25">
      <c r="A105" s="3">
        <v>229</v>
      </c>
      <c r="B105" s="6" t="s">
        <v>54</v>
      </c>
      <c r="C105" s="6" t="s">
        <v>55</v>
      </c>
      <c r="D105" s="6" t="s">
        <v>37</v>
      </c>
      <c r="E105" s="6" t="s">
        <v>34</v>
      </c>
      <c r="F105" s="6" t="s">
        <v>36</v>
      </c>
      <c r="I105" s="2" t="str">
        <f>IF(ISNUMBER(A105),
IF(COUNTIFS(Equipar!B:B,4,Equipar!AC:AC,A105),"Equipada",
IF(
  OR(COUNTIFS(Equipar!B:B,4,Equipar!C:C,A105)
 +COUNTIFS(Equipar!B:B,4,Equipar!D:D,A105)
+COUNTIFS(Equipar!B:B,4,Equipar!E:E,A105)
+COUNTIFS(Equipar!B:B,4,Equipar!F:F,A105)
&gt;0,COUNTIF('Set recomendado'!B:B,C105)=0),
"Bloqueada",
"Desechable")),""
)</f>
        <v>Equipada</v>
      </c>
      <c r="J105" t="str" cm="1">
        <f t="array" ref="J105">IF(ISNUMBER(A105),IFERROR(_xlfn._xlws.FILTER(Equipar!A:A,(Equipar!B:B=4)*(Equipar!AC:AC=A105)),""),"")</f>
        <v>Sugawara</v>
      </c>
    </row>
    <row r="106" spans="1:10" x14ac:dyDescent="0.25">
      <c r="A106" s="3">
        <v>230</v>
      </c>
      <c r="B106" s="6" t="s">
        <v>54</v>
      </c>
      <c r="C106" s="6" t="s">
        <v>55</v>
      </c>
      <c r="D106" s="6" t="s">
        <v>37</v>
      </c>
      <c r="E106" s="6" t="s">
        <v>43</v>
      </c>
      <c r="F106" s="6" t="s">
        <v>40</v>
      </c>
      <c r="I106" s="2" t="str">
        <f ca="1">IF(ISNUMBER(A106),
IF(COUNTIFS(Equipar!B:B,4,Equipar!AC:AC,A106),"Equipada",
IF(
  OR(COUNTIFS(Equipar!B:B,4,Equipar!C:C,A106)
 +COUNTIFS(Equipar!B:B,4,Equipar!D:D,A106)
+COUNTIFS(Equipar!B:B,4,Equipar!E:E,A106)
+COUNTIFS(Equipar!B:B,4,Equipar!F:F,A106)
&gt;0,COUNTIF('Set recomendado'!B:B,C106)=0),
"Bloqueada",
"Desechable")),""
)</f>
        <v>Desechable</v>
      </c>
      <c r="J106" t="str" cm="1">
        <f t="array" ref="J106">IF(ISNUMBER(A106),IFERROR(_xlfn._xlws.FILTER(Equipar!A:A,(Equipar!B:B=4)*(Equipar!AC:AC=A106)),""),"")</f>
        <v/>
      </c>
    </row>
    <row r="107" spans="1:10" x14ac:dyDescent="0.25">
      <c r="A107" s="3">
        <v>231</v>
      </c>
      <c r="B107" s="6" t="s">
        <v>54</v>
      </c>
      <c r="C107" s="6" t="s">
        <v>55</v>
      </c>
      <c r="D107" s="6" t="s">
        <v>37</v>
      </c>
      <c r="E107" s="6" t="s">
        <v>37</v>
      </c>
      <c r="F107" s="6" t="s">
        <v>43</v>
      </c>
      <c r="I107" s="2" t="str">
        <f ca="1">IF(ISNUMBER(A107),
IF(COUNTIFS(Equipar!B:B,4,Equipar!AC:AC,A107),"Equipada",
IF(
  OR(COUNTIFS(Equipar!B:B,4,Equipar!C:C,A107)
 +COUNTIFS(Equipar!B:B,4,Equipar!D:D,A107)
+COUNTIFS(Equipar!B:B,4,Equipar!E:E,A107)
+COUNTIFS(Equipar!B:B,4,Equipar!F:F,A107)
&gt;0,COUNTIF('Set recomendado'!B:B,C107)=0),
"Bloqueada",
"Desechable")),""
)</f>
        <v>Desechable</v>
      </c>
      <c r="J107" t="str" cm="1">
        <f t="array" ref="J107">IF(ISNUMBER(A107),IFERROR(_xlfn._xlws.FILTER(Equipar!A:A,(Equipar!B:B=4)*(Equipar!AC:AC=A107)),""),"")</f>
        <v/>
      </c>
    </row>
    <row r="108" spans="1:10" x14ac:dyDescent="0.25">
      <c r="A108" s="3">
        <v>232</v>
      </c>
      <c r="B108" s="6" t="s">
        <v>54</v>
      </c>
      <c r="C108" s="6" t="s">
        <v>55</v>
      </c>
      <c r="D108" s="6" t="s">
        <v>40</v>
      </c>
      <c r="E108" s="6" t="s">
        <v>32</v>
      </c>
      <c r="F108" s="6" t="s">
        <v>38</v>
      </c>
      <c r="I108" s="2" t="str">
        <f ca="1">IF(ISNUMBER(A108),
IF(COUNTIFS(Equipar!B:B,4,Equipar!AC:AC,A108),"Equipada",
IF(
  OR(COUNTIFS(Equipar!B:B,4,Equipar!C:C,A108)
 +COUNTIFS(Equipar!B:B,4,Equipar!D:D,A108)
+COUNTIFS(Equipar!B:B,4,Equipar!E:E,A108)
+COUNTIFS(Equipar!B:B,4,Equipar!F:F,A108)
&gt;0,COUNTIF('Set recomendado'!B:B,C108)=0),
"Bloqueada",
"Desechable")),""
)</f>
        <v>Desechable</v>
      </c>
      <c r="J108" t="str" cm="1">
        <f t="array" ref="J108">IF(ISNUMBER(A108),IFERROR(_xlfn._xlws.FILTER(Equipar!A:A,(Equipar!B:B=4)*(Equipar!AC:AC=A108)),""),"")</f>
        <v/>
      </c>
    </row>
    <row r="109" spans="1:10" x14ac:dyDescent="0.25">
      <c r="A109" s="3">
        <v>233</v>
      </c>
      <c r="B109" s="6" t="s">
        <v>54</v>
      </c>
      <c r="C109" s="6" t="s">
        <v>29</v>
      </c>
      <c r="D109" s="6" t="s">
        <v>38</v>
      </c>
      <c r="E109" s="6" t="s">
        <v>36</v>
      </c>
      <c r="F109" s="6" t="s">
        <v>36</v>
      </c>
      <c r="G109" s="4"/>
      <c r="H109" s="4"/>
      <c r="I109" s="2" t="str">
        <f ca="1">IF(ISNUMBER(A109),
IF(COUNTIFS(Equipar!B:B,4,Equipar!AC:AC,A109),"Equipada",
IF(
  OR(COUNTIFS(Equipar!B:B,4,Equipar!C:C,A109)
 +COUNTIFS(Equipar!B:B,4,Equipar!D:D,A109)
+COUNTIFS(Equipar!B:B,4,Equipar!E:E,A109)
+COUNTIFS(Equipar!B:B,4,Equipar!F:F,A109)
&gt;0,COUNTIF('Set recomendado'!B:B,C109)=0),
"Bloqueada",
"Desechable")),""
)</f>
        <v>Bloqueada</v>
      </c>
      <c r="J109" t="str" cm="1">
        <f t="array" ref="J109">IF(ISNUMBER(A109),IFERROR(_xlfn._xlws.FILTER(Equipar!A:A,(Equipar!B:B=4)*(Equipar!AC:AC=A109)),""),"")</f>
        <v/>
      </c>
    </row>
    <row r="110" spans="1:10" x14ac:dyDescent="0.25">
      <c r="A110" s="3">
        <v>234</v>
      </c>
      <c r="B110" t="s">
        <v>54</v>
      </c>
      <c r="C110" t="s">
        <v>22</v>
      </c>
      <c r="D110" t="s">
        <v>37</v>
      </c>
      <c r="E110" t="s">
        <v>32</v>
      </c>
      <c r="F110" t="s">
        <v>37</v>
      </c>
      <c r="I110" s="2" t="str">
        <f ca="1">IF(ISNUMBER(A110),
IF(COUNTIFS(Equipar!B:B,4,Equipar!AC:AC,A110),"Equipada",
IF(
  OR(COUNTIFS(Equipar!B:B,4,Equipar!C:C,A110)
 +COUNTIFS(Equipar!B:B,4,Equipar!D:D,A110)
+COUNTIFS(Equipar!B:B,4,Equipar!E:E,A110)
+COUNTIFS(Equipar!B:B,4,Equipar!F:F,A110)
&gt;0,COUNTIF('Set recomendado'!B:B,C110)=0),
"Bloqueada",
"Desechable")),""
)</f>
        <v>Desechable</v>
      </c>
      <c r="J110" t="str" cm="1">
        <f t="array" ref="J110">IF(ISNUMBER(A110),IFERROR(_xlfn._xlws.FILTER(Equipar!A:A,(Equipar!B:B=4)*(Equipar!AC:AC=A110)),""),"")</f>
        <v/>
      </c>
    </row>
    <row r="111" spans="1:10" x14ac:dyDescent="0.25">
      <c r="A111" s="3">
        <v>235</v>
      </c>
      <c r="B111" s="6" t="s">
        <v>53</v>
      </c>
      <c r="C111" s="6" t="s">
        <v>5</v>
      </c>
      <c r="D111" s="6" t="s">
        <v>40</v>
      </c>
      <c r="E111" s="6" t="s">
        <v>44</v>
      </c>
      <c r="F111" s="6" t="s">
        <v>32</v>
      </c>
      <c r="G111" s="6" t="s">
        <v>43</v>
      </c>
      <c r="I111" s="2" t="str">
        <f ca="1">IF(ISNUMBER(A111),
IF(COUNTIFS(Equipar!B:B,4,Equipar!AC:AC,A111),"Equipada",
IF(
  OR(COUNTIFS(Equipar!B:B,4,Equipar!C:C,A111)
 +COUNTIFS(Equipar!B:B,4,Equipar!D:D,A111)
+COUNTIFS(Equipar!B:B,4,Equipar!E:E,A111)
+COUNTIFS(Equipar!B:B,4,Equipar!F:F,A111)
&gt;0,COUNTIF('Set recomendado'!B:B,C111)=0),
"Bloqueada",
"Desechable")),""
)</f>
        <v>Desechable</v>
      </c>
      <c r="J111" t="str" cm="1">
        <f t="array" ref="J111">IF(ISNUMBER(A111),IFERROR(_xlfn._xlws.FILTER(Equipar!A:A,(Equipar!B:B=4)*(Equipar!AC:AC=A111)),""),"")</f>
        <v/>
      </c>
    </row>
    <row r="112" spans="1:10" x14ac:dyDescent="0.25">
      <c r="A112" s="3">
        <v>236</v>
      </c>
      <c r="B112" t="s">
        <v>53</v>
      </c>
      <c r="C112" t="s">
        <v>14</v>
      </c>
      <c r="D112" t="s">
        <v>43</v>
      </c>
      <c r="E112" t="s">
        <v>42</v>
      </c>
      <c r="F112" t="s">
        <v>32</v>
      </c>
      <c r="G112" t="s">
        <v>36</v>
      </c>
      <c r="I112" s="2" t="str">
        <f ca="1">IF(ISNUMBER(A112),
IF(COUNTIFS(Equipar!B:B,4,Equipar!AC:AC,A112),"Equipada",
IF(
  OR(COUNTIFS(Equipar!B:B,4,Equipar!C:C,A112)
 +COUNTIFS(Equipar!B:B,4,Equipar!D:D,A112)
+COUNTIFS(Equipar!B:B,4,Equipar!E:E,A112)
+COUNTIFS(Equipar!B:B,4,Equipar!F:F,A112)
&gt;0,COUNTIF('Set recomendado'!B:B,C112)=0),
"Bloqueada",
"Desechable")),""
)</f>
        <v>Desechable</v>
      </c>
      <c r="J112" t="str" cm="1">
        <f t="array" ref="J112">IF(ISNUMBER(A112),IFERROR(_xlfn._xlws.FILTER(Equipar!A:A,(Equipar!B:B=4)*(Equipar!AC:AC=A112)),""),"")</f>
        <v/>
      </c>
    </row>
    <row r="113" spans="1:10" x14ac:dyDescent="0.25">
      <c r="A113" s="3">
        <v>237</v>
      </c>
      <c r="B113" t="s">
        <v>53</v>
      </c>
      <c r="C113" t="s">
        <v>16</v>
      </c>
      <c r="D113" t="s">
        <v>43</v>
      </c>
      <c r="E113" t="s">
        <v>32</v>
      </c>
      <c r="F113" t="s">
        <v>43</v>
      </c>
      <c r="G113" t="s">
        <v>37</v>
      </c>
      <c r="I113" s="2" t="str">
        <f ca="1">IF(ISNUMBER(A113),
IF(COUNTIFS(Equipar!B:B,4,Equipar!AC:AC,A113),"Equipada",
IF(
  OR(COUNTIFS(Equipar!B:B,4,Equipar!C:C,A113)
 +COUNTIFS(Equipar!B:B,4,Equipar!D:D,A113)
+COUNTIFS(Equipar!B:B,4,Equipar!E:E,A113)
+COUNTIFS(Equipar!B:B,4,Equipar!F:F,A113)
&gt;0,COUNTIF('Set recomendado'!B:B,C113)=0),
"Bloqueada",
"Desechable")),""
)</f>
        <v>Desechable</v>
      </c>
      <c r="J113" t="str" cm="1">
        <f t="array" ref="J113">IF(ISNUMBER(A113),IFERROR(_xlfn._xlws.FILTER(Equipar!A:A,(Equipar!B:B=4)*(Equipar!AC:AC=A113)),""),"")</f>
        <v/>
      </c>
    </row>
    <row r="114" spans="1:10" x14ac:dyDescent="0.25">
      <c r="A114" s="3">
        <v>238</v>
      </c>
      <c r="B114" s="6" t="s">
        <v>54</v>
      </c>
      <c r="C114" s="6" t="s">
        <v>57</v>
      </c>
      <c r="D114" s="6" t="s">
        <v>40</v>
      </c>
      <c r="E114" s="6" t="s">
        <v>42</v>
      </c>
      <c r="F114" s="6" t="s">
        <v>40</v>
      </c>
      <c r="I114" s="2" t="str">
        <f ca="1">IF(ISNUMBER(A114),
IF(COUNTIFS(Equipar!B:B,4,Equipar!AC:AC,A114),"Equipada",
IF(
  OR(COUNTIFS(Equipar!B:B,4,Equipar!C:C,A114)
 +COUNTIFS(Equipar!B:B,4,Equipar!D:D,A114)
+COUNTIFS(Equipar!B:B,4,Equipar!E:E,A114)
+COUNTIFS(Equipar!B:B,4,Equipar!F:F,A114)
&gt;0,COUNTIF('Set recomendado'!B:B,C114)=0),
"Bloqueada",
"Desechable")),""
)</f>
        <v>Bloqueada</v>
      </c>
      <c r="J114" t="str" cm="1">
        <f t="array" ref="J114">IF(ISNUMBER(A114),IFERROR(_xlfn._xlws.FILTER(Equipar!A:A,(Equipar!B:B=4)*(Equipar!AC:AC=A114)),""),"")</f>
        <v/>
      </c>
    </row>
    <row r="115" spans="1:10" x14ac:dyDescent="0.25">
      <c r="A115" s="3">
        <v>239</v>
      </c>
      <c r="B115" s="6" t="s">
        <v>54</v>
      </c>
      <c r="C115" s="6" t="s">
        <v>57</v>
      </c>
      <c r="D115" s="6" t="s">
        <v>40</v>
      </c>
      <c r="E115" s="6" t="s">
        <v>36</v>
      </c>
      <c r="F115" s="6" t="s">
        <v>41</v>
      </c>
      <c r="I115" s="2" t="str">
        <f ca="1">IF(ISNUMBER(A115),
IF(COUNTIFS(Equipar!B:B,4,Equipar!AC:AC,A115),"Equipada",
IF(
  OR(COUNTIFS(Equipar!B:B,4,Equipar!C:C,A115)
 +COUNTIFS(Equipar!B:B,4,Equipar!D:D,A115)
+COUNTIFS(Equipar!B:B,4,Equipar!E:E,A115)
+COUNTIFS(Equipar!B:B,4,Equipar!F:F,A115)
&gt;0,COUNTIF('Set recomendado'!B:B,C115)=0),
"Bloqueada",
"Desechable")),""
)</f>
        <v>Bloqueada</v>
      </c>
      <c r="J115" t="str" cm="1">
        <f t="array" ref="J115">IF(ISNUMBER(A115),IFERROR(_xlfn._xlws.FILTER(Equipar!A:A,(Equipar!B:B=4)*(Equipar!AC:AC=A115)),""),"")</f>
        <v/>
      </c>
    </row>
    <row r="116" spans="1:10" x14ac:dyDescent="0.25">
      <c r="A116" s="3">
        <v>240</v>
      </c>
      <c r="B116" s="6" t="s">
        <v>54</v>
      </c>
      <c r="C116" s="6" t="s">
        <v>57</v>
      </c>
      <c r="D116" s="6" t="s">
        <v>37</v>
      </c>
      <c r="E116" s="6" t="s">
        <v>36</v>
      </c>
      <c r="F116" s="6" t="s">
        <v>40</v>
      </c>
      <c r="I116" s="2" t="str">
        <f ca="1">IF(ISNUMBER(A116),
IF(COUNTIFS(Equipar!B:B,4,Equipar!AC:AC,A116),"Equipada",
IF(
  OR(COUNTIFS(Equipar!B:B,4,Equipar!C:C,A116)
 +COUNTIFS(Equipar!B:B,4,Equipar!D:D,A116)
+COUNTIFS(Equipar!B:B,4,Equipar!E:E,A116)
+COUNTIFS(Equipar!B:B,4,Equipar!F:F,A116)
&gt;0,COUNTIF('Set recomendado'!B:B,C116)=0),
"Bloqueada",
"Desechable")),""
)</f>
        <v>Bloqueada</v>
      </c>
      <c r="J116" t="str" cm="1">
        <f t="array" ref="J116">IF(ISNUMBER(A116),IFERROR(_xlfn._xlws.FILTER(Equipar!A:A,(Equipar!B:B=4)*(Equipar!AC:AC=A116)),""),"")</f>
        <v/>
      </c>
    </row>
    <row r="117" spans="1:10" x14ac:dyDescent="0.25">
      <c r="A117" s="3">
        <v>241</v>
      </c>
      <c r="B117" t="s">
        <v>54</v>
      </c>
      <c r="C117" t="s">
        <v>57</v>
      </c>
      <c r="D117" t="s">
        <v>38</v>
      </c>
      <c r="E117" t="s">
        <v>41</v>
      </c>
      <c r="F117" t="s">
        <v>43</v>
      </c>
      <c r="I117" s="2" t="str">
        <f ca="1">IF(ISNUMBER(A117),
IF(COUNTIFS(Equipar!B:B,4,Equipar!AC:AC,A117),"Equipada",
IF(
  OR(COUNTIFS(Equipar!B:B,4,Equipar!C:C,A117)
 +COUNTIFS(Equipar!B:B,4,Equipar!D:D,A117)
+COUNTIFS(Equipar!B:B,4,Equipar!E:E,A117)
+COUNTIFS(Equipar!B:B,4,Equipar!F:F,A117)
&gt;0,COUNTIF('Set recomendado'!B:B,C117)=0),
"Bloqueada",
"Desechable")),""
)</f>
        <v>Bloqueada</v>
      </c>
      <c r="J117" t="str" cm="1">
        <f t="array" ref="J117">IF(ISNUMBER(A117),IFERROR(_xlfn._xlws.FILTER(Equipar!A:A,(Equipar!B:B=4)*(Equipar!AC:AC=A117)),""),"")</f>
        <v/>
      </c>
    </row>
    <row r="118" spans="1:10" x14ac:dyDescent="0.25">
      <c r="A118" s="3">
        <v>242</v>
      </c>
      <c r="B118" s="6" t="s">
        <v>54</v>
      </c>
      <c r="C118" s="6" t="s">
        <v>21</v>
      </c>
      <c r="D118" t="s">
        <v>40</v>
      </c>
      <c r="E118" t="s">
        <v>32</v>
      </c>
      <c r="F118" t="s">
        <v>43</v>
      </c>
      <c r="I118" s="2" t="str">
        <f ca="1">IF(ISNUMBER(A118),
IF(COUNTIFS(Equipar!B:B,4,Equipar!AC:AC,A118),"Equipada",
IF(
  OR(COUNTIFS(Equipar!B:B,4,Equipar!C:C,A118)
 +COUNTIFS(Equipar!B:B,4,Equipar!D:D,A118)
+COUNTIFS(Equipar!B:B,4,Equipar!E:E,A118)
+COUNTIFS(Equipar!B:B,4,Equipar!F:F,A118)
&gt;0,COUNTIF('Set recomendado'!B:B,C118)=0),
"Bloqueada",
"Desechable")),""
)</f>
        <v>Desechable</v>
      </c>
      <c r="J118" t="str" cm="1">
        <f t="array" ref="J118">IF(ISNUMBER(A118),IFERROR(_xlfn._xlws.FILTER(Equipar!A:A,(Equipar!B:B=4)*(Equipar!AC:AC=A118)),""),"")</f>
        <v/>
      </c>
    </row>
    <row r="119" spans="1:10" x14ac:dyDescent="0.25">
      <c r="A119" s="3">
        <v>243</v>
      </c>
      <c r="B119" s="6" t="s">
        <v>54</v>
      </c>
      <c r="C119" s="6" t="s">
        <v>21</v>
      </c>
      <c r="D119" t="s">
        <v>43</v>
      </c>
      <c r="E119" t="s">
        <v>36</v>
      </c>
      <c r="F119" t="s">
        <v>38</v>
      </c>
      <c r="I119" s="2" t="str">
        <f ca="1">IF(ISNUMBER(A119),
IF(COUNTIFS(Equipar!B:B,4,Equipar!AC:AC,A119),"Equipada",
IF(
  OR(COUNTIFS(Equipar!B:B,4,Equipar!C:C,A119)
 +COUNTIFS(Equipar!B:B,4,Equipar!D:D,A119)
+COUNTIFS(Equipar!B:B,4,Equipar!E:E,A119)
+COUNTIFS(Equipar!B:B,4,Equipar!F:F,A119)
&gt;0,COUNTIF('Set recomendado'!B:B,C119)=0),
"Bloqueada",
"Desechable")),""
)</f>
        <v>Desechable</v>
      </c>
      <c r="J119" t="str" cm="1">
        <f t="array" ref="J119">IF(ISNUMBER(A119),IFERROR(_xlfn._xlws.FILTER(Equipar!A:A,(Equipar!B:B=4)*(Equipar!AC:AC=A119)),""),"")</f>
        <v/>
      </c>
    </row>
    <row r="120" spans="1:10" x14ac:dyDescent="0.25">
      <c r="A120" s="3">
        <v>244</v>
      </c>
      <c r="B120" s="6" t="s">
        <v>54</v>
      </c>
      <c r="C120" s="6" t="s">
        <v>21</v>
      </c>
      <c r="D120" t="s">
        <v>39</v>
      </c>
      <c r="E120" t="s">
        <v>43</v>
      </c>
      <c r="F120" t="s">
        <v>36</v>
      </c>
      <c r="I120" s="2" t="str">
        <f ca="1">IF(ISNUMBER(A120),
IF(COUNTIFS(Equipar!B:B,4,Equipar!AC:AC,A120),"Equipada",
IF(
  OR(COUNTIFS(Equipar!B:B,4,Equipar!C:C,A120)
 +COUNTIFS(Equipar!B:B,4,Equipar!D:D,A120)
+COUNTIFS(Equipar!B:B,4,Equipar!E:E,A120)
+COUNTIFS(Equipar!B:B,4,Equipar!F:F,A120)
&gt;0,COUNTIF('Set recomendado'!B:B,C120)=0),
"Bloqueada",
"Desechable")),""
)</f>
        <v>Desechable</v>
      </c>
      <c r="J120" t="str" cm="1">
        <f t="array" ref="J120">IF(ISNUMBER(A120),IFERROR(_xlfn._xlws.FILTER(Equipar!A:A,(Equipar!B:B=4)*(Equipar!AC:AC=A120)),""),"")</f>
        <v/>
      </c>
    </row>
    <row r="121" spans="1:10" x14ac:dyDescent="0.25">
      <c r="A121" s="3">
        <v>245</v>
      </c>
      <c r="B121" s="6" t="s">
        <v>54</v>
      </c>
      <c r="C121" s="6" t="s">
        <v>29</v>
      </c>
      <c r="D121" s="6" t="s">
        <v>38</v>
      </c>
      <c r="E121" s="6" t="s">
        <v>43</v>
      </c>
      <c r="F121" s="6" t="s">
        <v>36</v>
      </c>
      <c r="G121" s="4"/>
      <c r="H121" s="4"/>
      <c r="I121" s="2" t="str">
        <f ca="1">IF(ISNUMBER(A121),
IF(COUNTIFS(Equipar!B:B,4,Equipar!AC:AC,A121),"Equipada",
IF(
  OR(COUNTIFS(Equipar!B:B,4,Equipar!C:C,A121)
 +COUNTIFS(Equipar!B:B,4,Equipar!D:D,A121)
+COUNTIFS(Equipar!B:B,4,Equipar!E:E,A121)
+COUNTIFS(Equipar!B:B,4,Equipar!F:F,A121)
&gt;0,COUNTIF('Set recomendado'!B:B,C121)=0),
"Bloqueada",
"Desechable")),""
)</f>
        <v>Desechable</v>
      </c>
      <c r="J121" t="str" cm="1">
        <f t="array" ref="J121">IF(ISNUMBER(A121),IFERROR(_xlfn._xlws.FILTER(Equipar!A:A,(Equipar!B:B=4)*(Equipar!AC:AC=A121)),""),"")</f>
        <v/>
      </c>
    </row>
    <row r="122" spans="1:10" x14ac:dyDescent="0.25">
      <c r="A122" s="3">
        <v>246</v>
      </c>
      <c r="B122" s="6" t="s">
        <v>53</v>
      </c>
      <c r="C122" s="6" t="s">
        <v>56</v>
      </c>
      <c r="D122" s="6" t="s">
        <v>40</v>
      </c>
      <c r="E122" s="6" t="s">
        <v>43</v>
      </c>
      <c r="F122" s="6" t="s">
        <v>33</v>
      </c>
      <c r="G122" s="6" t="s">
        <v>41</v>
      </c>
      <c r="H122" s="6" t="s">
        <v>38</v>
      </c>
      <c r="I122" s="2" t="str">
        <f ca="1">IF(ISNUMBER(A122),
IF(COUNTIFS(Equipar!B:B,4,Equipar!AC:AC,A122),"Equipada",
IF(
  OR(COUNTIFS(Equipar!B:B,4,Equipar!C:C,A122)
 +COUNTIFS(Equipar!B:B,4,Equipar!D:D,A122)
+COUNTIFS(Equipar!B:B,4,Equipar!E:E,A122)
+COUNTIFS(Equipar!B:B,4,Equipar!F:F,A122)
&gt;0,COUNTIF('Set recomendado'!B:B,C122)=0),
"Bloqueada",
"Desechable")),""
)</f>
        <v>Bloqueada</v>
      </c>
      <c r="J122" t="str" cm="1">
        <f t="array" ref="J122">IF(ISNUMBER(A122),IFERROR(_xlfn._xlws.FILTER(Equipar!A:A,(Equipar!B:B=4)*(Equipar!AC:AC=A122)),""),"")</f>
        <v/>
      </c>
    </row>
    <row r="123" spans="1:10" x14ac:dyDescent="0.25">
      <c r="A123" s="3">
        <v>247</v>
      </c>
      <c r="B123" s="6" t="s">
        <v>53</v>
      </c>
      <c r="C123" s="6" t="s">
        <v>56</v>
      </c>
      <c r="D123" s="6" t="s">
        <v>38</v>
      </c>
      <c r="E123" s="6" t="s">
        <v>36</v>
      </c>
      <c r="F123" s="6" t="s">
        <v>32</v>
      </c>
      <c r="G123" s="6" t="s">
        <v>36</v>
      </c>
      <c r="I123" s="2" t="str">
        <f>IF(ISNUMBER(A123),
IF(COUNTIFS(Equipar!B:B,4,Equipar!AC:AC,A123),"Equipada",
IF(
  OR(COUNTIFS(Equipar!B:B,4,Equipar!C:C,A123)
 +COUNTIFS(Equipar!B:B,4,Equipar!D:D,A123)
+COUNTIFS(Equipar!B:B,4,Equipar!E:E,A123)
+COUNTIFS(Equipar!B:B,4,Equipar!F:F,A123)
&gt;0,COUNTIF('Set recomendado'!B:B,C123)=0),
"Bloqueada",
"Desechable")),""
)</f>
        <v>Equipada</v>
      </c>
      <c r="J123" t="str" cm="1">
        <f t="array" ref="J123">IF(ISNUMBER(A123),IFERROR(_xlfn._xlws.FILTER(Equipar!A:A,(Equipar!B:B=4)*(Equipar!AC:AC=A123)),""),"")</f>
        <v>Iwaizumi</v>
      </c>
    </row>
    <row r="124" spans="1:10" x14ac:dyDescent="0.25">
      <c r="A124" s="3">
        <v>248</v>
      </c>
      <c r="B124" s="6" t="s">
        <v>53</v>
      </c>
      <c r="C124" s="6" t="s">
        <v>57</v>
      </c>
      <c r="D124" s="6" t="s">
        <v>37</v>
      </c>
      <c r="E124" s="6" t="s">
        <v>43</v>
      </c>
      <c r="F124" s="6" t="s">
        <v>37</v>
      </c>
      <c r="G124" s="6" t="s">
        <v>41</v>
      </c>
      <c r="H124" s="6" t="s">
        <v>34</v>
      </c>
      <c r="I124" s="2" t="str">
        <f ca="1">IF(ISNUMBER(A124),
IF(COUNTIFS(Equipar!B:B,4,Equipar!AC:AC,A124),"Equipada",
IF(
  OR(COUNTIFS(Equipar!B:B,4,Equipar!C:C,A124)
 +COUNTIFS(Equipar!B:B,4,Equipar!D:D,A124)
+COUNTIFS(Equipar!B:B,4,Equipar!E:E,A124)
+COUNTIFS(Equipar!B:B,4,Equipar!F:F,A124)
&gt;0,COUNTIF('Set recomendado'!B:B,C124)=0),
"Bloqueada",
"Desechable")),""
)</f>
        <v>Bloqueada</v>
      </c>
      <c r="J124" t="str" cm="1">
        <f t="array" ref="J124">IF(ISNUMBER(A124),IFERROR(_xlfn._xlws.FILTER(Equipar!A:A,(Equipar!B:B=4)*(Equipar!AC:AC=A124)),""),"")</f>
        <v/>
      </c>
    </row>
    <row r="125" spans="1:10" x14ac:dyDescent="0.25">
      <c r="A125" s="3">
        <v>249</v>
      </c>
      <c r="B125" s="6" t="s">
        <v>53</v>
      </c>
      <c r="C125" s="6" t="s">
        <v>57</v>
      </c>
      <c r="D125" s="6" t="s">
        <v>38</v>
      </c>
      <c r="E125" s="6" t="s">
        <v>43</v>
      </c>
      <c r="F125" s="6" t="s">
        <v>36</v>
      </c>
      <c r="G125" s="6" t="s">
        <v>39</v>
      </c>
      <c r="I125" s="2" t="str">
        <f ca="1">IF(ISNUMBER(A125),
IF(COUNTIFS(Equipar!B:B,4,Equipar!AC:AC,A125),"Equipada",
IF(
  OR(COUNTIFS(Equipar!B:B,4,Equipar!C:C,A125)
 +COUNTIFS(Equipar!B:B,4,Equipar!D:D,A125)
+COUNTIFS(Equipar!B:B,4,Equipar!E:E,A125)
+COUNTIFS(Equipar!B:B,4,Equipar!F:F,A125)
&gt;0,COUNTIF('Set recomendado'!B:B,C125)=0),
"Bloqueada",
"Desechable")),""
)</f>
        <v>Bloqueada</v>
      </c>
      <c r="J125" t="str" cm="1">
        <f t="array" ref="J125">IF(ISNUMBER(A125),IFERROR(_xlfn._xlws.FILTER(Equipar!A:A,(Equipar!B:B=4)*(Equipar!AC:AC=A125)),""),"")</f>
        <v/>
      </c>
    </row>
    <row r="126" spans="1:10" x14ac:dyDescent="0.25">
      <c r="A126" s="3">
        <v>250</v>
      </c>
      <c r="B126" s="6" t="s">
        <v>53</v>
      </c>
      <c r="C126" s="6" t="s">
        <v>55</v>
      </c>
      <c r="D126" s="6" t="s">
        <v>39</v>
      </c>
      <c r="E126" s="6" t="s">
        <v>43</v>
      </c>
      <c r="F126" s="6" t="s">
        <v>43</v>
      </c>
      <c r="G126" s="6" t="s">
        <v>36</v>
      </c>
      <c r="I126" s="2" t="str">
        <f ca="1">IF(ISNUMBER(A126),
IF(COUNTIFS(Equipar!B:B,4,Equipar!AC:AC,A126),"Equipada",
IF(
  OR(COUNTIFS(Equipar!B:B,4,Equipar!C:C,A126)
 +COUNTIFS(Equipar!B:B,4,Equipar!D:D,A126)
+COUNTIFS(Equipar!B:B,4,Equipar!E:E,A126)
+COUNTIFS(Equipar!B:B,4,Equipar!F:F,A126)
&gt;0,COUNTIF('Set recomendado'!B:B,C126)=0),
"Bloqueada",
"Desechable")),""
)</f>
        <v>Desechable</v>
      </c>
      <c r="J126" t="str" cm="1">
        <f t="array" ref="J126">IF(ISNUMBER(A126),IFERROR(_xlfn._xlws.FILTER(Equipar!A:A,(Equipar!B:B=4)*(Equipar!AC:AC=A126)),""),"")</f>
        <v/>
      </c>
    </row>
    <row r="127" spans="1:10" x14ac:dyDescent="0.25">
      <c r="A127" s="3">
        <v>251</v>
      </c>
      <c r="B127" s="6" t="s">
        <v>53</v>
      </c>
      <c r="C127" s="6" t="s">
        <v>29</v>
      </c>
      <c r="D127" s="6" t="s">
        <v>43</v>
      </c>
      <c r="E127" s="6" t="s">
        <v>32</v>
      </c>
      <c r="F127" s="6" t="s">
        <v>42</v>
      </c>
      <c r="G127" s="6" t="s">
        <v>37</v>
      </c>
      <c r="I127" s="2" t="str">
        <f ca="1">IF(ISNUMBER(A127),
IF(COUNTIFS(Equipar!B:B,4,Equipar!AC:AC,A127),"Equipada",
IF(
  OR(COUNTIFS(Equipar!B:B,4,Equipar!C:C,A127)
 +COUNTIFS(Equipar!B:B,4,Equipar!D:D,A127)
+COUNTIFS(Equipar!B:B,4,Equipar!E:E,A127)
+COUNTIFS(Equipar!B:B,4,Equipar!F:F,A127)
&gt;0,COUNTIF('Set recomendado'!B:B,C127)=0),
"Bloqueada",
"Desechable")),""
)</f>
        <v>Desechable</v>
      </c>
      <c r="J127" t="str" cm="1">
        <f t="array" ref="J127">IF(ISNUMBER(A127),IFERROR(_xlfn._xlws.FILTER(Equipar!A:A,(Equipar!B:B=4)*(Equipar!AC:AC=A127)),""),"")</f>
        <v/>
      </c>
    </row>
    <row r="128" spans="1:10" x14ac:dyDescent="0.25">
      <c r="A128" s="3">
        <v>253</v>
      </c>
      <c r="B128" s="6" t="s">
        <v>54</v>
      </c>
      <c r="C128" s="6" t="s">
        <v>14</v>
      </c>
      <c r="D128" s="6" t="s">
        <v>39</v>
      </c>
      <c r="E128" s="6" t="s">
        <v>42</v>
      </c>
      <c r="F128" s="6" t="s">
        <v>38</v>
      </c>
      <c r="I128" s="2" t="str">
        <f ca="1">IF(ISNUMBER(A128),
IF(COUNTIFS(Equipar!B:B,4,Equipar!AC:AC,A128),"Equipada",
IF(
  OR(COUNTIFS(Equipar!B:B,4,Equipar!C:C,A128)
 +COUNTIFS(Equipar!B:B,4,Equipar!D:D,A128)
+COUNTIFS(Equipar!B:B,4,Equipar!E:E,A128)
+COUNTIFS(Equipar!B:B,4,Equipar!F:F,A128)
&gt;0,COUNTIF('Set recomendado'!B:B,C128)=0),
"Bloqueada",
"Desechable")),""
)</f>
        <v>Desechable</v>
      </c>
      <c r="J128" t="str" cm="1">
        <f t="array" ref="J128">IF(ISNUMBER(A128),IFERROR(_xlfn._xlws.FILTER(Equipar!A:A,(Equipar!B:B=4)*(Equipar!AC:AC=A128)),""),"")</f>
        <v/>
      </c>
    </row>
    <row r="129" spans="1:10" x14ac:dyDescent="0.25">
      <c r="A129" s="3">
        <v>254</v>
      </c>
      <c r="B129" s="6" t="s">
        <v>54</v>
      </c>
      <c r="C129" s="6" t="s">
        <v>23</v>
      </c>
      <c r="D129" s="6" t="s">
        <v>37</v>
      </c>
      <c r="E129" s="6" t="s">
        <v>42</v>
      </c>
      <c r="F129" s="6" t="s">
        <v>37</v>
      </c>
      <c r="I129" s="2" t="str">
        <f>IF(ISNUMBER(A129),
IF(COUNTIFS(Equipar!B:B,4,Equipar!AC:AC,A129),"Equipada",
IF(
  OR(COUNTIFS(Equipar!B:B,4,Equipar!C:C,A129)
 +COUNTIFS(Equipar!B:B,4,Equipar!D:D,A129)
+COUNTIFS(Equipar!B:B,4,Equipar!E:E,A129)
+COUNTIFS(Equipar!B:B,4,Equipar!F:F,A129)
&gt;0,COUNTIF('Set recomendado'!B:B,C129)=0),
"Bloqueada",
"Desechable")),""
)</f>
        <v>Equipada</v>
      </c>
      <c r="J129" t="str" cm="1">
        <f t="array" ref="J129">IF(ISNUMBER(A129),IFERROR(_xlfn._xlws.FILTER(Equipar!A:A,(Equipar!B:B=4)*(Equipar!AC:AC=A129)),""),"")</f>
        <v>Kuroo</v>
      </c>
    </row>
    <row r="130" spans="1:10" x14ac:dyDescent="0.25">
      <c r="A130" s="3">
        <v>255</v>
      </c>
      <c r="B130" s="6" t="s">
        <v>54</v>
      </c>
      <c r="C130" s="6" t="s">
        <v>23</v>
      </c>
      <c r="D130" s="6" t="s">
        <v>37</v>
      </c>
      <c r="E130" s="6" t="s">
        <v>36</v>
      </c>
      <c r="F130" s="6" t="s">
        <v>37</v>
      </c>
      <c r="I130" s="2" t="str">
        <f ca="1">IF(ISNUMBER(A130),
IF(COUNTIFS(Equipar!B:B,4,Equipar!AC:AC,A130),"Equipada",
IF(
  OR(COUNTIFS(Equipar!B:B,4,Equipar!C:C,A130)
 +COUNTIFS(Equipar!B:B,4,Equipar!D:D,A130)
+COUNTIFS(Equipar!B:B,4,Equipar!E:E,A130)
+COUNTIFS(Equipar!B:B,4,Equipar!F:F,A130)
&gt;0,COUNTIF('Set recomendado'!B:B,C130)=0),
"Bloqueada",
"Desechable")),""
)</f>
        <v>Desechable</v>
      </c>
      <c r="J130" t="str" cm="1">
        <f t="array" ref="J130">IF(ISNUMBER(A130),IFERROR(_xlfn._xlws.FILTER(Equipar!A:A,(Equipar!B:B=4)*(Equipar!AC:AC=A130)),""),"")</f>
        <v/>
      </c>
    </row>
    <row r="131" spans="1:10" x14ac:dyDescent="0.25">
      <c r="A131" s="3">
        <v>256</v>
      </c>
      <c r="B131" s="6" t="s">
        <v>54</v>
      </c>
      <c r="C131" s="6" t="s">
        <v>17</v>
      </c>
      <c r="D131" s="6" t="s">
        <v>43</v>
      </c>
      <c r="E131" s="6" t="s">
        <v>35</v>
      </c>
      <c r="F131" s="6" t="s">
        <v>41</v>
      </c>
      <c r="I131" s="2" t="str">
        <f ca="1">IF(ISNUMBER(A131),
IF(COUNTIFS(Equipar!B:B,4,Equipar!AC:AC,A131),"Equipada",
IF(
  OR(COUNTIFS(Equipar!B:B,4,Equipar!C:C,A131)
 +COUNTIFS(Equipar!B:B,4,Equipar!D:D,A131)
+COUNTIFS(Equipar!B:B,4,Equipar!E:E,A131)
+COUNTIFS(Equipar!B:B,4,Equipar!F:F,A131)
&gt;0,COUNTIF('Set recomendado'!B:B,C131)=0),
"Bloqueada",
"Desechable")),""
)</f>
        <v>Desechable</v>
      </c>
      <c r="J131" t="str" cm="1">
        <f t="array" ref="J131">IF(ISNUMBER(A131),IFERROR(_xlfn._xlws.FILTER(Equipar!A:A,(Equipar!B:B=4)*(Equipar!AC:AC=A131)),""),"")</f>
        <v/>
      </c>
    </row>
    <row r="132" spans="1:10" x14ac:dyDescent="0.25">
      <c r="A132" s="3">
        <v>257</v>
      </c>
      <c r="B132" s="6" t="s">
        <v>54</v>
      </c>
      <c r="C132" s="6" t="s">
        <v>17</v>
      </c>
      <c r="D132" s="6" t="s">
        <v>38</v>
      </c>
      <c r="E132" s="6" t="s">
        <v>37</v>
      </c>
      <c r="F132" s="6" t="s">
        <v>34</v>
      </c>
      <c r="I132" s="2" t="str">
        <f ca="1">IF(ISNUMBER(A132),
IF(COUNTIFS(Equipar!B:B,4,Equipar!AC:AC,A132),"Equipada",
IF(
  OR(COUNTIFS(Equipar!B:B,4,Equipar!C:C,A132)
 +COUNTIFS(Equipar!B:B,4,Equipar!D:D,A132)
+COUNTIFS(Equipar!B:B,4,Equipar!E:E,A132)
+COUNTIFS(Equipar!B:B,4,Equipar!F:F,A132)
&gt;0,COUNTIF('Set recomendado'!B:B,C132)=0),
"Bloqueada",
"Desechable")),""
)</f>
        <v>Desechable</v>
      </c>
      <c r="J132" t="str" cm="1">
        <f t="array" ref="J132">IF(ISNUMBER(A132),IFERROR(_xlfn._xlws.FILTER(Equipar!A:A,(Equipar!B:B=4)*(Equipar!AC:AC=A132)),""),"")</f>
        <v/>
      </c>
    </row>
    <row r="133" spans="1:10" x14ac:dyDescent="0.25">
      <c r="A133" s="3">
        <v>258</v>
      </c>
      <c r="B133" s="6" t="s">
        <v>54</v>
      </c>
      <c r="C133" s="6" t="s">
        <v>57</v>
      </c>
      <c r="D133" s="6" t="s">
        <v>43</v>
      </c>
      <c r="E133" s="6" t="s">
        <v>42</v>
      </c>
      <c r="F133" s="6" t="s">
        <v>38</v>
      </c>
      <c r="G133" s="6" t="s">
        <v>43</v>
      </c>
      <c r="I133" s="2" t="str">
        <f ca="1">IF(ISNUMBER(A133),
IF(COUNTIFS(Equipar!B:B,4,Equipar!AC:AC,A133),"Equipada",
IF(
  OR(COUNTIFS(Equipar!B:B,4,Equipar!C:C,A133)
 +COUNTIFS(Equipar!B:B,4,Equipar!D:D,A133)
+COUNTIFS(Equipar!B:B,4,Equipar!E:E,A133)
+COUNTIFS(Equipar!B:B,4,Equipar!F:F,A133)
&gt;0,COUNTIF('Set recomendado'!B:B,C133)=0),
"Bloqueada",
"Desechable")),""
)</f>
        <v>Bloqueada</v>
      </c>
      <c r="J133" t="str" cm="1">
        <f t="array" ref="J133">IF(ISNUMBER(A133),IFERROR(_xlfn._xlws.FILTER(Equipar!A:A,(Equipar!B:B=4)*(Equipar!AC:AC=A133)),""),"")</f>
        <v/>
      </c>
    </row>
    <row r="134" spans="1:10" x14ac:dyDescent="0.25">
      <c r="A134" s="3">
        <v>259</v>
      </c>
      <c r="B134" s="6" t="s">
        <v>54</v>
      </c>
      <c r="C134" s="6" t="s">
        <v>57</v>
      </c>
      <c r="D134" s="6" t="s">
        <v>43</v>
      </c>
      <c r="E134" s="6" t="s">
        <v>32</v>
      </c>
      <c r="F134" s="6" t="s">
        <v>42</v>
      </c>
      <c r="G134" s="6" t="s">
        <v>36</v>
      </c>
      <c r="I134" s="2" t="str">
        <f ca="1">IF(ISNUMBER(A134),
IF(COUNTIFS(Equipar!B:B,4,Equipar!AC:AC,A134),"Equipada",
IF(
  OR(COUNTIFS(Equipar!B:B,4,Equipar!C:C,A134)
 +COUNTIFS(Equipar!B:B,4,Equipar!D:D,A134)
+COUNTIFS(Equipar!B:B,4,Equipar!E:E,A134)
+COUNTIFS(Equipar!B:B,4,Equipar!F:F,A134)
&gt;0,COUNTIF('Set recomendado'!B:B,C134)=0),
"Bloqueada",
"Desechable")),""
)</f>
        <v>Bloqueada</v>
      </c>
      <c r="J134" t="str" cm="1">
        <f t="array" ref="J134">IF(ISNUMBER(A134),IFERROR(_xlfn._xlws.FILTER(Equipar!A:A,(Equipar!B:B=4)*(Equipar!AC:AC=A134)),""),"")</f>
        <v/>
      </c>
    </row>
    <row r="135" spans="1:10" x14ac:dyDescent="0.25">
      <c r="A135" s="3">
        <v>260</v>
      </c>
      <c r="B135" s="6" t="s">
        <v>54</v>
      </c>
      <c r="C135" s="6" t="s">
        <v>57</v>
      </c>
      <c r="D135" s="6" t="s">
        <v>43</v>
      </c>
      <c r="E135" s="6" t="s">
        <v>37</v>
      </c>
      <c r="F135" s="6" t="s">
        <v>32</v>
      </c>
      <c r="I135" s="2" t="str">
        <f ca="1">IF(ISNUMBER(A135),
IF(COUNTIFS(Equipar!B:B,4,Equipar!AC:AC,A135),"Equipada",
IF(
  OR(COUNTIFS(Equipar!B:B,4,Equipar!C:C,A135)
 +COUNTIFS(Equipar!B:B,4,Equipar!D:D,A135)
+COUNTIFS(Equipar!B:B,4,Equipar!E:E,A135)
+COUNTIFS(Equipar!B:B,4,Equipar!F:F,A135)
&gt;0,COUNTIF('Set recomendado'!B:B,C135)=0),
"Bloqueada",
"Desechable")),""
)</f>
        <v>Bloqueada</v>
      </c>
      <c r="J135" t="str" cm="1">
        <f t="array" ref="J135">IF(ISNUMBER(A135),IFERROR(_xlfn._xlws.FILTER(Equipar!A:A,(Equipar!B:B=4)*(Equipar!AC:AC=A135)),""),"")</f>
        <v/>
      </c>
    </row>
    <row r="136" spans="1:10" x14ac:dyDescent="0.25">
      <c r="A136" s="3">
        <v>261</v>
      </c>
      <c r="B136" s="6" t="s">
        <v>54</v>
      </c>
      <c r="C136" s="6" t="s">
        <v>57</v>
      </c>
      <c r="D136" s="6" t="s">
        <v>43</v>
      </c>
      <c r="E136" s="6" t="s">
        <v>32</v>
      </c>
      <c r="F136" s="6" t="s">
        <v>43</v>
      </c>
      <c r="G136" s="6" t="s">
        <v>33</v>
      </c>
      <c r="I136" s="2" t="str">
        <f ca="1">IF(ISNUMBER(A136),
IF(COUNTIFS(Equipar!B:B,4,Equipar!AC:AC,A136),"Equipada",
IF(
  OR(COUNTIFS(Equipar!B:B,4,Equipar!C:C,A136)
 +COUNTIFS(Equipar!B:B,4,Equipar!D:D,A136)
+COUNTIFS(Equipar!B:B,4,Equipar!E:E,A136)
+COUNTIFS(Equipar!B:B,4,Equipar!F:F,A136)
&gt;0,COUNTIF('Set recomendado'!B:B,C136)=0),
"Bloqueada",
"Desechable")),""
)</f>
        <v>Bloqueada</v>
      </c>
      <c r="J136" t="str" cm="1">
        <f t="array" ref="J136">IF(ISNUMBER(A136),IFERROR(_xlfn._xlws.FILTER(Equipar!A:A,(Equipar!B:B=4)*(Equipar!AC:AC=A136)),""),"")</f>
        <v/>
      </c>
    </row>
    <row r="137" spans="1:10" x14ac:dyDescent="0.25">
      <c r="A137" s="3">
        <v>262</v>
      </c>
      <c r="B137" s="6" t="s">
        <v>54</v>
      </c>
      <c r="C137" s="6" t="s">
        <v>57</v>
      </c>
      <c r="D137" s="6" t="s">
        <v>38</v>
      </c>
      <c r="E137" s="6" t="s">
        <v>37</v>
      </c>
      <c r="F137" s="6" t="s">
        <v>38</v>
      </c>
      <c r="I137" s="2" t="str">
        <f ca="1">IF(ISNUMBER(A137),
IF(COUNTIFS(Equipar!B:B,4,Equipar!AC:AC,A137),"Equipada",
IF(
  OR(COUNTIFS(Equipar!B:B,4,Equipar!C:C,A137)
 +COUNTIFS(Equipar!B:B,4,Equipar!D:D,A137)
+COUNTIFS(Equipar!B:B,4,Equipar!E:E,A137)
+COUNTIFS(Equipar!B:B,4,Equipar!F:F,A137)
&gt;0,COUNTIF('Set recomendado'!B:B,C137)=0),
"Bloqueada",
"Desechable")),""
)</f>
        <v>Bloqueada</v>
      </c>
      <c r="J137" t="str" cm="1">
        <f t="array" ref="J137">IF(ISNUMBER(A137),IFERROR(_xlfn._xlws.FILTER(Equipar!A:A,(Equipar!B:B=4)*(Equipar!AC:AC=A137)),""),"")</f>
        <v/>
      </c>
    </row>
    <row r="138" spans="1:10" x14ac:dyDescent="0.25">
      <c r="A138" s="3">
        <v>263</v>
      </c>
      <c r="B138" s="6" t="s">
        <v>54</v>
      </c>
      <c r="C138" s="6" t="s">
        <v>57</v>
      </c>
      <c r="D138" s="6" t="s">
        <v>38</v>
      </c>
      <c r="E138" s="6" t="s">
        <v>36</v>
      </c>
      <c r="F138" s="6" t="s">
        <v>33</v>
      </c>
      <c r="G138" s="6" t="s">
        <v>42</v>
      </c>
      <c r="I138" s="2" t="str">
        <f ca="1">IF(ISNUMBER(A138),
IF(COUNTIFS(Equipar!B:B,4,Equipar!AC:AC,A138),"Equipada",
IF(
  OR(COUNTIFS(Equipar!B:B,4,Equipar!C:C,A138)
 +COUNTIFS(Equipar!B:B,4,Equipar!D:D,A138)
+COUNTIFS(Equipar!B:B,4,Equipar!E:E,A138)
+COUNTIFS(Equipar!B:B,4,Equipar!F:F,A138)
&gt;0,COUNTIF('Set recomendado'!B:B,C138)=0),
"Bloqueada",
"Desechable")),""
)</f>
        <v>Bloqueada</v>
      </c>
      <c r="J138" t="str" cm="1">
        <f t="array" ref="J138">IF(ISNUMBER(A138),IFERROR(_xlfn._xlws.FILTER(Equipar!A:A,(Equipar!B:B=4)*(Equipar!AC:AC=A138)),""),"")</f>
        <v/>
      </c>
    </row>
    <row r="139" spans="1:10" x14ac:dyDescent="0.25">
      <c r="A139" s="3">
        <v>264</v>
      </c>
      <c r="B139" s="6" t="s">
        <v>54</v>
      </c>
      <c r="C139" s="6" t="s">
        <v>57</v>
      </c>
      <c r="D139" s="6" t="s">
        <v>37</v>
      </c>
      <c r="E139" s="6" t="s">
        <v>38</v>
      </c>
      <c r="F139" s="6" t="s">
        <v>32</v>
      </c>
      <c r="G139" s="6" t="s">
        <v>36</v>
      </c>
      <c r="I139" s="2" t="str">
        <f ca="1">IF(ISNUMBER(A139),
IF(COUNTIFS(Equipar!B:B,4,Equipar!AC:AC,A139),"Equipada",
IF(
  OR(COUNTIFS(Equipar!B:B,4,Equipar!C:C,A139)
 +COUNTIFS(Equipar!B:B,4,Equipar!D:D,A139)
+COUNTIFS(Equipar!B:B,4,Equipar!E:E,A139)
+COUNTIFS(Equipar!B:B,4,Equipar!F:F,A139)
&gt;0,COUNTIF('Set recomendado'!B:B,C139)=0),
"Bloqueada",
"Desechable")),""
)</f>
        <v>Bloqueada</v>
      </c>
      <c r="J139" t="str" cm="1">
        <f t="array" ref="J139">IF(ISNUMBER(A139),IFERROR(_xlfn._xlws.FILTER(Equipar!A:A,(Equipar!B:B=4)*(Equipar!AC:AC=A139)),""),"")</f>
        <v/>
      </c>
    </row>
    <row r="140" spans="1:10" x14ac:dyDescent="0.25">
      <c r="A140" s="3">
        <v>265</v>
      </c>
      <c r="B140" s="6" t="s">
        <v>54</v>
      </c>
      <c r="C140" s="6" t="s">
        <v>57</v>
      </c>
      <c r="D140" s="6" t="s">
        <v>38</v>
      </c>
      <c r="E140" s="6" t="s">
        <v>41</v>
      </c>
      <c r="F140" s="6" t="s">
        <v>38</v>
      </c>
      <c r="I140" s="2" t="str">
        <f ca="1">IF(ISNUMBER(A140),
IF(COUNTIFS(Equipar!B:B,4,Equipar!AC:AC,A140),"Equipada",
IF(
  OR(COUNTIFS(Equipar!B:B,4,Equipar!C:C,A140)
 +COUNTIFS(Equipar!B:B,4,Equipar!D:D,A140)
+COUNTIFS(Equipar!B:B,4,Equipar!E:E,A140)
+COUNTIFS(Equipar!B:B,4,Equipar!F:F,A140)
&gt;0,COUNTIF('Set recomendado'!B:B,C140)=0),
"Bloqueada",
"Desechable")),""
)</f>
        <v>Bloqueada</v>
      </c>
      <c r="J140" t="str" cm="1">
        <f t="array" ref="J140">IF(ISNUMBER(A140),IFERROR(_xlfn._xlws.FILTER(Equipar!A:A,(Equipar!B:B=4)*(Equipar!AC:AC=A140)),""),"")</f>
        <v/>
      </c>
    </row>
    <row r="141" spans="1:10" x14ac:dyDescent="0.25">
      <c r="A141" s="3">
        <v>266</v>
      </c>
      <c r="B141" s="6" t="s">
        <v>54</v>
      </c>
      <c r="C141" s="6" t="s">
        <v>55</v>
      </c>
      <c r="D141" s="6" t="s">
        <v>43</v>
      </c>
      <c r="E141" s="6" t="s">
        <v>36</v>
      </c>
      <c r="F141" s="6" t="s">
        <v>43</v>
      </c>
      <c r="I141" s="2" t="str">
        <f ca="1">IF(ISNUMBER(A141),
IF(COUNTIFS(Equipar!B:B,4,Equipar!AC:AC,A141),"Equipada",
IF(
  OR(COUNTIFS(Equipar!B:B,4,Equipar!C:C,A141)
 +COUNTIFS(Equipar!B:B,4,Equipar!D:D,A141)
+COUNTIFS(Equipar!B:B,4,Equipar!E:E,A141)
+COUNTIFS(Equipar!B:B,4,Equipar!F:F,A141)
&gt;0,COUNTIF('Set recomendado'!B:B,C141)=0),
"Bloqueada",
"Desechable")),""
)</f>
        <v>Desechable</v>
      </c>
      <c r="J141" t="str" cm="1">
        <f t="array" ref="J141">IF(ISNUMBER(A141),IFERROR(_xlfn._xlws.FILTER(Equipar!A:A,(Equipar!B:B=4)*(Equipar!AC:AC=A141)),""),"")</f>
        <v/>
      </c>
    </row>
    <row r="142" spans="1:10" x14ac:dyDescent="0.25">
      <c r="A142" s="3">
        <v>267</v>
      </c>
      <c r="B142" s="6" t="s">
        <v>54</v>
      </c>
      <c r="C142" s="6" t="s">
        <v>55</v>
      </c>
      <c r="D142" s="6" t="s">
        <v>38</v>
      </c>
      <c r="E142" s="6" t="s">
        <v>39</v>
      </c>
      <c r="F142" s="6" t="s">
        <v>33</v>
      </c>
      <c r="I142" s="2" t="str">
        <f ca="1">IF(ISNUMBER(A142),
IF(COUNTIFS(Equipar!B:B,4,Equipar!AC:AC,A142),"Equipada",
IF(
  OR(COUNTIFS(Equipar!B:B,4,Equipar!C:C,A142)
 +COUNTIFS(Equipar!B:B,4,Equipar!D:D,A142)
+COUNTIFS(Equipar!B:B,4,Equipar!E:E,A142)
+COUNTIFS(Equipar!B:B,4,Equipar!F:F,A142)
&gt;0,COUNTIF('Set recomendado'!B:B,C142)=0),
"Bloqueada",
"Desechable")),""
)</f>
        <v>Desechable</v>
      </c>
      <c r="J142" t="str" cm="1">
        <f t="array" ref="J142">IF(ISNUMBER(A142),IFERROR(_xlfn._xlws.FILTER(Equipar!A:A,(Equipar!B:B=4)*(Equipar!AC:AC=A142)),""),"")</f>
        <v/>
      </c>
    </row>
    <row r="143" spans="1:10" x14ac:dyDescent="0.25">
      <c r="A143" s="3">
        <v>268</v>
      </c>
      <c r="B143" s="6" t="s">
        <v>54</v>
      </c>
      <c r="C143" s="6" t="s">
        <v>55</v>
      </c>
      <c r="D143" s="6" t="s">
        <v>43</v>
      </c>
      <c r="E143" s="6" t="s">
        <v>39</v>
      </c>
      <c r="F143" s="6" t="s">
        <v>43</v>
      </c>
      <c r="I143" s="2" t="str">
        <f ca="1">IF(ISNUMBER(A143),
IF(COUNTIFS(Equipar!B:B,4,Equipar!AC:AC,A143),"Equipada",
IF(
  OR(COUNTIFS(Equipar!B:B,4,Equipar!C:C,A143)
 +COUNTIFS(Equipar!B:B,4,Equipar!D:D,A143)
+COUNTIFS(Equipar!B:B,4,Equipar!E:E,A143)
+COUNTIFS(Equipar!B:B,4,Equipar!F:F,A143)
&gt;0,COUNTIF('Set recomendado'!B:B,C143)=0),
"Bloqueada",
"Desechable")),""
)</f>
        <v>Desechable</v>
      </c>
      <c r="J143" t="str" cm="1">
        <f t="array" ref="J143">IF(ISNUMBER(A143),IFERROR(_xlfn._xlws.FILTER(Equipar!A:A,(Equipar!B:B=4)*(Equipar!AC:AC=A143)),""),"")</f>
        <v/>
      </c>
    </row>
    <row r="144" spans="1:10" x14ac:dyDescent="0.25">
      <c r="A144" s="3">
        <v>269</v>
      </c>
      <c r="B144" s="6" t="s">
        <v>54</v>
      </c>
      <c r="C144" s="6" t="s">
        <v>21</v>
      </c>
      <c r="D144" s="6" t="s">
        <v>38</v>
      </c>
      <c r="E144" s="6" t="s">
        <v>35</v>
      </c>
      <c r="F144" s="6" t="s">
        <v>43</v>
      </c>
      <c r="I144" s="2" t="str">
        <f ca="1">IF(ISNUMBER(A144),
IF(COUNTIFS(Equipar!B:B,4,Equipar!AC:AC,A144),"Equipada",
IF(
  OR(COUNTIFS(Equipar!B:B,4,Equipar!C:C,A144)
 +COUNTIFS(Equipar!B:B,4,Equipar!D:D,A144)
+COUNTIFS(Equipar!B:B,4,Equipar!E:E,A144)
+COUNTIFS(Equipar!B:B,4,Equipar!F:F,A144)
&gt;0,COUNTIF('Set recomendado'!B:B,C144)=0),
"Bloqueada",
"Desechable")),""
)</f>
        <v>Desechable</v>
      </c>
      <c r="J144" t="str" cm="1">
        <f t="array" ref="J144">IF(ISNUMBER(A144),IFERROR(_xlfn._xlws.FILTER(Equipar!A:A,(Equipar!B:B=4)*(Equipar!AC:AC=A144)),""),"")</f>
        <v/>
      </c>
    </row>
    <row r="145" spans="1:10" x14ac:dyDescent="0.25">
      <c r="A145" s="3">
        <v>270</v>
      </c>
      <c r="B145" s="6" t="s">
        <v>54</v>
      </c>
      <c r="C145" s="6" t="s">
        <v>21</v>
      </c>
      <c r="D145" s="6" t="s">
        <v>38</v>
      </c>
      <c r="E145" s="6" t="s">
        <v>42</v>
      </c>
      <c r="F145" s="6" t="s">
        <v>41</v>
      </c>
      <c r="G145" s="6" t="s">
        <v>37</v>
      </c>
      <c r="I145" s="2" t="str">
        <f ca="1">IF(ISNUMBER(A145),
IF(COUNTIFS(Equipar!B:B,4,Equipar!AC:AC,A145),"Equipada",
IF(
  OR(COUNTIFS(Equipar!B:B,4,Equipar!C:C,A145)
 +COUNTIFS(Equipar!B:B,4,Equipar!D:D,A145)
+COUNTIFS(Equipar!B:B,4,Equipar!E:E,A145)
+COUNTIFS(Equipar!B:B,4,Equipar!F:F,A145)
&gt;0,COUNTIF('Set recomendado'!B:B,C145)=0),
"Bloqueada",
"Desechable")),""
)</f>
        <v>Desechable</v>
      </c>
      <c r="J145" t="str" cm="1">
        <f t="array" ref="J145">IF(ISNUMBER(A145),IFERROR(_xlfn._xlws.FILTER(Equipar!A:A,(Equipar!B:B=4)*(Equipar!AC:AC=A145)),""),"")</f>
        <v/>
      </c>
    </row>
    <row r="146" spans="1:10" x14ac:dyDescent="0.25">
      <c r="A146" s="3">
        <v>271</v>
      </c>
      <c r="B146" s="6" t="s">
        <v>54</v>
      </c>
      <c r="C146" s="6" t="s">
        <v>21</v>
      </c>
      <c r="D146" s="6" t="s">
        <v>38</v>
      </c>
      <c r="E146" s="6" t="s">
        <v>43</v>
      </c>
      <c r="F146" s="6" t="s">
        <v>37</v>
      </c>
      <c r="G146" s="6" t="s">
        <v>38</v>
      </c>
      <c r="I146" s="2" t="str">
        <f>IF(ISNUMBER(A146),
IF(COUNTIFS(Equipar!B:B,4,Equipar!AC:AC,A146),"Equipada",
IF(
  OR(COUNTIFS(Equipar!B:B,4,Equipar!C:C,A146)
 +COUNTIFS(Equipar!B:B,4,Equipar!D:D,A146)
+COUNTIFS(Equipar!B:B,4,Equipar!E:E,A146)
+COUNTIFS(Equipar!B:B,4,Equipar!F:F,A146)
&gt;0,COUNTIF('Set recomendado'!B:B,C146)=0),
"Bloqueada",
"Desechable")),""
)</f>
        <v>Equipada</v>
      </c>
      <c r="J146" t="str" cm="1">
        <f t="array" ref="J146">IF(ISNUMBER(A146),IFERROR(_xlfn._xlws.FILTER(Equipar!A:A,(Equipar!B:B=4)*(Equipar!AC:AC=A146)),""),"")</f>
        <v>Komori</v>
      </c>
    </row>
    <row r="147" spans="1:10" x14ac:dyDescent="0.25">
      <c r="A147" s="3">
        <v>272</v>
      </c>
      <c r="B147" s="6" t="s">
        <v>54</v>
      </c>
      <c r="C147" s="6" t="s">
        <v>21</v>
      </c>
      <c r="D147" s="6" t="s">
        <v>37</v>
      </c>
      <c r="E147" s="6" t="s">
        <v>36</v>
      </c>
      <c r="F147" s="6" t="s">
        <v>42</v>
      </c>
      <c r="G147" s="6" t="s">
        <v>43</v>
      </c>
      <c r="I147" s="2" t="str">
        <f ca="1">IF(ISNUMBER(A147),
IF(COUNTIFS(Equipar!B:B,4,Equipar!AC:AC,A147),"Equipada",
IF(
  OR(COUNTIFS(Equipar!B:B,4,Equipar!C:C,A147)
 +COUNTIFS(Equipar!B:B,4,Equipar!D:D,A147)
+COUNTIFS(Equipar!B:B,4,Equipar!E:E,A147)
+COUNTIFS(Equipar!B:B,4,Equipar!F:F,A147)
&gt;0,COUNTIF('Set recomendado'!B:B,C147)=0),
"Bloqueada",
"Desechable")),""
)</f>
        <v>Desechable</v>
      </c>
      <c r="J147" t="str" cm="1">
        <f t="array" ref="J147">IF(ISNUMBER(A147),IFERROR(_xlfn._xlws.FILTER(Equipar!A:A,(Equipar!B:B=4)*(Equipar!AC:AC=A147)),""),"")</f>
        <v/>
      </c>
    </row>
    <row r="148" spans="1:10" x14ac:dyDescent="0.25">
      <c r="A148" s="3">
        <v>273</v>
      </c>
      <c r="B148" s="6" t="s">
        <v>54</v>
      </c>
      <c r="C148" s="6" t="s">
        <v>21</v>
      </c>
      <c r="D148" s="6" t="s">
        <v>39</v>
      </c>
      <c r="E148" s="6" t="s">
        <v>41</v>
      </c>
      <c r="F148" s="6" t="s">
        <v>36</v>
      </c>
      <c r="G148" s="6" t="s">
        <v>38</v>
      </c>
      <c r="I148" s="2" t="str">
        <f ca="1">IF(ISNUMBER(A148),
IF(COUNTIFS(Equipar!B:B,4,Equipar!AC:AC,A148),"Equipada",
IF(
  OR(COUNTIFS(Equipar!B:B,4,Equipar!C:C,A148)
 +COUNTIFS(Equipar!B:B,4,Equipar!D:D,A148)
+COUNTIFS(Equipar!B:B,4,Equipar!E:E,A148)
+COUNTIFS(Equipar!B:B,4,Equipar!F:F,A148)
&gt;0,COUNTIF('Set recomendado'!B:B,C148)=0),
"Bloqueada",
"Desechable")),""
)</f>
        <v>Desechable</v>
      </c>
      <c r="J148" t="str" cm="1">
        <f t="array" ref="J148">IF(ISNUMBER(A148),IFERROR(_xlfn._xlws.FILTER(Equipar!A:A,(Equipar!B:B=4)*(Equipar!AC:AC=A148)),""),"")</f>
        <v/>
      </c>
    </row>
    <row r="149" spans="1:10" x14ac:dyDescent="0.25">
      <c r="A149" s="3">
        <v>274</v>
      </c>
      <c r="B149" s="6" t="s">
        <v>54</v>
      </c>
      <c r="C149" s="6" t="s">
        <v>21</v>
      </c>
      <c r="D149" s="6" t="s">
        <v>37</v>
      </c>
      <c r="E149" s="6" t="s">
        <v>32</v>
      </c>
      <c r="F149" s="6" t="s">
        <v>38</v>
      </c>
      <c r="G149" s="6" t="s">
        <v>36</v>
      </c>
      <c r="I149" s="2" t="str">
        <f ca="1">IF(ISNUMBER(A149),
IF(COUNTIFS(Equipar!B:B,4,Equipar!AC:AC,A149),"Equipada",
IF(
  OR(COUNTIFS(Equipar!B:B,4,Equipar!C:C,A149)
 +COUNTIFS(Equipar!B:B,4,Equipar!D:D,A149)
+COUNTIFS(Equipar!B:B,4,Equipar!E:E,A149)
+COUNTIFS(Equipar!B:B,4,Equipar!F:F,A149)
&gt;0,COUNTIF('Set recomendado'!B:B,C149)=0),
"Bloqueada",
"Desechable")),""
)</f>
        <v>Desechable</v>
      </c>
      <c r="J149" t="str" cm="1">
        <f t="array" ref="J149">IF(ISNUMBER(A149),IFERROR(_xlfn._xlws.FILTER(Equipar!A:A,(Equipar!B:B=4)*(Equipar!AC:AC=A149)),""),"")</f>
        <v/>
      </c>
    </row>
    <row r="150" spans="1:10" x14ac:dyDescent="0.25">
      <c r="A150" s="3">
        <v>275</v>
      </c>
      <c r="B150" s="6" t="s">
        <v>54</v>
      </c>
      <c r="C150" s="6" t="s">
        <v>21</v>
      </c>
      <c r="D150" s="6" t="s">
        <v>37</v>
      </c>
      <c r="E150" s="6" t="s">
        <v>42</v>
      </c>
      <c r="F150" s="6" t="s">
        <v>41</v>
      </c>
      <c r="I150" s="2" t="str">
        <f ca="1">IF(ISNUMBER(A150),
IF(COUNTIFS(Equipar!B:B,4,Equipar!AC:AC,A150),"Equipada",
IF(
  OR(COUNTIFS(Equipar!B:B,4,Equipar!C:C,A150)
 +COUNTIFS(Equipar!B:B,4,Equipar!D:D,A150)
+COUNTIFS(Equipar!B:B,4,Equipar!E:E,A150)
+COUNTIFS(Equipar!B:B,4,Equipar!F:F,A150)
&gt;0,COUNTIF('Set recomendado'!B:B,C150)=0),
"Bloqueada",
"Desechable")),""
)</f>
        <v>Desechable</v>
      </c>
      <c r="J150" t="str" cm="1">
        <f t="array" ref="J150">IF(ISNUMBER(A150),IFERROR(_xlfn._xlws.FILTER(Equipar!A:A,(Equipar!B:B=4)*(Equipar!AC:AC=A150)),""),"")</f>
        <v/>
      </c>
    </row>
    <row r="151" spans="1:10" x14ac:dyDescent="0.25">
      <c r="A151" s="3">
        <v>276</v>
      </c>
      <c r="B151" s="6" t="s">
        <v>54</v>
      </c>
      <c r="C151" s="6" t="s">
        <v>21</v>
      </c>
      <c r="D151" s="6" t="s">
        <v>39</v>
      </c>
      <c r="E151" s="6" t="s">
        <v>41</v>
      </c>
      <c r="F151" s="6" t="s">
        <v>36</v>
      </c>
      <c r="I151" s="2" t="str">
        <f ca="1">IF(ISNUMBER(A151),
IF(COUNTIFS(Equipar!B:B,4,Equipar!AC:AC,A151),"Equipada",
IF(
  OR(COUNTIFS(Equipar!B:B,4,Equipar!C:C,A151)
 +COUNTIFS(Equipar!B:B,4,Equipar!D:D,A151)
+COUNTIFS(Equipar!B:B,4,Equipar!E:E,A151)
+COUNTIFS(Equipar!B:B,4,Equipar!F:F,A151)
&gt;0,COUNTIF('Set recomendado'!B:B,C151)=0),
"Bloqueada",
"Desechable")),""
)</f>
        <v>Desechable</v>
      </c>
      <c r="J151" t="str" cm="1">
        <f t="array" ref="J151">IF(ISNUMBER(A151),IFERROR(_xlfn._xlws.FILTER(Equipar!A:A,(Equipar!B:B=4)*(Equipar!AC:AC=A151)),""),"")</f>
        <v/>
      </c>
    </row>
    <row r="152" spans="1:10" x14ac:dyDescent="0.25">
      <c r="A152" s="3">
        <v>277</v>
      </c>
      <c r="B152" s="6" t="s">
        <v>54</v>
      </c>
      <c r="C152" s="6" t="s">
        <v>21</v>
      </c>
      <c r="D152" s="6" t="s">
        <v>43</v>
      </c>
      <c r="E152" s="6" t="s">
        <v>36</v>
      </c>
      <c r="F152" s="6" t="s">
        <v>32</v>
      </c>
      <c r="I152" s="2" t="str">
        <f ca="1">IF(ISNUMBER(A152),
IF(COUNTIFS(Equipar!B:B,4,Equipar!AC:AC,A152),"Equipada",
IF(
  OR(COUNTIFS(Equipar!B:B,4,Equipar!C:C,A152)
 +COUNTIFS(Equipar!B:B,4,Equipar!D:D,A152)
+COUNTIFS(Equipar!B:B,4,Equipar!E:E,A152)
+COUNTIFS(Equipar!B:B,4,Equipar!F:F,A152)
&gt;0,COUNTIF('Set recomendado'!B:B,C152)=0),
"Bloqueada",
"Desechable")),""
)</f>
        <v>Desechable</v>
      </c>
      <c r="J152" t="str" cm="1">
        <f t="array" ref="J152">IF(ISNUMBER(A152),IFERROR(_xlfn._xlws.FILTER(Equipar!A:A,(Equipar!B:B=4)*(Equipar!AC:AC=A152)),""),"")</f>
        <v/>
      </c>
    </row>
    <row r="153" spans="1:10" x14ac:dyDescent="0.25">
      <c r="A153" s="3">
        <v>278</v>
      </c>
      <c r="B153" s="6" t="s">
        <v>54</v>
      </c>
      <c r="C153" s="6" t="s">
        <v>21</v>
      </c>
      <c r="D153" s="6" t="s">
        <v>37</v>
      </c>
      <c r="E153" s="6" t="s">
        <v>37</v>
      </c>
      <c r="F153" s="6" t="s">
        <v>36</v>
      </c>
      <c r="G153" s="6" t="s">
        <v>43</v>
      </c>
      <c r="I153" s="2" t="str">
        <f ca="1">IF(ISNUMBER(A153),
IF(COUNTIFS(Equipar!B:B,4,Equipar!AC:AC,A153),"Equipada",
IF(
  OR(COUNTIFS(Equipar!B:B,4,Equipar!C:C,A153)
 +COUNTIFS(Equipar!B:B,4,Equipar!D:D,A153)
+COUNTIFS(Equipar!B:B,4,Equipar!E:E,A153)
+COUNTIFS(Equipar!B:B,4,Equipar!F:F,A153)
&gt;0,COUNTIF('Set recomendado'!B:B,C153)=0),
"Bloqueada",
"Desechable")),""
)</f>
        <v>Desechable</v>
      </c>
      <c r="J153" t="str" cm="1">
        <f t="array" ref="J153">IF(ISNUMBER(A153),IFERROR(_xlfn._xlws.FILTER(Equipar!A:A,(Equipar!B:B=4)*(Equipar!AC:AC=A153)),""),"")</f>
        <v/>
      </c>
    </row>
    <row r="154" spans="1:10" x14ac:dyDescent="0.25">
      <c r="A154" s="3">
        <v>279</v>
      </c>
      <c r="B154" s="6" t="s">
        <v>54</v>
      </c>
      <c r="C154" s="6" t="s">
        <v>29</v>
      </c>
      <c r="D154" s="6" t="s">
        <v>38</v>
      </c>
      <c r="E154" s="6" t="s">
        <v>36</v>
      </c>
      <c r="F154" s="6" t="s">
        <v>37</v>
      </c>
      <c r="I154" s="2" t="str">
        <f ca="1">IF(ISNUMBER(A154),
IF(COUNTIFS(Equipar!B:B,4,Equipar!AC:AC,A154),"Equipada",
IF(
  OR(COUNTIFS(Equipar!B:B,4,Equipar!C:C,A154)
 +COUNTIFS(Equipar!B:B,4,Equipar!D:D,A154)
+COUNTIFS(Equipar!B:B,4,Equipar!E:E,A154)
+COUNTIFS(Equipar!B:B,4,Equipar!F:F,A154)
&gt;0,COUNTIF('Set recomendado'!B:B,C154)=0),
"Bloqueada",
"Desechable")),""
)</f>
        <v>Desechable</v>
      </c>
      <c r="J154" t="str" cm="1">
        <f t="array" ref="J154">IF(ISNUMBER(A154),IFERROR(_xlfn._xlws.FILTER(Equipar!A:A,(Equipar!B:B=4)*(Equipar!AC:AC=A154)),""),"")</f>
        <v/>
      </c>
    </row>
    <row r="155" spans="1:10" x14ac:dyDescent="0.25">
      <c r="A155" s="3">
        <v>280</v>
      </c>
      <c r="B155" s="6" t="s">
        <v>54</v>
      </c>
      <c r="C155" s="6" t="s">
        <v>29</v>
      </c>
      <c r="D155" s="6" t="s">
        <v>39</v>
      </c>
      <c r="E155" s="6" t="s">
        <v>38</v>
      </c>
      <c r="F155" s="6" t="s">
        <v>32</v>
      </c>
      <c r="I155" s="2" t="str">
        <f ca="1">IF(ISNUMBER(A155),
IF(COUNTIFS(Equipar!B:B,4,Equipar!AC:AC,A155),"Equipada",
IF(
  OR(COUNTIFS(Equipar!B:B,4,Equipar!C:C,A155)
 +COUNTIFS(Equipar!B:B,4,Equipar!D:D,A155)
+COUNTIFS(Equipar!B:B,4,Equipar!E:E,A155)
+COUNTIFS(Equipar!B:B,4,Equipar!F:F,A155)
&gt;0,COUNTIF('Set recomendado'!B:B,C155)=0),
"Bloqueada",
"Desechable")),""
)</f>
        <v>Desechable</v>
      </c>
      <c r="J155" t="str" cm="1">
        <f t="array" ref="J155">IF(ISNUMBER(A155),IFERROR(_xlfn._xlws.FILTER(Equipar!A:A,(Equipar!B:B=4)*(Equipar!AC:AC=A155)),""),"")</f>
        <v/>
      </c>
    </row>
    <row r="156" spans="1:10" x14ac:dyDescent="0.25">
      <c r="A156" s="3">
        <v>281</v>
      </c>
      <c r="B156" s="6" t="s">
        <v>54</v>
      </c>
      <c r="C156" s="6" t="s">
        <v>29</v>
      </c>
      <c r="D156" s="6" t="s">
        <v>43</v>
      </c>
      <c r="E156" s="6" t="s">
        <v>32</v>
      </c>
      <c r="F156" s="6" t="s">
        <v>37</v>
      </c>
      <c r="I156" s="2" t="str">
        <f ca="1">IF(ISNUMBER(A156),
IF(COUNTIFS(Equipar!B:B,4,Equipar!AC:AC,A156),"Equipada",
IF(
  OR(COUNTIFS(Equipar!B:B,4,Equipar!C:C,A156)
 +COUNTIFS(Equipar!B:B,4,Equipar!D:D,A156)
+COUNTIFS(Equipar!B:B,4,Equipar!E:E,A156)
+COUNTIFS(Equipar!B:B,4,Equipar!F:F,A156)
&gt;0,COUNTIF('Set recomendado'!B:B,C156)=0),
"Bloqueada",
"Desechable")),""
)</f>
        <v>Desechable</v>
      </c>
      <c r="J156" t="str" cm="1">
        <f t="array" ref="J156">IF(ISNUMBER(A156),IFERROR(_xlfn._xlws.FILTER(Equipar!A:A,(Equipar!B:B=4)*(Equipar!AC:AC=A156)),""),"")</f>
        <v/>
      </c>
    </row>
    <row r="157" spans="1:10" x14ac:dyDescent="0.25">
      <c r="A157" s="3">
        <v>282</v>
      </c>
      <c r="B157" s="6" t="s">
        <v>54</v>
      </c>
      <c r="C157" s="6" t="s">
        <v>29</v>
      </c>
      <c r="D157" s="6" t="s">
        <v>38</v>
      </c>
      <c r="E157" s="6" t="s">
        <v>42</v>
      </c>
      <c r="F157" s="6" t="s">
        <v>36</v>
      </c>
      <c r="I157" s="2" t="str">
        <f ca="1">IF(ISNUMBER(A157),
IF(COUNTIFS(Equipar!B:B,4,Equipar!AC:AC,A157),"Equipada",
IF(
  OR(COUNTIFS(Equipar!B:B,4,Equipar!C:C,A157)
 +COUNTIFS(Equipar!B:B,4,Equipar!D:D,A157)
+COUNTIFS(Equipar!B:B,4,Equipar!E:E,A157)
+COUNTIFS(Equipar!B:B,4,Equipar!F:F,A157)
&gt;0,COUNTIF('Set recomendado'!B:B,C157)=0),
"Bloqueada",
"Desechable")),""
)</f>
        <v>Desechable</v>
      </c>
      <c r="J157" t="str" cm="1">
        <f t="array" ref="J157">IF(ISNUMBER(A157),IFERROR(_xlfn._xlws.FILTER(Equipar!A:A,(Equipar!B:B=4)*(Equipar!AC:AC=A157)),""),"")</f>
        <v/>
      </c>
    </row>
    <row r="158" spans="1:10" x14ac:dyDescent="0.25">
      <c r="A158" s="3">
        <v>283</v>
      </c>
      <c r="B158" s="6" t="s">
        <v>54</v>
      </c>
      <c r="C158" s="6" t="s">
        <v>29</v>
      </c>
      <c r="D158" s="6" t="s">
        <v>39</v>
      </c>
      <c r="E158" s="6" t="s">
        <v>38</v>
      </c>
      <c r="F158" s="6" t="s">
        <v>33</v>
      </c>
      <c r="G158" s="6" t="s">
        <v>37</v>
      </c>
      <c r="I158" s="2" t="str">
        <f ca="1">IF(ISNUMBER(A158),
IF(COUNTIFS(Equipar!B:B,4,Equipar!AC:AC,A158),"Equipada",
IF(
  OR(COUNTIFS(Equipar!B:B,4,Equipar!C:C,A158)
 +COUNTIFS(Equipar!B:B,4,Equipar!D:D,A158)
+COUNTIFS(Equipar!B:B,4,Equipar!E:E,A158)
+COUNTIFS(Equipar!B:B,4,Equipar!F:F,A158)
&gt;0,COUNTIF('Set recomendado'!B:B,C158)=0),
"Bloqueada",
"Desechable")),""
)</f>
        <v>Desechable</v>
      </c>
      <c r="J158" t="str" cm="1">
        <f t="array" ref="J158">IF(ISNUMBER(A158),IFERROR(_xlfn._xlws.FILTER(Equipar!A:A,(Equipar!B:B=4)*(Equipar!AC:AC=A158)),""),"")</f>
        <v/>
      </c>
    </row>
    <row r="159" spans="1:10" x14ac:dyDescent="0.25">
      <c r="A159" s="3">
        <v>284</v>
      </c>
      <c r="B159" s="6" t="s">
        <v>54</v>
      </c>
      <c r="C159" s="6" t="s">
        <v>29</v>
      </c>
      <c r="D159" s="6" t="s">
        <v>38</v>
      </c>
      <c r="E159" s="6" t="s">
        <v>32</v>
      </c>
      <c r="F159" s="6" t="s">
        <v>35</v>
      </c>
      <c r="I159" s="2" t="str">
        <f ca="1">IF(ISNUMBER(A159),
IF(COUNTIFS(Equipar!B:B,4,Equipar!AC:AC,A159),"Equipada",
IF(
  OR(COUNTIFS(Equipar!B:B,4,Equipar!C:C,A159)
 +COUNTIFS(Equipar!B:B,4,Equipar!D:D,A159)
+COUNTIFS(Equipar!B:B,4,Equipar!E:E,A159)
+COUNTIFS(Equipar!B:B,4,Equipar!F:F,A159)
&gt;0,COUNTIF('Set recomendado'!B:B,C159)=0),
"Bloqueada",
"Desechable")),""
)</f>
        <v>Desechable</v>
      </c>
      <c r="J159" t="str" cm="1">
        <f t="array" ref="J159">IF(ISNUMBER(A159),IFERROR(_xlfn._xlws.FILTER(Equipar!A:A,(Equipar!B:B=4)*(Equipar!AC:AC=A159)),""),"")</f>
        <v/>
      </c>
    </row>
    <row r="160" spans="1:10" x14ac:dyDescent="0.25">
      <c r="A160" s="3">
        <v>285</v>
      </c>
      <c r="B160" s="6" t="s">
        <v>54</v>
      </c>
      <c r="C160" s="6" t="s">
        <v>29</v>
      </c>
      <c r="D160" s="6" t="s">
        <v>43</v>
      </c>
      <c r="E160" s="6" t="s">
        <v>44</v>
      </c>
      <c r="F160" s="6" t="s">
        <v>32</v>
      </c>
      <c r="I160" s="2" t="str">
        <f ca="1">IF(ISNUMBER(A160),
IF(COUNTIFS(Equipar!B:B,4,Equipar!AC:AC,A160),"Equipada",
IF(
  OR(COUNTIFS(Equipar!B:B,4,Equipar!C:C,A160)
 +COUNTIFS(Equipar!B:B,4,Equipar!D:D,A160)
+COUNTIFS(Equipar!B:B,4,Equipar!E:E,A160)
+COUNTIFS(Equipar!B:B,4,Equipar!F:F,A160)
&gt;0,COUNTIF('Set recomendado'!B:B,C160)=0),
"Bloqueada",
"Desechable")),""
)</f>
        <v>Desechable</v>
      </c>
      <c r="J160" t="str" cm="1">
        <f t="array" ref="J160">IF(ISNUMBER(A160),IFERROR(_xlfn._xlws.FILTER(Equipar!A:A,(Equipar!B:B=4)*(Equipar!AC:AC=A160)),""),"")</f>
        <v/>
      </c>
    </row>
    <row r="161" spans="1:10" x14ac:dyDescent="0.25">
      <c r="A161" s="3">
        <v>286</v>
      </c>
      <c r="B161" s="6" t="s">
        <v>54</v>
      </c>
      <c r="C161" s="6" t="s">
        <v>29</v>
      </c>
      <c r="D161" s="6" t="s">
        <v>39</v>
      </c>
      <c r="E161" s="6" t="s">
        <v>33</v>
      </c>
      <c r="F161" s="6" t="s">
        <v>42</v>
      </c>
      <c r="G161" s="6" t="s">
        <v>41</v>
      </c>
      <c r="I161" s="2" t="str">
        <f ca="1">IF(ISNUMBER(A161),
IF(COUNTIFS(Equipar!B:B,4,Equipar!AC:AC,A161),"Equipada",
IF(
  OR(COUNTIFS(Equipar!B:B,4,Equipar!C:C,A161)
 +COUNTIFS(Equipar!B:B,4,Equipar!D:D,A161)
+COUNTIFS(Equipar!B:B,4,Equipar!E:E,A161)
+COUNTIFS(Equipar!B:B,4,Equipar!F:F,A161)
&gt;0,COUNTIF('Set recomendado'!B:B,C161)=0),
"Bloqueada",
"Desechable")),""
)</f>
        <v>Desechable</v>
      </c>
      <c r="J161" t="str" cm="1">
        <f t="array" ref="J161">IF(ISNUMBER(A161),IFERROR(_xlfn._xlws.FILTER(Equipar!A:A,(Equipar!B:B=4)*(Equipar!AC:AC=A161)),""),"")</f>
        <v/>
      </c>
    </row>
    <row r="162" spans="1:10" x14ac:dyDescent="0.25">
      <c r="A162" s="3">
        <v>287</v>
      </c>
      <c r="B162" s="6" t="s">
        <v>54</v>
      </c>
      <c r="C162" s="6" t="s">
        <v>29</v>
      </c>
      <c r="D162" s="6" t="s">
        <v>37</v>
      </c>
      <c r="E162" s="6" t="s">
        <v>37</v>
      </c>
      <c r="F162" s="6" t="s">
        <v>35</v>
      </c>
      <c r="G162" s="4"/>
      <c r="H162" s="4"/>
      <c r="I162" s="2" t="str">
        <f ca="1">IF(ISNUMBER(A162),
IF(COUNTIFS(Equipar!B:B,4,Equipar!AC:AC,A162),"Equipada",
IF(
  OR(COUNTIFS(Equipar!B:B,4,Equipar!C:C,A162)
 +COUNTIFS(Equipar!B:B,4,Equipar!D:D,A162)
+COUNTIFS(Equipar!B:B,4,Equipar!E:E,A162)
+COUNTIFS(Equipar!B:B,4,Equipar!F:F,A162)
&gt;0,COUNTIF('Set recomendado'!B:B,C162)=0),
"Bloqueada",
"Desechable")),""
)</f>
        <v>Desechable</v>
      </c>
      <c r="J162" t="str" cm="1">
        <f t="array" ref="J162">IF(ISNUMBER(A162),IFERROR(_xlfn._xlws.FILTER(Equipar!A:A,(Equipar!B:B=4)*(Equipar!AC:AC=A162)),""),"")</f>
        <v/>
      </c>
    </row>
    <row r="163" spans="1:10" x14ac:dyDescent="0.25">
      <c r="A163" s="3">
        <v>288</v>
      </c>
      <c r="B163" s="6" t="s">
        <v>54</v>
      </c>
      <c r="C163" s="6" t="s">
        <v>57</v>
      </c>
      <c r="D163" s="6" t="s">
        <v>40</v>
      </c>
      <c r="E163" s="6" t="s">
        <v>43</v>
      </c>
      <c r="F163" s="6" t="s">
        <v>38</v>
      </c>
      <c r="G163" s="4"/>
      <c r="H163" s="4"/>
      <c r="I163" s="2" t="str">
        <f ca="1">IF(ISNUMBER(A163),
IF(COUNTIFS(Equipar!B:B,4,Equipar!AC:AC,A163),"Equipada",
IF(
  OR(COUNTIFS(Equipar!B:B,4,Equipar!C:C,A163)
 +COUNTIFS(Equipar!B:B,4,Equipar!D:D,A163)
+COUNTIFS(Equipar!B:B,4,Equipar!E:E,A163)
+COUNTIFS(Equipar!B:B,4,Equipar!F:F,A163)
&gt;0,COUNTIF('Set recomendado'!B:B,C163)=0),
"Bloqueada",
"Desechable")),""
)</f>
        <v>Bloqueada</v>
      </c>
      <c r="J163" t="str" cm="1">
        <f t="array" ref="J163">IF(ISNUMBER(A163),IFERROR(_xlfn._xlws.FILTER(Equipar!A:A,(Equipar!B:B=4)*(Equipar!AC:AC=A163)),""),"")</f>
        <v/>
      </c>
    </row>
    <row r="164" spans="1:10" x14ac:dyDescent="0.25">
      <c r="A164" s="3">
        <v>289</v>
      </c>
      <c r="B164" s="6" t="s">
        <v>54</v>
      </c>
      <c r="C164" s="6" t="s">
        <v>57</v>
      </c>
      <c r="D164" s="6" t="s">
        <v>39</v>
      </c>
      <c r="E164" s="6" t="s">
        <v>43</v>
      </c>
      <c r="F164" s="6" t="s">
        <v>33</v>
      </c>
      <c r="G164" s="6" t="s">
        <v>36</v>
      </c>
      <c r="I164" s="2" t="str">
        <f ca="1">IF(ISNUMBER(A164),
IF(COUNTIFS(Equipar!B:B,4,Equipar!AC:AC,A164),"Equipada",
IF(
  OR(COUNTIFS(Equipar!B:B,4,Equipar!C:C,A164)
 +COUNTIFS(Equipar!B:B,4,Equipar!D:D,A164)
+COUNTIFS(Equipar!B:B,4,Equipar!E:E,A164)
+COUNTIFS(Equipar!B:B,4,Equipar!F:F,A164)
&gt;0,COUNTIF('Set recomendado'!B:B,C164)=0),
"Bloqueada",
"Desechable")),""
)</f>
        <v>Bloqueada</v>
      </c>
      <c r="J164" t="str" cm="1">
        <f t="array" ref="J164">IF(ISNUMBER(A164),IFERROR(_xlfn._xlws.FILTER(Equipar!A:A,(Equipar!B:B=4)*(Equipar!AC:AC=A164)),""),"")</f>
        <v/>
      </c>
    </row>
    <row r="165" spans="1:10" x14ac:dyDescent="0.25">
      <c r="A165" s="3">
        <v>290</v>
      </c>
      <c r="B165" s="6" t="s">
        <v>54</v>
      </c>
      <c r="C165" s="6" t="s">
        <v>57</v>
      </c>
      <c r="D165" s="6" t="s">
        <v>40</v>
      </c>
      <c r="E165" s="6" t="s">
        <v>38</v>
      </c>
      <c r="F165" s="6" t="s">
        <v>43</v>
      </c>
      <c r="G165" s="6" t="s">
        <v>37</v>
      </c>
      <c r="I165" s="2" t="str">
        <f ca="1">IF(ISNUMBER(A165),
IF(COUNTIFS(Equipar!B:B,4,Equipar!AC:AC,A165),"Equipada",
IF(
  OR(COUNTIFS(Equipar!B:B,4,Equipar!C:C,A165)
 +COUNTIFS(Equipar!B:B,4,Equipar!D:D,A165)
+COUNTIFS(Equipar!B:B,4,Equipar!E:E,A165)
+COUNTIFS(Equipar!B:B,4,Equipar!F:F,A165)
&gt;0,COUNTIF('Set recomendado'!B:B,C165)=0),
"Bloqueada",
"Desechable")),""
)</f>
        <v>Bloqueada</v>
      </c>
      <c r="J165" t="str" cm="1">
        <f t="array" ref="J165">IF(ISNUMBER(A165),IFERROR(_xlfn._xlws.FILTER(Equipar!A:A,(Equipar!B:B=4)*(Equipar!AC:AC=A165)),""),"")</f>
        <v/>
      </c>
    </row>
    <row r="166" spans="1:10" x14ac:dyDescent="0.25">
      <c r="A166" s="3">
        <v>291</v>
      </c>
      <c r="B166" s="6" t="s">
        <v>54</v>
      </c>
      <c r="C166" s="6" t="s">
        <v>57</v>
      </c>
      <c r="D166" s="6" t="s">
        <v>37</v>
      </c>
      <c r="E166" s="6" t="s">
        <v>36</v>
      </c>
      <c r="F166" s="6" t="s">
        <v>43</v>
      </c>
      <c r="I166" s="2" t="str">
        <f ca="1">IF(ISNUMBER(A166),
IF(COUNTIFS(Equipar!B:B,4,Equipar!AC:AC,A166),"Equipada",
IF(
  OR(COUNTIFS(Equipar!B:B,4,Equipar!C:C,A166)
 +COUNTIFS(Equipar!B:B,4,Equipar!D:D,A166)
+COUNTIFS(Equipar!B:B,4,Equipar!E:E,A166)
+COUNTIFS(Equipar!B:B,4,Equipar!F:F,A166)
&gt;0,COUNTIF('Set recomendado'!B:B,C166)=0),
"Bloqueada",
"Desechable")),""
)</f>
        <v>Bloqueada</v>
      </c>
      <c r="J166" t="str" cm="1">
        <f t="array" ref="J166">IF(ISNUMBER(A166),IFERROR(_xlfn._xlws.FILTER(Equipar!A:A,(Equipar!B:B=4)*(Equipar!AC:AC=A166)),""),"")</f>
        <v/>
      </c>
    </row>
    <row r="167" spans="1:10" x14ac:dyDescent="0.25">
      <c r="A167" s="3">
        <v>292</v>
      </c>
      <c r="B167" s="6" t="s">
        <v>54</v>
      </c>
      <c r="C167" s="6" t="s">
        <v>21</v>
      </c>
      <c r="D167" s="6" t="s">
        <v>37</v>
      </c>
      <c r="E167" s="6" t="s">
        <v>38</v>
      </c>
      <c r="F167" s="6" t="s">
        <v>32</v>
      </c>
      <c r="I167" s="2" t="str">
        <f ca="1">IF(ISNUMBER(A167),
IF(COUNTIFS(Equipar!B:B,4,Equipar!AC:AC,A167),"Equipada",
IF(
  OR(COUNTIFS(Equipar!B:B,4,Equipar!C:C,A167)
 +COUNTIFS(Equipar!B:B,4,Equipar!D:D,A167)
+COUNTIFS(Equipar!B:B,4,Equipar!E:E,A167)
+COUNTIFS(Equipar!B:B,4,Equipar!F:F,A167)
&gt;0,COUNTIF('Set recomendado'!B:B,C167)=0),
"Bloqueada",
"Desechable")),""
)</f>
        <v>Desechable</v>
      </c>
      <c r="J167" t="str" cm="1">
        <f t="array" ref="J167">IF(ISNUMBER(A167),IFERROR(_xlfn._xlws.FILTER(Equipar!A:A,(Equipar!B:B=4)*(Equipar!AC:AC=A167)),""),"")</f>
        <v/>
      </c>
    </row>
    <row r="168" spans="1:10" x14ac:dyDescent="0.25">
      <c r="A168" s="3">
        <v>293</v>
      </c>
      <c r="B168" s="6" t="s">
        <v>54</v>
      </c>
      <c r="C168" s="6" t="s">
        <v>29</v>
      </c>
      <c r="D168" s="6" t="s">
        <v>38</v>
      </c>
      <c r="E168" s="6" t="s">
        <v>32</v>
      </c>
      <c r="F168" s="6" t="s">
        <v>34</v>
      </c>
      <c r="I168" s="2" t="str">
        <f ca="1">IF(ISNUMBER(A168),
IF(COUNTIFS(Equipar!B:B,4,Equipar!AC:AC,A168),"Equipada",
IF(
  OR(COUNTIFS(Equipar!B:B,4,Equipar!C:C,A168)
 +COUNTIFS(Equipar!B:B,4,Equipar!D:D,A168)
+COUNTIFS(Equipar!B:B,4,Equipar!E:E,A168)
+COUNTIFS(Equipar!B:B,4,Equipar!F:F,A168)
&gt;0,COUNTIF('Set recomendado'!B:B,C168)=0),
"Bloqueada",
"Desechable")),""
)</f>
        <v>Desechable</v>
      </c>
      <c r="J168" t="str" cm="1">
        <f t="array" ref="J168">IF(ISNUMBER(A168),IFERROR(_xlfn._xlws.FILTER(Equipar!A:A,(Equipar!B:B=4)*(Equipar!AC:AC=A168)),""),"")</f>
        <v/>
      </c>
    </row>
    <row r="169" spans="1:10" x14ac:dyDescent="0.25">
      <c r="A169" s="3">
        <v>294</v>
      </c>
      <c r="B169" s="6" t="s">
        <v>54</v>
      </c>
      <c r="C169" s="6" t="s">
        <v>29</v>
      </c>
      <c r="D169" s="6" t="s">
        <v>43</v>
      </c>
      <c r="E169" s="6" t="s">
        <v>43</v>
      </c>
      <c r="F169" s="6" t="s">
        <v>34</v>
      </c>
      <c r="G169" s="6" t="s">
        <v>39</v>
      </c>
      <c r="I169" s="2" t="str">
        <f ca="1">IF(ISNUMBER(A169),
IF(COUNTIFS(Equipar!B:B,4,Equipar!AC:AC,A169),"Equipada",
IF(
  OR(COUNTIFS(Equipar!B:B,4,Equipar!C:C,A169)
 +COUNTIFS(Equipar!B:B,4,Equipar!D:D,A169)
+COUNTIFS(Equipar!B:B,4,Equipar!E:E,A169)
+COUNTIFS(Equipar!B:B,4,Equipar!F:F,A169)
&gt;0,COUNTIF('Set recomendado'!B:B,C169)=0),
"Bloqueada",
"Desechable")),""
)</f>
        <v>Desechable</v>
      </c>
      <c r="J169" t="str" cm="1">
        <f t="array" ref="J169">IF(ISNUMBER(A169),IFERROR(_xlfn._xlws.FILTER(Equipar!A:A,(Equipar!B:B=4)*(Equipar!AC:AC=A169)),""),"")</f>
        <v/>
      </c>
    </row>
    <row r="170" spans="1:10" x14ac:dyDescent="0.25">
      <c r="A170" s="3">
        <v>295</v>
      </c>
      <c r="B170" s="6" t="s">
        <v>54</v>
      </c>
      <c r="C170" s="6" t="s">
        <v>57</v>
      </c>
      <c r="D170" s="6" t="s">
        <v>37</v>
      </c>
      <c r="E170" s="6" t="s">
        <v>42</v>
      </c>
      <c r="F170" s="6" t="s">
        <v>32</v>
      </c>
      <c r="I170" s="2" t="str">
        <f ca="1">IF(ISNUMBER(A170),
IF(COUNTIFS(Equipar!B:B,4,Equipar!AC:AC,A170),"Equipada",
IF(
  OR(COUNTIFS(Equipar!B:B,4,Equipar!C:C,A170)
 +COUNTIFS(Equipar!B:B,4,Equipar!D:D,A170)
+COUNTIFS(Equipar!B:B,4,Equipar!E:E,A170)
+COUNTIFS(Equipar!B:B,4,Equipar!F:F,A170)
&gt;0,COUNTIF('Set recomendado'!B:B,C170)=0),
"Bloqueada",
"Desechable")),""
)</f>
        <v>Bloqueada</v>
      </c>
      <c r="J170" t="str" cm="1">
        <f t="array" ref="J170">IF(ISNUMBER(A170),IFERROR(_xlfn._xlws.FILTER(Equipar!A:A,(Equipar!B:B=4)*(Equipar!AC:AC=A170)),""),"")</f>
        <v/>
      </c>
    </row>
    <row r="171" spans="1:10" x14ac:dyDescent="0.25">
      <c r="A171" s="3">
        <v>296</v>
      </c>
      <c r="B171" s="6" t="s">
        <v>54</v>
      </c>
      <c r="C171" s="6" t="s">
        <v>55</v>
      </c>
      <c r="D171" s="6" t="s">
        <v>37</v>
      </c>
      <c r="E171" s="6" t="s">
        <v>33</v>
      </c>
      <c r="F171" s="6" t="s">
        <v>44</v>
      </c>
      <c r="G171" s="6" t="s">
        <v>37</v>
      </c>
      <c r="I171" s="2" t="str">
        <f ca="1">IF(ISNUMBER(A171),
IF(COUNTIFS(Equipar!B:B,4,Equipar!AC:AC,A171),"Equipada",
IF(
  OR(COUNTIFS(Equipar!B:B,4,Equipar!C:C,A171)
 +COUNTIFS(Equipar!B:B,4,Equipar!D:D,A171)
+COUNTIFS(Equipar!B:B,4,Equipar!E:E,A171)
+COUNTIFS(Equipar!B:B,4,Equipar!F:F,A171)
&gt;0,COUNTIF('Set recomendado'!B:B,C171)=0),
"Bloqueada",
"Desechable")),""
)</f>
        <v>Desechable</v>
      </c>
      <c r="J171" t="str" cm="1">
        <f t="array" ref="J171">IF(ISNUMBER(A171),IFERROR(_xlfn._xlws.FILTER(Equipar!A:A,(Equipar!B:B=4)*(Equipar!AC:AC=A171)),""),"")</f>
        <v/>
      </c>
    </row>
    <row r="172" spans="1:10" x14ac:dyDescent="0.25">
      <c r="A172" s="3">
        <v>297</v>
      </c>
      <c r="B172" s="6" t="s">
        <v>54</v>
      </c>
      <c r="C172" s="6" t="s">
        <v>55</v>
      </c>
      <c r="D172" s="6" t="s">
        <v>39</v>
      </c>
      <c r="E172" s="6" t="s">
        <v>41</v>
      </c>
      <c r="F172" s="6" t="s">
        <v>38</v>
      </c>
      <c r="I172" s="2" t="str">
        <f ca="1">IF(ISNUMBER(A172),
IF(COUNTIFS(Equipar!B:B,4,Equipar!AC:AC,A172),"Equipada",
IF(
  OR(COUNTIFS(Equipar!B:B,4,Equipar!C:C,A172)
 +COUNTIFS(Equipar!B:B,4,Equipar!D:D,A172)
+COUNTIFS(Equipar!B:B,4,Equipar!E:E,A172)
+COUNTIFS(Equipar!B:B,4,Equipar!F:F,A172)
&gt;0,COUNTIF('Set recomendado'!B:B,C172)=0),
"Bloqueada",
"Desechable")),""
)</f>
        <v>Desechable</v>
      </c>
      <c r="J172" t="str" cm="1">
        <f t="array" ref="J172">IF(ISNUMBER(A172),IFERROR(_xlfn._xlws.FILTER(Equipar!A:A,(Equipar!B:B=4)*(Equipar!AC:AC=A172)),""),"")</f>
        <v/>
      </c>
    </row>
    <row r="173" spans="1:10" x14ac:dyDescent="0.25">
      <c r="A173" s="3">
        <v>298</v>
      </c>
      <c r="B173" s="6" t="s">
        <v>54</v>
      </c>
      <c r="C173" s="6" t="s">
        <v>21</v>
      </c>
      <c r="D173" s="6" t="s">
        <v>38</v>
      </c>
      <c r="E173" s="6" t="s">
        <v>39</v>
      </c>
      <c r="F173" s="6" t="s">
        <v>38</v>
      </c>
      <c r="I173" s="2" t="str">
        <f ca="1">IF(ISNUMBER(A173),
IF(COUNTIFS(Equipar!B:B,4,Equipar!AC:AC,A173),"Equipada",
IF(
  OR(COUNTIFS(Equipar!B:B,4,Equipar!C:C,A173)
 +COUNTIFS(Equipar!B:B,4,Equipar!D:D,A173)
+COUNTIFS(Equipar!B:B,4,Equipar!E:E,A173)
+COUNTIFS(Equipar!B:B,4,Equipar!F:F,A173)
&gt;0,COUNTIF('Set recomendado'!B:B,C173)=0),
"Bloqueada",
"Desechable")),""
)</f>
        <v>Desechable</v>
      </c>
      <c r="J173" t="str" cm="1">
        <f t="array" ref="J173">IF(ISNUMBER(A173),IFERROR(_xlfn._xlws.FILTER(Equipar!A:A,(Equipar!B:B=4)*(Equipar!AC:AC=A173)),""),"")</f>
        <v/>
      </c>
    </row>
    <row r="174" spans="1:10" x14ac:dyDescent="0.25">
      <c r="A174" s="3">
        <v>300</v>
      </c>
      <c r="B174" s="6" t="s">
        <v>54</v>
      </c>
      <c r="C174" s="6" t="s">
        <v>29</v>
      </c>
      <c r="D174" s="6" t="s">
        <v>38</v>
      </c>
      <c r="E174" s="6" t="s">
        <v>41</v>
      </c>
      <c r="F174" s="6" t="s">
        <v>35</v>
      </c>
      <c r="I174" s="2" t="str">
        <f ca="1">IF(ISNUMBER(A174),
IF(COUNTIFS(Equipar!B:B,4,Equipar!AC:AC,A174),"Equipada",
IF(
  OR(COUNTIFS(Equipar!B:B,4,Equipar!C:C,A174)
 +COUNTIFS(Equipar!B:B,4,Equipar!D:D,A174)
+COUNTIFS(Equipar!B:B,4,Equipar!E:E,A174)
+COUNTIFS(Equipar!B:B,4,Equipar!F:F,A174)
&gt;0,COUNTIF('Set recomendado'!B:B,C174)=0),
"Bloqueada",
"Desechable")),""
)</f>
        <v>Desechable</v>
      </c>
      <c r="J174" t="str" cm="1">
        <f t="array" ref="J174">IF(ISNUMBER(A174),IFERROR(_xlfn._xlws.FILTER(Equipar!A:A,(Equipar!B:B=4)*(Equipar!AC:AC=A174)),""),"")</f>
        <v/>
      </c>
    </row>
    <row r="175" spans="1:10" x14ac:dyDescent="0.25">
      <c r="A175" s="3">
        <v>301</v>
      </c>
      <c r="B175" s="6" t="s">
        <v>54</v>
      </c>
      <c r="C175" s="6" t="s">
        <v>29</v>
      </c>
      <c r="D175" s="6" t="s">
        <v>38</v>
      </c>
      <c r="E175" s="6" t="s">
        <v>36</v>
      </c>
      <c r="F175" s="6" t="s">
        <v>38</v>
      </c>
      <c r="I175" s="2" t="str">
        <f ca="1">IF(ISNUMBER(A175),
IF(COUNTIFS(Equipar!B:B,4,Equipar!AC:AC,A175),"Equipada",
IF(
  OR(COUNTIFS(Equipar!B:B,4,Equipar!C:C,A175)
 +COUNTIFS(Equipar!B:B,4,Equipar!D:D,A175)
+COUNTIFS(Equipar!B:B,4,Equipar!E:E,A175)
+COUNTIFS(Equipar!B:B,4,Equipar!F:F,A175)
&gt;0,COUNTIF('Set recomendado'!B:B,C175)=0),
"Bloqueada",
"Desechable")),""
)</f>
        <v>Desechable</v>
      </c>
      <c r="J175" t="str" cm="1">
        <f t="array" ref="J175">IF(ISNUMBER(A175),IFERROR(_xlfn._xlws.FILTER(Equipar!A:A,(Equipar!B:B=4)*(Equipar!AC:AC=A175)),""),"")</f>
        <v/>
      </c>
    </row>
    <row r="176" spans="1:10" x14ac:dyDescent="0.25">
      <c r="A176" s="3">
        <v>302</v>
      </c>
      <c r="B176" s="6" t="s">
        <v>53</v>
      </c>
      <c r="C176" s="6" t="s">
        <v>56</v>
      </c>
      <c r="D176" s="6" t="s">
        <v>40</v>
      </c>
      <c r="E176" s="6" t="s">
        <v>41</v>
      </c>
      <c r="F176" s="6" t="s">
        <v>42</v>
      </c>
      <c r="G176" s="6" t="s">
        <v>40</v>
      </c>
      <c r="I176" s="2" t="str">
        <f ca="1">IF(ISNUMBER(A176),
IF(COUNTIFS(Equipar!B:B,4,Equipar!AC:AC,A176),"Equipada",
IF(
  OR(COUNTIFS(Equipar!B:B,4,Equipar!C:C,A176)
 +COUNTIFS(Equipar!B:B,4,Equipar!D:D,A176)
+COUNTIFS(Equipar!B:B,4,Equipar!E:E,A176)
+COUNTIFS(Equipar!B:B,4,Equipar!F:F,A176)
&gt;0,COUNTIF('Set recomendado'!B:B,C176)=0),
"Bloqueada",
"Desechable")),""
)</f>
        <v>Desechable</v>
      </c>
      <c r="J176" t="str" cm="1">
        <f t="array" ref="J176">IF(ISNUMBER(A176),IFERROR(_xlfn._xlws.FILTER(Equipar!A:A,(Equipar!B:B=4)*(Equipar!AC:AC=A176)),""),"")</f>
        <v/>
      </c>
    </row>
    <row r="177" spans="1:10" x14ac:dyDescent="0.25">
      <c r="A177" s="3">
        <v>303</v>
      </c>
      <c r="B177" s="6" t="s">
        <v>53</v>
      </c>
      <c r="C177" s="6" t="s">
        <v>55</v>
      </c>
      <c r="D177" s="6" t="s">
        <v>38</v>
      </c>
      <c r="E177" s="6" t="s">
        <v>38</v>
      </c>
      <c r="F177" s="6" t="s">
        <v>43</v>
      </c>
      <c r="G177" s="6" t="s">
        <v>36</v>
      </c>
      <c r="I177" s="2" t="str">
        <f ca="1">IF(ISNUMBER(A177),
IF(COUNTIFS(Equipar!B:B,4,Equipar!AC:AC,A177),"Equipada",
IF(
  OR(COUNTIFS(Equipar!B:B,4,Equipar!C:C,A177)
 +COUNTIFS(Equipar!B:B,4,Equipar!D:D,A177)
+COUNTIFS(Equipar!B:B,4,Equipar!E:E,A177)
+COUNTIFS(Equipar!B:B,4,Equipar!F:F,A177)
&gt;0,COUNTIF('Set recomendado'!B:B,C177)=0),
"Bloqueada",
"Desechable")),""
)</f>
        <v>Desechable</v>
      </c>
      <c r="J177" t="str" cm="1">
        <f t="array" ref="J177">IF(ISNUMBER(A177),IFERROR(_xlfn._xlws.FILTER(Equipar!A:A,(Equipar!B:B=4)*(Equipar!AC:AC=A177)),""),"")</f>
        <v/>
      </c>
    </row>
    <row r="178" spans="1:10" x14ac:dyDescent="0.25">
      <c r="A178" s="3">
        <f>IF(A177="ID",1,IF(ISBLANK(B178),"",MAX(A$2:A177)+1))</f>
        <v>304</v>
      </c>
      <c r="B178" s="6" t="s">
        <v>53</v>
      </c>
      <c r="C178" s="6" t="s">
        <v>21</v>
      </c>
      <c r="D178" s="6" t="s">
        <v>39</v>
      </c>
      <c r="E178" s="6" t="s">
        <v>42</v>
      </c>
      <c r="F178" s="6" t="s">
        <v>37</v>
      </c>
      <c r="G178" s="6" t="s">
        <v>40</v>
      </c>
      <c r="I178" s="2" t="str">
        <f>IF(ISNUMBER(A178),
IF(COUNTIFS(Equipar!B:B,4,Equipar!AC:AC,A178),"Equipada",
IF(
  OR(COUNTIFS(Equipar!B:B,4,Equipar!C:C,A178)
 +COUNTIFS(Equipar!B:B,4,Equipar!D:D,A178)
+COUNTIFS(Equipar!B:B,4,Equipar!E:E,A178)
+COUNTIFS(Equipar!B:B,4,Equipar!F:F,A178)
&gt;0,COUNTIF('Set recomendado'!B:B,C178)=0),
"Bloqueada",
"Desechable")),""
)</f>
        <v>Equipada</v>
      </c>
      <c r="J178" t="str" cm="1">
        <f t="array" ref="J178">IF(ISNUMBER(A178),IFERROR(_xlfn._xlws.FILTER(Equipar!A:A,(Equipar!B:B=4)*(Equipar!AC:AC=A178)),""),"")</f>
        <v>Tsukishima</v>
      </c>
    </row>
    <row r="179" spans="1:10" x14ac:dyDescent="0.25">
      <c r="A179" s="3">
        <f>IF(A178="ID",1,IF(ISBLANK(B179),"",MAX(A$2:A178)+1))</f>
        <v>305</v>
      </c>
      <c r="B179" s="6" t="s">
        <v>54</v>
      </c>
      <c r="C179" s="6" t="s">
        <v>9</v>
      </c>
      <c r="D179" s="6" t="s">
        <v>39</v>
      </c>
      <c r="E179" s="6" t="s">
        <v>38</v>
      </c>
      <c r="F179" s="6" t="s">
        <v>36</v>
      </c>
      <c r="I179" s="2" t="str">
        <f ca="1">IF(ISNUMBER(A179),
IF(COUNTIFS(Equipar!B:B,4,Equipar!AC:AC,A179),"Equipada",
IF(
  OR(COUNTIFS(Equipar!B:B,4,Equipar!C:C,A179)
 +COUNTIFS(Equipar!B:B,4,Equipar!D:D,A179)
+COUNTIFS(Equipar!B:B,4,Equipar!E:E,A179)
+COUNTIFS(Equipar!B:B,4,Equipar!F:F,A179)
&gt;0,COUNTIF('Set recomendado'!B:B,C179)=0),
"Bloqueada",
"Desechable")),""
)</f>
        <v>Desechable</v>
      </c>
      <c r="J179" t="str" cm="1">
        <f t="array" ref="J179">IF(ISNUMBER(A179),IFERROR(_xlfn._xlws.FILTER(Equipar!A:A,(Equipar!B:B=4)*(Equipar!AC:AC=A179)),""),"")</f>
        <v/>
      </c>
    </row>
    <row r="180" spans="1:10" x14ac:dyDescent="0.25">
      <c r="A180" s="3">
        <f>IF(A179="ID",1,IF(ISBLANK(B180),"",MAX(A$2:A179)+1))</f>
        <v>306</v>
      </c>
      <c r="B180" s="6" t="s">
        <v>54</v>
      </c>
      <c r="C180" s="6" t="s">
        <v>9</v>
      </c>
      <c r="D180" s="6" t="s">
        <v>37</v>
      </c>
      <c r="E180" s="6" t="s">
        <v>32</v>
      </c>
      <c r="F180" s="6" t="s">
        <v>39</v>
      </c>
      <c r="I180" s="2" t="str">
        <f ca="1">IF(ISNUMBER(A180),
IF(COUNTIFS(Equipar!B:B,4,Equipar!AC:AC,A180),"Equipada",
IF(
  OR(COUNTIFS(Equipar!B:B,4,Equipar!C:C,A180)
 +COUNTIFS(Equipar!B:B,4,Equipar!D:D,A180)
+COUNTIFS(Equipar!B:B,4,Equipar!E:E,A180)
+COUNTIFS(Equipar!B:B,4,Equipar!F:F,A180)
&gt;0,COUNTIF('Set recomendado'!B:B,C180)=0),
"Bloqueada",
"Desechable")),""
)</f>
        <v>Desechable</v>
      </c>
      <c r="J180" t="str" cm="1">
        <f t="array" ref="J180">IF(ISNUMBER(A180),IFERROR(_xlfn._xlws.FILTER(Equipar!A:A,(Equipar!B:B=4)*(Equipar!AC:AC=A180)),""),"")</f>
        <v/>
      </c>
    </row>
    <row r="181" spans="1:10" x14ac:dyDescent="0.25">
      <c r="A181" s="3">
        <f>IF(A180="ID",1,IF(ISBLANK(B181),"",MAX(A$2:A180)+1))</f>
        <v>307</v>
      </c>
      <c r="B181" s="6" t="s">
        <v>54</v>
      </c>
      <c r="C181" s="6" t="s">
        <v>9</v>
      </c>
      <c r="D181" s="6" t="s">
        <v>37</v>
      </c>
      <c r="E181" s="6" t="s">
        <v>37</v>
      </c>
      <c r="F181" s="6" t="s">
        <v>44</v>
      </c>
      <c r="G181" s="6" t="s">
        <v>42</v>
      </c>
      <c r="I181" s="2" t="str">
        <f ca="1">IF(ISNUMBER(A181),
IF(COUNTIFS(Equipar!B:B,4,Equipar!AC:AC,A181),"Equipada",
IF(
  OR(COUNTIFS(Equipar!B:B,4,Equipar!C:C,A181)
 +COUNTIFS(Equipar!B:B,4,Equipar!D:D,A181)
+COUNTIFS(Equipar!B:B,4,Equipar!E:E,A181)
+COUNTIFS(Equipar!B:B,4,Equipar!F:F,A181)
&gt;0,COUNTIF('Set recomendado'!B:B,C181)=0),
"Bloqueada",
"Desechable")),""
)</f>
        <v>Desechable</v>
      </c>
      <c r="J181" t="str" cm="1">
        <f t="array" aca="1" ref="J181" ca="1">IF(ISNUMBER(A181),IFERROR(_xlfn._xlws.FILTER(Equipar!A:A,(Equipar!B:B=4)*(Equipar!AC:AC=A181)),""),"")</f>
        <v/>
      </c>
    </row>
    <row r="182" spans="1:10" x14ac:dyDescent="0.25">
      <c r="A182" s="3">
        <f ca="1">IF(A181="ID",1,IF(ISBLANK(B182),"",MAX(A$2:A181)+1))</f>
        <v>308</v>
      </c>
      <c r="B182" s="6" t="s">
        <v>54</v>
      </c>
      <c r="C182" s="6" t="s">
        <v>13</v>
      </c>
      <c r="D182" s="6" t="s">
        <v>43</v>
      </c>
      <c r="E182" s="6" t="s">
        <v>42</v>
      </c>
      <c r="F182" s="6" t="s">
        <v>41</v>
      </c>
      <c r="I182" s="2" t="str">
        <f ca="1">IF(ISNUMBER(A182),
IF(COUNTIFS(Equipar!B:B,4,Equipar!AC:AC,A182),"Equipada",
IF(
  OR(COUNTIFS(Equipar!B:B,4,Equipar!C:C,A182)
 +COUNTIFS(Equipar!B:B,4,Equipar!D:D,A182)
+COUNTIFS(Equipar!B:B,4,Equipar!E:E,A182)
+COUNTIFS(Equipar!B:B,4,Equipar!F:F,A182)
&gt;0,COUNTIF('Set recomendado'!B:B,C182)=0),
"Bloqueada",
"Desechable")),""
)</f>
        <v>Desechable</v>
      </c>
      <c r="J182" t="str" cm="1">
        <f t="array" aca="1" ref="J182" ca="1">IF(ISNUMBER(A182),IFERROR(_xlfn._xlws.FILTER(Equipar!A:A,(Equipar!B:B=4)*(Equipar!AC:AC=A182)),""),"")</f>
        <v/>
      </c>
    </row>
    <row r="183" spans="1:10" x14ac:dyDescent="0.25">
      <c r="A183" s="3">
        <f ca="1">IF(A182="ID",1,IF(ISBLANK(B183),"",MAX(A$2:A182)+1))</f>
        <v>309</v>
      </c>
      <c r="B183" s="6" t="s">
        <v>54</v>
      </c>
      <c r="C183" s="6" t="s">
        <v>13</v>
      </c>
      <c r="D183" s="6" t="s">
        <v>38</v>
      </c>
      <c r="E183" s="6" t="s">
        <v>39</v>
      </c>
      <c r="F183" s="6" t="s">
        <v>38</v>
      </c>
      <c r="G183" s="6" t="s">
        <v>37</v>
      </c>
      <c r="I183" s="2" t="str">
        <f ca="1">IF(ISNUMBER(A183),
IF(COUNTIFS(Equipar!B:B,4,Equipar!AC:AC,A183),"Equipada",
IF(
  OR(COUNTIFS(Equipar!B:B,4,Equipar!C:C,A183)
 +COUNTIFS(Equipar!B:B,4,Equipar!D:D,A183)
+COUNTIFS(Equipar!B:B,4,Equipar!E:E,A183)
+COUNTIFS(Equipar!B:B,4,Equipar!F:F,A183)
&gt;0,COUNTIF('Set recomendado'!B:B,C183)=0),
"Bloqueada",
"Desechable")),""
)</f>
        <v>Desechable</v>
      </c>
      <c r="J183" t="str" cm="1">
        <f t="array" aca="1" ref="J183" ca="1">IF(ISNUMBER(A183),IFERROR(_xlfn._xlws.FILTER(Equipar!A:A,(Equipar!B:B=4)*(Equipar!AC:AC=A183)),""),"")</f>
        <v/>
      </c>
    </row>
    <row r="184" spans="1:10" x14ac:dyDescent="0.25">
      <c r="A184" s="3">
        <f ca="1">IF(A183="ID",1,IF(ISBLANK(B184),"",MAX(A$2:A183)+1))</f>
        <v>310</v>
      </c>
      <c r="B184" s="6" t="s">
        <v>54</v>
      </c>
      <c r="C184" s="6" t="s">
        <v>22</v>
      </c>
      <c r="D184" s="6" t="s">
        <v>43</v>
      </c>
      <c r="E184" s="6" t="s">
        <v>37</v>
      </c>
      <c r="F184" s="6" t="s">
        <v>43</v>
      </c>
      <c r="I184" s="2" t="str">
        <f ca="1">IF(ISNUMBER(A184),
IF(COUNTIFS(Equipar!B:B,4,Equipar!AC:AC,A184),"Equipada",
IF(
  OR(COUNTIFS(Equipar!B:B,4,Equipar!C:C,A184)
 +COUNTIFS(Equipar!B:B,4,Equipar!D:D,A184)
+COUNTIFS(Equipar!B:B,4,Equipar!E:E,A184)
+COUNTIFS(Equipar!B:B,4,Equipar!F:F,A184)
&gt;0,COUNTIF('Set recomendado'!B:B,C184)=0),
"Bloqueada",
"Desechable")),""
)</f>
        <v>Desechable</v>
      </c>
      <c r="J184" t="str" cm="1">
        <f t="array" aca="1" ref="J184" ca="1">IF(ISNUMBER(A184),IFERROR(_xlfn._xlws.FILTER(Equipar!A:A,(Equipar!B:B=4)*(Equipar!AC:AC=A184)),""),"")</f>
        <v/>
      </c>
    </row>
    <row r="185" spans="1:10" x14ac:dyDescent="0.25">
      <c r="A185" s="3">
        <f ca="1">IF(A184="ID",1,IF(ISBLANK(B185),"",MAX(A$2:A184)+1))</f>
        <v>311</v>
      </c>
      <c r="B185" s="6" t="s">
        <v>54</v>
      </c>
      <c r="C185" s="6" t="s">
        <v>22</v>
      </c>
      <c r="D185" s="6" t="s">
        <v>37</v>
      </c>
      <c r="E185" s="6" t="s">
        <v>36</v>
      </c>
      <c r="F185" s="6" t="s">
        <v>43</v>
      </c>
      <c r="I185" s="2" t="str">
        <f ca="1">IF(ISNUMBER(A185),
IF(COUNTIFS(Equipar!B:B,4,Equipar!AC:AC,A185),"Equipada",
IF(
  OR(COUNTIFS(Equipar!B:B,4,Equipar!C:C,A185)
 +COUNTIFS(Equipar!B:B,4,Equipar!D:D,A185)
+COUNTIFS(Equipar!B:B,4,Equipar!E:E,A185)
+COUNTIFS(Equipar!B:B,4,Equipar!F:F,A185)
&gt;0,COUNTIF('Set recomendado'!B:B,C185)=0),
"Bloqueada",
"Desechable")),""
)</f>
        <v>Desechable</v>
      </c>
      <c r="J185" t="str" cm="1">
        <f t="array" aca="1" ref="J185" ca="1">IF(ISNUMBER(A185),IFERROR(_xlfn._xlws.FILTER(Equipar!A:A,(Equipar!B:B=4)*(Equipar!AC:AC=A185)),""),"")</f>
        <v/>
      </c>
    </row>
    <row r="186" spans="1:10" x14ac:dyDescent="0.25">
      <c r="A186" s="3">
        <f ca="1">IF(A185="ID",1,IF(ISBLANK(B186),"",MAX(A$2:A185)+1))</f>
        <v>312</v>
      </c>
      <c r="B186" s="6" t="s">
        <v>54</v>
      </c>
      <c r="C186" s="6" t="s">
        <v>22</v>
      </c>
      <c r="D186" s="6" t="s">
        <v>39</v>
      </c>
      <c r="E186" s="6" t="s">
        <v>38</v>
      </c>
      <c r="F186" s="6" t="s">
        <v>42</v>
      </c>
      <c r="I186" s="2" t="str">
        <f ca="1">IF(ISNUMBER(A186),
IF(COUNTIFS(Equipar!B:B,4,Equipar!AC:AC,A186),"Equipada",
IF(
  OR(COUNTIFS(Equipar!B:B,4,Equipar!C:C,A186)
 +COUNTIFS(Equipar!B:B,4,Equipar!D:D,A186)
+COUNTIFS(Equipar!B:B,4,Equipar!E:E,A186)
+COUNTIFS(Equipar!B:B,4,Equipar!F:F,A186)
&gt;0,COUNTIF('Set recomendado'!B:B,C186)=0),
"Bloqueada",
"Desechable")),""
)</f>
        <v>Desechable</v>
      </c>
      <c r="J186" t="str" cm="1">
        <f t="array" aca="1" ref="J186" ca="1">IF(ISNUMBER(A186),IFERROR(_xlfn._xlws.FILTER(Equipar!A:A,(Equipar!B:B=4)*(Equipar!AC:AC=A186)),""),"")</f>
        <v/>
      </c>
    </row>
    <row r="187" spans="1:10" x14ac:dyDescent="0.25">
      <c r="A187" s="3">
        <f ca="1">IF(A186="ID",1,IF(ISBLANK(B187),"",MAX(A$2:A186)+1))</f>
        <v>313</v>
      </c>
      <c r="B187" s="6" t="s">
        <v>54</v>
      </c>
      <c r="C187" s="6" t="s">
        <v>16</v>
      </c>
      <c r="D187" s="6" t="s">
        <v>37</v>
      </c>
      <c r="E187" s="6" t="s">
        <v>38</v>
      </c>
      <c r="F187" s="6" t="s">
        <v>44</v>
      </c>
      <c r="I187" s="2" t="str">
        <f ca="1">IF(ISNUMBER(A187),
IF(COUNTIFS(Equipar!B:B,4,Equipar!AC:AC,A187),"Equipada",
IF(
  OR(COUNTIFS(Equipar!B:B,4,Equipar!C:C,A187)
 +COUNTIFS(Equipar!B:B,4,Equipar!D:D,A187)
+COUNTIFS(Equipar!B:B,4,Equipar!E:E,A187)
+COUNTIFS(Equipar!B:B,4,Equipar!F:F,A187)
&gt;0,COUNTIF('Set recomendado'!B:B,C187)=0),
"Bloqueada",
"Desechable")),""
)</f>
        <v>Desechable</v>
      </c>
      <c r="J187" t="str" cm="1">
        <f t="array" aca="1" ref="J187" ca="1">IF(ISNUMBER(A187),IFERROR(_xlfn._xlws.FILTER(Equipar!A:A,(Equipar!B:B=4)*(Equipar!AC:AC=A187)),""),"")</f>
        <v/>
      </c>
    </row>
    <row r="188" spans="1:10" x14ac:dyDescent="0.25">
      <c r="A188" s="3">
        <f ca="1">IF(A187="ID",1,IF(ISBLANK(B188),"",MAX(A$2:A187)+1))</f>
        <v>314</v>
      </c>
      <c r="B188" s="6" t="s">
        <v>54</v>
      </c>
      <c r="C188" s="6" t="s">
        <v>16</v>
      </c>
      <c r="D188" s="6" t="s">
        <v>37</v>
      </c>
      <c r="E188" s="6" t="s">
        <v>41</v>
      </c>
      <c r="F188" s="6" t="s">
        <v>35</v>
      </c>
      <c r="I188" s="2" t="str">
        <f ca="1">IF(ISNUMBER(A188),
IF(COUNTIFS(Equipar!B:B,4,Equipar!AC:AC,A188),"Equipada",
IF(
  OR(COUNTIFS(Equipar!B:B,4,Equipar!C:C,A188)
 +COUNTIFS(Equipar!B:B,4,Equipar!D:D,A188)
+COUNTIFS(Equipar!B:B,4,Equipar!E:E,A188)
+COUNTIFS(Equipar!B:B,4,Equipar!F:F,A188)
&gt;0,COUNTIF('Set recomendado'!B:B,C188)=0),
"Bloqueada",
"Desechable")),""
)</f>
        <v>Desechable</v>
      </c>
      <c r="J188" t="str" cm="1">
        <f t="array" aca="1" ref="J188" ca="1">IF(ISNUMBER(A188),IFERROR(_xlfn._xlws.FILTER(Equipar!A:A,(Equipar!B:B=4)*(Equipar!AC:AC=A188)),""),"")</f>
        <v/>
      </c>
    </row>
    <row r="189" spans="1:10" x14ac:dyDescent="0.25">
      <c r="A189" s="3">
        <f ca="1">IF(A188="ID",1,IF(ISBLANK(B189),"",MAX(A$2:A188)+1))</f>
        <v>315</v>
      </c>
      <c r="B189" s="6" t="s">
        <v>54</v>
      </c>
      <c r="C189" s="6" t="s">
        <v>16</v>
      </c>
      <c r="D189" s="6" t="s">
        <v>37</v>
      </c>
      <c r="E189" s="6" t="s">
        <v>36</v>
      </c>
      <c r="F189" s="6" t="s">
        <v>32</v>
      </c>
      <c r="I189" s="2" t="str">
        <f ca="1">IF(ISNUMBER(A189),
IF(COUNTIFS(Equipar!B:B,4,Equipar!AC:AC,A189),"Equipada",
IF(
  OR(COUNTIFS(Equipar!B:B,4,Equipar!C:C,A189)
 +COUNTIFS(Equipar!B:B,4,Equipar!D:D,A189)
+COUNTIFS(Equipar!B:B,4,Equipar!E:E,A189)
+COUNTIFS(Equipar!B:B,4,Equipar!F:F,A189)
&gt;0,COUNTIF('Set recomendado'!B:B,C189)=0),
"Bloqueada",
"Desechable")),""
)</f>
        <v>Desechable</v>
      </c>
      <c r="J189" t="str" cm="1">
        <f t="array" aca="1" ref="J189" ca="1">IF(ISNUMBER(A189),IFERROR(_xlfn._xlws.FILTER(Equipar!A:A,(Equipar!B:B=4)*(Equipar!AC:AC=A189)),""),"")</f>
        <v/>
      </c>
    </row>
    <row r="190" spans="1:10" x14ac:dyDescent="0.25">
      <c r="A190" s="3">
        <f ca="1">IF(A189="ID",1,IF(ISBLANK(B190),"",MAX(A$2:A189)+1))</f>
        <v>316</v>
      </c>
      <c r="B190" s="6" t="s">
        <v>54</v>
      </c>
      <c r="C190" s="6" t="s">
        <v>57</v>
      </c>
      <c r="D190" s="6" t="s">
        <v>40</v>
      </c>
      <c r="E190" s="6" t="s">
        <v>44</v>
      </c>
      <c r="F190" s="6" t="s">
        <v>35</v>
      </c>
      <c r="G190" s="6" t="s">
        <v>43</v>
      </c>
      <c r="I190" s="2" t="str">
        <f ca="1">IF(ISNUMBER(A190),
IF(COUNTIFS(Equipar!B:B,4,Equipar!AC:AC,A190),"Equipada",
IF(
  OR(COUNTIFS(Equipar!B:B,4,Equipar!C:C,A190)
 +COUNTIFS(Equipar!B:B,4,Equipar!D:D,A190)
+COUNTIFS(Equipar!B:B,4,Equipar!E:E,A190)
+COUNTIFS(Equipar!B:B,4,Equipar!F:F,A190)
&gt;0,COUNTIF('Set recomendado'!B:B,C190)=0),
"Bloqueada",
"Desechable")),""
)</f>
        <v>Bloqueada</v>
      </c>
      <c r="J190" t="str" cm="1">
        <f t="array" aca="1" ref="J190" ca="1">IF(ISNUMBER(A190),IFERROR(_xlfn._xlws.FILTER(Equipar!A:A,(Equipar!B:B=4)*(Equipar!AC:AC=A190)),""),"")</f>
        <v/>
      </c>
    </row>
    <row r="191" spans="1:10" x14ac:dyDescent="0.25">
      <c r="A191" s="3">
        <f ca="1">IF(A190="ID",1,IF(ISBLANK(B191),"",MAX(A$2:A190)+1))</f>
        <v>317</v>
      </c>
      <c r="B191" s="6" t="s">
        <v>54</v>
      </c>
      <c r="C191" s="6" t="s">
        <v>55</v>
      </c>
      <c r="D191" s="6" t="s">
        <v>37</v>
      </c>
      <c r="E191" s="6" t="s">
        <v>41</v>
      </c>
      <c r="F191" s="6" t="s">
        <v>33</v>
      </c>
      <c r="I191" s="2" t="str">
        <f ca="1">IF(ISNUMBER(A191),
IF(COUNTIFS(Equipar!B:B,4,Equipar!AC:AC,A191),"Equipada",
IF(
  OR(COUNTIFS(Equipar!B:B,4,Equipar!C:C,A191)
 +COUNTIFS(Equipar!B:B,4,Equipar!D:D,A191)
+COUNTIFS(Equipar!B:B,4,Equipar!E:E,A191)
+COUNTIFS(Equipar!B:B,4,Equipar!F:F,A191)
&gt;0,COUNTIF('Set recomendado'!B:B,C191)=0),
"Bloqueada",
"Desechable")),""
)</f>
        <v>Desechable</v>
      </c>
      <c r="J191" t="str" cm="1">
        <f t="array" aca="1" ref="J191" ca="1">IF(ISNUMBER(A191),IFERROR(_xlfn._xlws.FILTER(Equipar!A:A,(Equipar!B:B=4)*(Equipar!AC:AC=A191)),""),"")</f>
        <v/>
      </c>
    </row>
    <row r="192" spans="1:10" x14ac:dyDescent="0.25">
      <c r="A192" s="3">
        <f ca="1">IF(A191="ID",1,IF(ISBLANK(B192),"",MAX(A$2:A191)+1))</f>
        <v>318</v>
      </c>
      <c r="B192" s="6" t="s">
        <v>54</v>
      </c>
      <c r="C192" s="6" t="s">
        <v>21</v>
      </c>
      <c r="D192" s="6" t="s">
        <v>37</v>
      </c>
      <c r="E192" s="6" t="s">
        <v>42</v>
      </c>
      <c r="F192" s="6" t="s">
        <v>37</v>
      </c>
      <c r="I192" s="2" t="str">
        <f ca="1">IF(ISNUMBER(A192),
IF(COUNTIFS(Equipar!B:B,4,Equipar!AC:AC,A192),"Equipada",
IF(
  OR(COUNTIFS(Equipar!B:B,4,Equipar!C:C,A192)
 +COUNTIFS(Equipar!B:B,4,Equipar!D:D,A192)
+COUNTIFS(Equipar!B:B,4,Equipar!E:E,A192)
+COUNTIFS(Equipar!B:B,4,Equipar!F:F,A192)
&gt;0,COUNTIF('Set recomendado'!B:B,C192)=0),
"Bloqueada",
"Desechable")),""
)</f>
        <v>Desechable</v>
      </c>
      <c r="J192" t="str" cm="1">
        <f t="array" aca="1" ref="J192" ca="1">IF(ISNUMBER(A192),IFERROR(_xlfn._xlws.FILTER(Equipar!A:A,(Equipar!B:B=4)*(Equipar!AC:AC=A192)),""),"")</f>
        <v/>
      </c>
    </row>
    <row r="193" spans="1:10" x14ac:dyDescent="0.25">
      <c r="A193" s="3">
        <f ca="1">IF(A192="ID",1,IF(ISBLANK(B193),"",MAX(A$2:A192)+1))</f>
        <v>319</v>
      </c>
      <c r="B193" s="6" t="s">
        <v>54</v>
      </c>
      <c r="C193" s="6" t="s">
        <v>21</v>
      </c>
      <c r="D193" s="6" t="s">
        <v>43</v>
      </c>
      <c r="E193" s="6" t="s">
        <v>44</v>
      </c>
      <c r="F193" s="6" t="s">
        <v>42</v>
      </c>
      <c r="I193" s="2" t="str">
        <f ca="1">IF(ISNUMBER(A193),
IF(COUNTIFS(Equipar!B:B,4,Equipar!AC:AC,A193),"Equipada",
IF(
  OR(COUNTIFS(Equipar!B:B,4,Equipar!C:C,A193)
 +COUNTIFS(Equipar!B:B,4,Equipar!D:D,A193)
+COUNTIFS(Equipar!B:B,4,Equipar!E:E,A193)
+COUNTIFS(Equipar!B:B,4,Equipar!F:F,A193)
&gt;0,COUNTIF('Set recomendado'!B:B,C193)=0),
"Bloqueada",
"Desechable")),""
)</f>
        <v>Desechable</v>
      </c>
      <c r="J193" t="str" cm="1">
        <f t="array" aca="1" ref="J193" ca="1">IF(ISNUMBER(A193),IFERROR(_xlfn._xlws.FILTER(Equipar!A:A,(Equipar!B:B=4)*(Equipar!AC:AC=A193)),""),"")</f>
        <v/>
      </c>
    </row>
    <row r="194" spans="1:10" x14ac:dyDescent="0.25">
      <c r="A194" s="3" t="str">
        <f ca="1">IF(A193="ID",1,IF(ISBLANK(B194),"",MAX(A$2:A193)+1))</f>
        <v/>
      </c>
      <c r="I194" s="2" t="str">
        <f ca="1">IF(ISNUMBER(A194),
IF(COUNTIFS(Equipar!B:B,4,Equipar!AC:AC,A194),"Equipada",
IF(
  OR(COUNTIFS(Equipar!B:B,4,Equipar!C:C,A194)
 +COUNTIFS(Equipar!B:B,4,Equipar!D:D,A194)
+COUNTIFS(Equipar!B:B,4,Equipar!E:E,A194)
+COUNTIFS(Equipar!B:B,4,Equipar!F:F,A194)
&gt;0,COUNTIF('Set recomendado'!B:B,C194)=0),
"Bloqueada",
"Desechable")),""
)</f>
        <v/>
      </c>
      <c r="J194" t="str" cm="1">
        <f t="array" aca="1" ref="J194" ca="1">IF(ISNUMBER(A194),IFERROR(_xlfn._xlws.FILTER(Equipar!A:A,(Equipar!B:B=4)*(Equipar!AC:AC=A194)),""),"")</f>
        <v/>
      </c>
    </row>
    <row r="195" spans="1:10" x14ac:dyDescent="0.25">
      <c r="A195" s="3" t="str">
        <f ca="1">IF(A194="ID",1,IF(ISBLANK(B195),"",MAX(A$2:A194)+1))</f>
        <v/>
      </c>
      <c r="I195" s="2" t="str">
        <f ca="1">IF(ISNUMBER(A195),
IF(COUNTIFS(Equipar!B:B,4,Equipar!AC:AC,A195),"Equipada",
IF(
  OR(COUNTIFS(Equipar!B:B,4,Equipar!C:C,A195)
 +COUNTIFS(Equipar!B:B,4,Equipar!D:D,A195)
+COUNTIFS(Equipar!B:B,4,Equipar!E:E,A195)
+COUNTIFS(Equipar!B:B,4,Equipar!F:F,A195)
&gt;0,COUNTIF('Set recomendado'!B:B,C195)=0),
"Bloqueada",
"Desechable")),""
)</f>
        <v/>
      </c>
      <c r="J195" t="str" cm="1">
        <f t="array" aca="1" ref="J195" ca="1">IF(ISNUMBER(A195),IFERROR(_xlfn._xlws.FILTER(Equipar!A:A,(Equipar!B:B=4)*(Equipar!AC:AC=A195)),""),"")</f>
        <v/>
      </c>
    </row>
    <row r="196" spans="1:10" x14ac:dyDescent="0.25">
      <c r="A196" s="3" t="str">
        <f ca="1">IF(A195="ID",1,IF(ISBLANK(B196),"",MAX(A$2:A195)+1))</f>
        <v/>
      </c>
      <c r="I196" s="2" t="str">
        <f ca="1">IF(ISNUMBER(A196),
IF(COUNTIFS(Equipar!B:B,4,Equipar!AC:AC,A196),"Equipada",
IF(
  OR(COUNTIFS(Equipar!B:B,4,Equipar!C:C,A196)
 +COUNTIFS(Equipar!B:B,4,Equipar!D:D,A196)
+COUNTIFS(Equipar!B:B,4,Equipar!E:E,A196)
+COUNTIFS(Equipar!B:B,4,Equipar!F:F,A196)
&gt;0,COUNTIF('Set recomendado'!B:B,C196)=0),
"Bloqueada",
"Desechable")),""
)</f>
        <v/>
      </c>
      <c r="J196" t="str" cm="1">
        <f t="array" aca="1" ref="J196" ca="1">IF(ISNUMBER(A196),IFERROR(_xlfn._xlws.FILTER(Equipar!A:A,(Equipar!B:B=4)*(Equipar!AC:AC=A196)),""),"")</f>
        <v/>
      </c>
    </row>
    <row r="197" spans="1:10" x14ac:dyDescent="0.25">
      <c r="A197" s="3" t="str">
        <f ca="1">IF(A196="ID",1,IF(ISBLANK(B197),"",MAX(A$2:A196)+1))</f>
        <v/>
      </c>
      <c r="I197" s="2" t="str">
        <f ca="1">IF(ISNUMBER(A197),
IF(COUNTIFS(Equipar!B:B,4,Equipar!AC:AC,A197),"Equipada",
IF(
  OR(COUNTIFS(Equipar!B:B,4,Equipar!C:C,A197)
 +COUNTIFS(Equipar!B:B,4,Equipar!D:D,A197)
+COUNTIFS(Equipar!B:B,4,Equipar!E:E,A197)
+COUNTIFS(Equipar!B:B,4,Equipar!F:F,A197)
&gt;0,COUNTIF('Set recomendado'!B:B,C197)=0),
"Bloqueada",
"Desechable")),""
)</f>
        <v/>
      </c>
      <c r="J197" t="str" cm="1">
        <f t="array" aca="1" ref="J197" ca="1">IF(ISNUMBER(A197),IFERROR(_xlfn._xlws.FILTER(Equipar!A:A,(Equipar!B:B=4)*(Equipar!AC:AC=A197)),""),"")</f>
        <v/>
      </c>
    </row>
    <row r="198" spans="1:10" x14ac:dyDescent="0.25">
      <c r="A198" s="3" t="str">
        <f ca="1">IF(A197="ID",1,IF(ISBLANK(B198),"",MAX(A$2:A197)+1))</f>
        <v/>
      </c>
      <c r="I198" s="2" t="str">
        <f ca="1">IF(ISNUMBER(A198),
IF(COUNTIFS(Equipar!B:B,4,Equipar!AC:AC,A198),"Equipada",
IF(
  OR(COUNTIFS(Equipar!B:B,4,Equipar!C:C,A198)
 +COUNTIFS(Equipar!B:B,4,Equipar!D:D,A198)
+COUNTIFS(Equipar!B:B,4,Equipar!E:E,A198)
+COUNTIFS(Equipar!B:B,4,Equipar!F:F,A198)
&gt;0,COUNTIF('Set recomendado'!B:B,C198)=0),
"Bloqueada",
"Desechable")),""
)</f>
        <v/>
      </c>
      <c r="J198" t="str" cm="1">
        <f t="array" aca="1" ref="J198" ca="1">IF(ISNUMBER(A198),IFERROR(_xlfn._xlws.FILTER(Equipar!A:A,(Equipar!B:B=4)*(Equipar!AC:AC=A198)),""),"")</f>
        <v/>
      </c>
    </row>
    <row r="199" spans="1:10" x14ac:dyDescent="0.25">
      <c r="A199" s="3" t="str">
        <f ca="1">IF(A198="ID",1,IF(ISBLANK(B199),"",MAX(A$2:A198)+1))</f>
        <v/>
      </c>
      <c r="I199" s="2" t="str">
        <f ca="1">IF(ISNUMBER(A199),
IF(COUNTIFS(Equipar!B:B,4,Equipar!AC:AC,A199),"Equipada",
IF(
  OR(COUNTIFS(Equipar!B:B,4,Equipar!C:C,A199)
 +COUNTIFS(Equipar!B:B,4,Equipar!D:D,A199)
+COUNTIFS(Equipar!B:B,4,Equipar!E:E,A199)
+COUNTIFS(Equipar!B:B,4,Equipar!F:F,A199)
&gt;0,COUNTIF('Set recomendado'!B:B,C199)=0),
"Bloqueada",
"Desechable")),""
)</f>
        <v/>
      </c>
      <c r="J199" t="str" cm="1">
        <f t="array" aca="1" ref="J199" ca="1">IF(ISNUMBER(A199),IFERROR(_xlfn._xlws.FILTER(Equipar!A:A,(Equipar!B:B=4)*(Equipar!AC:AC=A199)),""),"")</f>
        <v/>
      </c>
    </row>
    <row r="200" spans="1:10" x14ac:dyDescent="0.25">
      <c r="A200" s="3" t="str">
        <f ca="1">IF(A199="ID",1,IF(ISBLANK(B200),"",MAX(A$2:A199)+1))</f>
        <v/>
      </c>
      <c r="I200" s="2" t="str">
        <f ca="1">IF(ISNUMBER(A200),
IF(COUNTIFS(Equipar!B:B,4,Equipar!AC:AC,A200),"Equipada",
IF(
  OR(COUNTIFS(Equipar!B:B,4,Equipar!C:C,A200)
 +COUNTIFS(Equipar!B:B,4,Equipar!D:D,A200)
+COUNTIFS(Equipar!B:B,4,Equipar!E:E,A200)
+COUNTIFS(Equipar!B:B,4,Equipar!F:F,A200)
&gt;0,COUNTIF('Set recomendado'!B:B,C200)=0),
"Bloqueada",
"Desechable")),""
)</f>
        <v/>
      </c>
      <c r="J200" t="str" cm="1">
        <f t="array" aca="1" ref="J200" ca="1">IF(ISNUMBER(A200),IFERROR(_xlfn._xlws.FILTER(Equipar!A:A,(Equipar!B:B=4)*(Equipar!AC:AC=A200)),""),"")</f>
        <v/>
      </c>
    </row>
    <row r="201" spans="1:10" x14ac:dyDescent="0.25">
      <c r="A201" s="3" t="str">
        <f ca="1">IF(A200="ID",1,IF(ISBLANK(B201),"",MAX(A$2:A200)+1))</f>
        <v/>
      </c>
      <c r="I201" s="2" t="str">
        <f ca="1">IF(ISNUMBER(A201),
IF(COUNTIFS(Equipar!B:B,4,Equipar!AC:AC,A201),"Equipada",
IF(
  OR(COUNTIFS(Equipar!B:B,4,Equipar!C:C,A201)
 +COUNTIFS(Equipar!B:B,4,Equipar!D:D,A201)
+COUNTIFS(Equipar!B:B,4,Equipar!E:E,A201)
+COUNTIFS(Equipar!B:B,4,Equipar!F:F,A201)
&gt;0,COUNTIF('Set recomendado'!B:B,C201)=0),
"Bloqueada",
"Desechable")),""
)</f>
        <v/>
      </c>
      <c r="J201" t="str" cm="1">
        <f t="array" aca="1" ref="J201" ca="1">IF(ISNUMBER(A201),IFERROR(_xlfn._xlws.FILTER(Equipar!A:A,(Equipar!B:B=4)*(Equipar!AC:AC=A201)),""),"")</f>
        <v/>
      </c>
    </row>
    <row r="202" spans="1:10" x14ac:dyDescent="0.25">
      <c r="A202" s="3" t="str">
        <f ca="1">IF(A201="ID",1,IF(ISBLANK(B202),"",MAX(A$2:A201)+1))</f>
        <v/>
      </c>
      <c r="I202" s="2" t="str">
        <f ca="1">IF(ISNUMBER(A202),
IF(COUNTIFS(Equipar!B:B,4,Equipar!AC:AC,A202),"Equipada",
IF(
  OR(COUNTIFS(Equipar!B:B,4,Equipar!C:C,A202)
 +COUNTIFS(Equipar!B:B,4,Equipar!D:D,A202)
+COUNTIFS(Equipar!B:B,4,Equipar!E:E,A202)
+COUNTIFS(Equipar!B:B,4,Equipar!F:F,A202)
&gt;0,COUNTIF('Set recomendado'!B:B,C202)=0),
"Bloqueada",
"Desechable")),""
)</f>
        <v/>
      </c>
      <c r="J202" t="str" cm="1">
        <f t="array" aca="1" ref="J202" ca="1">IF(ISNUMBER(A202),IFERROR(_xlfn._xlws.FILTER(Equipar!A:A,(Equipar!B:B=4)*(Equipar!AC:AC=A202)),""),"")</f>
        <v/>
      </c>
    </row>
    <row r="203" spans="1:10" x14ac:dyDescent="0.25">
      <c r="A203" s="3" t="str">
        <f ca="1">IF(A202="ID",1,IF(ISBLANK(B203),"",MAX(A$2:A202)+1))</f>
        <v/>
      </c>
      <c r="I203" s="2" t="str">
        <f ca="1">IF(ISNUMBER(A203),
IF(COUNTIFS(Equipar!B:B,4,Equipar!AC:AC,A203),"Equipada",
IF(
  OR(COUNTIFS(Equipar!B:B,4,Equipar!C:C,A203)
 +COUNTIFS(Equipar!B:B,4,Equipar!D:D,A203)
+COUNTIFS(Equipar!B:B,4,Equipar!E:E,A203)
+COUNTIFS(Equipar!B:B,4,Equipar!F:F,A203)
&gt;0,COUNTIF('Set recomendado'!B:B,C203)=0),
"Bloqueada",
"Desechable")),""
)</f>
        <v/>
      </c>
      <c r="J203" t="str" cm="1">
        <f t="array" aca="1" ref="J203" ca="1">IF(ISNUMBER(A203),IFERROR(_xlfn._xlws.FILTER(Equipar!A:A,(Equipar!B:B=4)*(Equipar!AC:AC=A203)),""),"")</f>
        <v/>
      </c>
    </row>
    <row r="204" spans="1:10" x14ac:dyDescent="0.25">
      <c r="A204" s="3" t="str">
        <f ca="1">IF(A203="ID",1,IF(ISBLANK(B204),"",MAX(A$2:A203)+1))</f>
        <v/>
      </c>
      <c r="I204" s="2" t="str">
        <f ca="1">IF(ISNUMBER(A204),
IF(COUNTIFS(Equipar!B:B,4,Equipar!AC:AC,A204),"Equipada",
IF(
  OR(COUNTIFS(Equipar!B:B,4,Equipar!C:C,A204)
 +COUNTIFS(Equipar!B:B,4,Equipar!D:D,A204)
+COUNTIFS(Equipar!B:B,4,Equipar!E:E,A204)
+COUNTIFS(Equipar!B:B,4,Equipar!F:F,A204)
&gt;0,COUNTIF('Set recomendado'!B:B,C204)=0),
"Bloqueada",
"Desechable")),""
)</f>
        <v/>
      </c>
      <c r="J204" t="str" cm="1">
        <f t="array" aca="1" ref="J204" ca="1">IF(ISNUMBER(A204),IFERROR(_xlfn._xlws.FILTER(Equipar!A:A,(Equipar!B:B=4)*(Equipar!AC:AC=A204)),""),"")</f>
        <v/>
      </c>
    </row>
    <row r="205" spans="1:10" x14ac:dyDescent="0.25">
      <c r="A205" s="3" t="str">
        <f ca="1">IF(A204="ID",1,IF(ISBLANK(B205),"",MAX(A$2:A204)+1))</f>
        <v/>
      </c>
      <c r="I205" s="2" t="str">
        <f ca="1">IF(ISNUMBER(A205),
IF(COUNTIFS(Equipar!B:B,4,Equipar!AC:AC,A205),"Equipada",
IF(
  OR(COUNTIFS(Equipar!B:B,4,Equipar!C:C,A205)
 +COUNTIFS(Equipar!B:B,4,Equipar!D:D,A205)
+COUNTIFS(Equipar!B:B,4,Equipar!E:E,A205)
+COUNTIFS(Equipar!B:B,4,Equipar!F:F,A205)
&gt;0,COUNTIF('Set recomendado'!B:B,C205)=0),
"Bloqueada",
"Desechable")),""
)</f>
        <v/>
      </c>
      <c r="J205" t="str" cm="1">
        <f t="array" aca="1" ref="J205" ca="1">IF(ISNUMBER(A205),IFERROR(_xlfn._xlws.FILTER(Equipar!A:A,(Equipar!B:B=4)*(Equipar!AC:AC=A205)),""),"")</f>
        <v/>
      </c>
    </row>
    <row r="206" spans="1:10" x14ac:dyDescent="0.25">
      <c r="A206" s="3" t="str">
        <f ca="1">IF(A205="ID",1,IF(ISBLANK(B206),"",MAX(A$2:A205)+1))</f>
        <v/>
      </c>
      <c r="I206" s="2" t="str">
        <f ca="1">IF(ISNUMBER(A206),
IF(COUNTIFS(Equipar!B:B,4,Equipar!AC:AC,A206),"Equipada",
IF(
  OR(COUNTIFS(Equipar!B:B,4,Equipar!C:C,A206)
 +COUNTIFS(Equipar!B:B,4,Equipar!D:D,A206)
+COUNTIFS(Equipar!B:B,4,Equipar!E:E,A206)
+COUNTIFS(Equipar!B:B,4,Equipar!F:F,A206)
&gt;0,COUNTIF('Set recomendado'!B:B,C206)=0),
"Bloqueada",
"Desechable")),""
)</f>
        <v/>
      </c>
      <c r="J206" t="str" cm="1">
        <f t="array" aca="1" ref="J206" ca="1">IF(ISNUMBER(A206),IFERROR(_xlfn._xlws.FILTER(Equipar!A:A,(Equipar!B:B=4)*(Equipar!AC:AC=A206)),""),"")</f>
        <v/>
      </c>
    </row>
    <row r="207" spans="1:10" x14ac:dyDescent="0.25">
      <c r="A207" s="3" t="str">
        <f ca="1">IF(A206="ID",1,IF(ISBLANK(B207),"",MAX(A$2:A206)+1))</f>
        <v/>
      </c>
      <c r="I207" s="2" t="str">
        <f ca="1">IF(ISNUMBER(A207),
IF(COUNTIFS(Equipar!B:B,4,Equipar!AC:AC,A207),"Equipada",
IF(
  OR(COUNTIFS(Equipar!B:B,4,Equipar!C:C,A207)
 +COUNTIFS(Equipar!B:B,4,Equipar!D:D,A207)
+COUNTIFS(Equipar!B:B,4,Equipar!E:E,A207)
+COUNTIFS(Equipar!B:B,4,Equipar!F:F,A207)
&gt;0,COUNTIF('Set recomendado'!B:B,C207)=0),
"Bloqueada",
"Desechable")),""
)</f>
        <v/>
      </c>
      <c r="J207" t="str" cm="1">
        <f t="array" aca="1" ref="J207" ca="1">IF(ISNUMBER(A207),IFERROR(_xlfn._xlws.FILTER(Equipar!A:A,(Equipar!B:B=4)*(Equipar!AC:AC=A207)),""),"")</f>
        <v/>
      </c>
    </row>
    <row r="208" spans="1:10" x14ac:dyDescent="0.25">
      <c r="A208" s="3" t="str">
        <f ca="1">IF(A207="ID",1,IF(ISBLANK(B208),"",MAX(A$2:A207)+1))</f>
        <v/>
      </c>
      <c r="I208" s="2" t="str">
        <f ca="1">IF(ISNUMBER(A208),
IF(COUNTIFS(Equipar!B:B,4,Equipar!AC:AC,A208),"Equipada",
IF(
  OR(COUNTIFS(Equipar!B:B,4,Equipar!C:C,A208)
 +COUNTIFS(Equipar!B:B,4,Equipar!D:D,A208)
+COUNTIFS(Equipar!B:B,4,Equipar!E:E,A208)
+COUNTIFS(Equipar!B:B,4,Equipar!F:F,A208)
&gt;0,COUNTIF('Set recomendado'!B:B,C208)=0),
"Bloqueada",
"Desechable")),""
)</f>
        <v/>
      </c>
      <c r="J208" t="str" cm="1">
        <f t="array" aca="1" ref="J208" ca="1">IF(ISNUMBER(A208),IFERROR(_xlfn._xlws.FILTER(Equipar!A:A,(Equipar!B:B=4)*(Equipar!AC:AC=A208)),""),"")</f>
        <v/>
      </c>
    </row>
    <row r="209" spans="1:10" x14ac:dyDescent="0.25">
      <c r="A209" s="3" t="str">
        <f ca="1">IF(A208="ID",1,IF(ISBLANK(B209),"",MAX(A$2:A208)+1))</f>
        <v/>
      </c>
      <c r="I209" s="2" t="str">
        <f ca="1">IF(ISNUMBER(A209),
IF(COUNTIFS(Equipar!B:B,4,Equipar!AC:AC,A209),"Equipada",
IF(
  OR(COUNTIFS(Equipar!B:B,4,Equipar!C:C,A209)
 +COUNTIFS(Equipar!B:B,4,Equipar!D:D,A209)
+COUNTIFS(Equipar!B:B,4,Equipar!E:E,A209)
+COUNTIFS(Equipar!B:B,4,Equipar!F:F,A209)
&gt;0,COUNTIF('Set recomendado'!B:B,C209)=0),
"Bloqueada",
"Desechable")),""
)</f>
        <v/>
      </c>
      <c r="J209" t="str" cm="1">
        <f t="array" aca="1" ref="J209" ca="1">IF(ISNUMBER(A209),IFERROR(_xlfn._xlws.FILTER(Equipar!A:A,(Equipar!B:B=4)*(Equipar!AC:AC=A209)),""),"")</f>
        <v/>
      </c>
    </row>
    <row r="210" spans="1:10" x14ac:dyDescent="0.25">
      <c r="A210" s="3" t="str">
        <f ca="1">IF(A209="ID",1,IF(ISBLANK(B210),"",MAX(A$2:A209)+1))</f>
        <v/>
      </c>
      <c r="I210" s="2" t="str">
        <f ca="1">IF(ISNUMBER(A210),
IF(COUNTIFS(Equipar!B:B,4,Equipar!AC:AC,A210),"Equipada",
IF(
  OR(COUNTIFS(Equipar!B:B,4,Equipar!C:C,A210)
 +COUNTIFS(Equipar!B:B,4,Equipar!D:D,A210)
+COUNTIFS(Equipar!B:B,4,Equipar!E:E,A210)
+COUNTIFS(Equipar!B:B,4,Equipar!F:F,A210)
&gt;0,COUNTIF('Set recomendado'!B:B,C210)=0),
"Bloqueada",
"Desechable")),""
)</f>
        <v/>
      </c>
      <c r="J210" t="str" cm="1">
        <f t="array" aca="1" ref="J210" ca="1">IF(ISNUMBER(A210),IFERROR(_xlfn._xlws.FILTER(Equipar!A:A,(Equipar!B:B=4)*(Equipar!AC:AC=A210)),""),"")</f>
        <v/>
      </c>
    </row>
    <row r="211" spans="1:10" x14ac:dyDescent="0.25">
      <c r="A211" s="3" t="str">
        <f ca="1">IF(A210="ID",1,IF(ISBLANK(B211),"",MAX(A$2:A210)+1))</f>
        <v/>
      </c>
      <c r="I211" s="2" t="str">
        <f ca="1">IF(ISNUMBER(A211),
IF(COUNTIFS(Equipar!B:B,4,Equipar!AC:AC,A211),"Equipada",
IF(
  OR(COUNTIFS(Equipar!B:B,4,Equipar!C:C,A211)
 +COUNTIFS(Equipar!B:B,4,Equipar!D:D,A211)
+COUNTIFS(Equipar!B:B,4,Equipar!E:E,A211)
+COUNTIFS(Equipar!B:B,4,Equipar!F:F,A211)
&gt;0,COUNTIF('Set recomendado'!B:B,C211)=0),
"Bloqueada",
"Desechable")),""
)</f>
        <v/>
      </c>
      <c r="J211" t="str" cm="1">
        <f t="array" aca="1" ref="J211" ca="1">IF(ISNUMBER(A211),IFERROR(_xlfn._xlws.FILTER(Equipar!A:A,(Equipar!B:B=4)*(Equipar!AC:AC=A211)),""),"")</f>
        <v/>
      </c>
    </row>
    <row r="212" spans="1:10" x14ac:dyDescent="0.25">
      <c r="A212" s="3" t="str">
        <f ca="1">IF(A211="ID",1,IF(ISBLANK(B212),"",MAX(A$2:A211)+1))</f>
        <v/>
      </c>
      <c r="I212" s="2" t="str">
        <f ca="1">IF(ISNUMBER(A212),
IF(COUNTIFS(Equipar!B:B,4,Equipar!AC:AC,A212),"Equipada",
IF(
  OR(COUNTIFS(Equipar!B:B,4,Equipar!C:C,A212)
 +COUNTIFS(Equipar!B:B,4,Equipar!D:D,A212)
+COUNTIFS(Equipar!B:B,4,Equipar!E:E,A212)
+COUNTIFS(Equipar!B:B,4,Equipar!F:F,A212)
&gt;0,COUNTIF('Set recomendado'!B:B,C212)=0),
"Bloqueada",
"Desechable")),""
)</f>
        <v/>
      </c>
      <c r="J212" t="str" cm="1">
        <f t="array" aca="1" ref="J212" ca="1">IF(ISNUMBER(A212),IFERROR(_xlfn._xlws.FILTER(Equipar!A:A,(Equipar!B:B=4)*(Equipar!AC:AC=A212)),""),"")</f>
        <v/>
      </c>
    </row>
    <row r="213" spans="1:10" x14ac:dyDescent="0.25">
      <c r="A213" s="3" t="str">
        <f ca="1">IF(A212="ID",1,IF(ISBLANK(B213),"",MAX(A$2:A212)+1))</f>
        <v/>
      </c>
      <c r="I213" s="2" t="str">
        <f ca="1">IF(ISNUMBER(A213),
IF(COUNTIFS(Equipar!B:B,4,Equipar!AC:AC,A213),"Equipada",
IF(
  OR(COUNTIFS(Equipar!B:B,4,Equipar!C:C,A213)
 +COUNTIFS(Equipar!B:B,4,Equipar!D:D,A213)
+COUNTIFS(Equipar!B:B,4,Equipar!E:E,A213)
+COUNTIFS(Equipar!B:B,4,Equipar!F:F,A213)
&gt;0,COUNTIF('Set recomendado'!B:B,C213)=0),
"Bloqueada",
"Desechable")),""
)</f>
        <v/>
      </c>
      <c r="J213" t="str" cm="1">
        <f t="array" aca="1" ref="J213" ca="1">IF(ISNUMBER(A213),IFERROR(_xlfn._xlws.FILTER(Equipar!A:A,(Equipar!B:B=4)*(Equipar!AC:AC=A213)),""),"")</f>
        <v/>
      </c>
    </row>
    <row r="214" spans="1:10" x14ac:dyDescent="0.25">
      <c r="A214" s="3" t="str">
        <f ca="1">IF(A213="ID",1,IF(ISBLANK(B214),"",MAX(A$2:A213)+1))</f>
        <v/>
      </c>
      <c r="I214" s="2" t="str">
        <f ca="1">IF(ISNUMBER(A214),
IF(COUNTIFS(Equipar!B:B,4,Equipar!AC:AC,A214),"Equipada",
IF(
  OR(COUNTIFS(Equipar!B:B,4,Equipar!C:C,A214)
 +COUNTIFS(Equipar!B:B,4,Equipar!D:D,A214)
+COUNTIFS(Equipar!B:B,4,Equipar!E:E,A214)
+COUNTIFS(Equipar!B:B,4,Equipar!F:F,A214)
&gt;0,COUNTIF('Set recomendado'!B:B,C214)=0),
"Bloqueada",
"Desechable")),""
)</f>
        <v/>
      </c>
      <c r="J214" t="str" cm="1">
        <f t="array" aca="1" ref="J214" ca="1">IF(ISNUMBER(A214),IFERROR(_xlfn._xlws.FILTER(Equipar!A:A,(Equipar!B:B=4)*(Equipar!AC:AC=A214)),""),"")</f>
        <v/>
      </c>
    </row>
    <row r="215" spans="1:10" x14ac:dyDescent="0.25">
      <c r="A215" s="3" t="str">
        <f ca="1">IF(A214="ID",1,IF(ISBLANK(B215),"",MAX(A$2:A214)+1))</f>
        <v/>
      </c>
      <c r="I215" s="2" t="str">
        <f ca="1">IF(ISNUMBER(A215),
IF(COUNTIFS(Equipar!B:B,4,Equipar!AC:AC,A215),"Equipada",
IF(
  OR(COUNTIFS(Equipar!B:B,4,Equipar!C:C,A215)
 +COUNTIFS(Equipar!B:B,4,Equipar!D:D,A215)
+COUNTIFS(Equipar!B:B,4,Equipar!E:E,A215)
+COUNTIFS(Equipar!B:B,4,Equipar!F:F,A215)
&gt;0,COUNTIF('Set recomendado'!B:B,C215)=0),
"Bloqueada",
"Desechable")),""
)</f>
        <v/>
      </c>
      <c r="J215" t="str" cm="1">
        <f t="array" aca="1" ref="J215" ca="1">IF(ISNUMBER(A215),IFERROR(_xlfn._xlws.FILTER(Equipar!A:A,(Equipar!B:B=4)*(Equipar!AC:AC=A215)),""),"")</f>
        <v/>
      </c>
    </row>
    <row r="216" spans="1:10" x14ac:dyDescent="0.25">
      <c r="A216" s="3" t="str">
        <f ca="1">IF(A215="ID",1,IF(ISBLANK(B216),"",MAX(A$2:A215)+1))</f>
        <v/>
      </c>
      <c r="I216" s="2" t="str">
        <f ca="1">IF(ISNUMBER(A216),
IF(COUNTIFS(Equipar!B:B,4,Equipar!AC:AC,A216),"Equipada",
IF(
  OR(COUNTIFS(Equipar!B:B,4,Equipar!C:C,A216)
 +COUNTIFS(Equipar!B:B,4,Equipar!D:D,A216)
+COUNTIFS(Equipar!B:B,4,Equipar!E:E,A216)
+COUNTIFS(Equipar!B:B,4,Equipar!F:F,A216)
&gt;0,COUNTIF('Set recomendado'!B:B,C216)=0),
"Bloqueada",
"Desechable")),""
)</f>
        <v/>
      </c>
      <c r="J216" t="str" cm="1">
        <f t="array" aca="1" ref="J216" ca="1">IF(ISNUMBER(A216),IFERROR(_xlfn._xlws.FILTER(Equipar!A:A,(Equipar!B:B=4)*(Equipar!AC:AC=A216)),""),"")</f>
        <v/>
      </c>
    </row>
    <row r="217" spans="1:10" x14ac:dyDescent="0.25">
      <c r="A217" s="3" t="str">
        <f ca="1">IF(A216="ID",1,IF(ISBLANK(B217),"",MAX(A$2:A216)+1))</f>
        <v/>
      </c>
      <c r="I217" s="2" t="str">
        <f ca="1">IF(ISNUMBER(A217),
IF(COUNTIFS(Equipar!B:B,4,Equipar!AC:AC,A217),"Equipada",
IF(
  OR(COUNTIFS(Equipar!B:B,4,Equipar!C:C,A217)
 +COUNTIFS(Equipar!B:B,4,Equipar!D:D,A217)
+COUNTIFS(Equipar!B:B,4,Equipar!E:E,A217)
+COUNTIFS(Equipar!B:B,4,Equipar!F:F,A217)
&gt;0,COUNTIF('Set recomendado'!B:B,C217)=0),
"Bloqueada",
"Desechable")),""
)</f>
        <v/>
      </c>
      <c r="J217" t="str" cm="1">
        <f t="array" aca="1" ref="J217" ca="1">IF(ISNUMBER(A217),IFERROR(_xlfn._xlws.FILTER(Equipar!A:A,(Equipar!B:B=4)*(Equipar!AC:AC=A217)),""),"")</f>
        <v/>
      </c>
    </row>
    <row r="218" spans="1:10" x14ac:dyDescent="0.25">
      <c r="A218" s="3" t="str">
        <f ca="1">IF(A217="ID",1,IF(ISBLANK(B218),"",MAX(A$2:A217)+1))</f>
        <v/>
      </c>
      <c r="I218" s="2" t="str">
        <f ca="1">IF(ISNUMBER(A218),
IF(COUNTIFS(Equipar!B:B,4,Equipar!AC:AC,A218),"Equipada",
IF(
  OR(COUNTIFS(Equipar!B:B,4,Equipar!C:C,A218)
 +COUNTIFS(Equipar!B:B,4,Equipar!D:D,A218)
+COUNTIFS(Equipar!B:B,4,Equipar!E:E,A218)
+COUNTIFS(Equipar!B:B,4,Equipar!F:F,A218)
&gt;0,COUNTIF('Set recomendado'!B:B,C218)=0),
"Bloqueada",
"Desechable")),""
)</f>
        <v/>
      </c>
      <c r="J218" t="str" cm="1">
        <f t="array" aca="1" ref="J218" ca="1">IF(ISNUMBER(A218),IFERROR(_xlfn._xlws.FILTER(Equipar!A:A,(Equipar!B:B=4)*(Equipar!AC:AC=A218)),""),"")</f>
        <v/>
      </c>
    </row>
    <row r="219" spans="1:10" x14ac:dyDescent="0.25">
      <c r="A219" s="3" t="str">
        <f ca="1">IF(A218="ID",1,IF(ISBLANK(B219),"",MAX(A$2:A218)+1))</f>
        <v/>
      </c>
      <c r="I219" s="2" t="str">
        <f ca="1">IF(ISNUMBER(A219),
IF(COUNTIFS(Equipar!B:B,4,Equipar!AC:AC,A219),"Equipada",
IF(
  OR(COUNTIFS(Equipar!B:B,4,Equipar!C:C,A219)
 +COUNTIFS(Equipar!B:B,4,Equipar!D:D,A219)
+COUNTIFS(Equipar!B:B,4,Equipar!E:E,A219)
+COUNTIFS(Equipar!B:B,4,Equipar!F:F,A219)
&gt;0,COUNTIF('Set recomendado'!B:B,C219)=0),
"Bloqueada",
"Desechable")),""
)</f>
        <v/>
      </c>
      <c r="J219" t="str" cm="1">
        <f t="array" aca="1" ref="J219" ca="1">IF(ISNUMBER(A219),IFERROR(_xlfn._xlws.FILTER(Equipar!A:A,(Equipar!B:B=4)*(Equipar!AC:AC=A219)),""),"")</f>
        <v/>
      </c>
    </row>
    <row r="220" spans="1:10" x14ac:dyDescent="0.25">
      <c r="A220" s="3" t="str">
        <f ca="1">IF(A219="ID",1,IF(ISBLANK(B220),"",MAX(A$2:A219)+1))</f>
        <v/>
      </c>
      <c r="I220" s="2" t="str">
        <f ca="1">IF(ISNUMBER(A220),
IF(COUNTIFS(Equipar!B:B,4,Equipar!AC:AC,A220),"Equipada",
IF(
  OR(COUNTIFS(Equipar!B:B,4,Equipar!C:C,A220)
 +COUNTIFS(Equipar!B:B,4,Equipar!D:D,A220)
+COUNTIFS(Equipar!B:B,4,Equipar!E:E,A220)
+COUNTIFS(Equipar!B:B,4,Equipar!F:F,A220)
&gt;0,COUNTIF('Set recomendado'!B:B,C220)=0),
"Bloqueada",
"Desechable")),""
)</f>
        <v/>
      </c>
      <c r="J220" t="str" cm="1">
        <f t="array" aca="1" ref="J220" ca="1">IF(ISNUMBER(A220),IFERROR(_xlfn._xlws.FILTER(Equipar!A:A,(Equipar!B:B=4)*(Equipar!AC:AC=A220)),""),"")</f>
        <v/>
      </c>
    </row>
    <row r="221" spans="1:10" x14ac:dyDescent="0.25">
      <c r="A221" s="3" t="str">
        <f ca="1">IF(A220="ID",1,IF(ISBLANK(B221),"",MAX(A$2:A220)+1))</f>
        <v/>
      </c>
      <c r="I221" s="2" t="str">
        <f ca="1">IF(ISNUMBER(A221),
IF(COUNTIFS(Equipar!B:B,4,Equipar!AC:AC,A221),"Equipada",
IF(
  OR(COUNTIFS(Equipar!B:B,4,Equipar!C:C,A221)
 +COUNTIFS(Equipar!B:B,4,Equipar!D:D,A221)
+COUNTIFS(Equipar!B:B,4,Equipar!E:E,A221)
+COUNTIFS(Equipar!B:B,4,Equipar!F:F,A221)
&gt;0,COUNTIF('Set recomendado'!B:B,C221)=0),
"Bloqueada",
"Desechable")),""
)</f>
        <v/>
      </c>
      <c r="J221" t="str" cm="1">
        <f t="array" aca="1" ref="J221" ca="1">IF(ISNUMBER(A221),IFERROR(_xlfn._xlws.FILTER(Equipar!A:A,(Equipar!B:B=4)*(Equipar!AC:AC=A221)),""),"")</f>
        <v/>
      </c>
    </row>
    <row r="222" spans="1:10" x14ac:dyDescent="0.25">
      <c r="A222" s="3" t="str">
        <f ca="1">IF(A221="ID",1,IF(ISBLANK(B222),"",MAX(A$2:A221)+1))</f>
        <v/>
      </c>
      <c r="I222" s="2" t="str">
        <f ca="1">IF(ISNUMBER(A222),
IF(COUNTIFS(Equipar!B:B,4,Equipar!AC:AC,A222),"Equipada",
IF(
  OR(COUNTIFS(Equipar!B:B,4,Equipar!C:C,A222)
 +COUNTIFS(Equipar!B:B,4,Equipar!D:D,A222)
+COUNTIFS(Equipar!B:B,4,Equipar!E:E,A222)
+COUNTIFS(Equipar!B:B,4,Equipar!F:F,A222)
&gt;0,COUNTIF('Set recomendado'!B:B,C222)=0),
"Bloqueada",
"Desechable")),""
)</f>
        <v/>
      </c>
      <c r="J222" t="str" cm="1">
        <f t="array" aca="1" ref="J222" ca="1">IF(ISNUMBER(A222),IFERROR(_xlfn._xlws.FILTER(Equipar!A:A,(Equipar!B:B=4)*(Equipar!AC:AC=A222)),""),"")</f>
        <v/>
      </c>
    </row>
    <row r="223" spans="1:10" x14ac:dyDescent="0.25">
      <c r="A223" s="3" t="str">
        <f ca="1">IF(A222="ID",1,IF(ISBLANK(B223),"",MAX(A$2:A222)+1))</f>
        <v/>
      </c>
      <c r="I223" s="2" t="str">
        <f ca="1">IF(ISNUMBER(A223),
IF(COUNTIFS(Equipar!B:B,4,Equipar!AC:AC,A223),"Equipada",
IF(
  OR(COUNTIFS(Equipar!B:B,4,Equipar!C:C,A223)
 +COUNTIFS(Equipar!B:B,4,Equipar!D:D,A223)
+COUNTIFS(Equipar!B:B,4,Equipar!E:E,A223)
+COUNTIFS(Equipar!B:B,4,Equipar!F:F,A223)
&gt;0,COUNTIF('Set recomendado'!B:B,C223)=0),
"Bloqueada",
"Desechable")),""
)</f>
        <v/>
      </c>
      <c r="J223" t="str" cm="1">
        <f t="array" aca="1" ref="J223" ca="1">IF(ISNUMBER(A223),IFERROR(_xlfn._xlws.FILTER(Equipar!A:A,(Equipar!B:B=4)*(Equipar!AC:AC=A223)),""),"")</f>
        <v/>
      </c>
    </row>
    <row r="224" spans="1:10" x14ac:dyDescent="0.25">
      <c r="A224" s="3" t="str">
        <f ca="1">IF(A223="ID",1,IF(ISBLANK(B224),"",MAX(A$2:A223)+1))</f>
        <v/>
      </c>
      <c r="I224" s="2" t="str">
        <f ca="1">IF(ISNUMBER(A224),
IF(COUNTIFS(Equipar!B:B,4,Equipar!AC:AC,A224),"Equipada",
IF(
  OR(COUNTIFS(Equipar!B:B,4,Equipar!C:C,A224)
 +COUNTIFS(Equipar!B:B,4,Equipar!D:D,A224)
+COUNTIFS(Equipar!B:B,4,Equipar!E:E,A224)
+COUNTIFS(Equipar!B:B,4,Equipar!F:F,A224)
&gt;0,COUNTIF('Set recomendado'!B:B,C224)=0),
"Bloqueada",
"Desechable")),""
)</f>
        <v/>
      </c>
      <c r="J224" t="str" cm="1">
        <f t="array" aca="1" ref="J224" ca="1">IF(ISNUMBER(A224),IFERROR(_xlfn._xlws.FILTER(Equipar!A:A,(Equipar!B:B=4)*(Equipar!AC:AC=A224)),""),"")</f>
        <v/>
      </c>
    </row>
    <row r="225" spans="1:10" x14ac:dyDescent="0.25">
      <c r="A225" s="3" t="str">
        <f ca="1">IF(A224="ID",1,IF(ISBLANK(B225),"",MAX(A$2:A224)+1))</f>
        <v/>
      </c>
      <c r="I225" s="2" t="str">
        <f ca="1">IF(ISNUMBER(A225),
IF(COUNTIFS(Equipar!B:B,4,Equipar!AC:AC,A225),"Equipada",
IF(
  OR(COUNTIFS(Equipar!B:B,4,Equipar!C:C,A225)
 +COUNTIFS(Equipar!B:B,4,Equipar!D:D,A225)
+COUNTIFS(Equipar!B:B,4,Equipar!E:E,A225)
+COUNTIFS(Equipar!B:B,4,Equipar!F:F,A225)
&gt;0,COUNTIF('Set recomendado'!B:B,C225)=0),
"Bloqueada",
"Desechable")),""
)</f>
        <v/>
      </c>
      <c r="J225" t="str" cm="1">
        <f t="array" aca="1" ref="J225" ca="1">IF(ISNUMBER(A225),IFERROR(_xlfn._xlws.FILTER(Equipar!A:A,(Equipar!B:B=4)*(Equipar!AC:AC=A225)),""),"")</f>
        <v/>
      </c>
    </row>
    <row r="226" spans="1:10" x14ac:dyDescent="0.25">
      <c r="A226" s="3" t="str">
        <f ca="1">IF(A225="ID",1,IF(ISBLANK(B226),"",MAX(A$2:A225)+1))</f>
        <v/>
      </c>
      <c r="I226" s="2" t="str">
        <f ca="1">IF(ISNUMBER(A226),
IF(COUNTIFS(Equipar!B:B,4,Equipar!AC:AC,A226),"Equipada",
IF(
  OR(COUNTIFS(Equipar!B:B,4,Equipar!C:C,A226)
 +COUNTIFS(Equipar!B:B,4,Equipar!D:D,A226)
+COUNTIFS(Equipar!B:B,4,Equipar!E:E,A226)
+COUNTIFS(Equipar!B:B,4,Equipar!F:F,A226)
&gt;0,COUNTIF('Set recomendado'!B:B,C226)=0),
"Bloqueada",
"Desechable")),""
)</f>
        <v/>
      </c>
      <c r="J226" t="str" cm="1">
        <f t="array" aca="1" ref="J226" ca="1">IF(ISNUMBER(A226),IFERROR(_xlfn._xlws.FILTER(Equipar!A:A,(Equipar!B:B=4)*(Equipar!AC:AC=A226)),""),"")</f>
        <v/>
      </c>
    </row>
    <row r="227" spans="1:10" x14ac:dyDescent="0.25">
      <c r="A227" s="3" t="str">
        <f ca="1">IF(A226="ID",1,IF(ISBLANK(B227),"",MAX(A$2:A226)+1))</f>
        <v/>
      </c>
      <c r="I227" s="2" t="str">
        <f ca="1">IF(ISNUMBER(A227),
IF(COUNTIFS(Equipar!B:B,4,Equipar!AC:AC,A227),"Equipada",
IF(
  OR(COUNTIFS(Equipar!B:B,4,Equipar!C:C,A227)
 +COUNTIFS(Equipar!B:B,4,Equipar!D:D,A227)
+COUNTIFS(Equipar!B:B,4,Equipar!E:E,A227)
+COUNTIFS(Equipar!B:B,4,Equipar!F:F,A227)
&gt;0,COUNTIF('Set recomendado'!B:B,C227)=0),
"Bloqueada",
"Desechable")),""
)</f>
        <v/>
      </c>
      <c r="J227" t="str" cm="1">
        <f t="array" aca="1" ref="J227" ca="1">IF(ISNUMBER(A227),IFERROR(_xlfn._xlws.FILTER(Equipar!A:A,(Equipar!B:B=4)*(Equipar!AC:AC=A227)),""),"")</f>
        <v/>
      </c>
    </row>
    <row r="228" spans="1:10" x14ac:dyDescent="0.25">
      <c r="A228" s="3" t="str">
        <f ca="1">IF(A227="ID",1,IF(ISBLANK(B228),"",MAX(A$2:A227)+1))</f>
        <v/>
      </c>
      <c r="I228" s="2" t="str">
        <f ca="1">IF(ISNUMBER(A228),
IF(COUNTIFS(Equipar!B:B,4,Equipar!AC:AC,A228),"Equipada",
IF(
  OR(COUNTIFS(Equipar!B:B,4,Equipar!C:C,A228)
 +COUNTIFS(Equipar!B:B,4,Equipar!D:D,A228)
+COUNTIFS(Equipar!B:B,4,Equipar!E:E,A228)
+COUNTIFS(Equipar!B:B,4,Equipar!F:F,A228)
&gt;0,COUNTIF('Set recomendado'!B:B,C228)=0),
"Bloqueada",
"Desechable")),""
)</f>
        <v/>
      </c>
      <c r="J228" t="str" cm="1">
        <f t="array" aca="1" ref="J228" ca="1">IF(ISNUMBER(A228),IFERROR(_xlfn._xlws.FILTER(Equipar!A:A,(Equipar!B:B=4)*(Equipar!AC:AC=A228)),""),"")</f>
        <v/>
      </c>
    </row>
    <row r="229" spans="1:10" x14ac:dyDescent="0.25">
      <c r="A229" s="3" t="str">
        <f ca="1">IF(A228="ID",1,IF(ISBLANK(B229),"",MAX(A$2:A228)+1))</f>
        <v/>
      </c>
      <c r="I229" s="2" t="str">
        <f ca="1">IF(ISNUMBER(A229),
IF(COUNTIFS(Equipar!B:B,4,Equipar!AC:AC,A229),"Equipada",
IF(
  OR(COUNTIFS(Equipar!B:B,4,Equipar!C:C,A229)
 +COUNTIFS(Equipar!B:B,4,Equipar!D:D,A229)
+COUNTIFS(Equipar!B:B,4,Equipar!E:E,A229)
+COUNTIFS(Equipar!B:B,4,Equipar!F:F,A229)
&gt;0,COUNTIF('Set recomendado'!B:B,C229)=0),
"Bloqueada",
"Desechable")),""
)</f>
        <v/>
      </c>
      <c r="J229" t="str" cm="1">
        <f t="array" aca="1" ref="J229" ca="1">IF(ISNUMBER(A229),IFERROR(_xlfn._xlws.FILTER(Equipar!A:A,(Equipar!B:B=4)*(Equipar!AC:AC=A229)),""),"")</f>
        <v/>
      </c>
    </row>
    <row r="230" spans="1:10" x14ac:dyDescent="0.25">
      <c r="A230" s="3" t="str">
        <f ca="1">IF(A229="ID",1,IF(ISBLANK(B230),"",MAX(A$2:A229)+1))</f>
        <v/>
      </c>
      <c r="I230" s="2" t="str">
        <f ca="1">IF(ISNUMBER(A230),
IF(COUNTIFS(Equipar!B:B,4,Equipar!AC:AC,A230),"Equipada",
IF(
  OR(COUNTIFS(Equipar!B:B,4,Equipar!C:C,A230)
 +COUNTIFS(Equipar!B:B,4,Equipar!D:D,A230)
+COUNTIFS(Equipar!B:B,4,Equipar!E:E,A230)
+COUNTIFS(Equipar!B:B,4,Equipar!F:F,A230)
&gt;0,COUNTIF('Set recomendado'!B:B,C230)=0),
"Bloqueada",
"Desechable")),""
)</f>
        <v/>
      </c>
      <c r="J230" t="str" cm="1">
        <f t="array" aca="1" ref="J230" ca="1">IF(ISNUMBER(A230),IFERROR(_xlfn._xlws.FILTER(Equipar!A:A,(Equipar!B:B=4)*(Equipar!AC:AC=A230)),""),"")</f>
        <v/>
      </c>
    </row>
    <row r="231" spans="1:10" x14ac:dyDescent="0.25">
      <c r="A231" s="3" t="str">
        <f ca="1">IF(A230="ID",1,IF(ISBLANK(B231),"",MAX(A$2:A230)+1))</f>
        <v/>
      </c>
      <c r="I231" s="2" t="str">
        <f ca="1">IF(ISNUMBER(A231),
IF(COUNTIFS(Equipar!B:B,4,Equipar!AC:AC,A231),"Equipada",
IF(
  OR(COUNTIFS(Equipar!B:B,4,Equipar!C:C,A231)
 +COUNTIFS(Equipar!B:B,4,Equipar!D:D,A231)
+COUNTIFS(Equipar!B:B,4,Equipar!E:E,A231)
+COUNTIFS(Equipar!B:B,4,Equipar!F:F,A231)
&gt;0,COUNTIF('Set recomendado'!B:B,C231)=0),
"Bloqueada",
"Desechable")),""
)</f>
        <v/>
      </c>
      <c r="J231" t="str" cm="1">
        <f t="array" aca="1" ref="J231" ca="1">IF(ISNUMBER(A231),IFERROR(_xlfn._xlws.FILTER(Equipar!A:A,(Equipar!B:B=4)*(Equipar!AC:AC=A231)),""),"")</f>
        <v/>
      </c>
    </row>
    <row r="232" spans="1:10" x14ac:dyDescent="0.25">
      <c r="A232" s="3" t="str">
        <f ca="1">IF(A231="ID",1,IF(ISBLANK(B232),"",MAX(A$2:A231)+1))</f>
        <v/>
      </c>
      <c r="I232" s="2" t="str">
        <f ca="1">IF(ISNUMBER(A232),
IF(COUNTIFS(Equipar!B:B,4,Equipar!AC:AC,A232),"Equipada",
IF(
  OR(COUNTIFS(Equipar!B:B,4,Equipar!C:C,A232)
 +COUNTIFS(Equipar!B:B,4,Equipar!D:D,A232)
+COUNTIFS(Equipar!B:B,4,Equipar!E:E,A232)
+COUNTIFS(Equipar!B:B,4,Equipar!F:F,A232)
&gt;0,COUNTIF('Set recomendado'!B:B,C232)=0),
"Bloqueada",
"Desechable")),""
)</f>
        <v/>
      </c>
      <c r="J232" t="str" cm="1">
        <f t="array" aca="1" ref="J232" ca="1">IF(ISNUMBER(A232),IFERROR(_xlfn._xlws.FILTER(Equipar!A:A,(Equipar!B:B=4)*(Equipar!AC:AC=A232)),""),"")</f>
        <v/>
      </c>
    </row>
    <row r="233" spans="1:10" x14ac:dyDescent="0.25">
      <c r="A233" s="3" t="str">
        <f ca="1">IF(A232="ID",1,IF(ISBLANK(B233),"",MAX(A$2:A232)+1))</f>
        <v/>
      </c>
      <c r="I233" s="2" t="str">
        <f ca="1">IF(ISNUMBER(A233),
IF(COUNTIFS(Equipar!B:B,4,Equipar!AC:AC,A233),"Equipada",
IF(
  OR(COUNTIFS(Equipar!B:B,4,Equipar!C:C,A233)
 +COUNTIFS(Equipar!B:B,4,Equipar!D:D,A233)
+COUNTIFS(Equipar!B:B,4,Equipar!E:E,A233)
+COUNTIFS(Equipar!B:B,4,Equipar!F:F,A233)
&gt;0,COUNTIF('Set recomendado'!B:B,C233)=0),
"Bloqueada",
"Desechable")),""
)</f>
        <v/>
      </c>
      <c r="J233" t="str" cm="1">
        <f t="array" aca="1" ref="J233" ca="1">IF(ISNUMBER(A233),IFERROR(_xlfn._xlws.FILTER(Equipar!A:A,(Equipar!B:B=4)*(Equipar!AC:AC=A233)),""),"")</f>
        <v/>
      </c>
    </row>
    <row r="234" spans="1:10" x14ac:dyDescent="0.25">
      <c r="A234" s="3" t="str">
        <f ca="1">IF(A233="ID",1,IF(ISBLANK(B234),"",MAX(A$2:A233)+1))</f>
        <v/>
      </c>
      <c r="I234" s="2" t="str">
        <f ca="1">IF(ISNUMBER(A234),
IF(COUNTIFS(Equipar!B:B,4,Equipar!AC:AC,A234),"Equipada",
IF(
  OR(COUNTIFS(Equipar!B:B,4,Equipar!C:C,A234)
 +COUNTIFS(Equipar!B:B,4,Equipar!D:D,A234)
+COUNTIFS(Equipar!B:B,4,Equipar!E:E,A234)
+COUNTIFS(Equipar!B:B,4,Equipar!F:F,A234)
&gt;0,COUNTIF('Set recomendado'!B:B,C234)=0),
"Bloqueada",
"Desechable")),""
)</f>
        <v/>
      </c>
      <c r="J234" t="str" cm="1">
        <f t="array" aca="1" ref="J234" ca="1">IF(ISNUMBER(A234),IFERROR(_xlfn._xlws.FILTER(Equipar!A:A,(Equipar!B:B=4)*(Equipar!AC:AC=A234)),""),"")</f>
        <v/>
      </c>
    </row>
    <row r="235" spans="1:10" x14ac:dyDescent="0.25">
      <c r="A235" s="3" t="str">
        <f ca="1">IF(A234="ID",1,IF(ISBLANK(B235),"",MAX(A$2:A234)+1))</f>
        <v/>
      </c>
      <c r="I235" s="2" t="str">
        <f ca="1">IF(ISNUMBER(A235),
IF(COUNTIFS(Equipar!B:B,4,Equipar!AC:AC,A235),"Equipada",
IF(
  OR(COUNTIFS(Equipar!B:B,4,Equipar!C:C,A235)
 +COUNTIFS(Equipar!B:B,4,Equipar!D:D,A235)
+COUNTIFS(Equipar!B:B,4,Equipar!E:E,A235)
+COUNTIFS(Equipar!B:B,4,Equipar!F:F,A235)
&gt;0,COUNTIF('Set recomendado'!B:B,C235)=0),
"Bloqueada",
"Desechable")),""
)</f>
        <v/>
      </c>
      <c r="J235" t="str" cm="1">
        <f t="array" aca="1" ref="J235" ca="1">IF(ISNUMBER(A235),IFERROR(_xlfn._xlws.FILTER(Equipar!A:A,(Equipar!B:B=4)*(Equipar!AC:AC=A235)),""),"")</f>
        <v/>
      </c>
    </row>
    <row r="236" spans="1:10" x14ac:dyDescent="0.25">
      <c r="A236" s="3" t="str">
        <f ca="1">IF(A235="ID",1,IF(ISBLANK(B236),"",MAX(A$2:A235)+1))</f>
        <v/>
      </c>
      <c r="I236" s="2" t="str">
        <f ca="1">IF(ISNUMBER(A236),
IF(COUNTIFS(Equipar!B:B,4,Equipar!AC:AC,A236),"Equipada",
IF(
  OR(COUNTIFS(Equipar!B:B,4,Equipar!C:C,A236)
 +COUNTIFS(Equipar!B:B,4,Equipar!D:D,A236)
+COUNTIFS(Equipar!B:B,4,Equipar!E:E,A236)
+COUNTIFS(Equipar!B:B,4,Equipar!F:F,A236)
&gt;0,COUNTIF('Set recomendado'!B:B,C236)=0),
"Bloqueada",
"Desechable")),""
)</f>
        <v/>
      </c>
      <c r="J236" t="str" cm="1">
        <f t="array" aca="1" ref="J236" ca="1">IF(ISNUMBER(A236),IFERROR(_xlfn._xlws.FILTER(Equipar!A:A,(Equipar!B:B=4)*(Equipar!AC:AC=A236)),""),"")</f>
        <v/>
      </c>
    </row>
    <row r="237" spans="1:10" x14ac:dyDescent="0.25">
      <c r="A237" s="3" t="str">
        <f ca="1">IF(A236="ID",1,IF(ISBLANK(B237),"",MAX(A$2:A236)+1))</f>
        <v/>
      </c>
      <c r="I237" s="2" t="str">
        <f ca="1">IF(ISNUMBER(A237),
IF(COUNTIFS(Equipar!B:B,4,Equipar!AC:AC,A237),"Equipada",
IF(
  OR(COUNTIFS(Equipar!B:B,4,Equipar!C:C,A237)
 +COUNTIFS(Equipar!B:B,4,Equipar!D:D,A237)
+COUNTIFS(Equipar!B:B,4,Equipar!E:E,A237)
+COUNTIFS(Equipar!B:B,4,Equipar!F:F,A237)
&gt;0,COUNTIF('Set recomendado'!B:B,C237)=0),
"Bloqueada",
"Desechable")),""
)</f>
        <v/>
      </c>
      <c r="J237" t="str" cm="1">
        <f t="array" aca="1" ref="J237" ca="1">IF(ISNUMBER(A237),IFERROR(_xlfn._xlws.FILTER(Equipar!A:A,(Equipar!B:B=4)*(Equipar!AC:AC=A237)),""),"")</f>
        <v/>
      </c>
    </row>
    <row r="238" spans="1:10" x14ac:dyDescent="0.25">
      <c r="A238" s="3" t="str">
        <f ca="1">IF(A237="ID",1,IF(ISBLANK(B238),"",MAX(A$2:A237)+1))</f>
        <v/>
      </c>
      <c r="I238" s="2" t="str">
        <f ca="1">IF(ISNUMBER(A238),
IF(COUNTIFS(Equipar!B:B,4,Equipar!AC:AC,A238),"Equipada",
IF(
  OR(COUNTIFS(Equipar!B:B,4,Equipar!C:C,A238)
 +COUNTIFS(Equipar!B:B,4,Equipar!D:D,A238)
+COUNTIFS(Equipar!B:B,4,Equipar!E:E,A238)
+COUNTIFS(Equipar!B:B,4,Equipar!F:F,A238)
&gt;0,COUNTIF('Set recomendado'!B:B,C238)=0),
"Bloqueada",
"Desechable")),""
)</f>
        <v/>
      </c>
      <c r="J238" t="str" cm="1">
        <f t="array" aca="1" ref="J238" ca="1">IF(ISNUMBER(A238),IFERROR(_xlfn._xlws.FILTER(Equipar!A:A,(Equipar!B:B=4)*(Equipar!AC:AC=A238)),""),"")</f>
        <v/>
      </c>
    </row>
    <row r="239" spans="1:10" x14ac:dyDescent="0.25">
      <c r="A239" s="3" t="str">
        <f ca="1">IF(A238="ID",1,IF(ISBLANK(B239),"",MAX(A$2:A238)+1))</f>
        <v/>
      </c>
      <c r="I239" s="2" t="str">
        <f ca="1">IF(ISNUMBER(A239),
IF(COUNTIFS(Equipar!B:B,4,Equipar!AC:AC,A239),"Equipada",
IF(
  OR(COUNTIFS(Equipar!B:B,4,Equipar!C:C,A239)
 +COUNTIFS(Equipar!B:B,4,Equipar!D:D,A239)
+COUNTIFS(Equipar!B:B,4,Equipar!E:E,A239)
+COUNTIFS(Equipar!B:B,4,Equipar!F:F,A239)
&gt;0,COUNTIF('Set recomendado'!B:B,C239)=0),
"Bloqueada",
"Desechable")),""
)</f>
        <v/>
      </c>
      <c r="J239" t="str" cm="1">
        <f t="array" aca="1" ref="J239" ca="1">IF(ISNUMBER(A239),IFERROR(_xlfn._xlws.FILTER(Equipar!A:A,(Equipar!B:B=4)*(Equipar!AC:AC=A239)),""),"")</f>
        <v/>
      </c>
    </row>
    <row r="240" spans="1:10" x14ac:dyDescent="0.25">
      <c r="A240" s="3" t="str">
        <f ca="1">IF(A239="ID",1,IF(ISBLANK(B240),"",MAX(A$2:A239)+1))</f>
        <v/>
      </c>
      <c r="I240" s="2" t="str">
        <f ca="1">IF(ISNUMBER(A240),
IF(COUNTIFS(Equipar!B:B,4,Equipar!AC:AC,A240),"Equipada",
IF(
  OR(COUNTIFS(Equipar!B:B,4,Equipar!C:C,A240)
 +COUNTIFS(Equipar!B:B,4,Equipar!D:D,A240)
+COUNTIFS(Equipar!B:B,4,Equipar!E:E,A240)
+COUNTIFS(Equipar!B:B,4,Equipar!F:F,A240)
&gt;0,COUNTIF('Set recomendado'!B:B,C240)=0),
"Bloqueada",
"Desechable")),""
)</f>
        <v/>
      </c>
      <c r="J240" t="str" cm="1">
        <f t="array" aca="1" ref="J240" ca="1">IF(ISNUMBER(A240),IFERROR(_xlfn._xlws.FILTER(Equipar!A:A,(Equipar!B:B=4)*(Equipar!AC:AC=A240)),""),"")</f>
        <v/>
      </c>
    </row>
    <row r="241" spans="1:10" x14ac:dyDescent="0.25">
      <c r="A241" s="3" t="str">
        <f ca="1">IF(A240="ID",1,IF(ISBLANK(B241),"",MAX(A$2:A240)+1))</f>
        <v/>
      </c>
      <c r="I241" s="2" t="str">
        <f ca="1">IF(ISNUMBER(A241),
IF(COUNTIFS(Equipar!B:B,4,Equipar!AC:AC,A241),"Equipada",
IF(
  OR(COUNTIFS(Equipar!B:B,4,Equipar!C:C,A241)
 +COUNTIFS(Equipar!B:B,4,Equipar!D:D,A241)
+COUNTIFS(Equipar!B:B,4,Equipar!E:E,A241)
+COUNTIFS(Equipar!B:B,4,Equipar!F:F,A241)
&gt;0,COUNTIF('Set recomendado'!B:B,C241)=0),
"Bloqueada",
"Desechable")),""
)</f>
        <v/>
      </c>
      <c r="J241" t="str" cm="1">
        <f t="array" aca="1" ref="J241" ca="1">IF(ISNUMBER(A241),IFERROR(_xlfn._xlws.FILTER(Equipar!A:A,(Equipar!B:B=4)*(Equipar!AC:AC=A241)),""),"")</f>
        <v/>
      </c>
    </row>
    <row r="242" spans="1:10" x14ac:dyDescent="0.25">
      <c r="A242" s="3" t="str">
        <f ca="1">IF(A241="ID",1,IF(ISBLANK(B242),"",MAX(A$2:A241)+1))</f>
        <v/>
      </c>
      <c r="I242" s="2" t="str">
        <f ca="1">IF(ISNUMBER(A242),
IF(COUNTIFS(Equipar!B:B,4,Equipar!AC:AC,A242),"Equipada",
IF(
  OR(COUNTIFS(Equipar!B:B,4,Equipar!C:C,A242)
 +COUNTIFS(Equipar!B:B,4,Equipar!D:D,A242)
+COUNTIFS(Equipar!B:B,4,Equipar!E:E,A242)
+COUNTIFS(Equipar!B:B,4,Equipar!F:F,A242)
&gt;0,COUNTIF('Set recomendado'!B:B,C242)=0),
"Bloqueada",
"Desechable")),""
)</f>
        <v/>
      </c>
      <c r="J242" t="str" cm="1">
        <f t="array" aca="1" ref="J242" ca="1">IF(ISNUMBER(A242),IFERROR(_xlfn._xlws.FILTER(Equipar!A:A,(Equipar!B:B=4)*(Equipar!AC:AC=A242)),""),"")</f>
        <v/>
      </c>
    </row>
    <row r="243" spans="1:10" x14ac:dyDescent="0.25">
      <c r="A243" s="3" t="str">
        <f ca="1">IF(A242="ID",1,IF(ISBLANK(B243),"",MAX(A$2:A242)+1))</f>
        <v/>
      </c>
      <c r="I243" s="2" t="str">
        <f ca="1">IF(ISNUMBER(A243),
IF(COUNTIFS(Equipar!B:B,4,Equipar!AC:AC,A243),"Equipada",
IF(
  OR(COUNTIFS(Equipar!B:B,4,Equipar!C:C,A243)
 +COUNTIFS(Equipar!B:B,4,Equipar!D:D,A243)
+COUNTIFS(Equipar!B:B,4,Equipar!E:E,A243)
+COUNTIFS(Equipar!B:B,4,Equipar!F:F,A243)
&gt;0,COUNTIF('Set recomendado'!B:B,C243)=0),
"Bloqueada",
"Desechable")),""
)</f>
        <v/>
      </c>
      <c r="J243" t="str" cm="1">
        <f t="array" aca="1" ref="J243" ca="1">IF(ISNUMBER(A243),IFERROR(_xlfn._xlws.FILTER(Equipar!A:A,(Equipar!B:B=4)*(Equipar!AC:AC=A243)),""),"")</f>
        <v/>
      </c>
    </row>
    <row r="244" spans="1:10" x14ac:dyDescent="0.25">
      <c r="A244" s="3" t="str">
        <f ca="1">IF(A243="ID",1,IF(ISBLANK(B244),"",MAX(A$2:A243)+1))</f>
        <v/>
      </c>
      <c r="I244" s="2" t="str">
        <f ca="1">IF(ISNUMBER(A244),
IF(COUNTIFS(Equipar!B:B,4,Equipar!AC:AC,A244),"Equipada",
IF(
  OR(COUNTIFS(Equipar!B:B,4,Equipar!C:C,A244)
 +COUNTIFS(Equipar!B:B,4,Equipar!D:D,A244)
+COUNTIFS(Equipar!B:B,4,Equipar!E:E,A244)
+COUNTIFS(Equipar!B:B,4,Equipar!F:F,A244)
&gt;0,COUNTIF('Set recomendado'!B:B,C244)=0),
"Bloqueada",
"Desechable")),""
)</f>
        <v/>
      </c>
      <c r="J244" t="str" cm="1">
        <f t="array" aca="1" ref="J244" ca="1">IF(ISNUMBER(A244),IFERROR(_xlfn._xlws.FILTER(Equipar!A:A,(Equipar!B:B=4)*(Equipar!AC:AC=A244)),""),"")</f>
        <v/>
      </c>
    </row>
    <row r="245" spans="1:10" x14ac:dyDescent="0.25">
      <c r="A245" s="3" t="str">
        <f ca="1">IF(A244="ID",1,IF(ISBLANK(B245),"",MAX(A$2:A244)+1))</f>
        <v/>
      </c>
      <c r="I245" s="2" t="str">
        <f ca="1">IF(ISNUMBER(A245),
IF(COUNTIFS(Equipar!B:B,4,Equipar!AC:AC,A245),"Equipada",
IF(
  OR(COUNTIFS(Equipar!B:B,4,Equipar!C:C,A245)
 +COUNTIFS(Equipar!B:B,4,Equipar!D:D,A245)
+COUNTIFS(Equipar!B:B,4,Equipar!E:E,A245)
+COUNTIFS(Equipar!B:B,4,Equipar!F:F,A245)
&gt;0,COUNTIF('Set recomendado'!B:B,C245)=0),
"Bloqueada",
"Desechable")),""
)</f>
        <v/>
      </c>
      <c r="J245" t="str" cm="1">
        <f t="array" aca="1" ref="J245" ca="1">IF(ISNUMBER(A245),IFERROR(_xlfn._xlws.FILTER(Equipar!A:A,(Equipar!B:B=4)*(Equipar!AC:AC=A245)),""),"")</f>
        <v/>
      </c>
    </row>
    <row r="246" spans="1:10" x14ac:dyDescent="0.25">
      <c r="A246" s="3" t="str">
        <f ca="1">IF(A245="ID",1,IF(ISBLANK(B246),"",MAX(A$2:A245)+1))</f>
        <v/>
      </c>
      <c r="I246" s="2" t="str">
        <f ca="1">IF(ISNUMBER(A246),
IF(COUNTIFS(Equipar!B:B,4,Equipar!AC:AC,A246),"Equipada",
IF(
  OR(COUNTIFS(Equipar!B:B,4,Equipar!C:C,A246)
 +COUNTIFS(Equipar!B:B,4,Equipar!D:D,A246)
+COUNTIFS(Equipar!B:B,4,Equipar!E:E,A246)
+COUNTIFS(Equipar!B:B,4,Equipar!F:F,A246)
&gt;0,COUNTIF('Set recomendado'!B:B,C246)=0),
"Bloqueada",
"Desechable")),""
)</f>
        <v/>
      </c>
      <c r="J246" t="str" cm="1">
        <f t="array" aca="1" ref="J246" ca="1">IF(ISNUMBER(A246),IFERROR(_xlfn._xlws.FILTER(Equipar!A:A,(Equipar!B:B=4)*(Equipar!AC:AC=A246)),""),"")</f>
        <v/>
      </c>
    </row>
    <row r="247" spans="1:10" x14ac:dyDescent="0.25">
      <c r="A247" s="3" t="str">
        <f ca="1">IF(A246="ID",1,IF(ISBLANK(B247),"",MAX(A$2:A246)+1))</f>
        <v/>
      </c>
      <c r="I247" s="2" t="str">
        <f ca="1">IF(ISNUMBER(A247),
IF(COUNTIFS(Equipar!B:B,4,Equipar!AC:AC,A247),"Equipada",
IF(
  OR(COUNTIFS(Equipar!B:B,4,Equipar!C:C,A247)
 +COUNTIFS(Equipar!B:B,4,Equipar!D:D,A247)
+COUNTIFS(Equipar!B:B,4,Equipar!E:E,A247)
+COUNTIFS(Equipar!B:B,4,Equipar!F:F,A247)
&gt;0,COUNTIF('Set recomendado'!B:B,C247)=0),
"Bloqueada",
"Desechable")),""
)</f>
        <v/>
      </c>
      <c r="J247" t="str" cm="1">
        <f t="array" aca="1" ref="J247" ca="1">IF(ISNUMBER(A247),IFERROR(_xlfn._xlws.FILTER(Equipar!A:A,(Equipar!B:B=4)*(Equipar!AC:AC=A247)),""),"")</f>
        <v/>
      </c>
    </row>
    <row r="248" spans="1:10" x14ac:dyDescent="0.25">
      <c r="A248" s="3" t="str">
        <f ca="1">IF(A247="ID",1,IF(ISBLANK(B248),"",MAX(A$2:A247)+1))</f>
        <v/>
      </c>
      <c r="I248" s="2" t="str">
        <f ca="1">IF(ISNUMBER(A248),
IF(COUNTIFS(Equipar!B:B,4,Equipar!AC:AC,A248),"Equipada",
IF(
  OR(COUNTIFS(Equipar!B:B,4,Equipar!C:C,A248)
 +COUNTIFS(Equipar!B:B,4,Equipar!D:D,A248)
+COUNTIFS(Equipar!B:B,4,Equipar!E:E,A248)
+COUNTIFS(Equipar!B:B,4,Equipar!F:F,A248)
&gt;0,COUNTIF('Set recomendado'!B:B,C248)=0),
"Bloqueada",
"Desechable")),""
)</f>
        <v/>
      </c>
      <c r="J248" t="str" cm="1">
        <f t="array" aca="1" ref="J248" ca="1">IF(ISNUMBER(A248),IFERROR(_xlfn._xlws.FILTER(Equipar!A:A,(Equipar!B:B=4)*(Equipar!AC:AC=A248)),""),"")</f>
        <v/>
      </c>
    </row>
    <row r="249" spans="1:10" x14ac:dyDescent="0.25">
      <c r="A249" s="3" t="str">
        <f ca="1">IF(A248="ID",1,IF(ISBLANK(B249),"",MAX(A$2:A248)+1))</f>
        <v/>
      </c>
      <c r="I249" s="2" t="str">
        <f ca="1">IF(ISNUMBER(A249),
IF(COUNTIFS(Equipar!B:B,4,Equipar!AC:AC,A249),"Equipada",
IF(
  OR(COUNTIFS(Equipar!B:B,4,Equipar!C:C,A249)
 +COUNTIFS(Equipar!B:B,4,Equipar!D:D,A249)
+COUNTIFS(Equipar!B:B,4,Equipar!E:E,A249)
+COUNTIFS(Equipar!B:B,4,Equipar!F:F,A249)
&gt;0,COUNTIF('Set recomendado'!B:B,C249)=0),
"Bloqueada",
"Desechable")),""
)</f>
        <v/>
      </c>
      <c r="J249" t="str" cm="1">
        <f t="array" aca="1" ref="J249" ca="1">IF(ISNUMBER(A249),IFERROR(_xlfn._xlws.FILTER(Equipar!A:A,(Equipar!B:B=4)*(Equipar!AC:AC=A249)),""),"")</f>
        <v/>
      </c>
    </row>
    <row r="250" spans="1:10" x14ac:dyDescent="0.25">
      <c r="A250" s="3" t="str">
        <f ca="1">IF(A249="ID",1,IF(ISBLANK(B250),"",MAX(A$2:A249)+1))</f>
        <v/>
      </c>
      <c r="I250" s="2" t="str">
        <f ca="1">IF(ISNUMBER(A250),
IF(COUNTIFS(Equipar!B:B,4,Equipar!AC:AC,A250),"Equipada",
IF(
  OR(COUNTIFS(Equipar!B:B,4,Equipar!C:C,A250)
 +COUNTIFS(Equipar!B:B,4,Equipar!D:D,A250)
+COUNTIFS(Equipar!B:B,4,Equipar!E:E,A250)
+COUNTIFS(Equipar!B:B,4,Equipar!F:F,A250)
&gt;0,COUNTIF('Set recomendado'!B:B,C250)=0),
"Bloqueada",
"Desechable")),""
)</f>
        <v/>
      </c>
      <c r="J250" t="str" cm="1">
        <f t="array" aca="1" ref="J250" ca="1">IF(ISNUMBER(A250),IFERROR(_xlfn._xlws.FILTER(Equipar!A:A,(Equipar!B:B=4)*(Equipar!AC:AC=A250)),""),"")</f>
        <v/>
      </c>
    </row>
    <row r="251" spans="1:10" x14ac:dyDescent="0.25">
      <c r="A251" s="3" t="str">
        <f ca="1">IF(A250="ID",1,IF(ISBLANK(B251),"",MAX(A$2:A250)+1))</f>
        <v/>
      </c>
      <c r="I251" s="2" t="str">
        <f ca="1">IF(ISNUMBER(A251),
IF(COUNTIFS(Equipar!B:B,4,Equipar!AC:AC,A251),"Equipada",
IF(
  OR(COUNTIFS(Equipar!B:B,4,Equipar!C:C,A251)
 +COUNTIFS(Equipar!B:B,4,Equipar!D:D,A251)
+COUNTIFS(Equipar!B:B,4,Equipar!E:E,A251)
+COUNTIFS(Equipar!B:B,4,Equipar!F:F,A251)
&gt;0,COUNTIF('Set recomendado'!B:B,C251)=0),
"Bloqueada",
"Desechable")),""
)</f>
        <v/>
      </c>
      <c r="J251" t="str" cm="1">
        <f t="array" aca="1" ref="J251" ca="1">IF(ISNUMBER(A251),IFERROR(_xlfn._xlws.FILTER(Equipar!A:A,(Equipar!B:B=4)*(Equipar!AC:AC=A251)),""),"")</f>
        <v/>
      </c>
    </row>
    <row r="252" spans="1:10" x14ac:dyDescent="0.25">
      <c r="A252" s="3" t="str">
        <f ca="1">IF(A251="ID",1,IF(ISBLANK(B252),"",MAX(A$2:A251)+1))</f>
        <v/>
      </c>
      <c r="I252" s="2" t="str">
        <f ca="1">IF(ISNUMBER(A252),
IF(COUNTIFS(Equipar!B:B,4,Equipar!AC:AC,A252),"Equipada",
IF(
  OR(COUNTIFS(Equipar!B:B,4,Equipar!C:C,A252)
 +COUNTIFS(Equipar!B:B,4,Equipar!D:D,A252)
+COUNTIFS(Equipar!B:B,4,Equipar!E:E,A252)
+COUNTIFS(Equipar!B:B,4,Equipar!F:F,A252)
&gt;0,COUNTIF('Set recomendado'!B:B,C252)=0),
"Bloqueada",
"Desechable")),""
)</f>
        <v/>
      </c>
      <c r="J252" t="str" cm="1">
        <f t="array" aca="1" ref="J252" ca="1">IF(ISNUMBER(A252),IFERROR(_xlfn._xlws.FILTER(Equipar!A:A,(Equipar!B:B=4)*(Equipar!AC:AC=A252)),""),"")</f>
        <v/>
      </c>
    </row>
    <row r="253" spans="1:10" x14ac:dyDescent="0.25">
      <c r="A253" s="3" t="str">
        <f ca="1">IF(A252="ID",1,IF(ISBLANK(B253),"",MAX(A$2:A252)+1))</f>
        <v/>
      </c>
      <c r="I253" s="2" t="str">
        <f ca="1">IF(ISNUMBER(A253),
IF(COUNTIFS(Equipar!B:B,4,Equipar!AC:AC,A253),"Equipada",
IF(
  OR(COUNTIFS(Equipar!B:B,4,Equipar!C:C,A253)
 +COUNTIFS(Equipar!B:B,4,Equipar!D:D,A253)
+COUNTIFS(Equipar!B:B,4,Equipar!E:E,A253)
+COUNTIFS(Equipar!B:B,4,Equipar!F:F,A253)
&gt;0,COUNTIF('Set recomendado'!B:B,C253)=0),
"Bloqueada",
"Desechable")),""
)</f>
        <v/>
      </c>
      <c r="J253" t="str" cm="1">
        <f t="array" aca="1" ref="J253" ca="1">IF(ISNUMBER(A253),IFERROR(_xlfn._xlws.FILTER(Equipar!A:A,(Equipar!B:B=4)*(Equipar!AC:AC=A253)),""),"")</f>
        <v/>
      </c>
    </row>
    <row r="254" spans="1:10" x14ac:dyDescent="0.25">
      <c r="A254" s="3" t="str">
        <f ca="1">IF(A253="ID",1,IF(ISBLANK(B254),"",MAX(A$2:A253)+1))</f>
        <v/>
      </c>
      <c r="I254" s="2" t="str">
        <f ca="1">IF(ISNUMBER(A254),
IF(COUNTIFS(Equipar!B:B,4,Equipar!AC:AC,A254),"Equipada",
IF(
  OR(COUNTIFS(Equipar!B:B,4,Equipar!C:C,A254)
 +COUNTIFS(Equipar!B:B,4,Equipar!D:D,A254)
+COUNTIFS(Equipar!B:B,4,Equipar!E:E,A254)
+COUNTIFS(Equipar!B:B,4,Equipar!F:F,A254)
&gt;0,COUNTIF('Set recomendado'!B:B,C254)=0),
"Bloqueada",
"Desechable")),""
)</f>
        <v/>
      </c>
      <c r="J254" t="str" cm="1">
        <f t="array" aca="1" ref="J254" ca="1">IF(ISNUMBER(A254),IFERROR(_xlfn._xlws.FILTER(Equipar!A:A,(Equipar!B:B=4)*(Equipar!AC:AC=A254)),""),"")</f>
        <v/>
      </c>
    </row>
    <row r="255" spans="1:10" x14ac:dyDescent="0.25">
      <c r="A255" s="3" t="str">
        <f ca="1">IF(A254="ID",1,IF(ISBLANK(B255),"",MAX(A$2:A254)+1))</f>
        <v/>
      </c>
      <c r="I255" s="2" t="str">
        <f ca="1">IF(ISNUMBER(A255),
IF(COUNTIFS(Equipar!B:B,4,Equipar!AC:AC,A255),"Equipada",
IF(
  OR(COUNTIFS(Equipar!B:B,4,Equipar!C:C,A255)
 +COUNTIFS(Equipar!B:B,4,Equipar!D:D,A255)
+COUNTIFS(Equipar!B:B,4,Equipar!E:E,A255)
+COUNTIFS(Equipar!B:B,4,Equipar!F:F,A255)
&gt;0,COUNTIF('Set recomendado'!B:B,C255)=0),
"Bloqueada",
"Desechable")),""
)</f>
        <v/>
      </c>
      <c r="J255" t="str" cm="1">
        <f t="array" aca="1" ref="J255" ca="1">IF(ISNUMBER(A255),IFERROR(_xlfn._xlws.FILTER(Equipar!A:A,(Equipar!B:B=4)*(Equipar!AC:AC=A255)),""),"")</f>
        <v/>
      </c>
    </row>
    <row r="256" spans="1:10" x14ac:dyDescent="0.25">
      <c r="A256" s="3" t="str">
        <f ca="1">IF(A255="ID",1,IF(ISBLANK(B256),"",MAX(A$2:A255)+1))</f>
        <v/>
      </c>
      <c r="I256" s="2" t="str">
        <f ca="1">IF(ISNUMBER(A256),
IF(COUNTIFS(Equipar!B:B,4,Equipar!AC:AC,A256),"Equipada",
IF(
  OR(COUNTIFS(Equipar!B:B,4,Equipar!C:C,A256)
 +COUNTIFS(Equipar!B:B,4,Equipar!D:D,A256)
+COUNTIFS(Equipar!B:B,4,Equipar!E:E,A256)
+COUNTIFS(Equipar!B:B,4,Equipar!F:F,A256)
&gt;0,COUNTIF('Set recomendado'!B:B,C256)=0),
"Bloqueada",
"Desechable")),""
)</f>
        <v/>
      </c>
      <c r="J256" t="str" cm="1">
        <f t="array" aca="1" ref="J256" ca="1">IF(ISNUMBER(A256),IFERROR(_xlfn._xlws.FILTER(Equipar!A:A,(Equipar!B:B=4)*(Equipar!AC:AC=A256)),""),"")</f>
        <v/>
      </c>
    </row>
    <row r="257" spans="1:10" x14ac:dyDescent="0.25">
      <c r="A257" s="3" t="str">
        <f ca="1">IF(A256="ID",1,IF(ISBLANK(B257),"",MAX(A$2:A256)+1))</f>
        <v/>
      </c>
      <c r="I257" s="2" t="str">
        <f ca="1">IF(ISNUMBER(A257),
IF(COUNTIFS(Equipar!B:B,4,Equipar!AC:AC,A257),"Equipada",
IF(
  OR(COUNTIFS(Equipar!B:B,4,Equipar!C:C,A257)
 +COUNTIFS(Equipar!B:B,4,Equipar!D:D,A257)
+COUNTIFS(Equipar!B:B,4,Equipar!E:E,A257)
+COUNTIFS(Equipar!B:B,4,Equipar!F:F,A257)
&gt;0,COUNTIF('Set recomendado'!B:B,C257)=0),
"Bloqueada",
"Desechable")),""
)</f>
        <v/>
      </c>
      <c r="J257" t="str" cm="1">
        <f t="array" aca="1" ref="J257" ca="1">IF(ISNUMBER(A257),IFERROR(_xlfn._xlws.FILTER(Equipar!A:A,(Equipar!B:B=4)*(Equipar!AC:AC=A257)),""),"")</f>
        <v/>
      </c>
    </row>
    <row r="258" spans="1:10" x14ac:dyDescent="0.25">
      <c r="A258" s="3" t="str">
        <f ca="1">IF(A257="ID",1,IF(ISBLANK(B258),"",MAX(A$2:A257)+1))</f>
        <v/>
      </c>
      <c r="I258" s="2" t="str">
        <f ca="1">IF(ISNUMBER(A258),
IF(COUNTIFS(Equipar!B:B,4,Equipar!AC:AC,A258),"Equipada",
IF(
  OR(COUNTIFS(Equipar!B:B,4,Equipar!C:C,A258)
 +COUNTIFS(Equipar!B:B,4,Equipar!D:D,A258)
+COUNTIFS(Equipar!B:B,4,Equipar!E:E,A258)
+COUNTIFS(Equipar!B:B,4,Equipar!F:F,A258)
&gt;0,COUNTIF('Set recomendado'!B:B,C258)=0),
"Bloqueada",
"Desechable")),""
)</f>
        <v/>
      </c>
      <c r="J258" t="str" cm="1">
        <f t="array" aca="1" ref="J258" ca="1">IF(ISNUMBER(A258),IFERROR(_xlfn._xlws.FILTER(Equipar!A:A,(Equipar!B:B=4)*(Equipar!AC:AC=A258)),""),"")</f>
        <v/>
      </c>
    </row>
    <row r="259" spans="1:10" x14ac:dyDescent="0.25">
      <c r="A259" s="3" t="str">
        <f ca="1">IF(A258="ID",1,IF(ISBLANK(B259),"",MAX(A$2:A258)+1))</f>
        <v/>
      </c>
      <c r="I259" s="2" t="str">
        <f ca="1">IF(ISNUMBER(A259),
IF(COUNTIFS(Equipar!B:B,4,Equipar!AC:AC,A259),"Equipada",
IF(
  OR(COUNTIFS(Equipar!B:B,4,Equipar!C:C,A259)
 +COUNTIFS(Equipar!B:B,4,Equipar!D:D,A259)
+COUNTIFS(Equipar!B:B,4,Equipar!E:E,A259)
+COUNTIFS(Equipar!B:B,4,Equipar!F:F,A259)
&gt;0,COUNTIF('Set recomendado'!B:B,C259)=0),
"Bloqueada",
"Desechable")),""
)</f>
        <v/>
      </c>
      <c r="J259" t="str" cm="1">
        <f t="array" aca="1" ref="J259" ca="1">IF(ISNUMBER(A259),IFERROR(_xlfn._xlws.FILTER(Equipar!A:A,(Equipar!B:B=4)*(Equipar!AC:AC=A259)),""),"")</f>
        <v/>
      </c>
    </row>
    <row r="260" spans="1:10" x14ac:dyDescent="0.25">
      <c r="A260" s="3" t="str">
        <f ca="1">IF(A259="ID",1,IF(ISBLANK(B260),"",MAX(A$2:A259)+1))</f>
        <v/>
      </c>
      <c r="I260" s="2" t="str">
        <f ca="1">IF(ISNUMBER(A260),
IF(COUNTIFS(Equipar!B:B,4,Equipar!AC:AC,A260),"Equipada",
IF(
  OR(COUNTIFS(Equipar!B:B,4,Equipar!C:C,A260)
 +COUNTIFS(Equipar!B:B,4,Equipar!D:D,A260)
+COUNTIFS(Equipar!B:B,4,Equipar!E:E,A260)
+COUNTIFS(Equipar!B:B,4,Equipar!F:F,A260)
&gt;0,COUNTIF('Set recomendado'!B:B,C260)=0),
"Bloqueada",
"Desechable")),""
)</f>
        <v/>
      </c>
      <c r="J260" t="str" cm="1">
        <f t="array" aca="1" ref="J260" ca="1">IF(ISNUMBER(A260),IFERROR(_xlfn._xlws.FILTER(Equipar!A:A,(Equipar!B:B=4)*(Equipar!AC:AC=A260)),""),"")</f>
        <v/>
      </c>
    </row>
    <row r="261" spans="1:10" x14ac:dyDescent="0.25">
      <c r="A261" s="3" t="str">
        <f ca="1">IF(A260="ID",1,IF(ISBLANK(B261),"",MAX(A$2:A260)+1))</f>
        <v/>
      </c>
      <c r="I261" s="2" t="str">
        <f ca="1">IF(ISNUMBER(A261),
IF(COUNTIFS(Equipar!B:B,4,Equipar!AC:AC,A261),"Equipada",
IF(
  OR(COUNTIFS(Equipar!B:B,4,Equipar!C:C,A261)
 +COUNTIFS(Equipar!B:B,4,Equipar!D:D,A261)
+COUNTIFS(Equipar!B:B,4,Equipar!E:E,A261)
+COUNTIFS(Equipar!B:B,4,Equipar!F:F,A261)
&gt;0,COUNTIF('Set recomendado'!B:B,C261)=0),
"Bloqueada",
"Desechable")),""
)</f>
        <v/>
      </c>
      <c r="J261" t="str" cm="1">
        <f t="array" aca="1" ref="J261" ca="1">IF(ISNUMBER(A261),IFERROR(_xlfn._xlws.FILTER(Equipar!A:A,(Equipar!B:B=4)*(Equipar!AC:AC=A261)),""),"")</f>
        <v/>
      </c>
    </row>
    <row r="262" spans="1:10" x14ac:dyDescent="0.25">
      <c r="A262" s="3" t="str">
        <f ca="1">IF(A261="ID",1,IF(ISBLANK(B262),"",MAX(A$2:A261)+1))</f>
        <v/>
      </c>
      <c r="I262" s="2" t="str">
        <f ca="1">IF(ISNUMBER(A262),
IF(COUNTIFS(Equipar!B:B,4,Equipar!AC:AC,A262),"Equipada",
IF(
  OR(COUNTIFS(Equipar!B:B,4,Equipar!C:C,A262)
 +COUNTIFS(Equipar!B:B,4,Equipar!D:D,A262)
+COUNTIFS(Equipar!B:B,4,Equipar!E:E,A262)
+COUNTIFS(Equipar!B:B,4,Equipar!F:F,A262)
&gt;0,COUNTIF('Set recomendado'!B:B,C262)=0),
"Bloqueada",
"Desechable")),""
)</f>
        <v/>
      </c>
      <c r="J262" t="str" cm="1">
        <f t="array" aca="1" ref="J262" ca="1">IF(ISNUMBER(A262),IFERROR(_xlfn._xlws.FILTER(Equipar!A:A,(Equipar!B:B=4)*(Equipar!AC:AC=A262)),""),"")</f>
        <v/>
      </c>
    </row>
    <row r="263" spans="1:10" x14ac:dyDescent="0.25">
      <c r="A263" s="3" t="str">
        <f ca="1">IF(A262="ID",1,IF(ISBLANK(B263),"",MAX(A$2:A262)+1))</f>
        <v/>
      </c>
      <c r="I263" s="2" t="str">
        <f ca="1">IF(ISNUMBER(A263),
IF(COUNTIFS(Equipar!B:B,4,Equipar!AC:AC,A263),"Equipada",
IF(
  OR(COUNTIFS(Equipar!B:B,4,Equipar!C:C,A263)
 +COUNTIFS(Equipar!B:B,4,Equipar!D:D,A263)
+COUNTIFS(Equipar!B:B,4,Equipar!E:E,A263)
+COUNTIFS(Equipar!B:B,4,Equipar!F:F,A263)
&gt;0,COUNTIF('Set recomendado'!B:B,C263)=0),
"Bloqueada",
"Desechable")),""
)</f>
        <v/>
      </c>
      <c r="J263" t="str" cm="1">
        <f t="array" aca="1" ref="J263" ca="1">IF(ISNUMBER(A263),IFERROR(_xlfn._xlws.FILTER(Equipar!A:A,(Equipar!B:B=4)*(Equipar!AC:AC=A263)),""),"")</f>
        <v/>
      </c>
    </row>
    <row r="264" spans="1:10" x14ac:dyDescent="0.25">
      <c r="A264" s="3" t="str">
        <f ca="1">IF(A263="ID",1,IF(ISBLANK(B264),"",MAX(A$2:A263)+1))</f>
        <v/>
      </c>
      <c r="I264" s="2" t="str">
        <f ca="1">IF(ISNUMBER(A264),
IF(COUNTIFS(Equipar!B:B,4,Equipar!AC:AC,A264),"Equipada",
IF(
  OR(COUNTIFS(Equipar!B:B,4,Equipar!C:C,A264)
 +COUNTIFS(Equipar!B:B,4,Equipar!D:D,A264)
+COUNTIFS(Equipar!B:B,4,Equipar!E:E,A264)
+COUNTIFS(Equipar!B:B,4,Equipar!F:F,A264)
&gt;0,COUNTIF('Set recomendado'!B:B,C264)=0),
"Bloqueada",
"Desechable")),""
)</f>
        <v/>
      </c>
      <c r="J264" t="str" cm="1">
        <f t="array" aca="1" ref="J264" ca="1">IF(ISNUMBER(A264),IFERROR(_xlfn._xlws.FILTER(Equipar!A:A,(Equipar!B:B=4)*(Equipar!AC:AC=A264)),""),"")</f>
        <v/>
      </c>
    </row>
    <row r="265" spans="1:10" x14ac:dyDescent="0.25">
      <c r="A265" s="3" t="str">
        <f ca="1">IF(A264="ID",1,IF(ISBLANK(B265),"",MAX(A$2:A264)+1))</f>
        <v/>
      </c>
      <c r="I265" s="2" t="str">
        <f ca="1">IF(ISNUMBER(A265),
IF(COUNTIFS(Equipar!B:B,4,Equipar!AC:AC,A265),"Equipada",
IF(
  OR(COUNTIFS(Equipar!B:B,4,Equipar!C:C,A265)
 +COUNTIFS(Equipar!B:B,4,Equipar!D:D,A265)
+COUNTIFS(Equipar!B:B,4,Equipar!E:E,A265)
+COUNTIFS(Equipar!B:B,4,Equipar!F:F,A265)
&gt;0,COUNTIF('Set recomendado'!B:B,C265)=0),
"Bloqueada",
"Desechable")),""
)</f>
        <v/>
      </c>
      <c r="J265" t="str" cm="1">
        <f t="array" aca="1" ref="J265" ca="1">IF(ISNUMBER(A265),IFERROR(_xlfn._xlws.FILTER(Equipar!A:A,(Equipar!B:B=4)*(Equipar!AC:AC=A265)),""),"")</f>
        <v/>
      </c>
    </row>
    <row r="266" spans="1:10" x14ac:dyDescent="0.25">
      <c r="A266" s="3" t="str">
        <f ca="1">IF(A265="ID",1,IF(ISBLANK(B266),"",MAX(A$2:A265)+1))</f>
        <v/>
      </c>
      <c r="I266" s="2" t="str">
        <f ca="1">IF(ISNUMBER(A266),
IF(COUNTIFS(Equipar!B:B,4,Equipar!AC:AC,A266),"Equipada",
IF(
  OR(COUNTIFS(Equipar!B:B,4,Equipar!C:C,A266)
 +COUNTIFS(Equipar!B:B,4,Equipar!D:D,A266)
+COUNTIFS(Equipar!B:B,4,Equipar!E:E,A266)
+COUNTIFS(Equipar!B:B,4,Equipar!F:F,A266)
&gt;0,COUNTIF('Set recomendado'!B:B,C266)=0),
"Bloqueada",
"Desechable")),""
)</f>
        <v/>
      </c>
      <c r="J266" t="str" cm="1">
        <f t="array" aca="1" ref="J266" ca="1">IF(ISNUMBER(A266),IFERROR(_xlfn._xlws.FILTER(Equipar!A:A,(Equipar!B:B=4)*(Equipar!AC:AC=A266)),""),"")</f>
        <v/>
      </c>
    </row>
    <row r="267" spans="1:10" x14ac:dyDescent="0.25">
      <c r="A267" s="3" t="str">
        <f ca="1">IF(A266="ID",1,IF(ISBLANK(B267),"",MAX(A$2:A266)+1))</f>
        <v/>
      </c>
      <c r="I267" s="2" t="str">
        <f ca="1">IF(ISNUMBER(A267),
IF(COUNTIFS(Equipar!B:B,4,Equipar!AC:AC,A267),"Equipada",
IF(
  OR(COUNTIFS(Equipar!B:B,4,Equipar!C:C,A267)
 +COUNTIFS(Equipar!B:B,4,Equipar!D:D,A267)
+COUNTIFS(Equipar!B:B,4,Equipar!E:E,A267)
+COUNTIFS(Equipar!B:B,4,Equipar!F:F,A267)
&gt;0,COUNTIF('Set recomendado'!B:B,C267)=0),
"Bloqueada",
"Desechable")),""
)</f>
        <v/>
      </c>
      <c r="J267" t="str" cm="1">
        <f t="array" aca="1" ref="J267" ca="1">IF(ISNUMBER(A267),IFERROR(_xlfn._xlws.FILTER(Equipar!A:A,(Equipar!B:B=4)*(Equipar!AC:AC=A267)),""),"")</f>
        <v/>
      </c>
    </row>
    <row r="268" spans="1:10" x14ac:dyDescent="0.25">
      <c r="A268" s="3" t="str">
        <f ca="1">IF(A267="ID",1,IF(ISBLANK(B268),"",MAX(A$2:A267)+1))</f>
        <v/>
      </c>
      <c r="I268" s="2" t="str">
        <f ca="1">IF(ISNUMBER(A268),
IF(COUNTIFS(Equipar!B:B,4,Equipar!AC:AC,A268),"Equipada",
IF(
  OR(COUNTIFS(Equipar!B:B,4,Equipar!C:C,A268)
 +COUNTIFS(Equipar!B:B,4,Equipar!D:D,A268)
+COUNTIFS(Equipar!B:B,4,Equipar!E:E,A268)
+COUNTIFS(Equipar!B:B,4,Equipar!F:F,A268)
&gt;0,COUNTIF('Set recomendado'!B:B,C268)=0),
"Bloqueada",
"Desechable")),""
)</f>
        <v/>
      </c>
      <c r="J268" t="str" cm="1">
        <f t="array" aca="1" ref="J268" ca="1">IF(ISNUMBER(A268),IFERROR(_xlfn._xlws.FILTER(Equipar!A:A,(Equipar!B:B=4)*(Equipar!AC:AC=A268)),""),"")</f>
        <v/>
      </c>
    </row>
    <row r="269" spans="1:10" x14ac:dyDescent="0.25">
      <c r="A269" s="3" t="str">
        <f ca="1">IF(A268="ID",1,IF(ISBLANK(B269),"",MAX(A$2:A268)+1))</f>
        <v/>
      </c>
      <c r="I269" s="2" t="str">
        <f ca="1">IF(ISNUMBER(A269),
IF(COUNTIFS(Equipar!B:B,4,Equipar!AC:AC,A269),"Equipada",
IF(
  OR(COUNTIFS(Equipar!B:B,4,Equipar!C:C,A269)
 +COUNTIFS(Equipar!B:B,4,Equipar!D:D,A269)
+COUNTIFS(Equipar!B:B,4,Equipar!E:E,A269)
+COUNTIFS(Equipar!B:B,4,Equipar!F:F,A269)
&gt;0,COUNTIF('Set recomendado'!B:B,C269)=0),
"Bloqueada",
"Desechable")),""
)</f>
        <v/>
      </c>
      <c r="J269" t="str" cm="1">
        <f t="array" aca="1" ref="J269" ca="1">IF(ISNUMBER(A269),IFERROR(_xlfn._xlws.FILTER(Equipar!A:A,(Equipar!B:B=4)*(Equipar!AC:AC=A269)),""),"")</f>
        <v/>
      </c>
    </row>
    <row r="270" spans="1:10" x14ac:dyDescent="0.25">
      <c r="A270" s="3" t="str">
        <f ca="1">IF(A269="ID",1,IF(ISBLANK(B270),"",MAX(A$2:A269)+1))</f>
        <v/>
      </c>
      <c r="I270" s="2" t="str">
        <f ca="1">IF(ISNUMBER(A270),
IF(COUNTIFS(Equipar!B:B,4,Equipar!AC:AC,A270),"Equipada",
IF(
  OR(COUNTIFS(Equipar!B:B,4,Equipar!C:C,A270)
 +COUNTIFS(Equipar!B:B,4,Equipar!D:D,A270)
+COUNTIFS(Equipar!B:B,4,Equipar!E:E,A270)
+COUNTIFS(Equipar!B:B,4,Equipar!F:F,A270)
&gt;0,COUNTIF('Set recomendado'!B:B,C270)=0),
"Bloqueada",
"Desechable")),""
)</f>
        <v/>
      </c>
      <c r="J270" t="str" cm="1">
        <f t="array" aca="1" ref="J270" ca="1">IF(ISNUMBER(A270),IFERROR(_xlfn._xlws.FILTER(Equipar!A:A,(Equipar!B:B=4)*(Equipar!AC:AC=A270)),""),"")</f>
        <v/>
      </c>
    </row>
    <row r="271" spans="1:10" x14ac:dyDescent="0.25">
      <c r="A271" s="3" t="str">
        <f ca="1">IF(A270="ID",1,IF(ISBLANK(B271),"",MAX(A$2:A270)+1))</f>
        <v/>
      </c>
      <c r="I271" s="2" t="str">
        <f ca="1">IF(ISNUMBER(A271),
IF(COUNTIFS(Equipar!B:B,4,Equipar!AC:AC,A271),"Equipada",
IF(
  OR(COUNTIFS(Equipar!B:B,4,Equipar!C:C,A271)
 +COUNTIFS(Equipar!B:B,4,Equipar!D:D,A271)
+COUNTIFS(Equipar!B:B,4,Equipar!E:E,A271)
+COUNTIFS(Equipar!B:B,4,Equipar!F:F,A271)
&gt;0,COUNTIF('Set recomendado'!B:B,C271)=0),
"Bloqueada",
"Desechable")),""
)</f>
        <v/>
      </c>
      <c r="J271" t="str" cm="1">
        <f t="array" aca="1" ref="J271" ca="1">IF(ISNUMBER(A271),IFERROR(_xlfn._xlws.FILTER(Equipar!A:A,(Equipar!B:B=4)*(Equipar!AC:AC=A271)),""),"")</f>
        <v/>
      </c>
    </row>
    <row r="272" spans="1:10" x14ac:dyDescent="0.25">
      <c r="A272" s="3" t="str">
        <f ca="1">IF(A271="ID",1,IF(ISBLANK(B272),"",MAX(A$2:A271)+1))</f>
        <v/>
      </c>
      <c r="I272" s="2" t="str">
        <f ca="1">IF(ISNUMBER(A272),
IF(COUNTIFS(Equipar!B:B,4,Equipar!AC:AC,A272),"Equipada",
IF(
  OR(COUNTIFS(Equipar!B:B,4,Equipar!C:C,A272)
 +COUNTIFS(Equipar!B:B,4,Equipar!D:D,A272)
+COUNTIFS(Equipar!B:B,4,Equipar!E:E,A272)
+COUNTIFS(Equipar!B:B,4,Equipar!F:F,A272)
&gt;0,COUNTIF('Set recomendado'!B:B,C272)=0),
"Bloqueada",
"Desechable")),""
)</f>
        <v/>
      </c>
      <c r="J272" t="str" cm="1">
        <f t="array" aca="1" ref="J272" ca="1">IF(ISNUMBER(A272),IFERROR(_xlfn._xlws.FILTER(Equipar!A:A,(Equipar!B:B=4)*(Equipar!AC:AC=A272)),""),"")</f>
        <v/>
      </c>
    </row>
    <row r="273" spans="1:10" x14ac:dyDescent="0.25">
      <c r="A273" s="3" t="str">
        <f ca="1">IF(A272="ID",1,IF(ISBLANK(B273),"",MAX(A$2:A272)+1))</f>
        <v/>
      </c>
      <c r="I273" s="2" t="str">
        <f ca="1">IF(ISNUMBER(A273),
IF(COUNTIFS(Equipar!B:B,4,Equipar!AC:AC,A273),"Equipada",
IF(
  OR(COUNTIFS(Equipar!B:B,4,Equipar!C:C,A273)
 +COUNTIFS(Equipar!B:B,4,Equipar!D:D,A273)
+COUNTIFS(Equipar!B:B,4,Equipar!E:E,A273)
+COUNTIFS(Equipar!B:B,4,Equipar!F:F,A273)
&gt;0,COUNTIF('Set recomendado'!B:B,C273)=0),
"Bloqueada",
"Desechable")),""
)</f>
        <v/>
      </c>
      <c r="J273" t="str" cm="1">
        <f t="array" aca="1" ref="J273" ca="1">IF(ISNUMBER(A273),IFERROR(_xlfn._xlws.FILTER(Equipar!A:A,(Equipar!B:B=4)*(Equipar!AC:AC=A273)),""),"")</f>
        <v/>
      </c>
    </row>
    <row r="274" spans="1:10" x14ac:dyDescent="0.25">
      <c r="A274" s="3" t="str">
        <f ca="1">IF(A273="ID",1,IF(ISBLANK(B274),"",MAX(A$2:A273)+1))</f>
        <v/>
      </c>
      <c r="I274" s="2" t="str">
        <f ca="1">IF(ISNUMBER(A274),
IF(COUNTIFS(Equipar!B:B,4,Equipar!AC:AC,A274),"Equipada",
IF(
  OR(COUNTIFS(Equipar!B:B,4,Equipar!C:C,A274)
 +COUNTIFS(Equipar!B:B,4,Equipar!D:D,A274)
+COUNTIFS(Equipar!B:B,4,Equipar!E:E,A274)
+COUNTIFS(Equipar!B:B,4,Equipar!F:F,A274)
&gt;0,COUNTIF('Set recomendado'!B:B,C274)=0),
"Bloqueada",
"Desechable")),""
)</f>
        <v/>
      </c>
      <c r="J274" t="str" cm="1">
        <f t="array" aca="1" ref="J274" ca="1">IF(ISNUMBER(A274),IFERROR(_xlfn._xlws.FILTER(Equipar!A:A,(Equipar!B:B=4)*(Equipar!AC:AC=A274)),""),"")</f>
        <v/>
      </c>
    </row>
    <row r="275" spans="1:10" x14ac:dyDescent="0.25">
      <c r="A275" s="3" t="str">
        <f ca="1">IF(A274="ID",1,IF(ISBLANK(B275),"",MAX(A$2:A274)+1))</f>
        <v/>
      </c>
      <c r="I275" s="2" t="str">
        <f ca="1">IF(ISNUMBER(A275),
IF(COUNTIFS(Equipar!B:B,4,Equipar!AC:AC,A275),"Equipada",
IF(
  OR(COUNTIFS(Equipar!B:B,4,Equipar!C:C,A275)
 +COUNTIFS(Equipar!B:B,4,Equipar!D:D,A275)
+COUNTIFS(Equipar!B:B,4,Equipar!E:E,A275)
+COUNTIFS(Equipar!B:B,4,Equipar!F:F,A275)
&gt;0,COUNTIF('Set recomendado'!B:B,C275)=0),
"Bloqueada",
"Desechable")),""
)</f>
        <v/>
      </c>
      <c r="J275" t="str" cm="1">
        <f t="array" aca="1" ref="J275" ca="1">IF(ISNUMBER(A275),IFERROR(_xlfn._xlws.FILTER(Equipar!A:A,(Equipar!B:B=4)*(Equipar!AC:AC=A275)),""),"")</f>
        <v/>
      </c>
    </row>
    <row r="276" spans="1:10" x14ac:dyDescent="0.25">
      <c r="A276" s="3" t="str">
        <f ca="1">IF(A275="ID",1,IF(ISBLANK(B276),"",MAX(A$2:A275)+1))</f>
        <v/>
      </c>
      <c r="I276" s="2" t="str">
        <f ca="1">IF(ISNUMBER(A276),
IF(COUNTIFS(Equipar!B:B,4,Equipar!AC:AC,A276),"Equipada",
IF(
  OR(COUNTIFS(Equipar!B:B,4,Equipar!C:C,A276)
 +COUNTIFS(Equipar!B:B,4,Equipar!D:D,A276)
+COUNTIFS(Equipar!B:B,4,Equipar!E:E,A276)
+COUNTIFS(Equipar!B:B,4,Equipar!F:F,A276)
&gt;0,COUNTIF('Set recomendado'!B:B,C276)=0),
"Bloqueada",
"Desechable")),""
)</f>
        <v/>
      </c>
      <c r="J276" t="str" cm="1">
        <f t="array" aca="1" ref="J276" ca="1">IF(ISNUMBER(A276),IFERROR(_xlfn._xlws.FILTER(Equipar!A:A,(Equipar!B:B=4)*(Equipar!AC:AC=A276)),""),"")</f>
        <v/>
      </c>
    </row>
    <row r="277" spans="1:10" x14ac:dyDescent="0.25">
      <c r="A277" s="3" t="str">
        <f ca="1">IF(A276="ID",1,IF(ISBLANK(B277),"",MAX(A$2:A276)+1))</f>
        <v/>
      </c>
      <c r="I277" s="2" t="str">
        <f ca="1">IF(ISNUMBER(A277),
IF(COUNTIFS(Equipar!B:B,4,Equipar!AC:AC,A277),"Equipada",
IF(
  OR(COUNTIFS(Equipar!B:B,4,Equipar!C:C,A277)
 +COUNTIFS(Equipar!B:B,4,Equipar!D:D,A277)
+COUNTIFS(Equipar!B:B,4,Equipar!E:E,A277)
+COUNTIFS(Equipar!B:B,4,Equipar!F:F,A277)
&gt;0,COUNTIF('Set recomendado'!B:B,C277)=0),
"Bloqueada",
"Desechable")),""
)</f>
        <v/>
      </c>
      <c r="J277" t="str" cm="1">
        <f t="array" aca="1" ref="J277" ca="1">IF(ISNUMBER(A277),IFERROR(_xlfn._xlws.FILTER(Equipar!A:A,(Equipar!B:B=4)*(Equipar!AC:AC=A277)),""),"")</f>
        <v/>
      </c>
    </row>
    <row r="278" spans="1:10" x14ac:dyDescent="0.25">
      <c r="A278" s="3" t="str">
        <f ca="1">IF(A277="ID",1,IF(ISBLANK(B278),"",MAX(A$2:A277)+1))</f>
        <v/>
      </c>
      <c r="I278" s="2" t="str">
        <f ca="1">IF(ISNUMBER(A278),
IF(COUNTIFS(Equipar!B:B,4,Equipar!AC:AC,A278),"Equipada",
IF(
  OR(COUNTIFS(Equipar!B:B,4,Equipar!C:C,A278)
 +COUNTIFS(Equipar!B:B,4,Equipar!D:D,A278)
+COUNTIFS(Equipar!B:B,4,Equipar!E:E,A278)
+COUNTIFS(Equipar!B:B,4,Equipar!F:F,A278)
&gt;0,COUNTIF('Set recomendado'!B:B,C278)=0),
"Bloqueada",
"Desechable")),""
)</f>
        <v/>
      </c>
      <c r="J278" t="str" cm="1">
        <f t="array" aca="1" ref="J278" ca="1">IF(ISNUMBER(A278),IFERROR(_xlfn._xlws.FILTER(Equipar!A:A,(Equipar!B:B=4)*(Equipar!AC:AC=A278)),""),"")</f>
        <v/>
      </c>
    </row>
    <row r="279" spans="1:10" x14ac:dyDescent="0.25">
      <c r="A279" s="3" t="str">
        <f ca="1">IF(A278="ID",1,IF(ISBLANK(B279),"",MAX(A$2:A278)+1))</f>
        <v/>
      </c>
      <c r="I279" s="2" t="str">
        <f ca="1">IF(ISNUMBER(A279),
IF(COUNTIFS(Equipar!B:B,4,Equipar!AC:AC,A279),"Equipada",
IF(
  OR(COUNTIFS(Equipar!B:B,4,Equipar!C:C,A279)
 +COUNTIFS(Equipar!B:B,4,Equipar!D:D,A279)
+COUNTIFS(Equipar!B:B,4,Equipar!E:E,A279)
+COUNTIFS(Equipar!B:B,4,Equipar!F:F,A279)
&gt;0,COUNTIF('Set recomendado'!B:B,C279)=0),
"Bloqueada",
"Desechable")),""
)</f>
        <v/>
      </c>
      <c r="J279" t="str" cm="1">
        <f t="array" aca="1" ref="J279" ca="1">IF(ISNUMBER(A279),IFERROR(_xlfn._xlws.FILTER(Equipar!A:A,(Equipar!B:B=4)*(Equipar!AC:AC=A279)),""),"")</f>
        <v/>
      </c>
    </row>
    <row r="280" spans="1:10" x14ac:dyDescent="0.25">
      <c r="A280" s="3" t="str">
        <f ca="1">IF(A279="ID",1,IF(ISBLANK(B280),"",MAX(A$2:A279)+1))</f>
        <v/>
      </c>
      <c r="I280" s="2" t="str">
        <f ca="1">IF(ISNUMBER(A280),
IF(COUNTIFS(Equipar!B:B,4,Equipar!AC:AC,A280),"Equipada",
IF(
  OR(COUNTIFS(Equipar!B:B,4,Equipar!C:C,A280)
 +COUNTIFS(Equipar!B:B,4,Equipar!D:D,A280)
+COUNTIFS(Equipar!B:B,4,Equipar!E:E,A280)
+COUNTIFS(Equipar!B:B,4,Equipar!F:F,A280)
&gt;0,COUNTIF('Set recomendado'!B:B,C280)=0),
"Bloqueada",
"Desechable")),""
)</f>
        <v/>
      </c>
      <c r="J280" t="str" cm="1">
        <f t="array" aca="1" ref="J280" ca="1">IF(ISNUMBER(A280),IFERROR(_xlfn._xlws.FILTER(Equipar!A:A,(Equipar!B:B=4)*(Equipar!AC:AC=A280)),""),"")</f>
        <v/>
      </c>
    </row>
    <row r="281" spans="1:10" x14ac:dyDescent="0.25">
      <c r="A281" s="3" t="str">
        <f ca="1">IF(A280="ID",1,IF(ISBLANK(B281),"",MAX(A$2:A280)+1))</f>
        <v/>
      </c>
      <c r="I281" s="2" t="str">
        <f ca="1">IF(ISNUMBER(A281),
IF(COUNTIFS(Equipar!B:B,4,Equipar!AC:AC,A281),"Equipada",
IF(
  OR(COUNTIFS(Equipar!B:B,4,Equipar!C:C,A281)
 +COUNTIFS(Equipar!B:B,4,Equipar!D:D,A281)
+COUNTIFS(Equipar!B:B,4,Equipar!E:E,A281)
+COUNTIFS(Equipar!B:B,4,Equipar!F:F,A281)
&gt;0,COUNTIF('Set recomendado'!B:B,C281)=0),
"Bloqueada",
"Desechable")),""
)</f>
        <v/>
      </c>
      <c r="J281" t="str" cm="1">
        <f t="array" aca="1" ref="J281" ca="1">IF(ISNUMBER(A281),IFERROR(_xlfn._xlws.FILTER(Equipar!A:A,(Equipar!B:B=4)*(Equipar!AC:AC=A281)),""),"")</f>
        <v/>
      </c>
    </row>
    <row r="282" spans="1:10" x14ac:dyDescent="0.25">
      <c r="A282" s="3" t="str">
        <f ca="1">IF(A281="ID",1,IF(ISBLANK(B282),"",MAX(A$2:A281)+1))</f>
        <v/>
      </c>
      <c r="I282" s="2" t="str">
        <f ca="1">IF(ISNUMBER(A282),
IF(COUNTIFS(Equipar!B:B,4,Equipar!AC:AC,A282),"Equipada",
IF(
  OR(COUNTIFS(Equipar!B:B,4,Equipar!C:C,A282)
 +COUNTIFS(Equipar!B:B,4,Equipar!D:D,A282)
+COUNTIFS(Equipar!B:B,4,Equipar!E:E,A282)
+COUNTIFS(Equipar!B:B,4,Equipar!F:F,A282)
&gt;0,COUNTIF('Set recomendado'!B:B,C282)=0),
"Bloqueada",
"Desechable")),""
)</f>
        <v/>
      </c>
      <c r="J282" t="str" cm="1">
        <f t="array" aca="1" ref="J282" ca="1">IF(ISNUMBER(A282),IFERROR(_xlfn._xlws.FILTER(Equipar!A:A,(Equipar!B:B=4)*(Equipar!AC:AC=A282)),""),"")</f>
        <v/>
      </c>
    </row>
    <row r="283" spans="1:10" x14ac:dyDescent="0.25">
      <c r="A283" s="3" t="str">
        <f ca="1">IF(A282="ID",1,IF(ISBLANK(B283),"",MAX(A$2:A282)+1))</f>
        <v/>
      </c>
      <c r="I283" s="2" t="str">
        <f ca="1">IF(ISNUMBER(A283),
IF(COUNTIFS(Equipar!B:B,4,Equipar!AC:AC,A283),"Equipada",
IF(
  OR(COUNTIFS(Equipar!B:B,4,Equipar!C:C,A283)
 +COUNTIFS(Equipar!B:B,4,Equipar!D:D,A283)
+COUNTIFS(Equipar!B:B,4,Equipar!E:E,A283)
+COUNTIFS(Equipar!B:B,4,Equipar!F:F,A283)
&gt;0,COUNTIF('Set recomendado'!B:B,C283)=0),
"Bloqueada",
"Desechable")),""
)</f>
        <v/>
      </c>
      <c r="J283" t="str" cm="1">
        <f t="array" aca="1" ref="J283" ca="1">IF(ISNUMBER(A283),IFERROR(_xlfn._xlws.FILTER(Equipar!A:A,(Equipar!B:B=4)*(Equipar!AC:AC=A283)),""),"")</f>
        <v/>
      </c>
    </row>
    <row r="284" spans="1:10" x14ac:dyDescent="0.25">
      <c r="A284" s="3" t="str">
        <f ca="1">IF(A283="ID",1,IF(ISBLANK(B284),"",MAX(A$2:A283)+1))</f>
        <v/>
      </c>
      <c r="I284" s="2" t="str">
        <f ca="1">IF(ISNUMBER(A284),
IF(COUNTIFS(Equipar!B:B,4,Equipar!AC:AC,A284),"Equipada",
IF(
  OR(COUNTIFS(Equipar!B:B,4,Equipar!C:C,A284)
 +COUNTIFS(Equipar!B:B,4,Equipar!D:D,A284)
+COUNTIFS(Equipar!B:B,4,Equipar!E:E,A284)
+COUNTIFS(Equipar!B:B,4,Equipar!F:F,A284)
&gt;0,COUNTIF('Set recomendado'!B:B,C284)=0),
"Bloqueada",
"Desechable")),""
)</f>
        <v/>
      </c>
      <c r="J284" t="str" cm="1">
        <f t="array" aca="1" ref="J284" ca="1">IF(ISNUMBER(A284),IFERROR(_xlfn._xlws.FILTER(Equipar!A:A,(Equipar!B:B=4)*(Equipar!AC:AC=A284)),""),"")</f>
        <v/>
      </c>
    </row>
    <row r="285" spans="1:10" x14ac:dyDescent="0.25">
      <c r="A285" s="3" t="str">
        <f ca="1">IF(A284="ID",1,IF(ISBLANK(B285),"",MAX(A$2:A284)+1))</f>
        <v/>
      </c>
      <c r="I285" s="2" t="str">
        <f ca="1">IF(ISNUMBER(A285),
IF(COUNTIFS(Equipar!B:B,4,Equipar!AC:AC,A285),"Equipada",
IF(
  OR(COUNTIFS(Equipar!B:B,4,Equipar!C:C,A285)
 +COUNTIFS(Equipar!B:B,4,Equipar!D:D,A285)
+COUNTIFS(Equipar!B:B,4,Equipar!E:E,A285)
+COUNTIFS(Equipar!B:B,4,Equipar!F:F,A285)
&gt;0,COUNTIF('Set recomendado'!B:B,C285)=0),
"Bloqueada",
"Desechable")),""
)</f>
        <v/>
      </c>
      <c r="J285" t="str" cm="1">
        <f t="array" aca="1" ref="J285" ca="1">IF(ISNUMBER(A285),IFERROR(_xlfn._xlws.FILTER(Equipar!A:A,(Equipar!B:B=4)*(Equipar!AC:AC=A285)),""),"")</f>
        <v/>
      </c>
    </row>
    <row r="286" spans="1:10" x14ac:dyDescent="0.25">
      <c r="A286" s="3" t="str">
        <f ca="1">IF(A285="ID",1,IF(ISBLANK(B286),"",MAX(A$2:A285)+1))</f>
        <v/>
      </c>
      <c r="I286" s="2" t="str">
        <f ca="1">IF(ISNUMBER(A286),
IF(COUNTIFS(Equipar!B:B,4,Equipar!AC:AC,A286),"Equipada",
IF(
  OR(COUNTIFS(Equipar!B:B,4,Equipar!C:C,A286)
 +COUNTIFS(Equipar!B:B,4,Equipar!D:D,A286)
+COUNTIFS(Equipar!B:B,4,Equipar!E:E,A286)
+COUNTIFS(Equipar!B:B,4,Equipar!F:F,A286)
&gt;0,COUNTIF('Set recomendado'!B:B,C286)=0),
"Bloqueada",
"Desechable")),""
)</f>
        <v/>
      </c>
      <c r="J286" t="str" cm="1">
        <f t="array" aca="1" ref="J286" ca="1">IF(ISNUMBER(A286),IFERROR(_xlfn._xlws.FILTER(Equipar!A:A,(Equipar!B:B=4)*(Equipar!AC:AC=A286)),""),"")</f>
        <v/>
      </c>
    </row>
    <row r="287" spans="1:10" x14ac:dyDescent="0.25">
      <c r="A287" s="3" t="str">
        <f ca="1">IF(A286="ID",1,IF(ISBLANK(B287),"",MAX(A$2:A286)+1))</f>
        <v/>
      </c>
      <c r="I287" s="2" t="str">
        <f ca="1">IF(ISNUMBER(A287),
IF(COUNTIFS(Equipar!B:B,4,Equipar!AC:AC,A287),"Equipada",
IF(
  OR(COUNTIFS(Equipar!B:B,4,Equipar!C:C,A287)
 +COUNTIFS(Equipar!B:B,4,Equipar!D:D,A287)
+COUNTIFS(Equipar!B:B,4,Equipar!E:E,A287)
+COUNTIFS(Equipar!B:B,4,Equipar!F:F,A287)
&gt;0,COUNTIF('Set recomendado'!B:B,C287)=0),
"Bloqueada",
"Desechable")),""
)</f>
        <v/>
      </c>
      <c r="J287" t="str" cm="1">
        <f t="array" aca="1" ref="J287" ca="1">IF(ISNUMBER(A287),IFERROR(_xlfn._xlws.FILTER(Equipar!A:A,(Equipar!B:B=4)*(Equipar!AC:AC=A287)),""),"")</f>
        <v/>
      </c>
    </row>
    <row r="288" spans="1:10" x14ac:dyDescent="0.25">
      <c r="A288" s="3" t="str">
        <f ca="1">IF(A287="ID",1,IF(ISBLANK(B288),"",MAX(A$2:A287)+1))</f>
        <v/>
      </c>
      <c r="I288" s="2" t="str">
        <f ca="1">IF(ISNUMBER(A288),
IF(COUNTIFS(Equipar!B:B,4,Equipar!AC:AC,A288),"Equipada",
IF(
  OR(COUNTIFS(Equipar!B:B,4,Equipar!C:C,A288)
 +COUNTIFS(Equipar!B:B,4,Equipar!D:D,A288)
+COUNTIFS(Equipar!B:B,4,Equipar!E:E,A288)
+COUNTIFS(Equipar!B:B,4,Equipar!F:F,A288)
&gt;0,COUNTIF('Set recomendado'!B:B,C288)=0),
"Bloqueada",
"Desechable")),""
)</f>
        <v/>
      </c>
      <c r="J288" t="str" cm="1">
        <f t="array" aca="1" ref="J288" ca="1">IF(ISNUMBER(A288),IFERROR(_xlfn._xlws.FILTER(Equipar!A:A,(Equipar!B:B=4)*(Equipar!AC:AC=A288)),""),"")</f>
        <v/>
      </c>
    </row>
    <row r="289" spans="1:10" x14ac:dyDescent="0.25">
      <c r="A289" s="3" t="str">
        <f ca="1">IF(A288="ID",1,IF(ISBLANK(B289),"",MAX(A$2:A288)+1))</f>
        <v/>
      </c>
      <c r="I289" s="2" t="str">
        <f ca="1">IF(ISNUMBER(A289),
IF(COUNTIFS(Equipar!B:B,4,Equipar!AC:AC,A289),"Equipada",
IF(
  OR(COUNTIFS(Equipar!B:B,4,Equipar!C:C,A289)
 +COUNTIFS(Equipar!B:B,4,Equipar!D:D,A289)
+COUNTIFS(Equipar!B:B,4,Equipar!E:E,A289)
+COUNTIFS(Equipar!B:B,4,Equipar!F:F,A289)
&gt;0,COUNTIF('Set recomendado'!B:B,C289)=0),
"Bloqueada",
"Desechable")),""
)</f>
        <v/>
      </c>
      <c r="J289" t="str" cm="1">
        <f t="array" aca="1" ref="J289" ca="1">IF(ISNUMBER(A289),IFERROR(_xlfn._xlws.FILTER(Equipar!A:A,(Equipar!B:B=4)*(Equipar!AC:AC=A289)),""),"")</f>
        <v/>
      </c>
    </row>
    <row r="290" spans="1:10" x14ac:dyDescent="0.25">
      <c r="A290" s="3" t="str">
        <f ca="1">IF(A289="ID",1,IF(ISBLANK(B290),"",MAX(A$2:A289)+1))</f>
        <v/>
      </c>
      <c r="I290" s="2" t="str">
        <f ca="1">IF(ISNUMBER(A290),
IF(COUNTIFS(Equipar!B:B,4,Equipar!AC:AC,A290),"Equipada",
IF(
  OR(COUNTIFS(Equipar!B:B,4,Equipar!C:C,A290)
 +COUNTIFS(Equipar!B:B,4,Equipar!D:D,A290)
+COUNTIFS(Equipar!B:B,4,Equipar!E:E,A290)
+COUNTIFS(Equipar!B:B,4,Equipar!F:F,A290)
&gt;0,COUNTIF('Set recomendado'!B:B,C290)=0),
"Bloqueada",
"Desechable")),""
)</f>
        <v/>
      </c>
      <c r="J290" t="str" cm="1">
        <f t="array" aca="1" ref="J290" ca="1">IF(ISNUMBER(A290),IFERROR(_xlfn._xlws.FILTER(Equipar!A:A,(Equipar!B:B=4)*(Equipar!AC:AC=A290)),""),"")</f>
        <v/>
      </c>
    </row>
    <row r="291" spans="1:10" x14ac:dyDescent="0.25">
      <c r="A291" s="3" t="str">
        <f ca="1">IF(A290="ID",1,IF(ISBLANK(B291),"",MAX(A$2:A290)+1))</f>
        <v/>
      </c>
      <c r="I291" s="2" t="str">
        <f ca="1">IF(ISNUMBER(A291),
IF(COUNTIFS(Equipar!B:B,4,Equipar!AC:AC,A291),"Equipada",
IF(
  OR(COUNTIFS(Equipar!B:B,4,Equipar!C:C,A291)
 +COUNTIFS(Equipar!B:B,4,Equipar!D:D,A291)
+COUNTIFS(Equipar!B:B,4,Equipar!E:E,A291)
+COUNTIFS(Equipar!B:B,4,Equipar!F:F,A291)
&gt;0,COUNTIF('Set recomendado'!B:B,C291)=0),
"Bloqueada",
"Desechable")),""
)</f>
        <v/>
      </c>
      <c r="J291" t="str" cm="1">
        <f t="array" aca="1" ref="J291" ca="1">IF(ISNUMBER(A291),IFERROR(_xlfn._xlws.FILTER(Equipar!A:A,(Equipar!B:B=4)*(Equipar!AC:AC=A291)),""),"")</f>
        <v/>
      </c>
    </row>
    <row r="292" spans="1:10" x14ac:dyDescent="0.25">
      <c r="A292" s="3" t="str">
        <f ca="1">IF(A291="ID",1,IF(ISBLANK(B292),"",MAX(A$2:A291)+1))</f>
        <v/>
      </c>
      <c r="I292" s="2" t="str">
        <f ca="1">IF(ISNUMBER(A292),
IF(COUNTIFS(Equipar!B:B,4,Equipar!AC:AC,A292),"Equipada",
IF(
  OR(COUNTIFS(Equipar!B:B,4,Equipar!C:C,A292)
 +COUNTIFS(Equipar!B:B,4,Equipar!D:D,A292)
+COUNTIFS(Equipar!B:B,4,Equipar!E:E,A292)
+COUNTIFS(Equipar!B:B,4,Equipar!F:F,A292)
&gt;0,COUNTIF('Set recomendado'!B:B,C292)=0),
"Bloqueada",
"Desechable")),""
)</f>
        <v/>
      </c>
      <c r="J292" t="str" cm="1">
        <f t="array" aca="1" ref="J292" ca="1">IF(ISNUMBER(A292),IFERROR(_xlfn._xlws.FILTER(Equipar!A:A,(Equipar!B:B=4)*(Equipar!AC:AC=A292)),""),"")</f>
        <v/>
      </c>
    </row>
    <row r="293" spans="1:10" x14ac:dyDescent="0.25">
      <c r="A293" s="3" t="str">
        <f ca="1">IF(A292="ID",1,IF(ISBLANK(B293),"",MAX(A$2:A292)+1))</f>
        <v/>
      </c>
      <c r="I293" s="2" t="str">
        <f ca="1">IF(ISNUMBER(A293),
IF(COUNTIFS(Equipar!B:B,4,Equipar!AC:AC,A293),"Equipada",
IF(
  OR(COUNTIFS(Equipar!B:B,4,Equipar!C:C,A293)
 +COUNTIFS(Equipar!B:B,4,Equipar!D:D,A293)
+COUNTIFS(Equipar!B:B,4,Equipar!E:E,A293)
+COUNTIFS(Equipar!B:B,4,Equipar!F:F,A293)
&gt;0,COUNTIF('Set recomendado'!B:B,C293)=0),
"Bloqueada",
"Desechable")),""
)</f>
        <v/>
      </c>
      <c r="J293" t="str" cm="1">
        <f t="array" aca="1" ref="J293" ca="1">IF(ISNUMBER(A293),IFERROR(_xlfn._xlws.FILTER(Equipar!A:A,(Equipar!B:B=4)*(Equipar!AC:AC=A293)),""),"")</f>
        <v/>
      </c>
    </row>
    <row r="294" spans="1:10" x14ac:dyDescent="0.25">
      <c r="A294" s="3" t="str">
        <f ca="1">IF(A293="ID",1,IF(ISBLANK(B294),"",MAX(A$2:A293)+1))</f>
        <v/>
      </c>
      <c r="I294" s="2" t="str">
        <f ca="1">IF(ISNUMBER(A294),
IF(COUNTIFS(Equipar!B:B,4,Equipar!AC:AC,A294),"Equipada",
IF(
  OR(COUNTIFS(Equipar!B:B,4,Equipar!C:C,A294)
 +COUNTIFS(Equipar!B:B,4,Equipar!D:D,A294)
+COUNTIFS(Equipar!B:B,4,Equipar!E:E,A294)
+COUNTIFS(Equipar!B:B,4,Equipar!F:F,A294)
&gt;0,COUNTIF('Set recomendado'!B:B,C294)=0),
"Bloqueada",
"Desechable")),""
)</f>
        <v/>
      </c>
      <c r="J294" t="str" cm="1">
        <f t="array" aca="1" ref="J294" ca="1">IF(ISNUMBER(A294),IFERROR(_xlfn._xlws.FILTER(Equipar!A:A,(Equipar!B:B=4)*(Equipar!AC:AC=A294)),""),"")</f>
        <v/>
      </c>
    </row>
    <row r="295" spans="1:10" x14ac:dyDescent="0.25">
      <c r="A295" s="3" t="str">
        <f ca="1">IF(A294="ID",1,IF(ISBLANK(B295),"",MAX(A$2:A294)+1))</f>
        <v/>
      </c>
      <c r="I295" s="2" t="str">
        <f ca="1">IF(ISNUMBER(A295),
IF(COUNTIFS(Equipar!B:B,4,Equipar!AC:AC,A295),"Equipada",
IF(
  OR(COUNTIFS(Equipar!B:B,4,Equipar!C:C,A295)
 +COUNTIFS(Equipar!B:B,4,Equipar!D:D,A295)
+COUNTIFS(Equipar!B:B,4,Equipar!E:E,A295)
+COUNTIFS(Equipar!B:B,4,Equipar!F:F,A295)
&gt;0,COUNTIF('Set recomendado'!B:B,C295)=0),
"Bloqueada",
"Desechable")),""
)</f>
        <v/>
      </c>
      <c r="J295" t="str" cm="1">
        <f t="array" aca="1" ref="J295" ca="1">IF(ISNUMBER(A295),IFERROR(_xlfn._xlws.FILTER(Equipar!A:A,(Equipar!B:B=4)*(Equipar!AC:AC=A295)),""),"")</f>
        <v/>
      </c>
    </row>
    <row r="296" spans="1:10" x14ac:dyDescent="0.25">
      <c r="A296" s="3" t="str">
        <f ca="1">IF(A295="ID",1,IF(ISBLANK(B296),"",MAX(A$2:A295)+1))</f>
        <v/>
      </c>
      <c r="I296" s="2" t="str">
        <f ca="1">IF(ISNUMBER(A296),
IF(COUNTIFS(Equipar!B:B,4,Equipar!AC:AC,A296),"Equipada",
IF(
  OR(COUNTIFS(Equipar!B:B,4,Equipar!C:C,A296)
 +COUNTIFS(Equipar!B:B,4,Equipar!D:D,A296)
+COUNTIFS(Equipar!B:B,4,Equipar!E:E,A296)
+COUNTIFS(Equipar!B:B,4,Equipar!F:F,A296)
&gt;0,COUNTIF('Set recomendado'!B:B,C296)=0),
"Bloqueada",
"Desechable")),""
)</f>
        <v/>
      </c>
      <c r="J296" t="str" cm="1">
        <f t="array" aca="1" ref="J296" ca="1">IF(ISNUMBER(A296),IFERROR(_xlfn._xlws.FILTER(Equipar!A:A,(Equipar!B:B=4)*(Equipar!AC:AC=A296)),""),"")</f>
        <v/>
      </c>
    </row>
    <row r="297" spans="1:10" x14ac:dyDescent="0.25">
      <c r="A297" s="3" t="str">
        <f ca="1">IF(A296="ID",1,IF(ISBLANK(B297),"",MAX(A$2:A296)+1))</f>
        <v/>
      </c>
      <c r="I297" s="2" t="str">
        <f ca="1">IF(ISNUMBER(A297),
IF(COUNTIFS(Equipar!B:B,4,Equipar!AC:AC,A297),"Equipada",
IF(
  OR(COUNTIFS(Equipar!B:B,4,Equipar!C:C,A297)
 +COUNTIFS(Equipar!B:B,4,Equipar!D:D,A297)
+COUNTIFS(Equipar!B:B,4,Equipar!E:E,A297)
+COUNTIFS(Equipar!B:B,4,Equipar!F:F,A297)
&gt;0,COUNTIF('Set recomendado'!B:B,C297)=0),
"Bloqueada",
"Desechable")),""
)</f>
        <v/>
      </c>
      <c r="J297" t="str" cm="1">
        <f t="array" aca="1" ref="J297" ca="1">IF(ISNUMBER(A297),IFERROR(_xlfn._xlws.FILTER(Equipar!A:A,(Equipar!B:B=4)*(Equipar!AC:AC=A297)),""),"")</f>
        <v/>
      </c>
    </row>
    <row r="298" spans="1:10" x14ac:dyDescent="0.25">
      <c r="A298" s="3" t="str">
        <f ca="1">IF(A297="ID",1,IF(ISBLANK(B298),"",MAX(A$2:A297)+1))</f>
        <v/>
      </c>
      <c r="I298" s="2" t="str">
        <f ca="1">IF(ISNUMBER(A298),
IF(COUNTIFS(Equipar!B:B,4,Equipar!AC:AC,A298),"Equipada",
IF(
  OR(COUNTIFS(Equipar!B:B,4,Equipar!C:C,A298)
 +COUNTIFS(Equipar!B:B,4,Equipar!D:D,A298)
+COUNTIFS(Equipar!B:B,4,Equipar!E:E,A298)
+COUNTIFS(Equipar!B:B,4,Equipar!F:F,A298)
&gt;0,COUNTIF('Set recomendado'!B:B,C298)=0),
"Bloqueada",
"Desechable")),""
)</f>
        <v/>
      </c>
      <c r="J298" t="str" cm="1">
        <f t="array" aca="1" ref="J298" ca="1">IF(ISNUMBER(A298),IFERROR(_xlfn._xlws.FILTER(Equipar!A:A,(Equipar!B:B=4)*(Equipar!AC:AC=A298)),""),"")</f>
        <v/>
      </c>
    </row>
    <row r="299" spans="1:10" x14ac:dyDescent="0.25">
      <c r="A299" s="3" t="str">
        <f ca="1">IF(A298="ID",1,IF(ISBLANK(B299),"",MAX(A$2:A298)+1))</f>
        <v/>
      </c>
      <c r="I299" s="2" t="str">
        <f ca="1">IF(ISNUMBER(A299),
IF(COUNTIFS(Equipar!B:B,4,Equipar!AC:AC,A299),"Equipada",
IF(
  OR(COUNTIFS(Equipar!B:B,4,Equipar!C:C,A299)
 +COUNTIFS(Equipar!B:B,4,Equipar!D:D,A299)
+COUNTIFS(Equipar!B:B,4,Equipar!E:E,A299)
+COUNTIFS(Equipar!B:B,4,Equipar!F:F,A299)
&gt;0,COUNTIF('Set recomendado'!B:B,C299)=0),
"Bloqueada",
"Desechable")),""
)</f>
        <v/>
      </c>
      <c r="J299" t="str" cm="1">
        <f t="array" aca="1" ref="J299" ca="1">IF(ISNUMBER(A299),IFERROR(_xlfn._xlws.FILTER(Equipar!A:A,(Equipar!B:B=4)*(Equipar!AC:AC=A299)),""),"")</f>
        <v/>
      </c>
    </row>
    <row r="300" spans="1:10" x14ac:dyDescent="0.25">
      <c r="A300" s="3" t="str">
        <f ca="1">IF(A299="ID",1,IF(ISBLANK(B300),"",MAX(A$2:A299)+1))</f>
        <v/>
      </c>
      <c r="I300" s="2" t="str">
        <f ca="1">IF(ISNUMBER(A300),
IF(COUNTIFS(Equipar!B:B,4,Equipar!AC:AC,A300),"Equipada",
IF(
  OR(COUNTIFS(Equipar!B:B,4,Equipar!C:C,A300)
 +COUNTIFS(Equipar!B:B,4,Equipar!D:D,A300)
+COUNTIFS(Equipar!B:B,4,Equipar!E:E,A300)
+COUNTIFS(Equipar!B:B,4,Equipar!F:F,A300)
&gt;0,COUNTIF('Set recomendado'!B:B,C300)=0),
"Bloqueada",
"Desechable")),""
)</f>
        <v/>
      </c>
      <c r="J300" t="str" cm="1">
        <f t="array" aca="1" ref="J300" ca="1">IF(ISNUMBER(A300),IFERROR(_xlfn._xlws.FILTER(Equipar!A:A,(Equipar!B:B=4)*(Equipar!AC:AC=A300)),""),"")</f>
        <v/>
      </c>
    </row>
    <row r="301" spans="1:10" x14ac:dyDescent="0.25">
      <c r="A301" s="3" t="str">
        <f ca="1">IF(A300="ID",1,IF(ISBLANK(B301),"",MAX(A$2:A300)+1))</f>
        <v/>
      </c>
      <c r="I301" s="2" t="str">
        <f ca="1">IF(ISNUMBER(A301),
IF(COUNTIFS(Equipar!B:B,4,Equipar!AC:AC,A301),"Equipada",
IF(
  OR(COUNTIFS(Equipar!B:B,4,Equipar!C:C,A301)
 +COUNTIFS(Equipar!B:B,4,Equipar!D:D,A301)
+COUNTIFS(Equipar!B:B,4,Equipar!E:E,A301)
+COUNTIFS(Equipar!B:B,4,Equipar!F:F,A301)
&gt;0,COUNTIF('Set recomendado'!B:B,C301)=0),
"Bloqueada",
"Desechable")),""
)</f>
        <v/>
      </c>
      <c r="J301" t="str" cm="1">
        <f t="array" aca="1" ref="J301" ca="1">IF(ISNUMBER(A301),IFERROR(_xlfn._xlws.FILTER(Equipar!A:A,(Equipar!B:B=4)*(Equipar!AC:AC=A301)),""),"")</f>
        <v/>
      </c>
    </row>
    <row r="302" spans="1:10" x14ac:dyDescent="0.25">
      <c r="A302" s="3" t="str">
        <f ca="1">IF(A301="ID",1,IF(ISBLANK(B302),"",MAX(A$2:A301)+1))</f>
        <v/>
      </c>
      <c r="I302" s="2" t="str">
        <f ca="1">IF(ISNUMBER(A302),
IF(COUNTIFS(Equipar!B:B,4,Equipar!AC:AC,A302),"Equipada",
IF(
  OR(COUNTIFS(Equipar!B:B,4,Equipar!C:C,A302)
 +COUNTIFS(Equipar!B:B,4,Equipar!D:D,A302)
+COUNTIFS(Equipar!B:B,4,Equipar!E:E,A302)
+COUNTIFS(Equipar!B:B,4,Equipar!F:F,A302)
&gt;0,COUNTIF('Set recomendado'!B:B,C302)=0),
"Bloqueada",
"Desechable")),""
)</f>
        <v/>
      </c>
      <c r="J302" t="str" cm="1">
        <f t="array" aca="1" ref="J302" ca="1">IF(ISNUMBER(A302),IFERROR(_xlfn._xlws.FILTER(Equipar!A:A,(Equipar!B:B=4)*(Equipar!AC:AC=A302)),""),"")</f>
        <v/>
      </c>
    </row>
    <row r="303" spans="1:10" x14ac:dyDescent="0.25">
      <c r="A303" s="3" t="str">
        <f ca="1">IF(A302="ID",1,IF(ISBLANK(B303),"",MAX(A$2:A302)+1))</f>
        <v/>
      </c>
      <c r="I303" s="2" t="str">
        <f ca="1">IF(ISNUMBER(A303),
IF(COUNTIFS(Equipar!B:B,4,Equipar!AC:AC,A303),"Equipada",
IF(
  OR(COUNTIFS(Equipar!B:B,4,Equipar!C:C,A303)
 +COUNTIFS(Equipar!B:B,4,Equipar!D:D,A303)
+COUNTIFS(Equipar!B:B,4,Equipar!E:E,A303)
+COUNTIFS(Equipar!B:B,4,Equipar!F:F,A303)
&gt;0,COUNTIF('Set recomendado'!B:B,C303)=0),
"Bloqueada",
"Desechable")),""
)</f>
        <v/>
      </c>
      <c r="J303" t="str" cm="1">
        <f t="array" aca="1" ref="J303" ca="1">IF(ISNUMBER(A303),IFERROR(_xlfn._xlws.FILTER(Equipar!A:A,(Equipar!B:B=4)*(Equipar!AC:AC=A303)),""),"")</f>
        <v/>
      </c>
    </row>
    <row r="304" spans="1:10" x14ac:dyDescent="0.25">
      <c r="A304" s="3" t="str">
        <f ca="1">IF(A303="ID",1,IF(ISBLANK(B304),"",MAX(A$2:A303)+1))</f>
        <v/>
      </c>
      <c r="I304" s="2" t="str">
        <f ca="1">IF(ISNUMBER(A304),
IF(COUNTIFS(Equipar!B:B,4,Equipar!AC:AC,A304),"Equipada",
IF(
  OR(COUNTIFS(Equipar!B:B,4,Equipar!C:C,A304)
 +COUNTIFS(Equipar!B:B,4,Equipar!D:D,A304)
+COUNTIFS(Equipar!B:B,4,Equipar!E:E,A304)
+COUNTIFS(Equipar!B:B,4,Equipar!F:F,A304)
&gt;0,COUNTIF('Set recomendado'!B:B,C304)=0),
"Bloqueada",
"Desechable")),""
)</f>
        <v/>
      </c>
      <c r="J304" t="str" cm="1">
        <f t="array" aca="1" ref="J304" ca="1">IF(ISNUMBER(A304),IFERROR(_xlfn._xlws.FILTER(Equipar!A:A,(Equipar!B:B=4)*(Equipar!AC:AC=A304)),""),"")</f>
        <v/>
      </c>
    </row>
    <row r="305" spans="1:10" x14ac:dyDescent="0.25">
      <c r="A305" s="3" t="str">
        <f ca="1">IF(A304="ID",1,IF(ISBLANK(B305),"",MAX(A$2:A304)+1))</f>
        <v/>
      </c>
      <c r="I305" s="2" t="str">
        <f ca="1">IF(ISNUMBER(A305),
IF(COUNTIFS(Equipar!B:B,4,Equipar!AC:AC,A305),"Equipada",
IF(
  OR(COUNTIFS(Equipar!B:B,4,Equipar!C:C,A305)
 +COUNTIFS(Equipar!B:B,4,Equipar!D:D,A305)
+COUNTIFS(Equipar!B:B,4,Equipar!E:E,A305)
+COUNTIFS(Equipar!B:B,4,Equipar!F:F,A305)
&gt;0,COUNTIF('Set recomendado'!B:B,C305)=0),
"Bloqueada",
"Desechable")),""
)</f>
        <v/>
      </c>
      <c r="J305" t="str" cm="1">
        <f t="array" aca="1" ref="J305" ca="1">IF(ISNUMBER(A305),IFERROR(_xlfn._xlws.FILTER(Equipar!A:A,(Equipar!B:B=4)*(Equipar!AC:AC=A305)),""),"")</f>
        <v/>
      </c>
    </row>
    <row r="306" spans="1:10" x14ac:dyDescent="0.25">
      <c r="A306" s="3" t="str">
        <f ca="1">IF(A305="ID",1,IF(ISBLANK(B306),"",MAX(A$2:A305)+1))</f>
        <v/>
      </c>
      <c r="I306" s="2" t="str">
        <f ca="1">IF(ISNUMBER(A306),
IF(COUNTIFS(Equipar!B:B,4,Equipar!AC:AC,A306),"Equipada",
IF(
  OR(COUNTIFS(Equipar!B:B,4,Equipar!C:C,A306)
 +COUNTIFS(Equipar!B:B,4,Equipar!D:D,A306)
+COUNTIFS(Equipar!B:B,4,Equipar!E:E,A306)
+COUNTIFS(Equipar!B:B,4,Equipar!F:F,A306)
&gt;0,COUNTIF('Set recomendado'!B:B,C306)=0),
"Bloqueada",
"Desechable")),""
)</f>
        <v/>
      </c>
      <c r="J306" t="str" cm="1">
        <f t="array" aca="1" ref="J306" ca="1">IF(ISNUMBER(A306),IFERROR(_xlfn._xlws.FILTER(Equipar!A:A,(Equipar!B:B=4)*(Equipar!AC:AC=A306)),""),"")</f>
        <v/>
      </c>
    </row>
    <row r="307" spans="1:10" x14ac:dyDescent="0.25">
      <c r="A307" s="3" t="str">
        <f ca="1">IF(A306="ID",1,IF(ISBLANK(B307),"",MAX(A$2:A306)+1))</f>
        <v/>
      </c>
      <c r="I307" s="2" t="str">
        <f ca="1">IF(ISNUMBER(A307),
IF(COUNTIFS(Equipar!B:B,4,Equipar!AC:AC,A307),"Equipada",
IF(
  OR(COUNTIFS(Equipar!B:B,4,Equipar!C:C,A307)
 +COUNTIFS(Equipar!B:B,4,Equipar!D:D,A307)
+COUNTIFS(Equipar!B:B,4,Equipar!E:E,A307)
+COUNTIFS(Equipar!B:B,4,Equipar!F:F,A307)
&gt;0,COUNTIF('Set recomendado'!B:B,C307)=0),
"Bloqueada",
"Desechable")),""
)</f>
        <v/>
      </c>
      <c r="J307" t="str" cm="1">
        <f t="array" aca="1" ref="J307" ca="1">IF(ISNUMBER(A307),IFERROR(_xlfn._xlws.FILTER(Equipar!A:A,(Equipar!B:B=4)*(Equipar!AC:AC=A307)),""),"")</f>
        <v/>
      </c>
    </row>
    <row r="308" spans="1:10" x14ac:dyDescent="0.25">
      <c r="A308" s="3" t="str">
        <f ca="1">IF(A307="ID",1,IF(ISBLANK(B308),"",MAX(A$2:A307)+1))</f>
        <v/>
      </c>
      <c r="I308" s="2" t="str">
        <f ca="1">IF(ISNUMBER(A308),
IF(COUNTIFS(Equipar!B:B,4,Equipar!AC:AC,A308),"Equipada",
IF(
  OR(COUNTIFS(Equipar!B:B,4,Equipar!C:C,A308)
 +COUNTIFS(Equipar!B:B,4,Equipar!D:D,A308)
+COUNTIFS(Equipar!B:B,4,Equipar!E:E,A308)
+COUNTIFS(Equipar!B:B,4,Equipar!F:F,A308)
&gt;0,COUNTIF('Set recomendado'!B:B,C308)=0),
"Bloqueada",
"Desechable")),""
)</f>
        <v/>
      </c>
      <c r="J308" t="str" cm="1">
        <f t="array" aca="1" ref="J308" ca="1">IF(ISNUMBER(A308),IFERROR(_xlfn._xlws.FILTER(Equipar!A:A,(Equipar!B:B=4)*(Equipar!AC:AC=A308)),""),"")</f>
        <v/>
      </c>
    </row>
    <row r="309" spans="1:10" x14ac:dyDescent="0.25">
      <c r="A309" s="3" t="str">
        <f ca="1">IF(A308="ID",1,IF(ISBLANK(B309),"",MAX(A$2:A308)+1))</f>
        <v/>
      </c>
      <c r="I309" s="2" t="str">
        <f ca="1">IF(ISNUMBER(A309),
IF(COUNTIFS(Equipar!B:B,4,Equipar!AC:AC,A309),"Equipada",
IF(
  OR(COUNTIFS(Equipar!B:B,4,Equipar!C:C,A309)
 +COUNTIFS(Equipar!B:B,4,Equipar!D:D,A309)
+COUNTIFS(Equipar!B:B,4,Equipar!E:E,A309)
+COUNTIFS(Equipar!B:B,4,Equipar!F:F,A309)
&gt;0,COUNTIF('Set recomendado'!B:B,C309)=0),
"Bloqueada",
"Desechable")),""
)</f>
        <v/>
      </c>
      <c r="J309" t="str" cm="1">
        <f t="array" aca="1" ref="J309" ca="1">IF(ISNUMBER(A309),IFERROR(_xlfn._xlws.FILTER(Equipar!A:A,(Equipar!B:B=4)*(Equipar!AC:AC=A309)),""),"")</f>
        <v/>
      </c>
    </row>
    <row r="310" spans="1:10" x14ac:dyDescent="0.25">
      <c r="A310" s="3" t="str">
        <f ca="1">IF(A309="ID",1,IF(ISBLANK(B310),"",MAX(A$2:A309)+1))</f>
        <v/>
      </c>
      <c r="I310" s="2" t="str">
        <f ca="1">IF(ISNUMBER(A310),
IF(COUNTIFS(Equipar!B:B,4,Equipar!AC:AC,A310),"Equipada",
IF(
  OR(COUNTIFS(Equipar!B:B,4,Equipar!C:C,A310)
 +COUNTIFS(Equipar!B:B,4,Equipar!D:D,A310)
+COUNTIFS(Equipar!B:B,4,Equipar!E:E,A310)
+COUNTIFS(Equipar!B:B,4,Equipar!F:F,A310)
&gt;0,COUNTIF('Set recomendado'!B:B,C310)=0),
"Bloqueada",
"Desechable")),""
)</f>
        <v/>
      </c>
      <c r="J310" t="str" cm="1">
        <f t="array" aca="1" ref="J310" ca="1">IF(ISNUMBER(A310),IFERROR(_xlfn._xlws.FILTER(Equipar!A:A,(Equipar!B:B=4)*(Equipar!AC:AC=A310)),""),"")</f>
        <v/>
      </c>
    </row>
    <row r="311" spans="1:10" x14ac:dyDescent="0.25">
      <c r="A311" s="3" t="str">
        <f ca="1">IF(A310="ID",1,IF(ISBLANK(B311),"",MAX(A$2:A310)+1))</f>
        <v/>
      </c>
      <c r="I311" s="2" t="str">
        <f ca="1">IF(ISNUMBER(A311),
IF(COUNTIFS(Equipar!B:B,4,Equipar!AC:AC,A311),"Equipada",
IF(
  OR(COUNTIFS(Equipar!B:B,4,Equipar!C:C,A311)
 +COUNTIFS(Equipar!B:B,4,Equipar!D:D,A311)
+COUNTIFS(Equipar!B:B,4,Equipar!E:E,A311)
+COUNTIFS(Equipar!B:B,4,Equipar!F:F,A311)
&gt;0,COUNTIF('Set recomendado'!B:B,C311)=0),
"Bloqueada",
"Desechable")),""
)</f>
        <v/>
      </c>
      <c r="J311" t="str" cm="1">
        <f t="array" aca="1" ref="J311" ca="1">IF(ISNUMBER(A311),IFERROR(_xlfn._xlws.FILTER(Equipar!A:A,(Equipar!B:B=4)*(Equipar!AC:AC=A311)),""),"")</f>
        <v/>
      </c>
    </row>
    <row r="312" spans="1:10" x14ac:dyDescent="0.25">
      <c r="A312" s="3" t="str">
        <f ca="1">IF(A311="ID",1,IF(ISBLANK(B312),"",MAX(A$2:A311)+1))</f>
        <v/>
      </c>
      <c r="I312" s="2" t="str">
        <f ca="1">IF(ISNUMBER(A312),
IF(COUNTIFS(Equipar!B:B,4,Equipar!AC:AC,A312),"Equipada",
IF(
  OR(COUNTIFS(Equipar!B:B,4,Equipar!C:C,A312)
 +COUNTIFS(Equipar!B:B,4,Equipar!D:D,A312)
+COUNTIFS(Equipar!B:B,4,Equipar!E:E,A312)
+COUNTIFS(Equipar!B:B,4,Equipar!F:F,A312)
&gt;0,COUNTIF('Set recomendado'!B:B,C312)=0),
"Bloqueada",
"Desechable")),""
)</f>
        <v/>
      </c>
      <c r="J312" t="str" cm="1">
        <f t="array" aca="1" ref="J312" ca="1">IF(ISNUMBER(A312),IFERROR(_xlfn._xlws.FILTER(Equipar!A:A,(Equipar!B:B=4)*(Equipar!AC:AC=A312)),""),"")</f>
        <v/>
      </c>
    </row>
    <row r="313" spans="1:10" x14ac:dyDescent="0.25">
      <c r="A313" s="3" t="str">
        <f ca="1">IF(A312="ID",1,IF(ISBLANK(B313),"",MAX(A$2:A312)+1))</f>
        <v/>
      </c>
      <c r="I313" s="2" t="str">
        <f ca="1">IF(ISNUMBER(A313),
IF(COUNTIFS(Equipar!B:B,4,Equipar!AC:AC,A313),"Equipada",
IF(
  OR(COUNTIFS(Equipar!B:B,4,Equipar!C:C,A313)
 +COUNTIFS(Equipar!B:B,4,Equipar!D:D,A313)
+COUNTIFS(Equipar!B:B,4,Equipar!E:E,A313)
+COUNTIFS(Equipar!B:B,4,Equipar!F:F,A313)
&gt;0,COUNTIF('Set recomendado'!B:B,C313)=0),
"Bloqueada",
"Desechable")),""
)</f>
        <v/>
      </c>
      <c r="J313" t="str" cm="1">
        <f t="array" aca="1" ref="J313" ca="1">IF(ISNUMBER(A313),IFERROR(_xlfn._xlws.FILTER(Equipar!A:A,(Equipar!B:B=4)*(Equipar!AC:AC=A313)),""),"")</f>
        <v/>
      </c>
    </row>
    <row r="314" spans="1:10" x14ac:dyDescent="0.25">
      <c r="A314" s="3" t="str">
        <f ca="1">IF(A313="ID",1,IF(ISBLANK(B314),"",MAX(A$2:A313)+1))</f>
        <v/>
      </c>
      <c r="I314" s="2" t="str">
        <f ca="1">IF(ISNUMBER(A314),
IF(COUNTIFS(Equipar!B:B,4,Equipar!AC:AC,A314),"Equipada",
IF(
  OR(COUNTIFS(Equipar!B:B,4,Equipar!C:C,A314)
 +COUNTIFS(Equipar!B:B,4,Equipar!D:D,A314)
+COUNTIFS(Equipar!B:B,4,Equipar!E:E,A314)
+COUNTIFS(Equipar!B:B,4,Equipar!F:F,A314)
&gt;0,COUNTIF('Set recomendado'!B:B,C314)=0),
"Bloqueada",
"Desechable")),""
)</f>
        <v/>
      </c>
      <c r="J314" t="str" cm="1">
        <f t="array" aca="1" ref="J314" ca="1">IF(ISNUMBER(A314),IFERROR(_xlfn._xlws.FILTER(Equipar!A:A,(Equipar!B:B=4)*(Equipar!AC:AC=A314)),""),"")</f>
        <v/>
      </c>
    </row>
    <row r="315" spans="1:10" x14ac:dyDescent="0.25">
      <c r="A315" s="3" t="str">
        <f ca="1">IF(A314="ID",1,IF(ISBLANK(B315),"",MAX(A$2:A314)+1))</f>
        <v/>
      </c>
      <c r="I315" s="2" t="str">
        <f ca="1">IF(ISNUMBER(A315),
IF(COUNTIFS(Equipar!B:B,4,Equipar!AC:AC,A315),"Equipada",
IF(
  OR(COUNTIFS(Equipar!B:B,4,Equipar!C:C,A315)
 +COUNTIFS(Equipar!B:B,4,Equipar!D:D,A315)
+COUNTIFS(Equipar!B:B,4,Equipar!E:E,A315)
+COUNTIFS(Equipar!B:B,4,Equipar!F:F,A315)
&gt;0,COUNTIF('Set recomendado'!B:B,C315)=0),
"Bloqueada",
"Desechable")),""
)</f>
        <v/>
      </c>
      <c r="J315" t="str" cm="1">
        <f t="array" aca="1" ref="J315" ca="1">IF(ISNUMBER(A315),IFERROR(_xlfn._xlws.FILTER(Equipar!A:A,(Equipar!B:B=4)*(Equipar!AC:AC=A315)),""),"")</f>
        <v/>
      </c>
    </row>
    <row r="316" spans="1:10" x14ac:dyDescent="0.25">
      <c r="A316" s="3" t="str">
        <f ca="1">IF(A315="ID",1,IF(ISBLANK(B316),"",MAX(A$2:A315)+1))</f>
        <v/>
      </c>
      <c r="I316" s="2" t="str">
        <f ca="1">IF(ISNUMBER(A316),
IF(COUNTIFS(Equipar!B:B,4,Equipar!AC:AC,A316),"Equipada",
IF(
  OR(COUNTIFS(Equipar!B:B,4,Equipar!C:C,A316)
 +COUNTIFS(Equipar!B:B,4,Equipar!D:D,A316)
+COUNTIFS(Equipar!B:B,4,Equipar!E:E,A316)
+COUNTIFS(Equipar!B:B,4,Equipar!F:F,A316)
&gt;0,COUNTIF('Set recomendado'!B:B,C316)=0),
"Bloqueada",
"Desechable")),""
)</f>
        <v/>
      </c>
      <c r="J316" t="str" cm="1">
        <f t="array" aca="1" ref="J316" ca="1">IF(ISNUMBER(A316),IFERROR(_xlfn._xlws.FILTER(Equipar!A:A,(Equipar!B:B=4)*(Equipar!AC:AC=A316)),""),"")</f>
        <v/>
      </c>
    </row>
    <row r="317" spans="1:10" x14ac:dyDescent="0.25">
      <c r="A317" s="3" t="str">
        <f ca="1">IF(A316="ID",1,IF(ISBLANK(B317),"",MAX(A$2:A316)+1))</f>
        <v/>
      </c>
      <c r="I317" s="2" t="str">
        <f ca="1">IF(ISNUMBER(A317),
IF(COUNTIFS(Equipar!B:B,4,Equipar!AC:AC,A317),"Equipada",
IF(
  OR(COUNTIFS(Equipar!B:B,4,Equipar!C:C,A317)
 +COUNTIFS(Equipar!B:B,4,Equipar!D:D,A317)
+COUNTIFS(Equipar!B:B,4,Equipar!E:E,A317)
+COUNTIFS(Equipar!B:B,4,Equipar!F:F,A317)
&gt;0,COUNTIF('Set recomendado'!B:B,C317)=0),
"Bloqueada",
"Desechable")),""
)</f>
        <v/>
      </c>
      <c r="J317" t="str" cm="1">
        <f t="array" aca="1" ref="J317" ca="1">IF(ISNUMBER(A317),IFERROR(_xlfn._xlws.FILTER(Equipar!A:A,(Equipar!B:B=4)*(Equipar!AC:AC=A317)),""),"")</f>
        <v/>
      </c>
    </row>
    <row r="318" spans="1:10" x14ac:dyDescent="0.25">
      <c r="A318" s="3" t="str">
        <f ca="1">IF(A317="ID",1,IF(ISBLANK(B318),"",MAX(A$2:A317)+1))</f>
        <v/>
      </c>
      <c r="I318" s="2" t="str">
        <f ca="1">IF(ISNUMBER(A318),
IF(COUNTIFS(Equipar!B:B,4,Equipar!AC:AC,A318),"Equipada",
IF(
  OR(COUNTIFS(Equipar!B:B,4,Equipar!C:C,A318)
 +COUNTIFS(Equipar!B:B,4,Equipar!D:D,A318)
+COUNTIFS(Equipar!B:B,4,Equipar!E:E,A318)
+COUNTIFS(Equipar!B:B,4,Equipar!F:F,A318)
&gt;0,COUNTIF('Set recomendado'!B:B,C318)=0),
"Bloqueada",
"Desechable")),""
)</f>
        <v/>
      </c>
      <c r="J318" t="str" cm="1">
        <f t="array" aca="1" ref="J318" ca="1">IF(ISNUMBER(A318),IFERROR(_xlfn._xlws.FILTER(Equipar!A:A,(Equipar!B:B=4)*(Equipar!AC:AC=A318)),""),"")</f>
        <v/>
      </c>
    </row>
    <row r="319" spans="1:10" x14ac:dyDescent="0.25">
      <c r="A319" s="3" t="str">
        <f ca="1">IF(A318="ID",1,IF(ISBLANK(B319),"",MAX(A$2:A318)+1))</f>
        <v/>
      </c>
      <c r="I319" s="2" t="str">
        <f ca="1">IF(ISNUMBER(A319),
IF(COUNTIFS(Equipar!B:B,4,Equipar!AC:AC,A319),"Equipada",
IF(
  OR(COUNTIFS(Equipar!B:B,4,Equipar!C:C,A319)
 +COUNTIFS(Equipar!B:B,4,Equipar!D:D,A319)
+COUNTIFS(Equipar!B:B,4,Equipar!E:E,A319)
+COUNTIFS(Equipar!B:B,4,Equipar!F:F,A319)
&gt;0,COUNTIF('Set recomendado'!B:B,C319)=0),
"Bloqueada",
"Desechable")),""
)</f>
        <v/>
      </c>
      <c r="J319" t="str" cm="1">
        <f t="array" aca="1" ref="J319" ca="1">IF(ISNUMBER(A319),IFERROR(_xlfn._xlws.FILTER(Equipar!A:A,(Equipar!B:B=4)*(Equipar!AC:AC=A319)),""),"")</f>
        <v/>
      </c>
    </row>
    <row r="320" spans="1:10" x14ac:dyDescent="0.25">
      <c r="A320" s="3" t="str">
        <f ca="1">IF(A319="ID",1,IF(ISBLANK(B320),"",MAX(A$2:A319)+1))</f>
        <v/>
      </c>
      <c r="I320" s="2" t="str">
        <f ca="1">IF(ISNUMBER(A320),
IF(COUNTIFS(Equipar!B:B,4,Equipar!AC:AC,A320),"Equipada",
IF(
  OR(COUNTIFS(Equipar!B:B,4,Equipar!C:C,A320)
 +COUNTIFS(Equipar!B:B,4,Equipar!D:D,A320)
+COUNTIFS(Equipar!B:B,4,Equipar!E:E,A320)
+COUNTIFS(Equipar!B:B,4,Equipar!F:F,A320)
&gt;0,COUNTIF('Set recomendado'!B:B,C320)=0),
"Bloqueada",
"Desechable")),""
)</f>
        <v/>
      </c>
      <c r="J320" t="str" cm="1">
        <f t="array" aca="1" ref="J320" ca="1">IF(ISNUMBER(A320),IFERROR(_xlfn._xlws.FILTER(Equipar!A:A,(Equipar!B:B=4)*(Equipar!AC:AC=A320)),""),"")</f>
        <v/>
      </c>
    </row>
    <row r="321" spans="1:10" x14ac:dyDescent="0.25">
      <c r="A321" s="3" t="str">
        <f ca="1">IF(A320="ID",1,IF(ISBLANK(B321),"",MAX(A$2:A320)+1))</f>
        <v/>
      </c>
      <c r="I321" s="2" t="str">
        <f ca="1">IF(ISNUMBER(A321),
IF(COUNTIFS(Equipar!B:B,4,Equipar!AC:AC,A321),"Equipada",
IF(
  OR(COUNTIFS(Equipar!B:B,4,Equipar!C:C,A321)
 +COUNTIFS(Equipar!B:B,4,Equipar!D:D,A321)
+COUNTIFS(Equipar!B:B,4,Equipar!E:E,A321)
+COUNTIFS(Equipar!B:B,4,Equipar!F:F,A321)
&gt;0,COUNTIF('Set recomendado'!B:B,C321)=0),
"Bloqueada",
"Desechable")),""
)</f>
        <v/>
      </c>
      <c r="J321" t="str" cm="1">
        <f t="array" aca="1" ref="J321" ca="1">IF(ISNUMBER(A321),IFERROR(_xlfn._xlws.FILTER(Equipar!A:A,(Equipar!B:B=4)*(Equipar!AC:AC=A321)),""),"")</f>
        <v/>
      </c>
    </row>
    <row r="322" spans="1:10" x14ac:dyDescent="0.25">
      <c r="A322" s="3" t="str">
        <f ca="1">IF(A321="ID",1,IF(ISBLANK(B322),"",MAX(A$2:A321)+1))</f>
        <v/>
      </c>
      <c r="I322" s="2" t="str">
        <f ca="1">IF(ISNUMBER(A322),
IF(COUNTIFS(Equipar!B:B,4,Equipar!AC:AC,A322),"Equipada",
IF(
  OR(COUNTIFS(Equipar!B:B,4,Equipar!C:C,A322)
 +COUNTIFS(Equipar!B:B,4,Equipar!D:D,A322)
+COUNTIFS(Equipar!B:B,4,Equipar!E:E,A322)
+COUNTIFS(Equipar!B:B,4,Equipar!F:F,A322)
&gt;0,COUNTIF('Set recomendado'!B:B,C322)=0),
"Bloqueada",
"Desechable")),""
)</f>
        <v/>
      </c>
      <c r="J322" t="str" cm="1">
        <f t="array" aca="1" ref="J322" ca="1">IF(ISNUMBER(A322),IFERROR(_xlfn._xlws.FILTER(Equipar!A:A,(Equipar!B:B=4)*(Equipar!AC:AC=A322)),""),"")</f>
        <v/>
      </c>
    </row>
    <row r="323" spans="1:10" x14ac:dyDescent="0.25">
      <c r="A323" s="3" t="str">
        <f ca="1">IF(A322="ID",1,IF(ISBLANK(B323),"",MAX(A$2:A322)+1))</f>
        <v/>
      </c>
      <c r="I323" s="2" t="str">
        <f ca="1">IF(ISNUMBER(A323),
IF(COUNTIFS(Equipar!B:B,4,Equipar!AC:AC,A323),"Equipada",
IF(
  OR(COUNTIFS(Equipar!B:B,4,Equipar!C:C,A323)
 +COUNTIFS(Equipar!B:B,4,Equipar!D:D,A323)
+COUNTIFS(Equipar!B:B,4,Equipar!E:E,A323)
+COUNTIFS(Equipar!B:B,4,Equipar!F:F,A323)
&gt;0,COUNTIF('Set recomendado'!B:B,C323)=0),
"Bloqueada",
"Desechable")),""
)</f>
        <v/>
      </c>
      <c r="J323" t="str" cm="1">
        <f t="array" aca="1" ref="J323" ca="1">IF(ISNUMBER(A323),IFERROR(_xlfn._xlws.FILTER(Equipar!A:A,(Equipar!B:B=4)*(Equipar!AC:AC=A323)),""),"")</f>
        <v/>
      </c>
    </row>
    <row r="324" spans="1:10" x14ac:dyDescent="0.25">
      <c r="A324" s="3" t="str">
        <f ca="1">IF(A323="ID",1,IF(ISBLANK(B324),"",MAX(A$2:A323)+1))</f>
        <v/>
      </c>
      <c r="I324" s="2" t="str">
        <f ca="1">IF(ISNUMBER(A324),
IF(COUNTIFS(Equipar!B:B,4,Equipar!AC:AC,A324),"Equipada",
IF(
  OR(COUNTIFS(Equipar!B:B,4,Equipar!C:C,A324)
 +COUNTIFS(Equipar!B:B,4,Equipar!D:D,A324)
+COUNTIFS(Equipar!B:B,4,Equipar!E:E,A324)
+COUNTIFS(Equipar!B:B,4,Equipar!F:F,A324)
&gt;0,COUNTIF('Set recomendado'!B:B,C324)=0),
"Bloqueada",
"Desechable")),""
)</f>
        <v/>
      </c>
      <c r="J324" t="str" cm="1">
        <f t="array" aca="1" ref="J324" ca="1">IF(ISNUMBER(A324),IFERROR(_xlfn._xlws.FILTER(Equipar!A:A,(Equipar!B:B=4)*(Equipar!AC:AC=A324)),""),"")</f>
        <v/>
      </c>
    </row>
    <row r="325" spans="1:10" x14ac:dyDescent="0.25">
      <c r="A325" s="3" t="str">
        <f ca="1">IF(A324="ID",1,IF(ISBLANK(B325),"",MAX(A$2:A324)+1))</f>
        <v/>
      </c>
      <c r="I325" s="2" t="str">
        <f ca="1">IF(ISNUMBER(A325),
IF(COUNTIFS(Equipar!B:B,4,Equipar!AC:AC,A325),"Equipada",
IF(
  OR(COUNTIFS(Equipar!B:B,4,Equipar!C:C,A325)
 +COUNTIFS(Equipar!B:B,4,Equipar!D:D,A325)
+COUNTIFS(Equipar!B:B,4,Equipar!E:E,A325)
+COUNTIFS(Equipar!B:B,4,Equipar!F:F,A325)
&gt;0,COUNTIF('Set recomendado'!B:B,C325)=0),
"Bloqueada",
"Desechable")),""
)</f>
        <v/>
      </c>
      <c r="J325" t="str" cm="1">
        <f t="array" aca="1" ref="J325" ca="1">IF(ISNUMBER(A325),IFERROR(_xlfn._xlws.FILTER(Equipar!A:A,(Equipar!B:B=4)*(Equipar!AC:AC=A325)),""),"")</f>
        <v/>
      </c>
    </row>
    <row r="326" spans="1:10" x14ac:dyDescent="0.25">
      <c r="A326" s="3" t="str">
        <f ca="1">IF(A325="ID",1,IF(ISBLANK(B326),"",MAX(A$2:A325)+1))</f>
        <v/>
      </c>
      <c r="I326" s="2" t="str">
        <f ca="1">IF(ISNUMBER(A326),
IF(COUNTIFS(Equipar!B:B,4,Equipar!AC:AC,A326),"Equipada",
IF(
  OR(COUNTIFS(Equipar!B:B,4,Equipar!C:C,A326)
 +COUNTIFS(Equipar!B:B,4,Equipar!D:D,A326)
+COUNTIFS(Equipar!B:B,4,Equipar!E:E,A326)
+COUNTIFS(Equipar!B:B,4,Equipar!F:F,A326)
&gt;0,COUNTIF('Set recomendado'!B:B,C326)=0),
"Bloqueada",
"Desechable")),""
)</f>
        <v/>
      </c>
      <c r="J326" t="str" cm="1">
        <f t="array" aca="1" ref="J326" ca="1">IF(ISNUMBER(A326),IFERROR(_xlfn._xlws.FILTER(Equipar!A:A,(Equipar!B:B=4)*(Equipar!AC:AC=A326)),""),"")</f>
        <v/>
      </c>
    </row>
    <row r="327" spans="1:10" x14ac:dyDescent="0.25">
      <c r="A327" s="3" t="str">
        <f ca="1">IF(A326="ID",1,IF(ISBLANK(B327),"",MAX(A$2:A326)+1))</f>
        <v/>
      </c>
      <c r="I327" s="2" t="str">
        <f ca="1">IF(ISNUMBER(A327),
IF(COUNTIFS(Equipar!B:B,4,Equipar!AC:AC,A327),"Equipada",
IF(
  OR(COUNTIFS(Equipar!B:B,4,Equipar!C:C,A327)
 +COUNTIFS(Equipar!B:B,4,Equipar!D:D,A327)
+COUNTIFS(Equipar!B:B,4,Equipar!E:E,A327)
+COUNTIFS(Equipar!B:B,4,Equipar!F:F,A327)
&gt;0,COUNTIF('Set recomendado'!B:B,C327)=0),
"Bloqueada",
"Desechable")),""
)</f>
        <v/>
      </c>
      <c r="J327" t="str" cm="1">
        <f t="array" aca="1" ref="J327" ca="1">IF(ISNUMBER(A327),IFERROR(_xlfn._xlws.FILTER(Equipar!A:A,(Equipar!B:B=4)*(Equipar!AC:AC=A327)),""),"")</f>
        <v/>
      </c>
    </row>
    <row r="328" spans="1:10" x14ac:dyDescent="0.25">
      <c r="A328" s="3" t="str">
        <f ca="1">IF(A327="ID",1,IF(ISBLANK(B328),"",MAX(A$2:A327)+1))</f>
        <v/>
      </c>
      <c r="I328" s="2" t="str">
        <f ca="1">IF(ISNUMBER(A328),
IF(COUNTIFS(Equipar!B:B,4,Equipar!AC:AC,A328),"Equipada",
IF(
  OR(COUNTIFS(Equipar!B:B,4,Equipar!C:C,A328)
 +COUNTIFS(Equipar!B:B,4,Equipar!D:D,A328)
+COUNTIFS(Equipar!B:B,4,Equipar!E:E,A328)
+COUNTIFS(Equipar!B:B,4,Equipar!F:F,A328)
&gt;0,COUNTIF('Set recomendado'!B:B,C328)=0),
"Bloqueada",
"Desechable")),""
)</f>
        <v/>
      </c>
      <c r="J328" t="str" cm="1">
        <f t="array" aca="1" ref="J328" ca="1">IF(ISNUMBER(A328),IFERROR(_xlfn._xlws.FILTER(Equipar!A:A,(Equipar!B:B=4)*(Equipar!AC:AC=A328)),""),"")</f>
        <v/>
      </c>
    </row>
    <row r="329" spans="1:10" x14ac:dyDescent="0.25">
      <c r="A329" s="3" t="str">
        <f ca="1">IF(A328="ID",1,IF(ISBLANK(B329),"",MAX(A$2:A328)+1))</f>
        <v/>
      </c>
      <c r="I329" s="2" t="str">
        <f ca="1">IF(ISNUMBER(A329),
IF(COUNTIFS(Equipar!B:B,4,Equipar!AC:AC,A329),"Equipada",
IF(
  OR(COUNTIFS(Equipar!B:B,4,Equipar!C:C,A329)
 +COUNTIFS(Equipar!B:B,4,Equipar!D:D,A329)
+COUNTIFS(Equipar!B:B,4,Equipar!E:E,A329)
+COUNTIFS(Equipar!B:B,4,Equipar!F:F,A329)
&gt;0,COUNTIF('Set recomendado'!B:B,C329)=0),
"Bloqueada",
"Desechable")),""
)</f>
        <v/>
      </c>
      <c r="J329" t="str" cm="1">
        <f t="array" aca="1" ref="J329" ca="1">IF(ISNUMBER(A329),IFERROR(_xlfn._xlws.FILTER(Equipar!A:A,(Equipar!B:B=4)*(Equipar!AC:AC=A329)),""),"")</f>
        <v/>
      </c>
    </row>
    <row r="330" spans="1:10" x14ac:dyDescent="0.25">
      <c r="A330" s="3" t="str">
        <f ca="1">IF(A329="ID",1,IF(ISBLANK(B330),"",MAX(A$2:A329)+1))</f>
        <v/>
      </c>
      <c r="I330" s="2" t="str">
        <f ca="1">IF(ISNUMBER(A330),
IF(COUNTIFS(Equipar!B:B,4,Equipar!AC:AC,A330),"Equipada",
IF(
  OR(COUNTIFS(Equipar!B:B,4,Equipar!C:C,A330)
 +COUNTIFS(Equipar!B:B,4,Equipar!D:D,A330)
+COUNTIFS(Equipar!B:B,4,Equipar!E:E,A330)
+COUNTIFS(Equipar!B:B,4,Equipar!F:F,A330)
&gt;0,COUNTIF('Set recomendado'!B:B,C330)=0),
"Bloqueada",
"Desechable")),""
)</f>
        <v/>
      </c>
      <c r="J330" t="str" cm="1">
        <f t="array" aca="1" ref="J330" ca="1">IF(ISNUMBER(A330),IFERROR(_xlfn._xlws.FILTER(Equipar!A:A,(Equipar!B:B=4)*(Equipar!AC:AC=A330)),""),"")</f>
        <v/>
      </c>
    </row>
    <row r="331" spans="1:10" x14ac:dyDescent="0.25">
      <c r="A331" s="3" t="str">
        <f ca="1">IF(A330="ID",1,IF(ISBLANK(B331),"",MAX(A$2:A330)+1))</f>
        <v/>
      </c>
      <c r="I331" s="2" t="str">
        <f ca="1">IF(ISNUMBER(A331),
IF(COUNTIFS(Equipar!B:B,4,Equipar!AC:AC,A331),"Equipada",
IF(
  OR(COUNTIFS(Equipar!B:B,4,Equipar!C:C,A331)
 +COUNTIFS(Equipar!B:B,4,Equipar!D:D,A331)
+COUNTIFS(Equipar!B:B,4,Equipar!E:E,A331)
+COUNTIFS(Equipar!B:B,4,Equipar!F:F,A331)
&gt;0,COUNTIF('Set recomendado'!B:B,C331)=0),
"Bloqueada",
"Desechable")),""
)</f>
        <v/>
      </c>
      <c r="J331" t="str" cm="1">
        <f t="array" aca="1" ref="J331" ca="1">IF(ISNUMBER(A331),IFERROR(_xlfn._xlws.FILTER(Equipar!A:A,(Equipar!B:B=4)*(Equipar!AC:AC=A331)),""),"")</f>
        <v/>
      </c>
    </row>
    <row r="332" spans="1:10" x14ac:dyDescent="0.25">
      <c r="A332" s="3" t="str">
        <f ca="1">IF(A331="ID",1,IF(ISBLANK(B332),"",MAX(A$2:A331)+1))</f>
        <v/>
      </c>
      <c r="I332" s="2" t="str">
        <f ca="1">IF(ISNUMBER(A332),
IF(COUNTIFS(Equipar!B:B,4,Equipar!AC:AC,A332),"Equipada",
IF(
  OR(COUNTIFS(Equipar!B:B,4,Equipar!C:C,A332)
 +COUNTIFS(Equipar!B:B,4,Equipar!D:D,A332)
+COUNTIFS(Equipar!B:B,4,Equipar!E:E,A332)
+COUNTIFS(Equipar!B:B,4,Equipar!F:F,A332)
&gt;0,COUNTIF('Set recomendado'!B:B,C332)=0),
"Bloqueada",
"Desechable")),""
)</f>
        <v/>
      </c>
      <c r="J332" t="str" cm="1">
        <f t="array" aca="1" ref="J332" ca="1">IF(ISNUMBER(A332),IFERROR(_xlfn._xlws.FILTER(Equipar!A:A,(Equipar!B:B=4)*(Equipar!AC:AC=A332)),""),"")</f>
        <v/>
      </c>
    </row>
    <row r="333" spans="1:10" x14ac:dyDescent="0.25">
      <c r="A333" s="3" t="str">
        <f ca="1">IF(A332="ID",1,IF(ISBLANK(B333),"",MAX(A$2:A332)+1))</f>
        <v/>
      </c>
      <c r="I333" s="2" t="str">
        <f ca="1">IF(ISNUMBER(A333),
IF(COUNTIFS(Equipar!B:B,4,Equipar!AC:AC,A333),"Equipada",
IF(
  OR(COUNTIFS(Equipar!B:B,4,Equipar!C:C,A333)
 +COUNTIFS(Equipar!B:B,4,Equipar!D:D,A333)
+COUNTIFS(Equipar!B:B,4,Equipar!E:E,A333)
+COUNTIFS(Equipar!B:B,4,Equipar!F:F,A333)
&gt;0,COUNTIF('Set recomendado'!B:B,C333)=0),
"Bloqueada",
"Desechable")),""
)</f>
        <v/>
      </c>
      <c r="J333" t="str" cm="1">
        <f t="array" aca="1" ref="J333" ca="1">IF(ISNUMBER(A333),IFERROR(_xlfn._xlws.FILTER(Equipar!A:A,(Equipar!B:B=4)*(Equipar!AC:AC=A333)),""),"")</f>
        <v/>
      </c>
    </row>
    <row r="334" spans="1:10" x14ac:dyDescent="0.25">
      <c r="A334" s="3" t="str">
        <f ca="1">IF(A333="ID",1,IF(ISBLANK(B334),"",MAX(A$2:A333)+1))</f>
        <v/>
      </c>
      <c r="I334" s="2" t="str">
        <f ca="1">IF(ISNUMBER(A334),
IF(COUNTIFS(Equipar!B:B,4,Equipar!AC:AC,A334),"Equipada",
IF(
  OR(COUNTIFS(Equipar!B:B,4,Equipar!C:C,A334)
 +COUNTIFS(Equipar!B:B,4,Equipar!D:D,A334)
+COUNTIFS(Equipar!B:B,4,Equipar!E:E,A334)
+COUNTIFS(Equipar!B:B,4,Equipar!F:F,A334)
&gt;0,COUNTIF('Set recomendado'!B:B,C334)=0),
"Bloqueada",
"Desechable")),""
)</f>
        <v/>
      </c>
      <c r="J334" t="str" cm="1">
        <f t="array" aca="1" ref="J334" ca="1">IF(ISNUMBER(A334),IFERROR(_xlfn._xlws.FILTER(Equipar!A:A,(Equipar!B:B=4)*(Equipar!AC:AC=A334)),""),"")</f>
        <v/>
      </c>
    </row>
    <row r="335" spans="1:10" x14ac:dyDescent="0.25">
      <c r="A335" s="3" t="str">
        <f ca="1">IF(A334="ID",1,IF(ISBLANK(B335),"",MAX(A$2:A334)+1))</f>
        <v/>
      </c>
      <c r="I335" s="2" t="str">
        <f ca="1">IF(ISNUMBER(A335),
IF(COUNTIFS(Equipar!B:B,4,Equipar!AC:AC,A335),"Equipada",
IF(
  OR(COUNTIFS(Equipar!B:B,4,Equipar!C:C,A335)
 +COUNTIFS(Equipar!B:B,4,Equipar!D:D,A335)
+COUNTIFS(Equipar!B:B,4,Equipar!E:E,A335)
+COUNTIFS(Equipar!B:B,4,Equipar!F:F,A335)
&gt;0,COUNTIF('Set recomendado'!B:B,C335)=0),
"Bloqueada",
"Desechable")),""
)</f>
        <v/>
      </c>
      <c r="J335" t="str" cm="1">
        <f t="array" aca="1" ref="J335" ca="1">IF(ISNUMBER(A335),IFERROR(_xlfn._xlws.FILTER(Equipar!A:A,(Equipar!B:B=4)*(Equipar!AC:AC=A335)),""),"")</f>
        <v/>
      </c>
    </row>
    <row r="336" spans="1:10" x14ac:dyDescent="0.25">
      <c r="A336" s="3" t="str">
        <f ca="1">IF(A335="ID",1,IF(ISBLANK(B336),"",MAX(A$2:A335)+1))</f>
        <v/>
      </c>
      <c r="I336" s="2" t="str">
        <f ca="1">IF(ISNUMBER(A336),
IF(COUNTIFS(Equipar!B:B,4,Equipar!AC:AC,A336),"Equipada",
IF(
  OR(COUNTIFS(Equipar!B:B,4,Equipar!C:C,A336)
 +COUNTIFS(Equipar!B:B,4,Equipar!D:D,A336)
+COUNTIFS(Equipar!B:B,4,Equipar!E:E,A336)
+COUNTIFS(Equipar!B:B,4,Equipar!F:F,A336)
&gt;0,COUNTIF('Set recomendado'!B:B,C336)=0),
"Bloqueada",
"Desechable")),""
)</f>
        <v/>
      </c>
      <c r="J336" t="str" cm="1">
        <f t="array" aca="1" ref="J336" ca="1">IF(ISNUMBER(A336),IFERROR(_xlfn._xlws.FILTER(Equipar!A:A,(Equipar!B:B=4)*(Equipar!AC:AC=A336)),""),"")</f>
        <v/>
      </c>
    </row>
    <row r="337" spans="1:10" x14ac:dyDescent="0.25">
      <c r="A337" s="3" t="str">
        <f ca="1">IF(A336="ID",1,IF(ISBLANK(B337),"",MAX(A$2:A336)+1))</f>
        <v/>
      </c>
      <c r="I337" s="2" t="str">
        <f ca="1">IF(ISNUMBER(A337),
IF(COUNTIFS(Equipar!B:B,4,Equipar!AC:AC,A337),"Equipada",
IF(
  OR(COUNTIFS(Equipar!B:B,4,Equipar!C:C,A337)
 +COUNTIFS(Equipar!B:B,4,Equipar!D:D,A337)
+COUNTIFS(Equipar!B:B,4,Equipar!E:E,A337)
+COUNTIFS(Equipar!B:B,4,Equipar!F:F,A337)
&gt;0,COUNTIF('Set recomendado'!B:B,C337)=0),
"Bloqueada",
"Desechable")),""
)</f>
        <v/>
      </c>
      <c r="J337" t="str" cm="1">
        <f t="array" aca="1" ref="J337" ca="1">IF(ISNUMBER(A337),IFERROR(_xlfn._xlws.FILTER(Equipar!A:A,(Equipar!B:B=4)*(Equipar!AC:AC=A337)),""),"")</f>
        <v/>
      </c>
    </row>
    <row r="338" spans="1:10" x14ac:dyDescent="0.25">
      <c r="A338" s="3" t="str">
        <f ca="1">IF(A337="ID",1,IF(ISBLANK(B338),"",MAX(A$2:A337)+1))</f>
        <v/>
      </c>
      <c r="I338" s="2" t="str">
        <f ca="1">IF(ISNUMBER(A338),
IF(COUNTIFS(Equipar!B:B,4,Equipar!AC:AC,A338),"Equipada",
IF(
  OR(COUNTIFS(Equipar!B:B,4,Equipar!C:C,A338)
 +COUNTIFS(Equipar!B:B,4,Equipar!D:D,A338)
+COUNTIFS(Equipar!B:B,4,Equipar!E:E,A338)
+COUNTIFS(Equipar!B:B,4,Equipar!F:F,A338)
&gt;0,COUNTIF('Set recomendado'!B:B,C338)=0),
"Bloqueada",
"Desechable")),""
)</f>
        <v/>
      </c>
      <c r="J338" t="str" cm="1">
        <f t="array" aca="1" ref="J338" ca="1">IF(ISNUMBER(A338),IFERROR(_xlfn._xlws.FILTER(Equipar!A:A,(Equipar!B:B=4)*(Equipar!AC:AC=A338)),""),"")</f>
        <v/>
      </c>
    </row>
    <row r="339" spans="1:10" x14ac:dyDescent="0.25">
      <c r="A339" s="3" t="str">
        <f ca="1">IF(A338="ID",1,IF(ISBLANK(B339),"",MAX(A$2:A338)+1))</f>
        <v/>
      </c>
      <c r="I339" s="2" t="str">
        <f ca="1">IF(ISNUMBER(A339),
IF(COUNTIFS(Equipar!B:B,4,Equipar!AC:AC,A339),"Equipada",
IF(
  OR(COUNTIFS(Equipar!B:B,4,Equipar!C:C,A339)
 +COUNTIFS(Equipar!B:B,4,Equipar!D:D,A339)
+COUNTIFS(Equipar!B:B,4,Equipar!E:E,A339)
+COUNTIFS(Equipar!B:B,4,Equipar!F:F,A339)
&gt;0,COUNTIF('Set recomendado'!B:B,C339)=0),
"Bloqueada",
"Desechable")),""
)</f>
        <v/>
      </c>
      <c r="J339" t="str" cm="1">
        <f t="array" aca="1" ref="J339" ca="1">IF(ISNUMBER(A339),IFERROR(_xlfn._xlws.FILTER(Equipar!A:A,(Equipar!B:B=4)*(Equipar!AC:AC=A339)),""),"")</f>
        <v/>
      </c>
    </row>
    <row r="340" spans="1:10" x14ac:dyDescent="0.25">
      <c r="A340" s="3" t="str">
        <f ca="1">IF(A339="ID",1,IF(ISBLANK(B340),"",MAX(A$2:A339)+1))</f>
        <v/>
      </c>
      <c r="I340" s="2" t="str">
        <f ca="1">IF(ISNUMBER(A340),
IF(COUNTIFS(Equipar!B:B,4,Equipar!AC:AC,A340),"Equipada",
IF(
  OR(COUNTIFS(Equipar!B:B,4,Equipar!C:C,A340)
 +COUNTIFS(Equipar!B:B,4,Equipar!D:D,A340)
+COUNTIFS(Equipar!B:B,4,Equipar!E:E,A340)
+COUNTIFS(Equipar!B:B,4,Equipar!F:F,A340)
&gt;0,COUNTIF('Set recomendado'!B:B,C340)=0),
"Bloqueada",
"Desechable")),""
)</f>
        <v/>
      </c>
      <c r="J340" t="str" cm="1">
        <f t="array" aca="1" ref="J340" ca="1">IF(ISNUMBER(A340),IFERROR(_xlfn._xlws.FILTER(Equipar!A:A,(Equipar!B:B=4)*(Equipar!AC:AC=A340)),""),"")</f>
        <v/>
      </c>
    </row>
    <row r="341" spans="1:10" x14ac:dyDescent="0.25">
      <c r="A341" s="3" t="str">
        <f ca="1">IF(A340="ID",1,IF(ISBLANK(B341),"",MAX(A$2:A340)+1))</f>
        <v/>
      </c>
      <c r="I341" s="2" t="str">
        <f ca="1">IF(ISNUMBER(A341),
IF(COUNTIFS(Equipar!B:B,4,Equipar!AC:AC,A341),"Equipada",
IF(
  OR(COUNTIFS(Equipar!B:B,4,Equipar!C:C,A341)
 +COUNTIFS(Equipar!B:B,4,Equipar!D:D,A341)
+COUNTIFS(Equipar!B:B,4,Equipar!E:E,A341)
+COUNTIFS(Equipar!B:B,4,Equipar!F:F,A341)
&gt;0,COUNTIF('Set recomendado'!B:B,C341)=0),
"Bloqueada",
"Desechable")),""
)</f>
        <v/>
      </c>
      <c r="J341" t="str" cm="1">
        <f t="array" aca="1" ref="J341" ca="1">IF(ISNUMBER(A341),IFERROR(_xlfn._xlws.FILTER(Equipar!A:A,(Equipar!B:B=4)*(Equipar!AC:AC=A341)),""),"")</f>
        <v/>
      </c>
    </row>
    <row r="342" spans="1:10" x14ac:dyDescent="0.25">
      <c r="A342" s="3" t="str">
        <f ca="1">IF(A341="ID",1,IF(ISBLANK(B342),"",MAX(A$2:A341)+1))</f>
        <v/>
      </c>
      <c r="I342" s="2" t="str">
        <f ca="1">IF(ISNUMBER(A342),
IF(COUNTIFS(Equipar!B:B,4,Equipar!AC:AC,A342),"Equipada",
IF(
  OR(COUNTIFS(Equipar!B:B,4,Equipar!C:C,A342)
 +COUNTIFS(Equipar!B:B,4,Equipar!D:D,A342)
+COUNTIFS(Equipar!B:B,4,Equipar!E:E,A342)
+COUNTIFS(Equipar!B:B,4,Equipar!F:F,A342)
&gt;0,COUNTIF('Set recomendado'!B:B,C342)=0),
"Bloqueada",
"Desechable")),""
)</f>
        <v/>
      </c>
      <c r="J342" t="str" cm="1">
        <f t="array" aca="1" ref="J342" ca="1">IF(ISNUMBER(A342),IFERROR(_xlfn._xlws.FILTER(Equipar!A:A,(Equipar!B:B=4)*(Equipar!AC:AC=A342)),""),"")</f>
        <v/>
      </c>
    </row>
    <row r="343" spans="1:10" x14ac:dyDescent="0.25">
      <c r="A343" s="3" t="str">
        <f ca="1">IF(A342="ID",1,IF(ISBLANK(B343),"",MAX(A$2:A342)+1))</f>
        <v/>
      </c>
      <c r="I343" s="2" t="str">
        <f ca="1">IF(ISNUMBER(A343),
IF(COUNTIFS(Equipar!B:B,4,Equipar!AC:AC,A343),"Equipada",
IF(
  OR(COUNTIFS(Equipar!B:B,4,Equipar!C:C,A343)
 +COUNTIFS(Equipar!B:B,4,Equipar!D:D,A343)
+COUNTIFS(Equipar!B:B,4,Equipar!E:E,A343)
+COUNTIFS(Equipar!B:B,4,Equipar!F:F,A343)
&gt;0,COUNTIF('Set recomendado'!B:B,C343)=0),
"Bloqueada",
"Desechable")),""
)</f>
        <v/>
      </c>
      <c r="J343" t="str" cm="1">
        <f t="array" aca="1" ref="J343" ca="1">IF(ISNUMBER(A343),IFERROR(_xlfn._xlws.FILTER(Equipar!A:A,(Equipar!B:B=4)*(Equipar!AC:AC=A343)),""),"")</f>
        <v/>
      </c>
    </row>
    <row r="344" spans="1:10" x14ac:dyDescent="0.25">
      <c r="A344" s="3" t="str">
        <f ca="1">IF(A343="ID",1,IF(ISBLANK(B344),"",MAX(A$2:A343)+1))</f>
        <v/>
      </c>
      <c r="I344" s="2" t="str">
        <f ca="1">IF(ISNUMBER(A344),
IF(COUNTIFS(Equipar!B:B,4,Equipar!AC:AC,A344),"Equipada",
IF(
  OR(COUNTIFS(Equipar!B:B,4,Equipar!C:C,A344)
 +COUNTIFS(Equipar!B:B,4,Equipar!D:D,A344)
+COUNTIFS(Equipar!B:B,4,Equipar!E:E,A344)
+COUNTIFS(Equipar!B:B,4,Equipar!F:F,A344)
&gt;0,COUNTIF('Set recomendado'!B:B,C344)=0),
"Bloqueada",
"Desechable")),""
)</f>
        <v/>
      </c>
      <c r="J344" t="str" cm="1">
        <f t="array" aca="1" ref="J344" ca="1">IF(ISNUMBER(A344),IFERROR(_xlfn._xlws.FILTER(Equipar!A:A,(Equipar!B:B=4)*(Equipar!AC:AC=A344)),""),"")</f>
        <v/>
      </c>
    </row>
    <row r="345" spans="1:10" x14ac:dyDescent="0.25">
      <c r="A345" s="3" t="str">
        <f ca="1">IF(A344="ID",1,IF(ISBLANK(B345),"",MAX(A$2:A344)+1))</f>
        <v/>
      </c>
      <c r="I345" s="2" t="str">
        <f ca="1">IF(ISNUMBER(A345),
IF(COUNTIFS(Equipar!B:B,4,Equipar!AC:AC,A345),"Equipada",
IF(
  OR(COUNTIFS(Equipar!B:B,4,Equipar!C:C,A345)
 +COUNTIFS(Equipar!B:B,4,Equipar!D:D,A345)
+COUNTIFS(Equipar!B:B,4,Equipar!E:E,A345)
+COUNTIFS(Equipar!B:B,4,Equipar!F:F,A345)
&gt;0,COUNTIF('Set recomendado'!B:B,C345)=0),
"Bloqueada",
"Desechable")),""
)</f>
        <v/>
      </c>
      <c r="J345" t="str" cm="1">
        <f t="array" aca="1" ref="J345" ca="1">IF(ISNUMBER(A345),IFERROR(_xlfn._xlws.FILTER(Equipar!A:A,(Equipar!B:B=4)*(Equipar!AC:AC=A345)),""),"")</f>
        <v/>
      </c>
    </row>
    <row r="346" spans="1:10" x14ac:dyDescent="0.25">
      <c r="A346" s="3" t="str">
        <f ca="1">IF(A345="ID",1,IF(ISBLANK(B346),"",MAX(A$2:A345)+1))</f>
        <v/>
      </c>
      <c r="I346" s="2" t="str">
        <f ca="1">IF(ISNUMBER(A346),
IF(COUNTIFS(Equipar!B:B,4,Equipar!AC:AC,A346),"Equipada",
IF(
  OR(COUNTIFS(Equipar!B:B,4,Equipar!C:C,A346)
 +COUNTIFS(Equipar!B:B,4,Equipar!D:D,A346)
+COUNTIFS(Equipar!B:B,4,Equipar!E:E,A346)
+COUNTIFS(Equipar!B:B,4,Equipar!F:F,A346)
&gt;0,COUNTIF('Set recomendado'!B:B,C346)=0),
"Bloqueada",
"Desechable")),""
)</f>
        <v/>
      </c>
      <c r="J346" t="str" cm="1">
        <f t="array" aca="1" ref="J346" ca="1">IF(ISNUMBER(A346),IFERROR(_xlfn._xlws.FILTER(Equipar!A:A,(Equipar!B:B=4)*(Equipar!AC:AC=A346)),""),"")</f>
        <v/>
      </c>
    </row>
    <row r="347" spans="1:10" x14ac:dyDescent="0.25">
      <c r="A347" s="3" t="str">
        <f ca="1">IF(A346="ID",1,IF(ISBLANK(B347),"",MAX(A$2:A346)+1))</f>
        <v/>
      </c>
      <c r="I347" s="2" t="str">
        <f ca="1">IF(ISNUMBER(A347),
IF(COUNTIFS(Equipar!B:B,4,Equipar!AC:AC,A347),"Equipada",
IF(
  OR(COUNTIFS(Equipar!B:B,4,Equipar!C:C,A347)
 +COUNTIFS(Equipar!B:B,4,Equipar!D:D,A347)
+COUNTIFS(Equipar!B:B,4,Equipar!E:E,A347)
+COUNTIFS(Equipar!B:B,4,Equipar!F:F,A347)
&gt;0,COUNTIF('Set recomendado'!B:B,C347)=0),
"Bloqueada",
"Desechable")),""
)</f>
        <v/>
      </c>
      <c r="J347" t="str" cm="1">
        <f t="array" aca="1" ref="J347" ca="1">IF(ISNUMBER(A347),IFERROR(_xlfn._xlws.FILTER(Equipar!A:A,(Equipar!B:B=4)*(Equipar!AC:AC=A347)),""),"")</f>
        <v/>
      </c>
    </row>
    <row r="348" spans="1:10" x14ac:dyDescent="0.25">
      <c r="A348" s="3" t="str">
        <f ca="1">IF(A347="ID",1,IF(ISBLANK(B348),"",MAX(A$2:A347)+1))</f>
        <v/>
      </c>
      <c r="I348" s="2" t="str">
        <f ca="1">IF(ISNUMBER(A348),
IF(COUNTIFS(Equipar!B:B,4,Equipar!AC:AC,A348),"Equipada",
IF(
  OR(COUNTIFS(Equipar!B:B,4,Equipar!C:C,A348)
 +COUNTIFS(Equipar!B:B,4,Equipar!D:D,A348)
+COUNTIFS(Equipar!B:B,4,Equipar!E:E,A348)
+COUNTIFS(Equipar!B:B,4,Equipar!F:F,A348)
&gt;0,COUNTIF('Set recomendado'!B:B,C348)=0),
"Bloqueada",
"Desechable")),""
)</f>
        <v/>
      </c>
      <c r="J348" t="str" cm="1">
        <f t="array" aca="1" ref="J348" ca="1">IF(ISNUMBER(A348),IFERROR(_xlfn._xlws.FILTER(Equipar!A:A,(Equipar!B:B=4)*(Equipar!AC:AC=A348)),""),"")</f>
        <v/>
      </c>
    </row>
    <row r="349" spans="1:10" x14ac:dyDescent="0.25">
      <c r="A349" s="3" t="str">
        <f ca="1">IF(A348="ID",1,IF(ISBLANK(B349),"",MAX(A$2:A348)+1))</f>
        <v/>
      </c>
      <c r="I349" s="2" t="str">
        <f ca="1">IF(ISNUMBER(A349),
IF(COUNTIFS(Equipar!B:B,4,Equipar!AC:AC,A349),"Equipada",
IF(
  OR(COUNTIFS(Equipar!B:B,4,Equipar!C:C,A349)
 +COUNTIFS(Equipar!B:B,4,Equipar!D:D,A349)
+COUNTIFS(Equipar!B:B,4,Equipar!E:E,A349)
+COUNTIFS(Equipar!B:B,4,Equipar!F:F,A349)
&gt;0,COUNTIF('Set recomendado'!B:B,C349)=0),
"Bloqueada",
"Desechable")),""
)</f>
        <v/>
      </c>
      <c r="J349" t="str" cm="1">
        <f t="array" aca="1" ref="J349" ca="1">IF(ISNUMBER(A349),IFERROR(_xlfn._xlws.FILTER(Equipar!A:A,(Equipar!B:B=4)*(Equipar!AC:AC=A349)),""),"")</f>
        <v/>
      </c>
    </row>
    <row r="350" spans="1:10" x14ac:dyDescent="0.25">
      <c r="A350" s="3" t="str">
        <f ca="1">IF(A349="ID",1,IF(ISBLANK(B350),"",MAX(A$2:A349)+1))</f>
        <v/>
      </c>
      <c r="I350" s="2" t="str">
        <f ca="1">IF(ISNUMBER(A350),
IF(COUNTIFS(Equipar!B:B,4,Equipar!AC:AC,A350),"Equipada",
IF(
  OR(COUNTIFS(Equipar!B:B,4,Equipar!C:C,A350)
 +COUNTIFS(Equipar!B:B,4,Equipar!D:D,A350)
+COUNTIFS(Equipar!B:B,4,Equipar!E:E,A350)
+COUNTIFS(Equipar!B:B,4,Equipar!F:F,A350)
&gt;0,COUNTIF('Set recomendado'!B:B,C350)=0),
"Bloqueada",
"Desechable")),""
)</f>
        <v/>
      </c>
      <c r="J350" t="str" cm="1">
        <f t="array" aca="1" ref="J350" ca="1">IF(ISNUMBER(A350),IFERROR(_xlfn._xlws.FILTER(Equipar!A:A,(Equipar!B:B=4)*(Equipar!AC:AC=A350)),""),"")</f>
        <v/>
      </c>
    </row>
    <row r="351" spans="1:10" x14ac:dyDescent="0.25">
      <c r="A351" s="3" t="str">
        <f ca="1">IF(A350="ID",1,IF(ISBLANK(B351),"",MAX(A$2:A350)+1))</f>
        <v/>
      </c>
      <c r="I351" s="2" t="str">
        <f ca="1">IF(ISNUMBER(A351),
IF(COUNTIFS(Equipar!B:B,4,Equipar!AC:AC,A351),"Equipada",
IF(
  OR(COUNTIFS(Equipar!B:B,4,Equipar!C:C,A351)
 +COUNTIFS(Equipar!B:B,4,Equipar!D:D,A351)
+COUNTIFS(Equipar!B:B,4,Equipar!E:E,A351)
+COUNTIFS(Equipar!B:B,4,Equipar!F:F,A351)
&gt;0,COUNTIF('Set recomendado'!B:B,C351)=0),
"Bloqueada",
"Desechable")),""
)</f>
        <v/>
      </c>
      <c r="J351" t="str" cm="1">
        <f t="array" aca="1" ref="J351" ca="1">IF(ISNUMBER(A351),IFERROR(_xlfn._xlws.FILTER(Equipar!A:A,(Equipar!B:B=4)*(Equipar!AC:AC=A351)),""),"")</f>
        <v/>
      </c>
    </row>
    <row r="352" spans="1:10" x14ac:dyDescent="0.25">
      <c r="A352" s="3" t="str">
        <f ca="1">IF(A351="ID",1,IF(ISBLANK(B352),"",MAX(A$2:A351)+1))</f>
        <v/>
      </c>
      <c r="I352" s="2" t="str">
        <f ca="1">IF(ISNUMBER(A352),
IF(COUNTIFS(Equipar!B:B,4,Equipar!AC:AC,A352),"Equipada",
IF(
  OR(COUNTIFS(Equipar!B:B,4,Equipar!C:C,A352)
 +COUNTIFS(Equipar!B:B,4,Equipar!D:D,A352)
+COUNTIFS(Equipar!B:B,4,Equipar!E:E,A352)
+COUNTIFS(Equipar!B:B,4,Equipar!F:F,A352)
&gt;0,COUNTIF('Set recomendado'!B:B,C352)=0),
"Bloqueada",
"Desechable")),""
)</f>
        <v/>
      </c>
      <c r="J352" t="str" cm="1">
        <f t="array" aca="1" ref="J352" ca="1">IF(ISNUMBER(A352),IFERROR(_xlfn._xlws.FILTER(Equipar!A:A,(Equipar!B:B=4)*(Equipar!AC:AC=A352)),""),"")</f>
        <v/>
      </c>
    </row>
    <row r="353" spans="1:10" x14ac:dyDescent="0.25">
      <c r="A353" s="3" t="str">
        <f ca="1">IF(A352="ID",1,IF(ISBLANK(B353),"",MAX(A$2:A352)+1))</f>
        <v/>
      </c>
      <c r="I353" s="2" t="str">
        <f ca="1">IF(ISNUMBER(A353),
IF(COUNTIFS(Equipar!B:B,4,Equipar!AC:AC,A353),"Equipada",
IF(
  OR(COUNTIFS(Equipar!B:B,4,Equipar!C:C,A353)
 +COUNTIFS(Equipar!B:B,4,Equipar!D:D,A353)
+COUNTIFS(Equipar!B:B,4,Equipar!E:E,A353)
+COUNTIFS(Equipar!B:B,4,Equipar!F:F,A353)
&gt;0,COUNTIF('Set recomendado'!B:B,C353)=0),
"Bloqueada",
"Desechable")),""
)</f>
        <v/>
      </c>
      <c r="J353" t="str" cm="1">
        <f t="array" aca="1" ref="J353" ca="1">IF(ISNUMBER(A353),IFERROR(_xlfn._xlws.FILTER(Equipar!A:A,(Equipar!B:B=4)*(Equipar!AC:AC=A353)),""),"")</f>
        <v/>
      </c>
    </row>
    <row r="354" spans="1:10" x14ac:dyDescent="0.25">
      <c r="A354" s="3" t="str">
        <f ca="1">IF(A353="ID",1,IF(ISBLANK(B354),"",MAX(A$2:A353)+1))</f>
        <v/>
      </c>
      <c r="I354" s="2" t="str">
        <f ca="1">IF(ISNUMBER(A354),
IF(COUNTIFS(Equipar!B:B,4,Equipar!AC:AC,A354),"Equipada",
IF(
  OR(COUNTIFS(Equipar!B:B,4,Equipar!C:C,A354)
 +COUNTIFS(Equipar!B:B,4,Equipar!D:D,A354)
+COUNTIFS(Equipar!B:B,4,Equipar!E:E,A354)
+COUNTIFS(Equipar!B:B,4,Equipar!F:F,A354)
&gt;0,COUNTIF('Set recomendado'!B:B,C354)=0),
"Bloqueada",
"Desechable")),""
)</f>
        <v/>
      </c>
      <c r="J354" t="str" cm="1">
        <f t="array" aca="1" ref="J354" ca="1">IF(ISNUMBER(A354),IFERROR(_xlfn._xlws.FILTER(Equipar!A:A,(Equipar!B:B=4)*(Equipar!AC:AC=A354)),""),"")</f>
        <v/>
      </c>
    </row>
    <row r="355" spans="1:10" x14ac:dyDescent="0.25">
      <c r="A355" s="3" t="str">
        <f ca="1">IF(A354="ID",1,IF(ISBLANK(B355),"",MAX(A$2:A354)+1))</f>
        <v/>
      </c>
      <c r="I355" s="2" t="str">
        <f ca="1">IF(ISNUMBER(A355),
IF(COUNTIFS(Equipar!B:B,4,Equipar!AC:AC,A355),"Equipada",
IF(
  OR(COUNTIFS(Equipar!B:B,4,Equipar!C:C,A355)
 +COUNTIFS(Equipar!B:B,4,Equipar!D:D,A355)
+COUNTIFS(Equipar!B:B,4,Equipar!E:E,A355)
+COUNTIFS(Equipar!B:B,4,Equipar!F:F,A355)
&gt;0,COUNTIF('Set recomendado'!B:B,C355)=0),
"Bloqueada",
"Desechable")),""
)</f>
        <v/>
      </c>
      <c r="J355" t="str" cm="1">
        <f t="array" aca="1" ref="J355" ca="1">IF(ISNUMBER(A355),IFERROR(_xlfn._xlws.FILTER(Equipar!A:A,(Equipar!B:B=4)*(Equipar!AC:AC=A355)),""),"")</f>
        <v/>
      </c>
    </row>
    <row r="356" spans="1:10" x14ac:dyDescent="0.25">
      <c r="A356" s="3" t="str">
        <f ca="1">IF(A355="ID",1,IF(ISBLANK(B356),"",MAX(A$2:A355)+1))</f>
        <v/>
      </c>
      <c r="I356" s="2" t="str">
        <f ca="1">IF(ISNUMBER(A356),
IF(COUNTIFS(Equipar!B:B,4,Equipar!AC:AC,A356),"Equipada",
IF(
  OR(COUNTIFS(Equipar!B:B,4,Equipar!C:C,A356)
 +COUNTIFS(Equipar!B:B,4,Equipar!D:D,A356)
+COUNTIFS(Equipar!B:B,4,Equipar!E:E,A356)
+COUNTIFS(Equipar!B:B,4,Equipar!F:F,A356)
&gt;0,COUNTIF('Set recomendado'!B:B,C356)=0),
"Bloqueada",
"Desechable")),""
)</f>
        <v/>
      </c>
      <c r="J356" t="str" cm="1">
        <f t="array" aca="1" ref="J356" ca="1">IF(ISNUMBER(A356),IFERROR(_xlfn._xlws.FILTER(Equipar!A:A,(Equipar!B:B=4)*(Equipar!AC:AC=A356)),""),"")</f>
        <v/>
      </c>
    </row>
    <row r="357" spans="1:10" x14ac:dyDescent="0.25">
      <c r="A357" s="3" t="str">
        <f ca="1">IF(A356="ID",1,IF(ISBLANK(B357),"",MAX(A$2:A356)+1))</f>
        <v/>
      </c>
      <c r="I357" s="2" t="str">
        <f ca="1">IF(ISNUMBER(A357),
IF(COUNTIFS(Equipar!B:B,4,Equipar!AC:AC,A357),"Equipada",
IF(
  OR(COUNTIFS(Equipar!B:B,4,Equipar!C:C,A357)
 +COUNTIFS(Equipar!B:B,4,Equipar!D:D,A357)
+COUNTIFS(Equipar!B:B,4,Equipar!E:E,A357)
+COUNTIFS(Equipar!B:B,4,Equipar!F:F,A357)
&gt;0,COUNTIF('Set recomendado'!B:B,C357)=0),
"Bloqueada",
"Desechable")),""
)</f>
        <v/>
      </c>
      <c r="J357" t="str" cm="1">
        <f t="array" aca="1" ref="J357" ca="1">IF(ISNUMBER(A357),IFERROR(_xlfn._xlws.FILTER(Equipar!A:A,(Equipar!B:B=4)*(Equipar!AC:AC=A357)),""),"")</f>
        <v/>
      </c>
    </row>
    <row r="358" spans="1:10" x14ac:dyDescent="0.25">
      <c r="A358" s="3" t="str">
        <f ca="1">IF(A357="ID",1,IF(ISBLANK(B358),"",MAX(A$2:A357)+1))</f>
        <v/>
      </c>
      <c r="I358" s="2" t="str">
        <f ca="1">IF(ISNUMBER(A358),
IF(COUNTIFS(Equipar!B:B,4,Equipar!AC:AC,A358),"Equipada",
IF(
  OR(COUNTIFS(Equipar!B:B,4,Equipar!C:C,A358)
 +COUNTIFS(Equipar!B:B,4,Equipar!D:D,A358)
+COUNTIFS(Equipar!B:B,4,Equipar!E:E,A358)
+COUNTIFS(Equipar!B:B,4,Equipar!F:F,A358)
&gt;0,COUNTIF('Set recomendado'!B:B,C358)=0),
"Bloqueada",
"Desechable")),""
)</f>
        <v/>
      </c>
      <c r="J358" t="str" cm="1">
        <f t="array" aca="1" ref="J358" ca="1">IF(ISNUMBER(A358),IFERROR(_xlfn._xlws.FILTER(Equipar!A:A,(Equipar!B:B=4)*(Equipar!AC:AC=A358)),""),"")</f>
        <v/>
      </c>
    </row>
    <row r="359" spans="1:10" x14ac:dyDescent="0.25">
      <c r="A359" s="3" t="str">
        <f ca="1">IF(A358="ID",1,IF(ISBLANK(B359),"",MAX(A$2:A358)+1))</f>
        <v/>
      </c>
      <c r="I359" s="2" t="str">
        <f ca="1">IF(ISNUMBER(A359),
IF(COUNTIFS(Equipar!B:B,4,Equipar!AC:AC,A359),"Equipada",
IF(
  OR(COUNTIFS(Equipar!B:B,4,Equipar!C:C,A359)
 +COUNTIFS(Equipar!B:B,4,Equipar!D:D,A359)
+COUNTIFS(Equipar!B:B,4,Equipar!E:E,A359)
+COUNTIFS(Equipar!B:B,4,Equipar!F:F,A359)
&gt;0,COUNTIF('Set recomendado'!B:B,C359)=0),
"Bloqueada",
"Desechable")),""
)</f>
        <v/>
      </c>
      <c r="J359" t="str" cm="1">
        <f t="array" aca="1" ref="J359" ca="1">IF(ISNUMBER(A359),IFERROR(_xlfn._xlws.FILTER(Equipar!A:A,(Equipar!B:B=4)*(Equipar!AC:AC=A359)),""),"")</f>
        <v/>
      </c>
    </row>
    <row r="360" spans="1:10" x14ac:dyDescent="0.25">
      <c r="A360" s="3" t="str">
        <f ca="1">IF(A359="ID",1,IF(ISBLANK(B360),"",MAX(A$2:A359)+1))</f>
        <v/>
      </c>
      <c r="I360" s="2" t="str">
        <f ca="1">IF(ISNUMBER(A360),
IF(COUNTIFS(Equipar!B:B,4,Equipar!AC:AC,A360),"Equipada",
IF(
  OR(COUNTIFS(Equipar!B:B,4,Equipar!C:C,A360)
 +COUNTIFS(Equipar!B:B,4,Equipar!D:D,A360)
+COUNTIFS(Equipar!B:B,4,Equipar!E:E,A360)
+COUNTIFS(Equipar!B:B,4,Equipar!F:F,A360)
&gt;0,COUNTIF('Set recomendado'!B:B,C360)=0),
"Bloqueada",
"Desechable")),""
)</f>
        <v/>
      </c>
      <c r="J360" t="str" cm="1">
        <f t="array" aca="1" ref="J360" ca="1">IF(ISNUMBER(A360),IFERROR(_xlfn._xlws.FILTER(Equipar!A:A,(Equipar!B:B=4)*(Equipar!AC:AC=A360)),""),"")</f>
        <v/>
      </c>
    </row>
    <row r="361" spans="1:10" x14ac:dyDescent="0.25">
      <c r="A361" s="3" t="str">
        <f ca="1">IF(A360="ID",1,IF(ISBLANK(B361),"",MAX(A$2:A360)+1))</f>
        <v/>
      </c>
      <c r="I361" s="2" t="str">
        <f ca="1">IF(ISNUMBER(A361),
IF(COUNTIFS(Equipar!B:B,4,Equipar!AC:AC,A361),"Equipada",
IF(
  OR(COUNTIFS(Equipar!B:B,4,Equipar!C:C,A361)
 +COUNTIFS(Equipar!B:B,4,Equipar!D:D,A361)
+COUNTIFS(Equipar!B:B,4,Equipar!E:E,A361)
+COUNTIFS(Equipar!B:B,4,Equipar!F:F,A361)
&gt;0,COUNTIF('Set recomendado'!B:B,C361)=0),
"Bloqueada",
"Desechable")),""
)</f>
        <v/>
      </c>
      <c r="J361" t="str" cm="1">
        <f t="array" aca="1" ref="J361" ca="1">IF(ISNUMBER(A361),IFERROR(_xlfn._xlws.FILTER(Equipar!A:A,(Equipar!B:B=4)*(Equipar!AC:AC=A361)),""),"")</f>
        <v/>
      </c>
    </row>
    <row r="362" spans="1:10" x14ac:dyDescent="0.25">
      <c r="A362" s="3" t="str">
        <f ca="1">IF(A361="ID",1,IF(ISBLANK(B362),"",MAX(A$2:A361)+1))</f>
        <v/>
      </c>
      <c r="I362" s="2" t="str">
        <f ca="1">IF(ISNUMBER(A362),
IF(COUNTIFS(Equipar!B:B,4,Equipar!AC:AC,A362),"Equipada",
IF(
  OR(COUNTIFS(Equipar!B:B,4,Equipar!C:C,A362)
 +COUNTIFS(Equipar!B:B,4,Equipar!D:D,A362)
+COUNTIFS(Equipar!B:B,4,Equipar!E:E,A362)
+COUNTIFS(Equipar!B:B,4,Equipar!F:F,A362)
&gt;0,COUNTIF('Set recomendado'!B:B,C362)=0),
"Bloqueada",
"Desechable")),""
)</f>
        <v/>
      </c>
      <c r="J362" t="str" cm="1">
        <f t="array" aca="1" ref="J362" ca="1">IF(ISNUMBER(A362),IFERROR(_xlfn._xlws.FILTER(Equipar!A:A,(Equipar!B:B=4)*(Equipar!AC:AC=A362)),""),"")</f>
        <v/>
      </c>
    </row>
    <row r="363" spans="1:10" x14ac:dyDescent="0.25">
      <c r="A363" s="3" t="str">
        <f ca="1">IF(A362="ID",1,IF(ISBLANK(B363),"",MAX(A$2:A362)+1))</f>
        <v/>
      </c>
      <c r="I363" s="2" t="str">
        <f ca="1">IF(ISNUMBER(A363),
IF(COUNTIFS(Equipar!B:B,4,Equipar!AC:AC,A363),"Equipada",
IF(
  OR(COUNTIFS(Equipar!B:B,4,Equipar!C:C,A363)
 +COUNTIFS(Equipar!B:B,4,Equipar!D:D,A363)
+COUNTIFS(Equipar!B:B,4,Equipar!E:E,A363)
+COUNTIFS(Equipar!B:B,4,Equipar!F:F,A363)
&gt;0,COUNTIF('Set recomendado'!B:B,C363)=0),
"Bloqueada",
"Desechable")),""
)</f>
        <v/>
      </c>
      <c r="J363" t="str" cm="1">
        <f t="array" aca="1" ref="J363" ca="1">IF(ISNUMBER(A363),IFERROR(_xlfn._xlws.FILTER(Equipar!A:A,(Equipar!B:B=4)*(Equipar!AC:AC=A363)),""),"")</f>
        <v/>
      </c>
    </row>
    <row r="364" spans="1:10" x14ac:dyDescent="0.25">
      <c r="A364" s="3" t="str">
        <f ca="1">IF(A363="ID",1,IF(ISBLANK(B364),"",MAX(A$2:A363)+1))</f>
        <v/>
      </c>
      <c r="I364" s="2" t="str">
        <f ca="1">IF(ISNUMBER(A364),
IF(COUNTIFS(Equipar!B:B,4,Equipar!AC:AC,A364),"Equipada",
IF(
  OR(COUNTIFS(Equipar!B:B,4,Equipar!C:C,A364)
 +COUNTIFS(Equipar!B:B,4,Equipar!D:D,A364)
+COUNTIFS(Equipar!B:B,4,Equipar!E:E,A364)
+COUNTIFS(Equipar!B:B,4,Equipar!F:F,A364)
&gt;0,COUNTIF('Set recomendado'!B:B,C364)=0),
"Bloqueada",
"Desechable")),""
)</f>
        <v/>
      </c>
      <c r="J364" t="str" cm="1">
        <f t="array" aca="1" ref="J364" ca="1">IF(ISNUMBER(A364),IFERROR(_xlfn._xlws.FILTER(Equipar!A:A,(Equipar!B:B=4)*(Equipar!AC:AC=A364)),""),"")</f>
        <v/>
      </c>
    </row>
    <row r="365" spans="1:10" x14ac:dyDescent="0.25">
      <c r="A365" s="3" t="str">
        <f ca="1">IF(A364="ID",1,IF(ISBLANK(B365),"",MAX(A$2:A364)+1))</f>
        <v/>
      </c>
      <c r="I365" s="2" t="str">
        <f ca="1">IF(ISNUMBER(A365),
IF(COUNTIFS(Equipar!B:B,4,Equipar!AC:AC,A365),"Equipada",
IF(
  OR(COUNTIFS(Equipar!B:B,4,Equipar!C:C,A365)
 +COUNTIFS(Equipar!B:B,4,Equipar!D:D,A365)
+COUNTIFS(Equipar!B:B,4,Equipar!E:E,A365)
+COUNTIFS(Equipar!B:B,4,Equipar!F:F,A365)
&gt;0,COUNTIF('Set recomendado'!B:B,C365)=0),
"Bloqueada",
"Desechable")),""
)</f>
        <v/>
      </c>
      <c r="J365" t="str" cm="1">
        <f t="array" aca="1" ref="J365" ca="1">IF(ISNUMBER(A365),IFERROR(_xlfn._xlws.FILTER(Equipar!A:A,(Equipar!B:B=4)*(Equipar!AC:AC=A365)),""),"")</f>
        <v/>
      </c>
    </row>
    <row r="366" spans="1:10" x14ac:dyDescent="0.25">
      <c r="A366" s="3" t="str">
        <f ca="1">IF(A365="ID",1,IF(ISBLANK(B366),"",MAX(A$2:A365)+1))</f>
        <v/>
      </c>
      <c r="I366" s="2" t="str">
        <f ca="1">IF(ISNUMBER(A366),
IF(COUNTIFS(Equipar!B:B,4,Equipar!AC:AC,A366),"Equipada",
IF(
  OR(COUNTIFS(Equipar!B:B,4,Equipar!C:C,A366)
 +COUNTIFS(Equipar!B:B,4,Equipar!D:D,A366)
+COUNTIFS(Equipar!B:B,4,Equipar!E:E,A366)
+COUNTIFS(Equipar!B:B,4,Equipar!F:F,A366)
&gt;0,COUNTIF('Set recomendado'!B:B,C366)=0),
"Bloqueada",
"Desechable")),""
)</f>
        <v/>
      </c>
      <c r="J366" t="str" cm="1">
        <f t="array" aca="1" ref="J366" ca="1">IF(ISNUMBER(A366),IFERROR(_xlfn._xlws.FILTER(Equipar!A:A,(Equipar!B:B=4)*(Equipar!AC:AC=A366)),""),"")</f>
        <v/>
      </c>
    </row>
    <row r="367" spans="1:10" x14ac:dyDescent="0.25">
      <c r="A367" s="3" t="str">
        <f ca="1">IF(A366="ID",1,IF(ISBLANK(B367),"",MAX(A$2:A366)+1))</f>
        <v/>
      </c>
      <c r="I367" s="2" t="str">
        <f ca="1">IF(ISNUMBER(A367),
IF(COUNTIFS(Equipar!B:B,4,Equipar!AC:AC,A367),"Equipada",
IF(
  OR(COUNTIFS(Equipar!B:B,4,Equipar!C:C,A367)
 +COUNTIFS(Equipar!B:B,4,Equipar!D:D,A367)
+COUNTIFS(Equipar!B:B,4,Equipar!E:E,A367)
+COUNTIFS(Equipar!B:B,4,Equipar!F:F,A367)
&gt;0,COUNTIF('Set recomendado'!B:B,C367)=0),
"Bloqueada",
"Desechable")),""
)</f>
        <v/>
      </c>
      <c r="J367" t="str" cm="1">
        <f t="array" aca="1" ref="J367" ca="1">IF(ISNUMBER(A367),IFERROR(_xlfn._xlws.FILTER(Equipar!A:A,(Equipar!B:B=4)*(Equipar!AC:AC=A367)),""),"")</f>
        <v/>
      </c>
    </row>
    <row r="368" spans="1:10" x14ac:dyDescent="0.25">
      <c r="A368" s="3" t="str">
        <f ca="1">IF(A367="ID",1,IF(ISBLANK(B368),"",MAX(A$2:A367)+1))</f>
        <v/>
      </c>
      <c r="I368" s="2" t="str">
        <f ca="1">IF(ISNUMBER(A368),
IF(COUNTIFS(Equipar!B:B,4,Equipar!AC:AC,A368),"Equipada",
IF(
  OR(COUNTIFS(Equipar!B:B,4,Equipar!C:C,A368)
 +COUNTIFS(Equipar!B:B,4,Equipar!D:D,A368)
+COUNTIFS(Equipar!B:B,4,Equipar!E:E,A368)
+COUNTIFS(Equipar!B:B,4,Equipar!F:F,A368)
&gt;0,COUNTIF('Set recomendado'!B:B,C368)=0),
"Bloqueada",
"Desechable")),""
)</f>
        <v/>
      </c>
      <c r="J368" t="str" cm="1">
        <f t="array" aca="1" ref="J368" ca="1">IF(ISNUMBER(A368),IFERROR(_xlfn._xlws.FILTER(Equipar!A:A,(Equipar!B:B=4)*(Equipar!AC:AC=A368)),""),"")</f>
        <v/>
      </c>
    </row>
    <row r="369" spans="1:10" x14ac:dyDescent="0.25">
      <c r="A369" s="3" t="str">
        <f ca="1">IF(A368="ID",1,IF(ISBLANK(B369),"",MAX(A$2:A368)+1))</f>
        <v/>
      </c>
      <c r="I369" s="2" t="str">
        <f ca="1">IF(ISNUMBER(A369),
IF(COUNTIFS(Equipar!B:B,4,Equipar!AC:AC,A369),"Equipada",
IF(
  OR(COUNTIFS(Equipar!B:B,4,Equipar!C:C,A369)
 +COUNTIFS(Equipar!B:B,4,Equipar!D:D,A369)
+COUNTIFS(Equipar!B:B,4,Equipar!E:E,A369)
+COUNTIFS(Equipar!B:B,4,Equipar!F:F,A369)
&gt;0,COUNTIF('Set recomendado'!B:B,C369)=0),
"Bloqueada",
"Desechable")),""
)</f>
        <v/>
      </c>
      <c r="J369" t="str" cm="1">
        <f t="array" aca="1" ref="J369" ca="1">IF(ISNUMBER(A369),IFERROR(_xlfn._xlws.FILTER(Equipar!A:A,(Equipar!B:B=4)*(Equipar!AC:AC=A369)),""),"")</f>
        <v/>
      </c>
    </row>
    <row r="370" spans="1:10" x14ac:dyDescent="0.25">
      <c r="A370" s="3" t="str">
        <f ca="1">IF(A369="ID",1,IF(ISBLANK(B370),"",MAX(A$2:A369)+1))</f>
        <v/>
      </c>
      <c r="I370" s="2" t="str">
        <f ca="1">IF(ISNUMBER(A370),
IF(COUNTIFS(Equipar!B:B,4,Equipar!AC:AC,A370),"Equipada",
IF(
  OR(COUNTIFS(Equipar!B:B,4,Equipar!C:C,A370)
 +COUNTIFS(Equipar!B:B,4,Equipar!D:D,A370)
+COUNTIFS(Equipar!B:B,4,Equipar!E:E,A370)
+COUNTIFS(Equipar!B:B,4,Equipar!F:F,A370)
&gt;0,COUNTIF('Set recomendado'!B:B,C370)=0),
"Bloqueada",
"Desechable")),""
)</f>
        <v/>
      </c>
      <c r="J370" t="str" cm="1">
        <f t="array" aca="1" ref="J370" ca="1">IF(ISNUMBER(A370),IFERROR(_xlfn._xlws.FILTER(Equipar!A:A,(Equipar!B:B=4)*(Equipar!AC:AC=A370)),""),"")</f>
        <v/>
      </c>
    </row>
    <row r="371" spans="1:10" x14ac:dyDescent="0.25">
      <c r="A371" s="3" t="str">
        <f ca="1">IF(A370="ID",1,IF(ISBLANK(B371),"",MAX(A$2:A370)+1))</f>
        <v/>
      </c>
      <c r="I371" s="2" t="str">
        <f ca="1">IF(ISNUMBER(A371),
IF(COUNTIFS(Equipar!B:B,4,Equipar!AC:AC,A371),"Equipada",
IF(
  OR(COUNTIFS(Equipar!B:B,4,Equipar!C:C,A371)
 +COUNTIFS(Equipar!B:B,4,Equipar!D:D,A371)
+COUNTIFS(Equipar!B:B,4,Equipar!E:E,A371)
+COUNTIFS(Equipar!B:B,4,Equipar!F:F,A371)
&gt;0,COUNTIF('Set recomendado'!B:B,C371)=0),
"Bloqueada",
"Desechable")),""
)</f>
        <v/>
      </c>
      <c r="J371" t="str" cm="1">
        <f t="array" aca="1" ref="J371" ca="1">IF(ISNUMBER(A371),IFERROR(_xlfn._xlws.FILTER(Equipar!A:A,(Equipar!B:B=4)*(Equipar!AC:AC=A371)),""),"")</f>
        <v/>
      </c>
    </row>
    <row r="372" spans="1:10" x14ac:dyDescent="0.25">
      <c r="A372" s="3" t="str">
        <f ca="1">IF(A371="ID",1,IF(ISBLANK(B372),"",MAX(A$2:A371)+1))</f>
        <v/>
      </c>
      <c r="I372" s="2" t="str">
        <f ca="1">IF(ISNUMBER(A372),
IF(COUNTIFS(Equipar!B:B,4,Equipar!AC:AC,A372),"Equipada",
IF(
  OR(COUNTIFS(Equipar!B:B,4,Equipar!C:C,A372)
 +COUNTIFS(Equipar!B:B,4,Equipar!D:D,A372)
+COUNTIFS(Equipar!B:B,4,Equipar!E:E,A372)
+COUNTIFS(Equipar!B:B,4,Equipar!F:F,A372)
&gt;0,COUNTIF('Set recomendado'!B:B,C372)=0),
"Bloqueada",
"Desechable")),""
)</f>
        <v/>
      </c>
      <c r="J372" t="str" cm="1">
        <f t="array" aca="1" ref="J372" ca="1">IF(ISNUMBER(A372),IFERROR(_xlfn._xlws.FILTER(Equipar!A:A,(Equipar!B:B=4)*(Equipar!AC:AC=A372)),""),"")</f>
        <v/>
      </c>
    </row>
    <row r="373" spans="1:10" x14ac:dyDescent="0.25">
      <c r="A373" s="3" t="str">
        <f ca="1">IF(A372="ID",1,IF(ISBLANK(B373),"",MAX(A$2:A372)+1))</f>
        <v/>
      </c>
      <c r="I373" s="2" t="str">
        <f ca="1">IF(ISNUMBER(A373),
IF(COUNTIFS(Equipar!B:B,4,Equipar!AC:AC,A373),"Equipada",
IF(
  OR(COUNTIFS(Equipar!B:B,4,Equipar!C:C,A373)
 +COUNTIFS(Equipar!B:B,4,Equipar!D:D,A373)
+COUNTIFS(Equipar!B:B,4,Equipar!E:E,A373)
+COUNTIFS(Equipar!B:B,4,Equipar!F:F,A373)
&gt;0,COUNTIF('Set recomendado'!B:B,C373)=0),
"Bloqueada",
"Desechable")),""
)</f>
        <v/>
      </c>
      <c r="J373" t="str" cm="1">
        <f t="array" aca="1" ref="J373" ca="1">IF(ISNUMBER(A373),IFERROR(_xlfn._xlws.FILTER(Equipar!A:A,(Equipar!B:B=4)*(Equipar!AC:AC=A373)),""),"")</f>
        <v/>
      </c>
    </row>
    <row r="374" spans="1:10" x14ac:dyDescent="0.25">
      <c r="A374" s="3" t="str">
        <f ca="1">IF(A373="ID",1,IF(ISBLANK(B374),"",MAX(A$2:A373)+1))</f>
        <v/>
      </c>
      <c r="I374" s="2" t="str">
        <f ca="1">IF(ISNUMBER(A374),
IF(COUNTIFS(Equipar!B:B,4,Equipar!AC:AC,A374),"Equipada",
IF(
  OR(COUNTIFS(Equipar!B:B,4,Equipar!C:C,A374)
 +COUNTIFS(Equipar!B:B,4,Equipar!D:D,A374)
+COUNTIFS(Equipar!B:B,4,Equipar!E:E,A374)
+COUNTIFS(Equipar!B:B,4,Equipar!F:F,A374)
&gt;0,COUNTIF('Set recomendado'!B:B,C374)=0),
"Bloqueada",
"Desechable")),""
)</f>
        <v/>
      </c>
      <c r="J374" t="str" cm="1">
        <f t="array" aca="1" ref="J374" ca="1">IF(ISNUMBER(A374),IFERROR(_xlfn._xlws.FILTER(Equipar!A:A,(Equipar!B:B=4)*(Equipar!AC:AC=A374)),""),"")</f>
        <v/>
      </c>
    </row>
    <row r="375" spans="1:10" x14ac:dyDescent="0.25">
      <c r="A375" s="3" t="str">
        <f ca="1">IF(A374="ID",1,IF(ISBLANK(B375),"",MAX(A$2:A374)+1))</f>
        <v/>
      </c>
      <c r="I375" s="2" t="str">
        <f ca="1">IF(ISNUMBER(A375),
IF(COUNTIFS(Equipar!B:B,4,Equipar!AC:AC,A375),"Equipada",
IF(
  OR(COUNTIFS(Equipar!B:B,4,Equipar!C:C,A375)
 +COUNTIFS(Equipar!B:B,4,Equipar!D:D,A375)
+COUNTIFS(Equipar!B:B,4,Equipar!E:E,A375)
+COUNTIFS(Equipar!B:B,4,Equipar!F:F,A375)
&gt;0,COUNTIF('Set recomendado'!B:B,C375)=0),
"Bloqueada",
"Desechable")),""
)</f>
        <v/>
      </c>
      <c r="J375" t="str" cm="1">
        <f t="array" aca="1" ref="J375" ca="1">IF(ISNUMBER(A375),IFERROR(_xlfn._xlws.FILTER(Equipar!A:A,(Equipar!B:B=4)*(Equipar!AC:AC=A375)),""),"")</f>
        <v/>
      </c>
    </row>
    <row r="376" spans="1:10" x14ac:dyDescent="0.25">
      <c r="A376" s="3" t="str">
        <f ca="1">IF(A375="ID",1,IF(ISBLANK(B376),"",MAX(A$2:A375)+1))</f>
        <v/>
      </c>
      <c r="I376" s="2" t="str">
        <f ca="1">IF(ISNUMBER(A376),
IF(COUNTIFS(Equipar!B:B,4,Equipar!AC:AC,A376),"Equipada",
IF(
  OR(COUNTIFS(Equipar!B:B,4,Equipar!C:C,A376)
 +COUNTIFS(Equipar!B:B,4,Equipar!D:D,A376)
+COUNTIFS(Equipar!B:B,4,Equipar!E:E,A376)
+COUNTIFS(Equipar!B:B,4,Equipar!F:F,A376)
&gt;0,COUNTIF('Set recomendado'!B:B,C376)=0),
"Bloqueada",
"Desechable")),""
)</f>
        <v/>
      </c>
      <c r="J376" t="str" cm="1">
        <f t="array" aca="1" ref="J376" ca="1">IF(ISNUMBER(A376),IFERROR(_xlfn._xlws.FILTER(Equipar!A:A,(Equipar!B:B=4)*(Equipar!AC:AC=A376)),""),"")</f>
        <v/>
      </c>
    </row>
    <row r="377" spans="1:10" x14ac:dyDescent="0.25">
      <c r="A377" s="3" t="str">
        <f ca="1">IF(A376="ID",1,IF(ISBLANK(B377),"",MAX(A$2:A376)+1))</f>
        <v/>
      </c>
      <c r="I377" s="2" t="str">
        <f ca="1">IF(ISNUMBER(A377),
IF(COUNTIFS(Equipar!B:B,4,Equipar!AC:AC,A377),"Equipada",
IF(
  OR(COUNTIFS(Equipar!B:B,4,Equipar!C:C,A377)
 +COUNTIFS(Equipar!B:B,4,Equipar!D:D,A377)
+COUNTIFS(Equipar!B:B,4,Equipar!E:E,A377)
+COUNTIFS(Equipar!B:B,4,Equipar!F:F,A377)
&gt;0,COUNTIF('Set recomendado'!B:B,C377)=0),
"Bloqueada",
"Desechable")),""
)</f>
        <v/>
      </c>
      <c r="J377" t="str" cm="1">
        <f t="array" aca="1" ref="J377" ca="1">IF(ISNUMBER(A377),IFERROR(_xlfn._xlws.FILTER(Equipar!A:A,(Equipar!B:B=4)*(Equipar!AC:AC=A377)),""),"")</f>
        <v/>
      </c>
    </row>
    <row r="378" spans="1:10" x14ac:dyDescent="0.25">
      <c r="A378" s="3" t="str">
        <f ca="1">IF(A377="ID",1,IF(ISBLANK(B378),"",MAX(A$2:A377)+1))</f>
        <v/>
      </c>
      <c r="I378" s="2" t="str">
        <f ca="1">IF(ISNUMBER(A378),
IF(COUNTIFS(Equipar!B:B,4,Equipar!AC:AC,A378),"Equipada",
IF(
  OR(COUNTIFS(Equipar!B:B,4,Equipar!C:C,A378)
 +COUNTIFS(Equipar!B:B,4,Equipar!D:D,A378)
+COUNTIFS(Equipar!B:B,4,Equipar!E:E,A378)
+COUNTIFS(Equipar!B:B,4,Equipar!F:F,A378)
&gt;0,COUNTIF('Set recomendado'!B:B,C378)=0),
"Bloqueada",
"Desechable")),""
)</f>
        <v/>
      </c>
      <c r="J378" t="str" cm="1">
        <f t="array" aca="1" ref="J378" ca="1">IF(ISNUMBER(A378),IFERROR(_xlfn._xlws.FILTER(Equipar!A:A,(Equipar!B:B=4)*(Equipar!AC:AC=A378)),""),"")</f>
        <v/>
      </c>
    </row>
    <row r="379" spans="1:10" x14ac:dyDescent="0.25">
      <c r="A379" s="3" t="str">
        <f ca="1">IF(A378="ID",1,IF(ISBLANK(B379),"",MAX(A$2:A378)+1))</f>
        <v/>
      </c>
      <c r="I379" s="2" t="str">
        <f ca="1">IF(ISNUMBER(A379),
IF(COUNTIFS(Equipar!B:B,4,Equipar!AC:AC,A379),"Equipada",
IF(
  OR(COUNTIFS(Equipar!B:B,4,Equipar!C:C,A379)
 +COUNTIFS(Equipar!B:B,4,Equipar!D:D,A379)
+COUNTIFS(Equipar!B:B,4,Equipar!E:E,A379)
+COUNTIFS(Equipar!B:B,4,Equipar!F:F,A379)
&gt;0,COUNTIF('Set recomendado'!B:B,C379)=0),
"Bloqueada",
"Desechable")),""
)</f>
        <v/>
      </c>
      <c r="J379" t="str" cm="1">
        <f t="array" aca="1" ref="J379" ca="1">IF(ISNUMBER(A379),IFERROR(_xlfn._xlws.FILTER(Equipar!A:A,(Equipar!B:B=4)*(Equipar!AC:AC=A379)),""),"")</f>
        <v/>
      </c>
    </row>
    <row r="380" spans="1:10" x14ac:dyDescent="0.25">
      <c r="A380" s="3" t="str">
        <f ca="1">IF(A379="ID",1,IF(ISBLANK(B380),"",MAX(A$2:A379)+1))</f>
        <v/>
      </c>
      <c r="I380" s="2" t="str">
        <f ca="1">IF(ISNUMBER(A380),
IF(COUNTIFS(Equipar!B:B,4,Equipar!AC:AC,A380),"Equipada",
IF(
  OR(COUNTIFS(Equipar!B:B,4,Equipar!C:C,A380)
 +COUNTIFS(Equipar!B:B,4,Equipar!D:D,A380)
+COUNTIFS(Equipar!B:B,4,Equipar!E:E,A380)
+COUNTIFS(Equipar!B:B,4,Equipar!F:F,A380)
&gt;0,COUNTIF('Set recomendado'!B:B,C380)=0),
"Bloqueada",
"Desechable")),""
)</f>
        <v/>
      </c>
      <c r="J380" t="str" cm="1">
        <f t="array" aca="1" ref="J380" ca="1">IF(ISNUMBER(A380),IFERROR(_xlfn._xlws.FILTER(Equipar!A:A,(Equipar!B:B=4)*(Equipar!AC:AC=A380)),""),"")</f>
        <v/>
      </c>
    </row>
    <row r="381" spans="1:10" x14ac:dyDescent="0.25">
      <c r="A381" s="3" t="str">
        <f ca="1">IF(A380="ID",1,IF(ISBLANK(B381),"",MAX(A$2:A380)+1))</f>
        <v/>
      </c>
      <c r="I381" s="2" t="str">
        <f ca="1">IF(ISNUMBER(A381),
IF(COUNTIFS(Equipar!B:B,4,Equipar!AC:AC,A381),"Equipada",
IF(
  OR(COUNTIFS(Equipar!B:B,4,Equipar!C:C,A381)
 +COUNTIFS(Equipar!B:B,4,Equipar!D:D,A381)
+COUNTIFS(Equipar!B:B,4,Equipar!E:E,A381)
+COUNTIFS(Equipar!B:B,4,Equipar!F:F,A381)
&gt;0,COUNTIF('Set recomendado'!B:B,C381)=0),
"Bloqueada",
"Desechable")),""
)</f>
        <v/>
      </c>
      <c r="J381" t="str" cm="1">
        <f t="array" aca="1" ref="J381" ca="1">IF(ISNUMBER(A381),IFERROR(_xlfn._xlws.FILTER(Equipar!A:A,(Equipar!B:B=4)*(Equipar!AC:AC=A381)),""),"")</f>
        <v/>
      </c>
    </row>
    <row r="382" spans="1:10" x14ac:dyDescent="0.25">
      <c r="A382" s="3" t="str">
        <f ca="1">IF(A381="ID",1,IF(ISBLANK(B382),"",MAX(A$2:A381)+1))</f>
        <v/>
      </c>
      <c r="I382" s="2" t="str">
        <f ca="1">IF(ISNUMBER(A382),
IF(COUNTIFS(Equipar!B:B,4,Equipar!AC:AC,A382),"Equipada",
IF(
  OR(COUNTIFS(Equipar!B:B,4,Equipar!C:C,A382)
 +COUNTIFS(Equipar!B:B,4,Equipar!D:D,A382)
+COUNTIFS(Equipar!B:B,4,Equipar!E:E,A382)
+COUNTIFS(Equipar!B:B,4,Equipar!F:F,A382)
&gt;0,COUNTIF('Set recomendado'!B:B,C382)=0),
"Bloqueada",
"Desechable")),""
)</f>
        <v/>
      </c>
      <c r="J382" t="str" cm="1">
        <f t="array" aca="1" ref="J382" ca="1">IF(ISNUMBER(A382),IFERROR(_xlfn._xlws.FILTER(Equipar!A:A,(Equipar!B:B=4)*(Equipar!AC:AC=A382)),""),"")</f>
        <v/>
      </c>
    </row>
    <row r="383" spans="1:10" x14ac:dyDescent="0.25">
      <c r="A383" s="3" t="str">
        <f ca="1">IF(A382="ID",1,IF(ISBLANK(B383),"",MAX(A$2:A382)+1))</f>
        <v/>
      </c>
      <c r="I383" s="2" t="str">
        <f ca="1">IF(ISNUMBER(A383),
IF(COUNTIFS(Equipar!B:B,4,Equipar!AC:AC,A383),"Equipada",
IF(
  OR(COUNTIFS(Equipar!B:B,4,Equipar!C:C,A383)
 +COUNTIFS(Equipar!B:B,4,Equipar!D:D,A383)
+COUNTIFS(Equipar!B:B,4,Equipar!E:E,A383)
+COUNTIFS(Equipar!B:B,4,Equipar!F:F,A383)
&gt;0,COUNTIF('Set recomendado'!B:B,C383)=0),
"Bloqueada",
"Desechable")),""
)</f>
        <v/>
      </c>
      <c r="J383" t="str" cm="1">
        <f t="array" aca="1" ref="J383" ca="1">IF(ISNUMBER(A383),IFERROR(_xlfn._xlws.FILTER(Equipar!A:A,(Equipar!B:B=4)*(Equipar!AC:AC=A383)),""),"")</f>
        <v/>
      </c>
    </row>
    <row r="384" spans="1:10" x14ac:dyDescent="0.25">
      <c r="A384" s="3" t="str">
        <f ca="1">IF(A383="ID",1,IF(ISBLANK(B384),"",MAX(A$2:A383)+1))</f>
        <v/>
      </c>
      <c r="I384" s="2" t="str">
        <f ca="1">IF(ISNUMBER(A384),
IF(COUNTIFS(Equipar!B:B,4,Equipar!AC:AC,A384),"Equipada",
IF(
  OR(COUNTIFS(Equipar!B:B,4,Equipar!C:C,A384)
 +COUNTIFS(Equipar!B:B,4,Equipar!D:D,A384)
+COUNTIFS(Equipar!B:B,4,Equipar!E:E,A384)
+COUNTIFS(Equipar!B:B,4,Equipar!F:F,A384)
&gt;0,COUNTIF('Set recomendado'!B:B,C384)=0),
"Bloqueada",
"Desechable")),""
)</f>
        <v/>
      </c>
      <c r="J384" t="str" cm="1">
        <f t="array" aca="1" ref="J384" ca="1">IF(ISNUMBER(A384),IFERROR(_xlfn._xlws.FILTER(Equipar!A:A,(Equipar!B:B=4)*(Equipar!AC:AC=A384)),""),"")</f>
        <v/>
      </c>
    </row>
    <row r="385" spans="1:10" x14ac:dyDescent="0.25">
      <c r="A385" s="3" t="str">
        <f ca="1">IF(A384="ID",1,IF(ISBLANK(B385),"",MAX(A$2:A384)+1))</f>
        <v/>
      </c>
      <c r="I385" s="2" t="str">
        <f ca="1">IF(ISNUMBER(A385),
IF(COUNTIFS(Equipar!B:B,4,Equipar!AC:AC,A385),"Equipada",
IF(
  OR(COUNTIFS(Equipar!B:B,4,Equipar!C:C,A385)
 +COUNTIFS(Equipar!B:B,4,Equipar!D:D,A385)
+COUNTIFS(Equipar!B:B,4,Equipar!E:E,A385)
+COUNTIFS(Equipar!B:B,4,Equipar!F:F,A385)
&gt;0,COUNTIF('Set recomendado'!B:B,C385)=0),
"Bloqueada",
"Desechable")),""
)</f>
        <v/>
      </c>
      <c r="J385" t="str" cm="1">
        <f t="array" aca="1" ref="J385" ca="1">IF(ISNUMBER(A385),IFERROR(_xlfn._xlws.FILTER(Equipar!A:A,(Equipar!B:B=4)*(Equipar!AC:AC=A385)),""),"")</f>
        <v/>
      </c>
    </row>
    <row r="386" spans="1:10" x14ac:dyDescent="0.25">
      <c r="A386" s="3" t="str">
        <f ca="1">IF(A385="ID",1,IF(ISBLANK(B386),"",MAX(A$2:A385)+1))</f>
        <v/>
      </c>
      <c r="I386" s="2" t="str">
        <f ca="1">IF(ISNUMBER(A386),
IF(COUNTIFS(Equipar!B:B,4,Equipar!AC:AC,A386),"Equipada",
IF(
  OR(COUNTIFS(Equipar!B:B,4,Equipar!C:C,A386)
 +COUNTIFS(Equipar!B:B,4,Equipar!D:D,A386)
+COUNTIFS(Equipar!B:B,4,Equipar!E:E,A386)
+COUNTIFS(Equipar!B:B,4,Equipar!F:F,A386)
&gt;0,COUNTIF('Set recomendado'!B:B,C386)=0),
"Bloqueada",
"Desechable")),""
)</f>
        <v/>
      </c>
      <c r="J386" t="str" cm="1">
        <f t="array" aca="1" ref="J386" ca="1">IF(ISNUMBER(A386),IFERROR(_xlfn._xlws.FILTER(Equipar!A:A,(Equipar!B:B=4)*(Equipar!AC:AC=A386)),""),"")</f>
        <v/>
      </c>
    </row>
    <row r="387" spans="1:10" x14ac:dyDescent="0.25">
      <c r="A387" s="3" t="str">
        <f ca="1">IF(A386="ID",1,IF(ISBLANK(B387),"",MAX(A$2:A386)+1))</f>
        <v/>
      </c>
      <c r="I387" s="2" t="str">
        <f ca="1">IF(ISNUMBER(A387),
IF(COUNTIFS(Equipar!B:B,4,Equipar!AC:AC,A387),"Equipada",
IF(
  OR(COUNTIFS(Equipar!B:B,4,Equipar!C:C,A387)
 +COUNTIFS(Equipar!B:B,4,Equipar!D:D,A387)
+COUNTIFS(Equipar!B:B,4,Equipar!E:E,A387)
+COUNTIFS(Equipar!B:B,4,Equipar!F:F,A387)
&gt;0,COUNTIF('Set recomendado'!B:B,C387)=0),
"Bloqueada",
"Desechable")),""
)</f>
        <v/>
      </c>
      <c r="J387" t="str" cm="1">
        <f t="array" aca="1" ref="J387" ca="1">IF(ISNUMBER(A387),IFERROR(_xlfn._xlws.FILTER(Equipar!A:A,(Equipar!B:B=4)*(Equipar!AC:AC=A387)),""),"")</f>
        <v/>
      </c>
    </row>
    <row r="388" spans="1:10" x14ac:dyDescent="0.25">
      <c r="A388" s="3" t="str">
        <f ca="1">IF(A387="ID",1,IF(ISBLANK(B388),"",MAX(A$2:A387)+1))</f>
        <v/>
      </c>
      <c r="I388" s="2" t="str">
        <f ca="1">IF(ISNUMBER(A388),
IF(COUNTIFS(Equipar!B:B,4,Equipar!AC:AC,A388),"Equipada",
IF(
  OR(COUNTIFS(Equipar!B:B,4,Equipar!C:C,A388)
 +COUNTIFS(Equipar!B:B,4,Equipar!D:D,A388)
+COUNTIFS(Equipar!B:B,4,Equipar!E:E,A388)
+COUNTIFS(Equipar!B:B,4,Equipar!F:F,A388)
&gt;0,COUNTIF('Set recomendado'!B:B,C388)=0),
"Bloqueada",
"Desechable")),""
)</f>
        <v/>
      </c>
      <c r="J388" t="str" cm="1">
        <f t="array" aca="1" ref="J388" ca="1">IF(ISNUMBER(A388),IFERROR(_xlfn._xlws.FILTER(Equipar!A:A,(Equipar!B:B=4)*(Equipar!AC:AC=A388)),""),"")</f>
        <v/>
      </c>
    </row>
    <row r="389" spans="1:10" x14ac:dyDescent="0.25">
      <c r="A389" s="3" t="str">
        <f ca="1">IF(A388="ID",1,IF(ISBLANK(B389),"",MAX(A$2:A388)+1))</f>
        <v/>
      </c>
      <c r="I389" s="2" t="str">
        <f ca="1">IF(ISNUMBER(A389),
IF(COUNTIFS(Equipar!B:B,4,Equipar!AC:AC,A389),"Equipada",
IF(
  OR(COUNTIFS(Equipar!B:B,4,Equipar!C:C,A389)
 +COUNTIFS(Equipar!B:B,4,Equipar!D:D,A389)
+COUNTIFS(Equipar!B:B,4,Equipar!E:E,A389)
+COUNTIFS(Equipar!B:B,4,Equipar!F:F,A389)
&gt;0,COUNTIF('Set recomendado'!B:B,C389)=0),
"Bloqueada",
"Desechable")),""
)</f>
        <v/>
      </c>
      <c r="J389" t="str" cm="1">
        <f t="array" aca="1" ref="J389" ca="1">IF(ISNUMBER(A389),IFERROR(_xlfn._xlws.FILTER(Equipar!A:A,(Equipar!B:B=4)*(Equipar!AC:AC=A389)),""),"")</f>
        <v/>
      </c>
    </row>
    <row r="390" spans="1:10" x14ac:dyDescent="0.25">
      <c r="A390" s="3" t="str">
        <f ca="1">IF(A389="ID",1,IF(ISBLANK(B390),"",MAX(A$2:A389)+1))</f>
        <v/>
      </c>
      <c r="I390" s="2" t="str">
        <f ca="1">IF(ISNUMBER(A390),
IF(COUNTIFS(Equipar!B:B,4,Equipar!AC:AC,A390),"Equipada",
IF(
  OR(COUNTIFS(Equipar!B:B,4,Equipar!C:C,A390)
 +COUNTIFS(Equipar!B:B,4,Equipar!D:D,A390)
+COUNTIFS(Equipar!B:B,4,Equipar!E:E,A390)
+COUNTIFS(Equipar!B:B,4,Equipar!F:F,A390)
&gt;0,COUNTIF('Set recomendado'!B:B,C390)=0),
"Bloqueada",
"Desechable")),""
)</f>
        <v/>
      </c>
      <c r="J390" t="str" cm="1">
        <f t="array" aca="1" ref="J390" ca="1">IF(ISNUMBER(A390),IFERROR(_xlfn._xlws.FILTER(Equipar!A:A,(Equipar!B:B=4)*(Equipar!AC:AC=A390)),""),"")</f>
        <v/>
      </c>
    </row>
    <row r="391" spans="1:10" x14ac:dyDescent="0.25">
      <c r="A391" s="3" t="str">
        <f ca="1">IF(A390="ID",1,IF(ISBLANK(B391),"",MAX(A$2:A390)+1))</f>
        <v/>
      </c>
      <c r="I391" s="2" t="str">
        <f ca="1">IF(ISNUMBER(A391),
IF(COUNTIFS(Equipar!B:B,4,Equipar!AC:AC,A391),"Equipada",
IF(
  OR(COUNTIFS(Equipar!B:B,4,Equipar!C:C,A391)
 +COUNTIFS(Equipar!B:B,4,Equipar!D:D,A391)
+COUNTIFS(Equipar!B:B,4,Equipar!E:E,A391)
+COUNTIFS(Equipar!B:B,4,Equipar!F:F,A391)
&gt;0,COUNTIF('Set recomendado'!B:B,C391)=0),
"Bloqueada",
"Desechable")),""
)</f>
        <v/>
      </c>
      <c r="J391" t="str" cm="1">
        <f t="array" aca="1" ref="J391" ca="1">IF(ISNUMBER(A391),IFERROR(_xlfn._xlws.FILTER(Equipar!A:A,(Equipar!B:B=4)*(Equipar!AC:AC=A391)),""),"")</f>
        <v/>
      </c>
    </row>
    <row r="392" spans="1:10" x14ac:dyDescent="0.25">
      <c r="A392" s="3" t="str">
        <f ca="1">IF(A391="ID",1,IF(ISBLANK(B392),"",MAX(A$2:A391)+1))</f>
        <v/>
      </c>
      <c r="I392" s="2" t="str">
        <f ca="1">IF(ISNUMBER(A392),
IF(COUNTIFS(Equipar!B:B,4,Equipar!AC:AC,A392),"Equipada",
IF(
  OR(COUNTIFS(Equipar!B:B,4,Equipar!C:C,A392)
 +COUNTIFS(Equipar!B:B,4,Equipar!D:D,A392)
+COUNTIFS(Equipar!B:B,4,Equipar!E:E,A392)
+COUNTIFS(Equipar!B:B,4,Equipar!F:F,A392)
&gt;0,COUNTIF('Set recomendado'!B:B,C392)=0),
"Bloqueada",
"Desechable")),""
)</f>
        <v/>
      </c>
      <c r="J392" t="str" cm="1">
        <f t="array" aca="1" ref="J392" ca="1">IF(ISNUMBER(A392),IFERROR(_xlfn._xlws.FILTER(Equipar!A:A,(Equipar!B:B=4)*(Equipar!AC:AC=A392)),""),"")</f>
        <v/>
      </c>
    </row>
    <row r="393" spans="1:10" x14ac:dyDescent="0.25">
      <c r="A393" s="3" t="str">
        <f ca="1">IF(A392="ID",1,IF(ISBLANK(B393),"",MAX(A$2:A392)+1))</f>
        <v/>
      </c>
      <c r="I393" s="2" t="str">
        <f ca="1">IF(ISNUMBER(A393),
IF(COUNTIFS(Equipar!B:B,4,Equipar!AC:AC,A393),"Equipada",
IF(
  OR(COUNTIFS(Equipar!B:B,4,Equipar!C:C,A393)
 +COUNTIFS(Equipar!B:B,4,Equipar!D:D,A393)
+COUNTIFS(Equipar!B:B,4,Equipar!E:E,A393)
+COUNTIFS(Equipar!B:B,4,Equipar!F:F,A393)
&gt;0,COUNTIF('Set recomendado'!B:B,C393)=0),
"Bloqueada",
"Desechable")),""
)</f>
        <v/>
      </c>
      <c r="J393" t="str" cm="1">
        <f t="array" aca="1" ref="J393" ca="1">IF(ISNUMBER(A393),IFERROR(_xlfn._xlws.FILTER(Equipar!A:A,(Equipar!B:B=4)*(Equipar!AC:AC=A393)),""),"")</f>
        <v/>
      </c>
    </row>
    <row r="394" spans="1:10" x14ac:dyDescent="0.25">
      <c r="A394" s="3" t="str">
        <f ca="1">IF(A393="ID",1,IF(ISBLANK(B394),"",MAX(A$2:A393)+1))</f>
        <v/>
      </c>
      <c r="I394" s="2" t="str">
        <f ca="1">IF(ISNUMBER(A394),
IF(COUNTIFS(Equipar!B:B,4,Equipar!AC:AC,A394),"Equipada",
IF(
  OR(COUNTIFS(Equipar!B:B,4,Equipar!C:C,A394)
 +COUNTIFS(Equipar!B:B,4,Equipar!D:D,A394)
+COUNTIFS(Equipar!B:B,4,Equipar!E:E,A394)
+COUNTIFS(Equipar!B:B,4,Equipar!F:F,A394)
&gt;0,COUNTIF('Set recomendado'!B:B,C394)=0),
"Bloqueada",
"Desechable")),""
)</f>
        <v/>
      </c>
      <c r="J394" t="str" cm="1">
        <f t="array" aca="1" ref="J394" ca="1">IF(ISNUMBER(A394),IFERROR(_xlfn._xlws.FILTER(Equipar!A:A,(Equipar!B:B=4)*(Equipar!AC:AC=A394)),""),"")</f>
        <v/>
      </c>
    </row>
    <row r="395" spans="1:10" x14ac:dyDescent="0.25">
      <c r="A395" s="3" t="str">
        <f ca="1">IF(A394="ID",1,IF(ISBLANK(B395),"",MAX(A$2:A394)+1))</f>
        <v/>
      </c>
      <c r="I395" s="2" t="str">
        <f ca="1">IF(ISNUMBER(A395),
IF(COUNTIFS(Equipar!B:B,4,Equipar!AC:AC,A395),"Equipada",
IF(
  OR(COUNTIFS(Equipar!B:B,4,Equipar!C:C,A395)
 +COUNTIFS(Equipar!B:B,4,Equipar!D:D,A395)
+COUNTIFS(Equipar!B:B,4,Equipar!E:E,A395)
+COUNTIFS(Equipar!B:B,4,Equipar!F:F,A395)
&gt;0,COUNTIF('Set recomendado'!B:B,C395)=0),
"Bloqueada",
"Desechable")),""
)</f>
        <v/>
      </c>
      <c r="J395" t="str" cm="1">
        <f t="array" aca="1" ref="J395" ca="1">IF(ISNUMBER(A395),IFERROR(_xlfn._xlws.FILTER(Equipar!A:A,(Equipar!B:B=4)*(Equipar!AC:AC=A395)),""),"")</f>
        <v/>
      </c>
    </row>
    <row r="396" spans="1:10" x14ac:dyDescent="0.25">
      <c r="A396" s="3" t="str">
        <f ca="1">IF(A395="ID",1,IF(ISBLANK(B396),"",MAX(A$2:A395)+1))</f>
        <v/>
      </c>
      <c r="I396" s="2" t="str">
        <f ca="1">IF(ISNUMBER(A396),
IF(COUNTIFS(Equipar!B:B,4,Equipar!AC:AC,A396),"Equipada",
IF(
  OR(COUNTIFS(Equipar!B:B,4,Equipar!C:C,A396)
 +COUNTIFS(Equipar!B:B,4,Equipar!D:D,A396)
+COUNTIFS(Equipar!B:B,4,Equipar!E:E,A396)
+COUNTIFS(Equipar!B:B,4,Equipar!F:F,A396)
&gt;0,COUNTIF('Set recomendado'!B:B,C396)=0),
"Bloqueada",
"Desechable")),""
)</f>
        <v/>
      </c>
      <c r="J396" t="str" cm="1">
        <f t="array" aca="1" ref="J396" ca="1">IF(ISNUMBER(A396),IFERROR(_xlfn._xlws.FILTER(Equipar!A:A,(Equipar!B:B=4)*(Equipar!AC:AC=A396)),""),"")</f>
        <v/>
      </c>
    </row>
    <row r="397" spans="1:10" x14ac:dyDescent="0.25">
      <c r="A397" s="3" t="str">
        <f ca="1">IF(A396="ID",1,IF(ISBLANK(B397),"",MAX(A$2:A396)+1))</f>
        <v/>
      </c>
      <c r="I397" s="2" t="str">
        <f ca="1">IF(ISNUMBER(A397),
IF(COUNTIFS(Equipar!B:B,4,Equipar!AC:AC,A397),"Equipada",
IF(
  OR(COUNTIFS(Equipar!B:B,4,Equipar!C:C,A397)
 +COUNTIFS(Equipar!B:B,4,Equipar!D:D,A397)
+COUNTIFS(Equipar!B:B,4,Equipar!E:E,A397)
+COUNTIFS(Equipar!B:B,4,Equipar!F:F,A397)
&gt;0,COUNTIF('Set recomendado'!B:B,C397)=0),
"Bloqueada",
"Desechable")),""
)</f>
        <v/>
      </c>
      <c r="J397" t="str" cm="1">
        <f t="array" aca="1" ref="J397" ca="1">IF(ISNUMBER(A397),IFERROR(_xlfn._xlws.FILTER(Equipar!A:A,(Equipar!B:B=4)*(Equipar!AC:AC=A397)),""),"")</f>
        <v/>
      </c>
    </row>
    <row r="398" spans="1:10" x14ac:dyDescent="0.25">
      <c r="A398" s="3" t="str">
        <f ca="1">IF(A397="ID",1,IF(ISBLANK(B398),"",MAX(A$2:A397)+1))</f>
        <v/>
      </c>
      <c r="I398" s="2" t="str">
        <f ca="1">IF(ISNUMBER(A398),
IF(COUNTIFS(Equipar!B:B,4,Equipar!AC:AC,A398),"Equipada",
IF(
  OR(COUNTIFS(Equipar!B:B,4,Equipar!C:C,A398)
 +COUNTIFS(Equipar!B:B,4,Equipar!D:D,A398)
+COUNTIFS(Equipar!B:B,4,Equipar!E:E,A398)
+COUNTIFS(Equipar!B:B,4,Equipar!F:F,A398)
&gt;0,COUNTIF('Set recomendado'!B:B,C398)=0),
"Bloqueada",
"Desechable")),""
)</f>
        <v/>
      </c>
      <c r="J398" t="str" cm="1">
        <f t="array" aca="1" ref="J398" ca="1">IF(ISNUMBER(A398),IFERROR(_xlfn._xlws.FILTER(Equipar!A:A,(Equipar!B:B=4)*(Equipar!AC:AC=A398)),""),"")</f>
        <v/>
      </c>
    </row>
    <row r="399" spans="1:10" x14ac:dyDescent="0.25">
      <c r="A399" s="3" t="str">
        <f ca="1">IF(A398="ID",1,IF(ISBLANK(B399),"",MAX(A$2:A398)+1))</f>
        <v/>
      </c>
      <c r="I399" s="2" t="str">
        <f ca="1">IF(ISNUMBER(A399),
IF(COUNTIFS(Equipar!B:B,4,Equipar!AC:AC,A399),"Equipada",
IF(
  OR(COUNTIFS(Equipar!B:B,4,Equipar!C:C,A399)
 +COUNTIFS(Equipar!B:B,4,Equipar!D:D,A399)
+COUNTIFS(Equipar!B:B,4,Equipar!E:E,A399)
+COUNTIFS(Equipar!B:B,4,Equipar!F:F,A399)
&gt;0,COUNTIF('Set recomendado'!B:B,C399)=0),
"Bloqueada",
"Desechable")),""
)</f>
        <v/>
      </c>
      <c r="J399" t="str" cm="1">
        <f t="array" aca="1" ref="J399" ca="1">IF(ISNUMBER(A399),IFERROR(_xlfn._xlws.FILTER(Equipar!A:A,(Equipar!B:B=4)*(Equipar!AC:AC=A399)),""),"")</f>
        <v/>
      </c>
    </row>
    <row r="400" spans="1:10" x14ac:dyDescent="0.25">
      <c r="A400" s="3" t="str">
        <f ca="1">IF(A399="ID",1,IF(ISBLANK(B400),"",MAX(A$2:A399)+1))</f>
        <v/>
      </c>
      <c r="I400" s="2" t="str">
        <f ca="1">IF(ISNUMBER(A400),
IF(COUNTIFS(Equipar!B:B,4,Equipar!AC:AC,A400),"Equipada",
IF(
  OR(COUNTIFS(Equipar!B:B,4,Equipar!C:C,A400)
 +COUNTIFS(Equipar!B:B,4,Equipar!D:D,A400)
+COUNTIFS(Equipar!B:B,4,Equipar!E:E,A400)
+COUNTIFS(Equipar!B:B,4,Equipar!F:F,A400)
&gt;0,COUNTIF('Set recomendado'!B:B,C400)=0),
"Bloqueada",
"Desechable")),""
)</f>
        <v/>
      </c>
      <c r="J400" t="str" cm="1">
        <f t="array" aca="1" ref="J400" ca="1">IF(ISNUMBER(A400),IFERROR(_xlfn._xlws.FILTER(Equipar!A:A,(Equipar!B:B=4)*(Equipar!AC:AC=A400)),""),"")</f>
        <v/>
      </c>
    </row>
    <row r="401" spans="1:10" x14ac:dyDescent="0.25">
      <c r="A401" s="3" t="str">
        <f ca="1">IF(A400="ID",1,IF(ISBLANK(B401),"",MAX(A$2:A400)+1))</f>
        <v/>
      </c>
      <c r="I401" s="2" t="str">
        <f ca="1">IF(ISNUMBER(A401),
IF(COUNTIFS(Equipar!B:B,4,Equipar!AC:AC,A401),"Equipada",
IF(
  OR(COUNTIFS(Equipar!B:B,4,Equipar!C:C,A401)
 +COUNTIFS(Equipar!B:B,4,Equipar!D:D,A401)
+COUNTIFS(Equipar!B:B,4,Equipar!E:E,A401)
+COUNTIFS(Equipar!B:B,4,Equipar!F:F,A401)
&gt;0,COUNTIF('Set recomendado'!B:B,C401)=0),
"Bloqueada",
"Desechable")),""
)</f>
        <v/>
      </c>
      <c r="J401" t="str" cm="1">
        <f t="array" aca="1" ref="J401" ca="1">IF(ISNUMBER(A401),IFERROR(_xlfn._xlws.FILTER(Equipar!A:A,(Equipar!B:B=4)*(Equipar!AC:AC=A401)),""),"")</f>
        <v/>
      </c>
    </row>
    <row r="402" spans="1:10" x14ac:dyDescent="0.25">
      <c r="A402" s="3" t="str">
        <f ca="1">IF(A401="ID",1,IF(ISBLANK(B402),"",MAX(A$2:A401)+1))</f>
        <v/>
      </c>
      <c r="I402" s="2" t="str">
        <f ca="1">IF(ISNUMBER(A402),
IF(COUNTIFS(Equipar!B:B,4,Equipar!AC:AC,A402),"Equipada",
IF(
  OR(COUNTIFS(Equipar!B:B,4,Equipar!C:C,A402)
 +COUNTIFS(Equipar!B:B,4,Equipar!D:D,A402)
+COUNTIFS(Equipar!B:B,4,Equipar!E:E,A402)
+COUNTIFS(Equipar!B:B,4,Equipar!F:F,A402)
&gt;0,COUNTIF('Set recomendado'!B:B,C402)=0),
"Bloqueada",
"Desechable")),""
)</f>
        <v/>
      </c>
      <c r="J402" t="str" cm="1">
        <f t="array" aca="1" ref="J402" ca="1">IF(ISNUMBER(A402),IFERROR(_xlfn._xlws.FILTER(Equipar!A:A,(Equipar!B:B=4)*(Equipar!AC:AC=A402)),""),"")</f>
        <v/>
      </c>
    </row>
    <row r="403" spans="1:10" x14ac:dyDescent="0.25">
      <c r="A403" s="3" t="str">
        <f ca="1">IF(A402="ID",1,IF(ISBLANK(B403),"",MAX(A$2:A402)+1))</f>
        <v/>
      </c>
      <c r="I403" s="2" t="str">
        <f ca="1">IF(ISNUMBER(A403),
IF(COUNTIFS(Equipar!B:B,4,Equipar!AC:AC,A403),"Equipada",
IF(
  OR(COUNTIFS(Equipar!B:B,4,Equipar!C:C,A403)
 +COUNTIFS(Equipar!B:B,4,Equipar!D:D,A403)
+COUNTIFS(Equipar!B:B,4,Equipar!E:E,A403)
+COUNTIFS(Equipar!B:B,4,Equipar!F:F,A403)
&gt;0,COUNTIF('Set recomendado'!B:B,C403)=0),
"Bloqueada",
"Desechable")),""
)</f>
        <v/>
      </c>
      <c r="J403" t="str" cm="1">
        <f t="array" aca="1" ref="J403" ca="1">IF(ISNUMBER(A403),IFERROR(_xlfn._xlws.FILTER(Equipar!A:A,(Equipar!B:B=4)*(Equipar!AC:AC=A403)),""),"")</f>
        <v/>
      </c>
    </row>
    <row r="404" spans="1:10" x14ac:dyDescent="0.25">
      <c r="A404" s="3" t="str">
        <f ca="1">IF(A403="ID",1,IF(ISBLANK(B404),"",MAX(A$2:A403)+1))</f>
        <v/>
      </c>
      <c r="I404" s="2" t="str">
        <f ca="1">IF(ISNUMBER(A404),
IF(COUNTIFS(Equipar!B:B,4,Equipar!AC:AC,A404),"Equipada",
IF(
  OR(COUNTIFS(Equipar!B:B,4,Equipar!C:C,A404)
 +COUNTIFS(Equipar!B:B,4,Equipar!D:D,A404)
+COUNTIFS(Equipar!B:B,4,Equipar!E:E,A404)
+COUNTIFS(Equipar!B:B,4,Equipar!F:F,A404)
&gt;0,COUNTIF('Set recomendado'!B:B,C404)=0),
"Bloqueada",
"Desechable")),""
)</f>
        <v/>
      </c>
      <c r="J404" t="str" cm="1">
        <f t="array" aca="1" ref="J404" ca="1">IF(ISNUMBER(A404),IFERROR(_xlfn._xlws.FILTER(Equipar!A:A,(Equipar!B:B=4)*(Equipar!AC:AC=A404)),""),"")</f>
        <v/>
      </c>
    </row>
    <row r="405" spans="1:10" x14ac:dyDescent="0.25">
      <c r="A405" s="3" t="str">
        <f ca="1">IF(A404="ID",1,IF(ISBLANK(B405),"",MAX(A$2:A404)+1))</f>
        <v/>
      </c>
      <c r="I405" s="2" t="str">
        <f ca="1">IF(ISNUMBER(A405),
IF(COUNTIFS(Equipar!B:B,4,Equipar!AC:AC,A405),"Equipada",
IF(
  OR(COUNTIFS(Equipar!B:B,4,Equipar!C:C,A405)
 +COUNTIFS(Equipar!B:B,4,Equipar!D:D,A405)
+COUNTIFS(Equipar!B:B,4,Equipar!E:E,A405)
+COUNTIFS(Equipar!B:B,4,Equipar!F:F,A405)
&gt;0,COUNTIF('Set recomendado'!B:B,C405)=0),
"Bloqueada",
"Desechable")),""
)</f>
        <v/>
      </c>
      <c r="J405" t="str" cm="1">
        <f t="array" aca="1" ref="J405" ca="1">IF(ISNUMBER(A405),IFERROR(_xlfn._xlws.FILTER(Equipar!A:A,(Equipar!B:B=4)*(Equipar!AC:AC=A405)),""),"")</f>
        <v/>
      </c>
    </row>
    <row r="406" spans="1:10" x14ac:dyDescent="0.25">
      <c r="A406" s="3" t="str">
        <f ca="1">IF(A405="ID",1,IF(ISBLANK(B406),"",MAX(A$2:A405)+1))</f>
        <v/>
      </c>
      <c r="I406" s="2" t="str">
        <f ca="1">IF(ISNUMBER(A406),
IF(COUNTIFS(Equipar!B:B,4,Equipar!AC:AC,A406),"Equipada",
IF(
  OR(COUNTIFS(Equipar!B:B,4,Equipar!C:C,A406)
 +COUNTIFS(Equipar!B:B,4,Equipar!D:D,A406)
+COUNTIFS(Equipar!B:B,4,Equipar!E:E,A406)
+COUNTIFS(Equipar!B:B,4,Equipar!F:F,A406)
&gt;0,COUNTIF('Set recomendado'!B:B,C406)=0),
"Bloqueada",
"Desechable")),""
)</f>
        <v/>
      </c>
      <c r="J406" t="str" cm="1">
        <f t="array" aca="1" ref="J406" ca="1">IF(ISNUMBER(A406),IFERROR(_xlfn._xlws.FILTER(Equipar!A:A,(Equipar!B:B=4)*(Equipar!AC:AC=A406)),""),"")</f>
        <v/>
      </c>
    </row>
    <row r="407" spans="1:10" x14ac:dyDescent="0.25">
      <c r="A407" s="3" t="str">
        <f ca="1">IF(A406="ID",1,IF(ISBLANK(B407),"",MAX(A$2:A406)+1))</f>
        <v/>
      </c>
      <c r="I407" s="2" t="str">
        <f ca="1">IF(ISNUMBER(A407),
IF(COUNTIFS(Equipar!B:B,4,Equipar!AC:AC,A407),"Equipada",
IF(
  OR(COUNTIFS(Equipar!B:B,4,Equipar!C:C,A407)
 +COUNTIFS(Equipar!B:B,4,Equipar!D:D,A407)
+COUNTIFS(Equipar!B:B,4,Equipar!E:E,A407)
+COUNTIFS(Equipar!B:B,4,Equipar!F:F,A407)
&gt;0,COUNTIF('Set recomendado'!B:B,C407)=0),
"Bloqueada",
"Desechable")),""
)</f>
        <v/>
      </c>
      <c r="J407" t="str" cm="1">
        <f t="array" aca="1" ref="J407" ca="1">IF(ISNUMBER(A407),IFERROR(_xlfn._xlws.FILTER(Equipar!A:A,(Equipar!B:B=4)*(Equipar!AC:AC=A407)),""),"")</f>
        <v/>
      </c>
    </row>
    <row r="408" spans="1:10" x14ac:dyDescent="0.25">
      <c r="A408" s="3" t="str">
        <f ca="1">IF(A407="ID",1,IF(ISBLANK(B408),"",MAX(A$2:A407)+1))</f>
        <v/>
      </c>
      <c r="I408" s="2" t="str">
        <f ca="1">IF(ISNUMBER(A408),
IF(COUNTIFS(Equipar!B:B,4,Equipar!AC:AC,A408),"Equipada",
IF(
  OR(COUNTIFS(Equipar!B:B,4,Equipar!C:C,A408)
 +COUNTIFS(Equipar!B:B,4,Equipar!D:D,A408)
+COUNTIFS(Equipar!B:B,4,Equipar!E:E,A408)
+COUNTIFS(Equipar!B:B,4,Equipar!F:F,A408)
&gt;0,COUNTIF('Set recomendado'!B:B,C408)=0),
"Bloqueada",
"Desechable")),""
)</f>
        <v/>
      </c>
      <c r="J408" t="str" cm="1">
        <f t="array" aca="1" ref="J408" ca="1">IF(ISNUMBER(A408),IFERROR(_xlfn._xlws.FILTER(Equipar!A:A,(Equipar!B:B=4)*(Equipar!AC:AC=A408)),""),"")</f>
        <v/>
      </c>
    </row>
    <row r="409" spans="1:10" x14ac:dyDescent="0.25">
      <c r="A409" s="3" t="str">
        <f ca="1">IF(A408="ID",1,IF(ISBLANK(B409),"",MAX(A$2:A408)+1))</f>
        <v/>
      </c>
      <c r="I409" s="2" t="str">
        <f ca="1">IF(ISNUMBER(A409),
IF(COUNTIFS(Equipar!B:B,4,Equipar!AC:AC,A409),"Equipada",
IF(
  OR(COUNTIFS(Equipar!B:B,4,Equipar!C:C,A409)
 +COUNTIFS(Equipar!B:B,4,Equipar!D:D,A409)
+COUNTIFS(Equipar!B:B,4,Equipar!E:E,A409)
+COUNTIFS(Equipar!B:B,4,Equipar!F:F,A409)
&gt;0,COUNTIF('Set recomendado'!B:B,C409)=0),
"Bloqueada",
"Desechable")),""
)</f>
        <v/>
      </c>
      <c r="J409" t="str" cm="1">
        <f t="array" aca="1" ref="J409" ca="1">IF(ISNUMBER(A409),IFERROR(_xlfn._xlws.FILTER(Equipar!A:A,(Equipar!B:B=4)*(Equipar!AC:AC=A409)),""),"")</f>
        <v/>
      </c>
    </row>
    <row r="410" spans="1:10" x14ac:dyDescent="0.25">
      <c r="A410" s="3" t="str">
        <f ca="1">IF(A409="ID",1,IF(ISBLANK(B410),"",MAX(A$2:A409)+1))</f>
        <v/>
      </c>
      <c r="I410" s="2" t="str">
        <f ca="1">IF(ISNUMBER(A410),
IF(COUNTIFS(Equipar!B:B,4,Equipar!AC:AC,A410),"Equipada",
IF(
  OR(COUNTIFS(Equipar!B:B,4,Equipar!C:C,A410)
 +COUNTIFS(Equipar!B:B,4,Equipar!D:D,A410)
+COUNTIFS(Equipar!B:B,4,Equipar!E:E,A410)
+COUNTIFS(Equipar!B:B,4,Equipar!F:F,A410)
&gt;0,COUNTIF('Set recomendado'!B:B,C410)=0),
"Bloqueada",
"Desechable")),""
)</f>
        <v/>
      </c>
      <c r="J410" t="str" cm="1">
        <f t="array" aca="1" ref="J410" ca="1">IF(ISNUMBER(A410),IFERROR(_xlfn._xlws.FILTER(Equipar!A:A,(Equipar!B:B=4)*(Equipar!AC:AC=A410)),""),"")</f>
        <v/>
      </c>
    </row>
    <row r="411" spans="1:10" x14ac:dyDescent="0.25">
      <c r="A411" s="3" t="str">
        <f ca="1">IF(A410="ID",1,IF(ISBLANK(B411),"",MAX(A$2:A410)+1))</f>
        <v/>
      </c>
      <c r="I411" s="2" t="str">
        <f ca="1">IF(ISNUMBER(A411),
IF(COUNTIFS(Equipar!B:B,4,Equipar!AC:AC,A411),"Equipada",
IF(
  OR(COUNTIFS(Equipar!B:B,4,Equipar!C:C,A411)
 +COUNTIFS(Equipar!B:B,4,Equipar!D:D,A411)
+COUNTIFS(Equipar!B:B,4,Equipar!E:E,A411)
+COUNTIFS(Equipar!B:B,4,Equipar!F:F,A411)
&gt;0,COUNTIF('Set recomendado'!B:B,C411)=0),
"Bloqueada",
"Desechable")),""
)</f>
        <v/>
      </c>
      <c r="J411" t="str" cm="1">
        <f t="array" aca="1" ref="J411" ca="1">IF(ISNUMBER(A411),IFERROR(_xlfn._xlws.FILTER(Equipar!A:A,(Equipar!B:B=4)*(Equipar!AC:AC=A411)),""),"")</f>
        <v/>
      </c>
    </row>
    <row r="412" spans="1:10" x14ac:dyDescent="0.25">
      <c r="A412" s="3" t="str">
        <f ca="1">IF(A411="ID",1,IF(ISBLANK(B412),"",MAX(A$2:A411)+1))</f>
        <v/>
      </c>
      <c r="I412" s="2" t="str">
        <f ca="1">IF(ISNUMBER(A412),
IF(COUNTIFS(Equipar!B:B,4,Equipar!AC:AC,A412),"Equipada",
IF(
  OR(COUNTIFS(Equipar!B:B,4,Equipar!C:C,A412)
 +COUNTIFS(Equipar!B:B,4,Equipar!D:D,A412)
+COUNTIFS(Equipar!B:B,4,Equipar!E:E,A412)
+COUNTIFS(Equipar!B:B,4,Equipar!F:F,A412)
&gt;0,COUNTIF('Set recomendado'!B:B,C412)=0),
"Bloqueada",
"Desechable")),""
)</f>
        <v/>
      </c>
      <c r="J412" t="str" cm="1">
        <f t="array" aca="1" ref="J412" ca="1">IF(ISNUMBER(A412),IFERROR(_xlfn._xlws.FILTER(Equipar!A:A,(Equipar!B:B=4)*(Equipar!AC:AC=A412)),""),"")</f>
        <v/>
      </c>
    </row>
    <row r="413" spans="1:10" x14ac:dyDescent="0.25">
      <c r="A413" s="3" t="str">
        <f ca="1">IF(A412="ID",1,IF(ISBLANK(B413),"",MAX(A$2:A412)+1))</f>
        <v/>
      </c>
      <c r="I413" s="2" t="str">
        <f ca="1">IF(ISNUMBER(A413),
IF(COUNTIFS(Equipar!B:B,4,Equipar!AC:AC,A413),"Equipada",
IF(
  OR(COUNTIFS(Equipar!B:B,4,Equipar!C:C,A413)
 +COUNTIFS(Equipar!B:B,4,Equipar!D:D,A413)
+COUNTIFS(Equipar!B:B,4,Equipar!E:E,A413)
+COUNTIFS(Equipar!B:B,4,Equipar!F:F,A413)
&gt;0,COUNTIF('Set recomendado'!B:B,C413)=0),
"Bloqueada",
"Desechable")),""
)</f>
        <v/>
      </c>
      <c r="J413" t="str" cm="1">
        <f t="array" aca="1" ref="J413" ca="1">IF(ISNUMBER(A413),IFERROR(_xlfn._xlws.FILTER(Equipar!A:A,(Equipar!B:B=4)*(Equipar!AC:AC=A413)),""),"")</f>
        <v/>
      </c>
    </row>
    <row r="414" spans="1:10" x14ac:dyDescent="0.25">
      <c r="A414" s="3" t="str">
        <f ca="1">IF(A413="ID",1,IF(ISBLANK(B414),"",MAX(A$2:A413)+1))</f>
        <v/>
      </c>
      <c r="I414" s="2" t="str">
        <f ca="1">IF(ISNUMBER(A414),
IF(COUNTIFS(Equipar!B:B,4,Equipar!AC:AC,A414),"Equipada",
IF(
  OR(COUNTIFS(Equipar!B:B,4,Equipar!C:C,A414)
 +COUNTIFS(Equipar!B:B,4,Equipar!D:D,A414)
+COUNTIFS(Equipar!B:B,4,Equipar!E:E,A414)
+COUNTIFS(Equipar!B:B,4,Equipar!F:F,A414)
&gt;0,COUNTIF('Set recomendado'!B:B,C414)=0),
"Bloqueada",
"Desechable")),""
)</f>
        <v/>
      </c>
      <c r="J414" t="str" cm="1">
        <f t="array" aca="1" ref="J414" ca="1">IF(ISNUMBER(A414),IFERROR(_xlfn._xlws.FILTER(Equipar!A:A,(Equipar!B:B=4)*(Equipar!AC:AC=A414)),""),"")</f>
        <v/>
      </c>
    </row>
    <row r="415" spans="1:10" x14ac:dyDescent="0.25">
      <c r="A415" s="3" t="str">
        <f ca="1">IF(A414="ID",1,IF(ISBLANK(B415),"",MAX(A$2:A414)+1))</f>
        <v/>
      </c>
      <c r="I415" s="2" t="str">
        <f ca="1">IF(ISNUMBER(A415),
IF(COUNTIFS(Equipar!B:B,4,Equipar!AC:AC,A415),"Equipada",
IF(
  OR(COUNTIFS(Equipar!B:B,4,Equipar!C:C,A415)
 +COUNTIFS(Equipar!B:B,4,Equipar!D:D,A415)
+COUNTIFS(Equipar!B:B,4,Equipar!E:E,A415)
+COUNTIFS(Equipar!B:B,4,Equipar!F:F,A415)
&gt;0,COUNTIF('Set recomendado'!B:B,C415)=0),
"Bloqueada",
"Desechable")),""
)</f>
        <v/>
      </c>
      <c r="J415" t="str" cm="1">
        <f t="array" aca="1" ref="J415" ca="1">IF(ISNUMBER(A415),IFERROR(_xlfn._xlws.FILTER(Equipar!A:A,(Equipar!B:B=4)*(Equipar!AC:AC=A415)),""),"")</f>
        <v/>
      </c>
    </row>
    <row r="416" spans="1:10" x14ac:dyDescent="0.25">
      <c r="A416" s="3" t="str">
        <f ca="1">IF(A415="ID",1,IF(ISBLANK(B416),"",MAX(A$2:A415)+1))</f>
        <v/>
      </c>
      <c r="I416" s="2" t="str">
        <f ca="1">IF(ISNUMBER(A416),
IF(COUNTIFS(Equipar!B:B,4,Equipar!AC:AC,A416),"Equipada",
IF(
  OR(COUNTIFS(Equipar!B:B,4,Equipar!C:C,A416)
 +COUNTIFS(Equipar!B:B,4,Equipar!D:D,A416)
+COUNTIFS(Equipar!B:B,4,Equipar!E:E,A416)
+COUNTIFS(Equipar!B:B,4,Equipar!F:F,A416)
&gt;0,COUNTIF('Set recomendado'!B:B,C416)=0),
"Bloqueada",
"Desechable")),""
)</f>
        <v/>
      </c>
      <c r="J416" t="str" cm="1">
        <f t="array" aca="1" ref="J416" ca="1">IF(ISNUMBER(A416),IFERROR(_xlfn._xlws.FILTER(Equipar!A:A,(Equipar!B:B=4)*(Equipar!AC:AC=A416)),""),"")</f>
        <v/>
      </c>
    </row>
    <row r="417" spans="1:10" x14ac:dyDescent="0.25">
      <c r="A417" s="3" t="str">
        <f ca="1">IF(A416="ID",1,IF(ISBLANK(B417),"",MAX(A$2:A416)+1))</f>
        <v/>
      </c>
      <c r="I417" s="2" t="str">
        <f ca="1">IF(ISNUMBER(A417),
IF(COUNTIFS(Equipar!B:B,4,Equipar!AC:AC,A417),"Equipada",
IF(
  OR(COUNTIFS(Equipar!B:B,4,Equipar!C:C,A417)
 +COUNTIFS(Equipar!B:B,4,Equipar!D:D,A417)
+COUNTIFS(Equipar!B:B,4,Equipar!E:E,A417)
+COUNTIFS(Equipar!B:B,4,Equipar!F:F,A417)
&gt;0,COUNTIF('Set recomendado'!B:B,C417)=0),
"Bloqueada",
"Desechable")),""
)</f>
        <v/>
      </c>
      <c r="J417" t="str" cm="1">
        <f t="array" aca="1" ref="J417" ca="1">IF(ISNUMBER(A417),IFERROR(_xlfn._xlws.FILTER(Equipar!A:A,(Equipar!B:B=4)*(Equipar!AC:AC=A417)),""),"")</f>
        <v/>
      </c>
    </row>
    <row r="418" spans="1:10" x14ac:dyDescent="0.25">
      <c r="A418" s="3" t="str">
        <f ca="1">IF(A417="ID",1,IF(ISBLANK(B418),"",MAX(A$2:A417)+1))</f>
        <v/>
      </c>
      <c r="I418" s="2" t="str">
        <f ca="1">IF(ISNUMBER(A418),
IF(COUNTIFS(Equipar!B:B,4,Equipar!AC:AC,A418),"Equipada",
IF(
  OR(COUNTIFS(Equipar!B:B,4,Equipar!C:C,A418)
 +COUNTIFS(Equipar!B:B,4,Equipar!D:D,A418)
+COUNTIFS(Equipar!B:B,4,Equipar!E:E,A418)
+COUNTIFS(Equipar!B:B,4,Equipar!F:F,A418)
&gt;0,COUNTIF('Set recomendado'!B:B,C418)=0),
"Bloqueada",
"Desechable")),""
)</f>
        <v/>
      </c>
      <c r="J418" t="str" cm="1">
        <f t="array" aca="1" ref="J418" ca="1">IF(ISNUMBER(A418),IFERROR(_xlfn._xlws.FILTER(Equipar!A:A,(Equipar!B:B=4)*(Equipar!AC:AC=A418)),""),"")</f>
        <v/>
      </c>
    </row>
    <row r="419" spans="1:10" x14ac:dyDescent="0.25">
      <c r="A419" s="3" t="str">
        <f ca="1">IF(A418="ID",1,IF(ISBLANK(B419),"",MAX(A$2:A418)+1))</f>
        <v/>
      </c>
      <c r="I419" s="2" t="str">
        <f ca="1">IF(ISNUMBER(A419),
IF(COUNTIFS(Equipar!B:B,4,Equipar!AC:AC,A419),"Equipada",
IF(
  OR(COUNTIFS(Equipar!B:B,4,Equipar!C:C,A419)
 +COUNTIFS(Equipar!B:B,4,Equipar!D:D,A419)
+COUNTIFS(Equipar!B:B,4,Equipar!E:E,A419)
+COUNTIFS(Equipar!B:B,4,Equipar!F:F,A419)
&gt;0,COUNTIF('Set recomendado'!B:B,C419)=0),
"Bloqueada",
"Desechable")),""
)</f>
        <v/>
      </c>
      <c r="J419" t="str" cm="1">
        <f t="array" aca="1" ref="J419" ca="1">IF(ISNUMBER(A419),IFERROR(_xlfn._xlws.FILTER(Equipar!A:A,(Equipar!B:B=4)*(Equipar!AC:AC=A419)),""),"")</f>
        <v/>
      </c>
    </row>
    <row r="420" spans="1:10" x14ac:dyDescent="0.25">
      <c r="A420" s="3" t="str">
        <f ca="1">IF(A419="ID",1,IF(ISBLANK(B420),"",MAX(A$2:A419)+1))</f>
        <v/>
      </c>
      <c r="I420" s="2" t="str">
        <f ca="1">IF(ISNUMBER(A420),
IF(COUNTIFS(Equipar!B:B,4,Equipar!AC:AC,A420),"Equipada",
IF(
  OR(COUNTIFS(Equipar!B:B,4,Equipar!C:C,A420)
 +COUNTIFS(Equipar!B:B,4,Equipar!D:D,A420)
+COUNTIFS(Equipar!B:B,4,Equipar!E:E,A420)
+COUNTIFS(Equipar!B:B,4,Equipar!F:F,A420)
&gt;0,COUNTIF('Set recomendado'!B:B,C420)=0),
"Bloqueada",
"Desechable")),""
)</f>
        <v/>
      </c>
      <c r="J420" t="str" cm="1">
        <f t="array" aca="1" ref="J420" ca="1">IF(ISNUMBER(A420),IFERROR(_xlfn._xlws.FILTER(Equipar!A:A,(Equipar!B:B=4)*(Equipar!AC:AC=A420)),""),"")</f>
        <v/>
      </c>
    </row>
    <row r="421" spans="1:10" x14ac:dyDescent="0.25">
      <c r="A421" s="3" t="str">
        <f ca="1">IF(A420="ID",1,IF(ISBLANK(B421),"",MAX(A$2:A420)+1))</f>
        <v/>
      </c>
      <c r="I421" s="2" t="str">
        <f ca="1">IF(ISNUMBER(A421),
IF(COUNTIFS(Equipar!B:B,4,Equipar!AC:AC,A421),"Equipada",
IF(
  OR(COUNTIFS(Equipar!B:B,4,Equipar!C:C,A421)
 +COUNTIFS(Equipar!B:B,4,Equipar!D:D,A421)
+COUNTIFS(Equipar!B:B,4,Equipar!E:E,A421)
+COUNTIFS(Equipar!B:B,4,Equipar!F:F,A421)
&gt;0,COUNTIF('Set recomendado'!B:B,C421)=0),
"Bloqueada",
"Desechable")),""
)</f>
        <v/>
      </c>
      <c r="J421" t="str" cm="1">
        <f t="array" aca="1" ref="J421" ca="1">IF(ISNUMBER(A421),IFERROR(_xlfn._xlws.FILTER(Equipar!A:A,(Equipar!B:B=4)*(Equipar!AC:AC=A421)),""),"")</f>
        <v/>
      </c>
    </row>
    <row r="422" spans="1:10" x14ac:dyDescent="0.25">
      <c r="A422" s="3" t="str">
        <f ca="1">IF(A421="ID",1,IF(ISBLANK(B422),"",MAX(A$2:A421)+1))</f>
        <v/>
      </c>
      <c r="I422" s="2" t="str">
        <f ca="1">IF(ISNUMBER(A422),
IF(COUNTIFS(Equipar!B:B,4,Equipar!AC:AC,A422),"Equipada",
IF(
  OR(COUNTIFS(Equipar!B:B,4,Equipar!C:C,A422)
 +COUNTIFS(Equipar!B:B,4,Equipar!D:D,A422)
+COUNTIFS(Equipar!B:B,4,Equipar!E:E,A422)
+COUNTIFS(Equipar!B:B,4,Equipar!F:F,A422)
&gt;0,COUNTIF('Set recomendado'!B:B,C422)=0),
"Bloqueada",
"Desechable")),""
)</f>
        <v/>
      </c>
      <c r="J422" t="str" cm="1">
        <f t="array" aca="1" ref="J422" ca="1">IF(ISNUMBER(A422),IFERROR(_xlfn._xlws.FILTER(Equipar!A:A,(Equipar!B:B=4)*(Equipar!AC:AC=A422)),""),"")</f>
        <v/>
      </c>
    </row>
    <row r="423" spans="1:10" x14ac:dyDescent="0.25">
      <c r="A423" s="3" t="str">
        <f ca="1">IF(A422="ID",1,IF(ISBLANK(B423),"",MAX(A$2:A422)+1))</f>
        <v/>
      </c>
      <c r="I423" s="2" t="str">
        <f ca="1">IF(ISNUMBER(A423),
IF(COUNTIFS(Equipar!B:B,4,Equipar!AC:AC,A423),"Equipada",
IF(
  OR(COUNTIFS(Equipar!B:B,4,Equipar!C:C,A423)
 +COUNTIFS(Equipar!B:B,4,Equipar!D:D,A423)
+COUNTIFS(Equipar!B:B,4,Equipar!E:E,A423)
+COUNTIFS(Equipar!B:B,4,Equipar!F:F,A423)
&gt;0,COUNTIF('Set recomendado'!B:B,C423)=0),
"Bloqueada",
"Desechable")),""
)</f>
        <v/>
      </c>
      <c r="J423" t="str" cm="1">
        <f t="array" aca="1" ref="J423" ca="1">IF(ISNUMBER(A423),IFERROR(_xlfn._xlws.FILTER(Equipar!A:A,(Equipar!B:B=4)*(Equipar!AC:AC=A423)),""),"")</f>
        <v/>
      </c>
    </row>
    <row r="424" spans="1:10" x14ac:dyDescent="0.25">
      <c r="A424" s="3" t="str">
        <f ca="1">IF(A423="ID",1,IF(ISBLANK(B424),"",MAX(A$2:A423)+1))</f>
        <v/>
      </c>
      <c r="I424" s="2" t="str">
        <f ca="1">IF(ISNUMBER(A424),
IF(COUNTIFS(Equipar!B:B,4,Equipar!AC:AC,A424),"Equipada",
IF(
  OR(COUNTIFS(Equipar!B:B,4,Equipar!C:C,A424)
 +COUNTIFS(Equipar!B:B,4,Equipar!D:D,A424)
+COUNTIFS(Equipar!B:B,4,Equipar!E:E,A424)
+COUNTIFS(Equipar!B:B,4,Equipar!F:F,A424)
&gt;0,COUNTIF('Set recomendado'!B:B,C424)=0),
"Bloqueada",
"Desechable")),""
)</f>
        <v/>
      </c>
      <c r="J424" t="str" cm="1">
        <f t="array" aca="1" ref="J424" ca="1">IF(ISNUMBER(A424),IFERROR(_xlfn._xlws.FILTER(Equipar!A:A,(Equipar!B:B=4)*(Equipar!AC:AC=A424)),""),"")</f>
        <v/>
      </c>
    </row>
    <row r="425" spans="1:10" x14ac:dyDescent="0.25">
      <c r="A425" s="3" t="str">
        <f ca="1">IF(A424="ID",1,IF(ISBLANK(B425),"",MAX(A$2:A424)+1))</f>
        <v/>
      </c>
      <c r="I425" s="2" t="str">
        <f ca="1">IF(ISNUMBER(A425),
IF(COUNTIFS(Equipar!B:B,4,Equipar!AC:AC,A425),"Equipada",
IF(
  OR(COUNTIFS(Equipar!B:B,4,Equipar!C:C,A425)
 +COUNTIFS(Equipar!B:B,4,Equipar!D:D,A425)
+COUNTIFS(Equipar!B:B,4,Equipar!E:E,A425)
+COUNTIFS(Equipar!B:B,4,Equipar!F:F,A425)
&gt;0,COUNTIF('Set recomendado'!B:B,C425)=0),
"Bloqueada",
"Desechable")),""
)</f>
        <v/>
      </c>
      <c r="J425" t="str" cm="1">
        <f t="array" aca="1" ref="J425" ca="1">IF(ISNUMBER(A425),IFERROR(_xlfn._xlws.FILTER(Equipar!A:A,(Equipar!B:B=4)*(Equipar!AC:AC=A425)),""),"")</f>
        <v/>
      </c>
    </row>
    <row r="426" spans="1:10" x14ac:dyDescent="0.25">
      <c r="A426" s="3" t="str">
        <f ca="1">IF(A425="ID",1,IF(ISBLANK(B426),"",MAX(A$2:A425)+1))</f>
        <v/>
      </c>
      <c r="I426" s="2" t="str">
        <f ca="1">IF(ISNUMBER(A426),
IF(COUNTIFS(Equipar!B:B,4,Equipar!AC:AC,A426),"Equipada",
IF(
  OR(COUNTIFS(Equipar!B:B,4,Equipar!C:C,A426)
 +COUNTIFS(Equipar!B:B,4,Equipar!D:D,A426)
+COUNTIFS(Equipar!B:B,4,Equipar!E:E,A426)
+COUNTIFS(Equipar!B:B,4,Equipar!F:F,A426)
&gt;0,COUNTIF('Set recomendado'!B:B,C426)=0),
"Bloqueada",
"Desechable")),""
)</f>
        <v/>
      </c>
      <c r="J426" t="str" cm="1">
        <f t="array" aca="1" ref="J426" ca="1">IF(ISNUMBER(A426),IFERROR(_xlfn._xlws.FILTER(Equipar!A:A,(Equipar!B:B=4)*(Equipar!AC:AC=A426)),""),"")</f>
        <v/>
      </c>
    </row>
    <row r="427" spans="1:10" x14ac:dyDescent="0.25">
      <c r="A427" s="3" t="str">
        <f ca="1">IF(A426="ID",1,IF(ISBLANK(B427),"",MAX(A$2:A426)+1))</f>
        <v/>
      </c>
      <c r="I427" s="2" t="str">
        <f ca="1">IF(ISNUMBER(A427),
IF(COUNTIFS(Equipar!B:B,4,Equipar!AC:AC,A427),"Equipada",
IF(
  OR(COUNTIFS(Equipar!B:B,4,Equipar!C:C,A427)
 +COUNTIFS(Equipar!B:B,4,Equipar!D:D,A427)
+COUNTIFS(Equipar!B:B,4,Equipar!E:E,A427)
+COUNTIFS(Equipar!B:B,4,Equipar!F:F,A427)
&gt;0,COUNTIF('Set recomendado'!B:B,C427)=0),
"Bloqueada",
"Desechable")),""
)</f>
        <v/>
      </c>
      <c r="J427" t="str" cm="1">
        <f t="array" aca="1" ref="J427" ca="1">IF(ISNUMBER(A427),IFERROR(_xlfn._xlws.FILTER(Equipar!A:A,(Equipar!B:B=4)*(Equipar!AC:AC=A427)),""),"")</f>
        <v/>
      </c>
    </row>
    <row r="428" spans="1:10" x14ac:dyDescent="0.25">
      <c r="A428" s="3" t="str">
        <f ca="1">IF(A427="ID",1,IF(ISBLANK(B428),"",MAX(A$2:A427)+1))</f>
        <v/>
      </c>
      <c r="I428" s="2" t="str">
        <f ca="1">IF(ISNUMBER(A428),
IF(COUNTIFS(Equipar!B:B,4,Equipar!AC:AC,A428),"Equipada",
IF(
  OR(COUNTIFS(Equipar!B:B,4,Equipar!C:C,A428)
 +COUNTIFS(Equipar!B:B,4,Equipar!D:D,A428)
+COUNTIFS(Equipar!B:B,4,Equipar!E:E,A428)
+COUNTIFS(Equipar!B:B,4,Equipar!F:F,A428)
&gt;0,COUNTIF('Set recomendado'!B:B,C428)=0),
"Bloqueada",
"Desechable")),""
)</f>
        <v/>
      </c>
      <c r="J428" t="str" cm="1">
        <f t="array" aca="1" ref="J428" ca="1">IF(ISNUMBER(A428),IFERROR(_xlfn._xlws.FILTER(Equipar!A:A,(Equipar!B:B=4)*(Equipar!AC:AC=A428)),""),"")</f>
        <v/>
      </c>
    </row>
    <row r="429" spans="1:10" x14ac:dyDescent="0.25">
      <c r="A429" s="3" t="str">
        <f ca="1">IF(A428="ID",1,IF(ISBLANK(B429),"",MAX(A$2:A428)+1))</f>
        <v/>
      </c>
      <c r="I429" s="2" t="str">
        <f ca="1">IF(ISNUMBER(A429),
IF(COUNTIFS(Equipar!B:B,4,Equipar!AC:AC,A429),"Equipada",
IF(
  OR(COUNTIFS(Equipar!B:B,4,Equipar!C:C,A429)
 +COUNTIFS(Equipar!B:B,4,Equipar!D:D,A429)
+COUNTIFS(Equipar!B:B,4,Equipar!E:E,A429)
+COUNTIFS(Equipar!B:B,4,Equipar!F:F,A429)
&gt;0,COUNTIF('Set recomendado'!B:B,C429)=0),
"Bloqueada",
"Desechable")),""
)</f>
        <v/>
      </c>
      <c r="J429" t="str" cm="1">
        <f t="array" aca="1" ref="J429" ca="1">IF(ISNUMBER(A429),IFERROR(_xlfn._xlws.FILTER(Equipar!A:A,(Equipar!B:B=4)*(Equipar!AC:AC=A429)),""),"")</f>
        <v/>
      </c>
    </row>
    <row r="430" spans="1:10" x14ac:dyDescent="0.25">
      <c r="A430" s="3" t="str">
        <f ca="1">IF(A429="ID",1,IF(ISBLANK(B430),"",MAX(A$2:A429)+1))</f>
        <v/>
      </c>
      <c r="I430" s="2" t="str">
        <f ca="1">IF(ISNUMBER(A430),
IF(COUNTIFS(Equipar!B:B,4,Equipar!AC:AC,A430),"Equipada",
IF(
  OR(COUNTIFS(Equipar!B:B,4,Equipar!C:C,A430)
 +COUNTIFS(Equipar!B:B,4,Equipar!D:D,A430)
+COUNTIFS(Equipar!B:B,4,Equipar!E:E,A430)
+COUNTIFS(Equipar!B:B,4,Equipar!F:F,A430)
&gt;0,COUNTIF('Set recomendado'!B:B,C430)=0),
"Bloqueada",
"Desechable")),""
)</f>
        <v/>
      </c>
      <c r="J430" t="str" cm="1">
        <f t="array" aca="1" ref="J430" ca="1">IF(ISNUMBER(A430),IFERROR(_xlfn._xlws.FILTER(Equipar!A:A,(Equipar!B:B=4)*(Equipar!AC:AC=A430)),""),"")</f>
        <v/>
      </c>
    </row>
    <row r="431" spans="1:10" x14ac:dyDescent="0.25">
      <c r="A431" s="3" t="str">
        <f ca="1">IF(A430="ID",1,IF(ISBLANK(B431),"",MAX(A$2:A430)+1))</f>
        <v/>
      </c>
      <c r="I431" s="2" t="str">
        <f ca="1">IF(ISNUMBER(A431),
IF(COUNTIFS(Equipar!B:B,4,Equipar!AC:AC,A431),"Equipada",
IF(
  OR(COUNTIFS(Equipar!B:B,4,Equipar!C:C,A431)
 +COUNTIFS(Equipar!B:B,4,Equipar!D:D,A431)
+COUNTIFS(Equipar!B:B,4,Equipar!E:E,A431)
+COUNTIFS(Equipar!B:B,4,Equipar!F:F,A431)
&gt;0,COUNTIF('Set recomendado'!B:B,C431)=0),
"Bloqueada",
"Desechable")),""
)</f>
        <v/>
      </c>
      <c r="J431" t="str" cm="1">
        <f t="array" aca="1" ref="J431" ca="1">IF(ISNUMBER(A431),IFERROR(_xlfn._xlws.FILTER(Equipar!A:A,(Equipar!B:B=4)*(Equipar!AC:AC=A431)),""),"")</f>
        <v/>
      </c>
    </row>
    <row r="432" spans="1:10" x14ac:dyDescent="0.25">
      <c r="A432" s="3" t="str">
        <f ca="1">IF(A431="ID",1,IF(ISBLANK(B432),"",MAX(A$2:A431)+1))</f>
        <v/>
      </c>
      <c r="I432" s="2" t="str">
        <f ca="1">IF(ISNUMBER(A432),
IF(COUNTIFS(Equipar!B:B,4,Equipar!AC:AC,A432),"Equipada",
IF(
  OR(COUNTIFS(Equipar!B:B,4,Equipar!C:C,A432)
 +COUNTIFS(Equipar!B:B,4,Equipar!D:D,A432)
+COUNTIFS(Equipar!B:B,4,Equipar!E:E,A432)
+COUNTIFS(Equipar!B:B,4,Equipar!F:F,A432)
&gt;0,COUNTIF('Set recomendado'!B:B,C432)=0),
"Bloqueada",
"Desechable")),""
)</f>
        <v/>
      </c>
      <c r="J432" t="str" cm="1">
        <f t="array" aca="1" ref="J432" ca="1">IF(ISNUMBER(A432),IFERROR(_xlfn._xlws.FILTER(Equipar!A:A,(Equipar!B:B=4)*(Equipar!AC:AC=A432)),""),"")</f>
        <v/>
      </c>
    </row>
    <row r="433" spans="1:10" x14ac:dyDescent="0.25">
      <c r="A433" s="3" t="str">
        <f ca="1">IF(A432="ID",1,IF(ISBLANK(B433),"",MAX(A$2:A432)+1))</f>
        <v/>
      </c>
      <c r="I433" s="2" t="str">
        <f ca="1">IF(ISNUMBER(A433),
IF(COUNTIFS(Equipar!B:B,4,Equipar!AC:AC,A433),"Equipada",
IF(
  OR(COUNTIFS(Equipar!B:B,4,Equipar!C:C,A433)
 +COUNTIFS(Equipar!B:B,4,Equipar!D:D,A433)
+COUNTIFS(Equipar!B:B,4,Equipar!E:E,A433)
+COUNTIFS(Equipar!B:B,4,Equipar!F:F,A433)
&gt;0,COUNTIF('Set recomendado'!B:B,C433)=0),
"Bloqueada",
"Desechable")),""
)</f>
        <v/>
      </c>
      <c r="J433" t="str" cm="1">
        <f t="array" aca="1" ref="J433" ca="1">IF(ISNUMBER(A433),IFERROR(_xlfn._xlws.FILTER(Equipar!A:A,(Equipar!B:B=4)*(Equipar!AC:AC=A433)),""),"")</f>
        <v/>
      </c>
    </row>
    <row r="434" spans="1:10" x14ac:dyDescent="0.25">
      <c r="A434" s="3" t="str">
        <f ca="1">IF(A433="ID",1,IF(ISBLANK(B434),"",MAX(A$2:A433)+1))</f>
        <v/>
      </c>
      <c r="I434" s="2" t="str">
        <f ca="1">IF(ISNUMBER(A434),
IF(COUNTIFS(Equipar!B:B,4,Equipar!AC:AC,A434),"Equipada",
IF(
  OR(COUNTIFS(Equipar!B:B,4,Equipar!C:C,A434)
 +COUNTIFS(Equipar!B:B,4,Equipar!D:D,A434)
+COUNTIFS(Equipar!B:B,4,Equipar!E:E,A434)
+COUNTIFS(Equipar!B:B,4,Equipar!F:F,A434)
&gt;0,COUNTIF('Set recomendado'!B:B,C434)=0),
"Bloqueada",
"Desechable")),""
)</f>
        <v/>
      </c>
      <c r="J434" t="str" cm="1">
        <f t="array" aca="1" ref="J434" ca="1">IF(ISNUMBER(A434),IFERROR(_xlfn._xlws.FILTER(Equipar!A:A,(Equipar!B:B=4)*(Equipar!AC:AC=A434)),""),"")</f>
        <v/>
      </c>
    </row>
    <row r="435" spans="1:10" x14ac:dyDescent="0.25">
      <c r="A435" s="3" t="str">
        <f ca="1">IF(A434="ID",1,IF(ISBLANK(B435),"",MAX(A$2:A434)+1))</f>
        <v/>
      </c>
      <c r="I435" s="2" t="str">
        <f ca="1">IF(ISNUMBER(A435),
IF(COUNTIFS(Equipar!B:B,4,Equipar!AC:AC,A435),"Equipada",
IF(
  OR(COUNTIFS(Equipar!B:B,4,Equipar!C:C,A435)
 +COUNTIFS(Equipar!B:B,4,Equipar!D:D,A435)
+COUNTIFS(Equipar!B:B,4,Equipar!E:E,A435)
+COUNTIFS(Equipar!B:B,4,Equipar!F:F,A435)
&gt;0,COUNTIF('Set recomendado'!B:B,C435)=0),
"Bloqueada",
"Desechable")),""
)</f>
        <v/>
      </c>
      <c r="J435" t="str" cm="1">
        <f t="array" aca="1" ref="J435" ca="1">IF(ISNUMBER(A435),IFERROR(_xlfn._xlws.FILTER(Equipar!A:A,(Equipar!B:B=4)*(Equipar!AC:AC=A435)),""),"")</f>
        <v/>
      </c>
    </row>
    <row r="436" spans="1:10" x14ac:dyDescent="0.25">
      <c r="A436" s="3" t="str">
        <f ca="1">IF(A435="ID",1,IF(ISBLANK(B436),"",MAX(A$2:A435)+1))</f>
        <v/>
      </c>
      <c r="I436" s="2" t="str">
        <f ca="1">IF(ISNUMBER(A436),
IF(COUNTIFS(Equipar!B:B,4,Equipar!AC:AC,A436),"Equipada",
IF(
  OR(COUNTIFS(Equipar!B:B,4,Equipar!C:C,A436)
 +COUNTIFS(Equipar!B:B,4,Equipar!D:D,A436)
+COUNTIFS(Equipar!B:B,4,Equipar!E:E,A436)
+COUNTIFS(Equipar!B:B,4,Equipar!F:F,A436)
&gt;0,COUNTIF('Set recomendado'!B:B,C436)=0),
"Bloqueada",
"Desechable")),""
)</f>
        <v/>
      </c>
      <c r="J436" t="str" cm="1">
        <f t="array" aca="1" ref="J436" ca="1">IF(ISNUMBER(A436),IFERROR(_xlfn._xlws.FILTER(Equipar!A:A,(Equipar!B:B=4)*(Equipar!AC:AC=A436)),""),"")</f>
        <v/>
      </c>
    </row>
    <row r="437" spans="1:10" x14ac:dyDescent="0.25">
      <c r="A437" s="3" t="str">
        <f ca="1">IF(A436="ID",1,IF(ISBLANK(B437),"",MAX(A$2:A436)+1))</f>
        <v/>
      </c>
      <c r="I437" s="2" t="str">
        <f ca="1">IF(ISNUMBER(A437),
IF(COUNTIFS(Equipar!B:B,4,Equipar!AC:AC,A437),"Equipada",
IF(
  OR(COUNTIFS(Equipar!B:B,4,Equipar!C:C,A437)
 +COUNTIFS(Equipar!B:B,4,Equipar!D:D,A437)
+COUNTIFS(Equipar!B:B,4,Equipar!E:E,A437)
+COUNTIFS(Equipar!B:B,4,Equipar!F:F,A437)
&gt;0,COUNTIF('Set recomendado'!B:B,C437)=0),
"Bloqueada",
"Desechable")),""
)</f>
        <v/>
      </c>
      <c r="J437" t="str" cm="1">
        <f t="array" aca="1" ref="J437" ca="1">IF(ISNUMBER(A437),IFERROR(_xlfn._xlws.FILTER(Equipar!A:A,(Equipar!B:B=4)*(Equipar!AC:AC=A437)),""),"")</f>
        <v/>
      </c>
    </row>
    <row r="438" spans="1:10" x14ac:dyDescent="0.25">
      <c r="A438" s="3" t="str">
        <f ca="1">IF(A437="ID",1,IF(ISBLANK(B438),"",MAX(A$2:A437)+1))</f>
        <v/>
      </c>
      <c r="I438" s="2" t="str">
        <f ca="1">IF(ISNUMBER(A438),
IF(COUNTIFS(Equipar!B:B,4,Equipar!AC:AC,A438),"Equipada",
IF(
  OR(COUNTIFS(Equipar!B:B,4,Equipar!C:C,A438)
 +COUNTIFS(Equipar!B:B,4,Equipar!D:D,A438)
+COUNTIFS(Equipar!B:B,4,Equipar!E:E,A438)
+COUNTIFS(Equipar!B:B,4,Equipar!F:F,A438)
&gt;0,COUNTIF('Set recomendado'!B:B,C438)=0),
"Bloqueada",
"Desechable")),""
)</f>
        <v/>
      </c>
      <c r="J438" t="str" cm="1">
        <f t="array" aca="1" ref="J438" ca="1">IF(ISNUMBER(A438),IFERROR(_xlfn._xlws.FILTER(Equipar!A:A,(Equipar!B:B=4)*(Equipar!AC:AC=A438)),""),"")</f>
        <v/>
      </c>
    </row>
    <row r="439" spans="1:10" x14ac:dyDescent="0.25">
      <c r="A439" s="3" t="str">
        <f ca="1">IF(A438="ID",1,IF(ISBLANK(B439),"",MAX(A$2:A438)+1))</f>
        <v/>
      </c>
      <c r="I439" s="2" t="str">
        <f ca="1">IF(ISNUMBER(A439),
IF(COUNTIFS(Equipar!B:B,4,Equipar!AC:AC,A439),"Equipada",
IF(
  OR(COUNTIFS(Equipar!B:B,4,Equipar!C:C,A439)
 +COUNTIFS(Equipar!B:B,4,Equipar!D:D,A439)
+COUNTIFS(Equipar!B:B,4,Equipar!E:E,A439)
+COUNTIFS(Equipar!B:B,4,Equipar!F:F,A439)
&gt;0,COUNTIF('Set recomendado'!B:B,C439)=0),
"Bloqueada",
"Desechable")),""
)</f>
        <v/>
      </c>
      <c r="J439" t="str" cm="1">
        <f t="array" aca="1" ref="J439" ca="1">IF(ISNUMBER(A439),IFERROR(_xlfn._xlws.FILTER(Equipar!A:A,(Equipar!B:B=4)*(Equipar!AC:AC=A439)),""),"")</f>
        <v/>
      </c>
    </row>
    <row r="440" spans="1:10" x14ac:dyDescent="0.25">
      <c r="A440" s="3" t="str">
        <f ca="1">IF(A439="ID",1,IF(ISBLANK(B440),"",MAX(A$2:A439)+1))</f>
        <v/>
      </c>
      <c r="I440" s="2" t="str">
        <f ca="1">IF(ISNUMBER(A440),
IF(COUNTIFS(Equipar!B:B,4,Equipar!AC:AC,A440),"Equipada",
IF(
  OR(COUNTIFS(Equipar!B:B,4,Equipar!C:C,A440)
 +COUNTIFS(Equipar!B:B,4,Equipar!D:D,A440)
+COUNTIFS(Equipar!B:B,4,Equipar!E:E,A440)
+COUNTIFS(Equipar!B:B,4,Equipar!F:F,A440)
&gt;0,COUNTIF('Set recomendado'!B:B,C440)=0),
"Bloqueada",
"Desechable")),""
)</f>
        <v/>
      </c>
      <c r="J440" t="str" cm="1">
        <f t="array" aca="1" ref="J440" ca="1">IF(ISNUMBER(A440),IFERROR(_xlfn._xlws.FILTER(Equipar!A:A,(Equipar!B:B=4)*(Equipar!AC:AC=A440)),""),"")</f>
        <v/>
      </c>
    </row>
    <row r="441" spans="1:10" x14ac:dyDescent="0.25">
      <c r="A441" s="3" t="str">
        <f ca="1">IF(A440="ID",1,IF(ISBLANK(B441),"",MAX(A$2:A440)+1))</f>
        <v/>
      </c>
      <c r="I441" s="2" t="str">
        <f ca="1">IF(ISNUMBER(A441),
IF(COUNTIFS(Equipar!B:B,4,Equipar!AC:AC,A441),"Equipada",
IF(
  OR(COUNTIFS(Equipar!B:B,4,Equipar!C:C,A441)
 +COUNTIFS(Equipar!B:B,4,Equipar!D:D,A441)
+COUNTIFS(Equipar!B:B,4,Equipar!E:E,A441)
+COUNTIFS(Equipar!B:B,4,Equipar!F:F,A441)
&gt;0,COUNTIF('Set recomendado'!B:B,C441)=0),
"Bloqueada",
"Desechable")),""
)</f>
        <v/>
      </c>
      <c r="J441" t="str" cm="1">
        <f t="array" aca="1" ref="J441" ca="1">IF(ISNUMBER(A441),IFERROR(_xlfn._xlws.FILTER(Equipar!A:A,(Equipar!B:B=4)*(Equipar!AC:AC=A441)),""),"")</f>
        <v/>
      </c>
    </row>
    <row r="442" spans="1:10" x14ac:dyDescent="0.25">
      <c r="A442" s="3" t="str">
        <f ca="1">IF(A441="ID",1,IF(ISBLANK(B442),"",MAX(A$2:A441)+1))</f>
        <v/>
      </c>
      <c r="I442" s="2" t="str">
        <f ca="1">IF(ISNUMBER(A442),
IF(COUNTIFS(Equipar!B:B,4,Equipar!AC:AC,A442),"Equipada",
IF(
  OR(COUNTIFS(Equipar!B:B,4,Equipar!C:C,A442)
 +COUNTIFS(Equipar!B:B,4,Equipar!D:D,A442)
+COUNTIFS(Equipar!B:B,4,Equipar!E:E,A442)
+COUNTIFS(Equipar!B:B,4,Equipar!F:F,A442)
&gt;0,COUNTIF('Set recomendado'!B:B,C442)=0),
"Bloqueada",
"Desechable")),""
)</f>
        <v/>
      </c>
      <c r="J442" t="str" cm="1">
        <f t="array" aca="1" ref="J442" ca="1">IF(ISNUMBER(A442),IFERROR(_xlfn._xlws.FILTER(Equipar!A:A,(Equipar!B:B=4)*(Equipar!AC:AC=A442)),""),"")</f>
        <v/>
      </c>
    </row>
    <row r="443" spans="1:10" x14ac:dyDescent="0.25">
      <c r="A443" s="3" t="str">
        <f ca="1">IF(A442="ID",1,IF(ISBLANK(B443),"",MAX(A$2:A442)+1))</f>
        <v/>
      </c>
      <c r="I443" s="2" t="str">
        <f ca="1">IF(ISNUMBER(A443),
IF(COUNTIFS(Equipar!B:B,4,Equipar!AC:AC,A443),"Equipada",
IF(
  OR(COUNTIFS(Equipar!B:B,4,Equipar!C:C,A443)
 +COUNTIFS(Equipar!B:B,4,Equipar!D:D,A443)
+COUNTIFS(Equipar!B:B,4,Equipar!E:E,A443)
+COUNTIFS(Equipar!B:B,4,Equipar!F:F,A443)
&gt;0,COUNTIF('Set recomendado'!B:B,C443)=0),
"Bloqueada",
"Desechable")),""
)</f>
        <v/>
      </c>
      <c r="J443" t="str" cm="1">
        <f t="array" aca="1" ref="J443" ca="1">IF(ISNUMBER(A443),IFERROR(_xlfn._xlws.FILTER(Equipar!A:A,(Equipar!B:B=4)*(Equipar!AC:AC=A443)),""),"")</f>
        <v/>
      </c>
    </row>
    <row r="444" spans="1:10" x14ac:dyDescent="0.25">
      <c r="A444" s="3" t="str">
        <f ca="1">IF(A443="ID",1,IF(ISBLANK(B444),"",MAX(A$2:A443)+1))</f>
        <v/>
      </c>
      <c r="I444" s="2" t="str">
        <f ca="1">IF(ISNUMBER(A444),
IF(COUNTIFS(Equipar!B:B,4,Equipar!AC:AC,A444),"Equipada",
IF(
  OR(COUNTIFS(Equipar!B:B,4,Equipar!C:C,A444)
 +COUNTIFS(Equipar!B:B,4,Equipar!D:D,A444)
+COUNTIFS(Equipar!B:B,4,Equipar!E:E,A444)
+COUNTIFS(Equipar!B:B,4,Equipar!F:F,A444)
&gt;0,COUNTIF('Set recomendado'!B:B,C444)=0),
"Bloqueada",
"Desechable")),""
)</f>
        <v/>
      </c>
      <c r="J444" t="str" cm="1">
        <f t="array" aca="1" ref="J444" ca="1">IF(ISNUMBER(A444),IFERROR(_xlfn._xlws.FILTER(Equipar!A:A,(Equipar!B:B=4)*(Equipar!AC:AC=A444)),""),"")</f>
        <v/>
      </c>
    </row>
    <row r="445" spans="1:10" x14ac:dyDescent="0.25">
      <c r="A445" s="3" t="str">
        <f ca="1">IF(A444="ID",1,IF(ISBLANK(B445),"",MAX(A$2:A444)+1))</f>
        <v/>
      </c>
      <c r="I445" s="2" t="str">
        <f ca="1">IF(ISNUMBER(A445),
IF(COUNTIFS(Equipar!B:B,4,Equipar!AC:AC,A445),"Equipada",
IF(
  OR(COUNTIFS(Equipar!B:B,4,Equipar!C:C,A445)
 +COUNTIFS(Equipar!B:B,4,Equipar!D:D,A445)
+COUNTIFS(Equipar!B:B,4,Equipar!E:E,A445)
+COUNTIFS(Equipar!B:B,4,Equipar!F:F,A445)
&gt;0,COUNTIF('Set recomendado'!B:B,C445)=0),
"Bloqueada",
"Desechable")),""
)</f>
        <v/>
      </c>
      <c r="J445" t="str" cm="1">
        <f t="array" aca="1" ref="J445" ca="1">IF(ISNUMBER(A445),IFERROR(_xlfn._xlws.FILTER(Equipar!A:A,(Equipar!B:B=4)*(Equipar!AC:AC=A445)),""),"")</f>
        <v/>
      </c>
    </row>
    <row r="446" spans="1:10" x14ac:dyDescent="0.25">
      <c r="A446" s="3" t="str">
        <f ca="1">IF(A445="ID",1,IF(ISBLANK(B446),"",MAX(A$2:A445)+1))</f>
        <v/>
      </c>
      <c r="I446" s="2" t="str">
        <f ca="1">IF(ISNUMBER(A446),
IF(COUNTIFS(Equipar!B:B,4,Equipar!AC:AC,A446),"Equipada",
IF(
  OR(COUNTIFS(Equipar!B:B,4,Equipar!C:C,A446)
 +COUNTIFS(Equipar!B:B,4,Equipar!D:D,A446)
+COUNTIFS(Equipar!B:B,4,Equipar!E:E,A446)
+COUNTIFS(Equipar!B:B,4,Equipar!F:F,A446)
&gt;0,COUNTIF('Set recomendado'!B:B,C446)=0),
"Bloqueada",
"Desechable")),""
)</f>
        <v/>
      </c>
      <c r="J446" t="str" cm="1">
        <f t="array" aca="1" ref="J446" ca="1">IF(ISNUMBER(A446),IFERROR(_xlfn._xlws.FILTER(Equipar!A:A,(Equipar!B:B=4)*(Equipar!AC:AC=A446)),""),"")</f>
        <v/>
      </c>
    </row>
    <row r="447" spans="1:10" x14ac:dyDescent="0.25">
      <c r="A447" s="3" t="str">
        <f ca="1">IF(A446="ID",1,IF(ISBLANK(B447),"",MAX(A$2:A446)+1))</f>
        <v/>
      </c>
      <c r="I447" s="2" t="str">
        <f ca="1">IF(ISNUMBER(A447),
IF(COUNTIFS(Equipar!B:B,4,Equipar!AC:AC,A447),"Equipada",
IF(
  OR(COUNTIFS(Equipar!B:B,4,Equipar!C:C,A447)
 +COUNTIFS(Equipar!B:B,4,Equipar!D:D,A447)
+COUNTIFS(Equipar!B:B,4,Equipar!E:E,A447)
+COUNTIFS(Equipar!B:B,4,Equipar!F:F,A447)
&gt;0,COUNTIF('Set recomendado'!B:B,C447)=0),
"Bloqueada",
"Desechable")),""
)</f>
        <v/>
      </c>
      <c r="J447" t="str" cm="1">
        <f t="array" aca="1" ref="J447" ca="1">IF(ISNUMBER(A447),IFERROR(_xlfn._xlws.FILTER(Equipar!A:A,(Equipar!B:B=4)*(Equipar!AC:AC=A447)),""),"")</f>
        <v/>
      </c>
    </row>
    <row r="448" spans="1:10" x14ac:dyDescent="0.25">
      <c r="A448" s="3" t="str">
        <f ca="1">IF(A447="ID",1,IF(ISBLANK(B448),"",MAX(A$2:A447)+1))</f>
        <v/>
      </c>
      <c r="I448" s="2" t="str">
        <f ca="1">IF(ISNUMBER(A448),
IF(COUNTIFS(Equipar!B:B,4,Equipar!AC:AC,A448),"Equipada",
IF(
  OR(COUNTIFS(Equipar!B:B,4,Equipar!C:C,A448)
 +COUNTIFS(Equipar!B:B,4,Equipar!D:D,A448)
+COUNTIFS(Equipar!B:B,4,Equipar!E:E,A448)
+COUNTIFS(Equipar!B:B,4,Equipar!F:F,A448)
&gt;0,COUNTIF('Set recomendado'!B:B,C448)=0),
"Bloqueada",
"Desechable")),""
)</f>
        <v/>
      </c>
      <c r="J448" t="str" cm="1">
        <f t="array" aca="1" ref="J448" ca="1">IF(ISNUMBER(A448),IFERROR(_xlfn._xlws.FILTER(Equipar!A:A,(Equipar!B:B=4)*(Equipar!AC:AC=A448)),""),"")</f>
        <v/>
      </c>
    </row>
    <row r="449" spans="1:10" x14ac:dyDescent="0.25">
      <c r="A449" s="3" t="str">
        <f ca="1">IF(A448="ID",1,IF(ISBLANK(B449),"",MAX(A$2:A448)+1))</f>
        <v/>
      </c>
      <c r="I449" s="2" t="str">
        <f ca="1">IF(ISNUMBER(A449),
IF(COUNTIFS(Equipar!B:B,4,Equipar!AC:AC,A449),"Equipada",
IF(
  OR(COUNTIFS(Equipar!B:B,4,Equipar!C:C,A449)
 +COUNTIFS(Equipar!B:B,4,Equipar!D:D,A449)
+COUNTIFS(Equipar!B:B,4,Equipar!E:E,A449)
+COUNTIFS(Equipar!B:B,4,Equipar!F:F,A449)
&gt;0,COUNTIF('Set recomendado'!B:B,C449)=0),
"Bloqueada",
"Desechable")),""
)</f>
        <v/>
      </c>
      <c r="J449" t="str" cm="1">
        <f t="array" aca="1" ref="J449" ca="1">IF(ISNUMBER(A449),IFERROR(_xlfn._xlws.FILTER(Equipar!A:A,(Equipar!B:B=4)*(Equipar!AC:AC=A449)),""),"")</f>
        <v/>
      </c>
    </row>
    <row r="450" spans="1:10" x14ac:dyDescent="0.25">
      <c r="A450" s="3" t="str">
        <f ca="1">IF(A449="ID",1,IF(ISBLANK(B450),"",MAX(A$2:A449)+1))</f>
        <v/>
      </c>
      <c r="I450" s="2" t="str">
        <f ca="1">IF(ISNUMBER(A450),
IF(COUNTIFS(Equipar!B:B,4,Equipar!AC:AC,A450),"Equipada",
IF(
  OR(COUNTIFS(Equipar!B:B,4,Equipar!C:C,A450)
 +COUNTIFS(Equipar!B:B,4,Equipar!D:D,A450)
+COUNTIFS(Equipar!B:B,4,Equipar!E:E,A450)
+COUNTIFS(Equipar!B:B,4,Equipar!F:F,A450)
&gt;0,COUNTIF('Set recomendado'!B:B,C450)=0),
"Bloqueada",
"Desechable")),""
)</f>
        <v/>
      </c>
      <c r="J450" t="str" cm="1">
        <f t="array" aca="1" ref="J450" ca="1">IF(ISNUMBER(A450),IFERROR(_xlfn._xlws.FILTER(Equipar!A:A,(Equipar!B:B=4)*(Equipar!AC:AC=A450)),""),"")</f>
        <v/>
      </c>
    </row>
    <row r="451" spans="1:10" x14ac:dyDescent="0.25">
      <c r="A451" s="3" t="str">
        <f ca="1">IF(A450="ID",1,IF(ISBLANK(B451),"",MAX(A$2:A450)+1))</f>
        <v/>
      </c>
      <c r="I451" s="2" t="str">
        <f ca="1">IF(ISNUMBER(A451),
IF(COUNTIFS(Equipar!B:B,4,Equipar!AC:AC,A451),"Equipada",
IF(
  OR(COUNTIFS(Equipar!B:B,4,Equipar!C:C,A451)
 +COUNTIFS(Equipar!B:B,4,Equipar!D:D,A451)
+COUNTIFS(Equipar!B:B,4,Equipar!E:E,A451)
+COUNTIFS(Equipar!B:B,4,Equipar!F:F,A451)
&gt;0,COUNTIF('Set recomendado'!B:B,C451)=0),
"Bloqueada",
"Desechable")),""
)</f>
        <v/>
      </c>
      <c r="J451" t="str" cm="1">
        <f t="array" aca="1" ref="J451" ca="1">IF(ISNUMBER(A451),IFERROR(_xlfn._xlws.FILTER(Equipar!A:A,(Equipar!B:B=4)*(Equipar!AC:AC=A451)),""),"")</f>
        <v/>
      </c>
    </row>
    <row r="452" spans="1:10" x14ac:dyDescent="0.25">
      <c r="A452" s="3" t="str">
        <f ca="1">IF(A451="ID",1,IF(ISBLANK(B452),"",MAX(A$2:A451)+1))</f>
        <v/>
      </c>
      <c r="I452" s="2" t="str">
        <f ca="1">IF(ISNUMBER(A452),
IF(COUNTIFS(Equipar!B:B,4,Equipar!AC:AC,A452),"Equipada",
IF(
  OR(COUNTIFS(Equipar!B:B,4,Equipar!C:C,A452)
 +COUNTIFS(Equipar!B:B,4,Equipar!D:D,A452)
+COUNTIFS(Equipar!B:B,4,Equipar!E:E,A452)
+COUNTIFS(Equipar!B:B,4,Equipar!F:F,A452)
&gt;0,COUNTIF('Set recomendado'!B:B,C452)=0),
"Bloqueada",
"Desechable")),""
)</f>
        <v/>
      </c>
      <c r="J452" t="str" cm="1">
        <f t="array" aca="1" ref="J452" ca="1">IF(ISNUMBER(A452),IFERROR(_xlfn._xlws.FILTER(Equipar!A:A,(Equipar!B:B=4)*(Equipar!AC:AC=A452)),""),"")</f>
        <v/>
      </c>
    </row>
    <row r="453" spans="1:10" x14ac:dyDescent="0.25">
      <c r="A453" s="3" t="str">
        <f ca="1">IF(A452="ID",1,IF(ISBLANK(B453),"",MAX(A$2:A452)+1))</f>
        <v/>
      </c>
      <c r="I453" s="2" t="str">
        <f ca="1">IF(ISNUMBER(A453),
IF(COUNTIFS(Equipar!B:B,4,Equipar!AC:AC,A453),"Equipada",
IF(
  OR(COUNTIFS(Equipar!B:B,4,Equipar!C:C,A453)
 +COUNTIFS(Equipar!B:B,4,Equipar!D:D,A453)
+COUNTIFS(Equipar!B:B,4,Equipar!E:E,A453)
+COUNTIFS(Equipar!B:B,4,Equipar!F:F,A453)
&gt;0,COUNTIF('Set recomendado'!B:B,C453)=0),
"Bloqueada",
"Desechable")),""
)</f>
        <v/>
      </c>
      <c r="J453" t="str" cm="1">
        <f t="array" aca="1" ref="J453" ca="1">IF(ISNUMBER(A453),IFERROR(_xlfn._xlws.FILTER(Equipar!A:A,(Equipar!B:B=4)*(Equipar!AC:AC=A453)),""),"")</f>
        <v/>
      </c>
    </row>
    <row r="454" spans="1:10" x14ac:dyDescent="0.25">
      <c r="A454" s="3" t="str">
        <f ca="1">IF(A453="ID",1,IF(ISBLANK(B454),"",MAX(A$2:A453)+1))</f>
        <v/>
      </c>
      <c r="I454" s="2" t="str">
        <f ca="1">IF(ISNUMBER(A454),
IF(COUNTIFS(Equipar!B:B,4,Equipar!AC:AC,A454),"Equipada",
IF(
  OR(COUNTIFS(Equipar!B:B,4,Equipar!C:C,A454)
 +COUNTIFS(Equipar!B:B,4,Equipar!D:D,A454)
+COUNTIFS(Equipar!B:B,4,Equipar!E:E,A454)
+COUNTIFS(Equipar!B:B,4,Equipar!F:F,A454)
&gt;0,COUNTIF('Set recomendado'!B:B,C454)=0),
"Bloqueada",
"Desechable")),""
)</f>
        <v/>
      </c>
      <c r="J454" t="str" cm="1">
        <f t="array" aca="1" ref="J454" ca="1">IF(ISNUMBER(A454),IFERROR(_xlfn._xlws.FILTER(Equipar!A:A,(Equipar!B:B=4)*(Equipar!AC:AC=A454)),""),"")</f>
        <v/>
      </c>
    </row>
    <row r="455" spans="1:10" x14ac:dyDescent="0.25">
      <c r="A455" s="3" t="str">
        <f ca="1">IF(A454="ID",1,IF(ISBLANK(B455),"",MAX(A$2:A454)+1))</f>
        <v/>
      </c>
      <c r="I455" s="2" t="str">
        <f ca="1">IF(ISNUMBER(A455),
IF(COUNTIFS(Equipar!B:B,4,Equipar!AC:AC,A455),"Equipada",
IF(
  OR(COUNTIFS(Equipar!B:B,4,Equipar!C:C,A455)
 +COUNTIFS(Equipar!B:B,4,Equipar!D:D,A455)
+COUNTIFS(Equipar!B:B,4,Equipar!E:E,A455)
+COUNTIFS(Equipar!B:B,4,Equipar!F:F,A455)
&gt;0,COUNTIF('Set recomendado'!B:B,C455)=0),
"Bloqueada",
"Desechable")),""
)</f>
        <v/>
      </c>
      <c r="J455" t="str" cm="1">
        <f t="array" aca="1" ref="J455" ca="1">IF(ISNUMBER(A455),IFERROR(_xlfn._xlws.FILTER(Equipar!A:A,(Equipar!B:B=4)*(Equipar!AC:AC=A455)),""),"")</f>
        <v/>
      </c>
    </row>
    <row r="456" spans="1:10" x14ac:dyDescent="0.25">
      <c r="A456" s="3" t="str">
        <f ca="1">IF(A455="ID",1,IF(ISBLANK(B456),"",MAX(A$2:A455)+1))</f>
        <v/>
      </c>
      <c r="I456" s="2" t="str">
        <f ca="1">IF(ISNUMBER(A456),
IF(COUNTIFS(Equipar!B:B,4,Equipar!AC:AC,A456),"Equipada",
IF(
  OR(COUNTIFS(Equipar!B:B,4,Equipar!C:C,A456)
 +COUNTIFS(Equipar!B:B,4,Equipar!D:D,A456)
+COUNTIFS(Equipar!B:B,4,Equipar!E:E,A456)
+COUNTIFS(Equipar!B:B,4,Equipar!F:F,A456)
&gt;0,COUNTIF('Set recomendado'!B:B,C456)=0),
"Bloqueada",
"Desechable")),""
)</f>
        <v/>
      </c>
      <c r="J456" t="str" cm="1">
        <f t="array" aca="1" ref="J456" ca="1">IF(ISNUMBER(A456),IFERROR(_xlfn._xlws.FILTER(Equipar!A:A,(Equipar!B:B=4)*(Equipar!AC:AC=A456)),""),"")</f>
        <v/>
      </c>
    </row>
    <row r="457" spans="1:10" x14ac:dyDescent="0.25">
      <c r="A457" s="3" t="str">
        <f ca="1">IF(A456="ID",1,IF(ISBLANK(B457),"",MAX(A$2:A456)+1))</f>
        <v/>
      </c>
      <c r="I457" s="2" t="str">
        <f ca="1">IF(ISNUMBER(A457),
IF(COUNTIFS(Equipar!B:B,4,Equipar!AC:AC,A457),"Equipada",
IF(
  OR(COUNTIFS(Equipar!B:B,4,Equipar!C:C,A457)
 +COUNTIFS(Equipar!B:B,4,Equipar!D:D,A457)
+COUNTIFS(Equipar!B:B,4,Equipar!E:E,A457)
+COUNTIFS(Equipar!B:B,4,Equipar!F:F,A457)
&gt;0,COUNTIF('Set recomendado'!B:B,C457)=0),
"Bloqueada",
"Desechable")),""
)</f>
        <v/>
      </c>
      <c r="J457" t="str" cm="1">
        <f t="array" aca="1" ref="J457" ca="1">IF(ISNUMBER(A457),IFERROR(_xlfn._xlws.FILTER(Equipar!A:A,(Equipar!B:B=4)*(Equipar!AC:AC=A457)),""),"")</f>
        <v/>
      </c>
    </row>
    <row r="458" spans="1:10" x14ac:dyDescent="0.25">
      <c r="A458" s="3" t="str">
        <f ca="1">IF(A457="ID",1,IF(ISBLANK(B458),"",MAX(A$2:A457)+1))</f>
        <v/>
      </c>
      <c r="I458" s="2" t="str">
        <f ca="1">IF(ISNUMBER(A458),
IF(COUNTIFS(Equipar!B:B,4,Equipar!AC:AC,A458),"Equipada",
IF(
  OR(COUNTIFS(Equipar!B:B,4,Equipar!C:C,A458)
 +COUNTIFS(Equipar!B:B,4,Equipar!D:D,A458)
+COUNTIFS(Equipar!B:B,4,Equipar!E:E,A458)
+COUNTIFS(Equipar!B:B,4,Equipar!F:F,A458)
&gt;0,COUNTIF('Set recomendado'!B:B,C458)=0),
"Bloqueada",
"Desechable")),""
)</f>
        <v/>
      </c>
      <c r="J458" t="str" cm="1">
        <f t="array" aca="1" ref="J458" ca="1">IF(ISNUMBER(A458),IFERROR(_xlfn._xlws.FILTER(Equipar!A:A,(Equipar!B:B=4)*(Equipar!AC:AC=A458)),""),"")</f>
        <v/>
      </c>
    </row>
    <row r="459" spans="1:10" x14ac:dyDescent="0.25">
      <c r="A459" s="3" t="str">
        <f ca="1">IF(A458="ID",1,IF(ISBLANK(B459),"",MAX(A$2:A458)+1))</f>
        <v/>
      </c>
      <c r="I459" s="2" t="str">
        <f ca="1">IF(ISNUMBER(A459),
IF(COUNTIFS(Equipar!B:B,4,Equipar!AC:AC,A459),"Equipada",
IF(
  OR(COUNTIFS(Equipar!B:B,4,Equipar!C:C,A459)
 +COUNTIFS(Equipar!B:B,4,Equipar!D:D,A459)
+COUNTIFS(Equipar!B:B,4,Equipar!E:E,A459)
+COUNTIFS(Equipar!B:B,4,Equipar!F:F,A459)
&gt;0,COUNTIF('Set recomendado'!B:B,C459)=0),
"Bloqueada",
"Desechable")),""
)</f>
        <v/>
      </c>
      <c r="J459" t="str" cm="1">
        <f t="array" aca="1" ref="J459" ca="1">IF(ISNUMBER(A459),IFERROR(_xlfn._xlws.FILTER(Equipar!A:A,(Equipar!B:B=4)*(Equipar!AC:AC=A459)),""),"")</f>
        <v/>
      </c>
    </row>
    <row r="460" spans="1:10" x14ac:dyDescent="0.25">
      <c r="A460" s="3" t="str">
        <f ca="1">IF(A459="ID",1,IF(ISBLANK(B460),"",MAX(A$2:A459)+1))</f>
        <v/>
      </c>
      <c r="I460" s="2" t="str">
        <f ca="1">IF(ISNUMBER(A460),
IF(COUNTIFS(Equipar!B:B,4,Equipar!AC:AC,A460),"Equipada",
IF(
  OR(COUNTIFS(Equipar!B:B,4,Equipar!C:C,A460)
 +COUNTIFS(Equipar!B:B,4,Equipar!D:D,A460)
+COUNTIFS(Equipar!B:B,4,Equipar!E:E,A460)
+COUNTIFS(Equipar!B:B,4,Equipar!F:F,A460)
&gt;0,COUNTIF('Set recomendado'!B:B,C460)=0),
"Bloqueada",
"Desechable")),""
)</f>
        <v/>
      </c>
      <c r="J460" t="str" cm="1">
        <f t="array" aca="1" ref="J460" ca="1">IF(ISNUMBER(A460),IFERROR(_xlfn._xlws.FILTER(Equipar!A:A,(Equipar!B:B=4)*(Equipar!AC:AC=A460)),""),"")</f>
        <v/>
      </c>
    </row>
    <row r="461" spans="1:10" x14ac:dyDescent="0.25">
      <c r="A461" s="3" t="str">
        <f ca="1">IF(A460="ID",1,IF(ISBLANK(B461),"",MAX(A$2:A460)+1))</f>
        <v/>
      </c>
      <c r="I461" s="2" t="str">
        <f ca="1">IF(ISNUMBER(A461),
IF(COUNTIFS(Equipar!B:B,4,Equipar!AC:AC,A461),"Equipada",
IF(
  OR(COUNTIFS(Equipar!B:B,4,Equipar!C:C,A461)
 +COUNTIFS(Equipar!B:B,4,Equipar!D:D,A461)
+COUNTIFS(Equipar!B:B,4,Equipar!E:E,A461)
+COUNTIFS(Equipar!B:B,4,Equipar!F:F,A461)
&gt;0,COUNTIF('Set recomendado'!B:B,C461)=0),
"Bloqueada",
"Desechable")),""
)</f>
        <v/>
      </c>
      <c r="J461" t="str" cm="1">
        <f t="array" aca="1" ref="J461" ca="1">IF(ISNUMBER(A461),IFERROR(_xlfn._xlws.FILTER(Equipar!A:A,(Equipar!B:B=4)*(Equipar!AC:AC=A461)),""),"")</f>
        <v/>
      </c>
    </row>
    <row r="462" spans="1:10" x14ac:dyDescent="0.25">
      <c r="A462" s="3" t="str">
        <f ca="1">IF(A461="ID",1,IF(ISBLANK(B462),"",MAX(A$2:A461)+1))</f>
        <v/>
      </c>
      <c r="I462" s="2" t="str">
        <f ca="1">IF(ISNUMBER(A462),
IF(COUNTIFS(Equipar!B:B,4,Equipar!AC:AC,A462),"Equipada",
IF(
  OR(COUNTIFS(Equipar!B:B,4,Equipar!C:C,A462)
 +COUNTIFS(Equipar!B:B,4,Equipar!D:D,A462)
+COUNTIFS(Equipar!B:B,4,Equipar!E:E,A462)
+COUNTIFS(Equipar!B:B,4,Equipar!F:F,A462)
&gt;0,COUNTIF('Set recomendado'!B:B,C462)=0),
"Bloqueada",
"Desechable")),""
)</f>
        <v/>
      </c>
      <c r="J462" t="str" cm="1">
        <f t="array" aca="1" ref="J462" ca="1">IF(ISNUMBER(A462),IFERROR(_xlfn._xlws.FILTER(Equipar!A:A,(Equipar!B:B=4)*(Equipar!AC:AC=A462)),""),"")</f>
        <v/>
      </c>
    </row>
    <row r="463" spans="1:10" x14ac:dyDescent="0.25">
      <c r="A463" s="3" t="str">
        <f ca="1">IF(A462="ID",1,IF(ISBLANK(B463),"",MAX(A$2:A462)+1))</f>
        <v/>
      </c>
      <c r="I463" s="2" t="str">
        <f ca="1">IF(ISNUMBER(A463),
IF(COUNTIFS(Equipar!B:B,4,Equipar!AC:AC,A463),"Equipada",
IF(
  OR(COUNTIFS(Equipar!B:B,4,Equipar!C:C,A463)
 +COUNTIFS(Equipar!B:B,4,Equipar!D:D,A463)
+COUNTIFS(Equipar!B:B,4,Equipar!E:E,A463)
+COUNTIFS(Equipar!B:B,4,Equipar!F:F,A463)
&gt;0,COUNTIF('Set recomendado'!B:B,C463)=0),
"Bloqueada",
"Desechable")),""
)</f>
        <v/>
      </c>
      <c r="J463" t="str" cm="1">
        <f t="array" aca="1" ref="J463" ca="1">IF(ISNUMBER(A463),IFERROR(_xlfn._xlws.FILTER(Equipar!A:A,(Equipar!B:B=4)*(Equipar!AC:AC=A463)),""),"")</f>
        <v/>
      </c>
    </row>
    <row r="464" spans="1:10" x14ac:dyDescent="0.25">
      <c r="A464" s="3" t="str">
        <f ca="1">IF(A463="ID",1,IF(ISBLANK(B464),"",MAX(A$2:A463)+1))</f>
        <v/>
      </c>
      <c r="I464" s="2" t="str">
        <f ca="1">IF(ISNUMBER(A464),
IF(COUNTIFS(Equipar!B:B,4,Equipar!AC:AC,A464),"Equipada",
IF(
  OR(COUNTIFS(Equipar!B:B,4,Equipar!C:C,A464)
 +COUNTIFS(Equipar!B:B,4,Equipar!D:D,A464)
+COUNTIFS(Equipar!B:B,4,Equipar!E:E,A464)
+COUNTIFS(Equipar!B:B,4,Equipar!F:F,A464)
&gt;0,COUNTIF('Set recomendado'!B:B,C464)=0),
"Bloqueada",
"Desechable")),""
)</f>
        <v/>
      </c>
      <c r="J464" t="str" cm="1">
        <f t="array" aca="1" ref="J464" ca="1">IF(ISNUMBER(A464),IFERROR(_xlfn._xlws.FILTER(Equipar!A:A,(Equipar!B:B=4)*(Equipar!AC:AC=A464)),""),"")</f>
        <v/>
      </c>
    </row>
    <row r="465" spans="1:10" x14ac:dyDescent="0.25">
      <c r="A465" s="3" t="str">
        <f ca="1">IF(A464="ID",1,IF(ISBLANK(B465),"",MAX(A$2:A464)+1))</f>
        <v/>
      </c>
      <c r="I465" s="2" t="str">
        <f ca="1">IF(ISNUMBER(A465),
IF(COUNTIFS(Equipar!B:B,4,Equipar!AC:AC,A465),"Equipada",
IF(
  OR(COUNTIFS(Equipar!B:B,4,Equipar!C:C,A465)
 +COUNTIFS(Equipar!B:B,4,Equipar!D:D,A465)
+COUNTIFS(Equipar!B:B,4,Equipar!E:E,A465)
+COUNTIFS(Equipar!B:B,4,Equipar!F:F,A465)
&gt;0,COUNTIF('Set recomendado'!B:B,C465)=0),
"Bloqueada",
"Desechable")),""
)</f>
        <v/>
      </c>
      <c r="J465" t="str" cm="1">
        <f t="array" aca="1" ref="J465" ca="1">IF(ISNUMBER(A465),IFERROR(_xlfn._xlws.FILTER(Equipar!A:A,(Equipar!B:B=4)*(Equipar!AC:AC=A465)),""),"")</f>
        <v/>
      </c>
    </row>
    <row r="466" spans="1:10" x14ac:dyDescent="0.25">
      <c r="A466" s="3" t="str">
        <f ca="1">IF(A465="ID",1,IF(ISBLANK(B466),"",MAX(A$2:A465)+1))</f>
        <v/>
      </c>
      <c r="I466" s="2" t="str">
        <f ca="1">IF(ISNUMBER(A466),
IF(COUNTIFS(Equipar!B:B,4,Equipar!AC:AC,A466),"Equipada",
IF(
  OR(COUNTIFS(Equipar!B:B,4,Equipar!C:C,A466)
 +COUNTIFS(Equipar!B:B,4,Equipar!D:D,A466)
+COUNTIFS(Equipar!B:B,4,Equipar!E:E,A466)
+COUNTIFS(Equipar!B:B,4,Equipar!F:F,A466)
&gt;0,COUNTIF('Set recomendado'!B:B,C466)=0),
"Bloqueada",
"Desechable")),""
)</f>
        <v/>
      </c>
      <c r="J466" t="str" cm="1">
        <f t="array" aca="1" ref="J466" ca="1">IF(ISNUMBER(A466),IFERROR(_xlfn._xlws.FILTER(Equipar!A:A,(Equipar!B:B=4)*(Equipar!AC:AC=A466)),""),"")</f>
        <v/>
      </c>
    </row>
    <row r="467" spans="1:10" x14ac:dyDescent="0.25">
      <c r="A467" s="3" t="str">
        <f ca="1">IF(A466="ID",1,IF(ISBLANK(B467),"",MAX(A$2:A466)+1))</f>
        <v/>
      </c>
      <c r="I467" s="2" t="str">
        <f ca="1">IF(ISNUMBER(A467),
IF(COUNTIFS(Equipar!B:B,4,Equipar!AC:AC,A467),"Equipada",
IF(
  OR(COUNTIFS(Equipar!B:B,4,Equipar!C:C,A467)
 +COUNTIFS(Equipar!B:B,4,Equipar!D:D,A467)
+COUNTIFS(Equipar!B:B,4,Equipar!E:E,A467)
+COUNTIFS(Equipar!B:B,4,Equipar!F:F,A467)
&gt;0,COUNTIF('Set recomendado'!B:B,C467)=0),
"Bloqueada",
"Desechable")),""
)</f>
        <v/>
      </c>
      <c r="J467" t="str" cm="1">
        <f t="array" aca="1" ref="J467" ca="1">IF(ISNUMBER(A467),IFERROR(_xlfn._xlws.FILTER(Equipar!A:A,(Equipar!B:B=4)*(Equipar!AC:AC=A467)),""),"")</f>
        <v/>
      </c>
    </row>
    <row r="468" spans="1:10" x14ac:dyDescent="0.25">
      <c r="A468" s="3" t="str">
        <f ca="1">IF(A467="ID",1,IF(ISBLANK(B468),"",MAX(A$2:A467)+1))</f>
        <v/>
      </c>
      <c r="I468" s="2" t="str">
        <f ca="1">IF(ISNUMBER(A468),
IF(COUNTIFS(Equipar!B:B,4,Equipar!AC:AC,A468),"Equipada",
IF(
  OR(COUNTIFS(Equipar!B:B,4,Equipar!C:C,A468)
 +COUNTIFS(Equipar!B:B,4,Equipar!D:D,A468)
+COUNTIFS(Equipar!B:B,4,Equipar!E:E,A468)
+COUNTIFS(Equipar!B:B,4,Equipar!F:F,A468)
&gt;0,COUNTIF('Set recomendado'!B:B,C468)=0),
"Bloqueada",
"Desechable")),""
)</f>
        <v/>
      </c>
      <c r="J468" t="str" cm="1">
        <f t="array" aca="1" ref="J468" ca="1">IF(ISNUMBER(A468),IFERROR(_xlfn._xlws.FILTER(Equipar!A:A,(Equipar!B:B=4)*(Equipar!AC:AC=A468)),""),"")</f>
        <v/>
      </c>
    </row>
    <row r="469" spans="1:10" x14ac:dyDescent="0.25">
      <c r="A469" s="3" t="str">
        <f ca="1">IF(A468="ID",1,IF(ISBLANK(B469),"",MAX(A$2:A468)+1))</f>
        <v/>
      </c>
      <c r="I469" s="2" t="str">
        <f ca="1">IF(ISNUMBER(A469),
IF(COUNTIFS(Equipar!B:B,4,Equipar!AC:AC,A469),"Equipada",
IF(
  OR(COUNTIFS(Equipar!B:B,4,Equipar!C:C,A469)
 +COUNTIFS(Equipar!B:B,4,Equipar!D:D,A469)
+COUNTIFS(Equipar!B:B,4,Equipar!E:E,A469)
+COUNTIFS(Equipar!B:B,4,Equipar!F:F,A469)
&gt;0,COUNTIF('Set recomendado'!B:B,C469)=0),
"Bloqueada",
"Desechable")),""
)</f>
        <v/>
      </c>
      <c r="J469" t="str" cm="1">
        <f t="array" aca="1" ref="J469" ca="1">IF(ISNUMBER(A469),IFERROR(_xlfn._xlws.FILTER(Equipar!A:A,(Equipar!B:B=4)*(Equipar!AC:AC=A469)),""),"")</f>
        <v/>
      </c>
    </row>
    <row r="470" spans="1:10" x14ac:dyDescent="0.25">
      <c r="A470" s="3" t="str">
        <f ca="1">IF(A469="ID",1,IF(ISBLANK(B470),"",MAX(A$2:A469)+1))</f>
        <v/>
      </c>
      <c r="I470" s="2" t="str">
        <f ca="1">IF(ISNUMBER(A470),
IF(COUNTIFS(Equipar!B:B,4,Equipar!AC:AC,A470),"Equipada",
IF(
  OR(COUNTIFS(Equipar!B:B,4,Equipar!C:C,A470)
 +COUNTIFS(Equipar!B:B,4,Equipar!D:D,A470)
+COUNTIFS(Equipar!B:B,4,Equipar!E:E,A470)
+COUNTIFS(Equipar!B:B,4,Equipar!F:F,A470)
&gt;0,COUNTIF('Set recomendado'!B:B,C470)=0),
"Bloqueada",
"Desechable")),""
)</f>
        <v/>
      </c>
      <c r="J470" t="str" cm="1">
        <f t="array" aca="1" ref="J470" ca="1">IF(ISNUMBER(A470),IFERROR(_xlfn._xlws.FILTER(Equipar!A:A,(Equipar!B:B=4)*(Equipar!AC:AC=A470)),""),"")</f>
        <v/>
      </c>
    </row>
    <row r="471" spans="1:10" x14ac:dyDescent="0.25">
      <c r="A471" s="3" t="str">
        <f ca="1">IF(A470="ID",1,IF(ISBLANK(B471),"",MAX(A$2:A470)+1))</f>
        <v/>
      </c>
      <c r="I471" s="2" t="str">
        <f ca="1">IF(ISNUMBER(A471),
IF(COUNTIFS(Equipar!B:B,4,Equipar!AC:AC,A471),"Equipada",
IF(
  OR(COUNTIFS(Equipar!B:B,4,Equipar!C:C,A471)
 +COUNTIFS(Equipar!B:B,4,Equipar!D:D,A471)
+COUNTIFS(Equipar!B:B,4,Equipar!E:E,A471)
+COUNTIFS(Equipar!B:B,4,Equipar!F:F,A471)
&gt;0,COUNTIF('Set recomendado'!B:B,C471)=0),
"Bloqueada",
"Desechable")),""
)</f>
        <v/>
      </c>
      <c r="J471" t="str" cm="1">
        <f t="array" aca="1" ref="J471" ca="1">IF(ISNUMBER(A471),IFERROR(_xlfn._xlws.FILTER(Equipar!A:A,(Equipar!B:B=4)*(Equipar!AC:AC=A471)),""),"")</f>
        <v/>
      </c>
    </row>
    <row r="472" spans="1:10" x14ac:dyDescent="0.25">
      <c r="A472" s="3" t="str">
        <f ca="1">IF(A471="ID",1,IF(ISBLANK(B472),"",MAX(A$2:A471)+1))</f>
        <v/>
      </c>
      <c r="I472" s="2" t="str">
        <f ca="1">IF(ISNUMBER(A472),
IF(COUNTIFS(Equipar!B:B,4,Equipar!AC:AC,A472),"Equipada",
IF(
  OR(COUNTIFS(Equipar!B:B,4,Equipar!C:C,A472)
 +COUNTIFS(Equipar!B:B,4,Equipar!D:D,A472)
+COUNTIFS(Equipar!B:B,4,Equipar!E:E,A472)
+COUNTIFS(Equipar!B:B,4,Equipar!F:F,A472)
&gt;0,COUNTIF('Set recomendado'!B:B,C472)=0),
"Bloqueada",
"Desechable")),""
)</f>
        <v/>
      </c>
      <c r="J472" t="str" cm="1">
        <f t="array" aca="1" ref="J472" ca="1">IF(ISNUMBER(A472),IFERROR(_xlfn._xlws.FILTER(Equipar!A:A,(Equipar!B:B=4)*(Equipar!AC:AC=A472)),""),"")</f>
        <v/>
      </c>
    </row>
    <row r="473" spans="1:10" x14ac:dyDescent="0.25">
      <c r="A473" s="3" t="str">
        <f ca="1">IF(A472="ID",1,IF(ISBLANK(B473),"",MAX(A$2:A472)+1))</f>
        <v/>
      </c>
      <c r="I473" s="2" t="str">
        <f ca="1">IF(ISNUMBER(A473),
IF(COUNTIFS(Equipar!B:B,4,Equipar!AC:AC,A473),"Equipada",
IF(
  OR(COUNTIFS(Equipar!B:B,4,Equipar!C:C,A473)
 +COUNTIFS(Equipar!B:B,4,Equipar!D:D,A473)
+COUNTIFS(Equipar!B:B,4,Equipar!E:E,A473)
+COUNTIFS(Equipar!B:B,4,Equipar!F:F,A473)
&gt;0,COUNTIF('Set recomendado'!B:B,C473)=0),
"Bloqueada",
"Desechable")),""
)</f>
        <v/>
      </c>
      <c r="J473" t="str" cm="1">
        <f t="array" aca="1" ref="J473" ca="1">IF(ISNUMBER(A473),IFERROR(_xlfn._xlws.FILTER(Equipar!A:A,(Equipar!B:B=4)*(Equipar!AC:AC=A473)),""),"")</f>
        <v/>
      </c>
    </row>
    <row r="474" spans="1:10" x14ac:dyDescent="0.25">
      <c r="A474" s="3" t="str">
        <f ca="1">IF(A473="ID",1,IF(ISBLANK(B474),"",MAX(A$2:A473)+1))</f>
        <v/>
      </c>
      <c r="I474" s="2" t="str">
        <f ca="1">IF(ISNUMBER(A474),
IF(COUNTIFS(Equipar!B:B,4,Equipar!AC:AC,A474),"Equipada",
IF(
  OR(COUNTIFS(Equipar!B:B,4,Equipar!C:C,A474)
 +COUNTIFS(Equipar!B:B,4,Equipar!D:D,A474)
+COUNTIFS(Equipar!B:B,4,Equipar!E:E,A474)
+COUNTIFS(Equipar!B:B,4,Equipar!F:F,A474)
&gt;0,COUNTIF('Set recomendado'!B:B,C474)=0),
"Bloqueada",
"Desechable")),""
)</f>
        <v/>
      </c>
      <c r="J474" t="str" cm="1">
        <f t="array" aca="1" ref="J474" ca="1">IF(ISNUMBER(A474),IFERROR(_xlfn._xlws.FILTER(Equipar!A:A,(Equipar!B:B=4)*(Equipar!AC:AC=A474)),""),"")</f>
        <v/>
      </c>
    </row>
    <row r="475" spans="1:10" x14ac:dyDescent="0.25">
      <c r="A475" s="3" t="str">
        <f ca="1">IF(A474="ID",1,IF(ISBLANK(B475),"",MAX(A$2:A474)+1))</f>
        <v/>
      </c>
      <c r="I475" s="2" t="str">
        <f ca="1">IF(ISNUMBER(A475),
IF(COUNTIFS(Equipar!B:B,4,Equipar!AC:AC,A475),"Equipada",
IF(
  OR(COUNTIFS(Equipar!B:B,4,Equipar!C:C,A475)
 +COUNTIFS(Equipar!B:B,4,Equipar!D:D,A475)
+COUNTIFS(Equipar!B:B,4,Equipar!E:E,A475)
+COUNTIFS(Equipar!B:B,4,Equipar!F:F,A475)
&gt;0,COUNTIF('Set recomendado'!B:B,C475)=0),
"Bloqueada",
"Desechable")),""
)</f>
        <v/>
      </c>
      <c r="J475" t="str" cm="1">
        <f t="array" aca="1" ref="J475" ca="1">IF(ISNUMBER(A475),IFERROR(_xlfn._xlws.FILTER(Equipar!A:A,(Equipar!B:B=4)*(Equipar!AC:AC=A475)),""),"")</f>
        <v/>
      </c>
    </row>
    <row r="476" spans="1:10" x14ac:dyDescent="0.25">
      <c r="A476" s="3" t="str">
        <f ca="1">IF(A475="ID",1,IF(ISBLANK(B476),"",MAX(A$2:A475)+1))</f>
        <v/>
      </c>
      <c r="I476" s="2" t="str">
        <f ca="1">IF(ISNUMBER(A476),
IF(COUNTIFS(Equipar!B:B,4,Equipar!AC:AC,A476),"Equipada",
IF(
  OR(COUNTIFS(Equipar!B:B,4,Equipar!C:C,A476)
 +COUNTIFS(Equipar!B:B,4,Equipar!D:D,A476)
+COUNTIFS(Equipar!B:B,4,Equipar!E:E,A476)
+COUNTIFS(Equipar!B:B,4,Equipar!F:F,A476)
&gt;0,COUNTIF('Set recomendado'!B:B,C476)=0),
"Bloqueada",
"Desechable")),""
)</f>
        <v/>
      </c>
      <c r="J476" t="str" cm="1">
        <f t="array" aca="1" ref="J476" ca="1">IF(ISNUMBER(A476),IFERROR(_xlfn._xlws.FILTER(Equipar!A:A,(Equipar!B:B=4)*(Equipar!AC:AC=A476)),""),"")</f>
        <v/>
      </c>
    </row>
    <row r="477" spans="1:10" x14ac:dyDescent="0.25">
      <c r="A477" s="3" t="str">
        <f ca="1">IF(A476="ID",1,IF(ISBLANK(B477),"",MAX(A$2:A476)+1))</f>
        <v/>
      </c>
      <c r="I477" s="2" t="str">
        <f ca="1">IF(ISNUMBER(A477),
IF(COUNTIFS(Equipar!B:B,4,Equipar!AC:AC,A477),"Equipada",
IF(
  OR(COUNTIFS(Equipar!B:B,4,Equipar!C:C,A477)
 +COUNTIFS(Equipar!B:B,4,Equipar!D:D,A477)
+COUNTIFS(Equipar!B:B,4,Equipar!E:E,A477)
+COUNTIFS(Equipar!B:B,4,Equipar!F:F,A477)
&gt;0,COUNTIF('Set recomendado'!B:B,C477)=0),
"Bloqueada",
"Desechable")),""
)</f>
        <v/>
      </c>
      <c r="J477" t="str" cm="1">
        <f t="array" aca="1" ref="J477" ca="1">IF(ISNUMBER(A477),IFERROR(_xlfn._xlws.FILTER(Equipar!A:A,(Equipar!B:B=4)*(Equipar!AC:AC=A477)),""),"")</f>
        <v/>
      </c>
    </row>
    <row r="478" spans="1:10" x14ac:dyDescent="0.25">
      <c r="A478" s="3" t="str">
        <f ca="1">IF(A477="ID",1,IF(ISBLANK(B478),"",MAX(A$2:A477)+1))</f>
        <v/>
      </c>
      <c r="I478" s="2" t="str">
        <f ca="1">IF(ISNUMBER(A478),
IF(COUNTIFS(Equipar!B:B,4,Equipar!AC:AC,A478),"Equipada",
IF(
  OR(COUNTIFS(Equipar!B:B,4,Equipar!C:C,A478)
 +COUNTIFS(Equipar!B:B,4,Equipar!D:D,A478)
+COUNTIFS(Equipar!B:B,4,Equipar!E:E,A478)
+COUNTIFS(Equipar!B:B,4,Equipar!F:F,A478)
&gt;0,COUNTIF('Set recomendado'!B:B,C478)=0),
"Bloqueada",
"Desechable")),""
)</f>
        <v/>
      </c>
      <c r="J478" t="str" cm="1">
        <f t="array" aca="1" ref="J478" ca="1">IF(ISNUMBER(A478),IFERROR(_xlfn._xlws.FILTER(Equipar!A:A,(Equipar!B:B=4)*(Equipar!AC:AC=A478)),""),"")</f>
        <v/>
      </c>
    </row>
    <row r="479" spans="1:10" x14ac:dyDescent="0.25">
      <c r="A479" s="3" t="str">
        <f ca="1">IF(A478="ID",1,IF(ISBLANK(B479),"",MAX(A$2:A478)+1))</f>
        <v/>
      </c>
      <c r="I479" s="2" t="str">
        <f ca="1">IF(ISNUMBER(A479),
IF(COUNTIFS(Equipar!B:B,4,Equipar!AC:AC,A479),"Equipada",
IF(
  OR(COUNTIFS(Equipar!B:B,4,Equipar!C:C,A479)
 +COUNTIFS(Equipar!B:B,4,Equipar!D:D,A479)
+COUNTIFS(Equipar!B:B,4,Equipar!E:E,A479)
+COUNTIFS(Equipar!B:B,4,Equipar!F:F,A479)
&gt;0,COUNTIF('Set recomendado'!B:B,C479)=0),
"Bloqueada",
"Desechable")),""
)</f>
        <v/>
      </c>
      <c r="J479" t="str" cm="1">
        <f t="array" aca="1" ref="J479" ca="1">IF(ISNUMBER(A479),IFERROR(_xlfn._xlws.FILTER(Equipar!A:A,(Equipar!B:B=4)*(Equipar!AC:AC=A479)),""),"")</f>
        <v/>
      </c>
    </row>
    <row r="480" spans="1:10" x14ac:dyDescent="0.25">
      <c r="A480" s="3" t="str">
        <f ca="1">IF(A479="ID",1,IF(ISBLANK(B480),"",MAX(A$2:A479)+1))</f>
        <v/>
      </c>
      <c r="I480" s="2" t="str">
        <f ca="1">IF(ISNUMBER(A480),
IF(COUNTIFS(Equipar!B:B,4,Equipar!AC:AC,A480),"Equipada",
IF(
  OR(COUNTIFS(Equipar!B:B,4,Equipar!C:C,A480)
 +COUNTIFS(Equipar!B:B,4,Equipar!D:D,A480)
+COUNTIFS(Equipar!B:B,4,Equipar!E:E,A480)
+COUNTIFS(Equipar!B:B,4,Equipar!F:F,A480)
&gt;0,COUNTIF('Set recomendado'!B:B,C480)=0),
"Bloqueada",
"Desechable")),""
)</f>
        <v/>
      </c>
      <c r="J480" t="str" cm="1">
        <f t="array" aca="1" ref="J480" ca="1">IF(ISNUMBER(A480),IFERROR(_xlfn._xlws.FILTER(Equipar!A:A,(Equipar!B:B=4)*(Equipar!AC:AC=A480)),""),"")</f>
        <v/>
      </c>
    </row>
    <row r="481" spans="1:10" x14ac:dyDescent="0.25">
      <c r="A481" s="3" t="str">
        <f ca="1">IF(A480="ID",1,IF(ISBLANK(B481),"",MAX(A$2:A480)+1))</f>
        <v/>
      </c>
      <c r="I481" s="2" t="str">
        <f ca="1">IF(ISNUMBER(A481),
IF(COUNTIFS(Equipar!B:B,4,Equipar!AC:AC,A481),"Equipada",
IF(
  OR(COUNTIFS(Equipar!B:B,4,Equipar!C:C,A481)
 +COUNTIFS(Equipar!B:B,4,Equipar!D:D,A481)
+COUNTIFS(Equipar!B:B,4,Equipar!E:E,A481)
+COUNTIFS(Equipar!B:B,4,Equipar!F:F,A481)
&gt;0,COUNTIF('Set recomendado'!B:B,C481)=0),
"Bloqueada",
"Desechable")),""
)</f>
        <v/>
      </c>
      <c r="J481" t="str" cm="1">
        <f t="array" aca="1" ref="J481" ca="1">IF(ISNUMBER(A481),IFERROR(_xlfn._xlws.FILTER(Equipar!A:A,(Equipar!B:B=4)*(Equipar!AC:AC=A481)),""),"")</f>
        <v/>
      </c>
    </row>
    <row r="482" spans="1:10" x14ac:dyDescent="0.25">
      <c r="A482" s="3" t="str">
        <f ca="1">IF(A481="ID",1,IF(ISBLANK(B482),"",MAX(A$2:A481)+1))</f>
        <v/>
      </c>
      <c r="I482" s="2" t="str">
        <f ca="1">IF(ISNUMBER(A482),
IF(COUNTIFS(Equipar!B:B,4,Equipar!AC:AC,A482),"Equipada",
IF(
  OR(COUNTIFS(Equipar!B:B,4,Equipar!C:C,A482)
 +COUNTIFS(Equipar!B:B,4,Equipar!D:D,A482)
+COUNTIFS(Equipar!B:B,4,Equipar!E:E,A482)
+COUNTIFS(Equipar!B:B,4,Equipar!F:F,A482)
&gt;0,COUNTIF('Set recomendado'!B:B,C482)=0),
"Bloqueada",
"Desechable")),""
)</f>
        <v/>
      </c>
      <c r="J482" t="str" cm="1">
        <f t="array" aca="1" ref="J482" ca="1">IF(ISNUMBER(A482),IFERROR(_xlfn._xlws.FILTER(Equipar!A:A,(Equipar!B:B=4)*(Equipar!AC:AC=A482)),""),"")</f>
        <v/>
      </c>
    </row>
    <row r="483" spans="1:10" x14ac:dyDescent="0.25">
      <c r="A483" s="3" t="str">
        <f ca="1">IF(A482="ID",1,IF(ISBLANK(B483),"",MAX(A$2:A482)+1))</f>
        <v/>
      </c>
      <c r="I483" s="2" t="str">
        <f ca="1">IF(ISNUMBER(A483),
IF(COUNTIFS(Equipar!B:B,4,Equipar!AC:AC,A483),"Equipada",
IF(
  OR(COUNTIFS(Equipar!B:B,4,Equipar!C:C,A483)
 +COUNTIFS(Equipar!B:B,4,Equipar!D:D,A483)
+COUNTIFS(Equipar!B:B,4,Equipar!E:E,A483)
+COUNTIFS(Equipar!B:B,4,Equipar!F:F,A483)
&gt;0,COUNTIF('Set recomendado'!B:B,C483)=0),
"Bloqueada",
"Desechable")),""
)</f>
        <v/>
      </c>
      <c r="J483" t="str" cm="1">
        <f t="array" aca="1" ref="J483" ca="1">IF(ISNUMBER(A483),IFERROR(_xlfn._xlws.FILTER(Equipar!A:A,(Equipar!B:B=4)*(Equipar!AC:AC=A483)),""),"")</f>
        <v/>
      </c>
    </row>
    <row r="484" spans="1:10" x14ac:dyDescent="0.25">
      <c r="A484" s="3" t="str">
        <f ca="1">IF(A483="ID",1,IF(ISBLANK(B484),"",MAX(A$2:A483)+1))</f>
        <v/>
      </c>
      <c r="I484" s="2" t="str">
        <f ca="1">IF(ISNUMBER(A484),
IF(COUNTIFS(Equipar!B:B,4,Equipar!AC:AC,A484),"Equipada",
IF(
  OR(COUNTIFS(Equipar!B:B,4,Equipar!C:C,A484)
 +COUNTIFS(Equipar!B:B,4,Equipar!D:D,A484)
+COUNTIFS(Equipar!B:B,4,Equipar!E:E,A484)
+COUNTIFS(Equipar!B:B,4,Equipar!F:F,A484)
&gt;0,COUNTIF('Set recomendado'!B:B,C484)=0),
"Bloqueada",
"Desechable")),""
)</f>
        <v/>
      </c>
      <c r="J484" t="str" cm="1">
        <f t="array" aca="1" ref="J484" ca="1">IF(ISNUMBER(A484),IFERROR(_xlfn._xlws.FILTER(Equipar!A:A,(Equipar!B:B=4)*(Equipar!AC:AC=A484)),""),"")</f>
        <v/>
      </c>
    </row>
    <row r="485" spans="1:10" x14ac:dyDescent="0.25">
      <c r="A485" s="3" t="str">
        <f ca="1">IF(A484="ID",1,IF(ISBLANK(B485),"",MAX(A$2:A484)+1))</f>
        <v/>
      </c>
      <c r="I485" s="2" t="str">
        <f ca="1">IF(ISNUMBER(A485),
IF(COUNTIFS(Equipar!B:B,4,Equipar!AC:AC,A485),"Equipada",
IF(
  OR(COUNTIFS(Equipar!B:B,4,Equipar!C:C,A485)
 +COUNTIFS(Equipar!B:B,4,Equipar!D:D,A485)
+COUNTIFS(Equipar!B:B,4,Equipar!E:E,A485)
+COUNTIFS(Equipar!B:B,4,Equipar!F:F,A485)
&gt;0,COUNTIF('Set recomendado'!B:B,C485)=0),
"Bloqueada",
"Desechable")),""
)</f>
        <v/>
      </c>
      <c r="J485" t="str" cm="1">
        <f t="array" aca="1" ref="J485" ca="1">IF(ISNUMBER(A485),IFERROR(_xlfn._xlws.FILTER(Equipar!A:A,(Equipar!B:B=4)*(Equipar!AC:AC=A485)),""),"")</f>
        <v/>
      </c>
    </row>
    <row r="486" spans="1:10" x14ac:dyDescent="0.25">
      <c r="A486" s="3" t="str">
        <f ca="1">IF(A485="ID",1,IF(ISBLANK(B486),"",MAX(A$2:A485)+1))</f>
        <v/>
      </c>
      <c r="I486" s="2" t="str">
        <f ca="1">IF(ISNUMBER(A486),
IF(COUNTIFS(Equipar!B:B,4,Equipar!AC:AC,A486),"Equipada",
IF(
  OR(COUNTIFS(Equipar!B:B,4,Equipar!C:C,A486)
 +COUNTIFS(Equipar!B:B,4,Equipar!D:D,A486)
+COUNTIFS(Equipar!B:B,4,Equipar!E:E,A486)
+COUNTIFS(Equipar!B:B,4,Equipar!F:F,A486)
&gt;0,COUNTIF('Set recomendado'!B:B,C486)=0),
"Bloqueada",
"Desechable")),""
)</f>
        <v/>
      </c>
      <c r="J486" t="str" cm="1">
        <f t="array" aca="1" ref="J486" ca="1">IF(ISNUMBER(A486),IFERROR(_xlfn._xlws.FILTER(Equipar!A:A,(Equipar!B:B=4)*(Equipar!AC:AC=A486)),""),"")</f>
        <v/>
      </c>
    </row>
    <row r="487" spans="1:10" x14ac:dyDescent="0.25">
      <c r="A487" s="3" t="str">
        <f ca="1">IF(A486="ID",1,IF(ISBLANK(B487),"",MAX(A$2:A486)+1))</f>
        <v/>
      </c>
      <c r="I487" s="2" t="str">
        <f ca="1">IF(ISNUMBER(A487),
IF(COUNTIFS(Equipar!B:B,4,Equipar!AC:AC,A487),"Equipada",
IF(
  OR(COUNTIFS(Equipar!B:B,4,Equipar!C:C,A487)
 +COUNTIFS(Equipar!B:B,4,Equipar!D:D,A487)
+COUNTIFS(Equipar!B:B,4,Equipar!E:E,A487)
+COUNTIFS(Equipar!B:B,4,Equipar!F:F,A487)
&gt;0,COUNTIF('Set recomendado'!B:B,C487)=0),
"Bloqueada",
"Desechable")),""
)</f>
        <v/>
      </c>
      <c r="J487" t="str" cm="1">
        <f t="array" aca="1" ref="J487" ca="1">IF(ISNUMBER(A487),IFERROR(_xlfn._xlws.FILTER(Equipar!A:A,(Equipar!B:B=4)*(Equipar!AC:AC=A487)),""),"")</f>
        <v/>
      </c>
    </row>
    <row r="488" spans="1:10" x14ac:dyDescent="0.25">
      <c r="A488" s="3" t="str">
        <f ca="1">IF(A487="ID",1,IF(ISBLANK(B488),"",MAX(A$2:A487)+1))</f>
        <v/>
      </c>
      <c r="I488" s="2" t="str">
        <f ca="1">IF(ISNUMBER(A488),
IF(COUNTIFS(Equipar!B:B,4,Equipar!AC:AC,A488),"Equipada",
IF(
  OR(COUNTIFS(Equipar!B:B,4,Equipar!C:C,A488)
 +COUNTIFS(Equipar!B:B,4,Equipar!D:D,A488)
+COUNTIFS(Equipar!B:B,4,Equipar!E:E,A488)
+COUNTIFS(Equipar!B:B,4,Equipar!F:F,A488)
&gt;0,COUNTIF('Set recomendado'!B:B,C488)=0),
"Bloqueada",
"Desechable")),""
)</f>
        <v/>
      </c>
      <c r="J488" t="str" cm="1">
        <f t="array" aca="1" ref="J488" ca="1">IF(ISNUMBER(A488),IFERROR(_xlfn._xlws.FILTER(Equipar!A:A,(Equipar!B:B=4)*(Equipar!AC:AC=A488)),""),"")</f>
        <v/>
      </c>
    </row>
    <row r="489" spans="1:10" x14ac:dyDescent="0.25">
      <c r="A489" s="3" t="str">
        <f ca="1">IF(A488="ID",1,IF(ISBLANK(B489),"",MAX(A$2:A488)+1))</f>
        <v/>
      </c>
      <c r="I489" s="2" t="str">
        <f ca="1">IF(ISNUMBER(A489),
IF(COUNTIFS(Equipar!B:B,4,Equipar!AC:AC,A489),"Equipada",
IF(
  OR(COUNTIFS(Equipar!B:B,4,Equipar!C:C,A489)
 +COUNTIFS(Equipar!B:B,4,Equipar!D:D,A489)
+COUNTIFS(Equipar!B:B,4,Equipar!E:E,A489)
+COUNTIFS(Equipar!B:B,4,Equipar!F:F,A489)
&gt;0,COUNTIF('Set recomendado'!B:B,C489)=0),
"Bloqueada",
"Desechable")),""
)</f>
        <v/>
      </c>
      <c r="J489" t="str" cm="1">
        <f t="array" aca="1" ref="J489" ca="1">IF(ISNUMBER(A489),IFERROR(_xlfn._xlws.FILTER(Equipar!A:A,(Equipar!B:B=4)*(Equipar!AC:AC=A489)),""),"")</f>
        <v/>
      </c>
    </row>
    <row r="490" spans="1:10" x14ac:dyDescent="0.25">
      <c r="A490" s="3" t="str">
        <f ca="1">IF(A489="ID",1,IF(ISBLANK(B490),"",MAX(A$2:A489)+1))</f>
        <v/>
      </c>
      <c r="I490" s="2" t="str">
        <f ca="1">IF(ISNUMBER(A490),
IF(COUNTIFS(Equipar!B:B,4,Equipar!AC:AC,A490),"Equipada",
IF(
  OR(COUNTIFS(Equipar!B:B,4,Equipar!C:C,A490)
 +COUNTIFS(Equipar!B:B,4,Equipar!D:D,A490)
+COUNTIFS(Equipar!B:B,4,Equipar!E:E,A490)
+COUNTIFS(Equipar!B:B,4,Equipar!F:F,A490)
&gt;0,COUNTIF('Set recomendado'!B:B,C490)=0),
"Bloqueada",
"Desechable")),""
)</f>
        <v/>
      </c>
      <c r="J490" t="str" cm="1">
        <f t="array" aca="1" ref="J490" ca="1">IF(ISNUMBER(A490),IFERROR(_xlfn._xlws.FILTER(Equipar!A:A,(Equipar!B:B=4)*(Equipar!AC:AC=A490)),""),"")</f>
        <v/>
      </c>
    </row>
    <row r="491" spans="1:10" x14ac:dyDescent="0.25">
      <c r="A491" s="3" t="str">
        <f ca="1">IF(A490="ID",1,IF(ISBLANK(B491),"",MAX(A$2:A490)+1))</f>
        <v/>
      </c>
      <c r="I491" s="2" t="str">
        <f ca="1">IF(ISNUMBER(A491),
IF(COUNTIFS(Equipar!B:B,4,Equipar!AC:AC,A491),"Equipada",
IF(
  OR(COUNTIFS(Equipar!B:B,4,Equipar!C:C,A491)
 +COUNTIFS(Equipar!B:B,4,Equipar!D:D,A491)
+COUNTIFS(Equipar!B:B,4,Equipar!E:E,A491)
+COUNTIFS(Equipar!B:B,4,Equipar!F:F,A491)
&gt;0,COUNTIF('Set recomendado'!B:B,C491)=0),
"Bloqueada",
"Desechable")),""
)</f>
        <v/>
      </c>
      <c r="J491" t="str" cm="1">
        <f t="array" aca="1" ref="J491" ca="1">IF(ISNUMBER(A491),IFERROR(_xlfn._xlws.FILTER(Equipar!A:A,(Equipar!B:B=4)*(Equipar!AC:AC=A491)),""),"")</f>
        <v/>
      </c>
    </row>
    <row r="492" spans="1:10" x14ac:dyDescent="0.25">
      <c r="A492" s="3" t="str">
        <f ca="1">IF(A491="ID",1,IF(ISBLANK(B492),"",MAX(A$2:A491)+1))</f>
        <v/>
      </c>
      <c r="I492" s="2" t="str">
        <f ca="1">IF(ISNUMBER(A492),
IF(COUNTIFS(Equipar!B:B,4,Equipar!AC:AC,A492),"Equipada",
IF(
  OR(COUNTIFS(Equipar!B:B,4,Equipar!C:C,A492)
 +COUNTIFS(Equipar!B:B,4,Equipar!D:D,A492)
+COUNTIFS(Equipar!B:B,4,Equipar!E:E,A492)
+COUNTIFS(Equipar!B:B,4,Equipar!F:F,A492)
&gt;0,COUNTIF('Set recomendado'!B:B,C492)=0),
"Bloqueada",
"Desechable")),""
)</f>
        <v/>
      </c>
      <c r="J492" t="str" cm="1">
        <f t="array" aca="1" ref="J492" ca="1">IF(ISNUMBER(A492),IFERROR(_xlfn._xlws.FILTER(Equipar!A:A,(Equipar!B:B=4)*(Equipar!AC:AC=A492)),""),"")</f>
        <v/>
      </c>
    </row>
    <row r="493" spans="1:10" x14ac:dyDescent="0.25">
      <c r="A493" s="3" t="str">
        <f ca="1">IF(A492="ID",1,IF(ISBLANK(B493),"",MAX(A$2:A492)+1))</f>
        <v/>
      </c>
      <c r="I493" s="2" t="str">
        <f ca="1">IF(ISNUMBER(A493),
IF(COUNTIFS(Equipar!B:B,4,Equipar!AC:AC,A493),"Equipada",
IF(
  OR(COUNTIFS(Equipar!B:B,4,Equipar!C:C,A493)
 +COUNTIFS(Equipar!B:B,4,Equipar!D:D,A493)
+COUNTIFS(Equipar!B:B,4,Equipar!E:E,A493)
+COUNTIFS(Equipar!B:B,4,Equipar!F:F,A493)
&gt;0,COUNTIF('Set recomendado'!B:B,C493)=0),
"Bloqueada",
"Desechable")),""
)</f>
        <v/>
      </c>
      <c r="J493" t="str" cm="1">
        <f t="array" aca="1" ref="J493" ca="1">IF(ISNUMBER(A493),IFERROR(_xlfn._xlws.FILTER(Equipar!A:A,(Equipar!B:B=4)*(Equipar!AC:AC=A493)),""),"")</f>
        <v/>
      </c>
    </row>
    <row r="494" spans="1:10" x14ac:dyDescent="0.25">
      <c r="A494" s="3" t="str">
        <f ca="1">IF(A493="ID",1,IF(ISBLANK(B494),"",MAX(A$2:A493)+1))</f>
        <v/>
      </c>
      <c r="I494" s="2" t="str">
        <f ca="1">IF(ISNUMBER(A494),
IF(COUNTIFS(Equipar!B:B,4,Equipar!AC:AC,A494),"Equipada",
IF(
  OR(COUNTIFS(Equipar!B:B,4,Equipar!C:C,A494)
 +COUNTIFS(Equipar!B:B,4,Equipar!D:D,A494)
+COUNTIFS(Equipar!B:B,4,Equipar!E:E,A494)
+COUNTIFS(Equipar!B:B,4,Equipar!F:F,A494)
&gt;0,COUNTIF('Set recomendado'!B:B,C494)=0),
"Bloqueada",
"Desechable")),""
)</f>
        <v/>
      </c>
      <c r="J494" t="str" cm="1">
        <f t="array" aca="1" ref="J494" ca="1">IF(ISNUMBER(A494),IFERROR(_xlfn._xlws.FILTER(Equipar!A:A,(Equipar!B:B=4)*(Equipar!AC:AC=A494)),""),"")</f>
        <v/>
      </c>
    </row>
    <row r="495" spans="1:10" x14ac:dyDescent="0.25">
      <c r="A495" s="3" t="str">
        <f ca="1">IF(A494="ID",1,IF(ISBLANK(B495),"",MAX(A$2:A494)+1))</f>
        <v/>
      </c>
      <c r="I495" s="2" t="str">
        <f ca="1">IF(ISNUMBER(A495),
IF(COUNTIFS(Equipar!B:B,4,Equipar!AC:AC,A495),"Equipada",
IF(
  OR(COUNTIFS(Equipar!B:B,4,Equipar!C:C,A495)
 +COUNTIFS(Equipar!B:B,4,Equipar!D:D,A495)
+COUNTIFS(Equipar!B:B,4,Equipar!E:E,A495)
+COUNTIFS(Equipar!B:B,4,Equipar!F:F,A495)
&gt;0,COUNTIF('Set recomendado'!B:B,C495)=0),
"Bloqueada",
"Desechable")),""
)</f>
        <v/>
      </c>
      <c r="J495" t="str" cm="1">
        <f t="array" aca="1" ref="J495" ca="1">IF(ISNUMBER(A495),IFERROR(_xlfn._xlws.FILTER(Equipar!A:A,(Equipar!B:B=4)*(Equipar!AC:AC=A495)),""),"")</f>
        <v/>
      </c>
    </row>
    <row r="496" spans="1:10" x14ac:dyDescent="0.25">
      <c r="A496" s="3" t="str">
        <f ca="1">IF(A495="ID",1,IF(ISBLANK(B496),"",MAX(A$2:A495)+1))</f>
        <v/>
      </c>
      <c r="I496" s="2" t="str">
        <f ca="1">IF(ISNUMBER(A496),
IF(COUNTIFS(Equipar!B:B,4,Equipar!AC:AC,A496),"Equipada",
IF(
  OR(COUNTIFS(Equipar!B:B,4,Equipar!C:C,A496)
 +COUNTIFS(Equipar!B:B,4,Equipar!D:D,A496)
+COUNTIFS(Equipar!B:B,4,Equipar!E:E,A496)
+COUNTIFS(Equipar!B:B,4,Equipar!F:F,A496)
&gt;0,COUNTIF('Set recomendado'!B:B,C496)=0),
"Bloqueada",
"Desechable")),""
)</f>
        <v/>
      </c>
      <c r="J496" t="str" cm="1">
        <f t="array" aca="1" ref="J496" ca="1">IF(ISNUMBER(A496),IFERROR(_xlfn._xlws.FILTER(Equipar!A:A,(Equipar!B:B=4)*(Equipar!AC:AC=A496)),""),"")</f>
        <v/>
      </c>
    </row>
    <row r="497" spans="1:10" x14ac:dyDescent="0.25">
      <c r="A497" s="3" t="str">
        <f ca="1">IF(A496="ID",1,IF(ISBLANK(B497),"",MAX(A$2:A496)+1))</f>
        <v/>
      </c>
      <c r="I497" s="2" t="str">
        <f ca="1">IF(ISNUMBER(A497),
IF(COUNTIFS(Equipar!B:B,4,Equipar!AC:AC,A497),"Equipada",
IF(
  OR(COUNTIFS(Equipar!B:B,4,Equipar!C:C,A497)
 +COUNTIFS(Equipar!B:B,4,Equipar!D:D,A497)
+COUNTIFS(Equipar!B:B,4,Equipar!E:E,A497)
+COUNTIFS(Equipar!B:B,4,Equipar!F:F,A497)
&gt;0,COUNTIF('Set recomendado'!B:B,C497)=0),
"Bloqueada",
"Desechable")),""
)</f>
        <v/>
      </c>
      <c r="J497" t="str" cm="1">
        <f t="array" aca="1" ref="J497" ca="1">IF(ISNUMBER(A497),IFERROR(_xlfn._xlws.FILTER(Equipar!A:A,(Equipar!B:B=4)*(Equipar!AC:AC=A497)),""),"")</f>
        <v/>
      </c>
    </row>
    <row r="498" spans="1:10" x14ac:dyDescent="0.25">
      <c r="A498" s="3" t="str">
        <f ca="1">IF(A497="ID",1,IF(ISBLANK(B498),"",MAX(A$2:A497)+1))</f>
        <v/>
      </c>
      <c r="I498" s="2" t="str">
        <f ca="1">IF(ISNUMBER(A498),
IF(COUNTIFS(Equipar!B:B,4,Equipar!AC:AC,A498),"Equipada",
IF(
  OR(COUNTIFS(Equipar!B:B,4,Equipar!C:C,A498)
 +COUNTIFS(Equipar!B:B,4,Equipar!D:D,A498)
+COUNTIFS(Equipar!B:B,4,Equipar!E:E,A498)
+COUNTIFS(Equipar!B:B,4,Equipar!F:F,A498)
&gt;0,COUNTIF('Set recomendado'!B:B,C498)=0),
"Bloqueada",
"Desechable")),""
)</f>
        <v/>
      </c>
      <c r="J498" t="str" cm="1">
        <f t="array" aca="1" ref="J498" ca="1">IF(ISNUMBER(A498),IFERROR(_xlfn._xlws.FILTER(Equipar!A:A,(Equipar!B:B=4)*(Equipar!AC:AC=A498)),""),"")</f>
        <v/>
      </c>
    </row>
    <row r="499" spans="1:10" x14ac:dyDescent="0.25">
      <c r="A499" s="3" t="str">
        <f ca="1">IF(A498="ID",1,IF(ISBLANK(B499),"",MAX(A$2:A498)+1))</f>
        <v/>
      </c>
      <c r="I499" s="2" t="str">
        <f ca="1">IF(ISNUMBER(A499),
IF(COUNTIFS(Equipar!B:B,4,Equipar!AC:AC,A499),"Equipada",
IF(
  OR(COUNTIFS(Equipar!B:B,4,Equipar!C:C,A499)
 +COUNTIFS(Equipar!B:B,4,Equipar!D:D,A499)
+COUNTIFS(Equipar!B:B,4,Equipar!E:E,A499)
+COUNTIFS(Equipar!B:B,4,Equipar!F:F,A499)
&gt;0,COUNTIF('Set recomendado'!B:B,C499)=0),
"Bloqueada",
"Desechable")),""
)</f>
        <v/>
      </c>
      <c r="J499" t="str" cm="1">
        <f t="array" aca="1" ref="J499" ca="1">IF(ISNUMBER(A499),IFERROR(_xlfn._xlws.FILTER(Equipar!A:A,(Equipar!B:B=4)*(Equipar!AC:AC=A499)),""),"")</f>
        <v/>
      </c>
    </row>
    <row r="500" spans="1:10" x14ac:dyDescent="0.25">
      <c r="A500" s="3" t="str">
        <f ca="1">IF(A499="ID",1,IF(ISBLANK(B500),"",MAX(A$2:A499)+1))</f>
        <v/>
      </c>
      <c r="I500" s="2" t="str">
        <f ca="1">IF(ISNUMBER(A500),
IF(COUNTIFS(Equipar!B:B,4,Equipar!AC:AC,A500),"Equipada",
IF(
  OR(COUNTIFS(Equipar!B:B,4,Equipar!C:C,A500)
 +COUNTIFS(Equipar!B:B,4,Equipar!D:D,A500)
+COUNTIFS(Equipar!B:B,4,Equipar!E:E,A500)
+COUNTIFS(Equipar!B:B,4,Equipar!F:F,A500)
&gt;0,COUNTIF('Set recomendado'!B:B,C500)=0),
"Bloqueada",
"Desechable")),""
)</f>
        <v/>
      </c>
      <c r="J500" t="str" cm="1">
        <f t="array" aca="1" ref="J500" ca="1">IF(ISNUMBER(A500),IFERROR(_xlfn._xlws.FILTER(Equipar!A:A,(Equipar!B:B=4)*(Equipar!AC:AC=A500)),""),"")</f>
        <v/>
      </c>
    </row>
    <row r="501" spans="1:10" x14ac:dyDescent="0.25">
      <c r="A501" s="3" t="str">
        <f ca="1">IF(A500="ID",1,IF(ISBLANK(B501),"",MAX(A$2:A500)+1))</f>
        <v/>
      </c>
      <c r="I501" s="2" t="str">
        <f ca="1">IF(ISNUMBER(A501),
IF(COUNTIFS(Equipar!B:B,4,Equipar!AC:AC,A501),"Equipada",
IF(
  OR(COUNTIFS(Equipar!B:B,4,Equipar!C:C,A501)
 +COUNTIFS(Equipar!B:B,4,Equipar!D:D,A501)
+COUNTIFS(Equipar!B:B,4,Equipar!E:E,A501)
+COUNTIFS(Equipar!B:B,4,Equipar!F:F,A501)
&gt;0,COUNTIF('Set recomendado'!B:B,C501)=0),
"Bloqueada",
"Desechable")),""
)</f>
        <v/>
      </c>
      <c r="J501" t="str" cm="1">
        <f t="array" aca="1" ref="J501" ca="1">IF(ISNUMBER(A501),IFERROR(_xlfn._xlws.FILTER(Equipar!A:A,(Equipar!B:B=4)*(Equipar!AC:AC=A501)),""),"")</f>
        <v/>
      </c>
    </row>
    <row r="502" spans="1:10" x14ac:dyDescent="0.25">
      <c r="A502" s="3" t="str">
        <f ca="1">IF(A501="ID",1,IF(ISBLANK(B502),"",MAX(A$2:A501)+1))</f>
        <v/>
      </c>
      <c r="I502" s="2" t="str">
        <f ca="1">IF(ISNUMBER(A502),
IF(COUNTIFS(Equipar!B:B,4,Equipar!AC:AC,A502),"Equipada",
IF(
  OR(COUNTIFS(Equipar!B:B,4,Equipar!C:C,A502)
 +COUNTIFS(Equipar!B:B,4,Equipar!D:D,A502)
+COUNTIFS(Equipar!B:B,4,Equipar!E:E,A502)
+COUNTIFS(Equipar!B:B,4,Equipar!F:F,A502)
&gt;0,COUNTIF('Set recomendado'!B:B,C502)=0),
"Bloqueada",
"Desechable")),""
)</f>
        <v/>
      </c>
      <c r="J502" t="str" cm="1">
        <f t="array" aca="1" ref="J502" ca="1">IF(ISNUMBER(A502),IFERROR(_xlfn._xlws.FILTER(Equipar!A:A,(Equipar!B:B=4)*(Equipar!AC:AC=A502)),""),"")</f>
        <v/>
      </c>
    </row>
    <row r="503" spans="1:10" x14ac:dyDescent="0.25">
      <c r="A503" s="3" t="str">
        <f ca="1">IF(A502="ID",1,IF(ISBLANK(B503),"",MAX(A$2:A502)+1))</f>
        <v/>
      </c>
      <c r="I503" s="2" t="str">
        <f ca="1">IF(ISNUMBER(A503),
IF(COUNTIFS(Equipar!B:B,4,Equipar!AC:AC,A503),"Equipada",
IF(
  OR(COUNTIFS(Equipar!B:B,4,Equipar!C:C,A503)
 +COUNTIFS(Equipar!B:B,4,Equipar!D:D,A503)
+COUNTIFS(Equipar!B:B,4,Equipar!E:E,A503)
+COUNTIFS(Equipar!B:B,4,Equipar!F:F,A503)
&gt;0,COUNTIF('Set recomendado'!B:B,C503)=0),
"Bloqueada",
"Desechable")),""
)</f>
        <v/>
      </c>
      <c r="J503" t="str" cm="1">
        <f t="array" aca="1" ref="J503" ca="1">IF(ISNUMBER(A503),IFERROR(_xlfn._xlws.FILTER(Equipar!A:A,(Equipar!B:B=4)*(Equipar!AC:AC=A503)),""),"")</f>
        <v/>
      </c>
    </row>
    <row r="504" spans="1:10" x14ac:dyDescent="0.25">
      <c r="A504" s="3" t="str">
        <f ca="1">IF(A503="ID",1,IF(ISBLANK(B504),"",MAX(A$2:A503)+1))</f>
        <v/>
      </c>
      <c r="I504" s="2" t="str">
        <f ca="1">IF(ISNUMBER(A504),
IF(COUNTIFS(Equipar!B:B,4,Equipar!AC:AC,A504),"Equipada",
IF(
  OR(COUNTIFS(Equipar!B:B,4,Equipar!C:C,A504)
 +COUNTIFS(Equipar!B:B,4,Equipar!D:D,A504)
+COUNTIFS(Equipar!B:B,4,Equipar!E:E,A504)
+COUNTIFS(Equipar!B:B,4,Equipar!F:F,A504)
&gt;0,COUNTIF('Set recomendado'!B:B,C504)=0),
"Bloqueada",
"Desechable")),""
)</f>
        <v/>
      </c>
      <c r="J504" t="str" cm="1">
        <f t="array" aca="1" ref="J504" ca="1">IF(ISNUMBER(A504),IFERROR(_xlfn._xlws.FILTER(Equipar!A:A,(Equipar!B:B=4)*(Equipar!AC:AC=A504)),""),"")</f>
        <v/>
      </c>
    </row>
    <row r="505" spans="1:10" x14ac:dyDescent="0.25">
      <c r="A505" s="3" t="str">
        <f ca="1">IF(A504="ID",1,IF(ISBLANK(B505),"",MAX(A$2:A504)+1))</f>
        <v/>
      </c>
      <c r="I505" s="2" t="str">
        <f ca="1">IF(ISNUMBER(A505),
IF(COUNTIFS(Equipar!B:B,4,Equipar!AC:AC,A505),"Equipada",
IF(
  OR(COUNTIFS(Equipar!B:B,4,Equipar!C:C,A505)
 +COUNTIFS(Equipar!B:B,4,Equipar!D:D,A505)
+COUNTIFS(Equipar!B:B,4,Equipar!E:E,A505)
+COUNTIFS(Equipar!B:B,4,Equipar!F:F,A505)
&gt;0,COUNTIF('Set recomendado'!B:B,C505)=0),
"Bloqueada",
"Desechable")),""
)</f>
        <v/>
      </c>
      <c r="J505" t="str" cm="1">
        <f t="array" aca="1" ref="J505" ca="1">IF(ISNUMBER(A505),IFERROR(_xlfn._xlws.FILTER(Equipar!A:A,(Equipar!B:B=4)*(Equipar!AC:AC=A505)),""),"")</f>
        <v/>
      </c>
    </row>
    <row r="506" spans="1:10" x14ac:dyDescent="0.25">
      <c r="A506" s="3" t="str">
        <f ca="1">IF(A505="ID",1,IF(ISBLANK(B506),"",MAX(A$2:A505)+1))</f>
        <v/>
      </c>
      <c r="I506" s="2" t="str">
        <f ca="1">IF(ISNUMBER(A506),
IF(COUNTIFS(Equipar!B:B,4,Equipar!AC:AC,A506),"Equipada",
IF(
  OR(COUNTIFS(Equipar!B:B,4,Equipar!C:C,A506)
 +COUNTIFS(Equipar!B:B,4,Equipar!D:D,A506)
+COUNTIFS(Equipar!B:B,4,Equipar!E:E,A506)
+COUNTIFS(Equipar!B:B,4,Equipar!F:F,A506)
&gt;0,COUNTIF('Set recomendado'!B:B,C506)=0),
"Bloqueada",
"Desechable")),""
)</f>
        <v/>
      </c>
      <c r="J506" t="str" cm="1">
        <f t="array" aca="1" ref="J506" ca="1">IF(ISNUMBER(A506),IFERROR(_xlfn._xlws.FILTER(Equipar!A:A,(Equipar!B:B=4)*(Equipar!AC:AC=A506)),""),"")</f>
        <v/>
      </c>
    </row>
    <row r="507" spans="1:10" x14ac:dyDescent="0.25">
      <c r="A507" s="3" t="str">
        <f ca="1">IF(A506="ID",1,IF(ISBLANK(B507),"",MAX(A$2:A506)+1))</f>
        <v/>
      </c>
      <c r="I507" s="2" t="str">
        <f ca="1">IF(ISNUMBER(A507),
IF(COUNTIFS(Equipar!B:B,4,Equipar!AC:AC,A507),"Equipada",
IF(
  OR(COUNTIFS(Equipar!B:B,4,Equipar!C:C,A507)
 +COUNTIFS(Equipar!B:B,4,Equipar!D:D,A507)
+COUNTIFS(Equipar!B:B,4,Equipar!E:E,A507)
+COUNTIFS(Equipar!B:B,4,Equipar!F:F,A507)
&gt;0,COUNTIF('Set recomendado'!B:B,C507)=0),
"Bloqueada",
"Desechable")),""
)</f>
        <v/>
      </c>
      <c r="J507" t="str" cm="1">
        <f t="array" aca="1" ref="J507" ca="1">IF(ISNUMBER(A507),IFERROR(_xlfn._xlws.FILTER(Equipar!A:A,(Equipar!B:B=4)*(Equipar!AC:AC=A507)),""),"")</f>
        <v/>
      </c>
    </row>
    <row r="508" spans="1:10" x14ac:dyDescent="0.25">
      <c r="A508" s="3" t="str">
        <f ca="1">IF(A507="ID",1,IF(ISBLANK(B508),"",MAX(A$2:A507)+1))</f>
        <v/>
      </c>
      <c r="I508" s="2" t="str">
        <f ca="1">IF(ISNUMBER(A508),
IF(COUNTIFS(Equipar!B:B,4,Equipar!AC:AC,A508),"Equipada",
IF(
  OR(COUNTIFS(Equipar!B:B,4,Equipar!C:C,A508)
 +COUNTIFS(Equipar!B:B,4,Equipar!D:D,A508)
+COUNTIFS(Equipar!B:B,4,Equipar!E:E,A508)
+COUNTIFS(Equipar!B:B,4,Equipar!F:F,A508)
&gt;0,COUNTIF('Set recomendado'!B:B,C508)=0),
"Bloqueada",
"Desechable")),""
)</f>
        <v/>
      </c>
      <c r="J508" t="str" cm="1">
        <f t="array" aca="1" ref="J508" ca="1">IF(ISNUMBER(A508),IFERROR(_xlfn._xlws.FILTER(Equipar!A:A,(Equipar!B:B=4)*(Equipar!AC:AC=A508)),""),"")</f>
        <v/>
      </c>
    </row>
    <row r="509" spans="1:10" x14ac:dyDescent="0.25">
      <c r="A509" s="3" t="str">
        <f ca="1">IF(A508="ID",1,IF(ISBLANK(B509),"",MAX(A$2:A508)+1))</f>
        <v/>
      </c>
      <c r="I509" s="2" t="str">
        <f ca="1">IF(ISNUMBER(A509),
IF(COUNTIFS(Equipar!B:B,4,Equipar!AC:AC,A509),"Equipada",
IF(
  OR(COUNTIFS(Equipar!B:B,4,Equipar!C:C,A509)
 +COUNTIFS(Equipar!B:B,4,Equipar!D:D,A509)
+COUNTIFS(Equipar!B:B,4,Equipar!E:E,A509)
+COUNTIFS(Equipar!B:B,4,Equipar!F:F,A509)
&gt;0,COUNTIF('Set recomendado'!B:B,C509)=0),
"Bloqueada",
"Desechable")),""
)</f>
        <v/>
      </c>
      <c r="J509" t="str" cm="1">
        <f t="array" aca="1" ref="J509" ca="1">IF(ISNUMBER(A509),IFERROR(_xlfn._xlws.FILTER(Equipar!A:A,(Equipar!B:B=4)*(Equipar!AC:AC=A509)),""),"")</f>
        <v/>
      </c>
    </row>
    <row r="510" spans="1:10" x14ac:dyDescent="0.25">
      <c r="A510" s="3" t="str">
        <f ca="1">IF(A509="ID",1,IF(ISBLANK(B510),"",MAX(A$2:A509)+1))</f>
        <v/>
      </c>
      <c r="I510" s="2" t="str">
        <f ca="1">IF(ISNUMBER(A510),
IF(COUNTIFS(Equipar!B:B,4,Equipar!AC:AC,A510),"Equipada",
IF(
  OR(COUNTIFS(Equipar!B:B,4,Equipar!C:C,A510)
 +COUNTIFS(Equipar!B:B,4,Equipar!D:D,A510)
+COUNTIFS(Equipar!B:B,4,Equipar!E:E,A510)
+COUNTIFS(Equipar!B:B,4,Equipar!F:F,A510)
&gt;0,COUNTIF('Set recomendado'!B:B,C510)=0),
"Bloqueada",
"Desechable")),""
)</f>
        <v/>
      </c>
      <c r="J510" t="str" cm="1">
        <f t="array" aca="1" ref="J510" ca="1">IF(ISNUMBER(A510),IFERROR(_xlfn._xlws.FILTER(Equipar!A:A,(Equipar!B:B=4)*(Equipar!AC:AC=A510)),""),"")</f>
        <v/>
      </c>
    </row>
    <row r="511" spans="1:10" x14ac:dyDescent="0.25">
      <c r="A511" s="3" t="str">
        <f ca="1">IF(A510="ID",1,IF(ISBLANK(B511),"",MAX(A$2:A510)+1))</f>
        <v/>
      </c>
      <c r="I511" s="2" t="str">
        <f ca="1">IF(ISNUMBER(A511),
IF(COUNTIFS(Equipar!B:B,4,Equipar!AC:AC,A511),"Equipada",
IF(
  OR(COUNTIFS(Equipar!B:B,4,Equipar!C:C,A511)
 +COUNTIFS(Equipar!B:B,4,Equipar!D:D,A511)
+COUNTIFS(Equipar!B:B,4,Equipar!E:E,A511)
+COUNTIFS(Equipar!B:B,4,Equipar!F:F,A511)
&gt;0,COUNTIF('Set recomendado'!B:B,C511)=0),
"Bloqueada",
"Desechable")),""
)</f>
        <v/>
      </c>
      <c r="J511" t="str" cm="1">
        <f t="array" aca="1" ref="J511" ca="1">IF(ISNUMBER(A511),IFERROR(_xlfn._xlws.FILTER(Equipar!A:A,(Equipar!B:B=4)*(Equipar!AC:AC=A511)),""),"")</f>
        <v/>
      </c>
    </row>
    <row r="512" spans="1:10" x14ac:dyDescent="0.25">
      <c r="A512" s="3" t="str">
        <f ca="1">IF(A511="ID",1,IF(ISBLANK(B512),"",MAX(A$2:A511)+1))</f>
        <v/>
      </c>
      <c r="I512" s="2" t="str">
        <f ca="1">IF(ISNUMBER(A512),
IF(COUNTIFS(Equipar!B:B,4,Equipar!AC:AC,A512),"Equipada",
IF(
  OR(COUNTIFS(Equipar!B:B,4,Equipar!C:C,A512)
 +COUNTIFS(Equipar!B:B,4,Equipar!D:D,A512)
+COUNTIFS(Equipar!B:B,4,Equipar!E:E,A512)
+COUNTIFS(Equipar!B:B,4,Equipar!F:F,A512)
&gt;0,COUNTIF('Set recomendado'!B:B,C512)=0),
"Bloqueada",
"Desechable")),""
)</f>
        <v/>
      </c>
      <c r="J512" t="str" cm="1">
        <f t="array" aca="1" ref="J512" ca="1">IF(ISNUMBER(A512),IFERROR(_xlfn._xlws.FILTER(Equipar!A:A,(Equipar!B:B=4)*(Equipar!AC:AC=A512)),""),"")</f>
        <v/>
      </c>
    </row>
    <row r="513" spans="1:10" x14ac:dyDescent="0.25">
      <c r="A513" s="3" t="str">
        <f ca="1">IF(A512="ID",1,IF(ISBLANK(B513),"",MAX(A$2:A512)+1))</f>
        <v/>
      </c>
      <c r="I513" s="2" t="str">
        <f ca="1">IF(ISNUMBER(A513),
IF(COUNTIFS(Equipar!B:B,4,Equipar!AC:AC,A513),"Equipada",
IF(
  OR(COUNTIFS(Equipar!B:B,4,Equipar!C:C,A513)
 +COUNTIFS(Equipar!B:B,4,Equipar!D:D,A513)
+COUNTIFS(Equipar!B:B,4,Equipar!E:E,A513)
+COUNTIFS(Equipar!B:B,4,Equipar!F:F,A513)
&gt;0,COUNTIF('Set recomendado'!B:B,C513)=0),
"Bloqueada",
"Desechable")),""
)</f>
        <v/>
      </c>
      <c r="J513" t="str" cm="1">
        <f t="array" aca="1" ref="J513" ca="1">IF(ISNUMBER(A513),IFERROR(_xlfn._xlws.FILTER(Equipar!A:A,(Equipar!B:B=4)*(Equipar!AC:AC=A513)),""),"")</f>
        <v/>
      </c>
    </row>
    <row r="514" spans="1:10" x14ac:dyDescent="0.25">
      <c r="A514" s="3" t="str">
        <f ca="1">IF(A513="ID",1,IF(ISBLANK(B514),"",MAX(A$2:A513)+1))</f>
        <v/>
      </c>
      <c r="I514" s="2" t="str">
        <f ca="1">IF(ISNUMBER(A514),
IF(COUNTIFS(Equipar!B:B,4,Equipar!AC:AC,A514),"Equipada",
IF(
  OR(COUNTIFS(Equipar!B:B,4,Equipar!C:C,A514)
 +COUNTIFS(Equipar!B:B,4,Equipar!D:D,A514)
+COUNTIFS(Equipar!B:B,4,Equipar!E:E,A514)
+COUNTIFS(Equipar!B:B,4,Equipar!F:F,A514)
&gt;0,COUNTIF('Set recomendado'!B:B,C514)=0),
"Bloqueada",
"Desechable")),""
)</f>
        <v/>
      </c>
      <c r="J514" t="str" cm="1">
        <f t="array" aca="1" ref="J514" ca="1">IF(ISNUMBER(A514),IFERROR(_xlfn._xlws.FILTER(Equipar!A:A,(Equipar!B:B=4)*(Equipar!AC:AC=A514)),""),"")</f>
        <v/>
      </c>
    </row>
    <row r="515" spans="1:10" x14ac:dyDescent="0.25">
      <c r="A515" s="3" t="str">
        <f ca="1">IF(A514="ID",1,IF(ISBLANK(B515),"",MAX(A$2:A514)+1))</f>
        <v/>
      </c>
      <c r="I515" s="2" t="str">
        <f ca="1">IF(ISNUMBER(A515),
IF(COUNTIFS(Equipar!B:B,4,Equipar!AC:AC,A515),"Equipada",
IF(
  OR(COUNTIFS(Equipar!B:B,4,Equipar!C:C,A515)
 +COUNTIFS(Equipar!B:B,4,Equipar!D:D,A515)
+COUNTIFS(Equipar!B:B,4,Equipar!E:E,A515)
+COUNTIFS(Equipar!B:B,4,Equipar!F:F,A515)
&gt;0,COUNTIF('Set recomendado'!B:B,C515)=0),
"Bloqueada",
"Desechable")),""
)</f>
        <v/>
      </c>
      <c r="J515" t="str" cm="1">
        <f t="array" aca="1" ref="J515" ca="1">IF(ISNUMBER(A515),IFERROR(_xlfn._xlws.FILTER(Equipar!A:A,(Equipar!B:B=4)*(Equipar!AC:AC=A515)),""),"")</f>
        <v/>
      </c>
    </row>
    <row r="516" spans="1:10" x14ac:dyDescent="0.25">
      <c r="A516" s="3" t="str">
        <f ca="1">IF(A515="ID",1,IF(ISBLANK(B516),"",MAX(A$2:A515)+1))</f>
        <v/>
      </c>
      <c r="I516" s="2" t="str">
        <f ca="1">IF(ISNUMBER(A516),
IF(COUNTIFS(Equipar!B:B,4,Equipar!AC:AC,A516),"Equipada",
IF(
  OR(COUNTIFS(Equipar!B:B,4,Equipar!C:C,A516)
 +COUNTIFS(Equipar!B:B,4,Equipar!D:D,A516)
+COUNTIFS(Equipar!B:B,4,Equipar!E:E,A516)
+COUNTIFS(Equipar!B:B,4,Equipar!F:F,A516)
&gt;0,COUNTIF('Set recomendado'!B:B,C516)=0),
"Bloqueada",
"Desechable")),""
)</f>
        <v/>
      </c>
      <c r="J516" t="str" cm="1">
        <f t="array" aca="1" ref="J516" ca="1">IF(ISNUMBER(A516),IFERROR(_xlfn._xlws.FILTER(Equipar!A:A,(Equipar!B:B=4)*(Equipar!AC:AC=A516)),""),"")</f>
        <v/>
      </c>
    </row>
    <row r="517" spans="1:10" x14ac:dyDescent="0.25">
      <c r="A517" s="3" t="str">
        <f ca="1">IF(A516="ID",1,IF(ISBLANK(B517),"",MAX(A$2:A516)+1))</f>
        <v/>
      </c>
      <c r="I517" s="2" t="str">
        <f ca="1">IF(ISNUMBER(A517),
IF(COUNTIFS(Equipar!B:B,4,Equipar!AC:AC,A517),"Equipada",
IF(
  OR(COUNTIFS(Equipar!B:B,4,Equipar!C:C,A517)
 +COUNTIFS(Equipar!B:B,4,Equipar!D:D,A517)
+COUNTIFS(Equipar!B:B,4,Equipar!E:E,A517)
+COUNTIFS(Equipar!B:B,4,Equipar!F:F,A517)
&gt;0,COUNTIF('Set recomendado'!B:B,C517)=0),
"Bloqueada",
"Desechable")),""
)</f>
        <v/>
      </c>
      <c r="J517" t="str" cm="1">
        <f t="array" aca="1" ref="J517" ca="1">IF(ISNUMBER(A517),IFERROR(_xlfn._xlws.FILTER(Equipar!A:A,(Equipar!B:B=4)*(Equipar!AC:AC=A517)),""),"")</f>
        <v/>
      </c>
    </row>
    <row r="518" spans="1:10" x14ac:dyDescent="0.25">
      <c r="A518" s="3" t="str">
        <f ca="1">IF(A517="ID",1,IF(ISBLANK(B518),"",MAX(A$2:A517)+1))</f>
        <v/>
      </c>
      <c r="I518" s="2" t="str">
        <f ca="1">IF(ISNUMBER(A518),
IF(COUNTIFS(Equipar!B:B,4,Equipar!AC:AC,A518),"Equipada",
IF(
  OR(COUNTIFS(Equipar!B:B,4,Equipar!C:C,A518)
 +COUNTIFS(Equipar!B:B,4,Equipar!D:D,A518)
+COUNTIFS(Equipar!B:B,4,Equipar!E:E,A518)
+COUNTIFS(Equipar!B:B,4,Equipar!F:F,A518)
&gt;0,COUNTIF('Set recomendado'!B:B,C518)=0),
"Bloqueada",
"Desechable")),""
)</f>
        <v/>
      </c>
      <c r="J518" t="str" cm="1">
        <f t="array" aca="1" ref="J518" ca="1">IF(ISNUMBER(A518),IFERROR(_xlfn._xlws.FILTER(Equipar!A:A,(Equipar!B:B=4)*(Equipar!AC:AC=A518)),""),"")</f>
        <v/>
      </c>
    </row>
    <row r="519" spans="1:10" x14ac:dyDescent="0.25">
      <c r="A519" s="3" t="str">
        <f ca="1">IF(A518="ID",1,IF(ISBLANK(B519),"",MAX(A$2:A518)+1))</f>
        <v/>
      </c>
      <c r="I519" s="2" t="str">
        <f ca="1">IF(ISNUMBER(A519),
IF(COUNTIFS(Equipar!B:B,4,Equipar!AC:AC,A519),"Equipada",
IF(
  OR(COUNTIFS(Equipar!B:B,4,Equipar!C:C,A519)
 +COUNTIFS(Equipar!B:B,4,Equipar!D:D,A519)
+COUNTIFS(Equipar!B:B,4,Equipar!E:E,A519)
+COUNTIFS(Equipar!B:B,4,Equipar!F:F,A519)
&gt;0,COUNTIF('Set recomendado'!B:B,C519)=0),
"Bloqueada",
"Desechable")),""
)</f>
        <v/>
      </c>
      <c r="J519" t="str" cm="1">
        <f t="array" aca="1" ref="J519" ca="1">IF(ISNUMBER(A519),IFERROR(_xlfn._xlws.FILTER(Equipar!A:A,(Equipar!B:B=4)*(Equipar!AC:AC=A519)),""),"")</f>
        <v/>
      </c>
    </row>
    <row r="520" spans="1:10" x14ac:dyDescent="0.25">
      <c r="A520" s="3" t="str">
        <f ca="1">IF(A519="ID",1,IF(ISBLANK(B520),"",MAX(A$2:A519)+1))</f>
        <v/>
      </c>
      <c r="I520" s="2" t="str">
        <f ca="1">IF(ISNUMBER(A520),
IF(COUNTIFS(Equipar!B:B,4,Equipar!AC:AC,A520),"Equipada",
IF(
  OR(COUNTIFS(Equipar!B:B,4,Equipar!C:C,A520)
 +COUNTIFS(Equipar!B:B,4,Equipar!D:D,A520)
+COUNTIFS(Equipar!B:B,4,Equipar!E:E,A520)
+COUNTIFS(Equipar!B:B,4,Equipar!F:F,A520)
&gt;0,COUNTIF('Set recomendado'!B:B,C520)=0),
"Bloqueada",
"Desechable")),""
)</f>
        <v/>
      </c>
      <c r="J520" t="str" cm="1">
        <f t="array" aca="1" ref="J520" ca="1">IF(ISNUMBER(A520),IFERROR(_xlfn._xlws.FILTER(Equipar!A:A,(Equipar!B:B=4)*(Equipar!AC:AC=A520)),""),"")</f>
        <v/>
      </c>
    </row>
    <row r="521" spans="1:10" x14ac:dyDescent="0.25">
      <c r="A521" s="3" t="str">
        <f ca="1">IF(A520="ID",1,IF(ISBLANK(B521),"",MAX(A$2:A520)+1))</f>
        <v/>
      </c>
      <c r="I521" s="2" t="str">
        <f ca="1">IF(ISNUMBER(A521),
IF(COUNTIFS(Equipar!B:B,4,Equipar!AC:AC,A521),"Equipada",
IF(
  OR(COUNTIFS(Equipar!B:B,4,Equipar!C:C,A521)
 +COUNTIFS(Equipar!B:B,4,Equipar!D:D,A521)
+COUNTIFS(Equipar!B:B,4,Equipar!E:E,A521)
+COUNTIFS(Equipar!B:B,4,Equipar!F:F,A521)
&gt;0,COUNTIF('Set recomendado'!B:B,C521)=0),
"Bloqueada",
"Desechable")),""
)</f>
        <v/>
      </c>
      <c r="J521" t="str" cm="1">
        <f t="array" aca="1" ref="J521" ca="1">IF(ISNUMBER(A521),IFERROR(_xlfn._xlws.FILTER(Equipar!A:A,(Equipar!B:B=4)*(Equipar!AC:AC=A521)),""),"")</f>
        <v/>
      </c>
    </row>
    <row r="522" spans="1:10" x14ac:dyDescent="0.25">
      <c r="A522" s="3" t="str">
        <f ca="1">IF(A521="ID",1,IF(ISBLANK(B522),"",MAX(A$2:A521)+1))</f>
        <v/>
      </c>
      <c r="I522" s="2" t="str">
        <f ca="1">IF(ISNUMBER(A522),
IF(COUNTIFS(Equipar!B:B,4,Equipar!AC:AC,A522),"Equipada",
IF(
  OR(COUNTIFS(Equipar!B:B,4,Equipar!C:C,A522)
 +COUNTIFS(Equipar!B:B,4,Equipar!D:D,A522)
+COUNTIFS(Equipar!B:B,4,Equipar!E:E,A522)
+COUNTIFS(Equipar!B:B,4,Equipar!F:F,A522)
&gt;0,COUNTIF('Set recomendado'!B:B,C522)=0),
"Bloqueada",
"Desechable")),""
)</f>
        <v/>
      </c>
      <c r="J522" t="str" cm="1">
        <f t="array" aca="1" ref="J522" ca="1">IF(ISNUMBER(A522),IFERROR(_xlfn._xlws.FILTER(Equipar!A:A,(Equipar!B:B=4)*(Equipar!AC:AC=A522)),""),"")</f>
        <v/>
      </c>
    </row>
    <row r="523" spans="1:10" x14ac:dyDescent="0.25">
      <c r="A523" s="3" t="str">
        <f ca="1">IF(A522="ID",1,IF(ISBLANK(B523),"",MAX(A$2:A522)+1))</f>
        <v/>
      </c>
      <c r="I523" s="2" t="str">
        <f ca="1">IF(ISNUMBER(A523),
IF(COUNTIFS(Equipar!B:B,4,Equipar!AC:AC,A523),"Equipada",
IF(
  OR(COUNTIFS(Equipar!B:B,4,Equipar!C:C,A523)
 +COUNTIFS(Equipar!B:B,4,Equipar!D:D,A523)
+COUNTIFS(Equipar!B:B,4,Equipar!E:E,A523)
+COUNTIFS(Equipar!B:B,4,Equipar!F:F,A523)
&gt;0,COUNTIF('Set recomendado'!B:B,C523)=0),
"Bloqueada",
"Desechable")),""
)</f>
        <v/>
      </c>
      <c r="J523" t="str" cm="1">
        <f t="array" aca="1" ref="J523" ca="1">IF(ISNUMBER(A523),IFERROR(_xlfn._xlws.FILTER(Equipar!A:A,(Equipar!B:B=4)*(Equipar!AC:AC=A523)),""),"")</f>
        <v/>
      </c>
    </row>
    <row r="524" spans="1:10" x14ac:dyDescent="0.25">
      <c r="A524" s="3" t="str">
        <f ca="1">IF(A523="ID",1,IF(ISBLANK(B524),"",MAX(A$2:A523)+1))</f>
        <v/>
      </c>
      <c r="I524" s="2" t="str">
        <f ca="1">IF(ISNUMBER(A524),
IF(COUNTIFS(Equipar!B:B,4,Equipar!AC:AC,A524),"Equipada",
IF(
  OR(COUNTIFS(Equipar!B:B,4,Equipar!C:C,A524)
 +COUNTIFS(Equipar!B:B,4,Equipar!D:D,A524)
+COUNTIFS(Equipar!B:B,4,Equipar!E:E,A524)
+COUNTIFS(Equipar!B:B,4,Equipar!F:F,A524)
&gt;0,COUNTIF('Set recomendado'!B:B,C524)=0),
"Bloqueada",
"Desechable")),""
)</f>
        <v/>
      </c>
      <c r="J524" t="str" cm="1">
        <f t="array" aca="1" ref="J524" ca="1">IF(ISNUMBER(A524),IFERROR(_xlfn._xlws.FILTER(Equipar!A:A,(Equipar!B:B=4)*(Equipar!AC:AC=A524)),""),"")</f>
        <v/>
      </c>
    </row>
    <row r="525" spans="1:10" x14ac:dyDescent="0.25">
      <c r="A525" s="3" t="str">
        <f ca="1">IF(A524="ID",1,IF(ISBLANK(B525),"",MAX(A$2:A524)+1))</f>
        <v/>
      </c>
      <c r="I525" s="2" t="str">
        <f ca="1">IF(ISNUMBER(A525),
IF(COUNTIFS(Equipar!B:B,4,Equipar!AC:AC,A525),"Equipada",
IF(
  OR(COUNTIFS(Equipar!B:B,4,Equipar!C:C,A525)
 +COUNTIFS(Equipar!B:B,4,Equipar!D:D,A525)
+COUNTIFS(Equipar!B:B,4,Equipar!E:E,A525)
+COUNTIFS(Equipar!B:B,4,Equipar!F:F,A525)
&gt;0,COUNTIF('Set recomendado'!B:B,C525)=0),
"Bloqueada",
"Desechable")),""
)</f>
        <v/>
      </c>
      <c r="J525" t="str" cm="1">
        <f t="array" aca="1" ref="J525" ca="1">IF(ISNUMBER(A525),IFERROR(_xlfn._xlws.FILTER(Equipar!A:A,(Equipar!B:B=4)*(Equipar!AC:AC=A525)),""),"")</f>
        <v/>
      </c>
    </row>
    <row r="526" spans="1:10" x14ac:dyDescent="0.25">
      <c r="A526" s="3" t="str">
        <f ca="1">IF(A525="ID",1,IF(ISBLANK(B526),"",MAX(A$2:A525)+1))</f>
        <v/>
      </c>
      <c r="I526" s="2" t="str">
        <f ca="1">IF(ISNUMBER(A526),
IF(COUNTIFS(Equipar!B:B,4,Equipar!AC:AC,A526),"Equipada",
IF(
  OR(COUNTIFS(Equipar!B:B,4,Equipar!C:C,A526)
 +COUNTIFS(Equipar!B:B,4,Equipar!D:D,A526)
+COUNTIFS(Equipar!B:B,4,Equipar!E:E,A526)
+COUNTIFS(Equipar!B:B,4,Equipar!F:F,A526)
&gt;0,COUNTIF('Set recomendado'!B:B,C526)=0),
"Bloqueada",
"Desechable")),""
)</f>
        <v/>
      </c>
      <c r="J526" t="str" cm="1">
        <f t="array" aca="1" ref="J526" ca="1">IF(ISNUMBER(A526),IFERROR(_xlfn._xlws.FILTER(Equipar!A:A,(Equipar!B:B=4)*(Equipar!AC:AC=A526)),""),"")</f>
        <v/>
      </c>
    </row>
    <row r="527" spans="1:10" x14ac:dyDescent="0.25">
      <c r="A527" s="3" t="str">
        <f ca="1">IF(A526="ID",1,IF(ISBLANK(B527),"",MAX(A$2:A526)+1))</f>
        <v/>
      </c>
      <c r="I527" s="2" t="str">
        <f ca="1">IF(ISNUMBER(A527),
IF(COUNTIFS(Equipar!B:B,4,Equipar!AC:AC,A527),"Equipada",
IF(
  OR(COUNTIFS(Equipar!B:B,4,Equipar!C:C,A527)
 +COUNTIFS(Equipar!B:B,4,Equipar!D:D,A527)
+COUNTIFS(Equipar!B:B,4,Equipar!E:E,A527)
+COUNTIFS(Equipar!B:B,4,Equipar!F:F,A527)
&gt;0,COUNTIF('Set recomendado'!B:B,C527)=0),
"Bloqueada",
"Desechable")),""
)</f>
        <v/>
      </c>
      <c r="J527" t="str" cm="1">
        <f t="array" aca="1" ref="J527" ca="1">IF(ISNUMBER(A527),IFERROR(_xlfn._xlws.FILTER(Equipar!A:A,(Equipar!B:B=4)*(Equipar!AC:AC=A527)),""),"")</f>
        <v/>
      </c>
    </row>
    <row r="528" spans="1:10" x14ac:dyDescent="0.25">
      <c r="A528" s="3" t="str">
        <f ca="1">IF(A527="ID",1,IF(ISBLANK(B528),"",MAX(A$2:A527)+1))</f>
        <v/>
      </c>
      <c r="I528" s="2" t="str">
        <f ca="1">IF(ISNUMBER(A528),
IF(COUNTIFS(Equipar!B:B,4,Equipar!AC:AC,A528),"Equipada",
IF(
  OR(COUNTIFS(Equipar!B:B,4,Equipar!C:C,A528)
 +COUNTIFS(Equipar!B:B,4,Equipar!D:D,A528)
+COUNTIFS(Equipar!B:B,4,Equipar!E:E,A528)
+COUNTIFS(Equipar!B:B,4,Equipar!F:F,A528)
&gt;0,COUNTIF('Set recomendado'!B:B,C528)=0),
"Bloqueada",
"Desechable")),""
)</f>
        <v/>
      </c>
      <c r="J528" t="str" cm="1">
        <f t="array" aca="1" ref="J528" ca="1">IF(ISNUMBER(A528),IFERROR(_xlfn._xlws.FILTER(Equipar!A:A,(Equipar!B:B=4)*(Equipar!AC:AC=A528)),""),"")</f>
        <v/>
      </c>
    </row>
    <row r="529" spans="1:10" x14ac:dyDescent="0.25">
      <c r="A529" s="3" t="str">
        <f ca="1">IF(A528="ID",1,IF(ISBLANK(B529),"",MAX(A$2:A528)+1))</f>
        <v/>
      </c>
      <c r="I529" s="2" t="str">
        <f ca="1">IF(ISNUMBER(A529),
IF(COUNTIFS(Equipar!B:B,4,Equipar!AC:AC,A529),"Equipada",
IF(
  OR(COUNTIFS(Equipar!B:B,4,Equipar!C:C,A529)
 +COUNTIFS(Equipar!B:B,4,Equipar!D:D,A529)
+COUNTIFS(Equipar!B:B,4,Equipar!E:E,A529)
+COUNTIFS(Equipar!B:B,4,Equipar!F:F,A529)
&gt;0,COUNTIF('Set recomendado'!B:B,C529)=0),
"Bloqueada",
"Desechable")),""
)</f>
        <v/>
      </c>
      <c r="J529" t="str" cm="1">
        <f t="array" aca="1" ref="J529" ca="1">IF(ISNUMBER(A529),IFERROR(_xlfn._xlws.FILTER(Equipar!A:A,(Equipar!B:B=4)*(Equipar!AC:AC=A529)),""),"")</f>
        <v/>
      </c>
    </row>
    <row r="530" spans="1:10" x14ac:dyDescent="0.25">
      <c r="A530" s="3" t="str">
        <f ca="1">IF(A529="ID",1,IF(ISBLANK(B530),"",MAX(A$2:A529)+1))</f>
        <v/>
      </c>
      <c r="I530" s="2" t="str">
        <f ca="1">IF(ISNUMBER(A530),
IF(COUNTIFS(Equipar!B:B,4,Equipar!AC:AC,A530),"Equipada",
IF(
  OR(COUNTIFS(Equipar!B:B,4,Equipar!C:C,A530)
 +COUNTIFS(Equipar!B:B,4,Equipar!D:D,A530)
+COUNTIFS(Equipar!B:B,4,Equipar!E:E,A530)
+COUNTIFS(Equipar!B:B,4,Equipar!F:F,A530)
&gt;0,COUNTIF('Set recomendado'!B:B,C530)=0),
"Bloqueada",
"Desechable")),""
)</f>
        <v/>
      </c>
      <c r="J530" t="str" cm="1">
        <f t="array" aca="1" ref="J530" ca="1">IF(ISNUMBER(A530),IFERROR(_xlfn._xlws.FILTER(Equipar!A:A,(Equipar!B:B=4)*(Equipar!AC:AC=A530)),""),"")</f>
        <v/>
      </c>
    </row>
    <row r="531" spans="1:10" x14ac:dyDescent="0.25">
      <c r="A531" s="3" t="str">
        <f ca="1">IF(A530="ID",1,IF(ISBLANK(B531),"",MAX(A$2:A530)+1))</f>
        <v/>
      </c>
      <c r="I531" s="2" t="str">
        <f ca="1">IF(ISNUMBER(A531),
IF(COUNTIFS(Equipar!B:B,4,Equipar!AC:AC,A531),"Equipada",
IF(
  OR(COUNTIFS(Equipar!B:B,4,Equipar!C:C,A531)
 +COUNTIFS(Equipar!B:B,4,Equipar!D:D,A531)
+COUNTIFS(Equipar!B:B,4,Equipar!E:E,A531)
+COUNTIFS(Equipar!B:B,4,Equipar!F:F,A531)
&gt;0,COUNTIF('Set recomendado'!B:B,C531)=0),
"Bloqueada",
"Desechable")),""
)</f>
        <v/>
      </c>
      <c r="J531" t="str" cm="1">
        <f t="array" aca="1" ref="J531" ca="1">IF(ISNUMBER(A531),IFERROR(_xlfn._xlws.FILTER(Equipar!A:A,(Equipar!B:B=4)*(Equipar!AC:AC=A531)),""),"")</f>
        <v/>
      </c>
    </row>
    <row r="532" spans="1:10" x14ac:dyDescent="0.25">
      <c r="A532" s="3" t="str">
        <f ca="1">IF(A531="ID",1,IF(ISBLANK(B532),"",MAX(A$2:A531)+1))</f>
        <v/>
      </c>
      <c r="I532" s="2" t="str">
        <f ca="1">IF(ISNUMBER(A532),
IF(COUNTIFS(Equipar!B:B,4,Equipar!AC:AC,A532),"Equipada",
IF(
  OR(COUNTIFS(Equipar!B:B,4,Equipar!C:C,A532)
 +COUNTIFS(Equipar!B:B,4,Equipar!D:D,A532)
+COUNTIFS(Equipar!B:B,4,Equipar!E:E,A532)
+COUNTIFS(Equipar!B:B,4,Equipar!F:F,A532)
&gt;0,COUNTIF('Set recomendado'!B:B,C532)=0),
"Bloqueada",
"Desechable")),""
)</f>
        <v/>
      </c>
      <c r="J532" t="str" cm="1">
        <f t="array" aca="1" ref="J532" ca="1">IF(ISNUMBER(A532),IFERROR(_xlfn._xlws.FILTER(Equipar!A:A,(Equipar!B:B=4)*(Equipar!AC:AC=A532)),""),"")</f>
        <v/>
      </c>
    </row>
    <row r="533" spans="1:10" x14ac:dyDescent="0.25">
      <c r="A533" s="3" t="str">
        <f ca="1">IF(A532="ID",1,IF(ISBLANK(B533),"",MAX(A$2:A532)+1))</f>
        <v/>
      </c>
      <c r="I533" s="2" t="str">
        <f ca="1">IF(ISNUMBER(A533),
IF(COUNTIFS(Equipar!B:B,4,Equipar!AC:AC,A533),"Equipada",
IF(
  OR(COUNTIFS(Equipar!B:B,4,Equipar!C:C,A533)
 +COUNTIFS(Equipar!B:B,4,Equipar!D:D,A533)
+COUNTIFS(Equipar!B:B,4,Equipar!E:E,A533)
+COUNTIFS(Equipar!B:B,4,Equipar!F:F,A533)
&gt;0,COUNTIF('Set recomendado'!B:B,C533)=0),
"Bloqueada",
"Desechable")),""
)</f>
        <v/>
      </c>
      <c r="J533" t="str" cm="1">
        <f t="array" aca="1" ref="J533" ca="1">IF(ISNUMBER(A533),IFERROR(_xlfn._xlws.FILTER(Equipar!A:A,(Equipar!B:B=4)*(Equipar!AC:AC=A533)),""),"")</f>
        <v/>
      </c>
    </row>
    <row r="534" spans="1:10" x14ac:dyDescent="0.25">
      <c r="A534" s="3" t="str">
        <f ca="1">IF(A533="ID",1,IF(ISBLANK(B534),"",MAX(A$2:A533)+1))</f>
        <v/>
      </c>
      <c r="I534" s="2" t="str">
        <f ca="1">IF(ISNUMBER(A534),
IF(COUNTIFS(Equipar!B:B,4,Equipar!AC:AC,A534),"Equipada",
IF(
  OR(COUNTIFS(Equipar!B:B,4,Equipar!C:C,A534)
 +COUNTIFS(Equipar!B:B,4,Equipar!D:D,A534)
+COUNTIFS(Equipar!B:B,4,Equipar!E:E,A534)
+COUNTIFS(Equipar!B:B,4,Equipar!F:F,A534)
&gt;0,COUNTIF('Set recomendado'!B:B,C534)=0),
"Bloqueada",
"Desechable")),""
)</f>
        <v/>
      </c>
      <c r="J534" t="str" cm="1">
        <f t="array" aca="1" ref="J534" ca="1">IF(ISNUMBER(A534),IFERROR(_xlfn._xlws.FILTER(Equipar!A:A,(Equipar!B:B=4)*(Equipar!AC:AC=A534)),""),"")</f>
        <v/>
      </c>
    </row>
    <row r="535" spans="1:10" x14ac:dyDescent="0.25">
      <c r="A535" s="3" t="str">
        <f ca="1">IF(A534="ID",1,IF(ISBLANK(B535),"",MAX(A$2:A534)+1))</f>
        <v/>
      </c>
      <c r="I535" s="2" t="str">
        <f ca="1">IF(ISNUMBER(A535),
IF(COUNTIFS(Equipar!B:B,4,Equipar!AC:AC,A535),"Equipada",
IF(
  OR(COUNTIFS(Equipar!B:B,4,Equipar!C:C,A535)
 +COUNTIFS(Equipar!B:B,4,Equipar!D:D,A535)
+COUNTIFS(Equipar!B:B,4,Equipar!E:E,A535)
+COUNTIFS(Equipar!B:B,4,Equipar!F:F,A535)
&gt;0,COUNTIF('Set recomendado'!B:B,C535)=0),
"Bloqueada",
"Desechable")),""
)</f>
        <v/>
      </c>
      <c r="J535" t="str" cm="1">
        <f t="array" aca="1" ref="J535" ca="1">IF(ISNUMBER(A535),IFERROR(_xlfn._xlws.FILTER(Equipar!A:A,(Equipar!B:B=4)*(Equipar!AC:AC=A535)),""),"")</f>
        <v/>
      </c>
    </row>
    <row r="536" spans="1:10" x14ac:dyDescent="0.25">
      <c r="A536" s="3" t="str">
        <f ca="1">IF(A535="ID",1,IF(ISBLANK(B536),"",MAX(A$2:A535)+1))</f>
        <v/>
      </c>
      <c r="I536" s="2" t="str">
        <f ca="1">IF(ISNUMBER(A536),
IF(COUNTIFS(Equipar!B:B,4,Equipar!AC:AC,A536),"Equipada",
IF(
  OR(COUNTIFS(Equipar!B:B,4,Equipar!C:C,A536)
 +COUNTIFS(Equipar!B:B,4,Equipar!D:D,A536)
+COUNTIFS(Equipar!B:B,4,Equipar!E:E,A536)
+COUNTIFS(Equipar!B:B,4,Equipar!F:F,A536)
&gt;0,COUNTIF('Set recomendado'!B:B,C536)=0),
"Bloqueada",
"Desechable")),""
)</f>
        <v/>
      </c>
      <c r="J536" t="str" cm="1">
        <f t="array" aca="1" ref="J536" ca="1">IF(ISNUMBER(A536),IFERROR(_xlfn._xlws.FILTER(Equipar!A:A,(Equipar!B:B=4)*(Equipar!AC:AC=A536)),""),"")</f>
        <v/>
      </c>
    </row>
    <row r="537" spans="1:10" x14ac:dyDescent="0.25">
      <c r="A537" s="3" t="str">
        <f ca="1">IF(A536="ID",1,IF(ISBLANK(B537),"",MAX(A$2:A536)+1))</f>
        <v/>
      </c>
      <c r="I537" s="2" t="str">
        <f ca="1">IF(ISNUMBER(A537),
IF(COUNTIFS(Equipar!B:B,4,Equipar!AC:AC,A537),"Equipada",
IF(
  OR(COUNTIFS(Equipar!B:B,4,Equipar!C:C,A537)
 +COUNTIFS(Equipar!B:B,4,Equipar!D:D,A537)
+COUNTIFS(Equipar!B:B,4,Equipar!E:E,A537)
+COUNTIFS(Equipar!B:B,4,Equipar!F:F,A537)
&gt;0,COUNTIF('Set recomendado'!B:B,C537)=0),
"Bloqueada",
"Desechable")),""
)</f>
        <v/>
      </c>
      <c r="J537" t="str" cm="1">
        <f t="array" aca="1" ref="J537" ca="1">IF(ISNUMBER(A537),IFERROR(_xlfn._xlws.FILTER(Equipar!A:A,(Equipar!B:B=4)*(Equipar!AC:AC=A537)),""),"")</f>
        <v/>
      </c>
    </row>
    <row r="538" spans="1:10" x14ac:dyDescent="0.25">
      <c r="A538" s="3" t="str">
        <f ca="1">IF(A537="ID",1,IF(ISBLANK(B538),"",MAX(A$2:A537)+1))</f>
        <v/>
      </c>
      <c r="I538" s="2" t="str">
        <f ca="1">IF(ISNUMBER(A538),
IF(COUNTIFS(Equipar!B:B,4,Equipar!AC:AC,A538),"Equipada",
IF(
  OR(COUNTIFS(Equipar!B:B,4,Equipar!C:C,A538)
 +COUNTIFS(Equipar!B:B,4,Equipar!D:D,A538)
+COUNTIFS(Equipar!B:B,4,Equipar!E:E,A538)
+COUNTIFS(Equipar!B:B,4,Equipar!F:F,A538)
&gt;0,COUNTIF('Set recomendado'!B:B,C538)=0),
"Bloqueada",
"Desechable")),""
)</f>
        <v/>
      </c>
      <c r="J538" t="str" cm="1">
        <f t="array" aca="1" ref="J538" ca="1">IF(ISNUMBER(A538),IFERROR(_xlfn._xlws.FILTER(Equipar!A:A,(Equipar!B:B=4)*(Equipar!AC:AC=A538)),""),"")</f>
        <v/>
      </c>
    </row>
    <row r="539" spans="1:10" x14ac:dyDescent="0.25">
      <c r="A539" s="3" t="str">
        <f ca="1">IF(A538="ID",1,IF(ISBLANK(B539),"",MAX(A$2:A538)+1))</f>
        <v/>
      </c>
      <c r="I539" s="2" t="str">
        <f ca="1">IF(ISNUMBER(A539),
IF(COUNTIFS(Equipar!B:B,4,Equipar!AC:AC,A539),"Equipada",
IF(
  OR(COUNTIFS(Equipar!B:B,4,Equipar!C:C,A539)
 +COUNTIFS(Equipar!B:B,4,Equipar!D:D,A539)
+COUNTIFS(Equipar!B:B,4,Equipar!E:E,A539)
+COUNTIFS(Equipar!B:B,4,Equipar!F:F,A539)
&gt;0,COUNTIF('Set recomendado'!B:B,C539)=0),
"Bloqueada",
"Desechable")),""
)</f>
        <v/>
      </c>
      <c r="J539" t="str" cm="1">
        <f t="array" aca="1" ref="J539" ca="1">IF(ISNUMBER(A539),IFERROR(_xlfn._xlws.FILTER(Equipar!A:A,(Equipar!B:B=4)*(Equipar!AC:AC=A539)),""),"")</f>
        <v/>
      </c>
    </row>
    <row r="540" spans="1:10" x14ac:dyDescent="0.25">
      <c r="A540" s="3" t="str">
        <f ca="1">IF(A539="ID",1,IF(ISBLANK(B540),"",MAX(A$2:A539)+1))</f>
        <v/>
      </c>
      <c r="I540" s="2" t="str">
        <f ca="1">IF(ISNUMBER(A540),
IF(COUNTIFS(Equipar!B:B,4,Equipar!AC:AC,A540),"Equipada",
IF(
  OR(COUNTIFS(Equipar!B:B,4,Equipar!C:C,A540)
 +COUNTIFS(Equipar!B:B,4,Equipar!D:D,A540)
+COUNTIFS(Equipar!B:B,4,Equipar!E:E,A540)
+COUNTIFS(Equipar!B:B,4,Equipar!F:F,A540)
&gt;0,COUNTIF('Set recomendado'!B:B,C540)=0),
"Bloqueada",
"Desechable")),""
)</f>
        <v/>
      </c>
      <c r="J540" t="str" cm="1">
        <f t="array" aca="1" ref="J540" ca="1">IF(ISNUMBER(A540),IFERROR(_xlfn._xlws.FILTER(Equipar!A:A,(Equipar!B:B=4)*(Equipar!AC:AC=A540)),""),"")</f>
        <v/>
      </c>
    </row>
    <row r="541" spans="1:10" x14ac:dyDescent="0.25">
      <c r="A541" s="3" t="str">
        <f ca="1">IF(A540="ID",1,IF(ISBLANK(B541),"",MAX(A$2:A540)+1))</f>
        <v/>
      </c>
      <c r="I541" s="2" t="str">
        <f ca="1">IF(ISNUMBER(A541),
IF(COUNTIFS(Equipar!B:B,4,Equipar!AC:AC,A541),"Equipada",
IF(
  OR(COUNTIFS(Equipar!B:B,4,Equipar!C:C,A541)
 +COUNTIFS(Equipar!B:B,4,Equipar!D:D,A541)
+COUNTIFS(Equipar!B:B,4,Equipar!E:E,A541)
+COUNTIFS(Equipar!B:B,4,Equipar!F:F,A541)
&gt;0,COUNTIF('Set recomendado'!B:B,C541)=0),
"Bloqueada",
"Desechable")),""
)</f>
        <v/>
      </c>
      <c r="J541" t="str" cm="1">
        <f t="array" aca="1" ref="J541" ca="1">IF(ISNUMBER(A541),IFERROR(_xlfn._xlws.FILTER(Equipar!A:A,(Equipar!B:B=4)*(Equipar!AC:AC=A541)),""),"")</f>
        <v/>
      </c>
    </row>
    <row r="542" spans="1:10" x14ac:dyDescent="0.25">
      <c r="A542" s="3" t="str">
        <f ca="1">IF(A541="ID",1,IF(ISBLANK(B542),"",MAX(A$2:A541)+1))</f>
        <v/>
      </c>
      <c r="I542" s="2" t="str">
        <f ca="1">IF(ISNUMBER(A542),
IF(COUNTIFS(Equipar!B:B,4,Equipar!AC:AC,A542),"Equipada",
IF(
  OR(COUNTIFS(Equipar!B:B,4,Equipar!C:C,A542)
 +COUNTIFS(Equipar!B:B,4,Equipar!D:D,A542)
+COUNTIFS(Equipar!B:B,4,Equipar!E:E,A542)
+COUNTIFS(Equipar!B:B,4,Equipar!F:F,A542)
&gt;0,COUNTIF('Set recomendado'!B:B,C542)=0),
"Bloqueada",
"Desechable")),""
)</f>
        <v/>
      </c>
      <c r="J542" t="str" cm="1">
        <f t="array" aca="1" ref="J542" ca="1">IF(ISNUMBER(A542),IFERROR(_xlfn._xlws.FILTER(Equipar!A:A,(Equipar!B:B=4)*(Equipar!AC:AC=A542)),""),"")</f>
        <v/>
      </c>
    </row>
    <row r="543" spans="1:10" x14ac:dyDescent="0.25">
      <c r="A543" s="3" t="str">
        <f ca="1">IF(A542="ID",1,IF(ISBLANK(B543),"",MAX(A$2:A542)+1))</f>
        <v/>
      </c>
      <c r="I543" s="2" t="str">
        <f ca="1">IF(ISNUMBER(A543),
IF(COUNTIFS(Equipar!B:B,4,Equipar!AC:AC,A543),"Equipada",
IF(
  OR(COUNTIFS(Equipar!B:B,4,Equipar!C:C,A543)
 +COUNTIFS(Equipar!B:B,4,Equipar!D:D,A543)
+COUNTIFS(Equipar!B:B,4,Equipar!E:E,A543)
+COUNTIFS(Equipar!B:B,4,Equipar!F:F,A543)
&gt;0,COUNTIF('Set recomendado'!B:B,C543)=0),
"Bloqueada",
"Desechable")),""
)</f>
        <v/>
      </c>
      <c r="J543" t="str" cm="1">
        <f t="array" aca="1" ref="J543" ca="1">IF(ISNUMBER(A543),IFERROR(_xlfn._xlws.FILTER(Equipar!A:A,(Equipar!B:B=4)*(Equipar!AC:AC=A543)),""),"")</f>
        <v/>
      </c>
    </row>
    <row r="544" spans="1:10" x14ac:dyDescent="0.25">
      <c r="A544" s="3" t="str">
        <f ca="1">IF(A543="ID",1,IF(ISBLANK(B544),"",MAX(A$2:A543)+1))</f>
        <v/>
      </c>
      <c r="I544" s="2" t="str">
        <f ca="1">IF(ISNUMBER(A544),
IF(COUNTIFS(Equipar!B:B,4,Equipar!AC:AC,A544),"Equipada",
IF(
  OR(COUNTIFS(Equipar!B:B,4,Equipar!C:C,A544)
 +COUNTIFS(Equipar!B:B,4,Equipar!D:D,A544)
+COUNTIFS(Equipar!B:B,4,Equipar!E:E,A544)
+COUNTIFS(Equipar!B:B,4,Equipar!F:F,A544)
&gt;0,COUNTIF('Set recomendado'!B:B,C544)=0),
"Bloqueada",
"Desechable")),""
)</f>
        <v/>
      </c>
      <c r="J544" t="str" cm="1">
        <f t="array" aca="1" ref="J544" ca="1">IF(ISNUMBER(A544),IFERROR(_xlfn._xlws.FILTER(Equipar!A:A,(Equipar!B:B=4)*(Equipar!AC:AC=A544)),""),"")</f>
        <v/>
      </c>
    </row>
    <row r="545" spans="1:10" x14ac:dyDescent="0.25">
      <c r="A545" s="3" t="str">
        <f ca="1">IF(A544="ID",1,IF(ISBLANK(B545),"",MAX(A$2:A544)+1))</f>
        <v/>
      </c>
      <c r="I545" s="2" t="str">
        <f ca="1">IF(ISNUMBER(A545),
IF(COUNTIFS(Equipar!B:B,4,Equipar!AC:AC,A545),"Equipada",
IF(
  OR(COUNTIFS(Equipar!B:B,4,Equipar!C:C,A545)
 +COUNTIFS(Equipar!B:B,4,Equipar!D:D,A545)
+COUNTIFS(Equipar!B:B,4,Equipar!E:E,A545)
+COUNTIFS(Equipar!B:B,4,Equipar!F:F,A545)
&gt;0,COUNTIF('Set recomendado'!B:B,C545)=0),
"Bloqueada",
"Desechable")),""
)</f>
        <v/>
      </c>
      <c r="J545" t="str" cm="1">
        <f t="array" aca="1" ref="J545" ca="1">IF(ISNUMBER(A545),IFERROR(_xlfn._xlws.FILTER(Equipar!A:A,(Equipar!B:B=4)*(Equipar!AC:AC=A545)),""),"")</f>
        <v/>
      </c>
    </row>
    <row r="546" spans="1:10" x14ac:dyDescent="0.25">
      <c r="A546" s="3" t="str">
        <f ca="1">IF(A545="ID",1,IF(ISBLANK(B546),"",MAX(A$2:A545)+1))</f>
        <v/>
      </c>
      <c r="I546" s="2" t="str">
        <f ca="1">IF(ISNUMBER(A546),
IF(COUNTIFS(Equipar!B:B,4,Equipar!AC:AC,A546),"Equipada",
IF(
  OR(COUNTIFS(Equipar!B:B,4,Equipar!C:C,A546)
 +COUNTIFS(Equipar!B:B,4,Equipar!D:D,A546)
+COUNTIFS(Equipar!B:B,4,Equipar!E:E,A546)
+COUNTIFS(Equipar!B:B,4,Equipar!F:F,A546)
&gt;0,COUNTIF('Set recomendado'!B:B,C546)=0),
"Bloqueada",
"Desechable")),""
)</f>
        <v/>
      </c>
      <c r="J546" t="str" cm="1">
        <f t="array" aca="1" ref="J546" ca="1">IF(ISNUMBER(A546),IFERROR(_xlfn._xlws.FILTER(Equipar!A:A,(Equipar!B:B=4)*(Equipar!AC:AC=A546)),""),"")</f>
        <v/>
      </c>
    </row>
    <row r="547" spans="1:10" x14ac:dyDescent="0.25">
      <c r="A547" s="3" t="str">
        <f ca="1">IF(A546="ID",1,IF(ISBLANK(B547),"",MAX(A$2:A546)+1))</f>
        <v/>
      </c>
      <c r="I547" s="2" t="str">
        <f ca="1">IF(ISNUMBER(A547),
IF(COUNTIFS(Equipar!B:B,4,Equipar!AC:AC,A547),"Equipada",
IF(
  OR(COUNTIFS(Equipar!B:B,4,Equipar!C:C,A547)
 +COUNTIFS(Equipar!B:B,4,Equipar!D:D,A547)
+COUNTIFS(Equipar!B:B,4,Equipar!E:E,A547)
+COUNTIFS(Equipar!B:B,4,Equipar!F:F,A547)
&gt;0,COUNTIF('Set recomendado'!B:B,C547)=0),
"Bloqueada",
"Desechable")),""
)</f>
        <v/>
      </c>
      <c r="J547" t="str" cm="1">
        <f t="array" aca="1" ref="J547" ca="1">IF(ISNUMBER(A547),IFERROR(_xlfn._xlws.FILTER(Equipar!A:A,(Equipar!B:B=4)*(Equipar!AC:AC=A547)),""),"")</f>
        <v/>
      </c>
    </row>
    <row r="548" spans="1:10" x14ac:dyDescent="0.25">
      <c r="A548" s="3" t="str">
        <f ca="1">IF(A547="ID",1,IF(ISBLANK(B548),"",MAX(A$2:A547)+1))</f>
        <v/>
      </c>
      <c r="I548" s="2" t="str">
        <f ca="1">IF(ISNUMBER(A548),
IF(COUNTIFS(Equipar!B:B,4,Equipar!AC:AC,A548),"Equipada",
IF(
  OR(COUNTIFS(Equipar!B:B,4,Equipar!C:C,A548)
 +COUNTIFS(Equipar!B:B,4,Equipar!D:D,A548)
+COUNTIFS(Equipar!B:B,4,Equipar!E:E,A548)
+COUNTIFS(Equipar!B:B,4,Equipar!F:F,A548)
&gt;0,COUNTIF('Set recomendado'!B:B,C548)=0),
"Bloqueada",
"Desechable")),""
)</f>
        <v/>
      </c>
      <c r="J548" t="str" cm="1">
        <f t="array" aca="1" ref="J548" ca="1">IF(ISNUMBER(A548),IFERROR(_xlfn._xlws.FILTER(Equipar!A:A,(Equipar!B:B=4)*(Equipar!AC:AC=A548)),""),"")</f>
        <v/>
      </c>
    </row>
    <row r="549" spans="1:10" x14ac:dyDescent="0.25">
      <c r="A549" s="3" t="str">
        <f ca="1">IF(A548="ID",1,IF(ISBLANK(B549),"",MAX(A$2:A548)+1))</f>
        <v/>
      </c>
      <c r="I549" s="2" t="str">
        <f ca="1">IF(ISNUMBER(A549),
IF(COUNTIFS(Equipar!B:B,4,Equipar!AC:AC,A549),"Equipada",
IF(
  OR(COUNTIFS(Equipar!B:B,4,Equipar!C:C,A549)
 +COUNTIFS(Equipar!B:B,4,Equipar!D:D,A549)
+COUNTIFS(Equipar!B:B,4,Equipar!E:E,A549)
+COUNTIFS(Equipar!B:B,4,Equipar!F:F,A549)
&gt;0,COUNTIF('Set recomendado'!B:B,C549)=0),
"Bloqueada",
"Desechable")),""
)</f>
        <v/>
      </c>
      <c r="J549" t="str" cm="1">
        <f t="array" aca="1" ref="J549" ca="1">IF(ISNUMBER(A549),IFERROR(_xlfn._xlws.FILTER(Equipar!A:A,(Equipar!B:B=4)*(Equipar!AC:AC=A549)),""),"")</f>
        <v/>
      </c>
    </row>
    <row r="550" spans="1:10" x14ac:dyDescent="0.25">
      <c r="A550" s="3" t="str">
        <f ca="1">IF(A549="ID",1,IF(ISBLANK(B550),"",MAX(A$2:A549)+1))</f>
        <v/>
      </c>
      <c r="I550" s="2" t="str">
        <f ca="1">IF(ISNUMBER(A550),
IF(COUNTIFS(Equipar!B:B,4,Equipar!AC:AC,A550),"Equipada",
IF(
  OR(COUNTIFS(Equipar!B:B,4,Equipar!C:C,A550)
 +COUNTIFS(Equipar!B:B,4,Equipar!D:D,A550)
+COUNTIFS(Equipar!B:B,4,Equipar!E:E,A550)
+COUNTIFS(Equipar!B:B,4,Equipar!F:F,A550)
&gt;0,COUNTIF('Set recomendado'!B:B,C550)=0),
"Bloqueada",
"Desechable")),""
)</f>
        <v/>
      </c>
      <c r="J550" t="str" cm="1">
        <f t="array" aca="1" ref="J550" ca="1">IF(ISNUMBER(A550),IFERROR(_xlfn._xlws.FILTER(Equipar!A:A,(Equipar!B:B=4)*(Equipar!AC:AC=A550)),""),"")</f>
        <v/>
      </c>
    </row>
    <row r="551" spans="1:10" x14ac:dyDescent="0.25">
      <c r="A551" s="3" t="str">
        <f ca="1">IF(A550="ID",1,IF(ISBLANK(B551),"",MAX(A$2:A550)+1))</f>
        <v/>
      </c>
      <c r="I551" s="2" t="str">
        <f ca="1">IF(ISNUMBER(A551),
IF(COUNTIFS(Equipar!B:B,4,Equipar!AC:AC,A551),"Equipada",
IF(
  OR(COUNTIFS(Equipar!B:B,4,Equipar!C:C,A551)
 +COUNTIFS(Equipar!B:B,4,Equipar!D:D,A551)
+COUNTIFS(Equipar!B:B,4,Equipar!E:E,A551)
+COUNTIFS(Equipar!B:B,4,Equipar!F:F,A551)
&gt;0,COUNTIF('Set recomendado'!B:B,C551)=0),
"Bloqueada",
"Desechable")),""
)</f>
        <v/>
      </c>
      <c r="J551" t="str" cm="1">
        <f t="array" aca="1" ref="J551" ca="1">IF(ISNUMBER(A551),IFERROR(_xlfn._xlws.FILTER(Equipar!A:A,(Equipar!B:B=4)*(Equipar!AC:AC=A551)),""),"")</f>
        <v/>
      </c>
    </row>
    <row r="552" spans="1:10" x14ac:dyDescent="0.25">
      <c r="A552" s="3" t="str">
        <f ca="1">IF(A551="ID",1,IF(ISBLANK(B552),"",MAX(A$2:A551)+1))</f>
        <v/>
      </c>
      <c r="I552" s="2" t="str">
        <f ca="1">IF(ISNUMBER(A552),
IF(COUNTIFS(Equipar!B:B,4,Equipar!AC:AC,A552),"Equipada",
IF(
  OR(COUNTIFS(Equipar!B:B,4,Equipar!C:C,A552)
 +COUNTIFS(Equipar!B:B,4,Equipar!D:D,A552)
+COUNTIFS(Equipar!B:B,4,Equipar!E:E,A552)
+COUNTIFS(Equipar!B:B,4,Equipar!F:F,A552)
&gt;0,COUNTIF('Set recomendado'!B:B,C552)=0),
"Bloqueada",
"Desechable")),""
)</f>
        <v/>
      </c>
      <c r="J552" t="str" cm="1">
        <f t="array" aca="1" ref="J552" ca="1">IF(ISNUMBER(A552),IFERROR(_xlfn._xlws.FILTER(Equipar!A:A,(Equipar!B:B=4)*(Equipar!AC:AC=A552)),""),"")</f>
        <v/>
      </c>
    </row>
    <row r="553" spans="1:10" x14ac:dyDescent="0.25">
      <c r="A553" s="3" t="str">
        <f ca="1">IF(A552="ID",1,IF(ISBLANK(B553),"",MAX(A$2:A552)+1))</f>
        <v/>
      </c>
      <c r="I553" s="2" t="str">
        <f ca="1">IF(ISNUMBER(A553),
IF(COUNTIFS(Equipar!B:B,4,Equipar!AC:AC,A553),"Equipada",
IF(
  OR(COUNTIFS(Equipar!B:B,4,Equipar!C:C,A553)
 +COUNTIFS(Equipar!B:B,4,Equipar!D:D,A553)
+COUNTIFS(Equipar!B:B,4,Equipar!E:E,A553)
+COUNTIFS(Equipar!B:B,4,Equipar!F:F,A553)
&gt;0,COUNTIF('Set recomendado'!B:B,C553)=0),
"Bloqueada",
"Desechable")),""
)</f>
        <v/>
      </c>
      <c r="J553" t="str" cm="1">
        <f t="array" aca="1" ref="J553" ca="1">IF(ISNUMBER(A553),IFERROR(_xlfn._xlws.FILTER(Equipar!A:A,(Equipar!B:B=4)*(Equipar!AC:AC=A553)),""),"")</f>
        <v/>
      </c>
    </row>
    <row r="554" spans="1:10" x14ac:dyDescent="0.25">
      <c r="A554" s="3" t="str">
        <f ca="1">IF(A553="ID",1,IF(ISBLANK(B554),"",MAX(A$2:A553)+1))</f>
        <v/>
      </c>
      <c r="I554" s="2" t="str">
        <f ca="1">IF(ISNUMBER(A554),
IF(COUNTIFS(Equipar!B:B,4,Equipar!AC:AC,A554),"Equipada",
IF(
  OR(COUNTIFS(Equipar!B:B,4,Equipar!C:C,A554)
 +COUNTIFS(Equipar!B:B,4,Equipar!D:D,A554)
+COUNTIFS(Equipar!B:B,4,Equipar!E:E,A554)
+COUNTIFS(Equipar!B:B,4,Equipar!F:F,A554)
&gt;0,COUNTIF('Set recomendado'!B:B,C554)=0),
"Bloqueada",
"Desechable")),""
)</f>
        <v/>
      </c>
      <c r="J554" t="str" cm="1">
        <f t="array" aca="1" ref="J554" ca="1">IF(ISNUMBER(A554),IFERROR(_xlfn._xlws.FILTER(Equipar!A:A,(Equipar!B:B=4)*(Equipar!AC:AC=A554)),""),"")</f>
        <v/>
      </c>
    </row>
    <row r="555" spans="1:10" x14ac:dyDescent="0.25">
      <c r="A555" s="3" t="str">
        <f ca="1">IF(A554="ID",1,IF(ISBLANK(B555),"",MAX(A$2:A554)+1))</f>
        <v/>
      </c>
      <c r="I555" s="2" t="str">
        <f ca="1">IF(ISNUMBER(A555),
IF(COUNTIFS(Equipar!B:B,4,Equipar!AC:AC,A555),"Equipada",
IF(
  OR(COUNTIFS(Equipar!B:B,4,Equipar!C:C,A555)
 +COUNTIFS(Equipar!B:B,4,Equipar!D:D,A555)
+COUNTIFS(Equipar!B:B,4,Equipar!E:E,A555)
+COUNTIFS(Equipar!B:B,4,Equipar!F:F,A555)
&gt;0,COUNTIF('Set recomendado'!B:B,C555)=0),
"Bloqueada",
"Desechable")),""
)</f>
        <v/>
      </c>
      <c r="J555" t="str" cm="1">
        <f t="array" aca="1" ref="J555" ca="1">IF(ISNUMBER(A555),IFERROR(_xlfn._xlws.FILTER(Equipar!A:A,(Equipar!B:B=4)*(Equipar!AC:AC=A555)),""),"")</f>
        <v/>
      </c>
    </row>
    <row r="556" spans="1:10" x14ac:dyDescent="0.25">
      <c r="A556" s="3" t="str">
        <f ca="1">IF(A555="ID",1,IF(ISBLANK(B556),"",MAX(A$2:A555)+1))</f>
        <v/>
      </c>
      <c r="I556" s="2" t="str">
        <f ca="1">IF(ISNUMBER(A556),
IF(COUNTIFS(Equipar!B:B,4,Equipar!AC:AC,A556),"Equipada",
IF(
  OR(COUNTIFS(Equipar!B:B,4,Equipar!C:C,A556)
 +COUNTIFS(Equipar!B:B,4,Equipar!D:D,A556)
+COUNTIFS(Equipar!B:B,4,Equipar!E:E,A556)
+COUNTIFS(Equipar!B:B,4,Equipar!F:F,A556)
&gt;0,COUNTIF('Set recomendado'!B:B,C556)=0),
"Bloqueada",
"Desechable")),""
)</f>
        <v/>
      </c>
      <c r="J556" t="str" cm="1">
        <f t="array" aca="1" ref="J556" ca="1">IF(ISNUMBER(A556),IFERROR(_xlfn._xlws.FILTER(Equipar!A:A,(Equipar!B:B=4)*(Equipar!AC:AC=A556)),""),"")</f>
        <v/>
      </c>
    </row>
    <row r="557" spans="1:10" x14ac:dyDescent="0.25">
      <c r="A557" s="3" t="str">
        <f ca="1">IF(A556="ID",1,IF(ISBLANK(B557),"",MAX(A$2:A556)+1))</f>
        <v/>
      </c>
      <c r="I557" s="2" t="str">
        <f ca="1">IF(ISNUMBER(A557),
IF(COUNTIFS(Equipar!B:B,4,Equipar!AC:AC,A557),"Equipada",
IF(
  OR(COUNTIFS(Equipar!B:B,4,Equipar!C:C,A557)
 +COUNTIFS(Equipar!B:B,4,Equipar!D:D,A557)
+COUNTIFS(Equipar!B:B,4,Equipar!E:E,A557)
+COUNTIFS(Equipar!B:B,4,Equipar!F:F,A557)
&gt;0,COUNTIF('Set recomendado'!B:B,C557)=0),
"Bloqueada",
"Desechable")),""
)</f>
        <v/>
      </c>
      <c r="J557" t="str" cm="1">
        <f t="array" aca="1" ref="J557" ca="1">IF(ISNUMBER(A557),IFERROR(_xlfn._xlws.FILTER(Equipar!A:A,(Equipar!B:B=4)*(Equipar!AC:AC=A557)),""),"")</f>
        <v/>
      </c>
    </row>
    <row r="558" spans="1:10" x14ac:dyDescent="0.25">
      <c r="A558" s="3" t="str">
        <f ca="1">IF(A557="ID",1,IF(ISBLANK(B558),"",MAX(A$2:A557)+1))</f>
        <v/>
      </c>
      <c r="I558" s="2" t="str">
        <f ca="1">IF(ISNUMBER(A558),
IF(COUNTIFS(Equipar!B:B,4,Equipar!AC:AC,A558),"Equipada",
IF(
  OR(COUNTIFS(Equipar!B:B,4,Equipar!C:C,A558)
 +COUNTIFS(Equipar!B:B,4,Equipar!D:D,A558)
+COUNTIFS(Equipar!B:B,4,Equipar!E:E,A558)
+COUNTIFS(Equipar!B:B,4,Equipar!F:F,A558)
&gt;0,COUNTIF('Set recomendado'!B:B,C558)=0),
"Bloqueada",
"Desechable")),""
)</f>
        <v/>
      </c>
      <c r="J558" t="str" cm="1">
        <f t="array" aca="1" ref="J558" ca="1">IF(ISNUMBER(A558),IFERROR(_xlfn._xlws.FILTER(Equipar!A:A,(Equipar!B:B=4)*(Equipar!AC:AC=A558)),""),"")</f>
        <v/>
      </c>
    </row>
    <row r="559" spans="1:10" x14ac:dyDescent="0.25">
      <c r="A559" s="3" t="str">
        <f ca="1">IF(A558="ID",1,IF(ISBLANK(B559),"",MAX(A$2:A558)+1))</f>
        <v/>
      </c>
      <c r="I559" s="2" t="str">
        <f ca="1">IF(ISNUMBER(A559),
IF(COUNTIFS(Equipar!B:B,4,Equipar!AC:AC,A559),"Equipada",
IF(
  OR(COUNTIFS(Equipar!B:B,4,Equipar!C:C,A559)
 +COUNTIFS(Equipar!B:B,4,Equipar!D:D,A559)
+COUNTIFS(Equipar!B:B,4,Equipar!E:E,A559)
+COUNTIFS(Equipar!B:B,4,Equipar!F:F,A559)
&gt;0,COUNTIF('Set recomendado'!B:B,C559)=0),
"Bloqueada",
"Desechable")),""
)</f>
        <v/>
      </c>
      <c r="J559" t="str" cm="1">
        <f t="array" aca="1" ref="J559" ca="1">IF(ISNUMBER(A559),IFERROR(_xlfn._xlws.FILTER(Equipar!A:A,(Equipar!B:B=4)*(Equipar!AC:AC=A559)),""),"")</f>
        <v/>
      </c>
    </row>
    <row r="560" spans="1:10" x14ac:dyDescent="0.25">
      <c r="A560" s="3" t="str">
        <f ca="1">IF(A559="ID",1,IF(ISBLANK(B560),"",MAX(A$2:A559)+1))</f>
        <v/>
      </c>
      <c r="I560" s="2" t="str">
        <f ca="1">IF(ISNUMBER(A560),
IF(COUNTIFS(Equipar!B:B,4,Equipar!AC:AC,A560),"Equipada",
IF(
  OR(COUNTIFS(Equipar!B:B,4,Equipar!C:C,A560)
 +COUNTIFS(Equipar!B:B,4,Equipar!D:D,A560)
+COUNTIFS(Equipar!B:B,4,Equipar!E:E,A560)
+COUNTIFS(Equipar!B:B,4,Equipar!F:F,A560)
&gt;0,COUNTIF('Set recomendado'!B:B,C560)=0),
"Bloqueada",
"Desechable")),""
)</f>
        <v/>
      </c>
      <c r="J560" t="str" cm="1">
        <f t="array" aca="1" ref="J560" ca="1">IF(ISNUMBER(A560),IFERROR(_xlfn._xlws.FILTER(Equipar!A:A,(Equipar!B:B=4)*(Equipar!AC:AC=A560)),""),"")</f>
        <v/>
      </c>
    </row>
    <row r="561" spans="1:10" x14ac:dyDescent="0.25">
      <c r="A561" s="3" t="str">
        <f ca="1">IF(A560="ID",1,IF(ISBLANK(B561),"",MAX(A$2:A560)+1))</f>
        <v/>
      </c>
      <c r="I561" s="2" t="str">
        <f ca="1">IF(ISNUMBER(A561),
IF(COUNTIFS(Equipar!B:B,4,Equipar!AC:AC,A561),"Equipada",
IF(
  OR(COUNTIFS(Equipar!B:B,4,Equipar!C:C,A561)
 +COUNTIFS(Equipar!B:B,4,Equipar!D:D,A561)
+COUNTIFS(Equipar!B:B,4,Equipar!E:E,A561)
+COUNTIFS(Equipar!B:B,4,Equipar!F:F,A561)
&gt;0,COUNTIF('Set recomendado'!B:B,C561)=0),
"Bloqueada",
"Desechable")),""
)</f>
        <v/>
      </c>
      <c r="J561" t="str" cm="1">
        <f t="array" aca="1" ref="J561" ca="1">IF(ISNUMBER(A561),IFERROR(_xlfn._xlws.FILTER(Equipar!A:A,(Equipar!B:B=4)*(Equipar!AC:AC=A561)),""),"")</f>
        <v/>
      </c>
    </row>
    <row r="562" spans="1:10" x14ac:dyDescent="0.25">
      <c r="A562" s="3" t="str">
        <f ca="1">IF(A561="ID",1,IF(ISBLANK(B562),"",MAX(A$2:A561)+1))</f>
        <v/>
      </c>
      <c r="I562" s="2" t="str">
        <f ca="1">IF(ISNUMBER(A562),
IF(COUNTIFS(Equipar!B:B,4,Equipar!AC:AC,A562),"Equipada",
IF(
  OR(COUNTIFS(Equipar!B:B,4,Equipar!C:C,A562)
 +COUNTIFS(Equipar!B:B,4,Equipar!D:D,A562)
+COUNTIFS(Equipar!B:B,4,Equipar!E:E,A562)
+COUNTIFS(Equipar!B:B,4,Equipar!F:F,A562)
&gt;0,COUNTIF('Set recomendado'!B:B,C562)=0),
"Bloqueada",
"Desechable")),""
)</f>
        <v/>
      </c>
      <c r="J562" t="str" cm="1">
        <f t="array" aca="1" ref="J562" ca="1">IF(ISNUMBER(A562),IFERROR(_xlfn._xlws.FILTER(Equipar!A:A,(Equipar!B:B=4)*(Equipar!AC:AC=A562)),""),"")</f>
        <v/>
      </c>
    </row>
    <row r="563" spans="1:10" x14ac:dyDescent="0.25">
      <c r="A563" s="3" t="str">
        <f ca="1">IF(A562="ID",1,IF(ISBLANK(B563),"",MAX(A$2:A562)+1))</f>
        <v/>
      </c>
      <c r="I563" s="2" t="str">
        <f ca="1">IF(ISNUMBER(A563),
IF(COUNTIFS(Equipar!B:B,4,Equipar!AC:AC,A563),"Equipada",
IF(
  OR(COUNTIFS(Equipar!B:B,4,Equipar!C:C,A563)
 +COUNTIFS(Equipar!B:B,4,Equipar!D:D,A563)
+COUNTIFS(Equipar!B:B,4,Equipar!E:E,A563)
+COUNTIFS(Equipar!B:B,4,Equipar!F:F,A563)
&gt;0,COUNTIF('Set recomendado'!B:B,C563)=0),
"Bloqueada",
"Desechable")),""
)</f>
        <v/>
      </c>
      <c r="J563" t="str" cm="1">
        <f t="array" aca="1" ref="J563" ca="1">IF(ISNUMBER(A563),IFERROR(_xlfn._xlws.FILTER(Equipar!A:A,(Equipar!B:B=4)*(Equipar!AC:AC=A563)),""),"")</f>
        <v/>
      </c>
    </row>
    <row r="564" spans="1:10" x14ac:dyDescent="0.25">
      <c r="A564" s="3" t="str">
        <f ca="1">IF(A563="ID",1,IF(ISBLANK(B564),"",MAX(A$2:A563)+1))</f>
        <v/>
      </c>
      <c r="I564" s="2" t="str">
        <f ca="1">IF(ISNUMBER(A564),
IF(COUNTIFS(Equipar!B:B,4,Equipar!AC:AC,A564),"Equipada",
IF(
  OR(COUNTIFS(Equipar!B:B,4,Equipar!C:C,A564)
 +COUNTIFS(Equipar!B:B,4,Equipar!D:D,A564)
+COUNTIFS(Equipar!B:B,4,Equipar!E:E,A564)
+COUNTIFS(Equipar!B:B,4,Equipar!F:F,A564)
&gt;0,COUNTIF('Set recomendado'!B:B,C564)=0),
"Bloqueada",
"Desechable")),""
)</f>
        <v/>
      </c>
      <c r="J564" t="str" cm="1">
        <f t="array" aca="1" ref="J564" ca="1">IF(ISNUMBER(A564),IFERROR(_xlfn._xlws.FILTER(Equipar!A:A,(Equipar!B:B=4)*(Equipar!AC:AC=A564)),""),"")</f>
        <v/>
      </c>
    </row>
    <row r="565" spans="1:10" x14ac:dyDescent="0.25">
      <c r="A565" s="3" t="str">
        <f ca="1">IF(A564="ID",1,IF(ISBLANK(B565),"",MAX(A$2:A564)+1))</f>
        <v/>
      </c>
      <c r="I565" s="2" t="str">
        <f ca="1">IF(ISNUMBER(A565),
IF(COUNTIFS(Equipar!B:B,4,Equipar!AC:AC,A565),"Equipada",
IF(
  OR(COUNTIFS(Equipar!B:B,4,Equipar!C:C,A565)
 +COUNTIFS(Equipar!B:B,4,Equipar!D:D,A565)
+COUNTIFS(Equipar!B:B,4,Equipar!E:E,A565)
+COUNTIFS(Equipar!B:B,4,Equipar!F:F,A565)
&gt;0,COUNTIF('Set recomendado'!B:B,C565)=0),
"Bloqueada",
"Desechable")),""
)</f>
        <v/>
      </c>
      <c r="J565" t="str" cm="1">
        <f t="array" aca="1" ref="J565" ca="1">IF(ISNUMBER(A565),IFERROR(_xlfn._xlws.FILTER(Equipar!A:A,(Equipar!B:B=4)*(Equipar!AC:AC=A565)),""),"")</f>
        <v/>
      </c>
    </row>
    <row r="566" spans="1:10" x14ac:dyDescent="0.25">
      <c r="A566" s="3" t="str">
        <f ca="1">IF(A565="ID",1,IF(ISBLANK(B566),"",MAX(A$2:A565)+1))</f>
        <v/>
      </c>
      <c r="I566" s="2" t="str">
        <f ca="1">IF(ISNUMBER(A566),
IF(COUNTIFS(Equipar!B:B,4,Equipar!AC:AC,A566),"Equipada",
IF(
  OR(COUNTIFS(Equipar!B:B,4,Equipar!C:C,A566)
 +COUNTIFS(Equipar!B:B,4,Equipar!D:D,A566)
+COUNTIFS(Equipar!B:B,4,Equipar!E:E,A566)
+COUNTIFS(Equipar!B:B,4,Equipar!F:F,A566)
&gt;0,COUNTIF('Set recomendado'!B:B,C566)=0),
"Bloqueada",
"Desechable")),""
)</f>
        <v/>
      </c>
      <c r="J566" t="str" cm="1">
        <f t="array" aca="1" ref="J566" ca="1">IF(ISNUMBER(A566),IFERROR(_xlfn._xlws.FILTER(Equipar!A:A,(Equipar!B:B=4)*(Equipar!AC:AC=A566)),""),"")</f>
        <v/>
      </c>
    </row>
    <row r="567" spans="1:10" x14ac:dyDescent="0.25">
      <c r="A567" s="3" t="str">
        <f ca="1">IF(A566="ID",1,IF(ISBLANK(B567),"",MAX(A$2:A566)+1))</f>
        <v/>
      </c>
      <c r="I567" s="2" t="str">
        <f ca="1">IF(ISNUMBER(A567),
IF(COUNTIFS(Equipar!B:B,4,Equipar!AC:AC,A567),"Equipada",
IF(
  OR(COUNTIFS(Equipar!B:B,4,Equipar!C:C,A567)
 +COUNTIFS(Equipar!B:B,4,Equipar!D:D,A567)
+COUNTIFS(Equipar!B:B,4,Equipar!E:E,A567)
+COUNTIFS(Equipar!B:B,4,Equipar!F:F,A567)
&gt;0,COUNTIF('Set recomendado'!B:B,C567)=0),
"Bloqueada",
"Desechable")),""
)</f>
        <v/>
      </c>
      <c r="J567" t="str" cm="1">
        <f t="array" aca="1" ref="J567" ca="1">IF(ISNUMBER(A567),IFERROR(_xlfn._xlws.FILTER(Equipar!A:A,(Equipar!B:B=4)*(Equipar!AC:AC=A567)),""),"")</f>
        <v/>
      </c>
    </row>
    <row r="568" spans="1:10" x14ac:dyDescent="0.25">
      <c r="A568" s="3" t="str">
        <f ca="1">IF(A567="ID",1,IF(ISBLANK(B568),"",MAX(A$2:A567)+1))</f>
        <v/>
      </c>
      <c r="I568" s="2" t="str">
        <f ca="1">IF(ISNUMBER(A568),
IF(COUNTIFS(Equipar!B:B,4,Equipar!AC:AC,A568),"Equipada",
IF(
  OR(COUNTIFS(Equipar!B:B,4,Equipar!C:C,A568)
 +COUNTIFS(Equipar!B:B,4,Equipar!D:D,A568)
+COUNTIFS(Equipar!B:B,4,Equipar!E:E,A568)
+COUNTIFS(Equipar!B:B,4,Equipar!F:F,A568)
&gt;0,COUNTIF('Set recomendado'!B:B,C568)=0),
"Bloqueada",
"Desechable")),""
)</f>
        <v/>
      </c>
      <c r="J568" t="str" cm="1">
        <f t="array" aca="1" ref="J568" ca="1">IF(ISNUMBER(A568),IFERROR(_xlfn._xlws.FILTER(Equipar!A:A,(Equipar!B:B=4)*(Equipar!AC:AC=A568)),""),"")</f>
        <v/>
      </c>
    </row>
    <row r="569" spans="1:10" x14ac:dyDescent="0.25">
      <c r="A569" s="3" t="str">
        <f ca="1">IF(A568="ID",1,IF(ISBLANK(B569),"",MAX(A$2:A568)+1))</f>
        <v/>
      </c>
      <c r="I569" s="2" t="str">
        <f ca="1">IF(ISNUMBER(A569),
IF(COUNTIFS(Equipar!B:B,4,Equipar!AC:AC,A569),"Equipada",
IF(
  OR(COUNTIFS(Equipar!B:B,4,Equipar!C:C,A569)
 +COUNTIFS(Equipar!B:B,4,Equipar!D:D,A569)
+COUNTIFS(Equipar!B:B,4,Equipar!E:E,A569)
+COUNTIFS(Equipar!B:B,4,Equipar!F:F,A569)
&gt;0,COUNTIF('Set recomendado'!B:B,C569)=0),
"Bloqueada",
"Desechable")),""
)</f>
        <v/>
      </c>
      <c r="J569" t="str" cm="1">
        <f t="array" aca="1" ref="J569" ca="1">IF(ISNUMBER(A569),IFERROR(_xlfn._xlws.FILTER(Equipar!A:A,(Equipar!B:B=4)*(Equipar!AC:AC=A569)),""),"")</f>
        <v/>
      </c>
    </row>
    <row r="570" spans="1:10" x14ac:dyDescent="0.25">
      <c r="A570" s="3" t="str">
        <f ca="1">IF(A569="ID",1,IF(ISBLANK(B570),"",MAX(A$2:A569)+1))</f>
        <v/>
      </c>
      <c r="I570" s="2" t="str">
        <f ca="1">IF(ISNUMBER(A570),
IF(COUNTIFS(Equipar!B:B,4,Equipar!AC:AC,A570),"Equipada",
IF(
  OR(COUNTIFS(Equipar!B:B,4,Equipar!C:C,A570)
 +COUNTIFS(Equipar!B:B,4,Equipar!D:D,A570)
+COUNTIFS(Equipar!B:B,4,Equipar!E:E,A570)
+COUNTIFS(Equipar!B:B,4,Equipar!F:F,A570)
&gt;0,COUNTIF('Set recomendado'!B:B,C570)=0),
"Bloqueada",
"Desechable")),""
)</f>
        <v/>
      </c>
      <c r="J570" t="str" cm="1">
        <f t="array" aca="1" ref="J570" ca="1">IF(ISNUMBER(A570),IFERROR(_xlfn._xlws.FILTER(Equipar!A:A,(Equipar!B:B=4)*(Equipar!AC:AC=A570)),""),"")</f>
        <v/>
      </c>
    </row>
    <row r="571" spans="1:10" x14ac:dyDescent="0.25">
      <c r="A571" s="3" t="str">
        <f ca="1">IF(A570="ID",1,IF(ISBLANK(B571),"",MAX(A$2:A570)+1))</f>
        <v/>
      </c>
      <c r="I571" s="2" t="str">
        <f ca="1">IF(ISNUMBER(A571),
IF(COUNTIFS(Equipar!B:B,4,Equipar!AC:AC,A571),"Equipada",
IF(
  OR(COUNTIFS(Equipar!B:B,4,Equipar!C:C,A571)
 +COUNTIFS(Equipar!B:B,4,Equipar!D:D,A571)
+COUNTIFS(Equipar!B:B,4,Equipar!E:E,A571)
+COUNTIFS(Equipar!B:B,4,Equipar!F:F,A571)
&gt;0,COUNTIF('Set recomendado'!B:B,C571)=0),
"Bloqueada",
"Desechable")),""
)</f>
        <v/>
      </c>
      <c r="J571" t="str" cm="1">
        <f t="array" aca="1" ref="J571" ca="1">IF(ISNUMBER(A571),IFERROR(_xlfn._xlws.FILTER(Equipar!A:A,(Equipar!B:B=4)*(Equipar!AC:AC=A571)),""),"")</f>
        <v/>
      </c>
    </row>
    <row r="572" spans="1:10" x14ac:dyDescent="0.25">
      <c r="A572" s="3" t="str">
        <f ca="1">IF(A571="ID",1,IF(ISBLANK(B572),"",MAX(A$2:A571)+1))</f>
        <v/>
      </c>
      <c r="I572" s="2" t="str">
        <f ca="1">IF(ISNUMBER(A572),
IF(COUNTIFS(Equipar!B:B,4,Equipar!AC:AC,A572),"Equipada",
IF(
  OR(COUNTIFS(Equipar!B:B,4,Equipar!C:C,A572)
 +COUNTIFS(Equipar!B:B,4,Equipar!D:D,A572)
+COUNTIFS(Equipar!B:B,4,Equipar!E:E,A572)
+COUNTIFS(Equipar!B:B,4,Equipar!F:F,A572)
&gt;0,COUNTIF('Set recomendado'!B:B,C572)=0),
"Bloqueada",
"Desechable")),""
)</f>
        <v/>
      </c>
      <c r="J572" t="str" cm="1">
        <f t="array" aca="1" ref="J572" ca="1">IF(ISNUMBER(A572),IFERROR(_xlfn._xlws.FILTER(Equipar!A:A,(Equipar!B:B=4)*(Equipar!AC:AC=A572)),""),"")</f>
        <v/>
      </c>
    </row>
    <row r="573" spans="1:10" x14ac:dyDescent="0.25">
      <c r="A573" s="3" t="str">
        <f ca="1">IF(A572="ID",1,IF(ISBLANK(B573),"",MAX(A$2:A572)+1))</f>
        <v/>
      </c>
      <c r="I573" s="2" t="str">
        <f ca="1">IF(ISNUMBER(A573),
IF(COUNTIFS(Equipar!B:B,4,Equipar!AC:AC,A573),"Equipada",
IF(
  OR(COUNTIFS(Equipar!B:B,4,Equipar!C:C,A573)
 +COUNTIFS(Equipar!B:B,4,Equipar!D:D,A573)
+COUNTIFS(Equipar!B:B,4,Equipar!E:E,A573)
+COUNTIFS(Equipar!B:B,4,Equipar!F:F,A573)
&gt;0,COUNTIF('Set recomendado'!B:B,C573)=0),
"Bloqueada",
"Desechable")),""
)</f>
        <v/>
      </c>
      <c r="J573" t="str" cm="1">
        <f t="array" aca="1" ref="J573" ca="1">IF(ISNUMBER(A573),IFERROR(_xlfn._xlws.FILTER(Equipar!A:A,(Equipar!B:B=4)*(Equipar!AC:AC=A573)),""),"")</f>
        <v/>
      </c>
    </row>
    <row r="574" spans="1:10" x14ac:dyDescent="0.25">
      <c r="A574" s="3" t="str">
        <f ca="1">IF(A573="ID",1,IF(ISBLANK(B574),"",MAX(A$2:A573)+1))</f>
        <v/>
      </c>
      <c r="I574" s="2" t="str">
        <f ca="1">IF(ISNUMBER(A574),
IF(COUNTIFS(Equipar!B:B,4,Equipar!AC:AC,A574),"Equipada",
IF(
  OR(COUNTIFS(Equipar!B:B,4,Equipar!C:C,A574)
 +COUNTIFS(Equipar!B:B,4,Equipar!D:D,A574)
+COUNTIFS(Equipar!B:B,4,Equipar!E:E,A574)
+COUNTIFS(Equipar!B:B,4,Equipar!F:F,A574)
&gt;0,COUNTIF('Set recomendado'!B:B,C574)=0),
"Bloqueada",
"Desechable")),""
)</f>
        <v/>
      </c>
      <c r="J574" t="str" cm="1">
        <f t="array" aca="1" ref="J574" ca="1">IF(ISNUMBER(A574),IFERROR(_xlfn._xlws.FILTER(Equipar!A:A,(Equipar!B:B=4)*(Equipar!AC:AC=A574)),""),"")</f>
        <v/>
      </c>
    </row>
    <row r="575" spans="1:10" x14ac:dyDescent="0.25">
      <c r="A575" s="3" t="str">
        <f ca="1">IF(A574="ID",1,IF(ISBLANK(B575),"",MAX(A$2:A574)+1))</f>
        <v/>
      </c>
      <c r="I575" s="2" t="str">
        <f ca="1">IF(ISNUMBER(A575),
IF(COUNTIFS(Equipar!B:B,4,Equipar!AC:AC,A575),"Equipada",
IF(
  OR(COUNTIFS(Equipar!B:B,4,Equipar!C:C,A575)
 +COUNTIFS(Equipar!B:B,4,Equipar!D:D,A575)
+COUNTIFS(Equipar!B:B,4,Equipar!E:E,A575)
+COUNTIFS(Equipar!B:B,4,Equipar!F:F,A575)
&gt;0,COUNTIF('Set recomendado'!B:B,C575)=0),
"Bloqueada",
"Desechable")),""
)</f>
        <v/>
      </c>
      <c r="J575" t="str" cm="1">
        <f t="array" aca="1" ref="J575" ca="1">IF(ISNUMBER(A575),IFERROR(_xlfn._xlws.FILTER(Equipar!A:A,(Equipar!B:B=4)*(Equipar!AC:AC=A575)),""),"")</f>
        <v/>
      </c>
    </row>
    <row r="576" spans="1:10" x14ac:dyDescent="0.25">
      <c r="A576" s="3" t="str">
        <f ca="1">IF(A575="ID",1,IF(ISBLANK(B576),"",MAX(A$2:A575)+1))</f>
        <v/>
      </c>
      <c r="I576" s="2" t="str">
        <f ca="1">IF(ISNUMBER(A576),
IF(COUNTIFS(Equipar!B:B,4,Equipar!AC:AC,A576),"Equipada",
IF(
  OR(COUNTIFS(Equipar!B:B,4,Equipar!C:C,A576)
 +COUNTIFS(Equipar!B:B,4,Equipar!D:D,A576)
+COUNTIFS(Equipar!B:B,4,Equipar!E:E,A576)
+COUNTIFS(Equipar!B:B,4,Equipar!F:F,A576)
&gt;0,COUNTIF('Set recomendado'!B:B,C576)=0),
"Bloqueada",
"Desechable")),""
)</f>
        <v/>
      </c>
      <c r="J576" t="str" cm="1">
        <f t="array" aca="1" ref="J576" ca="1">IF(ISNUMBER(A576),IFERROR(_xlfn._xlws.FILTER(Equipar!A:A,(Equipar!B:B=4)*(Equipar!AC:AC=A576)),""),"")</f>
        <v/>
      </c>
    </row>
    <row r="577" spans="1:10" x14ac:dyDescent="0.25">
      <c r="A577" s="3" t="str">
        <f ca="1">IF(A576="ID",1,IF(ISBLANK(B577),"",MAX(A$2:A576)+1))</f>
        <v/>
      </c>
      <c r="I577" s="2" t="str">
        <f ca="1">IF(ISNUMBER(A577),
IF(COUNTIFS(Equipar!B:B,4,Equipar!AC:AC,A577),"Equipada",
IF(
  OR(COUNTIFS(Equipar!B:B,4,Equipar!C:C,A577)
 +COUNTIFS(Equipar!B:B,4,Equipar!D:D,A577)
+COUNTIFS(Equipar!B:B,4,Equipar!E:E,A577)
+COUNTIFS(Equipar!B:B,4,Equipar!F:F,A577)
&gt;0,COUNTIF('Set recomendado'!B:B,C577)=0),
"Bloqueada",
"Desechable")),""
)</f>
        <v/>
      </c>
      <c r="J577" t="str" cm="1">
        <f t="array" aca="1" ref="J577" ca="1">IF(ISNUMBER(A577),IFERROR(_xlfn._xlws.FILTER(Equipar!A:A,(Equipar!B:B=4)*(Equipar!AC:AC=A577)),""),"")</f>
        <v/>
      </c>
    </row>
    <row r="578" spans="1:10" x14ac:dyDescent="0.25">
      <c r="A578" s="3" t="str">
        <f ca="1">IF(A577="ID",1,IF(ISBLANK(B578),"",MAX(A$2:A577)+1))</f>
        <v/>
      </c>
      <c r="I578" s="2" t="str">
        <f ca="1">IF(ISNUMBER(A578),
IF(COUNTIFS(Equipar!B:B,4,Equipar!AC:AC,A578),"Equipada",
IF(
  OR(COUNTIFS(Equipar!B:B,4,Equipar!C:C,A578)
 +COUNTIFS(Equipar!B:B,4,Equipar!D:D,A578)
+COUNTIFS(Equipar!B:B,4,Equipar!E:E,A578)
+COUNTIFS(Equipar!B:B,4,Equipar!F:F,A578)
&gt;0,COUNTIF('Set recomendado'!B:B,C578)=0),
"Bloqueada",
"Desechable")),""
)</f>
        <v/>
      </c>
      <c r="J578" t="str" cm="1">
        <f t="array" aca="1" ref="J578" ca="1">IF(ISNUMBER(A578),IFERROR(_xlfn._xlws.FILTER(Equipar!A:A,(Equipar!B:B=4)*(Equipar!AC:AC=A578)),""),"")</f>
        <v/>
      </c>
    </row>
    <row r="579" spans="1:10" x14ac:dyDescent="0.25">
      <c r="A579" s="3" t="str">
        <f ca="1">IF(A578="ID",1,IF(ISBLANK(B579),"",MAX(A$2:A578)+1))</f>
        <v/>
      </c>
      <c r="I579" s="2" t="str">
        <f ca="1">IF(ISNUMBER(A579),
IF(COUNTIFS(Equipar!B:B,4,Equipar!AC:AC,A579),"Equipada",
IF(
  OR(COUNTIFS(Equipar!B:B,4,Equipar!C:C,A579)
 +COUNTIFS(Equipar!B:B,4,Equipar!D:D,A579)
+COUNTIFS(Equipar!B:B,4,Equipar!E:E,A579)
+COUNTIFS(Equipar!B:B,4,Equipar!F:F,A579)
&gt;0,COUNTIF('Set recomendado'!B:B,C579)=0),
"Bloqueada",
"Desechable")),""
)</f>
        <v/>
      </c>
      <c r="J579" t="str" cm="1">
        <f t="array" aca="1" ref="J579" ca="1">IF(ISNUMBER(A579),IFERROR(_xlfn._xlws.FILTER(Equipar!A:A,(Equipar!B:B=4)*(Equipar!AC:AC=A579)),""),"")</f>
        <v/>
      </c>
    </row>
    <row r="580" spans="1:10" x14ac:dyDescent="0.25">
      <c r="A580" s="3" t="str">
        <f ca="1">IF(A579="ID",1,IF(ISBLANK(B580),"",MAX(A$2:A579)+1))</f>
        <v/>
      </c>
      <c r="I580" s="2" t="str">
        <f ca="1">IF(ISNUMBER(A580),
IF(COUNTIFS(Equipar!B:B,4,Equipar!AC:AC,A580),"Equipada",
IF(
  OR(COUNTIFS(Equipar!B:B,4,Equipar!C:C,A580)
 +COUNTIFS(Equipar!B:B,4,Equipar!D:D,A580)
+COUNTIFS(Equipar!B:B,4,Equipar!E:E,A580)
+COUNTIFS(Equipar!B:B,4,Equipar!F:F,A580)
&gt;0,COUNTIF('Set recomendado'!B:B,C580)=0),
"Bloqueada",
"Desechable")),""
)</f>
        <v/>
      </c>
      <c r="J580" t="str" cm="1">
        <f t="array" aca="1" ref="J580" ca="1">IF(ISNUMBER(A580),IFERROR(_xlfn._xlws.FILTER(Equipar!A:A,(Equipar!B:B=4)*(Equipar!AC:AC=A580)),""),"")</f>
        <v/>
      </c>
    </row>
    <row r="581" spans="1:10" x14ac:dyDescent="0.25">
      <c r="A581" s="3" t="str">
        <f ca="1">IF(A580="ID",1,IF(ISBLANK(B581),"",MAX(A$2:A580)+1))</f>
        <v/>
      </c>
      <c r="I581" s="2" t="str">
        <f ca="1">IF(ISNUMBER(A581),
IF(COUNTIFS(Equipar!B:B,4,Equipar!AC:AC,A581),"Equipada",
IF(
  OR(COUNTIFS(Equipar!B:B,4,Equipar!C:C,A581)
 +COUNTIFS(Equipar!B:B,4,Equipar!D:D,A581)
+COUNTIFS(Equipar!B:B,4,Equipar!E:E,A581)
+COUNTIFS(Equipar!B:B,4,Equipar!F:F,A581)
&gt;0,COUNTIF('Set recomendado'!B:B,C581)=0),
"Bloqueada",
"Desechable")),""
)</f>
        <v/>
      </c>
      <c r="J581" t="str" cm="1">
        <f t="array" aca="1" ref="J581" ca="1">IF(ISNUMBER(A581),IFERROR(_xlfn._xlws.FILTER(Equipar!A:A,(Equipar!B:B=4)*(Equipar!AC:AC=A581)),""),"")</f>
        <v/>
      </c>
    </row>
    <row r="582" spans="1:10" x14ac:dyDescent="0.25">
      <c r="A582" s="3" t="str">
        <f ca="1">IF(A581="ID",1,IF(ISBLANK(B582),"",MAX(A$2:A581)+1))</f>
        <v/>
      </c>
      <c r="I582" s="2" t="str">
        <f ca="1">IF(ISNUMBER(A582),
IF(COUNTIFS(Equipar!B:B,4,Equipar!AC:AC,A582),"Equipada",
IF(
  OR(COUNTIFS(Equipar!B:B,4,Equipar!C:C,A582)
 +COUNTIFS(Equipar!B:B,4,Equipar!D:D,A582)
+COUNTIFS(Equipar!B:B,4,Equipar!E:E,A582)
+COUNTIFS(Equipar!B:B,4,Equipar!F:F,A582)
&gt;0,COUNTIF('Set recomendado'!B:B,C582)=0),
"Bloqueada",
"Desechable")),""
)</f>
        <v/>
      </c>
      <c r="J582" t="str" cm="1">
        <f t="array" aca="1" ref="J582" ca="1">IF(ISNUMBER(A582),IFERROR(_xlfn._xlws.FILTER(Equipar!A:A,(Equipar!B:B=4)*(Equipar!AC:AC=A582)),""),"")</f>
        <v/>
      </c>
    </row>
    <row r="583" spans="1:10" x14ac:dyDescent="0.25">
      <c r="A583" s="3" t="str">
        <f ca="1">IF(A582="ID",1,IF(ISBLANK(B583),"",MAX(A$2:A582)+1))</f>
        <v/>
      </c>
      <c r="I583" s="2" t="str">
        <f ca="1">IF(ISNUMBER(A583),
IF(COUNTIFS(Equipar!B:B,4,Equipar!AC:AC,A583),"Equipada",
IF(
  OR(COUNTIFS(Equipar!B:B,4,Equipar!C:C,A583)
 +COUNTIFS(Equipar!B:B,4,Equipar!D:D,A583)
+COUNTIFS(Equipar!B:B,4,Equipar!E:E,A583)
+COUNTIFS(Equipar!B:B,4,Equipar!F:F,A583)
&gt;0,COUNTIF('Set recomendado'!B:B,C583)=0),
"Bloqueada",
"Desechable")),""
)</f>
        <v/>
      </c>
      <c r="J583" t="str" cm="1">
        <f t="array" aca="1" ref="J583" ca="1">IF(ISNUMBER(A583),IFERROR(_xlfn._xlws.FILTER(Equipar!A:A,(Equipar!B:B=4)*(Equipar!AC:AC=A583)),""),"")</f>
        <v/>
      </c>
    </row>
    <row r="584" spans="1:10" x14ac:dyDescent="0.25">
      <c r="A584" s="3" t="str">
        <f ca="1">IF(A583="ID",1,IF(ISBLANK(B584),"",MAX(A$2:A583)+1))</f>
        <v/>
      </c>
      <c r="I584" s="2" t="str">
        <f ca="1">IF(ISNUMBER(A584),
IF(COUNTIFS(Equipar!B:B,4,Equipar!AC:AC,A584),"Equipada",
IF(
  OR(COUNTIFS(Equipar!B:B,4,Equipar!C:C,A584)
 +COUNTIFS(Equipar!B:B,4,Equipar!D:D,A584)
+COUNTIFS(Equipar!B:B,4,Equipar!E:E,A584)
+COUNTIFS(Equipar!B:B,4,Equipar!F:F,A584)
&gt;0,COUNTIF('Set recomendado'!B:B,C584)=0),
"Bloqueada",
"Desechable")),""
)</f>
        <v/>
      </c>
      <c r="J584" t="str" cm="1">
        <f t="array" aca="1" ref="J584" ca="1">IF(ISNUMBER(A584),IFERROR(_xlfn._xlws.FILTER(Equipar!A:A,(Equipar!B:B=4)*(Equipar!AC:AC=A584)),""),"")</f>
        <v/>
      </c>
    </row>
    <row r="585" spans="1:10" x14ac:dyDescent="0.25">
      <c r="A585" s="3" t="str">
        <f ca="1">IF(A584="ID",1,IF(ISBLANK(B585),"",MAX(A$2:A584)+1))</f>
        <v/>
      </c>
      <c r="I585" s="2" t="str">
        <f ca="1">IF(ISNUMBER(A585),
IF(COUNTIFS(Equipar!B:B,4,Equipar!AC:AC,A585),"Equipada",
IF(
  OR(COUNTIFS(Equipar!B:B,4,Equipar!C:C,A585)
 +COUNTIFS(Equipar!B:B,4,Equipar!D:D,A585)
+COUNTIFS(Equipar!B:B,4,Equipar!E:E,A585)
+COUNTIFS(Equipar!B:B,4,Equipar!F:F,A585)
&gt;0,COUNTIF('Set recomendado'!B:B,C585)=0),
"Bloqueada",
"Desechable")),""
)</f>
        <v/>
      </c>
      <c r="J585" t="str" cm="1">
        <f t="array" aca="1" ref="J585" ca="1">IF(ISNUMBER(A585),IFERROR(_xlfn._xlws.FILTER(Equipar!A:A,(Equipar!B:B=4)*(Equipar!AC:AC=A585)),""),"")</f>
        <v/>
      </c>
    </row>
    <row r="586" spans="1:10" x14ac:dyDescent="0.25">
      <c r="A586" s="3" t="str">
        <f ca="1">IF(A585="ID",1,IF(ISBLANK(B586),"",MAX(A$2:A585)+1))</f>
        <v/>
      </c>
      <c r="I586" s="2" t="str">
        <f ca="1">IF(ISNUMBER(A586),
IF(COUNTIFS(Equipar!B:B,4,Equipar!AC:AC,A586),"Equipada",
IF(
  OR(COUNTIFS(Equipar!B:B,4,Equipar!C:C,A586)
 +COUNTIFS(Equipar!B:B,4,Equipar!D:D,A586)
+COUNTIFS(Equipar!B:B,4,Equipar!E:E,A586)
+COUNTIFS(Equipar!B:B,4,Equipar!F:F,A586)
&gt;0,COUNTIF('Set recomendado'!B:B,C586)=0),
"Bloqueada",
"Desechable")),""
)</f>
        <v/>
      </c>
      <c r="J586" t="str" cm="1">
        <f t="array" aca="1" ref="J586" ca="1">IF(ISNUMBER(A586),IFERROR(_xlfn._xlws.FILTER(Equipar!A:A,(Equipar!B:B=4)*(Equipar!AC:AC=A586)),""),"")</f>
        <v/>
      </c>
    </row>
    <row r="587" spans="1:10" x14ac:dyDescent="0.25">
      <c r="A587" s="3" t="str">
        <f ca="1">IF(A586="ID",1,IF(ISBLANK(B587),"",MAX(A$2:A586)+1))</f>
        <v/>
      </c>
      <c r="I587" s="2" t="str">
        <f ca="1">IF(ISNUMBER(A587),
IF(COUNTIFS(Equipar!B:B,4,Equipar!AC:AC,A587),"Equipada",
IF(
  OR(COUNTIFS(Equipar!B:B,4,Equipar!C:C,A587)
 +COUNTIFS(Equipar!B:B,4,Equipar!D:D,A587)
+COUNTIFS(Equipar!B:B,4,Equipar!E:E,A587)
+COUNTIFS(Equipar!B:B,4,Equipar!F:F,A587)
&gt;0,COUNTIF('Set recomendado'!B:B,C587)=0),
"Bloqueada",
"Desechable")),""
)</f>
        <v/>
      </c>
      <c r="J587" t="str" cm="1">
        <f t="array" aca="1" ref="J587" ca="1">IF(ISNUMBER(A587),IFERROR(_xlfn._xlws.FILTER(Equipar!A:A,(Equipar!B:B=4)*(Equipar!AC:AC=A587)),""),"")</f>
        <v/>
      </c>
    </row>
    <row r="588" spans="1:10" x14ac:dyDescent="0.25">
      <c r="A588" s="3" t="str">
        <f ca="1">IF(A587="ID",1,IF(ISBLANK(B588),"",MAX(A$2:A587)+1))</f>
        <v/>
      </c>
      <c r="I588" s="2" t="str">
        <f ca="1">IF(ISNUMBER(A588),
IF(COUNTIFS(Equipar!B:B,4,Equipar!AC:AC,A588),"Equipada",
IF(
  OR(COUNTIFS(Equipar!B:B,4,Equipar!C:C,A588)
 +COUNTIFS(Equipar!B:B,4,Equipar!D:D,A588)
+COUNTIFS(Equipar!B:B,4,Equipar!E:E,A588)
+COUNTIFS(Equipar!B:B,4,Equipar!F:F,A588)
&gt;0,COUNTIF('Set recomendado'!B:B,C588)=0),
"Bloqueada",
"Desechable")),""
)</f>
        <v/>
      </c>
      <c r="J588" t="str" cm="1">
        <f t="array" aca="1" ref="J588" ca="1">IF(ISNUMBER(A588),IFERROR(_xlfn._xlws.FILTER(Equipar!A:A,(Equipar!B:B=4)*(Equipar!AC:AC=A588)),""),"")</f>
        <v/>
      </c>
    </row>
    <row r="589" spans="1:10" x14ac:dyDescent="0.25">
      <c r="A589" s="3" t="str">
        <f ca="1">IF(A588="ID",1,IF(ISBLANK(B589),"",MAX(A$2:A588)+1))</f>
        <v/>
      </c>
      <c r="I589" s="2" t="str">
        <f ca="1">IF(ISNUMBER(A589),
IF(COUNTIFS(Equipar!B:B,4,Equipar!AC:AC,A589),"Equipada",
IF(
  OR(COUNTIFS(Equipar!B:B,4,Equipar!C:C,A589)
 +COUNTIFS(Equipar!B:B,4,Equipar!D:D,A589)
+COUNTIFS(Equipar!B:B,4,Equipar!E:E,A589)
+COUNTIFS(Equipar!B:B,4,Equipar!F:F,A589)
&gt;0,COUNTIF('Set recomendado'!B:B,C589)=0),
"Bloqueada",
"Desechable")),""
)</f>
        <v/>
      </c>
      <c r="J589" t="str" cm="1">
        <f t="array" aca="1" ref="J589" ca="1">IF(ISNUMBER(A589),IFERROR(_xlfn._xlws.FILTER(Equipar!A:A,(Equipar!B:B=4)*(Equipar!AC:AC=A589)),""),"")</f>
        <v/>
      </c>
    </row>
    <row r="590" spans="1:10" x14ac:dyDescent="0.25">
      <c r="A590" s="3" t="str">
        <f ca="1">IF(A589="ID",1,IF(ISBLANK(B590),"",MAX(A$2:A589)+1))</f>
        <v/>
      </c>
      <c r="I590" s="2" t="str">
        <f ca="1">IF(ISNUMBER(A590),
IF(COUNTIFS(Equipar!B:B,4,Equipar!AC:AC,A590),"Equipada",
IF(
  OR(COUNTIFS(Equipar!B:B,4,Equipar!C:C,A590)
 +COUNTIFS(Equipar!B:B,4,Equipar!D:D,A590)
+COUNTIFS(Equipar!B:B,4,Equipar!E:E,A590)
+COUNTIFS(Equipar!B:B,4,Equipar!F:F,A590)
&gt;0,COUNTIF('Set recomendado'!B:B,C590)=0),
"Bloqueada",
"Desechable")),""
)</f>
        <v/>
      </c>
      <c r="J590" t="str" cm="1">
        <f t="array" aca="1" ref="J590" ca="1">IF(ISNUMBER(A590),IFERROR(_xlfn._xlws.FILTER(Equipar!A:A,(Equipar!B:B=4)*(Equipar!AC:AC=A590)),""),"")</f>
        <v/>
      </c>
    </row>
    <row r="591" spans="1:10" x14ac:dyDescent="0.25">
      <c r="A591" s="3" t="str">
        <f ca="1">IF(A590="ID",1,IF(ISBLANK(B591),"",MAX(A$2:A590)+1))</f>
        <v/>
      </c>
      <c r="I591" s="2" t="str">
        <f ca="1">IF(ISNUMBER(A591),
IF(COUNTIFS(Equipar!B:B,4,Equipar!AC:AC,A591),"Equipada",
IF(
  OR(COUNTIFS(Equipar!B:B,4,Equipar!C:C,A591)
 +COUNTIFS(Equipar!B:B,4,Equipar!D:D,A591)
+COUNTIFS(Equipar!B:B,4,Equipar!E:E,A591)
+COUNTIFS(Equipar!B:B,4,Equipar!F:F,A591)
&gt;0,COUNTIF('Set recomendado'!B:B,C591)=0),
"Bloqueada",
"Desechable")),""
)</f>
        <v/>
      </c>
      <c r="J591" t="str" cm="1">
        <f t="array" aca="1" ref="J591" ca="1">IF(ISNUMBER(A591),IFERROR(_xlfn._xlws.FILTER(Equipar!A:A,(Equipar!B:B=4)*(Equipar!AC:AC=A591)),""),"")</f>
        <v/>
      </c>
    </row>
    <row r="592" spans="1:10" x14ac:dyDescent="0.25">
      <c r="A592" s="3" t="str">
        <f ca="1">IF(A591="ID",1,IF(ISBLANK(B592),"",MAX(A$2:A591)+1))</f>
        <v/>
      </c>
      <c r="I592" s="2" t="str">
        <f ca="1">IF(ISNUMBER(A592),
IF(COUNTIFS(Equipar!B:B,4,Equipar!AC:AC,A592),"Equipada",
IF(
  OR(COUNTIFS(Equipar!B:B,4,Equipar!C:C,A592)
 +COUNTIFS(Equipar!B:B,4,Equipar!D:D,A592)
+COUNTIFS(Equipar!B:B,4,Equipar!E:E,A592)
+COUNTIFS(Equipar!B:B,4,Equipar!F:F,A592)
&gt;0,COUNTIF('Set recomendado'!B:B,C592)=0),
"Bloqueada",
"Desechable")),""
)</f>
        <v/>
      </c>
      <c r="J592" t="str" cm="1">
        <f t="array" aca="1" ref="J592" ca="1">IF(ISNUMBER(A592),IFERROR(_xlfn._xlws.FILTER(Equipar!A:A,(Equipar!B:B=4)*(Equipar!AC:AC=A592)),""),"")</f>
        <v/>
      </c>
    </row>
    <row r="593" spans="1:10" x14ac:dyDescent="0.25">
      <c r="A593" s="3" t="str">
        <f ca="1">IF(A592="ID",1,IF(ISBLANK(B593),"",MAX(A$2:A592)+1))</f>
        <v/>
      </c>
      <c r="I593" s="2" t="str">
        <f ca="1">IF(ISNUMBER(A593),
IF(COUNTIFS(Equipar!B:B,4,Equipar!AC:AC,A593),"Equipada",
IF(
  OR(COUNTIFS(Equipar!B:B,4,Equipar!C:C,A593)
 +COUNTIFS(Equipar!B:B,4,Equipar!D:D,A593)
+COUNTIFS(Equipar!B:B,4,Equipar!E:E,A593)
+COUNTIFS(Equipar!B:B,4,Equipar!F:F,A593)
&gt;0,COUNTIF('Set recomendado'!B:B,C593)=0),
"Bloqueada",
"Desechable")),""
)</f>
        <v/>
      </c>
      <c r="J593" t="str" cm="1">
        <f t="array" aca="1" ref="J593" ca="1">IF(ISNUMBER(A593),IFERROR(_xlfn._xlws.FILTER(Equipar!A:A,(Equipar!B:B=4)*(Equipar!AC:AC=A593)),""),"")</f>
        <v/>
      </c>
    </row>
    <row r="594" spans="1:10" x14ac:dyDescent="0.25">
      <c r="A594" s="3" t="str">
        <f ca="1">IF(A593="ID",1,IF(ISBLANK(B594),"",MAX(A$2:A593)+1))</f>
        <v/>
      </c>
      <c r="I594" s="2" t="str">
        <f ca="1">IF(ISNUMBER(A594),
IF(COUNTIFS(Equipar!B:B,4,Equipar!AC:AC,A594),"Equipada",
IF(
  OR(COUNTIFS(Equipar!B:B,4,Equipar!C:C,A594)
 +COUNTIFS(Equipar!B:B,4,Equipar!D:D,A594)
+COUNTIFS(Equipar!B:B,4,Equipar!E:E,A594)
+COUNTIFS(Equipar!B:B,4,Equipar!F:F,A594)
&gt;0,COUNTIF('Set recomendado'!B:B,C594)=0),
"Bloqueada",
"Desechable")),""
)</f>
        <v/>
      </c>
      <c r="J594" t="str" cm="1">
        <f t="array" aca="1" ref="J594" ca="1">IF(ISNUMBER(A594),IFERROR(_xlfn._xlws.FILTER(Equipar!A:A,(Equipar!B:B=4)*(Equipar!AC:AC=A594)),""),"")</f>
        <v/>
      </c>
    </row>
    <row r="595" spans="1:10" x14ac:dyDescent="0.25">
      <c r="A595" s="3" t="str">
        <f ca="1">IF(A594="ID",1,IF(ISBLANK(B595),"",MAX(A$2:A594)+1))</f>
        <v/>
      </c>
      <c r="I595" s="2" t="str">
        <f ca="1">IF(ISNUMBER(A595),
IF(COUNTIFS(Equipar!B:B,4,Equipar!AC:AC,A595),"Equipada",
IF(
  OR(COUNTIFS(Equipar!B:B,4,Equipar!C:C,A595)
 +COUNTIFS(Equipar!B:B,4,Equipar!D:D,A595)
+COUNTIFS(Equipar!B:B,4,Equipar!E:E,A595)
+COUNTIFS(Equipar!B:B,4,Equipar!F:F,A595)
&gt;0,COUNTIF('Set recomendado'!B:B,C595)=0),
"Bloqueada",
"Desechable")),""
)</f>
        <v/>
      </c>
      <c r="J595" t="str" cm="1">
        <f t="array" aca="1" ref="J595" ca="1">IF(ISNUMBER(A595),IFERROR(_xlfn._xlws.FILTER(Equipar!A:A,(Equipar!B:B=4)*(Equipar!AC:AC=A595)),""),"")</f>
        <v/>
      </c>
    </row>
    <row r="596" spans="1:10" x14ac:dyDescent="0.25">
      <c r="A596" s="3" t="str">
        <f ca="1">IF(A595="ID",1,IF(ISBLANK(B596),"",MAX(A$2:A595)+1))</f>
        <v/>
      </c>
      <c r="I596" s="2" t="str">
        <f ca="1">IF(ISNUMBER(A596),
IF(COUNTIFS(Equipar!B:B,4,Equipar!AC:AC,A596),"Equipada",
IF(
  OR(COUNTIFS(Equipar!B:B,4,Equipar!C:C,A596)
 +COUNTIFS(Equipar!B:B,4,Equipar!D:D,A596)
+COUNTIFS(Equipar!B:B,4,Equipar!E:E,A596)
+COUNTIFS(Equipar!B:B,4,Equipar!F:F,A596)
&gt;0,COUNTIF('Set recomendado'!B:B,C596)=0),
"Bloqueada",
"Desechable")),""
)</f>
        <v/>
      </c>
      <c r="J596" t="str" cm="1">
        <f t="array" aca="1" ref="J596" ca="1">IF(ISNUMBER(A596),IFERROR(_xlfn._xlws.FILTER(Equipar!A:A,(Equipar!B:B=4)*(Equipar!AC:AC=A596)),""),"")</f>
        <v/>
      </c>
    </row>
    <row r="597" spans="1:10" x14ac:dyDescent="0.25">
      <c r="A597" s="3" t="str">
        <f ca="1">IF(A596="ID",1,IF(ISBLANK(B597),"",MAX(A$2:A596)+1))</f>
        <v/>
      </c>
      <c r="I597" s="2" t="str">
        <f ca="1">IF(ISNUMBER(A597),
IF(COUNTIFS(Equipar!B:B,4,Equipar!AC:AC,A597),"Equipada",
IF(
  OR(COUNTIFS(Equipar!B:B,4,Equipar!C:C,A597)
 +COUNTIFS(Equipar!B:B,4,Equipar!D:D,A597)
+COUNTIFS(Equipar!B:B,4,Equipar!E:E,A597)
+COUNTIFS(Equipar!B:B,4,Equipar!F:F,A597)
&gt;0,COUNTIF('Set recomendado'!B:B,C597)=0),
"Bloqueada",
"Desechable")),""
)</f>
        <v/>
      </c>
      <c r="J597" t="str" cm="1">
        <f t="array" aca="1" ref="J597" ca="1">IF(ISNUMBER(A597),IFERROR(_xlfn._xlws.FILTER(Equipar!A:A,(Equipar!B:B=4)*(Equipar!AC:AC=A597)),""),"")</f>
        <v/>
      </c>
    </row>
    <row r="598" spans="1:10" x14ac:dyDescent="0.25">
      <c r="A598" s="3" t="str">
        <f ca="1">IF(A597="ID",1,IF(ISBLANK(B598),"",MAX(A$2:A597)+1))</f>
        <v/>
      </c>
      <c r="I598" s="2" t="str">
        <f ca="1">IF(ISNUMBER(A598),
IF(COUNTIFS(Equipar!B:B,4,Equipar!AC:AC,A598),"Equipada",
IF(
  OR(COUNTIFS(Equipar!B:B,4,Equipar!C:C,A598)
 +COUNTIFS(Equipar!B:B,4,Equipar!D:D,A598)
+COUNTIFS(Equipar!B:B,4,Equipar!E:E,A598)
+COUNTIFS(Equipar!B:B,4,Equipar!F:F,A598)
&gt;0,COUNTIF('Set recomendado'!B:B,C598)=0),
"Bloqueada",
"Desechable")),""
)</f>
        <v/>
      </c>
      <c r="J598" t="str" cm="1">
        <f t="array" aca="1" ref="J598" ca="1">IF(ISNUMBER(A598),IFERROR(_xlfn._xlws.FILTER(Equipar!A:A,(Equipar!B:B=4)*(Equipar!AC:AC=A598)),""),"")</f>
        <v/>
      </c>
    </row>
    <row r="599" spans="1:10" x14ac:dyDescent="0.25">
      <c r="A599" s="3" t="str">
        <f ca="1">IF(A598="ID",1,IF(ISBLANK(B599),"",MAX(A$2:A598)+1))</f>
        <v/>
      </c>
      <c r="I599" s="2" t="str">
        <f ca="1">IF(ISNUMBER(A599),
IF(COUNTIFS(Equipar!B:B,4,Equipar!AC:AC,A599),"Equipada",
IF(
  OR(COUNTIFS(Equipar!B:B,4,Equipar!C:C,A599)
 +COUNTIFS(Equipar!B:B,4,Equipar!D:D,A599)
+COUNTIFS(Equipar!B:B,4,Equipar!E:E,A599)
+COUNTIFS(Equipar!B:B,4,Equipar!F:F,A599)
&gt;0,COUNTIF('Set recomendado'!B:B,C599)=0),
"Bloqueada",
"Desechable")),""
)</f>
        <v/>
      </c>
      <c r="J599" t="str" cm="1">
        <f t="array" aca="1" ref="J599" ca="1">IF(ISNUMBER(A599),IFERROR(_xlfn._xlws.FILTER(Equipar!A:A,(Equipar!B:B=4)*(Equipar!AC:AC=A599)),""),"")</f>
        <v/>
      </c>
    </row>
    <row r="600" spans="1:10" x14ac:dyDescent="0.25">
      <c r="A600" s="3" t="str">
        <f ca="1">IF(A599="ID",1,IF(ISBLANK(B600),"",MAX(A$2:A599)+1))</f>
        <v/>
      </c>
      <c r="I600" s="2" t="str">
        <f ca="1">IF(ISNUMBER(A600),
IF(COUNTIFS(Equipar!B:B,4,Equipar!AC:AC,A600),"Equipada",
IF(
  OR(COUNTIFS(Equipar!B:B,4,Equipar!C:C,A600)
 +COUNTIFS(Equipar!B:B,4,Equipar!D:D,A600)
+COUNTIFS(Equipar!B:B,4,Equipar!E:E,A600)
+COUNTIFS(Equipar!B:B,4,Equipar!F:F,A600)
&gt;0,COUNTIF('Set recomendado'!B:B,C600)=0),
"Bloqueada",
"Desechable")),""
)</f>
        <v/>
      </c>
      <c r="J600" t="str" cm="1">
        <f t="array" aca="1" ref="J600" ca="1">IF(ISNUMBER(A600),IFERROR(_xlfn._xlws.FILTER(Equipar!A:A,(Equipar!B:B=4)*(Equipar!AC:AC=A600)),""),"")</f>
        <v/>
      </c>
    </row>
    <row r="601" spans="1:10" x14ac:dyDescent="0.25">
      <c r="A601" s="3" t="str">
        <f ca="1">IF(A600="ID",1,IF(ISBLANK(B601),"",MAX(A$2:A600)+1))</f>
        <v/>
      </c>
      <c r="I601" s="2" t="str">
        <f ca="1">IF(ISNUMBER(A601),
IF(COUNTIFS(Equipar!B:B,4,Equipar!AC:AC,A601),"Equipada",
IF(
  OR(COUNTIFS(Equipar!B:B,4,Equipar!C:C,A601)
 +COUNTIFS(Equipar!B:B,4,Equipar!D:D,A601)
+COUNTIFS(Equipar!B:B,4,Equipar!E:E,A601)
+COUNTIFS(Equipar!B:B,4,Equipar!F:F,A601)
&gt;0,COUNTIF('Set recomendado'!B:B,C601)=0),
"Bloqueada",
"Desechable")),""
)</f>
        <v/>
      </c>
      <c r="J601" t="str" cm="1">
        <f t="array" aca="1" ref="J601" ca="1">IF(ISNUMBER(A601),IFERROR(_xlfn._xlws.FILTER(Equipar!A:A,(Equipar!B:B=4)*(Equipar!AC:AC=A601)),""),"")</f>
        <v/>
      </c>
    </row>
    <row r="602" spans="1:10" x14ac:dyDescent="0.25">
      <c r="A602" s="3" t="str">
        <f ca="1">IF(A601="ID",1,IF(ISBLANK(B602),"",MAX(A$2:A601)+1))</f>
        <v/>
      </c>
      <c r="I602" s="2" t="str">
        <f ca="1">IF(ISNUMBER(A602),
IF(COUNTIFS(Equipar!B:B,4,Equipar!AC:AC,A602),"Equipada",
IF(
  OR(COUNTIFS(Equipar!B:B,4,Equipar!C:C,A602)
 +COUNTIFS(Equipar!B:B,4,Equipar!D:D,A602)
+COUNTIFS(Equipar!B:B,4,Equipar!E:E,A602)
+COUNTIFS(Equipar!B:B,4,Equipar!F:F,A602)
&gt;0,COUNTIF('Set recomendado'!B:B,C602)=0),
"Bloqueada",
"Desechable")),""
)</f>
        <v/>
      </c>
      <c r="J602" t="str" cm="1">
        <f t="array" aca="1" ref="J602" ca="1">IF(ISNUMBER(A602),IFERROR(_xlfn._xlws.FILTER(Equipar!A:A,(Equipar!B:B=4)*(Equipar!AC:AC=A602)),""),"")</f>
        <v/>
      </c>
    </row>
    <row r="603" spans="1:10" x14ac:dyDescent="0.25">
      <c r="A603" s="3" t="str">
        <f ca="1">IF(A602="ID",1,IF(ISBLANK(B603),"",MAX(A$2:A602)+1))</f>
        <v/>
      </c>
      <c r="I603" s="2" t="str">
        <f ca="1">IF(ISNUMBER(A603),
IF(COUNTIFS(Equipar!B:B,4,Equipar!AC:AC,A603),"Equipada",
IF(
  OR(COUNTIFS(Equipar!B:B,4,Equipar!C:C,A603)
 +COUNTIFS(Equipar!B:B,4,Equipar!D:D,A603)
+COUNTIFS(Equipar!B:B,4,Equipar!E:E,A603)
+COUNTIFS(Equipar!B:B,4,Equipar!F:F,A603)
&gt;0,COUNTIF('Set recomendado'!B:B,C603)=0),
"Bloqueada",
"Desechable")),""
)</f>
        <v/>
      </c>
      <c r="J603" t="str" cm="1">
        <f t="array" aca="1" ref="J603" ca="1">IF(ISNUMBER(A603),IFERROR(_xlfn._xlws.FILTER(Equipar!A:A,(Equipar!B:B=4)*(Equipar!AC:AC=A603)),""),"")</f>
        <v/>
      </c>
    </row>
    <row r="604" spans="1:10" x14ac:dyDescent="0.25">
      <c r="A604" s="3" t="str">
        <f ca="1">IF(A603="ID",1,IF(ISBLANK(B604),"",MAX(A$2:A603)+1))</f>
        <v/>
      </c>
      <c r="I604" s="2" t="str">
        <f ca="1">IF(ISNUMBER(A604),
IF(COUNTIFS(Equipar!B:B,4,Equipar!AC:AC,A604),"Equipada",
IF(
  OR(COUNTIFS(Equipar!B:B,4,Equipar!C:C,A604)
 +COUNTIFS(Equipar!B:B,4,Equipar!D:D,A604)
+COUNTIFS(Equipar!B:B,4,Equipar!E:E,A604)
+COUNTIFS(Equipar!B:B,4,Equipar!F:F,A604)
&gt;0,COUNTIF('Set recomendado'!B:B,C604)=0),
"Bloqueada",
"Desechable")),""
)</f>
        <v/>
      </c>
      <c r="J604" t="str" cm="1">
        <f t="array" aca="1" ref="J604" ca="1">IF(ISNUMBER(A604),IFERROR(_xlfn._xlws.FILTER(Equipar!A:A,(Equipar!B:B=4)*(Equipar!AC:AC=A604)),""),"")</f>
        <v/>
      </c>
    </row>
    <row r="605" spans="1:10" x14ac:dyDescent="0.25">
      <c r="A605" s="3" t="str">
        <f ca="1">IF(A604="ID",1,IF(ISBLANK(B605),"",MAX(A$2:A604)+1))</f>
        <v/>
      </c>
      <c r="I605" s="2" t="str">
        <f ca="1">IF(ISNUMBER(A605),
IF(COUNTIFS(Equipar!B:B,4,Equipar!AC:AC,A605),"Equipada",
IF(
  OR(COUNTIFS(Equipar!B:B,4,Equipar!C:C,A605)
 +COUNTIFS(Equipar!B:B,4,Equipar!D:D,A605)
+COUNTIFS(Equipar!B:B,4,Equipar!E:E,A605)
+COUNTIFS(Equipar!B:B,4,Equipar!F:F,A605)
&gt;0,COUNTIF('Set recomendado'!B:B,C605)=0),
"Bloqueada",
"Desechable")),""
)</f>
        <v/>
      </c>
      <c r="J605" t="str" cm="1">
        <f t="array" aca="1" ref="J605" ca="1">IF(ISNUMBER(A605),IFERROR(_xlfn._xlws.FILTER(Equipar!A:A,(Equipar!B:B=4)*(Equipar!AC:AC=A605)),""),"")</f>
        <v/>
      </c>
    </row>
    <row r="606" spans="1:10" x14ac:dyDescent="0.25">
      <c r="A606" s="3" t="str">
        <f ca="1">IF(A605="ID",1,IF(ISBLANK(B606),"",MAX(A$2:A605)+1))</f>
        <v/>
      </c>
      <c r="I606" s="2" t="str">
        <f ca="1">IF(ISNUMBER(A606),
IF(COUNTIFS(Equipar!B:B,4,Equipar!AC:AC,A606),"Equipada",
IF(
  OR(COUNTIFS(Equipar!B:B,4,Equipar!C:C,A606)
 +COUNTIFS(Equipar!B:B,4,Equipar!D:D,A606)
+COUNTIFS(Equipar!B:B,4,Equipar!E:E,A606)
+COUNTIFS(Equipar!B:B,4,Equipar!F:F,A606)
&gt;0,COUNTIF('Set recomendado'!B:B,C606)=0),
"Bloqueada",
"Desechable")),""
)</f>
        <v/>
      </c>
      <c r="J606" t="str" cm="1">
        <f t="array" aca="1" ref="J606" ca="1">IF(ISNUMBER(A606),IFERROR(_xlfn._xlws.FILTER(Equipar!A:A,(Equipar!B:B=4)*(Equipar!AC:AC=A606)),""),"")</f>
        <v/>
      </c>
    </row>
    <row r="607" spans="1:10" x14ac:dyDescent="0.25">
      <c r="A607" s="3" t="str">
        <f ca="1">IF(A606="ID",1,IF(ISBLANK(B607),"",MAX(A$2:A606)+1))</f>
        <v/>
      </c>
      <c r="I607" s="2" t="str">
        <f ca="1">IF(ISNUMBER(A607),
IF(COUNTIFS(Equipar!B:B,4,Equipar!AC:AC,A607),"Equipada",
IF(
  OR(COUNTIFS(Equipar!B:B,4,Equipar!C:C,A607)
 +COUNTIFS(Equipar!B:B,4,Equipar!D:D,A607)
+COUNTIFS(Equipar!B:B,4,Equipar!E:E,A607)
+COUNTIFS(Equipar!B:B,4,Equipar!F:F,A607)
&gt;0,COUNTIF('Set recomendado'!B:B,C607)=0),
"Bloqueada",
"Desechable")),""
)</f>
        <v/>
      </c>
      <c r="J607" t="str" cm="1">
        <f t="array" aca="1" ref="J607" ca="1">IF(ISNUMBER(A607),IFERROR(_xlfn._xlws.FILTER(Equipar!A:A,(Equipar!B:B=4)*(Equipar!AC:AC=A607)),""),"")</f>
        <v/>
      </c>
    </row>
    <row r="608" spans="1:10" x14ac:dyDescent="0.25">
      <c r="A608" s="3" t="str">
        <f ca="1">IF(A607="ID",1,IF(ISBLANK(B608),"",MAX(A$2:A607)+1))</f>
        <v/>
      </c>
      <c r="I608" s="2" t="str">
        <f ca="1">IF(ISNUMBER(A608),
IF(COUNTIFS(Equipar!B:B,4,Equipar!AC:AC,A608),"Equipada",
IF(
  OR(COUNTIFS(Equipar!B:B,4,Equipar!C:C,A608)
 +COUNTIFS(Equipar!B:B,4,Equipar!D:D,A608)
+COUNTIFS(Equipar!B:B,4,Equipar!E:E,A608)
+COUNTIFS(Equipar!B:B,4,Equipar!F:F,A608)
&gt;0,COUNTIF('Set recomendado'!B:B,C608)=0),
"Bloqueada",
"Desechable")),""
)</f>
        <v/>
      </c>
      <c r="J608" t="str" cm="1">
        <f t="array" aca="1" ref="J608" ca="1">IF(ISNUMBER(A608),IFERROR(_xlfn._xlws.FILTER(Equipar!A:A,(Equipar!B:B=4)*(Equipar!AC:AC=A608)),""),"")</f>
        <v/>
      </c>
    </row>
    <row r="609" spans="1:10" x14ac:dyDescent="0.25">
      <c r="A609" s="3" t="str">
        <f ca="1">IF(A608="ID",1,IF(ISBLANK(B609),"",MAX(A$2:A608)+1))</f>
        <v/>
      </c>
      <c r="I609" s="2" t="str">
        <f ca="1">IF(ISNUMBER(A609),
IF(COUNTIFS(Equipar!B:B,4,Equipar!AC:AC,A609),"Equipada",
IF(
  OR(COUNTIFS(Equipar!B:B,4,Equipar!C:C,A609)
 +COUNTIFS(Equipar!B:B,4,Equipar!D:D,A609)
+COUNTIFS(Equipar!B:B,4,Equipar!E:E,A609)
+COUNTIFS(Equipar!B:B,4,Equipar!F:F,A609)
&gt;0,COUNTIF('Set recomendado'!B:B,C609)=0),
"Bloqueada",
"Desechable")),""
)</f>
        <v/>
      </c>
      <c r="J609" t="str" cm="1">
        <f t="array" aca="1" ref="J609" ca="1">IF(ISNUMBER(A609),IFERROR(_xlfn._xlws.FILTER(Equipar!A:A,(Equipar!B:B=4)*(Equipar!AC:AC=A609)),""),"")</f>
        <v/>
      </c>
    </row>
    <row r="610" spans="1:10" x14ac:dyDescent="0.25">
      <c r="A610" s="3" t="str">
        <f ca="1">IF(A609="ID",1,IF(ISBLANK(B610),"",MAX(A$2:A609)+1))</f>
        <v/>
      </c>
      <c r="I610" s="2" t="str">
        <f ca="1">IF(ISNUMBER(A610),
IF(COUNTIFS(Equipar!B:B,4,Equipar!AC:AC,A610),"Equipada",
IF(
  OR(COUNTIFS(Equipar!B:B,4,Equipar!C:C,A610)
 +COUNTIFS(Equipar!B:B,4,Equipar!D:D,A610)
+COUNTIFS(Equipar!B:B,4,Equipar!E:E,A610)
+COUNTIFS(Equipar!B:B,4,Equipar!F:F,A610)
&gt;0,COUNTIF('Set recomendado'!B:B,C610)=0),
"Bloqueada",
"Desechable")),""
)</f>
        <v/>
      </c>
      <c r="J610" t="str" cm="1">
        <f t="array" aca="1" ref="J610" ca="1">IF(ISNUMBER(A610),IFERROR(_xlfn._xlws.FILTER(Equipar!A:A,(Equipar!B:B=4)*(Equipar!AC:AC=A610)),""),"")</f>
        <v/>
      </c>
    </row>
    <row r="611" spans="1:10" x14ac:dyDescent="0.25">
      <c r="A611" s="3" t="str">
        <f ca="1">IF(A610="ID",1,IF(ISBLANK(B611),"",MAX(A$2:A610)+1))</f>
        <v/>
      </c>
      <c r="I611" s="2" t="str">
        <f ca="1">IF(ISNUMBER(A611),
IF(COUNTIFS(Equipar!B:B,4,Equipar!AC:AC,A611),"Equipada",
IF(
  OR(COUNTIFS(Equipar!B:B,4,Equipar!C:C,A611)
 +COUNTIFS(Equipar!B:B,4,Equipar!D:D,A611)
+COUNTIFS(Equipar!B:B,4,Equipar!E:E,A611)
+COUNTIFS(Equipar!B:B,4,Equipar!F:F,A611)
&gt;0,COUNTIF('Set recomendado'!B:B,C611)=0),
"Bloqueada",
"Desechable")),""
)</f>
        <v/>
      </c>
      <c r="J611" t="str" cm="1">
        <f t="array" aca="1" ref="J611" ca="1">IF(ISNUMBER(A611),IFERROR(_xlfn._xlws.FILTER(Equipar!A:A,(Equipar!B:B=4)*(Equipar!AC:AC=A611)),""),"")</f>
        <v/>
      </c>
    </row>
    <row r="612" spans="1:10" x14ac:dyDescent="0.25">
      <c r="A612" s="3" t="str">
        <f ca="1">IF(A611="ID",1,IF(ISBLANK(B612),"",MAX(A$2:A611)+1))</f>
        <v/>
      </c>
      <c r="I612" s="2" t="str">
        <f ca="1">IF(ISNUMBER(A612),
IF(COUNTIFS(Equipar!B:B,4,Equipar!AC:AC,A612),"Equipada",
IF(
  OR(COUNTIFS(Equipar!B:B,4,Equipar!C:C,A612)
 +COUNTIFS(Equipar!B:B,4,Equipar!D:D,A612)
+COUNTIFS(Equipar!B:B,4,Equipar!E:E,A612)
+COUNTIFS(Equipar!B:B,4,Equipar!F:F,A612)
&gt;0,COUNTIF('Set recomendado'!B:B,C612)=0),
"Bloqueada",
"Desechable")),""
)</f>
        <v/>
      </c>
      <c r="J612" t="str" cm="1">
        <f t="array" aca="1" ref="J612" ca="1">IF(ISNUMBER(A612),IFERROR(_xlfn._xlws.FILTER(Equipar!A:A,(Equipar!B:B=4)*(Equipar!AC:AC=A612)),""),"")</f>
        <v/>
      </c>
    </row>
    <row r="613" spans="1:10" x14ac:dyDescent="0.25">
      <c r="A613" s="3" t="str">
        <f ca="1">IF(A612="ID",1,IF(ISBLANK(B613),"",MAX(A$2:A612)+1))</f>
        <v/>
      </c>
      <c r="I613" s="2" t="str">
        <f ca="1">IF(ISNUMBER(A613),
IF(COUNTIFS(Equipar!B:B,4,Equipar!AC:AC,A613),"Equipada",
IF(
  OR(COUNTIFS(Equipar!B:B,4,Equipar!C:C,A613)
 +COUNTIFS(Equipar!B:B,4,Equipar!D:D,A613)
+COUNTIFS(Equipar!B:B,4,Equipar!E:E,A613)
+COUNTIFS(Equipar!B:B,4,Equipar!F:F,A613)
&gt;0,COUNTIF('Set recomendado'!B:B,C613)=0),
"Bloqueada",
"Desechable")),""
)</f>
        <v/>
      </c>
      <c r="J613" t="str" cm="1">
        <f t="array" aca="1" ref="J613" ca="1">IF(ISNUMBER(A613),IFERROR(_xlfn._xlws.FILTER(Equipar!A:A,(Equipar!B:B=4)*(Equipar!AC:AC=A613)),""),"")</f>
        <v/>
      </c>
    </row>
    <row r="614" spans="1:10" x14ac:dyDescent="0.25">
      <c r="A614" s="3" t="str">
        <f ca="1">IF(A613="ID",1,IF(ISBLANK(B614),"",MAX(A$2:A613)+1))</f>
        <v/>
      </c>
      <c r="I614" s="2" t="str">
        <f ca="1">IF(ISNUMBER(A614),
IF(COUNTIFS(Equipar!B:B,4,Equipar!AC:AC,A614),"Equipada",
IF(
  OR(COUNTIFS(Equipar!B:B,4,Equipar!C:C,A614)
 +COUNTIFS(Equipar!B:B,4,Equipar!D:D,A614)
+COUNTIFS(Equipar!B:B,4,Equipar!E:E,A614)
+COUNTIFS(Equipar!B:B,4,Equipar!F:F,A614)
&gt;0,COUNTIF('Set recomendado'!B:B,C614)=0),
"Bloqueada",
"Desechable")),""
)</f>
        <v/>
      </c>
      <c r="J614" t="str" cm="1">
        <f t="array" aca="1" ref="J614" ca="1">IF(ISNUMBER(A614),IFERROR(_xlfn._xlws.FILTER(Equipar!A:A,(Equipar!B:B=4)*(Equipar!AC:AC=A614)),""),"")</f>
        <v/>
      </c>
    </row>
    <row r="615" spans="1:10" x14ac:dyDescent="0.25">
      <c r="A615" s="3" t="str">
        <f ca="1">IF(A614="ID",1,IF(ISBLANK(B615),"",MAX(A$2:A614)+1))</f>
        <v/>
      </c>
      <c r="I615" s="2" t="str">
        <f ca="1">IF(ISNUMBER(A615),
IF(COUNTIFS(Equipar!B:B,4,Equipar!AC:AC,A615),"Equipada",
IF(
  OR(COUNTIFS(Equipar!B:B,4,Equipar!C:C,A615)
 +COUNTIFS(Equipar!B:B,4,Equipar!D:D,A615)
+COUNTIFS(Equipar!B:B,4,Equipar!E:E,A615)
+COUNTIFS(Equipar!B:B,4,Equipar!F:F,A615)
&gt;0,COUNTIF('Set recomendado'!B:B,C615)=0),
"Bloqueada",
"Desechable")),""
)</f>
        <v/>
      </c>
      <c r="J615" t="str" cm="1">
        <f t="array" aca="1" ref="J615" ca="1">IF(ISNUMBER(A615),IFERROR(_xlfn._xlws.FILTER(Equipar!A:A,(Equipar!B:B=4)*(Equipar!AC:AC=A615)),""),"")</f>
        <v/>
      </c>
    </row>
    <row r="616" spans="1:10" x14ac:dyDescent="0.25">
      <c r="A616" s="3" t="str">
        <f ca="1">IF(A615="ID",1,IF(ISBLANK(B616),"",MAX(A$2:A615)+1))</f>
        <v/>
      </c>
      <c r="I616" s="2" t="str">
        <f ca="1">IF(ISNUMBER(A616),
IF(COUNTIFS(Equipar!B:B,4,Equipar!AC:AC,A616),"Equipada",
IF(
  OR(COUNTIFS(Equipar!B:B,4,Equipar!C:C,A616)
 +COUNTIFS(Equipar!B:B,4,Equipar!D:D,A616)
+COUNTIFS(Equipar!B:B,4,Equipar!E:E,A616)
+COUNTIFS(Equipar!B:B,4,Equipar!F:F,A616)
&gt;0,COUNTIF('Set recomendado'!B:B,C616)=0),
"Bloqueada",
"Desechable")),""
)</f>
        <v/>
      </c>
      <c r="J616" t="str" cm="1">
        <f t="array" aca="1" ref="J616" ca="1">IF(ISNUMBER(A616),IFERROR(_xlfn._xlws.FILTER(Equipar!A:A,(Equipar!B:B=4)*(Equipar!AC:AC=A616)),""),"")</f>
        <v/>
      </c>
    </row>
    <row r="617" spans="1:10" x14ac:dyDescent="0.25">
      <c r="A617" s="3" t="str">
        <f ca="1">IF(A616="ID",1,IF(ISBLANK(B617),"",MAX(A$2:A616)+1))</f>
        <v/>
      </c>
      <c r="I617" s="2" t="str">
        <f ca="1">IF(ISNUMBER(A617),
IF(COUNTIFS(Equipar!B:B,4,Equipar!AC:AC,A617),"Equipada",
IF(
  OR(COUNTIFS(Equipar!B:B,4,Equipar!C:C,A617)
 +COUNTIFS(Equipar!B:B,4,Equipar!D:D,A617)
+COUNTIFS(Equipar!B:B,4,Equipar!E:E,A617)
+COUNTIFS(Equipar!B:B,4,Equipar!F:F,A617)
&gt;0,COUNTIF('Set recomendado'!B:B,C617)=0),
"Bloqueada",
"Desechable")),""
)</f>
        <v/>
      </c>
      <c r="J617" t="str" cm="1">
        <f t="array" aca="1" ref="J617" ca="1">IF(ISNUMBER(A617),IFERROR(_xlfn._xlws.FILTER(Equipar!A:A,(Equipar!B:B=4)*(Equipar!AC:AC=A617)),""),"")</f>
        <v/>
      </c>
    </row>
    <row r="618" spans="1:10" x14ac:dyDescent="0.25">
      <c r="A618" s="3" t="str">
        <f ca="1">IF(A617="ID",1,IF(ISBLANK(B618),"",MAX(A$2:A617)+1))</f>
        <v/>
      </c>
      <c r="I618" s="2" t="str">
        <f ca="1">IF(ISNUMBER(A618),
IF(COUNTIFS(Equipar!B:B,4,Equipar!AC:AC,A618),"Equipada",
IF(
  OR(COUNTIFS(Equipar!B:B,4,Equipar!C:C,A618)
 +COUNTIFS(Equipar!B:B,4,Equipar!D:D,A618)
+COUNTIFS(Equipar!B:B,4,Equipar!E:E,A618)
+COUNTIFS(Equipar!B:B,4,Equipar!F:F,A618)
&gt;0,COUNTIF('Set recomendado'!B:B,C618)=0),
"Bloqueada",
"Desechable")),""
)</f>
        <v/>
      </c>
      <c r="J618" t="str" cm="1">
        <f t="array" aca="1" ref="J618" ca="1">IF(ISNUMBER(A618),IFERROR(_xlfn._xlws.FILTER(Equipar!A:A,(Equipar!B:B=4)*(Equipar!AC:AC=A618)),""),"")</f>
        <v/>
      </c>
    </row>
    <row r="619" spans="1:10" x14ac:dyDescent="0.25">
      <c r="A619" s="3" t="str">
        <f ca="1">IF(A618="ID",1,IF(ISBLANK(B619),"",MAX(A$2:A618)+1))</f>
        <v/>
      </c>
      <c r="I619" s="2" t="str">
        <f ca="1">IF(ISNUMBER(A619),
IF(COUNTIFS(Equipar!B:B,4,Equipar!AC:AC,A619),"Equipada",
IF(
  OR(COUNTIFS(Equipar!B:B,4,Equipar!C:C,A619)
 +COUNTIFS(Equipar!B:B,4,Equipar!D:D,A619)
+COUNTIFS(Equipar!B:B,4,Equipar!E:E,A619)
+COUNTIFS(Equipar!B:B,4,Equipar!F:F,A619)
&gt;0,COUNTIF('Set recomendado'!B:B,C619)=0),
"Bloqueada",
"Desechable")),""
)</f>
        <v/>
      </c>
      <c r="J619" t="str" cm="1">
        <f t="array" aca="1" ref="J619" ca="1">IF(ISNUMBER(A619),IFERROR(_xlfn._xlws.FILTER(Equipar!A:A,(Equipar!B:B=4)*(Equipar!AC:AC=A619)),""),"")</f>
        <v/>
      </c>
    </row>
    <row r="620" spans="1:10" x14ac:dyDescent="0.25">
      <c r="A620" s="3" t="str">
        <f ca="1">IF(A619="ID",1,IF(ISBLANK(B620),"",MAX(A$2:A619)+1))</f>
        <v/>
      </c>
      <c r="I620" s="2" t="str">
        <f ca="1">IF(ISNUMBER(A620),
IF(COUNTIFS(Equipar!B:B,4,Equipar!AC:AC,A620),"Equipada",
IF(
  OR(COUNTIFS(Equipar!B:B,4,Equipar!C:C,A620)
 +COUNTIFS(Equipar!B:B,4,Equipar!D:D,A620)
+COUNTIFS(Equipar!B:B,4,Equipar!E:E,A620)
+COUNTIFS(Equipar!B:B,4,Equipar!F:F,A620)
&gt;0,COUNTIF('Set recomendado'!B:B,C620)=0),
"Bloqueada",
"Desechable")),""
)</f>
        <v/>
      </c>
      <c r="J620" t="str" cm="1">
        <f t="array" aca="1" ref="J620" ca="1">IF(ISNUMBER(A620),IFERROR(_xlfn._xlws.FILTER(Equipar!A:A,(Equipar!B:B=4)*(Equipar!AC:AC=A620)),""),"")</f>
        <v/>
      </c>
    </row>
    <row r="621" spans="1:10" x14ac:dyDescent="0.25">
      <c r="A621" s="3" t="str">
        <f ca="1">IF(A620="ID",1,IF(ISBLANK(B621),"",MAX(A$2:A620)+1))</f>
        <v/>
      </c>
      <c r="I621" s="2" t="str">
        <f ca="1">IF(ISNUMBER(A621),
IF(COUNTIFS(Equipar!B:B,4,Equipar!AC:AC,A621),"Equipada",
IF(
  OR(COUNTIFS(Equipar!B:B,4,Equipar!C:C,A621)
 +COUNTIFS(Equipar!B:B,4,Equipar!D:D,A621)
+COUNTIFS(Equipar!B:B,4,Equipar!E:E,A621)
+COUNTIFS(Equipar!B:B,4,Equipar!F:F,A621)
&gt;0,COUNTIF('Set recomendado'!B:B,C621)=0),
"Bloqueada",
"Desechable")),""
)</f>
        <v/>
      </c>
      <c r="J621" t="str" cm="1">
        <f t="array" aca="1" ref="J621" ca="1">IF(ISNUMBER(A621),IFERROR(_xlfn._xlws.FILTER(Equipar!A:A,(Equipar!B:B=4)*(Equipar!AC:AC=A621)),""),"")</f>
        <v/>
      </c>
    </row>
    <row r="622" spans="1:10" x14ac:dyDescent="0.25">
      <c r="A622" s="3" t="str">
        <f ca="1">IF(A621="ID",1,IF(ISBLANK(B622),"",MAX(A$2:A621)+1))</f>
        <v/>
      </c>
      <c r="I622" s="2" t="str">
        <f ca="1">IF(ISNUMBER(A622),
IF(COUNTIFS(Equipar!B:B,4,Equipar!AC:AC,A622),"Equipada",
IF(
  OR(COUNTIFS(Equipar!B:B,4,Equipar!C:C,A622)
 +COUNTIFS(Equipar!B:B,4,Equipar!D:D,A622)
+COUNTIFS(Equipar!B:B,4,Equipar!E:E,A622)
+COUNTIFS(Equipar!B:B,4,Equipar!F:F,A622)
&gt;0,COUNTIF('Set recomendado'!B:B,C622)=0),
"Bloqueada",
"Desechable")),""
)</f>
        <v/>
      </c>
      <c r="J622" t="str" cm="1">
        <f t="array" aca="1" ref="J622" ca="1">IF(ISNUMBER(A622),IFERROR(_xlfn._xlws.FILTER(Equipar!A:A,(Equipar!B:B=4)*(Equipar!AC:AC=A622)),""),"")</f>
        <v/>
      </c>
    </row>
    <row r="623" spans="1:10" x14ac:dyDescent="0.25">
      <c r="A623" s="3" t="str">
        <f ca="1">IF(A622="ID",1,IF(ISBLANK(B623),"",MAX(A$2:A622)+1))</f>
        <v/>
      </c>
      <c r="I623" s="2" t="str">
        <f ca="1">IF(ISNUMBER(A623),
IF(COUNTIFS(Equipar!B:B,4,Equipar!AC:AC,A623),"Equipada",
IF(
  OR(COUNTIFS(Equipar!B:B,4,Equipar!C:C,A623)
 +COUNTIFS(Equipar!B:B,4,Equipar!D:D,A623)
+COUNTIFS(Equipar!B:B,4,Equipar!E:E,A623)
+COUNTIFS(Equipar!B:B,4,Equipar!F:F,A623)
&gt;0,COUNTIF('Set recomendado'!B:B,C623)=0),
"Bloqueada",
"Desechable")),""
)</f>
        <v/>
      </c>
      <c r="J623" t="str" cm="1">
        <f t="array" aca="1" ref="J623" ca="1">IF(ISNUMBER(A623),IFERROR(_xlfn._xlws.FILTER(Equipar!A:A,(Equipar!B:B=4)*(Equipar!AC:AC=A623)),""),"")</f>
        <v/>
      </c>
    </row>
    <row r="624" spans="1:10" x14ac:dyDescent="0.25">
      <c r="A624" s="3" t="str">
        <f ca="1">IF(A623="ID",1,IF(ISBLANK(B624),"",MAX(A$2:A623)+1))</f>
        <v/>
      </c>
      <c r="I624" s="2" t="str">
        <f ca="1">IF(ISNUMBER(A624),
IF(COUNTIFS(Equipar!B:B,4,Equipar!AC:AC,A624),"Equipada",
IF(
  OR(COUNTIFS(Equipar!B:B,4,Equipar!C:C,A624)
 +COUNTIFS(Equipar!B:B,4,Equipar!D:D,A624)
+COUNTIFS(Equipar!B:B,4,Equipar!E:E,A624)
+COUNTIFS(Equipar!B:B,4,Equipar!F:F,A624)
&gt;0,COUNTIF('Set recomendado'!B:B,C624)=0),
"Bloqueada",
"Desechable")),""
)</f>
        <v/>
      </c>
      <c r="J624" t="str" cm="1">
        <f t="array" aca="1" ref="J624" ca="1">IF(ISNUMBER(A624),IFERROR(_xlfn._xlws.FILTER(Equipar!A:A,(Equipar!B:B=4)*(Equipar!AC:AC=A624)),""),"")</f>
        <v/>
      </c>
    </row>
    <row r="625" spans="1:10" x14ac:dyDescent="0.25">
      <c r="A625" s="3" t="str">
        <f ca="1">IF(A624="ID",1,IF(ISBLANK(B625),"",MAX(A$2:A624)+1))</f>
        <v/>
      </c>
      <c r="I625" s="2" t="str">
        <f ca="1">IF(ISNUMBER(A625),
IF(COUNTIFS(Equipar!B:B,4,Equipar!AC:AC,A625),"Equipada",
IF(
  OR(COUNTIFS(Equipar!B:B,4,Equipar!C:C,A625)
 +COUNTIFS(Equipar!B:B,4,Equipar!D:D,A625)
+COUNTIFS(Equipar!B:B,4,Equipar!E:E,A625)
+COUNTIFS(Equipar!B:B,4,Equipar!F:F,A625)
&gt;0,COUNTIF('Set recomendado'!B:B,C625)=0),
"Bloqueada",
"Desechable")),""
)</f>
        <v/>
      </c>
      <c r="J625" t="str" cm="1">
        <f t="array" aca="1" ref="J625" ca="1">IF(ISNUMBER(A625),IFERROR(_xlfn._xlws.FILTER(Equipar!A:A,(Equipar!B:B=4)*(Equipar!AC:AC=A625)),""),"")</f>
        <v/>
      </c>
    </row>
    <row r="626" spans="1:10" x14ac:dyDescent="0.25">
      <c r="A626" s="3" t="str">
        <f ca="1">IF(A625="ID",1,IF(ISBLANK(B626),"",MAX(A$2:A625)+1))</f>
        <v/>
      </c>
      <c r="I626" s="2" t="str">
        <f ca="1">IF(ISNUMBER(A626),
IF(COUNTIFS(Equipar!B:B,4,Equipar!AC:AC,A626),"Equipada",
IF(
  OR(COUNTIFS(Equipar!B:B,4,Equipar!C:C,A626)
 +COUNTIFS(Equipar!B:B,4,Equipar!D:D,A626)
+COUNTIFS(Equipar!B:B,4,Equipar!E:E,A626)
+COUNTIFS(Equipar!B:B,4,Equipar!F:F,A626)
&gt;0,COUNTIF('Set recomendado'!B:B,C626)=0),
"Bloqueada",
"Desechable")),""
)</f>
        <v/>
      </c>
      <c r="J626" t="str" cm="1">
        <f t="array" aca="1" ref="J626" ca="1">IF(ISNUMBER(A626),IFERROR(_xlfn._xlws.FILTER(Equipar!A:A,(Equipar!B:B=4)*(Equipar!AC:AC=A626)),""),"")</f>
        <v/>
      </c>
    </row>
    <row r="627" spans="1:10" x14ac:dyDescent="0.25">
      <c r="A627" s="3" t="str">
        <f ca="1">IF(A626="ID",1,IF(ISBLANK(B627),"",MAX(A$2:A626)+1))</f>
        <v/>
      </c>
      <c r="I627" s="2" t="str">
        <f ca="1">IF(ISNUMBER(A627),
IF(COUNTIFS(Equipar!B:B,4,Equipar!AC:AC,A627),"Equipada",
IF(
  OR(COUNTIFS(Equipar!B:B,4,Equipar!C:C,A627)
 +COUNTIFS(Equipar!B:B,4,Equipar!D:D,A627)
+COUNTIFS(Equipar!B:B,4,Equipar!E:E,A627)
+COUNTIFS(Equipar!B:B,4,Equipar!F:F,A627)
&gt;0,COUNTIF('Set recomendado'!B:B,C627)=0),
"Bloqueada",
"Desechable")),""
)</f>
        <v/>
      </c>
      <c r="J627" t="str" cm="1">
        <f t="array" aca="1" ref="J627" ca="1">IF(ISNUMBER(A627),IFERROR(_xlfn._xlws.FILTER(Equipar!A:A,(Equipar!B:B=4)*(Equipar!AC:AC=A627)),""),"")</f>
        <v/>
      </c>
    </row>
    <row r="628" spans="1:10" x14ac:dyDescent="0.25">
      <c r="A628" s="3" t="str">
        <f ca="1">IF(A627="ID",1,IF(ISBLANK(B628),"",MAX(A$2:A627)+1))</f>
        <v/>
      </c>
      <c r="I628" s="2" t="str">
        <f ca="1">IF(ISNUMBER(A628),
IF(COUNTIFS(Equipar!B:B,4,Equipar!AC:AC,A628),"Equipada",
IF(
  OR(COUNTIFS(Equipar!B:B,4,Equipar!C:C,A628)
 +COUNTIFS(Equipar!B:B,4,Equipar!D:D,A628)
+COUNTIFS(Equipar!B:B,4,Equipar!E:E,A628)
+COUNTIFS(Equipar!B:B,4,Equipar!F:F,A628)
&gt;0,COUNTIF('Set recomendado'!B:B,C628)=0),
"Bloqueada",
"Desechable")),""
)</f>
        <v/>
      </c>
      <c r="J628" t="str" cm="1">
        <f t="array" aca="1" ref="J628" ca="1">IF(ISNUMBER(A628),IFERROR(_xlfn._xlws.FILTER(Equipar!A:A,(Equipar!B:B=4)*(Equipar!AC:AC=A628)),""),"")</f>
        <v/>
      </c>
    </row>
    <row r="629" spans="1:10" x14ac:dyDescent="0.25">
      <c r="A629" s="3" t="str">
        <f ca="1">IF(A628="ID",1,IF(ISBLANK(B629),"",MAX(A$2:A628)+1))</f>
        <v/>
      </c>
      <c r="I629" s="2" t="str">
        <f ca="1">IF(ISNUMBER(A629),
IF(COUNTIFS(Equipar!B:B,4,Equipar!AC:AC,A629),"Equipada",
IF(
  OR(COUNTIFS(Equipar!B:B,4,Equipar!C:C,A629)
 +COUNTIFS(Equipar!B:B,4,Equipar!D:D,A629)
+COUNTIFS(Equipar!B:B,4,Equipar!E:E,A629)
+COUNTIFS(Equipar!B:B,4,Equipar!F:F,A629)
&gt;0,COUNTIF('Set recomendado'!B:B,C629)=0),
"Bloqueada",
"Desechable")),""
)</f>
        <v/>
      </c>
      <c r="J629" t="str" cm="1">
        <f t="array" aca="1" ref="J629" ca="1">IF(ISNUMBER(A629),IFERROR(_xlfn._xlws.FILTER(Equipar!A:A,(Equipar!B:B=4)*(Equipar!AC:AC=A629)),""),"")</f>
        <v/>
      </c>
    </row>
    <row r="630" spans="1:10" x14ac:dyDescent="0.25">
      <c r="A630" s="3" t="str">
        <f ca="1">IF(A629="ID",1,IF(ISBLANK(B630),"",MAX(A$2:A629)+1))</f>
        <v/>
      </c>
      <c r="I630" s="2" t="str">
        <f ca="1">IF(ISNUMBER(A630),
IF(COUNTIFS(Equipar!B:B,4,Equipar!AC:AC,A630),"Equipada",
IF(
  OR(COUNTIFS(Equipar!B:B,4,Equipar!C:C,A630)
 +COUNTIFS(Equipar!B:B,4,Equipar!D:D,A630)
+COUNTIFS(Equipar!B:B,4,Equipar!E:E,A630)
+COUNTIFS(Equipar!B:B,4,Equipar!F:F,A630)
&gt;0,COUNTIF('Set recomendado'!B:B,C630)=0),
"Bloqueada",
"Desechable")),""
)</f>
        <v/>
      </c>
      <c r="J630" t="str" cm="1">
        <f t="array" aca="1" ref="J630" ca="1">IF(ISNUMBER(A630),IFERROR(_xlfn._xlws.FILTER(Equipar!A:A,(Equipar!B:B=4)*(Equipar!AC:AC=A630)),""),"")</f>
        <v/>
      </c>
    </row>
    <row r="631" spans="1:10" x14ac:dyDescent="0.25">
      <c r="A631" s="3" t="str">
        <f ca="1">IF(A630="ID",1,IF(ISBLANK(B631),"",MAX(A$2:A630)+1))</f>
        <v/>
      </c>
      <c r="I631" s="2" t="str">
        <f ca="1">IF(ISNUMBER(A631),
IF(COUNTIFS(Equipar!B:B,4,Equipar!AC:AC,A631),"Equipada",
IF(
  OR(COUNTIFS(Equipar!B:B,4,Equipar!C:C,A631)
 +COUNTIFS(Equipar!B:B,4,Equipar!D:D,A631)
+COUNTIFS(Equipar!B:B,4,Equipar!E:E,A631)
+COUNTIFS(Equipar!B:B,4,Equipar!F:F,A631)
&gt;0,COUNTIF('Set recomendado'!B:B,C631)=0),
"Bloqueada",
"Desechable")),""
)</f>
        <v/>
      </c>
      <c r="J631" t="str" cm="1">
        <f t="array" aca="1" ref="J631" ca="1">IF(ISNUMBER(A631),IFERROR(_xlfn._xlws.FILTER(Equipar!A:A,(Equipar!B:B=4)*(Equipar!AC:AC=A631)),""),"")</f>
        <v/>
      </c>
    </row>
    <row r="632" spans="1:10" x14ac:dyDescent="0.25">
      <c r="A632" s="3" t="str">
        <f ca="1">IF(A631="ID",1,IF(ISBLANK(B632),"",MAX(A$2:A631)+1))</f>
        <v/>
      </c>
      <c r="I632" s="2" t="str">
        <f ca="1">IF(ISNUMBER(A632),
IF(COUNTIFS(Equipar!B:B,4,Equipar!AC:AC,A632),"Equipada",
IF(
  OR(COUNTIFS(Equipar!B:B,4,Equipar!C:C,A632)
 +COUNTIFS(Equipar!B:B,4,Equipar!D:D,A632)
+COUNTIFS(Equipar!B:B,4,Equipar!E:E,A632)
+COUNTIFS(Equipar!B:B,4,Equipar!F:F,A632)
&gt;0,COUNTIF('Set recomendado'!B:B,C632)=0),
"Bloqueada",
"Desechable")),""
)</f>
        <v/>
      </c>
      <c r="J632" t="str" cm="1">
        <f t="array" aca="1" ref="J632" ca="1">IF(ISNUMBER(A632),IFERROR(_xlfn._xlws.FILTER(Equipar!A:A,(Equipar!B:B=4)*(Equipar!AC:AC=A632)),""),"")</f>
        <v/>
      </c>
    </row>
    <row r="633" spans="1:10" x14ac:dyDescent="0.25">
      <c r="A633" s="3" t="str">
        <f ca="1">IF(A632="ID",1,IF(ISBLANK(B633),"",MAX(A$2:A632)+1))</f>
        <v/>
      </c>
      <c r="I633" s="2" t="str">
        <f ca="1">IF(ISNUMBER(A633),
IF(COUNTIFS(Equipar!B:B,4,Equipar!AC:AC,A633),"Equipada",
IF(
  OR(COUNTIFS(Equipar!B:B,4,Equipar!C:C,A633)
 +COUNTIFS(Equipar!B:B,4,Equipar!D:D,A633)
+COUNTIFS(Equipar!B:B,4,Equipar!E:E,A633)
+COUNTIFS(Equipar!B:B,4,Equipar!F:F,A633)
&gt;0,COUNTIF('Set recomendado'!B:B,C633)=0),
"Bloqueada",
"Desechable")),""
)</f>
        <v/>
      </c>
      <c r="J633" t="str" cm="1">
        <f t="array" aca="1" ref="J633" ca="1">IF(ISNUMBER(A633),IFERROR(_xlfn._xlws.FILTER(Equipar!A:A,(Equipar!B:B=4)*(Equipar!AC:AC=A633)),""),"")</f>
        <v/>
      </c>
    </row>
    <row r="634" spans="1:10" x14ac:dyDescent="0.25">
      <c r="A634" s="3" t="str">
        <f ca="1">IF(A633="ID",1,IF(ISBLANK(B634),"",MAX(A$2:A633)+1))</f>
        <v/>
      </c>
      <c r="I634" s="2" t="str">
        <f ca="1">IF(ISNUMBER(A634),
IF(COUNTIFS(Equipar!B:B,4,Equipar!AC:AC,A634),"Equipada",
IF(
  OR(COUNTIFS(Equipar!B:B,4,Equipar!C:C,A634)
 +COUNTIFS(Equipar!B:B,4,Equipar!D:D,A634)
+COUNTIFS(Equipar!B:B,4,Equipar!E:E,A634)
+COUNTIFS(Equipar!B:B,4,Equipar!F:F,A634)
&gt;0,COUNTIF('Set recomendado'!B:B,C634)=0),
"Bloqueada",
"Desechable")),""
)</f>
        <v/>
      </c>
      <c r="J634" t="str" cm="1">
        <f t="array" aca="1" ref="J634" ca="1">IF(ISNUMBER(A634),IFERROR(_xlfn._xlws.FILTER(Equipar!A:A,(Equipar!B:B=4)*(Equipar!AC:AC=A634)),""),"")</f>
        <v/>
      </c>
    </row>
    <row r="635" spans="1:10" x14ac:dyDescent="0.25">
      <c r="A635" s="3" t="str">
        <f ca="1">IF(A634="ID",1,IF(ISBLANK(B635),"",MAX(A$2:A634)+1))</f>
        <v/>
      </c>
      <c r="I635" s="2" t="str">
        <f ca="1">IF(ISNUMBER(A635),
IF(COUNTIFS(Equipar!B:B,4,Equipar!AC:AC,A635),"Equipada",
IF(
  OR(COUNTIFS(Equipar!B:B,4,Equipar!C:C,A635)
 +COUNTIFS(Equipar!B:B,4,Equipar!D:D,A635)
+COUNTIFS(Equipar!B:B,4,Equipar!E:E,A635)
+COUNTIFS(Equipar!B:B,4,Equipar!F:F,A635)
&gt;0,COUNTIF('Set recomendado'!B:B,C635)=0),
"Bloqueada",
"Desechable")),""
)</f>
        <v/>
      </c>
      <c r="J635" t="str" cm="1">
        <f t="array" aca="1" ref="J635" ca="1">IF(ISNUMBER(A635),IFERROR(_xlfn._xlws.FILTER(Equipar!A:A,(Equipar!B:B=4)*(Equipar!AC:AC=A635)),""),"")</f>
        <v/>
      </c>
    </row>
    <row r="636" spans="1:10" x14ac:dyDescent="0.25">
      <c r="A636" s="3" t="str">
        <f ca="1">IF(A635="ID",1,IF(ISBLANK(B636),"",MAX(A$2:A635)+1))</f>
        <v/>
      </c>
      <c r="I636" s="2" t="str">
        <f ca="1">IF(ISNUMBER(A636),
IF(COUNTIFS(Equipar!B:B,4,Equipar!AC:AC,A636),"Equipada",
IF(
  OR(COUNTIFS(Equipar!B:B,4,Equipar!C:C,A636)
 +COUNTIFS(Equipar!B:B,4,Equipar!D:D,A636)
+COUNTIFS(Equipar!B:B,4,Equipar!E:E,A636)
+COUNTIFS(Equipar!B:B,4,Equipar!F:F,A636)
&gt;0,COUNTIF('Set recomendado'!B:B,C636)=0),
"Bloqueada",
"Desechable")),""
)</f>
        <v/>
      </c>
      <c r="J636" t="str" cm="1">
        <f t="array" aca="1" ref="J636" ca="1">IF(ISNUMBER(A636),IFERROR(_xlfn._xlws.FILTER(Equipar!A:A,(Equipar!B:B=4)*(Equipar!AC:AC=A636)),""),"")</f>
        <v/>
      </c>
    </row>
    <row r="637" spans="1:10" x14ac:dyDescent="0.25">
      <c r="A637" s="3" t="str">
        <f ca="1">IF(A636="ID",1,IF(ISBLANK(B637),"",MAX(A$2:A636)+1))</f>
        <v/>
      </c>
      <c r="I637" s="2" t="str">
        <f ca="1">IF(ISNUMBER(A637),
IF(COUNTIFS(Equipar!B:B,4,Equipar!AC:AC,A637),"Equipada",
IF(
  OR(COUNTIFS(Equipar!B:B,4,Equipar!C:C,A637)
 +COUNTIFS(Equipar!B:B,4,Equipar!D:D,A637)
+COUNTIFS(Equipar!B:B,4,Equipar!E:E,A637)
+COUNTIFS(Equipar!B:B,4,Equipar!F:F,A637)
&gt;0,COUNTIF('Set recomendado'!B:B,C637)=0),
"Bloqueada",
"Desechable")),""
)</f>
        <v/>
      </c>
      <c r="J637" t="str" cm="1">
        <f t="array" aca="1" ref="J637" ca="1">IF(ISNUMBER(A637),IFERROR(_xlfn._xlws.FILTER(Equipar!A:A,(Equipar!B:B=4)*(Equipar!AC:AC=A637)),""),"")</f>
        <v/>
      </c>
    </row>
    <row r="638" spans="1:10" x14ac:dyDescent="0.25">
      <c r="A638" s="3" t="str">
        <f ca="1">IF(A637="ID",1,IF(ISBLANK(B638),"",MAX(A$2:A637)+1))</f>
        <v/>
      </c>
      <c r="I638" s="2" t="str">
        <f ca="1">IF(ISNUMBER(A638),
IF(COUNTIFS(Equipar!B:B,4,Equipar!AC:AC,A638),"Equipada",
IF(
  OR(COUNTIFS(Equipar!B:B,4,Equipar!C:C,A638)
 +COUNTIFS(Equipar!B:B,4,Equipar!D:D,A638)
+COUNTIFS(Equipar!B:B,4,Equipar!E:E,A638)
+COUNTIFS(Equipar!B:B,4,Equipar!F:F,A638)
&gt;0,COUNTIF('Set recomendado'!B:B,C638)=0),
"Bloqueada",
"Desechable")),""
)</f>
        <v/>
      </c>
      <c r="J638" t="str" cm="1">
        <f t="array" aca="1" ref="J638" ca="1">IF(ISNUMBER(A638),IFERROR(_xlfn._xlws.FILTER(Equipar!A:A,(Equipar!B:B=4)*(Equipar!AC:AC=A638)),""),"")</f>
        <v/>
      </c>
    </row>
    <row r="639" spans="1:10" x14ac:dyDescent="0.25">
      <c r="A639" s="3" t="str">
        <f ca="1">IF(A638="ID",1,IF(ISBLANK(B639),"",MAX(A$2:A638)+1))</f>
        <v/>
      </c>
      <c r="I639" s="2" t="str">
        <f ca="1">IF(ISNUMBER(A639),
IF(COUNTIFS(Equipar!B:B,4,Equipar!AC:AC,A639),"Equipada",
IF(
  OR(COUNTIFS(Equipar!B:B,4,Equipar!C:C,A639)
 +COUNTIFS(Equipar!B:B,4,Equipar!D:D,A639)
+COUNTIFS(Equipar!B:B,4,Equipar!E:E,A639)
+COUNTIFS(Equipar!B:B,4,Equipar!F:F,A639)
&gt;0,COUNTIF('Set recomendado'!B:B,C639)=0),
"Bloqueada",
"Desechable")),""
)</f>
        <v/>
      </c>
      <c r="J639" t="str" cm="1">
        <f t="array" aca="1" ref="J639" ca="1">IF(ISNUMBER(A639),IFERROR(_xlfn._xlws.FILTER(Equipar!A:A,(Equipar!B:B=4)*(Equipar!AC:AC=A639)),""),"")</f>
        <v/>
      </c>
    </row>
    <row r="640" spans="1:10" x14ac:dyDescent="0.25">
      <c r="A640" s="3" t="str">
        <f ca="1">IF(A639="ID",1,IF(ISBLANK(B640),"",MAX(A$2:A639)+1))</f>
        <v/>
      </c>
      <c r="I640" s="2" t="str">
        <f ca="1">IF(ISNUMBER(A640),
IF(COUNTIFS(Equipar!B:B,4,Equipar!AC:AC,A640),"Equipada",
IF(
  OR(COUNTIFS(Equipar!B:B,4,Equipar!C:C,A640)
 +COUNTIFS(Equipar!B:B,4,Equipar!D:D,A640)
+COUNTIFS(Equipar!B:B,4,Equipar!E:E,A640)
+COUNTIFS(Equipar!B:B,4,Equipar!F:F,A640)
&gt;0,COUNTIF('Set recomendado'!B:B,C640)=0),
"Bloqueada",
"Desechable")),""
)</f>
        <v/>
      </c>
      <c r="J640" t="str" cm="1">
        <f t="array" aca="1" ref="J640" ca="1">IF(ISNUMBER(A640),IFERROR(_xlfn._xlws.FILTER(Equipar!A:A,(Equipar!B:B=4)*(Equipar!AC:AC=A640)),""),"")</f>
        <v/>
      </c>
    </row>
    <row r="641" spans="1:10" x14ac:dyDescent="0.25">
      <c r="A641" s="3" t="str">
        <f ca="1">IF(A640="ID",1,IF(ISBLANK(B641),"",MAX(A$2:A640)+1))</f>
        <v/>
      </c>
      <c r="I641" s="2" t="str">
        <f ca="1">IF(ISNUMBER(A641),
IF(COUNTIFS(Equipar!B:B,4,Equipar!AC:AC,A641),"Equipada",
IF(
  OR(COUNTIFS(Equipar!B:B,4,Equipar!C:C,A641)
 +COUNTIFS(Equipar!B:B,4,Equipar!D:D,A641)
+COUNTIFS(Equipar!B:B,4,Equipar!E:E,A641)
+COUNTIFS(Equipar!B:B,4,Equipar!F:F,A641)
&gt;0,COUNTIF('Set recomendado'!B:B,C641)=0),
"Bloqueada",
"Desechable")),""
)</f>
        <v/>
      </c>
      <c r="J641" t="str" cm="1">
        <f t="array" aca="1" ref="J641" ca="1">IF(ISNUMBER(A641),IFERROR(_xlfn._xlws.FILTER(Equipar!A:A,(Equipar!B:B=4)*(Equipar!AC:AC=A641)),""),"")</f>
        <v/>
      </c>
    </row>
    <row r="642" spans="1:10" x14ac:dyDescent="0.25">
      <c r="A642" s="3" t="str">
        <f ca="1">IF(A641="ID",1,IF(ISBLANK(B642),"",MAX(A$2:A641)+1))</f>
        <v/>
      </c>
      <c r="I642" s="2" t="str">
        <f ca="1">IF(ISNUMBER(A642),
IF(COUNTIFS(Equipar!B:B,4,Equipar!AC:AC,A642),"Equipada",
IF(
  OR(COUNTIFS(Equipar!B:B,4,Equipar!C:C,A642)
 +COUNTIFS(Equipar!B:B,4,Equipar!D:D,A642)
+COUNTIFS(Equipar!B:B,4,Equipar!E:E,A642)
+COUNTIFS(Equipar!B:B,4,Equipar!F:F,A642)
&gt;0,COUNTIF('Set recomendado'!B:B,C642)=0),
"Bloqueada",
"Desechable")),""
)</f>
        <v/>
      </c>
      <c r="J642" t="str" cm="1">
        <f t="array" aca="1" ref="J642" ca="1">IF(ISNUMBER(A642),IFERROR(_xlfn._xlws.FILTER(Equipar!A:A,(Equipar!B:B=4)*(Equipar!AC:AC=A642)),""),"")</f>
        <v/>
      </c>
    </row>
    <row r="643" spans="1:10" x14ac:dyDescent="0.25">
      <c r="A643" s="3" t="str">
        <f ca="1">IF(A642="ID",1,IF(ISBLANK(B643),"",MAX(A$2:A642)+1))</f>
        <v/>
      </c>
      <c r="I643" s="2" t="str">
        <f ca="1">IF(ISNUMBER(A643),
IF(COUNTIFS(Equipar!B:B,4,Equipar!AC:AC,A643),"Equipada",
IF(
  OR(COUNTIFS(Equipar!B:B,4,Equipar!C:C,A643)
 +COUNTIFS(Equipar!B:B,4,Equipar!D:D,A643)
+COUNTIFS(Equipar!B:B,4,Equipar!E:E,A643)
+COUNTIFS(Equipar!B:B,4,Equipar!F:F,A643)
&gt;0,COUNTIF('Set recomendado'!B:B,C643)=0),
"Bloqueada",
"Desechable")),""
)</f>
        <v/>
      </c>
      <c r="J643" t="str" cm="1">
        <f t="array" aca="1" ref="J643" ca="1">IF(ISNUMBER(A643),IFERROR(_xlfn._xlws.FILTER(Equipar!A:A,(Equipar!B:B=4)*(Equipar!AC:AC=A643)),""),"")</f>
        <v/>
      </c>
    </row>
    <row r="644" spans="1:10" x14ac:dyDescent="0.25">
      <c r="A644" s="3" t="str">
        <f ca="1">IF(A643="ID",1,IF(ISBLANK(B644),"",MAX(A$2:A643)+1))</f>
        <v/>
      </c>
      <c r="I644" s="2" t="str">
        <f ca="1">IF(ISNUMBER(A644),
IF(COUNTIFS(Equipar!B:B,4,Equipar!AC:AC,A644),"Equipada",
IF(
  OR(COUNTIFS(Equipar!B:B,4,Equipar!C:C,A644)
 +COUNTIFS(Equipar!B:B,4,Equipar!D:D,A644)
+COUNTIFS(Equipar!B:B,4,Equipar!E:E,A644)
+COUNTIFS(Equipar!B:B,4,Equipar!F:F,A644)
&gt;0,COUNTIF('Set recomendado'!B:B,C644)=0),
"Bloqueada",
"Desechable")),""
)</f>
        <v/>
      </c>
      <c r="J644" t="str" cm="1">
        <f t="array" aca="1" ref="J644" ca="1">IF(ISNUMBER(A644),IFERROR(_xlfn._xlws.FILTER(Equipar!A:A,(Equipar!B:B=4)*(Equipar!AC:AC=A644)),""),"")</f>
        <v/>
      </c>
    </row>
    <row r="645" spans="1:10" x14ac:dyDescent="0.25">
      <c r="A645" s="3" t="str">
        <f ca="1">IF(A644="ID",1,IF(ISBLANK(B645),"",MAX(A$2:A644)+1))</f>
        <v/>
      </c>
      <c r="I645" s="2" t="str">
        <f ca="1">IF(ISNUMBER(A645),
IF(COUNTIFS(Equipar!B:B,4,Equipar!AC:AC,A645),"Equipada",
IF(
  OR(COUNTIFS(Equipar!B:B,4,Equipar!C:C,A645)
 +COUNTIFS(Equipar!B:B,4,Equipar!D:D,A645)
+COUNTIFS(Equipar!B:B,4,Equipar!E:E,A645)
+COUNTIFS(Equipar!B:B,4,Equipar!F:F,A645)
&gt;0,COUNTIF('Set recomendado'!B:B,C645)=0),
"Bloqueada",
"Desechable")),""
)</f>
        <v/>
      </c>
      <c r="J645" t="str" cm="1">
        <f t="array" aca="1" ref="J645" ca="1">IF(ISNUMBER(A645),IFERROR(_xlfn._xlws.FILTER(Equipar!A:A,(Equipar!B:B=4)*(Equipar!AC:AC=A645)),""),"")</f>
        <v/>
      </c>
    </row>
    <row r="646" spans="1:10" x14ac:dyDescent="0.25">
      <c r="A646" s="3" t="str">
        <f ca="1">IF(A645="ID",1,IF(ISBLANK(B646),"",MAX(A$2:A645)+1))</f>
        <v/>
      </c>
      <c r="I646" s="2" t="str">
        <f ca="1">IF(ISNUMBER(A646),
IF(COUNTIFS(Equipar!B:B,4,Equipar!AC:AC,A646),"Equipada",
IF(
  OR(COUNTIFS(Equipar!B:B,4,Equipar!C:C,A646)
 +COUNTIFS(Equipar!B:B,4,Equipar!D:D,A646)
+COUNTIFS(Equipar!B:B,4,Equipar!E:E,A646)
+COUNTIFS(Equipar!B:B,4,Equipar!F:F,A646)
&gt;0,COUNTIF('Set recomendado'!B:B,C646)=0),
"Bloqueada",
"Desechable")),""
)</f>
        <v/>
      </c>
      <c r="J646" t="str" cm="1">
        <f t="array" aca="1" ref="J646" ca="1">IF(ISNUMBER(A646),IFERROR(_xlfn._xlws.FILTER(Equipar!A:A,(Equipar!B:B=4)*(Equipar!AC:AC=A646)),""),"")</f>
        <v/>
      </c>
    </row>
    <row r="647" spans="1:10" x14ac:dyDescent="0.25">
      <c r="A647" s="3" t="str">
        <f ca="1">IF(A646="ID",1,IF(ISBLANK(B647),"",MAX(A$2:A646)+1))</f>
        <v/>
      </c>
      <c r="I647" s="2" t="str">
        <f ca="1">IF(ISNUMBER(A647),
IF(COUNTIFS(Equipar!B:B,4,Equipar!AC:AC,A647),"Equipada",
IF(
  OR(COUNTIFS(Equipar!B:B,4,Equipar!C:C,A647)
 +COUNTIFS(Equipar!B:B,4,Equipar!D:D,A647)
+COUNTIFS(Equipar!B:B,4,Equipar!E:E,A647)
+COUNTIFS(Equipar!B:B,4,Equipar!F:F,A647)
&gt;0,COUNTIF('Set recomendado'!B:B,C647)=0),
"Bloqueada",
"Desechable")),""
)</f>
        <v/>
      </c>
      <c r="J647" t="str" cm="1">
        <f t="array" aca="1" ref="J647" ca="1">IF(ISNUMBER(A647),IFERROR(_xlfn._xlws.FILTER(Equipar!A:A,(Equipar!B:B=4)*(Equipar!AC:AC=A647)),""),"")</f>
        <v/>
      </c>
    </row>
    <row r="648" spans="1:10" x14ac:dyDescent="0.25">
      <c r="A648" s="3" t="str">
        <f ca="1">IF(A647="ID",1,IF(ISBLANK(B648),"",MAX(A$2:A647)+1))</f>
        <v/>
      </c>
      <c r="I648" s="2" t="str">
        <f ca="1">IF(ISNUMBER(A648),
IF(COUNTIFS(Equipar!B:B,4,Equipar!AC:AC,A648),"Equipada",
IF(
  OR(COUNTIFS(Equipar!B:B,4,Equipar!C:C,A648)
 +COUNTIFS(Equipar!B:B,4,Equipar!D:D,A648)
+COUNTIFS(Equipar!B:B,4,Equipar!E:E,A648)
+COUNTIFS(Equipar!B:B,4,Equipar!F:F,A648)
&gt;0,COUNTIF('Set recomendado'!B:B,C648)=0),
"Bloqueada",
"Desechable")),""
)</f>
        <v/>
      </c>
      <c r="J648" t="str" cm="1">
        <f t="array" aca="1" ref="J648" ca="1">IF(ISNUMBER(A648),IFERROR(_xlfn._xlws.FILTER(Equipar!A:A,(Equipar!B:B=4)*(Equipar!AC:AC=A648)),""),"")</f>
        <v/>
      </c>
    </row>
    <row r="649" spans="1:10" x14ac:dyDescent="0.25">
      <c r="A649" s="3" t="str">
        <f ca="1">IF(A648="ID",1,IF(ISBLANK(B649),"",MAX(A$2:A648)+1))</f>
        <v/>
      </c>
      <c r="I649" s="2" t="str">
        <f ca="1">IF(ISNUMBER(A649),
IF(COUNTIFS(Equipar!B:B,4,Equipar!AC:AC,A649),"Equipada",
IF(
  OR(COUNTIFS(Equipar!B:B,4,Equipar!C:C,A649)
 +COUNTIFS(Equipar!B:B,4,Equipar!D:D,A649)
+COUNTIFS(Equipar!B:B,4,Equipar!E:E,A649)
+COUNTIFS(Equipar!B:B,4,Equipar!F:F,A649)
&gt;0,COUNTIF('Set recomendado'!B:B,C649)=0),
"Bloqueada",
"Desechable")),""
)</f>
        <v/>
      </c>
      <c r="J649" t="str" cm="1">
        <f t="array" aca="1" ref="J649" ca="1">IF(ISNUMBER(A649),IFERROR(_xlfn._xlws.FILTER(Equipar!A:A,(Equipar!B:B=4)*(Equipar!AC:AC=A649)),""),"")</f>
        <v/>
      </c>
    </row>
    <row r="650" spans="1:10" x14ac:dyDescent="0.25">
      <c r="A650" s="3" t="str">
        <f ca="1">IF(A649="ID",1,IF(ISBLANK(B650),"",MAX(A$2:A649)+1))</f>
        <v/>
      </c>
      <c r="I650" s="2" t="str">
        <f ca="1">IF(ISNUMBER(A650),
IF(COUNTIFS(Equipar!B:B,4,Equipar!AC:AC,A650),"Equipada",
IF(
  OR(COUNTIFS(Equipar!B:B,4,Equipar!C:C,A650)
 +COUNTIFS(Equipar!B:B,4,Equipar!D:D,A650)
+COUNTIFS(Equipar!B:B,4,Equipar!E:E,A650)
+COUNTIFS(Equipar!B:B,4,Equipar!F:F,A650)
&gt;0,COUNTIF('Set recomendado'!B:B,C650)=0),
"Bloqueada",
"Desechable")),""
)</f>
        <v/>
      </c>
      <c r="J650" t="str" cm="1">
        <f t="array" aca="1" ref="J650" ca="1">IF(ISNUMBER(A650),IFERROR(_xlfn._xlws.FILTER(Equipar!A:A,(Equipar!B:B=4)*(Equipar!AC:AC=A650)),""),"")</f>
        <v/>
      </c>
    </row>
    <row r="651" spans="1:10" x14ac:dyDescent="0.25">
      <c r="A651" s="3" t="str">
        <f ca="1">IF(A650="ID",1,IF(ISBLANK(B651),"",MAX(A$2:A650)+1))</f>
        <v/>
      </c>
      <c r="I651" s="2" t="str">
        <f ca="1">IF(ISNUMBER(A651),
IF(COUNTIFS(Equipar!B:B,4,Equipar!AC:AC,A651),"Equipada",
IF(
  OR(COUNTIFS(Equipar!B:B,4,Equipar!C:C,A651)
 +COUNTIFS(Equipar!B:B,4,Equipar!D:D,A651)
+COUNTIFS(Equipar!B:B,4,Equipar!E:E,A651)
+COUNTIFS(Equipar!B:B,4,Equipar!F:F,A651)
&gt;0,COUNTIF('Set recomendado'!B:B,C651)=0),
"Bloqueada",
"Desechable")),""
)</f>
        <v/>
      </c>
      <c r="J651" t="str" cm="1">
        <f t="array" aca="1" ref="J651" ca="1">IF(ISNUMBER(A651),IFERROR(_xlfn._xlws.FILTER(Equipar!A:A,(Equipar!B:B=4)*(Equipar!AC:AC=A651)),""),"")</f>
        <v/>
      </c>
    </row>
    <row r="652" spans="1:10" x14ac:dyDescent="0.25">
      <c r="A652" s="3" t="str">
        <f ca="1">IF(A651="ID",1,IF(ISBLANK(B652),"",MAX(A$2:A651)+1))</f>
        <v/>
      </c>
      <c r="I652" s="2" t="str">
        <f ca="1">IF(ISNUMBER(A652),
IF(COUNTIFS(Equipar!B:B,4,Equipar!AC:AC,A652),"Equipada",
IF(
  OR(COUNTIFS(Equipar!B:B,4,Equipar!C:C,A652)
 +COUNTIFS(Equipar!B:B,4,Equipar!D:D,A652)
+COUNTIFS(Equipar!B:B,4,Equipar!E:E,A652)
+COUNTIFS(Equipar!B:B,4,Equipar!F:F,A652)
&gt;0,COUNTIF('Set recomendado'!B:B,C652)=0),
"Bloqueada",
"Desechable")),""
)</f>
        <v/>
      </c>
      <c r="J652" t="str" cm="1">
        <f t="array" aca="1" ref="J652" ca="1">IF(ISNUMBER(A652),IFERROR(_xlfn._xlws.FILTER(Equipar!A:A,(Equipar!B:B=4)*(Equipar!AC:AC=A652)),""),"")</f>
        <v/>
      </c>
    </row>
    <row r="653" spans="1:10" x14ac:dyDescent="0.25">
      <c r="A653" s="3" t="str">
        <f ca="1">IF(A652="ID",1,IF(ISBLANK(B653),"",MAX(A$2:A652)+1))</f>
        <v/>
      </c>
      <c r="I653" s="2" t="str">
        <f ca="1">IF(ISNUMBER(A653),
IF(COUNTIFS(Equipar!B:B,4,Equipar!AC:AC,A653),"Equipada",
IF(
  OR(COUNTIFS(Equipar!B:B,4,Equipar!C:C,A653)
 +COUNTIFS(Equipar!B:B,4,Equipar!D:D,A653)
+COUNTIFS(Equipar!B:B,4,Equipar!E:E,A653)
+COUNTIFS(Equipar!B:B,4,Equipar!F:F,A653)
&gt;0,COUNTIF('Set recomendado'!B:B,C653)=0),
"Bloqueada",
"Desechable")),""
)</f>
        <v/>
      </c>
      <c r="J653" t="str" cm="1">
        <f t="array" aca="1" ref="J653" ca="1">IF(ISNUMBER(A653),IFERROR(_xlfn._xlws.FILTER(Equipar!A:A,(Equipar!B:B=4)*(Equipar!AC:AC=A653)),""),"")</f>
        <v/>
      </c>
    </row>
    <row r="654" spans="1:10" x14ac:dyDescent="0.25">
      <c r="A654" s="3" t="str">
        <f ca="1">IF(A653="ID",1,IF(ISBLANK(B654),"",MAX(A$2:A653)+1))</f>
        <v/>
      </c>
      <c r="I654" s="2" t="str">
        <f ca="1">IF(ISNUMBER(A654),
IF(COUNTIFS(Equipar!B:B,4,Equipar!AC:AC,A654),"Equipada",
IF(
  OR(COUNTIFS(Equipar!B:B,4,Equipar!C:C,A654)
 +COUNTIFS(Equipar!B:B,4,Equipar!D:D,A654)
+COUNTIFS(Equipar!B:B,4,Equipar!E:E,A654)
+COUNTIFS(Equipar!B:B,4,Equipar!F:F,A654)
&gt;0,COUNTIF('Set recomendado'!B:B,C654)=0),
"Bloqueada",
"Desechable")),""
)</f>
        <v/>
      </c>
      <c r="J654" t="str" cm="1">
        <f t="array" aca="1" ref="J654" ca="1">IF(ISNUMBER(A654),IFERROR(_xlfn._xlws.FILTER(Equipar!A:A,(Equipar!B:B=4)*(Equipar!AC:AC=A654)),""),"")</f>
        <v/>
      </c>
    </row>
    <row r="655" spans="1:10" x14ac:dyDescent="0.25">
      <c r="A655" s="3" t="str">
        <f ca="1">IF(A654="ID",1,IF(ISBLANK(B655),"",MAX(A$2:A654)+1))</f>
        <v/>
      </c>
      <c r="I655" s="2" t="str">
        <f ca="1">IF(ISNUMBER(A655),
IF(COUNTIFS(Equipar!B:B,4,Equipar!AC:AC,A655),"Equipada",
IF(
  OR(COUNTIFS(Equipar!B:B,4,Equipar!C:C,A655)
 +COUNTIFS(Equipar!B:B,4,Equipar!D:D,A655)
+COUNTIFS(Equipar!B:B,4,Equipar!E:E,A655)
+COUNTIFS(Equipar!B:B,4,Equipar!F:F,A655)
&gt;0,COUNTIF('Set recomendado'!B:B,C655)=0),
"Bloqueada",
"Desechable")),""
)</f>
        <v/>
      </c>
      <c r="J655" t="str" cm="1">
        <f t="array" aca="1" ref="J655" ca="1">IF(ISNUMBER(A655),IFERROR(_xlfn._xlws.FILTER(Equipar!A:A,(Equipar!B:B=4)*(Equipar!AC:AC=A655)),""),"")</f>
        <v/>
      </c>
    </row>
    <row r="656" spans="1:10" x14ac:dyDescent="0.25">
      <c r="A656" s="3" t="str">
        <f ca="1">IF(A655="ID",1,IF(ISBLANK(B656),"",MAX(A$2:A655)+1))</f>
        <v/>
      </c>
      <c r="I656" s="2" t="str">
        <f ca="1">IF(ISNUMBER(A656),
IF(COUNTIFS(Equipar!B:B,4,Equipar!AC:AC,A656),"Equipada",
IF(
  OR(COUNTIFS(Equipar!B:B,4,Equipar!C:C,A656)
 +COUNTIFS(Equipar!B:B,4,Equipar!D:D,A656)
+COUNTIFS(Equipar!B:B,4,Equipar!E:E,A656)
+COUNTIFS(Equipar!B:B,4,Equipar!F:F,A656)
&gt;0,COUNTIF('Set recomendado'!B:B,C656)=0),
"Bloqueada",
"Desechable")),""
)</f>
        <v/>
      </c>
      <c r="J656" t="str" cm="1">
        <f t="array" aca="1" ref="J656" ca="1">IF(ISNUMBER(A656),IFERROR(_xlfn._xlws.FILTER(Equipar!A:A,(Equipar!B:B=4)*(Equipar!AC:AC=A656)),""),"")</f>
        <v/>
      </c>
    </row>
    <row r="657" spans="1:10" x14ac:dyDescent="0.25">
      <c r="A657" s="3" t="str">
        <f ca="1">IF(A656="ID",1,IF(ISBLANK(B657),"",MAX(A$2:A656)+1))</f>
        <v/>
      </c>
      <c r="I657" s="2" t="str">
        <f ca="1">IF(ISNUMBER(A657),
IF(COUNTIFS(Equipar!B:B,4,Equipar!AC:AC,A657),"Equipada",
IF(
  OR(COUNTIFS(Equipar!B:B,4,Equipar!C:C,A657)
 +COUNTIFS(Equipar!B:B,4,Equipar!D:D,A657)
+COUNTIFS(Equipar!B:B,4,Equipar!E:E,A657)
+COUNTIFS(Equipar!B:B,4,Equipar!F:F,A657)
&gt;0,COUNTIF('Set recomendado'!B:B,C657)=0),
"Bloqueada",
"Desechable")),""
)</f>
        <v/>
      </c>
      <c r="J657" t="str" cm="1">
        <f t="array" aca="1" ref="J657" ca="1">IF(ISNUMBER(A657),IFERROR(_xlfn._xlws.FILTER(Equipar!A:A,(Equipar!B:B=4)*(Equipar!AC:AC=A657)),""),"")</f>
        <v/>
      </c>
    </row>
    <row r="658" spans="1:10" x14ac:dyDescent="0.25">
      <c r="A658" s="3" t="str">
        <f ca="1">IF(A657="ID",1,IF(ISBLANK(B658),"",MAX(A$2:A657)+1))</f>
        <v/>
      </c>
      <c r="I658" s="2" t="str">
        <f ca="1">IF(ISNUMBER(A658),
IF(COUNTIFS(Equipar!B:B,4,Equipar!AC:AC,A658),"Equipada",
IF(
  OR(COUNTIFS(Equipar!B:B,4,Equipar!C:C,A658)
 +COUNTIFS(Equipar!B:B,4,Equipar!D:D,A658)
+COUNTIFS(Equipar!B:B,4,Equipar!E:E,A658)
+COUNTIFS(Equipar!B:B,4,Equipar!F:F,A658)
&gt;0,COUNTIF('Set recomendado'!B:B,C658)=0),
"Bloqueada",
"Desechable")),""
)</f>
        <v/>
      </c>
      <c r="J658" t="str" cm="1">
        <f t="array" aca="1" ref="J658" ca="1">IF(ISNUMBER(A658),IFERROR(_xlfn._xlws.FILTER(Equipar!A:A,(Equipar!B:B=4)*(Equipar!AC:AC=A658)),""),"")</f>
        <v/>
      </c>
    </row>
    <row r="659" spans="1:10" x14ac:dyDescent="0.25">
      <c r="A659" s="3" t="str">
        <f ca="1">IF(A658="ID",1,IF(ISBLANK(B659),"",MAX(A$2:A658)+1))</f>
        <v/>
      </c>
      <c r="I659" s="2" t="str">
        <f ca="1">IF(ISNUMBER(A659),
IF(COUNTIFS(Equipar!B:B,4,Equipar!AC:AC,A659),"Equipada",
IF(
  OR(COUNTIFS(Equipar!B:B,4,Equipar!C:C,A659)
 +COUNTIFS(Equipar!B:B,4,Equipar!D:D,A659)
+COUNTIFS(Equipar!B:B,4,Equipar!E:E,A659)
+COUNTIFS(Equipar!B:B,4,Equipar!F:F,A659)
&gt;0,COUNTIF('Set recomendado'!B:B,C659)=0),
"Bloqueada",
"Desechable")),""
)</f>
        <v/>
      </c>
      <c r="J659" t="str" cm="1">
        <f t="array" aca="1" ref="J659" ca="1">IF(ISNUMBER(A659),IFERROR(_xlfn._xlws.FILTER(Equipar!A:A,(Equipar!B:B=4)*(Equipar!AC:AC=A659)),""),"")</f>
        <v/>
      </c>
    </row>
    <row r="660" spans="1:10" x14ac:dyDescent="0.25">
      <c r="A660" s="3" t="str">
        <f ca="1">IF(A659="ID",1,IF(ISBLANK(B660),"",MAX(A$2:A659)+1))</f>
        <v/>
      </c>
      <c r="I660" s="2" t="str">
        <f ca="1">IF(ISNUMBER(A660),
IF(COUNTIFS(Equipar!B:B,4,Equipar!AC:AC,A660),"Equipada",
IF(
  OR(COUNTIFS(Equipar!B:B,4,Equipar!C:C,A660)
 +COUNTIFS(Equipar!B:B,4,Equipar!D:D,A660)
+COUNTIFS(Equipar!B:B,4,Equipar!E:E,A660)
+COUNTIFS(Equipar!B:B,4,Equipar!F:F,A660)
&gt;0,COUNTIF('Set recomendado'!B:B,C660)=0),
"Bloqueada",
"Desechable")),""
)</f>
        <v/>
      </c>
      <c r="J660" t="str" cm="1">
        <f t="array" aca="1" ref="J660" ca="1">IF(ISNUMBER(A660),IFERROR(_xlfn._xlws.FILTER(Equipar!A:A,(Equipar!B:B=4)*(Equipar!AC:AC=A660)),""),"")</f>
        <v/>
      </c>
    </row>
    <row r="661" spans="1:10" x14ac:dyDescent="0.25">
      <c r="A661" s="3" t="str">
        <f ca="1">IF(A660="ID",1,IF(ISBLANK(B661),"",MAX(A$2:A660)+1))</f>
        <v/>
      </c>
      <c r="I661" s="2" t="str">
        <f ca="1">IF(ISNUMBER(A661),
IF(COUNTIFS(Equipar!B:B,4,Equipar!AC:AC,A661),"Equipada",
IF(
  OR(COUNTIFS(Equipar!B:B,4,Equipar!C:C,A661)
 +COUNTIFS(Equipar!B:B,4,Equipar!D:D,A661)
+COUNTIFS(Equipar!B:B,4,Equipar!E:E,A661)
+COUNTIFS(Equipar!B:B,4,Equipar!F:F,A661)
&gt;0,COUNTIF('Set recomendado'!B:B,C661)=0),
"Bloqueada",
"Desechable")),""
)</f>
        <v/>
      </c>
      <c r="J661" t="str" cm="1">
        <f t="array" aca="1" ref="J661" ca="1">IF(ISNUMBER(A661),IFERROR(_xlfn._xlws.FILTER(Equipar!A:A,(Equipar!B:B=4)*(Equipar!AC:AC=A661)),""),"")</f>
        <v/>
      </c>
    </row>
    <row r="662" spans="1:10" x14ac:dyDescent="0.25">
      <c r="A662" s="3" t="str">
        <f ca="1">IF(A661="ID",1,IF(ISBLANK(B662),"",MAX(A$2:A661)+1))</f>
        <v/>
      </c>
      <c r="I662" s="2" t="str">
        <f ca="1">IF(ISNUMBER(A662),
IF(COUNTIFS(Equipar!B:B,4,Equipar!AC:AC,A662),"Equipada",
IF(
  OR(COUNTIFS(Equipar!B:B,4,Equipar!C:C,A662)
 +COUNTIFS(Equipar!B:B,4,Equipar!D:D,A662)
+COUNTIFS(Equipar!B:B,4,Equipar!E:E,A662)
+COUNTIFS(Equipar!B:B,4,Equipar!F:F,A662)
&gt;0,COUNTIF('Set recomendado'!B:B,C662)=0),
"Bloqueada",
"Desechable")),""
)</f>
        <v/>
      </c>
      <c r="J662" t="str" cm="1">
        <f t="array" aca="1" ref="J662" ca="1">IF(ISNUMBER(A662),IFERROR(_xlfn._xlws.FILTER(Equipar!A:A,(Equipar!B:B=4)*(Equipar!AC:AC=A662)),""),"")</f>
        <v/>
      </c>
    </row>
    <row r="663" spans="1:10" x14ac:dyDescent="0.25">
      <c r="A663" s="3" t="str">
        <f ca="1">IF(A662="ID",1,IF(ISBLANK(B663),"",MAX(A$2:A662)+1))</f>
        <v/>
      </c>
      <c r="I663" s="2" t="str">
        <f ca="1">IF(ISNUMBER(A663),
IF(COUNTIFS(Equipar!B:B,4,Equipar!AC:AC,A663),"Equipada",
IF(
  OR(COUNTIFS(Equipar!B:B,4,Equipar!C:C,A663)
 +COUNTIFS(Equipar!B:B,4,Equipar!D:D,A663)
+COUNTIFS(Equipar!B:B,4,Equipar!E:E,A663)
+COUNTIFS(Equipar!B:B,4,Equipar!F:F,A663)
&gt;0,COUNTIF('Set recomendado'!B:B,C663)=0),
"Bloqueada",
"Desechable")),""
)</f>
        <v/>
      </c>
      <c r="J663" t="str" cm="1">
        <f t="array" aca="1" ref="J663" ca="1">IF(ISNUMBER(A663),IFERROR(_xlfn._xlws.FILTER(Equipar!A:A,(Equipar!B:B=4)*(Equipar!AC:AC=A663)),""),"")</f>
        <v/>
      </c>
    </row>
    <row r="664" spans="1:10" x14ac:dyDescent="0.25">
      <c r="A664" s="3" t="str">
        <f ca="1">IF(A663="ID",1,IF(ISBLANK(B664),"",MAX(A$2:A663)+1))</f>
        <v/>
      </c>
      <c r="I664" s="2" t="str">
        <f ca="1">IF(ISNUMBER(A664),
IF(COUNTIFS(Equipar!B:B,4,Equipar!AC:AC,A664),"Equipada",
IF(
  OR(COUNTIFS(Equipar!B:B,4,Equipar!C:C,A664)
 +COUNTIFS(Equipar!B:B,4,Equipar!D:D,A664)
+COUNTIFS(Equipar!B:B,4,Equipar!E:E,A664)
+COUNTIFS(Equipar!B:B,4,Equipar!F:F,A664)
&gt;0,COUNTIF('Set recomendado'!B:B,C664)=0),
"Bloqueada",
"Desechable")),""
)</f>
        <v/>
      </c>
      <c r="J664" t="str" cm="1">
        <f t="array" aca="1" ref="J664" ca="1">IF(ISNUMBER(A664),IFERROR(_xlfn._xlws.FILTER(Equipar!A:A,(Equipar!B:B=4)*(Equipar!AC:AC=A664)),""),"")</f>
        <v/>
      </c>
    </row>
    <row r="665" spans="1:10" x14ac:dyDescent="0.25">
      <c r="A665" s="3" t="str">
        <f ca="1">IF(A664="ID",1,IF(ISBLANK(B665),"",MAX(A$2:A664)+1))</f>
        <v/>
      </c>
      <c r="I665" s="2" t="str">
        <f ca="1">IF(ISNUMBER(A665),
IF(COUNTIFS(Equipar!B:B,4,Equipar!AC:AC,A665),"Equipada",
IF(
  OR(COUNTIFS(Equipar!B:B,4,Equipar!C:C,A665)
 +COUNTIFS(Equipar!B:B,4,Equipar!D:D,A665)
+COUNTIFS(Equipar!B:B,4,Equipar!E:E,A665)
+COUNTIFS(Equipar!B:B,4,Equipar!F:F,A665)
&gt;0,COUNTIF('Set recomendado'!B:B,C665)=0),
"Bloqueada",
"Desechable")),""
)</f>
        <v/>
      </c>
      <c r="J665" t="str" cm="1">
        <f t="array" aca="1" ref="J665" ca="1">IF(ISNUMBER(A665),IFERROR(_xlfn._xlws.FILTER(Equipar!A:A,(Equipar!B:B=4)*(Equipar!AC:AC=A665)),""),"")</f>
        <v/>
      </c>
    </row>
    <row r="666" spans="1:10" x14ac:dyDescent="0.25">
      <c r="A666" s="3" t="str">
        <f ca="1">IF(A665="ID",1,IF(ISBLANK(B666),"",MAX(A$2:A665)+1))</f>
        <v/>
      </c>
      <c r="I666" s="2" t="str">
        <f ca="1">IF(ISNUMBER(A666),
IF(COUNTIFS(Equipar!B:B,4,Equipar!AC:AC,A666),"Equipada",
IF(
  OR(COUNTIFS(Equipar!B:B,4,Equipar!C:C,A666)
 +COUNTIFS(Equipar!B:B,4,Equipar!D:D,A666)
+COUNTIFS(Equipar!B:B,4,Equipar!E:E,A666)
+COUNTIFS(Equipar!B:B,4,Equipar!F:F,A666)
&gt;0,COUNTIF('Set recomendado'!B:B,C666)=0),
"Bloqueada",
"Desechable")),""
)</f>
        <v/>
      </c>
      <c r="J666" t="str" cm="1">
        <f t="array" aca="1" ref="J666" ca="1">IF(ISNUMBER(A666),IFERROR(_xlfn._xlws.FILTER(Equipar!A:A,(Equipar!B:B=4)*(Equipar!AC:AC=A666)),""),"")</f>
        <v/>
      </c>
    </row>
    <row r="667" spans="1:10" x14ac:dyDescent="0.25">
      <c r="A667" s="3" t="str">
        <f ca="1">IF(A666="ID",1,IF(ISBLANK(B667),"",MAX(A$2:A666)+1))</f>
        <v/>
      </c>
      <c r="I667" s="2" t="str">
        <f ca="1">IF(ISNUMBER(A667),
IF(COUNTIFS(Equipar!B:B,4,Equipar!AC:AC,A667),"Equipada",
IF(
  OR(COUNTIFS(Equipar!B:B,4,Equipar!C:C,A667)
 +COUNTIFS(Equipar!B:B,4,Equipar!D:D,A667)
+COUNTIFS(Equipar!B:B,4,Equipar!E:E,A667)
+COUNTIFS(Equipar!B:B,4,Equipar!F:F,A667)
&gt;0,COUNTIF('Set recomendado'!B:B,C667)=0),
"Bloqueada",
"Desechable")),""
)</f>
        <v/>
      </c>
      <c r="J667" t="str" cm="1">
        <f t="array" aca="1" ref="J667" ca="1">IF(ISNUMBER(A667),IFERROR(_xlfn._xlws.FILTER(Equipar!A:A,(Equipar!B:B=4)*(Equipar!AC:AC=A667)),""),"")</f>
        <v/>
      </c>
    </row>
    <row r="668" spans="1:10" x14ac:dyDescent="0.25">
      <c r="A668" s="3" t="str">
        <f ca="1">IF(A667="ID",1,IF(ISBLANK(B668),"",MAX(A$2:A667)+1))</f>
        <v/>
      </c>
      <c r="I668" s="2" t="str">
        <f ca="1">IF(ISNUMBER(A668),
IF(COUNTIFS(Equipar!B:B,4,Equipar!AC:AC,A668),"Equipada",
IF(
  OR(COUNTIFS(Equipar!B:B,4,Equipar!C:C,A668)
 +COUNTIFS(Equipar!B:B,4,Equipar!D:D,A668)
+COUNTIFS(Equipar!B:B,4,Equipar!E:E,A668)
+COUNTIFS(Equipar!B:B,4,Equipar!F:F,A668)
&gt;0,COUNTIF('Set recomendado'!B:B,C668)=0),
"Bloqueada",
"Desechable")),""
)</f>
        <v/>
      </c>
      <c r="J668" t="str" cm="1">
        <f t="array" aca="1" ref="J668" ca="1">IF(ISNUMBER(A668),IFERROR(_xlfn._xlws.FILTER(Equipar!A:A,(Equipar!B:B=4)*(Equipar!AC:AC=A668)),""),"")</f>
        <v/>
      </c>
    </row>
    <row r="669" spans="1:10" x14ac:dyDescent="0.25">
      <c r="A669" s="3" t="str">
        <f ca="1">IF(A668="ID",1,IF(ISBLANK(B669),"",MAX(A$2:A668)+1))</f>
        <v/>
      </c>
      <c r="I669" s="2" t="str">
        <f ca="1">IF(ISNUMBER(A669),
IF(COUNTIFS(Equipar!B:B,4,Equipar!AC:AC,A669),"Equipada",
IF(
  OR(COUNTIFS(Equipar!B:B,4,Equipar!C:C,A669)
 +COUNTIFS(Equipar!B:B,4,Equipar!D:D,A669)
+COUNTIFS(Equipar!B:B,4,Equipar!E:E,A669)
+COUNTIFS(Equipar!B:B,4,Equipar!F:F,A669)
&gt;0,COUNTIF('Set recomendado'!B:B,C669)=0),
"Bloqueada",
"Desechable")),""
)</f>
        <v/>
      </c>
      <c r="J669" t="str" cm="1">
        <f t="array" aca="1" ref="J669" ca="1">IF(ISNUMBER(A669),IFERROR(_xlfn._xlws.FILTER(Equipar!A:A,(Equipar!B:B=4)*(Equipar!AC:AC=A669)),""),"")</f>
        <v/>
      </c>
    </row>
    <row r="670" spans="1:10" x14ac:dyDescent="0.25">
      <c r="A670" s="3" t="str">
        <f ca="1">IF(A669="ID",1,IF(ISBLANK(B670),"",MAX(A$2:A669)+1))</f>
        <v/>
      </c>
      <c r="I670" s="2" t="str">
        <f ca="1">IF(ISNUMBER(A670),
IF(COUNTIFS(Equipar!B:B,4,Equipar!AC:AC,A670),"Equipada",
IF(
  OR(COUNTIFS(Equipar!B:B,4,Equipar!C:C,A670)
 +COUNTIFS(Equipar!B:B,4,Equipar!D:D,A670)
+COUNTIFS(Equipar!B:B,4,Equipar!E:E,A670)
+COUNTIFS(Equipar!B:B,4,Equipar!F:F,A670)
&gt;0,COUNTIF('Set recomendado'!B:B,C670)=0),
"Bloqueada",
"Desechable")),""
)</f>
        <v/>
      </c>
      <c r="J670" t="str" cm="1">
        <f t="array" aca="1" ref="J670" ca="1">IF(ISNUMBER(A670),IFERROR(_xlfn._xlws.FILTER(Equipar!A:A,(Equipar!B:B=4)*(Equipar!AC:AC=A670)),""),"")</f>
        <v/>
      </c>
    </row>
    <row r="671" spans="1:10" x14ac:dyDescent="0.25">
      <c r="A671" s="3" t="str">
        <f ca="1">IF(A670="ID",1,IF(ISBLANK(B671),"",MAX(A$2:A670)+1))</f>
        <v/>
      </c>
      <c r="I671" s="2" t="str">
        <f ca="1">IF(ISNUMBER(A671),
IF(COUNTIFS(Equipar!B:B,4,Equipar!AC:AC,A671),"Equipada",
IF(
  OR(COUNTIFS(Equipar!B:B,4,Equipar!C:C,A671)
 +COUNTIFS(Equipar!B:B,4,Equipar!D:D,A671)
+COUNTIFS(Equipar!B:B,4,Equipar!E:E,A671)
+COUNTIFS(Equipar!B:B,4,Equipar!F:F,A671)
&gt;0,COUNTIF('Set recomendado'!B:B,C671)=0),
"Bloqueada",
"Desechable")),""
)</f>
        <v/>
      </c>
      <c r="J671" t="str" cm="1">
        <f t="array" aca="1" ref="J671" ca="1">IF(ISNUMBER(A671),IFERROR(_xlfn._xlws.FILTER(Equipar!A:A,(Equipar!B:B=4)*(Equipar!AC:AC=A671)),""),"")</f>
        <v/>
      </c>
    </row>
    <row r="672" spans="1:10" x14ac:dyDescent="0.25">
      <c r="A672" s="3" t="str">
        <f ca="1">IF(A671="ID",1,IF(ISBLANK(B672),"",MAX(A$2:A671)+1))</f>
        <v/>
      </c>
      <c r="I672" s="2" t="str">
        <f ca="1">IF(ISNUMBER(A672),
IF(COUNTIFS(Equipar!B:B,4,Equipar!AC:AC,A672),"Equipada",
IF(
  OR(COUNTIFS(Equipar!B:B,4,Equipar!C:C,A672)
 +COUNTIFS(Equipar!B:B,4,Equipar!D:D,A672)
+COUNTIFS(Equipar!B:B,4,Equipar!E:E,A672)
+COUNTIFS(Equipar!B:B,4,Equipar!F:F,A672)
&gt;0,COUNTIF('Set recomendado'!B:B,C672)=0),
"Bloqueada",
"Desechable")),""
)</f>
        <v/>
      </c>
      <c r="J672" t="str" cm="1">
        <f t="array" aca="1" ref="J672" ca="1">IF(ISNUMBER(A672),IFERROR(_xlfn._xlws.FILTER(Equipar!A:A,(Equipar!B:B=4)*(Equipar!AC:AC=A672)),""),"")</f>
        <v/>
      </c>
    </row>
    <row r="673" spans="1:10" x14ac:dyDescent="0.25">
      <c r="A673" s="3" t="str">
        <f ca="1">IF(A672="ID",1,IF(ISBLANK(B673),"",MAX(A$2:A672)+1))</f>
        <v/>
      </c>
      <c r="I673" s="2" t="str">
        <f ca="1">IF(ISNUMBER(A673),
IF(COUNTIFS(Equipar!B:B,4,Equipar!AC:AC,A673),"Equipada",
IF(
  OR(COUNTIFS(Equipar!B:B,4,Equipar!C:C,A673)
 +COUNTIFS(Equipar!B:B,4,Equipar!D:D,A673)
+COUNTIFS(Equipar!B:B,4,Equipar!E:E,A673)
+COUNTIFS(Equipar!B:B,4,Equipar!F:F,A673)
&gt;0,COUNTIF('Set recomendado'!B:B,C673)=0),
"Bloqueada",
"Desechable")),""
)</f>
        <v/>
      </c>
      <c r="J673" t="str" cm="1">
        <f t="array" aca="1" ref="J673" ca="1">IF(ISNUMBER(A673),IFERROR(_xlfn._xlws.FILTER(Equipar!A:A,(Equipar!B:B=4)*(Equipar!AC:AC=A673)),""),"")</f>
        <v/>
      </c>
    </row>
    <row r="674" spans="1:10" x14ac:dyDescent="0.25">
      <c r="A674" s="3" t="str">
        <f ca="1">IF(A673="ID",1,IF(ISBLANK(B674),"",MAX(A$2:A673)+1))</f>
        <v/>
      </c>
      <c r="I674" s="2" t="str">
        <f ca="1">IF(ISNUMBER(A674),
IF(COUNTIFS(Equipar!B:B,4,Equipar!AC:AC,A674),"Equipada",
IF(
  OR(COUNTIFS(Equipar!B:B,4,Equipar!C:C,A674)
 +COUNTIFS(Equipar!B:B,4,Equipar!D:D,A674)
+COUNTIFS(Equipar!B:B,4,Equipar!E:E,A674)
+COUNTIFS(Equipar!B:B,4,Equipar!F:F,A674)
&gt;0,COUNTIF('Set recomendado'!B:B,C674)=0),
"Bloqueada",
"Desechable")),""
)</f>
        <v/>
      </c>
      <c r="J674" t="str" cm="1">
        <f t="array" aca="1" ref="J674" ca="1">IF(ISNUMBER(A674),IFERROR(_xlfn._xlws.FILTER(Equipar!A:A,(Equipar!B:B=4)*(Equipar!AC:AC=A674)),""),"")</f>
        <v/>
      </c>
    </row>
    <row r="675" spans="1:10" x14ac:dyDescent="0.25">
      <c r="A675" s="3" t="str">
        <f ca="1">IF(A674="ID",1,IF(ISBLANK(B675),"",MAX(A$2:A674)+1))</f>
        <v/>
      </c>
      <c r="I675" s="2" t="str">
        <f ca="1">IF(ISNUMBER(A675),
IF(COUNTIFS(Equipar!B:B,4,Equipar!AC:AC,A675),"Equipada",
IF(
  OR(COUNTIFS(Equipar!B:B,4,Equipar!C:C,A675)
 +COUNTIFS(Equipar!B:B,4,Equipar!D:D,A675)
+COUNTIFS(Equipar!B:B,4,Equipar!E:E,A675)
+COUNTIFS(Equipar!B:B,4,Equipar!F:F,A675)
&gt;0,COUNTIF('Set recomendado'!B:B,C675)=0),
"Bloqueada",
"Desechable")),""
)</f>
        <v/>
      </c>
      <c r="J675" t="str" cm="1">
        <f t="array" aca="1" ref="J675" ca="1">IF(ISNUMBER(A675),IFERROR(_xlfn._xlws.FILTER(Equipar!A:A,(Equipar!B:B=4)*(Equipar!AC:AC=A675)),""),"")</f>
        <v/>
      </c>
    </row>
    <row r="676" spans="1:10" x14ac:dyDescent="0.25">
      <c r="A676" s="3" t="str">
        <f ca="1">IF(A675="ID",1,IF(ISBLANK(B676),"",MAX(A$2:A675)+1))</f>
        <v/>
      </c>
      <c r="I676" s="2" t="str">
        <f ca="1">IF(ISNUMBER(A676),
IF(COUNTIFS(Equipar!B:B,4,Equipar!AC:AC,A676),"Equipada",
IF(
  OR(COUNTIFS(Equipar!B:B,4,Equipar!C:C,A676)
 +COUNTIFS(Equipar!B:B,4,Equipar!D:D,A676)
+COUNTIFS(Equipar!B:B,4,Equipar!E:E,A676)
+COUNTIFS(Equipar!B:B,4,Equipar!F:F,A676)
&gt;0,COUNTIF('Set recomendado'!B:B,C676)=0),
"Bloqueada",
"Desechable")),""
)</f>
        <v/>
      </c>
      <c r="J676" t="str" cm="1">
        <f t="array" aca="1" ref="J676" ca="1">IF(ISNUMBER(A676),IFERROR(_xlfn._xlws.FILTER(Equipar!A:A,(Equipar!B:B=4)*(Equipar!AC:AC=A676)),""),"")</f>
        <v/>
      </c>
    </row>
    <row r="677" spans="1:10" x14ac:dyDescent="0.25">
      <c r="A677" s="3" t="str">
        <f ca="1">IF(A676="ID",1,IF(ISBLANK(B677),"",MAX(A$2:A676)+1))</f>
        <v/>
      </c>
      <c r="I677" s="2" t="str">
        <f ca="1">IF(ISNUMBER(A677),
IF(COUNTIFS(Equipar!B:B,4,Equipar!AC:AC,A677),"Equipada",
IF(
  OR(COUNTIFS(Equipar!B:B,4,Equipar!C:C,A677)
 +COUNTIFS(Equipar!B:B,4,Equipar!D:D,A677)
+COUNTIFS(Equipar!B:B,4,Equipar!E:E,A677)
+COUNTIFS(Equipar!B:B,4,Equipar!F:F,A677)
&gt;0,COUNTIF('Set recomendado'!B:B,C677)=0),
"Bloqueada",
"Desechable")),""
)</f>
        <v/>
      </c>
      <c r="J677" t="str" cm="1">
        <f t="array" aca="1" ref="J677" ca="1">IF(ISNUMBER(A677),IFERROR(_xlfn._xlws.FILTER(Equipar!A:A,(Equipar!B:B=4)*(Equipar!AC:AC=A677)),""),"")</f>
        <v/>
      </c>
    </row>
    <row r="678" spans="1:10" x14ac:dyDescent="0.25">
      <c r="A678" s="3" t="str">
        <f ca="1">IF(A677="ID",1,IF(ISBLANK(B678),"",MAX(A$2:A677)+1))</f>
        <v/>
      </c>
      <c r="I678" s="2" t="str">
        <f ca="1">IF(ISNUMBER(A678),
IF(COUNTIFS(Equipar!B:B,4,Equipar!AC:AC,A678),"Equipada",
IF(
  OR(COUNTIFS(Equipar!B:B,4,Equipar!C:C,A678)
 +COUNTIFS(Equipar!B:B,4,Equipar!D:D,A678)
+COUNTIFS(Equipar!B:B,4,Equipar!E:E,A678)
+COUNTIFS(Equipar!B:B,4,Equipar!F:F,A678)
&gt;0,COUNTIF('Set recomendado'!B:B,C678)=0),
"Bloqueada",
"Desechable")),""
)</f>
        <v/>
      </c>
      <c r="J678" t="str" cm="1">
        <f t="array" aca="1" ref="J678" ca="1">IF(ISNUMBER(A678),IFERROR(_xlfn._xlws.FILTER(Equipar!A:A,(Equipar!B:B=4)*(Equipar!AC:AC=A678)),""),"")</f>
        <v/>
      </c>
    </row>
    <row r="679" spans="1:10" x14ac:dyDescent="0.25">
      <c r="A679" s="3" t="str">
        <f ca="1">IF(A678="ID",1,IF(ISBLANK(B679),"",MAX(A$2:A678)+1))</f>
        <v/>
      </c>
      <c r="I679" s="2" t="str">
        <f ca="1">IF(ISNUMBER(A679),
IF(COUNTIFS(Equipar!B:B,4,Equipar!AC:AC,A679),"Equipada",
IF(
  OR(COUNTIFS(Equipar!B:B,4,Equipar!C:C,A679)
 +COUNTIFS(Equipar!B:B,4,Equipar!D:D,A679)
+COUNTIFS(Equipar!B:B,4,Equipar!E:E,A679)
+COUNTIFS(Equipar!B:B,4,Equipar!F:F,A679)
&gt;0,COUNTIF('Set recomendado'!B:B,C679)=0),
"Bloqueada",
"Desechable")),""
)</f>
        <v/>
      </c>
      <c r="J679" t="str" cm="1">
        <f t="array" aca="1" ref="J679" ca="1">IF(ISNUMBER(A679),IFERROR(_xlfn._xlws.FILTER(Equipar!A:A,(Equipar!B:B=4)*(Equipar!AC:AC=A679)),""),"")</f>
        <v/>
      </c>
    </row>
    <row r="680" spans="1:10" x14ac:dyDescent="0.25">
      <c r="A680" s="3" t="str">
        <f ca="1">IF(A679="ID",1,IF(ISBLANK(B680),"",MAX(A$2:A679)+1))</f>
        <v/>
      </c>
      <c r="I680" s="2" t="str">
        <f ca="1">IF(ISNUMBER(A680),
IF(COUNTIFS(Equipar!B:B,4,Equipar!AC:AC,A680),"Equipada",
IF(
  OR(COUNTIFS(Equipar!B:B,4,Equipar!C:C,A680)
 +COUNTIFS(Equipar!B:B,4,Equipar!D:D,A680)
+COUNTIFS(Equipar!B:B,4,Equipar!E:E,A680)
+COUNTIFS(Equipar!B:B,4,Equipar!F:F,A680)
&gt;0,COUNTIF('Set recomendado'!B:B,C680)=0),
"Bloqueada",
"Desechable")),""
)</f>
        <v/>
      </c>
      <c r="J680" t="str" cm="1">
        <f t="array" aca="1" ref="J680" ca="1">IF(ISNUMBER(A680),IFERROR(_xlfn._xlws.FILTER(Equipar!A:A,(Equipar!B:B=4)*(Equipar!AC:AC=A680)),""),"")</f>
        <v/>
      </c>
    </row>
    <row r="681" spans="1:10" x14ac:dyDescent="0.25">
      <c r="A681" s="3" t="str">
        <f ca="1">IF(A680="ID",1,IF(ISBLANK(B681),"",MAX(A$2:A680)+1))</f>
        <v/>
      </c>
      <c r="I681" s="2" t="str">
        <f ca="1">IF(ISNUMBER(A681),
IF(COUNTIFS(Equipar!B:B,4,Equipar!AC:AC,A681),"Equipada",
IF(
  OR(COUNTIFS(Equipar!B:B,4,Equipar!C:C,A681)
 +COUNTIFS(Equipar!B:B,4,Equipar!D:D,A681)
+COUNTIFS(Equipar!B:B,4,Equipar!E:E,A681)
+COUNTIFS(Equipar!B:B,4,Equipar!F:F,A681)
&gt;0,COUNTIF('Set recomendado'!B:B,C681)=0),
"Bloqueada",
"Desechable")),""
)</f>
        <v/>
      </c>
      <c r="J681" t="str" cm="1">
        <f t="array" aca="1" ref="J681" ca="1">IF(ISNUMBER(A681),IFERROR(_xlfn._xlws.FILTER(Equipar!A:A,(Equipar!B:B=4)*(Equipar!AC:AC=A681)),""),"")</f>
        <v/>
      </c>
    </row>
    <row r="682" spans="1:10" x14ac:dyDescent="0.25">
      <c r="A682" s="3" t="str">
        <f ca="1">IF(A681="ID",1,IF(ISBLANK(B682),"",MAX(A$2:A681)+1))</f>
        <v/>
      </c>
      <c r="I682" s="2" t="str">
        <f ca="1">IF(ISNUMBER(A682),
IF(COUNTIFS(Equipar!B:B,4,Equipar!AC:AC,A682),"Equipada",
IF(
  OR(COUNTIFS(Equipar!B:B,4,Equipar!C:C,A682)
 +COUNTIFS(Equipar!B:B,4,Equipar!D:D,A682)
+COUNTIFS(Equipar!B:B,4,Equipar!E:E,A682)
+COUNTIFS(Equipar!B:B,4,Equipar!F:F,A682)
&gt;0,COUNTIF('Set recomendado'!B:B,C682)=0),
"Bloqueada",
"Desechable")),""
)</f>
        <v/>
      </c>
      <c r="J682" t="str" cm="1">
        <f t="array" aca="1" ref="J682" ca="1">IF(ISNUMBER(A682),IFERROR(_xlfn._xlws.FILTER(Equipar!A:A,(Equipar!B:B=4)*(Equipar!AC:AC=A682)),""),"")</f>
        <v/>
      </c>
    </row>
    <row r="683" spans="1:10" x14ac:dyDescent="0.25">
      <c r="A683" s="3" t="str">
        <f ca="1">IF(A682="ID",1,IF(ISBLANK(B683),"",MAX(A$2:A682)+1))</f>
        <v/>
      </c>
      <c r="I683" s="2" t="str">
        <f ca="1">IF(ISNUMBER(A683),
IF(COUNTIFS(Equipar!B:B,4,Equipar!AC:AC,A683),"Equipada",
IF(
  OR(COUNTIFS(Equipar!B:B,4,Equipar!C:C,A683)
 +COUNTIFS(Equipar!B:B,4,Equipar!D:D,A683)
+COUNTIFS(Equipar!B:B,4,Equipar!E:E,A683)
+COUNTIFS(Equipar!B:B,4,Equipar!F:F,A683)
&gt;0,COUNTIF('Set recomendado'!B:B,C683)=0),
"Bloqueada",
"Desechable")),""
)</f>
        <v/>
      </c>
      <c r="J683" t="str" cm="1">
        <f t="array" aca="1" ref="J683" ca="1">IF(ISNUMBER(A683),IFERROR(_xlfn._xlws.FILTER(Equipar!A:A,(Equipar!B:B=4)*(Equipar!AC:AC=A683)),""),"")</f>
        <v/>
      </c>
    </row>
    <row r="684" spans="1:10" x14ac:dyDescent="0.25">
      <c r="A684" s="3" t="str">
        <f ca="1">IF(A683="ID",1,IF(ISBLANK(B684),"",MAX(A$2:A683)+1))</f>
        <v/>
      </c>
      <c r="I684" s="2" t="str">
        <f ca="1">IF(ISNUMBER(A684),
IF(COUNTIFS(Equipar!B:B,4,Equipar!AC:AC,A684),"Equipada",
IF(
  OR(COUNTIFS(Equipar!B:B,4,Equipar!C:C,A684)
 +COUNTIFS(Equipar!B:B,4,Equipar!D:D,A684)
+COUNTIFS(Equipar!B:B,4,Equipar!E:E,A684)
+COUNTIFS(Equipar!B:B,4,Equipar!F:F,A684)
&gt;0,COUNTIF('Set recomendado'!B:B,C684)=0),
"Bloqueada",
"Desechable")),""
)</f>
        <v/>
      </c>
      <c r="J684" t="str" cm="1">
        <f t="array" aca="1" ref="J684" ca="1">IF(ISNUMBER(A684),IFERROR(_xlfn._xlws.FILTER(Equipar!A:A,(Equipar!B:B=4)*(Equipar!AC:AC=A684)),""),"")</f>
        <v/>
      </c>
    </row>
    <row r="685" spans="1:10" x14ac:dyDescent="0.25">
      <c r="A685" s="3" t="str">
        <f ca="1">IF(A684="ID",1,IF(ISBLANK(B685),"",MAX(A$2:A684)+1))</f>
        <v/>
      </c>
      <c r="I685" s="2" t="str">
        <f ca="1">IF(ISNUMBER(A685),
IF(COUNTIFS(Equipar!B:B,4,Equipar!AC:AC,A685),"Equipada",
IF(
  OR(COUNTIFS(Equipar!B:B,4,Equipar!C:C,A685)
 +COUNTIFS(Equipar!B:B,4,Equipar!D:D,A685)
+COUNTIFS(Equipar!B:B,4,Equipar!E:E,A685)
+COUNTIFS(Equipar!B:B,4,Equipar!F:F,A685)
&gt;0,COUNTIF('Set recomendado'!B:B,C685)=0),
"Bloqueada",
"Desechable")),""
)</f>
        <v/>
      </c>
      <c r="J685" t="str" cm="1">
        <f t="array" aca="1" ref="J685" ca="1">IF(ISNUMBER(A685),IFERROR(_xlfn._xlws.FILTER(Equipar!A:A,(Equipar!B:B=4)*(Equipar!AC:AC=A685)),""),"")</f>
        <v/>
      </c>
    </row>
    <row r="686" spans="1:10" x14ac:dyDescent="0.25">
      <c r="A686" s="3" t="str">
        <f ca="1">IF(A685="ID",1,IF(ISBLANK(B686),"",MAX(A$2:A685)+1))</f>
        <v/>
      </c>
      <c r="I686" s="2" t="str">
        <f ca="1">IF(ISNUMBER(A686),
IF(COUNTIFS(Equipar!B:B,4,Equipar!AC:AC,A686),"Equipada",
IF(
  OR(COUNTIFS(Equipar!B:B,4,Equipar!C:C,A686)
 +COUNTIFS(Equipar!B:B,4,Equipar!D:D,A686)
+COUNTIFS(Equipar!B:B,4,Equipar!E:E,A686)
+COUNTIFS(Equipar!B:B,4,Equipar!F:F,A686)
&gt;0,COUNTIF('Set recomendado'!B:B,C686)=0),
"Bloqueada",
"Desechable")),""
)</f>
        <v/>
      </c>
      <c r="J686" t="str" cm="1">
        <f t="array" aca="1" ref="J686" ca="1">IF(ISNUMBER(A686),IFERROR(_xlfn._xlws.FILTER(Equipar!A:A,(Equipar!B:B=4)*(Equipar!AC:AC=A686)),""),"")</f>
        <v/>
      </c>
    </row>
    <row r="687" spans="1:10" x14ac:dyDescent="0.25">
      <c r="A687" s="3" t="str">
        <f ca="1">IF(A686="ID",1,IF(ISBLANK(B687),"",MAX(A$2:A686)+1))</f>
        <v/>
      </c>
      <c r="I687" s="2" t="str">
        <f ca="1">IF(ISNUMBER(A687),
IF(COUNTIFS(Equipar!B:B,4,Equipar!AC:AC,A687),"Equipada",
IF(
  OR(COUNTIFS(Equipar!B:B,4,Equipar!C:C,A687)
 +COUNTIFS(Equipar!B:B,4,Equipar!D:D,A687)
+COUNTIFS(Equipar!B:B,4,Equipar!E:E,A687)
+COUNTIFS(Equipar!B:B,4,Equipar!F:F,A687)
&gt;0,COUNTIF('Set recomendado'!B:B,C687)=0),
"Bloqueada",
"Desechable")),""
)</f>
        <v/>
      </c>
      <c r="J687" t="str" cm="1">
        <f t="array" aca="1" ref="J687" ca="1">IF(ISNUMBER(A687),IFERROR(_xlfn._xlws.FILTER(Equipar!A:A,(Equipar!B:B=4)*(Equipar!AC:AC=A687)),""),"")</f>
        <v/>
      </c>
    </row>
    <row r="688" spans="1:10" x14ac:dyDescent="0.25">
      <c r="A688" s="3" t="str">
        <f ca="1">IF(A687="ID",1,IF(ISBLANK(B688),"",MAX(A$2:A687)+1))</f>
        <v/>
      </c>
      <c r="I688" s="2" t="str">
        <f ca="1">IF(ISNUMBER(A688),
IF(COUNTIFS(Equipar!B:B,4,Equipar!AC:AC,A688),"Equipada",
IF(
  OR(COUNTIFS(Equipar!B:B,4,Equipar!C:C,A688)
 +COUNTIFS(Equipar!B:B,4,Equipar!D:D,A688)
+COUNTIFS(Equipar!B:B,4,Equipar!E:E,A688)
+COUNTIFS(Equipar!B:B,4,Equipar!F:F,A688)
&gt;0,COUNTIF('Set recomendado'!B:B,C688)=0),
"Bloqueada",
"Desechable")),""
)</f>
        <v/>
      </c>
      <c r="J688" t="str" cm="1">
        <f t="array" aca="1" ref="J688" ca="1">IF(ISNUMBER(A688),IFERROR(_xlfn._xlws.FILTER(Equipar!A:A,(Equipar!B:B=4)*(Equipar!AC:AC=A688)),""),"")</f>
        <v/>
      </c>
    </row>
    <row r="689" spans="1:10" x14ac:dyDescent="0.25">
      <c r="A689" s="3" t="str">
        <f ca="1">IF(A688="ID",1,IF(ISBLANK(B689),"",MAX(A$2:A688)+1))</f>
        <v/>
      </c>
      <c r="I689" s="2" t="str">
        <f ca="1">IF(ISNUMBER(A689),
IF(COUNTIFS(Equipar!B:B,4,Equipar!AC:AC,A689),"Equipada",
IF(
  OR(COUNTIFS(Equipar!B:B,4,Equipar!C:C,A689)
 +COUNTIFS(Equipar!B:B,4,Equipar!D:D,A689)
+COUNTIFS(Equipar!B:B,4,Equipar!E:E,A689)
+COUNTIFS(Equipar!B:B,4,Equipar!F:F,A689)
&gt;0,COUNTIF('Set recomendado'!B:B,C689)=0),
"Bloqueada",
"Desechable")),""
)</f>
        <v/>
      </c>
      <c r="J689" t="str" cm="1">
        <f t="array" aca="1" ref="J689" ca="1">IF(ISNUMBER(A689),IFERROR(_xlfn._xlws.FILTER(Equipar!A:A,(Equipar!B:B=4)*(Equipar!AC:AC=A689)),""),"")</f>
        <v/>
      </c>
    </row>
    <row r="690" spans="1:10" x14ac:dyDescent="0.25">
      <c r="A690" s="3" t="str">
        <f ca="1">IF(A689="ID",1,IF(ISBLANK(B690),"",MAX(A$2:A689)+1))</f>
        <v/>
      </c>
      <c r="I690" s="2" t="str">
        <f ca="1">IF(ISNUMBER(A690),
IF(COUNTIFS(Equipar!B:B,4,Equipar!AC:AC,A690),"Equipada",
IF(
  OR(COUNTIFS(Equipar!B:B,4,Equipar!C:C,A690)
 +COUNTIFS(Equipar!B:B,4,Equipar!D:D,A690)
+COUNTIFS(Equipar!B:B,4,Equipar!E:E,A690)
+COUNTIFS(Equipar!B:B,4,Equipar!F:F,A690)
&gt;0,COUNTIF('Set recomendado'!B:B,C690)=0),
"Bloqueada",
"Desechable")),""
)</f>
        <v/>
      </c>
      <c r="J690" t="str" cm="1">
        <f t="array" aca="1" ref="J690" ca="1">IF(ISNUMBER(A690),IFERROR(_xlfn._xlws.FILTER(Equipar!A:A,(Equipar!B:B=4)*(Equipar!AC:AC=A690)),""),"")</f>
        <v/>
      </c>
    </row>
    <row r="691" spans="1:10" x14ac:dyDescent="0.25">
      <c r="A691" s="3" t="str">
        <f ca="1">IF(A690="ID",1,IF(ISBLANK(B691),"",MAX(A$2:A690)+1))</f>
        <v/>
      </c>
      <c r="I691" s="2" t="str">
        <f ca="1">IF(ISNUMBER(A691),
IF(COUNTIFS(Equipar!B:B,4,Equipar!AC:AC,A691),"Equipada",
IF(
  OR(COUNTIFS(Equipar!B:B,4,Equipar!C:C,A691)
 +COUNTIFS(Equipar!B:B,4,Equipar!D:D,A691)
+COUNTIFS(Equipar!B:B,4,Equipar!E:E,A691)
+COUNTIFS(Equipar!B:B,4,Equipar!F:F,A691)
&gt;0,COUNTIF('Set recomendado'!B:B,C691)=0),
"Bloqueada",
"Desechable")),""
)</f>
        <v/>
      </c>
      <c r="J691" t="str" cm="1">
        <f t="array" aca="1" ref="J691" ca="1">IF(ISNUMBER(A691),IFERROR(_xlfn._xlws.FILTER(Equipar!A:A,(Equipar!B:B=4)*(Equipar!AC:AC=A691)),""),"")</f>
        <v/>
      </c>
    </row>
    <row r="692" spans="1:10" x14ac:dyDescent="0.25">
      <c r="A692" s="3" t="str">
        <f ca="1">IF(A691="ID",1,IF(ISBLANK(B692),"",MAX(A$2:A691)+1))</f>
        <v/>
      </c>
      <c r="I692" s="2" t="str">
        <f ca="1">IF(ISNUMBER(A692),
IF(COUNTIFS(Equipar!B:B,4,Equipar!AC:AC,A692),"Equipada",
IF(
  OR(COUNTIFS(Equipar!B:B,4,Equipar!C:C,A692)
 +COUNTIFS(Equipar!B:B,4,Equipar!D:D,A692)
+COUNTIFS(Equipar!B:B,4,Equipar!E:E,A692)
+COUNTIFS(Equipar!B:B,4,Equipar!F:F,A692)
&gt;0,COUNTIF('Set recomendado'!B:B,C692)=0),
"Bloqueada",
"Desechable")),""
)</f>
        <v/>
      </c>
      <c r="J692" t="str" cm="1">
        <f t="array" aca="1" ref="J692" ca="1">IF(ISNUMBER(A692),IFERROR(_xlfn._xlws.FILTER(Equipar!A:A,(Equipar!B:B=4)*(Equipar!AC:AC=A692)),""),"")</f>
        <v/>
      </c>
    </row>
    <row r="693" spans="1:10" x14ac:dyDescent="0.25">
      <c r="A693" s="3" t="str">
        <f ca="1">IF(A692="ID",1,IF(ISBLANK(B693),"",MAX(A$2:A692)+1))</f>
        <v/>
      </c>
      <c r="I693" s="2" t="str">
        <f ca="1">IF(ISNUMBER(A693),
IF(COUNTIFS(Equipar!B:B,4,Equipar!AC:AC,A693),"Equipada",
IF(
  OR(COUNTIFS(Equipar!B:B,4,Equipar!C:C,A693)
 +COUNTIFS(Equipar!B:B,4,Equipar!D:D,A693)
+COUNTIFS(Equipar!B:B,4,Equipar!E:E,A693)
+COUNTIFS(Equipar!B:B,4,Equipar!F:F,A693)
&gt;0,COUNTIF('Set recomendado'!B:B,C693)=0),
"Bloqueada",
"Desechable")),""
)</f>
        <v/>
      </c>
      <c r="J693" t="str" cm="1">
        <f t="array" aca="1" ref="J693" ca="1">IF(ISNUMBER(A693),IFERROR(_xlfn._xlws.FILTER(Equipar!A:A,(Equipar!B:B=4)*(Equipar!AC:AC=A693)),""),"")</f>
        <v/>
      </c>
    </row>
    <row r="694" spans="1:10" x14ac:dyDescent="0.25">
      <c r="A694" s="3" t="str">
        <f ca="1">IF(A693="ID",1,IF(ISBLANK(B694),"",MAX(A$2:A693)+1))</f>
        <v/>
      </c>
      <c r="I694" s="2" t="str">
        <f ca="1">IF(ISNUMBER(A694),
IF(COUNTIFS(Equipar!B:B,4,Equipar!AC:AC,A694),"Equipada",
IF(
  OR(COUNTIFS(Equipar!B:B,4,Equipar!C:C,A694)
 +COUNTIFS(Equipar!B:B,4,Equipar!D:D,A694)
+COUNTIFS(Equipar!B:B,4,Equipar!E:E,A694)
+COUNTIFS(Equipar!B:B,4,Equipar!F:F,A694)
&gt;0,COUNTIF('Set recomendado'!B:B,C694)=0),
"Bloqueada",
"Desechable")),""
)</f>
        <v/>
      </c>
      <c r="J694" t="str" cm="1">
        <f t="array" aca="1" ref="J694" ca="1">IF(ISNUMBER(A694),IFERROR(_xlfn._xlws.FILTER(Equipar!A:A,(Equipar!B:B=4)*(Equipar!AC:AC=A694)),""),"")</f>
        <v/>
      </c>
    </row>
    <row r="695" spans="1:10" x14ac:dyDescent="0.25">
      <c r="A695" s="3" t="str">
        <f ca="1">IF(A694="ID",1,IF(ISBLANK(B695),"",MAX(A$2:A694)+1))</f>
        <v/>
      </c>
      <c r="I695" s="2" t="str">
        <f ca="1">IF(ISNUMBER(A695),
IF(COUNTIFS(Equipar!B:B,4,Equipar!AC:AC,A695),"Equipada",
IF(
  OR(COUNTIFS(Equipar!B:B,4,Equipar!C:C,A695)
 +COUNTIFS(Equipar!B:B,4,Equipar!D:D,A695)
+COUNTIFS(Equipar!B:B,4,Equipar!E:E,A695)
+COUNTIFS(Equipar!B:B,4,Equipar!F:F,A695)
&gt;0,COUNTIF('Set recomendado'!B:B,C695)=0),
"Bloqueada",
"Desechable")),""
)</f>
        <v/>
      </c>
      <c r="J695" t="str" cm="1">
        <f t="array" aca="1" ref="J695" ca="1">IF(ISNUMBER(A695),IFERROR(_xlfn._xlws.FILTER(Equipar!A:A,(Equipar!B:B=4)*(Equipar!AC:AC=A695)),""),"")</f>
        <v/>
      </c>
    </row>
    <row r="696" spans="1:10" x14ac:dyDescent="0.25">
      <c r="A696" s="3" t="str">
        <f ca="1">IF(A695="ID",1,IF(ISBLANK(B696),"",MAX(A$2:A695)+1))</f>
        <v/>
      </c>
      <c r="I696" s="2" t="str">
        <f ca="1">IF(ISNUMBER(A696),
IF(COUNTIFS(Equipar!B:B,4,Equipar!AC:AC,A696),"Equipada",
IF(
  OR(COUNTIFS(Equipar!B:B,4,Equipar!C:C,A696)
 +COUNTIFS(Equipar!B:B,4,Equipar!D:D,A696)
+COUNTIFS(Equipar!B:B,4,Equipar!E:E,A696)
+COUNTIFS(Equipar!B:B,4,Equipar!F:F,A696)
&gt;0,COUNTIF('Set recomendado'!B:B,C696)=0),
"Bloqueada",
"Desechable")),""
)</f>
        <v/>
      </c>
      <c r="J696" t="str" cm="1">
        <f t="array" aca="1" ref="J696" ca="1">IF(ISNUMBER(A696),IFERROR(_xlfn._xlws.FILTER(Equipar!A:A,(Equipar!B:B=4)*(Equipar!AC:AC=A696)),""),"")</f>
        <v/>
      </c>
    </row>
    <row r="697" spans="1:10" x14ac:dyDescent="0.25">
      <c r="A697" s="3" t="str">
        <f ca="1">IF(A696="ID",1,IF(ISBLANK(B697),"",MAX(A$2:A696)+1))</f>
        <v/>
      </c>
      <c r="I697" s="2" t="str">
        <f ca="1">IF(ISNUMBER(A697),
IF(COUNTIFS(Equipar!B:B,4,Equipar!AC:AC,A697),"Equipada",
IF(
  OR(COUNTIFS(Equipar!B:B,4,Equipar!C:C,A697)
 +COUNTIFS(Equipar!B:B,4,Equipar!D:D,A697)
+COUNTIFS(Equipar!B:B,4,Equipar!E:E,A697)
+COUNTIFS(Equipar!B:B,4,Equipar!F:F,A697)
&gt;0,COUNTIF('Set recomendado'!B:B,C697)=0),
"Bloqueada",
"Desechable")),""
)</f>
        <v/>
      </c>
      <c r="J697" t="str" cm="1">
        <f t="array" aca="1" ref="J697" ca="1">IF(ISNUMBER(A697),IFERROR(_xlfn._xlws.FILTER(Equipar!A:A,(Equipar!B:B=4)*(Equipar!AC:AC=A697)),""),"")</f>
        <v/>
      </c>
    </row>
    <row r="698" spans="1:10" x14ac:dyDescent="0.25">
      <c r="A698" s="3" t="str">
        <f ca="1">IF(A697="ID",1,IF(ISBLANK(B698),"",MAX(A$2:A697)+1))</f>
        <v/>
      </c>
      <c r="I698" s="2" t="str">
        <f ca="1">IF(ISNUMBER(A698),
IF(COUNTIFS(Equipar!B:B,4,Equipar!AC:AC,A698),"Equipada",
IF(
  OR(COUNTIFS(Equipar!B:B,4,Equipar!C:C,A698)
 +COUNTIFS(Equipar!B:B,4,Equipar!D:D,A698)
+COUNTIFS(Equipar!B:B,4,Equipar!E:E,A698)
+COUNTIFS(Equipar!B:B,4,Equipar!F:F,A698)
&gt;0,COUNTIF('Set recomendado'!B:B,C698)=0),
"Bloqueada",
"Desechable")),""
)</f>
        <v/>
      </c>
      <c r="J698" t="str" cm="1">
        <f t="array" aca="1" ref="J698" ca="1">IF(ISNUMBER(A698),IFERROR(_xlfn._xlws.FILTER(Equipar!A:A,(Equipar!B:B=4)*(Equipar!AC:AC=A698)),""),"")</f>
        <v/>
      </c>
    </row>
    <row r="699" spans="1:10" x14ac:dyDescent="0.25">
      <c r="A699" s="3" t="str">
        <f ca="1">IF(A698="ID",1,IF(ISBLANK(B699),"",MAX(A$2:A698)+1))</f>
        <v/>
      </c>
      <c r="I699" s="2" t="str">
        <f ca="1">IF(ISNUMBER(A699),
IF(COUNTIFS(Equipar!B:B,4,Equipar!AC:AC,A699),"Equipada",
IF(
  OR(COUNTIFS(Equipar!B:B,4,Equipar!C:C,A699)
 +COUNTIFS(Equipar!B:B,4,Equipar!D:D,A699)
+COUNTIFS(Equipar!B:B,4,Equipar!E:E,A699)
+COUNTIFS(Equipar!B:B,4,Equipar!F:F,A699)
&gt;0,COUNTIF('Set recomendado'!B:B,C699)=0),
"Bloqueada",
"Desechable")),""
)</f>
        <v/>
      </c>
      <c r="J699" t="str" cm="1">
        <f t="array" aca="1" ref="J699" ca="1">IF(ISNUMBER(A699),IFERROR(_xlfn._xlws.FILTER(Equipar!A:A,(Equipar!B:B=4)*(Equipar!AC:AC=A699)),""),"")</f>
        <v/>
      </c>
    </row>
    <row r="700" spans="1:10" x14ac:dyDescent="0.25">
      <c r="A700" s="3" t="str">
        <f ca="1">IF(A699="ID",1,IF(ISBLANK(B700),"",MAX(A$2:A699)+1))</f>
        <v/>
      </c>
      <c r="I700" s="2" t="str">
        <f ca="1">IF(ISNUMBER(A700),
IF(COUNTIFS(Equipar!B:B,4,Equipar!AC:AC,A700),"Equipada",
IF(
  OR(COUNTIFS(Equipar!B:B,4,Equipar!C:C,A700)
 +COUNTIFS(Equipar!B:B,4,Equipar!D:D,A700)
+COUNTIFS(Equipar!B:B,4,Equipar!E:E,A700)
+COUNTIFS(Equipar!B:B,4,Equipar!F:F,A700)
&gt;0,COUNTIF('Set recomendado'!B:B,C700)=0),
"Bloqueada",
"Desechable")),""
)</f>
        <v/>
      </c>
      <c r="J700" t="str" cm="1">
        <f t="array" aca="1" ref="J700" ca="1">IF(ISNUMBER(A700),IFERROR(_xlfn._xlws.FILTER(Equipar!A:A,(Equipar!B:B=4)*(Equipar!AC:AC=A700)),""),"")</f>
        <v/>
      </c>
    </row>
    <row r="701" spans="1:10" x14ac:dyDescent="0.25">
      <c r="A701" s="3" t="str">
        <f ca="1">IF(A700="ID",1,IF(ISBLANK(B701),"",MAX(A$2:A700)+1))</f>
        <v/>
      </c>
      <c r="I701" s="2" t="str">
        <f ca="1">IF(ISNUMBER(A701),
IF(COUNTIFS(Equipar!B:B,4,Equipar!AC:AC,A701),"Equipada",
IF(
  OR(COUNTIFS(Equipar!B:B,4,Equipar!C:C,A701)
 +COUNTIFS(Equipar!B:B,4,Equipar!D:D,A701)
+COUNTIFS(Equipar!B:B,4,Equipar!E:E,A701)
+COUNTIFS(Equipar!B:B,4,Equipar!F:F,A701)
&gt;0,COUNTIF('Set recomendado'!B:B,C701)=0),
"Bloqueada",
"Desechable")),""
)</f>
        <v/>
      </c>
      <c r="J701" t="str" cm="1">
        <f t="array" aca="1" ref="J701" ca="1">IF(ISNUMBER(A701),IFERROR(_xlfn._xlws.FILTER(Equipar!A:A,(Equipar!B:B=4)*(Equipar!AC:AC=A701)),""),"")</f>
        <v/>
      </c>
    </row>
    <row r="702" spans="1:10" x14ac:dyDescent="0.25">
      <c r="A702" s="3" t="str">
        <f ca="1">IF(A701="ID",1,IF(ISBLANK(B702),"",MAX(A$2:A701)+1))</f>
        <v/>
      </c>
      <c r="I702" s="2" t="str">
        <f ca="1">IF(ISNUMBER(A702),
IF(COUNTIFS(Equipar!B:B,4,Equipar!AC:AC,A702),"Equipada",
IF(
  OR(COUNTIFS(Equipar!B:B,4,Equipar!C:C,A702)
 +COUNTIFS(Equipar!B:B,4,Equipar!D:D,A702)
+COUNTIFS(Equipar!B:B,4,Equipar!E:E,A702)
+COUNTIFS(Equipar!B:B,4,Equipar!F:F,A702)
&gt;0,COUNTIF('Set recomendado'!B:B,C702)=0),
"Bloqueada",
"Desechable")),""
)</f>
        <v/>
      </c>
      <c r="J702" t="str" cm="1">
        <f t="array" aca="1" ref="J702" ca="1">IF(ISNUMBER(A702),IFERROR(_xlfn._xlws.FILTER(Equipar!A:A,(Equipar!B:B=4)*(Equipar!AC:AC=A702)),""),"")</f>
        <v/>
      </c>
    </row>
    <row r="703" spans="1:10" x14ac:dyDescent="0.25">
      <c r="A703" s="3" t="str">
        <f ca="1">IF(A702="ID",1,IF(ISBLANK(B703),"",MAX(A$2:A702)+1))</f>
        <v/>
      </c>
      <c r="I703" s="2" t="str">
        <f ca="1">IF(ISNUMBER(A703),
IF(COUNTIFS(Equipar!B:B,4,Equipar!AC:AC,A703),"Equipada",
IF(
  OR(COUNTIFS(Equipar!B:B,4,Equipar!C:C,A703)
 +COUNTIFS(Equipar!B:B,4,Equipar!D:D,A703)
+COUNTIFS(Equipar!B:B,4,Equipar!E:E,A703)
+COUNTIFS(Equipar!B:B,4,Equipar!F:F,A703)
&gt;0,COUNTIF('Set recomendado'!B:B,C703)=0),
"Bloqueada",
"Desechable")),""
)</f>
        <v/>
      </c>
      <c r="J703" t="str" cm="1">
        <f t="array" aca="1" ref="J703" ca="1">IF(ISNUMBER(A703),IFERROR(_xlfn._xlws.FILTER(Equipar!A:A,(Equipar!B:B=4)*(Equipar!AC:AC=A703)),""),"")</f>
        <v/>
      </c>
    </row>
    <row r="704" spans="1:10" x14ac:dyDescent="0.25">
      <c r="A704" s="3" t="str">
        <f ca="1">IF(A703="ID",1,IF(ISBLANK(B704),"",MAX(A$2:A703)+1))</f>
        <v/>
      </c>
      <c r="I704" s="2" t="str">
        <f ca="1">IF(ISNUMBER(A704),
IF(COUNTIFS(Equipar!B:B,4,Equipar!AC:AC,A704),"Equipada",
IF(
  OR(COUNTIFS(Equipar!B:B,4,Equipar!C:C,A704)
 +COUNTIFS(Equipar!B:B,4,Equipar!D:D,A704)
+COUNTIFS(Equipar!B:B,4,Equipar!E:E,A704)
+COUNTIFS(Equipar!B:B,4,Equipar!F:F,A704)
&gt;0,COUNTIF('Set recomendado'!B:B,C704)=0),
"Bloqueada",
"Desechable")),""
)</f>
        <v/>
      </c>
      <c r="J704" t="str" cm="1">
        <f t="array" aca="1" ref="J704" ca="1">IF(ISNUMBER(A704),IFERROR(_xlfn._xlws.FILTER(Equipar!A:A,(Equipar!B:B=4)*(Equipar!AC:AC=A704)),""),"")</f>
        <v/>
      </c>
    </row>
    <row r="705" spans="1:10" x14ac:dyDescent="0.25">
      <c r="A705" s="3" t="str">
        <f ca="1">IF(A704="ID",1,IF(ISBLANK(B705),"",MAX(A$2:A704)+1))</f>
        <v/>
      </c>
      <c r="I705" s="2" t="str">
        <f ca="1">IF(ISNUMBER(A705),
IF(COUNTIFS(Equipar!B:B,4,Equipar!AC:AC,A705),"Equipada",
IF(
  OR(COUNTIFS(Equipar!B:B,4,Equipar!C:C,A705)
 +COUNTIFS(Equipar!B:B,4,Equipar!D:D,A705)
+COUNTIFS(Equipar!B:B,4,Equipar!E:E,A705)
+COUNTIFS(Equipar!B:B,4,Equipar!F:F,A705)
&gt;0,COUNTIF('Set recomendado'!B:B,C705)=0),
"Bloqueada",
"Desechable")),""
)</f>
        <v/>
      </c>
      <c r="J705" t="str" cm="1">
        <f t="array" aca="1" ref="J705" ca="1">IF(ISNUMBER(A705),IFERROR(_xlfn._xlws.FILTER(Equipar!A:A,(Equipar!B:B=4)*(Equipar!AC:AC=A705)),""),"")</f>
        <v/>
      </c>
    </row>
    <row r="706" spans="1:10" x14ac:dyDescent="0.25">
      <c r="A706" s="3" t="str">
        <f ca="1">IF(A705="ID",1,IF(ISBLANK(B706),"",MAX(A$2:A705)+1))</f>
        <v/>
      </c>
      <c r="I706" s="2" t="str">
        <f ca="1">IF(ISNUMBER(A706),
IF(COUNTIFS(Equipar!B:B,4,Equipar!AC:AC,A706),"Equipada",
IF(
  OR(COUNTIFS(Equipar!B:B,4,Equipar!C:C,A706)
 +COUNTIFS(Equipar!B:B,4,Equipar!D:D,A706)
+COUNTIFS(Equipar!B:B,4,Equipar!E:E,A706)
+COUNTIFS(Equipar!B:B,4,Equipar!F:F,A706)
&gt;0,COUNTIF('Set recomendado'!B:B,C706)=0),
"Bloqueada",
"Desechable")),""
)</f>
        <v/>
      </c>
      <c r="J706" t="str" cm="1">
        <f t="array" aca="1" ref="J706" ca="1">IF(ISNUMBER(A706),IFERROR(_xlfn._xlws.FILTER(Equipar!A:A,(Equipar!B:B=4)*(Equipar!AC:AC=A706)),""),"")</f>
        <v/>
      </c>
    </row>
    <row r="707" spans="1:10" x14ac:dyDescent="0.25">
      <c r="A707" s="3" t="str">
        <f ca="1">IF(A706="ID",1,IF(ISBLANK(B707),"",MAX(A$2:A706)+1))</f>
        <v/>
      </c>
      <c r="I707" s="2" t="str">
        <f ca="1">IF(ISNUMBER(A707),
IF(COUNTIFS(Equipar!B:B,4,Equipar!AC:AC,A707),"Equipada",
IF(
  OR(COUNTIFS(Equipar!B:B,4,Equipar!C:C,A707)
 +COUNTIFS(Equipar!B:B,4,Equipar!D:D,A707)
+COUNTIFS(Equipar!B:B,4,Equipar!E:E,A707)
+COUNTIFS(Equipar!B:B,4,Equipar!F:F,A707)
&gt;0,COUNTIF('Set recomendado'!B:B,C707)=0),
"Bloqueada",
"Desechable")),""
)</f>
        <v/>
      </c>
      <c r="J707" t="str" cm="1">
        <f t="array" aca="1" ref="J707" ca="1">IF(ISNUMBER(A707),IFERROR(_xlfn._xlws.FILTER(Equipar!A:A,(Equipar!B:B=4)*(Equipar!AC:AC=A707)),""),"")</f>
        <v/>
      </c>
    </row>
    <row r="708" spans="1:10" x14ac:dyDescent="0.25">
      <c r="A708" s="3" t="str">
        <f ca="1">IF(A707="ID",1,IF(ISBLANK(B708),"",MAX(A$2:A707)+1))</f>
        <v/>
      </c>
      <c r="I708" s="2" t="str">
        <f ca="1">IF(ISNUMBER(A708),
IF(COUNTIFS(Equipar!B:B,4,Equipar!AC:AC,A708),"Equipada",
IF(
  OR(COUNTIFS(Equipar!B:B,4,Equipar!C:C,A708)
 +COUNTIFS(Equipar!B:B,4,Equipar!D:D,A708)
+COUNTIFS(Equipar!B:B,4,Equipar!E:E,A708)
+COUNTIFS(Equipar!B:B,4,Equipar!F:F,A708)
&gt;0,COUNTIF('Set recomendado'!B:B,C708)=0),
"Bloqueada",
"Desechable")),""
)</f>
        <v/>
      </c>
      <c r="J708" t="str" cm="1">
        <f t="array" aca="1" ref="J708" ca="1">IF(ISNUMBER(A708),IFERROR(_xlfn._xlws.FILTER(Equipar!A:A,(Equipar!B:B=4)*(Equipar!AC:AC=A708)),""),"")</f>
        <v/>
      </c>
    </row>
    <row r="709" spans="1:10" x14ac:dyDescent="0.25">
      <c r="A709" s="3" t="str">
        <f ca="1">IF(A708="ID",1,IF(ISBLANK(B709),"",MAX(A$2:A708)+1))</f>
        <v/>
      </c>
      <c r="I709" s="2" t="str">
        <f ca="1">IF(ISNUMBER(A709),
IF(COUNTIFS(Equipar!B:B,4,Equipar!AC:AC,A709),"Equipada",
IF(
  OR(COUNTIFS(Equipar!B:B,4,Equipar!C:C,A709)
 +COUNTIFS(Equipar!B:B,4,Equipar!D:D,A709)
+COUNTIFS(Equipar!B:B,4,Equipar!E:E,A709)
+COUNTIFS(Equipar!B:B,4,Equipar!F:F,A709)
&gt;0,COUNTIF('Set recomendado'!B:B,C709)=0),
"Bloqueada",
"Desechable")),""
)</f>
        <v/>
      </c>
      <c r="J709" t="str" cm="1">
        <f t="array" aca="1" ref="J709" ca="1">IF(ISNUMBER(A709),IFERROR(_xlfn._xlws.FILTER(Equipar!A:A,(Equipar!B:B=4)*(Equipar!AC:AC=A709)),""),"")</f>
        <v/>
      </c>
    </row>
    <row r="710" spans="1:10" x14ac:dyDescent="0.25">
      <c r="A710" s="3" t="str">
        <f ca="1">IF(A709="ID",1,IF(ISBLANK(B710),"",MAX(A$2:A709)+1))</f>
        <v/>
      </c>
      <c r="I710" s="2" t="str">
        <f ca="1">IF(ISNUMBER(A710),
IF(COUNTIFS(Equipar!B:B,4,Equipar!AC:AC,A710),"Equipada",
IF(
  OR(COUNTIFS(Equipar!B:B,4,Equipar!C:C,A710)
 +COUNTIFS(Equipar!B:B,4,Equipar!D:D,A710)
+COUNTIFS(Equipar!B:B,4,Equipar!E:E,A710)
+COUNTIFS(Equipar!B:B,4,Equipar!F:F,A710)
&gt;0,COUNTIF('Set recomendado'!B:B,C710)=0),
"Bloqueada",
"Desechable")),""
)</f>
        <v/>
      </c>
      <c r="J710" t="str" cm="1">
        <f t="array" aca="1" ref="J710" ca="1">IF(ISNUMBER(A710),IFERROR(_xlfn._xlws.FILTER(Equipar!A:A,(Equipar!B:B=4)*(Equipar!AC:AC=A710)),""),"")</f>
        <v/>
      </c>
    </row>
    <row r="711" spans="1:10" x14ac:dyDescent="0.25">
      <c r="A711" s="3" t="str">
        <f ca="1">IF(A710="ID",1,IF(ISBLANK(B711),"",MAX(A$2:A710)+1))</f>
        <v/>
      </c>
      <c r="I711" s="2" t="str">
        <f ca="1">IF(ISNUMBER(A711),
IF(COUNTIFS(Equipar!B:B,4,Equipar!AC:AC,A711),"Equipada",
IF(
  OR(COUNTIFS(Equipar!B:B,4,Equipar!C:C,A711)
 +COUNTIFS(Equipar!B:B,4,Equipar!D:D,A711)
+COUNTIFS(Equipar!B:B,4,Equipar!E:E,A711)
+COUNTIFS(Equipar!B:B,4,Equipar!F:F,A711)
&gt;0,COUNTIF('Set recomendado'!B:B,C711)=0),
"Bloqueada",
"Desechable")),""
)</f>
        <v/>
      </c>
      <c r="J711" t="str" cm="1">
        <f t="array" aca="1" ref="J711" ca="1">IF(ISNUMBER(A711),IFERROR(_xlfn._xlws.FILTER(Equipar!A:A,(Equipar!B:B=4)*(Equipar!AC:AC=A711)),""),"")</f>
        <v/>
      </c>
    </row>
    <row r="712" spans="1:10" x14ac:dyDescent="0.25">
      <c r="A712" s="3" t="str">
        <f ca="1">IF(A711="ID",1,IF(ISBLANK(B712),"",MAX(A$2:A711)+1))</f>
        <v/>
      </c>
      <c r="I712" s="2" t="str">
        <f ca="1">IF(ISNUMBER(A712),
IF(COUNTIFS(Equipar!B:B,4,Equipar!AC:AC,A712),"Equipada",
IF(
  OR(COUNTIFS(Equipar!B:B,4,Equipar!C:C,A712)
 +COUNTIFS(Equipar!B:B,4,Equipar!D:D,A712)
+COUNTIFS(Equipar!B:B,4,Equipar!E:E,A712)
+COUNTIFS(Equipar!B:B,4,Equipar!F:F,A712)
&gt;0,COUNTIF('Set recomendado'!B:B,C712)=0),
"Bloqueada",
"Desechable")),""
)</f>
        <v/>
      </c>
      <c r="J712" t="str" cm="1">
        <f t="array" aca="1" ref="J712" ca="1">IF(ISNUMBER(A712),IFERROR(_xlfn._xlws.FILTER(Equipar!A:A,(Equipar!B:B=4)*(Equipar!AC:AC=A712)),""),"")</f>
        <v/>
      </c>
    </row>
    <row r="713" spans="1:10" x14ac:dyDescent="0.25">
      <c r="A713" s="3" t="str">
        <f ca="1">IF(A712="ID",1,IF(ISBLANK(B713),"",MAX(A$2:A712)+1))</f>
        <v/>
      </c>
      <c r="I713" s="2" t="str">
        <f ca="1">IF(ISNUMBER(A713),
IF(COUNTIFS(Equipar!B:B,4,Equipar!AC:AC,A713),"Equipada",
IF(
  OR(COUNTIFS(Equipar!B:B,4,Equipar!C:C,A713)
 +COUNTIFS(Equipar!B:B,4,Equipar!D:D,A713)
+COUNTIFS(Equipar!B:B,4,Equipar!E:E,A713)
+COUNTIFS(Equipar!B:B,4,Equipar!F:F,A713)
&gt;0,COUNTIF('Set recomendado'!B:B,C713)=0),
"Bloqueada",
"Desechable")),""
)</f>
        <v/>
      </c>
      <c r="J713" t="str" cm="1">
        <f t="array" aca="1" ref="J713" ca="1">IF(ISNUMBER(A713),IFERROR(_xlfn._xlws.FILTER(Equipar!A:A,(Equipar!B:B=4)*(Equipar!AC:AC=A713)),""),"")</f>
        <v/>
      </c>
    </row>
    <row r="714" spans="1:10" x14ac:dyDescent="0.25">
      <c r="A714" s="3" t="str">
        <f ca="1">IF(A713="ID",1,IF(ISBLANK(B714),"",MAX(A$2:A713)+1))</f>
        <v/>
      </c>
      <c r="I714" s="2" t="str">
        <f ca="1">IF(ISNUMBER(A714),
IF(COUNTIFS(Equipar!B:B,4,Equipar!AC:AC,A714),"Equipada",
IF(
  OR(COUNTIFS(Equipar!B:B,4,Equipar!C:C,A714)
 +COUNTIFS(Equipar!B:B,4,Equipar!D:D,A714)
+COUNTIFS(Equipar!B:B,4,Equipar!E:E,A714)
+COUNTIFS(Equipar!B:B,4,Equipar!F:F,A714)
&gt;0,COUNTIF('Set recomendado'!B:B,C714)=0),
"Bloqueada",
"Desechable")),""
)</f>
        <v/>
      </c>
      <c r="J714" t="str" cm="1">
        <f t="array" aca="1" ref="J714" ca="1">IF(ISNUMBER(A714),IFERROR(_xlfn._xlws.FILTER(Equipar!A:A,(Equipar!B:B=4)*(Equipar!AC:AC=A714)),""),"")</f>
        <v/>
      </c>
    </row>
    <row r="715" spans="1:10" x14ac:dyDescent="0.25">
      <c r="A715" s="3" t="str">
        <f ca="1">IF(A714="ID",1,IF(ISBLANK(B715),"",MAX(A$2:A714)+1))</f>
        <v/>
      </c>
      <c r="I715" s="2" t="str">
        <f ca="1">IF(ISNUMBER(A715),
IF(COUNTIFS(Equipar!B:B,4,Equipar!AC:AC,A715),"Equipada",
IF(
  OR(COUNTIFS(Equipar!B:B,4,Equipar!C:C,A715)
 +COUNTIFS(Equipar!B:B,4,Equipar!D:D,A715)
+COUNTIFS(Equipar!B:B,4,Equipar!E:E,A715)
+COUNTIFS(Equipar!B:B,4,Equipar!F:F,A715)
&gt;0,COUNTIF('Set recomendado'!B:B,C715)=0),
"Bloqueada",
"Desechable")),""
)</f>
        <v/>
      </c>
      <c r="J715" t="str" cm="1">
        <f t="array" aca="1" ref="J715" ca="1">IF(ISNUMBER(A715),IFERROR(_xlfn._xlws.FILTER(Equipar!A:A,(Equipar!B:B=4)*(Equipar!AC:AC=A715)),""),"")</f>
        <v/>
      </c>
    </row>
    <row r="716" spans="1:10" x14ac:dyDescent="0.25">
      <c r="A716" s="3" t="str">
        <f ca="1">IF(A715="ID",1,IF(ISBLANK(B716),"",MAX(A$2:A715)+1))</f>
        <v/>
      </c>
      <c r="I716" s="2" t="str">
        <f ca="1">IF(ISNUMBER(A716),
IF(COUNTIFS(Equipar!B:B,4,Equipar!AC:AC,A716),"Equipada",
IF(
  OR(COUNTIFS(Equipar!B:B,4,Equipar!C:C,A716)
 +COUNTIFS(Equipar!B:B,4,Equipar!D:D,A716)
+COUNTIFS(Equipar!B:B,4,Equipar!E:E,A716)
+COUNTIFS(Equipar!B:B,4,Equipar!F:F,A716)
&gt;0,COUNTIF('Set recomendado'!B:B,C716)=0),
"Bloqueada",
"Desechable")),""
)</f>
        <v/>
      </c>
      <c r="J716" t="str" cm="1">
        <f t="array" aca="1" ref="J716" ca="1">IF(ISNUMBER(A716),IFERROR(_xlfn._xlws.FILTER(Equipar!A:A,(Equipar!B:B=4)*(Equipar!AC:AC=A716)),""),"")</f>
        <v/>
      </c>
    </row>
    <row r="717" spans="1:10" x14ac:dyDescent="0.25">
      <c r="A717" s="3" t="str">
        <f ca="1">IF(A716="ID",1,IF(ISBLANK(B717),"",MAX(A$2:A716)+1))</f>
        <v/>
      </c>
      <c r="I717" s="2" t="str">
        <f ca="1">IF(ISNUMBER(A717),
IF(COUNTIFS(Equipar!B:B,4,Equipar!AC:AC,A717),"Equipada",
IF(
  OR(COUNTIFS(Equipar!B:B,4,Equipar!C:C,A717)
 +COUNTIFS(Equipar!B:B,4,Equipar!D:D,A717)
+COUNTIFS(Equipar!B:B,4,Equipar!E:E,A717)
+COUNTIFS(Equipar!B:B,4,Equipar!F:F,A717)
&gt;0,COUNTIF('Set recomendado'!B:B,C717)=0),
"Bloqueada",
"Desechable")),""
)</f>
        <v/>
      </c>
      <c r="J717" t="str" cm="1">
        <f t="array" aca="1" ref="J717" ca="1">IF(ISNUMBER(A717),IFERROR(_xlfn._xlws.FILTER(Equipar!A:A,(Equipar!B:B=4)*(Equipar!AC:AC=A717)),""),"")</f>
        <v/>
      </c>
    </row>
    <row r="718" spans="1:10" x14ac:dyDescent="0.25">
      <c r="A718" s="3" t="str">
        <f ca="1">IF(A717="ID",1,IF(ISBLANK(B718),"",MAX(A$2:A717)+1))</f>
        <v/>
      </c>
      <c r="I718" s="2" t="str">
        <f ca="1">IF(ISNUMBER(A718),
IF(COUNTIFS(Equipar!B:B,4,Equipar!AC:AC,A718),"Equipada",
IF(
  OR(COUNTIFS(Equipar!B:B,4,Equipar!C:C,A718)
 +COUNTIFS(Equipar!B:B,4,Equipar!D:D,A718)
+COUNTIFS(Equipar!B:B,4,Equipar!E:E,A718)
+COUNTIFS(Equipar!B:B,4,Equipar!F:F,A718)
&gt;0,COUNTIF('Set recomendado'!B:B,C718)=0),
"Bloqueada",
"Desechable")),""
)</f>
        <v/>
      </c>
      <c r="J718" t="str" cm="1">
        <f t="array" aca="1" ref="J718" ca="1">IF(ISNUMBER(A718),IFERROR(_xlfn._xlws.FILTER(Equipar!A:A,(Equipar!B:B=4)*(Equipar!AC:AC=A718)),""),"")</f>
        <v/>
      </c>
    </row>
    <row r="719" spans="1:10" x14ac:dyDescent="0.25">
      <c r="A719" s="3" t="str">
        <f ca="1">IF(A718="ID",1,IF(ISBLANK(B719),"",MAX(A$2:A718)+1))</f>
        <v/>
      </c>
      <c r="I719" s="2" t="str">
        <f ca="1">IF(ISNUMBER(A719),
IF(COUNTIFS(Equipar!B:B,4,Equipar!AC:AC,A719),"Equipada",
IF(
  OR(COUNTIFS(Equipar!B:B,4,Equipar!C:C,A719)
 +COUNTIFS(Equipar!B:B,4,Equipar!D:D,A719)
+COUNTIFS(Equipar!B:B,4,Equipar!E:E,A719)
+COUNTIFS(Equipar!B:B,4,Equipar!F:F,A719)
&gt;0,COUNTIF('Set recomendado'!B:B,C719)=0),
"Bloqueada",
"Desechable")),""
)</f>
        <v/>
      </c>
      <c r="J719" t="str" cm="1">
        <f t="array" aca="1" ref="J719" ca="1">IF(ISNUMBER(A719),IFERROR(_xlfn._xlws.FILTER(Equipar!A:A,(Equipar!B:B=4)*(Equipar!AC:AC=A719)),""),"")</f>
        <v/>
      </c>
    </row>
    <row r="720" spans="1:10" x14ac:dyDescent="0.25">
      <c r="A720" s="3" t="str">
        <f ca="1">IF(A719="ID",1,IF(ISBLANK(B720),"",MAX(A$2:A719)+1))</f>
        <v/>
      </c>
      <c r="I720" s="2" t="str">
        <f ca="1">IF(ISNUMBER(A720),
IF(COUNTIFS(Equipar!B:B,4,Equipar!AC:AC,A720),"Equipada",
IF(
  OR(COUNTIFS(Equipar!B:B,4,Equipar!C:C,A720)
 +COUNTIFS(Equipar!B:B,4,Equipar!D:D,A720)
+COUNTIFS(Equipar!B:B,4,Equipar!E:E,A720)
+COUNTIFS(Equipar!B:B,4,Equipar!F:F,A720)
&gt;0,COUNTIF('Set recomendado'!B:B,C720)=0),
"Bloqueada",
"Desechable")),""
)</f>
        <v/>
      </c>
      <c r="J720" t="str" cm="1">
        <f t="array" aca="1" ref="J720" ca="1">IF(ISNUMBER(A720),IFERROR(_xlfn._xlws.FILTER(Equipar!A:A,(Equipar!B:B=4)*(Equipar!AC:AC=A720)),""),"")</f>
        <v/>
      </c>
    </row>
    <row r="721" spans="1:10" x14ac:dyDescent="0.25">
      <c r="A721" s="3" t="str">
        <f ca="1">IF(A720="ID",1,IF(ISBLANK(B721),"",MAX(A$2:A720)+1))</f>
        <v/>
      </c>
      <c r="I721" s="2" t="str">
        <f ca="1">IF(ISNUMBER(A721),
IF(COUNTIFS(Equipar!B:B,4,Equipar!AC:AC,A721),"Equipada",
IF(
  OR(COUNTIFS(Equipar!B:B,4,Equipar!C:C,A721)
 +COUNTIFS(Equipar!B:B,4,Equipar!D:D,A721)
+COUNTIFS(Equipar!B:B,4,Equipar!E:E,A721)
+COUNTIFS(Equipar!B:B,4,Equipar!F:F,A721)
&gt;0,COUNTIF('Set recomendado'!B:B,C721)=0),
"Bloqueada",
"Desechable")),""
)</f>
        <v/>
      </c>
      <c r="J721" t="str" cm="1">
        <f t="array" aca="1" ref="J721" ca="1">IF(ISNUMBER(A721),IFERROR(_xlfn._xlws.FILTER(Equipar!A:A,(Equipar!B:B=4)*(Equipar!AC:AC=A721)),""),"")</f>
        <v/>
      </c>
    </row>
    <row r="722" spans="1:10" x14ac:dyDescent="0.25">
      <c r="A722" s="3" t="str">
        <f ca="1">IF(A721="ID",1,IF(ISBLANK(B722),"",MAX(A$2:A721)+1))</f>
        <v/>
      </c>
      <c r="I722" s="2" t="str">
        <f ca="1">IF(ISNUMBER(A722),
IF(COUNTIFS(Equipar!B:B,4,Equipar!AC:AC,A722),"Equipada",
IF(
  OR(COUNTIFS(Equipar!B:B,4,Equipar!C:C,A722)
 +COUNTIFS(Equipar!B:B,4,Equipar!D:D,A722)
+COUNTIFS(Equipar!B:B,4,Equipar!E:E,A722)
+COUNTIFS(Equipar!B:B,4,Equipar!F:F,A722)
&gt;0,COUNTIF('Set recomendado'!B:B,C722)=0),
"Bloqueada",
"Desechable")),""
)</f>
        <v/>
      </c>
      <c r="J722" t="str" cm="1">
        <f t="array" aca="1" ref="J722" ca="1">IF(ISNUMBER(A722),IFERROR(_xlfn._xlws.FILTER(Equipar!A:A,(Equipar!B:B=4)*(Equipar!AC:AC=A722)),""),"")</f>
        <v/>
      </c>
    </row>
    <row r="723" spans="1:10" x14ac:dyDescent="0.25">
      <c r="A723" s="3" t="str">
        <f ca="1">IF(A722="ID",1,IF(ISBLANK(B723),"",MAX(A$2:A722)+1))</f>
        <v/>
      </c>
      <c r="I723" s="2" t="str">
        <f ca="1">IF(ISNUMBER(A723),
IF(COUNTIFS(Equipar!B:B,4,Equipar!AC:AC,A723),"Equipada",
IF(
  OR(COUNTIFS(Equipar!B:B,4,Equipar!C:C,A723)
 +COUNTIFS(Equipar!B:B,4,Equipar!D:D,A723)
+COUNTIFS(Equipar!B:B,4,Equipar!E:E,A723)
+COUNTIFS(Equipar!B:B,4,Equipar!F:F,A723)
&gt;0,COUNTIF('Set recomendado'!B:B,C723)=0),
"Bloqueada",
"Desechable")),""
)</f>
        <v/>
      </c>
      <c r="J723" t="str" cm="1">
        <f t="array" aca="1" ref="J723" ca="1">IF(ISNUMBER(A723),IFERROR(_xlfn._xlws.FILTER(Equipar!A:A,(Equipar!B:B=4)*(Equipar!AC:AC=A723)),""),"")</f>
        <v/>
      </c>
    </row>
    <row r="724" spans="1:10" x14ac:dyDescent="0.25">
      <c r="A724" s="3" t="str">
        <f ca="1">IF(A723="ID",1,IF(ISBLANK(B724),"",MAX(A$2:A723)+1))</f>
        <v/>
      </c>
      <c r="I724" s="2" t="str">
        <f ca="1">IF(ISNUMBER(A724),
IF(COUNTIFS(Equipar!B:B,4,Equipar!AC:AC,A724),"Equipada",
IF(
  OR(COUNTIFS(Equipar!B:B,4,Equipar!C:C,A724)
 +COUNTIFS(Equipar!B:B,4,Equipar!D:D,A724)
+COUNTIFS(Equipar!B:B,4,Equipar!E:E,A724)
+COUNTIFS(Equipar!B:B,4,Equipar!F:F,A724)
&gt;0,COUNTIF('Set recomendado'!B:B,C724)=0),
"Bloqueada",
"Desechable")),""
)</f>
        <v/>
      </c>
      <c r="J724" t="str" cm="1">
        <f t="array" aca="1" ref="J724" ca="1">IF(ISNUMBER(A724),IFERROR(_xlfn._xlws.FILTER(Equipar!A:A,(Equipar!B:B=4)*(Equipar!AC:AC=A724)),""),"")</f>
        <v/>
      </c>
    </row>
    <row r="725" spans="1:10" x14ac:dyDescent="0.25">
      <c r="A725" s="3" t="str">
        <f ca="1">IF(A724="ID",1,IF(ISBLANK(B725),"",MAX(A$2:A724)+1))</f>
        <v/>
      </c>
      <c r="I725" s="2" t="str">
        <f ca="1">IF(ISNUMBER(A725),
IF(COUNTIFS(Equipar!B:B,4,Equipar!AC:AC,A725),"Equipada",
IF(
  OR(COUNTIFS(Equipar!B:B,4,Equipar!C:C,A725)
 +COUNTIFS(Equipar!B:B,4,Equipar!D:D,A725)
+COUNTIFS(Equipar!B:B,4,Equipar!E:E,A725)
+COUNTIFS(Equipar!B:B,4,Equipar!F:F,A725)
&gt;0,COUNTIF('Set recomendado'!B:B,C725)=0),
"Bloqueada",
"Desechable")),""
)</f>
        <v/>
      </c>
      <c r="J725" t="str" cm="1">
        <f t="array" aca="1" ref="J725" ca="1">IF(ISNUMBER(A725),IFERROR(_xlfn._xlws.FILTER(Equipar!A:A,(Equipar!B:B=4)*(Equipar!AC:AC=A725)),""),"")</f>
        <v/>
      </c>
    </row>
    <row r="726" spans="1:10" x14ac:dyDescent="0.25">
      <c r="A726" s="3" t="str">
        <f ca="1">IF(A725="ID",1,IF(ISBLANK(B726),"",MAX(A$2:A725)+1))</f>
        <v/>
      </c>
      <c r="I726" s="2" t="str">
        <f ca="1">IF(ISNUMBER(A726),
IF(COUNTIFS(Equipar!B:B,4,Equipar!AC:AC,A726),"Equipada",
IF(
  OR(COUNTIFS(Equipar!B:B,4,Equipar!C:C,A726)
 +COUNTIFS(Equipar!B:B,4,Equipar!D:D,A726)
+COUNTIFS(Equipar!B:B,4,Equipar!E:E,A726)
+COUNTIFS(Equipar!B:B,4,Equipar!F:F,A726)
&gt;0,COUNTIF('Set recomendado'!B:B,C726)=0),
"Bloqueada",
"Desechable")),""
)</f>
        <v/>
      </c>
      <c r="J726" t="str" cm="1">
        <f t="array" aca="1" ref="J726" ca="1">IF(ISNUMBER(A726),IFERROR(_xlfn._xlws.FILTER(Equipar!A:A,(Equipar!B:B=4)*(Equipar!AC:AC=A726)),""),"")</f>
        <v/>
      </c>
    </row>
    <row r="727" spans="1:10" x14ac:dyDescent="0.25">
      <c r="A727" s="3" t="str">
        <f ca="1">IF(A726="ID",1,IF(ISBLANK(B727),"",MAX(A$2:A726)+1))</f>
        <v/>
      </c>
      <c r="I727" s="2" t="str">
        <f ca="1">IF(ISNUMBER(A727),
IF(COUNTIFS(Equipar!B:B,4,Equipar!AC:AC,A727),"Equipada",
IF(
  OR(COUNTIFS(Equipar!B:B,4,Equipar!C:C,A727)
 +COUNTIFS(Equipar!B:B,4,Equipar!D:D,A727)
+COUNTIFS(Equipar!B:B,4,Equipar!E:E,A727)
+COUNTIFS(Equipar!B:B,4,Equipar!F:F,A727)
&gt;0,COUNTIF('Set recomendado'!B:B,C727)=0),
"Bloqueada",
"Desechable")),""
)</f>
        <v/>
      </c>
      <c r="J727" t="str" cm="1">
        <f t="array" aca="1" ref="J727" ca="1">IF(ISNUMBER(A727),IFERROR(_xlfn._xlws.FILTER(Equipar!A:A,(Equipar!B:B=4)*(Equipar!AC:AC=A727)),""),"")</f>
        <v/>
      </c>
    </row>
    <row r="728" spans="1:10" x14ac:dyDescent="0.25">
      <c r="A728" s="3" t="str">
        <f ca="1">IF(A727="ID",1,IF(ISBLANK(B728),"",MAX(A$2:A727)+1))</f>
        <v/>
      </c>
      <c r="I728" s="2" t="str">
        <f ca="1">IF(ISNUMBER(A728),
IF(COUNTIFS(Equipar!B:B,4,Equipar!AC:AC,A728),"Equipada",
IF(
  OR(COUNTIFS(Equipar!B:B,4,Equipar!C:C,A728)
 +COUNTIFS(Equipar!B:B,4,Equipar!D:D,A728)
+COUNTIFS(Equipar!B:B,4,Equipar!E:E,A728)
+COUNTIFS(Equipar!B:B,4,Equipar!F:F,A728)
&gt;0,COUNTIF('Set recomendado'!B:B,C728)=0),
"Bloqueada",
"Desechable")),""
)</f>
        <v/>
      </c>
      <c r="J728" t="str" cm="1">
        <f t="array" aca="1" ref="J728" ca="1">IF(ISNUMBER(A728),IFERROR(_xlfn._xlws.FILTER(Equipar!A:A,(Equipar!B:B=4)*(Equipar!AC:AC=A728)),""),"")</f>
        <v/>
      </c>
    </row>
    <row r="729" spans="1:10" x14ac:dyDescent="0.25">
      <c r="A729" s="3" t="str">
        <f ca="1">IF(A728="ID",1,IF(ISBLANK(B729),"",MAX(A$2:A728)+1))</f>
        <v/>
      </c>
      <c r="I729" s="2" t="str">
        <f ca="1">IF(ISNUMBER(A729),
IF(COUNTIFS(Equipar!B:B,4,Equipar!AC:AC,A729),"Equipada",
IF(
  OR(COUNTIFS(Equipar!B:B,4,Equipar!C:C,A729)
 +COUNTIFS(Equipar!B:B,4,Equipar!D:D,A729)
+COUNTIFS(Equipar!B:B,4,Equipar!E:E,A729)
+COUNTIFS(Equipar!B:B,4,Equipar!F:F,A729)
&gt;0,COUNTIF('Set recomendado'!B:B,C729)=0),
"Bloqueada",
"Desechable")),""
)</f>
        <v/>
      </c>
      <c r="J729" t="str" cm="1">
        <f t="array" aca="1" ref="J729" ca="1">IF(ISNUMBER(A729),IFERROR(_xlfn._xlws.FILTER(Equipar!A:A,(Equipar!B:B=4)*(Equipar!AC:AC=A729)),""),"")</f>
        <v/>
      </c>
    </row>
    <row r="730" spans="1:10" x14ac:dyDescent="0.25">
      <c r="A730" s="3" t="str">
        <f ca="1">IF(A729="ID",1,IF(ISBLANK(B730),"",MAX(A$2:A729)+1))</f>
        <v/>
      </c>
      <c r="I730" s="2" t="str">
        <f ca="1">IF(ISNUMBER(A730),
IF(COUNTIFS(Equipar!B:B,4,Equipar!AC:AC,A730),"Equipada",
IF(
  OR(COUNTIFS(Equipar!B:B,4,Equipar!C:C,A730)
 +COUNTIFS(Equipar!B:B,4,Equipar!D:D,A730)
+COUNTIFS(Equipar!B:B,4,Equipar!E:E,A730)
+COUNTIFS(Equipar!B:B,4,Equipar!F:F,A730)
&gt;0,COUNTIF('Set recomendado'!B:B,C730)=0),
"Bloqueada",
"Desechable")),""
)</f>
        <v/>
      </c>
      <c r="J730" t="str" cm="1">
        <f t="array" aca="1" ref="J730" ca="1">IF(ISNUMBER(A730),IFERROR(_xlfn._xlws.FILTER(Equipar!A:A,(Equipar!B:B=4)*(Equipar!AC:AC=A730)),""),"")</f>
        <v/>
      </c>
    </row>
    <row r="731" spans="1:10" x14ac:dyDescent="0.25">
      <c r="A731" s="3" t="str">
        <f ca="1">IF(A730="ID",1,IF(ISBLANK(B731),"",MAX(A$2:A730)+1))</f>
        <v/>
      </c>
      <c r="I731" s="2" t="str">
        <f ca="1">IF(ISNUMBER(A731),
IF(COUNTIFS(Equipar!B:B,4,Equipar!AC:AC,A731),"Equipada",
IF(
  OR(COUNTIFS(Equipar!B:B,4,Equipar!C:C,A731)
 +COUNTIFS(Equipar!B:B,4,Equipar!D:D,A731)
+COUNTIFS(Equipar!B:B,4,Equipar!E:E,A731)
+COUNTIFS(Equipar!B:B,4,Equipar!F:F,A731)
&gt;0,COUNTIF('Set recomendado'!B:B,C731)=0),
"Bloqueada",
"Desechable")),""
)</f>
        <v/>
      </c>
      <c r="J731" t="str" cm="1">
        <f t="array" aca="1" ref="J731" ca="1">IF(ISNUMBER(A731),IFERROR(_xlfn._xlws.FILTER(Equipar!A:A,(Equipar!B:B=4)*(Equipar!AC:AC=A731)),""),"")</f>
        <v/>
      </c>
    </row>
    <row r="732" spans="1:10" x14ac:dyDescent="0.25">
      <c r="A732" s="3" t="str">
        <f ca="1">IF(A731="ID",1,IF(ISBLANK(B732),"",MAX(A$2:A731)+1))</f>
        <v/>
      </c>
      <c r="I732" s="2" t="str">
        <f ca="1">IF(ISNUMBER(A732),
IF(COUNTIFS(Equipar!B:B,4,Equipar!AC:AC,A732),"Equipada",
IF(
  OR(COUNTIFS(Equipar!B:B,4,Equipar!C:C,A732)
 +COUNTIFS(Equipar!B:B,4,Equipar!D:D,A732)
+COUNTIFS(Equipar!B:B,4,Equipar!E:E,A732)
+COUNTIFS(Equipar!B:B,4,Equipar!F:F,A732)
&gt;0,COUNTIF('Set recomendado'!B:B,C732)=0),
"Bloqueada",
"Desechable")),""
)</f>
        <v/>
      </c>
      <c r="J732" t="str" cm="1">
        <f t="array" aca="1" ref="J732" ca="1">IF(ISNUMBER(A732),IFERROR(_xlfn._xlws.FILTER(Equipar!A:A,(Equipar!B:B=4)*(Equipar!AC:AC=A732)),""),"")</f>
        <v/>
      </c>
    </row>
    <row r="733" spans="1:10" x14ac:dyDescent="0.25">
      <c r="A733" s="3" t="str">
        <f ca="1">IF(A732="ID",1,IF(ISBLANK(B733),"",MAX(A$2:A732)+1))</f>
        <v/>
      </c>
      <c r="I733" s="2" t="str">
        <f ca="1">IF(ISNUMBER(A733),
IF(COUNTIFS(Equipar!B:B,4,Equipar!AC:AC,A733),"Equipada",
IF(
  OR(COUNTIFS(Equipar!B:B,4,Equipar!C:C,A733)
 +COUNTIFS(Equipar!B:B,4,Equipar!D:D,A733)
+COUNTIFS(Equipar!B:B,4,Equipar!E:E,A733)
+COUNTIFS(Equipar!B:B,4,Equipar!F:F,A733)
&gt;0,COUNTIF('Set recomendado'!B:B,C733)=0),
"Bloqueada",
"Desechable")),""
)</f>
        <v/>
      </c>
      <c r="J733" t="str" cm="1">
        <f t="array" aca="1" ref="J733" ca="1">IF(ISNUMBER(A733),IFERROR(_xlfn._xlws.FILTER(Equipar!A:A,(Equipar!B:B=4)*(Equipar!AC:AC=A733)),""),"")</f>
        <v/>
      </c>
    </row>
    <row r="734" spans="1:10" x14ac:dyDescent="0.25">
      <c r="A734" s="3" t="str">
        <f ca="1">IF(A733="ID",1,IF(ISBLANK(B734),"",MAX(A$2:A733)+1))</f>
        <v/>
      </c>
      <c r="I734" s="2" t="str">
        <f ca="1">IF(ISNUMBER(A734),
IF(COUNTIFS(Equipar!B:B,4,Equipar!AC:AC,A734),"Equipada",
IF(
  OR(COUNTIFS(Equipar!B:B,4,Equipar!C:C,A734)
 +COUNTIFS(Equipar!B:B,4,Equipar!D:D,A734)
+COUNTIFS(Equipar!B:B,4,Equipar!E:E,A734)
+COUNTIFS(Equipar!B:B,4,Equipar!F:F,A734)
&gt;0,COUNTIF('Set recomendado'!B:B,C734)=0),
"Bloqueada",
"Desechable")),""
)</f>
        <v/>
      </c>
      <c r="J734" t="str" cm="1">
        <f t="array" aca="1" ref="J734" ca="1">IF(ISNUMBER(A734),IFERROR(_xlfn._xlws.FILTER(Equipar!A:A,(Equipar!B:B=4)*(Equipar!AC:AC=A734)),""),"")</f>
        <v/>
      </c>
    </row>
    <row r="735" spans="1:10" x14ac:dyDescent="0.25">
      <c r="A735" s="3" t="str">
        <f ca="1">IF(A734="ID",1,IF(ISBLANK(B735),"",MAX(A$2:A734)+1))</f>
        <v/>
      </c>
      <c r="I735" s="2" t="str">
        <f ca="1">IF(ISNUMBER(A735),
IF(COUNTIFS(Equipar!B:B,4,Equipar!AC:AC,A735),"Equipada",
IF(
  OR(COUNTIFS(Equipar!B:B,4,Equipar!C:C,A735)
 +COUNTIFS(Equipar!B:B,4,Equipar!D:D,A735)
+COUNTIFS(Equipar!B:B,4,Equipar!E:E,A735)
+COUNTIFS(Equipar!B:B,4,Equipar!F:F,A735)
&gt;0,COUNTIF('Set recomendado'!B:B,C735)=0),
"Bloqueada",
"Desechable")),""
)</f>
        <v/>
      </c>
      <c r="J735" t="str" cm="1">
        <f t="array" aca="1" ref="J735" ca="1">IF(ISNUMBER(A735),IFERROR(_xlfn._xlws.FILTER(Equipar!A:A,(Equipar!B:B=4)*(Equipar!AC:AC=A735)),""),"")</f>
        <v/>
      </c>
    </row>
    <row r="736" spans="1:10" x14ac:dyDescent="0.25">
      <c r="A736" s="3" t="str">
        <f ca="1">IF(A735="ID",1,IF(ISBLANK(B736),"",MAX(A$2:A735)+1))</f>
        <v/>
      </c>
      <c r="I736" s="2" t="str">
        <f ca="1">IF(ISNUMBER(A736),
IF(COUNTIFS(Equipar!B:B,4,Equipar!AC:AC,A736),"Equipada",
IF(
  OR(COUNTIFS(Equipar!B:B,4,Equipar!C:C,A736)
 +COUNTIFS(Equipar!B:B,4,Equipar!D:D,A736)
+COUNTIFS(Equipar!B:B,4,Equipar!E:E,A736)
+COUNTIFS(Equipar!B:B,4,Equipar!F:F,A736)
&gt;0,COUNTIF('Set recomendado'!B:B,C736)=0),
"Bloqueada",
"Desechable")),""
)</f>
        <v/>
      </c>
      <c r="J736" t="str" cm="1">
        <f t="array" aca="1" ref="J736" ca="1">IF(ISNUMBER(A736),IFERROR(_xlfn._xlws.FILTER(Equipar!A:A,(Equipar!B:B=4)*(Equipar!AC:AC=A736)),""),"")</f>
        <v/>
      </c>
    </row>
    <row r="737" spans="1:10" x14ac:dyDescent="0.25">
      <c r="A737" s="3" t="str">
        <f ca="1">IF(A736="ID",1,IF(ISBLANK(B737),"",MAX(A$2:A736)+1))</f>
        <v/>
      </c>
      <c r="I737" s="2" t="str">
        <f ca="1">IF(ISNUMBER(A737),
IF(COUNTIFS(Equipar!B:B,4,Equipar!AC:AC,A737),"Equipada",
IF(
  OR(COUNTIFS(Equipar!B:B,4,Equipar!C:C,A737)
 +COUNTIFS(Equipar!B:B,4,Equipar!D:D,A737)
+COUNTIFS(Equipar!B:B,4,Equipar!E:E,A737)
+COUNTIFS(Equipar!B:B,4,Equipar!F:F,A737)
&gt;0,COUNTIF('Set recomendado'!B:B,C737)=0),
"Bloqueada",
"Desechable")),""
)</f>
        <v/>
      </c>
      <c r="J737" t="str" cm="1">
        <f t="array" aca="1" ref="J737" ca="1">IF(ISNUMBER(A737),IFERROR(_xlfn._xlws.FILTER(Equipar!A:A,(Equipar!B:B=4)*(Equipar!AC:AC=A737)),""),"")</f>
        <v/>
      </c>
    </row>
    <row r="738" spans="1:10" x14ac:dyDescent="0.25">
      <c r="A738" s="3" t="str">
        <f ca="1">IF(A737="ID",1,IF(ISBLANK(B738),"",MAX(A$2:A737)+1))</f>
        <v/>
      </c>
      <c r="I738" s="2" t="str">
        <f ca="1">IF(ISNUMBER(A738),
IF(COUNTIFS(Equipar!B:B,4,Equipar!AC:AC,A738),"Equipada",
IF(
  OR(COUNTIFS(Equipar!B:B,4,Equipar!C:C,A738)
 +COUNTIFS(Equipar!B:B,4,Equipar!D:D,A738)
+COUNTIFS(Equipar!B:B,4,Equipar!E:E,A738)
+COUNTIFS(Equipar!B:B,4,Equipar!F:F,A738)
&gt;0,COUNTIF('Set recomendado'!B:B,C738)=0),
"Bloqueada",
"Desechable")),""
)</f>
        <v/>
      </c>
      <c r="J738" t="str" cm="1">
        <f t="array" aca="1" ref="J738" ca="1">IF(ISNUMBER(A738),IFERROR(_xlfn._xlws.FILTER(Equipar!A:A,(Equipar!B:B=4)*(Equipar!AC:AC=A738)),""),"")</f>
        <v/>
      </c>
    </row>
    <row r="739" spans="1:10" x14ac:dyDescent="0.25">
      <c r="A739" s="3" t="str">
        <f ca="1">IF(A738="ID",1,IF(ISBLANK(B739),"",MAX(A$2:A738)+1))</f>
        <v/>
      </c>
      <c r="I739" s="2" t="str">
        <f ca="1">IF(ISNUMBER(A739),
IF(COUNTIFS(Equipar!B:B,4,Equipar!AC:AC,A739),"Equipada",
IF(
  OR(COUNTIFS(Equipar!B:B,4,Equipar!C:C,A739)
 +COUNTIFS(Equipar!B:B,4,Equipar!D:D,A739)
+COUNTIFS(Equipar!B:B,4,Equipar!E:E,A739)
+COUNTIFS(Equipar!B:B,4,Equipar!F:F,A739)
&gt;0,COUNTIF('Set recomendado'!B:B,C739)=0),
"Bloqueada",
"Desechable")),""
)</f>
        <v/>
      </c>
      <c r="J739" t="str" cm="1">
        <f t="array" aca="1" ref="J739" ca="1">IF(ISNUMBER(A739),IFERROR(_xlfn._xlws.FILTER(Equipar!A:A,(Equipar!B:B=4)*(Equipar!AC:AC=A739)),""),"")</f>
        <v/>
      </c>
    </row>
    <row r="740" spans="1:10" x14ac:dyDescent="0.25">
      <c r="A740" s="3" t="str">
        <f ca="1">IF(A739="ID",1,IF(ISBLANK(B740),"",MAX(A$2:A739)+1))</f>
        <v/>
      </c>
      <c r="I740" s="2" t="str">
        <f ca="1">IF(ISNUMBER(A740),
IF(COUNTIFS(Equipar!B:B,4,Equipar!AC:AC,A740),"Equipada",
IF(
  OR(COUNTIFS(Equipar!B:B,4,Equipar!C:C,A740)
 +COUNTIFS(Equipar!B:B,4,Equipar!D:D,A740)
+COUNTIFS(Equipar!B:B,4,Equipar!E:E,A740)
+COUNTIFS(Equipar!B:B,4,Equipar!F:F,A740)
&gt;0,COUNTIF('Set recomendado'!B:B,C740)=0),
"Bloqueada",
"Desechable")),""
)</f>
        <v/>
      </c>
      <c r="J740" t="str" cm="1">
        <f t="array" aca="1" ref="J740" ca="1">IF(ISNUMBER(A740),IFERROR(_xlfn._xlws.FILTER(Equipar!A:A,(Equipar!B:B=4)*(Equipar!AC:AC=A740)),""),"")</f>
        <v/>
      </c>
    </row>
    <row r="741" spans="1:10" x14ac:dyDescent="0.25">
      <c r="A741" s="3" t="str">
        <f ca="1">IF(A740="ID",1,IF(ISBLANK(B741),"",MAX(A$2:A740)+1))</f>
        <v/>
      </c>
      <c r="I741" s="2" t="str">
        <f ca="1">IF(ISNUMBER(A741),
IF(COUNTIFS(Equipar!B:B,4,Equipar!AC:AC,A741),"Equipada",
IF(
  OR(COUNTIFS(Equipar!B:B,4,Equipar!C:C,A741)
 +COUNTIFS(Equipar!B:B,4,Equipar!D:D,A741)
+COUNTIFS(Equipar!B:B,4,Equipar!E:E,A741)
+COUNTIFS(Equipar!B:B,4,Equipar!F:F,A741)
&gt;0,COUNTIF('Set recomendado'!B:B,C741)=0),
"Bloqueada",
"Desechable")),""
)</f>
        <v/>
      </c>
      <c r="J741" t="str" cm="1">
        <f t="array" aca="1" ref="J741" ca="1">IF(ISNUMBER(A741),IFERROR(_xlfn._xlws.FILTER(Equipar!A:A,(Equipar!B:B=4)*(Equipar!AC:AC=A741)),""),"")</f>
        <v/>
      </c>
    </row>
    <row r="742" spans="1:10" x14ac:dyDescent="0.25">
      <c r="A742" s="3" t="str">
        <f ca="1">IF(A741="ID",1,IF(ISBLANK(B742),"",MAX(A$2:A741)+1))</f>
        <v/>
      </c>
      <c r="I742" s="2" t="str">
        <f ca="1">IF(ISNUMBER(A742),
IF(COUNTIFS(Equipar!B:B,4,Equipar!AC:AC,A742),"Equipada",
IF(
  OR(COUNTIFS(Equipar!B:B,4,Equipar!C:C,A742)
 +COUNTIFS(Equipar!B:B,4,Equipar!D:D,A742)
+COUNTIFS(Equipar!B:B,4,Equipar!E:E,A742)
+COUNTIFS(Equipar!B:B,4,Equipar!F:F,A742)
&gt;0,COUNTIF('Set recomendado'!B:B,C742)=0),
"Bloqueada",
"Desechable")),""
)</f>
        <v/>
      </c>
      <c r="J742" t="str" cm="1">
        <f t="array" aca="1" ref="J742" ca="1">IF(ISNUMBER(A742),IFERROR(_xlfn._xlws.FILTER(Equipar!A:A,(Equipar!B:B=4)*(Equipar!AC:AC=A742)),""),"")</f>
        <v/>
      </c>
    </row>
    <row r="743" spans="1:10" x14ac:dyDescent="0.25">
      <c r="A743" s="3" t="str">
        <f ca="1">IF(A742="ID",1,IF(ISBLANK(B743),"",MAX(A$2:A742)+1))</f>
        <v/>
      </c>
      <c r="I743" s="2" t="str">
        <f ca="1">IF(ISNUMBER(A743),
IF(COUNTIFS(Equipar!B:B,4,Equipar!AC:AC,A743),"Equipada",
IF(
  OR(COUNTIFS(Equipar!B:B,4,Equipar!C:C,A743)
 +COUNTIFS(Equipar!B:B,4,Equipar!D:D,A743)
+COUNTIFS(Equipar!B:B,4,Equipar!E:E,A743)
+COUNTIFS(Equipar!B:B,4,Equipar!F:F,A743)
&gt;0,COUNTIF('Set recomendado'!B:B,C743)=0),
"Bloqueada",
"Desechable")),""
)</f>
        <v/>
      </c>
      <c r="J743" t="str" cm="1">
        <f t="array" aca="1" ref="J743" ca="1">IF(ISNUMBER(A743),IFERROR(_xlfn._xlws.FILTER(Equipar!A:A,(Equipar!B:B=4)*(Equipar!AC:AC=A743)),""),"")</f>
        <v/>
      </c>
    </row>
    <row r="744" spans="1:10" x14ac:dyDescent="0.25">
      <c r="A744" s="3" t="str">
        <f ca="1">IF(A743="ID",1,IF(ISBLANK(B744),"",MAX(A$2:A743)+1))</f>
        <v/>
      </c>
      <c r="I744" s="2" t="str">
        <f ca="1">IF(ISNUMBER(A744),
IF(COUNTIFS(Equipar!B:B,4,Equipar!AC:AC,A744),"Equipada",
IF(
  OR(COUNTIFS(Equipar!B:B,4,Equipar!C:C,A744)
 +COUNTIFS(Equipar!B:B,4,Equipar!D:D,A744)
+COUNTIFS(Equipar!B:B,4,Equipar!E:E,A744)
+COUNTIFS(Equipar!B:B,4,Equipar!F:F,A744)
&gt;0,COUNTIF('Set recomendado'!B:B,C744)=0),
"Bloqueada",
"Desechable")),""
)</f>
        <v/>
      </c>
      <c r="J744" t="str" cm="1">
        <f t="array" aca="1" ref="J744" ca="1">IF(ISNUMBER(A744),IFERROR(_xlfn._xlws.FILTER(Equipar!A:A,(Equipar!B:B=4)*(Equipar!AC:AC=A744)),""),"")</f>
        <v/>
      </c>
    </row>
    <row r="745" spans="1:10" x14ac:dyDescent="0.25">
      <c r="A745" s="3" t="str">
        <f ca="1">IF(A744="ID",1,IF(ISBLANK(B745),"",MAX(A$2:A744)+1))</f>
        <v/>
      </c>
      <c r="I745" s="2" t="str">
        <f ca="1">IF(ISNUMBER(A745),
IF(COUNTIFS(Equipar!B:B,4,Equipar!AC:AC,A745),"Equipada",
IF(
  OR(COUNTIFS(Equipar!B:B,4,Equipar!C:C,A745)
 +COUNTIFS(Equipar!B:B,4,Equipar!D:D,A745)
+COUNTIFS(Equipar!B:B,4,Equipar!E:E,A745)
+COUNTIFS(Equipar!B:B,4,Equipar!F:F,A745)
&gt;0,COUNTIF('Set recomendado'!B:B,C745)=0),
"Bloqueada",
"Desechable")),""
)</f>
        <v/>
      </c>
      <c r="J745" t="str" cm="1">
        <f t="array" aca="1" ref="J745" ca="1">IF(ISNUMBER(A745),IFERROR(_xlfn._xlws.FILTER(Equipar!A:A,(Equipar!B:B=4)*(Equipar!AC:AC=A745)),""),"")</f>
        <v/>
      </c>
    </row>
    <row r="746" spans="1:10" x14ac:dyDescent="0.25">
      <c r="A746" s="3" t="str">
        <f ca="1">IF(A745="ID",1,IF(ISBLANK(B746),"",MAX(A$2:A745)+1))</f>
        <v/>
      </c>
      <c r="I746" s="2" t="str">
        <f ca="1">IF(ISNUMBER(A746),
IF(COUNTIFS(Equipar!B:B,4,Equipar!AC:AC,A746),"Equipada",
IF(
  OR(COUNTIFS(Equipar!B:B,4,Equipar!C:C,A746)
 +COUNTIFS(Equipar!B:B,4,Equipar!D:D,A746)
+COUNTIFS(Equipar!B:B,4,Equipar!E:E,A746)
+COUNTIFS(Equipar!B:B,4,Equipar!F:F,A746)
&gt;0,COUNTIF('Set recomendado'!B:B,C746)=0),
"Bloqueada",
"Desechable")),""
)</f>
        <v/>
      </c>
      <c r="J746" t="str" cm="1">
        <f t="array" aca="1" ref="J746" ca="1">IF(ISNUMBER(A746),IFERROR(_xlfn._xlws.FILTER(Equipar!A:A,(Equipar!B:B=4)*(Equipar!AC:AC=A746)),""),"")</f>
        <v/>
      </c>
    </row>
    <row r="747" spans="1:10" x14ac:dyDescent="0.25">
      <c r="A747" s="3" t="str">
        <f ca="1">IF(A746="ID",1,IF(ISBLANK(B747),"",MAX(A$2:A746)+1))</f>
        <v/>
      </c>
      <c r="I747" s="2" t="str">
        <f ca="1">IF(ISNUMBER(A747),
IF(COUNTIFS(Equipar!B:B,4,Equipar!AC:AC,A747),"Equipada",
IF(
  OR(COUNTIFS(Equipar!B:B,4,Equipar!C:C,A747)
 +COUNTIFS(Equipar!B:B,4,Equipar!D:D,A747)
+COUNTIFS(Equipar!B:B,4,Equipar!E:E,A747)
+COUNTIFS(Equipar!B:B,4,Equipar!F:F,A747)
&gt;0,COUNTIF('Set recomendado'!B:B,C747)=0),
"Bloqueada",
"Desechable")),""
)</f>
        <v/>
      </c>
      <c r="J747" t="str" cm="1">
        <f t="array" aca="1" ref="J747" ca="1">IF(ISNUMBER(A747),IFERROR(_xlfn._xlws.FILTER(Equipar!A:A,(Equipar!B:B=4)*(Equipar!AC:AC=A747)),""),"")</f>
        <v/>
      </c>
    </row>
    <row r="748" spans="1:10" x14ac:dyDescent="0.25">
      <c r="A748" s="3" t="str">
        <f ca="1">IF(A747="ID",1,IF(ISBLANK(B748),"",MAX(A$2:A747)+1))</f>
        <v/>
      </c>
      <c r="I748" s="2" t="str">
        <f ca="1">IF(ISNUMBER(A748),
IF(COUNTIFS(Equipar!B:B,4,Equipar!AC:AC,A748),"Equipada",
IF(
  OR(COUNTIFS(Equipar!B:B,4,Equipar!C:C,A748)
 +COUNTIFS(Equipar!B:B,4,Equipar!D:D,A748)
+COUNTIFS(Equipar!B:B,4,Equipar!E:E,A748)
+COUNTIFS(Equipar!B:B,4,Equipar!F:F,A748)
&gt;0,COUNTIF('Set recomendado'!B:B,C748)=0),
"Bloqueada",
"Desechable")),""
)</f>
        <v/>
      </c>
      <c r="J748" t="str" cm="1">
        <f t="array" aca="1" ref="J748" ca="1">IF(ISNUMBER(A748),IFERROR(_xlfn._xlws.FILTER(Equipar!A:A,(Equipar!B:B=4)*(Equipar!AC:AC=A748)),""),"")</f>
        <v/>
      </c>
    </row>
    <row r="749" spans="1:10" x14ac:dyDescent="0.25">
      <c r="A749" s="3" t="str">
        <f ca="1">IF(A748="ID",1,IF(ISBLANK(B749),"",MAX(A$2:A748)+1))</f>
        <v/>
      </c>
      <c r="I749" s="2" t="str">
        <f ca="1">IF(ISNUMBER(A749),
IF(COUNTIFS(Equipar!B:B,4,Equipar!AC:AC,A749),"Equipada",
IF(
  OR(COUNTIFS(Equipar!B:B,4,Equipar!C:C,A749)
 +COUNTIFS(Equipar!B:B,4,Equipar!D:D,A749)
+COUNTIFS(Equipar!B:B,4,Equipar!E:E,A749)
+COUNTIFS(Equipar!B:B,4,Equipar!F:F,A749)
&gt;0,COUNTIF('Set recomendado'!B:B,C749)=0),
"Bloqueada",
"Desechable")),""
)</f>
        <v/>
      </c>
      <c r="J749" t="str" cm="1">
        <f t="array" aca="1" ref="J749" ca="1">IF(ISNUMBER(A749),IFERROR(_xlfn._xlws.FILTER(Equipar!A:A,(Equipar!B:B=4)*(Equipar!AC:AC=A749)),""),"")</f>
        <v/>
      </c>
    </row>
    <row r="750" spans="1:10" x14ac:dyDescent="0.25">
      <c r="A750" s="3" t="str">
        <f ca="1">IF(A749="ID",1,IF(ISBLANK(B750),"",MAX(A$2:A749)+1))</f>
        <v/>
      </c>
      <c r="I750" s="2" t="str">
        <f ca="1">IF(ISNUMBER(A750),
IF(COUNTIFS(Equipar!B:B,4,Equipar!AC:AC,A750),"Equipada",
IF(
  OR(COUNTIFS(Equipar!B:B,4,Equipar!C:C,A750)
 +COUNTIFS(Equipar!B:B,4,Equipar!D:D,A750)
+COUNTIFS(Equipar!B:B,4,Equipar!E:E,A750)
+COUNTIFS(Equipar!B:B,4,Equipar!F:F,A750)
&gt;0,COUNTIF('Set recomendado'!B:B,C750)=0),
"Bloqueada",
"Desechable")),""
)</f>
        <v/>
      </c>
      <c r="J750" t="str" cm="1">
        <f t="array" aca="1" ref="J750" ca="1">IF(ISNUMBER(A750),IFERROR(_xlfn._xlws.FILTER(Equipar!A:A,(Equipar!B:B=4)*(Equipar!AC:AC=A750)),""),"")</f>
        <v/>
      </c>
    </row>
    <row r="751" spans="1:10" x14ac:dyDescent="0.25">
      <c r="A751" s="3" t="str">
        <f ca="1">IF(A750="ID",1,IF(ISBLANK(B751),"",MAX(A$2:A750)+1))</f>
        <v/>
      </c>
      <c r="I751" s="2" t="str">
        <f ca="1">IF(ISNUMBER(A751),
IF(COUNTIFS(Equipar!B:B,4,Equipar!AC:AC,A751),"Equipada",
IF(
  OR(COUNTIFS(Equipar!B:B,4,Equipar!C:C,A751)
 +COUNTIFS(Equipar!B:B,4,Equipar!D:D,A751)
+COUNTIFS(Equipar!B:B,4,Equipar!E:E,A751)
+COUNTIFS(Equipar!B:B,4,Equipar!F:F,A751)
&gt;0,COUNTIF('Set recomendado'!B:B,C751)=0),
"Bloqueada",
"Desechable")),""
)</f>
        <v/>
      </c>
      <c r="J751" t="str" cm="1">
        <f t="array" aca="1" ref="J751" ca="1">IF(ISNUMBER(A751),IFERROR(_xlfn._xlws.FILTER(Equipar!A:A,(Equipar!B:B=4)*(Equipar!AC:AC=A751)),""),"")</f>
        <v/>
      </c>
    </row>
    <row r="752" spans="1:10" x14ac:dyDescent="0.25">
      <c r="A752" s="3" t="str">
        <f ca="1">IF(A751="ID",1,IF(ISBLANK(B752),"",MAX(A$2:A751)+1))</f>
        <v/>
      </c>
      <c r="I752" s="2" t="str">
        <f ca="1">IF(ISNUMBER(A752),
IF(COUNTIFS(Equipar!B:B,4,Equipar!AC:AC,A752),"Equipada",
IF(
  OR(COUNTIFS(Equipar!B:B,4,Equipar!C:C,A752)
 +COUNTIFS(Equipar!B:B,4,Equipar!D:D,A752)
+COUNTIFS(Equipar!B:B,4,Equipar!E:E,A752)
+COUNTIFS(Equipar!B:B,4,Equipar!F:F,A752)
&gt;0,COUNTIF('Set recomendado'!B:B,C752)=0),
"Bloqueada",
"Desechable")),""
)</f>
        <v/>
      </c>
      <c r="J752" t="str" cm="1">
        <f t="array" aca="1" ref="J752" ca="1">IF(ISNUMBER(A752),IFERROR(_xlfn._xlws.FILTER(Equipar!A:A,(Equipar!B:B=4)*(Equipar!AC:AC=A752)),""),"")</f>
        <v/>
      </c>
    </row>
    <row r="753" spans="1:10" x14ac:dyDescent="0.25">
      <c r="A753" s="3" t="str">
        <f ca="1">IF(A752="ID",1,IF(ISBLANK(B753),"",MAX(A$2:A752)+1))</f>
        <v/>
      </c>
      <c r="I753" s="2" t="str">
        <f ca="1">IF(ISNUMBER(A753),
IF(COUNTIFS(Equipar!B:B,4,Equipar!AC:AC,A753),"Equipada",
IF(
  OR(COUNTIFS(Equipar!B:B,4,Equipar!C:C,A753)
 +COUNTIFS(Equipar!B:B,4,Equipar!D:D,A753)
+COUNTIFS(Equipar!B:B,4,Equipar!E:E,A753)
+COUNTIFS(Equipar!B:B,4,Equipar!F:F,A753)
&gt;0,COUNTIF('Set recomendado'!B:B,C753)=0),
"Bloqueada",
"Desechable")),""
)</f>
        <v/>
      </c>
      <c r="J753" t="str" cm="1">
        <f t="array" aca="1" ref="J753" ca="1">IF(ISNUMBER(A753),IFERROR(_xlfn._xlws.FILTER(Equipar!A:A,(Equipar!B:B=4)*(Equipar!AC:AC=A753)),""),"")</f>
        <v/>
      </c>
    </row>
    <row r="754" spans="1:10" x14ac:dyDescent="0.25">
      <c r="A754" s="3" t="str">
        <f ca="1">IF(A753="ID",1,IF(ISBLANK(B754),"",MAX(A$2:A753)+1))</f>
        <v/>
      </c>
      <c r="I754" s="2" t="str">
        <f ca="1">IF(ISNUMBER(A754),
IF(COUNTIFS(Equipar!B:B,4,Equipar!AC:AC,A754),"Equipada",
IF(
  OR(COUNTIFS(Equipar!B:B,4,Equipar!C:C,A754)
 +COUNTIFS(Equipar!B:B,4,Equipar!D:D,A754)
+COUNTIFS(Equipar!B:B,4,Equipar!E:E,A754)
+COUNTIFS(Equipar!B:B,4,Equipar!F:F,A754)
&gt;0,COUNTIF('Set recomendado'!B:B,C754)=0),
"Bloqueada",
"Desechable")),""
)</f>
        <v/>
      </c>
      <c r="J754" t="str" cm="1">
        <f t="array" aca="1" ref="J754" ca="1">IF(ISNUMBER(A754),IFERROR(_xlfn._xlws.FILTER(Equipar!A:A,(Equipar!B:B=4)*(Equipar!AC:AC=A754)),""),"")</f>
        <v/>
      </c>
    </row>
    <row r="755" spans="1:10" x14ac:dyDescent="0.25">
      <c r="A755" s="3" t="str">
        <f ca="1">IF(A754="ID",1,IF(ISBLANK(B755),"",MAX(A$2:A754)+1))</f>
        <v/>
      </c>
      <c r="I755" s="2" t="str">
        <f ca="1">IF(ISNUMBER(A755),
IF(COUNTIFS(Equipar!B:B,4,Equipar!AC:AC,A755),"Equipada",
IF(
  OR(COUNTIFS(Equipar!B:B,4,Equipar!C:C,A755)
 +COUNTIFS(Equipar!B:B,4,Equipar!D:D,A755)
+COUNTIFS(Equipar!B:B,4,Equipar!E:E,A755)
+COUNTIFS(Equipar!B:B,4,Equipar!F:F,A755)
&gt;0,COUNTIF('Set recomendado'!B:B,C755)=0),
"Bloqueada",
"Desechable")),""
)</f>
        <v/>
      </c>
      <c r="J755" t="str" cm="1">
        <f t="array" aca="1" ref="J755" ca="1">IF(ISNUMBER(A755),IFERROR(_xlfn._xlws.FILTER(Equipar!A:A,(Equipar!B:B=4)*(Equipar!AC:AC=A755)),""),"")</f>
        <v/>
      </c>
    </row>
    <row r="756" spans="1:10" x14ac:dyDescent="0.25">
      <c r="A756" s="3" t="str">
        <f ca="1">IF(A755="ID",1,IF(ISBLANK(B756),"",MAX(A$2:A755)+1))</f>
        <v/>
      </c>
      <c r="I756" s="2" t="str">
        <f ca="1">IF(ISNUMBER(A756),
IF(COUNTIFS(Equipar!B:B,4,Equipar!AC:AC,A756),"Equipada",
IF(
  OR(COUNTIFS(Equipar!B:B,4,Equipar!C:C,A756)
 +COUNTIFS(Equipar!B:B,4,Equipar!D:D,A756)
+COUNTIFS(Equipar!B:B,4,Equipar!E:E,A756)
+COUNTIFS(Equipar!B:B,4,Equipar!F:F,A756)
&gt;0,COUNTIF('Set recomendado'!B:B,C756)=0),
"Bloqueada",
"Desechable")),""
)</f>
        <v/>
      </c>
      <c r="J756" t="str" cm="1">
        <f t="array" aca="1" ref="J756" ca="1">IF(ISNUMBER(A756),IFERROR(_xlfn._xlws.FILTER(Equipar!A:A,(Equipar!B:B=4)*(Equipar!AC:AC=A756)),""),"")</f>
        <v/>
      </c>
    </row>
    <row r="757" spans="1:10" x14ac:dyDescent="0.25">
      <c r="A757" s="3" t="str">
        <f ca="1">IF(A756="ID",1,IF(ISBLANK(B757),"",MAX(A$2:A756)+1))</f>
        <v/>
      </c>
      <c r="I757" s="2" t="str">
        <f ca="1">IF(ISNUMBER(A757),
IF(COUNTIFS(Equipar!B:B,4,Equipar!AC:AC,A757),"Equipada",
IF(
  OR(COUNTIFS(Equipar!B:B,4,Equipar!C:C,A757)
 +COUNTIFS(Equipar!B:B,4,Equipar!D:D,A757)
+COUNTIFS(Equipar!B:B,4,Equipar!E:E,A757)
+COUNTIFS(Equipar!B:B,4,Equipar!F:F,A757)
&gt;0,COUNTIF('Set recomendado'!B:B,C757)=0),
"Bloqueada",
"Desechable")),""
)</f>
        <v/>
      </c>
      <c r="J757" t="str" cm="1">
        <f t="array" aca="1" ref="J757" ca="1">IF(ISNUMBER(A757),IFERROR(_xlfn._xlws.FILTER(Equipar!A:A,(Equipar!B:B=4)*(Equipar!AC:AC=A757)),""),"")</f>
        <v/>
      </c>
    </row>
    <row r="758" spans="1:10" x14ac:dyDescent="0.25">
      <c r="A758" s="3" t="str">
        <f ca="1">IF(A757="ID",1,IF(ISBLANK(B758),"",MAX(A$2:A757)+1))</f>
        <v/>
      </c>
      <c r="I758" s="2" t="str">
        <f ca="1">IF(ISNUMBER(A758),
IF(COUNTIFS(Equipar!B:B,4,Equipar!AC:AC,A758),"Equipada",
IF(
  OR(COUNTIFS(Equipar!B:B,4,Equipar!C:C,A758)
 +COUNTIFS(Equipar!B:B,4,Equipar!D:D,A758)
+COUNTIFS(Equipar!B:B,4,Equipar!E:E,A758)
+COUNTIFS(Equipar!B:B,4,Equipar!F:F,A758)
&gt;0,COUNTIF('Set recomendado'!B:B,C758)=0),
"Bloqueada",
"Desechable")),""
)</f>
        <v/>
      </c>
      <c r="J758" t="str" cm="1">
        <f t="array" aca="1" ref="J758" ca="1">IF(ISNUMBER(A758),IFERROR(_xlfn._xlws.FILTER(Equipar!A:A,(Equipar!B:B=4)*(Equipar!AC:AC=A758)),""),"")</f>
        <v/>
      </c>
    </row>
    <row r="759" spans="1:10" x14ac:dyDescent="0.25">
      <c r="A759" s="3" t="str">
        <f ca="1">IF(A758="ID",1,IF(ISBLANK(B759),"",MAX(A$2:A758)+1))</f>
        <v/>
      </c>
      <c r="I759" s="2" t="str">
        <f ca="1">IF(ISNUMBER(A759),
IF(COUNTIFS(Equipar!B:B,4,Equipar!AC:AC,A759),"Equipada",
IF(
  OR(COUNTIFS(Equipar!B:B,4,Equipar!C:C,A759)
 +COUNTIFS(Equipar!B:B,4,Equipar!D:D,A759)
+COUNTIFS(Equipar!B:B,4,Equipar!E:E,A759)
+COUNTIFS(Equipar!B:B,4,Equipar!F:F,A759)
&gt;0,COUNTIF('Set recomendado'!B:B,C759)=0),
"Bloqueada",
"Desechable")),""
)</f>
        <v/>
      </c>
      <c r="J759" t="str" cm="1">
        <f t="array" aca="1" ref="J759" ca="1">IF(ISNUMBER(A759),IFERROR(_xlfn._xlws.FILTER(Equipar!A:A,(Equipar!B:B=4)*(Equipar!AC:AC=A759)),""),"")</f>
        <v/>
      </c>
    </row>
    <row r="760" spans="1:10" x14ac:dyDescent="0.25">
      <c r="A760" s="3" t="str">
        <f ca="1">IF(A759="ID",1,IF(ISBLANK(B760),"",MAX(A$2:A759)+1))</f>
        <v/>
      </c>
      <c r="I760" s="2" t="str">
        <f ca="1">IF(ISNUMBER(A760),
IF(COUNTIFS(Equipar!B:B,4,Equipar!AC:AC,A760),"Equipada",
IF(
  OR(COUNTIFS(Equipar!B:B,4,Equipar!C:C,A760)
 +COUNTIFS(Equipar!B:B,4,Equipar!D:D,A760)
+COUNTIFS(Equipar!B:B,4,Equipar!E:E,A760)
+COUNTIFS(Equipar!B:B,4,Equipar!F:F,A760)
&gt;0,COUNTIF('Set recomendado'!B:B,C760)=0),
"Bloqueada",
"Desechable")),""
)</f>
        <v/>
      </c>
      <c r="J760" t="str" cm="1">
        <f t="array" aca="1" ref="J760" ca="1">IF(ISNUMBER(A760),IFERROR(_xlfn._xlws.FILTER(Equipar!A:A,(Equipar!B:B=4)*(Equipar!AC:AC=A760)),""),"")</f>
        <v/>
      </c>
    </row>
    <row r="761" spans="1:10" x14ac:dyDescent="0.25">
      <c r="A761" s="3" t="str">
        <f ca="1">IF(A760="ID",1,IF(ISBLANK(B761),"",MAX(A$2:A760)+1))</f>
        <v/>
      </c>
      <c r="I761" s="2" t="str">
        <f ca="1">IF(ISNUMBER(A761),
IF(COUNTIFS(Equipar!B:B,4,Equipar!AC:AC,A761),"Equipada",
IF(
  OR(COUNTIFS(Equipar!B:B,4,Equipar!C:C,A761)
 +COUNTIFS(Equipar!B:B,4,Equipar!D:D,A761)
+COUNTIFS(Equipar!B:B,4,Equipar!E:E,A761)
+COUNTIFS(Equipar!B:B,4,Equipar!F:F,A761)
&gt;0,COUNTIF('Set recomendado'!B:B,C761)=0),
"Bloqueada",
"Desechable")),""
)</f>
        <v/>
      </c>
      <c r="J761" t="str" cm="1">
        <f t="array" aca="1" ref="J761" ca="1">IF(ISNUMBER(A761),IFERROR(_xlfn._xlws.FILTER(Equipar!A:A,(Equipar!B:B=4)*(Equipar!AC:AC=A761)),""),"")</f>
        <v/>
      </c>
    </row>
    <row r="762" spans="1:10" x14ac:dyDescent="0.25">
      <c r="A762" s="3" t="str">
        <f ca="1">IF(A761="ID",1,IF(ISBLANK(B762),"",MAX(A$2:A761)+1))</f>
        <v/>
      </c>
      <c r="I762" s="2" t="str">
        <f ca="1">IF(ISNUMBER(A762),
IF(COUNTIFS(Equipar!B:B,4,Equipar!AC:AC,A762),"Equipada",
IF(
  OR(COUNTIFS(Equipar!B:B,4,Equipar!C:C,A762)
 +COUNTIFS(Equipar!B:B,4,Equipar!D:D,A762)
+COUNTIFS(Equipar!B:B,4,Equipar!E:E,A762)
+COUNTIFS(Equipar!B:B,4,Equipar!F:F,A762)
&gt;0,COUNTIF('Set recomendado'!B:B,C762)=0),
"Bloqueada",
"Desechable")),""
)</f>
        <v/>
      </c>
      <c r="J762" t="str" cm="1">
        <f t="array" aca="1" ref="J762" ca="1">IF(ISNUMBER(A762),IFERROR(_xlfn._xlws.FILTER(Equipar!A:A,(Equipar!B:B=4)*(Equipar!AC:AC=A762)),""),"")</f>
        <v/>
      </c>
    </row>
    <row r="763" spans="1:10" x14ac:dyDescent="0.25">
      <c r="A763" s="3" t="str">
        <f ca="1">IF(A762="ID",1,IF(ISBLANK(B763),"",MAX(A$2:A762)+1))</f>
        <v/>
      </c>
      <c r="I763" s="2" t="str">
        <f ca="1">IF(ISNUMBER(A763),
IF(COUNTIFS(Equipar!B:B,4,Equipar!AC:AC,A763),"Equipada",
IF(
  OR(COUNTIFS(Equipar!B:B,4,Equipar!C:C,A763)
 +COUNTIFS(Equipar!B:B,4,Equipar!D:D,A763)
+COUNTIFS(Equipar!B:B,4,Equipar!E:E,A763)
+COUNTIFS(Equipar!B:B,4,Equipar!F:F,A763)
&gt;0,COUNTIF('Set recomendado'!B:B,C763)=0),
"Bloqueada",
"Desechable")),""
)</f>
        <v/>
      </c>
      <c r="J763" t="str" cm="1">
        <f t="array" aca="1" ref="J763" ca="1">IF(ISNUMBER(A763),IFERROR(_xlfn._xlws.FILTER(Equipar!A:A,(Equipar!B:B=4)*(Equipar!AC:AC=A763)),""),"")</f>
        <v/>
      </c>
    </row>
    <row r="764" spans="1:10" x14ac:dyDescent="0.25">
      <c r="A764" s="3" t="str">
        <f ca="1">IF(A763="ID",1,IF(ISBLANK(B764),"",MAX(A$2:A763)+1))</f>
        <v/>
      </c>
      <c r="I764" s="2" t="str">
        <f ca="1">IF(ISNUMBER(A764),
IF(COUNTIFS(Equipar!B:B,4,Equipar!AC:AC,A764),"Equipada",
IF(
  OR(COUNTIFS(Equipar!B:B,4,Equipar!C:C,A764)
 +COUNTIFS(Equipar!B:B,4,Equipar!D:D,A764)
+COUNTIFS(Equipar!B:B,4,Equipar!E:E,A764)
+COUNTIFS(Equipar!B:B,4,Equipar!F:F,A764)
&gt;0,COUNTIF('Set recomendado'!B:B,C764)=0),
"Bloqueada",
"Desechable")),""
)</f>
        <v/>
      </c>
      <c r="J764" t="str" cm="1">
        <f t="array" aca="1" ref="J764" ca="1">IF(ISNUMBER(A764),IFERROR(_xlfn._xlws.FILTER(Equipar!A:A,(Equipar!B:B=4)*(Equipar!AC:AC=A764)),""),"")</f>
        <v/>
      </c>
    </row>
    <row r="765" spans="1:10" x14ac:dyDescent="0.25">
      <c r="A765" s="3" t="str">
        <f ca="1">IF(A764="ID",1,IF(ISBLANK(B765),"",MAX(A$2:A764)+1))</f>
        <v/>
      </c>
      <c r="I765" s="2" t="str">
        <f ca="1">IF(ISNUMBER(A765),
IF(COUNTIFS(Equipar!B:B,4,Equipar!AC:AC,A765),"Equipada",
IF(
  OR(COUNTIFS(Equipar!B:B,4,Equipar!C:C,A765)
 +COUNTIFS(Equipar!B:B,4,Equipar!D:D,A765)
+COUNTIFS(Equipar!B:B,4,Equipar!E:E,A765)
+COUNTIFS(Equipar!B:B,4,Equipar!F:F,A765)
&gt;0,COUNTIF('Set recomendado'!B:B,C765)=0),
"Bloqueada",
"Desechable")),""
)</f>
        <v/>
      </c>
      <c r="J765" t="str" cm="1">
        <f t="array" aca="1" ref="J765" ca="1">IF(ISNUMBER(A765),IFERROR(_xlfn._xlws.FILTER(Equipar!A:A,(Equipar!B:B=4)*(Equipar!AC:AC=A765)),""),"")</f>
        <v/>
      </c>
    </row>
    <row r="766" spans="1:10" x14ac:dyDescent="0.25">
      <c r="A766" s="3" t="str">
        <f ca="1">IF(A765="ID",1,IF(ISBLANK(B766),"",MAX(A$2:A765)+1))</f>
        <v/>
      </c>
      <c r="I766" s="2" t="str">
        <f ca="1">IF(ISNUMBER(A766),
IF(COUNTIFS(Equipar!B:B,4,Equipar!AC:AC,A766),"Equipada",
IF(
  OR(COUNTIFS(Equipar!B:B,4,Equipar!C:C,A766)
 +COUNTIFS(Equipar!B:B,4,Equipar!D:D,A766)
+COUNTIFS(Equipar!B:B,4,Equipar!E:E,A766)
+COUNTIFS(Equipar!B:B,4,Equipar!F:F,A766)
&gt;0,COUNTIF('Set recomendado'!B:B,C766)=0),
"Bloqueada",
"Desechable")),""
)</f>
        <v/>
      </c>
      <c r="J766" t="str" cm="1">
        <f t="array" aca="1" ref="J766" ca="1">IF(ISNUMBER(A766),IFERROR(_xlfn._xlws.FILTER(Equipar!A:A,(Equipar!B:B=4)*(Equipar!AC:AC=A766)),""),"")</f>
        <v/>
      </c>
    </row>
    <row r="767" spans="1:10" x14ac:dyDescent="0.25">
      <c r="A767" s="3" t="str">
        <f ca="1">IF(A766="ID",1,IF(ISBLANK(B767),"",MAX(A$2:A766)+1))</f>
        <v/>
      </c>
      <c r="I767" s="2" t="str">
        <f ca="1">IF(ISNUMBER(A767),
IF(COUNTIFS(Equipar!B:B,4,Equipar!AC:AC,A767),"Equipada",
IF(
  OR(COUNTIFS(Equipar!B:B,4,Equipar!C:C,A767)
 +COUNTIFS(Equipar!B:B,4,Equipar!D:D,A767)
+COUNTIFS(Equipar!B:B,4,Equipar!E:E,A767)
+COUNTIFS(Equipar!B:B,4,Equipar!F:F,A767)
&gt;0,COUNTIF('Set recomendado'!B:B,C767)=0),
"Bloqueada",
"Desechable")),""
)</f>
        <v/>
      </c>
      <c r="J767" t="str" cm="1">
        <f t="array" aca="1" ref="J767" ca="1">IF(ISNUMBER(A767),IFERROR(_xlfn._xlws.FILTER(Equipar!A:A,(Equipar!B:B=4)*(Equipar!AC:AC=A767)),""),"")</f>
        <v/>
      </c>
    </row>
    <row r="768" spans="1:10" x14ac:dyDescent="0.25">
      <c r="A768" s="3" t="str">
        <f ca="1">IF(A767="ID",1,IF(ISBLANK(B768),"",MAX(A$2:A767)+1))</f>
        <v/>
      </c>
      <c r="I768" s="2" t="str">
        <f ca="1">IF(ISNUMBER(A768),
IF(COUNTIFS(Equipar!B:B,4,Equipar!AC:AC,A768),"Equipada",
IF(
  OR(COUNTIFS(Equipar!B:B,4,Equipar!C:C,A768)
 +COUNTIFS(Equipar!B:B,4,Equipar!D:D,A768)
+COUNTIFS(Equipar!B:B,4,Equipar!E:E,A768)
+COUNTIFS(Equipar!B:B,4,Equipar!F:F,A768)
&gt;0,COUNTIF('Set recomendado'!B:B,C768)=0),
"Bloqueada",
"Desechable")),""
)</f>
        <v/>
      </c>
      <c r="J768" t="str" cm="1">
        <f t="array" aca="1" ref="J768" ca="1">IF(ISNUMBER(A768),IFERROR(_xlfn._xlws.FILTER(Equipar!A:A,(Equipar!B:B=4)*(Equipar!AC:AC=A768)),""),"")</f>
        <v/>
      </c>
    </row>
    <row r="769" spans="1:10" x14ac:dyDescent="0.25">
      <c r="A769" s="3" t="str">
        <f ca="1">IF(A768="ID",1,IF(ISBLANK(B769),"",MAX(A$2:A768)+1))</f>
        <v/>
      </c>
      <c r="I769" s="2" t="str">
        <f ca="1">IF(ISNUMBER(A769),
IF(COUNTIFS(Equipar!B:B,4,Equipar!AC:AC,A769),"Equipada",
IF(
  OR(COUNTIFS(Equipar!B:B,4,Equipar!C:C,A769)
 +COUNTIFS(Equipar!B:B,4,Equipar!D:D,A769)
+COUNTIFS(Equipar!B:B,4,Equipar!E:E,A769)
+COUNTIFS(Equipar!B:B,4,Equipar!F:F,A769)
&gt;0,COUNTIF('Set recomendado'!B:B,C769)=0),
"Bloqueada",
"Desechable")),""
)</f>
        <v/>
      </c>
      <c r="J769" t="str" cm="1">
        <f t="array" aca="1" ref="J769" ca="1">IF(ISNUMBER(A769),IFERROR(_xlfn._xlws.FILTER(Equipar!A:A,(Equipar!B:B=4)*(Equipar!AC:AC=A769)),""),"")</f>
        <v/>
      </c>
    </row>
    <row r="770" spans="1:10" x14ac:dyDescent="0.25">
      <c r="A770" s="3" t="str">
        <f ca="1">IF(A769="ID",1,IF(ISBLANK(B770),"",MAX(A$2:A769)+1))</f>
        <v/>
      </c>
      <c r="I770" s="2" t="str">
        <f ca="1">IF(ISNUMBER(A770),
IF(COUNTIFS(Equipar!B:B,4,Equipar!AC:AC,A770),"Equipada",
IF(
  OR(COUNTIFS(Equipar!B:B,4,Equipar!C:C,A770)
 +COUNTIFS(Equipar!B:B,4,Equipar!D:D,A770)
+COUNTIFS(Equipar!B:B,4,Equipar!E:E,A770)
+COUNTIFS(Equipar!B:B,4,Equipar!F:F,A770)
&gt;0,COUNTIF('Set recomendado'!B:B,C770)=0),
"Bloqueada",
"Desechable")),""
)</f>
        <v/>
      </c>
      <c r="J770" t="str" cm="1">
        <f t="array" aca="1" ref="J770" ca="1">IF(ISNUMBER(A770),IFERROR(_xlfn._xlws.FILTER(Equipar!A:A,(Equipar!B:B=4)*(Equipar!AC:AC=A770)),""),"")</f>
        <v/>
      </c>
    </row>
    <row r="771" spans="1:10" x14ac:dyDescent="0.25">
      <c r="A771" s="3" t="str">
        <f ca="1">IF(A770="ID",1,IF(ISBLANK(B771),"",MAX(A$2:A770)+1))</f>
        <v/>
      </c>
      <c r="I771" s="2" t="str">
        <f ca="1">IF(ISNUMBER(A771),
IF(COUNTIFS(Equipar!B:B,4,Equipar!AC:AC,A771),"Equipada",
IF(
  OR(COUNTIFS(Equipar!B:B,4,Equipar!C:C,A771)
 +COUNTIFS(Equipar!B:B,4,Equipar!D:D,A771)
+COUNTIFS(Equipar!B:B,4,Equipar!E:E,A771)
+COUNTIFS(Equipar!B:B,4,Equipar!F:F,A771)
&gt;0,COUNTIF('Set recomendado'!B:B,C771)=0),
"Bloqueada",
"Desechable")),""
)</f>
        <v/>
      </c>
      <c r="J771" t="str" cm="1">
        <f t="array" aca="1" ref="J771" ca="1">IF(ISNUMBER(A771),IFERROR(_xlfn._xlws.FILTER(Equipar!A:A,(Equipar!B:B=4)*(Equipar!AC:AC=A771)),""),"")</f>
        <v/>
      </c>
    </row>
    <row r="772" spans="1:10" x14ac:dyDescent="0.25">
      <c r="A772" s="3" t="str">
        <f ca="1">IF(A771="ID",1,IF(ISBLANK(B772),"",MAX(A$2:A771)+1))</f>
        <v/>
      </c>
      <c r="I772" s="2" t="str">
        <f ca="1">IF(ISNUMBER(A772),
IF(COUNTIFS(Equipar!B:B,4,Equipar!AC:AC,A772),"Equipada",
IF(
  OR(COUNTIFS(Equipar!B:B,4,Equipar!C:C,A772)
 +COUNTIFS(Equipar!B:B,4,Equipar!D:D,A772)
+COUNTIFS(Equipar!B:B,4,Equipar!E:E,A772)
+COUNTIFS(Equipar!B:B,4,Equipar!F:F,A772)
&gt;0,COUNTIF('Set recomendado'!B:B,C772)=0),
"Bloqueada",
"Desechable")),""
)</f>
        <v/>
      </c>
      <c r="J772" t="str" cm="1">
        <f t="array" aca="1" ref="J772" ca="1">IF(ISNUMBER(A772),IFERROR(_xlfn._xlws.FILTER(Equipar!A:A,(Equipar!B:B=4)*(Equipar!AC:AC=A772)),""),"")</f>
        <v/>
      </c>
    </row>
    <row r="773" spans="1:10" x14ac:dyDescent="0.25">
      <c r="A773" s="3" t="str">
        <f ca="1">IF(A772="ID",1,IF(ISBLANK(B773),"",MAX(A$2:A772)+1))</f>
        <v/>
      </c>
      <c r="I773" s="2" t="str">
        <f ca="1">IF(ISNUMBER(A773),
IF(COUNTIFS(Equipar!B:B,4,Equipar!AC:AC,A773),"Equipada",
IF(
  OR(COUNTIFS(Equipar!B:B,4,Equipar!C:C,A773)
 +COUNTIFS(Equipar!B:B,4,Equipar!D:D,A773)
+COUNTIFS(Equipar!B:B,4,Equipar!E:E,A773)
+COUNTIFS(Equipar!B:B,4,Equipar!F:F,A773)
&gt;0,COUNTIF('Set recomendado'!B:B,C773)=0),
"Bloqueada",
"Desechable")),""
)</f>
        <v/>
      </c>
      <c r="J773" t="str" cm="1">
        <f t="array" aca="1" ref="J773" ca="1">IF(ISNUMBER(A773),IFERROR(_xlfn._xlws.FILTER(Equipar!A:A,(Equipar!B:B=4)*(Equipar!AC:AC=A773)),""),"")</f>
        <v/>
      </c>
    </row>
    <row r="774" spans="1:10" x14ac:dyDescent="0.25">
      <c r="A774" s="3" t="str">
        <f ca="1">IF(A773="ID",1,IF(ISBLANK(B774),"",MAX(A$2:A773)+1))</f>
        <v/>
      </c>
      <c r="I774" s="2" t="str">
        <f ca="1">IF(ISNUMBER(A774),
IF(COUNTIFS(Equipar!B:B,4,Equipar!AC:AC,A774),"Equipada",
IF(
  OR(COUNTIFS(Equipar!B:B,4,Equipar!C:C,A774)
 +COUNTIFS(Equipar!B:B,4,Equipar!D:D,A774)
+COUNTIFS(Equipar!B:B,4,Equipar!E:E,A774)
+COUNTIFS(Equipar!B:B,4,Equipar!F:F,A774)
&gt;0,COUNTIF('Set recomendado'!B:B,C774)=0),
"Bloqueada",
"Desechable")),""
)</f>
        <v/>
      </c>
      <c r="J774" t="str" cm="1">
        <f t="array" aca="1" ref="J774" ca="1">IF(ISNUMBER(A774),IFERROR(_xlfn._xlws.FILTER(Equipar!A:A,(Equipar!B:B=4)*(Equipar!AC:AC=A774)),""),"")</f>
        <v/>
      </c>
    </row>
    <row r="775" spans="1:10" x14ac:dyDescent="0.25">
      <c r="A775" s="3" t="str">
        <f ca="1">IF(A774="ID",1,IF(ISBLANK(B775),"",MAX(A$2:A774)+1))</f>
        <v/>
      </c>
      <c r="I775" s="2" t="str">
        <f ca="1">IF(ISNUMBER(A775),
IF(COUNTIFS(Equipar!B:B,4,Equipar!AC:AC,A775),"Equipada",
IF(
  OR(COUNTIFS(Equipar!B:B,4,Equipar!C:C,A775)
 +COUNTIFS(Equipar!B:B,4,Equipar!D:D,A775)
+COUNTIFS(Equipar!B:B,4,Equipar!E:E,A775)
+COUNTIFS(Equipar!B:B,4,Equipar!F:F,A775)
&gt;0,COUNTIF('Set recomendado'!B:B,C775)=0),
"Bloqueada",
"Desechable")),""
)</f>
        <v/>
      </c>
      <c r="J775" t="str" cm="1">
        <f t="array" aca="1" ref="J775" ca="1">IF(ISNUMBER(A775),IFERROR(_xlfn._xlws.FILTER(Equipar!A:A,(Equipar!B:B=4)*(Equipar!AC:AC=A775)),""),"")</f>
        <v/>
      </c>
    </row>
    <row r="776" spans="1:10" x14ac:dyDescent="0.25">
      <c r="A776" s="3" t="str">
        <f ca="1">IF(A775="ID",1,IF(ISBLANK(B776),"",MAX(A$2:A775)+1))</f>
        <v/>
      </c>
      <c r="I776" s="2" t="str">
        <f ca="1">IF(ISNUMBER(A776),
IF(COUNTIFS(Equipar!B:B,4,Equipar!AC:AC,A776),"Equipada",
IF(
  OR(COUNTIFS(Equipar!B:B,4,Equipar!C:C,A776)
 +COUNTIFS(Equipar!B:B,4,Equipar!D:D,A776)
+COUNTIFS(Equipar!B:B,4,Equipar!E:E,A776)
+COUNTIFS(Equipar!B:B,4,Equipar!F:F,A776)
&gt;0,COUNTIF('Set recomendado'!B:B,C776)=0),
"Bloqueada",
"Desechable")),""
)</f>
        <v/>
      </c>
      <c r="J776" t="str" cm="1">
        <f t="array" aca="1" ref="J776" ca="1">IF(ISNUMBER(A776),IFERROR(_xlfn._xlws.FILTER(Equipar!A:A,(Equipar!B:B=4)*(Equipar!AC:AC=A776)),""),"")</f>
        <v/>
      </c>
    </row>
    <row r="777" spans="1:10" x14ac:dyDescent="0.25">
      <c r="A777" s="3" t="str">
        <f ca="1">IF(A776="ID",1,IF(ISBLANK(B777),"",MAX(A$2:A776)+1))</f>
        <v/>
      </c>
      <c r="I777" s="2" t="str">
        <f ca="1">IF(ISNUMBER(A777),
IF(COUNTIFS(Equipar!B:B,4,Equipar!AC:AC,A777),"Equipada",
IF(
  OR(COUNTIFS(Equipar!B:B,4,Equipar!C:C,A777)
 +COUNTIFS(Equipar!B:B,4,Equipar!D:D,A777)
+COUNTIFS(Equipar!B:B,4,Equipar!E:E,A777)
+COUNTIFS(Equipar!B:B,4,Equipar!F:F,A777)
&gt;0,COUNTIF('Set recomendado'!B:B,C777)=0),
"Bloqueada",
"Desechable")),""
)</f>
        <v/>
      </c>
      <c r="J777" t="str" cm="1">
        <f t="array" aca="1" ref="J777" ca="1">IF(ISNUMBER(A777),IFERROR(_xlfn._xlws.FILTER(Equipar!A:A,(Equipar!B:B=4)*(Equipar!AC:AC=A777)),""),"")</f>
        <v/>
      </c>
    </row>
    <row r="778" spans="1:10" x14ac:dyDescent="0.25">
      <c r="A778" s="3" t="str">
        <f ca="1">IF(A777="ID",1,IF(ISBLANK(B778),"",MAX(A$2:A777)+1))</f>
        <v/>
      </c>
      <c r="I778" s="2" t="str">
        <f ca="1">IF(ISNUMBER(A778),
IF(COUNTIFS(Equipar!B:B,4,Equipar!AC:AC,A778),"Equipada",
IF(
  OR(COUNTIFS(Equipar!B:B,4,Equipar!C:C,A778)
 +COUNTIFS(Equipar!B:B,4,Equipar!D:D,A778)
+COUNTIFS(Equipar!B:B,4,Equipar!E:E,A778)
+COUNTIFS(Equipar!B:B,4,Equipar!F:F,A778)
&gt;0,COUNTIF('Set recomendado'!B:B,C778)=0),
"Bloqueada",
"Desechable")),""
)</f>
        <v/>
      </c>
      <c r="J778" t="str" cm="1">
        <f t="array" aca="1" ref="J778" ca="1">IF(ISNUMBER(A778),IFERROR(_xlfn._xlws.FILTER(Equipar!A:A,(Equipar!B:B=4)*(Equipar!AC:AC=A778)),""),"")</f>
        <v/>
      </c>
    </row>
    <row r="779" spans="1:10" x14ac:dyDescent="0.25">
      <c r="A779" s="3" t="str">
        <f ca="1">IF(A778="ID",1,IF(ISBLANK(B779),"",MAX(A$2:A778)+1))</f>
        <v/>
      </c>
      <c r="I779" s="2" t="str">
        <f ca="1">IF(ISNUMBER(A779),
IF(COUNTIFS(Equipar!B:B,4,Equipar!AC:AC,A779),"Equipada",
IF(
  OR(COUNTIFS(Equipar!B:B,4,Equipar!C:C,A779)
 +COUNTIFS(Equipar!B:B,4,Equipar!D:D,A779)
+COUNTIFS(Equipar!B:B,4,Equipar!E:E,A779)
+COUNTIFS(Equipar!B:B,4,Equipar!F:F,A779)
&gt;0,COUNTIF('Set recomendado'!B:B,C779)=0),
"Bloqueada",
"Desechable")),""
)</f>
        <v/>
      </c>
      <c r="J779" t="str" cm="1">
        <f t="array" aca="1" ref="J779" ca="1">IF(ISNUMBER(A779),IFERROR(_xlfn._xlws.FILTER(Equipar!A:A,(Equipar!B:B=4)*(Equipar!AC:AC=A779)),""),"")</f>
        <v/>
      </c>
    </row>
    <row r="780" spans="1:10" x14ac:dyDescent="0.25">
      <c r="A780" s="3" t="str">
        <f ca="1">IF(A779="ID",1,IF(ISBLANK(B780),"",MAX(A$2:A779)+1))</f>
        <v/>
      </c>
      <c r="I780" s="2" t="str">
        <f ca="1">IF(ISNUMBER(A780),
IF(COUNTIFS(Equipar!B:B,4,Equipar!AC:AC,A780),"Equipada",
IF(
  OR(COUNTIFS(Equipar!B:B,4,Equipar!C:C,A780)
 +COUNTIFS(Equipar!B:B,4,Equipar!D:D,A780)
+COUNTIFS(Equipar!B:B,4,Equipar!E:E,A780)
+COUNTIFS(Equipar!B:B,4,Equipar!F:F,A780)
&gt;0,COUNTIF('Set recomendado'!B:B,C780)=0),
"Bloqueada",
"Desechable")),""
)</f>
        <v/>
      </c>
      <c r="J780" t="str" cm="1">
        <f t="array" aca="1" ref="J780" ca="1">IF(ISNUMBER(A780),IFERROR(_xlfn._xlws.FILTER(Equipar!A:A,(Equipar!B:B=4)*(Equipar!AC:AC=A780)),""),"")</f>
        <v/>
      </c>
    </row>
    <row r="781" spans="1:10" x14ac:dyDescent="0.25">
      <c r="A781" s="3" t="str">
        <f ca="1">IF(A780="ID",1,IF(ISBLANK(B781),"",MAX(A$2:A780)+1))</f>
        <v/>
      </c>
      <c r="I781" s="2" t="str">
        <f ca="1">IF(ISNUMBER(A781),
IF(COUNTIFS(Equipar!B:B,4,Equipar!AC:AC,A781),"Equipada",
IF(
  OR(COUNTIFS(Equipar!B:B,4,Equipar!C:C,A781)
 +COUNTIFS(Equipar!B:B,4,Equipar!D:D,A781)
+COUNTIFS(Equipar!B:B,4,Equipar!E:E,A781)
+COUNTIFS(Equipar!B:B,4,Equipar!F:F,A781)
&gt;0,COUNTIF('Set recomendado'!B:B,C781)=0),
"Bloqueada",
"Desechable")),""
)</f>
        <v/>
      </c>
      <c r="J781" t="str" cm="1">
        <f t="array" aca="1" ref="J781" ca="1">IF(ISNUMBER(A781),IFERROR(_xlfn._xlws.FILTER(Equipar!A:A,(Equipar!B:B=4)*(Equipar!AC:AC=A781)),""),"")</f>
        <v/>
      </c>
    </row>
    <row r="782" spans="1:10" x14ac:dyDescent="0.25">
      <c r="A782" s="3" t="str">
        <f ca="1">IF(A781="ID",1,IF(ISBLANK(B782),"",MAX(A$2:A781)+1))</f>
        <v/>
      </c>
      <c r="I782" s="2" t="str">
        <f ca="1">IF(ISNUMBER(A782),
IF(COUNTIFS(Equipar!B:B,4,Equipar!AC:AC,A782),"Equipada",
IF(
  OR(COUNTIFS(Equipar!B:B,4,Equipar!C:C,A782)
 +COUNTIFS(Equipar!B:B,4,Equipar!D:D,A782)
+COUNTIFS(Equipar!B:B,4,Equipar!E:E,A782)
+COUNTIFS(Equipar!B:B,4,Equipar!F:F,A782)
&gt;0,COUNTIF('Set recomendado'!B:B,C782)=0),
"Bloqueada",
"Desechable")),""
)</f>
        <v/>
      </c>
      <c r="J782" t="str" cm="1">
        <f t="array" aca="1" ref="J782" ca="1">IF(ISNUMBER(A782),IFERROR(_xlfn._xlws.FILTER(Equipar!A:A,(Equipar!B:B=4)*(Equipar!AC:AC=A782)),""),"")</f>
        <v/>
      </c>
    </row>
    <row r="783" spans="1:10" x14ac:dyDescent="0.25">
      <c r="A783" s="3" t="str">
        <f ca="1">IF(A782="ID",1,IF(ISBLANK(B783),"",MAX(A$2:A782)+1))</f>
        <v/>
      </c>
      <c r="I783" s="2" t="str">
        <f ca="1">IF(ISNUMBER(A783),
IF(COUNTIFS(Equipar!B:B,4,Equipar!AC:AC,A783),"Equipada",
IF(
  OR(COUNTIFS(Equipar!B:B,4,Equipar!C:C,A783)
 +COUNTIFS(Equipar!B:B,4,Equipar!D:D,A783)
+COUNTIFS(Equipar!B:B,4,Equipar!E:E,A783)
+COUNTIFS(Equipar!B:B,4,Equipar!F:F,A783)
&gt;0,COUNTIF('Set recomendado'!B:B,C783)=0),
"Bloqueada",
"Desechable")),""
)</f>
        <v/>
      </c>
      <c r="J783" t="str" cm="1">
        <f t="array" aca="1" ref="J783" ca="1">IF(ISNUMBER(A783),IFERROR(_xlfn._xlws.FILTER(Equipar!A:A,(Equipar!B:B=4)*(Equipar!AC:AC=A783)),""),"")</f>
        <v/>
      </c>
    </row>
    <row r="784" spans="1:10" x14ac:dyDescent="0.25">
      <c r="A784" s="3" t="str">
        <f ca="1">IF(A783="ID",1,IF(ISBLANK(B784),"",MAX(A$2:A783)+1))</f>
        <v/>
      </c>
      <c r="I784" s="2" t="str">
        <f ca="1">IF(ISNUMBER(A784),
IF(COUNTIFS(Equipar!B:B,4,Equipar!AC:AC,A784),"Equipada",
IF(
  OR(COUNTIFS(Equipar!B:B,4,Equipar!C:C,A784)
 +COUNTIFS(Equipar!B:B,4,Equipar!D:D,A784)
+COUNTIFS(Equipar!B:B,4,Equipar!E:E,A784)
+COUNTIFS(Equipar!B:B,4,Equipar!F:F,A784)
&gt;0,COUNTIF('Set recomendado'!B:B,C784)=0),
"Bloqueada",
"Desechable")),""
)</f>
        <v/>
      </c>
      <c r="J784" t="str" cm="1">
        <f t="array" aca="1" ref="J784" ca="1">IF(ISNUMBER(A784),IFERROR(_xlfn._xlws.FILTER(Equipar!A:A,(Equipar!B:B=4)*(Equipar!AC:AC=A784)),""),"")</f>
        <v/>
      </c>
    </row>
    <row r="785" spans="1:10" x14ac:dyDescent="0.25">
      <c r="A785" s="3" t="str">
        <f ca="1">IF(A784="ID",1,IF(ISBLANK(B785),"",MAX(A$2:A784)+1))</f>
        <v/>
      </c>
      <c r="I785" s="2" t="str">
        <f ca="1">IF(ISNUMBER(A785),
IF(COUNTIFS(Equipar!B:B,4,Equipar!AC:AC,A785),"Equipada",
IF(
  OR(COUNTIFS(Equipar!B:B,4,Equipar!C:C,A785)
 +COUNTIFS(Equipar!B:B,4,Equipar!D:D,A785)
+COUNTIFS(Equipar!B:B,4,Equipar!E:E,A785)
+COUNTIFS(Equipar!B:B,4,Equipar!F:F,A785)
&gt;0,COUNTIF('Set recomendado'!B:B,C785)=0),
"Bloqueada",
"Desechable")),""
)</f>
        <v/>
      </c>
      <c r="J785" t="str" cm="1">
        <f t="array" aca="1" ref="J785" ca="1">IF(ISNUMBER(A785),IFERROR(_xlfn._xlws.FILTER(Equipar!A:A,(Equipar!B:B=4)*(Equipar!AC:AC=A785)),""),"")</f>
        <v/>
      </c>
    </row>
    <row r="786" spans="1:10" x14ac:dyDescent="0.25">
      <c r="A786" s="3" t="str">
        <f ca="1">IF(A785="ID",1,IF(ISBLANK(B786),"",MAX(A$2:A785)+1))</f>
        <v/>
      </c>
      <c r="I786" s="2" t="str">
        <f ca="1">IF(ISNUMBER(A786),
IF(COUNTIFS(Equipar!B:B,4,Equipar!AC:AC,A786),"Equipada",
IF(
  OR(COUNTIFS(Equipar!B:B,4,Equipar!C:C,A786)
 +COUNTIFS(Equipar!B:B,4,Equipar!D:D,A786)
+COUNTIFS(Equipar!B:B,4,Equipar!E:E,A786)
+COUNTIFS(Equipar!B:B,4,Equipar!F:F,A786)
&gt;0,COUNTIF('Set recomendado'!B:B,C786)=0),
"Bloqueada",
"Desechable")),""
)</f>
        <v/>
      </c>
      <c r="J786" t="str" cm="1">
        <f t="array" aca="1" ref="J786" ca="1">IF(ISNUMBER(A786),IFERROR(_xlfn._xlws.FILTER(Equipar!A:A,(Equipar!B:B=4)*(Equipar!AC:AC=A786)),""),"")</f>
        <v/>
      </c>
    </row>
    <row r="787" spans="1:10" x14ac:dyDescent="0.25">
      <c r="A787" s="3" t="str">
        <f ca="1">IF(A786="ID",1,IF(ISBLANK(B787),"",MAX(A$2:A786)+1))</f>
        <v/>
      </c>
      <c r="I787" s="2" t="str">
        <f ca="1">IF(ISNUMBER(A787),
IF(COUNTIFS(Equipar!B:B,4,Equipar!AC:AC,A787),"Equipada",
IF(
  OR(COUNTIFS(Equipar!B:B,4,Equipar!C:C,A787)
 +COUNTIFS(Equipar!B:B,4,Equipar!D:D,A787)
+COUNTIFS(Equipar!B:B,4,Equipar!E:E,A787)
+COUNTIFS(Equipar!B:B,4,Equipar!F:F,A787)
&gt;0,COUNTIF('Set recomendado'!B:B,C787)=0),
"Bloqueada",
"Desechable")),""
)</f>
        <v/>
      </c>
      <c r="J787" t="str" cm="1">
        <f t="array" aca="1" ref="J787" ca="1">IF(ISNUMBER(A787),IFERROR(_xlfn._xlws.FILTER(Equipar!A:A,(Equipar!B:B=4)*(Equipar!AC:AC=A787)),""),"")</f>
        <v/>
      </c>
    </row>
    <row r="788" spans="1:10" x14ac:dyDescent="0.25">
      <c r="A788" s="3" t="str">
        <f ca="1">IF(A787="ID",1,IF(ISBLANK(B788),"",MAX(A$2:A787)+1))</f>
        <v/>
      </c>
      <c r="I788" s="2" t="str">
        <f ca="1">IF(ISNUMBER(A788),
IF(COUNTIFS(Equipar!B:B,4,Equipar!AC:AC,A788),"Equipada",
IF(
  OR(COUNTIFS(Equipar!B:B,4,Equipar!C:C,A788)
 +COUNTIFS(Equipar!B:B,4,Equipar!D:D,A788)
+COUNTIFS(Equipar!B:B,4,Equipar!E:E,A788)
+COUNTIFS(Equipar!B:B,4,Equipar!F:F,A788)
&gt;0,COUNTIF('Set recomendado'!B:B,C788)=0),
"Bloqueada",
"Desechable")),""
)</f>
        <v/>
      </c>
      <c r="J788" t="str" cm="1">
        <f t="array" aca="1" ref="J788" ca="1">IF(ISNUMBER(A788),IFERROR(_xlfn._xlws.FILTER(Equipar!A:A,(Equipar!B:B=4)*(Equipar!AC:AC=A788)),""),"")</f>
        <v/>
      </c>
    </row>
    <row r="789" spans="1:10" x14ac:dyDescent="0.25">
      <c r="A789" s="3" t="str">
        <f ca="1">IF(A788="ID",1,IF(ISBLANK(B789),"",MAX(A$2:A788)+1))</f>
        <v/>
      </c>
      <c r="I789" s="2" t="str">
        <f ca="1">IF(ISNUMBER(A789),
IF(COUNTIFS(Equipar!B:B,4,Equipar!AC:AC,A789),"Equipada",
IF(
  OR(COUNTIFS(Equipar!B:B,4,Equipar!C:C,A789)
 +COUNTIFS(Equipar!B:B,4,Equipar!D:D,A789)
+COUNTIFS(Equipar!B:B,4,Equipar!E:E,A789)
+COUNTIFS(Equipar!B:B,4,Equipar!F:F,A789)
&gt;0,COUNTIF('Set recomendado'!B:B,C789)=0),
"Bloqueada",
"Desechable")),""
)</f>
        <v/>
      </c>
      <c r="J789" t="str" cm="1">
        <f t="array" aca="1" ref="J789" ca="1">IF(ISNUMBER(A789),IFERROR(_xlfn._xlws.FILTER(Equipar!A:A,(Equipar!B:B=4)*(Equipar!AC:AC=A789)),""),"")</f>
        <v/>
      </c>
    </row>
    <row r="790" spans="1:10" x14ac:dyDescent="0.25">
      <c r="A790" s="3" t="str">
        <f ca="1">IF(A789="ID",1,IF(ISBLANK(B790),"",MAX(A$2:A789)+1))</f>
        <v/>
      </c>
      <c r="I790" s="2" t="str">
        <f ca="1">IF(ISNUMBER(A790),
IF(COUNTIFS(Equipar!B:B,4,Equipar!AC:AC,A790),"Equipada",
IF(
  OR(COUNTIFS(Equipar!B:B,4,Equipar!C:C,A790)
 +COUNTIFS(Equipar!B:B,4,Equipar!D:D,A790)
+COUNTIFS(Equipar!B:B,4,Equipar!E:E,A790)
+COUNTIFS(Equipar!B:B,4,Equipar!F:F,A790)
&gt;0,COUNTIF('Set recomendado'!B:B,C790)=0),
"Bloqueada",
"Desechable")),""
)</f>
        <v/>
      </c>
      <c r="J790" t="str" cm="1">
        <f t="array" aca="1" ref="J790" ca="1">IF(ISNUMBER(A790),IFERROR(_xlfn._xlws.FILTER(Equipar!A:A,(Equipar!B:B=4)*(Equipar!AC:AC=A790)),""),"")</f>
        <v/>
      </c>
    </row>
    <row r="791" spans="1:10" x14ac:dyDescent="0.25">
      <c r="A791" s="3" t="str">
        <f ca="1">IF(A790="ID",1,IF(ISBLANK(B791),"",MAX(A$2:A790)+1))</f>
        <v/>
      </c>
      <c r="I791" s="2" t="str">
        <f ca="1">IF(ISNUMBER(A791),
IF(COUNTIFS(Equipar!B:B,4,Equipar!AC:AC,A791),"Equipada",
IF(
  OR(COUNTIFS(Equipar!B:B,4,Equipar!C:C,A791)
 +COUNTIFS(Equipar!B:B,4,Equipar!D:D,A791)
+COUNTIFS(Equipar!B:B,4,Equipar!E:E,A791)
+COUNTIFS(Equipar!B:B,4,Equipar!F:F,A791)
&gt;0,COUNTIF('Set recomendado'!B:B,C791)=0),
"Bloqueada",
"Desechable")),""
)</f>
        <v/>
      </c>
      <c r="J791" t="str" cm="1">
        <f t="array" aca="1" ref="J791" ca="1">IF(ISNUMBER(A791),IFERROR(_xlfn._xlws.FILTER(Equipar!A:A,(Equipar!B:B=4)*(Equipar!AC:AC=A791)),""),"")</f>
        <v/>
      </c>
    </row>
    <row r="792" spans="1:10" x14ac:dyDescent="0.25">
      <c r="A792" s="3" t="str">
        <f ca="1">IF(A791="ID",1,IF(ISBLANK(B792),"",MAX(A$2:A791)+1))</f>
        <v/>
      </c>
      <c r="I792" s="2" t="str">
        <f ca="1">IF(ISNUMBER(A792),
IF(COUNTIFS(Equipar!B:B,4,Equipar!AC:AC,A792),"Equipada",
IF(
  OR(COUNTIFS(Equipar!B:B,4,Equipar!C:C,A792)
 +COUNTIFS(Equipar!B:B,4,Equipar!D:D,A792)
+COUNTIFS(Equipar!B:B,4,Equipar!E:E,A792)
+COUNTIFS(Equipar!B:B,4,Equipar!F:F,A792)
&gt;0,COUNTIF('Set recomendado'!B:B,C792)=0),
"Bloqueada",
"Desechable")),""
)</f>
        <v/>
      </c>
      <c r="J792" t="str" cm="1">
        <f t="array" aca="1" ref="J792" ca="1">IF(ISNUMBER(A792),IFERROR(_xlfn._xlws.FILTER(Equipar!A:A,(Equipar!B:B=4)*(Equipar!AC:AC=A792)),""),"")</f>
        <v/>
      </c>
    </row>
    <row r="793" spans="1:10" x14ac:dyDescent="0.25">
      <c r="A793" s="3" t="str">
        <f ca="1">IF(A792="ID",1,IF(ISBLANK(B793),"",MAX(A$2:A792)+1))</f>
        <v/>
      </c>
      <c r="I793" s="2" t="str">
        <f ca="1">IF(ISNUMBER(A793),
IF(COUNTIFS(Equipar!B:B,4,Equipar!AC:AC,A793),"Equipada",
IF(
  OR(COUNTIFS(Equipar!B:B,4,Equipar!C:C,A793)
 +COUNTIFS(Equipar!B:B,4,Equipar!D:D,A793)
+COUNTIFS(Equipar!B:B,4,Equipar!E:E,A793)
+COUNTIFS(Equipar!B:B,4,Equipar!F:F,A793)
&gt;0,COUNTIF('Set recomendado'!B:B,C793)=0),
"Bloqueada",
"Desechable")),""
)</f>
        <v/>
      </c>
      <c r="J793" t="str" cm="1">
        <f t="array" aca="1" ref="J793" ca="1">IF(ISNUMBER(A793),IFERROR(_xlfn._xlws.FILTER(Equipar!A:A,(Equipar!B:B=4)*(Equipar!AC:AC=A793)),""),"")</f>
        <v/>
      </c>
    </row>
    <row r="794" spans="1:10" x14ac:dyDescent="0.25">
      <c r="A794" s="3" t="str">
        <f ca="1">IF(A793="ID",1,IF(ISBLANK(B794),"",MAX(A$2:A793)+1))</f>
        <v/>
      </c>
      <c r="I794" s="2" t="str">
        <f ca="1">IF(ISNUMBER(A794),
IF(COUNTIFS(Equipar!B:B,4,Equipar!AC:AC,A794),"Equipada",
IF(
  OR(COUNTIFS(Equipar!B:B,4,Equipar!C:C,A794)
 +COUNTIFS(Equipar!B:B,4,Equipar!D:D,A794)
+COUNTIFS(Equipar!B:B,4,Equipar!E:E,A794)
+COUNTIFS(Equipar!B:B,4,Equipar!F:F,A794)
&gt;0,COUNTIF('Set recomendado'!B:B,C794)=0),
"Bloqueada",
"Desechable")),""
)</f>
        <v/>
      </c>
      <c r="J794" t="str" cm="1">
        <f t="array" aca="1" ref="J794" ca="1">IF(ISNUMBER(A794),IFERROR(_xlfn._xlws.FILTER(Equipar!A:A,(Equipar!B:B=4)*(Equipar!AC:AC=A794)),""),"")</f>
        <v/>
      </c>
    </row>
    <row r="795" spans="1:10" x14ac:dyDescent="0.25">
      <c r="A795" s="3" t="str">
        <f ca="1">IF(A794="ID",1,IF(ISBLANK(B795),"",MAX(A$2:A794)+1))</f>
        <v/>
      </c>
      <c r="I795" s="2" t="str">
        <f ca="1">IF(ISNUMBER(A795),
IF(COUNTIFS(Equipar!B:B,4,Equipar!AC:AC,A795),"Equipada",
IF(
  OR(COUNTIFS(Equipar!B:B,4,Equipar!C:C,A795)
 +COUNTIFS(Equipar!B:B,4,Equipar!D:D,A795)
+COUNTIFS(Equipar!B:B,4,Equipar!E:E,A795)
+COUNTIFS(Equipar!B:B,4,Equipar!F:F,A795)
&gt;0,COUNTIF('Set recomendado'!B:B,C795)=0),
"Bloqueada",
"Desechable")),""
)</f>
        <v/>
      </c>
      <c r="J795" t="str" cm="1">
        <f t="array" aca="1" ref="J795" ca="1">IF(ISNUMBER(A795),IFERROR(_xlfn._xlws.FILTER(Equipar!A:A,(Equipar!B:B=4)*(Equipar!AC:AC=A795)),""),"")</f>
        <v/>
      </c>
    </row>
    <row r="796" spans="1:10" x14ac:dyDescent="0.25">
      <c r="A796" s="3" t="str">
        <f ca="1">IF(A795="ID",1,IF(ISBLANK(B796),"",MAX(A$2:A795)+1))</f>
        <v/>
      </c>
      <c r="I796" s="2" t="str">
        <f ca="1">IF(ISNUMBER(A796),
IF(COUNTIFS(Equipar!B:B,4,Equipar!AC:AC,A796),"Equipada",
IF(
  OR(COUNTIFS(Equipar!B:B,4,Equipar!C:C,A796)
 +COUNTIFS(Equipar!B:B,4,Equipar!D:D,A796)
+COUNTIFS(Equipar!B:B,4,Equipar!E:E,A796)
+COUNTIFS(Equipar!B:B,4,Equipar!F:F,A796)
&gt;0,COUNTIF('Set recomendado'!B:B,C796)=0),
"Bloqueada",
"Desechable")),""
)</f>
        <v/>
      </c>
      <c r="J796" t="str" cm="1">
        <f t="array" aca="1" ref="J796" ca="1">IF(ISNUMBER(A796),IFERROR(_xlfn._xlws.FILTER(Equipar!A:A,(Equipar!B:B=4)*(Equipar!AC:AC=A796)),""),"")</f>
        <v/>
      </c>
    </row>
    <row r="797" spans="1:10" x14ac:dyDescent="0.25">
      <c r="A797" s="3" t="str">
        <f ca="1">IF(A796="ID",1,IF(ISBLANK(B797),"",MAX(A$2:A796)+1))</f>
        <v/>
      </c>
      <c r="I797" s="2" t="str">
        <f ca="1">IF(ISNUMBER(A797),
IF(COUNTIFS(Equipar!B:B,4,Equipar!AC:AC,A797),"Equipada",
IF(
  OR(COUNTIFS(Equipar!B:B,4,Equipar!C:C,A797)
 +COUNTIFS(Equipar!B:B,4,Equipar!D:D,A797)
+COUNTIFS(Equipar!B:B,4,Equipar!E:E,A797)
+COUNTIFS(Equipar!B:B,4,Equipar!F:F,A797)
&gt;0,COUNTIF('Set recomendado'!B:B,C797)=0),
"Bloqueada",
"Desechable")),""
)</f>
        <v/>
      </c>
      <c r="J797" t="str" cm="1">
        <f t="array" aca="1" ref="J797" ca="1">IF(ISNUMBER(A797),IFERROR(_xlfn._xlws.FILTER(Equipar!A:A,(Equipar!B:B=4)*(Equipar!AC:AC=A797)),""),"")</f>
        <v/>
      </c>
    </row>
    <row r="798" spans="1:10" x14ac:dyDescent="0.25">
      <c r="A798" s="3" t="str">
        <f ca="1">IF(A797="ID",1,IF(ISBLANK(B798),"",MAX(A$2:A797)+1))</f>
        <v/>
      </c>
      <c r="I798" s="2" t="str">
        <f ca="1">IF(ISNUMBER(A798),
IF(COUNTIFS(Equipar!B:B,4,Equipar!AC:AC,A798),"Equipada",
IF(
  OR(COUNTIFS(Equipar!B:B,4,Equipar!C:C,A798)
 +COUNTIFS(Equipar!B:B,4,Equipar!D:D,A798)
+COUNTIFS(Equipar!B:B,4,Equipar!E:E,A798)
+COUNTIFS(Equipar!B:B,4,Equipar!F:F,A798)
&gt;0,COUNTIF('Set recomendado'!B:B,C798)=0),
"Bloqueada",
"Desechable")),""
)</f>
        <v/>
      </c>
      <c r="J798" t="str" cm="1">
        <f t="array" aca="1" ref="J798" ca="1">IF(ISNUMBER(A798),IFERROR(_xlfn._xlws.FILTER(Equipar!A:A,(Equipar!B:B=4)*(Equipar!AC:AC=A798)),""),"")</f>
        <v/>
      </c>
    </row>
    <row r="799" spans="1:10" x14ac:dyDescent="0.25">
      <c r="A799" s="3" t="str">
        <f ca="1">IF(A798="ID",1,IF(ISBLANK(B799),"",MAX(A$2:A798)+1))</f>
        <v/>
      </c>
      <c r="I799" s="2" t="str">
        <f ca="1">IF(ISNUMBER(A799),
IF(COUNTIFS(Equipar!B:B,4,Equipar!AC:AC,A799),"Equipada",
IF(
  OR(COUNTIFS(Equipar!B:B,4,Equipar!C:C,A799)
 +COUNTIFS(Equipar!B:B,4,Equipar!D:D,A799)
+COUNTIFS(Equipar!B:B,4,Equipar!E:E,A799)
+COUNTIFS(Equipar!B:B,4,Equipar!F:F,A799)
&gt;0,COUNTIF('Set recomendado'!B:B,C799)=0),
"Bloqueada",
"Desechable")),""
)</f>
        <v/>
      </c>
      <c r="J799" t="str" cm="1">
        <f t="array" aca="1" ref="J799" ca="1">IF(ISNUMBER(A799),IFERROR(_xlfn._xlws.FILTER(Equipar!A:A,(Equipar!B:B=4)*(Equipar!AC:AC=A799)),""),"")</f>
        <v/>
      </c>
    </row>
    <row r="800" spans="1:10" x14ac:dyDescent="0.25">
      <c r="A800" s="3" t="str">
        <f ca="1">IF(A799="ID",1,IF(ISBLANK(B800),"",MAX(A$2:A799)+1))</f>
        <v/>
      </c>
      <c r="I800" s="2" t="str">
        <f ca="1">IF(ISNUMBER(A800),
IF(COUNTIFS(Equipar!B:B,4,Equipar!AC:AC,A800),"Equipada",
IF(
  OR(COUNTIFS(Equipar!B:B,4,Equipar!C:C,A800)
 +COUNTIFS(Equipar!B:B,4,Equipar!D:D,A800)
+COUNTIFS(Equipar!B:B,4,Equipar!E:E,A800)
+COUNTIFS(Equipar!B:B,4,Equipar!F:F,A800)
&gt;0,COUNTIF('Set recomendado'!B:B,C800)=0),
"Bloqueada",
"Desechable")),""
)</f>
        <v/>
      </c>
      <c r="J800" t="str" cm="1">
        <f t="array" aca="1" ref="J800" ca="1">IF(ISNUMBER(A800),IFERROR(_xlfn._xlws.FILTER(Equipar!A:A,(Equipar!B:B=4)*(Equipar!AC:AC=A800)),""),"")</f>
        <v/>
      </c>
    </row>
    <row r="801" spans="1:10" x14ac:dyDescent="0.25">
      <c r="A801" s="3" t="str">
        <f ca="1">IF(A800="ID",1,IF(ISBLANK(B801),"",MAX(A$2:A800)+1))</f>
        <v/>
      </c>
      <c r="I801" s="2" t="str">
        <f ca="1">IF(ISNUMBER(A801),
IF(COUNTIFS(Equipar!B:B,4,Equipar!AC:AC,A801),"Equipada",
IF(
  OR(COUNTIFS(Equipar!B:B,4,Equipar!C:C,A801)
 +COUNTIFS(Equipar!B:B,4,Equipar!D:D,A801)
+COUNTIFS(Equipar!B:B,4,Equipar!E:E,A801)
+COUNTIFS(Equipar!B:B,4,Equipar!F:F,A801)
&gt;0,COUNTIF('Set recomendado'!B:B,C801)=0),
"Bloqueada",
"Desechable")),""
)</f>
        <v/>
      </c>
      <c r="J801" t="str" cm="1">
        <f t="array" aca="1" ref="J801" ca="1">IF(ISNUMBER(A801),IFERROR(_xlfn._xlws.FILTER(Equipar!A:A,(Equipar!B:B=4)*(Equipar!AC:AC=A801)),""),"")</f>
        <v/>
      </c>
    </row>
    <row r="802" spans="1:10" x14ac:dyDescent="0.25">
      <c r="A802" s="3" t="str">
        <f ca="1">IF(A801="ID",1,IF(ISBLANK(B802),"",MAX(A$2:A801)+1))</f>
        <v/>
      </c>
      <c r="I802" s="2" t="str">
        <f ca="1">IF(ISNUMBER(A802),
IF(COUNTIFS(Equipar!B:B,4,Equipar!AC:AC,A802),"Equipada",
IF(
  OR(COUNTIFS(Equipar!B:B,4,Equipar!C:C,A802)
 +COUNTIFS(Equipar!B:B,4,Equipar!D:D,A802)
+COUNTIFS(Equipar!B:B,4,Equipar!E:E,A802)
+COUNTIFS(Equipar!B:B,4,Equipar!F:F,A802)
&gt;0,COUNTIF('Set recomendado'!B:B,C802)=0),
"Bloqueada",
"Desechable")),""
)</f>
        <v/>
      </c>
      <c r="J802" t="str" cm="1">
        <f t="array" aca="1" ref="J802" ca="1">IF(ISNUMBER(A802),IFERROR(_xlfn._xlws.FILTER(Equipar!A:A,(Equipar!B:B=4)*(Equipar!AC:AC=A802)),""),"")</f>
        <v/>
      </c>
    </row>
    <row r="803" spans="1:10" x14ac:dyDescent="0.25">
      <c r="A803" s="3" t="str">
        <f ca="1">IF(A802="ID",1,IF(ISBLANK(B803),"",MAX(A$2:A802)+1))</f>
        <v/>
      </c>
      <c r="I803" s="2" t="str">
        <f ca="1">IF(ISNUMBER(A803),
IF(COUNTIFS(Equipar!B:B,4,Equipar!AC:AC,A803),"Equipada",
IF(
  OR(COUNTIFS(Equipar!B:B,4,Equipar!C:C,A803)
 +COUNTIFS(Equipar!B:B,4,Equipar!D:D,A803)
+COUNTIFS(Equipar!B:B,4,Equipar!E:E,A803)
+COUNTIFS(Equipar!B:B,4,Equipar!F:F,A803)
&gt;0,COUNTIF('Set recomendado'!B:B,C803)=0),
"Bloqueada",
"Desechable")),""
)</f>
        <v/>
      </c>
      <c r="J803" t="str" cm="1">
        <f t="array" aca="1" ref="J803" ca="1">IF(ISNUMBER(A803),IFERROR(_xlfn._xlws.FILTER(Equipar!A:A,(Equipar!B:B=4)*(Equipar!AC:AC=A803)),""),"")</f>
        <v/>
      </c>
    </row>
    <row r="804" spans="1:10" x14ac:dyDescent="0.25">
      <c r="A804" s="3" t="str">
        <f ca="1">IF(A803="ID",1,IF(ISBLANK(B804),"",MAX(A$2:A803)+1))</f>
        <v/>
      </c>
      <c r="I804" s="2" t="str">
        <f ca="1">IF(ISNUMBER(A804),
IF(COUNTIFS(Equipar!B:B,4,Equipar!AC:AC,A804),"Equipada",
IF(
  OR(COUNTIFS(Equipar!B:B,4,Equipar!C:C,A804)
 +COUNTIFS(Equipar!B:B,4,Equipar!D:D,A804)
+COUNTIFS(Equipar!B:B,4,Equipar!E:E,A804)
+COUNTIFS(Equipar!B:B,4,Equipar!F:F,A804)
&gt;0,COUNTIF('Set recomendado'!B:B,C804)=0),
"Bloqueada",
"Desechable")),""
)</f>
        <v/>
      </c>
      <c r="J804" t="str" cm="1">
        <f t="array" aca="1" ref="J804" ca="1">IF(ISNUMBER(A804),IFERROR(_xlfn._xlws.FILTER(Equipar!A:A,(Equipar!B:B=4)*(Equipar!AC:AC=A804)),""),"")</f>
        <v/>
      </c>
    </row>
    <row r="805" spans="1:10" x14ac:dyDescent="0.25">
      <c r="A805" s="3" t="str">
        <f ca="1">IF(A804="ID",1,IF(ISBLANK(B805),"",MAX(A$2:A804)+1))</f>
        <v/>
      </c>
      <c r="I805" s="2" t="str">
        <f ca="1">IF(ISNUMBER(A805),
IF(COUNTIFS(Equipar!B:B,4,Equipar!AC:AC,A805),"Equipada",
IF(
  OR(COUNTIFS(Equipar!B:B,4,Equipar!C:C,A805)
 +COUNTIFS(Equipar!B:B,4,Equipar!D:D,A805)
+COUNTIFS(Equipar!B:B,4,Equipar!E:E,A805)
+COUNTIFS(Equipar!B:B,4,Equipar!F:F,A805)
&gt;0,COUNTIF('Set recomendado'!B:B,C805)=0),
"Bloqueada",
"Desechable")),""
)</f>
        <v/>
      </c>
      <c r="J805" t="str" cm="1">
        <f t="array" aca="1" ref="J805" ca="1">IF(ISNUMBER(A805),IFERROR(_xlfn._xlws.FILTER(Equipar!A:A,(Equipar!B:B=4)*(Equipar!AC:AC=A805)),""),"")</f>
        <v/>
      </c>
    </row>
    <row r="806" spans="1:10" x14ac:dyDescent="0.25">
      <c r="A806" s="3" t="str">
        <f ca="1">IF(A805="ID",1,IF(ISBLANK(B806),"",MAX(A$2:A805)+1))</f>
        <v/>
      </c>
      <c r="I806" s="2" t="str">
        <f ca="1">IF(ISNUMBER(A806),
IF(COUNTIFS(Equipar!B:B,4,Equipar!AC:AC,A806),"Equipada",
IF(
  OR(COUNTIFS(Equipar!B:B,4,Equipar!C:C,A806)
 +COUNTIFS(Equipar!B:B,4,Equipar!D:D,A806)
+COUNTIFS(Equipar!B:B,4,Equipar!E:E,A806)
+COUNTIFS(Equipar!B:B,4,Equipar!F:F,A806)
&gt;0,COUNTIF('Set recomendado'!B:B,C806)=0),
"Bloqueada",
"Desechable")),""
)</f>
        <v/>
      </c>
      <c r="J806" t="str" cm="1">
        <f t="array" aca="1" ref="J806" ca="1">IF(ISNUMBER(A806),IFERROR(_xlfn._xlws.FILTER(Equipar!A:A,(Equipar!B:B=4)*(Equipar!AC:AC=A806)),""),"")</f>
        <v/>
      </c>
    </row>
    <row r="807" spans="1:10" x14ac:dyDescent="0.25">
      <c r="A807" s="3" t="str">
        <f ca="1">IF(A806="ID",1,IF(ISBLANK(B807),"",MAX(A$2:A806)+1))</f>
        <v/>
      </c>
      <c r="I807" s="2" t="str">
        <f ca="1">IF(ISNUMBER(A807),
IF(COUNTIFS(Equipar!B:B,4,Equipar!AC:AC,A807),"Equipada",
IF(
  OR(COUNTIFS(Equipar!B:B,4,Equipar!C:C,A807)
 +COUNTIFS(Equipar!B:B,4,Equipar!D:D,A807)
+COUNTIFS(Equipar!B:B,4,Equipar!E:E,A807)
+COUNTIFS(Equipar!B:B,4,Equipar!F:F,A807)
&gt;0,COUNTIF('Set recomendado'!B:B,C807)=0),
"Bloqueada",
"Desechable")),""
)</f>
        <v/>
      </c>
      <c r="J807" t="str" cm="1">
        <f t="array" aca="1" ref="J807" ca="1">IF(ISNUMBER(A807),IFERROR(_xlfn._xlws.FILTER(Equipar!A:A,(Equipar!B:B=4)*(Equipar!AC:AC=A807)),""),"")</f>
        <v/>
      </c>
    </row>
    <row r="808" spans="1:10" x14ac:dyDescent="0.25">
      <c r="A808" s="3" t="str">
        <f ca="1">IF(A807="ID",1,IF(ISBLANK(B808),"",MAX(A$2:A807)+1))</f>
        <v/>
      </c>
      <c r="I808" s="2" t="str">
        <f ca="1">IF(ISNUMBER(A808),
IF(COUNTIFS(Equipar!B:B,4,Equipar!AC:AC,A808),"Equipada",
IF(
  OR(COUNTIFS(Equipar!B:B,4,Equipar!C:C,A808)
 +COUNTIFS(Equipar!B:B,4,Equipar!D:D,A808)
+COUNTIFS(Equipar!B:B,4,Equipar!E:E,A808)
+COUNTIFS(Equipar!B:B,4,Equipar!F:F,A808)
&gt;0,COUNTIF('Set recomendado'!B:B,C808)=0),
"Bloqueada",
"Desechable")),""
)</f>
        <v/>
      </c>
      <c r="J808" t="str" cm="1">
        <f t="array" aca="1" ref="J808" ca="1">IF(ISNUMBER(A808),IFERROR(_xlfn._xlws.FILTER(Equipar!A:A,(Equipar!B:B=4)*(Equipar!AC:AC=A808)),""),"")</f>
        <v/>
      </c>
    </row>
    <row r="809" spans="1:10" x14ac:dyDescent="0.25">
      <c r="A809" s="3" t="str">
        <f ca="1">IF(A808="ID",1,IF(ISBLANK(B809),"",MAX(A$2:A808)+1))</f>
        <v/>
      </c>
      <c r="I809" s="2" t="str">
        <f ca="1">IF(ISNUMBER(A809),
IF(COUNTIFS(Equipar!B:B,4,Equipar!AC:AC,A809),"Equipada",
IF(
  OR(COUNTIFS(Equipar!B:B,4,Equipar!C:C,A809)
 +COUNTIFS(Equipar!B:B,4,Equipar!D:D,A809)
+COUNTIFS(Equipar!B:B,4,Equipar!E:E,A809)
+COUNTIFS(Equipar!B:B,4,Equipar!F:F,A809)
&gt;0,COUNTIF('Set recomendado'!B:B,C809)=0),
"Bloqueada",
"Desechable")),""
)</f>
        <v/>
      </c>
      <c r="J809" t="str" cm="1">
        <f t="array" aca="1" ref="J809" ca="1">IF(ISNUMBER(A809),IFERROR(_xlfn._xlws.FILTER(Equipar!A:A,(Equipar!B:B=4)*(Equipar!AC:AC=A809)),""),"")</f>
        <v/>
      </c>
    </row>
    <row r="810" spans="1:10" x14ac:dyDescent="0.25">
      <c r="A810" s="3" t="str">
        <f ca="1">IF(A809="ID",1,IF(ISBLANK(B810),"",MAX(A$2:A809)+1))</f>
        <v/>
      </c>
      <c r="I810" s="2" t="str">
        <f ca="1">IF(ISNUMBER(A810),
IF(COUNTIFS(Equipar!B:B,4,Equipar!AC:AC,A810),"Equipada",
IF(
  OR(COUNTIFS(Equipar!B:B,4,Equipar!C:C,A810)
 +COUNTIFS(Equipar!B:B,4,Equipar!D:D,A810)
+COUNTIFS(Equipar!B:B,4,Equipar!E:E,A810)
+COUNTIFS(Equipar!B:B,4,Equipar!F:F,A810)
&gt;0,COUNTIF('Set recomendado'!B:B,C810)=0),
"Bloqueada",
"Desechable")),""
)</f>
        <v/>
      </c>
      <c r="J810" t="str" cm="1">
        <f t="array" aca="1" ref="J810" ca="1">IF(ISNUMBER(A810),IFERROR(_xlfn._xlws.FILTER(Equipar!A:A,(Equipar!B:B=4)*(Equipar!AC:AC=A810)),""),"")</f>
        <v/>
      </c>
    </row>
    <row r="811" spans="1:10" x14ac:dyDescent="0.25">
      <c r="A811" s="3" t="str">
        <f ca="1">IF(A810="ID",1,IF(ISBLANK(B811),"",MAX(A$2:A810)+1))</f>
        <v/>
      </c>
      <c r="I811" s="2" t="str">
        <f ca="1">IF(ISNUMBER(A811),
IF(COUNTIFS(Equipar!B:B,4,Equipar!AC:AC,A811),"Equipada",
IF(
  OR(COUNTIFS(Equipar!B:B,4,Equipar!C:C,A811)
 +COUNTIFS(Equipar!B:B,4,Equipar!D:D,A811)
+COUNTIFS(Equipar!B:B,4,Equipar!E:E,A811)
+COUNTIFS(Equipar!B:B,4,Equipar!F:F,A811)
&gt;0,COUNTIF('Set recomendado'!B:B,C811)=0),
"Bloqueada",
"Desechable")),""
)</f>
        <v/>
      </c>
      <c r="J811" t="str" cm="1">
        <f t="array" aca="1" ref="J811" ca="1">IF(ISNUMBER(A811),IFERROR(_xlfn._xlws.FILTER(Equipar!A:A,(Equipar!B:B=4)*(Equipar!AC:AC=A811)),""),"")</f>
        <v/>
      </c>
    </row>
    <row r="812" spans="1:10" x14ac:dyDescent="0.25">
      <c r="A812" s="3" t="str">
        <f ca="1">IF(A811="ID",1,IF(ISBLANK(B812),"",MAX(A$2:A811)+1))</f>
        <v/>
      </c>
      <c r="I812" s="2" t="str">
        <f ca="1">IF(ISNUMBER(A812),
IF(COUNTIFS(Equipar!B:B,4,Equipar!AC:AC,A812),"Equipada",
IF(
  OR(COUNTIFS(Equipar!B:B,4,Equipar!C:C,A812)
 +COUNTIFS(Equipar!B:B,4,Equipar!D:D,A812)
+COUNTIFS(Equipar!B:B,4,Equipar!E:E,A812)
+COUNTIFS(Equipar!B:B,4,Equipar!F:F,A812)
&gt;0,COUNTIF('Set recomendado'!B:B,C812)=0),
"Bloqueada",
"Desechable")),""
)</f>
        <v/>
      </c>
      <c r="J812" t="str" cm="1">
        <f t="array" aca="1" ref="J812" ca="1">IF(ISNUMBER(A812),IFERROR(_xlfn._xlws.FILTER(Equipar!A:A,(Equipar!B:B=4)*(Equipar!AC:AC=A812)),""),"")</f>
        <v/>
      </c>
    </row>
    <row r="813" spans="1:10" x14ac:dyDescent="0.25">
      <c r="A813" s="3" t="str">
        <f ca="1">IF(A812="ID",1,IF(ISBLANK(B813),"",MAX(A$2:A812)+1))</f>
        <v/>
      </c>
      <c r="I813" s="2" t="str">
        <f ca="1">IF(ISNUMBER(A813),
IF(COUNTIFS(Equipar!B:B,4,Equipar!AC:AC,A813),"Equipada",
IF(
  OR(COUNTIFS(Equipar!B:B,4,Equipar!C:C,A813)
 +COUNTIFS(Equipar!B:B,4,Equipar!D:D,A813)
+COUNTIFS(Equipar!B:B,4,Equipar!E:E,A813)
+COUNTIFS(Equipar!B:B,4,Equipar!F:F,A813)
&gt;0,COUNTIF('Set recomendado'!B:B,C813)=0),
"Bloqueada",
"Desechable")),""
)</f>
        <v/>
      </c>
      <c r="J813" t="str" cm="1">
        <f t="array" aca="1" ref="J813" ca="1">IF(ISNUMBER(A813),IFERROR(_xlfn._xlws.FILTER(Equipar!A:A,(Equipar!B:B=4)*(Equipar!AC:AC=A813)),""),"")</f>
        <v/>
      </c>
    </row>
    <row r="814" spans="1:10" x14ac:dyDescent="0.25">
      <c r="A814" s="3" t="str">
        <f ca="1">IF(A813="ID",1,IF(ISBLANK(B814),"",MAX(A$2:A813)+1))</f>
        <v/>
      </c>
      <c r="I814" s="2" t="str">
        <f ca="1">IF(ISNUMBER(A814),
IF(COUNTIFS(Equipar!B:B,4,Equipar!AC:AC,A814),"Equipada",
IF(
  OR(COUNTIFS(Equipar!B:B,4,Equipar!C:C,A814)
 +COUNTIFS(Equipar!B:B,4,Equipar!D:D,A814)
+COUNTIFS(Equipar!B:B,4,Equipar!E:E,A814)
+COUNTIFS(Equipar!B:B,4,Equipar!F:F,A814)
&gt;0,COUNTIF('Set recomendado'!B:B,C814)=0),
"Bloqueada",
"Desechable")),""
)</f>
        <v/>
      </c>
      <c r="J814" t="str" cm="1">
        <f t="array" aca="1" ref="J814" ca="1">IF(ISNUMBER(A814),IFERROR(_xlfn._xlws.FILTER(Equipar!A:A,(Equipar!B:B=4)*(Equipar!AC:AC=A814)),""),"")</f>
        <v/>
      </c>
    </row>
    <row r="815" spans="1:10" x14ac:dyDescent="0.25">
      <c r="A815" s="3" t="str">
        <f ca="1">IF(A814="ID",1,IF(ISBLANK(B815),"",MAX(A$2:A814)+1))</f>
        <v/>
      </c>
      <c r="I815" s="2" t="str">
        <f ca="1">IF(ISNUMBER(A815),
IF(COUNTIFS(Equipar!B:B,4,Equipar!AC:AC,A815),"Equipada",
IF(
  OR(COUNTIFS(Equipar!B:B,4,Equipar!C:C,A815)
 +COUNTIFS(Equipar!B:B,4,Equipar!D:D,A815)
+COUNTIFS(Equipar!B:B,4,Equipar!E:E,A815)
+COUNTIFS(Equipar!B:B,4,Equipar!F:F,A815)
&gt;0,COUNTIF('Set recomendado'!B:B,C815)=0),
"Bloqueada",
"Desechable")),""
)</f>
        <v/>
      </c>
      <c r="J815" t="str" cm="1">
        <f t="array" aca="1" ref="J815" ca="1">IF(ISNUMBER(A815),IFERROR(_xlfn._xlws.FILTER(Equipar!A:A,(Equipar!B:B=4)*(Equipar!AC:AC=A815)),""),"")</f>
        <v/>
      </c>
    </row>
    <row r="816" spans="1:10" x14ac:dyDescent="0.25">
      <c r="A816" s="3" t="str">
        <f ca="1">IF(A815="ID",1,IF(ISBLANK(B816),"",MAX(A$2:A815)+1))</f>
        <v/>
      </c>
      <c r="I816" s="2" t="str">
        <f ca="1">IF(ISNUMBER(A816),
IF(COUNTIFS(Equipar!B:B,4,Equipar!AC:AC,A816),"Equipada",
IF(
  OR(COUNTIFS(Equipar!B:B,4,Equipar!C:C,A816)
 +COUNTIFS(Equipar!B:B,4,Equipar!D:D,A816)
+COUNTIFS(Equipar!B:B,4,Equipar!E:E,A816)
+COUNTIFS(Equipar!B:B,4,Equipar!F:F,A816)
&gt;0,COUNTIF('Set recomendado'!B:B,C816)=0),
"Bloqueada",
"Desechable")),""
)</f>
        <v/>
      </c>
      <c r="J816" t="str" cm="1">
        <f t="array" aca="1" ref="J816" ca="1">IF(ISNUMBER(A816),IFERROR(_xlfn._xlws.FILTER(Equipar!A:A,(Equipar!B:B=4)*(Equipar!AC:AC=A816)),""),"")</f>
        <v/>
      </c>
    </row>
    <row r="817" spans="1:10" x14ac:dyDescent="0.25">
      <c r="A817" s="3" t="str">
        <f ca="1">IF(A816="ID",1,IF(ISBLANK(B817),"",MAX(A$2:A816)+1))</f>
        <v/>
      </c>
      <c r="I817" s="2" t="str">
        <f ca="1">IF(ISNUMBER(A817),
IF(COUNTIFS(Equipar!B:B,4,Equipar!AC:AC,A817),"Equipada",
IF(
  OR(COUNTIFS(Equipar!B:B,4,Equipar!C:C,A817)
 +COUNTIFS(Equipar!B:B,4,Equipar!D:D,A817)
+COUNTIFS(Equipar!B:B,4,Equipar!E:E,A817)
+COUNTIFS(Equipar!B:B,4,Equipar!F:F,A817)
&gt;0,COUNTIF('Set recomendado'!B:B,C817)=0),
"Bloqueada",
"Desechable")),""
)</f>
        <v/>
      </c>
      <c r="J817" t="str" cm="1">
        <f t="array" aca="1" ref="J817" ca="1">IF(ISNUMBER(A817),IFERROR(_xlfn._xlws.FILTER(Equipar!A:A,(Equipar!B:B=4)*(Equipar!AC:AC=A817)),""),"")</f>
        <v/>
      </c>
    </row>
    <row r="818" spans="1:10" x14ac:dyDescent="0.25">
      <c r="A818" s="3" t="str">
        <f ca="1">IF(A817="ID",1,IF(ISBLANK(B818),"",MAX(A$2:A817)+1))</f>
        <v/>
      </c>
      <c r="I818" s="2" t="str">
        <f ca="1">IF(ISNUMBER(A818),
IF(COUNTIFS(Equipar!B:B,4,Equipar!AC:AC,A818),"Equipada",
IF(
  OR(COUNTIFS(Equipar!B:B,4,Equipar!C:C,A818)
 +COUNTIFS(Equipar!B:B,4,Equipar!D:D,A818)
+COUNTIFS(Equipar!B:B,4,Equipar!E:E,A818)
+COUNTIFS(Equipar!B:B,4,Equipar!F:F,A818)
&gt;0,COUNTIF('Set recomendado'!B:B,C818)=0),
"Bloqueada",
"Desechable")),""
)</f>
        <v/>
      </c>
      <c r="J818" t="str" cm="1">
        <f t="array" aca="1" ref="J818" ca="1">IF(ISNUMBER(A818),IFERROR(_xlfn._xlws.FILTER(Equipar!A:A,(Equipar!B:B=4)*(Equipar!AC:AC=A818)),""),"")</f>
        <v/>
      </c>
    </row>
    <row r="819" spans="1:10" x14ac:dyDescent="0.25">
      <c r="A819" s="3" t="str">
        <f ca="1">IF(A818="ID",1,IF(ISBLANK(B819),"",MAX(A$2:A818)+1))</f>
        <v/>
      </c>
      <c r="I819" s="2" t="str">
        <f ca="1">IF(ISNUMBER(A819),
IF(COUNTIFS(Equipar!B:B,4,Equipar!AC:AC,A819),"Equipada",
IF(
  OR(COUNTIFS(Equipar!B:B,4,Equipar!C:C,A819)
 +COUNTIFS(Equipar!B:B,4,Equipar!D:D,A819)
+COUNTIFS(Equipar!B:B,4,Equipar!E:E,A819)
+COUNTIFS(Equipar!B:B,4,Equipar!F:F,A819)
&gt;0,COUNTIF('Set recomendado'!B:B,C819)=0),
"Bloqueada",
"Desechable")),""
)</f>
        <v/>
      </c>
      <c r="J819" t="str" cm="1">
        <f t="array" aca="1" ref="J819" ca="1">IF(ISNUMBER(A819),IFERROR(_xlfn._xlws.FILTER(Equipar!A:A,(Equipar!B:B=4)*(Equipar!AC:AC=A819)),""),"")</f>
        <v/>
      </c>
    </row>
    <row r="820" spans="1:10" x14ac:dyDescent="0.25">
      <c r="A820" s="3" t="str">
        <f ca="1">IF(A819="ID",1,IF(ISBLANK(B820),"",MAX(A$2:A819)+1))</f>
        <v/>
      </c>
      <c r="I820" s="2" t="str">
        <f ca="1">IF(ISNUMBER(A820),
IF(COUNTIFS(Equipar!B:B,4,Equipar!AC:AC,A820),"Equipada",
IF(
  OR(COUNTIFS(Equipar!B:B,4,Equipar!C:C,A820)
 +COUNTIFS(Equipar!B:B,4,Equipar!D:D,A820)
+COUNTIFS(Equipar!B:B,4,Equipar!E:E,A820)
+COUNTIFS(Equipar!B:B,4,Equipar!F:F,A820)
&gt;0,COUNTIF('Set recomendado'!B:B,C820)=0),
"Bloqueada",
"Desechable")),""
)</f>
        <v/>
      </c>
      <c r="J820" t="str" cm="1">
        <f t="array" aca="1" ref="J820" ca="1">IF(ISNUMBER(A820),IFERROR(_xlfn._xlws.FILTER(Equipar!A:A,(Equipar!B:B=4)*(Equipar!AC:AC=A820)),""),"")</f>
        <v/>
      </c>
    </row>
    <row r="821" spans="1:10" x14ac:dyDescent="0.25">
      <c r="A821" s="3" t="str">
        <f ca="1">IF(A820="ID",1,IF(ISBLANK(B821),"",MAX(A$2:A820)+1))</f>
        <v/>
      </c>
      <c r="I821" s="2" t="str">
        <f ca="1">IF(ISNUMBER(A821),
IF(COUNTIFS(Equipar!B:B,4,Equipar!AC:AC,A821),"Equipada",
IF(
  OR(COUNTIFS(Equipar!B:B,4,Equipar!C:C,A821)
 +COUNTIFS(Equipar!B:B,4,Equipar!D:D,A821)
+COUNTIFS(Equipar!B:B,4,Equipar!E:E,A821)
+COUNTIFS(Equipar!B:B,4,Equipar!F:F,A821)
&gt;0,COUNTIF('Set recomendado'!B:B,C821)=0),
"Bloqueada",
"Desechable")),""
)</f>
        <v/>
      </c>
      <c r="J821" t="str" cm="1">
        <f t="array" aca="1" ref="J821" ca="1">IF(ISNUMBER(A821),IFERROR(_xlfn._xlws.FILTER(Equipar!A:A,(Equipar!B:B=4)*(Equipar!AC:AC=A821)),""),"")</f>
        <v/>
      </c>
    </row>
    <row r="822" spans="1:10" x14ac:dyDescent="0.25">
      <c r="A822" s="3" t="str">
        <f ca="1">IF(A821="ID",1,IF(ISBLANK(B822),"",MAX(A$2:A821)+1))</f>
        <v/>
      </c>
      <c r="I822" s="2" t="str">
        <f ca="1">IF(ISNUMBER(A822),
IF(COUNTIFS(Equipar!B:B,4,Equipar!AC:AC,A822),"Equipada",
IF(
  OR(COUNTIFS(Equipar!B:B,4,Equipar!C:C,A822)
 +COUNTIFS(Equipar!B:B,4,Equipar!D:D,A822)
+COUNTIFS(Equipar!B:B,4,Equipar!E:E,A822)
+COUNTIFS(Equipar!B:B,4,Equipar!F:F,A822)
&gt;0,COUNTIF('Set recomendado'!B:B,C822)=0),
"Bloqueada",
"Desechable")),""
)</f>
        <v/>
      </c>
      <c r="J822" t="str" cm="1">
        <f t="array" aca="1" ref="J822" ca="1">IF(ISNUMBER(A822),IFERROR(_xlfn._xlws.FILTER(Equipar!A:A,(Equipar!B:B=4)*(Equipar!AC:AC=A822)),""),"")</f>
        <v/>
      </c>
    </row>
    <row r="823" spans="1:10" x14ac:dyDescent="0.25">
      <c r="A823" s="3" t="str">
        <f ca="1">IF(A822="ID",1,IF(ISBLANK(B823),"",MAX(A$2:A822)+1))</f>
        <v/>
      </c>
      <c r="I823" s="2" t="str">
        <f ca="1">IF(ISNUMBER(A823),
IF(COUNTIFS(Equipar!B:B,4,Equipar!AC:AC,A823),"Equipada",
IF(
  OR(COUNTIFS(Equipar!B:B,4,Equipar!C:C,A823)
 +COUNTIFS(Equipar!B:B,4,Equipar!D:D,A823)
+COUNTIFS(Equipar!B:B,4,Equipar!E:E,A823)
+COUNTIFS(Equipar!B:B,4,Equipar!F:F,A823)
&gt;0,COUNTIF('Set recomendado'!B:B,C823)=0),
"Bloqueada",
"Desechable")),""
)</f>
        <v/>
      </c>
      <c r="J823" t="str" cm="1">
        <f t="array" aca="1" ref="J823" ca="1">IF(ISNUMBER(A823),IFERROR(_xlfn._xlws.FILTER(Equipar!A:A,(Equipar!B:B=4)*(Equipar!AC:AC=A823)),""),"")</f>
        <v/>
      </c>
    </row>
    <row r="824" spans="1:10" x14ac:dyDescent="0.25">
      <c r="A824" s="3" t="str">
        <f ca="1">IF(A823="ID",1,IF(ISBLANK(B824),"",MAX(A$2:A823)+1))</f>
        <v/>
      </c>
      <c r="I824" s="2" t="str">
        <f ca="1">IF(ISNUMBER(A824),
IF(COUNTIFS(Equipar!B:B,4,Equipar!AC:AC,A824),"Equipada",
IF(
  OR(COUNTIFS(Equipar!B:B,4,Equipar!C:C,A824)
 +COUNTIFS(Equipar!B:B,4,Equipar!D:D,A824)
+COUNTIFS(Equipar!B:B,4,Equipar!E:E,A824)
+COUNTIFS(Equipar!B:B,4,Equipar!F:F,A824)
&gt;0,COUNTIF('Set recomendado'!B:B,C824)=0),
"Bloqueada",
"Desechable")),""
)</f>
        <v/>
      </c>
      <c r="J824" t="str" cm="1">
        <f t="array" aca="1" ref="J824" ca="1">IF(ISNUMBER(A824),IFERROR(_xlfn._xlws.FILTER(Equipar!A:A,(Equipar!B:B=4)*(Equipar!AC:AC=A824)),""),"")</f>
        <v/>
      </c>
    </row>
    <row r="825" spans="1:10" x14ac:dyDescent="0.25">
      <c r="A825" s="3" t="str">
        <f ca="1">IF(A824="ID",1,IF(ISBLANK(B825),"",MAX(A$2:A824)+1))</f>
        <v/>
      </c>
      <c r="I825" s="2" t="str">
        <f ca="1">IF(ISNUMBER(A825),
IF(COUNTIFS(Equipar!B:B,4,Equipar!AC:AC,A825),"Equipada",
IF(
  OR(COUNTIFS(Equipar!B:B,4,Equipar!C:C,A825)
 +COUNTIFS(Equipar!B:B,4,Equipar!D:D,A825)
+COUNTIFS(Equipar!B:B,4,Equipar!E:E,A825)
+COUNTIFS(Equipar!B:B,4,Equipar!F:F,A825)
&gt;0,COUNTIF('Set recomendado'!B:B,C825)=0),
"Bloqueada",
"Desechable")),""
)</f>
        <v/>
      </c>
      <c r="J825" t="str" cm="1">
        <f t="array" aca="1" ref="J825" ca="1">IF(ISNUMBER(A825),IFERROR(_xlfn._xlws.FILTER(Equipar!A:A,(Equipar!B:B=4)*(Equipar!AC:AC=A825)),""),"")</f>
        <v/>
      </c>
    </row>
    <row r="826" spans="1:10" x14ac:dyDescent="0.25">
      <c r="A826" s="3" t="str">
        <f ca="1">IF(A825="ID",1,IF(ISBLANK(B826),"",MAX(A$2:A825)+1))</f>
        <v/>
      </c>
      <c r="I826" s="2" t="str">
        <f ca="1">IF(ISNUMBER(A826),
IF(COUNTIFS(Equipar!B:B,4,Equipar!AC:AC,A826),"Equipada",
IF(
  OR(COUNTIFS(Equipar!B:B,4,Equipar!C:C,A826)
 +COUNTIFS(Equipar!B:B,4,Equipar!D:D,A826)
+COUNTIFS(Equipar!B:B,4,Equipar!E:E,A826)
+COUNTIFS(Equipar!B:B,4,Equipar!F:F,A826)
&gt;0,COUNTIF('Set recomendado'!B:B,C826)=0),
"Bloqueada",
"Desechable")),""
)</f>
        <v/>
      </c>
      <c r="J826" t="str" cm="1">
        <f t="array" aca="1" ref="J826" ca="1">IF(ISNUMBER(A826),IFERROR(_xlfn._xlws.FILTER(Equipar!A:A,(Equipar!B:B=4)*(Equipar!AC:AC=A826)),""),"")</f>
        <v/>
      </c>
    </row>
    <row r="827" spans="1:10" x14ac:dyDescent="0.25">
      <c r="A827" s="3" t="str">
        <f ca="1">IF(A826="ID",1,IF(ISBLANK(B827),"",MAX(A$2:A826)+1))</f>
        <v/>
      </c>
      <c r="I827" s="2" t="str">
        <f ca="1">IF(ISNUMBER(A827),
IF(COUNTIFS(Equipar!B:B,4,Equipar!AC:AC,A827),"Equipada",
IF(
  OR(COUNTIFS(Equipar!B:B,4,Equipar!C:C,A827)
 +COUNTIFS(Equipar!B:B,4,Equipar!D:D,A827)
+COUNTIFS(Equipar!B:B,4,Equipar!E:E,A827)
+COUNTIFS(Equipar!B:B,4,Equipar!F:F,A827)
&gt;0,COUNTIF('Set recomendado'!B:B,C827)=0),
"Bloqueada",
"Desechable")),""
)</f>
        <v/>
      </c>
      <c r="J827" t="str" cm="1">
        <f t="array" aca="1" ref="J827" ca="1">IF(ISNUMBER(A827),IFERROR(_xlfn._xlws.FILTER(Equipar!A:A,(Equipar!B:B=4)*(Equipar!AC:AC=A827)),""),"")</f>
        <v/>
      </c>
    </row>
    <row r="828" spans="1:10" x14ac:dyDescent="0.25">
      <c r="A828" s="3" t="str">
        <f ca="1">IF(A827="ID",1,IF(ISBLANK(B828),"",MAX(A$2:A827)+1))</f>
        <v/>
      </c>
      <c r="I828" s="2" t="str">
        <f ca="1">IF(ISNUMBER(A828),
IF(COUNTIFS(Equipar!B:B,4,Equipar!AC:AC,A828),"Equipada",
IF(
  OR(COUNTIFS(Equipar!B:B,4,Equipar!C:C,A828)
 +COUNTIFS(Equipar!B:B,4,Equipar!D:D,A828)
+COUNTIFS(Equipar!B:B,4,Equipar!E:E,A828)
+COUNTIFS(Equipar!B:B,4,Equipar!F:F,A828)
&gt;0,COUNTIF('Set recomendado'!B:B,C828)=0),
"Bloqueada",
"Desechable")),""
)</f>
        <v/>
      </c>
      <c r="J828" t="str" cm="1">
        <f t="array" aca="1" ref="J828" ca="1">IF(ISNUMBER(A828),IFERROR(_xlfn._xlws.FILTER(Equipar!A:A,(Equipar!B:B=4)*(Equipar!AC:AC=A828)),""),"")</f>
        <v/>
      </c>
    </row>
    <row r="829" spans="1:10" x14ac:dyDescent="0.25">
      <c r="A829" s="3" t="str">
        <f ca="1">IF(A828="ID",1,IF(ISBLANK(B829),"",MAX(A$2:A828)+1))</f>
        <v/>
      </c>
      <c r="I829" s="2" t="str">
        <f ca="1">IF(ISNUMBER(A829),
IF(COUNTIFS(Equipar!B:B,4,Equipar!AC:AC,A829),"Equipada",
IF(
  OR(COUNTIFS(Equipar!B:B,4,Equipar!C:C,A829)
 +COUNTIFS(Equipar!B:B,4,Equipar!D:D,A829)
+COUNTIFS(Equipar!B:B,4,Equipar!E:E,A829)
+COUNTIFS(Equipar!B:B,4,Equipar!F:F,A829)
&gt;0,COUNTIF('Set recomendado'!B:B,C829)=0),
"Bloqueada",
"Desechable")),""
)</f>
        <v/>
      </c>
      <c r="J829" t="str" cm="1">
        <f t="array" aca="1" ref="J829" ca="1">IF(ISNUMBER(A829),IFERROR(_xlfn._xlws.FILTER(Equipar!A:A,(Equipar!B:B=4)*(Equipar!AC:AC=A829)),""),"")</f>
        <v/>
      </c>
    </row>
    <row r="830" spans="1:10" x14ac:dyDescent="0.25">
      <c r="A830" s="3" t="str">
        <f ca="1">IF(A829="ID",1,IF(ISBLANK(B830),"",MAX(A$2:A829)+1))</f>
        <v/>
      </c>
      <c r="I830" s="2" t="str">
        <f ca="1">IF(ISNUMBER(A830),
IF(COUNTIFS(Equipar!B:B,4,Equipar!AC:AC,A830),"Equipada",
IF(
  OR(COUNTIFS(Equipar!B:B,4,Equipar!C:C,A830)
 +COUNTIFS(Equipar!B:B,4,Equipar!D:D,A830)
+COUNTIFS(Equipar!B:B,4,Equipar!E:E,A830)
+COUNTIFS(Equipar!B:B,4,Equipar!F:F,A830)
&gt;0,COUNTIF('Set recomendado'!B:B,C830)=0),
"Bloqueada",
"Desechable")),""
)</f>
        <v/>
      </c>
      <c r="J830" t="str" cm="1">
        <f t="array" aca="1" ref="J830" ca="1">IF(ISNUMBER(A830),IFERROR(_xlfn._xlws.FILTER(Equipar!A:A,(Equipar!B:B=4)*(Equipar!AC:AC=A830)),""),"")</f>
        <v/>
      </c>
    </row>
    <row r="831" spans="1:10" x14ac:dyDescent="0.25">
      <c r="A831" s="3" t="str">
        <f ca="1">IF(A830="ID",1,IF(ISBLANK(B831),"",MAX(A$2:A830)+1))</f>
        <v/>
      </c>
      <c r="I831" s="2" t="str">
        <f ca="1">IF(ISNUMBER(A831),
IF(COUNTIFS(Equipar!B:B,4,Equipar!AC:AC,A831),"Equipada",
IF(
  OR(COUNTIFS(Equipar!B:B,4,Equipar!C:C,A831)
 +COUNTIFS(Equipar!B:B,4,Equipar!D:D,A831)
+COUNTIFS(Equipar!B:B,4,Equipar!E:E,A831)
+COUNTIFS(Equipar!B:B,4,Equipar!F:F,A831)
&gt;0,COUNTIF('Set recomendado'!B:B,C831)=0),
"Bloqueada",
"Desechable")),""
)</f>
        <v/>
      </c>
      <c r="J831" t="str" cm="1">
        <f t="array" aca="1" ref="J831" ca="1">IF(ISNUMBER(A831),IFERROR(_xlfn._xlws.FILTER(Equipar!A:A,(Equipar!B:B=4)*(Equipar!AC:AC=A831)),""),"")</f>
        <v/>
      </c>
    </row>
    <row r="832" spans="1:10" x14ac:dyDescent="0.25">
      <c r="A832" s="3" t="str">
        <f ca="1">IF(A831="ID",1,IF(ISBLANK(B832),"",MAX(A$2:A831)+1))</f>
        <v/>
      </c>
      <c r="I832" s="2" t="str">
        <f ca="1">IF(ISNUMBER(A832),
IF(COUNTIFS(Equipar!B:B,4,Equipar!AC:AC,A832),"Equipada",
IF(
  OR(COUNTIFS(Equipar!B:B,4,Equipar!C:C,A832)
 +COUNTIFS(Equipar!B:B,4,Equipar!D:D,A832)
+COUNTIFS(Equipar!B:B,4,Equipar!E:E,A832)
+COUNTIFS(Equipar!B:B,4,Equipar!F:F,A832)
&gt;0,COUNTIF('Set recomendado'!B:B,C832)=0),
"Bloqueada",
"Desechable")),""
)</f>
        <v/>
      </c>
      <c r="J832" t="str" cm="1">
        <f t="array" aca="1" ref="J832" ca="1">IF(ISNUMBER(A832),IFERROR(_xlfn._xlws.FILTER(Equipar!A:A,(Equipar!B:B=4)*(Equipar!AC:AC=A832)),""),"")</f>
        <v/>
      </c>
    </row>
    <row r="833" spans="1:10" x14ac:dyDescent="0.25">
      <c r="A833" s="3" t="str">
        <f ca="1">IF(A832="ID",1,IF(ISBLANK(B833),"",MAX(A$2:A832)+1))</f>
        <v/>
      </c>
      <c r="I833" s="2" t="str">
        <f ca="1">IF(ISNUMBER(A833),
IF(COUNTIFS(Equipar!B:B,4,Equipar!AC:AC,A833),"Equipada",
IF(
  OR(COUNTIFS(Equipar!B:B,4,Equipar!C:C,A833)
 +COUNTIFS(Equipar!B:B,4,Equipar!D:D,A833)
+COUNTIFS(Equipar!B:B,4,Equipar!E:E,A833)
+COUNTIFS(Equipar!B:B,4,Equipar!F:F,A833)
&gt;0,COUNTIF('Set recomendado'!B:B,C833)=0),
"Bloqueada",
"Desechable")),""
)</f>
        <v/>
      </c>
      <c r="J833" t="str" cm="1">
        <f t="array" aca="1" ref="J833" ca="1">IF(ISNUMBER(A833),IFERROR(_xlfn._xlws.FILTER(Equipar!A:A,(Equipar!B:B=4)*(Equipar!AC:AC=A833)),""),"")</f>
        <v/>
      </c>
    </row>
    <row r="834" spans="1:10" x14ac:dyDescent="0.25">
      <c r="A834" s="3" t="str">
        <f ca="1">IF(A833="ID",1,IF(ISBLANK(B834),"",MAX(A$2:A833)+1))</f>
        <v/>
      </c>
      <c r="I834" s="2" t="str">
        <f ca="1">IF(ISNUMBER(A834),
IF(COUNTIFS(Equipar!B:B,4,Equipar!AC:AC,A834),"Equipada",
IF(
  OR(COUNTIFS(Equipar!B:B,4,Equipar!C:C,A834)
 +COUNTIFS(Equipar!B:B,4,Equipar!D:D,A834)
+COUNTIFS(Equipar!B:B,4,Equipar!E:E,A834)
+COUNTIFS(Equipar!B:B,4,Equipar!F:F,A834)
&gt;0,COUNTIF('Set recomendado'!B:B,C834)=0),
"Bloqueada",
"Desechable")),""
)</f>
        <v/>
      </c>
      <c r="J834" t="str" cm="1">
        <f t="array" aca="1" ref="J834" ca="1">IF(ISNUMBER(A834),IFERROR(_xlfn._xlws.FILTER(Equipar!A:A,(Equipar!B:B=4)*(Equipar!AC:AC=A834)),""),"")</f>
        <v/>
      </c>
    </row>
    <row r="835" spans="1:10" x14ac:dyDescent="0.25">
      <c r="A835" s="3" t="str">
        <f ca="1">IF(A834="ID",1,IF(ISBLANK(B835),"",MAX(A$2:A834)+1))</f>
        <v/>
      </c>
      <c r="I835" s="2" t="str">
        <f ca="1">IF(ISNUMBER(A835),
IF(COUNTIFS(Equipar!B:B,4,Equipar!AC:AC,A835),"Equipada",
IF(
  OR(COUNTIFS(Equipar!B:B,4,Equipar!C:C,A835)
 +COUNTIFS(Equipar!B:B,4,Equipar!D:D,A835)
+COUNTIFS(Equipar!B:B,4,Equipar!E:E,A835)
+COUNTIFS(Equipar!B:B,4,Equipar!F:F,A835)
&gt;0,COUNTIF('Set recomendado'!B:B,C835)=0),
"Bloqueada",
"Desechable")),""
)</f>
        <v/>
      </c>
      <c r="J835" t="str" cm="1">
        <f t="array" aca="1" ref="J835" ca="1">IF(ISNUMBER(A835),IFERROR(_xlfn._xlws.FILTER(Equipar!A:A,(Equipar!B:B=4)*(Equipar!AC:AC=A835)),""),"")</f>
        <v/>
      </c>
    </row>
    <row r="836" spans="1:10" x14ac:dyDescent="0.25">
      <c r="A836" s="3" t="str">
        <f ca="1">IF(A835="ID",1,IF(ISBLANK(B836),"",MAX(A$2:A835)+1))</f>
        <v/>
      </c>
      <c r="I836" s="2" t="str">
        <f ca="1">IF(ISNUMBER(A836),
IF(COUNTIFS(Equipar!B:B,4,Equipar!AC:AC,A836),"Equipada",
IF(
  OR(COUNTIFS(Equipar!B:B,4,Equipar!C:C,A836)
 +COUNTIFS(Equipar!B:B,4,Equipar!D:D,A836)
+COUNTIFS(Equipar!B:B,4,Equipar!E:E,A836)
+COUNTIFS(Equipar!B:B,4,Equipar!F:F,A836)
&gt;0,COUNTIF('Set recomendado'!B:B,C836)=0),
"Bloqueada",
"Desechable")),""
)</f>
        <v/>
      </c>
      <c r="J836" t="str" cm="1">
        <f t="array" aca="1" ref="J836" ca="1">IF(ISNUMBER(A836),IFERROR(_xlfn._xlws.FILTER(Equipar!A:A,(Equipar!B:B=4)*(Equipar!AC:AC=A836)),""),"")</f>
        <v/>
      </c>
    </row>
    <row r="837" spans="1:10" x14ac:dyDescent="0.25">
      <c r="A837" s="3" t="str">
        <f ca="1">IF(A836="ID",1,IF(ISBLANK(B837),"",MAX(A$2:A836)+1))</f>
        <v/>
      </c>
      <c r="I837" s="2" t="str">
        <f ca="1">IF(ISNUMBER(A837),
IF(COUNTIFS(Equipar!B:B,4,Equipar!AC:AC,A837),"Equipada",
IF(
  OR(COUNTIFS(Equipar!B:B,4,Equipar!C:C,A837)
 +COUNTIFS(Equipar!B:B,4,Equipar!D:D,A837)
+COUNTIFS(Equipar!B:B,4,Equipar!E:E,A837)
+COUNTIFS(Equipar!B:B,4,Equipar!F:F,A837)
&gt;0,COUNTIF('Set recomendado'!B:B,C837)=0),
"Bloqueada",
"Desechable")),""
)</f>
        <v/>
      </c>
      <c r="J837" t="str" cm="1">
        <f t="array" aca="1" ref="J837" ca="1">IF(ISNUMBER(A837),IFERROR(_xlfn._xlws.FILTER(Equipar!A:A,(Equipar!B:B=4)*(Equipar!AC:AC=A837)),""),"")</f>
        <v/>
      </c>
    </row>
    <row r="838" spans="1:10" x14ac:dyDescent="0.25">
      <c r="A838" s="3" t="str">
        <f ca="1">IF(A837="ID",1,IF(ISBLANK(B838),"",MAX(A$2:A837)+1))</f>
        <v/>
      </c>
      <c r="I838" s="2" t="str">
        <f ca="1">IF(ISNUMBER(A838),
IF(COUNTIFS(Equipar!B:B,4,Equipar!AC:AC,A838),"Equipada",
IF(
  OR(COUNTIFS(Equipar!B:B,4,Equipar!C:C,A838)
 +COUNTIFS(Equipar!B:B,4,Equipar!D:D,A838)
+COUNTIFS(Equipar!B:B,4,Equipar!E:E,A838)
+COUNTIFS(Equipar!B:B,4,Equipar!F:F,A838)
&gt;0,COUNTIF('Set recomendado'!B:B,C838)=0),
"Bloqueada",
"Desechable")),""
)</f>
        <v/>
      </c>
      <c r="J838" t="str" cm="1">
        <f t="array" aca="1" ref="J838" ca="1">IF(ISNUMBER(A838),IFERROR(_xlfn._xlws.FILTER(Equipar!A:A,(Equipar!B:B=4)*(Equipar!AC:AC=A838)),""),"")</f>
        <v/>
      </c>
    </row>
    <row r="839" spans="1:10" x14ac:dyDescent="0.25">
      <c r="A839" s="3" t="str">
        <f ca="1">IF(A838="ID",1,IF(ISBLANK(B839),"",MAX(A$2:A838)+1))</f>
        <v/>
      </c>
      <c r="I839" s="2" t="str">
        <f ca="1">IF(ISNUMBER(A839),
IF(COUNTIFS(Equipar!B:B,4,Equipar!AC:AC,A839),"Equipada",
IF(
  OR(COUNTIFS(Equipar!B:B,4,Equipar!C:C,A839)
 +COUNTIFS(Equipar!B:B,4,Equipar!D:D,A839)
+COUNTIFS(Equipar!B:B,4,Equipar!E:E,A839)
+COUNTIFS(Equipar!B:B,4,Equipar!F:F,A839)
&gt;0,COUNTIF('Set recomendado'!B:B,C839)=0),
"Bloqueada",
"Desechable")),""
)</f>
        <v/>
      </c>
      <c r="J839" t="str" cm="1">
        <f t="array" aca="1" ref="J839" ca="1">IF(ISNUMBER(A839),IFERROR(_xlfn._xlws.FILTER(Equipar!A:A,(Equipar!B:B=4)*(Equipar!AC:AC=A839)),""),"")</f>
        <v/>
      </c>
    </row>
    <row r="840" spans="1:10" x14ac:dyDescent="0.25">
      <c r="A840" s="3" t="str">
        <f ca="1">IF(A839="ID",1,IF(ISBLANK(B840),"",MAX(A$2:A839)+1))</f>
        <v/>
      </c>
      <c r="I840" s="2" t="str">
        <f ca="1">IF(ISNUMBER(A840),
IF(COUNTIFS(Equipar!B:B,4,Equipar!AC:AC,A840),"Equipada",
IF(
  OR(COUNTIFS(Equipar!B:B,4,Equipar!C:C,A840)
 +COUNTIFS(Equipar!B:B,4,Equipar!D:D,A840)
+COUNTIFS(Equipar!B:B,4,Equipar!E:E,A840)
+COUNTIFS(Equipar!B:B,4,Equipar!F:F,A840)
&gt;0,COUNTIF('Set recomendado'!B:B,C840)=0),
"Bloqueada",
"Desechable")),""
)</f>
        <v/>
      </c>
      <c r="J840" t="str" cm="1">
        <f t="array" aca="1" ref="J840" ca="1">IF(ISNUMBER(A840),IFERROR(_xlfn._xlws.FILTER(Equipar!A:A,(Equipar!B:B=4)*(Equipar!AC:AC=A840)),""),"")</f>
        <v/>
      </c>
    </row>
    <row r="841" spans="1:10" x14ac:dyDescent="0.25">
      <c r="A841" s="3" t="str">
        <f ca="1">IF(A840="ID",1,IF(ISBLANK(B841),"",MAX(A$2:A840)+1))</f>
        <v/>
      </c>
      <c r="I841" s="2" t="str">
        <f ca="1">IF(ISNUMBER(A841),
IF(COUNTIFS(Equipar!B:B,4,Equipar!AC:AC,A841),"Equipada",
IF(
  OR(COUNTIFS(Equipar!B:B,4,Equipar!C:C,A841)
 +COUNTIFS(Equipar!B:B,4,Equipar!D:D,A841)
+COUNTIFS(Equipar!B:B,4,Equipar!E:E,A841)
+COUNTIFS(Equipar!B:B,4,Equipar!F:F,A841)
&gt;0,COUNTIF('Set recomendado'!B:B,C841)=0),
"Bloqueada",
"Desechable")),""
)</f>
        <v/>
      </c>
      <c r="J841" t="str" cm="1">
        <f t="array" aca="1" ref="J841" ca="1">IF(ISNUMBER(A841),IFERROR(_xlfn._xlws.FILTER(Equipar!A:A,(Equipar!B:B=4)*(Equipar!AC:AC=A841)),""),"")</f>
        <v/>
      </c>
    </row>
    <row r="842" spans="1:10" x14ac:dyDescent="0.25">
      <c r="A842" s="3" t="str">
        <f ca="1">IF(A841="ID",1,IF(ISBLANK(B842),"",MAX(A$2:A841)+1))</f>
        <v/>
      </c>
      <c r="I842" s="2" t="str">
        <f ca="1">IF(ISNUMBER(A842),
IF(COUNTIFS(Equipar!B:B,4,Equipar!AC:AC,A842),"Equipada",
IF(
  OR(COUNTIFS(Equipar!B:B,4,Equipar!C:C,A842)
 +COUNTIFS(Equipar!B:B,4,Equipar!D:D,A842)
+COUNTIFS(Equipar!B:B,4,Equipar!E:E,A842)
+COUNTIFS(Equipar!B:B,4,Equipar!F:F,A842)
&gt;0,COUNTIF('Set recomendado'!B:B,C842)=0),
"Bloqueada",
"Desechable")),""
)</f>
        <v/>
      </c>
      <c r="J842" t="str" cm="1">
        <f t="array" aca="1" ref="J842" ca="1">IF(ISNUMBER(A842),IFERROR(_xlfn._xlws.FILTER(Equipar!A:A,(Equipar!B:B=4)*(Equipar!AC:AC=A842)),""),"")</f>
        <v/>
      </c>
    </row>
    <row r="843" spans="1:10" x14ac:dyDescent="0.25">
      <c r="A843" s="3" t="str">
        <f ca="1">IF(A842="ID",1,IF(ISBLANK(B843),"",MAX(A$2:A842)+1))</f>
        <v/>
      </c>
      <c r="I843" s="2" t="str">
        <f ca="1">IF(ISNUMBER(A843),
IF(COUNTIFS(Equipar!B:B,4,Equipar!AC:AC,A843),"Equipada",
IF(
  OR(COUNTIFS(Equipar!B:B,4,Equipar!C:C,A843)
 +COUNTIFS(Equipar!B:B,4,Equipar!D:D,A843)
+COUNTIFS(Equipar!B:B,4,Equipar!E:E,A843)
+COUNTIFS(Equipar!B:B,4,Equipar!F:F,A843)
&gt;0,COUNTIF('Set recomendado'!B:B,C843)=0),
"Bloqueada",
"Desechable")),""
)</f>
        <v/>
      </c>
      <c r="J843" t="str" cm="1">
        <f t="array" aca="1" ref="J843" ca="1">IF(ISNUMBER(A843),IFERROR(_xlfn._xlws.FILTER(Equipar!A:A,(Equipar!B:B=4)*(Equipar!AC:AC=A843)),""),"")</f>
        <v/>
      </c>
    </row>
    <row r="844" spans="1:10" x14ac:dyDescent="0.25">
      <c r="A844" s="3" t="str">
        <f ca="1">IF(A843="ID",1,IF(ISBLANK(B844),"",MAX(A$2:A843)+1))</f>
        <v/>
      </c>
      <c r="I844" s="2" t="str">
        <f ca="1">IF(ISNUMBER(A844),
IF(COUNTIFS(Equipar!B:B,4,Equipar!AC:AC,A844),"Equipada",
IF(
  OR(COUNTIFS(Equipar!B:B,4,Equipar!C:C,A844)
 +COUNTIFS(Equipar!B:B,4,Equipar!D:D,A844)
+COUNTIFS(Equipar!B:B,4,Equipar!E:E,A844)
+COUNTIFS(Equipar!B:B,4,Equipar!F:F,A844)
&gt;0,COUNTIF('Set recomendado'!B:B,C844)=0),
"Bloqueada",
"Desechable")),""
)</f>
        <v/>
      </c>
      <c r="J844" t="str" cm="1">
        <f t="array" aca="1" ref="J844" ca="1">IF(ISNUMBER(A844),IFERROR(_xlfn._xlws.FILTER(Equipar!A:A,(Equipar!B:B=4)*(Equipar!AC:AC=A844)),""),"")</f>
        <v/>
      </c>
    </row>
    <row r="845" spans="1:10" x14ac:dyDescent="0.25">
      <c r="A845" s="3" t="str">
        <f ca="1">IF(A844="ID",1,IF(ISBLANK(B845),"",MAX(A$2:A844)+1))</f>
        <v/>
      </c>
      <c r="I845" s="2" t="str">
        <f ca="1">IF(ISNUMBER(A845),
IF(COUNTIFS(Equipar!B:B,4,Equipar!AC:AC,A845),"Equipada",
IF(
  OR(COUNTIFS(Equipar!B:B,4,Equipar!C:C,A845)
 +COUNTIFS(Equipar!B:B,4,Equipar!D:D,A845)
+COUNTIFS(Equipar!B:B,4,Equipar!E:E,A845)
+COUNTIFS(Equipar!B:B,4,Equipar!F:F,A845)
&gt;0,COUNTIF('Set recomendado'!B:B,C845)=0),
"Bloqueada",
"Desechable")),""
)</f>
        <v/>
      </c>
      <c r="J845" t="str" cm="1">
        <f t="array" aca="1" ref="J845" ca="1">IF(ISNUMBER(A845),IFERROR(_xlfn._xlws.FILTER(Equipar!A:A,(Equipar!B:B=4)*(Equipar!AC:AC=A845)),""),"")</f>
        <v/>
      </c>
    </row>
    <row r="846" spans="1:10" x14ac:dyDescent="0.25">
      <c r="A846" s="3" t="str">
        <f ca="1">IF(A845="ID",1,IF(ISBLANK(B846),"",MAX(A$2:A845)+1))</f>
        <v/>
      </c>
      <c r="I846" s="2" t="str">
        <f ca="1">IF(ISNUMBER(A846),
IF(COUNTIFS(Equipar!B:B,4,Equipar!AC:AC,A846),"Equipada",
IF(
  OR(COUNTIFS(Equipar!B:B,4,Equipar!C:C,A846)
 +COUNTIFS(Equipar!B:B,4,Equipar!D:D,A846)
+COUNTIFS(Equipar!B:B,4,Equipar!E:E,A846)
+COUNTIFS(Equipar!B:B,4,Equipar!F:F,A846)
&gt;0,COUNTIF('Set recomendado'!B:B,C846)=0),
"Bloqueada",
"Desechable")),""
)</f>
        <v/>
      </c>
      <c r="J846" t="str" cm="1">
        <f t="array" aca="1" ref="J846" ca="1">IF(ISNUMBER(A846),IFERROR(_xlfn._xlws.FILTER(Equipar!A:A,(Equipar!B:B=4)*(Equipar!AC:AC=A846)),""),"")</f>
        <v/>
      </c>
    </row>
    <row r="847" spans="1:10" x14ac:dyDescent="0.25">
      <c r="A847" s="3" t="str">
        <f ca="1">IF(A846="ID",1,IF(ISBLANK(B847),"",MAX(A$2:A846)+1))</f>
        <v/>
      </c>
      <c r="I847" s="2" t="str">
        <f ca="1">IF(ISNUMBER(A847),
IF(COUNTIFS(Equipar!B:B,4,Equipar!AC:AC,A847),"Equipada",
IF(
  OR(COUNTIFS(Equipar!B:B,4,Equipar!C:C,A847)
 +COUNTIFS(Equipar!B:B,4,Equipar!D:D,A847)
+COUNTIFS(Equipar!B:B,4,Equipar!E:E,A847)
+COUNTIFS(Equipar!B:B,4,Equipar!F:F,A847)
&gt;0,COUNTIF('Set recomendado'!B:B,C847)=0),
"Bloqueada",
"Desechable")),""
)</f>
        <v/>
      </c>
      <c r="J847" t="str" cm="1">
        <f t="array" aca="1" ref="J847" ca="1">IF(ISNUMBER(A847),IFERROR(_xlfn._xlws.FILTER(Equipar!A:A,(Equipar!B:B=4)*(Equipar!AC:AC=A847)),""),"")</f>
        <v/>
      </c>
    </row>
    <row r="848" spans="1:10" x14ac:dyDescent="0.25">
      <c r="A848" s="3" t="str">
        <f ca="1">IF(A847="ID",1,IF(ISBLANK(B848),"",MAX(A$2:A847)+1))</f>
        <v/>
      </c>
      <c r="I848" s="2" t="str">
        <f ca="1">IF(ISNUMBER(A848),
IF(COUNTIFS(Equipar!B:B,4,Equipar!AC:AC,A848),"Equipada",
IF(
  OR(COUNTIFS(Equipar!B:B,4,Equipar!C:C,A848)
 +COUNTIFS(Equipar!B:B,4,Equipar!D:D,A848)
+COUNTIFS(Equipar!B:B,4,Equipar!E:E,A848)
+COUNTIFS(Equipar!B:B,4,Equipar!F:F,A848)
&gt;0,COUNTIF('Set recomendado'!B:B,C848)=0),
"Bloqueada",
"Desechable")),""
)</f>
        <v/>
      </c>
      <c r="J848" t="str" cm="1">
        <f t="array" aca="1" ref="J848" ca="1">IF(ISNUMBER(A848),IFERROR(_xlfn._xlws.FILTER(Equipar!A:A,(Equipar!B:B=4)*(Equipar!AC:AC=A848)),""),"")</f>
        <v/>
      </c>
    </row>
    <row r="849" spans="1:10" x14ac:dyDescent="0.25">
      <c r="A849" s="3" t="str">
        <f ca="1">IF(A848="ID",1,IF(ISBLANK(B849),"",MAX(A$2:A848)+1))</f>
        <v/>
      </c>
      <c r="I849" s="2" t="str">
        <f ca="1">IF(ISNUMBER(A849),
IF(COUNTIFS(Equipar!B:B,4,Equipar!AC:AC,A849),"Equipada",
IF(
  OR(COUNTIFS(Equipar!B:B,4,Equipar!C:C,A849)
 +COUNTIFS(Equipar!B:B,4,Equipar!D:D,A849)
+COUNTIFS(Equipar!B:B,4,Equipar!E:E,A849)
+COUNTIFS(Equipar!B:B,4,Equipar!F:F,A849)
&gt;0,COUNTIF('Set recomendado'!B:B,C849)=0),
"Bloqueada",
"Desechable")),""
)</f>
        <v/>
      </c>
      <c r="J849" t="str" cm="1">
        <f t="array" aca="1" ref="J849" ca="1">IF(ISNUMBER(A849),IFERROR(_xlfn._xlws.FILTER(Equipar!A:A,(Equipar!B:B=4)*(Equipar!AC:AC=A849)),""),"")</f>
        <v/>
      </c>
    </row>
    <row r="850" spans="1:10" x14ac:dyDescent="0.25">
      <c r="A850" s="3" t="str">
        <f ca="1">IF(A849="ID",1,IF(ISBLANK(B850),"",MAX(A$2:A849)+1))</f>
        <v/>
      </c>
      <c r="I850" s="2" t="str">
        <f ca="1">IF(ISNUMBER(A850),
IF(COUNTIFS(Equipar!B:B,4,Equipar!AC:AC,A850),"Equipada",
IF(
  OR(COUNTIFS(Equipar!B:B,4,Equipar!C:C,A850)
 +COUNTIFS(Equipar!B:B,4,Equipar!D:D,A850)
+COUNTIFS(Equipar!B:B,4,Equipar!E:E,A850)
+COUNTIFS(Equipar!B:B,4,Equipar!F:F,A850)
&gt;0,COUNTIF('Set recomendado'!B:B,C850)=0),
"Bloqueada",
"Desechable")),""
)</f>
        <v/>
      </c>
      <c r="J850" t="str" cm="1">
        <f t="array" aca="1" ref="J850" ca="1">IF(ISNUMBER(A850),IFERROR(_xlfn._xlws.FILTER(Equipar!A:A,(Equipar!B:B=4)*(Equipar!AC:AC=A850)),""),"")</f>
        <v/>
      </c>
    </row>
    <row r="851" spans="1:10" x14ac:dyDescent="0.25">
      <c r="A851" s="3" t="str">
        <f ca="1">IF(A850="ID",1,IF(ISBLANK(B851),"",MAX(A$2:A850)+1))</f>
        <v/>
      </c>
      <c r="I851" s="2" t="str">
        <f ca="1">IF(ISNUMBER(A851),
IF(COUNTIFS(Equipar!B:B,4,Equipar!AC:AC,A851),"Equipada",
IF(
  OR(COUNTIFS(Equipar!B:B,4,Equipar!C:C,A851)
 +COUNTIFS(Equipar!B:B,4,Equipar!D:D,A851)
+COUNTIFS(Equipar!B:B,4,Equipar!E:E,A851)
+COUNTIFS(Equipar!B:B,4,Equipar!F:F,A851)
&gt;0,COUNTIF('Set recomendado'!B:B,C851)=0),
"Bloqueada",
"Desechable")),""
)</f>
        <v/>
      </c>
      <c r="J851" t="str" cm="1">
        <f t="array" aca="1" ref="J851" ca="1">IF(ISNUMBER(A851),IFERROR(_xlfn._xlws.FILTER(Equipar!A:A,(Equipar!B:B=4)*(Equipar!AC:AC=A851)),""),"")</f>
        <v/>
      </c>
    </row>
    <row r="852" spans="1:10" x14ac:dyDescent="0.25">
      <c r="A852" s="3" t="str">
        <f ca="1">IF(A851="ID",1,IF(ISBLANK(B852),"",MAX(A$2:A851)+1))</f>
        <v/>
      </c>
      <c r="I852" s="2" t="str">
        <f ca="1">IF(ISNUMBER(A852),
IF(COUNTIFS(Equipar!B:B,4,Equipar!AC:AC,A852),"Equipada",
IF(
  OR(COUNTIFS(Equipar!B:B,4,Equipar!C:C,A852)
 +COUNTIFS(Equipar!B:B,4,Equipar!D:D,A852)
+COUNTIFS(Equipar!B:B,4,Equipar!E:E,A852)
+COUNTIFS(Equipar!B:B,4,Equipar!F:F,A852)
&gt;0,COUNTIF('Set recomendado'!B:B,C852)=0),
"Bloqueada",
"Desechable")),""
)</f>
        <v/>
      </c>
      <c r="J852" t="str" cm="1">
        <f t="array" aca="1" ref="J852" ca="1">IF(ISNUMBER(A852),IFERROR(_xlfn._xlws.FILTER(Equipar!A:A,(Equipar!B:B=4)*(Equipar!AC:AC=A852)),""),"")</f>
        <v/>
      </c>
    </row>
    <row r="853" spans="1:10" x14ac:dyDescent="0.25">
      <c r="A853" s="3" t="str">
        <f ca="1">IF(A852="ID",1,IF(ISBLANK(B853),"",MAX(A$2:A852)+1))</f>
        <v/>
      </c>
      <c r="I853" s="2" t="str">
        <f ca="1">IF(ISNUMBER(A853),
IF(COUNTIFS(Equipar!B:B,4,Equipar!AC:AC,A853),"Equipada",
IF(
  OR(COUNTIFS(Equipar!B:B,4,Equipar!C:C,A853)
 +COUNTIFS(Equipar!B:B,4,Equipar!D:D,A853)
+COUNTIFS(Equipar!B:B,4,Equipar!E:E,A853)
+COUNTIFS(Equipar!B:B,4,Equipar!F:F,A853)
&gt;0,COUNTIF('Set recomendado'!B:B,C853)=0),
"Bloqueada",
"Desechable")),""
)</f>
        <v/>
      </c>
      <c r="J853" t="str" cm="1">
        <f t="array" aca="1" ref="J853" ca="1">IF(ISNUMBER(A853),IFERROR(_xlfn._xlws.FILTER(Equipar!A:A,(Equipar!B:B=4)*(Equipar!AC:AC=A853)),""),"")</f>
        <v/>
      </c>
    </row>
    <row r="854" spans="1:10" x14ac:dyDescent="0.25">
      <c r="A854" s="3" t="str">
        <f ca="1">IF(A853="ID",1,IF(ISBLANK(B854),"",MAX(A$2:A853)+1))</f>
        <v/>
      </c>
      <c r="I854" s="2" t="str">
        <f ca="1">IF(ISNUMBER(A854),
IF(COUNTIFS(Equipar!B:B,4,Equipar!AC:AC,A854),"Equipada",
IF(
  OR(COUNTIFS(Equipar!B:B,4,Equipar!C:C,A854)
 +COUNTIFS(Equipar!B:B,4,Equipar!D:D,A854)
+COUNTIFS(Equipar!B:B,4,Equipar!E:E,A854)
+COUNTIFS(Equipar!B:B,4,Equipar!F:F,A854)
&gt;0,COUNTIF('Set recomendado'!B:B,C854)=0),
"Bloqueada",
"Desechable")),""
)</f>
        <v/>
      </c>
      <c r="J854" t="str" cm="1">
        <f t="array" aca="1" ref="J854" ca="1">IF(ISNUMBER(A854),IFERROR(_xlfn._xlws.FILTER(Equipar!A:A,(Equipar!B:B=4)*(Equipar!AC:AC=A854)),""),"")</f>
        <v/>
      </c>
    </row>
    <row r="855" spans="1:10" x14ac:dyDescent="0.25">
      <c r="A855" s="3" t="str">
        <f ca="1">IF(A854="ID",1,IF(ISBLANK(B855),"",MAX(A$2:A854)+1))</f>
        <v/>
      </c>
      <c r="I855" s="2" t="str">
        <f ca="1">IF(ISNUMBER(A855),
IF(COUNTIFS(Equipar!B:B,4,Equipar!AC:AC,A855),"Equipada",
IF(
  OR(COUNTIFS(Equipar!B:B,4,Equipar!C:C,A855)
 +COUNTIFS(Equipar!B:B,4,Equipar!D:D,A855)
+COUNTIFS(Equipar!B:B,4,Equipar!E:E,A855)
+COUNTIFS(Equipar!B:B,4,Equipar!F:F,A855)
&gt;0,COUNTIF('Set recomendado'!B:B,C855)=0),
"Bloqueada",
"Desechable")),""
)</f>
        <v/>
      </c>
      <c r="J855" t="str" cm="1">
        <f t="array" aca="1" ref="J855" ca="1">IF(ISNUMBER(A855),IFERROR(_xlfn._xlws.FILTER(Equipar!A:A,(Equipar!B:B=4)*(Equipar!AC:AC=A855)),""),"")</f>
        <v/>
      </c>
    </row>
    <row r="856" spans="1:10" x14ac:dyDescent="0.25">
      <c r="A856" s="3" t="str">
        <f ca="1">IF(A855="ID",1,IF(ISBLANK(B856),"",MAX(A$2:A855)+1))</f>
        <v/>
      </c>
      <c r="I856" s="2" t="str">
        <f ca="1">IF(ISNUMBER(A856),
IF(COUNTIFS(Equipar!B:B,4,Equipar!AC:AC,A856),"Equipada",
IF(
  OR(COUNTIFS(Equipar!B:B,4,Equipar!C:C,A856)
 +COUNTIFS(Equipar!B:B,4,Equipar!D:D,A856)
+COUNTIFS(Equipar!B:B,4,Equipar!E:E,A856)
+COUNTIFS(Equipar!B:B,4,Equipar!F:F,A856)
&gt;0,COUNTIF('Set recomendado'!B:B,C856)=0),
"Bloqueada",
"Desechable")),""
)</f>
        <v/>
      </c>
      <c r="J856" t="str" cm="1">
        <f t="array" aca="1" ref="J856" ca="1">IF(ISNUMBER(A856),IFERROR(_xlfn._xlws.FILTER(Equipar!A:A,(Equipar!B:B=4)*(Equipar!AC:AC=A856)),""),"")</f>
        <v/>
      </c>
    </row>
    <row r="857" spans="1:10" x14ac:dyDescent="0.25">
      <c r="A857" s="3" t="str">
        <f ca="1">IF(A856="ID",1,IF(ISBLANK(B857),"",MAX(A$2:A856)+1))</f>
        <v/>
      </c>
      <c r="I857" s="2" t="str">
        <f ca="1">IF(ISNUMBER(A857),
IF(COUNTIFS(Equipar!B:B,4,Equipar!AC:AC,A857),"Equipada",
IF(
  OR(COUNTIFS(Equipar!B:B,4,Equipar!C:C,A857)
 +COUNTIFS(Equipar!B:B,4,Equipar!D:D,A857)
+COUNTIFS(Equipar!B:B,4,Equipar!E:E,A857)
+COUNTIFS(Equipar!B:B,4,Equipar!F:F,A857)
&gt;0,COUNTIF('Set recomendado'!B:B,C857)=0),
"Bloqueada",
"Desechable")),""
)</f>
        <v/>
      </c>
      <c r="J857" t="str" cm="1">
        <f t="array" aca="1" ref="J857" ca="1">IF(ISNUMBER(A857),IFERROR(_xlfn._xlws.FILTER(Equipar!A:A,(Equipar!B:B=4)*(Equipar!AC:AC=A857)),""),"")</f>
        <v/>
      </c>
    </row>
    <row r="858" spans="1:10" x14ac:dyDescent="0.25">
      <c r="A858" s="3" t="str">
        <f ca="1">IF(A857="ID",1,IF(ISBLANK(B858),"",MAX(A$2:A857)+1))</f>
        <v/>
      </c>
      <c r="I858" s="2" t="str">
        <f ca="1">IF(ISNUMBER(A858),
IF(COUNTIFS(Equipar!B:B,4,Equipar!AC:AC,A858),"Equipada",
IF(
  OR(COUNTIFS(Equipar!B:B,4,Equipar!C:C,A858)
 +COUNTIFS(Equipar!B:B,4,Equipar!D:D,A858)
+COUNTIFS(Equipar!B:B,4,Equipar!E:E,A858)
+COUNTIFS(Equipar!B:B,4,Equipar!F:F,A858)
&gt;0,COUNTIF('Set recomendado'!B:B,C858)=0),
"Bloqueada",
"Desechable")),""
)</f>
        <v/>
      </c>
      <c r="J858" t="str" cm="1">
        <f t="array" aca="1" ref="J858" ca="1">IF(ISNUMBER(A858),IFERROR(_xlfn._xlws.FILTER(Equipar!A:A,(Equipar!B:B=4)*(Equipar!AC:AC=A858)),""),"")</f>
        <v/>
      </c>
    </row>
    <row r="859" spans="1:10" x14ac:dyDescent="0.25">
      <c r="A859" s="3" t="str">
        <f ca="1">IF(A858="ID",1,IF(ISBLANK(B859),"",MAX(A$2:A858)+1))</f>
        <v/>
      </c>
      <c r="I859" s="2" t="str">
        <f ca="1">IF(ISNUMBER(A859),
IF(COUNTIFS(Equipar!B:B,4,Equipar!AC:AC,A859),"Equipada",
IF(
  OR(COUNTIFS(Equipar!B:B,4,Equipar!C:C,A859)
 +COUNTIFS(Equipar!B:B,4,Equipar!D:D,A859)
+COUNTIFS(Equipar!B:B,4,Equipar!E:E,A859)
+COUNTIFS(Equipar!B:B,4,Equipar!F:F,A859)
&gt;0,COUNTIF('Set recomendado'!B:B,C859)=0),
"Bloqueada",
"Desechable")),""
)</f>
        <v/>
      </c>
      <c r="J859" t="str" cm="1">
        <f t="array" aca="1" ref="J859" ca="1">IF(ISNUMBER(A859),IFERROR(_xlfn._xlws.FILTER(Equipar!A:A,(Equipar!B:B=4)*(Equipar!AC:AC=A859)),""),"")</f>
        <v/>
      </c>
    </row>
    <row r="860" spans="1:10" x14ac:dyDescent="0.25">
      <c r="A860" s="3" t="str">
        <f ca="1">IF(A859="ID",1,IF(ISBLANK(B860),"",MAX(A$2:A859)+1))</f>
        <v/>
      </c>
      <c r="I860" s="2" t="str">
        <f ca="1">IF(ISNUMBER(A860),
IF(COUNTIFS(Equipar!B:B,4,Equipar!AC:AC,A860),"Equipada",
IF(
  OR(COUNTIFS(Equipar!B:B,4,Equipar!C:C,A860)
 +COUNTIFS(Equipar!B:B,4,Equipar!D:D,A860)
+COUNTIFS(Equipar!B:B,4,Equipar!E:E,A860)
+COUNTIFS(Equipar!B:B,4,Equipar!F:F,A860)
&gt;0,COUNTIF('Set recomendado'!B:B,C860)=0),
"Bloqueada",
"Desechable")),""
)</f>
        <v/>
      </c>
      <c r="J860" t="str" cm="1">
        <f t="array" aca="1" ref="J860" ca="1">IF(ISNUMBER(A860),IFERROR(_xlfn._xlws.FILTER(Equipar!A:A,(Equipar!B:B=4)*(Equipar!AC:AC=A860)),""),"")</f>
        <v/>
      </c>
    </row>
    <row r="861" spans="1:10" x14ac:dyDescent="0.25">
      <c r="A861" s="3" t="str">
        <f ca="1">IF(A860="ID",1,IF(ISBLANK(B861),"",MAX(A$2:A860)+1))</f>
        <v/>
      </c>
      <c r="I861" s="2" t="str">
        <f ca="1">IF(ISNUMBER(A861),
IF(COUNTIFS(Equipar!B:B,4,Equipar!AC:AC,A861),"Equipada",
IF(
  OR(COUNTIFS(Equipar!B:B,4,Equipar!C:C,A861)
 +COUNTIFS(Equipar!B:B,4,Equipar!D:D,A861)
+COUNTIFS(Equipar!B:B,4,Equipar!E:E,A861)
+COUNTIFS(Equipar!B:B,4,Equipar!F:F,A861)
&gt;0,COUNTIF('Set recomendado'!B:B,C861)=0),
"Bloqueada",
"Desechable")),""
)</f>
        <v/>
      </c>
      <c r="J861" t="str" cm="1">
        <f t="array" aca="1" ref="J861" ca="1">IF(ISNUMBER(A861),IFERROR(_xlfn._xlws.FILTER(Equipar!A:A,(Equipar!B:B=4)*(Equipar!AC:AC=A861)),""),"")</f>
        <v/>
      </c>
    </row>
    <row r="862" spans="1:10" x14ac:dyDescent="0.25">
      <c r="A862" s="3" t="str">
        <f ca="1">IF(A861="ID",1,IF(ISBLANK(B862),"",MAX(A$2:A861)+1))</f>
        <v/>
      </c>
      <c r="I862" s="2" t="str">
        <f ca="1">IF(ISNUMBER(A862),
IF(COUNTIFS(Equipar!B:B,4,Equipar!AC:AC,A862),"Equipada",
IF(
  OR(COUNTIFS(Equipar!B:B,4,Equipar!C:C,A862)
 +COUNTIFS(Equipar!B:B,4,Equipar!D:D,A862)
+COUNTIFS(Equipar!B:B,4,Equipar!E:E,A862)
+COUNTIFS(Equipar!B:B,4,Equipar!F:F,A862)
&gt;0,COUNTIF('Set recomendado'!B:B,C862)=0),
"Bloqueada",
"Desechable")),""
)</f>
        <v/>
      </c>
      <c r="J862" t="str" cm="1">
        <f t="array" aca="1" ref="J862" ca="1">IF(ISNUMBER(A862),IFERROR(_xlfn._xlws.FILTER(Equipar!A:A,(Equipar!B:B=4)*(Equipar!AC:AC=A862)),""),"")</f>
        <v/>
      </c>
    </row>
    <row r="863" spans="1:10" x14ac:dyDescent="0.25">
      <c r="A863" s="3" t="str">
        <f ca="1">IF(A862="ID",1,IF(ISBLANK(B863),"",MAX(A$2:A862)+1))</f>
        <v/>
      </c>
      <c r="I863" s="2" t="str">
        <f ca="1">IF(ISNUMBER(A863),
IF(COUNTIFS(Equipar!B:B,4,Equipar!AC:AC,A863),"Equipada",
IF(
  OR(COUNTIFS(Equipar!B:B,4,Equipar!C:C,A863)
 +COUNTIFS(Equipar!B:B,4,Equipar!D:D,A863)
+COUNTIFS(Equipar!B:B,4,Equipar!E:E,A863)
+COUNTIFS(Equipar!B:B,4,Equipar!F:F,A863)
&gt;0,COUNTIF('Set recomendado'!B:B,C863)=0),
"Bloqueada",
"Desechable")),""
)</f>
        <v/>
      </c>
      <c r="J863" t="str" cm="1">
        <f t="array" aca="1" ref="J863" ca="1">IF(ISNUMBER(A863),IFERROR(_xlfn._xlws.FILTER(Equipar!A:A,(Equipar!B:B=4)*(Equipar!AC:AC=A863)),""),"")</f>
        <v/>
      </c>
    </row>
    <row r="864" spans="1:10" x14ac:dyDescent="0.25">
      <c r="A864" s="3" t="str">
        <f ca="1">IF(A863="ID",1,IF(ISBLANK(B864),"",MAX(A$2:A863)+1))</f>
        <v/>
      </c>
      <c r="I864" s="2" t="str">
        <f ca="1">IF(ISNUMBER(A864),
IF(COUNTIFS(Equipar!B:B,4,Equipar!AC:AC,A864),"Equipada",
IF(
  OR(COUNTIFS(Equipar!B:B,4,Equipar!C:C,A864)
 +COUNTIFS(Equipar!B:B,4,Equipar!D:D,A864)
+COUNTIFS(Equipar!B:B,4,Equipar!E:E,A864)
+COUNTIFS(Equipar!B:B,4,Equipar!F:F,A864)
&gt;0,COUNTIF('Set recomendado'!B:B,C864)=0),
"Bloqueada",
"Desechable")),""
)</f>
        <v/>
      </c>
      <c r="J864" t="str" cm="1">
        <f t="array" aca="1" ref="J864" ca="1">IF(ISNUMBER(A864),IFERROR(_xlfn._xlws.FILTER(Equipar!A:A,(Equipar!B:B=4)*(Equipar!AC:AC=A864)),""),"")</f>
        <v/>
      </c>
    </row>
    <row r="865" spans="1:10" x14ac:dyDescent="0.25">
      <c r="A865" s="3" t="str">
        <f ca="1">IF(A864="ID",1,IF(ISBLANK(B865),"",MAX(A$2:A864)+1))</f>
        <v/>
      </c>
      <c r="I865" s="2" t="str">
        <f ca="1">IF(ISNUMBER(A865),
IF(COUNTIFS(Equipar!B:B,4,Equipar!AC:AC,A865),"Equipada",
IF(
  OR(COUNTIFS(Equipar!B:B,4,Equipar!C:C,A865)
 +COUNTIFS(Equipar!B:B,4,Equipar!D:D,A865)
+COUNTIFS(Equipar!B:B,4,Equipar!E:E,A865)
+COUNTIFS(Equipar!B:B,4,Equipar!F:F,A865)
&gt;0,COUNTIF('Set recomendado'!B:B,C865)=0),
"Bloqueada",
"Desechable")),""
)</f>
        <v/>
      </c>
      <c r="J865" t="str" cm="1">
        <f t="array" aca="1" ref="J865" ca="1">IF(ISNUMBER(A865),IFERROR(_xlfn._xlws.FILTER(Equipar!A:A,(Equipar!B:B=4)*(Equipar!AC:AC=A865)),""),"")</f>
        <v/>
      </c>
    </row>
    <row r="866" spans="1:10" x14ac:dyDescent="0.25">
      <c r="A866" s="3" t="str">
        <f ca="1">IF(A865="ID",1,IF(ISBLANK(B866),"",MAX(A$2:A865)+1))</f>
        <v/>
      </c>
      <c r="I866" s="2" t="str">
        <f ca="1">IF(ISNUMBER(A866),
IF(COUNTIFS(Equipar!B:B,4,Equipar!AC:AC,A866),"Equipada",
IF(
  OR(COUNTIFS(Equipar!B:B,4,Equipar!C:C,A866)
 +COUNTIFS(Equipar!B:B,4,Equipar!D:D,A866)
+COUNTIFS(Equipar!B:B,4,Equipar!E:E,A866)
+COUNTIFS(Equipar!B:B,4,Equipar!F:F,A866)
&gt;0,COUNTIF('Set recomendado'!B:B,C866)=0),
"Bloqueada",
"Desechable")),""
)</f>
        <v/>
      </c>
      <c r="J866" t="str" cm="1">
        <f t="array" aca="1" ref="J866" ca="1">IF(ISNUMBER(A866),IFERROR(_xlfn._xlws.FILTER(Equipar!A:A,(Equipar!B:B=4)*(Equipar!AC:AC=A866)),""),"")</f>
        <v/>
      </c>
    </row>
    <row r="867" spans="1:10" x14ac:dyDescent="0.25">
      <c r="A867" s="3" t="str">
        <f ca="1">IF(A866="ID",1,IF(ISBLANK(B867),"",MAX(A$2:A866)+1))</f>
        <v/>
      </c>
      <c r="I867" s="2" t="str">
        <f ca="1">IF(ISNUMBER(A867),
IF(COUNTIFS(Equipar!B:B,4,Equipar!AC:AC,A867),"Equipada",
IF(
  OR(COUNTIFS(Equipar!B:B,4,Equipar!C:C,A867)
 +COUNTIFS(Equipar!B:B,4,Equipar!D:D,A867)
+COUNTIFS(Equipar!B:B,4,Equipar!E:E,A867)
+COUNTIFS(Equipar!B:B,4,Equipar!F:F,A867)
&gt;0,COUNTIF('Set recomendado'!B:B,C867)=0),
"Bloqueada",
"Desechable")),""
)</f>
        <v/>
      </c>
      <c r="J867" t="str" cm="1">
        <f t="array" aca="1" ref="J867" ca="1">IF(ISNUMBER(A867),IFERROR(_xlfn._xlws.FILTER(Equipar!A:A,(Equipar!B:B=4)*(Equipar!AC:AC=A867)),""),"")</f>
        <v/>
      </c>
    </row>
    <row r="868" spans="1:10" x14ac:dyDescent="0.25">
      <c r="A868" s="3" t="str">
        <f ca="1">IF(A867="ID",1,IF(ISBLANK(B868),"",MAX(A$2:A867)+1))</f>
        <v/>
      </c>
      <c r="I868" s="2" t="str">
        <f ca="1">IF(ISNUMBER(A868),
IF(COUNTIFS(Equipar!B:B,4,Equipar!AC:AC,A868),"Equipada",
IF(
  OR(COUNTIFS(Equipar!B:B,4,Equipar!C:C,A868)
 +COUNTIFS(Equipar!B:B,4,Equipar!D:D,A868)
+COUNTIFS(Equipar!B:B,4,Equipar!E:E,A868)
+COUNTIFS(Equipar!B:B,4,Equipar!F:F,A868)
&gt;0,COUNTIF('Set recomendado'!B:B,C868)=0),
"Bloqueada",
"Desechable")),""
)</f>
        <v/>
      </c>
      <c r="J868" t="str" cm="1">
        <f t="array" aca="1" ref="J868" ca="1">IF(ISNUMBER(A868),IFERROR(_xlfn._xlws.FILTER(Equipar!A:A,(Equipar!B:B=4)*(Equipar!AC:AC=A868)),""),"")</f>
        <v/>
      </c>
    </row>
    <row r="869" spans="1:10" x14ac:dyDescent="0.25">
      <c r="A869" s="3" t="str">
        <f ca="1">IF(A868="ID",1,IF(ISBLANK(B869),"",MAX(A$2:A868)+1))</f>
        <v/>
      </c>
      <c r="I869" s="2" t="str">
        <f ca="1">IF(ISNUMBER(A869),
IF(COUNTIFS(Equipar!B:B,4,Equipar!AC:AC,A869),"Equipada",
IF(
  OR(COUNTIFS(Equipar!B:B,4,Equipar!C:C,A869)
 +COUNTIFS(Equipar!B:B,4,Equipar!D:D,A869)
+COUNTIFS(Equipar!B:B,4,Equipar!E:E,A869)
+COUNTIFS(Equipar!B:B,4,Equipar!F:F,A869)
&gt;0,COUNTIF('Set recomendado'!B:B,C869)=0),
"Bloqueada",
"Desechable")),""
)</f>
        <v/>
      </c>
      <c r="J869" t="str" cm="1">
        <f t="array" aca="1" ref="J869" ca="1">IF(ISNUMBER(A869),IFERROR(_xlfn._xlws.FILTER(Equipar!A:A,(Equipar!B:B=4)*(Equipar!AC:AC=A869)),""),"")</f>
        <v/>
      </c>
    </row>
    <row r="870" spans="1:10" x14ac:dyDescent="0.25">
      <c r="A870" s="3" t="str">
        <f ca="1">IF(A869="ID",1,IF(ISBLANK(B870),"",MAX(A$2:A869)+1))</f>
        <v/>
      </c>
      <c r="I870" s="2" t="str">
        <f ca="1">IF(ISNUMBER(A870),
IF(COUNTIFS(Equipar!B:B,4,Equipar!AC:AC,A870),"Equipada",
IF(
  OR(COUNTIFS(Equipar!B:B,4,Equipar!C:C,A870)
 +COUNTIFS(Equipar!B:B,4,Equipar!D:D,A870)
+COUNTIFS(Equipar!B:B,4,Equipar!E:E,A870)
+COUNTIFS(Equipar!B:B,4,Equipar!F:F,A870)
&gt;0,COUNTIF('Set recomendado'!B:B,C870)=0),
"Bloqueada",
"Desechable")),""
)</f>
        <v/>
      </c>
      <c r="J870" t="str" cm="1">
        <f t="array" aca="1" ref="J870" ca="1">IF(ISNUMBER(A870),IFERROR(_xlfn._xlws.FILTER(Equipar!A:A,(Equipar!B:B=4)*(Equipar!AC:AC=A870)),""),"")</f>
        <v/>
      </c>
    </row>
    <row r="871" spans="1:10" x14ac:dyDescent="0.25">
      <c r="A871" s="3" t="str">
        <f ca="1">IF(A870="ID",1,IF(ISBLANK(B871),"",MAX(A$2:A870)+1))</f>
        <v/>
      </c>
      <c r="I871" s="2" t="str">
        <f ca="1">IF(ISNUMBER(A871),
IF(COUNTIFS(Equipar!B:B,4,Equipar!AC:AC,A871),"Equipada",
IF(
  OR(COUNTIFS(Equipar!B:B,4,Equipar!C:C,A871)
 +COUNTIFS(Equipar!B:B,4,Equipar!D:D,A871)
+COUNTIFS(Equipar!B:B,4,Equipar!E:E,A871)
+COUNTIFS(Equipar!B:B,4,Equipar!F:F,A871)
&gt;0,COUNTIF('Set recomendado'!B:B,C871)=0),
"Bloqueada",
"Desechable")),""
)</f>
        <v/>
      </c>
      <c r="J871" t="str" cm="1">
        <f t="array" aca="1" ref="J871" ca="1">IF(ISNUMBER(A871),IFERROR(_xlfn._xlws.FILTER(Equipar!A:A,(Equipar!B:B=4)*(Equipar!AC:AC=A871)),""),"")</f>
        <v/>
      </c>
    </row>
    <row r="872" spans="1:10" x14ac:dyDescent="0.25">
      <c r="A872" s="3" t="str">
        <f ca="1">IF(A871="ID",1,IF(ISBLANK(B872),"",MAX(A$2:A871)+1))</f>
        <v/>
      </c>
      <c r="I872" s="2" t="str">
        <f ca="1">IF(ISNUMBER(A872),
IF(COUNTIFS(Equipar!B:B,4,Equipar!AC:AC,A872),"Equipada",
IF(
  OR(COUNTIFS(Equipar!B:B,4,Equipar!C:C,A872)
 +COUNTIFS(Equipar!B:B,4,Equipar!D:D,A872)
+COUNTIFS(Equipar!B:B,4,Equipar!E:E,A872)
+COUNTIFS(Equipar!B:B,4,Equipar!F:F,A872)
&gt;0,COUNTIF('Set recomendado'!B:B,C872)=0),
"Bloqueada",
"Desechable")),""
)</f>
        <v/>
      </c>
      <c r="J872" t="str" cm="1">
        <f t="array" aca="1" ref="J872" ca="1">IF(ISNUMBER(A872),IFERROR(_xlfn._xlws.FILTER(Equipar!A:A,(Equipar!B:B=4)*(Equipar!AC:AC=A872)),""),"")</f>
        <v/>
      </c>
    </row>
    <row r="873" spans="1:10" x14ac:dyDescent="0.25">
      <c r="A873" s="3" t="str">
        <f ca="1">IF(A872="ID",1,IF(ISBLANK(B873),"",MAX(A$2:A872)+1))</f>
        <v/>
      </c>
      <c r="I873" s="2" t="str">
        <f ca="1">IF(ISNUMBER(A873),
IF(COUNTIFS(Equipar!B:B,4,Equipar!AC:AC,A873),"Equipada",
IF(
  OR(COUNTIFS(Equipar!B:B,4,Equipar!C:C,A873)
 +COUNTIFS(Equipar!B:B,4,Equipar!D:D,A873)
+COUNTIFS(Equipar!B:B,4,Equipar!E:E,A873)
+COUNTIFS(Equipar!B:B,4,Equipar!F:F,A873)
&gt;0,COUNTIF('Set recomendado'!B:B,C873)=0),
"Bloqueada",
"Desechable")),""
)</f>
        <v/>
      </c>
      <c r="J873" t="str" cm="1">
        <f t="array" aca="1" ref="J873" ca="1">IF(ISNUMBER(A873),IFERROR(_xlfn._xlws.FILTER(Equipar!A:A,(Equipar!B:B=4)*(Equipar!AC:AC=A873)),""),"")</f>
        <v/>
      </c>
    </row>
    <row r="874" spans="1:10" x14ac:dyDescent="0.25">
      <c r="A874" s="3" t="str">
        <f ca="1">IF(A873="ID",1,IF(ISBLANK(B874),"",MAX(A$2:A873)+1))</f>
        <v/>
      </c>
      <c r="I874" s="2" t="str">
        <f ca="1">IF(ISNUMBER(A874),
IF(COUNTIFS(Equipar!B:B,4,Equipar!AC:AC,A874),"Equipada",
IF(
  OR(COUNTIFS(Equipar!B:B,4,Equipar!C:C,A874)
 +COUNTIFS(Equipar!B:B,4,Equipar!D:D,A874)
+COUNTIFS(Equipar!B:B,4,Equipar!E:E,A874)
+COUNTIFS(Equipar!B:B,4,Equipar!F:F,A874)
&gt;0,COUNTIF('Set recomendado'!B:B,C874)=0),
"Bloqueada",
"Desechable")),""
)</f>
        <v/>
      </c>
      <c r="J874" t="str" cm="1">
        <f t="array" aca="1" ref="J874" ca="1">IF(ISNUMBER(A874),IFERROR(_xlfn._xlws.FILTER(Equipar!A:A,(Equipar!B:B=4)*(Equipar!AC:AC=A874)),""),"")</f>
        <v/>
      </c>
    </row>
    <row r="875" spans="1:10" x14ac:dyDescent="0.25">
      <c r="A875" s="3" t="str">
        <f ca="1">IF(A874="ID",1,IF(ISBLANK(B875),"",MAX(A$2:A874)+1))</f>
        <v/>
      </c>
      <c r="I875" s="2" t="str">
        <f ca="1">IF(ISNUMBER(A875),
IF(COUNTIFS(Equipar!B:B,4,Equipar!AC:AC,A875),"Equipada",
IF(
  OR(COUNTIFS(Equipar!B:B,4,Equipar!C:C,A875)
 +COUNTIFS(Equipar!B:B,4,Equipar!D:D,A875)
+COUNTIFS(Equipar!B:B,4,Equipar!E:E,A875)
+COUNTIFS(Equipar!B:B,4,Equipar!F:F,A875)
&gt;0,COUNTIF('Set recomendado'!B:B,C875)=0),
"Bloqueada",
"Desechable")),""
)</f>
        <v/>
      </c>
      <c r="J875" t="str" cm="1">
        <f t="array" aca="1" ref="J875" ca="1">IF(ISNUMBER(A875),IFERROR(_xlfn._xlws.FILTER(Equipar!A:A,(Equipar!B:B=4)*(Equipar!AC:AC=A875)),""),"")</f>
        <v/>
      </c>
    </row>
    <row r="876" spans="1:10" x14ac:dyDescent="0.25">
      <c r="A876" s="3" t="str">
        <f ca="1">IF(A875="ID",1,IF(ISBLANK(B876),"",MAX(A$2:A875)+1))</f>
        <v/>
      </c>
      <c r="I876" s="2" t="str">
        <f ca="1">IF(ISNUMBER(A876),
IF(COUNTIFS(Equipar!B:B,4,Equipar!AC:AC,A876),"Equipada",
IF(
  OR(COUNTIFS(Equipar!B:B,4,Equipar!C:C,A876)
 +COUNTIFS(Equipar!B:B,4,Equipar!D:D,A876)
+COUNTIFS(Equipar!B:B,4,Equipar!E:E,A876)
+COUNTIFS(Equipar!B:B,4,Equipar!F:F,A876)
&gt;0,COUNTIF('Set recomendado'!B:B,C876)=0),
"Bloqueada",
"Desechable")),""
)</f>
        <v/>
      </c>
      <c r="J876" t="str" cm="1">
        <f t="array" aca="1" ref="J876" ca="1">IF(ISNUMBER(A876),IFERROR(_xlfn._xlws.FILTER(Equipar!A:A,(Equipar!B:B=4)*(Equipar!AC:AC=A876)),""),"")</f>
        <v/>
      </c>
    </row>
    <row r="877" spans="1:10" x14ac:dyDescent="0.25">
      <c r="A877" s="3" t="str">
        <f ca="1">IF(A876="ID",1,IF(ISBLANK(B877),"",MAX(A$2:A876)+1))</f>
        <v/>
      </c>
      <c r="I877" s="2" t="str">
        <f ca="1">IF(ISNUMBER(A877),
IF(COUNTIFS(Equipar!B:B,4,Equipar!AC:AC,A877),"Equipada",
IF(
  OR(COUNTIFS(Equipar!B:B,4,Equipar!C:C,A877)
 +COUNTIFS(Equipar!B:B,4,Equipar!D:D,A877)
+COUNTIFS(Equipar!B:B,4,Equipar!E:E,A877)
+COUNTIFS(Equipar!B:B,4,Equipar!F:F,A877)
&gt;0,COUNTIF('Set recomendado'!B:B,C877)=0),
"Bloqueada",
"Desechable")),""
)</f>
        <v/>
      </c>
      <c r="J877" t="str" cm="1">
        <f t="array" aca="1" ref="J877" ca="1">IF(ISNUMBER(A877),IFERROR(_xlfn._xlws.FILTER(Equipar!A:A,(Equipar!B:B=4)*(Equipar!AC:AC=A877)),""),"")</f>
        <v/>
      </c>
    </row>
    <row r="878" spans="1:10" x14ac:dyDescent="0.25">
      <c r="A878" s="3" t="str">
        <f ca="1">IF(A877="ID",1,IF(ISBLANK(B878),"",MAX(A$2:A877)+1))</f>
        <v/>
      </c>
      <c r="I878" s="2" t="str">
        <f ca="1">IF(ISNUMBER(A878),
IF(COUNTIFS(Equipar!B:B,4,Equipar!AC:AC,A878),"Equipada",
IF(
  OR(COUNTIFS(Equipar!B:B,4,Equipar!C:C,A878)
 +COUNTIFS(Equipar!B:B,4,Equipar!D:D,A878)
+COUNTIFS(Equipar!B:B,4,Equipar!E:E,A878)
+COUNTIFS(Equipar!B:B,4,Equipar!F:F,A878)
&gt;0,COUNTIF('Set recomendado'!B:B,C878)=0),
"Bloqueada",
"Desechable")),""
)</f>
        <v/>
      </c>
      <c r="J878" t="str" cm="1">
        <f t="array" aca="1" ref="J878" ca="1">IF(ISNUMBER(A878),IFERROR(_xlfn._xlws.FILTER(Equipar!A:A,(Equipar!B:B=4)*(Equipar!AC:AC=A878)),""),"")</f>
        <v/>
      </c>
    </row>
    <row r="879" spans="1:10" x14ac:dyDescent="0.25">
      <c r="A879" s="3" t="str">
        <f ca="1">IF(A878="ID",1,IF(ISBLANK(B879),"",MAX(A$2:A878)+1))</f>
        <v/>
      </c>
      <c r="I879" s="2" t="str">
        <f ca="1">IF(ISNUMBER(A879),
IF(COUNTIFS(Equipar!B:B,4,Equipar!AC:AC,A879),"Equipada",
IF(
  OR(COUNTIFS(Equipar!B:B,4,Equipar!C:C,A879)
 +COUNTIFS(Equipar!B:B,4,Equipar!D:D,A879)
+COUNTIFS(Equipar!B:B,4,Equipar!E:E,A879)
+COUNTIFS(Equipar!B:B,4,Equipar!F:F,A879)
&gt;0,COUNTIF('Set recomendado'!B:B,C879)=0),
"Bloqueada",
"Desechable")),""
)</f>
        <v/>
      </c>
      <c r="J879" t="str" cm="1">
        <f t="array" aca="1" ref="J879" ca="1">IF(ISNUMBER(A879),IFERROR(_xlfn._xlws.FILTER(Equipar!A:A,(Equipar!B:B=4)*(Equipar!AC:AC=A879)),""),"")</f>
        <v/>
      </c>
    </row>
    <row r="880" spans="1:10" x14ac:dyDescent="0.25">
      <c r="A880" s="3" t="str">
        <f ca="1">IF(A879="ID",1,IF(ISBLANK(B880),"",MAX(A$2:A879)+1))</f>
        <v/>
      </c>
      <c r="I880" s="2" t="str">
        <f ca="1">IF(ISNUMBER(A880),
IF(COUNTIFS(Equipar!B:B,4,Equipar!AC:AC,A880),"Equipada",
IF(
  OR(COUNTIFS(Equipar!B:B,4,Equipar!C:C,A880)
 +COUNTIFS(Equipar!B:B,4,Equipar!D:D,A880)
+COUNTIFS(Equipar!B:B,4,Equipar!E:E,A880)
+COUNTIFS(Equipar!B:B,4,Equipar!F:F,A880)
&gt;0,COUNTIF('Set recomendado'!B:B,C880)=0),
"Bloqueada",
"Desechable")),""
)</f>
        <v/>
      </c>
      <c r="J880" t="str" cm="1">
        <f t="array" aca="1" ref="J880" ca="1">IF(ISNUMBER(A880),IFERROR(_xlfn._xlws.FILTER(Equipar!A:A,(Equipar!B:B=4)*(Equipar!AC:AC=A880)),""),"")</f>
        <v/>
      </c>
    </row>
    <row r="881" spans="1:10" x14ac:dyDescent="0.25">
      <c r="A881" s="3" t="str">
        <f ca="1">IF(A880="ID",1,IF(ISBLANK(B881),"",MAX(A$2:A880)+1))</f>
        <v/>
      </c>
      <c r="I881" s="2" t="str">
        <f ca="1">IF(ISNUMBER(A881),
IF(COUNTIFS(Equipar!B:B,4,Equipar!AC:AC,A881),"Equipada",
IF(
  OR(COUNTIFS(Equipar!B:B,4,Equipar!C:C,A881)
 +COUNTIFS(Equipar!B:B,4,Equipar!D:D,A881)
+COUNTIFS(Equipar!B:B,4,Equipar!E:E,A881)
+COUNTIFS(Equipar!B:B,4,Equipar!F:F,A881)
&gt;0,COUNTIF('Set recomendado'!B:B,C881)=0),
"Bloqueada",
"Desechable")),""
)</f>
        <v/>
      </c>
      <c r="J881" t="str" cm="1">
        <f t="array" aca="1" ref="J881" ca="1">IF(ISNUMBER(A881),IFERROR(_xlfn._xlws.FILTER(Equipar!A:A,(Equipar!B:B=4)*(Equipar!AC:AC=A881)),""),"")</f>
        <v/>
      </c>
    </row>
    <row r="882" spans="1:10" x14ac:dyDescent="0.25">
      <c r="A882" s="3" t="str">
        <f ca="1">IF(A881="ID",1,IF(ISBLANK(B882),"",MAX(A$2:A881)+1))</f>
        <v/>
      </c>
      <c r="I882" s="2" t="str">
        <f ca="1">IF(ISNUMBER(A882),
IF(COUNTIFS(Equipar!B:B,4,Equipar!AC:AC,A882),"Equipada",
IF(
  OR(COUNTIFS(Equipar!B:B,4,Equipar!C:C,A882)
 +COUNTIFS(Equipar!B:B,4,Equipar!D:D,A882)
+COUNTIFS(Equipar!B:B,4,Equipar!E:E,A882)
+COUNTIFS(Equipar!B:B,4,Equipar!F:F,A882)
&gt;0,COUNTIF('Set recomendado'!B:B,C882)=0),
"Bloqueada",
"Desechable")),""
)</f>
        <v/>
      </c>
      <c r="J882" t="str" cm="1">
        <f t="array" aca="1" ref="J882" ca="1">IF(ISNUMBER(A882),IFERROR(_xlfn._xlws.FILTER(Equipar!A:A,(Equipar!B:B=4)*(Equipar!AC:AC=A882)),""),"")</f>
        <v/>
      </c>
    </row>
    <row r="883" spans="1:10" x14ac:dyDescent="0.25">
      <c r="A883" s="3" t="str">
        <f ca="1">IF(A882="ID",1,IF(ISBLANK(B883),"",MAX(A$2:A882)+1))</f>
        <v/>
      </c>
      <c r="I883" s="2" t="str">
        <f ca="1">IF(ISNUMBER(A883),
IF(COUNTIFS(Equipar!B:B,4,Equipar!AC:AC,A883),"Equipada",
IF(
  OR(COUNTIFS(Equipar!B:B,4,Equipar!C:C,A883)
 +COUNTIFS(Equipar!B:B,4,Equipar!D:D,A883)
+COUNTIFS(Equipar!B:B,4,Equipar!E:E,A883)
+COUNTIFS(Equipar!B:B,4,Equipar!F:F,A883)
&gt;0,COUNTIF('Set recomendado'!B:B,C883)=0),
"Bloqueada",
"Desechable")),""
)</f>
        <v/>
      </c>
      <c r="J883" t="str" cm="1">
        <f t="array" aca="1" ref="J883" ca="1">IF(ISNUMBER(A883),IFERROR(_xlfn._xlws.FILTER(Equipar!A:A,(Equipar!B:B=4)*(Equipar!AC:AC=A883)),""),"")</f>
        <v/>
      </c>
    </row>
    <row r="884" spans="1:10" x14ac:dyDescent="0.25">
      <c r="A884" s="3" t="str">
        <f ca="1">IF(A883="ID",1,IF(ISBLANK(B884),"",MAX(A$2:A883)+1))</f>
        <v/>
      </c>
      <c r="I884" s="2" t="str">
        <f ca="1">IF(ISNUMBER(A884),
IF(COUNTIFS(Equipar!B:B,4,Equipar!AC:AC,A884),"Equipada",
IF(
  OR(COUNTIFS(Equipar!B:B,4,Equipar!C:C,A884)
 +COUNTIFS(Equipar!B:B,4,Equipar!D:D,A884)
+COUNTIFS(Equipar!B:B,4,Equipar!E:E,A884)
+COUNTIFS(Equipar!B:B,4,Equipar!F:F,A884)
&gt;0,COUNTIF('Set recomendado'!B:B,C884)=0),
"Bloqueada",
"Desechable")),""
)</f>
        <v/>
      </c>
      <c r="J884" t="str" cm="1">
        <f t="array" aca="1" ref="J884" ca="1">IF(ISNUMBER(A884),IFERROR(_xlfn._xlws.FILTER(Equipar!A:A,(Equipar!B:B=4)*(Equipar!AC:AC=A884)),""),"")</f>
        <v/>
      </c>
    </row>
    <row r="885" spans="1:10" x14ac:dyDescent="0.25">
      <c r="A885" s="3" t="str">
        <f ca="1">IF(A884="ID",1,IF(ISBLANK(B885),"",MAX(A$2:A884)+1))</f>
        <v/>
      </c>
      <c r="I885" s="2" t="str">
        <f ca="1">IF(ISNUMBER(A885),
IF(COUNTIFS(Equipar!B:B,4,Equipar!AC:AC,A885),"Equipada",
IF(
  OR(COUNTIFS(Equipar!B:B,4,Equipar!C:C,A885)
 +COUNTIFS(Equipar!B:B,4,Equipar!D:D,A885)
+COUNTIFS(Equipar!B:B,4,Equipar!E:E,A885)
+COUNTIFS(Equipar!B:B,4,Equipar!F:F,A885)
&gt;0,COUNTIF('Set recomendado'!B:B,C885)=0),
"Bloqueada",
"Desechable")),""
)</f>
        <v/>
      </c>
      <c r="J885" t="str" cm="1">
        <f t="array" aca="1" ref="J885" ca="1">IF(ISNUMBER(A885),IFERROR(_xlfn._xlws.FILTER(Equipar!A:A,(Equipar!B:B=4)*(Equipar!AC:AC=A885)),""),"")</f>
        <v/>
      </c>
    </row>
    <row r="886" spans="1:10" x14ac:dyDescent="0.25">
      <c r="A886" s="3" t="str">
        <f ca="1">IF(A885="ID",1,IF(ISBLANK(B886),"",MAX(A$2:A885)+1))</f>
        <v/>
      </c>
      <c r="I886" s="2" t="str">
        <f ca="1">IF(ISNUMBER(A886),
IF(COUNTIFS(Equipar!B:B,4,Equipar!AC:AC,A886),"Equipada",
IF(
  OR(COUNTIFS(Equipar!B:B,4,Equipar!C:C,A886)
 +COUNTIFS(Equipar!B:B,4,Equipar!D:D,A886)
+COUNTIFS(Equipar!B:B,4,Equipar!E:E,A886)
+COUNTIFS(Equipar!B:B,4,Equipar!F:F,A886)
&gt;0,COUNTIF('Set recomendado'!B:B,C886)=0),
"Bloqueada",
"Desechable")),""
)</f>
        <v/>
      </c>
      <c r="J886" t="str" cm="1">
        <f t="array" aca="1" ref="J886" ca="1">IF(ISNUMBER(A886),IFERROR(_xlfn._xlws.FILTER(Equipar!A:A,(Equipar!B:B=4)*(Equipar!AC:AC=A886)),""),"")</f>
        <v/>
      </c>
    </row>
    <row r="887" spans="1:10" x14ac:dyDescent="0.25">
      <c r="A887" s="3" t="str">
        <f ca="1">IF(A886="ID",1,IF(ISBLANK(B887),"",MAX(A$2:A886)+1))</f>
        <v/>
      </c>
      <c r="I887" s="2" t="str">
        <f ca="1">IF(ISNUMBER(A887),
IF(COUNTIFS(Equipar!B:B,4,Equipar!AC:AC,A887),"Equipada",
IF(
  OR(COUNTIFS(Equipar!B:B,4,Equipar!C:C,A887)
 +COUNTIFS(Equipar!B:B,4,Equipar!D:D,A887)
+COUNTIFS(Equipar!B:B,4,Equipar!E:E,A887)
+COUNTIFS(Equipar!B:B,4,Equipar!F:F,A887)
&gt;0,COUNTIF('Set recomendado'!B:B,C887)=0),
"Bloqueada",
"Desechable")),""
)</f>
        <v/>
      </c>
      <c r="J887" t="str" cm="1">
        <f t="array" aca="1" ref="J887" ca="1">IF(ISNUMBER(A887),IFERROR(_xlfn._xlws.FILTER(Equipar!A:A,(Equipar!B:B=4)*(Equipar!AC:AC=A887)),""),"")</f>
        <v/>
      </c>
    </row>
    <row r="888" spans="1:10" x14ac:dyDescent="0.25">
      <c r="A888" s="3" t="str">
        <f ca="1">IF(A887="ID",1,IF(ISBLANK(B888),"",MAX(A$2:A887)+1))</f>
        <v/>
      </c>
      <c r="I888" s="2" t="str">
        <f ca="1">IF(ISNUMBER(A888),
IF(COUNTIFS(Equipar!B:B,4,Equipar!AC:AC,A888),"Equipada",
IF(
  OR(COUNTIFS(Equipar!B:B,4,Equipar!C:C,A888)
 +COUNTIFS(Equipar!B:B,4,Equipar!D:D,A888)
+COUNTIFS(Equipar!B:B,4,Equipar!E:E,A888)
+COUNTIFS(Equipar!B:B,4,Equipar!F:F,A888)
&gt;0,COUNTIF('Set recomendado'!B:B,C888)=0),
"Bloqueada",
"Desechable")),""
)</f>
        <v/>
      </c>
      <c r="J888" t="str" cm="1">
        <f t="array" aca="1" ref="J888" ca="1">IF(ISNUMBER(A888),IFERROR(_xlfn._xlws.FILTER(Equipar!A:A,(Equipar!B:B=4)*(Equipar!AC:AC=A888)),""),"")</f>
        <v/>
      </c>
    </row>
    <row r="889" spans="1:10" x14ac:dyDescent="0.25">
      <c r="A889" s="3" t="str">
        <f ca="1">IF(A888="ID",1,IF(ISBLANK(B889),"",MAX(A$2:A888)+1))</f>
        <v/>
      </c>
      <c r="I889" s="2" t="str">
        <f ca="1">IF(ISNUMBER(A889),
IF(COUNTIFS(Equipar!B:B,4,Equipar!AC:AC,A889),"Equipada",
IF(
  OR(COUNTIFS(Equipar!B:B,4,Equipar!C:C,A889)
 +COUNTIFS(Equipar!B:B,4,Equipar!D:D,A889)
+COUNTIFS(Equipar!B:B,4,Equipar!E:E,A889)
+COUNTIFS(Equipar!B:B,4,Equipar!F:F,A889)
&gt;0,COUNTIF('Set recomendado'!B:B,C889)=0),
"Bloqueada",
"Desechable")),""
)</f>
        <v/>
      </c>
      <c r="J889" t="str" cm="1">
        <f t="array" aca="1" ref="J889" ca="1">IF(ISNUMBER(A889),IFERROR(_xlfn._xlws.FILTER(Equipar!A:A,(Equipar!B:B=4)*(Equipar!AC:AC=A889)),""),"")</f>
        <v/>
      </c>
    </row>
    <row r="890" spans="1:10" x14ac:dyDescent="0.25">
      <c r="A890" s="3" t="str">
        <f ca="1">IF(A889="ID",1,IF(ISBLANK(B890),"",MAX(A$2:A889)+1))</f>
        <v/>
      </c>
      <c r="I890" s="2" t="str">
        <f ca="1">IF(ISNUMBER(A890),
IF(COUNTIFS(Equipar!B:B,4,Equipar!AC:AC,A890),"Equipada",
IF(
  OR(COUNTIFS(Equipar!B:B,4,Equipar!C:C,A890)
 +COUNTIFS(Equipar!B:B,4,Equipar!D:D,A890)
+COUNTIFS(Equipar!B:B,4,Equipar!E:E,A890)
+COUNTIFS(Equipar!B:B,4,Equipar!F:F,A890)
&gt;0,COUNTIF('Set recomendado'!B:B,C890)=0),
"Bloqueada",
"Desechable")),""
)</f>
        <v/>
      </c>
      <c r="J890" t="str" cm="1">
        <f t="array" aca="1" ref="J890" ca="1">IF(ISNUMBER(A890),IFERROR(_xlfn._xlws.FILTER(Equipar!A:A,(Equipar!B:B=4)*(Equipar!AC:AC=A890)),""),"")</f>
        <v/>
      </c>
    </row>
    <row r="891" spans="1:10" x14ac:dyDescent="0.25">
      <c r="A891" s="3" t="str">
        <f ca="1">IF(A890="ID",1,IF(ISBLANK(B891),"",MAX(A$2:A890)+1))</f>
        <v/>
      </c>
      <c r="I891" s="2" t="str">
        <f ca="1">IF(ISNUMBER(A891),
IF(COUNTIFS(Equipar!B:B,4,Equipar!AC:AC,A891),"Equipada",
IF(
  OR(COUNTIFS(Equipar!B:B,4,Equipar!C:C,A891)
 +COUNTIFS(Equipar!B:B,4,Equipar!D:D,A891)
+COUNTIFS(Equipar!B:B,4,Equipar!E:E,A891)
+COUNTIFS(Equipar!B:B,4,Equipar!F:F,A891)
&gt;0,COUNTIF('Set recomendado'!B:B,C891)=0),
"Bloqueada",
"Desechable")),""
)</f>
        <v/>
      </c>
      <c r="J891" t="str" cm="1">
        <f t="array" aca="1" ref="J891" ca="1">IF(ISNUMBER(A891),IFERROR(_xlfn._xlws.FILTER(Equipar!A:A,(Equipar!B:B=4)*(Equipar!AC:AC=A891)),""),"")</f>
        <v/>
      </c>
    </row>
    <row r="892" spans="1:10" x14ac:dyDescent="0.25">
      <c r="A892" s="3" t="str">
        <f ca="1">IF(A891="ID",1,IF(ISBLANK(B892),"",MAX(A$2:A891)+1))</f>
        <v/>
      </c>
      <c r="I892" s="2" t="str">
        <f ca="1">IF(ISNUMBER(A892),
IF(COUNTIFS(Equipar!B:B,4,Equipar!AC:AC,A892),"Equipada",
IF(
  OR(COUNTIFS(Equipar!B:B,4,Equipar!C:C,A892)
 +COUNTIFS(Equipar!B:B,4,Equipar!D:D,A892)
+COUNTIFS(Equipar!B:B,4,Equipar!E:E,A892)
+COUNTIFS(Equipar!B:B,4,Equipar!F:F,A892)
&gt;0,COUNTIF('Set recomendado'!B:B,C892)=0),
"Bloqueada",
"Desechable")),""
)</f>
        <v/>
      </c>
      <c r="J892" t="str" cm="1">
        <f t="array" aca="1" ref="J892" ca="1">IF(ISNUMBER(A892),IFERROR(_xlfn._xlws.FILTER(Equipar!A:A,(Equipar!B:B=4)*(Equipar!AC:AC=A892)),""),"")</f>
        <v/>
      </c>
    </row>
    <row r="893" spans="1:10" x14ac:dyDescent="0.25">
      <c r="A893" s="3" t="str">
        <f ca="1">IF(A892="ID",1,IF(ISBLANK(B893),"",MAX(A$2:A892)+1))</f>
        <v/>
      </c>
      <c r="I893" s="2" t="str">
        <f ca="1">IF(ISNUMBER(A893),
IF(COUNTIFS(Equipar!B:B,4,Equipar!AC:AC,A893),"Equipada",
IF(
  OR(COUNTIFS(Equipar!B:B,4,Equipar!C:C,A893)
 +COUNTIFS(Equipar!B:B,4,Equipar!D:D,A893)
+COUNTIFS(Equipar!B:B,4,Equipar!E:E,A893)
+COUNTIFS(Equipar!B:B,4,Equipar!F:F,A893)
&gt;0,COUNTIF('Set recomendado'!B:B,C893)=0),
"Bloqueada",
"Desechable")),""
)</f>
        <v/>
      </c>
      <c r="J893" t="str" cm="1">
        <f t="array" aca="1" ref="J893" ca="1">IF(ISNUMBER(A893),IFERROR(_xlfn._xlws.FILTER(Equipar!A:A,(Equipar!B:B=4)*(Equipar!AC:AC=A893)),""),"")</f>
        <v/>
      </c>
    </row>
    <row r="894" spans="1:10" x14ac:dyDescent="0.25">
      <c r="A894" s="3" t="str">
        <f ca="1">IF(A893="ID",1,IF(ISBLANK(B894),"",MAX(A$2:A893)+1))</f>
        <v/>
      </c>
      <c r="I894" s="2" t="str">
        <f ca="1">IF(ISNUMBER(A894),
IF(COUNTIFS(Equipar!B:B,4,Equipar!AC:AC,A894),"Equipada",
IF(
  OR(COUNTIFS(Equipar!B:B,4,Equipar!C:C,A894)
 +COUNTIFS(Equipar!B:B,4,Equipar!D:D,A894)
+COUNTIFS(Equipar!B:B,4,Equipar!E:E,A894)
+COUNTIFS(Equipar!B:B,4,Equipar!F:F,A894)
&gt;0,COUNTIF('Set recomendado'!B:B,C894)=0),
"Bloqueada",
"Desechable")),""
)</f>
        <v/>
      </c>
      <c r="J894" t="str" cm="1">
        <f t="array" aca="1" ref="J894" ca="1">IF(ISNUMBER(A894),IFERROR(_xlfn._xlws.FILTER(Equipar!A:A,(Equipar!B:B=4)*(Equipar!AC:AC=A894)),""),"")</f>
        <v/>
      </c>
    </row>
    <row r="895" spans="1:10" x14ac:dyDescent="0.25">
      <c r="A895" s="3" t="str">
        <f ca="1">IF(A894="ID",1,IF(ISBLANK(B895),"",MAX(A$2:A894)+1))</f>
        <v/>
      </c>
      <c r="I895" s="2" t="str">
        <f ca="1">IF(ISNUMBER(A895),
IF(COUNTIFS(Equipar!B:B,4,Equipar!AC:AC,A895),"Equipada",
IF(
  OR(COUNTIFS(Equipar!B:B,4,Equipar!C:C,A895)
 +COUNTIFS(Equipar!B:B,4,Equipar!D:D,A895)
+COUNTIFS(Equipar!B:B,4,Equipar!E:E,A895)
+COUNTIFS(Equipar!B:B,4,Equipar!F:F,A895)
&gt;0,COUNTIF('Set recomendado'!B:B,C895)=0),
"Bloqueada",
"Desechable")),""
)</f>
        <v/>
      </c>
      <c r="J895" t="str" cm="1">
        <f t="array" aca="1" ref="J895" ca="1">IF(ISNUMBER(A895),IFERROR(_xlfn._xlws.FILTER(Equipar!A:A,(Equipar!B:B=4)*(Equipar!AC:AC=A895)),""),"")</f>
        <v/>
      </c>
    </row>
    <row r="896" spans="1:10" x14ac:dyDescent="0.25">
      <c r="A896" s="3" t="str">
        <f ca="1">IF(A895="ID",1,IF(ISBLANK(B896),"",MAX(A$2:A895)+1))</f>
        <v/>
      </c>
      <c r="I896" s="2" t="str">
        <f ca="1">IF(ISNUMBER(A896),
IF(COUNTIFS(Equipar!B:B,4,Equipar!AC:AC,A896),"Equipada",
IF(
  OR(COUNTIFS(Equipar!B:B,4,Equipar!C:C,A896)
 +COUNTIFS(Equipar!B:B,4,Equipar!D:D,A896)
+COUNTIFS(Equipar!B:B,4,Equipar!E:E,A896)
+COUNTIFS(Equipar!B:B,4,Equipar!F:F,A896)
&gt;0,COUNTIF('Set recomendado'!B:B,C896)=0),
"Bloqueada",
"Desechable")),""
)</f>
        <v/>
      </c>
      <c r="J896" t="str" cm="1">
        <f t="array" aca="1" ref="J896" ca="1">IF(ISNUMBER(A896),IFERROR(_xlfn._xlws.FILTER(Equipar!A:A,(Equipar!B:B=4)*(Equipar!AC:AC=A896)),""),"")</f>
        <v/>
      </c>
    </row>
    <row r="897" spans="1:10" x14ac:dyDescent="0.25">
      <c r="A897" s="3" t="str">
        <f ca="1">IF(A896="ID",1,IF(ISBLANK(B897),"",MAX(A$2:A896)+1))</f>
        <v/>
      </c>
      <c r="I897" s="2" t="str">
        <f ca="1">IF(ISNUMBER(A897),
IF(COUNTIFS(Equipar!B:B,4,Equipar!AC:AC,A897),"Equipada",
IF(
  OR(COUNTIFS(Equipar!B:B,4,Equipar!C:C,A897)
 +COUNTIFS(Equipar!B:B,4,Equipar!D:D,A897)
+COUNTIFS(Equipar!B:B,4,Equipar!E:E,A897)
+COUNTIFS(Equipar!B:B,4,Equipar!F:F,A897)
&gt;0,COUNTIF('Set recomendado'!B:B,C897)=0),
"Bloqueada",
"Desechable")),""
)</f>
        <v/>
      </c>
      <c r="J897" t="str" cm="1">
        <f t="array" aca="1" ref="J897" ca="1">IF(ISNUMBER(A897),IFERROR(_xlfn._xlws.FILTER(Equipar!A:A,(Equipar!B:B=4)*(Equipar!AC:AC=A897)),""),"")</f>
        <v/>
      </c>
    </row>
    <row r="898" spans="1:10" x14ac:dyDescent="0.25">
      <c r="A898" s="3" t="str">
        <f ca="1">IF(A897="ID",1,IF(ISBLANK(B898),"",MAX(A$2:A897)+1))</f>
        <v/>
      </c>
      <c r="I898" s="2" t="str">
        <f ca="1">IF(ISNUMBER(A898),
IF(COUNTIFS(Equipar!B:B,4,Equipar!AC:AC,A898),"Equipada",
IF(
  OR(COUNTIFS(Equipar!B:B,4,Equipar!C:C,A898)
 +COUNTIFS(Equipar!B:B,4,Equipar!D:D,A898)
+COUNTIFS(Equipar!B:B,4,Equipar!E:E,A898)
+COUNTIFS(Equipar!B:B,4,Equipar!F:F,A898)
&gt;0,COUNTIF('Set recomendado'!B:B,C898)=0),
"Bloqueada",
"Desechable")),""
)</f>
        <v/>
      </c>
      <c r="J898" t="str" cm="1">
        <f t="array" aca="1" ref="J898" ca="1">IF(ISNUMBER(A898),IFERROR(_xlfn._xlws.FILTER(Equipar!A:A,(Equipar!B:B=4)*(Equipar!AC:AC=A898)),""),"")</f>
        <v/>
      </c>
    </row>
    <row r="899" spans="1:10" x14ac:dyDescent="0.25">
      <c r="A899" s="3" t="str">
        <f ca="1">IF(A898="ID",1,IF(ISBLANK(B899),"",MAX(A$2:A898)+1))</f>
        <v/>
      </c>
      <c r="I899" s="2" t="str">
        <f ca="1">IF(ISNUMBER(A899),
IF(COUNTIFS(Equipar!B:B,4,Equipar!AC:AC,A899),"Equipada",
IF(
  OR(COUNTIFS(Equipar!B:B,4,Equipar!C:C,A899)
 +COUNTIFS(Equipar!B:B,4,Equipar!D:D,A899)
+COUNTIFS(Equipar!B:B,4,Equipar!E:E,A899)
+COUNTIFS(Equipar!B:B,4,Equipar!F:F,A899)
&gt;0,COUNTIF('Set recomendado'!B:B,C899)=0),
"Bloqueada",
"Desechable")),""
)</f>
        <v/>
      </c>
      <c r="J899" t="str" cm="1">
        <f t="array" aca="1" ref="J899" ca="1">IF(ISNUMBER(A899),IFERROR(_xlfn._xlws.FILTER(Equipar!A:A,(Equipar!B:B=4)*(Equipar!AC:AC=A899)),""),"")</f>
        <v/>
      </c>
    </row>
    <row r="900" spans="1:10" x14ac:dyDescent="0.25">
      <c r="A900" s="3" t="str">
        <f ca="1">IF(A899="ID",1,IF(ISBLANK(B900),"",MAX(A$2:A899)+1))</f>
        <v/>
      </c>
      <c r="I900" s="2" t="str">
        <f ca="1">IF(ISNUMBER(A900),
IF(COUNTIFS(Equipar!B:B,4,Equipar!AC:AC,A900),"Equipada",
IF(
  OR(COUNTIFS(Equipar!B:B,4,Equipar!C:C,A900)
 +COUNTIFS(Equipar!B:B,4,Equipar!D:D,A900)
+COUNTIFS(Equipar!B:B,4,Equipar!E:E,A900)
+COUNTIFS(Equipar!B:B,4,Equipar!F:F,A900)
&gt;0,COUNTIF('Set recomendado'!B:B,C900)=0),
"Bloqueada",
"Desechable")),""
)</f>
        <v/>
      </c>
      <c r="J900" t="str" cm="1">
        <f t="array" aca="1" ref="J900" ca="1">IF(ISNUMBER(A900),IFERROR(_xlfn._xlws.FILTER(Equipar!A:A,(Equipar!B:B=4)*(Equipar!AC:AC=A900)),""),"")</f>
        <v/>
      </c>
    </row>
    <row r="901" spans="1:10" x14ac:dyDescent="0.25">
      <c r="A901" s="3" t="str">
        <f ca="1">IF(A900="ID",1,IF(ISBLANK(B901),"",MAX(A$2:A900)+1))</f>
        <v/>
      </c>
      <c r="I901" s="2" t="str">
        <f ca="1">IF(ISNUMBER(A901),
IF(COUNTIFS(Equipar!B:B,4,Equipar!AC:AC,A901),"Equipada",
IF(
  OR(COUNTIFS(Equipar!B:B,4,Equipar!C:C,A901)
 +COUNTIFS(Equipar!B:B,4,Equipar!D:D,A901)
+COUNTIFS(Equipar!B:B,4,Equipar!E:E,A901)
+COUNTIFS(Equipar!B:B,4,Equipar!F:F,A901)
&gt;0,COUNTIF('Set recomendado'!B:B,C901)=0),
"Bloqueada",
"Desechable")),""
)</f>
        <v/>
      </c>
      <c r="J901" t="str" cm="1">
        <f t="array" aca="1" ref="J901" ca="1">IF(ISNUMBER(A901),IFERROR(_xlfn._xlws.FILTER(Equipar!A:A,(Equipar!B:B=4)*(Equipar!AC:AC=A901)),""),"")</f>
        <v/>
      </c>
    </row>
    <row r="902" spans="1:10" x14ac:dyDescent="0.25">
      <c r="A902" s="3" t="str">
        <f ca="1">IF(A901="ID",1,IF(ISBLANK(B902),"",MAX(A$2:A901)+1))</f>
        <v/>
      </c>
      <c r="I902" s="2" t="str">
        <f ca="1">IF(ISNUMBER(A902),
IF(COUNTIFS(Equipar!B:B,4,Equipar!AC:AC,A902),"Equipada",
IF(
  OR(COUNTIFS(Equipar!B:B,4,Equipar!C:C,A902)
 +COUNTIFS(Equipar!B:B,4,Equipar!D:D,A902)
+COUNTIFS(Equipar!B:B,4,Equipar!E:E,A902)
+COUNTIFS(Equipar!B:B,4,Equipar!F:F,A902)
&gt;0,COUNTIF('Set recomendado'!B:B,C902)=0),
"Bloqueada",
"Desechable")),""
)</f>
        <v/>
      </c>
      <c r="J902" t="str" cm="1">
        <f t="array" aca="1" ref="J902" ca="1">IF(ISNUMBER(A902),IFERROR(_xlfn._xlws.FILTER(Equipar!A:A,(Equipar!B:B=4)*(Equipar!AC:AC=A902)),""),"")</f>
        <v/>
      </c>
    </row>
    <row r="903" spans="1:10" x14ac:dyDescent="0.25">
      <c r="A903" s="3" t="str">
        <f ca="1">IF(A902="ID",1,IF(ISBLANK(B903),"",MAX(A$2:A902)+1))</f>
        <v/>
      </c>
      <c r="I903" s="2" t="str">
        <f ca="1">IF(ISNUMBER(A903),
IF(COUNTIFS(Equipar!B:B,4,Equipar!AC:AC,A903),"Equipada",
IF(
  OR(COUNTIFS(Equipar!B:B,4,Equipar!C:C,A903)
 +COUNTIFS(Equipar!B:B,4,Equipar!D:D,A903)
+COUNTIFS(Equipar!B:B,4,Equipar!E:E,A903)
+COUNTIFS(Equipar!B:B,4,Equipar!F:F,A903)
&gt;0,COUNTIF('Set recomendado'!B:B,C903)=0),
"Bloqueada",
"Desechable")),""
)</f>
        <v/>
      </c>
      <c r="J903" t="str" cm="1">
        <f t="array" aca="1" ref="J903" ca="1">IF(ISNUMBER(A903),IFERROR(_xlfn._xlws.FILTER(Equipar!A:A,(Equipar!B:B=4)*(Equipar!AC:AC=A903)),""),"")</f>
        <v/>
      </c>
    </row>
    <row r="904" spans="1:10" x14ac:dyDescent="0.25">
      <c r="A904" s="3" t="str">
        <f ca="1">IF(A903="ID",1,IF(ISBLANK(B904),"",MAX(A$2:A903)+1))</f>
        <v/>
      </c>
      <c r="I904" s="2" t="str">
        <f ca="1">IF(ISNUMBER(A904),
IF(COUNTIFS(Equipar!B:B,4,Equipar!AC:AC,A904),"Equipada",
IF(
  OR(COUNTIFS(Equipar!B:B,4,Equipar!C:C,A904)
 +COUNTIFS(Equipar!B:B,4,Equipar!D:D,A904)
+COUNTIFS(Equipar!B:B,4,Equipar!E:E,A904)
+COUNTIFS(Equipar!B:B,4,Equipar!F:F,A904)
&gt;0,COUNTIF('Set recomendado'!B:B,C904)=0),
"Bloqueada",
"Desechable")),""
)</f>
        <v/>
      </c>
      <c r="J904" t="str" cm="1">
        <f t="array" aca="1" ref="J904" ca="1">IF(ISNUMBER(A904),IFERROR(_xlfn._xlws.FILTER(Equipar!A:A,(Equipar!B:B=4)*(Equipar!AC:AC=A904)),""),"")</f>
        <v/>
      </c>
    </row>
    <row r="905" spans="1:10" x14ac:dyDescent="0.25">
      <c r="A905" s="3" t="str">
        <f ca="1">IF(A904="ID",1,IF(ISBLANK(B905),"",MAX(A$2:A904)+1))</f>
        <v/>
      </c>
      <c r="I905" s="2" t="str">
        <f ca="1">IF(ISNUMBER(A905),
IF(COUNTIFS(Equipar!B:B,4,Equipar!AC:AC,A905),"Equipada",
IF(
  OR(COUNTIFS(Equipar!B:B,4,Equipar!C:C,A905)
 +COUNTIFS(Equipar!B:B,4,Equipar!D:D,A905)
+COUNTIFS(Equipar!B:B,4,Equipar!E:E,A905)
+COUNTIFS(Equipar!B:B,4,Equipar!F:F,A905)
&gt;0,COUNTIF('Set recomendado'!B:B,C905)=0),
"Bloqueada",
"Desechable")),""
)</f>
        <v/>
      </c>
      <c r="J905" t="str" cm="1">
        <f t="array" aca="1" ref="J905" ca="1">IF(ISNUMBER(A905),IFERROR(_xlfn._xlws.FILTER(Equipar!A:A,(Equipar!B:B=4)*(Equipar!AC:AC=A905)),""),"")</f>
        <v/>
      </c>
    </row>
    <row r="906" spans="1:10" x14ac:dyDescent="0.25">
      <c r="A906" s="3" t="str">
        <f ca="1">IF(A905="ID",1,IF(ISBLANK(B906),"",MAX(A$2:A905)+1))</f>
        <v/>
      </c>
      <c r="I906" s="2" t="str">
        <f ca="1">IF(ISNUMBER(A906),
IF(COUNTIFS(Equipar!B:B,4,Equipar!AC:AC,A906),"Equipada",
IF(
  OR(COUNTIFS(Equipar!B:B,4,Equipar!C:C,A906)
 +COUNTIFS(Equipar!B:B,4,Equipar!D:D,A906)
+COUNTIFS(Equipar!B:B,4,Equipar!E:E,A906)
+COUNTIFS(Equipar!B:B,4,Equipar!F:F,A906)
&gt;0,COUNTIF('Set recomendado'!B:B,C906)=0),
"Bloqueada",
"Desechable")),""
)</f>
        <v/>
      </c>
      <c r="J906" t="str" cm="1">
        <f t="array" aca="1" ref="J906" ca="1">IF(ISNUMBER(A906),IFERROR(_xlfn._xlws.FILTER(Equipar!A:A,(Equipar!B:B=4)*(Equipar!AC:AC=A906)),""),"")</f>
        <v/>
      </c>
    </row>
    <row r="907" spans="1:10" x14ac:dyDescent="0.25">
      <c r="A907" s="3" t="str">
        <f ca="1">IF(A906="ID",1,IF(ISBLANK(B907),"",MAX(A$2:A906)+1))</f>
        <v/>
      </c>
      <c r="I907" s="2" t="str">
        <f ca="1">IF(ISNUMBER(A907),
IF(COUNTIFS(Equipar!B:B,4,Equipar!AC:AC,A907),"Equipada",
IF(
  OR(COUNTIFS(Equipar!B:B,4,Equipar!C:C,A907)
 +COUNTIFS(Equipar!B:B,4,Equipar!D:D,A907)
+COUNTIFS(Equipar!B:B,4,Equipar!E:E,A907)
+COUNTIFS(Equipar!B:B,4,Equipar!F:F,A907)
&gt;0,COUNTIF('Set recomendado'!B:B,C907)=0),
"Bloqueada",
"Desechable")),""
)</f>
        <v/>
      </c>
      <c r="J907" t="str" cm="1">
        <f t="array" aca="1" ref="J907" ca="1">IF(ISNUMBER(A907),IFERROR(_xlfn._xlws.FILTER(Equipar!A:A,(Equipar!B:B=4)*(Equipar!AC:AC=A907)),""),"")</f>
        <v/>
      </c>
    </row>
    <row r="908" spans="1:10" x14ac:dyDescent="0.25">
      <c r="A908" s="3" t="str">
        <f ca="1">IF(A907="ID",1,IF(ISBLANK(B908),"",MAX(A$2:A907)+1))</f>
        <v/>
      </c>
      <c r="I908" s="2" t="str">
        <f ca="1">IF(ISNUMBER(A908),
IF(COUNTIFS(Equipar!B:B,4,Equipar!AC:AC,A908),"Equipada",
IF(
  OR(COUNTIFS(Equipar!B:B,4,Equipar!C:C,A908)
 +COUNTIFS(Equipar!B:B,4,Equipar!D:D,A908)
+COUNTIFS(Equipar!B:B,4,Equipar!E:E,A908)
+COUNTIFS(Equipar!B:B,4,Equipar!F:F,A908)
&gt;0,COUNTIF('Set recomendado'!B:B,C908)=0),
"Bloqueada",
"Desechable")),""
)</f>
        <v/>
      </c>
      <c r="J908" t="str" cm="1">
        <f t="array" aca="1" ref="J908" ca="1">IF(ISNUMBER(A908),IFERROR(_xlfn._xlws.FILTER(Equipar!A:A,(Equipar!B:B=4)*(Equipar!AC:AC=A908)),""),"")</f>
        <v/>
      </c>
    </row>
    <row r="909" spans="1:10" x14ac:dyDescent="0.25">
      <c r="A909" s="3" t="str">
        <f ca="1">IF(A908="ID",1,IF(ISBLANK(B909),"",MAX(A$2:A908)+1))</f>
        <v/>
      </c>
      <c r="I909" s="2" t="str">
        <f ca="1">IF(ISNUMBER(A909),
IF(COUNTIFS(Equipar!B:B,4,Equipar!AC:AC,A909),"Equipada",
IF(
  OR(COUNTIFS(Equipar!B:B,4,Equipar!C:C,A909)
 +COUNTIFS(Equipar!B:B,4,Equipar!D:D,A909)
+COUNTIFS(Equipar!B:B,4,Equipar!E:E,A909)
+COUNTIFS(Equipar!B:B,4,Equipar!F:F,A909)
&gt;0,COUNTIF('Set recomendado'!B:B,C909)=0),
"Bloqueada",
"Desechable")),""
)</f>
        <v/>
      </c>
      <c r="J909" t="str" cm="1">
        <f t="array" aca="1" ref="J909" ca="1">IF(ISNUMBER(A909),IFERROR(_xlfn._xlws.FILTER(Equipar!A:A,(Equipar!B:B=4)*(Equipar!AC:AC=A909)),""),"")</f>
        <v/>
      </c>
    </row>
    <row r="910" spans="1:10" x14ac:dyDescent="0.25">
      <c r="A910" s="3" t="str">
        <f ca="1">IF(A909="ID",1,IF(ISBLANK(B910),"",MAX(A$2:A909)+1))</f>
        <v/>
      </c>
      <c r="I910" s="2" t="str">
        <f ca="1">IF(ISNUMBER(A910),
IF(COUNTIFS(Equipar!B:B,4,Equipar!AC:AC,A910),"Equipada",
IF(
  OR(COUNTIFS(Equipar!B:B,4,Equipar!C:C,A910)
 +COUNTIFS(Equipar!B:B,4,Equipar!D:D,A910)
+COUNTIFS(Equipar!B:B,4,Equipar!E:E,A910)
+COUNTIFS(Equipar!B:B,4,Equipar!F:F,A910)
&gt;0,COUNTIF('Set recomendado'!B:B,C910)=0),
"Bloqueada",
"Desechable")),""
)</f>
        <v/>
      </c>
      <c r="J910" t="str" cm="1">
        <f t="array" aca="1" ref="J910" ca="1">IF(ISNUMBER(A910),IFERROR(_xlfn._xlws.FILTER(Equipar!A:A,(Equipar!B:B=4)*(Equipar!AC:AC=A910)),""),"")</f>
        <v/>
      </c>
    </row>
    <row r="911" spans="1:10" x14ac:dyDescent="0.25">
      <c r="A911" s="3" t="str">
        <f ca="1">IF(A910="ID",1,IF(ISBLANK(B911),"",MAX(A$2:A910)+1))</f>
        <v/>
      </c>
      <c r="I911" s="2" t="str">
        <f ca="1">IF(ISNUMBER(A911),
IF(COUNTIFS(Equipar!B:B,4,Equipar!AC:AC,A911),"Equipada",
IF(
  OR(COUNTIFS(Equipar!B:B,4,Equipar!C:C,A911)
 +COUNTIFS(Equipar!B:B,4,Equipar!D:D,A911)
+COUNTIFS(Equipar!B:B,4,Equipar!E:E,A911)
+COUNTIFS(Equipar!B:B,4,Equipar!F:F,A911)
&gt;0,COUNTIF('Set recomendado'!B:B,C911)=0),
"Bloqueada",
"Desechable")),""
)</f>
        <v/>
      </c>
      <c r="J911" t="str" cm="1">
        <f t="array" aca="1" ref="J911" ca="1">IF(ISNUMBER(A911),IFERROR(_xlfn._xlws.FILTER(Equipar!A:A,(Equipar!B:B=4)*(Equipar!AC:AC=A911)),""),"")</f>
        <v/>
      </c>
    </row>
    <row r="912" spans="1:10" x14ac:dyDescent="0.25">
      <c r="A912" s="3" t="str">
        <f ca="1">IF(A911="ID",1,IF(ISBLANK(B912),"",MAX(A$2:A911)+1))</f>
        <v/>
      </c>
      <c r="I912" s="2" t="str">
        <f ca="1">IF(ISNUMBER(A912),
IF(COUNTIFS(Equipar!B:B,4,Equipar!AC:AC,A912),"Equipada",
IF(
  OR(COUNTIFS(Equipar!B:B,4,Equipar!C:C,A912)
 +COUNTIFS(Equipar!B:B,4,Equipar!D:D,A912)
+COUNTIFS(Equipar!B:B,4,Equipar!E:E,A912)
+COUNTIFS(Equipar!B:B,4,Equipar!F:F,A912)
&gt;0,COUNTIF('Set recomendado'!B:B,C912)=0),
"Bloqueada",
"Desechable")),""
)</f>
        <v/>
      </c>
      <c r="J912" t="str" cm="1">
        <f t="array" aca="1" ref="J912" ca="1">IF(ISNUMBER(A912),IFERROR(_xlfn._xlws.FILTER(Equipar!A:A,(Equipar!B:B=4)*(Equipar!AC:AC=A912)),""),"")</f>
        <v/>
      </c>
    </row>
    <row r="913" spans="1:10" x14ac:dyDescent="0.25">
      <c r="A913" s="3" t="str">
        <f ca="1">IF(A912="ID",1,IF(ISBLANK(B913),"",MAX(A$2:A912)+1))</f>
        <v/>
      </c>
      <c r="I913" s="2" t="str">
        <f ca="1">IF(ISNUMBER(A913),
IF(COUNTIFS(Equipar!B:B,4,Equipar!AC:AC,A913),"Equipada",
IF(
  OR(COUNTIFS(Equipar!B:B,4,Equipar!C:C,A913)
 +COUNTIFS(Equipar!B:B,4,Equipar!D:D,A913)
+COUNTIFS(Equipar!B:B,4,Equipar!E:E,A913)
+COUNTIFS(Equipar!B:B,4,Equipar!F:F,A913)
&gt;0,COUNTIF('Set recomendado'!B:B,C913)=0),
"Bloqueada",
"Desechable")),""
)</f>
        <v/>
      </c>
      <c r="J913" t="str" cm="1">
        <f t="array" aca="1" ref="J913" ca="1">IF(ISNUMBER(A913),IFERROR(_xlfn._xlws.FILTER(Equipar!A:A,(Equipar!B:B=4)*(Equipar!AC:AC=A913)),""),"")</f>
        <v/>
      </c>
    </row>
    <row r="914" spans="1:10" x14ac:dyDescent="0.25">
      <c r="A914" s="3" t="str">
        <f ca="1">IF(A913="ID",1,IF(ISBLANK(B914),"",MAX(A$2:A913)+1))</f>
        <v/>
      </c>
      <c r="I914" s="2" t="str">
        <f ca="1">IF(ISNUMBER(A914),
IF(COUNTIFS(Equipar!B:B,4,Equipar!AC:AC,A914),"Equipada",
IF(
  OR(COUNTIFS(Equipar!B:B,4,Equipar!C:C,A914)
 +COUNTIFS(Equipar!B:B,4,Equipar!D:D,A914)
+COUNTIFS(Equipar!B:B,4,Equipar!E:E,A914)
+COUNTIFS(Equipar!B:B,4,Equipar!F:F,A914)
&gt;0,COUNTIF('Set recomendado'!B:B,C914)=0),
"Bloqueada",
"Desechable")),""
)</f>
        <v/>
      </c>
      <c r="J914" t="str" cm="1">
        <f t="array" aca="1" ref="J914" ca="1">IF(ISNUMBER(A914),IFERROR(_xlfn._xlws.FILTER(Equipar!A:A,(Equipar!B:B=4)*(Equipar!AC:AC=A914)),""),"")</f>
        <v/>
      </c>
    </row>
    <row r="915" spans="1:10" x14ac:dyDescent="0.25">
      <c r="A915" s="3" t="str">
        <f ca="1">IF(A914="ID",1,IF(ISBLANK(B915),"",MAX(A$2:A914)+1))</f>
        <v/>
      </c>
      <c r="I915" s="2" t="str">
        <f ca="1">IF(ISNUMBER(A915),
IF(COUNTIFS(Equipar!B:B,4,Equipar!AC:AC,A915),"Equipada",
IF(
  OR(COUNTIFS(Equipar!B:B,4,Equipar!C:C,A915)
 +COUNTIFS(Equipar!B:B,4,Equipar!D:D,A915)
+COUNTIFS(Equipar!B:B,4,Equipar!E:E,A915)
+COUNTIFS(Equipar!B:B,4,Equipar!F:F,A915)
&gt;0,COUNTIF('Set recomendado'!B:B,C915)=0),
"Bloqueada",
"Desechable")),""
)</f>
        <v/>
      </c>
      <c r="J915" t="str" cm="1">
        <f t="array" aca="1" ref="J915" ca="1">IF(ISNUMBER(A915),IFERROR(_xlfn._xlws.FILTER(Equipar!A:A,(Equipar!B:B=4)*(Equipar!AC:AC=A915)),""),"")</f>
        <v/>
      </c>
    </row>
    <row r="916" spans="1:10" x14ac:dyDescent="0.25">
      <c r="A916" s="3" t="str">
        <f ca="1">IF(A915="ID",1,IF(ISBLANK(B916),"",MAX(A$2:A915)+1))</f>
        <v/>
      </c>
      <c r="I916" s="2" t="str">
        <f ca="1">IF(ISNUMBER(A916),
IF(COUNTIFS(Equipar!B:B,4,Equipar!AC:AC,A916),"Equipada",
IF(
  OR(COUNTIFS(Equipar!B:B,4,Equipar!C:C,A916)
 +COUNTIFS(Equipar!B:B,4,Equipar!D:D,A916)
+COUNTIFS(Equipar!B:B,4,Equipar!E:E,A916)
+COUNTIFS(Equipar!B:B,4,Equipar!F:F,A916)
&gt;0,COUNTIF('Set recomendado'!B:B,C916)=0),
"Bloqueada",
"Desechable")),""
)</f>
        <v/>
      </c>
      <c r="J916" t="str" cm="1">
        <f t="array" aca="1" ref="J916" ca="1">IF(ISNUMBER(A916),IFERROR(_xlfn._xlws.FILTER(Equipar!A:A,(Equipar!B:B=4)*(Equipar!AC:AC=A916)),""),"")</f>
        <v/>
      </c>
    </row>
    <row r="917" spans="1:10" x14ac:dyDescent="0.25">
      <c r="A917" s="3" t="str">
        <f ca="1">IF(A916="ID",1,IF(ISBLANK(B917),"",MAX(A$2:A916)+1))</f>
        <v/>
      </c>
      <c r="I917" s="2" t="str">
        <f ca="1">IF(ISNUMBER(A917),
IF(COUNTIFS(Equipar!B:B,4,Equipar!AC:AC,A917),"Equipada",
IF(
  OR(COUNTIFS(Equipar!B:B,4,Equipar!C:C,A917)
 +COUNTIFS(Equipar!B:B,4,Equipar!D:D,A917)
+COUNTIFS(Equipar!B:B,4,Equipar!E:E,A917)
+COUNTIFS(Equipar!B:B,4,Equipar!F:F,A917)
&gt;0,COUNTIF('Set recomendado'!B:B,C917)=0),
"Bloqueada",
"Desechable")),""
)</f>
        <v/>
      </c>
      <c r="J917" t="str" cm="1">
        <f t="array" aca="1" ref="J917" ca="1">IF(ISNUMBER(A917),IFERROR(_xlfn._xlws.FILTER(Equipar!A:A,(Equipar!B:B=4)*(Equipar!AC:AC=A917)),""),"")</f>
        <v/>
      </c>
    </row>
    <row r="918" spans="1:10" x14ac:dyDescent="0.25">
      <c r="A918" s="3" t="str">
        <f ca="1">IF(A917="ID",1,IF(ISBLANK(B918),"",MAX(A$2:A917)+1))</f>
        <v/>
      </c>
      <c r="I918" s="2" t="str">
        <f ca="1">IF(ISNUMBER(A918),
IF(COUNTIFS(Equipar!B:B,4,Equipar!AC:AC,A918),"Equipada",
IF(
  OR(COUNTIFS(Equipar!B:B,4,Equipar!C:C,A918)
 +COUNTIFS(Equipar!B:B,4,Equipar!D:D,A918)
+COUNTIFS(Equipar!B:B,4,Equipar!E:E,A918)
+COUNTIFS(Equipar!B:B,4,Equipar!F:F,A918)
&gt;0,COUNTIF('Set recomendado'!B:B,C918)=0),
"Bloqueada",
"Desechable")),""
)</f>
        <v/>
      </c>
      <c r="J918" t="str" cm="1">
        <f t="array" aca="1" ref="J918" ca="1">IF(ISNUMBER(A918),IFERROR(_xlfn._xlws.FILTER(Equipar!A:A,(Equipar!B:B=4)*(Equipar!AC:AC=A918)),""),"")</f>
        <v/>
      </c>
    </row>
    <row r="919" spans="1:10" x14ac:dyDescent="0.25">
      <c r="A919" s="3" t="str">
        <f ca="1">IF(A918="ID",1,IF(ISBLANK(B919),"",MAX(A$2:A918)+1))</f>
        <v/>
      </c>
      <c r="I919" s="2" t="str">
        <f ca="1">IF(ISNUMBER(A919),
IF(COUNTIFS(Equipar!B:B,4,Equipar!AC:AC,A919),"Equipada",
IF(
  OR(COUNTIFS(Equipar!B:B,4,Equipar!C:C,A919)
 +COUNTIFS(Equipar!B:B,4,Equipar!D:D,A919)
+COUNTIFS(Equipar!B:B,4,Equipar!E:E,A919)
+COUNTIFS(Equipar!B:B,4,Equipar!F:F,A919)
&gt;0,COUNTIF('Set recomendado'!B:B,C919)=0),
"Bloqueada",
"Desechable")),""
)</f>
        <v/>
      </c>
      <c r="J919" t="str" cm="1">
        <f t="array" aca="1" ref="J919" ca="1">IF(ISNUMBER(A919),IFERROR(_xlfn._xlws.FILTER(Equipar!A:A,(Equipar!B:B=4)*(Equipar!AC:AC=A919)),""),"")</f>
        <v/>
      </c>
    </row>
    <row r="920" spans="1:10" x14ac:dyDescent="0.25">
      <c r="A920" s="3" t="str">
        <f ca="1">IF(A919="ID",1,IF(ISBLANK(B920),"",MAX(A$2:A919)+1))</f>
        <v/>
      </c>
      <c r="I920" s="2" t="str">
        <f ca="1">IF(ISNUMBER(A920),
IF(COUNTIFS(Equipar!B:B,4,Equipar!AC:AC,A920),"Equipada",
IF(
  OR(COUNTIFS(Equipar!B:B,4,Equipar!C:C,A920)
 +COUNTIFS(Equipar!B:B,4,Equipar!D:D,A920)
+COUNTIFS(Equipar!B:B,4,Equipar!E:E,A920)
+COUNTIFS(Equipar!B:B,4,Equipar!F:F,A920)
&gt;0,COUNTIF('Set recomendado'!B:B,C920)=0),
"Bloqueada",
"Desechable")),""
)</f>
        <v/>
      </c>
      <c r="J920" t="str" cm="1">
        <f t="array" aca="1" ref="J920" ca="1">IF(ISNUMBER(A920),IFERROR(_xlfn._xlws.FILTER(Equipar!A:A,(Equipar!B:B=4)*(Equipar!AC:AC=A920)),""),"")</f>
        <v/>
      </c>
    </row>
    <row r="921" spans="1:10" x14ac:dyDescent="0.25">
      <c r="A921" s="3" t="str">
        <f ca="1">IF(A920="ID",1,IF(ISBLANK(B921),"",MAX(A$2:A920)+1))</f>
        <v/>
      </c>
      <c r="I921" s="2" t="str">
        <f ca="1">IF(ISNUMBER(A921),
IF(COUNTIFS(Equipar!B:B,4,Equipar!AC:AC,A921),"Equipada",
IF(
  OR(COUNTIFS(Equipar!B:B,4,Equipar!C:C,A921)
 +COUNTIFS(Equipar!B:B,4,Equipar!D:D,A921)
+COUNTIFS(Equipar!B:B,4,Equipar!E:E,A921)
+COUNTIFS(Equipar!B:B,4,Equipar!F:F,A921)
&gt;0,COUNTIF('Set recomendado'!B:B,C921)=0),
"Bloqueada",
"Desechable")),""
)</f>
        <v/>
      </c>
      <c r="J921" t="str" cm="1">
        <f t="array" aca="1" ref="J921" ca="1">IF(ISNUMBER(A921),IFERROR(_xlfn._xlws.FILTER(Equipar!A:A,(Equipar!B:B=4)*(Equipar!AC:AC=A921)),""),"")</f>
        <v/>
      </c>
    </row>
    <row r="922" spans="1:10" x14ac:dyDescent="0.25">
      <c r="A922" s="3" t="str">
        <f ca="1">IF(A921="ID",1,IF(ISBLANK(B922),"",MAX(A$2:A921)+1))</f>
        <v/>
      </c>
      <c r="I922" s="2" t="str">
        <f ca="1">IF(ISNUMBER(A922),
IF(COUNTIFS(Equipar!B:B,4,Equipar!AC:AC,A922),"Equipada",
IF(
  OR(COUNTIFS(Equipar!B:B,4,Equipar!C:C,A922)
 +COUNTIFS(Equipar!B:B,4,Equipar!D:D,A922)
+COUNTIFS(Equipar!B:B,4,Equipar!E:E,A922)
+COUNTIFS(Equipar!B:B,4,Equipar!F:F,A922)
&gt;0,COUNTIF('Set recomendado'!B:B,C922)=0),
"Bloqueada",
"Desechable")),""
)</f>
        <v/>
      </c>
      <c r="J922" t="str" cm="1">
        <f t="array" aca="1" ref="J922" ca="1">IF(ISNUMBER(A922),IFERROR(_xlfn._xlws.FILTER(Equipar!A:A,(Equipar!B:B=4)*(Equipar!AC:AC=A922)),""),"")</f>
        <v/>
      </c>
    </row>
    <row r="923" spans="1:10" x14ac:dyDescent="0.25">
      <c r="A923" s="3" t="str">
        <f ca="1">IF(A922="ID",1,IF(ISBLANK(B923),"",MAX(A$2:A922)+1))</f>
        <v/>
      </c>
      <c r="I923" s="2" t="str">
        <f ca="1">IF(ISNUMBER(A923),
IF(COUNTIFS(Equipar!B:B,4,Equipar!AC:AC,A923),"Equipada",
IF(
  OR(COUNTIFS(Equipar!B:B,4,Equipar!C:C,A923)
 +COUNTIFS(Equipar!B:B,4,Equipar!D:D,A923)
+COUNTIFS(Equipar!B:B,4,Equipar!E:E,A923)
+COUNTIFS(Equipar!B:B,4,Equipar!F:F,A923)
&gt;0,COUNTIF('Set recomendado'!B:B,C923)=0),
"Bloqueada",
"Desechable")),""
)</f>
        <v/>
      </c>
      <c r="J923" t="str" cm="1">
        <f t="array" aca="1" ref="J923" ca="1">IF(ISNUMBER(A923),IFERROR(_xlfn._xlws.FILTER(Equipar!A:A,(Equipar!B:B=4)*(Equipar!AC:AC=A923)),""),"")</f>
        <v/>
      </c>
    </row>
    <row r="924" spans="1:10" x14ac:dyDescent="0.25">
      <c r="A924" s="3" t="str">
        <f ca="1">IF(A923="ID",1,IF(ISBLANK(B924),"",MAX(A$2:A923)+1))</f>
        <v/>
      </c>
      <c r="I924" s="2" t="str">
        <f ca="1">IF(ISNUMBER(A924),
IF(COUNTIFS(Equipar!B:B,4,Equipar!AC:AC,A924),"Equipada",
IF(
  OR(COUNTIFS(Equipar!B:B,4,Equipar!C:C,A924)
 +COUNTIFS(Equipar!B:B,4,Equipar!D:D,A924)
+COUNTIFS(Equipar!B:B,4,Equipar!E:E,A924)
+COUNTIFS(Equipar!B:B,4,Equipar!F:F,A924)
&gt;0,COUNTIF('Set recomendado'!B:B,C924)=0),
"Bloqueada",
"Desechable")),""
)</f>
        <v/>
      </c>
      <c r="J924" t="str" cm="1">
        <f t="array" aca="1" ref="J924" ca="1">IF(ISNUMBER(A924),IFERROR(_xlfn._xlws.FILTER(Equipar!A:A,(Equipar!B:B=4)*(Equipar!AC:AC=A924)),""),"")</f>
        <v/>
      </c>
    </row>
    <row r="925" spans="1:10" x14ac:dyDescent="0.25">
      <c r="A925" s="3" t="str">
        <f ca="1">IF(A924="ID",1,IF(ISBLANK(B925),"",MAX(A$2:A924)+1))</f>
        <v/>
      </c>
      <c r="I925" s="2" t="str">
        <f ca="1">IF(ISNUMBER(A925),
IF(COUNTIFS(Equipar!B:B,4,Equipar!AC:AC,A925),"Equipada",
IF(
  OR(COUNTIFS(Equipar!B:B,4,Equipar!C:C,A925)
 +COUNTIFS(Equipar!B:B,4,Equipar!D:D,A925)
+COUNTIFS(Equipar!B:B,4,Equipar!E:E,A925)
+COUNTIFS(Equipar!B:B,4,Equipar!F:F,A925)
&gt;0,COUNTIF('Set recomendado'!B:B,C925)=0),
"Bloqueada",
"Desechable")),""
)</f>
        <v/>
      </c>
      <c r="J925" t="str" cm="1">
        <f t="array" aca="1" ref="J925" ca="1">IF(ISNUMBER(A925),IFERROR(_xlfn._xlws.FILTER(Equipar!A:A,(Equipar!B:B=4)*(Equipar!AC:AC=A925)),""),"")</f>
        <v/>
      </c>
    </row>
    <row r="926" spans="1:10" x14ac:dyDescent="0.25">
      <c r="A926" s="3" t="str">
        <f ca="1">IF(A925="ID",1,IF(ISBLANK(B926),"",MAX(A$2:A925)+1))</f>
        <v/>
      </c>
      <c r="I926" s="2" t="str">
        <f ca="1">IF(ISNUMBER(A926),
IF(COUNTIFS(Equipar!B:B,4,Equipar!AC:AC,A926),"Equipada",
IF(
  OR(COUNTIFS(Equipar!B:B,4,Equipar!C:C,A926)
 +COUNTIFS(Equipar!B:B,4,Equipar!D:D,A926)
+COUNTIFS(Equipar!B:B,4,Equipar!E:E,A926)
+COUNTIFS(Equipar!B:B,4,Equipar!F:F,A926)
&gt;0,COUNTIF('Set recomendado'!B:B,C926)=0),
"Bloqueada",
"Desechable")),""
)</f>
        <v/>
      </c>
      <c r="J926" t="str" cm="1">
        <f t="array" aca="1" ref="J926" ca="1">IF(ISNUMBER(A926),IFERROR(_xlfn._xlws.FILTER(Equipar!A:A,(Equipar!B:B=4)*(Equipar!AC:AC=A926)),""),"")</f>
        <v/>
      </c>
    </row>
    <row r="927" spans="1:10" x14ac:dyDescent="0.25">
      <c r="A927" s="3" t="str">
        <f ca="1">IF(A926="ID",1,IF(ISBLANK(B927),"",MAX(A$2:A926)+1))</f>
        <v/>
      </c>
      <c r="I927" s="2" t="str">
        <f ca="1">IF(ISNUMBER(A927),
IF(COUNTIFS(Equipar!B:B,4,Equipar!AC:AC,A927),"Equipada",
IF(
  OR(COUNTIFS(Equipar!B:B,4,Equipar!C:C,A927)
 +COUNTIFS(Equipar!B:B,4,Equipar!D:D,A927)
+COUNTIFS(Equipar!B:B,4,Equipar!E:E,A927)
+COUNTIFS(Equipar!B:B,4,Equipar!F:F,A927)
&gt;0,COUNTIF('Set recomendado'!B:B,C927)=0),
"Bloqueada",
"Desechable")),""
)</f>
        <v/>
      </c>
      <c r="J927" t="str" cm="1">
        <f t="array" aca="1" ref="J927" ca="1">IF(ISNUMBER(A927),IFERROR(_xlfn._xlws.FILTER(Equipar!A:A,(Equipar!B:B=4)*(Equipar!AC:AC=A927)),""),"")</f>
        <v/>
      </c>
    </row>
    <row r="928" spans="1:10" x14ac:dyDescent="0.25">
      <c r="A928" s="3" t="str">
        <f ca="1">IF(A927="ID",1,IF(ISBLANK(B928),"",MAX(A$2:A927)+1))</f>
        <v/>
      </c>
      <c r="I928" s="2" t="str">
        <f ca="1">IF(ISNUMBER(A928),
IF(COUNTIFS(Equipar!B:B,4,Equipar!AC:AC,A928),"Equipada",
IF(
  OR(COUNTIFS(Equipar!B:B,4,Equipar!C:C,A928)
 +COUNTIFS(Equipar!B:B,4,Equipar!D:D,A928)
+COUNTIFS(Equipar!B:B,4,Equipar!E:E,A928)
+COUNTIFS(Equipar!B:B,4,Equipar!F:F,A928)
&gt;0,COUNTIF('Set recomendado'!B:B,C928)=0),
"Bloqueada",
"Desechable")),""
)</f>
        <v/>
      </c>
      <c r="J928" t="str" cm="1">
        <f t="array" aca="1" ref="J928" ca="1">IF(ISNUMBER(A928),IFERROR(_xlfn._xlws.FILTER(Equipar!A:A,(Equipar!B:B=4)*(Equipar!AC:AC=A928)),""),"")</f>
        <v/>
      </c>
    </row>
    <row r="929" spans="1:10" x14ac:dyDescent="0.25">
      <c r="A929" s="3" t="str">
        <f ca="1">IF(A928="ID",1,IF(ISBLANK(B929),"",MAX(A$2:A928)+1))</f>
        <v/>
      </c>
      <c r="I929" s="2" t="str">
        <f ca="1">IF(ISNUMBER(A929),
IF(COUNTIFS(Equipar!B:B,4,Equipar!AC:AC,A929),"Equipada",
IF(
  OR(COUNTIFS(Equipar!B:B,4,Equipar!C:C,A929)
 +COUNTIFS(Equipar!B:B,4,Equipar!D:D,A929)
+COUNTIFS(Equipar!B:B,4,Equipar!E:E,A929)
+COUNTIFS(Equipar!B:B,4,Equipar!F:F,A929)
&gt;0,COUNTIF('Set recomendado'!B:B,C929)=0),
"Bloqueada",
"Desechable")),""
)</f>
        <v/>
      </c>
      <c r="J929" t="str" cm="1">
        <f t="array" aca="1" ref="J929" ca="1">IF(ISNUMBER(A929),IFERROR(_xlfn._xlws.FILTER(Equipar!A:A,(Equipar!B:B=4)*(Equipar!AC:AC=A929)),""),"")</f>
        <v/>
      </c>
    </row>
    <row r="930" spans="1:10" x14ac:dyDescent="0.25">
      <c r="A930" s="3" t="str">
        <f ca="1">IF(A929="ID",1,IF(ISBLANK(B930),"",MAX(A$2:A929)+1))</f>
        <v/>
      </c>
      <c r="I930" s="2" t="str">
        <f ca="1">IF(ISNUMBER(A930),
IF(COUNTIFS(Equipar!B:B,4,Equipar!AC:AC,A930),"Equipada",
IF(
  OR(COUNTIFS(Equipar!B:B,4,Equipar!C:C,A930)
 +COUNTIFS(Equipar!B:B,4,Equipar!D:D,A930)
+COUNTIFS(Equipar!B:B,4,Equipar!E:E,A930)
+COUNTIFS(Equipar!B:B,4,Equipar!F:F,A930)
&gt;0,COUNTIF('Set recomendado'!B:B,C930)=0),
"Bloqueada",
"Desechable")),""
)</f>
        <v/>
      </c>
      <c r="J930" t="str" cm="1">
        <f t="array" aca="1" ref="J930" ca="1">IF(ISNUMBER(A930),IFERROR(_xlfn._xlws.FILTER(Equipar!A:A,(Equipar!B:B=4)*(Equipar!AC:AC=A930)),""),"")</f>
        <v/>
      </c>
    </row>
    <row r="931" spans="1:10" x14ac:dyDescent="0.25">
      <c r="A931" s="3" t="str">
        <f ca="1">IF(A930="ID",1,IF(ISBLANK(B931),"",MAX(A$2:A930)+1))</f>
        <v/>
      </c>
      <c r="I931" s="2" t="str">
        <f ca="1">IF(ISNUMBER(A931),
IF(COUNTIFS(Equipar!B:B,4,Equipar!AC:AC,A931),"Equipada",
IF(
  OR(COUNTIFS(Equipar!B:B,4,Equipar!C:C,A931)
 +COUNTIFS(Equipar!B:B,4,Equipar!D:D,A931)
+COUNTIFS(Equipar!B:B,4,Equipar!E:E,A931)
+COUNTIFS(Equipar!B:B,4,Equipar!F:F,A931)
&gt;0,COUNTIF('Set recomendado'!B:B,C931)=0),
"Bloqueada",
"Desechable")),""
)</f>
        <v/>
      </c>
      <c r="J931" t="str" cm="1">
        <f t="array" aca="1" ref="J931" ca="1">IF(ISNUMBER(A931),IFERROR(_xlfn._xlws.FILTER(Equipar!A:A,(Equipar!B:B=4)*(Equipar!AC:AC=A931)),""),"")</f>
        <v/>
      </c>
    </row>
    <row r="932" spans="1:10" x14ac:dyDescent="0.25">
      <c r="A932" s="3" t="str">
        <f ca="1">IF(A931="ID",1,IF(ISBLANK(B932),"",MAX(A$2:A931)+1))</f>
        <v/>
      </c>
      <c r="I932" s="2" t="str">
        <f ca="1">IF(ISNUMBER(A932),
IF(COUNTIFS(Equipar!B:B,4,Equipar!AC:AC,A932),"Equipada",
IF(
  OR(COUNTIFS(Equipar!B:B,4,Equipar!C:C,A932)
 +COUNTIFS(Equipar!B:B,4,Equipar!D:D,A932)
+COUNTIFS(Equipar!B:B,4,Equipar!E:E,A932)
+COUNTIFS(Equipar!B:B,4,Equipar!F:F,A932)
&gt;0,COUNTIF('Set recomendado'!B:B,C932)=0),
"Bloqueada",
"Desechable")),""
)</f>
        <v/>
      </c>
      <c r="J932" t="str" cm="1">
        <f t="array" aca="1" ref="J932" ca="1">IF(ISNUMBER(A932),IFERROR(_xlfn._xlws.FILTER(Equipar!A:A,(Equipar!B:B=4)*(Equipar!AC:AC=A932)),""),"")</f>
        <v/>
      </c>
    </row>
    <row r="933" spans="1:10" x14ac:dyDescent="0.25">
      <c r="A933" s="3" t="str">
        <f ca="1">IF(A932="ID",1,IF(ISBLANK(B933),"",MAX(A$2:A932)+1))</f>
        <v/>
      </c>
      <c r="I933" s="2" t="str">
        <f ca="1">IF(ISNUMBER(A933),
IF(COUNTIFS(Equipar!B:B,4,Equipar!AC:AC,A933),"Equipada",
IF(
  OR(COUNTIFS(Equipar!B:B,4,Equipar!C:C,A933)
 +COUNTIFS(Equipar!B:B,4,Equipar!D:D,A933)
+COUNTIFS(Equipar!B:B,4,Equipar!E:E,A933)
+COUNTIFS(Equipar!B:B,4,Equipar!F:F,A933)
&gt;0,COUNTIF('Set recomendado'!B:B,C933)=0),
"Bloqueada",
"Desechable")),""
)</f>
        <v/>
      </c>
      <c r="J933" t="str" cm="1">
        <f t="array" aca="1" ref="J933" ca="1">IF(ISNUMBER(A933),IFERROR(_xlfn._xlws.FILTER(Equipar!A:A,(Equipar!B:B=4)*(Equipar!AC:AC=A933)),""),"")</f>
        <v/>
      </c>
    </row>
    <row r="934" spans="1:10" x14ac:dyDescent="0.25">
      <c r="A934" s="3" t="str">
        <f ca="1">IF(A933="ID",1,IF(ISBLANK(B934),"",MAX(A$2:A933)+1))</f>
        <v/>
      </c>
      <c r="I934" s="2" t="str">
        <f ca="1">IF(ISNUMBER(A934),
IF(COUNTIFS(Equipar!B:B,4,Equipar!AC:AC,A934),"Equipada",
IF(
  OR(COUNTIFS(Equipar!B:B,4,Equipar!C:C,A934)
 +COUNTIFS(Equipar!B:B,4,Equipar!D:D,A934)
+COUNTIFS(Equipar!B:B,4,Equipar!E:E,A934)
+COUNTIFS(Equipar!B:B,4,Equipar!F:F,A934)
&gt;0,COUNTIF('Set recomendado'!B:B,C934)=0),
"Bloqueada",
"Desechable")),""
)</f>
        <v/>
      </c>
      <c r="J934" t="str" cm="1">
        <f t="array" aca="1" ref="J934" ca="1">IF(ISNUMBER(A934),IFERROR(_xlfn._xlws.FILTER(Equipar!A:A,(Equipar!B:B=4)*(Equipar!AC:AC=A934)),""),"")</f>
        <v/>
      </c>
    </row>
    <row r="935" spans="1:10" x14ac:dyDescent="0.25">
      <c r="A935" s="3" t="str">
        <f ca="1">IF(A934="ID",1,IF(ISBLANK(B935),"",MAX(A$2:A934)+1))</f>
        <v/>
      </c>
      <c r="I935" s="2" t="str">
        <f ca="1">IF(ISNUMBER(A935),
IF(COUNTIFS(Equipar!B:B,4,Equipar!AC:AC,A935),"Equipada",
IF(
  OR(COUNTIFS(Equipar!B:B,4,Equipar!C:C,A935)
 +COUNTIFS(Equipar!B:B,4,Equipar!D:D,A935)
+COUNTIFS(Equipar!B:B,4,Equipar!E:E,A935)
+COUNTIFS(Equipar!B:B,4,Equipar!F:F,A935)
&gt;0,COUNTIF('Set recomendado'!B:B,C935)=0),
"Bloqueada",
"Desechable")),""
)</f>
        <v/>
      </c>
      <c r="J935" t="str" cm="1">
        <f t="array" aca="1" ref="J935" ca="1">IF(ISNUMBER(A935),IFERROR(_xlfn._xlws.FILTER(Equipar!A:A,(Equipar!B:B=4)*(Equipar!AC:AC=A935)),""),"")</f>
        <v/>
      </c>
    </row>
    <row r="936" spans="1:10" x14ac:dyDescent="0.25">
      <c r="A936" s="3" t="str">
        <f ca="1">IF(A935="ID",1,IF(ISBLANK(B936),"",MAX(A$2:A935)+1))</f>
        <v/>
      </c>
      <c r="I936" s="2" t="str">
        <f ca="1">IF(ISNUMBER(A936),
IF(COUNTIFS(Equipar!B:B,4,Equipar!AC:AC,A936),"Equipada",
IF(
  OR(COUNTIFS(Equipar!B:B,4,Equipar!C:C,A936)
 +COUNTIFS(Equipar!B:B,4,Equipar!D:D,A936)
+COUNTIFS(Equipar!B:B,4,Equipar!E:E,A936)
+COUNTIFS(Equipar!B:B,4,Equipar!F:F,A936)
&gt;0,COUNTIF('Set recomendado'!B:B,C936)=0),
"Bloqueada",
"Desechable")),""
)</f>
        <v/>
      </c>
      <c r="J936" t="str" cm="1">
        <f t="array" aca="1" ref="J936" ca="1">IF(ISNUMBER(A936),IFERROR(_xlfn._xlws.FILTER(Equipar!A:A,(Equipar!B:B=4)*(Equipar!AC:AC=A936)),""),"")</f>
        <v/>
      </c>
    </row>
    <row r="937" spans="1:10" x14ac:dyDescent="0.25">
      <c r="A937" s="3" t="str">
        <f ca="1">IF(A936="ID",1,IF(ISBLANK(B937),"",MAX(A$2:A936)+1))</f>
        <v/>
      </c>
      <c r="I937" s="2" t="str">
        <f ca="1">IF(ISNUMBER(A937),
IF(COUNTIFS(Equipar!B:B,4,Equipar!AC:AC,A937),"Equipada",
IF(
  OR(COUNTIFS(Equipar!B:B,4,Equipar!C:C,A937)
 +COUNTIFS(Equipar!B:B,4,Equipar!D:D,A937)
+COUNTIFS(Equipar!B:B,4,Equipar!E:E,A937)
+COUNTIFS(Equipar!B:B,4,Equipar!F:F,A937)
&gt;0,COUNTIF('Set recomendado'!B:B,C937)=0),
"Bloqueada",
"Desechable")),""
)</f>
        <v/>
      </c>
      <c r="J937" t="str" cm="1">
        <f t="array" aca="1" ref="J937" ca="1">IF(ISNUMBER(A937),IFERROR(_xlfn._xlws.FILTER(Equipar!A:A,(Equipar!B:B=4)*(Equipar!AC:AC=A937)),""),"")</f>
        <v/>
      </c>
    </row>
    <row r="938" spans="1:10" x14ac:dyDescent="0.25">
      <c r="A938" s="3" t="str">
        <f ca="1">IF(A937="ID",1,IF(ISBLANK(B938),"",MAX(A$2:A937)+1))</f>
        <v/>
      </c>
      <c r="I938" s="2" t="str">
        <f ca="1">IF(ISNUMBER(A938),
IF(COUNTIFS(Equipar!B:B,4,Equipar!AC:AC,A938),"Equipada",
IF(
  OR(COUNTIFS(Equipar!B:B,4,Equipar!C:C,A938)
 +COUNTIFS(Equipar!B:B,4,Equipar!D:D,A938)
+COUNTIFS(Equipar!B:B,4,Equipar!E:E,A938)
+COUNTIFS(Equipar!B:B,4,Equipar!F:F,A938)
&gt;0,COUNTIF('Set recomendado'!B:B,C938)=0),
"Bloqueada",
"Desechable")),""
)</f>
        <v/>
      </c>
      <c r="J938" t="str" cm="1">
        <f t="array" aca="1" ref="J938" ca="1">IF(ISNUMBER(A938),IFERROR(_xlfn._xlws.FILTER(Equipar!A:A,(Equipar!B:B=4)*(Equipar!AC:AC=A938)),""),"")</f>
        <v/>
      </c>
    </row>
    <row r="939" spans="1:10" x14ac:dyDescent="0.25">
      <c r="A939" s="3" t="str">
        <f ca="1">IF(A938="ID",1,IF(ISBLANK(B939),"",MAX(A$2:A938)+1))</f>
        <v/>
      </c>
      <c r="I939" s="2" t="str">
        <f ca="1">IF(ISNUMBER(A939),
IF(COUNTIFS(Equipar!B:B,4,Equipar!AC:AC,A939),"Equipada",
IF(
  OR(COUNTIFS(Equipar!B:B,4,Equipar!C:C,A939)
 +COUNTIFS(Equipar!B:B,4,Equipar!D:D,A939)
+COUNTIFS(Equipar!B:B,4,Equipar!E:E,A939)
+COUNTIFS(Equipar!B:B,4,Equipar!F:F,A939)
&gt;0,COUNTIF('Set recomendado'!B:B,C939)=0),
"Bloqueada",
"Desechable")),""
)</f>
        <v/>
      </c>
      <c r="J939" t="str" cm="1">
        <f t="array" aca="1" ref="J939" ca="1">IF(ISNUMBER(A939),IFERROR(_xlfn._xlws.FILTER(Equipar!A:A,(Equipar!B:B=4)*(Equipar!AC:AC=A939)),""),"")</f>
        <v/>
      </c>
    </row>
    <row r="940" spans="1:10" x14ac:dyDescent="0.25">
      <c r="A940" s="3" t="str">
        <f ca="1">IF(A939="ID",1,IF(ISBLANK(B940),"",MAX(A$2:A939)+1))</f>
        <v/>
      </c>
      <c r="I940" s="2" t="str">
        <f ca="1">IF(ISNUMBER(A940),
IF(COUNTIFS(Equipar!B:B,4,Equipar!AC:AC,A940),"Equipada",
IF(
  OR(COUNTIFS(Equipar!B:B,4,Equipar!C:C,A940)
 +COUNTIFS(Equipar!B:B,4,Equipar!D:D,A940)
+COUNTIFS(Equipar!B:B,4,Equipar!E:E,A940)
+COUNTIFS(Equipar!B:B,4,Equipar!F:F,A940)
&gt;0,COUNTIF('Set recomendado'!B:B,C940)=0),
"Bloqueada",
"Desechable")),""
)</f>
        <v/>
      </c>
      <c r="J940" t="str" cm="1">
        <f t="array" aca="1" ref="J940" ca="1">IF(ISNUMBER(A940),IFERROR(_xlfn._xlws.FILTER(Equipar!A:A,(Equipar!B:B=4)*(Equipar!AC:AC=A940)),""),"")</f>
        <v/>
      </c>
    </row>
    <row r="941" spans="1:10" x14ac:dyDescent="0.25">
      <c r="A941" s="3" t="str">
        <f ca="1">IF(A940="ID",1,IF(ISBLANK(B941),"",MAX(A$2:A940)+1))</f>
        <v/>
      </c>
      <c r="I941" s="2" t="str">
        <f ca="1">IF(ISNUMBER(A941),
IF(COUNTIFS(Equipar!B:B,4,Equipar!AC:AC,A941),"Equipada",
IF(
  OR(COUNTIFS(Equipar!B:B,4,Equipar!C:C,A941)
 +COUNTIFS(Equipar!B:B,4,Equipar!D:D,A941)
+COUNTIFS(Equipar!B:B,4,Equipar!E:E,A941)
+COUNTIFS(Equipar!B:B,4,Equipar!F:F,A941)
&gt;0,COUNTIF('Set recomendado'!B:B,C941)=0),
"Bloqueada",
"Desechable")),""
)</f>
        <v/>
      </c>
      <c r="J941" t="str" cm="1">
        <f t="array" aca="1" ref="J941" ca="1">IF(ISNUMBER(A941),IFERROR(_xlfn._xlws.FILTER(Equipar!A:A,(Equipar!B:B=4)*(Equipar!AC:AC=A941)),""),"")</f>
        <v/>
      </c>
    </row>
    <row r="942" spans="1:10" x14ac:dyDescent="0.25">
      <c r="A942" s="3" t="str">
        <f ca="1">IF(A941="ID",1,IF(ISBLANK(B942),"",MAX(A$2:A941)+1))</f>
        <v/>
      </c>
      <c r="I942" s="2" t="str">
        <f ca="1">IF(ISNUMBER(A942),
IF(COUNTIFS(Equipar!B:B,4,Equipar!AC:AC,A942),"Equipada",
IF(
  OR(COUNTIFS(Equipar!B:B,4,Equipar!C:C,A942)
 +COUNTIFS(Equipar!B:B,4,Equipar!D:D,A942)
+COUNTIFS(Equipar!B:B,4,Equipar!E:E,A942)
+COUNTIFS(Equipar!B:B,4,Equipar!F:F,A942)
&gt;0,COUNTIF('Set recomendado'!B:B,C942)=0),
"Bloqueada",
"Desechable")),""
)</f>
        <v/>
      </c>
      <c r="J942" t="str" cm="1">
        <f t="array" aca="1" ref="J942" ca="1">IF(ISNUMBER(A942),IFERROR(_xlfn._xlws.FILTER(Equipar!A:A,(Equipar!B:B=4)*(Equipar!AC:AC=A942)),""),"")</f>
        <v/>
      </c>
    </row>
    <row r="943" spans="1:10" x14ac:dyDescent="0.25">
      <c r="A943" s="3" t="str">
        <f ca="1">IF(A942="ID",1,IF(ISBLANK(B943),"",MAX(A$2:A942)+1))</f>
        <v/>
      </c>
      <c r="I943" s="2" t="str">
        <f ca="1">IF(ISNUMBER(A943),
IF(COUNTIFS(Equipar!B:B,4,Equipar!AC:AC,A943),"Equipada",
IF(
  OR(COUNTIFS(Equipar!B:B,4,Equipar!C:C,A943)
 +COUNTIFS(Equipar!B:B,4,Equipar!D:D,A943)
+COUNTIFS(Equipar!B:B,4,Equipar!E:E,A943)
+COUNTIFS(Equipar!B:B,4,Equipar!F:F,A943)
&gt;0,COUNTIF('Set recomendado'!B:B,C943)=0),
"Bloqueada",
"Desechable")),""
)</f>
        <v/>
      </c>
      <c r="J943" t="str" cm="1">
        <f t="array" aca="1" ref="J943" ca="1">IF(ISNUMBER(A943),IFERROR(_xlfn._xlws.FILTER(Equipar!A:A,(Equipar!B:B=4)*(Equipar!AC:AC=A943)),""),"")</f>
        <v/>
      </c>
    </row>
    <row r="944" spans="1:10" x14ac:dyDescent="0.25">
      <c r="A944" s="3" t="str">
        <f ca="1">IF(A943="ID",1,IF(ISBLANK(B944),"",MAX(A$2:A943)+1))</f>
        <v/>
      </c>
      <c r="I944" s="2" t="str">
        <f ca="1">IF(ISNUMBER(A944),
IF(COUNTIFS(Equipar!B:B,4,Equipar!AC:AC,A944),"Equipada",
IF(
  OR(COUNTIFS(Equipar!B:B,4,Equipar!C:C,A944)
 +COUNTIFS(Equipar!B:B,4,Equipar!D:D,A944)
+COUNTIFS(Equipar!B:B,4,Equipar!E:E,A944)
+COUNTIFS(Equipar!B:B,4,Equipar!F:F,A944)
&gt;0,COUNTIF('Set recomendado'!B:B,C944)=0),
"Bloqueada",
"Desechable")),""
)</f>
        <v/>
      </c>
      <c r="J944" t="str" cm="1">
        <f t="array" aca="1" ref="J944" ca="1">IF(ISNUMBER(A944),IFERROR(_xlfn._xlws.FILTER(Equipar!A:A,(Equipar!B:B=4)*(Equipar!AC:AC=A944)),""),"")</f>
        <v/>
      </c>
    </row>
    <row r="945" spans="1:10" x14ac:dyDescent="0.25">
      <c r="A945" s="3" t="str">
        <f ca="1">IF(A944="ID",1,IF(ISBLANK(B945),"",MAX(A$2:A944)+1))</f>
        <v/>
      </c>
      <c r="I945" s="2" t="str">
        <f ca="1">IF(ISNUMBER(A945),
IF(COUNTIFS(Equipar!B:B,4,Equipar!AC:AC,A945),"Equipada",
IF(
  OR(COUNTIFS(Equipar!B:B,4,Equipar!C:C,A945)
 +COUNTIFS(Equipar!B:B,4,Equipar!D:D,A945)
+COUNTIFS(Equipar!B:B,4,Equipar!E:E,A945)
+COUNTIFS(Equipar!B:B,4,Equipar!F:F,A945)
&gt;0,COUNTIF('Set recomendado'!B:B,C945)=0),
"Bloqueada",
"Desechable")),""
)</f>
        <v/>
      </c>
      <c r="J945" t="str" cm="1">
        <f t="array" aca="1" ref="J945" ca="1">IF(ISNUMBER(A945),IFERROR(_xlfn._xlws.FILTER(Equipar!A:A,(Equipar!B:B=4)*(Equipar!AC:AC=A945)),""),"")</f>
        <v/>
      </c>
    </row>
    <row r="946" spans="1:10" x14ac:dyDescent="0.25">
      <c r="A946" s="3" t="str">
        <f ca="1">IF(A945="ID",1,IF(ISBLANK(B946),"",MAX(A$2:A945)+1))</f>
        <v/>
      </c>
      <c r="I946" s="2" t="str">
        <f ca="1">IF(ISNUMBER(A946),
IF(COUNTIFS(Equipar!B:B,4,Equipar!AC:AC,A946),"Equipada",
IF(
  OR(COUNTIFS(Equipar!B:B,4,Equipar!C:C,A946)
 +COUNTIFS(Equipar!B:B,4,Equipar!D:D,A946)
+COUNTIFS(Equipar!B:B,4,Equipar!E:E,A946)
+COUNTIFS(Equipar!B:B,4,Equipar!F:F,A946)
&gt;0,COUNTIF('Set recomendado'!B:B,C946)=0),
"Bloqueada",
"Desechable")),""
)</f>
        <v/>
      </c>
      <c r="J946" t="str" cm="1">
        <f t="array" aca="1" ref="J946" ca="1">IF(ISNUMBER(A946),IFERROR(_xlfn._xlws.FILTER(Equipar!A:A,(Equipar!B:B=4)*(Equipar!AC:AC=A946)),""),"")</f>
        <v/>
      </c>
    </row>
    <row r="947" spans="1:10" x14ac:dyDescent="0.25">
      <c r="A947" s="3" t="str">
        <f ca="1">IF(A946="ID",1,IF(ISBLANK(B947),"",MAX(A$2:A946)+1))</f>
        <v/>
      </c>
      <c r="I947" s="2" t="str">
        <f ca="1">IF(ISNUMBER(A947),
IF(COUNTIFS(Equipar!B:B,4,Equipar!AC:AC,A947),"Equipada",
IF(
  OR(COUNTIFS(Equipar!B:B,4,Equipar!C:C,A947)
 +COUNTIFS(Equipar!B:B,4,Equipar!D:D,A947)
+COUNTIFS(Equipar!B:B,4,Equipar!E:E,A947)
+COUNTIFS(Equipar!B:B,4,Equipar!F:F,A947)
&gt;0,COUNTIF('Set recomendado'!B:B,C947)=0),
"Bloqueada",
"Desechable")),""
)</f>
        <v/>
      </c>
      <c r="J947" t="str" cm="1">
        <f t="array" aca="1" ref="J947" ca="1">IF(ISNUMBER(A947),IFERROR(_xlfn._xlws.FILTER(Equipar!A:A,(Equipar!B:B=4)*(Equipar!AC:AC=A947)),""),"")</f>
        <v/>
      </c>
    </row>
    <row r="948" spans="1:10" x14ac:dyDescent="0.25">
      <c r="A948" s="3" t="str">
        <f ca="1">IF(A947="ID",1,IF(ISBLANK(B948),"",MAX(A$2:A947)+1))</f>
        <v/>
      </c>
      <c r="I948" s="2" t="str">
        <f ca="1">IF(ISNUMBER(A948),
IF(COUNTIFS(Equipar!B:B,4,Equipar!AC:AC,A948),"Equipada",
IF(
  OR(COUNTIFS(Equipar!B:B,4,Equipar!C:C,A948)
 +COUNTIFS(Equipar!B:B,4,Equipar!D:D,A948)
+COUNTIFS(Equipar!B:B,4,Equipar!E:E,A948)
+COUNTIFS(Equipar!B:B,4,Equipar!F:F,A948)
&gt;0,COUNTIF('Set recomendado'!B:B,C948)=0),
"Bloqueada",
"Desechable")),""
)</f>
        <v/>
      </c>
      <c r="J948" t="str" cm="1">
        <f t="array" aca="1" ref="J948" ca="1">IF(ISNUMBER(A948),IFERROR(_xlfn._xlws.FILTER(Equipar!A:A,(Equipar!B:B=4)*(Equipar!AC:AC=A948)),""),"")</f>
        <v/>
      </c>
    </row>
    <row r="949" spans="1:10" x14ac:dyDescent="0.25">
      <c r="A949" s="3" t="str">
        <f ca="1">IF(A948="ID",1,IF(ISBLANK(B949),"",MAX(A$2:A948)+1))</f>
        <v/>
      </c>
      <c r="I949" s="2" t="str">
        <f ca="1">IF(ISNUMBER(A949),
IF(COUNTIFS(Equipar!B:B,4,Equipar!AC:AC,A949),"Equipada",
IF(
  OR(COUNTIFS(Equipar!B:B,4,Equipar!C:C,A949)
 +COUNTIFS(Equipar!B:B,4,Equipar!D:D,A949)
+COUNTIFS(Equipar!B:B,4,Equipar!E:E,A949)
+COUNTIFS(Equipar!B:B,4,Equipar!F:F,A949)
&gt;0,COUNTIF('Set recomendado'!B:B,C949)=0),
"Bloqueada",
"Desechable")),""
)</f>
        <v/>
      </c>
      <c r="J949" t="str" cm="1">
        <f t="array" aca="1" ref="J949" ca="1">IF(ISNUMBER(A949),IFERROR(_xlfn._xlws.FILTER(Equipar!A:A,(Equipar!B:B=4)*(Equipar!AC:AC=A949)),""),"")</f>
        <v/>
      </c>
    </row>
    <row r="950" spans="1:10" x14ac:dyDescent="0.25">
      <c r="A950" s="3" t="str">
        <f ca="1">IF(A949="ID",1,IF(ISBLANK(B950),"",MAX(A$2:A949)+1))</f>
        <v/>
      </c>
      <c r="I950" s="2" t="str">
        <f ca="1">IF(ISNUMBER(A950),
IF(COUNTIFS(Equipar!B:B,4,Equipar!AC:AC,A950),"Equipada",
IF(
  OR(COUNTIFS(Equipar!B:B,4,Equipar!C:C,A950)
 +COUNTIFS(Equipar!B:B,4,Equipar!D:D,A950)
+COUNTIFS(Equipar!B:B,4,Equipar!E:E,A950)
+COUNTIFS(Equipar!B:B,4,Equipar!F:F,A950)
&gt;0,COUNTIF('Set recomendado'!B:B,C950)=0),
"Bloqueada",
"Desechable")),""
)</f>
        <v/>
      </c>
      <c r="J950" t="str" cm="1">
        <f t="array" aca="1" ref="J950" ca="1">IF(ISNUMBER(A950),IFERROR(_xlfn._xlws.FILTER(Equipar!A:A,(Equipar!B:B=4)*(Equipar!AC:AC=A950)),""),"")</f>
        <v/>
      </c>
    </row>
    <row r="951" spans="1:10" x14ac:dyDescent="0.25">
      <c r="A951" s="3" t="str">
        <f ca="1">IF(A950="ID",1,IF(ISBLANK(B951),"",MAX(A$2:A950)+1))</f>
        <v/>
      </c>
      <c r="I951" s="2" t="str">
        <f ca="1">IF(ISNUMBER(A951),
IF(COUNTIFS(Equipar!B:B,4,Equipar!AC:AC,A951),"Equipada",
IF(
  OR(COUNTIFS(Equipar!B:B,4,Equipar!C:C,A951)
 +COUNTIFS(Equipar!B:B,4,Equipar!D:D,A951)
+COUNTIFS(Equipar!B:B,4,Equipar!E:E,A951)
+COUNTIFS(Equipar!B:B,4,Equipar!F:F,A951)
&gt;0,COUNTIF('Set recomendado'!B:B,C951)=0),
"Bloqueada",
"Desechable")),""
)</f>
        <v/>
      </c>
      <c r="J951" t="str" cm="1">
        <f t="array" aca="1" ref="J951" ca="1">IF(ISNUMBER(A951),IFERROR(_xlfn._xlws.FILTER(Equipar!A:A,(Equipar!B:B=4)*(Equipar!AC:AC=A951)),""),"")</f>
        <v/>
      </c>
    </row>
    <row r="952" spans="1:10" x14ac:dyDescent="0.25">
      <c r="A952" s="3" t="str">
        <f ca="1">IF(A951="ID",1,IF(ISBLANK(B952),"",MAX(A$2:A951)+1))</f>
        <v/>
      </c>
      <c r="I952" s="2" t="str">
        <f ca="1">IF(ISNUMBER(A952),
IF(COUNTIFS(Equipar!B:B,4,Equipar!AC:AC,A952),"Equipada",
IF(
  OR(COUNTIFS(Equipar!B:B,4,Equipar!C:C,A952)
 +COUNTIFS(Equipar!B:B,4,Equipar!D:D,A952)
+COUNTIFS(Equipar!B:B,4,Equipar!E:E,A952)
+COUNTIFS(Equipar!B:B,4,Equipar!F:F,A952)
&gt;0,COUNTIF('Set recomendado'!B:B,C952)=0),
"Bloqueada",
"Desechable")),""
)</f>
        <v/>
      </c>
      <c r="J952" t="str" cm="1">
        <f t="array" aca="1" ref="J952" ca="1">IF(ISNUMBER(A952),IFERROR(_xlfn._xlws.FILTER(Equipar!A:A,(Equipar!B:B=4)*(Equipar!AC:AC=A952)),""),"")</f>
        <v/>
      </c>
    </row>
    <row r="953" spans="1:10" x14ac:dyDescent="0.25">
      <c r="A953" s="3" t="str">
        <f ca="1">IF(A952="ID",1,IF(ISBLANK(B953),"",MAX(A$2:A952)+1))</f>
        <v/>
      </c>
      <c r="I953" s="2" t="str">
        <f ca="1">IF(ISNUMBER(A953),
IF(COUNTIFS(Equipar!B:B,4,Equipar!AC:AC,A953),"Equipada",
IF(
  OR(COUNTIFS(Equipar!B:B,4,Equipar!C:C,A953)
 +COUNTIFS(Equipar!B:B,4,Equipar!D:D,A953)
+COUNTIFS(Equipar!B:B,4,Equipar!E:E,A953)
+COUNTIFS(Equipar!B:B,4,Equipar!F:F,A953)
&gt;0,COUNTIF('Set recomendado'!B:B,C953)=0),
"Bloqueada",
"Desechable")),""
)</f>
        <v/>
      </c>
      <c r="J953" t="str" cm="1">
        <f t="array" aca="1" ref="J953" ca="1">IF(ISNUMBER(A953),IFERROR(_xlfn._xlws.FILTER(Equipar!A:A,(Equipar!B:B=4)*(Equipar!AC:AC=A953)),""),"")</f>
        <v/>
      </c>
    </row>
    <row r="954" spans="1:10" x14ac:dyDescent="0.25">
      <c r="A954" s="3" t="str">
        <f ca="1">IF(A953="ID",1,IF(ISBLANK(B954),"",MAX(A$2:A953)+1))</f>
        <v/>
      </c>
      <c r="I954" s="2" t="str">
        <f ca="1">IF(ISNUMBER(A954),
IF(COUNTIFS(Equipar!B:B,4,Equipar!AC:AC,A954),"Equipada",
IF(
  OR(COUNTIFS(Equipar!B:B,4,Equipar!C:C,A954)
 +COUNTIFS(Equipar!B:B,4,Equipar!D:D,A954)
+COUNTIFS(Equipar!B:B,4,Equipar!E:E,A954)
+COUNTIFS(Equipar!B:B,4,Equipar!F:F,A954)
&gt;0,COUNTIF('Set recomendado'!B:B,C954)=0),
"Bloqueada",
"Desechable")),""
)</f>
        <v/>
      </c>
      <c r="J954" t="str" cm="1">
        <f t="array" aca="1" ref="J954" ca="1">IF(ISNUMBER(A954),IFERROR(_xlfn._xlws.FILTER(Equipar!A:A,(Equipar!B:B=4)*(Equipar!AC:AC=A954)),""),"")</f>
        <v/>
      </c>
    </row>
    <row r="955" spans="1:10" x14ac:dyDescent="0.25">
      <c r="A955" s="3" t="str">
        <f ca="1">IF(A954="ID",1,IF(ISBLANK(B955),"",MAX(A$2:A954)+1))</f>
        <v/>
      </c>
      <c r="I955" s="2" t="str">
        <f ca="1">IF(ISNUMBER(A955),
IF(COUNTIFS(Equipar!B:B,4,Equipar!AC:AC,A955),"Equipada",
IF(
  OR(COUNTIFS(Equipar!B:B,4,Equipar!C:C,A955)
 +COUNTIFS(Equipar!B:B,4,Equipar!D:D,A955)
+COUNTIFS(Equipar!B:B,4,Equipar!E:E,A955)
+COUNTIFS(Equipar!B:B,4,Equipar!F:F,A955)
&gt;0,COUNTIF('Set recomendado'!B:B,C955)=0),
"Bloqueada",
"Desechable")),""
)</f>
        <v/>
      </c>
      <c r="J955" t="str" cm="1">
        <f t="array" aca="1" ref="J955" ca="1">IF(ISNUMBER(A955),IFERROR(_xlfn._xlws.FILTER(Equipar!A:A,(Equipar!B:B=4)*(Equipar!AC:AC=A955)),""),"")</f>
        <v/>
      </c>
    </row>
    <row r="956" spans="1:10" x14ac:dyDescent="0.25">
      <c r="A956" s="3" t="str">
        <f ca="1">IF(A955="ID",1,IF(ISBLANK(B956),"",MAX(A$2:A955)+1))</f>
        <v/>
      </c>
      <c r="I956" s="2" t="str">
        <f ca="1">IF(ISNUMBER(A956),
IF(COUNTIFS(Equipar!B:B,4,Equipar!AC:AC,A956),"Equipada",
IF(
  OR(COUNTIFS(Equipar!B:B,4,Equipar!C:C,A956)
 +COUNTIFS(Equipar!B:B,4,Equipar!D:D,A956)
+COUNTIFS(Equipar!B:B,4,Equipar!E:E,A956)
+COUNTIFS(Equipar!B:B,4,Equipar!F:F,A956)
&gt;0,COUNTIF('Set recomendado'!B:B,C956)=0),
"Bloqueada",
"Desechable")),""
)</f>
        <v/>
      </c>
      <c r="J956" t="str" cm="1">
        <f t="array" aca="1" ref="J956" ca="1">IF(ISNUMBER(A956),IFERROR(_xlfn._xlws.FILTER(Equipar!A:A,(Equipar!B:B=4)*(Equipar!AC:AC=A956)),""),"")</f>
        <v/>
      </c>
    </row>
    <row r="957" spans="1:10" x14ac:dyDescent="0.25">
      <c r="A957" s="3" t="str">
        <f ca="1">IF(A956="ID",1,IF(ISBLANK(B957),"",MAX(A$2:A956)+1))</f>
        <v/>
      </c>
      <c r="I957" s="2" t="str">
        <f ca="1">IF(ISNUMBER(A957),
IF(COUNTIFS(Equipar!B:B,4,Equipar!AC:AC,A957),"Equipada",
IF(
  OR(COUNTIFS(Equipar!B:B,4,Equipar!C:C,A957)
 +COUNTIFS(Equipar!B:B,4,Equipar!D:D,A957)
+COUNTIFS(Equipar!B:B,4,Equipar!E:E,A957)
+COUNTIFS(Equipar!B:B,4,Equipar!F:F,A957)
&gt;0,COUNTIF('Set recomendado'!B:B,C957)=0),
"Bloqueada",
"Desechable")),""
)</f>
        <v/>
      </c>
      <c r="J957" t="str" cm="1">
        <f t="array" aca="1" ref="J957" ca="1">IF(ISNUMBER(A957),IFERROR(_xlfn._xlws.FILTER(Equipar!A:A,(Equipar!B:B=4)*(Equipar!AC:AC=A957)),""),"")</f>
        <v/>
      </c>
    </row>
    <row r="958" spans="1:10" x14ac:dyDescent="0.25">
      <c r="A958" s="3" t="str">
        <f ca="1">IF(A957="ID",1,IF(ISBLANK(B958),"",MAX(A$2:A957)+1))</f>
        <v/>
      </c>
      <c r="I958" s="2" t="str">
        <f ca="1">IF(ISNUMBER(A958),
IF(COUNTIFS(Equipar!B:B,4,Equipar!AC:AC,A958),"Equipada",
IF(
  OR(COUNTIFS(Equipar!B:B,4,Equipar!C:C,A958)
 +COUNTIFS(Equipar!B:B,4,Equipar!D:D,A958)
+COUNTIFS(Equipar!B:B,4,Equipar!E:E,A958)
+COUNTIFS(Equipar!B:B,4,Equipar!F:F,A958)
&gt;0,COUNTIF('Set recomendado'!B:B,C958)=0),
"Bloqueada",
"Desechable")),""
)</f>
        <v/>
      </c>
      <c r="J958" t="str" cm="1">
        <f t="array" aca="1" ref="J958" ca="1">IF(ISNUMBER(A958),IFERROR(_xlfn._xlws.FILTER(Equipar!A:A,(Equipar!B:B=4)*(Equipar!AC:AC=A958)),""),"")</f>
        <v/>
      </c>
    </row>
    <row r="959" spans="1:10" x14ac:dyDescent="0.25">
      <c r="A959" s="3" t="str">
        <f ca="1">IF(A958="ID",1,IF(ISBLANK(B959),"",MAX(A$2:A958)+1))</f>
        <v/>
      </c>
      <c r="I959" s="2" t="str">
        <f ca="1">IF(ISNUMBER(A959),
IF(COUNTIFS(Equipar!B:B,4,Equipar!AC:AC,A959),"Equipada",
IF(
  OR(COUNTIFS(Equipar!B:B,4,Equipar!C:C,A959)
 +COUNTIFS(Equipar!B:B,4,Equipar!D:D,A959)
+COUNTIFS(Equipar!B:B,4,Equipar!E:E,A959)
+COUNTIFS(Equipar!B:B,4,Equipar!F:F,A959)
&gt;0,COUNTIF('Set recomendado'!B:B,C959)=0),
"Bloqueada",
"Desechable")),""
)</f>
        <v/>
      </c>
      <c r="J959" t="str" cm="1">
        <f t="array" aca="1" ref="J959" ca="1">IF(ISNUMBER(A959),IFERROR(_xlfn._xlws.FILTER(Equipar!A:A,(Equipar!B:B=4)*(Equipar!AC:AC=A959)),""),"")</f>
        <v/>
      </c>
    </row>
    <row r="960" spans="1:10" x14ac:dyDescent="0.25">
      <c r="A960" s="3" t="str">
        <f ca="1">IF(A959="ID",1,IF(ISBLANK(B960),"",MAX(A$2:A959)+1))</f>
        <v/>
      </c>
      <c r="I960" s="2" t="str">
        <f ca="1">IF(ISNUMBER(A960),
IF(COUNTIFS(Equipar!B:B,4,Equipar!AC:AC,A960),"Equipada",
IF(
  OR(COUNTIFS(Equipar!B:B,4,Equipar!C:C,A960)
 +COUNTIFS(Equipar!B:B,4,Equipar!D:D,A960)
+COUNTIFS(Equipar!B:B,4,Equipar!E:E,A960)
+COUNTIFS(Equipar!B:B,4,Equipar!F:F,A960)
&gt;0,COUNTIF('Set recomendado'!B:B,C960)=0),
"Bloqueada",
"Desechable")),""
)</f>
        <v/>
      </c>
      <c r="J960" t="str" cm="1">
        <f t="array" aca="1" ref="J960" ca="1">IF(ISNUMBER(A960),IFERROR(_xlfn._xlws.FILTER(Equipar!A:A,(Equipar!B:B=4)*(Equipar!AC:AC=A960)),""),"")</f>
        <v/>
      </c>
    </row>
    <row r="961" spans="1:10" x14ac:dyDescent="0.25">
      <c r="A961" s="3" t="str">
        <f ca="1">IF(A960="ID",1,IF(ISBLANK(B961),"",MAX(A$2:A960)+1))</f>
        <v/>
      </c>
      <c r="I961" s="2" t="str">
        <f ca="1">IF(ISNUMBER(A961),
IF(COUNTIFS(Equipar!B:B,4,Equipar!AC:AC,A961),"Equipada",
IF(
  OR(COUNTIFS(Equipar!B:B,4,Equipar!C:C,A961)
 +COUNTIFS(Equipar!B:B,4,Equipar!D:D,A961)
+COUNTIFS(Equipar!B:B,4,Equipar!E:E,A961)
+COUNTIFS(Equipar!B:B,4,Equipar!F:F,A961)
&gt;0,COUNTIF('Set recomendado'!B:B,C961)=0),
"Bloqueada",
"Desechable")),""
)</f>
        <v/>
      </c>
      <c r="J961" t="str" cm="1">
        <f t="array" aca="1" ref="J961" ca="1">IF(ISNUMBER(A961),IFERROR(_xlfn._xlws.FILTER(Equipar!A:A,(Equipar!B:B=4)*(Equipar!AC:AC=A961)),""),"")</f>
        <v/>
      </c>
    </row>
    <row r="962" spans="1:10" x14ac:dyDescent="0.25">
      <c r="A962" s="3" t="str">
        <f ca="1">IF(A961="ID",1,IF(ISBLANK(B962),"",MAX(A$2:A961)+1))</f>
        <v/>
      </c>
      <c r="I962" s="2" t="str">
        <f ca="1">IF(ISNUMBER(A962),
IF(COUNTIFS(Equipar!B:B,4,Equipar!AC:AC,A962),"Equipada",
IF(
  OR(COUNTIFS(Equipar!B:B,4,Equipar!C:C,A962)
 +COUNTIFS(Equipar!B:B,4,Equipar!D:D,A962)
+COUNTIFS(Equipar!B:B,4,Equipar!E:E,A962)
+COUNTIFS(Equipar!B:B,4,Equipar!F:F,A962)
&gt;0,COUNTIF('Set recomendado'!B:B,C962)=0),
"Bloqueada",
"Desechable")),""
)</f>
        <v/>
      </c>
      <c r="J962" t="str" cm="1">
        <f t="array" aca="1" ref="J962" ca="1">IF(ISNUMBER(A962),IFERROR(_xlfn._xlws.FILTER(Equipar!A:A,(Equipar!B:B=4)*(Equipar!AC:AC=A962)),""),"")</f>
        <v/>
      </c>
    </row>
    <row r="963" spans="1:10" x14ac:dyDescent="0.25">
      <c r="A963" s="3" t="str">
        <f ca="1">IF(A962="ID",1,IF(ISBLANK(B963),"",MAX(A$2:A962)+1))</f>
        <v/>
      </c>
      <c r="I963" s="2" t="str">
        <f ca="1">IF(ISNUMBER(A963),
IF(COUNTIFS(Equipar!B:B,4,Equipar!AC:AC,A963),"Equipada",
IF(
  OR(COUNTIFS(Equipar!B:B,4,Equipar!C:C,A963)
 +COUNTIFS(Equipar!B:B,4,Equipar!D:D,A963)
+COUNTIFS(Equipar!B:B,4,Equipar!E:E,A963)
+COUNTIFS(Equipar!B:B,4,Equipar!F:F,A963)
&gt;0,COUNTIF('Set recomendado'!B:B,C963)=0),
"Bloqueada",
"Desechable")),""
)</f>
        <v/>
      </c>
      <c r="J963" t="str" cm="1">
        <f t="array" aca="1" ref="J963" ca="1">IF(ISNUMBER(A963),IFERROR(_xlfn._xlws.FILTER(Equipar!A:A,(Equipar!B:B=4)*(Equipar!AC:AC=A963)),""),"")</f>
        <v/>
      </c>
    </row>
    <row r="964" spans="1:10" x14ac:dyDescent="0.25">
      <c r="A964" s="3" t="str">
        <f ca="1">IF(A963="ID",1,IF(ISBLANK(B964),"",MAX(A$2:A963)+1))</f>
        <v/>
      </c>
      <c r="I964" s="2" t="str">
        <f ca="1">IF(ISNUMBER(A964),
IF(COUNTIFS(Equipar!B:B,4,Equipar!AC:AC,A964),"Equipada",
IF(
  OR(COUNTIFS(Equipar!B:B,4,Equipar!C:C,A964)
 +COUNTIFS(Equipar!B:B,4,Equipar!D:D,A964)
+COUNTIFS(Equipar!B:B,4,Equipar!E:E,A964)
+COUNTIFS(Equipar!B:B,4,Equipar!F:F,A964)
&gt;0,COUNTIF('Set recomendado'!B:B,C964)=0),
"Bloqueada",
"Desechable")),""
)</f>
        <v/>
      </c>
      <c r="J964" t="str" cm="1">
        <f t="array" aca="1" ref="J964" ca="1">IF(ISNUMBER(A964),IFERROR(_xlfn._xlws.FILTER(Equipar!A:A,(Equipar!B:B=4)*(Equipar!AC:AC=A964)),""),"")</f>
        <v/>
      </c>
    </row>
    <row r="965" spans="1:10" x14ac:dyDescent="0.25">
      <c r="A965" s="3" t="str">
        <f ca="1">IF(A964="ID",1,IF(ISBLANK(B965),"",MAX(A$2:A964)+1))</f>
        <v/>
      </c>
      <c r="I965" s="2" t="str">
        <f ca="1">IF(ISNUMBER(A965),
IF(COUNTIFS(Equipar!B:B,4,Equipar!AC:AC,A965),"Equipada",
IF(
  OR(COUNTIFS(Equipar!B:B,4,Equipar!C:C,A965)
 +COUNTIFS(Equipar!B:B,4,Equipar!D:D,A965)
+COUNTIFS(Equipar!B:B,4,Equipar!E:E,A965)
+COUNTIFS(Equipar!B:B,4,Equipar!F:F,A965)
&gt;0,COUNTIF('Set recomendado'!B:B,C965)=0),
"Bloqueada",
"Desechable")),""
)</f>
        <v/>
      </c>
      <c r="J965" t="str" cm="1">
        <f t="array" aca="1" ref="J965" ca="1">IF(ISNUMBER(A965),IFERROR(_xlfn._xlws.FILTER(Equipar!A:A,(Equipar!B:B=4)*(Equipar!AC:AC=A965)),""),"")</f>
        <v/>
      </c>
    </row>
    <row r="966" spans="1:10" x14ac:dyDescent="0.25">
      <c r="A966" s="3" t="str">
        <f ca="1">IF(A965="ID",1,IF(ISBLANK(B966),"",MAX(A$2:A965)+1))</f>
        <v/>
      </c>
      <c r="I966" s="2" t="str">
        <f ca="1">IF(ISNUMBER(A966),
IF(COUNTIFS(Equipar!B:B,4,Equipar!AC:AC,A966),"Equipada",
IF(
  OR(COUNTIFS(Equipar!B:B,4,Equipar!C:C,A966)
 +COUNTIFS(Equipar!B:B,4,Equipar!D:D,A966)
+COUNTIFS(Equipar!B:B,4,Equipar!E:E,A966)
+COUNTIFS(Equipar!B:B,4,Equipar!F:F,A966)
&gt;0,COUNTIF('Set recomendado'!B:B,C966)=0),
"Bloqueada",
"Desechable")),""
)</f>
        <v/>
      </c>
      <c r="J966" t="str" cm="1">
        <f t="array" aca="1" ref="J966" ca="1">IF(ISNUMBER(A966),IFERROR(_xlfn._xlws.FILTER(Equipar!A:A,(Equipar!B:B=4)*(Equipar!AC:AC=A966)),""),"")</f>
        <v/>
      </c>
    </row>
    <row r="967" spans="1:10" x14ac:dyDescent="0.25">
      <c r="A967" s="3" t="str">
        <f ca="1">IF(A966="ID",1,IF(ISBLANK(B967),"",MAX(A$2:A966)+1))</f>
        <v/>
      </c>
      <c r="I967" s="2" t="str">
        <f ca="1">IF(ISNUMBER(A967),
IF(COUNTIFS(Equipar!B:B,4,Equipar!AC:AC,A967),"Equipada",
IF(
  OR(COUNTIFS(Equipar!B:B,4,Equipar!C:C,A967)
 +COUNTIFS(Equipar!B:B,4,Equipar!D:D,A967)
+COUNTIFS(Equipar!B:B,4,Equipar!E:E,A967)
+COUNTIFS(Equipar!B:B,4,Equipar!F:F,A967)
&gt;0,COUNTIF('Set recomendado'!B:B,C967)=0),
"Bloqueada",
"Desechable")),""
)</f>
        <v/>
      </c>
      <c r="J967" t="str" cm="1">
        <f t="array" aca="1" ref="J967" ca="1">IF(ISNUMBER(A967),IFERROR(_xlfn._xlws.FILTER(Equipar!A:A,(Equipar!B:B=4)*(Equipar!AC:AC=A967)),""),"")</f>
        <v/>
      </c>
    </row>
    <row r="968" spans="1:10" x14ac:dyDescent="0.25">
      <c r="A968" s="3" t="str">
        <f ca="1">IF(A967="ID",1,IF(ISBLANK(B968),"",MAX(A$2:A967)+1))</f>
        <v/>
      </c>
      <c r="I968" s="2" t="str">
        <f ca="1">IF(ISNUMBER(A968),
IF(COUNTIFS(Equipar!B:B,4,Equipar!AC:AC,A968),"Equipada",
IF(
  OR(COUNTIFS(Equipar!B:B,4,Equipar!C:C,A968)
 +COUNTIFS(Equipar!B:B,4,Equipar!D:D,A968)
+COUNTIFS(Equipar!B:B,4,Equipar!E:E,A968)
+COUNTIFS(Equipar!B:B,4,Equipar!F:F,A968)
&gt;0,COUNTIF('Set recomendado'!B:B,C968)=0),
"Bloqueada",
"Desechable")),""
)</f>
        <v/>
      </c>
      <c r="J968" t="str" cm="1">
        <f t="array" aca="1" ref="J968" ca="1">IF(ISNUMBER(A968),IFERROR(_xlfn._xlws.FILTER(Equipar!A:A,(Equipar!B:B=4)*(Equipar!AC:AC=A968)),""),"")</f>
        <v/>
      </c>
    </row>
    <row r="969" spans="1:10" x14ac:dyDescent="0.25">
      <c r="A969" s="3" t="str">
        <f ca="1">IF(A968="ID",1,IF(ISBLANK(B969),"",MAX(A$2:A968)+1))</f>
        <v/>
      </c>
      <c r="I969" s="2" t="str">
        <f ca="1">IF(ISNUMBER(A969),
IF(COUNTIFS(Equipar!B:B,4,Equipar!AC:AC,A969),"Equipada",
IF(
  OR(COUNTIFS(Equipar!B:B,4,Equipar!C:C,A969)
 +COUNTIFS(Equipar!B:B,4,Equipar!D:D,A969)
+COUNTIFS(Equipar!B:B,4,Equipar!E:E,A969)
+COUNTIFS(Equipar!B:B,4,Equipar!F:F,A969)
&gt;0,COUNTIF('Set recomendado'!B:B,C969)=0),
"Bloqueada",
"Desechable")),""
)</f>
        <v/>
      </c>
      <c r="J969" t="str" cm="1">
        <f t="array" aca="1" ref="J969" ca="1">IF(ISNUMBER(A969),IFERROR(_xlfn._xlws.FILTER(Equipar!A:A,(Equipar!B:B=4)*(Equipar!AC:AC=A969)),""),"")</f>
        <v/>
      </c>
    </row>
    <row r="970" spans="1:10" x14ac:dyDescent="0.25">
      <c r="A970" s="3" t="str">
        <f ca="1">IF(A969="ID",1,IF(ISBLANK(B970),"",MAX(A$2:A969)+1))</f>
        <v/>
      </c>
      <c r="I970" s="2" t="str">
        <f ca="1">IF(ISNUMBER(A970),
IF(COUNTIFS(Equipar!B:B,4,Equipar!AC:AC,A970),"Equipada",
IF(
  OR(COUNTIFS(Equipar!B:B,4,Equipar!C:C,A970)
 +COUNTIFS(Equipar!B:B,4,Equipar!D:D,A970)
+COUNTIFS(Equipar!B:B,4,Equipar!E:E,A970)
+COUNTIFS(Equipar!B:B,4,Equipar!F:F,A970)
&gt;0,COUNTIF('Set recomendado'!B:B,C970)=0),
"Bloqueada",
"Desechable")),""
)</f>
        <v/>
      </c>
      <c r="J970" t="str" cm="1">
        <f t="array" aca="1" ref="J970" ca="1">IF(ISNUMBER(A970),IFERROR(_xlfn._xlws.FILTER(Equipar!A:A,(Equipar!B:B=4)*(Equipar!AC:AC=A970)),""),"")</f>
        <v/>
      </c>
    </row>
    <row r="971" spans="1:10" x14ac:dyDescent="0.25">
      <c r="A971" s="3" t="str">
        <f ca="1">IF(A970="ID",1,IF(ISBLANK(B971),"",MAX(A$2:A970)+1))</f>
        <v/>
      </c>
      <c r="I971" s="2" t="str">
        <f ca="1">IF(ISNUMBER(A971),
IF(COUNTIFS(Equipar!B:B,4,Equipar!AC:AC,A971),"Equipada",
IF(
  OR(COUNTIFS(Equipar!B:B,4,Equipar!C:C,A971)
 +COUNTIFS(Equipar!B:B,4,Equipar!D:D,A971)
+COUNTIFS(Equipar!B:B,4,Equipar!E:E,A971)
+COUNTIFS(Equipar!B:B,4,Equipar!F:F,A971)
&gt;0,COUNTIF('Set recomendado'!B:B,C971)=0),
"Bloqueada",
"Desechable")),""
)</f>
        <v/>
      </c>
      <c r="J971" t="str" cm="1">
        <f t="array" aca="1" ref="J971" ca="1">IF(ISNUMBER(A971),IFERROR(_xlfn._xlws.FILTER(Equipar!A:A,(Equipar!B:B=4)*(Equipar!AC:AC=A971)),""),"")</f>
        <v/>
      </c>
    </row>
    <row r="972" spans="1:10" x14ac:dyDescent="0.25">
      <c r="A972" s="3" t="str">
        <f ca="1">IF(A971="ID",1,IF(ISBLANK(B972),"",MAX(A$2:A971)+1))</f>
        <v/>
      </c>
      <c r="I972" s="2" t="str">
        <f ca="1">IF(ISNUMBER(A972),
IF(COUNTIFS(Equipar!B:B,4,Equipar!AC:AC,A972),"Equipada",
IF(
  OR(COUNTIFS(Equipar!B:B,4,Equipar!C:C,A972)
 +COUNTIFS(Equipar!B:B,4,Equipar!D:D,A972)
+COUNTIFS(Equipar!B:B,4,Equipar!E:E,A972)
+COUNTIFS(Equipar!B:B,4,Equipar!F:F,A972)
&gt;0,COUNTIF('Set recomendado'!B:B,C972)=0),
"Bloqueada",
"Desechable")),""
)</f>
        <v/>
      </c>
      <c r="J972" t="str" cm="1">
        <f t="array" aca="1" ref="J972" ca="1">IF(ISNUMBER(A972),IFERROR(_xlfn._xlws.FILTER(Equipar!A:A,(Equipar!B:B=4)*(Equipar!AC:AC=A972)),""),"")</f>
        <v/>
      </c>
    </row>
    <row r="973" spans="1:10" x14ac:dyDescent="0.25">
      <c r="A973" s="3" t="str">
        <f ca="1">IF(A972="ID",1,IF(ISBLANK(B973),"",MAX(A$2:A972)+1))</f>
        <v/>
      </c>
      <c r="I973" s="2" t="str">
        <f ca="1">IF(ISNUMBER(A973),
IF(COUNTIFS(Equipar!B:B,4,Equipar!AC:AC,A973),"Equipada",
IF(
  OR(COUNTIFS(Equipar!B:B,4,Equipar!C:C,A973)
 +COUNTIFS(Equipar!B:B,4,Equipar!D:D,A973)
+COUNTIFS(Equipar!B:B,4,Equipar!E:E,A973)
+COUNTIFS(Equipar!B:B,4,Equipar!F:F,A973)
&gt;0,COUNTIF('Set recomendado'!B:B,C973)=0),
"Bloqueada",
"Desechable")),""
)</f>
        <v/>
      </c>
      <c r="J973" t="str" cm="1">
        <f t="array" aca="1" ref="J973" ca="1">IF(ISNUMBER(A973),IFERROR(_xlfn._xlws.FILTER(Equipar!A:A,(Equipar!B:B=4)*(Equipar!AC:AC=A973)),""),"")</f>
        <v/>
      </c>
    </row>
    <row r="974" spans="1:10" x14ac:dyDescent="0.25">
      <c r="A974" s="3" t="str">
        <f ca="1">IF(A973="ID",1,IF(ISBLANK(B974),"",MAX(A$2:A973)+1))</f>
        <v/>
      </c>
      <c r="I974" s="2" t="str">
        <f ca="1">IF(ISNUMBER(A974),
IF(COUNTIFS(Equipar!B:B,4,Equipar!AC:AC,A974),"Equipada",
IF(
  OR(COUNTIFS(Equipar!B:B,4,Equipar!C:C,A974)
 +COUNTIFS(Equipar!B:B,4,Equipar!D:D,A974)
+COUNTIFS(Equipar!B:B,4,Equipar!E:E,A974)
+COUNTIFS(Equipar!B:B,4,Equipar!F:F,A974)
&gt;0,COUNTIF('Set recomendado'!B:B,C974)=0),
"Bloqueada",
"Desechable")),""
)</f>
        <v/>
      </c>
      <c r="J974" t="str" cm="1">
        <f t="array" aca="1" ref="J974" ca="1">IF(ISNUMBER(A974),IFERROR(_xlfn._xlws.FILTER(Equipar!A:A,(Equipar!B:B=4)*(Equipar!AC:AC=A974)),""),"")</f>
        <v/>
      </c>
    </row>
    <row r="975" spans="1:10" x14ac:dyDescent="0.25">
      <c r="A975" s="3" t="str">
        <f ca="1">IF(A974="ID",1,IF(ISBLANK(B975),"",MAX(A$2:A974)+1))</f>
        <v/>
      </c>
      <c r="I975" s="2" t="str">
        <f ca="1">IF(ISNUMBER(A975),
IF(COUNTIFS(Equipar!B:B,4,Equipar!AC:AC,A975),"Equipada",
IF(
  OR(COUNTIFS(Equipar!B:B,4,Equipar!C:C,A975)
 +COUNTIFS(Equipar!B:B,4,Equipar!D:D,A975)
+COUNTIFS(Equipar!B:B,4,Equipar!E:E,A975)
+COUNTIFS(Equipar!B:B,4,Equipar!F:F,A975)
&gt;0,COUNTIF('Set recomendado'!B:B,C975)=0),
"Bloqueada",
"Desechable")),""
)</f>
        <v/>
      </c>
      <c r="J975" t="str" cm="1">
        <f t="array" aca="1" ref="J975" ca="1">IF(ISNUMBER(A975),IFERROR(_xlfn._xlws.FILTER(Equipar!A:A,(Equipar!B:B=4)*(Equipar!AC:AC=A975)),""),"")</f>
        <v/>
      </c>
    </row>
    <row r="976" spans="1:10" x14ac:dyDescent="0.25">
      <c r="A976" s="3" t="str">
        <f ca="1">IF(A975="ID",1,IF(ISBLANK(B976),"",MAX(A$2:A975)+1))</f>
        <v/>
      </c>
      <c r="I976" s="2" t="str">
        <f ca="1">IF(ISNUMBER(A976),
IF(COUNTIFS(Equipar!B:B,4,Equipar!AC:AC,A976),"Equipada",
IF(
  OR(COUNTIFS(Equipar!B:B,4,Equipar!C:C,A976)
 +COUNTIFS(Equipar!B:B,4,Equipar!D:D,A976)
+COUNTIFS(Equipar!B:B,4,Equipar!E:E,A976)
+COUNTIFS(Equipar!B:B,4,Equipar!F:F,A976)
&gt;0,COUNTIF('Set recomendado'!B:B,C976)=0),
"Bloqueada",
"Desechable")),""
)</f>
        <v/>
      </c>
      <c r="J976" t="str" cm="1">
        <f t="array" aca="1" ref="J976" ca="1">IF(ISNUMBER(A976),IFERROR(_xlfn._xlws.FILTER(Equipar!A:A,(Equipar!B:B=4)*(Equipar!AC:AC=A976)),""),"")</f>
        <v/>
      </c>
    </row>
    <row r="977" spans="1:10" x14ac:dyDescent="0.25">
      <c r="A977" s="3" t="str">
        <f ca="1">IF(A976="ID",1,IF(ISBLANK(B977),"",MAX(A$2:A976)+1))</f>
        <v/>
      </c>
      <c r="I977" s="2" t="str">
        <f ca="1">IF(ISNUMBER(A977),
IF(COUNTIFS(Equipar!B:B,4,Equipar!AC:AC,A977),"Equipada",
IF(
  OR(COUNTIFS(Equipar!B:B,4,Equipar!C:C,A977)
 +COUNTIFS(Equipar!B:B,4,Equipar!D:D,A977)
+COUNTIFS(Equipar!B:B,4,Equipar!E:E,A977)
+COUNTIFS(Equipar!B:B,4,Equipar!F:F,A977)
&gt;0,COUNTIF('Set recomendado'!B:B,C977)=0),
"Bloqueada",
"Desechable")),""
)</f>
        <v/>
      </c>
      <c r="J977" t="str" cm="1">
        <f t="array" aca="1" ref="J977" ca="1">IF(ISNUMBER(A977),IFERROR(_xlfn._xlws.FILTER(Equipar!A:A,(Equipar!B:B=4)*(Equipar!AC:AC=A977)),""),"")</f>
        <v/>
      </c>
    </row>
    <row r="978" spans="1:10" x14ac:dyDescent="0.25">
      <c r="A978" s="3" t="str">
        <f ca="1">IF(A977="ID",1,IF(ISBLANK(B978),"",MAX(A$2:A977)+1))</f>
        <v/>
      </c>
      <c r="I978" s="2" t="str">
        <f ca="1">IF(ISNUMBER(A978),
IF(COUNTIFS(Equipar!B:B,4,Equipar!AC:AC,A978),"Equipada",
IF(
  OR(COUNTIFS(Equipar!B:B,4,Equipar!C:C,A978)
 +COUNTIFS(Equipar!B:B,4,Equipar!D:D,A978)
+COUNTIFS(Equipar!B:B,4,Equipar!E:E,A978)
+COUNTIFS(Equipar!B:B,4,Equipar!F:F,A978)
&gt;0,COUNTIF('Set recomendado'!B:B,C978)=0),
"Bloqueada",
"Desechable")),""
)</f>
        <v/>
      </c>
      <c r="J978" t="str" cm="1">
        <f t="array" aca="1" ref="J978" ca="1">IF(ISNUMBER(A978),IFERROR(_xlfn._xlws.FILTER(Equipar!A:A,(Equipar!B:B=4)*(Equipar!AC:AC=A978)),""),"")</f>
        <v/>
      </c>
    </row>
    <row r="979" spans="1:10" x14ac:dyDescent="0.25">
      <c r="A979" s="3" t="str">
        <f ca="1">IF(A978="ID",1,IF(ISBLANK(B979),"",MAX(A$2:A978)+1))</f>
        <v/>
      </c>
      <c r="I979" s="2" t="str">
        <f ca="1">IF(ISNUMBER(A979),
IF(COUNTIFS(Equipar!B:B,4,Equipar!AC:AC,A979),"Equipada",
IF(
  OR(COUNTIFS(Equipar!B:B,4,Equipar!C:C,A979)
 +COUNTIFS(Equipar!B:B,4,Equipar!D:D,A979)
+COUNTIFS(Equipar!B:B,4,Equipar!E:E,A979)
+COUNTIFS(Equipar!B:B,4,Equipar!F:F,A979)
&gt;0,COUNTIF('Set recomendado'!B:B,C979)=0),
"Bloqueada",
"Desechable")),""
)</f>
        <v/>
      </c>
      <c r="J979" t="str" cm="1">
        <f t="array" aca="1" ref="J979" ca="1">IF(ISNUMBER(A979),IFERROR(_xlfn._xlws.FILTER(Equipar!A:A,(Equipar!B:B=4)*(Equipar!AC:AC=A979)),""),"")</f>
        <v/>
      </c>
    </row>
    <row r="980" spans="1:10" x14ac:dyDescent="0.25">
      <c r="A980" s="3" t="str">
        <f ca="1">IF(A979="ID",1,IF(ISBLANK(B980),"",MAX(A$2:A979)+1))</f>
        <v/>
      </c>
      <c r="I980" s="2" t="str">
        <f ca="1">IF(ISNUMBER(A980),
IF(COUNTIFS(Equipar!B:B,4,Equipar!AC:AC,A980),"Equipada",
IF(
  OR(COUNTIFS(Equipar!B:B,4,Equipar!C:C,A980)
 +COUNTIFS(Equipar!B:B,4,Equipar!D:D,A980)
+COUNTIFS(Equipar!B:B,4,Equipar!E:E,A980)
+COUNTIFS(Equipar!B:B,4,Equipar!F:F,A980)
&gt;0,COUNTIF('Set recomendado'!B:B,C980)=0),
"Bloqueada",
"Desechable")),""
)</f>
        <v/>
      </c>
      <c r="J980" t="str" cm="1">
        <f t="array" aca="1" ref="J980" ca="1">IF(ISNUMBER(A980),IFERROR(_xlfn._xlws.FILTER(Equipar!A:A,(Equipar!B:B=4)*(Equipar!AC:AC=A980)),""),"")</f>
        <v/>
      </c>
    </row>
    <row r="981" spans="1:10" x14ac:dyDescent="0.25">
      <c r="A981" s="3" t="str">
        <f ca="1">IF(A980="ID",1,IF(ISBLANK(B981),"",MAX(A$2:A980)+1))</f>
        <v/>
      </c>
      <c r="I981" s="2" t="str">
        <f ca="1">IF(ISNUMBER(A981),
IF(COUNTIFS(Equipar!B:B,4,Equipar!AC:AC,A981),"Equipada",
IF(
  OR(COUNTIFS(Equipar!B:B,4,Equipar!C:C,A981)
 +COUNTIFS(Equipar!B:B,4,Equipar!D:D,A981)
+COUNTIFS(Equipar!B:B,4,Equipar!E:E,A981)
+COUNTIFS(Equipar!B:B,4,Equipar!F:F,A981)
&gt;0,COUNTIF('Set recomendado'!B:B,C981)=0),
"Bloqueada",
"Desechable")),""
)</f>
        <v/>
      </c>
      <c r="J981" t="str" cm="1">
        <f t="array" aca="1" ref="J981" ca="1">IF(ISNUMBER(A981),IFERROR(_xlfn._xlws.FILTER(Equipar!A:A,(Equipar!B:B=4)*(Equipar!AC:AC=A981)),""),"")</f>
        <v/>
      </c>
    </row>
    <row r="982" spans="1:10" x14ac:dyDescent="0.25">
      <c r="A982" s="3" t="str">
        <f ca="1">IF(A981="ID",1,IF(ISBLANK(B982),"",MAX(A$2:A981)+1))</f>
        <v/>
      </c>
      <c r="I982" s="2" t="str">
        <f ca="1">IF(ISNUMBER(A982),
IF(COUNTIFS(Equipar!B:B,4,Equipar!AC:AC,A982),"Equipada",
IF(
  OR(COUNTIFS(Equipar!B:B,4,Equipar!C:C,A982)
 +COUNTIFS(Equipar!B:B,4,Equipar!D:D,A982)
+COUNTIFS(Equipar!B:B,4,Equipar!E:E,A982)
+COUNTIFS(Equipar!B:B,4,Equipar!F:F,A982)
&gt;0,COUNTIF('Set recomendado'!B:B,C982)=0),
"Bloqueada",
"Desechable")),""
)</f>
        <v/>
      </c>
      <c r="J982" t="str" cm="1">
        <f t="array" aca="1" ref="J982" ca="1">IF(ISNUMBER(A982),IFERROR(_xlfn._xlws.FILTER(Equipar!A:A,(Equipar!B:B=4)*(Equipar!AC:AC=A982)),""),"")</f>
        <v/>
      </c>
    </row>
    <row r="983" spans="1:10" x14ac:dyDescent="0.25">
      <c r="A983" s="3" t="str">
        <f ca="1">IF(A982="ID",1,IF(ISBLANK(B983),"",MAX(A$2:A982)+1))</f>
        <v/>
      </c>
      <c r="I983" s="2" t="str">
        <f ca="1">IF(ISNUMBER(A983),
IF(COUNTIFS(Equipar!B:B,4,Equipar!AC:AC,A983),"Equipada",
IF(
  OR(COUNTIFS(Equipar!B:B,4,Equipar!C:C,A983)
 +COUNTIFS(Equipar!B:B,4,Equipar!D:D,A983)
+COUNTIFS(Equipar!B:B,4,Equipar!E:E,A983)
+COUNTIFS(Equipar!B:B,4,Equipar!F:F,A983)
&gt;0,COUNTIF('Set recomendado'!B:B,C983)=0),
"Bloqueada",
"Desechable")),""
)</f>
        <v/>
      </c>
      <c r="J983" t="str" cm="1">
        <f t="array" aca="1" ref="J983" ca="1">IF(ISNUMBER(A983),IFERROR(_xlfn._xlws.FILTER(Equipar!A:A,(Equipar!B:B=4)*(Equipar!AC:AC=A983)),""),"")</f>
        <v/>
      </c>
    </row>
    <row r="984" spans="1:10" x14ac:dyDescent="0.25">
      <c r="A984" s="3" t="str">
        <f ca="1">IF(A983="ID",1,IF(ISBLANK(B984),"",MAX(A$2:A983)+1))</f>
        <v/>
      </c>
      <c r="I984" s="2" t="str">
        <f ca="1">IF(ISNUMBER(A984),
IF(COUNTIFS(Equipar!B:B,4,Equipar!AC:AC,A984),"Equipada",
IF(
  OR(COUNTIFS(Equipar!B:B,4,Equipar!C:C,A984)
 +COUNTIFS(Equipar!B:B,4,Equipar!D:D,A984)
+COUNTIFS(Equipar!B:B,4,Equipar!E:E,A984)
+COUNTIFS(Equipar!B:B,4,Equipar!F:F,A984)
&gt;0,COUNTIF('Set recomendado'!B:B,C984)=0),
"Bloqueada",
"Desechable")),""
)</f>
        <v/>
      </c>
      <c r="J984" t="str" cm="1">
        <f t="array" aca="1" ref="J984" ca="1">IF(ISNUMBER(A984),IFERROR(_xlfn._xlws.FILTER(Equipar!A:A,(Equipar!B:B=4)*(Equipar!AC:AC=A984)),""),"")</f>
        <v/>
      </c>
    </row>
    <row r="985" spans="1:10" x14ac:dyDescent="0.25">
      <c r="A985" s="3" t="str">
        <f ca="1">IF(A984="ID",1,IF(ISBLANK(B985),"",MAX(A$2:A984)+1))</f>
        <v/>
      </c>
      <c r="I985" s="2" t="str">
        <f ca="1">IF(ISNUMBER(A985),
IF(COUNTIFS(Equipar!B:B,4,Equipar!AC:AC,A985),"Equipada",
IF(
  OR(COUNTIFS(Equipar!B:B,4,Equipar!C:C,A985)
 +COUNTIFS(Equipar!B:B,4,Equipar!D:D,A985)
+COUNTIFS(Equipar!B:B,4,Equipar!E:E,A985)
+COUNTIFS(Equipar!B:B,4,Equipar!F:F,A985)
&gt;0,COUNTIF('Set recomendado'!B:B,C985)=0),
"Bloqueada",
"Desechable")),""
)</f>
        <v/>
      </c>
      <c r="J985" t="str" cm="1">
        <f t="array" aca="1" ref="J985" ca="1">IF(ISNUMBER(A985),IFERROR(_xlfn._xlws.FILTER(Equipar!A:A,(Equipar!B:B=4)*(Equipar!AC:AC=A985)),""),"")</f>
        <v/>
      </c>
    </row>
    <row r="986" spans="1:10" x14ac:dyDescent="0.25">
      <c r="A986" s="3" t="str">
        <f ca="1">IF(A985="ID",1,IF(ISBLANK(B986),"",MAX(A$2:A985)+1))</f>
        <v/>
      </c>
      <c r="I986" s="2" t="str">
        <f ca="1">IF(ISNUMBER(A986),
IF(COUNTIFS(Equipar!B:B,4,Equipar!AC:AC,A986),"Equipada",
IF(
  OR(COUNTIFS(Equipar!B:B,4,Equipar!C:C,A986)
 +COUNTIFS(Equipar!B:B,4,Equipar!D:D,A986)
+COUNTIFS(Equipar!B:B,4,Equipar!E:E,A986)
+COUNTIFS(Equipar!B:B,4,Equipar!F:F,A986)
&gt;0,COUNTIF('Set recomendado'!B:B,C986)=0),
"Bloqueada",
"Desechable")),""
)</f>
        <v/>
      </c>
      <c r="J986" t="str" cm="1">
        <f t="array" aca="1" ref="J986" ca="1">IF(ISNUMBER(A986),IFERROR(_xlfn._xlws.FILTER(Equipar!A:A,(Equipar!B:B=4)*(Equipar!AC:AC=A986)),""),"")</f>
        <v/>
      </c>
    </row>
    <row r="987" spans="1:10" x14ac:dyDescent="0.25">
      <c r="A987" s="3" t="str">
        <f ca="1">IF(A986="ID",1,IF(ISBLANK(B987),"",MAX(A$2:A986)+1))</f>
        <v/>
      </c>
      <c r="I987" s="2" t="str">
        <f ca="1">IF(ISNUMBER(A987),
IF(COUNTIFS(Equipar!B:B,4,Equipar!AC:AC,A987),"Equipada",
IF(
  OR(COUNTIFS(Equipar!B:B,4,Equipar!C:C,A987)
 +COUNTIFS(Equipar!B:B,4,Equipar!D:D,A987)
+COUNTIFS(Equipar!B:B,4,Equipar!E:E,A987)
+COUNTIFS(Equipar!B:B,4,Equipar!F:F,A987)
&gt;0,COUNTIF('Set recomendado'!B:B,C987)=0),
"Bloqueada",
"Desechable")),""
)</f>
        <v/>
      </c>
      <c r="J987" t="str" cm="1">
        <f t="array" aca="1" ref="J987" ca="1">IF(ISNUMBER(A987),IFERROR(_xlfn._xlws.FILTER(Equipar!A:A,(Equipar!B:B=4)*(Equipar!AC:AC=A987)),""),"")</f>
        <v/>
      </c>
    </row>
    <row r="988" spans="1:10" x14ac:dyDescent="0.25">
      <c r="A988" s="3" t="str">
        <f ca="1">IF(A987="ID",1,IF(ISBLANK(B988),"",MAX(A$2:A987)+1))</f>
        <v/>
      </c>
      <c r="I988" s="2" t="str">
        <f ca="1">IF(ISNUMBER(A988),
IF(COUNTIFS(Equipar!B:B,4,Equipar!AC:AC,A988),"Equipada",
IF(
  OR(COUNTIFS(Equipar!B:B,4,Equipar!C:C,A988)
 +COUNTIFS(Equipar!B:B,4,Equipar!D:D,A988)
+COUNTIFS(Equipar!B:B,4,Equipar!E:E,A988)
+COUNTIFS(Equipar!B:B,4,Equipar!F:F,A988)
&gt;0,COUNTIF('Set recomendado'!B:B,C988)=0),
"Bloqueada",
"Desechable")),""
)</f>
        <v/>
      </c>
      <c r="J988" t="str" cm="1">
        <f t="array" aca="1" ref="J988" ca="1">IF(ISNUMBER(A988),IFERROR(_xlfn._xlws.FILTER(Equipar!A:A,(Equipar!B:B=4)*(Equipar!AC:AC=A988)),""),"")</f>
        <v/>
      </c>
    </row>
    <row r="989" spans="1:10" x14ac:dyDescent="0.25">
      <c r="A989" s="3" t="str">
        <f ca="1">IF(A988="ID",1,IF(ISBLANK(B989),"",MAX(A$2:A988)+1))</f>
        <v/>
      </c>
      <c r="I989" s="2" t="str">
        <f ca="1">IF(ISNUMBER(A989),
IF(COUNTIFS(Equipar!B:B,4,Equipar!AC:AC,A989),"Equipada",
IF(
  OR(COUNTIFS(Equipar!B:B,4,Equipar!C:C,A989)
 +COUNTIFS(Equipar!B:B,4,Equipar!D:D,A989)
+COUNTIFS(Equipar!B:B,4,Equipar!E:E,A989)
+COUNTIFS(Equipar!B:B,4,Equipar!F:F,A989)
&gt;0,COUNTIF('Set recomendado'!B:B,C989)=0),
"Bloqueada",
"Desechable")),""
)</f>
        <v/>
      </c>
      <c r="J989" t="str" cm="1">
        <f t="array" aca="1" ref="J989" ca="1">IF(ISNUMBER(A989),IFERROR(_xlfn._xlws.FILTER(Equipar!A:A,(Equipar!B:B=4)*(Equipar!AC:AC=A989)),""),"")</f>
        <v/>
      </c>
    </row>
    <row r="990" spans="1:10" x14ac:dyDescent="0.25">
      <c r="A990" s="3" t="str">
        <f ca="1">IF(A989="ID",1,IF(ISBLANK(B990),"",MAX(A$2:A989)+1))</f>
        <v/>
      </c>
      <c r="I990" s="2" t="str">
        <f ca="1">IF(ISNUMBER(A990),
IF(COUNTIFS(Equipar!B:B,4,Equipar!AC:AC,A990),"Equipada",
IF(
  OR(COUNTIFS(Equipar!B:B,4,Equipar!C:C,A990)
 +COUNTIFS(Equipar!B:B,4,Equipar!D:D,A990)
+COUNTIFS(Equipar!B:B,4,Equipar!E:E,A990)
+COUNTIFS(Equipar!B:B,4,Equipar!F:F,A990)
&gt;0,COUNTIF('Set recomendado'!B:B,C990)=0),
"Bloqueada",
"Desechable")),""
)</f>
        <v/>
      </c>
      <c r="J990" t="str" cm="1">
        <f t="array" aca="1" ref="J990" ca="1">IF(ISNUMBER(A990),IFERROR(_xlfn._xlws.FILTER(Equipar!A:A,(Equipar!B:B=4)*(Equipar!AC:AC=A990)),""),"")</f>
        <v/>
      </c>
    </row>
    <row r="991" spans="1:10" x14ac:dyDescent="0.25">
      <c r="A991" s="3" t="str">
        <f ca="1">IF(A990="ID",1,IF(ISBLANK(B991),"",MAX(A$2:A990)+1))</f>
        <v/>
      </c>
      <c r="I991" s="2" t="str">
        <f ca="1">IF(ISNUMBER(A991),
IF(COUNTIFS(Equipar!B:B,4,Equipar!AC:AC,A991),"Equipada",
IF(
  OR(COUNTIFS(Equipar!B:B,4,Equipar!C:C,A991)
 +COUNTIFS(Equipar!B:B,4,Equipar!D:D,A991)
+COUNTIFS(Equipar!B:B,4,Equipar!E:E,A991)
+COUNTIFS(Equipar!B:B,4,Equipar!F:F,A991)
&gt;0,COUNTIF('Set recomendado'!B:B,C991)=0),
"Bloqueada",
"Desechable")),""
)</f>
        <v/>
      </c>
      <c r="J991" t="str" cm="1">
        <f t="array" aca="1" ref="J991" ca="1">IF(ISNUMBER(A991),IFERROR(_xlfn._xlws.FILTER(Equipar!A:A,(Equipar!B:B=4)*(Equipar!AC:AC=A991)),""),"")</f>
        <v/>
      </c>
    </row>
    <row r="992" spans="1:10" x14ac:dyDescent="0.25">
      <c r="A992" s="3" t="str">
        <f ca="1">IF(A991="ID",1,IF(ISBLANK(B992),"",MAX(A$2:A991)+1))</f>
        <v/>
      </c>
      <c r="I992" s="2" t="str">
        <f ca="1">IF(ISNUMBER(A992),
IF(COUNTIFS(Equipar!B:B,4,Equipar!AC:AC,A992),"Equipada",
IF(
  OR(COUNTIFS(Equipar!B:B,4,Equipar!C:C,A992)
 +COUNTIFS(Equipar!B:B,4,Equipar!D:D,A992)
+COUNTIFS(Equipar!B:B,4,Equipar!E:E,A992)
+COUNTIFS(Equipar!B:B,4,Equipar!F:F,A992)
&gt;0,COUNTIF('Set recomendado'!B:B,C992)=0),
"Bloqueada",
"Desechable")),""
)</f>
        <v/>
      </c>
      <c r="J992" t="str" cm="1">
        <f t="array" aca="1" ref="J992" ca="1">IF(ISNUMBER(A992),IFERROR(_xlfn._xlws.FILTER(Equipar!A:A,(Equipar!B:B=4)*(Equipar!AC:AC=A992)),""),"")</f>
        <v/>
      </c>
    </row>
    <row r="993" spans="1:10" x14ac:dyDescent="0.25">
      <c r="A993" s="3" t="str">
        <f ca="1">IF(A992="ID",1,IF(ISBLANK(B993),"",MAX(A$2:A992)+1))</f>
        <v/>
      </c>
      <c r="I993" s="2" t="str">
        <f ca="1">IF(ISNUMBER(A993),
IF(COUNTIFS(Equipar!B:B,4,Equipar!AC:AC,A993),"Equipada",
IF(
  OR(COUNTIFS(Equipar!B:B,4,Equipar!C:C,A993)
 +COUNTIFS(Equipar!B:B,4,Equipar!D:D,A993)
+COUNTIFS(Equipar!B:B,4,Equipar!E:E,A993)
+COUNTIFS(Equipar!B:B,4,Equipar!F:F,A993)
&gt;0,COUNTIF('Set recomendado'!B:B,C993)=0),
"Bloqueada",
"Desechable")),""
)</f>
        <v/>
      </c>
      <c r="J993" t="str" cm="1">
        <f t="array" aca="1" ref="J993" ca="1">IF(ISNUMBER(A993),IFERROR(_xlfn._xlws.FILTER(Equipar!A:A,(Equipar!B:B=4)*(Equipar!AC:AC=A993)),""),"")</f>
        <v/>
      </c>
    </row>
    <row r="994" spans="1:10" x14ac:dyDescent="0.25">
      <c r="A994" s="3" t="str">
        <f ca="1">IF(A993="ID",1,IF(ISBLANK(B994),"",MAX(A$2:A993)+1))</f>
        <v/>
      </c>
      <c r="I994" s="2" t="str">
        <f ca="1">IF(ISNUMBER(A994),
IF(COUNTIFS(Equipar!B:B,4,Equipar!AC:AC,A994),"Equipada",
IF(
  OR(COUNTIFS(Equipar!B:B,4,Equipar!C:C,A994)
 +COUNTIFS(Equipar!B:B,4,Equipar!D:D,A994)
+COUNTIFS(Equipar!B:B,4,Equipar!E:E,A994)
+COUNTIFS(Equipar!B:B,4,Equipar!F:F,A994)
&gt;0,COUNTIF('Set recomendado'!B:B,C994)=0),
"Bloqueada",
"Desechable")),""
)</f>
        <v/>
      </c>
      <c r="J994" t="str" cm="1">
        <f t="array" aca="1" ref="J994" ca="1">IF(ISNUMBER(A994),IFERROR(_xlfn._xlws.FILTER(Equipar!A:A,(Equipar!B:B=4)*(Equipar!AC:AC=A994)),""),"")</f>
        <v/>
      </c>
    </row>
    <row r="995" spans="1:10" x14ac:dyDescent="0.25">
      <c r="A995" s="3" t="str">
        <f ca="1">IF(A994="ID",1,IF(ISBLANK(B995),"",MAX(A$2:A994)+1))</f>
        <v/>
      </c>
      <c r="I995" s="2" t="str">
        <f ca="1">IF(ISNUMBER(A995),
IF(COUNTIFS(Equipar!B:B,4,Equipar!AC:AC,A995),"Equipada",
IF(
  OR(COUNTIFS(Equipar!B:B,4,Equipar!C:C,A995)
 +COUNTIFS(Equipar!B:B,4,Equipar!D:D,A995)
+COUNTIFS(Equipar!B:B,4,Equipar!E:E,A995)
+COUNTIFS(Equipar!B:B,4,Equipar!F:F,A995)
&gt;0,COUNTIF('Set recomendado'!B:B,C995)=0),
"Bloqueada",
"Desechable")),""
)</f>
        <v/>
      </c>
      <c r="J995" t="str" cm="1">
        <f t="array" aca="1" ref="J995" ca="1">IF(ISNUMBER(A995),IFERROR(_xlfn._xlws.FILTER(Equipar!A:A,(Equipar!B:B=4)*(Equipar!AC:AC=A995)),""),"")</f>
        <v/>
      </c>
    </row>
    <row r="996" spans="1:10" x14ac:dyDescent="0.25">
      <c r="A996" s="3" t="str">
        <f ca="1">IF(A995="ID",1,IF(ISBLANK(B996),"",MAX(A$2:A995)+1))</f>
        <v/>
      </c>
      <c r="I996" s="2" t="str">
        <f ca="1">IF(ISNUMBER(A996),
IF(COUNTIFS(Equipar!B:B,4,Equipar!AC:AC,A996),"Equipada",
IF(
  OR(COUNTIFS(Equipar!B:B,4,Equipar!C:C,A996)
 +COUNTIFS(Equipar!B:B,4,Equipar!D:D,A996)
+COUNTIFS(Equipar!B:B,4,Equipar!E:E,A996)
+COUNTIFS(Equipar!B:B,4,Equipar!F:F,A996)
&gt;0,COUNTIF('Set recomendado'!B:B,C996)=0),
"Bloqueada",
"Desechable")),""
)</f>
        <v/>
      </c>
      <c r="J996" t="str" cm="1">
        <f t="array" aca="1" ref="J996" ca="1">IF(ISNUMBER(A996),IFERROR(_xlfn._xlws.FILTER(Equipar!A:A,(Equipar!B:B=4)*(Equipar!AC:AC=A996)),""),"")</f>
        <v/>
      </c>
    </row>
    <row r="997" spans="1:10" x14ac:dyDescent="0.25">
      <c r="A997" s="3" t="str">
        <f ca="1">IF(A996="ID",1,IF(ISBLANK(B997),"",MAX(A$2:A996)+1))</f>
        <v/>
      </c>
      <c r="I997" s="2" t="str">
        <f ca="1">IF(ISNUMBER(A997),
IF(COUNTIFS(Equipar!B:B,4,Equipar!AC:AC,A997),"Equipada",
IF(
  OR(COUNTIFS(Equipar!B:B,4,Equipar!C:C,A997)
 +COUNTIFS(Equipar!B:B,4,Equipar!D:D,A997)
+COUNTIFS(Equipar!B:B,4,Equipar!E:E,A997)
+COUNTIFS(Equipar!B:B,4,Equipar!F:F,A997)
&gt;0,COUNTIF('Set recomendado'!B:B,C997)=0),
"Bloqueada",
"Desechable")),""
)</f>
        <v/>
      </c>
      <c r="J997" t="str" cm="1">
        <f t="array" aca="1" ref="J997" ca="1">IF(ISNUMBER(A997),IFERROR(_xlfn._xlws.FILTER(Equipar!A:A,(Equipar!B:B=4)*(Equipar!AC:AC=A997)),""),"")</f>
        <v/>
      </c>
    </row>
    <row r="998" spans="1:10" x14ac:dyDescent="0.25">
      <c r="A998" s="3" t="str">
        <f ca="1">IF(A997="ID",1,IF(ISBLANK(B998),"",MAX(A$2:A997)+1))</f>
        <v/>
      </c>
      <c r="I998" s="2" t="str">
        <f ca="1">IF(ISNUMBER(A998),
IF(COUNTIFS(Equipar!B:B,4,Equipar!AC:AC,A998),"Equipada",
IF(
  OR(COUNTIFS(Equipar!B:B,4,Equipar!C:C,A998)
 +COUNTIFS(Equipar!B:B,4,Equipar!D:D,A998)
+COUNTIFS(Equipar!B:B,4,Equipar!E:E,A998)
+COUNTIFS(Equipar!B:B,4,Equipar!F:F,A998)
&gt;0,COUNTIF('Set recomendado'!B:B,C998)=0),
"Bloqueada",
"Desechable")),""
)</f>
        <v/>
      </c>
      <c r="J998" t="str" cm="1">
        <f t="array" aca="1" ref="J998" ca="1">IF(ISNUMBER(A998),IFERROR(_xlfn._xlws.FILTER(Equipar!A:A,(Equipar!B:B=4)*(Equipar!AC:AC=A998)),""),"")</f>
        <v/>
      </c>
    </row>
    <row r="999" spans="1:10" x14ac:dyDescent="0.25">
      <c r="A999" s="3" t="str">
        <f ca="1">IF(A998="ID",1,IF(ISBLANK(B999),"",MAX(A$2:A998)+1))</f>
        <v/>
      </c>
      <c r="I999" s="2" t="str">
        <f ca="1">IF(ISNUMBER(A999),
IF(COUNTIFS(Equipar!B:B,4,Equipar!AC:AC,A999),"Equipada",
IF(
  OR(COUNTIFS(Equipar!B:B,4,Equipar!C:C,A999)
 +COUNTIFS(Equipar!B:B,4,Equipar!D:D,A999)
+COUNTIFS(Equipar!B:B,4,Equipar!E:E,A999)
+COUNTIFS(Equipar!B:B,4,Equipar!F:F,A999)
&gt;0,COUNTIF('Set recomendado'!B:B,C999)=0),
"Bloqueada",
"Desechable")),""
)</f>
        <v/>
      </c>
      <c r="J999" t="str" cm="1">
        <f t="array" aca="1" ref="J999" ca="1">IF(ISNUMBER(A999),IFERROR(_xlfn._xlws.FILTER(Equipar!A:A,(Equipar!B:B=4)*(Equipar!AC:AC=A999)),""),"")</f>
        <v/>
      </c>
    </row>
    <row r="1000" spans="1:10" x14ac:dyDescent="0.25">
      <c r="A1000" s="3" t="str">
        <f ca="1">IF(A999="ID",1,IF(ISBLANK(B1000),"",MAX(A$2:A999)+1))</f>
        <v/>
      </c>
      <c r="I1000" s="2" t="str">
        <f ca="1">IF(ISNUMBER(A1000),
IF(COUNTIFS(Equipar!B:B,4,Equipar!AC:AC,A1000),"Equipada",
IF(
  OR(COUNTIFS(Equipar!B:B,4,Equipar!C:C,A1000)
 +COUNTIFS(Equipar!B:B,4,Equipar!D:D,A1000)
+COUNTIFS(Equipar!B:B,4,Equipar!E:E,A1000)
+COUNTIFS(Equipar!B:B,4,Equipar!F:F,A1000)
&gt;0,COUNTIF('Set recomendado'!B:B,C1000)=0),
"Bloqueada",
"Desechable")),""
)</f>
        <v/>
      </c>
      <c r="J1000" t="str" cm="1">
        <f t="array" aca="1" ref="J1000" ca="1">IF(ISNUMBER(A1000),IFERROR(_xlfn._xlws.FILTER(Equipar!A:A,(Equipar!B:B=4)*(Equipar!AC:AC=A1000)),""),"")</f>
        <v/>
      </c>
    </row>
  </sheetData>
  <autoFilter ref="A1:K178" xr:uid="{9E119818-E0EE-4E3A-BE9E-86A315C1842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150A-D3E0-49F0-88D2-75C1A81E195D}">
  <dimension ref="A1:K1000"/>
  <sheetViews>
    <sheetView workbookViewId="0">
      <selection activeCell="K1" sqref="K1:K1048576"/>
    </sheetView>
  </sheetViews>
  <sheetFormatPr baseColWidth="10" defaultColWidth="9.140625" defaultRowHeight="15" x14ac:dyDescent="0.25"/>
  <cols>
    <col min="1" max="1" width="5" bestFit="1" customWidth="1"/>
    <col min="2" max="2" width="10.7109375" bestFit="1" customWidth="1"/>
    <col min="3" max="3" width="23.28515625" bestFit="1" customWidth="1"/>
    <col min="4" max="4" width="11.28515625" bestFit="1" customWidth="1"/>
    <col min="5" max="7" width="16.85546875" bestFit="1" customWidth="1"/>
    <col min="8" max="8" width="15.7109375" bestFit="1" customWidth="1"/>
    <col min="9" max="9" width="12.42578125" bestFit="1" customWidth="1"/>
    <col min="10" max="10" width="11.28515625" bestFit="1" customWidth="1"/>
    <col min="11" max="11" width="8.28515625" bestFit="1" customWidth="1"/>
  </cols>
  <sheetData>
    <row r="1" spans="1:1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t="s">
        <v>94</v>
      </c>
      <c r="J1" s="1" t="s">
        <v>0</v>
      </c>
      <c r="K1" s="1"/>
    </row>
    <row r="2" spans="1:11" x14ac:dyDescent="0.25">
      <c r="A2" s="1">
        <v>1</v>
      </c>
      <c r="B2" s="1" t="s">
        <v>53</v>
      </c>
      <c r="C2" s="1" t="s">
        <v>4</v>
      </c>
      <c r="D2" s="1" t="s">
        <v>38</v>
      </c>
      <c r="E2" s="1" t="s">
        <v>37</v>
      </c>
      <c r="F2" s="1" t="s">
        <v>37</v>
      </c>
      <c r="G2" s="1" t="s">
        <v>33</v>
      </c>
      <c r="H2" s="1" t="s">
        <v>38</v>
      </c>
      <c r="I2" s="2" t="str">
        <f ca="1">IF(ISNUMBER(A2),
IF(COUNTIFS(Equipar!B:B,5,Equipar!AC:AC,A2),"Equipada",
IF(
 OR( COUNTIFS(Equipar!B:B,5,Equipar!C:C,A2)
 +COUNTIFS(Equipar!B:B,5,Equipar!D:D,A2)
+COUNTIFS(Equipar!B:B,5,Equipar!E:E,A2)
+COUNTIFS(Equipar!B:B,5,Equipar!F:F,A2)
&gt;0,COUNTIF('Set recomendado'!B:B,C2)=0),
"Bloqueada",
"Desechable")),""
)</f>
        <v>Bloqueada</v>
      </c>
      <c r="J2" t="str" cm="1">
        <f t="array" ref="J2">IF(ISNUMBER(A2),IFERROR(_xlfn._xlws.FILTER(Equipar!A:A,(Equipar!B:B=5)*(Equipar!AC:AC=A2)),""),"")</f>
        <v/>
      </c>
    </row>
    <row r="3" spans="1:11" x14ac:dyDescent="0.25">
      <c r="A3" s="1">
        <v>2</v>
      </c>
      <c r="B3" s="1" t="s">
        <v>53</v>
      </c>
      <c r="C3" s="1" t="s">
        <v>4</v>
      </c>
      <c r="D3" s="1" t="s">
        <v>38</v>
      </c>
      <c r="E3" s="1" t="s">
        <v>41</v>
      </c>
      <c r="F3" s="1" t="s">
        <v>40</v>
      </c>
      <c r="G3" s="1" t="s">
        <v>32</v>
      </c>
      <c r="H3" s="1" t="s">
        <v>43</v>
      </c>
      <c r="I3" s="2" t="str">
        <f ca="1">IF(ISNUMBER(A3),
IF(COUNTIFS(Equipar!B:B,5,Equipar!AC:AC,A3),"Equipada",
IF(
 OR( COUNTIFS(Equipar!B:B,5,Equipar!C:C,A3)
 +COUNTIFS(Equipar!B:B,5,Equipar!D:D,A3)
+COUNTIFS(Equipar!B:B,5,Equipar!E:E,A3)
+COUNTIFS(Equipar!B:B,5,Equipar!F:F,A3)
&gt;0,COUNTIF('Set recomendado'!B:B,C3)=0),
"Bloqueada",
"Desechable")),""
)</f>
        <v>Bloqueada</v>
      </c>
      <c r="J3" t="str" cm="1">
        <f t="array" ref="J3">IF(ISNUMBER(A3),IFERROR(_xlfn._xlws.FILTER(Equipar!A:A,(Equipar!B:B=5)*(Equipar!AC:AC=A3)),""),"")</f>
        <v/>
      </c>
    </row>
    <row r="4" spans="1:11" x14ac:dyDescent="0.25">
      <c r="A4" s="1">
        <v>3</v>
      </c>
      <c r="B4" s="1" t="s">
        <v>53</v>
      </c>
      <c r="C4" s="1" t="s">
        <v>4</v>
      </c>
      <c r="D4" s="1" t="s">
        <v>38</v>
      </c>
      <c r="E4" s="1" t="s">
        <v>32</v>
      </c>
      <c r="F4" s="1" t="s">
        <v>36</v>
      </c>
      <c r="G4" s="1" t="s">
        <v>33</v>
      </c>
      <c r="H4" s="1" t="s">
        <v>37</v>
      </c>
      <c r="I4" s="2" t="str">
        <f>IF(ISNUMBER(A4),
IF(COUNTIFS(Equipar!B:B,5,Equipar!AC:AC,A4),"Equipada",
IF(
 OR( COUNTIFS(Equipar!B:B,5,Equipar!C:C,A4)
 +COUNTIFS(Equipar!B:B,5,Equipar!D:D,A4)
+COUNTIFS(Equipar!B:B,5,Equipar!E:E,A4)
+COUNTIFS(Equipar!B:B,5,Equipar!F:F,A4)
&gt;0,COUNTIF('Set recomendado'!B:B,C4)=0),
"Bloqueada",
"Desechable")),""
)</f>
        <v>Equipada</v>
      </c>
      <c r="J4" t="str" cm="1">
        <f t="array" ref="J4">IF(ISNUMBER(A4),IFERROR(_xlfn._xlws.FILTER(Equipar!A:A,(Equipar!B:B=5)*(Equipar!AC:AC=A4)),""),"")</f>
        <v>Hoshiumi</v>
      </c>
    </row>
    <row r="5" spans="1:11" x14ac:dyDescent="0.25">
      <c r="A5" s="1">
        <v>4</v>
      </c>
      <c r="B5" s="1" t="s">
        <v>53</v>
      </c>
      <c r="C5" s="1" t="s">
        <v>4</v>
      </c>
      <c r="D5" s="1" t="s">
        <v>38</v>
      </c>
      <c r="E5" s="1" t="s">
        <v>38</v>
      </c>
      <c r="F5" s="1" t="s">
        <v>36</v>
      </c>
      <c r="G5" s="1" t="s">
        <v>34</v>
      </c>
      <c r="H5" s="1" t="s">
        <v>43</v>
      </c>
      <c r="I5" s="2" t="str">
        <f>IF(ISNUMBER(A5),
IF(COUNTIFS(Equipar!B:B,5,Equipar!AC:AC,A5),"Equipada",
IF(
 OR( COUNTIFS(Equipar!B:B,5,Equipar!C:C,A5)
 +COUNTIFS(Equipar!B:B,5,Equipar!D:D,A5)
+COUNTIFS(Equipar!B:B,5,Equipar!E:E,A5)
+COUNTIFS(Equipar!B:B,5,Equipar!F:F,A5)
&gt;0,COUNTIF('Set recomendado'!B:B,C5)=0),
"Bloqueada",
"Desechable")),""
)</f>
        <v>Equipada</v>
      </c>
      <c r="J5" t="str" cm="1">
        <f t="array" ref="J5">IF(ISNUMBER(A5),IFERROR(_xlfn._xlws.FILTER(Equipar!A:A,(Equipar!B:B=5)*(Equipar!AC:AC=A5)),""),"")</f>
        <v>Iwaizumi</v>
      </c>
    </row>
    <row r="6" spans="1:11" x14ac:dyDescent="0.25">
      <c r="A6" s="1">
        <v>6</v>
      </c>
      <c r="B6" s="1" t="s">
        <v>53</v>
      </c>
      <c r="C6" s="1" t="s">
        <v>4</v>
      </c>
      <c r="D6" s="1" t="s">
        <v>38</v>
      </c>
      <c r="E6" s="1" t="s">
        <v>37</v>
      </c>
      <c r="F6" s="1" t="s">
        <v>36</v>
      </c>
      <c r="G6" s="1" t="s">
        <v>38</v>
      </c>
      <c r="H6" s="1" t="s">
        <v>38</v>
      </c>
      <c r="I6" s="2" t="str">
        <f>IF(ISNUMBER(A6),
IF(COUNTIFS(Equipar!B:B,5,Equipar!AC:AC,A6),"Equipada",
IF(
 OR( COUNTIFS(Equipar!B:B,5,Equipar!C:C,A6)
 +COUNTIFS(Equipar!B:B,5,Equipar!D:D,A6)
+COUNTIFS(Equipar!B:B,5,Equipar!E:E,A6)
+COUNTIFS(Equipar!B:B,5,Equipar!F:F,A6)
&gt;0,COUNTIF('Set recomendado'!B:B,C6)=0),
"Bloqueada",
"Desechable")),""
)</f>
        <v>Equipada</v>
      </c>
      <c r="J6" t="str" cm="1">
        <f t="array" ref="J6">IF(ISNUMBER(A6),IFERROR(_xlfn._xlws.FILTER(Equipar!A:A,(Equipar!B:B=5)*(Equipar!AC:AC=A6)),""),"")</f>
        <v>Sakusa</v>
      </c>
    </row>
    <row r="7" spans="1:11" x14ac:dyDescent="0.25">
      <c r="A7" s="1">
        <v>8</v>
      </c>
      <c r="B7" t="s">
        <v>53</v>
      </c>
      <c r="C7" t="s">
        <v>4</v>
      </c>
      <c r="D7" t="s">
        <v>38</v>
      </c>
      <c r="E7" t="s">
        <v>37</v>
      </c>
      <c r="F7" t="s">
        <v>42</v>
      </c>
      <c r="G7" t="s">
        <v>32</v>
      </c>
      <c r="I7" s="2" t="str">
        <f ca="1">IF(ISNUMBER(A7),
IF(COUNTIFS(Equipar!B:B,5,Equipar!AC:AC,A7),"Equipada",
IF(
 OR( COUNTIFS(Equipar!B:B,5,Equipar!C:C,A7)
 +COUNTIFS(Equipar!B:B,5,Equipar!D:D,A7)
+COUNTIFS(Equipar!B:B,5,Equipar!E:E,A7)
+COUNTIFS(Equipar!B:B,5,Equipar!F:F,A7)
&gt;0,COUNTIF('Set recomendado'!B:B,C7)=0),
"Bloqueada",
"Desechable")),""
)</f>
        <v>Desechable</v>
      </c>
      <c r="J7" t="str" cm="1">
        <f t="array" ref="J7">IF(ISNUMBER(A7),IFERROR(_xlfn._xlws.FILTER(Equipar!A:A,(Equipar!B:B=5)*(Equipar!AC:AC=A7)),""),"")</f>
        <v/>
      </c>
    </row>
    <row r="8" spans="1:11" x14ac:dyDescent="0.25">
      <c r="A8" s="1">
        <v>35</v>
      </c>
      <c r="B8" t="s">
        <v>53</v>
      </c>
      <c r="C8" t="s">
        <v>9</v>
      </c>
      <c r="D8" t="s">
        <v>38</v>
      </c>
      <c r="E8" t="s">
        <v>36</v>
      </c>
      <c r="F8" t="s">
        <v>42</v>
      </c>
      <c r="G8" t="s">
        <v>32</v>
      </c>
      <c r="I8" s="2" t="str">
        <f ca="1">IF(ISNUMBER(A8),
IF(COUNTIFS(Equipar!B:B,5,Equipar!AC:AC,A8),"Equipada",
IF(
 OR( COUNTIFS(Equipar!B:B,5,Equipar!C:C,A8)
 +COUNTIFS(Equipar!B:B,5,Equipar!D:D,A8)
+COUNTIFS(Equipar!B:B,5,Equipar!E:E,A8)
+COUNTIFS(Equipar!B:B,5,Equipar!F:F,A8)
&gt;0,COUNTIF('Set recomendado'!B:B,C8)=0),
"Bloqueada",
"Desechable")),""
)</f>
        <v>Desechable</v>
      </c>
      <c r="J8" t="str" cm="1">
        <f t="array" ref="J8">IF(ISNUMBER(A8),IFERROR(_xlfn._xlws.FILTER(Equipar!A:A,(Equipar!B:B=5)*(Equipar!AC:AC=A8)),""),"")</f>
        <v/>
      </c>
    </row>
    <row r="9" spans="1:11" x14ac:dyDescent="0.25">
      <c r="A9" s="1">
        <v>36</v>
      </c>
      <c r="B9" t="s">
        <v>53</v>
      </c>
      <c r="C9" t="s">
        <v>9</v>
      </c>
      <c r="D9" t="s">
        <v>38</v>
      </c>
      <c r="E9" t="s">
        <v>36</v>
      </c>
      <c r="F9" t="s">
        <v>43</v>
      </c>
      <c r="G9" t="s">
        <v>36</v>
      </c>
      <c r="H9" t="s">
        <v>38</v>
      </c>
      <c r="I9" s="2" t="str">
        <f>IF(ISNUMBER(A9),
IF(COUNTIFS(Equipar!B:B,5,Equipar!AC:AC,A9),"Equipada",
IF(
 OR( COUNTIFS(Equipar!B:B,5,Equipar!C:C,A9)
 +COUNTIFS(Equipar!B:B,5,Equipar!D:D,A9)
+COUNTIFS(Equipar!B:B,5,Equipar!E:E,A9)
+COUNTIFS(Equipar!B:B,5,Equipar!F:F,A9)
&gt;0,COUNTIF('Set recomendado'!B:B,C9)=0),
"Bloqueada",
"Desechable")),""
)</f>
        <v>Equipada</v>
      </c>
      <c r="J9" t="str" cm="1">
        <f t="array" ref="J9">IF(ISNUMBER(A9),IFERROR(_xlfn._xlws.FILTER(Equipar!A:A,(Equipar!B:B=5)*(Equipar!AC:AC=A9)),""),"")</f>
        <v>Oikawa</v>
      </c>
    </row>
    <row r="10" spans="1:11" x14ac:dyDescent="0.25">
      <c r="A10" s="1">
        <v>38</v>
      </c>
      <c r="B10" t="s">
        <v>53</v>
      </c>
      <c r="C10" t="s">
        <v>10</v>
      </c>
      <c r="D10" t="s">
        <v>38</v>
      </c>
      <c r="E10" t="s">
        <v>43</v>
      </c>
      <c r="F10" t="s">
        <v>32</v>
      </c>
      <c r="G10" t="s">
        <v>42</v>
      </c>
      <c r="H10" t="s">
        <v>36</v>
      </c>
      <c r="I10" s="2" t="str">
        <f ca="1">IF(ISNUMBER(A10),
IF(COUNTIFS(Equipar!B:B,5,Equipar!AC:AC,A10),"Equipada",
IF(
 OR( COUNTIFS(Equipar!B:B,5,Equipar!C:C,A10)
 +COUNTIFS(Equipar!B:B,5,Equipar!D:D,A10)
+COUNTIFS(Equipar!B:B,5,Equipar!E:E,A10)
+COUNTIFS(Equipar!B:B,5,Equipar!F:F,A10)
&gt;0,COUNTIF('Set recomendado'!B:B,C10)=0),
"Bloqueada",
"Desechable")),""
)</f>
        <v>Desechable</v>
      </c>
      <c r="J10" t="str" cm="1">
        <f t="array" ref="J10">IF(ISNUMBER(A10),IFERROR(_xlfn._xlws.FILTER(Equipar!A:A,(Equipar!B:B=5)*(Equipar!AC:AC=A10)),""),"")</f>
        <v/>
      </c>
    </row>
    <row r="11" spans="1:11" x14ac:dyDescent="0.25">
      <c r="A11" s="1">
        <v>39</v>
      </c>
      <c r="B11" t="s">
        <v>53</v>
      </c>
      <c r="C11" t="s">
        <v>10</v>
      </c>
      <c r="D11" t="s">
        <v>38</v>
      </c>
      <c r="E11" t="s">
        <v>36</v>
      </c>
      <c r="F11" t="s">
        <v>32</v>
      </c>
      <c r="G11" t="s">
        <v>42</v>
      </c>
      <c r="I11" s="2" t="str">
        <f ca="1">IF(ISNUMBER(A11),
IF(COUNTIFS(Equipar!B:B,5,Equipar!AC:AC,A11),"Equipada",
IF(
 OR( COUNTIFS(Equipar!B:B,5,Equipar!C:C,A11)
 +COUNTIFS(Equipar!B:B,5,Equipar!D:D,A11)
+COUNTIFS(Equipar!B:B,5,Equipar!E:E,A11)
+COUNTIFS(Equipar!B:B,5,Equipar!F:F,A11)
&gt;0,COUNTIF('Set recomendado'!B:B,C11)=0),
"Bloqueada",
"Desechable")),""
)</f>
        <v>Desechable</v>
      </c>
      <c r="J11" t="str" cm="1">
        <f t="array" ref="J11">IF(ISNUMBER(A11),IFERROR(_xlfn._xlws.FILTER(Equipar!A:A,(Equipar!B:B=5)*(Equipar!AC:AC=A11)),""),"")</f>
        <v/>
      </c>
    </row>
    <row r="12" spans="1:11" x14ac:dyDescent="0.25">
      <c r="A12" s="1">
        <v>40</v>
      </c>
      <c r="B12" t="s">
        <v>54</v>
      </c>
      <c r="C12" t="s">
        <v>10</v>
      </c>
      <c r="D12" t="s">
        <v>38</v>
      </c>
      <c r="E12" t="s">
        <v>36</v>
      </c>
      <c r="F12" t="s">
        <v>43</v>
      </c>
      <c r="G12" t="s">
        <v>41</v>
      </c>
      <c r="H12" t="s">
        <v>42</v>
      </c>
      <c r="I12" s="2" t="str">
        <f>IF(ISNUMBER(A12),
IF(COUNTIFS(Equipar!B:B,5,Equipar!AC:AC,A12),"Equipada",
IF(
 OR( COUNTIFS(Equipar!B:B,5,Equipar!C:C,A12)
 +COUNTIFS(Equipar!B:B,5,Equipar!D:D,A12)
+COUNTIFS(Equipar!B:B,5,Equipar!E:E,A12)
+COUNTIFS(Equipar!B:B,5,Equipar!F:F,A12)
&gt;0,COUNTIF('Set recomendado'!B:B,C12)=0),
"Bloqueada",
"Desechable")),""
)</f>
        <v>Equipada</v>
      </c>
      <c r="J12" t="str" cm="1">
        <f t="array" ref="J12">IF(ISNUMBER(A12),IFERROR(_xlfn._xlws.FILTER(Equipar!A:A,(Equipar!B:B=5)*(Equipar!AC:AC=A12)),""),"")</f>
        <v>Sugawara</v>
      </c>
    </row>
    <row r="13" spans="1:11" x14ac:dyDescent="0.25">
      <c r="A13" s="1">
        <v>63</v>
      </c>
      <c r="B13" t="s">
        <v>54</v>
      </c>
      <c r="C13" t="s">
        <v>5</v>
      </c>
      <c r="D13" t="s">
        <v>38</v>
      </c>
      <c r="E13" t="s">
        <v>32</v>
      </c>
      <c r="F13" t="s">
        <v>36</v>
      </c>
      <c r="I13" s="2" t="str">
        <f ca="1">IF(ISNUMBER(A13),
IF(COUNTIFS(Equipar!B:B,5,Equipar!AC:AC,A13),"Equipada",
IF(
 OR( COUNTIFS(Equipar!B:B,5,Equipar!C:C,A13)
 +COUNTIFS(Equipar!B:B,5,Equipar!D:D,A13)
+COUNTIFS(Equipar!B:B,5,Equipar!E:E,A13)
+COUNTIFS(Equipar!B:B,5,Equipar!F:F,A13)
&gt;0,COUNTIF('Set recomendado'!B:B,C13)=0),
"Bloqueada",
"Desechable")),""
)</f>
        <v>Bloqueada</v>
      </c>
      <c r="J13" t="str" cm="1">
        <f t="array" ref="J13">IF(ISNUMBER(A13),IFERROR(_xlfn._xlws.FILTER(Equipar!A:A,(Equipar!B:B=5)*(Equipar!AC:AC=A13)),""),"")</f>
        <v/>
      </c>
    </row>
    <row r="14" spans="1:11" x14ac:dyDescent="0.25">
      <c r="A14" s="1">
        <v>68</v>
      </c>
      <c r="B14" t="s">
        <v>53</v>
      </c>
      <c r="C14" t="s">
        <v>13</v>
      </c>
      <c r="D14" t="s">
        <v>38</v>
      </c>
      <c r="E14" t="s">
        <v>38</v>
      </c>
      <c r="F14" t="s">
        <v>36</v>
      </c>
      <c r="G14" t="s">
        <v>42</v>
      </c>
      <c r="I14" s="2" t="str">
        <f ca="1">IF(ISNUMBER(A14),
IF(COUNTIFS(Equipar!B:B,5,Equipar!AC:AC,A14),"Equipada",
IF(
 OR( COUNTIFS(Equipar!B:B,5,Equipar!C:C,A14)
 +COUNTIFS(Equipar!B:B,5,Equipar!D:D,A14)
+COUNTIFS(Equipar!B:B,5,Equipar!E:E,A14)
+COUNTIFS(Equipar!B:B,5,Equipar!F:F,A14)
&gt;0,COUNTIF('Set recomendado'!B:B,C14)=0),
"Bloqueada",
"Desechable")),""
)</f>
        <v>Bloqueada</v>
      </c>
      <c r="J14" t="str" cm="1">
        <f t="array" ref="J14">IF(ISNUMBER(A14),IFERROR(_xlfn._xlws.FILTER(Equipar!A:A,(Equipar!B:B=5)*(Equipar!AC:AC=A14)),""),"")</f>
        <v/>
      </c>
    </row>
    <row r="15" spans="1:11" x14ac:dyDescent="0.25">
      <c r="A15" s="1">
        <v>69</v>
      </c>
      <c r="B15" t="s">
        <v>53</v>
      </c>
      <c r="C15" t="s">
        <v>14</v>
      </c>
      <c r="D15" t="s">
        <v>38</v>
      </c>
      <c r="E15" t="s">
        <v>42</v>
      </c>
      <c r="F15" t="s">
        <v>44</v>
      </c>
      <c r="G15" t="s">
        <v>32</v>
      </c>
      <c r="I15" s="2" t="str">
        <f ca="1">IF(ISNUMBER(A15),
IF(COUNTIFS(Equipar!B:B,5,Equipar!AC:AC,A15),"Equipada",
IF(
 OR( COUNTIFS(Equipar!B:B,5,Equipar!C:C,A15)
 +COUNTIFS(Equipar!B:B,5,Equipar!D:D,A15)
+COUNTIFS(Equipar!B:B,5,Equipar!E:E,A15)
+COUNTIFS(Equipar!B:B,5,Equipar!F:F,A15)
&gt;0,COUNTIF('Set recomendado'!B:B,C15)=0),
"Bloqueada",
"Desechable")),""
)</f>
        <v>Desechable</v>
      </c>
      <c r="J15" t="str" cm="1">
        <f t="array" ref="J15">IF(ISNUMBER(A15),IFERROR(_xlfn._xlws.FILTER(Equipar!A:A,(Equipar!B:B=5)*(Equipar!AC:AC=A15)),""),"")</f>
        <v/>
      </c>
    </row>
    <row r="16" spans="1:11" x14ac:dyDescent="0.25">
      <c r="A16" s="1">
        <v>71</v>
      </c>
      <c r="B16" t="s">
        <v>54</v>
      </c>
      <c r="C16" t="s">
        <v>13</v>
      </c>
      <c r="D16" t="s">
        <v>38</v>
      </c>
      <c r="E16" t="s">
        <v>37</v>
      </c>
      <c r="F16" t="s">
        <v>36</v>
      </c>
      <c r="G16" t="s">
        <v>42</v>
      </c>
      <c r="I16" s="2" t="str">
        <f>IF(ISNUMBER(A16),
IF(COUNTIFS(Equipar!B:B,5,Equipar!AC:AC,A16),"Equipada",
IF(
 OR( COUNTIFS(Equipar!B:B,5,Equipar!C:C,A16)
 +COUNTIFS(Equipar!B:B,5,Equipar!D:D,A16)
+COUNTIFS(Equipar!B:B,5,Equipar!E:E,A16)
+COUNTIFS(Equipar!B:B,5,Equipar!F:F,A16)
&gt;0,COUNTIF('Set recomendado'!B:B,C16)=0),
"Bloqueada",
"Desechable")),""
)</f>
        <v>Equipada</v>
      </c>
      <c r="J16" t="str" cm="1">
        <f t="array" ref="J16">IF(ISNUMBER(A16),IFERROR(_xlfn._xlws.FILTER(Equipar!A:A,(Equipar!B:B=5)*(Equipar!AC:AC=A16)),""),"")</f>
        <v>Hinata</v>
      </c>
    </row>
    <row r="17" spans="1:10" x14ac:dyDescent="0.25">
      <c r="A17" s="1">
        <v>85</v>
      </c>
      <c r="B17" t="s">
        <v>54</v>
      </c>
      <c r="C17" t="s">
        <v>14</v>
      </c>
      <c r="D17" t="s">
        <v>38</v>
      </c>
      <c r="E17" t="s">
        <v>36</v>
      </c>
      <c r="F17" t="s">
        <v>42</v>
      </c>
      <c r="G17" t="s">
        <v>35</v>
      </c>
      <c r="I17" s="2" t="str">
        <f>IF(ISNUMBER(A17),
IF(COUNTIFS(Equipar!B:B,5,Equipar!AC:AC,A17),"Equipada",
IF(
 OR( COUNTIFS(Equipar!B:B,5,Equipar!C:C,A17)
 +COUNTIFS(Equipar!B:B,5,Equipar!D:D,A17)
+COUNTIFS(Equipar!B:B,5,Equipar!E:E,A17)
+COUNTIFS(Equipar!B:B,5,Equipar!F:F,A17)
&gt;0,COUNTIF('Set recomendado'!B:B,C17)=0),
"Bloqueada",
"Desechable")),""
)</f>
        <v>Equipada</v>
      </c>
      <c r="J17" t="str" cm="1">
        <f t="array" ref="J17">IF(ISNUMBER(A17),IFERROR(_xlfn._xlws.FILTER(Equipar!A:A,(Equipar!B:B=5)*(Equipar!AC:AC=A17)),""),"")</f>
        <v>Osamu</v>
      </c>
    </row>
    <row r="18" spans="1:10" x14ac:dyDescent="0.25">
      <c r="A18" s="1">
        <v>86</v>
      </c>
      <c r="B18" t="s">
        <v>53</v>
      </c>
      <c r="C18" t="s">
        <v>23</v>
      </c>
      <c r="D18" t="s">
        <v>38</v>
      </c>
      <c r="E18" t="s">
        <v>37</v>
      </c>
      <c r="F18" t="s">
        <v>43</v>
      </c>
      <c r="G18" t="s">
        <v>32</v>
      </c>
      <c r="I18" s="2" t="str">
        <f ca="1">IF(ISNUMBER(A18),
IF(COUNTIFS(Equipar!B:B,5,Equipar!AC:AC,A18),"Equipada",
IF(
 OR( COUNTIFS(Equipar!B:B,5,Equipar!C:C,A18)
 +COUNTIFS(Equipar!B:B,5,Equipar!D:D,A18)
+COUNTIFS(Equipar!B:B,5,Equipar!E:E,A18)
+COUNTIFS(Equipar!B:B,5,Equipar!F:F,A18)
&gt;0,COUNTIF('Set recomendado'!B:B,C18)=0),
"Bloqueada",
"Desechable")),""
)</f>
        <v>Desechable</v>
      </c>
      <c r="J18" t="str" cm="1">
        <f t="array" ref="J18">IF(ISNUMBER(A18),IFERROR(_xlfn._xlws.FILTER(Equipar!A:A,(Equipar!B:B=5)*(Equipar!AC:AC=A18)),""),"")</f>
        <v/>
      </c>
    </row>
    <row r="19" spans="1:10" x14ac:dyDescent="0.25">
      <c r="A19" s="1">
        <v>96</v>
      </c>
      <c r="B19" t="s">
        <v>53</v>
      </c>
      <c r="C19" t="s">
        <v>22</v>
      </c>
      <c r="D19" t="s">
        <v>38</v>
      </c>
      <c r="E19" t="s">
        <v>37</v>
      </c>
      <c r="F19" t="s">
        <v>36</v>
      </c>
      <c r="G19" t="s">
        <v>35</v>
      </c>
      <c r="H19" t="s">
        <v>43</v>
      </c>
      <c r="I19" s="2" t="str">
        <f ca="1">IF(ISNUMBER(A19),
IF(COUNTIFS(Equipar!B:B,5,Equipar!AC:AC,A19),"Equipada",
IF(
 OR( COUNTIFS(Equipar!B:B,5,Equipar!C:C,A19)
 +COUNTIFS(Equipar!B:B,5,Equipar!D:D,A19)
+COUNTIFS(Equipar!B:B,5,Equipar!E:E,A19)
+COUNTIFS(Equipar!B:B,5,Equipar!F:F,A19)
&gt;0,COUNTIF('Set recomendado'!B:B,C19)=0),
"Bloqueada",
"Desechable")),""
)</f>
        <v>Bloqueada</v>
      </c>
      <c r="J19" t="str" cm="1">
        <f t="array" ref="J19">IF(ISNUMBER(A19),IFERROR(_xlfn._xlws.FILTER(Equipar!A:A,(Equipar!B:B=5)*(Equipar!AC:AC=A19)),""),"")</f>
        <v/>
      </c>
    </row>
    <row r="20" spans="1:10" x14ac:dyDescent="0.25">
      <c r="A20" s="1">
        <v>97</v>
      </c>
      <c r="B20" t="s">
        <v>53</v>
      </c>
      <c r="C20" t="s">
        <v>23</v>
      </c>
      <c r="D20" t="s">
        <v>38</v>
      </c>
      <c r="E20" t="s">
        <v>42</v>
      </c>
      <c r="F20" t="s">
        <v>43</v>
      </c>
      <c r="G20" t="s">
        <v>38</v>
      </c>
      <c r="H20" t="s">
        <v>36</v>
      </c>
      <c r="I20" s="2" t="str">
        <f ca="1">IF(ISNUMBER(A20),
IF(COUNTIFS(Equipar!B:B,5,Equipar!AC:AC,A20),"Equipada",
IF(
 OR( COUNTIFS(Equipar!B:B,5,Equipar!C:C,A20)
 +COUNTIFS(Equipar!B:B,5,Equipar!D:D,A20)
+COUNTIFS(Equipar!B:B,5,Equipar!E:E,A20)
+COUNTIFS(Equipar!B:B,5,Equipar!F:F,A20)
&gt;0,COUNTIF('Set recomendado'!B:B,C20)=0),
"Bloqueada",
"Desechable")),""
)</f>
        <v>Desechable</v>
      </c>
      <c r="J20" t="str" cm="1">
        <f t="array" ref="J20">IF(ISNUMBER(A20),IFERROR(_xlfn._xlws.FILTER(Equipar!A:A,(Equipar!B:B=5)*(Equipar!AC:AC=A20)),""),"")</f>
        <v/>
      </c>
    </row>
    <row r="21" spans="1:10" x14ac:dyDescent="0.25">
      <c r="A21" s="1">
        <v>98</v>
      </c>
      <c r="B21" t="s">
        <v>53</v>
      </c>
      <c r="C21" t="s">
        <v>23</v>
      </c>
      <c r="D21" t="s">
        <v>38</v>
      </c>
      <c r="E21" t="s">
        <v>36</v>
      </c>
      <c r="F21" t="s">
        <v>32</v>
      </c>
      <c r="G21" t="s">
        <v>32</v>
      </c>
      <c r="I21" s="2" t="str">
        <f ca="1">IF(ISNUMBER(A21),
IF(COUNTIFS(Equipar!B:B,5,Equipar!AC:AC,A21),"Equipada",
IF(
 OR( COUNTIFS(Equipar!B:B,5,Equipar!C:C,A21)
 +COUNTIFS(Equipar!B:B,5,Equipar!D:D,A21)
+COUNTIFS(Equipar!B:B,5,Equipar!E:E,A21)
+COUNTIFS(Equipar!B:B,5,Equipar!F:F,A21)
&gt;0,COUNTIF('Set recomendado'!B:B,C21)=0),
"Bloqueada",
"Desechable")),""
)</f>
        <v>Desechable</v>
      </c>
      <c r="J21" t="str" cm="1">
        <f t="array" ref="J21">IF(ISNUMBER(A21),IFERROR(_xlfn._xlws.FILTER(Equipar!A:A,(Equipar!B:B=5)*(Equipar!AC:AC=A21)),""),"")</f>
        <v/>
      </c>
    </row>
    <row r="22" spans="1:10" x14ac:dyDescent="0.25">
      <c r="A22" s="1">
        <v>99</v>
      </c>
      <c r="B22" t="s">
        <v>53</v>
      </c>
      <c r="C22" t="s">
        <v>23</v>
      </c>
      <c r="D22" t="s">
        <v>38</v>
      </c>
      <c r="E22" t="s">
        <v>41</v>
      </c>
      <c r="F22" t="s">
        <v>36</v>
      </c>
      <c r="G22" t="s">
        <v>38</v>
      </c>
      <c r="I22" s="2" t="str">
        <f ca="1">IF(ISNUMBER(A22),
IF(COUNTIFS(Equipar!B:B,5,Equipar!AC:AC,A22),"Equipada",
IF(
 OR( COUNTIFS(Equipar!B:B,5,Equipar!C:C,A22)
 +COUNTIFS(Equipar!B:B,5,Equipar!D:D,A22)
+COUNTIFS(Equipar!B:B,5,Equipar!E:E,A22)
+COUNTIFS(Equipar!B:B,5,Equipar!F:F,A22)
&gt;0,COUNTIF('Set recomendado'!B:B,C22)=0),
"Bloqueada",
"Desechable")),""
)</f>
        <v>Desechable</v>
      </c>
      <c r="J22" t="str" cm="1">
        <f t="array" ref="J22">IF(ISNUMBER(A22),IFERROR(_xlfn._xlws.FILTER(Equipar!A:A,(Equipar!B:B=5)*(Equipar!AC:AC=A22)),""),"")</f>
        <v/>
      </c>
    </row>
    <row r="23" spans="1:10" x14ac:dyDescent="0.25">
      <c r="A23" s="1">
        <v>100</v>
      </c>
      <c r="B23" t="s">
        <v>53</v>
      </c>
      <c r="C23" t="s">
        <v>23</v>
      </c>
      <c r="D23" t="s">
        <v>38</v>
      </c>
      <c r="E23" t="s">
        <v>37</v>
      </c>
      <c r="F23" t="s">
        <v>36</v>
      </c>
      <c r="G23" t="s">
        <v>32</v>
      </c>
      <c r="I23" s="2" t="str">
        <f ca="1">IF(ISNUMBER(A23),
IF(COUNTIFS(Equipar!B:B,5,Equipar!AC:AC,A23),"Equipada",
IF(
 OR( COUNTIFS(Equipar!B:B,5,Equipar!C:C,A23)
 +COUNTIFS(Equipar!B:B,5,Equipar!D:D,A23)
+COUNTIFS(Equipar!B:B,5,Equipar!E:E,A23)
+COUNTIFS(Equipar!B:B,5,Equipar!F:F,A23)
&gt;0,COUNTIF('Set recomendado'!B:B,C23)=0),
"Bloqueada",
"Desechable")),""
)</f>
        <v>Bloqueada</v>
      </c>
      <c r="J23" t="str" cm="1">
        <f t="array" ref="J23">IF(ISNUMBER(A23),IFERROR(_xlfn._xlws.FILTER(Equipar!A:A,(Equipar!B:B=5)*(Equipar!AC:AC=A23)),""),"")</f>
        <v/>
      </c>
    </row>
    <row r="24" spans="1:10" x14ac:dyDescent="0.25">
      <c r="A24" s="1">
        <v>108</v>
      </c>
      <c r="B24" t="s">
        <v>54</v>
      </c>
      <c r="C24" t="s">
        <v>22</v>
      </c>
      <c r="D24" t="s">
        <v>38</v>
      </c>
      <c r="E24" t="s">
        <v>42</v>
      </c>
      <c r="F24" t="s">
        <v>37</v>
      </c>
      <c r="I24" s="2" t="str">
        <f>IF(ISNUMBER(A24),
IF(COUNTIFS(Equipar!B:B,5,Equipar!AC:AC,A24),"Equipada",
IF(
 OR( COUNTIFS(Equipar!B:B,5,Equipar!C:C,A24)
 +COUNTIFS(Equipar!B:B,5,Equipar!D:D,A24)
+COUNTIFS(Equipar!B:B,5,Equipar!E:E,A24)
+COUNTIFS(Equipar!B:B,5,Equipar!F:F,A24)
&gt;0,COUNTIF('Set recomendado'!B:B,C24)=0),
"Bloqueada",
"Desechable")),""
)</f>
        <v>Equipada</v>
      </c>
      <c r="J24" t="str" cm="1">
        <f t="array" ref="J24">IF(ISNUMBER(A24),IFERROR(_xlfn._xlws.FILTER(Equipar!A:A,(Equipar!B:B=5)*(Equipar!AC:AC=A24)),""),"")</f>
        <v>Kuroo</v>
      </c>
    </row>
    <row r="25" spans="1:10" x14ac:dyDescent="0.25">
      <c r="A25" s="1">
        <v>109</v>
      </c>
      <c r="B25" t="s">
        <v>53</v>
      </c>
      <c r="C25" t="s">
        <v>16</v>
      </c>
      <c r="D25" t="s">
        <v>38</v>
      </c>
      <c r="E25" t="s">
        <v>36</v>
      </c>
      <c r="F25" t="s">
        <v>38</v>
      </c>
      <c r="G25" t="s">
        <v>36</v>
      </c>
      <c r="I25" s="2" t="str">
        <f ca="1">IF(ISNUMBER(A25),
IF(COUNTIFS(Equipar!B:B,5,Equipar!AC:AC,A25),"Equipada",
IF(
 OR( COUNTIFS(Equipar!B:B,5,Equipar!C:C,A25)
 +COUNTIFS(Equipar!B:B,5,Equipar!D:D,A25)
+COUNTIFS(Equipar!B:B,5,Equipar!E:E,A25)
+COUNTIFS(Equipar!B:B,5,Equipar!F:F,A25)
&gt;0,COUNTIF('Set recomendado'!B:B,C25)=0),
"Bloqueada",
"Desechable")),""
)</f>
        <v>Desechable</v>
      </c>
      <c r="J25" t="str" cm="1">
        <f t="array" ref="J25">IF(ISNUMBER(A25),IFERROR(_xlfn._xlws.FILTER(Equipar!A:A,(Equipar!B:B=5)*(Equipar!AC:AC=A25)),""),"")</f>
        <v/>
      </c>
    </row>
    <row r="26" spans="1:10" x14ac:dyDescent="0.25">
      <c r="A26" s="1">
        <v>130</v>
      </c>
      <c r="B26" t="s">
        <v>53</v>
      </c>
      <c r="C26" t="s">
        <v>16</v>
      </c>
      <c r="D26" t="s">
        <v>38</v>
      </c>
      <c r="E26" t="s">
        <v>32</v>
      </c>
      <c r="F26" t="s">
        <v>43</v>
      </c>
      <c r="G26" t="s">
        <v>42</v>
      </c>
      <c r="H26" t="s">
        <v>40</v>
      </c>
      <c r="I26" s="2" t="str">
        <f>IF(ISNUMBER(A26),
IF(COUNTIFS(Equipar!B:B,5,Equipar!AC:AC,A26),"Equipada",
IF(
 OR( COUNTIFS(Equipar!B:B,5,Equipar!C:C,A26)
 +COUNTIFS(Equipar!B:B,5,Equipar!D:D,A26)
+COUNTIFS(Equipar!B:B,5,Equipar!E:E,A26)
+COUNTIFS(Equipar!B:B,5,Equipar!F:F,A26)
&gt;0,COUNTIF('Set recomendado'!B:B,C26)=0),
"Bloqueada",
"Desechable")),""
)</f>
        <v>Equipada</v>
      </c>
      <c r="J26" t="str" cm="1">
        <f t="array" ref="J26">IF(ISNUMBER(A26),IFERROR(_xlfn._xlws.FILTER(Equipar!A:A,(Equipar!B:B=5)*(Equipar!AC:AC=A26)),""),"")</f>
        <v>Nishinoya</v>
      </c>
    </row>
    <row r="27" spans="1:10" x14ac:dyDescent="0.25">
      <c r="A27" s="1">
        <v>131</v>
      </c>
      <c r="B27" t="s">
        <v>53</v>
      </c>
      <c r="C27" t="s">
        <v>16</v>
      </c>
      <c r="D27" t="s">
        <v>38</v>
      </c>
      <c r="E27" t="s">
        <v>40</v>
      </c>
      <c r="F27" t="s">
        <v>41</v>
      </c>
      <c r="G27" t="s">
        <v>37</v>
      </c>
      <c r="I27" s="2" t="str">
        <f ca="1">IF(ISNUMBER(A27),
IF(COUNTIFS(Equipar!B:B,5,Equipar!AC:AC,A27),"Equipada",
IF(
 OR( COUNTIFS(Equipar!B:B,5,Equipar!C:C,A27)
 +COUNTIFS(Equipar!B:B,5,Equipar!D:D,A27)
+COUNTIFS(Equipar!B:B,5,Equipar!E:E,A27)
+COUNTIFS(Equipar!B:B,5,Equipar!F:F,A27)
&gt;0,COUNTIF('Set recomendado'!B:B,C27)=0),
"Bloqueada",
"Desechable")),""
)</f>
        <v>Desechable</v>
      </c>
      <c r="J27" t="str" cm="1">
        <f t="array" ref="J27">IF(ISNUMBER(A27),IFERROR(_xlfn._xlws.FILTER(Equipar!A:A,(Equipar!B:B=5)*(Equipar!AC:AC=A27)),""),"")</f>
        <v/>
      </c>
    </row>
    <row r="28" spans="1:10" x14ac:dyDescent="0.25">
      <c r="A28" s="1">
        <v>132</v>
      </c>
      <c r="B28" t="s">
        <v>53</v>
      </c>
      <c r="C28" t="s">
        <v>17</v>
      </c>
      <c r="D28" t="s">
        <v>38</v>
      </c>
      <c r="E28" t="s">
        <v>32</v>
      </c>
      <c r="F28" t="s">
        <v>32</v>
      </c>
      <c r="G28" t="s">
        <v>37</v>
      </c>
      <c r="H28" t="s">
        <v>34</v>
      </c>
      <c r="I28" s="2" t="str">
        <f>IF(ISNUMBER(A28),
IF(COUNTIFS(Equipar!B:B,5,Equipar!AC:AC,A28),"Equipada",
IF(
 OR( COUNTIFS(Equipar!B:B,5,Equipar!C:C,A28)
 +COUNTIFS(Equipar!B:B,5,Equipar!D:D,A28)
+COUNTIFS(Equipar!B:B,5,Equipar!E:E,A28)
+COUNTIFS(Equipar!B:B,5,Equipar!F:F,A28)
&gt;0,COUNTIF('Set recomendado'!B:B,C28)=0),
"Bloqueada",
"Desechable")),""
)</f>
        <v>Equipada</v>
      </c>
      <c r="J28" t="str" cm="1">
        <f t="array" ref="J28">IF(ISNUMBER(A28),IFERROR(_xlfn._xlws.FILTER(Equipar!A:A,(Equipar!B:B=5)*(Equipar!AC:AC=A28)),""),"")</f>
        <v>Kita</v>
      </c>
    </row>
    <row r="29" spans="1:10" x14ac:dyDescent="0.25">
      <c r="A29" s="1">
        <v>133</v>
      </c>
      <c r="B29" t="s">
        <v>53</v>
      </c>
      <c r="C29" t="s">
        <v>17</v>
      </c>
      <c r="D29" t="s">
        <v>38</v>
      </c>
      <c r="E29" t="s">
        <v>34</v>
      </c>
      <c r="F29" t="s">
        <v>37</v>
      </c>
      <c r="G29" t="s">
        <v>41</v>
      </c>
      <c r="I29" s="2" t="str">
        <f ca="1">IF(ISNUMBER(A29),
IF(COUNTIFS(Equipar!B:B,5,Equipar!AC:AC,A29),"Equipada",
IF(
 OR( COUNTIFS(Equipar!B:B,5,Equipar!C:C,A29)
 +COUNTIFS(Equipar!B:B,5,Equipar!D:D,A29)
+COUNTIFS(Equipar!B:B,5,Equipar!E:E,A29)
+COUNTIFS(Equipar!B:B,5,Equipar!F:F,A29)
&gt;0,COUNTIF('Set recomendado'!B:B,C29)=0),
"Bloqueada",
"Desechable")),""
)</f>
        <v>Desechable</v>
      </c>
      <c r="J29" t="str" cm="1">
        <f t="array" ref="J29">IF(ISNUMBER(A29),IFERROR(_xlfn._xlws.FILTER(Equipar!A:A,(Equipar!B:B=5)*(Equipar!AC:AC=A29)),""),"")</f>
        <v/>
      </c>
    </row>
    <row r="30" spans="1:10" x14ac:dyDescent="0.25">
      <c r="A30" s="1">
        <v>144</v>
      </c>
      <c r="B30" t="s">
        <v>54</v>
      </c>
      <c r="C30" t="s">
        <v>16</v>
      </c>
      <c r="D30" t="s">
        <v>38</v>
      </c>
      <c r="E30" t="s">
        <v>38</v>
      </c>
      <c r="F30" t="s">
        <v>38</v>
      </c>
      <c r="I30" s="2" t="str">
        <f ca="1">IF(ISNUMBER(A30),
IF(COUNTIFS(Equipar!B:B,5,Equipar!AC:AC,A30),"Equipada",
IF(
 OR( COUNTIFS(Equipar!B:B,5,Equipar!C:C,A30)
 +COUNTIFS(Equipar!B:B,5,Equipar!D:D,A30)
+COUNTIFS(Equipar!B:B,5,Equipar!E:E,A30)
+COUNTIFS(Equipar!B:B,5,Equipar!F:F,A30)
&gt;0,COUNTIF('Set recomendado'!B:B,C30)=0),
"Bloqueada",
"Desechable")),""
)</f>
        <v>Bloqueada</v>
      </c>
      <c r="J30" t="str" cm="1">
        <f t="array" ref="J30">IF(ISNUMBER(A30),IFERROR(_xlfn._xlws.FILTER(Equipar!A:A,(Equipar!B:B=5)*(Equipar!AC:AC=A30)),""),"")</f>
        <v/>
      </c>
    </row>
    <row r="31" spans="1:10" x14ac:dyDescent="0.25">
      <c r="A31" s="1">
        <v>161</v>
      </c>
      <c r="B31" t="s">
        <v>54</v>
      </c>
      <c r="C31" t="s">
        <v>17</v>
      </c>
      <c r="D31" t="s">
        <v>38</v>
      </c>
      <c r="E31" t="s">
        <v>43</v>
      </c>
      <c r="F31" t="s">
        <v>44</v>
      </c>
      <c r="I31" s="2" t="str">
        <f ca="1">IF(ISNUMBER(A31),
IF(COUNTIFS(Equipar!B:B,5,Equipar!AC:AC,A31),"Equipada",
IF(
 OR( COUNTIFS(Equipar!B:B,5,Equipar!C:C,A31)
 +COUNTIFS(Equipar!B:B,5,Equipar!D:D,A31)
+COUNTIFS(Equipar!B:B,5,Equipar!E:E,A31)
+COUNTIFS(Equipar!B:B,5,Equipar!F:F,A31)
&gt;0,COUNTIF('Set recomendado'!B:B,C31)=0),
"Bloqueada",
"Desechable")),""
)</f>
        <v>Desechable</v>
      </c>
      <c r="J31" t="str" cm="1">
        <f t="array" ref="J31">IF(ISNUMBER(A31),IFERROR(_xlfn._xlws.FILTER(Equipar!A:A,(Equipar!B:B=5)*(Equipar!AC:AC=A31)),""),"")</f>
        <v/>
      </c>
    </row>
    <row r="32" spans="1:10" x14ac:dyDescent="0.25">
      <c r="A32" s="3">
        <v>162</v>
      </c>
      <c r="B32" s="4" t="s">
        <v>54</v>
      </c>
      <c r="C32" s="4" t="s">
        <v>22</v>
      </c>
      <c r="D32" s="4" t="s">
        <v>38</v>
      </c>
      <c r="E32" s="4" t="s">
        <v>42</v>
      </c>
      <c r="F32" s="4" t="s">
        <v>37</v>
      </c>
      <c r="G32" s="4" t="s">
        <v>41</v>
      </c>
      <c r="H32" s="4"/>
      <c r="I32" s="2" t="str">
        <f ca="1">IF(ISNUMBER(A32),
IF(COUNTIFS(Equipar!B:B,5,Equipar!AC:AC,A32),"Equipada",
IF(
 OR( COUNTIFS(Equipar!B:B,5,Equipar!C:C,A32)
 +COUNTIFS(Equipar!B:B,5,Equipar!D:D,A32)
+COUNTIFS(Equipar!B:B,5,Equipar!E:E,A32)
+COUNTIFS(Equipar!B:B,5,Equipar!F:F,A32)
&gt;0,COUNTIF('Set recomendado'!B:B,C32)=0),
"Bloqueada",
"Desechable")),""
)</f>
        <v>Desechable</v>
      </c>
      <c r="J32" t="str" cm="1">
        <f t="array" ref="J32">IF(ISNUMBER(A32),IFERROR(_xlfn._xlws.FILTER(Equipar!A:A,(Equipar!B:B=5)*(Equipar!AC:AC=A32)),""),"")</f>
        <v/>
      </c>
    </row>
    <row r="33" spans="1:10" x14ac:dyDescent="0.25">
      <c r="A33" s="3">
        <v>163</v>
      </c>
      <c r="B33" s="4" t="s">
        <v>54</v>
      </c>
      <c r="C33" s="4" t="s">
        <v>5</v>
      </c>
      <c r="D33" s="4" t="s">
        <v>38</v>
      </c>
      <c r="E33" s="4" t="s">
        <v>32</v>
      </c>
      <c r="F33" s="4" t="s">
        <v>33</v>
      </c>
      <c r="G33" s="4"/>
      <c r="H33" s="4"/>
      <c r="I33" s="2" t="str">
        <f>IF(ISNUMBER(A33),
IF(COUNTIFS(Equipar!B:B,5,Equipar!AC:AC,A33),"Equipada",
IF(
 OR( COUNTIFS(Equipar!B:B,5,Equipar!C:C,A33)
 +COUNTIFS(Equipar!B:B,5,Equipar!D:D,A33)
+COUNTIFS(Equipar!B:B,5,Equipar!E:E,A33)
+COUNTIFS(Equipar!B:B,5,Equipar!F:F,A33)
&gt;0,COUNTIF('Set recomendado'!B:B,C33)=0),
"Bloqueada",
"Desechable")),""
)</f>
        <v>Equipada</v>
      </c>
      <c r="J33" t="str" cm="1">
        <f t="array" ref="J33">IF(ISNUMBER(A33),IFERROR(_xlfn._xlws.FILTER(Equipar!A:A,(Equipar!B:B=5)*(Equipar!AC:AC=A33)),""),"")</f>
        <v>Yamamoto</v>
      </c>
    </row>
    <row r="34" spans="1:10" x14ac:dyDescent="0.25">
      <c r="A34" s="1">
        <v>165</v>
      </c>
      <c r="B34" t="s">
        <v>53</v>
      </c>
      <c r="C34" t="s">
        <v>14</v>
      </c>
      <c r="D34" t="s">
        <v>38</v>
      </c>
      <c r="E34" t="s">
        <v>37</v>
      </c>
      <c r="F34" t="s">
        <v>34</v>
      </c>
      <c r="G34" t="s">
        <v>43</v>
      </c>
      <c r="I34" s="2" t="str">
        <f ca="1">IF(ISNUMBER(A34),
IF(COUNTIFS(Equipar!B:B,5,Equipar!AC:AC,A34),"Equipada",
IF(
 OR( COUNTIFS(Equipar!B:B,5,Equipar!C:C,A34)
 +COUNTIFS(Equipar!B:B,5,Equipar!D:D,A34)
+COUNTIFS(Equipar!B:B,5,Equipar!E:E,A34)
+COUNTIFS(Equipar!B:B,5,Equipar!F:F,A34)
&gt;0,COUNTIF('Set recomendado'!B:B,C34)=0),
"Bloqueada",
"Desechable")),""
)</f>
        <v>Desechable</v>
      </c>
      <c r="J34" t="str" cm="1">
        <f t="array" ref="J34">IF(ISNUMBER(A34),IFERROR(_xlfn._xlws.FILTER(Equipar!A:A,(Equipar!B:B=5)*(Equipar!AC:AC=A34)),""),"")</f>
        <v/>
      </c>
    </row>
    <row r="35" spans="1:10" x14ac:dyDescent="0.25">
      <c r="A35" s="1">
        <v>166</v>
      </c>
      <c r="B35" t="s">
        <v>53</v>
      </c>
      <c r="C35" t="s">
        <v>57</v>
      </c>
      <c r="D35" t="s">
        <v>38</v>
      </c>
      <c r="E35" t="s">
        <v>42</v>
      </c>
      <c r="F35" t="s">
        <v>38</v>
      </c>
      <c r="G35" t="s">
        <v>41</v>
      </c>
      <c r="I35" s="2" t="str">
        <f ca="1">IF(ISNUMBER(A35),
IF(COUNTIFS(Equipar!B:B,5,Equipar!AC:AC,A35),"Equipada",
IF(
 OR( COUNTIFS(Equipar!B:B,5,Equipar!C:C,A35)
 +COUNTIFS(Equipar!B:B,5,Equipar!D:D,A35)
+COUNTIFS(Equipar!B:B,5,Equipar!E:E,A35)
+COUNTIFS(Equipar!B:B,5,Equipar!F:F,A35)
&gt;0,COUNTIF('Set recomendado'!B:B,C35)=0),
"Bloqueada",
"Desechable")),""
)</f>
        <v>Bloqueada</v>
      </c>
      <c r="J35" t="str" cm="1">
        <f t="array" ref="J35">IF(ISNUMBER(A35),IFERROR(_xlfn._xlws.FILTER(Equipar!A:A,(Equipar!B:B=5)*(Equipar!AC:AC=A35)),""),"")</f>
        <v/>
      </c>
    </row>
    <row r="36" spans="1:10" x14ac:dyDescent="0.25">
      <c r="A36" s="1">
        <v>167</v>
      </c>
      <c r="B36" t="s">
        <v>54</v>
      </c>
      <c r="C36" t="s">
        <v>9</v>
      </c>
      <c r="D36" t="s">
        <v>38</v>
      </c>
      <c r="E36" t="s">
        <v>43</v>
      </c>
      <c r="F36" t="s">
        <v>41</v>
      </c>
      <c r="I36" s="2" t="str">
        <f ca="1">IF(ISNUMBER(A36),
IF(COUNTIFS(Equipar!B:B,5,Equipar!AC:AC,A36),"Equipada",
IF(
 OR( COUNTIFS(Equipar!B:B,5,Equipar!C:C,A36)
 +COUNTIFS(Equipar!B:B,5,Equipar!D:D,A36)
+COUNTIFS(Equipar!B:B,5,Equipar!E:E,A36)
+COUNTIFS(Equipar!B:B,5,Equipar!F:F,A36)
&gt;0,COUNTIF('Set recomendado'!B:B,C36)=0),
"Bloqueada",
"Desechable")),""
)</f>
        <v>Desechable</v>
      </c>
      <c r="J36" t="str" cm="1">
        <f t="array" ref="J36">IF(ISNUMBER(A36),IFERROR(_xlfn._xlws.FILTER(Equipar!A:A,(Equipar!B:B=5)*(Equipar!AC:AC=A36)),""),"")</f>
        <v/>
      </c>
    </row>
    <row r="37" spans="1:10" x14ac:dyDescent="0.25">
      <c r="A37" s="1">
        <v>168</v>
      </c>
      <c r="B37" t="s">
        <v>54</v>
      </c>
      <c r="C37" t="s">
        <v>9</v>
      </c>
      <c r="D37" t="s">
        <v>38</v>
      </c>
      <c r="E37" t="s">
        <v>36</v>
      </c>
      <c r="F37" t="s">
        <v>39</v>
      </c>
      <c r="I37" s="2" t="str">
        <f ca="1">IF(ISNUMBER(A37),
IF(COUNTIFS(Equipar!B:B,5,Equipar!AC:AC,A37),"Equipada",
IF(
 OR( COUNTIFS(Equipar!B:B,5,Equipar!C:C,A37)
 +COUNTIFS(Equipar!B:B,5,Equipar!D:D,A37)
+COUNTIFS(Equipar!B:B,5,Equipar!E:E,A37)
+COUNTIFS(Equipar!B:B,5,Equipar!F:F,A37)
&gt;0,COUNTIF('Set recomendado'!B:B,C37)=0),
"Bloqueada",
"Desechable")),""
)</f>
        <v>Desechable</v>
      </c>
      <c r="J37" t="str" cm="1">
        <f t="array" ref="J37">IF(ISNUMBER(A37),IFERROR(_xlfn._xlws.FILTER(Equipar!A:A,(Equipar!B:B=5)*(Equipar!AC:AC=A37)),""),"")</f>
        <v/>
      </c>
    </row>
    <row r="38" spans="1:10" x14ac:dyDescent="0.25">
      <c r="A38" s="1">
        <v>169</v>
      </c>
      <c r="B38" t="s">
        <v>54</v>
      </c>
      <c r="C38" t="s">
        <v>4</v>
      </c>
      <c r="D38" t="s">
        <v>38</v>
      </c>
      <c r="E38" t="s">
        <v>32</v>
      </c>
      <c r="F38" t="s">
        <v>37</v>
      </c>
      <c r="I38" s="2" t="str">
        <f ca="1">IF(ISNUMBER(A38),
IF(COUNTIFS(Equipar!B:B,5,Equipar!AC:AC,A38),"Equipada",
IF(
 OR( COUNTIFS(Equipar!B:B,5,Equipar!C:C,A38)
 +COUNTIFS(Equipar!B:B,5,Equipar!D:D,A38)
+COUNTIFS(Equipar!B:B,5,Equipar!E:E,A38)
+COUNTIFS(Equipar!B:B,5,Equipar!F:F,A38)
&gt;0,COUNTIF('Set recomendado'!B:B,C38)=0),
"Bloqueada",
"Desechable")),""
)</f>
        <v>Desechable</v>
      </c>
      <c r="J38" t="str" cm="1">
        <f t="array" ref="J38">IF(ISNUMBER(A38),IFERROR(_xlfn._xlws.FILTER(Equipar!A:A,(Equipar!B:B=5)*(Equipar!AC:AC=A38)),""),"")</f>
        <v/>
      </c>
    </row>
    <row r="39" spans="1:10" x14ac:dyDescent="0.25">
      <c r="A39" s="1">
        <v>172</v>
      </c>
      <c r="B39" t="s">
        <v>54</v>
      </c>
      <c r="C39" t="s">
        <v>13</v>
      </c>
      <c r="D39" t="s">
        <v>38</v>
      </c>
      <c r="E39" t="s">
        <v>37</v>
      </c>
      <c r="F39" t="s">
        <v>37</v>
      </c>
      <c r="I39" s="2" t="str">
        <f ca="1">IF(ISNUMBER(A39),
IF(COUNTIFS(Equipar!B:B,5,Equipar!AC:AC,A39),"Equipada",
IF(
 OR( COUNTIFS(Equipar!B:B,5,Equipar!C:C,A39)
 +COUNTIFS(Equipar!B:B,5,Equipar!D:D,A39)
+COUNTIFS(Equipar!B:B,5,Equipar!E:E,A39)
+COUNTIFS(Equipar!B:B,5,Equipar!F:F,A39)
&gt;0,COUNTIF('Set recomendado'!B:B,C39)=0),
"Bloqueada",
"Desechable")),""
)</f>
        <v>Desechable</v>
      </c>
      <c r="J39" t="str" cm="1">
        <f t="array" ref="J39">IF(ISNUMBER(A39),IFERROR(_xlfn._xlws.FILTER(Equipar!A:A,(Equipar!B:B=5)*(Equipar!AC:AC=A39)),""),"")</f>
        <v/>
      </c>
    </row>
    <row r="40" spans="1:10" x14ac:dyDescent="0.25">
      <c r="A40" s="1">
        <v>174</v>
      </c>
      <c r="B40" t="s">
        <v>54</v>
      </c>
      <c r="C40" t="s">
        <v>22</v>
      </c>
      <c r="D40" t="s">
        <v>38</v>
      </c>
      <c r="E40" t="s">
        <v>58</v>
      </c>
      <c r="F40" t="s">
        <v>42</v>
      </c>
      <c r="G40" t="s">
        <v>36</v>
      </c>
      <c r="I40" s="2" t="str">
        <f ca="1">IF(ISNUMBER(A40),
IF(COUNTIFS(Equipar!B:B,5,Equipar!AC:AC,A40),"Equipada",
IF(
 OR( COUNTIFS(Equipar!B:B,5,Equipar!C:C,A40)
 +COUNTIFS(Equipar!B:B,5,Equipar!D:D,A40)
+COUNTIFS(Equipar!B:B,5,Equipar!E:E,A40)
+COUNTIFS(Equipar!B:B,5,Equipar!F:F,A40)
&gt;0,COUNTIF('Set recomendado'!B:B,C40)=0),
"Bloqueada",
"Desechable")),""
)</f>
        <v>Desechable</v>
      </c>
      <c r="J40" t="str" cm="1">
        <f t="array" ref="J40">IF(ISNUMBER(A40),IFERROR(_xlfn._xlws.FILTER(Equipar!A:A,(Equipar!B:B=5)*(Equipar!AC:AC=A40)),""),"")</f>
        <v/>
      </c>
    </row>
    <row r="41" spans="1:10" x14ac:dyDescent="0.25">
      <c r="A41" s="1">
        <v>175</v>
      </c>
      <c r="B41" t="s">
        <v>54</v>
      </c>
      <c r="C41" t="s">
        <v>22</v>
      </c>
      <c r="D41" t="s">
        <v>38</v>
      </c>
      <c r="E41" t="s">
        <v>42</v>
      </c>
      <c r="F41" t="s">
        <v>37</v>
      </c>
      <c r="I41" s="2" t="str">
        <f ca="1">IF(ISNUMBER(A41),
IF(COUNTIFS(Equipar!B:B,5,Equipar!AC:AC,A41),"Equipada",
IF(
 OR( COUNTIFS(Equipar!B:B,5,Equipar!C:C,A41)
 +COUNTIFS(Equipar!B:B,5,Equipar!D:D,A41)
+COUNTIFS(Equipar!B:B,5,Equipar!E:E,A41)
+COUNTIFS(Equipar!B:B,5,Equipar!F:F,A41)
&gt;0,COUNTIF('Set recomendado'!B:B,C41)=0),
"Bloqueada",
"Desechable")),""
)</f>
        <v>Desechable</v>
      </c>
      <c r="J41" t="str" cm="1">
        <f t="array" ref="J41">IF(ISNUMBER(A41),IFERROR(_xlfn._xlws.FILTER(Equipar!A:A,(Equipar!B:B=5)*(Equipar!AC:AC=A41)),""),"")</f>
        <v/>
      </c>
    </row>
    <row r="42" spans="1:10" x14ac:dyDescent="0.25">
      <c r="A42" s="1">
        <v>176</v>
      </c>
      <c r="B42" t="s">
        <v>54</v>
      </c>
      <c r="C42" t="s">
        <v>22</v>
      </c>
      <c r="D42" t="s">
        <v>38</v>
      </c>
      <c r="E42" t="s">
        <v>42</v>
      </c>
      <c r="F42" t="s">
        <v>36</v>
      </c>
      <c r="I42" s="2" t="str">
        <f ca="1">IF(ISNUMBER(A42),
IF(COUNTIFS(Equipar!B:B,5,Equipar!AC:AC,A42),"Equipada",
IF(
 OR( COUNTIFS(Equipar!B:B,5,Equipar!C:C,A42)
 +COUNTIFS(Equipar!B:B,5,Equipar!D:D,A42)
+COUNTIFS(Equipar!B:B,5,Equipar!E:E,A42)
+COUNTIFS(Equipar!B:B,5,Equipar!F:F,A42)
&gt;0,COUNTIF('Set recomendado'!B:B,C42)=0),
"Bloqueada",
"Desechable")),""
)</f>
        <v>Desechable</v>
      </c>
      <c r="J42" t="str" cm="1">
        <f t="array" ref="J42">IF(ISNUMBER(A42),IFERROR(_xlfn._xlws.FILTER(Equipar!A:A,(Equipar!B:B=5)*(Equipar!AC:AC=A42)),""),"")</f>
        <v/>
      </c>
    </row>
    <row r="43" spans="1:10" x14ac:dyDescent="0.25">
      <c r="A43" s="1">
        <v>177</v>
      </c>
      <c r="B43" t="s">
        <v>54</v>
      </c>
      <c r="C43" t="s">
        <v>16</v>
      </c>
      <c r="D43" t="s">
        <v>38</v>
      </c>
      <c r="E43" t="s">
        <v>37</v>
      </c>
      <c r="F43" t="s">
        <v>43</v>
      </c>
      <c r="I43" s="2" t="str">
        <f ca="1">IF(ISNUMBER(A43),
IF(COUNTIFS(Equipar!B:B,5,Equipar!AC:AC,A43),"Equipada",
IF(
 OR( COUNTIFS(Equipar!B:B,5,Equipar!C:C,A43)
 +COUNTIFS(Equipar!B:B,5,Equipar!D:D,A43)
+COUNTIFS(Equipar!B:B,5,Equipar!E:E,A43)
+COUNTIFS(Equipar!B:B,5,Equipar!F:F,A43)
&gt;0,COUNTIF('Set recomendado'!B:B,C43)=0),
"Bloqueada",
"Desechable")),""
)</f>
        <v>Desechable</v>
      </c>
      <c r="J43" t="str" cm="1">
        <f t="array" ref="J43">IF(ISNUMBER(A43),IFERROR(_xlfn._xlws.FILTER(Equipar!A:A,(Equipar!B:B=5)*(Equipar!AC:AC=A43)),""),"")</f>
        <v/>
      </c>
    </row>
    <row r="44" spans="1:10" x14ac:dyDescent="0.25">
      <c r="A44" s="1">
        <v>178</v>
      </c>
      <c r="B44" t="s">
        <v>54</v>
      </c>
      <c r="C44" t="s">
        <v>10</v>
      </c>
      <c r="D44" t="s">
        <v>38</v>
      </c>
      <c r="E44" t="s">
        <v>43</v>
      </c>
      <c r="F44" t="s">
        <v>36</v>
      </c>
      <c r="I44" s="2" t="str">
        <f ca="1">IF(ISNUMBER(A44),
IF(COUNTIFS(Equipar!B:B,5,Equipar!AC:AC,A44),"Equipada",
IF(
 OR( COUNTIFS(Equipar!B:B,5,Equipar!C:C,A44)
 +COUNTIFS(Equipar!B:B,5,Equipar!D:D,A44)
+COUNTIFS(Equipar!B:B,5,Equipar!E:E,A44)
+COUNTIFS(Equipar!B:B,5,Equipar!F:F,A44)
&gt;0,COUNTIF('Set recomendado'!B:B,C44)=0),
"Bloqueada",
"Desechable")),""
)</f>
        <v>Desechable</v>
      </c>
      <c r="J44" t="str" cm="1">
        <f t="array" ref="J44">IF(ISNUMBER(A44),IFERROR(_xlfn._xlws.FILTER(Equipar!A:A,(Equipar!B:B=5)*(Equipar!AC:AC=A44)),""),"")</f>
        <v/>
      </c>
    </row>
    <row r="45" spans="1:10" x14ac:dyDescent="0.25">
      <c r="A45" s="1">
        <v>179</v>
      </c>
      <c r="B45" t="s">
        <v>54</v>
      </c>
      <c r="C45" t="s">
        <v>10</v>
      </c>
      <c r="D45" t="s">
        <v>38</v>
      </c>
      <c r="E45" t="s">
        <v>43</v>
      </c>
      <c r="F45" t="s">
        <v>41</v>
      </c>
      <c r="I45" s="2" t="str">
        <f ca="1">IF(ISNUMBER(A45),
IF(COUNTIFS(Equipar!B:B,5,Equipar!AC:AC,A45),"Equipada",
IF(
 OR( COUNTIFS(Equipar!B:B,5,Equipar!C:C,A45)
 +COUNTIFS(Equipar!B:B,5,Equipar!D:D,A45)
+COUNTIFS(Equipar!B:B,5,Equipar!E:E,A45)
+COUNTIFS(Equipar!B:B,5,Equipar!F:F,A45)
&gt;0,COUNTIF('Set recomendado'!B:B,C45)=0),
"Bloqueada",
"Desechable")),""
)</f>
        <v>Desechable</v>
      </c>
      <c r="J45" t="str" cm="1">
        <f t="array" ref="J45">IF(ISNUMBER(A45),IFERROR(_xlfn._xlws.FILTER(Equipar!A:A,(Equipar!B:B=5)*(Equipar!AC:AC=A45)),""),"")</f>
        <v/>
      </c>
    </row>
    <row r="46" spans="1:10" x14ac:dyDescent="0.25">
      <c r="A46" s="1">
        <v>180</v>
      </c>
      <c r="B46" t="s">
        <v>54</v>
      </c>
      <c r="C46" t="s">
        <v>10</v>
      </c>
      <c r="D46" t="s">
        <v>38</v>
      </c>
      <c r="E46" t="s">
        <v>43</v>
      </c>
      <c r="F46" t="s">
        <v>41</v>
      </c>
      <c r="I46" s="2" t="str">
        <f ca="1">IF(ISNUMBER(A46),
IF(COUNTIFS(Equipar!B:B,5,Equipar!AC:AC,A46),"Equipada",
IF(
 OR( COUNTIFS(Equipar!B:B,5,Equipar!C:C,A46)
 +COUNTIFS(Equipar!B:B,5,Equipar!D:D,A46)
+COUNTIFS(Equipar!B:B,5,Equipar!E:E,A46)
+COUNTIFS(Equipar!B:B,5,Equipar!F:F,A46)
&gt;0,COUNTIF('Set recomendado'!B:B,C46)=0),
"Bloqueada",
"Desechable")),""
)</f>
        <v>Desechable</v>
      </c>
      <c r="J46" t="str" cm="1">
        <f t="array" ref="J46">IF(ISNUMBER(A46),IFERROR(_xlfn._xlws.FILTER(Equipar!A:A,(Equipar!B:B=5)*(Equipar!AC:AC=A46)),""),"")</f>
        <v/>
      </c>
    </row>
    <row r="47" spans="1:10" x14ac:dyDescent="0.25">
      <c r="A47" s="1">
        <v>181</v>
      </c>
      <c r="B47" t="s">
        <v>54</v>
      </c>
      <c r="C47" t="s">
        <v>10</v>
      </c>
      <c r="D47" t="s">
        <v>38</v>
      </c>
      <c r="E47" t="s">
        <v>37</v>
      </c>
      <c r="F47" t="s">
        <v>37</v>
      </c>
      <c r="I47" s="2" t="str">
        <f ca="1">IF(ISNUMBER(A47),
IF(COUNTIFS(Equipar!B:B,5,Equipar!AC:AC,A47),"Equipada",
IF(
 OR( COUNTIFS(Equipar!B:B,5,Equipar!C:C,A47)
 +COUNTIFS(Equipar!B:B,5,Equipar!D:D,A47)
+COUNTIFS(Equipar!B:B,5,Equipar!E:E,A47)
+COUNTIFS(Equipar!B:B,5,Equipar!F:F,A47)
&gt;0,COUNTIF('Set recomendado'!B:B,C47)=0),
"Bloqueada",
"Desechable")),""
)</f>
        <v>Desechable</v>
      </c>
      <c r="J47" t="str" cm="1">
        <f t="array" ref="J47">IF(ISNUMBER(A47),IFERROR(_xlfn._xlws.FILTER(Equipar!A:A,(Equipar!B:B=5)*(Equipar!AC:AC=A47)),""),"")</f>
        <v/>
      </c>
    </row>
    <row r="48" spans="1:10" x14ac:dyDescent="0.25">
      <c r="A48" s="1">
        <v>182</v>
      </c>
      <c r="B48" t="s">
        <v>54</v>
      </c>
      <c r="C48" t="s">
        <v>4</v>
      </c>
      <c r="D48" t="s">
        <v>38</v>
      </c>
      <c r="E48" t="s">
        <v>44</v>
      </c>
      <c r="F48" t="s">
        <v>32</v>
      </c>
      <c r="I48" s="2" t="str">
        <f ca="1">IF(ISNUMBER(A48),
IF(COUNTIFS(Equipar!B:B,5,Equipar!AC:AC,A48),"Equipada",
IF(
 OR( COUNTIFS(Equipar!B:B,5,Equipar!C:C,A48)
 +COUNTIFS(Equipar!B:B,5,Equipar!D:D,A48)
+COUNTIFS(Equipar!B:B,5,Equipar!E:E,A48)
+COUNTIFS(Equipar!B:B,5,Equipar!F:F,A48)
&gt;0,COUNTIF('Set recomendado'!B:B,C48)=0),
"Bloqueada",
"Desechable")),""
)</f>
        <v>Desechable</v>
      </c>
      <c r="J48" t="str" cm="1">
        <f t="array" ref="J48">IF(ISNUMBER(A48),IFERROR(_xlfn._xlws.FILTER(Equipar!A:A,(Equipar!B:B=5)*(Equipar!AC:AC=A48)),""),"")</f>
        <v/>
      </c>
    </row>
    <row r="49" spans="1:10" x14ac:dyDescent="0.25">
      <c r="A49" s="1">
        <v>184</v>
      </c>
      <c r="B49" t="s">
        <v>54</v>
      </c>
      <c r="C49" t="s">
        <v>13</v>
      </c>
      <c r="D49" t="s">
        <v>38</v>
      </c>
      <c r="E49" t="s">
        <v>42</v>
      </c>
      <c r="F49" t="s">
        <v>35</v>
      </c>
      <c r="I49" s="2" t="str">
        <f ca="1">IF(ISNUMBER(A49),
IF(COUNTIFS(Equipar!B:B,5,Equipar!AC:AC,A49),"Equipada",
IF(
 OR( COUNTIFS(Equipar!B:B,5,Equipar!C:C,A49)
 +COUNTIFS(Equipar!B:B,5,Equipar!D:D,A49)
+COUNTIFS(Equipar!B:B,5,Equipar!E:E,A49)
+COUNTIFS(Equipar!B:B,5,Equipar!F:F,A49)
&gt;0,COUNTIF('Set recomendado'!B:B,C49)=0),
"Bloqueada",
"Desechable")),""
)</f>
        <v>Desechable</v>
      </c>
      <c r="J49" t="str" cm="1">
        <f t="array" ref="J49">IF(ISNUMBER(A49),IFERROR(_xlfn._xlws.FILTER(Equipar!A:A,(Equipar!B:B=5)*(Equipar!AC:AC=A49)),""),"")</f>
        <v/>
      </c>
    </row>
    <row r="50" spans="1:10" x14ac:dyDescent="0.25">
      <c r="A50" s="1">
        <v>185</v>
      </c>
      <c r="B50" t="s">
        <v>54</v>
      </c>
      <c r="C50" t="s">
        <v>14</v>
      </c>
      <c r="D50" t="s">
        <v>38</v>
      </c>
      <c r="E50" t="s">
        <v>44</v>
      </c>
      <c r="F50" t="s">
        <v>42</v>
      </c>
      <c r="G50" t="s">
        <v>39</v>
      </c>
      <c r="I50" s="2" t="str">
        <f ca="1">IF(ISNUMBER(A50),
IF(COUNTIFS(Equipar!B:B,5,Equipar!AC:AC,A50),"Equipada",
IF(
 OR( COUNTIFS(Equipar!B:B,5,Equipar!C:C,A50)
 +COUNTIFS(Equipar!B:B,5,Equipar!D:D,A50)
+COUNTIFS(Equipar!B:B,5,Equipar!E:E,A50)
+COUNTIFS(Equipar!B:B,5,Equipar!F:F,A50)
&gt;0,COUNTIF('Set recomendado'!B:B,C50)=0),
"Bloqueada",
"Desechable")),""
)</f>
        <v>Desechable</v>
      </c>
      <c r="J50" t="str" cm="1">
        <f t="array" ref="J50">IF(ISNUMBER(A50),IFERROR(_xlfn._xlws.FILTER(Equipar!A:A,(Equipar!B:B=5)*(Equipar!AC:AC=A50)),""),"")</f>
        <v/>
      </c>
    </row>
    <row r="51" spans="1:10" x14ac:dyDescent="0.25">
      <c r="A51" s="1">
        <v>186</v>
      </c>
      <c r="B51" t="s">
        <v>54</v>
      </c>
      <c r="C51" t="s">
        <v>14</v>
      </c>
      <c r="D51" t="s">
        <v>38</v>
      </c>
      <c r="E51" t="s">
        <v>39</v>
      </c>
      <c r="F51" t="s">
        <v>36</v>
      </c>
      <c r="I51" s="2" t="str">
        <f ca="1">IF(ISNUMBER(A51),
IF(COUNTIFS(Equipar!B:B,5,Equipar!AC:AC,A51),"Equipada",
IF(
 OR( COUNTIFS(Equipar!B:B,5,Equipar!C:C,A51)
 +COUNTIFS(Equipar!B:B,5,Equipar!D:D,A51)
+COUNTIFS(Equipar!B:B,5,Equipar!E:E,A51)
+COUNTIFS(Equipar!B:B,5,Equipar!F:F,A51)
&gt;0,COUNTIF('Set recomendado'!B:B,C51)=0),
"Bloqueada",
"Desechable")),""
)</f>
        <v>Desechable</v>
      </c>
      <c r="J51" t="str" cm="1">
        <f t="array" ref="J51">IF(ISNUMBER(A51),IFERROR(_xlfn._xlws.FILTER(Equipar!A:A,(Equipar!B:B=5)*(Equipar!AC:AC=A51)),""),"")</f>
        <v/>
      </c>
    </row>
    <row r="52" spans="1:10" x14ac:dyDescent="0.25">
      <c r="A52" s="1">
        <v>187</v>
      </c>
      <c r="B52" t="s">
        <v>54</v>
      </c>
      <c r="C52" t="s">
        <v>23</v>
      </c>
      <c r="D52" t="s">
        <v>38</v>
      </c>
      <c r="E52" t="s">
        <v>41</v>
      </c>
      <c r="F52" t="s">
        <v>42</v>
      </c>
      <c r="G52" t="s">
        <v>43</v>
      </c>
      <c r="I52" s="2" t="str">
        <f ca="1">IF(ISNUMBER(A52),
IF(COUNTIFS(Equipar!B:B,5,Equipar!AC:AC,A52),"Equipada",
IF(
 OR( COUNTIFS(Equipar!B:B,5,Equipar!C:C,A52)
 +COUNTIFS(Equipar!B:B,5,Equipar!D:D,A52)
+COUNTIFS(Equipar!B:B,5,Equipar!E:E,A52)
+COUNTIFS(Equipar!B:B,5,Equipar!F:F,A52)
&gt;0,COUNTIF('Set recomendado'!B:B,C52)=0),
"Bloqueada",
"Desechable")),""
)</f>
        <v>Desechable</v>
      </c>
      <c r="J52" t="str" cm="1">
        <f t="array" ref="J52">IF(ISNUMBER(A52),IFERROR(_xlfn._xlws.FILTER(Equipar!A:A,(Equipar!B:B=5)*(Equipar!AC:AC=A52)),""),"")</f>
        <v/>
      </c>
    </row>
    <row r="53" spans="1:10" x14ac:dyDescent="0.25">
      <c r="A53" s="1">
        <v>188</v>
      </c>
      <c r="B53" t="s">
        <v>54</v>
      </c>
      <c r="C53" t="s">
        <v>23</v>
      </c>
      <c r="D53" t="s">
        <v>38</v>
      </c>
      <c r="E53" t="s">
        <v>44</v>
      </c>
      <c r="F53" t="s">
        <v>37</v>
      </c>
      <c r="I53" s="2" t="str">
        <f ca="1">IF(ISNUMBER(A53),
IF(COUNTIFS(Equipar!B:B,5,Equipar!AC:AC,A53),"Equipada",
IF(
 OR( COUNTIFS(Equipar!B:B,5,Equipar!C:C,A53)
 +COUNTIFS(Equipar!B:B,5,Equipar!D:D,A53)
+COUNTIFS(Equipar!B:B,5,Equipar!E:E,A53)
+COUNTIFS(Equipar!B:B,5,Equipar!F:F,A53)
&gt;0,COUNTIF('Set recomendado'!B:B,C53)=0),
"Bloqueada",
"Desechable")),""
)</f>
        <v>Desechable</v>
      </c>
      <c r="J53" t="str" cm="1">
        <f t="array" ref="J53">IF(ISNUMBER(A53),IFERROR(_xlfn._xlws.FILTER(Equipar!A:A,(Equipar!B:B=5)*(Equipar!AC:AC=A53)),""),"")</f>
        <v/>
      </c>
    </row>
    <row r="54" spans="1:10" x14ac:dyDescent="0.25">
      <c r="A54" s="1">
        <v>189</v>
      </c>
      <c r="B54" t="s">
        <v>54</v>
      </c>
      <c r="C54" t="s">
        <v>23</v>
      </c>
      <c r="D54" t="s">
        <v>38</v>
      </c>
      <c r="E54" t="s">
        <v>32</v>
      </c>
      <c r="F54" t="s">
        <v>41</v>
      </c>
      <c r="G54" t="s">
        <v>43</v>
      </c>
      <c r="I54" s="2" t="str">
        <f ca="1">IF(ISNUMBER(A54),
IF(COUNTIFS(Equipar!B:B,5,Equipar!AC:AC,A54),"Equipada",
IF(
 OR( COUNTIFS(Equipar!B:B,5,Equipar!C:C,A54)
 +COUNTIFS(Equipar!B:B,5,Equipar!D:D,A54)
+COUNTIFS(Equipar!B:B,5,Equipar!E:E,A54)
+COUNTIFS(Equipar!B:B,5,Equipar!F:F,A54)
&gt;0,COUNTIF('Set recomendado'!B:B,C54)=0),
"Bloqueada",
"Desechable")),""
)</f>
        <v>Desechable</v>
      </c>
      <c r="J54" t="str" cm="1">
        <f t="array" ref="J54">IF(ISNUMBER(A54),IFERROR(_xlfn._xlws.FILTER(Equipar!A:A,(Equipar!B:B=5)*(Equipar!AC:AC=A54)),""),"")</f>
        <v/>
      </c>
    </row>
    <row r="55" spans="1:10" x14ac:dyDescent="0.25">
      <c r="A55" s="1">
        <v>190</v>
      </c>
      <c r="B55" t="s">
        <v>54</v>
      </c>
      <c r="C55" t="s">
        <v>17</v>
      </c>
      <c r="D55" t="s">
        <v>38</v>
      </c>
      <c r="E55" t="s">
        <v>43</v>
      </c>
      <c r="F55" t="s">
        <v>37</v>
      </c>
      <c r="I55" s="2" t="str">
        <f ca="1">IF(ISNUMBER(A55),
IF(COUNTIFS(Equipar!B:B,5,Equipar!AC:AC,A55),"Equipada",
IF(
 OR( COUNTIFS(Equipar!B:B,5,Equipar!C:C,A55)
 +COUNTIFS(Equipar!B:B,5,Equipar!D:D,A55)
+COUNTIFS(Equipar!B:B,5,Equipar!E:E,A55)
+COUNTIFS(Equipar!B:B,5,Equipar!F:F,A55)
&gt;0,COUNTIF('Set recomendado'!B:B,C55)=0),
"Bloqueada",
"Desechable")),""
)</f>
        <v>Desechable</v>
      </c>
      <c r="J55" t="str" cm="1">
        <f t="array" ref="J55">IF(ISNUMBER(A55),IFERROR(_xlfn._xlws.FILTER(Equipar!A:A,(Equipar!B:B=5)*(Equipar!AC:AC=A55)),""),"")</f>
        <v/>
      </c>
    </row>
    <row r="56" spans="1:10" x14ac:dyDescent="0.25">
      <c r="A56" s="1">
        <v>191</v>
      </c>
      <c r="B56" t="s">
        <v>54</v>
      </c>
      <c r="C56" t="s">
        <v>55</v>
      </c>
      <c r="D56" t="s">
        <v>38</v>
      </c>
      <c r="E56" t="s">
        <v>32</v>
      </c>
      <c r="F56" t="s">
        <v>44</v>
      </c>
      <c r="I56" s="2" t="str">
        <f ca="1">IF(ISNUMBER(A56),
IF(COUNTIFS(Equipar!B:B,5,Equipar!AC:AC,A56),"Equipada",
IF(
 OR( COUNTIFS(Equipar!B:B,5,Equipar!C:C,A56)
 +COUNTIFS(Equipar!B:B,5,Equipar!D:D,A56)
+COUNTIFS(Equipar!B:B,5,Equipar!E:E,A56)
+COUNTIFS(Equipar!B:B,5,Equipar!F:F,A56)
&gt;0,COUNTIF('Set recomendado'!B:B,C56)=0),
"Bloqueada",
"Desechable")),""
)</f>
        <v>Desechable</v>
      </c>
      <c r="J56" t="str" cm="1">
        <f t="array" ref="J56">IF(ISNUMBER(A56),IFERROR(_xlfn._xlws.FILTER(Equipar!A:A,(Equipar!B:B=5)*(Equipar!AC:AC=A56)),""),"")</f>
        <v/>
      </c>
    </row>
    <row r="57" spans="1:10" x14ac:dyDescent="0.25">
      <c r="A57" s="1">
        <v>192</v>
      </c>
      <c r="B57" t="s">
        <v>54</v>
      </c>
      <c r="C57" t="s">
        <v>29</v>
      </c>
      <c r="D57" t="s">
        <v>38</v>
      </c>
      <c r="E57" t="s">
        <v>43</v>
      </c>
      <c r="F57" t="s">
        <v>41</v>
      </c>
      <c r="I57" s="2" t="str">
        <f ca="1">IF(ISNUMBER(A57),
IF(COUNTIFS(Equipar!B:B,5,Equipar!AC:AC,A57),"Equipada",
IF(
 OR( COUNTIFS(Equipar!B:B,5,Equipar!C:C,A57)
 +COUNTIFS(Equipar!B:B,5,Equipar!D:D,A57)
+COUNTIFS(Equipar!B:B,5,Equipar!E:E,A57)
+COUNTIFS(Equipar!B:B,5,Equipar!F:F,A57)
&gt;0,COUNTIF('Set recomendado'!B:B,C57)=0),
"Bloqueada",
"Desechable")),""
)</f>
        <v>Desechable</v>
      </c>
      <c r="J57" t="str" cm="1">
        <f t="array" ref="J57">IF(ISNUMBER(A57),IFERROR(_xlfn._xlws.FILTER(Equipar!A:A,(Equipar!B:B=5)*(Equipar!AC:AC=A57)),""),"")</f>
        <v/>
      </c>
    </row>
    <row r="58" spans="1:10" x14ac:dyDescent="0.25">
      <c r="A58" s="1">
        <v>193</v>
      </c>
      <c r="B58" t="s">
        <v>54</v>
      </c>
      <c r="C58" t="s">
        <v>29</v>
      </c>
      <c r="D58" t="s">
        <v>38</v>
      </c>
      <c r="E58" t="s">
        <v>43</v>
      </c>
      <c r="F58" t="s">
        <v>42</v>
      </c>
      <c r="I58" s="2" t="str">
        <f ca="1">IF(ISNUMBER(A58),
IF(COUNTIFS(Equipar!B:B,5,Equipar!AC:AC,A58),"Equipada",
IF(
 OR( COUNTIFS(Equipar!B:B,5,Equipar!C:C,A58)
 +COUNTIFS(Equipar!B:B,5,Equipar!D:D,A58)
+COUNTIFS(Equipar!B:B,5,Equipar!E:E,A58)
+COUNTIFS(Equipar!B:B,5,Equipar!F:F,A58)
&gt;0,COUNTIF('Set recomendado'!B:B,C58)=0),
"Bloqueada",
"Desechable")),""
)</f>
        <v>Desechable</v>
      </c>
      <c r="J58" t="str" cm="1">
        <f t="array" ref="J58">IF(ISNUMBER(A58),IFERROR(_xlfn._xlws.FILTER(Equipar!A:A,(Equipar!B:B=5)*(Equipar!AC:AC=A58)),""),"")</f>
        <v/>
      </c>
    </row>
    <row r="59" spans="1:10" x14ac:dyDescent="0.25">
      <c r="A59" s="1">
        <v>194</v>
      </c>
      <c r="B59" t="s">
        <v>53</v>
      </c>
      <c r="C59" t="s">
        <v>57</v>
      </c>
      <c r="D59" t="s">
        <v>38</v>
      </c>
      <c r="E59" t="s">
        <v>41</v>
      </c>
      <c r="F59" t="s">
        <v>32</v>
      </c>
      <c r="G59" t="s">
        <v>38</v>
      </c>
      <c r="I59" s="2" t="str">
        <f ca="1">IF(ISNUMBER(A59),
IF(COUNTIFS(Equipar!B:B,5,Equipar!AC:AC,A59),"Equipada",
IF(
 OR( COUNTIFS(Equipar!B:B,5,Equipar!C:C,A59)
 +COUNTIFS(Equipar!B:B,5,Equipar!D:D,A59)
+COUNTIFS(Equipar!B:B,5,Equipar!E:E,A59)
+COUNTIFS(Equipar!B:B,5,Equipar!F:F,A59)
&gt;0,COUNTIF('Set recomendado'!B:B,C59)=0),
"Bloqueada",
"Desechable")),""
)</f>
        <v>Bloqueada</v>
      </c>
      <c r="J59" t="str" cm="1">
        <f t="array" ref="J59">IF(ISNUMBER(A59),IFERROR(_xlfn._xlws.FILTER(Equipar!A:A,(Equipar!B:B=5)*(Equipar!AC:AC=A59)),""),"")</f>
        <v/>
      </c>
    </row>
    <row r="60" spans="1:10" x14ac:dyDescent="0.25">
      <c r="A60" s="1">
        <v>195</v>
      </c>
      <c r="B60" t="s">
        <v>54</v>
      </c>
      <c r="C60" t="s">
        <v>57</v>
      </c>
      <c r="D60" t="s">
        <v>38</v>
      </c>
      <c r="E60" t="s">
        <v>37</v>
      </c>
      <c r="F60" t="s">
        <v>36</v>
      </c>
      <c r="I60" s="2" t="str">
        <f ca="1">IF(ISNUMBER(A60),
IF(COUNTIFS(Equipar!B:B,5,Equipar!AC:AC,A60),"Equipada",
IF(
 OR( COUNTIFS(Equipar!B:B,5,Equipar!C:C,A60)
 +COUNTIFS(Equipar!B:B,5,Equipar!D:D,A60)
+COUNTIFS(Equipar!B:B,5,Equipar!E:E,A60)
+COUNTIFS(Equipar!B:B,5,Equipar!F:F,A60)
&gt;0,COUNTIF('Set recomendado'!B:B,C60)=0),
"Bloqueada",
"Desechable")),""
)</f>
        <v>Bloqueada</v>
      </c>
      <c r="J60" t="str" cm="1">
        <f t="array" ref="J60">IF(ISNUMBER(A60),IFERROR(_xlfn._xlws.FILTER(Equipar!A:A,(Equipar!B:B=5)*(Equipar!AC:AC=A60)),""),"")</f>
        <v/>
      </c>
    </row>
    <row r="61" spans="1:10" x14ac:dyDescent="0.25">
      <c r="A61" s="1">
        <v>196</v>
      </c>
      <c r="B61" t="s">
        <v>54</v>
      </c>
      <c r="C61" t="s">
        <v>57</v>
      </c>
      <c r="D61" t="s">
        <v>38</v>
      </c>
      <c r="E61" t="s">
        <v>43</v>
      </c>
      <c r="F61" t="s">
        <v>34</v>
      </c>
      <c r="I61" s="2" t="str">
        <f ca="1">IF(ISNUMBER(A61),
IF(COUNTIFS(Equipar!B:B,5,Equipar!AC:AC,A61),"Equipada",
IF(
 OR( COUNTIFS(Equipar!B:B,5,Equipar!C:C,A61)
 +COUNTIFS(Equipar!B:B,5,Equipar!D:D,A61)
+COUNTIFS(Equipar!B:B,5,Equipar!E:E,A61)
+COUNTIFS(Equipar!B:B,5,Equipar!F:F,A61)
&gt;0,COUNTIF('Set recomendado'!B:B,C61)=0),
"Bloqueada",
"Desechable")),""
)</f>
        <v>Bloqueada</v>
      </c>
      <c r="J61" t="str" cm="1">
        <f t="array" ref="J61">IF(ISNUMBER(A61),IFERROR(_xlfn._xlws.FILTER(Equipar!A:A,(Equipar!B:B=5)*(Equipar!AC:AC=A61)),""),"")</f>
        <v/>
      </c>
    </row>
    <row r="62" spans="1:10" x14ac:dyDescent="0.25">
      <c r="A62" s="1">
        <v>197</v>
      </c>
      <c r="B62" t="s">
        <v>54</v>
      </c>
      <c r="C62" t="s">
        <v>57</v>
      </c>
      <c r="D62" t="s">
        <v>38</v>
      </c>
      <c r="E62" t="s">
        <v>36</v>
      </c>
      <c r="F62" t="s">
        <v>38</v>
      </c>
      <c r="G62" t="s">
        <v>39</v>
      </c>
      <c r="I62" s="2" t="str">
        <f ca="1">IF(ISNUMBER(A62),
IF(COUNTIFS(Equipar!B:B,5,Equipar!AC:AC,A62),"Equipada",
IF(
 OR( COUNTIFS(Equipar!B:B,5,Equipar!C:C,A62)
 +COUNTIFS(Equipar!B:B,5,Equipar!D:D,A62)
+COUNTIFS(Equipar!B:B,5,Equipar!E:E,A62)
+COUNTIFS(Equipar!B:B,5,Equipar!F:F,A62)
&gt;0,COUNTIF('Set recomendado'!B:B,C62)=0),
"Bloqueada",
"Desechable")),""
)</f>
        <v>Bloqueada</v>
      </c>
      <c r="J62" t="str" cm="1">
        <f t="array" ref="J62">IF(ISNUMBER(A62),IFERROR(_xlfn._xlws.FILTER(Equipar!A:A,(Equipar!B:B=5)*(Equipar!AC:AC=A62)),""),"")</f>
        <v/>
      </c>
    </row>
    <row r="63" spans="1:10" x14ac:dyDescent="0.25">
      <c r="A63" s="1">
        <v>198</v>
      </c>
      <c r="B63" t="s">
        <v>54</v>
      </c>
      <c r="C63" t="s">
        <v>57</v>
      </c>
      <c r="D63" t="s">
        <v>38</v>
      </c>
      <c r="E63" t="s">
        <v>36</v>
      </c>
      <c r="F63" t="s">
        <v>38</v>
      </c>
      <c r="I63" s="2" t="str">
        <f ca="1">IF(ISNUMBER(A63),
IF(COUNTIFS(Equipar!B:B,5,Equipar!AC:AC,A63),"Equipada",
IF(
 OR( COUNTIFS(Equipar!B:B,5,Equipar!C:C,A63)
 +COUNTIFS(Equipar!B:B,5,Equipar!D:D,A63)
+COUNTIFS(Equipar!B:B,5,Equipar!E:E,A63)
+COUNTIFS(Equipar!B:B,5,Equipar!F:F,A63)
&gt;0,COUNTIF('Set recomendado'!B:B,C63)=0),
"Bloqueada",
"Desechable")),""
)</f>
        <v>Bloqueada</v>
      </c>
      <c r="J63" t="str" cm="1">
        <f t="array" ref="J63">IF(ISNUMBER(A63),IFERROR(_xlfn._xlws.FILTER(Equipar!A:A,(Equipar!B:B=5)*(Equipar!AC:AC=A63)),""),"")</f>
        <v/>
      </c>
    </row>
    <row r="64" spans="1:10" x14ac:dyDescent="0.25">
      <c r="A64" s="1">
        <v>199</v>
      </c>
      <c r="B64" t="s">
        <v>54</v>
      </c>
      <c r="C64" t="s">
        <v>57</v>
      </c>
      <c r="D64" t="s">
        <v>38</v>
      </c>
      <c r="E64" t="s">
        <v>42</v>
      </c>
      <c r="F64" t="s">
        <v>41</v>
      </c>
      <c r="G64" t="s">
        <v>41</v>
      </c>
      <c r="I64" s="2" t="str">
        <f ca="1">IF(ISNUMBER(A64),
IF(COUNTIFS(Equipar!B:B,5,Equipar!AC:AC,A64),"Equipada",
IF(
 OR( COUNTIFS(Equipar!B:B,5,Equipar!C:C,A64)
 +COUNTIFS(Equipar!B:B,5,Equipar!D:D,A64)
+COUNTIFS(Equipar!B:B,5,Equipar!E:E,A64)
+COUNTIFS(Equipar!B:B,5,Equipar!F:F,A64)
&gt;0,COUNTIF('Set recomendado'!B:B,C64)=0),
"Bloqueada",
"Desechable")),""
)</f>
        <v>Bloqueada</v>
      </c>
      <c r="J64" t="str" cm="1">
        <f t="array" ref="J64">IF(ISNUMBER(A64),IFERROR(_xlfn._xlws.FILTER(Equipar!A:A,(Equipar!B:B=5)*(Equipar!AC:AC=A64)),""),"")</f>
        <v/>
      </c>
    </row>
    <row r="65" spans="1:10" x14ac:dyDescent="0.25">
      <c r="A65" s="1">
        <v>200</v>
      </c>
      <c r="B65" t="s">
        <v>54</v>
      </c>
      <c r="C65" t="s">
        <v>57</v>
      </c>
      <c r="D65" t="s">
        <v>38</v>
      </c>
      <c r="E65" t="s">
        <v>32</v>
      </c>
      <c r="F65" t="s">
        <v>41</v>
      </c>
      <c r="G65" t="s">
        <v>43</v>
      </c>
      <c r="I65" s="2" t="str">
        <f ca="1">IF(ISNUMBER(A65),
IF(COUNTIFS(Equipar!B:B,5,Equipar!AC:AC,A65),"Equipada",
IF(
 OR( COUNTIFS(Equipar!B:B,5,Equipar!C:C,A65)
 +COUNTIFS(Equipar!B:B,5,Equipar!D:D,A65)
+COUNTIFS(Equipar!B:B,5,Equipar!E:E,A65)
+COUNTIFS(Equipar!B:B,5,Equipar!F:F,A65)
&gt;0,COUNTIF('Set recomendado'!B:B,C65)=0),
"Bloqueada",
"Desechable")),""
)</f>
        <v>Bloqueada</v>
      </c>
      <c r="J65" t="str" cm="1">
        <f t="array" ref="J65">IF(ISNUMBER(A65),IFERROR(_xlfn._xlws.FILTER(Equipar!A:A,(Equipar!B:B=5)*(Equipar!AC:AC=A65)),""),"")</f>
        <v/>
      </c>
    </row>
    <row r="66" spans="1:10" x14ac:dyDescent="0.25">
      <c r="A66" s="1">
        <v>201</v>
      </c>
      <c r="B66" t="s">
        <v>54</v>
      </c>
      <c r="C66" t="s">
        <v>57</v>
      </c>
      <c r="D66" t="s">
        <v>38</v>
      </c>
      <c r="E66" t="s">
        <v>39</v>
      </c>
      <c r="F66" t="s">
        <v>38</v>
      </c>
      <c r="I66" s="2" t="str">
        <f ca="1">IF(ISNUMBER(A66),
IF(COUNTIFS(Equipar!B:B,5,Equipar!AC:AC,A66),"Equipada",
IF(
 OR( COUNTIFS(Equipar!B:B,5,Equipar!C:C,A66)
 +COUNTIFS(Equipar!B:B,5,Equipar!D:D,A66)
+COUNTIFS(Equipar!B:B,5,Equipar!E:E,A66)
+COUNTIFS(Equipar!B:B,5,Equipar!F:F,A66)
&gt;0,COUNTIF('Set recomendado'!B:B,C66)=0),
"Bloqueada",
"Desechable")),""
)</f>
        <v>Bloqueada</v>
      </c>
      <c r="J66" t="str" cm="1">
        <f t="array" ref="J66">IF(ISNUMBER(A66),IFERROR(_xlfn._xlws.FILTER(Equipar!A:A,(Equipar!B:B=5)*(Equipar!AC:AC=A66)),""),"")</f>
        <v/>
      </c>
    </row>
    <row r="67" spans="1:10" x14ac:dyDescent="0.25">
      <c r="A67" s="1">
        <v>202</v>
      </c>
      <c r="B67" t="s">
        <v>54</v>
      </c>
      <c r="C67" t="s">
        <v>57</v>
      </c>
      <c r="D67" t="s">
        <v>38</v>
      </c>
      <c r="E67" t="s">
        <v>36</v>
      </c>
      <c r="F67" t="s">
        <v>32</v>
      </c>
      <c r="G67" t="s">
        <v>37</v>
      </c>
      <c r="I67" s="2" t="str">
        <f ca="1">IF(ISNUMBER(A67),
IF(COUNTIFS(Equipar!B:B,5,Equipar!AC:AC,A67),"Equipada",
IF(
 OR( COUNTIFS(Equipar!B:B,5,Equipar!C:C,A67)
 +COUNTIFS(Equipar!B:B,5,Equipar!D:D,A67)
+COUNTIFS(Equipar!B:B,5,Equipar!E:E,A67)
+COUNTIFS(Equipar!B:B,5,Equipar!F:F,A67)
&gt;0,COUNTIF('Set recomendado'!B:B,C67)=0),
"Bloqueada",
"Desechable")),""
)</f>
        <v>Bloqueada</v>
      </c>
      <c r="J67" t="str" cm="1">
        <f t="array" ref="J67">IF(ISNUMBER(A67),IFERROR(_xlfn._xlws.FILTER(Equipar!A:A,(Equipar!B:B=5)*(Equipar!AC:AC=A67)),""),"")</f>
        <v/>
      </c>
    </row>
    <row r="68" spans="1:10" x14ac:dyDescent="0.25">
      <c r="A68" s="1">
        <v>203</v>
      </c>
      <c r="B68" t="s">
        <v>54</v>
      </c>
      <c r="C68" t="s">
        <v>57</v>
      </c>
      <c r="D68" t="s">
        <v>38</v>
      </c>
      <c r="E68" t="s">
        <v>36</v>
      </c>
      <c r="F68" t="s">
        <v>39</v>
      </c>
      <c r="G68" t="s">
        <v>37</v>
      </c>
      <c r="I68" s="2" t="str">
        <f ca="1">IF(ISNUMBER(A68),
IF(COUNTIFS(Equipar!B:B,5,Equipar!AC:AC,A68),"Equipada",
IF(
 OR( COUNTIFS(Equipar!B:B,5,Equipar!C:C,A68)
 +COUNTIFS(Equipar!B:B,5,Equipar!D:D,A68)
+COUNTIFS(Equipar!B:B,5,Equipar!E:E,A68)
+COUNTIFS(Equipar!B:B,5,Equipar!F:F,A68)
&gt;0,COUNTIF('Set recomendado'!B:B,C68)=0),
"Bloqueada",
"Desechable")),""
)</f>
        <v>Bloqueada</v>
      </c>
      <c r="J68" t="str" cm="1">
        <f t="array" ref="J68">IF(ISNUMBER(A68),IFERROR(_xlfn._xlws.FILTER(Equipar!A:A,(Equipar!B:B=5)*(Equipar!AC:AC=A68)),""),"")</f>
        <v/>
      </c>
    </row>
    <row r="69" spans="1:10" x14ac:dyDescent="0.25">
      <c r="A69" s="1">
        <v>204</v>
      </c>
      <c r="B69" t="s">
        <v>54</v>
      </c>
      <c r="C69" t="s">
        <v>55</v>
      </c>
      <c r="D69" t="s">
        <v>38</v>
      </c>
      <c r="E69" t="s">
        <v>38</v>
      </c>
      <c r="F69" t="s">
        <v>41</v>
      </c>
      <c r="I69" s="2" t="str">
        <f ca="1">IF(ISNUMBER(A69),
IF(COUNTIFS(Equipar!B:B,5,Equipar!AC:AC,A69),"Equipada",
IF(
 OR( COUNTIFS(Equipar!B:B,5,Equipar!C:C,A69)
 +COUNTIFS(Equipar!B:B,5,Equipar!D:D,A69)
+COUNTIFS(Equipar!B:B,5,Equipar!E:E,A69)
+COUNTIFS(Equipar!B:B,5,Equipar!F:F,A69)
&gt;0,COUNTIF('Set recomendado'!B:B,C69)=0),
"Bloqueada",
"Desechable")),""
)</f>
        <v>Desechable</v>
      </c>
      <c r="J69" t="str" cm="1">
        <f t="array" ref="J69">IF(ISNUMBER(A69),IFERROR(_xlfn._xlws.FILTER(Equipar!A:A,(Equipar!B:B=5)*(Equipar!AC:AC=A69)),""),"")</f>
        <v/>
      </c>
    </row>
    <row r="70" spans="1:10" x14ac:dyDescent="0.25">
      <c r="A70" s="1">
        <v>205</v>
      </c>
      <c r="B70" t="s">
        <v>54</v>
      </c>
      <c r="C70" t="s">
        <v>55</v>
      </c>
      <c r="D70" t="s">
        <v>38</v>
      </c>
      <c r="E70" t="s">
        <v>43</v>
      </c>
      <c r="F70" t="s">
        <v>38</v>
      </c>
      <c r="I70" s="2" t="str">
        <f ca="1">IF(ISNUMBER(A70),
IF(COUNTIFS(Equipar!B:B,5,Equipar!AC:AC,A70),"Equipada",
IF(
 OR( COUNTIFS(Equipar!B:B,5,Equipar!C:C,A70)
 +COUNTIFS(Equipar!B:B,5,Equipar!D:D,A70)
+COUNTIFS(Equipar!B:B,5,Equipar!E:E,A70)
+COUNTIFS(Equipar!B:B,5,Equipar!F:F,A70)
&gt;0,COUNTIF('Set recomendado'!B:B,C70)=0),
"Bloqueada",
"Desechable")),""
)</f>
        <v>Desechable</v>
      </c>
      <c r="J70" t="str" cm="1">
        <f t="array" ref="J70">IF(ISNUMBER(A70),IFERROR(_xlfn._xlws.FILTER(Equipar!A:A,(Equipar!B:B=5)*(Equipar!AC:AC=A70)),""),"")</f>
        <v/>
      </c>
    </row>
    <row r="71" spans="1:10" x14ac:dyDescent="0.25">
      <c r="A71" s="1">
        <v>206</v>
      </c>
      <c r="B71" t="s">
        <v>54</v>
      </c>
      <c r="C71" t="s">
        <v>21</v>
      </c>
      <c r="D71" t="s">
        <v>38</v>
      </c>
      <c r="E71" t="s">
        <v>43</v>
      </c>
      <c r="F71" t="s">
        <v>32</v>
      </c>
      <c r="I71" s="2" t="str">
        <f ca="1">IF(ISNUMBER(A71),
IF(COUNTIFS(Equipar!B:B,5,Equipar!AC:AC,A71),"Equipada",
IF(
 OR( COUNTIFS(Equipar!B:B,5,Equipar!C:C,A71)
 +COUNTIFS(Equipar!B:B,5,Equipar!D:D,A71)
+COUNTIFS(Equipar!B:B,5,Equipar!E:E,A71)
+COUNTIFS(Equipar!B:B,5,Equipar!F:F,A71)
&gt;0,COUNTIF('Set recomendado'!B:B,C71)=0),
"Bloqueada",
"Desechable")),""
)</f>
        <v>Desechable</v>
      </c>
      <c r="J71" t="str" cm="1">
        <f t="array" ref="J71">IF(ISNUMBER(A71),IFERROR(_xlfn._xlws.FILTER(Equipar!A:A,(Equipar!B:B=5)*(Equipar!AC:AC=A71)),""),"")</f>
        <v/>
      </c>
    </row>
    <row r="72" spans="1:10" x14ac:dyDescent="0.25">
      <c r="A72" s="1">
        <v>207</v>
      </c>
      <c r="B72" t="s">
        <v>54</v>
      </c>
      <c r="C72" t="s">
        <v>21</v>
      </c>
      <c r="D72" t="s">
        <v>38</v>
      </c>
      <c r="E72" t="s">
        <v>37</v>
      </c>
      <c r="F72" t="s">
        <v>32</v>
      </c>
      <c r="I72" s="2" t="str">
        <f ca="1">IF(ISNUMBER(A72),
IF(COUNTIFS(Equipar!B:B,5,Equipar!AC:AC,A72),"Equipada",
IF(
 OR( COUNTIFS(Equipar!B:B,5,Equipar!C:C,A72)
 +COUNTIFS(Equipar!B:B,5,Equipar!D:D,A72)
+COUNTIFS(Equipar!B:B,5,Equipar!E:E,A72)
+COUNTIFS(Equipar!B:B,5,Equipar!F:F,A72)
&gt;0,COUNTIF('Set recomendado'!B:B,C72)=0),
"Bloqueada",
"Desechable")),""
)</f>
        <v>Desechable</v>
      </c>
      <c r="J72" t="str" cm="1">
        <f t="array" ref="J72">IF(ISNUMBER(A72),IFERROR(_xlfn._xlws.FILTER(Equipar!A:A,(Equipar!B:B=5)*(Equipar!AC:AC=A72)),""),"")</f>
        <v/>
      </c>
    </row>
    <row r="73" spans="1:10" x14ac:dyDescent="0.25">
      <c r="A73" s="1">
        <v>208</v>
      </c>
      <c r="B73" t="s">
        <v>54</v>
      </c>
      <c r="C73" t="s">
        <v>21</v>
      </c>
      <c r="D73" t="s">
        <v>38</v>
      </c>
      <c r="E73" t="s">
        <v>38</v>
      </c>
      <c r="F73" t="s">
        <v>42</v>
      </c>
      <c r="I73" s="2" t="str">
        <f ca="1">IF(ISNUMBER(A73),
IF(COUNTIFS(Equipar!B:B,5,Equipar!AC:AC,A73),"Equipada",
IF(
 OR( COUNTIFS(Equipar!B:B,5,Equipar!C:C,A73)
 +COUNTIFS(Equipar!B:B,5,Equipar!D:D,A73)
+COUNTIFS(Equipar!B:B,5,Equipar!E:E,A73)
+COUNTIFS(Equipar!B:B,5,Equipar!F:F,A73)
&gt;0,COUNTIF('Set recomendado'!B:B,C73)=0),
"Bloqueada",
"Desechable")),""
)</f>
        <v>Desechable</v>
      </c>
      <c r="J73" t="str" cm="1">
        <f t="array" ref="J73">IF(ISNUMBER(A73),IFERROR(_xlfn._xlws.FILTER(Equipar!A:A,(Equipar!B:B=5)*(Equipar!AC:AC=A73)),""),"")</f>
        <v/>
      </c>
    </row>
    <row r="74" spans="1:10" x14ac:dyDescent="0.25">
      <c r="A74" s="1">
        <v>209</v>
      </c>
      <c r="B74" t="s">
        <v>54</v>
      </c>
      <c r="C74" t="s">
        <v>21</v>
      </c>
      <c r="D74" t="s">
        <v>38</v>
      </c>
      <c r="E74" t="s">
        <v>43</v>
      </c>
      <c r="F74" t="s">
        <v>42</v>
      </c>
      <c r="G74" t="s">
        <v>32</v>
      </c>
      <c r="I74" s="2" t="str">
        <f ca="1">IF(ISNUMBER(A74),
IF(COUNTIFS(Equipar!B:B,5,Equipar!AC:AC,A74),"Equipada",
IF(
 OR( COUNTIFS(Equipar!B:B,5,Equipar!C:C,A74)
 +COUNTIFS(Equipar!B:B,5,Equipar!D:D,A74)
+COUNTIFS(Equipar!B:B,5,Equipar!E:E,A74)
+COUNTIFS(Equipar!B:B,5,Equipar!F:F,A74)
&gt;0,COUNTIF('Set recomendado'!B:B,C74)=0),
"Bloqueada",
"Desechable")),""
)</f>
        <v>Desechable</v>
      </c>
      <c r="J74" t="str" cm="1">
        <f t="array" ref="J74">IF(ISNUMBER(A74),IFERROR(_xlfn._xlws.FILTER(Equipar!A:A,(Equipar!B:B=5)*(Equipar!AC:AC=A74)),""),"")</f>
        <v/>
      </c>
    </row>
    <row r="75" spans="1:10" x14ac:dyDescent="0.25">
      <c r="A75" s="1">
        <v>210</v>
      </c>
      <c r="B75" t="s">
        <v>54</v>
      </c>
      <c r="C75" t="s">
        <v>21</v>
      </c>
      <c r="D75" t="s">
        <v>38</v>
      </c>
      <c r="E75" t="s">
        <v>44</v>
      </c>
      <c r="F75" t="s">
        <v>37</v>
      </c>
      <c r="I75" s="2" t="str">
        <f ca="1">IF(ISNUMBER(A75),
IF(COUNTIFS(Equipar!B:B,5,Equipar!AC:AC,A75),"Equipada",
IF(
 OR( COUNTIFS(Equipar!B:B,5,Equipar!C:C,A75)
 +COUNTIFS(Equipar!B:B,5,Equipar!D:D,A75)
+COUNTIFS(Equipar!B:B,5,Equipar!E:E,A75)
+COUNTIFS(Equipar!B:B,5,Equipar!F:F,A75)
&gt;0,COUNTIF('Set recomendado'!B:B,C75)=0),
"Bloqueada",
"Desechable")),""
)</f>
        <v>Desechable</v>
      </c>
      <c r="J75" t="str" cm="1">
        <f t="array" ref="J75">IF(ISNUMBER(A75),IFERROR(_xlfn._xlws.FILTER(Equipar!A:A,(Equipar!B:B=5)*(Equipar!AC:AC=A75)),""),"")</f>
        <v/>
      </c>
    </row>
    <row r="76" spans="1:10" x14ac:dyDescent="0.25">
      <c r="A76" s="1">
        <v>211</v>
      </c>
      <c r="B76" t="s">
        <v>54</v>
      </c>
      <c r="C76" t="s">
        <v>21</v>
      </c>
      <c r="D76" t="s">
        <v>38</v>
      </c>
      <c r="E76" t="s">
        <v>41</v>
      </c>
      <c r="F76" t="s">
        <v>36</v>
      </c>
      <c r="I76" s="2" t="str">
        <f ca="1">IF(ISNUMBER(A76),
IF(COUNTIFS(Equipar!B:B,5,Equipar!AC:AC,A76),"Equipada",
IF(
 OR( COUNTIFS(Equipar!B:B,5,Equipar!C:C,A76)
 +COUNTIFS(Equipar!B:B,5,Equipar!D:D,A76)
+COUNTIFS(Equipar!B:B,5,Equipar!E:E,A76)
+COUNTIFS(Equipar!B:B,5,Equipar!F:F,A76)
&gt;0,COUNTIF('Set recomendado'!B:B,C76)=0),
"Bloqueada",
"Desechable")),""
)</f>
        <v>Desechable</v>
      </c>
      <c r="J76" t="str" cm="1">
        <f t="array" ref="J76">IF(ISNUMBER(A76),IFERROR(_xlfn._xlws.FILTER(Equipar!A:A,(Equipar!B:B=5)*(Equipar!AC:AC=A76)),""),"")</f>
        <v/>
      </c>
    </row>
    <row r="77" spans="1:10" x14ac:dyDescent="0.25">
      <c r="A77" s="1">
        <v>212</v>
      </c>
      <c r="B77" t="s">
        <v>54</v>
      </c>
      <c r="C77" t="s">
        <v>21</v>
      </c>
      <c r="D77" t="s">
        <v>38</v>
      </c>
      <c r="E77" t="s">
        <v>38</v>
      </c>
      <c r="F77" t="s">
        <v>41</v>
      </c>
      <c r="I77" s="2" t="str">
        <f ca="1">IF(ISNUMBER(A77),
IF(COUNTIFS(Equipar!B:B,5,Equipar!AC:AC,A77),"Equipada",
IF(
 OR( COUNTIFS(Equipar!B:B,5,Equipar!C:C,A77)
 +COUNTIFS(Equipar!B:B,5,Equipar!D:D,A77)
+COUNTIFS(Equipar!B:B,5,Equipar!E:E,A77)
+COUNTIFS(Equipar!B:B,5,Equipar!F:F,A77)
&gt;0,COUNTIF('Set recomendado'!B:B,C77)=0),
"Bloqueada",
"Desechable")),""
)</f>
        <v>Desechable</v>
      </c>
      <c r="J77" t="str" cm="1">
        <f t="array" ref="J77">IF(ISNUMBER(A77),IFERROR(_xlfn._xlws.FILTER(Equipar!A:A,(Equipar!B:B=5)*(Equipar!AC:AC=A77)),""),"")</f>
        <v/>
      </c>
    </row>
    <row r="78" spans="1:10" x14ac:dyDescent="0.25">
      <c r="A78" s="1">
        <v>213</v>
      </c>
      <c r="B78" t="s">
        <v>54</v>
      </c>
      <c r="C78" t="s">
        <v>21</v>
      </c>
      <c r="D78" t="s">
        <v>38</v>
      </c>
      <c r="E78" t="s">
        <v>35</v>
      </c>
      <c r="F78" t="s">
        <v>42</v>
      </c>
      <c r="I78" s="2" t="str">
        <f ca="1">IF(ISNUMBER(A78),
IF(COUNTIFS(Equipar!B:B,5,Equipar!AC:AC,A78),"Equipada",
IF(
 OR( COUNTIFS(Equipar!B:B,5,Equipar!C:C,A78)
 +COUNTIFS(Equipar!B:B,5,Equipar!D:D,A78)
+COUNTIFS(Equipar!B:B,5,Equipar!E:E,A78)
+COUNTIFS(Equipar!B:B,5,Equipar!F:F,A78)
&gt;0,COUNTIF('Set recomendado'!B:B,C78)=0),
"Bloqueada",
"Desechable")),""
)</f>
        <v>Desechable</v>
      </c>
      <c r="J78" t="str" cm="1">
        <f t="array" ref="J78">IF(ISNUMBER(A78),IFERROR(_xlfn._xlws.FILTER(Equipar!A:A,(Equipar!B:B=5)*(Equipar!AC:AC=A78)),""),"")</f>
        <v/>
      </c>
    </row>
    <row r="79" spans="1:10" x14ac:dyDescent="0.25">
      <c r="A79" s="1">
        <v>214</v>
      </c>
      <c r="B79" t="s">
        <v>54</v>
      </c>
      <c r="C79" t="s">
        <v>21</v>
      </c>
      <c r="D79" t="s">
        <v>38</v>
      </c>
      <c r="E79" t="s">
        <v>42</v>
      </c>
      <c r="F79" t="s">
        <v>44</v>
      </c>
      <c r="I79" s="2" t="str">
        <f ca="1">IF(ISNUMBER(A79),
IF(COUNTIFS(Equipar!B:B,5,Equipar!AC:AC,A79),"Equipada",
IF(
 OR( COUNTIFS(Equipar!B:B,5,Equipar!C:C,A79)
 +COUNTIFS(Equipar!B:B,5,Equipar!D:D,A79)
+COUNTIFS(Equipar!B:B,5,Equipar!E:E,A79)
+COUNTIFS(Equipar!B:B,5,Equipar!F:F,A79)
&gt;0,COUNTIF('Set recomendado'!B:B,C79)=0),
"Bloqueada",
"Desechable")),""
)</f>
        <v>Desechable</v>
      </c>
      <c r="J79" t="str" cm="1">
        <f t="array" ref="J79">IF(ISNUMBER(A79),IFERROR(_xlfn._xlws.FILTER(Equipar!A:A,(Equipar!B:B=5)*(Equipar!AC:AC=A79)),""),"")</f>
        <v/>
      </c>
    </row>
    <row r="80" spans="1:10" x14ac:dyDescent="0.25">
      <c r="A80" s="1">
        <v>215</v>
      </c>
      <c r="B80" t="s">
        <v>54</v>
      </c>
      <c r="C80" t="s">
        <v>21</v>
      </c>
      <c r="D80" t="s">
        <v>38</v>
      </c>
      <c r="E80" t="s">
        <v>36</v>
      </c>
      <c r="F80" t="s">
        <v>40</v>
      </c>
      <c r="I80" s="2" t="str">
        <f ca="1">IF(ISNUMBER(A80),
IF(COUNTIFS(Equipar!B:B,5,Equipar!AC:AC,A80),"Equipada",
IF(
 OR( COUNTIFS(Equipar!B:B,5,Equipar!C:C,A80)
 +COUNTIFS(Equipar!B:B,5,Equipar!D:D,A80)
+COUNTIFS(Equipar!B:B,5,Equipar!E:E,A80)
+COUNTIFS(Equipar!B:B,5,Equipar!F:F,A80)
&gt;0,COUNTIF('Set recomendado'!B:B,C80)=0),
"Bloqueada",
"Desechable")),""
)</f>
        <v>Desechable</v>
      </c>
      <c r="J80" t="str" cm="1">
        <f t="array" ref="J80">IF(ISNUMBER(A80),IFERROR(_xlfn._xlws.FILTER(Equipar!A:A,(Equipar!B:B=5)*(Equipar!AC:AC=A80)),""),"")</f>
        <v/>
      </c>
    </row>
    <row r="81" spans="1:10" x14ac:dyDescent="0.25">
      <c r="A81" s="1">
        <v>216</v>
      </c>
      <c r="B81" t="s">
        <v>54</v>
      </c>
      <c r="C81" t="s">
        <v>21</v>
      </c>
      <c r="D81" t="s">
        <v>38</v>
      </c>
      <c r="E81" t="s">
        <v>38</v>
      </c>
      <c r="F81" t="s">
        <v>35</v>
      </c>
      <c r="G81" t="s">
        <v>32</v>
      </c>
      <c r="I81" s="2" t="str">
        <f ca="1">IF(ISNUMBER(A81),
IF(COUNTIFS(Equipar!B:B,5,Equipar!AC:AC,A81),"Equipada",
IF(
 OR( COUNTIFS(Equipar!B:B,5,Equipar!C:C,A81)
 +COUNTIFS(Equipar!B:B,5,Equipar!D:D,A81)
+COUNTIFS(Equipar!B:B,5,Equipar!E:E,A81)
+COUNTIFS(Equipar!B:B,5,Equipar!F:F,A81)
&gt;0,COUNTIF('Set recomendado'!B:B,C81)=0),
"Bloqueada",
"Desechable")),""
)</f>
        <v>Desechable</v>
      </c>
      <c r="J81" t="str" cm="1">
        <f t="array" ref="J81">IF(ISNUMBER(A81),IFERROR(_xlfn._xlws.FILTER(Equipar!A:A,(Equipar!B:B=5)*(Equipar!AC:AC=A81)),""),"")</f>
        <v/>
      </c>
    </row>
    <row r="82" spans="1:10" x14ac:dyDescent="0.25">
      <c r="A82" s="1">
        <v>217</v>
      </c>
      <c r="B82" t="s">
        <v>53</v>
      </c>
      <c r="C82" t="s">
        <v>29</v>
      </c>
      <c r="D82" t="s">
        <v>38</v>
      </c>
      <c r="E82" t="s">
        <v>44</v>
      </c>
      <c r="F82" t="s">
        <v>32</v>
      </c>
      <c r="G82" t="s">
        <v>38</v>
      </c>
      <c r="I82" s="2" t="str">
        <f ca="1">IF(ISNUMBER(A82),
IF(COUNTIFS(Equipar!B:B,5,Equipar!AC:AC,A82),"Equipada",
IF(
 OR( COUNTIFS(Equipar!B:B,5,Equipar!C:C,A82)
 +COUNTIFS(Equipar!B:B,5,Equipar!D:D,A82)
+COUNTIFS(Equipar!B:B,5,Equipar!E:E,A82)
+COUNTIFS(Equipar!B:B,5,Equipar!F:F,A82)
&gt;0,COUNTIF('Set recomendado'!B:B,C82)=0),
"Bloqueada",
"Desechable")),""
)</f>
        <v>Desechable</v>
      </c>
      <c r="J82" t="str" cm="1">
        <f t="array" ref="J82">IF(ISNUMBER(A82),IFERROR(_xlfn._xlws.FILTER(Equipar!A:A,(Equipar!B:B=5)*(Equipar!AC:AC=A82)),""),"")</f>
        <v/>
      </c>
    </row>
    <row r="83" spans="1:10" x14ac:dyDescent="0.25">
      <c r="A83" s="1">
        <v>218</v>
      </c>
      <c r="B83" t="s">
        <v>54</v>
      </c>
      <c r="C83" t="s">
        <v>29</v>
      </c>
      <c r="D83" t="s">
        <v>38</v>
      </c>
      <c r="E83" t="s">
        <v>38</v>
      </c>
      <c r="F83" t="s">
        <v>43</v>
      </c>
      <c r="I83" s="2" t="str">
        <f ca="1">IF(ISNUMBER(A83),
IF(COUNTIFS(Equipar!B:B,5,Equipar!AC:AC,A83),"Equipada",
IF(
 OR( COUNTIFS(Equipar!B:B,5,Equipar!C:C,A83)
 +COUNTIFS(Equipar!B:B,5,Equipar!D:D,A83)
+COUNTIFS(Equipar!B:B,5,Equipar!E:E,A83)
+COUNTIFS(Equipar!B:B,5,Equipar!F:F,A83)
&gt;0,COUNTIF('Set recomendado'!B:B,C83)=0),
"Bloqueada",
"Desechable")),""
)</f>
        <v>Desechable</v>
      </c>
      <c r="J83" t="str" cm="1">
        <f t="array" ref="J83">IF(ISNUMBER(A83),IFERROR(_xlfn._xlws.FILTER(Equipar!A:A,(Equipar!B:B=5)*(Equipar!AC:AC=A83)),""),"")</f>
        <v/>
      </c>
    </row>
    <row r="84" spans="1:10" x14ac:dyDescent="0.25">
      <c r="A84" s="1">
        <v>219</v>
      </c>
      <c r="B84" t="s">
        <v>54</v>
      </c>
      <c r="C84" t="s">
        <v>29</v>
      </c>
      <c r="D84" t="s">
        <v>38</v>
      </c>
      <c r="E84" t="s">
        <v>35</v>
      </c>
      <c r="F84" t="s">
        <v>43</v>
      </c>
      <c r="G84" t="s">
        <v>41</v>
      </c>
      <c r="I84" s="2" t="str">
        <f ca="1">IF(ISNUMBER(A84),
IF(COUNTIFS(Equipar!B:B,5,Equipar!AC:AC,A84),"Equipada",
IF(
 OR( COUNTIFS(Equipar!B:B,5,Equipar!C:C,A84)
 +COUNTIFS(Equipar!B:B,5,Equipar!D:D,A84)
+COUNTIFS(Equipar!B:B,5,Equipar!E:E,A84)
+COUNTIFS(Equipar!B:B,5,Equipar!F:F,A84)
&gt;0,COUNTIF('Set recomendado'!B:B,C84)=0),
"Bloqueada",
"Desechable")),""
)</f>
        <v>Desechable</v>
      </c>
      <c r="J84" t="str" cm="1">
        <f t="array" ref="J84">IF(ISNUMBER(A84),IFERROR(_xlfn._xlws.FILTER(Equipar!A:A,(Equipar!B:B=5)*(Equipar!AC:AC=A84)),""),"")</f>
        <v/>
      </c>
    </row>
    <row r="85" spans="1:10" x14ac:dyDescent="0.25">
      <c r="A85" s="1">
        <v>220</v>
      </c>
      <c r="B85" t="s">
        <v>54</v>
      </c>
      <c r="C85" t="s">
        <v>29</v>
      </c>
      <c r="D85" t="s">
        <v>38</v>
      </c>
      <c r="E85" t="s">
        <v>36</v>
      </c>
      <c r="F85" t="s">
        <v>33</v>
      </c>
      <c r="I85" s="2" t="str">
        <f ca="1">IF(ISNUMBER(A85),
IF(COUNTIFS(Equipar!B:B,5,Equipar!AC:AC,A85),"Equipada",
IF(
 OR( COUNTIFS(Equipar!B:B,5,Equipar!C:C,A85)
 +COUNTIFS(Equipar!B:B,5,Equipar!D:D,A85)
+COUNTIFS(Equipar!B:B,5,Equipar!E:E,A85)
+COUNTIFS(Equipar!B:B,5,Equipar!F:F,A85)
&gt;0,COUNTIF('Set recomendado'!B:B,C85)=0),
"Bloqueada",
"Desechable")),""
)</f>
        <v>Desechable</v>
      </c>
      <c r="J85" t="str" cm="1">
        <f t="array" ref="J85">IF(ISNUMBER(A85),IFERROR(_xlfn._xlws.FILTER(Equipar!A:A,(Equipar!B:B=5)*(Equipar!AC:AC=A85)),""),"")</f>
        <v/>
      </c>
    </row>
    <row r="86" spans="1:10" x14ac:dyDescent="0.25">
      <c r="A86" s="1">
        <v>221</v>
      </c>
      <c r="B86" t="s">
        <v>54</v>
      </c>
      <c r="C86" t="s">
        <v>29</v>
      </c>
      <c r="D86" t="s">
        <v>38</v>
      </c>
      <c r="E86" t="s">
        <v>42</v>
      </c>
      <c r="F86" t="s">
        <v>32</v>
      </c>
      <c r="G86" t="s">
        <v>35</v>
      </c>
      <c r="I86" s="2" t="str">
        <f ca="1">IF(ISNUMBER(A86),
IF(COUNTIFS(Equipar!B:B,5,Equipar!AC:AC,A86),"Equipada",
IF(
 OR( COUNTIFS(Equipar!B:B,5,Equipar!C:C,A86)
 +COUNTIFS(Equipar!B:B,5,Equipar!D:D,A86)
+COUNTIFS(Equipar!B:B,5,Equipar!E:E,A86)
+COUNTIFS(Equipar!B:B,5,Equipar!F:F,A86)
&gt;0,COUNTIF('Set recomendado'!B:B,C86)=0),
"Bloqueada",
"Desechable")),""
)</f>
        <v>Desechable</v>
      </c>
      <c r="J86" t="str" cm="1">
        <f t="array" ref="J86">IF(ISNUMBER(A86),IFERROR(_xlfn._xlws.FILTER(Equipar!A:A,(Equipar!B:B=5)*(Equipar!AC:AC=A86)),""),"")</f>
        <v/>
      </c>
    </row>
    <row r="87" spans="1:10" x14ac:dyDescent="0.25">
      <c r="A87" s="1">
        <v>222</v>
      </c>
      <c r="B87" t="s">
        <v>54</v>
      </c>
      <c r="C87" t="s">
        <v>29</v>
      </c>
      <c r="D87" t="s">
        <v>38</v>
      </c>
      <c r="E87" t="s">
        <v>32</v>
      </c>
      <c r="F87" t="s">
        <v>41</v>
      </c>
      <c r="I87" s="2" t="str">
        <f ca="1">IF(ISNUMBER(A87),
IF(COUNTIFS(Equipar!B:B,5,Equipar!AC:AC,A87),"Equipada",
IF(
 OR( COUNTIFS(Equipar!B:B,5,Equipar!C:C,A87)
 +COUNTIFS(Equipar!B:B,5,Equipar!D:D,A87)
+COUNTIFS(Equipar!B:B,5,Equipar!E:E,A87)
+COUNTIFS(Equipar!B:B,5,Equipar!F:F,A87)
&gt;0,COUNTIF('Set recomendado'!B:B,C87)=0),
"Bloqueada",
"Desechable")),""
)</f>
        <v>Desechable</v>
      </c>
      <c r="J87" t="str" cm="1">
        <f t="array" ref="J87">IF(ISNUMBER(A87),IFERROR(_xlfn._xlws.FILTER(Equipar!A:A,(Equipar!B:B=5)*(Equipar!AC:AC=A87)),""),"")</f>
        <v/>
      </c>
    </row>
    <row r="88" spans="1:10" x14ac:dyDescent="0.25">
      <c r="A88" s="1">
        <v>223</v>
      </c>
      <c r="B88" t="s">
        <v>54</v>
      </c>
      <c r="C88" t="s">
        <v>29</v>
      </c>
      <c r="D88" t="s">
        <v>38</v>
      </c>
      <c r="E88" t="s">
        <v>43</v>
      </c>
      <c r="F88" t="s">
        <v>38</v>
      </c>
      <c r="I88" s="2" t="str">
        <f ca="1">IF(ISNUMBER(A88),
IF(COUNTIFS(Equipar!B:B,5,Equipar!AC:AC,A88),"Equipada",
IF(
 OR( COUNTIFS(Equipar!B:B,5,Equipar!C:C,A88)
 +COUNTIFS(Equipar!B:B,5,Equipar!D:D,A88)
+COUNTIFS(Equipar!B:B,5,Equipar!E:E,A88)
+COUNTIFS(Equipar!B:B,5,Equipar!F:F,A88)
&gt;0,COUNTIF('Set recomendado'!B:B,C88)=0),
"Bloqueada",
"Desechable")),""
)</f>
        <v>Desechable</v>
      </c>
      <c r="J88" t="str" cm="1">
        <f t="array" ref="J88">IF(ISNUMBER(A88),IFERROR(_xlfn._xlws.FILTER(Equipar!A:A,(Equipar!B:B=5)*(Equipar!AC:AC=A88)),""),"")</f>
        <v/>
      </c>
    </row>
    <row r="89" spans="1:10" x14ac:dyDescent="0.25">
      <c r="A89" s="1">
        <v>224</v>
      </c>
      <c r="B89" t="s">
        <v>54</v>
      </c>
      <c r="C89" t="s">
        <v>57</v>
      </c>
      <c r="D89" t="s">
        <v>38</v>
      </c>
      <c r="E89" t="s">
        <v>41</v>
      </c>
      <c r="F89" t="s">
        <v>33</v>
      </c>
      <c r="I89" s="2" t="str">
        <f ca="1">IF(ISNUMBER(A89),
IF(COUNTIFS(Equipar!B:B,5,Equipar!AC:AC,A89),"Equipada",
IF(
 OR( COUNTIFS(Equipar!B:B,5,Equipar!C:C,A89)
 +COUNTIFS(Equipar!B:B,5,Equipar!D:D,A89)
+COUNTIFS(Equipar!B:B,5,Equipar!E:E,A89)
+COUNTIFS(Equipar!B:B,5,Equipar!F:F,A89)
&gt;0,COUNTIF('Set recomendado'!B:B,C89)=0),
"Bloqueada",
"Desechable")),""
)</f>
        <v>Bloqueada</v>
      </c>
      <c r="J89" t="str" cm="1">
        <f t="array" ref="J89">IF(ISNUMBER(A89),IFERROR(_xlfn._xlws.FILTER(Equipar!A:A,(Equipar!B:B=5)*(Equipar!AC:AC=A89)),""),"")</f>
        <v/>
      </c>
    </row>
    <row r="90" spans="1:10" x14ac:dyDescent="0.25">
      <c r="A90" s="1">
        <v>225</v>
      </c>
      <c r="B90" t="s">
        <v>54</v>
      </c>
      <c r="C90" t="s">
        <v>55</v>
      </c>
      <c r="D90" t="s">
        <v>38</v>
      </c>
      <c r="E90" t="s">
        <v>39</v>
      </c>
      <c r="F90" t="s">
        <v>36</v>
      </c>
      <c r="I90" s="2" t="str">
        <f ca="1">IF(ISNUMBER(A90),
IF(COUNTIFS(Equipar!B:B,5,Equipar!AC:AC,A90),"Equipada",
IF(
 OR( COUNTIFS(Equipar!B:B,5,Equipar!C:C,A90)
 +COUNTIFS(Equipar!B:B,5,Equipar!D:D,A90)
+COUNTIFS(Equipar!B:B,5,Equipar!E:E,A90)
+COUNTIFS(Equipar!B:B,5,Equipar!F:F,A90)
&gt;0,COUNTIF('Set recomendado'!B:B,C90)=0),
"Bloqueada",
"Desechable")),""
)</f>
        <v>Desechable</v>
      </c>
      <c r="J90" t="str" cm="1">
        <f t="array" ref="J90">IF(ISNUMBER(A90),IFERROR(_xlfn._xlws.FILTER(Equipar!A:A,(Equipar!B:B=5)*(Equipar!AC:AC=A90)),""),"")</f>
        <v/>
      </c>
    </row>
    <row r="91" spans="1:10" x14ac:dyDescent="0.25">
      <c r="A91" s="1">
        <v>226</v>
      </c>
      <c r="B91" t="s">
        <v>54</v>
      </c>
      <c r="C91" t="s">
        <v>21</v>
      </c>
      <c r="D91" t="s">
        <v>38</v>
      </c>
      <c r="E91" t="s">
        <v>41</v>
      </c>
      <c r="F91" t="s">
        <v>32</v>
      </c>
      <c r="I91" s="2" t="str">
        <f ca="1">IF(ISNUMBER(A91),
IF(COUNTIFS(Equipar!B:B,5,Equipar!AC:AC,A91),"Equipada",
IF(
 OR( COUNTIFS(Equipar!B:B,5,Equipar!C:C,A91)
 +COUNTIFS(Equipar!B:B,5,Equipar!D:D,A91)
+COUNTIFS(Equipar!B:B,5,Equipar!E:E,A91)
+COUNTIFS(Equipar!B:B,5,Equipar!F:F,A91)
&gt;0,COUNTIF('Set recomendado'!B:B,C91)=0),
"Bloqueada",
"Desechable")),""
)</f>
        <v>Desechable</v>
      </c>
      <c r="J91" t="str" cm="1">
        <f t="array" ref="J91">IF(ISNUMBER(A91),IFERROR(_xlfn._xlws.FILTER(Equipar!A:A,(Equipar!B:B=5)*(Equipar!AC:AC=A91)),""),"")</f>
        <v/>
      </c>
    </row>
    <row r="92" spans="1:10" x14ac:dyDescent="0.25">
      <c r="A92" s="1">
        <v>227</v>
      </c>
      <c r="B92" s="4" t="s">
        <v>54</v>
      </c>
      <c r="C92" s="4" t="s">
        <v>21</v>
      </c>
      <c r="D92" s="4" t="s">
        <v>38</v>
      </c>
      <c r="E92" s="4" t="s">
        <v>32</v>
      </c>
      <c r="F92" s="4" t="s">
        <v>43</v>
      </c>
      <c r="G92" s="4"/>
      <c r="H92" s="4"/>
      <c r="I92" s="2" t="str">
        <f ca="1">IF(ISNUMBER(A92),
IF(COUNTIFS(Equipar!B:B,5,Equipar!AC:AC,A92),"Equipada",
IF(
 OR( COUNTIFS(Equipar!B:B,5,Equipar!C:C,A92)
 +COUNTIFS(Equipar!B:B,5,Equipar!D:D,A92)
+COUNTIFS(Equipar!B:B,5,Equipar!E:E,A92)
+COUNTIFS(Equipar!B:B,5,Equipar!F:F,A92)
&gt;0,COUNTIF('Set recomendado'!B:B,C92)=0),
"Bloqueada",
"Desechable")),""
)</f>
        <v>Desechable</v>
      </c>
      <c r="J92" t="str" cm="1">
        <f t="array" ref="J92">IF(ISNUMBER(A92),IFERROR(_xlfn._xlws.FILTER(Equipar!A:A,(Equipar!B:B=5)*(Equipar!AC:AC=A92)),""),"")</f>
        <v/>
      </c>
    </row>
    <row r="93" spans="1:10" x14ac:dyDescent="0.25">
      <c r="A93" s="1">
        <v>229</v>
      </c>
      <c r="B93" s="6" t="s">
        <v>53</v>
      </c>
      <c r="C93" s="6" t="s">
        <v>56</v>
      </c>
      <c r="D93" s="6" t="s">
        <v>38</v>
      </c>
      <c r="E93" s="6" t="s">
        <v>32</v>
      </c>
      <c r="F93" s="6" t="s">
        <v>41</v>
      </c>
      <c r="G93" s="6" t="s">
        <v>42</v>
      </c>
      <c r="I93" s="2" t="str">
        <f ca="1">IF(ISNUMBER(A93),
IF(COUNTIFS(Equipar!B:B,5,Equipar!AC:AC,A93),"Equipada",
IF(
 OR( COUNTIFS(Equipar!B:B,5,Equipar!C:C,A93)
 +COUNTIFS(Equipar!B:B,5,Equipar!D:D,A93)
+COUNTIFS(Equipar!B:B,5,Equipar!E:E,A93)
+COUNTIFS(Equipar!B:B,5,Equipar!F:F,A93)
&gt;0,COUNTIF('Set recomendado'!B:B,C93)=0),
"Bloqueada",
"Desechable")),""
)</f>
        <v>Desechable</v>
      </c>
      <c r="J93" t="str" cm="1">
        <f t="array" ref="J93">IF(ISNUMBER(A93),IFERROR(_xlfn._xlws.FILTER(Equipar!A:A,(Equipar!B:B=5)*(Equipar!AC:AC=A93)),""),"")</f>
        <v/>
      </c>
    </row>
    <row r="94" spans="1:10" x14ac:dyDescent="0.25">
      <c r="A94" s="1">
        <v>230</v>
      </c>
      <c r="B94" s="6" t="s">
        <v>53</v>
      </c>
      <c r="C94" s="6" t="s">
        <v>56</v>
      </c>
      <c r="D94" s="6" t="s">
        <v>38</v>
      </c>
      <c r="E94" s="6" t="s">
        <v>41</v>
      </c>
      <c r="F94" s="6" t="s">
        <v>32</v>
      </c>
      <c r="G94" s="6" t="s">
        <v>38</v>
      </c>
      <c r="I94" s="2" t="str">
        <f ca="1">IF(ISNUMBER(A94),
IF(COUNTIFS(Equipar!B:B,5,Equipar!AC:AC,A94),"Equipada",
IF(
 OR( COUNTIFS(Equipar!B:B,5,Equipar!C:C,A94)
 +COUNTIFS(Equipar!B:B,5,Equipar!D:D,A94)
+COUNTIFS(Equipar!B:B,5,Equipar!E:E,A94)
+COUNTIFS(Equipar!B:B,5,Equipar!F:F,A94)
&gt;0,COUNTIF('Set recomendado'!B:B,C94)=0),
"Bloqueada",
"Desechable")),""
)</f>
        <v>Bloqueada</v>
      </c>
      <c r="J94" t="str" cm="1">
        <f t="array" ref="J94">IF(ISNUMBER(A94),IFERROR(_xlfn._xlws.FILTER(Equipar!A:A,(Equipar!B:B=5)*(Equipar!AC:AC=A94)),""),"")</f>
        <v/>
      </c>
    </row>
    <row r="95" spans="1:10" x14ac:dyDescent="0.25">
      <c r="A95" s="1">
        <v>231</v>
      </c>
      <c r="B95" s="6" t="s">
        <v>54</v>
      </c>
      <c r="C95" s="6" t="s">
        <v>55</v>
      </c>
      <c r="D95" s="6" t="s">
        <v>38</v>
      </c>
      <c r="E95" s="6" t="s">
        <v>42</v>
      </c>
      <c r="F95" s="6" t="s">
        <v>37</v>
      </c>
      <c r="G95" s="6" t="s">
        <v>41</v>
      </c>
      <c r="I95" s="2" t="str">
        <f ca="1">IF(ISNUMBER(A95),
IF(COUNTIFS(Equipar!B:B,5,Equipar!AC:AC,A95),"Equipada",
IF(
 OR( COUNTIFS(Equipar!B:B,5,Equipar!C:C,A95)
 +COUNTIFS(Equipar!B:B,5,Equipar!D:D,A95)
+COUNTIFS(Equipar!B:B,5,Equipar!E:E,A95)
+COUNTIFS(Equipar!B:B,5,Equipar!F:F,A95)
&gt;0,COUNTIF('Set recomendado'!B:B,C95)=0),
"Bloqueada",
"Desechable")),""
)</f>
        <v>Desechable</v>
      </c>
      <c r="J95" t="str" cm="1">
        <f t="array" ref="J95">IF(ISNUMBER(A95),IFERROR(_xlfn._xlws.FILTER(Equipar!A:A,(Equipar!B:B=5)*(Equipar!AC:AC=A95)),""),"")</f>
        <v/>
      </c>
    </row>
    <row r="96" spans="1:10" x14ac:dyDescent="0.25">
      <c r="A96" s="1">
        <v>232</v>
      </c>
      <c r="B96" s="6" t="s">
        <v>54</v>
      </c>
      <c r="C96" s="6" t="s">
        <v>55</v>
      </c>
      <c r="D96" s="6" t="s">
        <v>38</v>
      </c>
      <c r="E96" s="6" t="s">
        <v>36</v>
      </c>
      <c r="F96" s="6" t="s">
        <v>32</v>
      </c>
      <c r="I96" s="2" t="str">
        <f ca="1">IF(ISNUMBER(A96),
IF(COUNTIFS(Equipar!B:B,5,Equipar!AC:AC,A96),"Equipada",
IF(
 OR( COUNTIFS(Equipar!B:B,5,Equipar!C:C,A96)
 +COUNTIFS(Equipar!B:B,5,Equipar!D:D,A96)
+COUNTIFS(Equipar!B:B,5,Equipar!E:E,A96)
+COUNTIFS(Equipar!B:B,5,Equipar!F:F,A96)
&gt;0,COUNTIF('Set recomendado'!B:B,C96)=0),
"Bloqueada",
"Desechable")),""
)</f>
        <v>Desechable</v>
      </c>
      <c r="J96" t="str" cm="1">
        <f t="array" ref="J96">IF(ISNUMBER(A96),IFERROR(_xlfn._xlws.FILTER(Equipar!A:A,(Equipar!B:B=5)*(Equipar!AC:AC=A96)),""),"")</f>
        <v/>
      </c>
    </row>
    <row r="97" spans="1:10" x14ac:dyDescent="0.25">
      <c r="A97" s="1">
        <v>233</v>
      </c>
      <c r="B97" s="6" t="s">
        <v>54</v>
      </c>
      <c r="C97" s="6" t="s">
        <v>55</v>
      </c>
      <c r="D97" s="6" t="s">
        <v>38</v>
      </c>
      <c r="E97" s="6" t="s">
        <v>42</v>
      </c>
      <c r="F97" s="6" t="s">
        <v>38</v>
      </c>
      <c r="G97" s="6" t="s">
        <v>42</v>
      </c>
      <c r="I97" s="2" t="str">
        <f ca="1">IF(ISNUMBER(A97),
IF(COUNTIFS(Equipar!B:B,5,Equipar!AC:AC,A97),"Equipada",
IF(
 OR( COUNTIFS(Equipar!B:B,5,Equipar!C:C,A97)
 +COUNTIFS(Equipar!B:B,5,Equipar!D:D,A97)
+COUNTIFS(Equipar!B:B,5,Equipar!E:E,A97)
+COUNTIFS(Equipar!B:B,5,Equipar!F:F,A97)
&gt;0,COUNTIF('Set recomendado'!B:B,C97)=0),
"Bloqueada",
"Desechable")),""
)</f>
        <v>Desechable</v>
      </c>
      <c r="J97" t="str" cm="1">
        <f t="array" ref="J97">IF(ISNUMBER(A97),IFERROR(_xlfn._xlws.FILTER(Equipar!A:A,(Equipar!B:B=5)*(Equipar!AC:AC=A97)),""),"")</f>
        <v/>
      </c>
    </row>
    <row r="98" spans="1:10" x14ac:dyDescent="0.25">
      <c r="A98" s="1">
        <v>234</v>
      </c>
      <c r="B98" s="6" t="s">
        <v>54</v>
      </c>
      <c r="C98" s="6" t="s">
        <v>55</v>
      </c>
      <c r="D98" s="6" t="s">
        <v>38</v>
      </c>
      <c r="E98" s="6" t="s">
        <v>42</v>
      </c>
      <c r="F98" s="6" t="s">
        <v>32</v>
      </c>
      <c r="I98" s="2" t="str">
        <f ca="1">IF(ISNUMBER(A98),
IF(COUNTIFS(Equipar!B:B,5,Equipar!AC:AC,A98),"Equipada",
IF(
 OR( COUNTIFS(Equipar!B:B,5,Equipar!C:C,A98)
 +COUNTIFS(Equipar!B:B,5,Equipar!D:D,A98)
+COUNTIFS(Equipar!B:B,5,Equipar!E:E,A98)
+COUNTIFS(Equipar!B:B,5,Equipar!F:F,A98)
&gt;0,COUNTIF('Set recomendado'!B:B,C98)=0),
"Bloqueada",
"Desechable")),""
)</f>
        <v>Desechable</v>
      </c>
      <c r="J98" t="str" cm="1">
        <f t="array" ref="J98">IF(ISNUMBER(A98),IFERROR(_xlfn._xlws.FILTER(Equipar!A:A,(Equipar!B:B=5)*(Equipar!AC:AC=A98)),""),"")</f>
        <v/>
      </c>
    </row>
    <row r="99" spans="1:10" x14ac:dyDescent="0.25">
      <c r="A99" s="1">
        <v>235</v>
      </c>
      <c r="B99" s="6" t="s">
        <v>54</v>
      </c>
      <c r="C99" s="6" t="s">
        <v>21</v>
      </c>
      <c r="D99" s="6" t="s">
        <v>38</v>
      </c>
      <c r="E99" s="6" t="s">
        <v>37</v>
      </c>
      <c r="F99" s="6" t="s">
        <v>40</v>
      </c>
      <c r="I99" s="2" t="str">
        <f ca="1">IF(ISNUMBER(A99),
IF(COUNTIFS(Equipar!B:B,5,Equipar!AC:AC,A99),"Equipada",
IF(
 OR( COUNTIFS(Equipar!B:B,5,Equipar!C:C,A99)
 +COUNTIFS(Equipar!B:B,5,Equipar!D:D,A99)
+COUNTIFS(Equipar!B:B,5,Equipar!E:E,A99)
+COUNTIFS(Equipar!B:B,5,Equipar!F:F,A99)
&gt;0,COUNTIF('Set recomendado'!B:B,C99)=0),
"Bloqueada",
"Desechable")),""
)</f>
        <v>Desechable</v>
      </c>
      <c r="J99" t="str" cm="1">
        <f t="array" ref="J99">IF(ISNUMBER(A99),IFERROR(_xlfn._xlws.FILTER(Equipar!A:A,(Equipar!B:B=5)*(Equipar!AC:AC=A99)),""),"")</f>
        <v/>
      </c>
    </row>
    <row r="100" spans="1:10" x14ac:dyDescent="0.25">
      <c r="A100" s="1">
        <v>236</v>
      </c>
      <c r="B100" s="6" t="s">
        <v>54</v>
      </c>
      <c r="C100" s="6" t="s">
        <v>29</v>
      </c>
      <c r="D100" s="6" t="s">
        <v>38</v>
      </c>
      <c r="E100" s="6" t="s">
        <v>38</v>
      </c>
      <c r="F100" s="6" t="s">
        <v>36</v>
      </c>
      <c r="G100" s="6" t="s">
        <v>43</v>
      </c>
      <c r="I100" s="2" t="str">
        <f ca="1">IF(ISNUMBER(A100),
IF(COUNTIFS(Equipar!B:B,5,Equipar!AC:AC,A100),"Equipada",
IF(
 OR( COUNTIFS(Equipar!B:B,5,Equipar!C:C,A100)
 +COUNTIFS(Equipar!B:B,5,Equipar!D:D,A100)
+COUNTIFS(Equipar!B:B,5,Equipar!E:E,A100)
+COUNTIFS(Equipar!B:B,5,Equipar!F:F,A100)
&gt;0,COUNTIF('Set recomendado'!B:B,C100)=0),
"Bloqueada",
"Desechable")),""
)</f>
        <v>Desechable</v>
      </c>
      <c r="J100" t="str" cm="1">
        <f t="array" ref="J100">IF(ISNUMBER(A100),IFERROR(_xlfn._xlws.FILTER(Equipar!A:A,(Equipar!B:B=5)*(Equipar!AC:AC=A100)),""),"")</f>
        <v/>
      </c>
    </row>
    <row r="101" spans="1:10" x14ac:dyDescent="0.25">
      <c r="A101" s="1">
        <v>237</v>
      </c>
      <c r="B101" s="6" t="s">
        <v>54</v>
      </c>
      <c r="C101" s="6" t="s">
        <v>29</v>
      </c>
      <c r="D101" s="6" t="s">
        <v>38</v>
      </c>
      <c r="E101" s="6" t="s">
        <v>36</v>
      </c>
      <c r="F101" s="6" t="s">
        <v>43</v>
      </c>
      <c r="G101" s="6" t="s">
        <v>39</v>
      </c>
      <c r="H101" s="4"/>
      <c r="I101" s="2" t="str">
        <f ca="1">IF(ISNUMBER(A101),
IF(COUNTIFS(Equipar!B:B,5,Equipar!AC:AC,A101),"Equipada",
IF(
 OR( COUNTIFS(Equipar!B:B,5,Equipar!C:C,A101)
 +COUNTIFS(Equipar!B:B,5,Equipar!D:D,A101)
+COUNTIFS(Equipar!B:B,5,Equipar!E:E,A101)
+COUNTIFS(Equipar!B:B,5,Equipar!F:F,A101)
&gt;0,COUNTIF('Set recomendado'!B:B,C101)=0),
"Bloqueada",
"Desechable")),""
)</f>
        <v>Desechable</v>
      </c>
      <c r="J101" t="str" cm="1">
        <f t="array" ref="J101">IF(ISNUMBER(A101),IFERROR(_xlfn._xlws.FILTER(Equipar!A:A,(Equipar!B:B=5)*(Equipar!AC:AC=A101)),""),"")</f>
        <v/>
      </c>
    </row>
    <row r="102" spans="1:10" x14ac:dyDescent="0.25">
      <c r="A102" s="1">
        <v>240</v>
      </c>
      <c r="B102" s="6" t="s">
        <v>54</v>
      </c>
      <c r="C102" s="6" t="s">
        <v>5</v>
      </c>
      <c r="D102" s="6" t="s">
        <v>38</v>
      </c>
      <c r="E102" s="6" t="s">
        <v>38</v>
      </c>
      <c r="F102" s="6" t="s">
        <v>36</v>
      </c>
      <c r="G102" s="6" t="s">
        <v>36</v>
      </c>
      <c r="I102" s="2" t="str">
        <f ca="1">IF(ISNUMBER(A102),
IF(COUNTIFS(Equipar!B:B,5,Equipar!AC:AC,A102),"Equipada",
IF(
 OR( COUNTIFS(Equipar!B:B,5,Equipar!C:C,A102)
 +COUNTIFS(Equipar!B:B,5,Equipar!D:D,A102)
+COUNTIFS(Equipar!B:B,5,Equipar!E:E,A102)
+COUNTIFS(Equipar!B:B,5,Equipar!F:F,A102)
&gt;0,COUNTIF('Set recomendado'!B:B,C102)=0),
"Bloqueada",
"Desechable")),""
)</f>
        <v>Desechable</v>
      </c>
      <c r="J102" t="str" cm="1">
        <f t="array" ref="J102">IF(ISNUMBER(A102),IFERROR(_xlfn._xlws.FILTER(Equipar!A:A,(Equipar!B:B=5)*(Equipar!AC:AC=A102)),""),"")</f>
        <v/>
      </c>
    </row>
    <row r="103" spans="1:10" x14ac:dyDescent="0.25">
      <c r="A103" s="1">
        <v>241</v>
      </c>
      <c r="B103" t="s">
        <v>53</v>
      </c>
      <c r="C103" t="s">
        <v>13</v>
      </c>
      <c r="D103" t="s">
        <v>38</v>
      </c>
      <c r="E103" t="s">
        <v>37</v>
      </c>
      <c r="F103" t="s">
        <v>41</v>
      </c>
      <c r="G103" t="s">
        <v>39</v>
      </c>
      <c r="I103" s="2" t="str">
        <f>IF(ISNUMBER(A103),
IF(COUNTIFS(Equipar!B:B,5,Equipar!AC:AC,A103),"Equipada",
IF(
 OR( COUNTIFS(Equipar!B:B,5,Equipar!C:C,A103)
 +COUNTIFS(Equipar!B:B,5,Equipar!D:D,A103)
+COUNTIFS(Equipar!B:B,5,Equipar!E:E,A103)
+COUNTIFS(Equipar!B:B,5,Equipar!F:F,A103)
&gt;0,COUNTIF('Set recomendado'!B:B,C103)=0),
"Bloqueada",
"Desechable")),""
)</f>
        <v>Equipada</v>
      </c>
      <c r="J103" t="str" cm="1">
        <f t="array" ref="J103">IF(ISNUMBER(A103),IFERROR(_xlfn._xlws.FILTER(Equipar!A:A,(Equipar!B:B=5)*(Equipar!AC:AC=A103)),""),"")</f>
        <v>Suna</v>
      </c>
    </row>
    <row r="104" spans="1:10" x14ac:dyDescent="0.25">
      <c r="A104" s="1">
        <v>242</v>
      </c>
      <c r="B104" t="s">
        <v>53</v>
      </c>
      <c r="C104" t="s">
        <v>16</v>
      </c>
      <c r="D104" t="s">
        <v>38</v>
      </c>
      <c r="E104" t="s">
        <v>37</v>
      </c>
      <c r="F104" t="s">
        <v>41</v>
      </c>
      <c r="G104" t="s">
        <v>32</v>
      </c>
      <c r="H104" t="s">
        <v>41</v>
      </c>
      <c r="I104" s="2" t="str">
        <f>IF(ISNUMBER(A104),
IF(COUNTIFS(Equipar!B:B,5,Equipar!AC:AC,A104),"Equipada",
IF(
 OR( COUNTIFS(Equipar!B:B,5,Equipar!C:C,A104)
 +COUNTIFS(Equipar!B:B,5,Equipar!D:D,A104)
+COUNTIFS(Equipar!B:B,5,Equipar!E:E,A104)
+COUNTIFS(Equipar!B:B,5,Equipar!F:F,A104)
&gt;0,COUNTIF('Set recomendado'!B:B,C104)=0),
"Bloqueada",
"Desechable")),""
)</f>
        <v>Equipada</v>
      </c>
      <c r="J104" t="str" cm="1">
        <f t="array" ref="J104">IF(ISNUMBER(A104),IFERROR(_xlfn._xlws.FILTER(Equipar!A:A,(Equipar!B:B=5)*(Equipar!AC:AC=A104)),""),"")</f>
        <v>Komori</v>
      </c>
    </row>
    <row r="105" spans="1:10" x14ac:dyDescent="0.25">
      <c r="A105" s="1">
        <v>243</v>
      </c>
      <c r="B105" t="s">
        <v>54</v>
      </c>
      <c r="C105" t="s">
        <v>57</v>
      </c>
      <c r="D105" t="s">
        <v>38</v>
      </c>
      <c r="E105" t="s">
        <v>35</v>
      </c>
      <c r="F105" t="s">
        <v>42</v>
      </c>
      <c r="I105" s="2" t="str">
        <f ca="1">IF(ISNUMBER(A105),
IF(COUNTIFS(Equipar!B:B,5,Equipar!AC:AC,A105),"Equipada",
IF(
 OR( COUNTIFS(Equipar!B:B,5,Equipar!C:C,A105)
 +COUNTIFS(Equipar!B:B,5,Equipar!D:D,A105)
+COUNTIFS(Equipar!B:B,5,Equipar!E:E,A105)
+COUNTIFS(Equipar!B:B,5,Equipar!F:F,A105)
&gt;0,COUNTIF('Set recomendado'!B:B,C105)=0),
"Bloqueada",
"Desechable")),""
)</f>
        <v>Bloqueada</v>
      </c>
      <c r="J105" t="str" cm="1">
        <f t="array" ref="J105">IF(ISNUMBER(A105),IFERROR(_xlfn._xlws.FILTER(Equipar!A:A,(Equipar!B:B=5)*(Equipar!AC:AC=A105)),""),"")</f>
        <v/>
      </c>
    </row>
    <row r="106" spans="1:10" x14ac:dyDescent="0.25">
      <c r="A106" s="1">
        <v>244</v>
      </c>
      <c r="B106" t="s">
        <v>54</v>
      </c>
      <c r="C106" t="s">
        <v>57</v>
      </c>
      <c r="D106" t="s">
        <v>38</v>
      </c>
      <c r="E106" t="s">
        <v>43</v>
      </c>
      <c r="F106" t="s">
        <v>38</v>
      </c>
      <c r="G106" t="s">
        <v>42</v>
      </c>
      <c r="I106" s="2" t="str">
        <f ca="1">IF(ISNUMBER(A106),
IF(COUNTIFS(Equipar!B:B,5,Equipar!AC:AC,A106),"Equipada",
IF(
 OR( COUNTIFS(Equipar!B:B,5,Equipar!C:C,A106)
 +COUNTIFS(Equipar!B:B,5,Equipar!D:D,A106)
+COUNTIFS(Equipar!B:B,5,Equipar!E:E,A106)
+COUNTIFS(Equipar!B:B,5,Equipar!F:F,A106)
&gt;0,COUNTIF('Set recomendado'!B:B,C106)=0),
"Bloqueada",
"Desechable")),""
)</f>
        <v>Bloqueada</v>
      </c>
      <c r="J106" t="str" cm="1">
        <f t="array" ref="J106">IF(ISNUMBER(A106),IFERROR(_xlfn._xlws.FILTER(Equipar!A:A,(Equipar!B:B=5)*(Equipar!AC:AC=A106)),""),"")</f>
        <v/>
      </c>
    </row>
    <row r="107" spans="1:10" x14ac:dyDescent="0.25">
      <c r="A107" s="1">
        <v>245</v>
      </c>
      <c r="B107" t="s">
        <v>54</v>
      </c>
      <c r="C107" t="s">
        <v>57</v>
      </c>
      <c r="D107" t="s">
        <v>38</v>
      </c>
      <c r="E107" t="s">
        <v>36</v>
      </c>
      <c r="F107" t="s">
        <v>37</v>
      </c>
      <c r="I107" s="2" t="str">
        <f ca="1">IF(ISNUMBER(A107),
IF(COUNTIFS(Equipar!B:B,5,Equipar!AC:AC,A107),"Equipada",
IF(
 OR( COUNTIFS(Equipar!B:B,5,Equipar!C:C,A107)
 +COUNTIFS(Equipar!B:B,5,Equipar!D:D,A107)
+COUNTIFS(Equipar!B:B,5,Equipar!E:E,A107)
+COUNTIFS(Equipar!B:B,5,Equipar!F:F,A107)
&gt;0,COUNTIF('Set recomendado'!B:B,C107)=0),
"Bloqueada",
"Desechable")),""
)</f>
        <v>Bloqueada</v>
      </c>
      <c r="J107" t="str" cm="1">
        <f t="array" ref="J107">IF(ISNUMBER(A107),IFERROR(_xlfn._xlws.FILTER(Equipar!A:A,(Equipar!B:B=5)*(Equipar!AC:AC=A107)),""),"")</f>
        <v/>
      </c>
    </row>
    <row r="108" spans="1:10" x14ac:dyDescent="0.25">
      <c r="A108" s="1">
        <v>246</v>
      </c>
      <c r="B108" s="6" t="s">
        <v>54</v>
      </c>
      <c r="C108" s="6" t="s">
        <v>21</v>
      </c>
      <c r="D108" s="6" t="s">
        <v>38</v>
      </c>
      <c r="E108" s="6" t="s">
        <v>38</v>
      </c>
      <c r="F108" s="6" t="s">
        <v>32</v>
      </c>
      <c r="G108" s="6" t="s">
        <v>43</v>
      </c>
      <c r="I108" s="2" t="str">
        <f ca="1">IF(ISNUMBER(A108),
IF(COUNTIFS(Equipar!B:B,5,Equipar!AC:AC,A108),"Equipada",
IF(
 OR( COUNTIFS(Equipar!B:B,5,Equipar!C:C,A108)
 +COUNTIFS(Equipar!B:B,5,Equipar!D:D,A108)
+COUNTIFS(Equipar!B:B,5,Equipar!E:E,A108)
+COUNTIFS(Equipar!B:B,5,Equipar!F:F,A108)
&gt;0,COUNTIF('Set recomendado'!B:B,C108)=0),
"Bloqueada",
"Desechable")),""
)</f>
        <v>Desechable</v>
      </c>
      <c r="J108" t="str" cm="1">
        <f t="array" ref="J108">IF(ISNUMBER(A108),IFERROR(_xlfn._xlws.FILTER(Equipar!A:A,(Equipar!B:B=5)*(Equipar!AC:AC=A108)),""),"")</f>
        <v/>
      </c>
    </row>
    <row r="109" spans="1:10" x14ac:dyDescent="0.25">
      <c r="A109" s="1">
        <v>247</v>
      </c>
      <c r="B109" s="6" t="s">
        <v>53</v>
      </c>
      <c r="C109" s="6" t="s">
        <v>29</v>
      </c>
      <c r="D109" s="6" t="s">
        <v>38</v>
      </c>
      <c r="E109" s="6" t="s">
        <v>40</v>
      </c>
      <c r="F109" s="6" t="s">
        <v>38</v>
      </c>
      <c r="G109" s="6" t="s">
        <v>36</v>
      </c>
      <c r="I109" s="2" t="str">
        <f ca="1">IF(ISNUMBER(A109),
IF(COUNTIFS(Equipar!B:B,5,Equipar!AC:AC,A109),"Equipada",
IF(
 OR( COUNTIFS(Equipar!B:B,5,Equipar!C:C,A109)
 +COUNTIFS(Equipar!B:B,5,Equipar!D:D,A109)
+COUNTIFS(Equipar!B:B,5,Equipar!E:E,A109)
+COUNTIFS(Equipar!B:B,5,Equipar!F:F,A109)
&gt;0,COUNTIF('Set recomendado'!B:B,C109)=0),
"Bloqueada",
"Desechable")),""
)</f>
        <v>Desechable</v>
      </c>
      <c r="J109" t="str" cm="1">
        <f t="array" ref="J109">IF(ISNUMBER(A109),IFERROR(_xlfn._xlws.FILTER(Equipar!A:A,(Equipar!B:B=5)*(Equipar!AC:AC=A109)),""),"")</f>
        <v/>
      </c>
    </row>
    <row r="110" spans="1:10" x14ac:dyDescent="0.25">
      <c r="A110" s="1">
        <v>248</v>
      </c>
      <c r="B110" s="6" t="s">
        <v>53</v>
      </c>
      <c r="C110" s="6" t="s">
        <v>29</v>
      </c>
      <c r="D110" s="6" t="s">
        <v>38</v>
      </c>
      <c r="E110" s="6" t="s">
        <v>33</v>
      </c>
      <c r="F110" s="6" t="s">
        <v>32</v>
      </c>
      <c r="G110" s="6" t="s">
        <v>37</v>
      </c>
      <c r="H110" s="4"/>
      <c r="I110" s="2" t="str">
        <f ca="1">IF(ISNUMBER(A110),
IF(COUNTIFS(Equipar!B:B,5,Equipar!AC:AC,A110),"Equipada",
IF(
 OR( COUNTIFS(Equipar!B:B,5,Equipar!C:C,A110)
 +COUNTIFS(Equipar!B:B,5,Equipar!D:D,A110)
+COUNTIFS(Equipar!B:B,5,Equipar!E:E,A110)
+COUNTIFS(Equipar!B:B,5,Equipar!F:F,A110)
&gt;0,COUNTIF('Set recomendado'!B:B,C110)=0),
"Bloqueada",
"Desechable")),""
)</f>
        <v>Desechable</v>
      </c>
      <c r="J110" t="str" cm="1">
        <f t="array" ref="J110">IF(ISNUMBER(A110),IFERROR(_xlfn._xlws.FILTER(Equipar!A:A,(Equipar!B:B=5)*(Equipar!AC:AC=A110)),""),"")</f>
        <v/>
      </c>
    </row>
    <row r="111" spans="1:10" x14ac:dyDescent="0.25">
      <c r="A111" s="1">
        <v>249</v>
      </c>
      <c r="B111" s="6" t="s">
        <v>53</v>
      </c>
      <c r="C111" s="6" t="s">
        <v>5</v>
      </c>
      <c r="D111" s="6" t="s">
        <v>38</v>
      </c>
      <c r="E111" s="6" t="s">
        <v>34</v>
      </c>
      <c r="F111" s="6" t="s">
        <v>37</v>
      </c>
      <c r="G111" s="6" t="s">
        <v>38</v>
      </c>
      <c r="I111" s="2" t="str">
        <f>IF(ISNUMBER(A111),
IF(COUNTIFS(Equipar!B:B,5,Equipar!AC:AC,A111),"Equipada",
IF(
 OR( COUNTIFS(Equipar!B:B,5,Equipar!C:C,A111)
 +COUNTIFS(Equipar!B:B,5,Equipar!D:D,A111)
+COUNTIFS(Equipar!B:B,5,Equipar!E:E,A111)
+COUNTIFS(Equipar!B:B,5,Equipar!F:F,A111)
&gt;0,COUNTIF('Set recomendado'!B:B,C111)=0),
"Bloqueada",
"Desechable")),""
)</f>
        <v>Equipada</v>
      </c>
      <c r="J111" t="str" cm="1">
        <f t="array" ref="J111">IF(ISNUMBER(A111),IFERROR(_xlfn._xlws.FILTER(Equipar!A:A,(Equipar!B:B=5)*(Equipar!AC:AC=A111)),""),"")</f>
        <v>Tanaka</v>
      </c>
    </row>
    <row r="112" spans="1:10" x14ac:dyDescent="0.25">
      <c r="A112" s="1">
        <v>250</v>
      </c>
      <c r="B112" s="6" t="s">
        <v>53</v>
      </c>
      <c r="C112" s="6" t="s">
        <v>23</v>
      </c>
      <c r="D112" s="6" t="s">
        <v>38</v>
      </c>
      <c r="E112" s="6" t="s">
        <v>34</v>
      </c>
      <c r="F112" s="6" t="s">
        <v>44</v>
      </c>
      <c r="G112" s="6" t="s">
        <v>32</v>
      </c>
      <c r="H112" s="6" t="s">
        <v>33</v>
      </c>
      <c r="I112" s="2" t="str">
        <f ca="1">IF(ISNUMBER(A112),
IF(COUNTIFS(Equipar!B:B,5,Equipar!AC:AC,A112),"Equipada",
IF(
 OR( COUNTIFS(Equipar!B:B,5,Equipar!C:C,A112)
 +COUNTIFS(Equipar!B:B,5,Equipar!D:D,A112)
+COUNTIFS(Equipar!B:B,5,Equipar!E:E,A112)
+COUNTIFS(Equipar!B:B,5,Equipar!F:F,A112)
&gt;0,COUNTIF('Set recomendado'!B:B,C112)=0),
"Bloqueada",
"Desechable")),""
)</f>
        <v>Desechable</v>
      </c>
      <c r="J112" t="str" cm="1">
        <f t="array" ref="J112">IF(ISNUMBER(A112),IFERROR(_xlfn._xlws.FILTER(Equipar!A:A,(Equipar!B:B=5)*(Equipar!AC:AC=A112)),""),"")</f>
        <v/>
      </c>
    </row>
    <row r="113" spans="1:10" x14ac:dyDescent="0.25">
      <c r="A113" s="1">
        <v>251</v>
      </c>
      <c r="B113" s="6" t="s">
        <v>53</v>
      </c>
      <c r="C113" s="6" t="s">
        <v>17</v>
      </c>
      <c r="D113" s="6" t="s">
        <v>38</v>
      </c>
      <c r="E113" s="6" t="s">
        <v>41</v>
      </c>
      <c r="F113" s="6" t="s">
        <v>32</v>
      </c>
      <c r="G113" s="6" t="s">
        <v>39</v>
      </c>
      <c r="I113" s="2" t="str">
        <f ca="1">IF(ISNUMBER(A113),
IF(COUNTIFS(Equipar!B:B,5,Equipar!AC:AC,A113),"Equipada",
IF(
 OR( COUNTIFS(Equipar!B:B,5,Equipar!C:C,A113)
 +COUNTIFS(Equipar!B:B,5,Equipar!D:D,A113)
+COUNTIFS(Equipar!B:B,5,Equipar!E:E,A113)
+COUNTIFS(Equipar!B:B,5,Equipar!F:F,A113)
&gt;0,COUNTIF('Set recomendado'!B:B,C113)=0),
"Bloqueada",
"Desechable")),""
)</f>
        <v>Bloqueada</v>
      </c>
      <c r="J113" t="str" cm="1">
        <f t="array" ref="J113">IF(ISNUMBER(A113),IFERROR(_xlfn._xlws.FILTER(Equipar!A:A,(Equipar!B:B=5)*(Equipar!AC:AC=A113)),""),"")</f>
        <v/>
      </c>
    </row>
    <row r="114" spans="1:10" x14ac:dyDescent="0.25">
      <c r="A114" s="1">
        <v>252</v>
      </c>
      <c r="B114" s="6" t="s">
        <v>53</v>
      </c>
      <c r="C114" s="6" t="s">
        <v>57</v>
      </c>
      <c r="D114" s="6" t="s">
        <v>38</v>
      </c>
      <c r="E114" s="6" t="s">
        <v>41</v>
      </c>
      <c r="F114" s="6" t="s">
        <v>42</v>
      </c>
      <c r="G114" s="6" t="s">
        <v>32</v>
      </c>
      <c r="H114" s="6" t="s">
        <v>36</v>
      </c>
      <c r="I114" s="2" t="str">
        <f ca="1">IF(ISNUMBER(A114),
IF(COUNTIFS(Equipar!B:B,5,Equipar!AC:AC,A114),"Equipada",
IF(
 OR( COUNTIFS(Equipar!B:B,5,Equipar!C:C,A114)
 +COUNTIFS(Equipar!B:B,5,Equipar!D:D,A114)
+COUNTIFS(Equipar!B:B,5,Equipar!E:E,A114)
+COUNTIFS(Equipar!B:B,5,Equipar!F:F,A114)
&gt;0,COUNTIF('Set recomendado'!B:B,C114)=0),
"Bloqueada",
"Desechable")),""
)</f>
        <v>Bloqueada</v>
      </c>
      <c r="J114" t="str" cm="1">
        <f t="array" ref="J114">IF(ISNUMBER(A114),IFERROR(_xlfn._xlws.FILTER(Equipar!A:A,(Equipar!B:B=5)*(Equipar!AC:AC=A114)),""),"")</f>
        <v/>
      </c>
    </row>
    <row r="115" spans="1:10" x14ac:dyDescent="0.25">
      <c r="A115" s="1">
        <v>253</v>
      </c>
      <c r="B115" s="6" t="s">
        <v>53</v>
      </c>
      <c r="C115" s="6" t="s">
        <v>57</v>
      </c>
      <c r="D115" s="6" t="s">
        <v>38</v>
      </c>
      <c r="E115" s="6" t="s">
        <v>41</v>
      </c>
      <c r="F115" s="6" t="s">
        <v>42</v>
      </c>
      <c r="G115" s="6" t="s">
        <v>32</v>
      </c>
      <c r="I115" s="2" t="str">
        <f ca="1">IF(ISNUMBER(A115),
IF(COUNTIFS(Equipar!B:B,5,Equipar!AC:AC,A115),"Equipada",
IF(
 OR( COUNTIFS(Equipar!B:B,5,Equipar!C:C,A115)
 +COUNTIFS(Equipar!B:B,5,Equipar!D:D,A115)
+COUNTIFS(Equipar!B:B,5,Equipar!E:E,A115)
+COUNTIFS(Equipar!B:B,5,Equipar!F:F,A115)
&gt;0,COUNTIF('Set recomendado'!B:B,C115)=0),
"Bloqueada",
"Desechable")),""
)</f>
        <v>Bloqueada</v>
      </c>
      <c r="J115" t="str" cm="1">
        <f t="array" ref="J115">IF(ISNUMBER(A115),IFERROR(_xlfn._xlws.FILTER(Equipar!A:A,(Equipar!B:B=5)*(Equipar!AC:AC=A115)),""),"")</f>
        <v/>
      </c>
    </row>
    <row r="116" spans="1:10" x14ac:dyDescent="0.25">
      <c r="A116" s="1">
        <v>254</v>
      </c>
      <c r="B116" s="6" t="s">
        <v>53</v>
      </c>
      <c r="C116" s="6" t="s">
        <v>55</v>
      </c>
      <c r="D116" s="6" t="s">
        <v>38</v>
      </c>
      <c r="E116" s="6" t="s">
        <v>36</v>
      </c>
      <c r="F116" s="6" t="s">
        <v>38</v>
      </c>
      <c r="G116" s="6" t="s">
        <v>43</v>
      </c>
      <c r="I116" s="2" t="str">
        <f ca="1">IF(ISNUMBER(A116),
IF(COUNTIFS(Equipar!B:B,5,Equipar!AC:AC,A116),"Equipada",
IF(
 OR( COUNTIFS(Equipar!B:B,5,Equipar!C:C,A116)
 +COUNTIFS(Equipar!B:B,5,Equipar!D:D,A116)
+COUNTIFS(Equipar!B:B,5,Equipar!E:E,A116)
+COUNTIFS(Equipar!B:B,5,Equipar!F:F,A116)
&gt;0,COUNTIF('Set recomendado'!B:B,C116)=0),
"Bloqueada",
"Desechable")),""
)</f>
        <v>Desechable</v>
      </c>
      <c r="J116" t="str" cm="1">
        <f t="array" ref="J116">IF(ISNUMBER(A116),IFERROR(_xlfn._xlws.FILTER(Equipar!A:A,(Equipar!B:B=5)*(Equipar!AC:AC=A116)),""),"")</f>
        <v/>
      </c>
    </row>
    <row r="117" spans="1:10" x14ac:dyDescent="0.25">
      <c r="A117" s="1">
        <v>255</v>
      </c>
      <c r="B117" s="6" t="s">
        <v>53</v>
      </c>
      <c r="C117" s="6" t="s">
        <v>55</v>
      </c>
      <c r="D117" s="6" t="s">
        <v>38</v>
      </c>
      <c r="E117" s="6" t="s">
        <v>36</v>
      </c>
      <c r="F117" s="6" t="s">
        <v>36</v>
      </c>
      <c r="G117" s="6" t="s">
        <v>41</v>
      </c>
      <c r="I117" s="2" t="str">
        <f>IF(ISNUMBER(A117),
IF(COUNTIFS(Equipar!B:B,5,Equipar!AC:AC,A117),"Equipada",
IF(
 OR( COUNTIFS(Equipar!B:B,5,Equipar!C:C,A117)
 +COUNTIFS(Equipar!B:B,5,Equipar!D:D,A117)
+COUNTIFS(Equipar!B:B,5,Equipar!E:E,A117)
+COUNTIFS(Equipar!B:B,5,Equipar!F:F,A117)
&gt;0,COUNTIF('Set recomendado'!B:B,C117)=0),
"Bloqueada",
"Desechable")),""
)</f>
        <v>Equipada</v>
      </c>
      <c r="J117" t="str" cm="1">
        <f t="array" ref="J117">IF(ISNUMBER(A117),IFERROR(_xlfn._xlws.FILTER(Equipar!A:A,(Equipar!B:B=5)*(Equipar!AC:AC=A117)),""),"")</f>
        <v>Atsumu</v>
      </c>
    </row>
    <row r="118" spans="1:10" x14ac:dyDescent="0.25">
      <c r="A118" s="1">
        <v>256</v>
      </c>
      <c r="B118" s="6" t="s">
        <v>53</v>
      </c>
      <c r="C118" s="6" t="s">
        <v>21</v>
      </c>
      <c r="D118" s="6" t="s">
        <v>38</v>
      </c>
      <c r="E118" s="6" t="s">
        <v>42</v>
      </c>
      <c r="F118" s="6" t="s">
        <v>35</v>
      </c>
      <c r="G118" s="6" t="s">
        <v>43</v>
      </c>
      <c r="H118" s="6" t="s">
        <v>36</v>
      </c>
      <c r="I118" s="2" t="str">
        <f>IF(ISNUMBER(A118),
IF(COUNTIFS(Equipar!B:B,5,Equipar!AC:AC,A118),"Equipada",
IF(
 OR( COUNTIFS(Equipar!B:B,5,Equipar!C:C,A118)
 +COUNTIFS(Equipar!B:B,5,Equipar!D:D,A118)
+COUNTIFS(Equipar!B:B,5,Equipar!E:E,A118)
+COUNTIFS(Equipar!B:B,5,Equipar!F:F,A118)
&gt;0,COUNTIF('Set recomendado'!B:B,C118)=0),
"Bloqueada",
"Desechable")),""
)</f>
        <v>Equipada</v>
      </c>
      <c r="J118" t="str" cm="1">
        <f t="array" ref="J118">IF(ISNUMBER(A118),IFERROR(_xlfn._xlws.FILTER(Equipar!A:A,(Equipar!B:B=5)*(Equipar!AC:AC=A118)),""),"")</f>
        <v>Tsukishima</v>
      </c>
    </row>
    <row r="119" spans="1:10" x14ac:dyDescent="0.25">
      <c r="A119" s="1">
        <v>257</v>
      </c>
      <c r="B119" s="6" t="s">
        <v>53</v>
      </c>
      <c r="C119" s="6" t="s">
        <v>21</v>
      </c>
      <c r="D119" s="6" t="s">
        <v>38</v>
      </c>
      <c r="E119" s="6" t="s">
        <v>37</v>
      </c>
      <c r="F119" s="6" t="s">
        <v>42</v>
      </c>
      <c r="G119" s="6" t="s">
        <v>43</v>
      </c>
      <c r="H119" s="6" t="s">
        <v>38</v>
      </c>
      <c r="I119" s="2" t="str">
        <f>IF(ISNUMBER(A119),
IF(COUNTIFS(Equipar!B:B,5,Equipar!AC:AC,A119),"Equipada",
IF(
 OR( COUNTIFS(Equipar!B:B,5,Equipar!C:C,A119)
 +COUNTIFS(Equipar!B:B,5,Equipar!D:D,A119)
+COUNTIFS(Equipar!B:B,5,Equipar!E:E,A119)
+COUNTIFS(Equipar!B:B,5,Equipar!F:F,A119)
&gt;0,COUNTIF('Set recomendado'!B:B,C119)=0),
"Bloqueada",
"Desechable")),""
)</f>
        <v>Equipada</v>
      </c>
      <c r="J119" t="str" cm="1">
        <f t="array" ref="J119">IF(ISNUMBER(A119),IFERROR(_xlfn._xlws.FILTER(Equipar!A:A,(Equipar!B:B=5)*(Equipar!AC:AC=A119)),""),"")</f>
        <v>Hirugami</v>
      </c>
    </row>
    <row r="120" spans="1:10" x14ac:dyDescent="0.25">
      <c r="A120" s="1">
        <v>258</v>
      </c>
      <c r="B120" s="6" t="s">
        <v>53</v>
      </c>
      <c r="C120" s="6" t="s">
        <v>21</v>
      </c>
      <c r="D120" s="6" t="s">
        <v>38</v>
      </c>
      <c r="E120" s="6" t="s">
        <v>33</v>
      </c>
      <c r="F120" s="6" t="s">
        <v>42</v>
      </c>
      <c r="G120" s="6" t="s">
        <v>36</v>
      </c>
      <c r="I120" s="2" t="str">
        <f ca="1">IF(ISNUMBER(A120),
IF(COUNTIFS(Equipar!B:B,5,Equipar!AC:AC,A120),"Equipada",
IF(
 OR( COUNTIFS(Equipar!B:B,5,Equipar!C:C,A120)
 +COUNTIFS(Equipar!B:B,5,Equipar!D:D,A120)
+COUNTIFS(Equipar!B:B,5,Equipar!E:E,A120)
+COUNTIFS(Equipar!B:B,5,Equipar!F:F,A120)
&gt;0,COUNTIF('Set recomendado'!B:B,C120)=0),
"Bloqueada",
"Desechable")),""
)</f>
        <v>Desechable</v>
      </c>
      <c r="J120" t="str" cm="1">
        <f t="array" ref="J120">IF(ISNUMBER(A120),IFERROR(_xlfn._xlws.FILTER(Equipar!A:A,(Equipar!B:B=5)*(Equipar!AC:AC=A120)),""),"")</f>
        <v/>
      </c>
    </row>
    <row r="121" spans="1:10" x14ac:dyDescent="0.25">
      <c r="A121" s="1">
        <v>259</v>
      </c>
      <c r="B121" s="6" t="s">
        <v>53</v>
      </c>
      <c r="C121" s="6" t="s">
        <v>21</v>
      </c>
      <c r="D121" s="6" t="s">
        <v>38</v>
      </c>
      <c r="E121" s="6" t="s">
        <v>34</v>
      </c>
      <c r="F121" s="6" t="s">
        <v>32</v>
      </c>
      <c r="G121" s="6" t="s">
        <v>42</v>
      </c>
      <c r="I121" s="2" t="str">
        <f ca="1">IF(ISNUMBER(A121),
IF(COUNTIFS(Equipar!B:B,5,Equipar!AC:AC,A121),"Equipada",
IF(
 OR( COUNTIFS(Equipar!B:B,5,Equipar!C:C,A121)
 +COUNTIFS(Equipar!B:B,5,Equipar!D:D,A121)
+COUNTIFS(Equipar!B:B,5,Equipar!E:E,A121)
+COUNTIFS(Equipar!B:B,5,Equipar!F:F,A121)
&gt;0,COUNTIF('Set recomendado'!B:B,C121)=0),
"Bloqueada",
"Desechable")),""
)</f>
        <v>Desechable</v>
      </c>
      <c r="J121" t="str" cm="1">
        <f t="array" ref="J121">IF(ISNUMBER(A121),IFERROR(_xlfn._xlws.FILTER(Equipar!A:A,(Equipar!B:B=5)*(Equipar!AC:AC=A121)),""),"")</f>
        <v/>
      </c>
    </row>
    <row r="122" spans="1:10" x14ac:dyDescent="0.25">
      <c r="A122" s="1">
        <v>260</v>
      </c>
      <c r="B122" s="6" t="s">
        <v>53</v>
      </c>
      <c r="C122" s="6" t="s">
        <v>29</v>
      </c>
      <c r="D122" s="6" t="s">
        <v>38</v>
      </c>
      <c r="E122" s="6" t="s">
        <v>42</v>
      </c>
      <c r="F122" s="6" t="s">
        <v>41</v>
      </c>
      <c r="G122" s="6" t="s">
        <v>37</v>
      </c>
      <c r="I122" s="2" t="str">
        <f ca="1">IF(ISNUMBER(A122),
IF(COUNTIFS(Equipar!B:B,5,Equipar!AC:AC,A122),"Equipada",
IF(
 OR( COUNTIFS(Equipar!B:B,5,Equipar!C:C,A122)
 +COUNTIFS(Equipar!B:B,5,Equipar!D:D,A122)
+COUNTIFS(Equipar!B:B,5,Equipar!E:E,A122)
+COUNTIFS(Equipar!B:B,5,Equipar!F:F,A122)
&gt;0,COUNTIF('Set recomendado'!B:B,C122)=0),
"Bloqueada",
"Desechable")),""
)</f>
        <v>Desechable</v>
      </c>
      <c r="J122" t="str" cm="1">
        <f t="array" ref="J122">IF(ISNUMBER(A122),IFERROR(_xlfn._xlws.FILTER(Equipar!A:A,(Equipar!B:B=5)*(Equipar!AC:AC=A122)),""),"")</f>
        <v/>
      </c>
    </row>
    <row r="123" spans="1:10" x14ac:dyDescent="0.25">
      <c r="A123" s="1">
        <v>261</v>
      </c>
      <c r="B123" s="6" t="s">
        <v>53</v>
      </c>
      <c r="C123" s="6" t="s">
        <v>29</v>
      </c>
      <c r="D123" s="6" t="s">
        <v>38</v>
      </c>
      <c r="E123" s="6" t="s">
        <v>37</v>
      </c>
      <c r="F123" s="6" t="s">
        <v>36</v>
      </c>
      <c r="G123" s="6" t="s">
        <v>39</v>
      </c>
      <c r="I123" s="2" t="str">
        <f ca="1">IF(ISNUMBER(A123),
IF(COUNTIFS(Equipar!B:B,5,Equipar!AC:AC,A123),"Equipada",
IF(
 OR( COUNTIFS(Equipar!B:B,5,Equipar!C:C,A123)
 +COUNTIFS(Equipar!B:B,5,Equipar!D:D,A123)
+COUNTIFS(Equipar!B:B,5,Equipar!E:E,A123)
+COUNTIFS(Equipar!B:B,5,Equipar!F:F,A123)
&gt;0,COUNTIF('Set recomendado'!B:B,C123)=0),
"Bloqueada",
"Desechable")),""
)</f>
        <v>Desechable</v>
      </c>
      <c r="J123" t="str" cm="1">
        <f t="array" ref="J123">IF(ISNUMBER(A123),IFERROR(_xlfn._xlws.FILTER(Equipar!A:A,(Equipar!B:B=5)*(Equipar!AC:AC=A123)),""),"")</f>
        <v/>
      </c>
    </row>
    <row r="124" spans="1:10" x14ac:dyDescent="0.25">
      <c r="A124" s="1">
        <v>262</v>
      </c>
      <c r="B124" s="6" t="s">
        <v>54</v>
      </c>
      <c r="C124" s="6" t="s">
        <v>10</v>
      </c>
      <c r="D124" s="6" t="s">
        <v>38</v>
      </c>
      <c r="E124" s="6" t="s">
        <v>36</v>
      </c>
      <c r="F124" s="6" t="s">
        <v>38</v>
      </c>
      <c r="I124" s="2" t="str">
        <f ca="1">IF(ISNUMBER(A124),
IF(COUNTIFS(Equipar!B:B,5,Equipar!AC:AC,A124),"Equipada",
IF(
 OR( COUNTIFS(Equipar!B:B,5,Equipar!C:C,A124)
 +COUNTIFS(Equipar!B:B,5,Equipar!D:D,A124)
+COUNTIFS(Equipar!B:B,5,Equipar!E:E,A124)
+COUNTIFS(Equipar!B:B,5,Equipar!F:F,A124)
&gt;0,COUNTIF('Set recomendado'!B:B,C124)=0),
"Bloqueada",
"Desechable")),""
)</f>
        <v>Desechable</v>
      </c>
      <c r="J124" t="str" cm="1">
        <f t="array" ref="J124">IF(ISNUMBER(A124),IFERROR(_xlfn._xlws.FILTER(Equipar!A:A,(Equipar!B:B=5)*(Equipar!AC:AC=A124)),""),"")</f>
        <v/>
      </c>
    </row>
    <row r="125" spans="1:10" x14ac:dyDescent="0.25">
      <c r="A125" s="1">
        <v>264</v>
      </c>
      <c r="B125" s="6" t="s">
        <v>54</v>
      </c>
      <c r="C125" s="6" t="s">
        <v>5</v>
      </c>
      <c r="D125" s="6" t="s">
        <v>38</v>
      </c>
      <c r="E125" s="6" t="s">
        <v>36</v>
      </c>
      <c r="F125" s="6" t="s">
        <v>43</v>
      </c>
      <c r="I125" s="2" t="str">
        <f ca="1">IF(ISNUMBER(A125),
IF(COUNTIFS(Equipar!B:B,5,Equipar!AC:AC,A125),"Equipada",
IF(
 OR( COUNTIFS(Equipar!B:B,5,Equipar!C:C,A125)
 +COUNTIFS(Equipar!B:B,5,Equipar!D:D,A125)
+COUNTIFS(Equipar!B:B,5,Equipar!E:E,A125)
+COUNTIFS(Equipar!B:B,5,Equipar!F:F,A125)
&gt;0,COUNTIF('Set recomendado'!B:B,C125)=0),
"Bloqueada",
"Desechable")),""
)</f>
        <v>Desechable</v>
      </c>
      <c r="J125" t="str" cm="1">
        <f t="array" ref="J125">IF(ISNUMBER(A125),IFERROR(_xlfn._xlws.FILTER(Equipar!A:A,(Equipar!B:B=5)*(Equipar!AC:AC=A125)),""),"")</f>
        <v/>
      </c>
    </row>
    <row r="126" spans="1:10" x14ac:dyDescent="0.25">
      <c r="A126" s="1">
        <v>265</v>
      </c>
      <c r="B126" s="6" t="s">
        <v>54</v>
      </c>
      <c r="C126" s="6" t="s">
        <v>23</v>
      </c>
      <c r="D126" s="6" t="s">
        <v>38</v>
      </c>
      <c r="E126" s="6" t="s">
        <v>40</v>
      </c>
      <c r="F126" s="6" t="s">
        <v>41</v>
      </c>
      <c r="G126" s="6" t="s">
        <v>39</v>
      </c>
      <c r="I126" s="2" t="str">
        <f ca="1">IF(ISNUMBER(A126),
IF(COUNTIFS(Equipar!B:B,5,Equipar!AC:AC,A126),"Equipada",
IF(
 OR( COUNTIFS(Equipar!B:B,5,Equipar!C:C,A126)
 +COUNTIFS(Equipar!B:B,5,Equipar!D:D,A126)
+COUNTIFS(Equipar!B:B,5,Equipar!E:E,A126)
+COUNTIFS(Equipar!B:B,5,Equipar!F:F,A126)
&gt;0,COUNTIF('Set recomendado'!B:B,C126)=0),
"Bloqueada",
"Desechable")),""
)</f>
        <v>Desechable</v>
      </c>
      <c r="J126" t="str" cm="1">
        <f t="array" ref="J126">IF(ISNUMBER(A126),IFERROR(_xlfn._xlws.FILTER(Equipar!A:A,(Equipar!B:B=5)*(Equipar!AC:AC=A126)),""),"")</f>
        <v/>
      </c>
    </row>
    <row r="127" spans="1:10" x14ac:dyDescent="0.25">
      <c r="A127" s="1">
        <v>266</v>
      </c>
      <c r="B127" s="6" t="s">
        <v>54</v>
      </c>
      <c r="C127" s="6" t="s">
        <v>23</v>
      </c>
      <c r="D127" s="6" t="s">
        <v>38</v>
      </c>
      <c r="E127" s="6" t="s">
        <v>42</v>
      </c>
      <c r="F127" s="6" t="s">
        <v>41</v>
      </c>
      <c r="G127" s="6" t="s">
        <v>41</v>
      </c>
      <c r="I127" s="2" t="str">
        <f ca="1">IF(ISNUMBER(A127),
IF(COUNTIFS(Equipar!B:B,5,Equipar!AC:AC,A127),"Equipada",
IF(
 OR( COUNTIFS(Equipar!B:B,5,Equipar!C:C,A127)
 +COUNTIFS(Equipar!B:B,5,Equipar!D:D,A127)
+COUNTIFS(Equipar!B:B,5,Equipar!E:E,A127)
+COUNTIFS(Equipar!B:B,5,Equipar!F:F,A127)
&gt;0,COUNTIF('Set recomendado'!B:B,C127)=0),
"Bloqueada",
"Desechable")),""
)</f>
        <v>Desechable</v>
      </c>
      <c r="J127" t="str" cm="1">
        <f t="array" ref="J127">IF(ISNUMBER(A127),IFERROR(_xlfn._xlws.FILTER(Equipar!A:A,(Equipar!B:B=5)*(Equipar!AC:AC=A127)),""),"")</f>
        <v/>
      </c>
    </row>
    <row r="128" spans="1:10" x14ac:dyDescent="0.25">
      <c r="A128" s="1">
        <v>267</v>
      </c>
      <c r="B128" s="6" t="s">
        <v>54</v>
      </c>
      <c r="C128" s="6" t="s">
        <v>23</v>
      </c>
      <c r="D128" s="6" t="s">
        <v>38</v>
      </c>
      <c r="E128" s="6" t="s">
        <v>42</v>
      </c>
      <c r="F128" s="6" t="s">
        <v>42</v>
      </c>
      <c r="I128" s="2" t="str">
        <f ca="1">IF(ISNUMBER(A128),
IF(COUNTIFS(Equipar!B:B,5,Equipar!AC:AC,A128),"Equipada",
IF(
 OR( COUNTIFS(Equipar!B:B,5,Equipar!C:C,A128)
 +COUNTIFS(Equipar!B:B,5,Equipar!D:D,A128)
+COUNTIFS(Equipar!B:B,5,Equipar!E:E,A128)
+COUNTIFS(Equipar!B:B,5,Equipar!F:F,A128)
&gt;0,COUNTIF('Set recomendado'!B:B,C128)=0),
"Bloqueada",
"Desechable")),""
)</f>
        <v>Bloqueada</v>
      </c>
      <c r="J128" t="str" cm="1">
        <f t="array" ref="J128">IF(ISNUMBER(A128),IFERROR(_xlfn._xlws.FILTER(Equipar!A:A,(Equipar!B:B=5)*(Equipar!AC:AC=A128)),""),"")</f>
        <v/>
      </c>
    </row>
    <row r="129" spans="1:10" x14ac:dyDescent="0.25">
      <c r="A129" s="1">
        <v>268</v>
      </c>
      <c r="B129" s="6" t="s">
        <v>54</v>
      </c>
      <c r="C129" s="6" t="s">
        <v>17</v>
      </c>
      <c r="D129" s="6" t="s">
        <v>38</v>
      </c>
      <c r="E129" s="6" t="s">
        <v>43</v>
      </c>
      <c r="F129" s="6" t="s">
        <v>43</v>
      </c>
      <c r="I129" s="2" t="str">
        <f ca="1">IF(ISNUMBER(A129),
IF(COUNTIFS(Equipar!B:B,5,Equipar!AC:AC,A129),"Equipada",
IF(
 OR( COUNTIFS(Equipar!B:B,5,Equipar!C:C,A129)
 +COUNTIFS(Equipar!B:B,5,Equipar!D:D,A129)
+COUNTIFS(Equipar!B:B,5,Equipar!E:E,A129)
+COUNTIFS(Equipar!B:B,5,Equipar!F:F,A129)
&gt;0,COUNTIF('Set recomendado'!B:B,C129)=0),
"Bloqueada",
"Desechable")),""
)</f>
        <v>Bloqueada</v>
      </c>
      <c r="J129" t="str" cm="1">
        <f t="array" ref="J129">IF(ISNUMBER(A129),IFERROR(_xlfn._xlws.FILTER(Equipar!A:A,(Equipar!B:B=5)*(Equipar!AC:AC=A129)),""),"")</f>
        <v/>
      </c>
    </row>
    <row r="130" spans="1:10" x14ac:dyDescent="0.25">
      <c r="A130" s="1">
        <v>269</v>
      </c>
      <c r="B130" s="6" t="s">
        <v>54</v>
      </c>
      <c r="C130" s="6" t="s">
        <v>57</v>
      </c>
      <c r="D130" s="6" t="s">
        <v>38</v>
      </c>
      <c r="E130" s="6" t="s">
        <v>32</v>
      </c>
      <c r="F130" s="6" t="s">
        <v>43</v>
      </c>
      <c r="G130" s="6" t="s">
        <v>41</v>
      </c>
      <c r="I130" s="2" t="str">
        <f ca="1">IF(ISNUMBER(A130),
IF(COUNTIFS(Equipar!B:B,5,Equipar!AC:AC,A130),"Equipada",
IF(
 OR( COUNTIFS(Equipar!B:B,5,Equipar!C:C,A130)
 +COUNTIFS(Equipar!B:B,5,Equipar!D:D,A130)
+COUNTIFS(Equipar!B:B,5,Equipar!E:E,A130)
+COUNTIFS(Equipar!B:B,5,Equipar!F:F,A130)
&gt;0,COUNTIF('Set recomendado'!B:B,C130)=0),
"Bloqueada",
"Desechable")),""
)</f>
        <v>Bloqueada</v>
      </c>
      <c r="J130" t="str" cm="1">
        <f t="array" ref="J130">IF(ISNUMBER(A130),IFERROR(_xlfn._xlws.FILTER(Equipar!A:A,(Equipar!B:B=5)*(Equipar!AC:AC=A130)),""),"")</f>
        <v/>
      </c>
    </row>
    <row r="131" spans="1:10" x14ac:dyDescent="0.25">
      <c r="A131" s="1">
        <v>270</v>
      </c>
      <c r="B131" s="6" t="s">
        <v>54</v>
      </c>
      <c r="C131" s="6" t="s">
        <v>57</v>
      </c>
      <c r="D131" s="6" t="s">
        <v>38</v>
      </c>
      <c r="E131" s="6" t="s">
        <v>41</v>
      </c>
      <c r="F131" s="6" t="s">
        <v>38</v>
      </c>
      <c r="I131" s="2" t="str">
        <f ca="1">IF(ISNUMBER(A131),
IF(COUNTIFS(Equipar!B:B,5,Equipar!AC:AC,A131),"Equipada",
IF(
 OR( COUNTIFS(Equipar!B:B,5,Equipar!C:C,A131)
 +COUNTIFS(Equipar!B:B,5,Equipar!D:D,A131)
+COUNTIFS(Equipar!B:B,5,Equipar!E:E,A131)
+COUNTIFS(Equipar!B:B,5,Equipar!F:F,A131)
&gt;0,COUNTIF('Set recomendado'!B:B,C131)=0),
"Bloqueada",
"Desechable")),""
)</f>
        <v>Bloqueada</v>
      </c>
      <c r="J131" t="str" cm="1">
        <f t="array" ref="J131">IF(ISNUMBER(A131),IFERROR(_xlfn._xlws.FILTER(Equipar!A:A,(Equipar!B:B=5)*(Equipar!AC:AC=A131)),""),"")</f>
        <v/>
      </c>
    </row>
    <row r="132" spans="1:10" x14ac:dyDescent="0.25">
      <c r="A132" s="1">
        <v>271</v>
      </c>
      <c r="B132" s="6" t="s">
        <v>54</v>
      </c>
      <c r="C132" s="6" t="s">
        <v>57</v>
      </c>
      <c r="D132" s="6" t="s">
        <v>38</v>
      </c>
      <c r="E132" s="6" t="s">
        <v>32</v>
      </c>
      <c r="F132" s="6" t="s">
        <v>44</v>
      </c>
      <c r="G132" s="6" t="s">
        <v>32</v>
      </c>
      <c r="I132" s="2" t="str">
        <f ca="1">IF(ISNUMBER(A132),
IF(COUNTIFS(Equipar!B:B,5,Equipar!AC:AC,A132),"Equipada",
IF(
 OR( COUNTIFS(Equipar!B:B,5,Equipar!C:C,A132)
 +COUNTIFS(Equipar!B:B,5,Equipar!D:D,A132)
+COUNTIFS(Equipar!B:B,5,Equipar!E:E,A132)
+COUNTIFS(Equipar!B:B,5,Equipar!F:F,A132)
&gt;0,COUNTIF('Set recomendado'!B:B,C132)=0),
"Bloqueada",
"Desechable")),""
)</f>
        <v>Bloqueada</v>
      </c>
      <c r="J132" t="str" cm="1">
        <f t="array" ref="J132">IF(ISNUMBER(A132),IFERROR(_xlfn._xlws.FILTER(Equipar!A:A,(Equipar!B:B=5)*(Equipar!AC:AC=A132)),""),"")</f>
        <v/>
      </c>
    </row>
    <row r="133" spans="1:10" x14ac:dyDescent="0.25">
      <c r="A133" s="1">
        <v>272</v>
      </c>
      <c r="B133" s="6" t="s">
        <v>54</v>
      </c>
      <c r="C133" s="6" t="s">
        <v>57</v>
      </c>
      <c r="D133" s="6" t="s">
        <v>38</v>
      </c>
      <c r="E133" s="6" t="s">
        <v>42</v>
      </c>
      <c r="F133" s="6" t="s">
        <v>37</v>
      </c>
      <c r="I133" s="2" t="str">
        <f ca="1">IF(ISNUMBER(A133),
IF(COUNTIFS(Equipar!B:B,5,Equipar!AC:AC,A133),"Equipada",
IF(
 OR( COUNTIFS(Equipar!B:B,5,Equipar!C:C,A133)
 +COUNTIFS(Equipar!B:B,5,Equipar!D:D,A133)
+COUNTIFS(Equipar!B:B,5,Equipar!E:E,A133)
+COUNTIFS(Equipar!B:B,5,Equipar!F:F,A133)
&gt;0,COUNTIF('Set recomendado'!B:B,C133)=0),
"Bloqueada",
"Desechable")),""
)</f>
        <v>Bloqueada</v>
      </c>
      <c r="J133" t="str" cm="1">
        <f t="array" ref="J133">IF(ISNUMBER(A133),IFERROR(_xlfn._xlws.FILTER(Equipar!A:A,(Equipar!B:B=5)*(Equipar!AC:AC=A133)),""),"")</f>
        <v/>
      </c>
    </row>
    <row r="134" spans="1:10" x14ac:dyDescent="0.25">
      <c r="A134" s="1">
        <v>273</v>
      </c>
      <c r="B134" s="6" t="s">
        <v>54</v>
      </c>
      <c r="C134" s="6" t="s">
        <v>57</v>
      </c>
      <c r="D134" s="6" t="s">
        <v>38</v>
      </c>
      <c r="E134" s="6" t="s">
        <v>32</v>
      </c>
      <c r="F134" s="6" t="s">
        <v>36</v>
      </c>
      <c r="I134" s="2" t="str">
        <f ca="1">IF(ISNUMBER(A134),
IF(COUNTIFS(Equipar!B:B,5,Equipar!AC:AC,A134),"Equipada",
IF(
 OR( COUNTIFS(Equipar!B:B,5,Equipar!C:C,A134)
 +COUNTIFS(Equipar!B:B,5,Equipar!D:D,A134)
+COUNTIFS(Equipar!B:B,5,Equipar!E:E,A134)
+COUNTIFS(Equipar!B:B,5,Equipar!F:F,A134)
&gt;0,COUNTIF('Set recomendado'!B:B,C134)=0),
"Bloqueada",
"Desechable")),""
)</f>
        <v>Bloqueada</v>
      </c>
      <c r="J134" t="str" cm="1">
        <f t="array" ref="J134">IF(ISNUMBER(A134),IFERROR(_xlfn._xlws.FILTER(Equipar!A:A,(Equipar!B:B=5)*(Equipar!AC:AC=A134)),""),"")</f>
        <v/>
      </c>
    </row>
    <row r="135" spans="1:10" x14ac:dyDescent="0.25">
      <c r="A135" s="1">
        <v>274</v>
      </c>
      <c r="B135" s="6" t="s">
        <v>54</v>
      </c>
      <c r="C135" s="6" t="s">
        <v>57</v>
      </c>
      <c r="D135" s="6" t="s">
        <v>38</v>
      </c>
      <c r="E135" s="6" t="s">
        <v>39</v>
      </c>
      <c r="F135" s="6" t="s">
        <v>32</v>
      </c>
      <c r="I135" s="2" t="str">
        <f ca="1">IF(ISNUMBER(A135),
IF(COUNTIFS(Equipar!B:B,5,Equipar!AC:AC,A135),"Equipada",
IF(
 OR( COUNTIFS(Equipar!B:B,5,Equipar!C:C,A135)
 +COUNTIFS(Equipar!B:B,5,Equipar!D:D,A135)
+COUNTIFS(Equipar!B:B,5,Equipar!E:E,A135)
+COUNTIFS(Equipar!B:B,5,Equipar!F:F,A135)
&gt;0,COUNTIF('Set recomendado'!B:B,C135)=0),
"Bloqueada",
"Desechable")),""
)</f>
        <v>Bloqueada</v>
      </c>
      <c r="J135" t="str" cm="1">
        <f t="array" ref="J135">IF(ISNUMBER(A135),IFERROR(_xlfn._xlws.FILTER(Equipar!A:A,(Equipar!B:B=5)*(Equipar!AC:AC=A135)),""),"")</f>
        <v/>
      </c>
    </row>
    <row r="136" spans="1:10" x14ac:dyDescent="0.25">
      <c r="A136" s="1">
        <v>275</v>
      </c>
      <c r="B136" s="6" t="s">
        <v>54</v>
      </c>
      <c r="C136" s="6" t="s">
        <v>57</v>
      </c>
      <c r="D136" s="6" t="s">
        <v>38</v>
      </c>
      <c r="E136" s="6" t="s">
        <v>38</v>
      </c>
      <c r="F136" s="6" t="s">
        <v>32</v>
      </c>
      <c r="G136" s="6" t="s">
        <v>42</v>
      </c>
      <c r="I136" s="2" t="str">
        <f ca="1">IF(ISNUMBER(A136),
IF(COUNTIFS(Equipar!B:B,5,Equipar!AC:AC,A136),"Equipada",
IF(
 OR( COUNTIFS(Equipar!B:B,5,Equipar!C:C,A136)
 +COUNTIFS(Equipar!B:B,5,Equipar!D:D,A136)
+COUNTIFS(Equipar!B:B,5,Equipar!E:E,A136)
+COUNTIFS(Equipar!B:B,5,Equipar!F:F,A136)
&gt;0,COUNTIF('Set recomendado'!B:B,C136)=0),
"Bloqueada",
"Desechable")),""
)</f>
        <v>Bloqueada</v>
      </c>
      <c r="J136" t="str" cm="1">
        <f t="array" ref="J136">IF(ISNUMBER(A136),IFERROR(_xlfn._xlws.FILTER(Equipar!A:A,(Equipar!B:B=5)*(Equipar!AC:AC=A136)),""),"")</f>
        <v/>
      </c>
    </row>
    <row r="137" spans="1:10" x14ac:dyDescent="0.25">
      <c r="A137" s="1">
        <v>276</v>
      </c>
      <c r="B137" s="6" t="s">
        <v>54</v>
      </c>
      <c r="C137" s="6" t="s">
        <v>55</v>
      </c>
      <c r="D137" s="6" t="s">
        <v>38</v>
      </c>
      <c r="E137" s="6" t="s">
        <v>36</v>
      </c>
      <c r="F137" s="6" t="s">
        <v>42</v>
      </c>
      <c r="G137" s="6" t="s">
        <v>39</v>
      </c>
      <c r="I137" s="2" t="str">
        <f ca="1">IF(ISNUMBER(A137),
IF(COUNTIFS(Equipar!B:B,5,Equipar!AC:AC,A137),"Equipada",
IF(
 OR( COUNTIFS(Equipar!B:B,5,Equipar!C:C,A137)
 +COUNTIFS(Equipar!B:B,5,Equipar!D:D,A137)
+COUNTIFS(Equipar!B:B,5,Equipar!E:E,A137)
+COUNTIFS(Equipar!B:B,5,Equipar!F:F,A137)
&gt;0,COUNTIF('Set recomendado'!B:B,C137)=0),
"Bloqueada",
"Desechable")),""
)</f>
        <v>Desechable</v>
      </c>
      <c r="J137" t="str" cm="1">
        <f t="array" ref="J137">IF(ISNUMBER(A137),IFERROR(_xlfn._xlws.FILTER(Equipar!A:A,(Equipar!B:B=5)*(Equipar!AC:AC=A137)),""),"")</f>
        <v/>
      </c>
    </row>
    <row r="138" spans="1:10" x14ac:dyDescent="0.25">
      <c r="A138" s="1">
        <v>277</v>
      </c>
      <c r="B138" s="6" t="s">
        <v>54</v>
      </c>
      <c r="C138" s="6" t="s">
        <v>55</v>
      </c>
      <c r="D138" s="6" t="s">
        <v>38</v>
      </c>
      <c r="E138" s="6" t="s">
        <v>43</v>
      </c>
      <c r="F138" s="6" t="s">
        <v>32</v>
      </c>
      <c r="G138" s="6" t="s">
        <v>37</v>
      </c>
      <c r="I138" s="2" t="str">
        <f ca="1">IF(ISNUMBER(A138),
IF(COUNTIFS(Equipar!B:B,5,Equipar!AC:AC,A138),"Equipada",
IF(
 OR( COUNTIFS(Equipar!B:B,5,Equipar!C:C,A138)
 +COUNTIFS(Equipar!B:B,5,Equipar!D:D,A138)
+COUNTIFS(Equipar!B:B,5,Equipar!E:E,A138)
+COUNTIFS(Equipar!B:B,5,Equipar!F:F,A138)
&gt;0,COUNTIF('Set recomendado'!B:B,C138)=0),
"Bloqueada",
"Desechable")),""
)</f>
        <v>Desechable</v>
      </c>
      <c r="J138" t="str" cm="1">
        <f t="array" ref="J138">IF(ISNUMBER(A138),IFERROR(_xlfn._xlws.FILTER(Equipar!A:A,(Equipar!B:B=5)*(Equipar!AC:AC=A138)),""),"")</f>
        <v/>
      </c>
    </row>
    <row r="139" spans="1:10" x14ac:dyDescent="0.25">
      <c r="A139" s="1">
        <v>278</v>
      </c>
      <c r="B139" s="6" t="s">
        <v>54</v>
      </c>
      <c r="C139" s="6" t="s">
        <v>55</v>
      </c>
      <c r="D139" s="6" t="s">
        <v>38</v>
      </c>
      <c r="E139" s="6" t="s">
        <v>32</v>
      </c>
      <c r="F139" s="6" t="s">
        <v>32</v>
      </c>
      <c r="I139" s="2" t="str">
        <f ca="1">IF(ISNUMBER(A139),
IF(COUNTIFS(Equipar!B:B,5,Equipar!AC:AC,A139),"Equipada",
IF(
 OR( COUNTIFS(Equipar!B:B,5,Equipar!C:C,A139)
 +COUNTIFS(Equipar!B:B,5,Equipar!D:D,A139)
+COUNTIFS(Equipar!B:B,5,Equipar!E:E,A139)
+COUNTIFS(Equipar!B:B,5,Equipar!F:F,A139)
&gt;0,COUNTIF('Set recomendado'!B:B,C139)=0),
"Bloqueada",
"Desechable")),""
)</f>
        <v>Desechable</v>
      </c>
      <c r="J139" t="str" cm="1">
        <f t="array" ref="J139">IF(ISNUMBER(A139),IFERROR(_xlfn._xlws.FILTER(Equipar!A:A,(Equipar!B:B=5)*(Equipar!AC:AC=A139)),""),"")</f>
        <v/>
      </c>
    </row>
    <row r="140" spans="1:10" x14ac:dyDescent="0.25">
      <c r="A140" s="1">
        <v>279</v>
      </c>
      <c r="B140" s="6" t="s">
        <v>54</v>
      </c>
      <c r="C140" s="6" t="s">
        <v>55</v>
      </c>
      <c r="D140" s="6" t="s">
        <v>38</v>
      </c>
      <c r="E140" s="6" t="s">
        <v>36</v>
      </c>
      <c r="F140" s="6" t="s">
        <v>37</v>
      </c>
      <c r="G140" s="6" t="s">
        <v>41</v>
      </c>
      <c r="I140" s="2" t="str">
        <f ca="1">IF(ISNUMBER(A140),
IF(COUNTIFS(Equipar!B:B,5,Equipar!AC:AC,A140),"Equipada",
IF(
 OR( COUNTIFS(Equipar!B:B,5,Equipar!C:C,A140)
 +COUNTIFS(Equipar!B:B,5,Equipar!D:D,A140)
+COUNTIFS(Equipar!B:B,5,Equipar!E:E,A140)
+COUNTIFS(Equipar!B:B,5,Equipar!F:F,A140)
&gt;0,COUNTIF('Set recomendado'!B:B,C140)=0),
"Bloqueada",
"Desechable")),""
)</f>
        <v>Desechable</v>
      </c>
      <c r="J140" t="str" cm="1">
        <f t="array" ref="J140">IF(ISNUMBER(A140),IFERROR(_xlfn._xlws.FILTER(Equipar!A:A,(Equipar!B:B=5)*(Equipar!AC:AC=A140)),""),"")</f>
        <v/>
      </c>
    </row>
    <row r="141" spans="1:10" x14ac:dyDescent="0.25">
      <c r="A141" s="1">
        <v>280</v>
      </c>
      <c r="B141" s="6" t="s">
        <v>54</v>
      </c>
      <c r="C141" s="6" t="s">
        <v>55</v>
      </c>
      <c r="D141" s="6" t="s">
        <v>38</v>
      </c>
      <c r="E141" s="6" t="s">
        <v>32</v>
      </c>
      <c r="F141" s="6" t="s">
        <v>43</v>
      </c>
      <c r="I141" s="2" t="str">
        <f ca="1">IF(ISNUMBER(A141),
IF(COUNTIFS(Equipar!B:B,5,Equipar!AC:AC,A141),"Equipada",
IF(
 OR( COUNTIFS(Equipar!B:B,5,Equipar!C:C,A141)
 +COUNTIFS(Equipar!B:B,5,Equipar!D:D,A141)
+COUNTIFS(Equipar!B:B,5,Equipar!E:E,A141)
+COUNTIFS(Equipar!B:B,5,Equipar!F:F,A141)
&gt;0,COUNTIF('Set recomendado'!B:B,C141)=0),
"Bloqueada",
"Desechable")),""
)</f>
        <v>Desechable</v>
      </c>
      <c r="J141" t="str" cm="1">
        <f t="array" ref="J141">IF(ISNUMBER(A141),IFERROR(_xlfn._xlws.FILTER(Equipar!A:A,(Equipar!B:B=5)*(Equipar!AC:AC=A141)),""),"")</f>
        <v/>
      </c>
    </row>
    <row r="142" spans="1:10" x14ac:dyDescent="0.25">
      <c r="A142" s="1">
        <v>281</v>
      </c>
      <c r="B142" s="6" t="s">
        <v>54</v>
      </c>
      <c r="C142" s="6" t="s">
        <v>55</v>
      </c>
      <c r="D142" s="6" t="s">
        <v>38</v>
      </c>
      <c r="E142" s="6" t="s">
        <v>38</v>
      </c>
      <c r="F142" s="6" t="s">
        <v>32</v>
      </c>
      <c r="G142" s="6" t="s">
        <v>44</v>
      </c>
      <c r="I142" s="2" t="str">
        <f ca="1">IF(ISNUMBER(A142),
IF(COUNTIFS(Equipar!B:B,5,Equipar!AC:AC,A142),"Equipada",
IF(
 OR( COUNTIFS(Equipar!B:B,5,Equipar!C:C,A142)
 +COUNTIFS(Equipar!B:B,5,Equipar!D:D,A142)
+COUNTIFS(Equipar!B:B,5,Equipar!E:E,A142)
+COUNTIFS(Equipar!B:B,5,Equipar!F:F,A142)
&gt;0,COUNTIF('Set recomendado'!B:B,C142)=0),
"Bloqueada",
"Desechable")),""
)</f>
        <v>Desechable</v>
      </c>
      <c r="J142" t="str" cm="1">
        <f t="array" ref="J142">IF(ISNUMBER(A142),IFERROR(_xlfn._xlws.FILTER(Equipar!A:A,(Equipar!B:B=5)*(Equipar!AC:AC=A142)),""),"")</f>
        <v/>
      </c>
    </row>
    <row r="143" spans="1:10" x14ac:dyDescent="0.25">
      <c r="A143" s="1">
        <v>282</v>
      </c>
      <c r="B143" s="6" t="s">
        <v>54</v>
      </c>
      <c r="C143" s="6" t="s">
        <v>21</v>
      </c>
      <c r="D143" s="6" t="s">
        <v>38</v>
      </c>
      <c r="E143" s="6" t="s">
        <v>32</v>
      </c>
      <c r="F143" s="6" t="s">
        <v>42</v>
      </c>
      <c r="G143" s="6" t="s">
        <v>36</v>
      </c>
      <c r="I143" s="2" t="str">
        <f ca="1">IF(ISNUMBER(A143),
IF(COUNTIFS(Equipar!B:B,5,Equipar!AC:AC,A143),"Equipada",
IF(
 OR( COUNTIFS(Equipar!B:B,5,Equipar!C:C,A143)
 +COUNTIFS(Equipar!B:B,5,Equipar!D:D,A143)
+COUNTIFS(Equipar!B:B,5,Equipar!E:E,A143)
+COUNTIFS(Equipar!B:B,5,Equipar!F:F,A143)
&gt;0,COUNTIF('Set recomendado'!B:B,C143)=0),
"Bloqueada",
"Desechable")),""
)</f>
        <v>Desechable</v>
      </c>
      <c r="J143" t="str" cm="1">
        <f t="array" ref="J143">IF(ISNUMBER(A143),IFERROR(_xlfn._xlws.FILTER(Equipar!A:A,(Equipar!B:B=5)*(Equipar!AC:AC=A143)),""),"")</f>
        <v/>
      </c>
    </row>
    <row r="144" spans="1:10" x14ac:dyDescent="0.25">
      <c r="A144" s="1">
        <v>283</v>
      </c>
      <c r="B144" s="6" t="s">
        <v>54</v>
      </c>
      <c r="C144" s="6" t="s">
        <v>21</v>
      </c>
      <c r="D144" s="6" t="s">
        <v>38</v>
      </c>
      <c r="E144" s="6" t="s">
        <v>33</v>
      </c>
      <c r="F144" s="6" t="s">
        <v>42</v>
      </c>
      <c r="I144" s="2" t="str">
        <f ca="1">IF(ISNUMBER(A144),
IF(COUNTIFS(Equipar!B:B,5,Equipar!AC:AC,A144),"Equipada",
IF(
 OR( COUNTIFS(Equipar!B:B,5,Equipar!C:C,A144)
 +COUNTIFS(Equipar!B:B,5,Equipar!D:D,A144)
+COUNTIFS(Equipar!B:B,5,Equipar!E:E,A144)
+COUNTIFS(Equipar!B:B,5,Equipar!F:F,A144)
&gt;0,COUNTIF('Set recomendado'!B:B,C144)=0),
"Bloqueada",
"Desechable")),""
)</f>
        <v>Desechable</v>
      </c>
      <c r="J144" t="str" cm="1">
        <f t="array" ref="J144">IF(ISNUMBER(A144),IFERROR(_xlfn._xlws.FILTER(Equipar!A:A,(Equipar!B:B=5)*(Equipar!AC:AC=A144)),""),"")</f>
        <v/>
      </c>
    </row>
    <row r="145" spans="1:10" x14ac:dyDescent="0.25">
      <c r="A145" s="1">
        <v>284</v>
      </c>
      <c r="B145" s="6" t="s">
        <v>54</v>
      </c>
      <c r="C145" s="6" t="s">
        <v>21</v>
      </c>
      <c r="D145" s="6" t="s">
        <v>38</v>
      </c>
      <c r="E145" s="6" t="s">
        <v>34</v>
      </c>
      <c r="F145" s="6" t="s">
        <v>41</v>
      </c>
      <c r="G145" s="6" t="s">
        <v>43</v>
      </c>
      <c r="I145" s="2" t="str">
        <f ca="1">IF(ISNUMBER(A145),
IF(COUNTIFS(Equipar!B:B,5,Equipar!AC:AC,A145),"Equipada",
IF(
 OR( COUNTIFS(Equipar!B:B,5,Equipar!C:C,A145)
 +COUNTIFS(Equipar!B:B,5,Equipar!D:D,A145)
+COUNTIFS(Equipar!B:B,5,Equipar!E:E,A145)
+COUNTIFS(Equipar!B:B,5,Equipar!F:F,A145)
&gt;0,COUNTIF('Set recomendado'!B:B,C145)=0),
"Bloqueada",
"Desechable")),""
)</f>
        <v>Desechable</v>
      </c>
      <c r="J145" t="str" cm="1">
        <f t="array" ref="J145">IF(ISNUMBER(A145),IFERROR(_xlfn._xlws.FILTER(Equipar!A:A,(Equipar!B:B=5)*(Equipar!AC:AC=A145)),""),"")</f>
        <v/>
      </c>
    </row>
    <row r="146" spans="1:10" x14ac:dyDescent="0.25">
      <c r="A146" s="1">
        <v>285</v>
      </c>
      <c r="B146" s="6" t="s">
        <v>54</v>
      </c>
      <c r="C146" s="6" t="s">
        <v>21</v>
      </c>
      <c r="D146" s="6" t="s">
        <v>38</v>
      </c>
      <c r="E146" s="6" t="s">
        <v>32</v>
      </c>
      <c r="F146" s="6" t="s">
        <v>32</v>
      </c>
      <c r="I146" s="2" t="str">
        <f ca="1">IF(ISNUMBER(A146),
IF(COUNTIFS(Equipar!B:B,5,Equipar!AC:AC,A146),"Equipada",
IF(
 OR( COUNTIFS(Equipar!B:B,5,Equipar!C:C,A146)
 +COUNTIFS(Equipar!B:B,5,Equipar!D:D,A146)
+COUNTIFS(Equipar!B:B,5,Equipar!E:E,A146)
+COUNTIFS(Equipar!B:B,5,Equipar!F:F,A146)
&gt;0,COUNTIF('Set recomendado'!B:B,C146)=0),
"Bloqueada",
"Desechable")),""
)</f>
        <v>Desechable</v>
      </c>
      <c r="J146" t="str" cm="1">
        <f t="array" ref="J146">IF(ISNUMBER(A146),IFERROR(_xlfn._xlws.FILTER(Equipar!A:A,(Equipar!B:B=5)*(Equipar!AC:AC=A146)),""),"")</f>
        <v/>
      </c>
    </row>
    <row r="147" spans="1:10" x14ac:dyDescent="0.25">
      <c r="A147" s="1">
        <v>286</v>
      </c>
      <c r="B147" s="6" t="s">
        <v>54</v>
      </c>
      <c r="C147" s="6" t="s">
        <v>21</v>
      </c>
      <c r="D147" s="6" t="s">
        <v>38</v>
      </c>
      <c r="E147" s="6" t="s">
        <v>36</v>
      </c>
      <c r="F147" s="6" t="s">
        <v>38</v>
      </c>
      <c r="I147" s="2" t="str">
        <f ca="1">IF(ISNUMBER(A147),
IF(COUNTIFS(Equipar!B:B,5,Equipar!AC:AC,A147),"Equipada",
IF(
 OR( COUNTIFS(Equipar!B:B,5,Equipar!C:C,A147)
 +COUNTIFS(Equipar!B:B,5,Equipar!D:D,A147)
+COUNTIFS(Equipar!B:B,5,Equipar!E:E,A147)
+COUNTIFS(Equipar!B:B,5,Equipar!F:F,A147)
&gt;0,COUNTIF('Set recomendado'!B:B,C147)=0),
"Bloqueada",
"Desechable")),""
)</f>
        <v>Desechable</v>
      </c>
      <c r="J147" t="str" cm="1">
        <f t="array" ref="J147">IF(ISNUMBER(A147),IFERROR(_xlfn._xlws.FILTER(Equipar!A:A,(Equipar!B:B=5)*(Equipar!AC:AC=A147)),""),"")</f>
        <v/>
      </c>
    </row>
    <row r="148" spans="1:10" x14ac:dyDescent="0.25">
      <c r="A148" s="1">
        <v>287</v>
      </c>
      <c r="B148" s="6" t="s">
        <v>54</v>
      </c>
      <c r="C148" s="6" t="s">
        <v>21</v>
      </c>
      <c r="D148" s="6" t="s">
        <v>38</v>
      </c>
      <c r="E148" s="6" t="s">
        <v>41</v>
      </c>
      <c r="F148" s="6" t="s">
        <v>43</v>
      </c>
      <c r="G148" s="6" t="s">
        <v>44</v>
      </c>
      <c r="I148" s="2" t="str">
        <f ca="1">IF(ISNUMBER(A148),
IF(COUNTIFS(Equipar!B:B,5,Equipar!AC:AC,A148),"Equipada",
IF(
 OR( COUNTIFS(Equipar!B:B,5,Equipar!C:C,A148)
 +COUNTIFS(Equipar!B:B,5,Equipar!D:D,A148)
+COUNTIFS(Equipar!B:B,5,Equipar!E:E,A148)
+COUNTIFS(Equipar!B:B,5,Equipar!F:F,A148)
&gt;0,COUNTIF('Set recomendado'!B:B,C148)=0),
"Bloqueada",
"Desechable")),""
)</f>
        <v>Desechable</v>
      </c>
      <c r="J148" t="str" cm="1">
        <f t="array" ref="J148">IF(ISNUMBER(A148),IFERROR(_xlfn._xlws.FILTER(Equipar!A:A,(Equipar!B:B=5)*(Equipar!AC:AC=A148)),""),"")</f>
        <v/>
      </c>
    </row>
    <row r="149" spans="1:10" x14ac:dyDescent="0.25">
      <c r="A149" s="1">
        <v>288</v>
      </c>
      <c r="B149" s="6" t="s">
        <v>54</v>
      </c>
      <c r="C149" s="6" t="s">
        <v>21</v>
      </c>
      <c r="D149" s="6" t="s">
        <v>38</v>
      </c>
      <c r="E149" s="6" t="s">
        <v>42</v>
      </c>
      <c r="F149" s="6" t="s">
        <v>36</v>
      </c>
      <c r="I149" s="2" t="str">
        <f ca="1">IF(ISNUMBER(A149),
IF(COUNTIFS(Equipar!B:B,5,Equipar!AC:AC,A149),"Equipada",
IF(
 OR( COUNTIFS(Equipar!B:B,5,Equipar!C:C,A149)
 +COUNTIFS(Equipar!B:B,5,Equipar!D:D,A149)
+COUNTIFS(Equipar!B:B,5,Equipar!E:E,A149)
+COUNTIFS(Equipar!B:B,5,Equipar!F:F,A149)
&gt;0,COUNTIF('Set recomendado'!B:B,C149)=0),
"Bloqueada",
"Desechable")),""
)</f>
        <v>Desechable</v>
      </c>
      <c r="J149" t="str" cm="1">
        <f t="array" ref="J149">IF(ISNUMBER(A149),IFERROR(_xlfn._xlws.FILTER(Equipar!A:A,(Equipar!B:B=5)*(Equipar!AC:AC=A149)),""),"")</f>
        <v/>
      </c>
    </row>
    <row r="150" spans="1:10" x14ac:dyDescent="0.25">
      <c r="A150" s="1">
        <v>289</v>
      </c>
      <c r="B150" s="6" t="s">
        <v>54</v>
      </c>
      <c r="C150" s="6" t="s">
        <v>29</v>
      </c>
      <c r="D150" s="6" t="s">
        <v>38</v>
      </c>
      <c r="E150" s="6" t="s">
        <v>32</v>
      </c>
      <c r="F150" s="6" t="s">
        <v>37</v>
      </c>
      <c r="I150" s="2" t="str">
        <f ca="1">IF(ISNUMBER(A150),
IF(COUNTIFS(Equipar!B:B,5,Equipar!AC:AC,A150),"Equipada",
IF(
 OR( COUNTIFS(Equipar!B:B,5,Equipar!C:C,A150)
 +COUNTIFS(Equipar!B:B,5,Equipar!D:D,A150)
+COUNTIFS(Equipar!B:B,5,Equipar!E:E,A150)
+COUNTIFS(Equipar!B:B,5,Equipar!F:F,A150)
&gt;0,COUNTIF('Set recomendado'!B:B,C150)=0),
"Bloqueada",
"Desechable")),""
)</f>
        <v>Desechable</v>
      </c>
      <c r="J150" t="str" cm="1">
        <f t="array" ref="J150">IF(ISNUMBER(A150),IFERROR(_xlfn._xlws.FILTER(Equipar!A:A,(Equipar!B:B=5)*(Equipar!AC:AC=A150)),""),"")</f>
        <v/>
      </c>
    </row>
    <row r="151" spans="1:10" x14ac:dyDescent="0.25">
      <c r="A151" s="1">
        <v>290</v>
      </c>
      <c r="B151" s="6" t="s">
        <v>54</v>
      </c>
      <c r="C151" s="6" t="s">
        <v>29</v>
      </c>
      <c r="D151" s="6" t="s">
        <v>38</v>
      </c>
      <c r="E151" s="6" t="s">
        <v>38</v>
      </c>
      <c r="F151" s="6" t="s">
        <v>41</v>
      </c>
      <c r="I151" s="2" t="str">
        <f ca="1">IF(ISNUMBER(A151),
IF(COUNTIFS(Equipar!B:B,5,Equipar!AC:AC,A151),"Equipada",
IF(
 OR( COUNTIFS(Equipar!B:B,5,Equipar!C:C,A151)
 +COUNTIFS(Equipar!B:B,5,Equipar!D:D,A151)
+COUNTIFS(Equipar!B:B,5,Equipar!E:E,A151)
+COUNTIFS(Equipar!B:B,5,Equipar!F:F,A151)
&gt;0,COUNTIF('Set recomendado'!B:B,C151)=0),
"Bloqueada",
"Desechable")),""
)</f>
        <v>Desechable</v>
      </c>
      <c r="J151" t="str" cm="1">
        <f t="array" ref="J151">IF(ISNUMBER(A151),IFERROR(_xlfn._xlws.FILTER(Equipar!A:A,(Equipar!B:B=5)*(Equipar!AC:AC=A151)),""),"")</f>
        <v/>
      </c>
    </row>
    <row r="152" spans="1:10" x14ac:dyDescent="0.25">
      <c r="A152" s="1">
        <v>291</v>
      </c>
      <c r="B152" s="6" t="s">
        <v>54</v>
      </c>
      <c r="C152" s="6" t="s">
        <v>29</v>
      </c>
      <c r="D152" s="6" t="s">
        <v>38</v>
      </c>
      <c r="E152" s="6" t="s">
        <v>44</v>
      </c>
      <c r="F152" s="6" t="s">
        <v>42</v>
      </c>
      <c r="I152" s="2" t="str">
        <f ca="1">IF(ISNUMBER(A152),
IF(COUNTIFS(Equipar!B:B,5,Equipar!AC:AC,A152),"Equipada",
IF(
 OR( COUNTIFS(Equipar!B:B,5,Equipar!C:C,A152)
 +COUNTIFS(Equipar!B:B,5,Equipar!D:D,A152)
+COUNTIFS(Equipar!B:B,5,Equipar!E:E,A152)
+COUNTIFS(Equipar!B:B,5,Equipar!F:F,A152)
&gt;0,COUNTIF('Set recomendado'!B:B,C152)=0),
"Bloqueada",
"Desechable")),""
)</f>
        <v>Desechable</v>
      </c>
      <c r="J152" t="str" cm="1">
        <f t="array" ref="J152">IF(ISNUMBER(A152),IFERROR(_xlfn._xlws.FILTER(Equipar!A:A,(Equipar!B:B=5)*(Equipar!AC:AC=A152)),""),"")</f>
        <v/>
      </c>
    </row>
    <row r="153" spans="1:10" x14ac:dyDescent="0.25">
      <c r="A153" s="1">
        <v>292</v>
      </c>
      <c r="B153" s="6" t="s">
        <v>54</v>
      </c>
      <c r="C153" s="6" t="s">
        <v>29</v>
      </c>
      <c r="D153" s="6" t="s">
        <v>38</v>
      </c>
      <c r="E153" s="6" t="s">
        <v>32</v>
      </c>
      <c r="F153" s="6" t="s">
        <v>32</v>
      </c>
      <c r="I153" s="2" t="str">
        <f ca="1">IF(ISNUMBER(A153),
IF(COUNTIFS(Equipar!B:B,5,Equipar!AC:AC,A153),"Equipada",
IF(
 OR( COUNTIFS(Equipar!B:B,5,Equipar!C:C,A153)
 +COUNTIFS(Equipar!B:B,5,Equipar!D:D,A153)
+COUNTIFS(Equipar!B:B,5,Equipar!E:E,A153)
+COUNTIFS(Equipar!B:B,5,Equipar!F:F,A153)
&gt;0,COUNTIF('Set recomendado'!B:B,C153)=0),
"Bloqueada",
"Desechable")),""
)</f>
        <v>Bloqueada</v>
      </c>
      <c r="J153" t="str" cm="1">
        <f t="array" ref="J153">IF(ISNUMBER(A153),IFERROR(_xlfn._xlws.FILTER(Equipar!A:A,(Equipar!B:B=5)*(Equipar!AC:AC=A153)),""),"")</f>
        <v/>
      </c>
    </row>
    <row r="154" spans="1:10" x14ac:dyDescent="0.25">
      <c r="A154" s="1">
        <v>293</v>
      </c>
      <c r="B154" s="6" t="s">
        <v>54</v>
      </c>
      <c r="C154" s="6" t="s">
        <v>29</v>
      </c>
      <c r="D154" s="6" t="s">
        <v>38</v>
      </c>
      <c r="E154" s="6" t="s">
        <v>43</v>
      </c>
      <c r="F154" s="6" t="s">
        <v>35</v>
      </c>
      <c r="G154" s="6" t="s">
        <v>42</v>
      </c>
      <c r="I154" s="2" t="str">
        <f ca="1">IF(ISNUMBER(A154),
IF(COUNTIFS(Equipar!B:B,5,Equipar!AC:AC,A154),"Equipada",
IF(
 OR( COUNTIFS(Equipar!B:B,5,Equipar!C:C,A154)
 +COUNTIFS(Equipar!B:B,5,Equipar!D:D,A154)
+COUNTIFS(Equipar!B:B,5,Equipar!E:E,A154)
+COUNTIFS(Equipar!B:B,5,Equipar!F:F,A154)
&gt;0,COUNTIF('Set recomendado'!B:B,C154)=0),
"Bloqueada",
"Desechable")),""
)</f>
        <v>Desechable</v>
      </c>
      <c r="J154" t="str" cm="1">
        <f t="array" ref="J154">IF(ISNUMBER(A154),IFERROR(_xlfn._xlws.FILTER(Equipar!A:A,(Equipar!B:B=5)*(Equipar!AC:AC=A154)),""),"")</f>
        <v/>
      </c>
    </row>
    <row r="155" spans="1:10" x14ac:dyDescent="0.25">
      <c r="A155" s="1">
        <v>294</v>
      </c>
      <c r="B155" s="6" t="s">
        <v>54</v>
      </c>
      <c r="C155" s="6" t="s">
        <v>29</v>
      </c>
      <c r="D155" s="6" t="s">
        <v>38</v>
      </c>
      <c r="E155" s="6" t="s">
        <v>32</v>
      </c>
      <c r="F155" s="6" t="s">
        <v>44</v>
      </c>
      <c r="G155" s="4"/>
      <c r="H155" s="4"/>
      <c r="I155" s="2" t="str">
        <f ca="1">IF(ISNUMBER(A155),
IF(COUNTIFS(Equipar!B:B,5,Equipar!AC:AC,A155),"Equipada",
IF(
 OR( COUNTIFS(Equipar!B:B,5,Equipar!C:C,A155)
 +COUNTIFS(Equipar!B:B,5,Equipar!D:D,A155)
+COUNTIFS(Equipar!B:B,5,Equipar!E:E,A155)
+COUNTIFS(Equipar!B:B,5,Equipar!F:F,A155)
&gt;0,COUNTIF('Set recomendado'!B:B,C155)=0),
"Bloqueada",
"Desechable")),""
)</f>
        <v>Desechable</v>
      </c>
      <c r="J155" t="str" cm="1">
        <f t="array" ref="J155">IF(ISNUMBER(A155),IFERROR(_xlfn._xlws.FILTER(Equipar!A:A,(Equipar!B:B=5)*(Equipar!AC:AC=A155)),""),"")</f>
        <v/>
      </c>
    </row>
    <row r="156" spans="1:10" x14ac:dyDescent="0.25">
      <c r="A156" s="1">
        <v>295</v>
      </c>
      <c r="B156" s="6" t="s">
        <v>54</v>
      </c>
      <c r="C156" s="6" t="s">
        <v>21</v>
      </c>
      <c r="D156" s="6" t="s">
        <v>38</v>
      </c>
      <c r="E156" s="6" t="s">
        <v>34</v>
      </c>
      <c r="F156" s="6" t="s">
        <v>43</v>
      </c>
      <c r="G156" s="4"/>
      <c r="H156" s="4"/>
      <c r="I156" s="2" t="str">
        <f ca="1">IF(ISNUMBER(A156),
IF(COUNTIFS(Equipar!B:B,5,Equipar!AC:AC,A156),"Equipada",
IF(
 OR( COUNTIFS(Equipar!B:B,5,Equipar!C:C,A156)
 +COUNTIFS(Equipar!B:B,5,Equipar!D:D,A156)
+COUNTIFS(Equipar!B:B,5,Equipar!E:E,A156)
+COUNTIFS(Equipar!B:B,5,Equipar!F:F,A156)
&gt;0,COUNTIF('Set recomendado'!B:B,C156)=0),
"Bloqueada",
"Desechable")),""
)</f>
        <v>Desechable</v>
      </c>
      <c r="J156" t="str" cm="1">
        <f t="array" ref="J156">IF(ISNUMBER(A156),IFERROR(_xlfn._xlws.FILTER(Equipar!A:A,(Equipar!B:B=5)*(Equipar!AC:AC=A156)),""),"")</f>
        <v/>
      </c>
    </row>
    <row r="157" spans="1:10" x14ac:dyDescent="0.25">
      <c r="A157" s="1">
        <v>296</v>
      </c>
      <c r="B157" s="6" t="s">
        <v>54</v>
      </c>
      <c r="C157" s="6" t="s">
        <v>29</v>
      </c>
      <c r="D157" s="6" t="s">
        <v>38</v>
      </c>
      <c r="E157" s="6" t="s">
        <v>36</v>
      </c>
      <c r="F157" s="6" t="s">
        <v>37</v>
      </c>
      <c r="I157" s="2" t="str">
        <f ca="1">IF(ISNUMBER(A157),
IF(COUNTIFS(Equipar!B:B,5,Equipar!AC:AC,A157),"Equipada",
IF(
 OR( COUNTIFS(Equipar!B:B,5,Equipar!C:C,A157)
 +COUNTIFS(Equipar!B:B,5,Equipar!D:D,A157)
+COUNTIFS(Equipar!B:B,5,Equipar!E:E,A157)
+COUNTIFS(Equipar!B:B,5,Equipar!F:F,A157)
&gt;0,COUNTIF('Set recomendado'!B:B,C157)=0),
"Bloqueada",
"Desechable")),""
)</f>
        <v>Desechable</v>
      </c>
      <c r="J157" t="str" cm="1">
        <f t="array" ref="J157">IF(ISNUMBER(A157),IFERROR(_xlfn._xlws.FILTER(Equipar!A:A,(Equipar!B:B=5)*(Equipar!AC:AC=A157)),""),"")</f>
        <v/>
      </c>
    </row>
    <row r="158" spans="1:10" x14ac:dyDescent="0.25">
      <c r="A158" s="1">
        <v>297</v>
      </c>
      <c r="B158" s="6" t="s">
        <v>54</v>
      </c>
      <c r="C158" s="6" t="s">
        <v>29</v>
      </c>
      <c r="D158" s="6" t="s">
        <v>38</v>
      </c>
      <c r="E158" s="6" t="s">
        <v>36</v>
      </c>
      <c r="F158" s="6" t="s">
        <v>43</v>
      </c>
      <c r="G158" s="6" t="s">
        <v>41</v>
      </c>
      <c r="I158" s="2" t="str">
        <f ca="1">IF(ISNUMBER(A158),
IF(COUNTIFS(Equipar!B:B,5,Equipar!AC:AC,A158),"Equipada",
IF(
 OR( COUNTIFS(Equipar!B:B,5,Equipar!C:C,A158)
 +COUNTIFS(Equipar!B:B,5,Equipar!D:D,A158)
+COUNTIFS(Equipar!B:B,5,Equipar!E:E,A158)
+COUNTIFS(Equipar!B:B,5,Equipar!F:F,A158)
&gt;0,COUNTIF('Set recomendado'!B:B,C158)=0),
"Bloqueada",
"Desechable")),""
)</f>
        <v>Desechable</v>
      </c>
      <c r="J158" t="str" cm="1">
        <f t="array" ref="J158">IF(ISNUMBER(A158),IFERROR(_xlfn._xlws.FILTER(Equipar!A:A,(Equipar!B:B=5)*(Equipar!AC:AC=A158)),""),"")</f>
        <v/>
      </c>
    </row>
    <row r="159" spans="1:10" x14ac:dyDescent="0.25">
      <c r="A159" s="1">
        <v>298</v>
      </c>
      <c r="B159" s="6" t="s">
        <v>53</v>
      </c>
      <c r="C159" s="6" t="s">
        <v>56</v>
      </c>
      <c r="D159" s="6" t="s">
        <v>38</v>
      </c>
      <c r="E159" s="6" t="s">
        <v>32</v>
      </c>
      <c r="F159" s="6" t="s">
        <v>40</v>
      </c>
      <c r="G159" s="6" t="s">
        <v>36</v>
      </c>
      <c r="H159" s="6" t="s">
        <v>42</v>
      </c>
      <c r="I159" s="2" t="str">
        <f>IF(ISNUMBER(A159),
IF(COUNTIFS(Equipar!B:B,5,Equipar!AC:AC,A159),"Equipada",
IF(
 OR( COUNTIFS(Equipar!B:B,5,Equipar!C:C,A159)
 +COUNTIFS(Equipar!B:B,5,Equipar!D:D,A159)
+COUNTIFS(Equipar!B:B,5,Equipar!E:E,A159)
+COUNTIFS(Equipar!B:B,5,Equipar!F:F,A159)
&gt;0,COUNTIF('Set recomendado'!B:B,C159)=0),
"Bloqueada",
"Desechable")),""
)</f>
        <v>Equipada</v>
      </c>
      <c r="J159" t="str" cm="1">
        <f t="array" ref="J159">IF(ISNUMBER(A159),IFERROR(_xlfn._xlws.FILTER(Equipar!A:A,(Equipar!B:B=5)*(Equipar!AC:AC=A159)),""),"")</f>
        <v>Kyotani</v>
      </c>
    </row>
    <row r="160" spans="1:10" x14ac:dyDescent="0.25">
      <c r="A160" s="1">
        <v>299</v>
      </c>
      <c r="B160" s="6" t="s">
        <v>53</v>
      </c>
      <c r="C160" s="6" t="s">
        <v>55</v>
      </c>
      <c r="D160" s="6" t="s">
        <v>38</v>
      </c>
      <c r="E160" s="6" t="s">
        <v>42</v>
      </c>
      <c r="F160" s="6" t="s">
        <v>42</v>
      </c>
      <c r="G160" s="6" t="s">
        <v>44</v>
      </c>
      <c r="I160" s="2" t="str">
        <f ca="1">IF(ISNUMBER(A160),
IF(COUNTIFS(Equipar!B:B,5,Equipar!AC:AC,A160),"Equipada",
IF(
 OR( COUNTIFS(Equipar!B:B,5,Equipar!C:C,A160)
 +COUNTIFS(Equipar!B:B,5,Equipar!D:D,A160)
+COUNTIFS(Equipar!B:B,5,Equipar!E:E,A160)
+COUNTIFS(Equipar!B:B,5,Equipar!F:F,A160)
&gt;0,COUNTIF('Set recomendado'!B:B,C160)=0),
"Bloqueada",
"Desechable")),""
)</f>
        <v>Desechable</v>
      </c>
      <c r="J160" t="str" cm="1">
        <f t="array" ref="J160">IF(ISNUMBER(A160),IFERROR(_xlfn._xlws.FILTER(Equipar!A:A,(Equipar!B:B=5)*(Equipar!AC:AC=A160)),""),"")</f>
        <v/>
      </c>
    </row>
    <row r="161" spans="1:10" x14ac:dyDescent="0.25">
      <c r="A161" s="1">
        <v>300</v>
      </c>
      <c r="B161" s="6" t="s">
        <v>53</v>
      </c>
      <c r="C161" s="6" t="s">
        <v>29</v>
      </c>
      <c r="D161" s="6" t="s">
        <v>38</v>
      </c>
      <c r="E161" s="6" t="s">
        <v>44</v>
      </c>
      <c r="F161" s="6" t="s">
        <v>38</v>
      </c>
      <c r="G161" s="6" t="s">
        <v>36</v>
      </c>
      <c r="I161" s="2" t="str">
        <f ca="1">IF(ISNUMBER(A161),
IF(COUNTIFS(Equipar!B:B,5,Equipar!AC:AC,A161),"Equipada",
IF(
 OR( COUNTIFS(Equipar!B:B,5,Equipar!C:C,A161)
 +COUNTIFS(Equipar!B:B,5,Equipar!D:D,A161)
+COUNTIFS(Equipar!B:B,5,Equipar!E:E,A161)
+COUNTIFS(Equipar!B:B,5,Equipar!F:F,A161)
&gt;0,COUNTIF('Set recomendado'!B:B,C161)=0),
"Bloqueada",
"Desechable")),""
)</f>
        <v>Desechable</v>
      </c>
      <c r="J161" t="str" cm="1">
        <f t="array" ref="J161">IF(ISNUMBER(A161),IFERROR(_xlfn._xlws.FILTER(Equipar!A:A,(Equipar!B:B=5)*(Equipar!AC:AC=A161)),""),"")</f>
        <v/>
      </c>
    </row>
    <row r="162" spans="1:10" x14ac:dyDescent="0.25">
      <c r="A162" s="1">
        <v>301</v>
      </c>
      <c r="B162" s="6" t="s">
        <v>54</v>
      </c>
      <c r="C162" s="6" t="s">
        <v>57</v>
      </c>
      <c r="D162" s="6" t="s">
        <v>38</v>
      </c>
      <c r="E162" s="6" t="s">
        <v>41</v>
      </c>
      <c r="F162" s="6" t="s">
        <v>40</v>
      </c>
      <c r="I162" s="2" t="str">
        <f ca="1">IF(ISNUMBER(A162),
IF(COUNTIFS(Equipar!B:B,5,Equipar!AC:AC,A162),"Equipada",
IF(
 OR( COUNTIFS(Equipar!B:B,5,Equipar!C:C,A162)
 +COUNTIFS(Equipar!B:B,5,Equipar!D:D,A162)
+COUNTIFS(Equipar!B:B,5,Equipar!E:E,A162)
+COUNTIFS(Equipar!B:B,5,Equipar!F:F,A162)
&gt;0,COUNTIF('Set recomendado'!B:B,C162)=0),
"Bloqueada",
"Desechable")),""
)</f>
        <v>Bloqueada</v>
      </c>
      <c r="J162" t="str" cm="1">
        <f t="array" ref="J162">IF(ISNUMBER(A162),IFERROR(_xlfn._xlws.FILTER(Equipar!A:A,(Equipar!B:B=5)*(Equipar!AC:AC=A162)),""),"")</f>
        <v/>
      </c>
    </row>
    <row r="163" spans="1:10" x14ac:dyDescent="0.25">
      <c r="A163" s="1">
        <v>302</v>
      </c>
      <c r="B163" s="6" t="s">
        <v>54</v>
      </c>
      <c r="C163" s="6" t="s">
        <v>55</v>
      </c>
      <c r="D163" s="6" t="s">
        <v>38</v>
      </c>
      <c r="E163" s="6" t="s">
        <v>38</v>
      </c>
      <c r="F163" s="6" t="s">
        <v>39</v>
      </c>
      <c r="I163" s="2" t="str">
        <f ca="1">IF(ISNUMBER(A163),
IF(COUNTIFS(Equipar!B:B,5,Equipar!AC:AC,A163),"Equipada",
IF(
 OR( COUNTIFS(Equipar!B:B,5,Equipar!C:C,A163)
 +COUNTIFS(Equipar!B:B,5,Equipar!D:D,A163)
+COUNTIFS(Equipar!B:B,5,Equipar!E:E,A163)
+COUNTIFS(Equipar!B:B,5,Equipar!F:F,A163)
&gt;0,COUNTIF('Set recomendado'!B:B,C163)=0),
"Bloqueada",
"Desechable")),""
)</f>
        <v>Desechable</v>
      </c>
      <c r="J163" t="str" cm="1">
        <f t="array" ref="J163">IF(ISNUMBER(A163),IFERROR(_xlfn._xlws.FILTER(Equipar!A:A,(Equipar!B:B=5)*(Equipar!AC:AC=A163)),""),"")</f>
        <v/>
      </c>
    </row>
    <row r="164" spans="1:10" x14ac:dyDescent="0.25">
      <c r="A164" s="1">
        <v>303</v>
      </c>
      <c r="B164" s="6" t="s">
        <v>54</v>
      </c>
      <c r="C164" s="6" t="s">
        <v>21</v>
      </c>
      <c r="D164" s="6" t="s">
        <v>38</v>
      </c>
      <c r="E164" s="6" t="s">
        <v>33</v>
      </c>
      <c r="F164" s="6" t="s">
        <v>37</v>
      </c>
      <c r="I164" s="2" t="str">
        <f ca="1">IF(ISNUMBER(A164),
IF(COUNTIFS(Equipar!B:B,5,Equipar!AC:AC,A164),"Equipada",
IF(
 OR( COUNTIFS(Equipar!B:B,5,Equipar!C:C,A164)
 +COUNTIFS(Equipar!B:B,5,Equipar!D:D,A164)
+COUNTIFS(Equipar!B:B,5,Equipar!E:E,A164)
+COUNTIFS(Equipar!B:B,5,Equipar!F:F,A164)
&gt;0,COUNTIF('Set recomendado'!B:B,C164)=0),
"Bloqueada",
"Desechable")),""
)</f>
        <v>Desechable</v>
      </c>
      <c r="J164" t="str" cm="1">
        <f t="array" ref="J164">IF(ISNUMBER(A164),IFERROR(_xlfn._xlws.FILTER(Equipar!A:A,(Equipar!B:B=5)*(Equipar!AC:AC=A164)),""),"")</f>
        <v/>
      </c>
    </row>
    <row r="165" spans="1:10" x14ac:dyDescent="0.25">
      <c r="A165" s="1">
        <v>304</v>
      </c>
      <c r="B165" s="6" t="s">
        <v>54</v>
      </c>
      <c r="C165" s="6" t="s">
        <v>21</v>
      </c>
      <c r="D165" s="6" t="s">
        <v>38</v>
      </c>
      <c r="E165" s="6" t="s">
        <v>32</v>
      </c>
      <c r="F165" s="6" t="s">
        <v>32</v>
      </c>
      <c r="G165" s="6" t="s">
        <v>38</v>
      </c>
      <c r="I165" s="2" t="str">
        <f ca="1">IF(ISNUMBER(A165),
IF(COUNTIFS(Equipar!B:B,5,Equipar!AC:AC,A165),"Equipada",
IF(
 OR( COUNTIFS(Equipar!B:B,5,Equipar!C:C,A165)
 +COUNTIFS(Equipar!B:B,5,Equipar!D:D,A165)
+COUNTIFS(Equipar!B:B,5,Equipar!E:E,A165)
+COUNTIFS(Equipar!B:B,5,Equipar!F:F,A165)
&gt;0,COUNTIF('Set recomendado'!B:B,C165)=0),
"Bloqueada",
"Desechable")),""
)</f>
        <v>Desechable</v>
      </c>
      <c r="J165" t="str" cm="1">
        <f t="array" ref="J165">IF(ISNUMBER(A165),IFERROR(_xlfn._xlws.FILTER(Equipar!A:A,(Equipar!B:B=5)*(Equipar!AC:AC=A165)),""),"")</f>
        <v/>
      </c>
    </row>
    <row r="166" spans="1:10" x14ac:dyDescent="0.25">
      <c r="A166" s="1">
        <v>305</v>
      </c>
      <c r="B166" s="6" t="s">
        <v>54</v>
      </c>
      <c r="C166" s="6" t="s">
        <v>21</v>
      </c>
      <c r="D166" s="6" t="s">
        <v>38</v>
      </c>
      <c r="E166" s="6" t="s">
        <v>37</v>
      </c>
      <c r="F166" s="6" t="s">
        <v>43</v>
      </c>
      <c r="G166" s="6" t="s">
        <v>43</v>
      </c>
      <c r="I166" s="2" t="str">
        <f ca="1">IF(ISNUMBER(A166),
IF(COUNTIFS(Equipar!B:B,5,Equipar!AC:AC,A166),"Equipada",
IF(
 OR( COUNTIFS(Equipar!B:B,5,Equipar!C:C,A166)
 +COUNTIFS(Equipar!B:B,5,Equipar!D:D,A166)
+COUNTIFS(Equipar!B:B,5,Equipar!E:E,A166)
+COUNTIFS(Equipar!B:B,5,Equipar!F:F,A166)
&gt;0,COUNTIF('Set recomendado'!B:B,C166)=0),
"Bloqueada",
"Desechable")),""
)</f>
        <v>Desechable</v>
      </c>
      <c r="J166" t="str" cm="1">
        <f t="array" ref="J166">IF(ISNUMBER(A166),IFERROR(_xlfn._xlws.FILTER(Equipar!A:A,(Equipar!B:B=5)*(Equipar!AC:AC=A166)),""),"")</f>
        <v/>
      </c>
    </row>
    <row r="167" spans="1:10" x14ac:dyDescent="0.25">
      <c r="A167" s="1">
        <v>306</v>
      </c>
      <c r="B167" s="6" t="s">
        <v>54</v>
      </c>
      <c r="C167" s="6" t="s">
        <v>29</v>
      </c>
      <c r="D167" s="6" t="s">
        <v>38</v>
      </c>
      <c r="E167" s="6" t="s">
        <v>32</v>
      </c>
      <c r="F167" s="6" t="s">
        <v>44</v>
      </c>
      <c r="G167" s="6" t="s">
        <v>42</v>
      </c>
      <c r="I167" s="2" t="str">
        <f ca="1">IF(ISNUMBER(A167),
IF(COUNTIFS(Equipar!B:B,5,Equipar!AC:AC,A167),"Equipada",
IF(
 OR( COUNTIFS(Equipar!B:B,5,Equipar!C:C,A167)
 +COUNTIFS(Equipar!B:B,5,Equipar!D:D,A167)
+COUNTIFS(Equipar!B:B,5,Equipar!E:E,A167)
+COUNTIFS(Equipar!B:B,5,Equipar!F:F,A167)
&gt;0,COUNTIF('Set recomendado'!B:B,C167)=0),
"Bloqueada",
"Desechable")),""
)</f>
        <v>Desechable</v>
      </c>
      <c r="J167" t="str" cm="1">
        <f t="array" ref="J167">IF(ISNUMBER(A167),IFERROR(_xlfn._xlws.FILTER(Equipar!A:A,(Equipar!B:B=5)*(Equipar!AC:AC=A167)),""),"")</f>
        <v/>
      </c>
    </row>
    <row r="168" spans="1:10" x14ac:dyDescent="0.25">
      <c r="A168" s="1">
        <v>307</v>
      </c>
      <c r="B168" s="6" t="s">
        <v>54</v>
      </c>
      <c r="C168" s="6" t="s">
        <v>29</v>
      </c>
      <c r="D168" s="6" t="s">
        <v>38</v>
      </c>
      <c r="E168" s="6" t="s">
        <v>42</v>
      </c>
      <c r="F168" s="6" t="s">
        <v>37</v>
      </c>
      <c r="G168" s="6" t="s">
        <v>38</v>
      </c>
      <c r="I168" s="2" t="str">
        <f ca="1">IF(ISNUMBER(A168),
IF(COUNTIFS(Equipar!B:B,5,Equipar!AC:AC,A168),"Equipada",
IF(
 OR( COUNTIFS(Equipar!B:B,5,Equipar!C:C,A168)
 +COUNTIFS(Equipar!B:B,5,Equipar!D:D,A168)
+COUNTIFS(Equipar!B:B,5,Equipar!E:E,A168)
+COUNTIFS(Equipar!B:B,5,Equipar!F:F,A168)
&gt;0,COUNTIF('Set recomendado'!B:B,C168)=0),
"Bloqueada",
"Desechable")),""
)</f>
        <v>Desechable</v>
      </c>
      <c r="J168" t="str" cm="1">
        <f t="array" ref="J168">IF(ISNUMBER(A168),IFERROR(_xlfn._xlws.FILTER(Equipar!A:A,(Equipar!B:B=5)*(Equipar!AC:AC=A168)),""),"")</f>
        <v/>
      </c>
    </row>
    <row r="169" spans="1:10" x14ac:dyDescent="0.25">
      <c r="A169" s="1">
        <v>308</v>
      </c>
      <c r="B169" s="6" t="s">
        <v>54</v>
      </c>
      <c r="C169" s="6" t="s">
        <v>29</v>
      </c>
      <c r="D169" s="6" t="s">
        <v>38</v>
      </c>
      <c r="E169" s="6" t="s">
        <v>40</v>
      </c>
      <c r="F169" s="6" t="s">
        <v>34</v>
      </c>
      <c r="I169" s="2" t="str">
        <f ca="1">IF(ISNUMBER(A169),
IF(COUNTIFS(Equipar!B:B,5,Equipar!AC:AC,A169),"Equipada",
IF(
 OR( COUNTIFS(Equipar!B:B,5,Equipar!C:C,A169)
 +COUNTIFS(Equipar!B:B,5,Equipar!D:D,A169)
+COUNTIFS(Equipar!B:B,5,Equipar!E:E,A169)
+COUNTIFS(Equipar!B:B,5,Equipar!F:F,A169)
&gt;0,COUNTIF('Set recomendado'!B:B,C169)=0),
"Bloqueada",
"Desechable")),""
)</f>
        <v>Desechable</v>
      </c>
      <c r="J169" t="str" cm="1">
        <f t="array" ref="J169">IF(ISNUMBER(A169),IFERROR(_xlfn._xlws.FILTER(Equipar!A:A,(Equipar!B:B=5)*(Equipar!AC:AC=A169)),""),"")</f>
        <v/>
      </c>
    </row>
    <row r="170" spans="1:10" x14ac:dyDescent="0.25">
      <c r="A170" s="1">
        <v>309</v>
      </c>
      <c r="B170" s="6" t="s">
        <v>54</v>
      </c>
      <c r="C170" s="6" t="s">
        <v>57</v>
      </c>
      <c r="D170" s="6" t="s">
        <v>38</v>
      </c>
      <c r="E170" s="6" t="s">
        <v>36</v>
      </c>
      <c r="F170" s="6" t="s">
        <v>37</v>
      </c>
      <c r="G170" s="6" t="s">
        <v>36</v>
      </c>
      <c r="I170" s="2" t="str">
        <f ca="1">IF(ISNUMBER(A170),
IF(COUNTIFS(Equipar!B:B,5,Equipar!AC:AC,A170),"Equipada",
IF(
 OR( COUNTIFS(Equipar!B:B,5,Equipar!C:C,A170)
 +COUNTIFS(Equipar!B:B,5,Equipar!D:D,A170)
+COUNTIFS(Equipar!B:B,5,Equipar!E:E,A170)
+COUNTIFS(Equipar!B:B,5,Equipar!F:F,A170)
&gt;0,COUNTIF('Set recomendado'!B:B,C170)=0),
"Bloqueada",
"Desechable")),""
)</f>
        <v>Bloqueada</v>
      </c>
      <c r="J170" t="str" cm="1">
        <f t="array" ref="J170">IF(ISNUMBER(A170),IFERROR(_xlfn._xlws.FILTER(Equipar!A:A,(Equipar!B:B=5)*(Equipar!AC:AC=A170)),""),"")</f>
        <v/>
      </c>
    </row>
    <row r="171" spans="1:10" x14ac:dyDescent="0.25">
      <c r="A171" s="1">
        <v>310</v>
      </c>
      <c r="B171" s="6" t="s">
        <v>54</v>
      </c>
      <c r="C171" s="6" t="s">
        <v>57</v>
      </c>
      <c r="D171" s="6" t="s">
        <v>38</v>
      </c>
      <c r="E171" s="6" t="s">
        <v>34</v>
      </c>
      <c r="F171" s="6" t="s">
        <v>41</v>
      </c>
      <c r="G171" s="6" t="s">
        <v>35</v>
      </c>
      <c r="I171" s="2" t="str">
        <f ca="1">IF(ISNUMBER(A171),
IF(COUNTIFS(Equipar!B:B,5,Equipar!AC:AC,A171),"Equipada",
IF(
 OR( COUNTIFS(Equipar!B:B,5,Equipar!C:C,A171)
 +COUNTIFS(Equipar!B:B,5,Equipar!D:D,A171)
+COUNTIFS(Equipar!B:B,5,Equipar!E:E,A171)
+COUNTIFS(Equipar!B:B,5,Equipar!F:F,A171)
&gt;0,COUNTIF('Set recomendado'!B:B,C171)=0),
"Bloqueada",
"Desechable")),""
)</f>
        <v>Bloqueada</v>
      </c>
      <c r="J171" t="str" cm="1">
        <f t="array" ref="J171">IF(ISNUMBER(A171),IFERROR(_xlfn._xlws.FILTER(Equipar!A:A,(Equipar!B:B=5)*(Equipar!AC:AC=A171)),""),"")</f>
        <v/>
      </c>
    </row>
    <row r="172" spans="1:10" x14ac:dyDescent="0.25">
      <c r="A172" s="1">
        <v>311</v>
      </c>
      <c r="B172" s="6" t="s">
        <v>54</v>
      </c>
      <c r="C172" s="6" t="s">
        <v>57</v>
      </c>
      <c r="D172" s="6" t="s">
        <v>38</v>
      </c>
      <c r="E172" s="6" t="s">
        <v>32</v>
      </c>
      <c r="F172" s="6" t="s">
        <v>43</v>
      </c>
      <c r="G172" s="6" t="s">
        <v>38</v>
      </c>
      <c r="I172" s="2" t="str">
        <f ca="1">IF(ISNUMBER(A172),
IF(COUNTIFS(Equipar!B:B,5,Equipar!AC:AC,A172),"Equipada",
IF(
 OR( COUNTIFS(Equipar!B:B,5,Equipar!C:C,A172)
 +COUNTIFS(Equipar!B:B,5,Equipar!D:D,A172)
+COUNTIFS(Equipar!B:B,5,Equipar!E:E,A172)
+COUNTIFS(Equipar!B:B,5,Equipar!F:F,A172)
&gt;0,COUNTIF('Set recomendado'!B:B,C172)=0),
"Bloqueada",
"Desechable")),""
)</f>
        <v>Bloqueada</v>
      </c>
      <c r="J172" t="str" cm="1">
        <f t="array" ref="J172">IF(ISNUMBER(A172),IFERROR(_xlfn._xlws.FILTER(Equipar!A:A,(Equipar!B:B=5)*(Equipar!AC:AC=A172)),""),"")</f>
        <v/>
      </c>
    </row>
    <row r="173" spans="1:10" x14ac:dyDescent="0.25">
      <c r="A173" s="1">
        <v>312</v>
      </c>
      <c r="B173" s="6" t="s">
        <v>54</v>
      </c>
      <c r="C173" s="6" t="s">
        <v>57</v>
      </c>
      <c r="D173" s="6" t="s">
        <v>38</v>
      </c>
      <c r="E173" s="6" t="s">
        <v>42</v>
      </c>
      <c r="F173" s="6" t="s">
        <v>41</v>
      </c>
      <c r="I173" s="2" t="str">
        <f ca="1">IF(ISNUMBER(A173),
IF(COUNTIFS(Equipar!B:B,5,Equipar!AC:AC,A173),"Equipada",
IF(
 OR( COUNTIFS(Equipar!B:B,5,Equipar!C:C,A173)
 +COUNTIFS(Equipar!B:B,5,Equipar!D:D,A173)
+COUNTIFS(Equipar!B:B,5,Equipar!E:E,A173)
+COUNTIFS(Equipar!B:B,5,Equipar!F:F,A173)
&gt;0,COUNTIF('Set recomendado'!B:B,C173)=0),
"Bloqueada",
"Desechable")),""
)</f>
        <v>Bloqueada</v>
      </c>
      <c r="J173" t="str" cm="1">
        <f t="array" ref="J173">IF(ISNUMBER(A173),IFERROR(_xlfn._xlws.FILTER(Equipar!A:A,(Equipar!B:B=5)*(Equipar!AC:AC=A173)),""),"")</f>
        <v/>
      </c>
    </row>
    <row r="174" spans="1:10" x14ac:dyDescent="0.25">
      <c r="A174" s="1">
        <v>313</v>
      </c>
      <c r="B174" s="6" t="s">
        <v>54</v>
      </c>
      <c r="C174" s="6" t="s">
        <v>55</v>
      </c>
      <c r="D174" s="6" t="s">
        <v>38</v>
      </c>
      <c r="E174" s="6" t="s">
        <v>37</v>
      </c>
      <c r="F174" s="6" t="s">
        <v>32</v>
      </c>
      <c r="G174" s="6" t="s">
        <v>37</v>
      </c>
      <c r="I174" s="2" t="str">
        <f ca="1">IF(ISNUMBER(A174),
IF(COUNTIFS(Equipar!B:B,5,Equipar!AC:AC,A174),"Equipada",
IF(
 OR( COUNTIFS(Equipar!B:B,5,Equipar!C:C,A174)
 +COUNTIFS(Equipar!B:B,5,Equipar!D:D,A174)
+COUNTIFS(Equipar!B:B,5,Equipar!E:E,A174)
+COUNTIFS(Equipar!B:B,5,Equipar!F:F,A174)
&gt;0,COUNTIF('Set recomendado'!B:B,C174)=0),
"Bloqueada",
"Desechable")),""
)</f>
        <v>Desechable</v>
      </c>
      <c r="J174" t="str" cm="1">
        <f t="array" ref="J174">IF(ISNUMBER(A174),IFERROR(_xlfn._xlws.FILTER(Equipar!A:A,(Equipar!B:B=5)*(Equipar!AC:AC=A174)),""),"")</f>
        <v/>
      </c>
    </row>
    <row r="175" spans="1:10" x14ac:dyDescent="0.25">
      <c r="A175" s="1">
        <v>314</v>
      </c>
      <c r="B175" s="6" t="s">
        <v>54</v>
      </c>
      <c r="C175" s="6" t="s">
        <v>55</v>
      </c>
      <c r="D175" s="6" t="s">
        <v>38</v>
      </c>
      <c r="E175" s="6" t="s">
        <v>36</v>
      </c>
      <c r="F175" s="6" t="s">
        <v>41</v>
      </c>
      <c r="G175" s="6" t="s">
        <v>33</v>
      </c>
      <c r="I175" s="2" t="str">
        <f ca="1">IF(ISNUMBER(A175),
IF(COUNTIFS(Equipar!B:B,5,Equipar!AC:AC,A175),"Equipada",
IF(
 OR( COUNTIFS(Equipar!B:B,5,Equipar!C:C,A175)
 +COUNTIFS(Equipar!B:B,5,Equipar!D:D,A175)
+COUNTIFS(Equipar!B:B,5,Equipar!E:E,A175)
+COUNTIFS(Equipar!B:B,5,Equipar!F:F,A175)
&gt;0,COUNTIF('Set recomendado'!B:B,C175)=0),
"Bloqueada",
"Desechable")),""
)</f>
        <v>Bloqueada</v>
      </c>
      <c r="J175" t="str" cm="1">
        <f t="array" ref="J175">IF(ISNUMBER(A175),IFERROR(_xlfn._xlws.FILTER(Equipar!A:A,(Equipar!B:B=5)*(Equipar!AC:AC=A175)),""),"")</f>
        <v/>
      </c>
    </row>
    <row r="176" spans="1:10" x14ac:dyDescent="0.25">
      <c r="A176" s="1">
        <v>315</v>
      </c>
      <c r="B176" s="6" t="s">
        <v>54</v>
      </c>
      <c r="C176" s="6" t="s">
        <v>55</v>
      </c>
      <c r="D176" s="6" t="s">
        <v>38</v>
      </c>
      <c r="E176" s="6" t="s">
        <v>32</v>
      </c>
      <c r="F176" s="6" t="s">
        <v>38</v>
      </c>
      <c r="I176" s="2" t="str">
        <f ca="1">IF(ISNUMBER(A176),
IF(COUNTIFS(Equipar!B:B,5,Equipar!AC:AC,A176),"Equipada",
IF(
 OR( COUNTIFS(Equipar!B:B,5,Equipar!C:C,A176)
 +COUNTIFS(Equipar!B:B,5,Equipar!D:D,A176)
+COUNTIFS(Equipar!B:B,5,Equipar!E:E,A176)
+COUNTIFS(Equipar!B:B,5,Equipar!F:F,A176)
&gt;0,COUNTIF('Set recomendado'!B:B,C176)=0),
"Bloqueada",
"Desechable")),""
)</f>
        <v>Desechable</v>
      </c>
      <c r="J176" t="str" cm="1">
        <f t="array" ref="J176">IF(ISNUMBER(A176),IFERROR(_xlfn._xlws.FILTER(Equipar!A:A,(Equipar!B:B=5)*(Equipar!AC:AC=A176)),""),"")</f>
        <v/>
      </c>
    </row>
    <row r="177" spans="1:10" x14ac:dyDescent="0.25">
      <c r="A177" s="1">
        <v>316</v>
      </c>
      <c r="B177" s="6" t="s">
        <v>54</v>
      </c>
      <c r="C177" s="6" t="s">
        <v>55</v>
      </c>
      <c r="D177" s="6" t="s">
        <v>38</v>
      </c>
      <c r="E177" s="6" t="s">
        <v>42</v>
      </c>
      <c r="F177" s="6" t="s">
        <v>40</v>
      </c>
      <c r="I177" s="2" t="str">
        <f ca="1">IF(ISNUMBER(A177),
IF(COUNTIFS(Equipar!B:B,5,Equipar!AC:AC,A177),"Equipada",
IF(
 OR( COUNTIFS(Equipar!B:B,5,Equipar!C:C,A177)
 +COUNTIFS(Equipar!B:B,5,Equipar!D:D,A177)
+COUNTIFS(Equipar!B:B,5,Equipar!E:E,A177)
+COUNTIFS(Equipar!B:B,5,Equipar!F:F,A177)
&gt;0,COUNTIF('Set recomendado'!B:B,C177)=0),
"Bloqueada",
"Desechable")),""
)</f>
        <v>Desechable</v>
      </c>
      <c r="J177" t="str" cm="1">
        <f t="array" ref="J177">IF(ISNUMBER(A177),IFERROR(_xlfn._xlws.FILTER(Equipar!A:A,(Equipar!B:B=5)*(Equipar!AC:AC=A177)),""),"")</f>
        <v/>
      </c>
    </row>
    <row r="178" spans="1:10" x14ac:dyDescent="0.25">
      <c r="A178" s="1">
        <v>317</v>
      </c>
      <c r="B178" s="6" t="s">
        <v>54</v>
      </c>
      <c r="C178" s="6" t="s">
        <v>55</v>
      </c>
      <c r="D178" s="6" t="s">
        <v>38</v>
      </c>
      <c r="E178" s="6" t="s">
        <v>38</v>
      </c>
      <c r="F178" s="6" t="s">
        <v>32</v>
      </c>
      <c r="G178" s="6" t="s">
        <v>37</v>
      </c>
      <c r="I178" s="2" t="str">
        <f ca="1">IF(ISNUMBER(A178),
IF(COUNTIFS(Equipar!B:B,5,Equipar!AC:AC,A178),"Equipada",
IF(
 OR( COUNTIFS(Equipar!B:B,5,Equipar!C:C,A178)
 +COUNTIFS(Equipar!B:B,5,Equipar!D:D,A178)
+COUNTIFS(Equipar!B:B,5,Equipar!E:E,A178)
+COUNTIFS(Equipar!B:B,5,Equipar!F:F,A178)
&gt;0,COUNTIF('Set recomendado'!B:B,C178)=0),
"Bloqueada",
"Desechable")),""
)</f>
        <v>Desechable</v>
      </c>
      <c r="J178" t="str" cm="1">
        <f t="array" ref="J178">IF(ISNUMBER(A178),IFERROR(_xlfn._xlws.FILTER(Equipar!A:A,(Equipar!B:B=5)*(Equipar!AC:AC=A178)),""),"")</f>
        <v/>
      </c>
    </row>
    <row r="179" spans="1:10" x14ac:dyDescent="0.25">
      <c r="A179" s="1">
        <v>318</v>
      </c>
      <c r="B179" s="6" t="s">
        <v>54</v>
      </c>
      <c r="C179" s="6" t="s">
        <v>21</v>
      </c>
      <c r="D179" s="6" t="s">
        <v>38</v>
      </c>
      <c r="E179" s="6" t="s">
        <v>37</v>
      </c>
      <c r="F179" s="6" t="s">
        <v>36</v>
      </c>
      <c r="I179" s="2" t="str">
        <f ca="1">IF(ISNUMBER(A179),
IF(COUNTIFS(Equipar!B:B,5,Equipar!AC:AC,A179),"Equipada",
IF(
 OR( COUNTIFS(Equipar!B:B,5,Equipar!C:C,A179)
 +COUNTIFS(Equipar!B:B,5,Equipar!D:D,A179)
+COUNTIFS(Equipar!B:B,5,Equipar!E:E,A179)
+COUNTIFS(Equipar!B:B,5,Equipar!F:F,A179)
&gt;0,COUNTIF('Set recomendado'!B:B,C179)=0),
"Bloqueada",
"Desechable")),""
)</f>
        <v>Desechable</v>
      </c>
      <c r="J179" t="str" cm="1">
        <f t="array" ref="J179">IF(ISNUMBER(A179),IFERROR(_xlfn._xlws.FILTER(Equipar!A:A,(Equipar!B:B=5)*(Equipar!AC:AC=A179)),""),"")</f>
        <v/>
      </c>
    </row>
    <row r="180" spans="1:10" x14ac:dyDescent="0.25">
      <c r="A180" s="1">
        <v>319</v>
      </c>
      <c r="B180" s="6" t="s">
        <v>54</v>
      </c>
      <c r="C180" s="6" t="s">
        <v>21</v>
      </c>
      <c r="D180" s="6" t="s">
        <v>38</v>
      </c>
      <c r="E180" s="6" t="s">
        <v>42</v>
      </c>
      <c r="F180" s="6" t="s">
        <v>32</v>
      </c>
      <c r="G180" s="6" t="s">
        <v>36</v>
      </c>
      <c r="I180" s="2" t="str">
        <f ca="1">IF(ISNUMBER(A180),
IF(COUNTIFS(Equipar!B:B,5,Equipar!AC:AC,A180),"Equipada",
IF(
 OR( COUNTIFS(Equipar!B:B,5,Equipar!C:C,A180)
 +COUNTIFS(Equipar!B:B,5,Equipar!D:D,A180)
+COUNTIFS(Equipar!B:B,5,Equipar!E:E,A180)
+COUNTIFS(Equipar!B:B,5,Equipar!F:F,A180)
&gt;0,COUNTIF('Set recomendado'!B:B,C180)=0),
"Bloqueada",
"Desechable")),""
)</f>
        <v>Desechable</v>
      </c>
      <c r="J180" t="str" cm="1">
        <f t="array" ref="J180">IF(ISNUMBER(A180),IFERROR(_xlfn._xlws.FILTER(Equipar!A:A,(Equipar!B:B=5)*(Equipar!AC:AC=A180)),""),"")</f>
        <v/>
      </c>
    </row>
    <row r="181" spans="1:10" x14ac:dyDescent="0.25">
      <c r="A181" s="1">
        <v>320</v>
      </c>
      <c r="B181" s="6" t="s">
        <v>53</v>
      </c>
      <c r="C181" s="6" t="s">
        <v>56</v>
      </c>
      <c r="D181" s="6" t="s">
        <v>38</v>
      </c>
      <c r="E181" s="6" t="s">
        <v>41</v>
      </c>
      <c r="F181" s="6" t="s">
        <v>42</v>
      </c>
      <c r="G181" s="6" t="s">
        <v>38</v>
      </c>
      <c r="I181" s="2" t="str">
        <f ca="1">IF(ISNUMBER(A181),
IF(COUNTIFS(Equipar!B:B,5,Equipar!AC:AC,A181),"Equipada",
IF(
 OR( COUNTIFS(Equipar!B:B,5,Equipar!C:C,A181)
 +COUNTIFS(Equipar!B:B,5,Equipar!D:D,A181)
+COUNTIFS(Equipar!B:B,5,Equipar!E:E,A181)
+COUNTIFS(Equipar!B:B,5,Equipar!F:F,A181)
&gt;0,COUNTIF('Set recomendado'!B:B,C181)=0),
"Bloqueada",
"Desechable")),""
)</f>
        <v>Desechable</v>
      </c>
      <c r="J181" t="str" cm="1">
        <f t="array" ref="J181">IF(ISNUMBER(A181),IFERROR(_xlfn._xlws.FILTER(Equipar!A:A,(Equipar!B:B=5)*(Equipar!AC:AC=A181)),""),"")</f>
        <v/>
      </c>
    </row>
    <row r="182" spans="1:10" x14ac:dyDescent="0.25">
      <c r="A182" s="1">
        <v>321</v>
      </c>
      <c r="B182" s="6" t="s">
        <v>53</v>
      </c>
      <c r="C182" s="6" t="s">
        <v>29</v>
      </c>
      <c r="D182" s="6" t="s">
        <v>38</v>
      </c>
      <c r="E182" s="6" t="s">
        <v>42</v>
      </c>
      <c r="F182" s="6" t="s">
        <v>43</v>
      </c>
      <c r="G182" s="6" t="s">
        <v>39</v>
      </c>
      <c r="H182" s="6" t="s">
        <v>38</v>
      </c>
      <c r="I182" s="2" t="str">
        <f ca="1">IF(ISNUMBER(A182),
IF(COUNTIFS(Equipar!B:B,5,Equipar!AC:AC,A182),"Equipada",
IF(
 OR( COUNTIFS(Equipar!B:B,5,Equipar!C:C,A182)
 +COUNTIFS(Equipar!B:B,5,Equipar!D:D,A182)
+COUNTIFS(Equipar!B:B,5,Equipar!E:E,A182)
+COUNTIFS(Equipar!B:B,5,Equipar!F:F,A182)
&gt;0,COUNTIF('Set recomendado'!B:B,C182)=0),
"Bloqueada",
"Desechable")),""
)</f>
        <v>Desechable</v>
      </c>
      <c r="J182" t="str" cm="1">
        <f t="array" ref="J182">IF(ISNUMBER(A182),IFERROR(_xlfn._xlws.FILTER(Equipar!A:A,(Equipar!B:B=5)*(Equipar!AC:AC=A182)),""),"")</f>
        <v/>
      </c>
    </row>
    <row r="183" spans="1:10" x14ac:dyDescent="0.25">
      <c r="A183" s="1">
        <f>IF(A182="ID",1,IF(ISBLANK(B183),"",MAX(A$2:A182)+1))</f>
        <v>322</v>
      </c>
      <c r="B183" s="6" t="s">
        <v>53</v>
      </c>
      <c r="C183" s="6" t="s">
        <v>9</v>
      </c>
      <c r="D183" s="6" t="s">
        <v>38</v>
      </c>
      <c r="E183" s="6" t="s">
        <v>34</v>
      </c>
      <c r="F183" s="6" t="s">
        <v>37</v>
      </c>
      <c r="G183" s="6" t="s">
        <v>41</v>
      </c>
      <c r="H183" s="6" t="s">
        <v>35</v>
      </c>
      <c r="I183" s="2" t="str">
        <f ca="1">IF(ISNUMBER(A183),
IF(COUNTIFS(Equipar!B:B,5,Equipar!AC:AC,A183),"Equipada",
IF(
 OR( COUNTIFS(Equipar!B:B,5,Equipar!C:C,A183)
 +COUNTIFS(Equipar!B:B,5,Equipar!D:D,A183)
+COUNTIFS(Equipar!B:B,5,Equipar!E:E,A183)
+COUNTIFS(Equipar!B:B,5,Equipar!F:F,A183)
&gt;0,COUNTIF('Set recomendado'!B:B,C183)=0),
"Bloqueada",
"Desechable")),""
)</f>
        <v>Bloqueada</v>
      </c>
      <c r="J183" t="str" cm="1">
        <f t="array" ref="J183">IF(ISNUMBER(A183),IFERROR(_xlfn._xlws.FILTER(Equipar!A:A,(Equipar!B:B=5)*(Equipar!AC:AC=A183)),""),"")</f>
        <v/>
      </c>
    </row>
    <row r="184" spans="1:10" x14ac:dyDescent="0.25">
      <c r="A184" s="1">
        <f>IF(A183="ID",1,IF(ISBLANK(B184),"",MAX(A$2:A183)+1))</f>
        <v>323</v>
      </c>
      <c r="B184" s="6" t="s">
        <v>53</v>
      </c>
      <c r="C184" s="6" t="s">
        <v>16</v>
      </c>
      <c r="D184" s="6" t="s">
        <v>38</v>
      </c>
      <c r="E184" s="6" t="s">
        <v>43</v>
      </c>
      <c r="F184" s="6" t="s">
        <v>36</v>
      </c>
      <c r="G184" s="6" t="s">
        <v>39</v>
      </c>
      <c r="I184" s="2" t="str">
        <f>IF(ISNUMBER(A184),
IF(COUNTIFS(Equipar!B:B,5,Equipar!AC:AC,A184),"Equipada",
IF(
 OR( COUNTIFS(Equipar!B:B,5,Equipar!C:C,A184)
 +COUNTIFS(Equipar!B:B,5,Equipar!D:D,A184)
+COUNTIFS(Equipar!B:B,5,Equipar!E:E,A184)
+COUNTIFS(Equipar!B:B,5,Equipar!F:F,A184)
&gt;0,COUNTIF('Set recomendado'!B:B,C184)=0),
"Bloqueada",
"Desechable")),""
)</f>
        <v>Equipada</v>
      </c>
      <c r="J184" t="str" cm="1">
        <f t="array" ref="J184">IF(ISNUMBER(A184),IFERROR(_xlfn._xlws.FILTER(Equipar!A:A,(Equipar!B:B=5)*(Equipar!AC:AC=A184)),""),"")</f>
        <v>Akagi</v>
      </c>
    </row>
    <row r="185" spans="1:10" x14ac:dyDescent="0.25">
      <c r="A185" s="1">
        <f>IF(A184="ID",1,IF(ISBLANK(B185),"",MAX(A$2:A184)+1))</f>
        <v>324</v>
      </c>
      <c r="B185" s="6" t="s">
        <v>53</v>
      </c>
      <c r="C185" s="6" t="s">
        <v>56</v>
      </c>
      <c r="D185" s="6" t="s">
        <v>38</v>
      </c>
      <c r="E185" s="6" t="s">
        <v>34</v>
      </c>
      <c r="F185" s="6" t="s">
        <v>36</v>
      </c>
      <c r="G185" s="6" t="s">
        <v>37</v>
      </c>
      <c r="I185" s="2" t="str">
        <f ca="1">IF(ISNUMBER(A185),
IF(COUNTIFS(Equipar!B:B,5,Equipar!AC:AC,A185),"Equipada",
IF(
 OR( COUNTIFS(Equipar!B:B,5,Equipar!C:C,A185)
 +COUNTIFS(Equipar!B:B,5,Equipar!D:D,A185)
+COUNTIFS(Equipar!B:B,5,Equipar!E:E,A185)
+COUNTIFS(Equipar!B:B,5,Equipar!F:F,A185)
&gt;0,COUNTIF('Set recomendado'!B:B,C185)=0),
"Bloqueada",
"Desechable")),""
)</f>
        <v>Desechable</v>
      </c>
      <c r="J185" t="str" cm="1">
        <f t="array" ref="J185">IF(ISNUMBER(A185),IFERROR(_xlfn._xlws.FILTER(Equipar!A:A,(Equipar!B:B=5)*(Equipar!AC:AC=A185)),""),"")</f>
        <v/>
      </c>
    </row>
    <row r="186" spans="1:10" x14ac:dyDescent="0.25">
      <c r="A186" s="1">
        <f>IF(A185="ID",1,IF(ISBLANK(B186),"",MAX(A$2:A185)+1))</f>
        <v>325</v>
      </c>
      <c r="B186" s="6" t="s">
        <v>54</v>
      </c>
      <c r="C186" s="6" t="s">
        <v>9</v>
      </c>
      <c r="D186" s="6" t="s">
        <v>38</v>
      </c>
      <c r="E186" s="6" t="s">
        <v>37</v>
      </c>
      <c r="F186" s="6" t="s">
        <v>36</v>
      </c>
      <c r="G186" s="6" t="s">
        <v>42</v>
      </c>
      <c r="I186" s="2" t="str">
        <f ca="1">IF(ISNUMBER(A186),
IF(COUNTIFS(Equipar!B:B,5,Equipar!AC:AC,A186),"Equipada",
IF(
 OR( COUNTIFS(Equipar!B:B,5,Equipar!C:C,A186)
 +COUNTIFS(Equipar!B:B,5,Equipar!D:D,A186)
+COUNTIFS(Equipar!B:B,5,Equipar!E:E,A186)
+COUNTIFS(Equipar!B:B,5,Equipar!F:F,A186)
&gt;0,COUNTIF('Set recomendado'!B:B,C186)=0),
"Bloqueada",
"Desechable")),""
)</f>
        <v>Desechable</v>
      </c>
      <c r="J186" t="str" cm="1">
        <f t="array" ref="J186">IF(ISNUMBER(A186),IFERROR(_xlfn._xlws.FILTER(Equipar!A:A,(Equipar!B:B=5)*(Equipar!AC:AC=A186)),""),"")</f>
        <v/>
      </c>
    </row>
    <row r="187" spans="1:10" x14ac:dyDescent="0.25">
      <c r="A187" s="1">
        <f>IF(A186="ID",1,IF(ISBLANK(B187),"",MAX(A$2:A186)+1))</f>
        <v>326</v>
      </c>
      <c r="B187" s="6" t="s">
        <v>54</v>
      </c>
      <c r="C187" s="6" t="s">
        <v>4</v>
      </c>
      <c r="D187" s="6" t="s">
        <v>38</v>
      </c>
      <c r="E187" s="6" t="s">
        <v>39</v>
      </c>
      <c r="F187" s="6" t="s">
        <v>38</v>
      </c>
      <c r="G187" s="6" t="s">
        <v>41</v>
      </c>
      <c r="I187" s="2" t="str">
        <f ca="1">IF(ISNUMBER(A187),
IF(COUNTIFS(Equipar!B:B,5,Equipar!AC:AC,A187),"Equipada",
IF(
 OR( COUNTIFS(Equipar!B:B,5,Equipar!C:C,A187)
 +COUNTIFS(Equipar!B:B,5,Equipar!D:D,A187)
+COUNTIFS(Equipar!B:B,5,Equipar!E:E,A187)
+COUNTIFS(Equipar!B:B,5,Equipar!F:F,A187)
&gt;0,COUNTIF('Set recomendado'!B:B,C187)=0),
"Bloqueada",
"Desechable")),""
)</f>
        <v>Desechable</v>
      </c>
      <c r="J187" t="str" cm="1">
        <f t="array" aca="1" ref="J187" ca="1">IF(ISNUMBER(A187),IFERROR(_xlfn._xlws.FILTER(Equipar!A:A,(Equipar!B:B=5)*(Equipar!AC:AC=A187)),""),"")</f>
        <v/>
      </c>
    </row>
    <row r="188" spans="1:10" x14ac:dyDescent="0.25">
      <c r="A188" s="1">
        <f ca="1">IF(A187="ID",1,IF(ISBLANK(B188),"",MAX(A$2:A187)+1))</f>
        <v>327</v>
      </c>
      <c r="B188" s="6" t="s">
        <v>54</v>
      </c>
      <c r="C188" s="6" t="s">
        <v>4</v>
      </c>
      <c r="D188" s="6" t="s">
        <v>38</v>
      </c>
      <c r="E188" s="6" t="s">
        <v>36</v>
      </c>
      <c r="F188" s="6" t="s">
        <v>39</v>
      </c>
      <c r="I188" s="2" t="str">
        <f ca="1">IF(ISNUMBER(A188),
IF(COUNTIFS(Equipar!B:B,5,Equipar!AC:AC,A188),"Equipada",
IF(
 OR( COUNTIFS(Equipar!B:B,5,Equipar!C:C,A188)
 +COUNTIFS(Equipar!B:B,5,Equipar!D:D,A188)
+COUNTIFS(Equipar!B:B,5,Equipar!E:E,A188)
+COUNTIFS(Equipar!B:B,5,Equipar!F:F,A188)
&gt;0,COUNTIF('Set recomendado'!B:B,C188)=0),
"Bloqueada",
"Desechable")),""
)</f>
        <v>Desechable</v>
      </c>
      <c r="J188" t="str" cm="1">
        <f t="array" aca="1" ref="J188" ca="1">IF(ISNUMBER(A188),IFERROR(_xlfn._xlws.FILTER(Equipar!A:A,(Equipar!B:B=5)*(Equipar!AC:AC=A188)),""),"")</f>
        <v/>
      </c>
    </row>
    <row r="189" spans="1:10" x14ac:dyDescent="0.25">
      <c r="A189" s="1">
        <f ca="1">IF(A188="ID",1,IF(ISBLANK(B189),"",MAX(A$2:A188)+1))</f>
        <v>328</v>
      </c>
      <c r="B189" s="6" t="s">
        <v>54</v>
      </c>
      <c r="C189" s="6" t="s">
        <v>13</v>
      </c>
      <c r="D189" s="6" t="s">
        <v>38</v>
      </c>
      <c r="E189" s="6" t="s">
        <v>43</v>
      </c>
      <c r="F189" s="6" t="s">
        <v>42</v>
      </c>
      <c r="I189" s="2" t="str">
        <f ca="1">IF(ISNUMBER(A189),
IF(COUNTIFS(Equipar!B:B,5,Equipar!AC:AC,A189),"Equipada",
IF(
 OR( COUNTIFS(Equipar!B:B,5,Equipar!C:C,A189)
 +COUNTIFS(Equipar!B:B,5,Equipar!D:D,A189)
+COUNTIFS(Equipar!B:B,5,Equipar!E:E,A189)
+COUNTIFS(Equipar!B:B,5,Equipar!F:F,A189)
&gt;0,COUNTIF('Set recomendado'!B:B,C189)=0),
"Bloqueada",
"Desechable")),""
)</f>
        <v>Desechable</v>
      </c>
      <c r="J189" t="str" cm="1">
        <f t="array" aca="1" ref="J189" ca="1">IF(ISNUMBER(A189),IFERROR(_xlfn._xlws.FILTER(Equipar!A:A,(Equipar!B:B=5)*(Equipar!AC:AC=A189)),""),"")</f>
        <v/>
      </c>
    </row>
    <row r="190" spans="1:10" x14ac:dyDescent="0.25">
      <c r="A190" s="1">
        <f ca="1">IF(A189="ID",1,IF(ISBLANK(B190),"",MAX(A$2:A189)+1))</f>
        <v>329</v>
      </c>
      <c r="B190" s="6" t="s">
        <v>54</v>
      </c>
      <c r="C190" s="6" t="s">
        <v>13</v>
      </c>
      <c r="D190" s="6" t="s">
        <v>38</v>
      </c>
      <c r="E190" s="6" t="s">
        <v>32</v>
      </c>
      <c r="F190" s="6" t="s">
        <v>35</v>
      </c>
      <c r="G190" s="6" t="s">
        <v>41</v>
      </c>
      <c r="I190" s="2" t="str">
        <f ca="1">IF(ISNUMBER(A190),
IF(COUNTIFS(Equipar!B:B,5,Equipar!AC:AC,A190),"Equipada",
IF(
 OR( COUNTIFS(Equipar!B:B,5,Equipar!C:C,A190)
 +COUNTIFS(Equipar!B:B,5,Equipar!D:D,A190)
+COUNTIFS(Equipar!B:B,5,Equipar!E:E,A190)
+COUNTIFS(Equipar!B:B,5,Equipar!F:F,A190)
&gt;0,COUNTIF('Set recomendado'!B:B,C190)=0),
"Bloqueada",
"Desechable")),""
)</f>
        <v>Desechable</v>
      </c>
      <c r="J190" t="str" cm="1">
        <f t="array" aca="1" ref="J190" ca="1">IF(ISNUMBER(A190),IFERROR(_xlfn._xlws.FILTER(Equipar!A:A,(Equipar!B:B=5)*(Equipar!AC:AC=A190)),""),"")</f>
        <v/>
      </c>
    </row>
    <row r="191" spans="1:10" x14ac:dyDescent="0.25">
      <c r="A191" s="1">
        <f ca="1">IF(A190="ID",1,IF(ISBLANK(B191),"",MAX(A$2:A190)+1))</f>
        <v>330</v>
      </c>
      <c r="B191" s="6" t="s">
        <v>54</v>
      </c>
      <c r="C191" s="6" t="s">
        <v>13</v>
      </c>
      <c r="D191" s="6" t="s">
        <v>38</v>
      </c>
      <c r="E191" s="6" t="s">
        <v>43</v>
      </c>
      <c r="F191" s="6" t="s">
        <v>40</v>
      </c>
      <c r="I191" s="2" t="str">
        <f ca="1">IF(ISNUMBER(A191),
IF(COUNTIFS(Equipar!B:B,5,Equipar!AC:AC,A191),"Equipada",
IF(
 OR( COUNTIFS(Equipar!B:B,5,Equipar!C:C,A191)
 +COUNTIFS(Equipar!B:B,5,Equipar!D:D,A191)
+COUNTIFS(Equipar!B:B,5,Equipar!E:E,A191)
+COUNTIFS(Equipar!B:B,5,Equipar!F:F,A191)
&gt;0,COUNTIF('Set recomendado'!B:B,C191)=0),
"Bloqueada",
"Desechable")),""
)</f>
        <v>Desechable</v>
      </c>
      <c r="J191" t="str" cm="1">
        <f t="array" aca="1" ref="J191" ca="1">IF(ISNUMBER(A191),IFERROR(_xlfn._xlws.FILTER(Equipar!A:A,(Equipar!B:B=5)*(Equipar!AC:AC=A191)),""),"")</f>
        <v/>
      </c>
    </row>
    <row r="192" spans="1:10" x14ac:dyDescent="0.25">
      <c r="A192" s="1">
        <f ca="1">IF(A191="ID",1,IF(ISBLANK(B192),"",MAX(A$2:A191)+1))</f>
        <v>331</v>
      </c>
      <c r="B192" s="6" t="s">
        <v>54</v>
      </c>
      <c r="C192" s="6" t="s">
        <v>13</v>
      </c>
      <c r="D192" s="6" t="s">
        <v>38</v>
      </c>
      <c r="E192" s="6" t="s">
        <v>43</v>
      </c>
      <c r="F192" s="6" t="s">
        <v>43</v>
      </c>
      <c r="I192" s="2" t="str">
        <f ca="1">IF(ISNUMBER(A192),
IF(COUNTIFS(Equipar!B:B,5,Equipar!AC:AC,A192),"Equipada",
IF(
 OR( COUNTIFS(Equipar!B:B,5,Equipar!C:C,A192)
 +COUNTIFS(Equipar!B:B,5,Equipar!D:D,A192)
+COUNTIFS(Equipar!B:B,5,Equipar!E:E,A192)
+COUNTIFS(Equipar!B:B,5,Equipar!F:F,A192)
&gt;0,COUNTIF('Set recomendado'!B:B,C192)=0),
"Bloqueada",
"Desechable")),""
)</f>
        <v>Desechable</v>
      </c>
      <c r="J192" t="str" cm="1">
        <f t="array" aca="1" ref="J192" ca="1">IF(ISNUMBER(A192),IFERROR(_xlfn._xlws.FILTER(Equipar!A:A,(Equipar!B:B=5)*(Equipar!AC:AC=A192)),""),"")</f>
        <v/>
      </c>
    </row>
    <row r="193" spans="1:10" x14ac:dyDescent="0.25">
      <c r="A193" s="1">
        <f ca="1">IF(A192="ID",1,IF(ISBLANK(B193),"",MAX(A$2:A192)+1))</f>
        <v>332</v>
      </c>
      <c r="B193" s="6" t="s">
        <v>54</v>
      </c>
      <c r="C193" s="6" t="s">
        <v>16</v>
      </c>
      <c r="D193" s="6" t="s">
        <v>38</v>
      </c>
      <c r="E193" s="6" t="s">
        <v>40</v>
      </c>
      <c r="F193" s="6" t="s">
        <v>41</v>
      </c>
      <c r="I193" s="2" t="str">
        <f ca="1">IF(ISNUMBER(A193),
IF(COUNTIFS(Equipar!B:B,5,Equipar!AC:AC,A193),"Equipada",
IF(
 OR( COUNTIFS(Equipar!B:B,5,Equipar!C:C,A193)
 +COUNTIFS(Equipar!B:B,5,Equipar!D:D,A193)
+COUNTIFS(Equipar!B:B,5,Equipar!E:E,A193)
+COUNTIFS(Equipar!B:B,5,Equipar!F:F,A193)
&gt;0,COUNTIF('Set recomendado'!B:B,C193)=0),
"Bloqueada",
"Desechable")),""
)</f>
        <v>Desechable</v>
      </c>
      <c r="J193" t="str" cm="1">
        <f t="array" aca="1" ref="J193" ca="1">IF(ISNUMBER(A193),IFERROR(_xlfn._xlws.FILTER(Equipar!A:A,(Equipar!B:B=5)*(Equipar!AC:AC=A193)),""),"")</f>
        <v/>
      </c>
    </row>
    <row r="194" spans="1:10" x14ac:dyDescent="0.25">
      <c r="A194" s="1">
        <f ca="1">IF(A193="ID",1,IF(ISBLANK(B194),"",MAX(A$2:A193)+1))</f>
        <v>333</v>
      </c>
      <c r="B194" s="6" t="s">
        <v>54</v>
      </c>
      <c r="C194" s="6" t="s">
        <v>57</v>
      </c>
      <c r="D194" s="6" t="s">
        <v>38</v>
      </c>
      <c r="E194" s="6" t="s">
        <v>35</v>
      </c>
      <c r="F194" s="6" t="s">
        <v>36</v>
      </c>
      <c r="I194" s="2" t="str">
        <f ca="1">IF(ISNUMBER(A194),
IF(COUNTIFS(Equipar!B:B,5,Equipar!AC:AC,A194),"Equipada",
IF(
 OR( COUNTIFS(Equipar!B:B,5,Equipar!C:C,A194)
 +COUNTIFS(Equipar!B:B,5,Equipar!D:D,A194)
+COUNTIFS(Equipar!B:B,5,Equipar!E:E,A194)
+COUNTIFS(Equipar!B:B,5,Equipar!F:F,A194)
&gt;0,COUNTIF('Set recomendado'!B:B,C194)=0),
"Bloqueada",
"Desechable")),""
)</f>
        <v>Bloqueada</v>
      </c>
      <c r="J194" t="str" cm="1">
        <f t="array" aca="1" ref="J194" ca="1">IF(ISNUMBER(A194),IFERROR(_xlfn._xlws.FILTER(Equipar!A:A,(Equipar!B:B=5)*(Equipar!AC:AC=A194)),""),"")</f>
        <v/>
      </c>
    </row>
    <row r="195" spans="1:10" x14ac:dyDescent="0.25">
      <c r="A195" s="1">
        <f ca="1">IF(A194="ID",1,IF(ISBLANK(B195),"",MAX(A$2:A194)+1))</f>
        <v>334</v>
      </c>
      <c r="B195" s="6" t="s">
        <v>54</v>
      </c>
      <c r="C195" s="6" t="s">
        <v>57</v>
      </c>
      <c r="D195" s="6" t="s">
        <v>38</v>
      </c>
      <c r="E195" s="6" t="s">
        <v>38</v>
      </c>
      <c r="F195" s="6" t="s">
        <v>36</v>
      </c>
      <c r="I195" s="2" t="str">
        <f ca="1">IF(ISNUMBER(A195),
IF(COUNTIFS(Equipar!B:B,5,Equipar!AC:AC,A195),"Equipada",
IF(
 OR( COUNTIFS(Equipar!B:B,5,Equipar!C:C,A195)
 +COUNTIFS(Equipar!B:B,5,Equipar!D:D,A195)
+COUNTIFS(Equipar!B:B,5,Equipar!E:E,A195)
+COUNTIFS(Equipar!B:B,5,Equipar!F:F,A195)
&gt;0,COUNTIF('Set recomendado'!B:B,C195)=0),
"Bloqueada",
"Desechable")),""
)</f>
        <v>Bloqueada</v>
      </c>
      <c r="J195" t="str" cm="1">
        <f t="array" aca="1" ref="J195" ca="1">IF(ISNUMBER(A195),IFERROR(_xlfn._xlws.FILTER(Equipar!A:A,(Equipar!B:B=5)*(Equipar!AC:AC=A195)),""),"")</f>
        <v/>
      </c>
    </row>
    <row r="196" spans="1:10" x14ac:dyDescent="0.25">
      <c r="A196" s="1">
        <f ca="1">IF(A195="ID",1,IF(ISBLANK(B196),"",MAX(A$2:A195)+1))</f>
        <v>335</v>
      </c>
      <c r="B196" s="6" t="s">
        <v>54</v>
      </c>
      <c r="C196" s="6" t="s">
        <v>55</v>
      </c>
      <c r="D196" s="6" t="s">
        <v>38</v>
      </c>
      <c r="E196" s="6" t="s">
        <v>43</v>
      </c>
      <c r="F196" s="6" t="s">
        <v>36</v>
      </c>
      <c r="G196" s="6" t="s">
        <v>43</v>
      </c>
      <c r="I196" s="2" t="str">
        <f ca="1">IF(ISNUMBER(A196),
IF(COUNTIFS(Equipar!B:B,5,Equipar!AC:AC,A196),"Equipada",
IF(
 OR( COUNTIFS(Equipar!B:B,5,Equipar!C:C,A196)
 +COUNTIFS(Equipar!B:B,5,Equipar!D:D,A196)
+COUNTIFS(Equipar!B:B,5,Equipar!E:E,A196)
+COUNTIFS(Equipar!B:B,5,Equipar!F:F,A196)
&gt;0,COUNTIF('Set recomendado'!B:B,C196)=0),
"Bloqueada",
"Desechable")),""
)</f>
        <v>Desechable</v>
      </c>
      <c r="J196" t="str" cm="1">
        <f t="array" aca="1" ref="J196" ca="1">IF(ISNUMBER(A196),IFERROR(_xlfn._xlws.FILTER(Equipar!A:A,(Equipar!B:B=5)*(Equipar!AC:AC=A196)),""),"")</f>
        <v/>
      </c>
    </row>
    <row r="197" spans="1:10" x14ac:dyDescent="0.25">
      <c r="A197" s="1">
        <f ca="1">IF(A196="ID",1,IF(ISBLANK(B197),"",MAX(A$2:A196)+1))</f>
        <v>336</v>
      </c>
      <c r="B197" s="6" t="s">
        <v>54</v>
      </c>
      <c r="C197" s="6" t="s">
        <v>21</v>
      </c>
      <c r="D197" s="6" t="s">
        <v>38</v>
      </c>
      <c r="E197" s="6" t="s">
        <v>43</v>
      </c>
      <c r="F197" s="6" t="s">
        <v>42</v>
      </c>
      <c r="I197" s="2" t="str">
        <f ca="1">IF(ISNUMBER(A197),
IF(COUNTIFS(Equipar!B:B,5,Equipar!AC:AC,A197),"Equipada",
IF(
 OR( COUNTIFS(Equipar!B:B,5,Equipar!C:C,A197)
 +COUNTIFS(Equipar!B:B,5,Equipar!D:D,A197)
+COUNTIFS(Equipar!B:B,5,Equipar!E:E,A197)
+COUNTIFS(Equipar!B:B,5,Equipar!F:F,A197)
&gt;0,COUNTIF('Set recomendado'!B:B,C197)=0),
"Bloqueada",
"Desechable")),""
)</f>
        <v>Desechable</v>
      </c>
      <c r="J197" t="str" cm="1">
        <f t="array" aca="1" ref="J197" ca="1">IF(ISNUMBER(A197),IFERROR(_xlfn._xlws.FILTER(Equipar!A:A,(Equipar!B:B=5)*(Equipar!AC:AC=A197)),""),"")</f>
        <v/>
      </c>
    </row>
    <row r="198" spans="1:10" x14ac:dyDescent="0.25">
      <c r="A198" s="1">
        <f ca="1">IF(A197="ID",1,IF(ISBLANK(B198),"",MAX(A$2:A197)+1))</f>
        <v>337</v>
      </c>
      <c r="B198" s="6" t="s">
        <v>54</v>
      </c>
      <c r="C198" s="6" t="s">
        <v>29</v>
      </c>
      <c r="D198" s="6" t="s">
        <v>38</v>
      </c>
      <c r="E198" s="6" t="s">
        <v>37</v>
      </c>
      <c r="F198" s="6" t="s">
        <v>36</v>
      </c>
      <c r="I198" s="2" t="str">
        <f ca="1">IF(ISNUMBER(A198),
IF(COUNTIFS(Equipar!B:B,5,Equipar!AC:AC,A198),"Equipada",
IF(
 OR( COUNTIFS(Equipar!B:B,5,Equipar!C:C,A198)
 +COUNTIFS(Equipar!B:B,5,Equipar!D:D,A198)
+COUNTIFS(Equipar!B:B,5,Equipar!E:E,A198)
+COUNTIFS(Equipar!B:B,5,Equipar!F:F,A198)
&gt;0,COUNTIF('Set recomendado'!B:B,C198)=0),
"Bloqueada",
"Desechable")),""
)</f>
        <v>Desechable</v>
      </c>
      <c r="J198" t="str" cm="1">
        <f t="array" aca="1" ref="J198" ca="1">IF(ISNUMBER(A198),IFERROR(_xlfn._xlws.FILTER(Equipar!A:A,(Equipar!B:B=5)*(Equipar!AC:AC=A198)),""),"")</f>
        <v/>
      </c>
    </row>
    <row r="199" spans="1:10" x14ac:dyDescent="0.25">
      <c r="A199" s="1" t="str">
        <f ca="1">IF(A198="ID",1,IF(ISBLANK(B199),"",MAX(A$2:A198)+1))</f>
        <v/>
      </c>
      <c r="I199" s="2" t="str">
        <f ca="1">IF(ISNUMBER(A199),
IF(COUNTIFS(Equipar!B:B,5,Equipar!AC:AC,A199),"Equipada",
IF(
 OR( COUNTIFS(Equipar!B:B,5,Equipar!C:C,A199)
 +COUNTIFS(Equipar!B:B,5,Equipar!D:D,A199)
+COUNTIFS(Equipar!B:B,5,Equipar!E:E,A199)
+COUNTIFS(Equipar!B:B,5,Equipar!F:F,A199)
&gt;0,COUNTIF('Set recomendado'!B:B,C199)=0),
"Bloqueada",
"Desechable")),""
)</f>
        <v/>
      </c>
      <c r="J199" t="str" cm="1">
        <f t="array" aca="1" ref="J199" ca="1">IF(ISNUMBER(A199),IFERROR(_xlfn._xlws.FILTER(Equipar!A:A,(Equipar!B:B=5)*(Equipar!AC:AC=A199)),""),"")</f>
        <v/>
      </c>
    </row>
    <row r="200" spans="1:10" x14ac:dyDescent="0.25">
      <c r="A200" s="1" t="str">
        <f ca="1">IF(A199="ID",1,IF(ISBLANK(B200),"",MAX(A$2:A199)+1))</f>
        <v/>
      </c>
      <c r="I200" s="2" t="str">
        <f ca="1">IF(ISNUMBER(A200),
IF(COUNTIFS(Equipar!B:B,5,Equipar!AC:AC,A200),"Equipada",
IF(
 OR( COUNTIFS(Equipar!B:B,5,Equipar!C:C,A200)
 +COUNTIFS(Equipar!B:B,5,Equipar!D:D,A200)
+COUNTIFS(Equipar!B:B,5,Equipar!E:E,A200)
+COUNTIFS(Equipar!B:B,5,Equipar!F:F,A200)
&gt;0,COUNTIF('Set recomendado'!B:B,C200)=0),
"Bloqueada",
"Desechable")),""
)</f>
        <v/>
      </c>
      <c r="J200" t="str" cm="1">
        <f t="array" aca="1" ref="J200" ca="1">IF(ISNUMBER(A200),IFERROR(_xlfn._xlws.FILTER(Equipar!A:A,(Equipar!B:B=5)*(Equipar!AC:AC=A200)),""),"")</f>
        <v/>
      </c>
    </row>
    <row r="201" spans="1:10" x14ac:dyDescent="0.25">
      <c r="A201" s="1" t="str">
        <f ca="1">IF(A200="ID",1,IF(ISBLANK(B201),"",MAX(A$2:A200)+1))</f>
        <v/>
      </c>
      <c r="I201" s="2" t="str">
        <f ca="1">IF(ISNUMBER(A201),
IF(COUNTIFS(Equipar!B:B,5,Equipar!AC:AC,A201),"Equipada",
IF(
 OR( COUNTIFS(Equipar!B:B,5,Equipar!C:C,A201)
 +COUNTIFS(Equipar!B:B,5,Equipar!D:D,A201)
+COUNTIFS(Equipar!B:B,5,Equipar!E:E,A201)
+COUNTIFS(Equipar!B:B,5,Equipar!F:F,A201)
&gt;0,COUNTIF('Set recomendado'!B:B,C201)=0),
"Bloqueada",
"Desechable")),""
)</f>
        <v/>
      </c>
      <c r="J201" t="str" cm="1">
        <f t="array" aca="1" ref="J201" ca="1">IF(ISNUMBER(A201),IFERROR(_xlfn._xlws.FILTER(Equipar!A:A,(Equipar!B:B=5)*(Equipar!AC:AC=A201)),""),"")</f>
        <v/>
      </c>
    </row>
    <row r="202" spans="1:10" x14ac:dyDescent="0.25">
      <c r="A202" s="1" t="str">
        <f ca="1">IF(A201="ID",1,IF(ISBLANK(B202),"",MAX(A$2:A201)+1))</f>
        <v/>
      </c>
      <c r="I202" s="2" t="str">
        <f ca="1">IF(ISNUMBER(A202),
IF(COUNTIFS(Equipar!B:B,5,Equipar!AC:AC,A202),"Equipada",
IF(
 OR( COUNTIFS(Equipar!B:B,5,Equipar!C:C,A202)
 +COUNTIFS(Equipar!B:B,5,Equipar!D:D,A202)
+COUNTIFS(Equipar!B:B,5,Equipar!E:E,A202)
+COUNTIFS(Equipar!B:B,5,Equipar!F:F,A202)
&gt;0,COUNTIF('Set recomendado'!B:B,C202)=0),
"Bloqueada",
"Desechable")),""
)</f>
        <v/>
      </c>
      <c r="J202" t="str" cm="1">
        <f t="array" aca="1" ref="J202" ca="1">IF(ISNUMBER(A202),IFERROR(_xlfn._xlws.FILTER(Equipar!A:A,(Equipar!B:B=5)*(Equipar!AC:AC=A202)),""),"")</f>
        <v/>
      </c>
    </row>
    <row r="203" spans="1:10" x14ac:dyDescent="0.25">
      <c r="A203" s="1" t="str">
        <f ca="1">IF(A202="ID",1,IF(ISBLANK(B203),"",MAX(A$2:A202)+1))</f>
        <v/>
      </c>
      <c r="I203" s="2" t="str">
        <f ca="1">IF(ISNUMBER(A203),
IF(COUNTIFS(Equipar!B:B,5,Equipar!AC:AC,A203),"Equipada",
IF(
 OR( COUNTIFS(Equipar!B:B,5,Equipar!C:C,A203)
 +COUNTIFS(Equipar!B:B,5,Equipar!D:D,A203)
+COUNTIFS(Equipar!B:B,5,Equipar!E:E,A203)
+COUNTIFS(Equipar!B:B,5,Equipar!F:F,A203)
&gt;0,COUNTIF('Set recomendado'!B:B,C203)=0),
"Bloqueada",
"Desechable")),""
)</f>
        <v/>
      </c>
      <c r="J203" t="str" cm="1">
        <f t="array" aca="1" ref="J203" ca="1">IF(ISNUMBER(A203),IFERROR(_xlfn._xlws.FILTER(Equipar!A:A,(Equipar!B:B=5)*(Equipar!AC:AC=A203)),""),"")</f>
        <v/>
      </c>
    </row>
    <row r="204" spans="1:10" x14ac:dyDescent="0.25">
      <c r="A204" s="1" t="str">
        <f ca="1">IF(A203="ID",1,IF(ISBLANK(B204),"",MAX(A$2:A203)+1))</f>
        <v/>
      </c>
      <c r="I204" s="2" t="str">
        <f ca="1">IF(ISNUMBER(A204),
IF(COUNTIFS(Equipar!B:B,5,Equipar!AC:AC,A204),"Equipada",
IF(
 OR( COUNTIFS(Equipar!B:B,5,Equipar!C:C,A204)
 +COUNTIFS(Equipar!B:B,5,Equipar!D:D,A204)
+COUNTIFS(Equipar!B:B,5,Equipar!E:E,A204)
+COUNTIFS(Equipar!B:B,5,Equipar!F:F,A204)
&gt;0,COUNTIF('Set recomendado'!B:B,C204)=0),
"Bloqueada",
"Desechable")),""
)</f>
        <v/>
      </c>
      <c r="J204" t="str" cm="1">
        <f t="array" aca="1" ref="J204" ca="1">IF(ISNUMBER(A204),IFERROR(_xlfn._xlws.FILTER(Equipar!A:A,(Equipar!B:B=5)*(Equipar!AC:AC=A204)),""),"")</f>
        <v/>
      </c>
    </row>
    <row r="205" spans="1:10" x14ac:dyDescent="0.25">
      <c r="A205" s="1" t="str">
        <f ca="1">IF(A204="ID",1,IF(ISBLANK(B205),"",MAX(A$2:A204)+1))</f>
        <v/>
      </c>
      <c r="I205" s="2" t="str">
        <f ca="1">IF(ISNUMBER(A205),
IF(COUNTIFS(Equipar!B:B,5,Equipar!AC:AC,A205),"Equipada",
IF(
 OR( COUNTIFS(Equipar!B:B,5,Equipar!C:C,A205)
 +COUNTIFS(Equipar!B:B,5,Equipar!D:D,A205)
+COUNTIFS(Equipar!B:B,5,Equipar!E:E,A205)
+COUNTIFS(Equipar!B:B,5,Equipar!F:F,A205)
&gt;0,COUNTIF('Set recomendado'!B:B,C205)=0),
"Bloqueada",
"Desechable")),""
)</f>
        <v/>
      </c>
      <c r="J205" t="str" cm="1">
        <f t="array" aca="1" ref="J205" ca="1">IF(ISNUMBER(A205),IFERROR(_xlfn._xlws.FILTER(Equipar!A:A,(Equipar!B:B=5)*(Equipar!AC:AC=A205)),""),"")</f>
        <v/>
      </c>
    </row>
    <row r="206" spans="1:10" x14ac:dyDescent="0.25">
      <c r="A206" s="1" t="str">
        <f ca="1">IF(A205="ID",1,IF(ISBLANK(B206),"",MAX(A$2:A205)+1))</f>
        <v/>
      </c>
      <c r="I206" s="2" t="str">
        <f ca="1">IF(ISNUMBER(A206),
IF(COUNTIFS(Equipar!B:B,5,Equipar!AC:AC,A206),"Equipada",
IF(
 OR( COUNTIFS(Equipar!B:B,5,Equipar!C:C,A206)
 +COUNTIFS(Equipar!B:B,5,Equipar!D:D,A206)
+COUNTIFS(Equipar!B:B,5,Equipar!E:E,A206)
+COUNTIFS(Equipar!B:B,5,Equipar!F:F,A206)
&gt;0,COUNTIF('Set recomendado'!B:B,C206)=0),
"Bloqueada",
"Desechable")),""
)</f>
        <v/>
      </c>
      <c r="J206" t="str" cm="1">
        <f t="array" aca="1" ref="J206" ca="1">IF(ISNUMBER(A206),IFERROR(_xlfn._xlws.FILTER(Equipar!A:A,(Equipar!B:B=5)*(Equipar!AC:AC=A206)),""),"")</f>
        <v/>
      </c>
    </row>
    <row r="207" spans="1:10" x14ac:dyDescent="0.25">
      <c r="A207" s="1" t="str">
        <f ca="1">IF(A206="ID",1,IF(ISBLANK(B207),"",MAX(A$2:A206)+1))</f>
        <v/>
      </c>
      <c r="I207" s="2" t="str">
        <f ca="1">IF(ISNUMBER(A207),
IF(COUNTIFS(Equipar!B:B,5,Equipar!AC:AC,A207),"Equipada",
IF(
 OR( COUNTIFS(Equipar!B:B,5,Equipar!C:C,A207)
 +COUNTIFS(Equipar!B:B,5,Equipar!D:D,A207)
+COUNTIFS(Equipar!B:B,5,Equipar!E:E,A207)
+COUNTIFS(Equipar!B:B,5,Equipar!F:F,A207)
&gt;0,COUNTIF('Set recomendado'!B:B,C207)=0),
"Bloqueada",
"Desechable")),""
)</f>
        <v/>
      </c>
      <c r="J207" t="str" cm="1">
        <f t="array" aca="1" ref="J207" ca="1">IF(ISNUMBER(A207),IFERROR(_xlfn._xlws.FILTER(Equipar!A:A,(Equipar!B:B=5)*(Equipar!AC:AC=A207)),""),"")</f>
        <v/>
      </c>
    </row>
    <row r="208" spans="1:10" x14ac:dyDescent="0.25">
      <c r="A208" s="1" t="str">
        <f ca="1">IF(A207="ID",1,IF(ISBLANK(B208),"",MAX(A$2:A207)+1))</f>
        <v/>
      </c>
      <c r="I208" s="2" t="str">
        <f ca="1">IF(ISNUMBER(A208),
IF(COUNTIFS(Equipar!B:B,5,Equipar!AC:AC,A208),"Equipada",
IF(
 OR( COUNTIFS(Equipar!B:B,5,Equipar!C:C,A208)
 +COUNTIFS(Equipar!B:B,5,Equipar!D:D,A208)
+COUNTIFS(Equipar!B:B,5,Equipar!E:E,A208)
+COUNTIFS(Equipar!B:B,5,Equipar!F:F,A208)
&gt;0,COUNTIF('Set recomendado'!B:B,C208)=0),
"Bloqueada",
"Desechable")),""
)</f>
        <v/>
      </c>
      <c r="J208" t="str" cm="1">
        <f t="array" aca="1" ref="J208" ca="1">IF(ISNUMBER(A208),IFERROR(_xlfn._xlws.FILTER(Equipar!A:A,(Equipar!B:B=5)*(Equipar!AC:AC=A208)),""),"")</f>
        <v/>
      </c>
    </row>
    <row r="209" spans="1:10" x14ac:dyDescent="0.25">
      <c r="A209" s="1" t="str">
        <f ca="1">IF(A208="ID",1,IF(ISBLANK(B209),"",MAX(A$2:A208)+1))</f>
        <v/>
      </c>
      <c r="I209" s="2" t="str">
        <f ca="1">IF(ISNUMBER(A209),
IF(COUNTIFS(Equipar!B:B,5,Equipar!AC:AC,A209),"Equipada",
IF(
 OR( COUNTIFS(Equipar!B:B,5,Equipar!C:C,A209)
 +COUNTIFS(Equipar!B:B,5,Equipar!D:D,A209)
+COUNTIFS(Equipar!B:B,5,Equipar!E:E,A209)
+COUNTIFS(Equipar!B:B,5,Equipar!F:F,A209)
&gt;0,COUNTIF('Set recomendado'!B:B,C209)=0),
"Bloqueada",
"Desechable")),""
)</f>
        <v/>
      </c>
      <c r="J209" t="str" cm="1">
        <f t="array" aca="1" ref="J209" ca="1">IF(ISNUMBER(A209),IFERROR(_xlfn._xlws.FILTER(Equipar!A:A,(Equipar!B:B=5)*(Equipar!AC:AC=A209)),""),"")</f>
        <v/>
      </c>
    </row>
    <row r="210" spans="1:10" x14ac:dyDescent="0.25">
      <c r="A210" s="1" t="str">
        <f ca="1">IF(A209="ID",1,IF(ISBLANK(B210),"",MAX(A$2:A209)+1))</f>
        <v/>
      </c>
      <c r="I210" s="2" t="str">
        <f ca="1">IF(ISNUMBER(A210),
IF(COUNTIFS(Equipar!B:B,5,Equipar!AC:AC,A210),"Equipada",
IF(
 OR( COUNTIFS(Equipar!B:B,5,Equipar!C:C,A210)
 +COUNTIFS(Equipar!B:B,5,Equipar!D:D,A210)
+COUNTIFS(Equipar!B:B,5,Equipar!E:E,A210)
+COUNTIFS(Equipar!B:B,5,Equipar!F:F,A210)
&gt;0,COUNTIF('Set recomendado'!B:B,C210)=0),
"Bloqueada",
"Desechable")),""
)</f>
        <v/>
      </c>
      <c r="J210" t="str" cm="1">
        <f t="array" aca="1" ref="J210" ca="1">IF(ISNUMBER(A210),IFERROR(_xlfn._xlws.FILTER(Equipar!A:A,(Equipar!B:B=5)*(Equipar!AC:AC=A210)),""),"")</f>
        <v/>
      </c>
    </row>
    <row r="211" spans="1:10" x14ac:dyDescent="0.25">
      <c r="A211" s="1" t="str">
        <f ca="1">IF(A210="ID",1,IF(ISBLANK(B211),"",MAX(A$2:A210)+1))</f>
        <v/>
      </c>
      <c r="I211" s="2" t="str">
        <f ca="1">IF(ISNUMBER(A211),
IF(COUNTIFS(Equipar!B:B,5,Equipar!AC:AC,A211),"Equipada",
IF(
 OR( COUNTIFS(Equipar!B:B,5,Equipar!C:C,A211)
 +COUNTIFS(Equipar!B:B,5,Equipar!D:D,A211)
+COUNTIFS(Equipar!B:B,5,Equipar!E:E,A211)
+COUNTIFS(Equipar!B:B,5,Equipar!F:F,A211)
&gt;0,COUNTIF('Set recomendado'!B:B,C211)=0),
"Bloqueada",
"Desechable")),""
)</f>
        <v/>
      </c>
      <c r="J211" t="str" cm="1">
        <f t="array" aca="1" ref="J211" ca="1">IF(ISNUMBER(A211),IFERROR(_xlfn._xlws.FILTER(Equipar!A:A,(Equipar!B:B=5)*(Equipar!AC:AC=A211)),""),"")</f>
        <v/>
      </c>
    </row>
    <row r="212" spans="1:10" x14ac:dyDescent="0.25">
      <c r="A212" s="1" t="str">
        <f ca="1">IF(A211="ID",1,IF(ISBLANK(B212),"",MAX(A$2:A211)+1))</f>
        <v/>
      </c>
      <c r="I212" s="2" t="str">
        <f ca="1">IF(ISNUMBER(A212),
IF(COUNTIFS(Equipar!B:B,5,Equipar!AC:AC,A212),"Equipada",
IF(
 OR( COUNTIFS(Equipar!B:B,5,Equipar!C:C,A212)
 +COUNTIFS(Equipar!B:B,5,Equipar!D:D,A212)
+COUNTIFS(Equipar!B:B,5,Equipar!E:E,A212)
+COUNTIFS(Equipar!B:B,5,Equipar!F:F,A212)
&gt;0,COUNTIF('Set recomendado'!B:B,C212)=0),
"Bloqueada",
"Desechable")),""
)</f>
        <v/>
      </c>
      <c r="J212" t="str" cm="1">
        <f t="array" aca="1" ref="J212" ca="1">IF(ISNUMBER(A212),IFERROR(_xlfn._xlws.FILTER(Equipar!A:A,(Equipar!B:B=5)*(Equipar!AC:AC=A212)),""),"")</f>
        <v/>
      </c>
    </row>
    <row r="213" spans="1:10" x14ac:dyDescent="0.25">
      <c r="A213" s="1" t="str">
        <f ca="1">IF(A212="ID",1,IF(ISBLANK(B213),"",MAX(A$2:A212)+1))</f>
        <v/>
      </c>
      <c r="I213" s="2" t="str">
        <f ca="1">IF(ISNUMBER(A213),
IF(COUNTIFS(Equipar!B:B,5,Equipar!AC:AC,A213),"Equipada",
IF(
 OR( COUNTIFS(Equipar!B:B,5,Equipar!C:C,A213)
 +COUNTIFS(Equipar!B:B,5,Equipar!D:D,A213)
+COUNTIFS(Equipar!B:B,5,Equipar!E:E,A213)
+COUNTIFS(Equipar!B:B,5,Equipar!F:F,A213)
&gt;0,COUNTIF('Set recomendado'!B:B,C213)=0),
"Bloqueada",
"Desechable")),""
)</f>
        <v/>
      </c>
      <c r="J213" t="str" cm="1">
        <f t="array" aca="1" ref="J213" ca="1">IF(ISNUMBER(A213),IFERROR(_xlfn._xlws.FILTER(Equipar!A:A,(Equipar!B:B=5)*(Equipar!AC:AC=A213)),""),"")</f>
        <v/>
      </c>
    </row>
    <row r="214" spans="1:10" x14ac:dyDescent="0.25">
      <c r="A214" s="1" t="str">
        <f ca="1">IF(A213="ID",1,IF(ISBLANK(B214),"",MAX(A$2:A213)+1))</f>
        <v/>
      </c>
      <c r="I214" s="2" t="str">
        <f ca="1">IF(ISNUMBER(A214),
IF(COUNTIFS(Equipar!B:B,5,Equipar!AC:AC,A214),"Equipada",
IF(
 OR( COUNTIFS(Equipar!B:B,5,Equipar!C:C,A214)
 +COUNTIFS(Equipar!B:B,5,Equipar!D:D,A214)
+COUNTIFS(Equipar!B:B,5,Equipar!E:E,A214)
+COUNTIFS(Equipar!B:B,5,Equipar!F:F,A214)
&gt;0,COUNTIF('Set recomendado'!B:B,C214)=0),
"Bloqueada",
"Desechable")),""
)</f>
        <v/>
      </c>
      <c r="J214" t="str" cm="1">
        <f t="array" aca="1" ref="J214" ca="1">IF(ISNUMBER(A214),IFERROR(_xlfn._xlws.FILTER(Equipar!A:A,(Equipar!B:B=5)*(Equipar!AC:AC=A214)),""),"")</f>
        <v/>
      </c>
    </row>
    <row r="215" spans="1:10" x14ac:dyDescent="0.25">
      <c r="A215" s="1" t="str">
        <f ca="1">IF(A214="ID",1,IF(ISBLANK(B215),"",MAX(A$2:A214)+1))</f>
        <v/>
      </c>
      <c r="I215" s="2" t="str">
        <f ca="1">IF(ISNUMBER(A215),
IF(COUNTIFS(Equipar!B:B,5,Equipar!AC:AC,A215),"Equipada",
IF(
 OR( COUNTIFS(Equipar!B:B,5,Equipar!C:C,A215)
 +COUNTIFS(Equipar!B:B,5,Equipar!D:D,A215)
+COUNTIFS(Equipar!B:B,5,Equipar!E:E,A215)
+COUNTIFS(Equipar!B:B,5,Equipar!F:F,A215)
&gt;0,COUNTIF('Set recomendado'!B:B,C215)=0),
"Bloqueada",
"Desechable")),""
)</f>
        <v/>
      </c>
      <c r="J215" t="str" cm="1">
        <f t="array" aca="1" ref="J215" ca="1">IF(ISNUMBER(A215),IFERROR(_xlfn._xlws.FILTER(Equipar!A:A,(Equipar!B:B=5)*(Equipar!AC:AC=A215)),""),"")</f>
        <v/>
      </c>
    </row>
    <row r="216" spans="1:10" x14ac:dyDescent="0.25">
      <c r="A216" s="1" t="str">
        <f ca="1">IF(A215="ID",1,IF(ISBLANK(B216),"",MAX(A$2:A215)+1))</f>
        <v/>
      </c>
      <c r="I216" s="2" t="str">
        <f ca="1">IF(ISNUMBER(A216),
IF(COUNTIFS(Equipar!B:B,5,Equipar!AC:AC,A216),"Equipada",
IF(
 OR( COUNTIFS(Equipar!B:B,5,Equipar!C:C,A216)
 +COUNTIFS(Equipar!B:B,5,Equipar!D:D,A216)
+COUNTIFS(Equipar!B:B,5,Equipar!E:E,A216)
+COUNTIFS(Equipar!B:B,5,Equipar!F:F,A216)
&gt;0,COUNTIF('Set recomendado'!B:B,C216)=0),
"Bloqueada",
"Desechable")),""
)</f>
        <v/>
      </c>
      <c r="J216" t="str" cm="1">
        <f t="array" aca="1" ref="J216" ca="1">IF(ISNUMBER(A216),IFERROR(_xlfn._xlws.FILTER(Equipar!A:A,(Equipar!B:B=5)*(Equipar!AC:AC=A216)),""),"")</f>
        <v/>
      </c>
    </row>
    <row r="217" spans="1:10" x14ac:dyDescent="0.25">
      <c r="A217" s="1" t="str">
        <f ca="1">IF(A216="ID",1,IF(ISBLANK(B217),"",MAX(A$2:A216)+1))</f>
        <v/>
      </c>
      <c r="I217" s="2" t="str">
        <f ca="1">IF(ISNUMBER(A217),
IF(COUNTIFS(Equipar!B:B,5,Equipar!AC:AC,A217),"Equipada",
IF(
 OR( COUNTIFS(Equipar!B:B,5,Equipar!C:C,A217)
 +COUNTIFS(Equipar!B:B,5,Equipar!D:D,A217)
+COUNTIFS(Equipar!B:B,5,Equipar!E:E,A217)
+COUNTIFS(Equipar!B:B,5,Equipar!F:F,A217)
&gt;0,COUNTIF('Set recomendado'!B:B,C217)=0),
"Bloqueada",
"Desechable")),""
)</f>
        <v/>
      </c>
      <c r="J217" t="str" cm="1">
        <f t="array" aca="1" ref="J217" ca="1">IF(ISNUMBER(A217),IFERROR(_xlfn._xlws.FILTER(Equipar!A:A,(Equipar!B:B=5)*(Equipar!AC:AC=A217)),""),"")</f>
        <v/>
      </c>
    </row>
    <row r="218" spans="1:10" x14ac:dyDescent="0.25">
      <c r="A218" s="1" t="str">
        <f ca="1">IF(A217="ID",1,IF(ISBLANK(B218),"",MAX(A$2:A217)+1))</f>
        <v/>
      </c>
      <c r="I218" s="2" t="str">
        <f ca="1">IF(ISNUMBER(A218),
IF(COUNTIFS(Equipar!B:B,5,Equipar!AC:AC,A218),"Equipada",
IF(
 OR( COUNTIFS(Equipar!B:B,5,Equipar!C:C,A218)
 +COUNTIFS(Equipar!B:B,5,Equipar!D:D,A218)
+COUNTIFS(Equipar!B:B,5,Equipar!E:E,A218)
+COUNTIFS(Equipar!B:B,5,Equipar!F:F,A218)
&gt;0,COUNTIF('Set recomendado'!B:B,C218)=0),
"Bloqueada",
"Desechable")),""
)</f>
        <v/>
      </c>
      <c r="J218" t="str" cm="1">
        <f t="array" aca="1" ref="J218" ca="1">IF(ISNUMBER(A218),IFERROR(_xlfn._xlws.FILTER(Equipar!A:A,(Equipar!B:B=5)*(Equipar!AC:AC=A218)),""),"")</f>
        <v/>
      </c>
    </row>
    <row r="219" spans="1:10" x14ac:dyDescent="0.25">
      <c r="A219" s="1" t="str">
        <f ca="1">IF(A218="ID",1,IF(ISBLANK(B219),"",MAX(A$2:A218)+1))</f>
        <v/>
      </c>
      <c r="I219" s="2" t="str">
        <f ca="1">IF(ISNUMBER(A219),
IF(COUNTIFS(Equipar!B:B,5,Equipar!AC:AC,A219),"Equipada",
IF(
 OR( COUNTIFS(Equipar!B:B,5,Equipar!C:C,A219)
 +COUNTIFS(Equipar!B:B,5,Equipar!D:D,A219)
+COUNTIFS(Equipar!B:B,5,Equipar!E:E,A219)
+COUNTIFS(Equipar!B:B,5,Equipar!F:F,A219)
&gt;0,COUNTIF('Set recomendado'!B:B,C219)=0),
"Bloqueada",
"Desechable")),""
)</f>
        <v/>
      </c>
      <c r="J219" t="str" cm="1">
        <f t="array" aca="1" ref="J219" ca="1">IF(ISNUMBER(A219),IFERROR(_xlfn._xlws.FILTER(Equipar!A:A,(Equipar!B:B=5)*(Equipar!AC:AC=A219)),""),"")</f>
        <v/>
      </c>
    </row>
    <row r="220" spans="1:10" x14ac:dyDescent="0.25">
      <c r="A220" s="1" t="str">
        <f ca="1">IF(A219="ID",1,IF(ISBLANK(B220),"",MAX(A$2:A219)+1))</f>
        <v/>
      </c>
      <c r="I220" s="2" t="str">
        <f ca="1">IF(ISNUMBER(A220),
IF(COUNTIFS(Equipar!B:B,5,Equipar!AC:AC,A220),"Equipada",
IF(
 OR( COUNTIFS(Equipar!B:B,5,Equipar!C:C,A220)
 +COUNTIFS(Equipar!B:B,5,Equipar!D:D,A220)
+COUNTIFS(Equipar!B:B,5,Equipar!E:E,A220)
+COUNTIFS(Equipar!B:B,5,Equipar!F:F,A220)
&gt;0,COUNTIF('Set recomendado'!B:B,C220)=0),
"Bloqueada",
"Desechable")),""
)</f>
        <v/>
      </c>
      <c r="J220" t="str" cm="1">
        <f t="array" aca="1" ref="J220" ca="1">IF(ISNUMBER(A220),IFERROR(_xlfn._xlws.FILTER(Equipar!A:A,(Equipar!B:B=5)*(Equipar!AC:AC=A220)),""),"")</f>
        <v/>
      </c>
    </row>
    <row r="221" spans="1:10" x14ac:dyDescent="0.25">
      <c r="A221" s="1" t="str">
        <f ca="1">IF(A220="ID",1,IF(ISBLANK(B221),"",MAX(A$2:A220)+1))</f>
        <v/>
      </c>
      <c r="I221" s="2" t="str">
        <f ca="1">IF(ISNUMBER(A221),
IF(COUNTIFS(Equipar!B:B,5,Equipar!AC:AC,A221),"Equipada",
IF(
 OR( COUNTIFS(Equipar!B:B,5,Equipar!C:C,A221)
 +COUNTIFS(Equipar!B:B,5,Equipar!D:D,A221)
+COUNTIFS(Equipar!B:B,5,Equipar!E:E,A221)
+COUNTIFS(Equipar!B:B,5,Equipar!F:F,A221)
&gt;0,COUNTIF('Set recomendado'!B:B,C221)=0),
"Bloqueada",
"Desechable")),""
)</f>
        <v/>
      </c>
      <c r="J221" t="str" cm="1">
        <f t="array" aca="1" ref="J221" ca="1">IF(ISNUMBER(A221),IFERROR(_xlfn._xlws.FILTER(Equipar!A:A,(Equipar!B:B=5)*(Equipar!AC:AC=A221)),""),"")</f>
        <v/>
      </c>
    </row>
    <row r="222" spans="1:10" x14ac:dyDescent="0.25">
      <c r="A222" s="1" t="str">
        <f ca="1">IF(A221="ID",1,IF(ISBLANK(B222),"",MAX(A$2:A221)+1))</f>
        <v/>
      </c>
      <c r="I222" s="2" t="str">
        <f ca="1">IF(ISNUMBER(A222),
IF(COUNTIFS(Equipar!B:B,5,Equipar!AC:AC,A222),"Equipada",
IF(
 OR( COUNTIFS(Equipar!B:B,5,Equipar!C:C,A222)
 +COUNTIFS(Equipar!B:B,5,Equipar!D:D,A222)
+COUNTIFS(Equipar!B:B,5,Equipar!E:E,A222)
+COUNTIFS(Equipar!B:B,5,Equipar!F:F,A222)
&gt;0,COUNTIF('Set recomendado'!B:B,C222)=0),
"Bloqueada",
"Desechable")),""
)</f>
        <v/>
      </c>
      <c r="J222" t="str" cm="1">
        <f t="array" aca="1" ref="J222" ca="1">IF(ISNUMBER(A222),IFERROR(_xlfn._xlws.FILTER(Equipar!A:A,(Equipar!B:B=5)*(Equipar!AC:AC=A222)),""),"")</f>
        <v/>
      </c>
    </row>
    <row r="223" spans="1:10" x14ac:dyDescent="0.25">
      <c r="A223" s="1" t="str">
        <f ca="1">IF(A222="ID",1,IF(ISBLANK(B223),"",MAX(A$2:A222)+1))</f>
        <v/>
      </c>
      <c r="I223" s="2" t="str">
        <f ca="1">IF(ISNUMBER(A223),
IF(COUNTIFS(Equipar!B:B,5,Equipar!AC:AC,A223),"Equipada",
IF(
 OR( COUNTIFS(Equipar!B:B,5,Equipar!C:C,A223)
 +COUNTIFS(Equipar!B:B,5,Equipar!D:D,A223)
+COUNTIFS(Equipar!B:B,5,Equipar!E:E,A223)
+COUNTIFS(Equipar!B:B,5,Equipar!F:F,A223)
&gt;0,COUNTIF('Set recomendado'!B:B,C223)=0),
"Bloqueada",
"Desechable")),""
)</f>
        <v/>
      </c>
      <c r="J223" t="str" cm="1">
        <f t="array" aca="1" ref="J223" ca="1">IF(ISNUMBER(A223),IFERROR(_xlfn._xlws.FILTER(Equipar!A:A,(Equipar!B:B=5)*(Equipar!AC:AC=A223)),""),"")</f>
        <v/>
      </c>
    </row>
    <row r="224" spans="1:10" x14ac:dyDescent="0.25">
      <c r="A224" s="1" t="str">
        <f ca="1">IF(A223="ID",1,IF(ISBLANK(B224),"",MAX(A$2:A223)+1))</f>
        <v/>
      </c>
      <c r="I224" s="2" t="str">
        <f ca="1">IF(ISNUMBER(A224),
IF(COUNTIFS(Equipar!B:B,5,Equipar!AC:AC,A224),"Equipada",
IF(
 OR( COUNTIFS(Equipar!B:B,5,Equipar!C:C,A224)
 +COUNTIFS(Equipar!B:B,5,Equipar!D:D,A224)
+COUNTIFS(Equipar!B:B,5,Equipar!E:E,A224)
+COUNTIFS(Equipar!B:B,5,Equipar!F:F,A224)
&gt;0,COUNTIF('Set recomendado'!B:B,C224)=0),
"Bloqueada",
"Desechable")),""
)</f>
        <v/>
      </c>
      <c r="J224" t="str" cm="1">
        <f t="array" aca="1" ref="J224" ca="1">IF(ISNUMBER(A224),IFERROR(_xlfn._xlws.FILTER(Equipar!A:A,(Equipar!B:B=5)*(Equipar!AC:AC=A224)),""),"")</f>
        <v/>
      </c>
    </row>
    <row r="225" spans="1:10" x14ac:dyDescent="0.25">
      <c r="A225" s="1" t="str">
        <f ca="1">IF(A224="ID",1,IF(ISBLANK(B225),"",MAX(A$2:A224)+1))</f>
        <v/>
      </c>
      <c r="I225" s="2" t="str">
        <f ca="1">IF(ISNUMBER(A225),
IF(COUNTIFS(Equipar!B:B,5,Equipar!AC:AC,A225),"Equipada",
IF(
 OR( COUNTIFS(Equipar!B:B,5,Equipar!C:C,A225)
 +COUNTIFS(Equipar!B:B,5,Equipar!D:D,A225)
+COUNTIFS(Equipar!B:B,5,Equipar!E:E,A225)
+COUNTIFS(Equipar!B:B,5,Equipar!F:F,A225)
&gt;0,COUNTIF('Set recomendado'!B:B,C225)=0),
"Bloqueada",
"Desechable")),""
)</f>
        <v/>
      </c>
      <c r="J225" t="str" cm="1">
        <f t="array" aca="1" ref="J225" ca="1">IF(ISNUMBER(A225),IFERROR(_xlfn._xlws.FILTER(Equipar!A:A,(Equipar!B:B=5)*(Equipar!AC:AC=A225)),""),"")</f>
        <v/>
      </c>
    </row>
    <row r="226" spans="1:10" x14ac:dyDescent="0.25">
      <c r="A226" s="1" t="str">
        <f ca="1">IF(A225="ID",1,IF(ISBLANK(B226),"",MAX(A$2:A225)+1))</f>
        <v/>
      </c>
      <c r="I226" s="2" t="str">
        <f ca="1">IF(ISNUMBER(A226),
IF(COUNTIFS(Equipar!B:B,5,Equipar!AC:AC,A226),"Equipada",
IF(
 OR( COUNTIFS(Equipar!B:B,5,Equipar!C:C,A226)
 +COUNTIFS(Equipar!B:B,5,Equipar!D:D,A226)
+COUNTIFS(Equipar!B:B,5,Equipar!E:E,A226)
+COUNTIFS(Equipar!B:B,5,Equipar!F:F,A226)
&gt;0,COUNTIF('Set recomendado'!B:B,C226)=0),
"Bloqueada",
"Desechable")),""
)</f>
        <v/>
      </c>
      <c r="J226" t="str" cm="1">
        <f t="array" aca="1" ref="J226" ca="1">IF(ISNUMBER(A226),IFERROR(_xlfn._xlws.FILTER(Equipar!A:A,(Equipar!B:B=5)*(Equipar!AC:AC=A226)),""),"")</f>
        <v/>
      </c>
    </row>
    <row r="227" spans="1:10" x14ac:dyDescent="0.25">
      <c r="A227" s="1" t="str">
        <f ca="1">IF(A226="ID",1,IF(ISBLANK(B227),"",MAX(A$2:A226)+1))</f>
        <v/>
      </c>
      <c r="I227" s="2" t="str">
        <f ca="1">IF(ISNUMBER(A227),
IF(COUNTIFS(Equipar!B:B,5,Equipar!AC:AC,A227),"Equipada",
IF(
 OR( COUNTIFS(Equipar!B:B,5,Equipar!C:C,A227)
 +COUNTIFS(Equipar!B:B,5,Equipar!D:D,A227)
+COUNTIFS(Equipar!B:B,5,Equipar!E:E,A227)
+COUNTIFS(Equipar!B:B,5,Equipar!F:F,A227)
&gt;0,COUNTIF('Set recomendado'!B:B,C227)=0),
"Bloqueada",
"Desechable")),""
)</f>
        <v/>
      </c>
      <c r="J227" t="str" cm="1">
        <f t="array" aca="1" ref="J227" ca="1">IF(ISNUMBER(A227),IFERROR(_xlfn._xlws.FILTER(Equipar!A:A,(Equipar!B:B=5)*(Equipar!AC:AC=A227)),""),"")</f>
        <v/>
      </c>
    </row>
    <row r="228" spans="1:10" x14ac:dyDescent="0.25">
      <c r="A228" s="1" t="str">
        <f ca="1">IF(A227="ID",1,IF(ISBLANK(B228),"",MAX(A$2:A227)+1))</f>
        <v/>
      </c>
      <c r="I228" s="2" t="str">
        <f ca="1">IF(ISNUMBER(A228),
IF(COUNTIFS(Equipar!B:B,5,Equipar!AC:AC,A228),"Equipada",
IF(
 OR( COUNTIFS(Equipar!B:B,5,Equipar!C:C,A228)
 +COUNTIFS(Equipar!B:B,5,Equipar!D:D,A228)
+COUNTIFS(Equipar!B:B,5,Equipar!E:E,A228)
+COUNTIFS(Equipar!B:B,5,Equipar!F:F,A228)
&gt;0,COUNTIF('Set recomendado'!B:B,C228)=0),
"Bloqueada",
"Desechable")),""
)</f>
        <v/>
      </c>
      <c r="J228" t="str" cm="1">
        <f t="array" aca="1" ref="J228" ca="1">IF(ISNUMBER(A228),IFERROR(_xlfn._xlws.FILTER(Equipar!A:A,(Equipar!B:B=5)*(Equipar!AC:AC=A228)),""),"")</f>
        <v/>
      </c>
    </row>
    <row r="229" spans="1:10" x14ac:dyDescent="0.25">
      <c r="A229" s="1" t="str">
        <f ca="1">IF(A228="ID",1,IF(ISBLANK(B229),"",MAX(A$2:A228)+1))</f>
        <v/>
      </c>
      <c r="I229" s="2" t="str">
        <f ca="1">IF(ISNUMBER(A229),
IF(COUNTIFS(Equipar!B:B,5,Equipar!AC:AC,A229),"Equipada",
IF(
 OR( COUNTIFS(Equipar!B:B,5,Equipar!C:C,A229)
 +COUNTIFS(Equipar!B:B,5,Equipar!D:D,A229)
+COUNTIFS(Equipar!B:B,5,Equipar!E:E,A229)
+COUNTIFS(Equipar!B:B,5,Equipar!F:F,A229)
&gt;0,COUNTIF('Set recomendado'!B:B,C229)=0),
"Bloqueada",
"Desechable")),""
)</f>
        <v/>
      </c>
      <c r="J229" t="str" cm="1">
        <f t="array" aca="1" ref="J229" ca="1">IF(ISNUMBER(A229),IFERROR(_xlfn._xlws.FILTER(Equipar!A:A,(Equipar!B:B=5)*(Equipar!AC:AC=A229)),""),"")</f>
        <v/>
      </c>
    </row>
    <row r="230" spans="1:10" x14ac:dyDescent="0.25">
      <c r="A230" s="1" t="str">
        <f ca="1">IF(A229="ID",1,IF(ISBLANK(B230),"",MAX(A$2:A229)+1))</f>
        <v/>
      </c>
      <c r="I230" s="2" t="str">
        <f ca="1">IF(ISNUMBER(A230),
IF(COUNTIFS(Equipar!B:B,5,Equipar!AC:AC,A230),"Equipada",
IF(
 OR( COUNTIFS(Equipar!B:B,5,Equipar!C:C,A230)
 +COUNTIFS(Equipar!B:B,5,Equipar!D:D,A230)
+COUNTIFS(Equipar!B:B,5,Equipar!E:E,A230)
+COUNTIFS(Equipar!B:B,5,Equipar!F:F,A230)
&gt;0,COUNTIF('Set recomendado'!B:B,C230)=0),
"Bloqueada",
"Desechable")),""
)</f>
        <v/>
      </c>
      <c r="J230" t="str" cm="1">
        <f t="array" aca="1" ref="J230" ca="1">IF(ISNUMBER(A230),IFERROR(_xlfn._xlws.FILTER(Equipar!A:A,(Equipar!B:B=5)*(Equipar!AC:AC=A230)),""),"")</f>
        <v/>
      </c>
    </row>
    <row r="231" spans="1:10" x14ac:dyDescent="0.25">
      <c r="A231" s="1" t="str">
        <f ca="1">IF(A230="ID",1,IF(ISBLANK(B231),"",MAX(A$2:A230)+1))</f>
        <v/>
      </c>
      <c r="I231" s="2" t="str">
        <f ca="1">IF(ISNUMBER(A231),
IF(COUNTIFS(Equipar!B:B,5,Equipar!AC:AC,A231),"Equipada",
IF(
 OR( COUNTIFS(Equipar!B:B,5,Equipar!C:C,A231)
 +COUNTIFS(Equipar!B:B,5,Equipar!D:D,A231)
+COUNTIFS(Equipar!B:B,5,Equipar!E:E,A231)
+COUNTIFS(Equipar!B:B,5,Equipar!F:F,A231)
&gt;0,COUNTIF('Set recomendado'!B:B,C231)=0),
"Bloqueada",
"Desechable")),""
)</f>
        <v/>
      </c>
      <c r="J231" t="str" cm="1">
        <f t="array" aca="1" ref="J231" ca="1">IF(ISNUMBER(A231),IFERROR(_xlfn._xlws.FILTER(Equipar!A:A,(Equipar!B:B=5)*(Equipar!AC:AC=A231)),""),"")</f>
        <v/>
      </c>
    </row>
    <row r="232" spans="1:10" x14ac:dyDescent="0.25">
      <c r="A232" s="1" t="str">
        <f ca="1">IF(A231="ID",1,IF(ISBLANK(B232),"",MAX(A$2:A231)+1))</f>
        <v/>
      </c>
      <c r="I232" s="2" t="str">
        <f ca="1">IF(ISNUMBER(A232),
IF(COUNTIFS(Equipar!B:B,5,Equipar!AC:AC,A232),"Equipada",
IF(
 OR( COUNTIFS(Equipar!B:B,5,Equipar!C:C,A232)
 +COUNTIFS(Equipar!B:B,5,Equipar!D:D,A232)
+COUNTIFS(Equipar!B:B,5,Equipar!E:E,A232)
+COUNTIFS(Equipar!B:B,5,Equipar!F:F,A232)
&gt;0,COUNTIF('Set recomendado'!B:B,C232)=0),
"Bloqueada",
"Desechable")),""
)</f>
        <v/>
      </c>
      <c r="J232" t="str" cm="1">
        <f t="array" aca="1" ref="J232" ca="1">IF(ISNUMBER(A232),IFERROR(_xlfn._xlws.FILTER(Equipar!A:A,(Equipar!B:B=5)*(Equipar!AC:AC=A232)),""),"")</f>
        <v/>
      </c>
    </row>
    <row r="233" spans="1:10" x14ac:dyDescent="0.25">
      <c r="A233" s="1" t="str">
        <f ca="1">IF(A232="ID",1,IF(ISBLANK(B233),"",MAX(A$2:A232)+1))</f>
        <v/>
      </c>
      <c r="I233" s="2" t="str">
        <f ca="1">IF(ISNUMBER(A233),
IF(COUNTIFS(Equipar!B:B,5,Equipar!AC:AC,A233),"Equipada",
IF(
 OR( COUNTIFS(Equipar!B:B,5,Equipar!C:C,A233)
 +COUNTIFS(Equipar!B:B,5,Equipar!D:D,A233)
+COUNTIFS(Equipar!B:B,5,Equipar!E:E,A233)
+COUNTIFS(Equipar!B:B,5,Equipar!F:F,A233)
&gt;0,COUNTIF('Set recomendado'!B:B,C233)=0),
"Bloqueada",
"Desechable")),""
)</f>
        <v/>
      </c>
      <c r="J233" t="str" cm="1">
        <f t="array" aca="1" ref="J233" ca="1">IF(ISNUMBER(A233),IFERROR(_xlfn._xlws.FILTER(Equipar!A:A,(Equipar!B:B=5)*(Equipar!AC:AC=A233)),""),"")</f>
        <v/>
      </c>
    </row>
    <row r="234" spans="1:10" x14ac:dyDescent="0.25">
      <c r="A234" s="1" t="str">
        <f ca="1">IF(A233="ID",1,IF(ISBLANK(B234),"",MAX(A$2:A233)+1))</f>
        <v/>
      </c>
      <c r="I234" s="2" t="str">
        <f ca="1">IF(ISNUMBER(A234),
IF(COUNTIFS(Equipar!B:B,5,Equipar!AC:AC,A234),"Equipada",
IF(
 OR( COUNTIFS(Equipar!B:B,5,Equipar!C:C,A234)
 +COUNTIFS(Equipar!B:B,5,Equipar!D:D,A234)
+COUNTIFS(Equipar!B:B,5,Equipar!E:E,A234)
+COUNTIFS(Equipar!B:B,5,Equipar!F:F,A234)
&gt;0,COUNTIF('Set recomendado'!B:B,C234)=0),
"Bloqueada",
"Desechable")),""
)</f>
        <v/>
      </c>
      <c r="J234" t="str" cm="1">
        <f t="array" aca="1" ref="J234" ca="1">IF(ISNUMBER(A234),IFERROR(_xlfn._xlws.FILTER(Equipar!A:A,(Equipar!B:B=5)*(Equipar!AC:AC=A234)),""),"")</f>
        <v/>
      </c>
    </row>
    <row r="235" spans="1:10" x14ac:dyDescent="0.25">
      <c r="A235" s="1" t="str">
        <f ca="1">IF(A234="ID",1,IF(ISBLANK(B235),"",MAX(A$2:A234)+1))</f>
        <v/>
      </c>
      <c r="I235" s="2" t="str">
        <f ca="1">IF(ISNUMBER(A235),
IF(COUNTIFS(Equipar!B:B,5,Equipar!AC:AC,A235),"Equipada",
IF(
 OR( COUNTIFS(Equipar!B:B,5,Equipar!C:C,A235)
 +COUNTIFS(Equipar!B:B,5,Equipar!D:D,A235)
+COUNTIFS(Equipar!B:B,5,Equipar!E:E,A235)
+COUNTIFS(Equipar!B:B,5,Equipar!F:F,A235)
&gt;0,COUNTIF('Set recomendado'!B:B,C235)=0),
"Bloqueada",
"Desechable")),""
)</f>
        <v/>
      </c>
      <c r="J235" t="str" cm="1">
        <f t="array" aca="1" ref="J235" ca="1">IF(ISNUMBER(A235),IFERROR(_xlfn._xlws.FILTER(Equipar!A:A,(Equipar!B:B=5)*(Equipar!AC:AC=A235)),""),"")</f>
        <v/>
      </c>
    </row>
    <row r="236" spans="1:10" x14ac:dyDescent="0.25">
      <c r="A236" s="1" t="str">
        <f ca="1">IF(A235="ID",1,IF(ISBLANK(B236),"",MAX(A$2:A235)+1))</f>
        <v/>
      </c>
      <c r="I236" s="2" t="str">
        <f ca="1">IF(ISNUMBER(A236),
IF(COUNTIFS(Equipar!B:B,5,Equipar!AC:AC,A236),"Equipada",
IF(
 OR( COUNTIFS(Equipar!B:B,5,Equipar!C:C,A236)
 +COUNTIFS(Equipar!B:B,5,Equipar!D:D,A236)
+COUNTIFS(Equipar!B:B,5,Equipar!E:E,A236)
+COUNTIFS(Equipar!B:B,5,Equipar!F:F,A236)
&gt;0,COUNTIF('Set recomendado'!B:B,C236)=0),
"Bloqueada",
"Desechable")),""
)</f>
        <v/>
      </c>
      <c r="J236" t="str" cm="1">
        <f t="array" aca="1" ref="J236" ca="1">IF(ISNUMBER(A236),IFERROR(_xlfn._xlws.FILTER(Equipar!A:A,(Equipar!B:B=5)*(Equipar!AC:AC=A236)),""),"")</f>
        <v/>
      </c>
    </row>
    <row r="237" spans="1:10" x14ac:dyDescent="0.25">
      <c r="A237" s="1" t="str">
        <f ca="1">IF(A236="ID",1,IF(ISBLANK(B237),"",MAX(A$2:A236)+1))</f>
        <v/>
      </c>
      <c r="I237" s="2" t="str">
        <f ca="1">IF(ISNUMBER(A237),
IF(COUNTIFS(Equipar!B:B,5,Equipar!AC:AC,A237),"Equipada",
IF(
 OR( COUNTIFS(Equipar!B:B,5,Equipar!C:C,A237)
 +COUNTIFS(Equipar!B:B,5,Equipar!D:D,A237)
+COUNTIFS(Equipar!B:B,5,Equipar!E:E,A237)
+COUNTIFS(Equipar!B:B,5,Equipar!F:F,A237)
&gt;0,COUNTIF('Set recomendado'!B:B,C237)=0),
"Bloqueada",
"Desechable")),""
)</f>
        <v/>
      </c>
      <c r="J237" t="str" cm="1">
        <f t="array" aca="1" ref="J237" ca="1">IF(ISNUMBER(A237),IFERROR(_xlfn._xlws.FILTER(Equipar!A:A,(Equipar!B:B=5)*(Equipar!AC:AC=A237)),""),"")</f>
        <v/>
      </c>
    </row>
    <row r="238" spans="1:10" x14ac:dyDescent="0.25">
      <c r="A238" s="1" t="str">
        <f ca="1">IF(A237="ID",1,IF(ISBLANK(B238),"",MAX(A$2:A237)+1))</f>
        <v/>
      </c>
      <c r="I238" s="2" t="str">
        <f ca="1">IF(ISNUMBER(A238),
IF(COUNTIFS(Equipar!B:B,5,Equipar!AC:AC,A238),"Equipada",
IF(
 OR( COUNTIFS(Equipar!B:B,5,Equipar!C:C,A238)
 +COUNTIFS(Equipar!B:B,5,Equipar!D:D,A238)
+COUNTIFS(Equipar!B:B,5,Equipar!E:E,A238)
+COUNTIFS(Equipar!B:B,5,Equipar!F:F,A238)
&gt;0,COUNTIF('Set recomendado'!B:B,C238)=0),
"Bloqueada",
"Desechable")),""
)</f>
        <v/>
      </c>
      <c r="J238" t="str" cm="1">
        <f t="array" aca="1" ref="J238" ca="1">IF(ISNUMBER(A238),IFERROR(_xlfn._xlws.FILTER(Equipar!A:A,(Equipar!B:B=5)*(Equipar!AC:AC=A238)),""),"")</f>
        <v/>
      </c>
    </row>
    <row r="239" spans="1:10" x14ac:dyDescent="0.25">
      <c r="A239" s="1" t="str">
        <f ca="1">IF(A238="ID",1,IF(ISBLANK(B239),"",MAX(A$2:A238)+1))</f>
        <v/>
      </c>
      <c r="I239" s="2" t="str">
        <f ca="1">IF(ISNUMBER(A239),
IF(COUNTIFS(Equipar!B:B,5,Equipar!AC:AC,A239),"Equipada",
IF(
 OR( COUNTIFS(Equipar!B:B,5,Equipar!C:C,A239)
 +COUNTIFS(Equipar!B:B,5,Equipar!D:D,A239)
+COUNTIFS(Equipar!B:B,5,Equipar!E:E,A239)
+COUNTIFS(Equipar!B:B,5,Equipar!F:F,A239)
&gt;0,COUNTIF('Set recomendado'!B:B,C239)=0),
"Bloqueada",
"Desechable")),""
)</f>
        <v/>
      </c>
      <c r="J239" t="str" cm="1">
        <f t="array" aca="1" ref="J239" ca="1">IF(ISNUMBER(A239),IFERROR(_xlfn._xlws.FILTER(Equipar!A:A,(Equipar!B:B=5)*(Equipar!AC:AC=A239)),""),"")</f>
        <v/>
      </c>
    </row>
    <row r="240" spans="1:10" x14ac:dyDescent="0.25">
      <c r="A240" s="1" t="str">
        <f ca="1">IF(A239="ID",1,IF(ISBLANK(B240),"",MAX(A$2:A239)+1))</f>
        <v/>
      </c>
      <c r="I240" s="2" t="str">
        <f ca="1">IF(ISNUMBER(A240),
IF(COUNTIFS(Equipar!B:B,5,Equipar!AC:AC,A240),"Equipada",
IF(
 OR( COUNTIFS(Equipar!B:B,5,Equipar!C:C,A240)
 +COUNTIFS(Equipar!B:B,5,Equipar!D:D,A240)
+COUNTIFS(Equipar!B:B,5,Equipar!E:E,A240)
+COUNTIFS(Equipar!B:B,5,Equipar!F:F,A240)
&gt;0,COUNTIF('Set recomendado'!B:B,C240)=0),
"Bloqueada",
"Desechable")),""
)</f>
        <v/>
      </c>
      <c r="J240" t="str" cm="1">
        <f t="array" aca="1" ref="J240" ca="1">IF(ISNUMBER(A240),IFERROR(_xlfn._xlws.FILTER(Equipar!A:A,(Equipar!B:B=5)*(Equipar!AC:AC=A240)),""),"")</f>
        <v/>
      </c>
    </row>
    <row r="241" spans="1:10" x14ac:dyDescent="0.25">
      <c r="A241" s="1" t="str">
        <f ca="1">IF(A240="ID",1,IF(ISBLANK(B241),"",MAX(A$2:A240)+1))</f>
        <v/>
      </c>
      <c r="I241" s="2" t="str">
        <f ca="1">IF(ISNUMBER(A241),
IF(COUNTIFS(Equipar!B:B,5,Equipar!AC:AC,A241),"Equipada",
IF(
 OR( COUNTIFS(Equipar!B:B,5,Equipar!C:C,A241)
 +COUNTIFS(Equipar!B:B,5,Equipar!D:D,A241)
+COUNTIFS(Equipar!B:B,5,Equipar!E:E,A241)
+COUNTIFS(Equipar!B:B,5,Equipar!F:F,A241)
&gt;0,COUNTIF('Set recomendado'!B:B,C241)=0),
"Bloqueada",
"Desechable")),""
)</f>
        <v/>
      </c>
      <c r="J241" t="str" cm="1">
        <f t="array" aca="1" ref="J241" ca="1">IF(ISNUMBER(A241),IFERROR(_xlfn._xlws.FILTER(Equipar!A:A,(Equipar!B:B=5)*(Equipar!AC:AC=A241)),""),"")</f>
        <v/>
      </c>
    </row>
    <row r="242" spans="1:10" x14ac:dyDescent="0.25">
      <c r="A242" s="1" t="str">
        <f ca="1">IF(A241="ID",1,IF(ISBLANK(B242),"",MAX(A$2:A241)+1))</f>
        <v/>
      </c>
      <c r="I242" s="2" t="str">
        <f ca="1">IF(ISNUMBER(A242),
IF(COUNTIFS(Equipar!B:B,5,Equipar!AC:AC,A242),"Equipada",
IF(
 OR( COUNTIFS(Equipar!B:B,5,Equipar!C:C,A242)
 +COUNTIFS(Equipar!B:B,5,Equipar!D:D,A242)
+COUNTIFS(Equipar!B:B,5,Equipar!E:E,A242)
+COUNTIFS(Equipar!B:B,5,Equipar!F:F,A242)
&gt;0,COUNTIF('Set recomendado'!B:B,C242)=0),
"Bloqueada",
"Desechable")),""
)</f>
        <v/>
      </c>
      <c r="J242" t="str" cm="1">
        <f t="array" aca="1" ref="J242" ca="1">IF(ISNUMBER(A242),IFERROR(_xlfn._xlws.FILTER(Equipar!A:A,(Equipar!B:B=5)*(Equipar!AC:AC=A242)),""),"")</f>
        <v/>
      </c>
    </row>
    <row r="243" spans="1:10" x14ac:dyDescent="0.25">
      <c r="A243" s="1" t="str">
        <f ca="1">IF(A242="ID",1,IF(ISBLANK(B243),"",MAX(A$2:A242)+1))</f>
        <v/>
      </c>
      <c r="I243" s="2" t="str">
        <f ca="1">IF(ISNUMBER(A243),
IF(COUNTIFS(Equipar!B:B,5,Equipar!AC:AC,A243),"Equipada",
IF(
 OR( COUNTIFS(Equipar!B:B,5,Equipar!C:C,A243)
 +COUNTIFS(Equipar!B:B,5,Equipar!D:D,A243)
+COUNTIFS(Equipar!B:B,5,Equipar!E:E,A243)
+COUNTIFS(Equipar!B:B,5,Equipar!F:F,A243)
&gt;0,COUNTIF('Set recomendado'!B:B,C243)=0),
"Bloqueada",
"Desechable")),""
)</f>
        <v/>
      </c>
      <c r="J243" t="str" cm="1">
        <f t="array" aca="1" ref="J243" ca="1">IF(ISNUMBER(A243),IFERROR(_xlfn._xlws.FILTER(Equipar!A:A,(Equipar!B:B=5)*(Equipar!AC:AC=A243)),""),"")</f>
        <v/>
      </c>
    </row>
    <row r="244" spans="1:10" x14ac:dyDescent="0.25">
      <c r="A244" s="1" t="str">
        <f ca="1">IF(A243="ID",1,IF(ISBLANK(B244),"",MAX(A$2:A243)+1))</f>
        <v/>
      </c>
      <c r="I244" s="2" t="str">
        <f ca="1">IF(ISNUMBER(A244),
IF(COUNTIFS(Equipar!B:B,5,Equipar!AC:AC,A244),"Equipada",
IF(
 OR( COUNTIFS(Equipar!B:B,5,Equipar!C:C,A244)
 +COUNTIFS(Equipar!B:B,5,Equipar!D:D,A244)
+COUNTIFS(Equipar!B:B,5,Equipar!E:E,A244)
+COUNTIFS(Equipar!B:B,5,Equipar!F:F,A244)
&gt;0,COUNTIF('Set recomendado'!B:B,C244)=0),
"Bloqueada",
"Desechable")),""
)</f>
        <v/>
      </c>
      <c r="J244" t="str" cm="1">
        <f t="array" aca="1" ref="J244" ca="1">IF(ISNUMBER(A244),IFERROR(_xlfn._xlws.FILTER(Equipar!A:A,(Equipar!B:B=5)*(Equipar!AC:AC=A244)),""),"")</f>
        <v/>
      </c>
    </row>
    <row r="245" spans="1:10" x14ac:dyDescent="0.25">
      <c r="A245" s="1" t="str">
        <f ca="1">IF(A244="ID",1,IF(ISBLANK(B245),"",MAX(A$2:A244)+1))</f>
        <v/>
      </c>
      <c r="I245" s="2" t="str">
        <f ca="1">IF(ISNUMBER(A245),
IF(COUNTIFS(Equipar!B:B,5,Equipar!AC:AC,A245),"Equipada",
IF(
 OR( COUNTIFS(Equipar!B:B,5,Equipar!C:C,A245)
 +COUNTIFS(Equipar!B:B,5,Equipar!D:D,A245)
+COUNTIFS(Equipar!B:B,5,Equipar!E:E,A245)
+COUNTIFS(Equipar!B:B,5,Equipar!F:F,A245)
&gt;0,COUNTIF('Set recomendado'!B:B,C245)=0),
"Bloqueada",
"Desechable")),""
)</f>
        <v/>
      </c>
      <c r="J245" t="str" cm="1">
        <f t="array" aca="1" ref="J245" ca="1">IF(ISNUMBER(A245),IFERROR(_xlfn._xlws.FILTER(Equipar!A:A,(Equipar!B:B=5)*(Equipar!AC:AC=A245)),""),"")</f>
        <v/>
      </c>
    </row>
    <row r="246" spans="1:10" x14ac:dyDescent="0.25">
      <c r="A246" s="1" t="str">
        <f ca="1">IF(A245="ID",1,IF(ISBLANK(B246),"",MAX(A$2:A245)+1))</f>
        <v/>
      </c>
      <c r="I246" s="2" t="str">
        <f ca="1">IF(ISNUMBER(A246),
IF(COUNTIFS(Equipar!B:B,5,Equipar!AC:AC,A246),"Equipada",
IF(
 OR( COUNTIFS(Equipar!B:B,5,Equipar!C:C,A246)
 +COUNTIFS(Equipar!B:B,5,Equipar!D:D,A246)
+COUNTIFS(Equipar!B:B,5,Equipar!E:E,A246)
+COUNTIFS(Equipar!B:B,5,Equipar!F:F,A246)
&gt;0,COUNTIF('Set recomendado'!B:B,C246)=0),
"Bloqueada",
"Desechable")),""
)</f>
        <v/>
      </c>
      <c r="J246" t="str" cm="1">
        <f t="array" aca="1" ref="J246" ca="1">IF(ISNUMBER(A246),IFERROR(_xlfn._xlws.FILTER(Equipar!A:A,(Equipar!B:B=5)*(Equipar!AC:AC=A246)),""),"")</f>
        <v/>
      </c>
    </row>
    <row r="247" spans="1:10" x14ac:dyDescent="0.25">
      <c r="A247" s="1" t="str">
        <f ca="1">IF(A246="ID",1,IF(ISBLANK(B247),"",MAX(A$2:A246)+1))</f>
        <v/>
      </c>
      <c r="I247" s="2" t="str">
        <f ca="1">IF(ISNUMBER(A247),
IF(COUNTIFS(Equipar!B:B,5,Equipar!AC:AC,A247),"Equipada",
IF(
 OR( COUNTIFS(Equipar!B:B,5,Equipar!C:C,A247)
 +COUNTIFS(Equipar!B:B,5,Equipar!D:D,A247)
+COUNTIFS(Equipar!B:B,5,Equipar!E:E,A247)
+COUNTIFS(Equipar!B:B,5,Equipar!F:F,A247)
&gt;0,COUNTIF('Set recomendado'!B:B,C247)=0),
"Bloqueada",
"Desechable")),""
)</f>
        <v/>
      </c>
      <c r="J247" t="str" cm="1">
        <f t="array" aca="1" ref="J247" ca="1">IF(ISNUMBER(A247),IFERROR(_xlfn._xlws.FILTER(Equipar!A:A,(Equipar!B:B=5)*(Equipar!AC:AC=A247)),""),"")</f>
        <v/>
      </c>
    </row>
    <row r="248" spans="1:10" x14ac:dyDescent="0.25">
      <c r="A248" s="1" t="str">
        <f ca="1">IF(A247="ID",1,IF(ISBLANK(B248),"",MAX(A$2:A247)+1))</f>
        <v/>
      </c>
      <c r="I248" s="2" t="str">
        <f ca="1">IF(ISNUMBER(A248),
IF(COUNTIFS(Equipar!B:B,5,Equipar!AC:AC,A248),"Equipada",
IF(
 OR( COUNTIFS(Equipar!B:B,5,Equipar!C:C,A248)
 +COUNTIFS(Equipar!B:B,5,Equipar!D:D,A248)
+COUNTIFS(Equipar!B:B,5,Equipar!E:E,A248)
+COUNTIFS(Equipar!B:B,5,Equipar!F:F,A248)
&gt;0,COUNTIF('Set recomendado'!B:B,C248)=0),
"Bloqueada",
"Desechable")),""
)</f>
        <v/>
      </c>
      <c r="J248" t="str" cm="1">
        <f t="array" aca="1" ref="J248" ca="1">IF(ISNUMBER(A248),IFERROR(_xlfn._xlws.FILTER(Equipar!A:A,(Equipar!B:B=5)*(Equipar!AC:AC=A248)),""),"")</f>
        <v/>
      </c>
    </row>
    <row r="249" spans="1:10" x14ac:dyDescent="0.25">
      <c r="A249" s="1" t="str">
        <f ca="1">IF(A248="ID",1,IF(ISBLANK(B249),"",MAX(A$2:A248)+1))</f>
        <v/>
      </c>
      <c r="I249" s="2" t="str">
        <f ca="1">IF(ISNUMBER(A249),
IF(COUNTIFS(Equipar!B:B,5,Equipar!AC:AC,A249),"Equipada",
IF(
 OR( COUNTIFS(Equipar!B:B,5,Equipar!C:C,A249)
 +COUNTIFS(Equipar!B:B,5,Equipar!D:D,A249)
+COUNTIFS(Equipar!B:B,5,Equipar!E:E,A249)
+COUNTIFS(Equipar!B:B,5,Equipar!F:F,A249)
&gt;0,COUNTIF('Set recomendado'!B:B,C249)=0),
"Bloqueada",
"Desechable")),""
)</f>
        <v/>
      </c>
      <c r="J249" t="str" cm="1">
        <f t="array" aca="1" ref="J249" ca="1">IF(ISNUMBER(A249),IFERROR(_xlfn._xlws.FILTER(Equipar!A:A,(Equipar!B:B=5)*(Equipar!AC:AC=A249)),""),"")</f>
        <v/>
      </c>
    </row>
    <row r="250" spans="1:10" x14ac:dyDescent="0.25">
      <c r="A250" s="1" t="str">
        <f ca="1">IF(A249="ID",1,IF(ISBLANK(B250),"",MAX(A$2:A249)+1))</f>
        <v/>
      </c>
      <c r="I250" s="2" t="str">
        <f ca="1">IF(ISNUMBER(A250),
IF(COUNTIFS(Equipar!B:B,5,Equipar!AC:AC,A250),"Equipada",
IF(
 OR( COUNTIFS(Equipar!B:B,5,Equipar!C:C,A250)
 +COUNTIFS(Equipar!B:B,5,Equipar!D:D,A250)
+COUNTIFS(Equipar!B:B,5,Equipar!E:E,A250)
+COUNTIFS(Equipar!B:B,5,Equipar!F:F,A250)
&gt;0,COUNTIF('Set recomendado'!B:B,C250)=0),
"Bloqueada",
"Desechable")),""
)</f>
        <v/>
      </c>
      <c r="J250" t="str" cm="1">
        <f t="array" aca="1" ref="J250" ca="1">IF(ISNUMBER(A250),IFERROR(_xlfn._xlws.FILTER(Equipar!A:A,(Equipar!B:B=5)*(Equipar!AC:AC=A250)),""),"")</f>
        <v/>
      </c>
    </row>
    <row r="251" spans="1:10" x14ac:dyDescent="0.25">
      <c r="A251" s="1" t="str">
        <f ca="1">IF(A250="ID",1,IF(ISBLANK(B251),"",MAX(A$2:A250)+1))</f>
        <v/>
      </c>
      <c r="I251" s="2" t="str">
        <f ca="1">IF(ISNUMBER(A251),
IF(COUNTIFS(Equipar!B:B,5,Equipar!AC:AC,A251),"Equipada",
IF(
 OR( COUNTIFS(Equipar!B:B,5,Equipar!C:C,A251)
 +COUNTIFS(Equipar!B:B,5,Equipar!D:D,A251)
+COUNTIFS(Equipar!B:B,5,Equipar!E:E,A251)
+COUNTIFS(Equipar!B:B,5,Equipar!F:F,A251)
&gt;0,COUNTIF('Set recomendado'!B:B,C251)=0),
"Bloqueada",
"Desechable")),""
)</f>
        <v/>
      </c>
      <c r="J251" t="str" cm="1">
        <f t="array" aca="1" ref="J251" ca="1">IF(ISNUMBER(A251),IFERROR(_xlfn._xlws.FILTER(Equipar!A:A,(Equipar!B:B=5)*(Equipar!AC:AC=A251)),""),"")</f>
        <v/>
      </c>
    </row>
    <row r="252" spans="1:10" x14ac:dyDescent="0.25">
      <c r="A252" s="1" t="str">
        <f ca="1">IF(A251="ID",1,IF(ISBLANK(B252),"",MAX(A$2:A251)+1))</f>
        <v/>
      </c>
      <c r="I252" s="2" t="str">
        <f ca="1">IF(ISNUMBER(A252),
IF(COUNTIFS(Equipar!B:B,5,Equipar!AC:AC,A252),"Equipada",
IF(
 OR( COUNTIFS(Equipar!B:B,5,Equipar!C:C,A252)
 +COUNTIFS(Equipar!B:B,5,Equipar!D:D,A252)
+COUNTIFS(Equipar!B:B,5,Equipar!E:E,A252)
+COUNTIFS(Equipar!B:B,5,Equipar!F:F,A252)
&gt;0,COUNTIF('Set recomendado'!B:B,C252)=0),
"Bloqueada",
"Desechable")),""
)</f>
        <v/>
      </c>
      <c r="J252" t="str" cm="1">
        <f t="array" aca="1" ref="J252" ca="1">IF(ISNUMBER(A252),IFERROR(_xlfn._xlws.FILTER(Equipar!A:A,(Equipar!B:B=5)*(Equipar!AC:AC=A252)),""),"")</f>
        <v/>
      </c>
    </row>
    <row r="253" spans="1:10" x14ac:dyDescent="0.25">
      <c r="A253" s="1" t="str">
        <f ca="1">IF(A252="ID",1,IF(ISBLANK(B253),"",MAX(A$2:A252)+1))</f>
        <v/>
      </c>
      <c r="I253" s="2" t="str">
        <f ca="1">IF(ISNUMBER(A253),
IF(COUNTIFS(Equipar!B:B,5,Equipar!AC:AC,A253),"Equipada",
IF(
 OR( COUNTIFS(Equipar!B:B,5,Equipar!C:C,A253)
 +COUNTIFS(Equipar!B:B,5,Equipar!D:D,A253)
+COUNTIFS(Equipar!B:B,5,Equipar!E:E,A253)
+COUNTIFS(Equipar!B:B,5,Equipar!F:F,A253)
&gt;0,COUNTIF('Set recomendado'!B:B,C253)=0),
"Bloqueada",
"Desechable")),""
)</f>
        <v/>
      </c>
      <c r="J253" t="str" cm="1">
        <f t="array" aca="1" ref="J253" ca="1">IF(ISNUMBER(A253),IFERROR(_xlfn._xlws.FILTER(Equipar!A:A,(Equipar!B:B=5)*(Equipar!AC:AC=A253)),""),"")</f>
        <v/>
      </c>
    </row>
    <row r="254" spans="1:10" x14ac:dyDescent="0.25">
      <c r="A254" s="1" t="str">
        <f ca="1">IF(A253="ID",1,IF(ISBLANK(B254),"",MAX(A$2:A253)+1))</f>
        <v/>
      </c>
      <c r="I254" s="2" t="str">
        <f ca="1">IF(ISNUMBER(A254),
IF(COUNTIFS(Equipar!B:B,5,Equipar!AC:AC,A254),"Equipada",
IF(
 OR( COUNTIFS(Equipar!B:B,5,Equipar!C:C,A254)
 +COUNTIFS(Equipar!B:B,5,Equipar!D:D,A254)
+COUNTIFS(Equipar!B:B,5,Equipar!E:E,A254)
+COUNTIFS(Equipar!B:B,5,Equipar!F:F,A254)
&gt;0,COUNTIF('Set recomendado'!B:B,C254)=0),
"Bloqueada",
"Desechable")),""
)</f>
        <v/>
      </c>
      <c r="J254" t="str" cm="1">
        <f t="array" aca="1" ref="J254" ca="1">IF(ISNUMBER(A254),IFERROR(_xlfn._xlws.FILTER(Equipar!A:A,(Equipar!B:B=5)*(Equipar!AC:AC=A254)),""),"")</f>
        <v/>
      </c>
    </row>
    <row r="255" spans="1:10" x14ac:dyDescent="0.25">
      <c r="A255" s="1" t="str">
        <f ca="1">IF(A254="ID",1,IF(ISBLANK(B255),"",MAX(A$2:A254)+1))</f>
        <v/>
      </c>
      <c r="I255" s="2" t="str">
        <f ca="1">IF(ISNUMBER(A255),
IF(COUNTIFS(Equipar!B:B,5,Equipar!AC:AC,A255),"Equipada",
IF(
 OR( COUNTIFS(Equipar!B:B,5,Equipar!C:C,A255)
 +COUNTIFS(Equipar!B:B,5,Equipar!D:D,A255)
+COUNTIFS(Equipar!B:B,5,Equipar!E:E,A255)
+COUNTIFS(Equipar!B:B,5,Equipar!F:F,A255)
&gt;0,COUNTIF('Set recomendado'!B:B,C255)=0),
"Bloqueada",
"Desechable")),""
)</f>
        <v/>
      </c>
      <c r="J255" t="str" cm="1">
        <f t="array" aca="1" ref="J255" ca="1">IF(ISNUMBER(A255),IFERROR(_xlfn._xlws.FILTER(Equipar!A:A,(Equipar!B:B=5)*(Equipar!AC:AC=A255)),""),"")</f>
        <v/>
      </c>
    </row>
    <row r="256" spans="1:10" x14ac:dyDescent="0.25">
      <c r="A256" s="1" t="str">
        <f ca="1">IF(A255="ID",1,IF(ISBLANK(B256),"",MAX(A$2:A255)+1))</f>
        <v/>
      </c>
      <c r="I256" s="2" t="str">
        <f ca="1">IF(ISNUMBER(A256),
IF(COUNTIFS(Equipar!B:B,5,Equipar!AC:AC,A256),"Equipada",
IF(
 OR( COUNTIFS(Equipar!B:B,5,Equipar!C:C,A256)
 +COUNTIFS(Equipar!B:B,5,Equipar!D:D,A256)
+COUNTIFS(Equipar!B:B,5,Equipar!E:E,A256)
+COUNTIFS(Equipar!B:B,5,Equipar!F:F,A256)
&gt;0,COUNTIF('Set recomendado'!B:B,C256)=0),
"Bloqueada",
"Desechable")),""
)</f>
        <v/>
      </c>
      <c r="J256" t="str" cm="1">
        <f t="array" aca="1" ref="J256" ca="1">IF(ISNUMBER(A256),IFERROR(_xlfn._xlws.FILTER(Equipar!A:A,(Equipar!B:B=5)*(Equipar!AC:AC=A256)),""),"")</f>
        <v/>
      </c>
    </row>
    <row r="257" spans="1:10" x14ac:dyDescent="0.25">
      <c r="A257" s="1" t="str">
        <f ca="1">IF(A256="ID",1,IF(ISBLANK(B257),"",MAX(A$2:A256)+1))</f>
        <v/>
      </c>
      <c r="I257" s="2" t="str">
        <f ca="1">IF(ISNUMBER(A257),
IF(COUNTIFS(Equipar!B:B,5,Equipar!AC:AC,A257),"Equipada",
IF(
 OR( COUNTIFS(Equipar!B:B,5,Equipar!C:C,A257)
 +COUNTIFS(Equipar!B:B,5,Equipar!D:D,A257)
+COUNTIFS(Equipar!B:B,5,Equipar!E:E,A257)
+COUNTIFS(Equipar!B:B,5,Equipar!F:F,A257)
&gt;0,COUNTIF('Set recomendado'!B:B,C257)=0),
"Bloqueada",
"Desechable")),""
)</f>
        <v/>
      </c>
      <c r="J257" t="str" cm="1">
        <f t="array" aca="1" ref="J257" ca="1">IF(ISNUMBER(A257),IFERROR(_xlfn._xlws.FILTER(Equipar!A:A,(Equipar!B:B=5)*(Equipar!AC:AC=A257)),""),"")</f>
        <v/>
      </c>
    </row>
    <row r="258" spans="1:10" x14ac:dyDescent="0.25">
      <c r="A258" s="1" t="str">
        <f ca="1">IF(A257="ID",1,IF(ISBLANK(B258),"",MAX(A$2:A257)+1))</f>
        <v/>
      </c>
      <c r="I258" s="2" t="str">
        <f ca="1">IF(ISNUMBER(A258),
IF(COUNTIFS(Equipar!B:B,5,Equipar!AC:AC,A258),"Equipada",
IF(
 OR( COUNTIFS(Equipar!B:B,5,Equipar!C:C,A258)
 +COUNTIFS(Equipar!B:B,5,Equipar!D:D,A258)
+COUNTIFS(Equipar!B:B,5,Equipar!E:E,A258)
+COUNTIFS(Equipar!B:B,5,Equipar!F:F,A258)
&gt;0,COUNTIF('Set recomendado'!B:B,C258)=0),
"Bloqueada",
"Desechable")),""
)</f>
        <v/>
      </c>
      <c r="J258" t="str" cm="1">
        <f t="array" aca="1" ref="J258" ca="1">IF(ISNUMBER(A258),IFERROR(_xlfn._xlws.FILTER(Equipar!A:A,(Equipar!B:B=5)*(Equipar!AC:AC=A258)),""),"")</f>
        <v/>
      </c>
    </row>
    <row r="259" spans="1:10" x14ac:dyDescent="0.25">
      <c r="A259" s="1" t="str">
        <f ca="1">IF(A258="ID",1,IF(ISBLANK(B259),"",MAX(A$2:A258)+1))</f>
        <v/>
      </c>
      <c r="I259" s="2" t="str">
        <f ca="1">IF(ISNUMBER(A259),
IF(COUNTIFS(Equipar!B:B,5,Equipar!AC:AC,A259),"Equipada",
IF(
 OR( COUNTIFS(Equipar!B:B,5,Equipar!C:C,A259)
 +COUNTIFS(Equipar!B:B,5,Equipar!D:D,A259)
+COUNTIFS(Equipar!B:B,5,Equipar!E:E,A259)
+COUNTIFS(Equipar!B:B,5,Equipar!F:F,A259)
&gt;0,COUNTIF('Set recomendado'!B:B,C259)=0),
"Bloqueada",
"Desechable")),""
)</f>
        <v/>
      </c>
      <c r="J259" t="str" cm="1">
        <f t="array" aca="1" ref="J259" ca="1">IF(ISNUMBER(A259),IFERROR(_xlfn._xlws.FILTER(Equipar!A:A,(Equipar!B:B=5)*(Equipar!AC:AC=A259)),""),"")</f>
        <v/>
      </c>
    </row>
    <row r="260" spans="1:10" x14ac:dyDescent="0.25">
      <c r="A260" s="1" t="str">
        <f ca="1">IF(A259="ID",1,IF(ISBLANK(B260),"",MAX(A$2:A259)+1))</f>
        <v/>
      </c>
      <c r="I260" s="2" t="str">
        <f ca="1">IF(ISNUMBER(A260),
IF(COUNTIFS(Equipar!B:B,5,Equipar!AC:AC,A260),"Equipada",
IF(
 OR( COUNTIFS(Equipar!B:B,5,Equipar!C:C,A260)
 +COUNTIFS(Equipar!B:B,5,Equipar!D:D,A260)
+COUNTIFS(Equipar!B:B,5,Equipar!E:E,A260)
+COUNTIFS(Equipar!B:B,5,Equipar!F:F,A260)
&gt;0,COUNTIF('Set recomendado'!B:B,C260)=0),
"Bloqueada",
"Desechable")),""
)</f>
        <v/>
      </c>
      <c r="J260" t="str" cm="1">
        <f t="array" aca="1" ref="J260" ca="1">IF(ISNUMBER(A260),IFERROR(_xlfn._xlws.FILTER(Equipar!A:A,(Equipar!B:B=5)*(Equipar!AC:AC=A260)),""),"")</f>
        <v/>
      </c>
    </row>
    <row r="261" spans="1:10" x14ac:dyDescent="0.25">
      <c r="A261" s="1" t="str">
        <f ca="1">IF(A260="ID",1,IF(ISBLANK(B261),"",MAX(A$2:A260)+1))</f>
        <v/>
      </c>
      <c r="I261" s="2" t="str">
        <f ca="1">IF(ISNUMBER(A261),
IF(COUNTIFS(Equipar!B:B,5,Equipar!AC:AC,A261),"Equipada",
IF(
 OR( COUNTIFS(Equipar!B:B,5,Equipar!C:C,A261)
 +COUNTIFS(Equipar!B:B,5,Equipar!D:D,A261)
+COUNTIFS(Equipar!B:B,5,Equipar!E:E,A261)
+COUNTIFS(Equipar!B:B,5,Equipar!F:F,A261)
&gt;0,COUNTIF('Set recomendado'!B:B,C261)=0),
"Bloqueada",
"Desechable")),""
)</f>
        <v/>
      </c>
      <c r="J261" t="str" cm="1">
        <f t="array" aca="1" ref="J261" ca="1">IF(ISNUMBER(A261),IFERROR(_xlfn._xlws.FILTER(Equipar!A:A,(Equipar!B:B=5)*(Equipar!AC:AC=A261)),""),"")</f>
        <v/>
      </c>
    </row>
    <row r="262" spans="1:10" x14ac:dyDescent="0.25">
      <c r="A262" s="1" t="str">
        <f ca="1">IF(A261="ID",1,IF(ISBLANK(B262),"",MAX(A$2:A261)+1))</f>
        <v/>
      </c>
      <c r="I262" s="2" t="str">
        <f ca="1">IF(ISNUMBER(A262),
IF(COUNTIFS(Equipar!B:B,5,Equipar!AC:AC,A262),"Equipada",
IF(
 OR( COUNTIFS(Equipar!B:B,5,Equipar!C:C,A262)
 +COUNTIFS(Equipar!B:B,5,Equipar!D:D,A262)
+COUNTIFS(Equipar!B:B,5,Equipar!E:E,A262)
+COUNTIFS(Equipar!B:B,5,Equipar!F:F,A262)
&gt;0,COUNTIF('Set recomendado'!B:B,C262)=0),
"Bloqueada",
"Desechable")),""
)</f>
        <v/>
      </c>
      <c r="J262" t="str" cm="1">
        <f t="array" aca="1" ref="J262" ca="1">IF(ISNUMBER(A262),IFERROR(_xlfn._xlws.FILTER(Equipar!A:A,(Equipar!B:B=5)*(Equipar!AC:AC=A262)),""),"")</f>
        <v/>
      </c>
    </row>
    <row r="263" spans="1:10" x14ac:dyDescent="0.25">
      <c r="A263" s="1" t="str">
        <f ca="1">IF(A262="ID",1,IF(ISBLANK(B263),"",MAX(A$2:A262)+1))</f>
        <v/>
      </c>
      <c r="I263" s="2" t="str">
        <f ca="1">IF(ISNUMBER(A263),
IF(COUNTIFS(Equipar!B:B,5,Equipar!AC:AC,A263),"Equipada",
IF(
 OR( COUNTIFS(Equipar!B:B,5,Equipar!C:C,A263)
 +COUNTIFS(Equipar!B:B,5,Equipar!D:D,A263)
+COUNTIFS(Equipar!B:B,5,Equipar!E:E,A263)
+COUNTIFS(Equipar!B:B,5,Equipar!F:F,A263)
&gt;0,COUNTIF('Set recomendado'!B:B,C263)=0),
"Bloqueada",
"Desechable")),""
)</f>
        <v/>
      </c>
      <c r="J263" t="str" cm="1">
        <f t="array" aca="1" ref="J263" ca="1">IF(ISNUMBER(A263),IFERROR(_xlfn._xlws.FILTER(Equipar!A:A,(Equipar!B:B=5)*(Equipar!AC:AC=A263)),""),"")</f>
        <v/>
      </c>
    </row>
    <row r="264" spans="1:10" x14ac:dyDescent="0.25">
      <c r="A264" s="1" t="str">
        <f ca="1">IF(A263="ID",1,IF(ISBLANK(B264),"",MAX(A$2:A263)+1))</f>
        <v/>
      </c>
      <c r="I264" s="2" t="str">
        <f ca="1">IF(ISNUMBER(A264),
IF(COUNTIFS(Equipar!B:B,5,Equipar!AC:AC,A264),"Equipada",
IF(
 OR( COUNTIFS(Equipar!B:B,5,Equipar!C:C,A264)
 +COUNTIFS(Equipar!B:B,5,Equipar!D:D,A264)
+COUNTIFS(Equipar!B:B,5,Equipar!E:E,A264)
+COUNTIFS(Equipar!B:B,5,Equipar!F:F,A264)
&gt;0,COUNTIF('Set recomendado'!B:B,C264)=0),
"Bloqueada",
"Desechable")),""
)</f>
        <v/>
      </c>
      <c r="J264" t="str" cm="1">
        <f t="array" aca="1" ref="J264" ca="1">IF(ISNUMBER(A264),IFERROR(_xlfn._xlws.FILTER(Equipar!A:A,(Equipar!B:B=5)*(Equipar!AC:AC=A264)),""),"")</f>
        <v/>
      </c>
    </row>
    <row r="265" spans="1:10" x14ac:dyDescent="0.25">
      <c r="A265" s="1" t="str">
        <f ca="1">IF(A264="ID",1,IF(ISBLANK(B265),"",MAX(A$2:A264)+1))</f>
        <v/>
      </c>
      <c r="I265" s="2" t="str">
        <f ca="1">IF(ISNUMBER(A265),
IF(COUNTIFS(Equipar!B:B,5,Equipar!AC:AC,A265),"Equipada",
IF(
 OR( COUNTIFS(Equipar!B:B,5,Equipar!C:C,A265)
 +COUNTIFS(Equipar!B:B,5,Equipar!D:D,A265)
+COUNTIFS(Equipar!B:B,5,Equipar!E:E,A265)
+COUNTIFS(Equipar!B:B,5,Equipar!F:F,A265)
&gt;0,COUNTIF('Set recomendado'!B:B,C265)=0),
"Bloqueada",
"Desechable")),""
)</f>
        <v/>
      </c>
      <c r="J265" t="str" cm="1">
        <f t="array" aca="1" ref="J265" ca="1">IF(ISNUMBER(A265),IFERROR(_xlfn._xlws.FILTER(Equipar!A:A,(Equipar!B:B=5)*(Equipar!AC:AC=A265)),""),"")</f>
        <v/>
      </c>
    </row>
    <row r="266" spans="1:10" x14ac:dyDescent="0.25">
      <c r="A266" s="1" t="str">
        <f ca="1">IF(A265="ID",1,IF(ISBLANK(B266),"",MAX(A$2:A265)+1))</f>
        <v/>
      </c>
      <c r="I266" s="2" t="str">
        <f ca="1">IF(ISNUMBER(A266),
IF(COUNTIFS(Equipar!B:B,5,Equipar!AC:AC,A266),"Equipada",
IF(
 OR( COUNTIFS(Equipar!B:B,5,Equipar!C:C,A266)
 +COUNTIFS(Equipar!B:B,5,Equipar!D:D,A266)
+COUNTIFS(Equipar!B:B,5,Equipar!E:E,A266)
+COUNTIFS(Equipar!B:B,5,Equipar!F:F,A266)
&gt;0,COUNTIF('Set recomendado'!B:B,C266)=0),
"Bloqueada",
"Desechable")),""
)</f>
        <v/>
      </c>
      <c r="J266" t="str" cm="1">
        <f t="array" aca="1" ref="J266" ca="1">IF(ISNUMBER(A266),IFERROR(_xlfn._xlws.FILTER(Equipar!A:A,(Equipar!B:B=5)*(Equipar!AC:AC=A266)),""),"")</f>
        <v/>
      </c>
    </row>
    <row r="267" spans="1:10" x14ac:dyDescent="0.25">
      <c r="A267" s="1" t="str">
        <f ca="1">IF(A266="ID",1,IF(ISBLANK(B267),"",MAX(A$2:A266)+1))</f>
        <v/>
      </c>
      <c r="I267" s="2" t="str">
        <f ca="1">IF(ISNUMBER(A267),
IF(COUNTIFS(Equipar!B:B,5,Equipar!AC:AC,A267),"Equipada",
IF(
 OR( COUNTIFS(Equipar!B:B,5,Equipar!C:C,A267)
 +COUNTIFS(Equipar!B:B,5,Equipar!D:D,A267)
+COUNTIFS(Equipar!B:B,5,Equipar!E:E,A267)
+COUNTIFS(Equipar!B:B,5,Equipar!F:F,A267)
&gt;0,COUNTIF('Set recomendado'!B:B,C267)=0),
"Bloqueada",
"Desechable")),""
)</f>
        <v/>
      </c>
      <c r="J267" t="str" cm="1">
        <f t="array" aca="1" ref="J267" ca="1">IF(ISNUMBER(A267),IFERROR(_xlfn._xlws.FILTER(Equipar!A:A,(Equipar!B:B=5)*(Equipar!AC:AC=A267)),""),"")</f>
        <v/>
      </c>
    </row>
    <row r="268" spans="1:10" x14ac:dyDescent="0.25">
      <c r="A268" s="1" t="str">
        <f ca="1">IF(A267="ID",1,IF(ISBLANK(B268),"",MAX(A$2:A267)+1))</f>
        <v/>
      </c>
      <c r="I268" s="2" t="str">
        <f ca="1">IF(ISNUMBER(A268),
IF(COUNTIFS(Equipar!B:B,5,Equipar!AC:AC,A268),"Equipada",
IF(
 OR( COUNTIFS(Equipar!B:B,5,Equipar!C:C,A268)
 +COUNTIFS(Equipar!B:B,5,Equipar!D:D,A268)
+COUNTIFS(Equipar!B:B,5,Equipar!E:E,A268)
+COUNTIFS(Equipar!B:B,5,Equipar!F:F,A268)
&gt;0,COUNTIF('Set recomendado'!B:B,C268)=0),
"Bloqueada",
"Desechable")),""
)</f>
        <v/>
      </c>
      <c r="J268" t="str" cm="1">
        <f t="array" aca="1" ref="J268" ca="1">IF(ISNUMBER(A268),IFERROR(_xlfn._xlws.FILTER(Equipar!A:A,(Equipar!B:B=5)*(Equipar!AC:AC=A268)),""),"")</f>
        <v/>
      </c>
    </row>
    <row r="269" spans="1:10" x14ac:dyDescent="0.25">
      <c r="A269" s="1" t="str">
        <f ca="1">IF(A268="ID",1,IF(ISBLANK(B269),"",MAX(A$2:A268)+1))</f>
        <v/>
      </c>
      <c r="I269" s="2" t="str">
        <f ca="1">IF(ISNUMBER(A269),
IF(COUNTIFS(Equipar!B:B,5,Equipar!AC:AC,A269),"Equipada",
IF(
 OR( COUNTIFS(Equipar!B:B,5,Equipar!C:C,A269)
 +COUNTIFS(Equipar!B:B,5,Equipar!D:D,A269)
+COUNTIFS(Equipar!B:B,5,Equipar!E:E,A269)
+COUNTIFS(Equipar!B:B,5,Equipar!F:F,A269)
&gt;0,COUNTIF('Set recomendado'!B:B,C269)=0),
"Bloqueada",
"Desechable")),""
)</f>
        <v/>
      </c>
      <c r="J269" t="str" cm="1">
        <f t="array" aca="1" ref="J269" ca="1">IF(ISNUMBER(A269),IFERROR(_xlfn._xlws.FILTER(Equipar!A:A,(Equipar!B:B=5)*(Equipar!AC:AC=A269)),""),"")</f>
        <v/>
      </c>
    </row>
    <row r="270" spans="1:10" x14ac:dyDescent="0.25">
      <c r="A270" s="1" t="str">
        <f ca="1">IF(A269="ID",1,IF(ISBLANK(B270),"",MAX(A$2:A269)+1))</f>
        <v/>
      </c>
      <c r="I270" s="2" t="str">
        <f ca="1">IF(ISNUMBER(A270),
IF(COUNTIFS(Equipar!B:B,5,Equipar!AC:AC,A270),"Equipada",
IF(
 OR( COUNTIFS(Equipar!B:B,5,Equipar!C:C,A270)
 +COUNTIFS(Equipar!B:B,5,Equipar!D:D,A270)
+COUNTIFS(Equipar!B:B,5,Equipar!E:E,A270)
+COUNTIFS(Equipar!B:B,5,Equipar!F:F,A270)
&gt;0,COUNTIF('Set recomendado'!B:B,C270)=0),
"Bloqueada",
"Desechable")),""
)</f>
        <v/>
      </c>
      <c r="J270" t="str" cm="1">
        <f t="array" aca="1" ref="J270" ca="1">IF(ISNUMBER(A270),IFERROR(_xlfn._xlws.FILTER(Equipar!A:A,(Equipar!B:B=5)*(Equipar!AC:AC=A270)),""),"")</f>
        <v/>
      </c>
    </row>
    <row r="271" spans="1:10" x14ac:dyDescent="0.25">
      <c r="A271" s="1" t="str">
        <f ca="1">IF(A270="ID",1,IF(ISBLANK(B271),"",MAX(A$2:A270)+1))</f>
        <v/>
      </c>
      <c r="I271" s="2" t="str">
        <f ca="1">IF(ISNUMBER(A271),
IF(COUNTIFS(Equipar!B:B,5,Equipar!AC:AC,A271),"Equipada",
IF(
 OR( COUNTIFS(Equipar!B:B,5,Equipar!C:C,A271)
 +COUNTIFS(Equipar!B:B,5,Equipar!D:D,A271)
+COUNTIFS(Equipar!B:B,5,Equipar!E:E,A271)
+COUNTIFS(Equipar!B:B,5,Equipar!F:F,A271)
&gt;0,COUNTIF('Set recomendado'!B:B,C271)=0),
"Bloqueada",
"Desechable")),""
)</f>
        <v/>
      </c>
      <c r="J271" t="str" cm="1">
        <f t="array" aca="1" ref="J271" ca="1">IF(ISNUMBER(A271),IFERROR(_xlfn._xlws.FILTER(Equipar!A:A,(Equipar!B:B=5)*(Equipar!AC:AC=A271)),""),"")</f>
        <v/>
      </c>
    </row>
    <row r="272" spans="1:10" x14ac:dyDescent="0.25">
      <c r="A272" s="1" t="str">
        <f ca="1">IF(A271="ID",1,IF(ISBLANK(B272),"",MAX(A$2:A271)+1))</f>
        <v/>
      </c>
      <c r="I272" s="2" t="str">
        <f ca="1">IF(ISNUMBER(A272),
IF(COUNTIFS(Equipar!B:B,5,Equipar!AC:AC,A272),"Equipada",
IF(
 OR( COUNTIFS(Equipar!B:B,5,Equipar!C:C,A272)
 +COUNTIFS(Equipar!B:B,5,Equipar!D:D,A272)
+COUNTIFS(Equipar!B:B,5,Equipar!E:E,A272)
+COUNTIFS(Equipar!B:B,5,Equipar!F:F,A272)
&gt;0,COUNTIF('Set recomendado'!B:B,C272)=0),
"Bloqueada",
"Desechable")),""
)</f>
        <v/>
      </c>
      <c r="J272" t="str" cm="1">
        <f t="array" aca="1" ref="J272" ca="1">IF(ISNUMBER(A272),IFERROR(_xlfn._xlws.FILTER(Equipar!A:A,(Equipar!B:B=5)*(Equipar!AC:AC=A272)),""),"")</f>
        <v/>
      </c>
    </row>
    <row r="273" spans="1:10" x14ac:dyDescent="0.25">
      <c r="A273" s="1" t="str">
        <f ca="1">IF(A272="ID",1,IF(ISBLANK(B273),"",MAX(A$2:A272)+1))</f>
        <v/>
      </c>
      <c r="I273" s="2" t="str">
        <f ca="1">IF(ISNUMBER(A273),
IF(COUNTIFS(Equipar!B:B,5,Equipar!AC:AC,A273),"Equipada",
IF(
 OR( COUNTIFS(Equipar!B:B,5,Equipar!C:C,A273)
 +COUNTIFS(Equipar!B:B,5,Equipar!D:D,A273)
+COUNTIFS(Equipar!B:B,5,Equipar!E:E,A273)
+COUNTIFS(Equipar!B:B,5,Equipar!F:F,A273)
&gt;0,COUNTIF('Set recomendado'!B:B,C273)=0),
"Bloqueada",
"Desechable")),""
)</f>
        <v/>
      </c>
      <c r="J273" t="str" cm="1">
        <f t="array" aca="1" ref="J273" ca="1">IF(ISNUMBER(A273),IFERROR(_xlfn._xlws.FILTER(Equipar!A:A,(Equipar!B:B=5)*(Equipar!AC:AC=A273)),""),"")</f>
        <v/>
      </c>
    </row>
    <row r="274" spans="1:10" x14ac:dyDescent="0.25">
      <c r="A274" s="1" t="str">
        <f ca="1">IF(A273="ID",1,IF(ISBLANK(B274),"",MAX(A$2:A273)+1))</f>
        <v/>
      </c>
      <c r="I274" s="2" t="str">
        <f ca="1">IF(ISNUMBER(A274),
IF(COUNTIFS(Equipar!B:B,5,Equipar!AC:AC,A274),"Equipada",
IF(
 OR( COUNTIFS(Equipar!B:B,5,Equipar!C:C,A274)
 +COUNTIFS(Equipar!B:B,5,Equipar!D:D,A274)
+COUNTIFS(Equipar!B:B,5,Equipar!E:E,A274)
+COUNTIFS(Equipar!B:B,5,Equipar!F:F,A274)
&gt;0,COUNTIF('Set recomendado'!B:B,C274)=0),
"Bloqueada",
"Desechable")),""
)</f>
        <v/>
      </c>
      <c r="J274" t="str" cm="1">
        <f t="array" aca="1" ref="J274" ca="1">IF(ISNUMBER(A274),IFERROR(_xlfn._xlws.FILTER(Equipar!A:A,(Equipar!B:B=5)*(Equipar!AC:AC=A274)),""),"")</f>
        <v/>
      </c>
    </row>
    <row r="275" spans="1:10" x14ac:dyDescent="0.25">
      <c r="A275" s="1" t="str">
        <f ca="1">IF(A274="ID",1,IF(ISBLANK(B275),"",MAX(A$2:A274)+1))</f>
        <v/>
      </c>
      <c r="I275" s="2" t="str">
        <f ca="1">IF(ISNUMBER(A275),
IF(COUNTIFS(Equipar!B:B,5,Equipar!AC:AC,A275),"Equipada",
IF(
 OR( COUNTIFS(Equipar!B:B,5,Equipar!C:C,A275)
 +COUNTIFS(Equipar!B:B,5,Equipar!D:D,A275)
+COUNTIFS(Equipar!B:B,5,Equipar!E:E,A275)
+COUNTIFS(Equipar!B:B,5,Equipar!F:F,A275)
&gt;0,COUNTIF('Set recomendado'!B:B,C275)=0),
"Bloqueada",
"Desechable")),""
)</f>
        <v/>
      </c>
      <c r="J275" t="str" cm="1">
        <f t="array" aca="1" ref="J275" ca="1">IF(ISNUMBER(A275),IFERROR(_xlfn._xlws.FILTER(Equipar!A:A,(Equipar!B:B=5)*(Equipar!AC:AC=A275)),""),"")</f>
        <v/>
      </c>
    </row>
    <row r="276" spans="1:10" x14ac:dyDescent="0.25">
      <c r="A276" s="1" t="str">
        <f ca="1">IF(A275="ID",1,IF(ISBLANK(B276),"",MAX(A$2:A275)+1))</f>
        <v/>
      </c>
      <c r="I276" s="2" t="str">
        <f ca="1">IF(ISNUMBER(A276),
IF(COUNTIFS(Equipar!B:B,5,Equipar!AC:AC,A276),"Equipada",
IF(
 OR( COUNTIFS(Equipar!B:B,5,Equipar!C:C,A276)
 +COUNTIFS(Equipar!B:B,5,Equipar!D:D,A276)
+COUNTIFS(Equipar!B:B,5,Equipar!E:E,A276)
+COUNTIFS(Equipar!B:B,5,Equipar!F:F,A276)
&gt;0,COUNTIF('Set recomendado'!B:B,C276)=0),
"Bloqueada",
"Desechable")),""
)</f>
        <v/>
      </c>
      <c r="J276" t="str" cm="1">
        <f t="array" aca="1" ref="J276" ca="1">IF(ISNUMBER(A276),IFERROR(_xlfn._xlws.FILTER(Equipar!A:A,(Equipar!B:B=5)*(Equipar!AC:AC=A276)),""),"")</f>
        <v/>
      </c>
    </row>
    <row r="277" spans="1:10" x14ac:dyDescent="0.25">
      <c r="A277" s="1" t="str">
        <f ca="1">IF(A276="ID",1,IF(ISBLANK(B277),"",MAX(A$2:A276)+1))</f>
        <v/>
      </c>
      <c r="I277" s="2" t="str">
        <f ca="1">IF(ISNUMBER(A277),
IF(COUNTIFS(Equipar!B:B,5,Equipar!AC:AC,A277),"Equipada",
IF(
 OR( COUNTIFS(Equipar!B:B,5,Equipar!C:C,A277)
 +COUNTIFS(Equipar!B:B,5,Equipar!D:D,A277)
+COUNTIFS(Equipar!B:B,5,Equipar!E:E,A277)
+COUNTIFS(Equipar!B:B,5,Equipar!F:F,A277)
&gt;0,COUNTIF('Set recomendado'!B:B,C277)=0),
"Bloqueada",
"Desechable")),""
)</f>
        <v/>
      </c>
      <c r="J277" t="str" cm="1">
        <f t="array" aca="1" ref="J277" ca="1">IF(ISNUMBER(A277),IFERROR(_xlfn._xlws.FILTER(Equipar!A:A,(Equipar!B:B=5)*(Equipar!AC:AC=A277)),""),"")</f>
        <v/>
      </c>
    </row>
    <row r="278" spans="1:10" x14ac:dyDescent="0.25">
      <c r="A278" s="1" t="str">
        <f ca="1">IF(A277="ID",1,IF(ISBLANK(B278),"",MAX(A$2:A277)+1))</f>
        <v/>
      </c>
      <c r="I278" s="2" t="str">
        <f ca="1">IF(ISNUMBER(A278),
IF(COUNTIFS(Equipar!B:B,5,Equipar!AC:AC,A278),"Equipada",
IF(
 OR( COUNTIFS(Equipar!B:B,5,Equipar!C:C,A278)
 +COUNTIFS(Equipar!B:B,5,Equipar!D:D,A278)
+COUNTIFS(Equipar!B:B,5,Equipar!E:E,A278)
+COUNTIFS(Equipar!B:B,5,Equipar!F:F,A278)
&gt;0,COUNTIF('Set recomendado'!B:B,C278)=0),
"Bloqueada",
"Desechable")),""
)</f>
        <v/>
      </c>
      <c r="J278" t="str" cm="1">
        <f t="array" aca="1" ref="J278" ca="1">IF(ISNUMBER(A278),IFERROR(_xlfn._xlws.FILTER(Equipar!A:A,(Equipar!B:B=5)*(Equipar!AC:AC=A278)),""),"")</f>
        <v/>
      </c>
    </row>
    <row r="279" spans="1:10" x14ac:dyDescent="0.25">
      <c r="A279" s="1" t="str">
        <f ca="1">IF(A278="ID",1,IF(ISBLANK(B279),"",MAX(A$2:A278)+1))</f>
        <v/>
      </c>
      <c r="I279" s="2" t="str">
        <f ca="1">IF(ISNUMBER(A279),
IF(COUNTIFS(Equipar!B:B,5,Equipar!AC:AC,A279),"Equipada",
IF(
 OR( COUNTIFS(Equipar!B:B,5,Equipar!C:C,A279)
 +COUNTIFS(Equipar!B:B,5,Equipar!D:D,A279)
+COUNTIFS(Equipar!B:B,5,Equipar!E:E,A279)
+COUNTIFS(Equipar!B:B,5,Equipar!F:F,A279)
&gt;0,COUNTIF('Set recomendado'!B:B,C279)=0),
"Bloqueada",
"Desechable")),""
)</f>
        <v/>
      </c>
      <c r="J279" t="str" cm="1">
        <f t="array" aca="1" ref="J279" ca="1">IF(ISNUMBER(A279),IFERROR(_xlfn._xlws.FILTER(Equipar!A:A,(Equipar!B:B=5)*(Equipar!AC:AC=A279)),""),"")</f>
        <v/>
      </c>
    </row>
    <row r="280" spans="1:10" x14ac:dyDescent="0.25">
      <c r="A280" s="1" t="str">
        <f ca="1">IF(A279="ID",1,IF(ISBLANK(B280),"",MAX(A$2:A279)+1))</f>
        <v/>
      </c>
      <c r="I280" s="2" t="str">
        <f ca="1">IF(ISNUMBER(A280),
IF(COUNTIFS(Equipar!B:B,5,Equipar!AC:AC,A280),"Equipada",
IF(
 OR( COUNTIFS(Equipar!B:B,5,Equipar!C:C,A280)
 +COUNTIFS(Equipar!B:B,5,Equipar!D:D,A280)
+COUNTIFS(Equipar!B:B,5,Equipar!E:E,A280)
+COUNTIFS(Equipar!B:B,5,Equipar!F:F,A280)
&gt;0,COUNTIF('Set recomendado'!B:B,C280)=0),
"Bloqueada",
"Desechable")),""
)</f>
        <v/>
      </c>
      <c r="J280" t="str" cm="1">
        <f t="array" aca="1" ref="J280" ca="1">IF(ISNUMBER(A280),IFERROR(_xlfn._xlws.FILTER(Equipar!A:A,(Equipar!B:B=5)*(Equipar!AC:AC=A280)),""),"")</f>
        <v/>
      </c>
    </row>
    <row r="281" spans="1:10" x14ac:dyDescent="0.25">
      <c r="A281" s="1" t="str">
        <f ca="1">IF(A280="ID",1,IF(ISBLANK(B281),"",MAX(A$2:A280)+1))</f>
        <v/>
      </c>
      <c r="I281" s="2" t="str">
        <f ca="1">IF(ISNUMBER(A281),
IF(COUNTIFS(Equipar!B:B,5,Equipar!AC:AC,A281),"Equipada",
IF(
 OR( COUNTIFS(Equipar!B:B,5,Equipar!C:C,A281)
 +COUNTIFS(Equipar!B:B,5,Equipar!D:D,A281)
+COUNTIFS(Equipar!B:B,5,Equipar!E:E,A281)
+COUNTIFS(Equipar!B:B,5,Equipar!F:F,A281)
&gt;0,COUNTIF('Set recomendado'!B:B,C281)=0),
"Bloqueada",
"Desechable")),""
)</f>
        <v/>
      </c>
      <c r="J281" t="str" cm="1">
        <f t="array" aca="1" ref="J281" ca="1">IF(ISNUMBER(A281),IFERROR(_xlfn._xlws.FILTER(Equipar!A:A,(Equipar!B:B=5)*(Equipar!AC:AC=A281)),""),"")</f>
        <v/>
      </c>
    </row>
    <row r="282" spans="1:10" x14ac:dyDescent="0.25">
      <c r="A282" s="1" t="str">
        <f ca="1">IF(A281="ID",1,IF(ISBLANK(B282),"",MAX(A$2:A281)+1))</f>
        <v/>
      </c>
      <c r="I282" s="2" t="str">
        <f ca="1">IF(ISNUMBER(A282),
IF(COUNTIFS(Equipar!B:B,5,Equipar!AC:AC,A282),"Equipada",
IF(
 OR( COUNTIFS(Equipar!B:B,5,Equipar!C:C,A282)
 +COUNTIFS(Equipar!B:B,5,Equipar!D:D,A282)
+COUNTIFS(Equipar!B:B,5,Equipar!E:E,A282)
+COUNTIFS(Equipar!B:B,5,Equipar!F:F,A282)
&gt;0,COUNTIF('Set recomendado'!B:B,C282)=0),
"Bloqueada",
"Desechable")),""
)</f>
        <v/>
      </c>
      <c r="J282" t="str" cm="1">
        <f t="array" aca="1" ref="J282" ca="1">IF(ISNUMBER(A282),IFERROR(_xlfn._xlws.FILTER(Equipar!A:A,(Equipar!B:B=5)*(Equipar!AC:AC=A282)),""),"")</f>
        <v/>
      </c>
    </row>
    <row r="283" spans="1:10" x14ac:dyDescent="0.25">
      <c r="A283" s="1" t="str">
        <f ca="1">IF(A282="ID",1,IF(ISBLANK(B283),"",MAX(A$2:A282)+1))</f>
        <v/>
      </c>
      <c r="I283" s="2" t="str">
        <f ca="1">IF(ISNUMBER(A283),
IF(COUNTIFS(Equipar!B:B,5,Equipar!AC:AC,A283),"Equipada",
IF(
 OR( COUNTIFS(Equipar!B:B,5,Equipar!C:C,A283)
 +COUNTIFS(Equipar!B:B,5,Equipar!D:D,A283)
+COUNTIFS(Equipar!B:B,5,Equipar!E:E,A283)
+COUNTIFS(Equipar!B:B,5,Equipar!F:F,A283)
&gt;0,COUNTIF('Set recomendado'!B:B,C283)=0),
"Bloqueada",
"Desechable")),""
)</f>
        <v/>
      </c>
      <c r="J283" t="str" cm="1">
        <f t="array" aca="1" ref="J283" ca="1">IF(ISNUMBER(A283),IFERROR(_xlfn._xlws.FILTER(Equipar!A:A,(Equipar!B:B=5)*(Equipar!AC:AC=A283)),""),"")</f>
        <v/>
      </c>
    </row>
    <row r="284" spans="1:10" x14ac:dyDescent="0.25">
      <c r="A284" s="1" t="str">
        <f ca="1">IF(A283="ID",1,IF(ISBLANK(B284),"",MAX(A$2:A283)+1))</f>
        <v/>
      </c>
      <c r="I284" s="2" t="str">
        <f ca="1">IF(ISNUMBER(A284),
IF(COUNTIFS(Equipar!B:B,5,Equipar!AC:AC,A284),"Equipada",
IF(
 OR( COUNTIFS(Equipar!B:B,5,Equipar!C:C,A284)
 +COUNTIFS(Equipar!B:B,5,Equipar!D:D,A284)
+COUNTIFS(Equipar!B:B,5,Equipar!E:E,A284)
+COUNTIFS(Equipar!B:B,5,Equipar!F:F,A284)
&gt;0,COUNTIF('Set recomendado'!B:B,C284)=0),
"Bloqueada",
"Desechable")),""
)</f>
        <v/>
      </c>
      <c r="J284" t="str" cm="1">
        <f t="array" aca="1" ref="J284" ca="1">IF(ISNUMBER(A284),IFERROR(_xlfn._xlws.FILTER(Equipar!A:A,(Equipar!B:B=5)*(Equipar!AC:AC=A284)),""),"")</f>
        <v/>
      </c>
    </row>
    <row r="285" spans="1:10" x14ac:dyDescent="0.25">
      <c r="A285" s="1" t="str">
        <f ca="1">IF(A284="ID",1,IF(ISBLANK(B285),"",MAX(A$2:A284)+1))</f>
        <v/>
      </c>
      <c r="I285" s="2" t="str">
        <f ca="1">IF(ISNUMBER(A285),
IF(COUNTIFS(Equipar!B:B,5,Equipar!AC:AC,A285),"Equipada",
IF(
 OR( COUNTIFS(Equipar!B:B,5,Equipar!C:C,A285)
 +COUNTIFS(Equipar!B:B,5,Equipar!D:D,A285)
+COUNTIFS(Equipar!B:B,5,Equipar!E:E,A285)
+COUNTIFS(Equipar!B:B,5,Equipar!F:F,A285)
&gt;0,COUNTIF('Set recomendado'!B:B,C285)=0),
"Bloqueada",
"Desechable")),""
)</f>
        <v/>
      </c>
      <c r="J285" t="str" cm="1">
        <f t="array" aca="1" ref="J285" ca="1">IF(ISNUMBER(A285),IFERROR(_xlfn._xlws.FILTER(Equipar!A:A,(Equipar!B:B=5)*(Equipar!AC:AC=A285)),""),"")</f>
        <v/>
      </c>
    </row>
    <row r="286" spans="1:10" x14ac:dyDescent="0.25">
      <c r="A286" s="1" t="str">
        <f ca="1">IF(A285="ID",1,IF(ISBLANK(B286),"",MAX(A$2:A285)+1))</f>
        <v/>
      </c>
      <c r="I286" s="2" t="str">
        <f ca="1">IF(ISNUMBER(A286),
IF(COUNTIFS(Equipar!B:B,5,Equipar!AC:AC,A286),"Equipada",
IF(
 OR( COUNTIFS(Equipar!B:B,5,Equipar!C:C,A286)
 +COUNTIFS(Equipar!B:B,5,Equipar!D:D,A286)
+COUNTIFS(Equipar!B:B,5,Equipar!E:E,A286)
+COUNTIFS(Equipar!B:B,5,Equipar!F:F,A286)
&gt;0,COUNTIF('Set recomendado'!B:B,C286)=0),
"Bloqueada",
"Desechable")),""
)</f>
        <v/>
      </c>
      <c r="J286" t="str" cm="1">
        <f t="array" aca="1" ref="J286" ca="1">IF(ISNUMBER(A286),IFERROR(_xlfn._xlws.FILTER(Equipar!A:A,(Equipar!B:B=5)*(Equipar!AC:AC=A286)),""),"")</f>
        <v/>
      </c>
    </row>
    <row r="287" spans="1:10" x14ac:dyDescent="0.25">
      <c r="A287" s="1" t="str">
        <f ca="1">IF(A286="ID",1,IF(ISBLANK(B287),"",MAX(A$2:A286)+1))</f>
        <v/>
      </c>
      <c r="I287" s="2" t="str">
        <f ca="1">IF(ISNUMBER(A287),
IF(COUNTIFS(Equipar!B:B,5,Equipar!AC:AC,A287),"Equipada",
IF(
 OR( COUNTIFS(Equipar!B:B,5,Equipar!C:C,A287)
 +COUNTIFS(Equipar!B:B,5,Equipar!D:D,A287)
+COUNTIFS(Equipar!B:B,5,Equipar!E:E,A287)
+COUNTIFS(Equipar!B:B,5,Equipar!F:F,A287)
&gt;0,COUNTIF('Set recomendado'!B:B,C287)=0),
"Bloqueada",
"Desechable")),""
)</f>
        <v/>
      </c>
      <c r="J287" t="str" cm="1">
        <f t="array" aca="1" ref="J287" ca="1">IF(ISNUMBER(A287),IFERROR(_xlfn._xlws.FILTER(Equipar!A:A,(Equipar!B:B=5)*(Equipar!AC:AC=A287)),""),"")</f>
        <v/>
      </c>
    </row>
    <row r="288" spans="1:10" x14ac:dyDescent="0.25">
      <c r="A288" s="1" t="str">
        <f ca="1">IF(A287="ID",1,IF(ISBLANK(B288),"",MAX(A$2:A287)+1))</f>
        <v/>
      </c>
      <c r="I288" s="2" t="str">
        <f ca="1">IF(ISNUMBER(A288),
IF(COUNTIFS(Equipar!B:B,5,Equipar!AC:AC,A288),"Equipada",
IF(
 OR( COUNTIFS(Equipar!B:B,5,Equipar!C:C,A288)
 +COUNTIFS(Equipar!B:B,5,Equipar!D:D,A288)
+COUNTIFS(Equipar!B:B,5,Equipar!E:E,A288)
+COUNTIFS(Equipar!B:B,5,Equipar!F:F,A288)
&gt;0,COUNTIF('Set recomendado'!B:B,C288)=0),
"Bloqueada",
"Desechable")),""
)</f>
        <v/>
      </c>
      <c r="J288" t="str" cm="1">
        <f t="array" aca="1" ref="J288" ca="1">IF(ISNUMBER(A288),IFERROR(_xlfn._xlws.FILTER(Equipar!A:A,(Equipar!B:B=5)*(Equipar!AC:AC=A288)),""),"")</f>
        <v/>
      </c>
    </row>
    <row r="289" spans="1:10" x14ac:dyDescent="0.25">
      <c r="A289" s="1" t="str">
        <f ca="1">IF(A288="ID",1,IF(ISBLANK(B289),"",MAX(A$2:A288)+1))</f>
        <v/>
      </c>
      <c r="I289" s="2" t="str">
        <f ca="1">IF(ISNUMBER(A289),
IF(COUNTIFS(Equipar!B:B,5,Equipar!AC:AC,A289),"Equipada",
IF(
 OR( COUNTIFS(Equipar!B:B,5,Equipar!C:C,A289)
 +COUNTIFS(Equipar!B:B,5,Equipar!D:D,A289)
+COUNTIFS(Equipar!B:B,5,Equipar!E:E,A289)
+COUNTIFS(Equipar!B:B,5,Equipar!F:F,A289)
&gt;0,COUNTIF('Set recomendado'!B:B,C289)=0),
"Bloqueada",
"Desechable")),""
)</f>
        <v/>
      </c>
      <c r="J289" t="str" cm="1">
        <f t="array" aca="1" ref="J289" ca="1">IF(ISNUMBER(A289),IFERROR(_xlfn._xlws.FILTER(Equipar!A:A,(Equipar!B:B=5)*(Equipar!AC:AC=A289)),""),"")</f>
        <v/>
      </c>
    </row>
    <row r="290" spans="1:10" x14ac:dyDescent="0.25">
      <c r="A290" s="1" t="str">
        <f ca="1">IF(A289="ID",1,IF(ISBLANK(B290),"",MAX(A$2:A289)+1))</f>
        <v/>
      </c>
      <c r="I290" s="2" t="str">
        <f ca="1">IF(ISNUMBER(A290),
IF(COUNTIFS(Equipar!B:B,5,Equipar!AC:AC,A290),"Equipada",
IF(
 OR( COUNTIFS(Equipar!B:B,5,Equipar!C:C,A290)
 +COUNTIFS(Equipar!B:B,5,Equipar!D:D,A290)
+COUNTIFS(Equipar!B:B,5,Equipar!E:E,A290)
+COUNTIFS(Equipar!B:B,5,Equipar!F:F,A290)
&gt;0,COUNTIF('Set recomendado'!B:B,C290)=0),
"Bloqueada",
"Desechable")),""
)</f>
        <v/>
      </c>
      <c r="J290" t="str" cm="1">
        <f t="array" aca="1" ref="J290" ca="1">IF(ISNUMBER(A290),IFERROR(_xlfn._xlws.FILTER(Equipar!A:A,(Equipar!B:B=5)*(Equipar!AC:AC=A290)),""),"")</f>
        <v/>
      </c>
    </row>
    <row r="291" spans="1:10" x14ac:dyDescent="0.25">
      <c r="A291" s="1" t="str">
        <f ca="1">IF(A290="ID",1,IF(ISBLANK(B291),"",MAX(A$2:A290)+1))</f>
        <v/>
      </c>
      <c r="I291" s="2" t="str">
        <f ca="1">IF(ISNUMBER(A291),
IF(COUNTIFS(Equipar!B:B,5,Equipar!AC:AC,A291),"Equipada",
IF(
 OR( COUNTIFS(Equipar!B:B,5,Equipar!C:C,A291)
 +COUNTIFS(Equipar!B:B,5,Equipar!D:D,A291)
+COUNTIFS(Equipar!B:B,5,Equipar!E:E,A291)
+COUNTIFS(Equipar!B:B,5,Equipar!F:F,A291)
&gt;0,COUNTIF('Set recomendado'!B:B,C291)=0),
"Bloqueada",
"Desechable")),""
)</f>
        <v/>
      </c>
      <c r="J291" t="str" cm="1">
        <f t="array" aca="1" ref="J291" ca="1">IF(ISNUMBER(A291),IFERROR(_xlfn._xlws.FILTER(Equipar!A:A,(Equipar!B:B=5)*(Equipar!AC:AC=A291)),""),"")</f>
        <v/>
      </c>
    </row>
    <row r="292" spans="1:10" x14ac:dyDescent="0.25">
      <c r="A292" s="1" t="str">
        <f ca="1">IF(A291="ID",1,IF(ISBLANK(B292),"",MAX(A$2:A291)+1))</f>
        <v/>
      </c>
      <c r="I292" s="2" t="str">
        <f ca="1">IF(ISNUMBER(A292),
IF(COUNTIFS(Equipar!B:B,5,Equipar!AC:AC,A292),"Equipada",
IF(
 OR( COUNTIFS(Equipar!B:B,5,Equipar!C:C,A292)
 +COUNTIFS(Equipar!B:B,5,Equipar!D:D,A292)
+COUNTIFS(Equipar!B:B,5,Equipar!E:E,A292)
+COUNTIFS(Equipar!B:B,5,Equipar!F:F,A292)
&gt;0,COUNTIF('Set recomendado'!B:B,C292)=0),
"Bloqueada",
"Desechable")),""
)</f>
        <v/>
      </c>
      <c r="J292" t="str" cm="1">
        <f t="array" aca="1" ref="J292" ca="1">IF(ISNUMBER(A292),IFERROR(_xlfn._xlws.FILTER(Equipar!A:A,(Equipar!B:B=5)*(Equipar!AC:AC=A292)),""),"")</f>
        <v/>
      </c>
    </row>
    <row r="293" spans="1:10" x14ac:dyDescent="0.25">
      <c r="A293" s="1" t="str">
        <f ca="1">IF(A292="ID",1,IF(ISBLANK(B293),"",MAX(A$2:A292)+1))</f>
        <v/>
      </c>
      <c r="I293" s="2" t="str">
        <f ca="1">IF(ISNUMBER(A293),
IF(COUNTIFS(Equipar!B:B,5,Equipar!AC:AC,A293),"Equipada",
IF(
 OR( COUNTIFS(Equipar!B:B,5,Equipar!C:C,A293)
 +COUNTIFS(Equipar!B:B,5,Equipar!D:D,A293)
+COUNTIFS(Equipar!B:B,5,Equipar!E:E,A293)
+COUNTIFS(Equipar!B:B,5,Equipar!F:F,A293)
&gt;0,COUNTIF('Set recomendado'!B:B,C293)=0),
"Bloqueada",
"Desechable")),""
)</f>
        <v/>
      </c>
      <c r="J293" t="str" cm="1">
        <f t="array" aca="1" ref="J293" ca="1">IF(ISNUMBER(A293),IFERROR(_xlfn._xlws.FILTER(Equipar!A:A,(Equipar!B:B=5)*(Equipar!AC:AC=A293)),""),"")</f>
        <v/>
      </c>
    </row>
    <row r="294" spans="1:10" x14ac:dyDescent="0.25">
      <c r="A294" s="1" t="str">
        <f ca="1">IF(A293="ID",1,IF(ISBLANK(B294),"",MAX(A$2:A293)+1))</f>
        <v/>
      </c>
      <c r="I294" s="2" t="str">
        <f ca="1">IF(ISNUMBER(A294),
IF(COUNTIFS(Equipar!B:B,5,Equipar!AC:AC,A294),"Equipada",
IF(
 OR( COUNTIFS(Equipar!B:B,5,Equipar!C:C,A294)
 +COUNTIFS(Equipar!B:B,5,Equipar!D:D,A294)
+COUNTIFS(Equipar!B:B,5,Equipar!E:E,A294)
+COUNTIFS(Equipar!B:B,5,Equipar!F:F,A294)
&gt;0,COUNTIF('Set recomendado'!B:B,C294)=0),
"Bloqueada",
"Desechable")),""
)</f>
        <v/>
      </c>
      <c r="J294" t="str" cm="1">
        <f t="array" aca="1" ref="J294" ca="1">IF(ISNUMBER(A294),IFERROR(_xlfn._xlws.FILTER(Equipar!A:A,(Equipar!B:B=5)*(Equipar!AC:AC=A294)),""),"")</f>
        <v/>
      </c>
    </row>
    <row r="295" spans="1:10" x14ac:dyDescent="0.25">
      <c r="A295" s="1" t="str">
        <f ca="1">IF(A294="ID",1,IF(ISBLANK(B295),"",MAX(A$2:A294)+1))</f>
        <v/>
      </c>
      <c r="I295" s="2" t="str">
        <f ca="1">IF(ISNUMBER(A295),
IF(COUNTIFS(Equipar!B:B,5,Equipar!AC:AC,A295),"Equipada",
IF(
 OR( COUNTIFS(Equipar!B:B,5,Equipar!C:C,A295)
 +COUNTIFS(Equipar!B:B,5,Equipar!D:D,A295)
+COUNTIFS(Equipar!B:B,5,Equipar!E:E,A295)
+COUNTIFS(Equipar!B:B,5,Equipar!F:F,A295)
&gt;0,COUNTIF('Set recomendado'!B:B,C295)=0),
"Bloqueada",
"Desechable")),""
)</f>
        <v/>
      </c>
      <c r="J295" t="str" cm="1">
        <f t="array" aca="1" ref="J295" ca="1">IF(ISNUMBER(A295),IFERROR(_xlfn._xlws.FILTER(Equipar!A:A,(Equipar!B:B=5)*(Equipar!AC:AC=A295)),""),"")</f>
        <v/>
      </c>
    </row>
    <row r="296" spans="1:10" x14ac:dyDescent="0.25">
      <c r="A296" s="1" t="str">
        <f ca="1">IF(A295="ID",1,IF(ISBLANK(B296),"",MAX(A$2:A295)+1))</f>
        <v/>
      </c>
      <c r="I296" s="2" t="str">
        <f ca="1">IF(ISNUMBER(A296),
IF(COUNTIFS(Equipar!B:B,5,Equipar!AC:AC,A296),"Equipada",
IF(
 OR( COUNTIFS(Equipar!B:B,5,Equipar!C:C,A296)
 +COUNTIFS(Equipar!B:B,5,Equipar!D:D,A296)
+COUNTIFS(Equipar!B:B,5,Equipar!E:E,A296)
+COUNTIFS(Equipar!B:B,5,Equipar!F:F,A296)
&gt;0,COUNTIF('Set recomendado'!B:B,C296)=0),
"Bloqueada",
"Desechable")),""
)</f>
        <v/>
      </c>
      <c r="J296" t="str" cm="1">
        <f t="array" aca="1" ref="J296" ca="1">IF(ISNUMBER(A296),IFERROR(_xlfn._xlws.FILTER(Equipar!A:A,(Equipar!B:B=5)*(Equipar!AC:AC=A296)),""),"")</f>
        <v/>
      </c>
    </row>
    <row r="297" spans="1:10" x14ac:dyDescent="0.25">
      <c r="A297" s="1" t="str">
        <f ca="1">IF(A296="ID",1,IF(ISBLANK(B297),"",MAX(A$2:A296)+1))</f>
        <v/>
      </c>
      <c r="I297" s="2" t="str">
        <f ca="1">IF(ISNUMBER(A297),
IF(COUNTIFS(Equipar!B:B,5,Equipar!AC:AC,A297),"Equipada",
IF(
 OR( COUNTIFS(Equipar!B:B,5,Equipar!C:C,A297)
 +COUNTIFS(Equipar!B:B,5,Equipar!D:D,A297)
+COUNTIFS(Equipar!B:B,5,Equipar!E:E,A297)
+COUNTIFS(Equipar!B:B,5,Equipar!F:F,A297)
&gt;0,COUNTIF('Set recomendado'!B:B,C297)=0),
"Bloqueada",
"Desechable")),""
)</f>
        <v/>
      </c>
      <c r="J297" t="str" cm="1">
        <f t="array" aca="1" ref="J297" ca="1">IF(ISNUMBER(A297),IFERROR(_xlfn._xlws.FILTER(Equipar!A:A,(Equipar!B:B=5)*(Equipar!AC:AC=A297)),""),"")</f>
        <v/>
      </c>
    </row>
    <row r="298" spans="1:10" x14ac:dyDescent="0.25">
      <c r="A298" s="1" t="str">
        <f ca="1">IF(A297="ID",1,IF(ISBLANK(B298),"",MAX(A$2:A297)+1))</f>
        <v/>
      </c>
      <c r="I298" s="2" t="str">
        <f ca="1">IF(ISNUMBER(A298),
IF(COUNTIFS(Equipar!B:B,5,Equipar!AC:AC,A298),"Equipada",
IF(
 OR( COUNTIFS(Equipar!B:B,5,Equipar!C:C,A298)
 +COUNTIFS(Equipar!B:B,5,Equipar!D:D,A298)
+COUNTIFS(Equipar!B:B,5,Equipar!E:E,A298)
+COUNTIFS(Equipar!B:B,5,Equipar!F:F,A298)
&gt;0,COUNTIF('Set recomendado'!B:B,C298)=0),
"Bloqueada",
"Desechable")),""
)</f>
        <v/>
      </c>
      <c r="J298" t="str" cm="1">
        <f t="array" aca="1" ref="J298" ca="1">IF(ISNUMBER(A298),IFERROR(_xlfn._xlws.FILTER(Equipar!A:A,(Equipar!B:B=5)*(Equipar!AC:AC=A298)),""),"")</f>
        <v/>
      </c>
    </row>
    <row r="299" spans="1:10" x14ac:dyDescent="0.25">
      <c r="A299" s="1" t="str">
        <f ca="1">IF(A298="ID",1,IF(ISBLANK(B299),"",MAX(A$2:A298)+1))</f>
        <v/>
      </c>
      <c r="I299" s="2" t="str">
        <f ca="1">IF(ISNUMBER(A299),
IF(COUNTIFS(Equipar!B:B,5,Equipar!AC:AC,A299),"Equipada",
IF(
 OR( COUNTIFS(Equipar!B:B,5,Equipar!C:C,A299)
 +COUNTIFS(Equipar!B:B,5,Equipar!D:D,A299)
+COUNTIFS(Equipar!B:B,5,Equipar!E:E,A299)
+COUNTIFS(Equipar!B:B,5,Equipar!F:F,A299)
&gt;0,COUNTIF('Set recomendado'!B:B,C299)=0),
"Bloqueada",
"Desechable")),""
)</f>
        <v/>
      </c>
      <c r="J299" t="str" cm="1">
        <f t="array" aca="1" ref="J299" ca="1">IF(ISNUMBER(A299),IFERROR(_xlfn._xlws.FILTER(Equipar!A:A,(Equipar!B:B=5)*(Equipar!AC:AC=A299)),""),"")</f>
        <v/>
      </c>
    </row>
    <row r="300" spans="1:10" x14ac:dyDescent="0.25">
      <c r="A300" s="1" t="str">
        <f ca="1">IF(A299="ID",1,IF(ISBLANK(B300),"",MAX(A$2:A299)+1))</f>
        <v/>
      </c>
      <c r="I300" s="2" t="str">
        <f ca="1">IF(ISNUMBER(A300),
IF(COUNTIFS(Equipar!B:B,5,Equipar!AC:AC,A300),"Equipada",
IF(
 OR( COUNTIFS(Equipar!B:B,5,Equipar!C:C,A300)
 +COUNTIFS(Equipar!B:B,5,Equipar!D:D,A300)
+COUNTIFS(Equipar!B:B,5,Equipar!E:E,A300)
+COUNTIFS(Equipar!B:B,5,Equipar!F:F,A300)
&gt;0,COUNTIF('Set recomendado'!B:B,C300)=0),
"Bloqueada",
"Desechable")),""
)</f>
        <v/>
      </c>
      <c r="J300" t="str" cm="1">
        <f t="array" aca="1" ref="J300" ca="1">IF(ISNUMBER(A300),IFERROR(_xlfn._xlws.FILTER(Equipar!A:A,(Equipar!B:B=5)*(Equipar!AC:AC=A300)),""),"")</f>
        <v/>
      </c>
    </row>
    <row r="301" spans="1:10" x14ac:dyDescent="0.25">
      <c r="A301" s="1" t="str">
        <f ca="1">IF(A300="ID",1,IF(ISBLANK(B301),"",MAX(A$2:A300)+1))</f>
        <v/>
      </c>
      <c r="I301" s="2" t="str">
        <f ca="1">IF(ISNUMBER(A301),
IF(COUNTIFS(Equipar!B:B,5,Equipar!AC:AC,A301),"Equipada",
IF(
 OR( COUNTIFS(Equipar!B:B,5,Equipar!C:C,A301)
 +COUNTIFS(Equipar!B:B,5,Equipar!D:D,A301)
+COUNTIFS(Equipar!B:B,5,Equipar!E:E,A301)
+COUNTIFS(Equipar!B:B,5,Equipar!F:F,A301)
&gt;0,COUNTIF('Set recomendado'!B:B,C301)=0),
"Bloqueada",
"Desechable")),""
)</f>
        <v/>
      </c>
      <c r="J301" t="str" cm="1">
        <f t="array" aca="1" ref="J301" ca="1">IF(ISNUMBER(A301),IFERROR(_xlfn._xlws.FILTER(Equipar!A:A,(Equipar!B:B=5)*(Equipar!AC:AC=A301)),""),"")</f>
        <v/>
      </c>
    </row>
    <row r="302" spans="1:10" x14ac:dyDescent="0.25">
      <c r="A302" s="1" t="str">
        <f ca="1">IF(A301="ID",1,IF(ISBLANK(B302),"",MAX(A$2:A301)+1))</f>
        <v/>
      </c>
      <c r="I302" s="2" t="str">
        <f ca="1">IF(ISNUMBER(A302),
IF(COUNTIFS(Equipar!B:B,5,Equipar!AC:AC,A302),"Equipada",
IF(
 OR( COUNTIFS(Equipar!B:B,5,Equipar!C:C,A302)
 +COUNTIFS(Equipar!B:B,5,Equipar!D:D,A302)
+COUNTIFS(Equipar!B:B,5,Equipar!E:E,A302)
+COUNTIFS(Equipar!B:B,5,Equipar!F:F,A302)
&gt;0,COUNTIF('Set recomendado'!B:B,C302)=0),
"Bloqueada",
"Desechable")),""
)</f>
        <v/>
      </c>
      <c r="J302" t="str" cm="1">
        <f t="array" aca="1" ref="J302" ca="1">IF(ISNUMBER(A302),IFERROR(_xlfn._xlws.FILTER(Equipar!A:A,(Equipar!B:B=5)*(Equipar!AC:AC=A302)),""),"")</f>
        <v/>
      </c>
    </row>
    <row r="303" spans="1:10" x14ac:dyDescent="0.25">
      <c r="A303" s="1" t="str">
        <f ca="1">IF(A302="ID",1,IF(ISBLANK(B303),"",MAX(A$2:A302)+1))</f>
        <v/>
      </c>
      <c r="I303" s="2" t="str">
        <f ca="1">IF(ISNUMBER(A303),
IF(COUNTIFS(Equipar!B:B,5,Equipar!AC:AC,A303),"Equipada",
IF(
 OR( COUNTIFS(Equipar!B:B,5,Equipar!C:C,A303)
 +COUNTIFS(Equipar!B:B,5,Equipar!D:D,A303)
+COUNTIFS(Equipar!B:B,5,Equipar!E:E,A303)
+COUNTIFS(Equipar!B:B,5,Equipar!F:F,A303)
&gt;0,COUNTIF('Set recomendado'!B:B,C303)=0),
"Bloqueada",
"Desechable")),""
)</f>
        <v/>
      </c>
      <c r="J303" t="str" cm="1">
        <f t="array" aca="1" ref="J303" ca="1">IF(ISNUMBER(A303),IFERROR(_xlfn._xlws.FILTER(Equipar!A:A,(Equipar!B:B=5)*(Equipar!AC:AC=A303)),""),"")</f>
        <v/>
      </c>
    </row>
    <row r="304" spans="1:10" x14ac:dyDescent="0.25">
      <c r="A304" s="1" t="str">
        <f ca="1">IF(A303="ID",1,IF(ISBLANK(B304),"",MAX(A$2:A303)+1))</f>
        <v/>
      </c>
      <c r="I304" s="2" t="str">
        <f ca="1">IF(ISNUMBER(A304),
IF(COUNTIFS(Equipar!B:B,5,Equipar!AC:AC,A304),"Equipada",
IF(
 OR( COUNTIFS(Equipar!B:B,5,Equipar!C:C,A304)
 +COUNTIFS(Equipar!B:B,5,Equipar!D:D,A304)
+COUNTIFS(Equipar!B:B,5,Equipar!E:E,A304)
+COUNTIFS(Equipar!B:B,5,Equipar!F:F,A304)
&gt;0,COUNTIF('Set recomendado'!B:B,C304)=0),
"Bloqueada",
"Desechable")),""
)</f>
        <v/>
      </c>
      <c r="J304" t="str" cm="1">
        <f t="array" aca="1" ref="J304" ca="1">IF(ISNUMBER(A304),IFERROR(_xlfn._xlws.FILTER(Equipar!A:A,(Equipar!B:B=5)*(Equipar!AC:AC=A304)),""),"")</f>
        <v/>
      </c>
    </row>
    <row r="305" spans="1:10" x14ac:dyDescent="0.25">
      <c r="A305" s="1" t="str">
        <f ca="1">IF(A304="ID",1,IF(ISBLANK(B305),"",MAX(A$2:A304)+1))</f>
        <v/>
      </c>
      <c r="I305" s="2" t="str">
        <f ca="1">IF(ISNUMBER(A305),
IF(COUNTIFS(Equipar!B:B,5,Equipar!AC:AC,A305),"Equipada",
IF(
 OR( COUNTIFS(Equipar!B:B,5,Equipar!C:C,A305)
 +COUNTIFS(Equipar!B:B,5,Equipar!D:D,A305)
+COUNTIFS(Equipar!B:B,5,Equipar!E:E,A305)
+COUNTIFS(Equipar!B:B,5,Equipar!F:F,A305)
&gt;0,COUNTIF('Set recomendado'!B:B,C305)=0),
"Bloqueada",
"Desechable")),""
)</f>
        <v/>
      </c>
      <c r="J305" t="str" cm="1">
        <f t="array" aca="1" ref="J305" ca="1">IF(ISNUMBER(A305),IFERROR(_xlfn._xlws.FILTER(Equipar!A:A,(Equipar!B:B=5)*(Equipar!AC:AC=A305)),""),"")</f>
        <v/>
      </c>
    </row>
    <row r="306" spans="1:10" x14ac:dyDescent="0.25">
      <c r="A306" s="1" t="str">
        <f ca="1">IF(A305="ID",1,IF(ISBLANK(B306),"",MAX(A$2:A305)+1))</f>
        <v/>
      </c>
      <c r="I306" s="2" t="str">
        <f ca="1">IF(ISNUMBER(A306),
IF(COUNTIFS(Equipar!B:B,5,Equipar!AC:AC,A306),"Equipada",
IF(
 OR( COUNTIFS(Equipar!B:B,5,Equipar!C:C,A306)
 +COUNTIFS(Equipar!B:B,5,Equipar!D:D,A306)
+COUNTIFS(Equipar!B:B,5,Equipar!E:E,A306)
+COUNTIFS(Equipar!B:B,5,Equipar!F:F,A306)
&gt;0,COUNTIF('Set recomendado'!B:B,C306)=0),
"Bloqueada",
"Desechable")),""
)</f>
        <v/>
      </c>
      <c r="J306" t="str" cm="1">
        <f t="array" aca="1" ref="J306" ca="1">IF(ISNUMBER(A306),IFERROR(_xlfn._xlws.FILTER(Equipar!A:A,(Equipar!B:B=5)*(Equipar!AC:AC=A306)),""),"")</f>
        <v/>
      </c>
    </row>
    <row r="307" spans="1:10" x14ac:dyDescent="0.25">
      <c r="A307" s="1" t="str">
        <f ca="1">IF(A306="ID",1,IF(ISBLANK(B307),"",MAX(A$2:A306)+1))</f>
        <v/>
      </c>
      <c r="I307" s="2" t="str">
        <f ca="1">IF(ISNUMBER(A307),
IF(COUNTIFS(Equipar!B:B,5,Equipar!AC:AC,A307),"Equipada",
IF(
 OR( COUNTIFS(Equipar!B:B,5,Equipar!C:C,A307)
 +COUNTIFS(Equipar!B:B,5,Equipar!D:D,A307)
+COUNTIFS(Equipar!B:B,5,Equipar!E:E,A307)
+COUNTIFS(Equipar!B:B,5,Equipar!F:F,A307)
&gt;0,COUNTIF('Set recomendado'!B:B,C307)=0),
"Bloqueada",
"Desechable")),""
)</f>
        <v/>
      </c>
      <c r="J307" t="str" cm="1">
        <f t="array" aca="1" ref="J307" ca="1">IF(ISNUMBER(A307),IFERROR(_xlfn._xlws.FILTER(Equipar!A:A,(Equipar!B:B=5)*(Equipar!AC:AC=A307)),""),"")</f>
        <v/>
      </c>
    </row>
    <row r="308" spans="1:10" x14ac:dyDescent="0.25">
      <c r="A308" s="1" t="str">
        <f ca="1">IF(A307="ID",1,IF(ISBLANK(B308),"",MAX(A$2:A307)+1))</f>
        <v/>
      </c>
      <c r="I308" s="2" t="str">
        <f ca="1">IF(ISNUMBER(A308),
IF(COUNTIFS(Equipar!B:B,5,Equipar!AC:AC,A308),"Equipada",
IF(
 OR( COUNTIFS(Equipar!B:B,5,Equipar!C:C,A308)
 +COUNTIFS(Equipar!B:B,5,Equipar!D:D,A308)
+COUNTIFS(Equipar!B:B,5,Equipar!E:E,A308)
+COUNTIFS(Equipar!B:B,5,Equipar!F:F,A308)
&gt;0,COUNTIF('Set recomendado'!B:B,C308)=0),
"Bloqueada",
"Desechable")),""
)</f>
        <v/>
      </c>
      <c r="J308" t="str" cm="1">
        <f t="array" aca="1" ref="J308" ca="1">IF(ISNUMBER(A308),IFERROR(_xlfn._xlws.FILTER(Equipar!A:A,(Equipar!B:B=5)*(Equipar!AC:AC=A308)),""),"")</f>
        <v/>
      </c>
    </row>
    <row r="309" spans="1:10" x14ac:dyDescent="0.25">
      <c r="A309" s="1" t="str">
        <f ca="1">IF(A308="ID",1,IF(ISBLANK(B309),"",MAX(A$2:A308)+1))</f>
        <v/>
      </c>
      <c r="I309" s="2" t="str">
        <f ca="1">IF(ISNUMBER(A309),
IF(COUNTIFS(Equipar!B:B,5,Equipar!AC:AC,A309),"Equipada",
IF(
 OR( COUNTIFS(Equipar!B:B,5,Equipar!C:C,A309)
 +COUNTIFS(Equipar!B:B,5,Equipar!D:D,A309)
+COUNTIFS(Equipar!B:B,5,Equipar!E:E,A309)
+COUNTIFS(Equipar!B:B,5,Equipar!F:F,A309)
&gt;0,COUNTIF('Set recomendado'!B:B,C309)=0),
"Bloqueada",
"Desechable")),""
)</f>
        <v/>
      </c>
      <c r="J309" t="str" cm="1">
        <f t="array" aca="1" ref="J309" ca="1">IF(ISNUMBER(A309),IFERROR(_xlfn._xlws.FILTER(Equipar!A:A,(Equipar!B:B=5)*(Equipar!AC:AC=A309)),""),"")</f>
        <v/>
      </c>
    </row>
    <row r="310" spans="1:10" x14ac:dyDescent="0.25">
      <c r="A310" s="1" t="str">
        <f ca="1">IF(A309="ID",1,IF(ISBLANK(B310),"",MAX(A$2:A309)+1))</f>
        <v/>
      </c>
      <c r="I310" s="2" t="str">
        <f ca="1">IF(ISNUMBER(A310),
IF(COUNTIFS(Equipar!B:B,5,Equipar!AC:AC,A310),"Equipada",
IF(
 OR( COUNTIFS(Equipar!B:B,5,Equipar!C:C,A310)
 +COUNTIFS(Equipar!B:B,5,Equipar!D:D,A310)
+COUNTIFS(Equipar!B:B,5,Equipar!E:E,A310)
+COUNTIFS(Equipar!B:B,5,Equipar!F:F,A310)
&gt;0,COUNTIF('Set recomendado'!B:B,C310)=0),
"Bloqueada",
"Desechable")),""
)</f>
        <v/>
      </c>
      <c r="J310" t="str" cm="1">
        <f t="array" aca="1" ref="J310" ca="1">IF(ISNUMBER(A310),IFERROR(_xlfn._xlws.FILTER(Equipar!A:A,(Equipar!B:B=5)*(Equipar!AC:AC=A310)),""),"")</f>
        <v/>
      </c>
    </row>
    <row r="311" spans="1:10" x14ac:dyDescent="0.25">
      <c r="A311" s="1" t="str">
        <f ca="1">IF(A310="ID",1,IF(ISBLANK(B311),"",MAX(A$2:A310)+1))</f>
        <v/>
      </c>
      <c r="I311" s="2" t="str">
        <f ca="1">IF(ISNUMBER(A311),
IF(COUNTIFS(Equipar!B:B,5,Equipar!AC:AC,A311),"Equipada",
IF(
 OR( COUNTIFS(Equipar!B:B,5,Equipar!C:C,A311)
 +COUNTIFS(Equipar!B:B,5,Equipar!D:D,A311)
+COUNTIFS(Equipar!B:B,5,Equipar!E:E,A311)
+COUNTIFS(Equipar!B:B,5,Equipar!F:F,A311)
&gt;0,COUNTIF('Set recomendado'!B:B,C311)=0),
"Bloqueada",
"Desechable")),""
)</f>
        <v/>
      </c>
      <c r="J311" t="str" cm="1">
        <f t="array" aca="1" ref="J311" ca="1">IF(ISNUMBER(A311),IFERROR(_xlfn._xlws.FILTER(Equipar!A:A,(Equipar!B:B=5)*(Equipar!AC:AC=A311)),""),"")</f>
        <v/>
      </c>
    </row>
    <row r="312" spans="1:10" x14ac:dyDescent="0.25">
      <c r="A312" s="1" t="str">
        <f ca="1">IF(A311="ID",1,IF(ISBLANK(B312),"",MAX(A$2:A311)+1))</f>
        <v/>
      </c>
      <c r="I312" s="2" t="str">
        <f ca="1">IF(ISNUMBER(A312),
IF(COUNTIFS(Equipar!B:B,5,Equipar!AC:AC,A312),"Equipada",
IF(
 OR( COUNTIFS(Equipar!B:B,5,Equipar!C:C,A312)
 +COUNTIFS(Equipar!B:B,5,Equipar!D:D,A312)
+COUNTIFS(Equipar!B:B,5,Equipar!E:E,A312)
+COUNTIFS(Equipar!B:B,5,Equipar!F:F,A312)
&gt;0,COUNTIF('Set recomendado'!B:B,C312)=0),
"Bloqueada",
"Desechable")),""
)</f>
        <v/>
      </c>
      <c r="J312" t="str" cm="1">
        <f t="array" aca="1" ref="J312" ca="1">IF(ISNUMBER(A312),IFERROR(_xlfn._xlws.FILTER(Equipar!A:A,(Equipar!B:B=5)*(Equipar!AC:AC=A312)),""),"")</f>
        <v/>
      </c>
    </row>
    <row r="313" spans="1:10" x14ac:dyDescent="0.25">
      <c r="A313" s="1" t="str">
        <f ca="1">IF(A312="ID",1,IF(ISBLANK(B313),"",MAX(A$2:A312)+1))</f>
        <v/>
      </c>
      <c r="I313" s="2" t="str">
        <f ca="1">IF(ISNUMBER(A313),
IF(COUNTIFS(Equipar!B:B,5,Equipar!AC:AC,A313),"Equipada",
IF(
 OR( COUNTIFS(Equipar!B:B,5,Equipar!C:C,A313)
 +COUNTIFS(Equipar!B:B,5,Equipar!D:D,A313)
+COUNTIFS(Equipar!B:B,5,Equipar!E:E,A313)
+COUNTIFS(Equipar!B:B,5,Equipar!F:F,A313)
&gt;0,COUNTIF('Set recomendado'!B:B,C313)=0),
"Bloqueada",
"Desechable")),""
)</f>
        <v/>
      </c>
      <c r="J313" t="str" cm="1">
        <f t="array" aca="1" ref="J313" ca="1">IF(ISNUMBER(A313),IFERROR(_xlfn._xlws.FILTER(Equipar!A:A,(Equipar!B:B=5)*(Equipar!AC:AC=A313)),""),"")</f>
        <v/>
      </c>
    </row>
    <row r="314" spans="1:10" x14ac:dyDescent="0.25">
      <c r="A314" s="1" t="str">
        <f ca="1">IF(A313="ID",1,IF(ISBLANK(B314),"",MAX(A$2:A313)+1))</f>
        <v/>
      </c>
      <c r="I314" s="2" t="str">
        <f ca="1">IF(ISNUMBER(A314),
IF(COUNTIFS(Equipar!B:B,5,Equipar!AC:AC,A314),"Equipada",
IF(
 OR( COUNTIFS(Equipar!B:B,5,Equipar!C:C,A314)
 +COUNTIFS(Equipar!B:B,5,Equipar!D:D,A314)
+COUNTIFS(Equipar!B:B,5,Equipar!E:E,A314)
+COUNTIFS(Equipar!B:B,5,Equipar!F:F,A314)
&gt;0,COUNTIF('Set recomendado'!B:B,C314)=0),
"Bloqueada",
"Desechable")),""
)</f>
        <v/>
      </c>
      <c r="J314" t="str" cm="1">
        <f t="array" aca="1" ref="J314" ca="1">IF(ISNUMBER(A314),IFERROR(_xlfn._xlws.FILTER(Equipar!A:A,(Equipar!B:B=5)*(Equipar!AC:AC=A314)),""),"")</f>
        <v/>
      </c>
    </row>
    <row r="315" spans="1:10" x14ac:dyDescent="0.25">
      <c r="A315" s="1" t="str">
        <f ca="1">IF(A314="ID",1,IF(ISBLANK(B315),"",MAX(A$2:A314)+1))</f>
        <v/>
      </c>
      <c r="I315" s="2" t="str">
        <f ca="1">IF(ISNUMBER(A315),
IF(COUNTIFS(Equipar!B:B,5,Equipar!AC:AC,A315),"Equipada",
IF(
 OR( COUNTIFS(Equipar!B:B,5,Equipar!C:C,A315)
 +COUNTIFS(Equipar!B:B,5,Equipar!D:D,A315)
+COUNTIFS(Equipar!B:B,5,Equipar!E:E,A315)
+COUNTIFS(Equipar!B:B,5,Equipar!F:F,A315)
&gt;0,COUNTIF('Set recomendado'!B:B,C315)=0),
"Bloqueada",
"Desechable")),""
)</f>
        <v/>
      </c>
      <c r="J315" t="str" cm="1">
        <f t="array" aca="1" ref="J315" ca="1">IF(ISNUMBER(A315),IFERROR(_xlfn._xlws.FILTER(Equipar!A:A,(Equipar!B:B=5)*(Equipar!AC:AC=A315)),""),"")</f>
        <v/>
      </c>
    </row>
    <row r="316" spans="1:10" x14ac:dyDescent="0.25">
      <c r="A316" s="1" t="str">
        <f ca="1">IF(A315="ID",1,IF(ISBLANK(B316),"",MAX(A$2:A315)+1))</f>
        <v/>
      </c>
      <c r="I316" s="2" t="str">
        <f ca="1">IF(ISNUMBER(A316),
IF(COUNTIFS(Equipar!B:B,5,Equipar!AC:AC,A316),"Equipada",
IF(
 OR( COUNTIFS(Equipar!B:B,5,Equipar!C:C,A316)
 +COUNTIFS(Equipar!B:B,5,Equipar!D:D,A316)
+COUNTIFS(Equipar!B:B,5,Equipar!E:E,A316)
+COUNTIFS(Equipar!B:B,5,Equipar!F:F,A316)
&gt;0,COUNTIF('Set recomendado'!B:B,C316)=0),
"Bloqueada",
"Desechable")),""
)</f>
        <v/>
      </c>
      <c r="J316" t="str" cm="1">
        <f t="array" aca="1" ref="J316" ca="1">IF(ISNUMBER(A316),IFERROR(_xlfn._xlws.FILTER(Equipar!A:A,(Equipar!B:B=5)*(Equipar!AC:AC=A316)),""),"")</f>
        <v/>
      </c>
    </row>
    <row r="317" spans="1:10" x14ac:dyDescent="0.25">
      <c r="A317" s="1" t="str">
        <f ca="1">IF(A316="ID",1,IF(ISBLANK(B317),"",MAX(A$2:A316)+1))</f>
        <v/>
      </c>
      <c r="I317" s="2" t="str">
        <f ca="1">IF(ISNUMBER(A317),
IF(COUNTIFS(Equipar!B:B,5,Equipar!AC:AC,A317),"Equipada",
IF(
 OR( COUNTIFS(Equipar!B:B,5,Equipar!C:C,A317)
 +COUNTIFS(Equipar!B:B,5,Equipar!D:D,A317)
+COUNTIFS(Equipar!B:B,5,Equipar!E:E,A317)
+COUNTIFS(Equipar!B:B,5,Equipar!F:F,A317)
&gt;0,COUNTIF('Set recomendado'!B:B,C317)=0),
"Bloqueada",
"Desechable")),""
)</f>
        <v/>
      </c>
      <c r="J317" t="str" cm="1">
        <f t="array" aca="1" ref="J317" ca="1">IF(ISNUMBER(A317),IFERROR(_xlfn._xlws.FILTER(Equipar!A:A,(Equipar!B:B=5)*(Equipar!AC:AC=A317)),""),"")</f>
        <v/>
      </c>
    </row>
    <row r="318" spans="1:10" x14ac:dyDescent="0.25">
      <c r="A318" s="1" t="str">
        <f ca="1">IF(A317="ID",1,IF(ISBLANK(B318),"",MAX(A$2:A317)+1))</f>
        <v/>
      </c>
      <c r="I318" s="2" t="str">
        <f ca="1">IF(ISNUMBER(A318),
IF(COUNTIFS(Equipar!B:B,5,Equipar!AC:AC,A318),"Equipada",
IF(
 OR( COUNTIFS(Equipar!B:B,5,Equipar!C:C,A318)
 +COUNTIFS(Equipar!B:B,5,Equipar!D:D,A318)
+COUNTIFS(Equipar!B:B,5,Equipar!E:E,A318)
+COUNTIFS(Equipar!B:B,5,Equipar!F:F,A318)
&gt;0,COUNTIF('Set recomendado'!B:B,C318)=0),
"Bloqueada",
"Desechable")),""
)</f>
        <v/>
      </c>
      <c r="J318" t="str" cm="1">
        <f t="array" aca="1" ref="J318" ca="1">IF(ISNUMBER(A318),IFERROR(_xlfn._xlws.FILTER(Equipar!A:A,(Equipar!B:B=5)*(Equipar!AC:AC=A318)),""),"")</f>
        <v/>
      </c>
    </row>
    <row r="319" spans="1:10" x14ac:dyDescent="0.25">
      <c r="A319" s="1" t="str">
        <f ca="1">IF(A318="ID",1,IF(ISBLANK(B319),"",MAX(A$2:A318)+1))</f>
        <v/>
      </c>
      <c r="I319" s="2" t="str">
        <f ca="1">IF(ISNUMBER(A319),
IF(COUNTIFS(Equipar!B:B,5,Equipar!AC:AC,A319),"Equipada",
IF(
 OR( COUNTIFS(Equipar!B:B,5,Equipar!C:C,A319)
 +COUNTIFS(Equipar!B:B,5,Equipar!D:D,A319)
+COUNTIFS(Equipar!B:B,5,Equipar!E:E,A319)
+COUNTIFS(Equipar!B:B,5,Equipar!F:F,A319)
&gt;0,COUNTIF('Set recomendado'!B:B,C319)=0),
"Bloqueada",
"Desechable")),""
)</f>
        <v/>
      </c>
      <c r="J319" t="str" cm="1">
        <f t="array" aca="1" ref="J319" ca="1">IF(ISNUMBER(A319),IFERROR(_xlfn._xlws.FILTER(Equipar!A:A,(Equipar!B:B=5)*(Equipar!AC:AC=A319)),""),"")</f>
        <v/>
      </c>
    </row>
    <row r="320" spans="1:10" x14ac:dyDescent="0.25">
      <c r="A320" s="1" t="str">
        <f ca="1">IF(A319="ID",1,IF(ISBLANK(B320),"",MAX(A$2:A319)+1))</f>
        <v/>
      </c>
      <c r="I320" s="2" t="str">
        <f ca="1">IF(ISNUMBER(A320),
IF(COUNTIFS(Equipar!B:B,5,Equipar!AC:AC,A320),"Equipada",
IF(
 OR( COUNTIFS(Equipar!B:B,5,Equipar!C:C,A320)
 +COUNTIFS(Equipar!B:B,5,Equipar!D:D,A320)
+COUNTIFS(Equipar!B:B,5,Equipar!E:E,A320)
+COUNTIFS(Equipar!B:B,5,Equipar!F:F,A320)
&gt;0,COUNTIF('Set recomendado'!B:B,C320)=0),
"Bloqueada",
"Desechable")),""
)</f>
        <v/>
      </c>
      <c r="J320" t="str" cm="1">
        <f t="array" aca="1" ref="J320" ca="1">IF(ISNUMBER(A320),IFERROR(_xlfn._xlws.FILTER(Equipar!A:A,(Equipar!B:B=5)*(Equipar!AC:AC=A320)),""),"")</f>
        <v/>
      </c>
    </row>
    <row r="321" spans="1:10" x14ac:dyDescent="0.25">
      <c r="A321" s="1" t="str">
        <f ca="1">IF(A320="ID",1,IF(ISBLANK(B321),"",MAX(A$2:A320)+1))</f>
        <v/>
      </c>
      <c r="I321" s="2" t="str">
        <f ca="1">IF(ISNUMBER(A321),
IF(COUNTIFS(Equipar!B:B,5,Equipar!AC:AC,A321),"Equipada",
IF(
 OR( COUNTIFS(Equipar!B:B,5,Equipar!C:C,A321)
 +COUNTIFS(Equipar!B:B,5,Equipar!D:D,A321)
+COUNTIFS(Equipar!B:B,5,Equipar!E:E,A321)
+COUNTIFS(Equipar!B:B,5,Equipar!F:F,A321)
&gt;0,COUNTIF('Set recomendado'!B:B,C321)=0),
"Bloqueada",
"Desechable")),""
)</f>
        <v/>
      </c>
      <c r="J321" t="str" cm="1">
        <f t="array" aca="1" ref="J321" ca="1">IF(ISNUMBER(A321),IFERROR(_xlfn._xlws.FILTER(Equipar!A:A,(Equipar!B:B=5)*(Equipar!AC:AC=A321)),""),"")</f>
        <v/>
      </c>
    </row>
    <row r="322" spans="1:10" x14ac:dyDescent="0.25">
      <c r="A322" s="1" t="str">
        <f ca="1">IF(A321="ID",1,IF(ISBLANK(B322),"",MAX(A$2:A321)+1))</f>
        <v/>
      </c>
      <c r="I322" s="2" t="str">
        <f ca="1">IF(ISNUMBER(A322),
IF(COUNTIFS(Equipar!B:B,5,Equipar!AC:AC,A322),"Equipada",
IF(
 OR( COUNTIFS(Equipar!B:B,5,Equipar!C:C,A322)
 +COUNTIFS(Equipar!B:B,5,Equipar!D:D,A322)
+COUNTIFS(Equipar!B:B,5,Equipar!E:E,A322)
+COUNTIFS(Equipar!B:B,5,Equipar!F:F,A322)
&gt;0,COUNTIF('Set recomendado'!B:B,C322)=0),
"Bloqueada",
"Desechable")),""
)</f>
        <v/>
      </c>
      <c r="J322" t="str" cm="1">
        <f t="array" aca="1" ref="J322" ca="1">IF(ISNUMBER(A322),IFERROR(_xlfn._xlws.FILTER(Equipar!A:A,(Equipar!B:B=5)*(Equipar!AC:AC=A322)),""),"")</f>
        <v/>
      </c>
    </row>
    <row r="323" spans="1:10" x14ac:dyDescent="0.25">
      <c r="A323" s="1" t="str">
        <f ca="1">IF(A322="ID",1,IF(ISBLANK(B323),"",MAX(A$2:A322)+1))</f>
        <v/>
      </c>
      <c r="I323" s="2" t="str">
        <f ca="1">IF(ISNUMBER(A323),
IF(COUNTIFS(Equipar!B:B,5,Equipar!AC:AC,A323),"Equipada",
IF(
 OR( COUNTIFS(Equipar!B:B,5,Equipar!C:C,A323)
 +COUNTIFS(Equipar!B:B,5,Equipar!D:D,A323)
+COUNTIFS(Equipar!B:B,5,Equipar!E:E,A323)
+COUNTIFS(Equipar!B:B,5,Equipar!F:F,A323)
&gt;0,COUNTIF('Set recomendado'!B:B,C323)=0),
"Bloqueada",
"Desechable")),""
)</f>
        <v/>
      </c>
      <c r="J323" t="str" cm="1">
        <f t="array" aca="1" ref="J323" ca="1">IF(ISNUMBER(A323),IFERROR(_xlfn._xlws.FILTER(Equipar!A:A,(Equipar!B:B=5)*(Equipar!AC:AC=A323)),""),"")</f>
        <v/>
      </c>
    </row>
    <row r="324" spans="1:10" x14ac:dyDescent="0.25">
      <c r="A324" s="1" t="str">
        <f ca="1">IF(A323="ID",1,IF(ISBLANK(B324),"",MAX(A$2:A323)+1))</f>
        <v/>
      </c>
      <c r="I324" s="2" t="str">
        <f ca="1">IF(ISNUMBER(A324),
IF(COUNTIFS(Equipar!B:B,5,Equipar!AC:AC,A324),"Equipada",
IF(
 OR( COUNTIFS(Equipar!B:B,5,Equipar!C:C,A324)
 +COUNTIFS(Equipar!B:B,5,Equipar!D:D,A324)
+COUNTIFS(Equipar!B:B,5,Equipar!E:E,A324)
+COUNTIFS(Equipar!B:B,5,Equipar!F:F,A324)
&gt;0,COUNTIF('Set recomendado'!B:B,C324)=0),
"Bloqueada",
"Desechable")),""
)</f>
        <v/>
      </c>
      <c r="J324" t="str" cm="1">
        <f t="array" aca="1" ref="J324" ca="1">IF(ISNUMBER(A324),IFERROR(_xlfn._xlws.FILTER(Equipar!A:A,(Equipar!B:B=5)*(Equipar!AC:AC=A324)),""),"")</f>
        <v/>
      </c>
    </row>
    <row r="325" spans="1:10" x14ac:dyDescent="0.25">
      <c r="A325" s="1" t="str">
        <f ca="1">IF(A324="ID",1,IF(ISBLANK(B325),"",MAX(A$2:A324)+1))</f>
        <v/>
      </c>
      <c r="I325" s="2" t="str">
        <f ca="1">IF(ISNUMBER(A325),
IF(COUNTIFS(Equipar!B:B,5,Equipar!AC:AC,A325),"Equipada",
IF(
 OR( COUNTIFS(Equipar!B:B,5,Equipar!C:C,A325)
 +COUNTIFS(Equipar!B:B,5,Equipar!D:D,A325)
+COUNTIFS(Equipar!B:B,5,Equipar!E:E,A325)
+COUNTIFS(Equipar!B:B,5,Equipar!F:F,A325)
&gt;0,COUNTIF('Set recomendado'!B:B,C325)=0),
"Bloqueada",
"Desechable")),""
)</f>
        <v/>
      </c>
      <c r="J325" t="str" cm="1">
        <f t="array" aca="1" ref="J325" ca="1">IF(ISNUMBER(A325),IFERROR(_xlfn._xlws.FILTER(Equipar!A:A,(Equipar!B:B=5)*(Equipar!AC:AC=A325)),""),"")</f>
        <v/>
      </c>
    </row>
    <row r="326" spans="1:10" x14ac:dyDescent="0.25">
      <c r="A326" s="1" t="str">
        <f ca="1">IF(A325="ID",1,IF(ISBLANK(B326),"",MAX(A$2:A325)+1))</f>
        <v/>
      </c>
      <c r="I326" s="2" t="str">
        <f ca="1">IF(ISNUMBER(A326),
IF(COUNTIFS(Equipar!B:B,5,Equipar!AC:AC,A326),"Equipada",
IF(
 OR( COUNTIFS(Equipar!B:B,5,Equipar!C:C,A326)
 +COUNTIFS(Equipar!B:B,5,Equipar!D:D,A326)
+COUNTIFS(Equipar!B:B,5,Equipar!E:E,A326)
+COUNTIFS(Equipar!B:B,5,Equipar!F:F,A326)
&gt;0,COUNTIF('Set recomendado'!B:B,C326)=0),
"Bloqueada",
"Desechable")),""
)</f>
        <v/>
      </c>
      <c r="J326" t="str" cm="1">
        <f t="array" aca="1" ref="J326" ca="1">IF(ISNUMBER(A326),IFERROR(_xlfn._xlws.FILTER(Equipar!A:A,(Equipar!B:B=5)*(Equipar!AC:AC=A326)),""),"")</f>
        <v/>
      </c>
    </row>
    <row r="327" spans="1:10" x14ac:dyDescent="0.25">
      <c r="A327" s="1" t="str">
        <f ca="1">IF(A326="ID",1,IF(ISBLANK(B327),"",MAX(A$2:A326)+1))</f>
        <v/>
      </c>
      <c r="I327" s="2" t="str">
        <f ca="1">IF(ISNUMBER(A327),
IF(COUNTIFS(Equipar!B:B,5,Equipar!AC:AC,A327),"Equipada",
IF(
 OR( COUNTIFS(Equipar!B:B,5,Equipar!C:C,A327)
 +COUNTIFS(Equipar!B:B,5,Equipar!D:D,A327)
+COUNTIFS(Equipar!B:B,5,Equipar!E:E,A327)
+COUNTIFS(Equipar!B:B,5,Equipar!F:F,A327)
&gt;0,COUNTIF('Set recomendado'!B:B,C327)=0),
"Bloqueada",
"Desechable")),""
)</f>
        <v/>
      </c>
      <c r="J327" t="str" cm="1">
        <f t="array" aca="1" ref="J327" ca="1">IF(ISNUMBER(A327),IFERROR(_xlfn._xlws.FILTER(Equipar!A:A,(Equipar!B:B=5)*(Equipar!AC:AC=A327)),""),"")</f>
        <v/>
      </c>
    </row>
    <row r="328" spans="1:10" x14ac:dyDescent="0.25">
      <c r="A328" s="1" t="str">
        <f ca="1">IF(A327="ID",1,IF(ISBLANK(B328),"",MAX(A$2:A327)+1))</f>
        <v/>
      </c>
      <c r="I328" s="2" t="str">
        <f ca="1">IF(ISNUMBER(A328),
IF(COUNTIFS(Equipar!B:B,5,Equipar!AC:AC,A328),"Equipada",
IF(
 OR( COUNTIFS(Equipar!B:B,5,Equipar!C:C,A328)
 +COUNTIFS(Equipar!B:B,5,Equipar!D:D,A328)
+COUNTIFS(Equipar!B:B,5,Equipar!E:E,A328)
+COUNTIFS(Equipar!B:B,5,Equipar!F:F,A328)
&gt;0,COUNTIF('Set recomendado'!B:B,C328)=0),
"Bloqueada",
"Desechable")),""
)</f>
        <v/>
      </c>
      <c r="J328" t="str" cm="1">
        <f t="array" aca="1" ref="J328" ca="1">IF(ISNUMBER(A328),IFERROR(_xlfn._xlws.FILTER(Equipar!A:A,(Equipar!B:B=5)*(Equipar!AC:AC=A328)),""),"")</f>
        <v/>
      </c>
    </row>
    <row r="329" spans="1:10" x14ac:dyDescent="0.25">
      <c r="A329" s="1" t="str">
        <f ca="1">IF(A328="ID",1,IF(ISBLANK(B329),"",MAX(A$2:A328)+1))</f>
        <v/>
      </c>
      <c r="I329" s="2" t="str">
        <f ca="1">IF(ISNUMBER(A329),
IF(COUNTIFS(Equipar!B:B,5,Equipar!AC:AC,A329),"Equipada",
IF(
 OR( COUNTIFS(Equipar!B:B,5,Equipar!C:C,A329)
 +COUNTIFS(Equipar!B:B,5,Equipar!D:D,A329)
+COUNTIFS(Equipar!B:B,5,Equipar!E:E,A329)
+COUNTIFS(Equipar!B:B,5,Equipar!F:F,A329)
&gt;0,COUNTIF('Set recomendado'!B:B,C329)=0),
"Bloqueada",
"Desechable")),""
)</f>
        <v/>
      </c>
      <c r="J329" t="str" cm="1">
        <f t="array" aca="1" ref="J329" ca="1">IF(ISNUMBER(A329),IFERROR(_xlfn._xlws.FILTER(Equipar!A:A,(Equipar!B:B=5)*(Equipar!AC:AC=A329)),""),"")</f>
        <v/>
      </c>
    </row>
    <row r="330" spans="1:10" x14ac:dyDescent="0.25">
      <c r="A330" s="1" t="str">
        <f ca="1">IF(A329="ID",1,IF(ISBLANK(B330),"",MAX(A$2:A329)+1))</f>
        <v/>
      </c>
      <c r="I330" s="2" t="str">
        <f ca="1">IF(ISNUMBER(A330),
IF(COUNTIFS(Equipar!B:B,5,Equipar!AC:AC,A330),"Equipada",
IF(
 OR( COUNTIFS(Equipar!B:B,5,Equipar!C:C,A330)
 +COUNTIFS(Equipar!B:B,5,Equipar!D:D,A330)
+COUNTIFS(Equipar!B:B,5,Equipar!E:E,A330)
+COUNTIFS(Equipar!B:B,5,Equipar!F:F,A330)
&gt;0,COUNTIF('Set recomendado'!B:B,C330)=0),
"Bloqueada",
"Desechable")),""
)</f>
        <v/>
      </c>
      <c r="J330" t="str" cm="1">
        <f t="array" aca="1" ref="J330" ca="1">IF(ISNUMBER(A330),IFERROR(_xlfn._xlws.FILTER(Equipar!A:A,(Equipar!B:B=5)*(Equipar!AC:AC=A330)),""),"")</f>
        <v/>
      </c>
    </row>
    <row r="331" spans="1:10" x14ac:dyDescent="0.25">
      <c r="A331" s="1" t="str">
        <f ca="1">IF(A330="ID",1,IF(ISBLANK(B331),"",MAX(A$2:A330)+1))</f>
        <v/>
      </c>
      <c r="I331" s="2" t="str">
        <f ca="1">IF(ISNUMBER(A331),
IF(COUNTIFS(Equipar!B:B,5,Equipar!AC:AC,A331),"Equipada",
IF(
 OR( COUNTIFS(Equipar!B:B,5,Equipar!C:C,A331)
 +COUNTIFS(Equipar!B:B,5,Equipar!D:D,A331)
+COUNTIFS(Equipar!B:B,5,Equipar!E:E,A331)
+COUNTIFS(Equipar!B:B,5,Equipar!F:F,A331)
&gt;0,COUNTIF('Set recomendado'!B:B,C331)=0),
"Bloqueada",
"Desechable")),""
)</f>
        <v/>
      </c>
      <c r="J331" t="str" cm="1">
        <f t="array" aca="1" ref="J331" ca="1">IF(ISNUMBER(A331),IFERROR(_xlfn._xlws.FILTER(Equipar!A:A,(Equipar!B:B=5)*(Equipar!AC:AC=A331)),""),"")</f>
        <v/>
      </c>
    </row>
    <row r="332" spans="1:10" x14ac:dyDescent="0.25">
      <c r="A332" s="1" t="str">
        <f ca="1">IF(A331="ID",1,IF(ISBLANK(B332),"",MAX(A$2:A331)+1))</f>
        <v/>
      </c>
      <c r="I332" s="2" t="str">
        <f ca="1">IF(ISNUMBER(A332),
IF(COUNTIFS(Equipar!B:B,5,Equipar!AC:AC,A332),"Equipada",
IF(
 OR( COUNTIFS(Equipar!B:B,5,Equipar!C:C,A332)
 +COUNTIFS(Equipar!B:B,5,Equipar!D:D,A332)
+COUNTIFS(Equipar!B:B,5,Equipar!E:E,A332)
+COUNTIFS(Equipar!B:B,5,Equipar!F:F,A332)
&gt;0,COUNTIF('Set recomendado'!B:B,C332)=0),
"Bloqueada",
"Desechable")),""
)</f>
        <v/>
      </c>
      <c r="J332" t="str" cm="1">
        <f t="array" aca="1" ref="J332" ca="1">IF(ISNUMBER(A332),IFERROR(_xlfn._xlws.FILTER(Equipar!A:A,(Equipar!B:B=5)*(Equipar!AC:AC=A332)),""),"")</f>
        <v/>
      </c>
    </row>
    <row r="333" spans="1:10" x14ac:dyDescent="0.25">
      <c r="A333" s="1" t="str">
        <f ca="1">IF(A332="ID",1,IF(ISBLANK(B333),"",MAX(A$2:A332)+1))</f>
        <v/>
      </c>
      <c r="I333" s="2" t="str">
        <f ca="1">IF(ISNUMBER(A333),
IF(COUNTIFS(Equipar!B:B,5,Equipar!AC:AC,A333),"Equipada",
IF(
 OR( COUNTIFS(Equipar!B:B,5,Equipar!C:C,A333)
 +COUNTIFS(Equipar!B:B,5,Equipar!D:D,A333)
+COUNTIFS(Equipar!B:B,5,Equipar!E:E,A333)
+COUNTIFS(Equipar!B:B,5,Equipar!F:F,A333)
&gt;0,COUNTIF('Set recomendado'!B:B,C333)=0),
"Bloqueada",
"Desechable")),""
)</f>
        <v/>
      </c>
      <c r="J333" t="str" cm="1">
        <f t="array" aca="1" ref="J333" ca="1">IF(ISNUMBER(A333),IFERROR(_xlfn._xlws.FILTER(Equipar!A:A,(Equipar!B:B=5)*(Equipar!AC:AC=A333)),""),"")</f>
        <v/>
      </c>
    </row>
    <row r="334" spans="1:10" x14ac:dyDescent="0.25">
      <c r="A334" s="1" t="str">
        <f ca="1">IF(A333="ID",1,IF(ISBLANK(B334),"",MAX(A$2:A333)+1))</f>
        <v/>
      </c>
      <c r="I334" s="2" t="str">
        <f ca="1">IF(ISNUMBER(A334),
IF(COUNTIFS(Equipar!B:B,5,Equipar!AC:AC,A334),"Equipada",
IF(
 OR( COUNTIFS(Equipar!B:B,5,Equipar!C:C,A334)
 +COUNTIFS(Equipar!B:B,5,Equipar!D:D,A334)
+COUNTIFS(Equipar!B:B,5,Equipar!E:E,A334)
+COUNTIFS(Equipar!B:B,5,Equipar!F:F,A334)
&gt;0,COUNTIF('Set recomendado'!B:B,C334)=0),
"Bloqueada",
"Desechable")),""
)</f>
        <v/>
      </c>
      <c r="J334" t="str" cm="1">
        <f t="array" aca="1" ref="J334" ca="1">IF(ISNUMBER(A334),IFERROR(_xlfn._xlws.FILTER(Equipar!A:A,(Equipar!B:B=5)*(Equipar!AC:AC=A334)),""),"")</f>
        <v/>
      </c>
    </row>
    <row r="335" spans="1:10" x14ac:dyDescent="0.25">
      <c r="A335" s="1" t="str">
        <f ca="1">IF(A334="ID",1,IF(ISBLANK(B335),"",MAX(A$2:A334)+1))</f>
        <v/>
      </c>
      <c r="I335" s="2" t="str">
        <f ca="1">IF(ISNUMBER(A335),
IF(COUNTIFS(Equipar!B:B,5,Equipar!AC:AC,A335),"Equipada",
IF(
 OR( COUNTIFS(Equipar!B:B,5,Equipar!C:C,A335)
 +COUNTIFS(Equipar!B:B,5,Equipar!D:D,A335)
+COUNTIFS(Equipar!B:B,5,Equipar!E:E,A335)
+COUNTIFS(Equipar!B:B,5,Equipar!F:F,A335)
&gt;0,COUNTIF('Set recomendado'!B:B,C335)=0),
"Bloqueada",
"Desechable")),""
)</f>
        <v/>
      </c>
      <c r="J335" t="str" cm="1">
        <f t="array" aca="1" ref="J335" ca="1">IF(ISNUMBER(A335),IFERROR(_xlfn._xlws.FILTER(Equipar!A:A,(Equipar!B:B=5)*(Equipar!AC:AC=A335)),""),"")</f>
        <v/>
      </c>
    </row>
    <row r="336" spans="1:10" x14ac:dyDescent="0.25">
      <c r="A336" s="1" t="str">
        <f ca="1">IF(A335="ID",1,IF(ISBLANK(B336),"",MAX(A$2:A335)+1))</f>
        <v/>
      </c>
      <c r="I336" s="2" t="str">
        <f ca="1">IF(ISNUMBER(A336),
IF(COUNTIFS(Equipar!B:B,5,Equipar!AC:AC,A336),"Equipada",
IF(
 OR( COUNTIFS(Equipar!B:B,5,Equipar!C:C,A336)
 +COUNTIFS(Equipar!B:B,5,Equipar!D:D,A336)
+COUNTIFS(Equipar!B:B,5,Equipar!E:E,A336)
+COUNTIFS(Equipar!B:B,5,Equipar!F:F,A336)
&gt;0,COUNTIF('Set recomendado'!B:B,C336)=0),
"Bloqueada",
"Desechable")),""
)</f>
        <v/>
      </c>
      <c r="J336" t="str" cm="1">
        <f t="array" aca="1" ref="J336" ca="1">IF(ISNUMBER(A336),IFERROR(_xlfn._xlws.FILTER(Equipar!A:A,(Equipar!B:B=5)*(Equipar!AC:AC=A336)),""),"")</f>
        <v/>
      </c>
    </row>
    <row r="337" spans="1:10" x14ac:dyDescent="0.25">
      <c r="A337" s="1" t="str">
        <f ca="1">IF(A336="ID",1,IF(ISBLANK(B337),"",MAX(A$2:A336)+1))</f>
        <v/>
      </c>
      <c r="I337" s="2" t="str">
        <f ca="1">IF(ISNUMBER(A337),
IF(COUNTIFS(Equipar!B:B,5,Equipar!AC:AC,A337),"Equipada",
IF(
 OR( COUNTIFS(Equipar!B:B,5,Equipar!C:C,A337)
 +COUNTIFS(Equipar!B:B,5,Equipar!D:D,A337)
+COUNTIFS(Equipar!B:B,5,Equipar!E:E,A337)
+COUNTIFS(Equipar!B:B,5,Equipar!F:F,A337)
&gt;0,COUNTIF('Set recomendado'!B:B,C337)=0),
"Bloqueada",
"Desechable")),""
)</f>
        <v/>
      </c>
      <c r="J337" t="str" cm="1">
        <f t="array" aca="1" ref="J337" ca="1">IF(ISNUMBER(A337),IFERROR(_xlfn._xlws.FILTER(Equipar!A:A,(Equipar!B:B=5)*(Equipar!AC:AC=A337)),""),"")</f>
        <v/>
      </c>
    </row>
    <row r="338" spans="1:10" x14ac:dyDescent="0.25">
      <c r="A338" s="1" t="str">
        <f ca="1">IF(A337="ID",1,IF(ISBLANK(B338),"",MAX(A$2:A337)+1))</f>
        <v/>
      </c>
      <c r="I338" s="2" t="str">
        <f ca="1">IF(ISNUMBER(A338),
IF(COUNTIFS(Equipar!B:B,5,Equipar!AC:AC,A338),"Equipada",
IF(
 OR( COUNTIFS(Equipar!B:B,5,Equipar!C:C,A338)
 +COUNTIFS(Equipar!B:B,5,Equipar!D:D,A338)
+COUNTIFS(Equipar!B:B,5,Equipar!E:E,A338)
+COUNTIFS(Equipar!B:B,5,Equipar!F:F,A338)
&gt;0,COUNTIF('Set recomendado'!B:B,C338)=0),
"Bloqueada",
"Desechable")),""
)</f>
        <v/>
      </c>
      <c r="J338" t="str" cm="1">
        <f t="array" aca="1" ref="J338" ca="1">IF(ISNUMBER(A338),IFERROR(_xlfn._xlws.FILTER(Equipar!A:A,(Equipar!B:B=5)*(Equipar!AC:AC=A338)),""),"")</f>
        <v/>
      </c>
    </row>
    <row r="339" spans="1:10" x14ac:dyDescent="0.25">
      <c r="A339" s="1" t="str">
        <f ca="1">IF(A338="ID",1,IF(ISBLANK(B339),"",MAX(A$2:A338)+1))</f>
        <v/>
      </c>
      <c r="I339" s="2" t="str">
        <f ca="1">IF(ISNUMBER(A339),
IF(COUNTIFS(Equipar!B:B,5,Equipar!AC:AC,A339),"Equipada",
IF(
 OR( COUNTIFS(Equipar!B:B,5,Equipar!C:C,A339)
 +COUNTIFS(Equipar!B:B,5,Equipar!D:D,A339)
+COUNTIFS(Equipar!B:B,5,Equipar!E:E,A339)
+COUNTIFS(Equipar!B:B,5,Equipar!F:F,A339)
&gt;0,COUNTIF('Set recomendado'!B:B,C339)=0),
"Bloqueada",
"Desechable")),""
)</f>
        <v/>
      </c>
      <c r="J339" t="str" cm="1">
        <f t="array" aca="1" ref="J339" ca="1">IF(ISNUMBER(A339),IFERROR(_xlfn._xlws.FILTER(Equipar!A:A,(Equipar!B:B=5)*(Equipar!AC:AC=A339)),""),"")</f>
        <v/>
      </c>
    </row>
    <row r="340" spans="1:10" x14ac:dyDescent="0.25">
      <c r="A340" s="1" t="str">
        <f ca="1">IF(A339="ID",1,IF(ISBLANK(B340),"",MAX(A$2:A339)+1))</f>
        <v/>
      </c>
      <c r="I340" s="2" t="str">
        <f ca="1">IF(ISNUMBER(A340),
IF(COUNTIFS(Equipar!B:B,5,Equipar!AC:AC,A340),"Equipada",
IF(
 OR( COUNTIFS(Equipar!B:B,5,Equipar!C:C,A340)
 +COUNTIFS(Equipar!B:B,5,Equipar!D:D,A340)
+COUNTIFS(Equipar!B:B,5,Equipar!E:E,A340)
+COUNTIFS(Equipar!B:B,5,Equipar!F:F,A340)
&gt;0,COUNTIF('Set recomendado'!B:B,C340)=0),
"Bloqueada",
"Desechable")),""
)</f>
        <v/>
      </c>
      <c r="J340" t="str" cm="1">
        <f t="array" aca="1" ref="J340" ca="1">IF(ISNUMBER(A340),IFERROR(_xlfn._xlws.FILTER(Equipar!A:A,(Equipar!B:B=5)*(Equipar!AC:AC=A340)),""),"")</f>
        <v/>
      </c>
    </row>
    <row r="341" spans="1:10" x14ac:dyDescent="0.25">
      <c r="A341" s="1" t="str">
        <f ca="1">IF(A340="ID",1,IF(ISBLANK(B341),"",MAX(A$2:A340)+1))</f>
        <v/>
      </c>
      <c r="I341" s="2" t="str">
        <f ca="1">IF(ISNUMBER(A341),
IF(COUNTIFS(Equipar!B:B,5,Equipar!AC:AC,A341),"Equipada",
IF(
 OR( COUNTIFS(Equipar!B:B,5,Equipar!C:C,A341)
 +COUNTIFS(Equipar!B:B,5,Equipar!D:D,A341)
+COUNTIFS(Equipar!B:B,5,Equipar!E:E,A341)
+COUNTIFS(Equipar!B:B,5,Equipar!F:F,A341)
&gt;0,COUNTIF('Set recomendado'!B:B,C341)=0),
"Bloqueada",
"Desechable")),""
)</f>
        <v/>
      </c>
      <c r="J341" t="str" cm="1">
        <f t="array" aca="1" ref="J341" ca="1">IF(ISNUMBER(A341),IFERROR(_xlfn._xlws.FILTER(Equipar!A:A,(Equipar!B:B=5)*(Equipar!AC:AC=A341)),""),"")</f>
        <v/>
      </c>
    </row>
    <row r="342" spans="1:10" x14ac:dyDescent="0.25">
      <c r="A342" s="1" t="str">
        <f ca="1">IF(A341="ID",1,IF(ISBLANK(B342),"",MAX(A$2:A341)+1))</f>
        <v/>
      </c>
      <c r="I342" s="2" t="str">
        <f ca="1">IF(ISNUMBER(A342),
IF(COUNTIFS(Equipar!B:B,5,Equipar!AC:AC,A342),"Equipada",
IF(
 OR( COUNTIFS(Equipar!B:B,5,Equipar!C:C,A342)
 +COUNTIFS(Equipar!B:B,5,Equipar!D:D,A342)
+COUNTIFS(Equipar!B:B,5,Equipar!E:E,A342)
+COUNTIFS(Equipar!B:B,5,Equipar!F:F,A342)
&gt;0,COUNTIF('Set recomendado'!B:B,C342)=0),
"Bloqueada",
"Desechable")),""
)</f>
        <v/>
      </c>
      <c r="J342" t="str" cm="1">
        <f t="array" aca="1" ref="J342" ca="1">IF(ISNUMBER(A342),IFERROR(_xlfn._xlws.FILTER(Equipar!A:A,(Equipar!B:B=5)*(Equipar!AC:AC=A342)),""),"")</f>
        <v/>
      </c>
    </row>
    <row r="343" spans="1:10" x14ac:dyDescent="0.25">
      <c r="A343" s="1" t="str">
        <f ca="1">IF(A342="ID",1,IF(ISBLANK(B343),"",MAX(A$2:A342)+1))</f>
        <v/>
      </c>
      <c r="I343" s="2" t="str">
        <f ca="1">IF(ISNUMBER(A343),
IF(COUNTIFS(Equipar!B:B,5,Equipar!AC:AC,A343),"Equipada",
IF(
 OR( COUNTIFS(Equipar!B:B,5,Equipar!C:C,A343)
 +COUNTIFS(Equipar!B:B,5,Equipar!D:D,A343)
+COUNTIFS(Equipar!B:B,5,Equipar!E:E,A343)
+COUNTIFS(Equipar!B:B,5,Equipar!F:F,A343)
&gt;0,COUNTIF('Set recomendado'!B:B,C343)=0),
"Bloqueada",
"Desechable")),""
)</f>
        <v/>
      </c>
      <c r="J343" t="str" cm="1">
        <f t="array" aca="1" ref="J343" ca="1">IF(ISNUMBER(A343),IFERROR(_xlfn._xlws.FILTER(Equipar!A:A,(Equipar!B:B=5)*(Equipar!AC:AC=A343)),""),"")</f>
        <v/>
      </c>
    </row>
    <row r="344" spans="1:10" x14ac:dyDescent="0.25">
      <c r="A344" s="1" t="str">
        <f ca="1">IF(A343="ID",1,IF(ISBLANK(B344),"",MAX(A$2:A343)+1))</f>
        <v/>
      </c>
      <c r="I344" s="2" t="str">
        <f ca="1">IF(ISNUMBER(A344),
IF(COUNTIFS(Equipar!B:B,5,Equipar!AC:AC,A344),"Equipada",
IF(
 OR( COUNTIFS(Equipar!B:B,5,Equipar!C:C,A344)
 +COUNTIFS(Equipar!B:B,5,Equipar!D:D,A344)
+COUNTIFS(Equipar!B:B,5,Equipar!E:E,A344)
+COUNTIFS(Equipar!B:B,5,Equipar!F:F,A344)
&gt;0,COUNTIF('Set recomendado'!B:B,C344)=0),
"Bloqueada",
"Desechable")),""
)</f>
        <v/>
      </c>
      <c r="J344" t="str" cm="1">
        <f t="array" aca="1" ref="J344" ca="1">IF(ISNUMBER(A344),IFERROR(_xlfn._xlws.FILTER(Equipar!A:A,(Equipar!B:B=5)*(Equipar!AC:AC=A344)),""),"")</f>
        <v/>
      </c>
    </row>
    <row r="345" spans="1:10" x14ac:dyDescent="0.25">
      <c r="A345" s="1" t="str">
        <f ca="1">IF(A344="ID",1,IF(ISBLANK(B345),"",MAX(A$2:A344)+1))</f>
        <v/>
      </c>
      <c r="I345" s="2" t="str">
        <f ca="1">IF(ISNUMBER(A345),
IF(COUNTIFS(Equipar!B:B,5,Equipar!AC:AC,A345),"Equipada",
IF(
 OR( COUNTIFS(Equipar!B:B,5,Equipar!C:C,A345)
 +COUNTIFS(Equipar!B:B,5,Equipar!D:D,A345)
+COUNTIFS(Equipar!B:B,5,Equipar!E:E,A345)
+COUNTIFS(Equipar!B:B,5,Equipar!F:F,A345)
&gt;0,COUNTIF('Set recomendado'!B:B,C345)=0),
"Bloqueada",
"Desechable")),""
)</f>
        <v/>
      </c>
      <c r="J345" t="str" cm="1">
        <f t="array" aca="1" ref="J345" ca="1">IF(ISNUMBER(A345),IFERROR(_xlfn._xlws.FILTER(Equipar!A:A,(Equipar!B:B=5)*(Equipar!AC:AC=A345)),""),"")</f>
        <v/>
      </c>
    </row>
    <row r="346" spans="1:10" x14ac:dyDescent="0.25">
      <c r="A346" s="1" t="str">
        <f ca="1">IF(A345="ID",1,IF(ISBLANK(B346),"",MAX(A$2:A345)+1))</f>
        <v/>
      </c>
      <c r="I346" s="2" t="str">
        <f ca="1">IF(ISNUMBER(A346),
IF(COUNTIFS(Equipar!B:B,5,Equipar!AC:AC,A346),"Equipada",
IF(
 OR( COUNTIFS(Equipar!B:B,5,Equipar!C:C,A346)
 +COUNTIFS(Equipar!B:B,5,Equipar!D:D,A346)
+COUNTIFS(Equipar!B:B,5,Equipar!E:E,A346)
+COUNTIFS(Equipar!B:B,5,Equipar!F:F,A346)
&gt;0,COUNTIF('Set recomendado'!B:B,C346)=0),
"Bloqueada",
"Desechable")),""
)</f>
        <v/>
      </c>
      <c r="J346" t="str" cm="1">
        <f t="array" aca="1" ref="J346" ca="1">IF(ISNUMBER(A346),IFERROR(_xlfn._xlws.FILTER(Equipar!A:A,(Equipar!B:B=5)*(Equipar!AC:AC=A346)),""),"")</f>
        <v/>
      </c>
    </row>
    <row r="347" spans="1:10" x14ac:dyDescent="0.25">
      <c r="A347" s="1" t="str">
        <f ca="1">IF(A346="ID",1,IF(ISBLANK(B347),"",MAX(A$2:A346)+1))</f>
        <v/>
      </c>
      <c r="I347" s="2" t="str">
        <f ca="1">IF(ISNUMBER(A347),
IF(COUNTIFS(Equipar!B:B,5,Equipar!AC:AC,A347),"Equipada",
IF(
 OR( COUNTIFS(Equipar!B:B,5,Equipar!C:C,A347)
 +COUNTIFS(Equipar!B:B,5,Equipar!D:D,A347)
+COUNTIFS(Equipar!B:B,5,Equipar!E:E,A347)
+COUNTIFS(Equipar!B:B,5,Equipar!F:F,A347)
&gt;0,COUNTIF('Set recomendado'!B:B,C347)=0),
"Bloqueada",
"Desechable")),""
)</f>
        <v/>
      </c>
      <c r="J347" t="str" cm="1">
        <f t="array" aca="1" ref="J347" ca="1">IF(ISNUMBER(A347),IFERROR(_xlfn._xlws.FILTER(Equipar!A:A,(Equipar!B:B=5)*(Equipar!AC:AC=A347)),""),"")</f>
        <v/>
      </c>
    </row>
    <row r="348" spans="1:10" x14ac:dyDescent="0.25">
      <c r="A348" s="1" t="str">
        <f ca="1">IF(A347="ID",1,IF(ISBLANK(B348),"",MAX(A$2:A347)+1))</f>
        <v/>
      </c>
      <c r="I348" s="2" t="str">
        <f ca="1">IF(ISNUMBER(A348),
IF(COUNTIFS(Equipar!B:B,5,Equipar!AC:AC,A348),"Equipada",
IF(
 OR( COUNTIFS(Equipar!B:B,5,Equipar!C:C,A348)
 +COUNTIFS(Equipar!B:B,5,Equipar!D:D,A348)
+COUNTIFS(Equipar!B:B,5,Equipar!E:E,A348)
+COUNTIFS(Equipar!B:B,5,Equipar!F:F,A348)
&gt;0,COUNTIF('Set recomendado'!B:B,C348)=0),
"Bloqueada",
"Desechable")),""
)</f>
        <v/>
      </c>
      <c r="J348" t="str" cm="1">
        <f t="array" aca="1" ref="J348" ca="1">IF(ISNUMBER(A348),IFERROR(_xlfn._xlws.FILTER(Equipar!A:A,(Equipar!B:B=5)*(Equipar!AC:AC=A348)),""),"")</f>
        <v/>
      </c>
    </row>
    <row r="349" spans="1:10" x14ac:dyDescent="0.25">
      <c r="A349" s="1" t="str">
        <f ca="1">IF(A348="ID",1,IF(ISBLANK(B349),"",MAX(A$2:A348)+1))</f>
        <v/>
      </c>
      <c r="I349" s="2" t="str">
        <f ca="1">IF(ISNUMBER(A349),
IF(COUNTIFS(Equipar!B:B,5,Equipar!AC:AC,A349),"Equipada",
IF(
 OR( COUNTIFS(Equipar!B:B,5,Equipar!C:C,A349)
 +COUNTIFS(Equipar!B:B,5,Equipar!D:D,A349)
+COUNTIFS(Equipar!B:B,5,Equipar!E:E,A349)
+COUNTIFS(Equipar!B:B,5,Equipar!F:F,A349)
&gt;0,COUNTIF('Set recomendado'!B:B,C349)=0),
"Bloqueada",
"Desechable")),""
)</f>
        <v/>
      </c>
      <c r="J349" t="str" cm="1">
        <f t="array" aca="1" ref="J349" ca="1">IF(ISNUMBER(A349),IFERROR(_xlfn._xlws.FILTER(Equipar!A:A,(Equipar!B:B=5)*(Equipar!AC:AC=A349)),""),"")</f>
        <v/>
      </c>
    </row>
    <row r="350" spans="1:10" x14ac:dyDescent="0.25">
      <c r="A350" s="1" t="str">
        <f ca="1">IF(A349="ID",1,IF(ISBLANK(B350),"",MAX(A$2:A349)+1))</f>
        <v/>
      </c>
      <c r="I350" s="2" t="str">
        <f ca="1">IF(ISNUMBER(A350),
IF(COUNTIFS(Equipar!B:B,5,Equipar!AC:AC,A350),"Equipada",
IF(
 OR( COUNTIFS(Equipar!B:B,5,Equipar!C:C,A350)
 +COUNTIFS(Equipar!B:B,5,Equipar!D:D,A350)
+COUNTIFS(Equipar!B:B,5,Equipar!E:E,A350)
+COUNTIFS(Equipar!B:B,5,Equipar!F:F,A350)
&gt;0,COUNTIF('Set recomendado'!B:B,C350)=0),
"Bloqueada",
"Desechable")),""
)</f>
        <v/>
      </c>
      <c r="J350" t="str" cm="1">
        <f t="array" aca="1" ref="J350" ca="1">IF(ISNUMBER(A350),IFERROR(_xlfn._xlws.FILTER(Equipar!A:A,(Equipar!B:B=5)*(Equipar!AC:AC=A350)),""),"")</f>
        <v/>
      </c>
    </row>
    <row r="351" spans="1:10" x14ac:dyDescent="0.25">
      <c r="A351" s="1" t="str">
        <f ca="1">IF(A350="ID",1,IF(ISBLANK(B351),"",MAX(A$2:A350)+1))</f>
        <v/>
      </c>
      <c r="I351" s="2" t="str">
        <f ca="1">IF(ISNUMBER(A351),
IF(COUNTIFS(Equipar!B:B,5,Equipar!AC:AC,A351),"Equipada",
IF(
 OR( COUNTIFS(Equipar!B:B,5,Equipar!C:C,A351)
 +COUNTIFS(Equipar!B:B,5,Equipar!D:D,A351)
+COUNTIFS(Equipar!B:B,5,Equipar!E:E,A351)
+COUNTIFS(Equipar!B:B,5,Equipar!F:F,A351)
&gt;0,COUNTIF('Set recomendado'!B:B,C351)=0),
"Bloqueada",
"Desechable")),""
)</f>
        <v/>
      </c>
      <c r="J351" t="str" cm="1">
        <f t="array" aca="1" ref="J351" ca="1">IF(ISNUMBER(A351),IFERROR(_xlfn._xlws.FILTER(Equipar!A:A,(Equipar!B:B=5)*(Equipar!AC:AC=A351)),""),"")</f>
        <v/>
      </c>
    </row>
    <row r="352" spans="1:10" x14ac:dyDescent="0.25">
      <c r="A352" s="1" t="str">
        <f ca="1">IF(A351="ID",1,IF(ISBLANK(B352),"",MAX(A$2:A351)+1))</f>
        <v/>
      </c>
      <c r="I352" s="2" t="str">
        <f ca="1">IF(ISNUMBER(A352),
IF(COUNTIFS(Equipar!B:B,5,Equipar!AC:AC,A352),"Equipada",
IF(
 OR( COUNTIFS(Equipar!B:B,5,Equipar!C:C,A352)
 +COUNTIFS(Equipar!B:B,5,Equipar!D:D,A352)
+COUNTIFS(Equipar!B:B,5,Equipar!E:E,A352)
+COUNTIFS(Equipar!B:B,5,Equipar!F:F,A352)
&gt;0,COUNTIF('Set recomendado'!B:B,C352)=0),
"Bloqueada",
"Desechable")),""
)</f>
        <v/>
      </c>
      <c r="J352" t="str" cm="1">
        <f t="array" aca="1" ref="J352" ca="1">IF(ISNUMBER(A352),IFERROR(_xlfn._xlws.FILTER(Equipar!A:A,(Equipar!B:B=5)*(Equipar!AC:AC=A352)),""),"")</f>
        <v/>
      </c>
    </row>
    <row r="353" spans="1:10" x14ac:dyDescent="0.25">
      <c r="A353" s="1" t="str">
        <f ca="1">IF(A352="ID",1,IF(ISBLANK(B353),"",MAX(A$2:A352)+1))</f>
        <v/>
      </c>
      <c r="I353" s="2" t="str">
        <f ca="1">IF(ISNUMBER(A353),
IF(COUNTIFS(Equipar!B:B,5,Equipar!AC:AC,A353),"Equipada",
IF(
 OR( COUNTIFS(Equipar!B:B,5,Equipar!C:C,A353)
 +COUNTIFS(Equipar!B:B,5,Equipar!D:D,A353)
+COUNTIFS(Equipar!B:B,5,Equipar!E:E,A353)
+COUNTIFS(Equipar!B:B,5,Equipar!F:F,A353)
&gt;0,COUNTIF('Set recomendado'!B:B,C353)=0),
"Bloqueada",
"Desechable")),""
)</f>
        <v/>
      </c>
      <c r="J353" t="str" cm="1">
        <f t="array" aca="1" ref="J353" ca="1">IF(ISNUMBER(A353),IFERROR(_xlfn._xlws.FILTER(Equipar!A:A,(Equipar!B:B=5)*(Equipar!AC:AC=A353)),""),"")</f>
        <v/>
      </c>
    </row>
    <row r="354" spans="1:10" x14ac:dyDescent="0.25">
      <c r="A354" s="1" t="str">
        <f ca="1">IF(A353="ID",1,IF(ISBLANK(B354),"",MAX(A$2:A353)+1))</f>
        <v/>
      </c>
      <c r="I354" s="2" t="str">
        <f ca="1">IF(ISNUMBER(A354),
IF(COUNTIFS(Equipar!B:B,5,Equipar!AC:AC,A354),"Equipada",
IF(
 OR( COUNTIFS(Equipar!B:B,5,Equipar!C:C,A354)
 +COUNTIFS(Equipar!B:B,5,Equipar!D:D,A354)
+COUNTIFS(Equipar!B:B,5,Equipar!E:E,A354)
+COUNTIFS(Equipar!B:B,5,Equipar!F:F,A354)
&gt;0,COUNTIF('Set recomendado'!B:B,C354)=0),
"Bloqueada",
"Desechable")),""
)</f>
        <v/>
      </c>
      <c r="J354" t="str" cm="1">
        <f t="array" aca="1" ref="J354" ca="1">IF(ISNUMBER(A354),IFERROR(_xlfn._xlws.FILTER(Equipar!A:A,(Equipar!B:B=5)*(Equipar!AC:AC=A354)),""),"")</f>
        <v/>
      </c>
    </row>
    <row r="355" spans="1:10" x14ac:dyDescent="0.25">
      <c r="A355" s="1" t="str">
        <f ca="1">IF(A354="ID",1,IF(ISBLANK(B355),"",MAX(A$2:A354)+1))</f>
        <v/>
      </c>
      <c r="I355" s="2" t="str">
        <f ca="1">IF(ISNUMBER(A355),
IF(COUNTIFS(Equipar!B:B,5,Equipar!AC:AC,A355),"Equipada",
IF(
 OR( COUNTIFS(Equipar!B:B,5,Equipar!C:C,A355)
 +COUNTIFS(Equipar!B:B,5,Equipar!D:D,A355)
+COUNTIFS(Equipar!B:B,5,Equipar!E:E,A355)
+COUNTIFS(Equipar!B:B,5,Equipar!F:F,A355)
&gt;0,COUNTIF('Set recomendado'!B:B,C355)=0),
"Bloqueada",
"Desechable")),""
)</f>
        <v/>
      </c>
      <c r="J355" t="str" cm="1">
        <f t="array" aca="1" ref="J355" ca="1">IF(ISNUMBER(A355),IFERROR(_xlfn._xlws.FILTER(Equipar!A:A,(Equipar!B:B=5)*(Equipar!AC:AC=A355)),""),"")</f>
        <v/>
      </c>
    </row>
    <row r="356" spans="1:10" x14ac:dyDescent="0.25">
      <c r="A356" s="1" t="str">
        <f ca="1">IF(A355="ID",1,IF(ISBLANK(B356),"",MAX(A$2:A355)+1))</f>
        <v/>
      </c>
      <c r="I356" s="2" t="str">
        <f ca="1">IF(ISNUMBER(A356),
IF(COUNTIFS(Equipar!B:B,5,Equipar!AC:AC,A356),"Equipada",
IF(
 OR( COUNTIFS(Equipar!B:B,5,Equipar!C:C,A356)
 +COUNTIFS(Equipar!B:B,5,Equipar!D:D,A356)
+COUNTIFS(Equipar!B:B,5,Equipar!E:E,A356)
+COUNTIFS(Equipar!B:B,5,Equipar!F:F,A356)
&gt;0,COUNTIF('Set recomendado'!B:B,C356)=0),
"Bloqueada",
"Desechable")),""
)</f>
        <v/>
      </c>
      <c r="J356" t="str" cm="1">
        <f t="array" aca="1" ref="J356" ca="1">IF(ISNUMBER(A356),IFERROR(_xlfn._xlws.FILTER(Equipar!A:A,(Equipar!B:B=5)*(Equipar!AC:AC=A356)),""),"")</f>
        <v/>
      </c>
    </row>
    <row r="357" spans="1:10" x14ac:dyDescent="0.25">
      <c r="A357" s="1" t="str">
        <f ca="1">IF(A356="ID",1,IF(ISBLANK(B357),"",MAX(A$2:A356)+1))</f>
        <v/>
      </c>
      <c r="I357" s="2" t="str">
        <f ca="1">IF(ISNUMBER(A357),
IF(COUNTIFS(Equipar!B:B,5,Equipar!AC:AC,A357),"Equipada",
IF(
 OR( COUNTIFS(Equipar!B:B,5,Equipar!C:C,A357)
 +COUNTIFS(Equipar!B:B,5,Equipar!D:D,A357)
+COUNTIFS(Equipar!B:B,5,Equipar!E:E,A357)
+COUNTIFS(Equipar!B:B,5,Equipar!F:F,A357)
&gt;0,COUNTIF('Set recomendado'!B:B,C357)=0),
"Bloqueada",
"Desechable")),""
)</f>
        <v/>
      </c>
      <c r="J357" t="str" cm="1">
        <f t="array" aca="1" ref="J357" ca="1">IF(ISNUMBER(A357),IFERROR(_xlfn._xlws.FILTER(Equipar!A:A,(Equipar!B:B=5)*(Equipar!AC:AC=A357)),""),"")</f>
        <v/>
      </c>
    </row>
    <row r="358" spans="1:10" x14ac:dyDescent="0.25">
      <c r="A358" s="1" t="str">
        <f ca="1">IF(A357="ID",1,IF(ISBLANK(B358),"",MAX(A$2:A357)+1))</f>
        <v/>
      </c>
      <c r="I358" s="2" t="str">
        <f ca="1">IF(ISNUMBER(A358),
IF(COUNTIFS(Equipar!B:B,5,Equipar!AC:AC,A358),"Equipada",
IF(
 OR( COUNTIFS(Equipar!B:B,5,Equipar!C:C,A358)
 +COUNTIFS(Equipar!B:B,5,Equipar!D:D,A358)
+COUNTIFS(Equipar!B:B,5,Equipar!E:E,A358)
+COUNTIFS(Equipar!B:B,5,Equipar!F:F,A358)
&gt;0,COUNTIF('Set recomendado'!B:B,C358)=0),
"Bloqueada",
"Desechable")),""
)</f>
        <v/>
      </c>
      <c r="J358" t="str" cm="1">
        <f t="array" aca="1" ref="J358" ca="1">IF(ISNUMBER(A358),IFERROR(_xlfn._xlws.FILTER(Equipar!A:A,(Equipar!B:B=5)*(Equipar!AC:AC=A358)),""),"")</f>
        <v/>
      </c>
    </row>
    <row r="359" spans="1:10" x14ac:dyDescent="0.25">
      <c r="A359" s="1" t="str">
        <f ca="1">IF(A358="ID",1,IF(ISBLANK(B359),"",MAX(A$2:A358)+1))</f>
        <v/>
      </c>
      <c r="I359" s="2" t="str">
        <f ca="1">IF(ISNUMBER(A359),
IF(COUNTIFS(Equipar!B:B,5,Equipar!AC:AC,A359),"Equipada",
IF(
 OR( COUNTIFS(Equipar!B:B,5,Equipar!C:C,A359)
 +COUNTIFS(Equipar!B:B,5,Equipar!D:D,A359)
+COUNTIFS(Equipar!B:B,5,Equipar!E:E,A359)
+COUNTIFS(Equipar!B:B,5,Equipar!F:F,A359)
&gt;0,COUNTIF('Set recomendado'!B:B,C359)=0),
"Bloqueada",
"Desechable")),""
)</f>
        <v/>
      </c>
      <c r="J359" t="str" cm="1">
        <f t="array" aca="1" ref="J359" ca="1">IF(ISNUMBER(A359),IFERROR(_xlfn._xlws.FILTER(Equipar!A:A,(Equipar!B:B=5)*(Equipar!AC:AC=A359)),""),"")</f>
        <v/>
      </c>
    </row>
    <row r="360" spans="1:10" x14ac:dyDescent="0.25">
      <c r="A360" s="1" t="str">
        <f ca="1">IF(A359="ID",1,IF(ISBLANK(B360),"",MAX(A$2:A359)+1))</f>
        <v/>
      </c>
      <c r="I360" s="2" t="str">
        <f ca="1">IF(ISNUMBER(A360),
IF(COUNTIFS(Equipar!B:B,5,Equipar!AC:AC,A360),"Equipada",
IF(
 OR( COUNTIFS(Equipar!B:B,5,Equipar!C:C,A360)
 +COUNTIFS(Equipar!B:B,5,Equipar!D:D,A360)
+COUNTIFS(Equipar!B:B,5,Equipar!E:E,A360)
+COUNTIFS(Equipar!B:B,5,Equipar!F:F,A360)
&gt;0,COUNTIF('Set recomendado'!B:B,C360)=0),
"Bloqueada",
"Desechable")),""
)</f>
        <v/>
      </c>
      <c r="J360" t="str" cm="1">
        <f t="array" aca="1" ref="J360" ca="1">IF(ISNUMBER(A360),IFERROR(_xlfn._xlws.FILTER(Equipar!A:A,(Equipar!B:B=5)*(Equipar!AC:AC=A360)),""),"")</f>
        <v/>
      </c>
    </row>
    <row r="361" spans="1:10" x14ac:dyDescent="0.25">
      <c r="A361" s="1" t="str">
        <f ca="1">IF(A360="ID",1,IF(ISBLANK(B361),"",MAX(A$2:A360)+1))</f>
        <v/>
      </c>
      <c r="I361" s="2" t="str">
        <f ca="1">IF(ISNUMBER(A361),
IF(COUNTIFS(Equipar!B:B,5,Equipar!AC:AC,A361),"Equipada",
IF(
 OR( COUNTIFS(Equipar!B:B,5,Equipar!C:C,A361)
 +COUNTIFS(Equipar!B:B,5,Equipar!D:D,A361)
+COUNTIFS(Equipar!B:B,5,Equipar!E:E,A361)
+COUNTIFS(Equipar!B:B,5,Equipar!F:F,A361)
&gt;0,COUNTIF('Set recomendado'!B:B,C361)=0),
"Bloqueada",
"Desechable")),""
)</f>
        <v/>
      </c>
      <c r="J361" t="str" cm="1">
        <f t="array" aca="1" ref="J361" ca="1">IF(ISNUMBER(A361),IFERROR(_xlfn._xlws.FILTER(Equipar!A:A,(Equipar!B:B=5)*(Equipar!AC:AC=A361)),""),"")</f>
        <v/>
      </c>
    </row>
    <row r="362" spans="1:10" x14ac:dyDescent="0.25">
      <c r="A362" s="1" t="str">
        <f ca="1">IF(A361="ID",1,IF(ISBLANK(B362),"",MAX(A$2:A361)+1))</f>
        <v/>
      </c>
      <c r="I362" s="2" t="str">
        <f ca="1">IF(ISNUMBER(A362),
IF(COUNTIFS(Equipar!B:B,5,Equipar!AC:AC,A362),"Equipada",
IF(
 OR( COUNTIFS(Equipar!B:B,5,Equipar!C:C,A362)
 +COUNTIFS(Equipar!B:B,5,Equipar!D:D,A362)
+COUNTIFS(Equipar!B:B,5,Equipar!E:E,A362)
+COUNTIFS(Equipar!B:B,5,Equipar!F:F,A362)
&gt;0,COUNTIF('Set recomendado'!B:B,C362)=0),
"Bloqueada",
"Desechable")),""
)</f>
        <v/>
      </c>
      <c r="J362" t="str" cm="1">
        <f t="array" aca="1" ref="J362" ca="1">IF(ISNUMBER(A362),IFERROR(_xlfn._xlws.FILTER(Equipar!A:A,(Equipar!B:B=5)*(Equipar!AC:AC=A362)),""),"")</f>
        <v/>
      </c>
    </row>
    <row r="363" spans="1:10" x14ac:dyDescent="0.25">
      <c r="A363" s="1" t="str">
        <f ca="1">IF(A362="ID",1,IF(ISBLANK(B363),"",MAX(A$2:A362)+1))</f>
        <v/>
      </c>
      <c r="I363" s="2" t="str">
        <f ca="1">IF(ISNUMBER(A363),
IF(COUNTIFS(Equipar!B:B,5,Equipar!AC:AC,A363),"Equipada",
IF(
 OR( COUNTIFS(Equipar!B:B,5,Equipar!C:C,A363)
 +COUNTIFS(Equipar!B:B,5,Equipar!D:D,A363)
+COUNTIFS(Equipar!B:B,5,Equipar!E:E,A363)
+COUNTIFS(Equipar!B:B,5,Equipar!F:F,A363)
&gt;0,COUNTIF('Set recomendado'!B:B,C363)=0),
"Bloqueada",
"Desechable")),""
)</f>
        <v/>
      </c>
      <c r="J363" t="str" cm="1">
        <f t="array" aca="1" ref="J363" ca="1">IF(ISNUMBER(A363),IFERROR(_xlfn._xlws.FILTER(Equipar!A:A,(Equipar!B:B=5)*(Equipar!AC:AC=A363)),""),"")</f>
        <v/>
      </c>
    </row>
    <row r="364" spans="1:10" x14ac:dyDescent="0.25">
      <c r="A364" s="1" t="str">
        <f ca="1">IF(A363="ID",1,IF(ISBLANK(B364),"",MAX(A$2:A363)+1))</f>
        <v/>
      </c>
      <c r="I364" s="2" t="str">
        <f ca="1">IF(ISNUMBER(A364),
IF(COUNTIFS(Equipar!B:B,5,Equipar!AC:AC,A364),"Equipada",
IF(
 OR( COUNTIFS(Equipar!B:B,5,Equipar!C:C,A364)
 +COUNTIFS(Equipar!B:B,5,Equipar!D:D,A364)
+COUNTIFS(Equipar!B:B,5,Equipar!E:E,A364)
+COUNTIFS(Equipar!B:B,5,Equipar!F:F,A364)
&gt;0,COUNTIF('Set recomendado'!B:B,C364)=0),
"Bloqueada",
"Desechable")),""
)</f>
        <v/>
      </c>
      <c r="J364" t="str" cm="1">
        <f t="array" aca="1" ref="J364" ca="1">IF(ISNUMBER(A364),IFERROR(_xlfn._xlws.FILTER(Equipar!A:A,(Equipar!B:B=5)*(Equipar!AC:AC=A364)),""),"")</f>
        <v/>
      </c>
    </row>
    <row r="365" spans="1:10" x14ac:dyDescent="0.25">
      <c r="A365" s="1" t="str">
        <f ca="1">IF(A364="ID",1,IF(ISBLANK(B365),"",MAX(A$2:A364)+1))</f>
        <v/>
      </c>
      <c r="I365" s="2" t="str">
        <f ca="1">IF(ISNUMBER(A365),
IF(COUNTIFS(Equipar!B:B,5,Equipar!AC:AC,A365),"Equipada",
IF(
 OR( COUNTIFS(Equipar!B:B,5,Equipar!C:C,A365)
 +COUNTIFS(Equipar!B:B,5,Equipar!D:D,A365)
+COUNTIFS(Equipar!B:B,5,Equipar!E:E,A365)
+COUNTIFS(Equipar!B:B,5,Equipar!F:F,A365)
&gt;0,COUNTIF('Set recomendado'!B:B,C365)=0),
"Bloqueada",
"Desechable")),""
)</f>
        <v/>
      </c>
      <c r="J365" t="str" cm="1">
        <f t="array" aca="1" ref="J365" ca="1">IF(ISNUMBER(A365),IFERROR(_xlfn._xlws.FILTER(Equipar!A:A,(Equipar!B:B=5)*(Equipar!AC:AC=A365)),""),"")</f>
        <v/>
      </c>
    </row>
    <row r="366" spans="1:10" x14ac:dyDescent="0.25">
      <c r="A366" s="1" t="str">
        <f ca="1">IF(A365="ID",1,IF(ISBLANK(B366),"",MAX(A$2:A365)+1))</f>
        <v/>
      </c>
      <c r="I366" s="2" t="str">
        <f ca="1">IF(ISNUMBER(A366),
IF(COUNTIFS(Equipar!B:B,5,Equipar!AC:AC,A366),"Equipada",
IF(
 OR( COUNTIFS(Equipar!B:B,5,Equipar!C:C,A366)
 +COUNTIFS(Equipar!B:B,5,Equipar!D:D,A366)
+COUNTIFS(Equipar!B:B,5,Equipar!E:E,A366)
+COUNTIFS(Equipar!B:B,5,Equipar!F:F,A366)
&gt;0,COUNTIF('Set recomendado'!B:B,C366)=0),
"Bloqueada",
"Desechable")),""
)</f>
        <v/>
      </c>
      <c r="J366" t="str" cm="1">
        <f t="array" aca="1" ref="J366" ca="1">IF(ISNUMBER(A366),IFERROR(_xlfn._xlws.FILTER(Equipar!A:A,(Equipar!B:B=5)*(Equipar!AC:AC=A366)),""),"")</f>
        <v/>
      </c>
    </row>
    <row r="367" spans="1:10" x14ac:dyDescent="0.25">
      <c r="A367" s="1" t="str">
        <f ca="1">IF(A366="ID",1,IF(ISBLANK(B367),"",MAX(A$2:A366)+1))</f>
        <v/>
      </c>
      <c r="I367" s="2" t="str">
        <f ca="1">IF(ISNUMBER(A367),
IF(COUNTIFS(Equipar!B:B,5,Equipar!AC:AC,A367),"Equipada",
IF(
 OR( COUNTIFS(Equipar!B:B,5,Equipar!C:C,A367)
 +COUNTIFS(Equipar!B:B,5,Equipar!D:D,A367)
+COUNTIFS(Equipar!B:B,5,Equipar!E:E,A367)
+COUNTIFS(Equipar!B:B,5,Equipar!F:F,A367)
&gt;0,COUNTIF('Set recomendado'!B:B,C367)=0),
"Bloqueada",
"Desechable")),""
)</f>
        <v/>
      </c>
      <c r="J367" t="str" cm="1">
        <f t="array" aca="1" ref="J367" ca="1">IF(ISNUMBER(A367),IFERROR(_xlfn._xlws.FILTER(Equipar!A:A,(Equipar!B:B=5)*(Equipar!AC:AC=A367)),""),"")</f>
        <v/>
      </c>
    </row>
    <row r="368" spans="1:10" x14ac:dyDescent="0.25">
      <c r="A368" s="1" t="str">
        <f ca="1">IF(A367="ID",1,IF(ISBLANK(B368),"",MAX(A$2:A367)+1))</f>
        <v/>
      </c>
      <c r="I368" s="2" t="str">
        <f ca="1">IF(ISNUMBER(A368),
IF(COUNTIFS(Equipar!B:B,5,Equipar!AC:AC,A368),"Equipada",
IF(
 OR( COUNTIFS(Equipar!B:B,5,Equipar!C:C,A368)
 +COUNTIFS(Equipar!B:B,5,Equipar!D:D,A368)
+COUNTIFS(Equipar!B:B,5,Equipar!E:E,A368)
+COUNTIFS(Equipar!B:B,5,Equipar!F:F,A368)
&gt;0,COUNTIF('Set recomendado'!B:B,C368)=0),
"Bloqueada",
"Desechable")),""
)</f>
        <v/>
      </c>
      <c r="J368" t="str" cm="1">
        <f t="array" aca="1" ref="J368" ca="1">IF(ISNUMBER(A368),IFERROR(_xlfn._xlws.FILTER(Equipar!A:A,(Equipar!B:B=5)*(Equipar!AC:AC=A368)),""),"")</f>
        <v/>
      </c>
    </row>
    <row r="369" spans="1:10" x14ac:dyDescent="0.25">
      <c r="A369" s="1" t="str">
        <f ca="1">IF(A368="ID",1,IF(ISBLANK(B369),"",MAX(A$2:A368)+1))</f>
        <v/>
      </c>
      <c r="I369" s="2" t="str">
        <f ca="1">IF(ISNUMBER(A369),
IF(COUNTIFS(Equipar!B:B,5,Equipar!AC:AC,A369),"Equipada",
IF(
 OR( COUNTIFS(Equipar!B:B,5,Equipar!C:C,A369)
 +COUNTIFS(Equipar!B:B,5,Equipar!D:D,A369)
+COUNTIFS(Equipar!B:B,5,Equipar!E:E,A369)
+COUNTIFS(Equipar!B:B,5,Equipar!F:F,A369)
&gt;0,COUNTIF('Set recomendado'!B:B,C369)=0),
"Bloqueada",
"Desechable")),""
)</f>
        <v/>
      </c>
      <c r="J369" t="str" cm="1">
        <f t="array" aca="1" ref="J369" ca="1">IF(ISNUMBER(A369),IFERROR(_xlfn._xlws.FILTER(Equipar!A:A,(Equipar!B:B=5)*(Equipar!AC:AC=A369)),""),"")</f>
        <v/>
      </c>
    </row>
    <row r="370" spans="1:10" x14ac:dyDescent="0.25">
      <c r="A370" s="1" t="str">
        <f ca="1">IF(A369="ID",1,IF(ISBLANK(B370),"",MAX(A$2:A369)+1))</f>
        <v/>
      </c>
      <c r="I370" s="2" t="str">
        <f ca="1">IF(ISNUMBER(A370),
IF(COUNTIFS(Equipar!B:B,5,Equipar!AC:AC,A370),"Equipada",
IF(
 OR( COUNTIFS(Equipar!B:B,5,Equipar!C:C,A370)
 +COUNTIFS(Equipar!B:B,5,Equipar!D:D,A370)
+COUNTIFS(Equipar!B:B,5,Equipar!E:E,A370)
+COUNTIFS(Equipar!B:B,5,Equipar!F:F,A370)
&gt;0,COUNTIF('Set recomendado'!B:B,C370)=0),
"Bloqueada",
"Desechable")),""
)</f>
        <v/>
      </c>
      <c r="J370" t="str" cm="1">
        <f t="array" aca="1" ref="J370" ca="1">IF(ISNUMBER(A370),IFERROR(_xlfn._xlws.FILTER(Equipar!A:A,(Equipar!B:B=5)*(Equipar!AC:AC=A370)),""),"")</f>
        <v/>
      </c>
    </row>
    <row r="371" spans="1:10" x14ac:dyDescent="0.25">
      <c r="A371" s="1" t="str">
        <f ca="1">IF(A370="ID",1,IF(ISBLANK(B371),"",MAX(A$2:A370)+1))</f>
        <v/>
      </c>
      <c r="I371" s="2" t="str">
        <f ca="1">IF(ISNUMBER(A371),
IF(COUNTIFS(Equipar!B:B,5,Equipar!AC:AC,A371),"Equipada",
IF(
 OR( COUNTIFS(Equipar!B:B,5,Equipar!C:C,A371)
 +COUNTIFS(Equipar!B:B,5,Equipar!D:D,A371)
+COUNTIFS(Equipar!B:B,5,Equipar!E:E,A371)
+COUNTIFS(Equipar!B:B,5,Equipar!F:F,A371)
&gt;0,COUNTIF('Set recomendado'!B:B,C371)=0),
"Bloqueada",
"Desechable")),""
)</f>
        <v/>
      </c>
      <c r="J371" t="str" cm="1">
        <f t="array" aca="1" ref="J371" ca="1">IF(ISNUMBER(A371),IFERROR(_xlfn._xlws.FILTER(Equipar!A:A,(Equipar!B:B=5)*(Equipar!AC:AC=A371)),""),"")</f>
        <v/>
      </c>
    </row>
    <row r="372" spans="1:10" x14ac:dyDescent="0.25">
      <c r="A372" s="1" t="str">
        <f ca="1">IF(A371="ID",1,IF(ISBLANK(B372),"",MAX(A$2:A371)+1))</f>
        <v/>
      </c>
      <c r="I372" s="2" t="str">
        <f ca="1">IF(ISNUMBER(A372),
IF(COUNTIFS(Equipar!B:B,5,Equipar!AC:AC,A372),"Equipada",
IF(
 OR( COUNTIFS(Equipar!B:B,5,Equipar!C:C,A372)
 +COUNTIFS(Equipar!B:B,5,Equipar!D:D,A372)
+COUNTIFS(Equipar!B:B,5,Equipar!E:E,A372)
+COUNTIFS(Equipar!B:B,5,Equipar!F:F,A372)
&gt;0,COUNTIF('Set recomendado'!B:B,C372)=0),
"Bloqueada",
"Desechable")),""
)</f>
        <v/>
      </c>
      <c r="J372" t="str" cm="1">
        <f t="array" aca="1" ref="J372" ca="1">IF(ISNUMBER(A372),IFERROR(_xlfn._xlws.FILTER(Equipar!A:A,(Equipar!B:B=5)*(Equipar!AC:AC=A372)),""),"")</f>
        <v/>
      </c>
    </row>
    <row r="373" spans="1:10" x14ac:dyDescent="0.25">
      <c r="A373" s="1" t="str">
        <f ca="1">IF(A372="ID",1,IF(ISBLANK(B373),"",MAX(A$2:A372)+1))</f>
        <v/>
      </c>
      <c r="I373" s="2" t="str">
        <f ca="1">IF(ISNUMBER(A373),
IF(COUNTIFS(Equipar!B:B,5,Equipar!AC:AC,A373),"Equipada",
IF(
 OR( COUNTIFS(Equipar!B:B,5,Equipar!C:C,A373)
 +COUNTIFS(Equipar!B:B,5,Equipar!D:D,A373)
+COUNTIFS(Equipar!B:B,5,Equipar!E:E,A373)
+COUNTIFS(Equipar!B:B,5,Equipar!F:F,A373)
&gt;0,COUNTIF('Set recomendado'!B:B,C373)=0),
"Bloqueada",
"Desechable")),""
)</f>
        <v/>
      </c>
      <c r="J373" t="str" cm="1">
        <f t="array" aca="1" ref="J373" ca="1">IF(ISNUMBER(A373),IFERROR(_xlfn._xlws.FILTER(Equipar!A:A,(Equipar!B:B=5)*(Equipar!AC:AC=A373)),""),"")</f>
        <v/>
      </c>
    </row>
    <row r="374" spans="1:10" x14ac:dyDescent="0.25">
      <c r="A374" s="1" t="str">
        <f ca="1">IF(A373="ID",1,IF(ISBLANK(B374),"",MAX(A$2:A373)+1))</f>
        <v/>
      </c>
      <c r="I374" s="2" t="str">
        <f ca="1">IF(ISNUMBER(A374),
IF(COUNTIFS(Equipar!B:B,5,Equipar!AC:AC,A374),"Equipada",
IF(
 OR( COUNTIFS(Equipar!B:B,5,Equipar!C:C,A374)
 +COUNTIFS(Equipar!B:B,5,Equipar!D:D,A374)
+COUNTIFS(Equipar!B:B,5,Equipar!E:E,A374)
+COUNTIFS(Equipar!B:B,5,Equipar!F:F,A374)
&gt;0,COUNTIF('Set recomendado'!B:B,C374)=0),
"Bloqueada",
"Desechable")),""
)</f>
        <v/>
      </c>
      <c r="J374" t="str" cm="1">
        <f t="array" aca="1" ref="J374" ca="1">IF(ISNUMBER(A374),IFERROR(_xlfn._xlws.FILTER(Equipar!A:A,(Equipar!B:B=5)*(Equipar!AC:AC=A374)),""),"")</f>
        <v/>
      </c>
    </row>
    <row r="375" spans="1:10" x14ac:dyDescent="0.25">
      <c r="A375" s="1" t="str">
        <f ca="1">IF(A374="ID",1,IF(ISBLANK(B375),"",MAX(A$2:A374)+1))</f>
        <v/>
      </c>
      <c r="I375" s="2" t="str">
        <f ca="1">IF(ISNUMBER(A375),
IF(COUNTIFS(Equipar!B:B,5,Equipar!AC:AC,A375),"Equipada",
IF(
 OR( COUNTIFS(Equipar!B:B,5,Equipar!C:C,A375)
 +COUNTIFS(Equipar!B:B,5,Equipar!D:D,A375)
+COUNTIFS(Equipar!B:B,5,Equipar!E:E,A375)
+COUNTIFS(Equipar!B:B,5,Equipar!F:F,A375)
&gt;0,COUNTIF('Set recomendado'!B:B,C375)=0),
"Bloqueada",
"Desechable")),""
)</f>
        <v/>
      </c>
      <c r="J375" t="str" cm="1">
        <f t="array" aca="1" ref="J375" ca="1">IF(ISNUMBER(A375),IFERROR(_xlfn._xlws.FILTER(Equipar!A:A,(Equipar!B:B=5)*(Equipar!AC:AC=A375)),""),"")</f>
        <v/>
      </c>
    </row>
    <row r="376" spans="1:10" x14ac:dyDescent="0.25">
      <c r="A376" s="1" t="str">
        <f ca="1">IF(A375="ID",1,IF(ISBLANK(B376),"",MAX(A$2:A375)+1))</f>
        <v/>
      </c>
      <c r="I376" s="2" t="str">
        <f ca="1">IF(ISNUMBER(A376),
IF(COUNTIFS(Equipar!B:B,5,Equipar!AC:AC,A376),"Equipada",
IF(
 OR( COUNTIFS(Equipar!B:B,5,Equipar!C:C,A376)
 +COUNTIFS(Equipar!B:B,5,Equipar!D:D,A376)
+COUNTIFS(Equipar!B:B,5,Equipar!E:E,A376)
+COUNTIFS(Equipar!B:B,5,Equipar!F:F,A376)
&gt;0,COUNTIF('Set recomendado'!B:B,C376)=0),
"Bloqueada",
"Desechable")),""
)</f>
        <v/>
      </c>
      <c r="J376" t="str" cm="1">
        <f t="array" aca="1" ref="J376" ca="1">IF(ISNUMBER(A376),IFERROR(_xlfn._xlws.FILTER(Equipar!A:A,(Equipar!B:B=5)*(Equipar!AC:AC=A376)),""),"")</f>
        <v/>
      </c>
    </row>
    <row r="377" spans="1:10" x14ac:dyDescent="0.25">
      <c r="A377" s="1" t="str">
        <f ca="1">IF(A376="ID",1,IF(ISBLANK(B377),"",MAX(A$2:A376)+1))</f>
        <v/>
      </c>
      <c r="I377" s="2" t="str">
        <f ca="1">IF(ISNUMBER(A377),
IF(COUNTIFS(Equipar!B:B,5,Equipar!AC:AC,A377),"Equipada",
IF(
 OR( COUNTIFS(Equipar!B:B,5,Equipar!C:C,A377)
 +COUNTIFS(Equipar!B:B,5,Equipar!D:D,A377)
+COUNTIFS(Equipar!B:B,5,Equipar!E:E,A377)
+COUNTIFS(Equipar!B:B,5,Equipar!F:F,A377)
&gt;0,COUNTIF('Set recomendado'!B:B,C377)=0),
"Bloqueada",
"Desechable")),""
)</f>
        <v/>
      </c>
      <c r="J377" t="str" cm="1">
        <f t="array" aca="1" ref="J377" ca="1">IF(ISNUMBER(A377),IFERROR(_xlfn._xlws.FILTER(Equipar!A:A,(Equipar!B:B=5)*(Equipar!AC:AC=A377)),""),"")</f>
        <v/>
      </c>
    </row>
    <row r="378" spans="1:10" x14ac:dyDescent="0.25">
      <c r="A378" s="1" t="str">
        <f ca="1">IF(A377="ID",1,IF(ISBLANK(B378),"",MAX(A$2:A377)+1))</f>
        <v/>
      </c>
      <c r="I378" s="2" t="str">
        <f ca="1">IF(ISNUMBER(A378),
IF(COUNTIFS(Equipar!B:B,5,Equipar!AC:AC,A378),"Equipada",
IF(
 OR( COUNTIFS(Equipar!B:B,5,Equipar!C:C,A378)
 +COUNTIFS(Equipar!B:B,5,Equipar!D:D,A378)
+COUNTIFS(Equipar!B:B,5,Equipar!E:E,A378)
+COUNTIFS(Equipar!B:B,5,Equipar!F:F,A378)
&gt;0,COUNTIF('Set recomendado'!B:B,C378)=0),
"Bloqueada",
"Desechable")),""
)</f>
        <v/>
      </c>
      <c r="J378" t="str" cm="1">
        <f t="array" aca="1" ref="J378" ca="1">IF(ISNUMBER(A378),IFERROR(_xlfn._xlws.FILTER(Equipar!A:A,(Equipar!B:B=5)*(Equipar!AC:AC=A378)),""),"")</f>
        <v/>
      </c>
    </row>
    <row r="379" spans="1:10" x14ac:dyDescent="0.25">
      <c r="A379" s="1" t="str">
        <f ca="1">IF(A378="ID",1,IF(ISBLANK(B379),"",MAX(A$2:A378)+1))</f>
        <v/>
      </c>
      <c r="I379" s="2" t="str">
        <f ca="1">IF(ISNUMBER(A379),
IF(COUNTIFS(Equipar!B:B,5,Equipar!AC:AC,A379),"Equipada",
IF(
 OR( COUNTIFS(Equipar!B:B,5,Equipar!C:C,A379)
 +COUNTIFS(Equipar!B:B,5,Equipar!D:D,A379)
+COUNTIFS(Equipar!B:B,5,Equipar!E:E,A379)
+COUNTIFS(Equipar!B:B,5,Equipar!F:F,A379)
&gt;0,COUNTIF('Set recomendado'!B:B,C379)=0),
"Bloqueada",
"Desechable")),""
)</f>
        <v/>
      </c>
      <c r="J379" t="str" cm="1">
        <f t="array" aca="1" ref="J379" ca="1">IF(ISNUMBER(A379),IFERROR(_xlfn._xlws.FILTER(Equipar!A:A,(Equipar!B:B=5)*(Equipar!AC:AC=A379)),""),"")</f>
        <v/>
      </c>
    </row>
    <row r="380" spans="1:10" x14ac:dyDescent="0.25">
      <c r="A380" s="1" t="str">
        <f ca="1">IF(A379="ID",1,IF(ISBLANK(B380),"",MAX(A$2:A379)+1))</f>
        <v/>
      </c>
      <c r="I380" s="2" t="str">
        <f ca="1">IF(ISNUMBER(A380),
IF(COUNTIFS(Equipar!B:B,5,Equipar!AC:AC,A380),"Equipada",
IF(
 OR( COUNTIFS(Equipar!B:B,5,Equipar!C:C,A380)
 +COUNTIFS(Equipar!B:B,5,Equipar!D:D,A380)
+COUNTIFS(Equipar!B:B,5,Equipar!E:E,A380)
+COUNTIFS(Equipar!B:B,5,Equipar!F:F,A380)
&gt;0,COUNTIF('Set recomendado'!B:B,C380)=0),
"Bloqueada",
"Desechable")),""
)</f>
        <v/>
      </c>
      <c r="J380" t="str" cm="1">
        <f t="array" aca="1" ref="J380" ca="1">IF(ISNUMBER(A380),IFERROR(_xlfn._xlws.FILTER(Equipar!A:A,(Equipar!B:B=5)*(Equipar!AC:AC=A380)),""),"")</f>
        <v/>
      </c>
    </row>
    <row r="381" spans="1:10" x14ac:dyDescent="0.25">
      <c r="A381" s="1" t="str">
        <f ca="1">IF(A380="ID",1,IF(ISBLANK(B381),"",MAX(A$2:A380)+1))</f>
        <v/>
      </c>
      <c r="I381" s="2" t="str">
        <f ca="1">IF(ISNUMBER(A381),
IF(COUNTIFS(Equipar!B:B,5,Equipar!AC:AC,A381),"Equipada",
IF(
 OR( COUNTIFS(Equipar!B:B,5,Equipar!C:C,A381)
 +COUNTIFS(Equipar!B:B,5,Equipar!D:D,A381)
+COUNTIFS(Equipar!B:B,5,Equipar!E:E,A381)
+COUNTIFS(Equipar!B:B,5,Equipar!F:F,A381)
&gt;0,COUNTIF('Set recomendado'!B:B,C381)=0),
"Bloqueada",
"Desechable")),""
)</f>
        <v/>
      </c>
      <c r="J381" t="str" cm="1">
        <f t="array" aca="1" ref="J381" ca="1">IF(ISNUMBER(A381),IFERROR(_xlfn._xlws.FILTER(Equipar!A:A,(Equipar!B:B=5)*(Equipar!AC:AC=A381)),""),"")</f>
        <v/>
      </c>
    </row>
    <row r="382" spans="1:10" x14ac:dyDescent="0.25">
      <c r="A382" s="1" t="str">
        <f ca="1">IF(A381="ID",1,IF(ISBLANK(B382),"",MAX(A$2:A381)+1))</f>
        <v/>
      </c>
      <c r="I382" s="2" t="str">
        <f ca="1">IF(ISNUMBER(A382),
IF(COUNTIFS(Equipar!B:B,5,Equipar!AC:AC,A382),"Equipada",
IF(
 OR( COUNTIFS(Equipar!B:B,5,Equipar!C:C,A382)
 +COUNTIFS(Equipar!B:B,5,Equipar!D:D,A382)
+COUNTIFS(Equipar!B:B,5,Equipar!E:E,A382)
+COUNTIFS(Equipar!B:B,5,Equipar!F:F,A382)
&gt;0,COUNTIF('Set recomendado'!B:B,C382)=0),
"Bloqueada",
"Desechable")),""
)</f>
        <v/>
      </c>
      <c r="J382" t="str" cm="1">
        <f t="array" aca="1" ref="J382" ca="1">IF(ISNUMBER(A382),IFERROR(_xlfn._xlws.FILTER(Equipar!A:A,(Equipar!B:B=5)*(Equipar!AC:AC=A382)),""),"")</f>
        <v/>
      </c>
    </row>
    <row r="383" spans="1:10" x14ac:dyDescent="0.25">
      <c r="A383" s="1" t="str">
        <f ca="1">IF(A382="ID",1,IF(ISBLANK(B383),"",MAX(A$2:A382)+1))</f>
        <v/>
      </c>
      <c r="I383" s="2" t="str">
        <f ca="1">IF(ISNUMBER(A383),
IF(COUNTIFS(Equipar!B:B,5,Equipar!AC:AC,A383),"Equipada",
IF(
 OR( COUNTIFS(Equipar!B:B,5,Equipar!C:C,A383)
 +COUNTIFS(Equipar!B:B,5,Equipar!D:D,A383)
+COUNTIFS(Equipar!B:B,5,Equipar!E:E,A383)
+COUNTIFS(Equipar!B:B,5,Equipar!F:F,A383)
&gt;0,COUNTIF('Set recomendado'!B:B,C383)=0),
"Bloqueada",
"Desechable")),""
)</f>
        <v/>
      </c>
      <c r="J383" t="str" cm="1">
        <f t="array" aca="1" ref="J383" ca="1">IF(ISNUMBER(A383),IFERROR(_xlfn._xlws.FILTER(Equipar!A:A,(Equipar!B:B=5)*(Equipar!AC:AC=A383)),""),"")</f>
        <v/>
      </c>
    </row>
    <row r="384" spans="1:10" x14ac:dyDescent="0.25">
      <c r="A384" s="1" t="str">
        <f ca="1">IF(A383="ID",1,IF(ISBLANK(B384),"",MAX(A$2:A383)+1))</f>
        <v/>
      </c>
      <c r="I384" s="2" t="str">
        <f ca="1">IF(ISNUMBER(A384),
IF(COUNTIFS(Equipar!B:B,5,Equipar!AC:AC,A384),"Equipada",
IF(
 OR( COUNTIFS(Equipar!B:B,5,Equipar!C:C,A384)
 +COUNTIFS(Equipar!B:B,5,Equipar!D:D,A384)
+COUNTIFS(Equipar!B:B,5,Equipar!E:E,A384)
+COUNTIFS(Equipar!B:B,5,Equipar!F:F,A384)
&gt;0,COUNTIF('Set recomendado'!B:B,C384)=0),
"Bloqueada",
"Desechable")),""
)</f>
        <v/>
      </c>
      <c r="J384" t="str" cm="1">
        <f t="array" aca="1" ref="J384" ca="1">IF(ISNUMBER(A384),IFERROR(_xlfn._xlws.FILTER(Equipar!A:A,(Equipar!B:B=5)*(Equipar!AC:AC=A384)),""),"")</f>
        <v/>
      </c>
    </row>
    <row r="385" spans="1:10" x14ac:dyDescent="0.25">
      <c r="A385" s="1" t="str">
        <f ca="1">IF(A384="ID",1,IF(ISBLANK(B385),"",MAX(A$2:A384)+1))</f>
        <v/>
      </c>
      <c r="I385" s="2" t="str">
        <f ca="1">IF(ISNUMBER(A385),
IF(COUNTIFS(Equipar!B:B,5,Equipar!AC:AC,A385),"Equipada",
IF(
 OR( COUNTIFS(Equipar!B:B,5,Equipar!C:C,A385)
 +COUNTIFS(Equipar!B:B,5,Equipar!D:D,A385)
+COUNTIFS(Equipar!B:B,5,Equipar!E:E,A385)
+COUNTIFS(Equipar!B:B,5,Equipar!F:F,A385)
&gt;0,COUNTIF('Set recomendado'!B:B,C385)=0),
"Bloqueada",
"Desechable")),""
)</f>
        <v/>
      </c>
      <c r="J385" t="str" cm="1">
        <f t="array" aca="1" ref="J385" ca="1">IF(ISNUMBER(A385),IFERROR(_xlfn._xlws.FILTER(Equipar!A:A,(Equipar!B:B=5)*(Equipar!AC:AC=A385)),""),"")</f>
        <v/>
      </c>
    </row>
    <row r="386" spans="1:10" x14ac:dyDescent="0.25">
      <c r="A386" s="1" t="str">
        <f ca="1">IF(A385="ID",1,IF(ISBLANK(B386),"",MAX(A$2:A385)+1))</f>
        <v/>
      </c>
      <c r="I386" s="2" t="str">
        <f ca="1">IF(ISNUMBER(A386),
IF(COUNTIFS(Equipar!B:B,5,Equipar!AC:AC,A386),"Equipada",
IF(
 OR( COUNTIFS(Equipar!B:B,5,Equipar!C:C,A386)
 +COUNTIFS(Equipar!B:B,5,Equipar!D:D,A386)
+COUNTIFS(Equipar!B:B,5,Equipar!E:E,A386)
+COUNTIFS(Equipar!B:B,5,Equipar!F:F,A386)
&gt;0,COUNTIF('Set recomendado'!B:B,C386)=0),
"Bloqueada",
"Desechable")),""
)</f>
        <v/>
      </c>
      <c r="J386" t="str" cm="1">
        <f t="array" aca="1" ref="J386" ca="1">IF(ISNUMBER(A386),IFERROR(_xlfn._xlws.FILTER(Equipar!A:A,(Equipar!B:B=5)*(Equipar!AC:AC=A386)),""),"")</f>
        <v/>
      </c>
    </row>
    <row r="387" spans="1:10" x14ac:dyDescent="0.25">
      <c r="A387" s="1" t="str">
        <f ca="1">IF(A386="ID",1,IF(ISBLANK(B387),"",MAX(A$2:A386)+1))</f>
        <v/>
      </c>
      <c r="I387" s="2" t="str">
        <f ca="1">IF(ISNUMBER(A387),
IF(COUNTIFS(Equipar!B:B,5,Equipar!AC:AC,A387),"Equipada",
IF(
 OR( COUNTIFS(Equipar!B:B,5,Equipar!C:C,A387)
 +COUNTIFS(Equipar!B:B,5,Equipar!D:D,A387)
+COUNTIFS(Equipar!B:B,5,Equipar!E:E,A387)
+COUNTIFS(Equipar!B:B,5,Equipar!F:F,A387)
&gt;0,COUNTIF('Set recomendado'!B:B,C387)=0),
"Bloqueada",
"Desechable")),""
)</f>
        <v/>
      </c>
      <c r="J387" t="str" cm="1">
        <f t="array" aca="1" ref="J387" ca="1">IF(ISNUMBER(A387),IFERROR(_xlfn._xlws.FILTER(Equipar!A:A,(Equipar!B:B=5)*(Equipar!AC:AC=A387)),""),"")</f>
        <v/>
      </c>
    </row>
    <row r="388" spans="1:10" x14ac:dyDescent="0.25">
      <c r="A388" s="1" t="str">
        <f ca="1">IF(A387="ID",1,IF(ISBLANK(B388),"",MAX(A$2:A387)+1))</f>
        <v/>
      </c>
      <c r="I388" s="2" t="str">
        <f ca="1">IF(ISNUMBER(A388),
IF(COUNTIFS(Equipar!B:B,5,Equipar!AC:AC,A388),"Equipada",
IF(
 OR( COUNTIFS(Equipar!B:B,5,Equipar!C:C,A388)
 +COUNTIFS(Equipar!B:B,5,Equipar!D:D,A388)
+COUNTIFS(Equipar!B:B,5,Equipar!E:E,A388)
+COUNTIFS(Equipar!B:B,5,Equipar!F:F,A388)
&gt;0,COUNTIF('Set recomendado'!B:B,C388)=0),
"Bloqueada",
"Desechable")),""
)</f>
        <v/>
      </c>
      <c r="J388" t="str" cm="1">
        <f t="array" aca="1" ref="J388" ca="1">IF(ISNUMBER(A388),IFERROR(_xlfn._xlws.FILTER(Equipar!A:A,(Equipar!B:B=5)*(Equipar!AC:AC=A388)),""),"")</f>
        <v/>
      </c>
    </row>
    <row r="389" spans="1:10" x14ac:dyDescent="0.25">
      <c r="A389" s="1" t="str">
        <f ca="1">IF(A388="ID",1,IF(ISBLANK(B389),"",MAX(A$2:A388)+1))</f>
        <v/>
      </c>
      <c r="I389" s="2" t="str">
        <f ca="1">IF(ISNUMBER(A389),
IF(COUNTIFS(Equipar!B:B,5,Equipar!AC:AC,A389),"Equipada",
IF(
 OR( COUNTIFS(Equipar!B:B,5,Equipar!C:C,A389)
 +COUNTIFS(Equipar!B:B,5,Equipar!D:D,A389)
+COUNTIFS(Equipar!B:B,5,Equipar!E:E,A389)
+COUNTIFS(Equipar!B:B,5,Equipar!F:F,A389)
&gt;0,COUNTIF('Set recomendado'!B:B,C389)=0),
"Bloqueada",
"Desechable")),""
)</f>
        <v/>
      </c>
      <c r="J389" t="str" cm="1">
        <f t="array" aca="1" ref="J389" ca="1">IF(ISNUMBER(A389),IFERROR(_xlfn._xlws.FILTER(Equipar!A:A,(Equipar!B:B=5)*(Equipar!AC:AC=A389)),""),"")</f>
        <v/>
      </c>
    </row>
    <row r="390" spans="1:10" x14ac:dyDescent="0.25">
      <c r="A390" s="1" t="str">
        <f ca="1">IF(A389="ID",1,IF(ISBLANK(B390),"",MAX(A$2:A389)+1))</f>
        <v/>
      </c>
      <c r="I390" s="2" t="str">
        <f ca="1">IF(ISNUMBER(A390),
IF(COUNTIFS(Equipar!B:B,5,Equipar!AC:AC,A390),"Equipada",
IF(
 OR( COUNTIFS(Equipar!B:B,5,Equipar!C:C,A390)
 +COUNTIFS(Equipar!B:B,5,Equipar!D:D,A390)
+COUNTIFS(Equipar!B:B,5,Equipar!E:E,A390)
+COUNTIFS(Equipar!B:B,5,Equipar!F:F,A390)
&gt;0,COUNTIF('Set recomendado'!B:B,C390)=0),
"Bloqueada",
"Desechable")),""
)</f>
        <v/>
      </c>
      <c r="J390" t="str" cm="1">
        <f t="array" aca="1" ref="J390" ca="1">IF(ISNUMBER(A390),IFERROR(_xlfn._xlws.FILTER(Equipar!A:A,(Equipar!B:B=5)*(Equipar!AC:AC=A390)),""),"")</f>
        <v/>
      </c>
    </row>
    <row r="391" spans="1:10" x14ac:dyDescent="0.25">
      <c r="A391" s="1" t="str">
        <f ca="1">IF(A390="ID",1,IF(ISBLANK(B391),"",MAX(A$2:A390)+1))</f>
        <v/>
      </c>
      <c r="I391" s="2" t="str">
        <f ca="1">IF(ISNUMBER(A391),
IF(COUNTIFS(Equipar!B:B,5,Equipar!AC:AC,A391),"Equipada",
IF(
 OR( COUNTIFS(Equipar!B:B,5,Equipar!C:C,A391)
 +COUNTIFS(Equipar!B:B,5,Equipar!D:D,A391)
+COUNTIFS(Equipar!B:B,5,Equipar!E:E,A391)
+COUNTIFS(Equipar!B:B,5,Equipar!F:F,A391)
&gt;0,COUNTIF('Set recomendado'!B:B,C391)=0),
"Bloqueada",
"Desechable")),""
)</f>
        <v/>
      </c>
      <c r="J391" t="str" cm="1">
        <f t="array" aca="1" ref="J391" ca="1">IF(ISNUMBER(A391),IFERROR(_xlfn._xlws.FILTER(Equipar!A:A,(Equipar!B:B=5)*(Equipar!AC:AC=A391)),""),"")</f>
        <v/>
      </c>
    </row>
    <row r="392" spans="1:10" x14ac:dyDescent="0.25">
      <c r="A392" s="1" t="str">
        <f ca="1">IF(A391="ID",1,IF(ISBLANK(B392),"",MAX(A$2:A391)+1))</f>
        <v/>
      </c>
      <c r="I392" s="2" t="str">
        <f ca="1">IF(ISNUMBER(A392),
IF(COUNTIFS(Equipar!B:B,5,Equipar!AC:AC,A392),"Equipada",
IF(
 OR( COUNTIFS(Equipar!B:B,5,Equipar!C:C,A392)
 +COUNTIFS(Equipar!B:B,5,Equipar!D:D,A392)
+COUNTIFS(Equipar!B:B,5,Equipar!E:E,A392)
+COUNTIFS(Equipar!B:B,5,Equipar!F:F,A392)
&gt;0,COUNTIF('Set recomendado'!B:B,C392)=0),
"Bloqueada",
"Desechable")),""
)</f>
        <v/>
      </c>
      <c r="J392" t="str" cm="1">
        <f t="array" aca="1" ref="J392" ca="1">IF(ISNUMBER(A392),IFERROR(_xlfn._xlws.FILTER(Equipar!A:A,(Equipar!B:B=5)*(Equipar!AC:AC=A392)),""),"")</f>
        <v/>
      </c>
    </row>
    <row r="393" spans="1:10" x14ac:dyDescent="0.25">
      <c r="A393" s="1" t="str">
        <f ca="1">IF(A392="ID",1,IF(ISBLANK(B393),"",MAX(A$2:A392)+1))</f>
        <v/>
      </c>
      <c r="I393" s="2" t="str">
        <f ca="1">IF(ISNUMBER(A393),
IF(COUNTIFS(Equipar!B:B,5,Equipar!AC:AC,A393),"Equipada",
IF(
 OR( COUNTIFS(Equipar!B:B,5,Equipar!C:C,A393)
 +COUNTIFS(Equipar!B:B,5,Equipar!D:D,A393)
+COUNTIFS(Equipar!B:B,5,Equipar!E:E,A393)
+COUNTIFS(Equipar!B:B,5,Equipar!F:F,A393)
&gt;0,COUNTIF('Set recomendado'!B:B,C393)=0),
"Bloqueada",
"Desechable")),""
)</f>
        <v/>
      </c>
      <c r="J393" t="str" cm="1">
        <f t="array" aca="1" ref="J393" ca="1">IF(ISNUMBER(A393),IFERROR(_xlfn._xlws.FILTER(Equipar!A:A,(Equipar!B:B=5)*(Equipar!AC:AC=A393)),""),"")</f>
        <v/>
      </c>
    </row>
    <row r="394" spans="1:10" x14ac:dyDescent="0.25">
      <c r="A394" s="1" t="str">
        <f ca="1">IF(A393="ID",1,IF(ISBLANK(B394),"",MAX(A$2:A393)+1))</f>
        <v/>
      </c>
      <c r="I394" s="2" t="str">
        <f ca="1">IF(ISNUMBER(A394),
IF(COUNTIFS(Equipar!B:B,5,Equipar!AC:AC,A394),"Equipada",
IF(
 OR( COUNTIFS(Equipar!B:B,5,Equipar!C:C,A394)
 +COUNTIFS(Equipar!B:B,5,Equipar!D:D,A394)
+COUNTIFS(Equipar!B:B,5,Equipar!E:E,A394)
+COUNTIFS(Equipar!B:B,5,Equipar!F:F,A394)
&gt;0,COUNTIF('Set recomendado'!B:B,C394)=0),
"Bloqueada",
"Desechable")),""
)</f>
        <v/>
      </c>
      <c r="J394" t="str" cm="1">
        <f t="array" aca="1" ref="J394" ca="1">IF(ISNUMBER(A394),IFERROR(_xlfn._xlws.FILTER(Equipar!A:A,(Equipar!B:B=5)*(Equipar!AC:AC=A394)),""),"")</f>
        <v/>
      </c>
    </row>
    <row r="395" spans="1:10" x14ac:dyDescent="0.25">
      <c r="A395" s="1" t="str">
        <f ca="1">IF(A394="ID",1,IF(ISBLANK(B395),"",MAX(A$2:A394)+1))</f>
        <v/>
      </c>
      <c r="I395" s="2" t="str">
        <f ca="1">IF(ISNUMBER(A395),
IF(COUNTIFS(Equipar!B:B,5,Equipar!AC:AC,A395),"Equipada",
IF(
 OR( COUNTIFS(Equipar!B:B,5,Equipar!C:C,A395)
 +COUNTIFS(Equipar!B:B,5,Equipar!D:D,A395)
+COUNTIFS(Equipar!B:B,5,Equipar!E:E,A395)
+COUNTIFS(Equipar!B:B,5,Equipar!F:F,A395)
&gt;0,COUNTIF('Set recomendado'!B:B,C395)=0),
"Bloqueada",
"Desechable")),""
)</f>
        <v/>
      </c>
      <c r="J395" t="str" cm="1">
        <f t="array" aca="1" ref="J395" ca="1">IF(ISNUMBER(A395),IFERROR(_xlfn._xlws.FILTER(Equipar!A:A,(Equipar!B:B=5)*(Equipar!AC:AC=A395)),""),"")</f>
        <v/>
      </c>
    </row>
    <row r="396" spans="1:10" x14ac:dyDescent="0.25">
      <c r="A396" s="1" t="str">
        <f ca="1">IF(A395="ID",1,IF(ISBLANK(B396),"",MAX(A$2:A395)+1))</f>
        <v/>
      </c>
      <c r="I396" s="2" t="str">
        <f ca="1">IF(ISNUMBER(A396),
IF(COUNTIFS(Equipar!B:B,5,Equipar!AC:AC,A396),"Equipada",
IF(
 OR( COUNTIFS(Equipar!B:B,5,Equipar!C:C,A396)
 +COUNTIFS(Equipar!B:B,5,Equipar!D:D,A396)
+COUNTIFS(Equipar!B:B,5,Equipar!E:E,A396)
+COUNTIFS(Equipar!B:B,5,Equipar!F:F,A396)
&gt;0,COUNTIF('Set recomendado'!B:B,C396)=0),
"Bloqueada",
"Desechable")),""
)</f>
        <v/>
      </c>
      <c r="J396" t="str" cm="1">
        <f t="array" aca="1" ref="J396" ca="1">IF(ISNUMBER(A396),IFERROR(_xlfn._xlws.FILTER(Equipar!A:A,(Equipar!B:B=5)*(Equipar!AC:AC=A396)),""),"")</f>
        <v/>
      </c>
    </row>
    <row r="397" spans="1:10" x14ac:dyDescent="0.25">
      <c r="A397" s="1" t="str">
        <f ca="1">IF(A396="ID",1,IF(ISBLANK(B397),"",MAX(A$2:A396)+1))</f>
        <v/>
      </c>
      <c r="I397" s="2" t="str">
        <f ca="1">IF(ISNUMBER(A397),
IF(COUNTIFS(Equipar!B:B,5,Equipar!AC:AC,A397),"Equipada",
IF(
 OR( COUNTIFS(Equipar!B:B,5,Equipar!C:C,A397)
 +COUNTIFS(Equipar!B:B,5,Equipar!D:D,A397)
+COUNTIFS(Equipar!B:B,5,Equipar!E:E,A397)
+COUNTIFS(Equipar!B:B,5,Equipar!F:F,A397)
&gt;0,COUNTIF('Set recomendado'!B:B,C397)=0),
"Bloqueada",
"Desechable")),""
)</f>
        <v/>
      </c>
      <c r="J397" t="str" cm="1">
        <f t="array" aca="1" ref="J397" ca="1">IF(ISNUMBER(A397),IFERROR(_xlfn._xlws.FILTER(Equipar!A:A,(Equipar!B:B=5)*(Equipar!AC:AC=A397)),""),"")</f>
        <v/>
      </c>
    </row>
    <row r="398" spans="1:10" x14ac:dyDescent="0.25">
      <c r="A398" s="1" t="str">
        <f ca="1">IF(A397="ID",1,IF(ISBLANK(B398),"",MAX(A$2:A397)+1))</f>
        <v/>
      </c>
      <c r="I398" s="2" t="str">
        <f ca="1">IF(ISNUMBER(A398),
IF(COUNTIFS(Equipar!B:B,5,Equipar!AC:AC,A398),"Equipada",
IF(
 OR( COUNTIFS(Equipar!B:B,5,Equipar!C:C,A398)
 +COUNTIFS(Equipar!B:B,5,Equipar!D:D,A398)
+COUNTIFS(Equipar!B:B,5,Equipar!E:E,A398)
+COUNTIFS(Equipar!B:B,5,Equipar!F:F,A398)
&gt;0,COUNTIF('Set recomendado'!B:B,C398)=0),
"Bloqueada",
"Desechable")),""
)</f>
        <v/>
      </c>
      <c r="J398" t="str" cm="1">
        <f t="array" aca="1" ref="J398" ca="1">IF(ISNUMBER(A398),IFERROR(_xlfn._xlws.FILTER(Equipar!A:A,(Equipar!B:B=5)*(Equipar!AC:AC=A398)),""),"")</f>
        <v/>
      </c>
    </row>
    <row r="399" spans="1:10" x14ac:dyDescent="0.25">
      <c r="A399" s="1" t="str">
        <f ca="1">IF(A398="ID",1,IF(ISBLANK(B399),"",MAX(A$2:A398)+1))</f>
        <v/>
      </c>
      <c r="I399" s="2" t="str">
        <f ca="1">IF(ISNUMBER(A399),
IF(COUNTIFS(Equipar!B:B,5,Equipar!AC:AC,A399),"Equipada",
IF(
 OR( COUNTIFS(Equipar!B:B,5,Equipar!C:C,A399)
 +COUNTIFS(Equipar!B:B,5,Equipar!D:D,A399)
+COUNTIFS(Equipar!B:B,5,Equipar!E:E,A399)
+COUNTIFS(Equipar!B:B,5,Equipar!F:F,A399)
&gt;0,COUNTIF('Set recomendado'!B:B,C399)=0),
"Bloqueada",
"Desechable")),""
)</f>
        <v/>
      </c>
      <c r="J399" t="str" cm="1">
        <f t="array" aca="1" ref="J399" ca="1">IF(ISNUMBER(A399),IFERROR(_xlfn._xlws.FILTER(Equipar!A:A,(Equipar!B:B=5)*(Equipar!AC:AC=A399)),""),"")</f>
        <v/>
      </c>
    </row>
    <row r="400" spans="1:10" x14ac:dyDescent="0.25">
      <c r="A400" s="1" t="str">
        <f ca="1">IF(A399="ID",1,IF(ISBLANK(B400),"",MAX(A$2:A399)+1))</f>
        <v/>
      </c>
      <c r="I400" s="2" t="str">
        <f ca="1">IF(ISNUMBER(A400),
IF(COUNTIFS(Equipar!B:B,5,Equipar!AC:AC,A400),"Equipada",
IF(
 OR( COUNTIFS(Equipar!B:B,5,Equipar!C:C,A400)
 +COUNTIFS(Equipar!B:B,5,Equipar!D:D,A400)
+COUNTIFS(Equipar!B:B,5,Equipar!E:E,A400)
+COUNTIFS(Equipar!B:B,5,Equipar!F:F,A400)
&gt;0,COUNTIF('Set recomendado'!B:B,C400)=0),
"Bloqueada",
"Desechable")),""
)</f>
        <v/>
      </c>
      <c r="J400" t="str" cm="1">
        <f t="array" aca="1" ref="J400" ca="1">IF(ISNUMBER(A400),IFERROR(_xlfn._xlws.FILTER(Equipar!A:A,(Equipar!B:B=5)*(Equipar!AC:AC=A400)),""),"")</f>
        <v/>
      </c>
    </row>
    <row r="401" spans="1:10" x14ac:dyDescent="0.25">
      <c r="A401" s="1" t="str">
        <f ca="1">IF(A400="ID",1,IF(ISBLANK(B401),"",MAX(A$2:A400)+1))</f>
        <v/>
      </c>
      <c r="I401" s="2" t="str">
        <f ca="1">IF(ISNUMBER(A401),
IF(COUNTIFS(Equipar!B:B,5,Equipar!AC:AC,A401),"Equipada",
IF(
 OR( COUNTIFS(Equipar!B:B,5,Equipar!C:C,A401)
 +COUNTIFS(Equipar!B:B,5,Equipar!D:D,A401)
+COUNTIFS(Equipar!B:B,5,Equipar!E:E,A401)
+COUNTIFS(Equipar!B:B,5,Equipar!F:F,A401)
&gt;0,COUNTIF('Set recomendado'!B:B,C401)=0),
"Bloqueada",
"Desechable")),""
)</f>
        <v/>
      </c>
      <c r="J401" t="str" cm="1">
        <f t="array" aca="1" ref="J401" ca="1">IF(ISNUMBER(A401),IFERROR(_xlfn._xlws.FILTER(Equipar!A:A,(Equipar!B:B=5)*(Equipar!AC:AC=A401)),""),"")</f>
        <v/>
      </c>
    </row>
    <row r="402" spans="1:10" x14ac:dyDescent="0.25">
      <c r="A402" s="1" t="str">
        <f ca="1">IF(A401="ID",1,IF(ISBLANK(B402),"",MAX(A$2:A401)+1))</f>
        <v/>
      </c>
      <c r="I402" s="2" t="str">
        <f ca="1">IF(ISNUMBER(A402),
IF(COUNTIFS(Equipar!B:B,5,Equipar!AC:AC,A402),"Equipada",
IF(
 OR( COUNTIFS(Equipar!B:B,5,Equipar!C:C,A402)
 +COUNTIFS(Equipar!B:B,5,Equipar!D:D,A402)
+COUNTIFS(Equipar!B:B,5,Equipar!E:E,A402)
+COUNTIFS(Equipar!B:B,5,Equipar!F:F,A402)
&gt;0,COUNTIF('Set recomendado'!B:B,C402)=0),
"Bloqueada",
"Desechable")),""
)</f>
        <v/>
      </c>
      <c r="J402" t="str" cm="1">
        <f t="array" aca="1" ref="J402" ca="1">IF(ISNUMBER(A402),IFERROR(_xlfn._xlws.FILTER(Equipar!A:A,(Equipar!B:B=5)*(Equipar!AC:AC=A402)),""),"")</f>
        <v/>
      </c>
    </row>
    <row r="403" spans="1:10" x14ac:dyDescent="0.25">
      <c r="A403" s="1" t="str">
        <f ca="1">IF(A402="ID",1,IF(ISBLANK(B403),"",MAX(A$2:A402)+1))</f>
        <v/>
      </c>
      <c r="I403" s="2" t="str">
        <f ca="1">IF(ISNUMBER(A403),
IF(COUNTIFS(Equipar!B:B,5,Equipar!AC:AC,A403),"Equipada",
IF(
 OR( COUNTIFS(Equipar!B:B,5,Equipar!C:C,A403)
 +COUNTIFS(Equipar!B:B,5,Equipar!D:D,A403)
+COUNTIFS(Equipar!B:B,5,Equipar!E:E,A403)
+COUNTIFS(Equipar!B:B,5,Equipar!F:F,A403)
&gt;0,COUNTIF('Set recomendado'!B:B,C403)=0),
"Bloqueada",
"Desechable")),""
)</f>
        <v/>
      </c>
      <c r="J403" t="str" cm="1">
        <f t="array" aca="1" ref="J403" ca="1">IF(ISNUMBER(A403),IFERROR(_xlfn._xlws.FILTER(Equipar!A:A,(Equipar!B:B=5)*(Equipar!AC:AC=A403)),""),"")</f>
        <v/>
      </c>
    </row>
    <row r="404" spans="1:10" x14ac:dyDescent="0.25">
      <c r="A404" s="1" t="str">
        <f ca="1">IF(A403="ID",1,IF(ISBLANK(B404),"",MAX(A$2:A403)+1))</f>
        <v/>
      </c>
      <c r="I404" s="2" t="str">
        <f ca="1">IF(ISNUMBER(A404),
IF(COUNTIFS(Equipar!B:B,5,Equipar!AC:AC,A404),"Equipada",
IF(
 OR( COUNTIFS(Equipar!B:B,5,Equipar!C:C,A404)
 +COUNTIFS(Equipar!B:B,5,Equipar!D:D,A404)
+COUNTIFS(Equipar!B:B,5,Equipar!E:E,A404)
+COUNTIFS(Equipar!B:B,5,Equipar!F:F,A404)
&gt;0,COUNTIF('Set recomendado'!B:B,C404)=0),
"Bloqueada",
"Desechable")),""
)</f>
        <v/>
      </c>
      <c r="J404" t="str" cm="1">
        <f t="array" aca="1" ref="J404" ca="1">IF(ISNUMBER(A404),IFERROR(_xlfn._xlws.FILTER(Equipar!A:A,(Equipar!B:B=5)*(Equipar!AC:AC=A404)),""),"")</f>
        <v/>
      </c>
    </row>
    <row r="405" spans="1:10" x14ac:dyDescent="0.25">
      <c r="A405" s="1" t="str">
        <f ca="1">IF(A404="ID",1,IF(ISBLANK(B405),"",MAX(A$2:A404)+1))</f>
        <v/>
      </c>
      <c r="I405" s="2" t="str">
        <f ca="1">IF(ISNUMBER(A405),
IF(COUNTIFS(Equipar!B:B,5,Equipar!AC:AC,A405),"Equipada",
IF(
 OR( COUNTIFS(Equipar!B:B,5,Equipar!C:C,A405)
 +COUNTIFS(Equipar!B:B,5,Equipar!D:D,A405)
+COUNTIFS(Equipar!B:B,5,Equipar!E:E,A405)
+COUNTIFS(Equipar!B:B,5,Equipar!F:F,A405)
&gt;0,COUNTIF('Set recomendado'!B:B,C405)=0),
"Bloqueada",
"Desechable")),""
)</f>
        <v/>
      </c>
      <c r="J405" t="str" cm="1">
        <f t="array" aca="1" ref="J405" ca="1">IF(ISNUMBER(A405),IFERROR(_xlfn._xlws.FILTER(Equipar!A:A,(Equipar!B:B=5)*(Equipar!AC:AC=A405)),""),"")</f>
        <v/>
      </c>
    </row>
    <row r="406" spans="1:10" x14ac:dyDescent="0.25">
      <c r="A406" s="1" t="str">
        <f ca="1">IF(A405="ID",1,IF(ISBLANK(B406),"",MAX(A$2:A405)+1))</f>
        <v/>
      </c>
      <c r="I406" s="2" t="str">
        <f ca="1">IF(ISNUMBER(A406),
IF(COUNTIFS(Equipar!B:B,5,Equipar!AC:AC,A406),"Equipada",
IF(
 OR( COUNTIFS(Equipar!B:B,5,Equipar!C:C,A406)
 +COUNTIFS(Equipar!B:B,5,Equipar!D:D,A406)
+COUNTIFS(Equipar!B:B,5,Equipar!E:E,A406)
+COUNTIFS(Equipar!B:B,5,Equipar!F:F,A406)
&gt;0,COUNTIF('Set recomendado'!B:B,C406)=0),
"Bloqueada",
"Desechable")),""
)</f>
        <v/>
      </c>
      <c r="J406" t="str" cm="1">
        <f t="array" aca="1" ref="J406" ca="1">IF(ISNUMBER(A406),IFERROR(_xlfn._xlws.FILTER(Equipar!A:A,(Equipar!B:B=5)*(Equipar!AC:AC=A406)),""),"")</f>
        <v/>
      </c>
    </row>
    <row r="407" spans="1:10" x14ac:dyDescent="0.25">
      <c r="A407" s="1" t="str">
        <f ca="1">IF(A406="ID",1,IF(ISBLANK(B407),"",MAX(A$2:A406)+1))</f>
        <v/>
      </c>
      <c r="I407" s="2" t="str">
        <f ca="1">IF(ISNUMBER(A407),
IF(COUNTIFS(Equipar!B:B,5,Equipar!AC:AC,A407),"Equipada",
IF(
 OR( COUNTIFS(Equipar!B:B,5,Equipar!C:C,A407)
 +COUNTIFS(Equipar!B:B,5,Equipar!D:D,A407)
+COUNTIFS(Equipar!B:B,5,Equipar!E:E,A407)
+COUNTIFS(Equipar!B:B,5,Equipar!F:F,A407)
&gt;0,COUNTIF('Set recomendado'!B:B,C407)=0),
"Bloqueada",
"Desechable")),""
)</f>
        <v/>
      </c>
      <c r="J407" t="str" cm="1">
        <f t="array" aca="1" ref="J407" ca="1">IF(ISNUMBER(A407),IFERROR(_xlfn._xlws.FILTER(Equipar!A:A,(Equipar!B:B=5)*(Equipar!AC:AC=A407)),""),"")</f>
        <v/>
      </c>
    </row>
    <row r="408" spans="1:10" x14ac:dyDescent="0.25">
      <c r="A408" s="1" t="str">
        <f ca="1">IF(A407="ID",1,IF(ISBLANK(B408),"",MAX(A$2:A407)+1))</f>
        <v/>
      </c>
      <c r="I408" s="2" t="str">
        <f ca="1">IF(ISNUMBER(A408),
IF(COUNTIFS(Equipar!B:B,5,Equipar!AC:AC,A408),"Equipada",
IF(
 OR( COUNTIFS(Equipar!B:B,5,Equipar!C:C,A408)
 +COUNTIFS(Equipar!B:B,5,Equipar!D:D,A408)
+COUNTIFS(Equipar!B:B,5,Equipar!E:E,A408)
+COUNTIFS(Equipar!B:B,5,Equipar!F:F,A408)
&gt;0,COUNTIF('Set recomendado'!B:B,C408)=0),
"Bloqueada",
"Desechable")),""
)</f>
        <v/>
      </c>
      <c r="J408" t="str" cm="1">
        <f t="array" aca="1" ref="J408" ca="1">IF(ISNUMBER(A408),IFERROR(_xlfn._xlws.FILTER(Equipar!A:A,(Equipar!B:B=5)*(Equipar!AC:AC=A408)),""),"")</f>
        <v/>
      </c>
    </row>
    <row r="409" spans="1:10" x14ac:dyDescent="0.25">
      <c r="A409" s="1" t="str">
        <f ca="1">IF(A408="ID",1,IF(ISBLANK(B409),"",MAX(A$2:A408)+1))</f>
        <v/>
      </c>
      <c r="I409" s="2" t="str">
        <f ca="1">IF(ISNUMBER(A409),
IF(COUNTIFS(Equipar!B:B,5,Equipar!AC:AC,A409),"Equipada",
IF(
 OR( COUNTIFS(Equipar!B:B,5,Equipar!C:C,A409)
 +COUNTIFS(Equipar!B:B,5,Equipar!D:D,A409)
+COUNTIFS(Equipar!B:B,5,Equipar!E:E,A409)
+COUNTIFS(Equipar!B:B,5,Equipar!F:F,A409)
&gt;0,COUNTIF('Set recomendado'!B:B,C409)=0),
"Bloqueada",
"Desechable")),""
)</f>
        <v/>
      </c>
      <c r="J409" t="str" cm="1">
        <f t="array" aca="1" ref="J409" ca="1">IF(ISNUMBER(A409),IFERROR(_xlfn._xlws.FILTER(Equipar!A:A,(Equipar!B:B=5)*(Equipar!AC:AC=A409)),""),"")</f>
        <v/>
      </c>
    </row>
    <row r="410" spans="1:10" x14ac:dyDescent="0.25">
      <c r="A410" s="1" t="str">
        <f ca="1">IF(A409="ID",1,IF(ISBLANK(B410),"",MAX(A$2:A409)+1))</f>
        <v/>
      </c>
      <c r="I410" s="2" t="str">
        <f ca="1">IF(ISNUMBER(A410),
IF(COUNTIFS(Equipar!B:B,5,Equipar!AC:AC,A410),"Equipada",
IF(
 OR( COUNTIFS(Equipar!B:B,5,Equipar!C:C,A410)
 +COUNTIFS(Equipar!B:B,5,Equipar!D:D,A410)
+COUNTIFS(Equipar!B:B,5,Equipar!E:E,A410)
+COUNTIFS(Equipar!B:B,5,Equipar!F:F,A410)
&gt;0,COUNTIF('Set recomendado'!B:B,C410)=0),
"Bloqueada",
"Desechable")),""
)</f>
        <v/>
      </c>
      <c r="J410" t="str" cm="1">
        <f t="array" aca="1" ref="J410" ca="1">IF(ISNUMBER(A410),IFERROR(_xlfn._xlws.FILTER(Equipar!A:A,(Equipar!B:B=5)*(Equipar!AC:AC=A410)),""),"")</f>
        <v/>
      </c>
    </row>
    <row r="411" spans="1:10" x14ac:dyDescent="0.25">
      <c r="A411" s="1" t="str">
        <f ca="1">IF(A410="ID",1,IF(ISBLANK(B411),"",MAX(A$2:A410)+1))</f>
        <v/>
      </c>
      <c r="I411" s="2" t="str">
        <f ca="1">IF(ISNUMBER(A411),
IF(COUNTIFS(Equipar!B:B,5,Equipar!AC:AC,A411),"Equipada",
IF(
 OR( COUNTIFS(Equipar!B:B,5,Equipar!C:C,A411)
 +COUNTIFS(Equipar!B:B,5,Equipar!D:D,A411)
+COUNTIFS(Equipar!B:B,5,Equipar!E:E,A411)
+COUNTIFS(Equipar!B:B,5,Equipar!F:F,A411)
&gt;0,COUNTIF('Set recomendado'!B:B,C411)=0),
"Bloqueada",
"Desechable")),""
)</f>
        <v/>
      </c>
      <c r="J411" t="str" cm="1">
        <f t="array" aca="1" ref="J411" ca="1">IF(ISNUMBER(A411),IFERROR(_xlfn._xlws.FILTER(Equipar!A:A,(Equipar!B:B=5)*(Equipar!AC:AC=A411)),""),"")</f>
        <v/>
      </c>
    </row>
    <row r="412" spans="1:10" x14ac:dyDescent="0.25">
      <c r="A412" s="1" t="str">
        <f ca="1">IF(A411="ID",1,IF(ISBLANK(B412),"",MAX(A$2:A411)+1))</f>
        <v/>
      </c>
      <c r="I412" s="2" t="str">
        <f ca="1">IF(ISNUMBER(A412),
IF(COUNTIFS(Equipar!B:B,5,Equipar!AC:AC,A412),"Equipada",
IF(
 OR( COUNTIFS(Equipar!B:B,5,Equipar!C:C,A412)
 +COUNTIFS(Equipar!B:B,5,Equipar!D:D,A412)
+COUNTIFS(Equipar!B:B,5,Equipar!E:E,A412)
+COUNTIFS(Equipar!B:B,5,Equipar!F:F,A412)
&gt;0,COUNTIF('Set recomendado'!B:B,C412)=0),
"Bloqueada",
"Desechable")),""
)</f>
        <v/>
      </c>
      <c r="J412" t="str" cm="1">
        <f t="array" aca="1" ref="J412" ca="1">IF(ISNUMBER(A412),IFERROR(_xlfn._xlws.FILTER(Equipar!A:A,(Equipar!B:B=5)*(Equipar!AC:AC=A412)),""),"")</f>
        <v/>
      </c>
    </row>
    <row r="413" spans="1:10" x14ac:dyDescent="0.25">
      <c r="A413" s="1" t="str">
        <f ca="1">IF(A412="ID",1,IF(ISBLANK(B413),"",MAX(A$2:A412)+1))</f>
        <v/>
      </c>
      <c r="I413" s="2" t="str">
        <f ca="1">IF(ISNUMBER(A413),
IF(COUNTIFS(Equipar!B:B,5,Equipar!AC:AC,A413),"Equipada",
IF(
 OR( COUNTIFS(Equipar!B:B,5,Equipar!C:C,A413)
 +COUNTIFS(Equipar!B:B,5,Equipar!D:D,A413)
+COUNTIFS(Equipar!B:B,5,Equipar!E:E,A413)
+COUNTIFS(Equipar!B:B,5,Equipar!F:F,A413)
&gt;0,COUNTIF('Set recomendado'!B:B,C413)=0),
"Bloqueada",
"Desechable")),""
)</f>
        <v/>
      </c>
      <c r="J413" t="str" cm="1">
        <f t="array" aca="1" ref="J413" ca="1">IF(ISNUMBER(A413),IFERROR(_xlfn._xlws.FILTER(Equipar!A:A,(Equipar!B:B=5)*(Equipar!AC:AC=A413)),""),"")</f>
        <v/>
      </c>
    </row>
    <row r="414" spans="1:10" x14ac:dyDescent="0.25">
      <c r="A414" s="1" t="str">
        <f ca="1">IF(A413="ID",1,IF(ISBLANK(B414),"",MAX(A$2:A413)+1))</f>
        <v/>
      </c>
      <c r="I414" s="2" t="str">
        <f ca="1">IF(ISNUMBER(A414),
IF(COUNTIFS(Equipar!B:B,5,Equipar!AC:AC,A414),"Equipada",
IF(
 OR( COUNTIFS(Equipar!B:B,5,Equipar!C:C,A414)
 +COUNTIFS(Equipar!B:B,5,Equipar!D:D,A414)
+COUNTIFS(Equipar!B:B,5,Equipar!E:E,A414)
+COUNTIFS(Equipar!B:B,5,Equipar!F:F,A414)
&gt;0,COUNTIF('Set recomendado'!B:B,C414)=0),
"Bloqueada",
"Desechable")),""
)</f>
        <v/>
      </c>
      <c r="J414" t="str" cm="1">
        <f t="array" aca="1" ref="J414" ca="1">IF(ISNUMBER(A414),IFERROR(_xlfn._xlws.FILTER(Equipar!A:A,(Equipar!B:B=5)*(Equipar!AC:AC=A414)),""),"")</f>
        <v/>
      </c>
    </row>
    <row r="415" spans="1:10" x14ac:dyDescent="0.25">
      <c r="A415" s="1" t="str">
        <f ca="1">IF(A414="ID",1,IF(ISBLANK(B415),"",MAX(A$2:A414)+1))</f>
        <v/>
      </c>
      <c r="I415" s="2" t="str">
        <f ca="1">IF(ISNUMBER(A415),
IF(COUNTIFS(Equipar!B:B,5,Equipar!AC:AC,A415),"Equipada",
IF(
 OR( COUNTIFS(Equipar!B:B,5,Equipar!C:C,A415)
 +COUNTIFS(Equipar!B:B,5,Equipar!D:D,A415)
+COUNTIFS(Equipar!B:B,5,Equipar!E:E,A415)
+COUNTIFS(Equipar!B:B,5,Equipar!F:F,A415)
&gt;0,COUNTIF('Set recomendado'!B:B,C415)=0),
"Bloqueada",
"Desechable")),""
)</f>
        <v/>
      </c>
      <c r="J415" t="str" cm="1">
        <f t="array" aca="1" ref="J415" ca="1">IF(ISNUMBER(A415),IFERROR(_xlfn._xlws.FILTER(Equipar!A:A,(Equipar!B:B=5)*(Equipar!AC:AC=A415)),""),"")</f>
        <v/>
      </c>
    </row>
    <row r="416" spans="1:10" x14ac:dyDescent="0.25">
      <c r="A416" s="1" t="str">
        <f ca="1">IF(A415="ID",1,IF(ISBLANK(B416),"",MAX(A$2:A415)+1))</f>
        <v/>
      </c>
      <c r="I416" s="2" t="str">
        <f ca="1">IF(ISNUMBER(A416),
IF(COUNTIFS(Equipar!B:B,5,Equipar!AC:AC,A416),"Equipada",
IF(
 OR( COUNTIFS(Equipar!B:B,5,Equipar!C:C,A416)
 +COUNTIFS(Equipar!B:B,5,Equipar!D:D,A416)
+COUNTIFS(Equipar!B:B,5,Equipar!E:E,A416)
+COUNTIFS(Equipar!B:B,5,Equipar!F:F,A416)
&gt;0,COUNTIF('Set recomendado'!B:B,C416)=0),
"Bloqueada",
"Desechable")),""
)</f>
        <v/>
      </c>
      <c r="J416" t="str" cm="1">
        <f t="array" aca="1" ref="J416" ca="1">IF(ISNUMBER(A416),IFERROR(_xlfn._xlws.FILTER(Equipar!A:A,(Equipar!B:B=5)*(Equipar!AC:AC=A416)),""),"")</f>
        <v/>
      </c>
    </row>
    <row r="417" spans="1:10" x14ac:dyDescent="0.25">
      <c r="A417" s="1" t="str">
        <f ca="1">IF(A416="ID",1,IF(ISBLANK(B417),"",MAX(A$2:A416)+1))</f>
        <v/>
      </c>
      <c r="I417" s="2" t="str">
        <f ca="1">IF(ISNUMBER(A417),
IF(COUNTIFS(Equipar!B:B,5,Equipar!AC:AC,A417),"Equipada",
IF(
 OR( COUNTIFS(Equipar!B:B,5,Equipar!C:C,A417)
 +COUNTIFS(Equipar!B:B,5,Equipar!D:D,A417)
+COUNTIFS(Equipar!B:B,5,Equipar!E:E,A417)
+COUNTIFS(Equipar!B:B,5,Equipar!F:F,A417)
&gt;0,COUNTIF('Set recomendado'!B:B,C417)=0),
"Bloqueada",
"Desechable")),""
)</f>
        <v/>
      </c>
      <c r="J417" t="str" cm="1">
        <f t="array" aca="1" ref="J417" ca="1">IF(ISNUMBER(A417),IFERROR(_xlfn._xlws.FILTER(Equipar!A:A,(Equipar!B:B=5)*(Equipar!AC:AC=A417)),""),"")</f>
        <v/>
      </c>
    </row>
    <row r="418" spans="1:10" x14ac:dyDescent="0.25">
      <c r="A418" s="1" t="str">
        <f ca="1">IF(A417="ID",1,IF(ISBLANK(B418),"",MAX(A$2:A417)+1))</f>
        <v/>
      </c>
      <c r="I418" s="2" t="str">
        <f ca="1">IF(ISNUMBER(A418),
IF(COUNTIFS(Equipar!B:B,5,Equipar!AC:AC,A418),"Equipada",
IF(
 OR( COUNTIFS(Equipar!B:B,5,Equipar!C:C,A418)
 +COUNTIFS(Equipar!B:B,5,Equipar!D:D,A418)
+COUNTIFS(Equipar!B:B,5,Equipar!E:E,A418)
+COUNTIFS(Equipar!B:B,5,Equipar!F:F,A418)
&gt;0,COUNTIF('Set recomendado'!B:B,C418)=0),
"Bloqueada",
"Desechable")),""
)</f>
        <v/>
      </c>
      <c r="J418" t="str" cm="1">
        <f t="array" aca="1" ref="J418" ca="1">IF(ISNUMBER(A418),IFERROR(_xlfn._xlws.FILTER(Equipar!A:A,(Equipar!B:B=5)*(Equipar!AC:AC=A418)),""),"")</f>
        <v/>
      </c>
    </row>
    <row r="419" spans="1:10" x14ac:dyDescent="0.25">
      <c r="A419" s="1" t="str">
        <f ca="1">IF(A418="ID",1,IF(ISBLANK(B419),"",MAX(A$2:A418)+1))</f>
        <v/>
      </c>
      <c r="I419" s="2" t="str">
        <f ca="1">IF(ISNUMBER(A419),
IF(COUNTIFS(Equipar!B:B,5,Equipar!AC:AC,A419),"Equipada",
IF(
 OR( COUNTIFS(Equipar!B:B,5,Equipar!C:C,A419)
 +COUNTIFS(Equipar!B:B,5,Equipar!D:D,A419)
+COUNTIFS(Equipar!B:B,5,Equipar!E:E,A419)
+COUNTIFS(Equipar!B:B,5,Equipar!F:F,A419)
&gt;0,COUNTIF('Set recomendado'!B:B,C419)=0),
"Bloqueada",
"Desechable")),""
)</f>
        <v/>
      </c>
      <c r="J419" t="str" cm="1">
        <f t="array" aca="1" ref="J419" ca="1">IF(ISNUMBER(A419),IFERROR(_xlfn._xlws.FILTER(Equipar!A:A,(Equipar!B:B=5)*(Equipar!AC:AC=A419)),""),"")</f>
        <v/>
      </c>
    </row>
    <row r="420" spans="1:10" x14ac:dyDescent="0.25">
      <c r="A420" s="1" t="str">
        <f ca="1">IF(A419="ID",1,IF(ISBLANK(B420),"",MAX(A$2:A419)+1))</f>
        <v/>
      </c>
      <c r="I420" s="2" t="str">
        <f ca="1">IF(ISNUMBER(A420),
IF(COUNTIFS(Equipar!B:B,5,Equipar!AC:AC,A420),"Equipada",
IF(
 OR( COUNTIFS(Equipar!B:B,5,Equipar!C:C,A420)
 +COUNTIFS(Equipar!B:B,5,Equipar!D:D,A420)
+COUNTIFS(Equipar!B:B,5,Equipar!E:E,A420)
+COUNTIFS(Equipar!B:B,5,Equipar!F:F,A420)
&gt;0,COUNTIF('Set recomendado'!B:B,C420)=0),
"Bloqueada",
"Desechable")),""
)</f>
        <v/>
      </c>
      <c r="J420" t="str" cm="1">
        <f t="array" aca="1" ref="J420" ca="1">IF(ISNUMBER(A420),IFERROR(_xlfn._xlws.FILTER(Equipar!A:A,(Equipar!B:B=5)*(Equipar!AC:AC=A420)),""),"")</f>
        <v/>
      </c>
    </row>
    <row r="421" spans="1:10" x14ac:dyDescent="0.25">
      <c r="A421" s="1" t="str">
        <f ca="1">IF(A420="ID",1,IF(ISBLANK(B421),"",MAX(A$2:A420)+1))</f>
        <v/>
      </c>
      <c r="I421" s="2" t="str">
        <f ca="1">IF(ISNUMBER(A421),
IF(COUNTIFS(Equipar!B:B,5,Equipar!AC:AC,A421),"Equipada",
IF(
 OR( COUNTIFS(Equipar!B:B,5,Equipar!C:C,A421)
 +COUNTIFS(Equipar!B:B,5,Equipar!D:D,A421)
+COUNTIFS(Equipar!B:B,5,Equipar!E:E,A421)
+COUNTIFS(Equipar!B:B,5,Equipar!F:F,A421)
&gt;0,COUNTIF('Set recomendado'!B:B,C421)=0),
"Bloqueada",
"Desechable")),""
)</f>
        <v/>
      </c>
      <c r="J421" t="str" cm="1">
        <f t="array" aca="1" ref="J421" ca="1">IF(ISNUMBER(A421),IFERROR(_xlfn._xlws.FILTER(Equipar!A:A,(Equipar!B:B=5)*(Equipar!AC:AC=A421)),""),"")</f>
        <v/>
      </c>
    </row>
    <row r="422" spans="1:10" x14ac:dyDescent="0.25">
      <c r="A422" s="1" t="str">
        <f ca="1">IF(A421="ID",1,IF(ISBLANK(B422),"",MAX(A$2:A421)+1))</f>
        <v/>
      </c>
      <c r="I422" s="2" t="str">
        <f ca="1">IF(ISNUMBER(A422),
IF(COUNTIFS(Equipar!B:B,5,Equipar!AC:AC,A422),"Equipada",
IF(
 OR( COUNTIFS(Equipar!B:B,5,Equipar!C:C,A422)
 +COUNTIFS(Equipar!B:B,5,Equipar!D:D,A422)
+COUNTIFS(Equipar!B:B,5,Equipar!E:E,A422)
+COUNTIFS(Equipar!B:B,5,Equipar!F:F,A422)
&gt;0,COUNTIF('Set recomendado'!B:B,C422)=0),
"Bloqueada",
"Desechable")),""
)</f>
        <v/>
      </c>
      <c r="J422" t="str" cm="1">
        <f t="array" aca="1" ref="J422" ca="1">IF(ISNUMBER(A422),IFERROR(_xlfn._xlws.FILTER(Equipar!A:A,(Equipar!B:B=5)*(Equipar!AC:AC=A422)),""),"")</f>
        <v/>
      </c>
    </row>
    <row r="423" spans="1:10" x14ac:dyDescent="0.25">
      <c r="A423" s="1" t="str">
        <f ca="1">IF(A422="ID",1,IF(ISBLANK(B423),"",MAX(A$2:A422)+1))</f>
        <v/>
      </c>
      <c r="I423" s="2" t="str">
        <f ca="1">IF(ISNUMBER(A423),
IF(COUNTIFS(Equipar!B:B,5,Equipar!AC:AC,A423),"Equipada",
IF(
 OR( COUNTIFS(Equipar!B:B,5,Equipar!C:C,A423)
 +COUNTIFS(Equipar!B:B,5,Equipar!D:D,A423)
+COUNTIFS(Equipar!B:B,5,Equipar!E:E,A423)
+COUNTIFS(Equipar!B:B,5,Equipar!F:F,A423)
&gt;0,COUNTIF('Set recomendado'!B:B,C423)=0),
"Bloqueada",
"Desechable")),""
)</f>
        <v/>
      </c>
      <c r="J423" t="str" cm="1">
        <f t="array" aca="1" ref="J423" ca="1">IF(ISNUMBER(A423),IFERROR(_xlfn._xlws.FILTER(Equipar!A:A,(Equipar!B:B=5)*(Equipar!AC:AC=A423)),""),"")</f>
        <v/>
      </c>
    </row>
    <row r="424" spans="1:10" x14ac:dyDescent="0.25">
      <c r="A424" s="1" t="str">
        <f ca="1">IF(A423="ID",1,IF(ISBLANK(B424),"",MAX(A$2:A423)+1))</f>
        <v/>
      </c>
      <c r="I424" s="2" t="str">
        <f ca="1">IF(ISNUMBER(A424),
IF(COUNTIFS(Equipar!B:B,5,Equipar!AC:AC,A424),"Equipada",
IF(
 OR( COUNTIFS(Equipar!B:B,5,Equipar!C:C,A424)
 +COUNTIFS(Equipar!B:B,5,Equipar!D:D,A424)
+COUNTIFS(Equipar!B:B,5,Equipar!E:E,A424)
+COUNTIFS(Equipar!B:B,5,Equipar!F:F,A424)
&gt;0,COUNTIF('Set recomendado'!B:B,C424)=0),
"Bloqueada",
"Desechable")),""
)</f>
        <v/>
      </c>
      <c r="J424" t="str" cm="1">
        <f t="array" aca="1" ref="J424" ca="1">IF(ISNUMBER(A424),IFERROR(_xlfn._xlws.FILTER(Equipar!A:A,(Equipar!B:B=5)*(Equipar!AC:AC=A424)),""),"")</f>
        <v/>
      </c>
    </row>
    <row r="425" spans="1:10" x14ac:dyDescent="0.25">
      <c r="A425" s="1" t="str">
        <f ca="1">IF(A424="ID",1,IF(ISBLANK(B425),"",MAX(A$2:A424)+1))</f>
        <v/>
      </c>
      <c r="I425" s="2" t="str">
        <f ca="1">IF(ISNUMBER(A425),
IF(COUNTIFS(Equipar!B:B,5,Equipar!AC:AC,A425),"Equipada",
IF(
 OR( COUNTIFS(Equipar!B:B,5,Equipar!C:C,A425)
 +COUNTIFS(Equipar!B:B,5,Equipar!D:D,A425)
+COUNTIFS(Equipar!B:B,5,Equipar!E:E,A425)
+COUNTIFS(Equipar!B:B,5,Equipar!F:F,A425)
&gt;0,COUNTIF('Set recomendado'!B:B,C425)=0),
"Bloqueada",
"Desechable")),""
)</f>
        <v/>
      </c>
      <c r="J425" t="str" cm="1">
        <f t="array" aca="1" ref="J425" ca="1">IF(ISNUMBER(A425),IFERROR(_xlfn._xlws.FILTER(Equipar!A:A,(Equipar!B:B=5)*(Equipar!AC:AC=A425)),""),"")</f>
        <v/>
      </c>
    </row>
    <row r="426" spans="1:10" x14ac:dyDescent="0.25">
      <c r="A426" s="1" t="str">
        <f ca="1">IF(A425="ID",1,IF(ISBLANK(B426),"",MAX(A$2:A425)+1))</f>
        <v/>
      </c>
      <c r="I426" s="2" t="str">
        <f ca="1">IF(ISNUMBER(A426),
IF(COUNTIFS(Equipar!B:B,5,Equipar!AC:AC,A426),"Equipada",
IF(
 OR( COUNTIFS(Equipar!B:B,5,Equipar!C:C,A426)
 +COUNTIFS(Equipar!B:B,5,Equipar!D:D,A426)
+COUNTIFS(Equipar!B:B,5,Equipar!E:E,A426)
+COUNTIFS(Equipar!B:B,5,Equipar!F:F,A426)
&gt;0,COUNTIF('Set recomendado'!B:B,C426)=0),
"Bloqueada",
"Desechable")),""
)</f>
        <v/>
      </c>
      <c r="J426" t="str" cm="1">
        <f t="array" aca="1" ref="J426" ca="1">IF(ISNUMBER(A426),IFERROR(_xlfn._xlws.FILTER(Equipar!A:A,(Equipar!B:B=5)*(Equipar!AC:AC=A426)),""),"")</f>
        <v/>
      </c>
    </row>
    <row r="427" spans="1:10" x14ac:dyDescent="0.25">
      <c r="A427" s="1" t="str">
        <f ca="1">IF(A426="ID",1,IF(ISBLANK(B427),"",MAX(A$2:A426)+1))</f>
        <v/>
      </c>
      <c r="I427" s="2" t="str">
        <f ca="1">IF(ISNUMBER(A427),
IF(COUNTIFS(Equipar!B:B,5,Equipar!AC:AC,A427),"Equipada",
IF(
 OR( COUNTIFS(Equipar!B:B,5,Equipar!C:C,A427)
 +COUNTIFS(Equipar!B:B,5,Equipar!D:D,A427)
+COUNTIFS(Equipar!B:B,5,Equipar!E:E,A427)
+COUNTIFS(Equipar!B:B,5,Equipar!F:F,A427)
&gt;0,COUNTIF('Set recomendado'!B:B,C427)=0),
"Bloqueada",
"Desechable")),""
)</f>
        <v/>
      </c>
      <c r="J427" t="str" cm="1">
        <f t="array" aca="1" ref="J427" ca="1">IF(ISNUMBER(A427),IFERROR(_xlfn._xlws.FILTER(Equipar!A:A,(Equipar!B:B=5)*(Equipar!AC:AC=A427)),""),"")</f>
        <v/>
      </c>
    </row>
    <row r="428" spans="1:10" x14ac:dyDescent="0.25">
      <c r="A428" s="1" t="str">
        <f ca="1">IF(A427="ID",1,IF(ISBLANK(B428),"",MAX(A$2:A427)+1))</f>
        <v/>
      </c>
      <c r="I428" s="2" t="str">
        <f ca="1">IF(ISNUMBER(A428),
IF(COUNTIFS(Equipar!B:B,5,Equipar!AC:AC,A428),"Equipada",
IF(
 OR( COUNTIFS(Equipar!B:B,5,Equipar!C:C,A428)
 +COUNTIFS(Equipar!B:B,5,Equipar!D:D,A428)
+COUNTIFS(Equipar!B:B,5,Equipar!E:E,A428)
+COUNTIFS(Equipar!B:B,5,Equipar!F:F,A428)
&gt;0,COUNTIF('Set recomendado'!B:B,C428)=0),
"Bloqueada",
"Desechable")),""
)</f>
        <v/>
      </c>
      <c r="J428" t="str" cm="1">
        <f t="array" aca="1" ref="J428" ca="1">IF(ISNUMBER(A428),IFERROR(_xlfn._xlws.FILTER(Equipar!A:A,(Equipar!B:B=5)*(Equipar!AC:AC=A428)),""),"")</f>
        <v/>
      </c>
    </row>
    <row r="429" spans="1:10" x14ac:dyDescent="0.25">
      <c r="A429" s="1" t="str">
        <f ca="1">IF(A428="ID",1,IF(ISBLANK(B429),"",MAX(A$2:A428)+1))</f>
        <v/>
      </c>
      <c r="I429" s="2" t="str">
        <f ca="1">IF(ISNUMBER(A429),
IF(COUNTIFS(Equipar!B:B,5,Equipar!AC:AC,A429),"Equipada",
IF(
 OR( COUNTIFS(Equipar!B:B,5,Equipar!C:C,A429)
 +COUNTIFS(Equipar!B:B,5,Equipar!D:D,A429)
+COUNTIFS(Equipar!B:B,5,Equipar!E:E,A429)
+COUNTIFS(Equipar!B:B,5,Equipar!F:F,A429)
&gt;0,COUNTIF('Set recomendado'!B:B,C429)=0),
"Bloqueada",
"Desechable")),""
)</f>
        <v/>
      </c>
      <c r="J429" t="str" cm="1">
        <f t="array" aca="1" ref="J429" ca="1">IF(ISNUMBER(A429),IFERROR(_xlfn._xlws.FILTER(Equipar!A:A,(Equipar!B:B=5)*(Equipar!AC:AC=A429)),""),"")</f>
        <v/>
      </c>
    </row>
    <row r="430" spans="1:10" x14ac:dyDescent="0.25">
      <c r="A430" s="1" t="str">
        <f ca="1">IF(A429="ID",1,IF(ISBLANK(B430),"",MAX(A$2:A429)+1))</f>
        <v/>
      </c>
      <c r="I430" s="2" t="str">
        <f ca="1">IF(ISNUMBER(A430),
IF(COUNTIFS(Equipar!B:B,5,Equipar!AC:AC,A430),"Equipada",
IF(
 OR( COUNTIFS(Equipar!B:B,5,Equipar!C:C,A430)
 +COUNTIFS(Equipar!B:B,5,Equipar!D:D,A430)
+COUNTIFS(Equipar!B:B,5,Equipar!E:E,A430)
+COUNTIFS(Equipar!B:B,5,Equipar!F:F,A430)
&gt;0,COUNTIF('Set recomendado'!B:B,C430)=0),
"Bloqueada",
"Desechable")),""
)</f>
        <v/>
      </c>
      <c r="J430" t="str" cm="1">
        <f t="array" aca="1" ref="J430" ca="1">IF(ISNUMBER(A430),IFERROR(_xlfn._xlws.FILTER(Equipar!A:A,(Equipar!B:B=5)*(Equipar!AC:AC=A430)),""),"")</f>
        <v/>
      </c>
    </row>
    <row r="431" spans="1:10" x14ac:dyDescent="0.25">
      <c r="A431" s="1" t="str">
        <f ca="1">IF(A430="ID",1,IF(ISBLANK(B431),"",MAX(A$2:A430)+1))</f>
        <v/>
      </c>
      <c r="I431" s="2" t="str">
        <f ca="1">IF(ISNUMBER(A431),
IF(COUNTIFS(Equipar!B:B,5,Equipar!AC:AC,A431),"Equipada",
IF(
 OR( COUNTIFS(Equipar!B:B,5,Equipar!C:C,A431)
 +COUNTIFS(Equipar!B:B,5,Equipar!D:D,A431)
+COUNTIFS(Equipar!B:B,5,Equipar!E:E,A431)
+COUNTIFS(Equipar!B:B,5,Equipar!F:F,A431)
&gt;0,COUNTIF('Set recomendado'!B:B,C431)=0),
"Bloqueada",
"Desechable")),""
)</f>
        <v/>
      </c>
      <c r="J431" t="str" cm="1">
        <f t="array" aca="1" ref="J431" ca="1">IF(ISNUMBER(A431),IFERROR(_xlfn._xlws.FILTER(Equipar!A:A,(Equipar!B:B=5)*(Equipar!AC:AC=A431)),""),"")</f>
        <v/>
      </c>
    </row>
    <row r="432" spans="1:10" x14ac:dyDescent="0.25">
      <c r="A432" s="1" t="str">
        <f ca="1">IF(A431="ID",1,IF(ISBLANK(B432),"",MAX(A$2:A431)+1))</f>
        <v/>
      </c>
      <c r="I432" s="2" t="str">
        <f ca="1">IF(ISNUMBER(A432),
IF(COUNTIFS(Equipar!B:B,5,Equipar!AC:AC,A432),"Equipada",
IF(
 OR( COUNTIFS(Equipar!B:B,5,Equipar!C:C,A432)
 +COUNTIFS(Equipar!B:B,5,Equipar!D:D,A432)
+COUNTIFS(Equipar!B:B,5,Equipar!E:E,A432)
+COUNTIFS(Equipar!B:B,5,Equipar!F:F,A432)
&gt;0,COUNTIF('Set recomendado'!B:B,C432)=0),
"Bloqueada",
"Desechable")),""
)</f>
        <v/>
      </c>
      <c r="J432" t="str" cm="1">
        <f t="array" aca="1" ref="J432" ca="1">IF(ISNUMBER(A432),IFERROR(_xlfn._xlws.FILTER(Equipar!A:A,(Equipar!B:B=5)*(Equipar!AC:AC=A432)),""),"")</f>
        <v/>
      </c>
    </row>
    <row r="433" spans="1:10" x14ac:dyDescent="0.25">
      <c r="A433" s="1" t="str">
        <f ca="1">IF(A432="ID",1,IF(ISBLANK(B433),"",MAX(A$2:A432)+1))</f>
        <v/>
      </c>
      <c r="I433" s="2" t="str">
        <f ca="1">IF(ISNUMBER(A433),
IF(COUNTIFS(Equipar!B:B,5,Equipar!AC:AC,A433),"Equipada",
IF(
 OR( COUNTIFS(Equipar!B:B,5,Equipar!C:C,A433)
 +COUNTIFS(Equipar!B:B,5,Equipar!D:D,A433)
+COUNTIFS(Equipar!B:B,5,Equipar!E:E,A433)
+COUNTIFS(Equipar!B:B,5,Equipar!F:F,A433)
&gt;0,COUNTIF('Set recomendado'!B:B,C433)=0),
"Bloqueada",
"Desechable")),""
)</f>
        <v/>
      </c>
      <c r="J433" t="str" cm="1">
        <f t="array" aca="1" ref="J433" ca="1">IF(ISNUMBER(A433),IFERROR(_xlfn._xlws.FILTER(Equipar!A:A,(Equipar!B:B=5)*(Equipar!AC:AC=A433)),""),"")</f>
        <v/>
      </c>
    </row>
    <row r="434" spans="1:10" x14ac:dyDescent="0.25">
      <c r="A434" s="1" t="str">
        <f ca="1">IF(A433="ID",1,IF(ISBLANK(B434),"",MAX(A$2:A433)+1))</f>
        <v/>
      </c>
      <c r="I434" s="2" t="str">
        <f ca="1">IF(ISNUMBER(A434),
IF(COUNTIFS(Equipar!B:B,5,Equipar!AC:AC,A434),"Equipada",
IF(
 OR( COUNTIFS(Equipar!B:B,5,Equipar!C:C,A434)
 +COUNTIFS(Equipar!B:B,5,Equipar!D:D,A434)
+COUNTIFS(Equipar!B:B,5,Equipar!E:E,A434)
+COUNTIFS(Equipar!B:B,5,Equipar!F:F,A434)
&gt;0,COUNTIF('Set recomendado'!B:B,C434)=0),
"Bloqueada",
"Desechable")),""
)</f>
        <v/>
      </c>
      <c r="J434" t="str" cm="1">
        <f t="array" aca="1" ref="J434" ca="1">IF(ISNUMBER(A434),IFERROR(_xlfn._xlws.FILTER(Equipar!A:A,(Equipar!B:B=5)*(Equipar!AC:AC=A434)),""),"")</f>
        <v/>
      </c>
    </row>
    <row r="435" spans="1:10" x14ac:dyDescent="0.25">
      <c r="A435" s="1" t="str">
        <f ca="1">IF(A434="ID",1,IF(ISBLANK(B435),"",MAX(A$2:A434)+1))</f>
        <v/>
      </c>
      <c r="I435" s="2" t="str">
        <f ca="1">IF(ISNUMBER(A435),
IF(COUNTIFS(Equipar!B:B,5,Equipar!AC:AC,A435),"Equipada",
IF(
 OR( COUNTIFS(Equipar!B:B,5,Equipar!C:C,A435)
 +COUNTIFS(Equipar!B:B,5,Equipar!D:D,A435)
+COUNTIFS(Equipar!B:B,5,Equipar!E:E,A435)
+COUNTIFS(Equipar!B:B,5,Equipar!F:F,A435)
&gt;0,COUNTIF('Set recomendado'!B:B,C435)=0),
"Bloqueada",
"Desechable")),""
)</f>
        <v/>
      </c>
      <c r="J435" t="str" cm="1">
        <f t="array" aca="1" ref="J435" ca="1">IF(ISNUMBER(A435),IFERROR(_xlfn._xlws.FILTER(Equipar!A:A,(Equipar!B:B=5)*(Equipar!AC:AC=A435)),""),"")</f>
        <v/>
      </c>
    </row>
    <row r="436" spans="1:10" x14ac:dyDescent="0.25">
      <c r="A436" s="1" t="str">
        <f ca="1">IF(A435="ID",1,IF(ISBLANK(B436),"",MAX(A$2:A435)+1))</f>
        <v/>
      </c>
      <c r="I436" s="2" t="str">
        <f ca="1">IF(ISNUMBER(A436),
IF(COUNTIFS(Equipar!B:B,5,Equipar!AC:AC,A436),"Equipada",
IF(
 OR( COUNTIFS(Equipar!B:B,5,Equipar!C:C,A436)
 +COUNTIFS(Equipar!B:B,5,Equipar!D:D,A436)
+COUNTIFS(Equipar!B:B,5,Equipar!E:E,A436)
+COUNTIFS(Equipar!B:B,5,Equipar!F:F,A436)
&gt;0,COUNTIF('Set recomendado'!B:B,C436)=0),
"Bloqueada",
"Desechable")),""
)</f>
        <v/>
      </c>
      <c r="J436" t="str" cm="1">
        <f t="array" aca="1" ref="J436" ca="1">IF(ISNUMBER(A436),IFERROR(_xlfn._xlws.FILTER(Equipar!A:A,(Equipar!B:B=5)*(Equipar!AC:AC=A436)),""),"")</f>
        <v/>
      </c>
    </row>
    <row r="437" spans="1:10" x14ac:dyDescent="0.25">
      <c r="A437" s="1" t="str">
        <f ca="1">IF(A436="ID",1,IF(ISBLANK(B437),"",MAX(A$2:A436)+1))</f>
        <v/>
      </c>
      <c r="I437" s="2" t="str">
        <f ca="1">IF(ISNUMBER(A437),
IF(COUNTIFS(Equipar!B:B,5,Equipar!AC:AC,A437),"Equipada",
IF(
 OR( COUNTIFS(Equipar!B:B,5,Equipar!C:C,A437)
 +COUNTIFS(Equipar!B:B,5,Equipar!D:D,A437)
+COUNTIFS(Equipar!B:B,5,Equipar!E:E,A437)
+COUNTIFS(Equipar!B:B,5,Equipar!F:F,A437)
&gt;0,COUNTIF('Set recomendado'!B:B,C437)=0),
"Bloqueada",
"Desechable")),""
)</f>
        <v/>
      </c>
      <c r="J437" t="str" cm="1">
        <f t="array" aca="1" ref="J437" ca="1">IF(ISNUMBER(A437),IFERROR(_xlfn._xlws.FILTER(Equipar!A:A,(Equipar!B:B=5)*(Equipar!AC:AC=A437)),""),"")</f>
        <v/>
      </c>
    </row>
    <row r="438" spans="1:10" x14ac:dyDescent="0.25">
      <c r="A438" s="1" t="str">
        <f ca="1">IF(A437="ID",1,IF(ISBLANK(B438),"",MAX(A$2:A437)+1))</f>
        <v/>
      </c>
      <c r="I438" s="2" t="str">
        <f ca="1">IF(ISNUMBER(A438),
IF(COUNTIFS(Equipar!B:B,5,Equipar!AC:AC,A438),"Equipada",
IF(
 OR( COUNTIFS(Equipar!B:B,5,Equipar!C:C,A438)
 +COUNTIFS(Equipar!B:B,5,Equipar!D:D,A438)
+COUNTIFS(Equipar!B:B,5,Equipar!E:E,A438)
+COUNTIFS(Equipar!B:B,5,Equipar!F:F,A438)
&gt;0,COUNTIF('Set recomendado'!B:B,C438)=0),
"Bloqueada",
"Desechable")),""
)</f>
        <v/>
      </c>
      <c r="J438" t="str" cm="1">
        <f t="array" aca="1" ref="J438" ca="1">IF(ISNUMBER(A438),IFERROR(_xlfn._xlws.FILTER(Equipar!A:A,(Equipar!B:B=5)*(Equipar!AC:AC=A438)),""),"")</f>
        <v/>
      </c>
    </row>
    <row r="439" spans="1:10" x14ac:dyDescent="0.25">
      <c r="A439" s="1" t="str">
        <f ca="1">IF(A438="ID",1,IF(ISBLANK(B439),"",MAX(A$2:A438)+1))</f>
        <v/>
      </c>
      <c r="I439" s="2" t="str">
        <f ca="1">IF(ISNUMBER(A439),
IF(COUNTIFS(Equipar!B:B,5,Equipar!AC:AC,A439),"Equipada",
IF(
 OR( COUNTIFS(Equipar!B:B,5,Equipar!C:C,A439)
 +COUNTIFS(Equipar!B:B,5,Equipar!D:D,A439)
+COUNTIFS(Equipar!B:B,5,Equipar!E:E,A439)
+COUNTIFS(Equipar!B:B,5,Equipar!F:F,A439)
&gt;0,COUNTIF('Set recomendado'!B:B,C439)=0),
"Bloqueada",
"Desechable")),""
)</f>
        <v/>
      </c>
      <c r="J439" t="str" cm="1">
        <f t="array" aca="1" ref="J439" ca="1">IF(ISNUMBER(A439),IFERROR(_xlfn._xlws.FILTER(Equipar!A:A,(Equipar!B:B=5)*(Equipar!AC:AC=A439)),""),"")</f>
        <v/>
      </c>
    </row>
    <row r="440" spans="1:10" x14ac:dyDescent="0.25">
      <c r="A440" s="1" t="str">
        <f ca="1">IF(A439="ID",1,IF(ISBLANK(B440),"",MAX(A$2:A439)+1))</f>
        <v/>
      </c>
      <c r="I440" s="2" t="str">
        <f ca="1">IF(ISNUMBER(A440),
IF(COUNTIFS(Equipar!B:B,5,Equipar!AC:AC,A440),"Equipada",
IF(
 OR( COUNTIFS(Equipar!B:B,5,Equipar!C:C,A440)
 +COUNTIFS(Equipar!B:B,5,Equipar!D:D,A440)
+COUNTIFS(Equipar!B:B,5,Equipar!E:E,A440)
+COUNTIFS(Equipar!B:B,5,Equipar!F:F,A440)
&gt;0,COUNTIF('Set recomendado'!B:B,C440)=0),
"Bloqueada",
"Desechable")),""
)</f>
        <v/>
      </c>
      <c r="J440" t="str" cm="1">
        <f t="array" aca="1" ref="J440" ca="1">IF(ISNUMBER(A440),IFERROR(_xlfn._xlws.FILTER(Equipar!A:A,(Equipar!B:B=5)*(Equipar!AC:AC=A440)),""),"")</f>
        <v/>
      </c>
    </row>
    <row r="441" spans="1:10" x14ac:dyDescent="0.25">
      <c r="A441" s="1" t="str">
        <f ca="1">IF(A440="ID",1,IF(ISBLANK(B441),"",MAX(A$2:A440)+1))</f>
        <v/>
      </c>
      <c r="I441" s="2" t="str">
        <f ca="1">IF(ISNUMBER(A441),
IF(COUNTIFS(Equipar!B:B,5,Equipar!AC:AC,A441),"Equipada",
IF(
 OR( COUNTIFS(Equipar!B:B,5,Equipar!C:C,A441)
 +COUNTIFS(Equipar!B:B,5,Equipar!D:D,A441)
+COUNTIFS(Equipar!B:B,5,Equipar!E:E,A441)
+COUNTIFS(Equipar!B:B,5,Equipar!F:F,A441)
&gt;0,COUNTIF('Set recomendado'!B:B,C441)=0),
"Bloqueada",
"Desechable")),""
)</f>
        <v/>
      </c>
      <c r="J441" t="str" cm="1">
        <f t="array" aca="1" ref="J441" ca="1">IF(ISNUMBER(A441),IFERROR(_xlfn._xlws.FILTER(Equipar!A:A,(Equipar!B:B=5)*(Equipar!AC:AC=A441)),""),"")</f>
        <v/>
      </c>
    </row>
    <row r="442" spans="1:10" x14ac:dyDescent="0.25">
      <c r="A442" s="1" t="str">
        <f ca="1">IF(A441="ID",1,IF(ISBLANK(B442),"",MAX(A$2:A441)+1))</f>
        <v/>
      </c>
      <c r="I442" s="2" t="str">
        <f ca="1">IF(ISNUMBER(A442),
IF(COUNTIFS(Equipar!B:B,5,Equipar!AC:AC,A442),"Equipada",
IF(
 OR( COUNTIFS(Equipar!B:B,5,Equipar!C:C,A442)
 +COUNTIFS(Equipar!B:B,5,Equipar!D:D,A442)
+COUNTIFS(Equipar!B:B,5,Equipar!E:E,A442)
+COUNTIFS(Equipar!B:B,5,Equipar!F:F,A442)
&gt;0,COUNTIF('Set recomendado'!B:B,C442)=0),
"Bloqueada",
"Desechable")),""
)</f>
        <v/>
      </c>
      <c r="J442" t="str" cm="1">
        <f t="array" aca="1" ref="J442" ca="1">IF(ISNUMBER(A442),IFERROR(_xlfn._xlws.FILTER(Equipar!A:A,(Equipar!B:B=5)*(Equipar!AC:AC=A442)),""),"")</f>
        <v/>
      </c>
    </row>
    <row r="443" spans="1:10" x14ac:dyDescent="0.25">
      <c r="A443" s="1" t="str">
        <f ca="1">IF(A442="ID",1,IF(ISBLANK(B443),"",MAX(A$2:A442)+1))</f>
        <v/>
      </c>
      <c r="I443" s="2" t="str">
        <f ca="1">IF(ISNUMBER(A443),
IF(COUNTIFS(Equipar!B:B,5,Equipar!AC:AC,A443),"Equipada",
IF(
 OR( COUNTIFS(Equipar!B:B,5,Equipar!C:C,A443)
 +COUNTIFS(Equipar!B:B,5,Equipar!D:D,A443)
+COUNTIFS(Equipar!B:B,5,Equipar!E:E,A443)
+COUNTIFS(Equipar!B:B,5,Equipar!F:F,A443)
&gt;0,COUNTIF('Set recomendado'!B:B,C443)=0),
"Bloqueada",
"Desechable")),""
)</f>
        <v/>
      </c>
      <c r="J443" t="str" cm="1">
        <f t="array" aca="1" ref="J443" ca="1">IF(ISNUMBER(A443),IFERROR(_xlfn._xlws.FILTER(Equipar!A:A,(Equipar!B:B=5)*(Equipar!AC:AC=A443)),""),"")</f>
        <v/>
      </c>
    </row>
    <row r="444" spans="1:10" x14ac:dyDescent="0.25">
      <c r="A444" s="1" t="str">
        <f ca="1">IF(A443="ID",1,IF(ISBLANK(B444),"",MAX(A$2:A443)+1))</f>
        <v/>
      </c>
      <c r="I444" s="2" t="str">
        <f ca="1">IF(ISNUMBER(A444),
IF(COUNTIFS(Equipar!B:B,5,Equipar!AC:AC,A444),"Equipada",
IF(
 OR( COUNTIFS(Equipar!B:B,5,Equipar!C:C,A444)
 +COUNTIFS(Equipar!B:B,5,Equipar!D:D,A444)
+COUNTIFS(Equipar!B:B,5,Equipar!E:E,A444)
+COUNTIFS(Equipar!B:B,5,Equipar!F:F,A444)
&gt;0,COUNTIF('Set recomendado'!B:B,C444)=0),
"Bloqueada",
"Desechable")),""
)</f>
        <v/>
      </c>
      <c r="J444" t="str" cm="1">
        <f t="array" aca="1" ref="J444" ca="1">IF(ISNUMBER(A444),IFERROR(_xlfn._xlws.FILTER(Equipar!A:A,(Equipar!B:B=5)*(Equipar!AC:AC=A444)),""),"")</f>
        <v/>
      </c>
    </row>
    <row r="445" spans="1:10" x14ac:dyDescent="0.25">
      <c r="A445" s="1" t="str">
        <f ca="1">IF(A444="ID",1,IF(ISBLANK(B445),"",MAX(A$2:A444)+1))</f>
        <v/>
      </c>
      <c r="I445" s="2" t="str">
        <f ca="1">IF(ISNUMBER(A445),
IF(COUNTIFS(Equipar!B:B,5,Equipar!AC:AC,A445),"Equipada",
IF(
 OR( COUNTIFS(Equipar!B:B,5,Equipar!C:C,A445)
 +COUNTIFS(Equipar!B:B,5,Equipar!D:D,A445)
+COUNTIFS(Equipar!B:B,5,Equipar!E:E,A445)
+COUNTIFS(Equipar!B:B,5,Equipar!F:F,A445)
&gt;0,COUNTIF('Set recomendado'!B:B,C445)=0),
"Bloqueada",
"Desechable")),""
)</f>
        <v/>
      </c>
      <c r="J445" t="str" cm="1">
        <f t="array" aca="1" ref="J445" ca="1">IF(ISNUMBER(A445),IFERROR(_xlfn._xlws.FILTER(Equipar!A:A,(Equipar!B:B=5)*(Equipar!AC:AC=A445)),""),"")</f>
        <v/>
      </c>
    </row>
    <row r="446" spans="1:10" x14ac:dyDescent="0.25">
      <c r="A446" s="1" t="str">
        <f ca="1">IF(A445="ID",1,IF(ISBLANK(B446),"",MAX(A$2:A445)+1))</f>
        <v/>
      </c>
      <c r="I446" s="2" t="str">
        <f ca="1">IF(ISNUMBER(A446),
IF(COUNTIFS(Equipar!B:B,5,Equipar!AC:AC,A446),"Equipada",
IF(
 OR( COUNTIFS(Equipar!B:B,5,Equipar!C:C,A446)
 +COUNTIFS(Equipar!B:B,5,Equipar!D:D,A446)
+COUNTIFS(Equipar!B:B,5,Equipar!E:E,A446)
+COUNTIFS(Equipar!B:B,5,Equipar!F:F,A446)
&gt;0,COUNTIF('Set recomendado'!B:B,C446)=0),
"Bloqueada",
"Desechable")),""
)</f>
        <v/>
      </c>
      <c r="J446" t="str" cm="1">
        <f t="array" aca="1" ref="J446" ca="1">IF(ISNUMBER(A446),IFERROR(_xlfn._xlws.FILTER(Equipar!A:A,(Equipar!B:B=5)*(Equipar!AC:AC=A446)),""),"")</f>
        <v/>
      </c>
    </row>
    <row r="447" spans="1:10" x14ac:dyDescent="0.25">
      <c r="A447" s="1" t="str">
        <f ca="1">IF(A446="ID",1,IF(ISBLANK(B447),"",MAX(A$2:A446)+1))</f>
        <v/>
      </c>
      <c r="I447" s="2" t="str">
        <f ca="1">IF(ISNUMBER(A447),
IF(COUNTIFS(Equipar!B:B,5,Equipar!AC:AC,A447),"Equipada",
IF(
 OR( COUNTIFS(Equipar!B:B,5,Equipar!C:C,A447)
 +COUNTIFS(Equipar!B:B,5,Equipar!D:D,A447)
+COUNTIFS(Equipar!B:B,5,Equipar!E:E,A447)
+COUNTIFS(Equipar!B:B,5,Equipar!F:F,A447)
&gt;0,COUNTIF('Set recomendado'!B:B,C447)=0),
"Bloqueada",
"Desechable")),""
)</f>
        <v/>
      </c>
      <c r="J447" t="str" cm="1">
        <f t="array" aca="1" ref="J447" ca="1">IF(ISNUMBER(A447),IFERROR(_xlfn._xlws.FILTER(Equipar!A:A,(Equipar!B:B=5)*(Equipar!AC:AC=A447)),""),"")</f>
        <v/>
      </c>
    </row>
    <row r="448" spans="1:10" x14ac:dyDescent="0.25">
      <c r="A448" s="1" t="str">
        <f ca="1">IF(A447="ID",1,IF(ISBLANK(B448),"",MAX(A$2:A447)+1))</f>
        <v/>
      </c>
      <c r="I448" s="2" t="str">
        <f ca="1">IF(ISNUMBER(A448),
IF(COUNTIFS(Equipar!B:B,5,Equipar!AC:AC,A448),"Equipada",
IF(
 OR( COUNTIFS(Equipar!B:B,5,Equipar!C:C,A448)
 +COUNTIFS(Equipar!B:B,5,Equipar!D:D,A448)
+COUNTIFS(Equipar!B:B,5,Equipar!E:E,A448)
+COUNTIFS(Equipar!B:B,5,Equipar!F:F,A448)
&gt;0,COUNTIF('Set recomendado'!B:B,C448)=0),
"Bloqueada",
"Desechable")),""
)</f>
        <v/>
      </c>
      <c r="J448" t="str" cm="1">
        <f t="array" aca="1" ref="J448" ca="1">IF(ISNUMBER(A448),IFERROR(_xlfn._xlws.FILTER(Equipar!A:A,(Equipar!B:B=5)*(Equipar!AC:AC=A448)),""),"")</f>
        <v/>
      </c>
    </row>
    <row r="449" spans="1:10" x14ac:dyDescent="0.25">
      <c r="A449" s="1" t="str">
        <f ca="1">IF(A448="ID",1,IF(ISBLANK(B449),"",MAX(A$2:A448)+1))</f>
        <v/>
      </c>
      <c r="I449" s="2" t="str">
        <f ca="1">IF(ISNUMBER(A449),
IF(COUNTIFS(Equipar!B:B,5,Equipar!AC:AC,A449),"Equipada",
IF(
 OR( COUNTIFS(Equipar!B:B,5,Equipar!C:C,A449)
 +COUNTIFS(Equipar!B:B,5,Equipar!D:D,A449)
+COUNTIFS(Equipar!B:B,5,Equipar!E:E,A449)
+COUNTIFS(Equipar!B:B,5,Equipar!F:F,A449)
&gt;0,COUNTIF('Set recomendado'!B:B,C449)=0),
"Bloqueada",
"Desechable")),""
)</f>
        <v/>
      </c>
      <c r="J449" t="str" cm="1">
        <f t="array" aca="1" ref="J449" ca="1">IF(ISNUMBER(A449),IFERROR(_xlfn._xlws.FILTER(Equipar!A:A,(Equipar!B:B=5)*(Equipar!AC:AC=A449)),""),"")</f>
        <v/>
      </c>
    </row>
    <row r="450" spans="1:10" x14ac:dyDescent="0.25">
      <c r="A450" s="1" t="str">
        <f ca="1">IF(A449="ID",1,IF(ISBLANK(B450),"",MAX(A$2:A449)+1))</f>
        <v/>
      </c>
      <c r="I450" s="2" t="str">
        <f ca="1">IF(ISNUMBER(A450),
IF(COUNTIFS(Equipar!B:B,5,Equipar!AC:AC,A450),"Equipada",
IF(
 OR( COUNTIFS(Equipar!B:B,5,Equipar!C:C,A450)
 +COUNTIFS(Equipar!B:B,5,Equipar!D:D,A450)
+COUNTIFS(Equipar!B:B,5,Equipar!E:E,A450)
+COUNTIFS(Equipar!B:B,5,Equipar!F:F,A450)
&gt;0,COUNTIF('Set recomendado'!B:B,C450)=0),
"Bloqueada",
"Desechable")),""
)</f>
        <v/>
      </c>
      <c r="J450" t="str" cm="1">
        <f t="array" aca="1" ref="J450" ca="1">IF(ISNUMBER(A450),IFERROR(_xlfn._xlws.FILTER(Equipar!A:A,(Equipar!B:B=5)*(Equipar!AC:AC=A450)),""),"")</f>
        <v/>
      </c>
    </row>
    <row r="451" spans="1:10" x14ac:dyDescent="0.25">
      <c r="A451" s="1" t="str">
        <f ca="1">IF(A450="ID",1,IF(ISBLANK(B451),"",MAX(A$2:A450)+1))</f>
        <v/>
      </c>
      <c r="I451" s="2" t="str">
        <f ca="1">IF(ISNUMBER(A451),
IF(COUNTIFS(Equipar!B:B,5,Equipar!AC:AC,A451),"Equipada",
IF(
 OR( COUNTIFS(Equipar!B:B,5,Equipar!C:C,A451)
 +COUNTIFS(Equipar!B:B,5,Equipar!D:D,A451)
+COUNTIFS(Equipar!B:B,5,Equipar!E:E,A451)
+COUNTIFS(Equipar!B:B,5,Equipar!F:F,A451)
&gt;0,COUNTIF('Set recomendado'!B:B,C451)=0),
"Bloqueada",
"Desechable")),""
)</f>
        <v/>
      </c>
      <c r="J451" t="str" cm="1">
        <f t="array" aca="1" ref="J451" ca="1">IF(ISNUMBER(A451),IFERROR(_xlfn._xlws.FILTER(Equipar!A:A,(Equipar!B:B=5)*(Equipar!AC:AC=A451)),""),"")</f>
        <v/>
      </c>
    </row>
    <row r="452" spans="1:10" x14ac:dyDescent="0.25">
      <c r="A452" s="1" t="str">
        <f ca="1">IF(A451="ID",1,IF(ISBLANK(B452),"",MAX(A$2:A451)+1))</f>
        <v/>
      </c>
      <c r="I452" s="2" t="str">
        <f ca="1">IF(ISNUMBER(A452),
IF(COUNTIFS(Equipar!B:B,5,Equipar!AC:AC,A452),"Equipada",
IF(
 OR( COUNTIFS(Equipar!B:B,5,Equipar!C:C,A452)
 +COUNTIFS(Equipar!B:B,5,Equipar!D:D,A452)
+COUNTIFS(Equipar!B:B,5,Equipar!E:E,A452)
+COUNTIFS(Equipar!B:B,5,Equipar!F:F,A452)
&gt;0,COUNTIF('Set recomendado'!B:B,C452)=0),
"Bloqueada",
"Desechable")),""
)</f>
        <v/>
      </c>
      <c r="J452" t="str" cm="1">
        <f t="array" aca="1" ref="J452" ca="1">IF(ISNUMBER(A452),IFERROR(_xlfn._xlws.FILTER(Equipar!A:A,(Equipar!B:B=5)*(Equipar!AC:AC=A452)),""),"")</f>
        <v/>
      </c>
    </row>
    <row r="453" spans="1:10" x14ac:dyDescent="0.25">
      <c r="A453" s="1" t="str">
        <f ca="1">IF(A452="ID",1,IF(ISBLANK(B453),"",MAX(A$2:A452)+1))</f>
        <v/>
      </c>
      <c r="I453" s="2" t="str">
        <f ca="1">IF(ISNUMBER(A453),
IF(COUNTIFS(Equipar!B:B,5,Equipar!AC:AC,A453),"Equipada",
IF(
 OR( COUNTIFS(Equipar!B:B,5,Equipar!C:C,A453)
 +COUNTIFS(Equipar!B:B,5,Equipar!D:D,A453)
+COUNTIFS(Equipar!B:B,5,Equipar!E:E,A453)
+COUNTIFS(Equipar!B:B,5,Equipar!F:F,A453)
&gt;0,COUNTIF('Set recomendado'!B:B,C453)=0),
"Bloqueada",
"Desechable")),""
)</f>
        <v/>
      </c>
      <c r="J453" t="str" cm="1">
        <f t="array" aca="1" ref="J453" ca="1">IF(ISNUMBER(A453),IFERROR(_xlfn._xlws.FILTER(Equipar!A:A,(Equipar!B:B=5)*(Equipar!AC:AC=A453)),""),"")</f>
        <v/>
      </c>
    </row>
    <row r="454" spans="1:10" x14ac:dyDescent="0.25">
      <c r="A454" s="1" t="str">
        <f ca="1">IF(A453="ID",1,IF(ISBLANK(B454),"",MAX(A$2:A453)+1))</f>
        <v/>
      </c>
      <c r="I454" s="2" t="str">
        <f ca="1">IF(ISNUMBER(A454),
IF(COUNTIFS(Equipar!B:B,5,Equipar!AC:AC,A454),"Equipada",
IF(
 OR( COUNTIFS(Equipar!B:B,5,Equipar!C:C,A454)
 +COUNTIFS(Equipar!B:B,5,Equipar!D:D,A454)
+COUNTIFS(Equipar!B:B,5,Equipar!E:E,A454)
+COUNTIFS(Equipar!B:B,5,Equipar!F:F,A454)
&gt;0,COUNTIF('Set recomendado'!B:B,C454)=0),
"Bloqueada",
"Desechable")),""
)</f>
        <v/>
      </c>
      <c r="J454" t="str" cm="1">
        <f t="array" aca="1" ref="J454" ca="1">IF(ISNUMBER(A454),IFERROR(_xlfn._xlws.FILTER(Equipar!A:A,(Equipar!B:B=5)*(Equipar!AC:AC=A454)),""),"")</f>
        <v/>
      </c>
    </row>
    <row r="455" spans="1:10" x14ac:dyDescent="0.25">
      <c r="A455" s="1" t="str">
        <f ca="1">IF(A454="ID",1,IF(ISBLANK(B455),"",MAX(A$2:A454)+1))</f>
        <v/>
      </c>
      <c r="I455" s="2" t="str">
        <f ca="1">IF(ISNUMBER(A455),
IF(COUNTIFS(Equipar!B:B,5,Equipar!AC:AC,A455),"Equipada",
IF(
 OR( COUNTIFS(Equipar!B:B,5,Equipar!C:C,A455)
 +COUNTIFS(Equipar!B:B,5,Equipar!D:D,A455)
+COUNTIFS(Equipar!B:B,5,Equipar!E:E,A455)
+COUNTIFS(Equipar!B:B,5,Equipar!F:F,A455)
&gt;0,COUNTIF('Set recomendado'!B:B,C455)=0),
"Bloqueada",
"Desechable")),""
)</f>
        <v/>
      </c>
      <c r="J455" t="str" cm="1">
        <f t="array" aca="1" ref="J455" ca="1">IF(ISNUMBER(A455),IFERROR(_xlfn._xlws.FILTER(Equipar!A:A,(Equipar!B:B=5)*(Equipar!AC:AC=A455)),""),"")</f>
        <v/>
      </c>
    </row>
    <row r="456" spans="1:10" x14ac:dyDescent="0.25">
      <c r="A456" s="1" t="str">
        <f ca="1">IF(A455="ID",1,IF(ISBLANK(B456),"",MAX(A$2:A455)+1))</f>
        <v/>
      </c>
      <c r="I456" s="2" t="str">
        <f ca="1">IF(ISNUMBER(A456),
IF(COUNTIFS(Equipar!B:B,5,Equipar!AC:AC,A456),"Equipada",
IF(
 OR( COUNTIFS(Equipar!B:B,5,Equipar!C:C,A456)
 +COUNTIFS(Equipar!B:B,5,Equipar!D:D,A456)
+COUNTIFS(Equipar!B:B,5,Equipar!E:E,A456)
+COUNTIFS(Equipar!B:B,5,Equipar!F:F,A456)
&gt;0,COUNTIF('Set recomendado'!B:B,C456)=0),
"Bloqueada",
"Desechable")),""
)</f>
        <v/>
      </c>
      <c r="J456" t="str" cm="1">
        <f t="array" aca="1" ref="J456" ca="1">IF(ISNUMBER(A456),IFERROR(_xlfn._xlws.FILTER(Equipar!A:A,(Equipar!B:B=5)*(Equipar!AC:AC=A456)),""),"")</f>
        <v/>
      </c>
    </row>
    <row r="457" spans="1:10" x14ac:dyDescent="0.25">
      <c r="A457" s="1" t="str">
        <f ca="1">IF(A456="ID",1,IF(ISBLANK(B457),"",MAX(A$2:A456)+1))</f>
        <v/>
      </c>
      <c r="I457" s="2" t="str">
        <f ca="1">IF(ISNUMBER(A457),
IF(COUNTIFS(Equipar!B:B,5,Equipar!AC:AC,A457),"Equipada",
IF(
 OR( COUNTIFS(Equipar!B:B,5,Equipar!C:C,A457)
 +COUNTIFS(Equipar!B:B,5,Equipar!D:D,A457)
+COUNTIFS(Equipar!B:B,5,Equipar!E:E,A457)
+COUNTIFS(Equipar!B:B,5,Equipar!F:F,A457)
&gt;0,COUNTIF('Set recomendado'!B:B,C457)=0),
"Bloqueada",
"Desechable")),""
)</f>
        <v/>
      </c>
      <c r="J457" t="str" cm="1">
        <f t="array" aca="1" ref="J457" ca="1">IF(ISNUMBER(A457),IFERROR(_xlfn._xlws.FILTER(Equipar!A:A,(Equipar!B:B=5)*(Equipar!AC:AC=A457)),""),"")</f>
        <v/>
      </c>
    </row>
    <row r="458" spans="1:10" x14ac:dyDescent="0.25">
      <c r="A458" s="1" t="str">
        <f ca="1">IF(A457="ID",1,IF(ISBLANK(B458),"",MAX(A$2:A457)+1))</f>
        <v/>
      </c>
      <c r="I458" s="2" t="str">
        <f ca="1">IF(ISNUMBER(A458),
IF(COUNTIFS(Equipar!B:B,5,Equipar!AC:AC,A458),"Equipada",
IF(
 OR( COUNTIFS(Equipar!B:B,5,Equipar!C:C,A458)
 +COUNTIFS(Equipar!B:B,5,Equipar!D:D,A458)
+COUNTIFS(Equipar!B:B,5,Equipar!E:E,A458)
+COUNTIFS(Equipar!B:B,5,Equipar!F:F,A458)
&gt;0,COUNTIF('Set recomendado'!B:B,C458)=0),
"Bloqueada",
"Desechable")),""
)</f>
        <v/>
      </c>
      <c r="J458" t="str" cm="1">
        <f t="array" aca="1" ref="J458" ca="1">IF(ISNUMBER(A458),IFERROR(_xlfn._xlws.FILTER(Equipar!A:A,(Equipar!B:B=5)*(Equipar!AC:AC=A458)),""),"")</f>
        <v/>
      </c>
    </row>
    <row r="459" spans="1:10" x14ac:dyDescent="0.25">
      <c r="A459" s="1" t="str">
        <f ca="1">IF(A458="ID",1,IF(ISBLANK(B459),"",MAX(A$2:A458)+1))</f>
        <v/>
      </c>
      <c r="I459" s="2" t="str">
        <f ca="1">IF(ISNUMBER(A459),
IF(COUNTIFS(Equipar!B:B,5,Equipar!AC:AC,A459),"Equipada",
IF(
 OR( COUNTIFS(Equipar!B:B,5,Equipar!C:C,A459)
 +COUNTIFS(Equipar!B:B,5,Equipar!D:D,A459)
+COUNTIFS(Equipar!B:B,5,Equipar!E:E,A459)
+COUNTIFS(Equipar!B:B,5,Equipar!F:F,A459)
&gt;0,COUNTIF('Set recomendado'!B:B,C459)=0),
"Bloqueada",
"Desechable")),""
)</f>
        <v/>
      </c>
      <c r="J459" t="str" cm="1">
        <f t="array" aca="1" ref="J459" ca="1">IF(ISNUMBER(A459),IFERROR(_xlfn._xlws.FILTER(Equipar!A:A,(Equipar!B:B=5)*(Equipar!AC:AC=A459)),""),"")</f>
        <v/>
      </c>
    </row>
    <row r="460" spans="1:10" x14ac:dyDescent="0.25">
      <c r="A460" s="1" t="str">
        <f ca="1">IF(A459="ID",1,IF(ISBLANK(B460),"",MAX(A$2:A459)+1))</f>
        <v/>
      </c>
      <c r="I460" s="2" t="str">
        <f ca="1">IF(ISNUMBER(A460),
IF(COUNTIFS(Equipar!B:B,5,Equipar!AC:AC,A460),"Equipada",
IF(
 OR( COUNTIFS(Equipar!B:B,5,Equipar!C:C,A460)
 +COUNTIFS(Equipar!B:B,5,Equipar!D:D,A460)
+COUNTIFS(Equipar!B:B,5,Equipar!E:E,A460)
+COUNTIFS(Equipar!B:B,5,Equipar!F:F,A460)
&gt;0,COUNTIF('Set recomendado'!B:B,C460)=0),
"Bloqueada",
"Desechable")),""
)</f>
        <v/>
      </c>
      <c r="J460" t="str" cm="1">
        <f t="array" aca="1" ref="J460" ca="1">IF(ISNUMBER(A460),IFERROR(_xlfn._xlws.FILTER(Equipar!A:A,(Equipar!B:B=5)*(Equipar!AC:AC=A460)),""),"")</f>
        <v/>
      </c>
    </row>
    <row r="461" spans="1:10" x14ac:dyDescent="0.25">
      <c r="A461" s="1" t="str">
        <f ca="1">IF(A460="ID",1,IF(ISBLANK(B461),"",MAX(A$2:A460)+1))</f>
        <v/>
      </c>
      <c r="I461" s="2" t="str">
        <f ca="1">IF(ISNUMBER(A461),
IF(COUNTIFS(Equipar!B:B,5,Equipar!AC:AC,A461),"Equipada",
IF(
 OR( COUNTIFS(Equipar!B:B,5,Equipar!C:C,A461)
 +COUNTIFS(Equipar!B:B,5,Equipar!D:D,A461)
+COUNTIFS(Equipar!B:B,5,Equipar!E:E,A461)
+COUNTIFS(Equipar!B:B,5,Equipar!F:F,A461)
&gt;0,COUNTIF('Set recomendado'!B:B,C461)=0),
"Bloqueada",
"Desechable")),""
)</f>
        <v/>
      </c>
      <c r="J461" t="str" cm="1">
        <f t="array" aca="1" ref="J461" ca="1">IF(ISNUMBER(A461),IFERROR(_xlfn._xlws.FILTER(Equipar!A:A,(Equipar!B:B=5)*(Equipar!AC:AC=A461)),""),"")</f>
        <v/>
      </c>
    </row>
    <row r="462" spans="1:10" x14ac:dyDescent="0.25">
      <c r="A462" s="1" t="str">
        <f ca="1">IF(A461="ID",1,IF(ISBLANK(B462),"",MAX(A$2:A461)+1))</f>
        <v/>
      </c>
      <c r="I462" s="2" t="str">
        <f ca="1">IF(ISNUMBER(A462),
IF(COUNTIFS(Equipar!B:B,5,Equipar!AC:AC,A462),"Equipada",
IF(
 OR( COUNTIFS(Equipar!B:B,5,Equipar!C:C,A462)
 +COUNTIFS(Equipar!B:B,5,Equipar!D:D,A462)
+COUNTIFS(Equipar!B:B,5,Equipar!E:E,A462)
+COUNTIFS(Equipar!B:B,5,Equipar!F:F,A462)
&gt;0,COUNTIF('Set recomendado'!B:B,C462)=0),
"Bloqueada",
"Desechable")),""
)</f>
        <v/>
      </c>
      <c r="J462" t="str" cm="1">
        <f t="array" aca="1" ref="J462" ca="1">IF(ISNUMBER(A462),IFERROR(_xlfn._xlws.FILTER(Equipar!A:A,(Equipar!B:B=5)*(Equipar!AC:AC=A462)),""),"")</f>
        <v/>
      </c>
    </row>
    <row r="463" spans="1:10" x14ac:dyDescent="0.25">
      <c r="A463" s="1" t="str">
        <f ca="1">IF(A462="ID",1,IF(ISBLANK(B463),"",MAX(A$2:A462)+1))</f>
        <v/>
      </c>
      <c r="I463" s="2" t="str">
        <f ca="1">IF(ISNUMBER(A463),
IF(COUNTIFS(Equipar!B:B,5,Equipar!AC:AC,A463),"Equipada",
IF(
 OR( COUNTIFS(Equipar!B:B,5,Equipar!C:C,A463)
 +COUNTIFS(Equipar!B:B,5,Equipar!D:D,A463)
+COUNTIFS(Equipar!B:B,5,Equipar!E:E,A463)
+COUNTIFS(Equipar!B:B,5,Equipar!F:F,A463)
&gt;0,COUNTIF('Set recomendado'!B:B,C463)=0),
"Bloqueada",
"Desechable")),""
)</f>
        <v/>
      </c>
      <c r="J463" t="str" cm="1">
        <f t="array" aca="1" ref="J463" ca="1">IF(ISNUMBER(A463),IFERROR(_xlfn._xlws.FILTER(Equipar!A:A,(Equipar!B:B=5)*(Equipar!AC:AC=A463)),""),"")</f>
        <v/>
      </c>
    </row>
    <row r="464" spans="1:10" x14ac:dyDescent="0.25">
      <c r="A464" s="1" t="str">
        <f ca="1">IF(A463="ID",1,IF(ISBLANK(B464),"",MAX(A$2:A463)+1))</f>
        <v/>
      </c>
      <c r="I464" s="2" t="str">
        <f ca="1">IF(ISNUMBER(A464),
IF(COUNTIFS(Equipar!B:B,5,Equipar!AC:AC,A464),"Equipada",
IF(
 OR( COUNTIFS(Equipar!B:B,5,Equipar!C:C,A464)
 +COUNTIFS(Equipar!B:B,5,Equipar!D:D,A464)
+COUNTIFS(Equipar!B:B,5,Equipar!E:E,A464)
+COUNTIFS(Equipar!B:B,5,Equipar!F:F,A464)
&gt;0,COUNTIF('Set recomendado'!B:B,C464)=0),
"Bloqueada",
"Desechable")),""
)</f>
        <v/>
      </c>
      <c r="J464" t="str" cm="1">
        <f t="array" aca="1" ref="J464" ca="1">IF(ISNUMBER(A464),IFERROR(_xlfn._xlws.FILTER(Equipar!A:A,(Equipar!B:B=5)*(Equipar!AC:AC=A464)),""),"")</f>
        <v/>
      </c>
    </row>
    <row r="465" spans="1:10" x14ac:dyDescent="0.25">
      <c r="A465" s="1" t="str">
        <f ca="1">IF(A464="ID",1,IF(ISBLANK(B465),"",MAX(A$2:A464)+1))</f>
        <v/>
      </c>
      <c r="I465" s="2" t="str">
        <f ca="1">IF(ISNUMBER(A465),
IF(COUNTIFS(Equipar!B:B,5,Equipar!AC:AC,A465),"Equipada",
IF(
 OR( COUNTIFS(Equipar!B:B,5,Equipar!C:C,A465)
 +COUNTIFS(Equipar!B:B,5,Equipar!D:D,A465)
+COUNTIFS(Equipar!B:B,5,Equipar!E:E,A465)
+COUNTIFS(Equipar!B:B,5,Equipar!F:F,A465)
&gt;0,COUNTIF('Set recomendado'!B:B,C465)=0),
"Bloqueada",
"Desechable")),""
)</f>
        <v/>
      </c>
      <c r="J465" t="str" cm="1">
        <f t="array" aca="1" ref="J465" ca="1">IF(ISNUMBER(A465),IFERROR(_xlfn._xlws.FILTER(Equipar!A:A,(Equipar!B:B=5)*(Equipar!AC:AC=A465)),""),"")</f>
        <v/>
      </c>
    </row>
    <row r="466" spans="1:10" x14ac:dyDescent="0.25">
      <c r="A466" s="1" t="str">
        <f ca="1">IF(A465="ID",1,IF(ISBLANK(B466),"",MAX(A$2:A465)+1))</f>
        <v/>
      </c>
      <c r="I466" s="2" t="str">
        <f ca="1">IF(ISNUMBER(A466),
IF(COUNTIFS(Equipar!B:B,5,Equipar!AC:AC,A466),"Equipada",
IF(
 OR( COUNTIFS(Equipar!B:B,5,Equipar!C:C,A466)
 +COUNTIFS(Equipar!B:B,5,Equipar!D:D,A466)
+COUNTIFS(Equipar!B:B,5,Equipar!E:E,A466)
+COUNTIFS(Equipar!B:B,5,Equipar!F:F,A466)
&gt;0,COUNTIF('Set recomendado'!B:B,C466)=0),
"Bloqueada",
"Desechable")),""
)</f>
        <v/>
      </c>
      <c r="J466" t="str" cm="1">
        <f t="array" aca="1" ref="J466" ca="1">IF(ISNUMBER(A466),IFERROR(_xlfn._xlws.FILTER(Equipar!A:A,(Equipar!B:B=5)*(Equipar!AC:AC=A466)),""),"")</f>
        <v/>
      </c>
    </row>
    <row r="467" spans="1:10" x14ac:dyDescent="0.25">
      <c r="A467" s="1" t="str">
        <f ca="1">IF(A466="ID",1,IF(ISBLANK(B467),"",MAX(A$2:A466)+1))</f>
        <v/>
      </c>
      <c r="I467" s="2" t="str">
        <f ca="1">IF(ISNUMBER(A467),
IF(COUNTIFS(Equipar!B:B,5,Equipar!AC:AC,A467),"Equipada",
IF(
 OR( COUNTIFS(Equipar!B:B,5,Equipar!C:C,A467)
 +COUNTIFS(Equipar!B:B,5,Equipar!D:D,A467)
+COUNTIFS(Equipar!B:B,5,Equipar!E:E,A467)
+COUNTIFS(Equipar!B:B,5,Equipar!F:F,A467)
&gt;0,COUNTIF('Set recomendado'!B:B,C467)=0),
"Bloqueada",
"Desechable")),""
)</f>
        <v/>
      </c>
      <c r="J467" t="str" cm="1">
        <f t="array" aca="1" ref="J467" ca="1">IF(ISNUMBER(A467),IFERROR(_xlfn._xlws.FILTER(Equipar!A:A,(Equipar!B:B=5)*(Equipar!AC:AC=A467)),""),"")</f>
        <v/>
      </c>
    </row>
    <row r="468" spans="1:10" x14ac:dyDescent="0.25">
      <c r="A468" s="1" t="str">
        <f ca="1">IF(A467="ID",1,IF(ISBLANK(B468),"",MAX(A$2:A467)+1))</f>
        <v/>
      </c>
      <c r="I468" s="2" t="str">
        <f ca="1">IF(ISNUMBER(A468),
IF(COUNTIFS(Equipar!B:B,5,Equipar!AC:AC,A468),"Equipada",
IF(
 OR( COUNTIFS(Equipar!B:B,5,Equipar!C:C,A468)
 +COUNTIFS(Equipar!B:B,5,Equipar!D:D,A468)
+COUNTIFS(Equipar!B:B,5,Equipar!E:E,A468)
+COUNTIFS(Equipar!B:B,5,Equipar!F:F,A468)
&gt;0,COUNTIF('Set recomendado'!B:B,C468)=0),
"Bloqueada",
"Desechable")),""
)</f>
        <v/>
      </c>
      <c r="J468" t="str" cm="1">
        <f t="array" aca="1" ref="J468" ca="1">IF(ISNUMBER(A468),IFERROR(_xlfn._xlws.FILTER(Equipar!A:A,(Equipar!B:B=5)*(Equipar!AC:AC=A468)),""),"")</f>
        <v/>
      </c>
    </row>
    <row r="469" spans="1:10" x14ac:dyDescent="0.25">
      <c r="A469" s="1" t="str">
        <f ca="1">IF(A468="ID",1,IF(ISBLANK(B469),"",MAX(A$2:A468)+1))</f>
        <v/>
      </c>
      <c r="I469" s="2" t="str">
        <f ca="1">IF(ISNUMBER(A469),
IF(COUNTIFS(Equipar!B:B,5,Equipar!AC:AC,A469),"Equipada",
IF(
 OR( COUNTIFS(Equipar!B:B,5,Equipar!C:C,A469)
 +COUNTIFS(Equipar!B:B,5,Equipar!D:D,A469)
+COUNTIFS(Equipar!B:B,5,Equipar!E:E,A469)
+COUNTIFS(Equipar!B:B,5,Equipar!F:F,A469)
&gt;0,COUNTIF('Set recomendado'!B:B,C469)=0),
"Bloqueada",
"Desechable")),""
)</f>
        <v/>
      </c>
      <c r="J469" t="str" cm="1">
        <f t="array" aca="1" ref="J469" ca="1">IF(ISNUMBER(A469),IFERROR(_xlfn._xlws.FILTER(Equipar!A:A,(Equipar!B:B=5)*(Equipar!AC:AC=A469)),""),"")</f>
        <v/>
      </c>
    </row>
    <row r="470" spans="1:10" x14ac:dyDescent="0.25">
      <c r="A470" s="1" t="str">
        <f ca="1">IF(A469="ID",1,IF(ISBLANK(B470),"",MAX(A$2:A469)+1))</f>
        <v/>
      </c>
      <c r="I470" s="2" t="str">
        <f ca="1">IF(ISNUMBER(A470),
IF(COUNTIFS(Equipar!B:B,5,Equipar!AC:AC,A470),"Equipada",
IF(
 OR( COUNTIFS(Equipar!B:B,5,Equipar!C:C,A470)
 +COUNTIFS(Equipar!B:B,5,Equipar!D:D,A470)
+COUNTIFS(Equipar!B:B,5,Equipar!E:E,A470)
+COUNTIFS(Equipar!B:B,5,Equipar!F:F,A470)
&gt;0,COUNTIF('Set recomendado'!B:B,C470)=0),
"Bloqueada",
"Desechable")),""
)</f>
        <v/>
      </c>
      <c r="J470" t="str" cm="1">
        <f t="array" aca="1" ref="J470" ca="1">IF(ISNUMBER(A470),IFERROR(_xlfn._xlws.FILTER(Equipar!A:A,(Equipar!B:B=5)*(Equipar!AC:AC=A470)),""),"")</f>
        <v/>
      </c>
    </row>
    <row r="471" spans="1:10" x14ac:dyDescent="0.25">
      <c r="A471" s="1" t="str">
        <f ca="1">IF(A470="ID",1,IF(ISBLANK(B471),"",MAX(A$2:A470)+1))</f>
        <v/>
      </c>
      <c r="I471" s="2" t="str">
        <f ca="1">IF(ISNUMBER(A471),
IF(COUNTIFS(Equipar!B:B,5,Equipar!AC:AC,A471),"Equipada",
IF(
 OR( COUNTIFS(Equipar!B:B,5,Equipar!C:C,A471)
 +COUNTIFS(Equipar!B:B,5,Equipar!D:D,A471)
+COUNTIFS(Equipar!B:B,5,Equipar!E:E,A471)
+COUNTIFS(Equipar!B:B,5,Equipar!F:F,A471)
&gt;0,COUNTIF('Set recomendado'!B:B,C471)=0),
"Bloqueada",
"Desechable")),""
)</f>
        <v/>
      </c>
      <c r="J471" t="str" cm="1">
        <f t="array" aca="1" ref="J471" ca="1">IF(ISNUMBER(A471),IFERROR(_xlfn._xlws.FILTER(Equipar!A:A,(Equipar!B:B=5)*(Equipar!AC:AC=A471)),""),"")</f>
        <v/>
      </c>
    </row>
    <row r="472" spans="1:10" x14ac:dyDescent="0.25">
      <c r="A472" s="1" t="str">
        <f ca="1">IF(A471="ID",1,IF(ISBLANK(B472),"",MAX(A$2:A471)+1))</f>
        <v/>
      </c>
      <c r="I472" s="2" t="str">
        <f ca="1">IF(ISNUMBER(A472),
IF(COUNTIFS(Equipar!B:B,5,Equipar!AC:AC,A472),"Equipada",
IF(
 OR( COUNTIFS(Equipar!B:B,5,Equipar!C:C,A472)
 +COUNTIFS(Equipar!B:B,5,Equipar!D:D,A472)
+COUNTIFS(Equipar!B:B,5,Equipar!E:E,A472)
+COUNTIFS(Equipar!B:B,5,Equipar!F:F,A472)
&gt;0,COUNTIF('Set recomendado'!B:B,C472)=0),
"Bloqueada",
"Desechable")),""
)</f>
        <v/>
      </c>
      <c r="J472" t="str" cm="1">
        <f t="array" aca="1" ref="J472" ca="1">IF(ISNUMBER(A472),IFERROR(_xlfn._xlws.FILTER(Equipar!A:A,(Equipar!B:B=5)*(Equipar!AC:AC=A472)),""),"")</f>
        <v/>
      </c>
    </row>
    <row r="473" spans="1:10" x14ac:dyDescent="0.25">
      <c r="A473" s="1" t="str">
        <f ca="1">IF(A472="ID",1,IF(ISBLANK(B473),"",MAX(A$2:A472)+1))</f>
        <v/>
      </c>
      <c r="I473" s="2" t="str">
        <f ca="1">IF(ISNUMBER(A473),
IF(COUNTIFS(Equipar!B:B,5,Equipar!AC:AC,A473),"Equipada",
IF(
 OR( COUNTIFS(Equipar!B:B,5,Equipar!C:C,A473)
 +COUNTIFS(Equipar!B:B,5,Equipar!D:D,A473)
+COUNTIFS(Equipar!B:B,5,Equipar!E:E,A473)
+COUNTIFS(Equipar!B:B,5,Equipar!F:F,A473)
&gt;0,COUNTIF('Set recomendado'!B:B,C473)=0),
"Bloqueada",
"Desechable")),""
)</f>
        <v/>
      </c>
      <c r="J473" t="str" cm="1">
        <f t="array" aca="1" ref="J473" ca="1">IF(ISNUMBER(A473),IFERROR(_xlfn._xlws.FILTER(Equipar!A:A,(Equipar!B:B=5)*(Equipar!AC:AC=A473)),""),"")</f>
        <v/>
      </c>
    </row>
    <row r="474" spans="1:10" x14ac:dyDescent="0.25">
      <c r="A474" s="1" t="str">
        <f ca="1">IF(A473="ID",1,IF(ISBLANK(B474),"",MAX(A$2:A473)+1))</f>
        <v/>
      </c>
      <c r="I474" s="2" t="str">
        <f ca="1">IF(ISNUMBER(A474),
IF(COUNTIFS(Equipar!B:B,5,Equipar!AC:AC,A474),"Equipada",
IF(
 OR( COUNTIFS(Equipar!B:B,5,Equipar!C:C,A474)
 +COUNTIFS(Equipar!B:B,5,Equipar!D:D,A474)
+COUNTIFS(Equipar!B:B,5,Equipar!E:E,A474)
+COUNTIFS(Equipar!B:B,5,Equipar!F:F,A474)
&gt;0,COUNTIF('Set recomendado'!B:B,C474)=0),
"Bloqueada",
"Desechable")),""
)</f>
        <v/>
      </c>
      <c r="J474" t="str" cm="1">
        <f t="array" aca="1" ref="J474" ca="1">IF(ISNUMBER(A474),IFERROR(_xlfn._xlws.FILTER(Equipar!A:A,(Equipar!B:B=5)*(Equipar!AC:AC=A474)),""),"")</f>
        <v/>
      </c>
    </row>
    <row r="475" spans="1:10" x14ac:dyDescent="0.25">
      <c r="A475" s="1" t="str">
        <f ca="1">IF(A474="ID",1,IF(ISBLANK(B475),"",MAX(A$2:A474)+1))</f>
        <v/>
      </c>
      <c r="I475" s="2" t="str">
        <f ca="1">IF(ISNUMBER(A475),
IF(COUNTIFS(Equipar!B:B,5,Equipar!AC:AC,A475),"Equipada",
IF(
 OR( COUNTIFS(Equipar!B:B,5,Equipar!C:C,A475)
 +COUNTIFS(Equipar!B:B,5,Equipar!D:D,A475)
+COUNTIFS(Equipar!B:B,5,Equipar!E:E,A475)
+COUNTIFS(Equipar!B:B,5,Equipar!F:F,A475)
&gt;0,COUNTIF('Set recomendado'!B:B,C475)=0),
"Bloqueada",
"Desechable")),""
)</f>
        <v/>
      </c>
      <c r="J475" t="str" cm="1">
        <f t="array" aca="1" ref="J475" ca="1">IF(ISNUMBER(A475),IFERROR(_xlfn._xlws.FILTER(Equipar!A:A,(Equipar!B:B=5)*(Equipar!AC:AC=A475)),""),"")</f>
        <v/>
      </c>
    </row>
    <row r="476" spans="1:10" x14ac:dyDescent="0.25">
      <c r="A476" s="1" t="str">
        <f ca="1">IF(A475="ID",1,IF(ISBLANK(B476),"",MAX(A$2:A475)+1))</f>
        <v/>
      </c>
      <c r="I476" s="2" t="str">
        <f ca="1">IF(ISNUMBER(A476),
IF(COUNTIFS(Equipar!B:B,5,Equipar!AC:AC,A476),"Equipada",
IF(
 OR( COUNTIFS(Equipar!B:B,5,Equipar!C:C,A476)
 +COUNTIFS(Equipar!B:B,5,Equipar!D:D,A476)
+COUNTIFS(Equipar!B:B,5,Equipar!E:E,A476)
+COUNTIFS(Equipar!B:B,5,Equipar!F:F,A476)
&gt;0,COUNTIF('Set recomendado'!B:B,C476)=0),
"Bloqueada",
"Desechable")),""
)</f>
        <v/>
      </c>
      <c r="J476" t="str" cm="1">
        <f t="array" aca="1" ref="J476" ca="1">IF(ISNUMBER(A476),IFERROR(_xlfn._xlws.FILTER(Equipar!A:A,(Equipar!B:B=5)*(Equipar!AC:AC=A476)),""),"")</f>
        <v/>
      </c>
    </row>
    <row r="477" spans="1:10" x14ac:dyDescent="0.25">
      <c r="A477" s="1" t="str">
        <f ca="1">IF(A476="ID",1,IF(ISBLANK(B477),"",MAX(A$2:A476)+1))</f>
        <v/>
      </c>
      <c r="I477" s="2" t="str">
        <f ca="1">IF(ISNUMBER(A477),
IF(COUNTIFS(Equipar!B:B,5,Equipar!AC:AC,A477),"Equipada",
IF(
 OR( COUNTIFS(Equipar!B:B,5,Equipar!C:C,A477)
 +COUNTIFS(Equipar!B:B,5,Equipar!D:D,A477)
+COUNTIFS(Equipar!B:B,5,Equipar!E:E,A477)
+COUNTIFS(Equipar!B:B,5,Equipar!F:F,A477)
&gt;0,COUNTIF('Set recomendado'!B:B,C477)=0),
"Bloqueada",
"Desechable")),""
)</f>
        <v/>
      </c>
      <c r="J477" t="str" cm="1">
        <f t="array" aca="1" ref="J477" ca="1">IF(ISNUMBER(A477),IFERROR(_xlfn._xlws.FILTER(Equipar!A:A,(Equipar!B:B=5)*(Equipar!AC:AC=A477)),""),"")</f>
        <v/>
      </c>
    </row>
    <row r="478" spans="1:10" x14ac:dyDescent="0.25">
      <c r="A478" s="1" t="str">
        <f ca="1">IF(A477="ID",1,IF(ISBLANK(B478),"",MAX(A$2:A477)+1))</f>
        <v/>
      </c>
      <c r="I478" s="2" t="str">
        <f ca="1">IF(ISNUMBER(A478),
IF(COUNTIFS(Equipar!B:B,5,Equipar!AC:AC,A478),"Equipada",
IF(
 OR( COUNTIFS(Equipar!B:B,5,Equipar!C:C,A478)
 +COUNTIFS(Equipar!B:B,5,Equipar!D:D,A478)
+COUNTIFS(Equipar!B:B,5,Equipar!E:E,A478)
+COUNTIFS(Equipar!B:B,5,Equipar!F:F,A478)
&gt;0,COUNTIF('Set recomendado'!B:B,C478)=0),
"Bloqueada",
"Desechable")),""
)</f>
        <v/>
      </c>
      <c r="J478" t="str" cm="1">
        <f t="array" aca="1" ref="J478" ca="1">IF(ISNUMBER(A478),IFERROR(_xlfn._xlws.FILTER(Equipar!A:A,(Equipar!B:B=5)*(Equipar!AC:AC=A478)),""),"")</f>
        <v/>
      </c>
    </row>
    <row r="479" spans="1:10" x14ac:dyDescent="0.25">
      <c r="A479" s="1" t="str">
        <f ca="1">IF(A478="ID",1,IF(ISBLANK(B479),"",MAX(A$2:A478)+1))</f>
        <v/>
      </c>
      <c r="I479" s="2" t="str">
        <f ca="1">IF(ISNUMBER(A479),
IF(COUNTIFS(Equipar!B:B,5,Equipar!AC:AC,A479),"Equipada",
IF(
 OR( COUNTIFS(Equipar!B:B,5,Equipar!C:C,A479)
 +COUNTIFS(Equipar!B:B,5,Equipar!D:D,A479)
+COUNTIFS(Equipar!B:B,5,Equipar!E:E,A479)
+COUNTIFS(Equipar!B:B,5,Equipar!F:F,A479)
&gt;0,COUNTIF('Set recomendado'!B:B,C479)=0),
"Bloqueada",
"Desechable")),""
)</f>
        <v/>
      </c>
      <c r="J479" t="str" cm="1">
        <f t="array" aca="1" ref="J479" ca="1">IF(ISNUMBER(A479),IFERROR(_xlfn._xlws.FILTER(Equipar!A:A,(Equipar!B:B=5)*(Equipar!AC:AC=A479)),""),"")</f>
        <v/>
      </c>
    </row>
    <row r="480" spans="1:10" x14ac:dyDescent="0.25">
      <c r="A480" s="1" t="str">
        <f ca="1">IF(A479="ID",1,IF(ISBLANK(B480),"",MAX(A$2:A479)+1))</f>
        <v/>
      </c>
      <c r="I480" s="2" t="str">
        <f ca="1">IF(ISNUMBER(A480),
IF(COUNTIFS(Equipar!B:B,5,Equipar!AC:AC,A480),"Equipada",
IF(
 OR( COUNTIFS(Equipar!B:B,5,Equipar!C:C,A480)
 +COUNTIFS(Equipar!B:B,5,Equipar!D:D,A480)
+COUNTIFS(Equipar!B:B,5,Equipar!E:E,A480)
+COUNTIFS(Equipar!B:B,5,Equipar!F:F,A480)
&gt;0,COUNTIF('Set recomendado'!B:B,C480)=0),
"Bloqueada",
"Desechable")),""
)</f>
        <v/>
      </c>
      <c r="J480" t="str" cm="1">
        <f t="array" aca="1" ref="J480" ca="1">IF(ISNUMBER(A480),IFERROR(_xlfn._xlws.FILTER(Equipar!A:A,(Equipar!B:B=5)*(Equipar!AC:AC=A480)),""),"")</f>
        <v/>
      </c>
    </row>
    <row r="481" spans="1:10" x14ac:dyDescent="0.25">
      <c r="A481" s="1" t="str">
        <f ca="1">IF(A480="ID",1,IF(ISBLANK(B481),"",MAX(A$2:A480)+1))</f>
        <v/>
      </c>
      <c r="I481" s="2" t="str">
        <f ca="1">IF(ISNUMBER(A481),
IF(COUNTIFS(Equipar!B:B,5,Equipar!AC:AC,A481),"Equipada",
IF(
 OR( COUNTIFS(Equipar!B:B,5,Equipar!C:C,A481)
 +COUNTIFS(Equipar!B:B,5,Equipar!D:D,A481)
+COUNTIFS(Equipar!B:B,5,Equipar!E:E,A481)
+COUNTIFS(Equipar!B:B,5,Equipar!F:F,A481)
&gt;0,COUNTIF('Set recomendado'!B:B,C481)=0),
"Bloqueada",
"Desechable")),""
)</f>
        <v/>
      </c>
      <c r="J481" t="str" cm="1">
        <f t="array" aca="1" ref="J481" ca="1">IF(ISNUMBER(A481),IFERROR(_xlfn._xlws.FILTER(Equipar!A:A,(Equipar!B:B=5)*(Equipar!AC:AC=A481)),""),"")</f>
        <v/>
      </c>
    </row>
    <row r="482" spans="1:10" x14ac:dyDescent="0.25">
      <c r="A482" s="1" t="str">
        <f ca="1">IF(A481="ID",1,IF(ISBLANK(B482),"",MAX(A$2:A481)+1))</f>
        <v/>
      </c>
      <c r="I482" s="2" t="str">
        <f ca="1">IF(ISNUMBER(A482),
IF(COUNTIFS(Equipar!B:B,5,Equipar!AC:AC,A482),"Equipada",
IF(
 OR( COUNTIFS(Equipar!B:B,5,Equipar!C:C,A482)
 +COUNTIFS(Equipar!B:B,5,Equipar!D:D,A482)
+COUNTIFS(Equipar!B:B,5,Equipar!E:E,A482)
+COUNTIFS(Equipar!B:B,5,Equipar!F:F,A482)
&gt;0,COUNTIF('Set recomendado'!B:B,C482)=0),
"Bloqueada",
"Desechable")),""
)</f>
        <v/>
      </c>
      <c r="J482" t="str" cm="1">
        <f t="array" aca="1" ref="J482" ca="1">IF(ISNUMBER(A482),IFERROR(_xlfn._xlws.FILTER(Equipar!A:A,(Equipar!B:B=5)*(Equipar!AC:AC=A482)),""),"")</f>
        <v/>
      </c>
    </row>
    <row r="483" spans="1:10" x14ac:dyDescent="0.25">
      <c r="A483" s="1" t="str">
        <f ca="1">IF(A482="ID",1,IF(ISBLANK(B483),"",MAX(A$2:A482)+1))</f>
        <v/>
      </c>
      <c r="I483" s="2" t="str">
        <f ca="1">IF(ISNUMBER(A483),
IF(COUNTIFS(Equipar!B:B,5,Equipar!AC:AC,A483),"Equipada",
IF(
 OR( COUNTIFS(Equipar!B:B,5,Equipar!C:C,A483)
 +COUNTIFS(Equipar!B:B,5,Equipar!D:D,A483)
+COUNTIFS(Equipar!B:B,5,Equipar!E:E,A483)
+COUNTIFS(Equipar!B:B,5,Equipar!F:F,A483)
&gt;0,COUNTIF('Set recomendado'!B:B,C483)=0),
"Bloqueada",
"Desechable")),""
)</f>
        <v/>
      </c>
      <c r="J483" t="str" cm="1">
        <f t="array" aca="1" ref="J483" ca="1">IF(ISNUMBER(A483),IFERROR(_xlfn._xlws.FILTER(Equipar!A:A,(Equipar!B:B=5)*(Equipar!AC:AC=A483)),""),"")</f>
        <v/>
      </c>
    </row>
    <row r="484" spans="1:10" x14ac:dyDescent="0.25">
      <c r="A484" s="1" t="str">
        <f ca="1">IF(A483="ID",1,IF(ISBLANK(B484),"",MAX(A$2:A483)+1))</f>
        <v/>
      </c>
      <c r="I484" s="2" t="str">
        <f ca="1">IF(ISNUMBER(A484),
IF(COUNTIFS(Equipar!B:B,5,Equipar!AC:AC,A484),"Equipada",
IF(
 OR( COUNTIFS(Equipar!B:B,5,Equipar!C:C,A484)
 +COUNTIFS(Equipar!B:B,5,Equipar!D:D,A484)
+COUNTIFS(Equipar!B:B,5,Equipar!E:E,A484)
+COUNTIFS(Equipar!B:B,5,Equipar!F:F,A484)
&gt;0,COUNTIF('Set recomendado'!B:B,C484)=0),
"Bloqueada",
"Desechable")),""
)</f>
        <v/>
      </c>
      <c r="J484" t="str" cm="1">
        <f t="array" aca="1" ref="J484" ca="1">IF(ISNUMBER(A484),IFERROR(_xlfn._xlws.FILTER(Equipar!A:A,(Equipar!B:B=5)*(Equipar!AC:AC=A484)),""),"")</f>
        <v/>
      </c>
    </row>
    <row r="485" spans="1:10" x14ac:dyDescent="0.25">
      <c r="A485" s="1" t="str">
        <f ca="1">IF(A484="ID",1,IF(ISBLANK(B485),"",MAX(A$2:A484)+1))</f>
        <v/>
      </c>
      <c r="I485" s="2" t="str">
        <f ca="1">IF(ISNUMBER(A485),
IF(COUNTIFS(Equipar!B:B,5,Equipar!AC:AC,A485),"Equipada",
IF(
 OR( COUNTIFS(Equipar!B:B,5,Equipar!C:C,A485)
 +COUNTIFS(Equipar!B:B,5,Equipar!D:D,A485)
+COUNTIFS(Equipar!B:B,5,Equipar!E:E,A485)
+COUNTIFS(Equipar!B:B,5,Equipar!F:F,A485)
&gt;0,COUNTIF('Set recomendado'!B:B,C485)=0),
"Bloqueada",
"Desechable")),""
)</f>
        <v/>
      </c>
      <c r="J485" t="str" cm="1">
        <f t="array" aca="1" ref="J485" ca="1">IF(ISNUMBER(A485),IFERROR(_xlfn._xlws.FILTER(Equipar!A:A,(Equipar!B:B=5)*(Equipar!AC:AC=A485)),""),"")</f>
        <v/>
      </c>
    </row>
    <row r="486" spans="1:10" x14ac:dyDescent="0.25">
      <c r="A486" s="1" t="str">
        <f ca="1">IF(A485="ID",1,IF(ISBLANK(B486),"",MAX(A$2:A485)+1))</f>
        <v/>
      </c>
      <c r="I486" s="2" t="str">
        <f ca="1">IF(ISNUMBER(A486),
IF(COUNTIFS(Equipar!B:B,5,Equipar!AC:AC,A486),"Equipada",
IF(
 OR( COUNTIFS(Equipar!B:B,5,Equipar!C:C,A486)
 +COUNTIFS(Equipar!B:B,5,Equipar!D:D,A486)
+COUNTIFS(Equipar!B:B,5,Equipar!E:E,A486)
+COUNTIFS(Equipar!B:B,5,Equipar!F:F,A486)
&gt;0,COUNTIF('Set recomendado'!B:B,C486)=0),
"Bloqueada",
"Desechable")),""
)</f>
        <v/>
      </c>
      <c r="J486" t="str" cm="1">
        <f t="array" aca="1" ref="J486" ca="1">IF(ISNUMBER(A486),IFERROR(_xlfn._xlws.FILTER(Equipar!A:A,(Equipar!B:B=5)*(Equipar!AC:AC=A486)),""),"")</f>
        <v/>
      </c>
    </row>
    <row r="487" spans="1:10" x14ac:dyDescent="0.25">
      <c r="A487" s="1" t="str">
        <f ca="1">IF(A486="ID",1,IF(ISBLANK(B487),"",MAX(A$2:A486)+1))</f>
        <v/>
      </c>
      <c r="I487" s="2" t="str">
        <f ca="1">IF(ISNUMBER(A487),
IF(COUNTIFS(Equipar!B:B,5,Equipar!AC:AC,A487),"Equipada",
IF(
 OR( COUNTIFS(Equipar!B:B,5,Equipar!C:C,A487)
 +COUNTIFS(Equipar!B:B,5,Equipar!D:D,A487)
+COUNTIFS(Equipar!B:B,5,Equipar!E:E,A487)
+COUNTIFS(Equipar!B:B,5,Equipar!F:F,A487)
&gt;0,COUNTIF('Set recomendado'!B:B,C487)=0),
"Bloqueada",
"Desechable")),""
)</f>
        <v/>
      </c>
      <c r="J487" t="str" cm="1">
        <f t="array" aca="1" ref="J487" ca="1">IF(ISNUMBER(A487),IFERROR(_xlfn._xlws.FILTER(Equipar!A:A,(Equipar!B:B=5)*(Equipar!AC:AC=A487)),""),"")</f>
        <v/>
      </c>
    </row>
    <row r="488" spans="1:10" x14ac:dyDescent="0.25">
      <c r="A488" s="1" t="str">
        <f ca="1">IF(A487="ID",1,IF(ISBLANK(B488),"",MAX(A$2:A487)+1))</f>
        <v/>
      </c>
      <c r="I488" s="2" t="str">
        <f ca="1">IF(ISNUMBER(A488),
IF(COUNTIFS(Equipar!B:B,5,Equipar!AC:AC,A488),"Equipada",
IF(
 OR( COUNTIFS(Equipar!B:B,5,Equipar!C:C,A488)
 +COUNTIFS(Equipar!B:B,5,Equipar!D:D,A488)
+COUNTIFS(Equipar!B:B,5,Equipar!E:E,A488)
+COUNTIFS(Equipar!B:B,5,Equipar!F:F,A488)
&gt;0,COUNTIF('Set recomendado'!B:B,C488)=0),
"Bloqueada",
"Desechable")),""
)</f>
        <v/>
      </c>
      <c r="J488" t="str" cm="1">
        <f t="array" aca="1" ref="J488" ca="1">IF(ISNUMBER(A488),IFERROR(_xlfn._xlws.FILTER(Equipar!A:A,(Equipar!B:B=5)*(Equipar!AC:AC=A488)),""),"")</f>
        <v/>
      </c>
    </row>
    <row r="489" spans="1:10" x14ac:dyDescent="0.25">
      <c r="A489" s="1" t="str">
        <f ca="1">IF(A488="ID",1,IF(ISBLANK(B489),"",MAX(A$2:A488)+1))</f>
        <v/>
      </c>
      <c r="I489" s="2" t="str">
        <f ca="1">IF(ISNUMBER(A489),
IF(COUNTIFS(Equipar!B:B,5,Equipar!AC:AC,A489),"Equipada",
IF(
 OR( COUNTIFS(Equipar!B:B,5,Equipar!C:C,A489)
 +COUNTIFS(Equipar!B:B,5,Equipar!D:D,A489)
+COUNTIFS(Equipar!B:B,5,Equipar!E:E,A489)
+COUNTIFS(Equipar!B:B,5,Equipar!F:F,A489)
&gt;0,COUNTIF('Set recomendado'!B:B,C489)=0),
"Bloqueada",
"Desechable")),""
)</f>
        <v/>
      </c>
      <c r="J489" t="str" cm="1">
        <f t="array" aca="1" ref="J489" ca="1">IF(ISNUMBER(A489),IFERROR(_xlfn._xlws.FILTER(Equipar!A:A,(Equipar!B:B=5)*(Equipar!AC:AC=A489)),""),"")</f>
        <v/>
      </c>
    </row>
    <row r="490" spans="1:10" x14ac:dyDescent="0.25">
      <c r="A490" s="1" t="str">
        <f ca="1">IF(A489="ID",1,IF(ISBLANK(B490),"",MAX(A$2:A489)+1))</f>
        <v/>
      </c>
      <c r="I490" s="2" t="str">
        <f ca="1">IF(ISNUMBER(A490),
IF(COUNTIFS(Equipar!B:B,5,Equipar!AC:AC,A490),"Equipada",
IF(
 OR( COUNTIFS(Equipar!B:B,5,Equipar!C:C,A490)
 +COUNTIFS(Equipar!B:B,5,Equipar!D:D,A490)
+COUNTIFS(Equipar!B:B,5,Equipar!E:E,A490)
+COUNTIFS(Equipar!B:B,5,Equipar!F:F,A490)
&gt;0,COUNTIF('Set recomendado'!B:B,C490)=0),
"Bloqueada",
"Desechable")),""
)</f>
        <v/>
      </c>
      <c r="J490" t="str" cm="1">
        <f t="array" aca="1" ref="J490" ca="1">IF(ISNUMBER(A490),IFERROR(_xlfn._xlws.FILTER(Equipar!A:A,(Equipar!B:B=5)*(Equipar!AC:AC=A490)),""),"")</f>
        <v/>
      </c>
    </row>
    <row r="491" spans="1:10" x14ac:dyDescent="0.25">
      <c r="A491" s="1" t="str">
        <f ca="1">IF(A490="ID",1,IF(ISBLANK(B491),"",MAX(A$2:A490)+1))</f>
        <v/>
      </c>
      <c r="I491" s="2" t="str">
        <f ca="1">IF(ISNUMBER(A491),
IF(COUNTIFS(Equipar!B:B,5,Equipar!AC:AC,A491),"Equipada",
IF(
 OR( COUNTIFS(Equipar!B:B,5,Equipar!C:C,A491)
 +COUNTIFS(Equipar!B:B,5,Equipar!D:D,A491)
+COUNTIFS(Equipar!B:B,5,Equipar!E:E,A491)
+COUNTIFS(Equipar!B:B,5,Equipar!F:F,A491)
&gt;0,COUNTIF('Set recomendado'!B:B,C491)=0),
"Bloqueada",
"Desechable")),""
)</f>
        <v/>
      </c>
      <c r="J491" t="str" cm="1">
        <f t="array" aca="1" ref="J491" ca="1">IF(ISNUMBER(A491),IFERROR(_xlfn._xlws.FILTER(Equipar!A:A,(Equipar!B:B=5)*(Equipar!AC:AC=A491)),""),"")</f>
        <v/>
      </c>
    </row>
    <row r="492" spans="1:10" x14ac:dyDescent="0.25">
      <c r="A492" s="1" t="str">
        <f ca="1">IF(A491="ID",1,IF(ISBLANK(B492),"",MAX(A$2:A491)+1))</f>
        <v/>
      </c>
      <c r="I492" s="2" t="str">
        <f ca="1">IF(ISNUMBER(A492),
IF(COUNTIFS(Equipar!B:B,5,Equipar!AC:AC,A492),"Equipada",
IF(
 OR( COUNTIFS(Equipar!B:B,5,Equipar!C:C,A492)
 +COUNTIFS(Equipar!B:B,5,Equipar!D:D,A492)
+COUNTIFS(Equipar!B:B,5,Equipar!E:E,A492)
+COUNTIFS(Equipar!B:B,5,Equipar!F:F,A492)
&gt;0,COUNTIF('Set recomendado'!B:B,C492)=0),
"Bloqueada",
"Desechable")),""
)</f>
        <v/>
      </c>
      <c r="J492" t="str" cm="1">
        <f t="array" aca="1" ref="J492" ca="1">IF(ISNUMBER(A492),IFERROR(_xlfn._xlws.FILTER(Equipar!A:A,(Equipar!B:B=5)*(Equipar!AC:AC=A492)),""),"")</f>
        <v/>
      </c>
    </row>
    <row r="493" spans="1:10" x14ac:dyDescent="0.25">
      <c r="A493" s="1" t="str">
        <f ca="1">IF(A492="ID",1,IF(ISBLANK(B493),"",MAX(A$2:A492)+1))</f>
        <v/>
      </c>
      <c r="I493" s="2" t="str">
        <f ca="1">IF(ISNUMBER(A493),
IF(COUNTIFS(Equipar!B:B,5,Equipar!AC:AC,A493),"Equipada",
IF(
 OR( COUNTIFS(Equipar!B:B,5,Equipar!C:C,A493)
 +COUNTIFS(Equipar!B:B,5,Equipar!D:D,A493)
+COUNTIFS(Equipar!B:B,5,Equipar!E:E,A493)
+COUNTIFS(Equipar!B:B,5,Equipar!F:F,A493)
&gt;0,COUNTIF('Set recomendado'!B:B,C493)=0),
"Bloqueada",
"Desechable")),""
)</f>
        <v/>
      </c>
      <c r="J493" t="str" cm="1">
        <f t="array" aca="1" ref="J493" ca="1">IF(ISNUMBER(A493),IFERROR(_xlfn._xlws.FILTER(Equipar!A:A,(Equipar!B:B=5)*(Equipar!AC:AC=A493)),""),"")</f>
        <v/>
      </c>
    </row>
    <row r="494" spans="1:10" x14ac:dyDescent="0.25">
      <c r="A494" s="1" t="str">
        <f ca="1">IF(A493="ID",1,IF(ISBLANK(B494),"",MAX(A$2:A493)+1))</f>
        <v/>
      </c>
      <c r="I494" s="2" t="str">
        <f ca="1">IF(ISNUMBER(A494),
IF(COUNTIFS(Equipar!B:B,5,Equipar!AC:AC,A494),"Equipada",
IF(
 OR( COUNTIFS(Equipar!B:B,5,Equipar!C:C,A494)
 +COUNTIFS(Equipar!B:B,5,Equipar!D:D,A494)
+COUNTIFS(Equipar!B:B,5,Equipar!E:E,A494)
+COUNTIFS(Equipar!B:B,5,Equipar!F:F,A494)
&gt;0,COUNTIF('Set recomendado'!B:B,C494)=0),
"Bloqueada",
"Desechable")),""
)</f>
        <v/>
      </c>
      <c r="J494" t="str" cm="1">
        <f t="array" aca="1" ref="J494" ca="1">IF(ISNUMBER(A494),IFERROR(_xlfn._xlws.FILTER(Equipar!A:A,(Equipar!B:B=5)*(Equipar!AC:AC=A494)),""),"")</f>
        <v/>
      </c>
    </row>
    <row r="495" spans="1:10" x14ac:dyDescent="0.25">
      <c r="A495" s="1" t="str">
        <f ca="1">IF(A494="ID",1,IF(ISBLANK(B495),"",MAX(A$2:A494)+1))</f>
        <v/>
      </c>
      <c r="I495" s="2" t="str">
        <f ca="1">IF(ISNUMBER(A495),
IF(COUNTIFS(Equipar!B:B,5,Equipar!AC:AC,A495),"Equipada",
IF(
 OR( COUNTIFS(Equipar!B:B,5,Equipar!C:C,A495)
 +COUNTIFS(Equipar!B:B,5,Equipar!D:D,A495)
+COUNTIFS(Equipar!B:B,5,Equipar!E:E,A495)
+COUNTIFS(Equipar!B:B,5,Equipar!F:F,A495)
&gt;0,COUNTIF('Set recomendado'!B:B,C495)=0),
"Bloqueada",
"Desechable")),""
)</f>
        <v/>
      </c>
      <c r="J495" t="str" cm="1">
        <f t="array" aca="1" ref="J495" ca="1">IF(ISNUMBER(A495),IFERROR(_xlfn._xlws.FILTER(Equipar!A:A,(Equipar!B:B=5)*(Equipar!AC:AC=A495)),""),"")</f>
        <v/>
      </c>
    </row>
    <row r="496" spans="1:10" x14ac:dyDescent="0.25">
      <c r="A496" s="1" t="str">
        <f ca="1">IF(A495="ID",1,IF(ISBLANK(B496),"",MAX(A$2:A495)+1))</f>
        <v/>
      </c>
      <c r="I496" s="2" t="str">
        <f ca="1">IF(ISNUMBER(A496),
IF(COUNTIFS(Equipar!B:B,5,Equipar!AC:AC,A496),"Equipada",
IF(
 OR( COUNTIFS(Equipar!B:B,5,Equipar!C:C,A496)
 +COUNTIFS(Equipar!B:B,5,Equipar!D:D,A496)
+COUNTIFS(Equipar!B:B,5,Equipar!E:E,A496)
+COUNTIFS(Equipar!B:B,5,Equipar!F:F,A496)
&gt;0,COUNTIF('Set recomendado'!B:B,C496)=0),
"Bloqueada",
"Desechable")),""
)</f>
        <v/>
      </c>
      <c r="J496" t="str" cm="1">
        <f t="array" aca="1" ref="J496" ca="1">IF(ISNUMBER(A496),IFERROR(_xlfn._xlws.FILTER(Equipar!A:A,(Equipar!B:B=5)*(Equipar!AC:AC=A496)),""),"")</f>
        <v/>
      </c>
    </row>
    <row r="497" spans="1:10" x14ac:dyDescent="0.25">
      <c r="A497" s="1" t="str">
        <f ca="1">IF(A496="ID",1,IF(ISBLANK(B497),"",MAX(A$2:A496)+1))</f>
        <v/>
      </c>
      <c r="I497" s="2" t="str">
        <f ca="1">IF(ISNUMBER(A497),
IF(COUNTIFS(Equipar!B:B,5,Equipar!AC:AC,A497),"Equipada",
IF(
 OR( COUNTIFS(Equipar!B:B,5,Equipar!C:C,A497)
 +COUNTIFS(Equipar!B:B,5,Equipar!D:D,A497)
+COUNTIFS(Equipar!B:B,5,Equipar!E:E,A497)
+COUNTIFS(Equipar!B:B,5,Equipar!F:F,A497)
&gt;0,COUNTIF('Set recomendado'!B:B,C497)=0),
"Bloqueada",
"Desechable")),""
)</f>
        <v/>
      </c>
      <c r="J497" t="str" cm="1">
        <f t="array" aca="1" ref="J497" ca="1">IF(ISNUMBER(A497),IFERROR(_xlfn._xlws.FILTER(Equipar!A:A,(Equipar!B:B=5)*(Equipar!AC:AC=A497)),""),"")</f>
        <v/>
      </c>
    </row>
    <row r="498" spans="1:10" x14ac:dyDescent="0.25">
      <c r="A498" s="1" t="str">
        <f ca="1">IF(A497="ID",1,IF(ISBLANK(B498),"",MAX(A$2:A497)+1))</f>
        <v/>
      </c>
      <c r="I498" s="2" t="str">
        <f ca="1">IF(ISNUMBER(A498),
IF(COUNTIFS(Equipar!B:B,5,Equipar!AC:AC,A498),"Equipada",
IF(
 OR( COUNTIFS(Equipar!B:B,5,Equipar!C:C,A498)
 +COUNTIFS(Equipar!B:B,5,Equipar!D:D,A498)
+COUNTIFS(Equipar!B:B,5,Equipar!E:E,A498)
+COUNTIFS(Equipar!B:B,5,Equipar!F:F,A498)
&gt;0,COUNTIF('Set recomendado'!B:B,C498)=0),
"Bloqueada",
"Desechable")),""
)</f>
        <v/>
      </c>
      <c r="J498" t="str" cm="1">
        <f t="array" aca="1" ref="J498" ca="1">IF(ISNUMBER(A498),IFERROR(_xlfn._xlws.FILTER(Equipar!A:A,(Equipar!B:B=5)*(Equipar!AC:AC=A498)),""),"")</f>
        <v/>
      </c>
    </row>
    <row r="499" spans="1:10" x14ac:dyDescent="0.25">
      <c r="A499" s="1" t="str">
        <f ca="1">IF(A498="ID",1,IF(ISBLANK(B499),"",MAX(A$2:A498)+1))</f>
        <v/>
      </c>
      <c r="I499" s="2" t="str">
        <f ca="1">IF(ISNUMBER(A499),
IF(COUNTIFS(Equipar!B:B,5,Equipar!AC:AC,A499),"Equipada",
IF(
 OR( COUNTIFS(Equipar!B:B,5,Equipar!C:C,A499)
 +COUNTIFS(Equipar!B:B,5,Equipar!D:D,A499)
+COUNTIFS(Equipar!B:B,5,Equipar!E:E,A499)
+COUNTIFS(Equipar!B:B,5,Equipar!F:F,A499)
&gt;0,COUNTIF('Set recomendado'!B:B,C499)=0),
"Bloqueada",
"Desechable")),""
)</f>
        <v/>
      </c>
      <c r="J499" t="str" cm="1">
        <f t="array" aca="1" ref="J499" ca="1">IF(ISNUMBER(A499),IFERROR(_xlfn._xlws.FILTER(Equipar!A:A,(Equipar!B:B=5)*(Equipar!AC:AC=A499)),""),"")</f>
        <v/>
      </c>
    </row>
    <row r="500" spans="1:10" x14ac:dyDescent="0.25">
      <c r="A500" s="1" t="str">
        <f ca="1">IF(A499="ID",1,IF(ISBLANK(B500),"",MAX(A$2:A499)+1))</f>
        <v/>
      </c>
      <c r="I500" s="2" t="str">
        <f ca="1">IF(ISNUMBER(A500),
IF(COUNTIFS(Equipar!B:B,5,Equipar!AC:AC,A500),"Equipada",
IF(
 OR( COUNTIFS(Equipar!B:B,5,Equipar!C:C,A500)
 +COUNTIFS(Equipar!B:B,5,Equipar!D:D,A500)
+COUNTIFS(Equipar!B:B,5,Equipar!E:E,A500)
+COUNTIFS(Equipar!B:B,5,Equipar!F:F,A500)
&gt;0,COUNTIF('Set recomendado'!B:B,C500)=0),
"Bloqueada",
"Desechable")),""
)</f>
        <v/>
      </c>
      <c r="J500" t="str" cm="1">
        <f t="array" aca="1" ref="J500" ca="1">IF(ISNUMBER(A500),IFERROR(_xlfn._xlws.FILTER(Equipar!A:A,(Equipar!B:B=5)*(Equipar!AC:AC=A500)),""),"")</f>
        <v/>
      </c>
    </row>
    <row r="501" spans="1:10" x14ac:dyDescent="0.25">
      <c r="A501" s="1" t="str">
        <f ca="1">IF(A500="ID",1,IF(ISBLANK(B501),"",MAX(A$2:A500)+1))</f>
        <v/>
      </c>
      <c r="I501" s="2" t="str">
        <f ca="1">IF(ISNUMBER(A501),
IF(COUNTIFS(Equipar!B:B,5,Equipar!AC:AC,A501),"Equipada",
IF(
 OR( COUNTIFS(Equipar!B:B,5,Equipar!C:C,A501)
 +COUNTIFS(Equipar!B:B,5,Equipar!D:D,A501)
+COUNTIFS(Equipar!B:B,5,Equipar!E:E,A501)
+COUNTIFS(Equipar!B:B,5,Equipar!F:F,A501)
&gt;0,COUNTIF('Set recomendado'!B:B,C501)=0),
"Bloqueada",
"Desechable")),""
)</f>
        <v/>
      </c>
      <c r="J501" t="str" cm="1">
        <f t="array" aca="1" ref="J501" ca="1">IF(ISNUMBER(A501),IFERROR(_xlfn._xlws.FILTER(Equipar!A:A,(Equipar!B:B=5)*(Equipar!AC:AC=A501)),""),"")</f>
        <v/>
      </c>
    </row>
    <row r="502" spans="1:10" x14ac:dyDescent="0.25">
      <c r="A502" s="1" t="str">
        <f ca="1">IF(A501="ID",1,IF(ISBLANK(B502),"",MAX(A$2:A501)+1))</f>
        <v/>
      </c>
      <c r="I502" s="2" t="str">
        <f ca="1">IF(ISNUMBER(A502),
IF(COUNTIFS(Equipar!B:B,5,Equipar!AC:AC,A502),"Equipada",
IF(
 OR( COUNTIFS(Equipar!B:B,5,Equipar!C:C,A502)
 +COUNTIFS(Equipar!B:B,5,Equipar!D:D,A502)
+COUNTIFS(Equipar!B:B,5,Equipar!E:E,A502)
+COUNTIFS(Equipar!B:B,5,Equipar!F:F,A502)
&gt;0,COUNTIF('Set recomendado'!B:B,C502)=0),
"Bloqueada",
"Desechable")),""
)</f>
        <v/>
      </c>
      <c r="J502" t="str" cm="1">
        <f t="array" aca="1" ref="J502" ca="1">IF(ISNUMBER(A502),IFERROR(_xlfn._xlws.FILTER(Equipar!A:A,(Equipar!B:B=5)*(Equipar!AC:AC=A502)),""),"")</f>
        <v/>
      </c>
    </row>
    <row r="503" spans="1:10" x14ac:dyDescent="0.25">
      <c r="A503" s="1" t="str">
        <f ca="1">IF(A502="ID",1,IF(ISBLANK(B503),"",MAX(A$2:A502)+1))</f>
        <v/>
      </c>
      <c r="I503" s="2" t="str">
        <f ca="1">IF(ISNUMBER(A503),
IF(COUNTIFS(Equipar!B:B,5,Equipar!AC:AC,A503),"Equipada",
IF(
 OR( COUNTIFS(Equipar!B:B,5,Equipar!C:C,A503)
 +COUNTIFS(Equipar!B:B,5,Equipar!D:D,A503)
+COUNTIFS(Equipar!B:B,5,Equipar!E:E,A503)
+COUNTIFS(Equipar!B:B,5,Equipar!F:F,A503)
&gt;0,COUNTIF('Set recomendado'!B:B,C503)=0),
"Bloqueada",
"Desechable")),""
)</f>
        <v/>
      </c>
      <c r="J503" t="str" cm="1">
        <f t="array" aca="1" ref="J503" ca="1">IF(ISNUMBER(A503),IFERROR(_xlfn._xlws.FILTER(Equipar!A:A,(Equipar!B:B=5)*(Equipar!AC:AC=A503)),""),"")</f>
        <v/>
      </c>
    </row>
    <row r="504" spans="1:10" x14ac:dyDescent="0.25">
      <c r="A504" s="1" t="str">
        <f ca="1">IF(A503="ID",1,IF(ISBLANK(B504),"",MAX(A$2:A503)+1))</f>
        <v/>
      </c>
      <c r="I504" s="2" t="str">
        <f ca="1">IF(ISNUMBER(A504),
IF(COUNTIFS(Equipar!B:B,5,Equipar!AC:AC,A504),"Equipada",
IF(
 OR( COUNTIFS(Equipar!B:B,5,Equipar!C:C,A504)
 +COUNTIFS(Equipar!B:B,5,Equipar!D:D,A504)
+COUNTIFS(Equipar!B:B,5,Equipar!E:E,A504)
+COUNTIFS(Equipar!B:B,5,Equipar!F:F,A504)
&gt;0,COUNTIF('Set recomendado'!B:B,C504)=0),
"Bloqueada",
"Desechable")),""
)</f>
        <v/>
      </c>
      <c r="J504" t="str" cm="1">
        <f t="array" aca="1" ref="J504" ca="1">IF(ISNUMBER(A504),IFERROR(_xlfn._xlws.FILTER(Equipar!A:A,(Equipar!B:B=5)*(Equipar!AC:AC=A504)),""),"")</f>
        <v/>
      </c>
    </row>
    <row r="505" spans="1:10" x14ac:dyDescent="0.25">
      <c r="A505" s="1" t="str">
        <f ca="1">IF(A504="ID",1,IF(ISBLANK(B505),"",MAX(A$2:A504)+1))</f>
        <v/>
      </c>
      <c r="I505" s="2" t="str">
        <f ca="1">IF(ISNUMBER(A505),
IF(COUNTIFS(Equipar!B:B,5,Equipar!AC:AC,A505),"Equipada",
IF(
 OR( COUNTIFS(Equipar!B:B,5,Equipar!C:C,A505)
 +COUNTIFS(Equipar!B:B,5,Equipar!D:D,A505)
+COUNTIFS(Equipar!B:B,5,Equipar!E:E,A505)
+COUNTIFS(Equipar!B:B,5,Equipar!F:F,A505)
&gt;0,COUNTIF('Set recomendado'!B:B,C505)=0),
"Bloqueada",
"Desechable")),""
)</f>
        <v/>
      </c>
      <c r="J505" t="str" cm="1">
        <f t="array" aca="1" ref="J505" ca="1">IF(ISNUMBER(A505),IFERROR(_xlfn._xlws.FILTER(Equipar!A:A,(Equipar!B:B=5)*(Equipar!AC:AC=A505)),""),"")</f>
        <v/>
      </c>
    </row>
    <row r="506" spans="1:10" x14ac:dyDescent="0.25">
      <c r="A506" s="1" t="str">
        <f ca="1">IF(A505="ID",1,IF(ISBLANK(B506),"",MAX(A$2:A505)+1))</f>
        <v/>
      </c>
      <c r="I506" s="2" t="str">
        <f ca="1">IF(ISNUMBER(A506),
IF(COUNTIFS(Equipar!B:B,5,Equipar!AC:AC,A506),"Equipada",
IF(
 OR( COUNTIFS(Equipar!B:B,5,Equipar!C:C,A506)
 +COUNTIFS(Equipar!B:B,5,Equipar!D:D,A506)
+COUNTIFS(Equipar!B:B,5,Equipar!E:E,A506)
+COUNTIFS(Equipar!B:B,5,Equipar!F:F,A506)
&gt;0,COUNTIF('Set recomendado'!B:B,C506)=0),
"Bloqueada",
"Desechable")),""
)</f>
        <v/>
      </c>
      <c r="J506" t="str" cm="1">
        <f t="array" aca="1" ref="J506" ca="1">IF(ISNUMBER(A506),IFERROR(_xlfn._xlws.FILTER(Equipar!A:A,(Equipar!B:B=5)*(Equipar!AC:AC=A506)),""),"")</f>
        <v/>
      </c>
    </row>
    <row r="507" spans="1:10" x14ac:dyDescent="0.25">
      <c r="A507" s="1" t="str">
        <f ca="1">IF(A506="ID",1,IF(ISBLANK(B507),"",MAX(A$2:A506)+1))</f>
        <v/>
      </c>
      <c r="I507" s="2" t="str">
        <f ca="1">IF(ISNUMBER(A507),
IF(COUNTIFS(Equipar!B:B,5,Equipar!AC:AC,A507),"Equipada",
IF(
 OR( COUNTIFS(Equipar!B:B,5,Equipar!C:C,A507)
 +COUNTIFS(Equipar!B:B,5,Equipar!D:D,A507)
+COUNTIFS(Equipar!B:B,5,Equipar!E:E,A507)
+COUNTIFS(Equipar!B:B,5,Equipar!F:F,A507)
&gt;0,COUNTIF('Set recomendado'!B:B,C507)=0),
"Bloqueada",
"Desechable")),""
)</f>
        <v/>
      </c>
      <c r="J507" t="str" cm="1">
        <f t="array" aca="1" ref="J507" ca="1">IF(ISNUMBER(A507),IFERROR(_xlfn._xlws.FILTER(Equipar!A:A,(Equipar!B:B=5)*(Equipar!AC:AC=A507)),""),"")</f>
        <v/>
      </c>
    </row>
    <row r="508" spans="1:10" x14ac:dyDescent="0.25">
      <c r="A508" s="1" t="str">
        <f ca="1">IF(A507="ID",1,IF(ISBLANK(B508),"",MAX(A$2:A507)+1))</f>
        <v/>
      </c>
      <c r="I508" s="2" t="str">
        <f ca="1">IF(ISNUMBER(A508),
IF(COUNTIFS(Equipar!B:B,5,Equipar!AC:AC,A508),"Equipada",
IF(
 OR( COUNTIFS(Equipar!B:B,5,Equipar!C:C,A508)
 +COUNTIFS(Equipar!B:B,5,Equipar!D:D,A508)
+COUNTIFS(Equipar!B:B,5,Equipar!E:E,A508)
+COUNTIFS(Equipar!B:B,5,Equipar!F:F,A508)
&gt;0,COUNTIF('Set recomendado'!B:B,C508)=0),
"Bloqueada",
"Desechable")),""
)</f>
        <v/>
      </c>
      <c r="J508" t="str" cm="1">
        <f t="array" aca="1" ref="J508" ca="1">IF(ISNUMBER(A508),IFERROR(_xlfn._xlws.FILTER(Equipar!A:A,(Equipar!B:B=5)*(Equipar!AC:AC=A508)),""),"")</f>
        <v/>
      </c>
    </row>
    <row r="509" spans="1:10" x14ac:dyDescent="0.25">
      <c r="A509" s="1" t="str">
        <f ca="1">IF(A508="ID",1,IF(ISBLANK(B509),"",MAX(A$2:A508)+1))</f>
        <v/>
      </c>
      <c r="I509" s="2" t="str">
        <f ca="1">IF(ISNUMBER(A509),
IF(COUNTIFS(Equipar!B:B,5,Equipar!AC:AC,A509),"Equipada",
IF(
 OR( COUNTIFS(Equipar!B:B,5,Equipar!C:C,A509)
 +COUNTIFS(Equipar!B:B,5,Equipar!D:D,A509)
+COUNTIFS(Equipar!B:B,5,Equipar!E:E,A509)
+COUNTIFS(Equipar!B:B,5,Equipar!F:F,A509)
&gt;0,COUNTIF('Set recomendado'!B:B,C509)=0),
"Bloqueada",
"Desechable")),""
)</f>
        <v/>
      </c>
      <c r="J509" t="str" cm="1">
        <f t="array" aca="1" ref="J509" ca="1">IF(ISNUMBER(A509),IFERROR(_xlfn._xlws.FILTER(Equipar!A:A,(Equipar!B:B=5)*(Equipar!AC:AC=A509)),""),"")</f>
        <v/>
      </c>
    </row>
    <row r="510" spans="1:10" x14ac:dyDescent="0.25">
      <c r="A510" s="1" t="str">
        <f ca="1">IF(A509="ID",1,IF(ISBLANK(B510),"",MAX(A$2:A509)+1))</f>
        <v/>
      </c>
      <c r="I510" s="2" t="str">
        <f ca="1">IF(ISNUMBER(A510),
IF(COUNTIFS(Equipar!B:B,5,Equipar!AC:AC,A510),"Equipada",
IF(
 OR( COUNTIFS(Equipar!B:B,5,Equipar!C:C,A510)
 +COUNTIFS(Equipar!B:B,5,Equipar!D:D,A510)
+COUNTIFS(Equipar!B:B,5,Equipar!E:E,A510)
+COUNTIFS(Equipar!B:B,5,Equipar!F:F,A510)
&gt;0,COUNTIF('Set recomendado'!B:B,C510)=0),
"Bloqueada",
"Desechable")),""
)</f>
        <v/>
      </c>
      <c r="J510" t="str" cm="1">
        <f t="array" aca="1" ref="J510" ca="1">IF(ISNUMBER(A510),IFERROR(_xlfn._xlws.FILTER(Equipar!A:A,(Equipar!B:B=5)*(Equipar!AC:AC=A510)),""),"")</f>
        <v/>
      </c>
    </row>
    <row r="511" spans="1:10" x14ac:dyDescent="0.25">
      <c r="A511" s="1" t="str">
        <f ca="1">IF(A510="ID",1,IF(ISBLANK(B511),"",MAX(A$2:A510)+1))</f>
        <v/>
      </c>
      <c r="I511" s="2" t="str">
        <f ca="1">IF(ISNUMBER(A511),
IF(COUNTIFS(Equipar!B:B,5,Equipar!AC:AC,A511),"Equipada",
IF(
 OR( COUNTIFS(Equipar!B:B,5,Equipar!C:C,A511)
 +COUNTIFS(Equipar!B:B,5,Equipar!D:D,A511)
+COUNTIFS(Equipar!B:B,5,Equipar!E:E,A511)
+COUNTIFS(Equipar!B:B,5,Equipar!F:F,A511)
&gt;0,COUNTIF('Set recomendado'!B:B,C511)=0),
"Bloqueada",
"Desechable")),""
)</f>
        <v/>
      </c>
      <c r="J511" t="str" cm="1">
        <f t="array" aca="1" ref="J511" ca="1">IF(ISNUMBER(A511),IFERROR(_xlfn._xlws.FILTER(Equipar!A:A,(Equipar!B:B=5)*(Equipar!AC:AC=A511)),""),"")</f>
        <v/>
      </c>
    </row>
    <row r="512" spans="1:10" x14ac:dyDescent="0.25">
      <c r="A512" s="1" t="str">
        <f ca="1">IF(A511="ID",1,IF(ISBLANK(B512),"",MAX(A$2:A511)+1))</f>
        <v/>
      </c>
      <c r="I512" s="2" t="str">
        <f ca="1">IF(ISNUMBER(A512),
IF(COUNTIFS(Equipar!B:B,5,Equipar!AC:AC,A512),"Equipada",
IF(
 OR( COUNTIFS(Equipar!B:B,5,Equipar!C:C,A512)
 +COUNTIFS(Equipar!B:B,5,Equipar!D:D,A512)
+COUNTIFS(Equipar!B:B,5,Equipar!E:E,A512)
+COUNTIFS(Equipar!B:B,5,Equipar!F:F,A512)
&gt;0,COUNTIF('Set recomendado'!B:B,C512)=0),
"Bloqueada",
"Desechable")),""
)</f>
        <v/>
      </c>
      <c r="J512" t="str" cm="1">
        <f t="array" aca="1" ref="J512" ca="1">IF(ISNUMBER(A512),IFERROR(_xlfn._xlws.FILTER(Equipar!A:A,(Equipar!B:B=5)*(Equipar!AC:AC=A512)),""),"")</f>
        <v/>
      </c>
    </row>
    <row r="513" spans="1:10" x14ac:dyDescent="0.25">
      <c r="A513" s="1" t="str">
        <f ca="1">IF(A512="ID",1,IF(ISBLANK(B513),"",MAX(A$2:A512)+1))</f>
        <v/>
      </c>
      <c r="I513" s="2" t="str">
        <f ca="1">IF(ISNUMBER(A513),
IF(COUNTIFS(Equipar!B:B,5,Equipar!AC:AC,A513),"Equipada",
IF(
 OR( COUNTIFS(Equipar!B:B,5,Equipar!C:C,A513)
 +COUNTIFS(Equipar!B:B,5,Equipar!D:D,A513)
+COUNTIFS(Equipar!B:B,5,Equipar!E:E,A513)
+COUNTIFS(Equipar!B:B,5,Equipar!F:F,A513)
&gt;0,COUNTIF('Set recomendado'!B:B,C513)=0),
"Bloqueada",
"Desechable")),""
)</f>
        <v/>
      </c>
      <c r="J513" t="str" cm="1">
        <f t="array" aca="1" ref="J513" ca="1">IF(ISNUMBER(A513),IFERROR(_xlfn._xlws.FILTER(Equipar!A:A,(Equipar!B:B=5)*(Equipar!AC:AC=A513)),""),"")</f>
        <v/>
      </c>
    </row>
    <row r="514" spans="1:10" x14ac:dyDescent="0.25">
      <c r="A514" s="1" t="str">
        <f ca="1">IF(A513="ID",1,IF(ISBLANK(B514),"",MAX(A$2:A513)+1))</f>
        <v/>
      </c>
      <c r="I514" s="2" t="str">
        <f ca="1">IF(ISNUMBER(A514),
IF(COUNTIFS(Equipar!B:B,5,Equipar!AC:AC,A514),"Equipada",
IF(
 OR( COUNTIFS(Equipar!B:B,5,Equipar!C:C,A514)
 +COUNTIFS(Equipar!B:B,5,Equipar!D:D,A514)
+COUNTIFS(Equipar!B:B,5,Equipar!E:E,A514)
+COUNTIFS(Equipar!B:B,5,Equipar!F:F,A514)
&gt;0,COUNTIF('Set recomendado'!B:B,C514)=0),
"Bloqueada",
"Desechable")),""
)</f>
        <v/>
      </c>
      <c r="J514" t="str" cm="1">
        <f t="array" aca="1" ref="J514" ca="1">IF(ISNUMBER(A514),IFERROR(_xlfn._xlws.FILTER(Equipar!A:A,(Equipar!B:B=5)*(Equipar!AC:AC=A514)),""),"")</f>
        <v/>
      </c>
    </row>
    <row r="515" spans="1:10" x14ac:dyDescent="0.25">
      <c r="A515" s="1" t="str">
        <f ca="1">IF(A514="ID",1,IF(ISBLANK(B515),"",MAX(A$2:A514)+1))</f>
        <v/>
      </c>
      <c r="I515" s="2" t="str">
        <f ca="1">IF(ISNUMBER(A515),
IF(COUNTIFS(Equipar!B:B,5,Equipar!AC:AC,A515),"Equipada",
IF(
 OR( COUNTIFS(Equipar!B:B,5,Equipar!C:C,A515)
 +COUNTIFS(Equipar!B:B,5,Equipar!D:D,A515)
+COUNTIFS(Equipar!B:B,5,Equipar!E:E,A515)
+COUNTIFS(Equipar!B:B,5,Equipar!F:F,A515)
&gt;0,COUNTIF('Set recomendado'!B:B,C515)=0),
"Bloqueada",
"Desechable")),""
)</f>
        <v/>
      </c>
      <c r="J515" t="str" cm="1">
        <f t="array" aca="1" ref="J515" ca="1">IF(ISNUMBER(A515),IFERROR(_xlfn._xlws.FILTER(Equipar!A:A,(Equipar!B:B=5)*(Equipar!AC:AC=A515)),""),"")</f>
        <v/>
      </c>
    </row>
    <row r="516" spans="1:10" x14ac:dyDescent="0.25">
      <c r="A516" s="1" t="str">
        <f ca="1">IF(A515="ID",1,IF(ISBLANK(B516),"",MAX(A$2:A515)+1))</f>
        <v/>
      </c>
      <c r="I516" s="2" t="str">
        <f ca="1">IF(ISNUMBER(A516),
IF(COUNTIFS(Equipar!B:B,5,Equipar!AC:AC,A516),"Equipada",
IF(
 OR( COUNTIFS(Equipar!B:B,5,Equipar!C:C,A516)
 +COUNTIFS(Equipar!B:B,5,Equipar!D:D,A516)
+COUNTIFS(Equipar!B:B,5,Equipar!E:E,A516)
+COUNTIFS(Equipar!B:B,5,Equipar!F:F,A516)
&gt;0,COUNTIF('Set recomendado'!B:B,C516)=0),
"Bloqueada",
"Desechable")),""
)</f>
        <v/>
      </c>
      <c r="J516" t="str" cm="1">
        <f t="array" aca="1" ref="J516" ca="1">IF(ISNUMBER(A516),IFERROR(_xlfn._xlws.FILTER(Equipar!A:A,(Equipar!B:B=5)*(Equipar!AC:AC=A516)),""),"")</f>
        <v/>
      </c>
    </row>
    <row r="517" spans="1:10" x14ac:dyDescent="0.25">
      <c r="A517" s="1" t="str">
        <f ca="1">IF(A516="ID",1,IF(ISBLANK(B517),"",MAX(A$2:A516)+1))</f>
        <v/>
      </c>
      <c r="I517" s="2" t="str">
        <f ca="1">IF(ISNUMBER(A517),
IF(COUNTIFS(Equipar!B:B,5,Equipar!AC:AC,A517),"Equipada",
IF(
 OR( COUNTIFS(Equipar!B:B,5,Equipar!C:C,A517)
 +COUNTIFS(Equipar!B:B,5,Equipar!D:D,A517)
+COUNTIFS(Equipar!B:B,5,Equipar!E:E,A517)
+COUNTIFS(Equipar!B:B,5,Equipar!F:F,A517)
&gt;0,COUNTIF('Set recomendado'!B:B,C517)=0),
"Bloqueada",
"Desechable")),""
)</f>
        <v/>
      </c>
      <c r="J517" t="str" cm="1">
        <f t="array" aca="1" ref="J517" ca="1">IF(ISNUMBER(A517),IFERROR(_xlfn._xlws.FILTER(Equipar!A:A,(Equipar!B:B=5)*(Equipar!AC:AC=A517)),""),"")</f>
        <v/>
      </c>
    </row>
    <row r="518" spans="1:10" x14ac:dyDescent="0.25">
      <c r="A518" s="1" t="str">
        <f ca="1">IF(A517="ID",1,IF(ISBLANK(B518),"",MAX(A$2:A517)+1))</f>
        <v/>
      </c>
      <c r="I518" s="2" t="str">
        <f ca="1">IF(ISNUMBER(A518),
IF(COUNTIFS(Equipar!B:B,5,Equipar!AC:AC,A518),"Equipada",
IF(
 OR( COUNTIFS(Equipar!B:B,5,Equipar!C:C,A518)
 +COUNTIFS(Equipar!B:B,5,Equipar!D:D,A518)
+COUNTIFS(Equipar!B:B,5,Equipar!E:E,A518)
+COUNTIFS(Equipar!B:B,5,Equipar!F:F,A518)
&gt;0,COUNTIF('Set recomendado'!B:B,C518)=0),
"Bloqueada",
"Desechable")),""
)</f>
        <v/>
      </c>
      <c r="J518" t="str" cm="1">
        <f t="array" aca="1" ref="J518" ca="1">IF(ISNUMBER(A518),IFERROR(_xlfn._xlws.FILTER(Equipar!A:A,(Equipar!B:B=5)*(Equipar!AC:AC=A518)),""),"")</f>
        <v/>
      </c>
    </row>
    <row r="519" spans="1:10" x14ac:dyDescent="0.25">
      <c r="A519" s="1" t="str">
        <f ca="1">IF(A518="ID",1,IF(ISBLANK(B519),"",MAX(A$2:A518)+1))</f>
        <v/>
      </c>
      <c r="I519" s="2" t="str">
        <f ca="1">IF(ISNUMBER(A519),
IF(COUNTIFS(Equipar!B:B,5,Equipar!AC:AC,A519),"Equipada",
IF(
 OR( COUNTIFS(Equipar!B:B,5,Equipar!C:C,A519)
 +COUNTIFS(Equipar!B:B,5,Equipar!D:D,A519)
+COUNTIFS(Equipar!B:B,5,Equipar!E:E,A519)
+COUNTIFS(Equipar!B:B,5,Equipar!F:F,A519)
&gt;0,COUNTIF('Set recomendado'!B:B,C519)=0),
"Bloqueada",
"Desechable")),""
)</f>
        <v/>
      </c>
      <c r="J519" t="str" cm="1">
        <f t="array" aca="1" ref="J519" ca="1">IF(ISNUMBER(A519),IFERROR(_xlfn._xlws.FILTER(Equipar!A:A,(Equipar!B:B=5)*(Equipar!AC:AC=A519)),""),"")</f>
        <v/>
      </c>
    </row>
    <row r="520" spans="1:10" x14ac:dyDescent="0.25">
      <c r="A520" s="1" t="str">
        <f ca="1">IF(A519="ID",1,IF(ISBLANK(B520),"",MAX(A$2:A519)+1))</f>
        <v/>
      </c>
      <c r="I520" s="2" t="str">
        <f ca="1">IF(ISNUMBER(A520),
IF(COUNTIFS(Equipar!B:B,5,Equipar!AC:AC,A520),"Equipada",
IF(
 OR( COUNTIFS(Equipar!B:B,5,Equipar!C:C,A520)
 +COUNTIFS(Equipar!B:B,5,Equipar!D:D,A520)
+COUNTIFS(Equipar!B:B,5,Equipar!E:E,A520)
+COUNTIFS(Equipar!B:B,5,Equipar!F:F,A520)
&gt;0,COUNTIF('Set recomendado'!B:B,C520)=0),
"Bloqueada",
"Desechable")),""
)</f>
        <v/>
      </c>
      <c r="J520" t="str" cm="1">
        <f t="array" aca="1" ref="J520" ca="1">IF(ISNUMBER(A520),IFERROR(_xlfn._xlws.FILTER(Equipar!A:A,(Equipar!B:B=5)*(Equipar!AC:AC=A520)),""),"")</f>
        <v/>
      </c>
    </row>
    <row r="521" spans="1:10" x14ac:dyDescent="0.25">
      <c r="A521" s="1" t="str">
        <f ca="1">IF(A520="ID",1,IF(ISBLANK(B521),"",MAX(A$2:A520)+1))</f>
        <v/>
      </c>
      <c r="I521" s="2" t="str">
        <f ca="1">IF(ISNUMBER(A521),
IF(COUNTIFS(Equipar!B:B,5,Equipar!AC:AC,A521),"Equipada",
IF(
 OR( COUNTIFS(Equipar!B:B,5,Equipar!C:C,A521)
 +COUNTIFS(Equipar!B:B,5,Equipar!D:D,A521)
+COUNTIFS(Equipar!B:B,5,Equipar!E:E,A521)
+COUNTIFS(Equipar!B:B,5,Equipar!F:F,A521)
&gt;0,COUNTIF('Set recomendado'!B:B,C521)=0),
"Bloqueada",
"Desechable")),""
)</f>
        <v/>
      </c>
      <c r="J521" t="str" cm="1">
        <f t="array" aca="1" ref="J521" ca="1">IF(ISNUMBER(A521),IFERROR(_xlfn._xlws.FILTER(Equipar!A:A,(Equipar!B:B=5)*(Equipar!AC:AC=A521)),""),"")</f>
        <v/>
      </c>
    </row>
    <row r="522" spans="1:10" x14ac:dyDescent="0.25">
      <c r="A522" s="1" t="str">
        <f ca="1">IF(A521="ID",1,IF(ISBLANK(B522),"",MAX(A$2:A521)+1))</f>
        <v/>
      </c>
      <c r="I522" s="2" t="str">
        <f ca="1">IF(ISNUMBER(A522),
IF(COUNTIFS(Equipar!B:B,5,Equipar!AC:AC,A522),"Equipada",
IF(
 OR( COUNTIFS(Equipar!B:B,5,Equipar!C:C,A522)
 +COUNTIFS(Equipar!B:B,5,Equipar!D:D,A522)
+COUNTIFS(Equipar!B:B,5,Equipar!E:E,A522)
+COUNTIFS(Equipar!B:B,5,Equipar!F:F,A522)
&gt;0,COUNTIF('Set recomendado'!B:B,C522)=0),
"Bloqueada",
"Desechable")),""
)</f>
        <v/>
      </c>
      <c r="J522" t="str" cm="1">
        <f t="array" aca="1" ref="J522" ca="1">IF(ISNUMBER(A522),IFERROR(_xlfn._xlws.FILTER(Equipar!A:A,(Equipar!B:B=5)*(Equipar!AC:AC=A522)),""),"")</f>
        <v/>
      </c>
    </row>
    <row r="523" spans="1:10" x14ac:dyDescent="0.25">
      <c r="A523" s="1" t="str">
        <f ca="1">IF(A522="ID",1,IF(ISBLANK(B523),"",MAX(A$2:A522)+1))</f>
        <v/>
      </c>
      <c r="I523" s="2" t="str">
        <f ca="1">IF(ISNUMBER(A523),
IF(COUNTIFS(Equipar!B:B,5,Equipar!AC:AC,A523),"Equipada",
IF(
 OR( COUNTIFS(Equipar!B:B,5,Equipar!C:C,A523)
 +COUNTIFS(Equipar!B:B,5,Equipar!D:D,A523)
+COUNTIFS(Equipar!B:B,5,Equipar!E:E,A523)
+COUNTIFS(Equipar!B:B,5,Equipar!F:F,A523)
&gt;0,COUNTIF('Set recomendado'!B:B,C523)=0),
"Bloqueada",
"Desechable")),""
)</f>
        <v/>
      </c>
      <c r="J523" t="str" cm="1">
        <f t="array" aca="1" ref="J523" ca="1">IF(ISNUMBER(A523),IFERROR(_xlfn._xlws.FILTER(Equipar!A:A,(Equipar!B:B=5)*(Equipar!AC:AC=A523)),""),"")</f>
        <v/>
      </c>
    </row>
    <row r="524" spans="1:10" x14ac:dyDescent="0.25">
      <c r="A524" s="1" t="str">
        <f ca="1">IF(A523="ID",1,IF(ISBLANK(B524),"",MAX(A$2:A523)+1))</f>
        <v/>
      </c>
      <c r="I524" s="2" t="str">
        <f ca="1">IF(ISNUMBER(A524),
IF(COUNTIFS(Equipar!B:B,5,Equipar!AC:AC,A524),"Equipada",
IF(
 OR( COUNTIFS(Equipar!B:B,5,Equipar!C:C,A524)
 +COUNTIFS(Equipar!B:B,5,Equipar!D:D,A524)
+COUNTIFS(Equipar!B:B,5,Equipar!E:E,A524)
+COUNTIFS(Equipar!B:B,5,Equipar!F:F,A524)
&gt;0,COUNTIF('Set recomendado'!B:B,C524)=0),
"Bloqueada",
"Desechable")),""
)</f>
        <v/>
      </c>
      <c r="J524" t="str" cm="1">
        <f t="array" aca="1" ref="J524" ca="1">IF(ISNUMBER(A524),IFERROR(_xlfn._xlws.FILTER(Equipar!A:A,(Equipar!B:B=5)*(Equipar!AC:AC=A524)),""),"")</f>
        <v/>
      </c>
    </row>
    <row r="525" spans="1:10" x14ac:dyDescent="0.25">
      <c r="A525" s="1" t="str">
        <f ca="1">IF(A524="ID",1,IF(ISBLANK(B525),"",MAX(A$2:A524)+1))</f>
        <v/>
      </c>
      <c r="I525" s="2" t="str">
        <f ca="1">IF(ISNUMBER(A525),
IF(COUNTIFS(Equipar!B:B,5,Equipar!AC:AC,A525),"Equipada",
IF(
 OR( COUNTIFS(Equipar!B:B,5,Equipar!C:C,A525)
 +COUNTIFS(Equipar!B:B,5,Equipar!D:D,A525)
+COUNTIFS(Equipar!B:B,5,Equipar!E:E,A525)
+COUNTIFS(Equipar!B:B,5,Equipar!F:F,A525)
&gt;0,COUNTIF('Set recomendado'!B:B,C525)=0),
"Bloqueada",
"Desechable")),""
)</f>
        <v/>
      </c>
      <c r="J525" t="str" cm="1">
        <f t="array" aca="1" ref="J525" ca="1">IF(ISNUMBER(A525),IFERROR(_xlfn._xlws.FILTER(Equipar!A:A,(Equipar!B:B=5)*(Equipar!AC:AC=A525)),""),"")</f>
        <v/>
      </c>
    </row>
    <row r="526" spans="1:10" x14ac:dyDescent="0.25">
      <c r="A526" s="1" t="str">
        <f ca="1">IF(A525="ID",1,IF(ISBLANK(B526),"",MAX(A$2:A525)+1))</f>
        <v/>
      </c>
      <c r="I526" s="2" t="str">
        <f ca="1">IF(ISNUMBER(A526),
IF(COUNTIFS(Equipar!B:B,5,Equipar!AC:AC,A526),"Equipada",
IF(
 OR( COUNTIFS(Equipar!B:B,5,Equipar!C:C,A526)
 +COUNTIFS(Equipar!B:B,5,Equipar!D:D,A526)
+COUNTIFS(Equipar!B:B,5,Equipar!E:E,A526)
+COUNTIFS(Equipar!B:B,5,Equipar!F:F,A526)
&gt;0,COUNTIF('Set recomendado'!B:B,C526)=0),
"Bloqueada",
"Desechable")),""
)</f>
        <v/>
      </c>
      <c r="J526" t="str" cm="1">
        <f t="array" aca="1" ref="J526" ca="1">IF(ISNUMBER(A526),IFERROR(_xlfn._xlws.FILTER(Equipar!A:A,(Equipar!B:B=5)*(Equipar!AC:AC=A526)),""),"")</f>
        <v/>
      </c>
    </row>
    <row r="527" spans="1:10" x14ac:dyDescent="0.25">
      <c r="A527" s="1" t="str">
        <f ca="1">IF(A526="ID",1,IF(ISBLANK(B527),"",MAX(A$2:A526)+1))</f>
        <v/>
      </c>
      <c r="I527" s="2" t="str">
        <f ca="1">IF(ISNUMBER(A527),
IF(COUNTIFS(Equipar!B:B,5,Equipar!AC:AC,A527),"Equipada",
IF(
 OR( COUNTIFS(Equipar!B:B,5,Equipar!C:C,A527)
 +COUNTIFS(Equipar!B:B,5,Equipar!D:D,A527)
+COUNTIFS(Equipar!B:B,5,Equipar!E:E,A527)
+COUNTIFS(Equipar!B:B,5,Equipar!F:F,A527)
&gt;0,COUNTIF('Set recomendado'!B:B,C527)=0),
"Bloqueada",
"Desechable")),""
)</f>
        <v/>
      </c>
      <c r="J527" t="str" cm="1">
        <f t="array" aca="1" ref="J527" ca="1">IF(ISNUMBER(A527),IFERROR(_xlfn._xlws.FILTER(Equipar!A:A,(Equipar!B:B=5)*(Equipar!AC:AC=A527)),""),"")</f>
        <v/>
      </c>
    </row>
    <row r="528" spans="1:10" x14ac:dyDescent="0.25">
      <c r="A528" s="1" t="str">
        <f ca="1">IF(A527="ID",1,IF(ISBLANK(B528),"",MAX(A$2:A527)+1))</f>
        <v/>
      </c>
      <c r="I528" s="2" t="str">
        <f ca="1">IF(ISNUMBER(A528),
IF(COUNTIFS(Equipar!B:B,5,Equipar!AC:AC,A528),"Equipada",
IF(
 OR( COUNTIFS(Equipar!B:B,5,Equipar!C:C,A528)
 +COUNTIFS(Equipar!B:B,5,Equipar!D:D,A528)
+COUNTIFS(Equipar!B:B,5,Equipar!E:E,A528)
+COUNTIFS(Equipar!B:B,5,Equipar!F:F,A528)
&gt;0,COUNTIF('Set recomendado'!B:B,C528)=0),
"Bloqueada",
"Desechable")),""
)</f>
        <v/>
      </c>
      <c r="J528" t="str" cm="1">
        <f t="array" aca="1" ref="J528" ca="1">IF(ISNUMBER(A528),IFERROR(_xlfn._xlws.FILTER(Equipar!A:A,(Equipar!B:B=5)*(Equipar!AC:AC=A528)),""),"")</f>
        <v/>
      </c>
    </row>
    <row r="529" spans="1:10" x14ac:dyDescent="0.25">
      <c r="A529" s="1" t="str">
        <f ca="1">IF(A528="ID",1,IF(ISBLANK(B529),"",MAX(A$2:A528)+1))</f>
        <v/>
      </c>
      <c r="I529" s="2" t="str">
        <f ca="1">IF(ISNUMBER(A529),
IF(COUNTIFS(Equipar!B:B,5,Equipar!AC:AC,A529),"Equipada",
IF(
 OR( COUNTIFS(Equipar!B:B,5,Equipar!C:C,A529)
 +COUNTIFS(Equipar!B:B,5,Equipar!D:D,A529)
+COUNTIFS(Equipar!B:B,5,Equipar!E:E,A529)
+COUNTIFS(Equipar!B:B,5,Equipar!F:F,A529)
&gt;0,COUNTIF('Set recomendado'!B:B,C529)=0),
"Bloqueada",
"Desechable")),""
)</f>
        <v/>
      </c>
      <c r="J529" t="str" cm="1">
        <f t="array" aca="1" ref="J529" ca="1">IF(ISNUMBER(A529),IFERROR(_xlfn._xlws.FILTER(Equipar!A:A,(Equipar!B:B=5)*(Equipar!AC:AC=A529)),""),"")</f>
        <v/>
      </c>
    </row>
    <row r="530" spans="1:10" x14ac:dyDescent="0.25">
      <c r="A530" s="1" t="str">
        <f ca="1">IF(A529="ID",1,IF(ISBLANK(B530),"",MAX(A$2:A529)+1))</f>
        <v/>
      </c>
      <c r="I530" s="2" t="str">
        <f ca="1">IF(ISNUMBER(A530),
IF(COUNTIFS(Equipar!B:B,5,Equipar!AC:AC,A530),"Equipada",
IF(
 OR( COUNTIFS(Equipar!B:B,5,Equipar!C:C,A530)
 +COUNTIFS(Equipar!B:B,5,Equipar!D:D,A530)
+COUNTIFS(Equipar!B:B,5,Equipar!E:E,A530)
+COUNTIFS(Equipar!B:B,5,Equipar!F:F,A530)
&gt;0,COUNTIF('Set recomendado'!B:B,C530)=0),
"Bloqueada",
"Desechable")),""
)</f>
        <v/>
      </c>
      <c r="J530" t="str" cm="1">
        <f t="array" aca="1" ref="J530" ca="1">IF(ISNUMBER(A530),IFERROR(_xlfn._xlws.FILTER(Equipar!A:A,(Equipar!B:B=5)*(Equipar!AC:AC=A530)),""),"")</f>
        <v/>
      </c>
    </row>
    <row r="531" spans="1:10" x14ac:dyDescent="0.25">
      <c r="A531" s="1" t="str">
        <f ca="1">IF(A530="ID",1,IF(ISBLANK(B531),"",MAX(A$2:A530)+1))</f>
        <v/>
      </c>
      <c r="I531" s="2" t="str">
        <f ca="1">IF(ISNUMBER(A531),
IF(COUNTIFS(Equipar!B:B,5,Equipar!AC:AC,A531),"Equipada",
IF(
 OR( COUNTIFS(Equipar!B:B,5,Equipar!C:C,A531)
 +COUNTIFS(Equipar!B:B,5,Equipar!D:D,A531)
+COUNTIFS(Equipar!B:B,5,Equipar!E:E,A531)
+COUNTIFS(Equipar!B:B,5,Equipar!F:F,A531)
&gt;0,COUNTIF('Set recomendado'!B:B,C531)=0),
"Bloqueada",
"Desechable")),""
)</f>
        <v/>
      </c>
      <c r="J531" t="str" cm="1">
        <f t="array" aca="1" ref="J531" ca="1">IF(ISNUMBER(A531),IFERROR(_xlfn._xlws.FILTER(Equipar!A:A,(Equipar!B:B=5)*(Equipar!AC:AC=A531)),""),"")</f>
        <v/>
      </c>
    </row>
    <row r="532" spans="1:10" x14ac:dyDescent="0.25">
      <c r="A532" s="1" t="str">
        <f ca="1">IF(A531="ID",1,IF(ISBLANK(B532),"",MAX(A$2:A531)+1))</f>
        <v/>
      </c>
      <c r="I532" s="2" t="str">
        <f ca="1">IF(ISNUMBER(A532),
IF(COUNTIFS(Equipar!B:B,5,Equipar!AC:AC,A532),"Equipada",
IF(
 OR( COUNTIFS(Equipar!B:B,5,Equipar!C:C,A532)
 +COUNTIFS(Equipar!B:B,5,Equipar!D:D,A532)
+COUNTIFS(Equipar!B:B,5,Equipar!E:E,A532)
+COUNTIFS(Equipar!B:B,5,Equipar!F:F,A532)
&gt;0,COUNTIF('Set recomendado'!B:B,C532)=0),
"Bloqueada",
"Desechable")),""
)</f>
        <v/>
      </c>
      <c r="J532" t="str" cm="1">
        <f t="array" aca="1" ref="J532" ca="1">IF(ISNUMBER(A532),IFERROR(_xlfn._xlws.FILTER(Equipar!A:A,(Equipar!B:B=5)*(Equipar!AC:AC=A532)),""),"")</f>
        <v/>
      </c>
    </row>
    <row r="533" spans="1:10" x14ac:dyDescent="0.25">
      <c r="A533" s="1" t="str">
        <f ca="1">IF(A532="ID",1,IF(ISBLANK(B533),"",MAX(A$2:A532)+1))</f>
        <v/>
      </c>
      <c r="I533" s="2" t="str">
        <f ca="1">IF(ISNUMBER(A533),
IF(COUNTIFS(Equipar!B:B,5,Equipar!AC:AC,A533),"Equipada",
IF(
 OR( COUNTIFS(Equipar!B:B,5,Equipar!C:C,A533)
 +COUNTIFS(Equipar!B:B,5,Equipar!D:D,A533)
+COUNTIFS(Equipar!B:B,5,Equipar!E:E,A533)
+COUNTIFS(Equipar!B:B,5,Equipar!F:F,A533)
&gt;0,COUNTIF('Set recomendado'!B:B,C533)=0),
"Bloqueada",
"Desechable")),""
)</f>
        <v/>
      </c>
      <c r="J533" t="str" cm="1">
        <f t="array" aca="1" ref="J533" ca="1">IF(ISNUMBER(A533),IFERROR(_xlfn._xlws.FILTER(Equipar!A:A,(Equipar!B:B=5)*(Equipar!AC:AC=A533)),""),"")</f>
        <v/>
      </c>
    </row>
    <row r="534" spans="1:10" x14ac:dyDescent="0.25">
      <c r="A534" s="1" t="str">
        <f ca="1">IF(A533="ID",1,IF(ISBLANK(B534),"",MAX(A$2:A533)+1))</f>
        <v/>
      </c>
      <c r="I534" s="2" t="str">
        <f ca="1">IF(ISNUMBER(A534),
IF(COUNTIFS(Equipar!B:B,5,Equipar!AC:AC,A534),"Equipada",
IF(
 OR( COUNTIFS(Equipar!B:B,5,Equipar!C:C,A534)
 +COUNTIFS(Equipar!B:B,5,Equipar!D:D,A534)
+COUNTIFS(Equipar!B:B,5,Equipar!E:E,A534)
+COUNTIFS(Equipar!B:B,5,Equipar!F:F,A534)
&gt;0,COUNTIF('Set recomendado'!B:B,C534)=0),
"Bloqueada",
"Desechable")),""
)</f>
        <v/>
      </c>
      <c r="J534" t="str" cm="1">
        <f t="array" aca="1" ref="J534" ca="1">IF(ISNUMBER(A534),IFERROR(_xlfn._xlws.FILTER(Equipar!A:A,(Equipar!B:B=5)*(Equipar!AC:AC=A534)),""),"")</f>
        <v/>
      </c>
    </row>
    <row r="535" spans="1:10" x14ac:dyDescent="0.25">
      <c r="A535" s="1" t="str">
        <f ca="1">IF(A534="ID",1,IF(ISBLANK(B535),"",MAX(A$2:A534)+1))</f>
        <v/>
      </c>
      <c r="I535" s="2" t="str">
        <f ca="1">IF(ISNUMBER(A535),
IF(COUNTIFS(Equipar!B:B,5,Equipar!AC:AC,A535),"Equipada",
IF(
 OR( COUNTIFS(Equipar!B:B,5,Equipar!C:C,A535)
 +COUNTIFS(Equipar!B:B,5,Equipar!D:D,A535)
+COUNTIFS(Equipar!B:B,5,Equipar!E:E,A535)
+COUNTIFS(Equipar!B:B,5,Equipar!F:F,A535)
&gt;0,COUNTIF('Set recomendado'!B:B,C535)=0),
"Bloqueada",
"Desechable")),""
)</f>
        <v/>
      </c>
      <c r="J535" t="str" cm="1">
        <f t="array" aca="1" ref="J535" ca="1">IF(ISNUMBER(A535),IFERROR(_xlfn._xlws.FILTER(Equipar!A:A,(Equipar!B:B=5)*(Equipar!AC:AC=A535)),""),"")</f>
        <v/>
      </c>
    </row>
    <row r="536" spans="1:10" x14ac:dyDescent="0.25">
      <c r="A536" s="1" t="str">
        <f ca="1">IF(A535="ID",1,IF(ISBLANK(B536),"",MAX(A$2:A535)+1))</f>
        <v/>
      </c>
      <c r="I536" s="2" t="str">
        <f ca="1">IF(ISNUMBER(A536),
IF(COUNTIFS(Equipar!B:B,5,Equipar!AC:AC,A536),"Equipada",
IF(
 OR( COUNTIFS(Equipar!B:B,5,Equipar!C:C,A536)
 +COUNTIFS(Equipar!B:B,5,Equipar!D:D,A536)
+COUNTIFS(Equipar!B:B,5,Equipar!E:E,A536)
+COUNTIFS(Equipar!B:B,5,Equipar!F:F,A536)
&gt;0,COUNTIF('Set recomendado'!B:B,C536)=0),
"Bloqueada",
"Desechable")),""
)</f>
        <v/>
      </c>
      <c r="J536" t="str" cm="1">
        <f t="array" aca="1" ref="J536" ca="1">IF(ISNUMBER(A536),IFERROR(_xlfn._xlws.FILTER(Equipar!A:A,(Equipar!B:B=5)*(Equipar!AC:AC=A536)),""),"")</f>
        <v/>
      </c>
    </row>
    <row r="537" spans="1:10" x14ac:dyDescent="0.25">
      <c r="A537" s="1" t="str">
        <f ca="1">IF(A536="ID",1,IF(ISBLANK(B537),"",MAX(A$2:A536)+1))</f>
        <v/>
      </c>
      <c r="I537" s="2" t="str">
        <f ca="1">IF(ISNUMBER(A537),
IF(COUNTIFS(Equipar!B:B,5,Equipar!AC:AC,A537),"Equipada",
IF(
 OR( COUNTIFS(Equipar!B:B,5,Equipar!C:C,A537)
 +COUNTIFS(Equipar!B:B,5,Equipar!D:D,A537)
+COUNTIFS(Equipar!B:B,5,Equipar!E:E,A537)
+COUNTIFS(Equipar!B:B,5,Equipar!F:F,A537)
&gt;0,COUNTIF('Set recomendado'!B:B,C537)=0),
"Bloqueada",
"Desechable")),""
)</f>
        <v/>
      </c>
      <c r="J537" t="str" cm="1">
        <f t="array" aca="1" ref="J537" ca="1">IF(ISNUMBER(A537),IFERROR(_xlfn._xlws.FILTER(Equipar!A:A,(Equipar!B:B=5)*(Equipar!AC:AC=A537)),""),"")</f>
        <v/>
      </c>
    </row>
    <row r="538" spans="1:10" x14ac:dyDescent="0.25">
      <c r="A538" s="1" t="str">
        <f ca="1">IF(A537="ID",1,IF(ISBLANK(B538),"",MAX(A$2:A537)+1))</f>
        <v/>
      </c>
      <c r="I538" s="2" t="str">
        <f ca="1">IF(ISNUMBER(A538),
IF(COUNTIFS(Equipar!B:B,5,Equipar!AC:AC,A538),"Equipada",
IF(
 OR( COUNTIFS(Equipar!B:B,5,Equipar!C:C,A538)
 +COUNTIFS(Equipar!B:B,5,Equipar!D:D,A538)
+COUNTIFS(Equipar!B:B,5,Equipar!E:E,A538)
+COUNTIFS(Equipar!B:B,5,Equipar!F:F,A538)
&gt;0,COUNTIF('Set recomendado'!B:B,C538)=0),
"Bloqueada",
"Desechable")),""
)</f>
        <v/>
      </c>
      <c r="J538" t="str" cm="1">
        <f t="array" aca="1" ref="J538" ca="1">IF(ISNUMBER(A538),IFERROR(_xlfn._xlws.FILTER(Equipar!A:A,(Equipar!B:B=5)*(Equipar!AC:AC=A538)),""),"")</f>
        <v/>
      </c>
    </row>
    <row r="539" spans="1:10" x14ac:dyDescent="0.25">
      <c r="A539" s="1" t="str">
        <f ca="1">IF(A538="ID",1,IF(ISBLANK(B539),"",MAX(A$2:A538)+1))</f>
        <v/>
      </c>
      <c r="I539" s="2" t="str">
        <f ca="1">IF(ISNUMBER(A539),
IF(COUNTIFS(Equipar!B:B,5,Equipar!AC:AC,A539),"Equipada",
IF(
 OR( COUNTIFS(Equipar!B:B,5,Equipar!C:C,A539)
 +COUNTIFS(Equipar!B:B,5,Equipar!D:D,A539)
+COUNTIFS(Equipar!B:B,5,Equipar!E:E,A539)
+COUNTIFS(Equipar!B:B,5,Equipar!F:F,A539)
&gt;0,COUNTIF('Set recomendado'!B:B,C539)=0),
"Bloqueada",
"Desechable")),""
)</f>
        <v/>
      </c>
      <c r="J539" t="str" cm="1">
        <f t="array" aca="1" ref="J539" ca="1">IF(ISNUMBER(A539),IFERROR(_xlfn._xlws.FILTER(Equipar!A:A,(Equipar!B:B=5)*(Equipar!AC:AC=A539)),""),"")</f>
        <v/>
      </c>
    </row>
    <row r="540" spans="1:10" x14ac:dyDescent="0.25">
      <c r="A540" s="1" t="str">
        <f ca="1">IF(A539="ID",1,IF(ISBLANK(B540),"",MAX(A$2:A539)+1))</f>
        <v/>
      </c>
      <c r="I540" s="2" t="str">
        <f ca="1">IF(ISNUMBER(A540),
IF(COUNTIFS(Equipar!B:B,5,Equipar!AC:AC,A540),"Equipada",
IF(
 OR( COUNTIFS(Equipar!B:B,5,Equipar!C:C,A540)
 +COUNTIFS(Equipar!B:B,5,Equipar!D:D,A540)
+COUNTIFS(Equipar!B:B,5,Equipar!E:E,A540)
+COUNTIFS(Equipar!B:B,5,Equipar!F:F,A540)
&gt;0,COUNTIF('Set recomendado'!B:B,C540)=0),
"Bloqueada",
"Desechable")),""
)</f>
        <v/>
      </c>
      <c r="J540" t="str" cm="1">
        <f t="array" aca="1" ref="J540" ca="1">IF(ISNUMBER(A540),IFERROR(_xlfn._xlws.FILTER(Equipar!A:A,(Equipar!B:B=5)*(Equipar!AC:AC=A540)),""),"")</f>
        <v/>
      </c>
    </row>
    <row r="541" spans="1:10" x14ac:dyDescent="0.25">
      <c r="A541" s="1" t="str">
        <f ca="1">IF(A540="ID",1,IF(ISBLANK(B541),"",MAX(A$2:A540)+1))</f>
        <v/>
      </c>
      <c r="I541" s="2" t="str">
        <f ca="1">IF(ISNUMBER(A541),
IF(COUNTIFS(Equipar!B:B,5,Equipar!AC:AC,A541),"Equipada",
IF(
 OR( COUNTIFS(Equipar!B:B,5,Equipar!C:C,A541)
 +COUNTIFS(Equipar!B:B,5,Equipar!D:D,A541)
+COUNTIFS(Equipar!B:B,5,Equipar!E:E,A541)
+COUNTIFS(Equipar!B:B,5,Equipar!F:F,A541)
&gt;0,COUNTIF('Set recomendado'!B:B,C541)=0),
"Bloqueada",
"Desechable")),""
)</f>
        <v/>
      </c>
      <c r="J541" t="str" cm="1">
        <f t="array" aca="1" ref="J541" ca="1">IF(ISNUMBER(A541),IFERROR(_xlfn._xlws.FILTER(Equipar!A:A,(Equipar!B:B=5)*(Equipar!AC:AC=A541)),""),"")</f>
        <v/>
      </c>
    </row>
    <row r="542" spans="1:10" x14ac:dyDescent="0.25">
      <c r="A542" s="1" t="str">
        <f ca="1">IF(A541="ID",1,IF(ISBLANK(B542),"",MAX(A$2:A541)+1))</f>
        <v/>
      </c>
      <c r="I542" s="2" t="str">
        <f ca="1">IF(ISNUMBER(A542),
IF(COUNTIFS(Equipar!B:B,5,Equipar!AC:AC,A542),"Equipada",
IF(
 OR( COUNTIFS(Equipar!B:B,5,Equipar!C:C,A542)
 +COUNTIFS(Equipar!B:B,5,Equipar!D:D,A542)
+COUNTIFS(Equipar!B:B,5,Equipar!E:E,A542)
+COUNTIFS(Equipar!B:B,5,Equipar!F:F,A542)
&gt;0,COUNTIF('Set recomendado'!B:B,C542)=0),
"Bloqueada",
"Desechable")),""
)</f>
        <v/>
      </c>
      <c r="J542" t="str" cm="1">
        <f t="array" aca="1" ref="J542" ca="1">IF(ISNUMBER(A542),IFERROR(_xlfn._xlws.FILTER(Equipar!A:A,(Equipar!B:B=5)*(Equipar!AC:AC=A542)),""),"")</f>
        <v/>
      </c>
    </row>
    <row r="543" spans="1:10" x14ac:dyDescent="0.25">
      <c r="A543" s="1" t="str">
        <f ca="1">IF(A542="ID",1,IF(ISBLANK(B543),"",MAX(A$2:A542)+1))</f>
        <v/>
      </c>
      <c r="I543" s="2" t="str">
        <f ca="1">IF(ISNUMBER(A543),
IF(COUNTIFS(Equipar!B:B,5,Equipar!AC:AC,A543),"Equipada",
IF(
 OR( COUNTIFS(Equipar!B:B,5,Equipar!C:C,A543)
 +COUNTIFS(Equipar!B:B,5,Equipar!D:D,A543)
+COUNTIFS(Equipar!B:B,5,Equipar!E:E,A543)
+COUNTIFS(Equipar!B:B,5,Equipar!F:F,A543)
&gt;0,COUNTIF('Set recomendado'!B:B,C543)=0),
"Bloqueada",
"Desechable")),""
)</f>
        <v/>
      </c>
      <c r="J543" t="str" cm="1">
        <f t="array" aca="1" ref="J543" ca="1">IF(ISNUMBER(A543),IFERROR(_xlfn._xlws.FILTER(Equipar!A:A,(Equipar!B:B=5)*(Equipar!AC:AC=A543)),""),"")</f>
        <v/>
      </c>
    </row>
    <row r="544" spans="1:10" x14ac:dyDescent="0.25">
      <c r="A544" s="1" t="str">
        <f ca="1">IF(A543="ID",1,IF(ISBLANK(B544),"",MAX(A$2:A543)+1))</f>
        <v/>
      </c>
      <c r="I544" s="2" t="str">
        <f ca="1">IF(ISNUMBER(A544),
IF(COUNTIFS(Equipar!B:B,5,Equipar!AC:AC,A544),"Equipada",
IF(
 OR( COUNTIFS(Equipar!B:B,5,Equipar!C:C,A544)
 +COUNTIFS(Equipar!B:B,5,Equipar!D:D,A544)
+COUNTIFS(Equipar!B:B,5,Equipar!E:E,A544)
+COUNTIFS(Equipar!B:B,5,Equipar!F:F,A544)
&gt;0,COUNTIF('Set recomendado'!B:B,C544)=0),
"Bloqueada",
"Desechable")),""
)</f>
        <v/>
      </c>
      <c r="J544" t="str" cm="1">
        <f t="array" aca="1" ref="J544" ca="1">IF(ISNUMBER(A544),IFERROR(_xlfn._xlws.FILTER(Equipar!A:A,(Equipar!B:B=5)*(Equipar!AC:AC=A544)),""),"")</f>
        <v/>
      </c>
    </row>
    <row r="545" spans="1:10" x14ac:dyDescent="0.25">
      <c r="A545" s="1" t="str">
        <f ca="1">IF(A544="ID",1,IF(ISBLANK(B545),"",MAX(A$2:A544)+1))</f>
        <v/>
      </c>
      <c r="I545" s="2" t="str">
        <f ca="1">IF(ISNUMBER(A545),
IF(COUNTIFS(Equipar!B:B,5,Equipar!AC:AC,A545),"Equipada",
IF(
 OR( COUNTIFS(Equipar!B:B,5,Equipar!C:C,A545)
 +COUNTIFS(Equipar!B:B,5,Equipar!D:D,A545)
+COUNTIFS(Equipar!B:B,5,Equipar!E:E,A545)
+COUNTIFS(Equipar!B:B,5,Equipar!F:F,A545)
&gt;0,COUNTIF('Set recomendado'!B:B,C545)=0),
"Bloqueada",
"Desechable")),""
)</f>
        <v/>
      </c>
      <c r="J545" t="str" cm="1">
        <f t="array" aca="1" ref="J545" ca="1">IF(ISNUMBER(A545),IFERROR(_xlfn._xlws.FILTER(Equipar!A:A,(Equipar!B:B=5)*(Equipar!AC:AC=A545)),""),"")</f>
        <v/>
      </c>
    </row>
    <row r="546" spans="1:10" x14ac:dyDescent="0.25">
      <c r="A546" s="1" t="str">
        <f ca="1">IF(A545="ID",1,IF(ISBLANK(B546),"",MAX(A$2:A545)+1))</f>
        <v/>
      </c>
      <c r="I546" s="2" t="str">
        <f ca="1">IF(ISNUMBER(A546),
IF(COUNTIFS(Equipar!B:B,5,Equipar!AC:AC,A546),"Equipada",
IF(
 OR( COUNTIFS(Equipar!B:B,5,Equipar!C:C,A546)
 +COUNTIFS(Equipar!B:B,5,Equipar!D:D,A546)
+COUNTIFS(Equipar!B:B,5,Equipar!E:E,A546)
+COUNTIFS(Equipar!B:B,5,Equipar!F:F,A546)
&gt;0,COUNTIF('Set recomendado'!B:B,C546)=0),
"Bloqueada",
"Desechable")),""
)</f>
        <v/>
      </c>
      <c r="J546" t="str" cm="1">
        <f t="array" aca="1" ref="J546" ca="1">IF(ISNUMBER(A546),IFERROR(_xlfn._xlws.FILTER(Equipar!A:A,(Equipar!B:B=5)*(Equipar!AC:AC=A546)),""),"")</f>
        <v/>
      </c>
    </row>
    <row r="547" spans="1:10" x14ac:dyDescent="0.25">
      <c r="A547" s="1" t="str">
        <f ca="1">IF(A546="ID",1,IF(ISBLANK(B547),"",MAX(A$2:A546)+1))</f>
        <v/>
      </c>
      <c r="I547" s="2" t="str">
        <f ca="1">IF(ISNUMBER(A547),
IF(COUNTIFS(Equipar!B:B,5,Equipar!AC:AC,A547),"Equipada",
IF(
 OR( COUNTIFS(Equipar!B:B,5,Equipar!C:C,A547)
 +COUNTIFS(Equipar!B:B,5,Equipar!D:D,A547)
+COUNTIFS(Equipar!B:B,5,Equipar!E:E,A547)
+COUNTIFS(Equipar!B:B,5,Equipar!F:F,A547)
&gt;0,COUNTIF('Set recomendado'!B:B,C547)=0),
"Bloqueada",
"Desechable")),""
)</f>
        <v/>
      </c>
      <c r="J547" t="str" cm="1">
        <f t="array" aca="1" ref="J547" ca="1">IF(ISNUMBER(A547),IFERROR(_xlfn._xlws.FILTER(Equipar!A:A,(Equipar!B:B=5)*(Equipar!AC:AC=A547)),""),"")</f>
        <v/>
      </c>
    </row>
    <row r="548" spans="1:10" x14ac:dyDescent="0.25">
      <c r="A548" s="1" t="str">
        <f ca="1">IF(A547="ID",1,IF(ISBLANK(B548),"",MAX(A$2:A547)+1))</f>
        <v/>
      </c>
      <c r="I548" s="2" t="str">
        <f ca="1">IF(ISNUMBER(A548),
IF(COUNTIFS(Equipar!B:B,5,Equipar!AC:AC,A548),"Equipada",
IF(
 OR( COUNTIFS(Equipar!B:B,5,Equipar!C:C,A548)
 +COUNTIFS(Equipar!B:B,5,Equipar!D:D,A548)
+COUNTIFS(Equipar!B:B,5,Equipar!E:E,A548)
+COUNTIFS(Equipar!B:B,5,Equipar!F:F,A548)
&gt;0,COUNTIF('Set recomendado'!B:B,C548)=0),
"Bloqueada",
"Desechable")),""
)</f>
        <v/>
      </c>
      <c r="J548" t="str" cm="1">
        <f t="array" aca="1" ref="J548" ca="1">IF(ISNUMBER(A548),IFERROR(_xlfn._xlws.FILTER(Equipar!A:A,(Equipar!B:B=5)*(Equipar!AC:AC=A548)),""),"")</f>
        <v/>
      </c>
    </row>
    <row r="549" spans="1:10" x14ac:dyDescent="0.25">
      <c r="A549" s="1" t="str">
        <f ca="1">IF(A548="ID",1,IF(ISBLANK(B549),"",MAX(A$2:A548)+1))</f>
        <v/>
      </c>
      <c r="I549" s="2" t="str">
        <f ca="1">IF(ISNUMBER(A549),
IF(COUNTIFS(Equipar!B:B,5,Equipar!AC:AC,A549),"Equipada",
IF(
 OR( COUNTIFS(Equipar!B:B,5,Equipar!C:C,A549)
 +COUNTIFS(Equipar!B:B,5,Equipar!D:D,A549)
+COUNTIFS(Equipar!B:B,5,Equipar!E:E,A549)
+COUNTIFS(Equipar!B:B,5,Equipar!F:F,A549)
&gt;0,COUNTIF('Set recomendado'!B:B,C549)=0),
"Bloqueada",
"Desechable")),""
)</f>
        <v/>
      </c>
      <c r="J549" t="str" cm="1">
        <f t="array" aca="1" ref="J549" ca="1">IF(ISNUMBER(A549),IFERROR(_xlfn._xlws.FILTER(Equipar!A:A,(Equipar!B:B=5)*(Equipar!AC:AC=A549)),""),"")</f>
        <v/>
      </c>
    </row>
    <row r="550" spans="1:10" x14ac:dyDescent="0.25">
      <c r="A550" s="1" t="str">
        <f ca="1">IF(A549="ID",1,IF(ISBLANK(B550),"",MAX(A$2:A549)+1))</f>
        <v/>
      </c>
      <c r="I550" s="2" t="str">
        <f ca="1">IF(ISNUMBER(A550),
IF(COUNTIFS(Equipar!B:B,5,Equipar!AC:AC,A550),"Equipada",
IF(
 OR( COUNTIFS(Equipar!B:B,5,Equipar!C:C,A550)
 +COUNTIFS(Equipar!B:B,5,Equipar!D:D,A550)
+COUNTIFS(Equipar!B:B,5,Equipar!E:E,A550)
+COUNTIFS(Equipar!B:B,5,Equipar!F:F,A550)
&gt;0,COUNTIF('Set recomendado'!B:B,C550)=0),
"Bloqueada",
"Desechable")),""
)</f>
        <v/>
      </c>
      <c r="J550" t="str" cm="1">
        <f t="array" aca="1" ref="J550" ca="1">IF(ISNUMBER(A550),IFERROR(_xlfn._xlws.FILTER(Equipar!A:A,(Equipar!B:B=5)*(Equipar!AC:AC=A550)),""),"")</f>
        <v/>
      </c>
    </row>
    <row r="551" spans="1:10" x14ac:dyDescent="0.25">
      <c r="A551" s="1" t="str">
        <f ca="1">IF(A550="ID",1,IF(ISBLANK(B551),"",MAX(A$2:A550)+1))</f>
        <v/>
      </c>
      <c r="I551" s="2" t="str">
        <f ca="1">IF(ISNUMBER(A551),
IF(COUNTIFS(Equipar!B:B,5,Equipar!AC:AC,A551),"Equipada",
IF(
 OR( COUNTIFS(Equipar!B:B,5,Equipar!C:C,A551)
 +COUNTIFS(Equipar!B:B,5,Equipar!D:D,A551)
+COUNTIFS(Equipar!B:B,5,Equipar!E:E,A551)
+COUNTIFS(Equipar!B:B,5,Equipar!F:F,A551)
&gt;0,COUNTIF('Set recomendado'!B:B,C551)=0),
"Bloqueada",
"Desechable")),""
)</f>
        <v/>
      </c>
      <c r="J551" t="str" cm="1">
        <f t="array" aca="1" ref="J551" ca="1">IF(ISNUMBER(A551),IFERROR(_xlfn._xlws.FILTER(Equipar!A:A,(Equipar!B:B=5)*(Equipar!AC:AC=A551)),""),"")</f>
        <v/>
      </c>
    </row>
    <row r="552" spans="1:10" x14ac:dyDescent="0.25">
      <c r="A552" s="1" t="str">
        <f ca="1">IF(A551="ID",1,IF(ISBLANK(B552),"",MAX(A$2:A551)+1))</f>
        <v/>
      </c>
      <c r="I552" s="2" t="str">
        <f ca="1">IF(ISNUMBER(A552),
IF(COUNTIFS(Equipar!B:B,5,Equipar!AC:AC,A552),"Equipada",
IF(
 OR( COUNTIFS(Equipar!B:B,5,Equipar!C:C,A552)
 +COUNTIFS(Equipar!B:B,5,Equipar!D:D,A552)
+COUNTIFS(Equipar!B:B,5,Equipar!E:E,A552)
+COUNTIFS(Equipar!B:B,5,Equipar!F:F,A552)
&gt;0,COUNTIF('Set recomendado'!B:B,C552)=0),
"Bloqueada",
"Desechable")),""
)</f>
        <v/>
      </c>
      <c r="J552" t="str" cm="1">
        <f t="array" aca="1" ref="J552" ca="1">IF(ISNUMBER(A552),IFERROR(_xlfn._xlws.FILTER(Equipar!A:A,(Equipar!B:B=5)*(Equipar!AC:AC=A552)),""),"")</f>
        <v/>
      </c>
    </row>
    <row r="553" spans="1:10" x14ac:dyDescent="0.25">
      <c r="A553" s="1" t="str">
        <f ca="1">IF(A552="ID",1,IF(ISBLANK(B553),"",MAX(A$2:A552)+1))</f>
        <v/>
      </c>
      <c r="I553" s="2" t="str">
        <f ca="1">IF(ISNUMBER(A553),
IF(COUNTIFS(Equipar!B:B,5,Equipar!AC:AC,A553),"Equipada",
IF(
 OR( COUNTIFS(Equipar!B:B,5,Equipar!C:C,A553)
 +COUNTIFS(Equipar!B:B,5,Equipar!D:D,A553)
+COUNTIFS(Equipar!B:B,5,Equipar!E:E,A553)
+COUNTIFS(Equipar!B:B,5,Equipar!F:F,A553)
&gt;0,COUNTIF('Set recomendado'!B:B,C553)=0),
"Bloqueada",
"Desechable")),""
)</f>
        <v/>
      </c>
      <c r="J553" t="str" cm="1">
        <f t="array" aca="1" ref="J553" ca="1">IF(ISNUMBER(A553),IFERROR(_xlfn._xlws.FILTER(Equipar!A:A,(Equipar!B:B=5)*(Equipar!AC:AC=A553)),""),"")</f>
        <v/>
      </c>
    </row>
    <row r="554" spans="1:10" x14ac:dyDescent="0.25">
      <c r="A554" s="1" t="str">
        <f ca="1">IF(A553="ID",1,IF(ISBLANK(B554),"",MAX(A$2:A553)+1))</f>
        <v/>
      </c>
      <c r="I554" s="2" t="str">
        <f ca="1">IF(ISNUMBER(A554),
IF(COUNTIFS(Equipar!B:B,5,Equipar!AC:AC,A554),"Equipada",
IF(
 OR( COUNTIFS(Equipar!B:B,5,Equipar!C:C,A554)
 +COUNTIFS(Equipar!B:B,5,Equipar!D:D,A554)
+COUNTIFS(Equipar!B:B,5,Equipar!E:E,A554)
+COUNTIFS(Equipar!B:B,5,Equipar!F:F,A554)
&gt;0,COUNTIF('Set recomendado'!B:B,C554)=0),
"Bloqueada",
"Desechable")),""
)</f>
        <v/>
      </c>
      <c r="J554" t="str" cm="1">
        <f t="array" aca="1" ref="J554" ca="1">IF(ISNUMBER(A554),IFERROR(_xlfn._xlws.FILTER(Equipar!A:A,(Equipar!B:B=5)*(Equipar!AC:AC=A554)),""),"")</f>
        <v/>
      </c>
    </row>
    <row r="555" spans="1:10" x14ac:dyDescent="0.25">
      <c r="A555" s="1" t="str">
        <f ca="1">IF(A554="ID",1,IF(ISBLANK(B555),"",MAX(A$2:A554)+1))</f>
        <v/>
      </c>
      <c r="I555" s="2" t="str">
        <f ca="1">IF(ISNUMBER(A555),
IF(COUNTIFS(Equipar!B:B,5,Equipar!AC:AC,A555),"Equipada",
IF(
 OR( COUNTIFS(Equipar!B:B,5,Equipar!C:C,A555)
 +COUNTIFS(Equipar!B:B,5,Equipar!D:D,A555)
+COUNTIFS(Equipar!B:B,5,Equipar!E:E,A555)
+COUNTIFS(Equipar!B:B,5,Equipar!F:F,A555)
&gt;0,COUNTIF('Set recomendado'!B:B,C555)=0),
"Bloqueada",
"Desechable")),""
)</f>
        <v/>
      </c>
      <c r="J555" t="str" cm="1">
        <f t="array" aca="1" ref="J555" ca="1">IF(ISNUMBER(A555),IFERROR(_xlfn._xlws.FILTER(Equipar!A:A,(Equipar!B:B=5)*(Equipar!AC:AC=A555)),""),"")</f>
        <v/>
      </c>
    </row>
    <row r="556" spans="1:10" x14ac:dyDescent="0.25">
      <c r="A556" s="1" t="str">
        <f ca="1">IF(A555="ID",1,IF(ISBLANK(B556),"",MAX(A$2:A555)+1))</f>
        <v/>
      </c>
      <c r="I556" s="2" t="str">
        <f ca="1">IF(ISNUMBER(A556),
IF(COUNTIFS(Equipar!B:B,5,Equipar!AC:AC,A556),"Equipada",
IF(
 OR( COUNTIFS(Equipar!B:B,5,Equipar!C:C,A556)
 +COUNTIFS(Equipar!B:B,5,Equipar!D:D,A556)
+COUNTIFS(Equipar!B:B,5,Equipar!E:E,A556)
+COUNTIFS(Equipar!B:B,5,Equipar!F:F,A556)
&gt;0,COUNTIF('Set recomendado'!B:B,C556)=0),
"Bloqueada",
"Desechable")),""
)</f>
        <v/>
      </c>
      <c r="J556" t="str" cm="1">
        <f t="array" aca="1" ref="J556" ca="1">IF(ISNUMBER(A556),IFERROR(_xlfn._xlws.FILTER(Equipar!A:A,(Equipar!B:B=5)*(Equipar!AC:AC=A556)),""),"")</f>
        <v/>
      </c>
    </row>
    <row r="557" spans="1:10" x14ac:dyDescent="0.25">
      <c r="A557" s="1" t="str">
        <f ca="1">IF(A556="ID",1,IF(ISBLANK(B557),"",MAX(A$2:A556)+1))</f>
        <v/>
      </c>
      <c r="I557" s="2" t="str">
        <f ca="1">IF(ISNUMBER(A557),
IF(COUNTIFS(Equipar!B:B,5,Equipar!AC:AC,A557),"Equipada",
IF(
 OR( COUNTIFS(Equipar!B:B,5,Equipar!C:C,A557)
 +COUNTIFS(Equipar!B:B,5,Equipar!D:D,A557)
+COUNTIFS(Equipar!B:B,5,Equipar!E:E,A557)
+COUNTIFS(Equipar!B:B,5,Equipar!F:F,A557)
&gt;0,COUNTIF('Set recomendado'!B:B,C557)=0),
"Bloqueada",
"Desechable")),""
)</f>
        <v/>
      </c>
      <c r="J557" t="str" cm="1">
        <f t="array" aca="1" ref="J557" ca="1">IF(ISNUMBER(A557),IFERROR(_xlfn._xlws.FILTER(Equipar!A:A,(Equipar!B:B=5)*(Equipar!AC:AC=A557)),""),"")</f>
        <v/>
      </c>
    </row>
    <row r="558" spans="1:10" x14ac:dyDescent="0.25">
      <c r="A558" s="1" t="str">
        <f ca="1">IF(A557="ID",1,IF(ISBLANK(B558),"",MAX(A$2:A557)+1))</f>
        <v/>
      </c>
      <c r="I558" s="2" t="str">
        <f ca="1">IF(ISNUMBER(A558),
IF(COUNTIFS(Equipar!B:B,5,Equipar!AC:AC,A558),"Equipada",
IF(
 OR( COUNTIFS(Equipar!B:B,5,Equipar!C:C,A558)
 +COUNTIFS(Equipar!B:B,5,Equipar!D:D,A558)
+COUNTIFS(Equipar!B:B,5,Equipar!E:E,A558)
+COUNTIFS(Equipar!B:B,5,Equipar!F:F,A558)
&gt;0,COUNTIF('Set recomendado'!B:B,C558)=0),
"Bloqueada",
"Desechable")),""
)</f>
        <v/>
      </c>
      <c r="J558" t="str" cm="1">
        <f t="array" aca="1" ref="J558" ca="1">IF(ISNUMBER(A558),IFERROR(_xlfn._xlws.FILTER(Equipar!A:A,(Equipar!B:B=5)*(Equipar!AC:AC=A558)),""),"")</f>
        <v/>
      </c>
    </row>
    <row r="559" spans="1:10" x14ac:dyDescent="0.25">
      <c r="A559" s="1" t="str">
        <f ca="1">IF(A558="ID",1,IF(ISBLANK(B559),"",MAX(A$2:A558)+1))</f>
        <v/>
      </c>
      <c r="I559" s="2" t="str">
        <f ca="1">IF(ISNUMBER(A559),
IF(COUNTIFS(Equipar!B:B,5,Equipar!AC:AC,A559),"Equipada",
IF(
 OR( COUNTIFS(Equipar!B:B,5,Equipar!C:C,A559)
 +COUNTIFS(Equipar!B:B,5,Equipar!D:D,A559)
+COUNTIFS(Equipar!B:B,5,Equipar!E:E,A559)
+COUNTIFS(Equipar!B:B,5,Equipar!F:F,A559)
&gt;0,COUNTIF('Set recomendado'!B:B,C559)=0),
"Bloqueada",
"Desechable")),""
)</f>
        <v/>
      </c>
      <c r="J559" t="str" cm="1">
        <f t="array" aca="1" ref="J559" ca="1">IF(ISNUMBER(A559),IFERROR(_xlfn._xlws.FILTER(Equipar!A:A,(Equipar!B:B=5)*(Equipar!AC:AC=A559)),""),"")</f>
        <v/>
      </c>
    </row>
    <row r="560" spans="1:10" x14ac:dyDescent="0.25">
      <c r="A560" s="1" t="str">
        <f ca="1">IF(A559="ID",1,IF(ISBLANK(B560),"",MAX(A$2:A559)+1))</f>
        <v/>
      </c>
      <c r="I560" s="2" t="str">
        <f ca="1">IF(ISNUMBER(A560),
IF(COUNTIFS(Equipar!B:B,5,Equipar!AC:AC,A560),"Equipada",
IF(
 OR( COUNTIFS(Equipar!B:B,5,Equipar!C:C,A560)
 +COUNTIFS(Equipar!B:B,5,Equipar!D:D,A560)
+COUNTIFS(Equipar!B:B,5,Equipar!E:E,A560)
+COUNTIFS(Equipar!B:B,5,Equipar!F:F,A560)
&gt;0,COUNTIF('Set recomendado'!B:B,C560)=0),
"Bloqueada",
"Desechable")),""
)</f>
        <v/>
      </c>
      <c r="J560" t="str" cm="1">
        <f t="array" aca="1" ref="J560" ca="1">IF(ISNUMBER(A560),IFERROR(_xlfn._xlws.FILTER(Equipar!A:A,(Equipar!B:B=5)*(Equipar!AC:AC=A560)),""),"")</f>
        <v/>
      </c>
    </row>
    <row r="561" spans="1:10" x14ac:dyDescent="0.25">
      <c r="A561" s="1" t="str">
        <f ca="1">IF(A560="ID",1,IF(ISBLANK(B561),"",MAX(A$2:A560)+1))</f>
        <v/>
      </c>
      <c r="I561" s="2" t="str">
        <f ca="1">IF(ISNUMBER(A561),
IF(COUNTIFS(Equipar!B:B,5,Equipar!AC:AC,A561),"Equipada",
IF(
 OR( COUNTIFS(Equipar!B:B,5,Equipar!C:C,A561)
 +COUNTIFS(Equipar!B:B,5,Equipar!D:D,A561)
+COUNTIFS(Equipar!B:B,5,Equipar!E:E,A561)
+COUNTIFS(Equipar!B:B,5,Equipar!F:F,A561)
&gt;0,COUNTIF('Set recomendado'!B:B,C561)=0),
"Bloqueada",
"Desechable")),""
)</f>
        <v/>
      </c>
      <c r="J561" t="str" cm="1">
        <f t="array" aca="1" ref="J561" ca="1">IF(ISNUMBER(A561),IFERROR(_xlfn._xlws.FILTER(Equipar!A:A,(Equipar!B:B=5)*(Equipar!AC:AC=A561)),""),"")</f>
        <v/>
      </c>
    </row>
    <row r="562" spans="1:10" x14ac:dyDescent="0.25">
      <c r="A562" s="1" t="str">
        <f ca="1">IF(A561="ID",1,IF(ISBLANK(B562),"",MAX(A$2:A561)+1))</f>
        <v/>
      </c>
      <c r="I562" s="2" t="str">
        <f ca="1">IF(ISNUMBER(A562),
IF(COUNTIFS(Equipar!B:B,5,Equipar!AC:AC,A562),"Equipada",
IF(
 OR( COUNTIFS(Equipar!B:B,5,Equipar!C:C,A562)
 +COUNTIFS(Equipar!B:B,5,Equipar!D:D,A562)
+COUNTIFS(Equipar!B:B,5,Equipar!E:E,A562)
+COUNTIFS(Equipar!B:B,5,Equipar!F:F,A562)
&gt;0,COUNTIF('Set recomendado'!B:B,C562)=0),
"Bloqueada",
"Desechable")),""
)</f>
        <v/>
      </c>
      <c r="J562" t="str" cm="1">
        <f t="array" aca="1" ref="J562" ca="1">IF(ISNUMBER(A562),IFERROR(_xlfn._xlws.FILTER(Equipar!A:A,(Equipar!B:B=5)*(Equipar!AC:AC=A562)),""),"")</f>
        <v/>
      </c>
    </row>
    <row r="563" spans="1:10" x14ac:dyDescent="0.25">
      <c r="A563" s="1" t="str">
        <f ca="1">IF(A562="ID",1,IF(ISBLANK(B563),"",MAX(A$2:A562)+1))</f>
        <v/>
      </c>
      <c r="I563" s="2" t="str">
        <f ca="1">IF(ISNUMBER(A563),
IF(COUNTIFS(Equipar!B:B,5,Equipar!AC:AC,A563),"Equipada",
IF(
 OR( COUNTIFS(Equipar!B:B,5,Equipar!C:C,A563)
 +COUNTIFS(Equipar!B:B,5,Equipar!D:D,A563)
+COUNTIFS(Equipar!B:B,5,Equipar!E:E,A563)
+COUNTIFS(Equipar!B:B,5,Equipar!F:F,A563)
&gt;0,COUNTIF('Set recomendado'!B:B,C563)=0),
"Bloqueada",
"Desechable")),""
)</f>
        <v/>
      </c>
      <c r="J563" t="str" cm="1">
        <f t="array" aca="1" ref="J563" ca="1">IF(ISNUMBER(A563),IFERROR(_xlfn._xlws.FILTER(Equipar!A:A,(Equipar!B:B=5)*(Equipar!AC:AC=A563)),""),"")</f>
        <v/>
      </c>
    </row>
    <row r="564" spans="1:10" x14ac:dyDescent="0.25">
      <c r="A564" s="1" t="str">
        <f ca="1">IF(A563="ID",1,IF(ISBLANK(B564),"",MAX(A$2:A563)+1))</f>
        <v/>
      </c>
      <c r="I564" s="2" t="str">
        <f ca="1">IF(ISNUMBER(A564),
IF(COUNTIFS(Equipar!B:B,5,Equipar!AC:AC,A564),"Equipada",
IF(
 OR( COUNTIFS(Equipar!B:B,5,Equipar!C:C,A564)
 +COUNTIFS(Equipar!B:B,5,Equipar!D:D,A564)
+COUNTIFS(Equipar!B:B,5,Equipar!E:E,A564)
+COUNTIFS(Equipar!B:B,5,Equipar!F:F,A564)
&gt;0,COUNTIF('Set recomendado'!B:B,C564)=0),
"Bloqueada",
"Desechable")),""
)</f>
        <v/>
      </c>
      <c r="J564" t="str" cm="1">
        <f t="array" aca="1" ref="J564" ca="1">IF(ISNUMBER(A564),IFERROR(_xlfn._xlws.FILTER(Equipar!A:A,(Equipar!B:B=5)*(Equipar!AC:AC=A564)),""),"")</f>
        <v/>
      </c>
    </row>
    <row r="565" spans="1:10" x14ac:dyDescent="0.25">
      <c r="A565" s="1" t="str">
        <f ca="1">IF(A564="ID",1,IF(ISBLANK(B565),"",MAX(A$2:A564)+1))</f>
        <v/>
      </c>
      <c r="I565" s="2" t="str">
        <f ca="1">IF(ISNUMBER(A565),
IF(COUNTIFS(Equipar!B:B,5,Equipar!AC:AC,A565),"Equipada",
IF(
 OR( COUNTIFS(Equipar!B:B,5,Equipar!C:C,A565)
 +COUNTIFS(Equipar!B:B,5,Equipar!D:D,A565)
+COUNTIFS(Equipar!B:B,5,Equipar!E:E,A565)
+COUNTIFS(Equipar!B:B,5,Equipar!F:F,A565)
&gt;0,COUNTIF('Set recomendado'!B:B,C565)=0),
"Bloqueada",
"Desechable")),""
)</f>
        <v/>
      </c>
      <c r="J565" t="str" cm="1">
        <f t="array" aca="1" ref="J565" ca="1">IF(ISNUMBER(A565),IFERROR(_xlfn._xlws.FILTER(Equipar!A:A,(Equipar!B:B=5)*(Equipar!AC:AC=A565)),""),"")</f>
        <v/>
      </c>
    </row>
    <row r="566" spans="1:10" x14ac:dyDescent="0.25">
      <c r="A566" s="1" t="str">
        <f ca="1">IF(A565="ID",1,IF(ISBLANK(B566),"",MAX(A$2:A565)+1))</f>
        <v/>
      </c>
      <c r="I566" s="2" t="str">
        <f ca="1">IF(ISNUMBER(A566),
IF(COUNTIFS(Equipar!B:B,5,Equipar!AC:AC,A566),"Equipada",
IF(
 OR( COUNTIFS(Equipar!B:B,5,Equipar!C:C,A566)
 +COUNTIFS(Equipar!B:B,5,Equipar!D:D,A566)
+COUNTIFS(Equipar!B:B,5,Equipar!E:E,A566)
+COUNTIFS(Equipar!B:B,5,Equipar!F:F,A566)
&gt;0,COUNTIF('Set recomendado'!B:B,C566)=0),
"Bloqueada",
"Desechable")),""
)</f>
        <v/>
      </c>
      <c r="J566" t="str" cm="1">
        <f t="array" aca="1" ref="J566" ca="1">IF(ISNUMBER(A566),IFERROR(_xlfn._xlws.FILTER(Equipar!A:A,(Equipar!B:B=5)*(Equipar!AC:AC=A566)),""),"")</f>
        <v/>
      </c>
    </row>
    <row r="567" spans="1:10" x14ac:dyDescent="0.25">
      <c r="A567" s="1" t="str">
        <f ca="1">IF(A566="ID",1,IF(ISBLANK(B567),"",MAX(A$2:A566)+1))</f>
        <v/>
      </c>
      <c r="I567" s="2" t="str">
        <f ca="1">IF(ISNUMBER(A567),
IF(COUNTIFS(Equipar!B:B,5,Equipar!AC:AC,A567),"Equipada",
IF(
 OR( COUNTIFS(Equipar!B:B,5,Equipar!C:C,A567)
 +COUNTIFS(Equipar!B:B,5,Equipar!D:D,A567)
+COUNTIFS(Equipar!B:B,5,Equipar!E:E,A567)
+COUNTIFS(Equipar!B:B,5,Equipar!F:F,A567)
&gt;0,COUNTIF('Set recomendado'!B:B,C567)=0),
"Bloqueada",
"Desechable")),""
)</f>
        <v/>
      </c>
      <c r="J567" t="str" cm="1">
        <f t="array" aca="1" ref="J567" ca="1">IF(ISNUMBER(A567),IFERROR(_xlfn._xlws.FILTER(Equipar!A:A,(Equipar!B:B=5)*(Equipar!AC:AC=A567)),""),"")</f>
        <v/>
      </c>
    </row>
    <row r="568" spans="1:10" x14ac:dyDescent="0.25">
      <c r="A568" s="1" t="str">
        <f ca="1">IF(A567="ID",1,IF(ISBLANK(B568),"",MAX(A$2:A567)+1))</f>
        <v/>
      </c>
      <c r="I568" s="2" t="str">
        <f ca="1">IF(ISNUMBER(A568),
IF(COUNTIFS(Equipar!B:B,5,Equipar!AC:AC,A568),"Equipada",
IF(
 OR( COUNTIFS(Equipar!B:B,5,Equipar!C:C,A568)
 +COUNTIFS(Equipar!B:B,5,Equipar!D:D,A568)
+COUNTIFS(Equipar!B:B,5,Equipar!E:E,A568)
+COUNTIFS(Equipar!B:B,5,Equipar!F:F,A568)
&gt;0,COUNTIF('Set recomendado'!B:B,C568)=0),
"Bloqueada",
"Desechable")),""
)</f>
        <v/>
      </c>
      <c r="J568" t="str" cm="1">
        <f t="array" aca="1" ref="J568" ca="1">IF(ISNUMBER(A568),IFERROR(_xlfn._xlws.FILTER(Equipar!A:A,(Equipar!B:B=5)*(Equipar!AC:AC=A568)),""),"")</f>
        <v/>
      </c>
    </row>
    <row r="569" spans="1:10" x14ac:dyDescent="0.25">
      <c r="A569" s="1" t="str">
        <f ca="1">IF(A568="ID",1,IF(ISBLANK(B569),"",MAX(A$2:A568)+1))</f>
        <v/>
      </c>
      <c r="I569" s="2" t="str">
        <f ca="1">IF(ISNUMBER(A569),
IF(COUNTIFS(Equipar!B:B,5,Equipar!AC:AC,A569),"Equipada",
IF(
 OR( COUNTIFS(Equipar!B:B,5,Equipar!C:C,A569)
 +COUNTIFS(Equipar!B:B,5,Equipar!D:D,A569)
+COUNTIFS(Equipar!B:B,5,Equipar!E:E,A569)
+COUNTIFS(Equipar!B:B,5,Equipar!F:F,A569)
&gt;0,COUNTIF('Set recomendado'!B:B,C569)=0),
"Bloqueada",
"Desechable")),""
)</f>
        <v/>
      </c>
      <c r="J569" t="str" cm="1">
        <f t="array" aca="1" ref="J569" ca="1">IF(ISNUMBER(A569),IFERROR(_xlfn._xlws.FILTER(Equipar!A:A,(Equipar!B:B=5)*(Equipar!AC:AC=A569)),""),"")</f>
        <v/>
      </c>
    </row>
    <row r="570" spans="1:10" x14ac:dyDescent="0.25">
      <c r="A570" s="1" t="str">
        <f ca="1">IF(A569="ID",1,IF(ISBLANK(B570),"",MAX(A$2:A569)+1))</f>
        <v/>
      </c>
      <c r="I570" s="2" t="str">
        <f ca="1">IF(ISNUMBER(A570),
IF(COUNTIFS(Equipar!B:B,5,Equipar!AC:AC,A570),"Equipada",
IF(
 OR( COUNTIFS(Equipar!B:B,5,Equipar!C:C,A570)
 +COUNTIFS(Equipar!B:B,5,Equipar!D:D,A570)
+COUNTIFS(Equipar!B:B,5,Equipar!E:E,A570)
+COUNTIFS(Equipar!B:B,5,Equipar!F:F,A570)
&gt;0,COUNTIF('Set recomendado'!B:B,C570)=0),
"Bloqueada",
"Desechable")),""
)</f>
        <v/>
      </c>
      <c r="J570" t="str" cm="1">
        <f t="array" aca="1" ref="J570" ca="1">IF(ISNUMBER(A570),IFERROR(_xlfn._xlws.FILTER(Equipar!A:A,(Equipar!B:B=5)*(Equipar!AC:AC=A570)),""),"")</f>
        <v/>
      </c>
    </row>
    <row r="571" spans="1:10" x14ac:dyDescent="0.25">
      <c r="A571" s="1" t="str">
        <f ca="1">IF(A570="ID",1,IF(ISBLANK(B571),"",MAX(A$2:A570)+1))</f>
        <v/>
      </c>
      <c r="I571" s="2" t="str">
        <f ca="1">IF(ISNUMBER(A571),
IF(COUNTIFS(Equipar!B:B,5,Equipar!AC:AC,A571),"Equipada",
IF(
 OR( COUNTIFS(Equipar!B:B,5,Equipar!C:C,A571)
 +COUNTIFS(Equipar!B:B,5,Equipar!D:D,A571)
+COUNTIFS(Equipar!B:B,5,Equipar!E:E,A571)
+COUNTIFS(Equipar!B:B,5,Equipar!F:F,A571)
&gt;0,COUNTIF('Set recomendado'!B:B,C571)=0),
"Bloqueada",
"Desechable")),""
)</f>
        <v/>
      </c>
      <c r="J571" t="str" cm="1">
        <f t="array" aca="1" ref="J571" ca="1">IF(ISNUMBER(A571),IFERROR(_xlfn._xlws.FILTER(Equipar!A:A,(Equipar!B:B=5)*(Equipar!AC:AC=A571)),""),"")</f>
        <v/>
      </c>
    </row>
    <row r="572" spans="1:10" x14ac:dyDescent="0.25">
      <c r="A572" s="1" t="str">
        <f ca="1">IF(A571="ID",1,IF(ISBLANK(B572),"",MAX(A$2:A571)+1))</f>
        <v/>
      </c>
      <c r="I572" s="2" t="str">
        <f ca="1">IF(ISNUMBER(A572),
IF(COUNTIFS(Equipar!B:B,5,Equipar!AC:AC,A572),"Equipada",
IF(
 OR( COUNTIFS(Equipar!B:B,5,Equipar!C:C,A572)
 +COUNTIFS(Equipar!B:B,5,Equipar!D:D,A572)
+COUNTIFS(Equipar!B:B,5,Equipar!E:E,A572)
+COUNTIFS(Equipar!B:B,5,Equipar!F:F,A572)
&gt;0,COUNTIF('Set recomendado'!B:B,C572)=0),
"Bloqueada",
"Desechable")),""
)</f>
        <v/>
      </c>
      <c r="J572" t="str" cm="1">
        <f t="array" aca="1" ref="J572" ca="1">IF(ISNUMBER(A572),IFERROR(_xlfn._xlws.FILTER(Equipar!A:A,(Equipar!B:B=5)*(Equipar!AC:AC=A572)),""),"")</f>
        <v/>
      </c>
    </row>
    <row r="573" spans="1:10" x14ac:dyDescent="0.25">
      <c r="A573" s="1" t="str">
        <f ca="1">IF(A572="ID",1,IF(ISBLANK(B573),"",MAX(A$2:A572)+1))</f>
        <v/>
      </c>
      <c r="I573" s="2" t="str">
        <f ca="1">IF(ISNUMBER(A573),
IF(COUNTIFS(Equipar!B:B,5,Equipar!AC:AC,A573),"Equipada",
IF(
 OR( COUNTIFS(Equipar!B:B,5,Equipar!C:C,A573)
 +COUNTIFS(Equipar!B:B,5,Equipar!D:D,A573)
+COUNTIFS(Equipar!B:B,5,Equipar!E:E,A573)
+COUNTIFS(Equipar!B:B,5,Equipar!F:F,A573)
&gt;0,COUNTIF('Set recomendado'!B:B,C573)=0),
"Bloqueada",
"Desechable")),""
)</f>
        <v/>
      </c>
      <c r="J573" t="str" cm="1">
        <f t="array" aca="1" ref="J573" ca="1">IF(ISNUMBER(A573),IFERROR(_xlfn._xlws.FILTER(Equipar!A:A,(Equipar!B:B=5)*(Equipar!AC:AC=A573)),""),"")</f>
        <v/>
      </c>
    </row>
    <row r="574" spans="1:10" x14ac:dyDescent="0.25">
      <c r="A574" s="1" t="str">
        <f ca="1">IF(A573="ID",1,IF(ISBLANK(B574),"",MAX(A$2:A573)+1))</f>
        <v/>
      </c>
      <c r="I574" s="2" t="str">
        <f ca="1">IF(ISNUMBER(A574),
IF(COUNTIFS(Equipar!B:B,5,Equipar!AC:AC,A574),"Equipada",
IF(
 OR( COUNTIFS(Equipar!B:B,5,Equipar!C:C,A574)
 +COUNTIFS(Equipar!B:B,5,Equipar!D:D,A574)
+COUNTIFS(Equipar!B:B,5,Equipar!E:E,A574)
+COUNTIFS(Equipar!B:B,5,Equipar!F:F,A574)
&gt;0,COUNTIF('Set recomendado'!B:B,C574)=0),
"Bloqueada",
"Desechable")),""
)</f>
        <v/>
      </c>
      <c r="J574" t="str" cm="1">
        <f t="array" aca="1" ref="J574" ca="1">IF(ISNUMBER(A574),IFERROR(_xlfn._xlws.FILTER(Equipar!A:A,(Equipar!B:B=5)*(Equipar!AC:AC=A574)),""),"")</f>
        <v/>
      </c>
    </row>
    <row r="575" spans="1:10" x14ac:dyDescent="0.25">
      <c r="A575" s="1" t="str">
        <f ca="1">IF(A574="ID",1,IF(ISBLANK(B575),"",MAX(A$2:A574)+1))</f>
        <v/>
      </c>
      <c r="I575" s="2" t="str">
        <f ca="1">IF(ISNUMBER(A575),
IF(COUNTIFS(Equipar!B:B,5,Equipar!AC:AC,A575),"Equipada",
IF(
 OR( COUNTIFS(Equipar!B:B,5,Equipar!C:C,A575)
 +COUNTIFS(Equipar!B:B,5,Equipar!D:D,A575)
+COUNTIFS(Equipar!B:B,5,Equipar!E:E,A575)
+COUNTIFS(Equipar!B:B,5,Equipar!F:F,A575)
&gt;0,COUNTIF('Set recomendado'!B:B,C575)=0),
"Bloqueada",
"Desechable")),""
)</f>
        <v/>
      </c>
      <c r="J575" t="str" cm="1">
        <f t="array" aca="1" ref="J575" ca="1">IF(ISNUMBER(A575),IFERROR(_xlfn._xlws.FILTER(Equipar!A:A,(Equipar!B:B=5)*(Equipar!AC:AC=A575)),""),"")</f>
        <v/>
      </c>
    </row>
    <row r="576" spans="1:10" x14ac:dyDescent="0.25">
      <c r="A576" s="1" t="str">
        <f ca="1">IF(A575="ID",1,IF(ISBLANK(B576),"",MAX(A$2:A575)+1))</f>
        <v/>
      </c>
      <c r="I576" s="2" t="str">
        <f ca="1">IF(ISNUMBER(A576),
IF(COUNTIFS(Equipar!B:B,5,Equipar!AC:AC,A576),"Equipada",
IF(
 OR( COUNTIFS(Equipar!B:B,5,Equipar!C:C,A576)
 +COUNTIFS(Equipar!B:B,5,Equipar!D:D,A576)
+COUNTIFS(Equipar!B:B,5,Equipar!E:E,A576)
+COUNTIFS(Equipar!B:B,5,Equipar!F:F,A576)
&gt;0,COUNTIF('Set recomendado'!B:B,C576)=0),
"Bloqueada",
"Desechable")),""
)</f>
        <v/>
      </c>
      <c r="J576" t="str" cm="1">
        <f t="array" aca="1" ref="J576" ca="1">IF(ISNUMBER(A576),IFERROR(_xlfn._xlws.FILTER(Equipar!A:A,(Equipar!B:B=5)*(Equipar!AC:AC=A576)),""),"")</f>
        <v/>
      </c>
    </row>
    <row r="577" spans="1:10" x14ac:dyDescent="0.25">
      <c r="A577" s="1" t="str">
        <f ca="1">IF(A576="ID",1,IF(ISBLANK(B577),"",MAX(A$2:A576)+1))</f>
        <v/>
      </c>
      <c r="I577" s="2" t="str">
        <f ca="1">IF(ISNUMBER(A577),
IF(COUNTIFS(Equipar!B:B,5,Equipar!AC:AC,A577),"Equipada",
IF(
 OR( COUNTIFS(Equipar!B:B,5,Equipar!C:C,A577)
 +COUNTIFS(Equipar!B:B,5,Equipar!D:D,A577)
+COUNTIFS(Equipar!B:B,5,Equipar!E:E,A577)
+COUNTIFS(Equipar!B:B,5,Equipar!F:F,A577)
&gt;0,COUNTIF('Set recomendado'!B:B,C577)=0),
"Bloqueada",
"Desechable")),""
)</f>
        <v/>
      </c>
      <c r="J577" t="str" cm="1">
        <f t="array" aca="1" ref="J577" ca="1">IF(ISNUMBER(A577),IFERROR(_xlfn._xlws.FILTER(Equipar!A:A,(Equipar!B:B=5)*(Equipar!AC:AC=A577)),""),"")</f>
        <v/>
      </c>
    </row>
    <row r="578" spans="1:10" x14ac:dyDescent="0.25">
      <c r="A578" s="1" t="str">
        <f ca="1">IF(A577="ID",1,IF(ISBLANK(B578),"",MAX(A$2:A577)+1))</f>
        <v/>
      </c>
      <c r="I578" s="2" t="str">
        <f ca="1">IF(ISNUMBER(A578),
IF(COUNTIFS(Equipar!B:B,5,Equipar!AC:AC,A578),"Equipada",
IF(
 OR( COUNTIFS(Equipar!B:B,5,Equipar!C:C,A578)
 +COUNTIFS(Equipar!B:B,5,Equipar!D:D,A578)
+COUNTIFS(Equipar!B:B,5,Equipar!E:E,A578)
+COUNTIFS(Equipar!B:B,5,Equipar!F:F,A578)
&gt;0,COUNTIF('Set recomendado'!B:B,C578)=0),
"Bloqueada",
"Desechable")),""
)</f>
        <v/>
      </c>
      <c r="J578" t="str" cm="1">
        <f t="array" aca="1" ref="J578" ca="1">IF(ISNUMBER(A578),IFERROR(_xlfn._xlws.FILTER(Equipar!A:A,(Equipar!B:B=5)*(Equipar!AC:AC=A578)),""),"")</f>
        <v/>
      </c>
    </row>
    <row r="579" spans="1:10" x14ac:dyDescent="0.25">
      <c r="A579" s="1" t="str">
        <f ca="1">IF(A578="ID",1,IF(ISBLANK(B579),"",MAX(A$2:A578)+1))</f>
        <v/>
      </c>
      <c r="I579" s="2" t="str">
        <f ca="1">IF(ISNUMBER(A579),
IF(COUNTIFS(Equipar!B:B,5,Equipar!AC:AC,A579),"Equipada",
IF(
 OR( COUNTIFS(Equipar!B:B,5,Equipar!C:C,A579)
 +COUNTIFS(Equipar!B:B,5,Equipar!D:D,A579)
+COUNTIFS(Equipar!B:B,5,Equipar!E:E,A579)
+COUNTIFS(Equipar!B:B,5,Equipar!F:F,A579)
&gt;0,COUNTIF('Set recomendado'!B:B,C579)=0),
"Bloqueada",
"Desechable")),""
)</f>
        <v/>
      </c>
      <c r="J579" t="str" cm="1">
        <f t="array" aca="1" ref="J579" ca="1">IF(ISNUMBER(A579),IFERROR(_xlfn._xlws.FILTER(Equipar!A:A,(Equipar!B:B=5)*(Equipar!AC:AC=A579)),""),"")</f>
        <v/>
      </c>
    </row>
    <row r="580" spans="1:10" x14ac:dyDescent="0.25">
      <c r="A580" s="1" t="str">
        <f ca="1">IF(A579="ID",1,IF(ISBLANK(B580),"",MAX(A$2:A579)+1))</f>
        <v/>
      </c>
      <c r="I580" s="2" t="str">
        <f ca="1">IF(ISNUMBER(A580),
IF(COUNTIFS(Equipar!B:B,5,Equipar!AC:AC,A580),"Equipada",
IF(
 OR( COUNTIFS(Equipar!B:B,5,Equipar!C:C,A580)
 +COUNTIFS(Equipar!B:B,5,Equipar!D:D,A580)
+COUNTIFS(Equipar!B:B,5,Equipar!E:E,A580)
+COUNTIFS(Equipar!B:B,5,Equipar!F:F,A580)
&gt;0,COUNTIF('Set recomendado'!B:B,C580)=0),
"Bloqueada",
"Desechable")),""
)</f>
        <v/>
      </c>
      <c r="J580" t="str" cm="1">
        <f t="array" aca="1" ref="J580" ca="1">IF(ISNUMBER(A580),IFERROR(_xlfn._xlws.FILTER(Equipar!A:A,(Equipar!B:B=5)*(Equipar!AC:AC=A580)),""),"")</f>
        <v/>
      </c>
    </row>
    <row r="581" spans="1:10" x14ac:dyDescent="0.25">
      <c r="A581" s="1" t="str">
        <f ca="1">IF(A580="ID",1,IF(ISBLANK(B581),"",MAX(A$2:A580)+1))</f>
        <v/>
      </c>
      <c r="I581" s="2" t="str">
        <f ca="1">IF(ISNUMBER(A581),
IF(COUNTIFS(Equipar!B:B,5,Equipar!AC:AC,A581),"Equipada",
IF(
 OR( COUNTIFS(Equipar!B:B,5,Equipar!C:C,A581)
 +COUNTIFS(Equipar!B:B,5,Equipar!D:D,A581)
+COUNTIFS(Equipar!B:B,5,Equipar!E:E,A581)
+COUNTIFS(Equipar!B:B,5,Equipar!F:F,A581)
&gt;0,COUNTIF('Set recomendado'!B:B,C581)=0),
"Bloqueada",
"Desechable")),""
)</f>
        <v/>
      </c>
      <c r="J581" t="str" cm="1">
        <f t="array" aca="1" ref="J581" ca="1">IF(ISNUMBER(A581),IFERROR(_xlfn._xlws.FILTER(Equipar!A:A,(Equipar!B:B=5)*(Equipar!AC:AC=A581)),""),"")</f>
        <v/>
      </c>
    </row>
    <row r="582" spans="1:10" x14ac:dyDescent="0.25">
      <c r="A582" s="1" t="str">
        <f ca="1">IF(A581="ID",1,IF(ISBLANK(B582),"",MAX(A$2:A581)+1))</f>
        <v/>
      </c>
      <c r="I582" s="2" t="str">
        <f ca="1">IF(ISNUMBER(A582),
IF(COUNTIFS(Equipar!B:B,5,Equipar!AC:AC,A582),"Equipada",
IF(
 OR( COUNTIFS(Equipar!B:B,5,Equipar!C:C,A582)
 +COUNTIFS(Equipar!B:B,5,Equipar!D:D,A582)
+COUNTIFS(Equipar!B:B,5,Equipar!E:E,A582)
+COUNTIFS(Equipar!B:B,5,Equipar!F:F,A582)
&gt;0,COUNTIF('Set recomendado'!B:B,C582)=0),
"Bloqueada",
"Desechable")),""
)</f>
        <v/>
      </c>
      <c r="J582" t="str" cm="1">
        <f t="array" aca="1" ref="J582" ca="1">IF(ISNUMBER(A582),IFERROR(_xlfn._xlws.FILTER(Equipar!A:A,(Equipar!B:B=5)*(Equipar!AC:AC=A582)),""),"")</f>
        <v/>
      </c>
    </row>
    <row r="583" spans="1:10" x14ac:dyDescent="0.25">
      <c r="A583" s="1" t="str">
        <f ca="1">IF(A582="ID",1,IF(ISBLANK(B583),"",MAX(A$2:A582)+1))</f>
        <v/>
      </c>
      <c r="I583" s="2" t="str">
        <f ca="1">IF(ISNUMBER(A583),
IF(COUNTIFS(Equipar!B:B,5,Equipar!AC:AC,A583),"Equipada",
IF(
 OR( COUNTIFS(Equipar!B:B,5,Equipar!C:C,A583)
 +COUNTIFS(Equipar!B:B,5,Equipar!D:D,A583)
+COUNTIFS(Equipar!B:B,5,Equipar!E:E,A583)
+COUNTIFS(Equipar!B:B,5,Equipar!F:F,A583)
&gt;0,COUNTIF('Set recomendado'!B:B,C583)=0),
"Bloqueada",
"Desechable")),""
)</f>
        <v/>
      </c>
      <c r="J583" t="str" cm="1">
        <f t="array" aca="1" ref="J583" ca="1">IF(ISNUMBER(A583),IFERROR(_xlfn._xlws.FILTER(Equipar!A:A,(Equipar!B:B=5)*(Equipar!AC:AC=A583)),""),"")</f>
        <v/>
      </c>
    </row>
    <row r="584" spans="1:10" x14ac:dyDescent="0.25">
      <c r="A584" s="1" t="str">
        <f ca="1">IF(A583="ID",1,IF(ISBLANK(B584),"",MAX(A$2:A583)+1))</f>
        <v/>
      </c>
      <c r="I584" s="2" t="str">
        <f ca="1">IF(ISNUMBER(A584),
IF(COUNTIFS(Equipar!B:B,5,Equipar!AC:AC,A584),"Equipada",
IF(
 OR( COUNTIFS(Equipar!B:B,5,Equipar!C:C,A584)
 +COUNTIFS(Equipar!B:B,5,Equipar!D:D,A584)
+COUNTIFS(Equipar!B:B,5,Equipar!E:E,A584)
+COUNTIFS(Equipar!B:B,5,Equipar!F:F,A584)
&gt;0,COUNTIF('Set recomendado'!B:B,C584)=0),
"Bloqueada",
"Desechable")),""
)</f>
        <v/>
      </c>
      <c r="J584" t="str" cm="1">
        <f t="array" aca="1" ref="J584" ca="1">IF(ISNUMBER(A584),IFERROR(_xlfn._xlws.FILTER(Equipar!A:A,(Equipar!B:B=5)*(Equipar!AC:AC=A584)),""),"")</f>
        <v/>
      </c>
    </row>
    <row r="585" spans="1:10" x14ac:dyDescent="0.25">
      <c r="A585" s="1" t="str">
        <f ca="1">IF(A584="ID",1,IF(ISBLANK(B585),"",MAX(A$2:A584)+1))</f>
        <v/>
      </c>
      <c r="I585" s="2" t="str">
        <f ca="1">IF(ISNUMBER(A585),
IF(COUNTIFS(Equipar!B:B,5,Equipar!AC:AC,A585),"Equipada",
IF(
 OR( COUNTIFS(Equipar!B:B,5,Equipar!C:C,A585)
 +COUNTIFS(Equipar!B:B,5,Equipar!D:D,A585)
+COUNTIFS(Equipar!B:B,5,Equipar!E:E,A585)
+COUNTIFS(Equipar!B:B,5,Equipar!F:F,A585)
&gt;0,COUNTIF('Set recomendado'!B:B,C585)=0),
"Bloqueada",
"Desechable")),""
)</f>
        <v/>
      </c>
      <c r="J585" t="str" cm="1">
        <f t="array" aca="1" ref="J585" ca="1">IF(ISNUMBER(A585),IFERROR(_xlfn._xlws.FILTER(Equipar!A:A,(Equipar!B:B=5)*(Equipar!AC:AC=A585)),""),"")</f>
        <v/>
      </c>
    </row>
    <row r="586" spans="1:10" x14ac:dyDescent="0.25">
      <c r="A586" s="1" t="str">
        <f ca="1">IF(A585="ID",1,IF(ISBLANK(B586),"",MAX(A$2:A585)+1))</f>
        <v/>
      </c>
      <c r="I586" s="2" t="str">
        <f ca="1">IF(ISNUMBER(A586),
IF(COUNTIFS(Equipar!B:B,5,Equipar!AC:AC,A586),"Equipada",
IF(
 OR( COUNTIFS(Equipar!B:B,5,Equipar!C:C,A586)
 +COUNTIFS(Equipar!B:B,5,Equipar!D:D,A586)
+COUNTIFS(Equipar!B:B,5,Equipar!E:E,A586)
+COUNTIFS(Equipar!B:B,5,Equipar!F:F,A586)
&gt;0,COUNTIF('Set recomendado'!B:B,C586)=0),
"Bloqueada",
"Desechable")),""
)</f>
        <v/>
      </c>
      <c r="J586" t="str" cm="1">
        <f t="array" aca="1" ref="J586" ca="1">IF(ISNUMBER(A586),IFERROR(_xlfn._xlws.FILTER(Equipar!A:A,(Equipar!B:B=5)*(Equipar!AC:AC=A586)),""),"")</f>
        <v/>
      </c>
    </row>
    <row r="587" spans="1:10" x14ac:dyDescent="0.25">
      <c r="A587" s="1" t="str">
        <f ca="1">IF(A586="ID",1,IF(ISBLANK(B587),"",MAX(A$2:A586)+1))</f>
        <v/>
      </c>
      <c r="I587" s="2" t="str">
        <f ca="1">IF(ISNUMBER(A587),
IF(COUNTIFS(Equipar!B:B,5,Equipar!AC:AC,A587),"Equipada",
IF(
 OR( COUNTIFS(Equipar!B:B,5,Equipar!C:C,A587)
 +COUNTIFS(Equipar!B:B,5,Equipar!D:D,A587)
+COUNTIFS(Equipar!B:B,5,Equipar!E:E,A587)
+COUNTIFS(Equipar!B:B,5,Equipar!F:F,A587)
&gt;0,COUNTIF('Set recomendado'!B:B,C587)=0),
"Bloqueada",
"Desechable")),""
)</f>
        <v/>
      </c>
      <c r="J587" t="str" cm="1">
        <f t="array" aca="1" ref="J587" ca="1">IF(ISNUMBER(A587),IFERROR(_xlfn._xlws.FILTER(Equipar!A:A,(Equipar!B:B=5)*(Equipar!AC:AC=A587)),""),"")</f>
        <v/>
      </c>
    </row>
    <row r="588" spans="1:10" x14ac:dyDescent="0.25">
      <c r="A588" s="1" t="str">
        <f ca="1">IF(A587="ID",1,IF(ISBLANK(B588),"",MAX(A$2:A587)+1))</f>
        <v/>
      </c>
      <c r="I588" s="2" t="str">
        <f ca="1">IF(ISNUMBER(A588),
IF(COUNTIFS(Equipar!B:B,5,Equipar!AC:AC,A588),"Equipada",
IF(
 OR( COUNTIFS(Equipar!B:B,5,Equipar!C:C,A588)
 +COUNTIFS(Equipar!B:B,5,Equipar!D:D,A588)
+COUNTIFS(Equipar!B:B,5,Equipar!E:E,A588)
+COUNTIFS(Equipar!B:B,5,Equipar!F:F,A588)
&gt;0,COUNTIF('Set recomendado'!B:B,C588)=0),
"Bloqueada",
"Desechable")),""
)</f>
        <v/>
      </c>
      <c r="J588" t="str" cm="1">
        <f t="array" aca="1" ref="J588" ca="1">IF(ISNUMBER(A588),IFERROR(_xlfn._xlws.FILTER(Equipar!A:A,(Equipar!B:B=5)*(Equipar!AC:AC=A588)),""),"")</f>
        <v/>
      </c>
    </row>
    <row r="589" spans="1:10" x14ac:dyDescent="0.25">
      <c r="A589" s="1" t="str">
        <f ca="1">IF(A588="ID",1,IF(ISBLANK(B589),"",MAX(A$2:A588)+1))</f>
        <v/>
      </c>
      <c r="I589" s="2" t="str">
        <f ca="1">IF(ISNUMBER(A589),
IF(COUNTIFS(Equipar!B:B,5,Equipar!AC:AC,A589),"Equipada",
IF(
 OR( COUNTIFS(Equipar!B:B,5,Equipar!C:C,A589)
 +COUNTIFS(Equipar!B:B,5,Equipar!D:D,A589)
+COUNTIFS(Equipar!B:B,5,Equipar!E:E,A589)
+COUNTIFS(Equipar!B:B,5,Equipar!F:F,A589)
&gt;0,COUNTIF('Set recomendado'!B:B,C589)=0),
"Bloqueada",
"Desechable")),""
)</f>
        <v/>
      </c>
      <c r="J589" t="str" cm="1">
        <f t="array" aca="1" ref="J589" ca="1">IF(ISNUMBER(A589),IFERROR(_xlfn._xlws.FILTER(Equipar!A:A,(Equipar!B:B=5)*(Equipar!AC:AC=A589)),""),"")</f>
        <v/>
      </c>
    </row>
    <row r="590" spans="1:10" x14ac:dyDescent="0.25">
      <c r="A590" s="1" t="str">
        <f ca="1">IF(A589="ID",1,IF(ISBLANK(B590),"",MAX(A$2:A589)+1))</f>
        <v/>
      </c>
      <c r="I590" s="2" t="str">
        <f ca="1">IF(ISNUMBER(A590),
IF(COUNTIFS(Equipar!B:B,5,Equipar!AC:AC,A590),"Equipada",
IF(
 OR( COUNTIFS(Equipar!B:B,5,Equipar!C:C,A590)
 +COUNTIFS(Equipar!B:B,5,Equipar!D:D,A590)
+COUNTIFS(Equipar!B:B,5,Equipar!E:E,A590)
+COUNTIFS(Equipar!B:B,5,Equipar!F:F,A590)
&gt;0,COUNTIF('Set recomendado'!B:B,C590)=0),
"Bloqueada",
"Desechable")),""
)</f>
        <v/>
      </c>
      <c r="J590" t="str" cm="1">
        <f t="array" aca="1" ref="J590" ca="1">IF(ISNUMBER(A590),IFERROR(_xlfn._xlws.FILTER(Equipar!A:A,(Equipar!B:B=5)*(Equipar!AC:AC=A590)),""),"")</f>
        <v/>
      </c>
    </row>
    <row r="591" spans="1:10" x14ac:dyDescent="0.25">
      <c r="A591" s="1" t="str">
        <f ca="1">IF(A590="ID",1,IF(ISBLANK(B591),"",MAX(A$2:A590)+1))</f>
        <v/>
      </c>
      <c r="I591" s="2" t="str">
        <f ca="1">IF(ISNUMBER(A591),
IF(COUNTIFS(Equipar!B:B,5,Equipar!AC:AC,A591),"Equipada",
IF(
 OR( COUNTIFS(Equipar!B:B,5,Equipar!C:C,A591)
 +COUNTIFS(Equipar!B:B,5,Equipar!D:D,A591)
+COUNTIFS(Equipar!B:B,5,Equipar!E:E,A591)
+COUNTIFS(Equipar!B:B,5,Equipar!F:F,A591)
&gt;0,COUNTIF('Set recomendado'!B:B,C591)=0),
"Bloqueada",
"Desechable")),""
)</f>
        <v/>
      </c>
      <c r="J591" t="str" cm="1">
        <f t="array" aca="1" ref="J591" ca="1">IF(ISNUMBER(A591),IFERROR(_xlfn._xlws.FILTER(Equipar!A:A,(Equipar!B:B=5)*(Equipar!AC:AC=A591)),""),"")</f>
        <v/>
      </c>
    </row>
    <row r="592" spans="1:10" x14ac:dyDescent="0.25">
      <c r="A592" s="1" t="str">
        <f ca="1">IF(A591="ID",1,IF(ISBLANK(B592),"",MAX(A$2:A591)+1))</f>
        <v/>
      </c>
      <c r="I592" s="2" t="str">
        <f ca="1">IF(ISNUMBER(A592),
IF(COUNTIFS(Equipar!B:B,5,Equipar!AC:AC,A592),"Equipada",
IF(
 OR( COUNTIFS(Equipar!B:B,5,Equipar!C:C,A592)
 +COUNTIFS(Equipar!B:B,5,Equipar!D:D,A592)
+COUNTIFS(Equipar!B:B,5,Equipar!E:E,A592)
+COUNTIFS(Equipar!B:B,5,Equipar!F:F,A592)
&gt;0,COUNTIF('Set recomendado'!B:B,C592)=0),
"Bloqueada",
"Desechable")),""
)</f>
        <v/>
      </c>
      <c r="J592" t="str" cm="1">
        <f t="array" aca="1" ref="J592" ca="1">IF(ISNUMBER(A592),IFERROR(_xlfn._xlws.FILTER(Equipar!A:A,(Equipar!B:B=5)*(Equipar!AC:AC=A592)),""),"")</f>
        <v/>
      </c>
    </row>
    <row r="593" spans="1:10" x14ac:dyDescent="0.25">
      <c r="A593" s="1" t="str">
        <f ca="1">IF(A592="ID",1,IF(ISBLANK(B593),"",MAX(A$2:A592)+1))</f>
        <v/>
      </c>
      <c r="I593" s="2" t="str">
        <f ca="1">IF(ISNUMBER(A593),
IF(COUNTIFS(Equipar!B:B,5,Equipar!AC:AC,A593),"Equipada",
IF(
 OR( COUNTIFS(Equipar!B:B,5,Equipar!C:C,A593)
 +COUNTIFS(Equipar!B:B,5,Equipar!D:D,A593)
+COUNTIFS(Equipar!B:B,5,Equipar!E:E,A593)
+COUNTIFS(Equipar!B:B,5,Equipar!F:F,A593)
&gt;0,COUNTIF('Set recomendado'!B:B,C593)=0),
"Bloqueada",
"Desechable")),""
)</f>
        <v/>
      </c>
      <c r="J593" t="str" cm="1">
        <f t="array" aca="1" ref="J593" ca="1">IF(ISNUMBER(A593),IFERROR(_xlfn._xlws.FILTER(Equipar!A:A,(Equipar!B:B=5)*(Equipar!AC:AC=A593)),""),"")</f>
        <v/>
      </c>
    </row>
    <row r="594" spans="1:10" x14ac:dyDescent="0.25">
      <c r="A594" s="1" t="str">
        <f ca="1">IF(A593="ID",1,IF(ISBLANK(B594),"",MAX(A$2:A593)+1))</f>
        <v/>
      </c>
      <c r="I594" s="2" t="str">
        <f ca="1">IF(ISNUMBER(A594),
IF(COUNTIFS(Equipar!B:B,5,Equipar!AC:AC,A594),"Equipada",
IF(
 OR( COUNTIFS(Equipar!B:B,5,Equipar!C:C,A594)
 +COUNTIFS(Equipar!B:B,5,Equipar!D:D,A594)
+COUNTIFS(Equipar!B:B,5,Equipar!E:E,A594)
+COUNTIFS(Equipar!B:B,5,Equipar!F:F,A594)
&gt;0,COUNTIF('Set recomendado'!B:B,C594)=0),
"Bloqueada",
"Desechable")),""
)</f>
        <v/>
      </c>
      <c r="J594" t="str" cm="1">
        <f t="array" aca="1" ref="J594" ca="1">IF(ISNUMBER(A594),IFERROR(_xlfn._xlws.FILTER(Equipar!A:A,(Equipar!B:B=5)*(Equipar!AC:AC=A594)),""),"")</f>
        <v/>
      </c>
    </row>
    <row r="595" spans="1:10" x14ac:dyDescent="0.25">
      <c r="A595" s="1" t="str">
        <f ca="1">IF(A594="ID",1,IF(ISBLANK(B595),"",MAX(A$2:A594)+1))</f>
        <v/>
      </c>
      <c r="I595" s="2" t="str">
        <f ca="1">IF(ISNUMBER(A595),
IF(COUNTIFS(Equipar!B:B,5,Equipar!AC:AC,A595),"Equipada",
IF(
 OR( COUNTIFS(Equipar!B:B,5,Equipar!C:C,A595)
 +COUNTIFS(Equipar!B:B,5,Equipar!D:D,A595)
+COUNTIFS(Equipar!B:B,5,Equipar!E:E,A595)
+COUNTIFS(Equipar!B:B,5,Equipar!F:F,A595)
&gt;0,COUNTIF('Set recomendado'!B:B,C595)=0),
"Bloqueada",
"Desechable")),""
)</f>
        <v/>
      </c>
      <c r="J595" t="str" cm="1">
        <f t="array" aca="1" ref="J595" ca="1">IF(ISNUMBER(A595),IFERROR(_xlfn._xlws.FILTER(Equipar!A:A,(Equipar!B:B=5)*(Equipar!AC:AC=A595)),""),"")</f>
        <v/>
      </c>
    </row>
    <row r="596" spans="1:10" x14ac:dyDescent="0.25">
      <c r="A596" s="1" t="str">
        <f ca="1">IF(A595="ID",1,IF(ISBLANK(B596),"",MAX(A$2:A595)+1))</f>
        <v/>
      </c>
      <c r="I596" s="2" t="str">
        <f ca="1">IF(ISNUMBER(A596),
IF(COUNTIFS(Equipar!B:B,5,Equipar!AC:AC,A596),"Equipada",
IF(
 OR( COUNTIFS(Equipar!B:B,5,Equipar!C:C,A596)
 +COUNTIFS(Equipar!B:B,5,Equipar!D:D,A596)
+COUNTIFS(Equipar!B:B,5,Equipar!E:E,A596)
+COUNTIFS(Equipar!B:B,5,Equipar!F:F,A596)
&gt;0,COUNTIF('Set recomendado'!B:B,C596)=0),
"Bloqueada",
"Desechable")),""
)</f>
        <v/>
      </c>
      <c r="J596" t="str" cm="1">
        <f t="array" aca="1" ref="J596" ca="1">IF(ISNUMBER(A596),IFERROR(_xlfn._xlws.FILTER(Equipar!A:A,(Equipar!B:B=5)*(Equipar!AC:AC=A596)),""),"")</f>
        <v/>
      </c>
    </row>
    <row r="597" spans="1:10" x14ac:dyDescent="0.25">
      <c r="A597" s="1" t="str">
        <f ca="1">IF(A596="ID",1,IF(ISBLANK(B597),"",MAX(A$2:A596)+1))</f>
        <v/>
      </c>
      <c r="I597" s="2" t="str">
        <f ca="1">IF(ISNUMBER(A597),
IF(COUNTIFS(Equipar!B:B,5,Equipar!AC:AC,A597),"Equipada",
IF(
 OR( COUNTIFS(Equipar!B:B,5,Equipar!C:C,A597)
 +COUNTIFS(Equipar!B:B,5,Equipar!D:D,A597)
+COUNTIFS(Equipar!B:B,5,Equipar!E:E,A597)
+COUNTIFS(Equipar!B:B,5,Equipar!F:F,A597)
&gt;0,COUNTIF('Set recomendado'!B:B,C597)=0),
"Bloqueada",
"Desechable")),""
)</f>
        <v/>
      </c>
      <c r="J597" t="str" cm="1">
        <f t="array" aca="1" ref="J597" ca="1">IF(ISNUMBER(A597),IFERROR(_xlfn._xlws.FILTER(Equipar!A:A,(Equipar!B:B=5)*(Equipar!AC:AC=A597)),""),"")</f>
        <v/>
      </c>
    </row>
    <row r="598" spans="1:10" x14ac:dyDescent="0.25">
      <c r="A598" s="1" t="str">
        <f ca="1">IF(A597="ID",1,IF(ISBLANK(B598),"",MAX(A$2:A597)+1))</f>
        <v/>
      </c>
      <c r="I598" s="2" t="str">
        <f ca="1">IF(ISNUMBER(A598),
IF(COUNTIFS(Equipar!B:B,5,Equipar!AC:AC,A598),"Equipada",
IF(
 OR( COUNTIFS(Equipar!B:B,5,Equipar!C:C,A598)
 +COUNTIFS(Equipar!B:B,5,Equipar!D:D,A598)
+COUNTIFS(Equipar!B:B,5,Equipar!E:E,A598)
+COUNTIFS(Equipar!B:B,5,Equipar!F:F,A598)
&gt;0,COUNTIF('Set recomendado'!B:B,C598)=0),
"Bloqueada",
"Desechable")),""
)</f>
        <v/>
      </c>
      <c r="J598" t="str" cm="1">
        <f t="array" aca="1" ref="J598" ca="1">IF(ISNUMBER(A598),IFERROR(_xlfn._xlws.FILTER(Equipar!A:A,(Equipar!B:B=5)*(Equipar!AC:AC=A598)),""),"")</f>
        <v/>
      </c>
    </row>
    <row r="599" spans="1:10" x14ac:dyDescent="0.25">
      <c r="A599" s="1" t="str">
        <f ca="1">IF(A598="ID",1,IF(ISBLANK(B599),"",MAX(A$2:A598)+1))</f>
        <v/>
      </c>
      <c r="I599" s="2" t="str">
        <f ca="1">IF(ISNUMBER(A599),
IF(COUNTIFS(Equipar!B:B,5,Equipar!AC:AC,A599),"Equipada",
IF(
 OR( COUNTIFS(Equipar!B:B,5,Equipar!C:C,A599)
 +COUNTIFS(Equipar!B:B,5,Equipar!D:D,A599)
+COUNTIFS(Equipar!B:B,5,Equipar!E:E,A599)
+COUNTIFS(Equipar!B:B,5,Equipar!F:F,A599)
&gt;0,COUNTIF('Set recomendado'!B:B,C599)=0),
"Bloqueada",
"Desechable")),""
)</f>
        <v/>
      </c>
      <c r="J599" t="str" cm="1">
        <f t="array" aca="1" ref="J599" ca="1">IF(ISNUMBER(A599),IFERROR(_xlfn._xlws.FILTER(Equipar!A:A,(Equipar!B:B=5)*(Equipar!AC:AC=A599)),""),"")</f>
        <v/>
      </c>
    </row>
    <row r="600" spans="1:10" x14ac:dyDescent="0.25">
      <c r="A600" s="1" t="str">
        <f ca="1">IF(A599="ID",1,IF(ISBLANK(B600),"",MAX(A$2:A599)+1))</f>
        <v/>
      </c>
      <c r="I600" s="2" t="str">
        <f ca="1">IF(ISNUMBER(A600),
IF(COUNTIFS(Equipar!B:B,5,Equipar!AC:AC,A600),"Equipada",
IF(
 OR( COUNTIFS(Equipar!B:B,5,Equipar!C:C,A600)
 +COUNTIFS(Equipar!B:B,5,Equipar!D:D,A600)
+COUNTIFS(Equipar!B:B,5,Equipar!E:E,A600)
+COUNTIFS(Equipar!B:B,5,Equipar!F:F,A600)
&gt;0,COUNTIF('Set recomendado'!B:B,C600)=0),
"Bloqueada",
"Desechable")),""
)</f>
        <v/>
      </c>
      <c r="J600" t="str" cm="1">
        <f t="array" aca="1" ref="J600" ca="1">IF(ISNUMBER(A600),IFERROR(_xlfn._xlws.FILTER(Equipar!A:A,(Equipar!B:B=5)*(Equipar!AC:AC=A600)),""),"")</f>
        <v/>
      </c>
    </row>
    <row r="601" spans="1:10" x14ac:dyDescent="0.25">
      <c r="A601" s="1" t="str">
        <f ca="1">IF(A600="ID",1,IF(ISBLANK(B601),"",MAX(A$2:A600)+1))</f>
        <v/>
      </c>
      <c r="I601" s="2" t="str">
        <f ca="1">IF(ISNUMBER(A601),
IF(COUNTIFS(Equipar!B:B,5,Equipar!AC:AC,A601),"Equipada",
IF(
 OR( COUNTIFS(Equipar!B:B,5,Equipar!C:C,A601)
 +COUNTIFS(Equipar!B:B,5,Equipar!D:D,A601)
+COUNTIFS(Equipar!B:B,5,Equipar!E:E,A601)
+COUNTIFS(Equipar!B:B,5,Equipar!F:F,A601)
&gt;0,COUNTIF('Set recomendado'!B:B,C601)=0),
"Bloqueada",
"Desechable")),""
)</f>
        <v/>
      </c>
      <c r="J601" t="str" cm="1">
        <f t="array" aca="1" ref="J601" ca="1">IF(ISNUMBER(A601),IFERROR(_xlfn._xlws.FILTER(Equipar!A:A,(Equipar!B:B=5)*(Equipar!AC:AC=A601)),""),"")</f>
        <v/>
      </c>
    </row>
    <row r="602" spans="1:10" x14ac:dyDescent="0.25">
      <c r="A602" s="1" t="str">
        <f ca="1">IF(A601="ID",1,IF(ISBLANK(B602),"",MAX(A$2:A601)+1))</f>
        <v/>
      </c>
      <c r="I602" s="2" t="str">
        <f ca="1">IF(ISNUMBER(A602),
IF(COUNTIFS(Equipar!B:B,5,Equipar!AC:AC,A602),"Equipada",
IF(
 OR( COUNTIFS(Equipar!B:B,5,Equipar!C:C,A602)
 +COUNTIFS(Equipar!B:B,5,Equipar!D:D,A602)
+COUNTIFS(Equipar!B:B,5,Equipar!E:E,A602)
+COUNTIFS(Equipar!B:B,5,Equipar!F:F,A602)
&gt;0,COUNTIF('Set recomendado'!B:B,C602)=0),
"Bloqueada",
"Desechable")),""
)</f>
        <v/>
      </c>
      <c r="J602" t="str" cm="1">
        <f t="array" aca="1" ref="J602" ca="1">IF(ISNUMBER(A602),IFERROR(_xlfn._xlws.FILTER(Equipar!A:A,(Equipar!B:B=5)*(Equipar!AC:AC=A602)),""),"")</f>
        <v/>
      </c>
    </row>
    <row r="603" spans="1:10" x14ac:dyDescent="0.25">
      <c r="A603" s="1" t="str">
        <f ca="1">IF(A602="ID",1,IF(ISBLANK(B603),"",MAX(A$2:A602)+1))</f>
        <v/>
      </c>
      <c r="I603" s="2" t="str">
        <f ca="1">IF(ISNUMBER(A603),
IF(COUNTIFS(Equipar!B:B,5,Equipar!AC:AC,A603),"Equipada",
IF(
 OR( COUNTIFS(Equipar!B:B,5,Equipar!C:C,A603)
 +COUNTIFS(Equipar!B:B,5,Equipar!D:D,A603)
+COUNTIFS(Equipar!B:B,5,Equipar!E:E,A603)
+COUNTIFS(Equipar!B:B,5,Equipar!F:F,A603)
&gt;0,COUNTIF('Set recomendado'!B:B,C603)=0),
"Bloqueada",
"Desechable")),""
)</f>
        <v/>
      </c>
      <c r="J603" t="str" cm="1">
        <f t="array" aca="1" ref="J603" ca="1">IF(ISNUMBER(A603),IFERROR(_xlfn._xlws.FILTER(Equipar!A:A,(Equipar!B:B=5)*(Equipar!AC:AC=A603)),""),"")</f>
        <v/>
      </c>
    </row>
    <row r="604" spans="1:10" x14ac:dyDescent="0.25">
      <c r="A604" s="1" t="str">
        <f ca="1">IF(A603="ID",1,IF(ISBLANK(B604),"",MAX(A$2:A603)+1))</f>
        <v/>
      </c>
      <c r="I604" s="2" t="str">
        <f ca="1">IF(ISNUMBER(A604),
IF(COUNTIFS(Equipar!B:B,5,Equipar!AC:AC,A604),"Equipada",
IF(
 OR( COUNTIFS(Equipar!B:B,5,Equipar!C:C,A604)
 +COUNTIFS(Equipar!B:B,5,Equipar!D:D,A604)
+COUNTIFS(Equipar!B:B,5,Equipar!E:E,A604)
+COUNTIFS(Equipar!B:B,5,Equipar!F:F,A604)
&gt;0,COUNTIF('Set recomendado'!B:B,C604)=0),
"Bloqueada",
"Desechable")),""
)</f>
        <v/>
      </c>
      <c r="J604" t="str" cm="1">
        <f t="array" aca="1" ref="J604" ca="1">IF(ISNUMBER(A604),IFERROR(_xlfn._xlws.FILTER(Equipar!A:A,(Equipar!B:B=5)*(Equipar!AC:AC=A604)),""),"")</f>
        <v/>
      </c>
    </row>
    <row r="605" spans="1:10" x14ac:dyDescent="0.25">
      <c r="A605" s="1" t="str">
        <f ca="1">IF(A604="ID",1,IF(ISBLANK(B605),"",MAX(A$2:A604)+1))</f>
        <v/>
      </c>
      <c r="I605" s="2" t="str">
        <f ca="1">IF(ISNUMBER(A605),
IF(COUNTIFS(Equipar!B:B,5,Equipar!AC:AC,A605),"Equipada",
IF(
 OR( COUNTIFS(Equipar!B:B,5,Equipar!C:C,A605)
 +COUNTIFS(Equipar!B:B,5,Equipar!D:D,A605)
+COUNTIFS(Equipar!B:B,5,Equipar!E:E,A605)
+COUNTIFS(Equipar!B:B,5,Equipar!F:F,A605)
&gt;0,COUNTIF('Set recomendado'!B:B,C605)=0),
"Bloqueada",
"Desechable")),""
)</f>
        <v/>
      </c>
      <c r="J605" t="str" cm="1">
        <f t="array" aca="1" ref="J605" ca="1">IF(ISNUMBER(A605),IFERROR(_xlfn._xlws.FILTER(Equipar!A:A,(Equipar!B:B=5)*(Equipar!AC:AC=A605)),""),"")</f>
        <v/>
      </c>
    </row>
    <row r="606" spans="1:10" x14ac:dyDescent="0.25">
      <c r="A606" s="1" t="str">
        <f ca="1">IF(A605="ID",1,IF(ISBLANK(B606),"",MAX(A$2:A605)+1))</f>
        <v/>
      </c>
      <c r="I606" s="2" t="str">
        <f ca="1">IF(ISNUMBER(A606),
IF(COUNTIFS(Equipar!B:B,5,Equipar!AC:AC,A606),"Equipada",
IF(
 OR( COUNTIFS(Equipar!B:B,5,Equipar!C:C,A606)
 +COUNTIFS(Equipar!B:B,5,Equipar!D:D,A606)
+COUNTIFS(Equipar!B:B,5,Equipar!E:E,A606)
+COUNTIFS(Equipar!B:B,5,Equipar!F:F,A606)
&gt;0,COUNTIF('Set recomendado'!B:B,C606)=0),
"Bloqueada",
"Desechable")),""
)</f>
        <v/>
      </c>
      <c r="J606" t="str" cm="1">
        <f t="array" aca="1" ref="J606" ca="1">IF(ISNUMBER(A606),IFERROR(_xlfn._xlws.FILTER(Equipar!A:A,(Equipar!B:B=5)*(Equipar!AC:AC=A606)),""),"")</f>
        <v/>
      </c>
    </row>
    <row r="607" spans="1:10" x14ac:dyDescent="0.25">
      <c r="A607" s="1" t="str">
        <f ca="1">IF(A606="ID",1,IF(ISBLANK(B607),"",MAX(A$2:A606)+1))</f>
        <v/>
      </c>
      <c r="I607" s="2" t="str">
        <f ca="1">IF(ISNUMBER(A607),
IF(COUNTIFS(Equipar!B:B,5,Equipar!AC:AC,A607),"Equipada",
IF(
 OR( COUNTIFS(Equipar!B:B,5,Equipar!C:C,A607)
 +COUNTIFS(Equipar!B:B,5,Equipar!D:D,A607)
+COUNTIFS(Equipar!B:B,5,Equipar!E:E,A607)
+COUNTIFS(Equipar!B:B,5,Equipar!F:F,A607)
&gt;0,COUNTIF('Set recomendado'!B:B,C607)=0),
"Bloqueada",
"Desechable")),""
)</f>
        <v/>
      </c>
      <c r="J607" t="str" cm="1">
        <f t="array" aca="1" ref="J607" ca="1">IF(ISNUMBER(A607),IFERROR(_xlfn._xlws.FILTER(Equipar!A:A,(Equipar!B:B=5)*(Equipar!AC:AC=A607)),""),"")</f>
        <v/>
      </c>
    </row>
    <row r="608" spans="1:10" x14ac:dyDescent="0.25">
      <c r="A608" s="1" t="str">
        <f ca="1">IF(A607="ID",1,IF(ISBLANK(B608),"",MAX(A$2:A607)+1))</f>
        <v/>
      </c>
      <c r="I608" s="2" t="str">
        <f ca="1">IF(ISNUMBER(A608),
IF(COUNTIFS(Equipar!B:B,5,Equipar!AC:AC,A608),"Equipada",
IF(
 OR( COUNTIFS(Equipar!B:B,5,Equipar!C:C,A608)
 +COUNTIFS(Equipar!B:B,5,Equipar!D:D,A608)
+COUNTIFS(Equipar!B:B,5,Equipar!E:E,A608)
+COUNTIFS(Equipar!B:B,5,Equipar!F:F,A608)
&gt;0,COUNTIF('Set recomendado'!B:B,C608)=0),
"Bloqueada",
"Desechable")),""
)</f>
        <v/>
      </c>
      <c r="J608" t="str" cm="1">
        <f t="array" aca="1" ref="J608" ca="1">IF(ISNUMBER(A608),IFERROR(_xlfn._xlws.FILTER(Equipar!A:A,(Equipar!B:B=5)*(Equipar!AC:AC=A608)),""),"")</f>
        <v/>
      </c>
    </row>
    <row r="609" spans="1:10" x14ac:dyDescent="0.25">
      <c r="A609" s="1" t="str">
        <f ca="1">IF(A608="ID",1,IF(ISBLANK(B609),"",MAX(A$2:A608)+1))</f>
        <v/>
      </c>
      <c r="I609" s="2" t="str">
        <f ca="1">IF(ISNUMBER(A609),
IF(COUNTIFS(Equipar!B:B,5,Equipar!AC:AC,A609),"Equipada",
IF(
 OR( COUNTIFS(Equipar!B:B,5,Equipar!C:C,A609)
 +COUNTIFS(Equipar!B:B,5,Equipar!D:D,A609)
+COUNTIFS(Equipar!B:B,5,Equipar!E:E,A609)
+COUNTIFS(Equipar!B:B,5,Equipar!F:F,A609)
&gt;0,COUNTIF('Set recomendado'!B:B,C609)=0),
"Bloqueada",
"Desechable")),""
)</f>
        <v/>
      </c>
      <c r="J609" t="str" cm="1">
        <f t="array" aca="1" ref="J609" ca="1">IF(ISNUMBER(A609),IFERROR(_xlfn._xlws.FILTER(Equipar!A:A,(Equipar!B:B=5)*(Equipar!AC:AC=A609)),""),"")</f>
        <v/>
      </c>
    </row>
    <row r="610" spans="1:10" x14ac:dyDescent="0.25">
      <c r="A610" s="1" t="str">
        <f ca="1">IF(A609="ID",1,IF(ISBLANK(B610),"",MAX(A$2:A609)+1))</f>
        <v/>
      </c>
      <c r="I610" s="2" t="str">
        <f ca="1">IF(ISNUMBER(A610),
IF(COUNTIFS(Equipar!B:B,5,Equipar!AC:AC,A610),"Equipada",
IF(
 OR( COUNTIFS(Equipar!B:B,5,Equipar!C:C,A610)
 +COUNTIFS(Equipar!B:B,5,Equipar!D:D,A610)
+COUNTIFS(Equipar!B:B,5,Equipar!E:E,A610)
+COUNTIFS(Equipar!B:B,5,Equipar!F:F,A610)
&gt;0,COUNTIF('Set recomendado'!B:B,C610)=0),
"Bloqueada",
"Desechable")),""
)</f>
        <v/>
      </c>
      <c r="J610" t="str" cm="1">
        <f t="array" aca="1" ref="J610" ca="1">IF(ISNUMBER(A610),IFERROR(_xlfn._xlws.FILTER(Equipar!A:A,(Equipar!B:B=5)*(Equipar!AC:AC=A610)),""),"")</f>
        <v/>
      </c>
    </row>
    <row r="611" spans="1:10" x14ac:dyDescent="0.25">
      <c r="A611" s="1" t="str">
        <f ca="1">IF(A610="ID",1,IF(ISBLANK(B611),"",MAX(A$2:A610)+1))</f>
        <v/>
      </c>
      <c r="I611" s="2" t="str">
        <f ca="1">IF(ISNUMBER(A611),
IF(COUNTIFS(Equipar!B:B,5,Equipar!AC:AC,A611),"Equipada",
IF(
 OR( COUNTIFS(Equipar!B:B,5,Equipar!C:C,A611)
 +COUNTIFS(Equipar!B:B,5,Equipar!D:D,A611)
+COUNTIFS(Equipar!B:B,5,Equipar!E:E,A611)
+COUNTIFS(Equipar!B:B,5,Equipar!F:F,A611)
&gt;0,COUNTIF('Set recomendado'!B:B,C611)=0),
"Bloqueada",
"Desechable")),""
)</f>
        <v/>
      </c>
      <c r="J611" t="str" cm="1">
        <f t="array" aca="1" ref="J611" ca="1">IF(ISNUMBER(A611),IFERROR(_xlfn._xlws.FILTER(Equipar!A:A,(Equipar!B:B=5)*(Equipar!AC:AC=A611)),""),"")</f>
        <v/>
      </c>
    </row>
    <row r="612" spans="1:10" x14ac:dyDescent="0.25">
      <c r="A612" s="1" t="str">
        <f ca="1">IF(A611="ID",1,IF(ISBLANK(B612),"",MAX(A$2:A611)+1))</f>
        <v/>
      </c>
      <c r="I612" s="2" t="str">
        <f ca="1">IF(ISNUMBER(A612),
IF(COUNTIFS(Equipar!B:B,5,Equipar!AC:AC,A612),"Equipada",
IF(
 OR( COUNTIFS(Equipar!B:B,5,Equipar!C:C,A612)
 +COUNTIFS(Equipar!B:B,5,Equipar!D:D,A612)
+COUNTIFS(Equipar!B:B,5,Equipar!E:E,A612)
+COUNTIFS(Equipar!B:B,5,Equipar!F:F,A612)
&gt;0,COUNTIF('Set recomendado'!B:B,C612)=0),
"Bloqueada",
"Desechable")),""
)</f>
        <v/>
      </c>
      <c r="J612" t="str" cm="1">
        <f t="array" aca="1" ref="J612" ca="1">IF(ISNUMBER(A612),IFERROR(_xlfn._xlws.FILTER(Equipar!A:A,(Equipar!B:B=5)*(Equipar!AC:AC=A612)),""),"")</f>
        <v/>
      </c>
    </row>
    <row r="613" spans="1:10" x14ac:dyDescent="0.25">
      <c r="A613" s="1" t="str">
        <f ca="1">IF(A612="ID",1,IF(ISBLANK(B613),"",MAX(A$2:A612)+1))</f>
        <v/>
      </c>
      <c r="I613" s="2" t="str">
        <f ca="1">IF(ISNUMBER(A613),
IF(COUNTIFS(Equipar!B:B,5,Equipar!AC:AC,A613),"Equipada",
IF(
 OR( COUNTIFS(Equipar!B:B,5,Equipar!C:C,A613)
 +COUNTIFS(Equipar!B:B,5,Equipar!D:D,A613)
+COUNTIFS(Equipar!B:B,5,Equipar!E:E,A613)
+COUNTIFS(Equipar!B:B,5,Equipar!F:F,A613)
&gt;0,COUNTIF('Set recomendado'!B:B,C613)=0),
"Bloqueada",
"Desechable")),""
)</f>
        <v/>
      </c>
      <c r="J613" t="str" cm="1">
        <f t="array" aca="1" ref="J613" ca="1">IF(ISNUMBER(A613),IFERROR(_xlfn._xlws.FILTER(Equipar!A:A,(Equipar!B:B=5)*(Equipar!AC:AC=A613)),""),"")</f>
        <v/>
      </c>
    </row>
    <row r="614" spans="1:10" x14ac:dyDescent="0.25">
      <c r="A614" s="1" t="str">
        <f ca="1">IF(A613="ID",1,IF(ISBLANK(B614),"",MAX(A$2:A613)+1))</f>
        <v/>
      </c>
      <c r="I614" s="2" t="str">
        <f ca="1">IF(ISNUMBER(A614),
IF(COUNTIFS(Equipar!B:B,5,Equipar!AC:AC,A614),"Equipada",
IF(
 OR( COUNTIFS(Equipar!B:B,5,Equipar!C:C,A614)
 +COUNTIFS(Equipar!B:B,5,Equipar!D:D,A614)
+COUNTIFS(Equipar!B:B,5,Equipar!E:E,A614)
+COUNTIFS(Equipar!B:B,5,Equipar!F:F,A614)
&gt;0,COUNTIF('Set recomendado'!B:B,C614)=0),
"Bloqueada",
"Desechable")),""
)</f>
        <v/>
      </c>
      <c r="J614" t="str" cm="1">
        <f t="array" aca="1" ref="J614" ca="1">IF(ISNUMBER(A614),IFERROR(_xlfn._xlws.FILTER(Equipar!A:A,(Equipar!B:B=5)*(Equipar!AC:AC=A614)),""),"")</f>
        <v/>
      </c>
    </row>
    <row r="615" spans="1:10" x14ac:dyDescent="0.25">
      <c r="A615" s="1" t="str">
        <f ca="1">IF(A614="ID",1,IF(ISBLANK(B615),"",MAX(A$2:A614)+1))</f>
        <v/>
      </c>
      <c r="I615" s="2" t="str">
        <f ca="1">IF(ISNUMBER(A615),
IF(COUNTIFS(Equipar!B:B,5,Equipar!AC:AC,A615),"Equipada",
IF(
 OR( COUNTIFS(Equipar!B:B,5,Equipar!C:C,A615)
 +COUNTIFS(Equipar!B:B,5,Equipar!D:D,A615)
+COUNTIFS(Equipar!B:B,5,Equipar!E:E,A615)
+COUNTIFS(Equipar!B:B,5,Equipar!F:F,A615)
&gt;0,COUNTIF('Set recomendado'!B:B,C615)=0),
"Bloqueada",
"Desechable")),""
)</f>
        <v/>
      </c>
      <c r="J615" t="str" cm="1">
        <f t="array" aca="1" ref="J615" ca="1">IF(ISNUMBER(A615),IFERROR(_xlfn._xlws.FILTER(Equipar!A:A,(Equipar!B:B=5)*(Equipar!AC:AC=A615)),""),"")</f>
        <v/>
      </c>
    </row>
    <row r="616" spans="1:10" x14ac:dyDescent="0.25">
      <c r="A616" s="1" t="str">
        <f ca="1">IF(A615="ID",1,IF(ISBLANK(B616),"",MAX(A$2:A615)+1))</f>
        <v/>
      </c>
      <c r="I616" s="2" t="str">
        <f ca="1">IF(ISNUMBER(A616),
IF(COUNTIFS(Equipar!B:B,5,Equipar!AC:AC,A616),"Equipada",
IF(
 OR( COUNTIFS(Equipar!B:B,5,Equipar!C:C,A616)
 +COUNTIFS(Equipar!B:B,5,Equipar!D:D,A616)
+COUNTIFS(Equipar!B:B,5,Equipar!E:E,A616)
+COUNTIFS(Equipar!B:B,5,Equipar!F:F,A616)
&gt;0,COUNTIF('Set recomendado'!B:B,C616)=0),
"Bloqueada",
"Desechable")),""
)</f>
        <v/>
      </c>
      <c r="J616" t="str" cm="1">
        <f t="array" aca="1" ref="J616" ca="1">IF(ISNUMBER(A616),IFERROR(_xlfn._xlws.FILTER(Equipar!A:A,(Equipar!B:B=5)*(Equipar!AC:AC=A616)),""),"")</f>
        <v/>
      </c>
    </row>
    <row r="617" spans="1:10" x14ac:dyDescent="0.25">
      <c r="A617" s="1" t="str">
        <f ca="1">IF(A616="ID",1,IF(ISBLANK(B617),"",MAX(A$2:A616)+1))</f>
        <v/>
      </c>
      <c r="I617" s="2" t="str">
        <f ca="1">IF(ISNUMBER(A617),
IF(COUNTIFS(Equipar!B:B,5,Equipar!AC:AC,A617),"Equipada",
IF(
 OR( COUNTIFS(Equipar!B:B,5,Equipar!C:C,A617)
 +COUNTIFS(Equipar!B:B,5,Equipar!D:D,A617)
+COUNTIFS(Equipar!B:B,5,Equipar!E:E,A617)
+COUNTIFS(Equipar!B:B,5,Equipar!F:F,A617)
&gt;0,COUNTIF('Set recomendado'!B:B,C617)=0),
"Bloqueada",
"Desechable")),""
)</f>
        <v/>
      </c>
      <c r="J617" t="str" cm="1">
        <f t="array" aca="1" ref="J617" ca="1">IF(ISNUMBER(A617),IFERROR(_xlfn._xlws.FILTER(Equipar!A:A,(Equipar!B:B=5)*(Equipar!AC:AC=A617)),""),"")</f>
        <v/>
      </c>
    </row>
    <row r="618" spans="1:10" x14ac:dyDescent="0.25">
      <c r="A618" s="1" t="str">
        <f ca="1">IF(A617="ID",1,IF(ISBLANK(B618),"",MAX(A$2:A617)+1))</f>
        <v/>
      </c>
      <c r="I618" s="2" t="str">
        <f ca="1">IF(ISNUMBER(A618),
IF(COUNTIFS(Equipar!B:B,5,Equipar!AC:AC,A618),"Equipada",
IF(
 OR( COUNTIFS(Equipar!B:B,5,Equipar!C:C,A618)
 +COUNTIFS(Equipar!B:B,5,Equipar!D:D,A618)
+COUNTIFS(Equipar!B:B,5,Equipar!E:E,A618)
+COUNTIFS(Equipar!B:B,5,Equipar!F:F,A618)
&gt;0,COUNTIF('Set recomendado'!B:B,C618)=0),
"Bloqueada",
"Desechable")),""
)</f>
        <v/>
      </c>
      <c r="J618" t="str" cm="1">
        <f t="array" aca="1" ref="J618" ca="1">IF(ISNUMBER(A618),IFERROR(_xlfn._xlws.FILTER(Equipar!A:A,(Equipar!B:B=5)*(Equipar!AC:AC=A618)),""),"")</f>
        <v/>
      </c>
    </row>
    <row r="619" spans="1:10" x14ac:dyDescent="0.25">
      <c r="A619" s="1" t="str">
        <f ca="1">IF(A618="ID",1,IF(ISBLANK(B619),"",MAX(A$2:A618)+1))</f>
        <v/>
      </c>
      <c r="I619" s="2" t="str">
        <f ca="1">IF(ISNUMBER(A619),
IF(COUNTIFS(Equipar!B:B,5,Equipar!AC:AC,A619),"Equipada",
IF(
 OR( COUNTIFS(Equipar!B:B,5,Equipar!C:C,A619)
 +COUNTIFS(Equipar!B:B,5,Equipar!D:D,A619)
+COUNTIFS(Equipar!B:B,5,Equipar!E:E,A619)
+COUNTIFS(Equipar!B:B,5,Equipar!F:F,A619)
&gt;0,COUNTIF('Set recomendado'!B:B,C619)=0),
"Bloqueada",
"Desechable")),""
)</f>
        <v/>
      </c>
      <c r="J619" t="str" cm="1">
        <f t="array" aca="1" ref="J619" ca="1">IF(ISNUMBER(A619),IFERROR(_xlfn._xlws.FILTER(Equipar!A:A,(Equipar!B:B=5)*(Equipar!AC:AC=A619)),""),"")</f>
        <v/>
      </c>
    </row>
    <row r="620" spans="1:10" x14ac:dyDescent="0.25">
      <c r="A620" s="1" t="str">
        <f ca="1">IF(A619="ID",1,IF(ISBLANK(B620),"",MAX(A$2:A619)+1))</f>
        <v/>
      </c>
      <c r="I620" s="2" t="str">
        <f ca="1">IF(ISNUMBER(A620),
IF(COUNTIFS(Equipar!B:B,5,Equipar!AC:AC,A620),"Equipada",
IF(
 OR( COUNTIFS(Equipar!B:B,5,Equipar!C:C,A620)
 +COUNTIFS(Equipar!B:B,5,Equipar!D:D,A620)
+COUNTIFS(Equipar!B:B,5,Equipar!E:E,A620)
+COUNTIFS(Equipar!B:B,5,Equipar!F:F,A620)
&gt;0,COUNTIF('Set recomendado'!B:B,C620)=0),
"Bloqueada",
"Desechable")),""
)</f>
        <v/>
      </c>
      <c r="J620" t="str" cm="1">
        <f t="array" aca="1" ref="J620" ca="1">IF(ISNUMBER(A620),IFERROR(_xlfn._xlws.FILTER(Equipar!A:A,(Equipar!B:B=5)*(Equipar!AC:AC=A620)),""),"")</f>
        <v/>
      </c>
    </row>
    <row r="621" spans="1:10" x14ac:dyDescent="0.25">
      <c r="A621" s="1" t="str">
        <f ca="1">IF(A620="ID",1,IF(ISBLANK(B621),"",MAX(A$2:A620)+1))</f>
        <v/>
      </c>
      <c r="I621" s="2" t="str">
        <f ca="1">IF(ISNUMBER(A621),
IF(COUNTIFS(Equipar!B:B,5,Equipar!AC:AC,A621),"Equipada",
IF(
 OR( COUNTIFS(Equipar!B:B,5,Equipar!C:C,A621)
 +COUNTIFS(Equipar!B:B,5,Equipar!D:D,A621)
+COUNTIFS(Equipar!B:B,5,Equipar!E:E,A621)
+COUNTIFS(Equipar!B:B,5,Equipar!F:F,A621)
&gt;0,COUNTIF('Set recomendado'!B:B,C621)=0),
"Bloqueada",
"Desechable")),""
)</f>
        <v/>
      </c>
      <c r="J621" t="str" cm="1">
        <f t="array" aca="1" ref="J621" ca="1">IF(ISNUMBER(A621),IFERROR(_xlfn._xlws.FILTER(Equipar!A:A,(Equipar!B:B=5)*(Equipar!AC:AC=A621)),""),"")</f>
        <v/>
      </c>
    </row>
    <row r="622" spans="1:10" x14ac:dyDescent="0.25">
      <c r="A622" s="1" t="str">
        <f ca="1">IF(A621="ID",1,IF(ISBLANK(B622),"",MAX(A$2:A621)+1))</f>
        <v/>
      </c>
      <c r="I622" s="2" t="str">
        <f ca="1">IF(ISNUMBER(A622),
IF(COUNTIFS(Equipar!B:B,5,Equipar!AC:AC,A622),"Equipada",
IF(
 OR( COUNTIFS(Equipar!B:B,5,Equipar!C:C,A622)
 +COUNTIFS(Equipar!B:B,5,Equipar!D:D,A622)
+COUNTIFS(Equipar!B:B,5,Equipar!E:E,A622)
+COUNTIFS(Equipar!B:B,5,Equipar!F:F,A622)
&gt;0,COUNTIF('Set recomendado'!B:B,C622)=0),
"Bloqueada",
"Desechable")),""
)</f>
        <v/>
      </c>
      <c r="J622" t="str" cm="1">
        <f t="array" aca="1" ref="J622" ca="1">IF(ISNUMBER(A622),IFERROR(_xlfn._xlws.FILTER(Equipar!A:A,(Equipar!B:B=5)*(Equipar!AC:AC=A622)),""),"")</f>
        <v/>
      </c>
    </row>
    <row r="623" spans="1:10" x14ac:dyDescent="0.25">
      <c r="A623" s="1" t="str">
        <f ca="1">IF(A622="ID",1,IF(ISBLANK(B623),"",MAX(A$2:A622)+1))</f>
        <v/>
      </c>
      <c r="I623" s="2" t="str">
        <f ca="1">IF(ISNUMBER(A623),
IF(COUNTIFS(Equipar!B:B,5,Equipar!AC:AC,A623),"Equipada",
IF(
 OR( COUNTIFS(Equipar!B:B,5,Equipar!C:C,A623)
 +COUNTIFS(Equipar!B:B,5,Equipar!D:D,A623)
+COUNTIFS(Equipar!B:B,5,Equipar!E:E,A623)
+COUNTIFS(Equipar!B:B,5,Equipar!F:F,A623)
&gt;0,COUNTIF('Set recomendado'!B:B,C623)=0),
"Bloqueada",
"Desechable")),""
)</f>
        <v/>
      </c>
      <c r="J623" t="str" cm="1">
        <f t="array" aca="1" ref="J623" ca="1">IF(ISNUMBER(A623),IFERROR(_xlfn._xlws.FILTER(Equipar!A:A,(Equipar!B:B=5)*(Equipar!AC:AC=A623)),""),"")</f>
        <v/>
      </c>
    </row>
    <row r="624" spans="1:10" x14ac:dyDescent="0.25">
      <c r="A624" s="1" t="str">
        <f ca="1">IF(A623="ID",1,IF(ISBLANK(B624),"",MAX(A$2:A623)+1))</f>
        <v/>
      </c>
      <c r="I624" s="2" t="str">
        <f ca="1">IF(ISNUMBER(A624),
IF(COUNTIFS(Equipar!B:B,5,Equipar!AC:AC,A624),"Equipada",
IF(
 OR( COUNTIFS(Equipar!B:B,5,Equipar!C:C,A624)
 +COUNTIFS(Equipar!B:B,5,Equipar!D:D,A624)
+COUNTIFS(Equipar!B:B,5,Equipar!E:E,A624)
+COUNTIFS(Equipar!B:B,5,Equipar!F:F,A624)
&gt;0,COUNTIF('Set recomendado'!B:B,C624)=0),
"Bloqueada",
"Desechable")),""
)</f>
        <v/>
      </c>
      <c r="J624" t="str" cm="1">
        <f t="array" aca="1" ref="J624" ca="1">IF(ISNUMBER(A624),IFERROR(_xlfn._xlws.FILTER(Equipar!A:A,(Equipar!B:B=5)*(Equipar!AC:AC=A624)),""),"")</f>
        <v/>
      </c>
    </row>
    <row r="625" spans="1:10" x14ac:dyDescent="0.25">
      <c r="A625" s="1" t="str">
        <f ca="1">IF(A624="ID",1,IF(ISBLANK(B625),"",MAX(A$2:A624)+1))</f>
        <v/>
      </c>
      <c r="I625" s="2" t="str">
        <f ca="1">IF(ISNUMBER(A625),
IF(COUNTIFS(Equipar!B:B,5,Equipar!AC:AC,A625),"Equipada",
IF(
 OR( COUNTIFS(Equipar!B:B,5,Equipar!C:C,A625)
 +COUNTIFS(Equipar!B:B,5,Equipar!D:D,A625)
+COUNTIFS(Equipar!B:B,5,Equipar!E:E,A625)
+COUNTIFS(Equipar!B:B,5,Equipar!F:F,A625)
&gt;0,COUNTIF('Set recomendado'!B:B,C625)=0),
"Bloqueada",
"Desechable")),""
)</f>
        <v/>
      </c>
      <c r="J625" t="str" cm="1">
        <f t="array" aca="1" ref="J625" ca="1">IF(ISNUMBER(A625),IFERROR(_xlfn._xlws.FILTER(Equipar!A:A,(Equipar!B:B=5)*(Equipar!AC:AC=A625)),""),"")</f>
        <v/>
      </c>
    </row>
    <row r="626" spans="1:10" x14ac:dyDescent="0.25">
      <c r="A626" s="1" t="str">
        <f ca="1">IF(A625="ID",1,IF(ISBLANK(B626),"",MAX(A$2:A625)+1))</f>
        <v/>
      </c>
      <c r="I626" s="2" t="str">
        <f ca="1">IF(ISNUMBER(A626),
IF(COUNTIFS(Equipar!B:B,5,Equipar!AC:AC,A626),"Equipada",
IF(
 OR( COUNTIFS(Equipar!B:B,5,Equipar!C:C,A626)
 +COUNTIFS(Equipar!B:B,5,Equipar!D:D,A626)
+COUNTIFS(Equipar!B:B,5,Equipar!E:E,A626)
+COUNTIFS(Equipar!B:B,5,Equipar!F:F,A626)
&gt;0,COUNTIF('Set recomendado'!B:B,C626)=0),
"Bloqueada",
"Desechable")),""
)</f>
        <v/>
      </c>
      <c r="J626" t="str" cm="1">
        <f t="array" aca="1" ref="J626" ca="1">IF(ISNUMBER(A626),IFERROR(_xlfn._xlws.FILTER(Equipar!A:A,(Equipar!B:B=5)*(Equipar!AC:AC=A626)),""),"")</f>
        <v/>
      </c>
    </row>
    <row r="627" spans="1:10" x14ac:dyDescent="0.25">
      <c r="A627" s="1" t="str">
        <f ca="1">IF(A626="ID",1,IF(ISBLANK(B627),"",MAX(A$2:A626)+1))</f>
        <v/>
      </c>
      <c r="I627" s="2" t="str">
        <f ca="1">IF(ISNUMBER(A627),
IF(COUNTIFS(Equipar!B:B,5,Equipar!AC:AC,A627),"Equipada",
IF(
 OR( COUNTIFS(Equipar!B:B,5,Equipar!C:C,A627)
 +COUNTIFS(Equipar!B:B,5,Equipar!D:D,A627)
+COUNTIFS(Equipar!B:B,5,Equipar!E:E,A627)
+COUNTIFS(Equipar!B:B,5,Equipar!F:F,A627)
&gt;0,COUNTIF('Set recomendado'!B:B,C627)=0),
"Bloqueada",
"Desechable")),""
)</f>
        <v/>
      </c>
      <c r="J627" t="str" cm="1">
        <f t="array" aca="1" ref="J627" ca="1">IF(ISNUMBER(A627),IFERROR(_xlfn._xlws.FILTER(Equipar!A:A,(Equipar!B:B=5)*(Equipar!AC:AC=A627)),""),"")</f>
        <v/>
      </c>
    </row>
    <row r="628" spans="1:10" x14ac:dyDescent="0.25">
      <c r="A628" s="1" t="str">
        <f ca="1">IF(A627="ID",1,IF(ISBLANK(B628),"",MAX(A$2:A627)+1))</f>
        <v/>
      </c>
      <c r="I628" s="2" t="str">
        <f ca="1">IF(ISNUMBER(A628),
IF(COUNTIFS(Equipar!B:B,5,Equipar!AC:AC,A628),"Equipada",
IF(
 OR( COUNTIFS(Equipar!B:B,5,Equipar!C:C,A628)
 +COUNTIFS(Equipar!B:B,5,Equipar!D:D,A628)
+COUNTIFS(Equipar!B:B,5,Equipar!E:E,A628)
+COUNTIFS(Equipar!B:B,5,Equipar!F:F,A628)
&gt;0,COUNTIF('Set recomendado'!B:B,C628)=0),
"Bloqueada",
"Desechable")),""
)</f>
        <v/>
      </c>
      <c r="J628" t="str" cm="1">
        <f t="array" aca="1" ref="J628" ca="1">IF(ISNUMBER(A628),IFERROR(_xlfn._xlws.FILTER(Equipar!A:A,(Equipar!B:B=5)*(Equipar!AC:AC=A628)),""),"")</f>
        <v/>
      </c>
    </row>
    <row r="629" spans="1:10" x14ac:dyDescent="0.25">
      <c r="A629" s="1" t="str">
        <f ca="1">IF(A628="ID",1,IF(ISBLANK(B629),"",MAX(A$2:A628)+1))</f>
        <v/>
      </c>
      <c r="I629" s="2" t="str">
        <f ca="1">IF(ISNUMBER(A629),
IF(COUNTIFS(Equipar!B:B,5,Equipar!AC:AC,A629),"Equipada",
IF(
 OR( COUNTIFS(Equipar!B:B,5,Equipar!C:C,A629)
 +COUNTIFS(Equipar!B:B,5,Equipar!D:D,A629)
+COUNTIFS(Equipar!B:B,5,Equipar!E:E,A629)
+COUNTIFS(Equipar!B:B,5,Equipar!F:F,A629)
&gt;0,COUNTIF('Set recomendado'!B:B,C629)=0),
"Bloqueada",
"Desechable")),""
)</f>
        <v/>
      </c>
      <c r="J629" t="str" cm="1">
        <f t="array" aca="1" ref="J629" ca="1">IF(ISNUMBER(A629),IFERROR(_xlfn._xlws.FILTER(Equipar!A:A,(Equipar!B:B=5)*(Equipar!AC:AC=A629)),""),"")</f>
        <v/>
      </c>
    </row>
    <row r="630" spans="1:10" x14ac:dyDescent="0.25">
      <c r="A630" s="1" t="str">
        <f ca="1">IF(A629="ID",1,IF(ISBLANK(B630),"",MAX(A$2:A629)+1))</f>
        <v/>
      </c>
      <c r="I630" s="2" t="str">
        <f ca="1">IF(ISNUMBER(A630),
IF(COUNTIFS(Equipar!B:B,5,Equipar!AC:AC,A630),"Equipada",
IF(
 OR( COUNTIFS(Equipar!B:B,5,Equipar!C:C,A630)
 +COUNTIFS(Equipar!B:B,5,Equipar!D:D,A630)
+COUNTIFS(Equipar!B:B,5,Equipar!E:E,A630)
+COUNTIFS(Equipar!B:B,5,Equipar!F:F,A630)
&gt;0,COUNTIF('Set recomendado'!B:B,C630)=0),
"Bloqueada",
"Desechable")),""
)</f>
        <v/>
      </c>
      <c r="J630" t="str" cm="1">
        <f t="array" aca="1" ref="J630" ca="1">IF(ISNUMBER(A630),IFERROR(_xlfn._xlws.FILTER(Equipar!A:A,(Equipar!B:B=5)*(Equipar!AC:AC=A630)),""),"")</f>
        <v/>
      </c>
    </row>
    <row r="631" spans="1:10" x14ac:dyDescent="0.25">
      <c r="A631" s="1" t="str">
        <f ca="1">IF(A630="ID",1,IF(ISBLANK(B631),"",MAX(A$2:A630)+1))</f>
        <v/>
      </c>
      <c r="I631" s="2" t="str">
        <f ca="1">IF(ISNUMBER(A631),
IF(COUNTIFS(Equipar!B:B,5,Equipar!AC:AC,A631),"Equipada",
IF(
 OR( COUNTIFS(Equipar!B:B,5,Equipar!C:C,A631)
 +COUNTIFS(Equipar!B:B,5,Equipar!D:D,A631)
+COUNTIFS(Equipar!B:B,5,Equipar!E:E,A631)
+COUNTIFS(Equipar!B:B,5,Equipar!F:F,A631)
&gt;0,COUNTIF('Set recomendado'!B:B,C631)=0),
"Bloqueada",
"Desechable")),""
)</f>
        <v/>
      </c>
      <c r="J631" t="str" cm="1">
        <f t="array" aca="1" ref="J631" ca="1">IF(ISNUMBER(A631),IFERROR(_xlfn._xlws.FILTER(Equipar!A:A,(Equipar!B:B=5)*(Equipar!AC:AC=A631)),""),"")</f>
        <v/>
      </c>
    </row>
    <row r="632" spans="1:10" x14ac:dyDescent="0.25">
      <c r="A632" s="1" t="str">
        <f ca="1">IF(A631="ID",1,IF(ISBLANK(B632),"",MAX(A$2:A631)+1))</f>
        <v/>
      </c>
      <c r="I632" s="2" t="str">
        <f ca="1">IF(ISNUMBER(A632),
IF(COUNTIFS(Equipar!B:B,5,Equipar!AC:AC,A632),"Equipada",
IF(
 OR( COUNTIFS(Equipar!B:B,5,Equipar!C:C,A632)
 +COUNTIFS(Equipar!B:B,5,Equipar!D:D,A632)
+COUNTIFS(Equipar!B:B,5,Equipar!E:E,A632)
+COUNTIFS(Equipar!B:B,5,Equipar!F:F,A632)
&gt;0,COUNTIF('Set recomendado'!B:B,C632)=0),
"Bloqueada",
"Desechable")),""
)</f>
        <v/>
      </c>
      <c r="J632" t="str" cm="1">
        <f t="array" aca="1" ref="J632" ca="1">IF(ISNUMBER(A632),IFERROR(_xlfn._xlws.FILTER(Equipar!A:A,(Equipar!B:B=5)*(Equipar!AC:AC=A632)),""),"")</f>
        <v/>
      </c>
    </row>
    <row r="633" spans="1:10" x14ac:dyDescent="0.25">
      <c r="A633" s="1" t="str">
        <f ca="1">IF(A632="ID",1,IF(ISBLANK(B633),"",MAX(A$2:A632)+1))</f>
        <v/>
      </c>
      <c r="I633" s="2" t="str">
        <f ca="1">IF(ISNUMBER(A633),
IF(COUNTIFS(Equipar!B:B,5,Equipar!AC:AC,A633),"Equipada",
IF(
 OR( COUNTIFS(Equipar!B:B,5,Equipar!C:C,A633)
 +COUNTIFS(Equipar!B:B,5,Equipar!D:D,A633)
+COUNTIFS(Equipar!B:B,5,Equipar!E:E,A633)
+COUNTIFS(Equipar!B:B,5,Equipar!F:F,A633)
&gt;0,COUNTIF('Set recomendado'!B:B,C633)=0),
"Bloqueada",
"Desechable")),""
)</f>
        <v/>
      </c>
      <c r="J633" t="str" cm="1">
        <f t="array" aca="1" ref="J633" ca="1">IF(ISNUMBER(A633),IFERROR(_xlfn._xlws.FILTER(Equipar!A:A,(Equipar!B:B=5)*(Equipar!AC:AC=A633)),""),"")</f>
        <v/>
      </c>
    </row>
    <row r="634" spans="1:10" x14ac:dyDescent="0.25">
      <c r="A634" s="1" t="str">
        <f ca="1">IF(A633="ID",1,IF(ISBLANK(B634),"",MAX(A$2:A633)+1))</f>
        <v/>
      </c>
      <c r="I634" s="2" t="str">
        <f ca="1">IF(ISNUMBER(A634),
IF(COUNTIFS(Equipar!B:B,5,Equipar!AC:AC,A634),"Equipada",
IF(
 OR( COUNTIFS(Equipar!B:B,5,Equipar!C:C,A634)
 +COUNTIFS(Equipar!B:B,5,Equipar!D:D,A634)
+COUNTIFS(Equipar!B:B,5,Equipar!E:E,A634)
+COUNTIFS(Equipar!B:B,5,Equipar!F:F,A634)
&gt;0,COUNTIF('Set recomendado'!B:B,C634)=0),
"Bloqueada",
"Desechable")),""
)</f>
        <v/>
      </c>
      <c r="J634" t="str" cm="1">
        <f t="array" aca="1" ref="J634" ca="1">IF(ISNUMBER(A634),IFERROR(_xlfn._xlws.FILTER(Equipar!A:A,(Equipar!B:B=5)*(Equipar!AC:AC=A634)),""),"")</f>
        <v/>
      </c>
    </row>
    <row r="635" spans="1:10" x14ac:dyDescent="0.25">
      <c r="A635" s="1" t="str">
        <f ca="1">IF(A634="ID",1,IF(ISBLANK(B635),"",MAX(A$2:A634)+1))</f>
        <v/>
      </c>
      <c r="I635" s="2" t="str">
        <f ca="1">IF(ISNUMBER(A635),
IF(COUNTIFS(Equipar!B:B,5,Equipar!AC:AC,A635),"Equipada",
IF(
 OR( COUNTIFS(Equipar!B:B,5,Equipar!C:C,A635)
 +COUNTIFS(Equipar!B:B,5,Equipar!D:D,A635)
+COUNTIFS(Equipar!B:B,5,Equipar!E:E,A635)
+COUNTIFS(Equipar!B:B,5,Equipar!F:F,A635)
&gt;0,COUNTIF('Set recomendado'!B:B,C635)=0),
"Bloqueada",
"Desechable")),""
)</f>
        <v/>
      </c>
      <c r="J635" t="str" cm="1">
        <f t="array" aca="1" ref="J635" ca="1">IF(ISNUMBER(A635),IFERROR(_xlfn._xlws.FILTER(Equipar!A:A,(Equipar!B:B=5)*(Equipar!AC:AC=A635)),""),"")</f>
        <v/>
      </c>
    </row>
    <row r="636" spans="1:10" x14ac:dyDescent="0.25">
      <c r="A636" s="1" t="str">
        <f ca="1">IF(A635="ID",1,IF(ISBLANK(B636),"",MAX(A$2:A635)+1))</f>
        <v/>
      </c>
      <c r="I636" s="2" t="str">
        <f ca="1">IF(ISNUMBER(A636),
IF(COUNTIFS(Equipar!B:B,5,Equipar!AC:AC,A636),"Equipada",
IF(
 OR( COUNTIFS(Equipar!B:B,5,Equipar!C:C,A636)
 +COUNTIFS(Equipar!B:B,5,Equipar!D:D,A636)
+COUNTIFS(Equipar!B:B,5,Equipar!E:E,A636)
+COUNTIFS(Equipar!B:B,5,Equipar!F:F,A636)
&gt;0,COUNTIF('Set recomendado'!B:B,C636)=0),
"Bloqueada",
"Desechable")),""
)</f>
        <v/>
      </c>
      <c r="J636" t="str" cm="1">
        <f t="array" aca="1" ref="J636" ca="1">IF(ISNUMBER(A636),IFERROR(_xlfn._xlws.FILTER(Equipar!A:A,(Equipar!B:B=5)*(Equipar!AC:AC=A636)),""),"")</f>
        <v/>
      </c>
    </row>
    <row r="637" spans="1:10" x14ac:dyDescent="0.25">
      <c r="A637" s="1" t="str">
        <f ca="1">IF(A636="ID",1,IF(ISBLANK(B637),"",MAX(A$2:A636)+1))</f>
        <v/>
      </c>
      <c r="I637" s="2" t="str">
        <f ca="1">IF(ISNUMBER(A637),
IF(COUNTIFS(Equipar!B:B,5,Equipar!AC:AC,A637),"Equipada",
IF(
 OR( COUNTIFS(Equipar!B:B,5,Equipar!C:C,A637)
 +COUNTIFS(Equipar!B:B,5,Equipar!D:D,A637)
+COUNTIFS(Equipar!B:B,5,Equipar!E:E,A637)
+COUNTIFS(Equipar!B:B,5,Equipar!F:F,A637)
&gt;0,COUNTIF('Set recomendado'!B:B,C637)=0),
"Bloqueada",
"Desechable")),""
)</f>
        <v/>
      </c>
      <c r="J637" t="str" cm="1">
        <f t="array" aca="1" ref="J637" ca="1">IF(ISNUMBER(A637),IFERROR(_xlfn._xlws.FILTER(Equipar!A:A,(Equipar!B:B=5)*(Equipar!AC:AC=A637)),""),"")</f>
        <v/>
      </c>
    </row>
    <row r="638" spans="1:10" x14ac:dyDescent="0.25">
      <c r="A638" s="1" t="str">
        <f ca="1">IF(A637="ID",1,IF(ISBLANK(B638),"",MAX(A$2:A637)+1))</f>
        <v/>
      </c>
      <c r="I638" s="2" t="str">
        <f ca="1">IF(ISNUMBER(A638),
IF(COUNTIFS(Equipar!B:B,5,Equipar!AC:AC,A638),"Equipada",
IF(
 OR( COUNTIFS(Equipar!B:B,5,Equipar!C:C,A638)
 +COUNTIFS(Equipar!B:B,5,Equipar!D:D,A638)
+COUNTIFS(Equipar!B:B,5,Equipar!E:E,A638)
+COUNTIFS(Equipar!B:B,5,Equipar!F:F,A638)
&gt;0,COUNTIF('Set recomendado'!B:B,C638)=0),
"Bloqueada",
"Desechable")),""
)</f>
        <v/>
      </c>
      <c r="J638" t="str" cm="1">
        <f t="array" aca="1" ref="J638" ca="1">IF(ISNUMBER(A638),IFERROR(_xlfn._xlws.FILTER(Equipar!A:A,(Equipar!B:B=5)*(Equipar!AC:AC=A638)),""),"")</f>
        <v/>
      </c>
    </row>
    <row r="639" spans="1:10" x14ac:dyDescent="0.25">
      <c r="A639" s="1" t="str">
        <f ca="1">IF(A638="ID",1,IF(ISBLANK(B639),"",MAX(A$2:A638)+1))</f>
        <v/>
      </c>
      <c r="I639" s="2" t="str">
        <f ca="1">IF(ISNUMBER(A639),
IF(COUNTIFS(Equipar!B:B,5,Equipar!AC:AC,A639),"Equipada",
IF(
 OR( COUNTIFS(Equipar!B:B,5,Equipar!C:C,A639)
 +COUNTIFS(Equipar!B:B,5,Equipar!D:D,A639)
+COUNTIFS(Equipar!B:B,5,Equipar!E:E,A639)
+COUNTIFS(Equipar!B:B,5,Equipar!F:F,A639)
&gt;0,COUNTIF('Set recomendado'!B:B,C639)=0),
"Bloqueada",
"Desechable")),""
)</f>
        <v/>
      </c>
      <c r="J639" t="str" cm="1">
        <f t="array" aca="1" ref="J639" ca="1">IF(ISNUMBER(A639),IFERROR(_xlfn._xlws.FILTER(Equipar!A:A,(Equipar!B:B=5)*(Equipar!AC:AC=A639)),""),"")</f>
        <v/>
      </c>
    </row>
    <row r="640" spans="1:10" x14ac:dyDescent="0.25">
      <c r="A640" s="1" t="str">
        <f ca="1">IF(A639="ID",1,IF(ISBLANK(B640),"",MAX(A$2:A639)+1))</f>
        <v/>
      </c>
      <c r="I640" s="2" t="str">
        <f ca="1">IF(ISNUMBER(A640),
IF(COUNTIFS(Equipar!B:B,5,Equipar!AC:AC,A640),"Equipada",
IF(
 OR( COUNTIFS(Equipar!B:B,5,Equipar!C:C,A640)
 +COUNTIFS(Equipar!B:B,5,Equipar!D:D,A640)
+COUNTIFS(Equipar!B:B,5,Equipar!E:E,A640)
+COUNTIFS(Equipar!B:B,5,Equipar!F:F,A640)
&gt;0,COUNTIF('Set recomendado'!B:B,C640)=0),
"Bloqueada",
"Desechable")),""
)</f>
        <v/>
      </c>
      <c r="J640" t="str" cm="1">
        <f t="array" aca="1" ref="J640" ca="1">IF(ISNUMBER(A640),IFERROR(_xlfn._xlws.FILTER(Equipar!A:A,(Equipar!B:B=5)*(Equipar!AC:AC=A640)),""),"")</f>
        <v/>
      </c>
    </row>
    <row r="641" spans="1:10" x14ac:dyDescent="0.25">
      <c r="A641" s="1" t="str">
        <f ca="1">IF(A640="ID",1,IF(ISBLANK(B641),"",MAX(A$2:A640)+1))</f>
        <v/>
      </c>
      <c r="I641" s="2" t="str">
        <f ca="1">IF(ISNUMBER(A641),
IF(COUNTIFS(Equipar!B:B,5,Equipar!AC:AC,A641),"Equipada",
IF(
 OR( COUNTIFS(Equipar!B:B,5,Equipar!C:C,A641)
 +COUNTIFS(Equipar!B:B,5,Equipar!D:D,A641)
+COUNTIFS(Equipar!B:B,5,Equipar!E:E,A641)
+COUNTIFS(Equipar!B:B,5,Equipar!F:F,A641)
&gt;0,COUNTIF('Set recomendado'!B:B,C641)=0),
"Bloqueada",
"Desechable")),""
)</f>
        <v/>
      </c>
      <c r="J641" t="str" cm="1">
        <f t="array" aca="1" ref="J641" ca="1">IF(ISNUMBER(A641),IFERROR(_xlfn._xlws.FILTER(Equipar!A:A,(Equipar!B:B=5)*(Equipar!AC:AC=A641)),""),"")</f>
        <v/>
      </c>
    </row>
    <row r="642" spans="1:10" x14ac:dyDescent="0.25">
      <c r="A642" s="1" t="str">
        <f ca="1">IF(A641="ID",1,IF(ISBLANK(B642),"",MAX(A$2:A641)+1))</f>
        <v/>
      </c>
      <c r="I642" s="2" t="str">
        <f ca="1">IF(ISNUMBER(A642),
IF(COUNTIFS(Equipar!B:B,5,Equipar!AC:AC,A642),"Equipada",
IF(
 OR( COUNTIFS(Equipar!B:B,5,Equipar!C:C,A642)
 +COUNTIFS(Equipar!B:B,5,Equipar!D:D,A642)
+COUNTIFS(Equipar!B:B,5,Equipar!E:E,A642)
+COUNTIFS(Equipar!B:B,5,Equipar!F:F,A642)
&gt;0,COUNTIF('Set recomendado'!B:B,C642)=0),
"Bloqueada",
"Desechable")),""
)</f>
        <v/>
      </c>
      <c r="J642" t="str" cm="1">
        <f t="array" aca="1" ref="J642" ca="1">IF(ISNUMBER(A642),IFERROR(_xlfn._xlws.FILTER(Equipar!A:A,(Equipar!B:B=5)*(Equipar!AC:AC=A642)),""),"")</f>
        <v/>
      </c>
    </row>
    <row r="643" spans="1:10" x14ac:dyDescent="0.25">
      <c r="A643" s="1" t="str">
        <f ca="1">IF(A642="ID",1,IF(ISBLANK(B643),"",MAX(A$2:A642)+1))</f>
        <v/>
      </c>
      <c r="I643" s="2" t="str">
        <f ca="1">IF(ISNUMBER(A643),
IF(COUNTIFS(Equipar!B:B,5,Equipar!AC:AC,A643),"Equipada",
IF(
 OR( COUNTIFS(Equipar!B:B,5,Equipar!C:C,A643)
 +COUNTIFS(Equipar!B:B,5,Equipar!D:D,A643)
+COUNTIFS(Equipar!B:B,5,Equipar!E:E,A643)
+COUNTIFS(Equipar!B:B,5,Equipar!F:F,A643)
&gt;0,COUNTIF('Set recomendado'!B:B,C643)=0),
"Bloqueada",
"Desechable")),""
)</f>
        <v/>
      </c>
      <c r="J643" t="str" cm="1">
        <f t="array" aca="1" ref="J643" ca="1">IF(ISNUMBER(A643),IFERROR(_xlfn._xlws.FILTER(Equipar!A:A,(Equipar!B:B=5)*(Equipar!AC:AC=A643)),""),"")</f>
        <v/>
      </c>
    </row>
    <row r="644" spans="1:10" x14ac:dyDescent="0.25">
      <c r="A644" s="1" t="str">
        <f ca="1">IF(A643="ID",1,IF(ISBLANK(B644),"",MAX(A$2:A643)+1))</f>
        <v/>
      </c>
      <c r="I644" s="2" t="str">
        <f ca="1">IF(ISNUMBER(A644),
IF(COUNTIFS(Equipar!B:B,5,Equipar!AC:AC,A644),"Equipada",
IF(
 OR( COUNTIFS(Equipar!B:B,5,Equipar!C:C,A644)
 +COUNTIFS(Equipar!B:B,5,Equipar!D:D,A644)
+COUNTIFS(Equipar!B:B,5,Equipar!E:E,A644)
+COUNTIFS(Equipar!B:B,5,Equipar!F:F,A644)
&gt;0,COUNTIF('Set recomendado'!B:B,C644)=0),
"Bloqueada",
"Desechable")),""
)</f>
        <v/>
      </c>
      <c r="J644" t="str" cm="1">
        <f t="array" aca="1" ref="J644" ca="1">IF(ISNUMBER(A644),IFERROR(_xlfn._xlws.FILTER(Equipar!A:A,(Equipar!B:B=5)*(Equipar!AC:AC=A644)),""),"")</f>
        <v/>
      </c>
    </row>
    <row r="645" spans="1:10" x14ac:dyDescent="0.25">
      <c r="A645" s="1" t="str">
        <f ca="1">IF(A644="ID",1,IF(ISBLANK(B645),"",MAX(A$2:A644)+1))</f>
        <v/>
      </c>
      <c r="I645" s="2" t="str">
        <f ca="1">IF(ISNUMBER(A645),
IF(COUNTIFS(Equipar!B:B,5,Equipar!AC:AC,A645),"Equipada",
IF(
 OR( COUNTIFS(Equipar!B:B,5,Equipar!C:C,A645)
 +COUNTIFS(Equipar!B:B,5,Equipar!D:D,A645)
+COUNTIFS(Equipar!B:B,5,Equipar!E:E,A645)
+COUNTIFS(Equipar!B:B,5,Equipar!F:F,A645)
&gt;0,COUNTIF('Set recomendado'!B:B,C645)=0),
"Bloqueada",
"Desechable")),""
)</f>
        <v/>
      </c>
      <c r="J645" t="str" cm="1">
        <f t="array" aca="1" ref="J645" ca="1">IF(ISNUMBER(A645),IFERROR(_xlfn._xlws.FILTER(Equipar!A:A,(Equipar!B:B=5)*(Equipar!AC:AC=A645)),""),"")</f>
        <v/>
      </c>
    </row>
    <row r="646" spans="1:10" x14ac:dyDescent="0.25">
      <c r="A646" s="1" t="str">
        <f ca="1">IF(A645="ID",1,IF(ISBLANK(B646),"",MAX(A$2:A645)+1))</f>
        <v/>
      </c>
      <c r="I646" s="2" t="str">
        <f ca="1">IF(ISNUMBER(A646),
IF(COUNTIFS(Equipar!B:B,5,Equipar!AC:AC,A646),"Equipada",
IF(
 OR( COUNTIFS(Equipar!B:B,5,Equipar!C:C,A646)
 +COUNTIFS(Equipar!B:B,5,Equipar!D:D,A646)
+COUNTIFS(Equipar!B:B,5,Equipar!E:E,A646)
+COUNTIFS(Equipar!B:B,5,Equipar!F:F,A646)
&gt;0,COUNTIF('Set recomendado'!B:B,C646)=0),
"Bloqueada",
"Desechable")),""
)</f>
        <v/>
      </c>
      <c r="J646" t="str" cm="1">
        <f t="array" aca="1" ref="J646" ca="1">IF(ISNUMBER(A646),IFERROR(_xlfn._xlws.FILTER(Equipar!A:A,(Equipar!B:B=5)*(Equipar!AC:AC=A646)),""),"")</f>
        <v/>
      </c>
    </row>
    <row r="647" spans="1:10" x14ac:dyDescent="0.25">
      <c r="A647" s="1" t="str">
        <f ca="1">IF(A646="ID",1,IF(ISBLANK(B647),"",MAX(A$2:A646)+1))</f>
        <v/>
      </c>
      <c r="I647" s="2" t="str">
        <f ca="1">IF(ISNUMBER(A647),
IF(COUNTIFS(Equipar!B:B,5,Equipar!AC:AC,A647),"Equipada",
IF(
 OR( COUNTIFS(Equipar!B:B,5,Equipar!C:C,A647)
 +COUNTIFS(Equipar!B:B,5,Equipar!D:D,A647)
+COUNTIFS(Equipar!B:B,5,Equipar!E:E,A647)
+COUNTIFS(Equipar!B:B,5,Equipar!F:F,A647)
&gt;0,COUNTIF('Set recomendado'!B:B,C647)=0),
"Bloqueada",
"Desechable")),""
)</f>
        <v/>
      </c>
      <c r="J647" t="str" cm="1">
        <f t="array" aca="1" ref="J647" ca="1">IF(ISNUMBER(A647),IFERROR(_xlfn._xlws.FILTER(Equipar!A:A,(Equipar!B:B=5)*(Equipar!AC:AC=A647)),""),"")</f>
        <v/>
      </c>
    </row>
    <row r="648" spans="1:10" x14ac:dyDescent="0.25">
      <c r="A648" s="1" t="str">
        <f ca="1">IF(A647="ID",1,IF(ISBLANK(B648),"",MAX(A$2:A647)+1))</f>
        <v/>
      </c>
      <c r="I648" s="2" t="str">
        <f ca="1">IF(ISNUMBER(A648),
IF(COUNTIFS(Equipar!B:B,5,Equipar!AC:AC,A648),"Equipada",
IF(
 OR( COUNTIFS(Equipar!B:B,5,Equipar!C:C,A648)
 +COUNTIFS(Equipar!B:B,5,Equipar!D:D,A648)
+COUNTIFS(Equipar!B:B,5,Equipar!E:E,A648)
+COUNTIFS(Equipar!B:B,5,Equipar!F:F,A648)
&gt;0,COUNTIF('Set recomendado'!B:B,C648)=0),
"Bloqueada",
"Desechable")),""
)</f>
        <v/>
      </c>
      <c r="J648" t="str" cm="1">
        <f t="array" aca="1" ref="J648" ca="1">IF(ISNUMBER(A648),IFERROR(_xlfn._xlws.FILTER(Equipar!A:A,(Equipar!B:B=5)*(Equipar!AC:AC=A648)),""),"")</f>
        <v/>
      </c>
    </row>
    <row r="649" spans="1:10" x14ac:dyDescent="0.25">
      <c r="A649" s="1" t="str">
        <f ca="1">IF(A648="ID",1,IF(ISBLANK(B649),"",MAX(A$2:A648)+1))</f>
        <v/>
      </c>
      <c r="I649" s="2" t="str">
        <f ca="1">IF(ISNUMBER(A649),
IF(COUNTIFS(Equipar!B:B,5,Equipar!AC:AC,A649),"Equipada",
IF(
 OR( COUNTIFS(Equipar!B:B,5,Equipar!C:C,A649)
 +COUNTIFS(Equipar!B:B,5,Equipar!D:D,A649)
+COUNTIFS(Equipar!B:B,5,Equipar!E:E,A649)
+COUNTIFS(Equipar!B:B,5,Equipar!F:F,A649)
&gt;0,COUNTIF('Set recomendado'!B:B,C649)=0),
"Bloqueada",
"Desechable")),""
)</f>
        <v/>
      </c>
      <c r="J649" t="str" cm="1">
        <f t="array" aca="1" ref="J649" ca="1">IF(ISNUMBER(A649),IFERROR(_xlfn._xlws.FILTER(Equipar!A:A,(Equipar!B:B=5)*(Equipar!AC:AC=A649)),""),"")</f>
        <v/>
      </c>
    </row>
    <row r="650" spans="1:10" x14ac:dyDescent="0.25">
      <c r="A650" s="1" t="str">
        <f ca="1">IF(A649="ID",1,IF(ISBLANK(B650),"",MAX(A$2:A649)+1))</f>
        <v/>
      </c>
      <c r="I650" s="2" t="str">
        <f ca="1">IF(ISNUMBER(A650),
IF(COUNTIFS(Equipar!B:B,5,Equipar!AC:AC,A650),"Equipada",
IF(
 OR( COUNTIFS(Equipar!B:B,5,Equipar!C:C,A650)
 +COUNTIFS(Equipar!B:B,5,Equipar!D:D,A650)
+COUNTIFS(Equipar!B:B,5,Equipar!E:E,A650)
+COUNTIFS(Equipar!B:B,5,Equipar!F:F,A650)
&gt;0,COUNTIF('Set recomendado'!B:B,C650)=0),
"Bloqueada",
"Desechable")),""
)</f>
        <v/>
      </c>
      <c r="J650" t="str" cm="1">
        <f t="array" aca="1" ref="J650" ca="1">IF(ISNUMBER(A650),IFERROR(_xlfn._xlws.FILTER(Equipar!A:A,(Equipar!B:B=5)*(Equipar!AC:AC=A650)),""),"")</f>
        <v/>
      </c>
    </row>
    <row r="651" spans="1:10" x14ac:dyDescent="0.25">
      <c r="A651" s="1" t="str">
        <f ca="1">IF(A650="ID",1,IF(ISBLANK(B651),"",MAX(A$2:A650)+1))</f>
        <v/>
      </c>
      <c r="I651" s="2" t="str">
        <f ca="1">IF(ISNUMBER(A651),
IF(COUNTIFS(Equipar!B:B,5,Equipar!AC:AC,A651),"Equipada",
IF(
 OR( COUNTIFS(Equipar!B:B,5,Equipar!C:C,A651)
 +COUNTIFS(Equipar!B:B,5,Equipar!D:D,A651)
+COUNTIFS(Equipar!B:B,5,Equipar!E:E,A651)
+COUNTIFS(Equipar!B:B,5,Equipar!F:F,A651)
&gt;0,COUNTIF('Set recomendado'!B:B,C651)=0),
"Bloqueada",
"Desechable")),""
)</f>
        <v/>
      </c>
      <c r="J651" t="str" cm="1">
        <f t="array" aca="1" ref="J651" ca="1">IF(ISNUMBER(A651),IFERROR(_xlfn._xlws.FILTER(Equipar!A:A,(Equipar!B:B=5)*(Equipar!AC:AC=A651)),""),"")</f>
        <v/>
      </c>
    </row>
    <row r="652" spans="1:10" x14ac:dyDescent="0.25">
      <c r="A652" s="1" t="str">
        <f ca="1">IF(A651="ID",1,IF(ISBLANK(B652),"",MAX(A$2:A651)+1))</f>
        <v/>
      </c>
      <c r="I652" s="2" t="str">
        <f ca="1">IF(ISNUMBER(A652),
IF(COUNTIFS(Equipar!B:B,5,Equipar!AC:AC,A652),"Equipada",
IF(
 OR( COUNTIFS(Equipar!B:B,5,Equipar!C:C,A652)
 +COUNTIFS(Equipar!B:B,5,Equipar!D:D,A652)
+COUNTIFS(Equipar!B:B,5,Equipar!E:E,A652)
+COUNTIFS(Equipar!B:B,5,Equipar!F:F,A652)
&gt;0,COUNTIF('Set recomendado'!B:B,C652)=0),
"Bloqueada",
"Desechable")),""
)</f>
        <v/>
      </c>
      <c r="J652" t="str" cm="1">
        <f t="array" aca="1" ref="J652" ca="1">IF(ISNUMBER(A652),IFERROR(_xlfn._xlws.FILTER(Equipar!A:A,(Equipar!B:B=5)*(Equipar!AC:AC=A652)),""),"")</f>
        <v/>
      </c>
    </row>
    <row r="653" spans="1:10" x14ac:dyDescent="0.25">
      <c r="A653" s="1" t="str">
        <f ca="1">IF(A652="ID",1,IF(ISBLANK(B653),"",MAX(A$2:A652)+1))</f>
        <v/>
      </c>
      <c r="I653" s="2" t="str">
        <f ca="1">IF(ISNUMBER(A653),
IF(COUNTIFS(Equipar!B:B,5,Equipar!AC:AC,A653),"Equipada",
IF(
 OR( COUNTIFS(Equipar!B:B,5,Equipar!C:C,A653)
 +COUNTIFS(Equipar!B:B,5,Equipar!D:D,A653)
+COUNTIFS(Equipar!B:B,5,Equipar!E:E,A653)
+COUNTIFS(Equipar!B:B,5,Equipar!F:F,A653)
&gt;0,COUNTIF('Set recomendado'!B:B,C653)=0),
"Bloqueada",
"Desechable")),""
)</f>
        <v/>
      </c>
      <c r="J653" t="str" cm="1">
        <f t="array" aca="1" ref="J653" ca="1">IF(ISNUMBER(A653),IFERROR(_xlfn._xlws.FILTER(Equipar!A:A,(Equipar!B:B=5)*(Equipar!AC:AC=A653)),""),"")</f>
        <v/>
      </c>
    </row>
    <row r="654" spans="1:10" x14ac:dyDescent="0.25">
      <c r="A654" s="1" t="str">
        <f ca="1">IF(A653="ID",1,IF(ISBLANK(B654),"",MAX(A$2:A653)+1))</f>
        <v/>
      </c>
      <c r="I654" s="2" t="str">
        <f ca="1">IF(ISNUMBER(A654),
IF(COUNTIFS(Equipar!B:B,5,Equipar!AC:AC,A654),"Equipada",
IF(
 OR( COUNTIFS(Equipar!B:B,5,Equipar!C:C,A654)
 +COUNTIFS(Equipar!B:B,5,Equipar!D:D,A654)
+COUNTIFS(Equipar!B:B,5,Equipar!E:E,A654)
+COUNTIFS(Equipar!B:B,5,Equipar!F:F,A654)
&gt;0,COUNTIF('Set recomendado'!B:B,C654)=0),
"Bloqueada",
"Desechable")),""
)</f>
        <v/>
      </c>
      <c r="J654" t="str" cm="1">
        <f t="array" aca="1" ref="J654" ca="1">IF(ISNUMBER(A654),IFERROR(_xlfn._xlws.FILTER(Equipar!A:A,(Equipar!B:B=5)*(Equipar!AC:AC=A654)),""),"")</f>
        <v/>
      </c>
    </row>
    <row r="655" spans="1:10" x14ac:dyDescent="0.25">
      <c r="A655" s="1" t="str">
        <f ca="1">IF(A654="ID",1,IF(ISBLANK(B655),"",MAX(A$2:A654)+1))</f>
        <v/>
      </c>
      <c r="I655" s="2" t="str">
        <f ca="1">IF(ISNUMBER(A655),
IF(COUNTIFS(Equipar!B:B,5,Equipar!AC:AC,A655),"Equipada",
IF(
 OR( COUNTIFS(Equipar!B:B,5,Equipar!C:C,A655)
 +COUNTIFS(Equipar!B:B,5,Equipar!D:D,A655)
+COUNTIFS(Equipar!B:B,5,Equipar!E:E,A655)
+COUNTIFS(Equipar!B:B,5,Equipar!F:F,A655)
&gt;0,COUNTIF('Set recomendado'!B:B,C655)=0),
"Bloqueada",
"Desechable")),""
)</f>
        <v/>
      </c>
      <c r="J655" t="str" cm="1">
        <f t="array" aca="1" ref="J655" ca="1">IF(ISNUMBER(A655),IFERROR(_xlfn._xlws.FILTER(Equipar!A:A,(Equipar!B:B=5)*(Equipar!AC:AC=A655)),""),"")</f>
        <v/>
      </c>
    </row>
    <row r="656" spans="1:10" x14ac:dyDescent="0.25">
      <c r="A656" s="1" t="str">
        <f ca="1">IF(A655="ID",1,IF(ISBLANK(B656),"",MAX(A$2:A655)+1))</f>
        <v/>
      </c>
      <c r="I656" s="2" t="str">
        <f ca="1">IF(ISNUMBER(A656),
IF(COUNTIFS(Equipar!B:B,5,Equipar!AC:AC,A656),"Equipada",
IF(
 OR( COUNTIFS(Equipar!B:B,5,Equipar!C:C,A656)
 +COUNTIFS(Equipar!B:B,5,Equipar!D:D,A656)
+COUNTIFS(Equipar!B:B,5,Equipar!E:E,A656)
+COUNTIFS(Equipar!B:B,5,Equipar!F:F,A656)
&gt;0,COUNTIF('Set recomendado'!B:B,C656)=0),
"Bloqueada",
"Desechable")),""
)</f>
        <v/>
      </c>
      <c r="J656" t="str" cm="1">
        <f t="array" aca="1" ref="J656" ca="1">IF(ISNUMBER(A656),IFERROR(_xlfn._xlws.FILTER(Equipar!A:A,(Equipar!B:B=5)*(Equipar!AC:AC=A656)),""),"")</f>
        <v/>
      </c>
    </row>
    <row r="657" spans="1:10" x14ac:dyDescent="0.25">
      <c r="A657" s="1" t="str">
        <f ca="1">IF(A656="ID",1,IF(ISBLANK(B657),"",MAX(A$2:A656)+1))</f>
        <v/>
      </c>
      <c r="I657" s="2" t="str">
        <f ca="1">IF(ISNUMBER(A657),
IF(COUNTIFS(Equipar!B:B,5,Equipar!AC:AC,A657),"Equipada",
IF(
 OR( COUNTIFS(Equipar!B:B,5,Equipar!C:C,A657)
 +COUNTIFS(Equipar!B:B,5,Equipar!D:D,A657)
+COUNTIFS(Equipar!B:B,5,Equipar!E:E,A657)
+COUNTIFS(Equipar!B:B,5,Equipar!F:F,A657)
&gt;0,COUNTIF('Set recomendado'!B:B,C657)=0),
"Bloqueada",
"Desechable")),""
)</f>
        <v/>
      </c>
      <c r="J657" t="str" cm="1">
        <f t="array" aca="1" ref="J657" ca="1">IF(ISNUMBER(A657),IFERROR(_xlfn._xlws.FILTER(Equipar!A:A,(Equipar!B:B=5)*(Equipar!AC:AC=A657)),""),"")</f>
        <v/>
      </c>
    </row>
    <row r="658" spans="1:10" x14ac:dyDescent="0.25">
      <c r="A658" s="1" t="str">
        <f ca="1">IF(A657="ID",1,IF(ISBLANK(B658),"",MAX(A$2:A657)+1))</f>
        <v/>
      </c>
      <c r="I658" s="2" t="str">
        <f ca="1">IF(ISNUMBER(A658),
IF(COUNTIFS(Equipar!B:B,5,Equipar!AC:AC,A658),"Equipada",
IF(
 OR( COUNTIFS(Equipar!B:B,5,Equipar!C:C,A658)
 +COUNTIFS(Equipar!B:B,5,Equipar!D:D,A658)
+COUNTIFS(Equipar!B:B,5,Equipar!E:E,A658)
+COUNTIFS(Equipar!B:B,5,Equipar!F:F,A658)
&gt;0,COUNTIF('Set recomendado'!B:B,C658)=0),
"Bloqueada",
"Desechable")),""
)</f>
        <v/>
      </c>
      <c r="J658" t="str" cm="1">
        <f t="array" aca="1" ref="J658" ca="1">IF(ISNUMBER(A658),IFERROR(_xlfn._xlws.FILTER(Equipar!A:A,(Equipar!B:B=5)*(Equipar!AC:AC=A658)),""),"")</f>
        <v/>
      </c>
    </row>
    <row r="659" spans="1:10" x14ac:dyDescent="0.25">
      <c r="A659" s="1" t="str">
        <f ca="1">IF(A658="ID",1,IF(ISBLANK(B659),"",MAX(A$2:A658)+1))</f>
        <v/>
      </c>
      <c r="I659" s="2" t="str">
        <f ca="1">IF(ISNUMBER(A659),
IF(COUNTIFS(Equipar!B:B,5,Equipar!AC:AC,A659),"Equipada",
IF(
 OR( COUNTIFS(Equipar!B:B,5,Equipar!C:C,A659)
 +COUNTIFS(Equipar!B:B,5,Equipar!D:D,A659)
+COUNTIFS(Equipar!B:B,5,Equipar!E:E,A659)
+COUNTIFS(Equipar!B:B,5,Equipar!F:F,A659)
&gt;0,COUNTIF('Set recomendado'!B:B,C659)=0),
"Bloqueada",
"Desechable")),""
)</f>
        <v/>
      </c>
      <c r="J659" t="str" cm="1">
        <f t="array" aca="1" ref="J659" ca="1">IF(ISNUMBER(A659),IFERROR(_xlfn._xlws.FILTER(Equipar!A:A,(Equipar!B:B=5)*(Equipar!AC:AC=A659)),""),"")</f>
        <v/>
      </c>
    </row>
    <row r="660" spans="1:10" x14ac:dyDescent="0.25">
      <c r="A660" s="1" t="str">
        <f ca="1">IF(A659="ID",1,IF(ISBLANK(B660),"",MAX(A$2:A659)+1))</f>
        <v/>
      </c>
      <c r="I660" s="2" t="str">
        <f ca="1">IF(ISNUMBER(A660),
IF(COUNTIFS(Equipar!B:B,5,Equipar!AC:AC,A660),"Equipada",
IF(
 OR( COUNTIFS(Equipar!B:B,5,Equipar!C:C,A660)
 +COUNTIFS(Equipar!B:B,5,Equipar!D:D,A660)
+COUNTIFS(Equipar!B:B,5,Equipar!E:E,A660)
+COUNTIFS(Equipar!B:B,5,Equipar!F:F,A660)
&gt;0,COUNTIF('Set recomendado'!B:B,C660)=0),
"Bloqueada",
"Desechable")),""
)</f>
        <v/>
      </c>
      <c r="J660" t="str" cm="1">
        <f t="array" aca="1" ref="J660" ca="1">IF(ISNUMBER(A660),IFERROR(_xlfn._xlws.FILTER(Equipar!A:A,(Equipar!B:B=5)*(Equipar!AC:AC=A660)),""),"")</f>
        <v/>
      </c>
    </row>
    <row r="661" spans="1:10" x14ac:dyDescent="0.25">
      <c r="A661" s="1" t="str">
        <f ca="1">IF(A660="ID",1,IF(ISBLANK(B661),"",MAX(A$2:A660)+1))</f>
        <v/>
      </c>
      <c r="I661" s="2" t="str">
        <f ca="1">IF(ISNUMBER(A661),
IF(COUNTIFS(Equipar!B:B,5,Equipar!AC:AC,A661),"Equipada",
IF(
 OR( COUNTIFS(Equipar!B:B,5,Equipar!C:C,A661)
 +COUNTIFS(Equipar!B:B,5,Equipar!D:D,A661)
+COUNTIFS(Equipar!B:B,5,Equipar!E:E,A661)
+COUNTIFS(Equipar!B:B,5,Equipar!F:F,A661)
&gt;0,COUNTIF('Set recomendado'!B:B,C661)=0),
"Bloqueada",
"Desechable")),""
)</f>
        <v/>
      </c>
      <c r="J661" t="str" cm="1">
        <f t="array" aca="1" ref="J661" ca="1">IF(ISNUMBER(A661),IFERROR(_xlfn._xlws.FILTER(Equipar!A:A,(Equipar!B:B=5)*(Equipar!AC:AC=A661)),""),"")</f>
        <v/>
      </c>
    </row>
    <row r="662" spans="1:10" x14ac:dyDescent="0.25">
      <c r="A662" s="1" t="str">
        <f ca="1">IF(A661="ID",1,IF(ISBLANK(B662),"",MAX(A$2:A661)+1))</f>
        <v/>
      </c>
      <c r="I662" s="2" t="str">
        <f ca="1">IF(ISNUMBER(A662),
IF(COUNTIFS(Equipar!B:B,5,Equipar!AC:AC,A662),"Equipada",
IF(
 OR( COUNTIFS(Equipar!B:B,5,Equipar!C:C,A662)
 +COUNTIFS(Equipar!B:B,5,Equipar!D:D,A662)
+COUNTIFS(Equipar!B:B,5,Equipar!E:E,A662)
+COUNTIFS(Equipar!B:B,5,Equipar!F:F,A662)
&gt;0,COUNTIF('Set recomendado'!B:B,C662)=0),
"Bloqueada",
"Desechable")),""
)</f>
        <v/>
      </c>
      <c r="J662" t="str" cm="1">
        <f t="array" aca="1" ref="J662" ca="1">IF(ISNUMBER(A662),IFERROR(_xlfn._xlws.FILTER(Equipar!A:A,(Equipar!B:B=5)*(Equipar!AC:AC=A662)),""),"")</f>
        <v/>
      </c>
    </row>
    <row r="663" spans="1:10" x14ac:dyDescent="0.25">
      <c r="A663" s="1" t="str">
        <f ca="1">IF(A662="ID",1,IF(ISBLANK(B663),"",MAX(A$2:A662)+1))</f>
        <v/>
      </c>
      <c r="I663" s="2" t="str">
        <f ca="1">IF(ISNUMBER(A663),
IF(COUNTIFS(Equipar!B:B,5,Equipar!AC:AC,A663),"Equipada",
IF(
 OR( COUNTIFS(Equipar!B:B,5,Equipar!C:C,A663)
 +COUNTIFS(Equipar!B:B,5,Equipar!D:D,A663)
+COUNTIFS(Equipar!B:B,5,Equipar!E:E,A663)
+COUNTIFS(Equipar!B:B,5,Equipar!F:F,A663)
&gt;0,COUNTIF('Set recomendado'!B:B,C663)=0),
"Bloqueada",
"Desechable")),""
)</f>
        <v/>
      </c>
      <c r="J663" t="str" cm="1">
        <f t="array" aca="1" ref="J663" ca="1">IF(ISNUMBER(A663),IFERROR(_xlfn._xlws.FILTER(Equipar!A:A,(Equipar!B:B=5)*(Equipar!AC:AC=A663)),""),"")</f>
        <v/>
      </c>
    </row>
    <row r="664" spans="1:10" x14ac:dyDescent="0.25">
      <c r="A664" s="1" t="str">
        <f ca="1">IF(A663="ID",1,IF(ISBLANK(B664),"",MAX(A$2:A663)+1))</f>
        <v/>
      </c>
      <c r="I664" s="2" t="str">
        <f ca="1">IF(ISNUMBER(A664),
IF(COUNTIFS(Equipar!B:B,5,Equipar!AC:AC,A664),"Equipada",
IF(
 OR( COUNTIFS(Equipar!B:B,5,Equipar!C:C,A664)
 +COUNTIFS(Equipar!B:B,5,Equipar!D:D,A664)
+COUNTIFS(Equipar!B:B,5,Equipar!E:E,A664)
+COUNTIFS(Equipar!B:B,5,Equipar!F:F,A664)
&gt;0,COUNTIF('Set recomendado'!B:B,C664)=0),
"Bloqueada",
"Desechable")),""
)</f>
        <v/>
      </c>
      <c r="J664" t="str" cm="1">
        <f t="array" aca="1" ref="J664" ca="1">IF(ISNUMBER(A664),IFERROR(_xlfn._xlws.FILTER(Equipar!A:A,(Equipar!B:B=5)*(Equipar!AC:AC=A664)),""),"")</f>
        <v/>
      </c>
    </row>
    <row r="665" spans="1:10" x14ac:dyDescent="0.25">
      <c r="A665" s="1" t="str">
        <f ca="1">IF(A664="ID",1,IF(ISBLANK(B665),"",MAX(A$2:A664)+1))</f>
        <v/>
      </c>
      <c r="I665" s="2" t="str">
        <f ca="1">IF(ISNUMBER(A665),
IF(COUNTIFS(Equipar!B:B,5,Equipar!AC:AC,A665),"Equipada",
IF(
 OR( COUNTIFS(Equipar!B:B,5,Equipar!C:C,A665)
 +COUNTIFS(Equipar!B:B,5,Equipar!D:D,A665)
+COUNTIFS(Equipar!B:B,5,Equipar!E:E,A665)
+COUNTIFS(Equipar!B:B,5,Equipar!F:F,A665)
&gt;0,COUNTIF('Set recomendado'!B:B,C665)=0),
"Bloqueada",
"Desechable")),""
)</f>
        <v/>
      </c>
      <c r="J665" t="str" cm="1">
        <f t="array" aca="1" ref="J665" ca="1">IF(ISNUMBER(A665),IFERROR(_xlfn._xlws.FILTER(Equipar!A:A,(Equipar!B:B=5)*(Equipar!AC:AC=A665)),""),"")</f>
        <v/>
      </c>
    </row>
    <row r="666" spans="1:10" x14ac:dyDescent="0.25">
      <c r="A666" s="1" t="str">
        <f ca="1">IF(A665="ID",1,IF(ISBLANK(B666),"",MAX(A$2:A665)+1))</f>
        <v/>
      </c>
      <c r="I666" s="2" t="str">
        <f ca="1">IF(ISNUMBER(A666),
IF(COUNTIFS(Equipar!B:B,5,Equipar!AC:AC,A666),"Equipada",
IF(
 OR( COUNTIFS(Equipar!B:B,5,Equipar!C:C,A666)
 +COUNTIFS(Equipar!B:B,5,Equipar!D:D,A666)
+COUNTIFS(Equipar!B:B,5,Equipar!E:E,A666)
+COUNTIFS(Equipar!B:B,5,Equipar!F:F,A666)
&gt;0,COUNTIF('Set recomendado'!B:B,C666)=0),
"Bloqueada",
"Desechable")),""
)</f>
        <v/>
      </c>
      <c r="J666" t="str" cm="1">
        <f t="array" aca="1" ref="J666" ca="1">IF(ISNUMBER(A666),IFERROR(_xlfn._xlws.FILTER(Equipar!A:A,(Equipar!B:B=5)*(Equipar!AC:AC=A666)),""),"")</f>
        <v/>
      </c>
    </row>
    <row r="667" spans="1:10" x14ac:dyDescent="0.25">
      <c r="A667" s="1" t="str">
        <f ca="1">IF(A666="ID",1,IF(ISBLANK(B667),"",MAX(A$2:A666)+1))</f>
        <v/>
      </c>
      <c r="I667" s="2" t="str">
        <f ca="1">IF(ISNUMBER(A667),
IF(COUNTIFS(Equipar!B:B,5,Equipar!AC:AC,A667),"Equipada",
IF(
 OR( COUNTIFS(Equipar!B:B,5,Equipar!C:C,A667)
 +COUNTIFS(Equipar!B:B,5,Equipar!D:D,A667)
+COUNTIFS(Equipar!B:B,5,Equipar!E:E,A667)
+COUNTIFS(Equipar!B:B,5,Equipar!F:F,A667)
&gt;0,COUNTIF('Set recomendado'!B:B,C667)=0),
"Bloqueada",
"Desechable")),""
)</f>
        <v/>
      </c>
      <c r="J667" t="str" cm="1">
        <f t="array" aca="1" ref="J667" ca="1">IF(ISNUMBER(A667),IFERROR(_xlfn._xlws.FILTER(Equipar!A:A,(Equipar!B:B=5)*(Equipar!AC:AC=A667)),""),"")</f>
        <v/>
      </c>
    </row>
    <row r="668" spans="1:10" x14ac:dyDescent="0.25">
      <c r="A668" s="1" t="str">
        <f ca="1">IF(A667="ID",1,IF(ISBLANK(B668),"",MAX(A$2:A667)+1))</f>
        <v/>
      </c>
      <c r="I668" s="2" t="str">
        <f ca="1">IF(ISNUMBER(A668),
IF(COUNTIFS(Equipar!B:B,5,Equipar!AC:AC,A668),"Equipada",
IF(
 OR( COUNTIFS(Equipar!B:B,5,Equipar!C:C,A668)
 +COUNTIFS(Equipar!B:B,5,Equipar!D:D,A668)
+COUNTIFS(Equipar!B:B,5,Equipar!E:E,A668)
+COUNTIFS(Equipar!B:B,5,Equipar!F:F,A668)
&gt;0,COUNTIF('Set recomendado'!B:B,C668)=0),
"Bloqueada",
"Desechable")),""
)</f>
        <v/>
      </c>
      <c r="J668" t="str" cm="1">
        <f t="array" aca="1" ref="J668" ca="1">IF(ISNUMBER(A668),IFERROR(_xlfn._xlws.FILTER(Equipar!A:A,(Equipar!B:B=5)*(Equipar!AC:AC=A668)),""),"")</f>
        <v/>
      </c>
    </row>
    <row r="669" spans="1:10" x14ac:dyDescent="0.25">
      <c r="A669" s="1" t="str">
        <f ca="1">IF(A668="ID",1,IF(ISBLANK(B669),"",MAX(A$2:A668)+1))</f>
        <v/>
      </c>
      <c r="I669" s="2" t="str">
        <f ca="1">IF(ISNUMBER(A669),
IF(COUNTIFS(Equipar!B:B,5,Equipar!AC:AC,A669),"Equipada",
IF(
 OR( COUNTIFS(Equipar!B:B,5,Equipar!C:C,A669)
 +COUNTIFS(Equipar!B:B,5,Equipar!D:D,A669)
+COUNTIFS(Equipar!B:B,5,Equipar!E:E,A669)
+COUNTIFS(Equipar!B:B,5,Equipar!F:F,A669)
&gt;0,COUNTIF('Set recomendado'!B:B,C669)=0),
"Bloqueada",
"Desechable")),""
)</f>
        <v/>
      </c>
      <c r="J669" t="str" cm="1">
        <f t="array" aca="1" ref="J669" ca="1">IF(ISNUMBER(A669),IFERROR(_xlfn._xlws.FILTER(Equipar!A:A,(Equipar!B:B=5)*(Equipar!AC:AC=A669)),""),"")</f>
        <v/>
      </c>
    </row>
    <row r="670" spans="1:10" x14ac:dyDescent="0.25">
      <c r="A670" s="1" t="str">
        <f ca="1">IF(A669="ID",1,IF(ISBLANK(B670),"",MAX(A$2:A669)+1))</f>
        <v/>
      </c>
      <c r="I670" s="2" t="str">
        <f ca="1">IF(ISNUMBER(A670),
IF(COUNTIFS(Equipar!B:B,5,Equipar!AC:AC,A670),"Equipada",
IF(
 OR( COUNTIFS(Equipar!B:B,5,Equipar!C:C,A670)
 +COUNTIFS(Equipar!B:B,5,Equipar!D:D,A670)
+COUNTIFS(Equipar!B:B,5,Equipar!E:E,A670)
+COUNTIFS(Equipar!B:B,5,Equipar!F:F,A670)
&gt;0,COUNTIF('Set recomendado'!B:B,C670)=0),
"Bloqueada",
"Desechable")),""
)</f>
        <v/>
      </c>
      <c r="J670" t="str" cm="1">
        <f t="array" aca="1" ref="J670" ca="1">IF(ISNUMBER(A670),IFERROR(_xlfn._xlws.FILTER(Equipar!A:A,(Equipar!B:B=5)*(Equipar!AC:AC=A670)),""),"")</f>
        <v/>
      </c>
    </row>
    <row r="671" spans="1:10" x14ac:dyDescent="0.25">
      <c r="A671" s="1" t="str">
        <f ca="1">IF(A670="ID",1,IF(ISBLANK(B671),"",MAX(A$2:A670)+1))</f>
        <v/>
      </c>
      <c r="I671" s="2" t="str">
        <f ca="1">IF(ISNUMBER(A671),
IF(COUNTIFS(Equipar!B:B,5,Equipar!AC:AC,A671),"Equipada",
IF(
 OR( COUNTIFS(Equipar!B:B,5,Equipar!C:C,A671)
 +COUNTIFS(Equipar!B:B,5,Equipar!D:D,A671)
+COUNTIFS(Equipar!B:B,5,Equipar!E:E,A671)
+COUNTIFS(Equipar!B:B,5,Equipar!F:F,A671)
&gt;0,COUNTIF('Set recomendado'!B:B,C671)=0),
"Bloqueada",
"Desechable")),""
)</f>
        <v/>
      </c>
      <c r="J671" t="str" cm="1">
        <f t="array" aca="1" ref="J671" ca="1">IF(ISNUMBER(A671),IFERROR(_xlfn._xlws.FILTER(Equipar!A:A,(Equipar!B:B=5)*(Equipar!AC:AC=A671)),""),"")</f>
        <v/>
      </c>
    </row>
    <row r="672" spans="1:10" x14ac:dyDescent="0.25">
      <c r="A672" s="1" t="str">
        <f ca="1">IF(A671="ID",1,IF(ISBLANK(B672),"",MAX(A$2:A671)+1))</f>
        <v/>
      </c>
      <c r="I672" s="2" t="str">
        <f ca="1">IF(ISNUMBER(A672),
IF(COUNTIFS(Equipar!B:B,5,Equipar!AC:AC,A672),"Equipada",
IF(
 OR( COUNTIFS(Equipar!B:B,5,Equipar!C:C,A672)
 +COUNTIFS(Equipar!B:B,5,Equipar!D:D,A672)
+COUNTIFS(Equipar!B:B,5,Equipar!E:E,A672)
+COUNTIFS(Equipar!B:B,5,Equipar!F:F,A672)
&gt;0,COUNTIF('Set recomendado'!B:B,C672)=0),
"Bloqueada",
"Desechable")),""
)</f>
        <v/>
      </c>
      <c r="J672" t="str" cm="1">
        <f t="array" aca="1" ref="J672" ca="1">IF(ISNUMBER(A672),IFERROR(_xlfn._xlws.FILTER(Equipar!A:A,(Equipar!B:B=5)*(Equipar!AC:AC=A672)),""),"")</f>
        <v/>
      </c>
    </row>
    <row r="673" spans="1:10" x14ac:dyDescent="0.25">
      <c r="A673" s="1" t="str">
        <f ca="1">IF(A672="ID",1,IF(ISBLANK(B673),"",MAX(A$2:A672)+1))</f>
        <v/>
      </c>
      <c r="I673" s="2" t="str">
        <f ca="1">IF(ISNUMBER(A673),
IF(COUNTIFS(Equipar!B:B,5,Equipar!AC:AC,A673),"Equipada",
IF(
 OR( COUNTIFS(Equipar!B:B,5,Equipar!C:C,A673)
 +COUNTIFS(Equipar!B:B,5,Equipar!D:D,A673)
+COUNTIFS(Equipar!B:B,5,Equipar!E:E,A673)
+COUNTIFS(Equipar!B:B,5,Equipar!F:F,A673)
&gt;0,COUNTIF('Set recomendado'!B:B,C673)=0),
"Bloqueada",
"Desechable")),""
)</f>
        <v/>
      </c>
      <c r="J673" t="str" cm="1">
        <f t="array" aca="1" ref="J673" ca="1">IF(ISNUMBER(A673),IFERROR(_xlfn._xlws.FILTER(Equipar!A:A,(Equipar!B:B=5)*(Equipar!AC:AC=A673)),""),"")</f>
        <v/>
      </c>
    </row>
    <row r="674" spans="1:10" x14ac:dyDescent="0.25">
      <c r="A674" s="1" t="str">
        <f ca="1">IF(A673="ID",1,IF(ISBLANK(B674),"",MAX(A$2:A673)+1))</f>
        <v/>
      </c>
      <c r="I674" s="2" t="str">
        <f ca="1">IF(ISNUMBER(A674),
IF(COUNTIFS(Equipar!B:B,5,Equipar!AC:AC,A674),"Equipada",
IF(
 OR( COUNTIFS(Equipar!B:B,5,Equipar!C:C,A674)
 +COUNTIFS(Equipar!B:B,5,Equipar!D:D,A674)
+COUNTIFS(Equipar!B:B,5,Equipar!E:E,A674)
+COUNTIFS(Equipar!B:B,5,Equipar!F:F,A674)
&gt;0,COUNTIF('Set recomendado'!B:B,C674)=0),
"Bloqueada",
"Desechable")),""
)</f>
        <v/>
      </c>
      <c r="J674" t="str" cm="1">
        <f t="array" aca="1" ref="J674" ca="1">IF(ISNUMBER(A674),IFERROR(_xlfn._xlws.FILTER(Equipar!A:A,(Equipar!B:B=5)*(Equipar!AC:AC=A674)),""),"")</f>
        <v/>
      </c>
    </row>
    <row r="675" spans="1:10" x14ac:dyDescent="0.25">
      <c r="A675" s="1" t="str">
        <f ca="1">IF(A674="ID",1,IF(ISBLANK(B675),"",MAX(A$2:A674)+1))</f>
        <v/>
      </c>
      <c r="I675" s="2" t="str">
        <f ca="1">IF(ISNUMBER(A675),
IF(COUNTIFS(Equipar!B:B,5,Equipar!AC:AC,A675),"Equipada",
IF(
 OR( COUNTIFS(Equipar!B:B,5,Equipar!C:C,A675)
 +COUNTIFS(Equipar!B:B,5,Equipar!D:D,A675)
+COUNTIFS(Equipar!B:B,5,Equipar!E:E,A675)
+COUNTIFS(Equipar!B:B,5,Equipar!F:F,A675)
&gt;0,COUNTIF('Set recomendado'!B:B,C675)=0),
"Bloqueada",
"Desechable")),""
)</f>
        <v/>
      </c>
      <c r="J675" t="str" cm="1">
        <f t="array" aca="1" ref="J675" ca="1">IF(ISNUMBER(A675),IFERROR(_xlfn._xlws.FILTER(Equipar!A:A,(Equipar!B:B=5)*(Equipar!AC:AC=A675)),""),"")</f>
        <v/>
      </c>
    </row>
    <row r="676" spans="1:10" x14ac:dyDescent="0.25">
      <c r="A676" s="1" t="str">
        <f ca="1">IF(A675="ID",1,IF(ISBLANK(B676),"",MAX(A$2:A675)+1))</f>
        <v/>
      </c>
      <c r="I676" s="2" t="str">
        <f ca="1">IF(ISNUMBER(A676),
IF(COUNTIFS(Equipar!B:B,5,Equipar!AC:AC,A676),"Equipada",
IF(
 OR( COUNTIFS(Equipar!B:B,5,Equipar!C:C,A676)
 +COUNTIFS(Equipar!B:B,5,Equipar!D:D,A676)
+COUNTIFS(Equipar!B:B,5,Equipar!E:E,A676)
+COUNTIFS(Equipar!B:B,5,Equipar!F:F,A676)
&gt;0,COUNTIF('Set recomendado'!B:B,C676)=0),
"Bloqueada",
"Desechable")),""
)</f>
        <v/>
      </c>
      <c r="J676" t="str" cm="1">
        <f t="array" aca="1" ref="J676" ca="1">IF(ISNUMBER(A676),IFERROR(_xlfn._xlws.FILTER(Equipar!A:A,(Equipar!B:B=5)*(Equipar!AC:AC=A676)),""),"")</f>
        <v/>
      </c>
    </row>
    <row r="677" spans="1:10" x14ac:dyDescent="0.25">
      <c r="A677" s="1" t="str">
        <f ca="1">IF(A676="ID",1,IF(ISBLANK(B677),"",MAX(A$2:A676)+1))</f>
        <v/>
      </c>
      <c r="I677" s="2" t="str">
        <f ca="1">IF(ISNUMBER(A677),
IF(COUNTIFS(Equipar!B:B,5,Equipar!AC:AC,A677),"Equipada",
IF(
 OR( COUNTIFS(Equipar!B:B,5,Equipar!C:C,A677)
 +COUNTIFS(Equipar!B:B,5,Equipar!D:D,A677)
+COUNTIFS(Equipar!B:B,5,Equipar!E:E,A677)
+COUNTIFS(Equipar!B:B,5,Equipar!F:F,A677)
&gt;0,COUNTIF('Set recomendado'!B:B,C677)=0),
"Bloqueada",
"Desechable")),""
)</f>
        <v/>
      </c>
      <c r="J677" t="str" cm="1">
        <f t="array" aca="1" ref="J677" ca="1">IF(ISNUMBER(A677),IFERROR(_xlfn._xlws.FILTER(Equipar!A:A,(Equipar!B:B=5)*(Equipar!AC:AC=A677)),""),"")</f>
        <v/>
      </c>
    </row>
    <row r="678" spans="1:10" x14ac:dyDescent="0.25">
      <c r="A678" s="1" t="str">
        <f ca="1">IF(A677="ID",1,IF(ISBLANK(B678),"",MAX(A$2:A677)+1))</f>
        <v/>
      </c>
      <c r="I678" s="2" t="str">
        <f ca="1">IF(ISNUMBER(A678),
IF(COUNTIFS(Equipar!B:B,5,Equipar!AC:AC,A678),"Equipada",
IF(
 OR( COUNTIFS(Equipar!B:B,5,Equipar!C:C,A678)
 +COUNTIFS(Equipar!B:B,5,Equipar!D:D,A678)
+COUNTIFS(Equipar!B:B,5,Equipar!E:E,A678)
+COUNTIFS(Equipar!B:B,5,Equipar!F:F,A678)
&gt;0,COUNTIF('Set recomendado'!B:B,C678)=0),
"Bloqueada",
"Desechable")),""
)</f>
        <v/>
      </c>
      <c r="J678" t="str" cm="1">
        <f t="array" aca="1" ref="J678" ca="1">IF(ISNUMBER(A678),IFERROR(_xlfn._xlws.FILTER(Equipar!A:A,(Equipar!B:B=5)*(Equipar!AC:AC=A678)),""),"")</f>
        <v/>
      </c>
    </row>
    <row r="679" spans="1:10" x14ac:dyDescent="0.25">
      <c r="A679" s="1" t="str">
        <f ca="1">IF(A678="ID",1,IF(ISBLANK(B679),"",MAX(A$2:A678)+1))</f>
        <v/>
      </c>
      <c r="I679" s="2" t="str">
        <f ca="1">IF(ISNUMBER(A679),
IF(COUNTIFS(Equipar!B:B,5,Equipar!AC:AC,A679),"Equipada",
IF(
 OR( COUNTIFS(Equipar!B:B,5,Equipar!C:C,A679)
 +COUNTIFS(Equipar!B:B,5,Equipar!D:D,A679)
+COUNTIFS(Equipar!B:B,5,Equipar!E:E,A679)
+COUNTIFS(Equipar!B:B,5,Equipar!F:F,A679)
&gt;0,COUNTIF('Set recomendado'!B:B,C679)=0),
"Bloqueada",
"Desechable")),""
)</f>
        <v/>
      </c>
      <c r="J679" t="str" cm="1">
        <f t="array" aca="1" ref="J679" ca="1">IF(ISNUMBER(A679),IFERROR(_xlfn._xlws.FILTER(Equipar!A:A,(Equipar!B:B=5)*(Equipar!AC:AC=A679)),""),"")</f>
        <v/>
      </c>
    </row>
    <row r="680" spans="1:10" x14ac:dyDescent="0.25">
      <c r="A680" s="1" t="str">
        <f ca="1">IF(A679="ID",1,IF(ISBLANK(B680),"",MAX(A$2:A679)+1))</f>
        <v/>
      </c>
      <c r="I680" s="2" t="str">
        <f ca="1">IF(ISNUMBER(A680),
IF(COUNTIFS(Equipar!B:B,5,Equipar!AC:AC,A680),"Equipada",
IF(
 OR( COUNTIFS(Equipar!B:B,5,Equipar!C:C,A680)
 +COUNTIFS(Equipar!B:B,5,Equipar!D:D,A680)
+COUNTIFS(Equipar!B:B,5,Equipar!E:E,A680)
+COUNTIFS(Equipar!B:B,5,Equipar!F:F,A680)
&gt;0,COUNTIF('Set recomendado'!B:B,C680)=0),
"Bloqueada",
"Desechable")),""
)</f>
        <v/>
      </c>
      <c r="J680" t="str" cm="1">
        <f t="array" aca="1" ref="J680" ca="1">IF(ISNUMBER(A680),IFERROR(_xlfn._xlws.FILTER(Equipar!A:A,(Equipar!B:B=5)*(Equipar!AC:AC=A680)),""),"")</f>
        <v/>
      </c>
    </row>
    <row r="681" spans="1:10" x14ac:dyDescent="0.25">
      <c r="A681" s="1" t="str">
        <f ca="1">IF(A680="ID",1,IF(ISBLANK(B681),"",MAX(A$2:A680)+1))</f>
        <v/>
      </c>
      <c r="I681" s="2" t="str">
        <f ca="1">IF(ISNUMBER(A681),
IF(COUNTIFS(Equipar!B:B,5,Equipar!AC:AC,A681),"Equipada",
IF(
 OR( COUNTIFS(Equipar!B:B,5,Equipar!C:C,A681)
 +COUNTIFS(Equipar!B:B,5,Equipar!D:D,A681)
+COUNTIFS(Equipar!B:B,5,Equipar!E:E,A681)
+COUNTIFS(Equipar!B:B,5,Equipar!F:F,A681)
&gt;0,COUNTIF('Set recomendado'!B:B,C681)=0),
"Bloqueada",
"Desechable")),""
)</f>
        <v/>
      </c>
      <c r="J681" t="str" cm="1">
        <f t="array" aca="1" ref="J681" ca="1">IF(ISNUMBER(A681),IFERROR(_xlfn._xlws.FILTER(Equipar!A:A,(Equipar!B:B=5)*(Equipar!AC:AC=A681)),""),"")</f>
        <v/>
      </c>
    </row>
    <row r="682" spans="1:10" x14ac:dyDescent="0.25">
      <c r="A682" s="1" t="str">
        <f ca="1">IF(A681="ID",1,IF(ISBLANK(B682),"",MAX(A$2:A681)+1))</f>
        <v/>
      </c>
      <c r="I682" s="2" t="str">
        <f ca="1">IF(ISNUMBER(A682),
IF(COUNTIFS(Equipar!B:B,5,Equipar!AC:AC,A682),"Equipada",
IF(
 OR( COUNTIFS(Equipar!B:B,5,Equipar!C:C,A682)
 +COUNTIFS(Equipar!B:B,5,Equipar!D:D,A682)
+COUNTIFS(Equipar!B:B,5,Equipar!E:E,A682)
+COUNTIFS(Equipar!B:B,5,Equipar!F:F,A682)
&gt;0,COUNTIF('Set recomendado'!B:B,C682)=0),
"Bloqueada",
"Desechable")),""
)</f>
        <v/>
      </c>
      <c r="J682" t="str" cm="1">
        <f t="array" aca="1" ref="J682" ca="1">IF(ISNUMBER(A682),IFERROR(_xlfn._xlws.FILTER(Equipar!A:A,(Equipar!B:B=5)*(Equipar!AC:AC=A682)),""),"")</f>
        <v/>
      </c>
    </row>
    <row r="683" spans="1:10" x14ac:dyDescent="0.25">
      <c r="A683" s="1" t="str">
        <f ca="1">IF(A682="ID",1,IF(ISBLANK(B683),"",MAX(A$2:A682)+1))</f>
        <v/>
      </c>
      <c r="I683" s="2" t="str">
        <f ca="1">IF(ISNUMBER(A683),
IF(COUNTIFS(Equipar!B:B,5,Equipar!AC:AC,A683),"Equipada",
IF(
 OR( COUNTIFS(Equipar!B:B,5,Equipar!C:C,A683)
 +COUNTIFS(Equipar!B:B,5,Equipar!D:D,A683)
+COUNTIFS(Equipar!B:B,5,Equipar!E:E,A683)
+COUNTIFS(Equipar!B:B,5,Equipar!F:F,A683)
&gt;0,COUNTIF('Set recomendado'!B:B,C683)=0),
"Bloqueada",
"Desechable")),""
)</f>
        <v/>
      </c>
      <c r="J683" t="str" cm="1">
        <f t="array" aca="1" ref="J683" ca="1">IF(ISNUMBER(A683),IFERROR(_xlfn._xlws.FILTER(Equipar!A:A,(Equipar!B:B=5)*(Equipar!AC:AC=A683)),""),"")</f>
        <v/>
      </c>
    </row>
    <row r="684" spans="1:10" x14ac:dyDescent="0.25">
      <c r="A684" s="1" t="str">
        <f ca="1">IF(A683="ID",1,IF(ISBLANK(B684),"",MAX(A$2:A683)+1))</f>
        <v/>
      </c>
      <c r="I684" s="2" t="str">
        <f ca="1">IF(ISNUMBER(A684),
IF(COUNTIFS(Equipar!B:B,5,Equipar!AC:AC,A684),"Equipada",
IF(
 OR( COUNTIFS(Equipar!B:B,5,Equipar!C:C,A684)
 +COUNTIFS(Equipar!B:B,5,Equipar!D:D,A684)
+COUNTIFS(Equipar!B:B,5,Equipar!E:E,A684)
+COUNTIFS(Equipar!B:B,5,Equipar!F:F,A684)
&gt;0,COUNTIF('Set recomendado'!B:B,C684)=0),
"Bloqueada",
"Desechable")),""
)</f>
        <v/>
      </c>
      <c r="J684" t="str" cm="1">
        <f t="array" aca="1" ref="J684" ca="1">IF(ISNUMBER(A684),IFERROR(_xlfn._xlws.FILTER(Equipar!A:A,(Equipar!B:B=5)*(Equipar!AC:AC=A684)),""),"")</f>
        <v/>
      </c>
    </row>
    <row r="685" spans="1:10" x14ac:dyDescent="0.25">
      <c r="A685" s="1" t="str">
        <f ca="1">IF(A684="ID",1,IF(ISBLANK(B685),"",MAX(A$2:A684)+1))</f>
        <v/>
      </c>
      <c r="I685" s="2" t="str">
        <f ca="1">IF(ISNUMBER(A685),
IF(COUNTIFS(Equipar!B:B,5,Equipar!AC:AC,A685),"Equipada",
IF(
 OR( COUNTIFS(Equipar!B:B,5,Equipar!C:C,A685)
 +COUNTIFS(Equipar!B:B,5,Equipar!D:D,A685)
+COUNTIFS(Equipar!B:B,5,Equipar!E:E,A685)
+COUNTIFS(Equipar!B:B,5,Equipar!F:F,A685)
&gt;0,COUNTIF('Set recomendado'!B:B,C685)=0),
"Bloqueada",
"Desechable")),""
)</f>
        <v/>
      </c>
      <c r="J685" t="str" cm="1">
        <f t="array" aca="1" ref="J685" ca="1">IF(ISNUMBER(A685),IFERROR(_xlfn._xlws.FILTER(Equipar!A:A,(Equipar!B:B=5)*(Equipar!AC:AC=A685)),""),"")</f>
        <v/>
      </c>
    </row>
    <row r="686" spans="1:10" x14ac:dyDescent="0.25">
      <c r="A686" s="1" t="str">
        <f ca="1">IF(A685="ID",1,IF(ISBLANK(B686),"",MAX(A$2:A685)+1))</f>
        <v/>
      </c>
      <c r="I686" s="2" t="str">
        <f ca="1">IF(ISNUMBER(A686),
IF(COUNTIFS(Equipar!B:B,5,Equipar!AC:AC,A686),"Equipada",
IF(
 OR( COUNTIFS(Equipar!B:B,5,Equipar!C:C,A686)
 +COUNTIFS(Equipar!B:B,5,Equipar!D:D,A686)
+COUNTIFS(Equipar!B:B,5,Equipar!E:E,A686)
+COUNTIFS(Equipar!B:B,5,Equipar!F:F,A686)
&gt;0,COUNTIF('Set recomendado'!B:B,C686)=0),
"Bloqueada",
"Desechable")),""
)</f>
        <v/>
      </c>
      <c r="J686" t="str" cm="1">
        <f t="array" aca="1" ref="J686" ca="1">IF(ISNUMBER(A686),IFERROR(_xlfn._xlws.FILTER(Equipar!A:A,(Equipar!B:B=5)*(Equipar!AC:AC=A686)),""),"")</f>
        <v/>
      </c>
    </row>
    <row r="687" spans="1:10" x14ac:dyDescent="0.25">
      <c r="A687" s="1" t="str">
        <f ca="1">IF(A686="ID",1,IF(ISBLANK(B687),"",MAX(A$2:A686)+1))</f>
        <v/>
      </c>
      <c r="I687" s="2" t="str">
        <f ca="1">IF(ISNUMBER(A687),
IF(COUNTIFS(Equipar!B:B,5,Equipar!AC:AC,A687),"Equipada",
IF(
 OR( COUNTIFS(Equipar!B:B,5,Equipar!C:C,A687)
 +COUNTIFS(Equipar!B:B,5,Equipar!D:D,A687)
+COUNTIFS(Equipar!B:B,5,Equipar!E:E,A687)
+COUNTIFS(Equipar!B:B,5,Equipar!F:F,A687)
&gt;0,COUNTIF('Set recomendado'!B:B,C687)=0),
"Bloqueada",
"Desechable")),""
)</f>
        <v/>
      </c>
      <c r="J687" t="str" cm="1">
        <f t="array" aca="1" ref="J687" ca="1">IF(ISNUMBER(A687),IFERROR(_xlfn._xlws.FILTER(Equipar!A:A,(Equipar!B:B=5)*(Equipar!AC:AC=A687)),""),"")</f>
        <v/>
      </c>
    </row>
    <row r="688" spans="1:10" x14ac:dyDescent="0.25">
      <c r="A688" s="1" t="str">
        <f ca="1">IF(A687="ID",1,IF(ISBLANK(B688),"",MAX(A$2:A687)+1))</f>
        <v/>
      </c>
      <c r="I688" s="2" t="str">
        <f ca="1">IF(ISNUMBER(A688),
IF(COUNTIFS(Equipar!B:B,5,Equipar!AC:AC,A688),"Equipada",
IF(
 OR( COUNTIFS(Equipar!B:B,5,Equipar!C:C,A688)
 +COUNTIFS(Equipar!B:B,5,Equipar!D:D,A688)
+COUNTIFS(Equipar!B:B,5,Equipar!E:E,A688)
+COUNTIFS(Equipar!B:B,5,Equipar!F:F,A688)
&gt;0,COUNTIF('Set recomendado'!B:B,C688)=0),
"Bloqueada",
"Desechable")),""
)</f>
        <v/>
      </c>
      <c r="J688" t="str" cm="1">
        <f t="array" aca="1" ref="J688" ca="1">IF(ISNUMBER(A688),IFERROR(_xlfn._xlws.FILTER(Equipar!A:A,(Equipar!B:B=5)*(Equipar!AC:AC=A688)),""),"")</f>
        <v/>
      </c>
    </row>
    <row r="689" spans="1:10" x14ac:dyDescent="0.25">
      <c r="A689" s="1" t="str">
        <f ca="1">IF(A688="ID",1,IF(ISBLANK(B689),"",MAX(A$2:A688)+1))</f>
        <v/>
      </c>
      <c r="I689" s="2" t="str">
        <f ca="1">IF(ISNUMBER(A689),
IF(COUNTIFS(Equipar!B:B,5,Equipar!AC:AC,A689),"Equipada",
IF(
 OR( COUNTIFS(Equipar!B:B,5,Equipar!C:C,A689)
 +COUNTIFS(Equipar!B:B,5,Equipar!D:D,A689)
+COUNTIFS(Equipar!B:B,5,Equipar!E:E,A689)
+COUNTIFS(Equipar!B:B,5,Equipar!F:F,A689)
&gt;0,COUNTIF('Set recomendado'!B:B,C689)=0),
"Bloqueada",
"Desechable")),""
)</f>
        <v/>
      </c>
      <c r="J689" t="str" cm="1">
        <f t="array" aca="1" ref="J689" ca="1">IF(ISNUMBER(A689),IFERROR(_xlfn._xlws.FILTER(Equipar!A:A,(Equipar!B:B=5)*(Equipar!AC:AC=A689)),""),"")</f>
        <v/>
      </c>
    </row>
    <row r="690" spans="1:10" x14ac:dyDescent="0.25">
      <c r="A690" s="1" t="str">
        <f ca="1">IF(A689="ID",1,IF(ISBLANK(B690),"",MAX(A$2:A689)+1))</f>
        <v/>
      </c>
      <c r="I690" s="2" t="str">
        <f ca="1">IF(ISNUMBER(A690),
IF(COUNTIFS(Equipar!B:B,5,Equipar!AC:AC,A690),"Equipada",
IF(
 OR( COUNTIFS(Equipar!B:B,5,Equipar!C:C,A690)
 +COUNTIFS(Equipar!B:B,5,Equipar!D:D,A690)
+COUNTIFS(Equipar!B:B,5,Equipar!E:E,A690)
+COUNTIFS(Equipar!B:B,5,Equipar!F:F,A690)
&gt;0,COUNTIF('Set recomendado'!B:B,C690)=0),
"Bloqueada",
"Desechable")),""
)</f>
        <v/>
      </c>
      <c r="J690" t="str" cm="1">
        <f t="array" aca="1" ref="J690" ca="1">IF(ISNUMBER(A690),IFERROR(_xlfn._xlws.FILTER(Equipar!A:A,(Equipar!B:B=5)*(Equipar!AC:AC=A690)),""),"")</f>
        <v/>
      </c>
    </row>
    <row r="691" spans="1:10" x14ac:dyDescent="0.25">
      <c r="A691" s="1" t="str">
        <f ca="1">IF(A690="ID",1,IF(ISBLANK(B691),"",MAX(A$2:A690)+1))</f>
        <v/>
      </c>
      <c r="I691" s="2" t="str">
        <f ca="1">IF(ISNUMBER(A691),
IF(COUNTIFS(Equipar!B:B,5,Equipar!AC:AC,A691),"Equipada",
IF(
 OR( COUNTIFS(Equipar!B:B,5,Equipar!C:C,A691)
 +COUNTIFS(Equipar!B:B,5,Equipar!D:D,A691)
+COUNTIFS(Equipar!B:B,5,Equipar!E:E,A691)
+COUNTIFS(Equipar!B:B,5,Equipar!F:F,A691)
&gt;0,COUNTIF('Set recomendado'!B:B,C691)=0),
"Bloqueada",
"Desechable")),""
)</f>
        <v/>
      </c>
      <c r="J691" t="str" cm="1">
        <f t="array" aca="1" ref="J691" ca="1">IF(ISNUMBER(A691),IFERROR(_xlfn._xlws.FILTER(Equipar!A:A,(Equipar!B:B=5)*(Equipar!AC:AC=A691)),""),"")</f>
        <v/>
      </c>
    </row>
    <row r="692" spans="1:10" x14ac:dyDescent="0.25">
      <c r="A692" s="1" t="str">
        <f ca="1">IF(A691="ID",1,IF(ISBLANK(B692),"",MAX(A$2:A691)+1))</f>
        <v/>
      </c>
      <c r="I692" s="2" t="str">
        <f ca="1">IF(ISNUMBER(A692),
IF(COUNTIFS(Equipar!B:B,5,Equipar!AC:AC,A692),"Equipada",
IF(
 OR( COUNTIFS(Equipar!B:B,5,Equipar!C:C,A692)
 +COUNTIFS(Equipar!B:B,5,Equipar!D:D,A692)
+COUNTIFS(Equipar!B:B,5,Equipar!E:E,A692)
+COUNTIFS(Equipar!B:B,5,Equipar!F:F,A692)
&gt;0,COUNTIF('Set recomendado'!B:B,C692)=0),
"Bloqueada",
"Desechable")),""
)</f>
        <v/>
      </c>
      <c r="J692" t="str" cm="1">
        <f t="array" aca="1" ref="J692" ca="1">IF(ISNUMBER(A692),IFERROR(_xlfn._xlws.FILTER(Equipar!A:A,(Equipar!B:B=5)*(Equipar!AC:AC=A692)),""),"")</f>
        <v/>
      </c>
    </row>
    <row r="693" spans="1:10" x14ac:dyDescent="0.25">
      <c r="A693" s="1" t="str">
        <f ca="1">IF(A692="ID",1,IF(ISBLANK(B693),"",MAX(A$2:A692)+1))</f>
        <v/>
      </c>
      <c r="I693" s="2" t="str">
        <f ca="1">IF(ISNUMBER(A693),
IF(COUNTIFS(Equipar!B:B,5,Equipar!AC:AC,A693),"Equipada",
IF(
 OR( COUNTIFS(Equipar!B:B,5,Equipar!C:C,A693)
 +COUNTIFS(Equipar!B:B,5,Equipar!D:D,A693)
+COUNTIFS(Equipar!B:B,5,Equipar!E:E,A693)
+COUNTIFS(Equipar!B:B,5,Equipar!F:F,A693)
&gt;0,COUNTIF('Set recomendado'!B:B,C693)=0),
"Bloqueada",
"Desechable")),""
)</f>
        <v/>
      </c>
      <c r="J693" t="str" cm="1">
        <f t="array" aca="1" ref="J693" ca="1">IF(ISNUMBER(A693),IFERROR(_xlfn._xlws.FILTER(Equipar!A:A,(Equipar!B:B=5)*(Equipar!AC:AC=A693)),""),"")</f>
        <v/>
      </c>
    </row>
    <row r="694" spans="1:10" x14ac:dyDescent="0.25">
      <c r="A694" s="1" t="str">
        <f ca="1">IF(A693="ID",1,IF(ISBLANK(B694),"",MAX(A$2:A693)+1))</f>
        <v/>
      </c>
      <c r="I694" s="2" t="str">
        <f ca="1">IF(ISNUMBER(A694),
IF(COUNTIFS(Equipar!B:B,5,Equipar!AC:AC,A694),"Equipada",
IF(
 OR( COUNTIFS(Equipar!B:B,5,Equipar!C:C,A694)
 +COUNTIFS(Equipar!B:B,5,Equipar!D:D,A694)
+COUNTIFS(Equipar!B:B,5,Equipar!E:E,A694)
+COUNTIFS(Equipar!B:B,5,Equipar!F:F,A694)
&gt;0,COUNTIF('Set recomendado'!B:B,C694)=0),
"Bloqueada",
"Desechable")),""
)</f>
        <v/>
      </c>
      <c r="J694" t="str" cm="1">
        <f t="array" aca="1" ref="J694" ca="1">IF(ISNUMBER(A694),IFERROR(_xlfn._xlws.FILTER(Equipar!A:A,(Equipar!B:B=5)*(Equipar!AC:AC=A694)),""),"")</f>
        <v/>
      </c>
    </row>
    <row r="695" spans="1:10" x14ac:dyDescent="0.25">
      <c r="A695" s="1" t="str">
        <f ca="1">IF(A694="ID",1,IF(ISBLANK(B695),"",MAX(A$2:A694)+1))</f>
        <v/>
      </c>
      <c r="I695" s="2" t="str">
        <f ca="1">IF(ISNUMBER(A695),
IF(COUNTIFS(Equipar!B:B,5,Equipar!AC:AC,A695),"Equipada",
IF(
 OR( COUNTIFS(Equipar!B:B,5,Equipar!C:C,A695)
 +COUNTIFS(Equipar!B:B,5,Equipar!D:D,A695)
+COUNTIFS(Equipar!B:B,5,Equipar!E:E,A695)
+COUNTIFS(Equipar!B:B,5,Equipar!F:F,A695)
&gt;0,COUNTIF('Set recomendado'!B:B,C695)=0),
"Bloqueada",
"Desechable")),""
)</f>
        <v/>
      </c>
      <c r="J695" t="str" cm="1">
        <f t="array" aca="1" ref="J695" ca="1">IF(ISNUMBER(A695),IFERROR(_xlfn._xlws.FILTER(Equipar!A:A,(Equipar!B:B=5)*(Equipar!AC:AC=A695)),""),"")</f>
        <v/>
      </c>
    </row>
    <row r="696" spans="1:10" x14ac:dyDescent="0.25">
      <c r="A696" s="1" t="str">
        <f ca="1">IF(A695="ID",1,IF(ISBLANK(B696),"",MAX(A$2:A695)+1))</f>
        <v/>
      </c>
      <c r="I696" s="2" t="str">
        <f ca="1">IF(ISNUMBER(A696),
IF(COUNTIFS(Equipar!B:B,5,Equipar!AC:AC,A696),"Equipada",
IF(
 OR( COUNTIFS(Equipar!B:B,5,Equipar!C:C,A696)
 +COUNTIFS(Equipar!B:B,5,Equipar!D:D,A696)
+COUNTIFS(Equipar!B:B,5,Equipar!E:E,A696)
+COUNTIFS(Equipar!B:B,5,Equipar!F:F,A696)
&gt;0,COUNTIF('Set recomendado'!B:B,C696)=0),
"Bloqueada",
"Desechable")),""
)</f>
        <v/>
      </c>
      <c r="J696" t="str" cm="1">
        <f t="array" aca="1" ref="J696" ca="1">IF(ISNUMBER(A696),IFERROR(_xlfn._xlws.FILTER(Equipar!A:A,(Equipar!B:B=5)*(Equipar!AC:AC=A696)),""),"")</f>
        <v/>
      </c>
    </row>
    <row r="697" spans="1:10" x14ac:dyDescent="0.25">
      <c r="A697" s="1" t="str">
        <f ca="1">IF(A696="ID",1,IF(ISBLANK(B697),"",MAX(A$2:A696)+1))</f>
        <v/>
      </c>
      <c r="I697" s="2" t="str">
        <f ca="1">IF(ISNUMBER(A697),
IF(COUNTIFS(Equipar!B:B,5,Equipar!AC:AC,A697),"Equipada",
IF(
 OR( COUNTIFS(Equipar!B:B,5,Equipar!C:C,A697)
 +COUNTIFS(Equipar!B:B,5,Equipar!D:D,A697)
+COUNTIFS(Equipar!B:B,5,Equipar!E:E,A697)
+COUNTIFS(Equipar!B:B,5,Equipar!F:F,A697)
&gt;0,COUNTIF('Set recomendado'!B:B,C697)=0),
"Bloqueada",
"Desechable")),""
)</f>
        <v/>
      </c>
      <c r="J697" t="str" cm="1">
        <f t="array" aca="1" ref="J697" ca="1">IF(ISNUMBER(A697),IFERROR(_xlfn._xlws.FILTER(Equipar!A:A,(Equipar!B:B=5)*(Equipar!AC:AC=A697)),""),"")</f>
        <v/>
      </c>
    </row>
    <row r="698" spans="1:10" x14ac:dyDescent="0.25">
      <c r="A698" s="1" t="str">
        <f ca="1">IF(A697="ID",1,IF(ISBLANK(B698),"",MAX(A$2:A697)+1))</f>
        <v/>
      </c>
      <c r="I698" s="2" t="str">
        <f ca="1">IF(ISNUMBER(A698),
IF(COUNTIFS(Equipar!B:B,5,Equipar!AC:AC,A698),"Equipada",
IF(
 OR( COUNTIFS(Equipar!B:B,5,Equipar!C:C,A698)
 +COUNTIFS(Equipar!B:B,5,Equipar!D:D,A698)
+COUNTIFS(Equipar!B:B,5,Equipar!E:E,A698)
+COUNTIFS(Equipar!B:B,5,Equipar!F:F,A698)
&gt;0,COUNTIF('Set recomendado'!B:B,C698)=0),
"Bloqueada",
"Desechable")),""
)</f>
        <v/>
      </c>
      <c r="J698" t="str" cm="1">
        <f t="array" aca="1" ref="J698" ca="1">IF(ISNUMBER(A698),IFERROR(_xlfn._xlws.FILTER(Equipar!A:A,(Equipar!B:B=5)*(Equipar!AC:AC=A698)),""),"")</f>
        <v/>
      </c>
    </row>
    <row r="699" spans="1:10" x14ac:dyDescent="0.25">
      <c r="A699" s="1" t="str">
        <f ca="1">IF(A698="ID",1,IF(ISBLANK(B699),"",MAX(A$2:A698)+1))</f>
        <v/>
      </c>
      <c r="I699" s="2" t="str">
        <f ca="1">IF(ISNUMBER(A699),
IF(COUNTIFS(Equipar!B:B,5,Equipar!AC:AC,A699),"Equipada",
IF(
 OR( COUNTIFS(Equipar!B:B,5,Equipar!C:C,A699)
 +COUNTIFS(Equipar!B:B,5,Equipar!D:D,A699)
+COUNTIFS(Equipar!B:B,5,Equipar!E:E,A699)
+COUNTIFS(Equipar!B:B,5,Equipar!F:F,A699)
&gt;0,COUNTIF('Set recomendado'!B:B,C699)=0),
"Bloqueada",
"Desechable")),""
)</f>
        <v/>
      </c>
      <c r="J699" t="str" cm="1">
        <f t="array" aca="1" ref="J699" ca="1">IF(ISNUMBER(A699),IFERROR(_xlfn._xlws.FILTER(Equipar!A:A,(Equipar!B:B=5)*(Equipar!AC:AC=A699)),""),"")</f>
        <v/>
      </c>
    </row>
    <row r="700" spans="1:10" x14ac:dyDescent="0.25">
      <c r="A700" s="1" t="str">
        <f ca="1">IF(A699="ID",1,IF(ISBLANK(B700),"",MAX(A$2:A699)+1))</f>
        <v/>
      </c>
      <c r="I700" s="2" t="str">
        <f ca="1">IF(ISNUMBER(A700),
IF(COUNTIFS(Equipar!B:B,5,Equipar!AC:AC,A700),"Equipada",
IF(
 OR( COUNTIFS(Equipar!B:B,5,Equipar!C:C,A700)
 +COUNTIFS(Equipar!B:B,5,Equipar!D:D,A700)
+COUNTIFS(Equipar!B:B,5,Equipar!E:E,A700)
+COUNTIFS(Equipar!B:B,5,Equipar!F:F,A700)
&gt;0,COUNTIF('Set recomendado'!B:B,C700)=0),
"Bloqueada",
"Desechable")),""
)</f>
        <v/>
      </c>
      <c r="J700" t="str" cm="1">
        <f t="array" aca="1" ref="J700" ca="1">IF(ISNUMBER(A700),IFERROR(_xlfn._xlws.FILTER(Equipar!A:A,(Equipar!B:B=5)*(Equipar!AC:AC=A700)),""),"")</f>
        <v/>
      </c>
    </row>
    <row r="701" spans="1:10" x14ac:dyDescent="0.25">
      <c r="A701" s="1" t="str">
        <f ca="1">IF(A700="ID",1,IF(ISBLANK(B701),"",MAX(A$2:A700)+1))</f>
        <v/>
      </c>
      <c r="I701" s="2" t="str">
        <f ca="1">IF(ISNUMBER(A701),
IF(COUNTIFS(Equipar!B:B,5,Equipar!AC:AC,A701),"Equipada",
IF(
 OR( COUNTIFS(Equipar!B:B,5,Equipar!C:C,A701)
 +COUNTIFS(Equipar!B:B,5,Equipar!D:D,A701)
+COUNTIFS(Equipar!B:B,5,Equipar!E:E,A701)
+COUNTIFS(Equipar!B:B,5,Equipar!F:F,A701)
&gt;0,COUNTIF('Set recomendado'!B:B,C701)=0),
"Bloqueada",
"Desechable")),""
)</f>
        <v/>
      </c>
      <c r="J701" t="str" cm="1">
        <f t="array" aca="1" ref="J701" ca="1">IF(ISNUMBER(A701),IFERROR(_xlfn._xlws.FILTER(Equipar!A:A,(Equipar!B:B=5)*(Equipar!AC:AC=A701)),""),"")</f>
        <v/>
      </c>
    </row>
    <row r="702" spans="1:10" x14ac:dyDescent="0.25">
      <c r="A702" s="1" t="str">
        <f ca="1">IF(A701="ID",1,IF(ISBLANK(B702),"",MAX(A$2:A701)+1))</f>
        <v/>
      </c>
      <c r="I702" s="2" t="str">
        <f ca="1">IF(ISNUMBER(A702),
IF(COUNTIFS(Equipar!B:B,5,Equipar!AC:AC,A702),"Equipada",
IF(
 OR( COUNTIFS(Equipar!B:B,5,Equipar!C:C,A702)
 +COUNTIFS(Equipar!B:B,5,Equipar!D:D,A702)
+COUNTIFS(Equipar!B:B,5,Equipar!E:E,A702)
+COUNTIFS(Equipar!B:B,5,Equipar!F:F,A702)
&gt;0,COUNTIF('Set recomendado'!B:B,C702)=0),
"Bloqueada",
"Desechable")),""
)</f>
        <v/>
      </c>
      <c r="J702" t="str" cm="1">
        <f t="array" aca="1" ref="J702" ca="1">IF(ISNUMBER(A702),IFERROR(_xlfn._xlws.FILTER(Equipar!A:A,(Equipar!B:B=5)*(Equipar!AC:AC=A702)),""),"")</f>
        <v/>
      </c>
    </row>
    <row r="703" spans="1:10" x14ac:dyDescent="0.25">
      <c r="A703" s="1" t="str">
        <f ca="1">IF(A702="ID",1,IF(ISBLANK(B703),"",MAX(A$2:A702)+1))</f>
        <v/>
      </c>
      <c r="I703" s="2" t="str">
        <f ca="1">IF(ISNUMBER(A703),
IF(COUNTIFS(Equipar!B:B,5,Equipar!AC:AC,A703),"Equipada",
IF(
 OR( COUNTIFS(Equipar!B:B,5,Equipar!C:C,A703)
 +COUNTIFS(Equipar!B:B,5,Equipar!D:D,A703)
+COUNTIFS(Equipar!B:B,5,Equipar!E:E,A703)
+COUNTIFS(Equipar!B:B,5,Equipar!F:F,A703)
&gt;0,COUNTIF('Set recomendado'!B:B,C703)=0),
"Bloqueada",
"Desechable")),""
)</f>
        <v/>
      </c>
      <c r="J703" t="str" cm="1">
        <f t="array" aca="1" ref="J703" ca="1">IF(ISNUMBER(A703),IFERROR(_xlfn._xlws.FILTER(Equipar!A:A,(Equipar!B:B=5)*(Equipar!AC:AC=A703)),""),"")</f>
        <v/>
      </c>
    </row>
    <row r="704" spans="1:10" x14ac:dyDescent="0.25">
      <c r="A704" s="1" t="str">
        <f ca="1">IF(A703="ID",1,IF(ISBLANK(B704),"",MAX(A$2:A703)+1))</f>
        <v/>
      </c>
      <c r="I704" s="2" t="str">
        <f ca="1">IF(ISNUMBER(A704),
IF(COUNTIFS(Equipar!B:B,5,Equipar!AC:AC,A704),"Equipada",
IF(
 OR( COUNTIFS(Equipar!B:B,5,Equipar!C:C,A704)
 +COUNTIFS(Equipar!B:B,5,Equipar!D:D,A704)
+COUNTIFS(Equipar!B:B,5,Equipar!E:E,A704)
+COUNTIFS(Equipar!B:B,5,Equipar!F:F,A704)
&gt;0,COUNTIF('Set recomendado'!B:B,C704)=0),
"Bloqueada",
"Desechable")),""
)</f>
        <v/>
      </c>
      <c r="J704" t="str" cm="1">
        <f t="array" aca="1" ref="J704" ca="1">IF(ISNUMBER(A704),IFERROR(_xlfn._xlws.FILTER(Equipar!A:A,(Equipar!B:B=5)*(Equipar!AC:AC=A704)),""),"")</f>
        <v/>
      </c>
    </row>
    <row r="705" spans="1:10" x14ac:dyDescent="0.25">
      <c r="A705" s="1" t="str">
        <f ca="1">IF(A704="ID",1,IF(ISBLANK(B705),"",MAX(A$2:A704)+1))</f>
        <v/>
      </c>
      <c r="I705" s="2" t="str">
        <f ca="1">IF(ISNUMBER(A705),
IF(COUNTIFS(Equipar!B:B,5,Equipar!AC:AC,A705),"Equipada",
IF(
 OR( COUNTIFS(Equipar!B:B,5,Equipar!C:C,A705)
 +COUNTIFS(Equipar!B:B,5,Equipar!D:D,A705)
+COUNTIFS(Equipar!B:B,5,Equipar!E:E,A705)
+COUNTIFS(Equipar!B:B,5,Equipar!F:F,A705)
&gt;0,COUNTIF('Set recomendado'!B:B,C705)=0),
"Bloqueada",
"Desechable")),""
)</f>
        <v/>
      </c>
      <c r="J705" t="str" cm="1">
        <f t="array" aca="1" ref="J705" ca="1">IF(ISNUMBER(A705),IFERROR(_xlfn._xlws.FILTER(Equipar!A:A,(Equipar!B:B=5)*(Equipar!AC:AC=A705)),""),"")</f>
        <v/>
      </c>
    </row>
    <row r="706" spans="1:10" x14ac:dyDescent="0.25">
      <c r="A706" s="1" t="str">
        <f ca="1">IF(A705="ID",1,IF(ISBLANK(B706),"",MAX(A$2:A705)+1))</f>
        <v/>
      </c>
      <c r="I706" s="2" t="str">
        <f ca="1">IF(ISNUMBER(A706),
IF(COUNTIFS(Equipar!B:B,5,Equipar!AC:AC,A706),"Equipada",
IF(
 OR( COUNTIFS(Equipar!B:B,5,Equipar!C:C,A706)
 +COUNTIFS(Equipar!B:B,5,Equipar!D:D,A706)
+COUNTIFS(Equipar!B:B,5,Equipar!E:E,A706)
+COUNTIFS(Equipar!B:B,5,Equipar!F:F,A706)
&gt;0,COUNTIF('Set recomendado'!B:B,C706)=0),
"Bloqueada",
"Desechable")),""
)</f>
        <v/>
      </c>
      <c r="J706" t="str" cm="1">
        <f t="array" aca="1" ref="J706" ca="1">IF(ISNUMBER(A706),IFERROR(_xlfn._xlws.FILTER(Equipar!A:A,(Equipar!B:B=5)*(Equipar!AC:AC=A706)),""),"")</f>
        <v/>
      </c>
    </row>
    <row r="707" spans="1:10" x14ac:dyDescent="0.25">
      <c r="A707" s="1" t="str">
        <f ca="1">IF(A706="ID",1,IF(ISBLANK(B707),"",MAX(A$2:A706)+1))</f>
        <v/>
      </c>
      <c r="I707" s="2" t="str">
        <f ca="1">IF(ISNUMBER(A707),
IF(COUNTIFS(Equipar!B:B,5,Equipar!AC:AC,A707),"Equipada",
IF(
 OR( COUNTIFS(Equipar!B:B,5,Equipar!C:C,A707)
 +COUNTIFS(Equipar!B:B,5,Equipar!D:D,A707)
+COUNTIFS(Equipar!B:B,5,Equipar!E:E,A707)
+COUNTIFS(Equipar!B:B,5,Equipar!F:F,A707)
&gt;0,COUNTIF('Set recomendado'!B:B,C707)=0),
"Bloqueada",
"Desechable")),""
)</f>
        <v/>
      </c>
      <c r="J707" t="str" cm="1">
        <f t="array" aca="1" ref="J707" ca="1">IF(ISNUMBER(A707),IFERROR(_xlfn._xlws.FILTER(Equipar!A:A,(Equipar!B:B=5)*(Equipar!AC:AC=A707)),""),"")</f>
        <v/>
      </c>
    </row>
    <row r="708" spans="1:10" x14ac:dyDescent="0.25">
      <c r="A708" s="1" t="str">
        <f ca="1">IF(A707="ID",1,IF(ISBLANK(B708),"",MAX(A$2:A707)+1))</f>
        <v/>
      </c>
      <c r="I708" s="2" t="str">
        <f ca="1">IF(ISNUMBER(A708),
IF(COUNTIFS(Equipar!B:B,5,Equipar!AC:AC,A708),"Equipada",
IF(
 OR( COUNTIFS(Equipar!B:B,5,Equipar!C:C,A708)
 +COUNTIFS(Equipar!B:B,5,Equipar!D:D,A708)
+COUNTIFS(Equipar!B:B,5,Equipar!E:E,A708)
+COUNTIFS(Equipar!B:B,5,Equipar!F:F,A708)
&gt;0,COUNTIF('Set recomendado'!B:B,C708)=0),
"Bloqueada",
"Desechable")),""
)</f>
        <v/>
      </c>
      <c r="J708" t="str" cm="1">
        <f t="array" aca="1" ref="J708" ca="1">IF(ISNUMBER(A708),IFERROR(_xlfn._xlws.FILTER(Equipar!A:A,(Equipar!B:B=5)*(Equipar!AC:AC=A708)),""),"")</f>
        <v/>
      </c>
    </row>
    <row r="709" spans="1:10" x14ac:dyDescent="0.25">
      <c r="A709" s="1" t="str">
        <f ca="1">IF(A708="ID",1,IF(ISBLANK(B709),"",MAX(A$2:A708)+1))</f>
        <v/>
      </c>
      <c r="I709" s="2" t="str">
        <f ca="1">IF(ISNUMBER(A709),
IF(COUNTIFS(Equipar!B:B,5,Equipar!AC:AC,A709),"Equipada",
IF(
 OR( COUNTIFS(Equipar!B:B,5,Equipar!C:C,A709)
 +COUNTIFS(Equipar!B:B,5,Equipar!D:D,A709)
+COUNTIFS(Equipar!B:B,5,Equipar!E:E,A709)
+COUNTIFS(Equipar!B:B,5,Equipar!F:F,A709)
&gt;0,COUNTIF('Set recomendado'!B:B,C709)=0),
"Bloqueada",
"Desechable")),""
)</f>
        <v/>
      </c>
      <c r="J709" t="str" cm="1">
        <f t="array" aca="1" ref="J709" ca="1">IF(ISNUMBER(A709),IFERROR(_xlfn._xlws.FILTER(Equipar!A:A,(Equipar!B:B=5)*(Equipar!AC:AC=A709)),""),"")</f>
        <v/>
      </c>
    </row>
    <row r="710" spans="1:10" x14ac:dyDescent="0.25">
      <c r="A710" s="1" t="str">
        <f ca="1">IF(A709="ID",1,IF(ISBLANK(B710),"",MAX(A$2:A709)+1))</f>
        <v/>
      </c>
      <c r="I710" s="2" t="str">
        <f ca="1">IF(ISNUMBER(A710),
IF(COUNTIFS(Equipar!B:B,5,Equipar!AC:AC,A710),"Equipada",
IF(
 OR( COUNTIFS(Equipar!B:B,5,Equipar!C:C,A710)
 +COUNTIFS(Equipar!B:B,5,Equipar!D:D,A710)
+COUNTIFS(Equipar!B:B,5,Equipar!E:E,A710)
+COUNTIFS(Equipar!B:B,5,Equipar!F:F,A710)
&gt;0,COUNTIF('Set recomendado'!B:B,C710)=0),
"Bloqueada",
"Desechable")),""
)</f>
        <v/>
      </c>
      <c r="J710" t="str" cm="1">
        <f t="array" aca="1" ref="J710" ca="1">IF(ISNUMBER(A710),IFERROR(_xlfn._xlws.FILTER(Equipar!A:A,(Equipar!B:B=5)*(Equipar!AC:AC=A710)),""),"")</f>
        <v/>
      </c>
    </row>
    <row r="711" spans="1:10" x14ac:dyDescent="0.25">
      <c r="A711" s="1" t="str">
        <f ca="1">IF(A710="ID",1,IF(ISBLANK(B711),"",MAX(A$2:A710)+1))</f>
        <v/>
      </c>
      <c r="I711" s="2" t="str">
        <f ca="1">IF(ISNUMBER(A711),
IF(COUNTIFS(Equipar!B:B,5,Equipar!AC:AC,A711),"Equipada",
IF(
 OR( COUNTIFS(Equipar!B:B,5,Equipar!C:C,A711)
 +COUNTIFS(Equipar!B:B,5,Equipar!D:D,A711)
+COUNTIFS(Equipar!B:B,5,Equipar!E:E,A711)
+COUNTIFS(Equipar!B:B,5,Equipar!F:F,A711)
&gt;0,COUNTIF('Set recomendado'!B:B,C711)=0),
"Bloqueada",
"Desechable")),""
)</f>
        <v/>
      </c>
      <c r="J711" t="str" cm="1">
        <f t="array" aca="1" ref="J711" ca="1">IF(ISNUMBER(A711),IFERROR(_xlfn._xlws.FILTER(Equipar!A:A,(Equipar!B:B=5)*(Equipar!AC:AC=A711)),""),"")</f>
        <v/>
      </c>
    </row>
    <row r="712" spans="1:10" x14ac:dyDescent="0.25">
      <c r="A712" s="1" t="str">
        <f ca="1">IF(A711="ID",1,IF(ISBLANK(B712),"",MAX(A$2:A711)+1))</f>
        <v/>
      </c>
      <c r="I712" s="2" t="str">
        <f ca="1">IF(ISNUMBER(A712),
IF(COUNTIFS(Equipar!B:B,5,Equipar!AC:AC,A712),"Equipada",
IF(
 OR( COUNTIFS(Equipar!B:B,5,Equipar!C:C,A712)
 +COUNTIFS(Equipar!B:B,5,Equipar!D:D,A712)
+COUNTIFS(Equipar!B:B,5,Equipar!E:E,A712)
+COUNTIFS(Equipar!B:B,5,Equipar!F:F,A712)
&gt;0,COUNTIF('Set recomendado'!B:B,C712)=0),
"Bloqueada",
"Desechable")),""
)</f>
        <v/>
      </c>
      <c r="J712" t="str" cm="1">
        <f t="array" aca="1" ref="J712" ca="1">IF(ISNUMBER(A712),IFERROR(_xlfn._xlws.FILTER(Equipar!A:A,(Equipar!B:B=5)*(Equipar!AC:AC=A712)),""),"")</f>
        <v/>
      </c>
    </row>
    <row r="713" spans="1:10" x14ac:dyDescent="0.25">
      <c r="A713" s="1" t="str">
        <f ca="1">IF(A712="ID",1,IF(ISBLANK(B713),"",MAX(A$2:A712)+1))</f>
        <v/>
      </c>
      <c r="I713" s="2" t="str">
        <f ca="1">IF(ISNUMBER(A713),
IF(COUNTIFS(Equipar!B:B,5,Equipar!AC:AC,A713),"Equipada",
IF(
 OR( COUNTIFS(Equipar!B:B,5,Equipar!C:C,A713)
 +COUNTIFS(Equipar!B:B,5,Equipar!D:D,A713)
+COUNTIFS(Equipar!B:B,5,Equipar!E:E,A713)
+COUNTIFS(Equipar!B:B,5,Equipar!F:F,A713)
&gt;0,COUNTIF('Set recomendado'!B:B,C713)=0),
"Bloqueada",
"Desechable")),""
)</f>
        <v/>
      </c>
      <c r="J713" t="str" cm="1">
        <f t="array" aca="1" ref="J713" ca="1">IF(ISNUMBER(A713),IFERROR(_xlfn._xlws.FILTER(Equipar!A:A,(Equipar!B:B=5)*(Equipar!AC:AC=A713)),""),"")</f>
        <v/>
      </c>
    </row>
    <row r="714" spans="1:10" x14ac:dyDescent="0.25">
      <c r="A714" s="1" t="str">
        <f ca="1">IF(A713="ID",1,IF(ISBLANK(B714),"",MAX(A$2:A713)+1))</f>
        <v/>
      </c>
      <c r="I714" s="2" t="str">
        <f ca="1">IF(ISNUMBER(A714),
IF(COUNTIFS(Equipar!B:B,5,Equipar!AC:AC,A714),"Equipada",
IF(
 OR( COUNTIFS(Equipar!B:B,5,Equipar!C:C,A714)
 +COUNTIFS(Equipar!B:B,5,Equipar!D:D,A714)
+COUNTIFS(Equipar!B:B,5,Equipar!E:E,A714)
+COUNTIFS(Equipar!B:B,5,Equipar!F:F,A714)
&gt;0,COUNTIF('Set recomendado'!B:B,C714)=0),
"Bloqueada",
"Desechable")),""
)</f>
        <v/>
      </c>
      <c r="J714" t="str" cm="1">
        <f t="array" aca="1" ref="J714" ca="1">IF(ISNUMBER(A714),IFERROR(_xlfn._xlws.FILTER(Equipar!A:A,(Equipar!B:B=5)*(Equipar!AC:AC=A714)),""),"")</f>
        <v/>
      </c>
    </row>
    <row r="715" spans="1:10" x14ac:dyDescent="0.25">
      <c r="A715" s="1" t="str">
        <f ca="1">IF(A714="ID",1,IF(ISBLANK(B715),"",MAX(A$2:A714)+1))</f>
        <v/>
      </c>
      <c r="I715" s="2" t="str">
        <f ca="1">IF(ISNUMBER(A715),
IF(COUNTIFS(Equipar!B:B,5,Equipar!AC:AC,A715),"Equipada",
IF(
 OR( COUNTIFS(Equipar!B:B,5,Equipar!C:C,A715)
 +COUNTIFS(Equipar!B:B,5,Equipar!D:D,A715)
+COUNTIFS(Equipar!B:B,5,Equipar!E:E,A715)
+COUNTIFS(Equipar!B:B,5,Equipar!F:F,A715)
&gt;0,COUNTIF('Set recomendado'!B:B,C715)=0),
"Bloqueada",
"Desechable")),""
)</f>
        <v/>
      </c>
      <c r="J715" t="str" cm="1">
        <f t="array" aca="1" ref="J715" ca="1">IF(ISNUMBER(A715),IFERROR(_xlfn._xlws.FILTER(Equipar!A:A,(Equipar!B:B=5)*(Equipar!AC:AC=A715)),""),"")</f>
        <v/>
      </c>
    </row>
    <row r="716" spans="1:10" x14ac:dyDescent="0.25">
      <c r="A716" s="1" t="str">
        <f ca="1">IF(A715="ID",1,IF(ISBLANK(B716),"",MAX(A$2:A715)+1))</f>
        <v/>
      </c>
      <c r="I716" s="2" t="str">
        <f ca="1">IF(ISNUMBER(A716),
IF(COUNTIFS(Equipar!B:B,5,Equipar!AC:AC,A716),"Equipada",
IF(
 OR( COUNTIFS(Equipar!B:B,5,Equipar!C:C,A716)
 +COUNTIFS(Equipar!B:B,5,Equipar!D:D,A716)
+COUNTIFS(Equipar!B:B,5,Equipar!E:E,A716)
+COUNTIFS(Equipar!B:B,5,Equipar!F:F,A716)
&gt;0,COUNTIF('Set recomendado'!B:B,C716)=0),
"Bloqueada",
"Desechable")),""
)</f>
        <v/>
      </c>
      <c r="J716" t="str" cm="1">
        <f t="array" aca="1" ref="J716" ca="1">IF(ISNUMBER(A716),IFERROR(_xlfn._xlws.FILTER(Equipar!A:A,(Equipar!B:B=5)*(Equipar!AC:AC=A716)),""),"")</f>
        <v/>
      </c>
    </row>
    <row r="717" spans="1:10" x14ac:dyDescent="0.25">
      <c r="A717" s="1" t="str">
        <f ca="1">IF(A716="ID",1,IF(ISBLANK(B717),"",MAX(A$2:A716)+1))</f>
        <v/>
      </c>
      <c r="I717" s="2" t="str">
        <f ca="1">IF(ISNUMBER(A717),
IF(COUNTIFS(Equipar!B:B,5,Equipar!AC:AC,A717),"Equipada",
IF(
 OR( COUNTIFS(Equipar!B:B,5,Equipar!C:C,A717)
 +COUNTIFS(Equipar!B:B,5,Equipar!D:D,A717)
+COUNTIFS(Equipar!B:B,5,Equipar!E:E,A717)
+COUNTIFS(Equipar!B:B,5,Equipar!F:F,A717)
&gt;0,COUNTIF('Set recomendado'!B:B,C717)=0),
"Bloqueada",
"Desechable")),""
)</f>
        <v/>
      </c>
      <c r="J717" t="str" cm="1">
        <f t="array" aca="1" ref="J717" ca="1">IF(ISNUMBER(A717),IFERROR(_xlfn._xlws.FILTER(Equipar!A:A,(Equipar!B:B=5)*(Equipar!AC:AC=A717)),""),"")</f>
        <v/>
      </c>
    </row>
    <row r="718" spans="1:10" x14ac:dyDescent="0.25">
      <c r="A718" s="1" t="str">
        <f ca="1">IF(A717="ID",1,IF(ISBLANK(B718),"",MAX(A$2:A717)+1))</f>
        <v/>
      </c>
      <c r="I718" s="2" t="str">
        <f ca="1">IF(ISNUMBER(A718),
IF(COUNTIFS(Equipar!B:B,5,Equipar!AC:AC,A718),"Equipada",
IF(
 OR( COUNTIFS(Equipar!B:B,5,Equipar!C:C,A718)
 +COUNTIFS(Equipar!B:B,5,Equipar!D:D,A718)
+COUNTIFS(Equipar!B:B,5,Equipar!E:E,A718)
+COUNTIFS(Equipar!B:B,5,Equipar!F:F,A718)
&gt;0,COUNTIF('Set recomendado'!B:B,C718)=0),
"Bloqueada",
"Desechable")),""
)</f>
        <v/>
      </c>
      <c r="J718" t="str" cm="1">
        <f t="array" aca="1" ref="J718" ca="1">IF(ISNUMBER(A718),IFERROR(_xlfn._xlws.FILTER(Equipar!A:A,(Equipar!B:B=5)*(Equipar!AC:AC=A718)),""),"")</f>
        <v/>
      </c>
    </row>
    <row r="719" spans="1:10" x14ac:dyDescent="0.25">
      <c r="A719" s="1" t="str">
        <f ca="1">IF(A718="ID",1,IF(ISBLANK(B719),"",MAX(A$2:A718)+1))</f>
        <v/>
      </c>
      <c r="I719" s="2" t="str">
        <f ca="1">IF(ISNUMBER(A719),
IF(COUNTIFS(Equipar!B:B,5,Equipar!AC:AC,A719),"Equipada",
IF(
 OR( COUNTIFS(Equipar!B:B,5,Equipar!C:C,A719)
 +COUNTIFS(Equipar!B:B,5,Equipar!D:D,A719)
+COUNTIFS(Equipar!B:B,5,Equipar!E:E,A719)
+COUNTIFS(Equipar!B:B,5,Equipar!F:F,A719)
&gt;0,COUNTIF('Set recomendado'!B:B,C719)=0),
"Bloqueada",
"Desechable")),""
)</f>
        <v/>
      </c>
      <c r="J719" t="str" cm="1">
        <f t="array" aca="1" ref="J719" ca="1">IF(ISNUMBER(A719),IFERROR(_xlfn._xlws.FILTER(Equipar!A:A,(Equipar!B:B=5)*(Equipar!AC:AC=A719)),""),"")</f>
        <v/>
      </c>
    </row>
    <row r="720" spans="1:10" x14ac:dyDescent="0.25">
      <c r="A720" s="1" t="str">
        <f ca="1">IF(A719="ID",1,IF(ISBLANK(B720),"",MAX(A$2:A719)+1))</f>
        <v/>
      </c>
      <c r="I720" s="2" t="str">
        <f ca="1">IF(ISNUMBER(A720),
IF(COUNTIFS(Equipar!B:B,5,Equipar!AC:AC,A720),"Equipada",
IF(
 OR( COUNTIFS(Equipar!B:B,5,Equipar!C:C,A720)
 +COUNTIFS(Equipar!B:B,5,Equipar!D:D,A720)
+COUNTIFS(Equipar!B:B,5,Equipar!E:E,A720)
+COUNTIFS(Equipar!B:B,5,Equipar!F:F,A720)
&gt;0,COUNTIF('Set recomendado'!B:B,C720)=0),
"Bloqueada",
"Desechable")),""
)</f>
        <v/>
      </c>
      <c r="J720" t="str" cm="1">
        <f t="array" aca="1" ref="J720" ca="1">IF(ISNUMBER(A720),IFERROR(_xlfn._xlws.FILTER(Equipar!A:A,(Equipar!B:B=5)*(Equipar!AC:AC=A720)),""),"")</f>
        <v/>
      </c>
    </row>
    <row r="721" spans="1:10" x14ac:dyDescent="0.25">
      <c r="A721" s="1" t="str">
        <f ca="1">IF(A720="ID",1,IF(ISBLANK(B721),"",MAX(A$2:A720)+1))</f>
        <v/>
      </c>
      <c r="I721" s="2" t="str">
        <f ca="1">IF(ISNUMBER(A721),
IF(COUNTIFS(Equipar!B:B,5,Equipar!AC:AC,A721),"Equipada",
IF(
 OR( COUNTIFS(Equipar!B:B,5,Equipar!C:C,A721)
 +COUNTIFS(Equipar!B:B,5,Equipar!D:D,A721)
+COUNTIFS(Equipar!B:B,5,Equipar!E:E,A721)
+COUNTIFS(Equipar!B:B,5,Equipar!F:F,A721)
&gt;0,COUNTIF('Set recomendado'!B:B,C721)=0),
"Bloqueada",
"Desechable")),""
)</f>
        <v/>
      </c>
      <c r="J721" t="str" cm="1">
        <f t="array" aca="1" ref="J721" ca="1">IF(ISNUMBER(A721),IFERROR(_xlfn._xlws.FILTER(Equipar!A:A,(Equipar!B:B=5)*(Equipar!AC:AC=A721)),""),"")</f>
        <v/>
      </c>
    </row>
    <row r="722" spans="1:10" x14ac:dyDescent="0.25">
      <c r="A722" s="1" t="str">
        <f ca="1">IF(A721="ID",1,IF(ISBLANK(B722),"",MAX(A$2:A721)+1))</f>
        <v/>
      </c>
      <c r="I722" s="2" t="str">
        <f ca="1">IF(ISNUMBER(A722),
IF(COUNTIFS(Equipar!B:B,5,Equipar!AC:AC,A722),"Equipada",
IF(
 OR( COUNTIFS(Equipar!B:B,5,Equipar!C:C,A722)
 +COUNTIFS(Equipar!B:B,5,Equipar!D:D,A722)
+COUNTIFS(Equipar!B:B,5,Equipar!E:E,A722)
+COUNTIFS(Equipar!B:B,5,Equipar!F:F,A722)
&gt;0,COUNTIF('Set recomendado'!B:B,C722)=0),
"Bloqueada",
"Desechable")),""
)</f>
        <v/>
      </c>
      <c r="J722" t="str" cm="1">
        <f t="array" aca="1" ref="J722" ca="1">IF(ISNUMBER(A722),IFERROR(_xlfn._xlws.FILTER(Equipar!A:A,(Equipar!B:B=5)*(Equipar!AC:AC=A722)),""),"")</f>
        <v/>
      </c>
    </row>
    <row r="723" spans="1:10" x14ac:dyDescent="0.25">
      <c r="A723" s="1" t="str">
        <f ca="1">IF(A722="ID",1,IF(ISBLANK(B723),"",MAX(A$2:A722)+1))</f>
        <v/>
      </c>
      <c r="I723" s="2" t="str">
        <f ca="1">IF(ISNUMBER(A723),
IF(COUNTIFS(Equipar!B:B,5,Equipar!AC:AC,A723),"Equipada",
IF(
 OR( COUNTIFS(Equipar!B:B,5,Equipar!C:C,A723)
 +COUNTIFS(Equipar!B:B,5,Equipar!D:D,A723)
+COUNTIFS(Equipar!B:B,5,Equipar!E:E,A723)
+COUNTIFS(Equipar!B:B,5,Equipar!F:F,A723)
&gt;0,COUNTIF('Set recomendado'!B:B,C723)=0),
"Bloqueada",
"Desechable")),""
)</f>
        <v/>
      </c>
      <c r="J723" t="str" cm="1">
        <f t="array" aca="1" ref="J723" ca="1">IF(ISNUMBER(A723),IFERROR(_xlfn._xlws.FILTER(Equipar!A:A,(Equipar!B:B=5)*(Equipar!AC:AC=A723)),""),"")</f>
        <v/>
      </c>
    </row>
    <row r="724" spans="1:10" x14ac:dyDescent="0.25">
      <c r="A724" s="1" t="str">
        <f ca="1">IF(A723="ID",1,IF(ISBLANK(B724),"",MAX(A$2:A723)+1))</f>
        <v/>
      </c>
      <c r="I724" s="2" t="str">
        <f ca="1">IF(ISNUMBER(A724),
IF(COUNTIFS(Equipar!B:B,5,Equipar!AC:AC,A724),"Equipada",
IF(
 OR( COUNTIFS(Equipar!B:B,5,Equipar!C:C,A724)
 +COUNTIFS(Equipar!B:B,5,Equipar!D:D,A724)
+COUNTIFS(Equipar!B:B,5,Equipar!E:E,A724)
+COUNTIFS(Equipar!B:B,5,Equipar!F:F,A724)
&gt;0,COUNTIF('Set recomendado'!B:B,C724)=0),
"Bloqueada",
"Desechable")),""
)</f>
        <v/>
      </c>
      <c r="J724" t="str" cm="1">
        <f t="array" aca="1" ref="J724" ca="1">IF(ISNUMBER(A724),IFERROR(_xlfn._xlws.FILTER(Equipar!A:A,(Equipar!B:B=5)*(Equipar!AC:AC=A724)),""),"")</f>
        <v/>
      </c>
    </row>
    <row r="725" spans="1:10" x14ac:dyDescent="0.25">
      <c r="A725" s="1" t="str">
        <f ca="1">IF(A724="ID",1,IF(ISBLANK(B725),"",MAX(A$2:A724)+1))</f>
        <v/>
      </c>
      <c r="I725" s="2" t="str">
        <f ca="1">IF(ISNUMBER(A725),
IF(COUNTIFS(Equipar!B:B,5,Equipar!AC:AC,A725),"Equipada",
IF(
 OR( COUNTIFS(Equipar!B:B,5,Equipar!C:C,A725)
 +COUNTIFS(Equipar!B:B,5,Equipar!D:D,A725)
+COUNTIFS(Equipar!B:B,5,Equipar!E:E,A725)
+COUNTIFS(Equipar!B:B,5,Equipar!F:F,A725)
&gt;0,COUNTIF('Set recomendado'!B:B,C725)=0),
"Bloqueada",
"Desechable")),""
)</f>
        <v/>
      </c>
      <c r="J725" t="str" cm="1">
        <f t="array" aca="1" ref="J725" ca="1">IF(ISNUMBER(A725),IFERROR(_xlfn._xlws.FILTER(Equipar!A:A,(Equipar!B:B=5)*(Equipar!AC:AC=A725)),""),"")</f>
        <v/>
      </c>
    </row>
    <row r="726" spans="1:10" x14ac:dyDescent="0.25">
      <c r="A726" s="1" t="str">
        <f ca="1">IF(A725="ID",1,IF(ISBLANK(B726),"",MAX(A$2:A725)+1))</f>
        <v/>
      </c>
      <c r="I726" s="2" t="str">
        <f ca="1">IF(ISNUMBER(A726),
IF(COUNTIFS(Equipar!B:B,5,Equipar!AC:AC,A726),"Equipada",
IF(
 OR( COUNTIFS(Equipar!B:B,5,Equipar!C:C,A726)
 +COUNTIFS(Equipar!B:B,5,Equipar!D:D,A726)
+COUNTIFS(Equipar!B:B,5,Equipar!E:E,A726)
+COUNTIFS(Equipar!B:B,5,Equipar!F:F,A726)
&gt;0,COUNTIF('Set recomendado'!B:B,C726)=0),
"Bloqueada",
"Desechable")),""
)</f>
        <v/>
      </c>
      <c r="J726" t="str" cm="1">
        <f t="array" aca="1" ref="J726" ca="1">IF(ISNUMBER(A726),IFERROR(_xlfn._xlws.FILTER(Equipar!A:A,(Equipar!B:B=5)*(Equipar!AC:AC=A726)),""),"")</f>
        <v/>
      </c>
    </row>
    <row r="727" spans="1:10" x14ac:dyDescent="0.25">
      <c r="A727" s="1" t="str">
        <f ca="1">IF(A726="ID",1,IF(ISBLANK(B727),"",MAX(A$2:A726)+1))</f>
        <v/>
      </c>
      <c r="I727" s="2" t="str">
        <f ca="1">IF(ISNUMBER(A727),
IF(COUNTIFS(Equipar!B:B,5,Equipar!AC:AC,A727),"Equipada",
IF(
 OR( COUNTIFS(Equipar!B:B,5,Equipar!C:C,A727)
 +COUNTIFS(Equipar!B:B,5,Equipar!D:D,A727)
+COUNTIFS(Equipar!B:B,5,Equipar!E:E,A727)
+COUNTIFS(Equipar!B:B,5,Equipar!F:F,A727)
&gt;0,COUNTIF('Set recomendado'!B:B,C727)=0),
"Bloqueada",
"Desechable")),""
)</f>
        <v/>
      </c>
      <c r="J727" t="str" cm="1">
        <f t="array" aca="1" ref="J727" ca="1">IF(ISNUMBER(A727),IFERROR(_xlfn._xlws.FILTER(Equipar!A:A,(Equipar!B:B=5)*(Equipar!AC:AC=A727)),""),"")</f>
        <v/>
      </c>
    </row>
    <row r="728" spans="1:10" x14ac:dyDescent="0.25">
      <c r="A728" s="1" t="str">
        <f ca="1">IF(A727="ID",1,IF(ISBLANK(B728),"",MAX(A$2:A727)+1))</f>
        <v/>
      </c>
      <c r="I728" s="2" t="str">
        <f ca="1">IF(ISNUMBER(A728),
IF(COUNTIFS(Equipar!B:B,5,Equipar!AC:AC,A728),"Equipada",
IF(
 OR( COUNTIFS(Equipar!B:B,5,Equipar!C:C,A728)
 +COUNTIFS(Equipar!B:B,5,Equipar!D:D,A728)
+COUNTIFS(Equipar!B:B,5,Equipar!E:E,A728)
+COUNTIFS(Equipar!B:B,5,Equipar!F:F,A728)
&gt;0,COUNTIF('Set recomendado'!B:B,C728)=0),
"Bloqueada",
"Desechable")),""
)</f>
        <v/>
      </c>
      <c r="J728" t="str" cm="1">
        <f t="array" aca="1" ref="J728" ca="1">IF(ISNUMBER(A728),IFERROR(_xlfn._xlws.FILTER(Equipar!A:A,(Equipar!B:B=5)*(Equipar!AC:AC=A728)),""),"")</f>
        <v/>
      </c>
    </row>
    <row r="729" spans="1:10" x14ac:dyDescent="0.25">
      <c r="A729" s="1" t="str">
        <f ca="1">IF(A728="ID",1,IF(ISBLANK(B729),"",MAX(A$2:A728)+1))</f>
        <v/>
      </c>
      <c r="I729" s="2" t="str">
        <f ca="1">IF(ISNUMBER(A729),
IF(COUNTIFS(Equipar!B:B,5,Equipar!AC:AC,A729),"Equipada",
IF(
 OR( COUNTIFS(Equipar!B:B,5,Equipar!C:C,A729)
 +COUNTIFS(Equipar!B:B,5,Equipar!D:D,A729)
+COUNTIFS(Equipar!B:B,5,Equipar!E:E,A729)
+COUNTIFS(Equipar!B:B,5,Equipar!F:F,A729)
&gt;0,COUNTIF('Set recomendado'!B:B,C729)=0),
"Bloqueada",
"Desechable")),""
)</f>
        <v/>
      </c>
      <c r="J729" t="str" cm="1">
        <f t="array" aca="1" ref="J729" ca="1">IF(ISNUMBER(A729),IFERROR(_xlfn._xlws.FILTER(Equipar!A:A,(Equipar!B:B=5)*(Equipar!AC:AC=A729)),""),"")</f>
        <v/>
      </c>
    </row>
    <row r="730" spans="1:10" x14ac:dyDescent="0.25">
      <c r="A730" s="1" t="str">
        <f ca="1">IF(A729="ID",1,IF(ISBLANK(B730),"",MAX(A$2:A729)+1))</f>
        <v/>
      </c>
      <c r="I730" s="2" t="str">
        <f ca="1">IF(ISNUMBER(A730),
IF(COUNTIFS(Equipar!B:B,5,Equipar!AC:AC,A730),"Equipada",
IF(
 OR( COUNTIFS(Equipar!B:B,5,Equipar!C:C,A730)
 +COUNTIFS(Equipar!B:B,5,Equipar!D:D,A730)
+COUNTIFS(Equipar!B:B,5,Equipar!E:E,A730)
+COUNTIFS(Equipar!B:B,5,Equipar!F:F,A730)
&gt;0,COUNTIF('Set recomendado'!B:B,C730)=0),
"Bloqueada",
"Desechable")),""
)</f>
        <v/>
      </c>
      <c r="J730" t="str" cm="1">
        <f t="array" aca="1" ref="J730" ca="1">IF(ISNUMBER(A730),IFERROR(_xlfn._xlws.FILTER(Equipar!A:A,(Equipar!B:B=5)*(Equipar!AC:AC=A730)),""),"")</f>
        <v/>
      </c>
    </row>
    <row r="731" spans="1:10" x14ac:dyDescent="0.25">
      <c r="A731" s="1" t="str">
        <f ca="1">IF(A730="ID",1,IF(ISBLANK(B731),"",MAX(A$2:A730)+1))</f>
        <v/>
      </c>
      <c r="I731" s="2" t="str">
        <f ca="1">IF(ISNUMBER(A731),
IF(COUNTIFS(Equipar!B:B,5,Equipar!AC:AC,A731),"Equipada",
IF(
 OR( COUNTIFS(Equipar!B:B,5,Equipar!C:C,A731)
 +COUNTIFS(Equipar!B:B,5,Equipar!D:D,A731)
+COUNTIFS(Equipar!B:B,5,Equipar!E:E,A731)
+COUNTIFS(Equipar!B:B,5,Equipar!F:F,A731)
&gt;0,COUNTIF('Set recomendado'!B:B,C731)=0),
"Bloqueada",
"Desechable")),""
)</f>
        <v/>
      </c>
      <c r="J731" t="str" cm="1">
        <f t="array" aca="1" ref="J731" ca="1">IF(ISNUMBER(A731),IFERROR(_xlfn._xlws.FILTER(Equipar!A:A,(Equipar!B:B=5)*(Equipar!AC:AC=A731)),""),"")</f>
        <v/>
      </c>
    </row>
    <row r="732" spans="1:10" x14ac:dyDescent="0.25">
      <c r="A732" s="1" t="str">
        <f ca="1">IF(A731="ID",1,IF(ISBLANK(B732),"",MAX(A$2:A731)+1))</f>
        <v/>
      </c>
      <c r="I732" s="2" t="str">
        <f ca="1">IF(ISNUMBER(A732),
IF(COUNTIFS(Equipar!B:B,5,Equipar!AC:AC,A732),"Equipada",
IF(
 OR( COUNTIFS(Equipar!B:B,5,Equipar!C:C,A732)
 +COUNTIFS(Equipar!B:B,5,Equipar!D:D,A732)
+COUNTIFS(Equipar!B:B,5,Equipar!E:E,A732)
+COUNTIFS(Equipar!B:B,5,Equipar!F:F,A732)
&gt;0,COUNTIF('Set recomendado'!B:B,C732)=0),
"Bloqueada",
"Desechable")),""
)</f>
        <v/>
      </c>
      <c r="J732" t="str" cm="1">
        <f t="array" aca="1" ref="J732" ca="1">IF(ISNUMBER(A732),IFERROR(_xlfn._xlws.FILTER(Equipar!A:A,(Equipar!B:B=5)*(Equipar!AC:AC=A732)),""),"")</f>
        <v/>
      </c>
    </row>
    <row r="733" spans="1:10" x14ac:dyDescent="0.25">
      <c r="A733" s="1" t="str">
        <f ca="1">IF(A732="ID",1,IF(ISBLANK(B733),"",MAX(A$2:A732)+1))</f>
        <v/>
      </c>
      <c r="I733" s="2" t="str">
        <f ca="1">IF(ISNUMBER(A733),
IF(COUNTIFS(Equipar!B:B,5,Equipar!AC:AC,A733),"Equipada",
IF(
 OR( COUNTIFS(Equipar!B:B,5,Equipar!C:C,A733)
 +COUNTIFS(Equipar!B:B,5,Equipar!D:D,A733)
+COUNTIFS(Equipar!B:B,5,Equipar!E:E,A733)
+COUNTIFS(Equipar!B:B,5,Equipar!F:F,A733)
&gt;0,COUNTIF('Set recomendado'!B:B,C733)=0),
"Bloqueada",
"Desechable")),""
)</f>
        <v/>
      </c>
      <c r="J733" t="str" cm="1">
        <f t="array" aca="1" ref="J733" ca="1">IF(ISNUMBER(A733),IFERROR(_xlfn._xlws.FILTER(Equipar!A:A,(Equipar!B:B=5)*(Equipar!AC:AC=A733)),""),"")</f>
        <v/>
      </c>
    </row>
    <row r="734" spans="1:10" x14ac:dyDescent="0.25">
      <c r="A734" s="1" t="str">
        <f ca="1">IF(A733="ID",1,IF(ISBLANK(B734),"",MAX(A$2:A733)+1))</f>
        <v/>
      </c>
      <c r="I734" s="2" t="str">
        <f ca="1">IF(ISNUMBER(A734),
IF(COUNTIFS(Equipar!B:B,5,Equipar!AC:AC,A734),"Equipada",
IF(
 OR( COUNTIFS(Equipar!B:B,5,Equipar!C:C,A734)
 +COUNTIFS(Equipar!B:B,5,Equipar!D:D,A734)
+COUNTIFS(Equipar!B:B,5,Equipar!E:E,A734)
+COUNTIFS(Equipar!B:B,5,Equipar!F:F,A734)
&gt;0,COUNTIF('Set recomendado'!B:B,C734)=0),
"Bloqueada",
"Desechable")),""
)</f>
        <v/>
      </c>
      <c r="J734" t="str" cm="1">
        <f t="array" aca="1" ref="J734" ca="1">IF(ISNUMBER(A734),IFERROR(_xlfn._xlws.FILTER(Equipar!A:A,(Equipar!B:B=5)*(Equipar!AC:AC=A734)),""),"")</f>
        <v/>
      </c>
    </row>
    <row r="735" spans="1:10" x14ac:dyDescent="0.25">
      <c r="A735" s="1" t="str">
        <f ca="1">IF(A734="ID",1,IF(ISBLANK(B735),"",MAX(A$2:A734)+1))</f>
        <v/>
      </c>
      <c r="I735" s="2" t="str">
        <f ca="1">IF(ISNUMBER(A735),
IF(COUNTIFS(Equipar!B:B,5,Equipar!AC:AC,A735),"Equipada",
IF(
 OR( COUNTIFS(Equipar!B:B,5,Equipar!C:C,A735)
 +COUNTIFS(Equipar!B:B,5,Equipar!D:D,A735)
+COUNTIFS(Equipar!B:B,5,Equipar!E:E,A735)
+COUNTIFS(Equipar!B:B,5,Equipar!F:F,A735)
&gt;0,COUNTIF('Set recomendado'!B:B,C735)=0),
"Bloqueada",
"Desechable")),""
)</f>
        <v/>
      </c>
      <c r="J735" t="str" cm="1">
        <f t="array" aca="1" ref="J735" ca="1">IF(ISNUMBER(A735),IFERROR(_xlfn._xlws.FILTER(Equipar!A:A,(Equipar!B:B=5)*(Equipar!AC:AC=A735)),""),"")</f>
        <v/>
      </c>
    </row>
    <row r="736" spans="1:10" x14ac:dyDescent="0.25">
      <c r="A736" s="1" t="str">
        <f ca="1">IF(A735="ID",1,IF(ISBLANK(B736),"",MAX(A$2:A735)+1))</f>
        <v/>
      </c>
      <c r="I736" s="2" t="str">
        <f ca="1">IF(ISNUMBER(A736),
IF(COUNTIFS(Equipar!B:B,5,Equipar!AC:AC,A736),"Equipada",
IF(
 OR( COUNTIFS(Equipar!B:B,5,Equipar!C:C,A736)
 +COUNTIFS(Equipar!B:B,5,Equipar!D:D,A736)
+COUNTIFS(Equipar!B:B,5,Equipar!E:E,A736)
+COUNTIFS(Equipar!B:B,5,Equipar!F:F,A736)
&gt;0,COUNTIF('Set recomendado'!B:B,C736)=0),
"Bloqueada",
"Desechable")),""
)</f>
        <v/>
      </c>
      <c r="J736" t="str" cm="1">
        <f t="array" aca="1" ref="J736" ca="1">IF(ISNUMBER(A736),IFERROR(_xlfn._xlws.FILTER(Equipar!A:A,(Equipar!B:B=5)*(Equipar!AC:AC=A736)),""),"")</f>
        <v/>
      </c>
    </row>
    <row r="737" spans="1:10" x14ac:dyDescent="0.25">
      <c r="A737" s="1" t="str">
        <f ca="1">IF(A736="ID",1,IF(ISBLANK(B737),"",MAX(A$2:A736)+1))</f>
        <v/>
      </c>
      <c r="I737" s="2" t="str">
        <f ca="1">IF(ISNUMBER(A737),
IF(COUNTIFS(Equipar!B:B,5,Equipar!AC:AC,A737),"Equipada",
IF(
 OR( COUNTIFS(Equipar!B:B,5,Equipar!C:C,A737)
 +COUNTIFS(Equipar!B:B,5,Equipar!D:D,A737)
+COUNTIFS(Equipar!B:B,5,Equipar!E:E,A737)
+COUNTIFS(Equipar!B:B,5,Equipar!F:F,A737)
&gt;0,COUNTIF('Set recomendado'!B:B,C737)=0),
"Bloqueada",
"Desechable")),""
)</f>
        <v/>
      </c>
      <c r="J737" t="str" cm="1">
        <f t="array" aca="1" ref="J737" ca="1">IF(ISNUMBER(A737),IFERROR(_xlfn._xlws.FILTER(Equipar!A:A,(Equipar!B:B=5)*(Equipar!AC:AC=A737)),""),"")</f>
        <v/>
      </c>
    </row>
    <row r="738" spans="1:10" x14ac:dyDescent="0.25">
      <c r="A738" s="1" t="str">
        <f ca="1">IF(A737="ID",1,IF(ISBLANK(B738),"",MAX(A$2:A737)+1))</f>
        <v/>
      </c>
      <c r="I738" s="2" t="str">
        <f ca="1">IF(ISNUMBER(A738),
IF(COUNTIFS(Equipar!B:B,5,Equipar!AC:AC,A738),"Equipada",
IF(
 OR( COUNTIFS(Equipar!B:B,5,Equipar!C:C,A738)
 +COUNTIFS(Equipar!B:B,5,Equipar!D:D,A738)
+COUNTIFS(Equipar!B:B,5,Equipar!E:E,A738)
+COUNTIFS(Equipar!B:B,5,Equipar!F:F,A738)
&gt;0,COUNTIF('Set recomendado'!B:B,C738)=0),
"Bloqueada",
"Desechable")),""
)</f>
        <v/>
      </c>
      <c r="J738" t="str" cm="1">
        <f t="array" aca="1" ref="J738" ca="1">IF(ISNUMBER(A738),IFERROR(_xlfn._xlws.FILTER(Equipar!A:A,(Equipar!B:B=5)*(Equipar!AC:AC=A738)),""),"")</f>
        <v/>
      </c>
    </row>
    <row r="739" spans="1:10" x14ac:dyDescent="0.25">
      <c r="A739" s="1" t="str">
        <f ca="1">IF(A738="ID",1,IF(ISBLANK(B739),"",MAX(A$2:A738)+1))</f>
        <v/>
      </c>
      <c r="I739" s="2" t="str">
        <f ca="1">IF(ISNUMBER(A739),
IF(COUNTIFS(Equipar!B:B,5,Equipar!AC:AC,A739),"Equipada",
IF(
 OR( COUNTIFS(Equipar!B:B,5,Equipar!C:C,A739)
 +COUNTIFS(Equipar!B:B,5,Equipar!D:D,A739)
+COUNTIFS(Equipar!B:B,5,Equipar!E:E,A739)
+COUNTIFS(Equipar!B:B,5,Equipar!F:F,A739)
&gt;0,COUNTIF('Set recomendado'!B:B,C739)=0),
"Bloqueada",
"Desechable")),""
)</f>
        <v/>
      </c>
      <c r="J739" t="str" cm="1">
        <f t="array" aca="1" ref="J739" ca="1">IF(ISNUMBER(A739),IFERROR(_xlfn._xlws.FILTER(Equipar!A:A,(Equipar!B:B=5)*(Equipar!AC:AC=A739)),""),"")</f>
        <v/>
      </c>
    </row>
    <row r="740" spans="1:10" x14ac:dyDescent="0.25">
      <c r="A740" s="1" t="str">
        <f ca="1">IF(A739="ID",1,IF(ISBLANK(B740),"",MAX(A$2:A739)+1))</f>
        <v/>
      </c>
      <c r="I740" s="2" t="str">
        <f ca="1">IF(ISNUMBER(A740),
IF(COUNTIFS(Equipar!B:B,5,Equipar!AC:AC,A740),"Equipada",
IF(
 OR( COUNTIFS(Equipar!B:B,5,Equipar!C:C,A740)
 +COUNTIFS(Equipar!B:B,5,Equipar!D:D,A740)
+COUNTIFS(Equipar!B:B,5,Equipar!E:E,A740)
+COUNTIFS(Equipar!B:B,5,Equipar!F:F,A740)
&gt;0,COUNTIF('Set recomendado'!B:B,C740)=0),
"Bloqueada",
"Desechable")),""
)</f>
        <v/>
      </c>
      <c r="J740" t="str" cm="1">
        <f t="array" aca="1" ref="J740" ca="1">IF(ISNUMBER(A740),IFERROR(_xlfn._xlws.FILTER(Equipar!A:A,(Equipar!B:B=5)*(Equipar!AC:AC=A740)),""),"")</f>
        <v/>
      </c>
    </row>
    <row r="741" spans="1:10" x14ac:dyDescent="0.25">
      <c r="A741" s="1" t="str">
        <f ca="1">IF(A740="ID",1,IF(ISBLANK(B741),"",MAX(A$2:A740)+1))</f>
        <v/>
      </c>
      <c r="I741" s="2" t="str">
        <f ca="1">IF(ISNUMBER(A741),
IF(COUNTIFS(Equipar!B:B,5,Equipar!AC:AC,A741),"Equipada",
IF(
 OR( COUNTIFS(Equipar!B:B,5,Equipar!C:C,A741)
 +COUNTIFS(Equipar!B:B,5,Equipar!D:D,A741)
+COUNTIFS(Equipar!B:B,5,Equipar!E:E,A741)
+COUNTIFS(Equipar!B:B,5,Equipar!F:F,A741)
&gt;0,COUNTIF('Set recomendado'!B:B,C741)=0),
"Bloqueada",
"Desechable")),""
)</f>
        <v/>
      </c>
      <c r="J741" t="str" cm="1">
        <f t="array" aca="1" ref="J741" ca="1">IF(ISNUMBER(A741),IFERROR(_xlfn._xlws.FILTER(Equipar!A:A,(Equipar!B:B=5)*(Equipar!AC:AC=A741)),""),"")</f>
        <v/>
      </c>
    </row>
    <row r="742" spans="1:10" x14ac:dyDescent="0.25">
      <c r="A742" s="1" t="str">
        <f ca="1">IF(A741="ID",1,IF(ISBLANK(B742),"",MAX(A$2:A741)+1))</f>
        <v/>
      </c>
      <c r="I742" s="2" t="str">
        <f ca="1">IF(ISNUMBER(A742),
IF(COUNTIFS(Equipar!B:B,5,Equipar!AC:AC,A742),"Equipada",
IF(
 OR( COUNTIFS(Equipar!B:B,5,Equipar!C:C,A742)
 +COUNTIFS(Equipar!B:B,5,Equipar!D:D,A742)
+COUNTIFS(Equipar!B:B,5,Equipar!E:E,A742)
+COUNTIFS(Equipar!B:B,5,Equipar!F:F,A742)
&gt;0,COUNTIF('Set recomendado'!B:B,C742)=0),
"Bloqueada",
"Desechable")),""
)</f>
        <v/>
      </c>
      <c r="J742" t="str" cm="1">
        <f t="array" aca="1" ref="J742" ca="1">IF(ISNUMBER(A742),IFERROR(_xlfn._xlws.FILTER(Equipar!A:A,(Equipar!B:B=5)*(Equipar!AC:AC=A742)),""),"")</f>
        <v/>
      </c>
    </row>
    <row r="743" spans="1:10" x14ac:dyDescent="0.25">
      <c r="A743" s="1" t="str">
        <f ca="1">IF(A742="ID",1,IF(ISBLANK(B743),"",MAX(A$2:A742)+1))</f>
        <v/>
      </c>
      <c r="I743" s="2" t="str">
        <f ca="1">IF(ISNUMBER(A743),
IF(COUNTIFS(Equipar!B:B,5,Equipar!AC:AC,A743),"Equipada",
IF(
 OR( COUNTIFS(Equipar!B:B,5,Equipar!C:C,A743)
 +COUNTIFS(Equipar!B:B,5,Equipar!D:D,A743)
+COUNTIFS(Equipar!B:B,5,Equipar!E:E,A743)
+COUNTIFS(Equipar!B:B,5,Equipar!F:F,A743)
&gt;0,COUNTIF('Set recomendado'!B:B,C743)=0),
"Bloqueada",
"Desechable")),""
)</f>
        <v/>
      </c>
      <c r="J743" t="str" cm="1">
        <f t="array" aca="1" ref="J743" ca="1">IF(ISNUMBER(A743),IFERROR(_xlfn._xlws.FILTER(Equipar!A:A,(Equipar!B:B=5)*(Equipar!AC:AC=A743)),""),"")</f>
        <v/>
      </c>
    </row>
    <row r="744" spans="1:10" x14ac:dyDescent="0.25">
      <c r="A744" s="1" t="str">
        <f ca="1">IF(A743="ID",1,IF(ISBLANK(B744),"",MAX(A$2:A743)+1))</f>
        <v/>
      </c>
      <c r="I744" s="2" t="str">
        <f ca="1">IF(ISNUMBER(A744),
IF(COUNTIFS(Equipar!B:B,5,Equipar!AC:AC,A744),"Equipada",
IF(
 OR( COUNTIFS(Equipar!B:B,5,Equipar!C:C,A744)
 +COUNTIFS(Equipar!B:B,5,Equipar!D:D,A744)
+COUNTIFS(Equipar!B:B,5,Equipar!E:E,A744)
+COUNTIFS(Equipar!B:B,5,Equipar!F:F,A744)
&gt;0,COUNTIF('Set recomendado'!B:B,C744)=0),
"Bloqueada",
"Desechable")),""
)</f>
        <v/>
      </c>
      <c r="J744" t="str" cm="1">
        <f t="array" aca="1" ref="J744" ca="1">IF(ISNUMBER(A744),IFERROR(_xlfn._xlws.FILTER(Equipar!A:A,(Equipar!B:B=5)*(Equipar!AC:AC=A744)),""),"")</f>
        <v/>
      </c>
    </row>
    <row r="745" spans="1:10" x14ac:dyDescent="0.25">
      <c r="A745" s="1" t="str">
        <f ca="1">IF(A744="ID",1,IF(ISBLANK(B745),"",MAX(A$2:A744)+1))</f>
        <v/>
      </c>
      <c r="I745" s="2" t="str">
        <f ca="1">IF(ISNUMBER(A745),
IF(COUNTIFS(Equipar!B:B,5,Equipar!AC:AC,A745),"Equipada",
IF(
 OR( COUNTIFS(Equipar!B:B,5,Equipar!C:C,A745)
 +COUNTIFS(Equipar!B:B,5,Equipar!D:D,A745)
+COUNTIFS(Equipar!B:B,5,Equipar!E:E,A745)
+COUNTIFS(Equipar!B:B,5,Equipar!F:F,A745)
&gt;0,COUNTIF('Set recomendado'!B:B,C745)=0),
"Bloqueada",
"Desechable")),""
)</f>
        <v/>
      </c>
      <c r="J745" t="str" cm="1">
        <f t="array" aca="1" ref="J745" ca="1">IF(ISNUMBER(A745),IFERROR(_xlfn._xlws.FILTER(Equipar!A:A,(Equipar!B:B=5)*(Equipar!AC:AC=A745)),""),"")</f>
        <v/>
      </c>
    </row>
    <row r="746" spans="1:10" x14ac:dyDescent="0.25">
      <c r="A746" s="1" t="str">
        <f ca="1">IF(A745="ID",1,IF(ISBLANK(B746),"",MAX(A$2:A745)+1))</f>
        <v/>
      </c>
      <c r="I746" s="2" t="str">
        <f ca="1">IF(ISNUMBER(A746),
IF(COUNTIFS(Equipar!B:B,5,Equipar!AC:AC,A746),"Equipada",
IF(
 OR( COUNTIFS(Equipar!B:B,5,Equipar!C:C,A746)
 +COUNTIFS(Equipar!B:B,5,Equipar!D:D,A746)
+COUNTIFS(Equipar!B:B,5,Equipar!E:E,A746)
+COUNTIFS(Equipar!B:B,5,Equipar!F:F,A746)
&gt;0,COUNTIF('Set recomendado'!B:B,C746)=0),
"Bloqueada",
"Desechable")),""
)</f>
        <v/>
      </c>
      <c r="J746" t="str" cm="1">
        <f t="array" aca="1" ref="J746" ca="1">IF(ISNUMBER(A746),IFERROR(_xlfn._xlws.FILTER(Equipar!A:A,(Equipar!B:B=5)*(Equipar!AC:AC=A746)),""),"")</f>
        <v/>
      </c>
    </row>
    <row r="747" spans="1:10" x14ac:dyDescent="0.25">
      <c r="A747" s="1" t="str">
        <f ca="1">IF(A746="ID",1,IF(ISBLANK(B747),"",MAX(A$2:A746)+1))</f>
        <v/>
      </c>
      <c r="I747" s="2" t="str">
        <f ca="1">IF(ISNUMBER(A747),
IF(COUNTIFS(Equipar!B:B,5,Equipar!AC:AC,A747),"Equipada",
IF(
 OR( COUNTIFS(Equipar!B:B,5,Equipar!C:C,A747)
 +COUNTIFS(Equipar!B:B,5,Equipar!D:D,A747)
+COUNTIFS(Equipar!B:B,5,Equipar!E:E,A747)
+COUNTIFS(Equipar!B:B,5,Equipar!F:F,A747)
&gt;0,COUNTIF('Set recomendado'!B:B,C747)=0),
"Bloqueada",
"Desechable")),""
)</f>
        <v/>
      </c>
      <c r="J747" t="str" cm="1">
        <f t="array" aca="1" ref="J747" ca="1">IF(ISNUMBER(A747),IFERROR(_xlfn._xlws.FILTER(Equipar!A:A,(Equipar!B:B=5)*(Equipar!AC:AC=A747)),""),"")</f>
        <v/>
      </c>
    </row>
    <row r="748" spans="1:10" x14ac:dyDescent="0.25">
      <c r="A748" s="1" t="str">
        <f ca="1">IF(A747="ID",1,IF(ISBLANK(B748),"",MAX(A$2:A747)+1))</f>
        <v/>
      </c>
      <c r="I748" s="2" t="str">
        <f ca="1">IF(ISNUMBER(A748),
IF(COUNTIFS(Equipar!B:B,5,Equipar!AC:AC,A748),"Equipada",
IF(
 OR( COUNTIFS(Equipar!B:B,5,Equipar!C:C,A748)
 +COUNTIFS(Equipar!B:B,5,Equipar!D:D,A748)
+COUNTIFS(Equipar!B:B,5,Equipar!E:E,A748)
+COUNTIFS(Equipar!B:B,5,Equipar!F:F,A748)
&gt;0,COUNTIF('Set recomendado'!B:B,C748)=0),
"Bloqueada",
"Desechable")),""
)</f>
        <v/>
      </c>
      <c r="J748" t="str" cm="1">
        <f t="array" aca="1" ref="J748" ca="1">IF(ISNUMBER(A748),IFERROR(_xlfn._xlws.FILTER(Equipar!A:A,(Equipar!B:B=5)*(Equipar!AC:AC=A748)),""),"")</f>
        <v/>
      </c>
    </row>
    <row r="749" spans="1:10" x14ac:dyDescent="0.25">
      <c r="A749" s="1" t="str">
        <f ca="1">IF(A748="ID",1,IF(ISBLANK(B749),"",MAX(A$2:A748)+1))</f>
        <v/>
      </c>
      <c r="I749" s="2" t="str">
        <f ca="1">IF(ISNUMBER(A749),
IF(COUNTIFS(Equipar!B:B,5,Equipar!AC:AC,A749),"Equipada",
IF(
 OR( COUNTIFS(Equipar!B:B,5,Equipar!C:C,A749)
 +COUNTIFS(Equipar!B:B,5,Equipar!D:D,A749)
+COUNTIFS(Equipar!B:B,5,Equipar!E:E,A749)
+COUNTIFS(Equipar!B:B,5,Equipar!F:F,A749)
&gt;0,COUNTIF('Set recomendado'!B:B,C749)=0),
"Bloqueada",
"Desechable")),""
)</f>
        <v/>
      </c>
      <c r="J749" t="str" cm="1">
        <f t="array" aca="1" ref="J749" ca="1">IF(ISNUMBER(A749),IFERROR(_xlfn._xlws.FILTER(Equipar!A:A,(Equipar!B:B=5)*(Equipar!AC:AC=A749)),""),"")</f>
        <v/>
      </c>
    </row>
    <row r="750" spans="1:10" x14ac:dyDescent="0.25">
      <c r="A750" s="1" t="str">
        <f ca="1">IF(A749="ID",1,IF(ISBLANK(B750),"",MAX(A$2:A749)+1))</f>
        <v/>
      </c>
      <c r="I750" s="2" t="str">
        <f ca="1">IF(ISNUMBER(A750),
IF(COUNTIFS(Equipar!B:B,5,Equipar!AC:AC,A750),"Equipada",
IF(
 OR( COUNTIFS(Equipar!B:B,5,Equipar!C:C,A750)
 +COUNTIFS(Equipar!B:B,5,Equipar!D:D,A750)
+COUNTIFS(Equipar!B:B,5,Equipar!E:E,A750)
+COUNTIFS(Equipar!B:B,5,Equipar!F:F,A750)
&gt;0,COUNTIF('Set recomendado'!B:B,C750)=0),
"Bloqueada",
"Desechable")),""
)</f>
        <v/>
      </c>
      <c r="J750" t="str" cm="1">
        <f t="array" aca="1" ref="J750" ca="1">IF(ISNUMBER(A750),IFERROR(_xlfn._xlws.FILTER(Equipar!A:A,(Equipar!B:B=5)*(Equipar!AC:AC=A750)),""),"")</f>
        <v/>
      </c>
    </row>
    <row r="751" spans="1:10" x14ac:dyDescent="0.25">
      <c r="A751" s="1" t="str">
        <f ca="1">IF(A750="ID",1,IF(ISBLANK(B751),"",MAX(A$2:A750)+1))</f>
        <v/>
      </c>
      <c r="I751" s="2" t="str">
        <f ca="1">IF(ISNUMBER(A751),
IF(COUNTIFS(Equipar!B:B,5,Equipar!AC:AC,A751),"Equipada",
IF(
 OR( COUNTIFS(Equipar!B:B,5,Equipar!C:C,A751)
 +COUNTIFS(Equipar!B:B,5,Equipar!D:D,A751)
+COUNTIFS(Equipar!B:B,5,Equipar!E:E,A751)
+COUNTIFS(Equipar!B:B,5,Equipar!F:F,A751)
&gt;0,COUNTIF('Set recomendado'!B:B,C751)=0),
"Bloqueada",
"Desechable")),""
)</f>
        <v/>
      </c>
      <c r="J751" t="str" cm="1">
        <f t="array" aca="1" ref="J751" ca="1">IF(ISNUMBER(A751),IFERROR(_xlfn._xlws.FILTER(Equipar!A:A,(Equipar!B:B=5)*(Equipar!AC:AC=A751)),""),"")</f>
        <v/>
      </c>
    </row>
    <row r="752" spans="1:10" x14ac:dyDescent="0.25">
      <c r="A752" s="1" t="str">
        <f ca="1">IF(A751="ID",1,IF(ISBLANK(B752),"",MAX(A$2:A751)+1))</f>
        <v/>
      </c>
      <c r="I752" s="2" t="str">
        <f ca="1">IF(ISNUMBER(A752),
IF(COUNTIFS(Equipar!B:B,5,Equipar!AC:AC,A752),"Equipada",
IF(
 OR( COUNTIFS(Equipar!B:B,5,Equipar!C:C,A752)
 +COUNTIFS(Equipar!B:B,5,Equipar!D:D,A752)
+COUNTIFS(Equipar!B:B,5,Equipar!E:E,A752)
+COUNTIFS(Equipar!B:B,5,Equipar!F:F,A752)
&gt;0,COUNTIF('Set recomendado'!B:B,C752)=0),
"Bloqueada",
"Desechable")),""
)</f>
        <v/>
      </c>
      <c r="J752" t="str" cm="1">
        <f t="array" aca="1" ref="J752" ca="1">IF(ISNUMBER(A752),IFERROR(_xlfn._xlws.FILTER(Equipar!A:A,(Equipar!B:B=5)*(Equipar!AC:AC=A752)),""),"")</f>
        <v/>
      </c>
    </row>
    <row r="753" spans="1:10" x14ac:dyDescent="0.25">
      <c r="A753" s="1" t="str">
        <f ca="1">IF(A752="ID",1,IF(ISBLANK(B753),"",MAX(A$2:A752)+1))</f>
        <v/>
      </c>
      <c r="I753" s="2" t="str">
        <f ca="1">IF(ISNUMBER(A753),
IF(COUNTIFS(Equipar!B:B,5,Equipar!AC:AC,A753),"Equipada",
IF(
 OR( COUNTIFS(Equipar!B:B,5,Equipar!C:C,A753)
 +COUNTIFS(Equipar!B:B,5,Equipar!D:D,A753)
+COUNTIFS(Equipar!B:B,5,Equipar!E:E,A753)
+COUNTIFS(Equipar!B:B,5,Equipar!F:F,A753)
&gt;0,COUNTIF('Set recomendado'!B:B,C753)=0),
"Bloqueada",
"Desechable")),""
)</f>
        <v/>
      </c>
      <c r="J753" t="str" cm="1">
        <f t="array" aca="1" ref="J753" ca="1">IF(ISNUMBER(A753),IFERROR(_xlfn._xlws.FILTER(Equipar!A:A,(Equipar!B:B=5)*(Equipar!AC:AC=A753)),""),"")</f>
        <v/>
      </c>
    </row>
    <row r="754" spans="1:10" x14ac:dyDescent="0.25">
      <c r="A754" s="1" t="str">
        <f ca="1">IF(A753="ID",1,IF(ISBLANK(B754),"",MAX(A$2:A753)+1))</f>
        <v/>
      </c>
      <c r="I754" s="2" t="str">
        <f ca="1">IF(ISNUMBER(A754),
IF(COUNTIFS(Equipar!B:B,5,Equipar!AC:AC,A754),"Equipada",
IF(
 OR( COUNTIFS(Equipar!B:B,5,Equipar!C:C,A754)
 +COUNTIFS(Equipar!B:B,5,Equipar!D:D,A754)
+COUNTIFS(Equipar!B:B,5,Equipar!E:E,A754)
+COUNTIFS(Equipar!B:B,5,Equipar!F:F,A754)
&gt;0,COUNTIF('Set recomendado'!B:B,C754)=0),
"Bloqueada",
"Desechable")),""
)</f>
        <v/>
      </c>
      <c r="J754" t="str" cm="1">
        <f t="array" aca="1" ref="J754" ca="1">IF(ISNUMBER(A754),IFERROR(_xlfn._xlws.FILTER(Equipar!A:A,(Equipar!B:B=5)*(Equipar!AC:AC=A754)),""),"")</f>
        <v/>
      </c>
    </row>
    <row r="755" spans="1:10" x14ac:dyDescent="0.25">
      <c r="A755" s="1" t="str">
        <f ca="1">IF(A754="ID",1,IF(ISBLANK(B755),"",MAX(A$2:A754)+1))</f>
        <v/>
      </c>
      <c r="I755" s="2" t="str">
        <f ca="1">IF(ISNUMBER(A755),
IF(COUNTIFS(Equipar!B:B,5,Equipar!AC:AC,A755),"Equipada",
IF(
 OR( COUNTIFS(Equipar!B:B,5,Equipar!C:C,A755)
 +COUNTIFS(Equipar!B:B,5,Equipar!D:D,A755)
+COUNTIFS(Equipar!B:B,5,Equipar!E:E,A755)
+COUNTIFS(Equipar!B:B,5,Equipar!F:F,A755)
&gt;0,COUNTIF('Set recomendado'!B:B,C755)=0),
"Bloqueada",
"Desechable")),""
)</f>
        <v/>
      </c>
      <c r="J755" t="str" cm="1">
        <f t="array" aca="1" ref="J755" ca="1">IF(ISNUMBER(A755),IFERROR(_xlfn._xlws.FILTER(Equipar!A:A,(Equipar!B:B=5)*(Equipar!AC:AC=A755)),""),"")</f>
        <v/>
      </c>
    </row>
    <row r="756" spans="1:10" x14ac:dyDescent="0.25">
      <c r="A756" s="1" t="str">
        <f ca="1">IF(A755="ID",1,IF(ISBLANK(B756),"",MAX(A$2:A755)+1))</f>
        <v/>
      </c>
      <c r="I756" s="2" t="str">
        <f ca="1">IF(ISNUMBER(A756),
IF(COUNTIFS(Equipar!B:B,5,Equipar!AC:AC,A756),"Equipada",
IF(
 OR( COUNTIFS(Equipar!B:B,5,Equipar!C:C,A756)
 +COUNTIFS(Equipar!B:B,5,Equipar!D:D,A756)
+COUNTIFS(Equipar!B:B,5,Equipar!E:E,A756)
+COUNTIFS(Equipar!B:B,5,Equipar!F:F,A756)
&gt;0,COUNTIF('Set recomendado'!B:B,C756)=0),
"Bloqueada",
"Desechable")),""
)</f>
        <v/>
      </c>
      <c r="J756" t="str" cm="1">
        <f t="array" aca="1" ref="J756" ca="1">IF(ISNUMBER(A756),IFERROR(_xlfn._xlws.FILTER(Equipar!A:A,(Equipar!B:B=5)*(Equipar!AC:AC=A756)),""),"")</f>
        <v/>
      </c>
    </row>
    <row r="757" spans="1:10" x14ac:dyDescent="0.25">
      <c r="A757" s="1" t="str">
        <f ca="1">IF(A756="ID",1,IF(ISBLANK(B757),"",MAX(A$2:A756)+1))</f>
        <v/>
      </c>
      <c r="I757" s="2" t="str">
        <f ca="1">IF(ISNUMBER(A757),
IF(COUNTIFS(Equipar!B:B,5,Equipar!AC:AC,A757),"Equipada",
IF(
 OR( COUNTIFS(Equipar!B:B,5,Equipar!C:C,A757)
 +COUNTIFS(Equipar!B:B,5,Equipar!D:D,A757)
+COUNTIFS(Equipar!B:B,5,Equipar!E:E,A757)
+COUNTIFS(Equipar!B:B,5,Equipar!F:F,A757)
&gt;0,COUNTIF('Set recomendado'!B:B,C757)=0),
"Bloqueada",
"Desechable")),""
)</f>
        <v/>
      </c>
      <c r="J757" t="str" cm="1">
        <f t="array" aca="1" ref="J757" ca="1">IF(ISNUMBER(A757),IFERROR(_xlfn._xlws.FILTER(Equipar!A:A,(Equipar!B:B=5)*(Equipar!AC:AC=A757)),""),"")</f>
        <v/>
      </c>
    </row>
    <row r="758" spans="1:10" x14ac:dyDescent="0.25">
      <c r="A758" s="1" t="str">
        <f ca="1">IF(A757="ID",1,IF(ISBLANK(B758),"",MAX(A$2:A757)+1))</f>
        <v/>
      </c>
      <c r="I758" s="2" t="str">
        <f ca="1">IF(ISNUMBER(A758),
IF(COUNTIFS(Equipar!B:B,5,Equipar!AC:AC,A758),"Equipada",
IF(
 OR( COUNTIFS(Equipar!B:B,5,Equipar!C:C,A758)
 +COUNTIFS(Equipar!B:B,5,Equipar!D:D,A758)
+COUNTIFS(Equipar!B:B,5,Equipar!E:E,A758)
+COUNTIFS(Equipar!B:B,5,Equipar!F:F,A758)
&gt;0,COUNTIF('Set recomendado'!B:B,C758)=0),
"Bloqueada",
"Desechable")),""
)</f>
        <v/>
      </c>
      <c r="J758" t="str" cm="1">
        <f t="array" aca="1" ref="J758" ca="1">IF(ISNUMBER(A758),IFERROR(_xlfn._xlws.FILTER(Equipar!A:A,(Equipar!B:B=5)*(Equipar!AC:AC=A758)),""),"")</f>
        <v/>
      </c>
    </row>
    <row r="759" spans="1:10" x14ac:dyDescent="0.25">
      <c r="A759" s="1" t="str">
        <f ca="1">IF(A758="ID",1,IF(ISBLANK(B759),"",MAX(A$2:A758)+1))</f>
        <v/>
      </c>
      <c r="I759" s="2" t="str">
        <f ca="1">IF(ISNUMBER(A759),
IF(COUNTIFS(Equipar!B:B,5,Equipar!AC:AC,A759),"Equipada",
IF(
 OR( COUNTIFS(Equipar!B:B,5,Equipar!C:C,A759)
 +COUNTIFS(Equipar!B:B,5,Equipar!D:D,A759)
+COUNTIFS(Equipar!B:B,5,Equipar!E:E,A759)
+COUNTIFS(Equipar!B:B,5,Equipar!F:F,A759)
&gt;0,COUNTIF('Set recomendado'!B:B,C759)=0),
"Bloqueada",
"Desechable")),""
)</f>
        <v/>
      </c>
      <c r="J759" t="str" cm="1">
        <f t="array" aca="1" ref="J759" ca="1">IF(ISNUMBER(A759),IFERROR(_xlfn._xlws.FILTER(Equipar!A:A,(Equipar!B:B=5)*(Equipar!AC:AC=A759)),""),"")</f>
        <v/>
      </c>
    </row>
    <row r="760" spans="1:10" x14ac:dyDescent="0.25">
      <c r="A760" s="1" t="str">
        <f ca="1">IF(A759="ID",1,IF(ISBLANK(B760),"",MAX(A$2:A759)+1))</f>
        <v/>
      </c>
      <c r="I760" s="2" t="str">
        <f ca="1">IF(ISNUMBER(A760),
IF(COUNTIFS(Equipar!B:B,5,Equipar!AC:AC,A760),"Equipada",
IF(
 OR( COUNTIFS(Equipar!B:B,5,Equipar!C:C,A760)
 +COUNTIFS(Equipar!B:B,5,Equipar!D:D,A760)
+COUNTIFS(Equipar!B:B,5,Equipar!E:E,A760)
+COUNTIFS(Equipar!B:B,5,Equipar!F:F,A760)
&gt;0,COUNTIF('Set recomendado'!B:B,C760)=0),
"Bloqueada",
"Desechable")),""
)</f>
        <v/>
      </c>
      <c r="J760" t="str" cm="1">
        <f t="array" aca="1" ref="J760" ca="1">IF(ISNUMBER(A760),IFERROR(_xlfn._xlws.FILTER(Equipar!A:A,(Equipar!B:B=5)*(Equipar!AC:AC=A760)),""),"")</f>
        <v/>
      </c>
    </row>
    <row r="761" spans="1:10" x14ac:dyDescent="0.25">
      <c r="A761" s="1" t="str">
        <f ca="1">IF(A760="ID",1,IF(ISBLANK(B761),"",MAX(A$2:A760)+1))</f>
        <v/>
      </c>
      <c r="I761" s="2" t="str">
        <f ca="1">IF(ISNUMBER(A761),
IF(COUNTIFS(Equipar!B:B,5,Equipar!AC:AC,A761),"Equipada",
IF(
 OR( COUNTIFS(Equipar!B:B,5,Equipar!C:C,A761)
 +COUNTIFS(Equipar!B:B,5,Equipar!D:D,A761)
+COUNTIFS(Equipar!B:B,5,Equipar!E:E,A761)
+COUNTIFS(Equipar!B:B,5,Equipar!F:F,A761)
&gt;0,COUNTIF('Set recomendado'!B:B,C761)=0),
"Bloqueada",
"Desechable")),""
)</f>
        <v/>
      </c>
      <c r="J761" t="str" cm="1">
        <f t="array" aca="1" ref="J761" ca="1">IF(ISNUMBER(A761),IFERROR(_xlfn._xlws.FILTER(Equipar!A:A,(Equipar!B:B=5)*(Equipar!AC:AC=A761)),""),"")</f>
        <v/>
      </c>
    </row>
    <row r="762" spans="1:10" x14ac:dyDescent="0.25">
      <c r="A762" s="1" t="str">
        <f ca="1">IF(A761="ID",1,IF(ISBLANK(B762),"",MAX(A$2:A761)+1))</f>
        <v/>
      </c>
      <c r="I762" s="2" t="str">
        <f ca="1">IF(ISNUMBER(A762),
IF(COUNTIFS(Equipar!B:B,5,Equipar!AC:AC,A762),"Equipada",
IF(
 OR( COUNTIFS(Equipar!B:B,5,Equipar!C:C,A762)
 +COUNTIFS(Equipar!B:B,5,Equipar!D:D,A762)
+COUNTIFS(Equipar!B:B,5,Equipar!E:E,A762)
+COUNTIFS(Equipar!B:B,5,Equipar!F:F,A762)
&gt;0,COUNTIF('Set recomendado'!B:B,C762)=0),
"Bloqueada",
"Desechable")),""
)</f>
        <v/>
      </c>
      <c r="J762" t="str" cm="1">
        <f t="array" aca="1" ref="J762" ca="1">IF(ISNUMBER(A762),IFERROR(_xlfn._xlws.FILTER(Equipar!A:A,(Equipar!B:B=5)*(Equipar!AC:AC=A762)),""),"")</f>
        <v/>
      </c>
    </row>
    <row r="763" spans="1:10" x14ac:dyDescent="0.25">
      <c r="A763" s="1" t="str">
        <f ca="1">IF(A762="ID",1,IF(ISBLANK(B763),"",MAX(A$2:A762)+1))</f>
        <v/>
      </c>
      <c r="I763" s="2" t="str">
        <f ca="1">IF(ISNUMBER(A763),
IF(COUNTIFS(Equipar!B:B,5,Equipar!AC:AC,A763),"Equipada",
IF(
 OR( COUNTIFS(Equipar!B:B,5,Equipar!C:C,A763)
 +COUNTIFS(Equipar!B:B,5,Equipar!D:D,A763)
+COUNTIFS(Equipar!B:B,5,Equipar!E:E,A763)
+COUNTIFS(Equipar!B:B,5,Equipar!F:F,A763)
&gt;0,COUNTIF('Set recomendado'!B:B,C763)=0),
"Bloqueada",
"Desechable")),""
)</f>
        <v/>
      </c>
      <c r="J763" t="str" cm="1">
        <f t="array" aca="1" ref="J763" ca="1">IF(ISNUMBER(A763),IFERROR(_xlfn._xlws.FILTER(Equipar!A:A,(Equipar!B:B=5)*(Equipar!AC:AC=A763)),""),"")</f>
        <v/>
      </c>
    </row>
    <row r="764" spans="1:10" x14ac:dyDescent="0.25">
      <c r="A764" s="1" t="str">
        <f ca="1">IF(A763="ID",1,IF(ISBLANK(B764),"",MAX(A$2:A763)+1))</f>
        <v/>
      </c>
      <c r="I764" s="2" t="str">
        <f ca="1">IF(ISNUMBER(A764),
IF(COUNTIFS(Equipar!B:B,5,Equipar!AC:AC,A764),"Equipada",
IF(
 OR( COUNTIFS(Equipar!B:B,5,Equipar!C:C,A764)
 +COUNTIFS(Equipar!B:B,5,Equipar!D:D,A764)
+COUNTIFS(Equipar!B:B,5,Equipar!E:E,A764)
+COUNTIFS(Equipar!B:B,5,Equipar!F:F,A764)
&gt;0,COUNTIF('Set recomendado'!B:B,C764)=0),
"Bloqueada",
"Desechable")),""
)</f>
        <v/>
      </c>
      <c r="J764" t="str" cm="1">
        <f t="array" aca="1" ref="J764" ca="1">IF(ISNUMBER(A764),IFERROR(_xlfn._xlws.FILTER(Equipar!A:A,(Equipar!B:B=5)*(Equipar!AC:AC=A764)),""),"")</f>
        <v/>
      </c>
    </row>
    <row r="765" spans="1:10" x14ac:dyDescent="0.25">
      <c r="A765" s="1" t="str">
        <f ca="1">IF(A764="ID",1,IF(ISBLANK(B765),"",MAX(A$2:A764)+1))</f>
        <v/>
      </c>
      <c r="I765" s="2" t="str">
        <f ca="1">IF(ISNUMBER(A765),
IF(COUNTIFS(Equipar!B:B,5,Equipar!AC:AC,A765),"Equipada",
IF(
 OR( COUNTIFS(Equipar!B:B,5,Equipar!C:C,A765)
 +COUNTIFS(Equipar!B:B,5,Equipar!D:D,A765)
+COUNTIFS(Equipar!B:B,5,Equipar!E:E,A765)
+COUNTIFS(Equipar!B:B,5,Equipar!F:F,A765)
&gt;0,COUNTIF('Set recomendado'!B:B,C765)=0),
"Bloqueada",
"Desechable")),""
)</f>
        <v/>
      </c>
      <c r="J765" t="str" cm="1">
        <f t="array" aca="1" ref="J765" ca="1">IF(ISNUMBER(A765),IFERROR(_xlfn._xlws.FILTER(Equipar!A:A,(Equipar!B:B=5)*(Equipar!AC:AC=A765)),""),"")</f>
        <v/>
      </c>
    </row>
    <row r="766" spans="1:10" x14ac:dyDescent="0.25">
      <c r="A766" s="1" t="str">
        <f ca="1">IF(A765="ID",1,IF(ISBLANK(B766),"",MAX(A$2:A765)+1))</f>
        <v/>
      </c>
      <c r="I766" s="2" t="str">
        <f ca="1">IF(ISNUMBER(A766),
IF(COUNTIFS(Equipar!B:B,5,Equipar!AC:AC,A766),"Equipada",
IF(
 OR( COUNTIFS(Equipar!B:B,5,Equipar!C:C,A766)
 +COUNTIFS(Equipar!B:B,5,Equipar!D:D,A766)
+COUNTIFS(Equipar!B:B,5,Equipar!E:E,A766)
+COUNTIFS(Equipar!B:B,5,Equipar!F:F,A766)
&gt;0,COUNTIF('Set recomendado'!B:B,C766)=0),
"Bloqueada",
"Desechable")),""
)</f>
        <v/>
      </c>
      <c r="J766" t="str" cm="1">
        <f t="array" aca="1" ref="J766" ca="1">IF(ISNUMBER(A766),IFERROR(_xlfn._xlws.FILTER(Equipar!A:A,(Equipar!B:B=5)*(Equipar!AC:AC=A766)),""),"")</f>
        <v/>
      </c>
    </row>
    <row r="767" spans="1:10" x14ac:dyDescent="0.25">
      <c r="A767" s="1" t="str">
        <f ca="1">IF(A766="ID",1,IF(ISBLANK(B767),"",MAX(A$2:A766)+1))</f>
        <v/>
      </c>
      <c r="I767" s="2" t="str">
        <f ca="1">IF(ISNUMBER(A767),
IF(COUNTIFS(Equipar!B:B,5,Equipar!AC:AC,A767),"Equipada",
IF(
 OR( COUNTIFS(Equipar!B:B,5,Equipar!C:C,A767)
 +COUNTIFS(Equipar!B:B,5,Equipar!D:D,A767)
+COUNTIFS(Equipar!B:B,5,Equipar!E:E,A767)
+COUNTIFS(Equipar!B:B,5,Equipar!F:F,A767)
&gt;0,COUNTIF('Set recomendado'!B:B,C767)=0),
"Bloqueada",
"Desechable")),""
)</f>
        <v/>
      </c>
      <c r="J767" t="str" cm="1">
        <f t="array" aca="1" ref="J767" ca="1">IF(ISNUMBER(A767),IFERROR(_xlfn._xlws.FILTER(Equipar!A:A,(Equipar!B:B=5)*(Equipar!AC:AC=A767)),""),"")</f>
        <v/>
      </c>
    </row>
    <row r="768" spans="1:10" x14ac:dyDescent="0.25">
      <c r="A768" s="1" t="str">
        <f ca="1">IF(A767="ID",1,IF(ISBLANK(B768),"",MAX(A$2:A767)+1))</f>
        <v/>
      </c>
      <c r="I768" s="2" t="str">
        <f ca="1">IF(ISNUMBER(A768),
IF(COUNTIFS(Equipar!B:B,5,Equipar!AC:AC,A768),"Equipada",
IF(
 OR( COUNTIFS(Equipar!B:B,5,Equipar!C:C,A768)
 +COUNTIFS(Equipar!B:B,5,Equipar!D:D,A768)
+COUNTIFS(Equipar!B:B,5,Equipar!E:E,A768)
+COUNTIFS(Equipar!B:B,5,Equipar!F:F,A768)
&gt;0,COUNTIF('Set recomendado'!B:B,C768)=0),
"Bloqueada",
"Desechable")),""
)</f>
        <v/>
      </c>
      <c r="J768" t="str" cm="1">
        <f t="array" aca="1" ref="J768" ca="1">IF(ISNUMBER(A768),IFERROR(_xlfn._xlws.FILTER(Equipar!A:A,(Equipar!B:B=5)*(Equipar!AC:AC=A768)),""),"")</f>
        <v/>
      </c>
    </row>
    <row r="769" spans="1:10" x14ac:dyDescent="0.25">
      <c r="A769" s="1" t="str">
        <f ca="1">IF(A768="ID",1,IF(ISBLANK(B769),"",MAX(A$2:A768)+1))</f>
        <v/>
      </c>
      <c r="I769" s="2" t="str">
        <f ca="1">IF(ISNUMBER(A769),
IF(COUNTIFS(Equipar!B:B,5,Equipar!AC:AC,A769),"Equipada",
IF(
 OR( COUNTIFS(Equipar!B:B,5,Equipar!C:C,A769)
 +COUNTIFS(Equipar!B:B,5,Equipar!D:D,A769)
+COUNTIFS(Equipar!B:B,5,Equipar!E:E,A769)
+COUNTIFS(Equipar!B:B,5,Equipar!F:F,A769)
&gt;0,COUNTIF('Set recomendado'!B:B,C769)=0),
"Bloqueada",
"Desechable")),""
)</f>
        <v/>
      </c>
      <c r="J769" t="str" cm="1">
        <f t="array" aca="1" ref="J769" ca="1">IF(ISNUMBER(A769),IFERROR(_xlfn._xlws.FILTER(Equipar!A:A,(Equipar!B:B=5)*(Equipar!AC:AC=A769)),""),"")</f>
        <v/>
      </c>
    </row>
    <row r="770" spans="1:10" x14ac:dyDescent="0.25">
      <c r="A770" s="1" t="str">
        <f ca="1">IF(A769="ID",1,IF(ISBLANK(B770),"",MAX(A$2:A769)+1))</f>
        <v/>
      </c>
      <c r="I770" s="2" t="str">
        <f ca="1">IF(ISNUMBER(A770),
IF(COUNTIFS(Equipar!B:B,5,Equipar!AC:AC,A770),"Equipada",
IF(
 OR( COUNTIFS(Equipar!B:B,5,Equipar!C:C,A770)
 +COUNTIFS(Equipar!B:B,5,Equipar!D:D,A770)
+COUNTIFS(Equipar!B:B,5,Equipar!E:E,A770)
+COUNTIFS(Equipar!B:B,5,Equipar!F:F,A770)
&gt;0,COUNTIF('Set recomendado'!B:B,C770)=0),
"Bloqueada",
"Desechable")),""
)</f>
        <v/>
      </c>
      <c r="J770" t="str" cm="1">
        <f t="array" aca="1" ref="J770" ca="1">IF(ISNUMBER(A770),IFERROR(_xlfn._xlws.FILTER(Equipar!A:A,(Equipar!B:B=5)*(Equipar!AC:AC=A770)),""),"")</f>
        <v/>
      </c>
    </row>
    <row r="771" spans="1:10" x14ac:dyDescent="0.25">
      <c r="A771" s="1" t="str">
        <f ca="1">IF(A770="ID",1,IF(ISBLANK(B771),"",MAX(A$2:A770)+1))</f>
        <v/>
      </c>
      <c r="I771" s="2" t="str">
        <f ca="1">IF(ISNUMBER(A771),
IF(COUNTIFS(Equipar!B:B,5,Equipar!AC:AC,A771),"Equipada",
IF(
 OR( COUNTIFS(Equipar!B:B,5,Equipar!C:C,A771)
 +COUNTIFS(Equipar!B:B,5,Equipar!D:D,A771)
+COUNTIFS(Equipar!B:B,5,Equipar!E:E,A771)
+COUNTIFS(Equipar!B:B,5,Equipar!F:F,A771)
&gt;0,COUNTIF('Set recomendado'!B:B,C771)=0),
"Bloqueada",
"Desechable")),""
)</f>
        <v/>
      </c>
      <c r="J771" t="str" cm="1">
        <f t="array" aca="1" ref="J771" ca="1">IF(ISNUMBER(A771),IFERROR(_xlfn._xlws.FILTER(Equipar!A:A,(Equipar!B:B=5)*(Equipar!AC:AC=A771)),""),"")</f>
        <v/>
      </c>
    </row>
    <row r="772" spans="1:10" x14ac:dyDescent="0.25">
      <c r="A772" s="1" t="str">
        <f ca="1">IF(A771="ID",1,IF(ISBLANK(B772),"",MAX(A$2:A771)+1))</f>
        <v/>
      </c>
      <c r="I772" s="2" t="str">
        <f ca="1">IF(ISNUMBER(A772),
IF(COUNTIFS(Equipar!B:B,5,Equipar!AC:AC,A772),"Equipada",
IF(
 OR( COUNTIFS(Equipar!B:B,5,Equipar!C:C,A772)
 +COUNTIFS(Equipar!B:B,5,Equipar!D:D,A772)
+COUNTIFS(Equipar!B:B,5,Equipar!E:E,A772)
+COUNTIFS(Equipar!B:B,5,Equipar!F:F,A772)
&gt;0,COUNTIF('Set recomendado'!B:B,C772)=0),
"Bloqueada",
"Desechable")),""
)</f>
        <v/>
      </c>
      <c r="J772" t="str" cm="1">
        <f t="array" aca="1" ref="J772" ca="1">IF(ISNUMBER(A772),IFERROR(_xlfn._xlws.FILTER(Equipar!A:A,(Equipar!B:B=5)*(Equipar!AC:AC=A772)),""),"")</f>
        <v/>
      </c>
    </row>
    <row r="773" spans="1:10" x14ac:dyDescent="0.25">
      <c r="A773" s="1" t="str">
        <f ca="1">IF(A772="ID",1,IF(ISBLANK(B773),"",MAX(A$2:A772)+1))</f>
        <v/>
      </c>
      <c r="I773" s="2" t="str">
        <f ca="1">IF(ISNUMBER(A773),
IF(COUNTIFS(Equipar!B:B,5,Equipar!AC:AC,A773),"Equipada",
IF(
 OR( COUNTIFS(Equipar!B:B,5,Equipar!C:C,A773)
 +COUNTIFS(Equipar!B:B,5,Equipar!D:D,A773)
+COUNTIFS(Equipar!B:B,5,Equipar!E:E,A773)
+COUNTIFS(Equipar!B:B,5,Equipar!F:F,A773)
&gt;0,COUNTIF('Set recomendado'!B:B,C773)=0),
"Bloqueada",
"Desechable")),""
)</f>
        <v/>
      </c>
      <c r="J773" t="str" cm="1">
        <f t="array" aca="1" ref="J773" ca="1">IF(ISNUMBER(A773),IFERROR(_xlfn._xlws.FILTER(Equipar!A:A,(Equipar!B:B=5)*(Equipar!AC:AC=A773)),""),"")</f>
        <v/>
      </c>
    </row>
    <row r="774" spans="1:10" x14ac:dyDescent="0.25">
      <c r="A774" s="1" t="str">
        <f ca="1">IF(A773="ID",1,IF(ISBLANK(B774),"",MAX(A$2:A773)+1))</f>
        <v/>
      </c>
      <c r="I774" s="2" t="str">
        <f ca="1">IF(ISNUMBER(A774),
IF(COUNTIFS(Equipar!B:B,5,Equipar!AC:AC,A774),"Equipada",
IF(
 OR( COUNTIFS(Equipar!B:B,5,Equipar!C:C,A774)
 +COUNTIFS(Equipar!B:B,5,Equipar!D:D,A774)
+COUNTIFS(Equipar!B:B,5,Equipar!E:E,A774)
+COUNTIFS(Equipar!B:B,5,Equipar!F:F,A774)
&gt;0,COUNTIF('Set recomendado'!B:B,C774)=0),
"Bloqueada",
"Desechable")),""
)</f>
        <v/>
      </c>
      <c r="J774" t="str" cm="1">
        <f t="array" aca="1" ref="J774" ca="1">IF(ISNUMBER(A774),IFERROR(_xlfn._xlws.FILTER(Equipar!A:A,(Equipar!B:B=5)*(Equipar!AC:AC=A774)),""),"")</f>
        <v/>
      </c>
    </row>
    <row r="775" spans="1:10" x14ac:dyDescent="0.25">
      <c r="A775" s="1" t="str">
        <f ca="1">IF(A774="ID",1,IF(ISBLANK(B775),"",MAX(A$2:A774)+1))</f>
        <v/>
      </c>
      <c r="I775" s="2" t="str">
        <f ca="1">IF(ISNUMBER(A775),
IF(COUNTIFS(Equipar!B:B,5,Equipar!AC:AC,A775),"Equipada",
IF(
 OR( COUNTIFS(Equipar!B:B,5,Equipar!C:C,A775)
 +COUNTIFS(Equipar!B:B,5,Equipar!D:D,A775)
+COUNTIFS(Equipar!B:B,5,Equipar!E:E,A775)
+COUNTIFS(Equipar!B:B,5,Equipar!F:F,A775)
&gt;0,COUNTIF('Set recomendado'!B:B,C775)=0),
"Bloqueada",
"Desechable")),""
)</f>
        <v/>
      </c>
      <c r="J775" t="str" cm="1">
        <f t="array" aca="1" ref="J775" ca="1">IF(ISNUMBER(A775),IFERROR(_xlfn._xlws.FILTER(Equipar!A:A,(Equipar!B:B=5)*(Equipar!AC:AC=A775)),""),"")</f>
        <v/>
      </c>
    </row>
    <row r="776" spans="1:10" x14ac:dyDescent="0.25">
      <c r="A776" s="1" t="str">
        <f ca="1">IF(A775="ID",1,IF(ISBLANK(B776),"",MAX(A$2:A775)+1))</f>
        <v/>
      </c>
      <c r="I776" s="2" t="str">
        <f ca="1">IF(ISNUMBER(A776),
IF(COUNTIFS(Equipar!B:B,5,Equipar!AC:AC,A776),"Equipada",
IF(
 OR( COUNTIFS(Equipar!B:B,5,Equipar!C:C,A776)
 +COUNTIFS(Equipar!B:B,5,Equipar!D:D,A776)
+COUNTIFS(Equipar!B:B,5,Equipar!E:E,A776)
+COUNTIFS(Equipar!B:B,5,Equipar!F:F,A776)
&gt;0,COUNTIF('Set recomendado'!B:B,C776)=0),
"Bloqueada",
"Desechable")),""
)</f>
        <v/>
      </c>
      <c r="J776" t="str" cm="1">
        <f t="array" aca="1" ref="J776" ca="1">IF(ISNUMBER(A776),IFERROR(_xlfn._xlws.FILTER(Equipar!A:A,(Equipar!B:B=5)*(Equipar!AC:AC=A776)),""),"")</f>
        <v/>
      </c>
    </row>
    <row r="777" spans="1:10" x14ac:dyDescent="0.25">
      <c r="A777" s="1" t="str">
        <f ca="1">IF(A776="ID",1,IF(ISBLANK(B777),"",MAX(A$2:A776)+1))</f>
        <v/>
      </c>
      <c r="I777" s="2" t="str">
        <f ca="1">IF(ISNUMBER(A777),
IF(COUNTIFS(Equipar!B:B,5,Equipar!AC:AC,A777),"Equipada",
IF(
 OR( COUNTIFS(Equipar!B:B,5,Equipar!C:C,A777)
 +COUNTIFS(Equipar!B:B,5,Equipar!D:D,A777)
+COUNTIFS(Equipar!B:B,5,Equipar!E:E,A777)
+COUNTIFS(Equipar!B:B,5,Equipar!F:F,A777)
&gt;0,COUNTIF('Set recomendado'!B:B,C777)=0),
"Bloqueada",
"Desechable")),""
)</f>
        <v/>
      </c>
      <c r="J777" t="str" cm="1">
        <f t="array" aca="1" ref="J777" ca="1">IF(ISNUMBER(A777),IFERROR(_xlfn._xlws.FILTER(Equipar!A:A,(Equipar!B:B=5)*(Equipar!AC:AC=A777)),""),"")</f>
        <v/>
      </c>
    </row>
    <row r="778" spans="1:10" x14ac:dyDescent="0.25">
      <c r="A778" s="1" t="str">
        <f ca="1">IF(A777="ID",1,IF(ISBLANK(B778),"",MAX(A$2:A777)+1))</f>
        <v/>
      </c>
      <c r="I778" s="2" t="str">
        <f ca="1">IF(ISNUMBER(A778),
IF(COUNTIFS(Equipar!B:B,5,Equipar!AC:AC,A778),"Equipada",
IF(
 OR( COUNTIFS(Equipar!B:B,5,Equipar!C:C,A778)
 +COUNTIFS(Equipar!B:B,5,Equipar!D:D,A778)
+COUNTIFS(Equipar!B:B,5,Equipar!E:E,A778)
+COUNTIFS(Equipar!B:B,5,Equipar!F:F,A778)
&gt;0,COUNTIF('Set recomendado'!B:B,C778)=0),
"Bloqueada",
"Desechable")),""
)</f>
        <v/>
      </c>
      <c r="J778" t="str" cm="1">
        <f t="array" aca="1" ref="J778" ca="1">IF(ISNUMBER(A778),IFERROR(_xlfn._xlws.FILTER(Equipar!A:A,(Equipar!B:B=5)*(Equipar!AC:AC=A778)),""),"")</f>
        <v/>
      </c>
    </row>
    <row r="779" spans="1:10" x14ac:dyDescent="0.25">
      <c r="A779" s="1" t="str">
        <f ca="1">IF(A778="ID",1,IF(ISBLANK(B779),"",MAX(A$2:A778)+1))</f>
        <v/>
      </c>
      <c r="I779" s="2" t="str">
        <f ca="1">IF(ISNUMBER(A779),
IF(COUNTIFS(Equipar!B:B,5,Equipar!AC:AC,A779),"Equipada",
IF(
 OR( COUNTIFS(Equipar!B:B,5,Equipar!C:C,A779)
 +COUNTIFS(Equipar!B:B,5,Equipar!D:D,A779)
+COUNTIFS(Equipar!B:B,5,Equipar!E:E,A779)
+COUNTIFS(Equipar!B:B,5,Equipar!F:F,A779)
&gt;0,COUNTIF('Set recomendado'!B:B,C779)=0),
"Bloqueada",
"Desechable")),""
)</f>
        <v/>
      </c>
      <c r="J779" t="str" cm="1">
        <f t="array" aca="1" ref="J779" ca="1">IF(ISNUMBER(A779),IFERROR(_xlfn._xlws.FILTER(Equipar!A:A,(Equipar!B:B=5)*(Equipar!AC:AC=A779)),""),"")</f>
        <v/>
      </c>
    </row>
    <row r="780" spans="1:10" x14ac:dyDescent="0.25">
      <c r="A780" s="1" t="str">
        <f ca="1">IF(A779="ID",1,IF(ISBLANK(B780),"",MAX(A$2:A779)+1))</f>
        <v/>
      </c>
      <c r="I780" s="2" t="str">
        <f ca="1">IF(ISNUMBER(A780),
IF(COUNTIFS(Equipar!B:B,5,Equipar!AC:AC,A780),"Equipada",
IF(
 OR( COUNTIFS(Equipar!B:B,5,Equipar!C:C,A780)
 +COUNTIFS(Equipar!B:B,5,Equipar!D:D,A780)
+COUNTIFS(Equipar!B:B,5,Equipar!E:E,A780)
+COUNTIFS(Equipar!B:B,5,Equipar!F:F,A780)
&gt;0,COUNTIF('Set recomendado'!B:B,C780)=0),
"Bloqueada",
"Desechable")),""
)</f>
        <v/>
      </c>
      <c r="J780" t="str" cm="1">
        <f t="array" aca="1" ref="J780" ca="1">IF(ISNUMBER(A780),IFERROR(_xlfn._xlws.FILTER(Equipar!A:A,(Equipar!B:B=5)*(Equipar!AC:AC=A780)),""),"")</f>
        <v/>
      </c>
    </row>
    <row r="781" spans="1:10" x14ac:dyDescent="0.25">
      <c r="A781" s="1" t="str">
        <f ca="1">IF(A780="ID",1,IF(ISBLANK(B781),"",MAX(A$2:A780)+1))</f>
        <v/>
      </c>
      <c r="I781" s="2" t="str">
        <f ca="1">IF(ISNUMBER(A781),
IF(COUNTIFS(Equipar!B:B,5,Equipar!AC:AC,A781),"Equipada",
IF(
 OR( COUNTIFS(Equipar!B:B,5,Equipar!C:C,A781)
 +COUNTIFS(Equipar!B:B,5,Equipar!D:D,A781)
+COUNTIFS(Equipar!B:B,5,Equipar!E:E,A781)
+COUNTIFS(Equipar!B:B,5,Equipar!F:F,A781)
&gt;0,COUNTIF('Set recomendado'!B:B,C781)=0),
"Bloqueada",
"Desechable")),""
)</f>
        <v/>
      </c>
      <c r="J781" t="str" cm="1">
        <f t="array" aca="1" ref="J781" ca="1">IF(ISNUMBER(A781),IFERROR(_xlfn._xlws.FILTER(Equipar!A:A,(Equipar!B:B=5)*(Equipar!AC:AC=A781)),""),"")</f>
        <v/>
      </c>
    </row>
    <row r="782" spans="1:10" x14ac:dyDescent="0.25">
      <c r="A782" s="1" t="str">
        <f ca="1">IF(A781="ID",1,IF(ISBLANK(B782),"",MAX(A$2:A781)+1))</f>
        <v/>
      </c>
      <c r="I782" s="2" t="str">
        <f ca="1">IF(ISNUMBER(A782),
IF(COUNTIFS(Equipar!B:B,5,Equipar!AC:AC,A782),"Equipada",
IF(
 OR( COUNTIFS(Equipar!B:B,5,Equipar!C:C,A782)
 +COUNTIFS(Equipar!B:B,5,Equipar!D:D,A782)
+COUNTIFS(Equipar!B:B,5,Equipar!E:E,A782)
+COUNTIFS(Equipar!B:B,5,Equipar!F:F,A782)
&gt;0,COUNTIF('Set recomendado'!B:B,C782)=0),
"Bloqueada",
"Desechable")),""
)</f>
        <v/>
      </c>
      <c r="J782" t="str" cm="1">
        <f t="array" aca="1" ref="J782" ca="1">IF(ISNUMBER(A782),IFERROR(_xlfn._xlws.FILTER(Equipar!A:A,(Equipar!B:B=5)*(Equipar!AC:AC=A782)),""),"")</f>
        <v/>
      </c>
    </row>
    <row r="783" spans="1:10" x14ac:dyDescent="0.25">
      <c r="A783" s="1" t="str">
        <f ca="1">IF(A782="ID",1,IF(ISBLANK(B783),"",MAX(A$2:A782)+1))</f>
        <v/>
      </c>
      <c r="I783" s="2" t="str">
        <f ca="1">IF(ISNUMBER(A783),
IF(COUNTIFS(Equipar!B:B,5,Equipar!AC:AC,A783),"Equipada",
IF(
 OR( COUNTIFS(Equipar!B:B,5,Equipar!C:C,A783)
 +COUNTIFS(Equipar!B:B,5,Equipar!D:D,A783)
+COUNTIFS(Equipar!B:B,5,Equipar!E:E,A783)
+COUNTIFS(Equipar!B:B,5,Equipar!F:F,A783)
&gt;0,COUNTIF('Set recomendado'!B:B,C783)=0),
"Bloqueada",
"Desechable")),""
)</f>
        <v/>
      </c>
      <c r="J783" t="str" cm="1">
        <f t="array" aca="1" ref="J783" ca="1">IF(ISNUMBER(A783),IFERROR(_xlfn._xlws.FILTER(Equipar!A:A,(Equipar!B:B=5)*(Equipar!AC:AC=A783)),""),"")</f>
        <v/>
      </c>
    </row>
    <row r="784" spans="1:10" x14ac:dyDescent="0.25">
      <c r="A784" s="1" t="str">
        <f ca="1">IF(A783="ID",1,IF(ISBLANK(B784),"",MAX(A$2:A783)+1))</f>
        <v/>
      </c>
      <c r="I784" s="2" t="str">
        <f ca="1">IF(ISNUMBER(A784),
IF(COUNTIFS(Equipar!B:B,5,Equipar!AC:AC,A784),"Equipada",
IF(
 OR( COUNTIFS(Equipar!B:B,5,Equipar!C:C,A784)
 +COUNTIFS(Equipar!B:B,5,Equipar!D:D,A784)
+COUNTIFS(Equipar!B:B,5,Equipar!E:E,A784)
+COUNTIFS(Equipar!B:B,5,Equipar!F:F,A784)
&gt;0,COUNTIF('Set recomendado'!B:B,C784)=0),
"Bloqueada",
"Desechable")),""
)</f>
        <v/>
      </c>
      <c r="J784" t="str" cm="1">
        <f t="array" aca="1" ref="J784" ca="1">IF(ISNUMBER(A784),IFERROR(_xlfn._xlws.FILTER(Equipar!A:A,(Equipar!B:B=5)*(Equipar!AC:AC=A784)),""),"")</f>
        <v/>
      </c>
    </row>
    <row r="785" spans="1:10" x14ac:dyDescent="0.25">
      <c r="A785" s="1" t="str">
        <f ca="1">IF(A784="ID",1,IF(ISBLANK(B785),"",MAX(A$2:A784)+1))</f>
        <v/>
      </c>
      <c r="I785" s="2" t="str">
        <f ca="1">IF(ISNUMBER(A785),
IF(COUNTIFS(Equipar!B:B,5,Equipar!AC:AC,A785),"Equipada",
IF(
 OR( COUNTIFS(Equipar!B:B,5,Equipar!C:C,A785)
 +COUNTIFS(Equipar!B:B,5,Equipar!D:D,A785)
+COUNTIFS(Equipar!B:B,5,Equipar!E:E,A785)
+COUNTIFS(Equipar!B:B,5,Equipar!F:F,A785)
&gt;0,COUNTIF('Set recomendado'!B:B,C785)=0),
"Bloqueada",
"Desechable")),""
)</f>
        <v/>
      </c>
      <c r="J785" t="str" cm="1">
        <f t="array" aca="1" ref="J785" ca="1">IF(ISNUMBER(A785),IFERROR(_xlfn._xlws.FILTER(Equipar!A:A,(Equipar!B:B=5)*(Equipar!AC:AC=A785)),""),"")</f>
        <v/>
      </c>
    </row>
    <row r="786" spans="1:10" x14ac:dyDescent="0.25">
      <c r="A786" s="1" t="str">
        <f ca="1">IF(A785="ID",1,IF(ISBLANK(B786),"",MAX(A$2:A785)+1))</f>
        <v/>
      </c>
      <c r="I786" s="2" t="str">
        <f ca="1">IF(ISNUMBER(A786),
IF(COUNTIFS(Equipar!B:B,5,Equipar!AC:AC,A786),"Equipada",
IF(
 OR( COUNTIFS(Equipar!B:B,5,Equipar!C:C,A786)
 +COUNTIFS(Equipar!B:B,5,Equipar!D:D,A786)
+COUNTIFS(Equipar!B:B,5,Equipar!E:E,A786)
+COUNTIFS(Equipar!B:B,5,Equipar!F:F,A786)
&gt;0,COUNTIF('Set recomendado'!B:B,C786)=0),
"Bloqueada",
"Desechable")),""
)</f>
        <v/>
      </c>
      <c r="J786" t="str" cm="1">
        <f t="array" aca="1" ref="J786" ca="1">IF(ISNUMBER(A786),IFERROR(_xlfn._xlws.FILTER(Equipar!A:A,(Equipar!B:B=5)*(Equipar!AC:AC=A786)),""),"")</f>
        <v/>
      </c>
    </row>
    <row r="787" spans="1:10" x14ac:dyDescent="0.25">
      <c r="A787" s="1" t="str">
        <f ca="1">IF(A786="ID",1,IF(ISBLANK(B787),"",MAX(A$2:A786)+1))</f>
        <v/>
      </c>
      <c r="I787" s="2" t="str">
        <f ca="1">IF(ISNUMBER(A787),
IF(COUNTIFS(Equipar!B:B,5,Equipar!AC:AC,A787),"Equipada",
IF(
 OR( COUNTIFS(Equipar!B:B,5,Equipar!C:C,A787)
 +COUNTIFS(Equipar!B:B,5,Equipar!D:D,A787)
+COUNTIFS(Equipar!B:B,5,Equipar!E:E,A787)
+COUNTIFS(Equipar!B:B,5,Equipar!F:F,A787)
&gt;0,COUNTIF('Set recomendado'!B:B,C787)=0),
"Bloqueada",
"Desechable")),""
)</f>
        <v/>
      </c>
      <c r="J787" t="str" cm="1">
        <f t="array" aca="1" ref="J787" ca="1">IF(ISNUMBER(A787),IFERROR(_xlfn._xlws.FILTER(Equipar!A:A,(Equipar!B:B=5)*(Equipar!AC:AC=A787)),""),"")</f>
        <v/>
      </c>
    </row>
    <row r="788" spans="1:10" x14ac:dyDescent="0.25">
      <c r="A788" s="1" t="str">
        <f ca="1">IF(A787="ID",1,IF(ISBLANK(B788),"",MAX(A$2:A787)+1))</f>
        <v/>
      </c>
      <c r="I788" s="2" t="str">
        <f ca="1">IF(ISNUMBER(A788),
IF(COUNTIFS(Equipar!B:B,5,Equipar!AC:AC,A788),"Equipada",
IF(
 OR( COUNTIFS(Equipar!B:B,5,Equipar!C:C,A788)
 +COUNTIFS(Equipar!B:B,5,Equipar!D:D,A788)
+COUNTIFS(Equipar!B:B,5,Equipar!E:E,A788)
+COUNTIFS(Equipar!B:B,5,Equipar!F:F,A788)
&gt;0,COUNTIF('Set recomendado'!B:B,C788)=0),
"Bloqueada",
"Desechable")),""
)</f>
        <v/>
      </c>
      <c r="J788" t="str" cm="1">
        <f t="array" aca="1" ref="J788" ca="1">IF(ISNUMBER(A788),IFERROR(_xlfn._xlws.FILTER(Equipar!A:A,(Equipar!B:B=5)*(Equipar!AC:AC=A788)),""),"")</f>
        <v/>
      </c>
    </row>
    <row r="789" spans="1:10" x14ac:dyDescent="0.25">
      <c r="A789" s="1" t="str">
        <f ca="1">IF(A788="ID",1,IF(ISBLANK(B789),"",MAX(A$2:A788)+1))</f>
        <v/>
      </c>
      <c r="I789" s="2" t="str">
        <f ca="1">IF(ISNUMBER(A789),
IF(COUNTIFS(Equipar!B:B,5,Equipar!AC:AC,A789),"Equipada",
IF(
 OR( COUNTIFS(Equipar!B:B,5,Equipar!C:C,A789)
 +COUNTIFS(Equipar!B:B,5,Equipar!D:D,A789)
+COUNTIFS(Equipar!B:B,5,Equipar!E:E,A789)
+COUNTIFS(Equipar!B:B,5,Equipar!F:F,A789)
&gt;0,COUNTIF('Set recomendado'!B:B,C789)=0),
"Bloqueada",
"Desechable")),""
)</f>
        <v/>
      </c>
      <c r="J789" t="str" cm="1">
        <f t="array" aca="1" ref="J789" ca="1">IF(ISNUMBER(A789),IFERROR(_xlfn._xlws.FILTER(Equipar!A:A,(Equipar!B:B=5)*(Equipar!AC:AC=A789)),""),"")</f>
        <v/>
      </c>
    </row>
    <row r="790" spans="1:10" x14ac:dyDescent="0.25">
      <c r="A790" s="1" t="str">
        <f ca="1">IF(A789="ID",1,IF(ISBLANK(B790),"",MAX(A$2:A789)+1))</f>
        <v/>
      </c>
      <c r="I790" s="2" t="str">
        <f ca="1">IF(ISNUMBER(A790),
IF(COUNTIFS(Equipar!B:B,5,Equipar!AC:AC,A790),"Equipada",
IF(
 OR( COUNTIFS(Equipar!B:B,5,Equipar!C:C,A790)
 +COUNTIFS(Equipar!B:B,5,Equipar!D:D,A790)
+COUNTIFS(Equipar!B:B,5,Equipar!E:E,A790)
+COUNTIFS(Equipar!B:B,5,Equipar!F:F,A790)
&gt;0,COUNTIF('Set recomendado'!B:B,C790)=0),
"Bloqueada",
"Desechable")),""
)</f>
        <v/>
      </c>
      <c r="J790" t="str" cm="1">
        <f t="array" aca="1" ref="J790" ca="1">IF(ISNUMBER(A790),IFERROR(_xlfn._xlws.FILTER(Equipar!A:A,(Equipar!B:B=5)*(Equipar!AC:AC=A790)),""),"")</f>
        <v/>
      </c>
    </row>
    <row r="791" spans="1:10" x14ac:dyDescent="0.25">
      <c r="A791" s="1" t="str">
        <f ca="1">IF(A790="ID",1,IF(ISBLANK(B791),"",MAX(A$2:A790)+1))</f>
        <v/>
      </c>
      <c r="I791" s="2" t="str">
        <f ca="1">IF(ISNUMBER(A791),
IF(COUNTIFS(Equipar!B:B,5,Equipar!AC:AC,A791),"Equipada",
IF(
 OR( COUNTIFS(Equipar!B:B,5,Equipar!C:C,A791)
 +COUNTIFS(Equipar!B:B,5,Equipar!D:D,A791)
+COUNTIFS(Equipar!B:B,5,Equipar!E:E,A791)
+COUNTIFS(Equipar!B:B,5,Equipar!F:F,A791)
&gt;0,COUNTIF('Set recomendado'!B:B,C791)=0),
"Bloqueada",
"Desechable")),""
)</f>
        <v/>
      </c>
      <c r="J791" t="str" cm="1">
        <f t="array" aca="1" ref="J791" ca="1">IF(ISNUMBER(A791),IFERROR(_xlfn._xlws.FILTER(Equipar!A:A,(Equipar!B:B=5)*(Equipar!AC:AC=A791)),""),"")</f>
        <v/>
      </c>
    </row>
    <row r="792" spans="1:10" x14ac:dyDescent="0.25">
      <c r="A792" s="1" t="str">
        <f ca="1">IF(A791="ID",1,IF(ISBLANK(B792),"",MAX(A$2:A791)+1))</f>
        <v/>
      </c>
      <c r="I792" s="2" t="str">
        <f ca="1">IF(ISNUMBER(A792),
IF(COUNTIFS(Equipar!B:B,5,Equipar!AC:AC,A792),"Equipada",
IF(
 OR( COUNTIFS(Equipar!B:B,5,Equipar!C:C,A792)
 +COUNTIFS(Equipar!B:B,5,Equipar!D:D,A792)
+COUNTIFS(Equipar!B:B,5,Equipar!E:E,A792)
+COUNTIFS(Equipar!B:B,5,Equipar!F:F,A792)
&gt;0,COUNTIF('Set recomendado'!B:B,C792)=0),
"Bloqueada",
"Desechable")),""
)</f>
        <v/>
      </c>
      <c r="J792" t="str" cm="1">
        <f t="array" aca="1" ref="J792" ca="1">IF(ISNUMBER(A792),IFERROR(_xlfn._xlws.FILTER(Equipar!A:A,(Equipar!B:B=5)*(Equipar!AC:AC=A792)),""),"")</f>
        <v/>
      </c>
    </row>
    <row r="793" spans="1:10" x14ac:dyDescent="0.25">
      <c r="A793" s="1" t="str">
        <f ca="1">IF(A792="ID",1,IF(ISBLANK(B793),"",MAX(A$2:A792)+1))</f>
        <v/>
      </c>
      <c r="I793" s="2" t="str">
        <f ca="1">IF(ISNUMBER(A793),
IF(COUNTIFS(Equipar!B:B,5,Equipar!AC:AC,A793),"Equipada",
IF(
 OR( COUNTIFS(Equipar!B:B,5,Equipar!C:C,A793)
 +COUNTIFS(Equipar!B:B,5,Equipar!D:D,A793)
+COUNTIFS(Equipar!B:B,5,Equipar!E:E,A793)
+COUNTIFS(Equipar!B:B,5,Equipar!F:F,A793)
&gt;0,COUNTIF('Set recomendado'!B:B,C793)=0),
"Bloqueada",
"Desechable")),""
)</f>
        <v/>
      </c>
      <c r="J793" t="str" cm="1">
        <f t="array" aca="1" ref="J793" ca="1">IF(ISNUMBER(A793),IFERROR(_xlfn._xlws.FILTER(Equipar!A:A,(Equipar!B:B=5)*(Equipar!AC:AC=A793)),""),"")</f>
        <v/>
      </c>
    </row>
    <row r="794" spans="1:10" x14ac:dyDescent="0.25">
      <c r="A794" s="1" t="str">
        <f ca="1">IF(A793="ID",1,IF(ISBLANK(B794),"",MAX(A$2:A793)+1))</f>
        <v/>
      </c>
      <c r="I794" s="2" t="str">
        <f ca="1">IF(ISNUMBER(A794),
IF(COUNTIFS(Equipar!B:B,5,Equipar!AC:AC,A794),"Equipada",
IF(
 OR( COUNTIFS(Equipar!B:B,5,Equipar!C:C,A794)
 +COUNTIFS(Equipar!B:B,5,Equipar!D:D,A794)
+COUNTIFS(Equipar!B:B,5,Equipar!E:E,A794)
+COUNTIFS(Equipar!B:B,5,Equipar!F:F,A794)
&gt;0,COUNTIF('Set recomendado'!B:B,C794)=0),
"Bloqueada",
"Desechable")),""
)</f>
        <v/>
      </c>
      <c r="J794" t="str" cm="1">
        <f t="array" aca="1" ref="J794" ca="1">IF(ISNUMBER(A794),IFERROR(_xlfn._xlws.FILTER(Equipar!A:A,(Equipar!B:B=5)*(Equipar!AC:AC=A794)),""),"")</f>
        <v/>
      </c>
    </row>
    <row r="795" spans="1:10" x14ac:dyDescent="0.25">
      <c r="A795" s="1" t="str">
        <f ca="1">IF(A794="ID",1,IF(ISBLANK(B795),"",MAX(A$2:A794)+1))</f>
        <v/>
      </c>
      <c r="I795" s="2" t="str">
        <f ca="1">IF(ISNUMBER(A795),
IF(COUNTIFS(Equipar!B:B,5,Equipar!AC:AC,A795),"Equipada",
IF(
 OR( COUNTIFS(Equipar!B:B,5,Equipar!C:C,A795)
 +COUNTIFS(Equipar!B:B,5,Equipar!D:D,A795)
+COUNTIFS(Equipar!B:B,5,Equipar!E:E,A795)
+COUNTIFS(Equipar!B:B,5,Equipar!F:F,A795)
&gt;0,COUNTIF('Set recomendado'!B:B,C795)=0),
"Bloqueada",
"Desechable")),""
)</f>
        <v/>
      </c>
      <c r="J795" t="str" cm="1">
        <f t="array" aca="1" ref="J795" ca="1">IF(ISNUMBER(A795),IFERROR(_xlfn._xlws.FILTER(Equipar!A:A,(Equipar!B:B=5)*(Equipar!AC:AC=A795)),""),"")</f>
        <v/>
      </c>
    </row>
    <row r="796" spans="1:10" x14ac:dyDescent="0.25">
      <c r="A796" s="1" t="str">
        <f ca="1">IF(A795="ID",1,IF(ISBLANK(B796),"",MAX(A$2:A795)+1))</f>
        <v/>
      </c>
      <c r="I796" s="2" t="str">
        <f ca="1">IF(ISNUMBER(A796),
IF(COUNTIFS(Equipar!B:B,5,Equipar!AC:AC,A796),"Equipada",
IF(
 OR( COUNTIFS(Equipar!B:B,5,Equipar!C:C,A796)
 +COUNTIFS(Equipar!B:B,5,Equipar!D:D,A796)
+COUNTIFS(Equipar!B:B,5,Equipar!E:E,A796)
+COUNTIFS(Equipar!B:B,5,Equipar!F:F,A796)
&gt;0,COUNTIF('Set recomendado'!B:B,C796)=0),
"Bloqueada",
"Desechable")),""
)</f>
        <v/>
      </c>
      <c r="J796" t="str" cm="1">
        <f t="array" aca="1" ref="J796" ca="1">IF(ISNUMBER(A796),IFERROR(_xlfn._xlws.FILTER(Equipar!A:A,(Equipar!B:B=5)*(Equipar!AC:AC=A796)),""),"")</f>
        <v/>
      </c>
    </row>
    <row r="797" spans="1:10" x14ac:dyDescent="0.25">
      <c r="A797" s="1" t="str">
        <f ca="1">IF(A796="ID",1,IF(ISBLANK(B797),"",MAX(A$2:A796)+1))</f>
        <v/>
      </c>
      <c r="I797" s="2" t="str">
        <f ca="1">IF(ISNUMBER(A797),
IF(COUNTIFS(Equipar!B:B,5,Equipar!AC:AC,A797),"Equipada",
IF(
 OR( COUNTIFS(Equipar!B:B,5,Equipar!C:C,A797)
 +COUNTIFS(Equipar!B:B,5,Equipar!D:D,A797)
+COUNTIFS(Equipar!B:B,5,Equipar!E:E,A797)
+COUNTIFS(Equipar!B:B,5,Equipar!F:F,A797)
&gt;0,COUNTIF('Set recomendado'!B:B,C797)=0),
"Bloqueada",
"Desechable")),""
)</f>
        <v/>
      </c>
      <c r="J797" t="str" cm="1">
        <f t="array" aca="1" ref="J797" ca="1">IF(ISNUMBER(A797),IFERROR(_xlfn._xlws.FILTER(Equipar!A:A,(Equipar!B:B=5)*(Equipar!AC:AC=A797)),""),"")</f>
        <v/>
      </c>
    </row>
    <row r="798" spans="1:10" x14ac:dyDescent="0.25">
      <c r="A798" s="1" t="str">
        <f ca="1">IF(A797="ID",1,IF(ISBLANK(B798),"",MAX(A$2:A797)+1))</f>
        <v/>
      </c>
      <c r="I798" s="2" t="str">
        <f ca="1">IF(ISNUMBER(A798),
IF(COUNTIFS(Equipar!B:B,5,Equipar!AC:AC,A798),"Equipada",
IF(
 OR( COUNTIFS(Equipar!B:B,5,Equipar!C:C,A798)
 +COUNTIFS(Equipar!B:B,5,Equipar!D:D,A798)
+COUNTIFS(Equipar!B:B,5,Equipar!E:E,A798)
+COUNTIFS(Equipar!B:B,5,Equipar!F:F,A798)
&gt;0,COUNTIF('Set recomendado'!B:B,C798)=0),
"Bloqueada",
"Desechable")),""
)</f>
        <v/>
      </c>
      <c r="J798" t="str" cm="1">
        <f t="array" aca="1" ref="J798" ca="1">IF(ISNUMBER(A798),IFERROR(_xlfn._xlws.FILTER(Equipar!A:A,(Equipar!B:B=5)*(Equipar!AC:AC=A798)),""),"")</f>
        <v/>
      </c>
    </row>
    <row r="799" spans="1:10" x14ac:dyDescent="0.25">
      <c r="A799" s="1" t="str">
        <f ca="1">IF(A798="ID",1,IF(ISBLANK(B799),"",MAX(A$2:A798)+1))</f>
        <v/>
      </c>
      <c r="I799" s="2" t="str">
        <f ca="1">IF(ISNUMBER(A799),
IF(COUNTIFS(Equipar!B:B,5,Equipar!AC:AC,A799),"Equipada",
IF(
 OR( COUNTIFS(Equipar!B:B,5,Equipar!C:C,A799)
 +COUNTIFS(Equipar!B:B,5,Equipar!D:D,A799)
+COUNTIFS(Equipar!B:B,5,Equipar!E:E,A799)
+COUNTIFS(Equipar!B:B,5,Equipar!F:F,A799)
&gt;0,COUNTIF('Set recomendado'!B:B,C799)=0),
"Bloqueada",
"Desechable")),""
)</f>
        <v/>
      </c>
      <c r="J799" t="str" cm="1">
        <f t="array" aca="1" ref="J799" ca="1">IF(ISNUMBER(A799),IFERROR(_xlfn._xlws.FILTER(Equipar!A:A,(Equipar!B:B=5)*(Equipar!AC:AC=A799)),""),"")</f>
        <v/>
      </c>
    </row>
    <row r="800" spans="1:10" x14ac:dyDescent="0.25">
      <c r="A800" s="1" t="str">
        <f ca="1">IF(A799="ID",1,IF(ISBLANK(B800),"",MAX(A$2:A799)+1))</f>
        <v/>
      </c>
      <c r="I800" s="2" t="str">
        <f ca="1">IF(ISNUMBER(A800),
IF(COUNTIFS(Equipar!B:B,5,Equipar!AC:AC,A800),"Equipada",
IF(
 OR( COUNTIFS(Equipar!B:B,5,Equipar!C:C,A800)
 +COUNTIFS(Equipar!B:B,5,Equipar!D:D,A800)
+COUNTIFS(Equipar!B:B,5,Equipar!E:E,A800)
+COUNTIFS(Equipar!B:B,5,Equipar!F:F,A800)
&gt;0,COUNTIF('Set recomendado'!B:B,C800)=0),
"Bloqueada",
"Desechable")),""
)</f>
        <v/>
      </c>
      <c r="J800" t="str" cm="1">
        <f t="array" aca="1" ref="J800" ca="1">IF(ISNUMBER(A800),IFERROR(_xlfn._xlws.FILTER(Equipar!A:A,(Equipar!B:B=5)*(Equipar!AC:AC=A800)),""),"")</f>
        <v/>
      </c>
    </row>
    <row r="801" spans="1:10" x14ac:dyDescent="0.25">
      <c r="A801" s="1" t="str">
        <f ca="1">IF(A800="ID",1,IF(ISBLANK(B801),"",MAX(A$2:A800)+1))</f>
        <v/>
      </c>
      <c r="I801" s="2" t="str">
        <f ca="1">IF(ISNUMBER(A801),
IF(COUNTIFS(Equipar!B:B,5,Equipar!AC:AC,A801),"Equipada",
IF(
 OR( COUNTIFS(Equipar!B:B,5,Equipar!C:C,A801)
 +COUNTIFS(Equipar!B:B,5,Equipar!D:D,A801)
+COUNTIFS(Equipar!B:B,5,Equipar!E:E,A801)
+COUNTIFS(Equipar!B:B,5,Equipar!F:F,A801)
&gt;0,COUNTIF('Set recomendado'!B:B,C801)=0),
"Bloqueada",
"Desechable")),""
)</f>
        <v/>
      </c>
      <c r="J801" t="str" cm="1">
        <f t="array" aca="1" ref="J801" ca="1">IF(ISNUMBER(A801),IFERROR(_xlfn._xlws.FILTER(Equipar!A:A,(Equipar!B:B=5)*(Equipar!AC:AC=A801)),""),"")</f>
        <v/>
      </c>
    </row>
    <row r="802" spans="1:10" x14ac:dyDescent="0.25">
      <c r="A802" s="1" t="str">
        <f ca="1">IF(A801="ID",1,IF(ISBLANK(B802),"",MAX(A$2:A801)+1))</f>
        <v/>
      </c>
      <c r="I802" s="2" t="str">
        <f ca="1">IF(ISNUMBER(A802),
IF(COUNTIFS(Equipar!B:B,5,Equipar!AC:AC,A802),"Equipada",
IF(
 OR( COUNTIFS(Equipar!B:B,5,Equipar!C:C,A802)
 +COUNTIFS(Equipar!B:B,5,Equipar!D:D,A802)
+COUNTIFS(Equipar!B:B,5,Equipar!E:E,A802)
+COUNTIFS(Equipar!B:B,5,Equipar!F:F,A802)
&gt;0,COUNTIF('Set recomendado'!B:B,C802)=0),
"Bloqueada",
"Desechable")),""
)</f>
        <v/>
      </c>
      <c r="J802" t="str" cm="1">
        <f t="array" aca="1" ref="J802" ca="1">IF(ISNUMBER(A802),IFERROR(_xlfn._xlws.FILTER(Equipar!A:A,(Equipar!B:B=5)*(Equipar!AC:AC=A802)),""),"")</f>
        <v/>
      </c>
    </row>
    <row r="803" spans="1:10" x14ac:dyDescent="0.25">
      <c r="A803" s="1" t="str">
        <f ca="1">IF(A802="ID",1,IF(ISBLANK(B803),"",MAX(A$2:A802)+1))</f>
        <v/>
      </c>
      <c r="I803" s="2" t="str">
        <f ca="1">IF(ISNUMBER(A803),
IF(COUNTIFS(Equipar!B:B,5,Equipar!AC:AC,A803),"Equipada",
IF(
 OR( COUNTIFS(Equipar!B:B,5,Equipar!C:C,A803)
 +COUNTIFS(Equipar!B:B,5,Equipar!D:D,A803)
+COUNTIFS(Equipar!B:B,5,Equipar!E:E,A803)
+COUNTIFS(Equipar!B:B,5,Equipar!F:F,A803)
&gt;0,COUNTIF('Set recomendado'!B:B,C803)=0),
"Bloqueada",
"Desechable")),""
)</f>
        <v/>
      </c>
      <c r="J803" t="str" cm="1">
        <f t="array" aca="1" ref="J803" ca="1">IF(ISNUMBER(A803),IFERROR(_xlfn._xlws.FILTER(Equipar!A:A,(Equipar!B:B=5)*(Equipar!AC:AC=A803)),""),"")</f>
        <v/>
      </c>
    </row>
    <row r="804" spans="1:10" x14ac:dyDescent="0.25">
      <c r="A804" s="1" t="str">
        <f ca="1">IF(A803="ID",1,IF(ISBLANK(B804),"",MAX(A$2:A803)+1))</f>
        <v/>
      </c>
      <c r="I804" s="2" t="str">
        <f ca="1">IF(ISNUMBER(A804),
IF(COUNTIFS(Equipar!B:B,5,Equipar!AC:AC,A804),"Equipada",
IF(
 OR( COUNTIFS(Equipar!B:B,5,Equipar!C:C,A804)
 +COUNTIFS(Equipar!B:B,5,Equipar!D:D,A804)
+COUNTIFS(Equipar!B:B,5,Equipar!E:E,A804)
+COUNTIFS(Equipar!B:B,5,Equipar!F:F,A804)
&gt;0,COUNTIF('Set recomendado'!B:B,C804)=0),
"Bloqueada",
"Desechable")),""
)</f>
        <v/>
      </c>
      <c r="J804" t="str" cm="1">
        <f t="array" aca="1" ref="J804" ca="1">IF(ISNUMBER(A804),IFERROR(_xlfn._xlws.FILTER(Equipar!A:A,(Equipar!B:B=5)*(Equipar!AC:AC=A804)),""),"")</f>
        <v/>
      </c>
    </row>
    <row r="805" spans="1:10" x14ac:dyDescent="0.25">
      <c r="A805" s="1" t="str">
        <f ca="1">IF(A804="ID",1,IF(ISBLANK(B805),"",MAX(A$2:A804)+1))</f>
        <v/>
      </c>
      <c r="I805" s="2" t="str">
        <f ca="1">IF(ISNUMBER(A805),
IF(COUNTIFS(Equipar!B:B,5,Equipar!AC:AC,A805),"Equipada",
IF(
 OR( COUNTIFS(Equipar!B:B,5,Equipar!C:C,A805)
 +COUNTIFS(Equipar!B:B,5,Equipar!D:D,A805)
+COUNTIFS(Equipar!B:B,5,Equipar!E:E,A805)
+COUNTIFS(Equipar!B:B,5,Equipar!F:F,A805)
&gt;0,COUNTIF('Set recomendado'!B:B,C805)=0),
"Bloqueada",
"Desechable")),""
)</f>
        <v/>
      </c>
      <c r="J805" t="str" cm="1">
        <f t="array" aca="1" ref="J805" ca="1">IF(ISNUMBER(A805),IFERROR(_xlfn._xlws.FILTER(Equipar!A:A,(Equipar!B:B=5)*(Equipar!AC:AC=A805)),""),"")</f>
        <v/>
      </c>
    </row>
    <row r="806" spans="1:10" x14ac:dyDescent="0.25">
      <c r="A806" s="1" t="str">
        <f ca="1">IF(A805="ID",1,IF(ISBLANK(B806),"",MAX(A$2:A805)+1))</f>
        <v/>
      </c>
      <c r="I806" s="2" t="str">
        <f ca="1">IF(ISNUMBER(A806),
IF(COUNTIFS(Equipar!B:B,5,Equipar!AC:AC,A806),"Equipada",
IF(
 OR( COUNTIFS(Equipar!B:B,5,Equipar!C:C,A806)
 +COUNTIFS(Equipar!B:B,5,Equipar!D:D,A806)
+COUNTIFS(Equipar!B:B,5,Equipar!E:E,A806)
+COUNTIFS(Equipar!B:B,5,Equipar!F:F,A806)
&gt;0,COUNTIF('Set recomendado'!B:B,C806)=0),
"Bloqueada",
"Desechable")),""
)</f>
        <v/>
      </c>
      <c r="J806" t="str" cm="1">
        <f t="array" aca="1" ref="J806" ca="1">IF(ISNUMBER(A806),IFERROR(_xlfn._xlws.FILTER(Equipar!A:A,(Equipar!B:B=5)*(Equipar!AC:AC=A806)),""),"")</f>
        <v/>
      </c>
    </row>
    <row r="807" spans="1:10" x14ac:dyDescent="0.25">
      <c r="A807" s="1" t="str">
        <f ca="1">IF(A806="ID",1,IF(ISBLANK(B807),"",MAX(A$2:A806)+1))</f>
        <v/>
      </c>
      <c r="I807" s="2" t="str">
        <f ca="1">IF(ISNUMBER(A807),
IF(COUNTIFS(Equipar!B:B,5,Equipar!AC:AC,A807),"Equipada",
IF(
 OR( COUNTIFS(Equipar!B:B,5,Equipar!C:C,A807)
 +COUNTIFS(Equipar!B:B,5,Equipar!D:D,A807)
+COUNTIFS(Equipar!B:B,5,Equipar!E:E,A807)
+COUNTIFS(Equipar!B:B,5,Equipar!F:F,A807)
&gt;0,COUNTIF('Set recomendado'!B:B,C807)=0),
"Bloqueada",
"Desechable")),""
)</f>
        <v/>
      </c>
      <c r="J807" t="str" cm="1">
        <f t="array" aca="1" ref="J807" ca="1">IF(ISNUMBER(A807),IFERROR(_xlfn._xlws.FILTER(Equipar!A:A,(Equipar!B:B=5)*(Equipar!AC:AC=A807)),""),"")</f>
        <v/>
      </c>
    </row>
    <row r="808" spans="1:10" x14ac:dyDescent="0.25">
      <c r="A808" s="1" t="str">
        <f ca="1">IF(A807="ID",1,IF(ISBLANK(B808),"",MAX(A$2:A807)+1))</f>
        <v/>
      </c>
      <c r="I808" s="2" t="str">
        <f ca="1">IF(ISNUMBER(A808),
IF(COUNTIFS(Equipar!B:B,5,Equipar!AC:AC,A808),"Equipada",
IF(
 OR( COUNTIFS(Equipar!B:B,5,Equipar!C:C,A808)
 +COUNTIFS(Equipar!B:B,5,Equipar!D:D,A808)
+COUNTIFS(Equipar!B:B,5,Equipar!E:E,A808)
+COUNTIFS(Equipar!B:B,5,Equipar!F:F,A808)
&gt;0,COUNTIF('Set recomendado'!B:B,C808)=0),
"Bloqueada",
"Desechable")),""
)</f>
        <v/>
      </c>
      <c r="J808" t="str" cm="1">
        <f t="array" aca="1" ref="J808" ca="1">IF(ISNUMBER(A808),IFERROR(_xlfn._xlws.FILTER(Equipar!A:A,(Equipar!B:B=5)*(Equipar!AC:AC=A808)),""),"")</f>
        <v/>
      </c>
    </row>
    <row r="809" spans="1:10" x14ac:dyDescent="0.25">
      <c r="A809" s="1" t="str">
        <f ca="1">IF(A808="ID",1,IF(ISBLANK(B809),"",MAX(A$2:A808)+1))</f>
        <v/>
      </c>
      <c r="I809" s="2" t="str">
        <f ca="1">IF(ISNUMBER(A809),
IF(COUNTIFS(Equipar!B:B,5,Equipar!AC:AC,A809),"Equipada",
IF(
 OR( COUNTIFS(Equipar!B:B,5,Equipar!C:C,A809)
 +COUNTIFS(Equipar!B:B,5,Equipar!D:D,A809)
+COUNTIFS(Equipar!B:B,5,Equipar!E:E,A809)
+COUNTIFS(Equipar!B:B,5,Equipar!F:F,A809)
&gt;0,COUNTIF('Set recomendado'!B:B,C809)=0),
"Bloqueada",
"Desechable")),""
)</f>
        <v/>
      </c>
      <c r="J809" t="str" cm="1">
        <f t="array" aca="1" ref="J809" ca="1">IF(ISNUMBER(A809),IFERROR(_xlfn._xlws.FILTER(Equipar!A:A,(Equipar!B:B=5)*(Equipar!AC:AC=A809)),""),"")</f>
        <v/>
      </c>
    </row>
    <row r="810" spans="1:10" x14ac:dyDescent="0.25">
      <c r="A810" s="1" t="str">
        <f ca="1">IF(A809="ID",1,IF(ISBLANK(B810),"",MAX(A$2:A809)+1))</f>
        <v/>
      </c>
      <c r="I810" s="2" t="str">
        <f ca="1">IF(ISNUMBER(A810),
IF(COUNTIFS(Equipar!B:B,5,Equipar!AC:AC,A810),"Equipada",
IF(
 OR( COUNTIFS(Equipar!B:B,5,Equipar!C:C,A810)
 +COUNTIFS(Equipar!B:B,5,Equipar!D:D,A810)
+COUNTIFS(Equipar!B:B,5,Equipar!E:E,A810)
+COUNTIFS(Equipar!B:B,5,Equipar!F:F,A810)
&gt;0,COUNTIF('Set recomendado'!B:B,C810)=0),
"Bloqueada",
"Desechable")),""
)</f>
        <v/>
      </c>
      <c r="J810" t="str" cm="1">
        <f t="array" aca="1" ref="J810" ca="1">IF(ISNUMBER(A810),IFERROR(_xlfn._xlws.FILTER(Equipar!A:A,(Equipar!B:B=5)*(Equipar!AC:AC=A810)),""),"")</f>
        <v/>
      </c>
    </row>
    <row r="811" spans="1:10" x14ac:dyDescent="0.25">
      <c r="A811" s="1" t="str">
        <f ca="1">IF(A810="ID",1,IF(ISBLANK(B811),"",MAX(A$2:A810)+1))</f>
        <v/>
      </c>
      <c r="I811" s="2" t="str">
        <f ca="1">IF(ISNUMBER(A811),
IF(COUNTIFS(Equipar!B:B,5,Equipar!AC:AC,A811),"Equipada",
IF(
 OR( COUNTIFS(Equipar!B:B,5,Equipar!C:C,A811)
 +COUNTIFS(Equipar!B:B,5,Equipar!D:D,A811)
+COUNTIFS(Equipar!B:B,5,Equipar!E:E,A811)
+COUNTIFS(Equipar!B:B,5,Equipar!F:F,A811)
&gt;0,COUNTIF('Set recomendado'!B:B,C811)=0),
"Bloqueada",
"Desechable")),""
)</f>
        <v/>
      </c>
      <c r="J811" t="str" cm="1">
        <f t="array" aca="1" ref="J811" ca="1">IF(ISNUMBER(A811),IFERROR(_xlfn._xlws.FILTER(Equipar!A:A,(Equipar!B:B=5)*(Equipar!AC:AC=A811)),""),"")</f>
        <v/>
      </c>
    </row>
    <row r="812" spans="1:10" x14ac:dyDescent="0.25">
      <c r="A812" s="1" t="str">
        <f ca="1">IF(A811="ID",1,IF(ISBLANK(B812),"",MAX(A$2:A811)+1))</f>
        <v/>
      </c>
      <c r="I812" s="2" t="str">
        <f ca="1">IF(ISNUMBER(A812),
IF(COUNTIFS(Equipar!B:B,5,Equipar!AC:AC,A812),"Equipada",
IF(
 OR( COUNTIFS(Equipar!B:B,5,Equipar!C:C,A812)
 +COUNTIFS(Equipar!B:B,5,Equipar!D:D,A812)
+COUNTIFS(Equipar!B:B,5,Equipar!E:E,A812)
+COUNTIFS(Equipar!B:B,5,Equipar!F:F,A812)
&gt;0,COUNTIF('Set recomendado'!B:B,C812)=0),
"Bloqueada",
"Desechable")),""
)</f>
        <v/>
      </c>
      <c r="J812" t="str" cm="1">
        <f t="array" aca="1" ref="J812" ca="1">IF(ISNUMBER(A812),IFERROR(_xlfn._xlws.FILTER(Equipar!A:A,(Equipar!B:B=5)*(Equipar!AC:AC=A812)),""),"")</f>
        <v/>
      </c>
    </row>
    <row r="813" spans="1:10" x14ac:dyDescent="0.25">
      <c r="A813" s="1" t="str">
        <f ca="1">IF(A812="ID",1,IF(ISBLANK(B813),"",MAX(A$2:A812)+1))</f>
        <v/>
      </c>
      <c r="I813" s="2" t="str">
        <f ca="1">IF(ISNUMBER(A813),
IF(COUNTIFS(Equipar!B:B,5,Equipar!AC:AC,A813),"Equipada",
IF(
 OR( COUNTIFS(Equipar!B:B,5,Equipar!C:C,A813)
 +COUNTIFS(Equipar!B:B,5,Equipar!D:D,A813)
+COUNTIFS(Equipar!B:B,5,Equipar!E:E,A813)
+COUNTIFS(Equipar!B:B,5,Equipar!F:F,A813)
&gt;0,COUNTIF('Set recomendado'!B:B,C813)=0),
"Bloqueada",
"Desechable")),""
)</f>
        <v/>
      </c>
      <c r="J813" t="str" cm="1">
        <f t="array" aca="1" ref="J813" ca="1">IF(ISNUMBER(A813),IFERROR(_xlfn._xlws.FILTER(Equipar!A:A,(Equipar!B:B=5)*(Equipar!AC:AC=A813)),""),"")</f>
        <v/>
      </c>
    </row>
    <row r="814" spans="1:10" x14ac:dyDescent="0.25">
      <c r="A814" s="1" t="str">
        <f ca="1">IF(A813="ID",1,IF(ISBLANK(B814),"",MAX(A$2:A813)+1))</f>
        <v/>
      </c>
      <c r="I814" s="2" t="str">
        <f ca="1">IF(ISNUMBER(A814),
IF(COUNTIFS(Equipar!B:B,5,Equipar!AC:AC,A814),"Equipada",
IF(
 OR( COUNTIFS(Equipar!B:B,5,Equipar!C:C,A814)
 +COUNTIFS(Equipar!B:B,5,Equipar!D:D,A814)
+COUNTIFS(Equipar!B:B,5,Equipar!E:E,A814)
+COUNTIFS(Equipar!B:B,5,Equipar!F:F,A814)
&gt;0,COUNTIF('Set recomendado'!B:B,C814)=0),
"Bloqueada",
"Desechable")),""
)</f>
        <v/>
      </c>
      <c r="J814" t="str" cm="1">
        <f t="array" aca="1" ref="J814" ca="1">IF(ISNUMBER(A814),IFERROR(_xlfn._xlws.FILTER(Equipar!A:A,(Equipar!B:B=5)*(Equipar!AC:AC=A814)),""),"")</f>
        <v/>
      </c>
    </row>
    <row r="815" spans="1:10" x14ac:dyDescent="0.25">
      <c r="A815" s="1" t="str">
        <f ca="1">IF(A814="ID",1,IF(ISBLANK(B815),"",MAX(A$2:A814)+1))</f>
        <v/>
      </c>
      <c r="I815" s="2" t="str">
        <f ca="1">IF(ISNUMBER(A815),
IF(COUNTIFS(Equipar!B:B,5,Equipar!AC:AC,A815),"Equipada",
IF(
 OR( COUNTIFS(Equipar!B:B,5,Equipar!C:C,A815)
 +COUNTIFS(Equipar!B:B,5,Equipar!D:D,A815)
+COUNTIFS(Equipar!B:B,5,Equipar!E:E,A815)
+COUNTIFS(Equipar!B:B,5,Equipar!F:F,A815)
&gt;0,COUNTIF('Set recomendado'!B:B,C815)=0),
"Bloqueada",
"Desechable")),""
)</f>
        <v/>
      </c>
      <c r="J815" t="str" cm="1">
        <f t="array" aca="1" ref="J815" ca="1">IF(ISNUMBER(A815),IFERROR(_xlfn._xlws.FILTER(Equipar!A:A,(Equipar!B:B=5)*(Equipar!AC:AC=A815)),""),"")</f>
        <v/>
      </c>
    </row>
    <row r="816" spans="1:10" x14ac:dyDescent="0.25">
      <c r="A816" s="1" t="str">
        <f ca="1">IF(A815="ID",1,IF(ISBLANK(B816),"",MAX(A$2:A815)+1))</f>
        <v/>
      </c>
      <c r="I816" s="2" t="str">
        <f ca="1">IF(ISNUMBER(A816),
IF(COUNTIFS(Equipar!B:B,5,Equipar!AC:AC,A816),"Equipada",
IF(
 OR( COUNTIFS(Equipar!B:B,5,Equipar!C:C,A816)
 +COUNTIFS(Equipar!B:B,5,Equipar!D:D,A816)
+COUNTIFS(Equipar!B:B,5,Equipar!E:E,A816)
+COUNTIFS(Equipar!B:B,5,Equipar!F:F,A816)
&gt;0,COUNTIF('Set recomendado'!B:B,C816)=0),
"Bloqueada",
"Desechable")),""
)</f>
        <v/>
      </c>
      <c r="J816" t="str" cm="1">
        <f t="array" aca="1" ref="J816" ca="1">IF(ISNUMBER(A816),IFERROR(_xlfn._xlws.FILTER(Equipar!A:A,(Equipar!B:B=5)*(Equipar!AC:AC=A816)),""),"")</f>
        <v/>
      </c>
    </row>
    <row r="817" spans="1:10" x14ac:dyDescent="0.25">
      <c r="A817" s="1" t="str">
        <f ca="1">IF(A816="ID",1,IF(ISBLANK(B817),"",MAX(A$2:A816)+1))</f>
        <v/>
      </c>
      <c r="I817" s="2" t="str">
        <f ca="1">IF(ISNUMBER(A817),
IF(COUNTIFS(Equipar!B:B,5,Equipar!AC:AC,A817),"Equipada",
IF(
 OR( COUNTIFS(Equipar!B:B,5,Equipar!C:C,A817)
 +COUNTIFS(Equipar!B:B,5,Equipar!D:D,A817)
+COUNTIFS(Equipar!B:B,5,Equipar!E:E,A817)
+COUNTIFS(Equipar!B:B,5,Equipar!F:F,A817)
&gt;0,COUNTIF('Set recomendado'!B:B,C817)=0),
"Bloqueada",
"Desechable")),""
)</f>
        <v/>
      </c>
      <c r="J817" t="str" cm="1">
        <f t="array" aca="1" ref="J817" ca="1">IF(ISNUMBER(A817),IFERROR(_xlfn._xlws.FILTER(Equipar!A:A,(Equipar!B:B=5)*(Equipar!AC:AC=A817)),""),"")</f>
        <v/>
      </c>
    </row>
    <row r="818" spans="1:10" x14ac:dyDescent="0.25">
      <c r="A818" s="1" t="str">
        <f ca="1">IF(A817="ID",1,IF(ISBLANK(B818),"",MAX(A$2:A817)+1))</f>
        <v/>
      </c>
      <c r="I818" s="2" t="str">
        <f ca="1">IF(ISNUMBER(A818),
IF(COUNTIFS(Equipar!B:B,5,Equipar!AC:AC,A818),"Equipada",
IF(
 OR( COUNTIFS(Equipar!B:B,5,Equipar!C:C,A818)
 +COUNTIFS(Equipar!B:B,5,Equipar!D:D,A818)
+COUNTIFS(Equipar!B:B,5,Equipar!E:E,A818)
+COUNTIFS(Equipar!B:B,5,Equipar!F:F,A818)
&gt;0,COUNTIF('Set recomendado'!B:B,C818)=0),
"Bloqueada",
"Desechable")),""
)</f>
        <v/>
      </c>
      <c r="J818" t="str" cm="1">
        <f t="array" aca="1" ref="J818" ca="1">IF(ISNUMBER(A818),IFERROR(_xlfn._xlws.FILTER(Equipar!A:A,(Equipar!B:B=5)*(Equipar!AC:AC=A818)),""),"")</f>
        <v/>
      </c>
    </row>
    <row r="819" spans="1:10" x14ac:dyDescent="0.25">
      <c r="A819" s="1" t="str">
        <f ca="1">IF(A818="ID",1,IF(ISBLANK(B819),"",MAX(A$2:A818)+1))</f>
        <v/>
      </c>
      <c r="I819" s="2" t="str">
        <f ca="1">IF(ISNUMBER(A819),
IF(COUNTIFS(Equipar!B:B,5,Equipar!AC:AC,A819),"Equipada",
IF(
 OR( COUNTIFS(Equipar!B:B,5,Equipar!C:C,A819)
 +COUNTIFS(Equipar!B:B,5,Equipar!D:D,A819)
+COUNTIFS(Equipar!B:B,5,Equipar!E:E,A819)
+COUNTIFS(Equipar!B:B,5,Equipar!F:F,A819)
&gt;0,COUNTIF('Set recomendado'!B:B,C819)=0),
"Bloqueada",
"Desechable")),""
)</f>
        <v/>
      </c>
      <c r="J819" t="str" cm="1">
        <f t="array" aca="1" ref="J819" ca="1">IF(ISNUMBER(A819),IFERROR(_xlfn._xlws.FILTER(Equipar!A:A,(Equipar!B:B=5)*(Equipar!AC:AC=A819)),""),"")</f>
        <v/>
      </c>
    </row>
    <row r="820" spans="1:10" x14ac:dyDescent="0.25">
      <c r="A820" s="1" t="str">
        <f ca="1">IF(A819="ID",1,IF(ISBLANK(B820),"",MAX(A$2:A819)+1))</f>
        <v/>
      </c>
      <c r="I820" s="2" t="str">
        <f ca="1">IF(ISNUMBER(A820),
IF(COUNTIFS(Equipar!B:B,5,Equipar!AC:AC,A820),"Equipada",
IF(
 OR( COUNTIFS(Equipar!B:B,5,Equipar!C:C,A820)
 +COUNTIFS(Equipar!B:B,5,Equipar!D:D,A820)
+COUNTIFS(Equipar!B:B,5,Equipar!E:E,A820)
+COUNTIFS(Equipar!B:B,5,Equipar!F:F,A820)
&gt;0,COUNTIF('Set recomendado'!B:B,C820)=0),
"Bloqueada",
"Desechable")),""
)</f>
        <v/>
      </c>
      <c r="J820" t="str" cm="1">
        <f t="array" aca="1" ref="J820" ca="1">IF(ISNUMBER(A820),IFERROR(_xlfn._xlws.FILTER(Equipar!A:A,(Equipar!B:B=5)*(Equipar!AC:AC=A820)),""),"")</f>
        <v/>
      </c>
    </row>
    <row r="821" spans="1:10" x14ac:dyDescent="0.25">
      <c r="A821" s="1" t="str">
        <f ca="1">IF(A820="ID",1,IF(ISBLANK(B821),"",MAX(A$2:A820)+1))</f>
        <v/>
      </c>
      <c r="I821" s="2" t="str">
        <f ca="1">IF(ISNUMBER(A821),
IF(COUNTIFS(Equipar!B:B,5,Equipar!AC:AC,A821),"Equipada",
IF(
 OR( COUNTIFS(Equipar!B:B,5,Equipar!C:C,A821)
 +COUNTIFS(Equipar!B:B,5,Equipar!D:D,A821)
+COUNTIFS(Equipar!B:B,5,Equipar!E:E,A821)
+COUNTIFS(Equipar!B:B,5,Equipar!F:F,A821)
&gt;0,COUNTIF('Set recomendado'!B:B,C821)=0),
"Bloqueada",
"Desechable")),""
)</f>
        <v/>
      </c>
      <c r="J821" t="str" cm="1">
        <f t="array" aca="1" ref="J821" ca="1">IF(ISNUMBER(A821),IFERROR(_xlfn._xlws.FILTER(Equipar!A:A,(Equipar!B:B=5)*(Equipar!AC:AC=A821)),""),"")</f>
        <v/>
      </c>
    </row>
    <row r="822" spans="1:10" x14ac:dyDescent="0.25">
      <c r="A822" s="1" t="str">
        <f ca="1">IF(A821="ID",1,IF(ISBLANK(B822),"",MAX(A$2:A821)+1))</f>
        <v/>
      </c>
      <c r="I822" s="2" t="str">
        <f ca="1">IF(ISNUMBER(A822),
IF(COUNTIFS(Equipar!B:B,5,Equipar!AC:AC,A822),"Equipada",
IF(
 OR( COUNTIFS(Equipar!B:B,5,Equipar!C:C,A822)
 +COUNTIFS(Equipar!B:B,5,Equipar!D:D,A822)
+COUNTIFS(Equipar!B:B,5,Equipar!E:E,A822)
+COUNTIFS(Equipar!B:B,5,Equipar!F:F,A822)
&gt;0,COUNTIF('Set recomendado'!B:B,C822)=0),
"Bloqueada",
"Desechable")),""
)</f>
        <v/>
      </c>
      <c r="J822" t="str" cm="1">
        <f t="array" aca="1" ref="J822" ca="1">IF(ISNUMBER(A822),IFERROR(_xlfn._xlws.FILTER(Equipar!A:A,(Equipar!B:B=5)*(Equipar!AC:AC=A822)),""),"")</f>
        <v/>
      </c>
    </row>
    <row r="823" spans="1:10" x14ac:dyDescent="0.25">
      <c r="A823" s="1" t="str">
        <f ca="1">IF(A822="ID",1,IF(ISBLANK(B823),"",MAX(A$2:A822)+1))</f>
        <v/>
      </c>
      <c r="I823" s="2" t="str">
        <f ca="1">IF(ISNUMBER(A823),
IF(COUNTIFS(Equipar!B:B,5,Equipar!AC:AC,A823),"Equipada",
IF(
 OR( COUNTIFS(Equipar!B:B,5,Equipar!C:C,A823)
 +COUNTIFS(Equipar!B:B,5,Equipar!D:D,A823)
+COUNTIFS(Equipar!B:B,5,Equipar!E:E,A823)
+COUNTIFS(Equipar!B:B,5,Equipar!F:F,A823)
&gt;0,COUNTIF('Set recomendado'!B:B,C823)=0),
"Bloqueada",
"Desechable")),""
)</f>
        <v/>
      </c>
      <c r="J823" t="str" cm="1">
        <f t="array" aca="1" ref="J823" ca="1">IF(ISNUMBER(A823),IFERROR(_xlfn._xlws.FILTER(Equipar!A:A,(Equipar!B:B=5)*(Equipar!AC:AC=A823)),""),"")</f>
        <v/>
      </c>
    </row>
    <row r="824" spans="1:10" x14ac:dyDescent="0.25">
      <c r="A824" s="1" t="str">
        <f ca="1">IF(A823="ID",1,IF(ISBLANK(B824),"",MAX(A$2:A823)+1))</f>
        <v/>
      </c>
      <c r="I824" s="2" t="str">
        <f ca="1">IF(ISNUMBER(A824),
IF(COUNTIFS(Equipar!B:B,5,Equipar!AC:AC,A824),"Equipada",
IF(
 OR( COUNTIFS(Equipar!B:B,5,Equipar!C:C,A824)
 +COUNTIFS(Equipar!B:B,5,Equipar!D:D,A824)
+COUNTIFS(Equipar!B:B,5,Equipar!E:E,A824)
+COUNTIFS(Equipar!B:B,5,Equipar!F:F,A824)
&gt;0,COUNTIF('Set recomendado'!B:B,C824)=0),
"Bloqueada",
"Desechable")),""
)</f>
        <v/>
      </c>
      <c r="J824" t="str" cm="1">
        <f t="array" aca="1" ref="J824" ca="1">IF(ISNUMBER(A824),IFERROR(_xlfn._xlws.FILTER(Equipar!A:A,(Equipar!B:B=5)*(Equipar!AC:AC=A824)),""),"")</f>
        <v/>
      </c>
    </row>
    <row r="825" spans="1:10" x14ac:dyDescent="0.25">
      <c r="A825" s="1" t="str">
        <f ca="1">IF(A824="ID",1,IF(ISBLANK(B825),"",MAX(A$2:A824)+1))</f>
        <v/>
      </c>
      <c r="I825" s="2" t="str">
        <f ca="1">IF(ISNUMBER(A825),
IF(COUNTIFS(Equipar!B:B,5,Equipar!AC:AC,A825),"Equipada",
IF(
 OR( COUNTIFS(Equipar!B:B,5,Equipar!C:C,A825)
 +COUNTIFS(Equipar!B:B,5,Equipar!D:D,A825)
+COUNTIFS(Equipar!B:B,5,Equipar!E:E,A825)
+COUNTIFS(Equipar!B:B,5,Equipar!F:F,A825)
&gt;0,COUNTIF('Set recomendado'!B:B,C825)=0),
"Bloqueada",
"Desechable")),""
)</f>
        <v/>
      </c>
      <c r="J825" t="str" cm="1">
        <f t="array" aca="1" ref="J825" ca="1">IF(ISNUMBER(A825),IFERROR(_xlfn._xlws.FILTER(Equipar!A:A,(Equipar!B:B=5)*(Equipar!AC:AC=A825)),""),"")</f>
        <v/>
      </c>
    </row>
    <row r="826" spans="1:10" x14ac:dyDescent="0.25">
      <c r="A826" s="1" t="str">
        <f ca="1">IF(A825="ID",1,IF(ISBLANK(B826),"",MAX(A$2:A825)+1))</f>
        <v/>
      </c>
      <c r="I826" s="2" t="str">
        <f ca="1">IF(ISNUMBER(A826),
IF(COUNTIFS(Equipar!B:B,5,Equipar!AC:AC,A826),"Equipada",
IF(
 OR( COUNTIFS(Equipar!B:B,5,Equipar!C:C,A826)
 +COUNTIFS(Equipar!B:B,5,Equipar!D:D,A826)
+COUNTIFS(Equipar!B:B,5,Equipar!E:E,A826)
+COUNTIFS(Equipar!B:B,5,Equipar!F:F,A826)
&gt;0,COUNTIF('Set recomendado'!B:B,C826)=0),
"Bloqueada",
"Desechable")),""
)</f>
        <v/>
      </c>
      <c r="J826" t="str" cm="1">
        <f t="array" aca="1" ref="J826" ca="1">IF(ISNUMBER(A826),IFERROR(_xlfn._xlws.FILTER(Equipar!A:A,(Equipar!B:B=5)*(Equipar!AC:AC=A826)),""),"")</f>
        <v/>
      </c>
    </row>
    <row r="827" spans="1:10" x14ac:dyDescent="0.25">
      <c r="A827" s="1" t="str">
        <f ca="1">IF(A826="ID",1,IF(ISBLANK(B827),"",MAX(A$2:A826)+1))</f>
        <v/>
      </c>
      <c r="I827" s="2" t="str">
        <f ca="1">IF(ISNUMBER(A827),
IF(COUNTIFS(Equipar!B:B,5,Equipar!AC:AC,A827),"Equipada",
IF(
 OR( COUNTIFS(Equipar!B:B,5,Equipar!C:C,A827)
 +COUNTIFS(Equipar!B:B,5,Equipar!D:D,A827)
+COUNTIFS(Equipar!B:B,5,Equipar!E:E,A827)
+COUNTIFS(Equipar!B:B,5,Equipar!F:F,A827)
&gt;0,COUNTIF('Set recomendado'!B:B,C827)=0),
"Bloqueada",
"Desechable")),""
)</f>
        <v/>
      </c>
      <c r="J827" t="str" cm="1">
        <f t="array" aca="1" ref="J827" ca="1">IF(ISNUMBER(A827),IFERROR(_xlfn._xlws.FILTER(Equipar!A:A,(Equipar!B:B=5)*(Equipar!AC:AC=A827)),""),"")</f>
        <v/>
      </c>
    </row>
    <row r="828" spans="1:10" x14ac:dyDescent="0.25">
      <c r="A828" s="1" t="str">
        <f ca="1">IF(A827="ID",1,IF(ISBLANK(B828),"",MAX(A$2:A827)+1))</f>
        <v/>
      </c>
      <c r="I828" s="2" t="str">
        <f ca="1">IF(ISNUMBER(A828),
IF(COUNTIFS(Equipar!B:B,5,Equipar!AC:AC,A828),"Equipada",
IF(
 OR( COUNTIFS(Equipar!B:B,5,Equipar!C:C,A828)
 +COUNTIFS(Equipar!B:B,5,Equipar!D:D,A828)
+COUNTIFS(Equipar!B:B,5,Equipar!E:E,A828)
+COUNTIFS(Equipar!B:B,5,Equipar!F:F,A828)
&gt;0,COUNTIF('Set recomendado'!B:B,C828)=0),
"Bloqueada",
"Desechable")),""
)</f>
        <v/>
      </c>
      <c r="J828" t="str" cm="1">
        <f t="array" aca="1" ref="J828" ca="1">IF(ISNUMBER(A828),IFERROR(_xlfn._xlws.FILTER(Equipar!A:A,(Equipar!B:B=5)*(Equipar!AC:AC=A828)),""),"")</f>
        <v/>
      </c>
    </row>
    <row r="829" spans="1:10" x14ac:dyDescent="0.25">
      <c r="A829" s="1" t="str">
        <f ca="1">IF(A828="ID",1,IF(ISBLANK(B829),"",MAX(A$2:A828)+1))</f>
        <v/>
      </c>
      <c r="I829" s="2" t="str">
        <f ca="1">IF(ISNUMBER(A829),
IF(COUNTIFS(Equipar!B:B,5,Equipar!AC:AC,A829),"Equipada",
IF(
 OR( COUNTIFS(Equipar!B:B,5,Equipar!C:C,A829)
 +COUNTIFS(Equipar!B:B,5,Equipar!D:D,A829)
+COUNTIFS(Equipar!B:B,5,Equipar!E:E,A829)
+COUNTIFS(Equipar!B:B,5,Equipar!F:F,A829)
&gt;0,COUNTIF('Set recomendado'!B:B,C829)=0),
"Bloqueada",
"Desechable")),""
)</f>
        <v/>
      </c>
      <c r="J829" t="str" cm="1">
        <f t="array" aca="1" ref="J829" ca="1">IF(ISNUMBER(A829),IFERROR(_xlfn._xlws.FILTER(Equipar!A:A,(Equipar!B:B=5)*(Equipar!AC:AC=A829)),""),"")</f>
        <v/>
      </c>
    </row>
    <row r="830" spans="1:10" x14ac:dyDescent="0.25">
      <c r="A830" s="1" t="str">
        <f ca="1">IF(A829="ID",1,IF(ISBLANK(B830),"",MAX(A$2:A829)+1))</f>
        <v/>
      </c>
      <c r="I830" s="2" t="str">
        <f ca="1">IF(ISNUMBER(A830),
IF(COUNTIFS(Equipar!B:B,5,Equipar!AC:AC,A830),"Equipada",
IF(
 OR( COUNTIFS(Equipar!B:B,5,Equipar!C:C,A830)
 +COUNTIFS(Equipar!B:B,5,Equipar!D:D,A830)
+COUNTIFS(Equipar!B:B,5,Equipar!E:E,A830)
+COUNTIFS(Equipar!B:B,5,Equipar!F:F,A830)
&gt;0,COUNTIF('Set recomendado'!B:B,C830)=0),
"Bloqueada",
"Desechable")),""
)</f>
        <v/>
      </c>
      <c r="J830" t="str" cm="1">
        <f t="array" aca="1" ref="J830" ca="1">IF(ISNUMBER(A830),IFERROR(_xlfn._xlws.FILTER(Equipar!A:A,(Equipar!B:B=5)*(Equipar!AC:AC=A830)),""),"")</f>
        <v/>
      </c>
    </row>
    <row r="831" spans="1:10" x14ac:dyDescent="0.25">
      <c r="A831" s="1" t="str">
        <f ca="1">IF(A830="ID",1,IF(ISBLANK(B831),"",MAX(A$2:A830)+1))</f>
        <v/>
      </c>
      <c r="I831" s="2" t="str">
        <f ca="1">IF(ISNUMBER(A831),
IF(COUNTIFS(Equipar!B:B,5,Equipar!AC:AC,A831),"Equipada",
IF(
 OR( COUNTIFS(Equipar!B:B,5,Equipar!C:C,A831)
 +COUNTIFS(Equipar!B:B,5,Equipar!D:D,A831)
+COUNTIFS(Equipar!B:B,5,Equipar!E:E,A831)
+COUNTIFS(Equipar!B:B,5,Equipar!F:F,A831)
&gt;0,COUNTIF('Set recomendado'!B:B,C831)=0),
"Bloqueada",
"Desechable")),""
)</f>
        <v/>
      </c>
      <c r="J831" t="str" cm="1">
        <f t="array" aca="1" ref="J831" ca="1">IF(ISNUMBER(A831),IFERROR(_xlfn._xlws.FILTER(Equipar!A:A,(Equipar!B:B=5)*(Equipar!AC:AC=A831)),""),"")</f>
        <v/>
      </c>
    </row>
    <row r="832" spans="1:10" x14ac:dyDescent="0.25">
      <c r="A832" s="1" t="str">
        <f ca="1">IF(A831="ID",1,IF(ISBLANK(B832),"",MAX(A$2:A831)+1))</f>
        <v/>
      </c>
      <c r="I832" s="2" t="str">
        <f ca="1">IF(ISNUMBER(A832),
IF(COUNTIFS(Equipar!B:B,5,Equipar!AC:AC,A832),"Equipada",
IF(
 OR( COUNTIFS(Equipar!B:B,5,Equipar!C:C,A832)
 +COUNTIFS(Equipar!B:B,5,Equipar!D:D,A832)
+COUNTIFS(Equipar!B:B,5,Equipar!E:E,A832)
+COUNTIFS(Equipar!B:B,5,Equipar!F:F,A832)
&gt;0,COUNTIF('Set recomendado'!B:B,C832)=0),
"Bloqueada",
"Desechable")),""
)</f>
        <v/>
      </c>
      <c r="J832" t="str" cm="1">
        <f t="array" aca="1" ref="J832" ca="1">IF(ISNUMBER(A832),IFERROR(_xlfn._xlws.FILTER(Equipar!A:A,(Equipar!B:B=5)*(Equipar!AC:AC=A832)),""),"")</f>
        <v/>
      </c>
    </row>
    <row r="833" spans="1:10" x14ac:dyDescent="0.25">
      <c r="A833" s="1" t="str">
        <f ca="1">IF(A832="ID",1,IF(ISBLANK(B833),"",MAX(A$2:A832)+1))</f>
        <v/>
      </c>
      <c r="I833" s="2" t="str">
        <f ca="1">IF(ISNUMBER(A833),
IF(COUNTIFS(Equipar!B:B,5,Equipar!AC:AC,A833),"Equipada",
IF(
 OR( COUNTIFS(Equipar!B:B,5,Equipar!C:C,A833)
 +COUNTIFS(Equipar!B:B,5,Equipar!D:D,A833)
+COUNTIFS(Equipar!B:B,5,Equipar!E:E,A833)
+COUNTIFS(Equipar!B:B,5,Equipar!F:F,A833)
&gt;0,COUNTIF('Set recomendado'!B:B,C833)=0),
"Bloqueada",
"Desechable")),""
)</f>
        <v/>
      </c>
      <c r="J833" t="str" cm="1">
        <f t="array" aca="1" ref="J833" ca="1">IF(ISNUMBER(A833),IFERROR(_xlfn._xlws.FILTER(Equipar!A:A,(Equipar!B:B=5)*(Equipar!AC:AC=A833)),""),"")</f>
        <v/>
      </c>
    </row>
    <row r="834" spans="1:10" x14ac:dyDescent="0.25">
      <c r="A834" s="1" t="str">
        <f ca="1">IF(A833="ID",1,IF(ISBLANK(B834),"",MAX(A$2:A833)+1))</f>
        <v/>
      </c>
      <c r="I834" s="2" t="str">
        <f ca="1">IF(ISNUMBER(A834),
IF(COUNTIFS(Equipar!B:B,5,Equipar!AC:AC,A834),"Equipada",
IF(
 OR( COUNTIFS(Equipar!B:B,5,Equipar!C:C,A834)
 +COUNTIFS(Equipar!B:B,5,Equipar!D:D,A834)
+COUNTIFS(Equipar!B:B,5,Equipar!E:E,A834)
+COUNTIFS(Equipar!B:B,5,Equipar!F:F,A834)
&gt;0,COUNTIF('Set recomendado'!B:B,C834)=0),
"Bloqueada",
"Desechable")),""
)</f>
        <v/>
      </c>
      <c r="J834" t="str" cm="1">
        <f t="array" aca="1" ref="J834" ca="1">IF(ISNUMBER(A834),IFERROR(_xlfn._xlws.FILTER(Equipar!A:A,(Equipar!B:B=5)*(Equipar!AC:AC=A834)),""),"")</f>
        <v/>
      </c>
    </row>
    <row r="835" spans="1:10" x14ac:dyDescent="0.25">
      <c r="A835" s="1" t="str">
        <f ca="1">IF(A834="ID",1,IF(ISBLANK(B835),"",MAX(A$2:A834)+1))</f>
        <v/>
      </c>
      <c r="I835" s="2" t="str">
        <f ca="1">IF(ISNUMBER(A835),
IF(COUNTIFS(Equipar!B:B,5,Equipar!AC:AC,A835),"Equipada",
IF(
 OR( COUNTIFS(Equipar!B:B,5,Equipar!C:C,A835)
 +COUNTIFS(Equipar!B:B,5,Equipar!D:D,A835)
+COUNTIFS(Equipar!B:B,5,Equipar!E:E,A835)
+COUNTIFS(Equipar!B:B,5,Equipar!F:F,A835)
&gt;0,COUNTIF('Set recomendado'!B:B,C835)=0),
"Bloqueada",
"Desechable")),""
)</f>
        <v/>
      </c>
      <c r="J835" t="str" cm="1">
        <f t="array" aca="1" ref="J835" ca="1">IF(ISNUMBER(A835),IFERROR(_xlfn._xlws.FILTER(Equipar!A:A,(Equipar!B:B=5)*(Equipar!AC:AC=A835)),""),"")</f>
        <v/>
      </c>
    </row>
    <row r="836" spans="1:10" x14ac:dyDescent="0.25">
      <c r="A836" s="1" t="str">
        <f ca="1">IF(A835="ID",1,IF(ISBLANK(B836),"",MAX(A$2:A835)+1))</f>
        <v/>
      </c>
      <c r="I836" s="2" t="str">
        <f ca="1">IF(ISNUMBER(A836),
IF(COUNTIFS(Equipar!B:B,5,Equipar!AC:AC,A836),"Equipada",
IF(
 OR( COUNTIFS(Equipar!B:B,5,Equipar!C:C,A836)
 +COUNTIFS(Equipar!B:B,5,Equipar!D:D,A836)
+COUNTIFS(Equipar!B:B,5,Equipar!E:E,A836)
+COUNTIFS(Equipar!B:B,5,Equipar!F:F,A836)
&gt;0,COUNTIF('Set recomendado'!B:B,C836)=0),
"Bloqueada",
"Desechable")),""
)</f>
        <v/>
      </c>
      <c r="J836" t="str" cm="1">
        <f t="array" aca="1" ref="J836" ca="1">IF(ISNUMBER(A836),IFERROR(_xlfn._xlws.FILTER(Equipar!A:A,(Equipar!B:B=5)*(Equipar!AC:AC=A836)),""),"")</f>
        <v/>
      </c>
    </row>
    <row r="837" spans="1:10" x14ac:dyDescent="0.25">
      <c r="A837" s="1" t="str">
        <f ca="1">IF(A836="ID",1,IF(ISBLANK(B837),"",MAX(A$2:A836)+1))</f>
        <v/>
      </c>
      <c r="I837" s="2" t="str">
        <f ca="1">IF(ISNUMBER(A837),
IF(COUNTIFS(Equipar!B:B,5,Equipar!AC:AC,A837),"Equipada",
IF(
 OR( COUNTIFS(Equipar!B:B,5,Equipar!C:C,A837)
 +COUNTIFS(Equipar!B:B,5,Equipar!D:D,A837)
+COUNTIFS(Equipar!B:B,5,Equipar!E:E,A837)
+COUNTIFS(Equipar!B:B,5,Equipar!F:F,A837)
&gt;0,COUNTIF('Set recomendado'!B:B,C837)=0),
"Bloqueada",
"Desechable")),""
)</f>
        <v/>
      </c>
      <c r="J837" t="str" cm="1">
        <f t="array" aca="1" ref="J837" ca="1">IF(ISNUMBER(A837),IFERROR(_xlfn._xlws.FILTER(Equipar!A:A,(Equipar!B:B=5)*(Equipar!AC:AC=A837)),""),"")</f>
        <v/>
      </c>
    </row>
    <row r="838" spans="1:10" x14ac:dyDescent="0.25">
      <c r="A838" s="1" t="str">
        <f ca="1">IF(A837="ID",1,IF(ISBLANK(B838),"",MAX(A$2:A837)+1))</f>
        <v/>
      </c>
      <c r="I838" s="2" t="str">
        <f ca="1">IF(ISNUMBER(A838),
IF(COUNTIFS(Equipar!B:B,5,Equipar!AC:AC,A838),"Equipada",
IF(
 OR( COUNTIFS(Equipar!B:B,5,Equipar!C:C,A838)
 +COUNTIFS(Equipar!B:B,5,Equipar!D:D,A838)
+COUNTIFS(Equipar!B:B,5,Equipar!E:E,A838)
+COUNTIFS(Equipar!B:B,5,Equipar!F:F,A838)
&gt;0,COUNTIF('Set recomendado'!B:B,C838)=0),
"Bloqueada",
"Desechable")),""
)</f>
        <v/>
      </c>
      <c r="J838" t="str" cm="1">
        <f t="array" aca="1" ref="J838" ca="1">IF(ISNUMBER(A838),IFERROR(_xlfn._xlws.FILTER(Equipar!A:A,(Equipar!B:B=5)*(Equipar!AC:AC=A838)),""),"")</f>
        <v/>
      </c>
    </row>
    <row r="839" spans="1:10" x14ac:dyDescent="0.25">
      <c r="A839" s="1" t="str">
        <f ca="1">IF(A838="ID",1,IF(ISBLANK(B839),"",MAX(A$2:A838)+1))</f>
        <v/>
      </c>
      <c r="I839" s="2" t="str">
        <f ca="1">IF(ISNUMBER(A839),
IF(COUNTIFS(Equipar!B:B,5,Equipar!AC:AC,A839),"Equipada",
IF(
 OR( COUNTIFS(Equipar!B:B,5,Equipar!C:C,A839)
 +COUNTIFS(Equipar!B:B,5,Equipar!D:D,A839)
+COUNTIFS(Equipar!B:B,5,Equipar!E:E,A839)
+COUNTIFS(Equipar!B:B,5,Equipar!F:F,A839)
&gt;0,COUNTIF('Set recomendado'!B:B,C839)=0),
"Bloqueada",
"Desechable")),""
)</f>
        <v/>
      </c>
      <c r="J839" t="str" cm="1">
        <f t="array" aca="1" ref="J839" ca="1">IF(ISNUMBER(A839),IFERROR(_xlfn._xlws.FILTER(Equipar!A:A,(Equipar!B:B=5)*(Equipar!AC:AC=A839)),""),"")</f>
        <v/>
      </c>
    </row>
    <row r="840" spans="1:10" x14ac:dyDescent="0.25">
      <c r="A840" s="1" t="str">
        <f ca="1">IF(A839="ID",1,IF(ISBLANK(B840),"",MAX(A$2:A839)+1))</f>
        <v/>
      </c>
      <c r="I840" s="2" t="str">
        <f ca="1">IF(ISNUMBER(A840),
IF(COUNTIFS(Equipar!B:B,5,Equipar!AC:AC,A840),"Equipada",
IF(
 OR( COUNTIFS(Equipar!B:B,5,Equipar!C:C,A840)
 +COUNTIFS(Equipar!B:B,5,Equipar!D:D,A840)
+COUNTIFS(Equipar!B:B,5,Equipar!E:E,A840)
+COUNTIFS(Equipar!B:B,5,Equipar!F:F,A840)
&gt;0,COUNTIF('Set recomendado'!B:B,C840)=0),
"Bloqueada",
"Desechable")),""
)</f>
        <v/>
      </c>
      <c r="J840" t="str" cm="1">
        <f t="array" aca="1" ref="J840" ca="1">IF(ISNUMBER(A840),IFERROR(_xlfn._xlws.FILTER(Equipar!A:A,(Equipar!B:B=5)*(Equipar!AC:AC=A840)),""),"")</f>
        <v/>
      </c>
    </row>
    <row r="841" spans="1:10" x14ac:dyDescent="0.25">
      <c r="A841" s="1" t="str">
        <f ca="1">IF(A840="ID",1,IF(ISBLANK(B841),"",MAX(A$2:A840)+1))</f>
        <v/>
      </c>
      <c r="I841" s="2" t="str">
        <f ca="1">IF(ISNUMBER(A841),
IF(COUNTIFS(Equipar!B:B,5,Equipar!AC:AC,A841),"Equipada",
IF(
 OR( COUNTIFS(Equipar!B:B,5,Equipar!C:C,A841)
 +COUNTIFS(Equipar!B:B,5,Equipar!D:D,A841)
+COUNTIFS(Equipar!B:B,5,Equipar!E:E,A841)
+COUNTIFS(Equipar!B:B,5,Equipar!F:F,A841)
&gt;0,COUNTIF('Set recomendado'!B:B,C841)=0),
"Bloqueada",
"Desechable")),""
)</f>
        <v/>
      </c>
      <c r="J841" t="str" cm="1">
        <f t="array" aca="1" ref="J841" ca="1">IF(ISNUMBER(A841),IFERROR(_xlfn._xlws.FILTER(Equipar!A:A,(Equipar!B:B=5)*(Equipar!AC:AC=A841)),""),"")</f>
        <v/>
      </c>
    </row>
    <row r="842" spans="1:10" x14ac:dyDescent="0.25">
      <c r="A842" s="1" t="str">
        <f ca="1">IF(A841="ID",1,IF(ISBLANK(B842),"",MAX(A$2:A841)+1))</f>
        <v/>
      </c>
      <c r="I842" s="2" t="str">
        <f ca="1">IF(ISNUMBER(A842),
IF(COUNTIFS(Equipar!B:B,5,Equipar!AC:AC,A842),"Equipada",
IF(
 OR( COUNTIFS(Equipar!B:B,5,Equipar!C:C,A842)
 +COUNTIFS(Equipar!B:B,5,Equipar!D:D,A842)
+COUNTIFS(Equipar!B:B,5,Equipar!E:E,A842)
+COUNTIFS(Equipar!B:B,5,Equipar!F:F,A842)
&gt;0,COUNTIF('Set recomendado'!B:B,C842)=0),
"Bloqueada",
"Desechable")),""
)</f>
        <v/>
      </c>
      <c r="J842" t="str" cm="1">
        <f t="array" aca="1" ref="J842" ca="1">IF(ISNUMBER(A842),IFERROR(_xlfn._xlws.FILTER(Equipar!A:A,(Equipar!B:B=5)*(Equipar!AC:AC=A842)),""),"")</f>
        <v/>
      </c>
    </row>
    <row r="843" spans="1:10" x14ac:dyDescent="0.25">
      <c r="A843" s="1" t="str">
        <f ca="1">IF(A842="ID",1,IF(ISBLANK(B843),"",MAX(A$2:A842)+1))</f>
        <v/>
      </c>
      <c r="I843" s="2" t="str">
        <f ca="1">IF(ISNUMBER(A843),
IF(COUNTIFS(Equipar!B:B,5,Equipar!AC:AC,A843),"Equipada",
IF(
 OR( COUNTIFS(Equipar!B:B,5,Equipar!C:C,A843)
 +COUNTIFS(Equipar!B:B,5,Equipar!D:D,A843)
+COUNTIFS(Equipar!B:B,5,Equipar!E:E,A843)
+COUNTIFS(Equipar!B:B,5,Equipar!F:F,A843)
&gt;0,COUNTIF('Set recomendado'!B:B,C843)=0),
"Bloqueada",
"Desechable")),""
)</f>
        <v/>
      </c>
      <c r="J843" t="str" cm="1">
        <f t="array" aca="1" ref="J843" ca="1">IF(ISNUMBER(A843),IFERROR(_xlfn._xlws.FILTER(Equipar!A:A,(Equipar!B:B=5)*(Equipar!AC:AC=A843)),""),"")</f>
        <v/>
      </c>
    </row>
    <row r="844" spans="1:10" x14ac:dyDescent="0.25">
      <c r="A844" s="1" t="str">
        <f ca="1">IF(A843="ID",1,IF(ISBLANK(B844),"",MAX(A$2:A843)+1))</f>
        <v/>
      </c>
      <c r="I844" s="2" t="str">
        <f ca="1">IF(ISNUMBER(A844),
IF(COUNTIFS(Equipar!B:B,5,Equipar!AC:AC,A844),"Equipada",
IF(
 OR( COUNTIFS(Equipar!B:B,5,Equipar!C:C,A844)
 +COUNTIFS(Equipar!B:B,5,Equipar!D:D,A844)
+COUNTIFS(Equipar!B:B,5,Equipar!E:E,A844)
+COUNTIFS(Equipar!B:B,5,Equipar!F:F,A844)
&gt;0,COUNTIF('Set recomendado'!B:B,C844)=0),
"Bloqueada",
"Desechable")),""
)</f>
        <v/>
      </c>
      <c r="J844" t="str" cm="1">
        <f t="array" aca="1" ref="J844" ca="1">IF(ISNUMBER(A844),IFERROR(_xlfn._xlws.FILTER(Equipar!A:A,(Equipar!B:B=5)*(Equipar!AC:AC=A844)),""),"")</f>
        <v/>
      </c>
    </row>
    <row r="845" spans="1:10" x14ac:dyDescent="0.25">
      <c r="A845" s="1" t="str">
        <f ca="1">IF(A844="ID",1,IF(ISBLANK(B845),"",MAX(A$2:A844)+1))</f>
        <v/>
      </c>
      <c r="I845" s="2" t="str">
        <f ca="1">IF(ISNUMBER(A845),
IF(COUNTIFS(Equipar!B:B,5,Equipar!AC:AC,A845),"Equipada",
IF(
 OR( COUNTIFS(Equipar!B:B,5,Equipar!C:C,A845)
 +COUNTIFS(Equipar!B:B,5,Equipar!D:D,A845)
+COUNTIFS(Equipar!B:B,5,Equipar!E:E,A845)
+COUNTIFS(Equipar!B:B,5,Equipar!F:F,A845)
&gt;0,COUNTIF('Set recomendado'!B:B,C845)=0),
"Bloqueada",
"Desechable")),""
)</f>
        <v/>
      </c>
      <c r="J845" t="str" cm="1">
        <f t="array" aca="1" ref="J845" ca="1">IF(ISNUMBER(A845),IFERROR(_xlfn._xlws.FILTER(Equipar!A:A,(Equipar!B:B=5)*(Equipar!AC:AC=A845)),""),"")</f>
        <v/>
      </c>
    </row>
    <row r="846" spans="1:10" x14ac:dyDescent="0.25">
      <c r="A846" s="1" t="str">
        <f ca="1">IF(A845="ID",1,IF(ISBLANK(B846),"",MAX(A$2:A845)+1))</f>
        <v/>
      </c>
      <c r="I846" s="2" t="str">
        <f ca="1">IF(ISNUMBER(A846),
IF(COUNTIFS(Equipar!B:B,5,Equipar!AC:AC,A846),"Equipada",
IF(
 OR( COUNTIFS(Equipar!B:B,5,Equipar!C:C,A846)
 +COUNTIFS(Equipar!B:B,5,Equipar!D:D,A846)
+COUNTIFS(Equipar!B:B,5,Equipar!E:E,A846)
+COUNTIFS(Equipar!B:B,5,Equipar!F:F,A846)
&gt;0,COUNTIF('Set recomendado'!B:B,C846)=0),
"Bloqueada",
"Desechable")),""
)</f>
        <v/>
      </c>
      <c r="J846" t="str" cm="1">
        <f t="array" aca="1" ref="J846" ca="1">IF(ISNUMBER(A846),IFERROR(_xlfn._xlws.FILTER(Equipar!A:A,(Equipar!B:B=5)*(Equipar!AC:AC=A846)),""),"")</f>
        <v/>
      </c>
    </row>
    <row r="847" spans="1:10" x14ac:dyDescent="0.25">
      <c r="A847" s="1" t="str">
        <f ca="1">IF(A846="ID",1,IF(ISBLANK(B847),"",MAX(A$2:A846)+1))</f>
        <v/>
      </c>
      <c r="I847" s="2" t="str">
        <f ca="1">IF(ISNUMBER(A847),
IF(COUNTIFS(Equipar!B:B,5,Equipar!AC:AC,A847),"Equipada",
IF(
 OR( COUNTIFS(Equipar!B:B,5,Equipar!C:C,A847)
 +COUNTIFS(Equipar!B:B,5,Equipar!D:D,A847)
+COUNTIFS(Equipar!B:B,5,Equipar!E:E,A847)
+COUNTIFS(Equipar!B:B,5,Equipar!F:F,A847)
&gt;0,COUNTIF('Set recomendado'!B:B,C847)=0),
"Bloqueada",
"Desechable")),""
)</f>
        <v/>
      </c>
      <c r="J847" t="str" cm="1">
        <f t="array" aca="1" ref="J847" ca="1">IF(ISNUMBER(A847),IFERROR(_xlfn._xlws.FILTER(Equipar!A:A,(Equipar!B:B=5)*(Equipar!AC:AC=A847)),""),"")</f>
        <v/>
      </c>
    </row>
    <row r="848" spans="1:10" x14ac:dyDescent="0.25">
      <c r="A848" s="1" t="str">
        <f ca="1">IF(A847="ID",1,IF(ISBLANK(B848),"",MAX(A$2:A847)+1))</f>
        <v/>
      </c>
      <c r="I848" s="2" t="str">
        <f ca="1">IF(ISNUMBER(A848),
IF(COUNTIFS(Equipar!B:B,5,Equipar!AC:AC,A848),"Equipada",
IF(
 OR( COUNTIFS(Equipar!B:B,5,Equipar!C:C,A848)
 +COUNTIFS(Equipar!B:B,5,Equipar!D:D,A848)
+COUNTIFS(Equipar!B:B,5,Equipar!E:E,A848)
+COUNTIFS(Equipar!B:B,5,Equipar!F:F,A848)
&gt;0,COUNTIF('Set recomendado'!B:B,C848)=0),
"Bloqueada",
"Desechable")),""
)</f>
        <v/>
      </c>
      <c r="J848" t="str" cm="1">
        <f t="array" aca="1" ref="J848" ca="1">IF(ISNUMBER(A848),IFERROR(_xlfn._xlws.FILTER(Equipar!A:A,(Equipar!B:B=5)*(Equipar!AC:AC=A848)),""),"")</f>
        <v/>
      </c>
    </row>
    <row r="849" spans="1:10" x14ac:dyDescent="0.25">
      <c r="A849" s="1" t="str">
        <f ca="1">IF(A848="ID",1,IF(ISBLANK(B849),"",MAX(A$2:A848)+1))</f>
        <v/>
      </c>
      <c r="I849" s="2" t="str">
        <f ca="1">IF(ISNUMBER(A849),
IF(COUNTIFS(Equipar!B:B,5,Equipar!AC:AC,A849),"Equipada",
IF(
 OR( COUNTIFS(Equipar!B:B,5,Equipar!C:C,A849)
 +COUNTIFS(Equipar!B:B,5,Equipar!D:D,A849)
+COUNTIFS(Equipar!B:B,5,Equipar!E:E,A849)
+COUNTIFS(Equipar!B:B,5,Equipar!F:F,A849)
&gt;0,COUNTIF('Set recomendado'!B:B,C849)=0),
"Bloqueada",
"Desechable")),""
)</f>
        <v/>
      </c>
      <c r="J849" t="str" cm="1">
        <f t="array" aca="1" ref="J849" ca="1">IF(ISNUMBER(A849),IFERROR(_xlfn._xlws.FILTER(Equipar!A:A,(Equipar!B:B=5)*(Equipar!AC:AC=A849)),""),"")</f>
        <v/>
      </c>
    </row>
    <row r="850" spans="1:10" x14ac:dyDescent="0.25">
      <c r="A850" s="1" t="str">
        <f ca="1">IF(A849="ID",1,IF(ISBLANK(B850),"",MAX(A$2:A849)+1))</f>
        <v/>
      </c>
      <c r="I850" s="2" t="str">
        <f ca="1">IF(ISNUMBER(A850),
IF(COUNTIFS(Equipar!B:B,5,Equipar!AC:AC,A850),"Equipada",
IF(
 OR( COUNTIFS(Equipar!B:B,5,Equipar!C:C,A850)
 +COUNTIFS(Equipar!B:B,5,Equipar!D:D,A850)
+COUNTIFS(Equipar!B:B,5,Equipar!E:E,A850)
+COUNTIFS(Equipar!B:B,5,Equipar!F:F,A850)
&gt;0,COUNTIF('Set recomendado'!B:B,C850)=0),
"Bloqueada",
"Desechable")),""
)</f>
        <v/>
      </c>
      <c r="J850" t="str" cm="1">
        <f t="array" aca="1" ref="J850" ca="1">IF(ISNUMBER(A850),IFERROR(_xlfn._xlws.FILTER(Equipar!A:A,(Equipar!B:B=5)*(Equipar!AC:AC=A850)),""),"")</f>
        <v/>
      </c>
    </row>
    <row r="851" spans="1:10" x14ac:dyDescent="0.25">
      <c r="A851" s="1" t="str">
        <f ca="1">IF(A850="ID",1,IF(ISBLANK(B851),"",MAX(A$2:A850)+1))</f>
        <v/>
      </c>
      <c r="I851" s="2" t="str">
        <f ca="1">IF(ISNUMBER(A851),
IF(COUNTIFS(Equipar!B:B,5,Equipar!AC:AC,A851),"Equipada",
IF(
 OR( COUNTIFS(Equipar!B:B,5,Equipar!C:C,A851)
 +COUNTIFS(Equipar!B:B,5,Equipar!D:D,A851)
+COUNTIFS(Equipar!B:B,5,Equipar!E:E,A851)
+COUNTIFS(Equipar!B:B,5,Equipar!F:F,A851)
&gt;0,COUNTIF('Set recomendado'!B:B,C851)=0),
"Bloqueada",
"Desechable")),""
)</f>
        <v/>
      </c>
      <c r="J851" t="str" cm="1">
        <f t="array" aca="1" ref="J851" ca="1">IF(ISNUMBER(A851),IFERROR(_xlfn._xlws.FILTER(Equipar!A:A,(Equipar!B:B=5)*(Equipar!AC:AC=A851)),""),"")</f>
        <v/>
      </c>
    </row>
    <row r="852" spans="1:10" x14ac:dyDescent="0.25">
      <c r="A852" s="1" t="str">
        <f ca="1">IF(A851="ID",1,IF(ISBLANK(B852),"",MAX(A$2:A851)+1))</f>
        <v/>
      </c>
      <c r="I852" s="2" t="str">
        <f ca="1">IF(ISNUMBER(A852),
IF(COUNTIFS(Equipar!B:B,5,Equipar!AC:AC,A852),"Equipada",
IF(
 OR( COUNTIFS(Equipar!B:B,5,Equipar!C:C,A852)
 +COUNTIFS(Equipar!B:B,5,Equipar!D:D,A852)
+COUNTIFS(Equipar!B:B,5,Equipar!E:E,A852)
+COUNTIFS(Equipar!B:B,5,Equipar!F:F,A852)
&gt;0,COUNTIF('Set recomendado'!B:B,C852)=0),
"Bloqueada",
"Desechable")),""
)</f>
        <v/>
      </c>
      <c r="J852" t="str" cm="1">
        <f t="array" aca="1" ref="J852" ca="1">IF(ISNUMBER(A852),IFERROR(_xlfn._xlws.FILTER(Equipar!A:A,(Equipar!B:B=5)*(Equipar!AC:AC=A852)),""),"")</f>
        <v/>
      </c>
    </row>
    <row r="853" spans="1:10" x14ac:dyDescent="0.25">
      <c r="A853" s="1" t="str">
        <f ca="1">IF(A852="ID",1,IF(ISBLANK(B853),"",MAX(A$2:A852)+1))</f>
        <v/>
      </c>
      <c r="I853" s="2" t="str">
        <f ca="1">IF(ISNUMBER(A853),
IF(COUNTIFS(Equipar!B:B,5,Equipar!AC:AC,A853),"Equipada",
IF(
 OR( COUNTIFS(Equipar!B:B,5,Equipar!C:C,A853)
 +COUNTIFS(Equipar!B:B,5,Equipar!D:D,A853)
+COUNTIFS(Equipar!B:B,5,Equipar!E:E,A853)
+COUNTIFS(Equipar!B:B,5,Equipar!F:F,A853)
&gt;0,COUNTIF('Set recomendado'!B:B,C853)=0),
"Bloqueada",
"Desechable")),""
)</f>
        <v/>
      </c>
      <c r="J853" t="str" cm="1">
        <f t="array" aca="1" ref="J853" ca="1">IF(ISNUMBER(A853),IFERROR(_xlfn._xlws.FILTER(Equipar!A:A,(Equipar!B:B=5)*(Equipar!AC:AC=A853)),""),"")</f>
        <v/>
      </c>
    </row>
    <row r="854" spans="1:10" x14ac:dyDescent="0.25">
      <c r="A854" s="1" t="str">
        <f ca="1">IF(A853="ID",1,IF(ISBLANK(B854),"",MAX(A$2:A853)+1))</f>
        <v/>
      </c>
      <c r="I854" s="2" t="str">
        <f ca="1">IF(ISNUMBER(A854),
IF(COUNTIFS(Equipar!B:B,5,Equipar!AC:AC,A854),"Equipada",
IF(
 OR( COUNTIFS(Equipar!B:B,5,Equipar!C:C,A854)
 +COUNTIFS(Equipar!B:B,5,Equipar!D:D,A854)
+COUNTIFS(Equipar!B:B,5,Equipar!E:E,A854)
+COUNTIFS(Equipar!B:B,5,Equipar!F:F,A854)
&gt;0,COUNTIF('Set recomendado'!B:B,C854)=0),
"Bloqueada",
"Desechable")),""
)</f>
        <v/>
      </c>
      <c r="J854" t="str" cm="1">
        <f t="array" aca="1" ref="J854" ca="1">IF(ISNUMBER(A854),IFERROR(_xlfn._xlws.FILTER(Equipar!A:A,(Equipar!B:B=5)*(Equipar!AC:AC=A854)),""),"")</f>
        <v/>
      </c>
    </row>
    <row r="855" spans="1:10" x14ac:dyDescent="0.25">
      <c r="A855" s="1" t="str">
        <f ca="1">IF(A854="ID",1,IF(ISBLANK(B855),"",MAX(A$2:A854)+1))</f>
        <v/>
      </c>
      <c r="I855" s="2" t="str">
        <f ca="1">IF(ISNUMBER(A855),
IF(COUNTIFS(Equipar!B:B,5,Equipar!AC:AC,A855),"Equipada",
IF(
 OR( COUNTIFS(Equipar!B:B,5,Equipar!C:C,A855)
 +COUNTIFS(Equipar!B:B,5,Equipar!D:D,A855)
+COUNTIFS(Equipar!B:B,5,Equipar!E:E,A855)
+COUNTIFS(Equipar!B:B,5,Equipar!F:F,A855)
&gt;0,COUNTIF('Set recomendado'!B:B,C855)=0),
"Bloqueada",
"Desechable")),""
)</f>
        <v/>
      </c>
      <c r="J855" t="str" cm="1">
        <f t="array" aca="1" ref="J855" ca="1">IF(ISNUMBER(A855),IFERROR(_xlfn._xlws.FILTER(Equipar!A:A,(Equipar!B:B=5)*(Equipar!AC:AC=A855)),""),"")</f>
        <v/>
      </c>
    </row>
    <row r="856" spans="1:10" x14ac:dyDescent="0.25">
      <c r="A856" s="1" t="str">
        <f ca="1">IF(A855="ID",1,IF(ISBLANK(B856),"",MAX(A$2:A855)+1))</f>
        <v/>
      </c>
      <c r="I856" s="2" t="str">
        <f ca="1">IF(ISNUMBER(A856),
IF(COUNTIFS(Equipar!B:B,5,Equipar!AC:AC,A856),"Equipada",
IF(
 OR( COUNTIFS(Equipar!B:B,5,Equipar!C:C,A856)
 +COUNTIFS(Equipar!B:B,5,Equipar!D:D,A856)
+COUNTIFS(Equipar!B:B,5,Equipar!E:E,A856)
+COUNTIFS(Equipar!B:B,5,Equipar!F:F,A856)
&gt;0,COUNTIF('Set recomendado'!B:B,C856)=0),
"Bloqueada",
"Desechable")),""
)</f>
        <v/>
      </c>
      <c r="J856" t="str" cm="1">
        <f t="array" aca="1" ref="J856" ca="1">IF(ISNUMBER(A856),IFERROR(_xlfn._xlws.FILTER(Equipar!A:A,(Equipar!B:B=5)*(Equipar!AC:AC=A856)),""),"")</f>
        <v/>
      </c>
    </row>
    <row r="857" spans="1:10" x14ac:dyDescent="0.25">
      <c r="A857" s="1" t="str">
        <f ca="1">IF(A856="ID",1,IF(ISBLANK(B857),"",MAX(A$2:A856)+1))</f>
        <v/>
      </c>
      <c r="I857" s="2" t="str">
        <f ca="1">IF(ISNUMBER(A857),
IF(COUNTIFS(Equipar!B:B,5,Equipar!AC:AC,A857),"Equipada",
IF(
 OR( COUNTIFS(Equipar!B:B,5,Equipar!C:C,A857)
 +COUNTIFS(Equipar!B:B,5,Equipar!D:D,A857)
+COUNTIFS(Equipar!B:B,5,Equipar!E:E,A857)
+COUNTIFS(Equipar!B:B,5,Equipar!F:F,A857)
&gt;0,COUNTIF('Set recomendado'!B:B,C857)=0),
"Bloqueada",
"Desechable")),""
)</f>
        <v/>
      </c>
      <c r="J857" t="str" cm="1">
        <f t="array" aca="1" ref="J857" ca="1">IF(ISNUMBER(A857),IFERROR(_xlfn._xlws.FILTER(Equipar!A:A,(Equipar!B:B=5)*(Equipar!AC:AC=A857)),""),"")</f>
        <v/>
      </c>
    </row>
    <row r="858" spans="1:10" x14ac:dyDescent="0.25">
      <c r="A858" s="1" t="str">
        <f ca="1">IF(A857="ID",1,IF(ISBLANK(B858),"",MAX(A$2:A857)+1))</f>
        <v/>
      </c>
      <c r="I858" s="2" t="str">
        <f ca="1">IF(ISNUMBER(A858),
IF(COUNTIFS(Equipar!B:B,5,Equipar!AC:AC,A858),"Equipada",
IF(
 OR( COUNTIFS(Equipar!B:B,5,Equipar!C:C,A858)
 +COUNTIFS(Equipar!B:B,5,Equipar!D:D,A858)
+COUNTIFS(Equipar!B:B,5,Equipar!E:E,A858)
+COUNTIFS(Equipar!B:B,5,Equipar!F:F,A858)
&gt;0,COUNTIF('Set recomendado'!B:B,C858)=0),
"Bloqueada",
"Desechable")),""
)</f>
        <v/>
      </c>
      <c r="J858" t="str" cm="1">
        <f t="array" aca="1" ref="J858" ca="1">IF(ISNUMBER(A858),IFERROR(_xlfn._xlws.FILTER(Equipar!A:A,(Equipar!B:B=5)*(Equipar!AC:AC=A858)),""),"")</f>
        <v/>
      </c>
    </row>
    <row r="859" spans="1:10" x14ac:dyDescent="0.25">
      <c r="A859" s="1" t="str">
        <f ca="1">IF(A858="ID",1,IF(ISBLANK(B859),"",MAX(A$2:A858)+1))</f>
        <v/>
      </c>
      <c r="I859" s="2" t="str">
        <f ca="1">IF(ISNUMBER(A859),
IF(COUNTIFS(Equipar!B:B,5,Equipar!AC:AC,A859),"Equipada",
IF(
 OR( COUNTIFS(Equipar!B:B,5,Equipar!C:C,A859)
 +COUNTIFS(Equipar!B:B,5,Equipar!D:D,A859)
+COUNTIFS(Equipar!B:B,5,Equipar!E:E,A859)
+COUNTIFS(Equipar!B:B,5,Equipar!F:F,A859)
&gt;0,COUNTIF('Set recomendado'!B:B,C859)=0),
"Bloqueada",
"Desechable")),""
)</f>
        <v/>
      </c>
      <c r="J859" t="str" cm="1">
        <f t="array" aca="1" ref="J859" ca="1">IF(ISNUMBER(A859),IFERROR(_xlfn._xlws.FILTER(Equipar!A:A,(Equipar!B:B=5)*(Equipar!AC:AC=A859)),""),"")</f>
        <v/>
      </c>
    </row>
    <row r="860" spans="1:10" x14ac:dyDescent="0.25">
      <c r="A860" s="1" t="str">
        <f ca="1">IF(A859="ID",1,IF(ISBLANK(B860),"",MAX(A$2:A859)+1))</f>
        <v/>
      </c>
      <c r="I860" s="2" t="str">
        <f ca="1">IF(ISNUMBER(A860),
IF(COUNTIFS(Equipar!B:B,5,Equipar!AC:AC,A860),"Equipada",
IF(
 OR( COUNTIFS(Equipar!B:B,5,Equipar!C:C,A860)
 +COUNTIFS(Equipar!B:B,5,Equipar!D:D,A860)
+COUNTIFS(Equipar!B:B,5,Equipar!E:E,A860)
+COUNTIFS(Equipar!B:B,5,Equipar!F:F,A860)
&gt;0,COUNTIF('Set recomendado'!B:B,C860)=0),
"Bloqueada",
"Desechable")),""
)</f>
        <v/>
      </c>
      <c r="J860" t="str" cm="1">
        <f t="array" aca="1" ref="J860" ca="1">IF(ISNUMBER(A860),IFERROR(_xlfn._xlws.FILTER(Equipar!A:A,(Equipar!B:B=5)*(Equipar!AC:AC=A860)),""),"")</f>
        <v/>
      </c>
    </row>
    <row r="861" spans="1:10" x14ac:dyDescent="0.25">
      <c r="A861" s="1" t="str">
        <f ca="1">IF(A860="ID",1,IF(ISBLANK(B861),"",MAX(A$2:A860)+1))</f>
        <v/>
      </c>
      <c r="I861" s="2" t="str">
        <f ca="1">IF(ISNUMBER(A861),
IF(COUNTIFS(Equipar!B:B,5,Equipar!AC:AC,A861),"Equipada",
IF(
 OR( COUNTIFS(Equipar!B:B,5,Equipar!C:C,A861)
 +COUNTIFS(Equipar!B:B,5,Equipar!D:D,A861)
+COUNTIFS(Equipar!B:B,5,Equipar!E:E,A861)
+COUNTIFS(Equipar!B:B,5,Equipar!F:F,A861)
&gt;0,COUNTIF('Set recomendado'!B:B,C861)=0),
"Bloqueada",
"Desechable")),""
)</f>
        <v/>
      </c>
      <c r="J861" t="str" cm="1">
        <f t="array" aca="1" ref="J861" ca="1">IF(ISNUMBER(A861),IFERROR(_xlfn._xlws.FILTER(Equipar!A:A,(Equipar!B:B=5)*(Equipar!AC:AC=A861)),""),"")</f>
        <v/>
      </c>
    </row>
    <row r="862" spans="1:10" x14ac:dyDescent="0.25">
      <c r="A862" s="1" t="str">
        <f ca="1">IF(A861="ID",1,IF(ISBLANK(B862),"",MAX(A$2:A861)+1))</f>
        <v/>
      </c>
      <c r="I862" s="2" t="str">
        <f ca="1">IF(ISNUMBER(A862),
IF(COUNTIFS(Equipar!B:B,5,Equipar!AC:AC,A862),"Equipada",
IF(
 OR( COUNTIFS(Equipar!B:B,5,Equipar!C:C,A862)
 +COUNTIFS(Equipar!B:B,5,Equipar!D:D,A862)
+COUNTIFS(Equipar!B:B,5,Equipar!E:E,A862)
+COUNTIFS(Equipar!B:B,5,Equipar!F:F,A862)
&gt;0,COUNTIF('Set recomendado'!B:B,C862)=0),
"Bloqueada",
"Desechable")),""
)</f>
        <v/>
      </c>
      <c r="J862" t="str" cm="1">
        <f t="array" aca="1" ref="J862" ca="1">IF(ISNUMBER(A862),IFERROR(_xlfn._xlws.FILTER(Equipar!A:A,(Equipar!B:B=5)*(Equipar!AC:AC=A862)),""),"")</f>
        <v/>
      </c>
    </row>
    <row r="863" spans="1:10" x14ac:dyDescent="0.25">
      <c r="A863" s="1" t="str">
        <f ca="1">IF(A862="ID",1,IF(ISBLANK(B863),"",MAX(A$2:A862)+1))</f>
        <v/>
      </c>
      <c r="I863" s="2" t="str">
        <f ca="1">IF(ISNUMBER(A863),
IF(COUNTIFS(Equipar!B:B,5,Equipar!AC:AC,A863),"Equipada",
IF(
 OR( COUNTIFS(Equipar!B:B,5,Equipar!C:C,A863)
 +COUNTIFS(Equipar!B:B,5,Equipar!D:D,A863)
+COUNTIFS(Equipar!B:B,5,Equipar!E:E,A863)
+COUNTIFS(Equipar!B:B,5,Equipar!F:F,A863)
&gt;0,COUNTIF('Set recomendado'!B:B,C863)=0),
"Bloqueada",
"Desechable")),""
)</f>
        <v/>
      </c>
      <c r="J863" t="str" cm="1">
        <f t="array" aca="1" ref="J863" ca="1">IF(ISNUMBER(A863),IFERROR(_xlfn._xlws.FILTER(Equipar!A:A,(Equipar!B:B=5)*(Equipar!AC:AC=A863)),""),"")</f>
        <v/>
      </c>
    </row>
    <row r="864" spans="1:10" x14ac:dyDescent="0.25">
      <c r="A864" s="1" t="str">
        <f ca="1">IF(A863="ID",1,IF(ISBLANK(B864),"",MAX(A$2:A863)+1))</f>
        <v/>
      </c>
      <c r="I864" s="2" t="str">
        <f ca="1">IF(ISNUMBER(A864),
IF(COUNTIFS(Equipar!B:B,5,Equipar!AC:AC,A864),"Equipada",
IF(
 OR( COUNTIFS(Equipar!B:B,5,Equipar!C:C,A864)
 +COUNTIFS(Equipar!B:B,5,Equipar!D:D,A864)
+COUNTIFS(Equipar!B:B,5,Equipar!E:E,A864)
+COUNTIFS(Equipar!B:B,5,Equipar!F:F,A864)
&gt;0,COUNTIF('Set recomendado'!B:B,C864)=0),
"Bloqueada",
"Desechable")),""
)</f>
        <v/>
      </c>
      <c r="J864" t="str" cm="1">
        <f t="array" aca="1" ref="J864" ca="1">IF(ISNUMBER(A864),IFERROR(_xlfn._xlws.FILTER(Equipar!A:A,(Equipar!B:B=5)*(Equipar!AC:AC=A864)),""),"")</f>
        <v/>
      </c>
    </row>
    <row r="865" spans="1:10" x14ac:dyDescent="0.25">
      <c r="A865" s="1" t="str">
        <f ca="1">IF(A864="ID",1,IF(ISBLANK(B865),"",MAX(A$2:A864)+1))</f>
        <v/>
      </c>
      <c r="I865" s="2" t="str">
        <f ca="1">IF(ISNUMBER(A865),
IF(COUNTIFS(Equipar!B:B,5,Equipar!AC:AC,A865),"Equipada",
IF(
 OR( COUNTIFS(Equipar!B:B,5,Equipar!C:C,A865)
 +COUNTIFS(Equipar!B:B,5,Equipar!D:D,A865)
+COUNTIFS(Equipar!B:B,5,Equipar!E:E,A865)
+COUNTIFS(Equipar!B:B,5,Equipar!F:F,A865)
&gt;0,COUNTIF('Set recomendado'!B:B,C865)=0),
"Bloqueada",
"Desechable")),""
)</f>
        <v/>
      </c>
      <c r="J865" t="str" cm="1">
        <f t="array" aca="1" ref="J865" ca="1">IF(ISNUMBER(A865),IFERROR(_xlfn._xlws.FILTER(Equipar!A:A,(Equipar!B:B=5)*(Equipar!AC:AC=A865)),""),"")</f>
        <v/>
      </c>
    </row>
    <row r="866" spans="1:10" x14ac:dyDescent="0.25">
      <c r="A866" s="1" t="str">
        <f ca="1">IF(A865="ID",1,IF(ISBLANK(B866),"",MAX(A$2:A865)+1))</f>
        <v/>
      </c>
      <c r="I866" s="2" t="str">
        <f ca="1">IF(ISNUMBER(A866),
IF(COUNTIFS(Equipar!B:B,5,Equipar!AC:AC,A866),"Equipada",
IF(
 OR( COUNTIFS(Equipar!B:B,5,Equipar!C:C,A866)
 +COUNTIFS(Equipar!B:B,5,Equipar!D:D,A866)
+COUNTIFS(Equipar!B:B,5,Equipar!E:E,A866)
+COUNTIFS(Equipar!B:B,5,Equipar!F:F,A866)
&gt;0,COUNTIF('Set recomendado'!B:B,C866)=0),
"Bloqueada",
"Desechable")),""
)</f>
        <v/>
      </c>
      <c r="J866" t="str" cm="1">
        <f t="array" aca="1" ref="J866" ca="1">IF(ISNUMBER(A866),IFERROR(_xlfn._xlws.FILTER(Equipar!A:A,(Equipar!B:B=5)*(Equipar!AC:AC=A866)),""),"")</f>
        <v/>
      </c>
    </row>
    <row r="867" spans="1:10" x14ac:dyDescent="0.25">
      <c r="A867" s="1" t="str">
        <f ca="1">IF(A866="ID",1,IF(ISBLANK(B867),"",MAX(A$2:A866)+1))</f>
        <v/>
      </c>
      <c r="I867" s="2" t="str">
        <f ca="1">IF(ISNUMBER(A867),
IF(COUNTIFS(Equipar!B:B,5,Equipar!AC:AC,A867),"Equipada",
IF(
 OR( COUNTIFS(Equipar!B:B,5,Equipar!C:C,A867)
 +COUNTIFS(Equipar!B:B,5,Equipar!D:D,A867)
+COUNTIFS(Equipar!B:B,5,Equipar!E:E,A867)
+COUNTIFS(Equipar!B:B,5,Equipar!F:F,A867)
&gt;0,COUNTIF('Set recomendado'!B:B,C867)=0),
"Bloqueada",
"Desechable")),""
)</f>
        <v/>
      </c>
      <c r="J867" t="str" cm="1">
        <f t="array" aca="1" ref="J867" ca="1">IF(ISNUMBER(A867),IFERROR(_xlfn._xlws.FILTER(Equipar!A:A,(Equipar!B:B=5)*(Equipar!AC:AC=A867)),""),"")</f>
        <v/>
      </c>
    </row>
    <row r="868" spans="1:10" x14ac:dyDescent="0.25">
      <c r="A868" s="1" t="str">
        <f ca="1">IF(A867="ID",1,IF(ISBLANK(B868),"",MAX(A$2:A867)+1))</f>
        <v/>
      </c>
      <c r="I868" s="2" t="str">
        <f ca="1">IF(ISNUMBER(A868),
IF(COUNTIFS(Equipar!B:B,5,Equipar!AC:AC,A868),"Equipada",
IF(
 OR( COUNTIFS(Equipar!B:B,5,Equipar!C:C,A868)
 +COUNTIFS(Equipar!B:B,5,Equipar!D:D,A868)
+COUNTIFS(Equipar!B:B,5,Equipar!E:E,A868)
+COUNTIFS(Equipar!B:B,5,Equipar!F:F,A868)
&gt;0,COUNTIF('Set recomendado'!B:B,C868)=0),
"Bloqueada",
"Desechable")),""
)</f>
        <v/>
      </c>
      <c r="J868" t="str" cm="1">
        <f t="array" aca="1" ref="J868" ca="1">IF(ISNUMBER(A868),IFERROR(_xlfn._xlws.FILTER(Equipar!A:A,(Equipar!B:B=5)*(Equipar!AC:AC=A868)),""),"")</f>
        <v/>
      </c>
    </row>
    <row r="869" spans="1:10" x14ac:dyDescent="0.25">
      <c r="A869" s="1" t="str">
        <f ca="1">IF(A868="ID",1,IF(ISBLANK(B869),"",MAX(A$2:A868)+1))</f>
        <v/>
      </c>
      <c r="I869" s="2" t="str">
        <f ca="1">IF(ISNUMBER(A869),
IF(COUNTIFS(Equipar!B:B,5,Equipar!AC:AC,A869),"Equipada",
IF(
 OR( COUNTIFS(Equipar!B:B,5,Equipar!C:C,A869)
 +COUNTIFS(Equipar!B:B,5,Equipar!D:D,A869)
+COUNTIFS(Equipar!B:B,5,Equipar!E:E,A869)
+COUNTIFS(Equipar!B:B,5,Equipar!F:F,A869)
&gt;0,COUNTIF('Set recomendado'!B:B,C869)=0),
"Bloqueada",
"Desechable")),""
)</f>
        <v/>
      </c>
      <c r="J869" t="str" cm="1">
        <f t="array" aca="1" ref="J869" ca="1">IF(ISNUMBER(A869),IFERROR(_xlfn._xlws.FILTER(Equipar!A:A,(Equipar!B:B=5)*(Equipar!AC:AC=A869)),""),"")</f>
        <v/>
      </c>
    </row>
    <row r="870" spans="1:10" x14ac:dyDescent="0.25">
      <c r="A870" s="1" t="str">
        <f ca="1">IF(A869="ID",1,IF(ISBLANK(B870),"",MAX(A$2:A869)+1))</f>
        <v/>
      </c>
      <c r="I870" s="2" t="str">
        <f ca="1">IF(ISNUMBER(A870),
IF(COUNTIFS(Equipar!B:B,5,Equipar!AC:AC,A870),"Equipada",
IF(
 OR( COUNTIFS(Equipar!B:B,5,Equipar!C:C,A870)
 +COUNTIFS(Equipar!B:B,5,Equipar!D:D,A870)
+COUNTIFS(Equipar!B:B,5,Equipar!E:E,A870)
+COUNTIFS(Equipar!B:B,5,Equipar!F:F,A870)
&gt;0,COUNTIF('Set recomendado'!B:B,C870)=0),
"Bloqueada",
"Desechable")),""
)</f>
        <v/>
      </c>
      <c r="J870" t="str" cm="1">
        <f t="array" aca="1" ref="J870" ca="1">IF(ISNUMBER(A870),IFERROR(_xlfn._xlws.FILTER(Equipar!A:A,(Equipar!B:B=5)*(Equipar!AC:AC=A870)),""),"")</f>
        <v/>
      </c>
    </row>
    <row r="871" spans="1:10" x14ac:dyDescent="0.25">
      <c r="A871" s="1" t="str">
        <f ca="1">IF(A870="ID",1,IF(ISBLANK(B871),"",MAX(A$2:A870)+1))</f>
        <v/>
      </c>
      <c r="I871" s="2" t="str">
        <f ca="1">IF(ISNUMBER(A871),
IF(COUNTIFS(Equipar!B:B,5,Equipar!AC:AC,A871),"Equipada",
IF(
 OR( COUNTIFS(Equipar!B:B,5,Equipar!C:C,A871)
 +COUNTIFS(Equipar!B:B,5,Equipar!D:D,A871)
+COUNTIFS(Equipar!B:B,5,Equipar!E:E,A871)
+COUNTIFS(Equipar!B:B,5,Equipar!F:F,A871)
&gt;0,COUNTIF('Set recomendado'!B:B,C871)=0),
"Bloqueada",
"Desechable")),""
)</f>
        <v/>
      </c>
      <c r="J871" t="str" cm="1">
        <f t="array" aca="1" ref="J871" ca="1">IF(ISNUMBER(A871),IFERROR(_xlfn._xlws.FILTER(Equipar!A:A,(Equipar!B:B=5)*(Equipar!AC:AC=A871)),""),"")</f>
        <v/>
      </c>
    </row>
    <row r="872" spans="1:10" x14ac:dyDescent="0.25">
      <c r="A872" s="1" t="str">
        <f ca="1">IF(A871="ID",1,IF(ISBLANK(B872),"",MAX(A$2:A871)+1))</f>
        <v/>
      </c>
      <c r="I872" s="2" t="str">
        <f ca="1">IF(ISNUMBER(A872),
IF(COUNTIFS(Equipar!B:B,5,Equipar!AC:AC,A872),"Equipada",
IF(
 OR( COUNTIFS(Equipar!B:B,5,Equipar!C:C,A872)
 +COUNTIFS(Equipar!B:B,5,Equipar!D:D,A872)
+COUNTIFS(Equipar!B:B,5,Equipar!E:E,A872)
+COUNTIFS(Equipar!B:B,5,Equipar!F:F,A872)
&gt;0,COUNTIF('Set recomendado'!B:B,C872)=0),
"Bloqueada",
"Desechable")),""
)</f>
        <v/>
      </c>
      <c r="J872" t="str" cm="1">
        <f t="array" aca="1" ref="J872" ca="1">IF(ISNUMBER(A872),IFERROR(_xlfn._xlws.FILTER(Equipar!A:A,(Equipar!B:B=5)*(Equipar!AC:AC=A872)),""),"")</f>
        <v/>
      </c>
    </row>
    <row r="873" spans="1:10" x14ac:dyDescent="0.25">
      <c r="A873" s="1" t="str">
        <f ca="1">IF(A872="ID",1,IF(ISBLANK(B873),"",MAX(A$2:A872)+1))</f>
        <v/>
      </c>
      <c r="I873" s="2" t="str">
        <f ca="1">IF(ISNUMBER(A873),
IF(COUNTIFS(Equipar!B:B,5,Equipar!AC:AC,A873),"Equipada",
IF(
 OR( COUNTIFS(Equipar!B:B,5,Equipar!C:C,A873)
 +COUNTIFS(Equipar!B:B,5,Equipar!D:D,A873)
+COUNTIFS(Equipar!B:B,5,Equipar!E:E,A873)
+COUNTIFS(Equipar!B:B,5,Equipar!F:F,A873)
&gt;0,COUNTIF('Set recomendado'!B:B,C873)=0),
"Bloqueada",
"Desechable")),""
)</f>
        <v/>
      </c>
      <c r="J873" t="str" cm="1">
        <f t="array" aca="1" ref="J873" ca="1">IF(ISNUMBER(A873),IFERROR(_xlfn._xlws.FILTER(Equipar!A:A,(Equipar!B:B=5)*(Equipar!AC:AC=A873)),""),"")</f>
        <v/>
      </c>
    </row>
    <row r="874" spans="1:10" x14ac:dyDescent="0.25">
      <c r="A874" s="1" t="str">
        <f ca="1">IF(A873="ID",1,IF(ISBLANK(B874),"",MAX(A$2:A873)+1))</f>
        <v/>
      </c>
      <c r="I874" s="2" t="str">
        <f ca="1">IF(ISNUMBER(A874),
IF(COUNTIFS(Equipar!B:B,5,Equipar!AC:AC,A874),"Equipada",
IF(
 OR( COUNTIFS(Equipar!B:B,5,Equipar!C:C,A874)
 +COUNTIFS(Equipar!B:B,5,Equipar!D:D,A874)
+COUNTIFS(Equipar!B:B,5,Equipar!E:E,A874)
+COUNTIFS(Equipar!B:B,5,Equipar!F:F,A874)
&gt;0,COUNTIF('Set recomendado'!B:B,C874)=0),
"Bloqueada",
"Desechable")),""
)</f>
        <v/>
      </c>
      <c r="J874" t="str" cm="1">
        <f t="array" aca="1" ref="J874" ca="1">IF(ISNUMBER(A874),IFERROR(_xlfn._xlws.FILTER(Equipar!A:A,(Equipar!B:B=5)*(Equipar!AC:AC=A874)),""),"")</f>
        <v/>
      </c>
    </row>
    <row r="875" spans="1:10" x14ac:dyDescent="0.25">
      <c r="A875" s="1" t="str">
        <f ca="1">IF(A874="ID",1,IF(ISBLANK(B875),"",MAX(A$2:A874)+1))</f>
        <v/>
      </c>
      <c r="I875" s="2" t="str">
        <f ca="1">IF(ISNUMBER(A875),
IF(COUNTIFS(Equipar!B:B,5,Equipar!AC:AC,A875),"Equipada",
IF(
 OR( COUNTIFS(Equipar!B:B,5,Equipar!C:C,A875)
 +COUNTIFS(Equipar!B:B,5,Equipar!D:D,A875)
+COUNTIFS(Equipar!B:B,5,Equipar!E:E,A875)
+COUNTIFS(Equipar!B:B,5,Equipar!F:F,A875)
&gt;0,COUNTIF('Set recomendado'!B:B,C875)=0),
"Bloqueada",
"Desechable")),""
)</f>
        <v/>
      </c>
      <c r="J875" t="str" cm="1">
        <f t="array" aca="1" ref="J875" ca="1">IF(ISNUMBER(A875),IFERROR(_xlfn._xlws.FILTER(Equipar!A:A,(Equipar!B:B=5)*(Equipar!AC:AC=A875)),""),"")</f>
        <v/>
      </c>
    </row>
    <row r="876" spans="1:10" x14ac:dyDescent="0.25">
      <c r="A876" s="1" t="str">
        <f ca="1">IF(A875="ID",1,IF(ISBLANK(B876),"",MAX(A$2:A875)+1))</f>
        <v/>
      </c>
      <c r="I876" s="2" t="str">
        <f ca="1">IF(ISNUMBER(A876),
IF(COUNTIFS(Equipar!B:B,5,Equipar!AC:AC,A876),"Equipada",
IF(
 OR( COUNTIFS(Equipar!B:B,5,Equipar!C:C,A876)
 +COUNTIFS(Equipar!B:B,5,Equipar!D:D,A876)
+COUNTIFS(Equipar!B:B,5,Equipar!E:E,A876)
+COUNTIFS(Equipar!B:B,5,Equipar!F:F,A876)
&gt;0,COUNTIF('Set recomendado'!B:B,C876)=0),
"Bloqueada",
"Desechable")),""
)</f>
        <v/>
      </c>
      <c r="J876" t="str" cm="1">
        <f t="array" aca="1" ref="J876" ca="1">IF(ISNUMBER(A876),IFERROR(_xlfn._xlws.FILTER(Equipar!A:A,(Equipar!B:B=5)*(Equipar!AC:AC=A876)),""),"")</f>
        <v/>
      </c>
    </row>
    <row r="877" spans="1:10" x14ac:dyDescent="0.25">
      <c r="A877" s="1" t="str">
        <f ca="1">IF(A876="ID",1,IF(ISBLANK(B877),"",MAX(A$2:A876)+1))</f>
        <v/>
      </c>
      <c r="I877" s="2" t="str">
        <f ca="1">IF(ISNUMBER(A877),
IF(COUNTIFS(Equipar!B:B,5,Equipar!AC:AC,A877),"Equipada",
IF(
 OR( COUNTIFS(Equipar!B:B,5,Equipar!C:C,A877)
 +COUNTIFS(Equipar!B:B,5,Equipar!D:D,A877)
+COUNTIFS(Equipar!B:B,5,Equipar!E:E,A877)
+COUNTIFS(Equipar!B:B,5,Equipar!F:F,A877)
&gt;0,COUNTIF('Set recomendado'!B:B,C877)=0),
"Bloqueada",
"Desechable")),""
)</f>
        <v/>
      </c>
      <c r="J877" t="str" cm="1">
        <f t="array" aca="1" ref="J877" ca="1">IF(ISNUMBER(A877),IFERROR(_xlfn._xlws.FILTER(Equipar!A:A,(Equipar!B:B=5)*(Equipar!AC:AC=A877)),""),"")</f>
        <v/>
      </c>
    </row>
    <row r="878" spans="1:10" x14ac:dyDescent="0.25">
      <c r="A878" s="1" t="str">
        <f ca="1">IF(A877="ID",1,IF(ISBLANK(B878),"",MAX(A$2:A877)+1))</f>
        <v/>
      </c>
      <c r="I878" s="2" t="str">
        <f ca="1">IF(ISNUMBER(A878),
IF(COUNTIFS(Equipar!B:B,5,Equipar!AC:AC,A878),"Equipada",
IF(
 OR( COUNTIFS(Equipar!B:B,5,Equipar!C:C,A878)
 +COUNTIFS(Equipar!B:B,5,Equipar!D:D,A878)
+COUNTIFS(Equipar!B:B,5,Equipar!E:E,A878)
+COUNTIFS(Equipar!B:B,5,Equipar!F:F,A878)
&gt;0,COUNTIF('Set recomendado'!B:B,C878)=0),
"Bloqueada",
"Desechable")),""
)</f>
        <v/>
      </c>
      <c r="J878" t="str" cm="1">
        <f t="array" aca="1" ref="J878" ca="1">IF(ISNUMBER(A878),IFERROR(_xlfn._xlws.FILTER(Equipar!A:A,(Equipar!B:B=5)*(Equipar!AC:AC=A878)),""),"")</f>
        <v/>
      </c>
    </row>
    <row r="879" spans="1:10" x14ac:dyDescent="0.25">
      <c r="A879" s="1" t="str">
        <f ca="1">IF(A878="ID",1,IF(ISBLANK(B879),"",MAX(A$2:A878)+1))</f>
        <v/>
      </c>
      <c r="I879" s="2" t="str">
        <f ca="1">IF(ISNUMBER(A879),
IF(COUNTIFS(Equipar!B:B,5,Equipar!AC:AC,A879),"Equipada",
IF(
 OR( COUNTIFS(Equipar!B:B,5,Equipar!C:C,A879)
 +COUNTIFS(Equipar!B:B,5,Equipar!D:D,A879)
+COUNTIFS(Equipar!B:B,5,Equipar!E:E,A879)
+COUNTIFS(Equipar!B:B,5,Equipar!F:F,A879)
&gt;0,COUNTIF('Set recomendado'!B:B,C879)=0),
"Bloqueada",
"Desechable")),""
)</f>
        <v/>
      </c>
      <c r="J879" t="str" cm="1">
        <f t="array" aca="1" ref="J879" ca="1">IF(ISNUMBER(A879),IFERROR(_xlfn._xlws.FILTER(Equipar!A:A,(Equipar!B:B=5)*(Equipar!AC:AC=A879)),""),"")</f>
        <v/>
      </c>
    </row>
    <row r="880" spans="1:10" x14ac:dyDescent="0.25">
      <c r="A880" s="1" t="str">
        <f ca="1">IF(A879="ID",1,IF(ISBLANK(B880),"",MAX(A$2:A879)+1))</f>
        <v/>
      </c>
      <c r="I880" s="2" t="str">
        <f ca="1">IF(ISNUMBER(A880),
IF(COUNTIFS(Equipar!B:B,5,Equipar!AC:AC,A880),"Equipada",
IF(
 OR( COUNTIFS(Equipar!B:B,5,Equipar!C:C,A880)
 +COUNTIFS(Equipar!B:B,5,Equipar!D:D,A880)
+COUNTIFS(Equipar!B:B,5,Equipar!E:E,A880)
+COUNTIFS(Equipar!B:B,5,Equipar!F:F,A880)
&gt;0,COUNTIF('Set recomendado'!B:B,C880)=0),
"Bloqueada",
"Desechable")),""
)</f>
        <v/>
      </c>
      <c r="J880" t="str" cm="1">
        <f t="array" aca="1" ref="J880" ca="1">IF(ISNUMBER(A880),IFERROR(_xlfn._xlws.FILTER(Equipar!A:A,(Equipar!B:B=5)*(Equipar!AC:AC=A880)),""),"")</f>
        <v/>
      </c>
    </row>
    <row r="881" spans="1:10" x14ac:dyDescent="0.25">
      <c r="A881" s="1" t="str">
        <f ca="1">IF(A880="ID",1,IF(ISBLANK(B881),"",MAX(A$2:A880)+1))</f>
        <v/>
      </c>
      <c r="I881" s="2" t="str">
        <f ca="1">IF(ISNUMBER(A881),
IF(COUNTIFS(Equipar!B:B,5,Equipar!AC:AC,A881),"Equipada",
IF(
 OR( COUNTIFS(Equipar!B:B,5,Equipar!C:C,A881)
 +COUNTIFS(Equipar!B:B,5,Equipar!D:D,A881)
+COUNTIFS(Equipar!B:B,5,Equipar!E:E,A881)
+COUNTIFS(Equipar!B:B,5,Equipar!F:F,A881)
&gt;0,COUNTIF('Set recomendado'!B:B,C881)=0),
"Bloqueada",
"Desechable")),""
)</f>
        <v/>
      </c>
      <c r="J881" t="str" cm="1">
        <f t="array" aca="1" ref="J881" ca="1">IF(ISNUMBER(A881),IFERROR(_xlfn._xlws.FILTER(Equipar!A:A,(Equipar!B:B=5)*(Equipar!AC:AC=A881)),""),"")</f>
        <v/>
      </c>
    </row>
    <row r="882" spans="1:10" x14ac:dyDescent="0.25">
      <c r="A882" s="1" t="str">
        <f ca="1">IF(A881="ID",1,IF(ISBLANK(B882),"",MAX(A$2:A881)+1))</f>
        <v/>
      </c>
      <c r="I882" s="2" t="str">
        <f ca="1">IF(ISNUMBER(A882),
IF(COUNTIFS(Equipar!B:B,5,Equipar!AC:AC,A882),"Equipada",
IF(
 OR( COUNTIFS(Equipar!B:B,5,Equipar!C:C,A882)
 +COUNTIFS(Equipar!B:B,5,Equipar!D:D,A882)
+COUNTIFS(Equipar!B:B,5,Equipar!E:E,A882)
+COUNTIFS(Equipar!B:B,5,Equipar!F:F,A882)
&gt;0,COUNTIF('Set recomendado'!B:B,C882)=0),
"Bloqueada",
"Desechable")),""
)</f>
        <v/>
      </c>
      <c r="J882" t="str" cm="1">
        <f t="array" aca="1" ref="J882" ca="1">IF(ISNUMBER(A882),IFERROR(_xlfn._xlws.FILTER(Equipar!A:A,(Equipar!B:B=5)*(Equipar!AC:AC=A882)),""),"")</f>
        <v/>
      </c>
    </row>
    <row r="883" spans="1:10" x14ac:dyDescent="0.25">
      <c r="A883" s="1" t="str">
        <f ca="1">IF(A882="ID",1,IF(ISBLANK(B883),"",MAX(A$2:A882)+1))</f>
        <v/>
      </c>
      <c r="I883" s="2" t="str">
        <f ca="1">IF(ISNUMBER(A883),
IF(COUNTIFS(Equipar!B:B,5,Equipar!AC:AC,A883),"Equipada",
IF(
 OR( COUNTIFS(Equipar!B:B,5,Equipar!C:C,A883)
 +COUNTIFS(Equipar!B:B,5,Equipar!D:D,A883)
+COUNTIFS(Equipar!B:B,5,Equipar!E:E,A883)
+COUNTIFS(Equipar!B:B,5,Equipar!F:F,A883)
&gt;0,COUNTIF('Set recomendado'!B:B,C883)=0),
"Bloqueada",
"Desechable")),""
)</f>
        <v/>
      </c>
      <c r="J883" t="str" cm="1">
        <f t="array" aca="1" ref="J883" ca="1">IF(ISNUMBER(A883),IFERROR(_xlfn._xlws.FILTER(Equipar!A:A,(Equipar!B:B=5)*(Equipar!AC:AC=A883)),""),"")</f>
        <v/>
      </c>
    </row>
    <row r="884" spans="1:10" x14ac:dyDescent="0.25">
      <c r="A884" s="1" t="str">
        <f ca="1">IF(A883="ID",1,IF(ISBLANK(B884),"",MAX(A$2:A883)+1))</f>
        <v/>
      </c>
      <c r="I884" s="2" t="str">
        <f ca="1">IF(ISNUMBER(A884),
IF(COUNTIFS(Equipar!B:B,5,Equipar!AC:AC,A884),"Equipada",
IF(
 OR( COUNTIFS(Equipar!B:B,5,Equipar!C:C,A884)
 +COUNTIFS(Equipar!B:B,5,Equipar!D:D,A884)
+COUNTIFS(Equipar!B:B,5,Equipar!E:E,A884)
+COUNTIFS(Equipar!B:B,5,Equipar!F:F,A884)
&gt;0,COUNTIF('Set recomendado'!B:B,C884)=0),
"Bloqueada",
"Desechable")),""
)</f>
        <v/>
      </c>
      <c r="J884" t="str" cm="1">
        <f t="array" aca="1" ref="J884" ca="1">IF(ISNUMBER(A884),IFERROR(_xlfn._xlws.FILTER(Equipar!A:A,(Equipar!B:B=5)*(Equipar!AC:AC=A884)),""),"")</f>
        <v/>
      </c>
    </row>
    <row r="885" spans="1:10" x14ac:dyDescent="0.25">
      <c r="A885" s="1" t="str">
        <f ca="1">IF(A884="ID",1,IF(ISBLANK(B885),"",MAX(A$2:A884)+1))</f>
        <v/>
      </c>
      <c r="I885" s="2" t="str">
        <f ca="1">IF(ISNUMBER(A885),
IF(COUNTIFS(Equipar!B:B,5,Equipar!AC:AC,A885),"Equipada",
IF(
 OR( COUNTIFS(Equipar!B:B,5,Equipar!C:C,A885)
 +COUNTIFS(Equipar!B:B,5,Equipar!D:D,A885)
+COUNTIFS(Equipar!B:B,5,Equipar!E:E,A885)
+COUNTIFS(Equipar!B:B,5,Equipar!F:F,A885)
&gt;0,COUNTIF('Set recomendado'!B:B,C885)=0),
"Bloqueada",
"Desechable")),""
)</f>
        <v/>
      </c>
      <c r="J885" t="str" cm="1">
        <f t="array" aca="1" ref="J885" ca="1">IF(ISNUMBER(A885),IFERROR(_xlfn._xlws.FILTER(Equipar!A:A,(Equipar!B:B=5)*(Equipar!AC:AC=A885)),""),"")</f>
        <v/>
      </c>
    </row>
    <row r="886" spans="1:10" x14ac:dyDescent="0.25">
      <c r="A886" s="1" t="str">
        <f ca="1">IF(A885="ID",1,IF(ISBLANK(B886),"",MAX(A$2:A885)+1))</f>
        <v/>
      </c>
      <c r="I886" s="2" t="str">
        <f ca="1">IF(ISNUMBER(A886),
IF(COUNTIFS(Equipar!B:B,5,Equipar!AC:AC,A886),"Equipada",
IF(
 OR( COUNTIFS(Equipar!B:B,5,Equipar!C:C,A886)
 +COUNTIFS(Equipar!B:B,5,Equipar!D:D,A886)
+COUNTIFS(Equipar!B:B,5,Equipar!E:E,A886)
+COUNTIFS(Equipar!B:B,5,Equipar!F:F,A886)
&gt;0,COUNTIF('Set recomendado'!B:B,C886)=0),
"Bloqueada",
"Desechable")),""
)</f>
        <v/>
      </c>
      <c r="J886" t="str" cm="1">
        <f t="array" aca="1" ref="J886" ca="1">IF(ISNUMBER(A886),IFERROR(_xlfn._xlws.FILTER(Equipar!A:A,(Equipar!B:B=5)*(Equipar!AC:AC=A886)),""),"")</f>
        <v/>
      </c>
    </row>
    <row r="887" spans="1:10" x14ac:dyDescent="0.25">
      <c r="A887" s="1" t="str">
        <f ca="1">IF(A886="ID",1,IF(ISBLANK(B887),"",MAX(A$2:A886)+1))</f>
        <v/>
      </c>
      <c r="I887" s="2" t="str">
        <f ca="1">IF(ISNUMBER(A887),
IF(COUNTIFS(Equipar!B:B,5,Equipar!AC:AC,A887),"Equipada",
IF(
 OR( COUNTIFS(Equipar!B:B,5,Equipar!C:C,A887)
 +COUNTIFS(Equipar!B:B,5,Equipar!D:D,A887)
+COUNTIFS(Equipar!B:B,5,Equipar!E:E,A887)
+COUNTIFS(Equipar!B:B,5,Equipar!F:F,A887)
&gt;0,COUNTIF('Set recomendado'!B:B,C887)=0),
"Bloqueada",
"Desechable")),""
)</f>
        <v/>
      </c>
      <c r="J887" t="str" cm="1">
        <f t="array" aca="1" ref="J887" ca="1">IF(ISNUMBER(A887),IFERROR(_xlfn._xlws.FILTER(Equipar!A:A,(Equipar!B:B=5)*(Equipar!AC:AC=A887)),""),"")</f>
        <v/>
      </c>
    </row>
    <row r="888" spans="1:10" x14ac:dyDescent="0.25">
      <c r="A888" s="1" t="str">
        <f ca="1">IF(A887="ID",1,IF(ISBLANK(B888),"",MAX(A$2:A887)+1))</f>
        <v/>
      </c>
      <c r="I888" s="2" t="str">
        <f ca="1">IF(ISNUMBER(A888),
IF(COUNTIFS(Equipar!B:B,5,Equipar!AC:AC,A888),"Equipada",
IF(
 OR( COUNTIFS(Equipar!B:B,5,Equipar!C:C,A888)
 +COUNTIFS(Equipar!B:B,5,Equipar!D:D,A888)
+COUNTIFS(Equipar!B:B,5,Equipar!E:E,A888)
+COUNTIFS(Equipar!B:B,5,Equipar!F:F,A888)
&gt;0,COUNTIF('Set recomendado'!B:B,C888)=0),
"Bloqueada",
"Desechable")),""
)</f>
        <v/>
      </c>
      <c r="J888" t="str" cm="1">
        <f t="array" aca="1" ref="J888" ca="1">IF(ISNUMBER(A888),IFERROR(_xlfn._xlws.FILTER(Equipar!A:A,(Equipar!B:B=5)*(Equipar!AC:AC=A888)),""),"")</f>
        <v/>
      </c>
    </row>
    <row r="889" spans="1:10" x14ac:dyDescent="0.25">
      <c r="A889" s="1" t="str">
        <f ca="1">IF(A888="ID",1,IF(ISBLANK(B889),"",MAX(A$2:A888)+1))</f>
        <v/>
      </c>
      <c r="I889" s="2" t="str">
        <f ca="1">IF(ISNUMBER(A889),
IF(COUNTIFS(Equipar!B:B,5,Equipar!AC:AC,A889),"Equipada",
IF(
 OR( COUNTIFS(Equipar!B:B,5,Equipar!C:C,A889)
 +COUNTIFS(Equipar!B:B,5,Equipar!D:D,A889)
+COUNTIFS(Equipar!B:B,5,Equipar!E:E,A889)
+COUNTIFS(Equipar!B:B,5,Equipar!F:F,A889)
&gt;0,COUNTIF('Set recomendado'!B:B,C889)=0),
"Bloqueada",
"Desechable")),""
)</f>
        <v/>
      </c>
      <c r="J889" t="str" cm="1">
        <f t="array" aca="1" ref="J889" ca="1">IF(ISNUMBER(A889),IFERROR(_xlfn._xlws.FILTER(Equipar!A:A,(Equipar!B:B=5)*(Equipar!AC:AC=A889)),""),"")</f>
        <v/>
      </c>
    </row>
    <row r="890" spans="1:10" x14ac:dyDescent="0.25">
      <c r="A890" s="1" t="str">
        <f ca="1">IF(A889="ID",1,IF(ISBLANK(B890),"",MAX(A$2:A889)+1))</f>
        <v/>
      </c>
      <c r="I890" s="2" t="str">
        <f ca="1">IF(ISNUMBER(A890),
IF(COUNTIFS(Equipar!B:B,5,Equipar!AC:AC,A890),"Equipada",
IF(
 OR( COUNTIFS(Equipar!B:B,5,Equipar!C:C,A890)
 +COUNTIFS(Equipar!B:B,5,Equipar!D:D,A890)
+COUNTIFS(Equipar!B:B,5,Equipar!E:E,A890)
+COUNTIFS(Equipar!B:B,5,Equipar!F:F,A890)
&gt;0,COUNTIF('Set recomendado'!B:B,C890)=0),
"Bloqueada",
"Desechable")),""
)</f>
        <v/>
      </c>
      <c r="J890" t="str" cm="1">
        <f t="array" aca="1" ref="J890" ca="1">IF(ISNUMBER(A890),IFERROR(_xlfn._xlws.FILTER(Equipar!A:A,(Equipar!B:B=5)*(Equipar!AC:AC=A890)),""),"")</f>
        <v/>
      </c>
    </row>
    <row r="891" spans="1:10" x14ac:dyDescent="0.25">
      <c r="A891" s="1" t="str">
        <f ca="1">IF(A890="ID",1,IF(ISBLANK(B891),"",MAX(A$2:A890)+1))</f>
        <v/>
      </c>
      <c r="I891" s="2" t="str">
        <f ca="1">IF(ISNUMBER(A891),
IF(COUNTIFS(Equipar!B:B,5,Equipar!AC:AC,A891),"Equipada",
IF(
 OR( COUNTIFS(Equipar!B:B,5,Equipar!C:C,A891)
 +COUNTIFS(Equipar!B:B,5,Equipar!D:D,A891)
+COUNTIFS(Equipar!B:B,5,Equipar!E:E,A891)
+COUNTIFS(Equipar!B:B,5,Equipar!F:F,A891)
&gt;0,COUNTIF('Set recomendado'!B:B,C891)=0),
"Bloqueada",
"Desechable")),""
)</f>
        <v/>
      </c>
      <c r="J891" t="str" cm="1">
        <f t="array" aca="1" ref="J891" ca="1">IF(ISNUMBER(A891),IFERROR(_xlfn._xlws.FILTER(Equipar!A:A,(Equipar!B:B=5)*(Equipar!AC:AC=A891)),""),"")</f>
        <v/>
      </c>
    </row>
    <row r="892" spans="1:10" x14ac:dyDescent="0.25">
      <c r="A892" s="1" t="str">
        <f ca="1">IF(A891="ID",1,IF(ISBLANK(B892),"",MAX(A$2:A891)+1))</f>
        <v/>
      </c>
      <c r="I892" s="2" t="str">
        <f ca="1">IF(ISNUMBER(A892),
IF(COUNTIFS(Equipar!B:B,5,Equipar!AC:AC,A892),"Equipada",
IF(
 OR( COUNTIFS(Equipar!B:B,5,Equipar!C:C,A892)
 +COUNTIFS(Equipar!B:B,5,Equipar!D:D,A892)
+COUNTIFS(Equipar!B:B,5,Equipar!E:E,A892)
+COUNTIFS(Equipar!B:B,5,Equipar!F:F,A892)
&gt;0,COUNTIF('Set recomendado'!B:B,C892)=0),
"Bloqueada",
"Desechable")),""
)</f>
        <v/>
      </c>
      <c r="J892" t="str" cm="1">
        <f t="array" aca="1" ref="J892" ca="1">IF(ISNUMBER(A892),IFERROR(_xlfn._xlws.FILTER(Equipar!A:A,(Equipar!B:B=5)*(Equipar!AC:AC=A892)),""),"")</f>
        <v/>
      </c>
    </row>
    <row r="893" spans="1:10" x14ac:dyDescent="0.25">
      <c r="A893" s="1" t="str">
        <f ca="1">IF(A892="ID",1,IF(ISBLANK(B893),"",MAX(A$2:A892)+1))</f>
        <v/>
      </c>
      <c r="I893" s="2" t="str">
        <f ca="1">IF(ISNUMBER(A893),
IF(COUNTIFS(Equipar!B:B,5,Equipar!AC:AC,A893),"Equipada",
IF(
 OR( COUNTIFS(Equipar!B:B,5,Equipar!C:C,A893)
 +COUNTIFS(Equipar!B:B,5,Equipar!D:D,A893)
+COUNTIFS(Equipar!B:B,5,Equipar!E:E,A893)
+COUNTIFS(Equipar!B:B,5,Equipar!F:F,A893)
&gt;0,COUNTIF('Set recomendado'!B:B,C893)=0),
"Bloqueada",
"Desechable")),""
)</f>
        <v/>
      </c>
      <c r="J893" t="str" cm="1">
        <f t="array" aca="1" ref="J893" ca="1">IF(ISNUMBER(A893),IFERROR(_xlfn._xlws.FILTER(Equipar!A:A,(Equipar!B:B=5)*(Equipar!AC:AC=A893)),""),"")</f>
        <v/>
      </c>
    </row>
    <row r="894" spans="1:10" x14ac:dyDescent="0.25">
      <c r="A894" s="1" t="str">
        <f ca="1">IF(A893="ID",1,IF(ISBLANK(B894),"",MAX(A$2:A893)+1))</f>
        <v/>
      </c>
      <c r="I894" s="2" t="str">
        <f ca="1">IF(ISNUMBER(A894),
IF(COUNTIFS(Equipar!B:B,5,Equipar!AC:AC,A894),"Equipada",
IF(
 OR( COUNTIFS(Equipar!B:B,5,Equipar!C:C,A894)
 +COUNTIFS(Equipar!B:B,5,Equipar!D:D,A894)
+COUNTIFS(Equipar!B:B,5,Equipar!E:E,A894)
+COUNTIFS(Equipar!B:B,5,Equipar!F:F,A894)
&gt;0,COUNTIF('Set recomendado'!B:B,C894)=0),
"Bloqueada",
"Desechable")),""
)</f>
        <v/>
      </c>
      <c r="J894" t="str" cm="1">
        <f t="array" aca="1" ref="J894" ca="1">IF(ISNUMBER(A894),IFERROR(_xlfn._xlws.FILTER(Equipar!A:A,(Equipar!B:B=5)*(Equipar!AC:AC=A894)),""),"")</f>
        <v/>
      </c>
    </row>
    <row r="895" spans="1:10" x14ac:dyDescent="0.25">
      <c r="A895" s="1" t="str">
        <f ca="1">IF(A894="ID",1,IF(ISBLANK(B895),"",MAX(A$2:A894)+1))</f>
        <v/>
      </c>
      <c r="I895" s="2" t="str">
        <f ca="1">IF(ISNUMBER(A895),
IF(COUNTIFS(Equipar!B:B,5,Equipar!AC:AC,A895),"Equipada",
IF(
 OR( COUNTIFS(Equipar!B:B,5,Equipar!C:C,A895)
 +COUNTIFS(Equipar!B:B,5,Equipar!D:D,A895)
+COUNTIFS(Equipar!B:B,5,Equipar!E:E,A895)
+COUNTIFS(Equipar!B:B,5,Equipar!F:F,A895)
&gt;0,COUNTIF('Set recomendado'!B:B,C895)=0),
"Bloqueada",
"Desechable")),""
)</f>
        <v/>
      </c>
      <c r="J895" t="str" cm="1">
        <f t="array" aca="1" ref="J895" ca="1">IF(ISNUMBER(A895),IFERROR(_xlfn._xlws.FILTER(Equipar!A:A,(Equipar!B:B=5)*(Equipar!AC:AC=A895)),""),"")</f>
        <v/>
      </c>
    </row>
    <row r="896" spans="1:10" x14ac:dyDescent="0.25">
      <c r="A896" s="1" t="str">
        <f ca="1">IF(A895="ID",1,IF(ISBLANK(B896),"",MAX(A$2:A895)+1))</f>
        <v/>
      </c>
      <c r="I896" s="2" t="str">
        <f ca="1">IF(ISNUMBER(A896),
IF(COUNTIFS(Equipar!B:B,5,Equipar!AC:AC,A896),"Equipada",
IF(
 OR( COUNTIFS(Equipar!B:B,5,Equipar!C:C,A896)
 +COUNTIFS(Equipar!B:B,5,Equipar!D:D,A896)
+COUNTIFS(Equipar!B:B,5,Equipar!E:E,A896)
+COUNTIFS(Equipar!B:B,5,Equipar!F:F,A896)
&gt;0,COUNTIF('Set recomendado'!B:B,C896)=0),
"Bloqueada",
"Desechable")),""
)</f>
        <v/>
      </c>
      <c r="J896" t="str" cm="1">
        <f t="array" aca="1" ref="J896" ca="1">IF(ISNUMBER(A896),IFERROR(_xlfn._xlws.FILTER(Equipar!A:A,(Equipar!B:B=5)*(Equipar!AC:AC=A896)),""),"")</f>
        <v/>
      </c>
    </row>
    <row r="897" spans="1:10" x14ac:dyDescent="0.25">
      <c r="A897" s="1" t="str">
        <f ca="1">IF(A896="ID",1,IF(ISBLANK(B897),"",MAX(A$2:A896)+1))</f>
        <v/>
      </c>
      <c r="I897" s="2" t="str">
        <f ca="1">IF(ISNUMBER(A897),
IF(COUNTIFS(Equipar!B:B,5,Equipar!AC:AC,A897),"Equipada",
IF(
 OR( COUNTIFS(Equipar!B:B,5,Equipar!C:C,A897)
 +COUNTIFS(Equipar!B:B,5,Equipar!D:D,A897)
+COUNTIFS(Equipar!B:B,5,Equipar!E:E,A897)
+COUNTIFS(Equipar!B:B,5,Equipar!F:F,A897)
&gt;0,COUNTIF('Set recomendado'!B:B,C897)=0),
"Bloqueada",
"Desechable")),""
)</f>
        <v/>
      </c>
      <c r="J897" t="str" cm="1">
        <f t="array" aca="1" ref="J897" ca="1">IF(ISNUMBER(A897),IFERROR(_xlfn._xlws.FILTER(Equipar!A:A,(Equipar!B:B=5)*(Equipar!AC:AC=A897)),""),"")</f>
        <v/>
      </c>
    </row>
    <row r="898" spans="1:10" x14ac:dyDescent="0.25">
      <c r="A898" s="1" t="str">
        <f ca="1">IF(A897="ID",1,IF(ISBLANK(B898),"",MAX(A$2:A897)+1))</f>
        <v/>
      </c>
      <c r="I898" s="2" t="str">
        <f ca="1">IF(ISNUMBER(A898),
IF(COUNTIFS(Equipar!B:B,5,Equipar!AC:AC,A898),"Equipada",
IF(
 OR( COUNTIFS(Equipar!B:B,5,Equipar!C:C,A898)
 +COUNTIFS(Equipar!B:B,5,Equipar!D:D,A898)
+COUNTIFS(Equipar!B:B,5,Equipar!E:E,A898)
+COUNTIFS(Equipar!B:B,5,Equipar!F:F,A898)
&gt;0,COUNTIF('Set recomendado'!B:B,C898)=0),
"Bloqueada",
"Desechable")),""
)</f>
        <v/>
      </c>
      <c r="J898" t="str" cm="1">
        <f t="array" aca="1" ref="J898" ca="1">IF(ISNUMBER(A898),IFERROR(_xlfn._xlws.FILTER(Equipar!A:A,(Equipar!B:B=5)*(Equipar!AC:AC=A898)),""),"")</f>
        <v/>
      </c>
    </row>
    <row r="899" spans="1:10" x14ac:dyDescent="0.25">
      <c r="A899" s="1" t="str">
        <f ca="1">IF(A898="ID",1,IF(ISBLANK(B899),"",MAX(A$2:A898)+1))</f>
        <v/>
      </c>
      <c r="I899" s="2" t="str">
        <f ca="1">IF(ISNUMBER(A899),
IF(COUNTIFS(Equipar!B:B,5,Equipar!AC:AC,A899),"Equipada",
IF(
 OR( COUNTIFS(Equipar!B:B,5,Equipar!C:C,A899)
 +COUNTIFS(Equipar!B:B,5,Equipar!D:D,A899)
+COUNTIFS(Equipar!B:B,5,Equipar!E:E,A899)
+COUNTIFS(Equipar!B:B,5,Equipar!F:F,A899)
&gt;0,COUNTIF('Set recomendado'!B:B,C899)=0),
"Bloqueada",
"Desechable")),""
)</f>
        <v/>
      </c>
      <c r="J899" t="str" cm="1">
        <f t="array" aca="1" ref="J899" ca="1">IF(ISNUMBER(A899),IFERROR(_xlfn._xlws.FILTER(Equipar!A:A,(Equipar!B:B=5)*(Equipar!AC:AC=A899)),""),"")</f>
        <v/>
      </c>
    </row>
    <row r="900" spans="1:10" x14ac:dyDescent="0.25">
      <c r="A900" s="1" t="str">
        <f ca="1">IF(A899="ID",1,IF(ISBLANK(B900),"",MAX(A$2:A899)+1))</f>
        <v/>
      </c>
      <c r="I900" s="2" t="str">
        <f ca="1">IF(ISNUMBER(A900),
IF(COUNTIFS(Equipar!B:B,5,Equipar!AC:AC,A900),"Equipada",
IF(
 OR( COUNTIFS(Equipar!B:B,5,Equipar!C:C,A900)
 +COUNTIFS(Equipar!B:B,5,Equipar!D:D,A900)
+COUNTIFS(Equipar!B:B,5,Equipar!E:E,A900)
+COUNTIFS(Equipar!B:B,5,Equipar!F:F,A900)
&gt;0,COUNTIF('Set recomendado'!B:B,C900)=0),
"Bloqueada",
"Desechable")),""
)</f>
        <v/>
      </c>
      <c r="J900" t="str" cm="1">
        <f t="array" aca="1" ref="J900" ca="1">IF(ISNUMBER(A900),IFERROR(_xlfn._xlws.FILTER(Equipar!A:A,(Equipar!B:B=5)*(Equipar!AC:AC=A900)),""),"")</f>
        <v/>
      </c>
    </row>
    <row r="901" spans="1:10" x14ac:dyDescent="0.25">
      <c r="A901" s="1" t="str">
        <f ca="1">IF(A900="ID",1,IF(ISBLANK(B901),"",MAX(A$2:A900)+1))</f>
        <v/>
      </c>
      <c r="I901" s="2" t="str">
        <f ca="1">IF(ISNUMBER(A901),
IF(COUNTIFS(Equipar!B:B,5,Equipar!AC:AC,A901),"Equipada",
IF(
 OR( COUNTIFS(Equipar!B:B,5,Equipar!C:C,A901)
 +COUNTIFS(Equipar!B:B,5,Equipar!D:D,A901)
+COUNTIFS(Equipar!B:B,5,Equipar!E:E,A901)
+COUNTIFS(Equipar!B:B,5,Equipar!F:F,A901)
&gt;0,COUNTIF('Set recomendado'!B:B,C901)=0),
"Bloqueada",
"Desechable")),""
)</f>
        <v/>
      </c>
      <c r="J901" t="str" cm="1">
        <f t="array" aca="1" ref="J901" ca="1">IF(ISNUMBER(A901),IFERROR(_xlfn._xlws.FILTER(Equipar!A:A,(Equipar!B:B=5)*(Equipar!AC:AC=A901)),""),"")</f>
        <v/>
      </c>
    </row>
    <row r="902" spans="1:10" x14ac:dyDescent="0.25">
      <c r="A902" s="1" t="str">
        <f ca="1">IF(A901="ID",1,IF(ISBLANK(B902),"",MAX(A$2:A901)+1))</f>
        <v/>
      </c>
      <c r="I902" s="2" t="str">
        <f ca="1">IF(ISNUMBER(A902),
IF(COUNTIFS(Equipar!B:B,5,Equipar!AC:AC,A902),"Equipada",
IF(
 OR( COUNTIFS(Equipar!B:B,5,Equipar!C:C,A902)
 +COUNTIFS(Equipar!B:B,5,Equipar!D:D,A902)
+COUNTIFS(Equipar!B:B,5,Equipar!E:E,A902)
+COUNTIFS(Equipar!B:B,5,Equipar!F:F,A902)
&gt;0,COUNTIF('Set recomendado'!B:B,C902)=0),
"Bloqueada",
"Desechable")),""
)</f>
        <v/>
      </c>
      <c r="J902" t="str" cm="1">
        <f t="array" aca="1" ref="J902" ca="1">IF(ISNUMBER(A902),IFERROR(_xlfn._xlws.FILTER(Equipar!A:A,(Equipar!B:B=5)*(Equipar!AC:AC=A902)),""),"")</f>
        <v/>
      </c>
    </row>
    <row r="903" spans="1:10" x14ac:dyDescent="0.25">
      <c r="A903" s="1" t="str">
        <f ca="1">IF(A902="ID",1,IF(ISBLANK(B903),"",MAX(A$2:A902)+1))</f>
        <v/>
      </c>
      <c r="I903" s="2" t="str">
        <f ca="1">IF(ISNUMBER(A903),
IF(COUNTIFS(Equipar!B:B,5,Equipar!AC:AC,A903),"Equipada",
IF(
 OR( COUNTIFS(Equipar!B:B,5,Equipar!C:C,A903)
 +COUNTIFS(Equipar!B:B,5,Equipar!D:D,A903)
+COUNTIFS(Equipar!B:B,5,Equipar!E:E,A903)
+COUNTIFS(Equipar!B:B,5,Equipar!F:F,A903)
&gt;0,COUNTIF('Set recomendado'!B:B,C903)=0),
"Bloqueada",
"Desechable")),""
)</f>
        <v/>
      </c>
      <c r="J903" t="str" cm="1">
        <f t="array" aca="1" ref="J903" ca="1">IF(ISNUMBER(A903),IFERROR(_xlfn._xlws.FILTER(Equipar!A:A,(Equipar!B:B=5)*(Equipar!AC:AC=A903)),""),"")</f>
        <v/>
      </c>
    </row>
    <row r="904" spans="1:10" x14ac:dyDescent="0.25">
      <c r="A904" s="1" t="str">
        <f ca="1">IF(A903="ID",1,IF(ISBLANK(B904),"",MAX(A$2:A903)+1))</f>
        <v/>
      </c>
      <c r="I904" s="2" t="str">
        <f ca="1">IF(ISNUMBER(A904),
IF(COUNTIFS(Equipar!B:B,5,Equipar!AC:AC,A904),"Equipada",
IF(
 OR( COUNTIFS(Equipar!B:B,5,Equipar!C:C,A904)
 +COUNTIFS(Equipar!B:B,5,Equipar!D:D,A904)
+COUNTIFS(Equipar!B:B,5,Equipar!E:E,A904)
+COUNTIFS(Equipar!B:B,5,Equipar!F:F,A904)
&gt;0,COUNTIF('Set recomendado'!B:B,C904)=0),
"Bloqueada",
"Desechable")),""
)</f>
        <v/>
      </c>
      <c r="J904" t="str" cm="1">
        <f t="array" aca="1" ref="J904" ca="1">IF(ISNUMBER(A904),IFERROR(_xlfn._xlws.FILTER(Equipar!A:A,(Equipar!B:B=5)*(Equipar!AC:AC=A904)),""),"")</f>
        <v/>
      </c>
    </row>
    <row r="905" spans="1:10" x14ac:dyDescent="0.25">
      <c r="A905" s="1" t="str">
        <f ca="1">IF(A904="ID",1,IF(ISBLANK(B905),"",MAX(A$2:A904)+1))</f>
        <v/>
      </c>
      <c r="I905" s="2" t="str">
        <f ca="1">IF(ISNUMBER(A905),
IF(COUNTIFS(Equipar!B:B,5,Equipar!AC:AC,A905),"Equipada",
IF(
 OR( COUNTIFS(Equipar!B:B,5,Equipar!C:C,A905)
 +COUNTIFS(Equipar!B:B,5,Equipar!D:D,A905)
+COUNTIFS(Equipar!B:B,5,Equipar!E:E,A905)
+COUNTIFS(Equipar!B:B,5,Equipar!F:F,A905)
&gt;0,COUNTIF('Set recomendado'!B:B,C905)=0),
"Bloqueada",
"Desechable")),""
)</f>
        <v/>
      </c>
      <c r="J905" t="str" cm="1">
        <f t="array" aca="1" ref="J905" ca="1">IF(ISNUMBER(A905),IFERROR(_xlfn._xlws.FILTER(Equipar!A:A,(Equipar!B:B=5)*(Equipar!AC:AC=A905)),""),"")</f>
        <v/>
      </c>
    </row>
    <row r="906" spans="1:10" x14ac:dyDescent="0.25">
      <c r="A906" s="1" t="str">
        <f ca="1">IF(A905="ID",1,IF(ISBLANK(B906),"",MAX(A$2:A905)+1))</f>
        <v/>
      </c>
      <c r="I906" s="2" t="str">
        <f ca="1">IF(ISNUMBER(A906),
IF(COUNTIFS(Equipar!B:B,5,Equipar!AC:AC,A906),"Equipada",
IF(
 OR( COUNTIFS(Equipar!B:B,5,Equipar!C:C,A906)
 +COUNTIFS(Equipar!B:B,5,Equipar!D:D,A906)
+COUNTIFS(Equipar!B:B,5,Equipar!E:E,A906)
+COUNTIFS(Equipar!B:B,5,Equipar!F:F,A906)
&gt;0,COUNTIF('Set recomendado'!B:B,C906)=0),
"Bloqueada",
"Desechable")),""
)</f>
        <v/>
      </c>
      <c r="J906" t="str" cm="1">
        <f t="array" aca="1" ref="J906" ca="1">IF(ISNUMBER(A906),IFERROR(_xlfn._xlws.FILTER(Equipar!A:A,(Equipar!B:B=5)*(Equipar!AC:AC=A906)),""),"")</f>
        <v/>
      </c>
    </row>
    <row r="907" spans="1:10" x14ac:dyDescent="0.25">
      <c r="A907" s="1" t="str">
        <f ca="1">IF(A906="ID",1,IF(ISBLANK(B907),"",MAX(A$2:A906)+1))</f>
        <v/>
      </c>
      <c r="I907" s="2" t="str">
        <f ca="1">IF(ISNUMBER(A907),
IF(COUNTIFS(Equipar!B:B,5,Equipar!AC:AC,A907),"Equipada",
IF(
 OR( COUNTIFS(Equipar!B:B,5,Equipar!C:C,A907)
 +COUNTIFS(Equipar!B:B,5,Equipar!D:D,A907)
+COUNTIFS(Equipar!B:B,5,Equipar!E:E,A907)
+COUNTIFS(Equipar!B:B,5,Equipar!F:F,A907)
&gt;0,COUNTIF('Set recomendado'!B:B,C907)=0),
"Bloqueada",
"Desechable")),""
)</f>
        <v/>
      </c>
      <c r="J907" t="str" cm="1">
        <f t="array" aca="1" ref="J907" ca="1">IF(ISNUMBER(A907),IFERROR(_xlfn._xlws.FILTER(Equipar!A:A,(Equipar!B:B=5)*(Equipar!AC:AC=A907)),""),"")</f>
        <v/>
      </c>
    </row>
    <row r="908" spans="1:10" x14ac:dyDescent="0.25">
      <c r="A908" s="1" t="str">
        <f ca="1">IF(A907="ID",1,IF(ISBLANK(B908),"",MAX(A$2:A907)+1))</f>
        <v/>
      </c>
      <c r="I908" s="2" t="str">
        <f ca="1">IF(ISNUMBER(A908),
IF(COUNTIFS(Equipar!B:B,5,Equipar!AC:AC,A908),"Equipada",
IF(
 OR( COUNTIFS(Equipar!B:B,5,Equipar!C:C,A908)
 +COUNTIFS(Equipar!B:B,5,Equipar!D:D,A908)
+COUNTIFS(Equipar!B:B,5,Equipar!E:E,A908)
+COUNTIFS(Equipar!B:B,5,Equipar!F:F,A908)
&gt;0,COUNTIF('Set recomendado'!B:B,C908)=0),
"Bloqueada",
"Desechable")),""
)</f>
        <v/>
      </c>
      <c r="J908" t="str" cm="1">
        <f t="array" aca="1" ref="J908" ca="1">IF(ISNUMBER(A908),IFERROR(_xlfn._xlws.FILTER(Equipar!A:A,(Equipar!B:B=5)*(Equipar!AC:AC=A908)),""),"")</f>
        <v/>
      </c>
    </row>
    <row r="909" spans="1:10" x14ac:dyDescent="0.25">
      <c r="A909" s="1" t="str">
        <f ca="1">IF(A908="ID",1,IF(ISBLANK(B909),"",MAX(A$2:A908)+1))</f>
        <v/>
      </c>
      <c r="I909" s="2" t="str">
        <f ca="1">IF(ISNUMBER(A909),
IF(COUNTIFS(Equipar!B:B,5,Equipar!AC:AC,A909),"Equipada",
IF(
 OR( COUNTIFS(Equipar!B:B,5,Equipar!C:C,A909)
 +COUNTIFS(Equipar!B:B,5,Equipar!D:D,A909)
+COUNTIFS(Equipar!B:B,5,Equipar!E:E,A909)
+COUNTIFS(Equipar!B:B,5,Equipar!F:F,A909)
&gt;0,COUNTIF('Set recomendado'!B:B,C909)=0),
"Bloqueada",
"Desechable")),""
)</f>
        <v/>
      </c>
      <c r="J909" t="str" cm="1">
        <f t="array" aca="1" ref="J909" ca="1">IF(ISNUMBER(A909),IFERROR(_xlfn._xlws.FILTER(Equipar!A:A,(Equipar!B:B=5)*(Equipar!AC:AC=A909)),""),"")</f>
        <v/>
      </c>
    </row>
    <row r="910" spans="1:10" x14ac:dyDescent="0.25">
      <c r="A910" s="1" t="str">
        <f ca="1">IF(A909="ID",1,IF(ISBLANK(B910),"",MAX(A$2:A909)+1))</f>
        <v/>
      </c>
      <c r="I910" s="2" t="str">
        <f ca="1">IF(ISNUMBER(A910),
IF(COUNTIFS(Equipar!B:B,5,Equipar!AC:AC,A910),"Equipada",
IF(
 OR( COUNTIFS(Equipar!B:B,5,Equipar!C:C,A910)
 +COUNTIFS(Equipar!B:B,5,Equipar!D:D,A910)
+COUNTIFS(Equipar!B:B,5,Equipar!E:E,A910)
+COUNTIFS(Equipar!B:B,5,Equipar!F:F,A910)
&gt;0,COUNTIF('Set recomendado'!B:B,C910)=0),
"Bloqueada",
"Desechable")),""
)</f>
        <v/>
      </c>
      <c r="J910" t="str" cm="1">
        <f t="array" aca="1" ref="J910" ca="1">IF(ISNUMBER(A910),IFERROR(_xlfn._xlws.FILTER(Equipar!A:A,(Equipar!B:B=5)*(Equipar!AC:AC=A910)),""),"")</f>
        <v/>
      </c>
    </row>
    <row r="911" spans="1:10" x14ac:dyDescent="0.25">
      <c r="A911" s="1" t="str">
        <f ca="1">IF(A910="ID",1,IF(ISBLANK(B911),"",MAX(A$2:A910)+1))</f>
        <v/>
      </c>
      <c r="I911" s="2" t="str">
        <f ca="1">IF(ISNUMBER(A911),
IF(COUNTIFS(Equipar!B:B,5,Equipar!AC:AC,A911),"Equipada",
IF(
 OR( COUNTIFS(Equipar!B:B,5,Equipar!C:C,A911)
 +COUNTIFS(Equipar!B:B,5,Equipar!D:D,A911)
+COUNTIFS(Equipar!B:B,5,Equipar!E:E,A911)
+COUNTIFS(Equipar!B:B,5,Equipar!F:F,A911)
&gt;0,COUNTIF('Set recomendado'!B:B,C911)=0),
"Bloqueada",
"Desechable")),""
)</f>
        <v/>
      </c>
      <c r="J911" t="str" cm="1">
        <f t="array" aca="1" ref="J911" ca="1">IF(ISNUMBER(A911),IFERROR(_xlfn._xlws.FILTER(Equipar!A:A,(Equipar!B:B=5)*(Equipar!AC:AC=A911)),""),"")</f>
        <v/>
      </c>
    </row>
    <row r="912" spans="1:10" x14ac:dyDescent="0.25">
      <c r="A912" s="1" t="str">
        <f ca="1">IF(A911="ID",1,IF(ISBLANK(B912),"",MAX(A$2:A911)+1))</f>
        <v/>
      </c>
      <c r="I912" s="2" t="str">
        <f ca="1">IF(ISNUMBER(A912),
IF(COUNTIFS(Equipar!B:B,5,Equipar!AC:AC,A912),"Equipada",
IF(
 OR( COUNTIFS(Equipar!B:B,5,Equipar!C:C,A912)
 +COUNTIFS(Equipar!B:B,5,Equipar!D:D,A912)
+COUNTIFS(Equipar!B:B,5,Equipar!E:E,A912)
+COUNTIFS(Equipar!B:B,5,Equipar!F:F,A912)
&gt;0,COUNTIF('Set recomendado'!B:B,C912)=0),
"Bloqueada",
"Desechable")),""
)</f>
        <v/>
      </c>
      <c r="J912" t="str" cm="1">
        <f t="array" aca="1" ref="J912" ca="1">IF(ISNUMBER(A912),IFERROR(_xlfn._xlws.FILTER(Equipar!A:A,(Equipar!B:B=5)*(Equipar!AC:AC=A912)),""),"")</f>
        <v/>
      </c>
    </row>
    <row r="913" spans="1:10" x14ac:dyDescent="0.25">
      <c r="A913" s="1" t="str">
        <f ca="1">IF(A912="ID",1,IF(ISBLANK(B913),"",MAX(A$2:A912)+1))</f>
        <v/>
      </c>
      <c r="I913" s="2" t="str">
        <f ca="1">IF(ISNUMBER(A913),
IF(COUNTIFS(Equipar!B:B,5,Equipar!AC:AC,A913),"Equipada",
IF(
 OR( COUNTIFS(Equipar!B:B,5,Equipar!C:C,A913)
 +COUNTIFS(Equipar!B:B,5,Equipar!D:D,A913)
+COUNTIFS(Equipar!B:B,5,Equipar!E:E,A913)
+COUNTIFS(Equipar!B:B,5,Equipar!F:F,A913)
&gt;0,COUNTIF('Set recomendado'!B:B,C913)=0),
"Bloqueada",
"Desechable")),""
)</f>
        <v/>
      </c>
      <c r="J913" t="str" cm="1">
        <f t="array" aca="1" ref="J913" ca="1">IF(ISNUMBER(A913),IFERROR(_xlfn._xlws.FILTER(Equipar!A:A,(Equipar!B:B=5)*(Equipar!AC:AC=A913)),""),"")</f>
        <v/>
      </c>
    </row>
    <row r="914" spans="1:10" x14ac:dyDescent="0.25">
      <c r="A914" s="1" t="str">
        <f ca="1">IF(A913="ID",1,IF(ISBLANK(B914),"",MAX(A$2:A913)+1))</f>
        <v/>
      </c>
      <c r="I914" s="2" t="str">
        <f ca="1">IF(ISNUMBER(A914),
IF(COUNTIFS(Equipar!B:B,5,Equipar!AC:AC,A914),"Equipada",
IF(
 OR( COUNTIFS(Equipar!B:B,5,Equipar!C:C,A914)
 +COUNTIFS(Equipar!B:B,5,Equipar!D:D,A914)
+COUNTIFS(Equipar!B:B,5,Equipar!E:E,A914)
+COUNTIFS(Equipar!B:B,5,Equipar!F:F,A914)
&gt;0,COUNTIF('Set recomendado'!B:B,C914)=0),
"Bloqueada",
"Desechable")),""
)</f>
        <v/>
      </c>
      <c r="J914" t="str" cm="1">
        <f t="array" aca="1" ref="J914" ca="1">IF(ISNUMBER(A914),IFERROR(_xlfn._xlws.FILTER(Equipar!A:A,(Equipar!B:B=5)*(Equipar!AC:AC=A914)),""),"")</f>
        <v/>
      </c>
    </row>
    <row r="915" spans="1:10" x14ac:dyDescent="0.25">
      <c r="A915" s="1" t="str">
        <f ca="1">IF(A914="ID",1,IF(ISBLANK(B915),"",MAX(A$2:A914)+1))</f>
        <v/>
      </c>
      <c r="I915" s="2" t="str">
        <f ca="1">IF(ISNUMBER(A915),
IF(COUNTIFS(Equipar!B:B,5,Equipar!AC:AC,A915),"Equipada",
IF(
 OR( COUNTIFS(Equipar!B:B,5,Equipar!C:C,A915)
 +COUNTIFS(Equipar!B:B,5,Equipar!D:D,A915)
+COUNTIFS(Equipar!B:B,5,Equipar!E:E,A915)
+COUNTIFS(Equipar!B:B,5,Equipar!F:F,A915)
&gt;0,COUNTIF('Set recomendado'!B:B,C915)=0),
"Bloqueada",
"Desechable")),""
)</f>
        <v/>
      </c>
      <c r="J915" t="str" cm="1">
        <f t="array" aca="1" ref="J915" ca="1">IF(ISNUMBER(A915),IFERROR(_xlfn._xlws.FILTER(Equipar!A:A,(Equipar!B:B=5)*(Equipar!AC:AC=A915)),""),"")</f>
        <v/>
      </c>
    </row>
    <row r="916" spans="1:10" x14ac:dyDescent="0.25">
      <c r="A916" s="1" t="str">
        <f ca="1">IF(A915="ID",1,IF(ISBLANK(B916),"",MAX(A$2:A915)+1))</f>
        <v/>
      </c>
      <c r="I916" s="2" t="str">
        <f ca="1">IF(ISNUMBER(A916),
IF(COUNTIFS(Equipar!B:B,5,Equipar!AC:AC,A916),"Equipada",
IF(
 OR( COUNTIFS(Equipar!B:B,5,Equipar!C:C,A916)
 +COUNTIFS(Equipar!B:B,5,Equipar!D:D,A916)
+COUNTIFS(Equipar!B:B,5,Equipar!E:E,A916)
+COUNTIFS(Equipar!B:B,5,Equipar!F:F,A916)
&gt;0,COUNTIF('Set recomendado'!B:B,C916)=0),
"Bloqueada",
"Desechable")),""
)</f>
        <v/>
      </c>
      <c r="J916" t="str" cm="1">
        <f t="array" aca="1" ref="J916" ca="1">IF(ISNUMBER(A916),IFERROR(_xlfn._xlws.FILTER(Equipar!A:A,(Equipar!B:B=5)*(Equipar!AC:AC=A916)),""),"")</f>
        <v/>
      </c>
    </row>
    <row r="917" spans="1:10" x14ac:dyDescent="0.25">
      <c r="A917" s="1" t="str">
        <f ca="1">IF(A916="ID",1,IF(ISBLANK(B917),"",MAX(A$2:A916)+1))</f>
        <v/>
      </c>
      <c r="I917" s="2" t="str">
        <f ca="1">IF(ISNUMBER(A917),
IF(COUNTIFS(Equipar!B:B,5,Equipar!AC:AC,A917),"Equipada",
IF(
 OR( COUNTIFS(Equipar!B:B,5,Equipar!C:C,A917)
 +COUNTIFS(Equipar!B:B,5,Equipar!D:D,A917)
+COUNTIFS(Equipar!B:B,5,Equipar!E:E,A917)
+COUNTIFS(Equipar!B:B,5,Equipar!F:F,A917)
&gt;0,COUNTIF('Set recomendado'!B:B,C917)=0),
"Bloqueada",
"Desechable")),""
)</f>
        <v/>
      </c>
      <c r="J917" t="str" cm="1">
        <f t="array" aca="1" ref="J917" ca="1">IF(ISNUMBER(A917),IFERROR(_xlfn._xlws.FILTER(Equipar!A:A,(Equipar!B:B=5)*(Equipar!AC:AC=A917)),""),"")</f>
        <v/>
      </c>
    </row>
    <row r="918" spans="1:10" x14ac:dyDescent="0.25">
      <c r="A918" s="1" t="str">
        <f ca="1">IF(A917="ID",1,IF(ISBLANK(B918),"",MAX(A$2:A917)+1))</f>
        <v/>
      </c>
      <c r="I918" s="2" t="str">
        <f ca="1">IF(ISNUMBER(A918),
IF(COUNTIFS(Equipar!B:B,5,Equipar!AC:AC,A918),"Equipada",
IF(
 OR( COUNTIFS(Equipar!B:B,5,Equipar!C:C,A918)
 +COUNTIFS(Equipar!B:B,5,Equipar!D:D,A918)
+COUNTIFS(Equipar!B:B,5,Equipar!E:E,A918)
+COUNTIFS(Equipar!B:B,5,Equipar!F:F,A918)
&gt;0,COUNTIF('Set recomendado'!B:B,C918)=0),
"Bloqueada",
"Desechable")),""
)</f>
        <v/>
      </c>
      <c r="J918" t="str" cm="1">
        <f t="array" aca="1" ref="J918" ca="1">IF(ISNUMBER(A918),IFERROR(_xlfn._xlws.FILTER(Equipar!A:A,(Equipar!B:B=5)*(Equipar!AC:AC=A918)),""),"")</f>
        <v/>
      </c>
    </row>
    <row r="919" spans="1:10" x14ac:dyDescent="0.25">
      <c r="A919" s="1" t="str">
        <f ca="1">IF(A918="ID",1,IF(ISBLANK(B919),"",MAX(A$2:A918)+1))</f>
        <v/>
      </c>
      <c r="I919" s="2" t="str">
        <f ca="1">IF(ISNUMBER(A919),
IF(COUNTIFS(Equipar!B:B,5,Equipar!AC:AC,A919),"Equipada",
IF(
 OR( COUNTIFS(Equipar!B:B,5,Equipar!C:C,A919)
 +COUNTIFS(Equipar!B:B,5,Equipar!D:D,A919)
+COUNTIFS(Equipar!B:B,5,Equipar!E:E,A919)
+COUNTIFS(Equipar!B:B,5,Equipar!F:F,A919)
&gt;0,COUNTIF('Set recomendado'!B:B,C919)=0),
"Bloqueada",
"Desechable")),""
)</f>
        <v/>
      </c>
      <c r="J919" t="str" cm="1">
        <f t="array" aca="1" ref="J919" ca="1">IF(ISNUMBER(A919),IFERROR(_xlfn._xlws.FILTER(Equipar!A:A,(Equipar!B:B=5)*(Equipar!AC:AC=A919)),""),"")</f>
        <v/>
      </c>
    </row>
    <row r="920" spans="1:10" x14ac:dyDescent="0.25">
      <c r="A920" s="1" t="str">
        <f ca="1">IF(A919="ID",1,IF(ISBLANK(B920),"",MAX(A$2:A919)+1))</f>
        <v/>
      </c>
      <c r="I920" s="2" t="str">
        <f ca="1">IF(ISNUMBER(A920),
IF(COUNTIFS(Equipar!B:B,5,Equipar!AC:AC,A920),"Equipada",
IF(
 OR( COUNTIFS(Equipar!B:B,5,Equipar!C:C,A920)
 +COUNTIFS(Equipar!B:B,5,Equipar!D:D,A920)
+COUNTIFS(Equipar!B:B,5,Equipar!E:E,A920)
+COUNTIFS(Equipar!B:B,5,Equipar!F:F,A920)
&gt;0,COUNTIF('Set recomendado'!B:B,C920)=0),
"Bloqueada",
"Desechable")),""
)</f>
        <v/>
      </c>
      <c r="J920" t="str" cm="1">
        <f t="array" aca="1" ref="J920" ca="1">IF(ISNUMBER(A920),IFERROR(_xlfn._xlws.FILTER(Equipar!A:A,(Equipar!B:B=5)*(Equipar!AC:AC=A920)),""),"")</f>
        <v/>
      </c>
    </row>
    <row r="921" spans="1:10" x14ac:dyDescent="0.25">
      <c r="A921" s="1" t="str">
        <f ca="1">IF(A920="ID",1,IF(ISBLANK(B921),"",MAX(A$2:A920)+1))</f>
        <v/>
      </c>
      <c r="I921" s="2" t="str">
        <f ca="1">IF(ISNUMBER(A921),
IF(COUNTIFS(Equipar!B:B,5,Equipar!AC:AC,A921),"Equipada",
IF(
 OR( COUNTIFS(Equipar!B:B,5,Equipar!C:C,A921)
 +COUNTIFS(Equipar!B:B,5,Equipar!D:D,A921)
+COUNTIFS(Equipar!B:B,5,Equipar!E:E,A921)
+COUNTIFS(Equipar!B:B,5,Equipar!F:F,A921)
&gt;0,COUNTIF('Set recomendado'!B:B,C921)=0),
"Bloqueada",
"Desechable")),""
)</f>
        <v/>
      </c>
      <c r="J921" t="str" cm="1">
        <f t="array" aca="1" ref="J921" ca="1">IF(ISNUMBER(A921),IFERROR(_xlfn._xlws.FILTER(Equipar!A:A,(Equipar!B:B=5)*(Equipar!AC:AC=A921)),""),"")</f>
        <v/>
      </c>
    </row>
    <row r="922" spans="1:10" x14ac:dyDescent="0.25">
      <c r="A922" s="1" t="str">
        <f ca="1">IF(A921="ID",1,IF(ISBLANK(B922),"",MAX(A$2:A921)+1))</f>
        <v/>
      </c>
      <c r="I922" s="2" t="str">
        <f ca="1">IF(ISNUMBER(A922),
IF(COUNTIFS(Equipar!B:B,5,Equipar!AC:AC,A922),"Equipada",
IF(
 OR( COUNTIFS(Equipar!B:B,5,Equipar!C:C,A922)
 +COUNTIFS(Equipar!B:B,5,Equipar!D:D,A922)
+COUNTIFS(Equipar!B:B,5,Equipar!E:E,A922)
+COUNTIFS(Equipar!B:B,5,Equipar!F:F,A922)
&gt;0,COUNTIF('Set recomendado'!B:B,C922)=0),
"Bloqueada",
"Desechable")),""
)</f>
        <v/>
      </c>
      <c r="J922" t="str" cm="1">
        <f t="array" aca="1" ref="J922" ca="1">IF(ISNUMBER(A922),IFERROR(_xlfn._xlws.FILTER(Equipar!A:A,(Equipar!B:B=5)*(Equipar!AC:AC=A922)),""),"")</f>
        <v/>
      </c>
    </row>
    <row r="923" spans="1:10" x14ac:dyDescent="0.25">
      <c r="A923" s="1" t="str">
        <f ca="1">IF(A922="ID",1,IF(ISBLANK(B923),"",MAX(A$2:A922)+1))</f>
        <v/>
      </c>
      <c r="I923" s="2" t="str">
        <f ca="1">IF(ISNUMBER(A923),
IF(COUNTIFS(Equipar!B:B,5,Equipar!AC:AC,A923),"Equipada",
IF(
 OR( COUNTIFS(Equipar!B:B,5,Equipar!C:C,A923)
 +COUNTIFS(Equipar!B:B,5,Equipar!D:D,A923)
+COUNTIFS(Equipar!B:B,5,Equipar!E:E,A923)
+COUNTIFS(Equipar!B:B,5,Equipar!F:F,A923)
&gt;0,COUNTIF('Set recomendado'!B:B,C923)=0),
"Bloqueada",
"Desechable")),""
)</f>
        <v/>
      </c>
      <c r="J923" t="str" cm="1">
        <f t="array" aca="1" ref="J923" ca="1">IF(ISNUMBER(A923),IFERROR(_xlfn._xlws.FILTER(Equipar!A:A,(Equipar!B:B=5)*(Equipar!AC:AC=A923)),""),"")</f>
        <v/>
      </c>
    </row>
    <row r="924" spans="1:10" x14ac:dyDescent="0.25">
      <c r="A924" s="1" t="str">
        <f ca="1">IF(A923="ID",1,IF(ISBLANK(B924),"",MAX(A$2:A923)+1))</f>
        <v/>
      </c>
      <c r="I924" s="2" t="str">
        <f ca="1">IF(ISNUMBER(A924),
IF(COUNTIFS(Equipar!B:B,5,Equipar!AC:AC,A924),"Equipada",
IF(
 OR( COUNTIFS(Equipar!B:B,5,Equipar!C:C,A924)
 +COUNTIFS(Equipar!B:B,5,Equipar!D:D,A924)
+COUNTIFS(Equipar!B:B,5,Equipar!E:E,A924)
+COUNTIFS(Equipar!B:B,5,Equipar!F:F,A924)
&gt;0,COUNTIF('Set recomendado'!B:B,C924)=0),
"Bloqueada",
"Desechable")),""
)</f>
        <v/>
      </c>
      <c r="J924" t="str" cm="1">
        <f t="array" aca="1" ref="J924" ca="1">IF(ISNUMBER(A924),IFERROR(_xlfn._xlws.FILTER(Equipar!A:A,(Equipar!B:B=5)*(Equipar!AC:AC=A924)),""),"")</f>
        <v/>
      </c>
    </row>
    <row r="925" spans="1:10" x14ac:dyDescent="0.25">
      <c r="A925" s="1" t="str">
        <f ca="1">IF(A924="ID",1,IF(ISBLANK(B925),"",MAX(A$2:A924)+1))</f>
        <v/>
      </c>
      <c r="I925" s="2" t="str">
        <f ca="1">IF(ISNUMBER(A925),
IF(COUNTIFS(Equipar!B:B,5,Equipar!AC:AC,A925),"Equipada",
IF(
 OR( COUNTIFS(Equipar!B:B,5,Equipar!C:C,A925)
 +COUNTIFS(Equipar!B:B,5,Equipar!D:D,A925)
+COUNTIFS(Equipar!B:B,5,Equipar!E:E,A925)
+COUNTIFS(Equipar!B:B,5,Equipar!F:F,A925)
&gt;0,COUNTIF('Set recomendado'!B:B,C925)=0),
"Bloqueada",
"Desechable")),""
)</f>
        <v/>
      </c>
      <c r="J925" t="str" cm="1">
        <f t="array" aca="1" ref="J925" ca="1">IF(ISNUMBER(A925),IFERROR(_xlfn._xlws.FILTER(Equipar!A:A,(Equipar!B:B=5)*(Equipar!AC:AC=A925)),""),"")</f>
        <v/>
      </c>
    </row>
    <row r="926" spans="1:10" x14ac:dyDescent="0.25">
      <c r="A926" s="1" t="str">
        <f ca="1">IF(A925="ID",1,IF(ISBLANK(B926),"",MAX(A$2:A925)+1))</f>
        <v/>
      </c>
      <c r="I926" s="2" t="str">
        <f ca="1">IF(ISNUMBER(A926),
IF(COUNTIFS(Equipar!B:B,5,Equipar!AC:AC,A926),"Equipada",
IF(
 OR( COUNTIFS(Equipar!B:B,5,Equipar!C:C,A926)
 +COUNTIFS(Equipar!B:B,5,Equipar!D:D,A926)
+COUNTIFS(Equipar!B:B,5,Equipar!E:E,A926)
+COUNTIFS(Equipar!B:B,5,Equipar!F:F,A926)
&gt;0,COUNTIF('Set recomendado'!B:B,C926)=0),
"Bloqueada",
"Desechable")),""
)</f>
        <v/>
      </c>
      <c r="J926" t="str" cm="1">
        <f t="array" aca="1" ref="J926" ca="1">IF(ISNUMBER(A926),IFERROR(_xlfn._xlws.FILTER(Equipar!A:A,(Equipar!B:B=5)*(Equipar!AC:AC=A926)),""),"")</f>
        <v/>
      </c>
    </row>
    <row r="927" spans="1:10" x14ac:dyDescent="0.25">
      <c r="A927" s="1" t="str">
        <f ca="1">IF(A926="ID",1,IF(ISBLANK(B927),"",MAX(A$2:A926)+1))</f>
        <v/>
      </c>
      <c r="I927" s="2" t="str">
        <f ca="1">IF(ISNUMBER(A927),
IF(COUNTIFS(Equipar!B:B,5,Equipar!AC:AC,A927),"Equipada",
IF(
 OR( COUNTIFS(Equipar!B:B,5,Equipar!C:C,A927)
 +COUNTIFS(Equipar!B:B,5,Equipar!D:D,A927)
+COUNTIFS(Equipar!B:B,5,Equipar!E:E,A927)
+COUNTIFS(Equipar!B:B,5,Equipar!F:F,A927)
&gt;0,COUNTIF('Set recomendado'!B:B,C927)=0),
"Bloqueada",
"Desechable")),""
)</f>
        <v/>
      </c>
      <c r="J927" t="str" cm="1">
        <f t="array" aca="1" ref="J927" ca="1">IF(ISNUMBER(A927),IFERROR(_xlfn._xlws.FILTER(Equipar!A:A,(Equipar!B:B=5)*(Equipar!AC:AC=A927)),""),"")</f>
        <v/>
      </c>
    </row>
    <row r="928" spans="1:10" x14ac:dyDescent="0.25">
      <c r="A928" s="1" t="str">
        <f ca="1">IF(A927="ID",1,IF(ISBLANK(B928),"",MAX(A$2:A927)+1))</f>
        <v/>
      </c>
      <c r="I928" s="2" t="str">
        <f ca="1">IF(ISNUMBER(A928),
IF(COUNTIFS(Equipar!B:B,5,Equipar!AC:AC,A928),"Equipada",
IF(
 OR( COUNTIFS(Equipar!B:B,5,Equipar!C:C,A928)
 +COUNTIFS(Equipar!B:B,5,Equipar!D:D,A928)
+COUNTIFS(Equipar!B:B,5,Equipar!E:E,A928)
+COUNTIFS(Equipar!B:B,5,Equipar!F:F,A928)
&gt;0,COUNTIF('Set recomendado'!B:B,C928)=0),
"Bloqueada",
"Desechable")),""
)</f>
        <v/>
      </c>
      <c r="J928" t="str" cm="1">
        <f t="array" aca="1" ref="J928" ca="1">IF(ISNUMBER(A928),IFERROR(_xlfn._xlws.FILTER(Equipar!A:A,(Equipar!B:B=5)*(Equipar!AC:AC=A928)),""),"")</f>
        <v/>
      </c>
    </row>
    <row r="929" spans="1:10" x14ac:dyDescent="0.25">
      <c r="A929" s="1" t="str">
        <f ca="1">IF(A928="ID",1,IF(ISBLANK(B929),"",MAX(A$2:A928)+1))</f>
        <v/>
      </c>
      <c r="I929" s="2" t="str">
        <f ca="1">IF(ISNUMBER(A929),
IF(COUNTIFS(Equipar!B:B,5,Equipar!AC:AC,A929),"Equipada",
IF(
 OR( COUNTIFS(Equipar!B:B,5,Equipar!C:C,A929)
 +COUNTIFS(Equipar!B:B,5,Equipar!D:D,A929)
+COUNTIFS(Equipar!B:B,5,Equipar!E:E,A929)
+COUNTIFS(Equipar!B:B,5,Equipar!F:F,A929)
&gt;0,COUNTIF('Set recomendado'!B:B,C929)=0),
"Bloqueada",
"Desechable")),""
)</f>
        <v/>
      </c>
      <c r="J929" t="str" cm="1">
        <f t="array" aca="1" ref="J929" ca="1">IF(ISNUMBER(A929),IFERROR(_xlfn._xlws.FILTER(Equipar!A:A,(Equipar!B:B=5)*(Equipar!AC:AC=A929)),""),"")</f>
        <v/>
      </c>
    </row>
    <row r="930" spans="1:10" x14ac:dyDescent="0.25">
      <c r="A930" s="1" t="str">
        <f ca="1">IF(A929="ID",1,IF(ISBLANK(B930),"",MAX(A$2:A929)+1))</f>
        <v/>
      </c>
      <c r="I930" s="2" t="str">
        <f ca="1">IF(ISNUMBER(A930),
IF(COUNTIFS(Equipar!B:B,5,Equipar!AC:AC,A930),"Equipada",
IF(
 OR( COUNTIFS(Equipar!B:B,5,Equipar!C:C,A930)
 +COUNTIFS(Equipar!B:B,5,Equipar!D:D,A930)
+COUNTIFS(Equipar!B:B,5,Equipar!E:E,A930)
+COUNTIFS(Equipar!B:B,5,Equipar!F:F,A930)
&gt;0,COUNTIF('Set recomendado'!B:B,C930)=0),
"Bloqueada",
"Desechable")),""
)</f>
        <v/>
      </c>
      <c r="J930" t="str" cm="1">
        <f t="array" aca="1" ref="J930" ca="1">IF(ISNUMBER(A930),IFERROR(_xlfn._xlws.FILTER(Equipar!A:A,(Equipar!B:B=5)*(Equipar!AC:AC=A930)),""),"")</f>
        <v/>
      </c>
    </row>
    <row r="931" spans="1:10" x14ac:dyDescent="0.25">
      <c r="A931" s="1" t="str">
        <f ca="1">IF(A930="ID",1,IF(ISBLANK(B931),"",MAX(A$2:A930)+1))</f>
        <v/>
      </c>
      <c r="I931" s="2" t="str">
        <f ca="1">IF(ISNUMBER(A931),
IF(COUNTIFS(Equipar!B:B,5,Equipar!AC:AC,A931),"Equipada",
IF(
 OR( COUNTIFS(Equipar!B:B,5,Equipar!C:C,A931)
 +COUNTIFS(Equipar!B:B,5,Equipar!D:D,A931)
+COUNTIFS(Equipar!B:B,5,Equipar!E:E,A931)
+COUNTIFS(Equipar!B:B,5,Equipar!F:F,A931)
&gt;0,COUNTIF('Set recomendado'!B:B,C931)=0),
"Bloqueada",
"Desechable")),""
)</f>
        <v/>
      </c>
      <c r="J931" t="str" cm="1">
        <f t="array" aca="1" ref="J931" ca="1">IF(ISNUMBER(A931),IFERROR(_xlfn._xlws.FILTER(Equipar!A:A,(Equipar!B:B=5)*(Equipar!AC:AC=A931)),""),"")</f>
        <v/>
      </c>
    </row>
    <row r="932" spans="1:10" x14ac:dyDescent="0.25">
      <c r="A932" s="1" t="str">
        <f ca="1">IF(A931="ID",1,IF(ISBLANK(B932),"",MAX(A$2:A931)+1))</f>
        <v/>
      </c>
      <c r="I932" s="2" t="str">
        <f ca="1">IF(ISNUMBER(A932),
IF(COUNTIFS(Equipar!B:B,5,Equipar!AC:AC,A932),"Equipada",
IF(
 OR( COUNTIFS(Equipar!B:B,5,Equipar!C:C,A932)
 +COUNTIFS(Equipar!B:B,5,Equipar!D:D,A932)
+COUNTIFS(Equipar!B:B,5,Equipar!E:E,A932)
+COUNTIFS(Equipar!B:B,5,Equipar!F:F,A932)
&gt;0,COUNTIF('Set recomendado'!B:B,C932)=0),
"Bloqueada",
"Desechable")),""
)</f>
        <v/>
      </c>
      <c r="J932" t="str" cm="1">
        <f t="array" aca="1" ref="J932" ca="1">IF(ISNUMBER(A932),IFERROR(_xlfn._xlws.FILTER(Equipar!A:A,(Equipar!B:B=5)*(Equipar!AC:AC=A932)),""),"")</f>
        <v/>
      </c>
    </row>
    <row r="933" spans="1:10" x14ac:dyDescent="0.25">
      <c r="A933" s="1" t="str">
        <f ca="1">IF(A932="ID",1,IF(ISBLANK(B933),"",MAX(A$2:A932)+1))</f>
        <v/>
      </c>
      <c r="I933" s="2" t="str">
        <f ca="1">IF(ISNUMBER(A933),
IF(COUNTIFS(Equipar!B:B,5,Equipar!AC:AC,A933),"Equipada",
IF(
 OR( COUNTIFS(Equipar!B:B,5,Equipar!C:C,A933)
 +COUNTIFS(Equipar!B:B,5,Equipar!D:D,A933)
+COUNTIFS(Equipar!B:B,5,Equipar!E:E,A933)
+COUNTIFS(Equipar!B:B,5,Equipar!F:F,A933)
&gt;0,COUNTIF('Set recomendado'!B:B,C933)=0),
"Bloqueada",
"Desechable")),""
)</f>
        <v/>
      </c>
      <c r="J933" t="str" cm="1">
        <f t="array" aca="1" ref="J933" ca="1">IF(ISNUMBER(A933),IFERROR(_xlfn._xlws.FILTER(Equipar!A:A,(Equipar!B:B=5)*(Equipar!AC:AC=A933)),""),"")</f>
        <v/>
      </c>
    </row>
    <row r="934" spans="1:10" x14ac:dyDescent="0.25">
      <c r="A934" s="1" t="str">
        <f ca="1">IF(A933="ID",1,IF(ISBLANK(B934),"",MAX(A$2:A933)+1))</f>
        <v/>
      </c>
      <c r="I934" s="2" t="str">
        <f ca="1">IF(ISNUMBER(A934),
IF(COUNTIFS(Equipar!B:B,5,Equipar!AC:AC,A934),"Equipada",
IF(
 OR( COUNTIFS(Equipar!B:B,5,Equipar!C:C,A934)
 +COUNTIFS(Equipar!B:B,5,Equipar!D:D,A934)
+COUNTIFS(Equipar!B:B,5,Equipar!E:E,A934)
+COUNTIFS(Equipar!B:B,5,Equipar!F:F,A934)
&gt;0,COUNTIF('Set recomendado'!B:B,C934)=0),
"Bloqueada",
"Desechable")),""
)</f>
        <v/>
      </c>
      <c r="J934" t="str" cm="1">
        <f t="array" aca="1" ref="J934" ca="1">IF(ISNUMBER(A934),IFERROR(_xlfn._xlws.FILTER(Equipar!A:A,(Equipar!B:B=5)*(Equipar!AC:AC=A934)),""),"")</f>
        <v/>
      </c>
    </row>
    <row r="935" spans="1:10" x14ac:dyDescent="0.25">
      <c r="A935" s="1" t="str">
        <f ca="1">IF(A934="ID",1,IF(ISBLANK(B935),"",MAX(A$2:A934)+1))</f>
        <v/>
      </c>
      <c r="I935" s="2" t="str">
        <f ca="1">IF(ISNUMBER(A935),
IF(COUNTIFS(Equipar!B:B,5,Equipar!AC:AC,A935),"Equipada",
IF(
 OR( COUNTIFS(Equipar!B:B,5,Equipar!C:C,A935)
 +COUNTIFS(Equipar!B:B,5,Equipar!D:D,A935)
+COUNTIFS(Equipar!B:B,5,Equipar!E:E,A935)
+COUNTIFS(Equipar!B:B,5,Equipar!F:F,A935)
&gt;0,COUNTIF('Set recomendado'!B:B,C935)=0),
"Bloqueada",
"Desechable")),""
)</f>
        <v/>
      </c>
      <c r="J935" t="str" cm="1">
        <f t="array" aca="1" ref="J935" ca="1">IF(ISNUMBER(A935),IFERROR(_xlfn._xlws.FILTER(Equipar!A:A,(Equipar!B:B=5)*(Equipar!AC:AC=A935)),""),"")</f>
        <v/>
      </c>
    </row>
    <row r="936" spans="1:10" x14ac:dyDescent="0.25">
      <c r="A936" s="1" t="str">
        <f ca="1">IF(A935="ID",1,IF(ISBLANK(B936),"",MAX(A$2:A935)+1))</f>
        <v/>
      </c>
      <c r="I936" s="2" t="str">
        <f ca="1">IF(ISNUMBER(A936),
IF(COUNTIFS(Equipar!B:B,5,Equipar!AC:AC,A936),"Equipada",
IF(
 OR( COUNTIFS(Equipar!B:B,5,Equipar!C:C,A936)
 +COUNTIFS(Equipar!B:B,5,Equipar!D:D,A936)
+COUNTIFS(Equipar!B:B,5,Equipar!E:E,A936)
+COUNTIFS(Equipar!B:B,5,Equipar!F:F,A936)
&gt;0,COUNTIF('Set recomendado'!B:B,C936)=0),
"Bloqueada",
"Desechable")),""
)</f>
        <v/>
      </c>
      <c r="J936" t="str" cm="1">
        <f t="array" aca="1" ref="J936" ca="1">IF(ISNUMBER(A936),IFERROR(_xlfn._xlws.FILTER(Equipar!A:A,(Equipar!B:B=5)*(Equipar!AC:AC=A936)),""),"")</f>
        <v/>
      </c>
    </row>
    <row r="937" spans="1:10" x14ac:dyDescent="0.25">
      <c r="A937" s="1" t="str">
        <f ca="1">IF(A936="ID",1,IF(ISBLANK(B937),"",MAX(A$2:A936)+1))</f>
        <v/>
      </c>
      <c r="I937" s="2" t="str">
        <f ca="1">IF(ISNUMBER(A937),
IF(COUNTIFS(Equipar!B:B,5,Equipar!AC:AC,A937),"Equipada",
IF(
 OR( COUNTIFS(Equipar!B:B,5,Equipar!C:C,A937)
 +COUNTIFS(Equipar!B:B,5,Equipar!D:D,A937)
+COUNTIFS(Equipar!B:B,5,Equipar!E:E,A937)
+COUNTIFS(Equipar!B:B,5,Equipar!F:F,A937)
&gt;0,COUNTIF('Set recomendado'!B:B,C937)=0),
"Bloqueada",
"Desechable")),""
)</f>
        <v/>
      </c>
      <c r="J937" t="str" cm="1">
        <f t="array" aca="1" ref="J937" ca="1">IF(ISNUMBER(A937),IFERROR(_xlfn._xlws.FILTER(Equipar!A:A,(Equipar!B:B=5)*(Equipar!AC:AC=A937)),""),"")</f>
        <v/>
      </c>
    </row>
    <row r="938" spans="1:10" x14ac:dyDescent="0.25">
      <c r="A938" s="1" t="str">
        <f ca="1">IF(A937="ID",1,IF(ISBLANK(B938),"",MAX(A$2:A937)+1))</f>
        <v/>
      </c>
      <c r="I938" s="2" t="str">
        <f ca="1">IF(ISNUMBER(A938),
IF(COUNTIFS(Equipar!B:B,5,Equipar!AC:AC,A938),"Equipada",
IF(
 OR( COUNTIFS(Equipar!B:B,5,Equipar!C:C,A938)
 +COUNTIFS(Equipar!B:B,5,Equipar!D:D,A938)
+COUNTIFS(Equipar!B:B,5,Equipar!E:E,A938)
+COUNTIFS(Equipar!B:B,5,Equipar!F:F,A938)
&gt;0,COUNTIF('Set recomendado'!B:B,C938)=0),
"Bloqueada",
"Desechable")),""
)</f>
        <v/>
      </c>
      <c r="J938" t="str" cm="1">
        <f t="array" aca="1" ref="J938" ca="1">IF(ISNUMBER(A938),IFERROR(_xlfn._xlws.FILTER(Equipar!A:A,(Equipar!B:B=5)*(Equipar!AC:AC=A938)),""),"")</f>
        <v/>
      </c>
    </row>
    <row r="939" spans="1:10" x14ac:dyDescent="0.25">
      <c r="A939" s="1" t="str">
        <f ca="1">IF(A938="ID",1,IF(ISBLANK(B939),"",MAX(A$2:A938)+1))</f>
        <v/>
      </c>
      <c r="I939" s="2" t="str">
        <f ca="1">IF(ISNUMBER(A939),
IF(COUNTIFS(Equipar!B:B,5,Equipar!AC:AC,A939),"Equipada",
IF(
 OR( COUNTIFS(Equipar!B:B,5,Equipar!C:C,A939)
 +COUNTIFS(Equipar!B:B,5,Equipar!D:D,A939)
+COUNTIFS(Equipar!B:B,5,Equipar!E:E,A939)
+COUNTIFS(Equipar!B:B,5,Equipar!F:F,A939)
&gt;0,COUNTIF('Set recomendado'!B:B,C939)=0),
"Bloqueada",
"Desechable")),""
)</f>
        <v/>
      </c>
      <c r="J939" t="str" cm="1">
        <f t="array" aca="1" ref="J939" ca="1">IF(ISNUMBER(A939),IFERROR(_xlfn._xlws.FILTER(Equipar!A:A,(Equipar!B:B=5)*(Equipar!AC:AC=A939)),""),"")</f>
        <v/>
      </c>
    </row>
    <row r="940" spans="1:10" x14ac:dyDescent="0.25">
      <c r="A940" s="1" t="str">
        <f ca="1">IF(A939="ID",1,IF(ISBLANK(B940),"",MAX(A$2:A939)+1))</f>
        <v/>
      </c>
      <c r="I940" s="2" t="str">
        <f ca="1">IF(ISNUMBER(A940),
IF(COUNTIFS(Equipar!B:B,5,Equipar!AC:AC,A940),"Equipada",
IF(
 OR( COUNTIFS(Equipar!B:B,5,Equipar!C:C,A940)
 +COUNTIFS(Equipar!B:B,5,Equipar!D:D,A940)
+COUNTIFS(Equipar!B:B,5,Equipar!E:E,A940)
+COUNTIFS(Equipar!B:B,5,Equipar!F:F,A940)
&gt;0,COUNTIF('Set recomendado'!B:B,C940)=0),
"Bloqueada",
"Desechable")),""
)</f>
        <v/>
      </c>
      <c r="J940" t="str" cm="1">
        <f t="array" aca="1" ref="J940" ca="1">IF(ISNUMBER(A940),IFERROR(_xlfn._xlws.FILTER(Equipar!A:A,(Equipar!B:B=5)*(Equipar!AC:AC=A940)),""),"")</f>
        <v/>
      </c>
    </row>
    <row r="941" spans="1:10" x14ac:dyDescent="0.25">
      <c r="A941" s="1" t="str">
        <f ca="1">IF(A940="ID",1,IF(ISBLANK(B941),"",MAX(A$2:A940)+1))</f>
        <v/>
      </c>
      <c r="I941" s="2" t="str">
        <f ca="1">IF(ISNUMBER(A941),
IF(COUNTIFS(Equipar!B:B,5,Equipar!AC:AC,A941),"Equipada",
IF(
 OR( COUNTIFS(Equipar!B:B,5,Equipar!C:C,A941)
 +COUNTIFS(Equipar!B:B,5,Equipar!D:D,A941)
+COUNTIFS(Equipar!B:B,5,Equipar!E:E,A941)
+COUNTIFS(Equipar!B:B,5,Equipar!F:F,A941)
&gt;0,COUNTIF('Set recomendado'!B:B,C941)=0),
"Bloqueada",
"Desechable")),""
)</f>
        <v/>
      </c>
      <c r="J941" t="str" cm="1">
        <f t="array" aca="1" ref="J941" ca="1">IF(ISNUMBER(A941),IFERROR(_xlfn._xlws.FILTER(Equipar!A:A,(Equipar!B:B=5)*(Equipar!AC:AC=A941)),""),"")</f>
        <v/>
      </c>
    </row>
    <row r="942" spans="1:10" x14ac:dyDescent="0.25">
      <c r="A942" s="1" t="str">
        <f ca="1">IF(A941="ID",1,IF(ISBLANK(B942),"",MAX(A$2:A941)+1))</f>
        <v/>
      </c>
      <c r="I942" s="2" t="str">
        <f ca="1">IF(ISNUMBER(A942),
IF(COUNTIFS(Equipar!B:B,5,Equipar!AC:AC,A942),"Equipada",
IF(
 OR( COUNTIFS(Equipar!B:B,5,Equipar!C:C,A942)
 +COUNTIFS(Equipar!B:B,5,Equipar!D:D,A942)
+COUNTIFS(Equipar!B:B,5,Equipar!E:E,A942)
+COUNTIFS(Equipar!B:B,5,Equipar!F:F,A942)
&gt;0,COUNTIF('Set recomendado'!B:B,C942)=0),
"Bloqueada",
"Desechable")),""
)</f>
        <v/>
      </c>
      <c r="J942" t="str" cm="1">
        <f t="array" aca="1" ref="J942" ca="1">IF(ISNUMBER(A942),IFERROR(_xlfn._xlws.FILTER(Equipar!A:A,(Equipar!B:B=5)*(Equipar!AC:AC=A942)),""),"")</f>
        <v/>
      </c>
    </row>
    <row r="943" spans="1:10" x14ac:dyDescent="0.25">
      <c r="A943" s="1" t="str">
        <f ca="1">IF(A942="ID",1,IF(ISBLANK(B943),"",MAX(A$2:A942)+1))</f>
        <v/>
      </c>
      <c r="I943" s="2" t="str">
        <f ca="1">IF(ISNUMBER(A943),
IF(COUNTIFS(Equipar!B:B,5,Equipar!AC:AC,A943),"Equipada",
IF(
 OR( COUNTIFS(Equipar!B:B,5,Equipar!C:C,A943)
 +COUNTIFS(Equipar!B:B,5,Equipar!D:D,A943)
+COUNTIFS(Equipar!B:B,5,Equipar!E:E,A943)
+COUNTIFS(Equipar!B:B,5,Equipar!F:F,A943)
&gt;0,COUNTIF('Set recomendado'!B:B,C943)=0),
"Bloqueada",
"Desechable")),""
)</f>
        <v/>
      </c>
      <c r="J943" t="str" cm="1">
        <f t="array" aca="1" ref="J943" ca="1">IF(ISNUMBER(A943),IFERROR(_xlfn._xlws.FILTER(Equipar!A:A,(Equipar!B:B=5)*(Equipar!AC:AC=A943)),""),"")</f>
        <v/>
      </c>
    </row>
    <row r="944" spans="1:10" x14ac:dyDescent="0.25">
      <c r="A944" s="1" t="str">
        <f ca="1">IF(A943="ID",1,IF(ISBLANK(B944),"",MAX(A$2:A943)+1))</f>
        <v/>
      </c>
      <c r="I944" s="2" t="str">
        <f ca="1">IF(ISNUMBER(A944),
IF(COUNTIFS(Equipar!B:B,5,Equipar!AC:AC,A944),"Equipada",
IF(
 OR( COUNTIFS(Equipar!B:B,5,Equipar!C:C,A944)
 +COUNTIFS(Equipar!B:B,5,Equipar!D:D,A944)
+COUNTIFS(Equipar!B:B,5,Equipar!E:E,A944)
+COUNTIFS(Equipar!B:B,5,Equipar!F:F,A944)
&gt;0,COUNTIF('Set recomendado'!B:B,C944)=0),
"Bloqueada",
"Desechable")),""
)</f>
        <v/>
      </c>
      <c r="J944" t="str" cm="1">
        <f t="array" aca="1" ref="J944" ca="1">IF(ISNUMBER(A944),IFERROR(_xlfn._xlws.FILTER(Equipar!A:A,(Equipar!B:B=5)*(Equipar!AC:AC=A944)),""),"")</f>
        <v/>
      </c>
    </row>
    <row r="945" spans="1:10" x14ac:dyDescent="0.25">
      <c r="A945" s="1" t="str">
        <f ca="1">IF(A944="ID",1,IF(ISBLANK(B945),"",MAX(A$2:A944)+1))</f>
        <v/>
      </c>
      <c r="I945" s="2" t="str">
        <f ca="1">IF(ISNUMBER(A945),
IF(COUNTIFS(Equipar!B:B,5,Equipar!AC:AC,A945),"Equipada",
IF(
 OR( COUNTIFS(Equipar!B:B,5,Equipar!C:C,A945)
 +COUNTIFS(Equipar!B:B,5,Equipar!D:D,A945)
+COUNTIFS(Equipar!B:B,5,Equipar!E:E,A945)
+COUNTIFS(Equipar!B:B,5,Equipar!F:F,A945)
&gt;0,COUNTIF('Set recomendado'!B:B,C945)=0),
"Bloqueada",
"Desechable")),""
)</f>
        <v/>
      </c>
      <c r="J945" t="str" cm="1">
        <f t="array" aca="1" ref="J945" ca="1">IF(ISNUMBER(A945),IFERROR(_xlfn._xlws.FILTER(Equipar!A:A,(Equipar!B:B=5)*(Equipar!AC:AC=A945)),""),"")</f>
        <v/>
      </c>
    </row>
    <row r="946" spans="1:10" x14ac:dyDescent="0.25">
      <c r="A946" s="1" t="str">
        <f ca="1">IF(A945="ID",1,IF(ISBLANK(B946),"",MAX(A$2:A945)+1))</f>
        <v/>
      </c>
      <c r="I946" s="2" t="str">
        <f ca="1">IF(ISNUMBER(A946),
IF(COUNTIFS(Equipar!B:B,5,Equipar!AC:AC,A946),"Equipada",
IF(
 OR( COUNTIFS(Equipar!B:B,5,Equipar!C:C,A946)
 +COUNTIFS(Equipar!B:B,5,Equipar!D:D,A946)
+COUNTIFS(Equipar!B:B,5,Equipar!E:E,A946)
+COUNTIFS(Equipar!B:B,5,Equipar!F:F,A946)
&gt;0,COUNTIF('Set recomendado'!B:B,C946)=0),
"Bloqueada",
"Desechable")),""
)</f>
        <v/>
      </c>
      <c r="J946" t="str" cm="1">
        <f t="array" aca="1" ref="J946" ca="1">IF(ISNUMBER(A946),IFERROR(_xlfn._xlws.FILTER(Equipar!A:A,(Equipar!B:B=5)*(Equipar!AC:AC=A946)),""),"")</f>
        <v/>
      </c>
    </row>
    <row r="947" spans="1:10" x14ac:dyDescent="0.25">
      <c r="A947" s="1" t="str">
        <f ca="1">IF(A946="ID",1,IF(ISBLANK(B947),"",MAX(A$2:A946)+1))</f>
        <v/>
      </c>
      <c r="I947" s="2" t="str">
        <f ca="1">IF(ISNUMBER(A947),
IF(COUNTIFS(Equipar!B:B,5,Equipar!AC:AC,A947),"Equipada",
IF(
 OR( COUNTIFS(Equipar!B:B,5,Equipar!C:C,A947)
 +COUNTIFS(Equipar!B:B,5,Equipar!D:D,A947)
+COUNTIFS(Equipar!B:B,5,Equipar!E:E,A947)
+COUNTIFS(Equipar!B:B,5,Equipar!F:F,A947)
&gt;0,COUNTIF('Set recomendado'!B:B,C947)=0),
"Bloqueada",
"Desechable")),""
)</f>
        <v/>
      </c>
      <c r="J947" t="str" cm="1">
        <f t="array" aca="1" ref="J947" ca="1">IF(ISNUMBER(A947),IFERROR(_xlfn._xlws.FILTER(Equipar!A:A,(Equipar!B:B=5)*(Equipar!AC:AC=A947)),""),"")</f>
        <v/>
      </c>
    </row>
    <row r="948" spans="1:10" x14ac:dyDescent="0.25">
      <c r="A948" s="1" t="str">
        <f ca="1">IF(A947="ID",1,IF(ISBLANK(B948),"",MAX(A$2:A947)+1))</f>
        <v/>
      </c>
      <c r="I948" s="2" t="str">
        <f ca="1">IF(ISNUMBER(A948),
IF(COUNTIFS(Equipar!B:B,5,Equipar!AC:AC,A948),"Equipada",
IF(
 OR( COUNTIFS(Equipar!B:B,5,Equipar!C:C,A948)
 +COUNTIFS(Equipar!B:B,5,Equipar!D:D,A948)
+COUNTIFS(Equipar!B:B,5,Equipar!E:E,A948)
+COUNTIFS(Equipar!B:B,5,Equipar!F:F,A948)
&gt;0,COUNTIF('Set recomendado'!B:B,C948)=0),
"Bloqueada",
"Desechable")),""
)</f>
        <v/>
      </c>
      <c r="J948" t="str" cm="1">
        <f t="array" aca="1" ref="J948" ca="1">IF(ISNUMBER(A948),IFERROR(_xlfn._xlws.FILTER(Equipar!A:A,(Equipar!B:B=5)*(Equipar!AC:AC=A948)),""),"")</f>
        <v/>
      </c>
    </row>
    <row r="949" spans="1:10" x14ac:dyDescent="0.25">
      <c r="A949" s="1" t="str">
        <f ca="1">IF(A948="ID",1,IF(ISBLANK(B949),"",MAX(A$2:A948)+1))</f>
        <v/>
      </c>
      <c r="I949" s="2" t="str">
        <f ca="1">IF(ISNUMBER(A949),
IF(COUNTIFS(Equipar!B:B,5,Equipar!AC:AC,A949),"Equipada",
IF(
 OR( COUNTIFS(Equipar!B:B,5,Equipar!C:C,A949)
 +COUNTIFS(Equipar!B:B,5,Equipar!D:D,A949)
+COUNTIFS(Equipar!B:B,5,Equipar!E:E,A949)
+COUNTIFS(Equipar!B:B,5,Equipar!F:F,A949)
&gt;0,COUNTIF('Set recomendado'!B:B,C949)=0),
"Bloqueada",
"Desechable")),""
)</f>
        <v/>
      </c>
      <c r="J949" t="str" cm="1">
        <f t="array" aca="1" ref="J949" ca="1">IF(ISNUMBER(A949),IFERROR(_xlfn._xlws.FILTER(Equipar!A:A,(Equipar!B:B=5)*(Equipar!AC:AC=A949)),""),"")</f>
        <v/>
      </c>
    </row>
    <row r="950" spans="1:10" x14ac:dyDescent="0.25">
      <c r="A950" s="1" t="str">
        <f ca="1">IF(A949="ID",1,IF(ISBLANK(B950),"",MAX(A$2:A949)+1))</f>
        <v/>
      </c>
      <c r="I950" s="2" t="str">
        <f ca="1">IF(ISNUMBER(A950),
IF(COUNTIFS(Equipar!B:B,5,Equipar!AC:AC,A950),"Equipada",
IF(
 OR( COUNTIFS(Equipar!B:B,5,Equipar!C:C,A950)
 +COUNTIFS(Equipar!B:B,5,Equipar!D:D,A950)
+COUNTIFS(Equipar!B:B,5,Equipar!E:E,A950)
+COUNTIFS(Equipar!B:B,5,Equipar!F:F,A950)
&gt;0,COUNTIF('Set recomendado'!B:B,C950)=0),
"Bloqueada",
"Desechable")),""
)</f>
        <v/>
      </c>
      <c r="J950" t="str" cm="1">
        <f t="array" aca="1" ref="J950" ca="1">IF(ISNUMBER(A950),IFERROR(_xlfn._xlws.FILTER(Equipar!A:A,(Equipar!B:B=5)*(Equipar!AC:AC=A950)),""),"")</f>
        <v/>
      </c>
    </row>
    <row r="951" spans="1:10" x14ac:dyDescent="0.25">
      <c r="A951" s="1" t="str">
        <f ca="1">IF(A950="ID",1,IF(ISBLANK(B951),"",MAX(A$2:A950)+1))</f>
        <v/>
      </c>
      <c r="I951" s="2" t="str">
        <f ca="1">IF(ISNUMBER(A951),
IF(COUNTIFS(Equipar!B:B,5,Equipar!AC:AC,A951),"Equipada",
IF(
 OR( COUNTIFS(Equipar!B:B,5,Equipar!C:C,A951)
 +COUNTIFS(Equipar!B:B,5,Equipar!D:D,A951)
+COUNTIFS(Equipar!B:B,5,Equipar!E:E,A951)
+COUNTIFS(Equipar!B:B,5,Equipar!F:F,A951)
&gt;0,COUNTIF('Set recomendado'!B:B,C951)=0),
"Bloqueada",
"Desechable")),""
)</f>
        <v/>
      </c>
      <c r="J951" t="str" cm="1">
        <f t="array" aca="1" ref="J951" ca="1">IF(ISNUMBER(A951),IFERROR(_xlfn._xlws.FILTER(Equipar!A:A,(Equipar!B:B=5)*(Equipar!AC:AC=A951)),""),"")</f>
        <v/>
      </c>
    </row>
    <row r="952" spans="1:10" x14ac:dyDescent="0.25">
      <c r="A952" s="1" t="str">
        <f ca="1">IF(A951="ID",1,IF(ISBLANK(B952),"",MAX(A$2:A951)+1))</f>
        <v/>
      </c>
      <c r="I952" s="2" t="str">
        <f ca="1">IF(ISNUMBER(A952),
IF(COUNTIFS(Equipar!B:B,5,Equipar!AC:AC,A952),"Equipada",
IF(
 OR( COUNTIFS(Equipar!B:B,5,Equipar!C:C,A952)
 +COUNTIFS(Equipar!B:B,5,Equipar!D:D,A952)
+COUNTIFS(Equipar!B:B,5,Equipar!E:E,A952)
+COUNTIFS(Equipar!B:B,5,Equipar!F:F,A952)
&gt;0,COUNTIF('Set recomendado'!B:B,C952)=0),
"Bloqueada",
"Desechable")),""
)</f>
        <v/>
      </c>
      <c r="J952" t="str" cm="1">
        <f t="array" aca="1" ref="J952" ca="1">IF(ISNUMBER(A952),IFERROR(_xlfn._xlws.FILTER(Equipar!A:A,(Equipar!B:B=5)*(Equipar!AC:AC=A952)),""),"")</f>
        <v/>
      </c>
    </row>
    <row r="953" spans="1:10" x14ac:dyDescent="0.25">
      <c r="A953" s="1" t="str">
        <f ca="1">IF(A952="ID",1,IF(ISBLANK(B953),"",MAX(A$2:A952)+1))</f>
        <v/>
      </c>
      <c r="I953" s="2" t="str">
        <f ca="1">IF(ISNUMBER(A953),
IF(COUNTIFS(Equipar!B:B,5,Equipar!AC:AC,A953),"Equipada",
IF(
 OR( COUNTIFS(Equipar!B:B,5,Equipar!C:C,A953)
 +COUNTIFS(Equipar!B:B,5,Equipar!D:D,A953)
+COUNTIFS(Equipar!B:B,5,Equipar!E:E,A953)
+COUNTIFS(Equipar!B:B,5,Equipar!F:F,A953)
&gt;0,COUNTIF('Set recomendado'!B:B,C953)=0),
"Bloqueada",
"Desechable")),""
)</f>
        <v/>
      </c>
      <c r="J953" t="str" cm="1">
        <f t="array" aca="1" ref="J953" ca="1">IF(ISNUMBER(A953),IFERROR(_xlfn._xlws.FILTER(Equipar!A:A,(Equipar!B:B=5)*(Equipar!AC:AC=A953)),""),"")</f>
        <v/>
      </c>
    </row>
    <row r="954" spans="1:10" x14ac:dyDescent="0.25">
      <c r="A954" s="1" t="str">
        <f ca="1">IF(A953="ID",1,IF(ISBLANK(B954),"",MAX(A$2:A953)+1))</f>
        <v/>
      </c>
      <c r="I954" s="2" t="str">
        <f ca="1">IF(ISNUMBER(A954),
IF(COUNTIFS(Equipar!B:B,5,Equipar!AC:AC,A954),"Equipada",
IF(
 OR( COUNTIFS(Equipar!B:B,5,Equipar!C:C,A954)
 +COUNTIFS(Equipar!B:B,5,Equipar!D:D,A954)
+COUNTIFS(Equipar!B:B,5,Equipar!E:E,A954)
+COUNTIFS(Equipar!B:B,5,Equipar!F:F,A954)
&gt;0,COUNTIF('Set recomendado'!B:B,C954)=0),
"Bloqueada",
"Desechable")),""
)</f>
        <v/>
      </c>
      <c r="J954" t="str" cm="1">
        <f t="array" aca="1" ref="J954" ca="1">IF(ISNUMBER(A954),IFERROR(_xlfn._xlws.FILTER(Equipar!A:A,(Equipar!B:B=5)*(Equipar!AC:AC=A954)),""),"")</f>
        <v/>
      </c>
    </row>
    <row r="955" spans="1:10" x14ac:dyDescent="0.25">
      <c r="A955" s="1" t="str">
        <f ca="1">IF(A954="ID",1,IF(ISBLANK(B955),"",MAX(A$2:A954)+1))</f>
        <v/>
      </c>
      <c r="I955" s="2" t="str">
        <f ca="1">IF(ISNUMBER(A955),
IF(COUNTIFS(Equipar!B:B,5,Equipar!AC:AC,A955),"Equipada",
IF(
 OR( COUNTIFS(Equipar!B:B,5,Equipar!C:C,A955)
 +COUNTIFS(Equipar!B:B,5,Equipar!D:D,A955)
+COUNTIFS(Equipar!B:B,5,Equipar!E:E,A955)
+COUNTIFS(Equipar!B:B,5,Equipar!F:F,A955)
&gt;0,COUNTIF('Set recomendado'!B:B,C955)=0),
"Bloqueada",
"Desechable")),""
)</f>
        <v/>
      </c>
      <c r="J955" t="str" cm="1">
        <f t="array" aca="1" ref="J955" ca="1">IF(ISNUMBER(A955),IFERROR(_xlfn._xlws.FILTER(Equipar!A:A,(Equipar!B:B=5)*(Equipar!AC:AC=A955)),""),"")</f>
        <v/>
      </c>
    </row>
    <row r="956" spans="1:10" x14ac:dyDescent="0.25">
      <c r="A956" s="1" t="str">
        <f ca="1">IF(A955="ID",1,IF(ISBLANK(B956),"",MAX(A$2:A955)+1))</f>
        <v/>
      </c>
      <c r="I956" s="2" t="str">
        <f ca="1">IF(ISNUMBER(A956),
IF(COUNTIFS(Equipar!B:B,5,Equipar!AC:AC,A956),"Equipada",
IF(
 OR( COUNTIFS(Equipar!B:B,5,Equipar!C:C,A956)
 +COUNTIFS(Equipar!B:B,5,Equipar!D:D,A956)
+COUNTIFS(Equipar!B:B,5,Equipar!E:E,A956)
+COUNTIFS(Equipar!B:B,5,Equipar!F:F,A956)
&gt;0,COUNTIF('Set recomendado'!B:B,C956)=0),
"Bloqueada",
"Desechable")),""
)</f>
        <v/>
      </c>
      <c r="J956" t="str" cm="1">
        <f t="array" aca="1" ref="J956" ca="1">IF(ISNUMBER(A956),IFERROR(_xlfn._xlws.FILTER(Equipar!A:A,(Equipar!B:B=5)*(Equipar!AC:AC=A956)),""),"")</f>
        <v/>
      </c>
    </row>
    <row r="957" spans="1:10" x14ac:dyDescent="0.25">
      <c r="A957" s="1" t="str">
        <f ca="1">IF(A956="ID",1,IF(ISBLANK(B957),"",MAX(A$2:A956)+1))</f>
        <v/>
      </c>
      <c r="I957" s="2" t="str">
        <f ca="1">IF(ISNUMBER(A957),
IF(COUNTIFS(Equipar!B:B,5,Equipar!AC:AC,A957),"Equipada",
IF(
 OR( COUNTIFS(Equipar!B:B,5,Equipar!C:C,A957)
 +COUNTIFS(Equipar!B:B,5,Equipar!D:D,A957)
+COUNTIFS(Equipar!B:B,5,Equipar!E:E,A957)
+COUNTIFS(Equipar!B:B,5,Equipar!F:F,A957)
&gt;0,COUNTIF('Set recomendado'!B:B,C957)=0),
"Bloqueada",
"Desechable")),""
)</f>
        <v/>
      </c>
      <c r="J957" t="str" cm="1">
        <f t="array" aca="1" ref="J957" ca="1">IF(ISNUMBER(A957),IFERROR(_xlfn._xlws.FILTER(Equipar!A:A,(Equipar!B:B=5)*(Equipar!AC:AC=A957)),""),"")</f>
        <v/>
      </c>
    </row>
    <row r="958" spans="1:10" x14ac:dyDescent="0.25">
      <c r="A958" s="1" t="str">
        <f ca="1">IF(A957="ID",1,IF(ISBLANK(B958),"",MAX(A$2:A957)+1))</f>
        <v/>
      </c>
      <c r="I958" s="2" t="str">
        <f ca="1">IF(ISNUMBER(A958),
IF(COUNTIFS(Equipar!B:B,5,Equipar!AC:AC,A958),"Equipada",
IF(
 OR( COUNTIFS(Equipar!B:B,5,Equipar!C:C,A958)
 +COUNTIFS(Equipar!B:B,5,Equipar!D:D,A958)
+COUNTIFS(Equipar!B:B,5,Equipar!E:E,A958)
+COUNTIFS(Equipar!B:B,5,Equipar!F:F,A958)
&gt;0,COUNTIF('Set recomendado'!B:B,C958)=0),
"Bloqueada",
"Desechable")),""
)</f>
        <v/>
      </c>
      <c r="J958" t="str" cm="1">
        <f t="array" aca="1" ref="J958" ca="1">IF(ISNUMBER(A958),IFERROR(_xlfn._xlws.FILTER(Equipar!A:A,(Equipar!B:B=5)*(Equipar!AC:AC=A958)),""),"")</f>
        <v/>
      </c>
    </row>
    <row r="959" spans="1:10" x14ac:dyDescent="0.25">
      <c r="A959" s="1" t="str">
        <f ca="1">IF(A958="ID",1,IF(ISBLANK(B959),"",MAX(A$2:A958)+1))</f>
        <v/>
      </c>
      <c r="I959" s="2" t="str">
        <f ca="1">IF(ISNUMBER(A959),
IF(COUNTIFS(Equipar!B:B,5,Equipar!AC:AC,A959),"Equipada",
IF(
 OR( COUNTIFS(Equipar!B:B,5,Equipar!C:C,A959)
 +COUNTIFS(Equipar!B:B,5,Equipar!D:D,A959)
+COUNTIFS(Equipar!B:B,5,Equipar!E:E,A959)
+COUNTIFS(Equipar!B:B,5,Equipar!F:F,A959)
&gt;0,COUNTIF('Set recomendado'!B:B,C959)=0),
"Bloqueada",
"Desechable")),""
)</f>
        <v/>
      </c>
      <c r="J959" t="str" cm="1">
        <f t="array" aca="1" ref="J959" ca="1">IF(ISNUMBER(A959),IFERROR(_xlfn._xlws.FILTER(Equipar!A:A,(Equipar!B:B=5)*(Equipar!AC:AC=A959)),""),"")</f>
        <v/>
      </c>
    </row>
    <row r="960" spans="1:10" x14ac:dyDescent="0.25">
      <c r="A960" s="1" t="str">
        <f ca="1">IF(A959="ID",1,IF(ISBLANK(B960),"",MAX(A$2:A959)+1))</f>
        <v/>
      </c>
      <c r="I960" s="2" t="str">
        <f ca="1">IF(ISNUMBER(A960),
IF(COUNTIFS(Equipar!B:B,5,Equipar!AC:AC,A960),"Equipada",
IF(
 OR( COUNTIFS(Equipar!B:B,5,Equipar!C:C,A960)
 +COUNTIFS(Equipar!B:B,5,Equipar!D:D,A960)
+COUNTIFS(Equipar!B:B,5,Equipar!E:E,A960)
+COUNTIFS(Equipar!B:B,5,Equipar!F:F,A960)
&gt;0,COUNTIF('Set recomendado'!B:B,C960)=0),
"Bloqueada",
"Desechable")),""
)</f>
        <v/>
      </c>
      <c r="J960" t="str" cm="1">
        <f t="array" aca="1" ref="J960" ca="1">IF(ISNUMBER(A960),IFERROR(_xlfn._xlws.FILTER(Equipar!A:A,(Equipar!B:B=5)*(Equipar!AC:AC=A960)),""),"")</f>
        <v/>
      </c>
    </row>
    <row r="961" spans="1:10" x14ac:dyDescent="0.25">
      <c r="A961" s="1" t="str">
        <f ca="1">IF(A960="ID",1,IF(ISBLANK(B961),"",MAX(A$2:A960)+1))</f>
        <v/>
      </c>
      <c r="I961" s="2" t="str">
        <f ca="1">IF(ISNUMBER(A961),
IF(COUNTIFS(Equipar!B:B,5,Equipar!AC:AC,A961),"Equipada",
IF(
 OR( COUNTIFS(Equipar!B:B,5,Equipar!C:C,A961)
 +COUNTIFS(Equipar!B:B,5,Equipar!D:D,A961)
+COUNTIFS(Equipar!B:B,5,Equipar!E:E,A961)
+COUNTIFS(Equipar!B:B,5,Equipar!F:F,A961)
&gt;0,COUNTIF('Set recomendado'!B:B,C961)=0),
"Bloqueada",
"Desechable")),""
)</f>
        <v/>
      </c>
      <c r="J961" t="str" cm="1">
        <f t="array" aca="1" ref="J961" ca="1">IF(ISNUMBER(A961),IFERROR(_xlfn._xlws.FILTER(Equipar!A:A,(Equipar!B:B=5)*(Equipar!AC:AC=A961)),""),"")</f>
        <v/>
      </c>
    </row>
    <row r="962" spans="1:10" x14ac:dyDescent="0.25">
      <c r="A962" s="1" t="str">
        <f ca="1">IF(A961="ID",1,IF(ISBLANK(B962),"",MAX(A$2:A961)+1))</f>
        <v/>
      </c>
      <c r="I962" s="2" t="str">
        <f ca="1">IF(ISNUMBER(A962),
IF(COUNTIFS(Equipar!B:B,5,Equipar!AC:AC,A962),"Equipada",
IF(
 OR( COUNTIFS(Equipar!B:B,5,Equipar!C:C,A962)
 +COUNTIFS(Equipar!B:B,5,Equipar!D:D,A962)
+COUNTIFS(Equipar!B:B,5,Equipar!E:E,A962)
+COUNTIFS(Equipar!B:B,5,Equipar!F:F,A962)
&gt;0,COUNTIF('Set recomendado'!B:B,C962)=0),
"Bloqueada",
"Desechable")),""
)</f>
        <v/>
      </c>
      <c r="J962" t="str" cm="1">
        <f t="array" aca="1" ref="J962" ca="1">IF(ISNUMBER(A962),IFERROR(_xlfn._xlws.FILTER(Equipar!A:A,(Equipar!B:B=5)*(Equipar!AC:AC=A962)),""),"")</f>
        <v/>
      </c>
    </row>
    <row r="963" spans="1:10" x14ac:dyDescent="0.25">
      <c r="A963" s="1" t="str">
        <f ca="1">IF(A962="ID",1,IF(ISBLANK(B963),"",MAX(A$2:A962)+1))</f>
        <v/>
      </c>
      <c r="I963" s="2" t="str">
        <f ca="1">IF(ISNUMBER(A963),
IF(COUNTIFS(Equipar!B:B,5,Equipar!AC:AC,A963),"Equipada",
IF(
 OR( COUNTIFS(Equipar!B:B,5,Equipar!C:C,A963)
 +COUNTIFS(Equipar!B:B,5,Equipar!D:D,A963)
+COUNTIFS(Equipar!B:B,5,Equipar!E:E,A963)
+COUNTIFS(Equipar!B:B,5,Equipar!F:F,A963)
&gt;0,COUNTIF('Set recomendado'!B:B,C963)=0),
"Bloqueada",
"Desechable")),""
)</f>
        <v/>
      </c>
      <c r="J963" t="str" cm="1">
        <f t="array" aca="1" ref="J963" ca="1">IF(ISNUMBER(A963),IFERROR(_xlfn._xlws.FILTER(Equipar!A:A,(Equipar!B:B=5)*(Equipar!AC:AC=A963)),""),"")</f>
        <v/>
      </c>
    </row>
    <row r="964" spans="1:10" x14ac:dyDescent="0.25">
      <c r="A964" s="1" t="str">
        <f ca="1">IF(A963="ID",1,IF(ISBLANK(B964),"",MAX(A$2:A963)+1))</f>
        <v/>
      </c>
      <c r="I964" s="2" t="str">
        <f ca="1">IF(ISNUMBER(A964),
IF(COUNTIFS(Equipar!B:B,5,Equipar!AC:AC,A964),"Equipada",
IF(
 OR( COUNTIFS(Equipar!B:B,5,Equipar!C:C,A964)
 +COUNTIFS(Equipar!B:B,5,Equipar!D:D,A964)
+COUNTIFS(Equipar!B:B,5,Equipar!E:E,A964)
+COUNTIFS(Equipar!B:B,5,Equipar!F:F,A964)
&gt;0,COUNTIF('Set recomendado'!B:B,C964)=0),
"Bloqueada",
"Desechable")),""
)</f>
        <v/>
      </c>
      <c r="J964" t="str" cm="1">
        <f t="array" aca="1" ref="J964" ca="1">IF(ISNUMBER(A964),IFERROR(_xlfn._xlws.FILTER(Equipar!A:A,(Equipar!B:B=5)*(Equipar!AC:AC=A964)),""),"")</f>
        <v/>
      </c>
    </row>
    <row r="965" spans="1:10" x14ac:dyDescent="0.25">
      <c r="A965" s="1" t="str">
        <f ca="1">IF(A964="ID",1,IF(ISBLANK(B965),"",MAX(A$2:A964)+1))</f>
        <v/>
      </c>
      <c r="I965" s="2" t="str">
        <f ca="1">IF(ISNUMBER(A965),
IF(COUNTIFS(Equipar!B:B,5,Equipar!AC:AC,A965),"Equipada",
IF(
 OR( COUNTIFS(Equipar!B:B,5,Equipar!C:C,A965)
 +COUNTIFS(Equipar!B:B,5,Equipar!D:D,A965)
+COUNTIFS(Equipar!B:B,5,Equipar!E:E,A965)
+COUNTIFS(Equipar!B:B,5,Equipar!F:F,A965)
&gt;0,COUNTIF('Set recomendado'!B:B,C965)=0),
"Bloqueada",
"Desechable")),""
)</f>
        <v/>
      </c>
      <c r="J965" t="str" cm="1">
        <f t="array" aca="1" ref="J965" ca="1">IF(ISNUMBER(A965),IFERROR(_xlfn._xlws.FILTER(Equipar!A:A,(Equipar!B:B=5)*(Equipar!AC:AC=A965)),""),"")</f>
        <v/>
      </c>
    </row>
    <row r="966" spans="1:10" x14ac:dyDescent="0.25">
      <c r="A966" s="1" t="str">
        <f ca="1">IF(A965="ID",1,IF(ISBLANK(B966),"",MAX(A$2:A965)+1))</f>
        <v/>
      </c>
      <c r="I966" s="2" t="str">
        <f ca="1">IF(ISNUMBER(A966),
IF(COUNTIFS(Equipar!B:B,5,Equipar!AC:AC,A966),"Equipada",
IF(
 OR( COUNTIFS(Equipar!B:B,5,Equipar!C:C,A966)
 +COUNTIFS(Equipar!B:B,5,Equipar!D:D,A966)
+COUNTIFS(Equipar!B:B,5,Equipar!E:E,A966)
+COUNTIFS(Equipar!B:B,5,Equipar!F:F,A966)
&gt;0,COUNTIF('Set recomendado'!B:B,C966)=0),
"Bloqueada",
"Desechable")),""
)</f>
        <v/>
      </c>
      <c r="J966" t="str" cm="1">
        <f t="array" aca="1" ref="J966" ca="1">IF(ISNUMBER(A966),IFERROR(_xlfn._xlws.FILTER(Equipar!A:A,(Equipar!B:B=5)*(Equipar!AC:AC=A966)),""),"")</f>
        <v/>
      </c>
    </row>
    <row r="967" spans="1:10" x14ac:dyDescent="0.25">
      <c r="A967" s="1" t="str">
        <f ca="1">IF(A966="ID",1,IF(ISBLANK(B967),"",MAX(A$2:A966)+1))</f>
        <v/>
      </c>
      <c r="I967" s="2" t="str">
        <f ca="1">IF(ISNUMBER(A967),
IF(COUNTIFS(Equipar!B:B,5,Equipar!AC:AC,A967),"Equipada",
IF(
 OR( COUNTIFS(Equipar!B:B,5,Equipar!C:C,A967)
 +COUNTIFS(Equipar!B:B,5,Equipar!D:D,A967)
+COUNTIFS(Equipar!B:B,5,Equipar!E:E,A967)
+COUNTIFS(Equipar!B:B,5,Equipar!F:F,A967)
&gt;0,COUNTIF('Set recomendado'!B:B,C967)=0),
"Bloqueada",
"Desechable")),""
)</f>
        <v/>
      </c>
      <c r="J967" t="str" cm="1">
        <f t="array" aca="1" ref="J967" ca="1">IF(ISNUMBER(A967),IFERROR(_xlfn._xlws.FILTER(Equipar!A:A,(Equipar!B:B=5)*(Equipar!AC:AC=A967)),""),"")</f>
        <v/>
      </c>
    </row>
    <row r="968" spans="1:10" x14ac:dyDescent="0.25">
      <c r="A968" s="1" t="str">
        <f ca="1">IF(A967="ID",1,IF(ISBLANK(B968),"",MAX(A$2:A967)+1))</f>
        <v/>
      </c>
      <c r="I968" s="2" t="str">
        <f ca="1">IF(ISNUMBER(A968),
IF(COUNTIFS(Equipar!B:B,5,Equipar!AC:AC,A968),"Equipada",
IF(
 OR( COUNTIFS(Equipar!B:B,5,Equipar!C:C,A968)
 +COUNTIFS(Equipar!B:B,5,Equipar!D:D,A968)
+COUNTIFS(Equipar!B:B,5,Equipar!E:E,A968)
+COUNTIFS(Equipar!B:B,5,Equipar!F:F,A968)
&gt;0,COUNTIF('Set recomendado'!B:B,C968)=0),
"Bloqueada",
"Desechable")),""
)</f>
        <v/>
      </c>
      <c r="J968" t="str" cm="1">
        <f t="array" aca="1" ref="J968" ca="1">IF(ISNUMBER(A968),IFERROR(_xlfn._xlws.FILTER(Equipar!A:A,(Equipar!B:B=5)*(Equipar!AC:AC=A968)),""),"")</f>
        <v/>
      </c>
    </row>
    <row r="969" spans="1:10" x14ac:dyDescent="0.25">
      <c r="A969" s="1" t="str">
        <f ca="1">IF(A968="ID",1,IF(ISBLANK(B969),"",MAX(A$2:A968)+1))</f>
        <v/>
      </c>
      <c r="I969" s="2" t="str">
        <f ca="1">IF(ISNUMBER(A969),
IF(COUNTIFS(Equipar!B:B,5,Equipar!AC:AC,A969),"Equipada",
IF(
 OR( COUNTIFS(Equipar!B:B,5,Equipar!C:C,A969)
 +COUNTIFS(Equipar!B:B,5,Equipar!D:D,A969)
+COUNTIFS(Equipar!B:B,5,Equipar!E:E,A969)
+COUNTIFS(Equipar!B:B,5,Equipar!F:F,A969)
&gt;0,COUNTIF('Set recomendado'!B:B,C969)=0),
"Bloqueada",
"Desechable")),""
)</f>
        <v/>
      </c>
      <c r="J969" t="str" cm="1">
        <f t="array" aca="1" ref="J969" ca="1">IF(ISNUMBER(A969),IFERROR(_xlfn._xlws.FILTER(Equipar!A:A,(Equipar!B:B=5)*(Equipar!AC:AC=A969)),""),"")</f>
        <v/>
      </c>
    </row>
    <row r="970" spans="1:10" x14ac:dyDescent="0.25">
      <c r="A970" s="1" t="str">
        <f ca="1">IF(A969="ID",1,IF(ISBLANK(B970),"",MAX(A$2:A969)+1))</f>
        <v/>
      </c>
      <c r="I970" s="2" t="str">
        <f ca="1">IF(ISNUMBER(A970),
IF(COUNTIFS(Equipar!B:B,5,Equipar!AC:AC,A970),"Equipada",
IF(
 OR( COUNTIFS(Equipar!B:B,5,Equipar!C:C,A970)
 +COUNTIFS(Equipar!B:B,5,Equipar!D:D,A970)
+COUNTIFS(Equipar!B:B,5,Equipar!E:E,A970)
+COUNTIFS(Equipar!B:B,5,Equipar!F:F,A970)
&gt;0,COUNTIF('Set recomendado'!B:B,C970)=0),
"Bloqueada",
"Desechable")),""
)</f>
        <v/>
      </c>
      <c r="J970" t="str" cm="1">
        <f t="array" aca="1" ref="J970" ca="1">IF(ISNUMBER(A970),IFERROR(_xlfn._xlws.FILTER(Equipar!A:A,(Equipar!B:B=5)*(Equipar!AC:AC=A970)),""),"")</f>
        <v/>
      </c>
    </row>
    <row r="971" spans="1:10" x14ac:dyDescent="0.25">
      <c r="A971" s="1" t="str">
        <f ca="1">IF(A970="ID",1,IF(ISBLANK(B971),"",MAX(A$2:A970)+1))</f>
        <v/>
      </c>
      <c r="I971" s="2" t="str">
        <f ca="1">IF(ISNUMBER(A971),
IF(COUNTIFS(Equipar!B:B,5,Equipar!AC:AC,A971),"Equipada",
IF(
 OR( COUNTIFS(Equipar!B:B,5,Equipar!C:C,A971)
 +COUNTIFS(Equipar!B:B,5,Equipar!D:D,A971)
+COUNTIFS(Equipar!B:B,5,Equipar!E:E,A971)
+COUNTIFS(Equipar!B:B,5,Equipar!F:F,A971)
&gt;0,COUNTIF('Set recomendado'!B:B,C971)=0),
"Bloqueada",
"Desechable")),""
)</f>
        <v/>
      </c>
      <c r="J971" t="str" cm="1">
        <f t="array" aca="1" ref="J971" ca="1">IF(ISNUMBER(A971),IFERROR(_xlfn._xlws.FILTER(Equipar!A:A,(Equipar!B:B=5)*(Equipar!AC:AC=A971)),""),"")</f>
        <v/>
      </c>
    </row>
    <row r="972" spans="1:10" x14ac:dyDescent="0.25">
      <c r="A972" s="1" t="str">
        <f ca="1">IF(A971="ID",1,IF(ISBLANK(B972),"",MAX(A$2:A971)+1))</f>
        <v/>
      </c>
      <c r="I972" s="2" t="str">
        <f ca="1">IF(ISNUMBER(A972),
IF(COUNTIFS(Equipar!B:B,5,Equipar!AC:AC,A972),"Equipada",
IF(
 OR( COUNTIFS(Equipar!B:B,5,Equipar!C:C,A972)
 +COUNTIFS(Equipar!B:B,5,Equipar!D:D,A972)
+COUNTIFS(Equipar!B:B,5,Equipar!E:E,A972)
+COUNTIFS(Equipar!B:B,5,Equipar!F:F,A972)
&gt;0,COUNTIF('Set recomendado'!B:B,C972)=0),
"Bloqueada",
"Desechable")),""
)</f>
        <v/>
      </c>
      <c r="J972" t="str" cm="1">
        <f t="array" aca="1" ref="J972" ca="1">IF(ISNUMBER(A972),IFERROR(_xlfn._xlws.FILTER(Equipar!A:A,(Equipar!B:B=5)*(Equipar!AC:AC=A972)),""),"")</f>
        <v/>
      </c>
    </row>
    <row r="973" spans="1:10" x14ac:dyDescent="0.25">
      <c r="A973" s="1" t="str">
        <f ca="1">IF(A972="ID",1,IF(ISBLANK(B973),"",MAX(A$2:A972)+1))</f>
        <v/>
      </c>
      <c r="I973" s="2" t="str">
        <f ca="1">IF(ISNUMBER(A973),
IF(COUNTIFS(Equipar!B:B,5,Equipar!AC:AC,A973),"Equipada",
IF(
 OR( COUNTIFS(Equipar!B:B,5,Equipar!C:C,A973)
 +COUNTIFS(Equipar!B:B,5,Equipar!D:D,A973)
+COUNTIFS(Equipar!B:B,5,Equipar!E:E,A973)
+COUNTIFS(Equipar!B:B,5,Equipar!F:F,A973)
&gt;0,COUNTIF('Set recomendado'!B:B,C973)=0),
"Bloqueada",
"Desechable")),""
)</f>
        <v/>
      </c>
      <c r="J973" t="str" cm="1">
        <f t="array" aca="1" ref="J973" ca="1">IF(ISNUMBER(A973),IFERROR(_xlfn._xlws.FILTER(Equipar!A:A,(Equipar!B:B=5)*(Equipar!AC:AC=A973)),""),"")</f>
        <v/>
      </c>
    </row>
    <row r="974" spans="1:10" x14ac:dyDescent="0.25">
      <c r="A974" s="1" t="str">
        <f ca="1">IF(A973="ID",1,IF(ISBLANK(B974),"",MAX(A$2:A973)+1))</f>
        <v/>
      </c>
      <c r="I974" s="2" t="str">
        <f ca="1">IF(ISNUMBER(A974),
IF(COUNTIFS(Equipar!B:B,5,Equipar!AC:AC,A974),"Equipada",
IF(
 OR( COUNTIFS(Equipar!B:B,5,Equipar!C:C,A974)
 +COUNTIFS(Equipar!B:B,5,Equipar!D:D,A974)
+COUNTIFS(Equipar!B:B,5,Equipar!E:E,A974)
+COUNTIFS(Equipar!B:B,5,Equipar!F:F,A974)
&gt;0,COUNTIF('Set recomendado'!B:B,C974)=0),
"Bloqueada",
"Desechable")),""
)</f>
        <v/>
      </c>
      <c r="J974" t="str" cm="1">
        <f t="array" aca="1" ref="J974" ca="1">IF(ISNUMBER(A974),IFERROR(_xlfn._xlws.FILTER(Equipar!A:A,(Equipar!B:B=5)*(Equipar!AC:AC=A974)),""),"")</f>
        <v/>
      </c>
    </row>
    <row r="975" spans="1:10" x14ac:dyDescent="0.25">
      <c r="A975" s="1" t="str">
        <f ca="1">IF(A974="ID",1,IF(ISBLANK(B975),"",MAX(A$2:A974)+1))</f>
        <v/>
      </c>
      <c r="I975" s="2" t="str">
        <f ca="1">IF(ISNUMBER(A975),
IF(COUNTIFS(Equipar!B:B,5,Equipar!AC:AC,A975),"Equipada",
IF(
 OR( COUNTIFS(Equipar!B:B,5,Equipar!C:C,A975)
 +COUNTIFS(Equipar!B:B,5,Equipar!D:D,A975)
+COUNTIFS(Equipar!B:B,5,Equipar!E:E,A975)
+COUNTIFS(Equipar!B:B,5,Equipar!F:F,A975)
&gt;0,COUNTIF('Set recomendado'!B:B,C975)=0),
"Bloqueada",
"Desechable")),""
)</f>
        <v/>
      </c>
      <c r="J975" t="str" cm="1">
        <f t="array" aca="1" ref="J975" ca="1">IF(ISNUMBER(A975),IFERROR(_xlfn._xlws.FILTER(Equipar!A:A,(Equipar!B:B=5)*(Equipar!AC:AC=A975)),""),"")</f>
        <v/>
      </c>
    </row>
    <row r="976" spans="1:10" x14ac:dyDescent="0.25">
      <c r="A976" s="1" t="str">
        <f ca="1">IF(A975="ID",1,IF(ISBLANK(B976),"",MAX(A$2:A975)+1))</f>
        <v/>
      </c>
      <c r="I976" s="2" t="str">
        <f ca="1">IF(ISNUMBER(A976),
IF(COUNTIFS(Equipar!B:B,5,Equipar!AC:AC,A976),"Equipada",
IF(
 OR( COUNTIFS(Equipar!B:B,5,Equipar!C:C,A976)
 +COUNTIFS(Equipar!B:B,5,Equipar!D:D,A976)
+COUNTIFS(Equipar!B:B,5,Equipar!E:E,A976)
+COUNTIFS(Equipar!B:B,5,Equipar!F:F,A976)
&gt;0,COUNTIF('Set recomendado'!B:B,C976)=0),
"Bloqueada",
"Desechable")),""
)</f>
        <v/>
      </c>
      <c r="J976" t="str" cm="1">
        <f t="array" aca="1" ref="J976" ca="1">IF(ISNUMBER(A976),IFERROR(_xlfn._xlws.FILTER(Equipar!A:A,(Equipar!B:B=5)*(Equipar!AC:AC=A976)),""),"")</f>
        <v/>
      </c>
    </row>
    <row r="977" spans="1:10" x14ac:dyDescent="0.25">
      <c r="A977" s="1" t="str">
        <f ca="1">IF(A976="ID",1,IF(ISBLANK(B977),"",MAX(A$2:A976)+1))</f>
        <v/>
      </c>
      <c r="I977" s="2" t="str">
        <f ca="1">IF(ISNUMBER(A977),
IF(COUNTIFS(Equipar!B:B,5,Equipar!AC:AC,A977),"Equipada",
IF(
 OR( COUNTIFS(Equipar!B:B,5,Equipar!C:C,A977)
 +COUNTIFS(Equipar!B:B,5,Equipar!D:D,A977)
+COUNTIFS(Equipar!B:B,5,Equipar!E:E,A977)
+COUNTIFS(Equipar!B:B,5,Equipar!F:F,A977)
&gt;0,COUNTIF('Set recomendado'!B:B,C977)=0),
"Bloqueada",
"Desechable")),""
)</f>
        <v/>
      </c>
      <c r="J977" t="str" cm="1">
        <f t="array" aca="1" ref="J977" ca="1">IF(ISNUMBER(A977),IFERROR(_xlfn._xlws.FILTER(Equipar!A:A,(Equipar!B:B=5)*(Equipar!AC:AC=A977)),""),"")</f>
        <v/>
      </c>
    </row>
    <row r="978" spans="1:10" x14ac:dyDescent="0.25">
      <c r="A978" s="1" t="str">
        <f ca="1">IF(A977="ID",1,IF(ISBLANK(B978),"",MAX(A$2:A977)+1))</f>
        <v/>
      </c>
      <c r="I978" s="2" t="str">
        <f ca="1">IF(ISNUMBER(A978),
IF(COUNTIFS(Equipar!B:B,5,Equipar!AC:AC,A978),"Equipada",
IF(
 OR( COUNTIFS(Equipar!B:B,5,Equipar!C:C,A978)
 +COUNTIFS(Equipar!B:B,5,Equipar!D:D,A978)
+COUNTIFS(Equipar!B:B,5,Equipar!E:E,A978)
+COUNTIFS(Equipar!B:B,5,Equipar!F:F,A978)
&gt;0,COUNTIF('Set recomendado'!B:B,C978)=0),
"Bloqueada",
"Desechable")),""
)</f>
        <v/>
      </c>
      <c r="J978" t="str" cm="1">
        <f t="array" aca="1" ref="J978" ca="1">IF(ISNUMBER(A978),IFERROR(_xlfn._xlws.FILTER(Equipar!A:A,(Equipar!B:B=5)*(Equipar!AC:AC=A978)),""),"")</f>
        <v/>
      </c>
    </row>
    <row r="979" spans="1:10" x14ac:dyDescent="0.25">
      <c r="A979" s="1" t="str">
        <f ca="1">IF(A978="ID",1,IF(ISBLANK(B979),"",MAX(A$2:A978)+1))</f>
        <v/>
      </c>
      <c r="I979" s="2" t="str">
        <f ca="1">IF(ISNUMBER(A979),
IF(COUNTIFS(Equipar!B:B,5,Equipar!AC:AC,A979),"Equipada",
IF(
 OR( COUNTIFS(Equipar!B:B,5,Equipar!C:C,A979)
 +COUNTIFS(Equipar!B:B,5,Equipar!D:D,A979)
+COUNTIFS(Equipar!B:B,5,Equipar!E:E,A979)
+COUNTIFS(Equipar!B:B,5,Equipar!F:F,A979)
&gt;0,COUNTIF('Set recomendado'!B:B,C979)=0),
"Bloqueada",
"Desechable")),""
)</f>
        <v/>
      </c>
      <c r="J979" t="str" cm="1">
        <f t="array" aca="1" ref="J979" ca="1">IF(ISNUMBER(A979),IFERROR(_xlfn._xlws.FILTER(Equipar!A:A,(Equipar!B:B=5)*(Equipar!AC:AC=A979)),""),"")</f>
        <v/>
      </c>
    </row>
    <row r="980" spans="1:10" x14ac:dyDescent="0.25">
      <c r="A980" s="1" t="str">
        <f ca="1">IF(A979="ID",1,IF(ISBLANK(B980),"",MAX(A$2:A979)+1))</f>
        <v/>
      </c>
      <c r="I980" s="2" t="str">
        <f ca="1">IF(ISNUMBER(A980),
IF(COUNTIFS(Equipar!B:B,5,Equipar!AC:AC,A980),"Equipada",
IF(
 OR( COUNTIFS(Equipar!B:B,5,Equipar!C:C,A980)
 +COUNTIFS(Equipar!B:B,5,Equipar!D:D,A980)
+COUNTIFS(Equipar!B:B,5,Equipar!E:E,A980)
+COUNTIFS(Equipar!B:B,5,Equipar!F:F,A980)
&gt;0,COUNTIF('Set recomendado'!B:B,C980)=0),
"Bloqueada",
"Desechable")),""
)</f>
        <v/>
      </c>
      <c r="J980" t="str" cm="1">
        <f t="array" aca="1" ref="J980" ca="1">IF(ISNUMBER(A980),IFERROR(_xlfn._xlws.FILTER(Equipar!A:A,(Equipar!B:B=5)*(Equipar!AC:AC=A980)),""),"")</f>
        <v/>
      </c>
    </row>
    <row r="981" spans="1:10" x14ac:dyDescent="0.25">
      <c r="A981" s="1" t="str">
        <f ca="1">IF(A980="ID",1,IF(ISBLANK(B981),"",MAX(A$2:A980)+1))</f>
        <v/>
      </c>
      <c r="I981" s="2" t="str">
        <f ca="1">IF(ISNUMBER(A981),
IF(COUNTIFS(Equipar!B:B,5,Equipar!AC:AC,A981),"Equipada",
IF(
 OR( COUNTIFS(Equipar!B:B,5,Equipar!C:C,A981)
 +COUNTIFS(Equipar!B:B,5,Equipar!D:D,A981)
+COUNTIFS(Equipar!B:B,5,Equipar!E:E,A981)
+COUNTIFS(Equipar!B:B,5,Equipar!F:F,A981)
&gt;0,COUNTIF('Set recomendado'!B:B,C981)=0),
"Bloqueada",
"Desechable")),""
)</f>
        <v/>
      </c>
      <c r="J981" t="str" cm="1">
        <f t="array" aca="1" ref="J981" ca="1">IF(ISNUMBER(A981),IFERROR(_xlfn._xlws.FILTER(Equipar!A:A,(Equipar!B:B=5)*(Equipar!AC:AC=A981)),""),"")</f>
        <v/>
      </c>
    </row>
    <row r="982" spans="1:10" x14ac:dyDescent="0.25">
      <c r="A982" s="1" t="str">
        <f ca="1">IF(A981="ID",1,IF(ISBLANK(B982),"",MAX(A$2:A981)+1))</f>
        <v/>
      </c>
      <c r="I982" s="2" t="str">
        <f ca="1">IF(ISNUMBER(A982),
IF(COUNTIFS(Equipar!B:B,5,Equipar!AC:AC,A982),"Equipada",
IF(
 OR( COUNTIFS(Equipar!B:B,5,Equipar!C:C,A982)
 +COUNTIFS(Equipar!B:B,5,Equipar!D:D,A982)
+COUNTIFS(Equipar!B:B,5,Equipar!E:E,A982)
+COUNTIFS(Equipar!B:B,5,Equipar!F:F,A982)
&gt;0,COUNTIF('Set recomendado'!B:B,C982)=0),
"Bloqueada",
"Desechable")),""
)</f>
        <v/>
      </c>
      <c r="J982" t="str" cm="1">
        <f t="array" aca="1" ref="J982" ca="1">IF(ISNUMBER(A982),IFERROR(_xlfn._xlws.FILTER(Equipar!A:A,(Equipar!B:B=5)*(Equipar!AC:AC=A982)),""),"")</f>
        <v/>
      </c>
    </row>
    <row r="983" spans="1:10" x14ac:dyDescent="0.25">
      <c r="A983" s="1" t="str">
        <f ca="1">IF(A982="ID",1,IF(ISBLANK(B983),"",MAX(A$2:A982)+1))</f>
        <v/>
      </c>
      <c r="I983" s="2" t="str">
        <f ca="1">IF(ISNUMBER(A983),
IF(COUNTIFS(Equipar!B:B,5,Equipar!AC:AC,A983),"Equipada",
IF(
 OR( COUNTIFS(Equipar!B:B,5,Equipar!C:C,A983)
 +COUNTIFS(Equipar!B:B,5,Equipar!D:D,A983)
+COUNTIFS(Equipar!B:B,5,Equipar!E:E,A983)
+COUNTIFS(Equipar!B:B,5,Equipar!F:F,A983)
&gt;0,COUNTIF('Set recomendado'!B:B,C983)=0),
"Bloqueada",
"Desechable")),""
)</f>
        <v/>
      </c>
      <c r="J983" t="str" cm="1">
        <f t="array" aca="1" ref="J983" ca="1">IF(ISNUMBER(A983),IFERROR(_xlfn._xlws.FILTER(Equipar!A:A,(Equipar!B:B=5)*(Equipar!AC:AC=A983)),""),"")</f>
        <v/>
      </c>
    </row>
    <row r="984" spans="1:10" x14ac:dyDescent="0.25">
      <c r="A984" s="1" t="str">
        <f ca="1">IF(A983="ID",1,IF(ISBLANK(B984),"",MAX(A$2:A983)+1))</f>
        <v/>
      </c>
      <c r="I984" s="2" t="str">
        <f ca="1">IF(ISNUMBER(A984),
IF(COUNTIFS(Equipar!B:B,5,Equipar!AC:AC,A984),"Equipada",
IF(
 OR( COUNTIFS(Equipar!B:B,5,Equipar!C:C,A984)
 +COUNTIFS(Equipar!B:B,5,Equipar!D:D,A984)
+COUNTIFS(Equipar!B:B,5,Equipar!E:E,A984)
+COUNTIFS(Equipar!B:B,5,Equipar!F:F,A984)
&gt;0,COUNTIF('Set recomendado'!B:B,C984)=0),
"Bloqueada",
"Desechable")),""
)</f>
        <v/>
      </c>
      <c r="J984" t="str" cm="1">
        <f t="array" aca="1" ref="J984" ca="1">IF(ISNUMBER(A984),IFERROR(_xlfn._xlws.FILTER(Equipar!A:A,(Equipar!B:B=5)*(Equipar!AC:AC=A984)),""),"")</f>
        <v/>
      </c>
    </row>
    <row r="985" spans="1:10" x14ac:dyDescent="0.25">
      <c r="A985" s="1" t="str">
        <f ca="1">IF(A984="ID",1,IF(ISBLANK(B985),"",MAX(A$2:A984)+1))</f>
        <v/>
      </c>
      <c r="I985" s="2" t="str">
        <f ca="1">IF(ISNUMBER(A985),
IF(COUNTIFS(Equipar!B:B,5,Equipar!AC:AC,A985),"Equipada",
IF(
 OR( COUNTIFS(Equipar!B:B,5,Equipar!C:C,A985)
 +COUNTIFS(Equipar!B:B,5,Equipar!D:D,A985)
+COUNTIFS(Equipar!B:B,5,Equipar!E:E,A985)
+COUNTIFS(Equipar!B:B,5,Equipar!F:F,A985)
&gt;0,COUNTIF('Set recomendado'!B:B,C985)=0),
"Bloqueada",
"Desechable")),""
)</f>
        <v/>
      </c>
      <c r="J985" t="str" cm="1">
        <f t="array" aca="1" ref="J985" ca="1">IF(ISNUMBER(A985),IFERROR(_xlfn._xlws.FILTER(Equipar!A:A,(Equipar!B:B=5)*(Equipar!AC:AC=A985)),""),"")</f>
        <v/>
      </c>
    </row>
    <row r="986" spans="1:10" x14ac:dyDescent="0.25">
      <c r="A986" s="1" t="str">
        <f ca="1">IF(A985="ID",1,IF(ISBLANK(B986),"",MAX(A$2:A985)+1))</f>
        <v/>
      </c>
      <c r="I986" s="2" t="str">
        <f ca="1">IF(ISNUMBER(A986),
IF(COUNTIFS(Equipar!B:B,5,Equipar!AC:AC,A986),"Equipada",
IF(
 OR( COUNTIFS(Equipar!B:B,5,Equipar!C:C,A986)
 +COUNTIFS(Equipar!B:B,5,Equipar!D:D,A986)
+COUNTIFS(Equipar!B:B,5,Equipar!E:E,A986)
+COUNTIFS(Equipar!B:B,5,Equipar!F:F,A986)
&gt;0,COUNTIF('Set recomendado'!B:B,C986)=0),
"Bloqueada",
"Desechable")),""
)</f>
        <v/>
      </c>
      <c r="J986" t="str" cm="1">
        <f t="array" aca="1" ref="J986" ca="1">IF(ISNUMBER(A986),IFERROR(_xlfn._xlws.FILTER(Equipar!A:A,(Equipar!B:B=5)*(Equipar!AC:AC=A986)),""),"")</f>
        <v/>
      </c>
    </row>
    <row r="987" spans="1:10" x14ac:dyDescent="0.25">
      <c r="A987" s="1" t="str">
        <f ca="1">IF(A986="ID",1,IF(ISBLANK(B987),"",MAX(A$2:A986)+1))</f>
        <v/>
      </c>
      <c r="I987" s="2" t="str">
        <f ca="1">IF(ISNUMBER(A987),
IF(COUNTIFS(Equipar!B:B,5,Equipar!AC:AC,A987),"Equipada",
IF(
 OR( COUNTIFS(Equipar!B:B,5,Equipar!C:C,A987)
 +COUNTIFS(Equipar!B:B,5,Equipar!D:D,A987)
+COUNTIFS(Equipar!B:B,5,Equipar!E:E,A987)
+COUNTIFS(Equipar!B:B,5,Equipar!F:F,A987)
&gt;0,COUNTIF('Set recomendado'!B:B,C987)=0),
"Bloqueada",
"Desechable")),""
)</f>
        <v/>
      </c>
      <c r="J987" t="str" cm="1">
        <f t="array" aca="1" ref="J987" ca="1">IF(ISNUMBER(A987),IFERROR(_xlfn._xlws.FILTER(Equipar!A:A,(Equipar!B:B=5)*(Equipar!AC:AC=A987)),""),"")</f>
        <v/>
      </c>
    </row>
    <row r="988" spans="1:10" x14ac:dyDescent="0.25">
      <c r="A988" s="1" t="str">
        <f ca="1">IF(A987="ID",1,IF(ISBLANK(B988),"",MAX(A$2:A987)+1))</f>
        <v/>
      </c>
      <c r="I988" s="2" t="str">
        <f ca="1">IF(ISNUMBER(A988),
IF(COUNTIFS(Equipar!B:B,5,Equipar!AC:AC,A988),"Equipada",
IF(
 OR( COUNTIFS(Equipar!B:B,5,Equipar!C:C,A988)
 +COUNTIFS(Equipar!B:B,5,Equipar!D:D,A988)
+COUNTIFS(Equipar!B:B,5,Equipar!E:E,A988)
+COUNTIFS(Equipar!B:B,5,Equipar!F:F,A988)
&gt;0,COUNTIF('Set recomendado'!B:B,C988)=0),
"Bloqueada",
"Desechable")),""
)</f>
        <v/>
      </c>
      <c r="J988" t="str" cm="1">
        <f t="array" aca="1" ref="J988" ca="1">IF(ISNUMBER(A988),IFERROR(_xlfn._xlws.FILTER(Equipar!A:A,(Equipar!B:B=5)*(Equipar!AC:AC=A988)),""),"")</f>
        <v/>
      </c>
    </row>
    <row r="989" spans="1:10" x14ac:dyDescent="0.25">
      <c r="A989" s="1" t="str">
        <f ca="1">IF(A988="ID",1,IF(ISBLANK(B989),"",MAX(A$2:A988)+1))</f>
        <v/>
      </c>
      <c r="I989" s="2" t="str">
        <f ca="1">IF(ISNUMBER(A989),
IF(COUNTIFS(Equipar!B:B,5,Equipar!AC:AC,A989),"Equipada",
IF(
 OR( COUNTIFS(Equipar!B:B,5,Equipar!C:C,A989)
 +COUNTIFS(Equipar!B:B,5,Equipar!D:D,A989)
+COUNTIFS(Equipar!B:B,5,Equipar!E:E,A989)
+COUNTIFS(Equipar!B:B,5,Equipar!F:F,A989)
&gt;0,COUNTIF('Set recomendado'!B:B,C989)=0),
"Bloqueada",
"Desechable")),""
)</f>
        <v/>
      </c>
      <c r="J989" t="str" cm="1">
        <f t="array" aca="1" ref="J989" ca="1">IF(ISNUMBER(A989),IFERROR(_xlfn._xlws.FILTER(Equipar!A:A,(Equipar!B:B=5)*(Equipar!AC:AC=A989)),""),"")</f>
        <v/>
      </c>
    </row>
    <row r="990" spans="1:10" x14ac:dyDescent="0.25">
      <c r="A990" s="1" t="str">
        <f ca="1">IF(A989="ID",1,IF(ISBLANK(B990),"",MAX(A$2:A989)+1))</f>
        <v/>
      </c>
      <c r="I990" s="2" t="str">
        <f ca="1">IF(ISNUMBER(A990),
IF(COUNTIFS(Equipar!B:B,5,Equipar!AC:AC,A990),"Equipada",
IF(
 OR( COUNTIFS(Equipar!B:B,5,Equipar!C:C,A990)
 +COUNTIFS(Equipar!B:B,5,Equipar!D:D,A990)
+COUNTIFS(Equipar!B:B,5,Equipar!E:E,A990)
+COUNTIFS(Equipar!B:B,5,Equipar!F:F,A990)
&gt;0,COUNTIF('Set recomendado'!B:B,C990)=0),
"Bloqueada",
"Desechable")),""
)</f>
        <v/>
      </c>
      <c r="J990" t="str" cm="1">
        <f t="array" aca="1" ref="J990" ca="1">IF(ISNUMBER(A990),IFERROR(_xlfn._xlws.FILTER(Equipar!A:A,(Equipar!B:B=5)*(Equipar!AC:AC=A990)),""),"")</f>
        <v/>
      </c>
    </row>
    <row r="991" spans="1:10" x14ac:dyDescent="0.25">
      <c r="A991" s="1" t="str">
        <f ca="1">IF(A990="ID",1,IF(ISBLANK(B991),"",MAX(A$2:A990)+1))</f>
        <v/>
      </c>
      <c r="I991" s="2" t="str">
        <f ca="1">IF(ISNUMBER(A991),
IF(COUNTIFS(Equipar!B:B,5,Equipar!AC:AC,A991),"Equipada",
IF(
 OR( COUNTIFS(Equipar!B:B,5,Equipar!C:C,A991)
 +COUNTIFS(Equipar!B:B,5,Equipar!D:D,A991)
+COUNTIFS(Equipar!B:B,5,Equipar!E:E,A991)
+COUNTIFS(Equipar!B:B,5,Equipar!F:F,A991)
&gt;0,COUNTIF('Set recomendado'!B:B,C991)=0),
"Bloqueada",
"Desechable")),""
)</f>
        <v/>
      </c>
      <c r="J991" t="str" cm="1">
        <f t="array" aca="1" ref="J991" ca="1">IF(ISNUMBER(A991),IFERROR(_xlfn._xlws.FILTER(Equipar!A:A,(Equipar!B:B=5)*(Equipar!AC:AC=A991)),""),"")</f>
        <v/>
      </c>
    </row>
    <row r="992" spans="1:10" x14ac:dyDescent="0.25">
      <c r="A992" s="1" t="str">
        <f ca="1">IF(A991="ID",1,IF(ISBLANK(B992),"",MAX(A$2:A991)+1))</f>
        <v/>
      </c>
      <c r="I992" s="2" t="str">
        <f ca="1">IF(ISNUMBER(A992),
IF(COUNTIFS(Equipar!B:B,5,Equipar!AC:AC,A992),"Equipada",
IF(
 OR( COUNTIFS(Equipar!B:B,5,Equipar!C:C,A992)
 +COUNTIFS(Equipar!B:B,5,Equipar!D:D,A992)
+COUNTIFS(Equipar!B:B,5,Equipar!E:E,A992)
+COUNTIFS(Equipar!B:B,5,Equipar!F:F,A992)
&gt;0,COUNTIF('Set recomendado'!B:B,C992)=0),
"Bloqueada",
"Desechable")),""
)</f>
        <v/>
      </c>
      <c r="J992" t="str" cm="1">
        <f t="array" aca="1" ref="J992" ca="1">IF(ISNUMBER(A992),IFERROR(_xlfn._xlws.FILTER(Equipar!A:A,(Equipar!B:B=5)*(Equipar!AC:AC=A992)),""),"")</f>
        <v/>
      </c>
    </row>
    <row r="993" spans="1:10" x14ac:dyDescent="0.25">
      <c r="A993" s="1" t="str">
        <f ca="1">IF(A992="ID",1,IF(ISBLANK(B993),"",MAX(A$2:A992)+1))</f>
        <v/>
      </c>
      <c r="I993" s="2" t="str">
        <f ca="1">IF(ISNUMBER(A993),
IF(COUNTIFS(Equipar!B:B,5,Equipar!AC:AC,A993),"Equipada",
IF(
 OR( COUNTIFS(Equipar!B:B,5,Equipar!C:C,A993)
 +COUNTIFS(Equipar!B:B,5,Equipar!D:D,A993)
+COUNTIFS(Equipar!B:B,5,Equipar!E:E,A993)
+COUNTIFS(Equipar!B:B,5,Equipar!F:F,A993)
&gt;0,COUNTIF('Set recomendado'!B:B,C993)=0),
"Bloqueada",
"Desechable")),""
)</f>
        <v/>
      </c>
      <c r="J993" t="str" cm="1">
        <f t="array" aca="1" ref="J993" ca="1">IF(ISNUMBER(A993),IFERROR(_xlfn._xlws.FILTER(Equipar!A:A,(Equipar!B:B=5)*(Equipar!AC:AC=A993)),""),"")</f>
        <v/>
      </c>
    </row>
    <row r="994" spans="1:10" x14ac:dyDescent="0.25">
      <c r="A994" s="1" t="str">
        <f ca="1">IF(A993="ID",1,IF(ISBLANK(B994),"",MAX(A$2:A993)+1))</f>
        <v/>
      </c>
      <c r="I994" s="2" t="str">
        <f ca="1">IF(ISNUMBER(A994),
IF(COUNTIFS(Equipar!B:B,5,Equipar!AC:AC,A994),"Equipada",
IF(
 OR( COUNTIFS(Equipar!B:B,5,Equipar!C:C,A994)
 +COUNTIFS(Equipar!B:B,5,Equipar!D:D,A994)
+COUNTIFS(Equipar!B:B,5,Equipar!E:E,A994)
+COUNTIFS(Equipar!B:B,5,Equipar!F:F,A994)
&gt;0,COUNTIF('Set recomendado'!B:B,C994)=0),
"Bloqueada",
"Desechable")),""
)</f>
        <v/>
      </c>
      <c r="J994" t="str" cm="1">
        <f t="array" aca="1" ref="J994" ca="1">IF(ISNUMBER(A994),IFERROR(_xlfn._xlws.FILTER(Equipar!A:A,(Equipar!B:B=5)*(Equipar!AC:AC=A994)),""),"")</f>
        <v/>
      </c>
    </row>
    <row r="995" spans="1:10" x14ac:dyDescent="0.25">
      <c r="A995" s="1" t="str">
        <f ca="1">IF(A994="ID",1,IF(ISBLANK(B995),"",MAX(A$2:A994)+1))</f>
        <v/>
      </c>
      <c r="I995" s="2" t="str">
        <f ca="1">IF(ISNUMBER(A995),
IF(COUNTIFS(Equipar!B:B,5,Equipar!AC:AC,A995),"Equipada",
IF(
 OR( COUNTIFS(Equipar!B:B,5,Equipar!C:C,A995)
 +COUNTIFS(Equipar!B:B,5,Equipar!D:D,A995)
+COUNTIFS(Equipar!B:B,5,Equipar!E:E,A995)
+COUNTIFS(Equipar!B:B,5,Equipar!F:F,A995)
&gt;0,COUNTIF('Set recomendado'!B:B,C995)=0),
"Bloqueada",
"Desechable")),""
)</f>
        <v/>
      </c>
      <c r="J995" t="str" cm="1">
        <f t="array" aca="1" ref="J995" ca="1">IF(ISNUMBER(A995),IFERROR(_xlfn._xlws.FILTER(Equipar!A:A,(Equipar!B:B=5)*(Equipar!AC:AC=A995)),""),"")</f>
        <v/>
      </c>
    </row>
    <row r="996" spans="1:10" x14ac:dyDescent="0.25">
      <c r="A996" s="1" t="str">
        <f ca="1">IF(A995="ID",1,IF(ISBLANK(B996),"",MAX(A$2:A995)+1))</f>
        <v/>
      </c>
      <c r="I996" s="2" t="str">
        <f ca="1">IF(ISNUMBER(A996),
IF(COUNTIFS(Equipar!B:B,5,Equipar!AC:AC,A996),"Equipada",
IF(
 OR( COUNTIFS(Equipar!B:B,5,Equipar!C:C,A996)
 +COUNTIFS(Equipar!B:B,5,Equipar!D:D,A996)
+COUNTIFS(Equipar!B:B,5,Equipar!E:E,A996)
+COUNTIFS(Equipar!B:B,5,Equipar!F:F,A996)
&gt;0,COUNTIF('Set recomendado'!B:B,C996)=0),
"Bloqueada",
"Desechable")),""
)</f>
        <v/>
      </c>
      <c r="J996" t="str" cm="1">
        <f t="array" aca="1" ref="J996" ca="1">IF(ISNUMBER(A996),IFERROR(_xlfn._xlws.FILTER(Equipar!A:A,(Equipar!B:B=5)*(Equipar!AC:AC=A996)),""),"")</f>
        <v/>
      </c>
    </row>
    <row r="997" spans="1:10" x14ac:dyDescent="0.25">
      <c r="A997" s="1" t="str">
        <f ca="1">IF(A996="ID",1,IF(ISBLANK(B997),"",MAX(A$2:A996)+1))</f>
        <v/>
      </c>
      <c r="I997" s="2" t="str">
        <f ca="1">IF(ISNUMBER(A997),
IF(COUNTIFS(Equipar!B:B,5,Equipar!AC:AC,A997),"Equipada",
IF(
 OR( COUNTIFS(Equipar!B:B,5,Equipar!C:C,A997)
 +COUNTIFS(Equipar!B:B,5,Equipar!D:D,A997)
+COUNTIFS(Equipar!B:B,5,Equipar!E:E,A997)
+COUNTIFS(Equipar!B:B,5,Equipar!F:F,A997)
&gt;0,COUNTIF('Set recomendado'!B:B,C997)=0),
"Bloqueada",
"Desechable")),""
)</f>
        <v/>
      </c>
      <c r="J997" t="str" cm="1">
        <f t="array" aca="1" ref="J997" ca="1">IF(ISNUMBER(A997),IFERROR(_xlfn._xlws.FILTER(Equipar!A:A,(Equipar!B:B=5)*(Equipar!AC:AC=A997)),""),"")</f>
        <v/>
      </c>
    </row>
    <row r="998" spans="1:10" x14ac:dyDescent="0.25">
      <c r="A998" s="1" t="str">
        <f ca="1">IF(A997="ID",1,IF(ISBLANK(B998),"",MAX(A$2:A997)+1))</f>
        <v/>
      </c>
      <c r="I998" s="2" t="str">
        <f ca="1">IF(ISNUMBER(A998),
IF(COUNTIFS(Equipar!B:B,5,Equipar!AC:AC,A998),"Equipada",
IF(
 OR( COUNTIFS(Equipar!B:B,5,Equipar!C:C,A998)
 +COUNTIFS(Equipar!B:B,5,Equipar!D:D,A998)
+COUNTIFS(Equipar!B:B,5,Equipar!E:E,A998)
+COUNTIFS(Equipar!B:B,5,Equipar!F:F,A998)
&gt;0,COUNTIF('Set recomendado'!B:B,C998)=0),
"Bloqueada",
"Desechable")),""
)</f>
        <v/>
      </c>
      <c r="J998" t="str" cm="1">
        <f t="array" aca="1" ref="J998" ca="1">IF(ISNUMBER(A998),IFERROR(_xlfn._xlws.FILTER(Equipar!A:A,(Equipar!B:B=5)*(Equipar!AC:AC=A998)),""),"")</f>
        <v/>
      </c>
    </row>
    <row r="999" spans="1:10" x14ac:dyDescent="0.25">
      <c r="A999" s="1" t="str">
        <f ca="1">IF(A998="ID",1,IF(ISBLANK(B999),"",MAX(A$2:A998)+1))</f>
        <v/>
      </c>
      <c r="I999" s="2" t="str">
        <f ca="1">IF(ISNUMBER(A999),
IF(COUNTIFS(Equipar!B:B,5,Equipar!AC:AC,A999),"Equipada",
IF(
 OR( COUNTIFS(Equipar!B:B,5,Equipar!C:C,A999)
 +COUNTIFS(Equipar!B:B,5,Equipar!D:D,A999)
+COUNTIFS(Equipar!B:B,5,Equipar!E:E,A999)
+COUNTIFS(Equipar!B:B,5,Equipar!F:F,A999)
&gt;0,COUNTIF('Set recomendado'!B:B,C999)=0),
"Bloqueada",
"Desechable")),""
)</f>
        <v/>
      </c>
      <c r="J999" t="str" cm="1">
        <f t="array" aca="1" ref="J999" ca="1">IF(ISNUMBER(A999),IFERROR(_xlfn._xlws.FILTER(Equipar!A:A,(Equipar!B:B=5)*(Equipar!AC:AC=A999)),""),"")</f>
        <v/>
      </c>
    </row>
    <row r="1000" spans="1:10" x14ac:dyDescent="0.25">
      <c r="A1000" s="1" t="str">
        <f ca="1">IF(A999="ID",1,IF(ISBLANK(B1000),"",MAX(A$2:A999)+1))</f>
        <v/>
      </c>
      <c r="I1000" s="2" t="str">
        <f ca="1">IF(ISNUMBER(A1000),
IF(COUNTIFS(Equipar!B:B,5,Equipar!AC:AC,A1000),"Equipada",
IF(
 OR( COUNTIFS(Equipar!B:B,5,Equipar!C:C,A1000)
 +COUNTIFS(Equipar!B:B,5,Equipar!D:D,A1000)
+COUNTIFS(Equipar!B:B,5,Equipar!E:E,A1000)
+COUNTIFS(Equipar!B:B,5,Equipar!F:F,A1000)
&gt;0,COUNTIF('Set recomendado'!B:B,C1000)=0),
"Bloqueada",
"Desechable")),""
)</f>
        <v/>
      </c>
      <c r="J1000" t="str" cm="1">
        <f t="array" aca="1" ref="J1000" ca="1">IF(ISNUMBER(A1000),IFERROR(_xlfn._xlws.FILTER(Equipar!A:A,(Equipar!B:B=5)*(Equipar!AC:AC=A1000)),""),"")</f>
        <v/>
      </c>
    </row>
  </sheetData>
  <autoFilter ref="A1:K205" xr:uid="{A218150A-D3E0-49F0-88D2-75C1A81E195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59BA-F88B-4172-96AF-1B2D472C1881}">
  <dimension ref="A1:K1000"/>
  <sheetViews>
    <sheetView workbookViewId="0">
      <selection activeCell="K1" sqref="K1:K1048576"/>
    </sheetView>
  </sheetViews>
  <sheetFormatPr baseColWidth="10" defaultColWidth="9.140625" defaultRowHeight="15" x14ac:dyDescent="0.25"/>
  <cols>
    <col min="1" max="1" width="5" bestFit="1" customWidth="1"/>
    <col min="2" max="2" width="10.7109375" bestFit="1" customWidth="1"/>
    <col min="3" max="3" width="23.28515625" bestFit="1" customWidth="1"/>
    <col min="4" max="8" width="16.85546875" bestFit="1" customWidth="1"/>
    <col min="9" max="9" width="12.42578125" bestFit="1" customWidth="1"/>
    <col min="10" max="10" width="11.28515625" bestFit="1" customWidth="1"/>
    <col min="11" max="11" width="8.28515625" bestFit="1" customWidth="1"/>
  </cols>
  <sheetData>
    <row r="1" spans="1:1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t="s">
        <v>94</v>
      </c>
      <c r="J1" s="1" t="s">
        <v>0</v>
      </c>
      <c r="K1" s="1"/>
    </row>
    <row r="2" spans="1:11" x14ac:dyDescent="0.25">
      <c r="A2" s="1">
        <v>1</v>
      </c>
      <c r="B2" s="1" t="s">
        <v>53</v>
      </c>
      <c r="C2" s="1" t="s">
        <v>4</v>
      </c>
      <c r="D2" s="1" t="s">
        <v>37</v>
      </c>
      <c r="E2" s="1" t="s">
        <v>32</v>
      </c>
      <c r="F2" s="1" t="s">
        <v>36</v>
      </c>
      <c r="G2" s="1" t="s">
        <v>40</v>
      </c>
      <c r="H2" s="1" t="s">
        <v>38</v>
      </c>
      <c r="I2" s="2" t="str">
        <f>IF(ISNUMBER(A2),
IF(COUNTIFS(Equipar!B:B,6,Equipar!AC:AC,A2),"Equipada",
IF(
 OR(COUNTIFS(Equipar!B:B,6,Equipar!C:C,A2)
 +COUNTIFS(Equipar!B:B,6,Equipar!D:D,A2)
+COUNTIFS(Equipar!B:B,6,Equipar!E:E,A2)
+COUNTIFS(Equipar!B:B,6,Equipar!F:F,A2)
&gt;0,COUNTIF('Set recomendado'!B:B,C2)=0),
"Bloqueada",
"Desechable")),""
)</f>
        <v>Equipada</v>
      </c>
      <c r="J2" t="str" cm="1">
        <f t="array" ref="J2">IF(ISNUMBER(A2),IFERROR(_xlfn._xlws.FILTER(Equipar!A:A,(Equipar!B:B=6)*(Equipar!AC:AC=A2)),""),"")</f>
        <v>Iwaizumi</v>
      </c>
    </row>
    <row r="3" spans="1:11" x14ac:dyDescent="0.25">
      <c r="A3" s="1">
        <v>2</v>
      </c>
      <c r="B3" s="1" t="s">
        <v>53</v>
      </c>
      <c r="C3" s="1" t="s">
        <v>4</v>
      </c>
      <c r="D3" s="1" t="s">
        <v>32</v>
      </c>
      <c r="E3" s="1" t="s">
        <v>35</v>
      </c>
      <c r="F3" s="1" t="s">
        <v>42</v>
      </c>
      <c r="G3" s="1" t="s">
        <v>32</v>
      </c>
      <c r="H3" s="1" t="s">
        <v>40</v>
      </c>
      <c r="I3" s="2" t="str">
        <f>IF(ISNUMBER(A3),
IF(COUNTIFS(Equipar!B:B,6,Equipar!AC:AC,A3),"Equipada",
IF(
 OR(COUNTIFS(Equipar!B:B,6,Equipar!C:C,A3)
 +COUNTIFS(Equipar!B:B,6,Equipar!D:D,A3)
+COUNTIFS(Equipar!B:B,6,Equipar!E:E,A3)
+COUNTIFS(Equipar!B:B,6,Equipar!F:F,A3)
&gt;0,COUNTIF('Set recomendado'!B:B,C3)=0),
"Bloqueada",
"Desechable")),""
)</f>
        <v>Equipada</v>
      </c>
      <c r="J3" t="str" cm="1">
        <f t="array" ref="J3">IF(ISNUMBER(A3),IFERROR(_xlfn._xlws.FILTER(Equipar!A:A,(Equipar!B:B=6)*(Equipar!AC:AC=A3)),""),"")</f>
        <v>Hoshiumi</v>
      </c>
    </row>
    <row r="4" spans="1:11" x14ac:dyDescent="0.25">
      <c r="A4" s="1">
        <v>3</v>
      </c>
      <c r="B4" s="1" t="s">
        <v>53</v>
      </c>
      <c r="C4" s="1" t="s">
        <v>4</v>
      </c>
      <c r="D4" s="1" t="s">
        <v>41</v>
      </c>
      <c r="E4" s="1" t="s">
        <v>41</v>
      </c>
      <c r="F4" s="1" t="s">
        <v>32</v>
      </c>
      <c r="G4" s="1" t="s">
        <v>40</v>
      </c>
      <c r="H4" s="1" t="s">
        <v>36</v>
      </c>
      <c r="I4" s="2" t="str">
        <f>IF(ISNUMBER(A4),
IF(COUNTIFS(Equipar!B:B,6,Equipar!AC:AC,A4),"Equipada",
IF(
 OR(COUNTIFS(Equipar!B:B,6,Equipar!C:C,A4)
 +COUNTIFS(Equipar!B:B,6,Equipar!D:D,A4)
+COUNTIFS(Equipar!B:B,6,Equipar!E:E,A4)
+COUNTIFS(Equipar!B:B,6,Equipar!F:F,A4)
&gt;0,COUNTIF('Set recomendado'!B:B,C4)=0),
"Bloqueada",
"Desechable")),""
)</f>
        <v>Equipada</v>
      </c>
      <c r="J4" t="str" cm="1">
        <f t="array" ref="J4">IF(ISNUMBER(A4),IFERROR(_xlfn._xlws.FILTER(Equipar!A:A,(Equipar!B:B=6)*(Equipar!AC:AC=A4)),""),"")</f>
        <v>Kyotani</v>
      </c>
    </row>
    <row r="5" spans="1:11" x14ac:dyDescent="0.25">
      <c r="A5" s="1">
        <v>14</v>
      </c>
      <c r="B5" s="1" t="s">
        <v>54</v>
      </c>
      <c r="C5" s="1" t="s">
        <v>5</v>
      </c>
      <c r="D5" s="1" t="s">
        <v>35</v>
      </c>
      <c r="E5" s="1" t="s">
        <v>33</v>
      </c>
      <c r="F5" s="1" t="s">
        <v>38</v>
      </c>
      <c r="G5" s="1" t="s">
        <v>32</v>
      </c>
      <c r="H5" s="1"/>
      <c r="I5" s="2" t="str">
        <f>IF(ISNUMBER(A5),
IF(COUNTIFS(Equipar!B:B,6,Equipar!AC:AC,A5),"Equipada",
IF(
 OR(COUNTIFS(Equipar!B:B,6,Equipar!C:C,A5)
 +COUNTIFS(Equipar!B:B,6,Equipar!D:D,A5)
+COUNTIFS(Equipar!B:B,6,Equipar!E:E,A5)
+COUNTIFS(Equipar!B:B,6,Equipar!F:F,A5)
&gt;0,COUNTIF('Set recomendado'!B:B,C5)=0),
"Bloqueada",
"Desechable")),""
)</f>
        <v>Equipada</v>
      </c>
      <c r="J5" t="str" cm="1">
        <f t="array" ref="J5">IF(ISNUMBER(A5),IFERROR(_xlfn._xlws.FILTER(Equipar!A:A,(Equipar!B:B=6)*(Equipar!AC:AC=A5)),""),"")</f>
        <v>Yamamoto</v>
      </c>
    </row>
    <row r="6" spans="1:11" x14ac:dyDescent="0.25">
      <c r="A6" s="1">
        <v>25</v>
      </c>
      <c r="B6" t="s">
        <v>53</v>
      </c>
      <c r="C6" t="s">
        <v>9</v>
      </c>
      <c r="D6" t="s">
        <v>41</v>
      </c>
      <c r="E6" t="s">
        <v>37</v>
      </c>
      <c r="F6" t="s">
        <v>32</v>
      </c>
      <c r="G6" t="s">
        <v>36</v>
      </c>
      <c r="H6" t="s">
        <v>33</v>
      </c>
      <c r="I6" s="2" t="str">
        <f>IF(ISNUMBER(A6),
IF(COUNTIFS(Equipar!B:B,6,Equipar!AC:AC,A6),"Equipada",
IF(
 OR(COUNTIFS(Equipar!B:B,6,Equipar!C:C,A6)
 +COUNTIFS(Equipar!B:B,6,Equipar!D:D,A6)
+COUNTIFS(Equipar!B:B,6,Equipar!E:E,A6)
+COUNTIFS(Equipar!B:B,6,Equipar!F:F,A6)
&gt;0,COUNTIF('Set recomendado'!B:B,C6)=0),
"Bloqueada",
"Desechable")),""
)</f>
        <v>Equipada</v>
      </c>
      <c r="J6" t="str" cm="1">
        <f t="array" ref="J6">IF(ISNUMBER(A6),IFERROR(_xlfn._xlws.FILTER(Equipar!A:A,(Equipar!B:B=6)*(Equipar!AC:AC=A6)),""),"")</f>
        <v>Atsumu</v>
      </c>
    </row>
    <row r="7" spans="1:11" x14ac:dyDescent="0.25">
      <c r="A7" s="1">
        <v>29</v>
      </c>
      <c r="B7" t="s">
        <v>53</v>
      </c>
      <c r="C7" t="s">
        <v>10</v>
      </c>
      <c r="D7" t="s">
        <v>42</v>
      </c>
      <c r="E7" t="s">
        <v>36</v>
      </c>
      <c r="F7" t="s">
        <v>43</v>
      </c>
      <c r="G7" t="s">
        <v>38</v>
      </c>
      <c r="H7" t="s">
        <v>43</v>
      </c>
      <c r="I7" s="2" t="str">
        <f ca="1">IF(ISNUMBER(A7),
IF(COUNTIFS(Equipar!B:B,6,Equipar!AC:AC,A7),"Equipada",
IF(
 OR(COUNTIFS(Equipar!B:B,6,Equipar!C:C,A7)
 +COUNTIFS(Equipar!B:B,6,Equipar!D:D,A7)
+COUNTIFS(Equipar!B:B,6,Equipar!E:E,A7)
+COUNTIFS(Equipar!B:B,6,Equipar!F:F,A7)
&gt;0,COUNTIF('Set recomendado'!B:B,C7)=0),
"Bloqueada",
"Desechable")),""
)</f>
        <v>Desechable</v>
      </c>
      <c r="J7" t="str" cm="1">
        <f t="array" ref="J7">IF(ISNUMBER(A7),IFERROR(_xlfn._xlws.FILTER(Equipar!A:A,(Equipar!B:B=6)*(Equipar!AC:AC=A7)),""),"")</f>
        <v/>
      </c>
    </row>
    <row r="8" spans="1:11" x14ac:dyDescent="0.25">
      <c r="A8" s="1">
        <v>30</v>
      </c>
      <c r="B8" t="s">
        <v>53</v>
      </c>
      <c r="C8" t="s">
        <v>10</v>
      </c>
      <c r="D8" t="s">
        <v>43</v>
      </c>
      <c r="E8" t="s">
        <v>38</v>
      </c>
      <c r="F8" t="s">
        <v>42</v>
      </c>
      <c r="G8" t="s">
        <v>35</v>
      </c>
      <c r="H8" t="s">
        <v>41</v>
      </c>
      <c r="I8" s="2" t="str">
        <f ca="1">IF(ISNUMBER(A8),
IF(COUNTIFS(Equipar!B:B,6,Equipar!AC:AC,A8),"Equipada",
IF(
 OR(COUNTIFS(Equipar!B:B,6,Equipar!C:C,A8)
 +COUNTIFS(Equipar!B:B,6,Equipar!D:D,A8)
+COUNTIFS(Equipar!B:B,6,Equipar!E:E,A8)
+COUNTIFS(Equipar!B:B,6,Equipar!F:F,A8)
&gt;0,COUNTIF('Set recomendado'!B:B,C8)=0),
"Bloqueada",
"Desechable")),""
)</f>
        <v>Desechable</v>
      </c>
      <c r="J8" t="str" cm="1">
        <f t="array" ref="J8">IF(ISNUMBER(A8),IFERROR(_xlfn._xlws.FILTER(Equipar!A:A,(Equipar!B:B=6)*(Equipar!AC:AC=A8)),""),"")</f>
        <v/>
      </c>
    </row>
    <row r="9" spans="1:11" x14ac:dyDescent="0.25">
      <c r="A9" s="1">
        <v>46</v>
      </c>
      <c r="B9" t="s">
        <v>54</v>
      </c>
      <c r="C9" t="s">
        <v>9</v>
      </c>
      <c r="D9" t="s">
        <v>36</v>
      </c>
      <c r="E9" t="s">
        <v>42</v>
      </c>
      <c r="F9" t="s">
        <v>43</v>
      </c>
      <c r="G9" t="s">
        <v>36</v>
      </c>
      <c r="I9" s="2" t="str">
        <f ca="1">IF(ISNUMBER(A9),
IF(COUNTIFS(Equipar!B:B,6,Equipar!AC:AC,A9),"Equipada",
IF(
 OR(COUNTIFS(Equipar!B:B,6,Equipar!C:C,A9)
 +COUNTIFS(Equipar!B:B,6,Equipar!D:D,A9)
+COUNTIFS(Equipar!B:B,6,Equipar!E:E,A9)
+COUNTIFS(Equipar!B:B,6,Equipar!F:F,A9)
&gt;0,COUNTIF('Set recomendado'!B:B,C9)=0),
"Bloqueada",
"Desechable")),""
)</f>
        <v>Bloqueada</v>
      </c>
      <c r="J9" t="str" cm="1">
        <f t="array" ref="J9">IF(ISNUMBER(A9),IFERROR(_xlfn._xlws.FILTER(Equipar!A:A,(Equipar!B:B=6)*(Equipar!AC:AC=A9)),""),"")</f>
        <v/>
      </c>
    </row>
    <row r="10" spans="1:11" x14ac:dyDescent="0.25">
      <c r="A10" s="1">
        <v>52</v>
      </c>
      <c r="B10" t="s">
        <v>54</v>
      </c>
      <c r="C10" t="s">
        <v>10</v>
      </c>
      <c r="D10" t="s">
        <v>36</v>
      </c>
      <c r="E10" t="s">
        <v>33</v>
      </c>
      <c r="F10" t="s">
        <v>36</v>
      </c>
      <c r="I10" s="2" t="str">
        <f>IF(ISNUMBER(A10),
IF(COUNTIFS(Equipar!B:B,6,Equipar!AC:AC,A10),"Equipada",
IF(
 OR(COUNTIFS(Equipar!B:B,6,Equipar!C:C,A10)
 +COUNTIFS(Equipar!B:B,6,Equipar!D:D,A10)
+COUNTIFS(Equipar!B:B,6,Equipar!E:E,A10)
+COUNTIFS(Equipar!B:B,6,Equipar!F:F,A10)
&gt;0,COUNTIF('Set recomendado'!B:B,C10)=0),
"Bloqueada",
"Desechable")),""
)</f>
        <v>Equipada</v>
      </c>
      <c r="J10" t="str" cm="1">
        <f t="array" ref="J10">IF(ISNUMBER(A10),IFERROR(_xlfn._xlws.FILTER(Equipar!A:A,(Equipar!B:B=6)*(Equipar!AC:AC=A10)),""),"")</f>
        <v>Sugawara</v>
      </c>
    </row>
    <row r="11" spans="1:11" x14ac:dyDescent="0.25">
      <c r="A11" s="1">
        <v>53</v>
      </c>
      <c r="B11" t="s">
        <v>53</v>
      </c>
      <c r="C11" t="s">
        <v>14</v>
      </c>
      <c r="D11" t="s">
        <v>41</v>
      </c>
      <c r="E11" t="s">
        <v>41</v>
      </c>
      <c r="F11" t="s">
        <v>32</v>
      </c>
      <c r="G11" t="s">
        <v>34</v>
      </c>
      <c r="H11" t="s">
        <v>42</v>
      </c>
      <c r="I11" s="2" t="str">
        <f ca="1">IF(ISNUMBER(A11),
IF(COUNTIFS(Equipar!B:B,6,Equipar!AC:AC,A11),"Equipada",
IF(
 OR(COUNTIFS(Equipar!B:B,6,Equipar!C:C,A11)
 +COUNTIFS(Equipar!B:B,6,Equipar!D:D,A11)
+COUNTIFS(Equipar!B:B,6,Equipar!E:E,A11)
+COUNTIFS(Equipar!B:B,6,Equipar!F:F,A11)
&gt;0,COUNTIF('Set recomendado'!B:B,C11)=0),
"Bloqueada",
"Desechable")),""
)</f>
        <v>Desechable</v>
      </c>
      <c r="J11" t="str" cm="1">
        <f t="array" ref="J11">IF(ISNUMBER(A11),IFERROR(_xlfn._xlws.FILTER(Equipar!A:A,(Equipar!B:B=6)*(Equipar!AC:AC=A11)),""),"")</f>
        <v/>
      </c>
    </row>
    <row r="12" spans="1:11" x14ac:dyDescent="0.25">
      <c r="A12" s="1">
        <v>64</v>
      </c>
      <c r="B12" t="s">
        <v>53</v>
      </c>
      <c r="C12" t="s">
        <v>13</v>
      </c>
      <c r="D12" t="s">
        <v>42</v>
      </c>
      <c r="E12" t="s">
        <v>43</v>
      </c>
      <c r="F12" t="s">
        <v>32</v>
      </c>
      <c r="G12" t="s">
        <v>37</v>
      </c>
      <c r="I12" s="2" t="str">
        <f ca="1">IF(ISNUMBER(A12),
IF(COUNTIFS(Equipar!B:B,6,Equipar!AC:AC,A12),"Equipada",
IF(
 OR(COUNTIFS(Equipar!B:B,6,Equipar!C:C,A12)
 +COUNTIFS(Equipar!B:B,6,Equipar!D:D,A12)
+COUNTIFS(Equipar!B:B,6,Equipar!E:E,A12)
+COUNTIFS(Equipar!B:B,6,Equipar!F:F,A12)
&gt;0,COUNTIF('Set recomendado'!B:B,C12)=0),
"Bloqueada",
"Desechable")),""
)</f>
        <v>Desechable</v>
      </c>
      <c r="J12" t="str" cm="1">
        <f t="array" ref="J12">IF(ISNUMBER(A12),IFERROR(_xlfn._xlws.FILTER(Equipar!A:A,(Equipar!B:B=6)*(Equipar!AC:AC=A12)),""),"")</f>
        <v/>
      </c>
    </row>
    <row r="13" spans="1:11" x14ac:dyDescent="0.25">
      <c r="A13" s="1">
        <v>65</v>
      </c>
      <c r="B13" t="s">
        <v>53</v>
      </c>
      <c r="C13" t="s">
        <v>14</v>
      </c>
      <c r="D13" t="s">
        <v>36</v>
      </c>
      <c r="E13" t="s">
        <v>41</v>
      </c>
      <c r="F13" t="s">
        <v>34</v>
      </c>
      <c r="G13" t="s">
        <v>42</v>
      </c>
      <c r="H13" t="s">
        <v>32</v>
      </c>
      <c r="I13" s="2" t="str">
        <f ca="1">IF(ISNUMBER(A13),
IF(COUNTIFS(Equipar!B:B,6,Equipar!AC:AC,A13),"Equipada",
IF(
 OR(COUNTIFS(Equipar!B:B,6,Equipar!C:C,A13)
 +COUNTIFS(Equipar!B:B,6,Equipar!D:D,A13)
+COUNTIFS(Equipar!B:B,6,Equipar!E:E,A13)
+COUNTIFS(Equipar!B:B,6,Equipar!F:F,A13)
&gt;0,COUNTIF('Set recomendado'!B:B,C13)=0),
"Bloqueada",
"Desechable")),""
)</f>
        <v>Desechable</v>
      </c>
      <c r="J13" t="str" cm="1">
        <f t="array" ref="J13">IF(ISNUMBER(A13),IFERROR(_xlfn._xlws.FILTER(Equipar!A:A,(Equipar!B:B=6)*(Equipar!AC:AC=A13)),""),"")</f>
        <v/>
      </c>
    </row>
    <row r="14" spans="1:11" x14ac:dyDescent="0.25">
      <c r="A14" s="1">
        <v>66</v>
      </c>
      <c r="B14" t="s">
        <v>53</v>
      </c>
      <c r="C14" t="s">
        <v>14</v>
      </c>
      <c r="D14" t="s">
        <v>36</v>
      </c>
      <c r="E14" t="s">
        <v>37</v>
      </c>
      <c r="F14" t="s">
        <v>36</v>
      </c>
      <c r="G14" t="s">
        <v>32</v>
      </c>
      <c r="I14" s="2" t="str">
        <f ca="1">IF(ISNUMBER(A14),
IF(COUNTIFS(Equipar!B:B,6,Equipar!AC:AC,A14),"Equipada",
IF(
 OR(COUNTIFS(Equipar!B:B,6,Equipar!C:C,A14)
 +COUNTIFS(Equipar!B:B,6,Equipar!D:D,A14)
+COUNTIFS(Equipar!B:B,6,Equipar!E:E,A14)
+COUNTIFS(Equipar!B:B,6,Equipar!F:F,A14)
&gt;0,COUNTIF('Set recomendado'!B:B,C14)=0),
"Bloqueada",
"Desechable")),""
)</f>
        <v>Desechable</v>
      </c>
      <c r="J14" t="str" cm="1">
        <f t="array" ref="J14">IF(ISNUMBER(A14),IFERROR(_xlfn._xlws.FILTER(Equipar!A:A,(Equipar!B:B=6)*(Equipar!AC:AC=A14)),""),"")</f>
        <v/>
      </c>
    </row>
    <row r="15" spans="1:11" x14ac:dyDescent="0.25">
      <c r="A15" s="1">
        <v>81</v>
      </c>
      <c r="B15" t="s">
        <v>54</v>
      </c>
      <c r="C15" t="s">
        <v>13</v>
      </c>
      <c r="D15" t="s">
        <v>42</v>
      </c>
      <c r="E15" t="s">
        <v>42</v>
      </c>
      <c r="F15" t="s">
        <v>44</v>
      </c>
      <c r="I15" s="2" t="str">
        <f>IF(ISNUMBER(A15),
IF(COUNTIFS(Equipar!B:B,6,Equipar!AC:AC,A15),"Equipada",
IF(
 OR(COUNTIFS(Equipar!B:B,6,Equipar!C:C,A15)
 +COUNTIFS(Equipar!B:B,6,Equipar!D:D,A15)
+COUNTIFS(Equipar!B:B,6,Equipar!E:E,A15)
+COUNTIFS(Equipar!B:B,6,Equipar!F:F,A15)
&gt;0,COUNTIF('Set recomendado'!B:B,C15)=0),
"Bloqueada",
"Desechable")),""
)</f>
        <v>Equipada</v>
      </c>
      <c r="J15" t="str" cm="1">
        <f t="array" ref="J15">IF(ISNUMBER(A15),IFERROR(_xlfn._xlws.FILTER(Equipar!A:A,(Equipar!B:B=6)*(Equipar!AC:AC=A15)),""),"")</f>
        <v>Osamu</v>
      </c>
    </row>
    <row r="16" spans="1:11" x14ac:dyDescent="0.25">
      <c r="A16" s="1">
        <v>95</v>
      </c>
      <c r="B16" t="s">
        <v>54</v>
      </c>
      <c r="C16" t="s">
        <v>14</v>
      </c>
      <c r="D16" t="s">
        <v>35</v>
      </c>
      <c r="E16" t="s">
        <v>42</v>
      </c>
      <c r="F16" t="s">
        <v>39</v>
      </c>
      <c r="G16" t="s">
        <v>36</v>
      </c>
      <c r="I16" s="2" t="str">
        <f ca="1">IF(ISNUMBER(A16),
IF(COUNTIFS(Equipar!B:B,6,Equipar!AC:AC,A16),"Equipada",
IF(
 OR(COUNTIFS(Equipar!B:B,6,Equipar!C:C,A16)
 +COUNTIFS(Equipar!B:B,6,Equipar!D:D,A16)
+COUNTIFS(Equipar!B:B,6,Equipar!E:E,A16)
+COUNTIFS(Equipar!B:B,6,Equipar!F:F,A16)
&gt;0,COUNTIF('Set recomendado'!B:B,C16)=0),
"Bloqueada",
"Desechable")),""
)</f>
        <v>Bloqueada</v>
      </c>
      <c r="J16" t="str" cm="1">
        <f t="array" ref="J16">IF(ISNUMBER(A16),IFERROR(_xlfn._xlws.FILTER(Equipar!A:A,(Equipar!B:B=6)*(Equipar!AC:AC=A16)),""),"")</f>
        <v/>
      </c>
    </row>
    <row r="17" spans="1:10" x14ac:dyDescent="0.25">
      <c r="A17" s="1">
        <v>96</v>
      </c>
      <c r="B17" t="s">
        <v>53</v>
      </c>
      <c r="C17" t="s">
        <v>23</v>
      </c>
      <c r="D17" t="s">
        <v>36</v>
      </c>
      <c r="E17" t="s">
        <v>42</v>
      </c>
      <c r="F17" t="s">
        <v>37</v>
      </c>
      <c r="G17" t="s">
        <v>32</v>
      </c>
      <c r="H17" t="s">
        <v>44</v>
      </c>
      <c r="I17" s="2" t="str">
        <f>IF(ISNUMBER(A17),
IF(COUNTIFS(Equipar!B:B,6,Equipar!AC:AC,A17),"Equipada",
IF(
 OR(COUNTIFS(Equipar!B:B,6,Equipar!C:C,A17)
 +COUNTIFS(Equipar!B:B,6,Equipar!D:D,A17)
+COUNTIFS(Equipar!B:B,6,Equipar!E:E,A17)
+COUNTIFS(Equipar!B:B,6,Equipar!F:F,A17)
&gt;0,COUNTIF('Set recomendado'!B:B,C17)=0),
"Bloqueada",
"Desechable")),""
)</f>
        <v>Equipada</v>
      </c>
      <c r="J17" t="str" cm="1">
        <f t="array" ref="J17">IF(ISNUMBER(A17),IFERROR(_xlfn._xlws.FILTER(Equipar!A:A,(Equipar!B:B=6)*(Equipar!AC:AC=A17)),""),"")</f>
        <v>Tsukishima</v>
      </c>
    </row>
    <row r="18" spans="1:10" x14ac:dyDescent="0.25">
      <c r="A18" s="1">
        <v>114</v>
      </c>
      <c r="B18" t="s">
        <v>53</v>
      </c>
      <c r="C18" t="s">
        <v>22</v>
      </c>
      <c r="D18" t="s">
        <v>42</v>
      </c>
      <c r="E18" t="s">
        <v>39</v>
      </c>
      <c r="F18" t="s">
        <v>34</v>
      </c>
      <c r="G18" t="s">
        <v>37</v>
      </c>
      <c r="I18" s="2" t="str">
        <f>IF(ISNUMBER(A18),
IF(COUNTIFS(Equipar!B:B,6,Equipar!AC:AC,A18),"Equipada",
IF(
 OR(COUNTIFS(Equipar!B:B,6,Equipar!C:C,A18)
 +COUNTIFS(Equipar!B:B,6,Equipar!D:D,A18)
+COUNTIFS(Equipar!B:B,6,Equipar!E:E,A18)
+COUNTIFS(Equipar!B:B,6,Equipar!F:F,A18)
&gt;0,COUNTIF('Set recomendado'!B:B,C18)=0),
"Bloqueada",
"Desechable")),""
)</f>
        <v>Equipada</v>
      </c>
      <c r="J18" t="str" cm="1">
        <f t="array" ref="J18">IF(ISNUMBER(A18),IFERROR(_xlfn._xlws.FILTER(Equipar!A:A,(Equipar!B:B=6)*(Equipar!AC:AC=A18)),""),"")</f>
        <v>Hirugami</v>
      </c>
    </row>
    <row r="19" spans="1:10" x14ac:dyDescent="0.25">
      <c r="A19" s="1">
        <v>115</v>
      </c>
      <c r="B19" t="s">
        <v>53</v>
      </c>
      <c r="C19" t="s">
        <v>23</v>
      </c>
      <c r="D19" t="s">
        <v>42</v>
      </c>
      <c r="E19" t="s">
        <v>37</v>
      </c>
      <c r="F19" t="s">
        <v>42</v>
      </c>
      <c r="G19" t="s">
        <v>42</v>
      </c>
      <c r="H19" t="s">
        <v>32</v>
      </c>
      <c r="I19" s="2" t="str">
        <f>IF(ISNUMBER(A19),
IF(COUNTIFS(Equipar!B:B,6,Equipar!AC:AC,A19),"Equipada",
IF(
 OR(COUNTIFS(Equipar!B:B,6,Equipar!C:C,A19)
 +COUNTIFS(Equipar!B:B,6,Equipar!D:D,A19)
+COUNTIFS(Equipar!B:B,6,Equipar!E:E,A19)
+COUNTIFS(Equipar!B:B,6,Equipar!F:F,A19)
&gt;0,COUNTIF('Set recomendado'!B:B,C19)=0),
"Bloqueada",
"Desechable")),""
)</f>
        <v>Equipada</v>
      </c>
      <c r="J19" t="str" cm="1">
        <f t="array" ref="J19">IF(ISNUMBER(A19),IFERROR(_xlfn._xlws.FILTER(Equipar!A:A,(Equipar!B:B=6)*(Equipar!AC:AC=A19)),""),"")</f>
        <v>Kuroo</v>
      </c>
    </row>
    <row r="20" spans="1:10" x14ac:dyDescent="0.25">
      <c r="A20" s="1">
        <v>116</v>
      </c>
      <c r="B20" t="s">
        <v>53</v>
      </c>
      <c r="C20" t="s">
        <v>23</v>
      </c>
      <c r="D20" t="s">
        <v>41</v>
      </c>
      <c r="E20" t="s">
        <v>37</v>
      </c>
      <c r="F20" t="s">
        <v>42</v>
      </c>
      <c r="G20" t="s">
        <v>35</v>
      </c>
      <c r="I20" s="2" t="str">
        <f ca="1">IF(ISNUMBER(A20),
IF(COUNTIFS(Equipar!B:B,6,Equipar!AC:AC,A20),"Equipada",
IF(
 OR(COUNTIFS(Equipar!B:B,6,Equipar!C:C,A20)
 +COUNTIFS(Equipar!B:B,6,Equipar!D:D,A20)
+COUNTIFS(Equipar!B:B,6,Equipar!E:E,A20)
+COUNTIFS(Equipar!B:B,6,Equipar!F:F,A20)
&gt;0,COUNTIF('Set recomendado'!B:B,C20)=0),
"Bloqueada",
"Desechable")),""
)</f>
        <v>Desechable</v>
      </c>
      <c r="J20" t="str" cm="1">
        <f t="array" ref="J20">IF(ISNUMBER(A20),IFERROR(_xlfn._xlws.FILTER(Equipar!A:A,(Equipar!B:B=6)*(Equipar!AC:AC=A20)),""),"")</f>
        <v/>
      </c>
    </row>
    <row r="21" spans="1:10" x14ac:dyDescent="0.25">
      <c r="A21" s="1">
        <v>117</v>
      </c>
      <c r="B21" t="s">
        <v>54</v>
      </c>
      <c r="C21" t="s">
        <v>22</v>
      </c>
      <c r="D21" t="s">
        <v>36</v>
      </c>
      <c r="E21" t="s">
        <v>37</v>
      </c>
      <c r="F21" t="s">
        <v>42</v>
      </c>
      <c r="G21" t="s">
        <v>36</v>
      </c>
      <c r="I21" s="2" t="str">
        <f ca="1">IF(ISNUMBER(A21),
IF(COUNTIFS(Equipar!B:B,6,Equipar!AC:AC,A21),"Equipada",
IF(
 OR(COUNTIFS(Equipar!B:B,6,Equipar!C:C,A21)
 +COUNTIFS(Equipar!B:B,6,Equipar!D:D,A21)
+COUNTIFS(Equipar!B:B,6,Equipar!E:E,A21)
+COUNTIFS(Equipar!B:B,6,Equipar!F:F,A21)
&gt;0,COUNTIF('Set recomendado'!B:B,C21)=0),
"Bloqueada",
"Desechable")),""
)</f>
        <v>Bloqueada</v>
      </c>
      <c r="J21" t="str" cm="1">
        <f t="array" ref="J21">IF(ISNUMBER(A21),IFERROR(_xlfn._xlws.FILTER(Equipar!A:A,(Equipar!B:B=6)*(Equipar!AC:AC=A21)),""),"")</f>
        <v/>
      </c>
    </row>
    <row r="22" spans="1:10" x14ac:dyDescent="0.25">
      <c r="A22" s="1">
        <v>145</v>
      </c>
      <c r="B22" t="s">
        <v>53</v>
      </c>
      <c r="C22" t="s">
        <v>16</v>
      </c>
      <c r="D22" t="s">
        <v>38</v>
      </c>
      <c r="E22" t="s">
        <v>42</v>
      </c>
      <c r="F22" t="s">
        <v>43</v>
      </c>
      <c r="G22" t="s">
        <v>43</v>
      </c>
      <c r="I22" s="2" t="str">
        <f>IF(ISNUMBER(A22),
IF(COUNTIFS(Equipar!B:B,6,Equipar!AC:AC,A22),"Equipada",
IF(
 OR(COUNTIFS(Equipar!B:B,6,Equipar!C:C,A22)
 +COUNTIFS(Equipar!B:B,6,Equipar!D:D,A22)
+COUNTIFS(Equipar!B:B,6,Equipar!E:E,A22)
+COUNTIFS(Equipar!B:B,6,Equipar!F:F,A22)
&gt;0,COUNTIF('Set recomendado'!B:B,C22)=0),
"Bloqueada",
"Desechable")),""
)</f>
        <v>Equipada</v>
      </c>
      <c r="J22" t="str" cm="1">
        <f t="array" ref="J22">IF(ISNUMBER(A22),IFERROR(_xlfn._xlws.FILTER(Equipar!A:A,(Equipar!B:B=6)*(Equipar!AC:AC=A22)),""),"")</f>
        <v>Nishinoya</v>
      </c>
    </row>
    <row r="23" spans="1:10" x14ac:dyDescent="0.25">
      <c r="A23" s="1">
        <v>146</v>
      </c>
      <c r="B23" t="s">
        <v>53</v>
      </c>
      <c r="C23" t="s">
        <v>17</v>
      </c>
      <c r="D23" t="s">
        <v>37</v>
      </c>
      <c r="E23" t="s">
        <v>41</v>
      </c>
      <c r="F23" t="s">
        <v>42</v>
      </c>
      <c r="G23" t="s">
        <v>42</v>
      </c>
      <c r="H23" t="s">
        <v>43</v>
      </c>
      <c r="I23" s="2" t="str">
        <f ca="1">IF(ISNUMBER(A23),
IF(COUNTIFS(Equipar!B:B,6,Equipar!AC:AC,A23),"Equipada",
IF(
 OR(COUNTIFS(Equipar!B:B,6,Equipar!C:C,A23)
 +COUNTIFS(Equipar!B:B,6,Equipar!D:D,A23)
+COUNTIFS(Equipar!B:B,6,Equipar!E:E,A23)
+COUNTIFS(Equipar!B:B,6,Equipar!F:F,A23)
&gt;0,COUNTIF('Set recomendado'!B:B,C23)=0),
"Bloqueada",
"Desechable")),""
)</f>
        <v>Desechable</v>
      </c>
      <c r="J23" t="str" cm="1">
        <f t="array" ref="J23">IF(ISNUMBER(A23),IFERROR(_xlfn._xlws.FILTER(Equipar!A:A,(Equipar!B:B=6)*(Equipar!AC:AC=A23)),""),"")</f>
        <v/>
      </c>
    </row>
    <row r="24" spans="1:10" x14ac:dyDescent="0.25">
      <c r="A24" s="1">
        <v>147</v>
      </c>
      <c r="B24" t="s">
        <v>53</v>
      </c>
      <c r="C24" t="s">
        <v>17</v>
      </c>
      <c r="D24" t="s">
        <v>36</v>
      </c>
      <c r="E24" t="s">
        <v>42</v>
      </c>
      <c r="F24" t="s">
        <v>36</v>
      </c>
      <c r="G24" t="s">
        <v>38</v>
      </c>
      <c r="I24" s="2" t="str">
        <f ca="1">IF(ISNUMBER(A24),
IF(COUNTIFS(Equipar!B:B,6,Equipar!AC:AC,A24),"Equipada",
IF(
 OR(COUNTIFS(Equipar!B:B,6,Equipar!C:C,A24)
 +COUNTIFS(Equipar!B:B,6,Equipar!D:D,A24)
+COUNTIFS(Equipar!B:B,6,Equipar!E:E,A24)
+COUNTIFS(Equipar!B:B,6,Equipar!F:F,A24)
&gt;0,COUNTIF('Set recomendado'!B:B,C24)=0),
"Bloqueada",
"Desechable")),""
)</f>
        <v>Desechable</v>
      </c>
      <c r="J24" t="str" cm="1">
        <f t="array" ref="J24">IF(ISNUMBER(A24),IFERROR(_xlfn._xlws.FILTER(Equipar!A:A,(Equipar!B:B=6)*(Equipar!AC:AC=A24)),""),"")</f>
        <v/>
      </c>
    </row>
    <row r="25" spans="1:10" x14ac:dyDescent="0.25">
      <c r="A25" s="1">
        <v>152</v>
      </c>
      <c r="B25" t="s">
        <v>54</v>
      </c>
      <c r="C25" t="s">
        <v>16</v>
      </c>
      <c r="D25" t="s">
        <v>43</v>
      </c>
      <c r="E25" t="s">
        <v>38</v>
      </c>
      <c r="F25" t="s">
        <v>42</v>
      </c>
      <c r="I25" s="2" t="str">
        <f ca="1">IF(ISNUMBER(A25),
IF(COUNTIFS(Equipar!B:B,6,Equipar!AC:AC,A25),"Equipada",
IF(
 OR(COUNTIFS(Equipar!B:B,6,Equipar!C:C,A25)
 +COUNTIFS(Equipar!B:B,6,Equipar!D:D,A25)
+COUNTIFS(Equipar!B:B,6,Equipar!E:E,A25)
+COUNTIFS(Equipar!B:B,6,Equipar!F:F,A25)
&gt;0,COUNTIF('Set recomendado'!B:B,C25)=0),
"Bloqueada",
"Desechable")),""
)</f>
        <v>Bloqueada</v>
      </c>
      <c r="J25" t="str" cm="1">
        <f t="array" ref="J25">IF(ISNUMBER(A25),IFERROR(_xlfn._xlws.FILTER(Equipar!A:A,(Equipar!B:B=6)*(Equipar!AC:AC=A25)),""),"")</f>
        <v/>
      </c>
    </row>
    <row r="26" spans="1:10" x14ac:dyDescent="0.25">
      <c r="A26" s="1">
        <v>153</v>
      </c>
      <c r="B26" t="s">
        <v>54</v>
      </c>
      <c r="C26" t="s">
        <v>16</v>
      </c>
      <c r="D26" t="s">
        <v>44</v>
      </c>
      <c r="E26" t="s">
        <v>38</v>
      </c>
      <c r="F26" t="s">
        <v>35</v>
      </c>
      <c r="G26" t="s">
        <v>32</v>
      </c>
      <c r="I26" s="2" t="str">
        <f>IF(ISNUMBER(A26),
IF(COUNTIFS(Equipar!B:B,6,Equipar!AC:AC,A26),"Equipada",
IF(
 OR(COUNTIFS(Equipar!B:B,6,Equipar!C:C,A26)
 +COUNTIFS(Equipar!B:B,6,Equipar!D:D,A26)
+COUNTIFS(Equipar!B:B,6,Equipar!E:E,A26)
+COUNTIFS(Equipar!B:B,6,Equipar!F:F,A26)
&gt;0,COUNTIF('Set recomendado'!B:B,C26)=0),
"Bloqueada",
"Desechable")),""
)</f>
        <v>Equipada</v>
      </c>
      <c r="J26" t="str" cm="1">
        <f t="array" ref="J26">IF(ISNUMBER(A26),IFERROR(_xlfn._xlws.FILTER(Equipar!A:A,(Equipar!B:B=6)*(Equipar!AC:AC=A26)),""),"")</f>
        <v>Sakusa</v>
      </c>
    </row>
    <row r="27" spans="1:10" x14ac:dyDescent="0.25">
      <c r="A27" s="5">
        <v>157</v>
      </c>
      <c r="B27" s="6" t="s">
        <v>54</v>
      </c>
      <c r="C27" s="6" t="s">
        <v>17</v>
      </c>
      <c r="D27" s="6" t="s">
        <v>38</v>
      </c>
      <c r="E27" s="6" t="s">
        <v>42</v>
      </c>
      <c r="F27" s="6" t="s">
        <v>43</v>
      </c>
      <c r="G27" s="6"/>
      <c r="H27" s="6"/>
      <c r="I27" s="2" t="str">
        <f ca="1">IF(ISNUMBER(A27),
IF(COUNTIFS(Equipar!B:B,6,Equipar!AC:AC,A27),"Equipada",
IF(
 OR(COUNTIFS(Equipar!B:B,6,Equipar!C:C,A27)
 +COUNTIFS(Equipar!B:B,6,Equipar!D:D,A27)
+COUNTIFS(Equipar!B:B,6,Equipar!E:E,A27)
+COUNTIFS(Equipar!B:B,6,Equipar!F:F,A27)
&gt;0,COUNTIF('Set recomendado'!B:B,C27)=0),
"Bloqueada",
"Desechable")),""
)</f>
        <v>Desechable</v>
      </c>
      <c r="J27" t="str" cm="1">
        <f t="array" ref="J27">IF(ISNUMBER(A27),IFERROR(_xlfn._xlws.FILTER(Equipar!A:A,(Equipar!B:B=6)*(Equipar!AC:AC=A27)),""),"")</f>
        <v/>
      </c>
    </row>
    <row r="28" spans="1:10" x14ac:dyDescent="0.25">
      <c r="A28" s="1">
        <v>158</v>
      </c>
      <c r="B28" t="s">
        <v>53</v>
      </c>
      <c r="C28" t="s">
        <v>23</v>
      </c>
      <c r="D28" t="s">
        <v>36</v>
      </c>
      <c r="E28" t="s">
        <v>41</v>
      </c>
      <c r="F28" t="s">
        <v>37</v>
      </c>
      <c r="G28" t="s">
        <v>34</v>
      </c>
      <c r="H28" t="s">
        <v>39</v>
      </c>
      <c r="I28" s="2" t="str">
        <f ca="1">IF(ISNUMBER(A28),
IF(COUNTIFS(Equipar!B:B,6,Equipar!AC:AC,A28),"Equipada",
IF(
 OR(COUNTIFS(Equipar!B:B,6,Equipar!C:C,A28)
 +COUNTIFS(Equipar!B:B,6,Equipar!D:D,A28)
+COUNTIFS(Equipar!B:B,6,Equipar!E:E,A28)
+COUNTIFS(Equipar!B:B,6,Equipar!F:F,A28)
&gt;0,COUNTIF('Set recomendado'!B:B,C28)=0),
"Bloqueada",
"Desechable")),""
)</f>
        <v>Desechable</v>
      </c>
      <c r="J28" t="str" cm="1">
        <f t="array" ref="J28">IF(ISNUMBER(A28),IFERROR(_xlfn._xlws.FILTER(Equipar!A:A,(Equipar!B:B=6)*(Equipar!AC:AC=A28)),""),"")</f>
        <v/>
      </c>
    </row>
    <row r="29" spans="1:10" x14ac:dyDescent="0.25">
      <c r="A29" s="1">
        <v>159</v>
      </c>
      <c r="B29" t="s">
        <v>54</v>
      </c>
      <c r="C29" t="s">
        <v>5</v>
      </c>
      <c r="D29" t="s">
        <v>36</v>
      </c>
      <c r="E29" t="s">
        <v>32</v>
      </c>
      <c r="F29" t="s">
        <v>32</v>
      </c>
      <c r="I29" s="2" t="str">
        <f ca="1">IF(ISNUMBER(A29),
IF(COUNTIFS(Equipar!B:B,6,Equipar!AC:AC,A29),"Equipada",
IF(
 OR(COUNTIFS(Equipar!B:B,6,Equipar!C:C,A29)
 +COUNTIFS(Equipar!B:B,6,Equipar!D:D,A29)
+COUNTIFS(Equipar!B:B,6,Equipar!E:E,A29)
+COUNTIFS(Equipar!B:B,6,Equipar!F:F,A29)
&gt;0,COUNTIF('Set recomendado'!B:B,C29)=0),
"Bloqueada",
"Desechable")),""
)</f>
        <v>Bloqueada</v>
      </c>
      <c r="J29" t="str" cm="1">
        <f t="array" ref="J29">IF(ISNUMBER(A29),IFERROR(_xlfn._xlws.FILTER(Equipar!A:A,(Equipar!B:B=6)*(Equipar!AC:AC=A29)),""),"")</f>
        <v/>
      </c>
    </row>
    <row r="30" spans="1:10" x14ac:dyDescent="0.25">
      <c r="A30" s="3">
        <v>160</v>
      </c>
      <c r="B30" s="4" t="s">
        <v>53</v>
      </c>
      <c r="C30" s="4" t="s">
        <v>14</v>
      </c>
      <c r="D30" s="4" t="s">
        <v>44</v>
      </c>
      <c r="E30" s="4" t="s">
        <v>32</v>
      </c>
      <c r="F30" s="4" t="s">
        <v>38</v>
      </c>
      <c r="G30" s="4" t="s">
        <v>38</v>
      </c>
      <c r="H30" s="4"/>
      <c r="I30" s="2" t="str">
        <f ca="1">IF(ISNUMBER(A30),
IF(COUNTIFS(Equipar!B:B,6,Equipar!AC:AC,A30),"Equipada",
IF(
 OR(COUNTIFS(Equipar!B:B,6,Equipar!C:C,A30)
 +COUNTIFS(Equipar!B:B,6,Equipar!D:D,A30)
+COUNTIFS(Equipar!B:B,6,Equipar!E:E,A30)
+COUNTIFS(Equipar!B:B,6,Equipar!F:F,A30)
&gt;0,COUNTIF('Set recomendado'!B:B,C30)=0),
"Bloqueada",
"Desechable")),""
)</f>
        <v>Desechable</v>
      </c>
      <c r="J30" t="str" cm="1">
        <f t="array" ref="J30">IF(ISNUMBER(A30),IFERROR(_xlfn._xlws.FILTER(Equipar!A:A,(Equipar!B:B=6)*(Equipar!AC:AC=A30)),""),"")</f>
        <v/>
      </c>
    </row>
    <row r="31" spans="1:10" x14ac:dyDescent="0.25">
      <c r="A31" s="1">
        <v>161</v>
      </c>
      <c r="B31" t="s">
        <v>53</v>
      </c>
      <c r="C31" t="s">
        <v>4</v>
      </c>
      <c r="D31" t="s">
        <v>38</v>
      </c>
      <c r="E31" t="s">
        <v>37</v>
      </c>
      <c r="F31" t="s">
        <v>43</v>
      </c>
      <c r="G31" t="s">
        <v>32</v>
      </c>
      <c r="I31" s="2" t="str">
        <f ca="1">IF(ISNUMBER(A31),
IF(COUNTIFS(Equipar!B:B,6,Equipar!AC:AC,A31),"Equipada",
IF(
 OR(COUNTIFS(Equipar!B:B,6,Equipar!C:C,A31)
 +COUNTIFS(Equipar!B:B,6,Equipar!D:D,A31)
+COUNTIFS(Equipar!B:B,6,Equipar!E:E,A31)
+COUNTIFS(Equipar!B:B,6,Equipar!F:F,A31)
&gt;0,COUNTIF('Set recomendado'!B:B,C31)=0),
"Bloqueada",
"Desechable")),""
)</f>
        <v>Bloqueada</v>
      </c>
      <c r="J31" t="str" cm="1">
        <f t="array" ref="J31">IF(ISNUMBER(A31),IFERROR(_xlfn._xlws.FILTER(Equipar!A:A,(Equipar!B:B=6)*(Equipar!AC:AC=A31)),""),"")</f>
        <v/>
      </c>
    </row>
    <row r="32" spans="1:10" x14ac:dyDescent="0.25">
      <c r="A32" s="3">
        <v>162</v>
      </c>
      <c r="B32" s="4" t="s">
        <v>53</v>
      </c>
      <c r="C32" s="4" t="s">
        <v>17</v>
      </c>
      <c r="D32" s="4" t="s">
        <v>43</v>
      </c>
      <c r="E32" s="4" t="s">
        <v>38</v>
      </c>
      <c r="F32" s="4" t="s">
        <v>44</v>
      </c>
      <c r="G32" s="4" t="s">
        <v>39</v>
      </c>
      <c r="H32" s="4"/>
      <c r="I32" s="2" t="str">
        <f>IF(ISNUMBER(A32),
IF(COUNTIFS(Equipar!B:B,6,Equipar!AC:AC,A32),"Equipada",
IF(
 OR(COUNTIFS(Equipar!B:B,6,Equipar!C:C,A32)
 +COUNTIFS(Equipar!B:B,6,Equipar!D:D,A32)
+COUNTIFS(Equipar!B:B,6,Equipar!E:E,A32)
+COUNTIFS(Equipar!B:B,6,Equipar!F:F,A32)
&gt;0,COUNTIF('Set recomendado'!B:B,C32)=0),
"Bloqueada",
"Desechable")),""
)</f>
        <v>Equipada</v>
      </c>
      <c r="J32" t="str" cm="1">
        <f t="array" ref="J32">IF(ISNUMBER(A32),IFERROR(_xlfn._xlws.FILTER(Equipar!A:A,(Equipar!B:B=6)*(Equipar!AC:AC=A32)),""),"")</f>
        <v>Kita</v>
      </c>
    </row>
    <row r="33" spans="1:10" x14ac:dyDescent="0.25">
      <c r="A33" s="1">
        <v>165</v>
      </c>
      <c r="B33" t="s">
        <v>53</v>
      </c>
      <c r="C33" t="s">
        <v>14</v>
      </c>
      <c r="D33" t="s">
        <v>36</v>
      </c>
      <c r="E33" t="s">
        <v>42</v>
      </c>
      <c r="F33" t="s">
        <v>37</v>
      </c>
      <c r="G33" t="s">
        <v>40</v>
      </c>
      <c r="I33" s="2" t="str">
        <f ca="1">IF(ISNUMBER(A33),
IF(COUNTIFS(Equipar!B:B,6,Equipar!AC:AC,A33),"Equipada",
IF(
 OR(COUNTIFS(Equipar!B:B,6,Equipar!C:C,A33)
 +COUNTIFS(Equipar!B:B,6,Equipar!D:D,A33)
+COUNTIFS(Equipar!B:B,6,Equipar!E:E,A33)
+COUNTIFS(Equipar!B:B,6,Equipar!F:F,A33)
&gt;0,COUNTIF('Set recomendado'!B:B,C33)=0),
"Bloqueada",
"Desechable")),""
)</f>
        <v>Desechable</v>
      </c>
      <c r="J33" t="str" cm="1">
        <f t="array" ref="J33">IF(ISNUMBER(A33),IFERROR(_xlfn._xlws.FILTER(Equipar!A:A,(Equipar!B:B=6)*(Equipar!AC:AC=A33)),""),"")</f>
        <v/>
      </c>
    </row>
    <row r="34" spans="1:10" x14ac:dyDescent="0.25">
      <c r="A34" s="1">
        <v>166</v>
      </c>
      <c r="B34" t="s">
        <v>54</v>
      </c>
      <c r="C34" t="s">
        <v>9</v>
      </c>
      <c r="D34" t="s">
        <v>41</v>
      </c>
      <c r="E34" t="s">
        <v>42</v>
      </c>
      <c r="F34" t="s">
        <v>32</v>
      </c>
      <c r="G34" t="s">
        <v>37</v>
      </c>
      <c r="I34" s="2" t="str">
        <f ca="1">IF(ISNUMBER(A34),
IF(COUNTIFS(Equipar!B:B,6,Equipar!AC:AC,A34),"Equipada",
IF(
 OR(COUNTIFS(Equipar!B:B,6,Equipar!C:C,A34)
 +COUNTIFS(Equipar!B:B,6,Equipar!D:D,A34)
+COUNTIFS(Equipar!B:B,6,Equipar!E:E,A34)
+COUNTIFS(Equipar!B:B,6,Equipar!F:F,A34)
&gt;0,COUNTIF('Set recomendado'!B:B,C34)=0),
"Bloqueada",
"Desechable")),""
)</f>
        <v>Desechable</v>
      </c>
      <c r="J34" t="str" cm="1">
        <f t="array" ref="J34">IF(ISNUMBER(A34),IFERROR(_xlfn._xlws.FILTER(Equipar!A:A,(Equipar!B:B=6)*(Equipar!AC:AC=A34)),""),"")</f>
        <v/>
      </c>
    </row>
    <row r="35" spans="1:10" x14ac:dyDescent="0.25">
      <c r="A35" s="1">
        <v>167</v>
      </c>
      <c r="B35" t="s">
        <v>54</v>
      </c>
      <c r="C35" t="s">
        <v>9</v>
      </c>
      <c r="D35" t="s">
        <v>41</v>
      </c>
      <c r="E35" t="s">
        <v>38</v>
      </c>
      <c r="F35" t="s">
        <v>32</v>
      </c>
      <c r="I35" s="2" t="str">
        <f ca="1">IF(ISNUMBER(A35),
IF(COUNTIFS(Equipar!B:B,6,Equipar!AC:AC,A35),"Equipada",
IF(
 OR(COUNTIFS(Equipar!B:B,6,Equipar!C:C,A35)
 +COUNTIFS(Equipar!B:B,6,Equipar!D:D,A35)
+COUNTIFS(Equipar!B:B,6,Equipar!E:E,A35)
+COUNTIFS(Equipar!B:B,6,Equipar!F:F,A35)
&gt;0,COUNTIF('Set recomendado'!B:B,C35)=0),
"Bloqueada",
"Desechable")),""
)</f>
        <v>Desechable</v>
      </c>
      <c r="J35" t="str" cm="1">
        <f t="array" ref="J35">IF(ISNUMBER(A35),IFERROR(_xlfn._xlws.FILTER(Equipar!A:A,(Equipar!B:B=6)*(Equipar!AC:AC=A35)),""),"")</f>
        <v/>
      </c>
    </row>
    <row r="36" spans="1:10" x14ac:dyDescent="0.25">
      <c r="A36" s="1">
        <v>168</v>
      </c>
      <c r="B36" t="s">
        <v>54</v>
      </c>
      <c r="C36" t="s">
        <v>9</v>
      </c>
      <c r="D36" t="s">
        <v>37</v>
      </c>
      <c r="E36" t="s">
        <v>40</v>
      </c>
      <c r="F36" t="s">
        <v>41</v>
      </c>
      <c r="I36" s="2" t="str">
        <f ca="1">IF(ISNUMBER(A36),
IF(COUNTIFS(Equipar!B:B,6,Equipar!AC:AC,A36),"Equipada",
IF(
 OR(COUNTIFS(Equipar!B:B,6,Equipar!C:C,A36)
 +COUNTIFS(Equipar!B:B,6,Equipar!D:D,A36)
+COUNTIFS(Equipar!B:B,6,Equipar!E:E,A36)
+COUNTIFS(Equipar!B:B,6,Equipar!F:F,A36)
&gt;0,COUNTIF('Set recomendado'!B:B,C36)=0),
"Bloqueada",
"Desechable")),""
)</f>
        <v>Desechable</v>
      </c>
      <c r="J36" t="str" cm="1">
        <f t="array" ref="J36">IF(ISNUMBER(A36),IFERROR(_xlfn._xlws.FILTER(Equipar!A:A,(Equipar!B:B=6)*(Equipar!AC:AC=A36)),""),"")</f>
        <v/>
      </c>
    </row>
    <row r="37" spans="1:10" x14ac:dyDescent="0.25">
      <c r="A37" s="1">
        <v>169</v>
      </c>
      <c r="B37" t="s">
        <v>54</v>
      </c>
      <c r="C37" t="s">
        <v>10</v>
      </c>
      <c r="D37" t="s">
        <v>41</v>
      </c>
      <c r="E37" t="s">
        <v>38</v>
      </c>
      <c r="F37" t="s">
        <v>40</v>
      </c>
      <c r="G37" t="s">
        <v>41</v>
      </c>
      <c r="I37" s="2" t="str">
        <f ca="1">IF(ISNUMBER(A37),
IF(COUNTIFS(Equipar!B:B,6,Equipar!AC:AC,A37),"Equipada",
IF(
 OR(COUNTIFS(Equipar!B:B,6,Equipar!C:C,A37)
 +COUNTIFS(Equipar!B:B,6,Equipar!D:D,A37)
+COUNTIFS(Equipar!B:B,6,Equipar!E:E,A37)
+COUNTIFS(Equipar!B:B,6,Equipar!F:F,A37)
&gt;0,COUNTIF('Set recomendado'!B:B,C37)=0),
"Bloqueada",
"Desechable")),""
)</f>
        <v>Desechable</v>
      </c>
      <c r="J37" t="str" cm="1">
        <f t="array" ref="J37">IF(ISNUMBER(A37),IFERROR(_xlfn._xlws.FILTER(Equipar!A:A,(Equipar!B:B=6)*(Equipar!AC:AC=A37)),""),"")</f>
        <v/>
      </c>
    </row>
    <row r="38" spans="1:10" x14ac:dyDescent="0.25">
      <c r="A38" s="1">
        <v>170</v>
      </c>
      <c r="B38" t="s">
        <v>54</v>
      </c>
      <c r="C38" t="s">
        <v>10</v>
      </c>
      <c r="D38" t="s">
        <v>36</v>
      </c>
      <c r="E38" t="s">
        <v>38</v>
      </c>
      <c r="F38" t="s">
        <v>41</v>
      </c>
      <c r="I38" s="2" t="str">
        <f ca="1">IF(ISNUMBER(A38),
IF(COUNTIFS(Equipar!B:B,6,Equipar!AC:AC,A38),"Equipada",
IF(
 OR(COUNTIFS(Equipar!B:B,6,Equipar!C:C,A38)
 +COUNTIFS(Equipar!B:B,6,Equipar!D:D,A38)
+COUNTIFS(Equipar!B:B,6,Equipar!E:E,A38)
+COUNTIFS(Equipar!B:B,6,Equipar!F:F,A38)
&gt;0,COUNTIF('Set recomendado'!B:B,C38)=0),
"Bloqueada",
"Desechable")),""
)</f>
        <v>Desechable</v>
      </c>
      <c r="J38" t="str" cm="1">
        <f t="array" ref="J38">IF(ISNUMBER(A38),IFERROR(_xlfn._xlws.FILTER(Equipar!A:A,(Equipar!B:B=6)*(Equipar!AC:AC=A38)),""),"")</f>
        <v/>
      </c>
    </row>
    <row r="39" spans="1:10" x14ac:dyDescent="0.25">
      <c r="A39" s="1">
        <v>174</v>
      </c>
      <c r="B39" t="s">
        <v>54</v>
      </c>
      <c r="C39" t="s">
        <v>5</v>
      </c>
      <c r="D39" t="s">
        <v>35</v>
      </c>
      <c r="E39" t="s">
        <v>44</v>
      </c>
      <c r="F39" t="s">
        <v>34</v>
      </c>
      <c r="I39" s="2" t="str">
        <f ca="1">IF(ISNUMBER(A39),
IF(COUNTIFS(Equipar!B:B,6,Equipar!AC:AC,A39),"Equipada",
IF(
 OR(COUNTIFS(Equipar!B:B,6,Equipar!C:C,A39)
 +COUNTIFS(Equipar!B:B,6,Equipar!D:D,A39)
+COUNTIFS(Equipar!B:B,6,Equipar!E:E,A39)
+COUNTIFS(Equipar!B:B,6,Equipar!F:F,A39)
&gt;0,COUNTIF('Set recomendado'!B:B,C39)=0),
"Bloqueada",
"Desechable")),""
)</f>
        <v>Desechable</v>
      </c>
      <c r="J39" t="str" cm="1">
        <f t="array" ref="J39">IF(ISNUMBER(A39),IFERROR(_xlfn._xlws.FILTER(Equipar!A:A,(Equipar!B:B=6)*(Equipar!AC:AC=A39)),""),"")</f>
        <v/>
      </c>
    </row>
    <row r="40" spans="1:10" x14ac:dyDescent="0.25">
      <c r="A40" s="1">
        <v>175</v>
      </c>
      <c r="B40" t="s">
        <v>54</v>
      </c>
      <c r="C40" t="s">
        <v>5</v>
      </c>
      <c r="D40" t="s">
        <v>32</v>
      </c>
      <c r="E40" t="s">
        <v>38</v>
      </c>
      <c r="F40" t="s">
        <v>32</v>
      </c>
      <c r="I40" s="2" t="str">
        <f>IF(ISNUMBER(A40),
IF(COUNTIFS(Equipar!B:B,6,Equipar!AC:AC,A40),"Equipada",
IF(
 OR(COUNTIFS(Equipar!B:B,6,Equipar!C:C,A40)
 +COUNTIFS(Equipar!B:B,6,Equipar!D:D,A40)
+COUNTIFS(Equipar!B:B,6,Equipar!E:E,A40)
+COUNTIFS(Equipar!B:B,6,Equipar!F:F,A40)
&gt;0,COUNTIF('Set recomendado'!B:B,C40)=0),
"Bloqueada",
"Desechable")),""
)</f>
        <v>Equipada</v>
      </c>
      <c r="J40" t="str" cm="1">
        <f t="array" ref="J40">IF(ISNUMBER(A40),IFERROR(_xlfn._xlws.FILTER(Equipar!A:A,(Equipar!B:B=6)*(Equipar!AC:AC=A40)),""),"")</f>
        <v>Tanaka</v>
      </c>
    </row>
    <row r="41" spans="1:10" x14ac:dyDescent="0.25">
      <c r="A41" s="1">
        <v>176</v>
      </c>
      <c r="B41" t="s">
        <v>54</v>
      </c>
      <c r="C41" t="s">
        <v>5</v>
      </c>
      <c r="D41" t="s">
        <v>32</v>
      </c>
      <c r="E41" t="s">
        <v>43</v>
      </c>
      <c r="F41" t="s">
        <v>41</v>
      </c>
      <c r="I41" s="2" t="str">
        <f ca="1">IF(ISNUMBER(A41),
IF(COUNTIFS(Equipar!B:B,6,Equipar!AC:AC,A41),"Equipada",
IF(
 OR(COUNTIFS(Equipar!B:B,6,Equipar!C:C,A41)
 +COUNTIFS(Equipar!B:B,6,Equipar!D:D,A41)
+COUNTIFS(Equipar!B:B,6,Equipar!E:E,A41)
+COUNTIFS(Equipar!B:B,6,Equipar!F:F,A41)
&gt;0,COUNTIF('Set recomendado'!B:B,C41)=0),
"Bloqueada",
"Desechable")),""
)</f>
        <v>Desechable</v>
      </c>
      <c r="J41" t="str" cm="1">
        <f t="array" ref="J41">IF(ISNUMBER(A41),IFERROR(_xlfn._xlws.FILTER(Equipar!A:A,(Equipar!B:B=6)*(Equipar!AC:AC=A41)),""),"")</f>
        <v/>
      </c>
    </row>
    <row r="42" spans="1:10" x14ac:dyDescent="0.25">
      <c r="A42" s="1">
        <v>178</v>
      </c>
      <c r="B42" t="s">
        <v>54</v>
      </c>
      <c r="C42" t="s">
        <v>13</v>
      </c>
      <c r="D42" t="s">
        <v>42</v>
      </c>
      <c r="E42" t="s">
        <v>39</v>
      </c>
      <c r="F42" t="s">
        <v>43</v>
      </c>
      <c r="I42" s="2" t="str">
        <f ca="1">IF(ISNUMBER(A42),
IF(COUNTIFS(Equipar!B:B,6,Equipar!AC:AC,A42),"Equipada",
IF(
 OR(COUNTIFS(Equipar!B:B,6,Equipar!C:C,A42)
 +COUNTIFS(Equipar!B:B,6,Equipar!D:D,A42)
+COUNTIFS(Equipar!B:B,6,Equipar!E:E,A42)
+COUNTIFS(Equipar!B:B,6,Equipar!F:F,A42)
&gt;0,COUNTIF('Set recomendado'!B:B,C42)=0),
"Bloqueada",
"Desechable")),""
)</f>
        <v>Desechable</v>
      </c>
      <c r="J42" t="str" cm="1">
        <f t="array" ref="J42">IF(ISNUMBER(A42),IFERROR(_xlfn._xlws.FILTER(Equipar!A:A,(Equipar!B:B=6)*(Equipar!AC:AC=A42)),""),"")</f>
        <v/>
      </c>
    </row>
    <row r="43" spans="1:10" x14ac:dyDescent="0.25">
      <c r="A43" s="1">
        <v>179</v>
      </c>
      <c r="B43" t="s">
        <v>54</v>
      </c>
      <c r="C43" t="s">
        <v>13</v>
      </c>
      <c r="D43" t="s">
        <v>37</v>
      </c>
      <c r="E43" t="s">
        <v>38</v>
      </c>
      <c r="F43" t="s">
        <v>40</v>
      </c>
      <c r="I43" s="2" t="str">
        <f ca="1">IF(ISNUMBER(A43),
IF(COUNTIFS(Equipar!B:B,6,Equipar!AC:AC,A43),"Equipada",
IF(
 OR(COUNTIFS(Equipar!B:B,6,Equipar!C:C,A43)
 +COUNTIFS(Equipar!B:B,6,Equipar!D:D,A43)
+COUNTIFS(Equipar!B:B,6,Equipar!E:E,A43)
+COUNTIFS(Equipar!B:B,6,Equipar!F:F,A43)
&gt;0,COUNTIF('Set recomendado'!B:B,C43)=0),
"Bloqueada",
"Desechable")),""
)</f>
        <v>Desechable</v>
      </c>
      <c r="J43" t="str" cm="1">
        <f t="array" ref="J43">IF(ISNUMBER(A43),IFERROR(_xlfn._xlws.FILTER(Equipar!A:A,(Equipar!B:B=6)*(Equipar!AC:AC=A43)),""),"")</f>
        <v/>
      </c>
    </row>
    <row r="44" spans="1:10" x14ac:dyDescent="0.25">
      <c r="A44" s="1">
        <v>181</v>
      </c>
      <c r="B44" t="s">
        <v>54</v>
      </c>
      <c r="C44" t="s">
        <v>14</v>
      </c>
      <c r="D44" t="s">
        <v>36</v>
      </c>
      <c r="E44" t="s">
        <v>37</v>
      </c>
      <c r="F44" t="s">
        <v>38</v>
      </c>
      <c r="I44" s="2" t="str">
        <f ca="1">IF(ISNUMBER(A44),
IF(COUNTIFS(Equipar!B:B,6,Equipar!AC:AC,A44),"Equipada",
IF(
 OR(COUNTIFS(Equipar!B:B,6,Equipar!C:C,A44)
 +COUNTIFS(Equipar!B:B,6,Equipar!D:D,A44)
+COUNTIFS(Equipar!B:B,6,Equipar!E:E,A44)
+COUNTIFS(Equipar!B:B,6,Equipar!F:F,A44)
&gt;0,COUNTIF('Set recomendado'!B:B,C44)=0),
"Bloqueada",
"Desechable")),""
)</f>
        <v>Desechable</v>
      </c>
      <c r="J44" t="str" cm="1">
        <f t="array" ref="J44">IF(ISNUMBER(A44),IFERROR(_xlfn._xlws.FILTER(Equipar!A:A,(Equipar!B:B=6)*(Equipar!AC:AC=A44)),""),"")</f>
        <v/>
      </c>
    </row>
    <row r="45" spans="1:10" x14ac:dyDescent="0.25">
      <c r="A45" s="1">
        <v>182</v>
      </c>
      <c r="B45" t="s">
        <v>54</v>
      </c>
      <c r="C45" t="s">
        <v>22</v>
      </c>
      <c r="D45" t="s">
        <v>37</v>
      </c>
      <c r="E45" t="s">
        <v>43</v>
      </c>
      <c r="F45" t="s">
        <v>42</v>
      </c>
      <c r="I45" s="2" t="str">
        <f ca="1">IF(ISNUMBER(A45),
IF(COUNTIFS(Equipar!B:B,6,Equipar!AC:AC,A45),"Equipada",
IF(
 OR(COUNTIFS(Equipar!B:B,6,Equipar!C:C,A45)
 +COUNTIFS(Equipar!B:B,6,Equipar!D:D,A45)
+COUNTIFS(Equipar!B:B,6,Equipar!E:E,A45)
+COUNTIFS(Equipar!B:B,6,Equipar!F:F,A45)
&gt;0,COUNTIF('Set recomendado'!B:B,C45)=0),
"Bloqueada",
"Desechable")),""
)</f>
        <v>Desechable</v>
      </c>
      <c r="J45" t="str" cm="1">
        <f t="array" ref="J45">IF(ISNUMBER(A45),IFERROR(_xlfn._xlws.FILTER(Equipar!A:A,(Equipar!B:B=6)*(Equipar!AC:AC=A45)),""),"")</f>
        <v/>
      </c>
    </row>
    <row r="46" spans="1:10" x14ac:dyDescent="0.25">
      <c r="A46" s="1">
        <v>183</v>
      </c>
      <c r="B46" t="s">
        <v>54</v>
      </c>
      <c r="C46" t="s">
        <v>23</v>
      </c>
      <c r="D46" t="s">
        <v>37</v>
      </c>
      <c r="E46" t="s">
        <v>44</v>
      </c>
      <c r="F46" t="s">
        <v>42</v>
      </c>
      <c r="I46" s="2" t="str">
        <f ca="1">IF(ISNUMBER(A46),
IF(COUNTIFS(Equipar!B:B,6,Equipar!AC:AC,A46),"Equipada",
IF(
 OR(COUNTIFS(Equipar!B:B,6,Equipar!C:C,A46)
 +COUNTIFS(Equipar!B:B,6,Equipar!D:D,A46)
+COUNTIFS(Equipar!B:B,6,Equipar!E:E,A46)
+COUNTIFS(Equipar!B:B,6,Equipar!F:F,A46)
&gt;0,COUNTIF('Set recomendado'!B:B,C46)=0),
"Bloqueada",
"Desechable")),""
)</f>
        <v>Desechable</v>
      </c>
      <c r="J46" t="str" cm="1">
        <f t="array" ref="J46">IF(ISNUMBER(A46),IFERROR(_xlfn._xlws.FILTER(Equipar!A:A,(Equipar!B:B=6)*(Equipar!AC:AC=A46)),""),"")</f>
        <v/>
      </c>
    </row>
    <row r="47" spans="1:10" x14ac:dyDescent="0.25">
      <c r="A47" s="1">
        <v>184</v>
      </c>
      <c r="B47" t="s">
        <v>54</v>
      </c>
      <c r="C47" t="s">
        <v>16</v>
      </c>
      <c r="D47" t="s">
        <v>32</v>
      </c>
      <c r="E47" t="s">
        <v>42</v>
      </c>
      <c r="F47" t="s">
        <v>38</v>
      </c>
      <c r="I47" s="2" t="str">
        <f ca="1">IF(ISNUMBER(A47),
IF(COUNTIFS(Equipar!B:B,6,Equipar!AC:AC,A47),"Equipada",
IF(
 OR(COUNTIFS(Equipar!B:B,6,Equipar!C:C,A47)
 +COUNTIFS(Equipar!B:B,6,Equipar!D:D,A47)
+COUNTIFS(Equipar!B:B,6,Equipar!E:E,A47)
+COUNTIFS(Equipar!B:B,6,Equipar!F:F,A47)
&gt;0,COUNTIF('Set recomendado'!B:B,C47)=0),
"Bloqueada",
"Desechable")),""
)</f>
        <v>Bloqueada</v>
      </c>
      <c r="J47" t="str" cm="1">
        <f t="array" ref="J47">IF(ISNUMBER(A47),IFERROR(_xlfn._xlws.FILTER(Equipar!A:A,(Equipar!B:B=6)*(Equipar!AC:AC=A47)),""),"")</f>
        <v/>
      </c>
    </row>
    <row r="48" spans="1:10" x14ac:dyDescent="0.25">
      <c r="A48" s="1">
        <v>185</v>
      </c>
      <c r="B48" t="s">
        <v>54</v>
      </c>
      <c r="C48" t="s">
        <v>16</v>
      </c>
      <c r="D48" t="s">
        <v>41</v>
      </c>
      <c r="E48" t="s">
        <v>44</v>
      </c>
      <c r="F48" t="s">
        <v>37</v>
      </c>
      <c r="I48" s="2" t="str">
        <f ca="1">IF(ISNUMBER(A48),
IF(COUNTIFS(Equipar!B:B,6,Equipar!AC:AC,A48),"Equipada",
IF(
 OR(COUNTIFS(Equipar!B:B,6,Equipar!C:C,A48)
 +COUNTIFS(Equipar!B:B,6,Equipar!D:D,A48)
+COUNTIFS(Equipar!B:B,6,Equipar!E:E,A48)
+COUNTIFS(Equipar!B:B,6,Equipar!F:F,A48)
&gt;0,COUNTIF('Set recomendado'!B:B,C48)=0),
"Bloqueada",
"Desechable")),""
)</f>
        <v>Desechable</v>
      </c>
      <c r="J48" t="str" cm="1">
        <f t="array" ref="J48">IF(ISNUMBER(A48),IFERROR(_xlfn._xlws.FILTER(Equipar!A:A,(Equipar!B:B=6)*(Equipar!AC:AC=A48)),""),"")</f>
        <v/>
      </c>
    </row>
    <row r="49" spans="1:10" x14ac:dyDescent="0.25">
      <c r="A49" s="1">
        <v>186</v>
      </c>
      <c r="B49" t="s">
        <v>53</v>
      </c>
      <c r="C49" t="s">
        <v>14</v>
      </c>
      <c r="D49" t="s">
        <v>41</v>
      </c>
      <c r="E49" t="s">
        <v>41</v>
      </c>
      <c r="F49" t="s">
        <v>35</v>
      </c>
      <c r="G49" t="s">
        <v>38</v>
      </c>
      <c r="H49" t="s">
        <v>32</v>
      </c>
      <c r="I49" s="2" t="str">
        <f ca="1">IF(ISNUMBER(A49),
IF(COUNTIFS(Equipar!B:B,6,Equipar!AC:AC,A49),"Equipada",
IF(
 OR(COUNTIFS(Equipar!B:B,6,Equipar!C:C,A49)
 +COUNTIFS(Equipar!B:B,6,Equipar!D:D,A49)
+COUNTIFS(Equipar!B:B,6,Equipar!E:E,A49)
+COUNTIFS(Equipar!B:B,6,Equipar!F:F,A49)
&gt;0,COUNTIF('Set recomendado'!B:B,C49)=0),
"Bloqueada",
"Desechable")),""
)</f>
        <v>Desechable</v>
      </c>
      <c r="J49" t="str" cm="1">
        <f t="array" ref="J49">IF(ISNUMBER(A49),IFERROR(_xlfn._xlws.FILTER(Equipar!A:A,(Equipar!B:B=6)*(Equipar!AC:AC=A49)),""),"")</f>
        <v/>
      </c>
    </row>
    <row r="50" spans="1:10" x14ac:dyDescent="0.25">
      <c r="A50" s="1">
        <v>187</v>
      </c>
      <c r="B50" t="s">
        <v>53</v>
      </c>
      <c r="C50" t="s">
        <v>56</v>
      </c>
      <c r="D50" t="s">
        <v>35</v>
      </c>
      <c r="E50" t="s">
        <v>43</v>
      </c>
      <c r="F50" t="s">
        <v>38</v>
      </c>
      <c r="G50" t="s">
        <v>40</v>
      </c>
      <c r="I50" s="2" t="str">
        <f ca="1">IF(ISNUMBER(A50),
IF(COUNTIFS(Equipar!B:B,6,Equipar!AC:AC,A50),"Equipada",
IF(
 OR(COUNTIFS(Equipar!B:B,6,Equipar!C:C,A50)
 +COUNTIFS(Equipar!B:B,6,Equipar!D:D,A50)
+COUNTIFS(Equipar!B:B,6,Equipar!E:E,A50)
+COUNTIFS(Equipar!B:B,6,Equipar!F:F,A50)
&gt;0,COUNTIF('Set recomendado'!B:B,C50)=0),
"Bloqueada",
"Desechable")),""
)</f>
        <v>Desechable</v>
      </c>
      <c r="J50" t="str" cm="1">
        <f t="array" ref="J50">IF(ISNUMBER(A50),IFERROR(_xlfn._xlws.FILTER(Equipar!A:A,(Equipar!B:B=6)*(Equipar!AC:AC=A50)),""),"")</f>
        <v/>
      </c>
    </row>
    <row r="51" spans="1:10" x14ac:dyDescent="0.25">
      <c r="A51" s="1">
        <v>188</v>
      </c>
      <c r="B51" t="s">
        <v>53</v>
      </c>
      <c r="C51" t="s">
        <v>57</v>
      </c>
      <c r="D51" t="s">
        <v>38</v>
      </c>
      <c r="E51" t="s">
        <v>32</v>
      </c>
      <c r="F51" t="s">
        <v>37</v>
      </c>
      <c r="G51" t="s">
        <v>39</v>
      </c>
      <c r="I51" s="2" t="str">
        <f ca="1">IF(ISNUMBER(A51),
IF(COUNTIFS(Equipar!B:B,6,Equipar!AC:AC,A51),"Equipada",
IF(
 OR(COUNTIFS(Equipar!B:B,6,Equipar!C:C,A51)
 +COUNTIFS(Equipar!B:B,6,Equipar!D:D,A51)
+COUNTIFS(Equipar!B:B,6,Equipar!E:E,A51)
+COUNTIFS(Equipar!B:B,6,Equipar!F:F,A51)
&gt;0,COUNTIF('Set recomendado'!B:B,C51)=0),
"Bloqueada",
"Desechable")),""
)</f>
        <v>Bloqueada</v>
      </c>
      <c r="J51" t="str" cm="1">
        <f t="array" ref="J51">IF(ISNUMBER(A51),IFERROR(_xlfn._xlws.FILTER(Equipar!A:A,(Equipar!B:B=6)*(Equipar!AC:AC=A51)),""),"")</f>
        <v/>
      </c>
    </row>
    <row r="52" spans="1:10" x14ac:dyDescent="0.25">
      <c r="A52" s="1">
        <v>189</v>
      </c>
      <c r="B52" t="s">
        <v>54</v>
      </c>
      <c r="C52" t="s">
        <v>57</v>
      </c>
      <c r="D52" t="s">
        <v>41</v>
      </c>
      <c r="E52" t="s">
        <v>43</v>
      </c>
      <c r="F52" t="s">
        <v>37</v>
      </c>
      <c r="I52" s="2" t="str">
        <f ca="1">IF(ISNUMBER(A52),
IF(COUNTIFS(Equipar!B:B,6,Equipar!AC:AC,A52),"Equipada",
IF(
 OR(COUNTIFS(Equipar!B:B,6,Equipar!C:C,A52)
 +COUNTIFS(Equipar!B:B,6,Equipar!D:D,A52)
+COUNTIFS(Equipar!B:B,6,Equipar!E:E,A52)
+COUNTIFS(Equipar!B:B,6,Equipar!F:F,A52)
&gt;0,COUNTIF('Set recomendado'!B:B,C52)=0),
"Bloqueada",
"Desechable")),""
)</f>
        <v>Bloqueada</v>
      </c>
      <c r="J52" t="str" cm="1">
        <f t="array" ref="J52">IF(ISNUMBER(A52),IFERROR(_xlfn._xlws.FILTER(Equipar!A:A,(Equipar!B:B=6)*(Equipar!AC:AC=A52)),""),"")</f>
        <v/>
      </c>
    </row>
    <row r="53" spans="1:10" x14ac:dyDescent="0.25">
      <c r="A53" s="1">
        <v>190</v>
      </c>
      <c r="B53" t="s">
        <v>54</v>
      </c>
      <c r="C53" t="s">
        <v>57</v>
      </c>
      <c r="D53" t="s">
        <v>41</v>
      </c>
      <c r="E53" t="s">
        <v>32</v>
      </c>
      <c r="F53" t="s">
        <v>37</v>
      </c>
      <c r="I53" s="2" t="str">
        <f ca="1">IF(ISNUMBER(A53),
IF(COUNTIFS(Equipar!B:B,6,Equipar!AC:AC,A53),"Equipada",
IF(
 OR(COUNTIFS(Equipar!B:B,6,Equipar!C:C,A53)
 +COUNTIFS(Equipar!B:B,6,Equipar!D:D,A53)
+COUNTIFS(Equipar!B:B,6,Equipar!E:E,A53)
+COUNTIFS(Equipar!B:B,6,Equipar!F:F,A53)
&gt;0,COUNTIF('Set recomendado'!B:B,C53)=0),
"Bloqueada",
"Desechable")),""
)</f>
        <v>Bloqueada</v>
      </c>
      <c r="J53" t="str" cm="1">
        <f t="array" ref="J53">IF(ISNUMBER(A53),IFERROR(_xlfn._xlws.FILTER(Equipar!A:A,(Equipar!B:B=6)*(Equipar!AC:AC=A53)),""),"")</f>
        <v/>
      </c>
    </row>
    <row r="54" spans="1:10" x14ac:dyDescent="0.25">
      <c r="A54" s="1">
        <v>191</v>
      </c>
      <c r="B54" t="s">
        <v>54</v>
      </c>
      <c r="C54" t="s">
        <v>57</v>
      </c>
      <c r="D54" t="s">
        <v>41</v>
      </c>
      <c r="E54" t="s">
        <v>36</v>
      </c>
      <c r="F54" t="s">
        <v>42</v>
      </c>
      <c r="I54" s="2" t="str">
        <f ca="1">IF(ISNUMBER(A54),
IF(COUNTIFS(Equipar!B:B,6,Equipar!AC:AC,A54),"Equipada",
IF(
 OR(COUNTIFS(Equipar!B:B,6,Equipar!C:C,A54)
 +COUNTIFS(Equipar!B:B,6,Equipar!D:D,A54)
+COUNTIFS(Equipar!B:B,6,Equipar!E:E,A54)
+COUNTIFS(Equipar!B:B,6,Equipar!F:F,A54)
&gt;0,COUNTIF('Set recomendado'!B:B,C54)=0),
"Bloqueada",
"Desechable")),""
)</f>
        <v>Bloqueada</v>
      </c>
      <c r="J54" t="str" cm="1">
        <f t="array" ref="J54">IF(ISNUMBER(A54),IFERROR(_xlfn._xlws.FILTER(Equipar!A:A,(Equipar!B:B=6)*(Equipar!AC:AC=A54)),""),"")</f>
        <v/>
      </c>
    </row>
    <row r="55" spans="1:10" x14ac:dyDescent="0.25">
      <c r="A55" s="1">
        <v>192</v>
      </c>
      <c r="B55" t="s">
        <v>54</v>
      </c>
      <c r="C55" t="s">
        <v>57</v>
      </c>
      <c r="D55" t="s">
        <v>41</v>
      </c>
      <c r="E55" t="s">
        <v>32</v>
      </c>
      <c r="F55" t="s">
        <v>41</v>
      </c>
      <c r="G55" t="s">
        <v>42</v>
      </c>
      <c r="I55" s="2" t="str">
        <f ca="1">IF(ISNUMBER(A55),
IF(COUNTIFS(Equipar!B:B,6,Equipar!AC:AC,A55),"Equipada",
IF(
 OR(COUNTIFS(Equipar!B:B,6,Equipar!C:C,A55)
 +COUNTIFS(Equipar!B:B,6,Equipar!D:D,A55)
+COUNTIFS(Equipar!B:B,6,Equipar!E:E,A55)
+COUNTIFS(Equipar!B:B,6,Equipar!F:F,A55)
&gt;0,COUNTIF('Set recomendado'!B:B,C55)=0),
"Bloqueada",
"Desechable")),""
)</f>
        <v>Bloqueada</v>
      </c>
      <c r="J55" t="str" cm="1">
        <f t="array" ref="J55">IF(ISNUMBER(A55),IFERROR(_xlfn._xlws.FILTER(Equipar!A:A,(Equipar!B:B=6)*(Equipar!AC:AC=A55)),""),"")</f>
        <v/>
      </c>
    </row>
    <row r="56" spans="1:10" x14ac:dyDescent="0.25">
      <c r="A56" s="1">
        <v>193</v>
      </c>
      <c r="B56" t="s">
        <v>54</v>
      </c>
      <c r="C56" t="s">
        <v>55</v>
      </c>
      <c r="D56" t="s">
        <v>37</v>
      </c>
      <c r="E56" t="s">
        <v>41</v>
      </c>
      <c r="F56" t="s">
        <v>36</v>
      </c>
      <c r="I56" s="2" t="str">
        <f ca="1">IF(ISNUMBER(A56),
IF(COUNTIFS(Equipar!B:B,6,Equipar!AC:AC,A56),"Equipada",
IF(
 OR(COUNTIFS(Equipar!B:B,6,Equipar!C:C,A56)
 +COUNTIFS(Equipar!B:B,6,Equipar!D:D,A56)
+COUNTIFS(Equipar!B:B,6,Equipar!E:E,A56)
+COUNTIFS(Equipar!B:B,6,Equipar!F:F,A56)
&gt;0,COUNTIF('Set recomendado'!B:B,C56)=0),
"Bloqueada",
"Desechable")),""
)</f>
        <v>Desechable</v>
      </c>
      <c r="J56" t="str" cm="1">
        <f t="array" ref="J56">IF(ISNUMBER(A56),IFERROR(_xlfn._xlws.FILTER(Equipar!A:A,(Equipar!B:B=6)*(Equipar!AC:AC=A56)),""),"")</f>
        <v/>
      </c>
    </row>
    <row r="57" spans="1:10" x14ac:dyDescent="0.25">
      <c r="A57" s="1">
        <v>194</v>
      </c>
      <c r="B57" t="s">
        <v>54</v>
      </c>
      <c r="C57" t="s">
        <v>55</v>
      </c>
      <c r="D57" t="s">
        <v>32</v>
      </c>
      <c r="E57" t="s">
        <v>35</v>
      </c>
      <c r="F57" t="s">
        <v>32</v>
      </c>
      <c r="I57" s="2" t="str">
        <f ca="1">IF(ISNUMBER(A57),
IF(COUNTIFS(Equipar!B:B,6,Equipar!AC:AC,A57),"Equipada",
IF(
 OR(COUNTIFS(Equipar!B:B,6,Equipar!C:C,A57)
 +COUNTIFS(Equipar!B:B,6,Equipar!D:D,A57)
+COUNTIFS(Equipar!B:B,6,Equipar!E:E,A57)
+COUNTIFS(Equipar!B:B,6,Equipar!F:F,A57)
&gt;0,COUNTIF('Set recomendado'!B:B,C57)=0),
"Bloqueada",
"Desechable")),""
)</f>
        <v>Desechable</v>
      </c>
      <c r="J57" t="str" cm="1">
        <f t="array" ref="J57">IF(ISNUMBER(A57),IFERROR(_xlfn._xlws.FILTER(Equipar!A:A,(Equipar!B:B=6)*(Equipar!AC:AC=A57)),""),"")</f>
        <v/>
      </c>
    </row>
    <row r="58" spans="1:10" x14ac:dyDescent="0.25">
      <c r="A58" s="1">
        <v>195</v>
      </c>
      <c r="B58" t="s">
        <v>54</v>
      </c>
      <c r="C58" t="s">
        <v>55</v>
      </c>
      <c r="D58" t="s">
        <v>41</v>
      </c>
      <c r="E58" t="s">
        <v>38</v>
      </c>
      <c r="F58" t="s">
        <v>32</v>
      </c>
      <c r="I58" s="2" t="str">
        <f ca="1">IF(ISNUMBER(A58),
IF(COUNTIFS(Equipar!B:B,6,Equipar!AC:AC,A58),"Equipada",
IF(
 OR(COUNTIFS(Equipar!B:B,6,Equipar!C:C,A58)
 +COUNTIFS(Equipar!B:B,6,Equipar!D:D,A58)
+COUNTIFS(Equipar!B:B,6,Equipar!E:E,A58)
+COUNTIFS(Equipar!B:B,6,Equipar!F:F,A58)
&gt;0,COUNTIF('Set recomendado'!B:B,C58)=0),
"Bloqueada",
"Desechable")),""
)</f>
        <v>Desechable</v>
      </c>
      <c r="J58" t="str" cm="1">
        <f t="array" ref="J58">IF(ISNUMBER(A58),IFERROR(_xlfn._xlws.FILTER(Equipar!A:A,(Equipar!B:B=6)*(Equipar!AC:AC=A58)),""),"")</f>
        <v/>
      </c>
    </row>
    <row r="59" spans="1:10" x14ac:dyDescent="0.25">
      <c r="A59" s="1">
        <v>196</v>
      </c>
      <c r="B59" t="s">
        <v>54</v>
      </c>
      <c r="C59" t="s">
        <v>55</v>
      </c>
      <c r="D59" t="s">
        <v>44</v>
      </c>
      <c r="E59" t="s">
        <v>32</v>
      </c>
      <c r="F59" t="s">
        <v>38</v>
      </c>
      <c r="I59" s="2" t="str">
        <f ca="1">IF(ISNUMBER(A59),
IF(COUNTIFS(Equipar!B:B,6,Equipar!AC:AC,A59),"Equipada",
IF(
 OR(COUNTIFS(Equipar!B:B,6,Equipar!C:C,A59)
 +COUNTIFS(Equipar!B:B,6,Equipar!D:D,A59)
+COUNTIFS(Equipar!B:B,6,Equipar!E:E,A59)
+COUNTIFS(Equipar!B:B,6,Equipar!F:F,A59)
&gt;0,COUNTIF('Set recomendado'!B:B,C59)=0),
"Bloqueada",
"Desechable")),""
)</f>
        <v>Desechable</v>
      </c>
      <c r="J59" t="str" cm="1">
        <f t="array" ref="J59">IF(ISNUMBER(A59),IFERROR(_xlfn._xlws.FILTER(Equipar!A:A,(Equipar!B:B=6)*(Equipar!AC:AC=A59)),""),"")</f>
        <v/>
      </c>
    </row>
    <row r="60" spans="1:10" x14ac:dyDescent="0.25">
      <c r="A60" s="1">
        <v>197</v>
      </c>
      <c r="B60" t="s">
        <v>54</v>
      </c>
      <c r="C60" t="s">
        <v>55</v>
      </c>
      <c r="D60" t="s">
        <v>42</v>
      </c>
      <c r="E60" t="s">
        <v>41</v>
      </c>
      <c r="F60" t="s">
        <v>32</v>
      </c>
      <c r="I60" s="2" t="str">
        <f ca="1">IF(ISNUMBER(A60),
IF(COUNTIFS(Equipar!B:B,6,Equipar!AC:AC,A60),"Equipada",
IF(
 OR(COUNTIFS(Equipar!B:B,6,Equipar!C:C,A60)
 +COUNTIFS(Equipar!B:B,6,Equipar!D:D,A60)
+COUNTIFS(Equipar!B:B,6,Equipar!E:E,A60)
+COUNTIFS(Equipar!B:B,6,Equipar!F:F,A60)
&gt;0,COUNTIF('Set recomendado'!B:B,C60)=0),
"Bloqueada",
"Desechable")),""
)</f>
        <v>Desechable</v>
      </c>
      <c r="J60" t="str" cm="1">
        <f t="array" ref="J60">IF(ISNUMBER(A60),IFERROR(_xlfn._xlws.FILTER(Equipar!A:A,(Equipar!B:B=6)*(Equipar!AC:AC=A60)),""),"")</f>
        <v/>
      </c>
    </row>
    <row r="61" spans="1:10" x14ac:dyDescent="0.25">
      <c r="A61" s="1">
        <v>198</v>
      </c>
      <c r="B61" t="s">
        <v>54</v>
      </c>
      <c r="C61" t="s">
        <v>55</v>
      </c>
      <c r="D61" t="s">
        <v>41</v>
      </c>
      <c r="E61" t="s">
        <v>40</v>
      </c>
      <c r="F61" t="s">
        <v>36</v>
      </c>
      <c r="I61" s="2" t="str">
        <f ca="1">IF(ISNUMBER(A61),
IF(COUNTIFS(Equipar!B:B,6,Equipar!AC:AC,A61),"Equipada",
IF(
 OR(COUNTIFS(Equipar!B:B,6,Equipar!C:C,A61)
 +COUNTIFS(Equipar!B:B,6,Equipar!D:D,A61)
+COUNTIFS(Equipar!B:B,6,Equipar!E:E,A61)
+COUNTIFS(Equipar!B:B,6,Equipar!F:F,A61)
&gt;0,COUNTIF('Set recomendado'!B:B,C61)=0),
"Bloqueada",
"Desechable")),""
)</f>
        <v>Desechable</v>
      </c>
      <c r="J61" t="str" cm="1">
        <f t="array" ref="J61">IF(ISNUMBER(A61),IFERROR(_xlfn._xlws.FILTER(Equipar!A:A,(Equipar!B:B=6)*(Equipar!AC:AC=A61)),""),"")</f>
        <v/>
      </c>
    </row>
    <row r="62" spans="1:10" x14ac:dyDescent="0.25">
      <c r="A62" s="1">
        <v>199</v>
      </c>
      <c r="B62" t="s">
        <v>54</v>
      </c>
      <c r="C62" t="s">
        <v>55</v>
      </c>
      <c r="D62" t="s">
        <v>32</v>
      </c>
      <c r="E62" t="s">
        <v>36</v>
      </c>
      <c r="F62" t="s">
        <v>41</v>
      </c>
      <c r="I62" s="2" t="str">
        <f ca="1">IF(ISNUMBER(A62),
IF(COUNTIFS(Equipar!B:B,6,Equipar!AC:AC,A62),"Equipada",
IF(
 OR(COUNTIFS(Equipar!B:B,6,Equipar!C:C,A62)
 +COUNTIFS(Equipar!B:B,6,Equipar!D:D,A62)
+COUNTIFS(Equipar!B:B,6,Equipar!E:E,A62)
+COUNTIFS(Equipar!B:B,6,Equipar!F:F,A62)
&gt;0,COUNTIF('Set recomendado'!B:B,C62)=0),
"Bloqueada",
"Desechable")),""
)</f>
        <v>Desechable</v>
      </c>
      <c r="J62" t="str" cm="1">
        <f t="array" ref="J62">IF(ISNUMBER(A62),IFERROR(_xlfn._xlws.FILTER(Equipar!A:A,(Equipar!B:B=6)*(Equipar!AC:AC=A62)),""),"")</f>
        <v/>
      </c>
    </row>
    <row r="63" spans="1:10" x14ac:dyDescent="0.25">
      <c r="A63" s="1">
        <v>200</v>
      </c>
      <c r="B63" t="s">
        <v>54</v>
      </c>
      <c r="C63" t="s">
        <v>55</v>
      </c>
      <c r="D63" t="s">
        <v>42</v>
      </c>
      <c r="E63" t="s">
        <v>41</v>
      </c>
      <c r="F63" t="s">
        <v>37</v>
      </c>
      <c r="G63" t="s">
        <v>42</v>
      </c>
      <c r="I63" s="2" t="str">
        <f ca="1">IF(ISNUMBER(A63),
IF(COUNTIFS(Equipar!B:B,6,Equipar!AC:AC,A63),"Equipada",
IF(
 OR(COUNTIFS(Equipar!B:B,6,Equipar!C:C,A63)
 +COUNTIFS(Equipar!B:B,6,Equipar!D:D,A63)
+COUNTIFS(Equipar!B:B,6,Equipar!E:E,A63)
+COUNTIFS(Equipar!B:B,6,Equipar!F:F,A63)
&gt;0,COUNTIF('Set recomendado'!B:B,C63)=0),
"Bloqueada",
"Desechable")),""
)</f>
        <v>Desechable</v>
      </c>
      <c r="J63" t="str" cm="1">
        <f t="array" ref="J63">IF(ISNUMBER(A63),IFERROR(_xlfn._xlws.FILTER(Equipar!A:A,(Equipar!B:B=6)*(Equipar!AC:AC=A63)),""),"")</f>
        <v/>
      </c>
    </row>
    <row r="64" spans="1:10" x14ac:dyDescent="0.25">
      <c r="A64" s="1">
        <v>201</v>
      </c>
      <c r="B64" t="s">
        <v>53</v>
      </c>
      <c r="C64" t="s">
        <v>21</v>
      </c>
      <c r="D64" t="s">
        <v>37</v>
      </c>
      <c r="E64" t="s">
        <v>36</v>
      </c>
      <c r="F64" t="s">
        <v>41</v>
      </c>
      <c r="G64" t="s">
        <v>38</v>
      </c>
      <c r="I64" s="2" t="str">
        <f ca="1">IF(ISNUMBER(A64),
IF(COUNTIFS(Equipar!B:B,6,Equipar!AC:AC,A64),"Equipada",
IF(
 OR(COUNTIFS(Equipar!B:B,6,Equipar!C:C,A64)
 +COUNTIFS(Equipar!B:B,6,Equipar!D:D,A64)
+COUNTIFS(Equipar!B:B,6,Equipar!E:E,A64)
+COUNTIFS(Equipar!B:B,6,Equipar!F:F,A64)
&gt;0,COUNTIF('Set recomendado'!B:B,C64)=0),
"Bloqueada",
"Desechable")),""
)</f>
        <v>Desechable</v>
      </c>
      <c r="J64" t="str" cm="1">
        <f t="array" ref="J64">IF(ISNUMBER(A64),IFERROR(_xlfn._xlws.FILTER(Equipar!A:A,(Equipar!B:B=6)*(Equipar!AC:AC=A64)),""),"")</f>
        <v/>
      </c>
    </row>
    <row r="65" spans="1:10" x14ac:dyDescent="0.25">
      <c r="A65" s="1">
        <v>202</v>
      </c>
      <c r="B65" t="s">
        <v>54</v>
      </c>
      <c r="C65" t="s">
        <v>21</v>
      </c>
      <c r="D65" t="s">
        <v>43</v>
      </c>
      <c r="E65" t="s">
        <v>43</v>
      </c>
      <c r="F65" t="s">
        <v>36</v>
      </c>
      <c r="I65" s="2" t="str">
        <f ca="1">IF(ISNUMBER(A65),
IF(COUNTIFS(Equipar!B:B,6,Equipar!AC:AC,A65),"Equipada",
IF(
 OR(COUNTIFS(Equipar!B:B,6,Equipar!C:C,A65)
 +COUNTIFS(Equipar!B:B,6,Equipar!D:D,A65)
+COUNTIFS(Equipar!B:B,6,Equipar!E:E,A65)
+COUNTIFS(Equipar!B:B,6,Equipar!F:F,A65)
&gt;0,COUNTIF('Set recomendado'!B:B,C65)=0),
"Bloqueada",
"Desechable")),""
)</f>
        <v>Desechable</v>
      </c>
      <c r="J65" t="str" cm="1">
        <f t="array" ref="J65">IF(ISNUMBER(A65),IFERROR(_xlfn._xlws.FILTER(Equipar!A:A,(Equipar!B:B=6)*(Equipar!AC:AC=A65)),""),"")</f>
        <v/>
      </c>
    </row>
    <row r="66" spans="1:10" x14ac:dyDescent="0.25">
      <c r="A66" s="1">
        <v>203</v>
      </c>
      <c r="B66" t="s">
        <v>54</v>
      </c>
      <c r="C66" t="s">
        <v>21</v>
      </c>
      <c r="D66" t="s">
        <v>44</v>
      </c>
      <c r="E66" t="s">
        <v>32</v>
      </c>
      <c r="F66" t="s">
        <v>40</v>
      </c>
      <c r="I66" s="2" t="str">
        <f ca="1">IF(ISNUMBER(A66),
IF(COUNTIFS(Equipar!B:B,6,Equipar!AC:AC,A66),"Equipada",
IF(
 OR(COUNTIFS(Equipar!B:B,6,Equipar!C:C,A66)
 +COUNTIFS(Equipar!B:B,6,Equipar!D:D,A66)
+COUNTIFS(Equipar!B:B,6,Equipar!E:E,A66)
+COUNTIFS(Equipar!B:B,6,Equipar!F:F,A66)
&gt;0,COUNTIF('Set recomendado'!B:B,C66)=0),
"Bloqueada",
"Desechable")),""
)</f>
        <v>Desechable</v>
      </c>
      <c r="J66" t="str" cm="1">
        <f t="array" ref="J66">IF(ISNUMBER(A66),IFERROR(_xlfn._xlws.FILTER(Equipar!A:A,(Equipar!B:B=6)*(Equipar!AC:AC=A66)),""),"")</f>
        <v/>
      </c>
    </row>
    <row r="67" spans="1:10" x14ac:dyDescent="0.25">
      <c r="A67" s="1">
        <v>204</v>
      </c>
      <c r="B67" t="s">
        <v>54</v>
      </c>
      <c r="C67" t="s">
        <v>21</v>
      </c>
      <c r="D67" t="s">
        <v>32</v>
      </c>
      <c r="E67" t="s">
        <v>32</v>
      </c>
      <c r="F67" t="s">
        <v>41</v>
      </c>
      <c r="I67" s="2" t="str">
        <f ca="1">IF(ISNUMBER(A67),
IF(COUNTIFS(Equipar!B:B,6,Equipar!AC:AC,A67),"Equipada",
IF(
 OR(COUNTIFS(Equipar!B:B,6,Equipar!C:C,A67)
 +COUNTIFS(Equipar!B:B,6,Equipar!D:D,A67)
+COUNTIFS(Equipar!B:B,6,Equipar!E:E,A67)
+COUNTIFS(Equipar!B:B,6,Equipar!F:F,A67)
&gt;0,COUNTIF('Set recomendado'!B:B,C67)=0),
"Bloqueada",
"Desechable")),""
)</f>
        <v>Desechable</v>
      </c>
      <c r="J67" t="str" cm="1">
        <f t="array" ref="J67">IF(ISNUMBER(A67),IFERROR(_xlfn._xlws.FILTER(Equipar!A:A,(Equipar!B:B=6)*(Equipar!AC:AC=A67)),""),"")</f>
        <v/>
      </c>
    </row>
    <row r="68" spans="1:10" x14ac:dyDescent="0.25">
      <c r="A68" s="1">
        <v>205</v>
      </c>
      <c r="B68" t="s">
        <v>54</v>
      </c>
      <c r="C68" t="s">
        <v>21</v>
      </c>
      <c r="D68" t="s">
        <v>32</v>
      </c>
      <c r="E68" t="s">
        <v>32</v>
      </c>
      <c r="F68" t="s">
        <v>40</v>
      </c>
      <c r="G68" t="s">
        <v>37</v>
      </c>
      <c r="I68" s="2" t="str">
        <f ca="1">IF(ISNUMBER(A68),
IF(COUNTIFS(Equipar!B:B,6,Equipar!AC:AC,A68),"Equipada",
IF(
 OR(COUNTIFS(Equipar!B:B,6,Equipar!C:C,A68)
 +COUNTIFS(Equipar!B:B,6,Equipar!D:D,A68)
+COUNTIFS(Equipar!B:B,6,Equipar!E:E,A68)
+COUNTIFS(Equipar!B:B,6,Equipar!F:F,A68)
&gt;0,COUNTIF('Set recomendado'!B:B,C68)=0),
"Bloqueada",
"Desechable")),""
)</f>
        <v>Desechable</v>
      </c>
      <c r="J68" t="str" cm="1">
        <f t="array" ref="J68">IF(ISNUMBER(A68),IFERROR(_xlfn._xlws.FILTER(Equipar!A:A,(Equipar!B:B=6)*(Equipar!AC:AC=A68)),""),"")</f>
        <v/>
      </c>
    </row>
    <row r="69" spans="1:10" x14ac:dyDescent="0.25">
      <c r="A69" s="1">
        <v>206</v>
      </c>
      <c r="B69" t="s">
        <v>54</v>
      </c>
      <c r="C69" t="s">
        <v>21</v>
      </c>
      <c r="D69" t="s">
        <v>37</v>
      </c>
      <c r="E69" t="s">
        <v>42</v>
      </c>
      <c r="F69" t="s">
        <v>37</v>
      </c>
      <c r="G69" t="s">
        <v>43</v>
      </c>
      <c r="I69" s="2" t="str">
        <f ca="1">IF(ISNUMBER(A69),
IF(COUNTIFS(Equipar!B:B,6,Equipar!AC:AC,A69),"Equipada",
IF(
 OR(COUNTIFS(Equipar!B:B,6,Equipar!C:C,A69)
 +COUNTIFS(Equipar!B:B,6,Equipar!D:D,A69)
+COUNTIFS(Equipar!B:B,6,Equipar!E:E,A69)
+COUNTIFS(Equipar!B:B,6,Equipar!F:F,A69)
&gt;0,COUNTIF('Set recomendado'!B:B,C69)=0),
"Bloqueada",
"Desechable")),""
)</f>
        <v>Bloqueada</v>
      </c>
      <c r="J69" t="str" cm="1">
        <f t="array" ref="J69">IF(ISNUMBER(A69),IFERROR(_xlfn._xlws.FILTER(Equipar!A:A,(Equipar!B:B=6)*(Equipar!AC:AC=A69)),""),"")</f>
        <v/>
      </c>
    </row>
    <row r="70" spans="1:10" x14ac:dyDescent="0.25">
      <c r="A70" s="1">
        <v>207</v>
      </c>
      <c r="B70" t="s">
        <v>54</v>
      </c>
      <c r="C70" t="s">
        <v>21</v>
      </c>
      <c r="D70" t="s">
        <v>38</v>
      </c>
      <c r="E70" t="s">
        <v>43</v>
      </c>
      <c r="F70" t="s">
        <v>38</v>
      </c>
      <c r="I70" s="2" t="str">
        <f ca="1">IF(ISNUMBER(A70),
IF(COUNTIFS(Equipar!B:B,6,Equipar!AC:AC,A70),"Equipada",
IF(
 OR(COUNTIFS(Equipar!B:B,6,Equipar!C:C,A70)
 +COUNTIFS(Equipar!B:B,6,Equipar!D:D,A70)
+COUNTIFS(Equipar!B:B,6,Equipar!E:E,A70)
+COUNTIFS(Equipar!B:B,6,Equipar!F:F,A70)
&gt;0,COUNTIF('Set recomendado'!B:B,C70)=0),
"Bloqueada",
"Desechable")),""
)</f>
        <v>Desechable</v>
      </c>
      <c r="J70" t="str" cm="1">
        <f t="array" ref="J70">IF(ISNUMBER(A70),IFERROR(_xlfn._xlws.FILTER(Equipar!A:A,(Equipar!B:B=6)*(Equipar!AC:AC=A70)),""),"")</f>
        <v/>
      </c>
    </row>
    <row r="71" spans="1:10" x14ac:dyDescent="0.25">
      <c r="A71" s="1">
        <v>208</v>
      </c>
      <c r="B71" t="s">
        <v>54</v>
      </c>
      <c r="C71" t="s">
        <v>21</v>
      </c>
      <c r="D71" t="s">
        <v>43</v>
      </c>
      <c r="E71" t="s">
        <v>33</v>
      </c>
      <c r="F71" t="s">
        <v>37</v>
      </c>
      <c r="I71" s="2" t="str">
        <f ca="1">IF(ISNUMBER(A71),
IF(COUNTIFS(Equipar!B:B,6,Equipar!AC:AC,A71),"Equipada",
IF(
 OR(COUNTIFS(Equipar!B:B,6,Equipar!C:C,A71)
 +COUNTIFS(Equipar!B:B,6,Equipar!D:D,A71)
+COUNTIFS(Equipar!B:B,6,Equipar!E:E,A71)
+COUNTIFS(Equipar!B:B,6,Equipar!F:F,A71)
&gt;0,COUNTIF('Set recomendado'!B:B,C71)=0),
"Bloqueada",
"Desechable")),""
)</f>
        <v>Desechable</v>
      </c>
      <c r="J71" t="str" cm="1">
        <f t="array" ref="J71">IF(ISNUMBER(A71),IFERROR(_xlfn._xlws.FILTER(Equipar!A:A,(Equipar!B:B=6)*(Equipar!AC:AC=A71)),""),"")</f>
        <v/>
      </c>
    </row>
    <row r="72" spans="1:10" x14ac:dyDescent="0.25">
      <c r="A72" s="1">
        <v>209</v>
      </c>
      <c r="B72" t="s">
        <v>54</v>
      </c>
      <c r="C72" t="s">
        <v>21</v>
      </c>
      <c r="D72" t="s">
        <v>43</v>
      </c>
      <c r="E72" t="s">
        <v>32</v>
      </c>
      <c r="F72" t="s">
        <v>41</v>
      </c>
      <c r="I72" s="2" t="str">
        <f ca="1">IF(ISNUMBER(A72),
IF(COUNTIFS(Equipar!B:B,6,Equipar!AC:AC,A72),"Equipada",
IF(
 OR(COUNTIFS(Equipar!B:B,6,Equipar!C:C,A72)
 +COUNTIFS(Equipar!B:B,6,Equipar!D:D,A72)
+COUNTIFS(Equipar!B:B,6,Equipar!E:E,A72)
+COUNTIFS(Equipar!B:B,6,Equipar!F:F,A72)
&gt;0,COUNTIF('Set recomendado'!B:B,C72)=0),
"Bloqueada",
"Desechable")),""
)</f>
        <v>Desechable</v>
      </c>
      <c r="J72" t="str" cm="1">
        <f t="array" ref="J72">IF(ISNUMBER(A72),IFERROR(_xlfn._xlws.FILTER(Equipar!A:A,(Equipar!B:B=6)*(Equipar!AC:AC=A72)),""),"")</f>
        <v/>
      </c>
    </row>
    <row r="73" spans="1:10" x14ac:dyDescent="0.25">
      <c r="A73" s="1">
        <v>210</v>
      </c>
      <c r="B73" t="s">
        <v>54</v>
      </c>
      <c r="C73" t="s">
        <v>21</v>
      </c>
      <c r="D73" t="s">
        <v>32</v>
      </c>
      <c r="E73" t="s">
        <v>41</v>
      </c>
      <c r="F73" t="s">
        <v>38</v>
      </c>
      <c r="I73" s="2" t="str">
        <f ca="1">IF(ISNUMBER(A73),
IF(COUNTIFS(Equipar!B:B,6,Equipar!AC:AC,A73),"Equipada",
IF(
 OR(COUNTIFS(Equipar!B:B,6,Equipar!C:C,A73)
 +COUNTIFS(Equipar!B:B,6,Equipar!D:D,A73)
+COUNTIFS(Equipar!B:B,6,Equipar!E:E,A73)
+COUNTIFS(Equipar!B:B,6,Equipar!F:F,A73)
&gt;0,COUNTIF('Set recomendado'!B:B,C73)=0),
"Bloqueada",
"Desechable")),""
)</f>
        <v>Desechable</v>
      </c>
      <c r="J73" t="str" cm="1">
        <f t="array" ref="J73">IF(ISNUMBER(A73),IFERROR(_xlfn._xlws.FILTER(Equipar!A:A,(Equipar!B:B=6)*(Equipar!AC:AC=A73)),""),"")</f>
        <v/>
      </c>
    </row>
    <row r="74" spans="1:10" x14ac:dyDescent="0.25">
      <c r="A74" s="1">
        <v>211</v>
      </c>
      <c r="B74" t="s">
        <v>53</v>
      </c>
      <c r="C74" t="s">
        <v>29</v>
      </c>
      <c r="D74" t="s">
        <v>41</v>
      </c>
      <c r="E74" t="s">
        <v>38</v>
      </c>
      <c r="F74" t="s">
        <v>34</v>
      </c>
      <c r="G74" t="s">
        <v>42</v>
      </c>
      <c r="H74" t="s">
        <v>37</v>
      </c>
      <c r="I74" s="2" t="str">
        <f ca="1">IF(ISNUMBER(A74),
IF(COUNTIFS(Equipar!B:B,6,Equipar!AC:AC,A74),"Equipada",
IF(
 OR(COUNTIFS(Equipar!B:B,6,Equipar!C:C,A74)
 +COUNTIFS(Equipar!B:B,6,Equipar!D:D,A74)
+COUNTIFS(Equipar!B:B,6,Equipar!E:E,A74)
+COUNTIFS(Equipar!B:B,6,Equipar!F:F,A74)
&gt;0,COUNTIF('Set recomendado'!B:B,C74)=0),
"Bloqueada",
"Desechable")),""
)</f>
        <v>Desechable</v>
      </c>
      <c r="J74" t="str" cm="1">
        <f t="array" ref="J74">IF(ISNUMBER(A74),IFERROR(_xlfn._xlws.FILTER(Equipar!A:A,(Equipar!B:B=6)*(Equipar!AC:AC=A74)),""),"")</f>
        <v/>
      </c>
    </row>
    <row r="75" spans="1:10" x14ac:dyDescent="0.25">
      <c r="A75" s="1">
        <v>212</v>
      </c>
      <c r="B75" t="s">
        <v>53</v>
      </c>
      <c r="C75" t="s">
        <v>29</v>
      </c>
      <c r="D75" t="s">
        <v>35</v>
      </c>
      <c r="E75" t="s">
        <v>41</v>
      </c>
      <c r="F75" t="s">
        <v>41</v>
      </c>
      <c r="G75" t="s">
        <v>40</v>
      </c>
      <c r="H75" t="s">
        <v>42</v>
      </c>
      <c r="I75" s="2" t="str">
        <f ca="1">IF(ISNUMBER(A75),
IF(COUNTIFS(Equipar!B:B,6,Equipar!AC:AC,A75),"Equipada",
IF(
 OR(COUNTIFS(Equipar!B:B,6,Equipar!C:C,A75)
 +COUNTIFS(Equipar!B:B,6,Equipar!D:D,A75)
+COUNTIFS(Equipar!B:B,6,Equipar!E:E,A75)
+COUNTIFS(Equipar!B:B,6,Equipar!F:F,A75)
&gt;0,COUNTIF('Set recomendado'!B:B,C75)=0),
"Bloqueada",
"Desechable")),""
)</f>
        <v>Desechable</v>
      </c>
      <c r="J75" t="str" cm="1">
        <f t="array" ref="J75">IF(ISNUMBER(A75),IFERROR(_xlfn._xlws.FILTER(Equipar!A:A,(Equipar!B:B=6)*(Equipar!AC:AC=A75)),""),"")</f>
        <v/>
      </c>
    </row>
    <row r="76" spans="1:10" x14ac:dyDescent="0.25">
      <c r="A76" s="1">
        <v>213</v>
      </c>
      <c r="B76" t="s">
        <v>54</v>
      </c>
      <c r="C76" t="s">
        <v>29</v>
      </c>
      <c r="D76" t="s">
        <v>44</v>
      </c>
      <c r="E76" t="s">
        <v>41</v>
      </c>
      <c r="F76" t="s">
        <v>43</v>
      </c>
      <c r="I76" s="2" t="str">
        <f ca="1">IF(ISNUMBER(A76),
IF(COUNTIFS(Equipar!B:B,6,Equipar!AC:AC,A76),"Equipada",
IF(
 OR(COUNTIFS(Equipar!B:B,6,Equipar!C:C,A76)
 +COUNTIFS(Equipar!B:B,6,Equipar!D:D,A76)
+COUNTIFS(Equipar!B:B,6,Equipar!E:E,A76)
+COUNTIFS(Equipar!B:B,6,Equipar!F:F,A76)
&gt;0,COUNTIF('Set recomendado'!B:B,C76)=0),
"Bloqueada",
"Desechable")),""
)</f>
        <v>Desechable</v>
      </c>
      <c r="J76" t="str" cm="1">
        <f t="array" ref="J76">IF(ISNUMBER(A76),IFERROR(_xlfn._xlws.FILTER(Equipar!A:A,(Equipar!B:B=6)*(Equipar!AC:AC=A76)),""),"")</f>
        <v/>
      </c>
    </row>
    <row r="77" spans="1:10" x14ac:dyDescent="0.25">
      <c r="A77" s="1">
        <v>214</v>
      </c>
      <c r="B77" t="s">
        <v>54</v>
      </c>
      <c r="C77" t="s">
        <v>29</v>
      </c>
      <c r="D77" t="s">
        <v>43</v>
      </c>
      <c r="E77" t="s">
        <v>36</v>
      </c>
      <c r="F77" t="s">
        <v>42</v>
      </c>
      <c r="G77" t="s">
        <v>36</v>
      </c>
      <c r="I77" s="2" t="str">
        <f ca="1">IF(ISNUMBER(A77),
IF(COUNTIFS(Equipar!B:B,6,Equipar!AC:AC,A77),"Equipada",
IF(
 OR(COUNTIFS(Equipar!B:B,6,Equipar!C:C,A77)
 +COUNTIFS(Equipar!B:B,6,Equipar!D:D,A77)
+COUNTIFS(Equipar!B:B,6,Equipar!E:E,A77)
+COUNTIFS(Equipar!B:B,6,Equipar!F:F,A77)
&gt;0,COUNTIF('Set recomendado'!B:B,C77)=0),
"Bloqueada",
"Desechable")),""
)</f>
        <v>Desechable</v>
      </c>
      <c r="J77" t="str" cm="1">
        <f t="array" ref="J77">IF(ISNUMBER(A77),IFERROR(_xlfn._xlws.FILTER(Equipar!A:A,(Equipar!B:B=6)*(Equipar!AC:AC=A77)),""),"")</f>
        <v/>
      </c>
    </row>
    <row r="78" spans="1:10" x14ac:dyDescent="0.25">
      <c r="A78" s="1">
        <v>215</v>
      </c>
      <c r="B78" t="s">
        <v>54</v>
      </c>
      <c r="C78" t="s">
        <v>29</v>
      </c>
      <c r="D78" t="s">
        <v>41</v>
      </c>
      <c r="E78" t="s">
        <v>33</v>
      </c>
      <c r="F78" t="s">
        <v>37</v>
      </c>
      <c r="G78" t="s">
        <v>40</v>
      </c>
      <c r="I78" s="2" t="str">
        <f ca="1">IF(ISNUMBER(A78),
IF(COUNTIFS(Equipar!B:B,6,Equipar!AC:AC,A78),"Equipada",
IF(
 OR(COUNTIFS(Equipar!B:B,6,Equipar!C:C,A78)
 +COUNTIFS(Equipar!B:B,6,Equipar!D:D,A78)
+COUNTIFS(Equipar!B:B,6,Equipar!E:E,A78)
+COUNTIFS(Equipar!B:B,6,Equipar!F:F,A78)
&gt;0,COUNTIF('Set recomendado'!B:B,C78)=0),
"Bloqueada",
"Desechable")),""
)</f>
        <v>Desechable</v>
      </c>
      <c r="J78" t="str" cm="1">
        <f t="array" ref="J78">IF(ISNUMBER(A78),IFERROR(_xlfn._xlws.FILTER(Equipar!A:A,(Equipar!B:B=6)*(Equipar!AC:AC=A78)),""),"")</f>
        <v/>
      </c>
    </row>
    <row r="79" spans="1:10" x14ac:dyDescent="0.25">
      <c r="A79" s="1">
        <v>216</v>
      </c>
      <c r="B79" t="s">
        <v>54</v>
      </c>
      <c r="C79" t="s">
        <v>29</v>
      </c>
      <c r="D79" t="s">
        <v>32</v>
      </c>
      <c r="E79" t="s">
        <v>43</v>
      </c>
      <c r="F79" t="s">
        <v>42</v>
      </c>
      <c r="I79" s="2" t="str">
        <f ca="1">IF(ISNUMBER(A79),
IF(COUNTIFS(Equipar!B:B,6,Equipar!AC:AC,A79),"Equipada",
IF(
 OR(COUNTIFS(Equipar!B:B,6,Equipar!C:C,A79)
 +COUNTIFS(Equipar!B:B,6,Equipar!D:D,A79)
+COUNTIFS(Equipar!B:B,6,Equipar!E:E,A79)
+COUNTIFS(Equipar!B:B,6,Equipar!F:F,A79)
&gt;0,COUNTIF('Set recomendado'!B:B,C79)=0),
"Bloqueada",
"Desechable")),""
)</f>
        <v>Desechable</v>
      </c>
      <c r="J79" t="str" cm="1">
        <f t="array" ref="J79">IF(ISNUMBER(A79),IFERROR(_xlfn._xlws.FILTER(Equipar!A:A,(Equipar!B:B=6)*(Equipar!AC:AC=A79)),""),"")</f>
        <v/>
      </c>
    </row>
    <row r="80" spans="1:10" x14ac:dyDescent="0.25">
      <c r="A80" s="1">
        <v>217</v>
      </c>
      <c r="B80" t="s">
        <v>54</v>
      </c>
      <c r="C80" t="s">
        <v>29</v>
      </c>
      <c r="D80" t="s">
        <v>32</v>
      </c>
      <c r="E80" t="s">
        <v>37</v>
      </c>
      <c r="F80" t="s">
        <v>36</v>
      </c>
      <c r="I80" s="2" t="str">
        <f ca="1">IF(ISNUMBER(A80),
IF(COUNTIFS(Equipar!B:B,6,Equipar!AC:AC,A80),"Equipada",
IF(
 OR(COUNTIFS(Equipar!B:B,6,Equipar!C:C,A80)
 +COUNTIFS(Equipar!B:B,6,Equipar!D:D,A80)
+COUNTIFS(Equipar!B:B,6,Equipar!E:E,A80)
+COUNTIFS(Equipar!B:B,6,Equipar!F:F,A80)
&gt;0,COUNTIF('Set recomendado'!B:B,C80)=0),
"Bloqueada",
"Desechable")),""
)</f>
        <v>Desechable</v>
      </c>
      <c r="J80" t="str" cm="1">
        <f t="array" ref="J80">IF(ISNUMBER(A80),IFERROR(_xlfn._xlws.FILTER(Equipar!A:A,(Equipar!B:B=6)*(Equipar!AC:AC=A80)),""),"")</f>
        <v/>
      </c>
    </row>
    <row r="81" spans="1:10" x14ac:dyDescent="0.25">
      <c r="A81" s="1">
        <v>218</v>
      </c>
      <c r="B81" t="s">
        <v>54</v>
      </c>
      <c r="C81" t="s">
        <v>29</v>
      </c>
      <c r="D81" t="s">
        <v>38</v>
      </c>
      <c r="E81" t="s">
        <v>43</v>
      </c>
      <c r="F81" t="s">
        <v>44</v>
      </c>
      <c r="I81" s="2" t="str">
        <f ca="1">IF(ISNUMBER(A81),
IF(COUNTIFS(Equipar!B:B,6,Equipar!AC:AC,A81),"Equipada",
IF(
 OR(COUNTIFS(Equipar!B:B,6,Equipar!C:C,A81)
 +COUNTIFS(Equipar!B:B,6,Equipar!D:D,A81)
+COUNTIFS(Equipar!B:B,6,Equipar!E:E,A81)
+COUNTIFS(Equipar!B:B,6,Equipar!F:F,A81)
&gt;0,COUNTIF('Set recomendado'!B:B,C81)=0),
"Bloqueada",
"Desechable")),""
)</f>
        <v>Desechable</v>
      </c>
      <c r="J81" t="str" cm="1">
        <f t="array" ref="J81">IF(ISNUMBER(A81),IFERROR(_xlfn._xlws.FILTER(Equipar!A:A,(Equipar!B:B=6)*(Equipar!AC:AC=A81)),""),"")</f>
        <v/>
      </c>
    </row>
    <row r="82" spans="1:10" x14ac:dyDescent="0.25">
      <c r="A82" s="1">
        <v>219</v>
      </c>
      <c r="B82" t="s">
        <v>53</v>
      </c>
      <c r="C82" t="s">
        <v>9</v>
      </c>
      <c r="D82" t="s">
        <v>36</v>
      </c>
      <c r="E82" t="s">
        <v>36</v>
      </c>
      <c r="F82" t="s">
        <v>42</v>
      </c>
      <c r="G82" t="s">
        <v>36</v>
      </c>
      <c r="H82" t="s">
        <v>32</v>
      </c>
      <c r="I82" s="2" t="str">
        <f>IF(ISNUMBER(A82),
IF(COUNTIFS(Equipar!B:B,6,Equipar!AC:AC,A82),"Equipada",
IF(
 OR(COUNTIFS(Equipar!B:B,6,Equipar!C:C,A82)
 +COUNTIFS(Equipar!B:B,6,Equipar!D:D,A82)
+COUNTIFS(Equipar!B:B,6,Equipar!E:E,A82)
+COUNTIFS(Equipar!B:B,6,Equipar!F:F,A82)
&gt;0,COUNTIF('Set recomendado'!B:B,C82)=0),
"Bloqueada",
"Desechable")),""
)</f>
        <v>Equipada</v>
      </c>
      <c r="J82" t="str" cm="1">
        <f t="array" ref="J82">IF(ISNUMBER(A82),IFERROR(_xlfn._xlws.FILTER(Equipar!A:A,(Equipar!B:B=6)*(Equipar!AC:AC=A82)),""),"")</f>
        <v>Oikawa</v>
      </c>
    </row>
    <row r="83" spans="1:10" x14ac:dyDescent="0.25">
      <c r="A83" s="1">
        <v>220</v>
      </c>
      <c r="B83" t="s">
        <v>54</v>
      </c>
      <c r="C83" t="s">
        <v>17</v>
      </c>
      <c r="D83" t="s">
        <v>38</v>
      </c>
      <c r="E83" t="s">
        <v>38</v>
      </c>
      <c r="F83" t="s">
        <v>43</v>
      </c>
      <c r="G83" t="s">
        <v>41</v>
      </c>
      <c r="I83" s="2" t="str">
        <f ca="1">IF(ISNUMBER(A83),
IF(COUNTIFS(Equipar!B:B,6,Equipar!AC:AC,A83),"Equipada",
IF(
 OR(COUNTIFS(Equipar!B:B,6,Equipar!C:C,A83)
 +COUNTIFS(Equipar!B:B,6,Equipar!D:D,A83)
+COUNTIFS(Equipar!B:B,6,Equipar!E:E,A83)
+COUNTIFS(Equipar!B:B,6,Equipar!F:F,A83)
&gt;0,COUNTIF('Set recomendado'!B:B,C83)=0),
"Bloqueada",
"Desechable")),""
)</f>
        <v>Bloqueada</v>
      </c>
      <c r="J83" t="str" cm="1">
        <f t="array" ref="J83">IF(ISNUMBER(A83),IFERROR(_xlfn._xlws.FILTER(Equipar!A:A,(Equipar!B:B=6)*(Equipar!AC:AC=A83)),""),"")</f>
        <v/>
      </c>
    </row>
    <row r="84" spans="1:10" x14ac:dyDescent="0.25">
      <c r="A84" s="1">
        <v>221</v>
      </c>
      <c r="B84" t="s">
        <v>54</v>
      </c>
      <c r="C84" t="s">
        <v>57</v>
      </c>
      <c r="D84" t="s">
        <v>41</v>
      </c>
      <c r="E84" t="s">
        <v>41</v>
      </c>
      <c r="F84" t="s">
        <v>33</v>
      </c>
      <c r="G84" t="s">
        <v>38</v>
      </c>
      <c r="I84" s="2" t="str">
        <f ca="1">IF(ISNUMBER(A84),
IF(COUNTIFS(Equipar!B:B,6,Equipar!AC:AC,A84),"Equipada",
IF(
 OR(COUNTIFS(Equipar!B:B,6,Equipar!C:C,A84)
 +COUNTIFS(Equipar!B:B,6,Equipar!D:D,A84)
+COUNTIFS(Equipar!B:B,6,Equipar!E:E,A84)
+COUNTIFS(Equipar!B:B,6,Equipar!F:F,A84)
&gt;0,COUNTIF('Set recomendado'!B:B,C84)=0),
"Bloqueada",
"Desechable")),""
)</f>
        <v>Bloqueada</v>
      </c>
      <c r="J84" t="str" cm="1">
        <f t="array" ref="J84">IF(ISNUMBER(A84),IFERROR(_xlfn._xlws.FILTER(Equipar!A:A,(Equipar!B:B=6)*(Equipar!AC:AC=A84)),""),"")</f>
        <v/>
      </c>
    </row>
    <row r="85" spans="1:10" x14ac:dyDescent="0.25">
      <c r="A85" s="1">
        <v>222</v>
      </c>
      <c r="B85" t="s">
        <v>54</v>
      </c>
      <c r="C85" t="s">
        <v>55</v>
      </c>
      <c r="D85" t="s">
        <v>35</v>
      </c>
      <c r="E85" t="s">
        <v>32</v>
      </c>
      <c r="F85" t="s">
        <v>33</v>
      </c>
      <c r="G85" t="s">
        <v>38</v>
      </c>
      <c r="I85" s="2" t="str">
        <f ca="1">IF(ISNUMBER(A85),
IF(COUNTIFS(Equipar!B:B,6,Equipar!AC:AC,A85),"Equipada",
IF(
 OR(COUNTIFS(Equipar!B:B,6,Equipar!C:C,A85)
 +COUNTIFS(Equipar!B:B,6,Equipar!D:D,A85)
+COUNTIFS(Equipar!B:B,6,Equipar!E:E,A85)
+COUNTIFS(Equipar!B:B,6,Equipar!F:F,A85)
&gt;0,COUNTIF('Set recomendado'!B:B,C85)=0),
"Bloqueada",
"Desechable")),""
)</f>
        <v>Desechable</v>
      </c>
      <c r="J85" t="str" cm="1">
        <f t="array" ref="J85">IF(ISNUMBER(A85),IFERROR(_xlfn._xlws.FILTER(Equipar!A:A,(Equipar!B:B=6)*(Equipar!AC:AC=A85)),""),"")</f>
        <v/>
      </c>
    </row>
    <row r="86" spans="1:10" x14ac:dyDescent="0.25">
      <c r="A86" s="1">
        <v>223</v>
      </c>
      <c r="B86" t="s">
        <v>54</v>
      </c>
      <c r="C86" t="s">
        <v>29</v>
      </c>
      <c r="D86" t="s">
        <v>43</v>
      </c>
      <c r="E86" t="s">
        <v>42</v>
      </c>
      <c r="F86" t="s">
        <v>41</v>
      </c>
      <c r="I86" s="2" t="str">
        <f ca="1">IF(ISNUMBER(A86),
IF(COUNTIFS(Equipar!B:B,6,Equipar!AC:AC,A86),"Equipada",
IF(
 OR(COUNTIFS(Equipar!B:B,6,Equipar!C:C,A86)
 +COUNTIFS(Equipar!B:B,6,Equipar!D:D,A86)
+COUNTIFS(Equipar!B:B,6,Equipar!E:E,A86)
+COUNTIFS(Equipar!B:B,6,Equipar!F:F,A86)
&gt;0,COUNTIF('Set recomendado'!B:B,C86)=0),
"Bloqueada",
"Desechable")),""
)</f>
        <v>Desechable</v>
      </c>
      <c r="J86" t="str" cm="1">
        <f t="array" ref="J86">IF(ISNUMBER(A86),IFERROR(_xlfn._xlws.FILTER(Equipar!A:A,(Equipar!B:B=6)*(Equipar!AC:AC=A86)),""),"")</f>
        <v/>
      </c>
    </row>
    <row r="87" spans="1:10" x14ac:dyDescent="0.25">
      <c r="A87" s="1">
        <v>224</v>
      </c>
      <c r="B87" s="6" t="s">
        <v>53</v>
      </c>
      <c r="C87" s="6" t="s">
        <v>21</v>
      </c>
      <c r="D87" s="6" t="s">
        <v>36</v>
      </c>
      <c r="E87" s="6" t="s">
        <v>37</v>
      </c>
      <c r="F87" s="6" t="s">
        <v>32</v>
      </c>
      <c r="G87" s="6" t="s">
        <v>32</v>
      </c>
      <c r="I87" s="2" t="str">
        <f ca="1">IF(ISNUMBER(A87),
IF(COUNTIFS(Equipar!B:B,6,Equipar!AC:AC,A87),"Equipada",
IF(
 OR(COUNTIFS(Equipar!B:B,6,Equipar!C:C,A87)
 +COUNTIFS(Equipar!B:B,6,Equipar!D:D,A87)
+COUNTIFS(Equipar!B:B,6,Equipar!E:E,A87)
+COUNTIFS(Equipar!B:B,6,Equipar!F:F,A87)
&gt;0,COUNTIF('Set recomendado'!B:B,C87)=0),
"Bloqueada",
"Desechable")),""
)</f>
        <v>Desechable</v>
      </c>
      <c r="J87" t="str" cm="1">
        <f t="array" ref="J87">IF(ISNUMBER(A87),IFERROR(_xlfn._xlws.FILTER(Equipar!A:A,(Equipar!B:B=6)*(Equipar!AC:AC=A87)),""),"")</f>
        <v/>
      </c>
    </row>
    <row r="88" spans="1:10" x14ac:dyDescent="0.25">
      <c r="A88" s="1">
        <v>225</v>
      </c>
      <c r="B88" s="6" t="s">
        <v>54</v>
      </c>
      <c r="C88" s="6" t="s">
        <v>57</v>
      </c>
      <c r="D88" s="6" t="s">
        <v>42</v>
      </c>
      <c r="E88" s="6" t="s">
        <v>43</v>
      </c>
      <c r="F88" s="6" t="s">
        <v>32</v>
      </c>
      <c r="G88" s="6" t="s">
        <v>36</v>
      </c>
      <c r="I88" s="2" t="str">
        <f ca="1">IF(ISNUMBER(A88),
IF(COUNTIFS(Equipar!B:B,6,Equipar!AC:AC,A88),"Equipada",
IF(
 OR(COUNTIFS(Equipar!B:B,6,Equipar!C:C,A88)
 +COUNTIFS(Equipar!B:B,6,Equipar!D:D,A88)
+COUNTIFS(Equipar!B:B,6,Equipar!E:E,A88)
+COUNTIFS(Equipar!B:B,6,Equipar!F:F,A88)
&gt;0,COUNTIF('Set recomendado'!B:B,C88)=0),
"Bloqueada",
"Desechable")),""
)</f>
        <v>Bloqueada</v>
      </c>
      <c r="J88" t="str" cm="1">
        <f t="array" ref="J88">IF(ISNUMBER(A88),IFERROR(_xlfn._xlws.FILTER(Equipar!A:A,(Equipar!B:B=6)*(Equipar!AC:AC=A88)),""),"")</f>
        <v/>
      </c>
    </row>
    <row r="89" spans="1:10" x14ac:dyDescent="0.25">
      <c r="A89" s="1">
        <v>226</v>
      </c>
      <c r="B89" s="6" t="s">
        <v>54</v>
      </c>
      <c r="C89" s="6" t="s">
        <v>57</v>
      </c>
      <c r="D89" s="6" t="s">
        <v>43</v>
      </c>
      <c r="E89" s="6" t="s">
        <v>32</v>
      </c>
      <c r="F89" s="6" t="s">
        <v>32</v>
      </c>
      <c r="I89" s="2" t="str">
        <f ca="1">IF(ISNUMBER(A89),
IF(COUNTIFS(Equipar!B:B,6,Equipar!AC:AC,A89),"Equipada",
IF(
 OR(COUNTIFS(Equipar!B:B,6,Equipar!C:C,A89)
 +COUNTIFS(Equipar!B:B,6,Equipar!D:D,A89)
+COUNTIFS(Equipar!B:B,6,Equipar!E:E,A89)
+COUNTIFS(Equipar!B:B,6,Equipar!F:F,A89)
&gt;0,COUNTIF('Set recomendado'!B:B,C89)=0),
"Bloqueada",
"Desechable")),""
)</f>
        <v>Bloqueada</v>
      </c>
      <c r="J89" t="str" cm="1">
        <f t="array" ref="J89">IF(ISNUMBER(A89),IFERROR(_xlfn._xlws.FILTER(Equipar!A:A,(Equipar!B:B=6)*(Equipar!AC:AC=A89)),""),"")</f>
        <v/>
      </c>
    </row>
    <row r="90" spans="1:10" x14ac:dyDescent="0.25">
      <c r="A90" s="1">
        <v>227</v>
      </c>
      <c r="B90" s="6" t="s">
        <v>54</v>
      </c>
      <c r="C90" s="6" t="s">
        <v>55</v>
      </c>
      <c r="D90" s="6" t="s">
        <v>36</v>
      </c>
      <c r="E90" s="6" t="s">
        <v>38</v>
      </c>
      <c r="F90" s="6" t="s">
        <v>36</v>
      </c>
      <c r="I90" s="2" t="str">
        <f ca="1">IF(ISNUMBER(A90),
IF(COUNTIFS(Equipar!B:B,6,Equipar!AC:AC,A90),"Equipada",
IF(
 OR(COUNTIFS(Equipar!B:B,6,Equipar!C:C,A90)
 +COUNTIFS(Equipar!B:B,6,Equipar!D:D,A90)
+COUNTIFS(Equipar!B:B,6,Equipar!E:E,A90)
+COUNTIFS(Equipar!B:B,6,Equipar!F:F,A90)
&gt;0,COUNTIF('Set recomendado'!B:B,C90)=0),
"Bloqueada",
"Desechable")),""
)</f>
        <v>Desechable</v>
      </c>
      <c r="J90" t="str" cm="1">
        <f t="array" ref="J90">IF(ISNUMBER(A90),IFERROR(_xlfn._xlws.FILTER(Equipar!A:A,(Equipar!B:B=6)*(Equipar!AC:AC=A90)),""),"")</f>
        <v/>
      </c>
    </row>
    <row r="91" spans="1:10" x14ac:dyDescent="0.25">
      <c r="A91" s="1">
        <v>228</v>
      </c>
      <c r="B91" s="6" t="s">
        <v>54</v>
      </c>
      <c r="C91" s="6" t="s">
        <v>55</v>
      </c>
      <c r="D91" s="6" t="s">
        <v>36</v>
      </c>
      <c r="E91" s="6" t="s">
        <v>42</v>
      </c>
      <c r="F91" s="6" t="s">
        <v>38</v>
      </c>
      <c r="G91" s="6" t="s">
        <v>32</v>
      </c>
      <c r="I91" s="2" t="str">
        <f ca="1">IF(ISNUMBER(A91),
IF(COUNTIFS(Equipar!B:B,6,Equipar!AC:AC,A91),"Equipada",
IF(
 OR(COUNTIFS(Equipar!B:B,6,Equipar!C:C,A91)
 +COUNTIFS(Equipar!B:B,6,Equipar!D:D,A91)
+COUNTIFS(Equipar!B:B,6,Equipar!E:E,A91)
+COUNTIFS(Equipar!B:B,6,Equipar!F:F,A91)
&gt;0,COUNTIF('Set recomendado'!B:B,C91)=0),
"Bloqueada",
"Desechable")),""
)</f>
        <v>Desechable</v>
      </c>
      <c r="J91" t="str" cm="1">
        <f t="array" ref="J91">IF(ISNUMBER(A91),IFERROR(_xlfn._xlws.FILTER(Equipar!A:A,(Equipar!B:B=6)*(Equipar!AC:AC=A91)),""),"")</f>
        <v/>
      </c>
    </row>
    <row r="92" spans="1:10" x14ac:dyDescent="0.25">
      <c r="A92" s="1">
        <v>229</v>
      </c>
      <c r="B92" s="6" t="s">
        <v>54</v>
      </c>
      <c r="C92" s="6" t="s">
        <v>55</v>
      </c>
      <c r="D92" s="6" t="s">
        <v>41</v>
      </c>
      <c r="E92" s="6" t="s">
        <v>36</v>
      </c>
      <c r="F92" s="6" t="s">
        <v>41</v>
      </c>
      <c r="G92" s="6" t="s">
        <v>40</v>
      </c>
      <c r="I92" s="2" t="str">
        <f ca="1">IF(ISNUMBER(A92),
IF(COUNTIFS(Equipar!B:B,6,Equipar!AC:AC,A92),"Equipada",
IF(
 OR(COUNTIFS(Equipar!B:B,6,Equipar!C:C,A92)
 +COUNTIFS(Equipar!B:B,6,Equipar!D:D,A92)
+COUNTIFS(Equipar!B:B,6,Equipar!E:E,A92)
+COUNTIFS(Equipar!B:B,6,Equipar!F:F,A92)
&gt;0,COUNTIF('Set recomendado'!B:B,C92)=0),
"Bloqueada",
"Desechable")),""
)</f>
        <v>Desechable</v>
      </c>
      <c r="J92" t="str" cm="1">
        <f t="array" ref="J92">IF(ISNUMBER(A92),IFERROR(_xlfn._xlws.FILTER(Equipar!A:A,(Equipar!B:B=6)*(Equipar!AC:AC=A92)),""),"")</f>
        <v/>
      </c>
    </row>
    <row r="93" spans="1:10" x14ac:dyDescent="0.25">
      <c r="A93" s="1">
        <v>230</v>
      </c>
      <c r="B93" s="6" t="s">
        <v>54</v>
      </c>
      <c r="C93" s="6" t="s">
        <v>55</v>
      </c>
      <c r="D93" s="6" t="s">
        <v>43</v>
      </c>
      <c r="E93" s="6" t="s">
        <v>43</v>
      </c>
      <c r="F93" s="6" t="s">
        <v>41</v>
      </c>
      <c r="G93" s="6" t="s">
        <v>36</v>
      </c>
      <c r="I93" s="2" t="str">
        <f ca="1">IF(ISNUMBER(A93),
IF(COUNTIFS(Equipar!B:B,6,Equipar!AC:AC,A93),"Equipada",
IF(
 OR(COUNTIFS(Equipar!B:B,6,Equipar!C:C,A93)
 +COUNTIFS(Equipar!B:B,6,Equipar!D:D,A93)
+COUNTIFS(Equipar!B:B,6,Equipar!E:E,A93)
+COUNTIFS(Equipar!B:B,6,Equipar!F:F,A93)
&gt;0,COUNTIF('Set recomendado'!B:B,C93)=0),
"Bloqueada",
"Desechable")),""
)</f>
        <v>Desechable</v>
      </c>
      <c r="J93" t="str" cm="1">
        <f t="array" ref="J93">IF(ISNUMBER(A93),IFERROR(_xlfn._xlws.FILTER(Equipar!A:A,(Equipar!B:B=6)*(Equipar!AC:AC=A93)),""),"")</f>
        <v/>
      </c>
    </row>
    <row r="94" spans="1:10" x14ac:dyDescent="0.25">
      <c r="A94" s="1">
        <v>231</v>
      </c>
      <c r="B94" s="6" t="s">
        <v>54</v>
      </c>
      <c r="C94" s="6" t="s">
        <v>21</v>
      </c>
      <c r="D94" s="6" t="s">
        <v>42</v>
      </c>
      <c r="E94" s="6" t="s">
        <v>38</v>
      </c>
      <c r="F94" s="6" t="s">
        <v>43</v>
      </c>
      <c r="G94" s="4"/>
      <c r="H94" s="4"/>
      <c r="I94" s="2" t="str">
        <f ca="1">IF(ISNUMBER(A94),
IF(COUNTIFS(Equipar!B:B,6,Equipar!AC:AC,A94),"Equipada",
IF(
 OR(COUNTIFS(Equipar!B:B,6,Equipar!C:C,A94)
 +COUNTIFS(Equipar!B:B,6,Equipar!D:D,A94)
+COUNTIFS(Equipar!B:B,6,Equipar!E:E,A94)
+COUNTIFS(Equipar!B:B,6,Equipar!F:F,A94)
&gt;0,COUNTIF('Set recomendado'!B:B,C94)=0),
"Bloqueada",
"Desechable")),""
)</f>
        <v>Desechable</v>
      </c>
      <c r="J94" t="str" cm="1">
        <f t="array" ref="J94">IF(ISNUMBER(A94),IFERROR(_xlfn._xlws.FILTER(Equipar!A:A,(Equipar!B:B=6)*(Equipar!AC:AC=A94)),""),"")</f>
        <v/>
      </c>
    </row>
    <row r="95" spans="1:10" x14ac:dyDescent="0.25">
      <c r="A95" s="1">
        <v>233</v>
      </c>
      <c r="B95" t="s">
        <v>53</v>
      </c>
      <c r="C95" t="s">
        <v>10</v>
      </c>
      <c r="D95" t="s">
        <v>38</v>
      </c>
      <c r="E95" t="s">
        <v>44</v>
      </c>
      <c r="F95" t="s">
        <v>41</v>
      </c>
      <c r="G95" t="s">
        <v>36</v>
      </c>
      <c r="H95" t="s">
        <v>39</v>
      </c>
      <c r="I95" s="2" t="str">
        <f ca="1">IF(ISNUMBER(A95),
IF(COUNTIFS(Equipar!B:B,6,Equipar!AC:AC,A95),"Equipada",
IF(
 OR(COUNTIFS(Equipar!B:B,6,Equipar!C:C,A95)
 +COUNTIFS(Equipar!B:B,6,Equipar!D:D,A95)
+COUNTIFS(Equipar!B:B,6,Equipar!E:E,A95)
+COUNTIFS(Equipar!B:B,6,Equipar!F:F,A95)
&gt;0,COUNTIF('Set recomendado'!B:B,C95)=0),
"Bloqueada",
"Desechable")),""
)</f>
        <v>Desechable</v>
      </c>
      <c r="J95" t="str" cm="1">
        <f t="array" ref="J95">IF(ISNUMBER(A95),IFERROR(_xlfn._xlws.FILTER(Equipar!A:A,(Equipar!B:B=6)*(Equipar!AC:AC=A95)),""),"")</f>
        <v/>
      </c>
    </row>
    <row r="96" spans="1:10" x14ac:dyDescent="0.25">
      <c r="A96" s="1">
        <v>234</v>
      </c>
      <c r="B96" t="s">
        <v>53</v>
      </c>
      <c r="C96" t="s">
        <v>14</v>
      </c>
      <c r="D96" t="s">
        <v>35</v>
      </c>
      <c r="E96" t="s">
        <v>32</v>
      </c>
      <c r="F96" t="s">
        <v>42</v>
      </c>
      <c r="G96" t="s">
        <v>34</v>
      </c>
      <c r="I96" s="2" t="str">
        <f>IF(ISNUMBER(A96),
IF(COUNTIFS(Equipar!B:B,6,Equipar!AC:AC,A96),"Equipada",
IF(
 OR(COUNTIFS(Equipar!B:B,6,Equipar!C:C,A96)
 +COUNTIFS(Equipar!B:B,6,Equipar!D:D,A96)
+COUNTIFS(Equipar!B:B,6,Equipar!E:E,A96)
+COUNTIFS(Equipar!B:B,6,Equipar!F:F,A96)
&gt;0,COUNTIF('Set recomendado'!B:B,C96)=0),
"Bloqueada",
"Desechable")),""
)</f>
        <v>Equipada</v>
      </c>
      <c r="J96" t="str" cm="1">
        <f t="array" ref="J96">IF(ISNUMBER(A96),IFERROR(_xlfn._xlws.FILTER(Equipar!A:A,(Equipar!B:B=6)*(Equipar!AC:AC=A96)),""),"")</f>
        <v>Hinata</v>
      </c>
    </row>
    <row r="97" spans="1:10" x14ac:dyDescent="0.25">
      <c r="A97" s="1">
        <v>235</v>
      </c>
      <c r="B97" t="s">
        <v>53</v>
      </c>
      <c r="C97" t="s">
        <v>17</v>
      </c>
      <c r="D97" t="s">
        <v>36</v>
      </c>
      <c r="E97" t="s">
        <v>43</v>
      </c>
      <c r="F97" t="s">
        <v>38</v>
      </c>
      <c r="G97" t="s">
        <v>38</v>
      </c>
      <c r="I97" s="2" t="str">
        <f>IF(ISNUMBER(A97),
IF(COUNTIFS(Equipar!B:B,6,Equipar!AC:AC,A97),"Equipada",
IF(
 OR(COUNTIFS(Equipar!B:B,6,Equipar!C:C,A97)
 +COUNTIFS(Equipar!B:B,6,Equipar!D:D,A97)
+COUNTIFS(Equipar!B:B,6,Equipar!E:E,A97)
+COUNTIFS(Equipar!B:B,6,Equipar!F:F,A97)
&gt;0,COUNTIF('Set recomendado'!B:B,C97)=0),
"Bloqueada",
"Desechable")),""
)</f>
        <v>Equipada</v>
      </c>
      <c r="J97" t="str" cm="1">
        <f t="array" ref="J97">IF(ISNUMBER(A97),IFERROR(_xlfn._xlws.FILTER(Equipar!A:A,(Equipar!B:B=6)*(Equipar!AC:AC=A97)),""),"")</f>
        <v>Akagi</v>
      </c>
    </row>
    <row r="98" spans="1:10" x14ac:dyDescent="0.25">
      <c r="A98" s="1">
        <v>236</v>
      </c>
      <c r="B98" s="6" t="s">
        <v>53</v>
      </c>
      <c r="C98" s="6" t="s">
        <v>57</v>
      </c>
      <c r="D98" s="6" t="s">
        <v>36</v>
      </c>
      <c r="E98" s="6" t="s">
        <v>38</v>
      </c>
      <c r="F98" s="6" t="s">
        <v>32</v>
      </c>
      <c r="G98" s="6" t="s">
        <v>43</v>
      </c>
      <c r="I98" s="2" t="str">
        <f ca="1">IF(ISNUMBER(A98),
IF(COUNTIFS(Equipar!B:B,6,Equipar!AC:AC,A98),"Equipada",
IF(
 OR(COUNTIFS(Equipar!B:B,6,Equipar!C:C,A98)
 +COUNTIFS(Equipar!B:B,6,Equipar!D:D,A98)
+COUNTIFS(Equipar!B:B,6,Equipar!E:E,A98)
+COUNTIFS(Equipar!B:B,6,Equipar!F:F,A98)
&gt;0,COUNTIF('Set recomendado'!B:B,C98)=0),
"Bloqueada",
"Desechable")),""
)</f>
        <v>Bloqueada</v>
      </c>
      <c r="J98" t="str" cm="1">
        <f t="array" ref="J98">IF(ISNUMBER(A98),IFERROR(_xlfn._xlws.FILTER(Equipar!A:A,(Equipar!B:B=6)*(Equipar!AC:AC=A98)),""),"")</f>
        <v/>
      </c>
    </row>
    <row r="99" spans="1:10" x14ac:dyDescent="0.25">
      <c r="A99" s="1">
        <v>237</v>
      </c>
      <c r="B99" s="6" t="s">
        <v>54</v>
      </c>
      <c r="C99" s="6" t="s">
        <v>57</v>
      </c>
      <c r="D99" s="6" t="s">
        <v>43</v>
      </c>
      <c r="E99" s="6" t="s">
        <v>32</v>
      </c>
      <c r="F99" s="6" t="s">
        <v>37</v>
      </c>
      <c r="G99" s="6" t="s">
        <v>39</v>
      </c>
      <c r="I99" s="2" t="str">
        <f ca="1">IF(ISNUMBER(A99),
IF(COUNTIFS(Equipar!B:B,6,Equipar!AC:AC,A99),"Equipada",
IF(
 OR(COUNTIFS(Equipar!B:B,6,Equipar!C:C,A99)
 +COUNTIFS(Equipar!B:B,6,Equipar!D:D,A99)
+COUNTIFS(Equipar!B:B,6,Equipar!E:E,A99)
+COUNTIFS(Equipar!B:B,6,Equipar!F:F,A99)
&gt;0,COUNTIF('Set recomendado'!B:B,C99)=0),
"Bloqueada",
"Desechable")),""
)</f>
        <v>Bloqueada</v>
      </c>
      <c r="J99" t="str" cm="1">
        <f t="array" ref="J99">IF(ISNUMBER(A99),IFERROR(_xlfn._xlws.FILTER(Equipar!A:A,(Equipar!B:B=6)*(Equipar!AC:AC=A99)),""),"")</f>
        <v/>
      </c>
    </row>
    <row r="100" spans="1:10" x14ac:dyDescent="0.25">
      <c r="A100" s="1">
        <v>238</v>
      </c>
      <c r="B100" s="6" t="s">
        <v>54</v>
      </c>
      <c r="C100" s="6" t="s">
        <v>57</v>
      </c>
      <c r="D100" s="6" t="s">
        <v>38</v>
      </c>
      <c r="E100" s="6" t="s">
        <v>38</v>
      </c>
      <c r="F100" s="6" t="s">
        <v>36</v>
      </c>
      <c r="I100" s="2" t="str">
        <f ca="1">IF(ISNUMBER(A100),
IF(COUNTIFS(Equipar!B:B,6,Equipar!AC:AC,A100),"Equipada",
IF(
 OR(COUNTIFS(Equipar!B:B,6,Equipar!C:C,A100)
 +COUNTIFS(Equipar!B:B,6,Equipar!D:D,A100)
+COUNTIFS(Equipar!B:B,6,Equipar!E:E,A100)
+COUNTIFS(Equipar!B:B,6,Equipar!F:F,A100)
&gt;0,COUNTIF('Set recomendado'!B:B,C100)=0),
"Bloqueada",
"Desechable")),""
)</f>
        <v>Bloqueada</v>
      </c>
      <c r="J100" t="str" cm="1">
        <f t="array" ref="J100">IF(ISNUMBER(A100),IFERROR(_xlfn._xlws.FILTER(Equipar!A:A,(Equipar!B:B=6)*(Equipar!AC:AC=A100)),""),"")</f>
        <v/>
      </c>
    </row>
    <row r="101" spans="1:10" x14ac:dyDescent="0.25">
      <c r="A101" s="1">
        <v>239</v>
      </c>
      <c r="B101" s="6" t="s">
        <v>54</v>
      </c>
      <c r="C101" s="6" t="s">
        <v>55</v>
      </c>
      <c r="D101" s="6" t="s">
        <v>32</v>
      </c>
      <c r="E101" s="6" t="s">
        <v>37</v>
      </c>
      <c r="F101" s="6" t="s">
        <v>32</v>
      </c>
      <c r="I101" s="2" t="str">
        <f ca="1">IF(ISNUMBER(A101),
IF(COUNTIFS(Equipar!B:B,6,Equipar!AC:AC,A101),"Equipada",
IF(
 OR(COUNTIFS(Equipar!B:B,6,Equipar!C:C,A101)
 +COUNTIFS(Equipar!B:B,6,Equipar!D:D,A101)
+COUNTIFS(Equipar!B:B,6,Equipar!E:E,A101)
+COUNTIFS(Equipar!B:B,6,Equipar!F:F,A101)
&gt;0,COUNTIF('Set recomendado'!B:B,C101)=0),
"Bloqueada",
"Desechable")),""
)</f>
        <v>Desechable</v>
      </c>
      <c r="J101" t="str" cm="1">
        <f t="array" ref="J101">IF(ISNUMBER(A101),IFERROR(_xlfn._xlws.FILTER(Equipar!A:A,(Equipar!B:B=6)*(Equipar!AC:AC=A101)),""),"")</f>
        <v/>
      </c>
    </row>
    <row r="102" spans="1:10" x14ac:dyDescent="0.25">
      <c r="A102" s="1">
        <v>240</v>
      </c>
      <c r="B102" t="s">
        <v>54</v>
      </c>
      <c r="C102" t="s">
        <v>21</v>
      </c>
      <c r="D102" t="s">
        <v>38</v>
      </c>
      <c r="E102" s="6" t="s">
        <v>37</v>
      </c>
      <c r="F102" s="6" t="s">
        <v>37</v>
      </c>
      <c r="I102" s="2" t="str">
        <f ca="1">IF(ISNUMBER(A102),
IF(COUNTIFS(Equipar!B:B,6,Equipar!AC:AC,A102),"Equipada",
IF(
 OR(COUNTIFS(Equipar!B:B,6,Equipar!C:C,A102)
 +COUNTIFS(Equipar!B:B,6,Equipar!D:D,A102)
+COUNTIFS(Equipar!B:B,6,Equipar!E:E,A102)
+COUNTIFS(Equipar!B:B,6,Equipar!F:F,A102)
&gt;0,COUNTIF('Set recomendado'!B:B,C102)=0),
"Bloqueada",
"Desechable")),""
)</f>
        <v>Desechable</v>
      </c>
      <c r="J102" t="str" cm="1">
        <f t="array" ref="J102">IF(ISNUMBER(A102),IFERROR(_xlfn._xlws.FILTER(Equipar!A:A,(Equipar!B:B=6)*(Equipar!AC:AC=A102)),""),"")</f>
        <v/>
      </c>
    </row>
    <row r="103" spans="1:10" x14ac:dyDescent="0.25">
      <c r="A103" s="1">
        <v>241</v>
      </c>
      <c r="B103" t="s">
        <v>54</v>
      </c>
      <c r="C103" t="s">
        <v>21</v>
      </c>
      <c r="D103" t="s">
        <v>36</v>
      </c>
      <c r="E103" s="6" t="s">
        <v>35</v>
      </c>
      <c r="F103" s="6" t="s">
        <v>32</v>
      </c>
      <c r="I103" s="2" t="str">
        <f ca="1">IF(ISNUMBER(A103),
IF(COUNTIFS(Equipar!B:B,6,Equipar!AC:AC,A103),"Equipada",
IF(
 OR(COUNTIFS(Equipar!B:B,6,Equipar!C:C,A103)
 +COUNTIFS(Equipar!B:B,6,Equipar!D:D,A103)
+COUNTIFS(Equipar!B:B,6,Equipar!E:E,A103)
+COUNTIFS(Equipar!B:B,6,Equipar!F:F,A103)
&gt;0,COUNTIF('Set recomendado'!B:B,C103)=0),
"Bloqueada",
"Desechable")),""
)</f>
        <v>Desechable</v>
      </c>
      <c r="J103" t="str" cm="1">
        <f t="array" ref="J103">IF(ISNUMBER(A103),IFERROR(_xlfn._xlws.FILTER(Equipar!A:A,(Equipar!B:B=6)*(Equipar!AC:AC=A103)),""),"")</f>
        <v/>
      </c>
    </row>
    <row r="104" spans="1:10" x14ac:dyDescent="0.25">
      <c r="A104" s="1">
        <v>242</v>
      </c>
      <c r="B104" t="s">
        <v>54</v>
      </c>
      <c r="C104" t="s">
        <v>21</v>
      </c>
      <c r="D104" t="s">
        <v>41</v>
      </c>
      <c r="E104" s="6" t="s">
        <v>37</v>
      </c>
      <c r="F104" s="6" t="s">
        <v>42</v>
      </c>
      <c r="I104" s="2" t="str">
        <f ca="1">IF(ISNUMBER(A104),
IF(COUNTIFS(Equipar!B:B,6,Equipar!AC:AC,A104),"Equipada",
IF(
 OR(COUNTIFS(Equipar!B:B,6,Equipar!C:C,A104)
 +COUNTIFS(Equipar!B:B,6,Equipar!D:D,A104)
+COUNTIFS(Equipar!B:B,6,Equipar!E:E,A104)
+COUNTIFS(Equipar!B:B,6,Equipar!F:F,A104)
&gt;0,COUNTIF('Set recomendado'!B:B,C104)=0),
"Bloqueada",
"Desechable")),""
)</f>
        <v>Desechable</v>
      </c>
      <c r="J104" t="str" cm="1">
        <f t="array" ref="J104">IF(ISNUMBER(A104),IFERROR(_xlfn._xlws.FILTER(Equipar!A:A,(Equipar!B:B=6)*(Equipar!AC:AC=A104)),""),"")</f>
        <v/>
      </c>
    </row>
    <row r="105" spans="1:10" x14ac:dyDescent="0.25">
      <c r="A105" s="1">
        <v>243</v>
      </c>
      <c r="B105" t="s">
        <v>54</v>
      </c>
      <c r="C105" t="s">
        <v>21</v>
      </c>
      <c r="D105" t="s">
        <v>37</v>
      </c>
      <c r="E105" s="6" t="s">
        <v>43</v>
      </c>
      <c r="F105" s="6" t="s">
        <v>32</v>
      </c>
      <c r="G105" s="6" t="s">
        <v>41</v>
      </c>
      <c r="I105" s="2" t="str">
        <f ca="1">IF(ISNUMBER(A105),
IF(COUNTIFS(Equipar!B:B,6,Equipar!AC:AC,A105),"Equipada",
IF(
 OR(COUNTIFS(Equipar!B:B,6,Equipar!C:C,A105)
 +COUNTIFS(Equipar!B:B,6,Equipar!D:D,A105)
+COUNTIFS(Equipar!B:B,6,Equipar!E:E,A105)
+COUNTIFS(Equipar!B:B,6,Equipar!F:F,A105)
&gt;0,COUNTIF('Set recomendado'!B:B,C105)=0),
"Bloqueada",
"Desechable")),""
)</f>
        <v>Desechable</v>
      </c>
      <c r="J105" t="str" cm="1">
        <f t="array" ref="J105">IF(ISNUMBER(A105),IFERROR(_xlfn._xlws.FILTER(Equipar!A:A,(Equipar!B:B=6)*(Equipar!AC:AC=A105)),""),"")</f>
        <v/>
      </c>
    </row>
    <row r="106" spans="1:10" x14ac:dyDescent="0.25">
      <c r="A106" s="1">
        <v>244</v>
      </c>
      <c r="B106" t="s">
        <v>54</v>
      </c>
      <c r="C106" t="s">
        <v>21</v>
      </c>
      <c r="D106" t="s">
        <v>38</v>
      </c>
      <c r="E106" s="6" t="s">
        <v>37</v>
      </c>
      <c r="F106" s="6" t="s">
        <v>43</v>
      </c>
      <c r="G106" s="6" t="s">
        <v>42</v>
      </c>
      <c r="I106" s="2" t="str">
        <f ca="1">IF(ISNUMBER(A106),
IF(COUNTIFS(Equipar!B:B,6,Equipar!AC:AC,A106),"Equipada",
IF(
 OR(COUNTIFS(Equipar!B:B,6,Equipar!C:C,A106)
 +COUNTIFS(Equipar!B:B,6,Equipar!D:D,A106)
+COUNTIFS(Equipar!B:B,6,Equipar!E:E,A106)
+COUNTIFS(Equipar!B:B,6,Equipar!F:F,A106)
&gt;0,COUNTIF('Set recomendado'!B:B,C106)=0),
"Bloqueada",
"Desechable")),""
)</f>
        <v>Desechable</v>
      </c>
      <c r="J106" t="str" cm="1">
        <f t="array" ref="J106">IF(ISNUMBER(A106),IFERROR(_xlfn._xlws.FILTER(Equipar!A:A,(Equipar!B:B=6)*(Equipar!AC:AC=A106)),""),"")</f>
        <v/>
      </c>
    </row>
    <row r="107" spans="1:10" x14ac:dyDescent="0.25">
      <c r="A107" s="1">
        <v>245</v>
      </c>
      <c r="B107" t="s">
        <v>54</v>
      </c>
      <c r="C107" t="s">
        <v>29</v>
      </c>
      <c r="D107" t="s">
        <v>32</v>
      </c>
      <c r="E107" t="s">
        <v>39</v>
      </c>
      <c r="F107" t="s">
        <v>37</v>
      </c>
      <c r="I107" s="2" t="str">
        <f ca="1">IF(ISNUMBER(A107),
IF(COUNTIFS(Equipar!B:B,6,Equipar!AC:AC,A107),"Equipada",
IF(
 OR(COUNTIFS(Equipar!B:B,6,Equipar!C:C,A107)
 +COUNTIFS(Equipar!B:B,6,Equipar!D:D,A107)
+COUNTIFS(Equipar!B:B,6,Equipar!E:E,A107)
+COUNTIFS(Equipar!B:B,6,Equipar!F:F,A107)
&gt;0,COUNTIF('Set recomendado'!B:B,C107)=0),
"Bloqueada",
"Desechable")),""
)</f>
        <v>Desechable</v>
      </c>
      <c r="J107" t="str" cm="1">
        <f t="array" ref="J107">IF(ISNUMBER(A107),IFERROR(_xlfn._xlws.FILTER(Equipar!A:A,(Equipar!B:B=6)*(Equipar!AC:AC=A107)),""),"")</f>
        <v/>
      </c>
    </row>
    <row r="108" spans="1:10" x14ac:dyDescent="0.25">
      <c r="A108" s="1">
        <v>246</v>
      </c>
      <c r="B108" t="s">
        <v>54</v>
      </c>
      <c r="C108" t="s">
        <v>29</v>
      </c>
      <c r="D108" t="s">
        <v>37</v>
      </c>
      <c r="E108" t="s">
        <v>42</v>
      </c>
      <c r="F108" t="s">
        <v>41</v>
      </c>
      <c r="I108" s="2" t="str">
        <f ca="1">IF(ISNUMBER(A108),
IF(COUNTIFS(Equipar!B:B,6,Equipar!AC:AC,A108),"Equipada",
IF(
 OR(COUNTIFS(Equipar!B:B,6,Equipar!C:C,A108)
 +COUNTIFS(Equipar!B:B,6,Equipar!D:D,A108)
+COUNTIFS(Equipar!B:B,6,Equipar!E:E,A108)
+COUNTIFS(Equipar!B:B,6,Equipar!F:F,A108)
&gt;0,COUNTIF('Set recomendado'!B:B,C108)=0),
"Bloqueada",
"Desechable")),""
)</f>
        <v>Desechable</v>
      </c>
      <c r="J108" t="str" cm="1">
        <f t="array" ref="J108">IF(ISNUMBER(A108),IFERROR(_xlfn._xlws.FILTER(Equipar!A:A,(Equipar!B:B=6)*(Equipar!AC:AC=A108)),""),"")</f>
        <v/>
      </c>
    </row>
    <row r="109" spans="1:10" x14ac:dyDescent="0.25">
      <c r="A109" s="1">
        <v>247</v>
      </c>
      <c r="B109" s="4" t="s">
        <v>54</v>
      </c>
      <c r="C109" s="4" t="s">
        <v>29</v>
      </c>
      <c r="D109" s="4" t="s">
        <v>36</v>
      </c>
      <c r="E109" s="4" t="s">
        <v>36</v>
      </c>
      <c r="F109" s="4" t="s">
        <v>41</v>
      </c>
      <c r="G109" s="4"/>
      <c r="H109" s="4"/>
      <c r="I109" s="2" t="str">
        <f ca="1">IF(ISNUMBER(A109),
IF(COUNTIFS(Equipar!B:B,6,Equipar!AC:AC,A109),"Equipada",
IF(
 OR(COUNTIFS(Equipar!B:B,6,Equipar!C:C,A109)
 +COUNTIFS(Equipar!B:B,6,Equipar!D:D,A109)
+COUNTIFS(Equipar!B:B,6,Equipar!E:E,A109)
+COUNTIFS(Equipar!B:B,6,Equipar!F:F,A109)
&gt;0,COUNTIF('Set recomendado'!B:B,C109)=0),
"Bloqueada",
"Desechable")),""
)</f>
        <v>Desechable</v>
      </c>
      <c r="J109" t="str" cm="1">
        <f t="array" ref="J109">IF(ISNUMBER(A109),IFERROR(_xlfn._xlws.FILTER(Equipar!A:A,(Equipar!B:B=6)*(Equipar!AC:AC=A109)),""),"")</f>
        <v/>
      </c>
    </row>
    <row r="110" spans="1:10" x14ac:dyDescent="0.25">
      <c r="A110" s="1">
        <v>248</v>
      </c>
      <c r="B110" s="6" t="s">
        <v>53</v>
      </c>
      <c r="C110" s="6" t="s">
        <v>4</v>
      </c>
      <c r="D110" s="6" t="s">
        <v>36</v>
      </c>
      <c r="E110" s="6" t="s">
        <v>32</v>
      </c>
      <c r="F110" s="6" t="s">
        <v>41</v>
      </c>
      <c r="G110" s="6" t="s">
        <v>40</v>
      </c>
      <c r="I110" s="2" t="str">
        <f ca="1">IF(ISNUMBER(A110),
IF(COUNTIFS(Equipar!B:B,6,Equipar!AC:AC,A110),"Equipada",
IF(
 OR(COUNTIFS(Equipar!B:B,6,Equipar!C:C,A110)
 +COUNTIFS(Equipar!B:B,6,Equipar!D:D,A110)
+COUNTIFS(Equipar!B:B,6,Equipar!E:E,A110)
+COUNTIFS(Equipar!B:B,6,Equipar!F:F,A110)
&gt;0,COUNTIF('Set recomendado'!B:B,C110)=0),
"Bloqueada",
"Desechable")),""
)</f>
        <v>Desechable</v>
      </c>
      <c r="J110" t="str" cm="1">
        <f t="array" ref="J110">IF(ISNUMBER(A110),IFERROR(_xlfn._xlws.FILTER(Equipar!A:A,(Equipar!B:B=6)*(Equipar!AC:AC=A110)),""),"")</f>
        <v/>
      </c>
    </row>
    <row r="111" spans="1:10" x14ac:dyDescent="0.25">
      <c r="A111" s="1">
        <v>249</v>
      </c>
      <c r="B111" s="6" t="s">
        <v>53</v>
      </c>
      <c r="C111" s="6" t="s">
        <v>4</v>
      </c>
      <c r="D111" s="6" t="s">
        <v>38</v>
      </c>
      <c r="E111" s="6" t="s">
        <v>42</v>
      </c>
      <c r="F111" s="6" t="s">
        <v>43</v>
      </c>
      <c r="G111" s="6" t="s">
        <v>32</v>
      </c>
      <c r="I111" s="2" t="str">
        <f ca="1">IF(ISNUMBER(A111),
IF(COUNTIFS(Equipar!B:B,6,Equipar!AC:AC,A111),"Equipada",
IF(
 OR(COUNTIFS(Equipar!B:B,6,Equipar!C:C,A111)
 +COUNTIFS(Equipar!B:B,6,Equipar!D:D,A111)
+COUNTIFS(Equipar!B:B,6,Equipar!E:E,A111)
+COUNTIFS(Equipar!B:B,6,Equipar!F:F,A111)
&gt;0,COUNTIF('Set recomendado'!B:B,C111)=0),
"Bloqueada",
"Desechable")),""
)</f>
        <v>Desechable</v>
      </c>
      <c r="J111" t="str" cm="1">
        <f t="array" ref="J111">IF(ISNUMBER(A111),IFERROR(_xlfn._xlws.FILTER(Equipar!A:A,(Equipar!B:B=6)*(Equipar!AC:AC=A111)),""),"")</f>
        <v/>
      </c>
    </row>
    <row r="112" spans="1:10" x14ac:dyDescent="0.25">
      <c r="A112" s="1">
        <v>250</v>
      </c>
      <c r="B112" s="6" t="s">
        <v>53</v>
      </c>
      <c r="C112" s="6" t="s">
        <v>13</v>
      </c>
      <c r="D112" s="6" t="s">
        <v>44</v>
      </c>
      <c r="E112" s="6" t="s">
        <v>42</v>
      </c>
      <c r="F112" s="6" t="s">
        <v>43</v>
      </c>
      <c r="G112" s="6" t="s">
        <v>41</v>
      </c>
      <c r="H112" s="6" t="s">
        <v>37</v>
      </c>
      <c r="I112" s="2" t="str">
        <f ca="1">IF(ISNUMBER(A112),
IF(COUNTIFS(Equipar!B:B,6,Equipar!AC:AC,A112),"Equipada",
IF(
 OR(COUNTIFS(Equipar!B:B,6,Equipar!C:C,A112)
 +COUNTIFS(Equipar!B:B,6,Equipar!D:D,A112)
+COUNTIFS(Equipar!B:B,6,Equipar!E:E,A112)
+COUNTIFS(Equipar!B:B,6,Equipar!F:F,A112)
&gt;0,COUNTIF('Set recomendado'!B:B,C112)=0),
"Bloqueada",
"Desechable")),""
)</f>
        <v>Bloqueada</v>
      </c>
      <c r="J112" t="str" cm="1">
        <f t="array" ref="J112">IF(ISNUMBER(A112),IFERROR(_xlfn._xlws.FILTER(Equipar!A:A,(Equipar!B:B=6)*(Equipar!AC:AC=A112)),""),"")</f>
        <v/>
      </c>
    </row>
    <row r="113" spans="1:10" x14ac:dyDescent="0.25">
      <c r="A113" s="1">
        <v>251</v>
      </c>
      <c r="B113" s="6" t="s">
        <v>53</v>
      </c>
      <c r="C113" s="6" t="s">
        <v>13</v>
      </c>
      <c r="D113" s="6" t="s">
        <v>37</v>
      </c>
      <c r="E113" s="6" t="s">
        <v>36</v>
      </c>
      <c r="F113" s="6" t="s">
        <v>32</v>
      </c>
      <c r="G113" s="6" t="s">
        <v>43</v>
      </c>
      <c r="H113" s="6" t="s">
        <v>42</v>
      </c>
      <c r="I113" s="2" t="str">
        <f ca="1">IF(ISNUMBER(A113),
IF(COUNTIFS(Equipar!B:B,6,Equipar!AC:AC,A113),"Equipada",
IF(
 OR(COUNTIFS(Equipar!B:B,6,Equipar!C:C,A113)
 +COUNTIFS(Equipar!B:B,6,Equipar!D:D,A113)
+COUNTIFS(Equipar!B:B,6,Equipar!E:E,A113)
+COUNTIFS(Equipar!B:B,6,Equipar!F:F,A113)
&gt;0,COUNTIF('Set recomendado'!B:B,C113)=0),
"Bloqueada",
"Desechable")),""
)</f>
        <v>Desechable</v>
      </c>
      <c r="J113" t="str" cm="1">
        <f t="array" ref="J113">IF(ISNUMBER(A113),IFERROR(_xlfn._xlws.FILTER(Equipar!A:A,(Equipar!B:B=6)*(Equipar!AC:AC=A113)),""),"")</f>
        <v/>
      </c>
    </row>
    <row r="114" spans="1:10" x14ac:dyDescent="0.25">
      <c r="A114" s="1">
        <v>252</v>
      </c>
      <c r="B114" s="6" t="s">
        <v>53</v>
      </c>
      <c r="C114" s="6" t="s">
        <v>22</v>
      </c>
      <c r="D114" s="6" t="s">
        <v>36</v>
      </c>
      <c r="E114" s="6" t="s">
        <v>38</v>
      </c>
      <c r="F114" s="6" t="s">
        <v>43</v>
      </c>
      <c r="G114" s="6" t="s">
        <v>37</v>
      </c>
      <c r="H114" s="6" t="s">
        <v>34</v>
      </c>
      <c r="I114" s="2" t="str">
        <f ca="1">IF(ISNUMBER(A114),
IF(COUNTIFS(Equipar!B:B,6,Equipar!AC:AC,A114),"Equipada",
IF(
 OR(COUNTIFS(Equipar!B:B,6,Equipar!C:C,A114)
 +COUNTIFS(Equipar!B:B,6,Equipar!D:D,A114)
+COUNTIFS(Equipar!B:B,6,Equipar!E:E,A114)
+COUNTIFS(Equipar!B:B,6,Equipar!F:F,A114)
&gt;0,COUNTIF('Set recomendado'!B:B,C114)=0),
"Bloqueada",
"Desechable")),""
)</f>
        <v>Bloqueada</v>
      </c>
      <c r="J114" t="str" cm="1">
        <f t="array" ref="J114">IF(ISNUMBER(A114),IFERROR(_xlfn._xlws.FILTER(Equipar!A:A,(Equipar!B:B=6)*(Equipar!AC:AC=A114)),""),"")</f>
        <v/>
      </c>
    </row>
    <row r="115" spans="1:10" x14ac:dyDescent="0.25">
      <c r="A115" s="1">
        <v>253</v>
      </c>
      <c r="B115" s="6" t="s">
        <v>53</v>
      </c>
      <c r="C115" s="6" t="s">
        <v>17</v>
      </c>
      <c r="D115" s="6" t="s">
        <v>37</v>
      </c>
      <c r="E115" s="6" t="s">
        <v>36</v>
      </c>
      <c r="F115" s="6" t="s">
        <v>41</v>
      </c>
      <c r="G115" s="6" t="s">
        <v>42</v>
      </c>
      <c r="I115" s="2" t="str">
        <f ca="1">IF(ISNUMBER(A115),
IF(COUNTIFS(Equipar!B:B,6,Equipar!AC:AC,A115),"Equipada",
IF(
 OR(COUNTIFS(Equipar!B:B,6,Equipar!C:C,A115)
 +COUNTIFS(Equipar!B:B,6,Equipar!D:D,A115)
+COUNTIFS(Equipar!B:B,6,Equipar!E:E,A115)
+COUNTIFS(Equipar!B:B,6,Equipar!F:F,A115)
&gt;0,COUNTIF('Set recomendado'!B:B,C115)=0),
"Bloqueada",
"Desechable")),""
)</f>
        <v>Desechable</v>
      </c>
      <c r="J115" t="str" cm="1">
        <f t="array" ref="J115">IF(ISNUMBER(A115),IFERROR(_xlfn._xlws.FILTER(Equipar!A:A,(Equipar!B:B=6)*(Equipar!AC:AC=A115)),""),"")</f>
        <v/>
      </c>
    </row>
    <row r="116" spans="1:10" x14ac:dyDescent="0.25">
      <c r="A116" s="1">
        <v>254</v>
      </c>
      <c r="B116" s="6" t="s">
        <v>53</v>
      </c>
      <c r="C116" s="6" t="s">
        <v>56</v>
      </c>
      <c r="D116" s="6" t="s">
        <v>35</v>
      </c>
      <c r="E116" s="6" t="s">
        <v>34</v>
      </c>
      <c r="F116" s="6" t="s">
        <v>40</v>
      </c>
      <c r="G116" s="6" t="s">
        <v>43</v>
      </c>
      <c r="I116" s="2" t="str">
        <f ca="1">IF(ISNUMBER(A116),
IF(COUNTIFS(Equipar!B:B,6,Equipar!AC:AC,A116),"Equipada",
IF(
 OR(COUNTIFS(Equipar!B:B,6,Equipar!C:C,A116)
 +COUNTIFS(Equipar!B:B,6,Equipar!D:D,A116)
+COUNTIFS(Equipar!B:B,6,Equipar!E:E,A116)
+COUNTIFS(Equipar!B:B,6,Equipar!F:F,A116)
&gt;0,COUNTIF('Set recomendado'!B:B,C116)=0),
"Bloqueada",
"Desechable")),""
)</f>
        <v>Bloqueada</v>
      </c>
      <c r="J116" t="str" cm="1">
        <f t="array" ref="J116">IF(ISNUMBER(A116),IFERROR(_xlfn._xlws.FILTER(Equipar!A:A,(Equipar!B:B=6)*(Equipar!AC:AC=A116)),""),"")</f>
        <v/>
      </c>
    </row>
    <row r="117" spans="1:10" x14ac:dyDescent="0.25">
      <c r="A117" s="1">
        <v>255</v>
      </c>
      <c r="B117" s="6" t="s">
        <v>53</v>
      </c>
      <c r="C117" s="6" t="s">
        <v>57</v>
      </c>
      <c r="D117" s="6" t="s">
        <v>36</v>
      </c>
      <c r="E117" s="6" t="s">
        <v>40</v>
      </c>
      <c r="F117" s="6" t="s">
        <v>43</v>
      </c>
      <c r="G117" s="6" t="s">
        <v>38</v>
      </c>
      <c r="I117" s="2" t="str">
        <f ca="1">IF(ISNUMBER(A117),
IF(COUNTIFS(Equipar!B:B,6,Equipar!AC:AC,A117),"Equipada",
IF(
 OR(COUNTIFS(Equipar!B:B,6,Equipar!C:C,A117)
 +COUNTIFS(Equipar!B:B,6,Equipar!D:D,A117)
+COUNTIFS(Equipar!B:B,6,Equipar!E:E,A117)
+COUNTIFS(Equipar!B:B,6,Equipar!F:F,A117)
&gt;0,COUNTIF('Set recomendado'!B:B,C117)=0),
"Bloqueada",
"Desechable")),""
)</f>
        <v>Bloqueada</v>
      </c>
      <c r="J117" t="str" cm="1">
        <f t="array" ref="J117">IF(ISNUMBER(A117),IFERROR(_xlfn._xlws.FILTER(Equipar!A:A,(Equipar!B:B=6)*(Equipar!AC:AC=A117)),""),"")</f>
        <v/>
      </c>
    </row>
    <row r="118" spans="1:10" x14ac:dyDescent="0.25">
      <c r="A118" s="1">
        <v>256</v>
      </c>
      <c r="B118" s="6" t="s">
        <v>53</v>
      </c>
      <c r="C118" s="6" t="s">
        <v>55</v>
      </c>
      <c r="D118" s="6" t="s">
        <v>32</v>
      </c>
      <c r="E118" s="6" t="s">
        <v>43</v>
      </c>
      <c r="F118" s="6" t="s">
        <v>36</v>
      </c>
      <c r="G118" s="6" t="s">
        <v>33</v>
      </c>
      <c r="I118" s="2" t="str">
        <f ca="1">IF(ISNUMBER(A118),
IF(COUNTIFS(Equipar!B:B,6,Equipar!AC:AC,A118),"Equipada",
IF(
 OR(COUNTIFS(Equipar!B:B,6,Equipar!C:C,A118)
 +COUNTIFS(Equipar!B:B,6,Equipar!D:D,A118)
+COUNTIFS(Equipar!B:B,6,Equipar!E:E,A118)
+COUNTIFS(Equipar!B:B,6,Equipar!F:F,A118)
&gt;0,COUNTIF('Set recomendado'!B:B,C118)=0),
"Bloqueada",
"Desechable")),""
)</f>
        <v>Desechable</v>
      </c>
      <c r="J118" t="str" cm="1">
        <f t="array" ref="J118">IF(ISNUMBER(A118),IFERROR(_xlfn._xlws.FILTER(Equipar!A:A,(Equipar!B:B=6)*(Equipar!AC:AC=A118)),""),"")</f>
        <v/>
      </c>
    </row>
    <row r="119" spans="1:10" x14ac:dyDescent="0.25">
      <c r="A119" s="1">
        <v>257</v>
      </c>
      <c r="B119" s="6" t="s">
        <v>53</v>
      </c>
      <c r="C119" s="6" t="s">
        <v>21</v>
      </c>
      <c r="D119" s="6" t="s">
        <v>36</v>
      </c>
      <c r="E119" s="6" t="s">
        <v>93</v>
      </c>
      <c r="F119" s="6" t="s">
        <v>37</v>
      </c>
      <c r="G119" s="6" t="s">
        <v>32</v>
      </c>
      <c r="H119" s="6" t="s">
        <v>38</v>
      </c>
      <c r="I119" s="2" t="str">
        <f ca="1">IF(ISNUMBER(A119),
IF(COUNTIFS(Equipar!B:B,6,Equipar!AC:AC,A119),"Equipada",
IF(
 OR(COUNTIFS(Equipar!B:B,6,Equipar!C:C,A119)
 +COUNTIFS(Equipar!B:B,6,Equipar!D:D,A119)
+COUNTIFS(Equipar!B:B,6,Equipar!E:E,A119)
+COUNTIFS(Equipar!B:B,6,Equipar!F:F,A119)
&gt;0,COUNTIF('Set recomendado'!B:B,C119)=0),
"Bloqueada",
"Desechable")),""
)</f>
        <v>Desechable</v>
      </c>
      <c r="J119" t="str" cm="1">
        <f t="array" ref="J119">IF(ISNUMBER(A119),IFERROR(_xlfn._xlws.FILTER(Equipar!A:A,(Equipar!B:B=6)*(Equipar!AC:AC=A119)),""),"")</f>
        <v/>
      </c>
    </row>
    <row r="120" spans="1:10" x14ac:dyDescent="0.25">
      <c r="A120" s="1">
        <v>258</v>
      </c>
      <c r="B120" s="6" t="s">
        <v>53</v>
      </c>
      <c r="C120" s="6" t="s">
        <v>21</v>
      </c>
      <c r="D120" s="6" t="s">
        <v>41</v>
      </c>
      <c r="E120" s="6" t="s">
        <v>40</v>
      </c>
      <c r="F120" s="6" t="s">
        <v>41</v>
      </c>
      <c r="G120" s="6" t="s">
        <v>41</v>
      </c>
      <c r="I120" s="2" t="str">
        <f>IF(ISNUMBER(A120),
IF(COUNTIFS(Equipar!B:B,6,Equipar!AC:AC,A120),"Equipada",
IF(
 OR(COUNTIFS(Equipar!B:B,6,Equipar!C:C,A120)
 +COUNTIFS(Equipar!B:B,6,Equipar!D:D,A120)
+COUNTIFS(Equipar!B:B,6,Equipar!E:E,A120)
+COUNTIFS(Equipar!B:B,6,Equipar!F:F,A120)
&gt;0,COUNTIF('Set recomendado'!B:B,C120)=0),
"Bloqueada",
"Desechable")),""
)</f>
        <v>Equipada</v>
      </c>
      <c r="J120" t="str" cm="1">
        <f t="array" ref="J120">IF(ISNUMBER(A120),IFERROR(_xlfn._xlws.FILTER(Equipar!A:A,(Equipar!B:B=6)*(Equipar!AC:AC=A120)),""),"")</f>
        <v>Komori</v>
      </c>
    </row>
    <row r="121" spans="1:10" x14ac:dyDescent="0.25">
      <c r="A121" s="1">
        <v>259</v>
      </c>
      <c r="B121" s="6" t="s">
        <v>53</v>
      </c>
      <c r="C121" s="6" t="s">
        <v>21</v>
      </c>
      <c r="D121" s="6" t="s">
        <v>37</v>
      </c>
      <c r="E121" s="6" t="s">
        <v>34</v>
      </c>
      <c r="F121" s="6" t="s">
        <v>38</v>
      </c>
      <c r="G121" s="6" t="s">
        <v>43</v>
      </c>
      <c r="H121" s="6" t="s">
        <v>39</v>
      </c>
      <c r="I121" s="2" t="str">
        <f ca="1">IF(ISNUMBER(A121),
IF(COUNTIFS(Equipar!B:B,6,Equipar!AC:AC,A121),"Equipada",
IF(
 OR(COUNTIFS(Equipar!B:B,6,Equipar!C:C,A121)
 +COUNTIFS(Equipar!B:B,6,Equipar!D:D,A121)
+COUNTIFS(Equipar!B:B,6,Equipar!E:E,A121)
+COUNTIFS(Equipar!B:B,6,Equipar!F:F,A121)
&gt;0,COUNTIF('Set recomendado'!B:B,C121)=0),
"Bloqueada",
"Desechable")),""
)</f>
        <v>Desechable</v>
      </c>
      <c r="J121" t="str" cm="1">
        <f t="array" ref="J121">IF(ISNUMBER(A121),IFERROR(_xlfn._xlws.FILTER(Equipar!A:A,(Equipar!B:B=6)*(Equipar!AC:AC=A121)),""),"")</f>
        <v/>
      </c>
    </row>
    <row r="122" spans="1:10" x14ac:dyDescent="0.25">
      <c r="A122" s="1">
        <v>260</v>
      </c>
      <c r="B122" s="6" t="s">
        <v>53</v>
      </c>
      <c r="C122" s="6" t="s">
        <v>29</v>
      </c>
      <c r="D122" s="6" t="s">
        <v>37</v>
      </c>
      <c r="E122" s="6" t="s">
        <v>42</v>
      </c>
      <c r="F122" s="6" t="s">
        <v>41</v>
      </c>
      <c r="G122" s="6" t="s">
        <v>35</v>
      </c>
      <c r="I122" s="2" t="str">
        <f ca="1">IF(ISNUMBER(A122),
IF(COUNTIFS(Equipar!B:B,6,Equipar!AC:AC,A122),"Equipada",
IF(
 OR(COUNTIFS(Equipar!B:B,6,Equipar!C:C,A122)
 +COUNTIFS(Equipar!B:B,6,Equipar!D:D,A122)
+COUNTIFS(Equipar!B:B,6,Equipar!E:E,A122)
+COUNTIFS(Equipar!B:B,6,Equipar!F:F,A122)
&gt;0,COUNTIF('Set recomendado'!B:B,C122)=0),
"Bloqueada",
"Desechable")),""
)</f>
        <v>Desechable</v>
      </c>
      <c r="J122" t="str" cm="1">
        <f t="array" ref="J122">IF(ISNUMBER(A122),IFERROR(_xlfn._xlws.FILTER(Equipar!A:A,(Equipar!B:B=6)*(Equipar!AC:AC=A122)),""),"")</f>
        <v/>
      </c>
    </row>
    <row r="123" spans="1:10" x14ac:dyDescent="0.25">
      <c r="A123" s="1">
        <v>261</v>
      </c>
      <c r="B123" s="6" t="s">
        <v>53</v>
      </c>
      <c r="C123" s="6" t="s">
        <v>29</v>
      </c>
      <c r="D123" s="6" t="s">
        <v>41</v>
      </c>
      <c r="E123" s="6" t="s">
        <v>37</v>
      </c>
      <c r="F123" s="6" t="s">
        <v>43</v>
      </c>
      <c r="G123" s="6" t="s">
        <v>43</v>
      </c>
      <c r="I123" s="2" t="str">
        <f ca="1">IF(ISNUMBER(A123),
IF(COUNTIFS(Equipar!B:B,6,Equipar!AC:AC,A123),"Equipada",
IF(
 OR(COUNTIFS(Equipar!B:B,6,Equipar!C:C,A123)
 +COUNTIFS(Equipar!B:B,6,Equipar!D:D,A123)
+COUNTIFS(Equipar!B:B,6,Equipar!E:E,A123)
+COUNTIFS(Equipar!B:B,6,Equipar!F:F,A123)
&gt;0,COUNTIF('Set recomendado'!B:B,C123)=0),
"Bloqueada",
"Desechable")),""
)</f>
        <v>Desechable</v>
      </c>
      <c r="J123" t="str" cm="1">
        <f t="array" ref="J123">IF(ISNUMBER(A123),IFERROR(_xlfn._xlws.FILTER(Equipar!A:A,(Equipar!B:B=6)*(Equipar!AC:AC=A123)),""),"")</f>
        <v/>
      </c>
    </row>
    <row r="124" spans="1:10" x14ac:dyDescent="0.25">
      <c r="A124" s="1">
        <v>262</v>
      </c>
      <c r="B124" s="6" t="s">
        <v>53</v>
      </c>
      <c r="C124" s="6" t="s">
        <v>29</v>
      </c>
      <c r="D124" s="6" t="s">
        <v>35</v>
      </c>
      <c r="E124" s="6" t="s">
        <v>37</v>
      </c>
      <c r="F124" s="6" t="s">
        <v>34</v>
      </c>
      <c r="G124" s="6" t="s">
        <v>37</v>
      </c>
      <c r="I124" s="2" t="str">
        <f ca="1">IF(ISNUMBER(A124),
IF(COUNTIFS(Equipar!B:B,6,Equipar!AC:AC,A124),"Equipada",
IF(
 OR(COUNTIFS(Equipar!B:B,6,Equipar!C:C,A124)
 +COUNTIFS(Equipar!B:B,6,Equipar!D:D,A124)
+COUNTIFS(Equipar!B:B,6,Equipar!E:E,A124)
+COUNTIFS(Equipar!B:B,6,Equipar!F:F,A124)
&gt;0,COUNTIF('Set recomendado'!B:B,C124)=0),
"Bloqueada",
"Desechable")),""
)</f>
        <v>Desechable</v>
      </c>
      <c r="J124" t="str" cm="1">
        <f t="array" ref="J124">IF(ISNUMBER(A124),IFERROR(_xlfn._xlws.FILTER(Equipar!A:A,(Equipar!B:B=6)*(Equipar!AC:AC=A124)),""),"")</f>
        <v/>
      </c>
    </row>
    <row r="125" spans="1:10" x14ac:dyDescent="0.25">
      <c r="A125" s="1">
        <v>263</v>
      </c>
      <c r="B125" s="6" t="s">
        <v>54</v>
      </c>
      <c r="C125" s="6" t="s">
        <v>10</v>
      </c>
      <c r="D125" s="6" t="s">
        <v>42</v>
      </c>
      <c r="E125" s="6" t="s">
        <v>36</v>
      </c>
      <c r="F125" s="6" t="s">
        <v>41</v>
      </c>
      <c r="G125" s="6" t="s">
        <v>37</v>
      </c>
      <c r="I125" s="2" t="str">
        <f ca="1">IF(ISNUMBER(A125),
IF(COUNTIFS(Equipar!B:B,6,Equipar!AC:AC,A125),"Equipada",
IF(
 OR(COUNTIFS(Equipar!B:B,6,Equipar!C:C,A125)
 +COUNTIFS(Equipar!B:B,6,Equipar!D:D,A125)
+COUNTIFS(Equipar!B:B,6,Equipar!E:E,A125)
+COUNTIFS(Equipar!B:B,6,Equipar!F:F,A125)
&gt;0,COUNTIF('Set recomendado'!B:B,C125)=0),
"Bloqueada",
"Desechable")),""
)</f>
        <v>Desechable</v>
      </c>
      <c r="J125" t="str" cm="1">
        <f t="array" ref="J125">IF(ISNUMBER(A125),IFERROR(_xlfn._xlws.FILTER(Equipar!A:A,(Equipar!B:B=6)*(Equipar!AC:AC=A125)),""),"")</f>
        <v/>
      </c>
    </row>
    <row r="126" spans="1:10" x14ac:dyDescent="0.25">
      <c r="A126" s="1">
        <v>265</v>
      </c>
      <c r="B126" s="6" t="s">
        <v>54</v>
      </c>
      <c r="C126" s="6" t="s">
        <v>23</v>
      </c>
      <c r="D126" s="6" t="s">
        <v>36</v>
      </c>
      <c r="E126" s="6" t="s">
        <v>36</v>
      </c>
      <c r="F126" s="6" t="s">
        <v>42</v>
      </c>
      <c r="G126" s="6" t="s">
        <v>43</v>
      </c>
      <c r="I126" s="2" t="str">
        <f ca="1">IF(ISNUMBER(A126),
IF(COUNTIFS(Equipar!B:B,6,Equipar!AC:AC,A126),"Equipada",
IF(
 OR(COUNTIFS(Equipar!B:B,6,Equipar!C:C,A126)
 +COUNTIFS(Equipar!B:B,6,Equipar!D:D,A126)
+COUNTIFS(Equipar!B:B,6,Equipar!E:E,A126)
+COUNTIFS(Equipar!B:B,6,Equipar!F:F,A126)
&gt;0,COUNTIF('Set recomendado'!B:B,C126)=0),
"Bloqueada",
"Desechable")),""
)</f>
        <v>Desechable</v>
      </c>
      <c r="J126" t="str" cm="1">
        <f t="array" ref="J126">IF(ISNUMBER(A126),IFERROR(_xlfn._xlws.FILTER(Equipar!A:A,(Equipar!B:B=6)*(Equipar!AC:AC=A126)),""),"")</f>
        <v/>
      </c>
    </row>
    <row r="127" spans="1:10" x14ac:dyDescent="0.25">
      <c r="A127" s="1">
        <v>266</v>
      </c>
      <c r="B127" s="6" t="s">
        <v>54</v>
      </c>
      <c r="C127" s="6" t="s">
        <v>23</v>
      </c>
      <c r="D127" s="6" t="s">
        <v>42</v>
      </c>
      <c r="E127" s="6" t="s">
        <v>40</v>
      </c>
      <c r="F127" s="6" t="s">
        <v>35</v>
      </c>
      <c r="G127" s="6" t="s">
        <v>32</v>
      </c>
      <c r="I127" s="2" t="str">
        <f ca="1">IF(ISNUMBER(A127),
IF(COUNTIFS(Equipar!B:B,6,Equipar!AC:AC,A127),"Equipada",
IF(
 OR(COUNTIFS(Equipar!B:B,6,Equipar!C:C,A127)
 +COUNTIFS(Equipar!B:B,6,Equipar!D:D,A127)
+COUNTIFS(Equipar!B:B,6,Equipar!E:E,A127)
+COUNTIFS(Equipar!B:B,6,Equipar!F:F,A127)
&gt;0,COUNTIF('Set recomendado'!B:B,C127)=0),
"Bloqueada",
"Desechable")),""
)</f>
        <v>Desechable</v>
      </c>
      <c r="J127" t="str" cm="1">
        <f t="array" ref="J127">IF(ISNUMBER(A127),IFERROR(_xlfn._xlws.FILTER(Equipar!A:A,(Equipar!B:B=6)*(Equipar!AC:AC=A127)),""),"")</f>
        <v/>
      </c>
    </row>
    <row r="128" spans="1:10" x14ac:dyDescent="0.25">
      <c r="A128" s="1">
        <v>267</v>
      </c>
      <c r="B128" s="6" t="s">
        <v>54</v>
      </c>
      <c r="C128" s="6" t="s">
        <v>17</v>
      </c>
      <c r="D128" s="6" t="s">
        <v>43</v>
      </c>
      <c r="E128" s="6" t="s">
        <v>36</v>
      </c>
      <c r="F128" s="6" t="s">
        <v>41</v>
      </c>
      <c r="I128" s="2" t="str">
        <f ca="1">IF(ISNUMBER(A128),
IF(COUNTIFS(Equipar!B:B,6,Equipar!AC:AC,A128),"Equipada",
IF(
 OR(COUNTIFS(Equipar!B:B,6,Equipar!C:C,A128)
 +COUNTIFS(Equipar!B:B,6,Equipar!D:D,A128)
+COUNTIFS(Equipar!B:B,6,Equipar!E:E,A128)
+COUNTIFS(Equipar!B:B,6,Equipar!F:F,A128)
&gt;0,COUNTIF('Set recomendado'!B:B,C128)=0),
"Bloqueada",
"Desechable")),""
)</f>
        <v>Desechable</v>
      </c>
      <c r="J128" t="str" cm="1">
        <f t="array" ref="J128">IF(ISNUMBER(A128),IFERROR(_xlfn._xlws.FILTER(Equipar!A:A,(Equipar!B:B=6)*(Equipar!AC:AC=A128)),""),"")</f>
        <v/>
      </c>
    </row>
    <row r="129" spans="1:10" x14ac:dyDescent="0.25">
      <c r="A129" s="1">
        <v>268</v>
      </c>
      <c r="B129" s="6" t="s">
        <v>54</v>
      </c>
      <c r="C129" s="6" t="s">
        <v>57</v>
      </c>
      <c r="D129" s="6" t="s">
        <v>37</v>
      </c>
      <c r="E129" s="6" t="s">
        <v>32</v>
      </c>
      <c r="F129" s="6" t="s">
        <v>42</v>
      </c>
      <c r="I129" s="2" t="str">
        <f ca="1">IF(ISNUMBER(A129),
IF(COUNTIFS(Equipar!B:B,6,Equipar!AC:AC,A129),"Equipada",
IF(
 OR(COUNTIFS(Equipar!B:B,6,Equipar!C:C,A129)
 +COUNTIFS(Equipar!B:B,6,Equipar!D:D,A129)
+COUNTIFS(Equipar!B:B,6,Equipar!E:E,A129)
+COUNTIFS(Equipar!B:B,6,Equipar!F:F,A129)
&gt;0,COUNTIF('Set recomendado'!B:B,C129)=0),
"Bloqueada",
"Desechable")),""
)</f>
        <v>Bloqueada</v>
      </c>
      <c r="J129" t="str" cm="1">
        <f t="array" ref="J129">IF(ISNUMBER(A129),IFERROR(_xlfn._xlws.FILTER(Equipar!A:A,(Equipar!B:B=6)*(Equipar!AC:AC=A129)),""),"")</f>
        <v/>
      </c>
    </row>
    <row r="130" spans="1:10" x14ac:dyDescent="0.25">
      <c r="A130" s="1">
        <v>269</v>
      </c>
      <c r="B130" s="6" t="s">
        <v>54</v>
      </c>
      <c r="C130" s="6" t="s">
        <v>57</v>
      </c>
      <c r="D130" s="6" t="s">
        <v>43</v>
      </c>
      <c r="E130" s="6" t="s">
        <v>36</v>
      </c>
      <c r="I130" s="2" t="str">
        <f ca="1">IF(ISNUMBER(A130),
IF(COUNTIFS(Equipar!B:B,6,Equipar!AC:AC,A130),"Equipada",
IF(
 OR(COUNTIFS(Equipar!B:B,6,Equipar!C:C,A130)
 +COUNTIFS(Equipar!B:B,6,Equipar!D:D,A130)
+COUNTIFS(Equipar!B:B,6,Equipar!E:E,A130)
+COUNTIFS(Equipar!B:B,6,Equipar!F:F,A130)
&gt;0,COUNTIF('Set recomendado'!B:B,C130)=0),
"Bloqueada",
"Desechable")),""
)</f>
        <v>Bloqueada</v>
      </c>
      <c r="J130" t="str" cm="1">
        <f t="array" ref="J130">IF(ISNUMBER(A130),IFERROR(_xlfn._xlws.FILTER(Equipar!A:A,(Equipar!B:B=6)*(Equipar!AC:AC=A130)),""),"")</f>
        <v/>
      </c>
    </row>
    <row r="131" spans="1:10" x14ac:dyDescent="0.25">
      <c r="A131" s="1">
        <v>270</v>
      </c>
      <c r="B131" s="6" t="s">
        <v>54</v>
      </c>
      <c r="C131" s="6" t="s">
        <v>57</v>
      </c>
      <c r="D131" s="6" t="s">
        <v>36</v>
      </c>
      <c r="E131" s="6" t="s">
        <v>37</v>
      </c>
      <c r="F131" s="6" t="s">
        <v>38</v>
      </c>
      <c r="I131" s="2" t="str">
        <f ca="1">IF(ISNUMBER(A131),
IF(COUNTIFS(Equipar!B:B,6,Equipar!AC:AC,A131),"Equipada",
IF(
 OR(COUNTIFS(Equipar!B:B,6,Equipar!C:C,A131)
 +COUNTIFS(Equipar!B:B,6,Equipar!D:D,A131)
+COUNTIFS(Equipar!B:B,6,Equipar!E:E,A131)
+COUNTIFS(Equipar!B:B,6,Equipar!F:F,A131)
&gt;0,COUNTIF('Set recomendado'!B:B,C131)=0),
"Bloqueada",
"Desechable")),""
)</f>
        <v>Bloqueada</v>
      </c>
      <c r="J131" t="str" cm="1">
        <f t="array" ref="J131">IF(ISNUMBER(A131),IFERROR(_xlfn._xlws.FILTER(Equipar!A:A,(Equipar!B:B=6)*(Equipar!AC:AC=A131)),""),"")</f>
        <v/>
      </c>
    </row>
    <row r="132" spans="1:10" x14ac:dyDescent="0.25">
      <c r="A132" s="1">
        <v>271</v>
      </c>
      <c r="B132" s="6" t="s">
        <v>54</v>
      </c>
      <c r="C132" s="6" t="s">
        <v>57</v>
      </c>
      <c r="D132" s="6" t="s">
        <v>35</v>
      </c>
      <c r="E132" s="6" t="s">
        <v>35</v>
      </c>
      <c r="F132" s="6" t="s">
        <v>43</v>
      </c>
      <c r="I132" s="2" t="str">
        <f ca="1">IF(ISNUMBER(A132),
IF(COUNTIFS(Equipar!B:B,6,Equipar!AC:AC,A132),"Equipada",
IF(
 OR(COUNTIFS(Equipar!B:B,6,Equipar!C:C,A132)
 +COUNTIFS(Equipar!B:B,6,Equipar!D:D,A132)
+COUNTIFS(Equipar!B:B,6,Equipar!E:E,A132)
+COUNTIFS(Equipar!B:B,6,Equipar!F:F,A132)
&gt;0,COUNTIF('Set recomendado'!B:B,C132)=0),
"Bloqueada",
"Desechable")),""
)</f>
        <v>Bloqueada</v>
      </c>
      <c r="J132" t="str" cm="1">
        <f t="array" ref="J132">IF(ISNUMBER(A132),IFERROR(_xlfn._xlws.FILTER(Equipar!A:A,(Equipar!B:B=6)*(Equipar!AC:AC=A132)),""),"")</f>
        <v/>
      </c>
    </row>
    <row r="133" spans="1:10" x14ac:dyDescent="0.25">
      <c r="A133" s="1">
        <v>272</v>
      </c>
      <c r="B133" s="6" t="s">
        <v>54</v>
      </c>
      <c r="C133" s="6" t="s">
        <v>57</v>
      </c>
      <c r="D133" s="6" t="s">
        <v>44</v>
      </c>
      <c r="E133" s="6" t="s">
        <v>36</v>
      </c>
      <c r="F133" s="6" t="s">
        <v>41</v>
      </c>
      <c r="I133" s="2" t="str">
        <f ca="1">IF(ISNUMBER(A133),
IF(COUNTIFS(Equipar!B:B,6,Equipar!AC:AC,A133),"Equipada",
IF(
 OR(COUNTIFS(Equipar!B:B,6,Equipar!C:C,A133)
 +COUNTIFS(Equipar!B:B,6,Equipar!D:D,A133)
+COUNTIFS(Equipar!B:B,6,Equipar!E:E,A133)
+COUNTIFS(Equipar!B:B,6,Equipar!F:F,A133)
&gt;0,COUNTIF('Set recomendado'!B:B,C133)=0),
"Bloqueada",
"Desechable")),""
)</f>
        <v>Bloqueada</v>
      </c>
      <c r="J133" t="str" cm="1">
        <f t="array" ref="J133">IF(ISNUMBER(A133),IFERROR(_xlfn._xlws.FILTER(Equipar!A:A,(Equipar!B:B=6)*(Equipar!AC:AC=A133)),""),"")</f>
        <v/>
      </c>
    </row>
    <row r="134" spans="1:10" x14ac:dyDescent="0.25">
      <c r="A134" s="1">
        <v>273</v>
      </c>
      <c r="B134" s="6" t="s">
        <v>54</v>
      </c>
      <c r="C134" s="6" t="s">
        <v>57</v>
      </c>
      <c r="D134" s="6" t="s">
        <v>35</v>
      </c>
      <c r="E134" s="6" t="s">
        <v>32</v>
      </c>
      <c r="F134" s="6" t="s">
        <v>42</v>
      </c>
      <c r="I134" s="2" t="str">
        <f ca="1">IF(ISNUMBER(A134),
IF(COUNTIFS(Equipar!B:B,6,Equipar!AC:AC,A134),"Equipada",
IF(
 OR(COUNTIFS(Equipar!B:B,6,Equipar!C:C,A134)
 +COUNTIFS(Equipar!B:B,6,Equipar!D:D,A134)
+COUNTIFS(Equipar!B:B,6,Equipar!E:E,A134)
+COUNTIFS(Equipar!B:B,6,Equipar!F:F,A134)
&gt;0,COUNTIF('Set recomendado'!B:B,C134)=0),
"Bloqueada",
"Desechable")),""
)</f>
        <v>Bloqueada</v>
      </c>
      <c r="J134" t="str" cm="1">
        <f t="array" ref="J134">IF(ISNUMBER(A134),IFERROR(_xlfn._xlws.FILTER(Equipar!A:A,(Equipar!B:B=6)*(Equipar!AC:AC=A134)),""),"")</f>
        <v/>
      </c>
    </row>
    <row r="135" spans="1:10" x14ac:dyDescent="0.25">
      <c r="A135" s="1">
        <v>274</v>
      </c>
      <c r="B135" s="6" t="s">
        <v>54</v>
      </c>
      <c r="C135" s="6" t="s">
        <v>57</v>
      </c>
      <c r="D135" s="6" t="s">
        <v>38</v>
      </c>
      <c r="E135" s="6" t="s">
        <v>41</v>
      </c>
      <c r="F135" s="6" t="s">
        <v>41</v>
      </c>
      <c r="I135" s="2" t="str">
        <f ca="1">IF(ISNUMBER(A135),
IF(COUNTIFS(Equipar!B:B,6,Equipar!AC:AC,A135),"Equipada",
IF(
 OR(COUNTIFS(Equipar!B:B,6,Equipar!C:C,A135)
 +COUNTIFS(Equipar!B:B,6,Equipar!D:D,A135)
+COUNTIFS(Equipar!B:B,6,Equipar!E:E,A135)
+COUNTIFS(Equipar!B:B,6,Equipar!F:F,A135)
&gt;0,COUNTIF('Set recomendado'!B:B,C135)=0),
"Bloqueada",
"Desechable")),""
)</f>
        <v>Bloqueada</v>
      </c>
      <c r="J135" t="str" cm="1">
        <f t="array" ref="J135">IF(ISNUMBER(A135),IFERROR(_xlfn._xlws.FILTER(Equipar!A:A,(Equipar!B:B=6)*(Equipar!AC:AC=A135)),""),"")</f>
        <v/>
      </c>
    </row>
    <row r="136" spans="1:10" x14ac:dyDescent="0.25">
      <c r="A136" s="1">
        <v>275</v>
      </c>
      <c r="B136" s="6" t="s">
        <v>54</v>
      </c>
      <c r="C136" s="6" t="s">
        <v>57</v>
      </c>
      <c r="D136" s="6" t="s">
        <v>43</v>
      </c>
      <c r="E136" s="6" t="s">
        <v>43</v>
      </c>
      <c r="F136" s="6" t="s">
        <v>37</v>
      </c>
      <c r="I136" s="2" t="str">
        <f ca="1">IF(ISNUMBER(A136),
IF(COUNTIFS(Equipar!B:B,6,Equipar!AC:AC,A136),"Equipada",
IF(
 OR(COUNTIFS(Equipar!B:B,6,Equipar!C:C,A136)
 +COUNTIFS(Equipar!B:B,6,Equipar!D:D,A136)
+COUNTIFS(Equipar!B:B,6,Equipar!E:E,A136)
+COUNTIFS(Equipar!B:B,6,Equipar!F:F,A136)
&gt;0,COUNTIF('Set recomendado'!B:B,C136)=0),
"Bloqueada",
"Desechable")),""
)</f>
        <v>Bloqueada</v>
      </c>
      <c r="J136" t="str" cm="1">
        <f t="array" ref="J136">IF(ISNUMBER(A136),IFERROR(_xlfn._xlws.FILTER(Equipar!A:A,(Equipar!B:B=6)*(Equipar!AC:AC=A136)),""),"")</f>
        <v/>
      </c>
    </row>
    <row r="137" spans="1:10" x14ac:dyDescent="0.25">
      <c r="A137" s="1">
        <v>276</v>
      </c>
      <c r="B137" s="6" t="s">
        <v>54</v>
      </c>
      <c r="C137" s="6" t="s">
        <v>57</v>
      </c>
      <c r="D137" s="6" t="s">
        <v>36</v>
      </c>
      <c r="E137" s="6" t="s">
        <v>37</v>
      </c>
      <c r="F137" s="6" t="s">
        <v>32</v>
      </c>
      <c r="G137" s="6" t="s">
        <v>38</v>
      </c>
      <c r="I137" s="2" t="str">
        <f ca="1">IF(ISNUMBER(A137),
IF(COUNTIFS(Equipar!B:B,6,Equipar!AC:AC,A137),"Equipada",
IF(
 OR(COUNTIFS(Equipar!B:B,6,Equipar!C:C,A137)
 +COUNTIFS(Equipar!B:B,6,Equipar!D:D,A137)
+COUNTIFS(Equipar!B:B,6,Equipar!E:E,A137)
+COUNTIFS(Equipar!B:B,6,Equipar!F:F,A137)
&gt;0,COUNTIF('Set recomendado'!B:B,C137)=0),
"Bloqueada",
"Desechable")),""
)</f>
        <v>Bloqueada</v>
      </c>
      <c r="J137" t="str" cm="1">
        <f t="array" ref="J137">IF(ISNUMBER(A137),IFERROR(_xlfn._xlws.FILTER(Equipar!A:A,(Equipar!B:B=6)*(Equipar!AC:AC=A137)),""),"")</f>
        <v/>
      </c>
    </row>
    <row r="138" spans="1:10" x14ac:dyDescent="0.25">
      <c r="A138" s="1">
        <v>277</v>
      </c>
      <c r="B138" s="6" t="s">
        <v>54</v>
      </c>
      <c r="C138" s="6" t="s">
        <v>57</v>
      </c>
      <c r="D138" s="6" t="s">
        <v>41</v>
      </c>
      <c r="E138" s="6" t="s">
        <v>43</v>
      </c>
      <c r="F138" s="6" t="s">
        <v>44</v>
      </c>
      <c r="I138" s="2" t="str">
        <f ca="1">IF(ISNUMBER(A138),
IF(COUNTIFS(Equipar!B:B,6,Equipar!AC:AC,A138),"Equipada",
IF(
 OR(COUNTIFS(Equipar!B:B,6,Equipar!C:C,A138)
 +COUNTIFS(Equipar!B:B,6,Equipar!D:D,A138)
+COUNTIFS(Equipar!B:B,6,Equipar!E:E,A138)
+COUNTIFS(Equipar!B:B,6,Equipar!F:F,A138)
&gt;0,COUNTIF('Set recomendado'!B:B,C138)=0),
"Bloqueada",
"Desechable")),""
)</f>
        <v>Bloqueada</v>
      </c>
      <c r="J138" t="str" cm="1">
        <f t="array" ref="J138">IF(ISNUMBER(A138),IFERROR(_xlfn._xlws.FILTER(Equipar!A:A,(Equipar!B:B=6)*(Equipar!AC:AC=A138)),""),"")</f>
        <v/>
      </c>
    </row>
    <row r="139" spans="1:10" x14ac:dyDescent="0.25">
      <c r="A139" s="1">
        <v>278</v>
      </c>
      <c r="B139" s="6" t="s">
        <v>54</v>
      </c>
      <c r="C139" s="6" t="s">
        <v>57</v>
      </c>
      <c r="D139" s="6" t="s">
        <v>37</v>
      </c>
      <c r="E139" s="6" t="s">
        <v>43</v>
      </c>
      <c r="F139" s="6" t="s">
        <v>32</v>
      </c>
      <c r="G139" s="6" t="s">
        <v>37</v>
      </c>
      <c r="I139" s="2" t="str">
        <f ca="1">IF(ISNUMBER(A139),
IF(COUNTIFS(Equipar!B:B,6,Equipar!AC:AC,A139),"Equipada",
IF(
 OR(COUNTIFS(Equipar!B:B,6,Equipar!C:C,A139)
 +COUNTIFS(Equipar!B:B,6,Equipar!D:D,A139)
+COUNTIFS(Equipar!B:B,6,Equipar!E:E,A139)
+COUNTIFS(Equipar!B:B,6,Equipar!F:F,A139)
&gt;0,COUNTIF('Set recomendado'!B:B,C139)=0),
"Bloqueada",
"Desechable")),""
)</f>
        <v>Bloqueada</v>
      </c>
      <c r="J139" t="str" cm="1">
        <f t="array" ref="J139">IF(ISNUMBER(A139),IFERROR(_xlfn._xlws.FILTER(Equipar!A:A,(Equipar!B:B=6)*(Equipar!AC:AC=A139)),""),"")</f>
        <v/>
      </c>
    </row>
    <row r="140" spans="1:10" x14ac:dyDescent="0.25">
      <c r="A140" s="1">
        <v>279</v>
      </c>
      <c r="B140" s="6" t="s">
        <v>54</v>
      </c>
      <c r="C140" s="6" t="s">
        <v>55</v>
      </c>
      <c r="D140" s="6" t="s">
        <v>41</v>
      </c>
      <c r="E140" s="6" t="s">
        <v>34</v>
      </c>
      <c r="F140" s="6" t="s">
        <v>41</v>
      </c>
      <c r="G140" s="6" t="s">
        <v>36</v>
      </c>
      <c r="I140" s="2" t="str">
        <f ca="1">IF(ISNUMBER(A140),
IF(COUNTIFS(Equipar!B:B,6,Equipar!AC:AC,A140),"Equipada",
IF(
 OR(COUNTIFS(Equipar!B:B,6,Equipar!C:C,A140)
 +COUNTIFS(Equipar!B:B,6,Equipar!D:D,A140)
+COUNTIFS(Equipar!B:B,6,Equipar!E:E,A140)
+COUNTIFS(Equipar!B:B,6,Equipar!F:F,A140)
&gt;0,COUNTIF('Set recomendado'!B:B,C140)=0),
"Bloqueada",
"Desechable")),""
)</f>
        <v>Bloqueada</v>
      </c>
      <c r="J140" t="str" cm="1">
        <f t="array" ref="J140">IF(ISNUMBER(A140),IFERROR(_xlfn._xlws.FILTER(Equipar!A:A,(Equipar!B:B=6)*(Equipar!AC:AC=A140)),""),"")</f>
        <v/>
      </c>
    </row>
    <row r="141" spans="1:10" x14ac:dyDescent="0.25">
      <c r="A141" s="1">
        <v>280</v>
      </c>
      <c r="B141" s="6" t="s">
        <v>54</v>
      </c>
      <c r="C141" s="6" t="s">
        <v>55</v>
      </c>
      <c r="D141" s="6" t="s">
        <v>32</v>
      </c>
      <c r="E141" s="6" t="s">
        <v>37</v>
      </c>
      <c r="F141" s="6" t="s">
        <v>32</v>
      </c>
      <c r="G141" s="6" t="s">
        <v>38</v>
      </c>
      <c r="I141" s="2" t="str">
        <f ca="1">IF(ISNUMBER(A141),
IF(COUNTIFS(Equipar!B:B,6,Equipar!AC:AC,A141),"Equipada",
IF(
 OR(COUNTIFS(Equipar!B:B,6,Equipar!C:C,A141)
 +COUNTIFS(Equipar!B:B,6,Equipar!D:D,A141)
+COUNTIFS(Equipar!B:B,6,Equipar!E:E,A141)
+COUNTIFS(Equipar!B:B,6,Equipar!F:F,A141)
&gt;0,COUNTIF('Set recomendado'!B:B,C141)=0),
"Bloqueada",
"Desechable")),""
)</f>
        <v>Desechable</v>
      </c>
      <c r="J141" t="str" cm="1">
        <f t="array" ref="J141">IF(ISNUMBER(A141),IFERROR(_xlfn._xlws.FILTER(Equipar!A:A,(Equipar!B:B=6)*(Equipar!AC:AC=A141)),""),"")</f>
        <v/>
      </c>
    </row>
    <row r="142" spans="1:10" x14ac:dyDescent="0.25">
      <c r="A142" s="1">
        <v>281</v>
      </c>
      <c r="B142" s="6" t="s">
        <v>54</v>
      </c>
      <c r="C142" s="6" t="s">
        <v>55</v>
      </c>
      <c r="D142" s="6" t="s">
        <v>37</v>
      </c>
      <c r="E142" s="6" t="s">
        <v>36</v>
      </c>
      <c r="F142" s="6" t="s">
        <v>37</v>
      </c>
      <c r="I142" s="2" t="str">
        <f ca="1">IF(ISNUMBER(A142),
IF(COUNTIFS(Equipar!B:B,6,Equipar!AC:AC,A142),"Equipada",
IF(
 OR(COUNTIFS(Equipar!B:B,6,Equipar!C:C,A142)
 +COUNTIFS(Equipar!B:B,6,Equipar!D:D,A142)
+COUNTIFS(Equipar!B:B,6,Equipar!E:E,A142)
+COUNTIFS(Equipar!B:B,6,Equipar!F:F,A142)
&gt;0,COUNTIF('Set recomendado'!B:B,C142)=0),
"Bloqueada",
"Desechable")),""
)</f>
        <v>Desechable</v>
      </c>
      <c r="J142" t="str" cm="1">
        <f t="array" ref="J142">IF(ISNUMBER(A142),IFERROR(_xlfn._xlws.FILTER(Equipar!A:A,(Equipar!B:B=6)*(Equipar!AC:AC=A142)),""),"")</f>
        <v/>
      </c>
    </row>
    <row r="143" spans="1:10" x14ac:dyDescent="0.25">
      <c r="A143" s="1">
        <v>282</v>
      </c>
      <c r="B143" s="6" t="s">
        <v>54</v>
      </c>
      <c r="C143" s="6" t="s">
        <v>55</v>
      </c>
      <c r="D143" s="6" t="s">
        <v>42</v>
      </c>
      <c r="E143" s="6" t="s">
        <v>35</v>
      </c>
      <c r="F143" s="6" t="s">
        <v>32</v>
      </c>
      <c r="I143" s="2" t="str">
        <f ca="1">IF(ISNUMBER(A143),
IF(COUNTIFS(Equipar!B:B,6,Equipar!AC:AC,A143),"Equipada",
IF(
 OR(COUNTIFS(Equipar!B:B,6,Equipar!C:C,A143)
 +COUNTIFS(Equipar!B:B,6,Equipar!D:D,A143)
+COUNTIFS(Equipar!B:B,6,Equipar!E:E,A143)
+COUNTIFS(Equipar!B:B,6,Equipar!F:F,A143)
&gt;0,COUNTIF('Set recomendado'!B:B,C143)=0),
"Bloqueada",
"Desechable")),""
)</f>
        <v>Desechable</v>
      </c>
      <c r="J143" t="str" cm="1">
        <f t="array" ref="J143">IF(ISNUMBER(A143),IFERROR(_xlfn._xlws.FILTER(Equipar!A:A,(Equipar!B:B=6)*(Equipar!AC:AC=A143)),""),"")</f>
        <v/>
      </c>
    </row>
    <row r="144" spans="1:10" x14ac:dyDescent="0.25">
      <c r="A144" s="1">
        <v>283</v>
      </c>
      <c r="B144" s="6" t="s">
        <v>54</v>
      </c>
      <c r="C144" s="6" t="s">
        <v>55</v>
      </c>
      <c r="D144" s="6" t="s">
        <v>41</v>
      </c>
      <c r="E144" s="6" t="s">
        <v>43</v>
      </c>
      <c r="F144" s="6" t="s">
        <v>41</v>
      </c>
      <c r="I144" s="2" t="str">
        <f ca="1">IF(ISNUMBER(A144),
IF(COUNTIFS(Equipar!B:B,6,Equipar!AC:AC,A144),"Equipada",
IF(
 OR(COUNTIFS(Equipar!B:B,6,Equipar!C:C,A144)
 +COUNTIFS(Equipar!B:B,6,Equipar!D:D,A144)
+COUNTIFS(Equipar!B:B,6,Equipar!E:E,A144)
+COUNTIFS(Equipar!B:B,6,Equipar!F:F,A144)
&gt;0,COUNTIF('Set recomendado'!B:B,C144)=0),
"Bloqueada",
"Desechable")),""
)</f>
        <v>Desechable</v>
      </c>
      <c r="J144" t="str" cm="1">
        <f t="array" ref="J144">IF(ISNUMBER(A144),IFERROR(_xlfn._xlws.FILTER(Equipar!A:A,(Equipar!B:B=6)*(Equipar!AC:AC=A144)),""),"")</f>
        <v/>
      </c>
    </row>
    <row r="145" spans="1:10" x14ac:dyDescent="0.25">
      <c r="A145" s="1">
        <v>284</v>
      </c>
      <c r="B145" s="6" t="s">
        <v>54</v>
      </c>
      <c r="C145" s="6" t="s">
        <v>55</v>
      </c>
      <c r="D145" s="6" t="s">
        <v>32</v>
      </c>
      <c r="E145" s="6" t="s">
        <v>33</v>
      </c>
      <c r="F145" s="6" t="s">
        <v>38</v>
      </c>
      <c r="G145" s="6" t="s">
        <v>43</v>
      </c>
      <c r="I145" s="2" t="str">
        <f ca="1">IF(ISNUMBER(A145),
IF(COUNTIFS(Equipar!B:B,6,Equipar!AC:AC,A145),"Equipada",
IF(
 OR(COUNTIFS(Equipar!B:B,6,Equipar!C:C,A145)
 +COUNTIFS(Equipar!B:B,6,Equipar!D:D,A145)
+COUNTIFS(Equipar!B:B,6,Equipar!E:E,A145)
+COUNTIFS(Equipar!B:B,6,Equipar!F:F,A145)
&gt;0,COUNTIF('Set recomendado'!B:B,C145)=0),
"Bloqueada",
"Desechable")),""
)</f>
        <v>Desechable</v>
      </c>
      <c r="J145" t="str" cm="1">
        <f t="array" ref="J145">IF(ISNUMBER(A145),IFERROR(_xlfn._xlws.FILTER(Equipar!A:A,(Equipar!B:B=6)*(Equipar!AC:AC=A145)),""),"")</f>
        <v/>
      </c>
    </row>
    <row r="146" spans="1:10" x14ac:dyDescent="0.25">
      <c r="A146" s="1">
        <v>285</v>
      </c>
      <c r="B146" s="6" t="s">
        <v>54</v>
      </c>
      <c r="C146" s="6" t="s">
        <v>55</v>
      </c>
      <c r="D146" s="6" t="s">
        <v>42</v>
      </c>
      <c r="E146" s="6" t="s">
        <v>32</v>
      </c>
      <c r="F146" s="6" t="s">
        <v>37</v>
      </c>
      <c r="I146" s="2" t="str">
        <f ca="1">IF(ISNUMBER(A146),
IF(COUNTIFS(Equipar!B:B,6,Equipar!AC:AC,A146),"Equipada",
IF(
 OR(COUNTIFS(Equipar!B:B,6,Equipar!C:C,A146)
 +COUNTIFS(Equipar!B:B,6,Equipar!D:D,A146)
+COUNTIFS(Equipar!B:B,6,Equipar!E:E,A146)
+COUNTIFS(Equipar!B:B,6,Equipar!F:F,A146)
&gt;0,COUNTIF('Set recomendado'!B:B,C146)=0),
"Bloqueada",
"Desechable")),""
)</f>
        <v>Desechable</v>
      </c>
      <c r="J146" t="str" cm="1">
        <f t="array" ref="J146">IF(ISNUMBER(A146),IFERROR(_xlfn._xlws.FILTER(Equipar!A:A,(Equipar!B:B=6)*(Equipar!AC:AC=A146)),""),"")</f>
        <v/>
      </c>
    </row>
    <row r="147" spans="1:10" x14ac:dyDescent="0.25">
      <c r="A147" s="1">
        <v>286</v>
      </c>
      <c r="B147" s="6" t="s">
        <v>54</v>
      </c>
      <c r="C147" s="6" t="s">
        <v>55</v>
      </c>
      <c r="D147" s="6" t="s">
        <v>42</v>
      </c>
      <c r="E147" s="6" t="s">
        <v>35</v>
      </c>
      <c r="F147" s="6" t="s">
        <v>43</v>
      </c>
      <c r="I147" s="2" t="str">
        <f ca="1">IF(ISNUMBER(A147),
IF(COUNTIFS(Equipar!B:B,6,Equipar!AC:AC,A147),"Equipada",
IF(
 OR(COUNTIFS(Equipar!B:B,6,Equipar!C:C,A147)
 +COUNTIFS(Equipar!B:B,6,Equipar!D:D,A147)
+COUNTIFS(Equipar!B:B,6,Equipar!E:E,A147)
+COUNTIFS(Equipar!B:B,6,Equipar!F:F,A147)
&gt;0,COUNTIF('Set recomendado'!B:B,C147)=0),
"Bloqueada",
"Desechable")),""
)</f>
        <v>Desechable</v>
      </c>
      <c r="J147" t="str" cm="1">
        <f t="array" ref="J147">IF(ISNUMBER(A147),IFERROR(_xlfn._xlws.FILTER(Equipar!A:A,(Equipar!B:B=6)*(Equipar!AC:AC=A147)),""),"")</f>
        <v/>
      </c>
    </row>
    <row r="148" spans="1:10" x14ac:dyDescent="0.25">
      <c r="A148" s="1">
        <v>287</v>
      </c>
      <c r="B148" s="6" t="s">
        <v>54</v>
      </c>
      <c r="C148" s="6" t="s">
        <v>55</v>
      </c>
      <c r="D148" s="6" t="s">
        <v>37</v>
      </c>
      <c r="E148" s="6" t="s">
        <v>40</v>
      </c>
      <c r="F148" s="6" t="s">
        <v>42</v>
      </c>
      <c r="I148" s="2" t="str">
        <f ca="1">IF(ISNUMBER(A148),
IF(COUNTIFS(Equipar!B:B,6,Equipar!AC:AC,A148),"Equipada",
IF(
 OR(COUNTIFS(Equipar!B:B,6,Equipar!C:C,A148)
 +COUNTIFS(Equipar!B:B,6,Equipar!D:D,A148)
+COUNTIFS(Equipar!B:B,6,Equipar!E:E,A148)
+COUNTIFS(Equipar!B:B,6,Equipar!F:F,A148)
&gt;0,COUNTIF('Set recomendado'!B:B,C148)=0),
"Bloqueada",
"Desechable")),""
)</f>
        <v>Desechable</v>
      </c>
      <c r="J148" t="str" cm="1">
        <f t="array" ref="J148">IF(ISNUMBER(A148),IFERROR(_xlfn._xlws.FILTER(Equipar!A:A,(Equipar!B:B=6)*(Equipar!AC:AC=A148)),""),"")</f>
        <v/>
      </c>
    </row>
    <row r="149" spans="1:10" x14ac:dyDescent="0.25">
      <c r="A149" s="1">
        <v>288</v>
      </c>
      <c r="B149" s="6" t="s">
        <v>54</v>
      </c>
      <c r="C149" s="6" t="s">
        <v>55</v>
      </c>
      <c r="D149" s="6" t="s">
        <v>41</v>
      </c>
      <c r="E149" s="6" t="s">
        <v>36</v>
      </c>
      <c r="F149" s="6" t="s">
        <v>43</v>
      </c>
      <c r="I149" s="2" t="str">
        <f ca="1">IF(ISNUMBER(A149),
IF(COUNTIFS(Equipar!B:B,6,Equipar!AC:AC,A149),"Equipada",
IF(
 OR(COUNTIFS(Equipar!B:B,6,Equipar!C:C,A149)
 +COUNTIFS(Equipar!B:B,6,Equipar!D:D,A149)
+COUNTIFS(Equipar!B:B,6,Equipar!E:E,A149)
+COUNTIFS(Equipar!B:B,6,Equipar!F:F,A149)
&gt;0,COUNTIF('Set recomendado'!B:B,C149)=0),
"Bloqueada",
"Desechable")),""
)</f>
        <v>Desechable</v>
      </c>
      <c r="J149" t="str" cm="1">
        <f t="array" ref="J149">IF(ISNUMBER(A149),IFERROR(_xlfn._xlws.FILTER(Equipar!A:A,(Equipar!B:B=6)*(Equipar!AC:AC=A149)),""),"")</f>
        <v/>
      </c>
    </row>
    <row r="150" spans="1:10" x14ac:dyDescent="0.25">
      <c r="A150" s="1">
        <v>289</v>
      </c>
      <c r="B150" s="6" t="s">
        <v>54</v>
      </c>
      <c r="C150" s="6" t="s">
        <v>55</v>
      </c>
      <c r="D150" s="6" t="s">
        <v>32</v>
      </c>
      <c r="E150" s="6" t="s">
        <v>36</v>
      </c>
      <c r="F150" s="6" t="s">
        <v>39</v>
      </c>
      <c r="I150" s="2" t="str">
        <f ca="1">IF(ISNUMBER(A150),
IF(COUNTIFS(Equipar!B:B,6,Equipar!AC:AC,A150),"Equipada",
IF(
 OR(COUNTIFS(Equipar!B:B,6,Equipar!C:C,A150)
 +COUNTIFS(Equipar!B:B,6,Equipar!D:D,A150)
+COUNTIFS(Equipar!B:B,6,Equipar!E:E,A150)
+COUNTIFS(Equipar!B:B,6,Equipar!F:F,A150)
&gt;0,COUNTIF('Set recomendado'!B:B,C150)=0),
"Bloqueada",
"Desechable")),""
)</f>
        <v>Desechable</v>
      </c>
      <c r="J150" t="str" cm="1">
        <f t="array" ref="J150">IF(ISNUMBER(A150),IFERROR(_xlfn._xlws.FILTER(Equipar!A:A,(Equipar!B:B=6)*(Equipar!AC:AC=A150)),""),"")</f>
        <v/>
      </c>
    </row>
    <row r="151" spans="1:10" x14ac:dyDescent="0.25">
      <c r="A151" s="1">
        <v>290</v>
      </c>
      <c r="B151" s="6" t="s">
        <v>54</v>
      </c>
      <c r="C151" s="6" t="s">
        <v>55</v>
      </c>
      <c r="D151" s="6" t="s">
        <v>38</v>
      </c>
      <c r="E151" s="6" t="s">
        <v>38</v>
      </c>
      <c r="F151" s="6" t="s">
        <v>32</v>
      </c>
      <c r="I151" s="2" t="str">
        <f ca="1">IF(ISNUMBER(A151),
IF(COUNTIFS(Equipar!B:B,6,Equipar!AC:AC,A151),"Equipada",
IF(
 OR(COUNTIFS(Equipar!B:B,6,Equipar!C:C,A151)
 +COUNTIFS(Equipar!B:B,6,Equipar!D:D,A151)
+COUNTIFS(Equipar!B:B,6,Equipar!E:E,A151)
+COUNTIFS(Equipar!B:B,6,Equipar!F:F,A151)
&gt;0,COUNTIF('Set recomendado'!B:B,C151)=0),
"Bloqueada",
"Desechable")),""
)</f>
        <v>Desechable</v>
      </c>
      <c r="J151" t="str" cm="1">
        <f t="array" ref="J151">IF(ISNUMBER(A151),IFERROR(_xlfn._xlws.FILTER(Equipar!A:A,(Equipar!B:B=6)*(Equipar!AC:AC=A151)),""),"")</f>
        <v/>
      </c>
    </row>
    <row r="152" spans="1:10" x14ac:dyDescent="0.25">
      <c r="A152" s="1">
        <v>291</v>
      </c>
      <c r="B152" s="6" t="s">
        <v>54</v>
      </c>
      <c r="C152" s="6" t="s">
        <v>21</v>
      </c>
      <c r="D152" s="6" t="s">
        <v>41</v>
      </c>
      <c r="E152" s="6" t="s">
        <v>37</v>
      </c>
      <c r="F152" s="6" t="s">
        <v>32</v>
      </c>
      <c r="I152" s="2" t="str">
        <f ca="1">IF(ISNUMBER(A152),
IF(COUNTIFS(Equipar!B:B,6,Equipar!AC:AC,A152),"Equipada",
IF(
 OR(COUNTIFS(Equipar!B:B,6,Equipar!C:C,A152)
 +COUNTIFS(Equipar!B:B,6,Equipar!D:D,A152)
+COUNTIFS(Equipar!B:B,6,Equipar!E:E,A152)
+COUNTIFS(Equipar!B:B,6,Equipar!F:F,A152)
&gt;0,COUNTIF('Set recomendado'!B:B,C152)=0),
"Bloqueada",
"Desechable")),""
)</f>
        <v>Desechable</v>
      </c>
      <c r="J152" t="str" cm="1">
        <f t="array" ref="J152">IF(ISNUMBER(A152),IFERROR(_xlfn._xlws.FILTER(Equipar!A:A,(Equipar!B:B=6)*(Equipar!AC:AC=A152)),""),"")</f>
        <v/>
      </c>
    </row>
    <row r="153" spans="1:10" x14ac:dyDescent="0.25">
      <c r="A153" s="1">
        <v>292</v>
      </c>
      <c r="B153" s="6" t="s">
        <v>54</v>
      </c>
      <c r="C153" s="6" t="s">
        <v>21</v>
      </c>
      <c r="D153" s="6" t="s">
        <v>42</v>
      </c>
      <c r="E153" s="6" t="s">
        <v>38</v>
      </c>
      <c r="F153" s="6" t="s">
        <v>32</v>
      </c>
      <c r="I153" s="2" t="str">
        <f ca="1">IF(ISNUMBER(A153),
IF(COUNTIFS(Equipar!B:B,6,Equipar!AC:AC,A153),"Equipada",
IF(
 OR(COUNTIFS(Equipar!B:B,6,Equipar!C:C,A153)
 +COUNTIFS(Equipar!B:B,6,Equipar!D:D,A153)
+COUNTIFS(Equipar!B:B,6,Equipar!E:E,A153)
+COUNTIFS(Equipar!B:B,6,Equipar!F:F,A153)
&gt;0,COUNTIF('Set recomendado'!B:B,C153)=0),
"Bloqueada",
"Desechable")),""
)</f>
        <v>Desechable</v>
      </c>
      <c r="J153" t="str" cm="1">
        <f t="array" ref="J153">IF(ISNUMBER(A153),IFERROR(_xlfn._xlws.FILTER(Equipar!A:A,(Equipar!B:B=6)*(Equipar!AC:AC=A153)),""),"")</f>
        <v/>
      </c>
    </row>
    <row r="154" spans="1:10" x14ac:dyDescent="0.25">
      <c r="A154" s="1">
        <v>293</v>
      </c>
      <c r="B154" s="6" t="s">
        <v>54</v>
      </c>
      <c r="C154" s="6" t="s">
        <v>21</v>
      </c>
      <c r="D154" s="6" t="s">
        <v>42</v>
      </c>
      <c r="E154" s="6" t="s">
        <v>41</v>
      </c>
      <c r="F154" s="6" t="s">
        <v>37</v>
      </c>
      <c r="I154" s="2" t="str">
        <f ca="1">IF(ISNUMBER(A154),
IF(COUNTIFS(Equipar!B:B,6,Equipar!AC:AC,A154),"Equipada",
IF(
 OR(COUNTIFS(Equipar!B:B,6,Equipar!C:C,A154)
 +COUNTIFS(Equipar!B:B,6,Equipar!D:D,A154)
+COUNTIFS(Equipar!B:B,6,Equipar!E:E,A154)
+COUNTIFS(Equipar!B:B,6,Equipar!F:F,A154)
&gt;0,COUNTIF('Set recomendado'!B:B,C154)=0),
"Bloqueada",
"Desechable")),""
)</f>
        <v>Desechable</v>
      </c>
      <c r="J154" t="str" cm="1">
        <f t="array" ref="J154">IF(ISNUMBER(A154),IFERROR(_xlfn._xlws.FILTER(Equipar!A:A,(Equipar!B:B=6)*(Equipar!AC:AC=A154)),""),"")</f>
        <v/>
      </c>
    </row>
    <row r="155" spans="1:10" x14ac:dyDescent="0.25">
      <c r="A155" s="1">
        <v>294</v>
      </c>
      <c r="B155" s="6" t="s">
        <v>54</v>
      </c>
      <c r="C155" s="6" t="s">
        <v>21</v>
      </c>
      <c r="D155" s="6" t="s">
        <v>38</v>
      </c>
      <c r="E155" s="6" t="s">
        <v>44</v>
      </c>
      <c r="F155" s="6" t="s">
        <v>42</v>
      </c>
      <c r="I155" s="2" t="str">
        <f ca="1">IF(ISNUMBER(A155),
IF(COUNTIFS(Equipar!B:B,6,Equipar!AC:AC,A155),"Equipada",
IF(
 OR(COUNTIFS(Equipar!B:B,6,Equipar!C:C,A155)
 +COUNTIFS(Equipar!B:B,6,Equipar!D:D,A155)
+COUNTIFS(Equipar!B:B,6,Equipar!E:E,A155)
+COUNTIFS(Equipar!B:B,6,Equipar!F:F,A155)
&gt;0,COUNTIF('Set recomendado'!B:B,C155)=0),
"Bloqueada",
"Desechable")),""
)</f>
        <v>Desechable</v>
      </c>
      <c r="J155" t="str" cm="1">
        <f t="array" ref="J155">IF(ISNUMBER(A155),IFERROR(_xlfn._xlws.FILTER(Equipar!A:A,(Equipar!B:B=6)*(Equipar!AC:AC=A155)),""),"")</f>
        <v/>
      </c>
    </row>
    <row r="156" spans="1:10" x14ac:dyDescent="0.25">
      <c r="A156" s="1">
        <v>295</v>
      </c>
      <c r="B156" s="6" t="s">
        <v>54</v>
      </c>
      <c r="C156" s="6" t="s">
        <v>21</v>
      </c>
      <c r="D156" s="6" t="s">
        <v>38</v>
      </c>
      <c r="E156" s="6" t="s">
        <v>42</v>
      </c>
      <c r="F156" s="6" t="s">
        <v>38</v>
      </c>
      <c r="G156" s="6" t="s">
        <v>36</v>
      </c>
      <c r="I156" s="2" t="str">
        <f ca="1">IF(ISNUMBER(A156),
IF(COUNTIFS(Equipar!B:B,6,Equipar!AC:AC,A156),"Equipada",
IF(
 OR(COUNTIFS(Equipar!B:B,6,Equipar!C:C,A156)
 +COUNTIFS(Equipar!B:B,6,Equipar!D:D,A156)
+COUNTIFS(Equipar!B:B,6,Equipar!E:E,A156)
+COUNTIFS(Equipar!B:B,6,Equipar!F:F,A156)
&gt;0,COUNTIF('Set recomendado'!B:B,C156)=0),
"Bloqueada",
"Desechable")),""
)</f>
        <v>Desechable</v>
      </c>
      <c r="J156" t="str" cm="1">
        <f t="array" ref="J156">IF(ISNUMBER(A156),IFERROR(_xlfn._xlws.FILTER(Equipar!A:A,(Equipar!B:B=6)*(Equipar!AC:AC=A156)),""),"")</f>
        <v/>
      </c>
    </row>
    <row r="157" spans="1:10" x14ac:dyDescent="0.25">
      <c r="A157" s="1">
        <v>296</v>
      </c>
      <c r="B157" s="6" t="s">
        <v>54</v>
      </c>
      <c r="C157" s="6" t="s">
        <v>21</v>
      </c>
      <c r="D157" s="6" t="s">
        <v>37</v>
      </c>
      <c r="E157" s="6" t="s">
        <v>38</v>
      </c>
      <c r="F157" s="6" t="s">
        <v>43</v>
      </c>
      <c r="I157" s="2" t="str">
        <f ca="1">IF(ISNUMBER(A157),
IF(COUNTIFS(Equipar!B:B,6,Equipar!AC:AC,A157),"Equipada",
IF(
 OR(COUNTIFS(Equipar!B:B,6,Equipar!C:C,A157)
 +COUNTIFS(Equipar!B:B,6,Equipar!D:D,A157)
+COUNTIFS(Equipar!B:B,6,Equipar!E:E,A157)
+COUNTIFS(Equipar!B:B,6,Equipar!F:F,A157)
&gt;0,COUNTIF('Set recomendado'!B:B,C157)=0),
"Bloqueada",
"Desechable")),""
)</f>
        <v>Desechable</v>
      </c>
      <c r="J157" t="str" cm="1">
        <f t="array" ref="J157">IF(ISNUMBER(A157),IFERROR(_xlfn._xlws.FILTER(Equipar!A:A,(Equipar!B:B=6)*(Equipar!AC:AC=A157)),""),"")</f>
        <v/>
      </c>
    </row>
    <row r="158" spans="1:10" x14ac:dyDescent="0.25">
      <c r="A158" s="1">
        <v>297</v>
      </c>
      <c r="B158" s="6" t="s">
        <v>54</v>
      </c>
      <c r="C158" s="6" t="s">
        <v>29</v>
      </c>
      <c r="D158" s="6" t="s">
        <v>32</v>
      </c>
      <c r="E158" s="6" t="s">
        <v>35</v>
      </c>
      <c r="F158" s="6" t="s">
        <v>37</v>
      </c>
      <c r="I158" s="2" t="str">
        <f ca="1">IF(ISNUMBER(A158),
IF(COUNTIFS(Equipar!B:B,6,Equipar!AC:AC,A158),"Equipada",
IF(
 OR(COUNTIFS(Equipar!B:B,6,Equipar!C:C,A158)
 +COUNTIFS(Equipar!B:B,6,Equipar!D:D,A158)
+COUNTIFS(Equipar!B:B,6,Equipar!E:E,A158)
+COUNTIFS(Equipar!B:B,6,Equipar!F:F,A158)
&gt;0,COUNTIF('Set recomendado'!B:B,C158)=0),
"Bloqueada",
"Desechable")),""
)</f>
        <v>Desechable</v>
      </c>
      <c r="J158" t="str" cm="1">
        <f t="array" ref="J158">IF(ISNUMBER(A158),IFERROR(_xlfn._xlws.FILTER(Equipar!A:A,(Equipar!B:B=6)*(Equipar!AC:AC=A158)),""),"")</f>
        <v/>
      </c>
    </row>
    <row r="159" spans="1:10" x14ac:dyDescent="0.25">
      <c r="A159" s="1">
        <v>298</v>
      </c>
      <c r="B159" s="6" t="s">
        <v>54</v>
      </c>
      <c r="C159" s="6" t="s">
        <v>29</v>
      </c>
      <c r="D159" s="6" t="s">
        <v>41</v>
      </c>
      <c r="E159" s="6" t="s">
        <v>41</v>
      </c>
      <c r="F159" s="6" t="s">
        <v>37</v>
      </c>
      <c r="I159" s="2" t="str">
        <f ca="1">IF(ISNUMBER(A159),
IF(COUNTIFS(Equipar!B:B,6,Equipar!AC:AC,A159),"Equipada",
IF(
 OR(COUNTIFS(Equipar!B:B,6,Equipar!C:C,A159)
 +COUNTIFS(Equipar!B:B,6,Equipar!D:D,A159)
+COUNTIFS(Equipar!B:B,6,Equipar!E:E,A159)
+COUNTIFS(Equipar!B:B,6,Equipar!F:F,A159)
&gt;0,COUNTIF('Set recomendado'!B:B,C159)=0),
"Bloqueada",
"Desechable")),""
)</f>
        <v>Desechable</v>
      </c>
      <c r="J159" t="str" cm="1">
        <f t="array" ref="J159">IF(ISNUMBER(A159),IFERROR(_xlfn._xlws.FILTER(Equipar!A:A,(Equipar!B:B=6)*(Equipar!AC:AC=A159)),""),"")</f>
        <v/>
      </c>
    </row>
    <row r="160" spans="1:10" x14ac:dyDescent="0.25">
      <c r="A160" s="1">
        <v>299</v>
      </c>
      <c r="B160" s="6" t="s">
        <v>54</v>
      </c>
      <c r="C160" s="6" t="s">
        <v>29</v>
      </c>
      <c r="D160" s="6" t="s">
        <v>35</v>
      </c>
      <c r="E160" s="6" t="s">
        <v>43</v>
      </c>
      <c r="F160" s="6" t="s">
        <v>32</v>
      </c>
      <c r="I160" s="2" t="str">
        <f ca="1">IF(ISNUMBER(A160),
IF(COUNTIFS(Equipar!B:B,6,Equipar!AC:AC,A160),"Equipada",
IF(
 OR(COUNTIFS(Equipar!B:B,6,Equipar!C:C,A160)
 +COUNTIFS(Equipar!B:B,6,Equipar!D:D,A160)
+COUNTIFS(Equipar!B:B,6,Equipar!E:E,A160)
+COUNTIFS(Equipar!B:B,6,Equipar!F:F,A160)
&gt;0,COUNTIF('Set recomendado'!B:B,C160)=0),
"Bloqueada",
"Desechable")),""
)</f>
        <v>Desechable</v>
      </c>
      <c r="J160" t="str" cm="1">
        <f t="array" ref="J160">IF(ISNUMBER(A160),IFERROR(_xlfn._xlws.FILTER(Equipar!A:A,(Equipar!B:B=6)*(Equipar!AC:AC=A160)),""),"")</f>
        <v/>
      </c>
    </row>
    <row r="161" spans="1:10" x14ac:dyDescent="0.25">
      <c r="A161" s="1">
        <v>300</v>
      </c>
      <c r="B161" s="6" t="s">
        <v>54</v>
      </c>
      <c r="C161" s="6" t="s">
        <v>29</v>
      </c>
      <c r="D161" s="6" t="s">
        <v>35</v>
      </c>
      <c r="E161" s="6" t="s">
        <v>41</v>
      </c>
      <c r="F161" s="6" t="s">
        <v>36</v>
      </c>
      <c r="I161" s="2" t="str">
        <f ca="1">IF(ISNUMBER(A161),
IF(COUNTIFS(Equipar!B:B,6,Equipar!AC:AC,A161),"Equipada",
IF(
 OR(COUNTIFS(Equipar!B:B,6,Equipar!C:C,A161)
 +COUNTIFS(Equipar!B:B,6,Equipar!D:D,A161)
+COUNTIFS(Equipar!B:B,6,Equipar!E:E,A161)
+COUNTIFS(Equipar!B:B,6,Equipar!F:F,A161)
&gt;0,COUNTIF('Set recomendado'!B:B,C161)=0),
"Bloqueada",
"Desechable")),""
)</f>
        <v>Desechable</v>
      </c>
      <c r="J161" t="str" cm="1">
        <f t="array" ref="J161">IF(ISNUMBER(A161),IFERROR(_xlfn._xlws.FILTER(Equipar!A:A,(Equipar!B:B=6)*(Equipar!AC:AC=A161)),""),"")</f>
        <v/>
      </c>
    </row>
    <row r="162" spans="1:10" x14ac:dyDescent="0.25">
      <c r="A162" s="1">
        <v>301</v>
      </c>
      <c r="B162" s="6" t="s">
        <v>54</v>
      </c>
      <c r="C162" s="6" t="s">
        <v>29</v>
      </c>
      <c r="D162" s="6" t="s">
        <v>32</v>
      </c>
      <c r="E162" s="6" t="s">
        <v>38</v>
      </c>
      <c r="F162" s="6" t="s">
        <v>32</v>
      </c>
      <c r="G162" s="6" t="s">
        <v>44</v>
      </c>
      <c r="I162" s="2" t="str">
        <f ca="1">IF(ISNUMBER(A162),
IF(COUNTIFS(Equipar!B:B,6,Equipar!AC:AC,A162),"Equipada",
IF(
 OR(COUNTIFS(Equipar!B:B,6,Equipar!C:C,A162)
 +COUNTIFS(Equipar!B:B,6,Equipar!D:D,A162)
+COUNTIFS(Equipar!B:B,6,Equipar!E:E,A162)
+COUNTIFS(Equipar!B:B,6,Equipar!F:F,A162)
&gt;0,COUNTIF('Set recomendado'!B:B,C162)=0),
"Bloqueada",
"Desechable")),""
)</f>
        <v>Desechable</v>
      </c>
      <c r="J162" t="str" cm="1">
        <f t="array" ref="J162">IF(ISNUMBER(A162),IFERROR(_xlfn._xlws.FILTER(Equipar!A:A,(Equipar!B:B=6)*(Equipar!AC:AC=A162)),""),"")</f>
        <v/>
      </c>
    </row>
    <row r="163" spans="1:10" x14ac:dyDescent="0.25">
      <c r="A163" s="1">
        <v>302</v>
      </c>
      <c r="B163" s="6" t="s">
        <v>54</v>
      </c>
      <c r="C163" s="6" t="s">
        <v>29</v>
      </c>
      <c r="D163" s="6" t="s">
        <v>43</v>
      </c>
      <c r="E163" s="6" t="s">
        <v>33</v>
      </c>
      <c r="F163" s="6" t="s">
        <v>38</v>
      </c>
      <c r="I163" s="2" t="str">
        <f ca="1">IF(ISNUMBER(A163),
IF(COUNTIFS(Equipar!B:B,6,Equipar!AC:AC,A163),"Equipada",
IF(
 OR(COUNTIFS(Equipar!B:B,6,Equipar!C:C,A163)
 +COUNTIFS(Equipar!B:B,6,Equipar!D:D,A163)
+COUNTIFS(Equipar!B:B,6,Equipar!E:E,A163)
+COUNTIFS(Equipar!B:B,6,Equipar!F:F,A163)
&gt;0,COUNTIF('Set recomendado'!B:B,C163)=0),
"Bloqueada",
"Desechable")),""
)</f>
        <v>Desechable</v>
      </c>
      <c r="J163" t="str" cm="1">
        <f t="array" ref="J163">IF(ISNUMBER(A163),IFERROR(_xlfn._xlws.FILTER(Equipar!A:A,(Equipar!B:B=6)*(Equipar!AC:AC=A163)),""),"")</f>
        <v/>
      </c>
    </row>
    <row r="164" spans="1:10" x14ac:dyDescent="0.25">
      <c r="A164" s="1">
        <v>303</v>
      </c>
      <c r="B164" s="6" t="s">
        <v>54</v>
      </c>
      <c r="C164" s="6" t="s">
        <v>29</v>
      </c>
      <c r="D164" s="6" t="s">
        <v>38</v>
      </c>
      <c r="E164" s="6" t="s">
        <v>41</v>
      </c>
      <c r="F164" s="6" t="s">
        <v>32</v>
      </c>
      <c r="I164" s="2" t="str">
        <f ca="1">IF(ISNUMBER(A164),
IF(COUNTIFS(Equipar!B:B,6,Equipar!AC:AC,A164),"Equipada",
IF(
 OR(COUNTIFS(Equipar!B:B,6,Equipar!C:C,A164)
 +COUNTIFS(Equipar!B:B,6,Equipar!D:D,A164)
+COUNTIFS(Equipar!B:B,6,Equipar!E:E,A164)
+COUNTIFS(Equipar!B:B,6,Equipar!F:F,A164)
&gt;0,COUNTIF('Set recomendado'!B:B,C164)=0),
"Bloqueada",
"Desechable")),""
)</f>
        <v>Desechable</v>
      </c>
      <c r="J164" t="str" cm="1">
        <f t="array" ref="J164">IF(ISNUMBER(A164),IFERROR(_xlfn._xlws.FILTER(Equipar!A:A,(Equipar!B:B=6)*(Equipar!AC:AC=A164)),""),"")</f>
        <v/>
      </c>
    </row>
    <row r="165" spans="1:10" x14ac:dyDescent="0.25">
      <c r="A165" s="1">
        <v>304</v>
      </c>
      <c r="B165" s="6" t="s">
        <v>54</v>
      </c>
      <c r="C165" s="6" t="s">
        <v>29</v>
      </c>
      <c r="D165" s="6" t="s">
        <v>36</v>
      </c>
      <c r="E165" s="6" t="s">
        <v>33</v>
      </c>
      <c r="F165" s="6" t="s">
        <v>44</v>
      </c>
      <c r="I165" s="2" t="str">
        <f ca="1">IF(ISNUMBER(A165),
IF(COUNTIFS(Equipar!B:B,6,Equipar!AC:AC,A165),"Equipada",
IF(
 OR(COUNTIFS(Equipar!B:B,6,Equipar!C:C,A165)
 +COUNTIFS(Equipar!B:B,6,Equipar!D:D,A165)
+COUNTIFS(Equipar!B:B,6,Equipar!E:E,A165)
+COUNTIFS(Equipar!B:B,6,Equipar!F:F,A165)
&gt;0,COUNTIF('Set recomendado'!B:B,C165)=0),
"Bloqueada",
"Desechable")),""
)</f>
        <v>Desechable</v>
      </c>
      <c r="J165" t="str" cm="1">
        <f t="array" ref="J165">IF(ISNUMBER(A165),IFERROR(_xlfn._xlws.FILTER(Equipar!A:A,(Equipar!B:B=6)*(Equipar!AC:AC=A165)),""),"")</f>
        <v/>
      </c>
    </row>
    <row r="166" spans="1:10" x14ac:dyDescent="0.25">
      <c r="A166" s="1">
        <v>305</v>
      </c>
      <c r="B166" s="6" t="s">
        <v>54</v>
      </c>
      <c r="C166" s="6" t="s">
        <v>29</v>
      </c>
      <c r="D166" s="6" t="s">
        <v>37</v>
      </c>
      <c r="E166" s="6" t="s">
        <v>33</v>
      </c>
      <c r="F166" s="6" t="s">
        <v>41</v>
      </c>
      <c r="G166" s="4"/>
      <c r="H166" s="4"/>
      <c r="I166" s="2" t="str">
        <f ca="1">IF(ISNUMBER(A166),
IF(COUNTIFS(Equipar!B:B,6,Equipar!AC:AC,A166),"Equipada",
IF(
 OR(COUNTIFS(Equipar!B:B,6,Equipar!C:C,A166)
 +COUNTIFS(Equipar!B:B,6,Equipar!D:D,A166)
+COUNTIFS(Equipar!B:B,6,Equipar!E:E,A166)
+COUNTIFS(Equipar!B:B,6,Equipar!F:F,A166)
&gt;0,COUNTIF('Set recomendado'!B:B,C166)=0),
"Bloqueada",
"Desechable")),""
)</f>
        <v>Desechable</v>
      </c>
      <c r="J166" t="str" cm="1">
        <f t="array" ref="J166">IF(ISNUMBER(A166),IFERROR(_xlfn._xlws.FILTER(Equipar!A:A,(Equipar!B:B=6)*(Equipar!AC:AC=A166)),""),"")</f>
        <v/>
      </c>
    </row>
    <row r="167" spans="1:10" x14ac:dyDescent="0.25">
      <c r="A167" s="1">
        <v>306</v>
      </c>
      <c r="B167" s="6" t="s">
        <v>54</v>
      </c>
      <c r="C167" s="6" t="s">
        <v>57</v>
      </c>
      <c r="D167" s="6" t="s">
        <v>43</v>
      </c>
      <c r="E167" s="6" t="s">
        <v>37</v>
      </c>
      <c r="F167" s="6" t="s">
        <v>32</v>
      </c>
      <c r="G167" s="4"/>
      <c r="H167" s="4"/>
      <c r="I167" s="2" t="str">
        <f ca="1">IF(ISNUMBER(A167),
IF(COUNTIFS(Equipar!B:B,6,Equipar!AC:AC,A167),"Equipada",
IF(
 OR(COUNTIFS(Equipar!B:B,6,Equipar!C:C,A167)
 +COUNTIFS(Equipar!B:B,6,Equipar!D:D,A167)
+COUNTIFS(Equipar!B:B,6,Equipar!E:E,A167)
+COUNTIFS(Equipar!B:B,6,Equipar!F:F,A167)
&gt;0,COUNTIF('Set recomendado'!B:B,C167)=0),
"Bloqueada",
"Desechable")),""
)</f>
        <v>Bloqueada</v>
      </c>
      <c r="J167" t="str" cm="1">
        <f t="array" ref="J167">IF(ISNUMBER(A167),IFERROR(_xlfn._xlws.FILTER(Equipar!A:A,(Equipar!B:B=6)*(Equipar!AC:AC=A167)),""),"")</f>
        <v/>
      </c>
    </row>
    <row r="168" spans="1:10" x14ac:dyDescent="0.25">
      <c r="A168" s="1">
        <v>307</v>
      </c>
      <c r="B168" s="6" t="s">
        <v>54</v>
      </c>
      <c r="C168" s="6" t="s">
        <v>55</v>
      </c>
      <c r="D168" s="6" t="s">
        <v>44</v>
      </c>
      <c r="E168" s="6" t="s">
        <v>38</v>
      </c>
      <c r="F168" s="6" t="s">
        <v>39</v>
      </c>
      <c r="I168" s="2" t="str">
        <f ca="1">IF(ISNUMBER(A168),
IF(COUNTIFS(Equipar!B:B,6,Equipar!AC:AC,A168),"Equipada",
IF(
 OR(COUNTIFS(Equipar!B:B,6,Equipar!C:C,A168)
 +COUNTIFS(Equipar!B:B,6,Equipar!D:D,A168)
+COUNTIFS(Equipar!B:B,6,Equipar!E:E,A168)
+COUNTIFS(Equipar!B:B,6,Equipar!F:F,A168)
&gt;0,COUNTIF('Set recomendado'!B:B,C168)=0),
"Bloqueada",
"Desechable")),""
)</f>
        <v>Desechable</v>
      </c>
      <c r="J168" t="str" cm="1">
        <f t="array" ref="J168">IF(ISNUMBER(A168),IFERROR(_xlfn._xlws.FILTER(Equipar!A:A,(Equipar!B:B=6)*(Equipar!AC:AC=A168)),""),"")</f>
        <v/>
      </c>
    </row>
    <row r="169" spans="1:10" x14ac:dyDescent="0.25">
      <c r="A169" s="1">
        <v>308</v>
      </c>
      <c r="B169" s="6" t="s">
        <v>54</v>
      </c>
      <c r="C169" s="6" t="s">
        <v>29</v>
      </c>
      <c r="D169" s="6" t="s">
        <v>37</v>
      </c>
      <c r="E169" s="6" t="s">
        <v>36</v>
      </c>
      <c r="F169" s="6" t="s">
        <v>38</v>
      </c>
      <c r="G169" s="6" t="s">
        <v>41</v>
      </c>
      <c r="I169" s="2" t="str">
        <f ca="1">IF(ISNUMBER(A169),
IF(COUNTIFS(Equipar!B:B,6,Equipar!AC:AC,A169),"Equipada",
IF(
 OR(COUNTIFS(Equipar!B:B,6,Equipar!C:C,A169)
 +COUNTIFS(Equipar!B:B,6,Equipar!D:D,A169)
+COUNTIFS(Equipar!B:B,6,Equipar!E:E,A169)
+COUNTIFS(Equipar!B:B,6,Equipar!F:F,A169)
&gt;0,COUNTIF('Set recomendado'!B:B,C169)=0),
"Bloqueada",
"Desechable")),""
)</f>
        <v>Desechable</v>
      </c>
      <c r="J169" t="str" cm="1">
        <f t="array" ref="J169">IF(ISNUMBER(A169),IFERROR(_xlfn._xlws.FILTER(Equipar!A:A,(Equipar!B:B=6)*(Equipar!AC:AC=A169)),""),"")</f>
        <v/>
      </c>
    </row>
    <row r="170" spans="1:10" x14ac:dyDescent="0.25">
      <c r="A170" s="1">
        <v>309</v>
      </c>
      <c r="B170" s="6" t="s">
        <v>53</v>
      </c>
      <c r="C170" s="6" t="s">
        <v>55</v>
      </c>
      <c r="D170" s="6" t="s">
        <v>41</v>
      </c>
      <c r="E170" s="6" t="s">
        <v>33</v>
      </c>
      <c r="F170" s="6" t="s">
        <v>41</v>
      </c>
      <c r="G170" s="6" t="s">
        <v>38</v>
      </c>
      <c r="I170" s="2" t="str">
        <f ca="1">IF(ISNUMBER(A170),
IF(COUNTIFS(Equipar!B:B,6,Equipar!AC:AC,A170),"Equipada",
IF(
 OR(COUNTIFS(Equipar!B:B,6,Equipar!C:C,A170)
 +COUNTIFS(Equipar!B:B,6,Equipar!D:D,A170)
+COUNTIFS(Equipar!B:B,6,Equipar!E:E,A170)
+COUNTIFS(Equipar!B:B,6,Equipar!F:F,A170)
&gt;0,COUNTIF('Set recomendado'!B:B,C170)=0),
"Bloqueada",
"Desechable")),""
)</f>
        <v>Desechable</v>
      </c>
      <c r="J170" t="str" cm="1">
        <f t="array" ref="J170">IF(ISNUMBER(A170),IFERROR(_xlfn._xlws.FILTER(Equipar!A:A,(Equipar!B:B=6)*(Equipar!AC:AC=A170)),""),"")</f>
        <v/>
      </c>
    </row>
    <row r="171" spans="1:10" x14ac:dyDescent="0.25">
      <c r="A171" s="1">
        <v>310</v>
      </c>
      <c r="B171" s="6" t="s">
        <v>54</v>
      </c>
      <c r="C171" s="6" t="s">
        <v>55</v>
      </c>
      <c r="D171" s="6" t="s">
        <v>41</v>
      </c>
      <c r="E171" s="6" t="s">
        <v>38</v>
      </c>
      <c r="F171" s="6" t="s">
        <v>41</v>
      </c>
      <c r="G171" s="6" t="s">
        <v>33</v>
      </c>
      <c r="I171" s="2" t="str">
        <f ca="1">IF(ISNUMBER(A171),
IF(COUNTIFS(Equipar!B:B,6,Equipar!AC:AC,A171),"Equipada",
IF(
 OR(COUNTIFS(Equipar!B:B,6,Equipar!C:C,A171)
 +COUNTIFS(Equipar!B:B,6,Equipar!D:D,A171)
+COUNTIFS(Equipar!B:B,6,Equipar!E:E,A171)
+COUNTIFS(Equipar!B:B,6,Equipar!F:F,A171)
&gt;0,COUNTIF('Set recomendado'!B:B,C171)=0),
"Bloqueada",
"Desechable")),""
)</f>
        <v>Desechable</v>
      </c>
      <c r="J171" t="str" cm="1">
        <f t="array" ref="J171">IF(ISNUMBER(A171),IFERROR(_xlfn._xlws.FILTER(Equipar!A:A,(Equipar!B:B=6)*(Equipar!AC:AC=A171)),""),"")</f>
        <v/>
      </c>
    </row>
    <row r="172" spans="1:10" x14ac:dyDescent="0.25">
      <c r="A172" s="1">
        <v>311</v>
      </c>
      <c r="B172" s="6" t="s">
        <v>54</v>
      </c>
      <c r="C172" s="6" t="s">
        <v>21</v>
      </c>
      <c r="D172" s="6" t="s">
        <v>43</v>
      </c>
      <c r="E172" s="6" t="s">
        <v>43</v>
      </c>
      <c r="F172" s="6" t="s">
        <v>42</v>
      </c>
      <c r="G172" s="6" t="s">
        <v>39</v>
      </c>
      <c r="I172" s="2" t="str">
        <f ca="1">IF(ISNUMBER(A172),
IF(COUNTIFS(Equipar!B:B,6,Equipar!AC:AC,A172),"Equipada",
IF(
 OR(COUNTIFS(Equipar!B:B,6,Equipar!C:C,A172)
 +COUNTIFS(Equipar!B:B,6,Equipar!D:D,A172)
+COUNTIFS(Equipar!B:B,6,Equipar!E:E,A172)
+COUNTIFS(Equipar!B:B,6,Equipar!F:F,A172)
&gt;0,COUNTIF('Set recomendado'!B:B,C172)=0),
"Bloqueada",
"Desechable")),""
)</f>
        <v>Desechable</v>
      </c>
      <c r="J172" t="str" cm="1">
        <f t="array" ref="J172">IF(ISNUMBER(A172),IFERROR(_xlfn._xlws.FILTER(Equipar!A:A,(Equipar!B:B=6)*(Equipar!AC:AC=A172)),""),"")</f>
        <v/>
      </c>
    </row>
    <row r="173" spans="1:10" x14ac:dyDescent="0.25">
      <c r="A173" s="1">
        <v>312</v>
      </c>
      <c r="B173" s="6" t="s">
        <v>54</v>
      </c>
      <c r="C173" s="6" t="s">
        <v>29</v>
      </c>
      <c r="D173" s="6" t="s">
        <v>43</v>
      </c>
      <c r="E173" s="6" t="s">
        <v>36</v>
      </c>
      <c r="F173" s="6" t="s">
        <v>44</v>
      </c>
      <c r="I173" s="2" t="str">
        <f ca="1">IF(ISNUMBER(A173),
IF(COUNTIFS(Equipar!B:B,6,Equipar!AC:AC,A173),"Equipada",
IF(
 OR(COUNTIFS(Equipar!B:B,6,Equipar!C:C,A173)
 +COUNTIFS(Equipar!B:B,6,Equipar!D:D,A173)
+COUNTIFS(Equipar!B:B,6,Equipar!E:E,A173)
+COUNTIFS(Equipar!B:B,6,Equipar!F:F,A173)
&gt;0,COUNTIF('Set recomendado'!B:B,C173)=0),
"Bloqueada",
"Desechable")),""
)</f>
        <v>Desechable</v>
      </c>
      <c r="J173" t="str" cm="1">
        <f t="array" ref="J173">IF(ISNUMBER(A173),IFERROR(_xlfn._xlws.FILTER(Equipar!A:A,(Equipar!B:B=6)*(Equipar!AC:AC=A173)),""),"")</f>
        <v/>
      </c>
    </row>
    <row r="174" spans="1:10" x14ac:dyDescent="0.25">
      <c r="A174" s="1">
        <v>313</v>
      </c>
      <c r="B174" s="6" t="s">
        <v>54</v>
      </c>
      <c r="C174" s="6" t="s">
        <v>29</v>
      </c>
      <c r="D174" s="6" t="s">
        <v>36</v>
      </c>
      <c r="E174" s="6" t="s">
        <v>41</v>
      </c>
      <c r="F174" s="6" t="s">
        <v>43</v>
      </c>
      <c r="I174" s="2" t="str">
        <f ca="1">IF(ISNUMBER(A174),
IF(COUNTIFS(Equipar!B:B,6,Equipar!AC:AC,A174),"Equipada",
IF(
 OR(COUNTIFS(Equipar!B:B,6,Equipar!C:C,A174)
 +COUNTIFS(Equipar!B:B,6,Equipar!D:D,A174)
+COUNTIFS(Equipar!B:B,6,Equipar!E:E,A174)
+COUNTIFS(Equipar!B:B,6,Equipar!F:F,A174)
&gt;0,COUNTIF('Set recomendado'!B:B,C174)=0),
"Bloqueada",
"Desechable")),""
)</f>
        <v>Desechable</v>
      </c>
      <c r="J174" t="str" cm="1">
        <f t="array" ref="J174">IF(ISNUMBER(A174),IFERROR(_xlfn._xlws.FILTER(Equipar!A:A,(Equipar!B:B=6)*(Equipar!AC:AC=A174)),""),"")</f>
        <v/>
      </c>
    </row>
    <row r="175" spans="1:10" x14ac:dyDescent="0.25">
      <c r="A175" s="1">
        <v>314</v>
      </c>
      <c r="B175" s="6" t="s">
        <v>54</v>
      </c>
      <c r="C175" s="6" t="s">
        <v>57</v>
      </c>
      <c r="D175" s="6" t="s">
        <v>43</v>
      </c>
      <c r="E175" s="6" t="s">
        <v>43</v>
      </c>
      <c r="F175" s="6" t="s">
        <v>40</v>
      </c>
      <c r="G175" s="6" t="s">
        <v>36</v>
      </c>
      <c r="I175" s="2" t="str">
        <f ca="1">IF(ISNUMBER(A175),
IF(COUNTIFS(Equipar!B:B,6,Equipar!AC:AC,A175),"Equipada",
IF(
 OR(COUNTIFS(Equipar!B:B,6,Equipar!C:C,A175)
 +COUNTIFS(Equipar!B:B,6,Equipar!D:D,A175)
+COUNTIFS(Equipar!B:B,6,Equipar!E:E,A175)
+COUNTIFS(Equipar!B:B,6,Equipar!F:F,A175)
&gt;0,COUNTIF('Set recomendado'!B:B,C175)=0),
"Bloqueada",
"Desechable")),""
)</f>
        <v>Bloqueada</v>
      </c>
      <c r="J175" t="str" cm="1">
        <f t="array" ref="J175">IF(ISNUMBER(A175),IFERROR(_xlfn._xlws.FILTER(Equipar!A:A,(Equipar!B:B=6)*(Equipar!AC:AC=A175)),""),"")</f>
        <v/>
      </c>
    </row>
    <row r="176" spans="1:10" x14ac:dyDescent="0.25">
      <c r="A176" s="1">
        <v>315</v>
      </c>
      <c r="B176" s="6" t="s">
        <v>54</v>
      </c>
      <c r="C176" s="6" t="s">
        <v>57</v>
      </c>
      <c r="D176" s="6" t="s">
        <v>36</v>
      </c>
      <c r="E176" s="6" t="s">
        <v>42</v>
      </c>
      <c r="F176" s="6" t="s">
        <v>33</v>
      </c>
      <c r="G176" s="6" t="s">
        <v>42</v>
      </c>
      <c r="I176" s="2" t="str">
        <f ca="1">IF(ISNUMBER(A176),
IF(COUNTIFS(Equipar!B:B,6,Equipar!AC:AC,A176),"Equipada",
IF(
 OR(COUNTIFS(Equipar!B:B,6,Equipar!C:C,A176)
 +COUNTIFS(Equipar!B:B,6,Equipar!D:D,A176)
+COUNTIFS(Equipar!B:B,6,Equipar!E:E,A176)
+COUNTIFS(Equipar!B:B,6,Equipar!F:F,A176)
&gt;0,COUNTIF('Set recomendado'!B:B,C176)=0),
"Bloqueada",
"Desechable")),""
)</f>
        <v>Bloqueada</v>
      </c>
      <c r="J176" t="str" cm="1">
        <f t="array" ref="J176">IF(ISNUMBER(A176),IFERROR(_xlfn._xlws.FILTER(Equipar!A:A,(Equipar!B:B=6)*(Equipar!AC:AC=A176)),""),"")</f>
        <v/>
      </c>
    </row>
    <row r="177" spans="1:10" x14ac:dyDescent="0.25">
      <c r="A177" s="1">
        <v>316</v>
      </c>
      <c r="B177" s="6" t="s">
        <v>54</v>
      </c>
      <c r="C177" s="6" t="s">
        <v>57</v>
      </c>
      <c r="D177" s="6" t="s">
        <v>41</v>
      </c>
      <c r="E177" s="6" t="s">
        <v>36</v>
      </c>
      <c r="F177" s="6" t="s">
        <v>42</v>
      </c>
      <c r="G177" s="6" t="s">
        <v>42</v>
      </c>
      <c r="I177" s="2" t="str">
        <f ca="1">IF(ISNUMBER(A177),
IF(COUNTIFS(Equipar!B:B,6,Equipar!AC:AC,A177),"Equipada",
IF(
 OR(COUNTIFS(Equipar!B:B,6,Equipar!C:C,A177)
 +COUNTIFS(Equipar!B:B,6,Equipar!D:D,A177)
+COUNTIFS(Equipar!B:B,6,Equipar!E:E,A177)
+COUNTIFS(Equipar!B:B,6,Equipar!F:F,A177)
&gt;0,COUNTIF('Set recomendado'!B:B,C177)=0),
"Bloqueada",
"Desechable")),""
)</f>
        <v>Bloqueada</v>
      </c>
      <c r="J177" t="str" cm="1">
        <f t="array" ref="J177">IF(ISNUMBER(A177),IFERROR(_xlfn._xlws.FILTER(Equipar!A:A,(Equipar!B:B=6)*(Equipar!AC:AC=A177)),""),"")</f>
        <v/>
      </c>
    </row>
    <row r="178" spans="1:10" x14ac:dyDescent="0.25">
      <c r="A178" s="1">
        <v>317</v>
      </c>
      <c r="B178" s="6" t="s">
        <v>54</v>
      </c>
      <c r="C178" s="6" t="s">
        <v>57</v>
      </c>
      <c r="D178" s="6" t="s">
        <v>41</v>
      </c>
      <c r="E178" s="6" t="s">
        <v>42</v>
      </c>
      <c r="F178" s="6" t="s">
        <v>41</v>
      </c>
      <c r="I178" s="2" t="str">
        <f ca="1">IF(ISNUMBER(A178),
IF(COUNTIFS(Equipar!B:B,6,Equipar!AC:AC,A178),"Equipada",
IF(
 OR(COUNTIFS(Equipar!B:B,6,Equipar!C:C,A178)
 +COUNTIFS(Equipar!B:B,6,Equipar!D:D,A178)
+COUNTIFS(Equipar!B:B,6,Equipar!E:E,A178)
+COUNTIFS(Equipar!B:B,6,Equipar!F:F,A178)
&gt;0,COUNTIF('Set recomendado'!B:B,C178)=0),
"Bloqueada",
"Desechable")),""
)</f>
        <v>Bloqueada</v>
      </c>
      <c r="J178" t="str" cm="1">
        <f t="array" ref="J178">IF(ISNUMBER(A178),IFERROR(_xlfn._xlws.FILTER(Equipar!A:A,(Equipar!B:B=6)*(Equipar!AC:AC=A178)),""),"")</f>
        <v/>
      </c>
    </row>
    <row r="179" spans="1:10" x14ac:dyDescent="0.25">
      <c r="A179" s="1">
        <v>318</v>
      </c>
      <c r="B179" s="6" t="s">
        <v>54</v>
      </c>
      <c r="C179" s="6" t="s">
        <v>21</v>
      </c>
      <c r="D179" s="6" t="s">
        <v>37</v>
      </c>
      <c r="E179" s="6" t="s">
        <v>38</v>
      </c>
      <c r="F179" s="6" t="s">
        <v>37</v>
      </c>
      <c r="G179" s="6" t="s">
        <v>41</v>
      </c>
      <c r="I179" s="2" t="str">
        <f ca="1">IF(ISNUMBER(A179),
IF(COUNTIFS(Equipar!B:B,6,Equipar!AC:AC,A179),"Equipada",
IF(
 OR(COUNTIFS(Equipar!B:B,6,Equipar!C:C,A179)
 +COUNTIFS(Equipar!B:B,6,Equipar!D:D,A179)
+COUNTIFS(Equipar!B:B,6,Equipar!E:E,A179)
+COUNTIFS(Equipar!B:B,6,Equipar!F:F,A179)
&gt;0,COUNTIF('Set recomendado'!B:B,C179)=0),
"Bloqueada",
"Desechable")),""
)</f>
        <v>Desechable</v>
      </c>
      <c r="J179" t="str" cm="1">
        <f t="array" ref="J179">IF(ISNUMBER(A179),IFERROR(_xlfn._xlws.FILTER(Equipar!A:A,(Equipar!B:B=6)*(Equipar!AC:AC=A179)),""),"")</f>
        <v/>
      </c>
    </row>
    <row r="180" spans="1:10" x14ac:dyDescent="0.25">
      <c r="A180" s="1">
        <v>319</v>
      </c>
      <c r="B180" s="6" t="s">
        <v>54</v>
      </c>
      <c r="C180" s="6" t="s">
        <v>21</v>
      </c>
      <c r="D180" s="6" t="s">
        <v>38</v>
      </c>
      <c r="E180" s="6" t="s">
        <v>32</v>
      </c>
      <c r="F180" s="6" t="s">
        <v>44</v>
      </c>
      <c r="I180" s="2" t="str">
        <f ca="1">IF(ISNUMBER(A180),
IF(COUNTIFS(Equipar!B:B,6,Equipar!AC:AC,A180),"Equipada",
IF(
 OR(COUNTIFS(Equipar!B:B,6,Equipar!C:C,A180)
 +COUNTIFS(Equipar!B:B,6,Equipar!D:D,A180)
+COUNTIFS(Equipar!B:B,6,Equipar!E:E,A180)
+COUNTIFS(Equipar!B:B,6,Equipar!F:F,A180)
&gt;0,COUNTIF('Set recomendado'!B:B,C180)=0),
"Bloqueada",
"Desechable")),""
)</f>
        <v>Desechable</v>
      </c>
      <c r="J180" t="str" cm="1">
        <f t="array" ref="J180">IF(ISNUMBER(A180),IFERROR(_xlfn._xlws.FILTER(Equipar!A:A,(Equipar!B:B=6)*(Equipar!AC:AC=A180)),""),"")</f>
        <v/>
      </c>
    </row>
    <row r="181" spans="1:10" x14ac:dyDescent="0.25">
      <c r="A181" s="1">
        <v>320</v>
      </c>
      <c r="B181" s="6" t="s">
        <v>54</v>
      </c>
      <c r="C181" s="6" t="s">
        <v>21</v>
      </c>
      <c r="D181" s="6" t="s">
        <v>38</v>
      </c>
      <c r="E181" s="6" t="s">
        <v>42</v>
      </c>
      <c r="F181" s="6" t="s">
        <v>42</v>
      </c>
      <c r="I181" s="2" t="str">
        <f ca="1">IF(ISNUMBER(A181),
IF(COUNTIFS(Equipar!B:B,6,Equipar!AC:AC,A181),"Equipada",
IF(
 OR(COUNTIFS(Equipar!B:B,6,Equipar!C:C,A181)
 +COUNTIFS(Equipar!B:B,6,Equipar!D:D,A181)
+COUNTIFS(Equipar!B:B,6,Equipar!E:E,A181)
+COUNTIFS(Equipar!B:B,6,Equipar!F:F,A181)
&gt;0,COUNTIF('Set recomendado'!B:B,C181)=0),
"Bloqueada",
"Desechable")),""
)</f>
        <v>Desechable</v>
      </c>
      <c r="J181" t="str" cm="1">
        <f t="array" ref="J181">IF(ISNUMBER(A181),IFERROR(_xlfn._xlws.FILTER(Equipar!A:A,(Equipar!B:B=6)*(Equipar!AC:AC=A181)),""),"")</f>
        <v/>
      </c>
    </row>
    <row r="182" spans="1:10" x14ac:dyDescent="0.25">
      <c r="A182" s="1">
        <v>321</v>
      </c>
      <c r="B182" s="6" t="s">
        <v>54</v>
      </c>
      <c r="C182" s="6" t="s">
        <v>21</v>
      </c>
      <c r="D182" s="6" t="s">
        <v>43</v>
      </c>
      <c r="E182" s="6" t="s">
        <v>44</v>
      </c>
      <c r="F182" s="6" t="s">
        <v>37</v>
      </c>
      <c r="I182" s="2" t="str">
        <f ca="1">IF(ISNUMBER(A182),
IF(COUNTIFS(Equipar!B:B,6,Equipar!AC:AC,A182),"Equipada",
IF(
 OR(COUNTIFS(Equipar!B:B,6,Equipar!C:C,A182)
 +COUNTIFS(Equipar!B:B,6,Equipar!D:D,A182)
+COUNTIFS(Equipar!B:B,6,Equipar!E:E,A182)
+COUNTIFS(Equipar!B:B,6,Equipar!F:F,A182)
&gt;0,COUNTIF('Set recomendado'!B:B,C182)=0),
"Bloqueada",
"Desechable")),""
)</f>
        <v>Desechable</v>
      </c>
      <c r="J182" t="str" cm="1">
        <f t="array" ref="J182">IF(ISNUMBER(A182),IFERROR(_xlfn._xlws.FILTER(Equipar!A:A,(Equipar!B:B=6)*(Equipar!AC:AC=A182)),""),"")</f>
        <v/>
      </c>
    </row>
    <row r="183" spans="1:10" x14ac:dyDescent="0.25">
      <c r="A183" s="1">
        <v>322</v>
      </c>
      <c r="B183" s="6" t="s">
        <v>54</v>
      </c>
      <c r="C183" s="6" t="s">
        <v>21</v>
      </c>
      <c r="D183" s="6" t="s">
        <v>43</v>
      </c>
      <c r="E183" s="6" t="s">
        <v>36</v>
      </c>
      <c r="F183" s="6" t="s">
        <v>41</v>
      </c>
      <c r="I183" s="2" t="str">
        <f ca="1">IF(ISNUMBER(A183),
IF(COUNTIFS(Equipar!B:B,6,Equipar!AC:AC,A183),"Equipada",
IF(
 OR(COUNTIFS(Equipar!B:B,6,Equipar!C:C,A183)
 +COUNTIFS(Equipar!B:B,6,Equipar!D:D,A183)
+COUNTIFS(Equipar!B:B,6,Equipar!E:E,A183)
+COUNTIFS(Equipar!B:B,6,Equipar!F:F,A183)
&gt;0,COUNTIF('Set recomendado'!B:B,C183)=0),
"Bloqueada",
"Desechable")),""
)</f>
        <v>Desechable</v>
      </c>
      <c r="J183" t="str" cm="1">
        <f t="array" ref="J183">IF(ISNUMBER(A183),IFERROR(_xlfn._xlws.FILTER(Equipar!A:A,(Equipar!B:B=6)*(Equipar!AC:AC=A183)),""),"")</f>
        <v/>
      </c>
    </row>
    <row r="184" spans="1:10" x14ac:dyDescent="0.25">
      <c r="A184" s="1">
        <v>323</v>
      </c>
      <c r="B184" s="6" t="s">
        <v>54</v>
      </c>
      <c r="C184" s="6" t="s">
        <v>29</v>
      </c>
      <c r="D184" s="6" t="s">
        <v>35</v>
      </c>
      <c r="E184" s="6" t="s">
        <v>38</v>
      </c>
      <c r="F184" s="6" t="s">
        <v>43</v>
      </c>
      <c r="I184" s="2" t="str">
        <f ca="1">IF(ISNUMBER(A184),
IF(COUNTIFS(Equipar!B:B,6,Equipar!AC:AC,A184),"Equipada",
IF(
 OR(COUNTIFS(Equipar!B:B,6,Equipar!C:C,A184)
 +COUNTIFS(Equipar!B:B,6,Equipar!D:D,A184)
+COUNTIFS(Equipar!B:B,6,Equipar!E:E,A184)
+COUNTIFS(Equipar!B:B,6,Equipar!F:F,A184)
&gt;0,COUNTIF('Set recomendado'!B:B,C184)=0),
"Bloqueada",
"Desechable")),""
)</f>
        <v>Desechable</v>
      </c>
      <c r="J184" t="str" cm="1">
        <f t="array" ref="J184">IF(ISNUMBER(A184),IFERROR(_xlfn._xlws.FILTER(Equipar!A:A,(Equipar!B:B=6)*(Equipar!AC:AC=A184)),""),"")</f>
        <v/>
      </c>
    </row>
    <row r="185" spans="1:10" x14ac:dyDescent="0.25">
      <c r="A185" s="1">
        <v>324</v>
      </c>
      <c r="B185" s="6" t="s">
        <v>53</v>
      </c>
      <c r="C185" s="6" t="s">
        <v>4</v>
      </c>
      <c r="D185" s="6" t="s">
        <v>36</v>
      </c>
      <c r="E185" s="6" t="s">
        <v>32</v>
      </c>
      <c r="F185" s="6" t="s">
        <v>41</v>
      </c>
      <c r="G185" s="6" t="s">
        <v>40</v>
      </c>
      <c r="I185" s="2" t="str">
        <f ca="1">IF(ISNUMBER(A185),
IF(COUNTIFS(Equipar!B:B,6,Equipar!AC:AC,A185),"Equipada",
IF(
 OR(COUNTIFS(Equipar!B:B,6,Equipar!C:C,A185)
 +COUNTIFS(Equipar!B:B,6,Equipar!D:D,A185)
+COUNTIFS(Equipar!B:B,6,Equipar!E:E,A185)
+COUNTIFS(Equipar!B:B,6,Equipar!F:F,A185)
&gt;0,COUNTIF('Set recomendado'!B:B,C185)=0),
"Bloqueada",
"Desechable")),""
)</f>
        <v>Desechable</v>
      </c>
      <c r="J185" t="str" cm="1">
        <f t="array" ref="J185">IF(ISNUMBER(A185),IFERROR(_xlfn._xlws.FILTER(Equipar!A:A,(Equipar!B:B=6)*(Equipar!AC:AC=A185)),""),"")</f>
        <v/>
      </c>
    </row>
    <row r="186" spans="1:10" x14ac:dyDescent="0.25">
      <c r="A186" s="1">
        <f>IF(A185="ID",1,IF(ISBLANK(B186),"",MAX(A$2:A185)+1))</f>
        <v>325</v>
      </c>
      <c r="B186" s="6" t="s">
        <v>53</v>
      </c>
      <c r="C186" s="6" t="s">
        <v>13</v>
      </c>
      <c r="D186" s="6" t="s">
        <v>41</v>
      </c>
      <c r="E186" s="6" t="s">
        <v>37</v>
      </c>
      <c r="F186" s="6" t="s">
        <v>34</v>
      </c>
      <c r="G186" s="6" t="s">
        <v>43</v>
      </c>
      <c r="I186" s="2" t="str">
        <f ca="1">IF(ISNUMBER(A186),
IF(COUNTIFS(Equipar!B:B,6,Equipar!AC:AC,A186),"Equipada",
IF(
 OR(COUNTIFS(Equipar!B:B,6,Equipar!C:C,A186)
 +COUNTIFS(Equipar!B:B,6,Equipar!D:D,A186)
+COUNTIFS(Equipar!B:B,6,Equipar!E:E,A186)
+COUNTIFS(Equipar!B:B,6,Equipar!F:F,A186)
&gt;0,COUNTIF('Set recomendado'!B:B,C186)=0),
"Bloqueada",
"Desechable")),""
)</f>
        <v>Desechable</v>
      </c>
      <c r="J186" t="str" cm="1">
        <f t="array" ref="J186">IF(ISNUMBER(A186),IFERROR(_xlfn._xlws.FILTER(Equipar!A:A,(Equipar!B:B=6)*(Equipar!AC:AC=A186)),""),"")</f>
        <v/>
      </c>
    </row>
    <row r="187" spans="1:10" x14ac:dyDescent="0.25">
      <c r="A187" s="1">
        <f>IF(A186="ID",1,IF(ISBLANK(B187),"",MAX(A$2:A186)+1))</f>
        <v>326</v>
      </c>
      <c r="B187" s="6" t="s">
        <v>53</v>
      </c>
      <c r="C187" s="6" t="s">
        <v>55</v>
      </c>
      <c r="D187" s="6" t="s">
        <v>38</v>
      </c>
      <c r="E187" s="6" t="s">
        <v>42</v>
      </c>
      <c r="F187" s="6" t="s">
        <v>38</v>
      </c>
      <c r="G187" s="6" t="s">
        <v>37</v>
      </c>
      <c r="I187" s="2" t="str">
        <f ca="1">IF(ISNUMBER(A187),
IF(COUNTIFS(Equipar!B:B,6,Equipar!AC:AC,A187),"Equipada",
IF(
 OR(COUNTIFS(Equipar!B:B,6,Equipar!C:C,A187)
 +COUNTIFS(Equipar!B:B,6,Equipar!D:D,A187)
+COUNTIFS(Equipar!B:B,6,Equipar!E:E,A187)
+COUNTIFS(Equipar!B:B,6,Equipar!F:F,A187)
&gt;0,COUNTIF('Set recomendado'!B:B,C187)=0),
"Bloqueada",
"Desechable")),""
)</f>
        <v>Desechable</v>
      </c>
      <c r="J187" t="str" cm="1">
        <f t="array" ref="J187">IF(ISNUMBER(A187),IFERROR(_xlfn._xlws.FILTER(Equipar!A:A,(Equipar!B:B=6)*(Equipar!AC:AC=A187)),""),"")</f>
        <v/>
      </c>
    </row>
    <row r="188" spans="1:10" x14ac:dyDescent="0.25">
      <c r="A188" s="1">
        <f>IF(A187="ID",1,IF(ISBLANK(B188),"",MAX(A$2:A187)+1))</f>
        <v>327</v>
      </c>
      <c r="B188" s="6" t="s">
        <v>54</v>
      </c>
      <c r="C188" s="6" t="s">
        <v>4</v>
      </c>
      <c r="D188" s="6" t="s">
        <v>36</v>
      </c>
      <c r="E188" s="6" t="s">
        <v>37</v>
      </c>
      <c r="F188" s="6" t="s">
        <v>41</v>
      </c>
      <c r="I188" s="2" t="str">
        <f ca="1">IF(ISNUMBER(A188),
IF(COUNTIFS(Equipar!B:B,6,Equipar!AC:AC,A188),"Equipada",
IF(
 OR(COUNTIFS(Equipar!B:B,6,Equipar!C:C,A188)
 +COUNTIFS(Equipar!B:B,6,Equipar!D:D,A188)
+COUNTIFS(Equipar!B:B,6,Equipar!E:E,A188)
+COUNTIFS(Equipar!B:B,6,Equipar!F:F,A188)
&gt;0,COUNTIF('Set recomendado'!B:B,C188)=0),
"Bloqueada",
"Desechable")),""
)</f>
        <v>Desechable</v>
      </c>
      <c r="J188" t="str" cm="1">
        <f t="array" ref="J188">IF(ISNUMBER(A188),IFERROR(_xlfn._xlws.FILTER(Equipar!A:A,(Equipar!B:B=6)*(Equipar!AC:AC=A188)),""),"")</f>
        <v/>
      </c>
    </row>
    <row r="189" spans="1:10" x14ac:dyDescent="0.25">
      <c r="A189" s="1">
        <f>IF(A188="ID",1,IF(ISBLANK(B189),"",MAX(A$2:A188)+1))</f>
        <v>328</v>
      </c>
      <c r="B189" s="6" t="s">
        <v>54</v>
      </c>
      <c r="C189" s="6" t="s">
        <v>4</v>
      </c>
      <c r="D189" s="6" t="s">
        <v>32</v>
      </c>
      <c r="E189" s="6" t="s">
        <v>35</v>
      </c>
      <c r="F189" s="6" t="s">
        <v>41</v>
      </c>
      <c r="I189" s="2" t="str">
        <f ca="1">IF(ISNUMBER(A189),
IF(COUNTIFS(Equipar!B:B,6,Equipar!AC:AC,A189),"Equipada",
IF(
 OR(COUNTIFS(Equipar!B:B,6,Equipar!C:C,A189)
 +COUNTIFS(Equipar!B:B,6,Equipar!D:D,A189)
+COUNTIFS(Equipar!B:B,6,Equipar!E:E,A189)
+COUNTIFS(Equipar!B:B,6,Equipar!F:F,A189)
&gt;0,COUNTIF('Set recomendado'!B:B,C189)=0),
"Bloqueada",
"Desechable")),""
)</f>
        <v>Desechable</v>
      </c>
      <c r="J189" t="str" cm="1">
        <f t="array" aca="1" ref="J189" ca="1">IF(ISNUMBER(A189),IFERROR(_xlfn._xlws.FILTER(Equipar!A:A,(Equipar!B:B=6)*(Equipar!AC:AC=A189)),""),"")</f>
        <v/>
      </c>
    </row>
    <row r="190" spans="1:10" x14ac:dyDescent="0.25">
      <c r="A190" s="1">
        <f ca="1">IF(A189="ID",1,IF(ISBLANK(B190),"",MAX(A$2:A189)+1))</f>
        <v>329</v>
      </c>
      <c r="B190" s="6" t="s">
        <v>54</v>
      </c>
      <c r="C190" s="6" t="s">
        <v>4</v>
      </c>
      <c r="D190" s="6" t="s">
        <v>36</v>
      </c>
      <c r="E190" s="6" t="s">
        <v>39</v>
      </c>
      <c r="F190" s="6" t="s">
        <v>38</v>
      </c>
      <c r="G190" s="6" t="s">
        <v>42</v>
      </c>
      <c r="I190" s="2" t="str">
        <f ca="1">IF(ISNUMBER(A190),
IF(COUNTIFS(Equipar!B:B,6,Equipar!AC:AC,A190),"Equipada",
IF(
 OR(COUNTIFS(Equipar!B:B,6,Equipar!C:C,A190)
 +COUNTIFS(Equipar!B:B,6,Equipar!D:D,A190)
+COUNTIFS(Equipar!B:B,6,Equipar!E:E,A190)
+COUNTIFS(Equipar!B:B,6,Equipar!F:F,A190)
&gt;0,COUNTIF('Set recomendado'!B:B,C190)=0),
"Bloqueada",
"Desechable")),""
)</f>
        <v>Desechable</v>
      </c>
      <c r="J190" t="str" cm="1">
        <f t="array" aca="1" ref="J190" ca="1">IF(ISNUMBER(A190),IFERROR(_xlfn._xlws.FILTER(Equipar!A:A,(Equipar!B:B=6)*(Equipar!AC:AC=A190)),""),"")</f>
        <v/>
      </c>
    </row>
    <row r="191" spans="1:10" x14ac:dyDescent="0.25">
      <c r="A191" s="1">
        <f ca="1">IF(A190="ID",1,IF(ISBLANK(B191),"",MAX(A$2:A190)+1))</f>
        <v>330</v>
      </c>
      <c r="B191" s="6" t="s">
        <v>54</v>
      </c>
      <c r="C191" s="6" t="s">
        <v>4</v>
      </c>
      <c r="D191" s="6" t="s">
        <v>36</v>
      </c>
      <c r="E191" s="6" t="s">
        <v>32</v>
      </c>
      <c r="F191" s="6" t="s">
        <v>42</v>
      </c>
      <c r="G191" s="6" t="s">
        <v>41</v>
      </c>
      <c r="I191" s="2" t="str">
        <f ca="1">IF(ISNUMBER(A191),
IF(COUNTIFS(Equipar!B:B,6,Equipar!AC:AC,A191),"Equipada",
IF(
 OR(COUNTIFS(Equipar!B:B,6,Equipar!C:C,A191)
 +COUNTIFS(Equipar!B:B,6,Equipar!D:D,A191)
+COUNTIFS(Equipar!B:B,6,Equipar!E:E,A191)
+COUNTIFS(Equipar!B:B,6,Equipar!F:F,A191)
&gt;0,COUNTIF('Set recomendado'!B:B,C191)=0),
"Bloqueada",
"Desechable")),""
)</f>
        <v>Desechable</v>
      </c>
      <c r="J191" t="str" cm="1">
        <f t="array" aca="1" ref="J191" ca="1">IF(ISNUMBER(A191),IFERROR(_xlfn._xlws.FILTER(Equipar!A:A,(Equipar!B:B=6)*(Equipar!AC:AC=A191)),""),"")</f>
        <v/>
      </c>
    </row>
    <row r="192" spans="1:10" x14ac:dyDescent="0.25">
      <c r="A192" s="1">
        <f ca="1">IF(A191="ID",1,IF(ISBLANK(B192),"",MAX(A$2:A191)+1))</f>
        <v>331</v>
      </c>
      <c r="B192" s="6" t="s">
        <v>54</v>
      </c>
      <c r="C192" s="6" t="s">
        <v>13</v>
      </c>
      <c r="D192" s="6" t="s">
        <v>41</v>
      </c>
      <c r="E192" s="6" t="s">
        <v>32</v>
      </c>
      <c r="F192" s="6" t="s">
        <v>39</v>
      </c>
      <c r="G192" s="6" t="s">
        <v>36</v>
      </c>
      <c r="I192" s="2" t="str">
        <f ca="1">IF(ISNUMBER(A192),
IF(COUNTIFS(Equipar!B:B,6,Equipar!AC:AC,A192),"Equipada",
IF(
 OR(COUNTIFS(Equipar!B:B,6,Equipar!C:C,A192)
 +COUNTIFS(Equipar!B:B,6,Equipar!D:D,A192)
+COUNTIFS(Equipar!B:B,6,Equipar!E:E,A192)
+COUNTIFS(Equipar!B:B,6,Equipar!F:F,A192)
&gt;0,COUNTIF('Set recomendado'!B:B,C192)=0),
"Bloqueada",
"Desechable")),""
)</f>
        <v>Desechable</v>
      </c>
      <c r="J192" t="str" cm="1">
        <f t="array" aca="1" ref="J192" ca="1">IF(ISNUMBER(A192),IFERROR(_xlfn._xlws.FILTER(Equipar!A:A,(Equipar!B:B=6)*(Equipar!AC:AC=A192)),""),"")</f>
        <v/>
      </c>
    </row>
    <row r="193" spans="1:10" x14ac:dyDescent="0.25">
      <c r="A193" s="1">
        <f ca="1">IF(A192="ID",1,IF(ISBLANK(B193),"",MAX(A$2:A192)+1))</f>
        <v>332</v>
      </c>
      <c r="B193" s="6" t="s">
        <v>54</v>
      </c>
      <c r="C193" s="6" t="s">
        <v>13</v>
      </c>
      <c r="D193" s="6" t="s">
        <v>37</v>
      </c>
      <c r="E193" s="6" t="s">
        <v>38</v>
      </c>
      <c r="F193" s="6" t="s">
        <v>36</v>
      </c>
      <c r="I193" s="2" t="str">
        <f ca="1">IF(ISNUMBER(A193),
IF(COUNTIFS(Equipar!B:B,6,Equipar!AC:AC,A193),"Equipada",
IF(
 OR(COUNTIFS(Equipar!B:B,6,Equipar!C:C,A193)
 +COUNTIFS(Equipar!B:B,6,Equipar!D:D,A193)
+COUNTIFS(Equipar!B:B,6,Equipar!E:E,A193)
+COUNTIFS(Equipar!B:B,6,Equipar!F:F,A193)
&gt;0,COUNTIF('Set recomendado'!B:B,C193)=0),
"Bloqueada",
"Desechable")),""
)</f>
        <v>Desechable</v>
      </c>
      <c r="J193" t="str" cm="1">
        <f t="array" aca="1" ref="J193" ca="1">IF(ISNUMBER(A193),IFERROR(_xlfn._xlws.FILTER(Equipar!A:A,(Equipar!B:B=6)*(Equipar!AC:AC=A193)),""),"")</f>
        <v/>
      </c>
    </row>
    <row r="194" spans="1:10" x14ac:dyDescent="0.25">
      <c r="A194" s="1">
        <f ca="1">IF(A193="ID",1,IF(ISBLANK(B194),"",MAX(A$2:A193)+1))</f>
        <v>333</v>
      </c>
      <c r="B194" s="6" t="s">
        <v>54</v>
      </c>
      <c r="C194" s="6" t="s">
        <v>22</v>
      </c>
      <c r="D194" s="6" t="s">
        <v>32</v>
      </c>
      <c r="E194" s="6" t="s">
        <v>43</v>
      </c>
      <c r="F194" s="6" t="s">
        <v>42</v>
      </c>
      <c r="I194" s="2" t="str">
        <f ca="1">IF(ISNUMBER(A194),
IF(COUNTIFS(Equipar!B:B,6,Equipar!AC:AC,A194),"Equipada",
IF(
 OR(COUNTIFS(Equipar!B:B,6,Equipar!C:C,A194)
 +COUNTIFS(Equipar!B:B,6,Equipar!D:D,A194)
+COUNTIFS(Equipar!B:B,6,Equipar!E:E,A194)
+COUNTIFS(Equipar!B:B,6,Equipar!F:F,A194)
&gt;0,COUNTIF('Set recomendado'!B:B,C194)=0),
"Bloqueada",
"Desechable")),""
)</f>
        <v>Desechable</v>
      </c>
      <c r="J194" t="str" cm="1">
        <f t="array" aca="1" ref="J194" ca="1">IF(ISNUMBER(A194),IFERROR(_xlfn._xlws.FILTER(Equipar!A:A,(Equipar!B:B=6)*(Equipar!AC:AC=A194)),""),"")</f>
        <v/>
      </c>
    </row>
    <row r="195" spans="1:10" x14ac:dyDescent="0.25">
      <c r="A195" s="1">
        <f ca="1">IF(A194="ID",1,IF(ISBLANK(B195),"",MAX(A$2:A194)+1))</f>
        <v>334</v>
      </c>
      <c r="B195" s="6" t="s">
        <v>54</v>
      </c>
      <c r="C195" s="6" t="s">
        <v>22</v>
      </c>
      <c r="D195" s="6" t="s">
        <v>35</v>
      </c>
      <c r="E195" s="6" t="s">
        <v>42</v>
      </c>
      <c r="F195" s="6" t="s">
        <v>32</v>
      </c>
      <c r="I195" s="2" t="str">
        <f ca="1">IF(ISNUMBER(A195),
IF(COUNTIFS(Equipar!B:B,6,Equipar!AC:AC,A195),"Equipada",
IF(
 OR(COUNTIFS(Equipar!B:B,6,Equipar!C:C,A195)
 +COUNTIFS(Equipar!B:B,6,Equipar!D:D,A195)
+COUNTIFS(Equipar!B:B,6,Equipar!E:E,A195)
+COUNTIFS(Equipar!B:B,6,Equipar!F:F,A195)
&gt;0,COUNTIF('Set recomendado'!B:B,C195)=0),
"Bloqueada",
"Desechable")),""
)</f>
        <v>Desechable</v>
      </c>
      <c r="J195" t="str" cm="1">
        <f t="array" aca="1" ref="J195" ca="1">IF(ISNUMBER(A195),IFERROR(_xlfn._xlws.FILTER(Equipar!A:A,(Equipar!B:B=6)*(Equipar!AC:AC=A195)),""),"")</f>
        <v/>
      </c>
    </row>
    <row r="196" spans="1:10" x14ac:dyDescent="0.25">
      <c r="A196" s="1">
        <f ca="1">IF(A195="ID",1,IF(ISBLANK(B196),"",MAX(A$2:A195)+1))</f>
        <v>335</v>
      </c>
      <c r="B196" s="6" t="s">
        <v>54</v>
      </c>
      <c r="C196" s="6" t="s">
        <v>16</v>
      </c>
      <c r="D196" s="6" t="s">
        <v>41</v>
      </c>
      <c r="E196" s="6" t="s">
        <v>37</v>
      </c>
      <c r="F196" s="6" t="s">
        <v>37</v>
      </c>
      <c r="I196" s="2" t="str">
        <f ca="1">IF(ISNUMBER(A196),
IF(COUNTIFS(Equipar!B:B,6,Equipar!AC:AC,A196),"Equipada",
IF(
 OR(COUNTIFS(Equipar!B:B,6,Equipar!C:C,A196)
 +COUNTIFS(Equipar!B:B,6,Equipar!D:D,A196)
+COUNTIFS(Equipar!B:B,6,Equipar!E:E,A196)
+COUNTIFS(Equipar!B:B,6,Equipar!F:F,A196)
&gt;0,COUNTIF('Set recomendado'!B:B,C196)=0),
"Bloqueada",
"Desechable")),""
)</f>
        <v>Desechable</v>
      </c>
      <c r="J196" t="str" cm="1">
        <f t="array" aca="1" ref="J196" ca="1">IF(ISNUMBER(A196),IFERROR(_xlfn._xlws.FILTER(Equipar!A:A,(Equipar!B:B=6)*(Equipar!AC:AC=A196)),""),"")</f>
        <v/>
      </c>
    </row>
    <row r="197" spans="1:10" x14ac:dyDescent="0.25">
      <c r="A197" s="1">
        <f ca="1">IF(A196="ID",1,IF(ISBLANK(B197),"",MAX(A$2:A196)+1))</f>
        <v>336</v>
      </c>
      <c r="B197" s="6" t="s">
        <v>54</v>
      </c>
      <c r="C197" s="6" t="s">
        <v>29</v>
      </c>
      <c r="D197" s="6" t="s">
        <v>32</v>
      </c>
      <c r="E197" s="6" t="s">
        <v>43</v>
      </c>
      <c r="F197" s="6" t="s">
        <v>37</v>
      </c>
      <c r="I197" s="2" t="str">
        <f ca="1">IF(ISNUMBER(A197),
IF(COUNTIFS(Equipar!B:B,6,Equipar!AC:AC,A197),"Equipada",
IF(
 OR(COUNTIFS(Equipar!B:B,6,Equipar!C:C,A197)
 +COUNTIFS(Equipar!B:B,6,Equipar!D:D,A197)
+COUNTIFS(Equipar!B:B,6,Equipar!E:E,A197)
+COUNTIFS(Equipar!B:B,6,Equipar!F:F,A197)
&gt;0,COUNTIF('Set recomendado'!B:B,C197)=0),
"Bloqueada",
"Desechable")),""
)</f>
        <v>Desechable</v>
      </c>
      <c r="J197" t="str" cm="1">
        <f t="array" aca="1" ref="J197" ca="1">IF(ISNUMBER(A197),IFERROR(_xlfn._xlws.FILTER(Equipar!A:A,(Equipar!B:B=6)*(Equipar!AC:AC=A197)),""),"")</f>
        <v/>
      </c>
    </row>
    <row r="198" spans="1:10" x14ac:dyDescent="0.25">
      <c r="A198" s="1">
        <f ca="1">IF(A197="ID",1,IF(ISBLANK(B198),"",MAX(A$2:A197)+1))</f>
        <v>337</v>
      </c>
      <c r="B198" s="6" t="s">
        <v>54</v>
      </c>
      <c r="C198" s="6" t="s">
        <v>29</v>
      </c>
      <c r="D198" s="6" t="s">
        <v>32</v>
      </c>
      <c r="E198" s="6" t="s">
        <v>36</v>
      </c>
      <c r="F198" s="6" t="s">
        <v>36</v>
      </c>
      <c r="I198" s="2" t="str">
        <f ca="1">IF(ISNUMBER(A198),
IF(COUNTIFS(Equipar!B:B,6,Equipar!AC:AC,A198),"Equipada",
IF(
 OR(COUNTIFS(Equipar!B:B,6,Equipar!C:C,A198)
 +COUNTIFS(Equipar!B:B,6,Equipar!D:D,A198)
+COUNTIFS(Equipar!B:B,6,Equipar!E:E,A198)
+COUNTIFS(Equipar!B:B,6,Equipar!F:F,A198)
&gt;0,COUNTIF('Set recomendado'!B:B,C198)=0),
"Bloqueada",
"Desechable")),""
)</f>
        <v>Bloqueada</v>
      </c>
      <c r="J198" t="str" cm="1">
        <f t="array" aca="1" ref="J198" ca="1">IF(ISNUMBER(A198),IFERROR(_xlfn._xlws.FILTER(Equipar!A:A,(Equipar!B:B=6)*(Equipar!AC:AC=A198)),""),"")</f>
        <v/>
      </c>
    </row>
    <row r="199" spans="1:10" x14ac:dyDescent="0.25">
      <c r="A199" s="1" t="str">
        <f ca="1">IF(A198="ID",1,IF(ISBLANK(B199),"",MAX(A$2:A198)+1))</f>
        <v/>
      </c>
      <c r="I199" s="2" t="str">
        <f ca="1">IF(ISNUMBER(A199),
IF(COUNTIFS(Equipar!B:B,6,Equipar!AC:AC,A199),"Equipada",
IF(
 OR(COUNTIFS(Equipar!B:B,6,Equipar!C:C,A199)
 +COUNTIFS(Equipar!B:B,6,Equipar!D:D,A199)
+COUNTIFS(Equipar!B:B,6,Equipar!E:E,A199)
+COUNTIFS(Equipar!B:B,6,Equipar!F:F,A199)
&gt;0,COUNTIF('Set recomendado'!B:B,C199)=0),
"Bloqueada",
"Desechable")),""
)</f>
        <v/>
      </c>
      <c r="J199" t="str" cm="1">
        <f t="array" aca="1" ref="J199" ca="1">IF(ISNUMBER(A199),IFERROR(_xlfn._xlws.FILTER(Equipar!A:A,(Equipar!B:B=6)*(Equipar!AC:AC=A199)),""),"")</f>
        <v/>
      </c>
    </row>
    <row r="200" spans="1:10" x14ac:dyDescent="0.25">
      <c r="A200" s="1" t="str">
        <f ca="1">IF(A199="ID",1,IF(ISBLANK(B200),"",MAX(A$2:A199)+1))</f>
        <v/>
      </c>
      <c r="I200" s="2" t="str">
        <f ca="1">IF(ISNUMBER(A200),
IF(COUNTIFS(Equipar!B:B,6,Equipar!AC:AC,A200),"Equipada",
IF(
 OR(COUNTIFS(Equipar!B:B,6,Equipar!C:C,A200)
 +COUNTIFS(Equipar!B:B,6,Equipar!D:D,A200)
+COUNTIFS(Equipar!B:B,6,Equipar!E:E,A200)
+COUNTIFS(Equipar!B:B,6,Equipar!F:F,A200)
&gt;0,COUNTIF('Set recomendado'!B:B,C200)=0),
"Bloqueada",
"Desechable")),""
)</f>
        <v/>
      </c>
      <c r="J200" t="str" cm="1">
        <f t="array" aca="1" ref="J200" ca="1">IF(ISNUMBER(A200),IFERROR(_xlfn._xlws.FILTER(Equipar!A:A,(Equipar!B:B=6)*(Equipar!AC:AC=A200)),""),"")</f>
        <v/>
      </c>
    </row>
    <row r="201" spans="1:10" x14ac:dyDescent="0.25">
      <c r="A201" s="1" t="str">
        <f ca="1">IF(A200="ID",1,IF(ISBLANK(B201),"",MAX(A$2:A200)+1))</f>
        <v/>
      </c>
      <c r="I201" s="2" t="str">
        <f ca="1">IF(ISNUMBER(A201),
IF(COUNTIFS(Equipar!B:B,6,Equipar!AC:AC,A201),"Equipada",
IF(
 OR(COUNTIFS(Equipar!B:B,6,Equipar!C:C,A201)
 +COUNTIFS(Equipar!B:B,6,Equipar!D:D,A201)
+COUNTIFS(Equipar!B:B,6,Equipar!E:E,A201)
+COUNTIFS(Equipar!B:B,6,Equipar!F:F,A201)
&gt;0,COUNTIF('Set recomendado'!B:B,C201)=0),
"Bloqueada",
"Desechable")),""
)</f>
        <v/>
      </c>
      <c r="J201" t="str" cm="1">
        <f t="array" aca="1" ref="J201" ca="1">IF(ISNUMBER(A201),IFERROR(_xlfn._xlws.FILTER(Equipar!A:A,(Equipar!B:B=6)*(Equipar!AC:AC=A201)),""),"")</f>
        <v/>
      </c>
    </row>
    <row r="202" spans="1:10" x14ac:dyDescent="0.25">
      <c r="A202" s="1" t="str">
        <f ca="1">IF(A201="ID",1,IF(ISBLANK(B202),"",MAX(A$2:A201)+1))</f>
        <v/>
      </c>
      <c r="I202" s="2" t="str">
        <f ca="1">IF(ISNUMBER(A202),
IF(COUNTIFS(Equipar!B:B,6,Equipar!AC:AC,A202),"Equipada",
IF(
 OR(COUNTIFS(Equipar!B:B,6,Equipar!C:C,A202)
 +COUNTIFS(Equipar!B:B,6,Equipar!D:D,A202)
+COUNTIFS(Equipar!B:B,6,Equipar!E:E,A202)
+COUNTIFS(Equipar!B:B,6,Equipar!F:F,A202)
&gt;0,COUNTIF('Set recomendado'!B:B,C202)=0),
"Bloqueada",
"Desechable")),""
)</f>
        <v/>
      </c>
      <c r="J202" t="str" cm="1">
        <f t="array" aca="1" ref="J202" ca="1">IF(ISNUMBER(A202),IFERROR(_xlfn._xlws.FILTER(Equipar!A:A,(Equipar!B:B=6)*(Equipar!AC:AC=A202)),""),"")</f>
        <v/>
      </c>
    </row>
    <row r="203" spans="1:10" x14ac:dyDescent="0.25">
      <c r="A203" s="1" t="str">
        <f ca="1">IF(A202="ID",1,IF(ISBLANK(B203),"",MAX(A$2:A202)+1))</f>
        <v/>
      </c>
      <c r="I203" s="2" t="str">
        <f ca="1">IF(ISNUMBER(A203),
IF(COUNTIFS(Equipar!B:B,6,Equipar!AC:AC,A203),"Equipada",
IF(
 OR(COUNTIFS(Equipar!B:B,6,Equipar!C:C,A203)
 +COUNTIFS(Equipar!B:B,6,Equipar!D:D,A203)
+COUNTIFS(Equipar!B:B,6,Equipar!E:E,A203)
+COUNTIFS(Equipar!B:B,6,Equipar!F:F,A203)
&gt;0,COUNTIF('Set recomendado'!B:B,C203)=0),
"Bloqueada",
"Desechable")),""
)</f>
        <v/>
      </c>
      <c r="J203" t="str" cm="1">
        <f t="array" aca="1" ref="J203" ca="1">IF(ISNUMBER(A203),IFERROR(_xlfn._xlws.FILTER(Equipar!A:A,(Equipar!B:B=6)*(Equipar!AC:AC=A203)),""),"")</f>
        <v/>
      </c>
    </row>
    <row r="204" spans="1:10" x14ac:dyDescent="0.25">
      <c r="A204" s="1" t="str">
        <f ca="1">IF(A203="ID",1,IF(ISBLANK(B204),"",MAX(A$2:A203)+1))</f>
        <v/>
      </c>
      <c r="I204" s="2" t="str">
        <f ca="1">IF(ISNUMBER(A204),
IF(COUNTIFS(Equipar!B:B,6,Equipar!AC:AC,A204),"Equipada",
IF(
 OR(COUNTIFS(Equipar!B:B,6,Equipar!C:C,A204)
 +COUNTIFS(Equipar!B:B,6,Equipar!D:D,A204)
+COUNTIFS(Equipar!B:B,6,Equipar!E:E,A204)
+COUNTIFS(Equipar!B:B,6,Equipar!F:F,A204)
&gt;0,COUNTIF('Set recomendado'!B:B,C204)=0),
"Bloqueada",
"Desechable")),""
)</f>
        <v/>
      </c>
      <c r="J204" t="str" cm="1">
        <f t="array" aca="1" ref="J204" ca="1">IF(ISNUMBER(A204),IFERROR(_xlfn._xlws.FILTER(Equipar!A:A,(Equipar!B:B=6)*(Equipar!AC:AC=A204)),""),"")</f>
        <v/>
      </c>
    </row>
    <row r="205" spans="1:10" x14ac:dyDescent="0.25">
      <c r="A205" s="1" t="str">
        <f ca="1">IF(A204="ID",1,IF(ISBLANK(B205),"",MAX(A$2:A204)+1))</f>
        <v/>
      </c>
      <c r="I205" s="2" t="str">
        <f ca="1">IF(ISNUMBER(A205),
IF(COUNTIFS(Equipar!B:B,6,Equipar!AC:AC,A205),"Equipada",
IF(
 OR(COUNTIFS(Equipar!B:B,6,Equipar!C:C,A205)
 +COUNTIFS(Equipar!B:B,6,Equipar!D:D,A205)
+COUNTIFS(Equipar!B:B,6,Equipar!E:E,A205)
+COUNTIFS(Equipar!B:B,6,Equipar!F:F,A205)
&gt;0,COUNTIF('Set recomendado'!B:B,C205)=0),
"Bloqueada",
"Desechable")),""
)</f>
        <v/>
      </c>
      <c r="J205" t="str" cm="1">
        <f t="array" aca="1" ref="J205" ca="1">IF(ISNUMBER(A205),IFERROR(_xlfn._xlws.FILTER(Equipar!A:A,(Equipar!B:B=6)*(Equipar!AC:AC=A205)),""),"")</f>
        <v/>
      </c>
    </row>
    <row r="206" spans="1:10" x14ac:dyDescent="0.25">
      <c r="A206" s="1" t="str">
        <f ca="1">IF(A205="ID",1,IF(ISBLANK(B206),"",MAX(A$2:A205)+1))</f>
        <v/>
      </c>
      <c r="I206" s="2" t="str">
        <f ca="1">IF(ISNUMBER(A206),
IF(COUNTIFS(Equipar!B:B,6,Equipar!AC:AC,A206),"Equipada",
IF(
 OR(COUNTIFS(Equipar!B:B,6,Equipar!C:C,A206)
 +COUNTIFS(Equipar!B:B,6,Equipar!D:D,A206)
+COUNTIFS(Equipar!B:B,6,Equipar!E:E,A206)
+COUNTIFS(Equipar!B:B,6,Equipar!F:F,A206)
&gt;0,COUNTIF('Set recomendado'!B:B,C206)=0),
"Bloqueada",
"Desechable")),""
)</f>
        <v/>
      </c>
      <c r="J206" t="str" cm="1">
        <f t="array" aca="1" ref="J206" ca="1">IF(ISNUMBER(A206),IFERROR(_xlfn._xlws.FILTER(Equipar!A:A,(Equipar!B:B=6)*(Equipar!AC:AC=A206)),""),"")</f>
        <v/>
      </c>
    </row>
    <row r="207" spans="1:10" x14ac:dyDescent="0.25">
      <c r="A207" s="1" t="str">
        <f ca="1">IF(A206="ID",1,IF(ISBLANK(B207),"",MAX(A$2:A206)+1))</f>
        <v/>
      </c>
      <c r="I207" s="2" t="str">
        <f ca="1">IF(ISNUMBER(A207),
IF(COUNTIFS(Equipar!B:B,6,Equipar!AC:AC,A207),"Equipada",
IF(
 OR(COUNTIFS(Equipar!B:B,6,Equipar!C:C,A207)
 +COUNTIFS(Equipar!B:B,6,Equipar!D:D,A207)
+COUNTIFS(Equipar!B:B,6,Equipar!E:E,A207)
+COUNTIFS(Equipar!B:B,6,Equipar!F:F,A207)
&gt;0,COUNTIF('Set recomendado'!B:B,C207)=0),
"Bloqueada",
"Desechable")),""
)</f>
        <v/>
      </c>
      <c r="J207" t="str" cm="1">
        <f t="array" aca="1" ref="J207" ca="1">IF(ISNUMBER(A207),IFERROR(_xlfn._xlws.FILTER(Equipar!A:A,(Equipar!B:B=6)*(Equipar!AC:AC=A207)),""),"")</f>
        <v/>
      </c>
    </row>
    <row r="208" spans="1:10" x14ac:dyDescent="0.25">
      <c r="A208" s="1" t="str">
        <f ca="1">IF(A207="ID",1,IF(ISBLANK(B208),"",MAX(A$2:A207)+1))</f>
        <v/>
      </c>
      <c r="I208" s="2" t="str">
        <f ca="1">IF(ISNUMBER(A208),
IF(COUNTIFS(Equipar!B:B,6,Equipar!AC:AC,A208),"Equipada",
IF(
 OR(COUNTIFS(Equipar!B:B,6,Equipar!C:C,A208)
 +COUNTIFS(Equipar!B:B,6,Equipar!D:D,A208)
+COUNTIFS(Equipar!B:B,6,Equipar!E:E,A208)
+COUNTIFS(Equipar!B:B,6,Equipar!F:F,A208)
&gt;0,COUNTIF('Set recomendado'!B:B,C208)=0),
"Bloqueada",
"Desechable")),""
)</f>
        <v/>
      </c>
      <c r="J208" t="str" cm="1">
        <f t="array" aca="1" ref="J208" ca="1">IF(ISNUMBER(A208),IFERROR(_xlfn._xlws.FILTER(Equipar!A:A,(Equipar!B:B=6)*(Equipar!AC:AC=A208)),""),"")</f>
        <v/>
      </c>
    </row>
    <row r="209" spans="1:10" x14ac:dyDescent="0.25">
      <c r="A209" s="1" t="str">
        <f ca="1">IF(A208="ID",1,IF(ISBLANK(B209),"",MAX(A$2:A208)+1))</f>
        <v/>
      </c>
      <c r="I209" s="2" t="str">
        <f ca="1">IF(ISNUMBER(A209),
IF(COUNTIFS(Equipar!B:B,6,Equipar!AC:AC,A209),"Equipada",
IF(
 OR(COUNTIFS(Equipar!B:B,6,Equipar!C:C,A209)
 +COUNTIFS(Equipar!B:B,6,Equipar!D:D,A209)
+COUNTIFS(Equipar!B:B,6,Equipar!E:E,A209)
+COUNTIFS(Equipar!B:B,6,Equipar!F:F,A209)
&gt;0,COUNTIF('Set recomendado'!B:B,C209)=0),
"Bloqueada",
"Desechable")),""
)</f>
        <v/>
      </c>
      <c r="J209" t="str" cm="1">
        <f t="array" aca="1" ref="J209" ca="1">IF(ISNUMBER(A209),IFERROR(_xlfn._xlws.FILTER(Equipar!A:A,(Equipar!B:B=6)*(Equipar!AC:AC=A209)),""),"")</f>
        <v/>
      </c>
    </row>
    <row r="210" spans="1:10" x14ac:dyDescent="0.25">
      <c r="A210" s="1" t="str">
        <f ca="1">IF(A209="ID",1,IF(ISBLANK(B210),"",MAX(A$2:A209)+1))</f>
        <v/>
      </c>
      <c r="I210" s="2" t="str">
        <f ca="1">IF(ISNUMBER(A210),
IF(COUNTIFS(Equipar!B:B,6,Equipar!AC:AC,A210),"Equipada",
IF(
 OR(COUNTIFS(Equipar!B:B,6,Equipar!C:C,A210)
 +COUNTIFS(Equipar!B:B,6,Equipar!D:D,A210)
+COUNTIFS(Equipar!B:B,6,Equipar!E:E,A210)
+COUNTIFS(Equipar!B:B,6,Equipar!F:F,A210)
&gt;0,COUNTIF('Set recomendado'!B:B,C210)=0),
"Bloqueada",
"Desechable")),""
)</f>
        <v/>
      </c>
      <c r="J210" t="str" cm="1">
        <f t="array" aca="1" ref="J210" ca="1">IF(ISNUMBER(A210),IFERROR(_xlfn._xlws.FILTER(Equipar!A:A,(Equipar!B:B=6)*(Equipar!AC:AC=A210)),""),"")</f>
        <v/>
      </c>
    </row>
    <row r="211" spans="1:10" x14ac:dyDescent="0.25">
      <c r="A211" s="1" t="str">
        <f ca="1">IF(A210="ID",1,IF(ISBLANK(B211),"",MAX(A$2:A210)+1))</f>
        <v/>
      </c>
      <c r="I211" s="2" t="str">
        <f ca="1">IF(ISNUMBER(A211),
IF(COUNTIFS(Equipar!B:B,6,Equipar!AC:AC,A211),"Equipada",
IF(
 OR(COUNTIFS(Equipar!B:B,6,Equipar!C:C,A211)
 +COUNTIFS(Equipar!B:B,6,Equipar!D:D,A211)
+COUNTIFS(Equipar!B:B,6,Equipar!E:E,A211)
+COUNTIFS(Equipar!B:B,6,Equipar!F:F,A211)
&gt;0,COUNTIF('Set recomendado'!B:B,C211)=0),
"Bloqueada",
"Desechable")),""
)</f>
        <v/>
      </c>
      <c r="J211" t="str" cm="1">
        <f t="array" aca="1" ref="J211" ca="1">IF(ISNUMBER(A211),IFERROR(_xlfn._xlws.FILTER(Equipar!A:A,(Equipar!B:B=6)*(Equipar!AC:AC=A211)),""),"")</f>
        <v/>
      </c>
    </row>
    <row r="212" spans="1:10" x14ac:dyDescent="0.25">
      <c r="A212" s="1" t="str">
        <f ca="1">IF(A211="ID",1,IF(ISBLANK(B212),"",MAX(A$2:A211)+1))</f>
        <v/>
      </c>
      <c r="I212" s="2" t="str">
        <f ca="1">IF(ISNUMBER(A212),
IF(COUNTIFS(Equipar!B:B,6,Equipar!AC:AC,A212),"Equipada",
IF(
 OR(COUNTIFS(Equipar!B:B,6,Equipar!C:C,A212)
 +COUNTIFS(Equipar!B:B,6,Equipar!D:D,A212)
+COUNTIFS(Equipar!B:B,6,Equipar!E:E,A212)
+COUNTIFS(Equipar!B:B,6,Equipar!F:F,A212)
&gt;0,COUNTIF('Set recomendado'!B:B,C212)=0),
"Bloqueada",
"Desechable")),""
)</f>
        <v/>
      </c>
      <c r="J212" t="str" cm="1">
        <f t="array" aca="1" ref="J212" ca="1">IF(ISNUMBER(A212),IFERROR(_xlfn._xlws.FILTER(Equipar!A:A,(Equipar!B:B=6)*(Equipar!AC:AC=A212)),""),"")</f>
        <v/>
      </c>
    </row>
    <row r="213" spans="1:10" x14ac:dyDescent="0.25">
      <c r="A213" s="1" t="str">
        <f ca="1">IF(A212="ID",1,IF(ISBLANK(B213),"",MAX(A$2:A212)+1))</f>
        <v/>
      </c>
      <c r="I213" s="2" t="str">
        <f ca="1">IF(ISNUMBER(A213),
IF(COUNTIFS(Equipar!B:B,6,Equipar!AC:AC,A213),"Equipada",
IF(
 OR(COUNTIFS(Equipar!B:B,6,Equipar!C:C,A213)
 +COUNTIFS(Equipar!B:B,6,Equipar!D:D,A213)
+COUNTIFS(Equipar!B:B,6,Equipar!E:E,A213)
+COUNTIFS(Equipar!B:B,6,Equipar!F:F,A213)
&gt;0,COUNTIF('Set recomendado'!B:B,C213)=0),
"Bloqueada",
"Desechable")),""
)</f>
        <v/>
      </c>
      <c r="J213" t="str" cm="1">
        <f t="array" aca="1" ref="J213" ca="1">IF(ISNUMBER(A213),IFERROR(_xlfn._xlws.FILTER(Equipar!A:A,(Equipar!B:B=6)*(Equipar!AC:AC=A213)),""),"")</f>
        <v/>
      </c>
    </row>
    <row r="214" spans="1:10" x14ac:dyDescent="0.25">
      <c r="A214" s="1" t="str">
        <f ca="1">IF(A213="ID",1,IF(ISBLANK(B214),"",MAX(A$2:A213)+1))</f>
        <v/>
      </c>
      <c r="I214" s="2" t="str">
        <f ca="1">IF(ISNUMBER(A214),
IF(COUNTIFS(Equipar!B:B,6,Equipar!AC:AC,A214),"Equipada",
IF(
 OR(COUNTIFS(Equipar!B:B,6,Equipar!C:C,A214)
 +COUNTIFS(Equipar!B:B,6,Equipar!D:D,A214)
+COUNTIFS(Equipar!B:B,6,Equipar!E:E,A214)
+COUNTIFS(Equipar!B:B,6,Equipar!F:F,A214)
&gt;0,COUNTIF('Set recomendado'!B:B,C214)=0),
"Bloqueada",
"Desechable")),""
)</f>
        <v/>
      </c>
      <c r="J214" t="str" cm="1">
        <f t="array" aca="1" ref="J214" ca="1">IF(ISNUMBER(A214),IFERROR(_xlfn._xlws.FILTER(Equipar!A:A,(Equipar!B:B=6)*(Equipar!AC:AC=A214)),""),"")</f>
        <v/>
      </c>
    </row>
    <row r="215" spans="1:10" x14ac:dyDescent="0.25">
      <c r="A215" s="1" t="str">
        <f ca="1">IF(A214="ID",1,IF(ISBLANK(B215),"",MAX(A$2:A214)+1))</f>
        <v/>
      </c>
      <c r="I215" s="2" t="str">
        <f ca="1">IF(ISNUMBER(A215),
IF(COUNTIFS(Equipar!B:B,6,Equipar!AC:AC,A215),"Equipada",
IF(
 OR(COUNTIFS(Equipar!B:B,6,Equipar!C:C,A215)
 +COUNTIFS(Equipar!B:B,6,Equipar!D:D,A215)
+COUNTIFS(Equipar!B:B,6,Equipar!E:E,A215)
+COUNTIFS(Equipar!B:B,6,Equipar!F:F,A215)
&gt;0,COUNTIF('Set recomendado'!B:B,C215)=0),
"Bloqueada",
"Desechable")),""
)</f>
        <v/>
      </c>
      <c r="J215" t="str" cm="1">
        <f t="array" aca="1" ref="J215" ca="1">IF(ISNUMBER(A215),IFERROR(_xlfn._xlws.FILTER(Equipar!A:A,(Equipar!B:B=6)*(Equipar!AC:AC=A215)),""),"")</f>
        <v/>
      </c>
    </row>
    <row r="216" spans="1:10" x14ac:dyDescent="0.25">
      <c r="A216" s="1" t="str">
        <f ca="1">IF(A215="ID",1,IF(ISBLANK(B216),"",MAX(A$2:A215)+1))</f>
        <v/>
      </c>
      <c r="I216" s="2" t="str">
        <f ca="1">IF(ISNUMBER(A216),
IF(COUNTIFS(Equipar!B:B,6,Equipar!AC:AC,A216),"Equipada",
IF(
 OR(COUNTIFS(Equipar!B:B,6,Equipar!C:C,A216)
 +COUNTIFS(Equipar!B:B,6,Equipar!D:D,A216)
+COUNTIFS(Equipar!B:B,6,Equipar!E:E,A216)
+COUNTIFS(Equipar!B:B,6,Equipar!F:F,A216)
&gt;0,COUNTIF('Set recomendado'!B:B,C216)=0),
"Bloqueada",
"Desechable")),""
)</f>
        <v/>
      </c>
      <c r="J216" t="str" cm="1">
        <f t="array" aca="1" ref="J216" ca="1">IF(ISNUMBER(A216),IFERROR(_xlfn._xlws.FILTER(Equipar!A:A,(Equipar!B:B=6)*(Equipar!AC:AC=A216)),""),"")</f>
        <v/>
      </c>
    </row>
    <row r="217" spans="1:10" x14ac:dyDescent="0.25">
      <c r="A217" s="1" t="str">
        <f ca="1">IF(A216="ID",1,IF(ISBLANK(B217),"",MAX(A$2:A216)+1))</f>
        <v/>
      </c>
      <c r="I217" s="2" t="str">
        <f ca="1">IF(ISNUMBER(A217),
IF(COUNTIFS(Equipar!B:B,6,Equipar!AC:AC,A217),"Equipada",
IF(
 OR(COUNTIFS(Equipar!B:B,6,Equipar!C:C,A217)
 +COUNTIFS(Equipar!B:B,6,Equipar!D:D,A217)
+COUNTIFS(Equipar!B:B,6,Equipar!E:E,A217)
+COUNTIFS(Equipar!B:B,6,Equipar!F:F,A217)
&gt;0,COUNTIF('Set recomendado'!B:B,C217)=0),
"Bloqueada",
"Desechable")),""
)</f>
        <v/>
      </c>
      <c r="J217" t="str" cm="1">
        <f t="array" aca="1" ref="J217" ca="1">IF(ISNUMBER(A217),IFERROR(_xlfn._xlws.FILTER(Equipar!A:A,(Equipar!B:B=6)*(Equipar!AC:AC=A217)),""),"")</f>
        <v/>
      </c>
    </row>
    <row r="218" spans="1:10" x14ac:dyDescent="0.25">
      <c r="A218" s="1" t="str">
        <f ca="1">IF(A217="ID",1,IF(ISBLANK(B218),"",MAX(A$2:A217)+1))</f>
        <v/>
      </c>
      <c r="I218" s="2" t="str">
        <f ca="1">IF(ISNUMBER(A218),
IF(COUNTIFS(Equipar!B:B,6,Equipar!AC:AC,A218),"Equipada",
IF(
 OR(COUNTIFS(Equipar!B:B,6,Equipar!C:C,A218)
 +COUNTIFS(Equipar!B:B,6,Equipar!D:D,A218)
+COUNTIFS(Equipar!B:B,6,Equipar!E:E,A218)
+COUNTIFS(Equipar!B:B,6,Equipar!F:F,A218)
&gt;0,COUNTIF('Set recomendado'!B:B,C218)=0),
"Bloqueada",
"Desechable")),""
)</f>
        <v/>
      </c>
      <c r="J218" t="str" cm="1">
        <f t="array" aca="1" ref="J218" ca="1">IF(ISNUMBER(A218),IFERROR(_xlfn._xlws.FILTER(Equipar!A:A,(Equipar!B:B=6)*(Equipar!AC:AC=A218)),""),"")</f>
        <v/>
      </c>
    </row>
    <row r="219" spans="1:10" x14ac:dyDescent="0.25">
      <c r="A219" s="1" t="str">
        <f ca="1">IF(A218="ID",1,IF(ISBLANK(B219),"",MAX(A$2:A218)+1))</f>
        <v/>
      </c>
      <c r="I219" s="2" t="str">
        <f ca="1">IF(ISNUMBER(A219),
IF(COUNTIFS(Equipar!B:B,6,Equipar!AC:AC,A219),"Equipada",
IF(
 OR(COUNTIFS(Equipar!B:B,6,Equipar!C:C,A219)
 +COUNTIFS(Equipar!B:B,6,Equipar!D:D,A219)
+COUNTIFS(Equipar!B:B,6,Equipar!E:E,A219)
+COUNTIFS(Equipar!B:B,6,Equipar!F:F,A219)
&gt;0,COUNTIF('Set recomendado'!B:B,C219)=0),
"Bloqueada",
"Desechable")),""
)</f>
        <v/>
      </c>
      <c r="J219" t="str" cm="1">
        <f t="array" aca="1" ref="J219" ca="1">IF(ISNUMBER(A219),IFERROR(_xlfn._xlws.FILTER(Equipar!A:A,(Equipar!B:B=6)*(Equipar!AC:AC=A219)),""),"")</f>
        <v/>
      </c>
    </row>
    <row r="220" spans="1:10" x14ac:dyDescent="0.25">
      <c r="A220" s="1" t="str">
        <f ca="1">IF(A219="ID",1,IF(ISBLANK(B220),"",MAX(A$2:A219)+1))</f>
        <v/>
      </c>
      <c r="I220" s="2" t="str">
        <f ca="1">IF(ISNUMBER(A220),
IF(COUNTIFS(Equipar!B:B,6,Equipar!AC:AC,A220),"Equipada",
IF(
 OR(COUNTIFS(Equipar!B:B,6,Equipar!C:C,A220)
 +COUNTIFS(Equipar!B:B,6,Equipar!D:D,A220)
+COUNTIFS(Equipar!B:B,6,Equipar!E:E,A220)
+COUNTIFS(Equipar!B:B,6,Equipar!F:F,A220)
&gt;0,COUNTIF('Set recomendado'!B:B,C220)=0),
"Bloqueada",
"Desechable")),""
)</f>
        <v/>
      </c>
      <c r="J220" t="str" cm="1">
        <f t="array" aca="1" ref="J220" ca="1">IF(ISNUMBER(A220),IFERROR(_xlfn._xlws.FILTER(Equipar!A:A,(Equipar!B:B=6)*(Equipar!AC:AC=A220)),""),"")</f>
        <v/>
      </c>
    </row>
    <row r="221" spans="1:10" x14ac:dyDescent="0.25">
      <c r="A221" s="1" t="str">
        <f ca="1">IF(A220="ID",1,IF(ISBLANK(B221),"",MAX(A$2:A220)+1))</f>
        <v/>
      </c>
      <c r="I221" s="2" t="str">
        <f ca="1">IF(ISNUMBER(A221),
IF(COUNTIFS(Equipar!B:B,6,Equipar!AC:AC,A221),"Equipada",
IF(
 OR(COUNTIFS(Equipar!B:B,6,Equipar!C:C,A221)
 +COUNTIFS(Equipar!B:B,6,Equipar!D:D,A221)
+COUNTIFS(Equipar!B:B,6,Equipar!E:E,A221)
+COUNTIFS(Equipar!B:B,6,Equipar!F:F,A221)
&gt;0,COUNTIF('Set recomendado'!B:B,C221)=0),
"Bloqueada",
"Desechable")),""
)</f>
        <v/>
      </c>
      <c r="J221" t="str" cm="1">
        <f t="array" aca="1" ref="J221" ca="1">IF(ISNUMBER(A221),IFERROR(_xlfn._xlws.FILTER(Equipar!A:A,(Equipar!B:B=6)*(Equipar!AC:AC=A221)),""),"")</f>
        <v/>
      </c>
    </row>
    <row r="222" spans="1:10" x14ac:dyDescent="0.25">
      <c r="A222" s="1" t="str">
        <f ca="1">IF(A221="ID",1,IF(ISBLANK(B222),"",MAX(A$2:A221)+1))</f>
        <v/>
      </c>
      <c r="I222" s="2" t="str">
        <f ca="1">IF(ISNUMBER(A222),
IF(COUNTIFS(Equipar!B:B,6,Equipar!AC:AC,A222),"Equipada",
IF(
 OR(COUNTIFS(Equipar!B:B,6,Equipar!C:C,A222)
 +COUNTIFS(Equipar!B:B,6,Equipar!D:D,A222)
+COUNTIFS(Equipar!B:B,6,Equipar!E:E,A222)
+COUNTIFS(Equipar!B:B,6,Equipar!F:F,A222)
&gt;0,COUNTIF('Set recomendado'!B:B,C222)=0),
"Bloqueada",
"Desechable")),""
)</f>
        <v/>
      </c>
      <c r="J222" t="str" cm="1">
        <f t="array" aca="1" ref="J222" ca="1">IF(ISNUMBER(A222),IFERROR(_xlfn._xlws.FILTER(Equipar!A:A,(Equipar!B:B=6)*(Equipar!AC:AC=A222)),""),"")</f>
        <v/>
      </c>
    </row>
    <row r="223" spans="1:10" x14ac:dyDescent="0.25">
      <c r="A223" s="1" t="str">
        <f ca="1">IF(A222="ID",1,IF(ISBLANK(B223),"",MAX(A$2:A222)+1))</f>
        <v/>
      </c>
      <c r="I223" s="2" t="str">
        <f ca="1">IF(ISNUMBER(A223),
IF(COUNTIFS(Equipar!B:B,6,Equipar!AC:AC,A223),"Equipada",
IF(
 OR(COUNTIFS(Equipar!B:B,6,Equipar!C:C,A223)
 +COUNTIFS(Equipar!B:B,6,Equipar!D:D,A223)
+COUNTIFS(Equipar!B:B,6,Equipar!E:E,A223)
+COUNTIFS(Equipar!B:B,6,Equipar!F:F,A223)
&gt;0,COUNTIF('Set recomendado'!B:B,C223)=0),
"Bloqueada",
"Desechable")),""
)</f>
        <v/>
      </c>
      <c r="J223" t="str" cm="1">
        <f t="array" aca="1" ref="J223" ca="1">IF(ISNUMBER(A223),IFERROR(_xlfn._xlws.FILTER(Equipar!A:A,(Equipar!B:B=6)*(Equipar!AC:AC=A223)),""),"")</f>
        <v/>
      </c>
    </row>
    <row r="224" spans="1:10" x14ac:dyDescent="0.25">
      <c r="A224" s="1" t="str">
        <f ca="1">IF(A223="ID",1,IF(ISBLANK(B224),"",MAX(A$2:A223)+1))</f>
        <v/>
      </c>
      <c r="I224" s="2" t="str">
        <f ca="1">IF(ISNUMBER(A224),
IF(COUNTIFS(Equipar!B:B,6,Equipar!AC:AC,A224),"Equipada",
IF(
 OR(COUNTIFS(Equipar!B:B,6,Equipar!C:C,A224)
 +COUNTIFS(Equipar!B:B,6,Equipar!D:D,A224)
+COUNTIFS(Equipar!B:B,6,Equipar!E:E,A224)
+COUNTIFS(Equipar!B:B,6,Equipar!F:F,A224)
&gt;0,COUNTIF('Set recomendado'!B:B,C224)=0),
"Bloqueada",
"Desechable")),""
)</f>
        <v/>
      </c>
      <c r="J224" t="str" cm="1">
        <f t="array" aca="1" ref="J224" ca="1">IF(ISNUMBER(A224),IFERROR(_xlfn._xlws.FILTER(Equipar!A:A,(Equipar!B:B=6)*(Equipar!AC:AC=A224)),""),"")</f>
        <v/>
      </c>
    </row>
    <row r="225" spans="1:10" x14ac:dyDescent="0.25">
      <c r="A225" s="1" t="str">
        <f ca="1">IF(A224="ID",1,IF(ISBLANK(B225),"",MAX(A$2:A224)+1))</f>
        <v/>
      </c>
      <c r="I225" s="2" t="str">
        <f ca="1">IF(ISNUMBER(A225),
IF(COUNTIFS(Equipar!B:B,6,Equipar!AC:AC,A225),"Equipada",
IF(
 OR(COUNTIFS(Equipar!B:B,6,Equipar!C:C,A225)
 +COUNTIFS(Equipar!B:B,6,Equipar!D:D,A225)
+COUNTIFS(Equipar!B:B,6,Equipar!E:E,A225)
+COUNTIFS(Equipar!B:B,6,Equipar!F:F,A225)
&gt;0,COUNTIF('Set recomendado'!B:B,C225)=0),
"Bloqueada",
"Desechable")),""
)</f>
        <v/>
      </c>
      <c r="J225" t="str" cm="1">
        <f t="array" aca="1" ref="J225" ca="1">IF(ISNUMBER(A225),IFERROR(_xlfn._xlws.FILTER(Equipar!A:A,(Equipar!B:B=6)*(Equipar!AC:AC=A225)),""),"")</f>
        <v/>
      </c>
    </row>
    <row r="226" spans="1:10" x14ac:dyDescent="0.25">
      <c r="A226" s="1" t="str">
        <f ca="1">IF(A225="ID",1,IF(ISBLANK(B226),"",MAX(A$2:A225)+1))</f>
        <v/>
      </c>
      <c r="I226" s="2" t="str">
        <f ca="1">IF(ISNUMBER(A226),
IF(COUNTIFS(Equipar!B:B,6,Equipar!AC:AC,A226),"Equipada",
IF(
 OR(COUNTIFS(Equipar!B:B,6,Equipar!C:C,A226)
 +COUNTIFS(Equipar!B:B,6,Equipar!D:D,A226)
+COUNTIFS(Equipar!B:B,6,Equipar!E:E,A226)
+COUNTIFS(Equipar!B:B,6,Equipar!F:F,A226)
&gt;0,COUNTIF('Set recomendado'!B:B,C226)=0),
"Bloqueada",
"Desechable")),""
)</f>
        <v/>
      </c>
      <c r="J226" t="str" cm="1">
        <f t="array" aca="1" ref="J226" ca="1">IF(ISNUMBER(A226),IFERROR(_xlfn._xlws.FILTER(Equipar!A:A,(Equipar!B:B=6)*(Equipar!AC:AC=A226)),""),"")</f>
        <v/>
      </c>
    </row>
    <row r="227" spans="1:10" x14ac:dyDescent="0.25">
      <c r="A227" s="1" t="str">
        <f ca="1">IF(A226="ID",1,IF(ISBLANK(B227),"",MAX(A$2:A226)+1))</f>
        <v/>
      </c>
      <c r="I227" s="2" t="str">
        <f ca="1">IF(ISNUMBER(A227),
IF(COUNTIFS(Equipar!B:B,6,Equipar!AC:AC,A227),"Equipada",
IF(
 OR(COUNTIFS(Equipar!B:B,6,Equipar!C:C,A227)
 +COUNTIFS(Equipar!B:B,6,Equipar!D:D,A227)
+COUNTIFS(Equipar!B:B,6,Equipar!E:E,A227)
+COUNTIFS(Equipar!B:B,6,Equipar!F:F,A227)
&gt;0,COUNTIF('Set recomendado'!B:B,C227)=0),
"Bloqueada",
"Desechable")),""
)</f>
        <v/>
      </c>
      <c r="J227" t="str" cm="1">
        <f t="array" aca="1" ref="J227" ca="1">IF(ISNUMBER(A227),IFERROR(_xlfn._xlws.FILTER(Equipar!A:A,(Equipar!B:B=6)*(Equipar!AC:AC=A227)),""),"")</f>
        <v/>
      </c>
    </row>
    <row r="228" spans="1:10" x14ac:dyDescent="0.25">
      <c r="A228" s="1" t="str">
        <f ca="1">IF(A227="ID",1,IF(ISBLANK(B228),"",MAX(A$2:A227)+1))</f>
        <v/>
      </c>
      <c r="I228" s="2" t="str">
        <f ca="1">IF(ISNUMBER(A228),
IF(COUNTIFS(Equipar!B:B,6,Equipar!AC:AC,A228),"Equipada",
IF(
 OR(COUNTIFS(Equipar!B:B,6,Equipar!C:C,A228)
 +COUNTIFS(Equipar!B:B,6,Equipar!D:D,A228)
+COUNTIFS(Equipar!B:B,6,Equipar!E:E,A228)
+COUNTIFS(Equipar!B:B,6,Equipar!F:F,A228)
&gt;0,COUNTIF('Set recomendado'!B:B,C228)=0),
"Bloqueada",
"Desechable")),""
)</f>
        <v/>
      </c>
      <c r="J228" t="str" cm="1">
        <f t="array" aca="1" ref="J228" ca="1">IF(ISNUMBER(A228),IFERROR(_xlfn._xlws.FILTER(Equipar!A:A,(Equipar!B:B=6)*(Equipar!AC:AC=A228)),""),"")</f>
        <v/>
      </c>
    </row>
    <row r="229" spans="1:10" x14ac:dyDescent="0.25">
      <c r="A229" s="1" t="str">
        <f ca="1">IF(A228="ID",1,IF(ISBLANK(B229),"",MAX(A$2:A228)+1))</f>
        <v/>
      </c>
      <c r="I229" s="2" t="str">
        <f ca="1">IF(ISNUMBER(A229),
IF(COUNTIFS(Equipar!B:B,6,Equipar!AC:AC,A229),"Equipada",
IF(
 OR(COUNTIFS(Equipar!B:B,6,Equipar!C:C,A229)
 +COUNTIFS(Equipar!B:B,6,Equipar!D:D,A229)
+COUNTIFS(Equipar!B:B,6,Equipar!E:E,A229)
+COUNTIFS(Equipar!B:B,6,Equipar!F:F,A229)
&gt;0,COUNTIF('Set recomendado'!B:B,C229)=0),
"Bloqueada",
"Desechable")),""
)</f>
        <v/>
      </c>
      <c r="J229" t="str" cm="1">
        <f t="array" aca="1" ref="J229" ca="1">IF(ISNUMBER(A229),IFERROR(_xlfn._xlws.FILTER(Equipar!A:A,(Equipar!B:B=6)*(Equipar!AC:AC=A229)),""),"")</f>
        <v/>
      </c>
    </row>
    <row r="230" spans="1:10" x14ac:dyDescent="0.25">
      <c r="A230" s="1" t="str">
        <f ca="1">IF(A229="ID",1,IF(ISBLANK(B230),"",MAX(A$2:A229)+1))</f>
        <v/>
      </c>
      <c r="I230" s="2" t="str">
        <f ca="1">IF(ISNUMBER(A230),
IF(COUNTIFS(Equipar!B:B,6,Equipar!AC:AC,A230),"Equipada",
IF(
 OR(COUNTIFS(Equipar!B:B,6,Equipar!C:C,A230)
 +COUNTIFS(Equipar!B:B,6,Equipar!D:D,A230)
+COUNTIFS(Equipar!B:B,6,Equipar!E:E,A230)
+COUNTIFS(Equipar!B:B,6,Equipar!F:F,A230)
&gt;0,COUNTIF('Set recomendado'!B:B,C230)=0),
"Bloqueada",
"Desechable")),""
)</f>
        <v/>
      </c>
      <c r="J230" t="str" cm="1">
        <f t="array" aca="1" ref="J230" ca="1">IF(ISNUMBER(A230),IFERROR(_xlfn._xlws.FILTER(Equipar!A:A,(Equipar!B:B=6)*(Equipar!AC:AC=A230)),""),"")</f>
        <v/>
      </c>
    </row>
    <row r="231" spans="1:10" x14ac:dyDescent="0.25">
      <c r="A231" s="1" t="str">
        <f ca="1">IF(A230="ID",1,IF(ISBLANK(B231),"",MAX(A$2:A230)+1))</f>
        <v/>
      </c>
      <c r="I231" s="2" t="str">
        <f ca="1">IF(ISNUMBER(A231),
IF(COUNTIFS(Equipar!B:B,6,Equipar!AC:AC,A231),"Equipada",
IF(
 OR(COUNTIFS(Equipar!B:B,6,Equipar!C:C,A231)
 +COUNTIFS(Equipar!B:B,6,Equipar!D:D,A231)
+COUNTIFS(Equipar!B:B,6,Equipar!E:E,A231)
+COUNTIFS(Equipar!B:B,6,Equipar!F:F,A231)
&gt;0,COUNTIF('Set recomendado'!B:B,C231)=0),
"Bloqueada",
"Desechable")),""
)</f>
        <v/>
      </c>
      <c r="J231" t="str" cm="1">
        <f t="array" aca="1" ref="J231" ca="1">IF(ISNUMBER(A231),IFERROR(_xlfn._xlws.FILTER(Equipar!A:A,(Equipar!B:B=6)*(Equipar!AC:AC=A231)),""),"")</f>
        <v/>
      </c>
    </row>
    <row r="232" spans="1:10" x14ac:dyDescent="0.25">
      <c r="A232" s="1" t="str">
        <f ca="1">IF(A231="ID",1,IF(ISBLANK(B232),"",MAX(A$2:A231)+1))</f>
        <v/>
      </c>
      <c r="I232" s="2" t="str">
        <f ca="1">IF(ISNUMBER(A232),
IF(COUNTIFS(Equipar!B:B,6,Equipar!AC:AC,A232),"Equipada",
IF(
 OR(COUNTIFS(Equipar!B:B,6,Equipar!C:C,A232)
 +COUNTIFS(Equipar!B:B,6,Equipar!D:D,A232)
+COUNTIFS(Equipar!B:B,6,Equipar!E:E,A232)
+COUNTIFS(Equipar!B:B,6,Equipar!F:F,A232)
&gt;0,COUNTIF('Set recomendado'!B:B,C232)=0),
"Bloqueada",
"Desechable")),""
)</f>
        <v/>
      </c>
      <c r="J232" t="str" cm="1">
        <f t="array" aca="1" ref="J232" ca="1">IF(ISNUMBER(A232),IFERROR(_xlfn._xlws.FILTER(Equipar!A:A,(Equipar!B:B=6)*(Equipar!AC:AC=A232)),""),"")</f>
        <v/>
      </c>
    </row>
    <row r="233" spans="1:10" x14ac:dyDescent="0.25">
      <c r="A233" s="1" t="str">
        <f ca="1">IF(A232="ID",1,IF(ISBLANK(B233),"",MAX(A$2:A232)+1))</f>
        <v/>
      </c>
      <c r="I233" s="2" t="str">
        <f ca="1">IF(ISNUMBER(A233),
IF(COUNTIFS(Equipar!B:B,6,Equipar!AC:AC,A233),"Equipada",
IF(
 OR(COUNTIFS(Equipar!B:B,6,Equipar!C:C,A233)
 +COUNTIFS(Equipar!B:B,6,Equipar!D:D,A233)
+COUNTIFS(Equipar!B:B,6,Equipar!E:E,A233)
+COUNTIFS(Equipar!B:B,6,Equipar!F:F,A233)
&gt;0,COUNTIF('Set recomendado'!B:B,C233)=0),
"Bloqueada",
"Desechable")),""
)</f>
        <v/>
      </c>
      <c r="J233" t="str" cm="1">
        <f t="array" aca="1" ref="J233" ca="1">IF(ISNUMBER(A233),IFERROR(_xlfn._xlws.FILTER(Equipar!A:A,(Equipar!B:B=6)*(Equipar!AC:AC=A233)),""),"")</f>
        <v/>
      </c>
    </row>
    <row r="234" spans="1:10" x14ac:dyDescent="0.25">
      <c r="A234" s="1" t="str">
        <f ca="1">IF(A233="ID",1,IF(ISBLANK(B234),"",MAX(A$2:A233)+1))</f>
        <v/>
      </c>
      <c r="I234" s="2" t="str">
        <f ca="1">IF(ISNUMBER(A234),
IF(COUNTIFS(Equipar!B:B,6,Equipar!AC:AC,A234),"Equipada",
IF(
 OR(COUNTIFS(Equipar!B:B,6,Equipar!C:C,A234)
 +COUNTIFS(Equipar!B:B,6,Equipar!D:D,A234)
+COUNTIFS(Equipar!B:B,6,Equipar!E:E,A234)
+COUNTIFS(Equipar!B:B,6,Equipar!F:F,A234)
&gt;0,COUNTIF('Set recomendado'!B:B,C234)=0),
"Bloqueada",
"Desechable")),""
)</f>
        <v/>
      </c>
      <c r="J234" t="str" cm="1">
        <f t="array" aca="1" ref="J234" ca="1">IF(ISNUMBER(A234),IFERROR(_xlfn._xlws.FILTER(Equipar!A:A,(Equipar!B:B=6)*(Equipar!AC:AC=A234)),""),"")</f>
        <v/>
      </c>
    </row>
    <row r="235" spans="1:10" x14ac:dyDescent="0.25">
      <c r="A235" s="1" t="str">
        <f ca="1">IF(A234="ID",1,IF(ISBLANK(B235),"",MAX(A$2:A234)+1))</f>
        <v/>
      </c>
      <c r="I235" s="2" t="str">
        <f ca="1">IF(ISNUMBER(A235),
IF(COUNTIFS(Equipar!B:B,6,Equipar!AC:AC,A235),"Equipada",
IF(
 OR(COUNTIFS(Equipar!B:B,6,Equipar!C:C,A235)
 +COUNTIFS(Equipar!B:B,6,Equipar!D:D,A235)
+COUNTIFS(Equipar!B:B,6,Equipar!E:E,A235)
+COUNTIFS(Equipar!B:B,6,Equipar!F:F,A235)
&gt;0,COUNTIF('Set recomendado'!B:B,C235)=0),
"Bloqueada",
"Desechable")),""
)</f>
        <v/>
      </c>
      <c r="J235" t="str" cm="1">
        <f t="array" aca="1" ref="J235" ca="1">IF(ISNUMBER(A235),IFERROR(_xlfn._xlws.FILTER(Equipar!A:A,(Equipar!B:B=6)*(Equipar!AC:AC=A235)),""),"")</f>
        <v/>
      </c>
    </row>
    <row r="236" spans="1:10" x14ac:dyDescent="0.25">
      <c r="A236" s="1" t="str">
        <f ca="1">IF(A235="ID",1,IF(ISBLANK(B236),"",MAX(A$2:A235)+1))</f>
        <v/>
      </c>
      <c r="I236" s="2" t="str">
        <f ca="1">IF(ISNUMBER(A236),
IF(COUNTIFS(Equipar!B:B,6,Equipar!AC:AC,A236),"Equipada",
IF(
 OR(COUNTIFS(Equipar!B:B,6,Equipar!C:C,A236)
 +COUNTIFS(Equipar!B:B,6,Equipar!D:D,A236)
+COUNTIFS(Equipar!B:B,6,Equipar!E:E,A236)
+COUNTIFS(Equipar!B:B,6,Equipar!F:F,A236)
&gt;0,COUNTIF('Set recomendado'!B:B,C236)=0),
"Bloqueada",
"Desechable")),""
)</f>
        <v/>
      </c>
      <c r="J236" t="str" cm="1">
        <f t="array" aca="1" ref="J236" ca="1">IF(ISNUMBER(A236),IFERROR(_xlfn._xlws.FILTER(Equipar!A:A,(Equipar!B:B=6)*(Equipar!AC:AC=A236)),""),"")</f>
        <v/>
      </c>
    </row>
    <row r="237" spans="1:10" x14ac:dyDescent="0.25">
      <c r="A237" s="1" t="str">
        <f ca="1">IF(A236="ID",1,IF(ISBLANK(B237),"",MAX(A$2:A236)+1))</f>
        <v/>
      </c>
      <c r="I237" s="2" t="str">
        <f ca="1">IF(ISNUMBER(A237),
IF(COUNTIFS(Equipar!B:B,6,Equipar!AC:AC,A237),"Equipada",
IF(
 OR(COUNTIFS(Equipar!B:B,6,Equipar!C:C,A237)
 +COUNTIFS(Equipar!B:B,6,Equipar!D:D,A237)
+COUNTIFS(Equipar!B:B,6,Equipar!E:E,A237)
+COUNTIFS(Equipar!B:B,6,Equipar!F:F,A237)
&gt;0,COUNTIF('Set recomendado'!B:B,C237)=0),
"Bloqueada",
"Desechable")),""
)</f>
        <v/>
      </c>
      <c r="J237" t="str" cm="1">
        <f t="array" aca="1" ref="J237" ca="1">IF(ISNUMBER(A237),IFERROR(_xlfn._xlws.FILTER(Equipar!A:A,(Equipar!B:B=6)*(Equipar!AC:AC=A237)),""),"")</f>
        <v/>
      </c>
    </row>
    <row r="238" spans="1:10" x14ac:dyDescent="0.25">
      <c r="A238" s="1" t="str">
        <f ca="1">IF(A237="ID",1,IF(ISBLANK(B238),"",MAX(A$2:A237)+1))</f>
        <v/>
      </c>
      <c r="I238" s="2" t="str">
        <f ca="1">IF(ISNUMBER(A238),
IF(COUNTIFS(Equipar!B:B,6,Equipar!AC:AC,A238),"Equipada",
IF(
 OR(COUNTIFS(Equipar!B:B,6,Equipar!C:C,A238)
 +COUNTIFS(Equipar!B:B,6,Equipar!D:D,A238)
+COUNTIFS(Equipar!B:B,6,Equipar!E:E,A238)
+COUNTIFS(Equipar!B:B,6,Equipar!F:F,A238)
&gt;0,COUNTIF('Set recomendado'!B:B,C238)=0),
"Bloqueada",
"Desechable")),""
)</f>
        <v/>
      </c>
      <c r="J238" t="str" cm="1">
        <f t="array" aca="1" ref="J238" ca="1">IF(ISNUMBER(A238),IFERROR(_xlfn._xlws.FILTER(Equipar!A:A,(Equipar!B:B=6)*(Equipar!AC:AC=A238)),""),"")</f>
        <v/>
      </c>
    </row>
    <row r="239" spans="1:10" x14ac:dyDescent="0.25">
      <c r="A239" s="1" t="str">
        <f ca="1">IF(A238="ID",1,IF(ISBLANK(B239),"",MAX(A$2:A238)+1))</f>
        <v/>
      </c>
      <c r="I239" s="2" t="str">
        <f ca="1">IF(ISNUMBER(A239),
IF(COUNTIFS(Equipar!B:B,6,Equipar!AC:AC,A239),"Equipada",
IF(
 OR(COUNTIFS(Equipar!B:B,6,Equipar!C:C,A239)
 +COUNTIFS(Equipar!B:B,6,Equipar!D:D,A239)
+COUNTIFS(Equipar!B:B,6,Equipar!E:E,A239)
+COUNTIFS(Equipar!B:B,6,Equipar!F:F,A239)
&gt;0,COUNTIF('Set recomendado'!B:B,C239)=0),
"Bloqueada",
"Desechable")),""
)</f>
        <v/>
      </c>
      <c r="J239" t="str" cm="1">
        <f t="array" aca="1" ref="J239" ca="1">IF(ISNUMBER(A239),IFERROR(_xlfn._xlws.FILTER(Equipar!A:A,(Equipar!B:B=6)*(Equipar!AC:AC=A239)),""),"")</f>
        <v/>
      </c>
    </row>
    <row r="240" spans="1:10" x14ac:dyDescent="0.25">
      <c r="A240" s="1" t="str">
        <f ca="1">IF(A239="ID",1,IF(ISBLANK(B240),"",MAX(A$2:A239)+1))</f>
        <v/>
      </c>
      <c r="I240" s="2" t="str">
        <f ca="1">IF(ISNUMBER(A240),
IF(COUNTIFS(Equipar!B:B,6,Equipar!AC:AC,A240),"Equipada",
IF(
 OR(COUNTIFS(Equipar!B:B,6,Equipar!C:C,A240)
 +COUNTIFS(Equipar!B:B,6,Equipar!D:D,A240)
+COUNTIFS(Equipar!B:B,6,Equipar!E:E,A240)
+COUNTIFS(Equipar!B:B,6,Equipar!F:F,A240)
&gt;0,COUNTIF('Set recomendado'!B:B,C240)=0),
"Bloqueada",
"Desechable")),""
)</f>
        <v/>
      </c>
      <c r="J240" t="str" cm="1">
        <f t="array" aca="1" ref="J240" ca="1">IF(ISNUMBER(A240),IFERROR(_xlfn._xlws.FILTER(Equipar!A:A,(Equipar!B:B=6)*(Equipar!AC:AC=A240)),""),"")</f>
        <v/>
      </c>
    </row>
    <row r="241" spans="1:10" x14ac:dyDescent="0.25">
      <c r="A241" s="1" t="str">
        <f ca="1">IF(A240="ID",1,IF(ISBLANK(B241),"",MAX(A$2:A240)+1))</f>
        <v/>
      </c>
      <c r="I241" s="2" t="str">
        <f ca="1">IF(ISNUMBER(A241),
IF(COUNTIFS(Equipar!B:B,6,Equipar!AC:AC,A241),"Equipada",
IF(
 OR(COUNTIFS(Equipar!B:B,6,Equipar!C:C,A241)
 +COUNTIFS(Equipar!B:B,6,Equipar!D:D,A241)
+COUNTIFS(Equipar!B:B,6,Equipar!E:E,A241)
+COUNTIFS(Equipar!B:B,6,Equipar!F:F,A241)
&gt;0,COUNTIF('Set recomendado'!B:B,C241)=0),
"Bloqueada",
"Desechable")),""
)</f>
        <v/>
      </c>
      <c r="J241" t="str" cm="1">
        <f t="array" aca="1" ref="J241" ca="1">IF(ISNUMBER(A241),IFERROR(_xlfn._xlws.FILTER(Equipar!A:A,(Equipar!B:B=6)*(Equipar!AC:AC=A241)),""),"")</f>
        <v/>
      </c>
    </row>
    <row r="242" spans="1:10" x14ac:dyDescent="0.25">
      <c r="A242" s="1" t="str">
        <f ca="1">IF(A241="ID",1,IF(ISBLANK(B242),"",MAX(A$2:A241)+1))</f>
        <v/>
      </c>
      <c r="I242" s="2" t="str">
        <f ca="1">IF(ISNUMBER(A242),
IF(COUNTIFS(Equipar!B:B,6,Equipar!AC:AC,A242),"Equipada",
IF(
 OR(COUNTIFS(Equipar!B:B,6,Equipar!C:C,A242)
 +COUNTIFS(Equipar!B:B,6,Equipar!D:D,A242)
+COUNTIFS(Equipar!B:B,6,Equipar!E:E,A242)
+COUNTIFS(Equipar!B:B,6,Equipar!F:F,A242)
&gt;0,COUNTIF('Set recomendado'!B:B,C242)=0),
"Bloqueada",
"Desechable")),""
)</f>
        <v/>
      </c>
      <c r="J242" t="str" cm="1">
        <f t="array" aca="1" ref="J242" ca="1">IF(ISNUMBER(A242),IFERROR(_xlfn._xlws.FILTER(Equipar!A:A,(Equipar!B:B=6)*(Equipar!AC:AC=A242)),""),"")</f>
        <v/>
      </c>
    </row>
    <row r="243" spans="1:10" x14ac:dyDescent="0.25">
      <c r="A243" s="1" t="str">
        <f ca="1">IF(A242="ID",1,IF(ISBLANK(B243),"",MAX(A$2:A242)+1))</f>
        <v/>
      </c>
      <c r="I243" s="2" t="str">
        <f ca="1">IF(ISNUMBER(A243),
IF(COUNTIFS(Equipar!B:B,6,Equipar!AC:AC,A243),"Equipada",
IF(
 OR(COUNTIFS(Equipar!B:B,6,Equipar!C:C,A243)
 +COUNTIFS(Equipar!B:B,6,Equipar!D:D,A243)
+COUNTIFS(Equipar!B:B,6,Equipar!E:E,A243)
+COUNTIFS(Equipar!B:B,6,Equipar!F:F,A243)
&gt;0,COUNTIF('Set recomendado'!B:B,C243)=0),
"Bloqueada",
"Desechable")),""
)</f>
        <v/>
      </c>
      <c r="J243" t="str" cm="1">
        <f t="array" aca="1" ref="J243" ca="1">IF(ISNUMBER(A243),IFERROR(_xlfn._xlws.FILTER(Equipar!A:A,(Equipar!B:B=6)*(Equipar!AC:AC=A243)),""),"")</f>
        <v/>
      </c>
    </row>
    <row r="244" spans="1:10" x14ac:dyDescent="0.25">
      <c r="A244" s="1" t="str">
        <f ca="1">IF(A243="ID",1,IF(ISBLANK(B244),"",MAX(A$2:A243)+1))</f>
        <v/>
      </c>
      <c r="I244" s="2" t="str">
        <f ca="1">IF(ISNUMBER(A244),
IF(COUNTIFS(Equipar!B:B,6,Equipar!AC:AC,A244),"Equipada",
IF(
 OR(COUNTIFS(Equipar!B:B,6,Equipar!C:C,A244)
 +COUNTIFS(Equipar!B:B,6,Equipar!D:D,A244)
+COUNTIFS(Equipar!B:B,6,Equipar!E:E,A244)
+COUNTIFS(Equipar!B:B,6,Equipar!F:F,A244)
&gt;0,COUNTIF('Set recomendado'!B:B,C244)=0),
"Bloqueada",
"Desechable")),""
)</f>
        <v/>
      </c>
      <c r="J244" t="str" cm="1">
        <f t="array" aca="1" ref="J244" ca="1">IF(ISNUMBER(A244),IFERROR(_xlfn._xlws.FILTER(Equipar!A:A,(Equipar!B:B=6)*(Equipar!AC:AC=A244)),""),"")</f>
        <v/>
      </c>
    </row>
    <row r="245" spans="1:10" x14ac:dyDescent="0.25">
      <c r="A245" s="1" t="str">
        <f ca="1">IF(A244="ID",1,IF(ISBLANK(B245),"",MAX(A$2:A244)+1))</f>
        <v/>
      </c>
      <c r="I245" s="2" t="str">
        <f ca="1">IF(ISNUMBER(A245),
IF(COUNTIFS(Equipar!B:B,6,Equipar!AC:AC,A245),"Equipada",
IF(
 OR(COUNTIFS(Equipar!B:B,6,Equipar!C:C,A245)
 +COUNTIFS(Equipar!B:B,6,Equipar!D:D,A245)
+COUNTIFS(Equipar!B:B,6,Equipar!E:E,A245)
+COUNTIFS(Equipar!B:B,6,Equipar!F:F,A245)
&gt;0,COUNTIF('Set recomendado'!B:B,C245)=0),
"Bloqueada",
"Desechable")),""
)</f>
        <v/>
      </c>
      <c r="J245" t="str" cm="1">
        <f t="array" aca="1" ref="J245" ca="1">IF(ISNUMBER(A245),IFERROR(_xlfn._xlws.FILTER(Equipar!A:A,(Equipar!B:B=6)*(Equipar!AC:AC=A245)),""),"")</f>
        <v/>
      </c>
    </row>
    <row r="246" spans="1:10" x14ac:dyDescent="0.25">
      <c r="A246" s="1" t="str">
        <f ca="1">IF(A245="ID",1,IF(ISBLANK(B246),"",MAX(A$2:A245)+1))</f>
        <v/>
      </c>
      <c r="I246" s="2" t="str">
        <f ca="1">IF(ISNUMBER(A246),
IF(COUNTIFS(Equipar!B:B,6,Equipar!AC:AC,A246),"Equipada",
IF(
 OR(COUNTIFS(Equipar!B:B,6,Equipar!C:C,A246)
 +COUNTIFS(Equipar!B:B,6,Equipar!D:D,A246)
+COUNTIFS(Equipar!B:B,6,Equipar!E:E,A246)
+COUNTIFS(Equipar!B:B,6,Equipar!F:F,A246)
&gt;0,COUNTIF('Set recomendado'!B:B,C246)=0),
"Bloqueada",
"Desechable")),""
)</f>
        <v/>
      </c>
      <c r="J246" t="str" cm="1">
        <f t="array" aca="1" ref="J246" ca="1">IF(ISNUMBER(A246),IFERROR(_xlfn._xlws.FILTER(Equipar!A:A,(Equipar!B:B=6)*(Equipar!AC:AC=A246)),""),"")</f>
        <v/>
      </c>
    </row>
    <row r="247" spans="1:10" x14ac:dyDescent="0.25">
      <c r="A247" s="1" t="str">
        <f ca="1">IF(A246="ID",1,IF(ISBLANK(B247),"",MAX(A$2:A246)+1))</f>
        <v/>
      </c>
      <c r="I247" s="2" t="str">
        <f ca="1">IF(ISNUMBER(A247),
IF(COUNTIFS(Equipar!B:B,6,Equipar!AC:AC,A247),"Equipada",
IF(
 OR(COUNTIFS(Equipar!B:B,6,Equipar!C:C,A247)
 +COUNTIFS(Equipar!B:B,6,Equipar!D:D,A247)
+COUNTIFS(Equipar!B:B,6,Equipar!E:E,A247)
+COUNTIFS(Equipar!B:B,6,Equipar!F:F,A247)
&gt;0,COUNTIF('Set recomendado'!B:B,C247)=0),
"Bloqueada",
"Desechable")),""
)</f>
        <v/>
      </c>
      <c r="J247" t="str" cm="1">
        <f t="array" aca="1" ref="J247" ca="1">IF(ISNUMBER(A247),IFERROR(_xlfn._xlws.FILTER(Equipar!A:A,(Equipar!B:B=6)*(Equipar!AC:AC=A247)),""),"")</f>
        <v/>
      </c>
    </row>
    <row r="248" spans="1:10" x14ac:dyDescent="0.25">
      <c r="A248" s="1" t="str">
        <f ca="1">IF(A247="ID",1,IF(ISBLANK(B248),"",MAX(A$2:A247)+1))</f>
        <v/>
      </c>
      <c r="I248" s="2" t="str">
        <f ca="1">IF(ISNUMBER(A248),
IF(COUNTIFS(Equipar!B:B,6,Equipar!AC:AC,A248),"Equipada",
IF(
 OR(COUNTIFS(Equipar!B:B,6,Equipar!C:C,A248)
 +COUNTIFS(Equipar!B:B,6,Equipar!D:D,A248)
+COUNTIFS(Equipar!B:B,6,Equipar!E:E,A248)
+COUNTIFS(Equipar!B:B,6,Equipar!F:F,A248)
&gt;0,COUNTIF('Set recomendado'!B:B,C248)=0),
"Bloqueada",
"Desechable")),""
)</f>
        <v/>
      </c>
      <c r="J248" t="str" cm="1">
        <f t="array" aca="1" ref="J248" ca="1">IF(ISNUMBER(A248),IFERROR(_xlfn._xlws.FILTER(Equipar!A:A,(Equipar!B:B=6)*(Equipar!AC:AC=A248)),""),"")</f>
        <v/>
      </c>
    </row>
    <row r="249" spans="1:10" x14ac:dyDescent="0.25">
      <c r="A249" s="1" t="str">
        <f ca="1">IF(A248="ID",1,IF(ISBLANK(B249),"",MAX(A$2:A248)+1))</f>
        <v/>
      </c>
      <c r="I249" s="2" t="str">
        <f ca="1">IF(ISNUMBER(A249),
IF(COUNTIFS(Equipar!B:B,6,Equipar!AC:AC,A249),"Equipada",
IF(
 OR(COUNTIFS(Equipar!B:B,6,Equipar!C:C,A249)
 +COUNTIFS(Equipar!B:B,6,Equipar!D:D,A249)
+COUNTIFS(Equipar!B:B,6,Equipar!E:E,A249)
+COUNTIFS(Equipar!B:B,6,Equipar!F:F,A249)
&gt;0,COUNTIF('Set recomendado'!B:B,C249)=0),
"Bloqueada",
"Desechable")),""
)</f>
        <v/>
      </c>
      <c r="J249" t="str" cm="1">
        <f t="array" aca="1" ref="J249" ca="1">IF(ISNUMBER(A249),IFERROR(_xlfn._xlws.FILTER(Equipar!A:A,(Equipar!B:B=6)*(Equipar!AC:AC=A249)),""),"")</f>
        <v/>
      </c>
    </row>
    <row r="250" spans="1:10" x14ac:dyDescent="0.25">
      <c r="A250" s="1" t="str">
        <f ca="1">IF(A249="ID",1,IF(ISBLANK(B250),"",MAX(A$2:A249)+1))</f>
        <v/>
      </c>
      <c r="I250" s="2" t="str">
        <f ca="1">IF(ISNUMBER(A250),
IF(COUNTIFS(Equipar!B:B,6,Equipar!AC:AC,A250),"Equipada",
IF(
 OR(COUNTIFS(Equipar!B:B,6,Equipar!C:C,A250)
 +COUNTIFS(Equipar!B:B,6,Equipar!D:D,A250)
+COUNTIFS(Equipar!B:B,6,Equipar!E:E,A250)
+COUNTIFS(Equipar!B:B,6,Equipar!F:F,A250)
&gt;0,COUNTIF('Set recomendado'!B:B,C250)=0),
"Bloqueada",
"Desechable")),""
)</f>
        <v/>
      </c>
      <c r="J250" t="str" cm="1">
        <f t="array" aca="1" ref="J250" ca="1">IF(ISNUMBER(A250),IFERROR(_xlfn._xlws.FILTER(Equipar!A:A,(Equipar!B:B=6)*(Equipar!AC:AC=A250)),""),"")</f>
        <v/>
      </c>
    </row>
    <row r="251" spans="1:10" x14ac:dyDescent="0.25">
      <c r="A251" s="1" t="str">
        <f ca="1">IF(A250="ID",1,IF(ISBLANK(B251),"",MAX(A$2:A250)+1))</f>
        <v/>
      </c>
      <c r="I251" s="2" t="str">
        <f ca="1">IF(ISNUMBER(A251),
IF(COUNTIFS(Equipar!B:B,6,Equipar!AC:AC,A251),"Equipada",
IF(
 OR(COUNTIFS(Equipar!B:B,6,Equipar!C:C,A251)
 +COUNTIFS(Equipar!B:B,6,Equipar!D:D,A251)
+COUNTIFS(Equipar!B:B,6,Equipar!E:E,A251)
+COUNTIFS(Equipar!B:B,6,Equipar!F:F,A251)
&gt;0,COUNTIF('Set recomendado'!B:B,C251)=0),
"Bloqueada",
"Desechable")),""
)</f>
        <v/>
      </c>
      <c r="J251" t="str" cm="1">
        <f t="array" aca="1" ref="J251" ca="1">IF(ISNUMBER(A251),IFERROR(_xlfn._xlws.FILTER(Equipar!A:A,(Equipar!B:B=6)*(Equipar!AC:AC=A251)),""),"")</f>
        <v/>
      </c>
    </row>
    <row r="252" spans="1:10" x14ac:dyDescent="0.25">
      <c r="A252" s="1" t="str">
        <f ca="1">IF(A251="ID",1,IF(ISBLANK(B252),"",MAX(A$2:A251)+1))</f>
        <v/>
      </c>
      <c r="I252" s="2" t="str">
        <f ca="1">IF(ISNUMBER(A252),
IF(COUNTIFS(Equipar!B:B,6,Equipar!AC:AC,A252),"Equipada",
IF(
 OR(COUNTIFS(Equipar!B:B,6,Equipar!C:C,A252)
 +COUNTIFS(Equipar!B:B,6,Equipar!D:D,A252)
+COUNTIFS(Equipar!B:B,6,Equipar!E:E,A252)
+COUNTIFS(Equipar!B:B,6,Equipar!F:F,A252)
&gt;0,COUNTIF('Set recomendado'!B:B,C252)=0),
"Bloqueada",
"Desechable")),""
)</f>
        <v/>
      </c>
      <c r="J252" t="str" cm="1">
        <f t="array" aca="1" ref="J252" ca="1">IF(ISNUMBER(A252),IFERROR(_xlfn._xlws.FILTER(Equipar!A:A,(Equipar!B:B=6)*(Equipar!AC:AC=A252)),""),"")</f>
        <v/>
      </c>
    </row>
    <row r="253" spans="1:10" x14ac:dyDescent="0.25">
      <c r="A253" s="1" t="str">
        <f ca="1">IF(A252="ID",1,IF(ISBLANK(B253),"",MAX(A$2:A252)+1))</f>
        <v/>
      </c>
      <c r="I253" s="2" t="str">
        <f ca="1">IF(ISNUMBER(A253),
IF(COUNTIFS(Equipar!B:B,6,Equipar!AC:AC,A253),"Equipada",
IF(
 OR(COUNTIFS(Equipar!B:B,6,Equipar!C:C,A253)
 +COUNTIFS(Equipar!B:B,6,Equipar!D:D,A253)
+COUNTIFS(Equipar!B:B,6,Equipar!E:E,A253)
+COUNTIFS(Equipar!B:B,6,Equipar!F:F,A253)
&gt;0,COUNTIF('Set recomendado'!B:B,C253)=0),
"Bloqueada",
"Desechable")),""
)</f>
        <v/>
      </c>
      <c r="J253" t="str" cm="1">
        <f t="array" aca="1" ref="J253" ca="1">IF(ISNUMBER(A253),IFERROR(_xlfn._xlws.FILTER(Equipar!A:A,(Equipar!B:B=6)*(Equipar!AC:AC=A253)),""),"")</f>
        <v/>
      </c>
    </row>
    <row r="254" spans="1:10" x14ac:dyDescent="0.25">
      <c r="A254" s="1" t="str">
        <f ca="1">IF(A253="ID",1,IF(ISBLANK(B254),"",MAX(A$2:A253)+1))</f>
        <v/>
      </c>
      <c r="I254" s="2" t="str">
        <f ca="1">IF(ISNUMBER(A254),
IF(COUNTIFS(Equipar!B:B,6,Equipar!AC:AC,A254),"Equipada",
IF(
 OR(COUNTIFS(Equipar!B:B,6,Equipar!C:C,A254)
 +COUNTIFS(Equipar!B:B,6,Equipar!D:D,A254)
+COUNTIFS(Equipar!B:B,6,Equipar!E:E,A254)
+COUNTIFS(Equipar!B:B,6,Equipar!F:F,A254)
&gt;0,COUNTIF('Set recomendado'!B:B,C254)=0),
"Bloqueada",
"Desechable")),""
)</f>
        <v/>
      </c>
      <c r="J254" t="str" cm="1">
        <f t="array" aca="1" ref="J254" ca="1">IF(ISNUMBER(A254),IFERROR(_xlfn._xlws.FILTER(Equipar!A:A,(Equipar!B:B=6)*(Equipar!AC:AC=A254)),""),"")</f>
        <v/>
      </c>
    </row>
    <row r="255" spans="1:10" x14ac:dyDescent="0.25">
      <c r="A255" s="1" t="str">
        <f ca="1">IF(A254="ID",1,IF(ISBLANK(B255),"",MAX(A$2:A254)+1))</f>
        <v/>
      </c>
      <c r="I255" s="2" t="str">
        <f ca="1">IF(ISNUMBER(A255),
IF(COUNTIFS(Equipar!B:B,6,Equipar!AC:AC,A255),"Equipada",
IF(
 OR(COUNTIFS(Equipar!B:B,6,Equipar!C:C,A255)
 +COUNTIFS(Equipar!B:B,6,Equipar!D:D,A255)
+COUNTIFS(Equipar!B:B,6,Equipar!E:E,A255)
+COUNTIFS(Equipar!B:B,6,Equipar!F:F,A255)
&gt;0,COUNTIF('Set recomendado'!B:B,C255)=0),
"Bloqueada",
"Desechable")),""
)</f>
        <v/>
      </c>
      <c r="J255" t="str" cm="1">
        <f t="array" aca="1" ref="J255" ca="1">IF(ISNUMBER(A255),IFERROR(_xlfn._xlws.FILTER(Equipar!A:A,(Equipar!B:B=6)*(Equipar!AC:AC=A255)),""),"")</f>
        <v/>
      </c>
    </row>
    <row r="256" spans="1:10" x14ac:dyDescent="0.25">
      <c r="A256" s="1" t="str">
        <f ca="1">IF(A255="ID",1,IF(ISBLANK(B256),"",MAX(A$2:A255)+1))</f>
        <v/>
      </c>
      <c r="I256" s="2" t="str">
        <f ca="1">IF(ISNUMBER(A256),
IF(COUNTIFS(Equipar!B:B,6,Equipar!AC:AC,A256),"Equipada",
IF(
 OR(COUNTIFS(Equipar!B:B,6,Equipar!C:C,A256)
 +COUNTIFS(Equipar!B:B,6,Equipar!D:D,A256)
+COUNTIFS(Equipar!B:B,6,Equipar!E:E,A256)
+COUNTIFS(Equipar!B:B,6,Equipar!F:F,A256)
&gt;0,COUNTIF('Set recomendado'!B:B,C256)=0),
"Bloqueada",
"Desechable")),""
)</f>
        <v/>
      </c>
      <c r="J256" t="str" cm="1">
        <f t="array" aca="1" ref="J256" ca="1">IF(ISNUMBER(A256),IFERROR(_xlfn._xlws.FILTER(Equipar!A:A,(Equipar!B:B=6)*(Equipar!AC:AC=A256)),""),"")</f>
        <v/>
      </c>
    </row>
    <row r="257" spans="1:10" x14ac:dyDescent="0.25">
      <c r="A257" s="1" t="str">
        <f ca="1">IF(A256="ID",1,IF(ISBLANK(B257),"",MAX(A$2:A256)+1))</f>
        <v/>
      </c>
      <c r="I257" s="2" t="str">
        <f ca="1">IF(ISNUMBER(A257),
IF(COUNTIFS(Equipar!B:B,6,Equipar!AC:AC,A257),"Equipada",
IF(
 OR(COUNTIFS(Equipar!B:B,6,Equipar!C:C,A257)
 +COUNTIFS(Equipar!B:B,6,Equipar!D:D,A257)
+COUNTIFS(Equipar!B:B,6,Equipar!E:E,A257)
+COUNTIFS(Equipar!B:B,6,Equipar!F:F,A257)
&gt;0,COUNTIF('Set recomendado'!B:B,C257)=0),
"Bloqueada",
"Desechable")),""
)</f>
        <v/>
      </c>
      <c r="J257" t="str" cm="1">
        <f t="array" aca="1" ref="J257" ca="1">IF(ISNUMBER(A257),IFERROR(_xlfn._xlws.FILTER(Equipar!A:A,(Equipar!B:B=6)*(Equipar!AC:AC=A257)),""),"")</f>
        <v/>
      </c>
    </row>
    <row r="258" spans="1:10" x14ac:dyDescent="0.25">
      <c r="A258" s="1" t="str">
        <f ca="1">IF(A257="ID",1,IF(ISBLANK(B258),"",MAX(A$2:A257)+1))</f>
        <v/>
      </c>
      <c r="I258" s="2" t="str">
        <f ca="1">IF(ISNUMBER(A258),
IF(COUNTIFS(Equipar!B:B,6,Equipar!AC:AC,A258),"Equipada",
IF(
 OR(COUNTIFS(Equipar!B:B,6,Equipar!C:C,A258)
 +COUNTIFS(Equipar!B:B,6,Equipar!D:D,A258)
+COUNTIFS(Equipar!B:B,6,Equipar!E:E,A258)
+COUNTIFS(Equipar!B:B,6,Equipar!F:F,A258)
&gt;0,COUNTIF('Set recomendado'!B:B,C258)=0),
"Bloqueada",
"Desechable")),""
)</f>
        <v/>
      </c>
      <c r="J258" t="str" cm="1">
        <f t="array" aca="1" ref="J258" ca="1">IF(ISNUMBER(A258),IFERROR(_xlfn._xlws.FILTER(Equipar!A:A,(Equipar!B:B=6)*(Equipar!AC:AC=A258)),""),"")</f>
        <v/>
      </c>
    </row>
    <row r="259" spans="1:10" x14ac:dyDescent="0.25">
      <c r="A259" s="1" t="str">
        <f ca="1">IF(A258="ID",1,IF(ISBLANK(B259),"",MAX(A$2:A258)+1))</f>
        <v/>
      </c>
      <c r="I259" s="2" t="str">
        <f ca="1">IF(ISNUMBER(A259),
IF(COUNTIFS(Equipar!B:B,6,Equipar!AC:AC,A259),"Equipada",
IF(
 OR(COUNTIFS(Equipar!B:B,6,Equipar!C:C,A259)
 +COUNTIFS(Equipar!B:B,6,Equipar!D:D,A259)
+COUNTIFS(Equipar!B:B,6,Equipar!E:E,A259)
+COUNTIFS(Equipar!B:B,6,Equipar!F:F,A259)
&gt;0,COUNTIF('Set recomendado'!B:B,C259)=0),
"Bloqueada",
"Desechable")),""
)</f>
        <v/>
      </c>
      <c r="J259" t="str" cm="1">
        <f t="array" aca="1" ref="J259" ca="1">IF(ISNUMBER(A259),IFERROR(_xlfn._xlws.FILTER(Equipar!A:A,(Equipar!B:B=6)*(Equipar!AC:AC=A259)),""),"")</f>
        <v/>
      </c>
    </row>
    <row r="260" spans="1:10" x14ac:dyDescent="0.25">
      <c r="A260" s="1" t="str">
        <f ca="1">IF(A259="ID",1,IF(ISBLANK(B260),"",MAX(A$2:A259)+1))</f>
        <v/>
      </c>
      <c r="I260" s="2" t="str">
        <f ca="1">IF(ISNUMBER(A260),
IF(COUNTIFS(Equipar!B:B,6,Equipar!AC:AC,A260),"Equipada",
IF(
 OR(COUNTIFS(Equipar!B:B,6,Equipar!C:C,A260)
 +COUNTIFS(Equipar!B:B,6,Equipar!D:D,A260)
+COUNTIFS(Equipar!B:B,6,Equipar!E:E,A260)
+COUNTIFS(Equipar!B:B,6,Equipar!F:F,A260)
&gt;0,COUNTIF('Set recomendado'!B:B,C260)=0),
"Bloqueada",
"Desechable")),""
)</f>
        <v/>
      </c>
      <c r="J260" t="str" cm="1">
        <f t="array" aca="1" ref="J260" ca="1">IF(ISNUMBER(A260),IFERROR(_xlfn._xlws.FILTER(Equipar!A:A,(Equipar!B:B=6)*(Equipar!AC:AC=A260)),""),"")</f>
        <v/>
      </c>
    </row>
    <row r="261" spans="1:10" x14ac:dyDescent="0.25">
      <c r="A261" s="1" t="str">
        <f ca="1">IF(A260="ID",1,IF(ISBLANK(B261),"",MAX(A$2:A260)+1))</f>
        <v/>
      </c>
      <c r="I261" s="2" t="str">
        <f ca="1">IF(ISNUMBER(A261),
IF(COUNTIFS(Equipar!B:B,6,Equipar!AC:AC,A261),"Equipada",
IF(
 OR(COUNTIFS(Equipar!B:B,6,Equipar!C:C,A261)
 +COUNTIFS(Equipar!B:B,6,Equipar!D:D,A261)
+COUNTIFS(Equipar!B:B,6,Equipar!E:E,A261)
+COUNTIFS(Equipar!B:B,6,Equipar!F:F,A261)
&gt;0,COUNTIF('Set recomendado'!B:B,C261)=0),
"Bloqueada",
"Desechable")),""
)</f>
        <v/>
      </c>
      <c r="J261" t="str" cm="1">
        <f t="array" aca="1" ref="J261" ca="1">IF(ISNUMBER(A261),IFERROR(_xlfn._xlws.FILTER(Equipar!A:A,(Equipar!B:B=6)*(Equipar!AC:AC=A261)),""),"")</f>
        <v/>
      </c>
    </row>
    <row r="262" spans="1:10" x14ac:dyDescent="0.25">
      <c r="A262" s="1" t="str">
        <f ca="1">IF(A261="ID",1,IF(ISBLANK(B262),"",MAX(A$2:A261)+1))</f>
        <v/>
      </c>
      <c r="I262" s="2" t="str">
        <f ca="1">IF(ISNUMBER(A262),
IF(COUNTIFS(Equipar!B:B,6,Equipar!AC:AC,A262),"Equipada",
IF(
 OR(COUNTIFS(Equipar!B:B,6,Equipar!C:C,A262)
 +COUNTIFS(Equipar!B:B,6,Equipar!D:D,A262)
+COUNTIFS(Equipar!B:B,6,Equipar!E:E,A262)
+COUNTIFS(Equipar!B:B,6,Equipar!F:F,A262)
&gt;0,COUNTIF('Set recomendado'!B:B,C262)=0),
"Bloqueada",
"Desechable")),""
)</f>
        <v/>
      </c>
      <c r="J262" t="str" cm="1">
        <f t="array" aca="1" ref="J262" ca="1">IF(ISNUMBER(A262),IFERROR(_xlfn._xlws.FILTER(Equipar!A:A,(Equipar!B:B=6)*(Equipar!AC:AC=A262)),""),"")</f>
        <v/>
      </c>
    </row>
    <row r="263" spans="1:10" x14ac:dyDescent="0.25">
      <c r="A263" s="1" t="str">
        <f ca="1">IF(A262="ID",1,IF(ISBLANK(B263),"",MAX(A$2:A262)+1))</f>
        <v/>
      </c>
      <c r="I263" s="2" t="str">
        <f ca="1">IF(ISNUMBER(A263),
IF(COUNTIFS(Equipar!B:B,6,Equipar!AC:AC,A263),"Equipada",
IF(
 OR(COUNTIFS(Equipar!B:B,6,Equipar!C:C,A263)
 +COUNTIFS(Equipar!B:B,6,Equipar!D:D,A263)
+COUNTIFS(Equipar!B:B,6,Equipar!E:E,A263)
+COUNTIFS(Equipar!B:B,6,Equipar!F:F,A263)
&gt;0,COUNTIF('Set recomendado'!B:B,C263)=0),
"Bloqueada",
"Desechable")),""
)</f>
        <v/>
      </c>
      <c r="J263" t="str" cm="1">
        <f t="array" aca="1" ref="J263" ca="1">IF(ISNUMBER(A263),IFERROR(_xlfn._xlws.FILTER(Equipar!A:A,(Equipar!B:B=6)*(Equipar!AC:AC=A263)),""),"")</f>
        <v/>
      </c>
    </row>
    <row r="264" spans="1:10" x14ac:dyDescent="0.25">
      <c r="A264" s="1" t="str">
        <f ca="1">IF(A263="ID",1,IF(ISBLANK(B264),"",MAX(A$2:A263)+1))</f>
        <v/>
      </c>
      <c r="I264" s="2" t="str">
        <f ca="1">IF(ISNUMBER(A264),
IF(COUNTIFS(Equipar!B:B,6,Equipar!AC:AC,A264),"Equipada",
IF(
 OR(COUNTIFS(Equipar!B:B,6,Equipar!C:C,A264)
 +COUNTIFS(Equipar!B:B,6,Equipar!D:D,A264)
+COUNTIFS(Equipar!B:B,6,Equipar!E:E,A264)
+COUNTIFS(Equipar!B:B,6,Equipar!F:F,A264)
&gt;0,COUNTIF('Set recomendado'!B:B,C264)=0),
"Bloqueada",
"Desechable")),""
)</f>
        <v/>
      </c>
      <c r="J264" t="str" cm="1">
        <f t="array" aca="1" ref="J264" ca="1">IF(ISNUMBER(A264),IFERROR(_xlfn._xlws.FILTER(Equipar!A:A,(Equipar!B:B=6)*(Equipar!AC:AC=A264)),""),"")</f>
        <v/>
      </c>
    </row>
    <row r="265" spans="1:10" x14ac:dyDescent="0.25">
      <c r="A265" s="1" t="str">
        <f ca="1">IF(A264="ID",1,IF(ISBLANK(B265),"",MAX(A$2:A264)+1))</f>
        <v/>
      </c>
      <c r="I265" s="2" t="str">
        <f ca="1">IF(ISNUMBER(A265),
IF(COUNTIFS(Equipar!B:B,6,Equipar!AC:AC,A265),"Equipada",
IF(
 OR(COUNTIFS(Equipar!B:B,6,Equipar!C:C,A265)
 +COUNTIFS(Equipar!B:B,6,Equipar!D:D,A265)
+COUNTIFS(Equipar!B:B,6,Equipar!E:E,A265)
+COUNTIFS(Equipar!B:B,6,Equipar!F:F,A265)
&gt;0,COUNTIF('Set recomendado'!B:B,C265)=0),
"Bloqueada",
"Desechable")),""
)</f>
        <v/>
      </c>
      <c r="J265" t="str" cm="1">
        <f t="array" aca="1" ref="J265" ca="1">IF(ISNUMBER(A265),IFERROR(_xlfn._xlws.FILTER(Equipar!A:A,(Equipar!B:B=6)*(Equipar!AC:AC=A265)),""),"")</f>
        <v/>
      </c>
    </row>
    <row r="266" spans="1:10" x14ac:dyDescent="0.25">
      <c r="A266" s="1" t="str">
        <f ca="1">IF(A265="ID",1,IF(ISBLANK(B266),"",MAX(A$2:A265)+1))</f>
        <v/>
      </c>
      <c r="I266" s="2" t="str">
        <f ca="1">IF(ISNUMBER(A266),
IF(COUNTIFS(Equipar!B:B,6,Equipar!AC:AC,A266),"Equipada",
IF(
 OR(COUNTIFS(Equipar!B:B,6,Equipar!C:C,A266)
 +COUNTIFS(Equipar!B:B,6,Equipar!D:D,A266)
+COUNTIFS(Equipar!B:B,6,Equipar!E:E,A266)
+COUNTIFS(Equipar!B:B,6,Equipar!F:F,A266)
&gt;0,COUNTIF('Set recomendado'!B:B,C266)=0),
"Bloqueada",
"Desechable")),""
)</f>
        <v/>
      </c>
      <c r="J266" t="str" cm="1">
        <f t="array" aca="1" ref="J266" ca="1">IF(ISNUMBER(A266),IFERROR(_xlfn._xlws.FILTER(Equipar!A:A,(Equipar!B:B=6)*(Equipar!AC:AC=A266)),""),"")</f>
        <v/>
      </c>
    </row>
    <row r="267" spans="1:10" x14ac:dyDescent="0.25">
      <c r="A267" s="1" t="str">
        <f ca="1">IF(A266="ID",1,IF(ISBLANK(B267),"",MAX(A$2:A266)+1))</f>
        <v/>
      </c>
      <c r="I267" s="2" t="str">
        <f ca="1">IF(ISNUMBER(A267),
IF(COUNTIFS(Equipar!B:B,6,Equipar!AC:AC,A267),"Equipada",
IF(
 OR(COUNTIFS(Equipar!B:B,6,Equipar!C:C,A267)
 +COUNTIFS(Equipar!B:B,6,Equipar!D:D,A267)
+COUNTIFS(Equipar!B:B,6,Equipar!E:E,A267)
+COUNTIFS(Equipar!B:B,6,Equipar!F:F,A267)
&gt;0,COUNTIF('Set recomendado'!B:B,C267)=0),
"Bloqueada",
"Desechable")),""
)</f>
        <v/>
      </c>
      <c r="J267" t="str" cm="1">
        <f t="array" aca="1" ref="J267" ca="1">IF(ISNUMBER(A267),IFERROR(_xlfn._xlws.FILTER(Equipar!A:A,(Equipar!B:B=6)*(Equipar!AC:AC=A267)),""),"")</f>
        <v/>
      </c>
    </row>
    <row r="268" spans="1:10" x14ac:dyDescent="0.25">
      <c r="A268" s="1" t="str">
        <f ca="1">IF(A267="ID",1,IF(ISBLANK(B268),"",MAX(A$2:A267)+1))</f>
        <v/>
      </c>
      <c r="I268" s="2" t="str">
        <f ca="1">IF(ISNUMBER(A268),
IF(COUNTIFS(Equipar!B:B,6,Equipar!AC:AC,A268),"Equipada",
IF(
 OR(COUNTIFS(Equipar!B:B,6,Equipar!C:C,A268)
 +COUNTIFS(Equipar!B:B,6,Equipar!D:D,A268)
+COUNTIFS(Equipar!B:B,6,Equipar!E:E,A268)
+COUNTIFS(Equipar!B:B,6,Equipar!F:F,A268)
&gt;0,COUNTIF('Set recomendado'!B:B,C268)=0),
"Bloqueada",
"Desechable")),""
)</f>
        <v/>
      </c>
      <c r="J268" t="str" cm="1">
        <f t="array" aca="1" ref="J268" ca="1">IF(ISNUMBER(A268),IFERROR(_xlfn._xlws.FILTER(Equipar!A:A,(Equipar!B:B=6)*(Equipar!AC:AC=A268)),""),"")</f>
        <v/>
      </c>
    </row>
    <row r="269" spans="1:10" x14ac:dyDescent="0.25">
      <c r="A269" s="1" t="str">
        <f ca="1">IF(A268="ID",1,IF(ISBLANK(B269),"",MAX(A$2:A268)+1))</f>
        <v/>
      </c>
      <c r="I269" s="2" t="str">
        <f ca="1">IF(ISNUMBER(A269),
IF(COUNTIFS(Equipar!B:B,6,Equipar!AC:AC,A269),"Equipada",
IF(
 OR(COUNTIFS(Equipar!B:B,6,Equipar!C:C,A269)
 +COUNTIFS(Equipar!B:B,6,Equipar!D:D,A269)
+COUNTIFS(Equipar!B:B,6,Equipar!E:E,A269)
+COUNTIFS(Equipar!B:B,6,Equipar!F:F,A269)
&gt;0,COUNTIF('Set recomendado'!B:B,C269)=0),
"Bloqueada",
"Desechable")),""
)</f>
        <v/>
      </c>
      <c r="J269" t="str" cm="1">
        <f t="array" aca="1" ref="J269" ca="1">IF(ISNUMBER(A269),IFERROR(_xlfn._xlws.FILTER(Equipar!A:A,(Equipar!B:B=6)*(Equipar!AC:AC=A269)),""),"")</f>
        <v/>
      </c>
    </row>
    <row r="270" spans="1:10" x14ac:dyDescent="0.25">
      <c r="A270" s="1" t="str">
        <f ca="1">IF(A269="ID",1,IF(ISBLANK(B270),"",MAX(A$2:A269)+1))</f>
        <v/>
      </c>
      <c r="I270" s="2" t="str">
        <f ca="1">IF(ISNUMBER(A270),
IF(COUNTIFS(Equipar!B:B,6,Equipar!AC:AC,A270),"Equipada",
IF(
 OR(COUNTIFS(Equipar!B:B,6,Equipar!C:C,A270)
 +COUNTIFS(Equipar!B:B,6,Equipar!D:D,A270)
+COUNTIFS(Equipar!B:B,6,Equipar!E:E,A270)
+COUNTIFS(Equipar!B:B,6,Equipar!F:F,A270)
&gt;0,COUNTIF('Set recomendado'!B:B,C270)=0),
"Bloqueada",
"Desechable")),""
)</f>
        <v/>
      </c>
      <c r="J270" t="str" cm="1">
        <f t="array" aca="1" ref="J270" ca="1">IF(ISNUMBER(A270),IFERROR(_xlfn._xlws.FILTER(Equipar!A:A,(Equipar!B:B=6)*(Equipar!AC:AC=A270)),""),"")</f>
        <v/>
      </c>
    </row>
    <row r="271" spans="1:10" x14ac:dyDescent="0.25">
      <c r="A271" s="1" t="str">
        <f ca="1">IF(A270="ID",1,IF(ISBLANK(B271),"",MAX(A$2:A270)+1))</f>
        <v/>
      </c>
      <c r="I271" s="2" t="str">
        <f ca="1">IF(ISNUMBER(A271),
IF(COUNTIFS(Equipar!B:B,6,Equipar!AC:AC,A271),"Equipada",
IF(
 OR(COUNTIFS(Equipar!B:B,6,Equipar!C:C,A271)
 +COUNTIFS(Equipar!B:B,6,Equipar!D:D,A271)
+COUNTIFS(Equipar!B:B,6,Equipar!E:E,A271)
+COUNTIFS(Equipar!B:B,6,Equipar!F:F,A271)
&gt;0,COUNTIF('Set recomendado'!B:B,C271)=0),
"Bloqueada",
"Desechable")),""
)</f>
        <v/>
      </c>
      <c r="J271" t="str" cm="1">
        <f t="array" aca="1" ref="J271" ca="1">IF(ISNUMBER(A271),IFERROR(_xlfn._xlws.FILTER(Equipar!A:A,(Equipar!B:B=6)*(Equipar!AC:AC=A271)),""),"")</f>
        <v/>
      </c>
    </row>
    <row r="272" spans="1:10" x14ac:dyDescent="0.25">
      <c r="A272" s="1" t="str">
        <f ca="1">IF(A271="ID",1,IF(ISBLANK(B272),"",MAX(A$2:A271)+1))</f>
        <v/>
      </c>
      <c r="I272" s="2" t="str">
        <f ca="1">IF(ISNUMBER(A272),
IF(COUNTIFS(Equipar!B:B,6,Equipar!AC:AC,A272),"Equipada",
IF(
 OR(COUNTIFS(Equipar!B:B,6,Equipar!C:C,A272)
 +COUNTIFS(Equipar!B:B,6,Equipar!D:D,A272)
+COUNTIFS(Equipar!B:B,6,Equipar!E:E,A272)
+COUNTIFS(Equipar!B:B,6,Equipar!F:F,A272)
&gt;0,COUNTIF('Set recomendado'!B:B,C272)=0),
"Bloqueada",
"Desechable")),""
)</f>
        <v/>
      </c>
      <c r="J272" t="str" cm="1">
        <f t="array" aca="1" ref="J272" ca="1">IF(ISNUMBER(A272),IFERROR(_xlfn._xlws.FILTER(Equipar!A:A,(Equipar!B:B=6)*(Equipar!AC:AC=A272)),""),"")</f>
        <v/>
      </c>
    </row>
    <row r="273" spans="1:10" x14ac:dyDescent="0.25">
      <c r="A273" s="1" t="str">
        <f ca="1">IF(A272="ID",1,IF(ISBLANK(B273),"",MAX(A$2:A272)+1))</f>
        <v/>
      </c>
      <c r="I273" s="2" t="str">
        <f ca="1">IF(ISNUMBER(A273),
IF(COUNTIFS(Equipar!B:B,6,Equipar!AC:AC,A273),"Equipada",
IF(
 OR(COUNTIFS(Equipar!B:B,6,Equipar!C:C,A273)
 +COUNTIFS(Equipar!B:B,6,Equipar!D:D,A273)
+COUNTIFS(Equipar!B:B,6,Equipar!E:E,A273)
+COUNTIFS(Equipar!B:B,6,Equipar!F:F,A273)
&gt;0,COUNTIF('Set recomendado'!B:B,C273)=0),
"Bloqueada",
"Desechable")),""
)</f>
        <v/>
      </c>
      <c r="J273" t="str" cm="1">
        <f t="array" aca="1" ref="J273" ca="1">IF(ISNUMBER(A273),IFERROR(_xlfn._xlws.FILTER(Equipar!A:A,(Equipar!B:B=6)*(Equipar!AC:AC=A273)),""),"")</f>
        <v/>
      </c>
    </row>
    <row r="274" spans="1:10" x14ac:dyDescent="0.25">
      <c r="A274" s="1" t="str">
        <f ca="1">IF(A273="ID",1,IF(ISBLANK(B274),"",MAX(A$2:A273)+1))</f>
        <v/>
      </c>
      <c r="I274" s="2" t="str">
        <f ca="1">IF(ISNUMBER(A274),
IF(COUNTIFS(Equipar!B:B,6,Equipar!AC:AC,A274),"Equipada",
IF(
 OR(COUNTIFS(Equipar!B:B,6,Equipar!C:C,A274)
 +COUNTIFS(Equipar!B:B,6,Equipar!D:D,A274)
+COUNTIFS(Equipar!B:B,6,Equipar!E:E,A274)
+COUNTIFS(Equipar!B:B,6,Equipar!F:F,A274)
&gt;0,COUNTIF('Set recomendado'!B:B,C274)=0),
"Bloqueada",
"Desechable")),""
)</f>
        <v/>
      </c>
      <c r="J274" t="str" cm="1">
        <f t="array" aca="1" ref="J274" ca="1">IF(ISNUMBER(A274),IFERROR(_xlfn._xlws.FILTER(Equipar!A:A,(Equipar!B:B=6)*(Equipar!AC:AC=A274)),""),"")</f>
        <v/>
      </c>
    </row>
    <row r="275" spans="1:10" x14ac:dyDescent="0.25">
      <c r="A275" s="1" t="str">
        <f ca="1">IF(A274="ID",1,IF(ISBLANK(B275),"",MAX(A$2:A274)+1))</f>
        <v/>
      </c>
      <c r="I275" s="2" t="str">
        <f ca="1">IF(ISNUMBER(A275),
IF(COUNTIFS(Equipar!B:B,6,Equipar!AC:AC,A275),"Equipada",
IF(
 OR(COUNTIFS(Equipar!B:B,6,Equipar!C:C,A275)
 +COUNTIFS(Equipar!B:B,6,Equipar!D:D,A275)
+COUNTIFS(Equipar!B:B,6,Equipar!E:E,A275)
+COUNTIFS(Equipar!B:B,6,Equipar!F:F,A275)
&gt;0,COUNTIF('Set recomendado'!B:B,C275)=0),
"Bloqueada",
"Desechable")),""
)</f>
        <v/>
      </c>
      <c r="J275" t="str" cm="1">
        <f t="array" aca="1" ref="J275" ca="1">IF(ISNUMBER(A275),IFERROR(_xlfn._xlws.FILTER(Equipar!A:A,(Equipar!B:B=6)*(Equipar!AC:AC=A275)),""),"")</f>
        <v/>
      </c>
    </row>
    <row r="276" spans="1:10" x14ac:dyDescent="0.25">
      <c r="A276" s="1" t="str">
        <f ca="1">IF(A275="ID",1,IF(ISBLANK(B276),"",MAX(A$2:A275)+1))</f>
        <v/>
      </c>
      <c r="I276" s="2" t="str">
        <f ca="1">IF(ISNUMBER(A276),
IF(COUNTIFS(Equipar!B:B,6,Equipar!AC:AC,A276),"Equipada",
IF(
 OR(COUNTIFS(Equipar!B:B,6,Equipar!C:C,A276)
 +COUNTIFS(Equipar!B:B,6,Equipar!D:D,A276)
+COUNTIFS(Equipar!B:B,6,Equipar!E:E,A276)
+COUNTIFS(Equipar!B:B,6,Equipar!F:F,A276)
&gt;0,COUNTIF('Set recomendado'!B:B,C276)=0),
"Bloqueada",
"Desechable")),""
)</f>
        <v/>
      </c>
      <c r="J276" t="str" cm="1">
        <f t="array" aca="1" ref="J276" ca="1">IF(ISNUMBER(A276),IFERROR(_xlfn._xlws.FILTER(Equipar!A:A,(Equipar!B:B=6)*(Equipar!AC:AC=A276)),""),"")</f>
        <v/>
      </c>
    </row>
    <row r="277" spans="1:10" x14ac:dyDescent="0.25">
      <c r="A277" s="1" t="str">
        <f ca="1">IF(A276="ID",1,IF(ISBLANK(B277),"",MAX(A$2:A276)+1))</f>
        <v/>
      </c>
      <c r="I277" s="2" t="str">
        <f ca="1">IF(ISNUMBER(A277),
IF(COUNTIFS(Equipar!B:B,6,Equipar!AC:AC,A277),"Equipada",
IF(
 OR(COUNTIFS(Equipar!B:B,6,Equipar!C:C,A277)
 +COUNTIFS(Equipar!B:B,6,Equipar!D:D,A277)
+COUNTIFS(Equipar!B:B,6,Equipar!E:E,A277)
+COUNTIFS(Equipar!B:B,6,Equipar!F:F,A277)
&gt;0,COUNTIF('Set recomendado'!B:B,C277)=0),
"Bloqueada",
"Desechable")),""
)</f>
        <v/>
      </c>
      <c r="J277" t="str" cm="1">
        <f t="array" aca="1" ref="J277" ca="1">IF(ISNUMBER(A277),IFERROR(_xlfn._xlws.FILTER(Equipar!A:A,(Equipar!B:B=6)*(Equipar!AC:AC=A277)),""),"")</f>
        <v/>
      </c>
    </row>
    <row r="278" spans="1:10" x14ac:dyDescent="0.25">
      <c r="A278" s="1" t="str">
        <f ca="1">IF(A277="ID",1,IF(ISBLANK(B278),"",MAX(A$2:A277)+1))</f>
        <v/>
      </c>
      <c r="I278" s="2" t="str">
        <f ca="1">IF(ISNUMBER(A278),
IF(COUNTIFS(Equipar!B:B,6,Equipar!AC:AC,A278),"Equipada",
IF(
 OR(COUNTIFS(Equipar!B:B,6,Equipar!C:C,A278)
 +COUNTIFS(Equipar!B:B,6,Equipar!D:D,A278)
+COUNTIFS(Equipar!B:B,6,Equipar!E:E,A278)
+COUNTIFS(Equipar!B:B,6,Equipar!F:F,A278)
&gt;0,COUNTIF('Set recomendado'!B:B,C278)=0),
"Bloqueada",
"Desechable")),""
)</f>
        <v/>
      </c>
      <c r="J278" t="str" cm="1">
        <f t="array" aca="1" ref="J278" ca="1">IF(ISNUMBER(A278),IFERROR(_xlfn._xlws.FILTER(Equipar!A:A,(Equipar!B:B=6)*(Equipar!AC:AC=A278)),""),"")</f>
        <v/>
      </c>
    </row>
    <row r="279" spans="1:10" x14ac:dyDescent="0.25">
      <c r="A279" s="1" t="str">
        <f ca="1">IF(A278="ID",1,IF(ISBLANK(B279),"",MAX(A$2:A278)+1))</f>
        <v/>
      </c>
      <c r="I279" s="2" t="str">
        <f ca="1">IF(ISNUMBER(A279),
IF(COUNTIFS(Equipar!B:B,6,Equipar!AC:AC,A279),"Equipada",
IF(
 OR(COUNTIFS(Equipar!B:B,6,Equipar!C:C,A279)
 +COUNTIFS(Equipar!B:B,6,Equipar!D:D,A279)
+COUNTIFS(Equipar!B:B,6,Equipar!E:E,A279)
+COUNTIFS(Equipar!B:B,6,Equipar!F:F,A279)
&gt;0,COUNTIF('Set recomendado'!B:B,C279)=0),
"Bloqueada",
"Desechable")),""
)</f>
        <v/>
      </c>
      <c r="J279" t="str" cm="1">
        <f t="array" aca="1" ref="J279" ca="1">IF(ISNUMBER(A279),IFERROR(_xlfn._xlws.FILTER(Equipar!A:A,(Equipar!B:B=6)*(Equipar!AC:AC=A279)),""),"")</f>
        <v/>
      </c>
    </row>
    <row r="280" spans="1:10" x14ac:dyDescent="0.25">
      <c r="A280" s="1" t="str">
        <f ca="1">IF(A279="ID",1,IF(ISBLANK(B280),"",MAX(A$2:A279)+1))</f>
        <v/>
      </c>
      <c r="I280" s="2" t="str">
        <f ca="1">IF(ISNUMBER(A280),
IF(COUNTIFS(Equipar!B:B,6,Equipar!AC:AC,A280),"Equipada",
IF(
 OR(COUNTIFS(Equipar!B:B,6,Equipar!C:C,A280)
 +COUNTIFS(Equipar!B:B,6,Equipar!D:D,A280)
+COUNTIFS(Equipar!B:B,6,Equipar!E:E,A280)
+COUNTIFS(Equipar!B:B,6,Equipar!F:F,A280)
&gt;0,COUNTIF('Set recomendado'!B:B,C280)=0),
"Bloqueada",
"Desechable")),""
)</f>
        <v/>
      </c>
      <c r="J280" t="str" cm="1">
        <f t="array" aca="1" ref="J280" ca="1">IF(ISNUMBER(A280),IFERROR(_xlfn._xlws.FILTER(Equipar!A:A,(Equipar!B:B=6)*(Equipar!AC:AC=A280)),""),"")</f>
        <v/>
      </c>
    </row>
    <row r="281" spans="1:10" x14ac:dyDescent="0.25">
      <c r="A281" s="1" t="str">
        <f ca="1">IF(A280="ID",1,IF(ISBLANK(B281),"",MAX(A$2:A280)+1))</f>
        <v/>
      </c>
      <c r="I281" s="2" t="str">
        <f ca="1">IF(ISNUMBER(A281),
IF(COUNTIFS(Equipar!B:B,6,Equipar!AC:AC,A281),"Equipada",
IF(
 OR(COUNTIFS(Equipar!B:B,6,Equipar!C:C,A281)
 +COUNTIFS(Equipar!B:B,6,Equipar!D:D,A281)
+COUNTIFS(Equipar!B:B,6,Equipar!E:E,A281)
+COUNTIFS(Equipar!B:B,6,Equipar!F:F,A281)
&gt;0,COUNTIF('Set recomendado'!B:B,C281)=0),
"Bloqueada",
"Desechable")),""
)</f>
        <v/>
      </c>
      <c r="J281" t="str" cm="1">
        <f t="array" aca="1" ref="J281" ca="1">IF(ISNUMBER(A281),IFERROR(_xlfn._xlws.FILTER(Equipar!A:A,(Equipar!B:B=6)*(Equipar!AC:AC=A281)),""),"")</f>
        <v/>
      </c>
    </row>
    <row r="282" spans="1:10" x14ac:dyDescent="0.25">
      <c r="A282" s="1" t="str">
        <f ca="1">IF(A281="ID",1,IF(ISBLANK(B282),"",MAX(A$2:A281)+1))</f>
        <v/>
      </c>
      <c r="I282" s="2" t="str">
        <f ca="1">IF(ISNUMBER(A282),
IF(COUNTIFS(Equipar!B:B,6,Equipar!AC:AC,A282),"Equipada",
IF(
 OR(COUNTIFS(Equipar!B:B,6,Equipar!C:C,A282)
 +COUNTIFS(Equipar!B:B,6,Equipar!D:D,A282)
+COUNTIFS(Equipar!B:B,6,Equipar!E:E,A282)
+COUNTIFS(Equipar!B:B,6,Equipar!F:F,A282)
&gt;0,COUNTIF('Set recomendado'!B:B,C282)=0),
"Bloqueada",
"Desechable")),""
)</f>
        <v/>
      </c>
      <c r="J282" t="str" cm="1">
        <f t="array" aca="1" ref="J282" ca="1">IF(ISNUMBER(A282),IFERROR(_xlfn._xlws.FILTER(Equipar!A:A,(Equipar!B:B=6)*(Equipar!AC:AC=A282)),""),"")</f>
        <v/>
      </c>
    </row>
    <row r="283" spans="1:10" x14ac:dyDescent="0.25">
      <c r="A283" s="1" t="str">
        <f ca="1">IF(A282="ID",1,IF(ISBLANK(B283),"",MAX(A$2:A282)+1))</f>
        <v/>
      </c>
      <c r="I283" s="2" t="str">
        <f ca="1">IF(ISNUMBER(A283),
IF(COUNTIFS(Equipar!B:B,6,Equipar!AC:AC,A283),"Equipada",
IF(
 OR(COUNTIFS(Equipar!B:B,6,Equipar!C:C,A283)
 +COUNTIFS(Equipar!B:B,6,Equipar!D:D,A283)
+COUNTIFS(Equipar!B:B,6,Equipar!E:E,A283)
+COUNTIFS(Equipar!B:B,6,Equipar!F:F,A283)
&gt;0,COUNTIF('Set recomendado'!B:B,C283)=0),
"Bloqueada",
"Desechable")),""
)</f>
        <v/>
      </c>
      <c r="J283" t="str" cm="1">
        <f t="array" aca="1" ref="J283" ca="1">IF(ISNUMBER(A283),IFERROR(_xlfn._xlws.FILTER(Equipar!A:A,(Equipar!B:B=6)*(Equipar!AC:AC=A283)),""),"")</f>
        <v/>
      </c>
    </row>
    <row r="284" spans="1:10" x14ac:dyDescent="0.25">
      <c r="A284" s="1" t="str">
        <f ca="1">IF(A283="ID",1,IF(ISBLANK(B284),"",MAX(A$2:A283)+1))</f>
        <v/>
      </c>
      <c r="I284" s="2" t="str">
        <f ca="1">IF(ISNUMBER(A284),
IF(COUNTIFS(Equipar!B:B,6,Equipar!AC:AC,A284),"Equipada",
IF(
 OR(COUNTIFS(Equipar!B:B,6,Equipar!C:C,A284)
 +COUNTIFS(Equipar!B:B,6,Equipar!D:D,A284)
+COUNTIFS(Equipar!B:B,6,Equipar!E:E,A284)
+COUNTIFS(Equipar!B:B,6,Equipar!F:F,A284)
&gt;0,COUNTIF('Set recomendado'!B:B,C284)=0),
"Bloqueada",
"Desechable")),""
)</f>
        <v/>
      </c>
      <c r="J284" t="str" cm="1">
        <f t="array" aca="1" ref="J284" ca="1">IF(ISNUMBER(A284),IFERROR(_xlfn._xlws.FILTER(Equipar!A:A,(Equipar!B:B=6)*(Equipar!AC:AC=A284)),""),"")</f>
        <v/>
      </c>
    </row>
    <row r="285" spans="1:10" x14ac:dyDescent="0.25">
      <c r="A285" s="1" t="str">
        <f ca="1">IF(A284="ID",1,IF(ISBLANK(B285),"",MAX(A$2:A284)+1))</f>
        <v/>
      </c>
      <c r="I285" s="2" t="str">
        <f ca="1">IF(ISNUMBER(A285),
IF(COUNTIFS(Equipar!B:B,6,Equipar!AC:AC,A285),"Equipada",
IF(
 OR(COUNTIFS(Equipar!B:B,6,Equipar!C:C,A285)
 +COUNTIFS(Equipar!B:B,6,Equipar!D:D,A285)
+COUNTIFS(Equipar!B:B,6,Equipar!E:E,A285)
+COUNTIFS(Equipar!B:B,6,Equipar!F:F,A285)
&gt;0,COUNTIF('Set recomendado'!B:B,C285)=0),
"Bloqueada",
"Desechable")),""
)</f>
        <v/>
      </c>
      <c r="J285" t="str" cm="1">
        <f t="array" aca="1" ref="J285" ca="1">IF(ISNUMBER(A285),IFERROR(_xlfn._xlws.FILTER(Equipar!A:A,(Equipar!B:B=6)*(Equipar!AC:AC=A285)),""),"")</f>
        <v/>
      </c>
    </row>
    <row r="286" spans="1:10" x14ac:dyDescent="0.25">
      <c r="A286" s="1" t="str">
        <f ca="1">IF(A285="ID",1,IF(ISBLANK(B286),"",MAX(A$2:A285)+1))</f>
        <v/>
      </c>
      <c r="I286" s="2" t="str">
        <f ca="1">IF(ISNUMBER(A286),
IF(COUNTIFS(Equipar!B:B,6,Equipar!AC:AC,A286),"Equipada",
IF(
 OR(COUNTIFS(Equipar!B:B,6,Equipar!C:C,A286)
 +COUNTIFS(Equipar!B:B,6,Equipar!D:D,A286)
+COUNTIFS(Equipar!B:B,6,Equipar!E:E,A286)
+COUNTIFS(Equipar!B:B,6,Equipar!F:F,A286)
&gt;0,COUNTIF('Set recomendado'!B:B,C286)=0),
"Bloqueada",
"Desechable")),""
)</f>
        <v/>
      </c>
      <c r="J286" t="str" cm="1">
        <f t="array" aca="1" ref="J286" ca="1">IF(ISNUMBER(A286),IFERROR(_xlfn._xlws.FILTER(Equipar!A:A,(Equipar!B:B=6)*(Equipar!AC:AC=A286)),""),"")</f>
        <v/>
      </c>
    </row>
    <row r="287" spans="1:10" x14ac:dyDescent="0.25">
      <c r="A287" s="1" t="str">
        <f ca="1">IF(A286="ID",1,IF(ISBLANK(B287),"",MAX(A$2:A286)+1))</f>
        <v/>
      </c>
      <c r="I287" s="2" t="str">
        <f ca="1">IF(ISNUMBER(A287),
IF(COUNTIFS(Equipar!B:B,6,Equipar!AC:AC,A287),"Equipada",
IF(
 OR(COUNTIFS(Equipar!B:B,6,Equipar!C:C,A287)
 +COUNTIFS(Equipar!B:B,6,Equipar!D:D,A287)
+COUNTIFS(Equipar!B:B,6,Equipar!E:E,A287)
+COUNTIFS(Equipar!B:B,6,Equipar!F:F,A287)
&gt;0,COUNTIF('Set recomendado'!B:B,C287)=0),
"Bloqueada",
"Desechable")),""
)</f>
        <v/>
      </c>
      <c r="J287" t="str" cm="1">
        <f t="array" aca="1" ref="J287" ca="1">IF(ISNUMBER(A287),IFERROR(_xlfn._xlws.FILTER(Equipar!A:A,(Equipar!B:B=6)*(Equipar!AC:AC=A287)),""),"")</f>
        <v/>
      </c>
    </row>
    <row r="288" spans="1:10" x14ac:dyDescent="0.25">
      <c r="A288" s="1" t="str">
        <f ca="1">IF(A287="ID",1,IF(ISBLANK(B288),"",MAX(A$2:A287)+1))</f>
        <v/>
      </c>
      <c r="I288" s="2" t="str">
        <f ca="1">IF(ISNUMBER(A288),
IF(COUNTIFS(Equipar!B:B,6,Equipar!AC:AC,A288),"Equipada",
IF(
 OR(COUNTIFS(Equipar!B:B,6,Equipar!C:C,A288)
 +COUNTIFS(Equipar!B:B,6,Equipar!D:D,A288)
+COUNTIFS(Equipar!B:B,6,Equipar!E:E,A288)
+COUNTIFS(Equipar!B:B,6,Equipar!F:F,A288)
&gt;0,COUNTIF('Set recomendado'!B:B,C288)=0),
"Bloqueada",
"Desechable")),""
)</f>
        <v/>
      </c>
      <c r="J288" t="str" cm="1">
        <f t="array" aca="1" ref="J288" ca="1">IF(ISNUMBER(A288),IFERROR(_xlfn._xlws.FILTER(Equipar!A:A,(Equipar!B:B=6)*(Equipar!AC:AC=A288)),""),"")</f>
        <v/>
      </c>
    </row>
    <row r="289" spans="1:10" x14ac:dyDescent="0.25">
      <c r="A289" s="1" t="str">
        <f ca="1">IF(A288="ID",1,IF(ISBLANK(B289),"",MAX(A$2:A288)+1))</f>
        <v/>
      </c>
      <c r="I289" s="2" t="str">
        <f ca="1">IF(ISNUMBER(A289),
IF(COUNTIFS(Equipar!B:B,6,Equipar!AC:AC,A289),"Equipada",
IF(
 OR(COUNTIFS(Equipar!B:B,6,Equipar!C:C,A289)
 +COUNTIFS(Equipar!B:B,6,Equipar!D:D,A289)
+COUNTIFS(Equipar!B:B,6,Equipar!E:E,A289)
+COUNTIFS(Equipar!B:B,6,Equipar!F:F,A289)
&gt;0,COUNTIF('Set recomendado'!B:B,C289)=0),
"Bloqueada",
"Desechable")),""
)</f>
        <v/>
      </c>
      <c r="J289" t="str" cm="1">
        <f t="array" aca="1" ref="J289" ca="1">IF(ISNUMBER(A289),IFERROR(_xlfn._xlws.FILTER(Equipar!A:A,(Equipar!B:B=6)*(Equipar!AC:AC=A289)),""),"")</f>
        <v/>
      </c>
    </row>
    <row r="290" spans="1:10" x14ac:dyDescent="0.25">
      <c r="A290" s="1" t="str">
        <f ca="1">IF(A289="ID",1,IF(ISBLANK(B290),"",MAX(A$2:A289)+1))</f>
        <v/>
      </c>
      <c r="I290" s="2" t="str">
        <f ca="1">IF(ISNUMBER(A290),
IF(COUNTIFS(Equipar!B:B,6,Equipar!AC:AC,A290),"Equipada",
IF(
 OR(COUNTIFS(Equipar!B:B,6,Equipar!C:C,A290)
 +COUNTIFS(Equipar!B:B,6,Equipar!D:D,A290)
+COUNTIFS(Equipar!B:B,6,Equipar!E:E,A290)
+COUNTIFS(Equipar!B:B,6,Equipar!F:F,A290)
&gt;0,COUNTIF('Set recomendado'!B:B,C290)=0),
"Bloqueada",
"Desechable")),""
)</f>
        <v/>
      </c>
      <c r="J290" t="str" cm="1">
        <f t="array" aca="1" ref="J290" ca="1">IF(ISNUMBER(A290),IFERROR(_xlfn._xlws.FILTER(Equipar!A:A,(Equipar!B:B=6)*(Equipar!AC:AC=A290)),""),"")</f>
        <v/>
      </c>
    </row>
    <row r="291" spans="1:10" x14ac:dyDescent="0.25">
      <c r="A291" s="1" t="str">
        <f ca="1">IF(A290="ID",1,IF(ISBLANK(B291),"",MAX(A$2:A290)+1))</f>
        <v/>
      </c>
      <c r="I291" s="2" t="str">
        <f ca="1">IF(ISNUMBER(A291),
IF(COUNTIFS(Equipar!B:B,6,Equipar!AC:AC,A291),"Equipada",
IF(
 OR(COUNTIFS(Equipar!B:B,6,Equipar!C:C,A291)
 +COUNTIFS(Equipar!B:B,6,Equipar!D:D,A291)
+COUNTIFS(Equipar!B:B,6,Equipar!E:E,A291)
+COUNTIFS(Equipar!B:B,6,Equipar!F:F,A291)
&gt;0,COUNTIF('Set recomendado'!B:B,C291)=0),
"Bloqueada",
"Desechable")),""
)</f>
        <v/>
      </c>
      <c r="J291" t="str" cm="1">
        <f t="array" aca="1" ref="J291" ca="1">IF(ISNUMBER(A291),IFERROR(_xlfn._xlws.FILTER(Equipar!A:A,(Equipar!B:B=6)*(Equipar!AC:AC=A291)),""),"")</f>
        <v/>
      </c>
    </row>
    <row r="292" spans="1:10" x14ac:dyDescent="0.25">
      <c r="A292" s="1" t="str">
        <f ca="1">IF(A291="ID",1,IF(ISBLANK(B292),"",MAX(A$2:A291)+1))</f>
        <v/>
      </c>
      <c r="I292" s="2" t="str">
        <f ca="1">IF(ISNUMBER(A292),
IF(COUNTIFS(Equipar!B:B,6,Equipar!AC:AC,A292),"Equipada",
IF(
 OR(COUNTIFS(Equipar!B:B,6,Equipar!C:C,A292)
 +COUNTIFS(Equipar!B:B,6,Equipar!D:D,A292)
+COUNTIFS(Equipar!B:B,6,Equipar!E:E,A292)
+COUNTIFS(Equipar!B:B,6,Equipar!F:F,A292)
&gt;0,COUNTIF('Set recomendado'!B:B,C292)=0),
"Bloqueada",
"Desechable")),""
)</f>
        <v/>
      </c>
      <c r="J292" t="str" cm="1">
        <f t="array" aca="1" ref="J292" ca="1">IF(ISNUMBER(A292),IFERROR(_xlfn._xlws.FILTER(Equipar!A:A,(Equipar!B:B=6)*(Equipar!AC:AC=A292)),""),"")</f>
        <v/>
      </c>
    </row>
    <row r="293" spans="1:10" x14ac:dyDescent="0.25">
      <c r="A293" s="1" t="str">
        <f ca="1">IF(A292="ID",1,IF(ISBLANK(B293),"",MAX(A$2:A292)+1))</f>
        <v/>
      </c>
      <c r="I293" s="2" t="str">
        <f ca="1">IF(ISNUMBER(A293),
IF(COUNTIFS(Equipar!B:B,6,Equipar!AC:AC,A293),"Equipada",
IF(
 OR(COUNTIFS(Equipar!B:B,6,Equipar!C:C,A293)
 +COUNTIFS(Equipar!B:B,6,Equipar!D:D,A293)
+COUNTIFS(Equipar!B:B,6,Equipar!E:E,A293)
+COUNTIFS(Equipar!B:B,6,Equipar!F:F,A293)
&gt;0,COUNTIF('Set recomendado'!B:B,C293)=0),
"Bloqueada",
"Desechable")),""
)</f>
        <v/>
      </c>
      <c r="J293" t="str" cm="1">
        <f t="array" aca="1" ref="J293" ca="1">IF(ISNUMBER(A293),IFERROR(_xlfn._xlws.FILTER(Equipar!A:A,(Equipar!B:B=6)*(Equipar!AC:AC=A293)),""),"")</f>
        <v/>
      </c>
    </row>
    <row r="294" spans="1:10" x14ac:dyDescent="0.25">
      <c r="A294" s="1" t="str">
        <f ca="1">IF(A293="ID",1,IF(ISBLANK(B294),"",MAX(A$2:A293)+1))</f>
        <v/>
      </c>
      <c r="I294" s="2" t="str">
        <f ca="1">IF(ISNUMBER(A294),
IF(COUNTIFS(Equipar!B:B,6,Equipar!AC:AC,A294),"Equipada",
IF(
 OR(COUNTIFS(Equipar!B:B,6,Equipar!C:C,A294)
 +COUNTIFS(Equipar!B:B,6,Equipar!D:D,A294)
+COUNTIFS(Equipar!B:B,6,Equipar!E:E,A294)
+COUNTIFS(Equipar!B:B,6,Equipar!F:F,A294)
&gt;0,COUNTIF('Set recomendado'!B:B,C294)=0),
"Bloqueada",
"Desechable")),""
)</f>
        <v/>
      </c>
      <c r="J294" t="str" cm="1">
        <f t="array" aca="1" ref="J294" ca="1">IF(ISNUMBER(A294),IFERROR(_xlfn._xlws.FILTER(Equipar!A:A,(Equipar!B:B=6)*(Equipar!AC:AC=A294)),""),"")</f>
        <v/>
      </c>
    </row>
    <row r="295" spans="1:10" x14ac:dyDescent="0.25">
      <c r="A295" s="1" t="str">
        <f ca="1">IF(A294="ID",1,IF(ISBLANK(B295),"",MAX(A$2:A294)+1))</f>
        <v/>
      </c>
      <c r="I295" s="2" t="str">
        <f ca="1">IF(ISNUMBER(A295),
IF(COUNTIFS(Equipar!B:B,6,Equipar!AC:AC,A295),"Equipada",
IF(
 OR(COUNTIFS(Equipar!B:B,6,Equipar!C:C,A295)
 +COUNTIFS(Equipar!B:B,6,Equipar!D:D,A295)
+COUNTIFS(Equipar!B:B,6,Equipar!E:E,A295)
+COUNTIFS(Equipar!B:B,6,Equipar!F:F,A295)
&gt;0,COUNTIF('Set recomendado'!B:B,C295)=0),
"Bloqueada",
"Desechable")),""
)</f>
        <v/>
      </c>
      <c r="J295" t="str" cm="1">
        <f t="array" aca="1" ref="J295" ca="1">IF(ISNUMBER(A295),IFERROR(_xlfn._xlws.FILTER(Equipar!A:A,(Equipar!B:B=6)*(Equipar!AC:AC=A295)),""),"")</f>
        <v/>
      </c>
    </row>
    <row r="296" spans="1:10" x14ac:dyDescent="0.25">
      <c r="A296" s="1" t="str">
        <f ca="1">IF(A295="ID",1,IF(ISBLANK(B296),"",MAX(A$2:A295)+1))</f>
        <v/>
      </c>
      <c r="I296" s="2" t="str">
        <f ca="1">IF(ISNUMBER(A296),
IF(COUNTIFS(Equipar!B:B,6,Equipar!AC:AC,A296),"Equipada",
IF(
 OR(COUNTIFS(Equipar!B:B,6,Equipar!C:C,A296)
 +COUNTIFS(Equipar!B:B,6,Equipar!D:D,A296)
+COUNTIFS(Equipar!B:B,6,Equipar!E:E,A296)
+COUNTIFS(Equipar!B:B,6,Equipar!F:F,A296)
&gt;0,COUNTIF('Set recomendado'!B:B,C296)=0),
"Bloqueada",
"Desechable")),""
)</f>
        <v/>
      </c>
      <c r="J296" t="str" cm="1">
        <f t="array" aca="1" ref="J296" ca="1">IF(ISNUMBER(A296),IFERROR(_xlfn._xlws.FILTER(Equipar!A:A,(Equipar!B:B=6)*(Equipar!AC:AC=A296)),""),"")</f>
        <v/>
      </c>
    </row>
    <row r="297" spans="1:10" x14ac:dyDescent="0.25">
      <c r="A297" s="1" t="str">
        <f ca="1">IF(A296="ID",1,IF(ISBLANK(B297),"",MAX(A$2:A296)+1))</f>
        <v/>
      </c>
      <c r="I297" s="2" t="str">
        <f ca="1">IF(ISNUMBER(A297),
IF(COUNTIFS(Equipar!B:B,6,Equipar!AC:AC,A297),"Equipada",
IF(
 OR(COUNTIFS(Equipar!B:B,6,Equipar!C:C,A297)
 +COUNTIFS(Equipar!B:B,6,Equipar!D:D,A297)
+COUNTIFS(Equipar!B:B,6,Equipar!E:E,A297)
+COUNTIFS(Equipar!B:B,6,Equipar!F:F,A297)
&gt;0,COUNTIF('Set recomendado'!B:B,C297)=0),
"Bloqueada",
"Desechable")),""
)</f>
        <v/>
      </c>
      <c r="J297" t="str" cm="1">
        <f t="array" aca="1" ref="J297" ca="1">IF(ISNUMBER(A297),IFERROR(_xlfn._xlws.FILTER(Equipar!A:A,(Equipar!B:B=6)*(Equipar!AC:AC=A297)),""),"")</f>
        <v/>
      </c>
    </row>
    <row r="298" spans="1:10" x14ac:dyDescent="0.25">
      <c r="A298" s="1" t="str">
        <f ca="1">IF(A297="ID",1,IF(ISBLANK(B298),"",MAX(A$2:A297)+1))</f>
        <v/>
      </c>
      <c r="I298" s="2" t="str">
        <f ca="1">IF(ISNUMBER(A298),
IF(COUNTIFS(Equipar!B:B,6,Equipar!AC:AC,A298),"Equipada",
IF(
 OR(COUNTIFS(Equipar!B:B,6,Equipar!C:C,A298)
 +COUNTIFS(Equipar!B:B,6,Equipar!D:D,A298)
+COUNTIFS(Equipar!B:B,6,Equipar!E:E,A298)
+COUNTIFS(Equipar!B:B,6,Equipar!F:F,A298)
&gt;0,COUNTIF('Set recomendado'!B:B,C298)=0),
"Bloqueada",
"Desechable")),""
)</f>
        <v/>
      </c>
      <c r="J298" t="str" cm="1">
        <f t="array" aca="1" ref="J298" ca="1">IF(ISNUMBER(A298),IFERROR(_xlfn._xlws.FILTER(Equipar!A:A,(Equipar!B:B=6)*(Equipar!AC:AC=A298)),""),"")</f>
        <v/>
      </c>
    </row>
    <row r="299" spans="1:10" x14ac:dyDescent="0.25">
      <c r="A299" s="1" t="str">
        <f ca="1">IF(A298="ID",1,IF(ISBLANK(B299),"",MAX(A$2:A298)+1))</f>
        <v/>
      </c>
      <c r="I299" s="2" t="str">
        <f ca="1">IF(ISNUMBER(A299),
IF(COUNTIFS(Equipar!B:B,6,Equipar!AC:AC,A299),"Equipada",
IF(
 OR(COUNTIFS(Equipar!B:B,6,Equipar!C:C,A299)
 +COUNTIFS(Equipar!B:B,6,Equipar!D:D,A299)
+COUNTIFS(Equipar!B:B,6,Equipar!E:E,A299)
+COUNTIFS(Equipar!B:B,6,Equipar!F:F,A299)
&gt;0,COUNTIF('Set recomendado'!B:B,C299)=0),
"Bloqueada",
"Desechable")),""
)</f>
        <v/>
      </c>
      <c r="J299" t="str" cm="1">
        <f t="array" aca="1" ref="J299" ca="1">IF(ISNUMBER(A299),IFERROR(_xlfn._xlws.FILTER(Equipar!A:A,(Equipar!B:B=6)*(Equipar!AC:AC=A299)),""),"")</f>
        <v/>
      </c>
    </row>
    <row r="300" spans="1:10" x14ac:dyDescent="0.25">
      <c r="A300" s="1" t="str">
        <f ca="1">IF(A299="ID",1,IF(ISBLANK(B300),"",MAX(A$2:A299)+1))</f>
        <v/>
      </c>
      <c r="I300" s="2" t="str">
        <f ca="1">IF(ISNUMBER(A300),
IF(COUNTIFS(Equipar!B:B,6,Equipar!AC:AC,A300),"Equipada",
IF(
 OR(COUNTIFS(Equipar!B:B,6,Equipar!C:C,A300)
 +COUNTIFS(Equipar!B:B,6,Equipar!D:D,A300)
+COUNTIFS(Equipar!B:B,6,Equipar!E:E,A300)
+COUNTIFS(Equipar!B:B,6,Equipar!F:F,A300)
&gt;0,COUNTIF('Set recomendado'!B:B,C300)=0),
"Bloqueada",
"Desechable")),""
)</f>
        <v/>
      </c>
      <c r="J300" t="str" cm="1">
        <f t="array" aca="1" ref="J300" ca="1">IF(ISNUMBER(A300),IFERROR(_xlfn._xlws.FILTER(Equipar!A:A,(Equipar!B:B=6)*(Equipar!AC:AC=A300)),""),"")</f>
        <v/>
      </c>
    </row>
    <row r="301" spans="1:10" x14ac:dyDescent="0.25">
      <c r="A301" s="1" t="str">
        <f ca="1">IF(A300="ID",1,IF(ISBLANK(B301),"",MAX(A$2:A300)+1))</f>
        <v/>
      </c>
      <c r="I301" s="2" t="str">
        <f ca="1">IF(ISNUMBER(A301),
IF(COUNTIFS(Equipar!B:B,6,Equipar!AC:AC,A301),"Equipada",
IF(
 OR(COUNTIFS(Equipar!B:B,6,Equipar!C:C,A301)
 +COUNTIFS(Equipar!B:B,6,Equipar!D:D,A301)
+COUNTIFS(Equipar!B:B,6,Equipar!E:E,A301)
+COUNTIFS(Equipar!B:B,6,Equipar!F:F,A301)
&gt;0,COUNTIF('Set recomendado'!B:B,C301)=0),
"Bloqueada",
"Desechable")),""
)</f>
        <v/>
      </c>
      <c r="J301" t="str" cm="1">
        <f t="array" aca="1" ref="J301" ca="1">IF(ISNUMBER(A301),IFERROR(_xlfn._xlws.FILTER(Equipar!A:A,(Equipar!B:B=6)*(Equipar!AC:AC=A301)),""),"")</f>
        <v/>
      </c>
    </row>
    <row r="302" spans="1:10" x14ac:dyDescent="0.25">
      <c r="A302" s="1" t="str">
        <f ca="1">IF(A301="ID",1,IF(ISBLANK(B302),"",MAX(A$2:A301)+1))</f>
        <v/>
      </c>
      <c r="I302" s="2" t="str">
        <f ca="1">IF(ISNUMBER(A302),
IF(COUNTIFS(Equipar!B:B,6,Equipar!AC:AC,A302),"Equipada",
IF(
 OR(COUNTIFS(Equipar!B:B,6,Equipar!C:C,A302)
 +COUNTIFS(Equipar!B:B,6,Equipar!D:D,A302)
+COUNTIFS(Equipar!B:B,6,Equipar!E:E,A302)
+COUNTIFS(Equipar!B:B,6,Equipar!F:F,A302)
&gt;0,COUNTIF('Set recomendado'!B:B,C302)=0),
"Bloqueada",
"Desechable")),""
)</f>
        <v/>
      </c>
      <c r="J302" t="str" cm="1">
        <f t="array" aca="1" ref="J302" ca="1">IF(ISNUMBER(A302),IFERROR(_xlfn._xlws.FILTER(Equipar!A:A,(Equipar!B:B=6)*(Equipar!AC:AC=A302)),""),"")</f>
        <v/>
      </c>
    </row>
    <row r="303" spans="1:10" x14ac:dyDescent="0.25">
      <c r="A303" s="1" t="str">
        <f ca="1">IF(A302="ID",1,IF(ISBLANK(B303),"",MAX(A$2:A302)+1))</f>
        <v/>
      </c>
      <c r="I303" s="2" t="str">
        <f ca="1">IF(ISNUMBER(A303),
IF(COUNTIFS(Equipar!B:B,6,Equipar!AC:AC,A303),"Equipada",
IF(
 OR(COUNTIFS(Equipar!B:B,6,Equipar!C:C,A303)
 +COUNTIFS(Equipar!B:B,6,Equipar!D:D,A303)
+COUNTIFS(Equipar!B:B,6,Equipar!E:E,A303)
+COUNTIFS(Equipar!B:B,6,Equipar!F:F,A303)
&gt;0,COUNTIF('Set recomendado'!B:B,C303)=0),
"Bloqueada",
"Desechable")),""
)</f>
        <v/>
      </c>
      <c r="J303" t="str" cm="1">
        <f t="array" aca="1" ref="J303" ca="1">IF(ISNUMBER(A303),IFERROR(_xlfn._xlws.FILTER(Equipar!A:A,(Equipar!B:B=6)*(Equipar!AC:AC=A303)),""),"")</f>
        <v/>
      </c>
    </row>
    <row r="304" spans="1:10" x14ac:dyDescent="0.25">
      <c r="A304" s="1" t="str">
        <f ca="1">IF(A303="ID",1,IF(ISBLANK(B304),"",MAX(A$2:A303)+1))</f>
        <v/>
      </c>
      <c r="I304" s="2" t="str">
        <f ca="1">IF(ISNUMBER(A304),
IF(COUNTIFS(Equipar!B:B,6,Equipar!AC:AC,A304),"Equipada",
IF(
 OR(COUNTIFS(Equipar!B:B,6,Equipar!C:C,A304)
 +COUNTIFS(Equipar!B:B,6,Equipar!D:D,A304)
+COUNTIFS(Equipar!B:B,6,Equipar!E:E,A304)
+COUNTIFS(Equipar!B:B,6,Equipar!F:F,A304)
&gt;0,COUNTIF('Set recomendado'!B:B,C304)=0),
"Bloqueada",
"Desechable")),""
)</f>
        <v/>
      </c>
      <c r="J304" t="str" cm="1">
        <f t="array" aca="1" ref="J304" ca="1">IF(ISNUMBER(A304),IFERROR(_xlfn._xlws.FILTER(Equipar!A:A,(Equipar!B:B=6)*(Equipar!AC:AC=A304)),""),"")</f>
        <v/>
      </c>
    </row>
    <row r="305" spans="1:10" x14ac:dyDescent="0.25">
      <c r="A305" s="1" t="str">
        <f ca="1">IF(A304="ID",1,IF(ISBLANK(B305),"",MAX(A$2:A304)+1))</f>
        <v/>
      </c>
      <c r="I305" s="2" t="str">
        <f ca="1">IF(ISNUMBER(A305),
IF(COUNTIFS(Equipar!B:B,6,Equipar!AC:AC,A305),"Equipada",
IF(
 OR(COUNTIFS(Equipar!B:B,6,Equipar!C:C,A305)
 +COUNTIFS(Equipar!B:B,6,Equipar!D:D,A305)
+COUNTIFS(Equipar!B:B,6,Equipar!E:E,A305)
+COUNTIFS(Equipar!B:B,6,Equipar!F:F,A305)
&gt;0,COUNTIF('Set recomendado'!B:B,C305)=0),
"Bloqueada",
"Desechable")),""
)</f>
        <v/>
      </c>
      <c r="J305" t="str" cm="1">
        <f t="array" aca="1" ref="J305" ca="1">IF(ISNUMBER(A305),IFERROR(_xlfn._xlws.FILTER(Equipar!A:A,(Equipar!B:B=6)*(Equipar!AC:AC=A305)),""),"")</f>
        <v/>
      </c>
    </row>
    <row r="306" spans="1:10" x14ac:dyDescent="0.25">
      <c r="A306" s="1" t="str">
        <f ca="1">IF(A305="ID",1,IF(ISBLANK(B306),"",MAX(A$2:A305)+1))</f>
        <v/>
      </c>
      <c r="I306" s="2" t="str">
        <f ca="1">IF(ISNUMBER(A306),
IF(COUNTIFS(Equipar!B:B,6,Equipar!AC:AC,A306),"Equipada",
IF(
 OR(COUNTIFS(Equipar!B:B,6,Equipar!C:C,A306)
 +COUNTIFS(Equipar!B:B,6,Equipar!D:D,A306)
+COUNTIFS(Equipar!B:B,6,Equipar!E:E,A306)
+COUNTIFS(Equipar!B:B,6,Equipar!F:F,A306)
&gt;0,COUNTIF('Set recomendado'!B:B,C306)=0),
"Bloqueada",
"Desechable")),""
)</f>
        <v/>
      </c>
      <c r="J306" t="str" cm="1">
        <f t="array" aca="1" ref="J306" ca="1">IF(ISNUMBER(A306),IFERROR(_xlfn._xlws.FILTER(Equipar!A:A,(Equipar!B:B=6)*(Equipar!AC:AC=A306)),""),"")</f>
        <v/>
      </c>
    </row>
    <row r="307" spans="1:10" x14ac:dyDescent="0.25">
      <c r="A307" s="1" t="str">
        <f ca="1">IF(A306="ID",1,IF(ISBLANK(B307),"",MAX(A$2:A306)+1))</f>
        <v/>
      </c>
      <c r="I307" s="2" t="str">
        <f ca="1">IF(ISNUMBER(A307),
IF(COUNTIFS(Equipar!B:B,6,Equipar!AC:AC,A307),"Equipada",
IF(
 OR(COUNTIFS(Equipar!B:B,6,Equipar!C:C,A307)
 +COUNTIFS(Equipar!B:B,6,Equipar!D:D,A307)
+COUNTIFS(Equipar!B:B,6,Equipar!E:E,A307)
+COUNTIFS(Equipar!B:B,6,Equipar!F:F,A307)
&gt;0,COUNTIF('Set recomendado'!B:B,C307)=0),
"Bloqueada",
"Desechable")),""
)</f>
        <v/>
      </c>
      <c r="J307" t="str" cm="1">
        <f t="array" aca="1" ref="J307" ca="1">IF(ISNUMBER(A307),IFERROR(_xlfn._xlws.FILTER(Equipar!A:A,(Equipar!B:B=6)*(Equipar!AC:AC=A307)),""),"")</f>
        <v/>
      </c>
    </row>
    <row r="308" spans="1:10" x14ac:dyDescent="0.25">
      <c r="A308" s="1" t="str">
        <f ca="1">IF(A307="ID",1,IF(ISBLANK(B308),"",MAX(A$2:A307)+1))</f>
        <v/>
      </c>
      <c r="I308" s="2" t="str">
        <f ca="1">IF(ISNUMBER(A308),
IF(COUNTIFS(Equipar!B:B,6,Equipar!AC:AC,A308),"Equipada",
IF(
 OR(COUNTIFS(Equipar!B:B,6,Equipar!C:C,A308)
 +COUNTIFS(Equipar!B:B,6,Equipar!D:D,A308)
+COUNTIFS(Equipar!B:B,6,Equipar!E:E,A308)
+COUNTIFS(Equipar!B:B,6,Equipar!F:F,A308)
&gt;0,COUNTIF('Set recomendado'!B:B,C308)=0),
"Bloqueada",
"Desechable")),""
)</f>
        <v/>
      </c>
      <c r="J308" t="str" cm="1">
        <f t="array" aca="1" ref="J308" ca="1">IF(ISNUMBER(A308),IFERROR(_xlfn._xlws.FILTER(Equipar!A:A,(Equipar!B:B=6)*(Equipar!AC:AC=A308)),""),"")</f>
        <v/>
      </c>
    </row>
    <row r="309" spans="1:10" x14ac:dyDescent="0.25">
      <c r="A309" s="1" t="str">
        <f ca="1">IF(A308="ID",1,IF(ISBLANK(B309),"",MAX(A$2:A308)+1))</f>
        <v/>
      </c>
      <c r="I309" s="2" t="str">
        <f ca="1">IF(ISNUMBER(A309),
IF(COUNTIFS(Equipar!B:B,6,Equipar!AC:AC,A309),"Equipada",
IF(
 OR(COUNTIFS(Equipar!B:B,6,Equipar!C:C,A309)
 +COUNTIFS(Equipar!B:B,6,Equipar!D:D,A309)
+COUNTIFS(Equipar!B:B,6,Equipar!E:E,A309)
+COUNTIFS(Equipar!B:B,6,Equipar!F:F,A309)
&gt;0,COUNTIF('Set recomendado'!B:B,C309)=0),
"Bloqueada",
"Desechable")),""
)</f>
        <v/>
      </c>
      <c r="J309" t="str" cm="1">
        <f t="array" aca="1" ref="J309" ca="1">IF(ISNUMBER(A309),IFERROR(_xlfn._xlws.FILTER(Equipar!A:A,(Equipar!B:B=6)*(Equipar!AC:AC=A309)),""),"")</f>
        <v/>
      </c>
    </row>
    <row r="310" spans="1:10" x14ac:dyDescent="0.25">
      <c r="A310" s="1" t="str">
        <f ca="1">IF(A309="ID",1,IF(ISBLANK(B310),"",MAX(A$2:A309)+1))</f>
        <v/>
      </c>
      <c r="I310" s="2" t="str">
        <f ca="1">IF(ISNUMBER(A310),
IF(COUNTIFS(Equipar!B:B,6,Equipar!AC:AC,A310),"Equipada",
IF(
 OR(COUNTIFS(Equipar!B:B,6,Equipar!C:C,A310)
 +COUNTIFS(Equipar!B:B,6,Equipar!D:D,A310)
+COUNTIFS(Equipar!B:B,6,Equipar!E:E,A310)
+COUNTIFS(Equipar!B:B,6,Equipar!F:F,A310)
&gt;0,COUNTIF('Set recomendado'!B:B,C310)=0),
"Bloqueada",
"Desechable")),""
)</f>
        <v/>
      </c>
      <c r="J310" t="str" cm="1">
        <f t="array" aca="1" ref="J310" ca="1">IF(ISNUMBER(A310),IFERROR(_xlfn._xlws.FILTER(Equipar!A:A,(Equipar!B:B=6)*(Equipar!AC:AC=A310)),""),"")</f>
        <v/>
      </c>
    </row>
    <row r="311" spans="1:10" x14ac:dyDescent="0.25">
      <c r="A311" s="1" t="str">
        <f ca="1">IF(A310="ID",1,IF(ISBLANK(B311),"",MAX(A$2:A310)+1))</f>
        <v/>
      </c>
      <c r="I311" s="2" t="str">
        <f ca="1">IF(ISNUMBER(A311),
IF(COUNTIFS(Equipar!B:B,6,Equipar!AC:AC,A311),"Equipada",
IF(
 OR(COUNTIFS(Equipar!B:B,6,Equipar!C:C,A311)
 +COUNTIFS(Equipar!B:B,6,Equipar!D:D,A311)
+COUNTIFS(Equipar!B:B,6,Equipar!E:E,A311)
+COUNTIFS(Equipar!B:B,6,Equipar!F:F,A311)
&gt;0,COUNTIF('Set recomendado'!B:B,C311)=0),
"Bloqueada",
"Desechable")),""
)</f>
        <v/>
      </c>
      <c r="J311" t="str" cm="1">
        <f t="array" aca="1" ref="J311" ca="1">IF(ISNUMBER(A311),IFERROR(_xlfn._xlws.FILTER(Equipar!A:A,(Equipar!B:B=6)*(Equipar!AC:AC=A311)),""),"")</f>
        <v/>
      </c>
    </row>
    <row r="312" spans="1:10" x14ac:dyDescent="0.25">
      <c r="A312" s="1" t="str">
        <f ca="1">IF(A311="ID",1,IF(ISBLANK(B312),"",MAX(A$2:A311)+1))</f>
        <v/>
      </c>
      <c r="I312" s="2" t="str">
        <f ca="1">IF(ISNUMBER(A312),
IF(COUNTIFS(Equipar!B:B,6,Equipar!AC:AC,A312),"Equipada",
IF(
 OR(COUNTIFS(Equipar!B:B,6,Equipar!C:C,A312)
 +COUNTIFS(Equipar!B:B,6,Equipar!D:D,A312)
+COUNTIFS(Equipar!B:B,6,Equipar!E:E,A312)
+COUNTIFS(Equipar!B:B,6,Equipar!F:F,A312)
&gt;0,COUNTIF('Set recomendado'!B:B,C312)=0),
"Bloqueada",
"Desechable")),""
)</f>
        <v/>
      </c>
      <c r="J312" t="str" cm="1">
        <f t="array" aca="1" ref="J312" ca="1">IF(ISNUMBER(A312),IFERROR(_xlfn._xlws.FILTER(Equipar!A:A,(Equipar!B:B=6)*(Equipar!AC:AC=A312)),""),"")</f>
        <v/>
      </c>
    </row>
    <row r="313" spans="1:10" x14ac:dyDescent="0.25">
      <c r="A313" s="1" t="str">
        <f ca="1">IF(A312="ID",1,IF(ISBLANK(B313),"",MAX(A$2:A312)+1))</f>
        <v/>
      </c>
      <c r="I313" s="2" t="str">
        <f ca="1">IF(ISNUMBER(A313),
IF(COUNTIFS(Equipar!B:B,6,Equipar!AC:AC,A313),"Equipada",
IF(
 OR(COUNTIFS(Equipar!B:B,6,Equipar!C:C,A313)
 +COUNTIFS(Equipar!B:B,6,Equipar!D:D,A313)
+COUNTIFS(Equipar!B:B,6,Equipar!E:E,A313)
+COUNTIFS(Equipar!B:B,6,Equipar!F:F,A313)
&gt;0,COUNTIF('Set recomendado'!B:B,C313)=0),
"Bloqueada",
"Desechable")),""
)</f>
        <v/>
      </c>
      <c r="J313" t="str" cm="1">
        <f t="array" aca="1" ref="J313" ca="1">IF(ISNUMBER(A313),IFERROR(_xlfn._xlws.FILTER(Equipar!A:A,(Equipar!B:B=6)*(Equipar!AC:AC=A313)),""),"")</f>
        <v/>
      </c>
    </row>
    <row r="314" spans="1:10" x14ac:dyDescent="0.25">
      <c r="A314" s="1" t="str">
        <f ca="1">IF(A313="ID",1,IF(ISBLANK(B314),"",MAX(A$2:A313)+1))</f>
        <v/>
      </c>
      <c r="I314" s="2" t="str">
        <f ca="1">IF(ISNUMBER(A314),
IF(COUNTIFS(Equipar!B:B,6,Equipar!AC:AC,A314),"Equipada",
IF(
 OR(COUNTIFS(Equipar!B:B,6,Equipar!C:C,A314)
 +COUNTIFS(Equipar!B:B,6,Equipar!D:D,A314)
+COUNTIFS(Equipar!B:B,6,Equipar!E:E,A314)
+COUNTIFS(Equipar!B:B,6,Equipar!F:F,A314)
&gt;0,COUNTIF('Set recomendado'!B:B,C314)=0),
"Bloqueada",
"Desechable")),""
)</f>
        <v/>
      </c>
      <c r="J314" t="str" cm="1">
        <f t="array" aca="1" ref="J314" ca="1">IF(ISNUMBER(A314),IFERROR(_xlfn._xlws.FILTER(Equipar!A:A,(Equipar!B:B=6)*(Equipar!AC:AC=A314)),""),"")</f>
        <v/>
      </c>
    </row>
    <row r="315" spans="1:10" x14ac:dyDescent="0.25">
      <c r="A315" s="1" t="str">
        <f ca="1">IF(A314="ID",1,IF(ISBLANK(B315),"",MAX(A$2:A314)+1))</f>
        <v/>
      </c>
      <c r="I315" s="2" t="str">
        <f ca="1">IF(ISNUMBER(A315),
IF(COUNTIFS(Equipar!B:B,6,Equipar!AC:AC,A315),"Equipada",
IF(
 OR(COUNTIFS(Equipar!B:B,6,Equipar!C:C,A315)
 +COUNTIFS(Equipar!B:B,6,Equipar!D:D,A315)
+COUNTIFS(Equipar!B:B,6,Equipar!E:E,A315)
+COUNTIFS(Equipar!B:B,6,Equipar!F:F,A315)
&gt;0,COUNTIF('Set recomendado'!B:B,C315)=0),
"Bloqueada",
"Desechable")),""
)</f>
        <v/>
      </c>
      <c r="J315" t="str" cm="1">
        <f t="array" aca="1" ref="J315" ca="1">IF(ISNUMBER(A315),IFERROR(_xlfn._xlws.FILTER(Equipar!A:A,(Equipar!B:B=6)*(Equipar!AC:AC=A315)),""),"")</f>
        <v/>
      </c>
    </row>
    <row r="316" spans="1:10" x14ac:dyDescent="0.25">
      <c r="A316" s="1" t="str">
        <f ca="1">IF(A315="ID",1,IF(ISBLANK(B316),"",MAX(A$2:A315)+1))</f>
        <v/>
      </c>
      <c r="I316" s="2" t="str">
        <f ca="1">IF(ISNUMBER(A316),
IF(COUNTIFS(Equipar!B:B,6,Equipar!AC:AC,A316),"Equipada",
IF(
 OR(COUNTIFS(Equipar!B:B,6,Equipar!C:C,A316)
 +COUNTIFS(Equipar!B:B,6,Equipar!D:D,A316)
+COUNTIFS(Equipar!B:B,6,Equipar!E:E,A316)
+COUNTIFS(Equipar!B:B,6,Equipar!F:F,A316)
&gt;0,COUNTIF('Set recomendado'!B:B,C316)=0),
"Bloqueada",
"Desechable")),""
)</f>
        <v/>
      </c>
      <c r="J316" t="str" cm="1">
        <f t="array" aca="1" ref="J316" ca="1">IF(ISNUMBER(A316),IFERROR(_xlfn._xlws.FILTER(Equipar!A:A,(Equipar!B:B=6)*(Equipar!AC:AC=A316)),""),"")</f>
        <v/>
      </c>
    </row>
    <row r="317" spans="1:10" x14ac:dyDescent="0.25">
      <c r="A317" s="1" t="str">
        <f ca="1">IF(A316="ID",1,IF(ISBLANK(B317),"",MAX(A$2:A316)+1))</f>
        <v/>
      </c>
      <c r="I317" s="2" t="str">
        <f ca="1">IF(ISNUMBER(A317),
IF(COUNTIFS(Equipar!B:B,6,Equipar!AC:AC,A317),"Equipada",
IF(
 OR(COUNTIFS(Equipar!B:B,6,Equipar!C:C,A317)
 +COUNTIFS(Equipar!B:B,6,Equipar!D:D,A317)
+COUNTIFS(Equipar!B:B,6,Equipar!E:E,A317)
+COUNTIFS(Equipar!B:B,6,Equipar!F:F,A317)
&gt;0,COUNTIF('Set recomendado'!B:B,C317)=0),
"Bloqueada",
"Desechable")),""
)</f>
        <v/>
      </c>
      <c r="J317" t="str" cm="1">
        <f t="array" aca="1" ref="J317" ca="1">IF(ISNUMBER(A317),IFERROR(_xlfn._xlws.FILTER(Equipar!A:A,(Equipar!B:B=6)*(Equipar!AC:AC=A317)),""),"")</f>
        <v/>
      </c>
    </row>
    <row r="318" spans="1:10" x14ac:dyDescent="0.25">
      <c r="A318" s="1" t="str">
        <f ca="1">IF(A317="ID",1,IF(ISBLANK(B318),"",MAX(A$2:A317)+1))</f>
        <v/>
      </c>
      <c r="I318" s="2" t="str">
        <f ca="1">IF(ISNUMBER(A318),
IF(COUNTIFS(Equipar!B:B,6,Equipar!AC:AC,A318),"Equipada",
IF(
 OR(COUNTIFS(Equipar!B:B,6,Equipar!C:C,A318)
 +COUNTIFS(Equipar!B:B,6,Equipar!D:D,A318)
+COUNTIFS(Equipar!B:B,6,Equipar!E:E,A318)
+COUNTIFS(Equipar!B:B,6,Equipar!F:F,A318)
&gt;0,COUNTIF('Set recomendado'!B:B,C318)=0),
"Bloqueada",
"Desechable")),""
)</f>
        <v/>
      </c>
      <c r="J318" t="str" cm="1">
        <f t="array" aca="1" ref="J318" ca="1">IF(ISNUMBER(A318),IFERROR(_xlfn._xlws.FILTER(Equipar!A:A,(Equipar!B:B=6)*(Equipar!AC:AC=A318)),""),"")</f>
        <v/>
      </c>
    </row>
    <row r="319" spans="1:10" x14ac:dyDescent="0.25">
      <c r="A319" s="1" t="str">
        <f ca="1">IF(A318="ID",1,IF(ISBLANK(B319),"",MAX(A$2:A318)+1))</f>
        <v/>
      </c>
      <c r="I319" s="2" t="str">
        <f ca="1">IF(ISNUMBER(A319),
IF(COUNTIFS(Equipar!B:B,6,Equipar!AC:AC,A319),"Equipada",
IF(
 OR(COUNTIFS(Equipar!B:B,6,Equipar!C:C,A319)
 +COUNTIFS(Equipar!B:B,6,Equipar!D:D,A319)
+COUNTIFS(Equipar!B:B,6,Equipar!E:E,A319)
+COUNTIFS(Equipar!B:B,6,Equipar!F:F,A319)
&gt;0,COUNTIF('Set recomendado'!B:B,C319)=0),
"Bloqueada",
"Desechable")),""
)</f>
        <v/>
      </c>
      <c r="J319" t="str" cm="1">
        <f t="array" aca="1" ref="J319" ca="1">IF(ISNUMBER(A319),IFERROR(_xlfn._xlws.FILTER(Equipar!A:A,(Equipar!B:B=6)*(Equipar!AC:AC=A319)),""),"")</f>
        <v/>
      </c>
    </row>
    <row r="320" spans="1:10" x14ac:dyDescent="0.25">
      <c r="A320" s="1" t="str">
        <f ca="1">IF(A319="ID",1,IF(ISBLANK(B320),"",MAX(A$2:A319)+1))</f>
        <v/>
      </c>
      <c r="I320" s="2" t="str">
        <f ca="1">IF(ISNUMBER(A320),
IF(COUNTIFS(Equipar!B:B,6,Equipar!AC:AC,A320),"Equipada",
IF(
 OR(COUNTIFS(Equipar!B:B,6,Equipar!C:C,A320)
 +COUNTIFS(Equipar!B:B,6,Equipar!D:D,A320)
+COUNTIFS(Equipar!B:B,6,Equipar!E:E,A320)
+COUNTIFS(Equipar!B:B,6,Equipar!F:F,A320)
&gt;0,COUNTIF('Set recomendado'!B:B,C320)=0),
"Bloqueada",
"Desechable")),""
)</f>
        <v/>
      </c>
      <c r="J320" t="str" cm="1">
        <f t="array" aca="1" ref="J320" ca="1">IF(ISNUMBER(A320),IFERROR(_xlfn._xlws.FILTER(Equipar!A:A,(Equipar!B:B=6)*(Equipar!AC:AC=A320)),""),"")</f>
        <v/>
      </c>
    </row>
    <row r="321" spans="1:10" x14ac:dyDescent="0.25">
      <c r="A321" s="1" t="str">
        <f ca="1">IF(A320="ID",1,IF(ISBLANK(B321),"",MAX(A$2:A320)+1))</f>
        <v/>
      </c>
      <c r="I321" s="2" t="str">
        <f ca="1">IF(ISNUMBER(A321),
IF(COUNTIFS(Equipar!B:B,6,Equipar!AC:AC,A321),"Equipada",
IF(
 OR(COUNTIFS(Equipar!B:B,6,Equipar!C:C,A321)
 +COUNTIFS(Equipar!B:B,6,Equipar!D:D,A321)
+COUNTIFS(Equipar!B:B,6,Equipar!E:E,A321)
+COUNTIFS(Equipar!B:B,6,Equipar!F:F,A321)
&gt;0,COUNTIF('Set recomendado'!B:B,C321)=0),
"Bloqueada",
"Desechable")),""
)</f>
        <v/>
      </c>
      <c r="J321" t="str" cm="1">
        <f t="array" aca="1" ref="J321" ca="1">IF(ISNUMBER(A321),IFERROR(_xlfn._xlws.FILTER(Equipar!A:A,(Equipar!B:B=6)*(Equipar!AC:AC=A321)),""),"")</f>
        <v/>
      </c>
    </row>
    <row r="322" spans="1:10" x14ac:dyDescent="0.25">
      <c r="A322" s="1" t="str">
        <f ca="1">IF(A321="ID",1,IF(ISBLANK(B322),"",MAX(A$2:A321)+1))</f>
        <v/>
      </c>
      <c r="I322" s="2" t="str">
        <f ca="1">IF(ISNUMBER(A322),
IF(COUNTIFS(Equipar!B:B,6,Equipar!AC:AC,A322),"Equipada",
IF(
 OR(COUNTIFS(Equipar!B:B,6,Equipar!C:C,A322)
 +COUNTIFS(Equipar!B:B,6,Equipar!D:D,A322)
+COUNTIFS(Equipar!B:B,6,Equipar!E:E,A322)
+COUNTIFS(Equipar!B:B,6,Equipar!F:F,A322)
&gt;0,COUNTIF('Set recomendado'!B:B,C322)=0),
"Bloqueada",
"Desechable")),""
)</f>
        <v/>
      </c>
      <c r="J322" t="str" cm="1">
        <f t="array" aca="1" ref="J322" ca="1">IF(ISNUMBER(A322),IFERROR(_xlfn._xlws.FILTER(Equipar!A:A,(Equipar!B:B=6)*(Equipar!AC:AC=A322)),""),"")</f>
        <v/>
      </c>
    </row>
    <row r="323" spans="1:10" x14ac:dyDescent="0.25">
      <c r="A323" s="1" t="str">
        <f ca="1">IF(A322="ID",1,IF(ISBLANK(B323),"",MAX(A$2:A322)+1))</f>
        <v/>
      </c>
      <c r="I323" s="2" t="str">
        <f ca="1">IF(ISNUMBER(A323),
IF(COUNTIFS(Equipar!B:B,6,Equipar!AC:AC,A323),"Equipada",
IF(
 OR(COUNTIFS(Equipar!B:B,6,Equipar!C:C,A323)
 +COUNTIFS(Equipar!B:B,6,Equipar!D:D,A323)
+COUNTIFS(Equipar!B:B,6,Equipar!E:E,A323)
+COUNTIFS(Equipar!B:B,6,Equipar!F:F,A323)
&gt;0,COUNTIF('Set recomendado'!B:B,C323)=0),
"Bloqueada",
"Desechable")),""
)</f>
        <v/>
      </c>
      <c r="J323" t="str" cm="1">
        <f t="array" aca="1" ref="J323" ca="1">IF(ISNUMBER(A323),IFERROR(_xlfn._xlws.FILTER(Equipar!A:A,(Equipar!B:B=6)*(Equipar!AC:AC=A323)),""),"")</f>
        <v/>
      </c>
    </row>
    <row r="324" spans="1:10" x14ac:dyDescent="0.25">
      <c r="A324" s="1" t="str">
        <f ca="1">IF(A323="ID",1,IF(ISBLANK(B324),"",MAX(A$2:A323)+1))</f>
        <v/>
      </c>
      <c r="I324" s="2" t="str">
        <f ca="1">IF(ISNUMBER(A324),
IF(COUNTIFS(Equipar!B:B,6,Equipar!AC:AC,A324),"Equipada",
IF(
 OR(COUNTIFS(Equipar!B:B,6,Equipar!C:C,A324)
 +COUNTIFS(Equipar!B:B,6,Equipar!D:D,A324)
+COUNTIFS(Equipar!B:B,6,Equipar!E:E,A324)
+COUNTIFS(Equipar!B:B,6,Equipar!F:F,A324)
&gt;0,COUNTIF('Set recomendado'!B:B,C324)=0),
"Bloqueada",
"Desechable")),""
)</f>
        <v/>
      </c>
      <c r="J324" t="str" cm="1">
        <f t="array" aca="1" ref="J324" ca="1">IF(ISNUMBER(A324),IFERROR(_xlfn._xlws.FILTER(Equipar!A:A,(Equipar!B:B=6)*(Equipar!AC:AC=A324)),""),"")</f>
        <v/>
      </c>
    </row>
    <row r="325" spans="1:10" x14ac:dyDescent="0.25">
      <c r="A325" s="1" t="str">
        <f ca="1">IF(A324="ID",1,IF(ISBLANK(B325),"",MAX(A$2:A324)+1))</f>
        <v/>
      </c>
      <c r="I325" s="2" t="str">
        <f ca="1">IF(ISNUMBER(A325),
IF(COUNTIFS(Equipar!B:B,6,Equipar!AC:AC,A325),"Equipada",
IF(
 OR(COUNTIFS(Equipar!B:B,6,Equipar!C:C,A325)
 +COUNTIFS(Equipar!B:B,6,Equipar!D:D,A325)
+COUNTIFS(Equipar!B:B,6,Equipar!E:E,A325)
+COUNTIFS(Equipar!B:B,6,Equipar!F:F,A325)
&gt;0,COUNTIF('Set recomendado'!B:B,C325)=0),
"Bloqueada",
"Desechable")),""
)</f>
        <v/>
      </c>
      <c r="J325" t="str" cm="1">
        <f t="array" aca="1" ref="J325" ca="1">IF(ISNUMBER(A325),IFERROR(_xlfn._xlws.FILTER(Equipar!A:A,(Equipar!B:B=6)*(Equipar!AC:AC=A325)),""),"")</f>
        <v/>
      </c>
    </row>
    <row r="326" spans="1:10" x14ac:dyDescent="0.25">
      <c r="A326" s="1" t="str">
        <f ca="1">IF(A325="ID",1,IF(ISBLANK(B326),"",MAX(A$2:A325)+1))</f>
        <v/>
      </c>
      <c r="I326" s="2" t="str">
        <f ca="1">IF(ISNUMBER(A326),
IF(COUNTIFS(Equipar!B:B,6,Equipar!AC:AC,A326),"Equipada",
IF(
 OR(COUNTIFS(Equipar!B:B,6,Equipar!C:C,A326)
 +COUNTIFS(Equipar!B:B,6,Equipar!D:D,A326)
+COUNTIFS(Equipar!B:B,6,Equipar!E:E,A326)
+COUNTIFS(Equipar!B:B,6,Equipar!F:F,A326)
&gt;0,COUNTIF('Set recomendado'!B:B,C326)=0),
"Bloqueada",
"Desechable")),""
)</f>
        <v/>
      </c>
      <c r="J326" t="str" cm="1">
        <f t="array" aca="1" ref="J326" ca="1">IF(ISNUMBER(A326),IFERROR(_xlfn._xlws.FILTER(Equipar!A:A,(Equipar!B:B=6)*(Equipar!AC:AC=A326)),""),"")</f>
        <v/>
      </c>
    </row>
    <row r="327" spans="1:10" x14ac:dyDescent="0.25">
      <c r="A327" s="1" t="str">
        <f ca="1">IF(A326="ID",1,IF(ISBLANK(B327),"",MAX(A$2:A326)+1))</f>
        <v/>
      </c>
      <c r="I327" s="2" t="str">
        <f ca="1">IF(ISNUMBER(A327),
IF(COUNTIFS(Equipar!B:B,6,Equipar!AC:AC,A327),"Equipada",
IF(
 OR(COUNTIFS(Equipar!B:B,6,Equipar!C:C,A327)
 +COUNTIFS(Equipar!B:B,6,Equipar!D:D,A327)
+COUNTIFS(Equipar!B:B,6,Equipar!E:E,A327)
+COUNTIFS(Equipar!B:B,6,Equipar!F:F,A327)
&gt;0,COUNTIF('Set recomendado'!B:B,C327)=0),
"Bloqueada",
"Desechable")),""
)</f>
        <v/>
      </c>
      <c r="J327" t="str" cm="1">
        <f t="array" aca="1" ref="J327" ca="1">IF(ISNUMBER(A327),IFERROR(_xlfn._xlws.FILTER(Equipar!A:A,(Equipar!B:B=6)*(Equipar!AC:AC=A327)),""),"")</f>
        <v/>
      </c>
    </row>
    <row r="328" spans="1:10" x14ac:dyDescent="0.25">
      <c r="A328" s="1" t="str">
        <f ca="1">IF(A327="ID",1,IF(ISBLANK(B328),"",MAX(A$2:A327)+1))</f>
        <v/>
      </c>
      <c r="I328" s="2" t="str">
        <f ca="1">IF(ISNUMBER(A328),
IF(COUNTIFS(Equipar!B:B,6,Equipar!AC:AC,A328),"Equipada",
IF(
 OR(COUNTIFS(Equipar!B:B,6,Equipar!C:C,A328)
 +COUNTIFS(Equipar!B:B,6,Equipar!D:D,A328)
+COUNTIFS(Equipar!B:B,6,Equipar!E:E,A328)
+COUNTIFS(Equipar!B:B,6,Equipar!F:F,A328)
&gt;0,COUNTIF('Set recomendado'!B:B,C328)=0),
"Bloqueada",
"Desechable")),""
)</f>
        <v/>
      </c>
      <c r="J328" t="str" cm="1">
        <f t="array" aca="1" ref="J328" ca="1">IF(ISNUMBER(A328),IFERROR(_xlfn._xlws.FILTER(Equipar!A:A,(Equipar!B:B=6)*(Equipar!AC:AC=A328)),""),"")</f>
        <v/>
      </c>
    </row>
    <row r="329" spans="1:10" x14ac:dyDescent="0.25">
      <c r="A329" s="1" t="str">
        <f ca="1">IF(A328="ID",1,IF(ISBLANK(B329),"",MAX(A$2:A328)+1))</f>
        <v/>
      </c>
      <c r="I329" s="2" t="str">
        <f ca="1">IF(ISNUMBER(A329),
IF(COUNTIFS(Equipar!B:B,6,Equipar!AC:AC,A329),"Equipada",
IF(
 OR(COUNTIFS(Equipar!B:B,6,Equipar!C:C,A329)
 +COUNTIFS(Equipar!B:B,6,Equipar!D:D,A329)
+COUNTIFS(Equipar!B:B,6,Equipar!E:E,A329)
+COUNTIFS(Equipar!B:B,6,Equipar!F:F,A329)
&gt;0,COUNTIF('Set recomendado'!B:B,C329)=0),
"Bloqueada",
"Desechable")),""
)</f>
        <v/>
      </c>
      <c r="J329" t="str" cm="1">
        <f t="array" aca="1" ref="J329" ca="1">IF(ISNUMBER(A329),IFERROR(_xlfn._xlws.FILTER(Equipar!A:A,(Equipar!B:B=6)*(Equipar!AC:AC=A329)),""),"")</f>
        <v/>
      </c>
    </row>
    <row r="330" spans="1:10" x14ac:dyDescent="0.25">
      <c r="A330" s="1" t="str">
        <f ca="1">IF(A329="ID",1,IF(ISBLANK(B330),"",MAX(A$2:A329)+1))</f>
        <v/>
      </c>
      <c r="I330" s="2" t="str">
        <f ca="1">IF(ISNUMBER(A330),
IF(COUNTIFS(Equipar!B:B,6,Equipar!AC:AC,A330),"Equipada",
IF(
 OR(COUNTIFS(Equipar!B:B,6,Equipar!C:C,A330)
 +COUNTIFS(Equipar!B:B,6,Equipar!D:D,A330)
+COUNTIFS(Equipar!B:B,6,Equipar!E:E,A330)
+COUNTIFS(Equipar!B:B,6,Equipar!F:F,A330)
&gt;0,COUNTIF('Set recomendado'!B:B,C330)=0),
"Bloqueada",
"Desechable")),""
)</f>
        <v/>
      </c>
      <c r="J330" t="str" cm="1">
        <f t="array" aca="1" ref="J330" ca="1">IF(ISNUMBER(A330),IFERROR(_xlfn._xlws.FILTER(Equipar!A:A,(Equipar!B:B=6)*(Equipar!AC:AC=A330)),""),"")</f>
        <v/>
      </c>
    </row>
    <row r="331" spans="1:10" x14ac:dyDescent="0.25">
      <c r="A331" s="1" t="str">
        <f ca="1">IF(A330="ID",1,IF(ISBLANK(B331),"",MAX(A$2:A330)+1))</f>
        <v/>
      </c>
      <c r="I331" s="2" t="str">
        <f ca="1">IF(ISNUMBER(A331),
IF(COUNTIFS(Equipar!B:B,6,Equipar!AC:AC,A331),"Equipada",
IF(
 OR(COUNTIFS(Equipar!B:B,6,Equipar!C:C,A331)
 +COUNTIFS(Equipar!B:B,6,Equipar!D:D,A331)
+COUNTIFS(Equipar!B:B,6,Equipar!E:E,A331)
+COUNTIFS(Equipar!B:B,6,Equipar!F:F,A331)
&gt;0,COUNTIF('Set recomendado'!B:B,C331)=0),
"Bloqueada",
"Desechable")),""
)</f>
        <v/>
      </c>
      <c r="J331" t="str" cm="1">
        <f t="array" aca="1" ref="J331" ca="1">IF(ISNUMBER(A331),IFERROR(_xlfn._xlws.FILTER(Equipar!A:A,(Equipar!B:B=6)*(Equipar!AC:AC=A331)),""),"")</f>
        <v/>
      </c>
    </row>
    <row r="332" spans="1:10" x14ac:dyDescent="0.25">
      <c r="A332" s="1" t="str">
        <f ca="1">IF(A331="ID",1,IF(ISBLANK(B332),"",MAX(A$2:A331)+1))</f>
        <v/>
      </c>
      <c r="I332" s="2" t="str">
        <f ca="1">IF(ISNUMBER(A332),
IF(COUNTIFS(Equipar!B:B,6,Equipar!AC:AC,A332),"Equipada",
IF(
 OR(COUNTIFS(Equipar!B:B,6,Equipar!C:C,A332)
 +COUNTIFS(Equipar!B:B,6,Equipar!D:D,A332)
+COUNTIFS(Equipar!B:B,6,Equipar!E:E,A332)
+COUNTIFS(Equipar!B:B,6,Equipar!F:F,A332)
&gt;0,COUNTIF('Set recomendado'!B:B,C332)=0),
"Bloqueada",
"Desechable")),""
)</f>
        <v/>
      </c>
      <c r="J332" t="str" cm="1">
        <f t="array" aca="1" ref="J332" ca="1">IF(ISNUMBER(A332),IFERROR(_xlfn._xlws.FILTER(Equipar!A:A,(Equipar!B:B=6)*(Equipar!AC:AC=A332)),""),"")</f>
        <v/>
      </c>
    </row>
    <row r="333" spans="1:10" x14ac:dyDescent="0.25">
      <c r="A333" s="1" t="str">
        <f ca="1">IF(A332="ID",1,IF(ISBLANK(B333),"",MAX(A$2:A332)+1))</f>
        <v/>
      </c>
      <c r="I333" s="2" t="str">
        <f ca="1">IF(ISNUMBER(A333),
IF(COUNTIFS(Equipar!B:B,6,Equipar!AC:AC,A333),"Equipada",
IF(
 OR(COUNTIFS(Equipar!B:B,6,Equipar!C:C,A333)
 +COUNTIFS(Equipar!B:B,6,Equipar!D:D,A333)
+COUNTIFS(Equipar!B:B,6,Equipar!E:E,A333)
+COUNTIFS(Equipar!B:B,6,Equipar!F:F,A333)
&gt;0,COUNTIF('Set recomendado'!B:B,C333)=0),
"Bloqueada",
"Desechable")),""
)</f>
        <v/>
      </c>
      <c r="J333" t="str" cm="1">
        <f t="array" aca="1" ref="J333" ca="1">IF(ISNUMBER(A333),IFERROR(_xlfn._xlws.FILTER(Equipar!A:A,(Equipar!B:B=6)*(Equipar!AC:AC=A333)),""),"")</f>
        <v/>
      </c>
    </row>
    <row r="334" spans="1:10" x14ac:dyDescent="0.25">
      <c r="A334" s="1" t="str">
        <f ca="1">IF(A333="ID",1,IF(ISBLANK(B334),"",MAX(A$2:A333)+1))</f>
        <v/>
      </c>
      <c r="I334" s="2" t="str">
        <f ca="1">IF(ISNUMBER(A334),
IF(COUNTIFS(Equipar!B:B,6,Equipar!AC:AC,A334),"Equipada",
IF(
 OR(COUNTIFS(Equipar!B:B,6,Equipar!C:C,A334)
 +COUNTIFS(Equipar!B:B,6,Equipar!D:D,A334)
+COUNTIFS(Equipar!B:B,6,Equipar!E:E,A334)
+COUNTIFS(Equipar!B:B,6,Equipar!F:F,A334)
&gt;0,COUNTIF('Set recomendado'!B:B,C334)=0),
"Bloqueada",
"Desechable")),""
)</f>
        <v/>
      </c>
      <c r="J334" t="str" cm="1">
        <f t="array" aca="1" ref="J334" ca="1">IF(ISNUMBER(A334),IFERROR(_xlfn._xlws.FILTER(Equipar!A:A,(Equipar!B:B=6)*(Equipar!AC:AC=A334)),""),"")</f>
        <v/>
      </c>
    </row>
    <row r="335" spans="1:10" x14ac:dyDescent="0.25">
      <c r="A335" s="1" t="str">
        <f ca="1">IF(A334="ID",1,IF(ISBLANK(B335),"",MAX(A$2:A334)+1))</f>
        <v/>
      </c>
      <c r="I335" s="2" t="str">
        <f ca="1">IF(ISNUMBER(A335),
IF(COUNTIFS(Equipar!B:B,6,Equipar!AC:AC,A335),"Equipada",
IF(
 OR(COUNTIFS(Equipar!B:B,6,Equipar!C:C,A335)
 +COUNTIFS(Equipar!B:B,6,Equipar!D:D,A335)
+COUNTIFS(Equipar!B:B,6,Equipar!E:E,A335)
+COUNTIFS(Equipar!B:B,6,Equipar!F:F,A335)
&gt;0,COUNTIF('Set recomendado'!B:B,C335)=0),
"Bloqueada",
"Desechable")),""
)</f>
        <v/>
      </c>
      <c r="J335" t="str" cm="1">
        <f t="array" aca="1" ref="J335" ca="1">IF(ISNUMBER(A335),IFERROR(_xlfn._xlws.FILTER(Equipar!A:A,(Equipar!B:B=6)*(Equipar!AC:AC=A335)),""),"")</f>
        <v/>
      </c>
    </row>
    <row r="336" spans="1:10" x14ac:dyDescent="0.25">
      <c r="A336" s="1" t="str">
        <f ca="1">IF(A335="ID",1,IF(ISBLANK(B336),"",MAX(A$2:A335)+1))</f>
        <v/>
      </c>
      <c r="I336" s="2" t="str">
        <f ca="1">IF(ISNUMBER(A336),
IF(COUNTIFS(Equipar!B:B,6,Equipar!AC:AC,A336),"Equipada",
IF(
 OR(COUNTIFS(Equipar!B:B,6,Equipar!C:C,A336)
 +COUNTIFS(Equipar!B:B,6,Equipar!D:D,A336)
+COUNTIFS(Equipar!B:B,6,Equipar!E:E,A336)
+COUNTIFS(Equipar!B:B,6,Equipar!F:F,A336)
&gt;0,COUNTIF('Set recomendado'!B:B,C336)=0),
"Bloqueada",
"Desechable")),""
)</f>
        <v/>
      </c>
      <c r="J336" t="str" cm="1">
        <f t="array" aca="1" ref="J336" ca="1">IF(ISNUMBER(A336),IFERROR(_xlfn._xlws.FILTER(Equipar!A:A,(Equipar!B:B=6)*(Equipar!AC:AC=A336)),""),"")</f>
        <v/>
      </c>
    </row>
    <row r="337" spans="1:10" x14ac:dyDescent="0.25">
      <c r="A337" s="1" t="str">
        <f ca="1">IF(A336="ID",1,IF(ISBLANK(B337),"",MAX(A$2:A336)+1))</f>
        <v/>
      </c>
      <c r="I337" s="2" t="str">
        <f ca="1">IF(ISNUMBER(A337),
IF(COUNTIFS(Equipar!B:B,6,Equipar!AC:AC,A337),"Equipada",
IF(
 OR(COUNTIFS(Equipar!B:B,6,Equipar!C:C,A337)
 +COUNTIFS(Equipar!B:B,6,Equipar!D:D,A337)
+COUNTIFS(Equipar!B:B,6,Equipar!E:E,A337)
+COUNTIFS(Equipar!B:B,6,Equipar!F:F,A337)
&gt;0,COUNTIF('Set recomendado'!B:B,C337)=0),
"Bloqueada",
"Desechable")),""
)</f>
        <v/>
      </c>
      <c r="J337" t="str" cm="1">
        <f t="array" aca="1" ref="J337" ca="1">IF(ISNUMBER(A337),IFERROR(_xlfn._xlws.FILTER(Equipar!A:A,(Equipar!B:B=6)*(Equipar!AC:AC=A337)),""),"")</f>
        <v/>
      </c>
    </row>
    <row r="338" spans="1:10" x14ac:dyDescent="0.25">
      <c r="A338" s="1" t="str">
        <f ca="1">IF(A337="ID",1,IF(ISBLANK(B338),"",MAX(A$2:A337)+1))</f>
        <v/>
      </c>
      <c r="I338" s="2" t="str">
        <f ca="1">IF(ISNUMBER(A338),
IF(COUNTIFS(Equipar!B:B,6,Equipar!AC:AC,A338),"Equipada",
IF(
 OR(COUNTIFS(Equipar!B:B,6,Equipar!C:C,A338)
 +COUNTIFS(Equipar!B:B,6,Equipar!D:D,A338)
+COUNTIFS(Equipar!B:B,6,Equipar!E:E,A338)
+COUNTIFS(Equipar!B:B,6,Equipar!F:F,A338)
&gt;0,COUNTIF('Set recomendado'!B:B,C338)=0),
"Bloqueada",
"Desechable")),""
)</f>
        <v/>
      </c>
      <c r="J338" t="str" cm="1">
        <f t="array" aca="1" ref="J338" ca="1">IF(ISNUMBER(A338),IFERROR(_xlfn._xlws.FILTER(Equipar!A:A,(Equipar!B:B=6)*(Equipar!AC:AC=A338)),""),"")</f>
        <v/>
      </c>
    </row>
    <row r="339" spans="1:10" x14ac:dyDescent="0.25">
      <c r="A339" s="1" t="str">
        <f ca="1">IF(A338="ID",1,IF(ISBLANK(B339),"",MAX(A$2:A338)+1))</f>
        <v/>
      </c>
      <c r="I339" s="2" t="str">
        <f ca="1">IF(ISNUMBER(A339),
IF(COUNTIFS(Equipar!B:B,6,Equipar!AC:AC,A339),"Equipada",
IF(
 OR(COUNTIFS(Equipar!B:B,6,Equipar!C:C,A339)
 +COUNTIFS(Equipar!B:B,6,Equipar!D:D,A339)
+COUNTIFS(Equipar!B:B,6,Equipar!E:E,A339)
+COUNTIFS(Equipar!B:B,6,Equipar!F:F,A339)
&gt;0,COUNTIF('Set recomendado'!B:B,C339)=0),
"Bloqueada",
"Desechable")),""
)</f>
        <v/>
      </c>
      <c r="J339" t="str" cm="1">
        <f t="array" aca="1" ref="J339" ca="1">IF(ISNUMBER(A339),IFERROR(_xlfn._xlws.FILTER(Equipar!A:A,(Equipar!B:B=6)*(Equipar!AC:AC=A339)),""),"")</f>
        <v/>
      </c>
    </row>
    <row r="340" spans="1:10" x14ac:dyDescent="0.25">
      <c r="A340" s="1" t="str">
        <f ca="1">IF(A339="ID",1,IF(ISBLANK(B340),"",MAX(A$2:A339)+1))</f>
        <v/>
      </c>
      <c r="I340" s="2" t="str">
        <f ca="1">IF(ISNUMBER(A340),
IF(COUNTIFS(Equipar!B:B,6,Equipar!AC:AC,A340),"Equipada",
IF(
 OR(COUNTIFS(Equipar!B:B,6,Equipar!C:C,A340)
 +COUNTIFS(Equipar!B:B,6,Equipar!D:D,A340)
+COUNTIFS(Equipar!B:B,6,Equipar!E:E,A340)
+COUNTIFS(Equipar!B:B,6,Equipar!F:F,A340)
&gt;0,COUNTIF('Set recomendado'!B:B,C340)=0),
"Bloqueada",
"Desechable")),""
)</f>
        <v/>
      </c>
      <c r="J340" t="str" cm="1">
        <f t="array" aca="1" ref="J340" ca="1">IF(ISNUMBER(A340),IFERROR(_xlfn._xlws.FILTER(Equipar!A:A,(Equipar!B:B=6)*(Equipar!AC:AC=A340)),""),"")</f>
        <v/>
      </c>
    </row>
    <row r="341" spans="1:10" x14ac:dyDescent="0.25">
      <c r="A341" s="1" t="str">
        <f ca="1">IF(A340="ID",1,IF(ISBLANK(B341),"",MAX(A$2:A340)+1))</f>
        <v/>
      </c>
      <c r="I341" s="2" t="str">
        <f ca="1">IF(ISNUMBER(A341),
IF(COUNTIFS(Equipar!B:B,6,Equipar!AC:AC,A341),"Equipada",
IF(
 OR(COUNTIFS(Equipar!B:B,6,Equipar!C:C,A341)
 +COUNTIFS(Equipar!B:B,6,Equipar!D:D,A341)
+COUNTIFS(Equipar!B:B,6,Equipar!E:E,A341)
+COUNTIFS(Equipar!B:B,6,Equipar!F:F,A341)
&gt;0,COUNTIF('Set recomendado'!B:B,C341)=0),
"Bloqueada",
"Desechable")),""
)</f>
        <v/>
      </c>
      <c r="J341" t="str" cm="1">
        <f t="array" aca="1" ref="J341" ca="1">IF(ISNUMBER(A341),IFERROR(_xlfn._xlws.FILTER(Equipar!A:A,(Equipar!B:B=6)*(Equipar!AC:AC=A341)),""),"")</f>
        <v/>
      </c>
    </row>
    <row r="342" spans="1:10" x14ac:dyDescent="0.25">
      <c r="A342" s="1" t="str">
        <f ca="1">IF(A341="ID",1,IF(ISBLANK(B342),"",MAX(A$2:A341)+1))</f>
        <v/>
      </c>
      <c r="I342" s="2" t="str">
        <f ca="1">IF(ISNUMBER(A342),
IF(COUNTIFS(Equipar!B:B,6,Equipar!AC:AC,A342),"Equipada",
IF(
 OR(COUNTIFS(Equipar!B:B,6,Equipar!C:C,A342)
 +COUNTIFS(Equipar!B:B,6,Equipar!D:D,A342)
+COUNTIFS(Equipar!B:B,6,Equipar!E:E,A342)
+COUNTIFS(Equipar!B:B,6,Equipar!F:F,A342)
&gt;0,COUNTIF('Set recomendado'!B:B,C342)=0),
"Bloqueada",
"Desechable")),""
)</f>
        <v/>
      </c>
      <c r="J342" t="str" cm="1">
        <f t="array" aca="1" ref="J342" ca="1">IF(ISNUMBER(A342),IFERROR(_xlfn._xlws.FILTER(Equipar!A:A,(Equipar!B:B=6)*(Equipar!AC:AC=A342)),""),"")</f>
        <v/>
      </c>
    </row>
    <row r="343" spans="1:10" x14ac:dyDescent="0.25">
      <c r="A343" s="1" t="str">
        <f ca="1">IF(A342="ID",1,IF(ISBLANK(B343),"",MAX(A$2:A342)+1))</f>
        <v/>
      </c>
      <c r="I343" s="2" t="str">
        <f ca="1">IF(ISNUMBER(A343),
IF(COUNTIFS(Equipar!B:B,6,Equipar!AC:AC,A343),"Equipada",
IF(
 OR(COUNTIFS(Equipar!B:B,6,Equipar!C:C,A343)
 +COUNTIFS(Equipar!B:B,6,Equipar!D:D,A343)
+COUNTIFS(Equipar!B:B,6,Equipar!E:E,A343)
+COUNTIFS(Equipar!B:B,6,Equipar!F:F,A343)
&gt;0,COUNTIF('Set recomendado'!B:B,C343)=0),
"Bloqueada",
"Desechable")),""
)</f>
        <v/>
      </c>
      <c r="J343" t="str" cm="1">
        <f t="array" aca="1" ref="J343" ca="1">IF(ISNUMBER(A343),IFERROR(_xlfn._xlws.FILTER(Equipar!A:A,(Equipar!B:B=6)*(Equipar!AC:AC=A343)),""),"")</f>
        <v/>
      </c>
    </row>
    <row r="344" spans="1:10" x14ac:dyDescent="0.25">
      <c r="A344" s="1" t="str">
        <f ca="1">IF(A343="ID",1,IF(ISBLANK(B344),"",MAX(A$2:A343)+1))</f>
        <v/>
      </c>
      <c r="I344" s="2" t="str">
        <f ca="1">IF(ISNUMBER(A344),
IF(COUNTIFS(Equipar!B:B,6,Equipar!AC:AC,A344),"Equipada",
IF(
 OR(COUNTIFS(Equipar!B:B,6,Equipar!C:C,A344)
 +COUNTIFS(Equipar!B:B,6,Equipar!D:D,A344)
+COUNTIFS(Equipar!B:B,6,Equipar!E:E,A344)
+COUNTIFS(Equipar!B:B,6,Equipar!F:F,A344)
&gt;0,COUNTIF('Set recomendado'!B:B,C344)=0),
"Bloqueada",
"Desechable")),""
)</f>
        <v/>
      </c>
      <c r="J344" t="str" cm="1">
        <f t="array" aca="1" ref="J344" ca="1">IF(ISNUMBER(A344),IFERROR(_xlfn._xlws.FILTER(Equipar!A:A,(Equipar!B:B=6)*(Equipar!AC:AC=A344)),""),"")</f>
        <v/>
      </c>
    </row>
    <row r="345" spans="1:10" x14ac:dyDescent="0.25">
      <c r="A345" s="1" t="str">
        <f ca="1">IF(A344="ID",1,IF(ISBLANK(B345),"",MAX(A$2:A344)+1))</f>
        <v/>
      </c>
      <c r="I345" s="2" t="str">
        <f ca="1">IF(ISNUMBER(A345),
IF(COUNTIFS(Equipar!B:B,6,Equipar!AC:AC,A345),"Equipada",
IF(
 OR(COUNTIFS(Equipar!B:B,6,Equipar!C:C,A345)
 +COUNTIFS(Equipar!B:B,6,Equipar!D:D,A345)
+COUNTIFS(Equipar!B:B,6,Equipar!E:E,A345)
+COUNTIFS(Equipar!B:B,6,Equipar!F:F,A345)
&gt;0,COUNTIF('Set recomendado'!B:B,C345)=0),
"Bloqueada",
"Desechable")),""
)</f>
        <v/>
      </c>
      <c r="J345" t="str" cm="1">
        <f t="array" aca="1" ref="J345" ca="1">IF(ISNUMBER(A345),IFERROR(_xlfn._xlws.FILTER(Equipar!A:A,(Equipar!B:B=6)*(Equipar!AC:AC=A345)),""),"")</f>
        <v/>
      </c>
    </row>
    <row r="346" spans="1:10" x14ac:dyDescent="0.25">
      <c r="A346" s="1" t="str">
        <f ca="1">IF(A345="ID",1,IF(ISBLANK(B346),"",MAX(A$2:A345)+1))</f>
        <v/>
      </c>
      <c r="I346" s="2" t="str">
        <f ca="1">IF(ISNUMBER(A346),
IF(COUNTIFS(Equipar!B:B,6,Equipar!AC:AC,A346),"Equipada",
IF(
 OR(COUNTIFS(Equipar!B:B,6,Equipar!C:C,A346)
 +COUNTIFS(Equipar!B:B,6,Equipar!D:D,A346)
+COUNTIFS(Equipar!B:B,6,Equipar!E:E,A346)
+COUNTIFS(Equipar!B:B,6,Equipar!F:F,A346)
&gt;0,COUNTIF('Set recomendado'!B:B,C346)=0),
"Bloqueada",
"Desechable")),""
)</f>
        <v/>
      </c>
      <c r="J346" t="str" cm="1">
        <f t="array" aca="1" ref="J346" ca="1">IF(ISNUMBER(A346),IFERROR(_xlfn._xlws.FILTER(Equipar!A:A,(Equipar!B:B=6)*(Equipar!AC:AC=A346)),""),"")</f>
        <v/>
      </c>
    </row>
    <row r="347" spans="1:10" x14ac:dyDescent="0.25">
      <c r="A347" s="1" t="str">
        <f ca="1">IF(A346="ID",1,IF(ISBLANK(B347),"",MAX(A$2:A346)+1))</f>
        <v/>
      </c>
      <c r="I347" s="2" t="str">
        <f ca="1">IF(ISNUMBER(A347),
IF(COUNTIFS(Equipar!B:B,6,Equipar!AC:AC,A347),"Equipada",
IF(
 OR(COUNTIFS(Equipar!B:B,6,Equipar!C:C,A347)
 +COUNTIFS(Equipar!B:B,6,Equipar!D:D,A347)
+COUNTIFS(Equipar!B:B,6,Equipar!E:E,A347)
+COUNTIFS(Equipar!B:B,6,Equipar!F:F,A347)
&gt;0,COUNTIF('Set recomendado'!B:B,C347)=0),
"Bloqueada",
"Desechable")),""
)</f>
        <v/>
      </c>
      <c r="J347" t="str" cm="1">
        <f t="array" aca="1" ref="J347" ca="1">IF(ISNUMBER(A347),IFERROR(_xlfn._xlws.FILTER(Equipar!A:A,(Equipar!B:B=6)*(Equipar!AC:AC=A347)),""),"")</f>
        <v/>
      </c>
    </row>
    <row r="348" spans="1:10" x14ac:dyDescent="0.25">
      <c r="A348" s="1" t="str">
        <f ca="1">IF(A347="ID",1,IF(ISBLANK(B348),"",MAX(A$2:A347)+1))</f>
        <v/>
      </c>
      <c r="I348" s="2" t="str">
        <f ca="1">IF(ISNUMBER(A348),
IF(COUNTIFS(Equipar!B:B,6,Equipar!AC:AC,A348),"Equipada",
IF(
 OR(COUNTIFS(Equipar!B:B,6,Equipar!C:C,A348)
 +COUNTIFS(Equipar!B:B,6,Equipar!D:D,A348)
+COUNTIFS(Equipar!B:B,6,Equipar!E:E,A348)
+COUNTIFS(Equipar!B:B,6,Equipar!F:F,A348)
&gt;0,COUNTIF('Set recomendado'!B:B,C348)=0),
"Bloqueada",
"Desechable")),""
)</f>
        <v/>
      </c>
      <c r="J348" t="str" cm="1">
        <f t="array" aca="1" ref="J348" ca="1">IF(ISNUMBER(A348),IFERROR(_xlfn._xlws.FILTER(Equipar!A:A,(Equipar!B:B=6)*(Equipar!AC:AC=A348)),""),"")</f>
        <v/>
      </c>
    </row>
    <row r="349" spans="1:10" x14ac:dyDescent="0.25">
      <c r="A349" s="1" t="str">
        <f ca="1">IF(A348="ID",1,IF(ISBLANK(B349),"",MAX(A$2:A348)+1))</f>
        <v/>
      </c>
      <c r="I349" s="2" t="str">
        <f ca="1">IF(ISNUMBER(A349),
IF(COUNTIFS(Equipar!B:B,6,Equipar!AC:AC,A349),"Equipada",
IF(
 OR(COUNTIFS(Equipar!B:B,6,Equipar!C:C,A349)
 +COUNTIFS(Equipar!B:B,6,Equipar!D:D,A349)
+COUNTIFS(Equipar!B:B,6,Equipar!E:E,A349)
+COUNTIFS(Equipar!B:B,6,Equipar!F:F,A349)
&gt;0,COUNTIF('Set recomendado'!B:B,C349)=0),
"Bloqueada",
"Desechable")),""
)</f>
        <v/>
      </c>
      <c r="J349" t="str" cm="1">
        <f t="array" aca="1" ref="J349" ca="1">IF(ISNUMBER(A349),IFERROR(_xlfn._xlws.FILTER(Equipar!A:A,(Equipar!B:B=6)*(Equipar!AC:AC=A349)),""),"")</f>
        <v/>
      </c>
    </row>
    <row r="350" spans="1:10" x14ac:dyDescent="0.25">
      <c r="A350" s="1" t="str">
        <f ca="1">IF(A349="ID",1,IF(ISBLANK(B350),"",MAX(A$2:A349)+1))</f>
        <v/>
      </c>
      <c r="I350" s="2" t="str">
        <f ca="1">IF(ISNUMBER(A350),
IF(COUNTIFS(Equipar!B:B,6,Equipar!AC:AC,A350),"Equipada",
IF(
 OR(COUNTIFS(Equipar!B:B,6,Equipar!C:C,A350)
 +COUNTIFS(Equipar!B:B,6,Equipar!D:D,A350)
+COUNTIFS(Equipar!B:B,6,Equipar!E:E,A350)
+COUNTIFS(Equipar!B:B,6,Equipar!F:F,A350)
&gt;0,COUNTIF('Set recomendado'!B:B,C350)=0),
"Bloqueada",
"Desechable")),""
)</f>
        <v/>
      </c>
      <c r="J350" t="str" cm="1">
        <f t="array" aca="1" ref="J350" ca="1">IF(ISNUMBER(A350),IFERROR(_xlfn._xlws.FILTER(Equipar!A:A,(Equipar!B:B=6)*(Equipar!AC:AC=A350)),""),"")</f>
        <v/>
      </c>
    </row>
    <row r="351" spans="1:10" x14ac:dyDescent="0.25">
      <c r="A351" s="1" t="str">
        <f ca="1">IF(A350="ID",1,IF(ISBLANK(B351),"",MAX(A$2:A350)+1))</f>
        <v/>
      </c>
      <c r="I351" s="2" t="str">
        <f ca="1">IF(ISNUMBER(A351),
IF(COUNTIFS(Equipar!B:B,6,Equipar!AC:AC,A351),"Equipada",
IF(
 OR(COUNTIFS(Equipar!B:B,6,Equipar!C:C,A351)
 +COUNTIFS(Equipar!B:B,6,Equipar!D:D,A351)
+COUNTIFS(Equipar!B:B,6,Equipar!E:E,A351)
+COUNTIFS(Equipar!B:B,6,Equipar!F:F,A351)
&gt;0,COUNTIF('Set recomendado'!B:B,C351)=0),
"Bloqueada",
"Desechable")),""
)</f>
        <v/>
      </c>
      <c r="J351" t="str" cm="1">
        <f t="array" aca="1" ref="J351" ca="1">IF(ISNUMBER(A351),IFERROR(_xlfn._xlws.FILTER(Equipar!A:A,(Equipar!B:B=6)*(Equipar!AC:AC=A351)),""),"")</f>
        <v/>
      </c>
    </row>
    <row r="352" spans="1:10" x14ac:dyDescent="0.25">
      <c r="A352" s="1" t="str">
        <f ca="1">IF(A351="ID",1,IF(ISBLANK(B352),"",MAX(A$2:A351)+1))</f>
        <v/>
      </c>
      <c r="I352" s="2" t="str">
        <f ca="1">IF(ISNUMBER(A352),
IF(COUNTIFS(Equipar!B:B,6,Equipar!AC:AC,A352),"Equipada",
IF(
 OR(COUNTIFS(Equipar!B:B,6,Equipar!C:C,A352)
 +COUNTIFS(Equipar!B:B,6,Equipar!D:D,A352)
+COUNTIFS(Equipar!B:B,6,Equipar!E:E,A352)
+COUNTIFS(Equipar!B:B,6,Equipar!F:F,A352)
&gt;0,COUNTIF('Set recomendado'!B:B,C352)=0),
"Bloqueada",
"Desechable")),""
)</f>
        <v/>
      </c>
      <c r="J352" t="str" cm="1">
        <f t="array" aca="1" ref="J352" ca="1">IF(ISNUMBER(A352),IFERROR(_xlfn._xlws.FILTER(Equipar!A:A,(Equipar!B:B=6)*(Equipar!AC:AC=A352)),""),"")</f>
        <v/>
      </c>
    </row>
    <row r="353" spans="1:10" x14ac:dyDescent="0.25">
      <c r="A353" s="1" t="str">
        <f ca="1">IF(A352="ID",1,IF(ISBLANK(B353),"",MAX(A$2:A352)+1))</f>
        <v/>
      </c>
      <c r="I353" s="2" t="str">
        <f ca="1">IF(ISNUMBER(A353),
IF(COUNTIFS(Equipar!B:B,6,Equipar!AC:AC,A353),"Equipada",
IF(
 OR(COUNTIFS(Equipar!B:B,6,Equipar!C:C,A353)
 +COUNTIFS(Equipar!B:B,6,Equipar!D:D,A353)
+COUNTIFS(Equipar!B:B,6,Equipar!E:E,A353)
+COUNTIFS(Equipar!B:B,6,Equipar!F:F,A353)
&gt;0,COUNTIF('Set recomendado'!B:B,C353)=0),
"Bloqueada",
"Desechable")),""
)</f>
        <v/>
      </c>
      <c r="J353" t="str" cm="1">
        <f t="array" aca="1" ref="J353" ca="1">IF(ISNUMBER(A353),IFERROR(_xlfn._xlws.FILTER(Equipar!A:A,(Equipar!B:B=6)*(Equipar!AC:AC=A353)),""),"")</f>
        <v/>
      </c>
    </row>
    <row r="354" spans="1:10" x14ac:dyDescent="0.25">
      <c r="A354" s="1" t="str">
        <f ca="1">IF(A353="ID",1,IF(ISBLANK(B354),"",MAX(A$2:A353)+1))</f>
        <v/>
      </c>
      <c r="I354" s="2" t="str">
        <f ca="1">IF(ISNUMBER(A354),
IF(COUNTIFS(Equipar!B:B,6,Equipar!AC:AC,A354),"Equipada",
IF(
 OR(COUNTIFS(Equipar!B:B,6,Equipar!C:C,A354)
 +COUNTIFS(Equipar!B:B,6,Equipar!D:D,A354)
+COUNTIFS(Equipar!B:B,6,Equipar!E:E,A354)
+COUNTIFS(Equipar!B:B,6,Equipar!F:F,A354)
&gt;0,COUNTIF('Set recomendado'!B:B,C354)=0),
"Bloqueada",
"Desechable")),""
)</f>
        <v/>
      </c>
      <c r="J354" t="str" cm="1">
        <f t="array" aca="1" ref="J354" ca="1">IF(ISNUMBER(A354),IFERROR(_xlfn._xlws.FILTER(Equipar!A:A,(Equipar!B:B=6)*(Equipar!AC:AC=A354)),""),"")</f>
        <v/>
      </c>
    </row>
    <row r="355" spans="1:10" x14ac:dyDescent="0.25">
      <c r="A355" s="1" t="str">
        <f ca="1">IF(A354="ID",1,IF(ISBLANK(B355),"",MAX(A$2:A354)+1))</f>
        <v/>
      </c>
      <c r="I355" s="2" t="str">
        <f ca="1">IF(ISNUMBER(A355),
IF(COUNTIFS(Equipar!B:B,6,Equipar!AC:AC,A355),"Equipada",
IF(
 OR(COUNTIFS(Equipar!B:B,6,Equipar!C:C,A355)
 +COUNTIFS(Equipar!B:B,6,Equipar!D:D,A355)
+COUNTIFS(Equipar!B:B,6,Equipar!E:E,A355)
+COUNTIFS(Equipar!B:B,6,Equipar!F:F,A355)
&gt;0,COUNTIF('Set recomendado'!B:B,C355)=0),
"Bloqueada",
"Desechable")),""
)</f>
        <v/>
      </c>
      <c r="J355" t="str" cm="1">
        <f t="array" aca="1" ref="J355" ca="1">IF(ISNUMBER(A355),IFERROR(_xlfn._xlws.FILTER(Equipar!A:A,(Equipar!B:B=6)*(Equipar!AC:AC=A355)),""),"")</f>
        <v/>
      </c>
    </row>
    <row r="356" spans="1:10" x14ac:dyDescent="0.25">
      <c r="A356" s="1" t="str">
        <f ca="1">IF(A355="ID",1,IF(ISBLANK(B356),"",MAX(A$2:A355)+1))</f>
        <v/>
      </c>
      <c r="I356" s="2" t="str">
        <f ca="1">IF(ISNUMBER(A356),
IF(COUNTIFS(Equipar!B:B,6,Equipar!AC:AC,A356),"Equipada",
IF(
 OR(COUNTIFS(Equipar!B:B,6,Equipar!C:C,A356)
 +COUNTIFS(Equipar!B:B,6,Equipar!D:D,A356)
+COUNTIFS(Equipar!B:B,6,Equipar!E:E,A356)
+COUNTIFS(Equipar!B:B,6,Equipar!F:F,A356)
&gt;0,COUNTIF('Set recomendado'!B:B,C356)=0),
"Bloqueada",
"Desechable")),""
)</f>
        <v/>
      </c>
      <c r="J356" t="str" cm="1">
        <f t="array" aca="1" ref="J356" ca="1">IF(ISNUMBER(A356),IFERROR(_xlfn._xlws.FILTER(Equipar!A:A,(Equipar!B:B=6)*(Equipar!AC:AC=A356)),""),"")</f>
        <v/>
      </c>
    </row>
    <row r="357" spans="1:10" x14ac:dyDescent="0.25">
      <c r="A357" s="1" t="str">
        <f ca="1">IF(A356="ID",1,IF(ISBLANK(B357),"",MAX(A$2:A356)+1))</f>
        <v/>
      </c>
      <c r="I357" s="2" t="str">
        <f ca="1">IF(ISNUMBER(A357),
IF(COUNTIFS(Equipar!B:B,6,Equipar!AC:AC,A357),"Equipada",
IF(
 OR(COUNTIFS(Equipar!B:B,6,Equipar!C:C,A357)
 +COUNTIFS(Equipar!B:B,6,Equipar!D:D,A357)
+COUNTIFS(Equipar!B:B,6,Equipar!E:E,A357)
+COUNTIFS(Equipar!B:B,6,Equipar!F:F,A357)
&gt;0,COUNTIF('Set recomendado'!B:B,C357)=0),
"Bloqueada",
"Desechable")),""
)</f>
        <v/>
      </c>
      <c r="J357" t="str" cm="1">
        <f t="array" aca="1" ref="J357" ca="1">IF(ISNUMBER(A357),IFERROR(_xlfn._xlws.FILTER(Equipar!A:A,(Equipar!B:B=6)*(Equipar!AC:AC=A357)),""),"")</f>
        <v/>
      </c>
    </row>
    <row r="358" spans="1:10" x14ac:dyDescent="0.25">
      <c r="A358" s="1" t="str">
        <f ca="1">IF(A357="ID",1,IF(ISBLANK(B358),"",MAX(A$2:A357)+1))</f>
        <v/>
      </c>
      <c r="I358" s="2" t="str">
        <f ca="1">IF(ISNUMBER(A358),
IF(COUNTIFS(Equipar!B:B,6,Equipar!AC:AC,A358),"Equipada",
IF(
 OR(COUNTIFS(Equipar!B:B,6,Equipar!C:C,A358)
 +COUNTIFS(Equipar!B:B,6,Equipar!D:D,A358)
+COUNTIFS(Equipar!B:B,6,Equipar!E:E,A358)
+COUNTIFS(Equipar!B:B,6,Equipar!F:F,A358)
&gt;0,COUNTIF('Set recomendado'!B:B,C358)=0),
"Bloqueada",
"Desechable")),""
)</f>
        <v/>
      </c>
      <c r="J358" t="str" cm="1">
        <f t="array" aca="1" ref="J358" ca="1">IF(ISNUMBER(A358),IFERROR(_xlfn._xlws.FILTER(Equipar!A:A,(Equipar!B:B=6)*(Equipar!AC:AC=A358)),""),"")</f>
        <v/>
      </c>
    </row>
    <row r="359" spans="1:10" x14ac:dyDescent="0.25">
      <c r="A359" s="1" t="str">
        <f ca="1">IF(A358="ID",1,IF(ISBLANK(B359),"",MAX(A$2:A358)+1))</f>
        <v/>
      </c>
      <c r="I359" s="2" t="str">
        <f ca="1">IF(ISNUMBER(A359),
IF(COUNTIFS(Equipar!B:B,6,Equipar!AC:AC,A359),"Equipada",
IF(
 OR(COUNTIFS(Equipar!B:B,6,Equipar!C:C,A359)
 +COUNTIFS(Equipar!B:B,6,Equipar!D:D,A359)
+COUNTIFS(Equipar!B:B,6,Equipar!E:E,A359)
+COUNTIFS(Equipar!B:B,6,Equipar!F:F,A359)
&gt;0,COUNTIF('Set recomendado'!B:B,C359)=0),
"Bloqueada",
"Desechable")),""
)</f>
        <v/>
      </c>
      <c r="J359" t="str" cm="1">
        <f t="array" aca="1" ref="J359" ca="1">IF(ISNUMBER(A359),IFERROR(_xlfn._xlws.FILTER(Equipar!A:A,(Equipar!B:B=6)*(Equipar!AC:AC=A359)),""),"")</f>
        <v/>
      </c>
    </row>
    <row r="360" spans="1:10" x14ac:dyDescent="0.25">
      <c r="A360" s="1" t="str">
        <f ca="1">IF(A359="ID",1,IF(ISBLANK(B360),"",MAX(A$2:A359)+1))</f>
        <v/>
      </c>
      <c r="I360" s="2" t="str">
        <f ca="1">IF(ISNUMBER(A360),
IF(COUNTIFS(Equipar!B:B,6,Equipar!AC:AC,A360),"Equipada",
IF(
 OR(COUNTIFS(Equipar!B:B,6,Equipar!C:C,A360)
 +COUNTIFS(Equipar!B:B,6,Equipar!D:D,A360)
+COUNTIFS(Equipar!B:B,6,Equipar!E:E,A360)
+COUNTIFS(Equipar!B:B,6,Equipar!F:F,A360)
&gt;0,COUNTIF('Set recomendado'!B:B,C360)=0),
"Bloqueada",
"Desechable")),""
)</f>
        <v/>
      </c>
      <c r="J360" t="str" cm="1">
        <f t="array" aca="1" ref="J360" ca="1">IF(ISNUMBER(A360),IFERROR(_xlfn._xlws.FILTER(Equipar!A:A,(Equipar!B:B=6)*(Equipar!AC:AC=A360)),""),"")</f>
        <v/>
      </c>
    </row>
    <row r="361" spans="1:10" x14ac:dyDescent="0.25">
      <c r="A361" s="1" t="str">
        <f ca="1">IF(A360="ID",1,IF(ISBLANK(B361),"",MAX(A$2:A360)+1))</f>
        <v/>
      </c>
      <c r="I361" s="2" t="str">
        <f ca="1">IF(ISNUMBER(A361),
IF(COUNTIFS(Equipar!B:B,6,Equipar!AC:AC,A361),"Equipada",
IF(
 OR(COUNTIFS(Equipar!B:B,6,Equipar!C:C,A361)
 +COUNTIFS(Equipar!B:B,6,Equipar!D:D,A361)
+COUNTIFS(Equipar!B:B,6,Equipar!E:E,A361)
+COUNTIFS(Equipar!B:B,6,Equipar!F:F,A361)
&gt;0,COUNTIF('Set recomendado'!B:B,C361)=0),
"Bloqueada",
"Desechable")),""
)</f>
        <v/>
      </c>
      <c r="J361" t="str" cm="1">
        <f t="array" aca="1" ref="J361" ca="1">IF(ISNUMBER(A361),IFERROR(_xlfn._xlws.FILTER(Equipar!A:A,(Equipar!B:B=6)*(Equipar!AC:AC=A361)),""),"")</f>
        <v/>
      </c>
    </row>
    <row r="362" spans="1:10" x14ac:dyDescent="0.25">
      <c r="A362" s="1" t="str">
        <f ca="1">IF(A361="ID",1,IF(ISBLANK(B362),"",MAX(A$2:A361)+1))</f>
        <v/>
      </c>
      <c r="I362" s="2" t="str">
        <f ca="1">IF(ISNUMBER(A362),
IF(COUNTIFS(Equipar!B:B,6,Equipar!AC:AC,A362),"Equipada",
IF(
 OR(COUNTIFS(Equipar!B:B,6,Equipar!C:C,A362)
 +COUNTIFS(Equipar!B:B,6,Equipar!D:D,A362)
+COUNTIFS(Equipar!B:B,6,Equipar!E:E,A362)
+COUNTIFS(Equipar!B:B,6,Equipar!F:F,A362)
&gt;0,COUNTIF('Set recomendado'!B:B,C362)=0),
"Bloqueada",
"Desechable")),""
)</f>
        <v/>
      </c>
      <c r="J362" t="str" cm="1">
        <f t="array" aca="1" ref="J362" ca="1">IF(ISNUMBER(A362),IFERROR(_xlfn._xlws.FILTER(Equipar!A:A,(Equipar!B:B=6)*(Equipar!AC:AC=A362)),""),"")</f>
        <v/>
      </c>
    </row>
    <row r="363" spans="1:10" x14ac:dyDescent="0.25">
      <c r="A363" s="1" t="str">
        <f ca="1">IF(A362="ID",1,IF(ISBLANK(B363),"",MAX(A$2:A362)+1))</f>
        <v/>
      </c>
      <c r="I363" s="2" t="str">
        <f ca="1">IF(ISNUMBER(A363),
IF(COUNTIFS(Equipar!B:B,6,Equipar!AC:AC,A363),"Equipada",
IF(
 OR(COUNTIFS(Equipar!B:B,6,Equipar!C:C,A363)
 +COUNTIFS(Equipar!B:B,6,Equipar!D:D,A363)
+COUNTIFS(Equipar!B:B,6,Equipar!E:E,A363)
+COUNTIFS(Equipar!B:B,6,Equipar!F:F,A363)
&gt;0,COUNTIF('Set recomendado'!B:B,C363)=0),
"Bloqueada",
"Desechable")),""
)</f>
        <v/>
      </c>
      <c r="J363" t="str" cm="1">
        <f t="array" aca="1" ref="J363" ca="1">IF(ISNUMBER(A363),IFERROR(_xlfn._xlws.FILTER(Equipar!A:A,(Equipar!B:B=6)*(Equipar!AC:AC=A363)),""),"")</f>
        <v/>
      </c>
    </row>
    <row r="364" spans="1:10" x14ac:dyDescent="0.25">
      <c r="A364" s="1" t="str">
        <f ca="1">IF(A363="ID",1,IF(ISBLANK(B364),"",MAX(A$2:A363)+1))</f>
        <v/>
      </c>
      <c r="I364" s="2" t="str">
        <f ca="1">IF(ISNUMBER(A364),
IF(COUNTIFS(Equipar!B:B,6,Equipar!AC:AC,A364),"Equipada",
IF(
 OR(COUNTIFS(Equipar!B:B,6,Equipar!C:C,A364)
 +COUNTIFS(Equipar!B:B,6,Equipar!D:D,A364)
+COUNTIFS(Equipar!B:B,6,Equipar!E:E,A364)
+COUNTIFS(Equipar!B:B,6,Equipar!F:F,A364)
&gt;0,COUNTIF('Set recomendado'!B:B,C364)=0),
"Bloqueada",
"Desechable")),""
)</f>
        <v/>
      </c>
      <c r="J364" t="str" cm="1">
        <f t="array" aca="1" ref="J364" ca="1">IF(ISNUMBER(A364),IFERROR(_xlfn._xlws.FILTER(Equipar!A:A,(Equipar!B:B=6)*(Equipar!AC:AC=A364)),""),"")</f>
        <v/>
      </c>
    </row>
    <row r="365" spans="1:10" x14ac:dyDescent="0.25">
      <c r="A365" s="1" t="str">
        <f ca="1">IF(A364="ID",1,IF(ISBLANK(B365),"",MAX(A$2:A364)+1))</f>
        <v/>
      </c>
      <c r="I365" s="2" t="str">
        <f ca="1">IF(ISNUMBER(A365),
IF(COUNTIFS(Equipar!B:B,6,Equipar!AC:AC,A365),"Equipada",
IF(
 OR(COUNTIFS(Equipar!B:B,6,Equipar!C:C,A365)
 +COUNTIFS(Equipar!B:B,6,Equipar!D:D,A365)
+COUNTIFS(Equipar!B:B,6,Equipar!E:E,A365)
+COUNTIFS(Equipar!B:B,6,Equipar!F:F,A365)
&gt;0,COUNTIF('Set recomendado'!B:B,C365)=0),
"Bloqueada",
"Desechable")),""
)</f>
        <v/>
      </c>
      <c r="J365" t="str" cm="1">
        <f t="array" aca="1" ref="J365" ca="1">IF(ISNUMBER(A365),IFERROR(_xlfn._xlws.FILTER(Equipar!A:A,(Equipar!B:B=6)*(Equipar!AC:AC=A365)),""),"")</f>
        <v/>
      </c>
    </row>
    <row r="366" spans="1:10" x14ac:dyDescent="0.25">
      <c r="A366" s="1" t="str">
        <f ca="1">IF(A365="ID",1,IF(ISBLANK(B366),"",MAX(A$2:A365)+1))</f>
        <v/>
      </c>
      <c r="I366" s="2" t="str">
        <f ca="1">IF(ISNUMBER(A366),
IF(COUNTIFS(Equipar!B:B,6,Equipar!AC:AC,A366),"Equipada",
IF(
 OR(COUNTIFS(Equipar!B:B,6,Equipar!C:C,A366)
 +COUNTIFS(Equipar!B:B,6,Equipar!D:D,A366)
+COUNTIFS(Equipar!B:B,6,Equipar!E:E,A366)
+COUNTIFS(Equipar!B:B,6,Equipar!F:F,A366)
&gt;0,COUNTIF('Set recomendado'!B:B,C366)=0),
"Bloqueada",
"Desechable")),""
)</f>
        <v/>
      </c>
      <c r="J366" t="str" cm="1">
        <f t="array" aca="1" ref="J366" ca="1">IF(ISNUMBER(A366),IFERROR(_xlfn._xlws.FILTER(Equipar!A:A,(Equipar!B:B=6)*(Equipar!AC:AC=A366)),""),"")</f>
        <v/>
      </c>
    </row>
    <row r="367" spans="1:10" x14ac:dyDescent="0.25">
      <c r="A367" s="1" t="str">
        <f ca="1">IF(A366="ID",1,IF(ISBLANK(B367),"",MAX(A$2:A366)+1))</f>
        <v/>
      </c>
      <c r="I367" s="2" t="str">
        <f ca="1">IF(ISNUMBER(A367),
IF(COUNTIFS(Equipar!B:B,6,Equipar!AC:AC,A367),"Equipada",
IF(
 OR(COUNTIFS(Equipar!B:B,6,Equipar!C:C,A367)
 +COUNTIFS(Equipar!B:B,6,Equipar!D:D,A367)
+COUNTIFS(Equipar!B:B,6,Equipar!E:E,A367)
+COUNTIFS(Equipar!B:B,6,Equipar!F:F,A367)
&gt;0,COUNTIF('Set recomendado'!B:B,C367)=0),
"Bloqueada",
"Desechable")),""
)</f>
        <v/>
      </c>
      <c r="J367" t="str" cm="1">
        <f t="array" aca="1" ref="J367" ca="1">IF(ISNUMBER(A367),IFERROR(_xlfn._xlws.FILTER(Equipar!A:A,(Equipar!B:B=6)*(Equipar!AC:AC=A367)),""),"")</f>
        <v/>
      </c>
    </row>
    <row r="368" spans="1:10" x14ac:dyDescent="0.25">
      <c r="A368" s="1" t="str">
        <f ca="1">IF(A367="ID",1,IF(ISBLANK(B368),"",MAX(A$2:A367)+1))</f>
        <v/>
      </c>
      <c r="I368" s="2" t="str">
        <f ca="1">IF(ISNUMBER(A368),
IF(COUNTIFS(Equipar!B:B,6,Equipar!AC:AC,A368),"Equipada",
IF(
 OR(COUNTIFS(Equipar!B:B,6,Equipar!C:C,A368)
 +COUNTIFS(Equipar!B:B,6,Equipar!D:D,A368)
+COUNTIFS(Equipar!B:B,6,Equipar!E:E,A368)
+COUNTIFS(Equipar!B:B,6,Equipar!F:F,A368)
&gt;0,COUNTIF('Set recomendado'!B:B,C368)=0),
"Bloqueada",
"Desechable")),""
)</f>
        <v/>
      </c>
      <c r="J368" t="str" cm="1">
        <f t="array" aca="1" ref="J368" ca="1">IF(ISNUMBER(A368),IFERROR(_xlfn._xlws.FILTER(Equipar!A:A,(Equipar!B:B=6)*(Equipar!AC:AC=A368)),""),"")</f>
        <v/>
      </c>
    </row>
    <row r="369" spans="1:10" x14ac:dyDescent="0.25">
      <c r="A369" s="1" t="str">
        <f ca="1">IF(A368="ID",1,IF(ISBLANK(B369),"",MAX(A$2:A368)+1))</f>
        <v/>
      </c>
      <c r="I369" s="2" t="str">
        <f ca="1">IF(ISNUMBER(A369),
IF(COUNTIFS(Equipar!B:B,6,Equipar!AC:AC,A369),"Equipada",
IF(
 OR(COUNTIFS(Equipar!B:B,6,Equipar!C:C,A369)
 +COUNTIFS(Equipar!B:B,6,Equipar!D:D,A369)
+COUNTIFS(Equipar!B:B,6,Equipar!E:E,A369)
+COUNTIFS(Equipar!B:B,6,Equipar!F:F,A369)
&gt;0,COUNTIF('Set recomendado'!B:B,C369)=0),
"Bloqueada",
"Desechable")),""
)</f>
        <v/>
      </c>
      <c r="J369" t="str" cm="1">
        <f t="array" aca="1" ref="J369" ca="1">IF(ISNUMBER(A369),IFERROR(_xlfn._xlws.FILTER(Equipar!A:A,(Equipar!B:B=6)*(Equipar!AC:AC=A369)),""),"")</f>
        <v/>
      </c>
    </row>
    <row r="370" spans="1:10" x14ac:dyDescent="0.25">
      <c r="A370" s="1" t="str">
        <f ca="1">IF(A369="ID",1,IF(ISBLANK(B370),"",MAX(A$2:A369)+1))</f>
        <v/>
      </c>
      <c r="I370" s="2" t="str">
        <f ca="1">IF(ISNUMBER(A370),
IF(COUNTIFS(Equipar!B:B,6,Equipar!AC:AC,A370),"Equipada",
IF(
 OR(COUNTIFS(Equipar!B:B,6,Equipar!C:C,A370)
 +COUNTIFS(Equipar!B:B,6,Equipar!D:D,A370)
+COUNTIFS(Equipar!B:B,6,Equipar!E:E,A370)
+COUNTIFS(Equipar!B:B,6,Equipar!F:F,A370)
&gt;0,COUNTIF('Set recomendado'!B:B,C370)=0),
"Bloqueada",
"Desechable")),""
)</f>
        <v/>
      </c>
      <c r="J370" t="str" cm="1">
        <f t="array" aca="1" ref="J370" ca="1">IF(ISNUMBER(A370),IFERROR(_xlfn._xlws.FILTER(Equipar!A:A,(Equipar!B:B=6)*(Equipar!AC:AC=A370)),""),"")</f>
        <v/>
      </c>
    </row>
    <row r="371" spans="1:10" x14ac:dyDescent="0.25">
      <c r="A371" s="1" t="str">
        <f ca="1">IF(A370="ID",1,IF(ISBLANK(B371),"",MAX(A$2:A370)+1))</f>
        <v/>
      </c>
      <c r="I371" s="2" t="str">
        <f ca="1">IF(ISNUMBER(A371),
IF(COUNTIFS(Equipar!B:B,6,Equipar!AC:AC,A371),"Equipada",
IF(
 OR(COUNTIFS(Equipar!B:B,6,Equipar!C:C,A371)
 +COUNTIFS(Equipar!B:B,6,Equipar!D:D,A371)
+COUNTIFS(Equipar!B:B,6,Equipar!E:E,A371)
+COUNTIFS(Equipar!B:B,6,Equipar!F:F,A371)
&gt;0,COUNTIF('Set recomendado'!B:B,C371)=0),
"Bloqueada",
"Desechable")),""
)</f>
        <v/>
      </c>
      <c r="J371" t="str" cm="1">
        <f t="array" aca="1" ref="J371" ca="1">IF(ISNUMBER(A371),IFERROR(_xlfn._xlws.FILTER(Equipar!A:A,(Equipar!B:B=6)*(Equipar!AC:AC=A371)),""),"")</f>
        <v/>
      </c>
    </row>
    <row r="372" spans="1:10" x14ac:dyDescent="0.25">
      <c r="A372" s="1" t="str">
        <f ca="1">IF(A371="ID",1,IF(ISBLANK(B372),"",MAX(A$2:A371)+1))</f>
        <v/>
      </c>
      <c r="I372" s="2" t="str">
        <f ca="1">IF(ISNUMBER(A372),
IF(COUNTIFS(Equipar!B:B,6,Equipar!AC:AC,A372),"Equipada",
IF(
 OR(COUNTIFS(Equipar!B:B,6,Equipar!C:C,A372)
 +COUNTIFS(Equipar!B:B,6,Equipar!D:D,A372)
+COUNTIFS(Equipar!B:B,6,Equipar!E:E,A372)
+COUNTIFS(Equipar!B:B,6,Equipar!F:F,A372)
&gt;0,COUNTIF('Set recomendado'!B:B,C372)=0),
"Bloqueada",
"Desechable")),""
)</f>
        <v/>
      </c>
      <c r="J372" t="str" cm="1">
        <f t="array" aca="1" ref="J372" ca="1">IF(ISNUMBER(A372),IFERROR(_xlfn._xlws.FILTER(Equipar!A:A,(Equipar!B:B=6)*(Equipar!AC:AC=A372)),""),"")</f>
        <v/>
      </c>
    </row>
    <row r="373" spans="1:10" x14ac:dyDescent="0.25">
      <c r="A373" s="1" t="str">
        <f ca="1">IF(A372="ID",1,IF(ISBLANK(B373),"",MAX(A$2:A372)+1))</f>
        <v/>
      </c>
      <c r="I373" s="2" t="str">
        <f ca="1">IF(ISNUMBER(A373),
IF(COUNTIFS(Equipar!B:B,6,Equipar!AC:AC,A373),"Equipada",
IF(
 OR(COUNTIFS(Equipar!B:B,6,Equipar!C:C,A373)
 +COUNTIFS(Equipar!B:B,6,Equipar!D:D,A373)
+COUNTIFS(Equipar!B:B,6,Equipar!E:E,A373)
+COUNTIFS(Equipar!B:B,6,Equipar!F:F,A373)
&gt;0,COUNTIF('Set recomendado'!B:B,C373)=0),
"Bloqueada",
"Desechable")),""
)</f>
        <v/>
      </c>
      <c r="J373" t="str" cm="1">
        <f t="array" aca="1" ref="J373" ca="1">IF(ISNUMBER(A373),IFERROR(_xlfn._xlws.FILTER(Equipar!A:A,(Equipar!B:B=6)*(Equipar!AC:AC=A373)),""),"")</f>
        <v/>
      </c>
    </row>
    <row r="374" spans="1:10" x14ac:dyDescent="0.25">
      <c r="A374" s="1" t="str">
        <f ca="1">IF(A373="ID",1,IF(ISBLANK(B374),"",MAX(A$2:A373)+1))</f>
        <v/>
      </c>
      <c r="I374" s="2" t="str">
        <f ca="1">IF(ISNUMBER(A374),
IF(COUNTIFS(Equipar!B:B,6,Equipar!AC:AC,A374),"Equipada",
IF(
 OR(COUNTIFS(Equipar!B:B,6,Equipar!C:C,A374)
 +COUNTIFS(Equipar!B:B,6,Equipar!D:D,A374)
+COUNTIFS(Equipar!B:B,6,Equipar!E:E,A374)
+COUNTIFS(Equipar!B:B,6,Equipar!F:F,A374)
&gt;0,COUNTIF('Set recomendado'!B:B,C374)=0),
"Bloqueada",
"Desechable")),""
)</f>
        <v/>
      </c>
      <c r="J374" t="str" cm="1">
        <f t="array" aca="1" ref="J374" ca="1">IF(ISNUMBER(A374),IFERROR(_xlfn._xlws.FILTER(Equipar!A:A,(Equipar!B:B=6)*(Equipar!AC:AC=A374)),""),"")</f>
        <v/>
      </c>
    </row>
    <row r="375" spans="1:10" x14ac:dyDescent="0.25">
      <c r="A375" s="1" t="str">
        <f ca="1">IF(A374="ID",1,IF(ISBLANK(B375),"",MAX(A$2:A374)+1))</f>
        <v/>
      </c>
      <c r="I375" s="2" t="str">
        <f ca="1">IF(ISNUMBER(A375),
IF(COUNTIFS(Equipar!B:B,6,Equipar!AC:AC,A375),"Equipada",
IF(
 OR(COUNTIFS(Equipar!B:B,6,Equipar!C:C,A375)
 +COUNTIFS(Equipar!B:B,6,Equipar!D:D,A375)
+COUNTIFS(Equipar!B:B,6,Equipar!E:E,A375)
+COUNTIFS(Equipar!B:B,6,Equipar!F:F,A375)
&gt;0,COUNTIF('Set recomendado'!B:B,C375)=0),
"Bloqueada",
"Desechable")),""
)</f>
        <v/>
      </c>
      <c r="J375" t="str" cm="1">
        <f t="array" aca="1" ref="J375" ca="1">IF(ISNUMBER(A375),IFERROR(_xlfn._xlws.FILTER(Equipar!A:A,(Equipar!B:B=6)*(Equipar!AC:AC=A375)),""),"")</f>
        <v/>
      </c>
    </row>
    <row r="376" spans="1:10" x14ac:dyDescent="0.25">
      <c r="A376" s="1" t="str">
        <f ca="1">IF(A375="ID",1,IF(ISBLANK(B376),"",MAX(A$2:A375)+1))</f>
        <v/>
      </c>
      <c r="I376" s="2" t="str">
        <f ca="1">IF(ISNUMBER(A376),
IF(COUNTIFS(Equipar!B:B,6,Equipar!AC:AC,A376),"Equipada",
IF(
 OR(COUNTIFS(Equipar!B:B,6,Equipar!C:C,A376)
 +COUNTIFS(Equipar!B:B,6,Equipar!D:D,A376)
+COUNTIFS(Equipar!B:B,6,Equipar!E:E,A376)
+COUNTIFS(Equipar!B:B,6,Equipar!F:F,A376)
&gt;0,COUNTIF('Set recomendado'!B:B,C376)=0),
"Bloqueada",
"Desechable")),""
)</f>
        <v/>
      </c>
      <c r="J376" t="str" cm="1">
        <f t="array" aca="1" ref="J376" ca="1">IF(ISNUMBER(A376),IFERROR(_xlfn._xlws.FILTER(Equipar!A:A,(Equipar!B:B=6)*(Equipar!AC:AC=A376)),""),"")</f>
        <v/>
      </c>
    </row>
    <row r="377" spans="1:10" x14ac:dyDescent="0.25">
      <c r="A377" s="1" t="str">
        <f ca="1">IF(A376="ID",1,IF(ISBLANK(B377),"",MAX(A$2:A376)+1))</f>
        <v/>
      </c>
      <c r="I377" s="2" t="str">
        <f ca="1">IF(ISNUMBER(A377),
IF(COUNTIFS(Equipar!B:B,6,Equipar!AC:AC,A377),"Equipada",
IF(
 OR(COUNTIFS(Equipar!B:B,6,Equipar!C:C,A377)
 +COUNTIFS(Equipar!B:B,6,Equipar!D:D,A377)
+COUNTIFS(Equipar!B:B,6,Equipar!E:E,A377)
+COUNTIFS(Equipar!B:B,6,Equipar!F:F,A377)
&gt;0,COUNTIF('Set recomendado'!B:B,C377)=0),
"Bloqueada",
"Desechable")),""
)</f>
        <v/>
      </c>
      <c r="J377" t="str" cm="1">
        <f t="array" aca="1" ref="J377" ca="1">IF(ISNUMBER(A377),IFERROR(_xlfn._xlws.FILTER(Equipar!A:A,(Equipar!B:B=6)*(Equipar!AC:AC=A377)),""),"")</f>
        <v/>
      </c>
    </row>
    <row r="378" spans="1:10" x14ac:dyDescent="0.25">
      <c r="A378" s="1" t="str">
        <f ca="1">IF(A377="ID",1,IF(ISBLANK(B378),"",MAX(A$2:A377)+1))</f>
        <v/>
      </c>
      <c r="I378" s="2" t="str">
        <f ca="1">IF(ISNUMBER(A378),
IF(COUNTIFS(Equipar!B:B,6,Equipar!AC:AC,A378),"Equipada",
IF(
 OR(COUNTIFS(Equipar!B:B,6,Equipar!C:C,A378)
 +COUNTIFS(Equipar!B:B,6,Equipar!D:D,A378)
+COUNTIFS(Equipar!B:B,6,Equipar!E:E,A378)
+COUNTIFS(Equipar!B:B,6,Equipar!F:F,A378)
&gt;0,COUNTIF('Set recomendado'!B:B,C378)=0),
"Bloqueada",
"Desechable")),""
)</f>
        <v/>
      </c>
      <c r="J378" t="str" cm="1">
        <f t="array" aca="1" ref="J378" ca="1">IF(ISNUMBER(A378),IFERROR(_xlfn._xlws.FILTER(Equipar!A:A,(Equipar!B:B=6)*(Equipar!AC:AC=A378)),""),"")</f>
        <v/>
      </c>
    </row>
    <row r="379" spans="1:10" x14ac:dyDescent="0.25">
      <c r="A379" s="1" t="str">
        <f ca="1">IF(A378="ID",1,IF(ISBLANK(B379),"",MAX(A$2:A378)+1))</f>
        <v/>
      </c>
      <c r="I379" s="2" t="str">
        <f ca="1">IF(ISNUMBER(A379),
IF(COUNTIFS(Equipar!B:B,6,Equipar!AC:AC,A379),"Equipada",
IF(
 OR(COUNTIFS(Equipar!B:B,6,Equipar!C:C,A379)
 +COUNTIFS(Equipar!B:B,6,Equipar!D:D,A379)
+COUNTIFS(Equipar!B:B,6,Equipar!E:E,A379)
+COUNTIFS(Equipar!B:B,6,Equipar!F:F,A379)
&gt;0,COUNTIF('Set recomendado'!B:B,C379)=0),
"Bloqueada",
"Desechable")),""
)</f>
        <v/>
      </c>
      <c r="J379" t="str" cm="1">
        <f t="array" aca="1" ref="J379" ca="1">IF(ISNUMBER(A379),IFERROR(_xlfn._xlws.FILTER(Equipar!A:A,(Equipar!B:B=6)*(Equipar!AC:AC=A379)),""),"")</f>
        <v/>
      </c>
    </row>
    <row r="380" spans="1:10" x14ac:dyDescent="0.25">
      <c r="A380" s="1" t="str">
        <f ca="1">IF(A379="ID",1,IF(ISBLANK(B380),"",MAX(A$2:A379)+1))</f>
        <v/>
      </c>
      <c r="I380" s="2" t="str">
        <f ca="1">IF(ISNUMBER(A380),
IF(COUNTIFS(Equipar!B:B,6,Equipar!AC:AC,A380),"Equipada",
IF(
 OR(COUNTIFS(Equipar!B:B,6,Equipar!C:C,A380)
 +COUNTIFS(Equipar!B:B,6,Equipar!D:D,A380)
+COUNTIFS(Equipar!B:B,6,Equipar!E:E,A380)
+COUNTIFS(Equipar!B:B,6,Equipar!F:F,A380)
&gt;0,COUNTIF('Set recomendado'!B:B,C380)=0),
"Bloqueada",
"Desechable")),""
)</f>
        <v/>
      </c>
      <c r="J380" t="str" cm="1">
        <f t="array" aca="1" ref="J380" ca="1">IF(ISNUMBER(A380),IFERROR(_xlfn._xlws.FILTER(Equipar!A:A,(Equipar!B:B=6)*(Equipar!AC:AC=A380)),""),"")</f>
        <v/>
      </c>
    </row>
    <row r="381" spans="1:10" x14ac:dyDescent="0.25">
      <c r="A381" s="1" t="str">
        <f ca="1">IF(A380="ID",1,IF(ISBLANK(B381),"",MAX(A$2:A380)+1))</f>
        <v/>
      </c>
      <c r="I381" s="2" t="str">
        <f ca="1">IF(ISNUMBER(A381),
IF(COUNTIFS(Equipar!B:B,6,Equipar!AC:AC,A381),"Equipada",
IF(
 OR(COUNTIFS(Equipar!B:B,6,Equipar!C:C,A381)
 +COUNTIFS(Equipar!B:B,6,Equipar!D:D,A381)
+COUNTIFS(Equipar!B:B,6,Equipar!E:E,A381)
+COUNTIFS(Equipar!B:B,6,Equipar!F:F,A381)
&gt;0,COUNTIF('Set recomendado'!B:B,C381)=0),
"Bloqueada",
"Desechable")),""
)</f>
        <v/>
      </c>
      <c r="J381" t="str" cm="1">
        <f t="array" aca="1" ref="J381" ca="1">IF(ISNUMBER(A381),IFERROR(_xlfn._xlws.FILTER(Equipar!A:A,(Equipar!B:B=6)*(Equipar!AC:AC=A381)),""),"")</f>
        <v/>
      </c>
    </row>
    <row r="382" spans="1:10" x14ac:dyDescent="0.25">
      <c r="A382" s="1" t="str">
        <f ca="1">IF(A381="ID",1,IF(ISBLANK(B382),"",MAX(A$2:A381)+1))</f>
        <v/>
      </c>
      <c r="I382" s="2" t="str">
        <f ca="1">IF(ISNUMBER(A382),
IF(COUNTIFS(Equipar!B:B,6,Equipar!AC:AC,A382),"Equipada",
IF(
 OR(COUNTIFS(Equipar!B:B,6,Equipar!C:C,A382)
 +COUNTIFS(Equipar!B:B,6,Equipar!D:D,A382)
+COUNTIFS(Equipar!B:B,6,Equipar!E:E,A382)
+COUNTIFS(Equipar!B:B,6,Equipar!F:F,A382)
&gt;0,COUNTIF('Set recomendado'!B:B,C382)=0),
"Bloqueada",
"Desechable")),""
)</f>
        <v/>
      </c>
      <c r="J382" t="str" cm="1">
        <f t="array" aca="1" ref="J382" ca="1">IF(ISNUMBER(A382),IFERROR(_xlfn._xlws.FILTER(Equipar!A:A,(Equipar!B:B=6)*(Equipar!AC:AC=A382)),""),"")</f>
        <v/>
      </c>
    </row>
    <row r="383" spans="1:10" x14ac:dyDescent="0.25">
      <c r="A383" s="1" t="str">
        <f ca="1">IF(A382="ID",1,IF(ISBLANK(B383),"",MAX(A$2:A382)+1))</f>
        <v/>
      </c>
      <c r="I383" s="2" t="str">
        <f ca="1">IF(ISNUMBER(A383),
IF(COUNTIFS(Equipar!B:B,6,Equipar!AC:AC,A383),"Equipada",
IF(
 OR(COUNTIFS(Equipar!B:B,6,Equipar!C:C,A383)
 +COUNTIFS(Equipar!B:B,6,Equipar!D:D,A383)
+COUNTIFS(Equipar!B:B,6,Equipar!E:E,A383)
+COUNTIFS(Equipar!B:B,6,Equipar!F:F,A383)
&gt;0,COUNTIF('Set recomendado'!B:B,C383)=0),
"Bloqueada",
"Desechable")),""
)</f>
        <v/>
      </c>
      <c r="J383" t="str" cm="1">
        <f t="array" aca="1" ref="J383" ca="1">IF(ISNUMBER(A383),IFERROR(_xlfn._xlws.FILTER(Equipar!A:A,(Equipar!B:B=6)*(Equipar!AC:AC=A383)),""),"")</f>
        <v/>
      </c>
    </row>
    <row r="384" spans="1:10" x14ac:dyDescent="0.25">
      <c r="A384" s="1" t="str">
        <f ca="1">IF(A383="ID",1,IF(ISBLANK(B384),"",MAX(A$2:A383)+1))</f>
        <v/>
      </c>
      <c r="I384" s="2" t="str">
        <f ca="1">IF(ISNUMBER(A384),
IF(COUNTIFS(Equipar!B:B,6,Equipar!AC:AC,A384),"Equipada",
IF(
 OR(COUNTIFS(Equipar!B:B,6,Equipar!C:C,A384)
 +COUNTIFS(Equipar!B:B,6,Equipar!D:D,A384)
+COUNTIFS(Equipar!B:B,6,Equipar!E:E,A384)
+COUNTIFS(Equipar!B:B,6,Equipar!F:F,A384)
&gt;0,COUNTIF('Set recomendado'!B:B,C384)=0),
"Bloqueada",
"Desechable")),""
)</f>
        <v/>
      </c>
      <c r="J384" t="str" cm="1">
        <f t="array" aca="1" ref="J384" ca="1">IF(ISNUMBER(A384),IFERROR(_xlfn._xlws.FILTER(Equipar!A:A,(Equipar!B:B=6)*(Equipar!AC:AC=A384)),""),"")</f>
        <v/>
      </c>
    </row>
    <row r="385" spans="1:10" x14ac:dyDescent="0.25">
      <c r="A385" s="1" t="str">
        <f ca="1">IF(A384="ID",1,IF(ISBLANK(B385),"",MAX(A$2:A384)+1))</f>
        <v/>
      </c>
      <c r="I385" s="2" t="str">
        <f ca="1">IF(ISNUMBER(A385),
IF(COUNTIFS(Equipar!B:B,6,Equipar!AC:AC,A385),"Equipada",
IF(
 OR(COUNTIFS(Equipar!B:B,6,Equipar!C:C,A385)
 +COUNTIFS(Equipar!B:B,6,Equipar!D:D,A385)
+COUNTIFS(Equipar!B:B,6,Equipar!E:E,A385)
+COUNTIFS(Equipar!B:B,6,Equipar!F:F,A385)
&gt;0,COUNTIF('Set recomendado'!B:B,C385)=0),
"Bloqueada",
"Desechable")),""
)</f>
        <v/>
      </c>
      <c r="J385" t="str" cm="1">
        <f t="array" aca="1" ref="J385" ca="1">IF(ISNUMBER(A385),IFERROR(_xlfn._xlws.FILTER(Equipar!A:A,(Equipar!B:B=6)*(Equipar!AC:AC=A385)),""),"")</f>
        <v/>
      </c>
    </row>
    <row r="386" spans="1:10" x14ac:dyDescent="0.25">
      <c r="A386" s="1" t="str">
        <f ca="1">IF(A385="ID",1,IF(ISBLANK(B386),"",MAX(A$2:A385)+1))</f>
        <v/>
      </c>
      <c r="I386" s="2" t="str">
        <f ca="1">IF(ISNUMBER(A386),
IF(COUNTIFS(Equipar!B:B,6,Equipar!AC:AC,A386),"Equipada",
IF(
 OR(COUNTIFS(Equipar!B:B,6,Equipar!C:C,A386)
 +COUNTIFS(Equipar!B:B,6,Equipar!D:D,A386)
+COUNTIFS(Equipar!B:B,6,Equipar!E:E,A386)
+COUNTIFS(Equipar!B:B,6,Equipar!F:F,A386)
&gt;0,COUNTIF('Set recomendado'!B:B,C386)=0),
"Bloqueada",
"Desechable")),""
)</f>
        <v/>
      </c>
      <c r="J386" t="str" cm="1">
        <f t="array" aca="1" ref="J386" ca="1">IF(ISNUMBER(A386),IFERROR(_xlfn._xlws.FILTER(Equipar!A:A,(Equipar!B:B=6)*(Equipar!AC:AC=A386)),""),"")</f>
        <v/>
      </c>
    </row>
    <row r="387" spans="1:10" x14ac:dyDescent="0.25">
      <c r="A387" s="1" t="str">
        <f ca="1">IF(A386="ID",1,IF(ISBLANK(B387),"",MAX(A$2:A386)+1))</f>
        <v/>
      </c>
      <c r="I387" s="2" t="str">
        <f ca="1">IF(ISNUMBER(A387),
IF(COUNTIFS(Equipar!B:B,6,Equipar!AC:AC,A387),"Equipada",
IF(
 OR(COUNTIFS(Equipar!B:B,6,Equipar!C:C,A387)
 +COUNTIFS(Equipar!B:B,6,Equipar!D:D,A387)
+COUNTIFS(Equipar!B:B,6,Equipar!E:E,A387)
+COUNTIFS(Equipar!B:B,6,Equipar!F:F,A387)
&gt;0,COUNTIF('Set recomendado'!B:B,C387)=0),
"Bloqueada",
"Desechable")),""
)</f>
        <v/>
      </c>
      <c r="J387" t="str" cm="1">
        <f t="array" aca="1" ref="J387" ca="1">IF(ISNUMBER(A387),IFERROR(_xlfn._xlws.FILTER(Equipar!A:A,(Equipar!B:B=6)*(Equipar!AC:AC=A387)),""),"")</f>
        <v/>
      </c>
    </row>
    <row r="388" spans="1:10" x14ac:dyDescent="0.25">
      <c r="A388" s="1" t="str">
        <f ca="1">IF(A387="ID",1,IF(ISBLANK(B388),"",MAX(A$2:A387)+1))</f>
        <v/>
      </c>
      <c r="I388" s="2" t="str">
        <f ca="1">IF(ISNUMBER(A388),
IF(COUNTIFS(Equipar!B:B,6,Equipar!AC:AC,A388),"Equipada",
IF(
 OR(COUNTIFS(Equipar!B:B,6,Equipar!C:C,A388)
 +COUNTIFS(Equipar!B:B,6,Equipar!D:D,A388)
+COUNTIFS(Equipar!B:B,6,Equipar!E:E,A388)
+COUNTIFS(Equipar!B:B,6,Equipar!F:F,A388)
&gt;0,COUNTIF('Set recomendado'!B:B,C388)=0),
"Bloqueada",
"Desechable")),""
)</f>
        <v/>
      </c>
      <c r="J388" t="str" cm="1">
        <f t="array" aca="1" ref="J388" ca="1">IF(ISNUMBER(A388),IFERROR(_xlfn._xlws.FILTER(Equipar!A:A,(Equipar!B:B=6)*(Equipar!AC:AC=A388)),""),"")</f>
        <v/>
      </c>
    </row>
    <row r="389" spans="1:10" x14ac:dyDescent="0.25">
      <c r="A389" s="1" t="str">
        <f ca="1">IF(A388="ID",1,IF(ISBLANK(B389),"",MAX(A$2:A388)+1))</f>
        <v/>
      </c>
      <c r="I389" s="2" t="str">
        <f ca="1">IF(ISNUMBER(A389),
IF(COUNTIFS(Equipar!B:B,6,Equipar!AC:AC,A389),"Equipada",
IF(
 OR(COUNTIFS(Equipar!B:B,6,Equipar!C:C,A389)
 +COUNTIFS(Equipar!B:B,6,Equipar!D:D,A389)
+COUNTIFS(Equipar!B:B,6,Equipar!E:E,A389)
+COUNTIFS(Equipar!B:B,6,Equipar!F:F,A389)
&gt;0,COUNTIF('Set recomendado'!B:B,C389)=0),
"Bloqueada",
"Desechable")),""
)</f>
        <v/>
      </c>
      <c r="J389" t="str" cm="1">
        <f t="array" aca="1" ref="J389" ca="1">IF(ISNUMBER(A389),IFERROR(_xlfn._xlws.FILTER(Equipar!A:A,(Equipar!B:B=6)*(Equipar!AC:AC=A389)),""),"")</f>
        <v/>
      </c>
    </row>
    <row r="390" spans="1:10" x14ac:dyDescent="0.25">
      <c r="A390" s="1" t="str">
        <f ca="1">IF(A389="ID",1,IF(ISBLANK(B390),"",MAX(A$2:A389)+1))</f>
        <v/>
      </c>
      <c r="I390" s="2" t="str">
        <f ca="1">IF(ISNUMBER(A390),
IF(COUNTIFS(Equipar!B:B,6,Equipar!AC:AC,A390),"Equipada",
IF(
 OR(COUNTIFS(Equipar!B:B,6,Equipar!C:C,A390)
 +COUNTIFS(Equipar!B:B,6,Equipar!D:D,A390)
+COUNTIFS(Equipar!B:B,6,Equipar!E:E,A390)
+COUNTIFS(Equipar!B:B,6,Equipar!F:F,A390)
&gt;0,COUNTIF('Set recomendado'!B:B,C390)=0),
"Bloqueada",
"Desechable")),""
)</f>
        <v/>
      </c>
      <c r="J390" t="str" cm="1">
        <f t="array" aca="1" ref="J390" ca="1">IF(ISNUMBER(A390),IFERROR(_xlfn._xlws.FILTER(Equipar!A:A,(Equipar!B:B=6)*(Equipar!AC:AC=A390)),""),"")</f>
        <v/>
      </c>
    </row>
    <row r="391" spans="1:10" x14ac:dyDescent="0.25">
      <c r="A391" s="1" t="str">
        <f ca="1">IF(A390="ID",1,IF(ISBLANK(B391),"",MAX(A$2:A390)+1))</f>
        <v/>
      </c>
      <c r="I391" s="2" t="str">
        <f ca="1">IF(ISNUMBER(A391),
IF(COUNTIFS(Equipar!B:B,6,Equipar!AC:AC,A391),"Equipada",
IF(
 OR(COUNTIFS(Equipar!B:B,6,Equipar!C:C,A391)
 +COUNTIFS(Equipar!B:B,6,Equipar!D:D,A391)
+COUNTIFS(Equipar!B:B,6,Equipar!E:E,A391)
+COUNTIFS(Equipar!B:B,6,Equipar!F:F,A391)
&gt;0,COUNTIF('Set recomendado'!B:B,C391)=0),
"Bloqueada",
"Desechable")),""
)</f>
        <v/>
      </c>
      <c r="J391" t="str" cm="1">
        <f t="array" aca="1" ref="J391" ca="1">IF(ISNUMBER(A391),IFERROR(_xlfn._xlws.FILTER(Equipar!A:A,(Equipar!B:B=6)*(Equipar!AC:AC=A391)),""),"")</f>
        <v/>
      </c>
    </row>
    <row r="392" spans="1:10" x14ac:dyDescent="0.25">
      <c r="A392" s="1" t="str">
        <f ca="1">IF(A391="ID",1,IF(ISBLANK(B392),"",MAX(A$2:A391)+1))</f>
        <v/>
      </c>
      <c r="I392" s="2" t="str">
        <f ca="1">IF(ISNUMBER(A392),
IF(COUNTIFS(Equipar!B:B,6,Equipar!AC:AC,A392),"Equipada",
IF(
 OR(COUNTIFS(Equipar!B:B,6,Equipar!C:C,A392)
 +COUNTIFS(Equipar!B:B,6,Equipar!D:D,A392)
+COUNTIFS(Equipar!B:B,6,Equipar!E:E,A392)
+COUNTIFS(Equipar!B:B,6,Equipar!F:F,A392)
&gt;0,COUNTIF('Set recomendado'!B:B,C392)=0),
"Bloqueada",
"Desechable")),""
)</f>
        <v/>
      </c>
      <c r="J392" t="str" cm="1">
        <f t="array" aca="1" ref="J392" ca="1">IF(ISNUMBER(A392),IFERROR(_xlfn._xlws.FILTER(Equipar!A:A,(Equipar!B:B=6)*(Equipar!AC:AC=A392)),""),"")</f>
        <v/>
      </c>
    </row>
    <row r="393" spans="1:10" x14ac:dyDescent="0.25">
      <c r="A393" s="1" t="str">
        <f ca="1">IF(A392="ID",1,IF(ISBLANK(B393),"",MAX(A$2:A392)+1))</f>
        <v/>
      </c>
      <c r="I393" s="2" t="str">
        <f ca="1">IF(ISNUMBER(A393),
IF(COUNTIFS(Equipar!B:B,6,Equipar!AC:AC,A393),"Equipada",
IF(
 OR(COUNTIFS(Equipar!B:B,6,Equipar!C:C,A393)
 +COUNTIFS(Equipar!B:B,6,Equipar!D:D,A393)
+COUNTIFS(Equipar!B:B,6,Equipar!E:E,A393)
+COUNTIFS(Equipar!B:B,6,Equipar!F:F,A393)
&gt;0,COUNTIF('Set recomendado'!B:B,C393)=0),
"Bloqueada",
"Desechable")),""
)</f>
        <v/>
      </c>
      <c r="J393" t="str" cm="1">
        <f t="array" aca="1" ref="J393" ca="1">IF(ISNUMBER(A393),IFERROR(_xlfn._xlws.FILTER(Equipar!A:A,(Equipar!B:B=6)*(Equipar!AC:AC=A393)),""),"")</f>
        <v/>
      </c>
    </row>
    <row r="394" spans="1:10" x14ac:dyDescent="0.25">
      <c r="A394" s="1" t="str">
        <f ca="1">IF(A393="ID",1,IF(ISBLANK(B394),"",MAX(A$2:A393)+1))</f>
        <v/>
      </c>
      <c r="I394" s="2" t="str">
        <f ca="1">IF(ISNUMBER(A394),
IF(COUNTIFS(Equipar!B:B,6,Equipar!AC:AC,A394),"Equipada",
IF(
 OR(COUNTIFS(Equipar!B:B,6,Equipar!C:C,A394)
 +COUNTIFS(Equipar!B:B,6,Equipar!D:D,A394)
+COUNTIFS(Equipar!B:B,6,Equipar!E:E,A394)
+COUNTIFS(Equipar!B:B,6,Equipar!F:F,A394)
&gt;0,COUNTIF('Set recomendado'!B:B,C394)=0),
"Bloqueada",
"Desechable")),""
)</f>
        <v/>
      </c>
      <c r="J394" t="str" cm="1">
        <f t="array" aca="1" ref="J394" ca="1">IF(ISNUMBER(A394),IFERROR(_xlfn._xlws.FILTER(Equipar!A:A,(Equipar!B:B=6)*(Equipar!AC:AC=A394)),""),"")</f>
        <v/>
      </c>
    </row>
    <row r="395" spans="1:10" x14ac:dyDescent="0.25">
      <c r="A395" s="1" t="str">
        <f ca="1">IF(A394="ID",1,IF(ISBLANK(B395),"",MAX(A$2:A394)+1))</f>
        <v/>
      </c>
      <c r="I395" s="2" t="str">
        <f ca="1">IF(ISNUMBER(A395),
IF(COUNTIFS(Equipar!B:B,6,Equipar!AC:AC,A395),"Equipada",
IF(
 OR(COUNTIFS(Equipar!B:B,6,Equipar!C:C,A395)
 +COUNTIFS(Equipar!B:B,6,Equipar!D:D,A395)
+COUNTIFS(Equipar!B:B,6,Equipar!E:E,A395)
+COUNTIFS(Equipar!B:B,6,Equipar!F:F,A395)
&gt;0,COUNTIF('Set recomendado'!B:B,C395)=0),
"Bloqueada",
"Desechable")),""
)</f>
        <v/>
      </c>
      <c r="J395" t="str" cm="1">
        <f t="array" aca="1" ref="J395" ca="1">IF(ISNUMBER(A395),IFERROR(_xlfn._xlws.FILTER(Equipar!A:A,(Equipar!B:B=6)*(Equipar!AC:AC=A395)),""),"")</f>
        <v/>
      </c>
    </row>
    <row r="396" spans="1:10" x14ac:dyDescent="0.25">
      <c r="A396" s="1" t="str">
        <f ca="1">IF(A395="ID",1,IF(ISBLANK(B396),"",MAX(A$2:A395)+1))</f>
        <v/>
      </c>
      <c r="I396" s="2" t="str">
        <f ca="1">IF(ISNUMBER(A396),
IF(COUNTIFS(Equipar!B:B,6,Equipar!AC:AC,A396),"Equipada",
IF(
 OR(COUNTIFS(Equipar!B:B,6,Equipar!C:C,A396)
 +COUNTIFS(Equipar!B:B,6,Equipar!D:D,A396)
+COUNTIFS(Equipar!B:B,6,Equipar!E:E,A396)
+COUNTIFS(Equipar!B:B,6,Equipar!F:F,A396)
&gt;0,COUNTIF('Set recomendado'!B:B,C396)=0),
"Bloqueada",
"Desechable")),""
)</f>
        <v/>
      </c>
      <c r="J396" t="str" cm="1">
        <f t="array" aca="1" ref="J396" ca="1">IF(ISNUMBER(A396),IFERROR(_xlfn._xlws.FILTER(Equipar!A:A,(Equipar!B:B=6)*(Equipar!AC:AC=A396)),""),"")</f>
        <v/>
      </c>
    </row>
    <row r="397" spans="1:10" x14ac:dyDescent="0.25">
      <c r="A397" s="1" t="str">
        <f ca="1">IF(A396="ID",1,IF(ISBLANK(B397),"",MAX(A$2:A396)+1))</f>
        <v/>
      </c>
      <c r="I397" s="2" t="str">
        <f ca="1">IF(ISNUMBER(A397),
IF(COUNTIFS(Equipar!B:B,6,Equipar!AC:AC,A397),"Equipada",
IF(
 OR(COUNTIFS(Equipar!B:B,6,Equipar!C:C,A397)
 +COUNTIFS(Equipar!B:B,6,Equipar!D:D,A397)
+COUNTIFS(Equipar!B:B,6,Equipar!E:E,A397)
+COUNTIFS(Equipar!B:B,6,Equipar!F:F,A397)
&gt;0,COUNTIF('Set recomendado'!B:B,C397)=0),
"Bloqueada",
"Desechable")),""
)</f>
        <v/>
      </c>
      <c r="J397" t="str" cm="1">
        <f t="array" aca="1" ref="J397" ca="1">IF(ISNUMBER(A397),IFERROR(_xlfn._xlws.FILTER(Equipar!A:A,(Equipar!B:B=6)*(Equipar!AC:AC=A397)),""),"")</f>
        <v/>
      </c>
    </row>
    <row r="398" spans="1:10" x14ac:dyDescent="0.25">
      <c r="A398" s="1" t="str">
        <f ca="1">IF(A397="ID",1,IF(ISBLANK(B398),"",MAX(A$2:A397)+1))</f>
        <v/>
      </c>
      <c r="I398" s="2" t="str">
        <f ca="1">IF(ISNUMBER(A398),
IF(COUNTIFS(Equipar!B:B,6,Equipar!AC:AC,A398),"Equipada",
IF(
 OR(COUNTIFS(Equipar!B:B,6,Equipar!C:C,A398)
 +COUNTIFS(Equipar!B:B,6,Equipar!D:D,A398)
+COUNTIFS(Equipar!B:B,6,Equipar!E:E,A398)
+COUNTIFS(Equipar!B:B,6,Equipar!F:F,A398)
&gt;0,COUNTIF('Set recomendado'!B:B,C398)=0),
"Bloqueada",
"Desechable")),""
)</f>
        <v/>
      </c>
      <c r="J398" t="str" cm="1">
        <f t="array" aca="1" ref="J398" ca="1">IF(ISNUMBER(A398),IFERROR(_xlfn._xlws.FILTER(Equipar!A:A,(Equipar!B:B=6)*(Equipar!AC:AC=A398)),""),"")</f>
        <v/>
      </c>
    </row>
    <row r="399" spans="1:10" x14ac:dyDescent="0.25">
      <c r="A399" s="1" t="str">
        <f ca="1">IF(A398="ID",1,IF(ISBLANK(B399),"",MAX(A$2:A398)+1))</f>
        <v/>
      </c>
      <c r="I399" s="2" t="str">
        <f ca="1">IF(ISNUMBER(A399),
IF(COUNTIFS(Equipar!B:B,6,Equipar!AC:AC,A399),"Equipada",
IF(
 OR(COUNTIFS(Equipar!B:B,6,Equipar!C:C,A399)
 +COUNTIFS(Equipar!B:B,6,Equipar!D:D,A399)
+COUNTIFS(Equipar!B:B,6,Equipar!E:E,A399)
+COUNTIFS(Equipar!B:B,6,Equipar!F:F,A399)
&gt;0,COUNTIF('Set recomendado'!B:B,C399)=0),
"Bloqueada",
"Desechable")),""
)</f>
        <v/>
      </c>
      <c r="J399" t="str" cm="1">
        <f t="array" aca="1" ref="J399" ca="1">IF(ISNUMBER(A399),IFERROR(_xlfn._xlws.FILTER(Equipar!A:A,(Equipar!B:B=6)*(Equipar!AC:AC=A399)),""),"")</f>
        <v/>
      </c>
    </row>
    <row r="400" spans="1:10" x14ac:dyDescent="0.25">
      <c r="A400" s="1" t="str">
        <f ca="1">IF(A399="ID",1,IF(ISBLANK(B400),"",MAX(A$2:A399)+1))</f>
        <v/>
      </c>
      <c r="I400" s="2" t="str">
        <f ca="1">IF(ISNUMBER(A400),
IF(COUNTIFS(Equipar!B:B,6,Equipar!AC:AC,A400),"Equipada",
IF(
 OR(COUNTIFS(Equipar!B:B,6,Equipar!C:C,A400)
 +COUNTIFS(Equipar!B:B,6,Equipar!D:D,A400)
+COUNTIFS(Equipar!B:B,6,Equipar!E:E,A400)
+COUNTIFS(Equipar!B:B,6,Equipar!F:F,A400)
&gt;0,COUNTIF('Set recomendado'!B:B,C400)=0),
"Bloqueada",
"Desechable")),""
)</f>
        <v/>
      </c>
      <c r="J400" t="str" cm="1">
        <f t="array" aca="1" ref="J400" ca="1">IF(ISNUMBER(A400),IFERROR(_xlfn._xlws.FILTER(Equipar!A:A,(Equipar!B:B=6)*(Equipar!AC:AC=A400)),""),"")</f>
        <v/>
      </c>
    </row>
    <row r="401" spans="1:10" x14ac:dyDescent="0.25">
      <c r="A401" s="1" t="str">
        <f ca="1">IF(A400="ID",1,IF(ISBLANK(B401),"",MAX(A$2:A400)+1))</f>
        <v/>
      </c>
      <c r="I401" s="2" t="str">
        <f ca="1">IF(ISNUMBER(A401),
IF(COUNTIFS(Equipar!B:B,6,Equipar!AC:AC,A401),"Equipada",
IF(
 OR(COUNTIFS(Equipar!B:B,6,Equipar!C:C,A401)
 +COUNTIFS(Equipar!B:B,6,Equipar!D:D,A401)
+COUNTIFS(Equipar!B:B,6,Equipar!E:E,A401)
+COUNTIFS(Equipar!B:B,6,Equipar!F:F,A401)
&gt;0,COUNTIF('Set recomendado'!B:B,C401)=0),
"Bloqueada",
"Desechable")),""
)</f>
        <v/>
      </c>
      <c r="J401" t="str" cm="1">
        <f t="array" aca="1" ref="J401" ca="1">IF(ISNUMBER(A401),IFERROR(_xlfn._xlws.FILTER(Equipar!A:A,(Equipar!B:B=6)*(Equipar!AC:AC=A401)),""),"")</f>
        <v/>
      </c>
    </row>
    <row r="402" spans="1:10" x14ac:dyDescent="0.25">
      <c r="A402" s="1" t="str">
        <f ca="1">IF(A401="ID",1,IF(ISBLANK(B402),"",MAX(A$2:A401)+1))</f>
        <v/>
      </c>
      <c r="I402" s="2" t="str">
        <f ca="1">IF(ISNUMBER(A402),
IF(COUNTIFS(Equipar!B:B,6,Equipar!AC:AC,A402),"Equipada",
IF(
 OR(COUNTIFS(Equipar!B:B,6,Equipar!C:C,A402)
 +COUNTIFS(Equipar!B:B,6,Equipar!D:D,A402)
+COUNTIFS(Equipar!B:B,6,Equipar!E:E,A402)
+COUNTIFS(Equipar!B:B,6,Equipar!F:F,A402)
&gt;0,COUNTIF('Set recomendado'!B:B,C402)=0),
"Bloqueada",
"Desechable")),""
)</f>
        <v/>
      </c>
      <c r="J402" t="str" cm="1">
        <f t="array" aca="1" ref="J402" ca="1">IF(ISNUMBER(A402),IFERROR(_xlfn._xlws.FILTER(Equipar!A:A,(Equipar!B:B=6)*(Equipar!AC:AC=A402)),""),"")</f>
        <v/>
      </c>
    </row>
    <row r="403" spans="1:10" x14ac:dyDescent="0.25">
      <c r="A403" s="1" t="str">
        <f ca="1">IF(A402="ID",1,IF(ISBLANK(B403),"",MAX(A$2:A402)+1))</f>
        <v/>
      </c>
      <c r="I403" s="2" t="str">
        <f ca="1">IF(ISNUMBER(A403),
IF(COUNTIFS(Equipar!B:B,6,Equipar!AC:AC,A403),"Equipada",
IF(
 OR(COUNTIFS(Equipar!B:B,6,Equipar!C:C,A403)
 +COUNTIFS(Equipar!B:B,6,Equipar!D:D,A403)
+COUNTIFS(Equipar!B:B,6,Equipar!E:E,A403)
+COUNTIFS(Equipar!B:B,6,Equipar!F:F,A403)
&gt;0,COUNTIF('Set recomendado'!B:B,C403)=0),
"Bloqueada",
"Desechable")),""
)</f>
        <v/>
      </c>
      <c r="J403" t="str" cm="1">
        <f t="array" aca="1" ref="J403" ca="1">IF(ISNUMBER(A403),IFERROR(_xlfn._xlws.FILTER(Equipar!A:A,(Equipar!B:B=6)*(Equipar!AC:AC=A403)),""),"")</f>
        <v/>
      </c>
    </row>
    <row r="404" spans="1:10" x14ac:dyDescent="0.25">
      <c r="A404" s="1" t="str">
        <f ca="1">IF(A403="ID",1,IF(ISBLANK(B404),"",MAX(A$2:A403)+1))</f>
        <v/>
      </c>
      <c r="I404" s="2" t="str">
        <f ca="1">IF(ISNUMBER(A404),
IF(COUNTIFS(Equipar!B:B,6,Equipar!AC:AC,A404),"Equipada",
IF(
 OR(COUNTIFS(Equipar!B:B,6,Equipar!C:C,A404)
 +COUNTIFS(Equipar!B:B,6,Equipar!D:D,A404)
+COUNTIFS(Equipar!B:B,6,Equipar!E:E,A404)
+COUNTIFS(Equipar!B:B,6,Equipar!F:F,A404)
&gt;0,COUNTIF('Set recomendado'!B:B,C404)=0),
"Bloqueada",
"Desechable")),""
)</f>
        <v/>
      </c>
      <c r="J404" t="str" cm="1">
        <f t="array" aca="1" ref="J404" ca="1">IF(ISNUMBER(A404),IFERROR(_xlfn._xlws.FILTER(Equipar!A:A,(Equipar!B:B=6)*(Equipar!AC:AC=A404)),""),"")</f>
        <v/>
      </c>
    </row>
    <row r="405" spans="1:10" x14ac:dyDescent="0.25">
      <c r="A405" s="1" t="str">
        <f ca="1">IF(A404="ID",1,IF(ISBLANK(B405),"",MAX(A$2:A404)+1))</f>
        <v/>
      </c>
      <c r="I405" s="2" t="str">
        <f ca="1">IF(ISNUMBER(A405),
IF(COUNTIFS(Equipar!B:B,6,Equipar!AC:AC,A405),"Equipada",
IF(
 OR(COUNTIFS(Equipar!B:B,6,Equipar!C:C,A405)
 +COUNTIFS(Equipar!B:B,6,Equipar!D:D,A405)
+COUNTIFS(Equipar!B:B,6,Equipar!E:E,A405)
+COUNTIFS(Equipar!B:B,6,Equipar!F:F,A405)
&gt;0,COUNTIF('Set recomendado'!B:B,C405)=0),
"Bloqueada",
"Desechable")),""
)</f>
        <v/>
      </c>
      <c r="J405" t="str" cm="1">
        <f t="array" aca="1" ref="J405" ca="1">IF(ISNUMBER(A405),IFERROR(_xlfn._xlws.FILTER(Equipar!A:A,(Equipar!B:B=6)*(Equipar!AC:AC=A405)),""),"")</f>
        <v/>
      </c>
    </row>
    <row r="406" spans="1:10" x14ac:dyDescent="0.25">
      <c r="A406" s="1" t="str">
        <f ca="1">IF(A405="ID",1,IF(ISBLANK(B406),"",MAX(A$2:A405)+1))</f>
        <v/>
      </c>
      <c r="I406" s="2" t="str">
        <f ca="1">IF(ISNUMBER(A406),
IF(COUNTIFS(Equipar!B:B,6,Equipar!AC:AC,A406),"Equipada",
IF(
 OR(COUNTIFS(Equipar!B:B,6,Equipar!C:C,A406)
 +COUNTIFS(Equipar!B:B,6,Equipar!D:D,A406)
+COUNTIFS(Equipar!B:B,6,Equipar!E:E,A406)
+COUNTIFS(Equipar!B:B,6,Equipar!F:F,A406)
&gt;0,COUNTIF('Set recomendado'!B:B,C406)=0),
"Bloqueada",
"Desechable")),""
)</f>
        <v/>
      </c>
      <c r="J406" t="str" cm="1">
        <f t="array" aca="1" ref="J406" ca="1">IF(ISNUMBER(A406),IFERROR(_xlfn._xlws.FILTER(Equipar!A:A,(Equipar!B:B=6)*(Equipar!AC:AC=A406)),""),"")</f>
        <v/>
      </c>
    </row>
    <row r="407" spans="1:10" x14ac:dyDescent="0.25">
      <c r="A407" s="1" t="str">
        <f ca="1">IF(A406="ID",1,IF(ISBLANK(B407),"",MAX(A$2:A406)+1))</f>
        <v/>
      </c>
      <c r="I407" s="2" t="str">
        <f ca="1">IF(ISNUMBER(A407),
IF(COUNTIFS(Equipar!B:B,6,Equipar!AC:AC,A407),"Equipada",
IF(
 OR(COUNTIFS(Equipar!B:B,6,Equipar!C:C,A407)
 +COUNTIFS(Equipar!B:B,6,Equipar!D:D,A407)
+COUNTIFS(Equipar!B:B,6,Equipar!E:E,A407)
+COUNTIFS(Equipar!B:B,6,Equipar!F:F,A407)
&gt;0,COUNTIF('Set recomendado'!B:B,C407)=0),
"Bloqueada",
"Desechable")),""
)</f>
        <v/>
      </c>
      <c r="J407" t="str" cm="1">
        <f t="array" aca="1" ref="J407" ca="1">IF(ISNUMBER(A407),IFERROR(_xlfn._xlws.FILTER(Equipar!A:A,(Equipar!B:B=6)*(Equipar!AC:AC=A407)),""),"")</f>
        <v/>
      </c>
    </row>
    <row r="408" spans="1:10" x14ac:dyDescent="0.25">
      <c r="A408" s="1" t="str">
        <f ca="1">IF(A407="ID",1,IF(ISBLANK(B408),"",MAX(A$2:A407)+1))</f>
        <v/>
      </c>
      <c r="I408" s="2" t="str">
        <f ca="1">IF(ISNUMBER(A408),
IF(COUNTIFS(Equipar!B:B,6,Equipar!AC:AC,A408),"Equipada",
IF(
 OR(COUNTIFS(Equipar!B:B,6,Equipar!C:C,A408)
 +COUNTIFS(Equipar!B:B,6,Equipar!D:D,A408)
+COUNTIFS(Equipar!B:B,6,Equipar!E:E,A408)
+COUNTIFS(Equipar!B:B,6,Equipar!F:F,A408)
&gt;0,COUNTIF('Set recomendado'!B:B,C408)=0),
"Bloqueada",
"Desechable")),""
)</f>
        <v/>
      </c>
      <c r="J408" t="str" cm="1">
        <f t="array" aca="1" ref="J408" ca="1">IF(ISNUMBER(A408),IFERROR(_xlfn._xlws.FILTER(Equipar!A:A,(Equipar!B:B=6)*(Equipar!AC:AC=A408)),""),"")</f>
        <v/>
      </c>
    </row>
    <row r="409" spans="1:10" x14ac:dyDescent="0.25">
      <c r="A409" s="1" t="str">
        <f ca="1">IF(A408="ID",1,IF(ISBLANK(B409),"",MAX(A$2:A408)+1))</f>
        <v/>
      </c>
      <c r="I409" s="2" t="str">
        <f ca="1">IF(ISNUMBER(A409),
IF(COUNTIFS(Equipar!B:B,6,Equipar!AC:AC,A409),"Equipada",
IF(
 OR(COUNTIFS(Equipar!B:B,6,Equipar!C:C,A409)
 +COUNTIFS(Equipar!B:B,6,Equipar!D:D,A409)
+COUNTIFS(Equipar!B:B,6,Equipar!E:E,A409)
+COUNTIFS(Equipar!B:B,6,Equipar!F:F,A409)
&gt;0,COUNTIF('Set recomendado'!B:B,C409)=0),
"Bloqueada",
"Desechable")),""
)</f>
        <v/>
      </c>
      <c r="J409" t="str" cm="1">
        <f t="array" aca="1" ref="J409" ca="1">IF(ISNUMBER(A409),IFERROR(_xlfn._xlws.FILTER(Equipar!A:A,(Equipar!B:B=6)*(Equipar!AC:AC=A409)),""),"")</f>
        <v/>
      </c>
    </row>
    <row r="410" spans="1:10" x14ac:dyDescent="0.25">
      <c r="A410" s="1" t="str">
        <f ca="1">IF(A409="ID",1,IF(ISBLANK(B410),"",MAX(A$2:A409)+1))</f>
        <v/>
      </c>
      <c r="I410" s="2" t="str">
        <f ca="1">IF(ISNUMBER(A410),
IF(COUNTIFS(Equipar!B:B,6,Equipar!AC:AC,A410),"Equipada",
IF(
 OR(COUNTIFS(Equipar!B:B,6,Equipar!C:C,A410)
 +COUNTIFS(Equipar!B:B,6,Equipar!D:D,A410)
+COUNTIFS(Equipar!B:B,6,Equipar!E:E,A410)
+COUNTIFS(Equipar!B:B,6,Equipar!F:F,A410)
&gt;0,COUNTIF('Set recomendado'!B:B,C410)=0),
"Bloqueada",
"Desechable")),""
)</f>
        <v/>
      </c>
      <c r="J410" t="str" cm="1">
        <f t="array" aca="1" ref="J410" ca="1">IF(ISNUMBER(A410),IFERROR(_xlfn._xlws.FILTER(Equipar!A:A,(Equipar!B:B=6)*(Equipar!AC:AC=A410)),""),"")</f>
        <v/>
      </c>
    </row>
    <row r="411" spans="1:10" x14ac:dyDescent="0.25">
      <c r="A411" s="1" t="str">
        <f ca="1">IF(A410="ID",1,IF(ISBLANK(B411),"",MAX(A$2:A410)+1))</f>
        <v/>
      </c>
      <c r="I411" s="2" t="str">
        <f ca="1">IF(ISNUMBER(A411),
IF(COUNTIFS(Equipar!B:B,6,Equipar!AC:AC,A411),"Equipada",
IF(
 OR(COUNTIFS(Equipar!B:B,6,Equipar!C:C,A411)
 +COUNTIFS(Equipar!B:B,6,Equipar!D:D,A411)
+COUNTIFS(Equipar!B:B,6,Equipar!E:E,A411)
+COUNTIFS(Equipar!B:B,6,Equipar!F:F,A411)
&gt;0,COUNTIF('Set recomendado'!B:B,C411)=0),
"Bloqueada",
"Desechable")),""
)</f>
        <v/>
      </c>
      <c r="J411" t="str" cm="1">
        <f t="array" aca="1" ref="J411" ca="1">IF(ISNUMBER(A411),IFERROR(_xlfn._xlws.FILTER(Equipar!A:A,(Equipar!B:B=6)*(Equipar!AC:AC=A411)),""),"")</f>
        <v/>
      </c>
    </row>
    <row r="412" spans="1:10" x14ac:dyDescent="0.25">
      <c r="A412" s="1" t="str">
        <f ca="1">IF(A411="ID",1,IF(ISBLANK(B412),"",MAX(A$2:A411)+1))</f>
        <v/>
      </c>
      <c r="I412" s="2" t="str">
        <f ca="1">IF(ISNUMBER(A412),
IF(COUNTIFS(Equipar!B:B,6,Equipar!AC:AC,A412),"Equipada",
IF(
 OR(COUNTIFS(Equipar!B:B,6,Equipar!C:C,A412)
 +COUNTIFS(Equipar!B:B,6,Equipar!D:D,A412)
+COUNTIFS(Equipar!B:B,6,Equipar!E:E,A412)
+COUNTIFS(Equipar!B:B,6,Equipar!F:F,A412)
&gt;0,COUNTIF('Set recomendado'!B:B,C412)=0),
"Bloqueada",
"Desechable")),""
)</f>
        <v/>
      </c>
      <c r="J412" t="str" cm="1">
        <f t="array" aca="1" ref="J412" ca="1">IF(ISNUMBER(A412),IFERROR(_xlfn._xlws.FILTER(Equipar!A:A,(Equipar!B:B=6)*(Equipar!AC:AC=A412)),""),"")</f>
        <v/>
      </c>
    </row>
    <row r="413" spans="1:10" x14ac:dyDescent="0.25">
      <c r="A413" s="1" t="str">
        <f ca="1">IF(A412="ID",1,IF(ISBLANK(B413),"",MAX(A$2:A412)+1))</f>
        <v/>
      </c>
      <c r="I413" s="2" t="str">
        <f ca="1">IF(ISNUMBER(A413),
IF(COUNTIFS(Equipar!B:B,6,Equipar!AC:AC,A413),"Equipada",
IF(
 OR(COUNTIFS(Equipar!B:B,6,Equipar!C:C,A413)
 +COUNTIFS(Equipar!B:B,6,Equipar!D:D,A413)
+COUNTIFS(Equipar!B:B,6,Equipar!E:E,A413)
+COUNTIFS(Equipar!B:B,6,Equipar!F:F,A413)
&gt;0,COUNTIF('Set recomendado'!B:B,C413)=0),
"Bloqueada",
"Desechable")),""
)</f>
        <v/>
      </c>
      <c r="J413" t="str" cm="1">
        <f t="array" aca="1" ref="J413" ca="1">IF(ISNUMBER(A413),IFERROR(_xlfn._xlws.FILTER(Equipar!A:A,(Equipar!B:B=6)*(Equipar!AC:AC=A413)),""),"")</f>
        <v/>
      </c>
    </row>
    <row r="414" spans="1:10" x14ac:dyDescent="0.25">
      <c r="A414" s="1" t="str">
        <f ca="1">IF(A413="ID",1,IF(ISBLANK(B414),"",MAX(A$2:A413)+1))</f>
        <v/>
      </c>
      <c r="I414" s="2" t="str">
        <f ca="1">IF(ISNUMBER(A414),
IF(COUNTIFS(Equipar!B:B,6,Equipar!AC:AC,A414),"Equipada",
IF(
 OR(COUNTIFS(Equipar!B:B,6,Equipar!C:C,A414)
 +COUNTIFS(Equipar!B:B,6,Equipar!D:D,A414)
+COUNTIFS(Equipar!B:B,6,Equipar!E:E,A414)
+COUNTIFS(Equipar!B:B,6,Equipar!F:F,A414)
&gt;0,COUNTIF('Set recomendado'!B:B,C414)=0),
"Bloqueada",
"Desechable")),""
)</f>
        <v/>
      </c>
      <c r="J414" t="str" cm="1">
        <f t="array" aca="1" ref="J414" ca="1">IF(ISNUMBER(A414),IFERROR(_xlfn._xlws.FILTER(Equipar!A:A,(Equipar!B:B=6)*(Equipar!AC:AC=A414)),""),"")</f>
        <v/>
      </c>
    </row>
    <row r="415" spans="1:10" x14ac:dyDescent="0.25">
      <c r="A415" s="1" t="str">
        <f ca="1">IF(A414="ID",1,IF(ISBLANK(B415),"",MAX(A$2:A414)+1))</f>
        <v/>
      </c>
      <c r="I415" s="2" t="str">
        <f ca="1">IF(ISNUMBER(A415),
IF(COUNTIFS(Equipar!B:B,6,Equipar!AC:AC,A415),"Equipada",
IF(
 OR(COUNTIFS(Equipar!B:B,6,Equipar!C:C,A415)
 +COUNTIFS(Equipar!B:B,6,Equipar!D:D,A415)
+COUNTIFS(Equipar!B:B,6,Equipar!E:E,A415)
+COUNTIFS(Equipar!B:B,6,Equipar!F:F,A415)
&gt;0,COUNTIF('Set recomendado'!B:B,C415)=0),
"Bloqueada",
"Desechable")),""
)</f>
        <v/>
      </c>
      <c r="J415" t="str" cm="1">
        <f t="array" aca="1" ref="J415" ca="1">IF(ISNUMBER(A415),IFERROR(_xlfn._xlws.FILTER(Equipar!A:A,(Equipar!B:B=6)*(Equipar!AC:AC=A415)),""),"")</f>
        <v/>
      </c>
    </row>
    <row r="416" spans="1:10" x14ac:dyDescent="0.25">
      <c r="A416" s="1" t="str">
        <f ca="1">IF(A415="ID",1,IF(ISBLANK(B416),"",MAX(A$2:A415)+1))</f>
        <v/>
      </c>
      <c r="I416" s="2" t="str">
        <f ca="1">IF(ISNUMBER(A416),
IF(COUNTIFS(Equipar!B:B,6,Equipar!AC:AC,A416),"Equipada",
IF(
 OR(COUNTIFS(Equipar!B:B,6,Equipar!C:C,A416)
 +COUNTIFS(Equipar!B:B,6,Equipar!D:D,A416)
+COUNTIFS(Equipar!B:B,6,Equipar!E:E,A416)
+COUNTIFS(Equipar!B:B,6,Equipar!F:F,A416)
&gt;0,COUNTIF('Set recomendado'!B:B,C416)=0),
"Bloqueada",
"Desechable")),""
)</f>
        <v/>
      </c>
      <c r="J416" t="str" cm="1">
        <f t="array" aca="1" ref="J416" ca="1">IF(ISNUMBER(A416),IFERROR(_xlfn._xlws.FILTER(Equipar!A:A,(Equipar!B:B=6)*(Equipar!AC:AC=A416)),""),"")</f>
        <v/>
      </c>
    </row>
    <row r="417" spans="1:10" x14ac:dyDescent="0.25">
      <c r="A417" s="1" t="str">
        <f ca="1">IF(A416="ID",1,IF(ISBLANK(B417),"",MAX(A$2:A416)+1))</f>
        <v/>
      </c>
      <c r="I417" s="2" t="str">
        <f ca="1">IF(ISNUMBER(A417),
IF(COUNTIFS(Equipar!B:B,6,Equipar!AC:AC,A417),"Equipada",
IF(
 OR(COUNTIFS(Equipar!B:B,6,Equipar!C:C,A417)
 +COUNTIFS(Equipar!B:B,6,Equipar!D:D,A417)
+COUNTIFS(Equipar!B:B,6,Equipar!E:E,A417)
+COUNTIFS(Equipar!B:B,6,Equipar!F:F,A417)
&gt;0,COUNTIF('Set recomendado'!B:B,C417)=0),
"Bloqueada",
"Desechable")),""
)</f>
        <v/>
      </c>
      <c r="J417" t="str" cm="1">
        <f t="array" aca="1" ref="J417" ca="1">IF(ISNUMBER(A417),IFERROR(_xlfn._xlws.FILTER(Equipar!A:A,(Equipar!B:B=6)*(Equipar!AC:AC=A417)),""),"")</f>
        <v/>
      </c>
    </row>
    <row r="418" spans="1:10" x14ac:dyDescent="0.25">
      <c r="A418" s="1" t="str">
        <f ca="1">IF(A417="ID",1,IF(ISBLANK(B418),"",MAX(A$2:A417)+1))</f>
        <v/>
      </c>
      <c r="I418" s="2" t="str">
        <f ca="1">IF(ISNUMBER(A418),
IF(COUNTIFS(Equipar!B:B,6,Equipar!AC:AC,A418),"Equipada",
IF(
 OR(COUNTIFS(Equipar!B:B,6,Equipar!C:C,A418)
 +COUNTIFS(Equipar!B:B,6,Equipar!D:D,A418)
+COUNTIFS(Equipar!B:B,6,Equipar!E:E,A418)
+COUNTIFS(Equipar!B:B,6,Equipar!F:F,A418)
&gt;0,COUNTIF('Set recomendado'!B:B,C418)=0),
"Bloqueada",
"Desechable")),""
)</f>
        <v/>
      </c>
      <c r="J418" t="str" cm="1">
        <f t="array" aca="1" ref="J418" ca="1">IF(ISNUMBER(A418),IFERROR(_xlfn._xlws.FILTER(Equipar!A:A,(Equipar!B:B=6)*(Equipar!AC:AC=A418)),""),"")</f>
        <v/>
      </c>
    </row>
    <row r="419" spans="1:10" x14ac:dyDescent="0.25">
      <c r="A419" s="1" t="str">
        <f ca="1">IF(A418="ID",1,IF(ISBLANK(B419),"",MAX(A$2:A418)+1))</f>
        <v/>
      </c>
      <c r="I419" s="2" t="str">
        <f ca="1">IF(ISNUMBER(A419),
IF(COUNTIFS(Equipar!B:B,6,Equipar!AC:AC,A419),"Equipada",
IF(
 OR(COUNTIFS(Equipar!B:B,6,Equipar!C:C,A419)
 +COUNTIFS(Equipar!B:B,6,Equipar!D:D,A419)
+COUNTIFS(Equipar!B:B,6,Equipar!E:E,A419)
+COUNTIFS(Equipar!B:B,6,Equipar!F:F,A419)
&gt;0,COUNTIF('Set recomendado'!B:B,C419)=0),
"Bloqueada",
"Desechable")),""
)</f>
        <v/>
      </c>
      <c r="J419" t="str" cm="1">
        <f t="array" aca="1" ref="J419" ca="1">IF(ISNUMBER(A419),IFERROR(_xlfn._xlws.FILTER(Equipar!A:A,(Equipar!B:B=6)*(Equipar!AC:AC=A419)),""),"")</f>
        <v/>
      </c>
    </row>
    <row r="420" spans="1:10" x14ac:dyDescent="0.25">
      <c r="A420" s="1" t="str">
        <f ca="1">IF(A419="ID",1,IF(ISBLANK(B420),"",MAX(A$2:A419)+1))</f>
        <v/>
      </c>
      <c r="I420" s="2" t="str">
        <f ca="1">IF(ISNUMBER(A420),
IF(COUNTIFS(Equipar!B:B,6,Equipar!AC:AC,A420),"Equipada",
IF(
 OR(COUNTIFS(Equipar!B:B,6,Equipar!C:C,A420)
 +COUNTIFS(Equipar!B:B,6,Equipar!D:D,A420)
+COUNTIFS(Equipar!B:B,6,Equipar!E:E,A420)
+COUNTIFS(Equipar!B:B,6,Equipar!F:F,A420)
&gt;0,COUNTIF('Set recomendado'!B:B,C420)=0),
"Bloqueada",
"Desechable")),""
)</f>
        <v/>
      </c>
      <c r="J420" t="str" cm="1">
        <f t="array" aca="1" ref="J420" ca="1">IF(ISNUMBER(A420),IFERROR(_xlfn._xlws.FILTER(Equipar!A:A,(Equipar!B:B=6)*(Equipar!AC:AC=A420)),""),"")</f>
        <v/>
      </c>
    </row>
    <row r="421" spans="1:10" x14ac:dyDescent="0.25">
      <c r="A421" s="1" t="str">
        <f ca="1">IF(A420="ID",1,IF(ISBLANK(B421),"",MAX(A$2:A420)+1))</f>
        <v/>
      </c>
      <c r="I421" s="2" t="str">
        <f ca="1">IF(ISNUMBER(A421),
IF(COUNTIFS(Equipar!B:B,6,Equipar!AC:AC,A421),"Equipada",
IF(
 OR(COUNTIFS(Equipar!B:B,6,Equipar!C:C,A421)
 +COUNTIFS(Equipar!B:B,6,Equipar!D:D,A421)
+COUNTIFS(Equipar!B:B,6,Equipar!E:E,A421)
+COUNTIFS(Equipar!B:B,6,Equipar!F:F,A421)
&gt;0,COUNTIF('Set recomendado'!B:B,C421)=0),
"Bloqueada",
"Desechable")),""
)</f>
        <v/>
      </c>
      <c r="J421" t="str" cm="1">
        <f t="array" aca="1" ref="J421" ca="1">IF(ISNUMBER(A421),IFERROR(_xlfn._xlws.FILTER(Equipar!A:A,(Equipar!B:B=6)*(Equipar!AC:AC=A421)),""),"")</f>
        <v/>
      </c>
    </row>
    <row r="422" spans="1:10" x14ac:dyDescent="0.25">
      <c r="A422" s="1" t="str">
        <f ca="1">IF(A421="ID",1,IF(ISBLANK(B422),"",MAX(A$2:A421)+1))</f>
        <v/>
      </c>
      <c r="I422" s="2" t="str">
        <f ca="1">IF(ISNUMBER(A422),
IF(COUNTIFS(Equipar!B:B,6,Equipar!AC:AC,A422),"Equipada",
IF(
 OR(COUNTIFS(Equipar!B:B,6,Equipar!C:C,A422)
 +COUNTIFS(Equipar!B:B,6,Equipar!D:D,A422)
+COUNTIFS(Equipar!B:B,6,Equipar!E:E,A422)
+COUNTIFS(Equipar!B:B,6,Equipar!F:F,A422)
&gt;0,COUNTIF('Set recomendado'!B:B,C422)=0),
"Bloqueada",
"Desechable")),""
)</f>
        <v/>
      </c>
      <c r="J422" t="str" cm="1">
        <f t="array" aca="1" ref="J422" ca="1">IF(ISNUMBER(A422),IFERROR(_xlfn._xlws.FILTER(Equipar!A:A,(Equipar!B:B=6)*(Equipar!AC:AC=A422)),""),"")</f>
        <v/>
      </c>
    </row>
    <row r="423" spans="1:10" x14ac:dyDescent="0.25">
      <c r="A423" s="1" t="str">
        <f ca="1">IF(A422="ID",1,IF(ISBLANK(B423),"",MAX(A$2:A422)+1))</f>
        <v/>
      </c>
      <c r="I423" s="2" t="str">
        <f ca="1">IF(ISNUMBER(A423),
IF(COUNTIFS(Equipar!B:B,6,Equipar!AC:AC,A423),"Equipada",
IF(
 OR(COUNTIFS(Equipar!B:B,6,Equipar!C:C,A423)
 +COUNTIFS(Equipar!B:B,6,Equipar!D:D,A423)
+COUNTIFS(Equipar!B:B,6,Equipar!E:E,A423)
+COUNTIFS(Equipar!B:B,6,Equipar!F:F,A423)
&gt;0,COUNTIF('Set recomendado'!B:B,C423)=0),
"Bloqueada",
"Desechable")),""
)</f>
        <v/>
      </c>
      <c r="J423" t="str" cm="1">
        <f t="array" aca="1" ref="J423" ca="1">IF(ISNUMBER(A423),IFERROR(_xlfn._xlws.FILTER(Equipar!A:A,(Equipar!B:B=6)*(Equipar!AC:AC=A423)),""),"")</f>
        <v/>
      </c>
    </row>
    <row r="424" spans="1:10" x14ac:dyDescent="0.25">
      <c r="A424" s="1" t="str">
        <f ca="1">IF(A423="ID",1,IF(ISBLANK(B424),"",MAX(A$2:A423)+1))</f>
        <v/>
      </c>
      <c r="I424" s="2" t="str">
        <f ca="1">IF(ISNUMBER(A424),
IF(COUNTIFS(Equipar!B:B,6,Equipar!AC:AC,A424),"Equipada",
IF(
 OR(COUNTIFS(Equipar!B:B,6,Equipar!C:C,A424)
 +COUNTIFS(Equipar!B:B,6,Equipar!D:D,A424)
+COUNTIFS(Equipar!B:B,6,Equipar!E:E,A424)
+COUNTIFS(Equipar!B:B,6,Equipar!F:F,A424)
&gt;0,COUNTIF('Set recomendado'!B:B,C424)=0),
"Bloqueada",
"Desechable")),""
)</f>
        <v/>
      </c>
      <c r="J424" t="str" cm="1">
        <f t="array" aca="1" ref="J424" ca="1">IF(ISNUMBER(A424),IFERROR(_xlfn._xlws.FILTER(Equipar!A:A,(Equipar!B:B=6)*(Equipar!AC:AC=A424)),""),"")</f>
        <v/>
      </c>
    </row>
    <row r="425" spans="1:10" x14ac:dyDescent="0.25">
      <c r="A425" s="1" t="str">
        <f ca="1">IF(A424="ID",1,IF(ISBLANK(B425),"",MAX(A$2:A424)+1))</f>
        <v/>
      </c>
      <c r="I425" s="2" t="str">
        <f ca="1">IF(ISNUMBER(A425),
IF(COUNTIFS(Equipar!B:B,6,Equipar!AC:AC,A425),"Equipada",
IF(
 OR(COUNTIFS(Equipar!B:B,6,Equipar!C:C,A425)
 +COUNTIFS(Equipar!B:B,6,Equipar!D:D,A425)
+COUNTIFS(Equipar!B:B,6,Equipar!E:E,A425)
+COUNTIFS(Equipar!B:B,6,Equipar!F:F,A425)
&gt;0,COUNTIF('Set recomendado'!B:B,C425)=0),
"Bloqueada",
"Desechable")),""
)</f>
        <v/>
      </c>
      <c r="J425" t="str" cm="1">
        <f t="array" aca="1" ref="J425" ca="1">IF(ISNUMBER(A425),IFERROR(_xlfn._xlws.FILTER(Equipar!A:A,(Equipar!B:B=6)*(Equipar!AC:AC=A425)),""),"")</f>
        <v/>
      </c>
    </row>
    <row r="426" spans="1:10" x14ac:dyDescent="0.25">
      <c r="A426" s="1" t="str">
        <f ca="1">IF(A425="ID",1,IF(ISBLANK(B426),"",MAX(A$2:A425)+1))</f>
        <v/>
      </c>
      <c r="I426" s="2" t="str">
        <f ca="1">IF(ISNUMBER(A426),
IF(COUNTIFS(Equipar!B:B,6,Equipar!AC:AC,A426),"Equipada",
IF(
 OR(COUNTIFS(Equipar!B:B,6,Equipar!C:C,A426)
 +COUNTIFS(Equipar!B:B,6,Equipar!D:D,A426)
+COUNTIFS(Equipar!B:B,6,Equipar!E:E,A426)
+COUNTIFS(Equipar!B:B,6,Equipar!F:F,A426)
&gt;0,COUNTIF('Set recomendado'!B:B,C426)=0),
"Bloqueada",
"Desechable")),""
)</f>
        <v/>
      </c>
      <c r="J426" t="str" cm="1">
        <f t="array" aca="1" ref="J426" ca="1">IF(ISNUMBER(A426),IFERROR(_xlfn._xlws.FILTER(Equipar!A:A,(Equipar!B:B=6)*(Equipar!AC:AC=A426)),""),"")</f>
        <v/>
      </c>
    </row>
    <row r="427" spans="1:10" x14ac:dyDescent="0.25">
      <c r="A427" s="1" t="str">
        <f ca="1">IF(A426="ID",1,IF(ISBLANK(B427),"",MAX(A$2:A426)+1))</f>
        <v/>
      </c>
      <c r="I427" s="2" t="str">
        <f ca="1">IF(ISNUMBER(A427),
IF(COUNTIFS(Equipar!B:B,6,Equipar!AC:AC,A427),"Equipada",
IF(
 OR(COUNTIFS(Equipar!B:B,6,Equipar!C:C,A427)
 +COUNTIFS(Equipar!B:B,6,Equipar!D:D,A427)
+COUNTIFS(Equipar!B:B,6,Equipar!E:E,A427)
+COUNTIFS(Equipar!B:B,6,Equipar!F:F,A427)
&gt;0,COUNTIF('Set recomendado'!B:B,C427)=0),
"Bloqueada",
"Desechable")),""
)</f>
        <v/>
      </c>
      <c r="J427" t="str" cm="1">
        <f t="array" aca="1" ref="J427" ca="1">IF(ISNUMBER(A427),IFERROR(_xlfn._xlws.FILTER(Equipar!A:A,(Equipar!B:B=6)*(Equipar!AC:AC=A427)),""),"")</f>
        <v/>
      </c>
    </row>
    <row r="428" spans="1:10" x14ac:dyDescent="0.25">
      <c r="A428" s="1" t="str">
        <f ca="1">IF(A427="ID",1,IF(ISBLANK(B428),"",MAX(A$2:A427)+1))</f>
        <v/>
      </c>
      <c r="I428" s="2" t="str">
        <f ca="1">IF(ISNUMBER(A428),
IF(COUNTIFS(Equipar!B:B,6,Equipar!AC:AC,A428),"Equipada",
IF(
 OR(COUNTIFS(Equipar!B:B,6,Equipar!C:C,A428)
 +COUNTIFS(Equipar!B:B,6,Equipar!D:D,A428)
+COUNTIFS(Equipar!B:B,6,Equipar!E:E,A428)
+COUNTIFS(Equipar!B:B,6,Equipar!F:F,A428)
&gt;0,COUNTIF('Set recomendado'!B:B,C428)=0),
"Bloqueada",
"Desechable")),""
)</f>
        <v/>
      </c>
      <c r="J428" t="str" cm="1">
        <f t="array" aca="1" ref="J428" ca="1">IF(ISNUMBER(A428),IFERROR(_xlfn._xlws.FILTER(Equipar!A:A,(Equipar!B:B=6)*(Equipar!AC:AC=A428)),""),"")</f>
        <v/>
      </c>
    </row>
    <row r="429" spans="1:10" x14ac:dyDescent="0.25">
      <c r="A429" s="1" t="str">
        <f ca="1">IF(A428="ID",1,IF(ISBLANK(B429),"",MAX(A$2:A428)+1))</f>
        <v/>
      </c>
      <c r="I429" s="2" t="str">
        <f ca="1">IF(ISNUMBER(A429),
IF(COUNTIFS(Equipar!B:B,6,Equipar!AC:AC,A429),"Equipada",
IF(
 OR(COUNTIFS(Equipar!B:B,6,Equipar!C:C,A429)
 +COUNTIFS(Equipar!B:B,6,Equipar!D:D,A429)
+COUNTIFS(Equipar!B:B,6,Equipar!E:E,A429)
+COUNTIFS(Equipar!B:B,6,Equipar!F:F,A429)
&gt;0,COUNTIF('Set recomendado'!B:B,C429)=0),
"Bloqueada",
"Desechable")),""
)</f>
        <v/>
      </c>
      <c r="J429" t="str" cm="1">
        <f t="array" aca="1" ref="J429" ca="1">IF(ISNUMBER(A429),IFERROR(_xlfn._xlws.FILTER(Equipar!A:A,(Equipar!B:B=6)*(Equipar!AC:AC=A429)),""),"")</f>
        <v/>
      </c>
    </row>
    <row r="430" spans="1:10" x14ac:dyDescent="0.25">
      <c r="A430" s="1" t="str">
        <f ca="1">IF(A429="ID",1,IF(ISBLANK(B430),"",MAX(A$2:A429)+1))</f>
        <v/>
      </c>
      <c r="I430" s="2" t="str">
        <f ca="1">IF(ISNUMBER(A430),
IF(COUNTIFS(Equipar!B:B,6,Equipar!AC:AC,A430),"Equipada",
IF(
 OR(COUNTIFS(Equipar!B:B,6,Equipar!C:C,A430)
 +COUNTIFS(Equipar!B:B,6,Equipar!D:D,A430)
+COUNTIFS(Equipar!B:B,6,Equipar!E:E,A430)
+COUNTIFS(Equipar!B:B,6,Equipar!F:F,A430)
&gt;0,COUNTIF('Set recomendado'!B:B,C430)=0),
"Bloqueada",
"Desechable")),""
)</f>
        <v/>
      </c>
      <c r="J430" t="str" cm="1">
        <f t="array" aca="1" ref="J430" ca="1">IF(ISNUMBER(A430),IFERROR(_xlfn._xlws.FILTER(Equipar!A:A,(Equipar!B:B=6)*(Equipar!AC:AC=A430)),""),"")</f>
        <v/>
      </c>
    </row>
    <row r="431" spans="1:10" x14ac:dyDescent="0.25">
      <c r="A431" s="1" t="str">
        <f ca="1">IF(A430="ID",1,IF(ISBLANK(B431),"",MAX(A$2:A430)+1))</f>
        <v/>
      </c>
      <c r="I431" s="2" t="str">
        <f ca="1">IF(ISNUMBER(A431),
IF(COUNTIFS(Equipar!B:B,6,Equipar!AC:AC,A431),"Equipada",
IF(
 OR(COUNTIFS(Equipar!B:B,6,Equipar!C:C,A431)
 +COUNTIFS(Equipar!B:B,6,Equipar!D:D,A431)
+COUNTIFS(Equipar!B:B,6,Equipar!E:E,A431)
+COUNTIFS(Equipar!B:B,6,Equipar!F:F,A431)
&gt;0,COUNTIF('Set recomendado'!B:B,C431)=0),
"Bloqueada",
"Desechable")),""
)</f>
        <v/>
      </c>
      <c r="J431" t="str" cm="1">
        <f t="array" aca="1" ref="J431" ca="1">IF(ISNUMBER(A431),IFERROR(_xlfn._xlws.FILTER(Equipar!A:A,(Equipar!B:B=6)*(Equipar!AC:AC=A431)),""),"")</f>
        <v/>
      </c>
    </row>
    <row r="432" spans="1:10" x14ac:dyDescent="0.25">
      <c r="A432" s="1" t="str">
        <f ca="1">IF(A431="ID",1,IF(ISBLANK(B432),"",MAX(A$2:A431)+1))</f>
        <v/>
      </c>
      <c r="I432" s="2" t="str">
        <f ca="1">IF(ISNUMBER(A432),
IF(COUNTIFS(Equipar!B:B,6,Equipar!AC:AC,A432),"Equipada",
IF(
 OR(COUNTIFS(Equipar!B:B,6,Equipar!C:C,A432)
 +COUNTIFS(Equipar!B:B,6,Equipar!D:D,A432)
+COUNTIFS(Equipar!B:B,6,Equipar!E:E,A432)
+COUNTIFS(Equipar!B:B,6,Equipar!F:F,A432)
&gt;0,COUNTIF('Set recomendado'!B:B,C432)=0),
"Bloqueada",
"Desechable")),""
)</f>
        <v/>
      </c>
      <c r="J432" t="str" cm="1">
        <f t="array" aca="1" ref="J432" ca="1">IF(ISNUMBER(A432),IFERROR(_xlfn._xlws.FILTER(Equipar!A:A,(Equipar!B:B=6)*(Equipar!AC:AC=A432)),""),"")</f>
        <v/>
      </c>
    </row>
    <row r="433" spans="1:10" x14ac:dyDescent="0.25">
      <c r="A433" s="1" t="str">
        <f ca="1">IF(A432="ID",1,IF(ISBLANK(B433),"",MAX(A$2:A432)+1))</f>
        <v/>
      </c>
      <c r="I433" s="2" t="str">
        <f ca="1">IF(ISNUMBER(A433),
IF(COUNTIFS(Equipar!B:B,6,Equipar!AC:AC,A433),"Equipada",
IF(
 OR(COUNTIFS(Equipar!B:B,6,Equipar!C:C,A433)
 +COUNTIFS(Equipar!B:B,6,Equipar!D:D,A433)
+COUNTIFS(Equipar!B:B,6,Equipar!E:E,A433)
+COUNTIFS(Equipar!B:B,6,Equipar!F:F,A433)
&gt;0,COUNTIF('Set recomendado'!B:B,C433)=0),
"Bloqueada",
"Desechable")),""
)</f>
        <v/>
      </c>
      <c r="J433" t="str" cm="1">
        <f t="array" aca="1" ref="J433" ca="1">IF(ISNUMBER(A433),IFERROR(_xlfn._xlws.FILTER(Equipar!A:A,(Equipar!B:B=6)*(Equipar!AC:AC=A433)),""),"")</f>
        <v/>
      </c>
    </row>
    <row r="434" spans="1:10" x14ac:dyDescent="0.25">
      <c r="A434" s="1" t="str">
        <f ca="1">IF(A433="ID",1,IF(ISBLANK(B434),"",MAX(A$2:A433)+1))</f>
        <v/>
      </c>
      <c r="I434" s="2" t="str">
        <f ca="1">IF(ISNUMBER(A434),
IF(COUNTIFS(Equipar!B:B,6,Equipar!AC:AC,A434),"Equipada",
IF(
 OR(COUNTIFS(Equipar!B:B,6,Equipar!C:C,A434)
 +COUNTIFS(Equipar!B:B,6,Equipar!D:D,A434)
+COUNTIFS(Equipar!B:B,6,Equipar!E:E,A434)
+COUNTIFS(Equipar!B:B,6,Equipar!F:F,A434)
&gt;0,COUNTIF('Set recomendado'!B:B,C434)=0),
"Bloqueada",
"Desechable")),""
)</f>
        <v/>
      </c>
      <c r="J434" t="str" cm="1">
        <f t="array" aca="1" ref="J434" ca="1">IF(ISNUMBER(A434),IFERROR(_xlfn._xlws.FILTER(Equipar!A:A,(Equipar!B:B=6)*(Equipar!AC:AC=A434)),""),"")</f>
        <v/>
      </c>
    </row>
    <row r="435" spans="1:10" x14ac:dyDescent="0.25">
      <c r="A435" s="1" t="str">
        <f ca="1">IF(A434="ID",1,IF(ISBLANK(B435),"",MAX(A$2:A434)+1))</f>
        <v/>
      </c>
      <c r="I435" s="2" t="str">
        <f ca="1">IF(ISNUMBER(A435),
IF(COUNTIFS(Equipar!B:B,6,Equipar!AC:AC,A435),"Equipada",
IF(
 OR(COUNTIFS(Equipar!B:B,6,Equipar!C:C,A435)
 +COUNTIFS(Equipar!B:B,6,Equipar!D:D,A435)
+COUNTIFS(Equipar!B:B,6,Equipar!E:E,A435)
+COUNTIFS(Equipar!B:B,6,Equipar!F:F,A435)
&gt;0,COUNTIF('Set recomendado'!B:B,C435)=0),
"Bloqueada",
"Desechable")),""
)</f>
        <v/>
      </c>
      <c r="J435" t="str" cm="1">
        <f t="array" aca="1" ref="J435" ca="1">IF(ISNUMBER(A435),IFERROR(_xlfn._xlws.FILTER(Equipar!A:A,(Equipar!B:B=6)*(Equipar!AC:AC=A435)),""),"")</f>
        <v/>
      </c>
    </row>
    <row r="436" spans="1:10" x14ac:dyDescent="0.25">
      <c r="A436" s="1" t="str">
        <f ca="1">IF(A435="ID",1,IF(ISBLANK(B436),"",MAX(A$2:A435)+1))</f>
        <v/>
      </c>
      <c r="I436" s="2" t="str">
        <f ca="1">IF(ISNUMBER(A436),
IF(COUNTIFS(Equipar!B:B,6,Equipar!AC:AC,A436),"Equipada",
IF(
 OR(COUNTIFS(Equipar!B:B,6,Equipar!C:C,A436)
 +COUNTIFS(Equipar!B:B,6,Equipar!D:D,A436)
+COUNTIFS(Equipar!B:B,6,Equipar!E:E,A436)
+COUNTIFS(Equipar!B:B,6,Equipar!F:F,A436)
&gt;0,COUNTIF('Set recomendado'!B:B,C436)=0),
"Bloqueada",
"Desechable")),""
)</f>
        <v/>
      </c>
      <c r="J436" t="str" cm="1">
        <f t="array" aca="1" ref="J436" ca="1">IF(ISNUMBER(A436),IFERROR(_xlfn._xlws.FILTER(Equipar!A:A,(Equipar!B:B=6)*(Equipar!AC:AC=A436)),""),"")</f>
        <v/>
      </c>
    </row>
    <row r="437" spans="1:10" x14ac:dyDescent="0.25">
      <c r="A437" s="1" t="str">
        <f ca="1">IF(A436="ID",1,IF(ISBLANK(B437),"",MAX(A$2:A436)+1))</f>
        <v/>
      </c>
      <c r="I437" s="2" t="str">
        <f ca="1">IF(ISNUMBER(A437),
IF(COUNTIFS(Equipar!B:B,6,Equipar!AC:AC,A437),"Equipada",
IF(
 OR(COUNTIFS(Equipar!B:B,6,Equipar!C:C,A437)
 +COUNTIFS(Equipar!B:B,6,Equipar!D:D,A437)
+COUNTIFS(Equipar!B:B,6,Equipar!E:E,A437)
+COUNTIFS(Equipar!B:B,6,Equipar!F:F,A437)
&gt;0,COUNTIF('Set recomendado'!B:B,C437)=0),
"Bloqueada",
"Desechable")),""
)</f>
        <v/>
      </c>
      <c r="J437" t="str" cm="1">
        <f t="array" aca="1" ref="J437" ca="1">IF(ISNUMBER(A437),IFERROR(_xlfn._xlws.FILTER(Equipar!A:A,(Equipar!B:B=6)*(Equipar!AC:AC=A437)),""),"")</f>
        <v/>
      </c>
    </row>
    <row r="438" spans="1:10" x14ac:dyDescent="0.25">
      <c r="A438" s="1" t="str">
        <f ca="1">IF(A437="ID",1,IF(ISBLANK(B438),"",MAX(A$2:A437)+1))</f>
        <v/>
      </c>
      <c r="I438" s="2" t="str">
        <f ca="1">IF(ISNUMBER(A438),
IF(COUNTIFS(Equipar!B:B,6,Equipar!AC:AC,A438),"Equipada",
IF(
 OR(COUNTIFS(Equipar!B:B,6,Equipar!C:C,A438)
 +COUNTIFS(Equipar!B:B,6,Equipar!D:D,A438)
+COUNTIFS(Equipar!B:B,6,Equipar!E:E,A438)
+COUNTIFS(Equipar!B:B,6,Equipar!F:F,A438)
&gt;0,COUNTIF('Set recomendado'!B:B,C438)=0),
"Bloqueada",
"Desechable")),""
)</f>
        <v/>
      </c>
      <c r="J438" t="str" cm="1">
        <f t="array" aca="1" ref="J438" ca="1">IF(ISNUMBER(A438),IFERROR(_xlfn._xlws.FILTER(Equipar!A:A,(Equipar!B:B=6)*(Equipar!AC:AC=A438)),""),"")</f>
        <v/>
      </c>
    </row>
    <row r="439" spans="1:10" x14ac:dyDescent="0.25">
      <c r="A439" s="1" t="str">
        <f ca="1">IF(A438="ID",1,IF(ISBLANK(B439),"",MAX(A$2:A438)+1))</f>
        <v/>
      </c>
      <c r="I439" s="2" t="str">
        <f ca="1">IF(ISNUMBER(A439),
IF(COUNTIFS(Equipar!B:B,6,Equipar!AC:AC,A439),"Equipada",
IF(
 OR(COUNTIFS(Equipar!B:B,6,Equipar!C:C,A439)
 +COUNTIFS(Equipar!B:B,6,Equipar!D:D,A439)
+COUNTIFS(Equipar!B:B,6,Equipar!E:E,A439)
+COUNTIFS(Equipar!B:B,6,Equipar!F:F,A439)
&gt;0,COUNTIF('Set recomendado'!B:B,C439)=0),
"Bloqueada",
"Desechable")),""
)</f>
        <v/>
      </c>
      <c r="J439" t="str" cm="1">
        <f t="array" aca="1" ref="J439" ca="1">IF(ISNUMBER(A439),IFERROR(_xlfn._xlws.FILTER(Equipar!A:A,(Equipar!B:B=6)*(Equipar!AC:AC=A439)),""),"")</f>
        <v/>
      </c>
    </row>
    <row r="440" spans="1:10" x14ac:dyDescent="0.25">
      <c r="A440" s="1" t="str">
        <f ca="1">IF(A439="ID",1,IF(ISBLANK(B440),"",MAX(A$2:A439)+1))</f>
        <v/>
      </c>
      <c r="I440" s="2" t="str">
        <f ca="1">IF(ISNUMBER(A440),
IF(COUNTIFS(Equipar!B:B,6,Equipar!AC:AC,A440),"Equipada",
IF(
 OR(COUNTIFS(Equipar!B:B,6,Equipar!C:C,A440)
 +COUNTIFS(Equipar!B:B,6,Equipar!D:D,A440)
+COUNTIFS(Equipar!B:B,6,Equipar!E:E,A440)
+COUNTIFS(Equipar!B:B,6,Equipar!F:F,A440)
&gt;0,COUNTIF('Set recomendado'!B:B,C440)=0),
"Bloqueada",
"Desechable")),""
)</f>
        <v/>
      </c>
      <c r="J440" t="str" cm="1">
        <f t="array" aca="1" ref="J440" ca="1">IF(ISNUMBER(A440),IFERROR(_xlfn._xlws.FILTER(Equipar!A:A,(Equipar!B:B=6)*(Equipar!AC:AC=A440)),""),"")</f>
        <v/>
      </c>
    </row>
    <row r="441" spans="1:10" x14ac:dyDescent="0.25">
      <c r="A441" s="1" t="str">
        <f ca="1">IF(A440="ID",1,IF(ISBLANK(B441),"",MAX(A$2:A440)+1))</f>
        <v/>
      </c>
      <c r="I441" s="2" t="str">
        <f ca="1">IF(ISNUMBER(A441),
IF(COUNTIFS(Equipar!B:B,6,Equipar!AC:AC,A441),"Equipada",
IF(
 OR(COUNTIFS(Equipar!B:B,6,Equipar!C:C,A441)
 +COUNTIFS(Equipar!B:B,6,Equipar!D:D,A441)
+COUNTIFS(Equipar!B:B,6,Equipar!E:E,A441)
+COUNTIFS(Equipar!B:B,6,Equipar!F:F,A441)
&gt;0,COUNTIF('Set recomendado'!B:B,C441)=0),
"Bloqueada",
"Desechable")),""
)</f>
        <v/>
      </c>
      <c r="J441" t="str" cm="1">
        <f t="array" aca="1" ref="J441" ca="1">IF(ISNUMBER(A441),IFERROR(_xlfn._xlws.FILTER(Equipar!A:A,(Equipar!B:B=6)*(Equipar!AC:AC=A441)),""),"")</f>
        <v/>
      </c>
    </row>
    <row r="442" spans="1:10" x14ac:dyDescent="0.25">
      <c r="A442" s="1" t="str">
        <f ca="1">IF(A441="ID",1,IF(ISBLANK(B442),"",MAX(A$2:A441)+1))</f>
        <v/>
      </c>
      <c r="I442" s="2" t="str">
        <f ca="1">IF(ISNUMBER(A442),
IF(COUNTIFS(Equipar!B:B,6,Equipar!AC:AC,A442),"Equipada",
IF(
 OR(COUNTIFS(Equipar!B:B,6,Equipar!C:C,A442)
 +COUNTIFS(Equipar!B:B,6,Equipar!D:D,A442)
+COUNTIFS(Equipar!B:B,6,Equipar!E:E,A442)
+COUNTIFS(Equipar!B:B,6,Equipar!F:F,A442)
&gt;0,COUNTIF('Set recomendado'!B:B,C442)=0),
"Bloqueada",
"Desechable")),""
)</f>
        <v/>
      </c>
      <c r="J442" t="str" cm="1">
        <f t="array" aca="1" ref="J442" ca="1">IF(ISNUMBER(A442),IFERROR(_xlfn._xlws.FILTER(Equipar!A:A,(Equipar!B:B=6)*(Equipar!AC:AC=A442)),""),"")</f>
        <v/>
      </c>
    </row>
    <row r="443" spans="1:10" x14ac:dyDescent="0.25">
      <c r="A443" s="1" t="str">
        <f ca="1">IF(A442="ID",1,IF(ISBLANK(B443),"",MAX(A$2:A442)+1))</f>
        <v/>
      </c>
      <c r="I443" s="2" t="str">
        <f ca="1">IF(ISNUMBER(A443),
IF(COUNTIFS(Equipar!B:B,6,Equipar!AC:AC,A443),"Equipada",
IF(
 OR(COUNTIFS(Equipar!B:B,6,Equipar!C:C,A443)
 +COUNTIFS(Equipar!B:B,6,Equipar!D:D,A443)
+COUNTIFS(Equipar!B:B,6,Equipar!E:E,A443)
+COUNTIFS(Equipar!B:B,6,Equipar!F:F,A443)
&gt;0,COUNTIF('Set recomendado'!B:B,C443)=0),
"Bloqueada",
"Desechable")),""
)</f>
        <v/>
      </c>
      <c r="J443" t="str" cm="1">
        <f t="array" aca="1" ref="J443" ca="1">IF(ISNUMBER(A443),IFERROR(_xlfn._xlws.FILTER(Equipar!A:A,(Equipar!B:B=6)*(Equipar!AC:AC=A443)),""),"")</f>
        <v/>
      </c>
    </row>
    <row r="444" spans="1:10" x14ac:dyDescent="0.25">
      <c r="A444" s="1" t="str">
        <f ca="1">IF(A443="ID",1,IF(ISBLANK(B444),"",MAX(A$2:A443)+1))</f>
        <v/>
      </c>
      <c r="I444" s="2" t="str">
        <f ca="1">IF(ISNUMBER(A444),
IF(COUNTIFS(Equipar!B:B,6,Equipar!AC:AC,A444),"Equipada",
IF(
 OR(COUNTIFS(Equipar!B:B,6,Equipar!C:C,A444)
 +COUNTIFS(Equipar!B:B,6,Equipar!D:D,A444)
+COUNTIFS(Equipar!B:B,6,Equipar!E:E,A444)
+COUNTIFS(Equipar!B:B,6,Equipar!F:F,A444)
&gt;0,COUNTIF('Set recomendado'!B:B,C444)=0),
"Bloqueada",
"Desechable")),""
)</f>
        <v/>
      </c>
      <c r="J444" t="str" cm="1">
        <f t="array" aca="1" ref="J444" ca="1">IF(ISNUMBER(A444),IFERROR(_xlfn._xlws.FILTER(Equipar!A:A,(Equipar!B:B=6)*(Equipar!AC:AC=A444)),""),"")</f>
        <v/>
      </c>
    </row>
    <row r="445" spans="1:10" x14ac:dyDescent="0.25">
      <c r="A445" s="1" t="str">
        <f ca="1">IF(A444="ID",1,IF(ISBLANK(B445),"",MAX(A$2:A444)+1))</f>
        <v/>
      </c>
      <c r="I445" s="2" t="str">
        <f ca="1">IF(ISNUMBER(A445),
IF(COUNTIFS(Equipar!B:B,6,Equipar!AC:AC,A445),"Equipada",
IF(
 OR(COUNTIFS(Equipar!B:B,6,Equipar!C:C,A445)
 +COUNTIFS(Equipar!B:B,6,Equipar!D:D,A445)
+COUNTIFS(Equipar!B:B,6,Equipar!E:E,A445)
+COUNTIFS(Equipar!B:B,6,Equipar!F:F,A445)
&gt;0,COUNTIF('Set recomendado'!B:B,C445)=0),
"Bloqueada",
"Desechable")),""
)</f>
        <v/>
      </c>
      <c r="J445" t="str" cm="1">
        <f t="array" aca="1" ref="J445" ca="1">IF(ISNUMBER(A445),IFERROR(_xlfn._xlws.FILTER(Equipar!A:A,(Equipar!B:B=6)*(Equipar!AC:AC=A445)),""),"")</f>
        <v/>
      </c>
    </row>
    <row r="446" spans="1:10" x14ac:dyDescent="0.25">
      <c r="A446" s="1" t="str">
        <f ca="1">IF(A445="ID",1,IF(ISBLANK(B446),"",MAX(A$2:A445)+1))</f>
        <v/>
      </c>
      <c r="I446" s="2" t="str">
        <f ca="1">IF(ISNUMBER(A446),
IF(COUNTIFS(Equipar!B:B,6,Equipar!AC:AC,A446),"Equipada",
IF(
 OR(COUNTIFS(Equipar!B:B,6,Equipar!C:C,A446)
 +COUNTIFS(Equipar!B:B,6,Equipar!D:D,A446)
+COUNTIFS(Equipar!B:B,6,Equipar!E:E,A446)
+COUNTIFS(Equipar!B:B,6,Equipar!F:F,A446)
&gt;0,COUNTIF('Set recomendado'!B:B,C446)=0),
"Bloqueada",
"Desechable")),""
)</f>
        <v/>
      </c>
      <c r="J446" t="str" cm="1">
        <f t="array" aca="1" ref="J446" ca="1">IF(ISNUMBER(A446),IFERROR(_xlfn._xlws.FILTER(Equipar!A:A,(Equipar!B:B=6)*(Equipar!AC:AC=A446)),""),"")</f>
        <v/>
      </c>
    </row>
    <row r="447" spans="1:10" x14ac:dyDescent="0.25">
      <c r="A447" s="1" t="str">
        <f ca="1">IF(A446="ID",1,IF(ISBLANK(B447),"",MAX(A$2:A446)+1))</f>
        <v/>
      </c>
      <c r="I447" s="2" t="str">
        <f ca="1">IF(ISNUMBER(A447),
IF(COUNTIFS(Equipar!B:B,6,Equipar!AC:AC,A447),"Equipada",
IF(
 OR(COUNTIFS(Equipar!B:B,6,Equipar!C:C,A447)
 +COUNTIFS(Equipar!B:B,6,Equipar!D:D,A447)
+COUNTIFS(Equipar!B:B,6,Equipar!E:E,A447)
+COUNTIFS(Equipar!B:B,6,Equipar!F:F,A447)
&gt;0,COUNTIF('Set recomendado'!B:B,C447)=0),
"Bloqueada",
"Desechable")),""
)</f>
        <v/>
      </c>
      <c r="J447" t="str" cm="1">
        <f t="array" aca="1" ref="J447" ca="1">IF(ISNUMBER(A447),IFERROR(_xlfn._xlws.FILTER(Equipar!A:A,(Equipar!B:B=6)*(Equipar!AC:AC=A447)),""),"")</f>
        <v/>
      </c>
    </row>
    <row r="448" spans="1:10" x14ac:dyDescent="0.25">
      <c r="A448" s="1" t="str">
        <f ca="1">IF(A447="ID",1,IF(ISBLANK(B448),"",MAX(A$2:A447)+1))</f>
        <v/>
      </c>
      <c r="I448" s="2" t="str">
        <f ca="1">IF(ISNUMBER(A448),
IF(COUNTIFS(Equipar!B:B,6,Equipar!AC:AC,A448),"Equipada",
IF(
 OR(COUNTIFS(Equipar!B:B,6,Equipar!C:C,A448)
 +COUNTIFS(Equipar!B:B,6,Equipar!D:D,A448)
+COUNTIFS(Equipar!B:B,6,Equipar!E:E,A448)
+COUNTIFS(Equipar!B:B,6,Equipar!F:F,A448)
&gt;0,COUNTIF('Set recomendado'!B:B,C448)=0),
"Bloqueada",
"Desechable")),""
)</f>
        <v/>
      </c>
      <c r="J448" t="str" cm="1">
        <f t="array" aca="1" ref="J448" ca="1">IF(ISNUMBER(A448),IFERROR(_xlfn._xlws.FILTER(Equipar!A:A,(Equipar!B:B=6)*(Equipar!AC:AC=A448)),""),"")</f>
        <v/>
      </c>
    </row>
    <row r="449" spans="1:10" x14ac:dyDescent="0.25">
      <c r="A449" s="1" t="str">
        <f ca="1">IF(A448="ID",1,IF(ISBLANK(B449),"",MAX(A$2:A448)+1))</f>
        <v/>
      </c>
      <c r="I449" s="2" t="str">
        <f ca="1">IF(ISNUMBER(A449),
IF(COUNTIFS(Equipar!B:B,6,Equipar!AC:AC,A449),"Equipada",
IF(
 OR(COUNTIFS(Equipar!B:B,6,Equipar!C:C,A449)
 +COUNTIFS(Equipar!B:B,6,Equipar!D:D,A449)
+COUNTIFS(Equipar!B:B,6,Equipar!E:E,A449)
+COUNTIFS(Equipar!B:B,6,Equipar!F:F,A449)
&gt;0,COUNTIF('Set recomendado'!B:B,C449)=0),
"Bloqueada",
"Desechable")),""
)</f>
        <v/>
      </c>
      <c r="J449" t="str" cm="1">
        <f t="array" aca="1" ref="J449" ca="1">IF(ISNUMBER(A449),IFERROR(_xlfn._xlws.FILTER(Equipar!A:A,(Equipar!B:B=6)*(Equipar!AC:AC=A449)),""),"")</f>
        <v/>
      </c>
    </row>
    <row r="450" spans="1:10" x14ac:dyDescent="0.25">
      <c r="A450" s="1" t="str">
        <f ca="1">IF(A449="ID",1,IF(ISBLANK(B450),"",MAX(A$2:A449)+1))</f>
        <v/>
      </c>
      <c r="I450" s="2" t="str">
        <f ca="1">IF(ISNUMBER(A450),
IF(COUNTIFS(Equipar!B:B,6,Equipar!AC:AC,A450),"Equipada",
IF(
 OR(COUNTIFS(Equipar!B:B,6,Equipar!C:C,A450)
 +COUNTIFS(Equipar!B:B,6,Equipar!D:D,A450)
+COUNTIFS(Equipar!B:B,6,Equipar!E:E,A450)
+COUNTIFS(Equipar!B:B,6,Equipar!F:F,A450)
&gt;0,COUNTIF('Set recomendado'!B:B,C450)=0),
"Bloqueada",
"Desechable")),""
)</f>
        <v/>
      </c>
      <c r="J450" t="str" cm="1">
        <f t="array" aca="1" ref="J450" ca="1">IF(ISNUMBER(A450),IFERROR(_xlfn._xlws.FILTER(Equipar!A:A,(Equipar!B:B=6)*(Equipar!AC:AC=A450)),""),"")</f>
        <v/>
      </c>
    </row>
    <row r="451" spans="1:10" x14ac:dyDescent="0.25">
      <c r="A451" s="1" t="str">
        <f ca="1">IF(A450="ID",1,IF(ISBLANK(B451),"",MAX(A$2:A450)+1))</f>
        <v/>
      </c>
      <c r="I451" s="2" t="str">
        <f ca="1">IF(ISNUMBER(A451),
IF(COUNTIFS(Equipar!B:B,6,Equipar!AC:AC,A451),"Equipada",
IF(
 OR(COUNTIFS(Equipar!B:B,6,Equipar!C:C,A451)
 +COUNTIFS(Equipar!B:B,6,Equipar!D:D,A451)
+COUNTIFS(Equipar!B:B,6,Equipar!E:E,A451)
+COUNTIFS(Equipar!B:B,6,Equipar!F:F,A451)
&gt;0,COUNTIF('Set recomendado'!B:B,C451)=0),
"Bloqueada",
"Desechable")),""
)</f>
        <v/>
      </c>
      <c r="J451" t="str" cm="1">
        <f t="array" aca="1" ref="J451" ca="1">IF(ISNUMBER(A451),IFERROR(_xlfn._xlws.FILTER(Equipar!A:A,(Equipar!B:B=6)*(Equipar!AC:AC=A451)),""),"")</f>
        <v/>
      </c>
    </row>
    <row r="452" spans="1:10" x14ac:dyDescent="0.25">
      <c r="A452" s="1" t="str">
        <f ca="1">IF(A451="ID",1,IF(ISBLANK(B452),"",MAX(A$2:A451)+1))</f>
        <v/>
      </c>
      <c r="I452" s="2" t="str">
        <f ca="1">IF(ISNUMBER(A452),
IF(COUNTIFS(Equipar!B:B,6,Equipar!AC:AC,A452),"Equipada",
IF(
 OR(COUNTIFS(Equipar!B:B,6,Equipar!C:C,A452)
 +COUNTIFS(Equipar!B:B,6,Equipar!D:D,A452)
+COUNTIFS(Equipar!B:B,6,Equipar!E:E,A452)
+COUNTIFS(Equipar!B:B,6,Equipar!F:F,A452)
&gt;0,COUNTIF('Set recomendado'!B:B,C452)=0),
"Bloqueada",
"Desechable")),""
)</f>
        <v/>
      </c>
      <c r="J452" t="str" cm="1">
        <f t="array" aca="1" ref="J452" ca="1">IF(ISNUMBER(A452),IFERROR(_xlfn._xlws.FILTER(Equipar!A:A,(Equipar!B:B=6)*(Equipar!AC:AC=A452)),""),"")</f>
        <v/>
      </c>
    </row>
    <row r="453" spans="1:10" x14ac:dyDescent="0.25">
      <c r="A453" s="1" t="str">
        <f ca="1">IF(A452="ID",1,IF(ISBLANK(B453),"",MAX(A$2:A452)+1))</f>
        <v/>
      </c>
      <c r="I453" s="2" t="str">
        <f ca="1">IF(ISNUMBER(A453),
IF(COUNTIFS(Equipar!B:B,6,Equipar!AC:AC,A453),"Equipada",
IF(
 OR(COUNTIFS(Equipar!B:B,6,Equipar!C:C,A453)
 +COUNTIFS(Equipar!B:B,6,Equipar!D:D,A453)
+COUNTIFS(Equipar!B:B,6,Equipar!E:E,A453)
+COUNTIFS(Equipar!B:B,6,Equipar!F:F,A453)
&gt;0,COUNTIF('Set recomendado'!B:B,C453)=0),
"Bloqueada",
"Desechable")),""
)</f>
        <v/>
      </c>
      <c r="J453" t="str" cm="1">
        <f t="array" aca="1" ref="J453" ca="1">IF(ISNUMBER(A453),IFERROR(_xlfn._xlws.FILTER(Equipar!A:A,(Equipar!B:B=6)*(Equipar!AC:AC=A453)),""),"")</f>
        <v/>
      </c>
    </row>
    <row r="454" spans="1:10" x14ac:dyDescent="0.25">
      <c r="A454" s="1" t="str">
        <f ca="1">IF(A453="ID",1,IF(ISBLANK(B454),"",MAX(A$2:A453)+1))</f>
        <v/>
      </c>
      <c r="I454" s="2" t="str">
        <f ca="1">IF(ISNUMBER(A454),
IF(COUNTIFS(Equipar!B:B,6,Equipar!AC:AC,A454),"Equipada",
IF(
 OR(COUNTIFS(Equipar!B:B,6,Equipar!C:C,A454)
 +COUNTIFS(Equipar!B:B,6,Equipar!D:D,A454)
+COUNTIFS(Equipar!B:B,6,Equipar!E:E,A454)
+COUNTIFS(Equipar!B:B,6,Equipar!F:F,A454)
&gt;0,COUNTIF('Set recomendado'!B:B,C454)=0),
"Bloqueada",
"Desechable")),""
)</f>
        <v/>
      </c>
      <c r="J454" t="str" cm="1">
        <f t="array" aca="1" ref="J454" ca="1">IF(ISNUMBER(A454),IFERROR(_xlfn._xlws.FILTER(Equipar!A:A,(Equipar!B:B=6)*(Equipar!AC:AC=A454)),""),"")</f>
        <v/>
      </c>
    </row>
    <row r="455" spans="1:10" x14ac:dyDescent="0.25">
      <c r="A455" s="1" t="str">
        <f ca="1">IF(A454="ID",1,IF(ISBLANK(B455),"",MAX(A$2:A454)+1))</f>
        <v/>
      </c>
      <c r="I455" s="2" t="str">
        <f ca="1">IF(ISNUMBER(A455),
IF(COUNTIFS(Equipar!B:B,6,Equipar!AC:AC,A455),"Equipada",
IF(
 OR(COUNTIFS(Equipar!B:B,6,Equipar!C:C,A455)
 +COUNTIFS(Equipar!B:B,6,Equipar!D:D,A455)
+COUNTIFS(Equipar!B:B,6,Equipar!E:E,A455)
+COUNTIFS(Equipar!B:B,6,Equipar!F:F,A455)
&gt;0,COUNTIF('Set recomendado'!B:B,C455)=0),
"Bloqueada",
"Desechable")),""
)</f>
        <v/>
      </c>
      <c r="J455" t="str" cm="1">
        <f t="array" aca="1" ref="J455" ca="1">IF(ISNUMBER(A455),IFERROR(_xlfn._xlws.FILTER(Equipar!A:A,(Equipar!B:B=6)*(Equipar!AC:AC=A455)),""),"")</f>
        <v/>
      </c>
    </row>
    <row r="456" spans="1:10" x14ac:dyDescent="0.25">
      <c r="A456" s="1" t="str">
        <f ca="1">IF(A455="ID",1,IF(ISBLANK(B456),"",MAX(A$2:A455)+1))</f>
        <v/>
      </c>
      <c r="I456" s="2" t="str">
        <f ca="1">IF(ISNUMBER(A456),
IF(COUNTIFS(Equipar!B:B,6,Equipar!AC:AC,A456),"Equipada",
IF(
 OR(COUNTIFS(Equipar!B:B,6,Equipar!C:C,A456)
 +COUNTIFS(Equipar!B:B,6,Equipar!D:D,A456)
+COUNTIFS(Equipar!B:B,6,Equipar!E:E,A456)
+COUNTIFS(Equipar!B:B,6,Equipar!F:F,A456)
&gt;0,COUNTIF('Set recomendado'!B:B,C456)=0),
"Bloqueada",
"Desechable")),""
)</f>
        <v/>
      </c>
      <c r="J456" t="str" cm="1">
        <f t="array" aca="1" ref="J456" ca="1">IF(ISNUMBER(A456),IFERROR(_xlfn._xlws.FILTER(Equipar!A:A,(Equipar!B:B=6)*(Equipar!AC:AC=A456)),""),"")</f>
        <v/>
      </c>
    </row>
    <row r="457" spans="1:10" x14ac:dyDescent="0.25">
      <c r="A457" s="1" t="str">
        <f ca="1">IF(A456="ID",1,IF(ISBLANK(B457),"",MAX(A$2:A456)+1))</f>
        <v/>
      </c>
      <c r="I457" s="2" t="str">
        <f ca="1">IF(ISNUMBER(A457),
IF(COUNTIFS(Equipar!B:B,6,Equipar!AC:AC,A457),"Equipada",
IF(
 OR(COUNTIFS(Equipar!B:B,6,Equipar!C:C,A457)
 +COUNTIFS(Equipar!B:B,6,Equipar!D:D,A457)
+COUNTIFS(Equipar!B:B,6,Equipar!E:E,A457)
+COUNTIFS(Equipar!B:B,6,Equipar!F:F,A457)
&gt;0,COUNTIF('Set recomendado'!B:B,C457)=0),
"Bloqueada",
"Desechable")),""
)</f>
        <v/>
      </c>
      <c r="J457" t="str" cm="1">
        <f t="array" aca="1" ref="J457" ca="1">IF(ISNUMBER(A457),IFERROR(_xlfn._xlws.FILTER(Equipar!A:A,(Equipar!B:B=6)*(Equipar!AC:AC=A457)),""),"")</f>
        <v/>
      </c>
    </row>
    <row r="458" spans="1:10" x14ac:dyDescent="0.25">
      <c r="A458" s="1" t="str">
        <f ca="1">IF(A457="ID",1,IF(ISBLANK(B458),"",MAX(A$2:A457)+1))</f>
        <v/>
      </c>
      <c r="I458" s="2" t="str">
        <f ca="1">IF(ISNUMBER(A458),
IF(COUNTIFS(Equipar!B:B,6,Equipar!AC:AC,A458),"Equipada",
IF(
 OR(COUNTIFS(Equipar!B:B,6,Equipar!C:C,A458)
 +COUNTIFS(Equipar!B:B,6,Equipar!D:D,A458)
+COUNTIFS(Equipar!B:B,6,Equipar!E:E,A458)
+COUNTIFS(Equipar!B:B,6,Equipar!F:F,A458)
&gt;0,COUNTIF('Set recomendado'!B:B,C458)=0),
"Bloqueada",
"Desechable")),""
)</f>
        <v/>
      </c>
      <c r="J458" t="str" cm="1">
        <f t="array" aca="1" ref="J458" ca="1">IF(ISNUMBER(A458),IFERROR(_xlfn._xlws.FILTER(Equipar!A:A,(Equipar!B:B=6)*(Equipar!AC:AC=A458)),""),"")</f>
        <v/>
      </c>
    </row>
    <row r="459" spans="1:10" x14ac:dyDescent="0.25">
      <c r="A459" s="1" t="str">
        <f ca="1">IF(A458="ID",1,IF(ISBLANK(B459),"",MAX(A$2:A458)+1))</f>
        <v/>
      </c>
      <c r="I459" s="2" t="str">
        <f ca="1">IF(ISNUMBER(A459),
IF(COUNTIFS(Equipar!B:B,6,Equipar!AC:AC,A459),"Equipada",
IF(
 OR(COUNTIFS(Equipar!B:B,6,Equipar!C:C,A459)
 +COUNTIFS(Equipar!B:B,6,Equipar!D:D,A459)
+COUNTIFS(Equipar!B:B,6,Equipar!E:E,A459)
+COUNTIFS(Equipar!B:B,6,Equipar!F:F,A459)
&gt;0,COUNTIF('Set recomendado'!B:B,C459)=0),
"Bloqueada",
"Desechable")),""
)</f>
        <v/>
      </c>
      <c r="J459" t="str" cm="1">
        <f t="array" aca="1" ref="J459" ca="1">IF(ISNUMBER(A459),IFERROR(_xlfn._xlws.FILTER(Equipar!A:A,(Equipar!B:B=6)*(Equipar!AC:AC=A459)),""),"")</f>
        <v/>
      </c>
    </row>
    <row r="460" spans="1:10" x14ac:dyDescent="0.25">
      <c r="A460" s="1" t="str">
        <f ca="1">IF(A459="ID",1,IF(ISBLANK(B460),"",MAX(A$2:A459)+1))</f>
        <v/>
      </c>
      <c r="I460" s="2" t="str">
        <f ca="1">IF(ISNUMBER(A460),
IF(COUNTIFS(Equipar!B:B,6,Equipar!AC:AC,A460),"Equipada",
IF(
 OR(COUNTIFS(Equipar!B:B,6,Equipar!C:C,A460)
 +COUNTIFS(Equipar!B:B,6,Equipar!D:D,A460)
+COUNTIFS(Equipar!B:B,6,Equipar!E:E,A460)
+COUNTIFS(Equipar!B:B,6,Equipar!F:F,A460)
&gt;0,COUNTIF('Set recomendado'!B:B,C460)=0),
"Bloqueada",
"Desechable")),""
)</f>
        <v/>
      </c>
      <c r="J460" t="str" cm="1">
        <f t="array" aca="1" ref="J460" ca="1">IF(ISNUMBER(A460),IFERROR(_xlfn._xlws.FILTER(Equipar!A:A,(Equipar!B:B=6)*(Equipar!AC:AC=A460)),""),"")</f>
        <v/>
      </c>
    </row>
    <row r="461" spans="1:10" x14ac:dyDescent="0.25">
      <c r="A461" s="1" t="str">
        <f ca="1">IF(A460="ID",1,IF(ISBLANK(B461),"",MAX(A$2:A460)+1))</f>
        <v/>
      </c>
      <c r="I461" s="2" t="str">
        <f ca="1">IF(ISNUMBER(A461),
IF(COUNTIFS(Equipar!B:B,6,Equipar!AC:AC,A461),"Equipada",
IF(
 OR(COUNTIFS(Equipar!B:B,6,Equipar!C:C,A461)
 +COUNTIFS(Equipar!B:B,6,Equipar!D:D,A461)
+COUNTIFS(Equipar!B:B,6,Equipar!E:E,A461)
+COUNTIFS(Equipar!B:B,6,Equipar!F:F,A461)
&gt;0,COUNTIF('Set recomendado'!B:B,C461)=0),
"Bloqueada",
"Desechable")),""
)</f>
        <v/>
      </c>
      <c r="J461" t="str" cm="1">
        <f t="array" aca="1" ref="J461" ca="1">IF(ISNUMBER(A461),IFERROR(_xlfn._xlws.FILTER(Equipar!A:A,(Equipar!B:B=6)*(Equipar!AC:AC=A461)),""),"")</f>
        <v/>
      </c>
    </row>
    <row r="462" spans="1:10" x14ac:dyDescent="0.25">
      <c r="A462" s="1" t="str">
        <f ca="1">IF(A461="ID",1,IF(ISBLANK(B462),"",MAX(A$2:A461)+1))</f>
        <v/>
      </c>
      <c r="I462" s="2" t="str">
        <f ca="1">IF(ISNUMBER(A462),
IF(COUNTIFS(Equipar!B:B,6,Equipar!AC:AC,A462),"Equipada",
IF(
 OR(COUNTIFS(Equipar!B:B,6,Equipar!C:C,A462)
 +COUNTIFS(Equipar!B:B,6,Equipar!D:D,A462)
+COUNTIFS(Equipar!B:B,6,Equipar!E:E,A462)
+COUNTIFS(Equipar!B:B,6,Equipar!F:F,A462)
&gt;0,COUNTIF('Set recomendado'!B:B,C462)=0),
"Bloqueada",
"Desechable")),""
)</f>
        <v/>
      </c>
      <c r="J462" t="str" cm="1">
        <f t="array" aca="1" ref="J462" ca="1">IF(ISNUMBER(A462),IFERROR(_xlfn._xlws.FILTER(Equipar!A:A,(Equipar!B:B=6)*(Equipar!AC:AC=A462)),""),"")</f>
        <v/>
      </c>
    </row>
    <row r="463" spans="1:10" x14ac:dyDescent="0.25">
      <c r="A463" s="1" t="str">
        <f ca="1">IF(A462="ID",1,IF(ISBLANK(B463),"",MAX(A$2:A462)+1))</f>
        <v/>
      </c>
      <c r="I463" s="2" t="str">
        <f ca="1">IF(ISNUMBER(A463),
IF(COUNTIFS(Equipar!B:B,6,Equipar!AC:AC,A463),"Equipada",
IF(
 OR(COUNTIFS(Equipar!B:B,6,Equipar!C:C,A463)
 +COUNTIFS(Equipar!B:B,6,Equipar!D:D,A463)
+COUNTIFS(Equipar!B:B,6,Equipar!E:E,A463)
+COUNTIFS(Equipar!B:B,6,Equipar!F:F,A463)
&gt;0,COUNTIF('Set recomendado'!B:B,C463)=0),
"Bloqueada",
"Desechable")),""
)</f>
        <v/>
      </c>
      <c r="J463" t="str" cm="1">
        <f t="array" aca="1" ref="J463" ca="1">IF(ISNUMBER(A463),IFERROR(_xlfn._xlws.FILTER(Equipar!A:A,(Equipar!B:B=6)*(Equipar!AC:AC=A463)),""),"")</f>
        <v/>
      </c>
    </row>
    <row r="464" spans="1:10" x14ac:dyDescent="0.25">
      <c r="A464" s="1" t="str">
        <f ca="1">IF(A463="ID",1,IF(ISBLANK(B464),"",MAX(A$2:A463)+1))</f>
        <v/>
      </c>
      <c r="I464" s="2" t="str">
        <f ca="1">IF(ISNUMBER(A464),
IF(COUNTIFS(Equipar!B:B,6,Equipar!AC:AC,A464),"Equipada",
IF(
 OR(COUNTIFS(Equipar!B:B,6,Equipar!C:C,A464)
 +COUNTIFS(Equipar!B:B,6,Equipar!D:D,A464)
+COUNTIFS(Equipar!B:B,6,Equipar!E:E,A464)
+COUNTIFS(Equipar!B:B,6,Equipar!F:F,A464)
&gt;0,COUNTIF('Set recomendado'!B:B,C464)=0),
"Bloqueada",
"Desechable")),""
)</f>
        <v/>
      </c>
      <c r="J464" t="str" cm="1">
        <f t="array" aca="1" ref="J464" ca="1">IF(ISNUMBER(A464),IFERROR(_xlfn._xlws.FILTER(Equipar!A:A,(Equipar!B:B=6)*(Equipar!AC:AC=A464)),""),"")</f>
        <v/>
      </c>
    </row>
    <row r="465" spans="1:10" x14ac:dyDescent="0.25">
      <c r="A465" s="1" t="str">
        <f ca="1">IF(A464="ID",1,IF(ISBLANK(B465),"",MAX(A$2:A464)+1))</f>
        <v/>
      </c>
      <c r="I465" s="2" t="str">
        <f ca="1">IF(ISNUMBER(A465),
IF(COUNTIFS(Equipar!B:B,6,Equipar!AC:AC,A465),"Equipada",
IF(
 OR(COUNTIFS(Equipar!B:B,6,Equipar!C:C,A465)
 +COUNTIFS(Equipar!B:B,6,Equipar!D:D,A465)
+COUNTIFS(Equipar!B:B,6,Equipar!E:E,A465)
+COUNTIFS(Equipar!B:B,6,Equipar!F:F,A465)
&gt;0,COUNTIF('Set recomendado'!B:B,C465)=0),
"Bloqueada",
"Desechable")),""
)</f>
        <v/>
      </c>
      <c r="J465" t="str" cm="1">
        <f t="array" aca="1" ref="J465" ca="1">IF(ISNUMBER(A465),IFERROR(_xlfn._xlws.FILTER(Equipar!A:A,(Equipar!B:B=6)*(Equipar!AC:AC=A465)),""),"")</f>
        <v/>
      </c>
    </row>
    <row r="466" spans="1:10" x14ac:dyDescent="0.25">
      <c r="A466" s="1" t="str">
        <f ca="1">IF(A465="ID",1,IF(ISBLANK(B466),"",MAX(A$2:A465)+1))</f>
        <v/>
      </c>
      <c r="I466" s="2" t="str">
        <f ca="1">IF(ISNUMBER(A466),
IF(COUNTIFS(Equipar!B:B,6,Equipar!AC:AC,A466),"Equipada",
IF(
 OR(COUNTIFS(Equipar!B:B,6,Equipar!C:C,A466)
 +COUNTIFS(Equipar!B:B,6,Equipar!D:D,A466)
+COUNTIFS(Equipar!B:B,6,Equipar!E:E,A466)
+COUNTIFS(Equipar!B:B,6,Equipar!F:F,A466)
&gt;0,COUNTIF('Set recomendado'!B:B,C466)=0),
"Bloqueada",
"Desechable")),""
)</f>
        <v/>
      </c>
      <c r="J466" t="str" cm="1">
        <f t="array" aca="1" ref="J466" ca="1">IF(ISNUMBER(A466),IFERROR(_xlfn._xlws.FILTER(Equipar!A:A,(Equipar!B:B=6)*(Equipar!AC:AC=A466)),""),"")</f>
        <v/>
      </c>
    </row>
    <row r="467" spans="1:10" x14ac:dyDescent="0.25">
      <c r="A467" s="1" t="str">
        <f ca="1">IF(A466="ID",1,IF(ISBLANK(B467),"",MAX(A$2:A466)+1))</f>
        <v/>
      </c>
      <c r="I467" s="2" t="str">
        <f ca="1">IF(ISNUMBER(A467),
IF(COUNTIFS(Equipar!B:B,6,Equipar!AC:AC,A467),"Equipada",
IF(
 OR(COUNTIFS(Equipar!B:B,6,Equipar!C:C,A467)
 +COUNTIFS(Equipar!B:B,6,Equipar!D:D,A467)
+COUNTIFS(Equipar!B:B,6,Equipar!E:E,A467)
+COUNTIFS(Equipar!B:B,6,Equipar!F:F,A467)
&gt;0,COUNTIF('Set recomendado'!B:B,C467)=0),
"Bloqueada",
"Desechable")),""
)</f>
        <v/>
      </c>
      <c r="J467" t="str" cm="1">
        <f t="array" aca="1" ref="J467" ca="1">IF(ISNUMBER(A467),IFERROR(_xlfn._xlws.FILTER(Equipar!A:A,(Equipar!B:B=6)*(Equipar!AC:AC=A467)),""),"")</f>
        <v/>
      </c>
    </row>
    <row r="468" spans="1:10" x14ac:dyDescent="0.25">
      <c r="A468" s="1" t="str">
        <f ca="1">IF(A467="ID",1,IF(ISBLANK(B468),"",MAX(A$2:A467)+1))</f>
        <v/>
      </c>
      <c r="I468" s="2" t="str">
        <f ca="1">IF(ISNUMBER(A468),
IF(COUNTIFS(Equipar!B:B,6,Equipar!AC:AC,A468),"Equipada",
IF(
 OR(COUNTIFS(Equipar!B:B,6,Equipar!C:C,A468)
 +COUNTIFS(Equipar!B:B,6,Equipar!D:D,A468)
+COUNTIFS(Equipar!B:B,6,Equipar!E:E,A468)
+COUNTIFS(Equipar!B:B,6,Equipar!F:F,A468)
&gt;0,COUNTIF('Set recomendado'!B:B,C468)=0),
"Bloqueada",
"Desechable")),""
)</f>
        <v/>
      </c>
      <c r="J468" t="str" cm="1">
        <f t="array" aca="1" ref="J468" ca="1">IF(ISNUMBER(A468),IFERROR(_xlfn._xlws.FILTER(Equipar!A:A,(Equipar!B:B=6)*(Equipar!AC:AC=A468)),""),"")</f>
        <v/>
      </c>
    </row>
    <row r="469" spans="1:10" x14ac:dyDescent="0.25">
      <c r="A469" s="1" t="str">
        <f ca="1">IF(A468="ID",1,IF(ISBLANK(B469),"",MAX(A$2:A468)+1))</f>
        <v/>
      </c>
      <c r="I469" s="2" t="str">
        <f ca="1">IF(ISNUMBER(A469),
IF(COUNTIFS(Equipar!B:B,6,Equipar!AC:AC,A469),"Equipada",
IF(
 OR(COUNTIFS(Equipar!B:B,6,Equipar!C:C,A469)
 +COUNTIFS(Equipar!B:B,6,Equipar!D:D,A469)
+COUNTIFS(Equipar!B:B,6,Equipar!E:E,A469)
+COUNTIFS(Equipar!B:B,6,Equipar!F:F,A469)
&gt;0,COUNTIF('Set recomendado'!B:B,C469)=0),
"Bloqueada",
"Desechable")),""
)</f>
        <v/>
      </c>
      <c r="J469" t="str" cm="1">
        <f t="array" aca="1" ref="J469" ca="1">IF(ISNUMBER(A469),IFERROR(_xlfn._xlws.FILTER(Equipar!A:A,(Equipar!B:B=6)*(Equipar!AC:AC=A469)),""),"")</f>
        <v/>
      </c>
    </row>
    <row r="470" spans="1:10" x14ac:dyDescent="0.25">
      <c r="A470" s="1" t="str">
        <f ca="1">IF(A469="ID",1,IF(ISBLANK(B470),"",MAX(A$2:A469)+1))</f>
        <v/>
      </c>
      <c r="I470" s="2" t="str">
        <f ca="1">IF(ISNUMBER(A470),
IF(COUNTIFS(Equipar!B:B,6,Equipar!AC:AC,A470),"Equipada",
IF(
 OR(COUNTIFS(Equipar!B:B,6,Equipar!C:C,A470)
 +COUNTIFS(Equipar!B:B,6,Equipar!D:D,A470)
+COUNTIFS(Equipar!B:B,6,Equipar!E:E,A470)
+COUNTIFS(Equipar!B:B,6,Equipar!F:F,A470)
&gt;0,COUNTIF('Set recomendado'!B:B,C470)=0),
"Bloqueada",
"Desechable")),""
)</f>
        <v/>
      </c>
      <c r="J470" t="str" cm="1">
        <f t="array" aca="1" ref="J470" ca="1">IF(ISNUMBER(A470),IFERROR(_xlfn._xlws.FILTER(Equipar!A:A,(Equipar!B:B=6)*(Equipar!AC:AC=A470)),""),"")</f>
        <v/>
      </c>
    </row>
    <row r="471" spans="1:10" x14ac:dyDescent="0.25">
      <c r="A471" s="1" t="str">
        <f ca="1">IF(A470="ID",1,IF(ISBLANK(B471),"",MAX(A$2:A470)+1))</f>
        <v/>
      </c>
      <c r="I471" s="2" t="str">
        <f ca="1">IF(ISNUMBER(A471),
IF(COUNTIFS(Equipar!B:B,6,Equipar!AC:AC,A471),"Equipada",
IF(
 OR(COUNTIFS(Equipar!B:B,6,Equipar!C:C,A471)
 +COUNTIFS(Equipar!B:B,6,Equipar!D:D,A471)
+COUNTIFS(Equipar!B:B,6,Equipar!E:E,A471)
+COUNTIFS(Equipar!B:B,6,Equipar!F:F,A471)
&gt;0,COUNTIF('Set recomendado'!B:B,C471)=0),
"Bloqueada",
"Desechable")),""
)</f>
        <v/>
      </c>
      <c r="J471" t="str" cm="1">
        <f t="array" aca="1" ref="J471" ca="1">IF(ISNUMBER(A471),IFERROR(_xlfn._xlws.FILTER(Equipar!A:A,(Equipar!B:B=6)*(Equipar!AC:AC=A471)),""),"")</f>
        <v/>
      </c>
    </row>
    <row r="472" spans="1:10" x14ac:dyDescent="0.25">
      <c r="A472" s="1" t="str">
        <f ca="1">IF(A471="ID",1,IF(ISBLANK(B472),"",MAX(A$2:A471)+1))</f>
        <v/>
      </c>
      <c r="I472" s="2" t="str">
        <f ca="1">IF(ISNUMBER(A472),
IF(COUNTIFS(Equipar!B:B,6,Equipar!AC:AC,A472),"Equipada",
IF(
 OR(COUNTIFS(Equipar!B:B,6,Equipar!C:C,A472)
 +COUNTIFS(Equipar!B:B,6,Equipar!D:D,A472)
+COUNTIFS(Equipar!B:B,6,Equipar!E:E,A472)
+COUNTIFS(Equipar!B:B,6,Equipar!F:F,A472)
&gt;0,COUNTIF('Set recomendado'!B:B,C472)=0),
"Bloqueada",
"Desechable")),""
)</f>
        <v/>
      </c>
      <c r="J472" t="str" cm="1">
        <f t="array" aca="1" ref="J472" ca="1">IF(ISNUMBER(A472),IFERROR(_xlfn._xlws.FILTER(Equipar!A:A,(Equipar!B:B=6)*(Equipar!AC:AC=A472)),""),"")</f>
        <v/>
      </c>
    </row>
    <row r="473" spans="1:10" x14ac:dyDescent="0.25">
      <c r="A473" s="1" t="str">
        <f ca="1">IF(A472="ID",1,IF(ISBLANK(B473),"",MAX(A$2:A472)+1))</f>
        <v/>
      </c>
      <c r="I473" s="2" t="str">
        <f ca="1">IF(ISNUMBER(A473),
IF(COUNTIFS(Equipar!B:B,6,Equipar!AC:AC,A473),"Equipada",
IF(
 OR(COUNTIFS(Equipar!B:B,6,Equipar!C:C,A473)
 +COUNTIFS(Equipar!B:B,6,Equipar!D:D,A473)
+COUNTIFS(Equipar!B:B,6,Equipar!E:E,A473)
+COUNTIFS(Equipar!B:B,6,Equipar!F:F,A473)
&gt;0,COUNTIF('Set recomendado'!B:B,C473)=0),
"Bloqueada",
"Desechable")),""
)</f>
        <v/>
      </c>
      <c r="J473" t="str" cm="1">
        <f t="array" aca="1" ref="J473" ca="1">IF(ISNUMBER(A473),IFERROR(_xlfn._xlws.FILTER(Equipar!A:A,(Equipar!B:B=6)*(Equipar!AC:AC=A473)),""),"")</f>
        <v/>
      </c>
    </row>
    <row r="474" spans="1:10" x14ac:dyDescent="0.25">
      <c r="A474" s="1" t="str">
        <f ca="1">IF(A473="ID",1,IF(ISBLANK(B474),"",MAX(A$2:A473)+1))</f>
        <v/>
      </c>
      <c r="I474" s="2" t="str">
        <f ca="1">IF(ISNUMBER(A474),
IF(COUNTIFS(Equipar!B:B,6,Equipar!AC:AC,A474),"Equipada",
IF(
 OR(COUNTIFS(Equipar!B:B,6,Equipar!C:C,A474)
 +COUNTIFS(Equipar!B:B,6,Equipar!D:D,A474)
+COUNTIFS(Equipar!B:B,6,Equipar!E:E,A474)
+COUNTIFS(Equipar!B:B,6,Equipar!F:F,A474)
&gt;0,COUNTIF('Set recomendado'!B:B,C474)=0),
"Bloqueada",
"Desechable")),""
)</f>
        <v/>
      </c>
      <c r="J474" t="str" cm="1">
        <f t="array" aca="1" ref="J474" ca="1">IF(ISNUMBER(A474),IFERROR(_xlfn._xlws.FILTER(Equipar!A:A,(Equipar!B:B=6)*(Equipar!AC:AC=A474)),""),"")</f>
        <v/>
      </c>
    </row>
    <row r="475" spans="1:10" x14ac:dyDescent="0.25">
      <c r="A475" s="1" t="str">
        <f ca="1">IF(A474="ID",1,IF(ISBLANK(B475),"",MAX(A$2:A474)+1))</f>
        <v/>
      </c>
      <c r="I475" s="2" t="str">
        <f ca="1">IF(ISNUMBER(A475),
IF(COUNTIFS(Equipar!B:B,6,Equipar!AC:AC,A475),"Equipada",
IF(
 OR(COUNTIFS(Equipar!B:B,6,Equipar!C:C,A475)
 +COUNTIFS(Equipar!B:B,6,Equipar!D:D,A475)
+COUNTIFS(Equipar!B:B,6,Equipar!E:E,A475)
+COUNTIFS(Equipar!B:B,6,Equipar!F:F,A475)
&gt;0,COUNTIF('Set recomendado'!B:B,C475)=0),
"Bloqueada",
"Desechable")),""
)</f>
        <v/>
      </c>
      <c r="J475" t="str" cm="1">
        <f t="array" aca="1" ref="J475" ca="1">IF(ISNUMBER(A475),IFERROR(_xlfn._xlws.FILTER(Equipar!A:A,(Equipar!B:B=6)*(Equipar!AC:AC=A475)),""),"")</f>
        <v/>
      </c>
    </row>
    <row r="476" spans="1:10" x14ac:dyDescent="0.25">
      <c r="A476" s="1" t="str">
        <f ca="1">IF(A475="ID",1,IF(ISBLANK(B476),"",MAX(A$2:A475)+1))</f>
        <v/>
      </c>
      <c r="I476" s="2" t="str">
        <f ca="1">IF(ISNUMBER(A476),
IF(COUNTIFS(Equipar!B:B,6,Equipar!AC:AC,A476),"Equipada",
IF(
 OR(COUNTIFS(Equipar!B:B,6,Equipar!C:C,A476)
 +COUNTIFS(Equipar!B:B,6,Equipar!D:D,A476)
+COUNTIFS(Equipar!B:B,6,Equipar!E:E,A476)
+COUNTIFS(Equipar!B:B,6,Equipar!F:F,A476)
&gt;0,COUNTIF('Set recomendado'!B:B,C476)=0),
"Bloqueada",
"Desechable")),""
)</f>
        <v/>
      </c>
      <c r="J476" t="str" cm="1">
        <f t="array" aca="1" ref="J476" ca="1">IF(ISNUMBER(A476),IFERROR(_xlfn._xlws.FILTER(Equipar!A:A,(Equipar!B:B=6)*(Equipar!AC:AC=A476)),""),"")</f>
        <v/>
      </c>
    </row>
    <row r="477" spans="1:10" x14ac:dyDescent="0.25">
      <c r="A477" s="1" t="str">
        <f ca="1">IF(A476="ID",1,IF(ISBLANK(B477),"",MAX(A$2:A476)+1))</f>
        <v/>
      </c>
      <c r="I477" s="2" t="str">
        <f ca="1">IF(ISNUMBER(A477),
IF(COUNTIFS(Equipar!B:B,6,Equipar!AC:AC,A477),"Equipada",
IF(
 OR(COUNTIFS(Equipar!B:B,6,Equipar!C:C,A477)
 +COUNTIFS(Equipar!B:B,6,Equipar!D:D,A477)
+COUNTIFS(Equipar!B:B,6,Equipar!E:E,A477)
+COUNTIFS(Equipar!B:B,6,Equipar!F:F,A477)
&gt;0,COUNTIF('Set recomendado'!B:B,C477)=0),
"Bloqueada",
"Desechable")),""
)</f>
        <v/>
      </c>
      <c r="J477" t="str" cm="1">
        <f t="array" aca="1" ref="J477" ca="1">IF(ISNUMBER(A477),IFERROR(_xlfn._xlws.FILTER(Equipar!A:A,(Equipar!B:B=6)*(Equipar!AC:AC=A477)),""),"")</f>
        <v/>
      </c>
    </row>
    <row r="478" spans="1:10" x14ac:dyDescent="0.25">
      <c r="A478" s="1" t="str">
        <f ca="1">IF(A477="ID",1,IF(ISBLANK(B478),"",MAX(A$2:A477)+1))</f>
        <v/>
      </c>
      <c r="I478" s="2" t="str">
        <f ca="1">IF(ISNUMBER(A478),
IF(COUNTIFS(Equipar!B:B,6,Equipar!AC:AC,A478),"Equipada",
IF(
 OR(COUNTIFS(Equipar!B:B,6,Equipar!C:C,A478)
 +COUNTIFS(Equipar!B:B,6,Equipar!D:D,A478)
+COUNTIFS(Equipar!B:B,6,Equipar!E:E,A478)
+COUNTIFS(Equipar!B:B,6,Equipar!F:F,A478)
&gt;0,COUNTIF('Set recomendado'!B:B,C478)=0),
"Bloqueada",
"Desechable")),""
)</f>
        <v/>
      </c>
      <c r="J478" t="str" cm="1">
        <f t="array" aca="1" ref="J478" ca="1">IF(ISNUMBER(A478),IFERROR(_xlfn._xlws.FILTER(Equipar!A:A,(Equipar!B:B=6)*(Equipar!AC:AC=A478)),""),"")</f>
        <v/>
      </c>
    </row>
    <row r="479" spans="1:10" x14ac:dyDescent="0.25">
      <c r="A479" s="1" t="str">
        <f ca="1">IF(A478="ID",1,IF(ISBLANK(B479),"",MAX(A$2:A478)+1))</f>
        <v/>
      </c>
      <c r="I479" s="2" t="str">
        <f ca="1">IF(ISNUMBER(A479),
IF(COUNTIFS(Equipar!B:B,6,Equipar!AC:AC,A479),"Equipada",
IF(
 OR(COUNTIFS(Equipar!B:B,6,Equipar!C:C,A479)
 +COUNTIFS(Equipar!B:B,6,Equipar!D:D,A479)
+COUNTIFS(Equipar!B:B,6,Equipar!E:E,A479)
+COUNTIFS(Equipar!B:B,6,Equipar!F:F,A479)
&gt;0,COUNTIF('Set recomendado'!B:B,C479)=0),
"Bloqueada",
"Desechable")),""
)</f>
        <v/>
      </c>
      <c r="J479" t="str" cm="1">
        <f t="array" aca="1" ref="J479" ca="1">IF(ISNUMBER(A479),IFERROR(_xlfn._xlws.FILTER(Equipar!A:A,(Equipar!B:B=6)*(Equipar!AC:AC=A479)),""),"")</f>
        <v/>
      </c>
    </row>
    <row r="480" spans="1:10" x14ac:dyDescent="0.25">
      <c r="A480" s="1" t="str">
        <f ca="1">IF(A479="ID",1,IF(ISBLANK(B480),"",MAX(A$2:A479)+1))</f>
        <v/>
      </c>
      <c r="I480" s="2" t="str">
        <f ca="1">IF(ISNUMBER(A480),
IF(COUNTIFS(Equipar!B:B,6,Equipar!AC:AC,A480),"Equipada",
IF(
 OR(COUNTIFS(Equipar!B:B,6,Equipar!C:C,A480)
 +COUNTIFS(Equipar!B:B,6,Equipar!D:D,A480)
+COUNTIFS(Equipar!B:B,6,Equipar!E:E,A480)
+COUNTIFS(Equipar!B:B,6,Equipar!F:F,A480)
&gt;0,COUNTIF('Set recomendado'!B:B,C480)=0),
"Bloqueada",
"Desechable")),""
)</f>
        <v/>
      </c>
      <c r="J480" t="str" cm="1">
        <f t="array" aca="1" ref="J480" ca="1">IF(ISNUMBER(A480),IFERROR(_xlfn._xlws.FILTER(Equipar!A:A,(Equipar!B:B=6)*(Equipar!AC:AC=A480)),""),"")</f>
        <v/>
      </c>
    </row>
    <row r="481" spans="1:10" x14ac:dyDescent="0.25">
      <c r="A481" s="1" t="str">
        <f ca="1">IF(A480="ID",1,IF(ISBLANK(B481),"",MAX(A$2:A480)+1))</f>
        <v/>
      </c>
      <c r="I481" s="2" t="str">
        <f ca="1">IF(ISNUMBER(A481),
IF(COUNTIFS(Equipar!B:B,6,Equipar!AC:AC,A481),"Equipada",
IF(
 OR(COUNTIFS(Equipar!B:B,6,Equipar!C:C,A481)
 +COUNTIFS(Equipar!B:B,6,Equipar!D:D,A481)
+COUNTIFS(Equipar!B:B,6,Equipar!E:E,A481)
+COUNTIFS(Equipar!B:B,6,Equipar!F:F,A481)
&gt;0,COUNTIF('Set recomendado'!B:B,C481)=0),
"Bloqueada",
"Desechable")),""
)</f>
        <v/>
      </c>
      <c r="J481" t="str" cm="1">
        <f t="array" aca="1" ref="J481" ca="1">IF(ISNUMBER(A481),IFERROR(_xlfn._xlws.FILTER(Equipar!A:A,(Equipar!B:B=6)*(Equipar!AC:AC=A481)),""),"")</f>
        <v/>
      </c>
    </row>
    <row r="482" spans="1:10" x14ac:dyDescent="0.25">
      <c r="A482" s="1" t="str">
        <f ca="1">IF(A481="ID",1,IF(ISBLANK(B482),"",MAX(A$2:A481)+1))</f>
        <v/>
      </c>
      <c r="I482" s="2" t="str">
        <f ca="1">IF(ISNUMBER(A482),
IF(COUNTIFS(Equipar!B:B,6,Equipar!AC:AC,A482),"Equipada",
IF(
 OR(COUNTIFS(Equipar!B:B,6,Equipar!C:C,A482)
 +COUNTIFS(Equipar!B:B,6,Equipar!D:D,A482)
+COUNTIFS(Equipar!B:B,6,Equipar!E:E,A482)
+COUNTIFS(Equipar!B:B,6,Equipar!F:F,A482)
&gt;0,COUNTIF('Set recomendado'!B:B,C482)=0),
"Bloqueada",
"Desechable")),""
)</f>
        <v/>
      </c>
      <c r="J482" t="str" cm="1">
        <f t="array" aca="1" ref="J482" ca="1">IF(ISNUMBER(A482),IFERROR(_xlfn._xlws.FILTER(Equipar!A:A,(Equipar!B:B=6)*(Equipar!AC:AC=A482)),""),"")</f>
        <v/>
      </c>
    </row>
    <row r="483" spans="1:10" x14ac:dyDescent="0.25">
      <c r="A483" s="1" t="str">
        <f ca="1">IF(A482="ID",1,IF(ISBLANK(B483),"",MAX(A$2:A482)+1))</f>
        <v/>
      </c>
      <c r="I483" s="2" t="str">
        <f ca="1">IF(ISNUMBER(A483),
IF(COUNTIFS(Equipar!B:B,6,Equipar!AC:AC,A483),"Equipada",
IF(
 OR(COUNTIFS(Equipar!B:B,6,Equipar!C:C,A483)
 +COUNTIFS(Equipar!B:B,6,Equipar!D:D,A483)
+COUNTIFS(Equipar!B:B,6,Equipar!E:E,A483)
+COUNTIFS(Equipar!B:B,6,Equipar!F:F,A483)
&gt;0,COUNTIF('Set recomendado'!B:B,C483)=0),
"Bloqueada",
"Desechable")),""
)</f>
        <v/>
      </c>
      <c r="J483" t="str" cm="1">
        <f t="array" aca="1" ref="J483" ca="1">IF(ISNUMBER(A483),IFERROR(_xlfn._xlws.FILTER(Equipar!A:A,(Equipar!B:B=6)*(Equipar!AC:AC=A483)),""),"")</f>
        <v/>
      </c>
    </row>
    <row r="484" spans="1:10" x14ac:dyDescent="0.25">
      <c r="A484" s="1" t="str">
        <f ca="1">IF(A483="ID",1,IF(ISBLANK(B484),"",MAX(A$2:A483)+1))</f>
        <v/>
      </c>
      <c r="I484" s="2" t="str">
        <f ca="1">IF(ISNUMBER(A484),
IF(COUNTIFS(Equipar!B:B,6,Equipar!AC:AC,A484),"Equipada",
IF(
 OR(COUNTIFS(Equipar!B:B,6,Equipar!C:C,A484)
 +COUNTIFS(Equipar!B:B,6,Equipar!D:D,A484)
+COUNTIFS(Equipar!B:B,6,Equipar!E:E,A484)
+COUNTIFS(Equipar!B:B,6,Equipar!F:F,A484)
&gt;0,COUNTIF('Set recomendado'!B:B,C484)=0),
"Bloqueada",
"Desechable")),""
)</f>
        <v/>
      </c>
      <c r="J484" t="str" cm="1">
        <f t="array" aca="1" ref="J484" ca="1">IF(ISNUMBER(A484),IFERROR(_xlfn._xlws.FILTER(Equipar!A:A,(Equipar!B:B=6)*(Equipar!AC:AC=A484)),""),"")</f>
        <v/>
      </c>
    </row>
    <row r="485" spans="1:10" x14ac:dyDescent="0.25">
      <c r="A485" s="1" t="str">
        <f ca="1">IF(A484="ID",1,IF(ISBLANK(B485),"",MAX(A$2:A484)+1))</f>
        <v/>
      </c>
      <c r="I485" s="2" t="str">
        <f ca="1">IF(ISNUMBER(A485),
IF(COUNTIFS(Equipar!B:B,6,Equipar!AC:AC,A485),"Equipada",
IF(
 OR(COUNTIFS(Equipar!B:B,6,Equipar!C:C,A485)
 +COUNTIFS(Equipar!B:B,6,Equipar!D:D,A485)
+COUNTIFS(Equipar!B:B,6,Equipar!E:E,A485)
+COUNTIFS(Equipar!B:B,6,Equipar!F:F,A485)
&gt;0,COUNTIF('Set recomendado'!B:B,C485)=0),
"Bloqueada",
"Desechable")),""
)</f>
        <v/>
      </c>
      <c r="J485" t="str" cm="1">
        <f t="array" aca="1" ref="J485" ca="1">IF(ISNUMBER(A485),IFERROR(_xlfn._xlws.FILTER(Equipar!A:A,(Equipar!B:B=6)*(Equipar!AC:AC=A485)),""),"")</f>
        <v/>
      </c>
    </row>
    <row r="486" spans="1:10" x14ac:dyDescent="0.25">
      <c r="A486" s="1" t="str">
        <f ca="1">IF(A485="ID",1,IF(ISBLANK(B486),"",MAX(A$2:A485)+1))</f>
        <v/>
      </c>
      <c r="I486" s="2" t="str">
        <f ca="1">IF(ISNUMBER(A486),
IF(COUNTIFS(Equipar!B:B,6,Equipar!AC:AC,A486),"Equipada",
IF(
 OR(COUNTIFS(Equipar!B:B,6,Equipar!C:C,A486)
 +COUNTIFS(Equipar!B:B,6,Equipar!D:D,A486)
+COUNTIFS(Equipar!B:B,6,Equipar!E:E,A486)
+COUNTIFS(Equipar!B:B,6,Equipar!F:F,A486)
&gt;0,COUNTIF('Set recomendado'!B:B,C486)=0),
"Bloqueada",
"Desechable")),""
)</f>
        <v/>
      </c>
      <c r="J486" t="str" cm="1">
        <f t="array" aca="1" ref="J486" ca="1">IF(ISNUMBER(A486),IFERROR(_xlfn._xlws.FILTER(Equipar!A:A,(Equipar!B:B=6)*(Equipar!AC:AC=A486)),""),"")</f>
        <v/>
      </c>
    </row>
    <row r="487" spans="1:10" x14ac:dyDescent="0.25">
      <c r="A487" s="1" t="str">
        <f ca="1">IF(A486="ID",1,IF(ISBLANK(B487),"",MAX(A$2:A486)+1))</f>
        <v/>
      </c>
      <c r="I487" s="2" t="str">
        <f ca="1">IF(ISNUMBER(A487),
IF(COUNTIFS(Equipar!B:B,6,Equipar!AC:AC,A487),"Equipada",
IF(
 OR(COUNTIFS(Equipar!B:B,6,Equipar!C:C,A487)
 +COUNTIFS(Equipar!B:B,6,Equipar!D:D,A487)
+COUNTIFS(Equipar!B:B,6,Equipar!E:E,A487)
+COUNTIFS(Equipar!B:B,6,Equipar!F:F,A487)
&gt;0,COUNTIF('Set recomendado'!B:B,C487)=0),
"Bloqueada",
"Desechable")),""
)</f>
        <v/>
      </c>
      <c r="J487" t="str" cm="1">
        <f t="array" aca="1" ref="J487" ca="1">IF(ISNUMBER(A487),IFERROR(_xlfn._xlws.FILTER(Equipar!A:A,(Equipar!B:B=6)*(Equipar!AC:AC=A487)),""),"")</f>
        <v/>
      </c>
    </row>
    <row r="488" spans="1:10" x14ac:dyDescent="0.25">
      <c r="A488" s="1" t="str">
        <f ca="1">IF(A487="ID",1,IF(ISBLANK(B488),"",MAX(A$2:A487)+1))</f>
        <v/>
      </c>
      <c r="I488" s="2" t="str">
        <f ca="1">IF(ISNUMBER(A488),
IF(COUNTIFS(Equipar!B:B,6,Equipar!AC:AC,A488),"Equipada",
IF(
 OR(COUNTIFS(Equipar!B:B,6,Equipar!C:C,A488)
 +COUNTIFS(Equipar!B:B,6,Equipar!D:D,A488)
+COUNTIFS(Equipar!B:B,6,Equipar!E:E,A488)
+COUNTIFS(Equipar!B:B,6,Equipar!F:F,A488)
&gt;0,COUNTIF('Set recomendado'!B:B,C488)=0),
"Bloqueada",
"Desechable")),""
)</f>
        <v/>
      </c>
      <c r="J488" t="str" cm="1">
        <f t="array" aca="1" ref="J488" ca="1">IF(ISNUMBER(A488),IFERROR(_xlfn._xlws.FILTER(Equipar!A:A,(Equipar!B:B=6)*(Equipar!AC:AC=A488)),""),"")</f>
        <v/>
      </c>
    </row>
    <row r="489" spans="1:10" x14ac:dyDescent="0.25">
      <c r="A489" s="1" t="str">
        <f ca="1">IF(A488="ID",1,IF(ISBLANK(B489),"",MAX(A$2:A488)+1))</f>
        <v/>
      </c>
      <c r="I489" s="2" t="str">
        <f ca="1">IF(ISNUMBER(A489),
IF(COUNTIFS(Equipar!B:B,6,Equipar!AC:AC,A489),"Equipada",
IF(
 OR(COUNTIFS(Equipar!B:B,6,Equipar!C:C,A489)
 +COUNTIFS(Equipar!B:B,6,Equipar!D:D,A489)
+COUNTIFS(Equipar!B:B,6,Equipar!E:E,A489)
+COUNTIFS(Equipar!B:B,6,Equipar!F:F,A489)
&gt;0,COUNTIF('Set recomendado'!B:B,C489)=0),
"Bloqueada",
"Desechable")),""
)</f>
        <v/>
      </c>
      <c r="J489" t="str" cm="1">
        <f t="array" aca="1" ref="J489" ca="1">IF(ISNUMBER(A489),IFERROR(_xlfn._xlws.FILTER(Equipar!A:A,(Equipar!B:B=6)*(Equipar!AC:AC=A489)),""),"")</f>
        <v/>
      </c>
    </row>
    <row r="490" spans="1:10" x14ac:dyDescent="0.25">
      <c r="A490" s="1" t="str">
        <f ca="1">IF(A489="ID",1,IF(ISBLANK(B490),"",MAX(A$2:A489)+1))</f>
        <v/>
      </c>
      <c r="I490" s="2" t="str">
        <f ca="1">IF(ISNUMBER(A490),
IF(COUNTIFS(Equipar!B:B,6,Equipar!AC:AC,A490),"Equipada",
IF(
 OR(COUNTIFS(Equipar!B:B,6,Equipar!C:C,A490)
 +COUNTIFS(Equipar!B:B,6,Equipar!D:D,A490)
+COUNTIFS(Equipar!B:B,6,Equipar!E:E,A490)
+COUNTIFS(Equipar!B:B,6,Equipar!F:F,A490)
&gt;0,COUNTIF('Set recomendado'!B:B,C490)=0),
"Bloqueada",
"Desechable")),""
)</f>
        <v/>
      </c>
      <c r="J490" t="str" cm="1">
        <f t="array" aca="1" ref="J490" ca="1">IF(ISNUMBER(A490),IFERROR(_xlfn._xlws.FILTER(Equipar!A:A,(Equipar!B:B=6)*(Equipar!AC:AC=A490)),""),"")</f>
        <v/>
      </c>
    </row>
    <row r="491" spans="1:10" x14ac:dyDescent="0.25">
      <c r="A491" s="1" t="str">
        <f ca="1">IF(A490="ID",1,IF(ISBLANK(B491),"",MAX(A$2:A490)+1))</f>
        <v/>
      </c>
      <c r="I491" s="2" t="str">
        <f ca="1">IF(ISNUMBER(A491),
IF(COUNTIFS(Equipar!B:B,6,Equipar!AC:AC,A491),"Equipada",
IF(
 OR(COUNTIFS(Equipar!B:B,6,Equipar!C:C,A491)
 +COUNTIFS(Equipar!B:B,6,Equipar!D:D,A491)
+COUNTIFS(Equipar!B:B,6,Equipar!E:E,A491)
+COUNTIFS(Equipar!B:B,6,Equipar!F:F,A491)
&gt;0,COUNTIF('Set recomendado'!B:B,C491)=0),
"Bloqueada",
"Desechable")),""
)</f>
        <v/>
      </c>
      <c r="J491" t="str" cm="1">
        <f t="array" aca="1" ref="J491" ca="1">IF(ISNUMBER(A491),IFERROR(_xlfn._xlws.FILTER(Equipar!A:A,(Equipar!B:B=6)*(Equipar!AC:AC=A491)),""),"")</f>
        <v/>
      </c>
    </row>
    <row r="492" spans="1:10" x14ac:dyDescent="0.25">
      <c r="A492" s="1" t="str">
        <f ca="1">IF(A491="ID",1,IF(ISBLANK(B492),"",MAX(A$2:A491)+1))</f>
        <v/>
      </c>
      <c r="I492" s="2" t="str">
        <f ca="1">IF(ISNUMBER(A492),
IF(COUNTIFS(Equipar!B:B,6,Equipar!AC:AC,A492),"Equipada",
IF(
 OR(COUNTIFS(Equipar!B:B,6,Equipar!C:C,A492)
 +COUNTIFS(Equipar!B:B,6,Equipar!D:D,A492)
+COUNTIFS(Equipar!B:B,6,Equipar!E:E,A492)
+COUNTIFS(Equipar!B:B,6,Equipar!F:F,A492)
&gt;0,COUNTIF('Set recomendado'!B:B,C492)=0),
"Bloqueada",
"Desechable")),""
)</f>
        <v/>
      </c>
      <c r="J492" t="str" cm="1">
        <f t="array" aca="1" ref="J492" ca="1">IF(ISNUMBER(A492),IFERROR(_xlfn._xlws.FILTER(Equipar!A:A,(Equipar!B:B=6)*(Equipar!AC:AC=A492)),""),"")</f>
        <v/>
      </c>
    </row>
    <row r="493" spans="1:10" x14ac:dyDescent="0.25">
      <c r="A493" s="1" t="str">
        <f ca="1">IF(A492="ID",1,IF(ISBLANK(B493),"",MAX(A$2:A492)+1))</f>
        <v/>
      </c>
      <c r="I493" s="2" t="str">
        <f ca="1">IF(ISNUMBER(A493),
IF(COUNTIFS(Equipar!B:B,6,Equipar!AC:AC,A493),"Equipada",
IF(
 OR(COUNTIFS(Equipar!B:B,6,Equipar!C:C,A493)
 +COUNTIFS(Equipar!B:B,6,Equipar!D:D,A493)
+COUNTIFS(Equipar!B:B,6,Equipar!E:E,A493)
+COUNTIFS(Equipar!B:B,6,Equipar!F:F,A493)
&gt;0,COUNTIF('Set recomendado'!B:B,C493)=0),
"Bloqueada",
"Desechable")),""
)</f>
        <v/>
      </c>
      <c r="J493" t="str" cm="1">
        <f t="array" aca="1" ref="J493" ca="1">IF(ISNUMBER(A493),IFERROR(_xlfn._xlws.FILTER(Equipar!A:A,(Equipar!B:B=6)*(Equipar!AC:AC=A493)),""),"")</f>
        <v/>
      </c>
    </row>
    <row r="494" spans="1:10" x14ac:dyDescent="0.25">
      <c r="A494" s="1" t="str">
        <f ca="1">IF(A493="ID",1,IF(ISBLANK(B494),"",MAX(A$2:A493)+1))</f>
        <v/>
      </c>
      <c r="I494" s="2" t="str">
        <f ca="1">IF(ISNUMBER(A494),
IF(COUNTIFS(Equipar!B:B,6,Equipar!AC:AC,A494),"Equipada",
IF(
 OR(COUNTIFS(Equipar!B:B,6,Equipar!C:C,A494)
 +COUNTIFS(Equipar!B:B,6,Equipar!D:D,A494)
+COUNTIFS(Equipar!B:B,6,Equipar!E:E,A494)
+COUNTIFS(Equipar!B:B,6,Equipar!F:F,A494)
&gt;0,COUNTIF('Set recomendado'!B:B,C494)=0),
"Bloqueada",
"Desechable")),""
)</f>
        <v/>
      </c>
      <c r="J494" t="str" cm="1">
        <f t="array" aca="1" ref="J494" ca="1">IF(ISNUMBER(A494),IFERROR(_xlfn._xlws.FILTER(Equipar!A:A,(Equipar!B:B=6)*(Equipar!AC:AC=A494)),""),"")</f>
        <v/>
      </c>
    </row>
    <row r="495" spans="1:10" x14ac:dyDescent="0.25">
      <c r="A495" s="1" t="str">
        <f ca="1">IF(A494="ID",1,IF(ISBLANK(B495),"",MAX(A$2:A494)+1))</f>
        <v/>
      </c>
      <c r="I495" s="2" t="str">
        <f ca="1">IF(ISNUMBER(A495),
IF(COUNTIFS(Equipar!B:B,6,Equipar!AC:AC,A495),"Equipada",
IF(
 OR(COUNTIFS(Equipar!B:B,6,Equipar!C:C,A495)
 +COUNTIFS(Equipar!B:B,6,Equipar!D:D,A495)
+COUNTIFS(Equipar!B:B,6,Equipar!E:E,A495)
+COUNTIFS(Equipar!B:B,6,Equipar!F:F,A495)
&gt;0,COUNTIF('Set recomendado'!B:B,C495)=0),
"Bloqueada",
"Desechable")),""
)</f>
        <v/>
      </c>
      <c r="J495" t="str" cm="1">
        <f t="array" aca="1" ref="J495" ca="1">IF(ISNUMBER(A495),IFERROR(_xlfn._xlws.FILTER(Equipar!A:A,(Equipar!B:B=6)*(Equipar!AC:AC=A495)),""),"")</f>
        <v/>
      </c>
    </row>
    <row r="496" spans="1:10" x14ac:dyDescent="0.25">
      <c r="A496" s="1" t="str">
        <f ca="1">IF(A495="ID",1,IF(ISBLANK(B496),"",MAX(A$2:A495)+1))</f>
        <v/>
      </c>
      <c r="I496" s="2" t="str">
        <f ca="1">IF(ISNUMBER(A496),
IF(COUNTIFS(Equipar!B:B,6,Equipar!AC:AC,A496),"Equipada",
IF(
 OR(COUNTIFS(Equipar!B:B,6,Equipar!C:C,A496)
 +COUNTIFS(Equipar!B:B,6,Equipar!D:D,A496)
+COUNTIFS(Equipar!B:B,6,Equipar!E:E,A496)
+COUNTIFS(Equipar!B:B,6,Equipar!F:F,A496)
&gt;0,COUNTIF('Set recomendado'!B:B,C496)=0),
"Bloqueada",
"Desechable")),""
)</f>
        <v/>
      </c>
      <c r="J496" t="str" cm="1">
        <f t="array" aca="1" ref="J496" ca="1">IF(ISNUMBER(A496),IFERROR(_xlfn._xlws.FILTER(Equipar!A:A,(Equipar!B:B=6)*(Equipar!AC:AC=A496)),""),"")</f>
        <v/>
      </c>
    </row>
    <row r="497" spans="1:10" x14ac:dyDescent="0.25">
      <c r="A497" s="1" t="str">
        <f ca="1">IF(A496="ID",1,IF(ISBLANK(B497),"",MAX(A$2:A496)+1))</f>
        <v/>
      </c>
      <c r="I497" s="2" t="str">
        <f ca="1">IF(ISNUMBER(A497),
IF(COUNTIFS(Equipar!B:B,6,Equipar!AC:AC,A497),"Equipada",
IF(
 OR(COUNTIFS(Equipar!B:B,6,Equipar!C:C,A497)
 +COUNTIFS(Equipar!B:B,6,Equipar!D:D,A497)
+COUNTIFS(Equipar!B:B,6,Equipar!E:E,A497)
+COUNTIFS(Equipar!B:B,6,Equipar!F:F,A497)
&gt;0,COUNTIF('Set recomendado'!B:B,C497)=0),
"Bloqueada",
"Desechable")),""
)</f>
        <v/>
      </c>
      <c r="J497" t="str" cm="1">
        <f t="array" aca="1" ref="J497" ca="1">IF(ISNUMBER(A497),IFERROR(_xlfn._xlws.FILTER(Equipar!A:A,(Equipar!B:B=6)*(Equipar!AC:AC=A497)),""),"")</f>
        <v/>
      </c>
    </row>
    <row r="498" spans="1:10" x14ac:dyDescent="0.25">
      <c r="A498" s="1" t="str">
        <f ca="1">IF(A497="ID",1,IF(ISBLANK(B498),"",MAX(A$2:A497)+1))</f>
        <v/>
      </c>
      <c r="I498" s="2" t="str">
        <f ca="1">IF(ISNUMBER(A498),
IF(COUNTIFS(Equipar!B:B,6,Equipar!AC:AC,A498),"Equipada",
IF(
 OR(COUNTIFS(Equipar!B:B,6,Equipar!C:C,A498)
 +COUNTIFS(Equipar!B:B,6,Equipar!D:D,A498)
+COUNTIFS(Equipar!B:B,6,Equipar!E:E,A498)
+COUNTIFS(Equipar!B:B,6,Equipar!F:F,A498)
&gt;0,COUNTIF('Set recomendado'!B:B,C498)=0),
"Bloqueada",
"Desechable")),""
)</f>
        <v/>
      </c>
      <c r="J498" t="str" cm="1">
        <f t="array" aca="1" ref="J498" ca="1">IF(ISNUMBER(A498),IFERROR(_xlfn._xlws.FILTER(Equipar!A:A,(Equipar!B:B=6)*(Equipar!AC:AC=A498)),""),"")</f>
        <v/>
      </c>
    </row>
    <row r="499" spans="1:10" x14ac:dyDescent="0.25">
      <c r="A499" s="1" t="str">
        <f ca="1">IF(A498="ID",1,IF(ISBLANK(B499),"",MAX(A$2:A498)+1))</f>
        <v/>
      </c>
      <c r="I499" s="2" t="str">
        <f ca="1">IF(ISNUMBER(A499),
IF(COUNTIFS(Equipar!B:B,6,Equipar!AC:AC,A499),"Equipada",
IF(
 OR(COUNTIFS(Equipar!B:B,6,Equipar!C:C,A499)
 +COUNTIFS(Equipar!B:B,6,Equipar!D:D,A499)
+COUNTIFS(Equipar!B:B,6,Equipar!E:E,A499)
+COUNTIFS(Equipar!B:B,6,Equipar!F:F,A499)
&gt;0,COUNTIF('Set recomendado'!B:B,C499)=0),
"Bloqueada",
"Desechable")),""
)</f>
        <v/>
      </c>
      <c r="J499" t="str" cm="1">
        <f t="array" aca="1" ref="J499" ca="1">IF(ISNUMBER(A499),IFERROR(_xlfn._xlws.FILTER(Equipar!A:A,(Equipar!B:B=6)*(Equipar!AC:AC=A499)),""),"")</f>
        <v/>
      </c>
    </row>
    <row r="500" spans="1:10" x14ac:dyDescent="0.25">
      <c r="A500" s="1" t="str">
        <f ca="1">IF(A499="ID",1,IF(ISBLANK(B500),"",MAX(A$2:A499)+1))</f>
        <v/>
      </c>
      <c r="I500" s="2" t="str">
        <f ca="1">IF(ISNUMBER(A500),
IF(COUNTIFS(Equipar!B:B,6,Equipar!AC:AC,A500),"Equipada",
IF(
 OR(COUNTIFS(Equipar!B:B,6,Equipar!C:C,A500)
 +COUNTIFS(Equipar!B:B,6,Equipar!D:D,A500)
+COUNTIFS(Equipar!B:B,6,Equipar!E:E,A500)
+COUNTIFS(Equipar!B:B,6,Equipar!F:F,A500)
&gt;0,COUNTIF('Set recomendado'!B:B,C500)=0),
"Bloqueada",
"Desechable")),""
)</f>
        <v/>
      </c>
      <c r="J500" t="str" cm="1">
        <f t="array" aca="1" ref="J500" ca="1">IF(ISNUMBER(A500),IFERROR(_xlfn._xlws.FILTER(Equipar!A:A,(Equipar!B:B=6)*(Equipar!AC:AC=A500)),""),"")</f>
        <v/>
      </c>
    </row>
    <row r="501" spans="1:10" x14ac:dyDescent="0.25">
      <c r="A501" s="1" t="str">
        <f ca="1">IF(A500="ID",1,IF(ISBLANK(B501),"",MAX(A$2:A500)+1))</f>
        <v/>
      </c>
      <c r="I501" s="2" t="str">
        <f ca="1">IF(ISNUMBER(A501),
IF(COUNTIFS(Equipar!B:B,6,Equipar!AC:AC,A501),"Equipada",
IF(
 OR(COUNTIFS(Equipar!B:B,6,Equipar!C:C,A501)
 +COUNTIFS(Equipar!B:B,6,Equipar!D:D,A501)
+COUNTIFS(Equipar!B:B,6,Equipar!E:E,A501)
+COUNTIFS(Equipar!B:B,6,Equipar!F:F,A501)
&gt;0,COUNTIF('Set recomendado'!B:B,C501)=0),
"Bloqueada",
"Desechable")),""
)</f>
        <v/>
      </c>
      <c r="J501" t="str" cm="1">
        <f t="array" aca="1" ref="J501" ca="1">IF(ISNUMBER(A501),IFERROR(_xlfn._xlws.FILTER(Equipar!A:A,(Equipar!B:B=6)*(Equipar!AC:AC=A501)),""),"")</f>
        <v/>
      </c>
    </row>
    <row r="502" spans="1:10" x14ac:dyDescent="0.25">
      <c r="A502" s="1" t="str">
        <f ca="1">IF(A501="ID",1,IF(ISBLANK(B502),"",MAX(A$2:A501)+1))</f>
        <v/>
      </c>
      <c r="I502" s="2" t="str">
        <f ca="1">IF(ISNUMBER(A502),
IF(COUNTIFS(Equipar!B:B,6,Equipar!AC:AC,A502),"Equipada",
IF(
 OR(COUNTIFS(Equipar!B:B,6,Equipar!C:C,A502)
 +COUNTIFS(Equipar!B:B,6,Equipar!D:D,A502)
+COUNTIFS(Equipar!B:B,6,Equipar!E:E,A502)
+COUNTIFS(Equipar!B:B,6,Equipar!F:F,A502)
&gt;0,COUNTIF('Set recomendado'!B:B,C502)=0),
"Bloqueada",
"Desechable")),""
)</f>
        <v/>
      </c>
      <c r="J502" t="str" cm="1">
        <f t="array" aca="1" ref="J502" ca="1">IF(ISNUMBER(A502),IFERROR(_xlfn._xlws.FILTER(Equipar!A:A,(Equipar!B:B=6)*(Equipar!AC:AC=A502)),""),"")</f>
        <v/>
      </c>
    </row>
    <row r="503" spans="1:10" x14ac:dyDescent="0.25">
      <c r="A503" s="1" t="str">
        <f ca="1">IF(A502="ID",1,IF(ISBLANK(B503),"",MAX(A$2:A502)+1))</f>
        <v/>
      </c>
      <c r="I503" s="2" t="str">
        <f ca="1">IF(ISNUMBER(A503),
IF(COUNTIFS(Equipar!B:B,6,Equipar!AC:AC,A503),"Equipada",
IF(
 OR(COUNTIFS(Equipar!B:B,6,Equipar!C:C,A503)
 +COUNTIFS(Equipar!B:B,6,Equipar!D:D,A503)
+COUNTIFS(Equipar!B:B,6,Equipar!E:E,A503)
+COUNTIFS(Equipar!B:B,6,Equipar!F:F,A503)
&gt;0,COUNTIF('Set recomendado'!B:B,C503)=0),
"Bloqueada",
"Desechable")),""
)</f>
        <v/>
      </c>
      <c r="J503" t="str" cm="1">
        <f t="array" aca="1" ref="J503" ca="1">IF(ISNUMBER(A503),IFERROR(_xlfn._xlws.FILTER(Equipar!A:A,(Equipar!B:B=6)*(Equipar!AC:AC=A503)),""),"")</f>
        <v/>
      </c>
    </row>
    <row r="504" spans="1:10" x14ac:dyDescent="0.25">
      <c r="A504" s="1" t="str">
        <f ca="1">IF(A503="ID",1,IF(ISBLANK(B504),"",MAX(A$2:A503)+1))</f>
        <v/>
      </c>
      <c r="I504" s="2" t="str">
        <f ca="1">IF(ISNUMBER(A504),
IF(COUNTIFS(Equipar!B:B,6,Equipar!AC:AC,A504),"Equipada",
IF(
 OR(COUNTIFS(Equipar!B:B,6,Equipar!C:C,A504)
 +COUNTIFS(Equipar!B:B,6,Equipar!D:D,A504)
+COUNTIFS(Equipar!B:B,6,Equipar!E:E,A504)
+COUNTIFS(Equipar!B:B,6,Equipar!F:F,A504)
&gt;0,COUNTIF('Set recomendado'!B:B,C504)=0),
"Bloqueada",
"Desechable")),""
)</f>
        <v/>
      </c>
      <c r="J504" t="str" cm="1">
        <f t="array" aca="1" ref="J504" ca="1">IF(ISNUMBER(A504),IFERROR(_xlfn._xlws.FILTER(Equipar!A:A,(Equipar!B:B=6)*(Equipar!AC:AC=A504)),""),"")</f>
        <v/>
      </c>
    </row>
    <row r="505" spans="1:10" x14ac:dyDescent="0.25">
      <c r="A505" s="1" t="str">
        <f ca="1">IF(A504="ID",1,IF(ISBLANK(B505),"",MAX(A$2:A504)+1))</f>
        <v/>
      </c>
      <c r="I505" s="2" t="str">
        <f ca="1">IF(ISNUMBER(A505),
IF(COUNTIFS(Equipar!B:B,6,Equipar!AC:AC,A505),"Equipada",
IF(
 OR(COUNTIFS(Equipar!B:B,6,Equipar!C:C,A505)
 +COUNTIFS(Equipar!B:B,6,Equipar!D:D,A505)
+COUNTIFS(Equipar!B:B,6,Equipar!E:E,A505)
+COUNTIFS(Equipar!B:B,6,Equipar!F:F,A505)
&gt;0,COUNTIF('Set recomendado'!B:B,C505)=0),
"Bloqueada",
"Desechable")),""
)</f>
        <v/>
      </c>
      <c r="J505" t="str" cm="1">
        <f t="array" aca="1" ref="J505" ca="1">IF(ISNUMBER(A505),IFERROR(_xlfn._xlws.FILTER(Equipar!A:A,(Equipar!B:B=6)*(Equipar!AC:AC=A505)),""),"")</f>
        <v/>
      </c>
    </row>
    <row r="506" spans="1:10" x14ac:dyDescent="0.25">
      <c r="A506" s="1" t="str">
        <f ca="1">IF(A505="ID",1,IF(ISBLANK(B506),"",MAX(A$2:A505)+1))</f>
        <v/>
      </c>
      <c r="I506" s="2" t="str">
        <f ca="1">IF(ISNUMBER(A506),
IF(COUNTIFS(Equipar!B:B,6,Equipar!AC:AC,A506),"Equipada",
IF(
 OR(COUNTIFS(Equipar!B:B,6,Equipar!C:C,A506)
 +COUNTIFS(Equipar!B:B,6,Equipar!D:D,A506)
+COUNTIFS(Equipar!B:B,6,Equipar!E:E,A506)
+COUNTIFS(Equipar!B:B,6,Equipar!F:F,A506)
&gt;0,COUNTIF('Set recomendado'!B:B,C506)=0),
"Bloqueada",
"Desechable")),""
)</f>
        <v/>
      </c>
      <c r="J506" t="str" cm="1">
        <f t="array" aca="1" ref="J506" ca="1">IF(ISNUMBER(A506),IFERROR(_xlfn._xlws.FILTER(Equipar!A:A,(Equipar!B:B=6)*(Equipar!AC:AC=A506)),""),"")</f>
        <v/>
      </c>
    </row>
    <row r="507" spans="1:10" x14ac:dyDescent="0.25">
      <c r="A507" s="1" t="str">
        <f ca="1">IF(A506="ID",1,IF(ISBLANK(B507),"",MAX(A$2:A506)+1))</f>
        <v/>
      </c>
      <c r="I507" s="2" t="str">
        <f ca="1">IF(ISNUMBER(A507),
IF(COUNTIFS(Equipar!B:B,6,Equipar!AC:AC,A507),"Equipada",
IF(
 OR(COUNTIFS(Equipar!B:B,6,Equipar!C:C,A507)
 +COUNTIFS(Equipar!B:B,6,Equipar!D:D,A507)
+COUNTIFS(Equipar!B:B,6,Equipar!E:E,A507)
+COUNTIFS(Equipar!B:B,6,Equipar!F:F,A507)
&gt;0,COUNTIF('Set recomendado'!B:B,C507)=0),
"Bloqueada",
"Desechable")),""
)</f>
        <v/>
      </c>
      <c r="J507" t="str" cm="1">
        <f t="array" aca="1" ref="J507" ca="1">IF(ISNUMBER(A507),IFERROR(_xlfn._xlws.FILTER(Equipar!A:A,(Equipar!B:B=6)*(Equipar!AC:AC=A507)),""),"")</f>
        <v/>
      </c>
    </row>
    <row r="508" spans="1:10" x14ac:dyDescent="0.25">
      <c r="A508" s="1" t="str">
        <f ca="1">IF(A507="ID",1,IF(ISBLANK(B508),"",MAX(A$2:A507)+1))</f>
        <v/>
      </c>
      <c r="I508" s="2" t="str">
        <f ca="1">IF(ISNUMBER(A508),
IF(COUNTIFS(Equipar!B:B,6,Equipar!AC:AC,A508),"Equipada",
IF(
 OR(COUNTIFS(Equipar!B:B,6,Equipar!C:C,A508)
 +COUNTIFS(Equipar!B:B,6,Equipar!D:D,A508)
+COUNTIFS(Equipar!B:B,6,Equipar!E:E,A508)
+COUNTIFS(Equipar!B:B,6,Equipar!F:F,A508)
&gt;0,COUNTIF('Set recomendado'!B:B,C508)=0),
"Bloqueada",
"Desechable")),""
)</f>
        <v/>
      </c>
      <c r="J508" t="str" cm="1">
        <f t="array" aca="1" ref="J508" ca="1">IF(ISNUMBER(A508),IFERROR(_xlfn._xlws.FILTER(Equipar!A:A,(Equipar!B:B=6)*(Equipar!AC:AC=A508)),""),"")</f>
        <v/>
      </c>
    </row>
    <row r="509" spans="1:10" x14ac:dyDescent="0.25">
      <c r="A509" s="1" t="str">
        <f ca="1">IF(A508="ID",1,IF(ISBLANK(B509),"",MAX(A$2:A508)+1))</f>
        <v/>
      </c>
      <c r="I509" s="2" t="str">
        <f ca="1">IF(ISNUMBER(A509),
IF(COUNTIFS(Equipar!B:B,6,Equipar!AC:AC,A509),"Equipada",
IF(
 OR(COUNTIFS(Equipar!B:B,6,Equipar!C:C,A509)
 +COUNTIFS(Equipar!B:B,6,Equipar!D:D,A509)
+COUNTIFS(Equipar!B:B,6,Equipar!E:E,A509)
+COUNTIFS(Equipar!B:B,6,Equipar!F:F,A509)
&gt;0,COUNTIF('Set recomendado'!B:B,C509)=0),
"Bloqueada",
"Desechable")),""
)</f>
        <v/>
      </c>
      <c r="J509" t="str" cm="1">
        <f t="array" aca="1" ref="J509" ca="1">IF(ISNUMBER(A509),IFERROR(_xlfn._xlws.FILTER(Equipar!A:A,(Equipar!B:B=6)*(Equipar!AC:AC=A509)),""),"")</f>
        <v/>
      </c>
    </row>
    <row r="510" spans="1:10" x14ac:dyDescent="0.25">
      <c r="A510" s="1" t="str">
        <f ca="1">IF(A509="ID",1,IF(ISBLANK(B510),"",MAX(A$2:A509)+1))</f>
        <v/>
      </c>
      <c r="I510" s="2" t="str">
        <f ca="1">IF(ISNUMBER(A510),
IF(COUNTIFS(Equipar!B:B,6,Equipar!AC:AC,A510),"Equipada",
IF(
 OR(COUNTIFS(Equipar!B:B,6,Equipar!C:C,A510)
 +COUNTIFS(Equipar!B:B,6,Equipar!D:D,A510)
+COUNTIFS(Equipar!B:B,6,Equipar!E:E,A510)
+COUNTIFS(Equipar!B:B,6,Equipar!F:F,A510)
&gt;0,COUNTIF('Set recomendado'!B:B,C510)=0),
"Bloqueada",
"Desechable")),""
)</f>
        <v/>
      </c>
      <c r="J510" t="str" cm="1">
        <f t="array" aca="1" ref="J510" ca="1">IF(ISNUMBER(A510),IFERROR(_xlfn._xlws.FILTER(Equipar!A:A,(Equipar!B:B=6)*(Equipar!AC:AC=A510)),""),"")</f>
        <v/>
      </c>
    </row>
    <row r="511" spans="1:10" x14ac:dyDescent="0.25">
      <c r="A511" s="1" t="str">
        <f ca="1">IF(A510="ID",1,IF(ISBLANK(B511),"",MAX(A$2:A510)+1))</f>
        <v/>
      </c>
      <c r="I511" s="2" t="str">
        <f ca="1">IF(ISNUMBER(A511),
IF(COUNTIFS(Equipar!B:B,6,Equipar!AC:AC,A511),"Equipada",
IF(
 OR(COUNTIFS(Equipar!B:B,6,Equipar!C:C,A511)
 +COUNTIFS(Equipar!B:B,6,Equipar!D:D,A511)
+COUNTIFS(Equipar!B:B,6,Equipar!E:E,A511)
+COUNTIFS(Equipar!B:B,6,Equipar!F:F,A511)
&gt;0,COUNTIF('Set recomendado'!B:B,C511)=0),
"Bloqueada",
"Desechable")),""
)</f>
        <v/>
      </c>
      <c r="J511" t="str" cm="1">
        <f t="array" aca="1" ref="J511" ca="1">IF(ISNUMBER(A511),IFERROR(_xlfn._xlws.FILTER(Equipar!A:A,(Equipar!B:B=6)*(Equipar!AC:AC=A511)),""),"")</f>
        <v/>
      </c>
    </row>
    <row r="512" spans="1:10" x14ac:dyDescent="0.25">
      <c r="A512" s="1" t="str">
        <f ca="1">IF(A511="ID",1,IF(ISBLANK(B512),"",MAX(A$2:A511)+1))</f>
        <v/>
      </c>
      <c r="I512" s="2" t="str">
        <f ca="1">IF(ISNUMBER(A512),
IF(COUNTIFS(Equipar!B:B,6,Equipar!AC:AC,A512),"Equipada",
IF(
 OR(COUNTIFS(Equipar!B:B,6,Equipar!C:C,A512)
 +COUNTIFS(Equipar!B:B,6,Equipar!D:D,A512)
+COUNTIFS(Equipar!B:B,6,Equipar!E:E,A512)
+COUNTIFS(Equipar!B:B,6,Equipar!F:F,A512)
&gt;0,COUNTIF('Set recomendado'!B:B,C512)=0),
"Bloqueada",
"Desechable")),""
)</f>
        <v/>
      </c>
      <c r="J512" t="str" cm="1">
        <f t="array" aca="1" ref="J512" ca="1">IF(ISNUMBER(A512),IFERROR(_xlfn._xlws.FILTER(Equipar!A:A,(Equipar!B:B=6)*(Equipar!AC:AC=A512)),""),"")</f>
        <v/>
      </c>
    </row>
    <row r="513" spans="1:10" x14ac:dyDescent="0.25">
      <c r="A513" s="1" t="str">
        <f ca="1">IF(A512="ID",1,IF(ISBLANK(B513),"",MAX(A$2:A512)+1))</f>
        <v/>
      </c>
      <c r="I513" s="2" t="str">
        <f ca="1">IF(ISNUMBER(A513),
IF(COUNTIFS(Equipar!B:B,6,Equipar!AC:AC,A513),"Equipada",
IF(
 OR(COUNTIFS(Equipar!B:B,6,Equipar!C:C,A513)
 +COUNTIFS(Equipar!B:B,6,Equipar!D:D,A513)
+COUNTIFS(Equipar!B:B,6,Equipar!E:E,A513)
+COUNTIFS(Equipar!B:B,6,Equipar!F:F,A513)
&gt;0,COUNTIF('Set recomendado'!B:B,C513)=0),
"Bloqueada",
"Desechable")),""
)</f>
        <v/>
      </c>
      <c r="J513" t="str" cm="1">
        <f t="array" aca="1" ref="J513" ca="1">IF(ISNUMBER(A513),IFERROR(_xlfn._xlws.FILTER(Equipar!A:A,(Equipar!B:B=6)*(Equipar!AC:AC=A513)),""),"")</f>
        <v/>
      </c>
    </row>
    <row r="514" spans="1:10" x14ac:dyDescent="0.25">
      <c r="A514" s="1" t="str">
        <f ca="1">IF(A513="ID",1,IF(ISBLANK(B514),"",MAX(A$2:A513)+1))</f>
        <v/>
      </c>
      <c r="I514" s="2" t="str">
        <f ca="1">IF(ISNUMBER(A514),
IF(COUNTIFS(Equipar!B:B,6,Equipar!AC:AC,A514),"Equipada",
IF(
 OR(COUNTIFS(Equipar!B:B,6,Equipar!C:C,A514)
 +COUNTIFS(Equipar!B:B,6,Equipar!D:D,A514)
+COUNTIFS(Equipar!B:B,6,Equipar!E:E,A514)
+COUNTIFS(Equipar!B:B,6,Equipar!F:F,A514)
&gt;0,COUNTIF('Set recomendado'!B:B,C514)=0),
"Bloqueada",
"Desechable")),""
)</f>
        <v/>
      </c>
      <c r="J514" t="str" cm="1">
        <f t="array" aca="1" ref="J514" ca="1">IF(ISNUMBER(A514),IFERROR(_xlfn._xlws.FILTER(Equipar!A:A,(Equipar!B:B=6)*(Equipar!AC:AC=A514)),""),"")</f>
        <v/>
      </c>
    </row>
    <row r="515" spans="1:10" x14ac:dyDescent="0.25">
      <c r="A515" s="1" t="str">
        <f ca="1">IF(A514="ID",1,IF(ISBLANK(B515),"",MAX(A$2:A514)+1))</f>
        <v/>
      </c>
      <c r="I515" s="2" t="str">
        <f ca="1">IF(ISNUMBER(A515),
IF(COUNTIFS(Equipar!B:B,6,Equipar!AC:AC,A515),"Equipada",
IF(
 OR(COUNTIFS(Equipar!B:B,6,Equipar!C:C,A515)
 +COUNTIFS(Equipar!B:B,6,Equipar!D:D,A515)
+COUNTIFS(Equipar!B:B,6,Equipar!E:E,A515)
+COUNTIFS(Equipar!B:B,6,Equipar!F:F,A515)
&gt;0,COUNTIF('Set recomendado'!B:B,C515)=0),
"Bloqueada",
"Desechable")),""
)</f>
        <v/>
      </c>
      <c r="J515" t="str" cm="1">
        <f t="array" aca="1" ref="J515" ca="1">IF(ISNUMBER(A515),IFERROR(_xlfn._xlws.FILTER(Equipar!A:A,(Equipar!B:B=6)*(Equipar!AC:AC=A515)),""),"")</f>
        <v/>
      </c>
    </row>
    <row r="516" spans="1:10" x14ac:dyDescent="0.25">
      <c r="A516" s="1" t="str">
        <f ca="1">IF(A515="ID",1,IF(ISBLANK(B516),"",MAX(A$2:A515)+1))</f>
        <v/>
      </c>
      <c r="I516" s="2" t="str">
        <f ca="1">IF(ISNUMBER(A516),
IF(COUNTIFS(Equipar!B:B,6,Equipar!AC:AC,A516),"Equipada",
IF(
 OR(COUNTIFS(Equipar!B:B,6,Equipar!C:C,A516)
 +COUNTIFS(Equipar!B:B,6,Equipar!D:D,A516)
+COUNTIFS(Equipar!B:B,6,Equipar!E:E,A516)
+COUNTIFS(Equipar!B:B,6,Equipar!F:F,A516)
&gt;0,COUNTIF('Set recomendado'!B:B,C516)=0),
"Bloqueada",
"Desechable")),""
)</f>
        <v/>
      </c>
      <c r="J516" t="str" cm="1">
        <f t="array" aca="1" ref="J516" ca="1">IF(ISNUMBER(A516),IFERROR(_xlfn._xlws.FILTER(Equipar!A:A,(Equipar!B:B=6)*(Equipar!AC:AC=A516)),""),"")</f>
        <v/>
      </c>
    </row>
    <row r="517" spans="1:10" x14ac:dyDescent="0.25">
      <c r="A517" s="1" t="str">
        <f ca="1">IF(A516="ID",1,IF(ISBLANK(B517),"",MAX(A$2:A516)+1))</f>
        <v/>
      </c>
      <c r="I517" s="2" t="str">
        <f ca="1">IF(ISNUMBER(A517),
IF(COUNTIFS(Equipar!B:B,6,Equipar!AC:AC,A517),"Equipada",
IF(
 OR(COUNTIFS(Equipar!B:B,6,Equipar!C:C,A517)
 +COUNTIFS(Equipar!B:B,6,Equipar!D:D,A517)
+COUNTIFS(Equipar!B:B,6,Equipar!E:E,A517)
+COUNTIFS(Equipar!B:B,6,Equipar!F:F,A517)
&gt;0,COUNTIF('Set recomendado'!B:B,C517)=0),
"Bloqueada",
"Desechable")),""
)</f>
        <v/>
      </c>
      <c r="J517" t="str" cm="1">
        <f t="array" aca="1" ref="J517" ca="1">IF(ISNUMBER(A517),IFERROR(_xlfn._xlws.FILTER(Equipar!A:A,(Equipar!B:B=6)*(Equipar!AC:AC=A517)),""),"")</f>
        <v/>
      </c>
    </row>
    <row r="518" spans="1:10" x14ac:dyDescent="0.25">
      <c r="A518" s="1" t="str">
        <f ca="1">IF(A517="ID",1,IF(ISBLANK(B518),"",MAX(A$2:A517)+1))</f>
        <v/>
      </c>
      <c r="I518" s="2" t="str">
        <f ca="1">IF(ISNUMBER(A518),
IF(COUNTIFS(Equipar!B:B,6,Equipar!AC:AC,A518),"Equipada",
IF(
 OR(COUNTIFS(Equipar!B:B,6,Equipar!C:C,A518)
 +COUNTIFS(Equipar!B:B,6,Equipar!D:D,A518)
+COUNTIFS(Equipar!B:B,6,Equipar!E:E,A518)
+COUNTIFS(Equipar!B:B,6,Equipar!F:F,A518)
&gt;0,COUNTIF('Set recomendado'!B:B,C518)=0),
"Bloqueada",
"Desechable")),""
)</f>
        <v/>
      </c>
      <c r="J518" t="str" cm="1">
        <f t="array" aca="1" ref="J518" ca="1">IF(ISNUMBER(A518),IFERROR(_xlfn._xlws.FILTER(Equipar!A:A,(Equipar!B:B=6)*(Equipar!AC:AC=A518)),""),"")</f>
        <v/>
      </c>
    </row>
    <row r="519" spans="1:10" x14ac:dyDescent="0.25">
      <c r="A519" s="1" t="str">
        <f ca="1">IF(A518="ID",1,IF(ISBLANK(B519),"",MAX(A$2:A518)+1))</f>
        <v/>
      </c>
      <c r="I519" s="2" t="str">
        <f ca="1">IF(ISNUMBER(A519),
IF(COUNTIFS(Equipar!B:B,6,Equipar!AC:AC,A519),"Equipada",
IF(
 OR(COUNTIFS(Equipar!B:B,6,Equipar!C:C,A519)
 +COUNTIFS(Equipar!B:B,6,Equipar!D:D,A519)
+COUNTIFS(Equipar!B:B,6,Equipar!E:E,A519)
+COUNTIFS(Equipar!B:B,6,Equipar!F:F,A519)
&gt;0,COUNTIF('Set recomendado'!B:B,C519)=0),
"Bloqueada",
"Desechable")),""
)</f>
        <v/>
      </c>
      <c r="J519" t="str" cm="1">
        <f t="array" aca="1" ref="J519" ca="1">IF(ISNUMBER(A519),IFERROR(_xlfn._xlws.FILTER(Equipar!A:A,(Equipar!B:B=6)*(Equipar!AC:AC=A519)),""),"")</f>
        <v/>
      </c>
    </row>
    <row r="520" spans="1:10" x14ac:dyDescent="0.25">
      <c r="A520" s="1" t="str">
        <f ca="1">IF(A519="ID",1,IF(ISBLANK(B520),"",MAX(A$2:A519)+1))</f>
        <v/>
      </c>
      <c r="I520" s="2" t="str">
        <f ca="1">IF(ISNUMBER(A520),
IF(COUNTIFS(Equipar!B:B,6,Equipar!AC:AC,A520),"Equipada",
IF(
 OR(COUNTIFS(Equipar!B:B,6,Equipar!C:C,A520)
 +COUNTIFS(Equipar!B:B,6,Equipar!D:D,A520)
+COUNTIFS(Equipar!B:B,6,Equipar!E:E,A520)
+COUNTIFS(Equipar!B:B,6,Equipar!F:F,A520)
&gt;0,COUNTIF('Set recomendado'!B:B,C520)=0),
"Bloqueada",
"Desechable")),""
)</f>
        <v/>
      </c>
      <c r="J520" t="str" cm="1">
        <f t="array" aca="1" ref="J520" ca="1">IF(ISNUMBER(A520),IFERROR(_xlfn._xlws.FILTER(Equipar!A:A,(Equipar!B:B=6)*(Equipar!AC:AC=A520)),""),"")</f>
        <v/>
      </c>
    </row>
    <row r="521" spans="1:10" x14ac:dyDescent="0.25">
      <c r="A521" s="1" t="str">
        <f ca="1">IF(A520="ID",1,IF(ISBLANK(B521),"",MAX(A$2:A520)+1))</f>
        <v/>
      </c>
      <c r="I521" s="2" t="str">
        <f ca="1">IF(ISNUMBER(A521),
IF(COUNTIFS(Equipar!B:B,6,Equipar!AC:AC,A521),"Equipada",
IF(
 OR(COUNTIFS(Equipar!B:B,6,Equipar!C:C,A521)
 +COUNTIFS(Equipar!B:B,6,Equipar!D:D,A521)
+COUNTIFS(Equipar!B:B,6,Equipar!E:E,A521)
+COUNTIFS(Equipar!B:B,6,Equipar!F:F,A521)
&gt;0,COUNTIF('Set recomendado'!B:B,C521)=0),
"Bloqueada",
"Desechable")),""
)</f>
        <v/>
      </c>
      <c r="J521" t="str" cm="1">
        <f t="array" aca="1" ref="J521" ca="1">IF(ISNUMBER(A521),IFERROR(_xlfn._xlws.FILTER(Equipar!A:A,(Equipar!B:B=6)*(Equipar!AC:AC=A521)),""),"")</f>
        <v/>
      </c>
    </row>
    <row r="522" spans="1:10" x14ac:dyDescent="0.25">
      <c r="A522" s="1" t="str">
        <f ca="1">IF(A521="ID",1,IF(ISBLANK(B522),"",MAX(A$2:A521)+1))</f>
        <v/>
      </c>
      <c r="I522" s="2" t="str">
        <f ca="1">IF(ISNUMBER(A522),
IF(COUNTIFS(Equipar!B:B,6,Equipar!AC:AC,A522),"Equipada",
IF(
 OR(COUNTIFS(Equipar!B:B,6,Equipar!C:C,A522)
 +COUNTIFS(Equipar!B:B,6,Equipar!D:D,A522)
+COUNTIFS(Equipar!B:B,6,Equipar!E:E,A522)
+COUNTIFS(Equipar!B:B,6,Equipar!F:F,A522)
&gt;0,COUNTIF('Set recomendado'!B:B,C522)=0),
"Bloqueada",
"Desechable")),""
)</f>
        <v/>
      </c>
      <c r="J522" t="str" cm="1">
        <f t="array" aca="1" ref="J522" ca="1">IF(ISNUMBER(A522),IFERROR(_xlfn._xlws.FILTER(Equipar!A:A,(Equipar!B:B=6)*(Equipar!AC:AC=A522)),""),"")</f>
        <v/>
      </c>
    </row>
    <row r="523" spans="1:10" x14ac:dyDescent="0.25">
      <c r="A523" s="1" t="str">
        <f ca="1">IF(A522="ID",1,IF(ISBLANK(B523),"",MAX(A$2:A522)+1))</f>
        <v/>
      </c>
      <c r="I523" s="2" t="str">
        <f ca="1">IF(ISNUMBER(A523),
IF(COUNTIFS(Equipar!B:B,6,Equipar!AC:AC,A523),"Equipada",
IF(
 OR(COUNTIFS(Equipar!B:B,6,Equipar!C:C,A523)
 +COUNTIFS(Equipar!B:B,6,Equipar!D:D,A523)
+COUNTIFS(Equipar!B:B,6,Equipar!E:E,A523)
+COUNTIFS(Equipar!B:B,6,Equipar!F:F,A523)
&gt;0,COUNTIF('Set recomendado'!B:B,C523)=0),
"Bloqueada",
"Desechable")),""
)</f>
        <v/>
      </c>
      <c r="J523" t="str" cm="1">
        <f t="array" aca="1" ref="J523" ca="1">IF(ISNUMBER(A523),IFERROR(_xlfn._xlws.FILTER(Equipar!A:A,(Equipar!B:B=6)*(Equipar!AC:AC=A523)),""),"")</f>
        <v/>
      </c>
    </row>
    <row r="524" spans="1:10" x14ac:dyDescent="0.25">
      <c r="A524" s="1" t="str">
        <f ca="1">IF(A523="ID",1,IF(ISBLANK(B524),"",MAX(A$2:A523)+1))</f>
        <v/>
      </c>
      <c r="I524" s="2" t="str">
        <f ca="1">IF(ISNUMBER(A524),
IF(COUNTIFS(Equipar!B:B,6,Equipar!AC:AC,A524),"Equipada",
IF(
 OR(COUNTIFS(Equipar!B:B,6,Equipar!C:C,A524)
 +COUNTIFS(Equipar!B:B,6,Equipar!D:D,A524)
+COUNTIFS(Equipar!B:B,6,Equipar!E:E,A524)
+COUNTIFS(Equipar!B:B,6,Equipar!F:F,A524)
&gt;0,COUNTIF('Set recomendado'!B:B,C524)=0),
"Bloqueada",
"Desechable")),""
)</f>
        <v/>
      </c>
      <c r="J524" t="str" cm="1">
        <f t="array" aca="1" ref="J524" ca="1">IF(ISNUMBER(A524),IFERROR(_xlfn._xlws.FILTER(Equipar!A:A,(Equipar!B:B=6)*(Equipar!AC:AC=A524)),""),"")</f>
        <v/>
      </c>
    </row>
    <row r="525" spans="1:10" x14ac:dyDescent="0.25">
      <c r="A525" s="1" t="str">
        <f ca="1">IF(A524="ID",1,IF(ISBLANK(B525),"",MAX(A$2:A524)+1))</f>
        <v/>
      </c>
      <c r="I525" s="2" t="str">
        <f ca="1">IF(ISNUMBER(A525),
IF(COUNTIFS(Equipar!B:B,6,Equipar!AC:AC,A525),"Equipada",
IF(
 OR(COUNTIFS(Equipar!B:B,6,Equipar!C:C,A525)
 +COUNTIFS(Equipar!B:B,6,Equipar!D:D,A525)
+COUNTIFS(Equipar!B:B,6,Equipar!E:E,A525)
+COUNTIFS(Equipar!B:B,6,Equipar!F:F,A525)
&gt;0,COUNTIF('Set recomendado'!B:B,C525)=0),
"Bloqueada",
"Desechable")),""
)</f>
        <v/>
      </c>
      <c r="J525" t="str" cm="1">
        <f t="array" aca="1" ref="J525" ca="1">IF(ISNUMBER(A525),IFERROR(_xlfn._xlws.FILTER(Equipar!A:A,(Equipar!B:B=6)*(Equipar!AC:AC=A525)),""),"")</f>
        <v/>
      </c>
    </row>
    <row r="526" spans="1:10" x14ac:dyDescent="0.25">
      <c r="A526" s="1" t="str">
        <f ca="1">IF(A525="ID",1,IF(ISBLANK(B526),"",MAX(A$2:A525)+1))</f>
        <v/>
      </c>
      <c r="I526" s="2" t="str">
        <f ca="1">IF(ISNUMBER(A526),
IF(COUNTIFS(Equipar!B:B,6,Equipar!AC:AC,A526),"Equipada",
IF(
 OR(COUNTIFS(Equipar!B:B,6,Equipar!C:C,A526)
 +COUNTIFS(Equipar!B:B,6,Equipar!D:D,A526)
+COUNTIFS(Equipar!B:B,6,Equipar!E:E,A526)
+COUNTIFS(Equipar!B:B,6,Equipar!F:F,A526)
&gt;0,COUNTIF('Set recomendado'!B:B,C526)=0),
"Bloqueada",
"Desechable")),""
)</f>
        <v/>
      </c>
      <c r="J526" t="str" cm="1">
        <f t="array" aca="1" ref="J526" ca="1">IF(ISNUMBER(A526),IFERROR(_xlfn._xlws.FILTER(Equipar!A:A,(Equipar!B:B=6)*(Equipar!AC:AC=A526)),""),"")</f>
        <v/>
      </c>
    </row>
    <row r="527" spans="1:10" x14ac:dyDescent="0.25">
      <c r="A527" s="1" t="str">
        <f ca="1">IF(A526="ID",1,IF(ISBLANK(B527),"",MAX(A$2:A526)+1))</f>
        <v/>
      </c>
      <c r="I527" s="2" t="str">
        <f ca="1">IF(ISNUMBER(A527),
IF(COUNTIFS(Equipar!B:B,6,Equipar!AC:AC,A527),"Equipada",
IF(
 OR(COUNTIFS(Equipar!B:B,6,Equipar!C:C,A527)
 +COUNTIFS(Equipar!B:B,6,Equipar!D:D,A527)
+COUNTIFS(Equipar!B:B,6,Equipar!E:E,A527)
+COUNTIFS(Equipar!B:B,6,Equipar!F:F,A527)
&gt;0,COUNTIF('Set recomendado'!B:B,C527)=0),
"Bloqueada",
"Desechable")),""
)</f>
        <v/>
      </c>
      <c r="J527" t="str" cm="1">
        <f t="array" aca="1" ref="J527" ca="1">IF(ISNUMBER(A527),IFERROR(_xlfn._xlws.FILTER(Equipar!A:A,(Equipar!B:B=6)*(Equipar!AC:AC=A527)),""),"")</f>
        <v/>
      </c>
    </row>
    <row r="528" spans="1:10" x14ac:dyDescent="0.25">
      <c r="A528" s="1" t="str">
        <f ca="1">IF(A527="ID",1,IF(ISBLANK(B528),"",MAX(A$2:A527)+1))</f>
        <v/>
      </c>
      <c r="I528" s="2" t="str">
        <f ca="1">IF(ISNUMBER(A528),
IF(COUNTIFS(Equipar!B:B,6,Equipar!AC:AC,A528),"Equipada",
IF(
 OR(COUNTIFS(Equipar!B:B,6,Equipar!C:C,A528)
 +COUNTIFS(Equipar!B:B,6,Equipar!D:D,A528)
+COUNTIFS(Equipar!B:B,6,Equipar!E:E,A528)
+COUNTIFS(Equipar!B:B,6,Equipar!F:F,A528)
&gt;0,COUNTIF('Set recomendado'!B:B,C528)=0),
"Bloqueada",
"Desechable")),""
)</f>
        <v/>
      </c>
      <c r="J528" t="str" cm="1">
        <f t="array" aca="1" ref="J528" ca="1">IF(ISNUMBER(A528),IFERROR(_xlfn._xlws.FILTER(Equipar!A:A,(Equipar!B:B=6)*(Equipar!AC:AC=A528)),""),"")</f>
        <v/>
      </c>
    </row>
    <row r="529" spans="1:10" x14ac:dyDescent="0.25">
      <c r="A529" s="1" t="str">
        <f ca="1">IF(A528="ID",1,IF(ISBLANK(B529),"",MAX(A$2:A528)+1))</f>
        <v/>
      </c>
      <c r="I529" s="2" t="str">
        <f ca="1">IF(ISNUMBER(A529),
IF(COUNTIFS(Equipar!B:B,6,Equipar!AC:AC,A529),"Equipada",
IF(
 OR(COUNTIFS(Equipar!B:B,6,Equipar!C:C,A529)
 +COUNTIFS(Equipar!B:B,6,Equipar!D:D,A529)
+COUNTIFS(Equipar!B:B,6,Equipar!E:E,A529)
+COUNTIFS(Equipar!B:B,6,Equipar!F:F,A529)
&gt;0,COUNTIF('Set recomendado'!B:B,C529)=0),
"Bloqueada",
"Desechable")),""
)</f>
        <v/>
      </c>
      <c r="J529" t="str" cm="1">
        <f t="array" aca="1" ref="J529" ca="1">IF(ISNUMBER(A529),IFERROR(_xlfn._xlws.FILTER(Equipar!A:A,(Equipar!B:B=6)*(Equipar!AC:AC=A529)),""),"")</f>
        <v/>
      </c>
    </row>
    <row r="530" spans="1:10" x14ac:dyDescent="0.25">
      <c r="A530" s="1" t="str">
        <f ca="1">IF(A529="ID",1,IF(ISBLANK(B530),"",MAX(A$2:A529)+1))</f>
        <v/>
      </c>
      <c r="I530" s="2" t="str">
        <f ca="1">IF(ISNUMBER(A530),
IF(COUNTIFS(Equipar!B:B,6,Equipar!AC:AC,A530),"Equipada",
IF(
 OR(COUNTIFS(Equipar!B:B,6,Equipar!C:C,A530)
 +COUNTIFS(Equipar!B:B,6,Equipar!D:D,A530)
+COUNTIFS(Equipar!B:B,6,Equipar!E:E,A530)
+COUNTIFS(Equipar!B:B,6,Equipar!F:F,A530)
&gt;0,COUNTIF('Set recomendado'!B:B,C530)=0),
"Bloqueada",
"Desechable")),""
)</f>
        <v/>
      </c>
      <c r="J530" t="str" cm="1">
        <f t="array" aca="1" ref="J530" ca="1">IF(ISNUMBER(A530),IFERROR(_xlfn._xlws.FILTER(Equipar!A:A,(Equipar!B:B=6)*(Equipar!AC:AC=A530)),""),"")</f>
        <v/>
      </c>
    </row>
    <row r="531" spans="1:10" x14ac:dyDescent="0.25">
      <c r="A531" s="1" t="str">
        <f ca="1">IF(A530="ID",1,IF(ISBLANK(B531),"",MAX(A$2:A530)+1))</f>
        <v/>
      </c>
      <c r="I531" s="2" t="str">
        <f ca="1">IF(ISNUMBER(A531),
IF(COUNTIFS(Equipar!B:B,6,Equipar!AC:AC,A531),"Equipada",
IF(
 OR(COUNTIFS(Equipar!B:B,6,Equipar!C:C,A531)
 +COUNTIFS(Equipar!B:B,6,Equipar!D:D,A531)
+COUNTIFS(Equipar!B:B,6,Equipar!E:E,A531)
+COUNTIFS(Equipar!B:B,6,Equipar!F:F,A531)
&gt;0,COUNTIF('Set recomendado'!B:B,C531)=0),
"Bloqueada",
"Desechable")),""
)</f>
        <v/>
      </c>
      <c r="J531" t="str" cm="1">
        <f t="array" aca="1" ref="J531" ca="1">IF(ISNUMBER(A531),IFERROR(_xlfn._xlws.FILTER(Equipar!A:A,(Equipar!B:B=6)*(Equipar!AC:AC=A531)),""),"")</f>
        <v/>
      </c>
    </row>
    <row r="532" spans="1:10" x14ac:dyDescent="0.25">
      <c r="A532" s="1" t="str">
        <f ca="1">IF(A531="ID",1,IF(ISBLANK(B532),"",MAX(A$2:A531)+1))</f>
        <v/>
      </c>
      <c r="I532" s="2" t="str">
        <f ca="1">IF(ISNUMBER(A532),
IF(COUNTIFS(Equipar!B:B,6,Equipar!AC:AC,A532),"Equipada",
IF(
 OR(COUNTIFS(Equipar!B:B,6,Equipar!C:C,A532)
 +COUNTIFS(Equipar!B:B,6,Equipar!D:D,A532)
+COUNTIFS(Equipar!B:B,6,Equipar!E:E,A532)
+COUNTIFS(Equipar!B:B,6,Equipar!F:F,A532)
&gt;0,COUNTIF('Set recomendado'!B:B,C532)=0),
"Bloqueada",
"Desechable")),""
)</f>
        <v/>
      </c>
      <c r="J532" t="str" cm="1">
        <f t="array" aca="1" ref="J532" ca="1">IF(ISNUMBER(A532),IFERROR(_xlfn._xlws.FILTER(Equipar!A:A,(Equipar!B:B=6)*(Equipar!AC:AC=A532)),""),"")</f>
        <v/>
      </c>
    </row>
    <row r="533" spans="1:10" x14ac:dyDescent="0.25">
      <c r="A533" s="1" t="str">
        <f ca="1">IF(A532="ID",1,IF(ISBLANK(B533),"",MAX(A$2:A532)+1))</f>
        <v/>
      </c>
      <c r="I533" s="2" t="str">
        <f ca="1">IF(ISNUMBER(A533),
IF(COUNTIFS(Equipar!B:B,6,Equipar!AC:AC,A533),"Equipada",
IF(
 OR(COUNTIFS(Equipar!B:B,6,Equipar!C:C,A533)
 +COUNTIFS(Equipar!B:B,6,Equipar!D:D,A533)
+COUNTIFS(Equipar!B:B,6,Equipar!E:E,A533)
+COUNTIFS(Equipar!B:B,6,Equipar!F:F,A533)
&gt;0,COUNTIF('Set recomendado'!B:B,C533)=0),
"Bloqueada",
"Desechable")),""
)</f>
        <v/>
      </c>
      <c r="J533" t="str" cm="1">
        <f t="array" aca="1" ref="J533" ca="1">IF(ISNUMBER(A533),IFERROR(_xlfn._xlws.FILTER(Equipar!A:A,(Equipar!B:B=6)*(Equipar!AC:AC=A533)),""),"")</f>
        <v/>
      </c>
    </row>
    <row r="534" spans="1:10" x14ac:dyDescent="0.25">
      <c r="A534" s="1" t="str">
        <f ca="1">IF(A533="ID",1,IF(ISBLANK(B534),"",MAX(A$2:A533)+1))</f>
        <v/>
      </c>
      <c r="I534" s="2" t="str">
        <f ca="1">IF(ISNUMBER(A534),
IF(COUNTIFS(Equipar!B:B,6,Equipar!AC:AC,A534),"Equipada",
IF(
 OR(COUNTIFS(Equipar!B:B,6,Equipar!C:C,A534)
 +COUNTIFS(Equipar!B:B,6,Equipar!D:D,A534)
+COUNTIFS(Equipar!B:B,6,Equipar!E:E,A534)
+COUNTIFS(Equipar!B:B,6,Equipar!F:F,A534)
&gt;0,COUNTIF('Set recomendado'!B:B,C534)=0),
"Bloqueada",
"Desechable")),""
)</f>
        <v/>
      </c>
      <c r="J534" t="str" cm="1">
        <f t="array" aca="1" ref="J534" ca="1">IF(ISNUMBER(A534),IFERROR(_xlfn._xlws.FILTER(Equipar!A:A,(Equipar!B:B=6)*(Equipar!AC:AC=A534)),""),"")</f>
        <v/>
      </c>
    </row>
    <row r="535" spans="1:10" x14ac:dyDescent="0.25">
      <c r="A535" s="1" t="str">
        <f ca="1">IF(A534="ID",1,IF(ISBLANK(B535),"",MAX(A$2:A534)+1))</f>
        <v/>
      </c>
      <c r="I535" s="2" t="str">
        <f ca="1">IF(ISNUMBER(A535),
IF(COUNTIFS(Equipar!B:B,6,Equipar!AC:AC,A535),"Equipada",
IF(
 OR(COUNTIFS(Equipar!B:B,6,Equipar!C:C,A535)
 +COUNTIFS(Equipar!B:B,6,Equipar!D:D,A535)
+COUNTIFS(Equipar!B:B,6,Equipar!E:E,A535)
+COUNTIFS(Equipar!B:B,6,Equipar!F:F,A535)
&gt;0,COUNTIF('Set recomendado'!B:B,C535)=0),
"Bloqueada",
"Desechable")),""
)</f>
        <v/>
      </c>
      <c r="J535" t="str" cm="1">
        <f t="array" aca="1" ref="J535" ca="1">IF(ISNUMBER(A535),IFERROR(_xlfn._xlws.FILTER(Equipar!A:A,(Equipar!B:B=6)*(Equipar!AC:AC=A535)),""),"")</f>
        <v/>
      </c>
    </row>
    <row r="536" spans="1:10" x14ac:dyDescent="0.25">
      <c r="A536" s="1" t="str">
        <f ca="1">IF(A535="ID",1,IF(ISBLANK(B536),"",MAX(A$2:A535)+1))</f>
        <v/>
      </c>
      <c r="I536" s="2" t="str">
        <f ca="1">IF(ISNUMBER(A536),
IF(COUNTIFS(Equipar!B:B,6,Equipar!AC:AC,A536),"Equipada",
IF(
 OR(COUNTIFS(Equipar!B:B,6,Equipar!C:C,A536)
 +COUNTIFS(Equipar!B:B,6,Equipar!D:D,A536)
+COUNTIFS(Equipar!B:B,6,Equipar!E:E,A536)
+COUNTIFS(Equipar!B:B,6,Equipar!F:F,A536)
&gt;0,COUNTIF('Set recomendado'!B:B,C536)=0),
"Bloqueada",
"Desechable")),""
)</f>
        <v/>
      </c>
      <c r="J536" t="str" cm="1">
        <f t="array" aca="1" ref="J536" ca="1">IF(ISNUMBER(A536),IFERROR(_xlfn._xlws.FILTER(Equipar!A:A,(Equipar!B:B=6)*(Equipar!AC:AC=A536)),""),"")</f>
        <v/>
      </c>
    </row>
    <row r="537" spans="1:10" x14ac:dyDescent="0.25">
      <c r="A537" s="1" t="str">
        <f ca="1">IF(A536="ID",1,IF(ISBLANK(B537),"",MAX(A$2:A536)+1))</f>
        <v/>
      </c>
      <c r="I537" s="2" t="str">
        <f ca="1">IF(ISNUMBER(A537),
IF(COUNTIFS(Equipar!B:B,6,Equipar!AC:AC,A537),"Equipada",
IF(
 OR(COUNTIFS(Equipar!B:B,6,Equipar!C:C,A537)
 +COUNTIFS(Equipar!B:B,6,Equipar!D:D,A537)
+COUNTIFS(Equipar!B:B,6,Equipar!E:E,A537)
+COUNTIFS(Equipar!B:B,6,Equipar!F:F,A537)
&gt;0,COUNTIF('Set recomendado'!B:B,C537)=0),
"Bloqueada",
"Desechable")),""
)</f>
        <v/>
      </c>
      <c r="J537" t="str" cm="1">
        <f t="array" aca="1" ref="J537" ca="1">IF(ISNUMBER(A537),IFERROR(_xlfn._xlws.FILTER(Equipar!A:A,(Equipar!B:B=6)*(Equipar!AC:AC=A537)),""),"")</f>
        <v/>
      </c>
    </row>
    <row r="538" spans="1:10" x14ac:dyDescent="0.25">
      <c r="A538" s="1" t="str">
        <f ca="1">IF(A537="ID",1,IF(ISBLANK(B538),"",MAX(A$2:A537)+1))</f>
        <v/>
      </c>
      <c r="I538" s="2" t="str">
        <f ca="1">IF(ISNUMBER(A538),
IF(COUNTIFS(Equipar!B:B,6,Equipar!AC:AC,A538),"Equipada",
IF(
 OR(COUNTIFS(Equipar!B:B,6,Equipar!C:C,A538)
 +COUNTIFS(Equipar!B:B,6,Equipar!D:D,A538)
+COUNTIFS(Equipar!B:B,6,Equipar!E:E,A538)
+COUNTIFS(Equipar!B:B,6,Equipar!F:F,A538)
&gt;0,COUNTIF('Set recomendado'!B:B,C538)=0),
"Bloqueada",
"Desechable")),""
)</f>
        <v/>
      </c>
      <c r="J538" t="str" cm="1">
        <f t="array" aca="1" ref="J538" ca="1">IF(ISNUMBER(A538),IFERROR(_xlfn._xlws.FILTER(Equipar!A:A,(Equipar!B:B=6)*(Equipar!AC:AC=A538)),""),"")</f>
        <v/>
      </c>
    </row>
    <row r="539" spans="1:10" x14ac:dyDescent="0.25">
      <c r="A539" s="1" t="str">
        <f ca="1">IF(A538="ID",1,IF(ISBLANK(B539),"",MAX(A$2:A538)+1))</f>
        <v/>
      </c>
      <c r="I539" s="2" t="str">
        <f ca="1">IF(ISNUMBER(A539),
IF(COUNTIFS(Equipar!B:B,6,Equipar!AC:AC,A539),"Equipada",
IF(
 OR(COUNTIFS(Equipar!B:B,6,Equipar!C:C,A539)
 +COUNTIFS(Equipar!B:B,6,Equipar!D:D,A539)
+COUNTIFS(Equipar!B:B,6,Equipar!E:E,A539)
+COUNTIFS(Equipar!B:B,6,Equipar!F:F,A539)
&gt;0,COUNTIF('Set recomendado'!B:B,C539)=0),
"Bloqueada",
"Desechable")),""
)</f>
        <v/>
      </c>
      <c r="J539" t="str" cm="1">
        <f t="array" aca="1" ref="J539" ca="1">IF(ISNUMBER(A539),IFERROR(_xlfn._xlws.FILTER(Equipar!A:A,(Equipar!B:B=6)*(Equipar!AC:AC=A539)),""),"")</f>
        <v/>
      </c>
    </row>
    <row r="540" spans="1:10" x14ac:dyDescent="0.25">
      <c r="A540" s="1" t="str">
        <f ca="1">IF(A539="ID",1,IF(ISBLANK(B540),"",MAX(A$2:A539)+1))</f>
        <v/>
      </c>
      <c r="I540" s="2" t="str">
        <f ca="1">IF(ISNUMBER(A540),
IF(COUNTIFS(Equipar!B:B,6,Equipar!AC:AC,A540),"Equipada",
IF(
 OR(COUNTIFS(Equipar!B:B,6,Equipar!C:C,A540)
 +COUNTIFS(Equipar!B:B,6,Equipar!D:D,A540)
+COUNTIFS(Equipar!B:B,6,Equipar!E:E,A540)
+COUNTIFS(Equipar!B:B,6,Equipar!F:F,A540)
&gt;0,COUNTIF('Set recomendado'!B:B,C540)=0),
"Bloqueada",
"Desechable")),""
)</f>
        <v/>
      </c>
      <c r="J540" t="str" cm="1">
        <f t="array" aca="1" ref="J540" ca="1">IF(ISNUMBER(A540),IFERROR(_xlfn._xlws.FILTER(Equipar!A:A,(Equipar!B:B=6)*(Equipar!AC:AC=A540)),""),"")</f>
        <v/>
      </c>
    </row>
    <row r="541" spans="1:10" x14ac:dyDescent="0.25">
      <c r="A541" s="1" t="str">
        <f ca="1">IF(A540="ID",1,IF(ISBLANK(B541),"",MAX(A$2:A540)+1))</f>
        <v/>
      </c>
      <c r="I541" s="2" t="str">
        <f ca="1">IF(ISNUMBER(A541),
IF(COUNTIFS(Equipar!B:B,6,Equipar!AC:AC,A541),"Equipada",
IF(
 OR(COUNTIFS(Equipar!B:B,6,Equipar!C:C,A541)
 +COUNTIFS(Equipar!B:B,6,Equipar!D:D,A541)
+COUNTIFS(Equipar!B:B,6,Equipar!E:E,A541)
+COUNTIFS(Equipar!B:B,6,Equipar!F:F,A541)
&gt;0,COUNTIF('Set recomendado'!B:B,C541)=0),
"Bloqueada",
"Desechable")),""
)</f>
        <v/>
      </c>
      <c r="J541" t="str" cm="1">
        <f t="array" aca="1" ref="J541" ca="1">IF(ISNUMBER(A541),IFERROR(_xlfn._xlws.FILTER(Equipar!A:A,(Equipar!B:B=6)*(Equipar!AC:AC=A541)),""),"")</f>
        <v/>
      </c>
    </row>
    <row r="542" spans="1:10" x14ac:dyDescent="0.25">
      <c r="A542" s="1" t="str">
        <f ca="1">IF(A541="ID",1,IF(ISBLANK(B542),"",MAX(A$2:A541)+1))</f>
        <v/>
      </c>
      <c r="I542" s="2" t="str">
        <f ca="1">IF(ISNUMBER(A542),
IF(COUNTIFS(Equipar!B:B,6,Equipar!AC:AC,A542),"Equipada",
IF(
 OR(COUNTIFS(Equipar!B:B,6,Equipar!C:C,A542)
 +COUNTIFS(Equipar!B:B,6,Equipar!D:D,A542)
+COUNTIFS(Equipar!B:B,6,Equipar!E:E,A542)
+COUNTIFS(Equipar!B:B,6,Equipar!F:F,A542)
&gt;0,COUNTIF('Set recomendado'!B:B,C542)=0),
"Bloqueada",
"Desechable")),""
)</f>
        <v/>
      </c>
      <c r="J542" t="str" cm="1">
        <f t="array" aca="1" ref="J542" ca="1">IF(ISNUMBER(A542),IFERROR(_xlfn._xlws.FILTER(Equipar!A:A,(Equipar!B:B=6)*(Equipar!AC:AC=A542)),""),"")</f>
        <v/>
      </c>
    </row>
    <row r="543" spans="1:10" x14ac:dyDescent="0.25">
      <c r="A543" s="1" t="str">
        <f ca="1">IF(A542="ID",1,IF(ISBLANK(B543),"",MAX(A$2:A542)+1))</f>
        <v/>
      </c>
      <c r="I543" s="2" t="str">
        <f ca="1">IF(ISNUMBER(A543),
IF(COUNTIFS(Equipar!B:B,6,Equipar!AC:AC,A543),"Equipada",
IF(
 OR(COUNTIFS(Equipar!B:B,6,Equipar!C:C,A543)
 +COUNTIFS(Equipar!B:B,6,Equipar!D:D,A543)
+COUNTIFS(Equipar!B:B,6,Equipar!E:E,A543)
+COUNTIFS(Equipar!B:B,6,Equipar!F:F,A543)
&gt;0,COUNTIF('Set recomendado'!B:B,C543)=0),
"Bloqueada",
"Desechable")),""
)</f>
        <v/>
      </c>
      <c r="J543" t="str" cm="1">
        <f t="array" aca="1" ref="J543" ca="1">IF(ISNUMBER(A543),IFERROR(_xlfn._xlws.FILTER(Equipar!A:A,(Equipar!B:B=6)*(Equipar!AC:AC=A543)),""),"")</f>
        <v/>
      </c>
    </row>
    <row r="544" spans="1:10" x14ac:dyDescent="0.25">
      <c r="A544" s="1" t="str">
        <f ca="1">IF(A543="ID",1,IF(ISBLANK(B544),"",MAX(A$2:A543)+1))</f>
        <v/>
      </c>
      <c r="I544" s="2" t="str">
        <f ca="1">IF(ISNUMBER(A544),
IF(COUNTIFS(Equipar!B:B,6,Equipar!AC:AC,A544),"Equipada",
IF(
 OR(COUNTIFS(Equipar!B:B,6,Equipar!C:C,A544)
 +COUNTIFS(Equipar!B:B,6,Equipar!D:D,A544)
+COUNTIFS(Equipar!B:B,6,Equipar!E:E,A544)
+COUNTIFS(Equipar!B:B,6,Equipar!F:F,A544)
&gt;0,COUNTIF('Set recomendado'!B:B,C544)=0),
"Bloqueada",
"Desechable")),""
)</f>
        <v/>
      </c>
      <c r="J544" t="str" cm="1">
        <f t="array" aca="1" ref="J544" ca="1">IF(ISNUMBER(A544),IFERROR(_xlfn._xlws.FILTER(Equipar!A:A,(Equipar!B:B=6)*(Equipar!AC:AC=A544)),""),"")</f>
        <v/>
      </c>
    </row>
    <row r="545" spans="1:10" x14ac:dyDescent="0.25">
      <c r="A545" s="1" t="str">
        <f ca="1">IF(A544="ID",1,IF(ISBLANK(B545),"",MAX(A$2:A544)+1))</f>
        <v/>
      </c>
      <c r="I545" s="2" t="str">
        <f ca="1">IF(ISNUMBER(A545),
IF(COUNTIFS(Equipar!B:B,6,Equipar!AC:AC,A545),"Equipada",
IF(
 OR(COUNTIFS(Equipar!B:B,6,Equipar!C:C,A545)
 +COUNTIFS(Equipar!B:B,6,Equipar!D:D,A545)
+COUNTIFS(Equipar!B:B,6,Equipar!E:E,A545)
+COUNTIFS(Equipar!B:B,6,Equipar!F:F,A545)
&gt;0,COUNTIF('Set recomendado'!B:B,C545)=0),
"Bloqueada",
"Desechable")),""
)</f>
        <v/>
      </c>
      <c r="J545" t="str" cm="1">
        <f t="array" aca="1" ref="J545" ca="1">IF(ISNUMBER(A545),IFERROR(_xlfn._xlws.FILTER(Equipar!A:A,(Equipar!B:B=6)*(Equipar!AC:AC=A545)),""),"")</f>
        <v/>
      </c>
    </row>
    <row r="546" spans="1:10" x14ac:dyDescent="0.25">
      <c r="A546" s="1" t="str">
        <f ca="1">IF(A545="ID",1,IF(ISBLANK(B546),"",MAX(A$2:A545)+1))</f>
        <v/>
      </c>
      <c r="I546" s="2" t="str">
        <f ca="1">IF(ISNUMBER(A546),
IF(COUNTIFS(Equipar!B:B,6,Equipar!AC:AC,A546),"Equipada",
IF(
 OR(COUNTIFS(Equipar!B:B,6,Equipar!C:C,A546)
 +COUNTIFS(Equipar!B:B,6,Equipar!D:D,A546)
+COUNTIFS(Equipar!B:B,6,Equipar!E:E,A546)
+COUNTIFS(Equipar!B:B,6,Equipar!F:F,A546)
&gt;0,COUNTIF('Set recomendado'!B:B,C546)=0),
"Bloqueada",
"Desechable")),""
)</f>
        <v/>
      </c>
      <c r="J546" t="str" cm="1">
        <f t="array" aca="1" ref="J546" ca="1">IF(ISNUMBER(A546),IFERROR(_xlfn._xlws.FILTER(Equipar!A:A,(Equipar!B:B=6)*(Equipar!AC:AC=A546)),""),"")</f>
        <v/>
      </c>
    </row>
    <row r="547" spans="1:10" x14ac:dyDescent="0.25">
      <c r="A547" s="1" t="str">
        <f ca="1">IF(A546="ID",1,IF(ISBLANK(B547),"",MAX(A$2:A546)+1))</f>
        <v/>
      </c>
      <c r="I547" s="2" t="str">
        <f ca="1">IF(ISNUMBER(A547),
IF(COUNTIFS(Equipar!B:B,6,Equipar!AC:AC,A547),"Equipada",
IF(
 OR(COUNTIFS(Equipar!B:B,6,Equipar!C:C,A547)
 +COUNTIFS(Equipar!B:B,6,Equipar!D:D,A547)
+COUNTIFS(Equipar!B:B,6,Equipar!E:E,A547)
+COUNTIFS(Equipar!B:B,6,Equipar!F:F,A547)
&gt;0,COUNTIF('Set recomendado'!B:B,C547)=0),
"Bloqueada",
"Desechable")),""
)</f>
        <v/>
      </c>
      <c r="J547" t="str" cm="1">
        <f t="array" aca="1" ref="J547" ca="1">IF(ISNUMBER(A547),IFERROR(_xlfn._xlws.FILTER(Equipar!A:A,(Equipar!B:B=6)*(Equipar!AC:AC=A547)),""),"")</f>
        <v/>
      </c>
    </row>
    <row r="548" spans="1:10" x14ac:dyDescent="0.25">
      <c r="A548" s="1" t="str">
        <f ca="1">IF(A547="ID",1,IF(ISBLANK(B548),"",MAX(A$2:A547)+1))</f>
        <v/>
      </c>
      <c r="I548" s="2" t="str">
        <f ca="1">IF(ISNUMBER(A548),
IF(COUNTIFS(Equipar!B:B,6,Equipar!AC:AC,A548),"Equipada",
IF(
 OR(COUNTIFS(Equipar!B:B,6,Equipar!C:C,A548)
 +COUNTIFS(Equipar!B:B,6,Equipar!D:D,A548)
+COUNTIFS(Equipar!B:B,6,Equipar!E:E,A548)
+COUNTIFS(Equipar!B:B,6,Equipar!F:F,A548)
&gt;0,COUNTIF('Set recomendado'!B:B,C548)=0),
"Bloqueada",
"Desechable")),""
)</f>
        <v/>
      </c>
      <c r="J548" t="str" cm="1">
        <f t="array" aca="1" ref="J548" ca="1">IF(ISNUMBER(A548),IFERROR(_xlfn._xlws.FILTER(Equipar!A:A,(Equipar!B:B=6)*(Equipar!AC:AC=A548)),""),"")</f>
        <v/>
      </c>
    </row>
    <row r="549" spans="1:10" x14ac:dyDescent="0.25">
      <c r="A549" s="1" t="str">
        <f ca="1">IF(A548="ID",1,IF(ISBLANK(B549),"",MAX(A$2:A548)+1))</f>
        <v/>
      </c>
      <c r="I549" s="2" t="str">
        <f ca="1">IF(ISNUMBER(A549),
IF(COUNTIFS(Equipar!B:B,6,Equipar!AC:AC,A549),"Equipada",
IF(
 OR(COUNTIFS(Equipar!B:B,6,Equipar!C:C,A549)
 +COUNTIFS(Equipar!B:B,6,Equipar!D:D,A549)
+COUNTIFS(Equipar!B:B,6,Equipar!E:E,A549)
+COUNTIFS(Equipar!B:B,6,Equipar!F:F,A549)
&gt;0,COUNTIF('Set recomendado'!B:B,C549)=0),
"Bloqueada",
"Desechable")),""
)</f>
        <v/>
      </c>
      <c r="J549" t="str" cm="1">
        <f t="array" aca="1" ref="J549" ca="1">IF(ISNUMBER(A549),IFERROR(_xlfn._xlws.FILTER(Equipar!A:A,(Equipar!B:B=6)*(Equipar!AC:AC=A549)),""),"")</f>
        <v/>
      </c>
    </row>
    <row r="550" spans="1:10" x14ac:dyDescent="0.25">
      <c r="A550" s="1" t="str">
        <f ca="1">IF(A549="ID",1,IF(ISBLANK(B550),"",MAX(A$2:A549)+1))</f>
        <v/>
      </c>
      <c r="I550" s="2" t="str">
        <f ca="1">IF(ISNUMBER(A550),
IF(COUNTIFS(Equipar!B:B,6,Equipar!AC:AC,A550),"Equipada",
IF(
 OR(COUNTIFS(Equipar!B:B,6,Equipar!C:C,A550)
 +COUNTIFS(Equipar!B:B,6,Equipar!D:D,A550)
+COUNTIFS(Equipar!B:B,6,Equipar!E:E,A550)
+COUNTIFS(Equipar!B:B,6,Equipar!F:F,A550)
&gt;0,COUNTIF('Set recomendado'!B:B,C550)=0),
"Bloqueada",
"Desechable")),""
)</f>
        <v/>
      </c>
      <c r="J550" t="str" cm="1">
        <f t="array" aca="1" ref="J550" ca="1">IF(ISNUMBER(A550),IFERROR(_xlfn._xlws.FILTER(Equipar!A:A,(Equipar!B:B=6)*(Equipar!AC:AC=A550)),""),"")</f>
        <v/>
      </c>
    </row>
    <row r="551" spans="1:10" x14ac:dyDescent="0.25">
      <c r="A551" s="1" t="str">
        <f ca="1">IF(A550="ID",1,IF(ISBLANK(B551),"",MAX(A$2:A550)+1))</f>
        <v/>
      </c>
      <c r="I551" s="2" t="str">
        <f ca="1">IF(ISNUMBER(A551),
IF(COUNTIFS(Equipar!B:B,6,Equipar!AC:AC,A551),"Equipada",
IF(
 OR(COUNTIFS(Equipar!B:B,6,Equipar!C:C,A551)
 +COUNTIFS(Equipar!B:B,6,Equipar!D:D,A551)
+COUNTIFS(Equipar!B:B,6,Equipar!E:E,A551)
+COUNTIFS(Equipar!B:B,6,Equipar!F:F,A551)
&gt;0,COUNTIF('Set recomendado'!B:B,C551)=0),
"Bloqueada",
"Desechable")),""
)</f>
        <v/>
      </c>
      <c r="J551" t="str" cm="1">
        <f t="array" aca="1" ref="J551" ca="1">IF(ISNUMBER(A551),IFERROR(_xlfn._xlws.FILTER(Equipar!A:A,(Equipar!B:B=6)*(Equipar!AC:AC=A551)),""),"")</f>
        <v/>
      </c>
    </row>
    <row r="552" spans="1:10" x14ac:dyDescent="0.25">
      <c r="A552" s="1" t="str">
        <f ca="1">IF(A551="ID",1,IF(ISBLANK(B552),"",MAX(A$2:A551)+1))</f>
        <v/>
      </c>
      <c r="I552" s="2" t="str">
        <f ca="1">IF(ISNUMBER(A552),
IF(COUNTIFS(Equipar!B:B,6,Equipar!AC:AC,A552),"Equipada",
IF(
 OR(COUNTIFS(Equipar!B:B,6,Equipar!C:C,A552)
 +COUNTIFS(Equipar!B:B,6,Equipar!D:D,A552)
+COUNTIFS(Equipar!B:B,6,Equipar!E:E,A552)
+COUNTIFS(Equipar!B:B,6,Equipar!F:F,A552)
&gt;0,COUNTIF('Set recomendado'!B:B,C552)=0),
"Bloqueada",
"Desechable")),""
)</f>
        <v/>
      </c>
      <c r="J552" t="str" cm="1">
        <f t="array" aca="1" ref="J552" ca="1">IF(ISNUMBER(A552),IFERROR(_xlfn._xlws.FILTER(Equipar!A:A,(Equipar!B:B=6)*(Equipar!AC:AC=A552)),""),"")</f>
        <v/>
      </c>
    </row>
    <row r="553" spans="1:10" x14ac:dyDescent="0.25">
      <c r="A553" s="1" t="str">
        <f ca="1">IF(A552="ID",1,IF(ISBLANK(B553),"",MAX(A$2:A552)+1))</f>
        <v/>
      </c>
      <c r="I553" s="2" t="str">
        <f ca="1">IF(ISNUMBER(A553),
IF(COUNTIFS(Equipar!B:B,6,Equipar!AC:AC,A553),"Equipada",
IF(
 OR(COUNTIFS(Equipar!B:B,6,Equipar!C:C,A553)
 +COUNTIFS(Equipar!B:B,6,Equipar!D:D,A553)
+COUNTIFS(Equipar!B:B,6,Equipar!E:E,A553)
+COUNTIFS(Equipar!B:B,6,Equipar!F:F,A553)
&gt;0,COUNTIF('Set recomendado'!B:B,C553)=0),
"Bloqueada",
"Desechable")),""
)</f>
        <v/>
      </c>
      <c r="J553" t="str" cm="1">
        <f t="array" aca="1" ref="J553" ca="1">IF(ISNUMBER(A553),IFERROR(_xlfn._xlws.FILTER(Equipar!A:A,(Equipar!B:B=6)*(Equipar!AC:AC=A553)),""),"")</f>
        <v/>
      </c>
    </row>
    <row r="554" spans="1:10" x14ac:dyDescent="0.25">
      <c r="A554" s="1" t="str">
        <f ca="1">IF(A553="ID",1,IF(ISBLANK(B554),"",MAX(A$2:A553)+1))</f>
        <v/>
      </c>
      <c r="I554" s="2" t="str">
        <f ca="1">IF(ISNUMBER(A554),
IF(COUNTIFS(Equipar!B:B,6,Equipar!AC:AC,A554),"Equipada",
IF(
 OR(COUNTIFS(Equipar!B:B,6,Equipar!C:C,A554)
 +COUNTIFS(Equipar!B:B,6,Equipar!D:D,A554)
+COUNTIFS(Equipar!B:B,6,Equipar!E:E,A554)
+COUNTIFS(Equipar!B:B,6,Equipar!F:F,A554)
&gt;0,COUNTIF('Set recomendado'!B:B,C554)=0),
"Bloqueada",
"Desechable")),""
)</f>
        <v/>
      </c>
      <c r="J554" t="str" cm="1">
        <f t="array" aca="1" ref="J554" ca="1">IF(ISNUMBER(A554),IFERROR(_xlfn._xlws.FILTER(Equipar!A:A,(Equipar!B:B=6)*(Equipar!AC:AC=A554)),""),"")</f>
        <v/>
      </c>
    </row>
    <row r="555" spans="1:10" x14ac:dyDescent="0.25">
      <c r="A555" s="1" t="str">
        <f ca="1">IF(A554="ID",1,IF(ISBLANK(B555),"",MAX(A$2:A554)+1))</f>
        <v/>
      </c>
      <c r="I555" s="2" t="str">
        <f ca="1">IF(ISNUMBER(A555),
IF(COUNTIFS(Equipar!B:B,6,Equipar!AC:AC,A555),"Equipada",
IF(
 OR(COUNTIFS(Equipar!B:B,6,Equipar!C:C,A555)
 +COUNTIFS(Equipar!B:B,6,Equipar!D:D,A555)
+COUNTIFS(Equipar!B:B,6,Equipar!E:E,A555)
+COUNTIFS(Equipar!B:B,6,Equipar!F:F,A555)
&gt;0,COUNTIF('Set recomendado'!B:B,C555)=0),
"Bloqueada",
"Desechable")),""
)</f>
        <v/>
      </c>
      <c r="J555" t="str" cm="1">
        <f t="array" aca="1" ref="J555" ca="1">IF(ISNUMBER(A555),IFERROR(_xlfn._xlws.FILTER(Equipar!A:A,(Equipar!B:B=6)*(Equipar!AC:AC=A555)),""),"")</f>
        <v/>
      </c>
    </row>
    <row r="556" spans="1:10" x14ac:dyDescent="0.25">
      <c r="A556" s="1" t="str">
        <f ca="1">IF(A555="ID",1,IF(ISBLANK(B556),"",MAX(A$2:A555)+1))</f>
        <v/>
      </c>
      <c r="I556" s="2" t="str">
        <f ca="1">IF(ISNUMBER(A556),
IF(COUNTIFS(Equipar!B:B,6,Equipar!AC:AC,A556),"Equipada",
IF(
 OR(COUNTIFS(Equipar!B:B,6,Equipar!C:C,A556)
 +COUNTIFS(Equipar!B:B,6,Equipar!D:D,A556)
+COUNTIFS(Equipar!B:B,6,Equipar!E:E,A556)
+COUNTIFS(Equipar!B:B,6,Equipar!F:F,A556)
&gt;0,COUNTIF('Set recomendado'!B:B,C556)=0),
"Bloqueada",
"Desechable")),""
)</f>
        <v/>
      </c>
      <c r="J556" t="str" cm="1">
        <f t="array" aca="1" ref="J556" ca="1">IF(ISNUMBER(A556),IFERROR(_xlfn._xlws.FILTER(Equipar!A:A,(Equipar!B:B=6)*(Equipar!AC:AC=A556)),""),"")</f>
        <v/>
      </c>
    </row>
    <row r="557" spans="1:10" x14ac:dyDescent="0.25">
      <c r="A557" s="1" t="str">
        <f ca="1">IF(A556="ID",1,IF(ISBLANK(B557),"",MAX(A$2:A556)+1))</f>
        <v/>
      </c>
      <c r="I557" s="2" t="str">
        <f ca="1">IF(ISNUMBER(A557),
IF(COUNTIFS(Equipar!B:B,6,Equipar!AC:AC,A557),"Equipada",
IF(
 OR(COUNTIFS(Equipar!B:B,6,Equipar!C:C,A557)
 +COUNTIFS(Equipar!B:B,6,Equipar!D:D,A557)
+COUNTIFS(Equipar!B:B,6,Equipar!E:E,A557)
+COUNTIFS(Equipar!B:B,6,Equipar!F:F,A557)
&gt;0,COUNTIF('Set recomendado'!B:B,C557)=0),
"Bloqueada",
"Desechable")),""
)</f>
        <v/>
      </c>
      <c r="J557" t="str" cm="1">
        <f t="array" aca="1" ref="J557" ca="1">IF(ISNUMBER(A557),IFERROR(_xlfn._xlws.FILTER(Equipar!A:A,(Equipar!B:B=6)*(Equipar!AC:AC=A557)),""),"")</f>
        <v/>
      </c>
    </row>
    <row r="558" spans="1:10" x14ac:dyDescent="0.25">
      <c r="A558" s="1" t="str">
        <f ca="1">IF(A557="ID",1,IF(ISBLANK(B558),"",MAX(A$2:A557)+1))</f>
        <v/>
      </c>
      <c r="I558" s="2" t="str">
        <f ca="1">IF(ISNUMBER(A558),
IF(COUNTIFS(Equipar!B:B,6,Equipar!AC:AC,A558),"Equipada",
IF(
 OR(COUNTIFS(Equipar!B:B,6,Equipar!C:C,A558)
 +COUNTIFS(Equipar!B:B,6,Equipar!D:D,A558)
+COUNTIFS(Equipar!B:B,6,Equipar!E:E,A558)
+COUNTIFS(Equipar!B:B,6,Equipar!F:F,A558)
&gt;0,COUNTIF('Set recomendado'!B:B,C558)=0),
"Bloqueada",
"Desechable")),""
)</f>
        <v/>
      </c>
      <c r="J558" t="str" cm="1">
        <f t="array" aca="1" ref="J558" ca="1">IF(ISNUMBER(A558),IFERROR(_xlfn._xlws.FILTER(Equipar!A:A,(Equipar!B:B=6)*(Equipar!AC:AC=A558)),""),"")</f>
        <v/>
      </c>
    </row>
    <row r="559" spans="1:10" x14ac:dyDescent="0.25">
      <c r="A559" s="1" t="str">
        <f ca="1">IF(A558="ID",1,IF(ISBLANK(B559),"",MAX(A$2:A558)+1))</f>
        <v/>
      </c>
      <c r="I559" s="2" t="str">
        <f ca="1">IF(ISNUMBER(A559),
IF(COUNTIFS(Equipar!B:B,6,Equipar!AC:AC,A559),"Equipada",
IF(
 OR(COUNTIFS(Equipar!B:B,6,Equipar!C:C,A559)
 +COUNTIFS(Equipar!B:B,6,Equipar!D:D,A559)
+COUNTIFS(Equipar!B:B,6,Equipar!E:E,A559)
+COUNTIFS(Equipar!B:B,6,Equipar!F:F,A559)
&gt;0,COUNTIF('Set recomendado'!B:B,C559)=0),
"Bloqueada",
"Desechable")),""
)</f>
        <v/>
      </c>
      <c r="J559" t="str" cm="1">
        <f t="array" aca="1" ref="J559" ca="1">IF(ISNUMBER(A559),IFERROR(_xlfn._xlws.FILTER(Equipar!A:A,(Equipar!B:B=6)*(Equipar!AC:AC=A559)),""),"")</f>
        <v/>
      </c>
    </row>
    <row r="560" spans="1:10" x14ac:dyDescent="0.25">
      <c r="A560" s="1" t="str">
        <f ca="1">IF(A559="ID",1,IF(ISBLANK(B560),"",MAX(A$2:A559)+1))</f>
        <v/>
      </c>
      <c r="I560" s="2" t="str">
        <f ca="1">IF(ISNUMBER(A560),
IF(COUNTIFS(Equipar!B:B,6,Equipar!AC:AC,A560),"Equipada",
IF(
 OR(COUNTIFS(Equipar!B:B,6,Equipar!C:C,A560)
 +COUNTIFS(Equipar!B:B,6,Equipar!D:D,A560)
+COUNTIFS(Equipar!B:B,6,Equipar!E:E,A560)
+COUNTIFS(Equipar!B:B,6,Equipar!F:F,A560)
&gt;0,COUNTIF('Set recomendado'!B:B,C560)=0),
"Bloqueada",
"Desechable")),""
)</f>
        <v/>
      </c>
      <c r="J560" t="str" cm="1">
        <f t="array" aca="1" ref="J560" ca="1">IF(ISNUMBER(A560),IFERROR(_xlfn._xlws.FILTER(Equipar!A:A,(Equipar!B:B=6)*(Equipar!AC:AC=A560)),""),"")</f>
        <v/>
      </c>
    </row>
    <row r="561" spans="1:10" x14ac:dyDescent="0.25">
      <c r="A561" s="1" t="str">
        <f ca="1">IF(A560="ID",1,IF(ISBLANK(B561),"",MAX(A$2:A560)+1))</f>
        <v/>
      </c>
      <c r="I561" s="2" t="str">
        <f ca="1">IF(ISNUMBER(A561),
IF(COUNTIFS(Equipar!B:B,6,Equipar!AC:AC,A561),"Equipada",
IF(
 OR(COUNTIFS(Equipar!B:B,6,Equipar!C:C,A561)
 +COUNTIFS(Equipar!B:B,6,Equipar!D:D,A561)
+COUNTIFS(Equipar!B:B,6,Equipar!E:E,A561)
+COUNTIFS(Equipar!B:B,6,Equipar!F:F,A561)
&gt;0,COUNTIF('Set recomendado'!B:B,C561)=0),
"Bloqueada",
"Desechable")),""
)</f>
        <v/>
      </c>
      <c r="J561" t="str" cm="1">
        <f t="array" aca="1" ref="J561" ca="1">IF(ISNUMBER(A561),IFERROR(_xlfn._xlws.FILTER(Equipar!A:A,(Equipar!B:B=6)*(Equipar!AC:AC=A561)),""),"")</f>
        <v/>
      </c>
    </row>
    <row r="562" spans="1:10" x14ac:dyDescent="0.25">
      <c r="A562" s="1" t="str">
        <f ca="1">IF(A561="ID",1,IF(ISBLANK(B562),"",MAX(A$2:A561)+1))</f>
        <v/>
      </c>
      <c r="I562" s="2" t="str">
        <f ca="1">IF(ISNUMBER(A562),
IF(COUNTIFS(Equipar!B:B,6,Equipar!AC:AC,A562),"Equipada",
IF(
 OR(COUNTIFS(Equipar!B:B,6,Equipar!C:C,A562)
 +COUNTIFS(Equipar!B:B,6,Equipar!D:D,A562)
+COUNTIFS(Equipar!B:B,6,Equipar!E:E,A562)
+COUNTIFS(Equipar!B:B,6,Equipar!F:F,A562)
&gt;0,COUNTIF('Set recomendado'!B:B,C562)=0),
"Bloqueada",
"Desechable")),""
)</f>
        <v/>
      </c>
      <c r="J562" t="str" cm="1">
        <f t="array" aca="1" ref="J562" ca="1">IF(ISNUMBER(A562),IFERROR(_xlfn._xlws.FILTER(Equipar!A:A,(Equipar!B:B=6)*(Equipar!AC:AC=A562)),""),"")</f>
        <v/>
      </c>
    </row>
    <row r="563" spans="1:10" x14ac:dyDescent="0.25">
      <c r="A563" s="1" t="str">
        <f ca="1">IF(A562="ID",1,IF(ISBLANK(B563),"",MAX(A$2:A562)+1))</f>
        <v/>
      </c>
      <c r="I563" s="2" t="str">
        <f ca="1">IF(ISNUMBER(A563),
IF(COUNTIFS(Equipar!B:B,6,Equipar!AC:AC,A563),"Equipada",
IF(
 OR(COUNTIFS(Equipar!B:B,6,Equipar!C:C,A563)
 +COUNTIFS(Equipar!B:B,6,Equipar!D:D,A563)
+COUNTIFS(Equipar!B:B,6,Equipar!E:E,A563)
+COUNTIFS(Equipar!B:B,6,Equipar!F:F,A563)
&gt;0,COUNTIF('Set recomendado'!B:B,C563)=0),
"Bloqueada",
"Desechable")),""
)</f>
        <v/>
      </c>
      <c r="J563" t="str" cm="1">
        <f t="array" aca="1" ref="J563" ca="1">IF(ISNUMBER(A563),IFERROR(_xlfn._xlws.FILTER(Equipar!A:A,(Equipar!B:B=6)*(Equipar!AC:AC=A563)),""),"")</f>
        <v/>
      </c>
    </row>
    <row r="564" spans="1:10" x14ac:dyDescent="0.25">
      <c r="A564" s="1" t="str">
        <f ca="1">IF(A563="ID",1,IF(ISBLANK(B564),"",MAX(A$2:A563)+1))</f>
        <v/>
      </c>
      <c r="I564" s="2" t="str">
        <f ca="1">IF(ISNUMBER(A564),
IF(COUNTIFS(Equipar!B:B,6,Equipar!AC:AC,A564),"Equipada",
IF(
 OR(COUNTIFS(Equipar!B:B,6,Equipar!C:C,A564)
 +COUNTIFS(Equipar!B:B,6,Equipar!D:D,A564)
+COUNTIFS(Equipar!B:B,6,Equipar!E:E,A564)
+COUNTIFS(Equipar!B:B,6,Equipar!F:F,A564)
&gt;0,COUNTIF('Set recomendado'!B:B,C564)=0),
"Bloqueada",
"Desechable")),""
)</f>
        <v/>
      </c>
      <c r="J564" t="str" cm="1">
        <f t="array" aca="1" ref="J564" ca="1">IF(ISNUMBER(A564),IFERROR(_xlfn._xlws.FILTER(Equipar!A:A,(Equipar!B:B=6)*(Equipar!AC:AC=A564)),""),"")</f>
        <v/>
      </c>
    </row>
    <row r="565" spans="1:10" x14ac:dyDescent="0.25">
      <c r="A565" s="1" t="str">
        <f ca="1">IF(A564="ID",1,IF(ISBLANK(B565),"",MAX(A$2:A564)+1))</f>
        <v/>
      </c>
      <c r="I565" s="2" t="str">
        <f ca="1">IF(ISNUMBER(A565),
IF(COUNTIFS(Equipar!B:B,6,Equipar!AC:AC,A565),"Equipada",
IF(
 OR(COUNTIFS(Equipar!B:B,6,Equipar!C:C,A565)
 +COUNTIFS(Equipar!B:B,6,Equipar!D:D,A565)
+COUNTIFS(Equipar!B:B,6,Equipar!E:E,A565)
+COUNTIFS(Equipar!B:B,6,Equipar!F:F,A565)
&gt;0,COUNTIF('Set recomendado'!B:B,C565)=0),
"Bloqueada",
"Desechable")),""
)</f>
        <v/>
      </c>
      <c r="J565" t="str" cm="1">
        <f t="array" aca="1" ref="J565" ca="1">IF(ISNUMBER(A565),IFERROR(_xlfn._xlws.FILTER(Equipar!A:A,(Equipar!B:B=6)*(Equipar!AC:AC=A565)),""),"")</f>
        <v/>
      </c>
    </row>
    <row r="566" spans="1:10" x14ac:dyDescent="0.25">
      <c r="A566" s="1" t="str">
        <f ca="1">IF(A565="ID",1,IF(ISBLANK(B566),"",MAX(A$2:A565)+1))</f>
        <v/>
      </c>
      <c r="I566" s="2" t="str">
        <f ca="1">IF(ISNUMBER(A566),
IF(COUNTIFS(Equipar!B:B,6,Equipar!AC:AC,A566),"Equipada",
IF(
 OR(COUNTIFS(Equipar!B:B,6,Equipar!C:C,A566)
 +COUNTIFS(Equipar!B:B,6,Equipar!D:D,A566)
+COUNTIFS(Equipar!B:B,6,Equipar!E:E,A566)
+COUNTIFS(Equipar!B:B,6,Equipar!F:F,A566)
&gt;0,COUNTIF('Set recomendado'!B:B,C566)=0),
"Bloqueada",
"Desechable")),""
)</f>
        <v/>
      </c>
      <c r="J566" t="str" cm="1">
        <f t="array" aca="1" ref="J566" ca="1">IF(ISNUMBER(A566),IFERROR(_xlfn._xlws.FILTER(Equipar!A:A,(Equipar!B:B=6)*(Equipar!AC:AC=A566)),""),"")</f>
        <v/>
      </c>
    </row>
    <row r="567" spans="1:10" x14ac:dyDescent="0.25">
      <c r="A567" s="1" t="str">
        <f ca="1">IF(A566="ID",1,IF(ISBLANK(B567),"",MAX(A$2:A566)+1))</f>
        <v/>
      </c>
      <c r="I567" s="2" t="str">
        <f ca="1">IF(ISNUMBER(A567),
IF(COUNTIFS(Equipar!B:B,6,Equipar!AC:AC,A567),"Equipada",
IF(
 OR(COUNTIFS(Equipar!B:B,6,Equipar!C:C,A567)
 +COUNTIFS(Equipar!B:B,6,Equipar!D:D,A567)
+COUNTIFS(Equipar!B:B,6,Equipar!E:E,A567)
+COUNTIFS(Equipar!B:B,6,Equipar!F:F,A567)
&gt;0,COUNTIF('Set recomendado'!B:B,C567)=0),
"Bloqueada",
"Desechable")),""
)</f>
        <v/>
      </c>
      <c r="J567" t="str" cm="1">
        <f t="array" aca="1" ref="J567" ca="1">IF(ISNUMBER(A567),IFERROR(_xlfn._xlws.FILTER(Equipar!A:A,(Equipar!B:B=6)*(Equipar!AC:AC=A567)),""),"")</f>
        <v/>
      </c>
    </row>
    <row r="568" spans="1:10" x14ac:dyDescent="0.25">
      <c r="A568" s="1" t="str">
        <f ca="1">IF(A567="ID",1,IF(ISBLANK(B568),"",MAX(A$2:A567)+1))</f>
        <v/>
      </c>
      <c r="I568" s="2" t="str">
        <f ca="1">IF(ISNUMBER(A568),
IF(COUNTIFS(Equipar!B:B,6,Equipar!AC:AC,A568),"Equipada",
IF(
 OR(COUNTIFS(Equipar!B:B,6,Equipar!C:C,A568)
 +COUNTIFS(Equipar!B:B,6,Equipar!D:D,A568)
+COUNTIFS(Equipar!B:B,6,Equipar!E:E,A568)
+COUNTIFS(Equipar!B:B,6,Equipar!F:F,A568)
&gt;0,COUNTIF('Set recomendado'!B:B,C568)=0),
"Bloqueada",
"Desechable")),""
)</f>
        <v/>
      </c>
      <c r="J568" t="str" cm="1">
        <f t="array" aca="1" ref="J568" ca="1">IF(ISNUMBER(A568),IFERROR(_xlfn._xlws.FILTER(Equipar!A:A,(Equipar!B:B=6)*(Equipar!AC:AC=A568)),""),"")</f>
        <v/>
      </c>
    </row>
    <row r="569" spans="1:10" x14ac:dyDescent="0.25">
      <c r="A569" s="1" t="str">
        <f ca="1">IF(A568="ID",1,IF(ISBLANK(B569),"",MAX(A$2:A568)+1))</f>
        <v/>
      </c>
      <c r="I569" s="2" t="str">
        <f ca="1">IF(ISNUMBER(A569),
IF(COUNTIFS(Equipar!B:B,6,Equipar!AC:AC,A569),"Equipada",
IF(
 OR(COUNTIFS(Equipar!B:B,6,Equipar!C:C,A569)
 +COUNTIFS(Equipar!B:B,6,Equipar!D:D,A569)
+COUNTIFS(Equipar!B:B,6,Equipar!E:E,A569)
+COUNTIFS(Equipar!B:B,6,Equipar!F:F,A569)
&gt;0,COUNTIF('Set recomendado'!B:B,C569)=0),
"Bloqueada",
"Desechable")),""
)</f>
        <v/>
      </c>
      <c r="J569" t="str" cm="1">
        <f t="array" aca="1" ref="J569" ca="1">IF(ISNUMBER(A569),IFERROR(_xlfn._xlws.FILTER(Equipar!A:A,(Equipar!B:B=6)*(Equipar!AC:AC=A569)),""),"")</f>
        <v/>
      </c>
    </row>
    <row r="570" spans="1:10" x14ac:dyDescent="0.25">
      <c r="A570" s="1" t="str">
        <f ca="1">IF(A569="ID",1,IF(ISBLANK(B570),"",MAX(A$2:A569)+1))</f>
        <v/>
      </c>
      <c r="I570" s="2" t="str">
        <f ca="1">IF(ISNUMBER(A570),
IF(COUNTIFS(Equipar!B:B,6,Equipar!AC:AC,A570),"Equipada",
IF(
 OR(COUNTIFS(Equipar!B:B,6,Equipar!C:C,A570)
 +COUNTIFS(Equipar!B:B,6,Equipar!D:D,A570)
+COUNTIFS(Equipar!B:B,6,Equipar!E:E,A570)
+COUNTIFS(Equipar!B:B,6,Equipar!F:F,A570)
&gt;0,COUNTIF('Set recomendado'!B:B,C570)=0),
"Bloqueada",
"Desechable")),""
)</f>
        <v/>
      </c>
      <c r="J570" t="str" cm="1">
        <f t="array" aca="1" ref="J570" ca="1">IF(ISNUMBER(A570),IFERROR(_xlfn._xlws.FILTER(Equipar!A:A,(Equipar!B:B=6)*(Equipar!AC:AC=A570)),""),"")</f>
        <v/>
      </c>
    </row>
    <row r="571" spans="1:10" x14ac:dyDescent="0.25">
      <c r="A571" s="1" t="str">
        <f ca="1">IF(A570="ID",1,IF(ISBLANK(B571),"",MAX(A$2:A570)+1))</f>
        <v/>
      </c>
      <c r="I571" s="2" t="str">
        <f ca="1">IF(ISNUMBER(A571),
IF(COUNTIFS(Equipar!B:B,6,Equipar!AC:AC,A571),"Equipada",
IF(
 OR(COUNTIFS(Equipar!B:B,6,Equipar!C:C,A571)
 +COUNTIFS(Equipar!B:B,6,Equipar!D:D,A571)
+COUNTIFS(Equipar!B:B,6,Equipar!E:E,A571)
+COUNTIFS(Equipar!B:B,6,Equipar!F:F,A571)
&gt;0,COUNTIF('Set recomendado'!B:B,C571)=0),
"Bloqueada",
"Desechable")),""
)</f>
        <v/>
      </c>
      <c r="J571" t="str" cm="1">
        <f t="array" aca="1" ref="J571" ca="1">IF(ISNUMBER(A571),IFERROR(_xlfn._xlws.FILTER(Equipar!A:A,(Equipar!B:B=6)*(Equipar!AC:AC=A571)),""),"")</f>
        <v/>
      </c>
    </row>
    <row r="572" spans="1:10" x14ac:dyDescent="0.25">
      <c r="A572" s="1" t="str">
        <f ca="1">IF(A571="ID",1,IF(ISBLANK(B572),"",MAX(A$2:A571)+1))</f>
        <v/>
      </c>
      <c r="I572" s="2" t="str">
        <f ca="1">IF(ISNUMBER(A572),
IF(COUNTIFS(Equipar!B:B,6,Equipar!AC:AC,A572),"Equipada",
IF(
 OR(COUNTIFS(Equipar!B:B,6,Equipar!C:C,A572)
 +COUNTIFS(Equipar!B:B,6,Equipar!D:D,A572)
+COUNTIFS(Equipar!B:B,6,Equipar!E:E,A572)
+COUNTIFS(Equipar!B:B,6,Equipar!F:F,A572)
&gt;0,COUNTIF('Set recomendado'!B:B,C572)=0),
"Bloqueada",
"Desechable")),""
)</f>
        <v/>
      </c>
      <c r="J572" t="str" cm="1">
        <f t="array" aca="1" ref="J572" ca="1">IF(ISNUMBER(A572),IFERROR(_xlfn._xlws.FILTER(Equipar!A:A,(Equipar!B:B=6)*(Equipar!AC:AC=A572)),""),"")</f>
        <v/>
      </c>
    </row>
    <row r="573" spans="1:10" x14ac:dyDescent="0.25">
      <c r="A573" s="1" t="str">
        <f ca="1">IF(A572="ID",1,IF(ISBLANK(B573),"",MAX(A$2:A572)+1))</f>
        <v/>
      </c>
      <c r="I573" s="2" t="str">
        <f ca="1">IF(ISNUMBER(A573),
IF(COUNTIFS(Equipar!B:B,6,Equipar!AC:AC,A573),"Equipada",
IF(
 OR(COUNTIFS(Equipar!B:B,6,Equipar!C:C,A573)
 +COUNTIFS(Equipar!B:B,6,Equipar!D:D,A573)
+COUNTIFS(Equipar!B:B,6,Equipar!E:E,A573)
+COUNTIFS(Equipar!B:B,6,Equipar!F:F,A573)
&gt;0,COUNTIF('Set recomendado'!B:B,C573)=0),
"Bloqueada",
"Desechable")),""
)</f>
        <v/>
      </c>
      <c r="J573" t="str" cm="1">
        <f t="array" aca="1" ref="J573" ca="1">IF(ISNUMBER(A573),IFERROR(_xlfn._xlws.FILTER(Equipar!A:A,(Equipar!B:B=6)*(Equipar!AC:AC=A573)),""),"")</f>
        <v/>
      </c>
    </row>
    <row r="574" spans="1:10" x14ac:dyDescent="0.25">
      <c r="A574" s="1" t="str">
        <f ca="1">IF(A573="ID",1,IF(ISBLANK(B574),"",MAX(A$2:A573)+1))</f>
        <v/>
      </c>
      <c r="I574" s="2" t="str">
        <f ca="1">IF(ISNUMBER(A574),
IF(COUNTIFS(Equipar!B:B,6,Equipar!AC:AC,A574),"Equipada",
IF(
 OR(COUNTIFS(Equipar!B:B,6,Equipar!C:C,A574)
 +COUNTIFS(Equipar!B:B,6,Equipar!D:D,A574)
+COUNTIFS(Equipar!B:B,6,Equipar!E:E,A574)
+COUNTIFS(Equipar!B:B,6,Equipar!F:F,A574)
&gt;0,COUNTIF('Set recomendado'!B:B,C574)=0),
"Bloqueada",
"Desechable")),""
)</f>
        <v/>
      </c>
      <c r="J574" t="str" cm="1">
        <f t="array" aca="1" ref="J574" ca="1">IF(ISNUMBER(A574),IFERROR(_xlfn._xlws.FILTER(Equipar!A:A,(Equipar!B:B=6)*(Equipar!AC:AC=A574)),""),"")</f>
        <v/>
      </c>
    </row>
    <row r="575" spans="1:10" x14ac:dyDescent="0.25">
      <c r="A575" s="1" t="str">
        <f ca="1">IF(A574="ID",1,IF(ISBLANK(B575),"",MAX(A$2:A574)+1))</f>
        <v/>
      </c>
      <c r="I575" s="2" t="str">
        <f ca="1">IF(ISNUMBER(A575),
IF(COUNTIFS(Equipar!B:B,6,Equipar!AC:AC,A575),"Equipada",
IF(
 OR(COUNTIFS(Equipar!B:B,6,Equipar!C:C,A575)
 +COUNTIFS(Equipar!B:B,6,Equipar!D:D,A575)
+COUNTIFS(Equipar!B:B,6,Equipar!E:E,A575)
+COUNTIFS(Equipar!B:B,6,Equipar!F:F,A575)
&gt;0,COUNTIF('Set recomendado'!B:B,C575)=0),
"Bloqueada",
"Desechable")),""
)</f>
        <v/>
      </c>
      <c r="J575" t="str" cm="1">
        <f t="array" aca="1" ref="J575" ca="1">IF(ISNUMBER(A575),IFERROR(_xlfn._xlws.FILTER(Equipar!A:A,(Equipar!B:B=6)*(Equipar!AC:AC=A575)),""),"")</f>
        <v/>
      </c>
    </row>
    <row r="576" spans="1:10" x14ac:dyDescent="0.25">
      <c r="A576" s="1" t="str">
        <f ca="1">IF(A575="ID",1,IF(ISBLANK(B576),"",MAX(A$2:A575)+1))</f>
        <v/>
      </c>
      <c r="I576" s="2" t="str">
        <f ca="1">IF(ISNUMBER(A576),
IF(COUNTIFS(Equipar!B:B,6,Equipar!AC:AC,A576),"Equipada",
IF(
 OR(COUNTIFS(Equipar!B:B,6,Equipar!C:C,A576)
 +COUNTIFS(Equipar!B:B,6,Equipar!D:D,A576)
+COUNTIFS(Equipar!B:B,6,Equipar!E:E,A576)
+COUNTIFS(Equipar!B:B,6,Equipar!F:F,A576)
&gt;0,COUNTIF('Set recomendado'!B:B,C576)=0),
"Bloqueada",
"Desechable")),""
)</f>
        <v/>
      </c>
      <c r="J576" t="str" cm="1">
        <f t="array" aca="1" ref="J576" ca="1">IF(ISNUMBER(A576),IFERROR(_xlfn._xlws.FILTER(Equipar!A:A,(Equipar!B:B=6)*(Equipar!AC:AC=A576)),""),"")</f>
        <v/>
      </c>
    </row>
    <row r="577" spans="1:10" x14ac:dyDescent="0.25">
      <c r="A577" s="1" t="str">
        <f ca="1">IF(A576="ID",1,IF(ISBLANK(B577),"",MAX(A$2:A576)+1))</f>
        <v/>
      </c>
      <c r="I577" s="2" t="str">
        <f ca="1">IF(ISNUMBER(A577),
IF(COUNTIFS(Equipar!B:B,6,Equipar!AC:AC,A577),"Equipada",
IF(
 OR(COUNTIFS(Equipar!B:B,6,Equipar!C:C,A577)
 +COUNTIFS(Equipar!B:B,6,Equipar!D:D,A577)
+COUNTIFS(Equipar!B:B,6,Equipar!E:E,A577)
+COUNTIFS(Equipar!B:B,6,Equipar!F:F,A577)
&gt;0,COUNTIF('Set recomendado'!B:B,C577)=0),
"Bloqueada",
"Desechable")),""
)</f>
        <v/>
      </c>
      <c r="J577" t="str" cm="1">
        <f t="array" aca="1" ref="J577" ca="1">IF(ISNUMBER(A577),IFERROR(_xlfn._xlws.FILTER(Equipar!A:A,(Equipar!B:B=6)*(Equipar!AC:AC=A577)),""),"")</f>
        <v/>
      </c>
    </row>
    <row r="578" spans="1:10" x14ac:dyDescent="0.25">
      <c r="A578" s="1" t="str">
        <f ca="1">IF(A577="ID",1,IF(ISBLANK(B578),"",MAX(A$2:A577)+1))</f>
        <v/>
      </c>
      <c r="I578" s="2" t="str">
        <f ca="1">IF(ISNUMBER(A578),
IF(COUNTIFS(Equipar!B:B,6,Equipar!AC:AC,A578),"Equipada",
IF(
 OR(COUNTIFS(Equipar!B:B,6,Equipar!C:C,A578)
 +COUNTIFS(Equipar!B:B,6,Equipar!D:D,A578)
+COUNTIFS(Equipar!B:B,6,Equipar!E:E,A578)
+COUNTIFS(Equipar!B:B,6,Equipar!F:F,A578)
&gt;0,COUNTIF('Set recomendado'!B:B,C578)=0),
"Bloqueada",
"Desechable")),""
)</f>
        <v/>
      </c>
      <c r="J578" t="str" cm="1">
        <f t="array" aca="1" ref="J578" ca="1">IF(ISNUMBER(A578),IFERROR(_xlfn._xlws.FILTER(Equipar!A:A,(Equipar!B:B=6)*(Equipar!AC:AC=A578)),""),"")</f>
        <v/>
      </c>
    </row>
    <row r="579" spans="1:10" x14ac:dyDescent="0.25">
      <c r="A579" s="1" t="str">
        <f ca="1">IF(A578="ID",1,IF(ISBLANK(B579),"",MAX(A$2:A578)+1))</f>
        <v/>
      </c>
      <c r="I579" s="2" t="str">
        <f ca="1">IF(ISNUMBER(A579),
IF(COUNTIFS(Equipar!B:B,6,Equipar!AC:AC,A579),"Equipada",
IF(
 OR(COUNTIFS(Equipar!B:B,6,Equipar!C:C,A579)
 +COUNTIFS(Equipar!B:B,6,Equipar!D:D,A579)
+COUNTIFS(Equipar!B:B,6,Equipar!E:E,A579)
+COUNTIFS(Equipar!B:B,6,Equipar!F:F,A579)
&gt;0,COUNTIF('Set recomendado'!B:B,C579)=0),
"Bloqueada",
"Desechable")),""
)</f>
        <v/>
      </c>
      <c r="J579" t="str" cm="1">
        <f t="array" aca="1" ref="J579" ca="1">IF(ISNUMBER(A579),IFERROR(_xlfn._xlws.FILTER(Equipar!A:A,(Equipar!B:B=6)*(Equipar!AC:AC=A579)),""),"")</f>
        <v/>
      </c>
    </row>
    <row r="580" spans="1:10" x14ac:dyDescent="0.25">
      <c r="A580" s="1" t="str">
        <f ca="1">IF(A579="ID",1,IF(ISBLANK(B580),"",MAX(A$2:A579)+1))</f>
        <v/>
      </c>
      <c r="I580" s="2" t="str">
        <f ca="1">IF(ISNUMBER(A580),
IF(COUNTIFS(Equipar!B:B,6,Equipar!AC:AC,A580),"Equipada",
IF(
 OR(COUNTIFS(Equipar!B:B,6,Equipar!C:C,A580)
 +COUNTIFS(Equipar!B:B,6,Equipar!D:D,A580)
+COUNTIFS(Equipar!B:B,6,Equipar!E:E,A580)
+COUNTIFS(Equipar!B:B,6,Equipar!F:F,A580)
&gt;0,COUNTIF('Set recomendado'!B:B,C580)=0),
"Bloqueada",
"Desechable")),""
)</f>
        <v/>
      </c>
      <c r="J580" t="str" cm="1">
        <f t="array" aca="1" ref="J580" ca="1">IF(ISNUMBER(A580),IFERROR(_xlfn._xlws.FILTER(Equipar!A:A,(Equipar!B:B=6)*(Equipar!AC:AC=A580)),""),"")</f>
        <v/>
      </c>
    </row>
    <row r="581" spans="1:10" x14ac:dyDescent="0.25">
      <c r="A581" s="1" t="str">
        <f ca="1">IF(A580="ID",1,IF(ISBLANK(B581),"",MAX(A$2:A580)+1))</f>
        <v/>
      </c>
      <c r="I581" s="2" t="str">
        <f ca="1">IF(ISNUMBER(A581),
IF(COUNTIFS(Equipar!B:B,6,Equipar!AC:AC,A581),"Equipada",
IF(
 OR(COUNTIFS(Equipar!B:B,6,Equipar!C:C,A581)
 +COUNTIFS(Equipar!B:B,6,Equipar!D:D,A581)
+COUNTIFS(Equipar!B:B,6,Equipar!E:E,A581)
+COUNTIFS(Equipar!B:B,6,Equipar!F:F,A581)
&gt;0,COUNTIF('Set recomendado'!B:B,C581)=0),
"Bloqueada",
"Desechable")),""
)</f>
        <v/>
      </c>
      <c r="J581" t="str" cm="1">
        <f t="array" aca="1" ref="J581" ca="1">IF(ISNUMBER(A581),IFERROR(_xlfn._xlws.FILTER(Equipar!A:A,(Equipar!B:B=6)*(Equipar!AC:AC=A581)),""),"")</f>
        <v/>
      </c>
    </row>
    <row r="582" spans="1:10" x14ac:dyDescent="0.25">
      <c r="A582" s="1" t="str">
        <f ca="1">IF(A581="ID",1,IF(ISBLANK(B582),"",MAX(A$2:A581)+1))</f>
        <v/>
      </c>
      <c r="I582" s="2" t="str">
        <f ca="1">IF(ISNUMBER(A582),
IF(COUNTIFS(Equipar!B:B,6,Equipar!AC:AC,A582),"Equipada",
IF(
 OR(COUNTIFS(Equipar!B:B,6,Equipar!C:C,A582)
 +COUNTIFS(Equipar!B:B,6,Equipar!D:D,A582)
+COUNTIFS(Equipar!B:B,6,Equipar!E:E,A582)
+COUNTIFS(Equipar!B:B,6,Equipar!F:F,A582)
&gt;0,COUNTIF('Set recomendado'!B:B,C582)=0),
"Bloqueada",
"Desechable")),""
)</f>
        <v/>
      </c>
      <c r="J582" t="str" cm="1">
        <f t="array" aca="1" ref="J582" ca="1">IF(ISNUMBER(A582),IFERROR(_xlfn._xlws.FILTER(Equipar!A:A,(Equipar!B:B=6)*(Equipar!AC:AC=A582)),""),"")</f>
        <v/>
      </c>
    </row>
    <row r="583" spans="1:10" x14ac:dyDescent="0.25">
      <c r="A583" s="1" t="str">
        <f ca="1">IF(A582="ID",1,IF(ISBLANK(B583),"",MAX(A$2:A582)+1))</f>
        <v/>
      </c>
      <c r="I583" s="2" t="str">
        <f ca="1">IF(ISNUMBER(A583),
IF(COUNTIFS(Equipar!B:B,6,Equipar!AC:AC,A583),"Equipada",
IF(
 OR(COUNTIFS(Equipar!B:B,6,Equipar!C:C,A583)
 +COUNTIFS(Equipar!B:B,6,Equipar!D:D,A583)
+COUNTIFS(Equipar!B:B,6,Equipar!E:E,A583)
+COUNTIFS(Equipar!B:B,6,Equipar!F:F,A583)
&gt;0,COUNTIF('Set recomendado'!B:B,C583)=0),
"Bloqueada",
"Desechable")),""
)</f>
        <v/>
      </c>
      <c r="J583" t="str" cm="1">
        <f t="array" aca="1" ref="J583" ca="1">IF(ISNUMBER(A583),IFERROR(_xlfn._xlws.FILTER(Equipar!A:A,(Equipar!B:B=6)*(Equipar!AC:AC=A583)),""),"")</f>
        <v/>
      </c>
    </row>
    <row r="584" spans="1:10" x14ac:dyDescent="0.25">
      <c r="A584" s="1" t="str">
        <f ca="1">IF(A583="ID",1,IF(ISBLANK(B584),"",MAX(A$2:A583)+1))</f>
        <v/>
      </c>
      <c r="I584" s="2" t="str">
        <f ca="1">IF(ISNUMBER(A584),
IF(COUNTIFS(Equipar!B:B,6,Equipar!AC:AC,A584),"Equipada",
IF(
 OR(COUNTIFS(Equipar!B:B,6,Equipar!C:C,A584)
 +COUNTIFS(Equipar!B:B,6,Equipar!D:D,A584)
+COUNTIFS(Equipar!B:B,6,Equipar!E:E,A584)
+COUNTIFS(Equipar!B:B,6,Equipar!F:F,A584)
&gt;0,COUNTIF('Set recomendado'!B:B,C584)=0),
"Bloqueada",
"Desechable")),""
)</f>
        <v/>
      </c>
      <c r="J584" t="str" cm="1">
        <f t="array" aca="1" ref="J584" ca="1">IF(ISNUMBER(A584),IFERROR(_xlfn._xlws.FILTER(Equipar!A:A,(Equipar!B:B=6)*(Equipar!AC:AC=A584)),""),"")</f>
        <v/>
      </c>
    </row>
    <row r="585" spans="1:10" x14ac:dyDescent="0.25">
      <c r="A585" s="1" t="str">
        <f ca="1">IF(A584="ID",1,IF(ISBLANK(B585),"",MAX(A$2:A584)+1))</f>
        <v/>
      </c>
      <c r="I585" s="2" t="str">
        <f ca="1">IF(ISNUMBER(A585),
IF(COUNTIFS(Equipar!B:B,6,Equipar!AC:AC,A585),"Equipada",
IF(
 OR(COUNTIFS(Equipar!B:B,6,Equipar!C:C,A585)
 +COUNTIFS(Equipar!B:B,6,Equipar!D:D,A585)
+COUNTIFS(Equipar!B:B,6,Equipar!E:E,A585)
+COUNTIFS(Equipar!B:B,6,Equipar!F:F,A585)
&gt;0,COUNTIF('Set recomendado'!B:B,C585)=0),
"Bloqueada",
"Desechable")),""
)</f>
        <v/>
      </c>
      <c r="J585" t="str" cm="1">
        <f t="array" aca="1" ref="J585" ca="1">IF(ISNUMBER(A585),IFERROR(_xlfn._xlws.FILTER(Equipar!A:A,(Equipar!B:B=6)*(Equipar!AC:AC=A585)),""),"")</f>
        <v/>
      </c>
    </row>
    <row r="586" spans="1:10" x14ac:dyDescent="0.25">
      <c r="A586" s="1" t="str">
        <f ca="1">IF(A585="ID",1,IF(ISBLANK(B586),"",MAX(A$2:A585)+1))</f>
        <v/>
      </c>
      <c r="I586" s="2" t="str">
        <f ca="1">IF(ISNUMBER(A586),
IF(COUNTIFS(Equipar!B:B,6,Equipar!AC:AC,A586),"Equipada",
IF(
 OR(COUNTIFS(Equipar!B:B,6,Equipar!C:C,A586)
 +COUNTIFS(Equipar!B:B,6,Equipar!D:D,A586)
+COUNTIFS(Equipar!B:B,6,Equipar!E:E,A586)
+COUNTIFS(Equipar!B:B,6,Equipar!F:F,A586)
&gt;0,COUNTIF('Set recomendado'!B:B,C586)=0),
"Bloqueada",
"Desechable")),""
)</f>
        <v/>
      </c>
      <c r="J586" t="str" cm="1">
        <f t="array" aca="1" ref="J586" ca="1">IF(ISNUMBER(A586),IFERROR(_xlfn._xlws.FILTER(Equipar!A:A,(Equipar!B:B=6)*(Equipar!AC:AC=A586)),""),"")</f>
        <v/>
      </c>
    </row>
    <row r="587" spans="1:10" x14ac:dyDescent="0.25">
      <c r="A587" s="1" t="str">
        <f ca="1">IF(A586="ID",1,IF(ISBLANK(B587),"",MAX(A$2:A586)+1))</f>
        <v/>
      </c>
      <c r="I587" s="2" t="str">
        <f ca="1">IF(ISNUMBER(A587),
IF(COUNTIFS(Equipar!B:B,6,Equipar!AC:AC,A587),"Equipada",
IF(
 OR(COUNTIFS(Equipar!B:B,6,Equipar!C:C,A587)
 +COUNTIFS(Equipar!B:B,6,Equipar!D:D,A587)
+COUNTIFS(Equipar!B:B,6,Equipar!E:E,A587)
+COUNTIFS(Equipar!B:B,6,Equipar!F:F,A587)
&gt;0,COUNTIF('Set recomendado'!B:B,C587)=0),
"Bloqueada",
"Desechable")),""
)</f>
        <v/>
      </c>
      <c r="J587" t="str" cm="1">
        <f t="array" aca="1" ref="J587" ca="1">IF(ISNUMBER(A587),IFERROR(_xlfn._xlws.FILTER(Equipar!A:A,(Equipar!B:B=6)*(Equipar!AC:AC=A587)),""),"")</f>
        <v/>
      </c>
    </row>
    <row r="588" spans="1:10" x14ac:dyDescent="0.25">
      <c r="A588" s="1" t="str">
        <f ca="1">IF(A587="ID",1,IF(ISBLANK(B588),"",MAX(A$2:A587)+1))</f>
        <v/>
      </c>
      <c r="I588" s="2" t="str">
        <f ca="1">IF(ISNUMBER(A588),
IF(COUNTIFS(Equipar!B:B,6,Equipar!AC:AC,A588),"Equipada",
IF(
 OR(COUNTIFS(Equipar!B:B,6,Equipar!C:C,A588)
 +COUNTIFS(Equipar!B:B,6,Equipar!D:D,A588)
+COUNTIFS(Equipar!B:B,6,Equipar!E:E,A588)
+COUNTIFS(Equipar!B:B,6,Equipar!F:F,A588)
&gt;0,COUNTIF('Set recomendado'!B:B,C588)=0),
"Bloqueada",
"Desechable")),""
)</f>
        <v/>
      </c>
      <c r="J588" t="str" cm="1">
        <f t="array" aca="1" ref="J588" ca="1">IF(ISNUMBER(A588),IFERROR(_xlfn._xlws.FILTER(Equipar!A:A,(Equipar!B:B=6)*(Equipar!AC:AC=A588)),""),"")</f>
        <v/>
      </c>
    </row>
    <row r="589" spans="1:10" x14ac:dyDescent="0.25">
      <c r="A589" s="1" t="str">
        <f ca="1">IF(A588="ID",1,IF(ISBLANK(B589),"",MAX(A$2:A588)+1))</f>
        <v/>
      </c>
      <c r="I589" s="2" t="str">
        <f ca="1">IF(ISNUMBER(A589),
IF(COUNTIFS(Equipar!B:B,6,Equipar!AC:AC,A589),"Equipada",
IF(
 OR(COUNTIFS(Equipar!B:B,6,Equipar!C:C,A589)
 +COUNTIFS(Equipar!B:B,6,Equipar!D:D,A589)
+COUNTIFS(Equipar!B:B,6,Equipar!E:E,A589)
+COUNTIFS(Equipar!B:B,6,Equipar!F:F,A589)
&gt;0,COUNTIF('Set recomendado'!B:B,C589)=0),
"Bloqueada",
"Desechable")),""
)</f>
        <v/>
      </c>
      <c r="J589" t="str" cm="1">
        <f t="array" aca="1" ref="J589" ca="1">IF(ISNUMBER(A589),IFERROR(_xlfn._xlws.FILTER(Equipar!A:A,(Equipar!B:B=6)*(Equipar!AC:AC=A589)),""),"")</f>
        <v/>
      </c>
    </row>
    <row r="590" spans="1:10" x14ac:dyDescent="0.25">
      <c r="A590" s="1" t="str">
        <f ca="1">IF(A589="ID",1,IF(ISBLANK(B590),"",MAX(A$2:A589)+1))</f>
        <v/>
      </c>
      <c r="I590" s="2" t="str">
        <f ca="1">IF(ISNUMBER(A590),
IF(COUNTIFS(Equipar!B:B,6,Equipar!AC:AC,A590),"Equipada",
IF(
 OR(COUNTIFS(Equipar!B:B,6,Equipar!C:C,A590)
 +COUNTIFS(Equipar!B:B,6,Equipar!D:D,A590)
+COUNTIFS(Equipar!B:B,6,Equipar!E:E,A590)
+COUNTIFS(Equipar!B:B,6,Equipar!F:F,A590)
&gt;0,COUNTIF('Set recomendado'!B:B,C590)=0),
"Bloqueada",
"Desechable")),""
)</f>
        <v/>
      </c>
      <c r="J590" t="str" cm="1">
        <f t="array" aca="1" ref="J590" ca="1">IF(ISNUMBER(A590),IFERROR(_xlfn._xlws.FILTER(Equipar!A:A,(Equipar!B:B=6)*(Equipar!AC:AC=A590)),""),"")</f>
        <v/>
      </c>
    </row>
    <row r="591" spans="1:10" x14ac:dyDescent="0.25">
      <c r="A591" s="1" t="str">
        <f ca="1">IF(A590="ID",1,IF(ISBLANK(B591),"",MAX(A$2:A590)+1))</f>
        <v/>
      </c>
      <c r="I591" s="2" t="str">
        <f ca="1">IF(ISNUMBER(A591),
IF(COUNTIFS(Equipar!B:B,6,Equipar!AC:AC,A591),"Equipada",
IF(
 OR(COUNTIFS(Equipar!B:B,6,Equipar!C:C,A591)
 +COUNTIFS(Equipar!B:B,6,Equipar!D:D,A591)
+COUNTIFS(Equipar!B:B,6,Equipar!E:E,A591)
+COUNTIFS(Equipar!B:B,6,Equipar!F:F,A591)
&gt;0,COUNTIF('Set recomendado'!B:B,C591)=0),
"Bloqueada",
"Desechable")),""
)</f>
        <v/>
      </c>
      <c r="J591" t="str" cm="1">
        <f t="array" aca="1" ref="J591" ca="1">IF(ISNUMBER(A591),IFERROR(_xlfn._xlws.FILTER(Equipar!A:A,(Equipar!B:B=6)*(Equipar!AC:AC=A591)),""),"")</f>
        <v/>
      </c>
    </row>
    <row r="592" spans="1:10" x14ac:dyDescent="0.25">
      <c r="A592" s="1" t="str">
        <f ca="1">IF(A591="ID",1,IF(ISBLANK(B592),"",MAX(A$2:A591)+1))</f>
        <v/>
      </c>
      <c r="I592" s="2" t="str">
        <f ca="1">IF(ISNUMBER(A592),
IF(COUNTIFS(Equipar!B:B,6,Equipar!AC:AC,A592),"Equipada",
IF(
 OR(COUNTIFS(Equipar!B:B,6,Equipar!C:C,A592)
 +COUNTIFS(Equipar!B:B,6,Equipar!D:D,A592)
+COUNTIFS(Equipar!B:B,6,Equipar!E:E,A592)
+COUNTIFS(Equipar!B:B,6,Equipar!F:F,A592)
&gt;0,COUNTIF('Set recomendado'!B:B,C592)=0),
"Bloqueada",
"Desechable")),""
)</f>
        <v/>
      </c>
      <c r="J592" t="str" cm="1">
        <f t="array" aca="1" ref="J592" ca="1">IF(ISNUMBER(A592),IFERROR(_xlfn._xlws.FILTER(Equipar!A:A,(Equipar!B:B=6)*(Equipar!AC:AC=A592)),""),"")</f>
        <v/>
      </c>
    </row>
    <row r="593" spans="1:10" x14ac:dyDescent="0.25">
      <c r="A593" s="1" t="str">
        <f ca="1">IF(A592="ID",1,IF(ISBLANK(B593),"",MAX(A$2:A592)+1))</f>
        <v/>
      </c>
      <c r="I593" s="2" t="str">
        <f ca="1">IF(ISNUMBER(A593),
IF(COUNTIFS(Equipar!B:B,6,Equipar!AC:AC,A593),"Equipada",
IF(
 OR(COUNTIFS(Equipar!B:B,6,Equipar!C:C,A593)
 +COUNTIFS(Equipar!B:B,6,Equipar!D:D,A593)
+COUNTIFS(Equipar!B:B,6,Equipar!E:E,A593)
+COUNTIFS(Equipar!B:B,6,Equipar!F:F,A593)
&gt;0,COUNTIF('Set recomendado'!B:B,C593)=0),
"Bloqueada",
"Desechable")),""
)</f>
        <v/>
      </c>
      <c r="J593" t="str" cm="1">
        <f t="array" aca="1" ref="J593" ca="1">IF(ISNUMBER(A593),IFERROR(_xlfn._xlws.FILTER(Equipar!A:A,(Equipar!B:B=6)*(Equipar!AC:AC=A593)),""),"")</f>
        <v/>
      </c>
    </row>
    <row r="594" spans="1:10" x14ac:dyDescent="0.25">
      <c r="A594" s="1" t="str">
        <f ca="1">IF(A593="ID",1,IF(ISBLANK(B594),"",MAX(A$2:A593)+1))</f>
        <v/>
      </c>
      <c r="I594" s="2" t="str">
        <f ca="1">IF(ISNUMBER(A594),
IF(COUNTIFS(Equipar!B:B,6,Equipar!AC:AC,A594),"Equipada",
IF(
 OR(COUNTIFS(Equipar!B:B,6,Equipar!C:C,A594)
 +COUNTIFS(Equipar!B:B,6,Equipar!D:D,A594)
+COUNTIFS(Equipar!B:B,6,Equipar!E:E,A594)
+COUNTIFS(Equipar!B:B,6,Equipar!F:F,A594)
&gt;0,COUNTIF('Set recomendado'!B:B,C594)=0),
"Bloqueada",
"Desechable")),""
)</f>
        <v/>
      </c>
      <c r="J594" t="str" cm="1">
        <f t="array" aca="1" ref="J594" ca="1">IF(ISNUMBER(A594),IFERROR(_xlfn._xlws.FILTER(Equipar!A:A,(Equipar!B:B=6)*(Equipar!AC:AC=A594)),""),"")</f>
        <v/>
      </c>
    </row>
    <row r="595" spans="1:10" x14ac:dyDescent="0.25">
      <c r="A595" s="1" t="str">
        <f ca="1">IF(A594="ID",1,IF(ISBLANK(B595),"",MAX(A$2:A594)+1))</f>
        <v/>
      </c>
      <c r="I595" s="2" t="str">
        <f ca="1">IF(ISNUMBER(A595),
IF(COUNTIFS(Equipar!B:B,6,Equipar!AC:AC,A595),"Equipada",
IF(
 OR(COUNTIFS(Equipar!B:B,6,Equipar!C:C,A595)
 +COUNTIFS(Equipar!B:B,6,Equipar!D:D,A595)
+COUNTIFS(Equipar!B:B,6,Equipar!E:E,A595)
+COUNTIFS(Equipar!B:B,6,Equipar!F:F,A595)
&gt;0,COUNTIF('Set recomendado'!B:B,C595)=0),
"Bloqueada",
"Desechable")),""
)</f>
        <v/>
      </c>
      <c r="J595" t="str" cm="1">
        <f t="array" aca="1" ref="J595" ca="1">IF(ISNUMBER(A595),IFERROR(_xlfn._xlws.FILTER(Equipar!A:A,(Equipar!B:B=6)*(Equipar!AC:AC=A595)),""),"")</f>
        <v/>
      </c>
    </row>
    <row r="596" spans="1:10" x14ac:dyDescent="0.25">
      <c r="A596" s="1" t="str">
        <f ca="1">IF(A595="ID",1,IF(ISBLANK(B596),"",MAX(A$2:A595)+1))</f>
        <v/>
      </c>
      <c r="I596" s="2" t="str">
        <f ca="1">IF(ISNUMBER(A596),
IF(COUNTIFS(Equipar!B:B,6,Equipar!AC:AC,A596),"Equipada",
IF(
 OR(COUNTIFS(Equipar!B:B,6,Equipar!C:C,A596)
 +COUNTIFS(Equipar!B:B,6,Equipar!D:D,A596)
+COUNTIFS(Equipar!B:B,6,Equipar!E:E,A596)
+COUNTIFS(Equipar!B:B,6,Equipar!F:F,A596)
&gt;0,COUNTIF('Set recomendado'!B:B,C596)=0),
"Bloqueada",
"Desechable")),""
)</f>
        <v/>
      </c>
      <c r="J596" t="str" cm="1">
        <f t="array" aca="1" ref="J596" ca="1">IF(ISNUMBER(A596),IFERROR(_xlfn._xlws.FILTER(Equipar!A:A,(Equipar!B:B=6)*(Equipar!AC:AC=A596)),""),"")</f>
        <v/>
      </c>
    </row>
    <row r="597" spans="1:10" x14ac:dyDescent="0.25">
      <c r="A597" s="1" t="str">
        <f ca="1">IF(A596="ID",1,IF(ISBLANK(B597),"",MAX(A$2:A596)+1))</f>
        <v/>
      </c>
      <c r="I597" s="2" t="str">
        <f ca="1">IF(ISNUMBER(A597),
IF(COUNTIFS(Equipar!B:B,6,Equipar!AC:AC,A597),"Equipada",
IF(
 OR(COUNTIFS(Equipar!B:B,6,Equipar!C:C,A597)
 +COUNTIFS(Equipar!B:B,6,Equipar!D:D,A597)
+COUNTIFS(Equipar!B:B,6,Equipar!E:E,A597)
+COUNTIFS(Equipar!B:B,6,Equipar!F:F,A597)
&gt;0,COUNTIF('Set recomendado'!B:B,C597)=0),
"Bloqueada",
"Desechable")),""
)</f>
        <v/>
      </c>
      <c r="J597" t="str" cm="1">
        <f t="array" aca="1" ref="J597" ca="1">IF(ISNUMBER(A597),IFERROR(_xlfn._xlws.FILTER(Equipar!A:A,(Equipar!B:B=6)*(Equipar!AC:AC=A597)),""),"")</f>
        <v/>
      </c>
    </row>
    <row r="598" spans="1:10" x14ac:dyDescent="0.25">
      <c r="A598" s="1" t="str">
        <f ca="1">IF(A597="ID",1,IF(ISBLANK(B598),"",MAX(A$2:A597)+1))</f>
        <v/>
      </c>
      <c r="I598" s="2" t="str">
        <f ca="1">IF(ISNUMBER(A598),
IF(COUNTIFS(Equipar!B:B,6,Equipar!AC:AC,A598),"Equipada",
IF(
 OR(COUNTIFS(Equipar!B:B,6,Equipar!C:C,A598)
 +COUNTIFS(Equipar!B:B,6,Equipar!D:D,A598)
+COUNTIFS(Equipar!B:B,6,Equipar!E:E,A598)
+COUNTIFS(Equipar!B:B,6,Equipar!F:F,A598)
&gt;0,COUNTIF('Set recomendado'!B:B,C598)=0),
"Bloqueada",
"Desechable")),""
)</f>
        <v/>
      </c>
      <c r="J598" t="str" cm="1">
        <f t="array" aca="1" ref="J598" ca="1">IF(ISNUMBER(A598),IFERROR(_xlfn._xlws.FILTER(Equipar!A:A,(Equipar!B:B=6)*(Equipar!AC:AC=A598)),""),"")</f>
        <v/>
      </c>
    </row>
    <row r="599" spans="1:10" x14ac:dyDescent="0.25">
      <c r="A599" s="1" t="str">
        <f ca="1">IF(A598="ID",1,IF(ISBLANK(B599),"",MAX(A$2:A598)+1))</f>
        <v/>
      </c>
      <c r="I599" s="2" t="str">
        <f ca="1">IF(ISNUMBER(A599),
IF(COUNTIFS(Equipar!B:B,6,Equipar!AC:AC,A599),"Equipada",
IF(
 OR(COUNTIFS(Equipar!B:B,6,Equipar!C:C,A599)
 +COUNTIFS(Equipar!B:B,6,Equipar!D:D,A599)
+COUNTIFS(Equipar!B:B,6,Equipar!E:E,A599)
+COUNTIFS(Equipar!B:B,6,Equipar!F:F,A599)
&gt;0,COUNTIF('Set recomendado'!B:B,C599)=0),
"Bloqueada",
"Desechable")),""
)</f>
        <v/>
      </c>
      <c r="J599" t="str" cm="1">
        <f t="array" aca="1" ref="J599" ca="1">IF(ISNUMBER(A599),IFERROR(_xlfn._xlws.FILTER(Equipar!A:A,(Equipar!B:B=6)*(Equipar!AC:AC=A599)),""),"")</f>
        <v/>
      </c>
    </row>
    <row r="600" spans="1:10" x14ac:dyDescent="0.25">
      <c r="A600" s="1" t="str">
        <f ca="1">IF(A599="ID",1,IF(ISBLANK(B600),"",MAX(A$2:A599)+1))</f>
        <v/>
      </c>
      <c r="I600" s="2" t="str">
        <f ca="1">IF(ISNUMBER(A600),
IF(COUNTIFS(Equipar!B:B,6,Equipar!AC:AC,A600),"Equipada",
IF(
 OR(COUNTIFS(Equipar!B:B,6,Equipar!C:C,A600)
 +COUNTIFS(Equipar!B:B,6,Equipar!D:D,A600)
+COUNTIFS(Equipar!B:B,6,Equipar!E:E,A600)
+COUNTIFS(Equipar!B:B,6,Equipar!F:F,A600)
&gt;0,COUNTIF('Set recomendado'!B:B,C600)=0),
"Bloqueada",
"Desechable")),""
)</f>
        <v/>
      </c>
      <c r="J600" t="str" cm="1">
        <f t="array" aca="1" ref="J600" ca="1">IF(ISNUMBER(A600),IFERROR(_xlfn._xlws.FILTER(Equipar!A:A,(Equipar!B:B=6)*(Equipar!AC:AC=A600)),""),"")</f>
        <v/>
      </c>
    </row>
    <row r="601" spans="1:10" x14ac:dyDescent="0.25">
      <c r="A601" s="1" t="str">
        <f ca="1">IF(A600="ID",1,IF(ISBLANK(B601),"",MAX(A$2:A600)+1))</f>
        <v/>
      </c>
      <c r="I601" s="2" t="str">
        <f ca="1">IF(ISNUMBER(A601),
IF(COUNTIFS(Equipar!B:B,6,Equipar!AC:AC,A601),"Equipada",
IF(
 OR(COUNTIFS(Equipar!B:B,6,Equipar!C:C,A601)
 +COUNTIFS(Equipar!B:B,6,Equipar!D:D,A601)
+COUNTIFS(Equipar!B:B,6,Equipar!E:E,A601)
+COUNTIFS(Equipar!B:B,6,Equipar!F:F,A601)
&gt;0,COUNTIF('Set recomendado'!B:B,C601)=0),
"Bloqueada",
"Desechable")),""
)</f>
        <v/>
      </c>
      <c r="J601" t="str" cm="1">
        <f t="array" aca="1" ref="J601" ca="1">IF(ISNUMBER(A601),IFERROR(_xlfn._xlws.FILTER(Equipar!A:A,(Equipar!B:B=6)*(Equipar!AC:AC=A601)),""),"")</f>
        <v/>
      </c>
    </row>
    <row r="602" spans="1:10" x14ac:dyDescent="0.25">
      <c r="A602" s="1" t="str">
        <f ca="1">IF(A601="ID",1,IF(ISBLANK(B602),"",MAX(A$2:A601)+1))</f>
        <v/>
      </c>
      <c r="I602" s="2" t="str">
        <f ca="1">IF(ISNUMBER(A602),
IF(COUNTIFS(Equipar!B:B,6,Equipar!AC:AC,A602),"Equipada",
IF(
 OR(COUNTIFS(Equipar!B:B,6,Equipar!C:C,A602)
 +COUNTIFS(Equipar!B:B,6,Equipar!D:D,A602)
+COUNTIFS(Equipar!B:B,6,Equipar!E:E,A602)
+COUNTIFS(Equipar!B:B,6,Equipar!F:F,A602)
&gt;0,COUNTIF('Set recomendado'!B:B,C602)=0),
"Bloqueada",
"Desechable")),""
)</f>
        <v/>
      </c>
      <c r="J602" t="str" cm="1">
        <f t="array" aca="1" ref="J602" ca="1">IF(ISNUMBER(A602),IFERROR(_xlfn._xlws.FILTER(Equipar!A:A,(Equipar!B:B=6)*(Equipar!AC:AC=A602)),""),"")</f>
        <v/>
      </c>
    </row>
    <row r="603" spans="1:10" x14ac:dyDescent="0.25">
      <c r="A603" s="1" t="str">
        <f ca="1">IF(A602="ID",1,IF(ISBLANK(B603),"",MAX(A$2:A602)+1))</f>
        <v/>
      </c>
      <c r="I603" s="2" t="str">
        <f ca="1">IF(ISNUMBER(A603),
IF(COUNTIFS(Equipar!B:B,6,Equipar!AC:AC,A603),"Equipada",
IF(
 OR(COUNTIFS(Equipar!B:B,6,Equipar!C:C,A603)
 +COUNTIFS(Equipar!B:B,6,Equipar!D:D,A603)
+COUNTIFS(Equipar!B:B,6,Equipar!E:E,A603)
+COUNTIFS(Equipar!B:B,6,Equipar!F:F,A603)
&gt;0,COUNTIF('Set recomendado'!B:B,C603)=0),
"Bloqueada",
"Desechable")),""
)</f>
        <v/>
      </c>
      <c r="J603" t="str" cm="1">
        <f t="array" aca="1" ref="J603" ca="1">IF(ISNUMBER(A603),IFERROR(_xlfn._xlws.FILTER(Equipar!A:A,(Equipar!B:B=6)*(Equipar!AC:AC=A603)),""),"")</f>
        <v/>
      </c>
    </row>
    <row r="604" spans="1:10" x14ac:dyDescent="0.25">
      <c r="A604" s="1" t="str">
        <f ca="1">IF(A603="ID",1,IF(ISBLANK(B604),"",MAX(A$2:A603)+1))</f>
        <v/>
      </c>
      <c r="I604" s="2" t="str">
        <f ca="1">IF(ISNUMBER(A604),
IF(COUNTIFS(Equipar!B:B,6,Equipar!AC:AC,A604),"Equipada",
IF(
 OR(COUNTIFS(Equipar!B:B,6,Equipar!C:C,A604)
 +COUNTIFS(Equipar!B:B,6,Equipar!D:D,A604)
+COUNTIFS(Equipar!B:B,6,Equipar!E:E,A604)
+COUNTIFS(Equipar!B:B,6,Equipar!F:F,A604)
&gt;0,COUNTIF('Set recomendado'!B:B,C604)=0),
"Bloqueada",
"Desechable")),""
)</f>
        <v/>
      </c>
      <c r="J604" t="str" cm="1">
        <f t="array" aca="1" ref="J604" ca="1">IF(ISNUMBER(A604),IFERROR(_xlfn._xlws.FILTER(Equipar!A:A,(Equipar!B:B=6)*(Equipar!AC:AC=A604)),""),"")</f>
        <v/>
      </c>
    </row>
    <row r="605" spans="1:10" x14ac:dyDescent="0.25">
      <c r="A605" s="1" t="str">
        <f ca="1">IF(A604="ID",1,IF(ISBLANK(B605),"",MAX(A$2:A604)+1))</f>
        <v/>
      </c>
      <c r="I605" s="2" t="str">
        <f ca="1">IF(ISNUMBER(A605),
IF(COUNTIFS(Equipar!B:B,6,Equipar!AC:AC,A605),"Equipada",
IF(
 OR(COUNTIFS(Equipar!B:B,6,Equipar!C:C,A605)
 +COUNTIFS(Equipar!B:B,6,Equipar!D:D,A605)
+COUNTIFS(Equipar!B:B,6,Equipar!E:E,A605)
+COUNTIFS(Equipar!B:B,6,Equipar!F:F,A605)
&gt;0,COUNTIF('Set recomendado'!B:B,C605)=0),
"Bloqueada",
"Desechable")),""
)</f>
        <v/>
      </c>
      <c r="J605" t="str" cm="1">
        <f t="array" aca="1" ref="J605" ca="1">IF(ISNUMBER(A605),IFERROR(_xlfn._xlws.FILTER(Equipar!A:A,(Equipar!B:B=6)*(Equipar!AC:AC=A605)),""),"")</f>
        <v/>
      </c>
    </row>
    <row r="606" spans="1:10" x14ac:dyDescent="0.25">
      <c r="A606" s="1" t="str">
        <f ca="1">IF(A605="ID",1,IF(ISBLANK(B606),"",MAX(A$2:A605)+1))</f>
        <v/>
      </c>
      <c r="I606" s="2" t="str">
        <f ca="1">IF(ISNUMBER(A606),
IF(COUNTIFS(Equipar!B:B,6,Equipar!AC:AC,A606),"Equipada",
IF(
 OR(COUNTIFS(Equipar!B:B,6,Equipar!C:C,A606)
 +COUNTIFS(Equipar!B:B,6,Equipar!D:D,A606)
+COUNTIFS(Equipar!B:B,6,Equipar!E:E,A606)
+COUNTIFS(Equipar!B:B,6,Equipar!F:F,A606)
&gt;0,COUNTIF('Set recomendado'!B:B,C606)=0),
"Bloqueada",
"Desechable")),""
)</f>
        <v/>
      </c>
      <c r="J606" t="str" cm="1">
        <f t="array" aca="1" ref="J606" ca="1">IF(ISNUMBER(A606),IFERROR(_xlfn._xlws.FILTER(Equipar!A:A,(Equipar!B:B=6)*(Equipar!AC:AC=A606)),""),"")</f>
        <v/>
      </c>
    </row>
    <row r="607" spans="1:10" x14ac:dyDescent="0.25">
      <c r="A607" s="1" t="str">
        <f ca="1">IF(A606="ID",1,IF(ISBLANK(B607),"",MAX(A$2:A606)+1))</f>
        <v/>
      </c>
      <c r="I607" s="2" t="str">
        <f ca="1">IF(ISNUMBER(A607),
IF(COUNTIFS(Equipar!B:B,6,Equipar!AC:AC,A607),"Equipada",
IF(
 OR(COUNTIFS(Equipar!B:B,6,Equipar!C:C,A607)
 +COUNTIFS(Equipar!B:B,6,Equipar!D:D,A607)
+COUNTIFS(Equipar!B:B,6,Equipar!E:E,A607)
+COUNTIFS(Equipar!B:B,6,Equipar!F:F,A607)
&gt;0,COUNTIF('Set recomendado'!B:B,C607)=0),
"Bloqueada",
"Desechable")),""
)</f>
        <v/>
      </c>
      <c r="J607" t="str" cm="1">
        <f t="array" aca="1" ref="J607" ca="1">IF(ISNUMBER(A607),IFERROR(_xlfn._xlws.FILTER(Equipar!A:A,(Equipar!B:B=6)*(Equipar!AC:AC=A607)),""),"")</f>
        <v/>
      </c>
    </row>
    <row r="608" spans="1:10" x14ac:dyDescent="0.25">
      <c r="A608" s="1" t="str">
        <f ca="1">IF(A607="ID",1,IF(ISBLANK(B608),"",MAX(A$2:A607)+1))</f>
        <v/>
      </c>
      <c r="I608" s="2" t="str">
        <f ca="1">IF(ISNUMBER(A608),
IF(COUNTIFS(Equipar!B:B,6,Equipar!AC:AC,A608),"Equipada",
IF(
 OR(COUNTIFS(Equipar!B:B,6,Equipar!C:C,A608)
 +COUNTIFS(Equipar!B:B,6,Equipar!D:D,A608)
+COUNTIFS(Equipar!B:B,6,Equipar!E:E,A608)
+COUNTIFS(Equipar!B:B,6,Equipar!F:F,A608)
&gt;0,COUNTIF('Set recomendado'!B:B,C608)=0),
"Bloqueada",
"Desechable")),""
)</f>
        <v/>
      </c>
      <c r="J608" t="str" cm="1">
        <f t="array" aca="1" ref="J608" ca="1">IF(ISNUMBER(A608),IFERROR(_xlfn._xlws.FILTER(Equipar!A:A,(Equipar!B:B=6)*(Equipar!AC:AC=A608)),""),"")</f>
        <v/>
      </c>
    </row>
    <row r="609" spans="1:10" x14ac:dyDescent="0.25">
      <c r="A609" s="1" t="str">
        <f ca="1">IF(A608="ID",1,IF(ISBLANK(B609),"",MAX(A$2:A608)+1))</f>
        <v/>
      </c>
      <c r="I609" s="2" t="str">
        <f ca="1">IF(ISNUMBER(A609),
IF(COUNTIFS(Equipar!B:B,6,Equipar!AC:AC,A609),"Equipada",
IF(
 OR(COUNTIFS(Equipar!B:B,6,Equipar!C:C,A609)
 +COUNTIFS(Equipar!B:B,6,Equipar!D:D,A609)
+COUNTIFS(Equipar!B:B,6,Equipar!E:E,A609)
+COUNTIFS(Equipar!B:B,6,Equipar!F:F,A609)
&gt;0,COUNTIF('Set recomendado'!B:B,C609)=0),
"Bloqueada",
"Desechable")),""
)</f>
        <v/>
      </c>
      <c r="J609" t="str" cm="1">
        <f t="array" aca="1" ref="J609" ca="1">IF(ISNUMBER(A609),IFERROR(_xlfn._xlws.FILTER(Equipar!A:A,(Equipar!B:B=6)*(Equipar!AC:AC=A609)),""),"")</f>
        <v/>
      </c>
    </row>
    <row r="610" spans="1:10" x14ac:dyDescent="0.25">
      <c r="A610" s="1" t="str">
        <f ca="1">IF(A609="ID",1,IF(ISBLANK(B610),"",MAX(A$2:A609)+1))</f>
        <v/>
      </c>
      <c r="I610" s="2" t="str">
        <f ca="1">IF(ISNUMBER(A610),
IF(COUNTIFS(Equipar!B:B,6,Equipar!AC:AC,A610),"Equipada",
IF(
 OR(COUNTIFS(Equipar!B:B,6,Equipar!C:C,A610)
 +COUNTIFS(Equipar!B:B,6,Equipar!D:D,A610)
+COUNTIFS(Equipar!B:B,6,Equipar!E:E,A610)
+COUNTIFS(Equipar!B:B,6,Equipar!F:F,A610)
&gt;0,COUNTIF('Set recomendado'!B:B,C610)=0),
"Bloqueada",
"Desechable")),""
)</f>
        <v/>
      </c>
      <c r="J610" t="str" cm="1">
        <f t="array" aca="1" ref="J610" ca="1">IF(ISNUMBER(A610),IFERROR(_xlfn._xlws.FILTER(Equipar!A:A,(Equipar!B:B=6)*(Equipar!AC:AC=A610)),""),"")</f>
        <v/>
      </c>
    </row>
    <row r="611" spans="1:10" x14ac:dyDescent="0.25">
      <c r="A611" s="1" t="str">
        <f ca="1">IF(A610="ID",1,IF(ISBLANK(B611),"",MAX(A$2:A610)+1))</f>
        <v/>
      </c>
      <c r="I611" s="2" t="str">
        <f ca="1">IF(ISNUMBER(A611),
IF(COUNTIFS(Equipar!B:B,6,Equipar!AC:AC,A611),"Equipada",
IF(
 OR(COUNTIFS(Equipar!B:B,6,Equipar!C:C,A611)
 +COUNTIFS(Equipar!B:B,6,Equipar!D:D,A611)
+COUNTIFS(Equipar!B:B,6,Equipar!E:E,A611)
+COUNTIFS(Equipar!B:B,6,Equipar!F:F,A611)
&gt;0,COUNTIF('Set recomendado'!B:B,C611)=0),
"Bloqueada",
"Desechable")),""
)</f>
        <v/>
      </c>
      <c r="J611" t="str" cm="1">
        <f t="array" aca="1" ref="J611" ca="1">IF(ISNUMBER(A611),IFERROR(_xlfn._xlws.FILTER(Equipar!A:A,(Equipar!B:B=6)*(Equipar!AC:AC=A611)),""),"")</f>
        <v/>
      </c>
    </row>
    <row r="612" spans="1:10" x14ac:dyDescent="0.25">
      <c r="A612" s="1" t="str">
        <f ca="1">IF(A611="ID",1,IF(ISBLANK(B612),"",MAX(A$2:A611)+1))</f>
        <v/>
      </c>
      <c r="I612" s="2" t="str">
        <f ca="1">IF(ISNUMBER(A612),
IF(COUNTIFS(Equipar!B:B,6,Equipar!AC:AC,A612),"Equipada",
IF(
 OR(COUNTIFS(Equipar!B:B,6,Equipar!C:C,A612)
 +COUNTIFS(Equipar!B:B,6,Equipar!D:D,A612)
+COUNTIFS(Equipar!B:B,6,Equipar!E:E,A612)
+COUNTIFS(Equipar!B:B,6,Equipar!F:F,A612)
&gt;0,COUNTIF('Set recomendado'!B:B,C612)=0),
"Bloqueada",
"Desechable")),""
)</f>
        <v/>
      </c>
      <c r="J612" t="str" cm="1">
        <f t="array" aca="1" ref="J612" ca="1">IF(ISNUMBER(A612),IFERROR(_xlfn._xlws.FILTER(Equipar!A:A,(Equipar!B:B=6)*(Equipar!AC:AC=A612)),""),"")</f>
        <v/>
      </c>
    </row>
    <row r="613" spans="1:10" x14ac:dyDescent="0.25">
      <c r="A613" s="1" t="str">
        <f ca="1">IF(A612="ID",1,IF(ISBLANK(B613),"",MAX(A$2:A612)+1))</f>
        <v/>
      </c>
      <c r="I613" s="2" t="str">
        <f ca="1">IF(ISNUMBER(A613),
IF(COUNTIFS(Equipar!B:B,6,Equipar!AC:AC,A613),"Equipada",
IF(
 OR(COUNTIFS(Equipar!B:B,6,Equipar!C:C,A613)
 +COUNTIFS(Equipar!B:B,6,Equipar!D:D,A613)
+COUNTIFS(Equipar!B:B,6,Equipar!E:E,A613)
+COUNTIFS(Equipar!B:B,6,Equipar!F:F,A613)
&gt;0,COUNTIF('Set recomendado'!B:B,C613)=0),
"Bloqueada",
"Desechable")),""
)</f>
        <v/>
      </c>
      <c r="J613" t="str" cm="1">
        <f t="array" aca="1" ref="J613" ca="1">IF(ISNUMBER(A613),IFERROR(_xlfn._xlws.FILTER(Equipar!A:A,(Equipar!B:B=6)*(Equipar!AC:AC=A613)),""),"")</f>
        <v/>
      </c>
    </row>
    <row r="614" spans="1:10" x14ac:dyDescent="0.25">
      <c r="A614" s="1" t="str">
        <f ca="1">IF(A613="ID",1,IF(ISBLANK(B614),"",MAX(A$2:A613)+1))</f>
        <v/>
      </c>
      <c r="I614" s="2" t="str">
        <f ca="1">IF(ISNUMBER(A614),
IF(COUNTIFS(Equipar!B:B,6,Equipar!AC:AC,A614),"Equipada",
IF(
 OR(COUNTIFS(Equipar!B:B,6,Equipar!C:C,A614)
 +COUNTIFS(Equipar!B:B,6,Equipar!D:D,A614)
+COUNTIFS(Equipar!B:B,6,Equipar!E:E,A614)
+COUNTIFS(Equipar!B:B,6,Equipar!F:F,A614)
&gt;0,COUNTIF('Set recomendado'!B:B,C614)=0),
"Bloqueada",
"Desechable")),""
)</f>
        <v/>
      </c>
      <c r="J614" t="str" cm="1">
        <f t="array" aca="1" ref="J614" ca="1">IF(ISNUMBER(A614),IFERROR(_xlfn._xlws.FILTER(Equipar!A:A,(Equipar!B:B=6)*(Equipar!AC:AC=A614)),""),"")</f>
        <v/>
      </c>
    </row>
    <row r="615" spans="1:10" x14ac:dyDescent="0.25">
      <c r="A615" s="1" t="str">
        <f ca="1">IF(A614="ID",1,IF(ISBLANK(B615),"",MAX(A$2:A614)+1))</f>
        <v/>
      </c>
      <c r="I615" s="2" t="str">
        <f ca="1">IF(ISNUMBER(A615),
IF(COUNTIFS(Equipar!B:B,6,Equipar!AC:AC,A615),"Equipada",
IF(
 OR(COUNTIFS(Equipar!B:B,6,Equipar!C:C,A615)
 +COUNTIFS(Equipar!B:B,6,Equipar!D:D,A615)
+COUNTIFS(Equipar!B:B,6,Equipar!E:E,A615)
+COUNTIFS(Equipar!B:B,6,Equipar!F:F,A615)
&gt;0,COUNTIF('Set recomendado'!B:B,C615)=0),
"Bloqueada",
"Desechable")),""
)</f>
        <v/>
      </c>
      <c r="J615" t="str" cm="1">
        <f t="array" aca="1" ref="J615" ca="1">IF(ISNUMBER(A615),IFERROR(_xlfn._xlws.FILTER(Equipar!A:A,(Equipar!B:B=6)*(Equipar!AC:AC=A615)),""),"")</f>
        <v/>
      </c>
    </row>
    <row r="616" spans="1:10" x14ac:dyDescent="0.25">
      <c r="A616" s="1" t="str">
        <f ca="1">IF(A615="ID",1,IF(ISBLANK(B616),"",MAX(A$2:A615)+1))</f>
        <v/>
      </c>
      <c r="I616" s="2" t="str">
        <f ca="1">IF(ISNUMBER(A616),
IF(COUNTIFS(Equipar!B:B,6,Equipar!AC:AC,A616),"Equipada",
IF(
 OR(COUNTIFS(Equipar!B:B,6,Equipar!C:C,A616)
 +COUNTIFS(Equipar!B:B,6,Equipar!D:D,A616)
+COUNTIFS(Equipar!B:B,6,Equipar!E:E,A616)
+COUNTIFS(Equipar!B:B,6,Equipar!F:F,A616)
&gt;0,COUNTIF('Set recomendado'!B:B,C616)=0),
"Bloqueada",
"Desechable")),""
)</f>
        <v/>
      </c>
      <c r="J616" t="str" cm="1">
        <f t="array" aca="1" ref="J616" ca="1">IF(ISNUMBER(A616),IFERROR(_xlfn._xlws.FILTER(Equipar!A:A,(Equipar!B:B=6)*(Equipar!AC:AC=A616)),""),"")</f>
        <v/>
      </c>
    </row>
    <row r="617" spans="1:10" x14ac:dyDescent="0.25">
      <c r="A617" s="1" t="str">
        <f ca="1">IF(A616="ID",1,IF(ISBLANK(B617),"",MAX(A$2:A616)+1))</f>
        <v/>
      </c>
      <c r="I617" s="2" t="str">
        <f ca="1">IF(ISNUMBER(A617),
IF(COUNTIFS(Equipar!B:B,6,Equipar!AC:AC,A617),"Equipada",
IF(
 OR(COUNTIFS(Equipar!B:B,6,Equipar!C:C,A617)
 +COUNTIFS(Equipar!B:B,6,Equipar!D:D,A617)
+COUNTIFS(Equipar!B:B,6,Equipar!E:E,A617)
+COUNTIFS(Equipar!B:B,6,Equipar!F:F,A617)
&gt;0,COUNTIF('Set recomendado'!B:B,C617)=0),
"Bloqueada",
"Desechable")),""
)</f>
        <v/>
      </c>
      <c r="J617" t="str" cm="1">
        <f t="array" aca="1" ref="J617" ca="1">IF(ISNUMBER(A617),IFERROR(_xlfn._xlws.FILTER(Equipar!A:A,(Equipar!B:B=6)*(Equipar!AC:AC=A617)),""),"")</f>
        <v/>
      </c>
    </row>
    <row r="618" spans="1:10" x14ac:dyDescent="0.25">
      <c r="A618" s="1" t="str">
        <f ca="1">IF(A617="ID",1,IF(ISBLANK(B618),"",MAX(A$2:A617)+1))</f>
        <v/>
      </c>
      <c r="I618" s="2" t="str">
        <f ca="1">IF(ISNUMBER(A618),
IF(COUNTIFS(Equipar!B:B,6,Equipar!AC:AC,A618),"Equipada",
IF(
 OR(COUNTIFS(Equipar!B:B,6,Equipar!C:C,A618)
 +COUNTIFS(Equipar!B:B,6,Equipar!D:D,A618)
+COUNTIFS(Equipar!B:B,6,Equipar!E:E,A618)
+COUNTIFS(Equipar!B:B,6,Equipar!F:F,A618)
&gt;0,COUNTIF('Set recomendado'!B:B,C618)=0),
"Bloqueada",
"Desechable")),""
)</f>
        <v/>
      </c>
      <c r="J618" t="str" cm="1">
        <f t="array" aca="1" ref="J618" ca="1">IF(ISNUMBER(A618),IFERROR(_xlfn._xlws.FILTER(Equipar!A:A,(Equipar!B:B=6)*(Equipar!AC:AC=A618)),""),"")</f>
        <v/>
      </c>
    </row>
    <row r="619" spans="1:10" x14ac:dyDescent="0.25">
      <c r="A619" s="1" t="str">
        <f ca="1">IF(A618="ID",1,IF(ISBLANK(B619),"",MAX(A$2:A618)+1))</f>
        <v/>
      </c>
      <c r="I619" s="2" t="str">
        <f ca="1">IF(ISNUMBER(A619),
IF(COUNTIFS(Equipar!B:B,6,Equipar!AC:AC,A619),"Equipada",
IF(
 OR(COUNTIFS(Equipar!B:B,6,Equipar!C:C,A619)
 +COUNTIFS(Equipar!B:B,6,Equipar!D:D,A619)
+COUNTIFS(Equipar!B:B,6,Equipar!E:E,A619)
+COUNTIFS(Equipar!B:B,6,Equipar!F:F,A619)
&gt;0,COUNTIF('Set recomendado'!B:B,C619)=0),
"Bloqueada",
"Desechable")),""
)</f>
        <v/>
      </c>
      <c r="J619" t="str" cm="1">
        <f t="array" aca="1" ref="J619" ca="1">IF(ISNUMBER(A619),IFERROR(_xlfn._xlws.FILTER(Equipar!A:A,(Equipar!B:B=6)*(Equipar!AC:AC=A619)),""),"")</f>
        <v/>
      </c>
    </row>
    <row r="620" spans="1:10" x14ac:dyDescent="0.25">
      <c r="A620" s="1" t="str">
        <f ca="1">IF(A619="ID",1,IF(ISBLANK(B620),"",MAX(A$2:A619)+1))</f>
        <v/>
      </c>
      <c r="I620" s="2" t="str">
        <f ca="1">IF(ISNUMBER(A620),
IF(COUNTIFS(Equipar!B:B,6,Equipar!AC:AC,A620),"Equipada",
IF(
 OR(COUNTIFS(Equipar!B:B,6,Equipar!C:C,A620)
 +COUNTIFS(Equipar!B:B,6,Equipar!D:D,A620)
+COUNTIFS(Equipar!B:B,6,Equipar!E:E,A620)
+COUNTIFS(Equipar!B:B,6,Equipar!F:F,A620)
&gt;0,COUNTIF('Set recomendado'!B:B,C620)=0),
"Bloqueada",
"Desechable")),""
)</f>
        <v/>
      </c>
      <c r="J620" t="str" cm="1">
        <f t="array" aca="1" ref="J620" ca="1">IF(ISNUMBER(A620),IFERROR(_xlfn._xlws.FILTER(Equipar!A:A,(Equipar!B:B=6)*(Equipar!AC:AC=A620)),""),"")</f>
        <v/>
      </c>
    </row>
    <row r="621" spans="1:10" x14ac:dyDescent="0.25">
      <c r="A621" s="1" t="str">
        <f ca="1">IF(A620="ID",1,IF(ISBLANK(B621),"",MAX(A$2:A620)+1))</f>
        <v/>
      </c>
      <c r="I621" s="2" t="str">
        <f ca="1">IF(ISNUMBER(A621),
IF(COUNTIFS(Equipar!B:B,6,Equipar!AC:AC,A621),"Equipada",
IF(
 OR(COUNTIFS(Equipar!B:B,6,Equipar!C:C,A621)
 +COUNTIFS(Equipar!B:B,6,Equipar!D:D,A621)
+COUNTIFS(Equipar!B:B,6,Equipar!E:E,A621)
+COUNTIFS(Equipar!B:B,6,Equipar!F:F,A621)
&gt;0,COUNTIF('Set recomendado'!B:B,C621)=0),
"Bloqueada",
"Desechable")),""
)</f>
        <v/>
      </c>
      <c r="J621" t="str" cm="1">
        <f t="array" aca="1" ref="J621" ca="1">IF(ISNUMBER(A621),IFERROR(_xlfn._xlws.FILTER(Equipar!A:A,(Equipar!B:B=6)*(Equipar!AC:AC=A621)),""),"")</f>
        <v/>
      </c>
    </row>
    <row r="622" spans="1:10" x14ac:dyDescent="0.25">
      <c r="A622" s="1" t="str">
        <f ca="1">IF(A621="ID",1,IF(ISBLANK(B622),"",MAX(A$2:A621)+1))</f>
        <v/>
      </c>
      <c r="I622" s="2" t="str">
        <f ca="1">IF(ISNUMBER(A622),
IF(COUNTIFS(Equipar!B:B,6,Equipar!AC:AC,A622),"Equipada",
IF(
 OR(COUNTIFS(Equipar!B:B,6,Equipar!C:C,A622)
 +COUNTIFS(Equipar!B:B,6,Equipar!D:D,A622)
+COUNTIFS(Equipar!B:B,6,Equipar!E:E,A622)
+COUNTIFS(Equipar!B:B,6,Equipar!F:F,A622)
&gt;0,COUNTIF('Set recomendado'!B:B,C622)=0),
"Bloqueada",
"Desechable")),""
)</f>
        <v/>
      </c>
      <c r="J622" t="str" cm="1">
        <f t="array" aca="1" ref="J622" ca="1">IF(ISNUMBER(A622),IFERROR(_xlfn._xlws.FILTER(Equipar!A:A,(Equipar!B:B=6)*(Equipar!AC:AC=A622)),""),"")</f>
        <v/>
      </c>
    </row>
    <row r="623" spans="1:10" x14ac:dyDescent="0.25">
      <c r="A623" s="1" t="str">
        <f ca="1">IF(A622="ID",1,IF(ISBLANK(B623),"",MAX(A$2:A622)+1))</f>
        <v/>
      </c>
      <c r="I623" s="2" t="str">
        <f ca="1">IF(ISNUMBER(A623),
IF(COUNTIFS(Equipar!B:B,6,Equipar!AC:AC,A623),"Equipada",
IF(
 OR(COUNTIFS(Equipar!B:B,6,Equipar!C:C,A623)
 +COUNTIFS(Equipar!B:B,6,Equipar!D:D,A623)
+COUNTIFS(Equipar!B:B,6,Equipar!E:E,A623)
+COUNTIFS(Equipar!B:B,6,Equipar!F:F,A623)
&gt;0,COUNTIF('Set recomendado'!B:B,C623)=0),
"Bloqueada",
"Desechable")),""
)</f>
        <v/>
      </c>
      <c r="J623" t="str" cm="1">
        <f t="array" aca="1" ref="J623" ca="1">IF(ISNUMBER(A623),IFERROR(_xlfn._xlws.FILTER(Equipar!A:A,(Equipar!B:B=6)*(Equipar!AC:AC=A623)),""),"")</f>
        <v/>
      </c>
    </row>
    <row r="624" spans="1:10" x14ac:dyDescent="0.25">
      <c r="A624" s="1" t="str">
        <f ca="1">IF(A623="ID",1,IF(ISBLANK(B624),"",MAX(A$2:A623)+1))</f>
        <v/>
      </c>
      <c r="I624" s="2" t="str">
        <f ca="1">IF(ISNUMBER(A624),
IF(COUNTIFS(Equipar!B:B,6,Equipar!AC:AC,A624),"Equipada",
IF(
 OR(COUNTIFS(Equipar!B:B,6,Equipar!C:C,A624)
 +COUNTIFS(Equipar!B:B,6,Equipar!D:D,A624)
+COUNTIFS(Equipar!B:B,6,Equipar!E:E,A624)
+COUNTIFS(Equipar!B:B,6,Equipar!F:F,A624)
&gt;0,COUNTIF('Set recomendado'!B:B,C624)=0),
"Bloqueada",
"Desechable")),""
)</f>
        <v/>
      </c>
      <c r="J624" t="str" cm="1">
        <f t="array" aca="1" ref="J624" ca="1">IF(ISNUMBER(A624),IFERROR(_xlfn._xlws.FILTER(Equipar!A:A,(Equipar!B:B=6)*(Equipar!AC:AC=A624)),""),"")</f>
        <v/>
      </c>
    </row>
    <row r="625" spans="1:10" x14ac:dyDescent="0.25">
      <c r="A625" s="1" t="str">
        <f ca="1">IF(A624="ID",1,IF(ISBLANK(B625),"",MAX(A$2:A624)+1))</f>
        <v/>
      </c>
      <c r="I625" s="2" t="str">
        <f ca="1">IF(ISNUMBER(A625),
IF(COUNTIFS(Equipar!B:B,6,Equipar!AC:AC,A625),"Equipada",
IF(
 OR(COUNTIFS(Equipar!B:B,6,Equipar!C:C,A625)
 +COUNTIFS(Equipar!B:B,6,Equipar!D:D,A625)
+COUNTIFS(Equipar!B:B,6,Equipar!E:E,A625)
+COUNTIFS(Equipar!B:B,6,Equipar!F:F,A625)
&gt;0,COUNTIF('Set recomendado'!B:B,C625)=0),
"Bloqueada",
"Desechable")),""
)</f>
        <v/>
      </c>
      <c r="J625" t="str" cm="1">
        <f t="array" aca="1" ref="J625" ca="1">IF(ISNUMBER(A625),IFERROR(_xlfn._xlws.FILTER(Equipar!A:A,(Equipar!B:B=6)*(Equipar!AC:AC=A625)),""),"")</f>
        <v/>
      </c>
    </row>
    <row r="626" spans="1:10" x14ac:dyDescent="0.25">
      <c r="A626" s="1" t="str">
        <f ca="1">IF(A625="ID",1,IF(ISBLANK(B626),"",MAX(A$2:A625)+1))</f>
        <v/>
      </c>
      <c r="I626" s="2" t="str">
        <f ca="1">IF(ISNUMBER(A626),
IF(COUNTIFS(Equipar!B:B,6,Equipar!AC:AC,A626),"Equipada",
IF(
 OR(COUNTIFS(Equipar!B:B,6,Equipar!C:C,A626)
 +COUNTIFS(Equipar!B:B,6,Equipar!D:D,A626)
+COUNTIFS(Equipar!B:B,6,Equipar!E:E,A626)
+COUNTIFS(Equipar!B:B,6,Equipar!F:F,A626)
&gt;0,COUNTIF('Set recomendado'!B:B,C626)=0),
"Bloqueada",
"Desechable")),""
)</f>
        <v/>
      </c>
      <c r="J626" t="str" cm="1">
        <f t="array" aca="1" ref="J626" ca="1">IF(ISNUMBER(A626),IFERROR(_xlfn._xlws.FILTER(Equipar!A:A,(Equipar!B:B=6)*(Equipar!AC:AC=A626)),""),"")</f>
        <v/>
      </c>
    </row>
    <row r="627" spans="1:10" x14ac:dyDescent="0.25">
      <c r="A627" s="1" t="str">
        <f ca="1">IF(A626="ID",1,IF(ISBLANK(B627),"",MAX(A$2:A626)+1))</f>
        <v/>
      </c>
      <c r="I627" s="2" t="str">
        <f ca="1">IF(ISNUMBER(A627),
IF(COUNTIFS(Equipar!B:B,6,Equipar!AC:AC,A627),"Equipada",
IF(
 OR(COUNTIFS(Equipar!B:B,6,Equipar!C:C,A627)
 +COUNTIFS(Equipar!B:B,6,Equipar!D:D,A627)
+COUNTIFS(Equipar!B:B,6,Equipar!E:E,A627)
+COUNTIFS(Equipar!B:B,6,Equipar!F:F,A627)
&gt;0,COUNTIF('Set recomendado'!B:B,C627)=0),
"Bloqueada",
"Desechable")),""
)</f>
        <v/>
      </c>
      <c r="J627" t="str" cm="1">
        <f t="array" aca="1" ref="J627" ca="1">IF(ISNUMBER(A627),IFERROR(_xlfn._xlws.FILTER(Equipar!A:A,(Equipar!B:B=6)*(Equipar!AC:AC=A627)),""),"")</f>
        <v/>
      </c>
    </row>
    <row r="628" spans="1:10" x14ac:dyDescent="0.25">
      <c r="A628" s="1" t="str">
        <f ca="1">IF(A627="ID",1,IF(ISBLANK(B628),"",MAX(A$2:A627)+1))</f>
        <v/>
      </c>
      <c r="I628" s="2" t="str">
        <f ca="1">IF(ISNUMBER(A628),
IF(COUNTIFS(Equipar!B:B,6,Equipar!AC:AC,A628),"Equipada",
IF(
 OR(COUNTIFS(Equipar!B:B,6,Equipar!C:C,A628)
 +COUNTIFS(Equipar!B:B,6,Equipar!D:D,A628)
+COUNTIFS(Equipar!B:B,6,Equipar!E:E,A628)
+COUNTIFS(Equipar!B:B,6,Equipar!F:F,A628)
&gt;0,COUNTIF('Set recomendado'!B:B,C628)=0),
"Bloqueada",
"Desechable")),""
)</f>
        <v/>
      </c>
      <c r="J628" t="str" cm="1">
        <f t="array" aca="1" ref="J628" ca="1">IF(ISNUMBER(A628),IFERROR(_xlfn._xlws.FILTER(Equipar!A:A,(Equipar!B:B=6)*(Equipar!AC:AC=A628)),""),"")</f>
        <v/>
      </c>
    </row>
    <row r="629" spans="1:10" x14ac:dyDescent="0.25">
      <c r="A629" s="1" t="str">
        <f ca="1">IF(A628="ID",1,IF(ISBLANK(B629),"",MAX(A$2:A628)+1))</f>
        <v/>
      </c>
      <c r="I629" s="2" t="str">
        <f ca="1">IF(ISNUMBER(A629),
IF(COUNTIFS(Equipar!B:B,6,Equipar!AC:AC,A629),"Equipada",
IF(
 OR(COUNTIFS(Equipar!B:B,6,Equipar!C:C,A629)
 +COUNTIFS(Equipar!B:B,6,Equipar!D:D,A629)
+COUNTIFS(Equipar!B:B,6,Equipar!E:E,A629)
+COUNTIFS(Equipar!B:B,6,Equipar!F:F,A629)
&gt;0,COUNTIF('Set recomendado'!B:B,C629)=0),
"Bloqueada",
"Desechable")),""
)</f>
        <v/>
      </c>
      <c r="J629" t="str" cm="1">
        <f t="array" aca="1" ref="J629" ca="1">IF(ISNUMBER(A629),IFERROR(_xlfn._xlws.FILTER(Equipar!A:A,(Equipar!B:B=6)*(Equipar!AC:AC=A629)),""),"")</f>
        <v/>
      </c>
    </row>
    <row r="630" spans="1:10" x14ac:dyDescent="0.25">
      <c r="A630" s="1" t="str">
        <f ca="1">IF(A629="ID",1,IF(ISBLANK(B630),"",MAX(A$2:A629)+1))</f>
        <v/>
      </c>
      <c r="I630" s="2" t="str">
        <f ca="1">IF(ISNUMBER(A630),
IF(COUNTIFS(Equipar!B:B,6,Equipar!AC:AC,A630),"Equipada",
IF(
 OR(COUNTIFS(Equipar!B:B,6,Equipar!C:C,A630)
 +COUNTIFS(Equipar!B:B,6,Equipar!D:D,A630)
+COUNTIFS(Equipar!B:B,6,Equipar!E:E,A630)
+COUNTIFS(Equipar!B:B,6,Equipar!F:F,A630)
&gt;0,COUNTIF('Set recomendado'!B:B,C630)=0),
"Bloqueada",
"Desechable")),""
)</f>
        <v/>
      </c>
      <c r="J630" t="str" cm="1">
        <f t="array" aca="1" ref="J630" ca="1">IF(ISNUMBER(A630),IFERROR(_xlfn._xlws.FILTER(Equipar!A:A,(Equipar!B:B=6)*(Equipar!AC:AC=A630)),""),"")</f>
        <v/>
      </c>
    </row>
    <row r="631" spans="1:10" x14ac:dyDescent="0.25">
      <c r="A631" s="1" t="str">
        <f ca="1">IF(A630="ID",1,IF(ISBLANK(B631),"",MAX(A$2:A630)+1))</f>
        <v/>
      </c>
      <c r="I631" s="2" t="str">
        <f ca="1">IF(ISNUMBER(A631),
IF(COUNTIFS(Equipar!B:B,6,Equipar!AC:AC,A631),"Equipada",
IF(
 OR(COUNTIFS(Equipar!B:B,6,Equipar!C:C,A631)
 +COUNTIFS(Equipar!B:B,6,Equipar!D:D,A631)
+COUNTIFS(Equipar!B:B,6,Equipar!E:E,A631)
+COUNTIFS(Equipar!B:B,6,Equipar!F:F,A631)
&gt;0,COUNTIF('Set recomendado'!B:B,C631)=0),
"Bloqueada",
"Desechable")),""
)</f>
        <v/>
      </c>
      <c r="J631" t="str" cm="1">
        <f t="array" aca="1" ref="J631" ca="1">IF(ISNUMBER(A631),IFERROR(_xlfn._xlws.FILTER(Equipar!A:A,(Equipar!B:B=6)*(Equipar!AC:AC=A631)),""),"")</f>
        <v/>
      </c>
    </row>
    <row r="632" spans="1:10" x14ac:dyDescent="0.25">
      <c r="A632" s="1" t="str">
        <f ca="1">IF(A631="ID",1,IF(ISBLANK(B632),"",MAX(A$2:A631)+1))</f>
        <v/>
      </c>
      <c r="I632" s="2" t="str">
        <f ca="1">IF(ISNUMBER(A632),
IF(COUNTIFS(Equipar!B:B,6,Equipar!AC:AC,A632),"Equipada",
IF(
 OR(COUNTIFS(Equipar!B:B,6,Equipar!C:C,A632)
 +COUNTIFS(Equipar!B:B,6,Equipar!D:D,A632)
+COUNTIFS(Equipar!B:B,6,Equipar!E:E,A632)
+COUNTIFS(Equipar!B:B,6,Equipar!F:F,A632)
&gt;0,COUNTIF('Set recomendado'!B:B,C632)=0),
"Bloqueada",
"Desechable")),""
)</f>
        <v/>
      </c>
      <c r="J632" t="str" cm="1">
        <f t="array" aca="1" ref="J632" ca="1">IF(ISNUMBER(A632),IFERROR(_xlfn._xlws.FILTER(Equipar!A:A,(Equipar!B:B=6)*(Equipar!AC:AC=A632)),""),"")</f>
        <v/>
      </c>
    </row>
    <row r="633" spans="1:10" x14ac:dyDescent="0.25">
      <c r="A633" s="1" t="str">
        <f ca="1">IF(A632="ID",1,IF(ISBLANK(B633),"",MAX(A$2:A632)+1))</f>
        <v/>
      </c>
      <c r="I633" s="2" t="str">
        <f ca="1">IF(ISNUMBER(A633),
IF(COUNTIFS(Equipar!B:B,6,Equipar!AC:AC,A633),"Equipada",
IF(
 OR(COUNTIFS(Equipar!B:B,6,Equipar!C:C,A633)
 +COUNTIFS(Equipar!B:B,6,Equipar!D:D,A633)
+COUNTIFS(Equipar!B:B,6,Equipar!E:E,A633)
+COUNTIFS(Equipar!B:B,6,Equipar!F:F,A633)
&gt;0,COUNTIF('Set recomendado'!B:B,C633)=0),
"Bloqueada",
"Desechable")),""
)</f>
        <v/>
      </c>
      <c r="J633" t="str" cm="1">
        <f t="array" aca="1" ref="J633" ca="1">IF(ISNUMBER(A633),IFERROR(_xlfn._xlws.FILTER(Equipar!A:A,(Equipar!B:B=6)*(Equipar!AC:AC=A633)),""),"")</f>
        <v/>
      </c>
    </row>
    <row r="634" spans="1:10" x14ac:dyDescent="0.25">
      <c r="A634" s="1" t="str">
        <f ca="1">IF(A633="ID",1,IF(ISBLANK(B634),"",MAX(A$2:A633)+1))</f>
        <v/>
      </c>
      <c r="I634" s="2" t="str">
        <f ca="1">IF(ISNUMBER(A634),
IF(COUNTIFS(Equipar!B:B,6,Equipar!AC:AC,A634),"Equipada",
IF(
 OR(COUNTIFS(Equipar!B:B,6,Equipar!C:C,A634)
 +COUNTIFS(Equipar!B:B,6,Equipar!D:D,A634)
+COUNTIFS(Equipar!B:B,6,Equipar!E:E,A634)
+COUNTIFS(Equipar!B:B,6,Equipar!F:F,A634)
&gt;0,COUNTIF('Set recomendado'!B:B,C634)=0),
"Bloqueada",
"Desechable")),""
)</f>
        <v/>
      </c>
      <c r="J634" t="str" cm="1">
        <f t="array" aca="1" ref="J634" ca="1">IF(ISNUMBER(A634),IFERROR(_xlfn._xlws.FILTER(Equipar!A:A,(Equipar!B:B=6)*(Equipar!AC:AC=A634)),""),"")</f>
        <v/>
      </c>
    </row>
    <row r="635" spans="1:10" x14ac:dyDescent="0.25">
      <c r="A635" s="1" t="str">
        <f ca="1">IF(A634="ID",1,IF(ISBLANK(B635),"",MAX(A$2:A634)+1))</f>
        <v/>
      </c>
      <c r="I635" s="2" t="str">
        <f ca="1">IF(ISNUMBER(A635),
IF(COUNTIFS(Equipar!B:B,6,Equipar!AC:AC,A635),"Equipada",
IF(
 OR(COUNTIFS(Equipar!B:B,6,Equipar!C:C,A635)
 +COUNTIFS(Equipar!B:B,6,Equipar!D:D,A635)
+COUNTIFS(Equipar!B:B,6,Equipar!E:E,A635)
+COUNTIFS(Equipar!B:B,6,Equipar!F:F,A635)
&gt;0,COUNTIF('Set recomendado'!B:B,C635)=0),
"Bloqueada",
"Desechable")),""
)</f>
        <v/>
      </c>
      <c r="J635" t="str" cm="1">
        <f t="array" aca="1" ref="J635" ca="1">IF(ISNUMBER(A635),IFERROR(_xlfn._xlws.FILTER(Equipar!A:A,(Equipar!B:B=6)*(Equipar!AC:AC=A635)),""),"")</f>
        <v/>
      </c>
    </row>
    <row r="636" spans="1:10" x14ac:dyDescent="0.25">
      <c r="A636" s="1" t="str">
        <f ca="1">IF(A635="ID",1,IF(ISBLANK(B636),"",MAX(A$2:A635)+1))</f>
        <v/>
      </c>
      <c r="I636" s="2" t="str">
        <f ca="1">IF(ISNUMBER(A636),
IF(COUNTIFS(Equipar!B:B,6,Equipar!AC:AC,A636),"Equipada",
IF(
 OR(COUNTIFS(Equipar!B:B,6,Equipar!C:C,A636)
 +COUNTIFS(Equipar!B:B,6,Equipar!D:D,A636)
+COUNTIFS(Equipar!B:B,6,Equipar!E:E,A636)
+COUNTIFS(Equipar!B:B,6,Equipar!F:F,A636)
&gt;0,COUNTIF('Set recomendado'!B:B,C636)=0),
"Bloqueada",
"Desechable")),""
)</f>
        <v/>
      </c>
      <c r="J636" t="str" cm="1">
        <f t="array" aca="1" ref="J636" ca="1">IF(ISNUMBER(A636),IFERROR(_xlfn._xlws.FILTER(Equipar!A:A,(Equipar!B:B=6)*(Equipar!AC:AC=A636)),""),"")</f>
        <v/>
      </c>
    </row>
    <row r="637" spans="1:10" x14ac:dyDescent="0.25">
      <c r="A637" s="1" t="str">
        <f ca="1">IF(A636="ID",1,IF(ISBLANK(B637),"",MAX(A$2:A636)+1))</f>
        <v/>
      </c>
      <c r="I637" s="2" t="str">
        <f ca="1">IF(ISNUMBER(A637),
IF(COUNTIFS(Equipar!B:B,6,Equipar!AC:AC,A637),"Equipada",
IF(
 OR(COUNTIFS(Equipar!B:B,6,Equipar!C:C,A637)
 +COUNTIFS(Equipar!B:B,6,Equipar!D:D,A637)
+COUNTIFS(Equipar!B:B,6,Equipar!E:E,A637)
+COUNTIFS(Equipar!B:B,6,Equipar!F:F,A637)
&gt;0,COUNTIF('Set recomendado'!B:B,C637)=0),
"Bloqueada",
"Desechable")),""
)</f>
        <v/>
      </c>
      <c r="J637" t="str" cm="1">
        <f t="array" aca="1" ref="J637" ca="1">IF(ISNUMBER(A637),IFERROR(_xlfn._xlws.FILTER(Equipar!A:A,(Equipar!B:B=6)*(Equipar!AC:AC=A637)),""),"")</f>
        <v/>
      </c>
    </row>
    <row r="638" spans="1:10" x14ac:dyDescent="0.25">
      <c r="A638" s="1" t="str">
        <f ca="1">IF(A637="ID",1,IF(ISBLANK(B638),"",MAX(A$2:A637)+1))</f>
        <v/>
      </c>
      <c r="I638" s="2" t="str">
        <f ca="1">IF(ISNUMBER(A638),
IF(COUNTIFS(Equipar!B:B,6,Equipar!AC:AC,A638),"Equipada",
IF(
 OR(COUNTIFS(Equipar!B:B,6,Equipar!C:C,A638)
 +COUNTIFS(Equipar!B:B,6,Equipar!D:D,A638)
+COUNTIFS(Equipar!B:B,6,Equipar!E:E,A638)
+COUNTIFS(Equipar!B:B,6,Equipar!F:F,A638)
&gt;0,COUNTIF('Set recomendado'!B:B,C638)=0),
"Bloqueada",
"Desechable")),""
)</f>
        <v/>
      </c>
      <c r="J638" t="str" cm="1">
        <f t="array" aca="1" ref="J638" ca="1">IF(ISNUMBER(A638),IFERROR(_xlfn._xlws.FILTER(Equipar!A:A,(Equipar!B:B=6)*(Equipar!AC:AC=A638)),""),"")</f>
        <v/>
      </c>
    </row>
    <row r="639" spans="1:10" x14ac:dyDescent="0.25">
      <c r="A639" s="1" t="str">
        <f ca="1">IF(A638="ID",1,IF(ISBLANK(B639),"",MAX(A$2:A638)+1))</f>
        <v/>
      </c>
      <c r="I639" s="2" t="str">
        <f ca="1">IF(ISNUMBER(A639),
IF(COUNTIFS(Equipar!B:B,6,Equipar!AC:AC,A639),"Equipada",
IF(
 OR(COUNTIFS(Equipar!B:B,6,Equipar!C:C,A639)
 +COUNTIFS(Equipar!B:B,6,Equipar!D:D,A639)
+COUNTIFS(Equipar!B:B,6,Equipar!E:E,A639)
+COUNTIFS(Equipar!B:B,6,Equipar!F:F,A639)
&gt;0,COUNTIF('Set recomendado'!B:B,C639)=0),
"Bloqueada",
"Desechable")),""
)</f>
        <v/>
      </c>
      <c r="J639" t="str" cm="1">
        <f t="array" aca="1" ref="J639" ca="1">IF(ISNUMBER(A639),IFERROR(_xlfn._xlws.FILTER(Equipar!A:A,(Equipar!B:B=6)*(Equipar!AC:AC=A639)),""),"")</f>
        <v/>
      </c>
    </row>
    <row r="640" spans="1:10" x14ac:dyDescent="0.25">
      <c r="A640" s="1" t="str">
        <f ca="1">IF(A639="ID",1,IF(ISBLANK(B640),"",MAX(A$2:A639)+1))</f>
        <v/>
      </c>
      <c r="I640" s="2" t="str">
        <f ca="1">IF(ISNUMBER(A640),
IF(COUNTIFS(Equipar!B:B,6,Equipar!AC:AC,A640),"Equipada",
IF(
 OR(COUNTIFS(Equipar!B:B,6,Equipar!C:C,A640)
 +COUNTIFS(Equipar!B:B,6,Equipar!D:D,A640)
+COUNTIFS(Equipar!B:B,6,Equipar!E:E,A640)
+COUNTIFS(Equipar!B:B,6,Equipar!F:F,A640)
&gt;0,COUNTIF('Set recomendado'!B:B,C640)=0),
"Bloqueada",
"Desechable")),""
)</f>
        <v/>
      </c>
      <c r="J640" t="str" cm="1">
        <f t="array" aca="1" ref="J640" ca="1">IF(ISNUMBER(A640),IFERROR(_xlfn._xlws.FILTER(Equipar!A:A,(Equipar!B:B=6)*(Equipar!AC:AC=A640)),""),"")</f>
        <v/>
      </c>
    </row>
    <row r="641" spans="1:10" x14ac:dyDescent="0.25">
      <c r="A641" s="1" t="str">
        <f ca="1">IF(A640="ID",1,IF(ISBLANK(B641),"",MAX(A$2:A640)+1))</f>
        <v/>
      </c>
      <c r="I641" s="2" t="str">
        <f ca="1">IF(ISNUMBER(A641),
IF(COUNTIFS(Equipar!B:B,6,Equipar!AC:AC,A641),"Equipada",
IF(
 OR(COUNTIFS(Equipar!B:B,6,Equipar!C:C,A641)
 +COUNTIFS(Equipar!B:B,6,Equipar!D:D,A641)
+COUNTIFS(Equipar!B:B,6,Equipar!E:E,A641)
+COUNTIFS(Equipar!B:B,6,Equipar!F:F,A641)
&gt;0,COUNTIF('Set recomendado'!B:B,C641)=0),
"Bloqueada",
"Desechable")),""
)</f>
        <v/>
      </c>
      <c r="J641" t="str" cm="1">
        <f t="array" aca="1" ref="J641" ca="1">IF(ISNUMBER(A641),IFERROR(_xlfn._xlws.FILTER(Equipar!A:A,(Equipar!B:B=6)*(Equipar!AC:AC=A641)),""),"")</f>
        <v/>
      </c>
    </row>
    <row r="642" spans="1:10" x14ac:dyDescent="0.25">
      <c r="A642" s="1" t="str">
        <f ca="1">IF(A641="ID",1,IF(ISBLANK(B642),"",MAX(A$2:A641)+1))</f>
        <v/>
      </c>
      <c r="I642" s="2" t="str">
        <f ca="1">IF(ISNUMBER(A642),
IF(COUNTIFS(Equipar!B:B,6,Equipar!AC:AC,A642),"Equipada",
IF(
 OR(COUNTIFS(Equipar!B:B,6,Equipar!C:C,A642)
 +COUNTIFS(Equipar!B:B,6,Equipar!D:D,A642)
+COUNTIFS(Equipar!B:B,6,Equipar!E:E,A642)
+COUNTIFS(Equipar!B:B,6,Equipar!F:F,A642)
&gt;0,COUNTIF('Set recomendado'!B:B,C642)=0),
"Bloqueada",
"Desechable")),""
)</f>
        <v/>
      </c>
      <c r="J642" t="str" cm="1">
        <f t="array" aca="1" ref="J642" ca="1">IF(ISNUMBER(A642),IFERROR(_xlfn._xlws.FILTER(Equipar!A:A,(Equipar!B:B=6)*(Equipar!AC:AC=A642)),""),"")</f>
        <v/>
      </c>
    </row>
    <row r="643" spans="1:10" x14ac:dyDescent="0.25">
      <c r="A643" s="1" t="str">
        <f ca="1">IF(A642="ID",1,IF(ISBLANK(B643),"",MAX(A$2:A642)+1))</f>
        <v/>
      </c>
      <c r="I643" s="2" t="str">
        <f ca="1">IF(ISNUMBER(A643),
IF(COUNTIFS(Equipar!B:B,6,Equipar!AC:AC,A643),"Equipada",
IF(
 OR(COUNTIFS(Equipar!B:B,6,Equipar!C:C,A643)
 +COUNTIFS(Equipar!B:B,6,Equipar!D:D,A643)
+COUNTIFS(Equipar!B:B,6,Equipar!E:E,A643)
+COUNTIFS(Equipar!B:B,6,Equipar!F:F,A643)
&gt;0,COUNTIF('Set recomendado'!B:B,C643)=0),
"Bloqueada",
"Desechable")),""
)</f>
        <v/>
      </c>
      <c r="J643" t="str" cm="1">
        <f t="array" aca="1" ref="J643" ca="1">IF(ISNUMBER(A643),IFERROR(_xlfn._xlws.FILTER(Equipar!A:A,(Equipar!B:B=6)*(Equipar!AC:AC=A643)),""),"")</f>
        <v/>
      </c>
    </row>
    <row r="644" spans="1:10" x14ac:dyDescent="0.25">
      <c r="A644" s="1" t="str">
        <f ca="1">IF(A643="ID",1,IF(ISBLANK(B644),"",MAX(A$2:A643)+1))</f>
        <v/>
      </c>
      <c r="I644" s="2" t="str">
        <f ca="1">IF(ISNUMBER(A644),
IF(COUNTIFS(Equipar!B:B,6,Equipar!AC:AC,A644),"Equipada",
IF(
 OR(COUNTIFS(Equipar!B:B,6,Equipar!C:C,A644)
 +COUNTIFS(Equipar!B:B,6,Equipar!D:D,A644)
+COUNTIFS(Equipar!B:B,6,Equipar!E:E,A644)
+COUNTIFS(Equipar!B:B,6,Equipar!F:F,A644)
&gt;0,COUNTIF('Set recomendado'!B:B,C644)=0),
"Bloqueada",
"Desechable")),""
)</f>
        <v/>
      </c>
      <c r="J644" t="str" cm="1">
        <f t="array" aca="1" ref="J644" ca="1">IF(ISNUMBER(A644),IFERROR(_xlfn._xlws.FILTER(Equipar!A:A,(Equipar!B:B=6)*(Equipar!AC:AC=A644)),""),"")</f>
        <v/>
      </c>
    </row>
    <row r="645" spans="1:10" x14ac:dyDescent="0.25">
      <c r="A645" s="1" t="str">
        <f ca="1">IF(A644="ID",1,IF(ISBLANK(B645),"",MAX(A$2:A644)+1))</f>
        <v/>
      </c>
      <c r="I645" s="2" t="str">
        <f ca="1">IF(ISNUMBER(A645),
IF(COUNTIFS(Equipar!B:B,6,Equipar!AC:AC,A645),"Equipada",
IF(
 OR(COUNTIFS(Equipar!B:B,6,Equipar!C:C,A645)
 +COUNTIFS(Equipar!B:B,6,Equipar!D:D,A645)
+COUNTIFS(Equipar!B:B,6,Equipar!E:E,A645)
+COUNTIFS(Equipar!B:B,6,Equipar!F:F,A645)
&gt;0,COUNTIF('Set recomendado'!B:B,C645)=0),
"Bloqueada",
"Desechable")),""
)</f>
        <v/>
      </c>
      <c r="J645" t="str" cm="1">
        <f t="array" aca="1" ref="J645" ca="1">IF(ISNUMBER(A645),IFERROR(_xlfn._xlws.FILTER(Equipar!A:A,(Equipar!B:B=6)*(Equipar!AC:AC=A645)),""),"")</f>
        <v/>
      </c>
    </row>
    <row r="646" spans="1:10" x14ac:dyDescent="0.25">
      <c r="A646" s="1" t="str">
        <f ca="1">IF(A645="ID",1,IF(ISBLANK(B646),"",MAX(A$2:A645)+1))</f>
        <v/>
      </c>
      <c r="I646" s="2" t="str">
        <f ca="1">IF(ISNUMBER(A646),
IF(COUNTIFS(Equipar!B:B,6,Equipar!AC:AC,A646),"Equipada",
IF(
 OR(COUNTIFS(Equipar!B:B,6,Equipar!C:C,A646)
 +COUNTIFS(Equipar!B:B,6,Equipar!D:D,A646)
+COUNTIFS(Equipar!B:B,6,Equipar!E:E,A646)
+COUNTIFS(Equipar!B:B,6,Equipar!F:F,A646)
&gt;0,COUNTIF('Set recomendado'!B:B,C646)=0),
"Bloqueada",
"Desechable")),""
)</f>
        <v/>
      </c>
      <c r="J646" t="str" cm="1">
        <f t="array" aca="1" ref="J646" ca="1">IF(ISNUMBER(A646),IFERROR(_xlfn._xlws.FILTER(Equipar!A:A,(Equipar!B:B=6)*(Equipar!AC:AC=A646)),""),"")</f>
        <v/>
      </c>
    </row>
    <row r="647" spans="1:10" x14ac:dyDescent="0.25">
      <c r="A647" s="1" t="str">
        <f ca="1">IF(A646="ID",1,IF(ISBLANK(B647),"",MAX(A$2:A646)+1))</f>
        <v/>
      </c>
      <c r="I647" s="2" t="str">
        <f ca="1">IF(ISNUMBER(A647),
IF(COUNTIFS(Equipar!B:B,6,Equipar!AC:AC,A647),"Equipada",
IF(
 OR(COUNTIFS(Equipar!B:B,6,Equipar!C:C,A647)
 +COUNTIFS(Equipar!B:B,6,Equipar!D:D,A647)
+COUNTIFS(Equipar!B:B,6,Equipar!E:E,A647)
+COUNTIFS(Equipar!B:B,6,Equipar!F:F,A647)
&gt;0,COUNTIF('Set recomendado'!B:B,C647)=0),
"Bloqueada",
"Desechable")),""
)</f>
        <v/>
      </c>
      <c r="J647" t="str" cm="1">
        <f t="array" aca="1" ref="J647" ca="1">IF(ISNUMBER(A647),IFERROR(_xlfn._xlws.FILTER(Equipar!A:A,(Equipar!B:B=6)*(Equipar!AC:AC=A647)),""),"")</f>
        <v/>
      </c>
    </row>
    <row r="648" spans="1:10" x14ac:dyDescent="0.25">
      <c r="A648" s="1" t="str">
        <f ca="1">IF(A647="ID",1,IF(ISBLANK(B648),"",MAX(A$2:A647)+1))</f>
        <v/>
      </c>
      <c r="I648" s="2" t="str">
        <f ca="1">IF(ISNUMBER(A648),
IF(COUNTIFS(Equipar!B:B,6,Equipar!AC:AC,A648),"Equipada",
IF(
 OR(COUNTIFS(Equipar!B:B,6,Equipar!C:C,A648)
 +COUNTIFS(Equipar!B:B,6,Equipar!D:D,A648)
+COUNTIFS(Equipar!B:B,6,Equipar!E:E,A648)
+COUNTIFS(Equipar!B:B,6,Equipar!F:F,A648)
&gt;0,COUNTIF('Set recomendado'!B:B,C648)=0),
"Bloqueada",
"Desechable")),""
)</f>
        <v/>
      </c>
      <c r="J648" t="str" cm="1">
        <f t="array" aca="1" ref="J648" ca="1">IF(ISNUMBER(A648),IFERROR(_xlfn._xlws.FILTER(Equipar!A:A,(Equipar!B:B=6)*(Equipar!AC:AC=A648)),""),"")</f>
        <v/>
      </c>
    </row>
    <row r="649" spans="1:10" x14ac:dyDescent="0.25">
      <c r="A649" s="1" t="str">
        <f ca="1">IF(A648="ID",1,IF(ISBLANK(B649),"",MAX(A$2:A648)+1))</f>
        <v/>
      </c>
      <c r="I649" s="2" t="str">
        <f ca="1">IF(ISNUMBER(A649),
IF(COUNTIFS(Equipar!B:B,6,Equipar!AC:AC,A649),"Equipada",
IF(
 OR(COUNTIFS(Equipar!B:B,6,Equipar!C:C,A649)
 +COUNTIFS(Equipar!B:B,6,Equipar!D:D,A649)
+COUNTIFS(Equipar!B:B,6,Equipar!E:E,A649)
+COUNTIFS(Equipar!B:B,6,Equipar!F:F,A649)
&gt;0,COUNTIF('Set recomendado'!B:B,C649)=0),
"Bloqueada",
"Desechable")),""
)</f>
        <v/>
      </c>
      <c r="J649" t="str" cm="1">
        <f t="array" aca="1" ref="J649" ca="1">IF(ISNUMBER(A649),IFERROR(_xlfn._xlws.FILTER(Equipar!A:A,(Equipar!B:B=6)*(Equipar!AC:AC=A649)),""),"")</f>
        <v/>
      </c>
    </row>
    <row r="650" spans="1:10" x14ac:dyDescent="0.25">
      <c r="A650" s="1" t="str">
        <f ca="1">IF(A649="ID",1,IF(ISBLANK(B650),"",MAX(A$2:A649)+1))</f>
        <v/>
      </c>
      <c r="I650" s="2" t="str">
        <f ca="1">IF(ISNUMBER(A650),
IF(COUNTIFS(Equipar!B:B,6,Equipar!AC:AC,A650),"Equipada",
IF(
 OR(COUNTIFS(Equipar!B:B,6,Equipar!C:C,A650)
 +COUNTIFS(Equipar!B:B,6,Equipar!D:D,A650)
+COUNTIFS(Equipar!B:B,6,Equipar!E:E,A650)
+COUNTIFS(Equipar!B:B,6,Equipar!F:F,A650)
&gt;0,COUNTIF('Set recomendado'!B:B,C650)=0),
"Bloqueada",
"Desechable")),""
)</f>
        <v/>
      </c>
      <c r="J650" t="str" cm="1">
        <f t="array" aca="1" ref="J650" ca="1">IF(ISNUMBER(A650),IFERROR(_xlfn._xlws.FILTER(Equipar!A:A,(Equipar!B:B=6)*(Equipar!AC:AC=A650)),""),"")</f>
        <v/>
      </c>
    </row>
    <row r="651" spans="1:10" x14ac:dyDescent="0.25">
      <c r="A651" s="1" t="str">
        <f ca="1">IF(A650="ID",1,IF(ISBLANK(B651),"",MAX(A$2:A650)+1))</f>
        <v/>
      </c>
      <c r="I651" s="2" t="str">
        <f ca="1">IF(ISNUMBER(A651),
IF(COUNTIFS(Equipar!B:B,6,Equipar!AC:AC,A651),"Equipada",
IF(
 OR(COUNTIFS(Equipar!B:B,6,Equipar!C:C,A651)
 +COUNTIFS(Equipar!B:B,6,Equipar!D:D,A651)
+COUNTIFS(Equipar!B:B,6,Equipar!E:E,A651)
+COUNTIFS(Equipar!B:B,6,Equipar!F:F,A651)
&gt;0,COUNTIF('Set recomendado'!B:B,C651)=0),
"Bloqueada",
"Desechable")),""
)</f>
        <v/>
      </c>
      <c r="J651" t="str" cm="1">
        <f t="array" aca="1" ref="J651" ca="1">IF(ISNUMBER(A651),IFERROR(_xlfn._xlws.FILTER(Equipar!A:A,(Equipar!B:B=6)*(Equipar!AC:AC=A651)),""),"")</f>
        <v/>
      </c>
    </row>
    <row r="652" spans="1:10" x14ac:dyDescent="0.25">
      <c r="A652" s="1" t="str">
        <f ca="1">IF(A651="ID",1,IF(ISBLANK(B652),"",MAX(A$2:A651)+1))</f>
        <v/>
      </c>
      <c r="I652" s="2" t="str">
        <f ca="1">IF(ISNUMBER(A652),
IF(COUNTIFS(Equipar!B:B,6,Equipar!AC:AC,A652),"Equipada",
IF(
 OR(COUNTIFS(Equipar!B:B,6,Equipar!C:C,A652)
 +COUNTIFS(Equipar!B:B,6,Equipar!D:D,A652)
+COUNTIFS(Equipar!B:B,6,Equipar!E:E,A652)
+COUNTIFS(Equipar!B:B,6,Equipar!F:F,A652)
&gt;0,COUNTIF('Set recomendado'!B:B,C652)=0),
"Bloqueada",
"Desechable")),""
)</f>
        <v/>
      </c>
      <c r="J652" t="str" cm="1">
        <f t="array" aca="1" ref="J652" ca="1">IF(ISNUMBER(A652),IFERROR(_xlfn._xlws.FILTER(Equipar!A:A,(Equipar!B:B=6)*(Equipar!AC:AC=A652)),""),"")</f>
        <v/>
      </c>
    </row>
    <row r="653" spans="1:10" x14ac:dyDescent="0.25">
      <c r="A653" s="1" t="str">
        <f ca="1">IF(A652="ID",1,IF(ISBLANK(B653),"",MAX(A$2:A652)+1))</f>
        <v/>
      </c>
      <c r="I653" s="2" t="str">
        <f ca="1">IF(ISNUMBER(A653),
IF(COUNTIFS(Equipar!B:B,6,Equipar!AC:AC,A653),"Equipada",
IF(
 OR(COUNTIFS(Equipar!B:B,6,Equipar!C:C,A653)
 +COUNTIFS(Equipar!B:B,6,Equipar!D:D,A653)
+COUNTIFS(Equipar!B:B,6,Equipar!E:E,A653)
+COUNTIFS(Equipar!B:B,6,Equipar!F:F,A653)
&gt;0,COUNTIF('Set recomendado'!B:B,C653)=0),
"Bloqueada",
"Desechable")),""
)</f>
        <v/>
      </c>
      <c r="J653" t="str" cm="1">
        <f t="array" aca="1" ref="J653" ca="1">IF(ISNUMBER(A653),IFERROR(_xlfn._xlws.FILTER(Equipar!A:A,(Equipar!B:B=6)*(Equipar!AC:AC=A653)),""),"")</f>
        <v/>
      </c>
    </row>
    <row r="654" spans="1:10" x14ac:dyDescent="0.25">
      <c r="A654" s="1" t="str">
        <f ca="1">IF(A653="ID",1,IF(ISBLANK(B654),"",MAX(A$2:A653)+1))</f>
        <v/>
      </c>
      <c r="I654" s="2" t="str">
        <f ca="1">IF(ISNUMBER(A654),
IF(COUNTIFS(Equipar!B:B,6,Equipar!AC:AC,A654),"Equipada",
IF(
 OR(COUNTIFS(Equipar!B:B,6,Equipar!C:C,A654)
 +COUNTIFS(Equipar!B:B,6,Equipar!D:D,A654)
+COUNTIFS(Equipar!B:B,6,Equipar!E:E,A654)
+COUNTIFS(Equipar!B:B,6,Equipar!F:F,A654)
&gt;0,COUNTIF('Set recomendado'!B:B,C654)=0),
"Bloqueada",
"Desechable")),""
)</f>
        <v/>
      </c>
      <c r="J654" t="str" cm="1">
        <f t="array" aca="1" ref="J654" ca="1">IF(ISNUMBER(A654),IFERROR(_xlfn._xlws.FILTER(Equipar!A:A,(Equipar!B:B=6)*(Equipar!AC:AC=A654)),""),"")</f>
        <v/>
      </c>
    </row>
    <row r="655" spans="1:10" x14ac:dyDescent="0.25">
      <c r="A655" s="1" t="str">
        <f ca="1">IF(A654="ID",1,IF(ISBLANK(B655),"",MAX(A$2:A654)+1))</f>
        <v/>
      </c>
      <c r="I655" s="2" t="str">
        <f ca="1">IF(ISNUMBER(A655),
IF(COUNTIFS(Equipar!B:B,6,Equipar!AC:AC,A655),"Equipada",
IF(
 OR(COUNTIFS(Equipar!B:B,6,Equipar!C:C,A655)
 +COUNTIFS(Equipar!B:B,6,Equipar!D:D,A655)
+COUNTIFS(Equipar!B:B,6,Equipar!E:E,A655)
+COUNTIFS(Equipar!B:B,6,Equipar!F:F,A655)
&gt;0,COUNTIF('Set recomendado'!B:B,C655)=0),
"Bloqueada",
"Desechable")),""
)</f>
        <v/>
      </c>
      <c r="J655" t="str" cm="1">
        <f t="array" aca="1" ref="J655" ca="1">IF(ISNUMBER(A655),IFERROR(_xlfn._xlws.FILTER(Equipar!A:A,(Equipar!B:B=6)*(Equipar!AC:AC=A655)),""),"")</f>
        <v/>
      </c>
    </row>
    <row r="656" spans="1:10" x14ac:dyDescent="0.25">
      <c r="A656" s="1" t="str">
        <f ca="1">IF(A655="ID",1,IF(ISBLANK(B656),"",MAX(A$2:A655)+1))</f>
        <v/>
      </c>
      <c r="I656" s="2" t="str">
        <f ca="1">IF(ISNUMBER(A656),
IF(COUNTIFS(Equipar!B:B,6,Equipar!AC:AC,A656),"Equipada",
IF(
 OR(COUNTIFS(Equipar!B:B,6,Equipar!C:C,A656)
 +COUNTIFS(Equipar!B:B,6,Equipar!D:D,A656)
+COUNTIFS(Equipar!B:B,6,Equipar!E:E,A656)
+COUNTIFS(Equipar!B:B,6,Equipar!F:F,A656)
&gt;0,COUNTIF('Set recomendado'!B:B,C656)=0),
"Bloqueada",
"Desechable")),""
)</f>
        <v/>
      </c>
      <c r="J656" t="str" cm="1">
        <f t="array" aca="1" ref="J656" ca="1">IF(ISNUMBER(A656),IFERROR(_xlfn._xlws.FILTER(Equipar!A:A,(Equipar!B:B=6)*(Equipar!AC:AC=A656)),""),"")</f>
        <v/>
      </c>
    </row>
    <row r="657" spans="1:10" x14ac:dyDescent="0.25">
      <c r="A657" s="1" t="str">
        <f ca="1">IF(A656="ID",1,IF(ISBLANK(B657),"",MAX(A$2:A656)+1))</f>
        <v/>
      </c>
      <c r="I657" s="2" t="str">
        <f ca="1">IF(ISNUMBER(A657),
IF(COUNTIFS(Equipar!B:B,6,Equipar!AC:AC,A657),"Equipada",
IF(
 OR(COUNTIFS(Equipar!B:B,6,Equipar!C:C,A657)
 +COUNTIFS(Equipar!B:B,6,Equipar!D:D,A657)
+COUNTIFS(Equipar!B:B,6,Equipar!E:E,A657)
+COUNTIFS(Equipar!B:B,6,Equipar!F:F,A657)
&gt;0,COUNTIF('Set recomendado'!B:B,C657)=0),
"Bloqueada",
"Desechable")),""
)</f>
        <v/>
      </c>
      <c r="J657" t="str" cm="1">
        <f t="array" aca="1" ref="J657" ca="1">IF(ISNUMBER(A657),IFERROR(_xlfn._xlws.FILTER(Equipar!A:A,(Equipar!B:B=6)*(Equipar!AC:AC=A657)),""),"")</f>
        <v/>
      </c>
    </row>
    <row r="658" spans="1:10" x14ac:dyDescent="0.25">
      <c r="A658" s="1" t="str">
        <f ca="1">IF(A657="ID",1,IF(ISBLANK(B658),"",MAX(A$2:A657)+1))</f>
        <v/>
      </c>
      <c r="I658" s="2" t="str">
        <f ca="1">IF(ISNUMBER(A658),
IF(COUNTIFS(Equipar!B:B,6,Equipar!AC:AC,A658),"Equipada",
IF(
 OR(COUNTIFS(Equipar!B:B,6,Equipar!C:C,A658)
 +COUNTIFS(Equipar!B:B,6,Equipar!D:D,A658)
+COUNTIFS(Equipar!B:B,6,Equipar!E:E,A658)
+COUNTIFS(Equipar!B:B,6,Equipar!F:F,A658)
&gt;0,COUNTIF('Set recomendado'!B:B,C658)=0),
"Bloqueada",
"Desechable")),""
)</f>
        <v/>
      </c>
      <c r="J658" t="str" cm="1">
        <f t="array" aca="1" ref="J658" ca="1">IF(ISNUMBER(A658),IFERROR(_xlfn._xlws.FILTER(Equipar!A:A,(Equipar!B:B=6)*(Equipar!AC:AC=A658)),""),"")</f>
        <v/>
      </c>
    </row>
    <row r="659" spans="1:10" x14ac:dyDescent="0.25">
      <c r="A659" s="1" t="str">
        <f ca="1">IF(A658="ID",1,IF(ISBLANK(B659),"",MAX(A$2:A658)+1))</f>
        <v/>
      </c>
      <c r="I659" s="2" t="str">
        <f ca="1">IF(ISNUMBER(A659),
IF(COUNTIFS(Equipar!B:B,6,Equipar!AC:AC,A659),"Equipada",
IF(
 OR(COUNTIFS(Equipar!B:B,6,Equipar!C:C,A659)
 +COUNTIFS(Equipar!B:B,6,Equipar!D:D,A659)
+COUNTIFS(Equipar!B:B,6,Equipar!E:E,A659)
+COUNTIFS(Equipar!B:B,6,Equipar!F:F,A659)
&gt;0,COUNTIF('Set recomendado'!B:B,C659)=0),
"Bloqueada",
"Desechable")),""
)</f>
        <v/>
      </c>
      <c r="J659" t="str" cm="1">
        <f t="array" aca="1" ref="J659" ca="1">IF(ISNUMBER(A659),IFERROR(_xlfn._xlws.FILTER(Equipar!A:A,(Equipar!B:B=6)*(Equipar!AC:AC=A659)),""),"")</f>
        <v/>
      </c>
    </row>
    <row r="660" spans="1:10" x14ac:dyDescent="0.25">
      <c r="A660" s="1" t="str">
        <f ca="1">IF(A659="ID",1,IF(ISBLANK(B660),"",MAX(A$2:A659)+1))</f>
        <v/>
      </c>
      <c r="I660" s="2" t="str">
        <f ca="1">IF(ISNUMBER(A660),
IF(COUNTIFS(Equipar!B:B,6,Equipar!AC:AC,A660),"Equipada",
IF(
 OR(COUNTIFS(Equipar!B:B,6,Equipar!C:C,A660)
 +COUNTIFS(Equipar!B:B,6,Equipar!D:D,A660)
+COUNTIFS(Equipar!B:B,6,Equipar!E:E,A660)
+COUNTIFS(Equipar!B:B,6,Equipar!F:F,A660)
&gt;0,COUNTIF('Set recomendado'!B:B,C660)=0),
"Bloqueada",
"Desechable")),""
)</f>
        <v/>
      </c>
      <c r="J660" t="str" cm="1">
        <f t="array" aca="1" ref="J660" ca="1">IF(ISNUMBER(A660),IFERROR(_xlfn._xlws.FILTER(Equipar!A:A,(Equipar!B:B=6)*(Equipar!AC:AC=A660)),""),"")</f>
        <v/>
      </c>
    </row>
    <row r="661" spans="1:10" x14ac:dyDescent="0.25">
      <c r="A661" s="1" t="str">
        <f ca="1">IF(A660="ID",1,IF(ISBLANK(B661),"",MAX(A$2:A660)+1))</f>
        <v/>
      </c>
      <c r="I661" s="2" t="str">
        <f ca="1">IF(ISNUMBER(A661),
IF(COUNTIFS(Equipar!B:B,6,Equipar!AC:AC,A661),"Equipada",
IF(
 OR(COUNTIFS(Equipar!B:B,6,Equipar!C:C,A661)
 +COUNTIFS(Equipar!B:B,6,Equipar!D:D,A661)
+COUNTIFS(Equipar!B:B,6,Equipar!E:E,A661)
+COUNTIFS(Equipar!B:B,6,Equipar!F:F,A661)
&gt;0,COUNTIF('Set recomendado'!B:B,C661)=0),
"Bloqueada",
"Desechable")),""
)</f>
        <v/>
      </c>
      <c r="J661" t="str" cm="1">
        <f t="array" aca="1" ref="J661" ca="1">IF(ISNUMBER(A661),IFERROR(_xlfn._xlws.FILTER(Equipar!A:A,(Equipar!B:B=6)*(Equipar!AC:AC=A661)),""),"")</f>
        <v/>
      </c>
    </row>
    <row r="662" spans="1:10" x14ac:dyDescent="0.25">
      <c r="A662" s="1" t="str">
        <f ca="1">IF(A661="ID",1,IF(ISBLANK(B662),"",MAX(A$2:A661)+1))</f>
        <v/>
      </c>
      <c r="I662" s="2" t="str">
        <f ca="1">IF(ISNUMBER(A662),
IF(COUNTIFS(Equipar!B:B,6,Equipar!AC:AC,A662),"Equipada",
IF(
 OR(COUNTIFS(Equipar!B:B,6,Equipar!C:C,A662)
 +COUNTIFS(Equipar!B:B,6,Equipar!D:D,A662)
+COUNTIFS(Equipar!B:B,6,Equipar!E:E,A662)
+COUNTIFS(Equipar!B:B,6,Equipar!F:F,A662)
&gt;0,COUNTIF('Set recomendado'!B:B,C662)=0),
"Bloqueada",
"Desechable")),""
)</f>
        <v/>
      </c>
      <c r="J662" t="str" cm="1">
        <f t="array" aca="1" ref="J662" ca="1">IF(ISNUMBER(A662),IFERROR(_xlfn._xlws.FILTER(Equipar!A:A,(Equipar!B:B=6)*(Equipar!AC:AC=A662)),""),"")</f>
        <v/>
      </c>
    </row>
    <row r="663" spans="1:10" x14ac:dyDescent="0.25">
      <c r="A663" s="1" t="str">
        <f ca="1">IF(A662="ID",1,IF(ISBLANK(B663),"",MAX(A$2:A662)+1))</f>
        <v/>
      </c>
      <c r="I663" s="2" t="str">
        <f ca="1">IF(ISNUMBER(A663),
IF(COUNTIFS(Equipar!B:B,6,Equipar!AC:AC,A663),"Equipada",
IF(
 OR(COUNTIFS(Equipar!B:B,6,Equipar!C:C,A663)
 +COUNTIFS(Equipar!B:B,6,Equipar!D:D,A663)
+COUNTIFS(Equipar!B:B,6,Equipar!E:E,A663)
+COUNTIFS(Equipar!B:B,6,Equipar!F:F,A663)
&gt;0,COUNTIF('Set recomendado'!B:B,C663)=0),
"Bloqueada",
"Desechable")),""
)</f>
        <v/>
      </c>
      <c r="J663" t="str" cm="1">
        <f t="array" aca="1" ref="J663" ca="1">IF(ISNUMBER(A663),IFERROR(_xlfn._xlws.FILTER(Equipar!A:A,(Equipar!B:B=6)*(Equipar!AC:AC=A663)),""),"")</f>
        <v/>
      </c>
    </row>
    <row r="664" spans="1:10" x14ac:dyDescent="0.25">
      <c r="A664" s="1" t="str">
        <f ca="1">IF(A663="ID",1,IF(ISBLANK(B664),"",MAX(A$2:A663)+1))</f>
        <v/>
      </c>
      <c r="I664" s="2" t="str">
        <f ca="1">IF(ISNUMBER(A664),
IF(COUNTIFS(Equipar!B:B,6,Equipar!AC:AC,A664),"Equipada",
IF(
 OR(COUNTIFS(Equipar!B:B,6,Equipar!C:C,A664)
 +COUNTIFS(Equipar!B:B,6,Equipar!D:D,A664)
+COUNTIFS(Equipar!B:B,6,Equipar!E:E,A664)
+COUNTIFS(Equipar!B:B,6,Equipar!F:F,A664)
&gt;0,COUNTIF('Set recomendado'!B:B,C664)=0),
"Bloqueada",
"Desechable")),""
)</f>
        <v/>
      </c>
      <c r="J664" t="str" cm="1">
        <f t="array" aca="1" ref="J664" ca="1">IF(ISNUMBER(A664),IFERROR(_xlfn._xlws.FILTER(Equipar!A:A,(Equipar!B:B=6)*(Equipar!AC:AC=A664)),""),"")</f>
        <v/>
      </c>
    </row>
    <row r="665" spans="1:10" x14ac:dyDescent="0.25">
      <c r="A665" s="1" t="str">
        <f ca="1">IF(A664="ID",1,IF(ISBLANK(B665),"",MAX(A$2:A664)+1))</f>
        <v/>
      </c>
      <c r="I665" s="2" t="str">
        <f ca="1">IF(ISNUMBER(A665),
IF(COUNTIFS(Equipar!B:B,6,Equipar!AC:AC,A665),"Equipada",
IF(
 OR(COUNTIFS(Equipar!B:B,6,Equipar!C:C,A665)
 +COUNTIFS(Equipar!B:B,6,Equipar!D:D,A665)
+COUNTIFS(Equipar!B:B,6,Equipar!E:E,A665)
+COUNTIFS(Equipar!B:B,6,Equipar!F:F,A665)
&gt;0,COUNTIF('Set recomendado'!B:B,C665)=0),
"Bloqueada",
"Desechable")),""
)</f>
        <v/>
      </c>
      <c r="J665" t="str" cm="1">
        <f t="array" aca="1" ref="J665" ca="1">IF(ISNUMBER(A665),IFERROR(_xlfn._xlws.FILTER(Equipar!A:A,(Equipar!B:B=6)*(Equipar!AC:AC=A665)),""),"")</f>
        <v/>
      </c>
    </row>
    <row r="666" spans="1:10" x14ac:dyDescent="0.25">
      <c r="A666" s="1" t="str">
        <f ca="1">IF(A665="ID",1,IF(ISBLANK(B666),"",MAX(A$2:A665)+1))</f>
        <v/>
      </c>
      <c r="I666" s="2" t="str">
        <f ca="1">IF(ISNUMBER(A666),
IF(COUNTIFS(Equipar!B:B,6,Equipar!AC:AC,A666),"Equipada",
IF(
 OR(COUNTIFS(Equipar!B:B,6,Equipar!C:C,A666)
 +COUNTIFS(Equipar!B:B,6,Equipar!D:D,A666)
+COUNTIFS(Equipar!B:B,6,Equipar!E:E,A666)
+COUNTIFS(Equipar!B:B,6,Equipar!F:F,A666)
&gt;0,COUNTIF('Set recomendado'!B:B,C666)=0),
"Bloqueada",
"Desechable")),""
)</f>
        <v/>
      </c>
      <c r="J666" t="str" cm="1">
        <f t="array" aca="1" ref="J666" ca="1">IF(ISNUMBER(A666),IFERROR(_xlfn._xlws.FILTER(Equipar!A:A,(Equipar!B:B=6)*(Equipar!AC:AC=A666)),""),"")</f>
        <v/>
      </c>
    </row>
    <row r="667" spans="1:10" x14ac:dyDescent="0.25">
      <c r="A667" s="1" t="str">
        <f ca="1">IF(A666="ID",1,IF(ISBLANK(B667),"",MAX(A$2:A666)+1))</f>
        <v/>
      </c>
      <c r="I667" s="2" t="str">
        <f ca="1">IF(ISNUMBER(A667),
IF(COUNTIFS(Equipar!B:B,6,Equipar!AC:AC,A667),"Equipada",
IF(
 OR(COUNTIFS(Equipar!B:B,6,Equipar!C:C,A667)
 +COUNTIFS(Equipar!B:B,6,Equipar!D:D,A667)
+COUNTIFS(Equipar!B:B,6,Equipar!E:E,A667)
+COUNTIFS(Equipar!B:B,6,Equipar!F:F,A667)
&gt;0,COUNTIF('Set recomendado'!B:B,C667)=0),
"Bloqueada",
"Desechable")),""
)</f>
        <v/>
      </c>
      <c r="J667" t="str" cm="1">
        <f t="array" aca="1" ref="J667" ca="1">IF(ISNUMBER(A667),IFERROR(_xlfn._xlws.FILTER(Equipar!A:A,(Equipar!B:B=6)*(Equipar!AC:AC=A667)),""),"")</f>
        <v/>
      </c>
    </row>
    <row r="668" spans="1:10" x14ac:dyDescent="0.25">
      <c r="A668" s="1" t="str">
        <f ca="1">IF(A667="ID",1,IF(ISBLANK(B668),"",MAX(A$2:A667)+1))</f>
        <v/>
      </c>
      <c r="I668" s="2" t="str">
        <f ca="1">IF(ISNUMBER(A668),
IF(COUNTIFS(Equipar!B:B,6,Equipar!AC:AC,A668),"Equipada",
IF(
 OR(COUNTIFS(Equipar!B:B,6,Equipar!C:C,A668)
 +COUNTIFS(Equipar!B:B,6,Equipar!D:D,A668)
+COUNTIFS(Equipar!B:B,6,Equipar!E:E,A668)
+COUNTIFS(Equipar!B:B,6,Equipar!F:F,A668)
&gt;0,COUNTIF('Set recomendado'!B:B,C668)=0),
"Bloqueada",
"Desechable")),""
)</f>
        <v/>
      </c>
      <c r="J668" t="str" cm="1">
        <f t="array" aca="1" ref="J668" ca="1">IF(ISNUMBER(A668),IFERROR(_xlfn._xlws.FILTER(Equipar!A:A,(Equipar!B:B=6)*(Equipar!AC:AC=A668)),""),"")</f>
        <v/>
      </c>
    </row>
    <row r="669" spans="1:10" x14ac:dyDescent="0.25">
      <c r="A669" s="1" t="str">
        <f ca="1">IF(A668="ID",1,IF(ISBLANK(B669),"",MAX(A$2:A668)+1))</f>
        <v/>
      </c>
      <c r="I669" s="2" t="str">
        <f ca="1">IF(ISNUMBER(A669),
IF(COUNTIFS(Equipar!B:B,6,Equipar!AC:AC,A669),"Equipada",
IF(
 OR(COUNTIFS(Equipar!B:B,6,Equipar!C:C,A669)
 +COUNTIFS(Equipar!B:B,6,Equipar!D:D,A669)
+COUNTIFS(Equipar!B:B,6,Equipar!E:E,A669)
+COUNTIFS(Equipar!B:B,6,Equipar!F:F,A669)
&gt;0,COUNTIF('Set recomendado'!B:B,C669)=0),
"Bloqueada",
"Desechable")),""
)</f>
        <v/>
      </c>
      <c r="J669" t="str" cm="1">
        <f t="array" aca="1" ref="J669" ca="1">IF(ISNUMBER(A669),IFERROR(_xlfn._xlws.FILTER(Equipar!A:A,(Equipar!B:B=6)*(Equipar!AC:AC=A669)),""),"")</f>
        <v/>
      </c>
    </row>
    <row r="670" spans="1:10" x14ac:dyDescent="0.25">
      <c r="A670" s="1" t="str">
        <f ca="1">IF(A669="ID",1,IF(ISBLANK(B670),"",MAX(A$2:A669)+1))</f>
        <v/>
      </c>
      <c r="I670" s="2" t="str">
        <f ca="1">IF(ISNUMBER(A670),
IF(COUNTIFS(Equipar!B:B,6,Equipar!AC:AC,A670),"Equipada",
IF(
 OR(COUNTIFS(Equipar!B:B,6,Equipar!C:C,A670)
 +COUNTIFS(Equipar!B:B,6,Equipar!D:D,A670)
+COUNTIFS(Equipar!B:B,6,Equipar!E:E,A670)
+COUNTIFS(Equipar!B:B,6,Equipar!F:F,A670)
&gt;0,COUNTIF('Set recomendado'!B:B,C670)=0),
"Bloqueada",
"Desechable")),""
)</f>
        <v/>
      </c>
      <c r="J670" t="str" cm="1">
        <f t="array" aca="1" ref="J670" ca="1">IF(ISNUMBER(A670),IFERROR(_xlfn._xlws.FILTER(Equipar!A:A,(Equipar!B:B=6)*(Equipar!AC:AC=A670)),""),"")</f>
        <v/>
      </c>
    </row>
    <row r="671" spans="1:10" x14ac:dyDescent="0.25">
      <c r="A671" s="1" t="str">
        <f ca="1">IF(A670="ID",1,IF(ISBLANK(B671),"",MAX(A$2:A670)+1))</f>
        <v/>
      </c>
      <c r="I671" s="2" t="str">
        <f ca="1">IF(ISNUMBER(A671),
IF(COUNTIFS(Equipar!B:B,6,Equipar!AC:AC,A671),"Equipada",
IF(
 OR(COUNTIFS(Equipar!B:B,6,Equipar!C:C,A671)
 +COUNTIFS(Equipar!B:B,6,Equipar!D:D,A671)
+COUNTIFS(Equipar!B:B,6,Equipar!E:E,A671)
+COUNTIFS(Equipar!B:B,6,Equipar!F:F,A671)
&gt;0,COUNTIF('Set recomendado'!B:B,C671)=0),
"Bloqueada",
"Desechable")),""
)</f>
        <v/>
      </c>
      <c r="J671" t="str" cm="1">
        <f t="array" aca="1" ref="J671" ca="1">IF(ISNUMBER(A671),IFERROR(_xlfn._xlws.FILTER(Equipar!A:A,(Equipar!B:B=6)*(Equipar!AC:AC=A671)),""),"")</f>
        <v/>
      </c>
    </row>
    <row r="672" spans="1:10" x14ac:dyDescent="0.25">
      <c r="A672" s="1" t="str">
        <f ca="1">IF(A671="ID",1,IF(ISBLANK(B672),"",MAX(A$2:A671)+1))</f>
        <v/>
      </c>
      <c r="I672" s="2" t="str">
        <f ca="1">IF(ISNUMBER(A672),
IF(COUNTIFS(Equipar!B:B,6,Equipar!AC:AC,A672),"Equipada",
IF(
 OR(COUNTIFS(Equipar!B:B,6,Equipar!C:C,A672)
 +COUNTIFS(Equipar!B:B,6,Equipar!D:D,A672)
+COUNTIFS(Equipar!B:B,6,Equipar!E:E,A672)
+COUNTIFS(Equipar!B:B,6,Equipar!F:F,A672)
&gt;0,COUNTIF('Set recomendado'!B:B,C672)=0),
"Bloqueada",
"Desechable")),""
)</f>
        <v/>
      </c>
      <c r="J672" t="str" cm="1">
        <f t="array" aca="1" ref="J672" ca="1">IF(ISNUMBER(A672),IFERROR(_xlfn._xlws.FILTER(Equipar!A:A,(Equipar!B:B=6)*(Equipar!AC:AC=A672)),""),"")</f>
        <v/>
      </c>
    </row>
    <row r="673" spans="1:10" x14ac:dyDescent="0.25">
      <c r="A673" s="1" t="str">
        <f ca="1">IF(A672="ID",1,IF(ISBLANK(B673),"",MAX(A$2:A672)+1))</f>
        <v/>
      </c>
      <c r="I673" s="2" t="str">
        <f ca="1">IF(ISNUMBER(A673),
IF(COUNTIFS(Equipar!B:B,6,Equipar!AC:AC,A673),"Equipada",
IF(
 OR(COUNTIFS(Equipar!B:B,6,Equipar!C:C,A673)
 +COUNTIFS(Equipar!B:B,6,Equipar!D:D,A673)
+COUNTIFS(Equipar!B:B,6,Equipar!E:E,A673)
+COUNTIFS(Equipar!B:B,6,Equipar!F:F,A673)
&gt;0,COUNTIF('Set recomendado'!B:B,C673)=0),
"Bloqueada",
"Desechable")),""
)</f>
        <v/>
      </c>
      <c r="J673" t="str" cm="1">
        <f t="array" aca="1" ref="J673" ca="1">IF(ISNUMBER(A673),IFERROR(_xlfn._xlws.FILTER(Equipar!A:A,(Equipar!B:B=6)*(Equipar!AC:AC=A673)),""),"")</f>
        <v/>
      </c>
    </row>
    <row r="674" spans="1:10" x14ac:dyDescent="0.25">
      <c r="A674" s="1" t="str">
        <f ca="1">IF(A673="ID",1,IF(ISBLANK(B674),"",MAX(A$2:A673)+1))</f>
        <v/>
      </c>
      <c r="I674" s="2" t="str">
        <f ca="1">IF(ISNUMBER(A674),
IF(COUNTIFS(Equipar!B:B,6,Equipar!AC:AC,A674),"Equipada",
IF(
 OR(COUNTIFS(Equipar!B:B,6,Equipar!C:C,A674)
 +COUNTIFS(Equipar!B:B,6,Equipar!D:D,A674)
+COUNTIFS(Equipar!B:B,6,Equipar!E:E,A674)
+COUNTIFS(Equipar!B:B,6,Equipar!F:F,A674)
&gt;0,COUNTIF('Set recomendado'!B:B,C674)=0),
"Bloqueada",
"Desechable")),""
)</f>
        <v/>
      </c>
      <c r="J674" t="str" cm="1">
        <f t="array" aca="1" ref="J674" ca="1">IF(ISNUMBER(A674),IFERROR(_xlfn._xlws.FILTER(Equipar!A:A,(Equipar!B:B=6)*(Equipar!AC:AC=A674)),""),"")</f>
        <v/>
      </c>
    </row>
    <row r="675" spans="1:10" x14ac:dyDescent="0.25">
      <c r="A675" s="1" t="str">
        <f ca="1">IF(A674="ID",1,IF(ISBLANK(B675),"",MAX(A$2:A674)+1))</f>
        <v/>
      </c>
      <c r="I675" s="2" t="str">
        <f ca="1">IF(ISNUMBER(A675),
IF(COUNTIFS(Equipar!B:B,6,Equipar!AC:AC,A675),"Equipada",
IF(
 OR(COUNTIFS(Equipar!B:B,6,Equipar!C:C,A675)
 +COUNTIFS(Equipar!B:B,6,Equipar!D:D,A675)
+COUNTIFS(Equipar!B:B,6,Equipar!E:E,A675)
+COUNTIFS(Equipar!B:B,6,Equipar!F:F,A675)
&gt;0,COUNTIF('Set recomendado'!B:B,C675)=0),
"Bloqueada",
"Desechable")),""
)</f>
        <v/>
      </c>
      <c r="J675" t="str" cm="1">
        <f t="array" aca="1" ref="J675" ca="1">IF(ISNUMBER(A675),IFERROR(_xlfn._xlws.FILTER(Equipar!A:A,(Equipar!B:B=6)*(Equipar!AC:AC=A675)),""),"")</f>
        <v/>
      </c>
    </row>
    <row r="676" spans="1:10" x14ac:dyDescent="0.25">
      <c r="A676" s="1" t="str">
        <f ca="1">IF(A675="ID",1,IF(ISBLANK(B676),"",MAX(A$2:A675)+1))</f>
        <v/>
      </c>
      <c r="I676" s="2" t="str">
        <f ca="1">IF(ISNUMBER(A676),
IF(COUNTIFS(Equipar!B:B,6,Equipar!AC:AC,A676),"Equipada",
IF(
 OR(COUNTIFS(Equipar!B:B,6,Equipar!C:C,A676)
 +COUNTIFS(Equipar!B:B,6,Equipar!D:D,A676)
+COUNTIFS(Equipar!B:B,6,Equipar!E:E,A676)
+COUNTIFS(Equipar!B:B,6,Equipar!F:F,A676)
&gt;0,COUNTIF('Set recomendado'!B:B,C676)=0),
"Bloqueada",
"Desechable")),""
)</f>
        <v/>
      </c>
      <c r="J676" t="str" cm="1">
        <f t="array" aca="1" ref="J676" ca="1">IF(ISNUMBER(A676),IFERROR(_xlfn._xlws.FILTER(Equipar!A:A,(Equipar!B:B=6)*(Equipar!AC:AC=A676)),""),"")</f>
        <v/>
      </c>
    </row>
    <row r="677" spans="1:10" x14ac:dyDescent="0.25">
      <c r="A677" s="1" t="str">
        <f ca="1">IF(A676="ID",1,IF(ISBLANK(B677),"",MAX(A$2:A676)+1))</f>
        <v/>
      </c>
      <c r="I677" s="2" t="str">
        <f ca="1">IF(ISNUMBER(A677),
IF(COUNTIFS(Equipar!B:B,6,Equipar!AC:AC,A677),"Equipada",
IF(
 OR(COUNTIFS(Equipar!B:B,6,Equipar!C:C,A677)
 +COUNTIFS(Equipar!B:B,6,Equipar!D:D,A677)
+COUNTIFS(Equipar!B:B,6,Equipar!E:E,A677)
+COUNTIFS(Equipar!B:B,6,Equipar!F:F,A677)
&gt;0,COUNTIF('Set recomendado'!B:B,C677)=0),
"Bloqueada",
"Desechable")),""
)</f>
        <v/>
      </c>
      <c r="J677" t="str" cm="1">
        <f t="array" aca="1" ref="J677" ca="1">IF(ISNUMBER(A677),IFERROR(_xlfn._xlws.FILTER(Equipar!A:A,(Equipar!B:B=6)*(Equipar!AC:AC=A677)),""),"")</f>
        <v/>
      </c>
    </row>
    <row r="678" spans="1:10" x14ac:dyDescent="0.25">
      <c r="A678" s="1" t="str">
        <f ca="1">IF(A677="ID",1,IF(ISBLANK(B678),"",MAX(A$2:A677)+1))</f>
        <v/>
      </c>
      <c r="I678" s="2" t="str">
        <f ca="1">IF(ISNUMBER(A678),
IF(COUNTIFS(Equipar!B:B,6,Equipar!AC:AC,A678),"Equipada",
IF(
 OR(COUNTIFS(Equipar!B:B,6,Equipar!C:C,A678)
 +COUNTIFS(Equipar!B:B,6,Equipar!D:D,A678)
+COUNTIFS(Equipar!B:B,6,Equipar!E:E,A678)
+COUNTIFS(Equipar!B:B,6,Equipar!F:F,A678)
&gt;0,COUNTIF('Set recomendado'!B:B,C678)=0),
"Bloqueada",
"Desechable")),""
)</f>
        <v/>
      </c>
      <c r="J678" t="str" cm="1">
        <f t="array" aca="1" ref="J678" ca="1">IF(ISNUMBER(A678),IFERROR(_xlfn._xlws.FILTER(Equipar!A:A,(Equipar!B:B=6)*(Equipar!AC:AC=A678)),""),"")</f>
        <v/>
      </c>
    </row>
    <row r="679" spans="1:10" x14ac:dyDescent="0.25">
      <c r="A679" s="1" t="str">
        <f ca="1">IF(A678="ID",1,IF(ISBLANK(B679),"",MAX(A$2:A678)+1))</f>
        <v/>
      </c>
      <c r="I679" s="2" t="str">
        <f ca="1">IF(ISNUMBER(A679),
IF(COUNTIFS(Equipar!B:B,6,Equipar!AC:AC,A679),"Equipada",
IF(
 OR(COUNTIFS(Equipar!B:B,6,Equipar!C:C,A679)
 +COUNTIFS(Equipar!B:B,6,Equipar!D:D,A679)
+COUNTIFS(Equipar!B:B,6,Equipar!E:E,A679)
+COUNTIFS(Equipar!B:B,6,Equipar!F:F,A679)
&gt;0,COUNTIF('Set recomendado'!B:B,C679)=0),
"Bloqueada",
"Desechable")),""
)</f>
        <v/>
      </c>
      <c r="J679" t="str" cm="1">
        <f t="array" aca="1" ref="J679" ca="1">IF(ISNUMBER(A679),IFERROR(_xlfn._xlws.FILTER(Equipar!A:A,(Equipar!B:B=6)*(Equipar!AC:AC=A679)),""),"")</f>
        <v/>
      </c>
    </row>
    <row r="680" spans="1:10" x14ac:dyDescent="0.25">
      <c r="A680" s="1" t="str">
        <f ca="1">IF(A679="ID",1,IF(ISBLANK(B680),"",MAX(A$2:A679)+1))</f>
        <v/>
      </c>
      <c r="I680" s="2" t="str">
        <f ca="1">IF(ISNUMBER(A680),
IF(COUNTIFS(Equipar!B:B,6,Equipar!AC:AC,A680),"Equipada",
IF(
 OR(COUNTIFS(Equipar!B:B,6,Equipar!C:C,A680)
 +COUNTIFS(Equipar!B:B,6,Equipar!D:D,A680)
+COUNTIFS(Equipar!B:B,6,Equipar!E:E,A680)
+COUNTIFS(Equipar!B:B,6,Equipar!F:F,A680)
&gt;0,COUNTIF('Set recomendado'!B:B,C680)=0),
"Bloqueada",
"Desechable")),""
)</f>
        <v/>
      </c>
      <c r="J680" t="str" cm="1">
        <f t="array" aca="1" ref="J680" ca="1">IF(ISNUMBER(A680),IFERROR(_xlfn._xlws.FILTER(Equipar!A:A,(Equipar!B:B=6)*(Equipar!AC:AC=A680)),""),"")</f>
        <v/>
      </c>
    </row>
    <row r="681" spans="1:10" x14ac:dyDescent="0.25">
      <c r="A681" s="1" t="str">
        <f ca="1">IF(A680="ID",1,IF(ISBLANK(B681),"",MAX(A$2:A680)+1))</f>
        <v/>
      </c>
      <c r="I681" s="2" t="str">
        <f ca="1">IF(ISNUMBER(A681),
IF(COUNTIFS(Equipar!B:B,6,Equipar!AC:AC,A681),"Equipada",
IF(
 OR(COUNTIFS(Equipar!B:B,6,Equipar!C:C,A681)
 +COUNTIFS(Equipar!B:B,6,Equipar!D:D,A681)
+COUNTIFS(Equipar!B:B,6,Equipar!E:E,A681)
+COUNTIFS(Equipar!B:B,6,Equipar!F:F,A681)
&gt;0,COUNTIF('Set recomendado'!B:B,C681)=0),
"Bloqueada",
"Desechable")),""
)</f>
        <v/>
      </c>
      <c r="J681" t="str" cm="1">
        <f t="array" aca="1" ref="J681" ca="1">IF(ISNUMBER(A681),IFERROR(_xlfn._xlws.FILTER(Equipar!A:A,(Equipar!B:B=6)*(Equipar!AC:AC=A681)),""),"")</f>
        <v/>
      </c>
    </row>
    <row r="682" spans="1:10" x14ac:dyDescent="0.25">
      <c r="A682" s="1" t="str">
        <f ca="1">IF(A681="ID",1,IF(ISBLANK(B682),"",MAX(A$2:A681)+1))</f>
        <v/>
      </c>
      <c r="I682" s="2" t="str">
        <f ca="1">IF(ISNUMBER(A682),
IF(COUNTIFS(Equipar!B:B,6,Equipar!AC:AC,A682),"Equipada",
IF(
 OR(COUNTIFS(Equipar!B:B,6,Equipar!C:C,A682)
 +COUNTIFS(Equipar!B:B,6,Equipar!D:D,A682)
+COUNTIFS(Equipar!B:B,6,Equipar!E:E,A682)
+COUNTIFS(Equipar!B:B,6,Equipar!F:F,A682)
&gt;0,COUNTIF('Set recomendado'!B:B,C682)=0),
"Bloqueada",
"Desechable")),""
)</f>
        <v/>
      </c>
      <c r="J682" t="str" cm="1">
        <f t="array" aca="1" ref="J682" ca="1">IF(ISNUMBER(A682),IFERROR(_xlfn._xlws.FILTER(Equipar!A:A,(Equipar!B:B=6)*(Equipar!AC:AC=A682)),""),"")</f>
        <v/>
      </c>
    </row>
    <row r="683" spans="1:10" x14ac:dyDescent="0.25">
      <c r="A683" s="1" t="str">
        <f ca="1">IF(A682="ID",1,IF(ISBLANK(B683),"",MAX(A$2:A682)+1))</f>
        <v/>
      </c>
      <c r="I683" s="2" t="str">
        <f ca="1">IF(ISNUMBER(A683),
IF(COUNTIFS(Equipar!B:B,6,Equipar!AC:AC,A683),"Equipada",
IF(
 OR(COUNTIFS(Equipar!B:B,6,Equipar!C:C,A683)
 +COUNTIFS(Equipar!B:B,6,Equipar!D:D,A683)
+COUNTIFS(Equipar!B:B,6,Equipar!E:E,A683)
+COUNTIFS(Equipar!B:B,6,Equipar!F:F,A683)
&gt;0,COUNTIF('Set recomendado'!B:B,C683)=0),
"Bloqueada",
"Desechable")),""
)</f>
        <v/>
      </c>
      <c r="J683" t="str" cm="1">
        <f t="array" aca="1" ref="J683" ca="1">IF(ISNUMBER(A683),IFERROR(_xlfn._xlws.FILTER(Equipar!A:A,(Equipar!B:B=6)*(Equipar!AC:AC=A683)),""),"")</f>
        <v/>
      </c>
    </row>
    <row r="684" spans="1:10" x14ac:dyDescent="0.25">
      <c r="A684" s="1" t="str">
        <f ca="1">IF(A683="ID",1,IF(ISBLANK(B684),"",MAX(A$2:A683)+1))</f>
        <v/>
      </c>
      <c r="I684" s="2" t="str">
        <f ca="1">IF(ISNUMBER(A684),
IF(COUNTIFS(Equipar!B:B,6,Equipar!AC:AC,A684),"Equipada",
IF(
 OR(COUNTIFS(Equipar!B:B,6,Equipar!C:C,A684)
 +COUNTIFS(Equipar!B:B,6,Equipar!D:D,A684)
+COUNTIFS(Equipar!B:B,6,Equipar!E:E,A684)
+COUNTIFS(Equipar!B:B,6,Equipar!F:F,A684)
&gt;0,COUNTIF('Set recomendado'!B:B,C684)=0),
"Bloqueada",
"Desechable")),""
)</f>
        <v/>
      </c>
      <c r="J684" t="str" cm="1">
        <f t="array" aca="1" ref="J684" ca="1">IF(ISNUMBER(A684),IFERROR(_xlfn._xlws.FILTER(Equipar!A:A,(Equipar!B:B=6)*(Equipar!AC:AC=A684)),""),"")</f>
        <v/>
      </c>
    </row>
    <row r="685" spans="1:10" x14ac:dyDescent="0.25">
      <c r="A685" s="1" t="str">
        <f ca="1">IF(A684="ID",1,IF(ISBLANK(B685),"",MAX(A$2:A684)+1))</f>
        <v/>
      </c>
      <c r="I685" s="2" t="str">
        <f ca="1">IF(ISNUMBER(A685),
IF(COUNTIFS(Equipar!B:B,6,Equipar!AC:AC,A685),"Equipada",
IF(
 OR(COUNTIFS(Equipar!B:B,6,Equipar!C:C,A685)
 +COUNTIFS(Equipar!B:B,6,Equipar!D:D,A685)
+COUNTIFS(Equipar!B:B,6,Equipar!E:E,A685)
+COUNTIFS(Equipar!B:B,6,Equipar!F:F,A685)
&gt;0,COUNTIF('Set recomendado'!B:B,C685)=0),
"Bloqueada",
"Desechable")),""
)</f>
        <v/>
      </c>
      <c r="J685" t="str" cm="1">
        <f t="array" aca="1" ref="J685" ca="1">IF(ISNUMBER(A685),IFERROR(_xlfn._xlws.FILTER(Equipar!A:A,(Equipar!B:B=6)*(Equipar!AC:AC=A685)),""),"")</f>
        <v/>
      </c>
    </row>
    <row r="686" spans="1:10" x14ac:dyDescent="0.25">
      <c r="A686" s="1" t="str">
        <f ca="1">IF(A685="ID",1,IF(ISBLANK(B686),"",MAX(A$2:A685)+1))</f>
        <v/>
      </c>
      <c r="I686" s="2" t="str">
        <f ca="1">IF(ISNUMBER(A686),
IF(COUNTIFS(Equipar!B:B,6,Equipar!AC:AC,A686),"Equipada",
IF(
 OR(COUNTIFS(Equipar!B:B,6,Equipar!C:C,A686)
 +COUNTIFS(Equipar!B:B,6,Equipar!D:D,A686)
+COUNTIFS(Equipar!B:B,6,Equipar!E:E,A686)
+COUNTIFS(Equipar!B:B,6,Equipar!F:F,A686)
&gt;0,COUNTIF('Set recomendado'!B:B,C686)=0),
"Bloqueada",
"Desechable")),""
)</f>
        <v/>
      </c>
      <c r="J686" t="str" cm="1">
        <f t="array" aca="1" ref="J686" ca="1">IF(ISNUMBER(A686),IFERROR(_xlfn._xlws.FILTER(Equipar!A:A,(Equipar!B:B=6)*(Equipar!AC:AC=A686)),""),"")</f>
        <v/>
      </c>
    </row>
    <row r="687" spans="1:10" x14ac:dyDescent="0.25">
      <c r="A687" s="1" t="str">
        <f ca="1">IF(A686="ID",1,IF(ISBLANK(B687),"",MAX(A$2:A686)+1))</f>
        <v/>
      </c>
      <c r="I687" s="2" t="str">
        <f ca="1">IF(ISNUMBER(A687),
IF(COUNTIFS(Equipar!B:B,6,Equipar!AC:AC,A687),"Equipada",
IF(
 OR(COUNTIFS(Equipar!B:B,6,Equipar!C:C,A687)
 +COUNTIFS(Equipar!B:B,6,Equipar!D:D,A687)
+COUNTIFS(Equipar!B:B,6,Equipar!E:E,A687)
+COUNTIFS(Equipar!B:B,6,Equipar!F:F,A687)
&gt;0,COUNTIF('Set recomendado'!B:B,C687)=0),
"Bloqueada",
"Desechable")),""
)</f>
        <v/>
      </c>
      <c r="J687" t="str" cm="1">
        <f t="array" aca="1" ref="J687" ca="1">IF(ISNUMBER(A687),IFERROR(_xlfn._xlws.FILTER(Equipar!A:A,(Equipar!B:B=6)*(Equipar!AC:AC=A687)),""),"")</f>
        <v/>
      </c>
    </row>
    <row r="688" spans="1:10" x14ac:dyDescent="0.25">
      <c r="A688" s="1" t="str">
        <f ca="1">IF(A687="ID",1,IF(ISBLANK(B688),"",MAX(A$2:A687)+1))</f>
        <v/>
      </c>
      <c r="I688" s="2" t="str">
        <f ca="1">IF(ISNUMBER(A688),
IF(COUNTIFS(Equipar!B:B,6,Equipar!AC:AC,A688),"Equipada",
IF(
 OR(COUNTIFS(Equipar!B:B,6,Equipar!C:C,A688)
 +COUNTIFS(Equipar!B:B,6,Equipar!D:D,A688)
+COUNTIFS(Equipar!B:B,6,Equipar!E:E,A688)
+COUNTIFS(Equipar!B:B,6,Equipar!F:F,A688)
&gt;0,COUNTIF('Set recomendado'!B:B,C688)=0),
"Bloqueada",
"Desechable")),""
)</f>
        <v/>
      </c>
      <c r="J688" t="str" cm="1">
        <f t="array" aca="1" ref="J688" ca="1">IF(ISNUMBER(A688),IFERROR(_xlfn._xlws.FILTER(Equipar!A:A,(Equipar!B:B=6)*(Equipar!AC:AC=A688)),""),"")</f>
        <v/>
      </c>
    </row>
    <row r="689" spans="1:10" x14ac:dyDescent="0.25">
      <c r="A689" s="1" t="str">
        <f ca="1">IF(A688="ID",1,IF(ISBLANK(B689),"",MAX(A$2:A688)+1))</f>
        <v/>
      </c>
      <c r="I689" s="2" t="str">
        <f ca="1">IF(ISNUMBER(A689),
IF(COUNTIFS(Equipar!B:B,6,Equipar!AC:AC,A689),"Equipada",
IF(
 OR(COUNTIFS(Equipar!B:B,6,Equipar!C:C,A689)
 +COUNTIFS(Equipar!B:B,6,Equipar!D:D,A689)
+COUNTIFS(Equipar!B:B,6,Equipar!E:E,A689)
+COUNTIFS(Equipar!B:B,6,Equipar!F:F,A689)
&gt;0,COUNTIF('Set recomendado'!B:B,C689)=0),
"Bloqueada",
"Desechable")),""
)</f>
        <v/>
      </c>
      <c r="J689" t="str" cm="1">
        <f t="array" aca="1" ref="J689" ca="1">IF(ISNUMBER(A689),IFERROR(_xlfn._xlws.FILTER(Equipar!A:A,(Equipar!B:B=6)*(Equipar!AC:AC=A689)),""),"")</f>
        <v/>
      </c>
    </row>
    <row r="690" spans="1:10" x14ac:dyDescent="0.25">
      <c r="A690" s="1" t="str">
        <f ca="1">IF(A689="ID",1,IF(ISBLANK(B690),"",MAX(A$2:A689)+1))</f>
        <v/>
      </c>
      <c r="I690" s="2" t="str">
        <f ca="1">IF(ISNUMBER(A690),
IF(COUNTIFS(Equipar!B:B,6,Equipar!AC:AC,A690),"Equipada",
IF(
 OR(COUNTIFS(Equipar!B:B,6,Equipar!C:C,A690)
 +COUNTIFS(Equipar!B:B,6,Equipar!D:D,A690)
+COUNTIFS(Equipar!B:B,6,Equipar!E:E,A690)
+COUNTIFS(Equipar!B:B,6,Equipar!F:F,A690)
&gt;0,COUNTIF('Set recomendado'!B:B,C690)=0),
"Bloqueada",
"Desechable")),""
)</f>
        <v/>
      </c>
      <c r="J690" t="str" cm="1">
        <f t="array" aca="1" ref="J690" ca="1">IF(ISNUMBER(A690),IFERROR(_xlfn._xlws.FILTER(Equipar!A:A,(Equipar!B:B=6)*(Equipar!AC:AC=A690)),""),"")</f>
        <v/>
      </c>
    </row>
    <row r="691" spans="1:10" x14ac:dyDescent="0.25">
      <c r="A691" s="1" t="str">
        <f ca="1">IF(A690="ID",1,IF(ISBLANK(B691),"",MAX(A$2:A690)+1))</f>
        <v/>
      </c>
      <c r="I691" s="2" t="str">
        <f ca="1">IF(ISNUMBER(A691),
IF(COUNTIFS(Equipar!B:B,6,Equipar!AC:AC,A691),"Equipada",
IF(
 OR(COUNTIFS(Equipar!B:B,6,Equipar!C:C,A691)
 +COUNTIFS(Equipar!B:B,6,Equipar!D:D,A691)
+COUNTIFS(Equipar!B:B,6,Equipar!E:E,A691)
+COUNTIFS(Equipar!B:B,6,Equipar!F:F,A691)
&gt;0,COUNTIF('Set recomendado'!B:B,C691)=0),
"Bloqueada",
"Desechable")),""
)</f>
        <v/>
      </c>
      <c r="J691" t="str" cm="1">
        <f t="array" aca="1" ref="J691" ca="1">IF(ISNUMBER(A691),IFERROR(_xlfn._xlws.FILTER(Equipar!A:A,(Equipar!B:B=6)*(Equipar!AC:AC=A691)),""),"")</f>
        <v/>
      </c>
    </row>
    <row r="692" spans="1:10" x14ac:dyDescent="0.25">
      <c r="A692" s="1" t="str">
        <f ca="1">IF(A691="ID",1,IF(ISBLANK(B692),"",MAX(A$2:A691)+1))</f>
        <v/>
      </c>
      <c r="I692" s="2" t="str">
        <f ca="1">IF(ISNUMBER(A692),
IF(COUNTIFS(Equipar!B:B,6,Equipar!AC:AC,A692),"Equipada",
IF(
 OR(COUNTIFS(Equipar!B:B,6,Equipar!C:C,A692)
 +COUNTIFS(Equipar!B:B,6,Equipar!D:D,A692)
+COUNTIFS(Equipar!B:B,6,Equipar!E:E,A692)
+COUNTIFS(Equipar!B:B,6,Equipar!F:F,A692)
&gt;0,COUNTIF('Set recomendado'!B:B,C692)=0),
"Bloqueada",
"Desechable")),""
)</f>
        <v/>
      </c>
      <c r="J692" t="str" cm="1">
        <f t="array" aca="1" ref="J692" ca="1">IF(ISNUMBER(A692),IFERROR(_xlfn._xlws.FILTER(Equipar!A:A,(Equipar!B:B=6)*(Equipar!AC:AC=A692)),""),"")</f>
        <v/>
      </c>
    </row>
    <row r="693" spans="1:10" x14ac:dyDescent="0.25">
      <c r="A693" s="1" t="str">
        <f ca="1">IF(A692="ID",1,IF(ISBLANK(B693),"",MAX(A$2:A692)+1))</f>
        <v/>
      </c>
      <c r="I693" s="2" t="str">
        <f ca="1">IF(ISNUMBER(A693),
IF(COUNTIFS(Equipar!B:B,6,Equipar!AC:AC,A693),"Equipada",
IF(
 OR(COUNTIFS(Equipar!B:B,6,Equipar!C:C,A693)
 +COUNTIFS(Equipar!B:B,6,Equipar!D:D,A693)
+COUNTIFS(Equipar!B:B,6,Equipar!E:E,A693)
+COUNTIFS(Equipar!B:B,6,Equipar!F:F,A693)
&gt;0,COUNTIF('Set recomendado'!B:B,C693)=0),
"Bloqueada",
"Desechable")),""
)</f>
        <v/>
      </c>
      <c r="J693" t="str" cm="1">
        <f t="array" aca="1" ref="J693" ca="1">IF(ISNUMBER(A693),IFERROR(_xlfn._xlws.FILTER(Equipar!A:A,(Equipar!B:B=6)*(Equipar!AC:AC=A693)),""),"")</f>
        <v/>
      </c>
    </row>
    <row r="694" spans="1:10" x14ac:dyDescent="0.25">
      <c r="A694" s="1" t="str">
        <f ca="1">IF(A693="ID",1,IF(ISBLANK(B694),"",MAX(A$2:A693)+1))</f>
        <v/>
      </c>
      <c r="I694" s="2" t="str">
        <f ca="1">IF(ISNUMBER(A694),
IF(COUNTIFS(Equipar!B:B,6,Equipar!AC:AC,A694),"Equipada",
IF(
 OR(COUNTIFS(Equipar!B:B,6,Equipar!C:C,A694)
 +COUNTIFS(Equipar!B:B,6,Equipar!D:D,A694)
+COUNTIFS(Equipar!B:B,6,Equipar!E:E,A694)
+COUNTIFS(Equipar!B:B,6,Equipar!F:F,A694)
&gt;0,COUNTIF('Set recomendado'!B:B,C694)=0),
"Bloqueada",
"Desechable")),""
)</f>
        <v/>
      </c>
      <c r="J694" t="str" cm="1">
        <f t="array" aca="1" ref="J694" ca="1">IF(ISNUMBER(A694),IFERROR(_xlfn._xlws.FILTER(Equipar!A:A,(Equipar!B:B=6)*(Equipar!AC:AC=A694)),""),"")</f>
        <v/>
      </c>
    </row>
    <row r="695" spans="1:10" x14ac:dyDescent="0.25">
      <c r="A695" s="1" t="str">
        <f ca="1">IF(A694="ID",1,IF(ISBLANK(B695),"",MAX(A$2:A694)+1))</f>
        <v/>
      </c>
      <c r="I695" s="2" t="str">
        <f ca="1">IF(ISNUMBER(A695),
IF(COUNTIFS(Equipar!B:B,6,Equipar!AC:AC,A695),"Equipada",
IF(
 OR(COUNTIFS(Equipar!B:B,6,Equipar!C:C,A695)
 +COUNTIFS(Equipar!B:B,6,Equipar!D:D,A695)
+COUNTIFS(Equipar!B:B,6,Equipar!E:E,A695)
+COUNTIFS(Equipar!B:B,6,Equipar!F:F,A695)
&gt;0,COUNTIF('Set recomendado'!B:B,C695)=0),
"Bloqueada",
"Desechable")),""
)</f>
        <v/>
      </c>
      <c r="J695" t="str" cm="1">
        <f t="array" aca="1" ref="J695" ca="1">IF(ISNUMBER(A695),IFERROR(_xlfn._xlws.FILTER(Equipar!A:A,(Equipar!B:B=6)*(Equipar!AC:AC=A695)),""),"")</f>
        <v/>
      </c>
    </row>
    <row r="696" spans="1:10" x14ac:dyDescent="0.25">
      <c r="A696" s="1" t="str">
        <f ca="1">IF(A695="ID",1,IF(ISBLANK(B696),"",MAX(A$2:A695)+1))</f>
        <v/>
      </c>
      <c r="I696" s="2" t="str">
        <f ca="1">IF(ISNUMBER(A696),
IF(COUNTIFS(Equipar!B:B,6,Equipar!AC:AC,A696),"Equipada",
IF(
 OR(COUNTIFS(Equipar!B:B,6,Equipar!C:C,A696)
 +COUNTIFS(Equipar!B:B,6,Equipar!D:D,A696)
+COUNTIFS(Equipar!B:B,6,Equipar!E:E,A696)
+COUNTIFS(Equipar!B:B,6,Equipar!F:F,A696)
&gt;0,COUNTIF('Set recomendado'!B:B,C696)=0),
"Bloqueada",
"Desechable")),""
)</f>
        <v/>
      </c>
      <c r="J696" t="str" cm="1">
        <f t="array" aca="1" ref="J696" ca="1">IF(ISNUMBER(A696),IFERROR(_xlfn._xlws.FILTER(Equipar!A:A,(Equipar!B:B=6)*(Equipar!AC:AC=A696)),""),"")</f>
        <v/>
      </c>
    </row>
    <row r="697" spans="1:10" x14ac:dyDescent="0.25">
      <c r="A697" s="1" t="str">
        <f ca="1">IF(A696="ID",1,IF(ISBLANK(B697),"",MAX(A$2:A696)+1))</f>
        <v/>
      </c>
      <c r="I697" s="2" t="str">
        <f ca="1">IF(ISNUMBER(A697),
IF(COUNTIFS(Equipar!B:B,6,Equipar!AC:AC,A697),"Equipada",
IF(
 OR(COUNTIFS(Equipar!B:B,6,Equipar!C:C,A697)
 +COUNTIFS(Equipar!B:B,6,Equipar!D:D,A697)
+COUNTIFS(Equipar!B:B,6,Equipar!E:E,A697)
+COUNTIFS(Equipar!B:B,6,Equipar!F:F,A697)
&gt;0,COUNTIF('Set recomendado'!B:B,C697)=0),
"Bloqueada",
"Desechable")),""
)</f>
        <v/>
      </c>
      <c r="J697" t="str" cm="1">
        <f t="array" aca="1" ref="J697" ca="1">IF(ISNUMBER(A697),IFERROR(_xlfn._xlws.FILTER(Equipar!A:A,(Equipar!B:B=6)*(Equipar!AC:AC=A697)),""),"")</f>
        <v/>
      </c>
    </row>
    <row r="698" spans="1:10" x14ac:dyDescent="0.25">
      <c r="A698" s="1" t="str">
        <f ca="1">IF(A697="ID",1,IF(ISBLANK(B698),"",MAX(A$2:A697)+1))</f>
        <v/>
      </c>
      <c r="I698" s="2" t="str">
        <f ca="1">IF(ISNUMBER(A698),
IF(COUNTIFS(Equipar!B:B,6,Equipar!AC:AC,A698),"Equipada",
IF(
 OR(COUNTIFS(Equipar!B:B,6,Equipar!C:C,A698)
 +COUNTIFS(Equipar!B:B,6,Equipar!D:D,A698)
+COUNTIFS(Equipar!B:B,6,Equipar!E:E,A698)
+COUNTIFS(Equipar!B:B,6,Equipar!F:F,A698)
&gt;0,COUNTIF('Set recomendado'!B:B,C698)=0),
"Bloqueada",
"Desechable")),""
)</f>
        <v/>
      </c>
      <c r="J698" t="str" cm="1">
        <f t="array" aca="1" ref="J698" ca="1">IF(ISNUMBER(A698),IFERROR(_xlfn._xlws.FILTER(Equipar!A:A,(Equipar!B:B=6)*(Equipar!AC:AC=A698)),""),"")</f>
        <v/>
      </c>
    </row>
    <row r="699" spans="1:10" x14ac:dyDescent="0.25">
      <c r="A699" s="1" t="str">
        <f ca="1">IF(A698="ID",1,IF(ISBLANK(B699),"",MAX(A$2:A698)+1))</f>
        <v/>
      </c>
      <c r="I699" s="2" t="str">
        <f ca="1">IF(ISNUMBER(A699),
IF(COUNTIFS(Equipar!B:B,6,Equipar!AC:AC,A699),"Equipada",
IF(
 OR(COUNTIFS(Equipar!B:B,6,Equipar!C:C,A699)
 +COUNTIFS(Equipar!B:B,6,Equipar!D:D,A699)
+COUNTIFS(Equipar!B:B,6,Equipar!E:E,A699)
+COUNTIFS(Equipar!B:B,6,Equipar!F:F,A699)
&gt;0,COUNTIF('Set recomendado'!B:B,C699)=0),
"Bloqueada",
"Desechable")),""
)</f>
        <v/>
      </c>
      <c r="J699" t="str" cm="1">
        <f t="array" aca="1" ref="J699" ca="1">IF(ISNUMBER(A699),IFERROR(_xlfn._xlws.FILTER(Equipar!A:A,(Equipar!B:B=6)*(Equipar!AC:AC=A699)),""),"")</f>
        <v/>
      </c>
    </row>
    <row r="700" spans="1:10" x14ac:dyDescent="0.25">
      <c r="A700" s="1" t="str">
        <f ca="1">IF(A699="ID",1,IF(ISBLANK(B700),"",MAX(A$2:A699)+1))</f>
        <v/>
      </c>
      <c r="I700" s="2" t="str">
        <f ca="1">IF(ISNUMBER(A700),
IF(COUNTIFS(Equipar!B:B,6,Equipar!AC:AC,A700),"Equipada",
IF(
 OR(COUNTIFS(Equipar!B:B,6,Equipar!C:C,A700)
 +COUNTIFS(Equipar!B:B,6,Equipar!D:D,A700)
+COUNTIFS(Equipar!B:B,6,Equipar!E:E,A700)
+COUNTIFS(Equipar!B:B,6,Equipar!F:F,A700)
&gt;0,COUNTIF('Set recomendado'!B:B,C700)=0),
"Bloqueada",
"Desechable")),""
)</f>
        <v/>
      </c>
      <c r="J700" t="str" cm="1">
        <f t="array" aca="1" ref="J700" ca="1">IF(ISNUMBER(A700),IFERROR(_xlfn._xlws.FILTER(Equipar!A:A,(Equipar!B:B=6)*(Equipar!AC:AC=A700)),""),"")</f>
        <v/>
      </c>
    </row>
    <row r="701" spans="1:10" x14ac:dyDescent="0.25">
      <c r="A701" s="1" t="str">
        <f ca="1">IF(A700="ID",1,IF(ISBLANK(B701),"",MAX(A$2:A700)+1))</f>
        <v/>
      </c>
      <c r="I701" s="2" t="str">
        <f ca="1">IF(ISNUMBER(A701),
IF(COUNTIFS(Equipar!B:B,6,Equipar!AC:AC,A701),"Equipada",
IF(
 OR(COUNTIFS(Equipar!B:B,6,Equipar!C:C,A701)
 +COUNTIFS(Equipar!B:B,6,Equipar!D:D,A701)
+COUNTIFS(Equipar!B:B,6,Equipar!E:E,A701)
+COUNTIFS(Equipar!B:B,6,Equipar!F:F,A701)
&gt;0,COUNTIF('Set recomendado'!B:B,C701)=0),
"Bloqueada",
"Desechable")),""
)</f>
        <v/>
      </c>
      <c r="J701" t="str" cm="1">
        <f t="array" aca="1" ref="J701" ca="1">IF(ISNUMBER(A701),IFERROR(_xlfn._xlws.FILTER(Equipar!A:A,(Equipar!B:B=6)*(Equipar!AC:AC=A701)),""),"")</f>
        <v/>
      </c>
    </row>
    <row r="702" spans="1:10" x14ac:dyDescent="0.25">
      <c r="A702" s="1" t="str">
        <f ca="1">IF(A701="ID",1,IF(ISBLANK(B702),"",MAX(A$2:A701)+1))</f>
        <v/>
      </c>
      <c r="I702" s="2" t="str">
        <f ca="1">IF(ISNUMBER(A702),
IF(COUNTIFS(Equipar!B:B,6,Equipar!AC:AC,A702),"Equipada",
IF(
 OR(COUNTIFS(Equipar!B:B,6,Equipar!C:C,A702)
 +COUNTIFS(Equipar!B:B,6,Equipar!D:D,A702)
+COUNTIFS(Equipar!B:B,6,Equipar!E:E,A702)
+COUNTIFS(Equipar!B:B,6,Equipar!F:F,A702)
&gt;0,COUNTIF('Set recomendado'!B:B,C702)=0),
"Bloqueada",
"Desechable")),""
)</f>
        <v/>
      </c>
      <c r="J702" t="str" cm="1">
        <f t="array" aca="1" ref="J702" ca="1">IF(ISNUMBER(A702),IFERROR(_xlfn._xlws.FILTER(Equipar!A:A,(Equipar!B:B=6)*(Equipar!AC:AC=A702)),""),"")</f>
        <v/>
      </c>
    </row>
    <row r="703" spans="1:10" x14ac:dyDescent="0.25">
      <c r="A703" s="1" t="str">
        <f ca="1">IF(A702="ID",1,IF(ISBLANK(B703),"",MAX(A$2:A702)+1))</f>
        <v/>
      </c>
      <c r="I703" s="2" t="str">
        <f ca="1">IF(ISNUMBER(A703),
IF(COUNTIFS(Equipar!B:B,6,Equipar!AC:AC,A703),"Equipada",
IF(
 OR(COUNTIFS(Equipar!B:B,6,Equipar!C:C,A703)
 +COUNTIFS(Equipar!B:B,6,Equipar!D:D,A703)
+COUNTIFS(Equipar!B:B,6,Equipar!E:E,A703)
+COUNTIFS(Equipar!B:B,6,Equipar!F:F,A703)
&gt;0,COUNTIF('Set recomendado'!B:B,C703)=0),
"Bloqueada",
"Desechable")),""
)</f>
        <v/>
      </c>
      <c r="J703" t="str" cm="1">
        <f t="array" aca="1" ref="J703" ca="1">IF(ISNUMBER(A703),IFERROR(_xlfn._xlws.FILTER(Equipar!A:A,(Equipar!B:B=6)*(Equipar!AC:AC=A703)),""),"")</f>
        <v/>
      </c>
    </row>
    <row r="704" spans="1:10" x14ac:dyDescent="0.25">
      <c r="A704" s="1" t="str">
        <f ca="1">IF(A703="ID",1,IF(ISBLANK(B704),"",MAX(A$2:A703)+1))</f>
        <v/>
      </c>
      <c r="I704" s="2" t="str">
        <f ca="1">IF(ISNUMBER(A704),
IF(COUNTIFS(Equipar!B:B,6,Equipar!AC:AC,A704),"Equipada",
IF(
 OR(COUNTIFS(Equipar!B:B,6,Equipar!C:C,A704)
 +COUNTIFS(Equipar!B:B,6,Equipar!D:D,A704)
+COUNTIFS(Equipar!B:B,6,Equipar!E:E,A704)
+COUNTIFS(Equipar!B:B,6,Equipar!F:F,A704)
&gt;0,COUNTIF('Set recomendado'!B:B,C704)=0),
"Bloqueada",
"Desechable")),""
)</f>
        <v/>
      </c>
      <c r="J704" t="str" cm="1">
        <f t="array" aca="1" ref="J704" ca="1">IF(ISNUMBER(A704),IFERROR(_xlfn._xlws.FILTER(Equipar!A:A,(Equipar!B:B=6)*(Equipar!AC:AC=A704)),""),"")</f>
        <v/>
      </c>
    </row>
    <row r="705" spans="1:10" x14ac:dyDescent="0.25">
      <c r="A705" s="1" t="str">
        <f ca="1">IF(A704="ID",1,IF(ISBLANK(B705),"",MAX(A$2:A704)+1))</f>
        <v/>
      </c>
      <c r="I705" s="2" t="str">
        <f ca="1">IF(ISNUMBER(A705),
IF(COUNTIFS(Equipar!B:B,6,Equipar!AC:AC,A705),"Equipada",
IF(
 OR(COUNTIFS(Equipar!B:B,6,Equipar!C:C,A705)
 +COUNTIFS(Equipar!B:B,6,Equipar!D:D,A705)
+COUNTIFS(Equipar!B:B,6,Equipar!E:E,A705)
+COUNTIFS(Equipar!B:B,6,Equipar!F:F,A705)
&gt;0,COUNTIF('Set recomendado'!B:B,C705)=0),
"Bloqueada",
"Desechable")),""
)</f>
        <v/>
      </c>
      <c r="J705" t="str" cm="1">
        <f t="array" aca="1" ref="J705" ca="1">IF(ISNUMBER(A705),IFERROR(_xlfn._xlws.FILTER(Equipar!A:A,(Equipar!B:B=6)*(Equipar!AC:AC=A705)),""),"")</f>
        <v/>
      </c>
    </row>
    <row r="706" spans="1:10" x14ac:dyDescent="0.25">
      <c r="A706" s="1" t="str">
        <f ca="1">IF(A705="ID",1,IF(ISBLANK(B706),"",MAX(A$2:A705)+1))</f>
        <v/>
      </c>
      <c r="I706" s="2" t="str">
        <f ca="1">IF(ISNUMBER(A706),
IF(COUNTIFS(Equipar!B:B,6,Equipar!AC:AC,A706),"Equipada",
IF(
 OR(COUNTIFS(Equipar!B:B,6,Equipar!C:C,A706)
 +COUNTIFS(Equipar!B:B,6,Equipar!D:D,A706)
+COUNTIFS(Equipar!B:B,6,Equipar!E:E,A706)
+COUNTIFS(Equipar!B:B,6,Equipar!F:F,A706)
&gt;0,COUNTIF('Set recomendado'!B:B,C706)=0),
"Bloqueada",
"Desechable")),""
)</f>
        <v/>
      </c>
      <c r="J706" t="str" cm="1">
        <f t="array" aca="1" ref="J706" ca="1">IF(ISNUMBER(A706),IFERROR(_xlfn._xlws.FILTER(Equipar!A:A,(Equipar!B:B=6)*(Equipar!AC:AC=A706)),""),"")</f>
        <v/>
      </c>
    </row>
    <row r="707" spans="1:10" x14ac:dyDescent="0.25">
      <c r="A707" s="1" t="str">
        <f ca="1">IF(A706="ID",1,IF(ISBLANK(B707),"",MAX(A$2:A706)+1))</f>
        <v/>
      </c>
      <c r="I707" s="2" t="str">
        <f ca="1">IF(ISNUMBER(A707),
IF(COUNTIFS(Equipar!B:B,6,Equipar!AC:AC,A707),"Equipada",
IF(
 OR(COUNTIFS(Equipar!B:B,6,Equipar!C:C,A707)
 +COUNTIFS(Equipar!B:B,6,Equipar!D:D,A707)
+COUNTIFS(Equipar!B:B,6,Equipar!E:E,A707)
+COUNTIFS(Equipar!B:B,6,Equipar!F:F,A707)
&gt;0,COUNTIF('Set recomendado'!B:B,C707)=0),
"Bloqueada",
"Desechable")),""
)</f>
        <v/>
      </c>
      <c r="J707" t="str" cm="1">
        <f t="array" aca="1" ref="J707" ca="1">IF(ISNUMBER(A707),IFERROR(_xlfn._xlws.FILTER(Equipar!A:A,(Equipar!B:B=6)*(Equipar!AC:AC=A707)),""),"")</f>
        <v/>
      </c>
    </row>
    <row r="708" spans="1:10" x14ac:dyDescent="0.25">
      <c r="A708" s="1" t="str">
        <f ca="1">IF(A707="ID",1,IF(ISBLANK(B708),"",MAX(A$2:A707)+1))</f>
        <v/>
      </c>
      <c r="I708" s="2" t="str">
        <f ca="1">IF(ISNUMBER(A708),
IF(COUNTIFS(Equipar!B:B,6,Equipar!AC:AC,A708),"Equipada",
IF(
 OR(COUNTIFS(Equipar!B:B,6,Equipar!C:C,A708)
 +COUNTIFS(Equipar!B:B,6,Equipar!D:D,A708)
+COUNTIFS(Equipar!B:B,6,Equipar!E:E,A708)
+COUNTIFS(Equipar!B:B,6,Equipar!F:F,A708)
&gt;0,COUNTIF('Set recomendado'!B:B,C708)=0),
"Bloqueada",
"Desechable")),""
)</f>
        <v/>
      </c>
      <c r="J708" t="str" cm="1">
        <f t="array" aca="1" ref="J708" ca="1">IF(ISNUMBER(A708),IFERROR(_xlfn._xlws.FILTER(Equipar!A:A,(Equipar!B:B=6)*(Equipar!AC:AC=A708)),""),"")</f>
        <v/>
      </c>
    </row>
    <row r="709" spans="1:10" x14ac:dyDescent="0.25">
      <c r="A709" s="1" t="str">
        <f ca="1">IF(A708="ID",1,IF(ISBLANK(B709),"",MAX(A$2:A708)+1))</f>
        <v/>
      </c>
      <c r="I709" s="2" t="str">
        <f ca="1">IF(ISNUMBER(A709),
IF(COUNTIFS(Equipar!B:B,6,Equipar!AC:AC,A709),"Equipada",
IF(
 OR(COUNTIFS(Equipar!B:B,6,Equipar!C:C,A709)
 +COUNTIFS(Equipar!B:B,6,Equipar!D:D,A709)
+COUNTIFS(Equipar!B:B,6,Equipar!E:E,A709)
+COUNTIFS(Equipar!B:B,6,Equipar!F:F,A709)
&gt;0,COUNTIF('Set recomendado'!B:B,C709)=0),
"Bloqueada",
"Desechable")),""
)</f>
        <v/>
      </c>
      <c r="J709" t="str" cm="1">
        <f t="array" aca="1" ref="J709" ca="1">IF(ISNUMBER(A709),IFERROR(_xlfn._xlws.FILTER(Equipar!A:A,(Equipar!B:B=6)*(Equipar!AC:AC=A709)),""),"")</f>
        <v/>
      </c>
    </row>
    <row r="710" spans="1:10" x14ac:dyDescent="0.25">
      <c r="A710" s="1" t="str">
        <f ca="1">IF(A709="ID",1,IF(ISBLANK(B710),"",MAX(A$2:A709)+1))</f>
        <v/>
      </c>
      <c r="I710" s="2" t="str">
        <f ca="1">IF(ISNUMBER(A710),
IF(COUNTIFS(Equipar!B:B,6,Equipar!AC:AC,A710),"Equipada",
IF(
 OR(COUNTIFS(Equipar!B:B,6,Equipar!C:C,A710)
 +COUNTIFS(Equipar!B:B,6,Equipar!D:D,A710)
+COUNTIFS(Equipar!B:B,6,Equipar!E:E,A710)
+COUNTIFS(Equipar!B:B,6,Equipar!F:F,A710)
&gt;0,COUNTIF('Set recomendado'!B:B,C710)=0),
"Bloqueada",
"Desechable")),""
)</f>
        <v/>
      </c>
      <c r="J710" t="str" cm="1">
        <f t="array" aca="1" ref="J710" ca="1">IF(ISNUMBER(A710),IFERROR(_xlfn._xlws.FILTER(Equipar!A:A,(Equipar!B:B=6)*(Equipar!AC:AC=A710)),""),"")</f>
        <v/>
      </c>
    </row>
    <row r="711" spans="1:10" x14ac:dyDescent="0.25">
      <c r="A711" s="1" t="str">
        <f ca="1">IF(A710="ID",1,IF(ISBLANK(B711),"",MAX(A$2:A710)+1))</f>
        <v/>
      </c>
      <c r="I711" s="2" t="str">
        <f ca="1">IF(ISNUMBER(A711),
IF(COUNTIFS(Equipar!B:B,6,Equipar!AC:AC,A711),"Equipada",
IF(
 OR(COUNTIFS(Equipar!B:B,6,Equipar!C:C,A711)
 +COUNTIFS(Equipar!B:B,6,Equipar!D:D,A711)
+COUNTIFS(Equipar!B:B,6,Equipar!E:E,A711)
+COUNTIFS(Equipar!B:B,6,Equipar!F:F,A711)
&gt;0,COUNTIF('Set recomendado'!B:B,C711)=0),
"Bloqueada",
"Desechable")),""
)</f>
        <v/>
      </c>
      <c r="J711" t="str" cm="1">
        <f t="array" aca="1" ref="J711" ca="1">IF(ISNUMBER(A711),IFERROR(_xlfn._xlws.FILTER(Equipar!A:A,(Equipar!B:B=6)*(Equipar!AC:AC=A711)),""),"")</f>
        <v/>
      </c>
    </row>
    <row r="712" spans="1:10" x14ac:dyDescent="0.25">
      <c r="A712" s="1" t="str">
        <f ca="1">IF(A711="ID",1,IF(ISBLANK(B712),"",MAX(A$2:A711)+1))</f>
        <v/>
      </c>
      <c r="I712" s="2" t="str">
        <f ca="1">IF(ISNUMBER(A712),
IF(COUNTIFS(Equipar!B:B,6,Equipar!AC:AC,A712),"Equipada",
IF(
 OR(COUNTIFS(Equipar!B:B,6,Equipar!C:C,A712)
 +COUNTIFS(Equipar!B:B,6,Equipar!D:D,A712)
+COUNTIFS(Equipar!B:B,6,Equipar!E:E,A712)
+COUNTIFS(Equipar!B:B,6,Equipar!F:F,A712)
&gt;0,COUNTIF('Set recomendado'!B:B,C712)=0),
"Bloqueada",
"Desechable")),""
)</f>
        <v/>
      </c>
      <c r="J712" t="str" cm="1">
        <f t="array" aca="1" ref="J712" ca="1">IF(ISNUMBER(A712),IFERROR(_xlfn._xlws.FILTER(Equipar!A:A,(Equipar!B:B=6)*(Equipar!AC:AC=A712)),""),"")</f>
        <v/>
      </c>
    </row>
    <row r="713" spans="1:10" x14ac:dyDescent="0.25">
      <c r="A713" s="1" t="str">
        <f ca="1">IF(A712="ID",1,IF(ISBLANK(B713),"",MAX(A$2:A712)+1))</f>
        <v/>
      </c>
      <c r="I713" s="2" t="str">
        <f ca="1">IF(ISNUMBER(A713),
IF(COUNTIFS(Equipar!B:B,6,Equipar!AC:AC,A713),"Equipada",
IF(
 OR(COUNTIFS(Equipar!B:B,6,Equipar!C:C,A713)
 +COUNTIFS(Equipar!B:B,6,Equipar!D:D,A713)
+COUNTIFS(Equipar!B:B,6,Equipar!E:E,A713)
+COUNTIFS(Equipar!B:B,6,Equipar!F:F,A713)
&gt;0,COUNTIF('Set recomendado'!B:B,C713)=0),
"Bloqueada",
"Desechable")),""
)</f>
        <v/>
      </c>
      <c r="J713" t="str" cm="1">
        <f t="array" aca="1" ref="J713" ca="1">IF(ISNUMBER(A713),IFERROR(_xlfn._xlws.FILTER(Equipar!A:A,(Equipar!B:B=6)*(Equipar!AC:AC=A713)),""),"")</f>
        <v/>
      </c>
    </row>
    <row r="714" spans="1:10" x14ac:dyDescent="0.25">
      <c r="A714" s="1" t="str">
        <f ca="1">IF(A713="ID",1,IF(ISBLANK(B714),"",MAX(A$2:A713)+1))</f>
        <v/>
      </c>
      <c r="I714" s="2" t="str">
        <f ca="1">IF(ISNUMBER(A714),
IF(COUNTIFS(Equipar!B:B,6,Equipar!AC:AC,A714),"Equipada",
IF(
 OR(COUNTIFS(Equipar!B:B,6,Equipar!C:C,A714)
 +COUNTIFS(Equipar!B:B,6,Equipar!D:D,A714)
+COUNTIFS(Equipar!B:B,6,Equipar!E:E,A714)
+COUNTIFS(Equipar!B:B,6,Equipar!F:F,A714)
&gt;0,COUNTIF('Set recomendado'!B:B,C714)=0),
"Bloqueada",
"Desechable")),""
)</f>
        <v/>
      </c>
      <c r="J714" t="str" cm="1">
        <f t="array" aca="1" ref="J714" ca="1">IF(ISNUMBER(A714),IFERROR(_xlfn._xlws.FILTER(Equipar!A:A,(Equipar!B:B=6)*(Equipar!AC:AC=A714)),""),"")</f>
        <v/>
      </c>
    </row>
    <row r="715" spans="1:10" x14ac:dyDescent="0.25">
      <c r="A715" s="1" t="str">
        <f ca="1">IF(A714="ID",1,IF(ISBLANK(B715),"",MAX(A$2:A714)+1))</f>
        <v/>
      </c>
      <c r="I715" s="2" t="str">
        <f ca="1">IF(ISNUMBER(A715),
IF(COUNTIFS(Equipar!B:B,6,Equipar!AC:AC,A715),"Equipada",
IF(
 OR(COUNTIFS(Equipar!B:B,6,Equipar!C:C,A715)
 +COUNTIFS(Equipar!B:B,6,Equipar!D:D,A715)
+COUNTIFS(Equipar!B:B,6,Equipar!E:E,A715)
+COUNTIFS(Equipar!B:B,6,Equipar!F:F,A715)
&gt;0,COUNTIF('Set recomendado'!B:B,C715)=0),
"Bloqueada",
"Desechable")),""
)</f>
        <v/>
      </c>
      <c r="J715" t="str" cm="1">
        <f t="array" aca="1" ref="J715" ca="1">IF(ISNUMBER(A715),IFERROR(_xlfn._xlws.FILTER(Equipar!A:A,(Equipar!B:B=6)*(Equipar!AC:AC=A715)),""),"")</f>
        <v/>
      </c>
    </row>
    <row r="716" spans="1:10" x14ac:dyDescent="0.25">
      <c r="A716" s="1" t="str">
        <f ca="1">IF(A715="ID",1,IF(ISBLANK(B716),"",MAX(A$2:A715)+1))</f>
        <v/>
      </c>
      <c r="I716" s="2" t="str">
        <f ca="1">IF(ISNUMBER(A716),
IF(COUNTIFS(Equipar!B:B,6,Equipar!AC:AC,A716),"Equipada",
IF(
 OR(COUNTIFS(Equipar!B:B,6,Equipar!C:C,A716)
 +COUNTIFS(Equipar!B:B,6,Equipar!D:D,A716)
+COUNTIFS(Equipar!B:B,6,Equipar!E:E,A716)
+COUNTIFS(Equipar!B:B,6,Equipar!F:F,A716)
&gt;0,COUNTIF('Set recomendado'!B:B,C716)=0),
"Bloqueada",
"Desechable")),""
)</f>
        <v/>
      </c>
      <c r="J716" t="str" cm="1">
        <f t="array" aca="1" ref="J716" ca="1">IF(ISNUMBER(A716),IFERROR(_xlfn._xlws.FILTER(Equipar!A:A,(Equipar!B:B=6)*(Equipar!AC:AC=A716)),""),"")</f>
        <v/>
      </c>
    </row>
    <row r="717" spans="1:10" x14ac:dyDescent="0.25">
      <c r="A717" s="1" t="str">
        <f ca="1">IF(A716="ID",1,IF(ISBLANK(B717),"",MAX(A$2:A716)+1))</f>
        <v/>
      </c>
      <c r="I717" s="2" t="str">
        <f ca="1">IF(ISNUMBER(A717),
IF(COUNTIFS(Equipar!B:B,6,Equipar!AC:AC,A717),"Equipada",
IF(
 OR(COUNTIFS(Equipar!B:B,6,Equipar!C:C,A717)
 +COUNTIFS(Equipar!B:B,6,Equipar!D:D,A717)
+COUNTIFS(Equipar!B:B,6,Equipar!E:E,A717)
+COUNTIFS(Equipar!B:B,6,Equipar!F:F,A717)
&gt;0,COUNTIF('Set recomendado'!B:B,C717)=0),
"Bloqueada",
"Desechable")),""
)</f>
        <v/>
      </c>
      <c r="J717" t="str" cm="1">
        <f t="array" aca="1" ref="J717" ca="1">IF(ISNUMBER(A717),IFERROR(_xlfn._xlws.FILTER(Equipar!A:A,(Equipar!B:B=6)*(Equipar!AC:AC=A717)),""),"")</f>
        <v/>
      </c>
    </row>
    <row r="718" spans="1:10" x14ac:dyDescent="0.25">
      <c r="A718" s="1" t="str">
        <f ca="1">IF(A717="ID",1,IF(ISBLANK(B718),"",MAX(A$2:A717)+1))</f>
        <v/>
      </c>
      <c r="I718" s="2" t="str">
        <f ca="1">IF(ISNUMBER(A718),
IF(COUNTIFS(Equipar!B:B,6,Equipar!AC:AC,A718),"Equipada",
IF(
 OR(COUNTIFS(Equipar!B:B,6,Equipar!C:C,A718)
 +COUNTIFS(Equipar!B:B,6,Equipar!D:D,A718)
+COUNTIFS(Equipar!B:B,6,Equipar!E:E,A718)
+COUNTIFS(Equipar!B:B,6,Equipar!F:F,A718)
&gt;0,COUNTIF('Set recomendado'!B:B,C718)=0),
"Bloqueada",
"Desechable")),""
)</f>
        <v/>
      </c>
      <c r="J718" t="str" cm="1">
        <f t="array" aca="1" ref="J718" ca="1">IF(ISNUMBER(A718),IFERROR(_xlfn._xlws.FILTER(Equipar!A:A,(Equipar!B:B=6)*(Equipar!AC:AC=A718)),""),"")</f>
        <v/>
      </c>
    </row>
    <row r="719" spans="1:10" x14ac:dyDescent="0.25">
      <c r="A719" s="1" t="str">
        <f ca="1">IF(A718="ID",1,IF(ISBLANK(B719),"",MAX(A$2:A718)+1))</f>
        <v/>
      </c>
      <c r="I719" s="2" t="str">
        <f ca="1">IF(ISNUMBER(A719),
IF(COUNTIFS(Equipar!B:B,6,Equipar!AC:AC,A719),"Equipada",
IF(
 OR(COUNTIFS(Equipar!B:B,6,Equipar!C:C,A719)
 +COUNTIFS(Equipar!B:B,6,Equipar!D:D,A719)
+COUNTIFS(Equipar!B:B,6,Equipar!E:E,A719)
+COUNTIFS(Equipar!B:B,6,Equipar!F:F,A719)
&gt;0,COUNTIF('Set recomendado'!B:B,C719)=0),
"Bloqueada",
"Desechable")),""
)</f>
        <v/>
      </c>
      <c r="J719" t="str" cm="1">
        <f t="array" aca="1" ref="J719" ca="1">IF(ISNUMBER(A719),IFERROR(_xlfn._xlws.FILTER(Equipar!A:A,(Equipar!B:B=6)*(Equipar!AC:AC=A719)),""),"")</f>
        <v/>
      </c>
    </row>
    <row r="720" spans="1:10" x14ac:dyDescent="0.25">
      <c r="A720" s="1" t="str">
        <f ca="1">IF(A719="ID",1,IF(ISBLANK(B720),"",MAX(A$2:A719)+1))</f>
        <v/>
      </c>
      <c r="I720" s="2" t="str">
        <f ca="1">IF(ISNUMBER(A720),
IF(COUNTIFS(Equipar!B:B,6,Equipar!AC:AC,A720),"Equipada",
IF(
 OR(COUNTIFS(Equipar!B:B,6,Equipar!C:C,A720)
 +COUNTIFS(Equipar!B:B,6,Equipar!D:D,A720)
+COUNTIFS(Equipar!B:B,6,Equipar!E:E,A720)
+COUNTIFS(Equipar!B:B,6,Equipar!F:F,A720)
&gt;0,COUNTIF('Set recomendado'!B:B,C720)=0),
"Bloqueada",
"Desechable")),""
)</f>
        <v/>
      </c>
      <c r="J720" t="str" cm="1">
        <f t="array" aca="1" ref="J720" ca="1">IF(ISNUMBER(A720),IFERROR(_xlfn._xlws.FILTER(Equipar!A:A,(Equipar!B:B=6)*(Equipar!AC:AC=A720)),""),"")</f>
        <v/>
      </c>
    </row>
    <row r="721" spans="1:10" x14ac:dyDescent="0.25">
      <c r="A721" s="1" t="str">
        <f ca="1">IF(A720="ID",1,IF(ISBLANK(B721),"",MAX(A$2:A720)+1))</f>
        <v/>
      </c>
      <c r="I721" s="2" t="str">
        <f ca="1">IF(ISNUMBER(A721),
IF(COUNTIFS(Equipar!B:B,6,Equipar!AC:AC,A721),"Equipada",
IF(
 OR(COUNTIFS(Equipar!B:B,6,Equipar!C:C,A721)
 +COUNTIFS(Equipar!B:B,6,Equipar!D:D,A721)
+COUNTIFS(Equipar!B:B,6,Equipar!E:E,A721)
+COUNTIFS(Equipar!B:B,6,Equipar!F:F,A721)
&gt;0,COUNTIF('Set recomendado'!B:B,C721)=0),
"Bloqueada",
"Desechable")),""
)</f>
        <v/>
      </c>
      <c r="J721" t="str" cm="1">
        <f t="array" aca="1" ref="J721" ca="1">IF(ISNUMBER(A721),IFERROR(_xlfn._xlws.FILTER(Equipar!A:A,(Equipar!B:B=6)*(Equipar!AC:AC=A721)),""),"")</f>
        <v/>
      </c>
    </row>
    <row r="722" spans="1:10" x14ac:dyDescent="0.25">
      <c r="A722" s="1" t="str">
        <f ca="1">IF(A721="ID",1,IF(ISBLANK(B722),"",MAX(A$2:A721)+1))</f>
        <v/>
      </c>
      <c r="I722" s="2" t="str">
        <f ca="1">IF(ISNUMBER(A722),
IF(COUNTIFS(Equipar!B:B,6,Equipar!AC:AC,A722),"Equipada",
IF(
 OR(COUNTIFS(Equipar!B:B,6,Equipar!C:C,A722)
 +COUNTIFS(Equipar!B:B,6,Equipar!D:D,A722)
+COUNTIFS(Equipar!B:B,6,Equipar!E:E,A722)
+COUNTIFS(Equipar!B:B,6,Equipar!F:F,A722)
&gt;0,COUNTIF('Set recomendado'!B:B,C722)=0),
"Bloqueada",
"Desechable")),""
)</f>
        <v/>
      </c>
      <c r="J722" t="str" cm="1">
        <f t="array" aca="1" ref="J722" ca="1">IF(ISNUMBER(A722),IFERROR(_xlfn._xlws.FILTER(Equipar!A:A,(Equipar!B:B=6)*(Equipar!AC:AC=A722)),""),"")</f>
        <v/>
      </c>
    </row>
    <row r="723" spans="1:10" x14ac:dyDescent="0.25">
      <c r="A723" s="1" t="str">
        <f ca="1">IF(A722="ID",1,IF(ISBLANK(B723),"",MAX(A$2:A722)+1))</f>
        <v/>
      </c>
      <c r="I723" s="2" t="str">
        <f ca="1">IF(ISNUMBER(A723),
IF(COUNTIFS(Equipar!B:B,6,Equipar!AC:AC,A723),"Equipada",
IF(
 OR(COUNTIFS(Equipar!B:B,6,Equipar!C:C,A723)
 +COUNTIFS(Equipar!B:B,6,Equipar!D:D,A723)
+COUNTIFS(Equipar!B:B,6,Equipar!E:E,A723)
+COUNTIFS(Equipar!B:B,6,Equipar!F:F,A723)
&gt;0,COUNTIF('Set recomendado'!B:B,C723)=0),
"Bloqueada",
"Desechable")),""
)</f>
        <v/>
      </c>
      <c r="J723" t="str" cm="1">
        <f t="array" aca="1" ref="J723" ca="1">IF(ISNUMBER(A723),IFERROR(_xlfn._xlws.FILTER(Equipar!A:A,(Equipar!B:B=6)*(Equipar!AC:AC=A723)),""),"")</f>
        <v/>
      </c>
    </row>
    <row r="724" spans="1:10" x14ac:dyDescent="0.25">
      <c r="A724" s="1" t="str">
        <f ca="1">IF(A723="ID",1,IF(ISBLANK(B724),"",MAX(A$2:A723)+1))</f>
        <v/>
      </c>
      <c r="I724" s="2" t="str">
        <f ca="1">IF(ISNUMBER(A724),
IF(COUNTIFS(Equipar!B:B,6,Equipar!AC:AC,A724),"Equipada",
IF(
 OR(COUNTIFS(Equipar!B:B,6,Equipar!C:C,A724)
 +COUNTIFS(Equipar!B:B,6,Equipar!D:D,A724)
+COUNTIFS(Equipar!B:B,6,Equipar!E:E,A724)
+COUNTIFS(Equipar!B:B,6,Equipar!F:F,A724)
&gt;0,COUNTIF('Set recomendado'!B:B,C724)=0),
"Bloqueada",
"Desechable")),""
)</f>
        <v/>
      </c>
      <c r="J724" t="str" cm="1">
        <f t="array" aca="1" ref="J724" ca="1">IF(ISNUMBER(A724),IFERROR(_xlfn._xlws.FILTER(Equipar!A:A,(Equipar!B:B=6)*(Equipar!AC:AC=A724)),""),"")</f>
        <v/>
      </c>
    </row>
    <row r="725" spans="1:10" x14ac:dyDescent="0.25">
      <c r="A725" s="1" t="str">
        <f ca="1">IF(A724="ID",1,IF(ISBLANK(B725),"",MAX(A$2:A724)+1))</f>
        <v/>
      </c>
      <c r="I725" s="2" t="str">
        <f ca="1">IF(ISNUMBER(A725),
IF(COUNTIFS(Equipar!B:B,6,Equipar!AC:AC,A725),"Equipada",
IF(
 OR(COUNTIFS(Equipar!B:B,6,Equipar!C:C,A725)
 +COUNTIFS(Equipar!B:B,6,Equipar!D:D,A725)
+COUNTIFS(Equipar!B:B,6,Equipar!E:E,A725)
+COUNTIFS(Equipar!B:B,6,Equipar!F:F,A725)
&gt;0,COUNTIF('Set recomendado'!B:B,C725)=0),
"Bloqueada",
"Desechable")),""
)</f>
        <v/>
      </c>
      <c r="J725" t="str" cm="1">
        <f t="array" aca="1" ref="J725" ca="1">IF(ISNUMBER(A725),IFERROR(_xlfn._xlws.FILTER(Equipar!A:A,(Equipar!B:B=6)*(Equipar!AC:AC=A725)),""),"")</f>
        <v/>
      </c>
    </row>
    <row r="726" spans="1:10" x14ac:dyDescent="0.25">
      <c r="A726" s="1" t="str">
        <f ca="1">IF(A725="ID",1,IF(ISBLANK(B726),"",MAX(A$2:A725)+1))</f>
        <v/>
      </c>
      <c r="I726" s="2" t="str">
        <f ca="1">IF(ISNUMBER(A726),
IF(COUNTIFS(Equipar!B:B,6,Equipar!AC:AC,A726),"Equipada",
IF(
 OR(COUNTIFS(Equipar!B:B,6,Equipar!C:C,A726)
 +COUNTIFS(Equipar!B:B,6,Equipar!D:D,A726)
+COUNTIFS(Equipar!B:B,6,Equipar!E:E,A726)
+COUNTIFS(Equipar!B:B,6,Equipar!F:F,A726)
&gt;0,COUNTIF('Set recomendado'!B:B,C726)=0),
"Bloqueada",
"Desechable")),""
)</f>
        <v/>
      </c>
      <c r="J726" t="str" cm="1">
        <f t="array" aca="1" ref="J726" ca="1">IF(ISNUMBER(A726),IFERROR(_xlfn._xlws.FILTER(Equipar!A:A,(Equipar!B:B=6)*(Equipar!AC:AC=A726)),""),"")</f>
        <v/>
      </c>
    </row>
    <row r="727" spans="1:10" x14ac:dyDescent="0.25">
      <c r="A727" s="1" t="str">
        <f ca="1">IF(A726="ID",1,IF(ISBLANK(B727),"",MAX(A$2:A726)+1))</f>
        <v/>
      </c>
      <c r="I727" s="2" t="str">
        <f ca="1">IF(ISNUMBER(A727),
IF(COUNTIFS(Equipar!B:B,6,Equipar!AC:AC,A727),"Equipada",
IF(
 OR(COUNTIFS(Equipar!B:B,6,Equipar!C:C,A727)
 +COUNTIFS(Equipar!B:B,6,Equipar!D:D,A727)
+COUNTIFS(Equipar!B:B,6,Equipar!E:E,A727)
+COUNTIFS(Equipar!B:B,6,Equipar!F:F,A727)
&gt;0,COUNTIF('Set recomendado'!B:B,C727)=0),
"Bloqueada",
"Desechable")),""
)</f>
        <v/>
      </c>
      <c r="J727" t="str" cm="1">
        <f t="array" aca="1" ref="J727" ca="1">IF(ISNUMBER(A727),IFERROR(_xlfn._xlws.FILTER(Equipar!A:A,(Equipar!B:B=6)*(Equipar!AC:AC=A727)),""),"")</f>
        <v/>
      </c>
    </row>
    <row r="728" spans="1:10" x14ac:dyDescent="0.25">
      <c r="A728" s="1" t="str">
        <f ca="1">IF(A727="ID",1,IF(ISBLANK(B728),"",MAX(A$2:A727)+1))</f>
        <v/>
      </c>
      <c r="I728" s="2" t="str">
        <f ca="1">IF(ISNUMBER(A728),
IF(COUNTIFS(Equipar!B:B,6,Equipar!AC:AC,A728),"Equipada",
IF(
 OR(COUNTIFS(Equipar!B:B,6,Equipar!C:C,A728)
 +COUNTIFS(Equipar!B:B,6,Equipar!D:D,A728)
+COUNTIFS(Equipar!B:B,6,Equipar!E:E,A728)
+COUNTIFS(Equipar!B:B,6,Equipar!F:F,A728)
&gt;0,COUNTIF('Set recomendado'!B:B,C728)=0),
"Bloqueada",
"Desechable")),""
)</f>
        <v/>
      </c>
      <c r="J728" t="str" cm="1">
        <f t="array" aca="1" ref="J728" ca="1">IF(ISNUMBER(A728),IFERROR(_xlfn._xlws.FILTER(Equipar!A:A,(Equipar!B:B=6)*(Equipar!AC:AC=A728)),""),"")</f>
        <v/>
      </c>
    </row>
    <row r="729" spans="1:10" x14ac:dyDescent="0.25">
      <c r="A729" s="1" t="str">
        <f ca="1">IF(A728="ID",1,IF(ISBLANK(B729),"",MAX(A$2:A728)+1))</f>
        <v/>
      </c>
      <c r="I729" s="2" t="str">
        <f ca="1">IF(ISNUMBER(A729),
IF(COUNTIFS(Equipar!B:B,6,Equipar!AC:AC,A729),"Equipada",
IF(
 OR(COUNTIFS(Equipar!B:B,6,Equipar!C:C,A729)
 +COUNTIFS(Equipar!B:B,6,Equipar!D:D,A729)
+COUNTIFS(Equipar!B:B,6,Equipar!E:E,A729)
+COUNTIFS(Equipar!B:B,6,Equipar!F:F,A729)
&gt;0,COUNTIF('Set recomendado'!B:B,C729)=0),
"Bloqueada",
"Desechable")),""
)</f>
        <v/>
      </c>
      <c r="J729" t="str" cm="1">
        <f t="array" aca="1" ref="J729" ca="1">IF(ISNUMBER(A729),IFERROR(_xlfn._xlws.FILTER(Equipar!A:A,(Equipar!B:B=6)*(Equipar!AC:AC=A729)),""),"")</f>
        <v/>
      </c>
    </row>
    <row r="730" spans="1:10" x14ac:dyDescent="0.25">
      <c r="A730" s="1" t="str">
        <f ca="1">IF(A729="ID",1,IF(ISBLANK(B730),"",MAX(A$2:A729)+1))</f>
        <v/>
      </c>
      <c r="I730" s="2" t="str">
        <f ca="1">IF(ISNUMBER(A730),
IF(COUNTIFS(Equipar!B:B,6,Equipar!AC:AC,A730),"Equipada",
IF(
 OR(COUNTIFS(Equipar!B:B,6,Equipar!C:C,A730)
 +COUNTIFS(Equipar!B:B,6,Equipar!D:D,A730)
+COUNTIFS(Equipar!B:B,6,Equipar!E:E,A730)
+COUNTIFS(Equipar!B:B,6,Equipar!F:F,A730)
&gt;0,COUNTIF('Set recomendado'!B:B,C730)=0),
"Bloqueada",
"Desechable")),""
)</f>
        <v/>
      </c>
      <c r="J730" t="str" cm="1">
        <f t="array" aca="1" ref="J730" ca="1">IF(ISNUMBER(A730),IFERROR(_xlfn._xlws.FILTER(Equipar!A:A,(Equipar!B:B=6)*(Equipar!AC:AC=A730)),""),"")</f>
        <v/>
      </c>
    </row>
    <row r="731" spans="1:10" x14ac:dyDescent="0.25">
      <c r="A731" s="1" t="str">
        <f ca="1">IF(A730="ID",1,IF(ISBLANK(B731),"",MAX(A$2:A730)+1))</f>
        <v/>
      </c>
      <c r="I731" s="2" t="str">
        <f ca="1">IF(ISNUMBER(A731),
IF(COUNTIFS(Equipar!B:B,6,Equipar!AC:AC,A731),"Equipada",
IF(
 OR(COUNTIFS(Equipar!B:B,6,Equipar!C:C,A731)
 +COUNTIFS(Equipar!B:B,6,Equipar!D:D,A731)
+COUNTIFS(Equipar!B:B,6,Equipar!E:E,A731)
+COUNTIFS(Equipar!B:B,6,Equipar!F:F,A731)
&gt;0,COUNTIF('Set recomendado'!B:B,C731)=0),
"Bloqueada",
"Desechable")),""
)</f>
        <v/>
      </c>
      <c r="J731" t="str" cm="1">
        <f t="array" aca="1" ref="J731" ca="1">IF(ISNUMBER(A731),IFERROR(_xlfn._xlws.FILTER(Equipar!A:A,(Equipar!B:B=6)*(Equipar!AC:AC=A731)),""),"")</f>
        <v/>
      </c>
    </row>
    <row r="732" spans="1:10" x14ac:dyDescent="0.25">
      <c r="A732" s="1" t="str">
        <f ca="1">IF(A731="ID",1,IF(ISBLANK(B732),"",MAX(A$2:A731)+1))</f>
        <v/>
      </c>
      <c r="I732" s="2" t="str">
        <f ca="1">IF(ISNUMBER(A732),
IF(COUNTIFS(Equipar!B:B,6,Equipar!AC:AC,A732),"Equipada",
IF(
 OR(COUNTIFS(Equipar!B:B,6,Equipar!C:C,A732)
 +COUNTIFS(Equipar!B:B,6,Equipar!D:D,A732)
+COUNTIFS(Equipar!B:B,6,Equipar!E:E,A732)
+COUNTIFS(Equipar!B:B,6,Equipar!F:F,A732)
&gt;0,COUNTIF('Set recomendado'!B:B,C732)=0),
"Bloqueada",
"Desechable")),""
)</f>
        <v/>
      </c>
      <c r="J732" t="str" cm="1">
        <f t="array" aca="1" ref="J732" ca="1">IF(ISNUMBER(A732),IFERROR(_xlfn._xlws.FILTER(Equipar!A:A,(Equipar!B:B=6)*(Equipar!AC:AC=A732)),""),"")</f>
        <v/>
      </c>
    </row>
    <row r="733" spans="1:10" x14ac:dyDescent="0.25">
      <c r="A733" s="1" t="str">
        <f ca="1">IF(A732="ID",1,IF(ISBLANK(B733),"",MAX(A$2:A732)+1))</f>
        <v/>
      </c>
      <c r="I733" s="2" t="str">
        <f ca="1">IF(ISNUMBER(A733),
IF(COUNTIFS(Equipar!B:B,6,Equipar!AC:AC,A733),"Equipada",
IF(
 OR(COUNTIFS(Equipar!B:B,6,Equipar!C:C,A733)
 +COUNTIFS(Equipar!B:B,6,Equipar!D:D,A733)
+COUNTIFS(Equipar!B:B,6,Equipar!E:E,A733)
+COUNTIFS(Equipar!B:B,6,Equipar!F:F,A733)
&gt;0,COUNTIF('Set recomendado'!B:B,C733)=0),
"Bloqueada",
"Desechable")),""
)</f>
        <v/>
      </c>
      <c r="J733" t="str" cm="1">
        <f t="array" aca="1" ref="J733" ca="1">IF(ISNUMBER(A733),IFERROR(_xlfn._xlws.FILTER(Equipar!A:A,(Equipar!B:B=6)*(Equipar!AC:AC=A733)),""),"")</f>
        <v/>
      </c>
    </row>
    <row r="734" spans="1:10" x14ac:dyDescent="0.25">
      <c r="A734" s="1" t="str">
        <f ca="1">IF(A733="ID",1,IF(ISBLANK(B734),"",MAX(A$2:A733)+1))</f>
        <v/>
      </c>
      <c r="I734" s="2" t="str">
        <f ca="1">IF(ISNUMBER(A734),
IF(COUNTIFS(Equipar!B:B,6,Equipar!AC:AC,A734),"Equipada",
IF(
 OR(COUNTIFS(Equipar!B:B,6,Equipar!C:C,A734)
 +COUNTIFS(Equipar!B:B,6,Equipar!D:D,A734)
+COUNTIFS(Equipar!B:B,6,Equipar!E:E,A734)
+COUNTIFS(Equipar!B:B,6,Equipar!F:F,A734)
&gt;0,COUNTIF('Set recomendado'!B:B,C734)=0),
"Bloqueada",
"Desechable")),""
)</f>
        <v/>
      </c>
      <c r="J734" t="str" cm="1">
        <f t="array" aca="1" ref="J734" ca="1">IF(ISNUMBER(A734),IFERROR(_xlfn._xlws.FILTER(Equipar!A:A,(Equipar!B:B=6)*(Equipar!AC:AC=A734)),""),"")</f>
        <v/>
      </c>
    </row>
    <row r="735" spans="1:10" x14ac:dyDescent="0.25">
      <c r="A735" s="1" t="str">
        <f ca="1">IF(A734="ID",1,IF(ISBLANK(B735),"",MAX(A$2:A734)+1))</f>
        <v/>
      </c>
      <c r="I735" s="2" t="str">
        <f ca="1">IF(ISNUMBER(A735),
IF(COUNTIFS(Equipar!B:B,6,Equipar!AC:AC,A735),"Equipada",
IF(
 OR(COUNTIFS(Equipar!B:B,6,Equipar!C:C,A735)
 +COUNTIFS(Equipar!B:B,6,Equipar!D:D,A735)
+COUNTIFS(Equipar!B:B,6,Equipar!E:E,A735)
+COUNTIFS(Equipar!B:B,6,Equipar!F:F,A735)
&gt;0,COUNTIF('Set recomendado'!B:B,C735)=0),
"Bloqueada",
"Desechable")),""
)</f>
        <v/>
      </c>
      <c r="J735" t="str" cm="1">
        <f t="array" aca="1" ref="J735" ca="1">IF(ISNUMBER(A735),IFERROR(_xlfn._xlws.FILTER(Equipar!A:A,(Equipar!B:B=6)*(Equipar!AC:AC=A735)),""),"")</f>
        <v/>
      </c>
    </row>
    <row r="736" spans="1:10" x14ac:dyDescent="0.25">
      <c r="A736" s="1" t="str">
        <f ca="1">IF(A735="ID",1,IF(ISBLANK(B736),"",MAX(A$2:A735)+1))</f>
        <v/>
      </c>
      <c r="I736" s="2" t="str">
        <f ca="1">IF(ISNUMBER(A736),
IF(COUNTIFS(Equipar!B:B,6,Equipar!AC:AC,A736),"Equipada",
IF(
 OR(COUNTIFS(Equipar!B:B,6,Equipar!C:C,A736)
 +COUNTIFS(Equipar!B:B,6,Equipar!D:D,A736)
+COUNTIFS(Equipar!B:B,6,Equipar!E:E,A736)
+COUNTIFS(Equipar!B:B,6,Equipar!F:F,A736)
&gt;0,COUNTIF('Set recomendado'!B:B,C736)=0),
"Bloqueada",
"Desechable")),""
)</f>
        <v/>
      </c>
      <c r="J736" t="str" cm="1">
        <f t="array" aca="1" ref="J736" ca="1">IF(ISNUMBER(A736),IFERROR(_xlfn._xlws.FILTER(Equipar!A:A,(Equipar!B:B=6)*(Equipar!AC:AC=A736)),""),"")</f>
        <v/>
      </c>
    </row>
    <row r="737" spans="1:10" x14ac:dyDescent="0.25">
      <c r="A737" s="1" t="str">
        <f ca="1">IF(A736="ID",1,IF(ISBLANK(B737),"",MAX(A$2:A736)+1))</f>
        <v/>
      </c>
      <c r="I737" s="2" t="str">
        <f ca="1">IF(ISNUMBER(A737),
IF(COUNTIFS(Equipar!B:B,6,Equipar!AC:AC,A737),"Equipada",
IF(
 OR(COUNTIFS(Equipar!B:B,6,Equipar!C:C,A737)
 +COUNTIFS(Equipar!B:B,6,Equipar!D:D,A737)
+COUNTIFS(Equipar!B:B,6,Equipar!E:E,A737)
+COUNTIFS(Equipar!B:B,6,Equipar!F:F,A737)
&gt;0,COUNTIF('Set recomendado'!B:B,C737)=0),
"Bloqueada",
"Desechable")),""
)</f>
        <v/>
      </c>
      <c r="J737" t="str" cm="1">
        <f t="array" aca="1" ref="J737" ca="1">IF(ISNUMBER(A737),IFERROR(_xlfn._xlws.FILTER(Equipar!A:A,(Equipar!B:B=6)*(Equipar!AC:AC=A737)),""),"")</f>
        <v/>
      </c>
    </row>
    <row r="738" spans="1:10" x14ac:dyDescent="0.25">
      <c r="A738" s="1" t="str">
        <f ca="1">IF(A737="ID",1,IF(ISBLANK(B738),"",MAX(A$2:A737)+1))</f>
        <v/>
      </c>
      <c r="I738" s="2" t="str">
        <f ca="1">IF(ISNUMBER(A738),
IF(COUNTIFS(Equipar!B:B,6,Equipar!AC:AC,A738),"Equipada",
IF(
 OR(COUNTIFS(Equipar!B:B,6,Equipar!C:C,A738)
 +COUNTIFS(Equipar!B:B,6,Equipar!D:D,A738)
+COUNTIFS(Equipar!B:B,6,Equipar!E:E,A738)
+COUNTIFS(Equipar!B:B,6,Equipar!F:F,A738)
&gt;0,COUNTIF('Set recomendado'!B:B,C738)=0),
"Bloqueada",
"Desechable")),""
)</f>
        <v/>
      </c>
      <c r="J738" t="str" cm="1">
        <f t="array" aca="1" ref="J738" ca="1">IF(ISNUMBER(A738),IFERROR(_xlfn._xlws.FILTER(Equipar!A:A,(Equipar!B:B=6)*(Equipar!AC:AC=A738)),""),"")</f>
        <v/>
      </c>
    </row>
    <row r="739" spans="1:10" x14ac:dyDescent="0.25">
      <c r="A739" s="1" t="str">
        <f ca="1">IF(A738="ID",1,IF(ISBLANK(B739),"",MAX(A$2:A738)+1))</f>
        <v/>
      </c>
      <c r="I739" s="2" t="str">
        <f ca="1">IF(ISNUMBER(A739),
IF(COUNTIFS(Equipar!B:B,6,Equipar!AC:AC,A739),"Equipada",
IF(
 OR(COUNTIFS(Equipar!B:B,6,Equipar!C:C,A739)
 +COUNTIFS(Equipar!B:B,6,Equipar!D:D,A739)
+COUNTIFS(Equipar!B:B,6,Equipar!E:E,A739)
+COUNTIFS(Equipar!B:B,6,Equipar!F:F,A739)
&gt;0,COUNTIF('Set recomendado'!B:B,C739)=0),
"Bloqueada",
"Desechable")),""
)</f>
        <v/>
      </c>
      <c r="J739" t="str" cm="1">
        <f t="array" aca="1" ref="J739" ca="1">IF(ISNUMBER(A739),IFERROR(_xlfn._xlws.FILTER(Equipar!A:A,(Equipar!B:B=6)*(Equipar!AC:AC=A739)),""),"")</f>
        <v/>
      </c>
    </row>
    <row r="740" spans="1:10" x14ac:dyDescent="0.25">
      <c r="A740" s="1" t="str">
        <f ca="1">IF(A739="ID",1,IF(ISBLANK(B740),"",MAX(A$2:A739)+1))</f>
        <v/>
      </c>
      <c r="I740" s="2" t="str">
        <f ca="1">IF(ISNUMBER(A740),
IF(COUNTIFS(Equipar!B:B,6,Equipar!AC:AC,A740),"Equipada",
IF(
 OR(COUNTIFS(Equipar!B:B,6,Equipar!C:C,A740)
 +COUNTIFS(Equipar!B:B,6,Equipar!D:D,A740)
+COUNTIFS(Equipar!B:B,6,Equipar!E:E,A740)
+COUNTIFS(Equipar!B:B,6,Equipar!F:F,A740)
&gt;0,COUNTIF('Set recomendado'!B:B,C740)=0),
"Bloqueada",
"Desechable")),""
)</f>
        <v/>
      </c>
      <c r="J740" t="str" cm="1">
        <f t="array" aca="1" ref="J740" ca="1">IF(ISNUMBER(A740),IFERROR(_xlfn._xlws.FILTER(Equipar!A:A,(Equipar!B:B=6)*(Equipar!AC:AC=A740)),""),"")</f>
        <v/>
      </c>
    </row>
    <row r="741" spans="1:10" x14ac:dyDescent="0.25">
      <c r="A741" s="1" t="str">
        <f ca="1">IF(A740="ID",1,IF(ISBLANK(B741),"",MAX(A$2:A740)+1))</f>
        <v/>
      </c>
      <c r="I741" s="2" t="str">
        <f ca="1">IF(ISNUMBER(A741),
IF(COUNTIFS(Equipar!B:B,6,Equipar!AC:AC,A741),"Equipada",
IF(
 OR(COUNTIFS(Equipar!B:B,6,Equipar!C:C,A741)
 +COUNTIFS(Equipar!B:B,6,Equipar!D:D,A741)
+COUNTIFS(Equipar!B:B,6,Equipar!E:E,A741)
+COUNTIFS(Equipar!B:B,6,Equipar!F:F,A741)
&gt;0,COUNTIF('Set recomendado'!B:B,C741)=0),
"Bloqueada",
"Desechable")),""
)</f>
        <v/>
      </c>
      <c r="J741" t="str" cm="1">
        <f t="array" aca="1" ref="J741" ca="1">IF(ISNUMBER(A741),IFERROR(_xlfn._xlws.FILTER(Equipar!A:A,(Equipar!B:B=6)*(Equipar!AC:AC=A741)),""),"")</f>
        <v/>
      </c>
    </row>
    <row r="742" spans="1:10" x14ac:dyDescent="0.25">
      <c r="A742" s="1" t="str">
        <f ca="1">IF(A741="ID",1,IF(ISBLANK(B742),"",MAX(A$2:A741)+1))</f>
        <v/>
      </c>
      <c r="I742" s="2" t="str">
        <f ca="1">IF(ISNUMBER(A742),
IF(COUNTIFS(Equipar!B:B,6,Equipar!AC:AC,A742),"Equipada",
IF(
 OR(COUNTIFS(Equipar!B:B,6,Equipar!C:C,A742)
 +COUNTIFS(Equipar!B:B,6,Equipar!D:D,A742)
+COUNTIFS(Equipar!B:B,6,Equipar!E:E,A742)
+COUNTIFS(Equipar!B:B,6,Equipar!F:F,A742)
&gt;0,COUNTIF('Set recomendado'!B:B,C742)=0),
"Bloqueada",
"Desechable")),""
)</f>
        <v/>
      </c>
      <c r="J742" t="str" cm="1">
        <f t="array" aca="1" ref="J742" ca="1">IF(ISNUMBER(A742),IFERROR(_xlfn._xlws.FILTER(Equipar!A:A,(Equipar!B:B=6)*(Equipar!AC:AC=A742)),""),"")</f>
        <v/>
      </c>
    </row>
    <row r="743" spans="1:10" x14ac:dyDescent="0.25">
      <c r="A743" s="1" t="str">
        <f ca="1">IF(A742="ID",1,IF(ISBLANK(B743),"",MAX(A$2:A742)+1))</f>
        <v/>
      </c>
      <c r="I743" s="2" t="str">
        <f ca="1">IF(ISNUMBER(A743),
IF(COUNTIFS(Equipar!B:B,6,Equipar!AC:AC,A743),"Equipada",
IF(
 OR(COUNTIFS(Equipar!B:B,6,Equipar!C:C,A743)
 +COUNTIFS(Equipar!B:B,6,Equipar!D:D,A743)
+COUNTIFS(Equipar!B:B,6,Equipar!E:E,A743)
+COUNTIFS(Equipar!B:B,6,Equipar!F:F,A743)
&gt;0,COUNTIF('Set recomendado'!B:B,C743)=0),
"Bloqueada",
"Desechable")),""
)</f>
        <v/>
      </c>
      <c r="J743" t="str" cm="1">
        <f t="array" aca="1" ref="J743" ca="1">IF(ISNUMBER(A743),IFERROR(_xlfn._xlws.FILTER(Equipar!A:A,(Equipar!B:B=6)*(Equipar!AC:AC=A743)),""),"")</f>
        <v/>
      </c>
    </row>
    <row r="744" spans="1:10" x14ac:dyDescent="0.25">
      <c r="A744" s="1" t="str">
        <f ca="1">IF(A743="ID",1,IF(ISBLANK(B744),"",MAX(A$2:A743)+1))</f>
        <v/>
      </c>
      <c r="I744" s="2" t="str">
        <f ca="1">IF(ISNUMBER(A744),
IF(COUNTIFS(Equipar!B:B,6,Equipar!AC:AC,A744),"Equipada",
IF(
 OR(COUNTIFS(Equipar!B:B,6,Equipar!C:C,A744)
 +COUNTIFS(Equipar!B:B,6,Equipar!D:D,A744)
+COUNTIFS(Equipar!B:B,6,Equipar!E:E,A744)
+COUNTIFS(Equipar!B:B,6,Equipar!F:F,A744)
&gt;0,COUNTIF('Set recomendado'!B:B,C744)=0),
"Bloqueada",
"Desechable")),""
)</f>
        <v/>
      </c>
      <c r="J744" t="str" cm="1">
        <f t="array" aca="1" ref="J744" ca="1">IF(ISNUMBER(A744),IFERROR(_xlfn._xlws.FILTER(Equipar!A:A,(Equipar!B:B=6)*(Equipar!AC:AC=A744)),""),"")</f>
        <v/>
      </c>
    </row>
    <row r="745" spans="1:10" x14ac:dyDescent="0.25">
      <c r="A745" s="1" t="str">
        <f ca="1">IF(A744="ID",1,IF(ISBLANK(B745),"",MAX(A$2:A744)+1))</f>
        <v/>
      </c>
      <c r="I745" s="2" t="str">
        <f ca="1">IF(ISNUMBER(A745),
IF(COUNTIFS(Equipar!B:B,6,Equipar!AC:AC,A745),"Equipada",
IF(
 OR(COUNTIFS(Equipar!B:B,6,Equipar!C:C,A745)
 +COUNTIFS(Equipar!B:B,6,Equipar!D:D,A745)
+COUNTIFS(Equipar!B:B,6,Equipar!E:E,A745)
+COUNTIFS(Equipar!B:B,6,Equipar!F:F,A745)
&gt;0,COUNTIF('Set recomendado'!B:B,C745)=0),
"Bloqueada",
"Desechable")),""
)</f>
        <v/>
      </c>
      <c r="J745" t="str" cm="1">
        <f t="array" aca="1" ref="J745" ca="1">IF(ISNUMBER(A745),IFERROR(_xlfn._xlws.FILTER(Equipar!A:A,(Equipar!B:B=6)*(Equipar!AC:AC=A745)),""),"")</f>
        <v/>
      </c>
    </row>
    <row r="746" spans="1:10" x14ac:dyDescent="0.25">
      <c r="A746" s="1" t="str">
        <f ca="1">IF(A745="ID",1,IF(ISBLANK(B746),"",MAX(A$2:A745)+1))</f>
        <v/>
      </c>
      <c r="I746" s="2" t="str">
        <f ca="1">IF(ISNUMBER(A746),
IF(COUNTIFS(Equipar!B:B,6,Equipar!AC:AC,A746),"Equipada",
IF(
 OR(COUNTIFS(Equipar!B:B,6,Equipar!C:C,A746)
 +COUNTIFS(Equipar!B:B,6,Equipar!D:D,A746)
+COUNTIFS(Equipar!B:B,6,Equipar!E:E,A746)
+COUNTIFS(Equipar!B:B,6,Equipar!F:F,A746)
&gt;0,COUNTIF('Set recomendado'!B:B,C746)=0),
"Bloqueada",
"Desechable")),""
)</f>
        <v/>
      </c>
      <c r="J746" t="str" cm="1">
        <f t="array" aca="1" ref="J746" ca="1">IF(ISNUMBER(A746),IFERROR(_xlfn._xlws.FILTER(Equipar!A:A,(Equipar!B:B=6)*(Equipar!AC:AC=A746)),""),"")</f>
        <v/>
      </c>
    </row>
    <row r="747" spans="1:10" x14ac:dyDescent="0.25">
      <c r="A747" s="1" t="str">
        <f ca="1">IF(A746="ID",1,IF(ISBLANK(B747),"",MAX(A$2:A746)+1))</f>
        <v/>
      </c>
      <c r="I747" s="2" t="str">
        <f ca="1">IF(ISNUMBER(A747),
IF(COUNTIFS(Equipar!B:B,6,Equipar!AC:AC,A747),"Equipada",
IF(
 OR(COUNTIFS(Equipar!B:B,6,Equipar!C:C,A747)
 +COUNTIFS(Equipar!B:B,6,Equipar!D:D,A747)
+COUNTIFS(Equipar!B:B,6,Equipar!E:E,A747)
+COUNTIFS(Equipar!B:B,6,Equipar!F:F,A747)
&gt;0,COUNTIF('Set recomendado'!B:B,C747)=0),
"Bloqueada",
"Desechable")),""
)</f>
        <v/>
      </c>
      <c r="J747" t="str" cm="1">
        <f t="array" aca="1" ref="J747" ca="1">IF(ISNUMBER(A747),IFERROR(_xlfn._xlws.FILTER(Equipar!A:A,(Equipar!B:B=6)*(Equipar!AC:AC=A747)),""),"")</f>
        <v/>
      </c>
    </row>
    <row r="748" spans="1:10" x14ac:dyDescent="0.25">
      <c r="A748" s="1" t="str">
        <f ca="1">IF(A747="ID",1,IF(ISBLANK(B748),"",MAX(A$2:A747)+1))</f>
        <v/>
      </c>
      <c r="I748" s="2" t="str">
        <f ca="1">IF(ISNUMBER(A748),
IF(COUNTIFS(Equipar!B:B,6,Equipar!AC:AC,A748),"Equipada",
IF(
 OR(COUNTIFS(Equipar!B:B,6,Equipar!C:C,A748)
 +COUNTIFS(Equipar!B:B,6,Equipar!D:D,A748)
+COUNTIFS(Equipar!B:B,6,Equipar!E:E,A748)
+COUNTIFS(Equipar!B:B,6,Equipar!F:F,A748)
&gt;0,COUNTIF('Set recomendado'!B:B,C748)=0),
"Bloqueada",
"Desechable")),""
)</f>
        <v/>
      </c>
      <c r="J748" t="str" cm="1">
        <f t="array" aca="1" ref="J748" ca="1">IF(ISNUMBER(A748),IFERROR(_xlfn._xlws.FILTER(Equipar!A:A,(Equipar!B:B=6)*(Equipar!AC:AC=A748)),""),"")</f>
        <v/>
      </c>
    </row>
    <row r="749" spans="1:10" x14ac:dyDescent="0.25">
      <c r="A749" s="1" t="str">
        <f ca="1">IF(A748="ID",1,IF(ISBLANK(B749),"",MAX(A$2:A748)+1))</f>
        <v/>
      </c>
      <c r="I749" s="2" t="str">
        <f ca="1">IF(ISNUMBER(A749),
IF(COUNTIFS(Equipar!B:B,6,Equipar!AC:AC,A749),"Equipada",
IF(
 OR(COUNTIFS(Equipar!B:B,6,Equipar!C:C,A749)
 +COUNTIFS(Equipar!B:B,6,Equipar!D:D,A749)
+COUNTIFS(Equipar!B:B,6,Equipar!E:E,A749)
+COUNTIFS(Equipar!B:B,6,Equipar!F:F,A749)
&gt;0,COUNTIF('Set recomendado'!B:B,C749)=0),
"Bloqueada",
"Desechable")),""
)</f>
        <v/>
      </c>
      <c r="J749" t="str" cm="1">
        <f t="array" aca="1" ref="J749" ca="1">IF(ISNUMBER(A749),IFERROR(_xlfn._xlws.FILTER(Equipar!A:A,(Equipar!B:B=6)*(Equipar!AC:AC=A749)),""),"")</f>
        <v/>
      </c>
    </row>
    <row r="750" spans="1:10" x14ac:dyDescent="0.25">
      <c r="A750" s="1" t="str">
        <f ca="1">IF(A749="ID",1,IF(ISBLANK(B750),"",MAX(A$2:A749)+1))</f>
        <v/>
      </c>
      <c r="I750" s="2" t="str">
        <f ca="1">IF(ISNUMBER(A750),
IF(COUNTIFS(Equipar!B:B,6,Equipar!AC:AC,A750),"Equipada",
IF(
 OR(COUNTIFS(Equipar!B:B,6,Equipar!C:C,A750)
 +COUNTIFS(Equipar!B:B,6,Equipar!D:D,A750)
+COUNTIFS(Equipar!B:B,6,Equipar!E:E,A750)
+COUNTIFS(Equipar!B:B,6,Equipar!F:F,A750)
&gt;0,COUNTIF('Set recomendado'!B:B,C750)=0),
"Bloqueada",
"Desechable")),""
)</f>
        <v/>
      </c>
      <c r="J750" t="str" cm="1">
        <f t="array" aca="1" ref="J750" ca="1">IF(ISNUMBER(A750),IFERROR(_xlfn._xlws.FILTER(Equipar!A:A,(Equipar!B:B=6)*(Equipar!AC:AC=A750)),""),"")</f>
        <v/>
      </c>
    </row>
    <row r="751" spans="1:10" x14ac:dyDescent="0.25">
      <c r="A751" s="1" t="str">
        <f ca="1">IF(A750="ID",1,IF(ISBLANK(B751),"",MAX(A$2:A750)+1))</f>
        <v/>
      </c>
      <c r="I751" s="2" t="str">
        <f ca="1">IF(ISNUMBER(A751),
IF(COUNTIFS(Equipar!B:B,6,Equipar!AC:AC,A751),"Equipada",
IF(
 OR(COUNTIFS(Equipar!B:B,6,Equipar!C:C,A751)
 +COUNTIFS(Equipar!B:B,6,Equipar!D:D,A751)
+COUNTIFS(Equipar!B:B,6,Equipar!E:E,A751)
+COUNTIFS(Equipar!B:B,6,Equipar!F:F,A751)
&gt;0,COUNTIF('Set recomendado'!B:B,C751)=0),
"Bloqueada",
"Desechable")),""
)</f>
        <v/>
      </c>
      <c r="J751" t="str" cm="1">
        <f t="array" aca="1" ref="J751" ca="1">IF(ISNUMBER(A751),IFERROR(_xlfn._xlws.FILTER(Equipar!A:A,(Equipar!B:B=6)*(Equipar!AC:AC=A751)),""),"")</f>
        <v/>
      </c>
    </row>
    <row r="752" spans="1:10" x14ac:dyDescent="0.25">
      <c r="A752" s="1" t="str">
        <f ca="1">IF(A751="ID",1,IF(ISBLANK(B752),"",MAX(A$2:A751)+1))</f>
        <v/>
      </c>
      <c r="I752" s="2" t="str">
        <f ca="1">IF(ISNUMBER(A752),
IF(COUNTIFS(Equipar!B:B,6,Equipar!AC:AC,A752),"Equipada",
IF(
 OR(COUNTIFS(Equipar!B:B,6,Equipar!C:C,A752)
 +COUNTIFS(Equipar!B:B,6,Equipar!D:D,A752)
+COUNTIFS(Equipar!B:B,6,Equipar!E:E,A752)
+COUNTIFS(Equipar!B:B,6,Equipar!F:F,A752)
&gt;0,COUNTIF('Set recomendado'!B:B,C752)=0),
"Bloqueada",
"Desechable")),""
)</f>
        <v/>
      </c>
      <c r="J752" t="str" cm="1">
        <f t="array" aca="1" ref="J752" ca="1">IF(ISNUMBER(A752),IFERROR(_xlfn._xlws.FILTER(Equipar!A:A,(Equipar!B:B=6)*(Equipar!AC:AC=A752)),""),"")</f>
        <v/>
      </c>
    </row>
    <row r="753" spans="1:10" x14ac:dyDescent="0.25">
      <c r="A753" s="1" t="str">
        <f ca="1">IF(A752="ID",1,IF(ISBLANK(B753),"",MAX(A$2:A752)+1))</f>
        <v/>
      </c>
      <c r="I753" s="2" t="str">
        <f ca="1">IF(ISNUMBER(A753),
IF(COUNTIFS(Equipar!B:B,6,Equipar!AC:AC,A753),"Equipada",
IF(
 OR(COUNTIFS(Equipar!B:B,6,Equipar!C:C,A753)
 +COUNTIFS(Equipar!B:B,6,Equipar!D:D,A753)
+COUNTIFS(Equipar!B:B,6,Equipar!E:E,A753)
+COUNTIFS(Equipar!B:B,6,Equipar!F:F,A753)
&gt;0,COUNTIF('Set recomendado'!B:B,C753)=0),
"Bloqueada",
"Desechable")),""
)</f>
        <v/>
      </c>
      <c r="J753" t="str" cm="1">
        <f t="array" aca="1" ref="J753" ca="1">IF(ISNUMBER(A753),IFERROR(_xlfn._xlws.FILTER(Equipar!A:A,(Equipar!B:B=6)*(Equipar!AC:AC=A753)),""),"")</f>
        <v/>
      </c>
    </row>
    <row r="754" spans="1:10" x14ac:dyDescent="0.25">
      <c r="A754" s="1" t="str">
        <f ca="1">IF(A753="ID",1,IF(ISBLANK(B754),"",MAX(A$2:A753)+1))</f>
        <v/>
      </c>
      <c r="I754" s="2" t="str">
        <f ca="1">IF(ISNUMBER(A754),
IF(COUNTIFS(Equipar!B:B,6,Equipar!AC:AC,A754),"Equipada",
IF(
 OR(COUNTIFS(Equipar!B:B,6,Equipar!C:C,A754)
 +COUNTIFS(Equipar!B:B,6,Equipar!D:D,A754)
+COUNTIFS(Equipar!B:B,6,Equipar!E:E,A754)
+COUNTIFS(Equipar!B:B,6,Equipar!F:F,A754)
&gt;0,COUNTIF('Set recomendado'!B:B,C754)=0),
"Bloqueada",
"Desechable")),""
)</f>
        <v/>
      </c>
      <c r="J754" t="str" cm="1">
        <f t="array" aca="1" ref="J754" ca="1">IF(ISNUMBER(A754),IFERROR(_xlfn._xlws.FILTER(Equipar!A:A,(Equipar!B:B=6)*(Equipar!AC:AC=A754)),""),"")</f>
        <v/>
      </c>
    </row>
    <row r="755" spans="1:10" x14ac:dyDescent="0.25">
      <c r="A755" s="1" t="str">
        <f ca="1">IF(A754="ID",1,IF(ISBLANK(B755),"",MAX(A$2:A754)+1))</f>
        <v/>
      </c>
      <c r="I755" s="2" t="str">
        <f ca="1">IF(ISNUMBER(A755),
IF(COUNTIFS(Equipar!B:B,6,Equipar!AC:AC,A755),"Equipada",
IF(
 OR(COUNTIFS(Equipar!B:B,6,Equipar!C:C,A755)
 +COUNTIFS(Equipar!B:B,6,Equipar!D:D,A755)
+COUNTIFS(Equipar!B:B,6,Equipar!E:E,A755)
+COUNTIFS(Equipar!B:B,6,Equipar!F:F,A755)
&gt;0,COUNTIF('Set recomendado'!B:B,C755)=0),
"Bloqueada",
"Desechable")),""
)</f>
        <v/>
      </c>
      <c r="J755" t="str" cm="1">
        <f t="array" aca="1" ref="J755" ca="1">IF(ISNUMBER(A755),IFERROR(_xlfn._xlws.FILTER(Equipar!A:A,(Equipar!B:B=6)*(Equipar!AC:AC=A755)),""),"")</f>
        <v/>
      </c>
    </row>
    <row r="756" spans="1:10" x14ac:dyDescent="0.25">
      <c r="A756" s="1" t="str">
        <f ca="1">IF(A755="ID",1,IF(ISBLANK(B756),"",MAX(A$2:A755)+1))</f>
        <v/>
      </c>
      <c r="I756" s="2" t="str">
        <f ca="1">IF(ISNUMBER(A756),
IF(COUNTIFS(Equipar!B:B,6,Equipar!AC:AC,A756),"Equipada",
IF(
 OR(COUNTIFS(Equipar!B:B,6,Equipar!C:C,A756)
 +COUNTIFS(Equipar!B:B,6,Equipar!D:D,A756)
+COUNTIFS(Equipar!B:B,6,Equipar!E:E,A756)
+COUNTIFS(Equipar!B:B,6,Equipar!F:F,A756)
&gt;0,COUNTIF('Set recomendado'!B:B,C756)=0),
"Bloqueada",
"Desechable")),""
)</f>
        <v/>
      </c>
      <c r="J756" t="str" cm="1">
        <f t="array" aca="1" ref="J756" ca="1">IF(ISNUMBER(A756),IFERROR(_xlfn._xlws.FILTER(Equipar!A:A,(Equipar!B:B=6)*(Equipar!AC:AC=A756)),""),"")</f>
        <v/>
      </c>
    </row>
    <row r="757" spans="1:10" x14ac:dyDescent="0.25">
      <c r="A757" s="1" t="str">
        <f ca="1">IF(A756="ID",1,IF(ISBLANK(B757),"",MAX(A$2:A756)+1))</f>
        <v/>
      </c>
      <c r="I757" s="2" t="str">
        <f ca="1">IF(ISNUMBER(A757),
IF(COUNTIFS(Equipar!B:B,6,Equipar!AC:AC,A757),"Equipada",
IF(
 OR(COUNTIFS(Equipar!B:B,6,Equipar!C:C,A757)
 +COUNTIFS(Equipar!B:B,6,Equipar!D:D,A757)
+COUNTIFS(Equipar!B:B,6,Equipar!E:E,A757)
+COUNTIFS(Equipar!B:B,6,Equipar!F:F,A757)
&gt;0,COUNTIF('Set recomendado'!B:B,C757)=0),
"Bloqueada",
"Desechable")),""
)</f>
        <v/>
      </c>
      <c r="J757" t="str" cm="1">
        <f t="array" aca="1" ref="J757" ca="1">IF(ISNUMBER(A757),IFERROR(_xlfn._xlws.FILTER(Equipar!A:A,(Equipar!B:B=6)*(Equipar!AC:AC=A757)),""),"")</f>
        <v/>
      </c>
    </row>
    <row r="758" spans="1:10" x14ac:dyDescent="0.25">
      <c r="A758" s="1" t="str">
        <f ca="1">IF(A757="ID",1,IF(ISBLANK(B758),"",MAX(A$2:A757)+1))</f>
        <v/>
      </c>
      <c r="I758" s="2" t="str">
        <f ca="1">IF(ISNUMBER(A758),
IF(COUNTIFS(Equipar!B:B,6,Equipar!AC:AC,A758),"Equipada",
IF(
 OR(COUNTIFS(Equipar!B:B,6,Equipar!C:C,A758)
 +COUNTIFS(Equipar!B:B,6,Equipar!D:D,A758)
+COUNTIFS(Equipar!B:B,6,Equipar!E:E,A758)
+COUNTIFS(Equipar!B:B,6,Equipar!F:F,A758)
&gt;0,COUNTIF('Set recomendado'!B:B,C758)=0),
"Bloqueada",
"Desechable")),""
)</f>
        <v/>
      </c>
      <c r="J758" t="str" cm="1">
        <f t="array" aca="1" ref="J758" ca="1">IF(ISNUMBER(A758),IFERROR(_xlfn._xlws.FILTER(Equipar!A:A,(Equipar!B:B=6)*(Equipar!AC:AC=A758)),""),"")</f>
        <v/>
      </c>
    </row>
    <row r="759" spans="1:10" x14ac:dyDescent="0.25">
      <c r="A759" s="1" t="str">
        <f ca="1">IF(A758="ID",1,IF(ISBLANK(B759),"",MAX(A$2:A758)+1))</f>
        <v/>
      </c>
      <c r="I759" s="2" t="str">
        <f ca="1">IF(ISNUMBER(A759),
IF(COUNTIFS(Equipar!B:B,6,Equipar!AC:AC,A759),"Equipada",
IF(
 OR(COUNTIFS(Equipar!B:B,6,Equipar!C:C,A759)
 +COUNTIFS(Equipar!B:B,6,Equipar!D:D,A759)
+COUNTIFS(Equipar!B:B,6,Equipar!E:E,A759)
+COUNTIFS(Equipar!B:B,6,Equipar!F:F,A759)
&gt;0,COUNTIF('Set recomendado'!B:B,C759)=0),
"Bloqueada",
"Desechable")),""
)</f>
        <v/>
      </c>
      <c r="J759" t="str" cm="1">
        <f t="array" aca="1" ref="J759" ca="1">IF(ISNUMBER(A759),IFERROR(_xlfn._xlws.FILTER(Equipar!A:A,(Equipar!B:B=6)*(Equipar!AC:AC=A759)),""),"")</f>
        <v/>
      </c>
    </row>
    <row r="760" spans="1:10" x14ac:dyDescent="0.25">
      <c r="A760" s="1" t="str">
        <f ca="1">IF(A759="ID",1,IF(ISBLANK(B760),"",MAX(A$2:A759)+1))</f>
        <v/>
      </c>
      <c r="I760" s="2" t="str">
        <f ca="1">IF(ISNUMBER(A760),
IF(COUNTIFS(Equipar!B:B,6,Equipar!AC:AC,A760),"Equipada",
IF(
 OR(COUNTIFS(Equipar!B:B,6,Equipar!C:C,A760)
 +COUNTIFS(Equipar!B:B,6,Equipar!D:D,A760)
+COUNTIFS(Equipar!B:B,6,Equipar!E:E,A760)
+COUNTIFS(Equipar!B:B,6,Equipar!F:F,A760)
&gt;0,COUNTIF('Set recomendado'!B:B,C760)=0),
"Bloqueada",
"Desechable")),""
)</f>
        <v/>
      </c>
      <c r="J760" t="str" cm="1">
        <f t="array" aca="1" ref="J760" ca="1">IF(ISNUMBER(A760),IFERROR(_xlfn._xlws.FILTER(Equipar!A:A,(Equipar!B:B=6)*(Equipar!AC:AC=A760)),""),"")</f>
        <v/>
      </c>
    </row>
    <row r="761" spans="1:10" x14ac:dyDescent="0.25">
      <c r="A761" s="1" t="str">
        <f ca="1">IF(A760="ID",1,IF(ISBLANK(B761),"",MAX(A$2:A760)+1))</f>
        <v/>
      </c>
      <c r="I761" s="2" t="str">
        <f ca="1">IF(ISNUMBER(A761),
IF(COUNTIFS(Equipar!B:B,6,Equipar!AC:AC,A761),"Equipada",
IF(
 OR(COUNTIFS(Equipar!B:B,6,Equipar!C:C,A761)
 +COUNTIFS(Equipar!B:B,6,Equipar!D:D,A761)
+COUNTIFS(Equipar!B:B,6,Equipar!E:E,A761)
+COUNTIFS(Equipar!B:B,6,Equipar!F:F,A761)
&gt;0,COUNTIF('Set recomendado'!B:B,C761)=0),
"Bloqueada",
"Desechable")),""
)</f>
        <v/>
      </c>
      <c r="J761" t="str" cm="1">
        <f t="array" aca="1" ref="J761" ca="1">IF(ISNUMBER(A761),IFERROR(_xlfn._xlws.FILTER(Equipar!A:A,(Equipar!B:B=6)*(Equipar!AC:AC=A761)),""),"")</f>
        <v/>
      </c>
    </row>
    <row r="762" spans="1:10" x14ac:dyDescent="0.25">
      <c r="A762" s="1" t="str">
        <f ca="1">IF(A761="ID",1,IF(ISBLANK(B762),"",MAX(A$2:A761)+1))</f>
        <v/>
      </c>
      <c r="I762" s="2" t="str">
        <f ca="1">IF(ISNUMBER(A762),
IF(COUNTIFS(Equipar!B:B,6,Equipar!AC:AC,A762),"Equipada",
IF(
 OR(COUNTIFS(Equipar!B:B,6,Equipar!C:C,A762)
 +COUNTIFS(Equipar!B:B,6,Equipar!D:D,A762)
+COUNTIFS(Equipar!B:B,6,Equipar!E:E,A762)
+COUNTIFS(Equipar!B:B,6,Equipar!F:F,A762)
&gt;0,COUNTIF('Set recomendado'!B:B,C762)=0),
"Bloqueada",
"Desechable")),""
)</f>
        <v/>
      </c>
      <c r="J762" t="str" cm="1">
        <f t="array" aca="1" ref="J762" ca="1">IF(ISNUMBER(A762),IFERROR(_xlfn._xlws.FILTER(Equipar!A:A,(Equipar!B:B=6)*(Equipar!AC:AC=A762)),""),"")</f>
        <v/>
      </c>
    </row>
    <row r="763" spans="1:10" x14ac:dyDescent="0.25">
      <c r="A763" s="1" t="str">
        <f ca="1">IF(A762="ID",1,IF(ISBLANK(B763),"",MAX(A$2:A762)+1))</f>
        <v/>
      </c>
      <c r="I763" s="2" t="str">
        <f ca="1">IF(ISNUMBER(A763),
IF(COUNTIFS(Equipar!B:B,6,Equipar!AC:AC,A763),"Equipada",
IF(
 OR(COUNTIFS(Equipar!B:B,6,Equipar!C:C,A763)
 +COUNTIFS(Equipar!B:B,6,Equipar!D:D,A763)
+COUNTIFS(Equipar!B:B,6,Equipar!E:E,A763)
+COUNTIFS(Equipar!B:B,6,Equipar!F:F,A763)
&gt;0,COUNTIF('Set recomendado'!B:B,C763)=0),
"Bloqueada",
"Desechable")),""
)</f>
        <v/>
      </c>
      <c r="J763" t="str" cm="1">
        <f t="array" aca="1" ref="J763" ca="1">IF(ISNUMBER(A763),IFERROR(_xlfn._xlws.FILTER(Equipar!A:A,(Equipar!B:B=6)*(Equipar!AC:AC=A763)),""),"")</f>
        <v/>
      </c>
    </row>
    <row r="764" spans="1:10" x14ac:dyDescent="0.25">
      <c r="A764" s="1" t="str">
        <f ca="1">IF(A763="ID",1,IF(ISBLANK(B764),"",MAX(A$2:A763)+1))</f>
        <v/>
      </c>
      <c r="I764" s="2" t="str">
        <f ca="1">IF(ISNUMBER(A764),
IF(COUNTIFS(Equipar!B:B,6,Equipar!AC:AC,A764),"Equipada",
IF(
 OR(COUNTIFS(Equipar!B:B,6,Equipar!C:C,A764)
 +COUNTIFS(Equipar!B:B,6,Equipar!D:D,A764)
+COUNTIFS(Equipar!B:B,6,Equipar!E:E,A764)
+COUNTIFS(Equipar!B:B,6,Equipar!F:F,A764)
&gt;0,COUNTIF('Set recomendado'!B:B,C764)=0),
"Bloqueada",
"Desechable")),""
)</f>
        <v/>
      </c>
      <c r="J764" t="str" cm="1">
        <f t="array" aca="1" ref="J764" ca="1">IF(ISNUMBER(A764),IFERROR(_xlfn._xlws.FILTER(Equipar!A:A,(Equipar!B:B=6)*(Equipar!AC:AC=A764)),""),"")</f>
        <v/>
      </c>
    </row>
    <row r="765" spans="1:10" x14ac:dyDescent="0.25">
      <c r="A765" s="1" t="str">
        <f ca="1">IF(A764="ID",1,IF(ISBLANK(B765),"",MAX(A$2:A764)+1))</f>
        <v/>
      </c>
      <c r="I765" s="2" t="str">
        <f ca="1">IF(ISNUMBER(A765),
IF(COUNTIFS(Equipar!B:B,6,Equipar!AC:AC,A765),"Equipada",
IF(
 OR(COUNTIFS(Equipar!B:B,6,Equipar!C:C,A765)
 +COUNTIFS(Equipar!B:B,6,Equipar!D:D,A765)
+COUNTIFS(Equipar!B:B,6,Equipar!E:E,A765)
+COUNTIFS(Equipar!B:B,6,Equipar!F:F,A765)
&gt;0,COUNTIF('Set recomendado'!B:B,C765)=0),
"Bloqueada",
"Desechable")),""
)</f>
        <v/>
      </c>
      <c r="J765" t="str" cm="1">
        <f t="array" aca="1" ref="J765" ca="1">IF(ISNUMBER(A765),IFERROR(_xlfn._xlws.FILTER(Equipar!A:A,(Equipar!B:B=6)*(Equipar!AC:AC=A765)),""),"")</f>
        <v/>
      </c>
    </row>
    <row r="766" spans="1:10" x14ac:dyDescent="0.25">
      <c r="A766" s="1" t="str">
        <f ca="1">IF(A765="ID",1,IF(ISBLANK(B766),"",MAX(A$2:A765)+1))</f>
        <v/>
      </c>
      <c r="I766" s="2" t="str">
        <f ca="1">IF(ISNUMBER(A766),
IF(COUNTIFS(Equipar!B:B,6,Equipar!AC:AC,A766),"Equipada",
IF(
 OR(COUNTIFS(Equipar!B:B,6,Equipar!C:C,A766)
 +COUNTIFS(Equipar!B:B,6,Equipar!D:D,A766)
+COUNTIFS(Equipar!B:B,6,Equipar!E:E,A766)
+COUNTIFS(Equipar!B:B,6,Equipar!F:F,A766)
&gt;0,COUNTIF('Set recomendado'!B:B,C766)=0),
"Bloqueada",
"Desechable")),""
)</f>
        <v/>
      </c>
      <c r="J766" t="str" cm="1">
        <f t="array" aca="1" ref="J766" ca="1">IF(ISNUMBER(A766),IFERROR(_xlfn._xlws.FILTER(Equipar!A:A,(Equipar!B:B=6)*(Equipar!AC:AC=A766)),""),"")</f>
        <v/>
      </c>
    </row>
    <row r="767" spans="1:10" x14ac:dyDescent="0.25">
      <c r="A767" s="1" t="str">
        <f ca="1">IF(A766="ID",1,IF(ISBLANK(B767),"",MAX(A$2:A766)+1))</f>
        <v/>
      </c>
      <c r="I767" s="2" t="str">
        <f ca="1">IF(ISNUMBER(A767),
IF(COUNTIFS(Equipar!B:B,6,Equipar!AC:AC,A767),"Equipada",
IF(
 OR(COUNTIFS(Equipar!B:B,6,Equipar!C:C,A767)
 +COUNTIFS(Equipar!B:B,6,Equipar!D:D,A767)
+COUNTIFS(Equipar!B:B,6,Equipar!E:E,A767)
+COUNTIFS(Equipar!B:B,6,Equipar!F:F,A767)
&gt;0,COUNTIF('Set recomendado'!B:B,C767)=0),
"Bloqueada",
"Desechable")),""
)</f>
        <v/>
      </c>
      <c r="J767" t="str" cm="1">
        <f t="array" aca="1" ref="J767" ca="1">IF(ISNUMBER(A767),IFERROR(_xlfn._xlws.FILTER(Equipar!A:A,(Equipar!B:B=6)*(Equipar!AC:AC=A767)),""),"")</f>
        <v/>
      </c>
    </row>
    <row r="768" spans="1:10" x14ac:dyDescent="0.25">
      <c r="A768" s="1" t="str">
        <f ca="1">IF(A767="ID",1,IF(ISBLANK(B768),"",MAX(A$2:A767)+1))</f>
        <v/>
      </c>
      <c r="I768" s="2" t="str">
        <f ca="1">IF(ISNUMBER(A768),
IF(COUNTIFS(Equipar!B:B,6,Equipar!AC:AC,A768),"Equipada",
IF(
 OR(COUNTIFS(Equipar!B:B,6,Equipar!C:C,A768)
 +COUNTIFS(Equipar!B:B,6,Equipar!D:D,A768)
+COUNTIFS(Equipar!B:B,6,Equipar!E:E,A768)
+COUNTIFS(Equipar!B:B,6,Equipar!F:F,A768)
&gt;0,COUNTIF('Set recomendado'!B:B,C768)=0),
"Bloqueada",
"Desechable")),""
)</f>
        <v/>
      </c>
      <c r="J768" t="str" cm="1">
        <f t="array" aca="1" ref="J768" ca="1">IF(ISNUMBER(A768),IFERROR(_xlfn._xlws.FILTER(Equipar!A:A,(Equipar!B:B=6)*(Equipar!AC:AC=A768)),""),"")</f>
        <v/>
      </c>
    </row>
    <row r="769" spans="1:10" x14ac:dyDescent="0.25">
      <c r="A769" s="1" t="str">
        <f ca="1">IF(A768="ID",1,IF(ISBLANK(B769),"",MAX(A$2:A768)+1))</f>
        <v/>
      </c>
      <c r="I769" s="2" t="str">
        <f ca="1">IF(ISNUMBER(A769),
IF(COUNTIFS(Equipar!B:B,6,Equipar!AC:AC,A769),"Equipada",
IF(
 OR(COUNTIFS(Equipar!B:B,6,Equipar!C:C,A769)
 +COUNTIFS(Equipar!B:B,6,Equipar!D:D,A769)
+COUNTIFS(Equipar!B:B,6,Equipar!E:E,A769)
+COUNTIFS(Equipar!B:B,6,Equipar!F:F,A769)
&gt;0,COUNTIF('Set recomendado'!B:B,C769)=0),
"Bloqueada",
"Desechable")),""
)</f>
        <v/>
      </c>
      <c r="J769" t="str" cm="1">
        <f t="array" aca="1" ref="J769" ca="1">IF(ISNUMBER(A769),IFERROR(_xlfn._xlws.FILTER(Equipar!A:A,(Equipar!B:B=6)*(Equipar!AC:AC=A769)),""),"")</f>
        <v/>
      </c>
    </row>
    <row r="770" spans="1:10" x14ac:dyDescent="0.25">
      <c r="A770" s="1" t="str">
        <f ca="1">IF(A769="ID",1,IF(ISBLANK(B770),"",MAX(A$2:A769)+1))</f>
        <v/>
      </c>
      <c r="I770" s="2" t="str">
        <f ca="1">IF(ISNUMBER(A770),
IF(COUNTIFS(Equipar!B:B,6,Equipar!AC:AC,A770),"Equipada",
IF(
 OR(COUNTIFS(Equipar!B:B,6,Equipar!C:C,A770)
 +COUNTIFS(Equipar!B:B,6,Equipar!D:D,A770)
+COUNTIFS(Equipar!B:B,6,Equipar!E:E,A770)
+COUNTIFS(Equipar!B:B,6,Equipar!F:F,A770)
&gt;0,COUNTIF('Set recomendado'!B:B,C770)=0),
"Bloqueada",
"Desechable")),""
)</f>
        <v/>
      </c>
      <c r="J770" t="str" cm="1">
        <f t="array" aca="1" ref="J770" ca="1">IF(ISNUMBER(A770),IFERROR(_xlfn._xlws.FILTER(Equipar!A:A,(Equipar!B:B=6)*(Equipar!AC:AC=A770)),""),"")</f>
        <v/>
      </c>
    </row>
    <row r="771" spans="1:10" x14ac:dyDescent="0.25">
      <c r="A771" s="1" t="str">
        <f ca="1">IF(A770="ID",1,IF(ISBLANK(B771),"",MAX(A$2:A770)+1))</f>
        <v/>
      </c>
      <c r="I771" s="2" t="str">
        <f ca="1">IF(ISNUMBER(A771),
IF(COUNTIFS(Equipar!B:B,6,Equipar!AC:AC,A771),"Equipada",
IF(
 OR(COUNTIFS(Equipar!B:B,6,Equipar!C:C,A771)
 +COUNTIFS(Equipar!B:B,6,Equipar!D:D,A771)
+COUNTIFS(Equipar!B:B,6,Equipar!E:E,A771)
+COUNTIFS(Equipar!B:B,6,Equipar!F:F,A771)
&gt;0,COUNTIF('Set recomendado'!B:B,C771)=0),
"Bloqueada",
"Desechable")),""
)</f>
        <v/>
      </c>
      <c r="J771" t="str" cm="1">
        <f t="array" aca="1" ref="J771" ca="1">IF(ISNUMBER(A771),IFERROR(_xlfn._xlws.FILTER(Equipar!A:A,(Equipar!B:B=6)*(Equipar!AC:AC=A771)),""),"")</f>
        <v/>
      </c>
    </row>
    <row r="772" spans="1:10" x14ac:dyDescent="0.25">
      <c r="A772" s="1" t="str">
        <f ca="1">IF(A771="ID",1,IF(ISBLANK(B772),"",MAX(A$2:A771)+1))</f>
        <v/>
      </c>
      <c r="I772" s="2" t="str">
        <f ca="1">IF(ISNUMBER(A772),
IF(COUNTIFS(Equipar!B:B,6,Equipar!AC:AC,A772),"Equipada",
IF(
 OR(COUNTIFS(Equipar!B:B,6,Equipar!C:C,A772)
 +COUNTIFS(Equipar!B:B,6,Equipar!D:D,A772)
+COUNTIFS(Equipar!B:B,6,Equipar!E:E,A772)
+COUNTIFS(Equipar!B:B,6,Equipar!F:F,A772)
&gt;0,COUNTIF('Set recomendado'!B:B,C772)=0),
"Bloqueada",
"Desechable")),""
)</f>
        <v/>
      </c>
      <c r="J772" t="str" cm="1">
        <f t="array" aca="1" ref="J772" ca="1">IF(ISNUMBER(A772),IFERROR(_xlfn._xlws.FILTER(Equipar!A:A,(Equipar!B:B=6)*(Equipar!AC:AC=A772)),""),"")</f>
        <v/>
      </c>
    </row>
    <row r="773" spans="1:10" x14ac:dyDescent="0.25">
      <c r="A773" s="1" t="str">
        <f ca="1">IF(A772="ID",1,IF(ISBLANK(B773),"",MAX(A$2:A772)+1))</f>
        <v/>
      </c>
      <c r="I773" s="2" t="str">
        <f ca="1">IF(ISNUMBER(A773),
IF(COUNTIFS(Equipar!B:B,6,Equipar!AC:AC,A773),"Equipada",
IF(
 OR(COUNTIFS(Equipar!B:B,6,Equipar!C:C,A773)
 +COUNTIFS(Equipar!B:B,6,Equipar!D:D,A773)
+COUNTIFS(Equipar!B:B,6,Equipar!E:E,A773)
+COUNTIFS(Equipar!B:B,6,Equipar!F:F,A773)
&gt;0,COUNTIF('Set recomendado'!B:B,C773)=0),
"Bloqueada",
"Desechable")),""
)</f>
        <v/>
      </c>
      <c r="J773" t="str" cm="1">
        <f t="array" aca="1" ref="J773" ca="1">IF(ISNUMBER(A773),IFERROR(_xlfn._xlws.FILTER(Equipar!A:A,(Equipar!B:B=6)*(Equipar!AC:AC=A773)),""),"")</f>
        <v/>
      </c>
    </row>
    <row r="774" spans="1:10" x14ac:dyDescent="0.25">
      <c r="A774" s="1" t="str">
        <f ca="1">IF(A773="ID",1,IF(ISBLANK(B774),"",MAX(A$2:A773)+1))</f>
        <v/>
      </c>
      <c r="I774" s="2" t="str">
        <f ca="1">IF(ISNUMBER(A774),
IF(COUNTIFS(Equipar!B:B,6,Equipar!AC:AC,A774),"Equipada",
IF(
 OR(COUNTIFS(Equipar!B:B,6,Equipar!C:C,A774)
 +COUNTIFS(Equipar!B:B,6,Equipar!D:D,A774)
+COUNTIFS(Equipar!B:B,6,Equipar!E:E,A774)
+COUNTIFS(Equipar!B:B,6,Equipar!F:F,A774)
&gt;0,COUNTIF('Set recomendado'!B:B,C774)=0),
"Bloqueada",
"Desechable")),""
)</f>
        <v/>
      </c>
      <c r="J774" t="str" cm="1">
        <f t="array" aca="1" ref="J774" ca="1">IF(ISNUMBER(A774),IFERROR(_xlfn._xlws.FILTER(Equipar!A:A,(Equipar!B:B=6)*(Equipar!AC:AC=A774)),""),"")</f>
        <v/>
      </c>
    </row>
    <row r="775" spans="1:10" x14ac:dyDescent="0.25">
      <c r="A775" s="1" t="str">
        <f ca="1">IF(A774="ID",1,IF(ISBLANK(B775),"",MAX(A$2:A774)+1))</f>
        <v/>
      </c>
      <c r="I775" s="2" t="str">
        <f ca="1">IF(ISNUMBER(A775),
IF(COUNTIFS(Equipar!B:B,6,Equipar!AC:AC,A775),"Equipada",
IF(
 OR(COUNTIFS(Equipar!B:B,6,Equipar!C:C,A775)
 +COUNTIFS(Equipar!B:B,6,Equipar!D:D,A775)
+COUNTIFS(Equipar!B:B,6,Equipar!E:E,A775)
+COUNTIFS(Equipar!B:B,6,Equipar!F:F,A775)
&gt;0,COUNTIF('Set recomendado'!B:B,C775)=0),
"Bloqueada",
"Desechable")),""
)</f>
        <v/>
      </c>
      <c r="J775" t="str" cm="1">
        <f t="array" aca="1" ref="J775" ca="1">IF(ISNUMBER(A775),IFERROR(_xlfn._xlws.FILTER(Equipar!A:A,(Equipar!B:B=6)*(Equipar!AC:AC=A775)),""),"")</f>
        <v/>
      </c>
    </row>
    <row r="776" spans="1:10" x14ac:dyDescent="0.25">
      <c r="A776" s="1" t="str">
        <f ca="1">IF(A775="ID",1,IF(ISBLANK(B776),"",MAX(A$2:A775)+1))</f>
        <v/>
      </c>
      <c r="I776" s="2" t="str">
        <f ca="1">IF(ISNUMBER(A776),
IF(COUNTIFS(Equipar!B:B,6,Equipar!AC:AC,A776),"Equipada",
IF(
 OR(COUNTIFS(Equipar!B:B,6,Equipar!C:C,A776)
 +COUNTIFS(Equipar!B:B,6,Equipar!D:D,A776)
+COUNTIFS(Equipar!B:B,6,Equipar!E:E,A776)
+COUNTIFS(Equipar!B:B,6,Equipar!F:F,A776)
&gt;0,COUNTIF('Set recomendado'!B:B,C776)=0),
"Bloqueada",
"Desechable")),""
)</f>
        <v/>
      </c>
      <c r="J776" t="str" cm="1">
        <f t="array" aca="1" ref="J776" ca="1">IF(ISNUMBER(A776),IFERROR(_xlfn._xlws.FILTER(Equipar!A:A,(Equipar!B:B=6)*(Equipar!AC:AC=A776)),""),"")</f>
        <v/>
      </c>
    </row>
    <row r="777" spans="1:10" x14ac:dyDescent="0.25">
      <c r="A777" s="1" t="str">
        <f ca="1">IF(A776="ID",1,IF(ISBLANK(B777),"",MAX(A$2:A776)+1))</f>
        <v/>
      </c>
      <c r="I777" s="2" t="str">
        <f ca="1">IF(ISNUMBER(A777),
IF(COUNTIFS(Equipar!B:B,6,Equipar!AC:AC,A777),"Equipada",
IF(
 OR(COUNTIFS(Equipar!B:B,6,Equipar!C:C,A777)
 +COUNTIFS(Equipar!B:B,6,Equipar!D:D,A777)
+COUNTIFS(Equipar!B:B,6,Equipar!E:E,A777)
+COUNTIFS(Equipar!B:B,6,Equipar!F:F,A777)
&gt;0,COUNTIF('Set recomendado'!B:B,C777)=0),
"Bloqueada",
"Desechable")),""
)</f>
        <v/>
      </c>
      <c r="J777" t="str" cm="1">
        <f t="array" aca="1" ref="J777" ca="1">IF(ISNUMBER(A777),IFERROR(_xlfn._xlws.FILTER(Equipar!A:A,(Equipar!B:B=6)*(Equipar!AC:AC=A777)),""),"")</f>
        <v/>
      </c>
    </row>
    <row r="778" spans="1:10" x14ac:dyDescent="0.25">
      <c r="A778" s="1" t="str">
        <f ca="1">IF(A777="ID",1,IF(ISBLANK(B778),"",MAX(A$2:A777)+1))</f>
        <v/>
      </c>
      <c r="I778" s="2" t="str">
        <f ca="1">IF(ISNUMBER(A778),
IF(COUNTIFS(Equipar!B:B,6,Equipar!AC:AC,A778),"Equipada",
IF(
 OR(COUNTIFS(Equipar!B:B,6,Equipar!C:C,A778)
 +COUNTIFS(Equipar!B:B,6,Equipar!D:D,A778)
+COUNTIFS(Equipar!B:B,6,Equipar!E:E,A778)
+COUNTIFS(Equipar!B:B,6,Equipar!F:F,A778)
&gt;0,COUNTIF('Set recomendado'!B:B,C778)=0),
"Bloqueada",
"Desechable")),""
)</f>
        <v/>
      </c>
      <c r="J778" t="str" cm="1">
        <f t="array" aca="1" ref="J778" ca="1">IF(ISNUMBER(A778),IFERROR(_xlfn._xlws.FILTER(Equipar!A:A,(Equipar!B:B=6)*(Equipar!AC:AC=A778)),""),"")</f>
        <v/>
      </c>
    </row>
    <row r="779" spans="1:10" x14ac:dyDescent="0.25">
      <c r="A779" s="1" t="str">
        <f ca="1">IF(A778="ID",1,IF(ISBLANK(B779),"",MAX(A$2:A778)+1))</f>
        <v/>
      </c>
      <c r="I779" s="2" t="str">
        <f ca="1">IF(ISNUMBER(A779),
IF(COUNTIFS(Equipar!B:B,6,Equipar!AC:AC,A779),"Equipada",
IF(
 OR(COUNTIFS(Equipar!B:B,6,Equipar!C:C,A779)
 +COUNTIFS(Equipar!B:B,6,Equipar!D:D,A779)
+COUNTIFS(Equipar!B:B,6,Equipar!E:E,A779)
+COUNTIFS(Equipar!B:B,6,Equipar!F:F,A779)
&gt;0,COUNTIF('Set recomendado'!B:B,C779)=0),
"Bloqueada",
"Desechable")),""
)</f>
        <v/>
      </c>
      <c r="J779" t="str" cm="1">
        <f t="array" aca="1" ref="J779" ca="1">IF(ISNUMBER(A779),IFERROR(_xlfn._xlws.FILTER(Equipar!A:A,(Equipar!B:B=6)*(Equipar!AC:AC=A779)),""),"")</f>
        <v/>
      </c>
    </row>
    <row r="780" spans="1:10" x14ac:dyDescent="0.25">
      <c r="A780" s="1" t="str">
        <f ca="1">IF(A779="ID",1,IF(ISBLANK(B780),"",MAX(A$2:A779)+1))</f>
        <v/>
      </c>
      <c r="I780" s="2" t="str">
        <f ca="1">IF(ISNUMBER(A780),
IF(COUNTIFS(Equipar!B:B,6,Equipar!AC:AC,A780),"Equipada",
IF(
 OR(COUNTIFS(Equipar!B:B,6,Equipar!C:C,A780)
 +COUNTIFS(Equipar!B:B,6,Equipar!D:D,A780)
+COUNTIFS(Equipar!B:B,6,Equipar!E:E,A780)
+COUNTIFS(Equipar!B:B,6,Equipar!F:F,A780)
&gt;0,COUNTIF('Set recomendado'!B:B,C780)=0),
"Bloqueada",
"Desechable")),""
)</f>
        <v/>
      </c>
      <c r="J780" t="str" cm="1">
        <f t="array" aca="1" ref="J780" ca="1">IF(ISNUMBER(A780),IFERROR(_xlfn._xlws.FILTER(Equipar!A:A,(Equipar!B:B=6)*(Equipar!AC:AC=A780)),""),"")</f>
        <v/>
      </c>
    </row>
    <row r="781" spans="1:10" x14ac:dyDescent="0.25">
      <c r="A781" s="1" t="str">
        <f ca="1">IF(A780="ID",1,IF(ISBLANK(B781),"",MAX(A$2:A780)+1))</f>
        <v/>
      </c>
      <c r="I781" s="2" t="str">
        <f ca="1">IF(ISNUMBER(A781),
IF(COUNTIFS(Equipar!B:B,6,Equipar!AC:AC,A781),"Equipada",
IF(
 OR(COUNTIFS(Equipar!B:B,6,Equipar!C:C,A781)
 +COUNTIFS(Equipar!B:B,6,Equipar!D:D,A781)
+COUNTIFS(Equipar!B:B,6,Equipar!E:E,A781)
+COUNTIFS(Equipar!B:B,6,Equipar!F:F,A781)
&gt;0,COUNTIF('Set recomendado'!B:B,C781)=0),
"Bloqueada",
"Desechable")),""
)</f>
        <v/>
      </c>
      <c r="J781" t="str" cm="1">
        <f t="array" aca="1" ref="J781" ca="1">IF(ISNUMBER(A781),IFERROR(_xlfn._xlws.FILTER(Equipar!A:A,(Equipar!B:B=6)*(Equipar!AC:AC=A781)),""),"")</f>
        <v/>
      </c>
    </row>
    <row r="782" spans="1:10" x14ac:dyDescent="0.25">
      <c r="A782" s="1" t="str">
        <f ca="1">IF(A781="ID",1,IF(ISBLANK(B782),"",MAX(A$2:A781)+1))</f>
        <v/>
      </c>
      <c r="I782" s="2" t="str">
        <f ca="1">IF(ISNUMBER(A782),
IF(COUNTIFS(Equipar!B:B,6,Equipar!AC:AC,A782),"Equipada",
IF(
 OR(COUNTIFS(Equipar!B:B,6,Equipar!C:C,A782)
 +COUNTIFS(Equipar!B:B,6,Equipar!D:D,A782)
+COUNTIFS(Equipar!B:B,6,Equipar!E:E,A782)
+COUNTIFS(Equipar!B:B,6,Equipar!F:F,A782)
&gt;0,COUNTIF('Set recomendado'!B:B,C782)=0),
"Bloqueada",
"Desechable")),""
)</f>
        <v/>
      </c>
      <c r="J782" t="str" cm="1">
        <f t="array" aca="1" ref="J782" ca="1">IF(ISNUMBER(A782),IFERROR(_xlfn._xlws.FILTER(Equipar!A:A,(Equipar!B:B=6)*(Equipar!AC:AC=A782)),""),"")</f>
        <v/>
      </c>
    </row>
    <row r="783" spans="1:10" x14ac:dyDescent="0.25">
      <c r="A783" s="1" t="str">
        <f ca="1">IF(A782="ID",1,IF(ISBLANK(B783),"",MAX(A$2:A782)+1))</f>
        <v/>
      </c>
      <c r="I783" s="2" t="str">
        <f ca="1">IF(ISNUMBER(A783),
IF(COUNTIFS(Equipar!B:B,6,Equipar!AC:AC,A783),"Equipada",
IF(
 OR(COUNTIFS(Equipar!B:B,6,Equipar!C:C,A783)
 +COUNTIFS(Equipar!B:B,6,Equipar!D:D,A783)
+COUNTIFS(Equipar!B:B,6,Equipar!E:E,A783)
+COUNTIFS(Equipar!B:B,6,Equipar!F:F,A783)
&gt;0,COUNTIF('Set recomendado'!B:B,C783)=0),
"Bloqueada",
"Desechable")),""
)</f>
        <v/>
      </c>
      <c r="J783" t="str" cm="1">
        <f t="array" aca="1" ref="J783" ca="1">IF(ISNUMBER(A783),IFERROR(_xlfn._xlws.FILTER(Equipar!A:A,(Equipar!B:B=6)*(Equipar!AC:AC=A783)),""),"")</f>
        <v/>
      </c>
    </row>
    <row r="784" spans="1:10" x14ac:dyDescent="0.25">
      <c r="A784" s="1" t="str">
        <f ca="1">IF(A783="ID",1,IF(ISBLANK(B784),"",MAX(A$2:A783)+1))</f>
        <v/>
      </c>
      <c r="I784" s="2" t="str">
        <f ca="1">IF(ISNUMBER(A784),
IF(COUNTIFS(Equipar!B:B,6,Equipar!AC:AC,A784),"Equipada",
IF(
 OR(COUNTIFS(Equipar!B:B,6,Equipar!C:C,A784)
 +COUNTIFS(Equipar!B:B,6,Equipar!D:D,A784)
+COUNTIFS(Equipar!B:B,6,Equipar!E:E,A784)
+COUNTIFS(Equipar!B:B,6,Equipar!F:F,A784)
&gt;0,COUNTIF('Set recomendado'!B:B,C784)=0),
"Bloqueada",
"Desechable")),""
)</f>
        <v/>
      </c>
      <c r="J784" t="str" cm="1">
        <f t="array" aca="1" ref="J784" ca="1">IF(ISNUMBER(A784),IFERROR(_xlfn._xlws.FILTER(Equipar!A:A,(Equipar!B:B=6)*(Equipar!AC:AC=A784)),""),"")</f>
        <v/>
      </c>
    </row>
    <row r="785" spans="1:10" x14ac:dyDescent="0.25">
      <c r="A785" s="1" t="str">
        <f ca="1">IF(A784="ID",1,IF(ISBLANK(B785),"",MAX(A$2:A784)+1))</f>
        <v/>
      </c>
      <c r="I785" s="2" t="str">
        <f ca="1">IF(ISNUMBER(A785),
IF(COUNTIFS(Equipar!B:B,6,Equipar!AC:AC,A785),"Equipada",
IF(
 OR(COUNTIFS(Equipar!B:B,6,Equipar!C:C,A785)
 +COUNTIFS(Equipar!B:B,6,Equipar!D:D,A785)
+COUNTIFS(Equipar!B:B,6,Equipar!E:E,A785)
+COUNTIFS(Equipar!B:B,6,Equipar!F:F,A785)
&gt;0,COUNTIF('Set recomendado'!B:B,C785)=0),
"Bloqueada",
"Desechable")),""
)</f>
        <v/>
      </c>
      <c r="J785" t="str" cm="1">
        <f t="array" aca="1" ref="J785" ca="1">IF(ISNUMBER(A785),IFERROR(_xlfn._xlws.FILTER(Equipar!A:A,(Equipar!B:B=6)*(Equipar!AC:AC=A785)),""),"")</f>
        <v/>
      </c>
    </row>
    <row r="786" spans="1:10" x14ac:dyDescent="0.25">
      <c r="A786" s="1" t="str">
        <f ca="1">IF(A785="ID",1,IF(ISBLANK(B786),"",MAX(A$2:A785)+1))</f>
        <v/>
      </c>
      <c r="I786" s="2" t="str">
        <f ca="1">IF(ISNUMBER(A786),
IF(COUNTIFS(Equipar!B:B,6,Equipar!AC:AC,A786),"Equipada",
IF(
 OR(COUNTIFS(Equipar!B:B,6,Equipar!C:C,A786)
 +COUNTIFS(Equipar!B:B,6,Equipar!D:D,A786)
+COUNTIFS(Equipar!B:B,6,Equipar!E:E,A786)
+COUNTIFS(Equipar!B:B,6,Equipar!F:F,A786)
&gt;0,COUNTIF('Set recomendado'!B:B,C786)=0),
"Bloqueada",
"Desechable")),""
)</f>
        <v/>
      </c>
      <c r="J786" t="str" cm="1">
        <f t="array" aca="1" ref="J786" ca="1">IF(ISNUMBER(A786),IFERROR(_xlfn._xlws.FILTER(Equipar!A:A,(Equipar!B:B=6)*(Equipar!AC:AC=A786)),""),"")</f>
        <v/>
      </c>
    </row>
    <row r="787" spans="1:10" x14ac:dyDescent="0.25">
      <c r="A787" s="1" t="str">
        <f ca="1">IF(A786="ID",1,IF(ISBLANK(B787),"",MAX(A$2:A786)+1))</f>
        <v/>
      </c>
      <c r="I787" s="2" t="str">
        <f ca="1">IF(ISNUMBER(A787),
IF(COUNTIFS(Equipar!B:B,6,Equipar!AC:AC,A787),"Equipada",
IF(
 OR(COUNTIFS(Equipar!B:B,6,Equipar!C:C,A787)
 +COUNTIFS(Equipar!B:B,6,Equipar!D:D,A787)
+COUNTIFS(Equipar!B:B,6,Equipar!E:E,A787)
+COUNTIFS(Equipar!B:B,6,Equipar!F:F,A787)
&gt;0,COUNTIF('Set recomendado'!B:B,C787)=0),
"Bloqueada",
"Desechable")),""
)</f>
        <v/>
      </c>
      <c r="J787" t="str" cm="1">
        <f t="array" aca="1" ref="J787" ca="1">IF(ISNUMBER(A787),IFERROR(_xlfn._xlws.FILTER(Equipar!A:A,(Equipar!B:B=6)*(Equipar!AC:AC=A787)),""),"")</f>
        <v/>
      </c>
    </row>
    <row r="788" spans="1:10" x14ac:dyDescent="0.25">
      <c r="A788" s="1" t="str">
        <f ca="1">IF(A787="ID",1,IF(ISBLANK(B788),"",MAX(A$2:A787)+1))</f>
        <v/>
      </c>
      <c r="I788" s="2" t="str">
        <f ca="1">IF(ISNUMBER(A788),
IF(COUNTIFS(Equipar!B:B,6,Equipar!AC:AC,A788),"Equipada",
IF(
 OR(COUNTIFS(Equipar!B:B,6,Equipar!C:C,A788)
 +COUNTIFS(Equipar!B:B,6,Equipar!D:D,A788)
+COUNTIFS(Equipar!B:B,6,Equipar!E:E,A788)
+COUNTIFS(Equipar!B:B,6,Equipar!F:F,A788)
&gt;0,COUNTIF('Set recomendado'!B:B,C788)=0),
"Bloqueada",
"Desechable")),""
)</f>
        <v/>
      </c>
      <c r="J788" t="str" cm="1">
        <f t="array" aca="1" ref="J788" ca="1">IF(ISNUMBER(A788),IFERROR(_xlfn._xlws.FILTER(Equipar!A:A,(Equipar!B:B=6)*(Equipar!AC:AC=A788)),""),"")</f>
        <v/>
      </c>
    </row>
    <row r="789" spans="1:10" x14ac:dyDescent="0.25">
      <c r="A789" s="1" t="str">
        <f ca="1">IF(A788="ID",1,IF(ISBLANK(B789),"",MAX(A$2:A788)+1))</f>
        <v/>
      </c>
      <c r="I789" s="2" t="str">
        <f ca="1">IF(ISNUMBER(A789),
IF(COUNTIFS(Equipar!B:B,6,Equipar!AC:AC,A789),"Equipada",
IF(
 OR(COUNTIFS(Equipar!B:B,6,Equipar!C:C,A789)
 +COUNTIFS(Equipar!B:B,6,Equipar!D:D,A789)
+COUNTIFS(Equipar!B:B,6,Equipar!E:E,A789)
+COUNTIFS(Equipar!B:B,6,Equipar!F:F,A789)
&gt;0,COUNTIF('Set recomendado'!B:B,C789)=0),
"Bloqueada",
"Desechable")),""
)</f>
        <v/>
      </c>
      <c r="J789" t="str" cm="1">
        <f t="array" aca="1" ref="J789" ca="1">IF(ISNUMBER(A789),IFERROR(_xlfn._xlws.FILTER(Equipar!A:A,(Equipar!B:B=6)*(Equipar!AC:AC=A789)),""),"")</f>
        <v/>
      </c>
    </row>
    <row r="790" spans="1:10" x14ac:dyDescent="0.25">
      <c r="A790" s="1" t="str">
        <f ca="1">IF(A789="ID",1,IF(ISBLANK(B790),"",MAX(A$2:A789)+1))</f>
        <v/>
      </c>
      <c r="I790" s="2" t="str">
        <f ca="1">IF(ISNUMBER(A790),
IF(COUNTIFS(Equipar!B:B,6,Equipar!AC:AC,A790),"Equipada",
IF(
 OR(COUNTIFS(Equipar!B:B,6,Equipar!C:C,A790)
 +COUNTIFS(Equipar!B:B,6,Equipar!D:D,A790)
+COUNTIFS(Equipar!B:B,6,Equipar!E:E,A790)
+COUNTIFS(Equipar!B:B,6,Equipar!F:F,A790)
&gt;0,COUNTIF('Set recomendado'!B:B,C790)=0),
"Bloqueada",
"Desechable")),""
)</f>
        <v/>
      </c>
      <c r="J790" t="str" cm="1">
        <f t="array" aca="1" ref="J790" ca="1">IF(ISNUMBER(A790),IFERROR(_xlfn._xlws.FILTER(Equipar!A:A,(Equipar!B:B=6)*(Equipar!AC:AC=A790)),""),"")</f>
        <v/>
      </c>
    </row>
    <row r="791" spans="1:10" x14ac:dyDescent="0.25">
      <c r="A791" s="1" t="str">
        <f ca="1">IF(A790="ID",1,IF(ISBLANK(B791),"",MAX(A$2:A790)+1))</f>
        <v/>
      </c>
      <c r="I791" s="2" t="str">
        <f ca="1">IF(ISNUMBER(A791),
IF(COUNTIFS(Equipar!B:B,6,Equipar!AC:AC,A791),"Equipada",
IF(
 OR(COUNTIFS(Equipar!B:B,6,Equipar!C:C,A791)
 +COUNTIFS(Equipar!B:B,6,Equipar!D:D,A791)
+COUNTIFS(Equipar!B:B,6,Equipar!E:E,A791)
+COUNTIFS(Equipar!B:B,6,Equipar!F:F,A791)
&gt;0,COUNTIF('Set recomendado'!B:B,C791)=0),
"Bloqueada",
"Desechable")),""
)</f>
        <v/>
      </c>
      <c r="J791" t="str" cm="1">
        <f t="array" aca="1" ref="J791" ca="1">IF(ISNUMBER(A791),IFERROR(_xlfn._xlws.FILTER(Equipar!A:A,(Equipar!B:B=6)*(Equipar!AC:AC=A791)),""),"")</f>
        <v/>
      </c>
    </row>
    <row r="792" spans="1:10" x14ac:dyDescent="0.25">
      <c r="A792" s="1" t="str">
        <f ca="1">IF(A791="ID",1,IF(ISBLANK(B792),"",MAX(A$2:A791)+1))</f>
        <v/>
      </c>
      <c r="I792" s="2" t="str">
        <f ca="1">IF(ISNUMBER(A792),
IF(COUNTIFS(Equipar!B:B,6,Equipar!AC:AC,A792),"Equipada",
IF(
 OR(COUNTIFS(Equipar!B:B,6,Equipar!C:C,A792)
 +COUNTIFS(Equipar!B:B,6,Equipar!D:D,A792)
+COUNTIFS(Equipar!B:B,6,Equipar!E:E,A792)
+COUNTIFS(Equipar!B:B,6,Equipar!F:F,A792)
&gt;0,COUNTIF('Set recomendado'!B:B,C792)=0),
"Bloqueada",
"Desechable")),""
)</f>
        <v/>
      </c>
      <c r="J792" t="str" cm="1">
        <f t="array" aca="1" ref="J792" ca="1">IF(ISNUMBER(A792),IFERROR(_xlfn._xlws.FILTER(Equipar!A:A,(Equipar!B:B=6)*(Equipar!AC:AC=A792)),""),"")</f>
        <v/>
      </c>
    </row>
    <row r="793" spans="1:10" x14ac:dyDescent="0.25">
      <c r="A793" s="1" t="str">
        <f ca="1">IF(A792="ID",1,IF(ISBLANK(B793),"",MAX(A$2:A792)+1))</f>
        <v/>
      </c>
      <c r="I793" s="2" t="str">
        <f ca="1">IF(ISNUMBER(A793),
IF(COUNTIFS(Equipar!B:B,6,Equipar!AC:AC,A793),"Equipada",
IF(
 OR(COUNTIFS(Equipar!B:B,6,Equipar!C:C,A793)
 +COUNTIFS(Equipar!B:B,6,Equipar!D:D,A793)
+COUNTIFS(Equipar!B:B,6,Equipar!E:E,A793)
+COUNTIFS(Equipar!B:B,6,Equipar!F:F,A793)
&gt;0,COUNTIF('Set recomendado'!B:B,C793)=0),
"Bloqueada",
"Desechable")),""
)</f>
        <v/>
      </c>
      <c r="J793" t="str" cm="1">
        <f t="array" aca="1" ref="J793" ca="1">IF(ISNUMBER(A793),IFERROR(_xlfn._xlws.FILTER(Equipar!A:A,(Equipar!B:B=6)*(Equipar!AC:AC=A793)),""),"")</f>
        <v/>
      </c>
    </row>
    <row r="794" spans="1:10" x14ac:dyDescent="0.25">
      <c r="A794" s="1" t="str">
        <f ca="1">IF(A793="ID",1,IF(ISBLANK(B794),"",MAX(A$2:A793)+1))</f>
        <v/>
      </c>
      <c r="I794" s="2" t="str">
        <f ca="1">IF(ISNUMBER(A794),
IF(COUNTIFS(Equipar!B:B,6,Equipar!AC:AC,A794),"Equipada",
IF(
 OR(COUNTIFS(Equipar!B:B,6,Equipar!C:C,A794)
 +COUNTIFS(Equipar!B:B,6,Equipar!D:D,A794)
+COUNTIFS(Equipar!B:B,6,Equipar!E:E,A794)
+COUNTIFS(Equipar!B:B,6,Equipar!F:F,A794)
&gt;0,COUNTIF('Set recomendado'!B:B,C794)=0),
"Bloqueada",
"Desechable")),""
)</f>
        <v/>
      </c>
      <c r="J794" t="str" cm="1">
        <f t="array" aca="1" ref="J794" ca="1">IF(ISNUMBER(A794),IFERROR(_xlfn._xlws.FILTER(Equipar!A:A,(Equipar!B:B=6)*(Equipar!AC:AC=A794)),""),"")</f>
        <v/>
      </c>
    </row>
    <row r="795" spans="1:10" x14ac:dyDescent="0.25">
      <c r="A795" s="1" t="str">
        <f ca="1">IF(A794="ID",1,IF(ISBLANK(B795),"",MAX(A$2:A794)+1))</f>
        <v/>
      </c>
      <c r="I795" s="2" t="str">
        <f ca="1">IF(ISNUMBER(A795),
IF(COUNTIFS(Equipar!B:B,6,Equipar!AC:AC,A795),"Equipada",
IF(
 OR(COUNTIFS(Equipar!B:B,6,Equipar!C:C,A795)
 +COUNTIFS(Equipar!B:B,6,Equipar!D:D,A795)
+COUNTIFS(Equipar!B:B,6,Equipar!E:E,A795)
+COUNTIFS(Equipar!B:B,6,Equipar!F:F,A795)
&gt;0,COUNTIF('Set recomendado'!B:B,C795)=0),
"Bloqueada",
"Desechable")),""
)</f>
        <v/>
      </c>
      <c r="J795" t="str" cm="1">
        <f t="array" aca="1" ref="J795" ca="1">IF(ISNUMBER(A795),IFERROR(_xlfn._xlws.FILTER(Equipar!A:A,(Equipar!B:B=6)*(Equipar!AC:AC=A795)),""),"")</f>
        <v/>
      </c>
    </row>
    <row r="796" spans="1:10" x14ac:dyDescent="0.25">
      <c r="A796" s="1" t="str">
        <f ca="1">IF(A795="ID",1,IF(ISBLANK(B796),"",MAX(A$2:A795)+1))</f>
        <v/>
      </c>
      <c r="I796" s="2" t="str">
        <f ca="1">IF(ISNUMBER(A796),
IF(COUNTIFS(Equipar!B:B,6,Equipar!AC:AC,A796),"Equipada",
IF(
 OR(COUNTIFS(Equipar!B:B,6,Equipar!C:C,A796)
 +COUNTIFS(Equipar!B:B,6,Equipar!D:D,A796)
+COUNTIFS(Equipar!B:B,6,Equipar!E:E,A796)
+COUNTIFS(Equipar!B:B,6,Equipar!F:F,A796)
&gt;0,COUNTIF('Set recomendado'!B:B,C796)=0),
"Bloqueada",
"Desechable")),""
)</f>
        <v/>
      </c>
      <c r="J796" t="str" cm="1">
        <f t="array" aca="1" ref="J796" ca="1">IF(ISNUMBER(A796),IFERROR(_xlfn._xlws.FILTER(Equipar!A:A,(Equipar!B:B=6)*(Equipar!AC:AC=A796)),""),"")</f>
        <v/>
      </c>
    </row>
    <row r="797" spans="1:10" x14ac:dyDescent="0.25">
      <c r="A797" s="1" t="str">
        <f ca="1">IF(A796="ID",1,IF(ISBLANK(B797),"",MAX(A$2:A796)+1))</f>
        <v/>
      </c>
      <c r="I797" s="2" t="str">
        <f ca="1">IF(ISNUMBER(A797),
IF(COUNTIFS(Equipar!B:B,6,Equipar!AC:AC,A797),"Equipada",
IF(
 OR(COUNTIFS(Equipar!B:B,6,Equipar!C:C,A797)
 +COUNTIFS(Equipar!B:B,6,Equipar!D:D,A797)
+COUNTIFS(Equipar!B:B,6,Equipar!E:E,A797)
+COUNTIFS(Equipar!B:B,6,Equipar!F:F,A797)
&gt;0,COUNTIF('Set recomendado'!B:B,C797)=0),
"Bloqueada",
"Desechable")),""
)</f>
        <v/>
      </c>
      <c r="J797" t="str" cm="1">
        <f t="array" aca="1" ref="J797" ca="1">IF(ISNUMBER(A797),IFERROR(_xlfn._xlws.FILTER(Equipar!A:A,(Equipar!B:B=6)*(Equipar!AC:AC=A797)),""),"")</f>
        <v/>
      </c>
    </row>
    <row r="798" spans="1:10" x14ac:dyDescent="0.25">
      <c r="A798" s="1" t="str">
        <f ca="1">IF(A797="ID",1,IF(ISBLANK(B798),"",MAX(A$2:A797)+1))</f>
        <v/>
      </c>
      <c r="I798" s="2" t="str">
        <f ca="1">IF(ISNUMBER(A798),
IF(COUNTIFS(Equipar!B:B,6,Equipar!AC:AC,A798),"Equipada",
IF(
 OR(COUNTIFS(Equipar!B:B,6,Equipar!C:C,A798)
 +COUNTIFS(Equipar!B:B,6,Equipar!D:D,A798)
+COUNTIFS(Equipar!B:B,6,Equipar!E:E,A798)
+COUNTIFS(Equipar!B:B,6,Equipar!F:F,A798)
&gt;0,COUNTIF('Set recomendado'!B:B,C798)=0),
"Bloqueada",
"Desechable")),""
)</f>
        <v/>
      </c>
      <c r="J798" t="str" cm="1">
        <f t="array" aca="1" ref="J798" ca="1">IF(ISNUMBER(A798),IFERROR(_xlfn._xlws.FILTER(Equipar!A:A,(Equipar!B:B=6)*(Equipar!AC:AC=A798)),""),"")</f>
        <v/>
      </c>
    </row>
    <row r="799" spans="1:10" x14ac:dyDescent="0.25">
      <c r="A799" s="1" t="str">
        <f ca="1">IF(A798="ID",1,IF(ISBLANK(B799),"",MAX(A$2:A798)+1))</f>
        <v/>
      </c>
      <c r="I799" s="2" t="str">
        <f ca="1">IF(ISNUMBER(A799),
IF(COUNTIFS(Equipar!B:B,6,Equipar!AC:AC,A799),"Equipada",
IF(
 OR(COUNTIFS(Equipar!B:B,6,Equipar!C:C,A799)
 +COUNTIFS(Equipar!B:B,6,Equipar!D:D,A799)
+COUNTIFS(Equipar!B:B,6,Equipar!E:E,A799)
+COUNTIFS(Equipar!B:B,6,Equipar!F:F,A799)
&gt;0,COUNTIF('Set recomendado'!B:B,C799)=0),
"Bloqueada",
"Desechable")),""
)</f>
        <v/>
      </c>
      <c r="J799" t="str" cm="1">
        <f t="array" aca="1" ref="J799" ca="1">IF(ISNUMBER(A799),IFERROR(_xlfn._xlws.FILTER(Equipar!A:A,(Equipar!B:B=6)*(Equipar!AC:AC=A799)),""),"")</f>
        <v/>
      </c>
    </row>
    <row r="800" spans="1:10" x14ac:dyDescent="0.25">
      <c r="A800" s="1" t="str">
        <f ca="1">IF(A799="ID",1,IF(ISBLANK(B800),"",MAX(A$2:A799)+1))</f>
        <v/>
      </c>
      <c r="I800" s="2" t="str">
        <f ca="1">IF(ISNUMBER(A800),
IF(COUNTIFS(Equipar!B:B,6,Equipar!AC:AC,A800),"Equipada",
IF(
 OR(COUNTIFS(Equipar!B:B,6,Equipar!C:C,A800)
 +COUNTIFS(Equipar!B:B,6,Equipar!D:D,A800)
+COUNTIFS(Equipar!B:B,6,Equipar!E:E,A800)
+COUNTIFS(Equipar!B:B,6,Equipar!F:F,A800)
&gt;0,COUNTIF('Set recomendado'!B:B,C800)=0),
"Bloqueada",
"Desechable")),""
)</f>
        <v/>
      </c>
      <c r="J800" t="str" cm="1">
        <f t="array" aca="1" ref="J800" ca="1">IF(ISNUMBER(A800),IFERROR(_xlfn._xlws.FILTER(Equipar!A:A,(Equipar!B:B=6)*(Equipar!AC:AC=A800)),""),"")</f>
        <v/>
      </c>
    </row>
    <row r="801" spans="1:10" x14ac:dyDescent="0.25">
      <c r="A801" s="1" t="str">
        <f ca="1">IF(A800="ID",1,IF(ISBLANK(B801),"",MAX(A$2:A800)+1))</f>
        <v/>
      </c>
      <c r="I801" s="2" t="str">
        <f ca="1">IF(ISNUMBER(A801),
IF(COUNTIFS(Equipar!B:B,6,Equipar!AC:AC,A801),"Equipada",
IF(
 OR(COUNTIFS(Equipar!B:B,6,Equipar!C:C,A801)
 +COUNTIFS(Equipar!B:B,6,Equipar!D:D,A801)
+COUNTIFS(Equipar!B:B,6,Equipar!E:E,A801)
+COUNTIFS(Equipar!B:B,6,Equipar!F:F,A801)
&gt;0,COUNTIF('Set recomendado'!B:B,C801)=0),
"Bloqueada",
"Desechable")),""
)</f>
        <v/>
      </c>
      <c r="J801" t="str" cm="1">
        <f t="array" aca="1" ref="J801" ca="1">IF(ISNUMBER(A801),IFERROR(_xlfn._xlws.FILTER(Equipar!A:A,(Equipar!B:B=6)*(Equipar!AC:AC=A801)),""),"")</f>
        <v/>
      </c>
    </row>
    <row r="802" spans="1:10" x14ac:dyDescent="0.25">
      <c r="A802" s="1" t="str">
        <f ca="1">IF(A801="ID",1,IF(ISBLANK(B802),"",MAX(A$2:A801)+1))</f>
        <v/>
      </c>
      <c r="I802" s="2" t="str">
        <f ca="1">IF(ISNUMBER(A802),
IF(COUNTIFS(Equipar!B:B,6,Equipar!AC:AC,A802),"Equipada",
IF(
 OR(COUNTIFS(Equipar!B:B,6,Equipar!C:C,A802)
 +COUNTIFS(Equipar!B:B,6,Equipar!D:D,A802)
+COUNTIFS(Equipar!B:B,6,Equipar!E:E,A802)
+COUNTIFS(Equipar!B:B,6,Equipar!F:F,A802)
&gt;0,COUNTIF('Set recomendado'!B:B,C802)=0),
"Bloqueada",
"Desechable")),""
)</f>
        <v/>
      </c>
      <c r="J802" t="str" cm="1">
        <f t="array" aca="1" ref="J802" ca="1">IF(ISNUMBER(A802),IFERROR(_xlfn._xlws.FILTER(Equipar!A:A,(Equipar!B:B=6)*(Equipar!AC:AC=A802)),""),"")</f>
        <v/>
      </c>
    </row>
    <row r="803" spans="1:10" x14ac:dyDescent="0.25">
      <c r="A803" s="1" t="str">
        <f ca="1">IF(A802="ID",1,IF(ISBLANK(B803),"",MAX(A$2:A802)+1))</f>
        <v/>
      </c>
      <c r="I803" s="2" t="str">
        <f ca="1">IF(ISNUMBER(A803),
IF(COUNTIFS(Equipar!B:B,6,Equipar!AC:AC,A803),"Equipada",
IF(
 OR(COUNTIFS(Equipar!B:B,6,Equipar!C:C,A803)
 +COUNTIFS(Equipar!B:B,6,Equipar!D:D,A803)
+COUNTIFS(Equipar!B:B,6,Equipar!E:E,A803)
+COUNTIFS(Equipar!B:B,6,Equipar!F:F,A803)
&gt;0,COUNTIF('Set recomendado'!B:B,C803)=0),
"Bloqueada",
"Desechable")),""
)</f>
        <v/>
      </c>
      <c r="J803" t="str" cm="1">
        <f t="array" aca="1" ref="J803" ca="1">IF(ISNUMBER(A803),IFERROR(_xlfn._xlws.FILTER(Equipar!A:A,(Equipar!B:B=6)*(Equipar!AC:AC=A803)),""),"")</f>
        <v/>
      </c>
    </row>
    <row r="804" spans="1:10" x14ac:dyDescent="0.25">
      <c r="A804" s="1" t="str">
        <f ca="1">IF(A803="ID",1,IF(ISBLANK(B804),"",MAX(A$2:A803)+1))</f>
        <v/>
      </c>
      <c r="I804" s="2" t="str">
        <f ca="1">IF(ISNUMBER(A804),
IF(COUNTIFS(Equipar!B:B,6,Equipar!AC:AC,A804),"Equipada",
IF(
 OR(COUNTIFS(Equipar!B:B,6,Equipar!C:C,A804)
 +COUNTIFS(Equipar!B:B,6,Equipar!D:D,A804)
+COUNTIFS(Equipar!B:B,6,Equipar!E:E,A804)
+COUNTIFS(Equipar!B:B,6,Equipar!F:F,A804)
&gt;0,COUNTIF('Set recomendado'!B:B,C804)=0),
"Bloqueada",
"Desechable")),""
)</f>
        <v/>
      </c>
      <c r="J804" t="str" cm="1">
        <f t="array" aca="1" ref="J804" ca="1">IF(ISNUMBER(A804),IFERROR(_xlfn._xlws.FILTER(Equipar!A:A,(Equipar!B:B=6)*(Equipar!AC:AC=A804)),""),"")</f>
        <v/>
      </c>
    </row>
    <row r="805" spans="1:10" x14ac:dyDescent="0.25">
      <c r="A805" s="1" t="str">
        <f ca="1">IF(A804="ID",1,IF(ISBLANK(B805),"",MAX(A$2:A804)+1))</f>
        <v/>
      </c>
      <c r="I805" s="2" t="str">
        <f ca="1">IF(ISNUMBER(A805),
IF(COUNTIFS(Equipar!B:B,6,Equipar!AC:AC,A805),"Equipada",
IF(
 OR(COUNTIFS(Equipar!B:B,6,Equipar!C:C,A805)
 +COUNTIFS(Equipar!B:B,6,Equipar!D:D,A805)
+COUNTIFS(Equipar!B:B,6,Equipar!E:E,A805)
+COUNTIFS(Equipar!B:B,6,Equipar!F:F,A805)
&gt;0,COUNTIF('Set recomendado'!B:B,C805)=0),
"Bloqueada",
"Desechable")),""
)</f>
        <v/>
      </c>
      <c r="J805" t="str" cm="1">
        <f t="array" aca="1" ref="J805" ca="1">IF(ISNUMBER(A805),IFERROR(_xlfn._xlws.FILTER(Equipar!A:A,(Equipar!B:B=6)*(Equipar!AC:AC=A805)),""),"")</f>
        <v/>
      </c>
    </row>
    <row r="806" spans="1:10" x14ac:dyDescent="0.25">
      <c r="A806" s="1" t="str">
        <f ca="1">IF(A805="ID",1,IF(ISBLANK(B806),"",MAX(A$2:A805)+1))</f>
        <v/>
      </c>
      <c r="I806" s="2" t="str">
        <f ca="1">IF(ISNUMBER(A806),
IF(COUNTIFS(Equipar!B:B,6,Equipar!AC:AC,A806),"Equipada",
IF(
 OR(COUNTIFS(Equipar!B:B,6,Equipar!C:C,A806)
 +COUNTIFS(Equipar!B:B,6,Equipar!D:D,A806)
+COUNTIFS(Equipar!B:B,6,Equipar!E:E,A806)
+COUNTIFS(Equipar!B:B,6,Equipar!F:F,A806)
&gt;0,COUNTIF('Set recomendado'!B:B,C806)=0),
"Bloqueada",
"Desechable")),""
)</f>
        <v/>
      </c>
      <c r="J806" t="str" cm="1">
        <f t="array" aca="1" ref="J806" ca="1">IF(ISNUMBER(A806),IFERROR(_xlfn._xlws.FILTER(Equipar!A:A,(Equipar!B:B=6)*(Equipar!AC:AC=A806)),""),"")</f>
        <v/>
      </c>
    </row>
    <row r="807" spans="1:10" x14ac:dyDescent="0.25">
      <c r="A807" s="1" t="str">
        <f ca="1">IF(A806="ID",1,IF(ISBLANK(B807),"",MAX(A$2:A806)+1))</f>
        <v/>
      </c>
      <c r="I807" s="2" t="str">
        <f ca="1">IF(ISNUMBER(A807),
IF(COUNTIFS(Equipar!B:B,6,Equipar!AC:AC,A807),"Equipada",
IF(
 OR(COUNTIFS(Equipar!B:B,6,Equipar!C:C,A807)
 +COUNTIFS(Equipar!B:B,6,Equipar!D:D,A807)
+COUNTIFS(Equipar!B:B,6,Equipar!E:E,A807)
+COUNTIFS(Equipar!B:B,6,Equipar!F:F,A807)
&gt;0,COUNTIF('Set recomendado'!B:B,C807)=0),
"Bloqueada",
"Desechable")),""
)</f>
        <v/>
      </c>
      <c r="J807" t="str" cm="1">
        <f t="array" aca="1" ref="J807" ca="1">IF(ISNUMBER(A807),IFERROR(_xlfn._xlws.FILTER(Equipar!A:A,(Equipar!B:B=6)*(Equipar!AC:AC=A807)),""),"")</f>
        <v/>
      </c>
    </row>
    <row r="808" spans="1:10" x14ac:dyDescent="0.25">
      <c r="A808" s="1" t="str">
        <f ca="1">IF(A807="ID",1,IF(ISBLANK(B808),"",MAX(A$2:A807)+1))</f>
        <v/>
      </c>
      <c r="I808" s="2" t="str">
        <f ca="1">IF(ISNUMBER(A808),
IF(COUNTIFS(Equipar!B:B,6,Equipar!AC:AC,A808),"Equipada",
IF(
 OR(COUNTIFS(Equipar!B:B,6,Equipar!C:C,A808)
 +COUNTIFS(Equipar!B:B,6,Equipar!D:D,A808)
+COUNTIFS(Equipar!B:B,6,Equipar!E:E,A808)
+COUNTIFS(Equipar!B:B,6,Equipar!F:F,A808)
&gt;0,COUNTIF('Set recomendado'!B:B,C808)=0),
"Bloqueada",
"Desechable")),""
)</f>
        <v/>
      </c>
      <c r="J808" t="str" cm="1">
        <f t="array" aca="1" ref="J808" ca="1">IF(ISNUMBER(A808),IFERROR(_xlfn._xlws.FILTER(Equipar!A:A,(Equipar!B:B=6)*(Equipar!AC:AC=A808)),""),"")</f>
        <v/>
      </c>
    </row>
    <row r="809" spans="1:10" x14ac:dyDescent="0.25">
      <c r="A809" s="1" t="str">
        <f ca="1">IF(A808="ID",1,IF(ISBLANK(B809),"",MAX(A$2:A808)+1))</f>
        <v/>
      </c>
      <c r="I809" s="2" t="str">
        <f ca="1">IF(ISNUMBER(A809),
IF(COUNTIFS(Equipar!B:B,6,Equipar!AC:AC,A809),"Equipada",
IF(
 OR(COUNTIFS(Equipar!B:B,6,Equipar!C:C,A809)
 +COUNTIFS(Equipar!B:B,6,Equipar!D:D,A809)
+COUNTIFS(Equipar!B:B,6,Equipar!E:E,A809)
+COUNTIFS(Equipar!B:B,6,Equipar!F:F,A809)
&gt;0,COUNTIF('Set recomendado'!B:B,C809)=0),
"Bloqueada",
"Desechable")),""
)</f>
        <v/>
      </c>
      <c r="J809" t="str" cm="1">
        <f t="array" aca="1" ref="J809" ca="1">IF(ISNUMBER(A809),IFERROR(_xlfn._xlws.FILTER(Equipar!A:A,(Equipar!B:B=6)*(Equipar!AC:AC=A809)),""),"")</f>
        <v/>
      </c>
    </row>
    <row r="810" spans="1:10" x14ac:dyDescent="0.25">
      <c r="A810" s="1" t="str">
        <f ca="1">IF(A809="ID",1,IF(ISBLANK(B810),"",MAX(A$2:A809)+1))</f>
        <v/>
      </c>
      <c r="I810" s="2" t="str">
        <f ca="1">IF(ISNUMBER(A810),
IF(COUNTIFS(Equipar!B:B,6,Equipar!AC:AC,A810),"Equipada",
IF(
 OR(COUNTIFS(Equipar!B:B,6,Equipar!C:C,A810)
 +COUNTIFS(Equipar!B:B,6,Equipar!D:D,A810)
+COUNTIFS(Equipar!B:B,6,Equipar!E:E,A810)
+COUNTIFS(Equipar!B:B,6,Equipar!F:F,A810)
&gt;0,COUNTIF('Set recomendado'!B:B,C810)=0),
"Bloqueada",
"Desechable")),""
)</f>
        <v/>
      </c>
      <c r="J810" t="str" cm="1">
        <f t="array" aca="1" ref="J810" ca="1">IF(ISNUMBER(A810),IFERROR(_xlfn._xlws.FILTER(Equipar!A:A,(Equipar!B:B=6)*(Equipar!AC:AC=A810)),""),"")</f>
        <v/>
      </c>
    </row>
    <row r="811" spans="1:10" x14ac:dyDescent="0.25">
      <c r="A811" s="1" t="str">
        <f ca="1">IF(A810="ID",1,IF(ISBLANK(B811),"",MAX(A$2:A810)+1))</f>
        <v/>
      </c>
      <c r="I811" s="2" t="str">
        <f ca="1">IF(ISNUMBER(A811),
IF(COUNTIFS(Equipar!B:B,6,Equipar!AC:AC,A811),"Equipada",
IF(
 OR(COUNTIFS(Equipar!B:B,6,Equipar!C:C,A811)
 +COUNTIFS(Equipar!B:B,6,Equipar!D:D,A811)
+COUNTIFS(Equipar!B:B,6,Equipar!E:E,A811)
+COUNTIFS(Equipar!B:B,6,Equipar!F:F,A811)
&gt;0,COUNTIF('Set recomendado'!B:B,C811)=0),
"Bloqueada",
"Desechable")),""
)</f>
        <v/>
      </c>
      <c r="J811" t="str" cm="1">
        <f t="array" aca="1" ref="J811" ca="1">IF(ISNUMBER(A811),IFERROR(_xlfn._xlws.FILTER(Equipar!A:A,(Equipar!B:B=6)*(Equipar!AC:AC=A811)),""),"")</f>
        <v/>
      </c>
    </row>
    <row r="812" spans="1:10" x14ac:dyDescent="0.25">
      <c r="A812" s="1" t="str">
        <f ca="1">IF(A811="ID",1,IF(ISBLANK(B812),"",MAX(A$2:A811)+1))</f>
        <v/>
      </c>
      <c r="I812" s="2" t="str">
        <f ca="1">IF(ISNUMBER(A812),
IF(COUNTIFS(Equipar!B:B,6,Equipar!AC:AC,A812),"Equipada",
IF(
 OR(COUNTIFS(Equipar!B:B,6,Equipar!C:C,A812)
 +COUNTIFS(Equipar!B:B,6,Equipar!D:D,A812)
+COUNTIFS(Equipar!B:B,6,Equipar!E:E,A812)
+COUNTIFS(Equipar!B:B,6,Equipar!F:F,A812)
&gt;0,COUNTIF('Set recomendado'!B:B,C812)=0),
"Bloqueada",
"Desechable")),""
)</f>
        <v/>
      </c>
      <c r="J812" t="str" cm="1">
        <f t="array" aca="1" ref="J812" ca="1">IF(ISNUMBER(A812),IFERROR(_xlfn._xlws.FILTER(Equipar!A:A,(Equipar!B:B=6)*(Equipar!AC:AC=A812)),""),"")</f>
        <v/>
      </c>
    </row>
    <row r="813" spans="1:10" x14ac:dyDescent="0.25">
      <c r="A813" s="1" t="str">
        <f ca="1">IF(A812="ID",1,IF(ISBLANK(B813),"",MAX(A$2:A812)+1))</f>
        <v/>
      </c>
      <c r="I813" s="2" t="str">
        <f ca="1">IF(ISNUMBER(A813),
IF(COUNTIFS(Equipar!B:B,6,Equipar!AC:AC,A813),"Equipada",
IF(
 OR(COUNTIFS(Equipar!B:B,6,Equipar!C:C,A813)
 +COUNTIFS(Equipar!B:B,6,Equipar!D:D,A813)
+COUNTIFS(Equipar!B:B,6,Equipar!E:E,A813)
+COUNTIFS(Equipar!B:B,6,Equipar!F:F,A813)
&gt;0,COUNTIF('Set recomendado'!B:B,C813)=0),
"Bloqueada",
"Desechable")),""
)</f>
        <v/>
      </c>
      <c r="J813" t="str" cm="1">
        <f t="array" aca="1" ref="J813" ca="1">IF(ISNUMBER(A813),IFERROR(_xlfn._xlws.FILTER(Equipar!A:A,(Equipar!B:B=6)*(Equipar!AC:AC=A813)),""),"")</f>
        <v/>
      </c>
    </row>
    <row r="814" spans="1:10" x14ac:dyDescent="0.25">
      <c r="A814" s="1" t="str">
        <f ca="1">IF(A813="ID",1,IF(ISBLANK(B814),"",MAX(A$2:A813)+1))</f>
        <v/>
      </c>
      <c r="I814" s="2" t="str">
        <f ca="1">IF(ISNUMBER(A814),
IF(COUNTIFS(Equipar!B:B,6,Equipar!AC:AC,A814),"Equipada",
IF(
 OR(COUNTIFS(Equipar!B:B,6,Equipar!C:C,A814)
 +COUNTIFS(Equipar!B:B,6,Equipar!D:D,A814)
+COUNTIFS(Equipar!B:B,6,Equipar!E:E,A814)
+COUNTIFS(Equipar!B:B,6,Equipar!F:F,A814)
&gt;0,COUNTIF('Set recomendado'!B:B,C814)=0),
"Bloqueada",
"Desechable")),""
)</f>
        <v/>
      </c>
      <c r="J814" t="str" cm="1">
        <f t="array" aca="1" ref="J814" ca="1">IF(ISNUMBER(A814),IFERROR(_xlfn._xlws.FILTER(Equipar!A:A,(Equipar!B:B=6)*(Equipar!AC:AC=A814)),""),"")</f>
        <v/>
      </c>
    </row>
    <row r="815" spans="1:10" x14ac:dyDescent="0.25">
      <c r="A815" s="1" t="str">
        <f ca="1">IF(A814="ID",1,IF(ISBLANK(B815),"",MAX(A$2:A814)+1))</f>
        <v/>
      </c>
      <c r="I815" s="2" t="str">
        <f ca="1">IF(ISNUMBER(A815),
IF(COUNTIFS(Equipar!B:B,6,Equipar!AC:AC,A815),"Equipada",
IF(
 OR(COUNTIFS(Equipar!B:B,6,Equipar!C:C,A815)
 +COUNTIFS(Equipar!B:B,6,Equipar!D:D,A815)
+COUNTIFS(Equipar!B:B,6,Equipar!E:E,A815)
+COUNTIFS(Equipar!B:B,6,Equipar!F:F,A815)
&gt;0,COUNTIF('Set recomendado'!B:B,C815)=0),
"Bloqueada",
"Desechable")),""
)</f>
        <v/>
      </c>
      <c r="J815" t="str" cm="1">
        <f t="array" aca="1" ref="J815" ca="1">IF(ISNUMBER(A815),IFERROR(_xlfn._xlws.FILTER(Equipar!A:A,(Equipar!B:B=6)*(Equipar!AC:AC=A815)),""),"")</f>
        <v/>
      </c>
    </row>
    <row r="816" spans="1:10" x14ac:dyDescent="0.25">
      <c r="A816" s="1" t="str">
        <f ca="1">IF(A815="ID",1,IF(ISBLANK(B816),"",MAX(A$2:A815)+1))</f>
        <v/>
      </c>
      <c r="I816" s="2" t="str">
        <f ca="1">IF(ISNUMBER(A816),
IF(COUNTIFS(Equipar!B:B,6,Equipar!AC:AC,A816),"Equipada",
IF(
 OR(COUNTIFS(Equipar!B:B,6,Equipar!C:C,A816)
 +COUNTIFS(Equipar!B:B,6,Equipar!D:D,A816)
+COUNTIFS(Equipar!B:B,6,Equipar!E:E,A816)
+COUNTIFS(Equipar!B:B,6,Equipar!F:F,A816)
&gt;0,COUNTIF('Set recomendado'!B:B,C816)=0),
"Bloqueada",
"Desechable")),""
)</f>
        <v/>
      </c>
      <c r="J816" t="str" cm="1">
        <f t="array" aca="1" ref="J816" ca="1">IF(ISNUMBER(A816),IFERROR(_xlfn._xlws.FILTER(Equipar!A:A,(Equipar!B:B=6)*(Equipar!AC:AC=A816)),""),"")</f>
        <v/>
      </c>
    </row>
    <row r="817" spans="1:10" x14ac:dyDescent="0.25">
      <c r="A817" s="1" t="str">
        <f ca="1">IF(A816="ID",1,IF(ISBLANK(B817),"",MAX(A$2:A816)+1))</f>
        <v/>
      </c>
      <c r="I817" s="2" t="str">
        <f ca="1">IF(ISNUMBER(A817),
IF(COUNTIFS(Equipar!B:B,6,Equipar!AC:AC,A817),"Equipada",
IF(
 OR(COUNTIFS(Equipar!B:B,6,Equipar!C:C,A817)
 +COUNTIFS(Equipar!B:B,6,Equipar!D:D,A817)
+COUNTIFS(Equipar!B:B,6,Equipar!E:E,A817)
+COUNTIFS(Equipar!B:B,6,Equipar!F:F,A817)
&gt;0,COUNTIF('Set recomendado'!B:B,C817)=0),
"Bloqueada",
"Desechable")),""
)</f>
        <v/>
      </c>
      <c r="J817" t="str" cm="1">
        <f t="array" aca="1" ref="J817" ca="1">IF(ISNUMBER(A817),IFERROR(_xlfn._xlws.FILTER(Equipar!A:A,(Equipar!B:B=6)*(Equipar!AC:AC=A817)),""),"")</f>
        <v/>
      </c>
    </row>
    <row r="818" spans="1:10" x14ac:dyDescent="0.25">
      <c r="A818" s="1" t="str">
        <f ca="1">IF(A817="ID",1,IF(ISBLANK(B818),"",MAX(A$2:A817)+1))</f>
        <v/>
      </c>
      <c r="I818" s="2" t="str">
        <f ca="1">IF(ISNUMBER(A818),
IF(COUNTIFS(Equipar!B:B,6,Equipar!AC:AC,A818),"Equipada",
IF(
 OR(COUNTIFS(Equipar!B:B,6,Equipar!C:C,A818)
 +COUNTIFS(Equipar!B:B,6,Equipar!D:D,A818)
+COUNTIFS(Equipar!B:B,6,Equipar!E:E,A818)
+COUNTIFS(Equipar!B:B,6,Equipar!F:F,A818)
&gt;0,COUNTIF('Set recomendado'!B:B,C818)=0),
"Bloqueada",
"Desechable")),""
)</f>
        <v/>
      </c>
      <c r="J818" t="str" cm="1">
        <f t="array" aca="1" ref="J818" ca="1">IF(ISNUMBER(A818),IFERROR(_xlfn._xlws.FILTER(Equipar!A:A,(Equipar!B:B=6)*(Equipar!AC:AC=A818)),""),"")</f>
        <v/>
      </c>
    </row>
    <row r="819" spans="1:10" x14ac:dyDescent="0.25">
      <c r="A819" s="1" t="str">
        <f ca="1">IF(A818="ID",1,IF(ISBLANK(B819),"",MAX(A$2:A818)+1))</f>
        <v/>
      </c>
      <c r="I819" s="2" t="str">
        <f ca="1">IF(ISNUMBER(A819),
IF(COUNTIFS(Equipar!B:B,6,Equipar!AC:AC,A819),"Equipada",
IF(
 OR(COUNTIFS(Equipar!B:B,6,Equipar!C:C,A819)
 +COUNTIFS(Equipar!B:B,6,Equipar!D:D,A819)
+COUNTIFS(Equipar!B:B,6,Equipar!E:E,A819)
+COUNTIFS(Equipar!B:B,6,Equipar!F:F,A819)
&gt;0,COUNTIF('Set recomendado'!B:B,C819)=0),
"Bloqueada",
"Desechable")),""
)</f>
        <v/>
      </c>
      <c r="J819" t="str" cm="1">
        <f t="array" aca="1" ref="J819" ca="1">IF(ISNUMBER(A819),IFERROR(_xlfn._xlws.FILTER(Equipar!A:A,(Equipar!B:B=6)*(Equipar!AC:AC=A819)),""),"")</f>
        <v/>
      </c>
    </row>
    <row r="820" spans="1:10" x14ac:dyDescent="0.25">
      <c r="A820" s="1" t="str">
        <f ca="1">IF(A819="ID",1,IF(ISBLANK(B820),"",MAX(A$2:A819)+1))</f>
        <v/>
      </c>
      <c r="I820" s="2" t="str">
        <f ca="1">IF(ISNUMBER(A820),
IF(COUNTIFS(Equipar!B:B,6,Equipar!AC:AC,A820),"Equipada",
IF(
 OR(COUNTIFS(Equipar!B:B,6,Equipar!C:C,A820)
 +COUNTIFS(Equipar!B:B,6,Equipar!D:D,A820)
+COUNTIFS(Equipar!B:B,6,Equipar!E:E,A820)
+COUNTIFS(Equipar!B:B,6,Equipar!F:F,A820)
&gt;0,COUNTIF('Set recomendado'!B:B,C820)=0),
"Bloqueada",
"Desechable")),""
)</f>
        <v/>
      </c>
      <c r="J820" t="str" cm="1">
        <f t="array" aca="1" ref="J820" ca="1">IF(ISNUMBER(A820),IFERROR(_xlfn._xlws.FILTER(Equipar!A:A,(Equipar!B:B=6)*(Equipar!AC:AC=A820)),""),"")</f>
        <v/>
      </c>
    </row>
    <row r="821" spans="1:10" x14ac:dyDescent="0.25">
      <c r="A821" s="1" t="str">
        <f ca="1">IF(A820="ID",1,IF(ISBLANK(B821),"",MAX(A$2:A820)+1))</f>
        <v/>
      </c>
      <c r="I821" s="2" t="str">
        <f ca="1">IF(ISNUMBER(A821),
IF(COUNTIFS(Equipar!B:B,6,Equipar!AC:AC,A821),"Equipada",
IF(
 OR(COUNTIFS(Equipar!B:B,6,Equipar!C:C,A821)
 +COUNTIFS(Equipar!B:B,6,Equipar!D:D,A821)
+COUNTIFS(Equipar!B:B,6,Equipar!E:E,A821)
+COUNTIFS(Equipar!B:B,6,Equipar!F:F,A821)
&gt;0,COUNTIF('Set recomendado'!B:B,C821)=0),
"Bloqueada",
"Desechable")),""
)</f>
        <v/>
      </c>
      <c r="J821" t="str" cm="1">
        <f t="array" aca="1" ref="J821" ca="1">IF(ISNUMBER(A821),IFERROR(_xlfn._xlws.FILTER(Equipar!A:A,(Equipar!B:B=6)*(Equipar!AC:AC=A821)),""),"")</f>
        <v/>
      </c>
    </row>
    <row r="822" spans="1:10" x14ac:dyDescent="0.25">
      <c r="A822" s="1" t="str">
        <f ca="1">IF(A821="ID",1,IF(ISBLANK(B822),"",MAX(A$2:A821)+1))</f>
        <v/>
      </c>
      <c r="I822" s="2" t="str">
        <f ca="1">IF(ISNUMBER(A822),
IF(COUNTIFS(Equipar!B:B,6,Equipar!AC:AC,A822),"Equipada",
IF(
 OR(COUNTIFS(Equipar!B:B,6,Equipar!C:C,A822)
 +COUNTIFS(Equipar!B:B,6,Equipar!D:D,A822)
+COUNTIFS(Equipar!B:B,6,Equipar!E:E,A822)
+COUNTIFS(Equipar!B:B,6,Equipar!F:F,A822)
&gt;0,COUNTIF('Set recomendado'!B:B,C822)=0),
"Bloqueada",
"Desechable")),""
)</f>
        <v/>
      </c>
      <c r="J822" t="str" cm="1">
        <f t="array" aca="1" ref="J822" ca="1">IF(ISNUMBER(A822),IFERROR(_xlfn._xlws.FILTER(Equipar!A:A,(Equipar!B:B=6)*(Equipar!AC:AC=A822)),""),"")</f>
        <v/>
      </c>
    </row>
    <row r="823" spans="1:10" x14ac:dyDescent="0.25">
      <c r="A823" s="1" t="str">
        <f ca="1">IF(A822="ID",1,IF(ISBLANK(B823),"",MAX(A$2:A822)+1))</f>
        <v/>
      </c>
      <c r="I823" s="2" t="str">
        <f ca="1">IF(ISNUMBER(A823),
IF(COUNTIFS(Equipar!B:B,6,Equipar!AC:AC,A823),"Equipada",
IF(
 OR(COUNTIFS(Equipar!B:B,6,Equipar!C:C,A823)
 +COUNTIFS(Equipar!B:B,6,Equipar!D:D,A823)
+COUNTIFS(Equipar!B:B,6,Equipar!E:E,A823)
+COUNTIFS(Equipar!B:B,6,Equipar!F:F,A823)
&gt;0,COUNTIF('Set recomendado'!B:B,C823)=0),
"Bloqueada",
"Desechable")),""
)</f>
        <v/>
      </c>
      <c r="J823" t="str" cm="1">
        <f t="array" aca="1" ref="J823" ca="1">IF(ISNUMBER(A823),IFERROR(_xlfn._xlws.FILTER(Equipar!A:A,(Equipar!B:B=6)*(Equipar!AC:AC=A823)),""),"")</f>
        <v/>
      </c>
    </row>
    <row r="824" spans="1:10" x14ac:dyDescent="0.25">
      <c r="A824" s="1" t="str">
        <f ca="1">IF(A823="ID",1,IF(ISBLANK(B824),"",MAX(A$2:A823)+1))</f>
        <v/>
      </c>
      <c r="I824" s="2" t="str">
        <f ca="1">IF(ISNUMBER(A824),
IF(COUNTIFS(Equipar!B:B,6,Equipar!AC:AC,A824),"Equipada",
IF(
 OR(COUNTIFS(Equipar!B:B,6,Equipar!C:C,A824)
 +COUNTIFS(Equipar!B:B,6,Equipar!D:D,A824)
+COUNTIFS(Equipar!B:B,6,Equipar!E:E,A824)
+COUNTIFS(Equipar!B:B,6,Equipar!F:F,A824)
&gt;0,COUNTIF('Set recomendado'!B:B,C824)=0),
"Bloqueada",
"Desechable")),""
)</f>
        <v/>
      </c>
      <c r="J824" t="str" cm="1">
        <f t="array" aca="1" ref="J824" ca="1">IF(ISNUMBER(A824),IFERROR(_xlfn._xlws.FILTER(Equipar!A:A,(Equipar!B:B=6)*(Equipar!AC:AC=A824)),""),"")</f>
        <v/>
      </c>
    </row>
    <row r="825" spans="1:10" x14ac:dyDescent="0.25">
      <c r="A825" s="1" t="str">
        <f ca="1">IF(A824="ID",1,IF(ISBLANK(B825),"",MAX(A$2:A824)+1))</f>
        <v/>
      </c>
      <c r="I825" s="2" t="str">
        <f ca="1">IF(ISNUMBER(A825),
IF(COUNTIFS(Equipar!B:B,6,Equipar!AC:AC,A825),"Equipada",
IF(
 OR(COUNTIFS(Equipar!B:B,6,Equipar!C:C,A825)
 +COUNTIFS(Equipar!B:B,6,Equipar!D:D,A825)
+COUNTIFS(Equipar!B:B,6,Equipar!E:E,A825)
+COUNTIFS(Equipar!B:B,6,Equipar!F:F,A825)
&gt;0,COUNTIF('Set recomendado'!B:B,C825)=0),
"Bloqueada",
"Desechable")),""
)</f>
        <v/>
      </c>
      <c r="J825" t="str" cm="1">
        <f t="array" aca="1" ref="J825" ca="1">IF(ISNUMBER(A825),IFERROR(_xlfn._xlws.FILTER(Equipar!A:A,(Equipar!B:B=6)*(Equipar!AC:AC=A825)),""),"")</f>
        <v/>
      </c>
    </row>
    <row r="826" spans="1:10" x14ac:dyDescent="0.25">
      <c r="A826" s="1" t="str">
        <f ca="1">IF(A825="ID",1,IF(ISBLANK(B826),"",MAX(A$2:A825)+1))</f>
        <v/>
      </c>
      <c r="I826" s="2" t="str">
        <f ca="1">IF(ISNUMBER(A826),
IF(COUNTIFS(Equipar!B:B,6,Equipar!AC:AC,A826),"Equipada",
IF(
 OR(COUNTIFS(Equipar!B:B,6,Equipar!C:C,A826)
 +COUNTIFS(Equipar!B:B,6,Equipar!D:D,A826)
+COUNTIFS(Equipar!B:B,6,Equipar!E:E,A826)
+COUNTIFS(Equipar!B:B,6,Equipar!F:F,A826)
&gt;0,COUNTIF('Set recomendado'!B:B,C826)=0),
"Bloqueada",
"Desechable")),""
)</f>
        <v/>
      </c>
      <c r="J826" t="str" cm="1">
        <f t="array" aca="1" ref="J826" ca="1">IF(ISNUMBER(A826),IFERROR(_xlfn._xlws.FILTER(Equipar!A:A,(Equipar!B:B=6)*(Equipar!AC:AC=A826)),""),"")</f>
        <v/>
      </c>
    </row>
    <row r="827" spans="1:10" x14ac:dyDescent="0.25">
      <c r="A827" s="1" t="str">
        <f ca="1">IF(A826="ID",1,IF(ISBLANK(B827),"",MAX(A$2:A826)+1))</f>
        <v/>
      </c>
      <c r="I827" s="2" t="str">
        <f ca="1">IF(ISNUMBER(A827),
IF(COUNTIFS(Equipar!B:B,6,Equipar!AC:AC,A827),"Equipada",
IF(
 OR(COUNTIFS(Equipar!B:B,6,Equipar!C:C,A827)
 +COUNTIFS(Equipar!B:B,6,Equipar!D:D,A827)
+COUNTIFS(Equipar!B:B,6,Equipar!E:E,A827)
+COUNTIFS(Equipar!B:B,6,Equipar!F:F,A827)
&gt;0,COUNTIF('Set recomendado'!B:B,C827)=0),
"Bloqueada",
"Desechable")),""
)</f>
        <v/>
      </c>
      <c r="J827" t="str" cm="1">
        <f t="array" aca="1" ref="J827" ca="1">IF(ISNUMBER(A827),IFERROR(_xlfn._xlws.FILTER(Equipar!A:A,(Equipar!B:B=6)*(Equipar!AC:AC=A827)),""),"")</f>
        <v/>
      </c>
    </row>
    <row r="828" spans="1:10" x14ac:dyDescent="0.25">
      <c r="A828" s="1" t="str">
        <f ca="1">IF(A827="ID",1,IF(ISBLANK(B828),"",MAX(A$2:A827)+1))</f>
        <v/>
      </c>
      <c r="I828" s="2" t="str">
        <f ca="1">IF(ISNUMBER(A828),
IF(COUNTIFS(Equipar!B:B,6,Equipar!AC:AC,A828),"Equipada",
IF(
 OR(COUNTIFS(Equipar!B:B,6,Equipar!C:C,A828)
 +COUNTIFS(Equipar!B:B,6,Equipar!D:D,A828)
+COUNTIFS(Equipar!B:B,6,Equipar!E:E,A828)
+COUNTIFS(Equipar!B:B,6,Equipar!F:F,A828)
&gt;0,COUNTIF('Set recomendado'!B:B,C828)=0),
"Bloqueada",
"Desechable")),""
)</f>
        <v/>
      </c>
      <c r="J828" t="str" cm="1">
        <f t="array" aca="1" ref="J828" ca="1">IF(ISNUMBER(A828),IFERROR(_xlfn._xlws.FILTER(Equipar!A:A,(Equipar!B:B=6)*(Equipar!AC:AC=A828)),""),"")</f>
        <v/>
      </c>
    </row>
    <row r="829" spans="1:10" x14ac:dyDescent="0.25">
      <c r="A829" s="1" t="str">
        <f ca="1">IF(A828="ID",1,IF(ISBLANK(B829),"",MAX(A$2:A828)+1))</f>
        <v/>
      </c>
      <c r="I829" s="2" t="str">
        <f ca="1">IF(ISNUMBER(A829),
IF(COUNTIFS(Equipar!B:B,6,Equipar!AC:AC,A829),"Equipada",
IF(
 OR(COUNTIFS(Equipar!B:B,6,Equipar!C:C,A829)
 +COUNTIFS(Equipar!B:B,6,Equipar!D:D,A829)
+COUNTIFS(Equipar!B:B,6,Equipar!E:E,A829)
+COUNTIFS(Equipar!B:B,6,Equipar!F:F,A829)
&gt;0,COUNTIF('Set recomendado'!B:B,C829)=0),
"Bloqueada",
"Desechable")),""
)</f>
        <v/>
      </c>
      <c r="J829" t="str" cm="1">
        <f t="array" aca="1" ref="J829" ca="1">IF(ISNUMBER(A829),IFERROR(_xlfn._xlws.FILTER(Equipar!A:A,(Equipar!B:B=6)*(Equipar!AC:AC=A829)),""),"")</f>
        <v/>
      </c>
    </row>
    <row r="830" spans="1:10" x14ac:dyDescent="0.25">
      <c r="A830" s="1" t="str">
        <f ca="1">IF(A829="ID",1,IF(ISBLANK(B830),"",MAX(A$2:A829)+1))</f>
        <v/>
      </c>
      <c r="I830" s="2" t="str">
        <f ca="1">IF(ISNUMBER(A830),
IF(COUNTIFS(Equipar!B:B,6,Equipar!AC:AC,A830),"Equipada",
IF(
 OR(COUNTIFS(Equipar!B:B,6,Equipar!C:C,A830)
 +COUNTIFS(Equipar!B:B,6,Equipar!D:D,A830)
+COUNTIFS(Equipar!B:B,6,Equipar!E:E,A830)
+COUNTIFS(Equipar!B:B,6,Equipar!F:F,A830)
&gt;0,COUNTIF('Set recomendado'!B:B,C830)=0),
"Bloqueada",
"Desechable")),""
)</f>
        <v/>
      </c>
      <c r="J830" t="str" cm="1">
        <f t="array" aca="1" ref="J830" ca="1">IF(ISNUMBER(A830),IFERROR(_xlfn._xlws.FILTER(Equipar!A:A,(Equipar!B:B=6)*(Equipar!AC:AC=A830)),""),"")</f>
        <v/>
      </c>
    </row>
    <row r="831" spans="1:10" x14ac:dyDescent="0.25">
      <c r="A831" s="1" t="str">
        <f ca="1">IF(A830="ID",1,IF(ISBLANK(B831),"",MAX(A$2:A830)+1))</f>
        <v/>
      </c>
      <c r="I831" s="2" t="str">
        <f ca="1">IF(ISNUMBER(A831),
IF(COUNTIFS(Equipar!B:B,6,Equipar!AC:AC,A831),"Equipada",
IF(
 OR(COUNTIFS(Equipar!B:B,6,Equipar!C:C,A831)
 +COUNTIFS(Equipar!B:B,6,Equipar!D:D,A831)
+COUNTIFS(Equipar!B:B,6,Equipar!E:E,A831)
+COUNTIFS(Equipar!B:B,6,Equipar!F:F,A831)
&gt;0,COUNTIF('Set recomendado'!B:B,C831)=0),
"Bloqueada",
"Desechable")),""
)</f>
        <v/>
      </c>
      <c r="J831" t="str" cm="1">
        <f t="array" aca="1" ref="J831" ca="1">IF(ISNUMBER(A831),IFERROR(_xlfn._xlws.FILTER(Equipar!A:A,(Equipar!B:B=6)*(Equipar!AC:AC=A831)),""),"")</f>
        <v/>
      </c>
    </row>
    <row r="832" spans="1:10" x14ac:dyDescent="0.25">
      <c r="A832" s="1" t="str">
        <f ca="1">IF(A831="ID",1,IF(ISBLANK(B832),"",MAX(A$2:A831)+1))</f>
        <v/>
      </c>
      <c r="I832" s="2" t="str">
        <f ca="1">IF(ISNUMBER(A832),
IF(COUNTIFS(Equipar!B:B,6,Equipar!AC:AC,A832),"Equipada",
IF(
 OR(COUNTIFS(Equipar!B:B,6,Equipar!C:C,A832)
 +COUNTIFS(Equipar!B:B,6,Equipar!D:D,A832)
+COUNTIFS(Equipar!B:B,6,Equipar!E:E,A832)
+COUNTIFS(Equipar!B:B,6,Equipar!F:F,A832)
&gt;0,COUNTIF('Set recomendado'!B:B,C832)=0),
"Bloqueada",
"Desechable")),""
)</f>
        <v/>
      </c>
      <c r="J832" t="str" cm="1">
        <f t="array" aca="1" ref="J832" ca="1">IF(ISNUMBER(A832),IFERROR(_xlfn._xlws.FILTER(Equipar!A:A,(Equipar!B:B=6)*(Equipar!AC:AC=A832)),""),"")</f>
        <v/>
      </c>
    </row>
    <row r="833" spans="1:10" x14ac:dyDescent="0.25">
      <c r="A833" s="1" t="str">
        <f ca="1">IF(A832="ID",1,IF(ISBLANK(B833),"",MAX(A$2:A832)+1))</f>
        <v/>
      </c>
      <c r="I833" s="2" t="str">
        <f ca="1">IF(ISNUMBER(A833),
IF(COUNTIFS(Equipar!B:B,6,Equipar!AC:AC,A833),"Equipada",
IF(
 OR(COUNTIFS(Equipar!B:B,6,Equipar!C:C,A833)
 +COUNTIFS(Equipar!B:B,6,Equipar!D:D,A833)
+COUNTIFS(Equipar!B:B,6,Equipar!E:E,A833)
+COUNTIFS(Equipar!B:B,6,Equipar!F:F,A833)
&gt;0,COUNTIF('Set recomendado'!B:B,C833)=0),
"Bloqueada",
"Desechable")),""
)</f>
        <v/>
      </c>
      <c r="J833" t="str" cm="1">
        <f t="array" aca="1" ref="J833" ca="1">IF(ISNUMBER(A833),IFERROR(_xlfn._xlws.FILTER(Equipar!A:A,(Equipar!B:B=6)*(Equipar!AC:AC=A833)),""),"")</f>
        <v/>
      </c>
    </row>
    <row r="834" spans="1:10" x14ac:dyDescent="0.25">
      <c r="A834" s="1" t="str">
        <f ca="1">IF(A833="ID",1,IF(ISBLANK(B834),"",MAX(A$2:A833)+1))</f>
        <v/>
      </c>
      <c r="I834" s="2" t="str">
        <f ca="1">IF(ISNUMBER(A834),
IF(COUNTIFS(Equipar!B:B,6,Equipar!AC:AC,A834),"Equipada",
IF(
 OR(COUNTIFS(Equipar!B:B,6,Equipar!C:C,A834)
 +COUNTIFS(Equipar!B:B,6,Equipar!D:D,A834)
+COUNTIFS(Equipar!B:B,6,Equipar!E:E,A834)
+COUNTIFS(Equipar!B:B,6,Equipar!F:F,A834)
&gt;0,COUNTIF('Set recomendado'!B:B,C834)=0),
"Bloqueada",
"Desechable")),""
)</f>
        <v/>
      </c>
      <c r="J834" t="str" cm="1">
        <f t="array" aca="1" ref="J834" ca="1">IF(ISNUMBER(A834),IFERROR(_xlfn._xlws.FILTER(Equipar!A:A,(Equipar!B:B=6)*(Equipar!AC:AC=A834)),""),"")</f>
        <v/>
      </c>
    </row>
    <row r="835" spans="1:10" x14ac:dyDescent="0.25">
      <c r="A835" s="1" t="str">
        <f ca="1">IF(A834="ID",1,IF(ISBLANK(B835),"",MAX(A$2:A834)+1))</f>
        <v/>
      </c>
      <c r="I835" s="2" t="str">
        <f ca="1">IF(ISNUMBER(A835),
IF(COUNTIFS(Equipar!B:B,6,Equipar!AC:AC,A835),"Equipada",
IF(
 OR(COUNTIFS(Equipar!B:B,6,Equipar!C:C,A835)
 +COUNTIFS(Equipar!B:B,6,Equipar!D:D,A835)
+COUNTIFS(Equipar!B:B,6,Equipar!E:E,A835)
+COUNTIFS(Equipar!B:B,6,Equipar!F:F,A835)
&gt;0,COUNTIF('Set recomendado'!B:B,C835)=0),
"Bloqueada",
"Desechable")),""
)</f>
        <v/>
      </c>
      <c r="J835" t="str" cm="1">
        <f t="array" aca="1" ref="J835" ca="1">IF(ISNUMBER(A835),IFERROR(_xlfn._xlws.FILTER(Equipar!A:A,(Equipar!B:B=6)*(Equipar!AC:AC=A835)),""),"")</f>
        <v/>
      </c>
    </row>
    <row r="836" spans="1:10" x14ac:dyDescent="0.25">
      <c r="A836" s="1" t="str">
        <f ca="1">IF(A835="ID",1,IF(ISBLANK(B836),"",MAX(A$2:A835)+1))</f>
        <v/>
      </c>
      <c r="I836" s="2" t="str">
        <f ca="1">IF(ISNUMBER(A836),
IF(COUNTIFS(Equipar!B:B,6,Equipar!AC:AC,A836),"Equipada",
IF(
 OR(COUNTIFS(Equipar!B:B,6,Equipar!C:C,A836)
 +COUNTIFS(Equipar!B:B,6,Equipar!D:D,A836)
+COUNTIFS(Equipar!B:B,6,Equipar!E:E,A836)
+COUNTIFS(Equipar!B:B,6,Equipar!F:F,A836)
&gt;0,COUNTIF('Set recomendado'!B:B,C836)=0),
"Bloqueada",
"Desechable")),""
)</f>
        <v/>
      </c>
      <c r="J836" t="str" cm="1">
        <f t="array" aca="1" ref="J836" ca="1">IF(ISNUMBER(A836),IFERROR(_xlfn._xlws.FILTER(Equipar!A:A,(Equipar!B:B=6)*(Equipar!AC:AC=A836)),""),"")</f>
        <v/>
      </c>
    </row>
    <row r="837" spans="1:10" x14ac:dyDescent="0.25">
      <c r="A837" s="1" t="str">
        <f ca="1">IF(A836="ID",1,IF(ISBLANK(B837),"",MAX(A$2:A836)+1))</f>
        <v/>
      </c>
      <c r="I837" s="2" t="str">
        <f ca="1">IF(ISNUMBER(A837),
IF(COUNTIFS(Equipar!B:B,6,Equipar!AC:AC,A837),"Equipada",
IF(
 OR(COUNTIFS(Equipar!B:B,6,Equipar!C:C,A837)
 +COUNTIFS(Equipar!B:B,6,Equipar!D:D,A837)
+COUNTIFS(Equipar!B:B,6,Equipar!E:E,A837)
+COUNTIFS(Equipar!B:B,6,Equipar!F:F,A837)
&gt;0,COUNTIF('Set recomendado'!B:B,C837)=0),
"Bloqueada",
"Desechable")),""
)</f>
        <v/>
      </c>
      <c r="J837" t="str" cm="1">
        <f t="array" aca="1" ref="J837" ca="1">IF(ISNUMBER(A837),IFERROR(_xlfn._xlws.FILTER(Equipar!A:A,(Equipar!B:B=6)*(Equipar!AC:AC=A837)),""),"")</f>
        <v/>
      </c>
    </row>
    <row r="838" spans="1:10" x14ac:dyDescent="0.25">
      <c r="A838" s="1" t="str">
        <f ca="1">IF(A837="ID",1,IF(ISBLANK(B838),"",MAX(A$2:A837)+1))</f>
        <v/>
      </c>
      <c r="I838" s="2" t="str">
        <f ca="1">IF(ISNUMBER(A838),
IF(COUNTIFS(Equipar!B:B,6,Equipar!AC:AC,A838),"Equipada",
IF(
 OR(COUNTIFS(Equipar!B:B,6,Equipar!C:C,A838)
 +COUNTIFS(Equipar!B:B,6,Equipar!D:D,A838)
+COUNTIFS(Equipar!B:B,6,Equipar!E:E,A838)
+COUNTIFS(Equipar!B:B,6,Equipar!F:F,A838)
&gt;0,COUNTIF('Set recomendado'!B:B,C838)=0),
"Bloqueada",
"Desechable")),""
)</f>
        <v/>
      </c>
      <c r="J838" t="str" cm="1">
        <f t="array" aca="1" ref="J838" ca="1">IF(ISNUMBER(A838),IFERROR(_xlfn._xlws.FILTER(Equipar!A:A,(Equipar!B:B=6)*(Equipar!AC:AC=A838)),""),"")</f>
        <v/>
      </c>
    </row>
    <row r="839" spans="1:10" x14ac:dyDescent="0.25">
      <c r="A839" s="1" t="str">
        <f ca="1">IF(A838="ID",1,IF(ISBLANK(B839),"",MAX(A$2:A838)+1))</f>
        <v/>
      </c>
      <c r="I839" s="2" t="str">
        <f ca="1">IF(ISNUMBER(A839),
IF(COUNTIFS(Equipar!B:B,6,Equipar!AC:AC,A839),"Equipada",
IF(
 OR(COUNTIFS(Equipar!B:B,6,Equipar!C:C,A839)
 +COUNTIFS(Equipar!B:B,6,Equipar!D:D,A839)
+COUNTIFS(Equipar!B:B,6,Equipar!E:E,A839)
+COUNTIFS(Equipar!B:B,6,Equipar!F:F,A839)
&gt;0,COUNTIF('Set recomendado'!B:B,C839)=0),
"Bloqueada",
"Desechable")),""
)</f>
        <v/>
      </c>
      <c r="J839" t="str" cm="1">
        <f t="array" aca="1" ref="J839" ca="1">IF(ISNUMBER(A839),IFERROR(_xlfn._xlws.FILTER(Equipar!A:A,(Equipar!B:B=6)*(Equipar!AC:AC=A839)),""),"")</f>
        <v/>
      </c>
    </row>
    <row r="840" spans="1:10" x14ac:dyDescent="0.25">
      <c r="A840" s="1" t="str">
        <f ca="1">IF(A839="ID",1,IF(ISBLANK(B840),"",MAX(A$2:A839)+1))</f>
        <v/>
      </c>
      <c r="I840" s="2" t="str">
        <f ca="1">IF(ISNUMBER(A840),
IF(COUNTIFS(Equipar!B:B,6,Equipar!AC:AC,A840),"Equipada",
IF(
 OR(COUNTIFS(Equipar!B:B,6,Equipar!C:C,A840)
 +COUNTIFS(Equipar!B:B,6,Equipar!D:D,A840)
+COUNTIFS(Equipar!B:B,6,Equipar!E:E,A840)
+COUNTIFS(Equipar!B:B,6,Equipar!F:F,A840)
&gt;0,COUNTIF('Set recomendado'!B:B,C840)=0),
"Bloqueada",
"Desechable")),""
)</f>
        <v/>
      </c>
      <c r="J840" t="str" cm="1">
        <f t="array" aca="1" ref="J840" ca="1">IF(ISNUMBER(A840),IFERROR(_xlfn._xlws.FILTER(Equipar!A:A,(Equipar!B:B=6)*(Equipar!AC:AC=A840)),""),"")</f>
        <v/>
      </c>
    </row>
    <row r="841" spans="1:10" x14ac:dyDescent="0.25">
      <c r="A841" s="1" t="str">
        <f ca="1">IF(A840="ID",1,IF(ISBLANK(B841),"",MAX(A$2:A840)+1))</f>
        <v/>
      </c>
      <c r="I841" s="2" t="str">
        <f ca="1">IF(ISNUMBER(A841),
IF(COUNTIFS(Equipar!B:B,6,Equipar!AC:AC,A841),"Equipada",
IF(
 OR(COUNTIFS(Equipar!B:B,6,Equipar!C:C,A841)
 +COUNTIFS(Equipar!B:B,6,Equipar!D:D,A841)
+COUNTIFS(Equipar!B:B,6,Equipar!E:E,A841)
+COUNTIFS(Equipar!B:B,6,Equipar!F:F,A841)
&gt;0,COUNTIF('Set recomendado'!B:B,C841)=0),
"Bloqueada",
"Desechable")),""
)</f>
        <v/>
      </c>
      <c r="J841" t="str" cm="1">
        <f t="array" aca="1" ref="J841" ca="1">IF(ISNUMBER(A841),IFERROR(_xlfn._xlws.FILTER(Equipar!A:A,(Equipar!B:B=6)*(Equipar!AC:AC=A841)),""),"")</f>
        <v/>
      </c>
    </row>
    <row r="842" spans="1:10" x14ac:dyDescent="0.25">
      <c r="A842" s="1" t="str">
        <f ca="1">IF(A841="ID",1,IF(ISBLANK(B842),"",MAX(A$2:A841)+1))</f>
        <v/>
      </c>
      <c r="I842" s="2" t="str">
        <f ca="1">IF(ISNUMBER(A842),
IF(COUNTIFS(Equipar!B:B,6,Equipar!AC:AC,A842),"Equipada",
IF(
 OR(COUNTIFS(Equipar!B:B,6,Equipar!C:C,A842)
 +COUNTIFS(Equipar!B:B,6,Equipar!D:D,A842)
+COUNTIFS(Equipar!B:B,6,Equipar!E:E,A842)
+COUNTIFS(Equipar!B:B,6,Equipar!F:F,A842)
&gt;0,COUNTIF('Set recomendado'!B:B,C842)=0),
"Bloqueada",
"Desechable")),""
)</f>
        <v/>
      </c>
      <c r="J842" t="str" cm="1">
        <f t="array" aca="1" ref="J842" ca="1">IF(ISNUMBER(A842),IFERROR(_xlfn._xlws.FILTER(Equipar!A:A,(Equipar!B:B=6)*(Equipar!AC:AC=A842)),""),"")</f>
        <v/>
      </c>
    </row>
    <row r="843" spans="1:10" x14ac:dyDescent="0.25">
      <c r="A843" s="1" t="str">
        <f ca="1">IF(A842="ID",1,IF(ISBLANK(B843),"",MAX(A$2:A842)+1))</f>
        <v/>
      </c>
      <c r="I843" s="2" t="str">
        <f ca="1">IF(ISNUMBER(A843),
IF(COUNTIFS(Equipar!B:B,6,Equipar!AC:AC,A843),"Equipada",
IF(
 OR(COUNTIFS(Equipar!B:B,6,Equipar!C:C,A843)
 +COUNTIFS(Equipar!B:B,6,Equipar!D:D,A843)
+COUNTIFS(Equipar!B:B,6,Equipar!E:E,A843)
+COUNTIFS(Equipar!B:B,6,Equipar!F:F,A843)
&gt;0,COUNTIF('Set recomendado'!B:B,C843)=0),
"Bloqueada",
"Desechable")),""
)</f>
        <v/>
      </c>
      <c r="J843" t="str" cm="1">
        <f t="array" aca="1" ref="J843" ca="1">IF(ISNUMBER(A843),IFERROR(_xlfn._xlws.FILTER(Equipar!A:A,(Equipar!B:B=6)*(Equipar!AC:AC=A843)),""),"")</f>
        <v/>
      </c>
    </row>
    <row r="844" spans="1:10" x14ac:dyDescent="0.25">
      <c r="A844" s="1" t="str">
        <f ca="1">IF(A843="ID",1,IF(ISBLANK(B844),"",MAX(A$2:A843)+1))</f>
        <v/>
      </c>
      <c r="I844" s="2" t="str">
        <f ca="1">IF(ISNUMBER(A844),
IF(COUNTIFS(Equipar!B:B,6,Equipar!AC:AC,A844),"Equipada",
IF(
 OR(COUNTIFS(Equipar!B:B,6,Equipar!C:C,A844)
 +COUNTIFS(Equipar!B:B,6,Equipar!D:D,A844)
+COUNTIFS(Equipar!B:B,6,Equipar!E:E,A844)
+COUNTIFS(Equipar!B:B,6,Equipar!F:F,A844)
&gt;0,COUNTIF('Set recomendado'!B:B,C844)=0),
"Bloqueada",
"Desechable")),""
)</f>
        <v/>
      </c>
      <c r="J844" t="str" cm="1">
        <f t="array" aca="1" ref="J844" ca="1">IF(ISNUMBER(A844),IFERROR(_xlfn._xlws.FILTER(Equipar!A:A,(Equipar!B:B=6)*(Equipar!AC:AC=A844)),""),"")</f>
        <v/>
      </c>
    </row>
    <row r="845" spans="1:10" x14ac:dyDescent="0.25">
      <c r="A845" s="1" t="str">
        <f ca="1">IF(A844="ID",1,IF(ISBLANK(B845),"",MAX(A$2:A844)+1))</f>
        <v/>
      </c>
      <c r="I845" s="2" t="str">
        <f ca="1">IF(ISNUMBER(A845),
IF(COUNTIFS(Equipar!B:B,6,Equipar!AC:AC,A845),"Equipada",
IF(
 OR(COUNTIFS(Equipar!B:B,6,Equipar!C:C,A845)
 +COUNTIFS(Equipar!B:B,6,Equipar!D:D,A845)
+COUNTIFS(Equipar!B:B,6,Equipar!E:E,A845)
+COUNTIFS(Equipar!B:B,6,Equipar!F:F,A845)
&gt;0,COUNTIF('Set recomendado'!B:B,C845)=0),
"Bloqueada",
"Desechable")),""
)</f>
        <v/>
      </c>
      <c r="J845" t="str" cm="1">
        <f t="array" aca="1" ref="J845" ca="1">IF(ISNUMBER(A845),IFERROR(_xlfn._xlws.FILTER(Equipar!A:A,(Equipar!B:B=6)*(Equipar!AC:AC=A845)),""),"")</f>
        <v/>
      </c>
    </row>
    <row r="846" spans="1:10" x14ac:dyDescent="0.25">
      <c r="A846" s="1" t="str">
        <f ca="1">IF(A845="ID",1,IF(ISBLANK(B846),"",MAX(A$2:A845)+1))</f>
        <v/>
      </c>
      <c r="I846" s="2" t="str">
        <f ca="1">IF(ISNUMBER(A846),
IF(COUNTIFS(Equipar!B:B,6,Equipar!AC:AC,A846),"Equipada",
IF(
 OR(COUNTIFS(Equipar!B:B,6,Equipar!C:C,A846)
 +COUNTIFS(Equipar!B:B,6,Equipar!D:D,A846)
+COUNTIFS(Equipar!B:B,6,Equipar!E:E,A846)
+COUNTIFS(Equipar!B:B,6,Equipar!F:F,A846)
&gt;0,COUNTIF('Set recomendado'!B:B,C846)=0),
"Bloqueada",
"Desechable")),""
)</f>
        <v/>
      </c>
      <c r="J846" t="str" cm="1">
        <f t="array" aca="1" ref="J846" ca="1">IF(ISNUMBER(A846),IFERROR(_xlfn._xlws.FILTER(Equipar!A:A,(Equipar!B:B=6)*(Equipar!AC:AC=A846)),""),"")</f>
        <v/>
      </c>
    </row>
    <row r="847" spans="1:10" x14ac:dyDescent="0.25">
      <c r="A847" s="1" t="str">
        <f ca="1">IF(A846="ID",1,IF(ISBLANK(B847),"",MAX(A$2:A846)+1))</f>
        <v/>
      </c>
      <c r="I847" s="2" t="str">
        <f ca="1">IF(ISNUMBER(A847),
IF(COUNTIFS(Equipar!B:B,6,Equipar!AC:AC,A847),"Equipada",
IF(
 OR(COUNTIFS(Equipar!B:B,6,Equipar!C:C,A847)
 +COUNTIFS(Equipar!B:B,6,Equipar!D:D,A847)
+COUNTIFS(Equipar!B:B,6,Equipar!E:E,A847)
+COUNTIFS(Equipar!B:B,6,Equipar!F:F,A847)
&gt;0,COUNTIF('Set recomendado'!B:B,C847)=0),
"Bloqueada",
"Desechable")),""
)</f>
        <v/>
      </c>
      <c r="J847" t="str" cm="1">
        <f t="array" aca="1" ref="J847" ca="1">IF(ISNUMBER(A847),IFERROR(_xlfn._xlws.FILTER(Equipar!A:A,(Equipar!B:B=6)*(Equipar!AC:AC=A847)),""),"")</f>
        <v/>
      </c>
    </row>
    <row r="848" spans="1:10" x14ac:dyDescent="0.25">
      <c r="A848" s="1" t="str">
        <f ca="1">IF(A847="ID",1,IF(ISBLANK(B848),"",MAX(A$2:A847)+1))</f>
        <v/>
      </c>
      <c r="I848" s="2" t="str">
        <f ca="1">IF(ISNUMBER(A848),
IF(COUNTIFS(Equipar!B:B,6,Equipar!AC:AC,A848),"Equipada",
IF(
 OR(COUNTIFS(Equipar!B:B,6,Equipar!C:C,A848)
 +COUNTIFS(Equipar!B:B,6,Equipar!D:D,A848)
+COUNTIFS(Equipar!B:B,6,Equipar!E:E,A848)
+COUNTIFS(Equipar!B:B,6,Equipar!F:F,A848)
&gt;0,COUNTIF('Set recomendado'!B:B,C848)=0),
"Bloqueada",
"Desechable")),""
)</f>
        <v/>
      </c>
      <c r="J848" t="str" cm="1">
        <f t="array" aca="1" ref="J848" ca="1">IF(ISNUMBER(A848),IFERROR(_xlfn._xlws.FILTER(Equipar!A:A,(Equipar!B:B=6)*(Equipar!AC:AC=A848)),""),"")</f>
        <v/>
      </c>
    </row>
    <row r="849" spans="1:10" x14ac:dyDescent="0.25">
      <c r="A849" s="1" t="str">
        <f ca="1">IF(A848="ID",1,IF(ISBLANK(B849),"",MAX(A$2:A848)+1))</f>
        <v/>
      </c>
      <c r="I849" s="2" t="str">
        <f ca="1">IF(ISNUMBER(A849),
IF(COUNTIFS(Equipar!B:B,6,Equipar!AC:AC,A849),"Equipada",
IF(
 OR(COUNTIFS(Equipar!B:B,6,Equipar!C:C,A849)
 +COUNTIFS(Equipar!B:B,6,Equipar!D:D,A849)
+COUNTIFS(Equipar!B:B,6,Equipar!E:E,A849)
+COUNTIFS(Equipar!B:B,6,Equipar!F:F,A849)
&gt;0,COUNTIF('Set recomendado'!B:B,C849)=0),
"Bloqueada",
"Desechable")),""
)</f>
        <v/>
      </c>
      <c r="J849" t="str" cm="1">
        <f t="array" aca="1" ref="J849" ca="1">IF(ISNUMBER(A849),IFERROR(_xlfn._xlws.FILTER(Equipar!A:A,(Equipar!B:B=6)*(Equipar!AC:AC=A849)),""),"")</f>
        <v/>
      </c>
    </row>
    <row r="850" spans="1:10" x14ac:dyDescent="0.25">
      <c r="A850" s="1" t="str">
        <f ca="1">IF(A849="ID",1,IF(ISBLANK(B850),"",MAX(A$2:A849)+1))</f>
        <v/>
      </c>
      <c r="I850" s="2" t="str">
        <f ca="1">IF(ISNUMBER(A850),
IF(COUNTIFS(Equipar!B:B,6,Equipar!AC:AC,A850),"Equipada",
IF(
 OR(COUNTIFS(Equipar!B:B,6,Equipar!C:C,A850)
 +COUNTIFS(Equipar!B:B,6,Equipar!D:D,A850)
+COUNTIFS(Equipar!B:B,6,Equipar!E:E,A850)
+COUNTIFS(Equipar!B:B,6,Equipar!F:F,A850)
&gt;0,COUNTIF('Set recomendado'!B:B,C850)=0),
"Bloqueada",
"Desechable")),""
)</f>
        <v/>
      </c>
      <c r="J850" t="str" cm="1">
        <f t="array" aca="1" ref="J850" ca="1">IF(ISNUMBER(A850),IFERROR(_xlfn._xlws.FILTER(Equipar!A:A,(Equipar!B:B=6)*(Equipar!AC:AC=A850)),""),"")</f>
        <v/>
      </c>
    </row>
    <row r="851" spans="1:10" x14ac:dyDescent="0.25">
      <c r="A851" s="1" t="str">
        <f ca="1">IF(A850="ID",1,IF(ISBLANK(B851),"",MAX(A$2:A850)+1))</f>
        <v/>
      </c>
      <c r="I851" s="2" t="str">
        <f ca="1">IF(ISNUMBER(A851),
IF(COUNTIFS(Equipar!B:B,6,Equipar!AC:AC,A851),"Equipada",
IF(
 OR(COUNTIFS(Equipar!B:B,6,Equipar!C:C,A851)
 +COUNTIFS(Equipar!B:B,6,Equipar!D:D,A851)
+COUNTIFS(Equipar!B:B,6,Equipar!E:E,A851)
+COUNTIFS(Equipar!B:B,6,Equipar!F:F,A851)
&gt;0,COUNTIF('Set recomendado'!B:B,C851)=0),
"Bloqueada",
"Desechable")),""
)</f>
        <v/>
      </c>
      <c r="J851" t="str" cm="1">
        <f t="array" aca="1" ref="J851" ca="1">IF(ISNUMBER(A851),IFERROR(_xlfn._xlws.FILTER(Equipar!A:A,(Equipar!B:B=6)*(Equipar!AC:AC=A851)),""),"")</f>
        <v/>
      </c>
    </row>
    <row r="852" spans="1:10" x14ac:dyDescent="0.25">
      <c r="A852" s="1" t="str">
        <f ca="1">IF(A851="ID",1,IF(ISBLANK(B852),"",MAX(A$2:A851)+1))</f>
        <v/>
      </c>
      <c r="I852" s="2" t="str">
        <f ca="1">IF(ISNUMBER(A852),
IF(COUNTIFS(Equipar!B:B,6,Equipar!AC:AC,A852),"Equipada",
IF(
 OR(COUNTIFS(Equipar!B:B,6,Equipar!C:C,A852)
 +COUNTIFS(Equipar!B:B,6,Equipar!D:D,A852)
+COUNTIFS(Equipar!B:B,6,Equipar!E:E,A852)
+COUNTIFS(Equipar!B:B,6,Equipar!F:F,A852)
&gt;0,COUNTIF('Set recomendado'!B:B,C852)=0),
"Bloqueada",
"Desechable")),""
)</f>
        <v/>
      </c>
      <c r="J852" t="str" cm="1">
        <f t="array" aca="1" ref="J852" ca="1">IF(ISNUMBER(A852),IFERROR(_xlfn._xlws.FILTER(Equipar!A:A,(Equipar!B:B=6)*(Equipar!AC:AC=A852)),""),"")</f>
        <v/>
      </c>
    </row>
    <row r="853" spans="1:10" x14ac:dyDescent="0.25">
      <c r="A853" s="1" t="str">
        <f ca="1">IF(A852="ID",1,IF(ISBLANK(B853),"",MAX(A$2:A852)+1))</f>
        <v/>
      </c>
      <c r="I853" s="2" t="str">
        <f ca="1">IF(ISNUMBER(A853),
IF(COUNTIFS(Equipar!B:B,6,Equipar!AC:AC,A853),"Equipada",
IF(
 OR(COUNTIFS(Equipar!B:B,6,Equipar!C:C,A853)
 +COUNTIFS(Equipar!B:B,6,Equipar!D:D,A853)
+COUNTIFS(Equipar!B:B,6,Equipar!E:E,A853)
+COUNTIFS(Equipar!B:B,6,Equipar!F:F,A853)
&gt;0,COUNTIF('Set recomendado'!B:B,C853)=0),
"Bloqueada",
"Desechable")),""
)</f>
        <v/>
      </c>
      <c r="J853" t="str" cm="1">
        <f t="array" aca="1" ref="J853" ca="1">IF(ISNUMBER(A853),IFERROR(_xlfn._xlws.FILTER(Equipar!A:A,(Equipar!B:B=6)*(Equipar!AC:AC=A853)),""),"")</f>
        <v/>
      </c>
    </row>
    <row r="854" spans="1:10" x14ac:dyDescent="0.25">
      <c r="A854" s="1" t="str">
        <f ca="1">IF(A853="ID",1,IF(ISBLANK(B854),"",MAX(A$2:A853)+1))</f>
        <v/>
      </c>
      <c r="I854" s="2" t="str">
        <f ca="1">IF(ISNUMBER(A854),
IF(COUNTIFS(Equipar!B:B,6,Equipar!AC:AC,A854),"Equipada",
IF(
 OR(COUNTIFS(Equipar!B:B,6,Equipar!C:C,A854)
 +COUNTIFS(Equipar!B:B,6,Equipar!D:D,A854)
+COUNTIFS(Equipar!B:B,6,Equipar!E:E,A854)
+COUNTIFS(Equipar!B:B,6,Equipar!F:F,A854)
&gt;0,COUNTIF('Set recomendado'!B:B,C854)=0),
"Bloqueada",
"Desechable")),""
)</f>
        <v/>
      </c>
      <c r="J854" t="str" cm="1">
        <f t="array" aca="1" ref="J854" ca="1">IF(ISNUMBER(A854),IFERROR(_xlfn._xlws.FILTER(Equipar!A:A,(Equipar!B:B=6)*(Equipar!AC:AC=A854)),""),"")</f>
        <v/>
      </c>
    </row>
    <row r="855" spans="1:10" x14ac:dyDescent="0.25">
      <c r="A855" s="1" t="str">
        <f ca="1">IF(A854="ID",1,IF(ISBLANK(B855),"",MAX(A$2:A854)+1))</f>
        <v/>
      </c>
      <c r="I855" s="2" t="str">
        <f ca="1">IF(ISNUMBER(A855),
IF(COUNTIFS(Equipar!B:B,6,Equipar!AC:AC,A855),"Equipada",
IF(
 OR(COUNTIFS(Equipar!B:B,6,Equipar!C:C,A855)
 +COUNTIFS(Equipar!B:B,6,Equipar!D:D,A855)
+COUNTIFS(Equipar!B:B,6,Equipar!E:E,A855)
+COUNTIFS(Equipar!B:B,6,Equipar!F:F,A855)
&gt;0,COUNTIF('Set recomendado'!B:B,C855)=0),
"Bloqueada",
"Desechable")),""
)</f>
        <v/>
      </c>
      <c r="J855" t="str" cm="1">
        <f t="array" aca="1" ref="J855" ca="1">IF(ISNUMBER(A855),IFERROR(_xlfn._xlws.FILTER(Equipar!A:A,(Equipar!B:B=6)*(Equipar!AC:AC=A855)),""),"")</f>
        <v/>
      </c>
    </row>
    <row r="856" spans="1:10" x14ac:dyDescent="0.25">
      <c r="A856" s="1" t="str">
        <f ca="1">IF(A855="ID",1,IF(ISBLANK(B856),"",MAX(A$2:A855)+1))</f>
        <v/>
      </c>
      <c r="I856" s="2" t="str">
        <f ca="1">IF(ISNUMBER(A856),
IF(COUNTIFS(Equipar!B:B,6,Equipar!AC:AC,A856),"Equipada",
IF(
 OR(COUNTIFS(Equipar!B:B,6,Equipar!C:C,A856)
 +COUNTIFS(Equipar!B:B,6,Equipar!D:D,A856)
+COUNTIFS(Equipar!B:B,6,Equipar!E:E,A856)
+COUNTIFS(Equipar!B:B,6,Equipar!F:F,A856)
&gt;0,COUNTIF('Set recomendado'!B:B,C856)=0),
"Bloqueada",
"Desechable")),""
)</f>
        <v/>
      </c>
      <c r="J856" t="str" cm="1">
        <f t="array" aca="1" ref="J856" ca="1">IF(ISNUMBER(A856),IFERROR(_xlfn._xlws.FILTER(Equipar!A:A,(Equipar!B:B=6)*(Equipar!AC:AC=A856)),""),"")</f>
        <v/>
      </c>
    </row>
    <row r="857" spans="1:10" x14ac:dyDescent="0.25">
      <c r="A857" s="1" t="str">
        <f ca="1">IF(A856="ID",1,IF(ISBLANK(B857),"",MAX(A$2:A856)+1))</f>
        <v/>
      </c>
      <c r="I857" s="2" t="str">
        <f ca="1">IF(ISNUMBER(A857),
IF(COUNTIFS(Equipar!B:B,6,Equipar!AC:AC,A857),"Equipada",
IF(
 OR(COUNTIFS(Equipar!B:B,6,Equipar!C:C,A857)
 +COUNTIFS(Equipar!B:B,6,Equipar!D:D,A857)
+COUNTIFS(Equipar!B:B,6,Equipar!E:E,A857)
+COUNTIFS(Equipar!B:B,6,Equipar!F:F,A857)
&gt;0,COUNTIF('Set recomendado'!B:B,C857)=0),
"Bloqueada",
"Desechable")),""
)</f>
        <v/>
      </c>
      <c r="J857" t="str" cm="1">
        <f t="array" aca="1" ref="J857" ca="1">IF(ISNUMBER(A857),IFERROR(_xlfn._xlws.FILTER(Equipar!A:A,(Equipar!B:B=6)*(Equipar!AC:AC=A857)),""),"")</f>
        <v/>
      </c>
    </row>
    <row r="858" spans="1:10" x14ac:dyDescent="0.25">
      <c r="A858" s="1" t="str">
        <f ca="1">IF(A857="ID",1,IF(ISBLANK(B858),"",MAX(A$2:A857)+1))</f>
        <v/>
      </c>
      <c r="I858" s="2" t="str">
        <f ca="1">IF(ISNUMBER(A858),
IF(COUNTIFS(Equipar!B:B,6,Equipar!AC:AC,A858),"Equipada",
IF(
 OR(COUNTIFS(Equipar!B:B,6,Equipar!C:C,A858)
 +COUNTIFS(Equipar!B:B,6,Equipar!D:D,A858)
+COUNTIFS(Equipar!B:B,6,Equipar!E:E,A858)
+COUNTIFS(Equipar!B:B,6,Equipar!F:F,A858)
&gt;0,COUNTIF('Set recomendado'!B:B,C858)=0),
"Bloqueada",
"Desechable")),""
)</f>
        <v/>
      </c>
      <c r="J858" t="str" cm="1">
        <f t="array" aca="1" ref="J858" ca="1">IF(ISNUMBER(A858),IFERROR(_xlfn._xlws.FILTER(Equipar!A:A,(Equipar!B:B=6)*(Equipar!AC:AC=A858)),""),"")</f>
        <v/>
      </c>
    </row>
    <row r="859" spans="1:10" x14ac:dyDescent="0.25">
      <c r="A859" s="1" t="str">
        <f ca="1">IF(A858="ID",1,IF(ISBLANK(B859),"",MAX(A$2:A858)+1))</f>
        <v/>
      </c>
      <c r="I859" s="2" t="str">
        <f ca="1">IF(ISNUMBER(A859),
IF(COUNTIFS(Equipar!B:B,6,Equipar!AC:AC,A859),"Equipada",
IF(
 OR(COUNTIFS(Equipar!B:B,6,Equipar!C:C,A859)
 +COUNTIFS(Equipar!B:B,6,Equipar!D:D,A859)
+COUNTIFS(Equipar!B:B,6,Equipar!E:E,A859)
+COUNTIFS(Equipar!B:B,6,Equipar!F:F,A859)
&gt;0,COUNTIF('Set recomendado'!B:B,C859)=0),
"Bloqueada",
"Desechable")),""
)</f>
        <v/>
      </c>
      <c r="J859" t="str" cm="1">
        <f t="array" aca="1" ref="J859" ca="1">IF(ISNUMBER(A859),IFERROR(_xlfn._xlws.FILTER(Equipar!A:A,(Equipar!B:B=6)*(Equipar!AC:AC=A859)),""),"")</f>
        <v/>
      </c>
    </row>
    <row r="860" spans="1:10" x14ac:dyDescent="0.25">
      <c r="A860" s="1" t="str">
        <f ca="1">IF(A859="ID",1,IF(ISBLANK(B860),"",MAX(A$2:A859)+1))</f>
        <v/>
      </c>
      <c r="I860" s="2" t="str">
        <f ca="1">IF(ISNUMBER(A860),
IF(COUNTIFS(Equipar!B:B,6,Equipar!AC:AC,A860),"Equipada",
IF(
 OR(COUNTIFS(Equipar!B:B,6,Equipar!C:C,A860)
 +COUNTIFS(Equipar!B:B,6,Equipar!D:D,A860)
+COUNTIFS(Equipar!B:B,6,Equipar!E:E,A860)
+COUNTIFS(Equipar!B:B,6,Equipar!F:F,A860)
&gt;0,COUNTIF('Set recomendado'!B:B,C860)=0),
"Bloqueada",
"Desechable")),""
)</f>
        <v/>
      </c>
      <c r="J860" t="str" cm="1">
        <f t="array" aca="1" ref="J860" ca="1">IF(ISNUMBER(A860),IFERROR(_xlfn._xlws.FILTER(Equipar!A:A,(Equipar!B:B=6)*(Equipar!AC:AC=A860)),""),"")</f>
        <v/>
      </c>
    </row>
    <row r="861" spans="1:10" x14ac:dyDescent="0.25">
      <c r="A861" s="1" t="str">
        <f ca="1">IF(A860="ID",1,IF(ISBLANK(B861),"",MAX(A$2:A860)+1))</f>
        <v/>
      </c>
      <c r="I861" s="2" t="str">
        <f ca="1">IF(ISNUMBER(A861),
IF(COUNTIFS(Equipar!B:B,6,Equipar!AC:AC,A861),"Equipada",
IF(
 OR(COUNTIFS(Equipar!B:B,6,Equipar!C:C,A861)
 +COUNTIFS(Equipar!B:B,6,Equipar!D:D,A861)
+COUNTIFS(Equipar!B:B,6,Equipar!E:E,A861)
+COUNTIFS(Equipar!B:B,6,Equipar!F:F,A861)
&gt;0,COUNTIF('Set recomendado'!B:B,C861)=0),
"Bloqueada",
"Desechable")),""
)</f>
        <v/>
      </c>
      <c r="J861" t="str" cm="1">
        <f t="array" aca="1" ref="J861" ca="1">IF(ISNUMBER(A861),IFERROR(_xlfn._xlws.FILTER(Equipar!A:A,(Equipar!B:B=6)*(Equipar!AC:AC=A861)),""),"")</f>
        <v/>
      </c>
    </row>
    <row r="862" spans="1:10" x14ac:dyDescent="0.25">
      <c r="A862" s="1" t="str">
        <f ca="1">IF(A861="ID",1,IF(ISBLANK(B862),"",MAX(A$2:A861)+1))</f>
        <v/>
      </c>
      <c r="I862" s="2" t="str">
        <f ca="1">IF(ISNUMBER(A862),
IF(COUNTIFS(Equipar!B:B,6,Equipar!AC:AC,A862),"Equipada",
IF(
 OR(COUNTIFS(Equipar!B:B,6,Equipar!C:C,A862)
 +COUNTIFS(Equipar!B:B,6,Equipar!D:D,A862)
+COUNTIFS(Equipar!B:B,6,Equipar!E:E,A862)
+COUNTIFS(Equipar!B:B,6,Equipar!F:F,A862)
&gt;0,COUNTIF('Set recomendado'!B:B,C862)=0),
"Bloqueada",
"Desechable")),""
)</f>
        <v/>
      </c>
      <c r="J862" t="str" cm="1">
        <f t="array" aca="1" ref="J862" ca="1">IF(ISNUMBER(A862),IFERROR(_xlfn._xlws.FILTER(Equipar!A:A,(Equipar!B:B=6)*(Equipar!AC:AC=A862)),""),"")</f>
        <v/>
      </c>
    </row>
    <row r="863" spans="1:10" x14ac:dyDescent="0.25">
      <c r="A863" s="1" t="str">
        <f ca="1">IF(A862="ID",1,IF(ISBLANK(B863),"",MAX(A$2:A862)+1))</f>
        <v/>
      </c>
      <c r="I863" s="2" t="str">
        <f ca="1">IF(ISNUMBER(A863),
IF(COUNTIFS(Equipar!B:B,6,Equipar!AC:AC,A863),"Equipada",
IF(
 OR(COUNTIFS(Equipar!B:B,6,Equipar!C:C,A863)
 +COUNTIFS(Equipar!B:B,6,Equipar!D:D,A863)
+COUNTIFS(Equipar!B:B,6,Equipar!E:E,A863)
+COUNTIFS(Equipar!B:B,6,Equipar!F:F,A863)
&gt;0,COUNTIF('Set recomendado'!B:B,C863)=0),
"Bloqueada",
"Desechable")),""
)</f>
        <v/>
      </c>
      <c r="J863" t="str" cm="1">
        <f t="array" aca="1" ref="J863" ca="1">IF(ISNUMBER(A863),IFERROR(_xlfn._xlws.FILTER(Equipar!A:A,(Equipar!B:B=6)*(Equipar!AC:AC=A863)),""),"")</f>
        <v/>
      </c>
    </row>
    <row r="864" spans="1:10" x14ac:dyDescent="0.25">
      <c r="A864" s="1" t="str">
        <f ca="1">IF(A863="ID",1,IF(ISBLANK(B864),"",MAX(A$2:A863)+1))</f>
        <v/>
      </c>
      <c r="I864" s="2" t="str">
        <f ca="1">IF(ISNUMBER(A864),
IF(COUNTIFS(Equipar!B:B,6,Equipar!AC:AC,A864),"Equipada",
IF(
 OR(COUNTIFS(Equipar!B:B,6,Equipar!C:C,A864)
 +COUNTIFS(Equipar!B:B,6,Equipar!D:D,A864)
+COUNTIFS(Equipar!B:B,6,Equipar!E:E,A864)
+COUNTIFS(Equipar!B:B,6,Equipar!F:F,A864)
&gt;0,COUNTIF('Set recomendado'!B:B,C864)=0),
"Bloqueada",
"Desechable")),""
)</f>
        <v/>
      </c>
      <c r="J864" t="str" cm="1">
        <f t="array" aca="1" ref="J864" ca="1">IF(ISNUMBER(A864),IFERROR(_xlfn._xlws.FILTER(Equipar!A:A,(Equipar!B:B=6)*(Equipar!AC:AC=A864)),""),"")</f>
        <v/>
      </c>
    </row>
    <row r="865" spans="1:10" x14ac:dyDescent="0.25">
      <c r="A865" s="1" t="str">
        <f ca="1">IF(A864="ID",1,IF(ISBLANK(B865),"",MAX(A$2:A864)+1))</f>
        <v/>
      </c>
      <c r="I865" s="2" t="str">
        <f ca="1">IF(ISNUMBER(A865),
IF(COUNTIFS(Equipar!B:B,6,Equipar!AC:AC,A865),"Equipada",
IF(
 OR(COUNTIFS(Equipar!B:B,6,Equipar!C:C,A865)
 +COUNTIFS(Equipar!B:B,6,Equipar!D:D,A865)
+COUNTIFS(Equipar!B:B,6,Equipar!E:E,A865)
+COUNTIFS(Equipar!B:B,6,Equipar!F:F,A865)
&gt;0,COUNTIF('Set recomendado'!B:B,C865)=0),
"Bloqueada",
"Desechable")),""
)</f>
        <v/>
      </c>
      <c r="J865" t="str" cm="1">
        <f t="array" aca="1" ref="J865" ca="1">IF(ISNUMBER(A865),IFERROR(_xlfn._xlws.FILTER(Equipar!A:A,(Equipar!B:B=6)*(Equipar!AC:AC=A865)),""),"")</f>
        <v/>
      </c>
    </row>
    <row r="866" spans="1:10" x14ac:dyDescent="0.25">
      <c r="A866" s="1" t="str">
        <f ca="1">IF(A865="ID",1,IF(ISBLANK(B866),"",MAX(A$2:A865)+1))</f>
        <v/>
      </c>
      <c r="I866" s="2" t="str">
        <f ca="1">IF(ISNUMBER(A866),
IF(COUNTIFS(Equipar!B:B,6,Equipar!AC:AC,A866),"Equipada",
IF(
 OR(COUNTIFS(Equipar!B:B,6,Equipar!C:C,A866)
 +COUNTIFS(Equipar!B:B,6,Equipar!D:D,A866)
+COUNTIFS(Equipar!B:B,6,Equipar!E:E,A866)
+COUNTIFS(Equipar!B:B,6,Equipar!F:F,A866)
&gt;0,COUNTIF('Set recomendado'!B:B,C866)=0),
"Bloqueada",
"Desechable")),""
)</f>
        <v/>
      </c>
      <c r="J866" t="str" cm="1">
        <f t="array" aca="1" ref="J866" ca="1">IF(ISNUMBER(A866),IFERROR(_xlfn._xlws.FILTER(Equipar!A:A,(Equipar!B:B=6)*(Equipar!AC:AC=A866)),""),"")</f>
        <v/>
      </c>
    </row>
    <row r="867" spans="1:10" x14ac:dyDescent="0.25">
      <c r="A867" s="1" t="str">
        <f ca="1">IF(A866="ID",1,IF(ISBLANK(B867),"",MAX(A$2:A866)+1))</f>
        <v/>
      </c>
      <c r="I867" s="2" t="str">
        <f ca="1">IF(ISNUMBER(A867),
IF(COUNTIFS(Equipar!B:B,6,Equipar!AC:AC,A867),"Equipada",
IF(
 OR(COUNTIFS(Equipar!B:B,6,Equipar!C:C,A867)
 +COUNTIFS(Equipar!B:B,6,Equipar!D:D,A867)
+COUNTIFS(Equipar!B:B,6,Equipar!E:E,A867)
+COUNTIFS(Equipar!B:B,6,Equipar!F:F,A867)
&gt;0,COUNTIF('Set recomendado'!B:B,C867)=0),
"Bloqueada",
"Desechable")),""
)</f>
        <v/>
      </c>
      <c r="J867" t="str" cm="1">
        <f t="array" aca="1" ref="J867" ca="1">IF(ISNUMBER(A867),IFERROR(_xlfn._xlws.FILTER(Equipar!A:A,(Equipar!B:B=6)*(Equipar!AC:AC=A867)),""),"")</f>
        <v/>
      </c>
    </row>
    <row r="868" spans="1:10" x14ac:dyDescent="0.25">
      <c r="A868" s="1" t="str">
        <f ca="1">IF(A867="ID",1,IF(ISBLANK(B868),"",MAX(A$2:A867)+1))</f>
        <v/>
      </c>
      <c r="I868" s="2" t="str">
        <f ca="1">IF(ISNUMBER(A868),
IF(COUNTIFS(Equipar!B:B,6,Equipar!AC:AC,A868),"Equipada",
IF(
 OR(COUNTIFS(Equipar!B:B,6,Equipar!C:C,A868)
 +COUNTIFS(Equipar!B:B,6,Equipar!D:D,A868)
+COUNTIFS(Equipar!B:B,6,Equipar!E:E,A868)
+COUNTIFS(Equipar!B:B,6,Equipar!F:F,A868)
&gt;0,COUNTIF('Set recomendado'!B:B,C868)=0),
"Bloqueada",
"Desechable")),""
)</f>
        <v/>
      </c>
      <c r="J868" t="str" cm="1">
        <f t="array" aca="1" ref="J868" ca="1">IF(ISNUMBER(A868),IFERROR(_xlfn._xlws.FILTER(Equipar!A:A,(Equipar!B:B=6)*(Equipar!AC:AC=A868)),""),"")</f>
        <v/>
      </c>
    </row>
    <row r="869" spans="1:10" x14ac:dyDescent="0.25">
      <c r="A869" s="1" t="str">
        <f ca="1">IF(A868="ID",1,IF(ISBLANK(B869),"",MAX(A$2:A868)+1))</f>
        <v/>
      </c>
      <c r="I869" s="2" t="str">
        <f ca="1">IF(ISNUMBER(A869),
IF(COUNTIFS(Equipar!B:B,6,Equipar!AC:AC,A869),"Equipada",
IF(
 OR(COUNTIFS(Equipar!B:B,6,Equipar!C:C,A869)
 +COUNTIFS(Equipar!B:B,6,Equipar!D:D,A869)
+COUNTIFS(Equipar!B:B,6,Equipar!E:E,A869)
+COUNTIFS(Equipar!B:B,6,Equipar!F:F,A869)
&gt;0,COUNTIF('Set recomendado'!B:B,C869)=0),
"Bloqueada",
"Desechable")),""
)</f>
        <v/>
      </c>
      <c r="J869" t="str" cm="1">
        <f t="array" aca="1" ref="J869" ca="1">IF(ISNUMBER(A869),IFERROR(_xlfn._xlws.FILTER(Equipar!A:A,(Equipar!B:B=6)*(Equipar!AC:AC=A869)),""),"")</f>
        <v/>
      </c>
    </row>
    <row r="870" spans="1:10" x14ac:dyDescent="0.25">
      <c r="A870" s="1" t="str">
        <f ca="1">IF(A869="ID",1,IF(ISBLANK(B870),"",MAX(A$2:A869)+1))</f>
        <v/>
      </c>
      <c r="I870" s="2" t="str">
        <f ca="1">IF(ISNUMBER(A870),
IF(COUNTIFS(Equipar!B:B,6,Equipar!AC:AC,A870),"Equipada",
IF(
 OR(COUNTIFS(Equipar!B:B,6,Equipar!C:C,A870)
 +COUNTIFS(Equipar!B:B,6,Equipar!D:D,A870)
+COUNTIFS(Equipar!B:B,6,Equipar!E:E,A870)
+COUNTIFS(Equipar!B:B,6,Equipar!F:F,A870)
&gt;0,COUNTIF('Set recomendado'!B:B,C870)=0),
"Bloqueada",
"Desechable")),""
)</f>
        <v/>
      </c>
      <c r="J870" t="str" cm="1">
        <f t="array" aca="1" ref="J870" ca="1">IF(ISNUMBER(A870),IFERROR(_xlfn._xlws.FILTER(Equipar!A:A,(Equipar!B:B=6)*(Equipar!AC:AC=A870)),""),"")</f>
        <v/>
      </c>
    </row>
    <row r="871" spans="1:10" x14ac:dyDescent="0.25">
      <c r="A871" s="1" t="str">
        <f ca="1">IF(A870="ID",1,IF(ISBLANK(B871),"",MAX(A$2:A870)+1))</f>
        <v/>
      </c>
      <c r="I871" s="2" t="str">
        <f ca="1">IF(ISNUMBER(A871),
IF(COUNTIFS(Equipar!B:B,6,Equipar!AC:AC,A871),"Equipada",
IF(
 OR(COUNTIFS(Equipar!B:B,6,Equipar!C:C,A871)
 +COUNTIFS(Equipar!B:B,6,Equipar!D:D,A871)
+COUNTIFS(Equipar!B:B,6,Equipar!E:E,A871)
+COUNTIFS(Equipar!B:B,6,Equipar!F:F,A871)
&gt;0,COUNTIF('Set recomendado'!B:B,C871)=0),
"Bloqueada",
"Desechable")),""
)</f>
        <v/>
      </c>
      <c r="J871" t="str" cm="1">
        <f t="array" aca="1" ref="J871" ca="1">IF(ISNUMBER(A871),IFERROR(_xlfn._xlws.FILTER(Equipar!A:A,(Equipar!B:B=6)*(Equipar!AC:AC=A871)),""),"")</f>
        <v/>
      </c>
    </row>
    <row r="872" spans="1:10" x14ac:dyDescent="0.25">
      <c r="A872" s="1" t="str">
        <f ca="1">IF(A871="ID",1,IF(ISBLANK(B872),"",MAX(A$2:A871)+1))</f>
        <v/>
      </c>
      <c r="I872" s="2" t="str">
        <f ca="1">IF(ISNUMBER(A872),
IF(COUNTIFS(Equipar!B:B,6,Equipar!AC:AC,A872),"Equipada",
IF(
 OR(COUNTIFS(Equipar!B:B,6,Equipar!C:C,A872)
 +COUNTIFS(Equipar!B:B,6,Equipar!D:D,A872)
+COUNTIFS(Equipar!B:B,6,Equipar!E:E,A872)
+COUNTIFS(Equipar!B:B,6,Equipar!F:F,A872)
&gt;0,COUNTIF('Set recomendado'!B:B,C872)=0),
"Bloqueada",
"Desechable")),""
)</f>
        <v/>
      </c>
      <c r="J872" t="str" cm="1">
        <f t="array" aca="1" ref="J872" ca="1">IF(ISNUMBER(A872),IFERROR(_xlfn._xlws.FILTER(Equipar!A:A,(Equipar!B:B=6)*(Equipar!AC:AC=A872)),""),"")</f>
        <v/>
      </c>
    </row>
    <row r="873" spans="1:10" x14ac:dyDescent="0.25">
      <c r="A873" s="1" t="str">
        <f ca="1">IF(A872="ID",1,IF(ISBLANK(B873),"",MAX(A$2:A872)+1))</f>
        <v/>
      </c>
      <c r="I873" s="2" t="str">
        <f ca="1">IF(ISNUMBER(A873),
IF(COUNTIFS(Equipar!B:B,6,Equipar!AC:AC,A873),"Equipada",
IF(
 OR(COUNTIFS(Equipar!B:B,6,Equipar!C:C,A873)
 +COUNTIFS(Equipar!B:B,6,Equipar!D:D,A873)
+COUNTIFS(Equipar!B:B,6,Equipar!E:E,A873)
+COUNTIFS(Equipar!B:B,6,Equipar!F:F,A873)
&gt;0,COUNTIF('Set recomendado'!B:B,C873)=0),
"Bloqueada",
"Desechable")),""
)</f>
        <v/>
      </c>
      <c r="J873" t="str" cm="1">
        <f t="array" aca="1" ref="J873" ca="1">IF(ISNUMBER(A873),IFERROR(_xlfn._xlws.FILTER(Equipar!A:A,(Equipar!B:B=6)*(Equipar!AC:AC=A873)),""),"")</f>
        <v/>
      </c>
    </row>
    <row r="874" spans="1:10" x14ac:dyDescent="0.25">
      <c r="A874" s="1" t="str">
        <f ca="1">IF(A873="ID",1,IF(ISBLANK(B874),"",MAX(A$2:A873)+1))</f>
        <v/>
      </c>
      <c r="I874" s="2" t="str">
        <f ca="1">IF(ISNUMBER(A874),
IF(COUNTIFS(Equipar!B:B,6,Equipar!AC:AC,A874),"Equipada",
IF(
 OR(COUNTIFS(Equipar!B:B,6,Equipar!C:C,A874)
 +COUNTIFS(Equipar!B:B,6,Equipar!D:D,A874)
+COUNTIFS(Equipar!B:B,6,Equipar!E:E,A874)
+COUNTIFS(Equipar!B:B,6,Equipar!F:F,A874)
&gt;0,COUNTIF('Set recomendado'!B:B,C874)=0),
"Bloqueada",
"Desechable")),""
)</f>
        <v/>
      </c>
      <c r="J874" t="str" cm="1">
        <f t="array" aca="1" ref="J874" ca="1">IF(ISNUMBER(A874),IFERROR(_xlfn._xlws.FILTER(Equipar!A:A,(Equipar!B:B=6)*(Equipar!AC:AC=A874)),""),"")</f>
        <v/>
      </c>
    </row>
    <row r="875" spans="1:10" x14ac:dyDescent="0.25">
      <c r="A875" s="1" t="str">
        <f ca="1">IF(A874="ID",1,IF(ISBLANK(B875),"",MAX(A$2:A874)+1))</f>
        <v/>
      </c>
      <c r="I875" s="2" t="str">
        <f ca="1">IF(ISNUMBER(A875),
IF(COUNTIFS(Equipar!B:B,6,Equipar!AC:AC,A875),"Equipada",
IF(
 OR(COUNTIFS(Equipar!B:B,6,Equipar!C:C,A875)
 +COUNTIFS(Equipar!B:B,6,Equipar!D:D,A875)
+COUNTIFS(Equipar!B:B,6,Equipar!E:E,A875)
+COUNTIFS(Equipar!B:B,6,Equipar!F:F,A875)
&gt;0,COUNTIF('Set recomendado'!B:B,C875)=0),
"Bloqueada",
"Desechable")),""
)</f>
        <v/>
      </c>
      <c r="J875" t="str" cm="1">
        <f t="array" aca="1" ref="J875" ca="1">IF(ISNUMBER(A875),IFERROR(_xlfn._xlws.FILTER(Equipar!A:A,(Equipar!B:B=6)*(Equipar!AC:AC=A875)),""),"")</f>
        <v/>
      </c>
    </row>
    <row r="876" spans="1:10" x14ac:dyDescent="0.25">
      <c r="A876" s="1" t="str">
        <f ca="1">IF(A875="ID",1,IF(ISBLANK(B876),"",MAX(A$2:A875)+1))</f>
        <v/>
      </c>
      <c r="I876" s="2" t="str">
        <f ca="1">IF(ISNUMBER(A876),
IF(COUNTIFS(Equipar!B:B,6,Equipar!AC:AC,A876),"Equipada",
IF(
 OR(COUNTIFS(Equipar!B:B,6,Equipar!C:C,A876)
 +COUNTIFS(Equipar!B:B,6,Equipar!D:D,A876)
+COUNTIFS(Equipar!B:B,6,Equipar!E:E,A876)
+COUNTIFS(Equipar!B:B,6,Equipar!F:F,A876)
&gt;0,COUNTIF('Set recomendado'!B:B,C876)=0),
"Bloqueada",
"Desechable")),""
)</f>
        <v/>
      </c>
      <c r="J876" t="str" cm="1">
        <f t="array" aca="1" ref="J876" ca="1">IF(ISNUMBER(A876),IFERROR(_xlfn._xlws.FILTER(Equipar!A:A,(Equipar!B:B=6)*(Equipar!AC:AC=A876)),""),"")</f>
        <v/>
      </c>
    </row>
    <row r="877" spans="1:10" x14ac:dyDescent="0.25">
      <c r="A877" s="1" t="str">
        <f ca="1">IF(A876="ID",1,IF(ISBLANK(B877),"",MAX(A$2:A876)+1))</f>
        <v/>
      </c>
      <c r="I877" s="2" t="str">
        <f ca="1">IF(ISNUMBER(A877),
IF(COUNTIFS(Equipar!B:B,6,Equipar!AC:AC,A877),"Equipada",
IF(
 OR(COUNTIFS(Equipar!B:B,6,Equipar!C:C,A877)
 +COUNTIFS(Equipar!B:B,6,Equipar!D:D,A877)
+COUNTIFS(Equipar!B:B,6,Equipar!E:E,A877)
+COUNTIFS(Equipar!B:B,6,Equipar!F:F,A877)
&gt;0,COUNTIF('Set recomendado'!B:B,C877)=0),
"Bloqueada",
"Desechable")),""
)</f>
        <v/>
      </c>
      <c r="J877" t="str" cm="1">
        <f t="array" aca="1" ref="J877" ca="1">IF(ISNUMBER(A877),IFERROR(_xlfn._xlws.FILTER(Equipar!A:A,(Equipar!B:B=6)*(Equipar!AC:AC=A877)),""),"")</f>
        <v/>
      </c>
    </row>
    <row r="878" spans="1:10" x14ac:dyDescent="0.25">
      <c r="A878" s="1" t="str">
        <f ca="1">IF(A877="ID",1,IF(ISBLANK(B878),"",MAX(A$2:A877)+1))</f>
        <v/>
      </c>
      <c r="I878" s="2" t="str">
        <f ca="1">IF(ISNUMBER(A878),
IF(COUNTIFS(Equipar!B:B,6,Equipar!AC:AC,A878),"Equipada",
IF(
 OR(COUNTIFS(Equipar!B:B,6,Equipar!C:C,A878)
 +COUNTIFS(Equipar!B:B,6,Equipar!D:D,A878)
+COUNTIFS(Equipar!B:B,6,Equipar!E:E,A878)
+COUNTIFS(Equipar!B:B,6,Equipar!F:F,A878)
&gt;0,COUNTIF('Set recomendado'!B:B,C878)=0),
"Bloqueada",
"Desechable")),""
)</f>
        <v/>
      </c>
      <c r="J878" t="str" cm="1">
        <f t="array" aca="1" ref="J878" ca="1">IF(ISNUMBER(A878),IFERROR(_xlfn._xlws.FILTER(Equipar!A:A,(Equipar!B:B=6)*(Equipar!AC:AC=A878)),""),"")</f>
        <v/>
      </c>
    </row>
    <row r="879" spans="1:10" x14ac:dyDescent="0.25">
      <c r="A879" s="1" t="str">
        <f ca="1">IF(A878="ID",1,IF(ISBLANK(B879),"",MAX(A$2:A878)+1))</f>
        <v/>
      </c>
      <c r="I879" s="2" t="str">
        <f ca="1">IF(ISNUMBER(A879),
IF(COUNTIFS(Equipar!B:B,6,Equipar!AC:AC,A879),"Equipada",
IF(
 OR(COUNTIFS(Equipar!B:B,6,Equipar!C:C,A879)
 +COUNTIFS(Equipar!B:B,6,Equipar!D:D,A879)
+COUNTIFS(Equipar!B:B,6,Equipar!E:E,A879)
+COUNTIFS(Equipar!B:B,6,Equipar!F:F,A879)
&gt;0,COUNTIF('Set recomendado'!B:B,C879)=0),
"Bloqueada",
"Desechable")),""
)</f>
        <v/>
      </c>
      <c r="J879" t="str" cm="1">
        <f t="array" aca="1" ref="J879" ca="1">IF(ISNUMBER(A879),IFERROR(_xlfn._xlws.FILTER(Equipar!A:A,(Equipar!B:B=6)*(Equipar!AC:AC=A879)),""),"")</f>
        <v/>
      </c>
    </row>
    <row r="880" spans="1:10" x14ac:dyDescent="0.25">
      <c r="A880" s="1" t="str">
        <f ca="1">IF(A879="ID",1,IF(ISBLANK(B880),"",MAX(A$2:A879)+1))</f>
        <v/>
      </c>
      <c r="I880" s="2" t="str">
        <f ca="1">IF(ISNUMBER(A880),
IF(COUNTIFS(Equipar!B:B,6,Equipar!AC:AC,A880),"Equipada",
IF(
 OR(COUNTIFS(Equipar!B:B,6,Equipar!C:C,A880)
 +COUNTIFS(Equipar!B:B,6,Equipar!D:D,A880)
+COUNTIFS(Equipar!B:B,6,Equipar!E:E,A880)
+COUNTIFS(Equipar!B:B,6,Equipar!F:F,A880)
&gt;0,COUNTIF('Set recomendado'!B:B,C880)=0),
"Bloqueada",
"Desechable")),""
)</f>
        <v/>
      </c>
      <c r="J880" t="str" cm="1">
        <f t="array" aca="1" ref="J880" ca="1">IF(ISNUMBER(A880),IFERROR(_xlfn._xlws.FILTER(Equipar!A:A,(Equipar!B:B=6)*(Equipar!AC:AC=A880)),""),"")</f>
        <v/>
      </c>
    </row>
    <row r="881" spans="1:10" x14ac:dyDescent="0.25">
      <c r="A881" s="1" t="str">
        <f ca="1">IF(A880="ID",1,IF(ISBLANK(B881),"",MAX(A$2:A880)+1))</f>
        <v/>
      </c>
      <c r="I881" s="2" t="str">
        <f ca="1">IF(ISNUMBER(A881),
IF(COUNTIFS(Equipar!B:B,6,Equipar!AC:AC,A881),"Equipada",
IF(
 OR(COUNTIFS(Equipar!B:B,6,Equipar!C:C,A881)
 +COUNTIFS(Equipar!B:B,6,Equipar!D:D,A881)
+COUNTIFS(Equipar!B:B,6,Equipar!E:E,A881)
+COUNTIFS(Equipar!B:B,6,Equipar!F:F,A881)
&gt;0,COUNTIF('Set recomendado'!B:B,C881)=0),
"Bloqueada",
"Desechable")),""
)</f>
        <v/>
      </c>
      <c r="J881" t="str" cm="1">
        <f t="array" aca="1" ref="J881" ca="1">IF(ISNUMBER(A881),IFERROR(_xlfn._xlws.FILTER(Equipar!A:A,(Equipar!B:B=6)*(Equipar!AC:AC=A881)),""),"")</f>
        <v/>
      </c>
    </row>
    <row r="882" spans="1:10" x14ac:dyDescent="0.25">
      <c r="A882" s="1" t="str">
        <f ca="1">IF(A881="ID",1,IF(ISBLANK(B882),"",MAX(A$2:A881)+1))</f>
        <v/>
      </c>
      <c r="I882" s="2" t="str">
        <f ca="1">IF(ISNUMBER(A882),
IF(COUNTIFS(Equipar!B:B,6,Equipar!AC:AC,A882),"Equipada",
IF(
 OR(COUNTIFS(Equipar!B:B,6,Equipar!C:C,A882)
 +COUNTIFS(Equipar!B:B,6,Equipar!D:D,A882)
+COUNTIFS(Equipar!B:B,6,Equipar!E:E,A882)
+COUNTIFS(Equipar!B:B,6,Equipar!F:F,A882)
&gt;0,COUNTIF('Set recomendado'!B:B,C882)=0),
"Bloqueada",
"Desechable")),""
)</f>
        <v/>
      </c>
      <c r="J882" t="str" cm="1">
        <f t="array" aca="1" ref="J882" ca="1">IF(ISNUMBER(A882),IFERROR(_xlfn._xlws.FILTER(Equipar!A:A,(Equipar!B:B=6)*(Equipar!AC:AC=A882)),""),"")</f>
        <v/>
      </c>
    </row>
    <row r="883" spans="1:10" x14ac:dyDescent="0.25">
      <c r="A883" s="1" t="str">
        <f ca="1">IF(A882="ID",1,IF(ISBLANK(B883),"",MAX(A$2:A882)+1))</f>
        <v/>
      </c>
      <c r="I883" s="2" t="str">
        <f ca="1">IF(ISNUMBER(A883),
IF(COUNTIFS(Equipar!B:B,6,Equipar!AC:AC,A883),"Equipada",
IF(
 OR(COUNTIFS(Equipar!B:B,6,Equipar!C:C,A883)
 +COUNTIFS(Equipar!B:B,6,Equipar!D:D,A883)
+COUNTIFS(Equipar!B:B,6,Equipar!E:E,A883)
+COUNTIFS(Equipar!B:B,6,Equipar!F:F,A883)
&gt;0,COUNTIF('Set recomendado'!B:B,C883)=0),
"Bloqueada",
"Desechable")),""
)</f>
        <v/>
      </c>
      <c r="J883" t="str" cm="1">
        <f t="array" aca="1" ref="J883" ca="1">IF(ISNUMBER(A883),IFERROR(_xlfn._xlws.FILTER(Equipar!A:A,(Equipar!B:B=6)*(Equipar!AC:AC=A883)),""),"")</f>
        <v/>
      </c>
    </row>
    <row r="884" spans="1:10" x14ac:dyDescent="0.25">
      <c r="A884" s="1" t="str">
        <f ca="1">IF(A883="ID",1,IF(ISBLANK(B884),"",MAX(A$2:A883)+1))</f>
        <v/>
      </c>
      <c r="I884" s="2" t="str">
        <f ca="1">IF(ISNUMBER(A884),
IF(COUNTIFS(Equipar!B:B,6,Equipar!AC:AC,A884),"Equipada",
IF(
 OR(COUNTIFS(Equipar!B:B,6,Equipar!C:C,A884)
 +COUNTIFS(Equipar!B:B,6,Equipar!D:D,A884)
+COUNTIFS(Equipar!B:B,6,Equipar!E:E,A884)
+COUNTIFS(Equipar!B:B,6,Equipar!F:F,A884)
&gt;0,COUNTIF('Set recomendado'!B:B,C884)=0),
"Bloqueada",
"Desechable")),""
)</f>
        <v/>
      </c>
      <c r="J884" t="str" cm="1">
        <f t="array" aca="1" ref="J884" ca="1">IF(ISNUMBER(A884),IFERROR(_xlfn._xlws.FILTER(Equipar!A:A,(Equipar!B:B=6)*(Equipar!AC:AC=A884)),""),"")</f>
        <v/>
      </c>
    </row>
    <row r="885" spans="1:10" x14ac:dyDescent="0.25">
      <c r="A885" s="1" t="str">
        <f ca="1">IF(A884="ID",1,IF(ISBLANK(B885),"",MAX(A$2:A884)+1))</f>
        <v/>
      </c>
      <c r="I885" s="2" t="str">
        <f ca="1">IF(ISNUMBER(A885),
IF(COUNTIFS(Equipar!B:B,6,Equipar!AC:AC,A885),"Equipada",
IF(
 OR(COUNTIFS(Equipar!B:B,6,Equipar!C:C,A885)
 +COUNTIFS(Equipar!B:B,6,Equipar!D:D,A885)
+COUNTIFS(Equipar!B:B,6,Equipar!E:E,A885)
+COUNTIFS(Equipar!B:B,6,Equipar!F:F,A885)
&gt;0,COUNTIF('Set recomendado'!B:B,C885)=0),
"Bloqueada",
"Desechable")),""
)</f>
        <v/>
      </c>
      <c r="J885" t="str" cm="1">
        <f t="array" aca="1" ref="J885" ca="1">IF(ISNUMBER(A885),IFERROR(_xlfn._xlws.FILTER(Equipar!A:A,(Equipar!B:B=6)*(Equipar!AC:AC=A885)),""),"")</f>
        <v/>
      </c>
    </row>
    <row r="886" spans="1:10" x14ac:dyDescent="0.25">
      <c r="A886" s="1" t="str">
        <f ca="1">IF(A885="ID",1,IF(ISBLANK(B886),"",MAX(A$2:A885)+1))</f>
        <v/>
      </c>
      <c r="I886" s="2" t="str">
        <f ca="1">IF(ISNUMBER(A886),
IF(COUNTIFS(Equipar!B:B,6,Equipar!AC:AC,A886),"Equipada",
IF(
 OR(COUNTIFS(Equipar!B:B,6,Equipar!C:C,A886)
 +COUNTIFS(Equipar!B:B,6,Equipar!D:D,A886)
+COUNTIFS(Equipar!B:B,6,Equipar!E:E,A886)
+COUNTIFS(Equipar!B:B,6,Equipar!F:F,A886)
&gt;0,COUNTIF('Set recomendado'!B:B,C886)=0),
"Bloqueada",
"Desechable")),""
)</f>
        <v/>
      </c>
      <c r="J886" t="str" cm="1">
        <f t="array" aca="1" ref="J886" ca="1">IF(ISNUMBER(A886),IFERROR(_xlfn._xlws.FILTER(Equipar!A:A,(Equipar!B:B=6)*(Equipar!AC:AC=A886)),""),"")</f>
        <v/>
      </c>
    </row>
    <row r="887" spans="1:10" x14ac:dyDescent="0.25">
      <c r="A887" s="1" t="str">
        <f ca="1">IF(A886="ID",1,IF(ISBLANK(B887),"",MAX(A$2:A886)+1))</f>
        <v/>
      </c>
      <c r="I887" s="2" t="str">
        <f ca="1">IF(ISNUMBER(A887),
IF(COUNTIFS(Equipar!B:B,6,Equipar!AC:AC,A887),"Equipada",
IF(
 OR(COUNTIFS(Equipar!B:B,6,Equipar!C:C,A887)
 +COUNTIFS(Equipar!B:B,6,Equipar!D:D,A887)
+COUNTIFS(Equipar!B:B,6,Equipar!E:E,A887)
+COUNTIFS(Equipar!B:B,6,Equipar!F:F,A887)
&gt;0,COUNTIF('Set recomendado'!B:B,C887)=0),
"Bloqueada",
"Desechable")),""
)</f>
        <v/>
      </c>
      <c r="J887" t="str" cm="1">
        <f t="array" aca="1" ref="J887" ca="1">IF(ISNUMBER(A887),IFERROR(_xlfn._xlws.FILTER(Equipar!A:A,(Equipar!B:B=6)*(Equipar!AC:AC=A887)),""),"")</f>
        <v/>
      </c>
    </row>
    <row r="888" spans="1:10" x14ac:dyDescent="0.25">
      <c r="A888" s="1" t="str">
        <f ca="1">IF(A887="ID",1,IF(ISBLANK(B888),"",MAX(A$2:A887)+1))</f>
        <v/>
      </c>
      <c r="I888" s="2" t="str">
        <f ca="1">IF(ISNUMBER(A888),
IF(COUNTIFS(Equipar!B:B,6,Equipar!AC:AC,A888),"Equipada",
IF(
 OR(COUNTIFS(Equipar!B:B,6,Equipar!C:C,A888)
 +COUNTIFS(Equipar!B:B,6,Equipar!D:D,A888)
+COUNTIFS(Equipar!B:B,6,Equipar!E:E,A888)
+COUNTIFS(Equipar!B:B,6,Equipar!F:F,A888)
&gt;0,COUNTIF('Set recomendado'!B:B,C888)=0),
"Bloqueada",
"Desechable")),""
)</f>
        <v/>
      </c>
      <c r="J888" t="str" cm="1">
        <f t="array" aca="1" ref="J888" ca="1">IF(ISNUMBER(A888),IFERROR(_xlfn._xlws.FILTER(Equipar!A:A,(Equipar!B:B=6)*(Equipar!AC:AC=A888)),""),"")</f>
        <v/>
      </c>
    </row>
    <row r="889" spans="1:10" x14ac:dyDescent="0.25">
      <c r="A889" s="1" t="str">
        <f ca="1">IF(A888="ID",1,IF(ISBLANK(B889),"",MAX(A$2:A888)+1))</f>
        <v/>
      </c>
      <c r="I889" s="2" t="str">
        <f ca="1">IF(ISNUMBER(A889),
IF(COUNTIFS(Equipar!B:B,6,Equipar!AC:AC,A889),"Equipada",
IF(
 OR(COUNTIFS(Equipar!B:B,6,Equipar!C:C,A889)
 +COUNTIFS(Equipar!B:B,6,Equipar!D:D,A889)
+COUNTIFS(Equipar!B:B,6,Equipar!E:E,A889)
+COUNTIFS(Equipar!B:B,6,Equipar!F:F,A889)
&gt;0,COUNTIF('Set recomendado'!B:B,C889)=0),
"Bloqueada",
"Desechable")),""
)</f>
        <v/>
      </c>
      <c r="J889" t="str" cm="1">
        <f t="array" aca="1" ref="J889" ca="1">IF(ISNUMBER(A889),IFERROR(_xlfn._xlws.FILTER(Equipar!A:A,(Equipar!B:B=6)*(Equipar!AC:AC=A889)),""),"")</f>
        <v/>
      </c>
    </row>
    <row r="890" spans="1:10" x14ac:dyDescent="0.25">
      <c r="A890" s="1" t="str">
        <f ca="1">IF(A889="ID",1,IF(ISBLANK(B890),"",MAX(A$2:A889)+1))</f>
        <v/>
      </c>
      <c r="I890" s="2" t="str">
        <f ca="1">IF(ISNUMBER(A890),
IF(COUNTIFS(Equipar!B:B,6,Equipar!AC:AC,A890),"Equipada",
IF(
 OR(COUNTIFS(Equipar!B:B,6,Equipar!C:C,A890)
 +COUNTIFS(Equipar!B:B,6,Equipar!D:D,A890)
+COUNTIFS(Equipar!B:B,6,Equipar!E:E,A890)
+COUNTIFS(Equipar!B:B,6,Equipar!F:F,A890)
&gt;0,COUNTIF('Set recomendado'!B:B,C890)=0),
"Bloqueada",
"Desechable")),""
)</f>
        <v/>
      </c>
      <c r="J890" t="str" cm="1">
        <f t="array" aca="1" ref="J890" ca="1">IF(ISNUMBER(A890),IFERROR(_xlfn._xlws.FILTER(Equipar!A:A,(Equipar!B:B=6)*(Equipar!AC:AC=A890)),""),"")</f>
        <v/>
      </c>
    </row>
    <row r="891" spans="1:10" x14ac:dyDescent="0.25">
      <c r="A891" s="1" t="str">
        <f ca="1">IF(A890="ID",1,IF(ISBLANK(B891),"",MAX(A$2:A890)+1))</f>
        <v/>
      </c>
      <c r="I891" s="2" t="str">
        <f ca="1">IF(ISNUMBER(A891),
IF(COUNTIFS(Equipar!B:B,6,Equipar!AC:AC,A891),"Equipada",
IF(
 OR(COUNTIFS(Equipar!B:B,6,Equipar!C:C,A891)
 +COUNTIFS(Equipar!B:B,6,Equipar!D:D,A891)
+COUNTIFS(Equipar!B:B,6,Equipar!E:E,A891)
+COUNTIFS(Equipar!B:B,6,Equipar!F:F,A891)
&gt;0,COUNTIF('Set recomendado'!B:B,C891)=0),
"Bloqueada",
"Desechable")),""
)</f>
        <v/>
      </c>
      <c r="J891" t="str" cm="1">
        <f t="array" aca="1" ref="J891" ca="1">IF(ISNUMBER(A891),IFERROR(_xlfn._xlws.FILTER(Equipar!A:A,(Equipar!B:B=6)*(Equipar!AC:AC=A891)),""),"")</f>
        <v/>
      </c>
    </row>
    <row r="892" spans="1:10" x14ac:dyDescent="0.25">
      <c r="A892" s="1" t="str">
        <f ca="1">IF(A891="ID",1,IF(ISBLANK(B892),"",MAX(A$2:A891)+1))</f>
        <v/>
      </c>
      <c r="I892" s="2" t="str">
        <f ca="1">IF(ISNUMBER(A892),
IF(COUNTIFS(Equipar!B:B,6,Equipar!AC:AC,A892),"Equipada",
IF(
 OR(COUNTIFS(Equipar!B:B,6,Equipar!C:C,A892)
 +COUNTIFS(Equipar!B:B,6,Equipar!D:D,A892)
+COUNTIFS(Equipar!B:B,6,Equipar!E:E,A892)
+COUNTIFS(Equipar!B:B,6,Equipar!F:F,A892)
&gt;0,COUNTIF('Set recomendado'!B:B,C892)=0),
"Bloqueada",
"Desechable")),""
)</f>
        <v/>
      </c>
      <c r="J892" t="str" cm="1">
        <f t="array" aca="1" ref="J892" ca="1">IF(ISNUMBER(A892),IFERROR(_xlfn._xlws.FILTER(Equipar!A:A,(Equipar!B:B=6)*(Equipar!AC:AC=A892)),""),"")</f>
        <v/>
      </c>
    </row>
    <row r="893" spans="1:10" x14ac:dyDescent="0.25">
      <c r="A893" s="1" t="str">
        <f ca="1">IF(A892="ID",1,IF(ISBLANK(B893),"",MAX(A$2:A892)+1))</f>
        <v/>
      </c>
      <c r="I893" s="2" t="str">
        <f ca="1">IF(ISNUMBER(A893),
IF(COUNTIFS(Equipar!B:B,6,Equipar!AC:AC,A893),"Equipada",
IF(
 OR(COUNTIFS(Equipar!B:B,6,Equipar!C:C,A893)
 +COUNTIFS(Equipar!B:B,6,Equipar!D:D,A893)
+COUNTIFS(Equipar!B:B,6,Equipar!E:E,A893)
+COUNTIFS(Equipar!B:B,6,Equipar!F:F,A893)
&gt;0,COUNTIF('Set recomendado'!B:B,C893)=0),
"Bloqueada",
"Desechable")),""
)</f>
        <v/>
      </c>
      <c r="J893" t="str" cm="1">
        <f t="array" aca="1" ref="J893" ca="1">IF(ISNUMBER(A893),IFERROR(_xlfn._xlws.FILTER(Equipar!A:A,(Equipar!B:B=6)*(Equipar!AC:AC=A893)),""),"")</f>
        <v/>
      </c>
    </row>
    <row r="894" spans="1:10" x14ac:dyDescent="0.25">
      <c r="A894" s="1" t="str">
        <f ca="1">IF(A893="ID",1,IF(ISBLANK(B894),"",MAX(A$2:A893)+1))</f>
        <v/>
      </c>
      <c r="I894" s="2" t="str">
        <f ca="1">IF(ISNUMBER(A894),
IF(COUNTIFS(Equipar!B:B,6,Equipar!AC:AC,A894),"Equipada",
IF(
 OR(COUNTIFS(Equipar!B:B,6,Equipar!C:C,A894)
 +COUNTIFS(Equipar!B:B,6,Equipar!D:D,A894)
+COUNTIFS(Equipar!B:B,6,Equipar!E:E,A894)
+COUNTIFS(Equipar!B:B,6,Equipar!F:F,A894)
&gt;0,COUNTIF('Set recomendado'!B:B,C894)=0),
"Bloqueada",
"Desechable")),""
)</f>
        <v/>
      </c>
      <c r="J894" t="str" cm="1">
        <f t="array" aca="1" ref="J894" ca="1">IF(ISNUMBER(A894),IFERROR(_xlfn._xlws.FILTER(Equipar!A:A,(Equipar!B:B=6)*(Equipar!AC:AC=A894)),""),"")</f>
        <v/>
      </c>
    </row>
    <row r="895" spans="1:10" x14ac:dyDescent="0.25">
      <c r="A895" s="1" t="str">
        <f ca="1">IF(A894="ID",1,IF(ISBLANK(B895),"",MAX(A$2:A894)+1))</f>
        <v/>
      </c>
      <c r="I895" s="2" t="str">
        <f ca="1">IF(ISNUMBER(A895),
IF(COUNTIFS(Equipar!B:B,6,Equipar!AC:AC,A895),"Equipada",
IF(
 OR(COUNTIFS(Equipar!B:B,6,Equipar!C:C,A895)
 +COUNTIFS(Equipar!B:B,6,Equipar!D:D,A895)
+COUNTIFS(Equipar!B:B,6,Equipar!E:E,A895)
+COUNTIFS(Equipar!B:B,6,Equipar!F:F,A895)
&gt;0,COUNTIF('Set recomendado'!B:B,C895)=0),
"Bloqueada",
"Desechable")),""
)</f>
        <v/>
      </c>
      <c r="J895" t="str" cm="1">
        <f t="array" aca="1" ref="J895" ca="1">IF(ISNUMBER(A895),IFERROR(_xlfn._xlws.FILTER(Equipar!A:A,(Equipar!B:B=6)*(Equipar!AC:AC=A895)),""),"")</f>
        <v/>
      </c>
    </row>
    <row r="896" spans="1:10" x14ac:dyDescent="0.25">
      <c r="A896" s="1" t="str">
        <f ca="1">IF(A895="ID",1,IF(ISBLANK(B896),"",MAX(A$2:A895)+1))</f>
        <v/>
      </c>
      <c r="I896" s="2" t="str">
        <f ca="1">IF(ISNUMBER(A896),
IF(COUNTIFS(Equipar!B:B,6,Equipar!AC:AC,A896),"Equipada",
IF(
 OR(COUNTIFS(Equipar!B:B,6,Equipar!C:C,A896)
 +COUNTIFS(Equipar!B:B,6,Equipar!D:D,A896)
+COUNTIFS(Equipar!B:B,6,Equipar!E:E,A896)
+COUNTIFS(Equipar!B:B,6,Equipar!F:F,A896)
&gt;0,COUNTIF('Set recomendado'!B:B,C896)=0),
"Bloqueada",
"Desechable")),""
)</f>
        <v/>
      </c>
      <c r="J896" t="str" cm="1">
        <f t="array" aca="1" ref="J896" ca="1">IF(ISNUMBER(A896),IFERROR(_xlfn._xlws.FILTER(Equipar!A:A,(Equipar!B:B=6)*(Equipar!AC:AC=A896)),""),"")</f>
        <v/>
      </c>
    </row>
    <row r="897" spans="1:10" x14ac:dyDescent="0.25">
      <c r="A897" s="1" t="str">
        <f ca="1">IF(A896="ID",1,IF(ISBLANK(B897),"",MAX(A$2:A896)+1))</f>
        <v/>
      </c>
      <c r="I897" s="2" t="str">
        <f ca="1">IF(ISNUMBER(A897),
IF(COUNTIFS(Equipar!B:B,6,Equipar!AC:AC,A897),"Equipada",
IF(
 OR(COUNTIFS(Equipar!B:B,6,Equipar!C:C,A897)
 +COUNTIFS(Equipar!B:B,6,Equipar!D:D,A897)
+COUNTIFS(Equipar!B:B,6,Equipar!E:E,A897)
+COUNTIFS(Equipar!B:B,6,Equipar!F:F,A897)
&gt;0,COUNTIF('Set recomendado'!B:B,C897)=0),
"Bloqueada",
"Desechable")),""
)</f>
        <v/>
      </c>
      <c r="J897" t="str" cm="1">
        <f t="array" aca="1" ref="J897" ca="1">IF(ISNUMBER(A897),IFERROR(_xlfn._xlws.FILTER(Equipar!A:A,(Equipar!B:B=6)*(Equipar!AC:AC=A897)),""),"")</f>
        <v/>
      </c>
    </row>
    <row r="898" spans="1:10" x14ac:dyDescent="0.25">
      <c r="A898" s="1" t="str">
        <f ca="1">IF(A897="ID",1,IF(ISBLANK(B898),"",MAX(A$2:A897)+1))</f>
        <v/>
      </c>
      <c r="I898" s="2" t="str">
        <f ca="1">IF(ISNUMBER(A898),
IF(COUNTIFS(Equipar!B:B,6,Equipar!AC:AC,A898),"Equipada",
IF(
 OR(COUNTIFS(Equipar!B:B,6,Equipar!C:C,A898)
 +COUNTIFS(Equipar!B:B,6,Equipar!D:D,A898)
+COUNTIFS(Equipar!B:B,6,Equipar!E:E,A898)
+COUNTIFS(Equipar!B:B,6,Equipar!F:F,A898)
&gt;0,COUNTIF('Set recomendado'!B:B,C898)=0),
"Bloqueada",
"Desechable")),""
)</f>
        <v/>
      </c>
      <c r="J898" t="str" cm="1">
        <f t="array" aca="1" ref="J898" ca="1">IF(ISNUMBER(A898),IFERROR(_xlfn._xlws.FILTER(Equipar!A:A,(Equipar!B:B=6)*(Equipar!AC:AC=A898)),""),"")</f>
        <v/>
      </c>
    </row>
    <row r="899" spans="1:10" x14ac:dyDescent="0.25">
      <c r="A899" s="1" t="str">
        <f ca="1">IF(A898="ID",1,IF(ISBLANK(B899),"",MAX(A$2:A898)+1))</f>
        <v/>
      </c>
      <c r="I899" s="2" t="str">
        <f ca="1">IF(ISNUMBER(A899),
IF(COUNTIFS(Equipar!B:B,6,Equipar!AC:AC,A899),"Equipada",
IF(
 OR(COUNTIFS(Equipar!B:B,6,Equipar!C:C,A899)
 +COUNTIFS(Equipar!B:B,6,Equipar!D:D,A899)
+COUNTIFS(Equipar!B:B,6,Equipar!E:E,A899)
+COUNTIFS(Equipar!B:B,6,Equipar!F:F,A899)
&gt;0,COUNTIF('Set recomendado'!B:B,C899)=0),
"Bloqueada",
"Desechable")),""
)</f>
        <v/>
      </c>
      <c r="J899" t="str" cm="1">
        <f t="array" aca="1" ref="J899" ca="1">IF(ISNUMBER(A899),IFERROR(_xlfn._xlws.FILTER(Equipar!A:A,(Equipar!B:B=6)*(Equipar!AC:AC=A899)),""),"")</f>
        <v/>
      </c>
    </row>
    <row r="900" spans="1:10" x14ac:dyDescent="0.25">
      <c r="A900" s="1" t="str">
        <f ca="1">IF(A899="ID",1,IF(ISBLANK(B900),"",MAX(A$2:A899)+1))</f>
        <v/>
      </c>
      <c r="I900" s="2" t="str">
        <f ca="1">IF(ISNUMBER(A900),
IF(COUNTIFS(Equipar!B:B,6,Equipar!AC:AC,A900),"Equipada",
IF(
 OR(COUNTIFS(Equipar!B:B,6,Equipar!C:C,A900)
 +COUNTIFS(Equipar!B:B,6,Equipar!D:D,A900)
+COUNTIFS(Equipar!B:B,6,Equipar!E:E,A900)
+COUNTIFS(Equipar!B:B,6,Equipar!F:F,A900)
&gt;0,COUNTIF('Set recomendado'!B:B,C900)=0),
"Bloqueada",
"Desechable")),""
)</f>
        <v/>
      </c>
      <c r="J900" t="str" cm="1">
        <f t="array" aca="1" ref="J900" ca="1">IF(ISNUMBER(A900),IFERROR(_xlfn._xlws.FILTER(Equipar!A:A,(Equipar!B:B=6)*(Equipar!AC:AC=A900)),""),"")</f>
        <v/>
      </c>
    </row>
    <row r="901" spans="1:10" x14ac:dyDescent="0.25">
      <c r="A901" s="1" t="str">
        <f ca="1">IF(A900="ID",1,IF(ISBLANK(B901),"",MAX(A$2:A900)+1))</f>
        <v/>
      </c>
      <c r="I901" s="2" t="str">
        <f ca="1">IF(ISNUMBER(A901),
IF(COUNTIFS(Equipar!B:B,6,Equipar!AC:AC,A901),"Equipada",
IF(
 OR(COUNTIFS(Equipar!B:B,6,Equipar!C:C,A901)
 +COUNTIFS(Equipar!B:B,6,Equipar!D:D,A901)
+COUNTIFS(Equipar!B:B,6,Equipar!E:E,A901)
+COUNTIFS(Equipar!B:B,6,Equipar!F:F,A901)
&gt;0,COUNTIF('Set recomendado'!B:B,C901)=0),
"Bloqueada",
"Desechable")),""
)</f>
        <v/>
      </c>
      <c r="J901" t="str" cm="1">
        <f t="array" aca="1" ref="J901" ca="1">IF(ISNUMBER(A901),IFERROR(_xlfn._xlws.FILTER(Equipar!A:A,(Equipar!B:B=6)*(Equipar!AC:AC=A901)),""),"")</f>
        <v/>
      </c>
    </row>
    <row r="902" spans="1:10" x14ac:dyDescent="0.25">
      <c r="A902" s="1" t="str">
        <f ca="1">IF(A901="ID",1,IF(ISBLANK(B902),"",MAX(A$2:A901)+1))</f>
        <v/>
      </c>
      <c r="I902" s="2" t="str">
        <f ca="1">IF(ISNUMBER(A902),
IF(COUNTIFS(Equipar!B:B,6,Equipar!AC:AC,A902),"Equipada",
IF(
 OR(COUNTIFS(Equipar!B:B,6,Equipar!C:C,A902)
 +COUNTIFS(Equipar!B:B,6,Equipar!D:D,A902)
+COUNTIFS(Equipar!B:B,6,Equipar!E:E,A902)
+COUNTIFS(Equipar!B:B,6,Equipar!F:F,A902)
&gt;0,COUNTIF('Set recomendado'!B:B,C902)=0),
"Bloqueada",
"Desechable")),""
)</f>
        <v/>
      </c>
      <c r="J902" t="str" cm="1">
        <f t="array" aca="1" ref="J902" ca="1">IF(ISNUMBER(A902),IFERROR(_xlfn._xlws.FILTER(Equipar!A:A,(Equipar!B:B=6)*(Equipar!AC:AC=A902)),""),"")</f>
        <v/>
      </c>
    </row>
    <row r="903" spans="1:10" x14ac:dyDescent="0.25">
      <c r="A903" s="1" t="str">
        <f ca="1">IF(A902="ID",1,IF(ISBLANK(B903),"",MAX(A$2:A902)+1))</f>
        <v/>
      </c>
      <c r="I903" s="2" t="str">
        <f ca="1">IF(ISNUMBER(A903),
IF(COUNTIFS(Equipar!B:B,6,Equipar!AC:AC,A903),"Equipada",
IF(
 OR(COUNTIFS(Equipar!B:B,6,Equipar!C:C,A903)
 +COUNTIFS(Equipar!B:B,6,Equipar!D:D,A903)
+COUNTIFS(Equipar!B:B,6,Equipar!E:E,A903)
+COUNTIFS(Equipar!B:B,6,Equipar!F:F,A903)
&gt;0,COUNTIF('Set recomendado'!B:B,C903)=0),
"Bloqueada",
"Desechable")),""
)</f>
        <v/>
      </c>
      <c r="J903" t="str" cm="1">
        <f t="array" aca="1" ref="J903" ca="1">IF(ISNUMBER(A903),IFERROR(_xlfn._xlws.FILTER(Equipar!A:A,(Equipar!B:B=6)*(Equipar!AC:AC=A903)),""),"")</f>
        <v/>
      </c>
    </row>
    <row r="904" spans="1:10" x14ac:dyDescent="0.25">
      <c r="A904" s="1" t="str">
        <f ca="1">IF(A903="ID",1,IF(ISBLANK(B904),"",MAX(A$2:A903)+1))</f>
        <v/>
      </c>
      <c r="I904" s="2" t="str">
        <f ca="1">IF(ISNUMBER(A904),
IF(COUNTIFS(Equipar!B:B,6,Equipar!AC:AC,A904),"Equipada",
IF(
 OR(COUNTIFS(Equipar!B:B,6,Equipar!C:C,A904)
 +COUNTIFS(Equipar!B:B,6,Equipar!D:D,A904)
+COUNTIFS(Equipar!B:B,6,Equipar!E:E,A904)
+COUNTIFS(Equipar!B:B,6,Equipar!F:F,A904)
&gt;0,COUNTIF('Set recomendado'!B:B,C904)=0),
"Bloqueada",
"Desechable")),""
)</f>
        <v/>
      </c>
      <c r="J904" t="str" cm="1">
        <f t="array" aca="1" ref="J904" ca="1">IF(ISNUMBER(A904),IFERROR(_xlfn._xlws.FILTER(Equipar!A:A,(Equipar!B:B=6)*(Equipar!AC:AC=A904)),""),"")</f>
        <v/>
      </c>
    </row>
    <row r="905" spans="1:10" x14ac:dyDescent="0.25">
      <c r="A905" s="1" t="str">
        <f ca="1">IF(A904="ID",1,IF(ISBLANK(B905),"",MAX(A$2:A904)+1))</f>
        <v/>
      </c>
      <c r="I905" s="2" t="str">
        <f ca="1">IF(ISNUMBER(A905),
IF(COUNTIFS(Equipar!B:B,6,Equipar!AC:AC,A905),"Equipada",
IF(
 OR(COUNTIFS(Equipar!B:B,6,Equipar!C:C,A905)
 +COUNTIFS(Equipar!B:B,6,Equipar!D:D,A905)
+COUNTIFS(Equipar!B:B,6,Equipar!E:E,A905)
+COUNTIFS(Equipar!B:B,6,Equipar!F:F,A905)
&gt;0,COUNTIF('Set recomendado'!B:B,C905)=0),
"Bloqueada",
"Desechable")),""
)</f>
        <v/>
      </c>
      <c r="J905" t="str" cm="1">
        <f t="array" aca="1" ref="J905" ca="1">IF(ISNUMBER(A905),IFERROR(_xlfn._xlws.FILTER(Equipar!A:A,(Equipar!B:B=6)*(Equipar!AC:AC=A905)),""),"")</f>
        <v/>
      </c>
    </row>
    <row r="906" spans="1:10" x14ac:dyDescent="0.25">
      <c r="A906" s="1" t="str">
        <f ca="1">IF(A905="ID",1,IF(ISBLANK(B906),"",MAX(A$2:A905)+1))</f>
        <v/>
      </c>
      <c r="I906" s="2" t="str">
        <f ca="1">IF(ISNUMBER(A906),
IF(COUNTIFS(Equipar!B:B,6,Equipar!AC:AC,A906),"Equipada",
IF(
 OR(COUNTIFS(Equipar!B:B,6,Equipar!C:C,A906)
 +COUNTIFS(Equipar!B:B,6,Equipar!D:D,A906)
+COUNTIFS(Equipar!B:B,6,Equipar!E:E,A906)
+COUNTIFS(Equipar!B:B,6,Equipar!F:F,A906)
&gt;0,COUNTIF('Set recomendado'!B:B,C906)=0),
"Bloqueada",
"Desechable")),""
)</f>
        <v/>
      </c>
      <c r="J906" t="str" cm="1">
        <f t="array" aca="1" ref="J906" ca="1">IF(ISNUMBER(A906),IFERROR(_xlfn._xlws.FILTER(Equipar!A:A,(Equipar!B:B=6)*(Equipar!AC:AC=A906)),""),"")</f>
        <v/>
      </c>
    </row>
    <row r="907" spans="1:10" x14ac:dyDescent="0.25">
      <c r="A907" s="1" t="str">
        <f ca="1">IF(A906="ID",1,IF(ISBLANK(B907),"",MAX(A$2:A906)+1))</f>
        <v/>
      </c>
      <c r="I907" s="2" t="str">
        <f ca="1">IF(ISNUMBER(A907),
IF(COUNTIFS(Equipar!B:B,6,Equipar!AC:AC,A907),"Equipada",
IF(
 OR(COUNTIFS(Equipar!B:B,6,Equipar!C:C,A907)
 +COUNTIFS(Equipar!B:B,6,Equipar!D:D,A907)
+COUNTIFS(Equipar!B:B,6,Equipar!E:E,A907)
+COUNTIFS(Equipar!B:B,6,Equipar!F:F,A907)
&gt;0,COUNTIF('Set recomendado'!B:B,C907)=0),
"Bloqueada",
"Desechable")),""
)</f>
        <v/>
      </c>
      <c r="J907" t="str" cm="1">
        <f t="array" aca="1" ref="J907" ca="1">IF(ISNUMBER(A907),IFERROR(_xlfn._xlws.FILTER(Equipar!A:A,(Equipar!B:B=6)*(Equipar!AC:AC=A907)),""),"")</f>
        <v/>
      </c>
    </row>
    <row r="908" spans="1:10" x14ac:dyDescent="0.25">
      <c r="A908" s="1" t="str">
        <f ca="1">IF(A907="ID",1,IF(ISBLANK(B908),"",MAX(A$2:A907)+1))</f>
        <v/>
      </c>
      <c r="I908" s="2" t="str">
        <f ca="1">IF(ISNUMBER(A908),
IF(COUNTIFS(Equipar!B:B,6,Equipar!AC:AC,A908),"Equipada",
IF(
 OR(COUNTIFS(Equipar!B:B,6,Equipar!C:C,A908)
 +COUNTIFS(Equipar!B:B,6,Equipar!D:D,A908)
+COUNTIFS(Equipar!B:B,6,Equipar!E:E,A908)
+COUNTIFS(Equipar!B:B,6,Equipar!F:F,A908)
&gt;0,COUNTIF('Set recomendado'!B:B,C908)=0),
"Bloqueada",
"Desechable")),""
)</f>
        <v/>
      </c>
      <c r="J908" t="str" cm="1">
        <f t="array" aca="1" ref="J908" ca="1">IF(ISNUMBER(A908),IFERROR(_xlfn._xlws.FILTER(Equipar!A:A,(Equipar!B:B=6)*(Equipar!AC:AC=A908)),""),"")</f>
        <v/>
      </c>
    </row>
    <row r="909" spans="1:10" x14ac:dyDescent="0.25">
      <c r="A909" s="1" t="str">
        <f ca="1">IF(A908="ID",1,IF(ISBLANK(B909),"",MAX(A$2:A908)+1))</f>
        <v/>
      </c>
      <c r="I909" s="2" t="str">
        <f ca="1">IF(ISNUMBER(A909),
IF(COUNTIFS(Equipar!B:B,6,Equipar!AC:AC,A909),"Equipada",
IF(
 OR(COUNTIFS(Equipar!B:B,6,Equipar!C:C,A909)
 +COUNTIFS(Equipar!B:B,6,Equipar!D:D,A909)
+COUNTIFS(Equipar!B:B,6,Equipar!E:E,A909)
+COUNTIFS(Equipar!B:B,6,Equipar!F:F,A909)
&gt;0,COUNTIF('Set recomendado'!B:B,C909)=0),
"Bloqueada",
"Desechable")),""
)</f>
        <v/>
      </c>
      <c r="J909" t="str" cm="1">
        <f t="array" aca="1" ref="J909" ca="1">IF(ISNUMBER(A909),IFERROR(_xlfn._xlws.FILTER(Equipar!A:A,(Equipar!B:B=6)*(Equipar!AC:AC=A909)),""),"")</f>
        <v/>
      </c>
    </row>
    <row r="910" spans="1:10" x14ac:dyDescent="0.25">
      <c r="A910" s="1" t="str">
        <f ca="1">IF(A909="ID",1,IF(ISBLANK(B910),"",MAX(A$2:A909)+1))</f>
        <v/>
      </c>
      <c r="I910" s="2" t="str">
        <f ca="1">IF(ISNUMBER(A910),
IF(COUNTIFS(Equipar!B:B,6,Equipar!AC:AC,A910),"Equipada",
IF(
 OR(COUNTIFS(Equipar!B:B,6,Equipar!C:C,A910)
 +COUNTIFS(Equipar!B:B,6,Equipar!D:D,A910)
+COUNTIFS(Equipar!B:B,6,Equipar!E:E,A910)
+COUNTIFS(Equipar!B:B,6,Equipar!F:F,A910)
&gt;0,COUNTIF('Set recomendado'!B:B,C910)=0),
"Bloqueada",
"Desechable")),""
)</f>
        <v/>
      </c>
      <c r="J910" t="str" cm="1">
        <f t="array" aca="1" ref="J910" ca="1">IF(ISNUMBER(A910),IFERROR(_xlfn._xlws.FILTER(Equipar!A:A,(Equipar!B:B=6)*(Equipar!AC:AC=A910)),""),"")</f>
        <v/>
      </c>
    </row>
    <row r="911" spans="1:10" x14ac:dyDescent="0.25">
      <c r="A911" s="1" t="str">
        <f ca="1">IF(A910="ID",1,IF(ISBLANK(B911),"",MAX(A$2:A910)+1))</f>
        <v/>
      </c>
      <c r="I911" s="2" t="str">
        <f ca="1">IF(ISNUMBER(A911),
IF(COUNTIFS(Equipar!B:B,6,Equipar!AC:AC,A911),"Equipada",
IF(
 OR(COUNTIFS(Equipar!B:B,6,Equipar!C:C,A911)
 +COUNTIFS(Equipar!B:B,6,Equipar!D:D,A911)
+COUNTIFS(Equipar!B:B,6,Equipar!E:E,A911)
+COUNTIFS(Equipar!B:B,6,Equipar!F:F,A911)
&gt;0,COUNTIF('Set recomendado'!B:B,C911)=0),
"Bloqueada",
"Desechable")),""
)</f>
        <v/>
      </c>
      <c r="J911" t="str" cm="1">
        <f t="array" aca="1" ref="J911" ca="1">IF(ISNUMBER(A911),IFERROR(_xlfn._xlws.FILTER(Equipar!A:A,(Equipar!B:B=6)*(Equipar!AC:AC=A911)),""),"")</f>
        <v/>
      </c>
    </row>
    <row r="912" spans="1:10" x14ac:dyDescent="0.25">
      <c r="A912" s="1" t="str">
        <f ca="1">IF(A911="ID",1,IF(ISBLANK(B912),"",MAX(A$2:A911)+1))</f>
        <v/>
      </c>
      <c r="I912" s="2" t="str">
        <f ca="1">IF(ISNUMBER(A912),
IF(COUNTIFS(Equipar!B:B,6,Equipar!AC:AC,A912),"Equipada",
IF(
 OR(COUNTIFS(Equipar!B:B,6,Equipar!C:C,A912)
 +COUNTIFS(Equipar!B:B,6,Equipar!D:D,A912)
+COUNTIFS(Equipar!B:B,6,Equipar!E:E,A912)
+COUNTIFS(Equipar!B:B,6,Equipar!F:F,A912)
&gt;0,COUNTIF('Set recomendado'!B:B,C912)=0),
"Bloqueada",
"Desechable")),""
)</f>
        <v/>
      </c>
      <c r="J912" t="str" cm="1">
        <f t="array" aca="1" ref="J912" ca="1">IF(ISNUMBER(A912),IFERROR(_xlfn._xlws.FILTER(Equipar!A:A,(Equipar!B:B=6)*(Equipar!AC:AC=A912)),""),"")</f>
        <v/>
      </c>
    </row>
    <row r="913" spans="1:10" x14ac:dyDescent="0.25">
      <c r="A913" s="1" t="str">
        <f ca="1">IF(A912="ID",1,IF(ISBLANK(B913),"",MAX(A$2:A912)+1))</f>
        <v/>
      </c>
      <c r="I913" s="2" t="str">
        <f ca="1">IF(ISNUMBER(A913),
IF(COUNTIFS(Equipar!B:B,6,Equipar!AC:AC,A913),"Equipada",
IF(
 OR(COUNTIFS(Equipar!B:B,6,Equipar!C:C,A913)
 +COUNTIFS(Equipar!B:B,6,Equipar!D:D,A913)
+COUNTIFS(Equipar!B:B,6,Equipar!E:E,A913)
+COUNTIFS(Equipar!B:B,6,Equipar!F:F,A913)
&gt;0,COUNTIF('Set recomendado'!B:B,C913)=0),
"Bloqueada",
"Desechable")),""
)</f>
        <v/>
      </c>
      <c r="J913" t="str" cm="1">
        <f t="array" aca="1" ref="J913" ca="1">IF(ISNUMBER(A913),IFERROR(_xlfn._xlws.FILTER(Equipar!A:A,(Equipar!B:B=6)*(Equipar!AC:AC=A913)),""),"")</f>
        <v/>
      </c>
    </row>
    <row r="914" spans="1:10" x14ac:dyDescent="0.25">
      <c r="A914" s="1" t="str">
        <f ca="1">IF(A913="ID",1,IF(ISBLANK(B914),"",MAX(A$2:A913)+1))</f>
        <v/>
      </c>
      <c r="I914" s="2" t="str">
        <f ca="1">IF(ISNUMBER(A914),
IF(COUNTIFS(Equipar!B:B,6,Equipar!AC:AC,A914),"Equipada",
IF(
 OR(COUNTIFS(Equipar!B:B,6,Equipar!C:C,A914)
 +COUNTIFS(Equipar!B:B,6,Equipar!D:D,A914)
+COUNTIFS(Equipar!B:B,6,Equipar!E:E,A914)
+COUNTIFS(Equipar!B:B,6,Equipar!F:F,A914)
&gt;0,COUNTIF('Set recomendado'!B:B,C914)=0),
"Bloqueada",
"Desechable")),""
)</f>
        <v/>
      </c>
      <c r="J914" t="str" cm="1">
        <f t="array" aca="1" ref="J914" ca="1">IF(ISNUMBER(A914),IFERROR(_xlfn._xlws.FILTER(Equipar!A:A,(Equipar!B:B=6)*(Equipar!AC:AC=A914)),""),"")</f>
        <v/>
      </c>
    </row>
    <row r="915" spans="1:10" x14ac:dyDescent="0.25">
      <c r="A915" s="1" t="str">
        <f ca="1">IF(A914="ID",1,IF(ISBLANK(B915),"",MAX(A$2:A914)+1))</f>
        <v/>
      </c>
      <c r="I915" s="2" t="str">
        <f ca="1">IF(ISNUMBER(A915),
IF(COUNTIFS(Equipar!B:B,6,Equipar!AC:AC,A915),"Equipada",
IF(
 OR(COUNTIFS(Equipar!B:B,6,Equipar!C:C,A915)
 +COUNTIFS(Equipar!B:B,6,Equipar!D:D,A915)
+COUNTIFS(Equipar!B:B,6,Equipar!E:E,A915)
+COUNTIFS(Equipar!B:B,6,Equipar!F:F,A915)
&gt;0,COUNTIF('Set recomendado'!B:B,C915)=0),
"Bloqueada",
"Desechable")),""
)</f>
        <v/>
      </c>
      <c r="J915" t="str" cm="1">
        <f t="array" aca="1" ref="J915" ca="1">IF(ISNUMBER(A915),IFERROR(_xlfn._xlws.FILTER(Equipar!A:A,(Equipar!B:B=6)*(Equipar!AC:AC=A915)),""),"")</f>
        <v/>
      </c>
    </row>
    <row r="916" spans="1:10" x14ac:dyDescent="0.25">
      <c r="A916" s="1" t="str">
        <f ca="1">IF(A915="ID",1,IF(ISBLANK(B916),"",MAX(A$2:A915)+1))</f>
        <v/>
      </c>
      <c r="I916" s="2" t="str">
        <f ca="1">IF(ISNUMBER(A916),
IF(COUNTIFS(Equipar!B:B,6,Equipar!AC:AC,A916),"Equipada",
IF(
 OR(COUNTIFS(Equipar!B:B,6,Equipar!C:C,A916)
 +COUNTIFS(Equipar!B:B,6,Equipar!D:D,A916)
+COUNTIFS(Equipar!B:B,6,Equipar!E:E,A916)
+COUNTIFS(Equipar!B:B,6,Equipar!F:F,A916)
&gt;0,COUNTIF('Set recomendado'!B:B,C916)=0),
"Bloqueada",
"Desechable")),""
)</f>
        <v/>
      </c>
      <c r="J916" t="str" cm="1">
        <f t="array" aca="1" ref="J916" ca="1">IF(ISNUMBER(A916),IFERROR(_xlfn._xlws.FILTER(Equipar!A:A,(Equipar!B:B=6)*(Equipar!AC:AC=A916)),""),"")</f>
        <v/>
      </c>
    </row>
    <row r="917" spans="1:10" x14ac:dyDescent="0.25">
      <c r="A917" s="1" t="str">
        <f ca="1">IF(A916="ID",1,IF(ISBLANK(B917),"",MAX(A$2:A916)+1))</f>
        <v/>
      </c>
      <c r="I917" s="2" t="str">
        <f ca="1">IF(ISNUMBER(A917),
IF(COUNTIFS(Equipar!B:B,6,Equipar!AC:AC,A917),"Equipada",
IF(
 OR(COUNTIFS(Equipar!B:B,6,Equipar!C:C,A917)
 +COUNTIFS(Equipar!B:B,6,Equipar!D:D,A917)
+COUNTIFS(Equipar!B:B,6,Equipar!E:E,A917)
+COUNTIFS(Equipar!B:B,6,Equipar!F:F,A917)
&gt;0,COUNTIF('Set recomendado'!B:B,C917)=0),
"Bloqueada",
"Desechable")),""
)</f>
        <v/>
      </c>
      <c r="J917" t="str" cm="1">
        <f t="array" aca="1" ref="J917" ca="1">IF(ISNUMBER(A917),IFERROR(_xlfn._xlws.FILTER(Equipar!A:A,(Equipar!B:B=6)*(Equipar!AC:AC=A917)),""),"")</f>
        <v/>
      </c>
    </row>
    <row r="918" spans="1:10" x14ac:dyDescent="0.25">
      <c r="A918" s="1" t="str">
        <f ca="1">IF(A917="ID",1,IF(ISBLANK(B918),"",MAX(A$2:A917)+1))</f>
        <v/>
      </c>
      <c r="I918" s="2" t="str">
        <f ca="1">IF(ISNUMBER(A918),
IF(COUNTIFS(Equipar!B:B,6,Equipar!AC:AC,A918),"Equipada",
IF(
 OR(COUNTIFS(Equipar!B:B,6,Equipar!C:C,A918)
 +COUNTIFS(Equipar!B:B,6,Equipar!D:D,A918)
+COUNTIFS(Equipar!B:B,6,Equipar!E:E,A918)
+COUNTIFS(Equipar!B:B,6,Equipar!F:F,A918)
&gt;0,COUNTIF('Set recomendado'!B:B,C918)=0),
"Bloqueada",
"Desechable")),""
)</f>
        <v/>
      </c>
      <c r="J918" t="str" cm="1">
        <f t="array" aca="1" ref="J918" ca="1">IF(ISNUMBER(A918),IFERROR(_xlfn._xlws.FILTER(Equipar!A:A,(Equipar!B:B=6)*(Equipar!AC:AC=A918)),""),"")</f>
        <v/>
      </c>
    </row>
    <row r="919" spans="1:10" x14ac:dyDescent="0.25">
      <c r="A919" s="1" t="str">
        <f ca="1">IF(A918="ID",1,IF(ISBLANK(B919),"",MAX(A$2:A918)+1))</f>
        <v/>
      </c>
      <c r="I919" s="2" t="str">
        <f ca="1">IF(ISNUMBER(A919),
IF(COUNTIFS(Equipar!B:B,6,Equipar!AC:AC,A919),"Equipada",
IF(
 OR(COUNTIFS(Equipar!B:B,6,Equipar!C:C,A919)
 +COUNTIFS(Equipar!B:B,6,Equipar!D:D,A919)
+COUNTIFS(Equipar!B:B,6,Equipar!E:E,A919)
+COUNTIFS(Equipar!B:B,6,Equipar!F:F,A919)
&gt;0,COUNTIF('Set recomendado'!B:B,C919)=0),
"Bloqueada",
"Desechable")),""
)</f>
        <v/>
      </c>
      <c r="J919" t="str" cm="1">
        <f t="array" aca="1" ref="J919" ca="1">IF(ISNUMBER(A919),IFERROR(_xlfn._xlws.FILTER(Equipar!A:A,(Equipar!B:B=6)*(Equipar!AC:AC=A919)),""),"")</f>
        <v/>
      </c>
    </row>
    <row r="920" spans="1:10" x14ac:dyDescent="0.25">
      <c r="A920" s="1" t="str">
        <f ca="1">IF(A919="ID",1,IF(ISBLANK(B920),"",MAX(A$2:A919)+1))</f>
        <v/>
      </c>
      <c r="I920" s="2" t="str">
        <f ca="1">IF(ISNUMBER(A920),
IF(COUNTIFS(Equipar!B:B,6,Equipar!AC:AC,A920),"Equipada",
IF(
 OR(COUNTIFS(Equipar!B:B,6,Equipar!C:C,A920)
 +COUNTIFS(Equipar!B:B,6,Equipar!D:D,A920)
+COUNTIFS(Equipar!B:B,6,Equipar!E:E,A920)
+COUNTIFS(Equipar!B:B,6,Equipar!F:F,A920)
&gt;0,COUNTIF('Set recomendado'!B:B,C920)=0),
"Bloqueada",
"Desechable")),""
)</f>
        <v/>
      </c>
      <c r="J920" t="str" cm="1">
        <f t="array" aca="1" ref="J920" ca="1">IF(ISNUMBER(A920),IFERROR(_xlfn._xlws.FILTER(Equipar!A:A,(Equipar!B:B=6)*(Equipar!AC:AC=A920)),""),"")</f>
        <v/>
      </c>
    </row>
    <row r="921" spans="1:10" x14ac:dyDescent="0.25">
      <c r="A921" s="1" t="str">
        <f ca="1">IF(A920="ID",1,IF(ISBLANK(B921),"",MAX(A$2:A920)+1))</f>
        <v/>
      </c>
      <c r="I921" s="2" t="str">
        <f ca="1">IF(ISNUMBER(A921),
IF(COUNTIFS(Equipar!B:B,6,Equipar!AC:AC,A921),"Equipada",
IF(
 OR(COUNTIFS(Equipar!B:B,6,Equipar!C:C,A921)
 +COUNTIFS(Equipar!B:B,6,Equipar!D:D,A921)
+COUNTIFS(Equipar!B:B,6,Equipar!E:E,A921)
+COUNTIFS(Equipar!B:B,6,Equipar!F:F,A921)
&gt;0,COUNTIF('Set recomendado'!B:B,C921)=0),
"Bloqueada",
"Desechable")),""
)</f>
        <v/>
      </c>
      <c r="J921" t="str" cm="1">
        <f t="array" aca="1" ref="J921" ca="1">IF(ISNUMBER(A921),IFERROR(_xlfn._xlws.FILTER(Equipar!A:A,(Equipar!B:B=6)*(Equipar!AC:AC=A921)),""),"")</f>
        <v/>
      </c>
    </row>
    <row r="922" spans="1:10" x14ac:dyDescent="0.25">
      <c r="A922" s="1" t="str">
        <f ca="1">IF(A921="ID",1,IF(ISBLANK(B922),"",MAX(A$2:A921)+1))</f>
        <v/>
      </c>
      <c r="I922" s="2" t="str">
        <f ca="1">IF(ISNUMBER(A922),
IF(COUNTIFS(Equipar!B:B,6,Equipar!AC:AC,A922),"Equipada",
IF(
 OR(COUNTIFS(Equipar!B:B,6,Equipar!C:C,A922)
 +COUNTIFS(Equipar!B:B,6,Equipar!D:D,A922)
+COUNTIFS(Equipar!B:B,6,Equipar!E:E,A922)
+COUNTIFS(Equipar!B:B,6,Equipar!F:F,A922)
&gt;0,COUNTIF('Set recomendado'!B:B,C922)=0),
"Bloqueada",
"Desechable")),""
)</f>
        <v/>
      </c>
      <c r="J922" t="str" cm="1">
        <f t="array" aca="1" ref="J922" ca="1">IF(ISNUMBER(A922),IFERROR(_xlfn._xlws.FILTER(Equipar!A:A,(Equipar!B:B=6)*(Equipar!AC:AC=A922)),""),"")</f>
        <v/>
      </c>
    </row>
    <row r="923" spans="1:10" x14ac:dyDescent="0.25">
      <c r="A923" s="1" t="str">
        <f ca="1">IF(A922="ID",1,IF(ISBLANK(B923),"",MAX(A$2:A922)+1))</f>
        <v/>
      </c>
      <c r="I923" s="2" t="str">
        <f ca="1">IF(ISNUMBER(A923),
IF(COUNTIFS(Equipar!B:B,6,Equipar!AC:AC,A923),"Equipada",
IF(
 OR(COUNTIFS(Equipar!B:B,6,Equipar!C:C,A923)
 +COUNTIFS(Equipar!B:B,6,Equipar!D:D,A923)
+COUNTIFS(Equipar!B:B,6,Equipar!E:E,A923)
+COUNTIFS(Equipar!B:B,6,Equipar!F:F,A923)
&gt;0,COUNTIF('Set recomendado'!B:B,C923)=0),
"Bloqueada",
"Desechable")),""
)</f>
        <v/>
      </c>
      <c r="J923" t="str" cm="1">
        <f t="array" aca="1" ref="J923" ca="1">IF(ISNUMBER(A923),IFERROR(_xlfn._xlws.FILTER(Equipar!A:A,(Equipar!B:B=6)*(Equipar!AC:AC=A923)),""),"")</f>
        <v/>
      </c>
    </row>
    <row r="924" spans="1:10" x14ac:dyDescent="0.25">
      <c r="A924" s="1" t="str">
        <f ca="1">IF(A923="ID",1,IF(ISBLANK(B924),"",MAX(A$2:A923)+1))</f>
        <v/>
      </c>
      <c r="I924" s="2" t="str">
        <f ca="1">IF(ISNUMBER(A924),
IF(COUNTIFS(Equipar!B:B,6,Equipar!AC:AC,A924),"Equipada",
IF(
 OR(COUNTIFS(Equipar!B:B,6,Equipar!C:C,A924)
 +COUNTIFS(Equipar!B:B,6,Equipar!D:D,A924)
+COUNTIFS(Equipar!B:B,6,Equipar!E:E,A924)
+COUNTIFS(Equipar!B:B,6,Equipar!F:F,A924)
&gt;0,COUNTIF('Set recomendado'!B:B,C924)=0),
"Bloqueada",
"Desechable")),""
)</f>
        <v/>
      </c>
      <c r="J924" t="str" cm="1">
        <f t="array" aca="1" ref="J924" ca="1">IF(ISNUMBER(A924),IFERROR(_xlfn._xlws.FILTER(Equipar!A:A,(Equipar!B:B=6)*(Equipar!AC:AC=A924)),""),"")</f>
        <v/>
      </c>
    </row>
    <row r="925" spans="1:10" x14ac:dyDescent="0.25">
      <c r="A925" s="1" t="str">
        <f ca="1">IF(A924="ID",1,IF(ISBLANK(B925),"",MAX(A$2:A924)+1))</f>
        <v/>
      </c>
      <c r="I925" s="2" t="str">
        <f ca="1">IF(ISNUMBER(A925),
IF(COUNTIFS(Equipar!B:B,6,Equipar!AC:AC,A925),"Equipada",
IF(
 OR(COUNTIFS(Equipar!B:B,6,Equipar!C:C,A925)
 +COUNTIFS(Equipar!B:B,6,Equipar!D:D,A925)
+COUNTIFS(Equipar!B:B,6,Equipar!E:E,A925)
+COUNTIFS(Equipar!B:B,6,Equipar!F:F,A925)
&gt;0,COUNTIF('Set recomendado'!B:B,C925)=0),
"Bloqueada",
"Desechable")),""
)</f>
        <v/>
      </c>
      <c r="J925" t="str" cm="1">
        <f t="array" aca="1" ref="J925" ca="1">IF(ISNUMBER(A925),IFERROR(_xlfn._xlws.FILTER(Equipar!A:A,(Equipar!B:B=6)*(Equipar!AC:AC=A925)),""),"")</f>
        <v/>
      </c>
    </row>
    <row r="926" spans="1:10" x14ac:dyDescent="0.25">
      <c r="A926" s="1" t="str">
        <f ca="1">IF(A925="ID",1,IF(ISBLANK(B926),"",MAX(A$2:A925)+1))</f>
        <v/>
      </c>
      <c r="I926" s="2" t="str">
        <f ca="1">IF(ISNUMBER(A926),
IF(COUNTIFS(Equipar!B:B,6,Equipar!AC:AC,A926),"Equipada",
IF(
 OR(COUNTIFS(Equipar!B:B,6,Equipar!C:C,A926)
 +COUNTIFS(Equipar!B:B,6,Equipar!D:D,A926)
+COUNTIFS(Equipar!B:B,6,Equipar!E:E,A926)
+COUNTIFS(Equipar!B:B,6,Equipar!F:F,A926)
&gt;0,COUNTIF('Set recomendado'!B:B,C926)=0),
"Bloqueada",
"Desechable")),""
)</f>
        <v/>
      </c>
      <c r="J926" t="str" cm="1">
        <f t="array" aca="1" ref="J926" ca="1">IF(ISNUMBER(A926),IFERROR(_xlfn._xlws.FILTER(Equipar!A:A,(Equipar!B:B=6)*(Equipar!AC:AC=A926)),""),"")</f>
        <v/>
      </c>
    </row>
    <row r="927" spans="1:10" x14ac:dyDescent="0.25">
      <c r="A927" s="1" t="str">
        <f ca="1">IF(A926="ID",1,IF(ISBLANK(B927),"",MAX(A$2:A926)+1))</f>
        <v/>
      </c>
      <c r="I927" s="2" t="str">
        <f ca="1">IF(ISNUMBER(A927),
IF(COUNTIFS(Equipar!B:B,6,Equipar!AC:AC,A927),"Equipada",
IF(
 OR(COUNTIFS(Equipar!B:B,6,Equipar!C:C,A927)
 +COUNTIFS(Equipar!B:B,6,Equipar!D:D,A927)
+COUNTIFS(Equipar!B:B,6,Equipar!E:E,A927)
+COUNTIFS(Equipar!B:B,6,Equipar!F:F,A927)
&gt;0,COUNTIF('Set recomendado'!B:B,C927)=0),
"Bloqueada",
"Desechable")),""
)</f>
        <v/>
      </c>
      <c r="J927" t="str" cm="1">
        <f t="array" aca="1" ref="J927" ca="1">IF(ISNUMBER(A927),IFERROR(_xlfn._xlws.FILTER(Equipar!A:A,(Equipar!B:B=6)*(Equipar!AC:AC=A927)),""),"")</f>
        <v/>
      </c>
    </row>
    <row r="928" spans="1:10" x14ac:dyDescent="0.25">
      <c r="A928" s="1" t="str">
        <f ca="1">IF(A927="ID",1,IF(ISBLANK(B928),"",MAX(A$2:A927)+1))</f>
        <v/>
      </c>
      <c r="I928" s="2" t="str">
        <f ca="1">IF(ISNUMBER(A928),
IF(COUNTIFS(Equipar!B:B,6,Equipar!AC:AC,A928),"Equipada",
IF(
 OR(COUNTIFS(Equipar!B:B,6,Equipar!C:C,A928)
 +COUNTIFS(Equipar!B:B,6,Equipar!D:D,A928)
+COUNTIFS(Equipar!B:B,6,Equipar!E:E,A928)
+COUNTIFS(Equipar!B:B,6,Equipar!F:F,A928)
&gt;0,COUNTIF('Set recomendado'!B:B,C928)=0),
"Bloqueada",
"Desechable")),""
)</f>
        <v/>
      </c>
      <c r="J928" t="str" cm="1">
        <f t="array" aca="1" ref="J928" ca="1">IF(ISNUMBER(A928),IFERROR(_xlfn._xlws.FILTER(Equipar!A:A,(Equipar!B:B=6)*(Equipar!AC:AC=A928)),""),"")</f>
        <v/>
      </c>
    </row>
    <row r="929" spans="1:10" x14ac:dyDescent="0.25">
      <c r="A929" s="1" t="str">
        <f ca="1">IF(A928="ID",1,IF(ISBLANK(B929),"",MAX(A$2:A928)+1))</f>
        <v/>
      </c>
      <c r="I929" s="2" t="str">
        <f ca="1">IF(ISNUMBER(A929),
IF(COUNTIFS(Equipar!B:B,6,Equipar!AC:AC,A929),"Equipada",
IF(
 OR(COUNTIFS(Equipar!B:B,6,Equipar!C:C,A929)
 +COUNTIFS(Equipar!B:B,6,Equipar!D:D,A929)
+COUNTIFS(Equipar!B:B,6,Equipar!E:E,A929)
+COUNTIFS(Equipar!B:B,6,Equipar!F:F,A929)
&gt;0,COUNTIF('Set recomendado'!B:B,C929)=0),
"Bloqueada",
"Desechable")),""
)</f>
        <v/>
      </c>
      <c r="J929" t="str" cm="1">
        <f t="array" aca="1" ref="J929" ca="1">IF(ISNUMBER(A929),IFERROR(_xlfn._xlws.FILTER(Equipar!A:A,(Equipar!B:B=6)*(Equipar!AC:AC=A929)),""),"")</f>
        <v/>
      </c>
    </row>
    <row r="930" spans="1:10" x14ac:dyDescent="0.25">
      <c r="A930" s="1" t="str">
        <f ca="1">IF(A929="ID",1,IF(ISBLANK(B930),"",MAX(A$2:A929)+1))</f>
        <v/>
      </c>
      <c r="I930" s="2" t="str">
        <f ca="1">IF(ISNUMBER(A930),
IF(COUNTIFS(Equipar!B:B,6,Equipar!AC:AC,A930),"Equipada",
IF(
 OR(COUNTIFS(Equipar!B:B,6,Equipar!C:C,A930)
 +COUNTIFS(Equipar!B:B,6,Equipar!D:D,A930)
+COUNTIFS(Equipar!B:B,6,Equipar!E:E,A930)
+COUNTIFS(Equipar!B:B,6,Equipar!F:F,A930)
&gt;0,COUNTIF('Set recomendado'!B:B,C930)=0),
"Bloqueada",
"Desechable")),""
)</f>
        <v/>
      </c>
      <c r="J930" t="str" cm="1">
        <f t="array" aca="1" ref="J930" ca="1">IF(ISNUMBER(A930),IFERROR(_xlfn._xlws.FILTER(Equipar!A:A,(Equipar!B:B=6)*(Equipar!AC:AC=A930)),""),"")</f>
        <v/>
      </c>
    </row>
    <row r="931" spans="1:10" x14ac:dyDescent="0.25">
      <c r="A931" s="1" t="str">
        <f ca="1">IF(A930="ID",1,IF(ISBLANK(B931),"",MAX(A$2:A930)+1))</f>
        <v/>
      </c>
      <c r="I931" s="2" t="str">
        <f ca="1">IF(ISNUMBER(A931),
IF(COUNTIFS(Equipar!B:B,6,Equipar!AC:AC,A931),"Equipada",
IF(
 OR(COUNTIFS(Equipar!B:B,6,Equipar!C:C,A931)
 +COUNTIFS(Equipar!B:B,6,Equipar!D:D,A931)
+COUNTIFS(Equipar!B:B,6,Equipar!E:E,A931)
+COUNTIFS(Equipar!B:B,6,Equipar!F:F,A931)
&gt;0,COUNTIF('Set recomendado'!B:B,C931)=0),
"Bloqueada",
"Desechable")),""
)</f>
        <v/>
      </c>
      <c r="J931" t="str" cm="1">
        <f t="array" aca="1" ref="J931" ca="1">IF(ISNUMBER(A931),IFERROR(_xlfn._xlws.FILTER(Equipar!A:A,(Equipar!B:B=6)*(Equipar!AC:AC=A931)),""),"")</f>
        <v/>
      </c>
    </row>
    <row r="932" spans="1:10" x14ac:dyDescent="0.25">
      <c r="A932" s="1" t="str">
        <f ca="1">IF(A931="ID",1,IF(ISBLANK(B932),"",MAX(A$2:A931)+1))</f>
        <v/>
      </c>
      <c r="I932" s="2" t="str">
        <f ca="1">IF(ISNUMBER(A932),
IF(COUNTIFS(Equipar!B:B,6,Equipar!AC:AC,A932),"Equipada",
IF(
 OR(COUNTIFS(Equipar!B:B,6,Equipar!C:C,A932)
 +COUNTIFS(Equipar!B:B,6,Equipar!D:D,A932)
+COUNTIFS(Equipar!B:B,6,Equipar!E:E,A932)
+COUNTIFS(Equipar!B:B,6,Equipar!F:F,A932)
&gt;0,COUNTIF('Set recomendado'!B:B,C932)=0),
"Bloqueada",
"Desechable")),""
)</f>
        <v/>
      </c>
      <c r="J932" t="str" cm="1">
        <f t="array" aca="1" ref="J932" ca="1">IF(ISNUMBER(A932),IFERROR(_xlfn._xlws.FILTER(Equipar!A:A,(Equipar!B:B=6)*(Equipar!AC:AC=A932)),""),"")</f>
        <v/>
      </c>
    </row>
    <row r="933" spans="1:10" x14ac:dyDescent="0.25">
      <c r="A933" s="1" t="str">
        <f ca="1">IF(A932="ID",1,IF(ISBLANK(B933),"",MAX(A$2:A932)+1))</f>
        <v/>
      </c>
      <c r="I933" s="2" t="str">
        <f ca="1">IF(ISNUMBER(A933),
IF(COUNTIFS(Equipar!B:B,6,Equipar!AC:AC,A933),"Equipada",
IF(
 OR(COUNTIFS(Equipar!B:B,6,Equipar!C:C,A933)
 +COUNTIFS(Equipar!B:B,6,Equipar!D:D,A933)
+COUNTIFS(Equipar!B:B,6,Equipar!E:E,A933)
+COUNTIFS(Equipar!B:B,6,Equipar!F:F,A933)
&gt;0,COUNTIF('Set recomendado'!B:B,C933)=0),
"Bloqueada",
"Desechable")),""
)</f>
        <v/>
      </c>
      <c r="J933" t="str" cm="1">
        <f t="array" aca="1" ref="J933" ca="1">IF(ISNUMBER(A933),IFERROR(_xlfn._xlws.FILTER(Equipar!A:A,(Equipar!B:B=6)*(Equipar!AC:AC=A933)),""),"")</f>
        <v/>
      </c>
    </row>
    <row r="934" spans="1:10" x14ac:dyDescent="0.25">
      <c r="A934" s="1" t="str">
        <f ca="1">IF(A933="ID",1,IF(ISBLANK(B934),"",MAX(A$2:A933)+1))</f>
        <v/>
      </c>
      <c r="I934" s="2" t="str">
        <f ca="1">IF(ISNUMBER(A934),
IF(COUNTIFS(Equipar!B:B,6,Equipar!AC:AC,A934),"Equipada",
IF(
 OR(COUNTIFS(Equipar!B:B,6,Equipar!C:C,A934)
 +COUNTIFS(Equipar!B:B,6,Equipar!D:D,A934)
+COUNTIFS(Equipar!B:B,6,Equipar!E:E,A934)
+COUNTIFS(Equipar!B:B,6,Equipar!F:F,A934)
&gt;0,COUNTIF('Set recomendado'!B:B,C934)=0),
"Bloqueada",
"Desechable")),""
)</f>
        <v/>
      </c>
      <c r="J934" t="str" cm="1">
        <f t="array" aca="1" ref="J934" ca="1">IF(ISNUMBER(A934),IFERROR(_xlfn._xlws.FILTER(Equipar!A:A,(Equipar!B:B=6)*(Equipar!AC:AC=A934)),""),"")</f>
        <v/>
      </c>
    </row>
    <row r="935" spans="1:10" x14ac:dyDescent="0.25">
      <c r="A935" s="1" t="str">
        <f ca="1">IF(A934="ID",1,IF(ISBLANK(B935),"",MAX(A$2:A934)+1))</f>
        <v/>
      </c>
      <c r="I935" s="2" t="str">
        <f ca="1">IF(ISNUMBER(A935),
IF(COUNTIFS(Equipar!B:B,6,Equipar!AC:AC,A935),"Equipada",
IF(
 OR(COUNTIFS(Equipar!B:B,6,Equipar!C:C,A935)
 +COUNTIFS(Equipar!B:B,6,Equipar!D:D,A935)
+COUNTIFS(Equipar!B:B,6,Equipar!E:E,A935)
+COUNTIFS(Equipar!B:B,6,Equipar!F:F,A935)
&gt;0,COUNTIF('Set recomendado'!B:B,C935)=0),
"Bloqueada",
"Desechable")),""
)</f>
        <v/>
      </c>
      <c r="J935" t="str" cm="1">
        <f t="array" aca="1" ref="J935" ca="1">IF(ISNUMBER(A935),IFERROR(_xlfn._xlws.FILTER(Equipar!A:A,(Equipar!B:B=6)*(Equipar!AC:AC=A935)),""),"")</f>
        <v/>
      </c>
    </row>
    <row r="936" spans="1:10" x14ac:dyDescent="0.25">
      <c r="A936" s="1" t="str">
        <f ca="1">IF(A935="ID",1,IF(ISBLANK(B936),"",MAX(A$2:A935)+1))</f>
        <v/>
      </c>
      <c r="I936" s="2" t="str">
        <f ca="1">IF(ISNUMBER(A936),
IF(COUNTIFS(Equipar!B:B,6,Equipar!AC:AC,A936),"Equipada",
IF(
 OR(COUNTIFS(Equipar!B:B,6,Equipar!C:C,A936)
 +COUNTIFS(Equipar!B:B,6,Equipar!D:D,A936)
+COUNTIFS(Equipar!B:B,6,Equipar!E:E,A936)
+COUNTIFS(Equipar!B:B,6,Equipar!F:F,A936)
&gt;0,COUNTIF('Set recomendado'!B:B,C936)=0),
"Bloqueada",
"Desechable")),""
)</f>
        <v/>
      </c>
      <c r="J936" t="str" cm="1">
        <f t="array" aca="1" ref="J936" ca="1">IF(ISNUMBER(A936),IFERROR(_xlfn._xlws.FILTER(Equipar!A:A,(Equipar!B:B=6)*(Equipar!AC:AC=A936)),""),"")</f>
        <v/>
      </c>
    </row>
    <row r="937" spans="1:10" x14ac:dyDescent="0.25">
      <c r="A937" s="1" t="str">
        <f ca="1">IF(A936="ID",1,IF(ISBLANK(B937),"",MAX(A$2:A936)+1))</f>
        <v/>
      </c>
      <c r="I937" s="2" t="str">
        <f ca="1">IF(ISNUMBER(A937),
IF(COUNTIFS(Equipar!B:B,6,Equipar!AC:AC,A937),"Equipada",
IF(
 OR(COUNTIFS(Equipar!B:B,6,Equipar!C:C,A937)
 +COUNTIFS(Equipar!B:B,6,Equipar!D:D,A937)
+COUNTIFS(Equipar!B:B,6,Equipar!E:E,A937)
+COUNTIFS(Equipar!B:B,6,Equipar!F:F,A937)
&gt;0,COUNTIF('Set recomendado'!B:B,C937)=0),
"Bloqueada",
"Desechable")),""
)</f>
        <v/>
      </c>
      <c r="J937" t="str" cm="1">
        <f t="array" aca="1" ref="J937" ca="1">IF(ISNUMBER(A937),IFERROR(_xlfn._xlws.FILTER(Equipar!A:A,(Equipar!B:B=6)*(Equipar!AC:AC=A937)),""),"")</f>
        <v/>
      </c>
    </row>
    <row r="938" spans="1:10" x14ac:dyDescent="0.25">
      <c r="A938" s="1" t="str">
        <f ca="1">IF(A937="ID",1,IF(ISBLANK(B938),"",MAX(A$2:A937)+1))</f>
        <v/>
      </c>
      <c r="I938" s="2" t="str">
        <f ca="1">IF(ISNUMBER(A938),
IF(COUNTIFS(Equipar!B:B,6,Equipar!AC:AC,A938),"Equipada",
IF(
 OR(COUNTIFS(Equipar!B:B,6,Equipar!C:C,A938)
 +COUNTIFS(Equipar!B:B,6,Equipar!D:D,A938)
+COUNTIFS(Equipar!B:B,6,Equipar!E:E,A938)
+COUNTIFS(Equipar!B:B,6,Equipar!F:F,A938)
&gt;0,COUNTIF('Set recomendado'!B:B,C938)=0),
"Bloqueada",
"Desechable")),""
)</f>
        <v/>
      </c>
      <c r="J938" t="str" cm="1">
        <f t="array" aca="1" ref="J938" ca="1">IF(ISNUMBER(A938),IFERROR(_xlfn._xlws.FILTER(Equipar!A:A,(Equipar!B:B=6)*(Equipar!AC:AC=A938)),""),"")</f>
        <v/>
      </c>
    </row>
    <row r="939" spans="1:10" x14ac:dyDescent="0.25">
      <c r="A939" s="1" t="str">
        <f ca="1">IF(A938="ID",1,IF(ISBLANK(B939),"",MAX(A$2:A938)+1))</f>
        <v/>
      </c>
      <c r="I939" s="2" t="str">
        <f ca="1">IF(ISNUMBER(A939),
IF(COUNTIFS(Equipar!B:B,6,Equipar!AC:AC,A939),"Equipada",
IF(
 OR(COUNTIFS(Equipar!B:B,6,Equipar!C:C,A939)
 +COUNTIFS(Equipar!B:B,6,Equipar!D:D,A939)
+COUNTIFS(Equipar!B:B,6,Equipar!E:E,A939)
+COUNTIFS(Equipar!B:B,6,Equipar!F:F,A939)
&gt;0,COUNTIF('Set recomendado'!B:B,C939)=0),
"Bloqueada",
"Desechable")),""
)</f>
        <v/>
      </c>
      <c r="J939" t="str" cm="1">
        <f t="array" aca="1" ref="J939" ca="1">IF(ISNUMBER(A939),IFERROR(_xlfn._xlws.FILTER(Equipar!A:A,(Equipar!B:B=6)*(Equipar!AC:AC=A939)),""),"")</f>
        <v/>
      </c>
    </row>
    <row r="940" spans="1:10" x14ac:dyDescent="0.25">
      <c r="A940" s="1" t="str">
        <f ca="1">IF(A939="ID",1,IF(ISBLANK(B940),"",MAX(A$2:A939)+1))</f>
        <v/>
      </c>
      <c r="I940" s="2" t="str">
        <f ca="1">IF(ISNUMBER(A940),
IF(COUNTIFS(Equipar!B:B,6,Equipar!AC:AC,A940),"Equipada",
IF(
 OR(COUNTIFS(Equipar!B:B,6,Equipar!C:C,A940)
 +COUNTIFS(Equipar!B:B,6,Equipar!D:D,A940)
+COUNTIFS(Equipar!B:B,6,Equipar!E:E,A940)
+COUNTIFS(Equipar!B:B,6,Equipar!F:F,A940)
&gt;0,COUNTIF('Set recomendado'!B:B,C940)=0),
"Bloqueada",
"Desechable")),""
)</f>
        <v/>
      </c>
      <c r="J940" t="str" cm="1">
        <f t="array" aca="1" ref="J940" ca="1">IF(ISNUMBER(A940),IFERROR(_xlfn._xlws.FILTER(Equipar!A:A,(Equipar!B:B=6)*(Equipar!AC:AC=A940)),""),"")</f>
        <v/>
      </c>
    </row>
    <row r="941" spans="1:10" x14ac:dyDescent="0.25">
      <c r="A941" s="1" t="str">
        <f ca="1">IF(A940="ID",1,IF(ISBLANK(B941),"",MAX(A$2:A940)+1))</f>
        <v/>
      </c>
      <c r="I941" s="2" t="str">
        <f ca="1">IF(ISNUMBER(A941),
IF(COUNTIFS(Equipar!B:B,6,Equipar!AC:AC,A941),"Equipada",
IF(
 OR(COUNTIFS(Equipar!B:B,6,Equipar!C:C,A941)
 +COUNTIFS(Equipar!B:B,6,Equipar!D:D,A941)
+COUNTIFS(Equipar!B:B,6,Equipar!E:E,A941)
+COUNTIFS(Equipar!B:B,6,Equipar!F:F,A941)
&gt;0,COUNTIF('Set recomendado'!B:B,C941)=0),
"Bloqueada",
"Desechable")),""
)</f>
        <v/>
      </c>
      <c r="J941" t="str" cm="1">
        <f t="array" aca="1" ref="J941" ca="1">IF(ISNUMBER(A941),IFERROR(_xlfn._xlws.FILTER(Equipar!A:A,(Equipar!B:B=6)*(Equipar!AC:AC=A941)),""),"")</f>
        <v/>
      </c>
    </row>
    <row r="942" spans="1:10" x14ac:dyDescent="0.25">
      <c r="A942" s="1" t="str">
        <f ca="1">IF(A941="ID",1,IF(ISBLANK(B942),"",MAX(A$2:A941)+1))</f>
        <v/>
      </c>
      <c r="I942" s="2" t="str">
        <f ca="1">IF(ISNUMBER(A942),
IF(COUNTIFS(Equipar!B:B,6,Equipar!AC:AC,A942),"Equipada",
IF(
 OR(COUNTIFS(Equipar!B:B,6,Equipar!C:C,A942)
 +COUNTIFS(Equipar!B:B,6,Equipar!D:D,A942)
+COUNTIFS(Equipar!B:B,6,Equipar!E:E,A942)
+COUNTIFS(Equipar!B:B,6,Equipar!F:F,A942)
&gt;0,COUNTIF('Set recomendado'!B:B,C942)=0),
"Bloqueada",
"Desechable")),""
)</f>
        <v/>
      </c>
      <c r="J942" t="str" cm="1">
        <f t="array" aca="1" ref="J942" ca="1">IF(ISNUMBER(A942),IFERROR(_xlfn._xlws.FILTER(Equipar!A:A,(Equipar!B:B=6)*(Equipar!AC:AC=A942)),""),"")</f>
        <v/>
      </c>
    </row>
    <row r="943" spans="1:10" x14ac:dyDescent="0.25">
      <c r="A943" s="1" t="str">
        <f ca="1">IF(A942="ID",1,IF(ISBLANK(B943),"",MAX(A$2:A942)+1))</f>
        <v/>
      </c>
      <c r="I943" s="2" t="str">
        <f ca="1">IF(ISNUMBER(A943),
IF(COUNTIFS(Equipar!B:B,6,Equipar!AC:AC,A943),"Equipada",
IF(
 OR(COUNTIFS(Equipar!B:B,6,Equipar!C:C,A943)
 +COUNTIFS(Equipar!B:B,6,Equipar!D:D,A943)
+COUNTIFS(Equipar!B:B,6,Equipar!E:E,A943)
+COUNTIFS(Equipar!B:B,6,Equipar!F:F,A943)
&gt;0,COUNTIF('Set recomendado'!B:B,C943)=0),
"Bloqueada",
"Desechable")),""
)</f>
        <v/>
      </c>
      <c r="J943" t="str" cm="1">
        <f t="array" aca="1" ref="J943" ca="1">IF(ISNUMBER(A943),IFERROR(_xlfn._xlws.FILTER(Equipar!A:A,(Equipar!B:B=6)*(Equipar!AC:AC=A943)),""),"")</f>
        <v/>
      </c>
    </row>
    <row r="944" spans="1:10" x14ac:dyDescent="0.25">
      <c r="A944" s="1" t="str">
        <f ca="1">IF(A943="ID",1,IF(ISBLANK(B944),"",MAX(A$2:A943)+1))</f>
        <v/>
      </c>
      <c r="I944" s="2" t="str">
        <f ca="1">IF(ISNUMBER(A944),
IF(COUNTIFS(Equipar!B:B,6,Equipar!AC:AC,A944),"Equipada",
IF(
 OR(COUNTIFS(Equipar!B:B,6,Equipar!C:C,A944)
 +COUNTIFS(Equipar!B:B,6,Equipar!D:D,A944)
+COUNTIFS(Equipar!B:B,6,Equipar!E:E,A944)
+COUNTIFS(Equipar!B:B,6,Equipar!F:F,A944)
&gt;0,COUNTIF('Set recomendado'!B:B,C944)=0),
"Bloqueada",
"Desechable")),""
)</f>
        <v/>
      </c>
      <c r="J944" t="str" cm="1">
        <f t="array" aca="1" ref="J944" ca="1">IF(ISNUMBER(A944),IFERROR(_xlfn._xlws.FILTER(Equipar!A:A,(Equipar!B:B=6)*(Equipar!AC:AC=A944)),""),"")</f>
        <v/>
      </c>
    </row>
    <row r="945" spans="1:10" x14ac:dyDescent="0.25">
      <c r="A945" s="1" t="str">
        <f ca="1">IF(A944="ID",1,IF(ISBLANK(B945),"",MAX(A$2:A944)+1))</f>
        <v/>
      </c>
      <c r="I945" s="2" t="str">
        <f ca="1">IF(ISNUMBER(A945),
IF(COUNTIFS(Equipar!B:B,6,Equipar!AC:AC,A945),"Equipada",
IF(
 OR(COUNTIFS(Equipar!B:B,6,Equipar!C:C,A945)
 +COUNTIFS(Equipar!B:B,6,Equipar!D:D,A945)
+COUNTIFS(Equipar!B:B,6,Equipar!E:E,A945)
+COUNTIFS(Equipar!B:B,6,Equipar!F:F,A945)
&gt;0,COUNTIF('Set recomendado'!B:B,C945)=0),
"Bloqueada",
"Desechable")),""
)</f>
        <v/>
      </c>
      <c r="J945" t="str" cm="1">
        <f t="array" aca="1" ref="J945" ca="1">IF(ISNUMBER(A945),IFERROR(_xlfn._xlws.FILTER(Equipar!A:A,(Equipar!B:B=6)*(Equipar!AC:AC=A945)),""),"")</f>
        <v/>
      </c>
    </row>
    <row r="946" spans="1:10" x14ac:dyDescent="0.25">
      <c r="A946" s="1" t="str">
        <f ca="1">IF(A945="ID",1,IF(ISBLANK(B946),"",MAX(A$2:A945)+1))</f>
        <v/>
      </c>
      <c r="I946" s="2" t="str">
        <f ca="1">IF(ISNUMBER(A946),
IF(COUNTIFS(Equipar!B:B,6,Equipar!AC:AC,A946),"Equipada",
IF(
 OR(COUNTIFS(Equipar!B:B,6,Equipar!C:C,A946)
 +COUNTIFS(Equipar!B:B,6,Equipar!D:D,A946)
+COUNTIFS(Equipar!B:B,6,Equipar!E:E,A946)
+COUNTIFS(Equipar!B:B,6,Equipar!F:F,A946)
&gt;0,COUNTIF('Set recomendado'!B:B,C946)=0),
"Bloqueada",
"Desechable")),""
)</f>
        <v/>
      </c>
      <c r="J946" t="str" cm="1">
        <f t="array" aca="1" ref="J946" ca="1">IF(ISNUMBER(A946),IFERROR(_xlfn._xlws.FILTER(Equipar!A:A,(Equipar!B:B=6)*(Equipar!AC:AC=A946)),""),"")</f>
        <v/>
      </c>
    </row>
    <row r="947" spans="1:10" x14ac:dyDescent="0.25">
      <c r="A947" s="1" t="str">
        <f ca="1">IF(A946="ID",1,IF(ISBLANK(B947),"",MAX(A$2:A946)+1))</f>
        <v/>
      </c>
      <c r="I947" s="2" t="str">
        <f ca="1">IF(ISNUMBER(A947),
IF(COUNTIFS(Equipar!B:B,6,Equipar!AC:AC,A947),"Equipada",
IF(
 OR(COUNTIFS(Equipar!B:B,6,Equipar!C:C,A947)
 +COUNTIFS(Equipar!B:B,6,Equipar!D:D,A947)
+COUNTIFS(Equipar!B:B,6,Equipar!E:E,A947)
+COUNTIFS(Equipar!B:B,6,Equipar!F:F,A947)
&gt;0,COUNTIF('Set recomendado'!B:B,C947)=0),
"Bloqueada",
"Desechable")),""
)</f>
        <v/>
      </c>
      <c r="J947" t="str" cm="1">
        <f t="array" aca="1" ref="J947" ca="1">IF(ISNUMBER(A947),IFERROR(_xlfn._xlws.FILTER(Equipar!A:A,(Equipar!B:B=6)*(Equipar!AC:AC=A947)),""),"")</f>
        <v/>
      </c>
    </row>
    <row r="948" spans="1:10" x14ac:dyDescent="0.25">
      <c r="A948" s="1" t="str">
        <f ca="1">IF(A947="ID",1,IF(ISBLANK(B948),"",MAX(A$2:A947)+1))</f>
        <v/>
      </c>
      <c r="I948" s="2" t="str">
        <f ca="1">IF(ISNUMBER(A948),
IF(COUNTIFS(Equipar!B:B,6,Equipar!AC:AC,A948),"Equipada",
IF(
 OR(COUNTIFS(Equipar!B:B,6,Equipar!C:C,A948)
 +COUNTIFS(Equipar!B:B,6,Equipar!D:D,A948)
+COUNTIFS(Equipar!B:B,6,Equipar!E:E,A948)
+COUNTIFS(Equipar!B:B,6,Equipar!F:F,A948)
&gt;0,COUNTIF('Set recomendado'!B:B,C948)=0),
"Bloqueada",
"Desechable")),""
)</f>
        <v/>
      </c>
      <c r="J948" t="str" cm="1">
        <f t="array" aca="1" ref="J948" ca="1">IF(ISNUMBER(A948),IFERROR(_xlfn._xlws.FILTER(Equipar!A:A,(Equipar!B:B=6)*(Equipar!AC:AC=A948)),""),"")</f>
        <v/>
      </c>
    </row>
    <row r="949" spans="1:10" x14ac:dyDescent="0.25">
      <c r="A949" s="1" t="str">
        <f ca="1">IF(A948="ID",1,IF(ISBLANK(B949),"",MAX(A$2:A948)+1))</f>
        <v/>
      </c>
      <c r="I949" s="2" t="str">
        <f ca="1">IF(ISNUMBER(A949),
IF(COUNTIFS(Equipar!B:B,6,Equipar!AC:AC,A949),"Equipada",
IF(
 OR(COUNTIFS(Equipar!B:B,6,Equipar!C:C,A949)
 +COUNTIFS(Equipar!B:B,6,Equipar!D:D,A949)
+COUNTIFS(Equipar!B:B,6,Equipar!E:E,A949)
+COUNTIFS(Equipar!B:B,6,Equipar!F:F,A949)
&gt;0,COUNTIF('Set recomendado'!B:B,C949)=0),
"Bloqueada",
"Desechable")),""
)</f>
        <v/>
      </c>
      <c r="J949" t="str" cm="1">
        <f t="array" aca="1" ref="J949" ca="1">IF(ISNUMBER(A949),IFERROR(_xlfn._xlws.FILTER(Equipar!A:A,(Equipar!B:B=6)*(Equipar!AC:AC=A949)),""),"")</f>
        <v/>
      </c>
    </row>
    <row r="950" spans="1:10" x14ac:dyDescent="0.25">
      <c r="A950" s="1" t="str">
        <f ca="1">IF(A949="ID",1,IF(ISBLANK(B950),"",MAX(A$2:A949)+1))</f>
        <v/>
      </c>
      <c r="I950" s="2" t="str">
        <f ca="1">IF(ISNUMBER(A950),
IF(COUNTIFS(Equipar!B:B,6,Equipar!AC:AC,A950),"Equipada",
IF(
 OR(COUNTIFS(Equipar!B:B,6,Equipar!C:C,A950)
 +COUNTIFS(Equipar!B:B,6,Equipar!D:D,A950)
+COUNTIFS(Equipar!B:B,6,Equipar!E:E,A950)
+COUNTIFS(Equipar!B:B,6,Equipar!F:F,A950)
&gt;0,COUNTIF('Set recomendado'!B:B,C950)=0),
"Bloqueada",
"Desechable")),""
)</f>
        <v/>
      </c>
      <c r="J950" t="str" cm="1">
        <f t="array" aca="1" ref="J950" ca="1">IF(ISNUMBER(A950),IFERROR(_xlfn._xlws.FILTER(Equipar!A:A,(Equipar!B:B=6)*(Equipar!AC:AC=A950)),""),"")</f>
        <v/>
      </c>
    </row>
    <row r="951" spans="1:10" x14ac:dyDescent="0.25">
      <c r="A951" s="1" t="str">
        <f ca="1">IF(A950="ID",1,IF(ISBLANK(B951),"",MAX(A$2:A950)+1))</f>
        <v/>
      </c>
      <c r="I951" s="2" t="str">
        <f ca="1">IF(ISNUMBER(A951),
IF(COUNTIFS(Equipar!B:B,6,Equipar!AC:AC,A951),"Equipada",
IF(
 OR(COUNTIFS(Equipar!B:B,6,Equipar!C:C,A951)
 +COUNTIFS(Equipar!B:B,6,Equipar!D:D,A951)
+COUNTIFS(Equipar!B:B,6,Equipar!E:E,A951)
+COUNTIFS(Equipar!B:B,6,Equipar!F:F,A951)
&gt;0,COUNTIF('Set recomendado'!B:B,C951)=0),
"Bloqueada",
"Desechable")),""
)</f>
        <v/>
      </c>
      <c r="J951" t="str" cm="1">
        <f t="array" aca="1" ref="J951" ca="1">IF(ISNUMBER(A951),IFERROR(_xlfn._xlws.FILTER(Equipar!A:A,(Equipar!B:B=6)*(Equipar!AC:AC=A951)),""),"")</f>
        <v/>
      </c>
    </row>
    <row r="952" spans="1:10" x14ac:dyDescent="0.25">
      <c r="A952" s="1" t="str">
        <f ca="1">IF(A951="ID",1,IF(ISBLANK(B952),"",MAX(A$2:A951)+1))</f>
        <v/>
      </c>
      <c r="I952" s="2" t="str">
        <f ca="1">IF(ISNUMBER(A952),
IF(COUNTIFS(Equipar!B:B,6,Equipar!AC:AC,A952),"Equipada",
IF(
 OR(COUNTIFS(Equipar!B:B,6,Equipar!C:C,A952)
 +COUNTIFS(Equipar!B:B,6,Equipar!D:D,A952)
+COUNTIFS(Equipar!B:B,6,Equipar!E:E,A952)
+COUNTIFS(Equipar!B:B,6,Equipar!F:F,A952)
&gt;0,COUNTIF('Set recomendado'!B:B,C952)=0),
"Bloqueada",
"Desechable")),""
)</f>
        <v/>
      </c>
      <c r="J952" t="str" cm="1">
        <f t="array" aca="1" ref="J952" ca="1">IF(ISNUMBER(A952),IFERROR(_xlfn._xlws.FILTER(Equipar!A:A,(Equipar!B:B=6)*(Equipar!AC:AC=A952)),""),"")</f>
        <v/>
      </c>
    </row>
    <row r="953" spans="1:10" x14ac:dyDescent="0.25">
      <c r="A953" s="1" t="str">
        <f ca="1">IF(A952="ID",1,IF(ISBLANK(B953),"",MAX(A$2:A952)+1))</f>
        <v/>
      </c>
      <c r="I953" s="2" t="str">
        <f ca="1">IF(ISNUMBER(A953),
IF(COUNTIFS(Equipar!B:B,6,Equipar!AC:AC,A953),"Equipada",
IF(
 OR(COUNTIFS(Equipar!B:B,6,Equipar!C:C,A953)
 +COUNTIFS(Equipar!B:B,6,Equipar!D:D,A953)
+COUNTIFS(Equipar!B:B,6,Equipar!E:E,A953)
+COUNTIFS(Equipar!B:B,6,Equipar!F:F,A953)
&gt;0,COUNTIF('Set recomendado'!B:B,C953)=0),
"Bloqueada",
"Desechable")),""
)</f>
        <v/>
      </c>
      <c r="J953" t="str" cm="1">
        <f t="array" aca="1" ref="J953" ca="1">IF(ISNUMBER(A953),IFERROR(_xlfn._xlws.FILTER(Equipar!A:A,(Equipar!B:B=6)*(Equipar!AC:AC=A953)),""),"")</f>
        <v/>
      </c>
    </row>
    <row r="954" spans="1:10" x14ac:dyDescent="0.25">
      <c r="A954" s="1" t="str">
        <f ca="1">IF(A953="ID",1,IF(ISBLANK(B954),"",MAX(A$2:A953)+1))</f>
        <v/>
      </c>
      <c r="I954" s="2" t="str">
        <f ca="1">IF(ISNUMBER(A954),
IF(COUNTIFS(Equipar!B:B,6,Equipar!AC:AC,A954),"Equipada",
IF(
 OR(COUNTIFS(Equipar!B:B,6,Equipar!C:C,A954)
 +COUNTIFS(Equipar!B:B,6,Equipar!D:D,A954)
+COUNTIFS(Equipar!B:B,6,Equipar!E:E,A954)
+COUNTIFS(Equipar!B:B,6,Equipar!F:F,A954)
&gt;0,COUNTIF('Set recomendado'!B:B,C954)=0),
"Bloqueada",
"Desechable")),""
)</f>
        <v/>
      </c>
      <c r="J954" t="str" cm="1">
        <f t="array" aca="1" ref="J954" ca="1">IF(ISNUMBER(A954),IFERROR(_xlfn._xlws.FILTER(Equipar!A:A,(Equipar!B:B=6)*(Equipar!AC:AC=A954)),""),"")</f>
        <v/>
      </c>
    </row>
    <row r="955" spans="1:10" x14ac:dyDescent="0.25">
      <c r="A955" s="1" t="str">
        <f ca="1">IF(A954="ID",1,IF(ISBLANK(B955),"",MAX(A$2:A954)+1))</f>
        <v/>
      </c>
      <c r="I955" s="2" t="str">
        <f ca="1">IF(ISNUMBER(A955),
IF(COUNTIFS(Equipar!B:B,6,Equipar!AC:AC,A955),"Equipada",
IF(
 OR(COUNTIFS(Equipar!B:B,6,Equipar!C:C,A955)
 +COUNTIFS(Equipar!B:B,6,Equipar!D:D,A955)
+COUNTIFS(Equipar!B:B,6,Equipar!E:E,A955)
+COUNTIFS(Equipar!B:B,6,Equipar!F:F,A955)
&gt;0,COUNTIF('Set recomendado'!B:B,C955)=0),
"Bloqueada",
"Desechable")),""
)</f>
        <v/>
      </c>
      <c r="J955" t="str" cm="1">
        <f t="array" aca="1" ref="J955" ca="1">IF(ISNUMBER(A955),IFERROR(_xlfn._xlws.FILTER(Equipar!A:A,(Equipar!B:B=6)*(Equipar!AC:AC=A955)),""),"")</f>
        <v/>
      </c>
    </row>
    <row r="956" spans="1:10" x14ac:dyDescent="0.25">
      <c r="A956" s="1" t="str">
        <f ca="1">IF(A955="ID",1,IF(ISBLANK(B956),"",MAX(A$2:A955)+1))</f>
        <v/>
      </c>
      <c r="I956" s="2" t="str">
        <f ca="1">IF(ISNUMBER(A956),
IF(COUNTIFS(Equipar!B:B,6,Equipar!AC:AC,A956),"Equipada",
IF(
 OR(COUNTIFS(Equipar!B:B,6,Equipar!C:C,A956)
 +COUNTIFS(Equipar!B:B,6,Equipar!D:D,A956)
+COUNTIFS(Equipar!B:B,6,Equipar!E:E,A956)
+COUNTIFS(Equipar!B:B,6,Equipar!F:F,A956)
&gt;0,COUNTIF('Set recomendado'!B:B,C956)=0),
"Bloqueada",
"Desechable")),""
)</f>
        <v/>
      </c>
      <c r="J956" t="str" cm="1">
        <f t="array" aca="1" ref="J956" ca="1">IF(ISNUMBER(A956),IFERROR(_xlfn._xlws.FILTER(Equipar!A:A,(Equipar!B:B=6)*(Equipar!AC:AC=A956)),""),"")</f>
        <v/>
      </c>
    </row>
    <row r="957" spans="1:10" x14ac:dyDescent="0.25">
      <c r="A957" s="1" t="str">
        <f ca="1">IF(A956="ID",1,IF(ISBLANK(B957),"",MAX(A$2:A956)+1))</f>
        <v/>
      </c>
      <c r="I957" s="2" t="str">
        <f ca="1">IF(ISNUMBER(A957),
IF(COUNTIFS(Equipar!B:B,6,Equipar!AC:AC,A957),"Equipada",
IF(
 OR(COUNTIFS(Equipar!B:B,6,Equipar!C:C,A957)
 +COUNTIFS(Equipar!B:B,6,Equipar!D:D,A957)
+COUNTIFS(Equipar!B:B,6,Equipar!E:E,A957)
+COUNTIFS(Equipar!B:B,6,Equipar!F:F,A957)
&gt;0,COUNTIF('Set recomendado'!B:B,C957)=0),
"Bloqueada",
"Desechable")),""
)</f>
        <v/>
      </c>
      <c r="J957" t="str" cm="1">
        <f t="array" aca="1" ref="J957" ca="1">IF(ISNUMBER(A957),IFERROR(_xlfn._xlws.FILTER(Equipar!A:A,(Equipar!B:B=6)*(Equipar!AC:AC=A957)),""),"")</f>
        <v/>
      </c>
    </row>
    <row r="958" spans="1:10" x14ac:dyDescent="0.25">
      <c r="A958" s="1" t="str">
        <f ca="1">IF(A957="ID",1,IF(ISBLANK(B958),"",MAX(A$2:A957)+1))</f>
        <v/>
      </c>
      <c r="I958" s="2" t="str">
        <f ca="1">IF(ISNUMBER(A958),
IF(COUNTIFS(Equipar!B:B,6,Equipar!AC:AC,A958),"Equipada",
IF(
 OR(COUNTIFS(Equipar!B:B,6,Equipar!C:C,A958)
 +COUNTIFS(Equipar!B:B,6,Equipar!D:D,A958)
+COUNTIFS(Equipar!B:B,6,Equipar!E:E,A958)
+COUNTIFS(Equipar!B:B,6,Equipar!F:F,A958)
&gt;0,COUNTIF('Set recomendado'!B:B,C958)=0),
"Bloqueada",
"Desechable")),""
)</f>
        <v/>
      </c>
      <c r="J958" t="str" cm="1">
        <f t="array" aca="1" ref="J958" ca="1">IF(ISNUMBER(A958),IFERROR(_xlfn._xlws.FILTER(Equipar!A:A,(Equipar!B:B=6)*(Equipar!AC:AC=A958)),""),"")</f>
        <v/>
      </c>
    </row>
    <row r="959" spans="1:10" x14ac:dyDescent="0.25">
      <c r="A959" s="1" t="str">
        <f ca="1">IF(A958="ID",1,IF(ISBLANK(B959),"",MAX(A$2:A958)+1))</f>
        <v/>
      </c>
      <c r="I959" s="2" t="str">
        <f ca="1">IF(ISNUMBER(A959),
IF(COUNTIFS(Equipar!B:B,6,Equipar!AC:AC,A959),"Equipada",
IF(
 OR(COUNTIFS(Equipar!B:B,6,Equipar!C:C,A959)
 +COUNTIFS(Equipar!B:B,6,Equipar!D:D,A959)
+COUNTIFS(Equipar!B:B,6,Equipar!E:E,A959)
+COUNTIFS(Equipar!B:B,6,Equipar!F:F,A959)
&gt;0,COUNTIF('Set recomendado'!B:B,C959)=0),
"Bloqueada",
"Desechable")),""
)</f>
        <v/>
      </c>
      <c r="J959" t="str" cm="1">
        <f t="array" aca="1" ref="J959" ca="1">IF(ISNUMBER(A959),IFERROR(_xlfn._xlws.FILTER(Equipar!A:A,(Equipar!B:B=6)*(Equipar!AC:AC=A959)),""),"")</f>
        <v/>
      </c>
    </row>
    <row r="960" spans="1:10" x14ac:dyDescent="0.25">
      <c r="A960" s="1" t="str">
        <f ca="1">IF(A959="ID",1,IF(ISBLANK(B960),"",MAX(A$2:A959)+1))</f>
        <v/>
      </c>
      <c r="I960" s="2" t="str">
        <f ca="1">IF(ISNUMBER(A960),
IF(COUNTIFS(Equipar!B:B,6,Equipar!AC:AC,A960),"Equipada",
IF(
 OR(COUNTIFS(Equipar!B:B,6,Equipar!C:C,A960)
 +COUNTIFS(Equipar!B:B,6,Equipar!D:D,A960)
+COUNTIFS(Equipar!B:B,6,Equipar!E:E,A960)
+COUNTIFS(Equipar!B:B,6,Equipar!F:F,A960)
&gt;0,COUNTIF('Set recomendado'!B:B,C960)=0),
"Bloqueada",
"Desechable")),""
)</f>
        <v/>
      </c>
      <c r="J960" t="str" cm="1">
        <f t="array" aca="1" ref="J960" ca="1">IF(ISNUMBER(A960),IFERROR(_xlfn._xlws.FILTER(Equipar!A:A,(Equipar!B:B=6)*(Equipar!AC:AC=A960)),""),"")</f>
        <v/>
      </c>
    </row>
    <row r="961" spans="1:10" x14ac:dyDescent="0.25">
      <c r="A961" s="1" t="str">
        <f ca="1">IF(A960="ID",1,IF(ISBLANK(B961),"",MAX(A$2:A960)+1))</f>
        <v/>
      </c>
      <c r="I961" s="2" t="str">
        <f ca="1">IF(ISNUMBER(A961),
IF(COUNTIFS(Equipar!B:B,6,Equipar!AC:AC,A961),"Equipada",
IF(
 OR(COUNTIFS(Equipar!B:B,6,Equipar!C:C,A961)
 +COUNTIFS(Equipar!B:B,6,Equipar!D:D,A961)
+COUNTIFS(Equipar!B:B,6,Equipar!E:E,A961)
+COUNTIFS(Equipar!B:B,6,Equipar!F:F,A961)
&gt;0,COUNTIF('Set recomendado'!B:B,C961)=0),
"Bloqueada",
"Desechable")),""
)</f>
        <v/>
      </c>
      <c r="J961" t="str" cm="1">
        <f t="array" aca="1" ref="J961" ca="1">IF(ISNUMBER(A961),IFERROR(_xlfn._xlws.FILTER(Equipar!A:A,(Equipar!B:B=6)*(Equipar!AC:AC=A961)),""),"")</f>
        <v/>
      </c>
    </row>
    <row r="962" spans="1:10" x14ac:dyDescent="0.25">
      <c r="A962" s="1" t="str">
        <f ca="1">IF(A961="ID",1,IF(ISBLANK(B962),"",MAX(A$2:A961)+1))</f>
        <v/>
      </c>
      <c r="I962" s="2" t="str">
        <f ca="1">IF(ISNUMBER(A962),
IF(COUNTIFS(Equipar!B:B,6,Equipar!AC:AC,A962),"Equipada",
IF(
 OR(COUNTIFS(Equipar!B:B,6,Equipar!C:C,A962)
 +COUNTIFS(Equipar!B:B,6,Equipar!D:D,A962)
+COUNTIFS(Equipar!B:B,6,Equipar!E:E,A962)
+COUNTIFS(Equipar!B:B,6,Equipar!F:F,A962)
&gt;0,COUNTIF('Set recomendado'!B:B,C962)=0),
"Bloqueada",
"Desechable")),""
)</f>
        <v/>
      </c>
      <c r="J962" t="str" cm="1">
        <f t="array" aca="1" ref="J962" ca="1">IF(ISNUMBER(A962),IFERROR(_xlfn._xlws.FILTER(Equipar!A:A,(Equipar!B:B=6)*(Equipar!AC:AC=A962)),""),"")</f>
        <v/>
      </c>
    </row>
    <row r="963" spans="1:10" x14ac:dyDescent="0.25">
      <c r="A963" s="1" t="str">
        <f ca="1">IF(A962="ID",1,IF(ISBLANK(B963),"",MAX(A$2:A962)+1))</f>
        <v/>
      </c>
      <c r="I963" s="2" t="str">
        <f ca="1">IF(ISNUMBER(A963),
IF(COUNTIFS(Equipar!B:B,6,Equipar!AC:AC,A963),"Equipada",
IF(
 OR(COUNTIFS(Equipar!B:B,6,Equipar!C:C,A963)
 +COUNTIFS(Equipar!B:B,6,Equipar!D:D,A963)
+COUNTIFS(Equipar!B:B,6,Equipar!E:E,A963)
+COUNTIFS(Equipar!B:B,6,Equipar!F:F,A963)
&gt;0,COUNTIF('Set recomendado'!B:B,C963)=0),
"Bloqueada",
"Desechable")),""
)</f>
        <v/>
      </c>
      <c r="J963" t="str" cm="1">
        <f t="array" aca="1" ref="J963" ca="1">IF(ISNUMBER(A963),IFERROR(_xlfn._xlws.FILTER(Equipar!A:A,(Equipar!B:B=6)*(Equipar!AC:AC=A963)),""),"")</f>
        <v/>
      </c>
    </row>
    <row r="964" spans="1:10" x14ac:dyDescent="0.25">
      <c r="A964" s="1" t="str">
        <f ca="1">IF(A963="ID",1,IF(ISBLANK(B964),"",MAX(A$2:A963)+1))</f>
        <v/>
      </c>
      <c r="I964" s="2" t="str">
        <f ca="1">IF(ISNUMBER(A964),
IF(COUNTIFS(Equipar!B:B,6,Equipar!AC:AC,A964),"Equipada",
IF(
 OR(COUNTIFS(Equipar!B:B,6,Equipar!C:C,A964)
 +COUNTIFS(Equipar!B:B,6,Equipar!D:D,A964)
+COUNTIFS(Equipar!B:B,6,Equipar!E:E,A964)
+COUNTIFS(Equipar!B:B,6,Equipar!F:F,A964)
&gt;0,COUNTIF('Set recomendado'!B:B,C964)=0),
"Bloqueada",
"Desechable")),""
)</f>
        <v/>
      </c>
      <c r="J964" t="str" cm="1">
        <f t="array" aca="1" ref="J964" ca="1">IF(ISNUMBER(A964),IFERROR(_xlfn._xlws.FILTER(Equipar!A:A,(Equipar!B:B=6)*(Equipar!AC:AC=A964)),""),"")</f>
        <v/>
      </c>
    </row>
    <row r="965" spans="1:10" x14ac:dyDescent="0.25">
      <c r="A965" s="1" t="str">
        <f ca="1">IF(A964="ID",1,IF(ISBLANK(B965),"",MAX(A$2:A964)+1))</f>
        <v/>
      </c>
      <c r="I965" s="2" t="str">
        <f ca="1">IF(ISNUMBER(A965),
IF(COUNTIFS(Equipar!B:B,6,Equipar!AC:AC,A965),"Equipada",
IF(
 OR(COUNTIFS(Equipar!B:B,6,Equipar!C:C,A965)
 +COUNTIFS(Equipar!B:B,6,Equipar!D:D,A965)
+COUNTIFS(Equipar!B:B,6,Equipar!E:E,A965)
+COUNTIFS(Equipar!B:B,6,Equipar!F:F,A965)
&gt;0,COUNTIF('Set recomendado'!B:B,C965)=0),
"Bloqueada",
"Desechable")),""
)</f>
        <v/>
      </c>
      <c r="J965" t="str" cm="1">
        <f t="array" aca="1" ref="J965" ca="1">IF(ISNUMBER(A965),IFERROR(_xlfn._xlws.FILTER(Equipar!A:A,(Equipar!B:B=6)*(Equipar!AC:AC=A965)),""),"")</f>
        <v/>
      </c>
    </row>
    <row r="966" spans="1:10" x14ac:dyDescent="0.25">
      <c r="A966" s="1" t="str">
        <f ca="1">IF(A965="ID",1,IF(ISBLANK(B966),"",MAX(A$2:A965)+1))</f>
        <v/>
      </c>
      <c r="I966" s="2" t="str">
        <f ca="1">IF(ISNUMBER(A966),
IF(COUNTIFS(Equipar!B:B,6,Equipar!AC:AC,A966),"Equipada",
IF(
 OR(COUNTIFS(Equipar!B:B,6,Equipar!C:C,A966)
 +COUNTIFS(Equipar!B:B,6,Equipar!D:D,A966)
+COUNTIFS(Equipar!B:B,6,Equipar!E:E,A966)
+COUNTIFS(Equipar!B:B,6,Equipar!F:F,A966)
&gt;0,COUNTIF('Set recomendado'!B:B,C966)=0),
"Bloqueada",
"Desechable")),""
)</f>
        <v/>
      </c>
      <c r="J966" t="str" cm="1">
        <f t="array" aca="1" ref="J966" ca="1">IF(ISNUMBER(A966),IFERROR(_xlfn._xlws.FILTER(Equipar!A:A,(Equipar!B:B=6)*(Equipar!AC:AC=A966)),""),"")</f>
        <v/>
      </c>
    </row>
    <row r="967" spans="1:10" x14ac:dyDescent="0.25">
      <c r="A967" s="1" t="str">
        <f ca="1">IF(A966="ID",1,IF(ISBLANK(B967),"",MAX(A$2:A966)+1))</f>
        <v/>
      </c>
      <c r="I967" s="2" t="str">
        <f ca="1">IF(ISNUMBER(A967),
IF(COUNTIFS(Equipar!B:B,6,Equipar!AC:AC,A967),"Equipada",
IF(
 OR(COUNTIFS(Equipar!B:B,6,Equipar!C:C,A967)
 +COUNTIFS(Equipar!B:B,6,Equipar!D:D,A967)
+COUNTIFS(Equipar!B:B,6,Equipar!E:E,A967)
+COUNTIFS(Equipar!B:B,6,Equipar!F:F,A967)
&gt;0,COUNTIF('Set recomendado'!B:B,C967)=0),
"Bloqueada",
"Desechable")),""
)</f>
        <v/>
      </c>
      <c r="J967" t="str" cm="1">
        <f t="array" aca="1" ref="J967" ca="1">IF(ISNUMBER(A967),IFERROR(_xlfn._xlws.FILTER(Equipar!A:A,(Equipar!B:B=6)*(Equipar!AC:AC=A967)),""),"")</f>
        <v/>
      </c>
    </row>
    <row r="968" spans="1:10" x14ac:dyDescent="0.25">
      <c r="A968" s="1" t="str">
        <f ca="1">IF(A967="ID",1,IF(ISBLANK(B968),"",MAX(A$2:A967)+1))</f>
        <v/>
      </c>
      <c r="I968" s="2" t="str">
        <f ca="1">IF(ISNUMBER(A968),
IF(COUNTIFS(Equipar!B:B,6,Equipar!AC:AC,A968),"Equipada",
IF(
 OR(COUNTIFS(Equipar!B:B,6,Equipar!C:C,A968)
 +COUNTIFS(Equipar!B:B,6,Equipar!D:D,A968)
+COUNTIFS(Equipar!B:B,6,Equipar!E:E,A968)
+COUNTIFS(Equipar!B:B,6,Equipar!F:F,A968)
&gt;0,COUNTIF('Set recomendado'!B:B,C968)=0),
"Bloqueada",
"Desechable")),""
)</f>
        <v/>
      </c>
      <c r="J968" t="str" cm="1">
        <f t="array" aca="1" ref="J968" ca="1">IF(ISNUMBER(A968),IFERROR(_xlfn._xlws.FILTER(Equipar!A:A,(Equipar!B:B=6)*(Equipar!AC:AC=A968)),""),"")</f>
        <v/>
      </c>
    </row>
    <row r="969" spans="1:10" x14ac:dyDescent="0.25">
      <c r="A969" s="1" t="str">
        <f ca="1">IF(A968="ID",1,IF(ISBLANK(B969),"",MAX(A$2:A968)+1))</f>
        <v/>
      </c>
      <c r="I969" s="2" t="str">
        <f ca="1">IF(ISNUMBER(A969),
IF(COUNTIFS(Equipar!B:B,6,Equipar!AC:AC,A969),"Equipada",
IF(
 OR(COUNTIFS(Equipar!B:B,6,Equipar!C:C,A969)
 +COUNTIFS(Equipar!B:B,6,Equipar!D:D,A969)
+COUNTIFS(Equipar!B:B,6,Equipar!E:E,A969)
+COUNTIFS(Equipar!B:B,6,Equipar!F:F,A969)
&gt;0,COUNTIF('Set recomendado'!B:B,C969)=0),
"Bloqueada",
"Desechable")),""
)</f>
        <v/>
      </c>
      <c r="J969" t="str" cm="1">
        <f t="array" aca="1" ref="J969" ca="1">IF(ISNUMBER(A969),IFERROR(_xlfn._xlws.FILTER(Equipar!A:A,(Equipar!B:B=6)*(Equipar!AC:AC=A969)),""),"")</f>
        <v/>
      </c>
    </row>
    <row r="970" spans="1:10" x14ac:dyDescent="0.25">
      <c r="A970" s="1" t="str">
        <f ca="1">IF(A969="ID",1,IF(ISBLANK(B970),"",MAX(A$2:A969)+1))</f>
        <v/>
      </c>
      <c r="I970" s="2" t="str">
        <f ca="1">IF(ISNUMBER(A970),
IF(COUNTIFS(Equipar!B:B,6,Equipar!AC:AC,A970),"Equipada",
IF(
 OR(COUNTIFS(Equipar!B:B,6,Equipar!C:C,A970)
 +COUNTIFS(Equipar!B:B,6,Equipar!D:D,A970)
+COUNTIFS(Equipar!B:B,6,Equipar!E:E,A970)
+COUNTIFS(Equipar!B:B,6,Equipar!F:F,A970)
&gt;0,COUNTIF('Set recomendado'!B:B,C970)=0),
"Bloqueada",
"Desechable")),""
)</f>
        <v/>
      </c>
      <c r="J970" t="str" cm="1">
        <f t="array" aca="1" ref="J970" ca="1">IF(ISNUMBER(A970),IFERROR(_xlfn._xlws.FILTER(Equipar!A:A,(Equipar!B:B=6)*(Equipar!AC:AC=A970)),""),"")</f>
        <v/>
      </c>
    </row>
    <row r="971" spans="1:10" x14ac:dyDescent="0.25">
      <c r="A971" s="1" t="str">
        <f ca="1">IF(A970="ID",1,IF(ISBLANK(B971),"",MAX(A$2:A970)+1))</f>
        <v/>
      </c>
      <c r="I971" s="2" t="str">
        <f ca="1">IF(ISNUMBER(A971),
IF(COUNTIFS(Equipar!B:B,6,Equipar!AC:AC,A971),"Equipada",
IF(
 OR(COUNTIFS(Equipar!B:B,6,Equipar!C:C,A971)
 +COUNTIFS(Equipar!B:B,6,Equipar!D:D,A971)
+COUNTIFS(Equipar!B:B,6,Equipar!E:E,A971)
+COUNTIFS(Equipar!B:B,6,Equipar!F:F,A971)
&gt;0,COUNTIF('Set recomendado'!B:B,C971)=0),
"Bloqueada",
"Desechable")),""
)</f>
        <v/>
      </c>
      <c r="J971" t="str" cm="1">
        <f t="array" aca="1" ref="J971" ca="1">IF(ISNUMBER(A971),IFERROR(_xlfn._xlws.FILTER(Equipar!A:A,(Equipar!B:B=6)*(Equipar!AC:AC=A971)),""),"")</f>
        <v/>
      </c>
    </row>
    <row r="972" spans="1:10" x14ac:dyDescent="0.25">
      <c r="A972" s="1" t="str">
        <f ca="1">IF(A971="ID",1,IF(ISBLANK(B972),"",MAX(A$2:A971)+1))</f>
        <v/>
      </c>
      <c r="I972" s="2" t="str">
        <f ca="1">IF(ISNUMBER(A972),
IF(COUNTIFS(Equipar!B:B,6,Equipar!AC:AC,A972),"Equipada",
IF(
 OR(COUNTIFS(Equipar!B:B,6,Equipar!C:C,A972)
 +COUNTIFS(Equipar!B:B,6,Equipar!D:D,A972)
+COUNTIFS(Equipar!B:B,6,Equipar!E:E,A972)
+COUNTIFS(Equipar!B:B,6,Equipar!F:F,A972)
&gt;0,COUNTIF('Set recomendado'!B:B,C972)=0),
"Bloqueada",
"Desechable")),""
)</f>
        <v/>
      </c>
      <c r="J972" t="str" cm="1">
        <f t="array" aca="1" ref="J972" ca="1">IF(ISNUMBER(A972),IFERROR(_xlfn._xlws.FILTER(Equipar!A:A,(Equipar!B:B=6)*(Equipar!AC:AC=A972)),""),"")</f>
        <v/>
      </c>
    </row>
    <row r="973" spans="1:10" x14ac:dyDescent="0.25">
      <c r="A973" s="1" t="str">
        <f ca="1">IF(A972="ID",1,IF(ISBLANK(B973),"",MAX(A$2:A972)+1))</f>
        <v/>
      </c>
      <c r="I973" s="2" t="str">
        <f ca="1">IF(ISNUMBER(A973),
IF(COUNTIFS(Equipar!B:B,6,Equipar!AC:AC,A973),"Equipada",
IF(
 OR(COUNTIFS(Equipar!B:B,6,Equipar!C:C,A973)
 +COUNTIFS(Equipar!B:B,6,Equipar!D:D,A973)
+COUNTIFS(Equipar!B:B,6,Equipar!E:E,A973)
+COUNTIFS(Equipar!B:B,6,Equipar!F:F,A973)
&gt;0,COUNTIF('Set recomendado'!B:B,C973)=0),
"Bloqueada",
"Desechable")),""
)</f>
        <v/>
      </c>
      <c r="J973" t="str" cm="1">
        <f t="array" aca="1" ref="J973" ca="1">IF(ISNUMBER(A973),IFERROR(_xlfn._xlws.FILTER(Equipar!A:A,(Equipar!B:B=6)*(Equipar!AC:AC=A973)),""),"")</f>
        <v/>
      </c>
    </row>
    <row r="974" spans="1:10" x14ac:dyDescent="0.25">
      <c r="A974" s="1" t="str">
        <f ca="1">IF(A973="ID",1,IF(ISBLANK(B974),"",MAX(A$2:A973)+1))</f>
        <v/>
      </c>
      <c r="I974" s="2" t="str">
        <f ca="1">IF(ISNUMBER(A974),
IF(COUNTIFS(Equipar!B:B,6,Equipar!AC:AC,A974),"Equipada",
IF(
 OR(COUNTIFS(Equipar!B:B,6,Equipar!C:C,A974)
 +COUNTIFS(Equipar!B:B,6,Equipar!D:D,A974)
+COUNTIFS(Equipar!B:B,6,Equipar!E:E,A974)
+COUNTIFS(Equipar!B:B,6,Equipar!F:F,A974)
&gt;0,COUNTIF('Set recomendado'!B:B,C974)=0),
"Bloqueada",
"Desechable")),""
)</f>
        <v/>
      </c>
      <c r="J974" t="str" cm="1">
        <f t="array" aca="1" ref="J974" ca="1">IF(ISNUMBER(A974),IFERROR(_xlfn._xlws.FILTER(Equipar!A:A,(Equipar!B:B=6)*(Equipar!AC:AC=A974)),""),"")</f>
        <v/>
      </c>
    </row>
    <row r="975" spans="1:10" x14ac:dyDescent="0.25">
      <c r="A975" s="1" t="str">
        <f ca="1">IF(A974="ID",1,IF(ISBLANK(B975),"",MAX(A$2:A974)+1))</f>
        <v/>
      </c>
      <c r="I975" s="2" t="str">
        <f ca="1">IF(ISNUMBER(A975),
IF(COUNTIFS(Equipar!B:B,6,Equipar!AC:AC,A975),"Equipada",
IF(
 OR(COUNTIFS(Equipar!B:B,6,Equipar!C:C,A975)
 +COUNTIFS(Equipar!B:B,6,Equipar!D:D,A975)
+COUNTIFS(Equipar!B:B,6,Equipar!E:E,A975)
+COUNTIFS(Equipar!B:B,6,Equipar!F:F,A975)
&gt;0,COUNTIF('Set recomendado'!B:B,C975)=0),
"Bloqueada",
"Desechable")),""
)</f>
        <v/>
      </c>
      <c r="J975" t="str" cm="1">
        <f t="array" aca="1" ref="J975" ca="1">IF(ISNUMBER(A975),IFERROR(_xlfn._xlws.FILTER(Equipar!A:A,(Equipar!B:B=6)*(Equipar!AC:AC=A975)),""),"")</f>
        <v/>
      </c>
    </row>
    <row r="976" spans="1:10" x14ac:dyDescent="0.25">
      <c r="A976" s="1" t="str">
        <f ca="1">IF(A975="ID",1,IF(ISBLANK(B976),"",MAX(A$2:A975)+1))</f>
        <v/>
      </c>
      <c r="I976" s="2" t="str">
        <f ca="1">IF(ISNUMBER(A976),
IF(COUNTIFS(Equipar!B:B,6,Equipar!AC:AC,A976),"Equipada",
IF(
 OR(COUNTIFS(Equipar!B:B,6,Equipar!C:C,A976)
 +COUNTIFS(Equipar!B:B,6,Equipar!D:D,A976)
+COUNTIFS(Equipar!B:B,6,Equipar!E:E,A976)
+COUNTIFS(Equipar!B:B,6,Equipar!F:F,A976)
&gt;0,COUNTIF('Set recomendado'!B:B,C976)=0),
"Bloqueada",
"Desechable")),""
)</f>
        <v/>
      </c>
      <c r="J976" t="str" cm="1">
        <f t="array" aca="1" ref="J976" ca="1">IF(ISNUMBER(A976),IFERROR(_xlfn._xlws.FILTER(Equipar!A:A,(Equipar!B:B=6)*(Equipar!AC:AC=A976)),""),"")</f>
        <v/>
      </c>
    </row>
    <row r="977" spans="1:10" x14ac:dyDescent="0.25">
      <c r="A977" s="1" t="str">
        <f ca="1">IF(A976="ID",1,IF(ISBLANK(B977),"",MAX(A$2:A976)+1))</f>
        <v/>
      </c>
      <c r="I977" s="2" t="str">
        <f ca="1">IF(ISNUMBER(A977),
IF(COUNTIFS(Equipar!B:B,6,Equipar!AC:AC,A977),"Equipada",
IF(
 OR(COUNTIFS(Equipar!B:B,6,Equipar!C:C,A977)
 +COUNTIFS(Equipar!B:B,6,Equipar!D:D,A977)
+COUNTIFS(Equipar!B:B,6,Equipar!E:E,A977)
+COUNTIFS(Equipar!B:B,6,Equipar!F:F,A977)
&gt;0,COUNTIF('Set recomendado'!B:B,C977)=0),
"Bloqueada",
"Desechable")),""
)</f>
        <v/>
      </c>
      <c r="J977" t="str" cm="1">
        <f t="array" aca="1" ref="J977" ca="1">IF(ISNUMBER(A977),IFERROR(_xlfn._xlws.FILTER(Equipar!A:A,(Equipar!B:B=6)*(Equipar!AC:AC=A977)),""),"")</f>
        <v/>
      </c>
    </row>
    <row r="978" spans="1:10" x14ac:dyDescent="0.25">
      <c r="A978" s="1" t="str">
        <f ca="1">IF(A977="ID",1,IF(ISBLANK(B978),"",MAX(A$2:A977)+1))</f>
        <v/>
      </c>
      <c r="I978" s="2" t="str">
        <f ca="1">IF(ISNUMBER(A978),
IF(COUNTIFS(Equipar!B:B,6,Equipar!AC:AC,A978),"Equipada",
IF(
 OR(COUNTIFS(Equipar!B:B,6,Equipar!C:C,A978)
 +COUNTIFS(Equipar!B:B,6,Equipar!D:D,A978)
+COUNTIFS(Equipar!B:B,6,Equipar!E:E,A978)
+COUNTIFS(Equipar!B:B,6,Equipar!F:F,A978)
&gt;0,COUNTIF('Set recomendado'!B:B,C978)=0),
"Bloqueada",
"Desechable")),""
)</f>
        <v/>
      </c>
      <c r="J978" t="str" cm="1">
        <f t="array" aca="1" ref="J978" ca="1">IF(ISNUMBER(A978),IFERROR(_xlfn._xlws.FILTER(Equipar!A:A,(Equipar!B:B=6)*(Equipar!AC:AC=A978)),""),"")</f>
        <v/>
      </c>
    </row>
    <row r="979" spans="1:10" x14ac:dyDescent="0.25">
      <c r="A979" s="1" t="str">
        <f ca="1">IF(A978="ID",1,IF(ISBLANK(B979),"",MAX(A$2:A978)+1))</f>
        <v/>
      </c>
      <c r="I979" s="2" t="str">
        <f ca="1">IF(ISNUMBER(A979),
IF(COUNTIFS(Equipar!B:B,6,Equipar!AC:AC,A979),"Equipada",
IF(
 OR(COUNTIFS(Equipar!B:B,6,Equipar!C:C,A979)
 +COUNTIFS(Equipar!B:B,6,Equipar!D:D,A979)
+COUNTIFS(Equipar!B:B,6,Equipar!E:E,A979)
+COUNTIFS(Equipar!B:B,6,Equipar!F:F,A979)
&gt;0,COUNTIF('Set recomendado'!B:B,C979)=0),
"Bloqueada",
"Desechable")),""
)</f>
        <v/>
      </c>
      <c r="J979" t="str" cm="1">
        <f t="array" aca="1" ref="J979" ca="1">IF(ISNUMBER(A979),IFERROR(_xlfn._xlws.FILTER(Equipar!A:A,(Equipar!B:B=6)*(Equipar!AC:AC=A979)),""),"")</f>
        <v/>
      </c>
    </row>
    <row r="980" spans="1:10" x14ac:dyDescent="0.25">
      <c r="A980" s="1" t="str">
        <f ca="1">IF(A979="ID",1,IF(ISBLANK(B980),"",MAX(A$2:A979)+1))</f>
        <v/>
      </c>
      <c r="I980" s="2" t="str">
        <f ca="1">IF(ISNUMBER(A980),
IF(COUNTIFS(Equipar!B:B,6,Equipar!AC:AC,A980),"Equipada",
IF(
 OR(COUNTIFS(Equipar!B:B,6,Equipar!C:C,A980)
 +COUNTIFS(Equipar!B:B,6,Equipar!D:D,A980)
+COUNTIFS(Equipar!B:B,6,Equipar!E:E,A980)
+COUNTIFS(Equipar!B:B,6,Equipar!F:F,A980)
&gt;0,COUNTIF('Set recomendado'!B:B,C980)=0),
"Bloqueada",
"Desechable")),""
)</f>
        <v/>
      </c>
      <c r="J980" t="str" cm="1">
        <f t="array" aca="1" ref="J980" ca="1">IF(ISNUMBER(A980),IFERROR(_xlfn._xlws.FILTER(Equipar!A:A,(Equipar!B:B=6)*(Equipar!AC:AC=A980)),""),"")</f>
        <v/>
      </c>
    </row>
    <row r="981" spans="1:10" x14ac:dyDescent="0.25">
      <c r="A981" s="1" t="str">
        <f ca="1">IF(A980="ID",1,IF(ISBLANK(B981),"",MAX(A$2:A980)+1))</f>
        <v/>
      </c>
      <c r="I981" s="2" t="str">
        <f ca="1">IF(ISNUMBER(A981),
IF(COUNTIFS(Equipar!B:B,6,Equipar!AC:AC,A981),"Equipada",
IF(
 OR(COUNTIFS(Equipar!B:B,6,Equipar!C:C,A981)
 +COUNTIFS(Equipar!B:B,6,Equipar!D:D,A981)
+COUNTIFS(Equipar!B:B,6,Equipar!E:E,A981)
+COUNTIFS(Equipar!B:B,6,Equipar!F:F,A981)
&gt;0,COUNTIF('Set recomendado'!B:B,C981)=0),
"Bloqueada",
"Desechable")),""
)</f>
        <v/>
      </c>
      <c r="J981" t="str" cm="1">
        <f t="array" aca="1" ref="J981" ca="1">IF(ISNUMBER(A981),IFERROR(_xlfn._xlws.FILTER(Equipar!A:A,(Equipar!B:B=6)*(Equipar!AC:AC=A981)),""),"")</f>
        <v/>
      </c>
    </row>
    <row r="982" spans="1:10" x14ac:dyDescent="0.25">
      <c r="A982" s="1" t="str">
        <f ca="1">IF(A981="ID",1,IF(ISBLANK(B982),"",MAX(A$2:A981)+1))</f>
        <v/>
      </c>
      <c r="I982" s="2" t="str">
        <f ca="1">IF(ISNUMBER(A982),
IF(COUNTIFS(Equipar!B:B,6,Equipar!AC:AC,A982),"Equipada",
IF(
 OR(COUNTIFS(Equipar!B:B,6,Equipar!C:C,A982)
 +COUNTIFS(Equipar!B:B,6,Equipar!D:D,A982)
+COUNTIFS(Equipar!B:B,6,Equipar!E:E,A982)
+COUNTIFS(Equipar!B:B,6,Equipar!F:F,A982)
&gt;0,COUNTIF('Set recomendado'!B:B,C982)=0),
"Bloqueada",
"Desechable")),""
)</f>
        <v/>
      </c>
      <c r="J982" t="str" cm="1">
        <f t="array" aca="1" ref="J982" ca="1">IF(ISNUMBER(A982),IFERROR(_xlfn._xlws.FILTER(Equipar!A:A,(Equipar!B:B=6)*(Equipar!AC:AC=A982)),""),"")</f>
        <v/>
      </c>
    </row>
    <row r="983" spans="1:10" x14ac:dyDescent="0.25">
      <c r="A983" s="1" t="str">
        <f ca="1">IF(A982="ID",1,IF(ISBLANK(B983),"",MAX(A$2:A982)+1))</f>
        <v/>
      </c>
      <c r="I983" s="2" t="str">
        <f ca="1">IF(ISNUMBER(A983),
IF(COUNTIFS(Equipar!B:B,6,Equipar!AC:AC,A983),"Equipada",
IF(
 OR(COUNTIFS(Equipar!B:B,6,Equipar!C:C,A983)
 +COUNTIFS(Equipar!B:B,6,Equipar!D:D,A983)
+COUNTIFS(Equipar!B:B,6,Equipar!E:E,A983)
+COUNTIFS(Equipar!B:B,6,Equipar!F:F,A983)
&gt;0,COUNTIF('Set recomendado'!B:B,C983)=0),
"Bloqueada",
"Desechable")),""
)</f>
        <v/>
      </c>
      <c r="J983" t="str" cm="1">
        <f t="array" aca="1" ref="J983" ca="1">IF(ISNUMBER(A983),IFERROR(_xlfn._xlws.FILTER(Equipar!A:A,(Equipar!B:B=6)*(Equipar!AC:AC=A983)),""),"")</f>
        <v/>
      </c>
    </row>
    <row r="984" spans="1:10" x14ac:dyDescent="0.25">
      <c r="A984" s="1" t="str">
        <f ca="1">IF(A983="ID",1,IF(ISBLANK(B984),"",MAX(A$2:A983)+1))</f>
        <v/>
      </c>
      <c r="I984" s="2" t="str">
        <f ca="1">IF(ISNUMBER(A984),
IF(COUNTIFS(Equipar!B:B,6,Equipar!AC:AC,A984),"Equipada",
IF(
 OR(COUNTIFS(Equipar!B:B,6,Equipar!C:C,A984)
 +COUNTIFS(Equipar!B:B,6,Equipar!D:D,A984)
+COUNTIFS(Equipar!B:B,6,Equipar!E:E,A984)
+COUNTIFS(Equipar!B:B,6,Equipar!F:F,A984)
&gt;0,COUNTIF('Set recomendado'!B:B,C984)=0),
"Bloqueada",
"Desechable")),""
)</f>
        <v/>
      </c>
      <c r="J984" t="str" cm="1">
        <f t="array" aca="1" ref="J984" ca="1">IF(ISNUMBER(A984),IFERROR(_xlfn._xlws.FILTER(Equipar!A:A,(Equipar!B:B=6)*(Equipar!AC:AC=A984)),""),"")</f>
        <v/>
      </c>
    </row>
    <row r="985" spans="1:10" x14ac:dyDescent="0.25">
      <c r="A985" s="1" t="str">
        <f ca="1">IF(A984="ID",1,IF(ISBLANK(B985),"",MAX(A$2:A984)+1))</f>
        <v/>
      </c>
      <c r="I985" s="2" t="str">
        <f ca="1">IF(ISNUMBER(A985),
IF(COUNTIFS(Equipar!B:B,6,Equipar!AC:AC,A985),"Equipada",
IF(
 OR(COUNTIFS(Equipar!B:B,6,Equipar!C:C,A985)
 +COUNTIFS(Equipar!B:B,6,Equipar!D:D,A985)
+COUNTIFS(Equipar!B:B,6,Equipar!E:E,A985)
+COUNTIFS(Equipar!B:B,6,Equipar!F:F,A985)
&gt;0,COUNTIF('Set recomendado'!B:B,C985)=0),
"Bloqueada",
"Desechable")),""
)</f>
        <v/>
      </c>
      <c r="J985" t="str" cm="1">
        <f t="array" aca="1" ref="J985" ca="1">IF(ISNUMBER(A985),IFERROR(_xlfn._xlws.FILTER(Equipar!A:A,(Equipar!B:B=6)*(Equipar!AC:AC=A985)),""),"")</f>
        <v/>
      </c>
    </row>
    <row r="986" spans="1:10" x14ac:dyDescent="0.25">
      <c r="A986" s="1" t="str">
        <f ca="1">IF(A985="ID",1,IF(ISBLANK(B986),"",MAX(A$2:A985)+1))</f>
        <v/>
      </c>
      <c r="I986" s="2" t="str">
        <f ca="1">IF(ISNUMBER(A986),
IF(COUNTIFS(Equipar!B:B,6,Equipar!AC:AC,A986),"Equipada",
IF(
 OR(COUNTIFS(Equipar!B:B,6,Equipar!C:C,A986)
 +COUNTIFS(Equipar!B:B,6,Equipar!D:D,A986)
+COUNTIFS(Equipar!B:B,6,Equipar!E:E,A986)
+COUNTIFS(Equipar!B:B,6,Equipar!F:F,A986)
&gt;0,COUNTIF('Set recomendado'!B:B,C986)=0),
"Bloqueada",
"Desechable")),""
)</f>
        <v/>
      </c>
      <c r="J986" t="str" cm="1">
        <f t="array" aca="1" ref="J986" ca="1">IF(ISNUMBER(A986),IFERROR(_xlfn._xlws.FILTER(Equipar!A:A,(Equipar!B:B=6)*(Equipar!AC:AC=A986)),""),"")</f>
        <v/>
      </c>
    </row>
    <row r="987" spans="1:10" x14ac:dyDescent="0.25">
      <c r="A987" s="1" t="str">
        <f ca="1">IF(A986="ID",1,IF(ISBLANK(B987),"",MAX(A$2:A986)+1))</f>
        <v/>
      </c>
      <c r="I987" s="2" t="str">
        <f ca="1">IF(ISNUMBER(A987),
IF(COUNTIFS(Equipar!B:B,6,Equipar!AC:AC,A987),"Equipada",
IF(
 OR(COUNTIFS(Equipar!B:B,6,Equipar!C:C,A987)
 +COUNTIFS(Equipar!B:B,6,Equipar!D:D,A987)
+COUNTIFS(Equipar!B:B,6,Equipar!E:E,A987)
+COUNTIFS(Equipar!B:B,6,Equipar!F:F,A987)
&gt;0,COUNTIF('Set recomendado'!B:B,C987)=0),
"Bloqueada",
"Desechable")),""
)</f>
        <v/>
      </c>
      <c r="J987" t="str" cm="1">
        <f t="array" aca="1" ref="J987" ca="1">IF(ISNUMBER(A987),IFERROR(_xlfn._xlws.FILTER(Equipar!A:A,(Equipar!B:B=6)*(Equipar!AC:AC=A987)),""),"")</f>
        <v/>
      </c>
    </row>
    <row r="988" spans="1:10" x14ac:dyDescent="0.25">
      <c r="A988" s="1" t="str">
        <f ca="1">IF(A987="ID",1,IF(ISBLANK(B988),"",MAX(A$2:A987)+1))</f>
        <v/>
      </c>
      <c r="I988" s="2" t="str">
        <f ca="1">IF(ISNUMBER(A988),
IF(COUNTIFS(Equipar!B:B,6,Equipar!AC:AC,A988),"Equipada",
IF(
 OR(COUNTIFS(Equipar!B:B,6,Equipar!C:C,A988)
 +COUNTIFS(Equipar!B:B,6,Equipar!D:D,A988)
+COUNTIFS(Equipar!B:B,6,Equipar!E:E,A988)
+COUNTIFS(Equipar!B:B,6,Equipar!F:F,A988)
&gt;0,COUNTIF('Set recomendado'!B:B,C988)=0),
"Bloqueada",
"Desechable")),""
)</f>
        <v/>
      </c>
      <c r="J988" t="str" cm="1">
        <f t="array" aca="1" ref="J988" ca="1">IF(ISNUMBER(A988),IFERROR(_xlfn._xlws.FILTER(Equipar!A:A,(Equipar!B:B=6)*(Equipar!AC:AC=A988)),""),"")</f>
        <v/>
      </c>
    </row>
    <row r="989" spans="1:10" x14ac:dyDescent="0.25">
      <c r="A989" s="1" t="str">
        <f ca="1">IF(A988="ID",1,IF(ISBLANK(B989),"",MAX(A$2:A988)+1))</f>
        <v/>
      </c>
      <c r="I989" s="2" t="str">
        <f ca="1">IF(ISNUMBER(A989),
IF(COUNTIFS(Equipar!B:B,6,Equipar!AC:AC,A989),"Equipada",
IF(
 OR(COUNTIFS(Equipar!B:B,6,Equipar!C:C,A989)
 +COUNTIFS(Equipar!B:B,6,Equipar!D:D,A989)
+COUNTIFS(Equipar!B:B,6,Equipar!E:E,A989)
+COUNTIFS(Equipar!B:B,6,Equipar!F:F,A989)
&gt;0,COUNTIF('Set recomendado'!B:B,C989)=0),
"Bloqueada",
"Desechable")),""
)</f>
        <v/>
      </c>
      <c r="J989" t="str" cm="1">
        <f t="array" aca="1" ref="J989" ca="1">IF(ISNUMBER(A989),IFERROR(_xlfn._xlws.FILTER(Equipar!A:A,(Equipar!B:B=6)*(Equipar!AC:AC=A989)),""),"")</f>
        <v/>
      </c>
    </row>
    <row r="990" spans="1:10" x14ac:dyDescent="0.25">
      <c r="A990" s="1" t="str">
        <f ca="1">IF(A989="ID",1,IF(ISBLANK(B990),"",MAX(A$2:A989)+1))</f>
        <v/>
      </c>
      <c r="I990" s="2" t="str">
        <f ca="1">IF(ISNUMBER(A990),
IF(COUNTIFS(Equipar!B:B,6,Equipar!AC:AC,A990),"Equipada",
IF(
 OR(COUNTIFS(Equipar!B:B,6,Equipar!C:C,A990)
 +COUNTIFS(Equipar!B:B,6,Equipar!D:D,A990)
+COUNTIFS(Equipar!B:B,6,Equipar!E:E,A990)
+COUNTIFS(Equipar!B:B,6,Equipar!F:F,A990)
&gt;0,COUNTIF('Set recomendado'!B:B,C990)=0),
"Bloqueada",
"Desechable")),""
)</f>
        <v/>
      </c>
      <c r="J990" t="str" cm="1">
        <f t="array" aca="1" ref="J990" ca="1">IF(ISNUMBER(A990),IFERROR(_xlfn._xlws.FILTER(Equipar!A:A,(Equipar!B:B=6)*(Equipar!AC:AC=A990)),""),"")</f>
        <v/>
      </c>
    </row>
    <row r="991" spans="1:10" x14ac:dyDescent="0.25">
      <c r="A991" s="1" t="str">
        <f ca="1">IF(A990="ID",1,IF(ISBLANK(B991),"",MAX(A$2:A990)+1))</f>
        <v/>
      </c>
      <c r="I991" s="2" t="str">
        <f ca="1">IF(ISNUMBER(A991),
IF(COUNTIFS(Equipar!B:B,6,Equipar!AC:AC,A991),"Equipada",
IF(
 OR(COUNTIFS(Equipar!B:B,6,Equipar!C:C,A991)
 +COUNTIFS(Equipar!B:B,6,Equipar!D:D,A991)
+COUNTIFS(Equipar!B:B,6,Equipar!E:E,A991)
+COUNTIFS(Equipar!B:B,6,Equipar!F:F,A991)
&gt;0,COUNTIF('Set recomendado'!B:B,C991)=0),
"Bloqueada",
"Desechable")),""
)</f>
        <v/>
      </c>
      <c r="J991" t="str" cm="1">
        <f t="array" aca="1" ref="J991" ca="1">IF(ISNUMBER(A991),IFERROR(_xlfn._xlws.FILTER(Equipar!A:A,(Equipar!B:B=6)*(Equipar!AC:AC=A991)),""),"")</f>
        <v/>
      </c>
    </row>
    <row r="992" spans="1:10" x14ac:dyDescent="0.25">
      <c r="A992" s="1" t="str">
        <f ca="1">IF(A991="ID",1,IF(ISBLANK(B992),"",MAX(A$2:A991)+1))</f>
        <v/>
      </c>
      <c r="I992" s="2" t="str">
        <f ca="1">IF(ISNUMBER(A992),
IF(COUNTIFS(Equipar!B:B,6,Equipar!AC:AC,A992),"Equipada",
IF(
 OR(COUNTIFS(Equipar!B:B,6,Equipar!C:C,A992)
 +COUNTIFS(Equipar!B:B,6,Equipar!D:D,A992)
+COUNTIFS(Equipar!B:B,6,Equipar!E:E,A992)
+COUNTIFS(Equipar!B:B,6,Equipar!F:F,A992)
&gt;0,COUNTIF('Set recomendado'!B:B,C992)=0),
"Bloqueada",
"Desechable")),""
)</f>
        <v/>
      </c>
      <c r="J992" t="str" cm="1">
        <f t="array" aca="1" ref="J992" ca="1">IF(ISNUMBER(A992),IFERROR(_xlfn._xlws.FILTER(Equipar!A:A,(Equipar!B:B=6)*(Equipar!AC:AC=A992)),""),"")</f>
        <v/>
      </c>
    </row>
    <row r="993" spans="1:10" x14ac:dyDescent="0.25">
      <c r="A993" s="1" t="str">
        <f ca="1">IF(A992="ID",1,IF(ISBLANK(B993),"",MAX(A$2:A992)+1))</f>
        <v/>
      </c>
      <c r="I993" s="2" t="str">
        <f ca="1">IF(ISNUMBER(A993),
IF(COUNTIFS(Equipar!B:B,6,Equipar!AC:AC,A993),"Equipada",
IF(
 OR(COUNTIFS(Equipar!B:B,6,Equipar!C:C,A993)
 +COUNTIFS(Equipar!B:B,6,Equipar!D:D,A993)
+COUNTIFS(Equipar!B:B,6,Equipar!E:E,A993)
+COUNTIFS(Equipar!B:B,6,Equipar!F:F,A993)
&gt;0,COUNTIF('Set recomendado'!B:B,C993)=0),
"Bloqueada",
"Desechable")),""
)</f>
        <v/>
      </c>
      <c r="J993" t="str" cm="1">
        <f t="array" aca="1" ref="J993" ca="1">IF(ISNUMBER(A993),IFERROR(_xlfn._xlws.FILTER(Equipar!A:A,(Equipar!B:B=6)*(Equipar!AC:AC=A993)),""),"")</f>
        <v/>
      </c>
    </row>
    <row r="994" spans="1:10" x14ac:dyDescent="0.25">
      <c r="A994" s="1" t="str">
        <f ca="1">IF(A993="ID",1,IF(ISBLANK(B994),"",MAX(A$2:A993)+1))</f>
        <v/>
      </c>
      <c r="I994" s="2" t="str">
        <f ca="1">IF(ISNUMBER(A994),
IF(COUNTIFS(Equipar!B:B,6,Equipar!AC:AC,A994),"Equipada",
IF(
 OR(COUNTIFS(Equipar!B:B,6,Equipar!C:C,A994)
 +COUNTIFS(Equipar!B:B,6,Equipar!D:D,A994)
+COUNTIFS(Equipar!B:B,6,Equipar!E:E,A994)
+COUNTIFS(Equipar!B:B,6,Equipar!F:F,A994)
&gt;0,COUNTIF('Set recomendado'!B:B,C994)=0),
"Bloqueada",
"Desechable")),""
)</f>
        <v/>
      </c>
      <c r="J994" t="str" cm="1">
        <f t="array" aca="1" ref="J994" ca="1">IF(ISNUMBER(A994),IFERROR(_xlfn._xlws.FILTER(Equipar!A:A,(Equipar!B:B=6)*(Equipar!AC:AC=A994)),""),"")</f>
        <v/>
      </c>
    </row>
    <row r="995" spans="1:10" x14ac:dyDescent="0.25">
      <c r="A995" s="1" t="str">
        <f ca="1">IF(A994="ID",1,IF(ISBLANK(B995),"",MAX(A$2:A994)+1))</f>
        <v/>
      </c>
      <c r="I995" s="2" t="str">
        <f ca="1">IF(ISNUMBER(A995),
IF(COUNTIFS(Equipar!B:B,6,Equipar!AC:AC,A995),"Equipada",
IF(
 OR(COUNTIFS(Equipar!B:B,6,Equipar!C:C,A995)
 +COUNTIFS(Equipar!B:B,6,Equipar!D:D,A995)
+COUNTIFS(Equipar!B:B,6,Equipar!E:E,A995)
+COUNTIFS(Equipar!B:B,6,Equipar!F:F,A995)
&gt;0,COUNTIF('Set recomendado'!B:B,C995)=0),
"Bloqueada",
"Desechable")),""
)</f>
        <v/>
      </c>
      <c r="J995" t="str" cm="1">
        <f t="array" aca="1" ref="J995" ca="1">IF(ISNUMBER(A995),IFERROR(_xlfn._xlws.FILTER(Equipar!A:A,(Equipar!B:B=6)*(Equipar!AC:AC=A995)),""),"")</f>
        <v/>
      </c>
    </row>
    <row r="996" spans="1:10" x14ac:dyDescent="0.25">
      <c r="A996" s="1" t="str">
        <f ca="1">IF(A995="ID",1,IF(ISBLANK(B996),"",MAX(A$2:A995)+1))</f>
        <v/>
      </c>
      <c r="I996" s="2" t="str">
        <f ca="1">IF(ISNUMBER(A996),
IF(COUNTIFS(Equipar!B:B,6,Equipar!AC:AC,A996),"Equipada",
IF(
 OR(COUNTIFS(Equipar!B:B,6,Equipar!C:C,A996)
 +COUNTIFS(Equipar!B:B,6,Equipar!D:D,A996)
+COUNTIFS(Equipar!B:B,6,Equipar!E:E,A996)
+COUNTIFS(Equipar!B:B,6,Equipar!F:F,A996)
&gt;0,COUNTIF('Set recomendado'!B:B,C996)=0),
"Bloqueada",
"Desechable")),""
)</f>
        <v/>
      </c>
      <c r="J996" t="str" cm="1">
        <f t="array" aca="1" ref="J996" ca="1">IF(ISNUMBER(A996),IFERROR(_xlfn._xlws.FILTER(Equipar!A:A,(Equipar!B:B=6)*(Equipar!AC:AC=A996)),""),"")</f>
        <v/>
      </c>
    </row>
    <row r="997" spans="1:10" x14ac:dyDescent="0.25">
      <c r="A997" s="1" t="str">
        <f ca="1">IF(A996="ID",1,IF(ISBLANK(B997),"",MAX(A$2:A996)+1))</f>
        <v/>
      </c>
      <c r="I997" s="2" t="str">
        <f ca="1">IF(ISNUMBER(A997),
IF(COUNTIFS(Equipar!B:B,6,Equipar!AC:AC,A997),"Equipada",
IF(
 OR(COUNTIFS(Equipar!B:B,6,Equipar!C:C,A997)
 +COUNTIFS(Equipar!B:B,6,Equipar!D:D,A997)
+COUNTIFS(Equipar!B:B,6,Equipar!E:E,A997)
+COUNTIFS(Equipar!B:B,6,Equipar!F:F,A997)
&gt;0,COUNTIF('Set recomendado'!B:B,C997)=0),
"Bloqueada",
"Desechable")),""
)</f>
        <v/>
      </c>
      <c r="J997" t="str" cm="1">
        <f t="array" aca="1" ref="J997" ca="1">IF(ISNUMBER(A997),IFERROR(_xlfn._xlws.FILTER(Equipar!A:A,(Equipar!B:B=6)*(Equipar!AC:AC=A997)),""),"")</f>
        <v/>
      </c>
    </row>
    <row r="998" spans="1:10" x14ac:dyDescent="0.25">
      <c r="A998" s="1" t="str">
        <f ca="1">IF(A997="ID",1,IF(ISBLANK(B998),"",MAX(A$2:A997)+1))</f>
        <v/>
      </c>
      <c r="I998" s="2" t="str">
        <f ca="1">IF(ISNUMBER(A998),
IF(COUNTIFS(Equipar!B:B,6,Equipar!AC:AC,A998),"Equipada",
IF(
 OR(COUNTIFS(Equipar!B:B,6,Equipar!C:C,A998)
 +COUNTIFS(Equipar!B:B,6,Equipar!D:D,A998)
+COUNTIFS(Equipar!B:B,6,Equipar!E:E,A998)
+COUNTIFS(Equipar!B:B,6,Equipar!F:F,A998)
&gt;0,COUNTIF('Set recomendado'!B:B,C998)=0),
"Bloqueada",
"Desechable")),""
)</f>
        <v/>
      </c>
      <c r="J998" t="str" cm="1">
        <f t="array" aca="1" ref="J998" ca="1">IF(ISNUMBER(A998),IFERROR(_xlfn._xlws.FILTER(Equipar!A:A,(Equipar!B:B=6)*(Equipar!AC:AC=A998)),""),"")</f>
        <v/>
      </c>
    </row>
    <row r="999" spans="1:10" x14ac:dyDescent="0.25">
      <c r="A999" s="1" t="str">
        <f ca="1">IF(A998="ID",1,IF(ISBLANK(B999),"",MAX(A$2:A998)+1))</f>
        <v/>
      </c>
      <c r="I999" s="2" t="str">
        <f ca="1">IF(ISNUMBER(A999),
IF(COUNTIFS(Equipar!B:B,6,Equipar!AC:AC,A999),"Equipada",
IF(
 OR(COUNTIFS(Equipar!B:B,6,Equipar!C:C,A999)
 +COUNTIFS(Equipar!B:B,6,Equipar!D:D,A999)
+COUNTIFS(Equipar!B:B,6,Equipar!E:E,A999)
+COUNTIFS(Equipar!B:B,6,Equipar!F:F,A999)
&gt;0,COUNTIF('Set recomendado'!B:B,C999)=0),
"Bloqueada",
"Desechable")),""
)</f>
        <v/>
      </c>
      <c r="J999" t="str" cm="1">
        <f t="array" aca="1" ref="J999" ca="1">IF(ISNUMBER(A999),IFERROR(_xlfn._xlws.FILTER(Equipar!A:A,(Equipar!B:B=6)*(Equipar!AC:AC=A999)),""),"")</f>
        <v/>
      </c>
    </row>
    <row r="1000" spans="1:10" x14ac:dyDescent="0.25">
      <c r="A1000" s="1" t="str">
        <f ca="1">IF(A999="ID",1,IF(ISBLANK(B1000),"",MAX(A$2:A999)+1))</f>
        <v/>
      </c>
      <c r="I1000" s="2" t="str">
        <f ca="1">IF(ISNUMBER(A1000),
IF(COUNTIFS(Equipar!B:B,6,Equipar!AC:AC,A1000),"Equipada",
IF(
 OR(COUNTIFS(Equipar!B:B,6,Equipar!C:C,A1000)
 +COUNTIFS(Equipar!B:B,6,Equipar!D:D,A1000)
+COUNTIFS(Equipar!B:B,6,Equipar!E:E,A1000)
+COUNTIFS(Equipar!B:B,6,Equipar!F:F,A1000)
&gt;0,COUNTIF('Set recomendado'!B:B,C1000)=0),
"Bloqueada",
"Desechable")),""
)</f>
        <v/>
      </c>
      <c r="J1000" t="str" cm="1">
        <f t="array" aca="1" ref="J1000" ca="1">IF(ISNUMBER(A1000),IFERROR(_xlfn._xlws.FILTER(Equipar!A:A,(Equipar!B:B=6)*(Equipar!AC:AC=A1000)),""),"")</f>
        <v/>
      </c>
    </row>
  </sheetData>
  <autoFilter ref="A1:K187" xr:uid="{8E6259BA-F88B-4172-96AF-1B2D472C188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DDBF-92E2-493B-80B4-735C782F3A8F}">
  <dimension ref="A1:AK121"/>
  <sheetViews>
    <sheetView workbookViewId="0">
      <selection activeCell="G2" sqref="G2"/>
    </sheetView>
  </sheetViews>
  <sheetFormatPr baseColWidth="10" defaultColWidth="25.7109375" defaultRowHeight="15" x14ac:dyDescent="0.25"/>
  <cols>
    <col min="1" max="1" width="11.28515625" bestFit="1" customWidth="1"/>
    <col min="2" max="2" width="6.5703125" bestFit="1" customWidth="1"/>
    <col min="3" max="3" width="7.85546875" hidden="1" customWidth="1"/>
    <col min="4" max="4" width="8.85546875" hidden="1" customWidth="1"/>
    <col min="5" max="5" width="8.140625" hidden="1" customWidth="1"/>
    <col min="6" max="6" width="8.85546875" hidden="1" customWidth="1"/>
    <col min="7" max="7" width="11.140625" bestFit="1" customWidth="1"/>
    <col min="8" max="8" width="11.7109375" bestFit="1" customWidth="1"/>
    <col min="9" max="9" width="11.42578125" bestFit="1" customWidth="1"/>
    <col min="10" max="10" width="12.140625" bestFit="1" customWidth="1"/>
    <col min="11" max="12" width="8.28515625" bestFit="1" customWidth="1"/>
    <col min="13" max="15" width="7" bestFit="1" customWidth="1"/>
    <col min="16" max="17" width="8.140625" bestFit="1" customWidth="1"/>
    <col min="18" max="18" width="8.28515625" bestFit="1" customWidth="1"/>
    <col min="19" max="19" width="8.140625" bestFit="1" customWidth="1"/>
    <col min="20" max="20" width="8" bestFit="1" customWidth="1"/>
    <col min="21" max="21" width="8.140625" bestFit="1" customWidth="1"/>
    <col min="22" max="23" width="7" bestFit="1" customWidth="1"/>
    <col min="24" max="24" width="6.42578125" bestFit="1" customWidth="1"/>
    <col min="25" max="26" width="7" bestFit="1" customWidth="1"/>
    <col min="27" max="27" width="5.85546875" bestFit="1" customWidth="1"/>
    <col min="28" max="28" width="11" bestFit="1" customWidth="1"/>
    <col min="29" max="29" width="9.42578125" bestFit="1" customWidth="1"/>
    <col min="30" max="30" width="14.42578125" bestFit="1" customWidth="1"/>
    <col min="31" max="31" width="12.42578125" bestFit="1" customWidth="1"/>
    <col min="32" max="32" width="23.28515625" bestFit="1" customWidth="1"/>
    <col min="33" max="37" width="16.85546875" bestFit="1" customWidth="1"/>
  </cols>
  <sheetData>
    <row r="1" spans="1:37" ht="15.75" thickBot="1" x14ac:dyDescent="0.3">
      <c r="A1" s="1" t="s">
        <v>0</v>
      </c>
      <c r="B1" s="1" t="s">
        <v>63</v>
      </c>
      <c r="C1" s="1" t="s">
        <v>62</v>
      </c>
      <c r="D1" s="1" t="s">
        <v>61</v>
      </c>
      <c r="E1" s="1" t="s">
        <v>76</v>
      </c>
      <c r="F1" s="1" t="s">
        <v>77</v>
      </c>
      <c r="G1" t="s">
        <v>64</v>
      </c>
      <c r="H1" t="s">
        <v>65</v>
      </c>
      <c r="I1" t="s">
        <v>78</v>
      </c>
      <c r="J1" t="s">
        <v>79</v>
      </c>
      <c r="K1" t="s">
        <v>66</v>
      </c>
      <c r="L1" t="s">
        <v>80</v>
      </c>
      <c r="M1" t="s">
        <v>82</v>
      </c>
      <c r="N1" t="s">
        <v>81</v>
      </c>
      <c r="O1" t="s">
        <v>83</v>
      </c>
      <c r="P1" s="2" t="s">
        <v>67</v>
      </c>
      <c r="Q1" s="2" t="s">
        <v>84</v>
      </c>
      <c r="R1" s="2" t="s">
        <v>85</v>
      </c>
      <c r="S1" t="s">
        <v>68</v>
      </c>
      <c r="T1" s="2" t="s">
        <v>86</v>
      </c>
      <c r="U1" s="2" t="s">
        <v>88</v>
      </c>
      <c r="V1" s="2" t="s">
        <v>69</v>
      </c>
      <c r="W1" s="2" t="s">
        <v>87</v>
      </c>
      <c r="X1" s="2" t="s">
        <v>89</v>
      </c>
      <c r="Y1" t="s">
        <v>70</v>
      </c>
      <c r="Z1" s="2" t="s">
        <v>90</v>
      </c>
      <c r="AA1" s="2" t="s">
        <v>91</v>
      </c>
      <c r="AB1" s="2" t="s">
        <v>59</v>
      </c>
      <c r="AC1" t="s">
        <v>60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</row>
    <row r="2" spans="1:37" x14ac:dyDescent="0.25">
      <c r="A2" s="8" t="s">
        <v>3</v>
      </c>
      <c r="B2" s="9">
        <v>1</v>
      </c>
      <c r="C2" s="10" cm="1">
        <f t="array" aca="1" ref="C2" ca="1">_xlfn.LET(
    _xlpm.jugador, A2,
    _xlpm.idSel, AC2,
    _xlpm.invIDs, IF(B2=1,Inventario1!A:A,IF(B2=2,Inventario2!A:A,IF(B2=3,Inventario3!A:A,IF(B2=4,Inventario4!A:A,IF(B2=5,Inventario5!A:A,Inventario6!A:A))))),
    _xlpm.invCalidad, IF(B2=1,Inventario1!B:B,IF(B2=2,Inventario2!B:B,IF(B2=3,Inventario3!B:B,IF(B2=4,Inventario4!B:B,IF(B2=5,Inventario5!B:B,Inventario6!B:B))))),
    _xlpm.invTipos, IF(B2=1,Inventario1!C:C,IF(B2=2,Inventario2!C:C,IF(B2=3,Inventario3!C:C,IF(B2=4,Inventario4!C:C,IF(B2=5,Inventario5!C:C,Inventario6!C:C))))),
    _xlpm.invStats, IF(B2=1,Inventario1!D:H,IF(B2=2,Inventario2!D:H,IF(B2=3,Inventario3!D:H,IF(B2=4,Inventario4!D:H,IF(B2=5,Inventario5!D:H,Inventario6!D:H))))),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IF(ROW(A2)=2,"",IF(_xlfn._xlws.FILTER(Equipar!AC1:AC$2,Equipar!B1:B$2=B2)={0},"",_xlfn._xlws.FILTER(Equipar!AC1:AC$2,Equipar!B1:B$2=B2))),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</v>
      </c>
      <c r="D2" s="11" cm="1">
        <f t="array" ref="D2">_xlfn.LET(
    _xlpm.jugador, A2,
    _xlpm.idSel, AC2,
    _xlpm.invIDs, IF(B2=1,Inventario1!A:A,IF(B2=2,Inventario2!A:A,IF(B2=3,Inventario3!A:A,IF(B2=4,Inventario4!A:A,IF(B2=5,Inventario5!A:A,Inventario6!A:A))))),
    _xlpm.invCalidad, IF(B2=1,Inventario1!B:B,IF(B2=2,Inventario2!B:B,IF(B2=3,Inventario3!B:B,IF(B2=4,Inventario4!B:B,IF(B2=5,Inventario5!B:B,Inventario6!B:B))))),
    _xlpm.invTipos, IF(B2=1,Inventario1!C:C,IF(B2=2,Inventario2!C:C,IF(B2=3,Inventario3!C:C,IF(B2=4,Inventario4!C:C,IF(B2=5,Inventario5!C:C,Inventario6!C:C))))),
    _xlpm.invStats, IF(B2=1,Inventario1!D:H,IF(B2=2,Inventario2!D:H,IF(B2=3,Inventario3!D:H,IF(B2=4,Inventario4!D:H,IF(B2=5,Inventario5!D:H,Inventario6!D:H))))),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IF(ROW(A2)=2,"",IF(_xlfn._xlws.FILTER(Equipar!AC1:AC$2,Equipar!B1:B$2=B2)={0},"",_xlfn._xlws.FILTER(Equipar!AC1:AC$2,Equipar!B1:B$2=B2))),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</v>
      </c>
      <c r="E2" s="11" cm="1">
        <f t="array" ref="E2">_xlfn.LET(
    _xlpm.jugador, A2,
    _xlpm.idSel, AC2,
    _xlpm.invIDs, IF(B2=1,Inventario1!A:A,IF(B2=2,Inventario2!A:A,IF(B2=3,Inventario3!A:A,IF(B2=4,Inventario4!A:A,IF(B2=5,Inventario5!A:A,Inventario6!A:A))))),
    _xlpm.invCalidad, IF(B2=1,Inventario1!B:B,IF(B2=2,Inventario2!B:B,IF(B2=3,Inventario3!B:B,IF(B2=4,Inventario4!B:B,IF(B2=5,Inventario5!B:B,Inventario6!B:B))))),
    _xlpm.invTipos, IF(B2=1,Inventario1!C:C,IF(B2=2,Inventario2!C:C,IF(B2=3,Inventario3!C:C,IF(B2=4,Inventario4!C:C,IF(B2=5,Inventario5!C:C,Inventario6!C:C))))),
    _xlpm.invStats, IF(B2=1,Inventario1!D:H,IF(B2=2,Inventario2!D:H,IF(B2=3,Inventario3!D:H,IF(B2=4,Inventario4!D:H,IF(B2=5,Inventario5!D:H,Inventario6!D:H))))),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IF(ROW(A2)=2,"",IF(_xlfn._xlws.FILTER(Equipar!AC1:AC$2,Equipar!B1:B$2=B2)={0},"",_xlfn._xlws.FILTER(Equipar!AC1:AC$2,Equipar!B1:B$2=B2))),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79</v>
      </c>
      <c r="F2" s="11" t="str" cm="1">
        <f t="array" aca="1" ref="F2" ca="1">_xlfn.LET(
    _xlpm.jugador, B2,
    _xlpm.idSel, AD2,
    _xlpm.invIDs, IF(C2=1,Inventario1!B:B,IF(C2=2,Inventario2!B:B,IF(C2=3,Inventario3!B:B,IF(C2=4,Inventario4!B:B,IF(C2=5,Inventario5!B:B,Inventario6!B:B))))),
    _xlpm.invCalidad, IF(C2=1,Inventario1!C:C,IF(C2=2,Inventario2!C:C,IF(C2=3,Inventario3!C:C,IF(C2=4,Inventario4!C:C,IF(C2=5,Inventario5!C:C,Inventario6!C:C))))),
    _xlpm.invTipos, IF(C2=1,Inventario1!D:D,IF(C2=2,Inventario2!D:D,IF(C2=3,Inventario3!D:D,IF(C2=4,Inventario4!D:D,IF(C2=5,Inventario5!D:D,Inventario6!D:D))))),
    _xlpm.invStats, IF(C2=1,Inventario1!E:I,IF(C2=2,Inventario2!E:I,IF(C2=3,Inventario3!E:I,IF(C2=4,Inventario4!E:I,IF(C2=5,Inventario5!E:I,Inventario6!E:I))))),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IF(ROW(B2)=2,"",IF(_xlfn._xlws.FILTER(Equipar!AD1:AD$2,Equipar!C1:C$2=C2)={0},"",_xlfn._xlws.FILTER(Equipar!AD1:AD$2,Equipar!C1:C$2=C2))),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2" s="10" cm="1">
        <f t="array" aca="1" ref="G2" ca="1">_xlfn.LET(
    _xlpm.jugador, A2,
    _xlpm.idSel, AC2,
    _xlpm.invIDs, IF(B2=1,Inventario1!A:A,IF(B2=2,Inventario2!A:A,IF(B2=3,Inventario3!A:A,IF(B2=4,Inventario4!A:A,IF(B2=5,Inventario5!A:A,Inventario6!A:A))))),
    _xlpm.invCalidad, IF(B2=1,Inventario1!B:B,IF(B2=2,Inventario2!B:B,IF(B2=3,Inventario3!B:B,IF(B2=4,Inventario4!B:B,IF(B2=5,Inventario5!B:B,Inventario6!B:B))))),
    _xlpm.invTipos, IF(B2=1,Inventario1!C:C,IF(B2=2,Inventario2!C:C,IF(B2=3,Inventario3!C:C,IF(B2=4,Inventario4!C:C,IF(B2=5,Inventario5!C:C,Inventario6!C:C))))),
    _xlpm.invStats, IF(B2=1,Inventario1!D:H,IF(B2=2,Inventario2!D:H,IF(B2=3,Inventario3!D:H,IF(B2=4,Inventario4!D:H,IF(B2=5,Inventario5!D:H,Inventario6!D:H))))),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IF(ROW(A2)=2,"",IF(_xlfn._xlws.FILTER(Equipar!AC1:AC$2,Equipar!B1:B$2=B2)={0},"",_xlfn._xlws.FILTER(Equipar!AC1:AC$2,Equipar!B1:B$2=B2))),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H2" s="11" cm="1">
        <f t="array" ref="H2">_xlfn.LET(
    _xlpm.jugador, A2,
    _xlpm.idSel, AC2,
    _xlpm.invIDs, IF(B2=1,Inventario1!A:A,IF(B2=2,Inventario2!A:A,IF(B2=3,Inventario3!A:A,IF(B2=4,Inventario4!A:A,IF(B2=5,Inventario5!A:A,Inventario6!A:A))))),
    _xlpm.invCalidad, IF(B2=1,Inventario1!B:B,IF(B2=2,Inventario2!B:B,IF(B2=3,Inventario3!B:B,IF(B2=4,Inventario4!B:B,IF(B2=5,Inventario5!B:B,Inventario6!B:B))))),
    _xlpm.invTipos, IF(B2=1,Inventario1!C:C,IF(B2=2,Inventario2!C:C,IF(B2=3,Inventario3!C:C,IF(B2=4,Inventario4!C:C,IF(B2=5,Inventario5!C:C,Inventario6!C:C))))),
    _xlpm.invStats, IF(B2=1,Inventario1!D:H,IF(B2=2,Inventario2!D:H,IF(B2=3,Inventario3!D:H,IF(B2=4,Inventario4!D:H,IF(B2=5,Inventario5!D:H,Inventario6!D:H))))),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IF(ROW(A2)=2,"",IF(_xlfn._xlws.FILTER(Equipar!AC1:AC$2,Equipar!B1:B$2=B2)={0},"",_xlfn._xlws.FILTER(Equipar!AC1:AC$2,Equipar!B1:B$2=B2))),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I2" s="11" cm="1">
        <f t="array" ref="I2">_xlfn.LET(
    _xlpm.jugador, A2,
    _xlpm.idSel, AC2,
    _xlpm.invIDs, IF(B2=1,Inventario1!A:A,IF(B2=2,Inventario2!A:A,IF(B2=3,Inventario3!A:A,IF(B2=4,Inventario4!A:A,IF(B2=5,Inventario5!A:A,Inventario6!A:A))))),
    _xlpm.invCalidad, IF(B2=1,Inventario1!B:B,IF(B2=2,Inventario2!B:B,IF(B2=3,Inventario3!B:B,IF(B2=4,Inventario4!B:B,IF(B2=5,Inventario5!B:B,Inventario6!B:B))))),
    _xlpm.invTipos, IF(B2=1,Inventario1!C:C,IF(B2=2,Inventario2!C:C,IF(B2=3,Inventario3!C:C,IF(B2=4,Inventario4!C:C,IF(B2=5,Inventario5!C:C,Inventario6!C:C))))),
    _xlpm.invStats, IF(B2=1,Inventario1!D:H,IF(B2=2,Inventario2!D:H,IF(B2=3,Inventario3!D:H,IF(B2=4,Inventario4!D:H,IF(B2=5,Inventario5!D:H,Inventario6!D:H))))),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IF(ROW(A2)=2,"",IF(_xlfn._xlws.FILTER(Equipar!AC1:AC$2,Equipar!B1:B$2=B2)={0},"",_xlfn._xlws.FILTER(Equipar!AC1:AC$2,Equipar!B1:B$2=B2))),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J2" s="11" cm="1">
        <f t="array" aca="1" ref="J2" ca="1">_xlfn.LET(
    _xlpm.jugador, B2,
    _xlpm.idSel, AD2,
    _xlpm.invIDs, IF(C2=1,Inventario1!B:B,IF(C2=2,Inventario2!B:B,IF(C2=3,Inventario3!B:B,IF(C2=4,Inventario4!B:B,IF(C2=5,Inventario5!B:B,Inventario6!B:B))))),
    _xlpm.invCalidad, IF(C2=1,Inventario1!C:C,IF(C2=2,Inventario2!C:C,IF(C2=3,Inventario3!C:C,IF(C2=4,Inventario4!C:C,IF(C2=5,Inventario5!C:C,Inventario6!C:C))))),
    _xlpm.invTipos, IF(C2=1,Inventario1!D:D,IF(C2=2,Inventario2!D:D,IF(C2=3,Inventario3!D:D,IF(C2=4,Inventario4!D:D,IF(C2=5,Inventario5!D:D,Inventario6!D:D))))),
    _xlpm.invStats, IF(C2=1,Inventario1!E:I,IF(C2=2,Inventario2!E:I,IF(C2=3,Inventario3!E:I,IF(C2=4,Inventario4!E:I,IF(C2=5,Inventario5!E:I,Inventario6!E:I))))),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IF(ROW(B2)=2,"",IF(_xlfn._xlws.FILTER(Equipar!AD1:AD$2,Equipar!C1:C$2=C2)={0},"",_xlfn._xlws.FILTER(Equipar!AD1:AD$2,Equipar!C1:C$2=C2))),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2" s="11">
        <f ca="1">G2-H2</f>
        <v>-11.969999999999999</v>
      </c>
      <c r="L2" s="11">
        <f ca="1">G2-I2</f>
        <v>-11.969999999999999</v>
      </c>
      <c r="M2" s="11">
        <f ca="1">G2-J2</f>
        <v>107.73</v>
      </c>
      <c r="N2" s="11">
        <f>H2-I2</f>
        <v>0</v>
      </c>
      <c r="O2" s="11">
        <f ca="1">H2-J2</f>
        <v>119.7</v>
      </c>
      <c r="P2" s="10" cm="1">
        <f t="array" aca="1" ref="P2" ca="1">_xlfn.LET(
    _xlpm.ptsPrinBase, _xlfn._xlws.FILTER(G:G, A:A=A2),
    _xlpm.ptsSecBase,  _xlfn._xlws.FILTER(H:H, A:A=A2),
    _xlpm.puntosPrin, _xlpm.ptsPrinBase + _xlfn._xlws.FILTER(B:B, A:A=A2)/1000,
    _xlpm.puntosSec,  _xlpm.ptsSecBase  + _xlfn._xlws.FILTER(B:B, A:A=A2)/1000,
    _xlpm.puntosPrinValidos, SUM(--(_xlpm.ptsPrinBase&gt;0)),
    _xlpm.puntosSecValidos,  SUM(--(_xlpm.ptsSecBase&gt;0)),
    _xlpm.clave, K2 + B2/1000,
    _xlpm.claves, _xlfn._xlws.FILTER(K:K + B:B/1000, A:A=A2),
    IF(AND(_xlpm.puntosPrinValidos&gt;=4,_xlpm.puntosSecValidos&gt;=2),IF(
        SUM(--(_xlpm.claves &gt; _xlpm.clave)) &lt; 4,
        C2,
        D2
    ),"No disp")
)</f>
        <v>4</v>
      </c>
      <c r="Q2" s="10" cm="1">
        <f t="array" aca="1" ref="Q2" ca="1">_xlfn.LET(
    _xlpm.puntosPrin, _xlfn._xlws.FILTER(G:G + B:B/1000, A:A=A2),
    _xlpm.puntosPrinValidos, SUM(--(_xlpm.puntosPrin&gt;1)),
    _xlpm.puntosTer, _xlfn._xlws.FILTER(I:I + B:B/1000, A:A=A2),
    _xlpm.puntosTerValidos, SUM(--(_xlpm.puntosTer&gt;1)),
    _xlpm.clave, L2 + B2/1000,
    _xlpm.claves, _xlfn._xlws.FILTER(L:L + B:B/1000, A:A=A2),
    IF(AND(_xlpm.puntosPrinValidos&gt;=4,_xlpm.puntosTerValidos&gt;=2),IF(
        SUM(--(_xlpm.claves &gt; _xlpm.clave)) &lt; 4,
        C2,
        E2
    ),"No disp")
)</f>
        <v>79</v>
      </c>
      <c r="R2" s="10" t="str" cm="1">
        <f t="array" aca="1" ref="R2" ca="1">_xlfn.LET(
    _xlpm.puntosPrin, _xlfn._xlws.FILTER(G:G + B:B/1000, A:A=A2),
    _xlpm.puntosPrinValidos, SUM(--(_xlpm.puntosPrin&gt;1)),
    _xlpm.puntosTer, _xlfn._xlws.FILTER(J:J + B:B/1000, A:A=A2),
    _xlpm.puntosTerValidos, SUM(--(_xlpm.puntosTer&gt;1)),
    _xlpm.clave, M2 + B2/1000,
    _xlpm.claves, _xlfn._xlws.FILTER(M:M + B:B/1000, A:A=A2),
    IF(AND(_xlpm.puntosPrinValidos&gt;=4,_xlpm.puntosTerValidos&gt;=2),IF(
        SUM(--(_xlpm.claves &gt; _xlpm.clave)) &lt; 4,
        C2,
        F2
    ),"No disp")
)</f>
        <v>No disp</v>
      </c>
      <c r="S2" s="10" cm="1">
        <f t="array" aca="1" ref="S2" ca="1">_xlfn.LET(
    _xlpm.ptsPrinBase, _xlfn._xlws.FILTER(G:G, A:A=A2),
    _xlpm.ptsSecBase,  _xlfn._xlws.FILTER(H:H, A:A=A2),
    _xlpm.puntosPrin, _xlpm.ptsPrinBase + _xlfn._xlws.FILTER(B:B, A:A=A2)/1000,
    _xlpm.puntosSec,  _xlpm.ptsSecBase  + _xlfn._xlws.FILTER(B:B, A:A=A2)/1000,
    _xlpm.puntosPrinValidos, SUM(--(_xlpm.ptsPrinBase&gt;0)),
    _xlpm.puntosSecValidos,  SUM(--(_xlpm.ptsSecBase&gt;0)),
    _xlpm.clave, K2 + B2/1000,
    _xlpm.claves, _xlfn._xlws.FILTER(K:K + B:B/1000, A:A=A2),
    IF(
        AND(_xlpm.puntosPrinValidos&gt;=2, _xlpm.puntosSecValidos&gt;=4),
        IF(
            SUM(--(_xlpm.claves &lt; _xlpm.clave)) &lt; 4,
            D2,
            C2
        ),
        "No disp"
    )
)</f>
        <v>4</v>
      </c>
      <c r="T2" s="10" cm="1">
        <f t="array" ref="T2">_xlfn.LET(
    _xlpm.puntosSec, _xlfn._xlws.FILTER(H:H + B:B/1000, A:A=A2),
    _xlpm.puntosSecValidos, SUM(--(_xlpm.puntosSec&gt;1)),
    _xlpm.puntosAlt, _xlfn._xlws.FILTER(I:I + B:B/1000, A:A=A2),
    _xlpm.puntosAltValidos, SUM(--(_xlpm.puntosAlt&gt;1)),
    _xlpm.clave, N2 + B2/1000,
    _xlpm.claves, _xlfn._xlws.FILTER(N:N + B:B/1000, A:A=A2),
    IF(AND(_xlpm.puntosSecValidos&gt;=4,_xlpm.puntosAltValidos&gt;=2),IF(
        SUM(--(_xlpm.claves &gt; _xlpm.clave)) &lt; 4,
        D2,
        E2
    ),"No disp")
)</f>
        <v>79</v>
      </c>
      <c r="U2" s="10" t="str" cm="1">
        <f t="array" aca="1" ref="U2" ca="1">_xlfn.LET(
    _xlpm.puntosSec, _xlfn._xlws.FILTER(H:H + B:B/1000, A:A=A2),
    _xlpm.puntosSecValidos, SUM(--(_xlpm.puntosSec&gt;1)),
    _xlpm.puntosAlt, _xlfn._xlws.FILTER(J:J + B:B/1000, A:A=A2),
    _xlpm.puntosAltValidos, SUM(--(_xlpm.puntosAlt&gt;1)),
    _xlpm.clave, O2 + B2/1000,
    _xlpm.claves, _xlfn._xlws.FILTER(O:O + B:B/1000, A:A=A2),
    IF(AND(_xlpm.puntosSecValidos&gt;=4,_xlpm.puntosAltValidos&gt;=2),IF(
        SUM(--(_xlpm.claves &gt; _xlpm.clave)) &lt; 4,
        D2,
        F2
    ),"No disp")
)</f>
        <v>No disp</v>
      </c>
      <c r="V2" s="11" cm="1">
        <f t="array" aca="1" ref="V2" ca="1">_xlfn.LET(
_xlpm.PrinIDs,_xlfn._xlws.FILTER(C:C,(A:A=A2)),
_xlpm.SecIDs,_xlfn._xlws.FILTER(D:D,(A:A=A2)),
_xlpm.TerIDs,_xlfn._xlws.FILTER(E:E,A:A=A2),
_xlpm.CuaIDs,_xlfn._xlws.FILTER(F:F,(A:A=A2)),
_xlpm.PrinPts,_xlfn._xlws.FILTER(G:G,(A:A=A2)),
_xlpm.SecPts,_xlfn._xlws.FILTER(H:H,(A:A=A2)),
_xlpm.TerPts,_xlfn._xlws.FILTER(I:I,(A:A=A2)),
_xlpm.CuaPts,_xlfn._xlws.FILTER(J:J,(A:A=A2)),
_xlpm.PSIds,_xlfn._xlws.FILTER(P:P,A:A=A2),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679.59</v>
      </c>
      <c r="W2" s="11" cm="1">
        <f t="array" aca="1" ref="W2" ca="1">_xlfn.LET(
_xlpm.PrinIDs,_xlfn._xlws.FILTER(C:C,(A:A=A2)),
_xlpm.SecIDs,_xlfn._xlws.FILTER(D:D,(A:A=A2)),
_xlpm.TerIDs,_xlfn._xlws.FILTER(E:E,A:A=A2),
_xlpm.CuaIDs,_xlfn._xlws.FILTER(F:F,(A:A=A2)),
_xlpm.PrinPts,_xlfn._xlws.FILTER(G:G,(A:A=A2)),
_xlpm.SecPts,_xlfn._xlws.FILTER(H:H,(A:A=A2)),
_xlpm.TerPts,_xlfn._xlws.FILTER(I:I,(A:A=A2)),
_xlpm.CuaPts,_xlfn._xlws.FILTER(J:J,(A:A=A2)),
_xlpm.PTIds,_xlfn._xlws.FILTER(Q:Q,A:A=A2),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640.8900000000001</v>
      </c>
      <c r="X2" s="11" cm="1">
        <f t="array" aca="1" ref="X2" ca="1">_xlfn.LET(
_xlpm.PrinIDs,_xlfn._xlws.FILTER(C:C,(A:A=A2)),
_xlpm.SecIDs,_xlfn._xlws.FILTER(D:D,(A:A=A2)),
_xlpm.TerIDs,_xlfn._xlws.FILTER(E:E,A:A=A2),
_xlpm.CuaIDs,_xlfn._xlws.FILTER(F:F,(A:A=A2)),
_xlpm.PrinPts,_xlfn._xlws.FILTER(G:G,(A:A=A2)),
_xlpm.SecPts,_xlfn._xlws.FILTER(H:H,(A:A=A2)),
_xlpm.TerPts,_xlfn._xlws.FILTER(I:I,(A:A=A2)),
_xlpm.CuaPts,_xlfn._xlws.FILTER(J:J,(A:A=A2)),
_xlpm.PCIds,_xlfn._xlws.FILTER(R:R,A:A=A2),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2" s="11" cm="1">
        <f t="array" aca="1" ref="Y2" ca="1">_xlfn.LET(
_xlpm.PrinIDs,_xlfn._xlws.FILTER(C:C,(A:A=A2)),
_xlpm.SecIDs,_xlfn._xlws.FILTER(D:D,(A:A=A2)),
_xlpm.TerIDs,_xlfn._xlws.FILTER(E:E,A:A=A2),
_xlpm.CuaIDs,_xlfn._xlws.FILTER(F:F,(A:A=A2)),
_xlpm.PrinPts,_xlfn._xlws.FILTER(G:G,(A:A=A2)),
_xlpm.SecPts,_xlfn._xlws.FILTER(H:H,(A:A=A2)),
_xlpm.TerPts,_xlfn._xlws.FILTER(I:I,(A:A=A2)),
_xlpm.CuaPts,_xlfn._xlws.FILTER(J:J,(A:A=A2)),
_xlpm.SPIds,_xlfn._xlws.FILTER(S:S,A:A=A2),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TerIDs,1),INDEX(_xlpm.TerPts,1),IF(INDEX(_xlpm.SPIds,1)=INDEX(_xlpm.CuaIDs,1),INDEX(_xlpm.CuaPts,1),"Error"))))+
IF(INDEX(_xlpm.SPIds,2)=INDEX(_xlpm.PrinIDs,2),INDEX(_xlpm.PrinPts,2),IF(INDEX(_xlpm.SPIds,2)=INDEX(_xlpm.SecIDs,2),INDEX(_xlpm.SecPts,2),IF(INDEX(_xlpm.SPIds,2)=INDEX(_xlpm.TerIDs,2),INDEX(_xlpm.TerPts,2),IF(INDEX(_xlpm.SPIds,2)=INDEX(_xlpm.CuaIDs,2),INDEX(_xlpm.CuaPts,2),"Error"))))+
IF(INDEX(_xlpm.SPIds,3)=INDEX(_xlpm.PrinIDs,3),INDEX(_xlpm.PrinPts,3),IF(INDEX(_xlpm.SPIds,3)=INDEX(_xlpm.SecIDs,3),INDEX(_xlpm.SecPts,3),IF(INDEX(_xlpm.SPIds,3)=INDEX(_xlpm.TerIDs,3),INDEX(_xlpm.TerPts,3),IF(INDEX(_xlpm.SPIds,3)=INDEX(_xlpm.CuaIDs,3),INDEX(_xlpm.CuaPts,3),"Error"))))+
IF(INDEX(_xlpm.SPIds,4)=INDEX(_xlpm.PrinIDs,4),INDEX(_xlpm.PrinPts,4),IF(INDEX(_xlpm.SPIds,4)=INDEX(_xlpm.SecIDs,4),INDEX(_xlpm.SecPts,4),IF(INDEX(_xlpm.SPIds,4)=INDEX(_xlpm.TerIDs,4),INDEX(_xlpm.TerPts,4),IF(INDEX(_xlpm.SPIds,4)=INDEX(_xlpm.CuaIDs,4),INDEX(_xlpm.CuaPts,4),"Error"))))+
IF(INDEX(_xlpm.SPIds,5)=INDEX(_xlpm.PrinIDs,5),INDEX(_xlpm.PrinPts,5),IF(INDEX(_xlpm.SPIds,5)=INDEX(_xlpm.SecIDs,5),INDEX(_xlpm.SecPts,5),IF(INDEX(_xlpm.SPIds,5)=INDEX(_xlpm.TerIDs,5),INDEX(_xlpm.TerPts,5),IF(INDEX(_xlpm.SPIds,5)=INDEX(_xlpm.CuaIDs,5),INDEX(_xlpm.CuaPts,5),"Error"))))+
IF(INDEX(_xlpm.SPIds,6)=INDEX(_xlpm.PrinIDs,6),INDEX(_xlpm.PrinPts,6),IF(INDEX(_xlpm.SPIds,6)=INDEX(_xlpm.SecIDs,6),INDEX(_xlpm.SecPts,6),IF(INDEX(_xlpm.SPIds,6)=INDEX(_xlpm.TerIDs,6),INDEX(_xlpm.TerPts,6),IF(INDEX(_xlpm.SPIds,6)=INDEX(_xlpm.CuaIDs,6),INDEX(_xlpm.CuaPts,6),"Error")))),0)
)</f>
        <v>629.1</v>
      </c>
      <c r="Z2" s="11" cm="1">
        <f t="array" aca="1" ref="Z2" ca="1">_xlfn.LET(
_xlpm.PrinIDs,_xlfn._xlws.FILTER(C:C,(A:A=A2)),
_xlpm.SecIDs,_xlfn._xlws.FILTER(D:D,(A:A=A2)),
_xlpm.TerIDs,_xlfn._xlws.FILTER(E:E,A:A=A2),
_xlpm.CuaIDs,_xlfn._xlws.FILTER(F:F,(A:A=A2)),
_xlpm.PrinPts,_xlfn._xlws.FILTER(G:G,(A:A=A2)),
_xlpm.SecPts,_xlfn._xlws.FILTER(H:H,(A:A=A2)),
_xlpm.TerPts,_xlfn._xlws.FILTER(I:I,(A:A=A2)),
_xlpm.CuaPts,_xlfn._xlws.FILTER(J:J,(A:A=A2)),
_xlpm.STIds,_xlfn._xlws.FILTER(T:T,A:A=A2),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557.19000000000005</v>
      </c>
      <c r="AA2" s="11" cm="1">
        <f t="array" aca="1" ref="AA2" ca="1">_xlfn.LET(
_xlpm.PrinIDs,_xlfn._xlws.FILTER(C:C,(A:A=A2)),
_xlpm.SecIDs,_xlfn._xlws.FILTER(D:D,(A:A=A2)),
_xlpm.TerIDs,_xlfn._xlws.FILTER(E:E,A:A=A2),
_xlpm.CuaIDs,_xlfn._xlws.FILTER(F:F,(A:A=A2)),
_xlpm.PrinPts,_xlfn._xlws.FILTER(G:G,(A:A=A2)),
_xlpm.SecPts,_xlfn._xlws.FILTER(H:H,(A:A=A2)),
_xlpm.TerPts,_xlfn._xlws.FILTER(I:I,(A:A=A2)),
_xlpm.CuaPts,_xlfn._xlws.FILTER(J:J,(A:A=A2)),
_xlpm.SCIds,_xlfn._xlws.FILTER(U:U,A:A=A2),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2" s="10">
        <f ca="1">IF(MAX(V2:AA2)=V2,P2,
IF(MAX(V2:AA2)=W2,Q2,
IF(MAX(V2:AA2)=X2,R2,
IF(MAX(V2:AA2)=Y2,S2,
IF(MAX(V2:AA2)=Z2,T2,
IF(MAX(V2:AA2)=AA2,U2,"Error"))))))</f>
        <v>4</v>
      </c>
      <c r="AC2" s="10">
        <v>4</v>
      </c>
      <c r="AD2" s="11"/>
      <c r="AE2" s="10" t="str">
        <f ca="1">IF(ISNUMBER(AC2),
IF($B2=1,VLOOKUP($AC2,Inventario1!$A:$H,2),
IF($B2=2,VLOOKUP($AC2,Inventario2!$A:$H,2),
IF($B2=3,VLOOKUP($AC2,Inventario3!$A:$H,2),
IF($B2=4,VLOOKUP($AC2,Inventario4!$A:$H,2),
IF($B2=5,VLOOKUP($AC2,Inventario5!$A:$H,2),
VLOOKUP($AC2,Inventario6!$A:$H,2)
))))),"No equipado")</f>
        <v>Legendario</v>
      </c>
      <c r="AF2" s="10" t="str">
        <f ca="1">IF(ISNUMBER(AC2),
IF($B2=1,VLOOKUP($AC2,Inventario1!$A:$H,3),
IF($B2=2,VLOOKUP($AC2,Inventario2!$A:$H,3),
IF($B2=3,VLOOKUP($AC2,Inventario3!$A:$H,3),
IF($B2=4,VLOOKUP($AC2,Inventario4!$A:$H,3),
IF($B2=5,VLOOKUP($AC2,Inventario5!$A:$H,3),
VLOOKUP($AC2,Inventario6!$A:$H,3)
))))),"")</f>
        <v>Incremento de poder</v>
      </c>
      <c r="AG2" s="10" t="str">
        <f ca="1">IF(ISNUMBER(AC2),
IF($B2=1,VLOOKUP($AC2,Inventario1!$A:$H,4),
IF($B2=2,VLOOKUP($AC2,Inventario2!$A:$H,4),
IF($B2=3,VLOOKUP($AC2,Inventario3!$A:$H,4),
IF($B2=4,VLOOKUP($AC2,Inventario4!$A:$H,4),
IF($B2=5,VLOOKUP($AC2,Inventario5!$A:$H,4),
VLOOKUP($AC2,Inventario6!$A:$H,4)
))))),"")</f>
        <v>Ataque poderoso</v>
      </c>
      <c r="AH2" s="10" t="str">
        <f ca="1">IF(ISNUMBER(AC2),
IF($B2=1,VLOOKUP($AC2,Inventario1!$A:$H,5),
IF($B2=2,VLOOKUP($AC2,Inventario2!$A:$H,5),
IF($B2=3,VLOOKUP($AC2,Inventario3!$A:$H,5),
IF($B2=4,VLOOKUP($AC2,Inventario4!$A:$H,5),
IF($B2=5,VLOOKUP($AC2,Inventario5!$A:$H,5),
VLOOKUP($AC2,Inventario6!$A:$H,5)
))))),"")</f>
        <v>Bloqueo</v>
      </c>
      <c r="AI2" s="10" t="str">
        <f ca="1">IF(ISNUMBER(AC2),
IF($B2=1,VLOOKUP($AC2,Inventario1!$A:$H,6),
IF($B2=2,VLOOKUP($AC2,Inventario2!$A:$H,6),
IF($B2=3,VLOOKUP($AC2,Inventario3!$A:$H,6),
IF($B2=4,VLOOKUP($AC2,Inventario4!$A:$H,6),
IF($B2=5,VLOOKUP($AC2,Inventario5!$A:$H,6),
VLOOKUP($AC2,Inventario6!$A:$H,6)
))))),"")</f>
        <v>Saque</v>
      </c>
      <c r="AJ2" s="10" t="str">
        <f ca="1">IF(ISNUMBER(AC2),
IF($B2=1,VLOOKUP($AC2,Inventario1!$A:$H,7),
IF($B2=2,VLOOKUP($AC2,Inventario2!$A:$H,7),
IF($B2=3,VLOOKUP($AC2,Inventario3!$A:$H,7),
IF($B2=4,VLOOKUP($AC2,Inventario4!$A:$H,7),
IF($B2=5,VLOOKUP($AC2,Inventario5!$A:$H,7),
VLOOKUP($AC2,Inventario6!$A:$H,7)
))))),"")</f>
        <v>Saque</v>
      </c>
      <c r="AK2" s="12" t="str">
        <f ca="1">IF(ISNUMBER(AC2),
IF($B2=1,VLOOKUP($AC2,Inventario1!$A:$H,8),
IF($B2=2,VLOOKUP($AC2,Inventario2!$A:$H,8),
IF($B2=3,VLOOKUP($AC2,Inventario3!$A:$H,8),
IF($B2=4,VLOOKUP($AC2,Inventario4!$A:$H,8),
IF($B2=5,VLOOKUP($AC2,Inventario5!$A:$H,8),
VLOOKUP($AC2,Inventario6!$A:$H,8)
))))),"")</f>
        <v>Fuerza</v>
      </c>
    </row>
    <row r="3" spans="1:37" x14ac:dyDescent="0.25">
      <c r="A3" s="13" t="s">
        <v>3</v>
      </c>
      <c r="B3" s="3">
        <v>2</v>
      </c>
      <c r="C3" s="14" cm="1">
        <f t="array" aca="1" ref="C3" ca="1">_xlfn.LET(
    _xlpm.jugador, A3,
    _xlpm.idSel, AC3,
    _xlpm.invIDs, IF(B3=1,Inventario1!A:A,IF(B3=2,Inventario2!A:A,IF(B3=3,Inventario3!A:A,IF(B3=4,Inventario4!A:A,IF(B3=5,Inventario5!A:A,Inventario6!A:A))))),
    _xlpm.invCalidad, IF(B3=1,Inventario1!B:B,IF(B3=2,Inventario2!B:B,IF(B3=3,Inventario3!B:B,IF(B3=4,Inventario4!B:B,IF(B3=5,Inventario5!B:B,Inventario6!B:B))))),
    _xlpm.invTipos, IF(B3=1,Inventario1!C:C,IF(B3=2,Inventario2!C:C,IF(B3=3,Inventario3!C:C,IF(B3=4,Inventario4!C:C,IF(B3=5,Inventario5!C:C,Inventario6!C:C))))),
    _xlpm.invStats, IF(B3=1,Inventario1!D:H,IF(B3=2,Inventario2!D:H,IF(B3=3,Inventario3!D:H,IF(B3=4,Inventario4!D:H,IF(B3=5,Inventario5!D:H,Inventario6!D:H))))),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IF(ROW(A3)=2,"",IF(_xlfn._xlws.FILTER(Equipar!AC2:AC$2,Equipar!B2:B$2=B3)={0},"",_xlfn._xlws.FILTER(Equipar!AC2:AC$2,Equipar!B2:B$2=B3))),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32</v>
      </c>
      <c r="D3" s="4" cm="1">
        <f t="array" ref="D3">_xlfn.LET(
    _xlpm.jugador, A3,
    _xlpm.idSel, AC3,
    _xlpm.invIDs, IF(B3=1,Inventario1!A:A,IF(B3=2,Inventario2!A:A,IF(B3=3,Inventario3!A:A,IF(B3=4,Inventario4!A:A,IF(B3=5,Inventario5!A:A,Inventario6!A:A))))),
    _xlpm.invCalidad, IF(B3=1,Inventario1!B:B,IF(B3=2,Inventario2!B:B,IF(B3=3,Inventario3!B:B,IF(B3=4,Inventario4!B:B,IF(B3=5,Inventario5!B:B,Inventario6!B:B))))),
    _xlpm.invTipos, IF(B3=1,Inventario1!C:C,IF(B3=2,Inventario2!C:C,IF(B3=3,Inventario3!C:C,IF(B3=4,Inventario4!C:C,IF(B3=5,Inventario5!C:C,Inventario6!C:C))))),
    _xlpm.invStats, IF(B3=1,Inventario1!D:H,IF(B3=2,Inventario2!D:H,IF(B3=3,Inventario3!D:H,IF(B3=4,Inventario4!D:H,IF(B3=5,Inventario5!D:H,Inventario6!D:H))))),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IF(ROW(A3)=2,"",IF(_xlfn._xlws.FILTER(Equipar!AC2:AC$2,Equipar!B2:B$2=B3)={0},"",_xlfn._xlws.FILTER(Equipar!AC2:AC$2,Equipar!B2:B$2=B3))),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43</v>
      </c>
      <c r="E3" s="4" cm="1">
        <f t="array" ref="E3">_xlfn.LET(
    _xlpm.jugador, A3,
    _xlpm.idSel, AC3,
    _xlpm.invIDs, IF(B3=1,Inventario1!A:A,IF(B3=2,Inventario2!A:A,IF(B3=3,Inventario3!A:A,IF(B3=4,Inventario4!A:A,IF(B3=5,Inventario5!A:A,Inventario6!A:A))))),
    _xlpm.invCalidad, IF(B3=1,Inventario1!B:B,IF(B3=2,Inventario2!B:B,IF(B3=3,Inventario3!B:B,IF(B3=4,Inventario4!B:B,IF(B3=5,Inventario5!B:B,Inventario6!B:B))))),
    _xlpm.invTipos, IF(B3=1,Inventario1!C:C,IF(B3=2,Inventario2!C:C,IF(B3=3,Inventario3!C:C,IF(B3=4,Inventario4!C:C,IF(B3=5,Inventario5!C:C,Inventario6!C:C))))),
    _xlpm.invStats, IF(B3=1,Inventario1!D:H,IF(B3=2,Inventario2!D:H,IF(B3=3,Inventario3!D:H,IF(B3=4,Inventario4!D:H,IF(B3=5,Inventario5!D:H,Inventario6!D:H))))),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IF(ROW(A3)=2,"",IF(_xlfn._xlws.FILTER(Equipar!AC2:AC$2,Equipar!B2:B$2=B3)={0},"",_xlfn._xlws.FILTER(Equipar!AC2:AC$2,Equipar!B2:B$2=B3))),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83</v>
      </c>
      <c r="F3" s="4" t="str" cm="1">
        <f t="array" aca="1" ref="F3" ca="1">_xlfn.LET(
    _xlpm.jugador, B3,
    _xlpm.idSel, AD3,
    _xlpm.invIDs, IF(C3=1,Inventario1!B:B,IF(C3=2,Inventario2!B:B,IF(C3=3,Inventario3!B:B,IF(C3=4,Inventario4!B:B,IF(C3=5,Inventario5!B:B,Inventario6!B:B))))),
    _xlpm.invCalidad, IF(C3=1,Inventario1!C:C,IF(C3=2,Inventario2!C:C,IF(C3=3,Inventario3!C:C,IF(C3=4,Inventario4!C:C,IF(C3=5,Inventario5!C:C,Inventario6!C:C))))),
    _xlpm.invTipos, IF(C3=1,Inventario1!D:D,IF(C3=2,Inventario2!D:D,IF(C3=3,Inventario3!D:D,IF(C3=4,Inventario4!D:D,IF(C3=5,Inventario5!D:D,Inventario6!D:D))))),
    _xlpm.invStats, IF(C3=1,Inventario1!E:I,IF(C3=2,Inventario2!E:I,IF(C3=3,Inventario3!E:I,IF(C3=4,Inventario4!E:I,IF(C3=5,Inventario5!E:I,Inventario6!E:I))))),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IF(ROW(B3)=2,"",IF(_xlfn._xlws.FILTER(Equipar!AD2:AD$2,Equipar!C2:C$2=C3)={0},"",_xlfn._xlws.FILTER(Equipar!AD2:AD$2,Equipar!C2:C$2=C3))),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3" s="14" cm="1">
        <f t="array" aca="1" ref="G3" ca="1">_xlfn.LET(
    _xlpm.jugador, A3,
    _xlpm.idSel, AC3,
    _xlpm.invIDs, IF(B3=1,Inventario1!A:A,IF(B3=2,Inventario2!A:A,IF(B3=3,Inventario3!A:A,IF(B3=4,Inventario4!A:A,IF(B3=5,Inventario5!A:A,Inventario6!A:A))))),
    _xlpm.invCalidad, IF(B3=1,Inventario1!B:B,IF(B3=2,Inventario2!B:B,IF(B3=3,Inventario3!B:B,IF(B3=4,Inventario4!B:B,IF(B3=5,Inventario5!B:B,Inventario6!B:B))))),
    _xlpm.invTipos, IF(B3=1,Inventario1!C:C,IF(B3=2,Inventario2!C:C,IF(B3=3,Inventario3!C:C,IF(B3=4,Inventario4!C:C,IF(B3=5,Inventario5!C:C,Inventario6!C:C))))),
    _xlpm.invStats, IF(B3=1,Inventario1!D:H,IF(B3=2,Inventario2!D:H,IF(B3=3,Inventario3!D:H,IF(B3=4,Inventario4!D:H,IF(B3=5,Inventario5!D:H,Inventario6!D:H))))),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IF(ROW(A3)=2,"",IF(_xlfn._xlws.FILTER(Equipar!AC2:AC$2,Equipar!B2:B$2=B3)={0},"",_xlfn._xlws.FILTER(Equipar!AC2:AC$2,Equipar!B2:B$2=B3))),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117</v>
      </c>
      <c r="H3" s="4" cm="1">
        <f t="array" ref="H3">_xlfn.LET(
    _xlpm.jugador, A3,
    _xlpm.idSel, AC3,
    _xlpm.invIDs, IF(B3=1,Inventario1!A:A,IF(B3=2,Inventario2!A:A,IF(B3=3,Inventario3!A:A,IF(B3=4,Inventario4!A:A,IF(B3=5,Inventario5!A:A,Inventario6!A:A))))),
    _xlpm.invCalidad, IF(B3=1,Inventario1!B:B,IF(B3=2,Inventario2!B:B,IF(B3=3,Inventario3!B:B,IF(B3=4,Inventario4!B:B,IF(B3=5,Inventario5!B:B,Inventario6!B:B))))),
    _xlpm.invTipos, IF(B3=1,Inventario1!C:C,IF(B3=2,Inventario2!C:C,IF(B3=3,Inventario3!C:C,IF(B3=4,Inventario4!C:C,IF(B3=5,Inventario5!C:C,Inventario6!C:C))))),
    _xlpm.invStats, IF(B3=1,Inventario1!D:H,IF(B3=2,Inventario2!D:H,IF(B3=3,Inventario3!D:H,IF(B3=4,Inventario4!D:H,IF(B3=5,Inventario5!D:H,Inventario6!D:H))))),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IF(ROW(A3)=2,"",IF(_xlfn._xlws.FILTER(Equipar!AC2:AC$2,Equipar!B2:B$2=B3)={0},"",_xlfn._xlws.FILTER(Equipar!AC2:AC$2,Equipar!B2:B$2=B3))),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I3" s="4" cm="1">
        <f t="array" ref="I3">_xlfn.LET(
    _xlpm.jugador, A3,
    _xlpm.idSel, AC3,
    _xlpm.invIDs, IF(B3=1,Inventario1!A:A,IF(B3=2,Inventario2!A:A,IF(B3=3,Inventario3!A:A,IF(B3=4,Inventario4!A:A,IF(B3=5,Inventario5!A:A,Inventario6!A:A))))),
    _xlpm.invCalidad, IF(B3=1,Inventario1!B:B,IF(B3=2,Inventario2!B:B,IF(B3=3,Inventario3!B:B,IF(B3=4,Inventario4!B:B,IF(B3=5,Inventario5!B:B,Inventario6!B:B))))),
    _xlpm.invTipos, IF(B3=1,Inventario1!C:C,IF(B3=2,Inventario2!C:C,IF(B3=3,Inventario3!C:C,IF(B3=4,Inventario4!C:C,IF(B3=5,Inventario5!C:C,Inventario6!C:C))))),
    _xlpm.invStats, IF(B3=1,Inventario1!D:H,IF(B3=2,Inventario2!D:H,IF(B3=3,Inventario3!D:H,IF(B3=4,Inventario4!D:H,IF(B3=5,Inventario5!D:H,Inventario6!D:H))))),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IF(ROW(A3)=2,"",IF(_xlfn._xlws.FILTER(Equipar!AC2:AC$2,Equipar!B2:B$2=B3)={0},"",_xlfn._xlws.FILTER(Equipar!AC2:AC$2,Equipar!B2:B$2=B3))),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J3" s="4" cm="1">
        <f t="array" aca="1" ref="J3" ca="1">_xlfn.LET(
    _xlpm.jugador, B3,
    _xlpm.idSel, AD3,
    _xlpm.invIDs, IF(C3=1,Inventario1!B:B,IF(C3=2,Inventario2!B:B,IF(C3=3,Inventario3!B:B,IF(C3=4,Inventario4!B:B,IF(C3=5,Inventario5!B:B,Inventario6!B:B))))),
    _xlpm.invCalidad, IF(C3=1,Inventario1!C:C,IF(C3=2,Inventario2!C:C,IF(C3=3,Inventario3!C:C,IF(C3=4,Inventario4!C:C,IF(C3=5,Inventario5!C:C,Inventario6!C:C))))),
    _xlpm.invTipos, IF(C3=1,Inventario1!D:D,IF(C3=2,Inventario2!D:D,IF(C3=3,Inventario3!D:D,IF(C3=4,Inventario4!D:D,IF(C3=5,Inventario5!D:D,Inventario6!D:D))))),
    _xlpm.invStats, IF(C3=1,Inventario1!E:I,IF(C3=2,Inventario2!E:I,IF(C3=3,Inventario3!E:I,IF(C3=4,Inventario4!E:I,IF(C3=5,Inventario5!E:I,Inventario6!E:I))))),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IF(ROW(B3)=2,"",IF(_xlfn._xlws.FILTER(Equipar!AD2:AD$2,Equipar!C2:C$2=C3)={0},"",_xlfn._xlws.FILTER(Equipar!AD2:AD$2,Equipar!C2:C$2=C3))),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3" s="4">
        <f t="shared" ref="K3:K66" ca="1" si="0">G3-H3</f>
        <v>45</v>
      </c>
      <c r="L3" s="4">
        <f t="shared" ref="L3:M66" ca="1" si="1">G3-I3</f>
        <v>45.179999999999993</v>
      </c>
      <c r="M3" s="4">
        <f t="shared" ca="1" si="1"/>
        <v>72</v>
      </c>
      <c r="N3" s="4">
        <f t="shared" ref="N3:O66" si="2">H3-I3</f>
        <v>0.17999999999999261</v>
      </c>
      <c r="O3" s="4">
        <f t="shared" ca="1" si="2"/>
        <v>71.820000000000007</v>
      </c>
      <c r="P3" s="14" cm="1">
        <f t="array" aca="1" ref="P3" ca="1">_xlfn.LET(
    _xlpm.ptsPrinBase, _xlfn._xlws.FILTER(G:G, A:A=A3),
    _xlpm.ptsSecBase,  _xlfn._xlws.FILTER(H:H, A:A=A3),
    _xlpm.puntosPrin, _xlpm.ptsPrinBase + _xlfn._xlws.FILTER(B:B, A:A=A3)/1000,
    _xlpm.puntosSec,  _xlpm.ptsSecBase  + _xlfn._xlws.FILTER(B:B, A:A=A3)/1000,
    _xlpm.puntosPrinValidos, SUM(--(_xlpm.ptsPrinBase&gt;0)),
    _xlpm.puntosSecValidos,  SUM(--(_xlpm.ptsSecBase&gt;0)),
    _xlpm.clave, K3 + B3/1000,
    _xlpm.claves, _xlfn._xlws.FILTER(K:K + B:B/1000, A:A=A3),
    IF(AND(_xlpm.puntosPrinValidos&gt;=4,_xlpm.puntosSecValidos&gt;=2),IF(
        SUM(--(_xlpm.claves &gt; _xlpm.clave)) &lt; 4,
        C3,
        D3
    ),"No disp")
)</f>
        <v>32</v>
      </c>
      <c r="Q3" s="14" cm="1">
        <f t="array" aca="1" ref="Q3" ca="1">_xlfn.LET(
    _xlpm.puntosPrin, _xlfn._xlws.FILTER(G:G + B:B/1000, A:A=A3),
    _xlpm.puntosPrinValidos, SUM(--(_xlpm.puntosPrin&gt;1)),
    _xlpm.puntosTer, _xlfn._xlws.FILTER(I:I + B:B/1000, A:A=A3),
    _xlpm.puntosTerValidos, SUM(--(_xlpm.puntosTer&gt;1)),
    _xlpm.clave, L3 + B3/1000,
    _xlpm.claves, _xlfn._xlws.FILTER(L:L + B:B/1000, A:A=A3),
    IF(AND(_xlpm.puntosPrinValidos&gt;=4,_xlpm.puntosTerValidos&gt;=2),IF(
        SUM(--(_xlpm.claves &gt; _xlpm.clave)) &lt; 4,
        C3,
        E3
    ),"No disp")
)</f>
        <v>32</v>
      </c>
      <c r="R3" s="14" t="str" cm="1">
        <f t="array" aca="1" ref="R3" ca="1">_xlfn.LET(
    _xlpm.puntosPrin, _xlfn._xlws.FILTER(G:G + B:B/1000, A:A=A3),
    _xlpm.puntosPrinValidos, SUM(--(_xlpm.puntosPrin&gt;1)),
    _xlpm.puntosTer, _xlfn._xlws.FILTER(J:J + B:B/1000, A:A=A3),
    _xlpm.puntosTerValidos, SUM(--(_xlpm.puntosTer&gt;1)),
    _xlpm.clave, M3 + B3/1000,
    _xlpm.claves, _xlfn._xlws.FILTER(M:M + B:B/1000, A:A=A3),
    IF(AND(_xlpm.puntosPrinValidos&gt;=4,_xlpm.puntosTerValidos&gt;=2),IF(
        SUM(--(_xlpm.claves &gt; _xlpm.clave)) &lt; 4,
        C3,
        F3
    ),"No disp")
)</f>
        <v>No disp</v>
      </c>
      <c r="S3" s="14" cm="1">
        <f t="array" aca="1" ref="S3" ca="1">_xlfn.LET(
    _xlpm.ptsPrinBase, _xlfn._xlws.FILTER(G:G, A:A=A3),
    _xlpm.ptsSecBase,  _xlfn._xlws.FILTER(H:H, A:A=A3),
    _xlpm.puntosPrin, _xlpm.ptsPrinBase + _xlfn._xlws.FILTER(B:B, A:A=A3)/1000,
    _xlpm.puntosSec,  _xlpm.ptsSecBase  + _xlfn._xlws.FILTER(B:B, A:A=A3)/1000,
    _xlpm.puntosPrinValidos, SUM(--(_xlpm.ptsPrinBase&gt;0)),
    _xlpm.puntosSecValidos,  SUM(--(_xlpm.ptsSecBase&gt;0)),
    _xlpm.clave, K3 + B3/1000,
    _xlpm.claves, _xlfn._xlws.FILTER(K:K + B:B/1000, A:A=A3),
    IF(
        AND(_xlpm.puntosPrinValidos&gt;=2, _xlpm.puntosSecValidos&gt;=4),
        IF(
            SUM(--(_xlpm.claves &lt; _xlpm.clave)) &lt; 4,
            D3,
            C3
        ),
        "No disp"
    )
)</f>
        <v>32</v>
      </c>
      <c r="T3" s="14" cm="1">
        <f t="array" ref="T3">_xlfn.LET(
    _xlpm.puntosSec, _xlfn._xlws.FILTER(H:H + B:B/1000, A:A=A3),
    _xlpm.puntosSecValidos, SUM(--(_xlpm.puntosSec&gt;1)),
    _xlpm.puntosAlt, _xlfn._xlws.FILTER(I:I + B:B/1000, A:A=A3),
    _xlpm.puntosAltValidos, SUM(--(_xlpm.puntosAlt&gt;1)),
    _xlpm.clave, N3 + B3/1000,
    _xlpm.claves, _xlfn._xlws.FILTER(N:N + B:B/1000, A:A=A3),
    IF(AND(_xlpm.puntosSecValidos&gt;=4,_xlpm.puntosAltValidos&gt;=2),IF(
        SUM(--(_xlpm.claves &gt; _xlpm.clave)) &lt; 4,
        D3,
        E3
    ),"No disp")
)</f>
        <v>43</v>
      </c>
      <c r="U3" s="14" t="str" cm="1">
        <f t="array" aca="1" ref="U3" ca="1">_xlfn.LET(
    _xlpm.puntosSec, _xlfn._xlws.FILTER(H:H + B:B/1000, A:A=A3),
    _xlpm.puntosSecValidos, SUM(--(_xlpm.puntosSec&gt;1)),
    _xlpm.puntosAlt, _xlfn._xlws.FILTER(J:J + B:B/1000, A:A=A3),
    _xlpm.puntosAltValidos, SUM(--(_xlpm.puntosAlt&gt;1)),
    _xlpm.clave, O3 + B3/1000,
    _xlpm.claves, _xlfn._xlws.FILTER(O:O + B:B/1000, A:A=A3),
    IF(AND(_xlpm.puntosSecValidos&gt;=4,_xlpm.puntosAltValidos&gt;=2),IF(
        SUM(--(_xlpm.claves &gt; _xlpm.clave)) &lt; 4,
        D3,
        F3
    ),"No disp")
)</f>
        <v>No disp</v>
      </c>
      <c r="V3" s="4" cm="1">
        <f t="array" aca="1" ref="V3" ca="1">_xlfn.LET(
_xlpm.PrinIDs,_xlfn._xlws.FILTER(C:C,(A:A=A3)),
_xlpm.SecIDs,_xlfn._xlws.FILTER(D:D,(A:A=A3)),
_xlpm.TerIDs,_xlfn._xlws.FILTER(E:E,A:A=A3),
_xlpm.CuaIDs,_xlfn._xlws.FILTER(F:F,(A:A=A3)),
_xlpm.PrinPts,_xlfn._xlws.FILTER(G:G,(A:A=A3)),
_xlpm.SecPts,_xlfn._xlws.FILTER(H:H,(A:A=A3)),
_xlpm.TerPts,_xlfn._xlws.FILTER(I:I,(A:A=A3)),
_xlpm.CuaPts,_xlfn._xlws.FILTER(J:J,(A:A=A3)),
_xlpm.PSIds,_xlfn._xlws.FILTER(P:P,A:A=A3),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679.59</v>
      </c>
      <c r="W3" s="4" cm="1">
        <f t="array" aca="1" ref="W3" ca="1">_xlfn.LET(
_xlpm.PrinIDs,_xlfn._xlws.FILTER(C:C,(A:A=A3)),
_xlpm.SecIDs,_xlfn._xlws.FILTER(D:D,(A:A=A3)),
_xlpm.TerIDs,_xlfn._xlws.FILTER(E:E,A:A=A3),
_xlpm.CuaIDs,_xlfn._xlws.FILTER(F:F,(A:A=A3)),
_xlpm.PrinPts,_xlfn._xlws.FILTER(G:G,(A:A=A3)),
_xlpm.SecPts,_xlfn._xlws.FILTER(H:H,(A:A=A3)),
_xlpm.TerPts,_xlfn._xlws.FILTER(I:I,(A:A=A3)),
_xlpm.CuaPts,_xlfn._xlws.FILTER(J:J,(A:A=A3)),
_xlpm.PTIds,_xlfn._xlws.FILTER(Q:Q,A:A=A3),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640.8900000000001</v>
      </c>
      <c r="X3" s="4" cm="1">
        <f t="array" aca="1" ref="X3" ca="1">_xlfn.LET(
_xlpm.PrinIDs,_xlfn._xlws.FILTER(C:C,(A:A=A3)),
_xlpm.SecIDs,_xlfn._xlws.FILTER(D:D,(A:A=A3)),
_xlpm.TerIDs,_xlfn._xlws.FILTER(E:E,A:A=A3),
_xlpm.CuaIDs,_xlfn._xlws.FILTER(F:F,(A:A=A3)),
_xlpm.PrinPts,_xlfn._xlws.FILTER(G:G,(A:A=A3)),
_xlpm.SecPts,_xlfn._xlws.FILTER(H:H,(A:A=A3)),
_xlpm.TerPts,_xlfn._xlws.FILTER(I:I,(A:A=A3)),
_xlpm.CuaPts,_xlfn._xlws.FILTER(J:J,(A:A=A3)),
_xlpm.PCIds,_xlfn._xlws.FILTER(R:R,A:A=A3),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3" s="4" cm="1">
        <f t="array" aca="1" ref="Y3" ca="1">_xlfn.LET(
_xlpm.PrinIDs,_xlfn._xlws.FILTER(C:C,(A:A=A3)),
_xlpm.SecIDs,_xlfn._xlws.FILTER(D:D,(A:A=A3)),
_xlpm.AltIDs,_xlfn._xlws.FILTER(E:E,A:A=A3),
_xlpm.PrinPts,_xlfn._xlws.FILTER(G:G,(A:A=A3)),
_xlpm.SecPts,_xlfn._xlws.FILTER(H:H,(A:A=A3)),
_xlpm.AltPts,_xlfn._xlws.FILTER(I:I,(A:A=A3)),
_xlpm.SPIds,_xlfn._xlws.FILTER(S:S,A:A=A3),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629.1</v>
      </c>
      <c r="Z3" s="4" cm="1">
        <f t="array" aca="1" ref="Z3" ca="1">_xlfn.LET(
_xlpm.PrinIDs,_xlfn._xlws.FILTER(C:C,(A:A=A3)),
_xlpm.SecIDs,_xlfn._xlws.FILTER(D:D,(A:A=A3)),
_xlpm.TerIDs,_xlfn._xlws.FILTER(E:E,A:A=A3),
_xlpm.CuaIDs,_xlfn._xlws.FILTER(F:F,(A:A=A3)),
_xlpm.PrinPts,_xlfn._xlws.FILTER(G:G,(A:A=A3)),
_xlpm.SecPts,_xlfn._xlws.FILTER(H:H,(A:A=A3)),
_xlpm.TerPts,_xlfn._xlws.FILTER(I:I,(A:A=A3)),
_xlpm.CuaPts,_xlfn._xlws.FILTER(J:J,(A:A=A3)),
_xlpm.STIds,_xlfn._xlws.FILTER(T:T,A:A=A3),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557.19000000000005</v>
      </c>
      <c r="AA3" s="4" cm="1">
        <f t="array" aca="1" ref="AA3" ca="1">_xlfn.LET(
_xlpm.PrinIDs,_xlfn._xlws.FILTER(C:C,(A:A=A3)),
_xlpm.SecIDs,_xlfn._xlws.FILTER(D:D,(A:A=A3)),
_xlpm.TerIDs,_xlfn._xlws.FILTER(E:E,A:A=A3),
_xlpm.CuaIDs,_xlfn._xlws.FILTER(F:F,(A:A=A3)),
_xlpm.PrinPts,_xlfn._xlws.FILTER(G:G,(A:A=A3)),
_xlpm.SecPts,_xlfn._xlws.FILTER(H:H,(A:A=A3)),
_xlpm.TerPts,_xlfn._xlws.FILTER(I:I,(A:A=A3)),
_xlpm.CuaPts,_xlfn._xlws.FILTER(J:J,(A:A=A3)),
_xlpm.SCIds,_xlfn._xlws.FILTER(U:U,A:A=A3),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3" s="14">
        <f t="shared" ref="AB3:AB66" ca="1" si="3">IF(MAX(V3:AA3)=V3,P3,
IF(MAX(V3:AA3)=W3,Q3,
IF(MAX(V3:AA3)=X3,R3,
IF(MAX(V3:AA3)=Y3,S3,
IF(MAX(V3:AA3)=Z3,T3,
IF(MAX(V3:AA3)=AA3,U3,"Error"))))))</f>
        <v>32</v>
      </c>
      <c r="AC3" s="14">
        <v>32</v>
      </c>
      <c r="AD3" s="4"/>
      <c r="AE3" s="14" t="str">
        <f ca="1">IF(ISNUMBER(AC3),
IF($B3=1,VLOOKUP($AC3,Inventario1!$A:$H,2),
IF($B3=2,VLOOKUP($AC3,Inventario2!$A:$H,2),
IF($B3=3,VLOOKUP($AC3,Inventario3!$A:$H,2),
IF($B3=4,VLOOKUP($AC3,Inventario4!$A:$H,2),
IF($B3=5,VLOOKUP($AC3,Inventario5!$A:$H,2),
VLOOKUP($AC3,Inventario6!$A:$H,2)
))))),"No equipado")</f>
        <v>Épico</v>
      </c>
      <c r="AF3" s="14" t="str">
        <f ca="1">IF(ISNUMBER(AC3),
IF($B3=1,VLOOKUP($AC3,Inventario1!$A:$H,3),
IF($B3=2,VLOOKUP($AC3,Inventario2!$A:$H,3),
IF($B3=3,VLOOKUP($AC3,Inventario3!$A:$H,3),
IF($B3=4,VLOOKUP($AC3,Inventario4!$A:$H,3),
IF($B3=5,VLOOKUP($AC3,Inventario5!$A:$H,3),
VLOOKUP($AC3,Inventario6!$A:$H,3)
))))),"")</f>
        <v>Poder vibrante</v>
      </c>
      <c r="AG3" s="14" t="str">
        <f ca="1">IF(ISNUMBER(AC3),
IF($B3=1,VLOOKUP($AC3,Inventario1!$A:$H,4),
IF($B3=2,VLOOKUP($AC3,Inventario2!$A:$H,4),
IF($B3=3,VLOOKUP($AC3,Inventario3!$A:$H,4),
IF($B3=4,VLOOKUP($AC3,Inventario4!$A:$H,4),
IF($B3=5,VLOOKUP($AC3,Inventario5!$A:$H,4),
VLOOKUP($AC3,Inventario6!$A:$H,4)
))))),"")</f>
        <v>Ataque poderoso</v>
      </c>
      <c r="AH3" s="14" t="str">
        <f ca="1">IF(ISNUMBER(AC3),
IF($B3=1,VLOOKUP($AC3,Inventario1!$A:$H,5),
IF($B3=2,VLOOKUP($AC3,Inventario2!$A:$H,5),
IF($B3=3,VLOOKUP($AC3,Inventario3!$A:$H,5),
IF($B3=4,VLOOKUP($AC3,Inventario4!$A:$H,5),
IF($B3=5,VLOOKUP($AC3,Inventario5!$A:$H,5),
VLOOKUP($AC3,Inventario6!$A:$H,5)
))))),"")</f>
        <v>Ataque poderoso</v>
      </c>
      <c r="AI3" s="14" t="str">
        <f ca="1">IF(ISNUMBER(AC3),
IF($B3=1,VLOOKUP($AC3,Inventario1!$A:$H,6),
IF($B3=2,VLOOKUP($AC3,Inventario2!$A:$H,6),
IF($B3=3,VLOOKUP($AC3,Inventario3!$A:$H,6),
IF($B3=4,VLOOKUP($AC3,Inventario4!$A:$H,6),
IF($B3=5,VLOOKUP($AC3,Inventario5!$A:$H,6),
VLOOKUP($AC3,Inventario6!$A:$H,6)
))))),"")</f>
        <v>Saque</v>
      </c>
      <c r="AJ3" s="14" t="str">
        <f ca="1">IF(ISNUMBER(AC3),
IF($B3=1,VLOOKUP($AC3,Inventario1!$A:$H,7),
IF($B3=2,VLOOKUP($AC3,Inventario2!$A:$H,7),
IF($B3=3,VLOOKUP($AC3,Inventario3!$A:$H,7),
IF($B3=4,VLOOKUP($AC3,Inventario4!$A:$H,7),
IF($B3=5,VLOOKUP($AC3,Inventario5!$A:$H,7),
VLOOKUP($AC3,Inventario6!$A:$H,7)
))))),"")</f>
        <v>Ataque poderoso</v>
      </c>
      <c r="AK3" s="15" t="str">
        <f ca="1">IF(ISNUMBER(AC3),
IF($B3=1,VLOOKUP($AC3,Inventario1!$A:$H,8),
IF($B3=2,VLOOKUP($AC3,Inventario2!$A:$H,8),
IF($B3=3,VLOOKUP($AC3,Inventario3!$A:$H,8),
IF($B3=4,VLOOKUP($AC3,Inventario4!$A:$H,8),
IF($B3=5,VLOOKUP($AC3,Inventario5!$A:$H,8),
VLOOKUP($AC3,Inventario6!$A:$H,8)
))))),"")</f>
        <v>Espíritu</v>
      </c>
    </row>
    <row r="4" spans="1:37" x14ac:dyDescent="0.25">
      <c r="A4" s="13" t="s">
        <v>3</v>
      </c>
      <c r="B4" s="3">
        <v>3</v>
      </c>
      <c r="C4" s="14" cm="1">
        <f t="array" aca="1" ref="C4" ca="1">_xlfn.LET(
    _xlpm.jugador, A4,
    _xlpm.idSel, AC4,
    _xlpm.invIDs, IF(B4=1,Inventario1!A:A,IF(B4=2,Inventario2!A:A,IF(B4=3,Inventario3!A:A,IF(B4=4,Inventario4!A:A,IF(B4=5,Inventario5!A:A,Inventario6!A:A))))),
    _xlpm.invCalidad, IF(B4=1,Inventario1!B:B,IF(B4=2,Inventario2!B:B,IF(B4=3,Inventario3!B:B,IF(B4=4,Inventario4!B:B,IF(B4=5,Inventario5!B:B,Inventario6!B:B))))),
    _xlpm.invTipos, IF(B4=1,Inventario1!C:C,IF(B4=2,Inventario2!C:C,IF(B4=3,Inventario3!C:C,IF(B4=4,Inventario4!C:C,IF(B4=5,Inventario5!C:C,Inventario6!C:C))))),
    _xlpm.invStats, IF(B4=1,Inventario1!D:H,IF(B4=2,Inventario2!D:H,IF(B4=3,Inventario3!D:H,IF(B4=4,Inventario4!D:H,IF(B4=5,Inventario5!D:H,Inventario6!D:H))))),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IF(ROW(A4)=2,"",IF(_xlfn._xlws.FILTER(Equipar!AC$2:AC3,Equipar!B$2:B3=B4)={0},"",_xlfn._xlws.FILTER(Equipar!AC$2:AC3,Equipar!B$2:B3=B4))),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164</v>
      </c>
      <c r="D4" s="4" cm="1">
        <f t="array" ref="D4">_xlfn.LET(
    _xlpm.jugador, A4,
    _xlpm.idSel, AC4,
    _xlpm.invIDs, IF(B4=1,Inventario1!A:A,IF(B4=2,Inventario2!A:A,IF(B4=3,Inventario3!A:A,IF(B4=4,Inventario4!A:A,IF(B4=5,Inventario5!A:A,Inventario6!A:A))))),
    _xlpm.invCalidad, IF(B4=1,Inventario1!B:B,IF(B4=2,Inventario2!B:B,IF(B4=3,Inventario3!B:B,IF(B4=4,Inventario4!B:B,IF(B4=5,Inventario5!B:B,Inventario6!B:B))))),
    _xlpm.invTipos, IF(B4=1,Inventario1!C:C,IF(B4=2,Inventario2!C:C,IF(B4=3,Inventario3!C:C,IF(B4=4,Inventario4!C:C,IF(B4=5,Inventario5!C:C,Inventario6!C:C))))),
    _xlpm.invStats, IF(B4=1,Inventario1!D:H,IF(B4=2,Inventario2!D:H,IF(B4=3,Inventario3!D:H,IF(B4=4,Inventario4!D:H,IF(B4=5,Inventario5!D:H,Inventario6!D:H))))),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IF(ROW(A4)=2,"",IF(_xlfn._xlws.FILTER(Equipar!AC$2:AC3,Equipar!B$2:B3=B4)={0},"",_xlfn._xlws.FILTER(Equipar!AC$2:AC3,Equipar!B$2:B3=B4))),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</v>
      </c>
      <c r="E4" s="4" t="str" cm="1">
        <f t="array" ref="E4">_xlfn.LET(
    _xlpm.jugador, A4,
    _xlpm.idSel, AC4,
    _xlpm.invIDs, IF(B4=1,Inventario1!A:A,IF(B4=2,Inventario2!A:A,IF(B4=3,Inventario3!A:A,IF(B4=4,Inventario4!A:A,IF(B4=5,Inventario5!A:A,Inventario6!A:A))))),
    _xlpm.invCalidad, IF(B4=1,Inventario1!B:B,IF(B4=2,Inventario2!B:B,IF(B4=3,Inventario3!B:B,IF(B4=4,Inventario4!B:B,IF(B4=5,Inventario5!B:B,Inventario6!B:B))))),
    _xlpm.invTipos, IF(B4=1,Inventario1!C:C,IF(B4=2,Inventario2!C:C,IF(B4=3,Inventario3!C:C,IF(B4=4,Inventario4!C:C,IF(B4=5,Inventario5!C:C,Inventario6!C:C))))),
    _xlpm.invStats, IF(B4=1,Inventario1!D:H,IF(B4=2,Inventario2!D:H,IF(B4=3,Inventario3!D:H,IF(B4=4,Inventario4!D:H,IF(B4=5,Inventario5!D:H,Inventario6!D:H))))),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IF(ROW(A4)=2,"",IF(_xlfn._xlws.FILTER(Equipar!AC$2:AC3,Equipar!B$2:B3=B4)={0},"",_xlfn._xlws.FILTER(Equipar!AC$2:AC3,Equipar!B$2:B3=B4))),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4" s="4" t="str" cm="1">
        <f t="array" aca="1" ref="F4" ca="1">_xlfn.LET(
    _xlpm.jugador, B4,
    _xlpm.idSel, AD4,
    _xlpm.invIDs, IF(C4=1,Inventario1!B:B,IF(C4=2,Inventario2!B:B,IF(C4=3,Inventario3!B:B,IF(C4=4,Inventario4!B:B,IF(C4=5,Inventario5!B:B,Inventario6!B:B))))),
    _xlpm.invCalidad, IF(C4=1,Inventario1!C:C,IF(C4=2,Inventario2!C:C,IF(C4=3,Inventario3!C:C,IF(C4=4,Inventario4!C:C,IF(C4=5,Inventario5!C:C,Inventario6!C:C))))),
    _xlpm.invTipos, IF(C4=1,Inventario1!D:D,IF(C4=2,Inventario2!D:D,IF(C4=3,Inventario3!D:D,IF(C4=4,Inventario4!D:D,IF(C4=5,Inventario5!D:D,Inventario6!D:D))))),
    _xlpm.invStats, IF(C4=1,Inventario1!E:I,IF(C4=2,Inventario2!E:I,IF(C4=3,Inventario3!E:I,IF(C4=4,Inventario4!E:I,IF(C4=5,Inventario5!E:I,Inventario6!E:I))))),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IF(ROW(B4)=2,"",IF(_xlfn._xlws.FILTER(Equipar!AD$2:AD3,Equipar!C$2:C3=C4)={0},"",_xlfn._xlws.FILTER(Equipar!AD$2:AD3,Equipar!C$2:C3=C4))),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4" s="14" cm="1">
        <f t="array" aca="1" ref="G4" ca="1">_xlfn.LET(
    _xlpm.jugador, A4,
    _xlpm.idSel, AC4,
    _xlpm.invIDs, IF(B4=1,Inventario1!A:A,IF(B4=2,Inventario2!A:A,IF(B4=3,Inventario3!A:A,IF(B4=4,Inventario4!A:A,IF(B4=5,Inventario5!A:A,Inventario6!A:A))))),
    _xlpm.invCalidad, IF(B4=1,Inventario1!B:B,IF(B4=2,Inventario2!B:B,IF(B4=3,Inventario3!B:B,IF(B4=4,Inventario4!B:B,IF(B4=5,Inventario5!B:B,Inventario6!B:B))))),
    _xlpm.invTipos, IF(B4=1,Inventario1!C:C,IF(B4=2,Inventario2!C:C,IF(B4=3,Inventario3!C:C,IF(B4=4,Inventario4!C:C,IF(B4=5,Inventario5!C:C,Inventario6!C:C))))),
    _xlpm.invStats, IF(B4=1,Inventario1!D:H,IF(B4=2,Inventario2!D:H,IF(B4=3,Inventario3!D:H,IF(B4=4,Inventario4!D:H,IF(B4=5,Inventario5!D:H,Inventario6!D:H))))),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IF(ROW(A4)=2,"",IF(_xlfn._xlws.FILTER(Equipar!AC$2:AC3,Equipar!B$2:B3=B4)={0},"",_xlfn._xlws.FILTER(Equipar!AC$2:AC3,Equipar!B$2:B3=B4))),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H4" s="4" cm="1">
        <f t="array" ref="H4">_xlfn.LET(
    _xlpm.jugador, A4,
    _xlpm.idSel, AC4,
    _xlpm.invIDs, IF(B4=1,Inventario1!A:A,IF(B4=2,Inventario2!A:A,IF(B4=3,Inventario3!A:A,IF(B4=4,Inventario4!A:A,IF(B4=5,Inventario5!A:A,Inventario6!A:A))))),
    _xlpm.invCalidad, IF(B4=1,Inventario1!B:B,IF(B4=2,Inventario2!B:B,IF(B4=3,Inventario3!B:B,IF(B4=4,Inventario4!B:B,IF(B4=5,Inventario5!B:B,Inventario6!B:B))))),
    _xlpm.invTipos, IF(B4=1,Inventario1!C:C,IF(B4=2,Inventario2!C:C,IF(B4=3,Inventario3!C:C,IF(B4=4,Inventario4!C:C,IF(B4=5,Inventario5!C:C,Inventario6!C:C))))),
    _xlpm.invStats, IF(B4=1,Inventario1!D:H,IF(B4=2,Inventario2!D:H,IF(B4=3,Inventario3!D:H,IF(B4=4,Inventario4!D:H,IF(B4=5,Inventario5!D:H,Inventario6!D:H))))),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IF(ROW(A4)=2,"",IF(_xlfn._xlws.FILTER(Equipar!AC$2:AC3,Equipar!B$2:B3=B4)={0},"",_xlfn._xlws.FILTER(Equipar!AC$2:AC3,Equipar!B$2:B3=B4))),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I4" s="4" cm="1">
        <f t="array" ref="I4">_xlfn.LET(
    _xlpm.jugador, A4,
    _xlpm.idSel, AC4,
    _xlpm.invIDs, IF(B4=1,Inventario1!A:A,IF(B4=2,Inventario2!A:A,IF(B4=3,Inventario3!A:A,IF(B4=4,Inventario4!A:A,IF(B4=5,Inventario5!A:A,Inventario6!A:A))))),
    _xlpm.invCalidad, IF(B4=1,Inventario1!B:B,IF(B4=2,Inventario2!B:B,IF(B4=3,Inventario3!B:B,IF(B4=4,Inventario4!B:B,IF(B4=5,Inventario5!B:B,Inventario6!B:B))))),
    _xlpm.invTipos, IF(B4=1,Inventario1!C:C,IF(B4=2,Inventario2!C:C,IF(B4=3,Inventario3!C:C,IF(B4=4,Inventario4!C:C,IF(B4=5,Inventario5!C:C,Inventario6!C:C))))),
    _xlpm.invStats, IF(B4=1,Inventario1!D:H,IF(B4=2,Inventario2!D:H,IF(B4=3,Inventario3!D:H,IF(B4=4,Inventario4!D:H,IF(B4=5,Inventario5!D:H,Inventario6!D:H))))),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IF(ROW(A4)=2,"",IF(_xlfn._xlws.FILTER(Equipar!AC$2:AC3,Equipar!B$2:B3=B4)={0},"",_xlfn._xlws.FILTER(Equipar!AC$2:AC3,Equipar!B$2:B3=B4))),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4" s="4" cm="1">
        <f t="array" aca="1" ref="J4" ca="1">_xlfn.LET(
    _xlpm.jugador, B4,
    _xlpm.idSel, AD4,
    _xlpm.invIDs, IF(C4=1,Inventario1!B:B,IF(C4=2,Inventario2!B:B,IF(C4=3,Inventario3!B:B,IF(C4=4,Inventario4!B:B,IF(C4=5,Inventario5!B:B,Inventario6!B:B))))),
    _xlpm.invCalidad, IF(C4=1,Inventario1!C:C,IF(C4=2,Inventario2!C:C,IF(C4=3,Inventario3!C:C,IF(C4=4,Inventario4!C:C,IF(C4=5,Inventario5!C:C,Inventario6!C:C))))),
    _xlpm.invTipos, IF(C4=1,Inventario1!D:D,IF(C4=2,Inventario2!D:D,IF(C4=3,Inventario3!D:D,IF(C4=4,Inventario4!D:D,IF(C4=5,Inventario5!D:D,Inventario6!D:D))))),
    _xlpm.invStats, IF(C4=1,Inventario1!E:I,IF(C4=2,Inventario2!E:I,IF(C4=3,Inventario3!E:I,IF(C4=4,Inventario4!E:I,IF(C4=5,Inventario5!E:I,Inventario6!E:I))))),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IF(ROW(B4)=2,"",IF(_xlfn._xlws.FILTER(Equipar!AD$2:AD3,Equipar!C$2:C3=C4)={0},"",_xlfn._xlws.FILTER(Equipar!AD$2:AD3,Equipar!C$2:C3=C4))),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4" s="4">
        <f t="shared" ca="1" si="0"/>
        <v>-38.700000000000003</v>
      </c>
      <c r="L4" s="4">
        <f t="shared" ca="1" si="1"/>
        <v>81</v>
      </c>
      <c r="M4" s="4">
        <f t="shared" ca="1" si="1"/>
        <v>119.7</v>
      </c>
      <c r="N4" s="4">
        <f t="shared" si="2"/>
        <v>119.7</v>
      </c>
      <c r="O4" s="4">
        <f t="shared" ca="1" si="2"/>
        <v>0</v>
      </c>
      <c r="P4" s="14" cm="1">
        <f t="array" aca="1" ref="P4" ca="1">_xlfn.LET(
    _xlpm.ptsPrinBase, _xlfn._xlws.FILTER(G:G, A:A=A4),
    _xlpm.ptsSecBase,  _xlfn._xlws.FILTER(H:H, A:A=A4),
    _xlpm.puntosPrin, _xlpm.ptsPrinBase + _xlfn._xlws.FILTER(B:B, A:A=A4)/1000,
    _xlpm.puntosSec,  _xlpm.ptsSecBase  + _xlfn._xlws.FILTER(B:B, A:A=A4)/1000,
    _xlpm.puntosPrinValidos, SUM(--(_xlpm.ptsPrinBase&gt;0)),
    _xlpm.puntosSecValidos,  SUM(--(_xlpm.ptsSecBase&gt;0)),
    _xlpm.clave, K4 + B4/1000,
    _xlpm.claves, _xlfn._xlws.FILTER(K:K + B:B/1000, A:A=A4),
    IF(AND(_xlpm.puntosPrinValidos&gt;=4,_xlpm.puntosSecValidos&gt;=2),IF(
        SUM(--(_xlpm.claves &gt; _xlpm.clave)) &lt; 4,
        C4,
        D4
    ),"No disp")
)</f>
        <v>2</v>
      </c>
      <c r="Q4" s="14" cm="1">
        <f t="array" aca="1" ref="Q4" ca="1">_xlfn.LET(
    _xlpm.puntosPrin, _xlfn._xlws.FILTER(G:G + B:B/1000, A:A=A4),
    _xlpm.puntosPrinValidos, SUM(--(_xlpm.puntosPrin&gt;1)),
    _xlpm.puntosTer, _xlfn._xlws.FILTER(I:I + B:B/1000, A:A=A4),
    _xlpm.puntosTerValidos, SUM(--(_xlpm.puntosTer&gt;1)),
    _xlpm.clave, L4 + B4/1000,
    _xlpm.claves, _xlfn._xlws.FILTER(L:L + B:B/1000, A:A=A4),
    IF(AND(_xlpm.puntosPrinValidos&gt;=4,_xlpm.puntosTerValidos&gt;=2),IF(
        SUM(--(_xlpm.claves &gt; _xlpm.clave)) &lt; 4,
        C4,
        E4
    ),"No disp")
)</f>
        <v>164</v>
      </c>
      <c r="R4" s="14" t="str" cm="1">
        <f t="array" aca="1" ref="R4" ca="1">_xlfn.LET(
    _xlpm.puntosPrin, _xlfn._xlws.FILTER(G:G + B:B/1000, A:A=A4),
    _xlpm.puntosPrinValidos, SUM(--(_xlpm.puntosPrin&gt;1)),
    _xlpm.puntosTer, _xlfn._xlws.FILTER(J:J + B:B/1000, A:A=A4),
    _xlpm.puntosTerValidos, SUM(--(_xlpm.puntosTer&gt;1)),
    _xlpm.clave, M4 + B4/1000,
    _xlpm.claves, _xlfn._xlws.FILTER(M:M + B:B/1000, A:A=A4),
    IF(AND(_xlpm.puntosPrinValidos&gt;=4,_xlpm.puntosTerValidos&gt;=2),IF(
        SUM(--(_xlpm.claves &gt; _xlpm.clave)) &lt; 4,
        C4,
        F4
    ),"No disp")
)</f>
        <v>No disp</v>
      </c>
      <c r="S4" s="14" cm="1">
        <f t="array" aca="1" ref="S4" ca="1">_xlfn.LET(
    _xlpm.ptsPrinBase, _xlfn._xlws.FILTER(G:G, A:A=A4),
    _xlpm.ptsSecBase,  _xlfn._xlws.FILTER(H:H, A:A=A4),
    _xlpm.puntosPrin, _xlpm.ptsPrinBase + _xlfn._xlws.FILTER(B:B, A:A=A4)/1000,
    _xlpm.puntosSec,  _xlpm.ptsSecBase  + _xlfn._xlws.FILTER(B:B, A:A=A4)/1000,
    _xlpm.puntosPrinValidos, SUM(--(_xlpm.ptsPrinBase&gt;0)),
    _xlpm.puntosSecValidos,  SUM(--(_xlpm.ptsSecBase&gt;0)),
    _xlpm.clave, K4 + B4/1000,
    _xlpm.claves, _xlfn._xlws.FILTER(K:K + B:B/1000, A:A=A4),
    IF(
        AND(_xlpm.puntosPrinValidos&gt;=2, _xlpm.puntosSecValidos&gt;=4),
        IF(
            SUM(--(_xlpm.claves &lt; _xlpm.clave)) &lt; 4,
            D4,
            C4
        ),
        "No disp"
    )
)</f>
        <v>2</v>
      </c>
      <c r="T4" s="14" cm="1">
        <f t="array" ref="T4">_xlfn.LET(
    _xlpm.puntosSec, _xlfn._xlws.FILTER(H:H + B:B/1000, A:A=A4),
    _xlpm.puntosSecValidos, SUM(--(_xlpm.puntosSec&gt;1)),
    _xlpm.puntosAlt, _xlfn._xlws.FILTER(I:I + B:B/1000, A:A=A4),
    _xlpm.puntosAltValidos, SUM(--(_xlpm.puntosAlt&gt;1)),
    _xlpm.clave, N4 + B4/1000,
    _xlpm.claves, _xlfn._xlws.FILTER(N:N + B:B/1000, A:A=A4),
    IF(AND(_xlpm.puntosSecValidos&gt;=4,_xlpm.puntosAltValidos&gt;=2),IF(
        SUM(--(_xlpm.claves &gt; _xlpm.clave)) &lt; 4,
        D4,
        E4
    ),"No disp")
)</f>
        <v>2</v>
      </c>
      <c r="U4" s="14" t="str" cm="1">
        <f t="array" aca="1" ref="U4" ca="1">_xlfn.LET(
    _xlpm.puntosSec, _xlfn._xlws.FILTER(H:H + B:B/1000, A:A=A4),
    _xlpm.puntosSecValidos, SUM(--(_xlpm.puntosSec&gt;1)),
    _xlpm.puntosAlt, _xlfn._xlws.FILTER(J:J + B:B/1000, A:A=A4),
    _xlpm.puntosAltValidos, SUM(--(_xlpm.puntosAlt&gt;1)),
    _xlpm.clave, O4 + B4/1000,
    _xlpm.claves, _xlfn._xlws.FILTER(O:O + B:B/1000, A:A=A4),
    IF(AND(_xlpm.puntosSecValidos&gt;=4,_xlpm.puntosAltValidos&gt;=2),IF(
        SUM(--(_xlpm.claves &gt; _xlpm.clave)) &lt; 4,
        D4,
        F4
    ),"No disp")
)</f>
        <v>No disp</v>
      </c>
      <c r="V4" s="4" cm="1">
        <f t="array" aca="1" ref="V4" ca="1">_xlfn.LET(
_xlpm.PrinIDs,_xlfn._xlws.FILTER(C:C,(A:A=A4)),
_xlpm.SecIDs,_xlfn._xlws.FILTER(D:D,(A:A=A4)),
_xlpm.TerIDs,_xlfn._xlws.FILTER(E:E,A:A=A4),
_xlpm.CuaIDs,_xlfn._xlws.FILTER(F:F,(A:A=A4)),
_xlpm.PrinPts,_xlfn._xlws.FILTER(G:G,(A:A=A4)),
_xlpm.SecPts,_xlfn._xlws.FILTER(H:H,(A:A=A4)),
_xlpm.TerPts,_xlfn._xlws.FILTER(I:I,(A:A=A4)),
_xlpm.CuaPts,_xlfn._xlws.FILTER(J:J,(A:A=A4)),
_xlpm.PSIds,_xlfn._xlws.FILTER(P:P,A:A=A4),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679.59</v>
      </c>
      <c r="W4" s="4" cm="1">
        <f t="array" aca="1" ref="W4" ca="1">_xlfn.LET(
_xlpm.PrinIDs,_xlfn._xlws.FILTER(C:C,(A:A=A4)),
_xlpm.SecIDs,_xlfn._xlws.FILTER(D:D,(A:A=A4)),
_xlpm.TerIDs,_xlfn._xlws.FILTER(E:E,A:A=A4),
_xlpm.CuaIDs,_xlfn._xlws.FILTER(F:F,(A:A=A4)),
_xlpm.PrinPts,_xlfn._xlws.FILTER(G:G,(A:A=A4)),
_xlpm.SecPts,_xlfn._xlws.FILTER(H:H,(A:A=A4)),
_xlpm.TerPts,_xlfn._xlws.FILTER(I:I,(A:A=A4)),
_xlpm.CuaPts,_xlfn._xlws.FILTER(J:J,(A:A=A4)),
_xlpm.PTIds,_xlfn._xlws.FILTER(Q:Q,A:A=A4),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640.8900000000001</v>
      </c>
      <c r="X4" s="4" cm="1">
        <f t="array" aca="1" ref="X4" ca="1">_xlfn.LET(
_xlpm.PrinIDs,_xlfn._xlws.FILTER(C:C,(A:A=A4)),
_xlpm.SecIDs,_xlfn._xlws.FILTER(D:D,(A:A=A4)),
_xlpm.TerIDs,_xlfn._xlws.FILTER(E:E,A:A=A4),
_xlpm.CuaIDs,_xlfn._xlws.FILTER(F:F,(A:A=A4)),
_xlpm.PrinPts,_xlfn._xlws.FILTER(G:G,(A:A=A4)),
_xlpm.SecPts,_xlfn._xlws.FILTER(H:H,(A:A=A4)),
_xlpm.TerPts,_xlfn._xlws.FILTER(I:I,(A:A=A4)),
_xlpm.CuaPts,_xlfn._xlws.FILTER(J:J,(A:A=A4)),
_xlpm.PCIds,_xlfn._xlws.FILTER(R:R,A:A=A4),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4" s="4" cm="1">
        <f t="array" aca="1" ref="Y4" ca="1">_xlfn.LET(
_xlpm.PrinIDs,_xlfn._xlws.FILTER(C:C,(A:A=A4)),
_xlpm.SecIDs,_xlfn._xlws.FILTER(D:D,(A:A=A4)),
_xlpm.AltIDs,_xlfn._xlws.FILTER(E:E,A:A=A4),
_xlpm.PrinPts,_xlfn._xlws.FILTER(G:G,(A:A=A4)),
_xlpm.SecPts,_xlfn._xlws.FILTER(H:H,(A:A=A4)),
_xlpm.AltPts,_xlfn._xlws.FILTER(I:I,(A:A=A4)),
_xlpm.SPIds,_xlfn._xlws.FILTER(S:S,A:A=A4),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629.1</v>
      </c>
      <c r="Z4" s="4" cm="1">
        <f t="array" aca="1" ref="Z4" ca="1">_xlfn.LET(
_xlpm.PrinIDs,_xlfn._xlws.FILTER(C:C,(A:A=A4)),
_xlpm.SecIDs,_xlfn._xlws.FILTER(D:D,(A:A=A4)),
_xlpm.TerIDs,_xlfn._xlws.FILTER(E:E,A:A=A4),
_xlpm.CuaIDs,_xlfn._xlws.FILTER(F:F,(A:A=A4)),
_xlpm.PrinPts,_xlfn._xlws.FILTER(G:G,(A:A=A4)),
_xlpm.SecPts,_xlfn._xlws.FILTER(H:H,(A:A=A4)),
_xlpm.TerPts,_xlfn._xlws.FILTER(I:I,(A:A=A4)),
_xlpm.CuaPts,_xlfn._xlws.FILTER(J:J,(A:A=A4)),
_xlpm.STIds,_xlfn._xlws.FILTER(T:T,A:A=A4),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557.19000000000005</v>
      </c>
      <c r="AA4" s="4" cm="1">
        <f t="array" aca="1" ref="AA4" ca="1">_xlfn.LET(
_xlpm.PrinIDs,_xlfn._xlws.FILTER(C:C,(A:A=A4)),
_xlpm.SecIDs,_xlfn._xlws.FILTER(D:D,(A:A=A4)),
_xlpm.TerIDs,_xlfn._xlws.FILTER(E:E,A:A=A4),
_xlpm.CuaIDs,_xlfn._xlws.FILTER(F:F,(A:A=A4)),
_xlpm.PrinPts,_xlfn._xlws.FILTER(G:G,(A:A=A4)),
_xlpm.SecPts,_xlfn._xlws.FILTER(H:H,(A:A=A4)),
_xlpm.TerPts,_xlfn._xlws.FILTER(I:I,(A:A=A4)),
_xlpm.CuaPts,_xlfn._xlws.FILTER(J:J,(A:A=A4)),
_xlpm.SCIds,_xlfn._xlws.FILTER(U:U,A:A=A4),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4" s="14">
        <f t="shared" ca="1" si="3"/>
        <v>2</v>
      </c>
      <c r="AC4" s="14">
        <v>2</v>
      </c>
      <c r="AD4" s="4"/>
      <c r="AE4" s="14" t="str">
        <f ca="1">IF(ISNUMBER(AC4),
IF($B4=1,VLOOKUP($AC4,Inventario1!$A:$H,2),
IF($B4=2,VLOOKUP($AC4,Inventario2!$A:$H,2),
IF($B4=3,VLOOKUP($AC4,Inventario3!$A:$H,2),
IF($B4=4,VLOOKUP($AC4,Inventario4!$A:$H,2),
IF($B4=5,VLOOKUP($AC4,Inventario5!$A:$H,2),
VLOOKUP($AC4,Inventario6!$A:$H,2)
))))),"No equipado")</f>
        <v>Legendario</v>
      </c>
      <c r="AF4" s="14" t="str">
        <f ca="1">IF(ISNUMBER(AC4),
IF($B4=1,VLOOKUP($AC4,Inventario1!$A:$H,3),
IF($B4=2,VLOOKUP($AC4,Inventario2!$A:$H,3),
IF($B4=3,VLOOKUP($AC4,Inventario3!$A:$H,3),
IF($B4=4,VLOOKUP($AC4,Inventario4!$A:$H,3),
IF($B4=5,VLOOKUP($AC4,Inventario5!$A:$H,3),
VLOOKUP($AC4,Inventario6!$A:$H,3)
))))),"")</f>
        <v>Incremento de poder</v>
      </c>
      <c r="AG4" s="14" t="str">
        <f ca="1">IF(ISNUMBER(AC4),
IF($B4=1,VLOOKUP($AC4,Inventario1!$A:$H,4),
IF($B4=2,VLOOKUP($AC4,Inventario2!$A:$H,4),
IF($B4=3,VLOOKUP($AC4,Inventario3!$A:$H,4),
IF($B4=4,VLOOKUP($AC4,Inventario4!$A:$H,4),
IF($B4=5,VLOOKUP($AC4,Inventario5!$A:$H,4),
VLOOKUP($AC4,Inventario6!$A:$H,4)
))))),"")</f>
        <v>Saque</v>
      </c>
      <c r="AH4" s="14" t="str">
        <f ca="1">IF(ISNUMBER(AC4),
IF($B4=1,VLOOKUP($AC4,Inventario1!$A:$H,5),
IF($B4=2,VLOOKUP($AC4,Inventario2!$A:$H,5),
IF($B4=3,VLOOKUP($AC4,Inventario3!$A:$H,5),
IF($B4=4,VLOOKUP($AC4,Inventario4!$A:$H,5),
IF($B4=5,VLOOKUP($AC4,Inventario5!$A:$H,5),
VLOOKUP($AC4,Inventario6!$A:$H,5)
))))),"")</f>
        <v>Percepción</v>
      </c>
      <c r="AI4" s="14" t="str">
        <f ca="1">IF(ISNUMBER(AC4),
IF($B4=1,VLOOKUP($AC4,Inventario1!$A:$H,6),
IF($B4=2,VLOOKUP($AC4,Inventario2!$A:$H,6),
IF($B4=3,VLOOKUP($AC4,Inventario3!$A:$H,6),
IF($B4=4,VLOOKUP($AC4,Inventario4!$A:$H,6),
IF($B4=5,VLOOKUP($AC4,Inventario5!$A:$H,6),
VLOOKUP($AC4,Inventario6!$A:$H,6)
))))),"")</f>
        <v>Saque</v>
      </c>
      <c r="AJ4" s="14" t="str">
        <f ca="1">IF(ISNUMBER(AC4),
IF($B4=1,VLOOKUP($AC4,Inventario1!$A:$H,7),
IF($B4=2,VLOOKUP($AC4,Inventario2!$A:$H,7),
IF($B4=3,VLOOKUP($AC4,Inventario3!$A:$H,7),
IF($B4=4,VLOOKUP($AC4,Inventario4!$A:$H,7),
IF($B4=5,VLOOKUP($AC4,Inventario5!$A:$H,7),
VLOOKUP($AC4,Inventario6!$A:$H,7)
))))),"")</f>
        <v>Ataque poderoso</v>
      </c>
      <c r="AK4" s="15" t="str">
        <f ca="1">IF(ISNUMBER(AC4),
IF($B4=1,VLOOKUP($AC4,Inventario1!$A:$H,8),
IF($B4=2,VLOOKUP($AC4,Inventario2!$A:$H,8),
IF($B4=3,VLOOKUP($AC4,Inventario3!$A:$H,8),
IF($B4=4,VLOOKUP($AC4,Inventario4!$A:$H,8),
IF($B4=5,VLOOKUP($AC4,Inventario5!$A:$H,8),
VLOOKUP($AC4,Inventario6!$A:$H,8)
))))),"")</f>
        <v>Bloqueo</v>
      </c>
    </row>
    <row r="5" spans="1:37" x14ac:dyDescent="0.25">
      <c r="A5" s="13" t="s">
        <v>3</v>
      </c>
      <c r="B5" s="3">
        <v>4</v>
      </c>
      <c r="C5" s="14" cm="1">
        <f t="array" ref="C5">_xlfn.LET(
    _xlpm.jugador, A5,
    _xlpm.idSel, AC5,
    _xlpm.invIDs, IF(B5=1,Inventario1!A:A,IF(B5=2,Inventario2!A:A,IF(B5=3,Inventario3!A:A,IF(B5=4,Inventario4!A:A,IF(B5=5,Inventario5!A:A,Inventario6!A:A))))),
    _xlpm.invCalidad, IF(B5=1,Inventario1!B:B,IF(B5=2,Inventario2!B:B,IF(B5=3,Inventario3!B:B,IF(B5=4,Inventario4!B:B,IF(B5=5,Inventario5!B:B,Inventario6!B:B))))),
    _xlpm.invTipos, IF(B5=1,Inventario1!C:C,IF(B5=2,Inventario2!C:C,IF(B5=3,Inventario3!C:C,IF(B5=4,Inventario4!C:C,IF(B5=5,Inventario5!C:C,Inventario6!C:C))))),
    _xlpm.invStats, IF(B5=1,Inventario1!D:H,IF(B5=2,Inventario2!D:H,IF(B5=3,Inventario3!D:H,IF(B5=4,Inventario4!D:H,IF(B5=5,Inventario5!D:H,Inventario6!D:H))))),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IF(ROW(A5)=2,"",IF(_xlfn._xlws.FILTER(Equipar!AC$2:AC4,Equipar!B$2:B4=B5)={0},"",_xlfn._xlws.FILTER(Equipar!AC$2:AC4,Equipar!B$2:B4=B5))),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150</v>
      </c>
      <c r="D5" s="4" cm="1">
        <f t="array" ref="D5">_xlfn.LET(
    _xlpm.jugador, A5,
    _xlpm.idSel, AC5,
    _xlpm.invIDs, IF(B5=1,Inventario1!A:A,IF(B5=2,Inventario2!A:A,IF(B5=3,Inventario3!A:A,IF(B5=4,Inventario4!A:A,IF(B5=5,Inventario5!A:A,Inventario6!A:A))))),
    _xlpm.invCalidad, IF(B5=1,Inventario1!B:B,IF(B5=2,Inventario2!B:B,IF(B5=3,Inventario3!B:B,IF(B5=4,Inventario4!B:B,IF(B5=5,Inventario5!B:B,Inventario6!B:B))))),
    _xlpm.invTipos, IF(B5=1,Inventario1!C:C,IF(B5=2,Inventario2!C:C,IF(B5=3,Inventario3!C:C,IF(B5=4,Inventario4!C:C,IF(B5=5,Inventario5!C:C,Inventario6!C:C))))),
    _xlpm.invStats, IF(B5=1,Inventario1!D:H,IF(B5=2,Inventario2!D:H,IF(B5=3,Inventario3!D:H,IF(B5=4,Inventario4!D:H,IF(B5=5,Inventario5!D:H,Inventario6!D:H))))),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IF(ROW(A5)=2,"",IF(_xlfn._xlws.FILTER(Equipar!AC$2:AC4,Equipar!B$2:B4=B5)={0},"",_xlfn._xlws.FILTER(Equipar!AC$2:AC4,Equipar!B$2:B4=B5))),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17</v>
      </c>
      <c r="E5" s="4" cm="1">
        <f t="array" ref="E5">_xlfn.LET(
    _xlpm.jugador, A5,
    _xlpm.idSel, AC5,
    _xlpm.invIDs, IF(B5=1,Inventario1!A:A,IF(B5=2,Inventario2!A:A,IF(B5=3,Inventario3!A:A,IF(B5=4,Inventario4!A:A,IF(B5=5,Inventario5!A:A,Inventario6!A:A))))),
    _xlpm.invCalidad, IF(B5=1,Inventario1!B:B,IF(B5=2,Inventario2!B:B,IF(B5=3,Inventario3!B:B,IF(B5=4,Inventario4!B:B,IF(B5=5,Inventario5!B:B,Inventario6!B:B))))),
    _xlpm.invTipos, IF(B5=1,Inventario1!C:C,IF(B5=2,Inventario2!C:C,IF(B5=3,Inventario3!C:C,IF(B5=4,Inventario4!C:C,IF(B5=5,Inventario5!C:C,Inventario6!C:C))))),
    _xlpm.invStats, IF(B5=1,Inventario1!D:H,IF(B5=2,Inventario2!D:H,IF(B5=3,Inventario3!D:H,IF(B5=4,Inventario4!D:H,IF(B5=5,Inventario5!D:H,Inventario6!D:H))))),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IF(ROW(A5)=2,"",IF(_xlfn._xlws.FILTER(Equipar!AC$2:AC4,Equipar!B$2:B4=B5)={0},"",_xlfn._xlws.FILTER(Equipar!AC$2:AC4,Equipar!B$2:B4=B5))),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247</v>
      </c>
      <c r="F5" s="4" t="str" cm="1">
        <f t="array" aca="1" ref="F5" ca="1">_xlfn.LET(
    _xlpm.jugador, B5,
    _xlpm.idSel, AD5,
    _xlpm.invIDs, IF(C5=1,Inventario1!B:B,IF(C5=2,Inventario2!B:B,IF(C5=3,Inventario3!B:B,IF(C5=4,Inventario4!B:B,IF(C5=5,Inventario5!B:B,Inventario6!B:B))))),
    _xlpm.invCalidad, IF(C5=1,Inventario1!C:C,IF(C5=2,Inventario2!C:C,IF(C5=3,Inventario3!C:C,IF(C5=4,Inventario4!C:C,IF(C5=5,Inventario5!C:C,Inventario6!C:C))))),
    _xlpm.invTipos, IF(C5=1,Inventario1!D:D,IF(C5=2,Inventario2!D:D,IF(C5=3,Inventario3!D:D,IF(C5=4,Inventario4!D:D,IF(C5=5,Inventario5!D:D,Inventario6!D:D))))),
    _xlpm.invStats, IF(C5=1,Inventario1!E:I,IF(C5=2,Inventario2!E:I,IF(C5=3,Inventario3!E:I,IF(C5=4,Inventario4!E:I,IF(C5=5,Inventario5!E:I,Inventario6!E:I))))),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IF(ROW(B5)=2,"",IF(_xlfn._xlws.FILTER(Equipar!AD$2:AD4,Equipar!C$2:C4=C5)={0},"",_xlfn._xlws.FILTER(Equipar!AD$2:AD4,Equipar!C$2:C4=C5))),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5" s="14" cm="1">
        <f t="array" ref="G5">_xlfn.LET(
    _xlpm.jugador, A5,
    _xlpm.idSel, AC5,
    _xlpm.invIDs, IF(B5=1,Inventario1!A:A,IF(B5=2,Inventario2!A:A,IF(B5=3,Inventario3!A:A,IF(B5=4,Inventario4!A:A,IF(B5=5,Inventario5!A:A,Inventario6!A:A))))),
    _xlpm.invCalidad, IF(B5=1,Inventario1!B:B,IF(B5=2,Inventario2!B:B,IF(B5=3,Inventario3!B:B,IF(B5=4,Inventario4!B:B,IF(B5=5,Inventario5!B:B,Inventario6!B:B))))),
    _xlpm.invTipos, IF(B5=1,Inventario1!C:C,IF(B5=2,Inventario2!C:C,IF(B5=3,Inventario3!C:C,IF(B5=4,Inventario4!C:C,IF(B5=5,Inventario5!C:C,Inventario6!C:C))))),
    _xlpm.invStats, IF(B5=1,Inventario1!D:H,IF(B5=2,Inventario2!D:H,IF(B5=3,Inventario3!D:H,IF(B5=4,Inventario4!D:H,IF(B5=5,Inventario5!D:H,Inventario6!D:H))))),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IF(ROW(A5)=2,"",IF(_xlfn._xlws.FILTER(Equipar!AC$2:AC4,Equipar!B$2:B4=B5)={0},"",_xlfn._xlws.FILTER(Equipar!AC$2:AC4,Equipar!B$2:B4=B5))),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H5" s="4" cm="1">
        <f t="array" ref="H5">_xlfn.LET(
    _xlpm.jugador, A5,
    _xlpm.idSel, AC5,
    _xlpm.invIDs, IF(B5=1,Inventario1!A:A,IF(B5=2,Inventario2!A:A,IF(B5=3,Inventario3!A:A,IF(B5=4,Inventario4!A:A,IF(B5=5,Inventario5!A:A,Inventario6!A:A))))),
    _xlpm.invCalidad, IF(B5=1,Inventario1!B:B,IF(B5=2,Inventario2!B:B,IF(B5=3,Inventario3!B:B,IF(B5=4,Inventario4!B:B,IF(B5=5,Inventario5!B:B,Inventario6!B:B))))),
    _xlpm.invTipos, IF(B5=1,Inventario1!C:C,IF(B5=2,Inventario2!C:C,IF(B5=3,Inventario3!C:C,IF(B5=4,Inventario4!C:C,IF(B5=5,Inventario5!C:C,Inventario6!C:C))))),
    _xlpm.invStats, IF(B5=1,Inventario1!D:H,IF(B5=2,Inventario2!D:H,IF(B5=3,Inventario3!D:H,IF(B5=4,Inventario4!D:H,IF(B5=5,Inventario5!D:H,Inventario6!D:H))))),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IF(ROW(A5)=2,"",IF(_xlfn._xlws.FILTER(Equipar!AC$2:AC4,Equipar!B$2:B4=B5)={0},"",_xlfn._xlws.FILTER(Equipar!AC$2:AC4,Equipar!B$2:B4=B5))),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I5" s="4" cm="1">
        <f t="array" ref="I5">_xlfn.LET(
    _xlpm.jugador, A5,
    _xlpm.idSel, AC5,
    _xlpm.invIDs, IF(B5=1,Inventario1!A:A,IF(B5=2,Inventario2!A:A,IF(B5=3,Inventario3!A:A,IF(B5=4,Inventario4!A:A,IF(B5=5,Inventario5!A:A,Inventario6!A:A))))),
    _xlpm.invCalidad, IF(B5=1,Inventario1!B:B,IF(B5=2,Inventario2!B:B,IF(B5=3,Inventario3!B:B,IF(B5=4,Inventario4!B:B,IF(B5=5,Inventario5!B:B,Inventario6!B:B))))),
    _xlpm.invTipos, IF(B5=1,Inventario1!C:C,IF(B5=2,Inventario2!C:C,IF(B5=3,Inventario3!C:C,IF(B5=4,Inventario4!C:C,IF(B5=5,Inventario5!C:C,Inventario6!C:C))))),
    _xlpm.invStats, IF(B5=1,Inventario1!D:H,IF(B5=2,Inventario2!D:H,IF(B5=3,Inventario3!D:H,IF(B5=4,Inventario4!D:H,IF(B5=5,Inventario5!D:H,Inventario6!D:H))))),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IF(ROW(A5)=2,"",IF(_xlfn._xlws.FILTER(Equipar!AC$2:AC4,Equipar!B$2:B4=B5)={0},"",_xlfn._xlws.FILTER(Equipar!AC$2:AC4,Equipar!B$2:B4=B5))),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J5" s="4" cm="1">
        <f t="array" aca="1" ref="J5" ca="1">_xlfn.LET(
    _xlpm.jugador, B5,
    _xlpm.idSel, AD5,
    _xlpm.invIDs, IF(C5=1,Inventario1!B:B,IF(C5=2,Inventario2!B:B,IF(C5=3,Inventario3!B:B,IF(C5=4,Inventario4!B:B,IF(C5=5,Inventario5!B:B,Inventario6!B:B))))),
    _xlpm.invCalidad, IF(C5=1,Inventario1!C:C,IF(C5=2,Inventario2!C:C,IF(C5=3,Inventario3!C:C,IF(C5=4,Inventario4!C:C,IF(C5=5,Inventario5!C:C,Inventario6!C:C))))),
    _xlpm.invTipos, IF(C5=1,Inventario1!D:D,IF(C5=2,Inventario2!D:D,IF(C5=3,Inventario3!D:D,IF(C5=4,Inventario4!D:D,IF(C5=5,Inventario5!D:D,Inventario6!D:D))))),
    _xlpm.invStats, IF(C5=1,Inventario1!E:I,IF(C5=2,Inventario2!E:I,IF(C5=3,Inventario3!E:I,IF(C5=4,Inventario4!E:I,IF(C5=5,Inventario5!E:I,Inventario6!E:I))))),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IF(ROW(B5)=2,"",IF(_xlfn._xlws.FILTER(Equipar!AD$2:AD4,Equipar!C$2:C4=C5)={0},"",_xlfn._xlws.FILTER(Equipar!AD$2:AD4,Equipar!C$2:C4=C5))),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5" s="4">
        <f t="shared" si="0"/>
        <v>20.790000000000006</v>
      </c>
      <c r="L5" s="4">
        <f t="shared" si="1"/>
        <v>0</v>
      </c>
      <c r="M5" s="4">
        <f t="shared" ca="1" si="1"/>
        <v>63</v>
      </c>
      <c r="N5" s="4">
        <f t="shared" si="2"/>
        <v>-20.790000000000006</v>
      </c>
      <c r="O5" s="4">
        <f t="shared" ca="1" si="2"/>
        <v>83.79</v>
      </c>
      <c r="P5" s="14" cm="1">
        <f t="array" aca="1" ref="P5" ca="1">_xlfn.LET(
    _xlpm.ptsPrinBase, _xlfn._xlws.FILTER(G:G, A:A=A5),
    _xlpm.ptsSecBase,  _xlfn._xlws.FILTER(H:H, A:A=A5),
    _xlpm.puntosPrin, _xlpm.ptsPrinBase + _xlfn._xlws.FILTER(B:B, A:A=A5)/1000,
    _xlpm.puntosSec,  _xlpm.ptsSecBase  + _xlfn._xlws.FILTER(B:B, A:A=A5)/1000,
    _xlpm.puntosPrinValidos, SUM(--(_xlpm.ptsPrinBase&gt;0)),
    _xlpm.puntosSecValidos,  SUM(--(_xlpm.ptsSecBase&gt;0)),
    _xlpm.clave, K5 + B5/1000,
    _xlpm.claves, _xlfn._xlws.FILTER(K:K + B:B/1000, A:A=A5),
    IF(AND(_xlpm.puntosPrinValidos&gt;=4,_xlpm.puntosSecValidos&gt;=2),IF(
        SUM(--(_xlpm.claves &gt; _xlpm.clave)) &lt; 4,
        C5,
        D5
    ),"No disp")
)</f>
        <v>150</v>
      </c>
      <c r="Q5" s="14" cm="1">
        <f t="array" aca="1" ref="Q5" ca="1">_xlfn.LET(
    _xlpm.puntosPrin, _xlfn._xlws.FILTER(G:G + B:B/1000, A:A=A5),
    _xlpm.puntosPrinValidos, SUM(--(_xlpm.puntosPrin&gt;1)),
    _xlpm.puntosTer, _xlfn._xlws.FILTER(I:I + B:B/1000, A:A=A5),
    _xlpm.puntosTerValidos, SUM(--(_xlpm.puntosTer&gt;1)),
    _xlpm.clave, L5 + B5/1000,
    _xlpm.claves, _xlfn._xlws.FILTER(L:L + B:B/1000, A:A=A5),
    IF(AND(_xlpm.puntosPrinValidos&gt;=4,_xlpm.puntosTerValidos&gt;=2),IF(
        SUM(--(_xlpm.claves &gt; _xlpm.clave)) &lt; 4,
        C5,
        E5
    ),"No disp")
)</f>
        <v>247</v>
      </c>
      <c r="R5" s="14" t="str" cm="1">
        <f t="array" aca="1" ref="R5" ca="1">_xlfn.LET(
    _xlpm.puntosPrin, _xlfn._xlws.FILTER(G:G + B:B/1000, A:A=A5),
    _xlpm.puntosPrinValidos, SUM(--(_xlpm.puntosPrin&gt;1)),
    _xlpm.puntosTer, _xlfn._xlws.FILTER(J:J + B:B/1000, A:A=A5),
    _xlpm.puntosTerValidos, SUM(--(_xlpm.puntosTer&gt;1)),
    _xlpm.clave, M5 + B5/1000,
    _xlpm.claves, _xlfn._xlws.FILTER(M:M + B:B/1000, A:A=A5),
    IF(AND(_xlpm.puntosPrinValidos&gt;=4,_xlpm.puntosTerValidos&gt;=2),IF(
        SUM(--(_xlpm.claves &gt; _xlpm.clave)) &lt; 4,
        C5,
        F5
    ),"No disp")
)</f>
        <v>No disp</v>
      </c>
      <c r="S5" s="14" cm="1">
        <f t="array" aca="1" ref="S5" ca="1">_xlfn.LET(
    _xlpm.ptsPrinBase, _xlfn._xlws.FILTER(G:G, A:A=A5),
    _xlpm.ptsSecBase,  _xlfn._xlws.FILTER(H:H, A:A=A5),
    _xlpm.puntosPrin, _xlpm.ptsPrinBase + _xlfn._xlws.FILTER(B:B, A:A=A5)/1000,
    _xlpm.puntosSec,  _xlpm.ptsSecBase  + _xlfn._xlws.FILTER(B:B, A:A=A5)/1000,
    _xlpm.puntosPrinValidos, SUM(--(_xlpm.ptsPrinBase&gt;0)),
    _xlpm.puntosSecValidos,  SUM(--(_xlpm.ptsSecBase&gt;0)),
    _xlpm.clave, K5 + B5/1000,
    _xlpm.claves, _xlfn._xlws.FILTER(K:K + B:B/1000, A:A=A5),
    IF(
        AND(_xlpm.puntosPrinValidos&gt;=2, _xlpm.puntosSecValidos&gt;=4),
        IF(
            SUM(--(_xlpm.claves &lt; _xlpm.clave)) &lt; 4,
            D5,
            C5
        ),
        "No disp"
    )
)</f>
        <v>17</v>
      </c>
      <c r="T5" s="14" cm="1">
        <f t="array" ref="T5">_xlfn.LET(
    _xlpm.puntosSec, _xlfn._xlws.FILTER(H:H + B:B/1000, A:A=A5),
    _xlpm.puntosSecValidos, SUM(--(_xlpm.puntosSec&gt;1)),
    _xlpm.puntosAlt, _xlfn._xlws.FILTER(I:I + B:B/1000, A:A=A5),
    _xlpm.puntosAltValidos, SUM(--(_xlpm.puntosAlt&gt;1)),
    _xlpm.clave, N5 + B5/1000,
    _xlpm.claves, _xlfn._xlws.FILTER(N:N + B:B/1000, A:A=A5),
    IF(AND(_xlpm.puntosSecValidos&gt;=4,_xlpm.puntosAltValidos&gt;=2),IF(
        SUM(--(_xlpm.claves &gt; _xlpm.clave)) &lt; 4,
        D5,
        E5
    ),"No disp")
)</f>
        <v>247</v>
      </c>
      <c r="U5" s="14" t="str" cm="1">
        <f t="array" aca="1" ref="U5" ca="1">_xlfn.LET(
    _xlpm.puntosSec, _xlfn._xlws.FILTER(H:H + B:B/1000, A:A=A5),
    _xlpm.puntosSecValidos, SUM(--(_xlpm.puntosSec&gt;1)),
    _xlpm.puntosAlt, _xlfn._xlws.FILTER(J:J + B:B/1000, A:A=A5),
    _xlpm.puntosAltValidos, SUM(--(_xlpm.puntosAlt&gt;1)),
    _xlpm.clave, O5 + B5/1000,
    _xlpm.claves, _xlfn._xlws.FILTER(O:O + B:B/1000, A:A=A5),
    IF(AND(_xlpm.puntosSecValidos&gt;=4,_xlpm.puntosAltValidos&gt;=2),IF(
        SUM(--(_xlpm.claves &gt; _xlpm.clave)) &lt; 4,
        D5,
        F5
    ),"No disp")
)</f>
        <v>No disp</v>
      </c>
      <c r="V5" s="4" cm="1">
        <f t="array" aca="1" ref="V5" ca="1">_xlfn.LET(
_xlpm.PrinIDs,_xlfn._xlws.FILTER(C:C,(A:A=A5)),
_xlpm.SecIDs,_xlfn._xlws.FILTER(D:D,(A:A=A5)),
_xlpm.TerIDs,_xlfn._xlws.FILTER(E:E,A:A=A5),
_xlpm.CuaIDs,_xlfn._xlws.FILTER(F:F,(A:A=A5)),
_xlpm.PrinPts,_xlfn._xlws.FILTER(G:G,(A:A=A5)),
_xlpm.SecPts,_xlfn._xlws.FILTER(H:H,(A:A=A5)),
_xlpm.TerPts,_xlfn._xlws.FILTER(I:I,(A:A=A5)),
_xlpm.CuaPts,_xlfn._xlws.FILTER(J:J,(A:A=A5)),
_xlpm.PSIds,_xlfn._xlws.FILTER(P:P,A:A=A5),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679.59</v>
      </c>
      <c r="W5" s="4" cm="1">
        <f t="array" aca="1" ref="W5" ca="1">_xlfn.LET(
_xlpm.PrinIDs,_xlfn._xlws.FILTER(C:C,(A:A=A5)),
_xlpm.SecIDs,_xlfn._xlws.FILTER(D:D,(A:A=A5)),
_xlpm.TerIDs,_xlfn._xlws.FILTER(E:E,A:A=A5),
_xlpm.CuaIDs,_xlfn._xlws.FILTER(F:F,(A:A=A5)),
_xlpm.PrinPts,_xlfn._xlws.FILTER(G:G,(A:A=A5)),
_xlpm.SecPts,_xlfn._xlws.FILTER(H:H,(A:A=A5)),
_xlpm.TerPts,_xlfn._xlws.FILTER(I:I,(A:A=A5)),
_xlpm.CuaPts,_xlfn._xlws.FILTER(J:J,(A:A=A5)),
_xlpm.PTIds,_xlfn._xlws.FILTER(Q:Q,A:A=A5),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640.8900000000001</v>
      </c>
      <c r="X5" s="4" cm="1">
        <f t="array" aca="1" ref="X5" ca="1">_xlfn.LET(
_xlpm.PrinIDs,_xlfn._xlws.FILTER(C:C,(A:A=A5)),
_xlpm.SecIDs,_xlfn._xlws.FILTER(D:D,(A:A=A5)),
_xlpm.TerIDs,_xlfn._xlws.FILTER(E:E,A:A=A5),
_xlpm.CuaIDs,_xlfn._xlws.FILTER(F:F,(A:A=A5)),
_xlpm.PrinPts,_xlfn._xlws.FILTER(G:G,(A:A=A5)),
_xlpm.SecPts,_xlfn._xlws.FILTER(H:H,(A:A=A5)),
_xlpm.TerPts,_xlfn._xlws.FILTER(I:I,(A:A=A5)),
_xlpm.CuaPts,_xlfn._xlws.FILTER(J:J,(A:A=A5)),
_xlpm.PCIds,_xlfn._xlws.FILTER(R:R,A:A=A5),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5" s="4" cm="1">
        <f t="array" aca="1" ref="Y5" ca="1">_xlfn.LET(
_xlpm.PrinIDs,_xlfn._xlws.FILTER(C:C,(A:A=A5)),
_xlpm.SecIDs,_xlfn._xlws.FILTER(D:D,(A:A=A5)),
_xlpm.AltIDs,_xlfn._xlws.FILTER(E:E,A:A=A5),
_xlpm.PrinPts,_xlfn._xlws.FILTER(G:G,(A:A=A5)),
_xlpm.SecPts,_xlfn._xlws.FILTER(H:H,(A:A=A5)),
_xlpm.AltPts,_xlfn._xlws.FILTER(I:I,(A:A=A5)),
_xlpm.SPIds,_xlfn._xlws.FILTER(S:S,A:A=A5),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629.1</v>
      </c>
      <c r="Z5" s="4" cm="1">
        <f t="array" aca="1" ref="Z5" ca="1">_xlfn.LET(
_xlpm.PrinIDs,_xlfn._xlws.FILTER(C:C,(A:A=A5)),
_xlpm.SecIDs,_xlfn._xlws.FILTER(D:D,(A:A=A5)),
_xlpm.TerIDs,_xlfn._xlws.FILTER(E:E,A:A=A5),
_xlpm.CuaIDs,_xlfn._xlws.FILTER(F:F,(A:A=A5)),
_xlpm.PrinPts,_xlfn._xlws.FILTER(G:G,(A:A=A5)),
_xlpm.SecPts,_xlfn._xlws.FILTER(H:H,(A:A=A5)),
_xlpm.TerPts,_xlfn._xlws.FILTER(I:I,(A:A=A5)),
_xlpm.CuaPts,_xlfn._xlws.FILTER(J:J,(A:A=A5)),
_xlpm.STIds,_xlfn._xlws.FILTER(T:T,A:A=A5),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557.19000000000005</v>
      </c>
      <c r="AA5" s="4" cm="1">
        <f t="array" aca="1" ref="AA5" ca="1">_xlfn.LET(
_xlpm.PrinIDs,_xlfn._xlws.FILTER(C:C,(A:A=A5)),
_xlpm.SecIDs,_xlfn._xlws.FILTER(D:D,(A:A=A5)),
_xlpm.TerIDs,_xlfn._xlws.FILTER(E:E,A:A=A5),
_xlpm.CuaIDs,_xlfn._xlws.FILTER(F:F,(A:A=A5)),
_xlpm.PrinPts,_xlfn._xlws.FILTER(G:G,(A:A=A5)),
_xlpm.SecPts,_xlfn._xlws.FILTER(H:H,(A:A=A5)),
_xlpm.TerPts,_xlfn._xlws.FILTER(I:I,(A:A=A5)),
_xlpm.CuaPts,_xlfn._xlws.FILTER(J:J,(A:A=A5)),
_xlpm.SCIds,_xlfn._xlws.FILTER(U:U,A:A=A5),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5" s="14">
        <f t="shared" ca="1" si="3"/>
        <v>150</v>
      </c>
      <c r="AC5" s="14">
        <v>150</v>
      </c>
      <c r="AD5" s="4"/>
      <c r="AE5" s="14" t="str">
        <f ca="1">IF(ISNUMBER(AC5),
IF($B5=1,VLOOKUP($AC5,Inventario1!$A:$H,2),
IF($B5=2,VLOOKUP($AC5,Inventario2!$A:$H,2),
IF($B5=3,VLOOKUP($AC5,Inventario3!$A:$H,2),
IF($B5=4,VLOOKUP($AC5,Inventario4!$A:$H,2),
IF($B5=5,VLOOKUP($AC5,Inventario5!$A:$H,2),
VLOOKUP($AC5,Inventario6!$A:$H,2)
))))),"No equipado")</f>
        <v>Legendario</v>
      </c>
      <c r="AF5" s="14" t="str">
        <f ca="1">IF(ISNUMBER(AC5),
IF($B5=1,VLOOKUP($AC5,Inventario1!$A:$H,3),
IF($B5=2,VLOOKUP($AC5,Inventario2!$A:$H,3),
IF($B5=3,VLOOKUP($AC5,Inventario3!$A:$H,3),
IF($B5=4,VLOOKUP($AC5,Inventario4!$A:$H,3),
IF($B5=5,VLOOKUP($AC5,Inventario5!$A:$H,3),
VLOOKUP($AC5,Inventario6!$A:$H,3)
))))),"")</f>
        <v>Poder vibrante</v>
      </c>
      <c r="AG5" s="14" t="str">
        <f ca="1">IF(ISNUMBER(AC5),
IF($B5=1,VLOOKUP($AC5,Inventario1!$A:$H,4),
IF($B5=2,VLOOKUP($AC5,Inventario2!$A:$H,4),
IF($B5=3,VLOOKUP($AC5,Inventario3!$A:$H,4),
IF($B5=4,VLOOKUP($AC5,Inventario4!$A:$H,4),
IF($B5=5,VLOOKUP($AC5,Inventario5!$A:$H,4),
VLOOKUP($AC5,Inventario6!$A:$H,4)
))))),"")</f>
        <v>Recepción</v>
      </c>
      <c r="AH5" s="14" t="str">
        <f ca="1">IF(ISNUMBER(AC5),
IF($B5=1,VLOOKUP($AC5,Inventario1!$A:$H,5),
IF($B5=2,VLOOKUP($AC5,Inventario2!$A:$H,5),
IF($B5=3,VLOOKUP($AC5,Inventario3!$A:$H,5),
IF($B5=4,VLOOKUP($AC5,Inventario4!$A:$H,5),
IF($B5=5,VLOOKUP($AC5,Inventario5!$A:$H,5),
VLOOKUP($AC5,Inventario6!$A:$H,5)
))))),"")</f>
        <v>Saque</v>
      </c>
      <c r="AI5" s="14" t="str">
        <f ca="1">IF(ISNUMBER(AC5),
IF($B5=1,VLOOKUP($AC5,Inventario1!$A:$H,6),
IF($B5=2,VLOOKUP($AC5,Inventario2!$A:$H,6),
IF($B5=3,VLOOKUP($AC5,Inventario3!$A:$H,6),
IF($B5=4,VLOOKUP($AC5,Inventario4!$A:$H,6),
IF($B5=5,VLOOKUP($AC5,Inventario5!$A:$H,6),
VLOOKUP($AC5,Inventario6!$A:$H,6)
))))),"")</f>
        <v>Bloqueo</v>
      </c>
      <c r="AJ5" s="14" t="str">
        <f ca="1">IF(ISNUMBER(AC5),
IF($B5=1,VLOOKUP($AC5,Inventario1!$A:$H,7),
IF($B5=2,VLOOKUP($AC5,Inventario2!$A:$H,7),
IF($B5=3,VLOOKUP($AC5,Inventario3!$A:$H,7),
IF($B5=4,VLOOKUP($AC5,Inventario4!$A:$H,7),
IF($B5=5,VLOOKUP($AC5,Inventario5!$A:$H,7),
VLOOKUP($AC5,Inventario6!$A:$H,7)
))))),"")</f>
        <v>Ataque poderoso</v>
      </c>
      <c r="AK5" s="15" t="str">
        <f ca="1">IF(ISNUMBER(AC5),
IF($B5=1,VLOOKUP($AC5,Inventario1!$A:$H,8),
IF($B5=2,VLOOKUP($AC5,Inventario2!$A:$H,8),
IF($B5=3,VLOOKUP($AC5,Inventario3!$A:$H,8),
IF($B5=4,VLOOKUP($AC5,Inventario4!$A:$H,8),
IF($B5=5,VLOOKUP($AC5,Inventario5!$A:$H,8),
VLOOKUP($AC5,Inventario6!$A:$H,8)
))))),"")</f>
        <v>Ataque rápido</v>
      </c>
    </row>
    <row r="6" spans="1:37" x14ac:dyDescent="0.25">
      <c r="A6" s="13" t="s">
        <v>3</v>
      </c>
      <c r="B6" s="3">
        <v>5</v>
      </c>
      <c r="C6" s="14" cm="1">
        <f t="array" aca="1" ref="C6" ca="1">_xlfn.LET(
    _xlpm.jugador, A6,
    _xlpm.idSel, AC6,
    _xlpm.invIDs, IF(B6=1,Inventario1!A:A,IF(B6=2,Inventario2!A:A,IF(B6=3,Inventario3!A:A,IF(B6=4,Inventario4!A:A,IF(B6=5,Inventario5!A:A,Inventario6!A:A))))),
    _xlpm.invCalidad, IF(B6=1,Inventario1!B:B,IF(B6=2,Inventario2!B:B,IF(B6=3,Inventario3!B:B,IF(B6=4,Inventario4!B:B,IF(B6=5,Inventario5!B:B,Inventario6!B:B))))),
    _xlpm.invTipos, IF(B6=1,Inventario1!C:C,IF(B6=2,Inventario2!C:C,IF(B6=3,Inventario3!C:C,IF(B6=4,Inventario4!C:C,IF(B6=5,Inventario5!C:C,Inventario6!C:C))))),
    _xlpm.invStats, IF(B6=1,Inventario1!D:H,IF(B6=2,Inventario2!D:H,IF(B6=3,Inventario3!D:H,IF(B6=4,Inventario4!D:H,IF(B6=5,Inventario5!D:H,Inventario6!D:H))))),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IF(ROW(A6)=2,"",IF(_xlfn._xlws.FILTER(Equipar!AC$2:AC5,Equipar!B$2:B5=B6)={0},"",_xlfn._xlws.FILTER(Equipar!AC$2:AC5,Equipar!B$2:B5=B6))),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</v>
      </c>
      <c r="D6" s="4" cm="1">
        <f t="array" ref="D6">_xlfn.LET(
    _xlpm.jugador, A6,
    _xlpm.idSel, AC6,
    _xlpm.invIDs, IF(B6=1,Inventario1!A:A,IF(B6=2,Inventario2!A:A,IF(B6=3,Inventario3!A:A,IF(B6=4,Inventario4!A:A,IF(B6=5,Inventario5!A:A,Inventario6!A:A))))),
    _xlpm.invCalidad, IF(B6=1,Inventario1!B:B,IF(B6=2,Inventario2!B:B,IF(B6=3,Inventario3!B:B,IF(B6=4,Inventario4!B:B,IF(B6=5,Inventario5!B:B,Inventario6!B:B))))),
    _xlpm.invTipos, IF(B6=1,Inventario1!C:C,IF(B6=2,Inventario2!C:C,IF(B6=3,Inventario3!C:C,IF(B6=4,Inventario4!C:C,IF(B6=5,Inventario5!C:C,Inventario6!C:C))))),
    _xlpm.invStats, IF(B6=1,Inventario1!D:H,IF(B6=2,Inventario2!D:H,IF(B6=3,Inventario3!D:H,IF(B6=4,Inventario4!D:H,IF(B6=5,Inventario5!D:H,Inventario6!D:H))))),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IF(ROW(A6)=2,"",IF(_xlfn._xlws.FILTER(Equipar!AC$2:AC5,Equipar!B$2:B5=B6)={0},"",_xlfn._xlws.FILTER(Equipar!AC$2:AC5,Equipar!B$2:B5=B6))),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163</v>
      </c>
      <c r="E6" s="4" cm="1">
        <f t="array" ref="E6">_xlfn.LET(
    _xlpm.jugador, A6,
    _xlpm.idSel, AC6,
    _xlpm.invIDs, IF(B6=1,Inventario1!A:A,IF(B6=2,Inventario2!A:A,IF(B6=3,Inventario3!A:A,IF(B6=4,Inventario4!A:A,IF(B6=5,Inventario5!A:A,Inventario6!A:A))))),
    _xlpm.invCalidad, IF(B6=1,Inventario1!B:B,IF(B6=2,Inventario2!B:B,IF(B6=3,Inventario3!B:B,IF(B6=4,Inventario4!B:B,IF(B6=5,Inventario5!B:B,Inventario6!B:B))))),
    _xlpm.invTipos, IF(B6=1,Inventario1!C:C,IF(B6=2,Inventario2!C:C,IF(B6=3,Inventario3!C:C,IF(B6=4,Inventario4!C:C,IF(B6=5,Inventario5!C:C,Inventario6!C:C))))),
    _xlpm.invStats, IF(B6=1,Inventario1!D:H,IF(B6=2,Inventario2!D:H,IF(B6=3,Inventario3!D:H,IF(B6=4,Inventario4!D:H,IF(B6=5,Inventario5!D:H,Inventario6!D:H))))),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IF(ROW(A6)=2,"",IF(_xlfn._xlws.FILTER(Equipar!AC$2:AC5,Equipar!B$2:B5=B6)={0},"",_xlfn._xlws.FILTER(Equipar!AC$2:AC5,Equipar!B$2:B5=B6))),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230</v>
      </c>
      <c r="F6" s="4" t="str" cm="1">
        <f t="array" aca="1" ref="F6" ca="1">_xlfn.LET(
    _xlpm.jugador, B6,
    _xlpm.idSel, AD6,
    _xlpm.invIDs, IF(C6=1,Inventario1!B:B,IF(C6=2,Inventario2!B:B,IF(C6=3,Inventario3!B:B,IF(C6=4,Inventario4!B:B,IF(C6=5,Inventario5!B:B,Inventario6!B:B))))),
    _xlpm.invCalidad, IF(C6=1,Inventario1!C:C,IF(C6=2,Inventario2!C:C,IF(C6=3,Inventario3!C:C,IF(C6=4,Inventario4!C:C,IF(C6=5,Inventario5!C:C,Inventario6!C:C))))),
    _xlpm.invTipos, IF(C6=1,Inventario1!D:D,IF(C6=2,Inventario2!D:D,IF(C6=3,Inventario3!D:D,IF(C6=4,Inventario4!D:D,IF(C6=5,Inventario5!D:D,Inventario6!D:D))))),
    _xlpm.invStats, IF(C6=1,Inventario1!E:I,IF(C6=2,Inventario2!E:I,IF(C6=3,Inventario3!E:I,IF(C6=4,Inventario4!E:I,IF(C6=5,Inventario5!E:I,Inventario6!E:I))))),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IF(ROW(B6)=2,"",IF(_xlfn._xlws.FILTER(Equipar!AD$2:AD5,Equipar!C$2:C5=C6)={0},"",_xlfn._xlws.FILTER(Equipar!AD$2:AD5,Equipar!C$2:C5=C6))),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6" s="14" cm="1">
        <f t="array" aca="1" ref="G6" ca="1">_xlfn.LET(
    _xlpm.jugador, A6,
    _xlpm.idSel, AC6,
    _xlpm.invIDs, IF(B6=1,Inventario1!A:A,IF(B6=2,Inventario2!A:A,IF(B6=3,Inventario3!A:A,IF(B6=4,Inventario4!A:A,IF(B6=5,Inventario5!A:A,Inventario6!A:A))))),
    _xlpm.invCalidad, IF(B6=1,Inventario1!B:B,IF(B6=2,Inventario2!B:B,IF(B6=3,Inventario3!B:B,IF(B6=4,Inventario4!B:B,IF(B6=5,Inventario5!B:B,Inventario6!B:B))))),
    _xlpm.invTipos, IF(B6=1,Inventario1!C:C,IF(B6=2,Inventario2!C:C,IF(B6=3,Inventario3!C:C,IF(B6=4,Inventario4!C:C,IF(B6=5,Inventario5!C:C,Inventario6!C:C))))),
    _xlpm.invStats, IF(B6=1,Inventario1!D:H,IF(B6=2,Inventario2!D:H,IF(B6=3,Inventario3!D:H,IF(B6=4,Inventario4!D:H,IF(B6=5,Inventario5!D:H,Inventario6!D:H))))),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IF(ROW(A6)=2,"",IF(_xlfn._xlws.FILTER(Equipar!AC$2:AC5,Equipar!B$2:B5=B6)={0},"",_xlfn._xlws.FILTER(Equipar!AC$2:AC5,Equipar!B$2:B5=B6))),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H6" s="4" cm="1">
        <f t="array" ref="H6">_xlfn.LET(
    _xlpm.jugador, A6,
    _xlpm.idSel, AC6,
    _xlpm.invIDs, IF(B6=1,Inventario1!A:A,IF(B6=2,Inventario2!A:A,IF(B6=3,Inventario3!A:A,IF(B6=4,Inventario4!A:A,IF(B6=5,Inventario5!A:A,Inventario6!A:A))))),
    _xlpm.invCalidad, IF(B6=1,Inventario1!B:B,IF(B6=2,Inventario2!B:B,IF(B6=3,Inventario3!B:B,IF(B6=4,Inventario4!B:B,IF(B6=5,Inventario5!B:B,Inventario6!B:B))))),
    _xlpm.invTipos, IF(B6=1,Inventario1!C:C,IF(B6=2,Inventario2!C:C,IF(B6=3,Inventario3!C:C,IF(B6=4,Inventario4!C:C,IF(B6=5,Inventario5!C:C,Inventario6!C:C))))),
    _xlpm.invStats, IF(B6=1,Inventario1!D:H,IF(B6=2,Inventario2!D:H,IF(B6=3,Inventario3!D:H,IF(B6=4,Inventario4!D:H,IF(B6=5,Inventario5!D:H,Inventario6!D:H))))),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IF(ROW(A6)=2,"",IF(_xlfn._xlws.FILTER(Equipar!AC$2:AC5,Equipar!B$2:B5=B6)={0},"",_xlfn._xlws.FILTER(Equipar!AC$2:AC5,Equipar!B$2:B5=B6))),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I6" s="4" cm="1">
        <f t="array" ref="I6">_xlfn.LET(
    _xlpm.jugador, A6,
    _xlpm.idSel, AC6,
    _xlpm.invIDs, IF(B6=1,Inventario1!A:A,IF(B6=2,Inventario2!A:A,IF(B6=3,Inventario3!A:A,IF(B6=4,Inventario4!A:A,IF(B6=5,Inventario5!A:A,Inventario6!A:A))))),
    _xlpm.invCalidad, IF(B6=1,Inventario1!B:B,IF(B6=2,Inventario2!B:B,IF(B6=3,Inventario3!B:B,IF(B6=4,Inventario4!B:B,IF(B6=5,Inventario5!B:B,Inventario6!B:B))))),
    _xlpm.invTipos, IF(B6=1,Inventario1!C:C,IF(B6=2,Inventario2!C:C,IF(B6=3,Inventario3!C:C,IF(B6=4,Inventario4!C:C,IF(B6=5,Inventario5!C:C,Inventario6!C:C))))),
    _xlpm.invStats, IF(B6=1,Inventario1!D:H,IF(B6=2,Inventario2!D:H,IF(B6=3,Inventario3!D:H,IF(B6=4,Inventario4!D:H,IF(B6=5,Inventario5!D:H,Inventario6!D:H))))),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IF(ROW(A6)=2,"",IF(_xlfn._xlws.FILTER(Equipar!AC$2:AC5,Equipar!B$2:B5=B6)={0},"",_xlfn._xlws.FILTER(Equipar!AC$2:AC5,Equipar!B$2:B5=B6))),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J6" s="4" cm="1">
        <f t="array" aca="1" ref="J6" ca="1">_xlfn.LET(
    _xlpm.jugador, B6,
    _xlpm.idSel, AD6,
    _xlpm.invIDs, IF(C6=1,Inventario1!B:B,IF(C6=2,Inventario2!B:B,IF(C6=3,Inventario3!B:B,IF(C6=4,Inventario4!B:B,IF(C6=5,Inventario5!B:B,Inventario6!B:B))))),
    _xlpm.invCalidad, IF(C6=1,Inventario1!C:C,IF(C6=2,Inventario2!C:C,IF(C6=3,Inventario3!C:C,IF(C6=4,Inventario4!C:C,IF(C6=5,Inventario5!C:C,Inventario6!C:C))))),
    _xlpm.invTipos, IF(C6=1,Inventario1!D:D,IF(C6=2,Inventario2!D:D,IF(C6=3,Inventario3!D:D,IF(C6=4,Inventario4!D:D,IF(C6=5,Inventario5!D:D,Inventario6!D:D))))),
    _xlpm.invStats, IF(C6=1,Inventario1!E:I,IF(C6=2,Inventario2!E:I,IF(C6=3,Inventario3!E:I,IF(C6=4,Inventario4!E:I,IF(C6=5,Inventario5!E:I,Inventario6!E:I))))),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IF(ROW(B6)=2,"",IF(_xlfn._xlws.FILTER(Equipar!AD$2:AD5,Equipar!C$2:C5=C6)={0},"",_xlfn._xlws.FILTER(Equipar!AD$2:AD5,Equipar!C$2:C5=C6))),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6" s="4">
        <f t="shared" ca="1" si="0"/>
        <v>47.7</v>
      </c>
      <c r="L6" s="4">
        <f t="shared" ca="1" si="1"/>
        <v>47.879999999999995</v>
      </c>
      <c r="M6" s="4">
        <f t="shared" ca="1" si="1"/>
        <v>72</v>
      </c>
      <c r="N6" s="4">
        <f t="shared" si="2"/>
        <v>0.17999999999999261</v>
      </c>
      <c r="O6" s="4">
        <f t="shared" ca="1" si="2"/>
        <v>71.820000000000007</v>
      </c>
      <c r="P6" s="14" cm="1">
        <f t="array" aca="1" ref="P6" ca="1">_xlfn.LET(
    _xlpm.ptsPrinBase, _xlfn._xlws.FILTER(G:G, A:A=A6),
    _xlpm.ptsSecBase,  _xlfn._xlws.FILTER(H:H, A:A=A6),
    _xlpm.puntosPrin, _xlpm.ptsPrinBase + _xlfn._xlws.FILTER(B:B, A:A=A6)/1000,
    _xlpm.puntosSec,  _xlpm.ptsSecBase  + _xlfn._xlws.FILTER(B:B, A:A=A6)/1000,
    _xlpm.puntosPrinValidos, SUM(--(_xlpm.ptsPrinBase&gt;0)),
    _xlpm.puntosSecValidos,  SUM(--(_xlpm.ptsSecBase&gt;0)),
    _xlpm.clave, K6 + B6/1000,
    _xlpm.claves, _xlfn._xlws.FILTER(K:K + B:B/1000, A:A=A6),
    IF(AND(_xlpm.puntosPrinValidos&gt;=4,_xlpm.puntosSecValidos&gt;=2),IF(
        SUM(--(_xlpm.claves &gt; _xlpm.clave)) &lt; 4,
        C6,
        D6
    ),"No disp")
)</f>
        <v>3</v>
      </c>
      <c r="Q6" s="14" cm="1">
        <f t="array" aca="1" ref="Q6" ca="1">_xlfn.LET(
    _xlpm.puntosPrin, _xlfn._xlws.FILTER(G:G + B:B/1000, A:A=A6),
    _xlpm.puntosPrinValidos, SUM(--(_xlpm.puntosPrin&gt;1)),
    _xlpm.puntosTer, _xlfn._xlws.FILTER(I:I + B:B/1000, A:A=A6),
    _xlpm.puntosTerValidos, SUM(--(_xlpm.puntosTer&gt;1)),
    _xlpm.clave, L6 + B6/1000,
    _xlpm.claves, _xlfn._xlws.FILTER(L:L + B:B/1000, A:A=A6),
    IF(AND(_xlpm.puntosPrinValidos&gt;=4,_xlpm.puntosTerValidos&gt;=2),IF(
        SUM(--(_xlpm.claves &gt; _xlpm.clave)) &lt; 4,
        C6,
        E6
    ),"No disp")
)</f>
        <v>3</v>
      </c>
      <c r="R6" s="14" t="str" cm="1">
        <f t="array" aca="1" ref="R6" ca="1">_xlfn.LET(
    _xlpm.puntosPrin, _xlfn._xlws.FILTER(G:G + B:B/1000, A:A=A6),
    _xlpm.puntosPrinValidos, SUM(--(_xlpm.puntosPrin&gt;1)),
    _xlpm.puntosTer, _xlfn._xlws.FILTER(J:J + B:B/1000, A:A=A6),
    _xlpm.puntosTerValidos, SUM(--(_xlpm.puntosTer&gt;1)),
    _xlpm.clave, M6 + B6/1000,
    _xlpm.claves, _xlfn._xlws.FILTER(M:M + B:B/1000, A:A=A6),
    IF(AND(_xlpm.puntosPrinValidos&gt;=4,_xlpm.puntosTerValidos&gt;=2),IF(
        SUM(--(_xlpm.claves &gt; _xlpm.clave)) &lt; 4,
        C6,
        F6
    ),"No disp")
)</f>
        <v>No disp</v>
      </c>
      <c r="S6" s="14" cm="1">
        <f t="array" aca="1" ref="S6" ca="1">_xlfn.LET(
    _xlpm.ptsPrinBase, _xlfn._xlws.FILTER(G:G, A:A=A6),
    _xlpm.ptsSecBase,  _xlfn._xlws.FILTER(H:H, A:A=A6),
    _xlpm.puntosPrin, _xlpm.ptsPrinBase + _xlfn._xlws.FILTER(B:B, A:A=A6)/1000,
    _xlpm.puntosSec,  _xlpm.ptsSecBase  + _xlfn._xlws.FILTER(B:B, A:A=A6)/1000,
    _xlpm.puntosPrinValidos, SUM(--(_xlpm.ptsPrinBase&gt;0)),
    _xlpm.puntosSecValidos,  SUM(--(_xlpm.ptsSecBase&gt;0)),
    _xlpm.clave, K6 + B6/1000,
    _xlpm.claves, _xlfn._xlws.FILTER(K:K + B:B/1000, A:A=A6),
    IF(
        AND(_xlpm.puntosPrinValidos&gt;=2, _xlpm.puntosSecValidos&gt;=4),
        IF(
            SUM(--(_xlpm.claves &lt; _xlpm.clave)) &lt; 4,
            D6,
            C6
        ),
        "No disp"
    )
)</f>
        <v>3</v>
      </c>
      <c r="T6" s="14" cm="1">
        <f t="array" ref="T6">_xlfn.LET(
    _xlpm.puntosSec, _xlfn._xlws.FILTER(H:H + B:B/1000, A:A=A6),
    _xlpm.puntosSecValidos, SUM(--(_xlpm.puntosSec&gt;1)),
    _xlpm.puntosAlt, _xlfn._xlws.FILTER(I:I + B:B/1000, A:A=A6),
    _xlpm.puntosAltValidos, SUM(--(_xlpm.puntosAlt&gt;1)),
    _xlpm.clave, N6 + B6/1000,
    _xlpm.claves, _xlfn._xlws.FILTER(N:N + B:B/1000, A:A=A6),
    IF(AND(_xlpm.puntosSecValidos&gt;=4,_xlpm.puntosAltValidos&gt;=2),IF(
        SUM(--(_xlpm.claves &gt; _xlpm.clave)) &lt; 4,
        D6,
        E6
    ),"No disp")
)</f>
        <v>163</v>
      </c>
      <c r="U6" s="14" t="str" cm="1">
        <f t="array" aca="1" ref="U6" ca="1">_xlfn.LET(
    _xlpm.puntosSec, _xlfn._xlws.FILTER(H:H + B:B/1000, A:A=A6),
    _xlpm.puntosSecValidos, SUM(--(_xlpm.puntosSec&gt;1)),
    _xlpm.puntosAlt, _xlfn._xlws.FILTER(J:J + B:B/1000, A:A=A6),
    _xlpm.puntosAltValidos, SUM(--(_xlpm.puntosAlt&gt;1)),
    _xlpm.clave, O6 + B6/1000,
    _xlpm.claves, _xlfn._xlws.FILTER(O:O + B:B/1000, A:A=A6),
    IF(AND(_xlpm.puntosSecValidos&gt;=4,_xlpm.puntosAltValidos&gt;=2),IF(
        SUM(--(_xlpm.claves &gt; _xlpm.clave)) &lt; 4,
        D6,
        F6
    ),"No disp")
)</f>
        <v>No disp</v>
      </c>
      <c r="V6" s="4" cm="1">
        <f t="array" aca="1" ref="V6" ca="1">_xlfn.LET(
_xlpm.PrinIDs,_xlfn._xlws.FILTER(C:C,(A:A=A6)),
_xlpm.SecIDs,_xlfn._xlws.FILTER(D:D,(A:A=A6)),
_xlpm.TerIDs,_xlfn._xlws.FILTER(E:E,A:A=A6),
_xlpm.CuaIDs,_xlfn._xlws.FILTER(F:F,(A:A=A6)),
_xlpm.PrinPts,_xlfn._xlws.FILTER(G:G,(A:A=A6)),
_xlpm.SecPts,_xlfn._xlws.FILTER(H:H,(A:A=A6)),
_xlpm.TerPts,_xlfn._xlws.FILTER(I:I,(A:A=A6)),
_xlpm.CuaPts,_xlfn._xlws.FILTER(J:J,(A:A=A6)),
_xlpm.PSIds,_xlfn._xlws.FILTER(P:P,A:A=A6),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679.59</v>
      </c>
      <c r="W6" s="4" cm="1">
        <f t="array" aca="1" ref="W6" ca="1">_xlfn.LET(
_xlpm.PrinIDs,_xlfn._xlws.FILTER(C:C,(A:A=A6)),
_xlpm.SecIDs,_xlfn._xlws.FILTER(D:D,(A:A=A6)),
_xlpm.TerIDs,_xlfn._xlws.FILTER(E:E,A:A=A6),
_xlpm.CuaIDs,_xlfn._xlws.FILTER(F:F,(A:A=A6)),
_xlpm.PrinPts,_xlfn._xlws.FILTER(G:G,(A:A=A6)),
_xlpm.SecPts,_xlfn._xlws.FILTER(H:H,(A:A=A6)),
_xlpm.TerPts,_xlfn._xlws.FILTER(I:I,(A:A=A6)),
_xlpm.CuaPts,_xlfn._xlws.FILTER(J:J,(A:A=A6)),
_xlpm.PTIds,_xlfn._xlws.FILTER(Q:Q,A:A=A6),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640.8900000000001</v>
      </c>
      <c r="X6" s="4" cm="1">
        <f t="array" aca="1" ref="X6" ca="1">_xlfn.LET(
_xlpm.PrinIDs,_xlfn._xlws.FILTER(C:C,(A:A=A6)),
_xlpm.SecIDs,_xlfn._xlws.FILTER(D:D,(A:A=A6)),
_xlpm.TerIDs,_xlfn._xlws.FILTER(E:E,A:A=A6),
_xlpm.CuaIDs,_xlfn._xlws.FILTER(F:F,(A:A=A6)),
_xlpm.PrinPts,_xlfn._xlws.FILTER(G:G,(A:A=A6)),
_xlpm.SecPts,_xlfn._xlws.FILTER(H:H,(A:A=A6)),
_xlpm.TerPts,_xlfn._xlws.FILTER(I:I,(A:A=A6)),
_xlpm.CuaPts,_xlfn._xlws.FILTER(J:J,(A:A=A6)),
_xlpm.PCIds,_xlfn._xlws.FILTER(R:R,A:A=A6),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6" s="4" cm="1">
        <f t="array" aca="1" ref="Y6" ca="1">_xlfn.LET(
_xlpm.PrinIDs,_xlfn._xlws.FILTER(C:C,(A:A=A6)),
_xlpm.SecIDs,_xlfn._xlws.FILTER(D:D,(A:A=A6)),
_xlpm.AltIDs,_xlfn._xlws.FILTER(E:E,A:A=A6),
_xlpm.PrinPts,_xlfn._xlws.FILTER(G:G,(A:A=A6)),
_xlpm.SecPts,_xlfn._xlws.FILTER(H:H,(A:A=A6)),
_xlpm.AltPts,_xlfn._xlws.FILTER(I:I,(A:A=A6)),
_xlpm.SPIds,_xlfn._xlws.FILTER(S:S,A:A=A6),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629.1</v>
      </c>
      <c r="Z6" s="4" cm="1">
        <f t="array" aca="1" ref="Z6" ca="1">_xlfn.LET(
_xlpm.PrinIDs,_xlfn._xlws.FILTER(C:C,(A:A=A6)),
_xlpm.SecIDs,_xlfn._xlws.FILTER(D:D,(A:A=A6)),
_xlpm.TerIDs,_xlfn._xlws.FILTER(E:E,A:A=A6),
_xlpm.CuaIDs,_xlfn._xlws.FILTER(F:F,(A:A=A6)),
_xlpm.PrinPts,_xlfn._xlws.FILTER(G:G,(A:A=A6)),
_xlpm.SecPts,_xlfn._xlws.FILTER(H:H,(A:A=A6)),
_xlpm.TerPts,_xlfn._xlws.FILTER(I:I,(A:A=A6)),
_xlpm.CuaPts,_xlfn._xlws.FILTER(J:J,(A:A=A6)),
_xlpm.STIds,_xlfn._xlws.FILTER(T:T,A:A=A6),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557.19000000000005</v>
      </c>
      <c r="AA6" s="4" cm="1">
        <f t="array" aca="1" ref="AA6" ca="1">_xlfn.LET(
_xlpm.PrinIDs,_xlfn._xlws.FILTER(C:C,(A:A=A6)),
_xlpm.SecIDs,_xlfn._xlws.FILTER(D:D,(A:A=A6)),
_xlpm.TerIDs,_xlfn._xlws.FILTER(E:E,A:A=A6),
_xlpm.CuaIDs,_xlfn._xlws.FILTER(F:F,(A:A=A6)),
_xlpm.PrinPts,_xlfn._xlws.FILTER(G:G,(A:A=A6)),
_xlpm.SecPts,_xlfn._xlws.FILTER(H:H,(A:A=A6)),
_xlpm.TerPts,_xlfn._xlws.FILTER(I:I,(A:A=A6)),
_xlpm.CuaPts,_xlfn._xlws.FILTER(J:J,(A:A=A6)),
_xlpm.SCIds,_xlfn._xlws.FILTER(U:U,A:A=A6),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6" s="14">
        <f t="shared" ca="1" si="3"/>
        <v>3</v>
      </c>
      <c r="AC6" s="14">
        <v>3</v>
      </c>
      <c r="AD6" s="4"/>
      <c r="AE6" s="14" t="str">
        <f ca="1">IF(ISNUMBER(AC6),
IF($B6=1,VLOOKUP($AC6,Inventario1!$A:$H,2),
IF($B6=2,VLOOKUP($AC6,Inventario2!$A:$H,2),
IF($B6=3,VLOOKUP($AC6,Inventario3!$A:$H,2),
IF($B6=4,VLOOKUP($AC6,Inventario4!$A:$H,2),
IF($B6=5,VLOOKUP($AC6,Inventario5!$A:$H,2),
VLOOKUP($AC6,Inventario6!$A:$H,2)
))))),"No equipado")</f>
        <v>Legendario</v>
      </c>
      <c r="AF6" s="14" t="str">
        <f ca="1">IF(ISNUMBER(AC6),
IF($B6=1,VLOOKUP($AC6,Inventario1!$A:$H,3),
IF($B6=2,VLOOKUP($AC6,Inventario2!$A:$H,3),
IF($B6=3,VLOOKUP($AC6,Inventario3!$A:$H,3),
IF($B6=4,VLOOKUP($AC6,Inventario4!$A:$H,3),
IF($B6=5,VLOOKUP($AC6,Inventario5!$A:$H,3),
VLOOKUP($AC6,Inventario6!$A:$H,3)
))))),"")</f>
        <v>Poder vibrante</v>
      </c>
      <c r="AG6" s="14" t="str">
        <f ca="1">IF(ISNUMBER(AC6),
IF($B6=1,VLOOKUP($AC6,Inventario1!$A:$H,4),
IF($B6=2,VLOOKUP($AC6,Inventario2!$A:$H,4),
IF($B6=3,VLOOKUP($AC6,Inventario3!$A:$H,4),
IF($B6=4,VLOOKUP($AC6,Inventario4!$A:$H,4),
IF($B6=5,VLOOKUP($AC6,Inventario5!$A:$H,4),
VLOOKUP($AC6,Inventario6!$A:$H,4)
))))),"")</f>
        <v>Recepción</v>
      </c>
      <c r="AH6" s="14" t="str">
        <f ca="1">IF(ISNUMBER(AC6),
IF($B6=1,VLOOKUP($AC6,Inventario1!$A:$H,5),
IF($B6=2,VLOOKUP($AC6,Inventario2!$A:$H,5),
IF($B6=3,VLOOKUP($AC6,Inventario3!$A:$H,5),
IF($B6=4,VLOOKUP($AC6,Inventario4!$A:$H,5),
IF($B6=5,VLOOKUP($AC6,Inventario5!$A:$H,5),
VLOOKUP($AC6,Inventario6!$A:$H,5)
))))),"")</f>
        <v>Ataque poderoso</v>
      </c>
      <c r="AI6" s="14" t="str">
        <f ca="1">IF(ISNUMBER(AC6),
IF($B6=1,VLOOKUP($AC6,Inventario1!$A:$H,6),
IF($B6=2,VLOOKUP($AC6,Inventario2!$A:$H,6),
IF($B6=3,VLOOKUP($AC6,Inventario3!$A:$H,6),
IF($B6=4,VLOOKUP($AC6,Inventario4!$A:$H,6),
IF($B6=5,VLOOKUP($AC6,Inventario5!$A:$H,6),
VLOOKUP($AC6,Inventario6!$A:$H,6)
))))),"")</f>
        <v>Saque</v>
      </c>
      <c r="AJ6" s="14" t="str">
        <f ca="1">IF(ISNUMBER(AC6),
IF($B6=1,VLOOKUP($AC6,Inventario1!$A:$H,7),
IF($B6=2,VLOOKUP($AC6,Inventario2!$A:$H,7),
IF($B6=3,VLOOKUP($AC6,Inventario3!$A:$H,7),
IF($B6=4,VLOOKUP($AC6,Inventario4!$A:$H,7),
IF($B6=5,VLOOKUP($AC6,Inventario5!$A:$H,7),
VLOOKUP($AC6,Inventario6!$A:$H,7)
))))),"")</f>
        <v>Percepción</v>
      </c>
      <c r="AK6" s="15" t="str">
        <f ca="1">IF(ISNUMBER(AC6),
IF($B6=1,VLOOKUP($AC6,Inventario1!$A:$H,8),
IF($B6=2,VLOOKUP($AC6,Inventario2!$A:$H,8),
IF($B6=3,VLOOKUP($AC6,Inventario3!$A:$H,8),
IF($B6=4,VLOOKUP($AC6,Inventario4!$A:$H,8),
IF($B6=5,VLOOKUP($AC6,Inventario5!$A:$H,8),
VLOOKUP($AC6,Inventario6!$A:$H,8)
))))),"")</f>
        <v>Bloqueo</v>
      </c>
    </row>
    <row r="7" spans="1:37" ht="15.75" thickBot="1" x14ac:dyDescent="0.3">
      <c r="A7" s="16" t="s">
        <v>3</v>
      </c>
      <c r="B7" s="17">
        <v>6</v>
      </c>
      <c r="C7" s="18" cm="1">
        <f t="array" aca="1" ref="C7" ca="1">_xlfn.LET(
    _xlpm.jugador, A7,
    _xlpm.idSel, AC7,
    _xlpm.invIDs, IF(B7=1,Inventario1!A:A,IF(B7=2,Inventario2!A:A,IF(B7=3,Inventario3!A:A,IF(B7=4,Inventario4!A:A,IF(B7=5,Inventario5!A:A,Inventario6!A:A))))),
    _xlpm.invCalidad, IF(B7=1,Inventario1!B:B,IF(B7=2,Inventario2!B:B,IF(B7=3,Inventario3!B:B,IF(B7=4,Inventario4!B:B,IF(B7=5,Inventario5!B:B,Inventario6!B:B))))),
    _xlpm.invTipos, IF(B7=1,Inventario1!C:C,IF(B7=2,Inventario2!C:C,IF(B7=3,Inventario3!C:C,IF(B7=4,Inventario4!C:C,IF(B7=5,Inventario5!C:C,Inventario6!C:C))))),
    _xlpm.invStats, IF(B7=1,Inventario1!D:H,IF(B7=2,Inventario2!D:H,IF(B7=3,Inventario3!D:H,IF(B7=4,Inventario4!D:H,IF(B7=5,Inventario5!D:H,Inventario6!D:H))))),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IF(ROW(A7)=2,"",IF(_xlfn._xlws.FILTER(Equipar!AC$2:AC6,Equipar!B$2:B6=B7)={0},"",_xlfn._xlws.FILTER(Equipar!AC$2:AC6,Equipar!B$2:B6=B7))),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</v>
      </c>
      <c r="D7" s="17" cm="1">
        <f t="array" ref="D7">_xlfn.LET(
    _xlpm.jugador, A7,
    _xlpm.idSel, AC7,
    _xlpm.invIDs, IF(B7=1,Inventario1!A:A,IF(B7=2,Inventario2!A:A,IF(B7=3,Inventario3!A:A,IF(B7=4,Inventario4!A:A,IF(B7=5,Inventario5!A:A,Inventario6!A:A))))),
    _xlpm.invCalidad, IF(B7=1,Inventario1!B:B,IF(B7=2,Inventario2!B:B,IF(B7=3,Inventario3!B:B,IF(B7=4,Inventario4!B:B,IF(B7=5,Inventario5!B:B,Inventario6!B:B))))),
    _xlpm.invTipos, IF(B7=1,Inventario1!C:C,IF(B7=2,Inventario2!C:C,IF(B7=3,Inventario3!C:C,IF(B7=4,Inventario4!C:C,IF(B7=5,Inventario5!C:C,Inventario6!C:C))))),
    _xlpm.invStats, IF(B7=1,Inventario1!D:H,IF(B7=2,Inventario2!D:H,IF(B7=3,Inventario3!D:H,IF(B7=4,Inventario4!D:H,IF(B7=5,Inventario5!D:H,Inventario6!D:H))))),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IF(ROW(A7)=2,"",IF(_xlfn._xlws.FILTER(Equipar!AC$2:AC6,Equipar!B$2:B6=B7)={0},"",_xlfn._xlws.FILTER(Equipar!AC$2:AC6,Equipar!B$2:B6=B7))),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</v>
      </c>
      <c r="E7" s="17" cm="1">
        <f t="array" ref="E7">_xlfn.LET(
    _xlpm.jugador, A7,
    _xlpm.idSel, AC7,
    _xlpm.invIDs, IF(B7=1,Inventario1!A:A,IF(B7=2,Inventario2!A:A,IF(B7=3,Inventario3!A:A,IF(B7=4,Inventario4!A:A,IF(B7=5,Inventario5!A:A,Inventario6!A:A))))),
    _xlpm.invCalidad, IF(B7=1,Inventario1!B:B,IF(B7=2,Inventario2!B:B,IF(B7=3,Inventario3!B:B,IF(B7=4,Inventario4!B:B,IF(B7=5,Inventario5!B:B,Inventario6!B:B))))),
    _xlpm.invTipos, IF(B7=1,Inventario1!C:C,IF(B7=2,Inventario2!C:C,IF(B7=3,Inventario3!C:C,IF(B7=4,Inventario4!C:C,IF(B7=5,Inventario5!C:C,Inventario6!C:C))))),
    _xlpm.invStats, IF(B7=1,Inventario1!D:H,IF(B7=2,Inventario2!D:H,IF(B7=3,Inventario3!D:H,IF(B7=4,Inventario4!D:H,IF(B7=5,Inventario5!D:H,Inventario6!D:H))))),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IF(ROW(A7)=2,"",IF(_xlfn._xlws.FILTER(Equipar!AC$2:AC6,Equipar!B$2:B6=B7)={0},"",_xlfn._xlws.FILTER(Equipar!AC$2:AC6,Equipar!B$2:B6=B7))),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254</v>
      </c>
      <c r="F7" s="17" t="str" cm="1">
        <f t="array" aca="1" ref="F7" ca="1">_xlfn.LET(
    _xlpm.jugador, B7,
    _xlpm.idSel, AD7,
    _xlpm.invIDs, IF(C7=1,Inventario1!B:B,IF(C7=2,Inventario2!B:B,IF(C7=3,Inventario3!B:B,IF(C7=4,Inventario4!B:B,IF(C7=5,Inventario5!B:B,Inventario6!B:B))))),
    _xlpm.invCalidad, IF(C7=1,Inventario1!C:C,IF(C7=2,Inventario2!C:C,IF(C7=3,Inventario3!C:C,IF(C7=4,Inventario4!C:C,IF(C7=5,Inventario5!C:C,Inventario6!C:C))))),
    _xlpm.invTipos, IF(C7=1,Inventario1!D:D,IF(C7=2,Inventario2!D:D,IF(C7=3,Inventario3!D:D,IF(C7=4,Inventario4!D:D,IF(C7=5,Inventario5!D:D,Inventario6!D:D))))),
    _xlpm.invStats, IF(C7=1,Inventario1!E:I,IF(C7=2,Inventario2!E:I,IF(C7=3,Inventario3!E:I,IF(C7=4,Inventario4!E:I,IF(C7=5,Inventario5!E:I,Inventario6!E:I))))),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IF(ROW(B7)=2,"",IF(_xlfn._xlws.FILTER(Equipar!AD$2:AD6,Equipar!C$2:C6=C7)={0},"",_xlfn._xlws.FILTER(Equipar!AD$2:AD6,Equipar!C$2:C6=C7))),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7" s="18" cm="1">
        <f t="array" aca="1" ref="G7" ca="1">_xlfn.LET(
    _xlpm.jugador, A7,
    _xlpm.idSel, AC7,
    _xlpm.invIDs, IF(B7=1,Inventario1!A:A,IF(B7=2,Inventario2!A:A,IF(B7=3,Inventario3!A:A,IF(B7=4,Inventario4!A:A,IF(B7=5,Inventario5!A:A,Inventario6!A:A))))),
    _xlpm.invCalidad, IF(B7=1,Inventario1!B:B,IF(B7=2,Inventario2!B:B,IF(B7=3,Inventario3!B:B,IF(B7=4,Inventario4!B:B,IF(B7=5,Inventario5!B:B,Inventario6!B:B))))),
    _xlpm.invTipos, IF(B7=1,Inventario1!C:C,IF(B7=2,Inventario2!C:C,IF(B7=3,Inventario3!C:C,IF(B7=4,Inventario4!C:C,IF(B7=5,Inventario5!C:C,Inventario6!C:C))))),
    _xlpm.invStats, IF(B7=1,Inventario1!D:H,IF(B7=2,Inventario2!D:H,IF(B7=3,Inventario3!D:H,IF(B7=4,Inventario4!D:H,IF(B7=5,Inventario5!D:H,Inventario6!D:H))))),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IF(ROW(A7)=2,"",IF(_xlfn._xlws.FILTER(Equipar!AC$2:AC6,Equipar!B$2:B6=B7)={0},"",_xlfn._xlws.FILTER(Equipar!AC$2:AC6,Equipar!B$2:B6=B7))),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H7" s="17" cm="1">
        <f t="array" ref="H7">_xlfn.LET(
    _xlpm.jugador, A7,
    _xlpm.idSel, AC7,
    _xlpm.invIDs, IF(B7=1,Inventario1!A:A,IF(B7=2,Inventario2!A:A,IF(B7=3,Inventario3!A:A,IF(B7=4,Inventario4!A:A,IF(B7=5,Inventario5!A:A,Inventario6!A:A))))),
    _xlpm.invCalidad, IF(B7=1,Inventario1!B:B,IF(B7=2,Inventario2!B:B,IF(B7=3,Inventario3!B:B,IF(B7=4,Inventario4!B:B,IF(B7=5,Inventario5!B:B,Inventario6!B:B))))),
    _xlpm.invTipos, IF(B7=1,Inventario1!C:C,IF(B7=2,Inventario2!C:C,IF(B7=3,Inventario3!C:C,IF(B7=4,Inventario4!C:C,IF(B7=5,Inventario5!C:C,Inventario6!C:C))))),
    _xlpm.invStats, IF(B7=1,Inventario1!D:H,IF(B7=2,Inventario2!D:H,IF(B7=3,Inventario3!D:H,IF(B7=4,Inventario4!D:H,IF(B7=5,Inventario5!D:H,Inventario6!D:H))))),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IF(ROW(A7)=2,"",IF(_xlfn._xlws.FILTER(Equipar!AC$2:AC6,Equipar!B$2:B6=B7)={0},"",_xlfn._xlws.FILTER(Equipar!AC$2:AC6,Equipar!B$2:B6=B7))),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90</v>
      </c>
      <c r="I7" s="17" cm="1">
        <f t="array" ref="I7">_xlfn.LET(
    _xlpm.jugador, A7,
    _xlpm.idSel, AC7,
    _xlpm.invIDs, IF(B7=1,Inventario1!A:A,IF(B7=2,Inventario2!A:A,IF(B7=3,Inventario3!A:A,IF(B7=4,Inventario4!A:A,IF(B7=5,Inventario5!A:A,Inventario6!A:A))))),
    _xlpm.invCalidad, IF(B7=1,Inventario1!B:B,IF(B7=2,Inventario2!B:B,IF(B7=3,Inventario3!B:B,IF(B7=4,Inventario4!B:B,IF(B7=5,Inventario5!B:B,Inventario6!B:B))))),
    _xlpm.invTipos, IF(B7=1,Inventario1!C:C,IF(B7=2,Inventario2!C:C,IF(B7=3,Inventario3!C:C,IF(B7=4,Inventario4!C:C,IF(B7=5,Inventario5!C:C,Inventario6!C:C))))),
    _xlpm.invStats, IF(B7=1,Inventario1!D:H,IF(B7=2,Inventario2!D:H,IF(B7=3,Inventario3!D:H,IF(B7=4,Inventario4!D:H,IF(B7=5,Inventario5!D:H,Inventario6!D:H))))),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IF(ROW(A7)=2,"",IF(_xlfn._xlws.FILTER(Equipar!AC$2:AC6,Equipar!B$2:B6=B7)={0},"",_xlfn._xlws.FILTER(Equipar!AC$2:AC6,Equipar!B$2:B6=B7))),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59.85</v>
      </c>
      <c r="J7" s="17" cm="1">
        <f t="array" aca="1" ref="J7" ca="1">_xlfn.LET(
    _xlpm.jugador, B7,
    _xlpm.idSel, AD7,
    _xlpm.invIDs, IF(C7=1,Inventario1!B:B,IF(C7=2,Inventario2!B:B,IF(C7=3,Inventario3!B:B,IF(C7=4,Inventario4!B:B,IF(C7=5,Inventario5!B:B,Inventario6!B:B))))),
    _xlpm.invCalidad, IF(C7=1,Inventario1!C:C,IF(C7=2,Inventario2!C:C,IF(C7=3,Inventario3!C:C,IF(C7=4,Inventario4!C:C,IF(C7=5,Inventario5!C:C,Inventario6!C:C))))),
    _xlpm.invTipos, IF(C7=1,Inventario1!D:D,IF(C7=2,Inventario2!D:D,IF(C7=3,Inventario3!D:D,IF(C7=4,Inventario4!D:D,IF(C7=5,Inventario5!D:D,Inventario6!D:D))))),
    _xlpm.invStats, IF(C7=1,Inventario1!E:I,IF(C7=2,Inventario2!E:I,IF(C7=3,Inventario3!E:I,IF(C7=4,Inventario4!E:I,IF(C7=5,Inventario5!E:I,Inventario6!E:I))))),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IF(ROW(B7)=2,"",IF(_xlfn._xlws.FILTER(Equipar!AD$2:AD6,Equipar!C$2:C6=C7)={0},"",_xlfn._xlws.FILTER(Equipar!AD$2:AD6,Equipar!C$2:C6=C7))),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7" s="17">
        <f t="shared" ca="1" si="0"/>
        <v>29.700000000000003</v>
      </c>
      <c r="L7" s="17">
        <f t="shared" ca="1" si="1"/>
        <v>59.85</v>
      </c>
      <c r="M7" s="17">
        <f t="shared" ca="1" si="1"/>
        <v>90</v>
      </c>
      <c r="N7" s="17">
        <f t="shared" si="2"/>
        <v>30.15</v>
      </c>
      <c r="O7" s="17">
        <f t="shared" ca="1" si="2"/>
        <v>59.85</v>
      </c>
      <c r="P7" s="18" cm="1">
        <f t="array" aca="1" ref="P7" ca="1">_xlfn.LET(
    _xlpm.ptsPrinBase, _xlfn._xlws.FILTER(G:G, A:A=A7),
    _xlpm.ptsSecBase,  _xlfn._xlws.FILTER(H:H, A:A=A7),
    _xlpm.puntosPrin, _xlpm.ptsPrinBase + _xlfn._xlws.FILTER(B:B, A:A=A7)/1000,
    _xlpm.puntosSec,  _xlpm.ptsSecBase  + _xlfn._xlws.FILTER(B:B, A:A=A7)/1000,
    _xlpm.puntosPrinValidos, SUM(--(_xlpm.ptsPrinBase&gt;0)),
    _xlpm.puntosSecValidos,  SUM(--(_xlpm.ptsSecBase&gt;0)),
    _xlpm.clave, K7 + B7/1000,
    _xlpm.claves, _xlfn._xlws.FILTER(K:K + B:B/1000, A:A=A7),
    IF(AND(_xlpm.puntosPrinValidos&gt;=4,_xlpm.puntosSecValidos&gt;=2),IF(
        SUM(--(_xlpm.claves &gt; _xlpm.clave)) &lt; 4,
        C7,
        D7
    ),"No disp")
)</f>
        <v>2</v>
      </c>
      <c r="Q7" s="18" cm="1">
        <f t="array" aca="1" ref="Q7" ca="1">_xlfn.LET(
    _xlpm.puntosPrin, _xlfn._xlws.FILTER(G:G + B:B/1000, A:A=A7),
    _xlpm.puntosPrinValidos, SUM(--(_xlpm.puntosPrin&gt;1)),
    _xlpm.puntosTer, _xlfn._xlws.FILTER(I:I + B:B/1000, A:A=A7),
    _xlpm.puntosTerValidos, SUM(--(_xlpm.puntosTer&gt;1)),
    _xlpm.clave, L7 + B7/1000,
    _xlpm.claves, _xlfn._xlws.FILTER(L:L + B:B/1000, A:A=A7),
    IF(AND(_xlpm.puntosPrinValidos&gt;=4,_xlpm.puntosTerValidos&gt;=2),IF(
        SUM(--(_xlpm.claves &gt; _xlpm.clave)) &lt; 4,
        C7,
        E7
    ),"No disp")
)</f>
        <v>2</v>
      </c>
      <c r="R7" s="18" t="str" cm="1">
        <f t="array" aca="1" ref="R7" ca="1">_xlfn.LET(
    _xlpm.puntosPrin, _xlfn._xlws.FILTER(G:G + B:B/1000, A:A=A7),
    _xlpm.puntosPrinValidos, SUM(--(_xlpm.puntosPrin&gt;1)),
    _xlpm.puntosTer, _xlfn._xlws.FILTER(J:J + B:B/1000, A:A=A7),
    _xlpm.puntosTerValidos, SUM(--(_xlpm.puntosTer&gt;1)),
    _xlpm.clave, M7 + B7/1000,
    _xlpm.claves, _xlfn._xlws.FILTER(M:M + B:B/1000, A:A=A7),
    IF(AND(_xlpm.puntosPrinValidos&gt;=4,_xlpm.puntosTerValidos&gt;=2),IF(
        SUM(--(_xlpm.claves &gt; _xlpm.clave)) &lt; 4,
        C7,
        F7
    ),"No disp")
)</f>
        <v>No disp</v>
      </c>
      <c r="S7" s="18" cm="1">
        <f t="array" aca="1" ref="S7" ca="1">_xlfn.LET(
    _xlpm.ptsPrinBase, _xlfn._xlws.FILTER(G:G, A:A=A7),
    _xlpm.ptsSecBase,  _xlfn._xlws.FILTER(H:H, A:A=A7),
    _xlpm.puntosPrin, _xlpm.ptsPrinBase + _xlfn._xlws.FILTER(B:B, A:A=A7)/1000,
    _xlpm.puntosSec,  _xlpm.ptsSecBase  + _xlfn._xlws.FILTER(B:B, A:A=A7)/1000,
    _xlpm.puntosPrinValidos, SUM(--(_xlpm.ptsPrinBase&gt;0)),
    _xlpm.puntosSecValidos,  SUM(--(_xlpm.ptsSecBase&gt;0)),
    _xlpm.clave, K7 + B7/1000,
    _xlpm.claves, _xlfn._xlws.FILTER(K:K + B:B/1000, A:A=A7),
    IF(
        AND(_xlpm.puntosPrinValidos&gt;=2, _xlpm.puntosSecValidos&gt;=4),
        IF(
            SUM(--(_xlpm.claves &lt; _xlpm.clave)) &lt; 4,
            D7,
            C7
        ),
        "No disp"
    )
)</f>
        <v>14</v>
      </c>
      <c r="T7" s="18" cm="1">
        <f t="array" ref="T7">_xlfn.LET(
    _xlpm.puntosSec, _xlfn._xlws.FILTER(H:H + B:B/1000, A:A=A7),
    _xlpm.puntosSecValidos, SUM(--(_xlpm.puntosSec&gt;1)),
    _xlpm.puntosAlt, _xlfn._xlws.FILTER(I:I + B:B/1000, A:A=A7),
    _xlpm.puntosAltValidos, SUM(--(_xlpm.puntosAlt&gt;1)),
    _xlpm.clave, N7 + B7/1000,
    _xlpm.claves, _xlfn._xlws.FILTER(N:N + B:B/1000, A:A=A7),
    IF(AND(_xlpm.puntosSecValidos&gt;=4,_xlpm.puntosAltValidos&gt;=2),IF(
        SUM(--(_xlpm.claves &gt; _xlpm.clave)) &lt; 4,
        D7,
        E7
    ),"No disp")
)</f>
        <v>14</v>
      </c>
      <c r="U7" s="18" t="str" cm="1">
        <f t="array" aca="1" ref="U7" ca="1">_xlfn.LET(
    _xlpm.puntosSec, _xlfn._xlws.FILTER(H:H + B:B/1000, A:A=A7),
    _xlpm.puntosSecValidos, SUM(--(_xlpm.puntosSec&gt;1)),
    _xlpm.puntosAlt, _xlfn._xlws.FILTER(J:J + B:B/1000, A:A=A7),
    _xlpm.puntosAltValidos, SUM(--(_xlpm.puntosAlt&gt;1)),
    _xlpm.clave, O7 + B7/1000,
    _xlpm.claves, _xlfn._xlws.FILTER(O:O + B:B/1000, A:A=A7),
    IF(AND(_xlpm.puntosSecValidos&gt;=4,_xlpm.puntosAltValidos&gt;=2),IF(
        SUM(--(_xlpm.claves &gt; _xlpm.clave)) &lt; 4,
        D7,
        F7
    ),"No disp")
)</f>
        <v>No disp</v>
      </c>
      <c r="V7" s="17" cm="1">
        <f t="array" aca="1" ref="V7" ca="1">_xlfn.LET(
_xlpm.PrinIDs,_xlfn._xlws.FILTER(C:C,(A:A=A7)),
_xlpm.SecIDs,_xlfn._xlws.FILTER(D:D,(A:A=A7)),
_xlpm.TerIDs,_xlfn._xlws.FILTER(E:E,A:A=A7),
_xlpm.CuaIDs,_xlfn._xlws.FILTER(F:F,(A:A=A7)),
_xlpm.PrinPts,_xlfn._xlws.FILTER(G:G,(A:A=A7)),
_xlpm.SecPts,_xlfn._xlws.FILTER(H:H,(A:A=A7)),
_xlpm.TerPts,_xlfn._xlws.FILTER(I:I,(A:A=A7)),
_xlpm.CuaPts,_xlfn._xlws.FILTER(J:J,(A:A=A7)),
_xlpm.PSIds,_xlfn._xlws.FILTER(P:P,A:A=A7),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679.59</v>
      </c>
      <c r="W7" s="17" cm="1">
        <f t="array" aca="1" ref="W7" ca="1">_xlfn.LET(
_xlpm.PrinIDs,_xlfn._xlws.FILTER(C:C,(A:A=A7)),
_xlpm.SecIDs,_xlfn._xlws.FILTER(D:D,(A:A=A7)),
_xlpm.TerIDs,_xlfn._xlws.FILTER(E:E,A:A=A7),
_xlpm.CuaIDs,_xlfn._xlws.FILTER(F:F,(A:A=A7)),
_xlpm.PrinPts,_xlfn._xlws.FILTER(G:G,(A:A=A7)),
_xlpm.SecPts,_xlfn._xlws.FILTER(H:H,(A:A=A7)),
_xlpm.TerPts,_xlfn._xlws.FILTER(I:I,(A:A=A7)),
_xlpm.CuaPts,_xlfn._xlws.FILTER(J:J,(A:A=A7)),
_xlpm.PTIds,_xlfn._xlws.FILTER(Q:Q,A:A=A7),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640.8900000000001</v>
      </c>
      <c r="X7" s="17" cm="1">
        <f t="array" aca="1" ref="X7" ca="1">_xlfn.LET(
_xlpm.PrinIDs,_xlfn._xlws.FILTER(C:C,(A:A=A7)),
_xlpm.SecIDs,_xlfn._xlws.FILTER(D:D,(A:A=A7)),
_xlpm.TerIDs,_xlfn._xlws.FILTER(E:E,A:A=A7),
_xlpm.CuaIDs,_xlfn._xlws.FILTER(F:F,(A:A=A7)),
_xlpm.PrinPts,_xlfn._xlws.FILTER(G:G,(A:A=A7)),
_xlpm.SecPts,_xlfn._xlws.FILTER(H:H,(A:A=A7)),
_xlpm.TerPts,_xlfn._xlws.FILTER(I:I,(A:A=A7)),
_xlpm.CuaPts,_xlfn._xlws.FILTER(J:J,(A:A=A7)),
_xlpm.PCIds,_xlfn._xlws.FILTER(R:R,A:A=A7),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7" s="17" cm="1">
        <f t="array" aca="1" ref="Y7" ca="1">_xlfn.LET(
_xlpm.PrinIDs,_xlfn._xlws.FILTER(C:C,(A:A=A7)),
_xlpm.SecIDs,_xlfn._xlws.FILTER(D:D,(A:A=A7)),
_xlpm.AltIDs,_xlfn._xlws.FILTER(E:E,A:A=A7),
_xlpm.PrinPts,_xlfn._xlws.FILTER(G:G,(A:A=A7)),
_xlpm.SecPts,_xlfn._xlws.FILTER(H:H,(A:A=A7)),
_xlpm.AltPts,_xlfn._xlws.FILTER(I:I,(A:A=A7)),
_xlpm.SPIds,_xlfn._xlws.FILTER(S:S,A:A=A7),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629.1</v>
      </c>
      <c r="Z7" s="17" cm="1">
        <f t="array" aca="1" ref="Z7" ca="1">_xlfn.LET(
_xlpm.PrinIDs,_xlfn._xlws.FILTER(C:C,(A:A=A7)),
_xlpm.SecIDs,_xlfn._xlws.FILTER(D:D,(A:A=A7)),
_xlpm.TerIDs,_xlfn._xlws.FILTER(E:E,A:A=A7),
_xlpm.CuaIDs,_xlfn._xlws.FILTER(F:F,(A:A=A7)),
_xlpm.PrinPts,_xlfn._xlws.FILTER(G:G,(A:A=A7)),
_xlpm.SecPts,_xlfn._xlws.FILTER(H:H,(A:A=A7)),
_xlpm.TerPts,_xlfn._xlws.FILTER(I:I,(A:A=A7)),
_xlpm.CuaPts,_xlfn._xlws.FILTER(J:J,(A:A=A7)),
_xlpm.STIds,_xlfn._xlws.FILTER(T:T,A:A=A7),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557.19000000000005</v>
      </c>
      <c r="AA7" s="17" cm="1">
        <f t="array" aca="1" ref="AA7" ca="1">_xlfn.LET(
_xlpm.PrinIDs,_xlfn._xlws.FILTER(C:C,(A:A=A7)),
_xlpm.SecIDs,_xlfn._xlws.FILTER(D:D,(A:A=A7)),
_xlpm.TerIDs,_xlfn._xlws.FILTER(E:E,A:A=A7),
_xlpm.CuaIDs,_xlfn._xlws.FILTER(F:F,(A:A=A7)),
_xlpm.PrinPts,_xlfn._xlws.FILTER(G:G,(A:A=A7)),
_xlpm.SecPts,_xlfn._xlws.FILTER(H:H,(A:A=A7)),
_xlpm.TerPts,_xlfn._xlws.FILTER(I:I,(A:A=A7)),
_xlpm.CuaPts,_xlfn._xlws.FILTER(J:J,(A:A=A7)),
_xlpm.SCIds,_xlfn._xlws.FILTER(U:U,A:A=A7),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7" s="18">
        <f t="shared" ca="1" si="3"/>
        <v>2</v>
      </c>
      <c r="AC7" s="18">
        <v>2</v>
      </c>
      <c r="AD7" s="17"/>
      <c r="AE7" s="18" t="str">
        <f ca="1">IF(ISNUMBER(AC7),
IF($B7=1,VLOOKUP($AC7,Inventario1!$A:$H,2),
IF($B7=2,VLOOKUP($AC7,Inventario2!$A:$H,2),
IF($B7=3,VLOOKUP($AC7,Inventario3!$A:$H,2),
IF($B7=4,VLOOKUP($AC7,Inventario4!$A:$H,2),
IF($B7=5,VLOOKUP($AC7,Inventario5!$A:$H,2),
VLOOKUP($AC7,Inventario6!$A:$H,2)
))))),"No equipado")</f>
        <v>Legendario</v>
      </c>
      <c r="AF7" s="18" t="str">
        <f ca="1">IF(ISNUMBER(AC7),
IF($B7=1,VLOOKUP($AC7,Inventario1!$A:$H,3),
IF($B7=2,VLOOKUP($AC7,Inventario2!$A:$H,3),
IF($B7=3,VLOOKUP($AC7,Inventario3!$A:$H,3),
IF($B7=4,VLOOKUP($AC7,Inventario4!$A:$H,3),
IF($B7=5,VLOOKUP($AC7,Inventario5!$A:$H,3),
VLOOKUP($AC7,Inventario6!$A:$H,3)
))))),"")</f>
        <v>Poder vibrante</v>
      </c>
      <c r="AG7" s="18" t="str">
        <f ca="1">IF(ISNUMBER(AC7),
IF($B7=1,VLOOKUP($AC7,Inventario1!$A:$H,4),
IF($B7=2,VLOOKUP($AC7,Inventario2!$A:$H,4),
IF($B7=3,VLOOKUP($AC7,Inventario3!$A:$H,4),
IF($B7=4,VLOOKUP($AC7,Inventario4!$A:$H,4),
IF($B7=5,VLOOKUP($AC7,Inventario5!$A:$H,4),
VLOOKUP($AC7,Inventario6!$A:$H,4)
))))),"")</f>
        <v>Ataque poderoso</v>
      </c>
      <c r="AH7" s="18" t="str">
        <f ca="1">IF(ISNUMBER(AC7),
IF($B7=1,VLOOKUP($AC7,Inventario1!$A:$H,5),
IF($B7=2,VLOOKUP($AC7,Inventario2!$A:$H,5),
IF($B7=3,VLOOKUP($AC7,Inventario3!$A:$H,5),
IF($B7=4,VLOOKUP($AC7,Inventario4!$A:$H,5),
IF($B7=5,VLOOKUP($AC7,Inventario5!$A:$H,5),
VLOOKUP($AC7,Inventario6!$A:$H,5)
))))),"")</f>
        <v>Técnica ofensiva</v>
      </c>
      <c r="AI7" s="18" t="str">
        <f ca="1">IF(ISNUMBER(AC7),
IF($B7=1,VLOOKUP($AC7,Inventario1!$A:$H,6),
IF($B7=2,VLOOKUP($AC7,Inventario2!$A:$H,6),
IF($B7=3,VLOOKUP($AC7,Inventario3!$A:$H,6),
IF($B7=4,VLOOKUP($AC7,Inventario4!$A:$H,6),
IF($B7=5,VLOOKUP($AC7,Inventario5!$A:$H,6),
VLOOKUP($AC7,Inventario6!$A:$H,6)
))))),"")</f>
        <v>Ataque rápido</v>
      </c>
      <c r="AJ7" s="18" t="str">
        <f ca="1">IF(ISNUMBER(AC7),
IF($B7=1,VLOOKUP($AC7,Inventario1!$A:$H,7),
IF($B7=2,VLOOKUP($AC7,Inventario2!$A:$H,7),
IF($B7=3,VLOOKUP($AC7,Inventario3!$A:$H,7),
IF($B7=4,VLOOKUP($AC7,Inventario4!$A:$H,7),
IF($B7=5,VLOOKUP($AC7,Inventario5!$A:$H,7),
VLOOKUP($AC7,Inventario6!$A:$H,7)
))))),"")</f>
        <v>Ataque poderoso</v>
      </c>
      <c r="AK7" s="19" t="str">
        <f ca="1">IF(ISNUMBER(AC7),
IF($B7=1,VLOOKUP($AC7,Inventario1!$A:$H,8),
IF($B7=2,VLOOKUP($AC7,Inventario2!$A:$H,8),
IF($B7=3,VLOOKUP($AC7,Inventario3!$A:$H,8),
IF($B7=4,VLOOKUP($AC7,Inventario4!$A:$H,8),
IF($B7=5,VLOOKUP($AC7,Inventario5!$A:$H,8),
VLOOKUP($AC7,Inventario6!$A:$H,8)
))))),"")</f>
        <v>Espíritu</v>
      </c>
    </row>
    <row r="8" spans="1:37" x14ac:dyDescent="0.25">
      <c r="A8" s="20" t="s">
        <v>7</v>
      </c>
      <c r="B8" s="9">
        <v>1</v>
      </c>
      <c r="C8" s="10" cm="1">
        <f t="array" aca="1" ref="C8" ca="1">_xlfn.LET(
    _xlpm.jugador, A8,
    _xlpm.idSel, AC8,
    _xlpm.invIDs, IF(B8=1,Inventario1!A:A,IF(B8=2,Inventario2!A:A,IF(B8=3,Inventario3!A:A,IF(B8=4,Inventario4!A:A,IF(B8=5,Inventario5!A:A,Inventario6!A:A))))),
    _xlpm.invCalidad, IF(B8=1,Inventario1!B:B,IF(B8=2,Inventario2!B:B,IF(B8=3,Inventario3!B:B,IF(B8=4,Inventario4!B:B,IF(B8=5,Inventario5!B:B,Inventario6!B:B))))),
    _xlpm.invTipos, IF(B8=1,Inventario1!C:C,IF(B8=2,Inventario2!C:C,IF(B8=3,Inventario3!C:C,IF(B8=4,Inventario4!C:C,IF(B8=5,Inventario5!C:C,Inventario6!C:C))))),
    _xlpm.invStats, IF(B8=1,Inventario1!D:H,IF(B8=2,Inventario2!D:H,IF(B8=3,Inventario3!D:H,IF(B8=4,Inventario4!D:H,IF(B8=5,Inventario5!D:H,Inventario6!D:H))))),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IF(ROW(A8)=2,"",IF(_xlfn._xlws.FILTER(Equipar!AC$2:AC7,Equipar!B$2:B7=B8)={0},"",_xlfn._xlws.FILTER(Equipar!AC$2:AC7,Equipar!B$2:B7=B8))),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</v>
      </c>
      <c r="D8" s="11" cm="1">
        <f t="array" ref="D8">_xlfn.LET(
    _xlpm.jugador, A8,
    _xlpm.idSel, AC8,
    _xlpm.invIDs, IF(B8=1,Inventario1!A:A,IF(B8=2,Inventario2!A:A,IF(B8=3,Inventario3!A:A,IF(B8=4,Inventario4!A:A,IF(B8=5,Inventario5!A:A,Inventario6!A:A))))),
    _xlpm.invCalidad, IF(B8=1,Inventario1!B:B,IF(B8=2,Inventario2!B:B,IF(B8=3,Inventario3!B:B,IF(B8=4,Inventario4!B:B,IF(B8=5,Inventario5!B:B,Inventario6!B:B))))),
    _xlpm.invTipos, IF(B8=1,Inventario1!C:C,IF(B8=2,Inventario2!C:C,IF(B8=3,Inventario3!C:C,IF(B8=4,Inventario4!C:C,IF(B8=5,Inventario5!C:C,Inventario6!C:C))))),
    _xlpm.invStats, IF(B8=1,Inventario1!D:H,IF(B8=2,Inventario2!D:H,IF(B8=3,Inventario3!D:H,IF(B8=4,Inventario4!D:H,IF(B8=5,Inventario5!D:H,Inventario6!D:H))))),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IF(ROW(A8)=2,"",IF(_xlfn._xlws.FILTER(Equipar!AC$2:AC7,Equipar!B$2:B7=B8)={0},"",_xlfn._xlws.FILTER(Equipar!AC$2:AC7,Equipar!B$2:B7=B8))),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51</v>
      </c>
      <c r="E8" s="11" cm="1">
        <f t="array" ref="E8">_xlfn.LET(
    _xlpm.jugador, A8,
    _xlpm.idSel, AC8,
    _xlpm.invIDs, IF(B8=1,Inventario1!A:A,IF(B8=2,Inventario2!A:A,IF(B8=3,Inventario3!A:A,IF(B8=4,Inventario4!A:A,IF(B8=5,Inventario5!A:A,Inventario6!A:A))))),
    _xlpm.invCalidad, IF(B8=1,Inventario1!B:B,IF(B8=2,Inventario2!B:B,IF(B8=3,Inventario3!B:B,IF(B8=4,Inventario4!B:B,IF(B8=5,Inventario5!B:B,Inventario6!B:B))))),
    _xlpm.invTipos, IF(B8=1,Inventario1!C:C,IF(B8=2,Inventario2!C:C,IF(B8=3,Inventario3!C:C,IF(B8=4,Inventario4!C:C,IF(B8=5,Inventario5!C:C,Inventario6!C:C))))),
    _xlpm.invStats, IF(B8=1,Inventario1!D:H,IF(B8=2,Inventario2!D:H,IF(B8=3,Inventario3!D:H,IF(B8=4,Inventario4!D:H,IF(B8=5,Inventario5!D:H,Inventario6!D:H))))),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IF(ROW(A8)=2,"",IF(_xlfn._xlws.FILTER(Equipar!AC$2:AC7,Equipar!B$2:B7=B8)={0},"",_xlfn._xlws.FILTER(Equipar!AC$2:AC7,Equipar!B$2:B7=B8))),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124</v>
      </c>
      <c r="F8" s="11" t="str" cm="1">
        <f t="array" aca="1" ref="F8" ca="1">_xlfn.LET(
    _xlpm.jugador, B8,
    _xlpm.idSel, AD8,
    _xlpm.invIDs, IF(C8=1,Inventario1!B:B,IF(C8=2,Inventario2!B:B,IF(C8=3,Inventario3!B:B,IF(C8=4,Inventario4!B:B,IF(C8=5,Inventario5!B:B,Inventario6!B:B))))),
    _xlpm.invCalidad, IF(C8=1,Inventario1!C:C,IF(C8=2,Inventario2!C:C,IF(C8=3,Inventario3!C:C,IF(C8=4,Inventario4!C:C,IF(C8=5,Inventario5!C:C,Inventario6!C:C))))),
    _xlpm.invTipos, IF(C8=1,Inventario1!D:D,IF(C8=2,Inventario2!D:D,IF(C8=3,Inventario3!D:D,IF(C8=4,Inventario4!D:D,IF(C8=5,Inventario5!D:D,Inventario6!D:D))))),
    _xlpm.invStats, IF(C8=1,Inventario1!E:I,IF(C8=2,Inventario2!E:I,IF(C8=3,Inventario3!E:I,IF(C8=4,Inventario4!E:I,IF(C8=5,Inventario5!E:I,Inventario6!E:I))))),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IF(ROW(B8)=2,"",IF(_xlfn._xlws.FILTER(Equipar!AD$2:AD7,Equipar!C$2:C7=C8)={0},"",_xlfn._xlws.FILTER(Equipar!AD$2:AD7,Equipar!C$2:C7=C8))),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8" s="10" cm="1">
        <f t="array" aca="1" ref="G8" ca="1">_xlfn.LET(
    _xlpm.jugador, A8,
    _xlpm.idSel, AC8,
    _xlpm.invIDs, IF(B8=1,Inventario1!A:A,IF(B8=2,Inventario2!A:A,IF(B8=3,Inventario3!A:A,IF(B8=4,Inventario4!A:A,IF(B8=5,Inventario5!A:A,Inventario6!A:A))))),
    _xlpm.invCalidad, IF(B8=1,Inventario1!B:B,IF(B8=2,Inventario2!B:B,IF(B8=3,Inventario3!B:B,IF(B8=4,Inventario4!B:B,IF(B8=5,Inventario5!B:B,Inventario6!B:B))))),
    _xlpm.invTipos, IF(B8=1,Inventario1!C:C,IF(B8=2,Inventario2!C:C,IF(B8=3,Inventario3!C:C,IF(B8=4,Inventario4!C:C,IF(B8=5,Inventario5!C:C,Inventario6!C:C))))),
    _xlpm.invStats, IF(B8=1,Inventario1!D:H,IF(B8=2,Inventario2!D:H,IF(B8=3,Inventario3!D:H,IF(B8=4,Inventario4!D:H,IF(B8=5,Inventario5!D:H,Inventario6!D:H))))),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IF(ROW(A8)=2,"",IF(_xlfn._xlws.FILTER(Equipar!AC$2:AC7,Equipar!B$2:B7=B8)={0},"",_xlfn._xlws.FILTER(Equipar!AC$2:AC7,Equipar!B$2:B7=B8))),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155.61000000000001</v>
      </c>
      <c r="H8" s="11" cm="1">
        <f t="array" ref="H8">_xlfn.LET(
    _xlpm.jugador, A8,
    _xlpm.idSel, AC8,
    _xlpm.invIDs, IF(B8=1,Inventario1!A:A,IF(B8=2,Inventario2!A:A,IF(B8=3,Inventario3!A:A,IF(B8=4,Inventario4!A:A,IF(B8=5,Inventario5!A:A,Inventario6!A:A))))),
    _xlpm.invCalidad, IF(B8=1,Inventario1!B:B,IF(B8=2,Inventario2!B:B,IF(B8=3,Inventario3!B:B,IF(B8=4,Inventario4!B:B,IF(B8=5,Inventario5!B:B,Inventario6!B:B))))),
    _xlpm.invTipos, IF(B8=1,Inventario1!C:C,IF(B8=2,Inventario2!C:C,IF(B8=3,Inventario3!C:C,IF(B8=4,Inventario4!C:C,IF(B8=5,Inventario5!C:C,Inventario6!C:C))))),
    _xlpm.invStats, IF(B8=1,Inventario1!D:H,IF(B8=2,Inventario2!D:H,IF(B8=3,Inventario3!D:H,IF(B8=4,Inventario4!D:H,IF(B8=5,Inventario5!D:H,Inventario6!D:H))))),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IF(ROW(A8)=2,"",IF(_xlfn._xlws.FILTER(Equipar!AC$2:AC7,Equipar!B$2:B7=B8)={0},"",_xlfn._xlws.FILTER(Equipar!AC$2:AC7,Equipar!B$2:B7=B8))),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108</v>
      </c>
      <c r="I8" s="11" cm="1">
        <f t="array" ref="I8">_xlfn.LET(
    _xlpm.jugador, A8,
    _xlpm.idSel, AC8,
    _xlpm.invIDs, IF(B8=1,Inventario1!A:A,IF(B8=2,Inventario2!A:A,IF(B8=3,Inventario3!A:A,IF(B8=4,Inventario4!A:A,IF(B8=5,Inventario5!A:A,Inventario6!A:A))))),
    _xlpm.invCalidad, IF(B8=1,Inventario1!B:B,IF(B8=2,Inventario2!B:B,IF(B8=3,Inventario3!B:B,IF(B8=4,Inventario4!B:B,IF(B8=5,Inventario5!B:B,Inventario6!B:B))))),
    _xlpm.invTipos, IF(B8=1,Inventario1!C:C,IF(B8=2,Inventario2!C:C,IF(B8=3,Inventario3!C:C,IF(B8=4,Inventario4!C:C,IF(B8=5,Inventario5!C:C,Inventario6!C:C))))),
    _xlpm.invStats, IF(B8=1,Inventario1!D:H,IF(B8=2,Inventario2!D:H,IF(B8=3,Inventario3!D:H,IF(B8=4,Inventario4!D:H,IF(B8=5,Inventario5!D:H,Inventario6!D:H))))),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IF(ROW(A8)=2,"",IF(_xlfn._xlws.FILTER(Equipar!AC$2:AC7,Equipar!B$2:B7=B8)={0},"",_xlfn._xlws.FILTER(Equipar!AC$2:AC7,Equipar!B$2:B7=B8))),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179.55</v>
      </c>
      <c r="J8" s="11" cm="1">
        <f t="array" aca="1" ref="J8" ca="1">_xlfn.LET(
    _xlpm.jugador, B8,
    _xlpm.idSel, AD8,
    _xlpm.invIDs, IF(C8=1,Inventario1!B:B,IF(C8=2,Inventario2!B:B,IF(C8=3,Inventario3!B:B,IF(C8=4,Inventario4!B:B,IF(C8=5,Inventario5!B:B,Inventario6!B:B))))),
    _xlpm.invCalidad, IF(C8=1,Inventario1!C:C,IF(C8=2,Inventario2!C:C,IF(C8=3,Inventario3!C:C,IF(C8=4,Inventario4!C:C,IF(C8=5,Inventario5!C:C,Inventario6!C:C))))),
    _xlpm.invTipos, IF(C8=1,Inventario1!D:D,IF(C8=2,Inventario2!D:D,IF(C8=3,Inventario3!D:D,IF(C8=4,Inventario4!D:D,IF(C8=5,Inventario5!D:D,Inventario6!D:D))))),
    _xlpm.invStats, IF(C8=1,Inventario1!E:I,IF(C8=2,Inventario2!E:I,IF(C8=3,Inventario3!E:I,IF(C8=4,Inventario4!E:I,IF(C8=5,Inventario5!E:I,Inventario6!E:I))))),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IF(ROW(B8)=2,"",IF(_xlfn._xlws.FILTER(Equipar!AD$2:AD7,Equipar!C$2:C7=C8)={0},"",_xlfn._xlws.FILTER(Equipar!AD$2:AD7,Equipar!C$2:C7=C8))),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8" s="11">
        <f t="shared" ca="1" si="0"/>
        <v>47.610000000000014</v>
      </c>
      <c r="L8" s="11">
        <f t="shared" ca="1" si="1"/>
        <v>-23.939999999999998</v>
      </c>
      <c r="M8" s="11">
        <f t="shared" ca="1" si="1"/>
        <v>108</v>
      </c>
      <c r="N8" s="11">
        <f t="shared" si="2"/>
        <v>-71.550000000000011</v>
      </c>
      <c r="O8" s="11">
        <f t="shared" ca="1" si="2"/>
        <v>179.55</v>
      </c>
      <c r="P8" s="10" cm="1">
        <f t="array" aca="1" ref="P8" ca="1">_xlfn.LET(
    _xlpm.ptsPrinBase, _xlfn._xlws.FILTER(G:G, A:A=A8),
    _xlpm.ptsSecBase,  _xlfn._xlws.FILTER(H:H, A:A=A8),
    _xlpm.puntosPrin, _xlpm.ptsPrinBase + _xlfn._xlws.FILTER(B:B, A:A=A8)/1000,
    _xlpm.puntosSec,  _xlpm.ptsSecBase  + _xlfn._xlws.FILTER(B:B, A:A=A8)/1000,
    _xlpm.puntosPrinValidos, SUM(--(_xlpm.ptsPrinBase&gt;0)),
    _xlpm.puntosSecValidos,  SUM(--(_xlpm.ptsSecBase&gt;0)),
    _xlpm.clave, K8 + B8/1000,
    _xlpm.claves, _xlfn._xlws.FILTER(K:K + B:B/1000, A:A=A8),
    IF(AND(_xlpm.puntosPrinValidos&gt;=4,_xlpm.puntosSecValidos&gt;=2),IF(
        SUM(--(_xlpm.claves &gt; _xlpm.clave)) &lt; 4,
        C8,
        D8
    ),"No disp")
)</f>
        <v>3</v>
      </c>
      <c r="Q8" s="10" cm="1">
        <f t="array" aca="1" ref="Q8" ca="1">_xlfn.LET(
    _xlpm.puntosPrin, _xlfn._xlws.FILTER(G:G + B:B/1000, A:A=A8),
    _xlpm.puntosPrinValidos, SUM(--(_xlpm.puntosPrin&gt;1)),
    _xlpm.puntosTer, _xlfn._xlws.FILTER(I:I + B:B/1000, A:A=A8),
    _xlpm.puntosTerValidos, SUM(--(_xlpm.puntosTer&gt;1)),
    _xlpm.clave, L8 + B8/1000,
    _xlpm.claves, _xlfn._xlws.FILTER(L:L + B:B/1000, A:A=A8),
    IF(AND(_xlpm.puntosPrinValidos&gt;=4,_xlpm.puntosTerValidos&gt;=2),IF(
        SUM(--(_xlpm.claves &gt; _xlpm.clave)) &lt; 4,
        C8,
        E8
    ),"No disp")
)</f>
        <v>124</v>
      </c>
      <c r="R8" s="10" t="str" cm="1">
        <f t="array" aca="1" ref="R8" ca="1">_xlfn.LET(
    _xlpm.puntosPrin, _xlfn._xlws.FILTER(G:G + B:B/1000, A:A=A8),
    _xlpm.puntosPrinValidos, SUM(--(_xlpm.puntosPrin&gt;1)),
    _xlpm.puntosTer, _xlfn._xlws.FILTER(J:J + B:B/1000, A:A=A8),
    _xlpm.puntosTerValidos, SUM(--(_xlpm.puntosTer&gt;1)),
    _xlpm.clave, M8 + B8/1000,
    _xlpm.claves, _xlfn._xlws.FILTER(M:M + B:B/1000, A:A=A8),
    IF(AND(_xlpm.puntosPrinValidos&gt;=4,_xlpm.puntosTerValidos&gt;=2),IF(
        SUM(--(_xlpm.claves &gt; _xlpm.clave)) &lt; 4,
        C8,
        F8
    ),"No disp")
)</f>
        <v>No disp</v>
      </c>
      <c r="S8" s="10" cm="1">
        <f t="array" aca="1" ref="S8" ca="1">_xlfn.LET(
    _xlpm.ptsPrinBase, _xlfn._xlws.FILTER(G:G, A:A=A8),
    _xlpm.ptsSecBase,  _xlfn._xlws.FILTER(H:H, A:A=A8),
    _xlpm.puntosPrin, _xlpm.ptsPrinBase + _xlfn._xlws.FILTER(B:B, A:A=A8)/1000,
    _xlpm.puntosSec,  _xlpm.ptsSecBase  + _xlfn._xlws.FILTER(B:B, A:A=A8)/1000,
    _xlpm.puntosPrinValidos, SUM(--(_xlpm.ptsPrinBase&gt;0)),
    _xlpm.puntosSecValidos,  SUM(--(_xlpm.ptsSecBase&gt;0)),
    _xlpm.clave, K8 + B8/1000,
    _xlpm.claves, _xlfn._xlws.FILTER(K:K + B:B/1000, A:A=A8),
    IF(
        AND(_xlpm.puntosPrinValidos&gt;=2, _xlpm.puntosSecValidos&gt;=4),
        IF(
            SUM(--(_xlpm.claves &lt; _xlpm.clave)) &lt; 4,
            D8,
            C8
        ),
        "No disp"
    )
)</f>
        <v>3</v>
      </c>
      <c r="T8" s="10" cm="1">
        <f t="array" ref="T8">_xlfn.LET(
    _xlpm.puntosSec, _xlfn._xlws.FILTER(H:H + B:B/1000, A:A=A8),
    _xlpm.puntosSecValidos, SUM(--(_xlpm.puntosSec&gt;1)),
    _xlpm.puntosAlt, _xlfn._xlws.FILTER(I:I + B:B/1000, A:A=A8),
    _xlpm.puntosAltValidos, SUM(--(_xlpm.puntosAlt&gt;1)),
    _xlpm.clave, N8 + B8/1000,
    _xlpm.claves, _xlfn._xlws.FILTER(N:N + B:B/1000, A:A=A8),
    IF(AND(_xlpm.puntosSecValidos&gt;=4,_xlpm.puntosAltValidos&gt;=2),IF(
        SUM(--(_xlpm.claves &gt; _xlpm.clave)) &lt; 4,
        D8,
        E8
    ),"No disp")
)</f>
        <v>124</v>
      </c>
      <c r="U8" s="10" t="str" cm="1">
        <f t="array" aca="1" ref="U8" ca="1">_xlfn.LET(
    _xlpm.puntosSec, _xlfn._xlws.FILTER(H:H + B:B/1000, A:A=A8),
    _xlpm.puntosSecValidos, SUM(--(_xlpm.puntosSec&gt;1)),
    _xlpm.puntosAlt, _xlfn._xlws.FILTER(J:J + B:B/1000, A:A=A8),
    _xlpm.puntosAltValidos, SUM(--(_xlpm.puntosAlt&gt;1)),
    _xlpm.clave, O8 + B8/1000,
    _xlpm.claves, _xlfn._xlws.FILTER(O:O + B:B/1000, A:A=A8),
    IF(AND(_xlpm.puntosSecValidos&gt;=4,_xlpm.puntosAltValidos&gt;=2),IF(
        SUM(--(_xlpm.claves &gt; _xlpm.clave)) &lt; 4,
        D8,
        F8
    ),"No disp")
)</f>
        <v>No disp</v>
      </c>
      <c r="V8" s="11" cm="1">
        <f t="array" aca="1" ref="V8" ca="1">_xlfn.LET(
_xlpm.PrinIDs,_xlfn._xlws.FILTER(C:C,(A:A=A8)),
_xlpm.SecIDs,_xlfn._xlws.FILTER(D:D,(A:A=A8)),
_xlpm.TerIDs,_xlfn._xlws.FILTER(E:E,A:A=A8),
_xlpm.CuaIDs,_xlfn._xlws.FILTER(F:F,(A:A=A8)),
_xlpm.PrinPts,_xlfn._xlws.FILTER(G:G,(A:A=A8)),
_xlpm.SecPts,_xlfn._xlws.FILTER(H:H,(A:A=A8)),
_xlpm.TerPts,_xlfn._xlws.FILTER(I:I,(A:A=A8)),
_xlpm.CuaPts,_xlfn._xlws.FILTER(J:J,(A:A=A8)),
_xlpm.PSIds,_xlfn._xlws.FILTER(P:P,A:A=A8),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856.17000000000007</v>
      </c>
      <c r="W8" s="11" cm="1">
        <f t="array" aca="1" ref="W8" ca="1">_xlfn.LET(
_xlpm.PrinIDs,_xlfn._xlws.FILTER(C:C,(A:A=A8)),
_xlpm.SecIDs,_xlfn._xlws.FILTER(D:D,(A:A=A8)),
_xlpm.TerIDs,_xlfn._xlws.FILTER(E:E,A:A=A8),
_xlpm.CuaIDs,_xlfn._xlws.FILTER(F:F,(A:A=A8)),
_xlpm.PrinPts,_xlfn._xlws.FILTER(G:G,(A:A=A8)),
_xlpm.SecPts,_xlfn._xlws.FILTER(H:H,(A:A=A8)),
_xlpm.TerPts,_xlfn._xlws.FILTER(I:I,(A:A=A8)),
_xlpm.CuaPts,_xlfn._xlws.FILTER(J:J,(A:A=A8)),
_xlpm.PTIds,_xlfn._xlws.FILTER(Q:Q,A:A=A8),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868.1400000000001</v>
      </c>
      <c r="X8" s="11" cm="1">
        <f t="array" aca="1" ref="X8" ca="1">_xlfn.LET(
_xlpm.PrinIDs,_xlfn._xlws.FILTER(C:C,(A:A=A8)),
_xlpm.SecIDs,_xlfn._xlws.FILTER(D:D,(A:A=A8)),
_xlpm.TerIDs,_xlfn._xlws.FILTER(E:E,A:A=A8),
_xlpm.CuaIDs,_xlfn._xlws.FILTER(F:F,(A:A=A8)),
_xlpm.PrinPts,_xlfn._xlws.FILTER(G:G,(A:A=A8)),
_xlpm.SecPts,_xlfn._xlws.FILTER(H:H,(A:A=A8)),
_xlpm.TerPts,_xlfn._xlws.FILTER(I:I,(A:A=A8)),
_xlpm.CuaPts,_xlfn._xlws.FILTER(J:J,(A:A=A8)),
_xlpm.PCIds,_xlfn._xlws.FILTER(R:R,A:A=A8),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8" s="11" cm="1">
        <f t="array" aca="1" ref="Y8" ca="1">_xlfn.LET(
_xlpm.PrinIDs,_xlfn._xlws.FILTER(C:C,(A:A=A8)),
_xlpm.SecIDs,_xlfn._xlws.FILTER(D:D,(A:A=A8)),
_xlpm.AltIDs,_xlfn._xlws.FILTER(E:E,A:A=A8),
_xlpm.PrinPts,_xlfn._xlws.FILTER(G:G,(A:A=A8)),
_xlpm.SecPts,_xlfn._xlws.FILTER(H:H,(A:A=A8)),
_xlpm.AltPts,_xlfn._xlws.FILTER(I:I,(A:A=A8)),
_xlpm.SPIds,_xlfn._xlws.FILTER(S:S,A:A=A8),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817.56000000000006</v>
      </c>
      <c r="Z8" s="11" cm="1">
        <f t="array" aca="1" ref="Z8" ca="1">_xlfn.LET(
_xlpm.PrinIDs,_xlfn._xlws.FILTER(C:C,(A:A=A8)),
_xlpm.SecIDs,_xlfn._xlws.FILTER(D:D,(A:A=A8)),
_xlpm.TerIDs,_xlfn._xlws.FILTER(E:E,A:A=A8),
_xlpm.CuaIDs,_xlfn._xlws.FILTER(F:F,(A:A=A8)),
_xlpm.PrinPts,_xlfn._xlws.FILTER(G:G,(A:A=A8)),
_xlpm.SecPts,_xlfn._xlws.FILTER(H:H,(A:A=A8)),
_xlpm.TerPts,_xlfn._xlws.FILTER(I:I,(A:A=A8)),
_xlpm.CuaPts,_xlfn._xlws.FILTER(J:J,(A:A=A8)),
_xlpm.STIds,_xlfn._xlws.FILTER(T:T,A:A=A8),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817.56000000000006</v>
      </c>
      <c r="AA8" s="11" cm="1">
        <f t="array" aca="1" ref="AA8" ca="1">_xlfn.LET(
_xlpm.PrinIDs,_xlfn._xlws.FILTER(C:C,(A:A=A8)),
_xlpm.SecIDs,_xlfn._xlws.FILTER(D:D,(A:A=A8)),
_xlpm.TerIDs,_xlfn._xlws.FILTER(E:E,A:A=A8),
_xlpm.CuaIDs,_xlfn._xlws.FILTER(F:F,(A:A=A8)),
_xlpm.PrinPts,_xlfn._xlws.FILTER(G:G,(A:A=A8)),
_xlpm.SecPts,_xlfn._xlws.FILTER(H:H,(A:A=A8)),
_xlpm.TerPts,_xlfn._xlws.FILTER(I:I,(A:A=A8)),
_xlpm.CuaPts,_xlfn._xlws.FILTER(J:J,(A:A=A8)),
_xlpm.SCIds,_xlfn._xlws.FILTER(U:U,A:A=A8),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8" s="10">
        <f t="shared" ca="1" si="3"/>
        <v>124</v>
      </c>
      <c r="AC8" s="10">
        <v>124</v>
      </c>
      <c r="AD8" s="11"/>
      <c r="AE8" s="10" t="str">
        <f ca="1">IF(ISNUMBER(AC8),
IF($B8=1,VLOOKUP($AC8,Inventario1!$A:$H,2),
IF($B8=2,VLOOKUP($AC8,Inventario2!$A:$H,2),
IF($B8=3,VLOOKUP($AC8,Inventario3!$A:$H,2),
IF($B8=4,VLOOKUP($AC8,Inventario4!$A:$H,2),
IF($B8=5,VLOOKUP($AC8,Inventario5!$A:$H,2),
VLOOKUP($AC8,Inventario6!$A:$H,2)
))))),"No equipado")</f>
        <v>Legendario</v>
      </c>
      <c r="AF8" s="10" t="str">
        <f ca="1">IF(ISNUMBER(AC8),
IF($B8=1,VLOOKUP($AC8,Inventario1!$A:$H,3),
IF($B8=2,VLOOKUP($AC8,Inventario2!$A:$H,3),
IF($B8=3,VLOOKUP($AC8,Inventario3!$A:$H,3),
IF($B8=4,VLOOKUP($AC8,Inventario4!$A:$H,3),
IF($B8=5,VLOOKUP($AC8,Inventario5!$A:$H,3),
VLOOKUP($AC8,Inventario6!$A:$H,3)
))))),"")</f>
        <v>Potenciación de la moral</v>
      </c>
      <c r="AG8" s="10" t="str">
        <f ca="1">IF(ISNUMBER(AC8),
IF($B8=1,VLOOKUP($AC8,Inventario1!$A:$H,4),
IF($B8=2,VLOOKUP($AC8,Inventario2!$A:$H,4),
IF($B8=3,VLOOKUP($AC8,Inventario3!$A:$H,4),
IF($B8=4,VLOOKUP($AC8,Inventario4!$A:$H,4),
IF($B8=5,VLOOKUP($AC8,Inventario5!$A:$H,4),
VLOOKUP($AC8,Inventario6!$A:$H,4)
))))),"")</f>
        <v>Ataque poderoso</v>
      </c>
      <c r="AH8" s="10" t="str">
        <f ca="1">IF(ISNUMBER(AC8),
IF($B8=1,VLOOKUP($AC8,Inventario1!$A:$H,5),
IF($B8=2,VLOOKUP($AC8,Inventario2!$A:$H,5),
IF($B8=3,VLOOKUP($AC8,Inventario3!$A:$H,5),
IF($B8=4,VLOOKUP($AC8,Inventario4!$A:$H,5),
IF($B8=5,VLOOKUP($AC8,Inventario5!$A:$H,5),
VLOOKUP($AC8,Inventario6!$A:$H,5)
))))),"")</f>
        <v>Ataque poderoso</v>
      </c>
      <c r="AI8" s="10" t="str">
        <f ca="1">IF(ISNUMBER(AC8),
IF($B8=1,VLOOKUP($AC8,Inventario1!$A:$H,6),
IF($B8=2,VLOOKUP($AC8,Inventario2!$A:$H,6),
IF($B8=3,VLOOKUP($AC8,Inventario3!$A:$H,6),
IF($B8=4,VLOOKUP($AC8,Inventario4!$A:$H,6),
IF($B8=5,VLOOKUP($AC8,Inventario5!$A:$H,6),
VLOOKUP($AC8,Inventario6!$A:$H,6)
))))),"")</f>
        <v>Recepción</v>
      </c>
      <c r="AJ8" s="10" t="str">
        <f ca="1">IF(ISNUMBER(AC8),
IF($B8=1,VLOOKUP($AC8,Inventario1!$A:$H,7),
IF($B8=2,VLOOKUP($AC8,Inventario2!$A:$H,7),
IF($B8=3,VLOOKUP($AC8,Inventario3!$A:$H,7),
IF($B8=4,VLOOKUP($AC8,Inventario4!$A:$H,7),
IF($B8=5,VLOOKUP($AC8,Inventario5!$A:$H,7),
VLOOKUP($AC8,Inventario6!$A:$H,7)
))))),"")</f>
        <v>Saque</v>
      </c>
      <c r="AK8" s="12">
        <f ca="1">IF(ISNUMBER(AC8),
IF($B8=1,VLOOKUP($AC8,Inventario1!$A:$H,8),
IF($B8=2,VLOOKUP($AC8,Inventario2!$A:$H,8),
IF($B8=3,VLOOKUP($AC8,Inventario3!$A:$H,8),
IF($B8=4,VLOOKUP($AC8,Inventario4!$A:$H,8),
IF($B8=5,VLOOKUP($AC8,Inventario5!$A:$H,8),
VLOOKUP($AC8,Inventario6!$A:$H,8)
))))),"")</f>
        <v>0</v>
      </c>
    </row>
    <row r="9" spans="1:37" x14ac:dyDescent="0.25">
      <c r="A9" s="21" t="s">
        <v>7</v>
      </c>
      <c r="B9" s="3">
        <v>2</v>
      </c>
      <c r="C9" s="14" cm="1">
        <f t="array" aca="1" ref="C9" ca="1">_xlfn.LET(
    _xlpm.jugador, A9,
    _xlpm.idSel, AC9,
    _xlpm.invIDs, IF(B9=1,Inventario1!A:A,IF(B9=2,Inventario2!A:A,IF(B9=3,Inventario3!A:A,IF(B9=4,Inventario4!A:A,IF(B9=5,Inventario5!A:A,Inventario6!A:A))))),
    _xlpm.invCalidad, IF(B9=1,Inventario1!B:B,IF(B9=2,Inventario2!B:B,IF(B9=3,Inventario3!B:B,IF(B9=4,Inventario4!B:B,IF(B9=5,Inventario5!B:B,Inventario6!B:B))))),
    _xlpm.invTipos, IF(B9=1,Inventario1!C:C,IF(B9=2,Inventario2!C:C,IF(B9=3,Inventario3!C:C,IF(B9=4,Inventario4!C:C,IF(B9=5,Inventario5!C:C,Inventario6!C:C))))),
    _xlpm.invStats, IF(B9=1,Inventario1!D:H,IF(B9=2,Inventario2!D:H,IF(B9=3,Inventario3!D:H,IF(B9=4,Inventario4!D:H,IF(B9=5,Inventario5!D:H,Inventario6!D:H))))),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IF(ROW(A9)=2,"",IF(_xlfn._xlws.FILTER(Equipar!AC$2:AC8,Equipar!B$2:B8=B9)={0},"",_xlfn._xlws.FILTER(Equipar!AC$2:AC8,Equipar!B$2:B8=B9))),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192</v>
      </c>
      <c r="D9" s="4" cm="1">
        <f t="array" ref="D9">_xlfn.LET(
    _xlpm.jugador, A9,
    _xlpm.idSel, AC9,
    _xlpm.invIDs, IF(B9=1,Inventario1!A:A,IF(B9=2,Inventario2!A:A,IF(B9=3,Inventario3!A:A,IF(B9=4,Inventario4!A:A,IF(B9=5,Inventario5!A:A,Inventario6!A:A))))),
    _xlpm.invCalidad, IF(B9=1,Inventario1!B:B,IF(B9=2,Inventario2!B:B,IF(B9=3,Inventario3!B:B,IF(B9=4,Inventario4!B:B,IF(B9=5,Inventario5!B:B,Inventario6!B:B))))),
    _xlpm.invTipos, IF(B9=1,Inventario1!C:C,IF(B9=2,Inventario2!C:C,IF(B9=3,Inventario3!C:C,IF(B9=4,Inventario4!C:C,IF(B9=5,Inventario5!C:C,Inventario6!C:C))))),
    _xlpm.invStats, IF(B9=1,Inventario1!D:H,IF(B9=2,Inventario2!D:H,IF(B9=3,Inventario3!D:H,IF(B9=4,Inventario4!D:H,IF(B9=5,Inventario5!D:H,Inventario6!D:H))))),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IF(ROW(A9)=2,"",IF(_xlfn._xlws.FILTER(Equipar!AC$2:AC8,Equipar!B$2:B8=B9)={0},"",_xlfn._xlws.FILTER(Equipar!AC$2:AC8,Equipar!B$2:B8=B9))),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45</v>
      </c>
      <c r="E9" s="4" cm="1">
        <f t="array" ref="E9">_xlfn.LET(
    _xlpm.jugador, A9,
    _xlpm.idSel, AC9,
    _xlpm.invIDs, IF(B9=1,Inventario1!A:A,IF(B9=2,Inventario2!A:A,IF(B9=3,Inventario3!A:A,IF(B9=4,Inventario4!A:A,IF(B9=5,Inventario5!A:A,Inventario6!A:A))))),
    _xlpm.invCalidad, IF(B9=1,Inventario1!B:B,IF(B9=2,Inventario2!B:B,IF(B9=3,Inventario3!B:B,IF(B9=4,Inventario4!B:B,IF(B9=5,Inventario5!B:B,Inventario6!B:B))))),
    _xlpm.invTipos, IF(B9=1,Inventario1!C:C,IF(B9=2,Inventario2!C:C,IF(B9=3,Inventario3!C:C,IF(B9=4,Inventario4!C:C,IF(B9=5,Inventario5!C:C,Inventario6!C:C))))),
    _xlpm.invStats, IF(B9=1,Inventario1!D:H,IF(B9=2,Inventario2!D:H,IF(B9=3,Inventario3!D:H,IF(B9=4,Inventario4!D:H,IF(B9=5,Inventario5!D:H,Inventario6!D:H))))),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IF(ROW(A9)=2,"",IF(_xlfn._xlws.FILTER(Equipar!AC$2:AC8,Equipar!B$2:B8=B9)={0},"",_xlfn._xlws.FILTER(Equipar!AC$2:AC8,Equipar!B$2:B8=B9))),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122</v>
      </c>
      <c r="F9" s="4" t="str" cm="1">
        <f t="array" aca="1" ref="F9" ca="1">_xlfn.LET(
    _xlpm.jugador, B9,
    _xlpm.idSel, AD9,
    _xlpm.invIDs, IF(C9=1,Inventario1!B:B,IF(C9=2,Inventario2!B:B,IF(C9=3,Inventario3!B:B,IF(C9=4,Inventario4!B:B,IF(C9=5,Inventario5!B:B,Inventario6!B:B))))),
    _xlpm.invCalidad, IF(C9=1,Inventario1!C:C,IF(C9=2,Inventario2!C:C,IF(C9=3,Inventario3!C:C,IF(C9=4,Inventario4!C:C,IF(C9=5,Inventario5!C:C,Inventario6!C:C))))),
    _xlpm.invTipos, IF(C9=1,Inventario1!D:D,IF(C9=2,Inventario2!D:D,IF(C9=3,Inventario3!D:D,IF(C9=4,Inventario4!D:D,IF(C9=5,Inventario5!D:D,Inventario6!D:D))))),
    _xlpm.invStats, IF(C9=1,Inventario1!E:I,IF(C9=2,Inventario2!E:I,IF(C9=3,Inventario3!E:I,IF(C9=4,Inventario4!E:I,IF(C9=5,Inventario5!E:I,Inventario6!E:I))))),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IF(ROW(B9)=2,"",IF(_xlfn._xlws.FILTER(Equipar!AD$2:AD8,Equipar!C$2:C8=C9)={0},"",_xlfn._xlws.FILTER(Equipar!AD$2:AD8,Equipar!C$2:C8=C9))),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9" s="14" cm="1">
        <f t="array" aca="1" ref="G9" ca="1">_xlfn.LET(
    _xlpm.jugador, A9,
    _xlpm.idSel, AC9,
    _xlpm.invIDs, IF(B9=1,Inventario1!A:A,IF(B9=2,Inventario2!A:A,IF(B9=3,Inventario3!A:A,IF(B9=4,Inventario4!A:A,IF(B9=5,Inventario5!A:A,Inventario6!A:A))))),
    _xlpm.invCalidad, IF(B9=1,Inventario1!B:B,IF(B9=2,Inventario2!B:B,IF(B9=3,Inventario3!B:B,IF(B9=4,Inventario4!B:B,IF(B9=5,Inventario5!B:B,Inventario6!B:B))))),
    _xlpm.invTipos, IF(B9=1,Inventario1!C:C,IF(B9=2,Inventario2!C:C,IF(B9=3,Inventario3!C:C,IF(B9=4,Inventario4!C:C,IF(B9=5,Inventario5!C:C,Inventario6!C:C))))),
    _xlpm.invStats, IF(B9=1,Inventario1!D:H,IF(B9=2,Inventario2!D:H,IF(B9=3,Inventario3!D:H,IF(B9=4,Inventario4!D:H,IF(B9=5,Inventario5!D:H,Inventario6!D:H))))),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IF(ROW(A9)=2,"",IF(_xlfn._xlws.FILTER(Equipar!AC$2:AC8,Equipar!B$2:B8=B9)={0},"",_xlfn._xlws.FILTER(Equipar!AC$2:AC8,Equipar!B$2:B8=B9))),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143.64000000000001</v>
      </c>
      <c r="H9" s="4" cm="1">
        <f t="array" ref="H9">_xlfn.LET(
    _xlpm.jugador, A9,
    _xlpm.idSel, AC9,
    _xlpm.invIDs, IF(B9=1,Inventario1!A:A,IF(B9=2,Inventario2!A:A,IF(B9=3,Inventario3!A:A,IF(B9=4,Inventario4!A:A,IF(B9=5,Inventario5!A:A,Inventario6!A:A))))),
    _xlpm.invCalidad, IF(B9=1,Inventario1!B:B,IF(B9=2,Inventario2!B:B,IF(B9=3,Inventario3!B:B,IF(B9=4,Inventario4!B:B,IF(B9=5,Inventario5!B:B,Inventario6!B:B))))),
    _xlpm.invTipos, IF(B9=1,Inventario1!C:C,IF(B9=2,Inventario2!C:C,IF(B9=3,Inventario3!C:C,IF(B9=4,Inventario4!C:C,IF(B9=5,Inventario5!C:C,Inventario6!C:C))))),
    _xlpm.invStats, IF(B9=1,Inventario1!D:H,IF(B9=2,Inventario2!D:H,IF(B9=3,Inventario3!D:H,IF(B9=4,Inventario4!D:H,IF(B9=5,Inventario5!D:H,Inventario6!D:H))))),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IF(ROW(A9)=2,"",IF(_xlfn._xlws.FILTER(Equipar!AC$2:AC8,Equipar!B$2:B8=B9)={0},"",_xlfn._xlws.FILTER(Equipar!AC$2:AC8,Equipar!B$2:B8=B9))),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I9" s="4" cm="1">
        <f t="array" ref="I9">_xlfn.LET(
    _xlpm.jugador, A9,
    _xlpm.idSel, AC9,
    _xlpm.invIDs, IF(B9=1,Inventario1!A:A,IF(B9=2,Inventario2!A:A,IF(B9=3,Inventario3!A:A,IF(B9=4,Inventario4!A:A,IF(B9=5,Inventario5!A:A,Inventario6!A:A))))),
    _xlpm.invCalidad, IF(B9=1,Inventario1!B:B,IF(B9=2,Inventario2!B:B,IF(B9=3,Inventario3!B:B,IF(B9=4,Inventario4!B:B,IF(B9=5,Inventario5!B:B,Inventario6!B:B))))),
    _xlpm.invTipos, IF(B9=1,Inventario1!C:C,IF(B9=2,Inventario2!C:C,IF(B9=3,Inventario3!C:C,IF(B9=4,Inventario4!C:C,IF(B9=5,Inventario5!C:C,Inventario6!C:C))))),
    _xlpm.invStats, IF(B9=1,Inventario1!D:H,IF(B9=2,Inventario2!D:H,IF(B9=3,Inventario3!D:H,IF(B9=4,Inventario4!D:H,IF(B9=5,Inventario5!D:H,Inventario6!D:H))))),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IF(ROW(A9)=2,"",IF(_xlfn._xlws.FILTER(Equipar!AC$2:AC8,Equipar!B$2:B8=B9)={0},"",_xlfn._xlws.FILTER(Equipar!AC$2:AC8,Equipar!B$2:B8=B9))),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J9" s="4" cm="1">
        <f t="array" aca="1" ref="J9" ca="1">_xlfn.LET(
    _xlpm.jugador, B9,
    _xlpm.idSel, AD9,
    _xlpm.invIDs, IF(C9=1,Inventario1!B:B,IF(C9=2,Inventario2!B:B,IF(C9=3,Inventario3!B:B,IF(C9=4,Inventario4!B:B,IF(C9=5,Inventario5!B:B,Inventario6!B:B))))),
    _xlpm.invCalidad, IF(C9=1,Inventario1!C:C,IF(C9=2,Inventario2!C:C,IF(C9=3,Inventario3!C:C,IF(C9=4,Inventario4!C:C,IF(C9=5,Inventario5!C:C,Inventario6!C:C))))),
    _xlpm.invTipos, IF(C9=1,Inventario1!D:D,IF(C9=2,Inventario2!D:D,IF(C9=3,Inventario3!D:D,IF(C9=4,Inventario4!D:D,IF(C9=5,Inventario5!D:D,Inventario6!D:D))))),
    _xlpm.invStats, IF(C9=1,Inventario1!E:I,IF(C9=2,Inventario2!E:I,IF(C9=3,Inventario3!E:I,IF(C9=4,Inventario4!E:I,IF(C9=5,Inventario5!E:I,Inventario6!E:I))))),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IF(ROW(B9)=2,"",IF(_xlfn._xlws.FILTER(Equipar!AD$2:AD8,Equipar!C$2:C8=C9)={0},"",_xlfn._xlws.FILTER(Equipar!AD$2:AD8,Equipar!C$2:C8=C9))),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9" s="4">
        <f t="shared" ca="1" si="0"/>
        <v>44.640000000000015</v>
      </c>
      <c r="L9" s="4">
        <f t="shared" ca="1" si="1"/>
        <v>23.940000000000012</v>
      </c>
      <c r="M9" s="4">
        <f t="shared" ca="1" si="1"/>
        <v>99</v>
      </c>
      <c r="N9" s="4">
        <f t="shared" si="2"/>
        <v>-20.700000000000003</v>
      </c>
      <c r="O9" s="4">
        <f t="shared" ca="1" si="2"/>
        <v>119.7</v>
      </c>
      <c r="P9" s="14" cm="1">
        <f t="array" aca="1" ref="P9" ca="1">_xlfn.LET(
    _xlpm.ptsPrinBase, _xlfn._xlws.FILTER(G:G, A:A=A9),
    _xlpm.ptsSecBase,  _xlfn._xlws.FILTER(H:H, A:A=A9),
    _xlpm.puntosPrin, _xlpm.ptsPrinBase + _xlfn._xlws.FILTER(B:B, A:A=A9)/1000,
    _xlpm.puntosSec,  _xlpm.ptsSecBase  + _xlfn._xlws.FILTER(B:B, A:A=A9)/1000,
    _xlpm.puntosPrinValidos, SUM(--(_xlpm.ptsPrinBase&gt;0)),
    _xlpm.puntosSecValidos,  SUM(--(_xlpm.ptsSecBase&gt;0)),
    _xlpm.clave, K9 + B9/1000,
    _xlpm.claves, _xlfn._xlws.FILTER(K:K + B:B/1000, A:A=A9),
    IF(AND(_xlpm.puntosPrinValidos&gt;=4,_xlpm.puntosSecValidos&gt;=2),IF(
        SUM(--(_xlpm.claves &gt; _xlpm.clave)) &lt; 4,
        C9,
        D9
    ),"No disp")
)</f>
        <v>192</v>
      </c>
      <c r="Q9" s="14" cm="1">
        <f t="array" aca="1" ref="Q9" ca="1">_xlfn.LET(
    _xlpm.puntosPrin, _xlfn._xlws.FILTER(G:G + B:B/1000, A:A=A9),
    _xlpm.puntosPrinValidos, SUM(--(_xlpm.puntosPrin&gt;1)),
    _xlpm.puntosTer, _xlfn._xlws.FILTER(I:I + B:B/1000, A:A=A9),
    _xlpm.puntosTerValidos, SUM(--(_xlpm.puntosTer&gt;1)),
    _xlpm.clave, L9 + B9/1000,
    _xlpm.claves, _xlfn._xlws.FILTER(L:L + B:B/1000, A:A=A9),
    IF(AND(_xlpm.puntosPrinValidos&gt;=4,_xlpm.puntosTerValidos&gt;=2),IF(
        SUM(--(_xlpm.claves &gt; _xlpm.clave)) &lt; 4,
        C9,
        E9
    ),"No disp")
)</f>
        <v>192</v>
      </c>
      <c r="R9" s="14" t="str" cm="1">
        <f t="array" aca="1" ref="R9" ca="1">_xlfn.LET(
    _xlpm.puntosPrin, _xlfn._xlws.FILTER(G:G + B:B/1000, A:A=A9),
    _xlpm.puntosPrinValidos, SUM(--(_xlpm.puntosPrin&gt;1)),
    _xlpm.puntosTer, _xlfn._xlws.FILTER(J:J + B:B/1000, A:A=A9),
    _xlpm.puntosTerValidos, SUM(--(_xlpm.puntosTer&gt;1)),
    _xlpm.clave, M9 + B9/1000,
    _xlpm.claves, _xlfn._xlws.FILTER(M:M + B:B/1000, A:A=A9),
    IF(AND(_xlpm.puntosPrinValidos&gt;=4,_xlpm.puntosTerValidos&gt;=2),IF(
        SUM(--(_xlpm.claves &gt; _xlpm.clave)) &lt; 4,
        C9,
        F9
    ),"No disp")
)</f>
        <v>No disp</v>
      </c>
      <c r="S9" s="14" cm="1">
        <f t="array" aca="1" ref="S9" ca="1">_xlfn.LET(
    _xlpm.ptsPrinBase, _xlfn._xlws.FILTER(G:G, A:A=A9),
    _xlpm.ptsSecBase,  _xlfn._xlws.FILTER(H:H, A:A=A9),
    _xlpm.puntosPrin, _xlpm.ptsPrinBase + _xlfn._xlws.FILTER(B:B, A:A=A9)/1000,
    _xlpm.puntosSec,  _xlpm.ptsSecBase  + _xlfn._xlws.FILTER(B:B, A:A=A9)/1000,
    _xlpm.puntosPrinValidos, SUM(--(_xlpm.ptsPrinBase&gt;0)),
    _xlpm.puntosSecValidos,  SUM(--(_xlpm.ptsSecBase&gt;0)),
    _xlpm.clave, K9 + B9/1000,
    _xlpm.claves, _xlfn._xlws.FILTER(K:K + B:B/1000, A:A=A9),
    IF(
        AND(_xlpm.puntosPrinValidos&gt;=2, _xlpm.puntosSecValidos&gt;=4),
        IF(
            SUM(--(_xlpm.claves &lt; _xlpm.clave)) &lt; 4,
            D9,
            C9
        ),
        "No disp"
    )
)</f>
        <v>192</v>
      </c>
      <c r="T9" s="14" cm="1">
        <f t="array" ref="T9">_xlfn.LET(
    _xlpm.puntosSec, _xlfn._xlws.FILTER(H:H + B:B/1000, A:A=A9),
    _xlpm.puntosSecValidos, SUM(--(_xlpm.puntosSec&gt;1)),
    _xlpm.puntosAlt, _xlfn._xlws.FILTER(I:I + B:B/1000, A:A=A9),
    _xlpm.puntosAltValidos, SUM(--(_xlpm.puntosAlt&gt;1)),
    _xlpm.clave, N9 + B9/1000,
    _xlpm.claves, _xlfn._xlws.FILTER(N:N + B:B/1000, A:A=A9),
    IF(AND(_xlpm.puntosSecValidos&gt;=4,_xlpm.puntosAltValidos&gt;=2),IF(
        SUM(--(_xlpm.claves &gt; _xlpm.clave)) &lt; 4,
        D9,
        E9
    ),"No disp")
)</f>
        <v>122</v>
      </c>
      <c r="U9" s="14" t="str" cm="1">
        <f t="array" aca="1" ref="U9" ca="1">_xlfn.LET(
    _xlpm.puntosSec, _xlfn._xlws.FILTER(H:H + B:B/1000, A:A=A9),
    _xlpm.puntosSecValidos, SUM(--(_xlpm.puntosSec&gt;1)),
    _xlpm.puntosAlt, _xlfn._xlws.FILTER(J:J + B:B/1000, A:A=A9),
    _xlpm.puntosAltValidos, SUM(--(_xlpm.puntosAlt&gt;1)),
    _xlpm.clave, O9 + B9/1000,
    _xlpm.claves, _xlfn._xlws.FILTER(O:O + B:B/1000, A:A=A9),
    IF(AND(_xlpm.puntosSecValidos&gt;=4,_xlpm.puntosAltValidos&gt;=2),IF(
        SUM(--(_xlpm.claves &gt; _xlpm.clave)) &lt; 4,
        D9,
        F9
    ),"No disp")
)</f>
        <v>No disp</v>
      </c>
      <c r="V9" s="4" cm="1">
        <f t="array" aca="1" ref="V9" ca="1">_xlfn.LET(
_xlpm.PrinIDs,_xlfn._xlws.FILTER(C:C,(A:A=A9)),
_xlpm.SecIDs,_xlfn._xlws.FILTER(D:D,(A:A=A9)),
_xlpm.TerIDs,_xlfn._xlws.FILTER(E:E,A:A=A9),
_xlpm.CuaIDs,_xlfn._xlws.FILTER(F:F,(A:A=A9)),
_xlpm.PrinPts,_xlfn._xlws.FILTER(G:G,(A:A=A9)),
_xlpm.SecPts,_xlfn._xlws.FILTER(H:H,(A:A=A9)),
_xlpm.TerPts,_xlfn._xlws.FILTER(I:I,(A:A=A9)),
_xlpm.CuaPts,_xlfn._xlws.FILTER(J:J,(A:A=A9)),
_xlpm.PSIds,_xlfn._xlws.FILTER(P:P,A:A=A9),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856.17000000000007</v>
      </c>
      <c r="W9" s="4" cm="1">
        <f t="array" aca="1" ref="W9" ca="1">_xlfn.LET(
_xlpm.PrinIDs,_xlfn._xlws.FILTER(C:C,(A:A=A9)),
_xlpm.SecIDs,_xlfn._xlws.FILTER(D:D,(A:A=A9)),
_xlpm.TerIDs,_xlfn._xlws.FILTER(E:E,A:A=A9),
_xlpm.CuaIDs,_xlfn._xlws.FILTER(F:F,(A:A=A9)),
_xlpm.PrinPts,_xlfn._xlws.FILTER(G:G,(A:A=A9)),
_xlpm.SecPts,_xlfn._xlws.FILTER(H:H,(A:A=A9)),
_xlpm.TerPts,_xlfn._xlws.FILTER(I:I,(A:A=A9)),
_xlpm.CuaPts,_xlfn._xlws.FILTER(J:J,(A:A=A9)),
_xlpm.PTIds,_xlfn._xlws.FILTER(Q:Q,A:A=A9),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868.1400000000001</v>
      </c>
      <c r="X9" s="4" cm="1">
        <f t="array" aca="1" ref="X9" ca="1">_xlfn.LET(
_xlpm.PrinIDs,_xlfn._xlws.FILTER(C:C,(A:A=A9)),
_xlpm.SecIDs,_xlfn._xlws.FILTER(D:D,(A:A=A9)),
_xlpm.TerIDs,_xlfn._xlws.FILTER(E:E,A:A=A9),
_xlpm.CuaIDs,_xlfn._xlws.FILTER(F:F,(A:A=A9)),
_xlpm.PrinPts,_xlfn._xlws.FILTER(G:G,(A:A=A9)),
_xlpm.SecPts,_xlfn._xlws.FILTER(H:H,(A:A=A9)),
_xlpm.TerPts,_xlfn._xlws.FILTER(I:I,(A:A=A9)),
_xlpm.CuaPts,_xlfn._xlws.FILTER(J:J,(A:A=A9)),
_xlpm.PCIds,_xlfn._xlws.FILTER(R:R,A:A=A9),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9" s="4" cm="1">
        <f t="array" aca="1" ref="Y9" ca="1">_xlfn.LET(
_xlpm.PrinIDs,_xlfn._xlws.FILTER(C:C,(A:A=A9)),
_xlpm.SecIDs,_xlfn._xlws.FILTER(D:D,(A:A=A9)),
_xlpm.AltIDs,_xlfn._xlws.FILTER(E:E,A:A=A9),
_xlpm.PrinPts,_xlfn._xlws.FILTER(G:G,(A:A=A9)),
_xlpm.SecPts,_xlfn._xlws.FILTER(H:H,(A:A=A9)),
_xlpm.AltPts,_xlfn._xlws.FILTER(I:I,(A:A=A9)),
_xlpm.SPIds,_xlfn._xlws.FILTER(S:S,A:A=A9),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817.56000000000006</v>
      </c>
      <c r="Z9" s="4" cm="1">
        <f t="array" aca="1" ref="Z9" ca="1">_xlfn.LET(
_xlpm.PrinIDs,_xlfn._xlws.FILTER(C:C,(A:A=A9)),
_xlpm.SecIDs,_xlfn._xlws.FILTER(D:D,(A:A=A9)),
_xlpm.TerIDs,_xlfn._xlws.FILTER(E:E,A:A=A9),
_xlpm.CuaIDs,_xlfn._xlws.FILTER(F:F,(A:A=A9)),
_xlpm.PrinPts,_xlfn._xlws.FILTER(G:G,(A:A=A9)),
_xlpm.SecPts,_xlfn._xlws.FILTER(H:H,(A:A=A9)),
_xlpm.TerPts,_xlfn._xlws.FILTER(I:I,(A:A=A9)),
_xlpm.CuaPts,_xlfn._xlws.FILTER(J:J,(A:A=A9)),
_xlpm.STIds,_xlfn._xlws.FILTER(T:T,A:A=A9),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817.56000000000006</v>
      </c>
      <c r="AA9" s="4" cm="1">
        <f t="array" aca="1" ref="AA9" ca="1">_xlfn.LET(
_xlpm.PrinIDs,_xlfn._xlws.FILTER(C:C,(A:A=A9)),
_xlpm.SecIDs,_xlfn._xlws.FILTER(D:D,(A:A=A9)),
_xlpm.TerIDs,_xlfn._xlws.FILTER(E:E,A:A=A9),
_xlpm.CuaIDs,_xlfn._xlws.FILTER(F:F,(A:A=A9)),
_xlpm.PrinPts,_xlfn._xlws.FILTER(G:G,(A:A=A9)),
_xlpm.SecPts,_xlfn._xlws.FILTER(H:H,(A:A=A9)),
_xlpm.TerPts,_xlfn._xlws.FILTER(I:I,(A:A=A9)),
_xlpm.CuaPts,_xlfn._xlws.FILTER(J:J,(A:A=A9)),
_xlpm.SCIds,_xlfn._xlws.FILTER(U:U,A:A=A9),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9" s="14">
        <f t="shared" ca="1" si="3"/>
        <v>192</v>
      </c>
      <c r="AC9" s="14">
        <v>192</v>
      </c>
      <c r="AD9" s="4"/>
      <c r="AE9" s="14" t="str">
        <f ca="1">IF(ISNUMBER(AC9),
IF($B9=1,VLOOKUP($AC9,Inventario1!$A:$H,2),
IF($B9=2,VLOOKUP($AC9,Inventario2!$A:$H,2),
IF($B9=3,VLOOKUP($AC9,Inventario3!$A:$H,2),
IF($B9=4,VLOOKUP($AC9,Inventario4!$A:$H,2),
IF($B9=5,VLOOKUP($AC9,Inventario5!$A:$H,2),
VLOOKUP($AC9,Inventario6!$A:$H,2)
))))),"No equipado")</f>
        <v>Legendario</v>
      </c>
      <c r="AF9" s="14" t="str">
        <f ca="1">IF(ISNUMBER(AC9),
IF($B9=1,VLOOKUP($AC9,Inventario1!$A:$H,3),
IF($B9=2,VLOOKUP($AC9,Inventario2!$A:$H,3),
IF($B9=3,VLOOKUP($AC9,Inventario3!$A:$H,3),
IF($B9=4,VLOOKUP($AC9,Inventario4!$A:$H,3),
IF($B9=5,VLOOKUP($AC9,Inventario5!$A:$H,3),
VLOOKUP($AC9,Inventario6!$A:$H,3)
))))),"")</f>
        <v>Poder vibrante</v>
      </c>
      <c r="AG9" s="14" t="str">
        <f ca="1">IF(ISNUMBER(AC9),
IF($B9=1,VLOOKUP($AC9,Inventario1!$A:$H,4),
IF($B9=2,VLOOKUP($AC9,Inventario2!$A:$H,4),
IF($B9=3,VLOOKUP($AC9,Inventario3!$A:$H,4),
IF($B9=4,VLOOKUP($AC9,Inventario4!$A:$H,4),
IF($B9=5,VLOOKUP($AC9,Inventario5!$A:$H,4),
VLOOKUP($AC9,Inventario6!$A:$H,4)
))))),"")</f>
        <v>Ataque poderoso</v>
      </c>
      <c r="AH9" s="14" t="str">
        <f ca="1">IF(ISNUMBER(AC9),
IF($B9=1,VLOOKUP($AC9,Inventario1!$A:$H,5),
IF($B9=2,VLOOKUP($AC9,Inventario2!$A:$H,5),
IF($B9=3,VLOOKUP($AC9,Inventario3!$A:$H,5),
IF($B9=4,VLOOKUP($AC9,Inventario4!$A:$H,5),
IF($B9=5,VLOOKUP($AC9,Inventario5!$A:$H,5),
VLOOKUP($AC9,Inventario6!$A:$H,5)
))))),"")</f>
        <v>Colocación</v>
      </c>
      <c r="AI9" s="14" t="str">
        <f ca="1">IF(ISNUMBER(AC9),
IF($B9=1,VLOOKUP($AC9,Inventario1!$A:$H,6),
IF($B9=2,VLOOKUP($AC9,Inventario2!$A:$H,6),
IF($B9=3,VLOOKUP($AC9,Inventario3!$A:$H,6),
IF($B9=4,VLOOKUP($AC9,Inventario4!$A:$H,6),
IF($B9=5,VLOOKUP($AC9,Inventario5!$A:$H,6),
VLOOKUP($AC9,Inventario6!$A:$H,6)
))))),"")</f>
        <v>Recepción</v>
      </c>
      <c r="AJ9" s="14" t="str">
        <f ca="1">IF(ISNUMBER(AC9),
IF($B9=1,VLOOKUP($AC9,Inventario1!$A:$H,7),
IF($B9=2,VLOOKUP($AC9,Inventario2!$A:$H,7),
IF($B9=3,VLOOKUP($AC9,Inventario3!$A:$H,7),
IF($B9=4,VLOOKUP($AC9,Inventario4!$A:$H,7),
IF($B9=5,VLOOKUP($AC9,Inventario5!$A:$H,7),
VLOOKUP($AC9,Inventario6!$A:$H,7)
))))),"")</f>
        <v>Fuerza</v>
      </c>
      <c r="AK9" s="15">
        <f ca="1">IF(ISNUMBER(AC9),
IF($B9=1,VLOOKUP($AC9,Inventario1!$A:$H,8),
IF($B9=2,VLOOKUP($AC9,Inventario2!$A:$H,8),
IF($B9=3,VLOOKUP($AC9,Inventario3!$A:$H,8),
IF($B9=4,VLOOKUP($AC9,Inventario4!$A:$H,8),
IF($B9=5,VLOOKUP($AC9,Inventario5!$A:$H,8),
VLOOKUP($AC9,Inventario6!$A:$H,8)
))))),"")</f>
        <v>0</v>
      </c>
    </row>
    <row r="10" spans="1:37" x14ac:dyDescent="0.25">
      <c r="A10" s="21" t="s">
        <v>7</v>
      </c>
      <c r="B10" s="3">
        <v>3</v>
      </c>
      <c r="C10" s="14" cm="1">
        <f t="array" ref="C10">_xlfn.LET(
    _xlpm.jugador, A10,
    _xlpm.idSel, AC10,
    _xlpm.invIDs, IF(B10=1,Inventario1!A:A,IF(B10=2,Inventario2!A:A,IF(B10=3,Inventario3!A:A,IF(B10=4,Inventario4!A:A,IF(B10=5,Inventario5!A:A,Inventario6!A:A))))),
    _xlpm.invCalidad, IF(B10=1,Inventario1!B:B,IF(B10=2,Inventario2!B:B,IF(B10=3,Inventario3!B:B,IF(B10=4,Inventario4!B:B,IF(B10=5,Inventario5!B:B,Inventario6!B:B))))),
    _xlpm.invTipos, IF(B10=1,Inventario1!C:C,IF(B10=2,Inventario2!C:C,IF(B10=3,Inventario3!C:C,IF(B10=4,Inventario4!C:C,IF(B10=5,Inventario5!C:C,Inventario6!C:C))))),
    _xlpm.invStats, IF(B10=1,Inventario1!D:H,IF(B10=2,Inventario2!D:H,IF(B10=3,Inventario3!D:H,IF(B10=4,Inventario4!D:H,IF(B10=5,Inventario5!D:H,Inventario6!D:H))))),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IF(ROW(A10)=2,"",IF(_xlfn._xlws.FILTER(Equipar!AC$2:AC9,Equipar!B$2:B9=B10)={0},"",_xlfn._xlws.FILTER(Equipar!AC$2:AC9,Equipar!B$2:B9=B10))),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164</v>
      </c>
      <c r="D10" s="4" cm="1">
        <f t="array" ref="D10">_xlfn.LET(
    _xlpm.jugador, A10,
    _xlpm.idSel, AC10,
    _xlpm.invIDs, IF(B10=1,Inventario1!A:A,IF(B10=2,Inventario2!A:A,IF(B10=3,Inventario3!A:A,IF(B10=4,Inventario4!A:A,IF(B10=5,Inventario5!A:A,Inventario6!A:A))))),
    _xlpm.invCalidad, IF(B10=1,Inventario1!B:B,IF(B10=2,Inventario2!B:B,IF(B10=3,Inventario3!B:B,IF(B10=4,Inventario4!B:B,IF(B10=5,Inventario5!B:B,Inventario6!B:B))))),
    _xlpm.invTipos, IF(B10=1,Inventario1!C:C,IF(B10=2,Inventario2!C:C,IF(B10=3,Inventario3!C:C,IF(B10=4,Inventario4!C:C,IF(B10=5,Inventario5!C:C,Inventario6!C:C))))),
    _xlpm.invStats, IF(B10=1,Inventario1!D:H,IF(B10=2,Inventario2!D:H,IF(B10=3,Inventario3!D:H,IF(B10=4,Inventario4!D:H,IF(B10=5,Inventario5!D:H,Inventario6!D:H))))),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IF(ROW(A10)=2,"",IF(_xlfn._xlws.FILTER(Equipar!AC$2:AC9,Equipar!B$2:B9=B10)={0},"",_xlfn._xlws.FILTER(Equipar!AC$2:AC9,Equipar!B$2:B9=B10))),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6</v>
      </c>
      <c r="E10" s="4" t="str" cm="1">
        <f t="array" ref="E10">_xlfn.LET(
    _xlpm.jugador, A10,
    _xlpm.idSel, AC10,
    _xlpm.invIDs, IF(B10=1,Inventario1!A:A,IF(B10=2,Inventario2!A:A,IF(B10=3,Inventario3!A:A,IF(B10=4,Inventario4!A:A,IF(B10=5,Inventario5!A:A,Inventario6!A:A))))),
    _xlpm.invCalidad, IF(B10=1,Inventario1!B:B,IF(B10=2,Inventario2!B:B,IF(B10=3,Inventario3!B:B,IF(B10=4,Inventario4!B:B,IF(B10=5,Inventario5!B:B,Inventario6!B:B))))),
    _xlpm.invTipos, IF(B10=1,Inventario1!C:C,IF(B10=2,Inventario2!C:C,IF(B10=3,Inventario3!C:C,IF(B10=4,Inventario4!C:C,IF(B10=5,Inventario5!C:C,Inventario6!C:C))))),
    _xlpm.invStats, IF(B10=1,Inventario1!D:H,IF(B10=2,Inventario2!D:H,IF(B10=3,Inventario3!D:H,IF(B10=4,Inventario4!D:H,IF(B10=5,Inventario5!D:H,Inventario6!D:H))))),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IF(ROW(A10)=2,"",IF(_xlfn._xlws.FILTER(Equipar!AC$2:AC9,Equipar!B$2:B9=B10)={0},"",_xlfn._xlws.FILTER(Equipar!AC$2:AC9,Equipar!B$2:B9=B10))),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10" s="4" t="str" cm="1">
        <f t="array" aca="1" ref="F10" ca="1">_xlfn.LET(
    _xlpm.jugador, B10,
    _xlpm.idSel, AD10,
    _xlpm.invIDs, IF(C10=1,Inventario1!B:B,IF(C10=2,Inventario2!B:B,IF(C10=3,Inventario3!B:B,IF(C10=4,Inventario4!B:B,IF(C10=5,Inventario5!B:B,Inventario6!B:B))))),
    _xlpm.invCalidad, IF(C10=1,Inventario1!C:C,IF(C10=2,Inventario2!C:C,IF(C10=3,Inventario3!C:C,IF(C10=4,Inventario4!C:C,IF(C10=5,Inventario5!C:C,Inventario6!C:C))))),
    _xlpm.invTipos, IF(C10=1,Inventario1!D:D,IF(C10=2,Inventario2!D:D,IF(C10=3,Inventario3!D:D,IF(C10=4,Inventario4!D:D,IF(C10=5,Inventario5!D:D,Inventario6!D:D))))),
    _xlpm.invStats, IF(C10=1,Inventario1!E:I,IF(C10=2,Inventario2!E:I,IF(C10=3,Inventario3!E:I,IF(C10=4,Inventario4!E:I,IF(C10=5,Inventario5!E:I,Inventario6!E:I))))),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IF(ROW(B10)=2,"",IF(_xlfn._xlws.FILTER(Equipar!AD$2:AD9,Equipar!C$2:C9=C10)={0},"",_xlfn._xlws.FILTER(Equipar!AD$2:AD9,Equipar!C$2:C9=C10))),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0" s="14" cm="1">
        <f t="array" aca="1" ref="G10" ca="1">_xlfn.LET(
    _xlpm.jugador, A10,
    _xlpm.idSel, AC10,
    _xlpm.invIDs, IF(B10=1,Inventario1!A:A,IF(B10=2,Inventario2!A:A,IF(B10=3,Inventario3!A:A,IF(B10=4,Inventario4!A:A,IF(B10=5,Inventario5!A:A,Inventario6!A:A))))),
    _xlpm.invCalidad, IF(B10=1,Inventario1!B:B,IF(B10=2,Inventario2!B:B,IF(B10=3,Inventario3!B:B,IF(B10=4,Inventario4!B:B,IF(B10=5,Inventario5!B:B,Inventario6!B:B))))),
    _xlpm.invTipos, IF(B10=1,Inventario1!C:C,IF(B10=2,Inventario2!C:C,IF(B10=3,Inventario3!C:C,IF(B10=4,Inventario4!C:C,IF(B10=5,Inventario5!C:C,Inventario6!C:C))))),
    _xlpm.invStats, IF(B10=1,Inventario1!D:H,IF(B10=2,Inventario2!D:H,IF(B10=3,Inventario3!D:H,IF(B10=4,Inventario4!D:H,IF(B10=5,Inventario5!D:H,Inventario6!D:H))))),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IF(ROW(A10)=2,"",IF(_xlfn._xlws.FILTER(Equipar!AC$2:AC9,Equipar!B$2:B9=B10)={0},"",_xlfn._xlws.FILTER(Equipar!AC$2:AC9,Equipar!B$2:B9=B10))),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126</v>
      </c>
      <c r="H10" s="4" cm="1">
        <f t="array" ref="H10">_xlfn.LET(
    _xlpm.jugador, A10,
    _xlpm.idSel, AC10,
    _xlpm.invIDs, IF(B10=1,Inventario1!A:A,IF(B10=2,Inventario2!A:A,IF(B10=3,Inventario3!A:A,IF(B10=4,Inventario4!A:A,IF(B10=5,Inventario5!A:A,Inventario6!A:A))))),
    _xlpm.invCalidad, IF(B10=1,Inventario1!B:B,IF(B10=2,Inventario2!B:B,IF(B10=3,Inventario3!B:B,IF(B10=4,Inventario4!B:B,IF(B10=5,Inventario5!B:B,Inventario6!B:B))))),
    _xlpm.invTipos, IF(B10=1,Inventario1!C:C,IF(B10=2,Inventario2!C:C,IF(B10=3,Inventario3!C:C,IF(B10=4,Inventario4!C:C,IF(B10=5,Inventario5!C:C,Inventario6!C:C))))),
    _xlpm.invStats, IF(B10=1,Inventario1!D:H,IF(B10=2,Inventario2!D:H,IF(B10=3,Inventario3!D:H,IF(B10=4,Inventario4!D:H,IF(B10=5,Inventario5!D:H,Inventario6!D:H))))),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IF(ROW(A10)=2,"",IF(_xlfn._xlws.FILTER(Equipar!AC$2:AC9,Equipar!B$2:B9=B10)={0},"",_xlfn._xlws.FILTER(Equipar!AC$2:AC9,Equipar!B$2:B9=B10))),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155.61000000000001</v>
      </c>
      <c r="I10" s="4" cm="1">
        <f t="array" ref="I10">_xlfn.LET(
    _xlpm.jugador, A10,
    _xlpm.idSel, AC10,
    _xlpm.invIDs, IF(B10=1,Inventario1!A:A,IF(B10=2,Inventario2!A:A,IF(B10=3,Inventario3!A:A,IF(B10=4,Inventario4!A:A,IF(B10=5,Inventario5!A:A,Inventario6!A:A))))),
    _xlpm.invCalidad, IF(B10=1,Inventario1!B:B,IF(B10=2,Inventario2!B:B,IF(B10=3,Inventario3!B:B,IF(B10=4,Inventario4!B:B,IF(B10=5,Inventario5!B:B,Inventario6!B:B))))),
    _xlpm.invTipos, IF(B10=1,Inventario1!C:C,IF(B10=2,Inventario2!C:C,IF(B10=3,Inventario3!C:C,IF(B10=4,Inventario4!C:C,IF(B10=5,Inventario5!C:C,Inventario6!C:C))))),
    _xlpm.invStats, IF(B10=1,Inventario1!D:H,IF(B10=2,Inventario2!D:H,IF(B10=3,Inventario3!D:H,IF(B10=4,Inventario4!D:H,IF(B10=5,Inventario5!D:H,Inventario6!D:H))))),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IF(ROW(A10)=2,"",IF(_xlfn._xlws.FILTER(Equipar!AC$2:AC9,Equipar!B$2:B9=B10)={0},"",_xlfn._xlws.FILTER(Equipar!AC$2:AC9,Equipar!B$2:B9=B10))),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10" s="4" cm="1">
        <f t="array" aca="1" ref="J10" ca="1">_xlfn.LET(
    _xlpm.jugador, B10,
    _xlpm.idSel, AD10,
    _xlpm.invIDs, IF(C10=1,Inventario1!B:B,IF(C10=2,Inventario2!B:B,IF(C10=3,Inventario3!B:B,IF(C10=4,Inventario4!B:B,IF(C10=5,Inventario5!B:B,Inventario6!B:B))))),
    _xlpm.invCalidad, IF(C10=1,Inventario1!C:C,IF(C10=2,Inventario2!C:C,IF(C10=3,Inventario3!C:C,IF(C10=4,Inventario4!C:C,IF(C10=5,Inventario5!C:C,Inventario6!C:C))))),
    _xlpm.invTipos, IF(C10=1,Inventario1!D:D,IF(C10=2,Inventario2!D:D,IF(C10=3,Inventario3!D:D,IF(C10=4,Inventario4!D:D,IF(C10=5,Inventario5!D:D,Inventario6!D:D))))),
    _xlpm.invStats, IF(C10=1,Inventario1!E:I,IF(C10=2,Inventario2!E:I,IF(C10=3,Inventario3!E:I,IF(C10=4,Inventario4!E:I,IF(C10=5,Inventario5!E:I,Inventario6!E:I))))),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IF(ROW(B10)=2,"",IF(_xlfn._xlws.FILTER(Equipar!AD$2:AD9,Equipar!C$2:C9=C10)={0},"",_xlfn._xlws.FILTER(Equipar!AD$2:AD9,Equipar!C$2:C9=C10))),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0" s="4">
        <f t="shared" ca="1" si="0"/>
        <v>-29.610000000000014</v>
      </c>
      <c r="L10" s="4">
        <f t="shared" ca="1" si="1"/>
        <v>126</v>
      </c>
      <c r="M10" s="4">
        <f t="shared" ca="1" si="1"/>
        <v>155.61000000000001</v>
      </c>
      <c r="N10" s="4">
        <f t="shared" si="2"/>
        <v>155.61000000000001</v>
      </c>
      <c r="O10" s="4">
        <f t="shared" ca="1" si="2"/>
        <v>0</v>
      </c>
      <c r="P10" s="14" cm="1">
        <f t="array" aca="1" ref="P10" ca="1">_xlfn.LET(
    _xlpm.ptsPrinBase, _xlfn._xlws.FILTER(G:G, A:A=A10),
    _xlpm.ptsSecBase,  _xlfn._xlws.FILTER(H:H, A:A=A10),
    _xlpm.puntosPrin, _xlpm.ptsPrinBase + _xlfn._xlws.FILTER(B:B, A:A=A10)/1000,
    _xlpm.puntosSec,  _xlpm.ptsSecBase  + _xlfn._xlws.FILTER(B:B, A:A=A10)/1000,
    _xlpm.puntosPrinValidos, SUM(--(_xlpm.ptsPrinBase&gt;0)),
    _xlpm.puntosSecValidos,  SUM(--(_xlpm.ptsSecBase&gt;0)),
    _xlpm.clave, K10 + B10/1000,
    _xlpm.claves, _xlfn._xlws.FILTER(K:K + B:B/1000, A:A=A10),
    IF(AND(_xlpm.puntosPrinValidos&gt;=4,_xlpm.puntosSecValidos&gt;=2),IF(
        SUM(--(_xlpm.claves &gt; _xlpm.clave)) &lt; 4,
        C10,
        D10
    ),"No disp")
)</f>
        <v>6</v>
      </c>
      <c r="Q10" s="14" cm="1">
        <f t="array" aca="1" ref="Q10" ca="1">_xlfn.LET(
    _xlpm.puntosPrin, _xlfn._xlws.FILTER(G:G + B:B/1000, A:A=A10),
    _xlpm.puntosPrinValidos, SUM(--(_xlpm.puntosPrin&gt;1)),
    _xlpm.puntosTer, _xlfn._xlws.FILTER(I:I + B:B/1000, A:A=A10),
    _xlpm.puntosTerValidos, SUM(--(_xlpm.puntosTer&gt;1)),
    _xlpm.clave, L10 + B10/1000,
    _xlpm.claves, _xlfn._xlws.FILTER(L:L + B:B/1000, A:A=A10),
    IF(AND(_xlpm.puntosPrinValidos&gt;=4,_xlpm.puntosTerValidos&gt;=2),IF(
        SUM(--(_xlpm.claves &gt; _xlpm.clave)) &lt; 4,
        C10,
        E10
    ),"No disp")
)</f>
        <v>164</v>
      </c>
      <c r="R10" s="14" t="str" cm="1">
        <f t="array" aca="1" ref="R10" ca="1">_xlfn.LET(
    _xlpm.puntosPrin, _xlfn._xlws.FILTER(G:G + B:B/1000, A:A=A10),
    _xlpm.puntosPrinValidos, SUM(--(_xlpm.puntosPrin&gt;1)),
    _xlpm.puntosTer, _xlfn._xlws.FILTER(J:J + B:B/1000, A:A=A10),
    _xlpm.puntosTerValidos, SUM(--(_xlpm.puntosTer&gt;1)),
    _xlpm.clave, M10 + B10/1000,
    _xlpm.claves, _xlfn._xlws.FILTER(M:M + B:B/1000, A:A=A10),
    IF(AND(_xlpm.puntosPrinValidos&gt;=4,_xlpm.puntosTerValidos&gt;=2),IF(
        SUM(--(_xlpm.claves &gt; _xlpm.clave)) &lt; 4,
        C10,
        F10
    ),"No disp")
)</f>
        <v>No disp</v>
      </c>
      <c r="S10" s="14" cm="1">
        <f t="array" aca="1" ref="S10" ca="1">_xlfn.LET(
    _xlpm.ptsPrinBase, _xlfn._xlws.FILTER(G:G, A:A=A10),
    _xlpm.ptsSecBase,  _xlfn._xlws.FILTER(H:H, A:A=A10),
    _xlpm.puntosPrin, _xlpm.ptsPrinBase + _xlfn._xlws.FILTER(B:B, A:A=A10)/1000,
    _xlpm.puntosSec,  _xlpm.ptsSecBase  + _xlfn._xlws.FILTER(B:B, A:A=A10)/1000,
    _xlpm.puntosPrinValidos, SUM(--(_xlpm.ptsPrinBase&gt;0)),
    _xlpm.puntosSecValidos,  SUM(--(_xlpm.ptsSecBase&gt;0)),
    _xlpm.clave, K10 + B10/1000,
    _xlpm.claves, _xlfn._xlws.FILTER(K:K + B:B/1000, A:A=A10),
    IF(
        AND(_xlpm.puntosPrinValidos&gt;=2, _xlpm.puntosSecValidos&gt;=4),
        IF(
            SUM(--(_xlpm.claves &lt; _xlpm.clave)) &lt; 4,
            D10,
            C10
        ),
        "No disp"
    )
)</f>
        <v>6</v>
      </c>
      <c r="T10" s="14" cm="1">
        <f t="array" ref="T10">_xlfn.LET(
    _xlpm.puntosSec, _xlfn._xlws.FILTER(H:H + B:B/1000, A:A=A10),
    _xlpm.puntosSecValidos, SUM(--(_xlpm.puntosSec&gt;1)),
    _xlpm.puntosAlt, _xlfn._xlws.FILTER(I:I + B:B/1000, A:A=A10),
    _xlpm.puntosAltValidos, SUM(--(_xlpm.puntosAlt&gt;1)),
    _xlpm.clave, N10 + B10/1000,
    _xlpm.claves, _xlfn._xlws.FILTER(N:N + B:B/1000, A:A=A10),
    IF(AND(_xlpm.puntosSecValidos&gt;=4,_xlpm.puntosAltValidos&gt;=2),IF(
        SUM(--(_xlpm.claves &gt; _xlpm.clave)) &lt; 4,
        D10,
        E10
    ),"No disp")
)</f>
        <v>6</v>
      </c>
      <c r="U10" s="14" t="str" cm="1">
        <f t="array" aca="1" ref="U10" ca="1">_xlfn.LET(
    _xlpm.puntosSec, _xlfn._xlws.FILTER(H:H + B:B/1000, A:A=A10),
    _xlpm.puntosSecValidos, SUM(--(_xlpm.puntosSec&gt;1)),
    _xlpm.puntosAlt, _xlfn._xlws.FILTER(J:J + B:B/1000, A:A=A10),
    _xlpm.puntosAltValidos, SUM(--(_xlpm.puntosAlt&gt;1)),
    _xlpm.clave, O10 + B10/1000,
    _xlpm.claves, _xlfn._xlws.FILTER(O:O + B:B/1000, A:A=A10),
    IF(AND(_xlpm.puntosSecValidos&gt;=4,_xlpm.puntosAltValidos&gt;=2),IF(
        SUM(--(_xlpm.claves &gt; _xlpm.clave)) &lt; 4,
        D10,
        F10
    ),"No disp")
)</f>
        <v>No disp</v>
      </c>
      <c r="V10" s="4" cm="1">
        <f t="array" aca="1" ref="V10" ca="1">_xlfn.LET(
_xlpm.PrinIDs,_xlfn._xlws.FILTER(C:C,(A:A=A10)),
_xlpm.SecIDs,_xlfn._xlws.FILTER(D:D,(A:A=A10)),
_xlpm.TerIDs,_xlfn._xlws.FILTER(E:E,A:A=A10),
_xlpm.CuaIDs,_xlfn._xlws.FILTER(F:F,(A:A=A10)),
_xlpm.PrinPts,_xlfn._xlws.FILTER(G:G,(A:A=A10)),
_xlpm.SecPts,_xlfn._xlws.FILTER(H:H,(A:A=A10)),
_xlpm.TerPts,_xlfn._xlws.FILTER(I:I,(A:A=A10)),
_xlpm.CuaPts,_xlfn._xlws.FILTER(J:J,(A:A=A10)),
_xlpm.PSIds,_xlfn._xlws.FILTER(P:P,A:A=A10),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856.17000000000007</v>
      </c>
      <c r="W10" s="4" cm="1">
        <f t="array" aca="1" ref="W10" ca="1">_xlfn.LET(
_xlpm.PrinIDs,_xlfn._xlws.FILTER(C:C,(A:A=A10)),
_xlpm.SecIDs,_xlfn._xlws.FILTER(D:D,(A:A=A10)),
_xlpm.TerIDs,_xlfn._xlws.FILTER(E:E,A:A=A10),
_xlpm.CuaIDs,_xlfn._xlws.FILTER(F:F,(A:A=A10)),
_xlpm.PrinPts,_xlfn._xlws.FILTER(G:G,(A:A=A10)),
_xlpm.SecPts,_xlfn._xlws.FILTER(H:H,(A:A=A10)),
_xlpm.TerPts,_xlfn._xlws.FILTER(I:I,(A:A=A10)),
_xlpm.CuaPts,_xlfn._xlws.FILTER(J:J,(A:A=A10)),
_xlpm.PTIds,_xlfn._xlws.FILTER(Q:Q,A:A=A10),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868.1400000000001</v>
      </c>
      <c r="X10" s="4" cm="1">
        <f t="array" aca="1" ref="X10" ca="1">_xlfn.LET(
_xlpm.PrinIDs,_xlfn._xlws.FILTER(C:C,(A:A=A10)),
_xlpm.SecIDs,_xlfn._xlws.FILTER(D:D,(A:A=A10)),
_xlpm.TerIDs,_xlfn._xlws.FILTER(E:E,A:A=A10),
_xlpm.CuaIDs,_xlfn._xlws.FILTER(F:F,(A:A=A10)),
_xlpm.PrinPts,_xlfn._xlws.FILTER(G:G,(A:A=A10)),
_xlpm.SecPts,_xlfn._xlws.FILTER(H:H,(A:A=A10)),
_xlpm.TerPts,_xlfn._xlws.FILTER(I:I,(A:A=A10)),
_xlpm.CuaPts,_xlfn._xlws.FILTER(J:J,(A:A=A10)),
_xlpm.PCIds,_xlfn._xlws.FILTER(R:R,A:A=A10),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0" s="4" cm="1">
        <f t="array" aca="1" ref="Y10" ca="1">_xlfn.LET(
_xlpm.PrinIDs,_xlfn._xlws.FILTER(C:C,(A:A=A10)),
_xlpm.SecIDs,_xlfn._xlws.FILTER(D:D,(A:A=A10)),
_xlpm.AltIDs,_xlfn._xlws.FILTER(E:E,A:A=A10),
_xlpm.PrinPts,_xlfn._xlws.FILTER(G:G,(A:A=A10)),
_xlpm.SecPts,_xlfn._xlws.FILTER(H:H,(A:A=A10)),
_xlpm.AltPts,_xlfn._xlws.FILTER(I:I,(A:A=A10)),
_xlpm.SPIds,_xlfn._xlws.FILTER(S:S,A:A=A10),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817.56000000000006</v>
      </c>
      <c r="Z10" s="4" cm="1">
        <f t="array" aca="1" ref="Z10" ca="1">_xlfn.LET(
_xlpm.PrinIDs,_xlfn._xlws.FILTER(C:C,(A:A=A10)),
_xlpm.SecIDs,_xlfn._xlws.FILTER(D:D,(A:A=A10)),
_xlpm.TerIDs,_xlfn._xlws.FILTER(E:E,A:A=A10),
_xlpm.CuaIDs,_xlfn._xlws.FILTER(F:F,(A:A=A10)),
_xlpm.PrinPts,_xlfn._xlws.FILTER(G:G,(A:A=A10)),
_xlpm.SecPts,_xlfn._xlws.FILTER(H:H,(A:A=A10)),
_xlpm.TerPts,_xlfn._xlws.FILTER(I:I,(A:A=A10)),
_xlpm.CuaPts,_xlfn._xlws.FILTER(J:J,(A:A=A10)),
_xlpm.STIds,_xlfn._xlws.FILTER(T:T,A:A=A10),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817.56000000000006</v>
      </c>
      <c r="AA10" s="4" cm="1">
        <f t="array" aca="1" ref="AA10" ca="1">_xlfn.LET(
_xlpm.PrinIDs,_xlfn._xlws.FILTER(C:C,(A:A=A10)),
_xlpm.SecIDs,_xlfn._xlws.FILTER(D:D,(A:A=A10)),
_xlpm.TerIDs,_xlfn._xlws.FILTER(E:E,A:A=A10),
_xlpm.CuaIDs,_xlfn._xlws.FILTER(F:F,(A:A=A10)),
_xlpm.PrinPts,_xlfn._xlws.FILTER(G:G,(A:A=A10)),
_xlpm.SecPts,_xlfn._xlws.FILTER(H:H,(A:A=A10)),
_xlpm.TerPts,_xlfn._xlws.FILTER(I:I,(A:A=A10)),
_xlpm.CuaPts,_xlfn._xlws.FILTER(J:J,(A:A=A10)),
_xlpm.SCIds,_xlfn._xlws.FILTER(U:U,A:A=A10),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0" s="14">
        <f t="shared" ca="1" si="3"/>
        <v>164</v>
      </c>
      <c r="AC10" s="14">
        <v>164</v>
      </c>
      <c r="AD10" s="4"/>
      <c r="AE10" s="14" t="str">
        <f ca="1">IF(ISNUMBER(AC10),
IF($B10=1,VLOOKUP($AC10,Inventario1!$A:$H,2),
IF($B10=2,VLOOKUP($AC10,Inventario2!$A:$H,2),
IF($B10=3,VLOOKUP($AC10,Inventario3!$A:$H,2),
IF($B10=4,VLOOKUP($AC10,Inventario4!$A:$H,2),
IF($B10=5,VLOOKUP($AC10,Inventario5!$A:$H,2),
VLOOKUP($AC10,Inventario6!$A:$H,2)
))))),"No equipado")</f>
        <v>Épico</v>
      </c>
      <c r="AF10" s="14" t="str">
        <f ca="1">IF(ISNUMBER(AC10),
IF($B10=1,VLOOKUP($AC10,Inventario1!$A:$H,3),
IF($B10=2,VLOOKUP($AC10,Inventario2!$A:$H,3),
IF($B10=3,VLOOKUP($AC10,Inventario3!$A:$H,3),
IF($B10=4,VLOOKUP($AC10,Inventario4!$A:$H,3),
IF($B10=5,VLOOKUP($AC10,Inventario5!$A:$H,3),
VLOOKUP($AC10,Inventario6!$A:$H,3)
))))),"")</f>
        <v>Poder vibrante</v>
      </c>
      <c r="AG10" s="14" t="str">
        <f ca="1">IF(ISNUMBER(AC10),
IF($B10=1,VLOOKUP($AC10,Inventario1!$A:$H,4),
IF($B10=2,VLOOKUP($AC10,Inventario2!$A:$H,4),
IF($B10=3,VLOOKUP($AC10,Inventario3!$A:$H,4),
IF($B10=4,VLOOKUP($AC10,Inventario4!$A:$H,4),
IF($B10=5,VLOOKUP($AC10,Inventario5!$A:$H,4),
VLOOKUP($AC10,Inventario6!$A:$H,4)
))))),"")</f>
        <v>Saque</v>
      </c>
      <c r="AH10" s="14" t="str">
        <f ca="1">IF(ISNUMBER(AC10),
IF($B10=1,VLOOKUP($AC10,Inventario1!$A:$H,5),
IF($B10=2,VLOOKUP($AC10,Inventario2!$A:$H,5),
IF($B10=3,VLOOKUP($AC10,Inventario3!$A:$H,5),
IF($B10=4,VLOOKUP($AC10,Inventario4!$A:$H,5),
IF($B10=5,VLOOKUP($AC10,Inventario5!$A:$H,5),
VLOOKUP($AC10,Inventario6!$A:$H,5)
))))),"")</f>
        <v>Fuerza</v>
      </c>
      <c r="AI10" s="14" t="str">
        <f ca="1">IF(ISNUMBER(AC10),
IF($B10=1,VLOOKUP($AC10,Inventario1!$A:$H,6),
IF($B10=2,VLOOKUP($AC10,Inventario2!$A:$H,6),
IF($B10=3,VLOOKUP($AC10,Inventario3!$A:$H,6),
IF($B10=4,VLOOKUP($AC10,Inventario4!$A:$H,6),
IF($B10=5,VLOOKUP($AC10,Inventario5!$A:$H,6),
VLOOKUP($AC10,Inventario6!$A:$H,6)
))))),"")</f>
        <v>Ataque poderoso</v>
      </c>
      <c r="AJ10" s="14" t="str">
        <f ca="1">IF(ISNUMBER(AC10),
IF($B10=1,VLOOKUP($AC10,Inventario1!$A:$H,7),
IF($B10=2,VLOOKUP($AC10,Inventario2!$A:$H,7),
IF($B10=3,VLOOKUP($AC10,Inventario3!$A:$H,7),
IF($B10=4,VLOOKUP($AC10,Inventario4!$A:$H,7),
IF($B10=5,VLOOKUP($AC10,Inventario5!$A:$H,7),
VLOOKUP($AC10,Inventario6!$A:$H,7)
))))),"")</f>
        <v>Recepción</v>
      </c>
      <c r="AK10" s="15">
        <f ca="1">IF(ISNUMBER(AC10),
IF($B10=1,VLOOKUP($AC10,Inventario1!$A:$H,8),
IF($B10=2,VLOOKUP($AC10,Inventario2!$A:$H,8),
IF($B10=3,VLOOKUP($AC10,Inventario3!$A:$H,8),
IF($B10=4,VLOOKUP($AC10,Inventario4!$A:$H,8),
IF($B10=5,VLOOKUP($AC10,Inventario5!$A:$H,8),
VLOOKUP($AC10,Inventario6!$A:$H,8)
))))),"")</f>
        <v>0</v>
      </c>
    </row>
    <row r="11" spans="1:37" x14ac:dyDescent="0.25">
      <c r="A11" s="21" t="s">
        <v>7</v>
      </c>
      <c r="B11" s="3">
        <v>4</v>
      </c>
      <c r="C11" s="14" cm="1">
        <f t="array" ref="C11">_xlfn.LET(
    _xlpm.jugador, A11,
    _xlpm.idSel, AC11,
    _xlpm.invIDs, IF(B11=1,Inventario1!A:A,IF(B11=2,Inventario2!A:A,IF(B11=3,Inventario3!A:A,IF(B11=4,Inventario4!A:A,IF(B11=5,Inventario5!A:A,Inventario6!A:A))))),
    _xlpm.invCalidad, IF(B11=1,Inventario1!B:B,IF(B11=2,Inventario2!B:B,IF(B11=3,Inventario3!B:B,IF(B11=4,Inventario4!B:B,IF(B11=5,Inventario5!B:B,Inventario6!B:B))))),
    _xlpm.invTipos, IF(B11=1,Inventario1!C:C,IF(B11=2,Inventario2!C:C,IF(B11=3,Inventario3!C:C,IF(B11=4,Inventario4!C:C,IF(B11=5,Inventario5!C:C,Inventario6!C:C))))),
    _xlpm.invStats, IF(B11=1,Inventario1!D:H,IF(B11=2,Inventario2!D:H,IF(B11=3,Inventario3!D:H,IF(B11=4,Inventario4!D:H,IF(B11=5,Inventario5!D:H,Inventario6!D:H))))),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IF(ROW(A11)=2,"",IF(_xlfn._xlws.FILTER(Equipar!AC$2:AC10,Equipar!B$2:B10=B11)={0},"",_xlfn._xlws.FILTER(Equipar!AC$2:AC10,Equipar!B$2:B10=B11))),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8</v>
      </c>
      <c r="D11" s="4" cm="1">
        <f t="array" ref="D11">_xlfn.LET(
    _xlpm.jugador, A11,
    _xlpm.idSel, AC11,
    _xlpm.invIDs, IF(B11=1,Inventario1!A:A,IF(B11=2,Inventario2!A:A,IF(B11=3,Inventario3!A:A,IF(B11=4,Inventario4!A:A,IF(B11=5,Inventario5!A:A,Inventario6!A:A))))),
    _xlpm.invCalidad, IF(B11=1,Inventario1!B:B,IF(B11=2,Inventario2!B:B,IF(B11=3,Inventario3!B:B,IF(B11=4,Inventario4!B:B,IF(B11=5,Inventario5!B:B,Inventario6!B:B))))),
    _xlpm.invTipos, IF(B11=1,Inventario1!C:C,IF(B11=2,Inventario2!C:C,IF(B11=3,Inventario3!C:C,IF(B11=4,Inventario4!C:C,IF(B11=5,Inventario5!C:C,Inventario6!C:C))))),
    _xlpm.invStats, IF(B11=1,Inventario1!D:H,IF(B11=2,Inventario2!D:H,IF(B11=3,Inventario3!D:H,IF(B11=4,Inventario4!D:H,IF(B11=5,Inventario5!D:H,Inventario6!D:H))))),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IF(ROW(A11)=2,"",IF(_xlfn._xlws.FILTER(Equipar!AC$2:AC10,Equipar!B$2:B10=B11)={0},"",_xlfn._xlws.FILTER(Equipar!AC$2:AC10,Equipar!B$2:B10=B11))),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17</v>
      </c>
      <c r="E11" s="4" cm="1">
        <f t="array" ref="E11">_xlfn.LET(
    _xlpm.jugador, A11,
    _xlpm.idSel, AC11,
    _xlpm.invIDs, IF(B11=1,Inventario1!A:A,IF(B11=2,Inventario2!A:A,IF(B11=3,Inventario3!A:A,IF(B11=4,Inventario4!A:A,IF(B11=5,Inventario5!A:A,Inventario6!A:A))))),
    _xlpm.invCalidad, IF(B11=1,Inventario1!B:B,IF(B11=2,Inventario2!B:B,IF(B11=3,Inventario3!B:B,IF(B11=4,Inventario4!B:B,IF(B11=5,Inventario5!B:B,Inventario6!B:B))))),
    _xlpm.invTipos, IF(B11=1,Inventario1!C:C,IF(B11=2,Inventario2!C:C,IF(B11=3,Inventario3!C:C,IF(B11=4,Inventario4!C:C,IF(B11=5,Inventario5!C:C,Inventario6!C:C))))),
    _xlpm.invStats, IF(B11=1,Inventario1!D:H,IF(B11=2,Inventario2!D:H,IF(B11=3,Inventario3!D:H,IF(B11=4,Inventario4!D:H,IF(B11=5,Inventario5!D:H,Inventario6!D:H))))),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IF(ROW(A11)=2,"",IF(_xlfn._xlws.FILTER(Equipar!AC$2:AC10,Equipar!B$2:B10=B11)={0},"",_xlfn._xlws.FILTER(Equipar!AC$2:AC10,Equipar!B$2:B10=B11))),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247</v>
      </c>
      <c r="F11" s="4" t="str" cm="1">
        <f t="array" aca="1" ref="F11" ca="1">_xlfn.LET(
    _xlpm.jugador, B11,
    _xlpm.idSel, AD11,
    _xlpm.invIDs, IF(C11=1,Inventario1!B:B,IF(C11=2,Inventario2!B:B,IF(C11=3,Inventario3!B:B,IF(C11=4,Inventario4!B:B,IF(C11=5,Inventario5!B:B,Inventario6!B:B))))),
    _xlpm.invCalidad, IF(C11=1,Inventario1!C:C,IF(C11=2,Inventario2!C:C,IF(C11=3,Inventario3!C:C,IF(C11=4,Inventario4!C:C,IF(C11=5,Inventario5!C:C,Inventario6!C:C))))),
    _xlpm.invTipos, IF(C11=1,Inventario1!D:D,IF(C11=2,Inventario2!D:D,IF(C11=3,Inventario3!D:D,IF(C11=4,Inventario4!D:D,IF(C11=5,Inventario5!D:D,Inventario6!D:D))))),
    _xlpm.invStats, IF(C11=1,Inventario1!E:I,IF(C11=2,Inventario2!E:I,IF(C11=3,Inventario3!E:I,IF(C11=4,Inventario4!E:I,IF(C11=5,Inventario5!E:I,Inventario6!E:I))))),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IF(ROW(B11)=2,"",IF(_xlfn._xlws.FILTER(Equipar!AD$2:AD10,Equipar!C$2:C10=C11)={0},"",_xlfn._xlws.FILTER(Equipar!AD$2:AD10,Equipar!C$2:C10=C11))),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1" s="14" cm="1">
        <f t="array" ref="G11">_xlfn.LET(
    _xlpm.jugador, A11,
    _xlpm.idSel, AC11,
    _xlpm.invIDs, IF(B11=1,Inventario1!A:A,IF(B11=2,Inventario2!A:A,IF(B11=3,Inventario3!A:A,IF(B11=4,Inventario4!A:A,IF(B11=5,Inventario5!A:A,Inventario6!A:A))))),
    _xlpm.invCalidad, IF(B11=1,Inventario1!B:B,IF(B11=2,Inventario2!B:B,IF(B11=3,Inventario3!B:B,IF(B11=4,Inventario4!B:B,IF(B11=5,Inventario5!B:B,Inventario6!B:B))))),
    _xlpm.invTipos, IF(B11=1,Inventario1!C:C,IF(B11=2,Inventario2!C:C,IF(B11=3,Inventario3!C:C,IF(B11=4,Inventario4!C:C,IF(B11=5,Inventario5!C:C,Inventario6!C:C))))),
    _xlpm.invStats, IF(B11=1,Inventario1!D:H,IF(B11=2,Inventario2!D:H,IF(B11=3,Inventario3!D:H,IF(B11=4,Inventario4!D:H,IF(B11=5,Inventario5!D:H,Inventario6!D:H))))),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IF(ROW(A11)=2,"",IF(_xlfn._xlws.FILTER(Equipar!AC$2:AC10,Equipar!B$2:B10=B11)={0},"",_xlfn._xlws.FILTER(Equipar!AC$2:AC10,Equipar!B$2:B10=B11))),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90</v>
      </c>
      <c r="H11" s="4" cm="1">
        <f t="array" ref="H11">_xlfn.LET(
    _xlpm.jugador, A11,
    _xlpm.idSel, AC11,
    _xlpm.invIDs, IF(B11=1,Inventario1!A:A,IF(B11=2,Inventario2!A:A,IF(B11=3,Inventario3!A:A,IF(B11=4,Inventario4!A:A,IF(B11=5,Inventario5!A:A,Inventario6!A:A))))),
    _xlpm.invCalidad, IF(B11=1,Inventario1!B:B,IF(B11=2,Inventario2!B:B,IF(B11=3,Inventario3!B:B,IF(B11=4,Inventario4!B:B,IF(B11=5,Inventario5!B:B,Inventario6!B:B))))),
    _xlpm.invTipos, IF(B11=1,Inventario1!C:C,IF(B11=2,Inventario2!C:C,IF(B11=3,Inventario3!C:C,IF(B11=4,Inventario4!C:C,IF(B11=5,Inventario5!C:C,Inventario6!C:C))))),
    _xlpm.invStats, IF(B11=1,Inventario1!D:H,IF(B11=2,Inventario2!D:H,IF(B11=3,Inventario3!D:H,IF(B11=4,Inventario4!D:H,IF(B11=5,Inventario5!D:H,Inventario6!D:H))))),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IF(ROW(A11)=2,"",IF(_xlfn._xlws.FILTER(Equipar!AC$2:AC10,Equipar!B$2:B10=B11)={0},"",_xlfn._xlws.FILTER(Equipar!AC$2:AC10,Equipar!B$2:B10=B11))),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126</v>
      </c>
      <c r="I11" s="4" cm="1">
        <f t="array" ref="I11">_xlfn.LET(
    _xlpm.jugador, A11,
    _xlpm.idSel, AC11,
    _xlpm.invIDs, IF(B11=1,Inventario1!A:A,IF(B11=2,Inventario2!A:A,IF(B11=3,Inventario3!A:A,IF(B11=4,Inventario4!A:A,IF(B11=5,Inventario5!A:A,Inventario6!A:A))))),
    _xlpm.invCalidad, IF(B11=1,Inventario1!B:B,IF(B11=2,Inventario2!B:B,IF(B11=3,Inventario3!B:B,IF(B11=4,Inventario4!B:B,IF(B11=5,Inventario5!B:B,Inventario6!B:B))))),
    _xlpm.invTipos, IF(B11=1,Inventario1!C:C,IF(B11=2,Inventario2!C:C,IF(B11=3,Inventario3!C:C,IF(B11=4,Inventario4!C:C,IF(B11=5,Inventario5!C:C,Inventario6!C:C))))),
    _xlpm.invStats, IF(B11=1,Inventario1!D:H,IF(B11=2,Inventario2!D:H,IF(B11=3,Inventario3!D:H,IF(B11=4,Inventario4!D:H,IF(B11=5,Inventario5!D:H,Inventario6!D:H))))),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IF(ROW(A11)=2,"",IF(_xlfn._xlws.FILTER(Equipar!AC$2:AC10,Equipar!B$2:B10=B11)={0},"",_xlfn._xlws.FILTER(Equipar!AC$2:AC10,Equipar!B$2:B10=B11))),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143.64000000000001</v>
      </c>
      <c r="J11" s="4" cm="1">
        <f t="array" aca="1" ref="J11" ca="1">_xlfn.LET(
    _xlpm.jugador, B11,
    _xlpm.idSel, AD11,
    _xlpm.invIDs, IF(C11=1,Inventario1!B:B,IF(C11=2,Inventario2!B:B,IF(C11=3,Inventario3!B:B,IF(C11=4,Inventario4!B:B,IF(C11=5,Inventario5!B:B,Inventario6!B:B))))),
    _xlpm.invCalidad, IF(C11=1,Inventario1!C:C,IF(C11=2,Inventario2!C:C,IF(C11=3,Inventario3!C:C,IF(C11=4,Inventario4!C:C,IF(C11=5,Inventario5!C:C,Inventario6!C:C))))),
    _xlpm.invTipos, IF(C11=1,Inventario1!D:D,IF(C11=2,Inventario2!D:D,IF(C11=3,Inventario3!D:D,IF(C11=4,Inventario4!D:D,IF(C11=5,Inventario5!D:D,Inventario6!D:D))))),
    _xlpm.invStats, IF(C11=1,Inventario1!E:I,IF(C11=2,Inventario2!E:I,IF(C11=3,Inventario3!E:I,IF(C11=4,Inventario4!E:I,IF(C11=5,Inventario5!E:I,Inventario6!E:I))))),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IF(ROW(B11)=2,"",IF(_xlfn._xlws.FILTER(Equipar!AD$2:AD10,Equipar!C$2:C10=C11)={0},"",_xlfn._xlws.FILTER(Equipar!AD$2:AD10,Equipar!C$2:C10=C11))),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1" s="4">
        <f t="shared" si="0"/>
        <v>-36</v>
      </c>
      <c r="L11" s="4">
        <f t="shared" si="1"/>
        <v>-53.640000000000015</v>
      </c>
      <c r="M11" s="4">
        <f t="shared" ca="1" si="1"/>
        <v>126</v>
      </c>
      <c r="N11" s="4">
        <f t="shared" si="2"/>
        <v>-17.640000000000015</v>
      </c>
      <c r="O11" s="4">
        <f t="shared" ca="1" si="2"/>
        <v>143.64000000000001</v>
      </c>
      <c r="P11" s="14" cm="1">
        <f t="array" aca="1" ref="P11" ca="1">_xlfn.LET(
    _xlpm.ptsPrinBase, _xlfn._xlws.FILTER(G:G, A:A=A11),
    _xlpm.ptsSecBase,  _xlfn._xlws.FILTER(H:H, A:A=A11),
    _xlpm.puntosPrin, _xlpm.ptsPrinBase + _xlfn._xlws.FILTER(B:B, A:A=A11)/1000,
    _xlpm.puntosSec,  _xlpm.ptsSecBase  + _xlfn._xlws.FILTER(B:B, A:A=A11)/1000,
    _xlpm.puntosPrinValidos, SUM(--(_xlpm.ptsPrinBase&gt;0)),
    _xlpm.puntosSecValidos,  SUM(--(_xlpm.ptsSecBase&gt;0)),
    _xlpm.clave, K11 + B11/1000,
    _xlpm.claves, _xlfn._xlws.FILTER(K:K + B:B/1000, A:A=A11),
    IF(AND(_xlpm.puntosPrinValidos&gt;=4,_xlpm.puntosSecValidos&gt;=2),IF(
        SUM(--(_xlpm.claves &gt; _xlpm.clave)) &lt; 4,
        C11,
        D11
    ),"No disp")
)</f>
        <v>17</v>
      </c>
      <c r="Q11" s="14" cm="1">
        <f t="array" aca="1" ref="Q11" ca="1">_xlfn.LET(
    _xlpm.puntosPrin, _xlfn._xlws.FILTER(G:G + B:B/1000, A:A=A11),
    _xlpm.puntosPrinValidos, SUM(--(_xlpm.puntosPrin&gt;1)),
    _xlpm.puntosTer, _xlfn._xlws.FILTER(I:I + B:B/1000, A:A=A11),
    _xlpm.puntosTerValidos, SUM(--(_xlpm.puntosTer&gt;1)),
    _xlpm.clave, L11 + B11/1000,
    _xlpm.claves, _xlfn._xlws.FILTER(L:L + B:B/1000, A:A=A11),
    IF(AND(_xlpm.puntosPrinValidos&gt;=4,_xlpm.puntosTerValidos&gt;=2),IF(
        SUM(--(_xlpm.claves &gt; _xlpm.clave)) &lt; 4,
        C11,
        E11
    ),"No disp")
)</f>
        <v>247</v>
      </c>
      <c r="R11" s="14" t="str" cm="1">
        <f t="array" aca="1" ref="R11" ca="1">_xlfn.LET(
    _xlpm.puntosPrin, _xlfn._xlws.FILTER(G:G + B:B/1000, A:A=A11),
    _xlpm.puntosPrinValidos, SUM(--(_xlpm.puntosPrin&gt;1)),
    _xlpm.puntosTer, _xlfn._xlws.FILTER(J:J + B:B/1000, A:A=A11),
    _xlpm.puntosTerValidos, SUM(--(_xlpm.puntosTer&gt;1)),
    _xlpm.clave, M11 + B11/1000,
    _xlpm.claves, _xlfn._xlws.FILTER(M:M + B:B/1000, A:A=A11),
    IF(AND(_xlpm.puntosPrinValidos&gt;=4,_xlpm.puntosTerValidos&gt;=2),IF(
        SUM(--(_xlpm.claves &gt; _xlpm.clave)) &lt; 4,
        C11,
        F11
    ),"No disp")
)</f>
        <v>No disp</v>
      </c>
      <c r="S11" s="14" cm="1">
        <f t="array" aca="1" ref="S11" ca="1">_xlfn.LET(
    _xlpm.ptsPrinBase, _xlfn._xlws.FILTER(G:G, A:A=A11),
    _xlpm.ptsSecBase,  _xlfn._xlws.FILTER(H:H, A:A=A11),
    _xlpm.puntosPrin, _xlpm.ptsPrinBase + _xlfn._xlws.FILTER(B:B, A:A=A11)/1000,
    _xlpm.puntosSec,  _xlpm.ptsSecBase  + _xlfn._xlws.FILTER(B:B, A:A=A11)/1000,
    _xlpm.puntosPrinValidos, SUM(--(_xlpm.ptsPrinBase&gt;0)),
    _xlpm.puntosSecValidos,  SUM(--(_xlpm.ptsSecBase&gt;0)),
    _xlpm.clave, K11 + B11/1000,
    _xlpm.claves, _xlfn._xlws.FILTER(K:K + B:B/1000, A:A=A11),
    IF(
        AND(_xlpm.puntosPrinValidos&gt;=2, _xlpm.puntosSecValidos&gt;=4),
        IF(
            SUM(--(_xlpm.claves &lt; _xlpm.clave)) &lt; 4,
            D11,
            C11
        ),
        "No disp"
    )
)</f>
        <v>17</v>
      </c>
      <c r="T11" s="14" cm="1">
        <f t="array" ref="T11">_xlfn.LET(
    _xlpm.puntosSec, _xlfn._xlws.FILTER(H:H + B:B/1000, A:A=A11),
    _xlpm.puntosSecValidos, SUM(--(_xlpm.puntosSec&gt;1)),
    _xlpm.puntosAlt, _xlfn._xlws.FILTER(I:I + B:B/1000, A:A=A11),
    _xlpm.puntosAltValidos, SUM(--(_xlpm.puntosAlt&gt;1)),
    _xlpm.clave, N11 + B11/1000,
    _xlpm.claves, _xlfn._xlws.FILTER(N:N + B:B/1000, A:A=A11),
    IF(AND(_xlpm.puntosSecValidos&gt;=4,_xlpm.puntosAltValidos&gt;=2),IF(
        SUM(--(_xlpm.claves &gt; _xlpm.clave)) &lt; 4,
        D11,
        E11
    ),"No disp")
)</f>
        <v>17</v>
      </c>
      <c r="U11" s="14" t="str" cm="1">
        <f t="array" aca="1" ref="U11" ca="1">_xlfn.LET(
    _xlpm.puntosSec, _xlfn._xlws.FILTER(H:H + B:B/1000, A:A=A11),
    _xlpm.puntosSecValidos, SUM(--(_xlpm.puntosSec&gt;1)),
    _xlpm.puntosAlt, _xlfn._xlws.FILTER(J:J + B:B/1000, A:A=A11),
    _xlpm.puntosAltValidos, SUM(--(_xlpm.puntosAlt&gt;1)),
    _xlpm.clave, O11 + B11/1000,
    _xlpm.claves, _xlfn._xlws.FILTER(O:O + B:B/1000, A:A=A11),
    IF(AND(_xlpm.puntosSecValidos&gt;=4,_xlpm.puntosAltValidos&gt;=2),IF(
        SUM(--(_xlpm.claves &gt; _xlpm.clave)) &lt; 4,
        D11,
        F11
    ),"No disp")
)</f>
        <v>No disp</v>
      </c>
      <c r="V11" s="4" cm="1">
        <f t="array" aca="1" ref="V11" ca="1">_xlfn.LET(
_xlpm.PrinIDs,_xlfn._xlws.FILTER(C:C,(A:A=A11)),
_xlpm.SecIDs,_xlfn._xlws.FILTER(D:D,(A:A=A11)),
_xlpm.TerIDs,_xlfn._xlws.FILTER(E:E,A:A=A11),
_xlpm.CuaIDs,_xlfn._xlws.FILTER(F:F,(A:A=A11)),
_xlpm.PrinPts,_xlfn._xlws.FILTER(G:G,(A:A=A11)),
_xlpm.SecPts,_xlfn._xlws.FILTER(H:H,(A:A=A11)),
_xlpm.TerPts,_xlfn._xlws.FILTER(I:I,(A:A=A11)),
_xlpm.CuaPts,_xlfn._xlws.FILTER(J:J,(A:A=A11)),
_xlpm.PSIds,_xlfn._xlws.FILTER(P:P,A:A=A11),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856.17000000000007</v>
      </c>
      <c r="W11" s="4" cm="1">
        <f t="array" aca="1" ref="W11" ca="1">_xlfn.LET(
_xlpm.PrinIDs,_xlfn._xlws.FILTER(C:C,(A:A=A11)),
_xlpm.SecIDs,_xlfn._xlws.FILTER(D:D,(A:A=A11)),
_xlpm.TerIDs,_xlfn._xlws.FILTER(E:E,A:A=A11),
_xlpm.CuaIDs,_xlfn._xlws.FILTER(F:F,(A:A=A11)),
_xlpm.PrinPts,_xlfn._xlws.FILTER(G:G,(A:A=A11)),
_xlpm.SecPts,_xlfn._xlws.FILTER(H:H,(A:A=A11)),
_xlpm.TerPts,_xlfn._xlws.FILTER(I:I,(A:A=A11)),
_xlpm.CuaPts,_xlfn._xlws.FILTER(J:J,(A:A=A11)),
_xlpm.PTIds,_xlfn._xlws.FILTER(Q:Q,A:A=A11),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868.1400000000001</v>
      </c>
      <c r="X11" s="4" cm="1">
        <f t="array" aca="1" ref="X11" ca="1">_xlfn.LET(
_xlpm.PrinIDs,_xlfn._xlws.FILTER(C:C,(A:A=A11)),
_xlpm.SecIDs,_xlfn._xlws.FILTER(D:D,(A:A=A11)),
_xlpm.TerIDs,_xlfn._xlws.FILTER(E:E,A:A=A11),
_xlpm.CuaIDs,_xlfn._xlws.FILTER(F:F,(A:A=A11)),
_xlpm.PrinPts,_xlfn._xlws.FILTER(G:G,(A:A=A11)),
_xlpm.SecPts,_xlfn._xlws.FILTER(H:H,(A:A=A11)),
_xlpm.TerPts,_xlfn._xlws.FILTER(I:I,(A:A=A11)),
_xlpm.CuaPts,_xlfn._xlws.FILTER(J:J,(A:A=A11)),
_xlpm.PCIds,_xlfn._xlws.FILTER(R:R,A:A=A11),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1" s="4" cm="1">
        <f t="array" aca="1" ref="Y11" ca="1">_xlfn.LET(
_xlpm.PrinIDs,_xlfn._xlws.FILTER(C:C,(A:A=A11)),
_xlpm.SecIDs,_xlfn._xlws.FILTER(D:D,(A:A=A11)),
_xlpm.AltIDs,_xlfn._xlws.FILTER(E:E,A:A=A11),
_xlpm.PrinPts,_xlfn._xlws.FILTER(G:G,(A:A=A11)),
_xlpm.SecPts,_xlfn._xlws.FILTER(H:H,(A:A=A11)),
_xlpm.AltPts,_xlfn._xlws.FILTER(I:I,(A:A=A11)),
_xlpm.SPIds,_xlfn._xlws.FILTER(S:S,A:A=A11),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817.56000000000006</v>
      </c>
      <c r="Z11" s="4" cm="1">
        <f t="array" aca="1" ref="Z11" ca="1">_xlfn.LET(
_xlpm.PrinIDs,_xlfn._xlws.FILTER(C:C,(A:A=A11)),
_xlpm.SecIDs,_xlfn._xlws.FILTER(D:D,(A:A=A11)),
_xlpm.TerIDs,_xlfn._xlws.FILTER(E:E,A:A=A11),
_xlpm.CuaIDs,_xlfn._xlws.FILTER(F:F,(A:A=A11)),
_xlpm.PrinPts,_xlfn._xlws.FILTER(G:G,(A:A=A11)),
_xlpm.SecPts,_xlfn._xlws.FILTER(H:H,(A:A=A11)),
_xlpm.TerPts,_xlfn._xlws.FILTER(I:I,(A:A=A11)),
_xlpm.CuaPts,_xlfn._xlws.FILTER(J:J,(A:A=A11)),
_xlpm.STIds,_xlfn._xlws.FILTER(T:T,A:A=A11),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817.56000000000006</v>
      </c>
      <c r="AA11" s="4" cm="1">
        <f t="array" aca="1" ref="AA11" ca="1">_xlfn.LET(
_xlpm.PrinIDs,_xlfn._xlws.FILTER(C:C,(A:A=A11)),
_xlpm.SecIDs,_xlfn._xlws.FILTER(D:D,(A:A=A11)),
_xlpm.TerIDs,_xlfn._xlws.FILTER(E:E,A:A=A11),
_xlpm.CuaIDs,_xlfn._xlws.FILTER(F:F,(A:A=A11)),
_xlpm.PrinPts,_xlfn._xlws.FILTER(G:G,(A:A=A11)),
_xlpm.SecPts,_xlfn._xlws.FILTER(H:H,(A:A=A11)),
_xlpm.TerPts,_xlfn._xlws.FILTER(I:I,(A:A=A11)),
_xlpm.CuaPts,_xlfn._xlws.FILTER(J:J,(A:A=A11)),
_xlpm.SCIds,_xlfn._xlws.FILTER(U:U,A:A=A11),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1" s="14">
        <f t="shared" ca="1" si="3"/>
        <v>247</v>
      </c>
      <c r="AC11" s="14">
        <v>247</v>
      </c>
      <c r="AD11" s="4"/>
      <c r="AE11" s="14" t="str">
        <f ca="1">IF(ISNUMBER(AC11),
IF($B11=1,VLOOKUP($AC11,Inventario1!$A:$H,2),
IF($B11=2,VLOOKUP($AC11,Inventario2!$A:$H,2),
IF($B11=3,VLOOKUP($AC11,Inventario3!$A:$H,2),
IF($B11=4,VLOOKUP($AC11,Inventario4!$A:$H,2),
IF($B11=5,VLOOKUP($AC11,Inventario5!$A:$H,2),
VLOOKUP($AC11,Inventario6!$A:$H,2)
))))),"No equipado")</f>
        <v>Legendario</v>
      </c>
      <c r="AF11" s="14" t="str">
        <f ca="1">IF(ISNUMBER(AC11),
IF($B11=1,VLOOKUP($AC11,Inventario1!$A:$H,3),
IF($B11=2,VLOOKUP($AC11,Inventario2!$A:$H,3),
IF($B11=3,VLOOKUP($AC11,Inventario3!$A:$H,3),
IF($B11=4,VLOOKUP($AC11,Inventario4!$A:$H,3),
IF($B11=5,VLOOKUP($AC11,Inventario5!$A:$H,3),
VLOOKUP($AC11,Inventario6!$A:$H,3)
))))),"")</f>
        <v>Potenciación de la moral</v>
      </c>
      <c r="AG11" s="14" t="str">
        <f ca="1">IF(ISNUMBER(AC11),
IF($B11=1,VLOOKUP($AC11,Inventario1!$A:$H,4),
IF($B11=2,VLOOKUP($AC11,Inventario2!$A:$H,4),
IF($B11=3,VLOOKUP($AC11,Inventario3!$A:$H,4),
IF($B11=4,VLOOKUP($AC11,Inventario4!$A:$H,4),
IF($B11=5,VLOOKUP($AC11,Inventario5!$A:$H,4),
VLOOKUP($AC11,Inventario6!$A:$H,4)
))))),"")</f>
        <v>Recepción</v>
      </c>
      <c r="AH11" s="14" t="str">
        <f ca="1">IF(ISNUMBER(AC11),
IF($B11=1,VLOOKUP($AC11,Inventario1!$A:$H,5),
IF($B11=2,VLOOKUP($AC11,Inventario2!$A:$H,5),
IF($B11=3,VLOOKUP($AC11,Inventario3!$A:$H,5),
IF($B11=4,VLOOKUP($AC11,Inventario4!$A:$H,5),
IF($B11=5,VLOOKUP($AC11,Inventario5!$A:$H,5),
VLOOKUP($AC11,Inventario6!$A:$H,5)
))))),"")</f>
        <v>Saque</v>
      </c>
      <c r="AI11" s="14" t="str">
        <f ca="1">IF(ISNUMBER(AC11),
IF($B11=1,VLOOKUP($AC11,Inventario1!$A:$H,6),
IF($B11=2,VLOOKUP($AC11,Inventario2!$A:$H,6),
IF($B11=3,VLOOKUP($AC11,Inventario3!$A:$H,6),
IF($B11=4,VLOOKUP($AC11,Inventario4!$A:$H,6),
IF($B11=5,VLOOKUP($AC11,Inventario5!$A:$H,6),
VLOOKUP($AC11,Inventario6!$A:$H,6)
))))),"")</f>
        <v>Ataque poderoso</v>
      </c>
      <c r="AJ11" s="14" t="str">
        <f ca="1">IF(ISNUMBER(AC11),
IF($B11=1,VLOOKUP($AC11,Inventario1!$A:$H,7),
IF($B11=2,VLOOKUP($AC11,Inventario2!$A:$H,7),
IF($B11=3,VLOOKUP($AC11,Inventario3!$A:$H,7),
IF($B11=4,VLOOKUP($AC11,Inventario4!$A:$H,7),
IF($B11=5,VLOOKUP($AC11,Inventario5!$A:$H,7),
VLOOKUP($AC11,Inventario6!$A:$H,7)
))))),"")</f>
        <v>Saque</v>
      </c>
      <c r="AK11" s="15">
        <f ca="1">IF(ISNUMBER(AC11),
IF($B11=1,VLOOKUP($AC11,Inventario1!$A:$H,8),
IF($B11=2,VLOOKUP($AC11,Inventario2!$A:$H,8),
IF($B11=3,VLOOKUP($AC11,Inventario3!$A:$H,8),
IF($B11=4,VLOOKUP($AC11,Inventario4!$A:$H,8),
IF($B11=5,VLOOKUP($AC11,Inventario5!$A:$H,8),
VLOOKUP($AC11,Inventario6!$A:$H,8)
))))),"")</f>
        <v>0</v>
      </c>
    </row>
    <row r="12" spans="1:37" x14ac:dyDescent="0.25">
      <c r="A12" s="21" t="s">
        <v>7</v>
      </c>
      <c r="B12" s="3">
        <v>5</v>
      </c>
      <c r="C12" s="14" cm="1">
        <f t="array" aca="1" ref="C12" ca="1">_xlfn.LET(
    _xlpm.jugador, A12,
    _xlpm.idSel, AC12,
    _xlpm.invIDs, IF(B12=1,Inventario1!A:A,IF(B12=2,Inventario2!A:A,IF(B12=3,Inventario3!A:A,IF(B12=4,Inventario4!A:A,IF(B12=5,Inventario5!A:A,Inventario6!A:A))))),
    _xlpm.invCalidad, IF(B12=1,Inventario1!B:B,IF(B12=2,Inventario2!B:B,IF(B12=3,Inventario3!B:B,IF(B12=4,Inventario4!B:B,IF(B12=5,Inventario5!B:B,Inventario6!B:B))))),
    _xlpm.invTipos, IF(B12=1,Inventario1!C:C,IF(B12=2,Inventario2!C:C,IF(B12=3,Inventario3!C:C,IF(B12=4,Inventario4!C:C,IF(B12=5,Inventario5!C:C,Inventario6!C:C))))),
    _xlpm.invStats, IF(B12=1,Inventario1!D:H,IF(B12=2,Inventario2!D:H,IF(B12=3,Inventario3!D:H,IF(B12=4,Inventario4!D:H,IF(B12=5,Inventario5!D:H,Inventario6!D:H))))),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IF(ROW(A12)=2,"",IF(_xlfn._xlws.FILTER(Equipar!AC$2:AC11,Equipar!B$2:B11=B12)={0},"",_xlfn._xlws.FILTER(Equipar!AC$2:AC11,Equipar!B$2:B11=B12))),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</v>
      </c>
      <c r="D12" s="4" cm="1">
        <f t="array" ref="D12">_xlfn.LET(
    _xlpm.jugador, A12,
    _xlpm.idSel, AC12,
    _xlpm.invIDs, IF(B12=1,Inventario1!A:A,IF(B12=2,Inventario2!A:A,IF(B12=3,Inventario3!A:A,IF(B12=4,Inventario4!A:A,IF(B12=5,Inventario5!A:A,Inventario6!A:A))))),
    _xlpm.invCalidad, IF(B12=1,Inventario1!B:B,IF(B12=2,Inventario2!B:B,IF(B12=3,Inventario3!B:B,IF(B12=4,Inventario4!B:B,IF(B12=5,Inventario5!B:B,Inventario6!B:B))))),
    _xlpm.invTipos, IF(B12=1,Inventario1!C:C,IF(B12=2,Inventario2!C:C,IF(B12=3,Inventario3!C:C,IF(B12=4,Inventario4!C:C,IF(B12=5,Inventario5!C:C,Inventario6!C:C))))),
    _xlpm.invStats, IF(B12=1,Inventario1!D:H,IF(B12=2,Inventario2!D:H,IF(B12=3,Inventario3!D:H,IF(B12=4,Inventario4!D:H,IF(B12=5,Inventario5!D:H,Inventario6!D:H))))),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IF(ROW(A12)=2,"",IF(_xlfn._xlws.FILTER(Equipar!AC$2:AC11,Equipar!B$2:B11=B12)={0},"",_xlfn._xlws.FILTER(Equipar!AC$2:AC11,Equipar!B$2:B11=B12))),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249</v>
      </c>
      <c r="E12" s="4" cm="1">
        <f t="array" ref="E12">_xlfn.LET(
    _xlpm.jugador, A12,
    _xlpm.idSel, AC12,
    _xlpm.invIDs, IF(B12=1,Inventario1!A:A,IF(B12=2,Inventario2!A:A,IF(B12=3,Inventario3!A:A,IF(B12=4,Inventario4!A:A,IF(B12=5,Inventario5!A:A,Inventario6!A:A))))),
    _xlpm.invCalidad, IF(B12=1,Inventario1!B:B,IF(B12=2,Inventario2!B:B,IF(B12=3,Inventario3!B:B,IF(B12=4,Inventario4!B:B,IF(B12=5,Inventario5!B:B,Inventario6!B:B))))),
    _xlpm.invTipos, IF(B12=1,Inventario1!C:C,IF(B12=2,Inventario2!C:C,IF(B12=3,Inventario3!C:C,IF(B12=4,Inventario4!C:C,IF(B12=5,Inventario5!C:C,Inventario6!C:C))))),
    _xlpm.invStats, IF(B12=1,Inventario1!D:H,IF(B12=2,Inventario2!D:H,IF(B12=3,Inventario3!D:H,IF(B12=4,Inventario4!D:H,IF(B12=5,Inventario5!D:H,Inventario6!D:H))))),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IF(ROW(A12)=2,"",IF(_xlfn._xlws.FILTER(Equipar!AC$2:AC11,Equipar!B$2:B11=B12)={0},"",_xlfn._xlws.FILTER(Equipar!AC$2:AC11,Equipar!B$2:B11=B12))),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230</v>
      </c>
      <c r="F12" s="4" t="str" cm="1">
        <f t="array" aca="1" ref="F12" ca="1">_xlfn.LET(
    _xlpm.jugador, B12,
    _xlpm.idSel, AD12,
    _xlpm.invIDs, IF(C12=1,Inventario1!B:B,IF(C12=2,Inventario2!B:B,IF(C12=3,Inventario3!B:B,IF(C12=4,Inventario4!B:B,IF(C12=5,Inventario5!B:B,Inventario6!B:B))))),
    _xlpm.invCalidad, IF(C12=1,Inventario1!C:C,IF(C12=2,Inventario2!C:C,IF(C12=3,Inventario3!C:C,IF(C12=4,Inventario4!C:C,IF(C12=5,Inventario5!C:C,Inventario6!C:C))))),
    _xlpm.invTipos, IF(C12=1,Inventario1!D:D,IF(C12=2,Inventario2!D:D,IF(C12=3,Inventario3!D:D,IF(C12=4,Inventario4!D:D,IF(C12=5,Inventario5!D:D,Inventario6!D:D))))),
    _xlpm.invStats, IF(C12=1,Inventario1!E:I,IF(C12=2,Inventario2!E:I,IF(C12=3,Inventario3!E:I,IF(C12=4,Inventario4!E:I,IF(C12=5,Inventario5!E:I,Inventario6!E:I))))),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IF(ROW(B12)=2,"",IF(_xlfn._xlws.FILTER(Equipar!AD$2:AD11,Equipar!C$2:C11=C12)={0},"",_xlfn._xlws.FILTER(Equipar!AD$2:AD11,Equipar!C$2:C11=C12))),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2" s="14" cm="1">
        <f t="array" aca="1" ref="G12" ca="1">_xlfn.LET(
    _xlpm.jugador, A12,
    _xlpm.idSel, AC12,
    _xlpm.invIDs, IF(B12=1,Inventario1!A:A,IF(B12=2,Inventario2!A:A,IF(B12=3,Inventario3!A:A,IF(B12=4,Inventario4!A:A,IF(B12=5,Inventario5!A:A,Inventario6!A:A))))),
    _xlpm.invCalidad, IF(B12=1,Inventario1!B:B,IF(B12=2,Inventario2!B:B,IF(B12=3,Inventario3!B:B,IF(B12=4,Inventario4!B:B,IF(B12=5,Inventario5!B:B,Inventario6!B:B))))),
    _xlpm.invTipos, IF(B12=1,Inventario1!C:C,IF(B12=2,Inventario2!C:C,IF(B12=3,Inventario3!C:C,IF(B12=4,Inventario4!C:C,IF(B12=5,Inventario5!C:C,Inventario6!C:C))))),
    _xlpm.invStats, IF(B12=1,Inventario1!D:H,IF(B12=2,Inventario2!D:H,IF(B12=3,Inventario3!D:H,IF(B12=4,Inventario4!D:H,IF(B12=5,Inventario5!D:H,Inventario6!D:H))))),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IF(ROW(A12)=2,"",IF(_xlfn._xlws.FILTER(Equipar!AC$2:AC11,Equipar!B$2:B11=B12)={0},"",_xlfn._xlws.FILTER(Equipar!AC$2:AC11,Equipar!B$2:B11=B12))),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143.64000000000001</v>
      </c>
      <c r="H12" s="4" cm="1">
        <f t="array" ref="H12">_xlfn.LET(
    _xlpm.jugador, A12,
    _xlpm.idSel, AC12,
    _xlpm.invIDs, IF(B12=1,Inventario1!A:A,IF(B12=2,Inventario2!A:A,IF(B12=3,Inventario3!A:A,IF(B12=4,Inventario4!A:A,IF(B12=5,Inventario5!A:A,Inventario6!A:A))))),
    _xlpm.invCalidad, IF(B12=1,Inventario1!B:B,IF(B12=2,Inventario2!B:B,IF(B12=3,Inventario3!B:B,IF(B12=4,Inventario4!B:B,IF(B12=5,Inventario5!B:B,Inventario6!B:B))))),
    _xlpm.invTipos, IF(B12=1,Inventario1!C:C,IF(B12=2,Inventario2!C:C,IF(B12=3,Inventario3!C:C,IF(B12=4,Inventario4!C:C,IF(B12=5,Inventario5!C:C,Inventario6!C:C))))),
    _xlpm.invStats, IF(B12=1,Inventario1!D:H,IF(B12=2,Inventario2!D:H,IF(B12=3,Inventario3!D:H,IF(B12=4,Inventario4!D:H,IF(B12=5,Inventario5!D:H,Inventario6!D:H))))),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IF(ROW(A12)=2,"",IF(_xlfn._xlws.FILTER(Equipar!AC$2:AC11,Equipar!B$2:B11=B12)={0},"",_xlfn._xlws.FILTER(Equipar!AC$2:AC11,Equipar!B$2:B11=B12))),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I12" s="4" cm="1">
        <f t="array" ref="I12">_xlfn.LET(
    _xlpm.jugador, A12,
    _xlpm.idSel, AC12,
    _xlpm.invIDs, IF(B12=1,Inventario1!A:A,IF(B12=2,Inventario2!A:A,IF(B12=3,Inventario3!A:A,IF(B12=4,Inventario4!A:A,IF(B12=5,Inventario5!A:A,Inventario6!A:A))))),
    _xlpm.invCalidad, IF(B12=1,Inventario1!B:B,IF(B12=2,Inventario2!B:B,IF(B12=3,Inventario3!B:B,IF(B12=4,Inventario4!B:B,IF(B12=5,Inventario5!B:B,Inventario6!B:B))))),
    _xlpm.invTipos, IF(B12=1,Inventario1!C:C,IF(B12=2,Inventario2!C:C,IF(B12=3,Inventario3!C:C,IF(B12=4,Inventario4!C:C,IF(B12=5,Inventario5!C:C,Inventario6!C:C))))),
    _xlpm.invStats, IF(B12=1,Inventario1!D:H,IF(B12=2,Inventario2!D:H,IF(B12=3,Inventario3!D:H,IF(B12=4,Inventario4!D:H,IF(B12=5,Inventario5!D:H,Inventario6!D:H))))),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IF(ROW(A12)=2,"",IF(_xlfn._xlws.FILTER(Equipar!AC$2:AC11,Equipar!B$2:B11=B12)={0},"",_xlfn._xlws.FILTER(Equipar!AC$2:AC11,Equipar!B$2:B11=B12))),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131.67000000000002</v>
      </c>
      <c r="J12" s="4" cm="1">
        <f t="array" aca="1" ref="J12" ca="1">_xlfn.LET(
    _xlpm.jugador, B12,
    _xlpm.idSel, AD12,
    _xlpm.invIDs, IF(C12=1,Inventario1!B:B,IF(C12=2,Inventario2!B:B,IF(C12=3,Inventario3!B:B,IF(C12=4,Inventario4!B:B,IF(C12=5,Inventario5!B:B,Inventario6!B:B))))),
    _xlpm.invCalidad, IF(C12=1,Inventario1!C:C,IF(C12=2,Inventario2!C:C,IF(C12=3,Inventario3!C:C,IF(C12=4,Inventario4!C:C,IF(C12=5,Inventario5!C:C,Inventario6!C:C))))),
    _xlpm.invTipos, IF(C12=1,Inventario1!D:D,IF(C12=2,Inventario2!D:D,IF(C12=3,Inventario3!D:D,IF(C12=4,Inventario4!D:D,IF(C12=5,Inventario5!D:D,Inventario6!D:D))))),
    _xlpm.invStats, IF(C12=1,Inventario1!E:I,IF(C12=2,Inventario2!E:I,IF(C12=3,Inventario3!E:I,IF(C12=4,Inventario4!E:I,IF(C12=5,Inventario5!E:I,Inventario6!E:I))))),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IF(ROW(B12)=2,"",IF(_xlfn._xlws.FILTER(Equipar!AD$2:AD11,Equipar!C$2:C11=C12)={0},"",_xlfn._xlws.FILTER(Equipar!AD$2:AD11,Equipar!C$2:C11=C12))),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2" s="4">
        <f t="shared" ca="1" si="0"/>
        <v>23.940000000000012</v>
      </c>
      <c r="L12" s="4">
        <f t="shared" ca="1" si="1"/>
        <v>11.969999999999999</v>
      </c>
      <c r="M12" s="4">
        <f t="shared" ca="1" si="1"/>
        <v>119.7</v>
      </c>
      <c r="N12" s="4">
        <f t="shared" si="2"/>
        <v>-11.970000000000013</v>
      </c>
      <c r="O12" s="4">
        <f t="shared" ca="1" si="2"/>
        <v>131.67000000000002</v>
      </c>
      <c r="P12" s="14" cm="1">
        <f t="array" aca="1" ref="P12" ca="1">_xlfn.LET(
    _xlpm.ptsPrinBase, _xlfn._xlws.FILTER(G:G, A:A=A12),
    _xlpm.ptsSecBase,  _xlfn._xlws.FILTER(H:H, A:A=A12),
    _xlpm.puntosPrin, _xlpm.ptsPrinBase + _xlfn._xlws.FILTER(B:B, A:A=A12)/1000,
    _xlpm.puntosSec,  _xlpm.ptsSecBase  + _xlfn._xlws.FILTER(B:B, A:A=A12)/1000,
    _xlpm.puntosPrinValidos, SUM(--(_xlpm.ptsPrinBase&gt;0)),
    _xlpm.puntosSecValidos,  SUM(--(_xlpm.ptsSecBase&gt;0)),
    _xlpm.clave, K12 + B12/1000,
    _xlpm.claves, _xlfn._xlws.FILTER(K:K + B:B/1000, A:A=A12),
    IF(AND(_xlpm.puntosPrinValidos&gt;=4,_xlpm.puntosSecValidos&gt;=2),IF(
        SUM(--(_xlpm.claves &gt; _xlpm.clave)) &lt; 4,
        C12,
        D12
    ),"No disp")
)</f>
        <v>4</v>
      </c>
      <c r="Q12" s="14" cm="1">
        <f t="array" aca="1" ref="Q12" ca="1">_xlfn.LET(
    _xlpm.puntosPrin, _xlfn._xlws.FILTER(G:G + B:B/1000, A:A=A12),
    _xlpm.puntosPrinValidos, SUM(--(_xlpm.puntosPrin&gt;1)),
    _xlpm.puntosTer, _xlfn._xlws.FILTER(I:I + B:B/1000, A:A=A12),
    _xlpm.puntosTerValidos, SUM(--(_xlpm.puntosTer&gt;1)),
    _xlpm.clave, L12 + B12/1000,
    _xlpm.claves, _xlfn._xlws.FILTER(L:L + B:B/1000, A:A=A12),
    IF(AND(_xlpm.puntosPrinValidos&gt;=4,_xlpm.puntosTerValidos&gt;=2),IF(
        SUM(--(_xlpm.claves &gt; _xlpm.clave)) &lt; 4,
        C12,
        E12
    ),"No disp")
)</f>
        <v>4</v>
      </c>
      <c r="R12" s="14" t="str" cm="1">
        <f t="array" aca="1" ref="R12" ca="1">_xlfn.LET(
    _xlpm.puntosPrin, _xlfn._xlws.FILTER(G:G + B:B/1000, A:A=A12),
    _xlpm.puntosPrinValidos, SUM(--(_xlpm.puntosPrin&gt;1)),
    _xlpm.puntosTer, _xlfn._xlws.FILTER(J:J + B:B/1000, A:A=A12),
    _xlpm.puntosTerValidos, SUM(--(_xlpm.puntosTer&gt;1)),
    _xlpm.clave, M12 + B12/1000,
    _xlpm.claves, _xlfn._xlws.FILTER(M:M + B:B/1000, A:A=A12),
    IF(AND(_xlpm.puntosPrinValidos&gt;=4,_xlpm.puntosTerValidos&gt;=2),IF(
        SUM(--(_xlpm.claves &gt; _xlpm.clave)) &lt; 4,
        C12,
        F12
    ),"No disp")
)</f>
        <v>No disp</v>
      </c>
      <c r="S12" s="14" cm="1">
        <f t="array" aca="1" ref="S12" ca="1">_xlfn.LET(
    _xlpm.ptsPrinBase, _xlfn._xlws.FILTER(G:G, A:A=A12),
    _xlpm.ptsSecBase,  _xlfn._xlws.FILTER(H:H, A:A=A12),
    _xlpm.puntosPrin, _xlpm.ptsPrinBase + _xlfn._xlws.FILTER(B:B, A:A=A12)/1000,
    _xlpm.puntosSec,  _xlpm.ptsSecBase  + _xlfn._xlws.FILTER(B:B, A:A=A12)/1000,
    _xlpm.puntosPrinValidos, SUM(--(_xlpm.ptsPrinBase&gt;0)),
    _xlpm.puntosSecValidos,  SUM(--(_xlpm.ptsSecBase&gt;0)),
    _xlpm.clave, K12 + B12/1000,
    _xlpm.claves, _xlfn._xlws.FILTER(K:K + B:B/1000, A:A=A12),
    IF(
        AND(_xlpm.puntosPrinValidos&gt;=2, _xlpm.puntosSecValidos&gt;=4),
        IF(
            SUM(--(_xlpm.claves &lt; _xlpm.clave)) &lt; 4,
            D12,
            C12
        ),
        "No disp"
    )
)</f>
        <v>249</v>
      </c>
      <c r="T12" s="14" cm="1">
        <f t="array" ref="T12">_xlfn.LET(
    _xlpm.puntosSec, _xlfn._xlws.FILTER(H:H + B:B/1000, A:A=A12),
    _xlpm.puntosSecValidos, SUM(--(_xlpm.puntosSec&gt;1)),
    _xlpm.puntosAlt, _xlfn._xlws.FILTER(I:I + B:B/1000, A:A=A12),
    _xlpm.puntosAltValidos, SUM(--(_xlpm.puntosAlt&gt;1)),
    _xlpm.clave, N12 + B12/1000,
    _xlpm.claves, _xlfn._xlws.FILTER(N:N + B:B/1000, A:A=A12),
    IF(AND(_xlpm.puntosSecValidos&gt;=4,_xlpm.puntosAltValidos&gt;=2),IF(
        SUM(--(_xlpm.claves &gt; _xlpm.clave)) &lt; 4,
        D12,
        E12
    ),"No disp")
)</f>
        <v>249</v>
      </c>
      <c r="U12" s="14" t="str" cm="1">
        <f t="array" aca="1" ref="U12" ca="1">_xlfn.LET(
    _xlpm.puntosSec, _xlfn._xlws.FILTER(H:H + B:B/1000, A:A=A12),
    _xlpm.puntosSecValidos, SUM(--(_xlpm.puntosSec&gt;1)),
    _xlpm.puntosAlt, _xlfn._xlws.FILTER(J:J + B:B/1000, A:A=A12),
    _xlpm.puntosAltValidos, SUM(--(_xlpm.puntosAlt&gt;1)),
    _xlpm.clave, O12 + B12/1000,
    _xlpm.claves, _xlfn._xlws.FILTER(O:O + B:B/1000, A:A=A12),
    IF(AND(_xlpm.puntosSecValidos&gt;=4,_xlpm.puntosAltValidos&gt;=2),IF(
        SUM(--(_xlpm.claves &gt; _xlpm.clave)) &lt; 4,
        D12,
        F12
    ),"No disp")
)</f>
        <v>No disp</v>
      </c>
      <c r="V12" s="4" cm="1">
        <f t="array" aca="1" ref="V12" ca="1">_xlfn.LET(
_xlpm.PrinIDs,_xlfn._xlws.FILTER(C:C,(A:A=A12)),
_xlpm.SecIDs,_xlfn._xlws.FILTER(D:D,(A:A=A12)),
_xlpm.TerIDs,_xlfn._xlws.FILTER(E:E,A:A=A12),
_xlpm.CuaIDs,_xlfn._xlws.FILTER(F:F,(A:A=A12)),
_xlpm.PrinPts,_xlfn._xlws.FILTER(G:G,(A:A=A12)),
_xlpm.SecPts,_xlfn._xlws.FILTER(H:H,(A:A=A12)),
_xlpm.TerPts,_xlfn._xlws.FILTER(I:I,(A:A=A12)),
_xlpm.CuaPts,_xlfn._xlws.FILTER(J:J,(A:A=A12)),
_xlpm.PSIds,_xlfn._xlws.FILTER(P:P,A:A=A12),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856.17000000000007</v>
      </c>
      <c r="W12" s="4" cm="1">
        <f t="array" aca="1" ref="W12" ca="1">_xlfn.LET(
_xlpm.PrinIDs,_xlfn._xlws.FILTER(C:C,(A:A=A12)),
_xlpm.SecIDs,_xlfn._xlws.FILTER(D:D,(A:A=A12)),
_xlpm.TerIDs,_xlfn._xlws.FILTER(E:E,A:A=A12),
_xlpm.CuaIDs,_xlfn._xlws.FILTER(F:F,(A:A=A12)),
_xlpm.PrinPts,_xlfn._xlws.FILTER(G:G,(A:A=A12)),
_xlpm.SecPts,_xlfn._xlws.FILTER(H:H,(A:A=A12)),
_xlpm.TerPts,_xlfn._xlws.FILTER(I:I,(A:A=A12)),
_xlpm.CuaPts,_xlfn._xlws.FILTER(J:J,(A:A=A12)),
_xlpm.PTIds,_xlfn._xlws.FILTER(Q:Q,A:A=A12),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868.1400000000001</v>
      </c>
      <c r="X12" s="4" cm="1">
        <f t="array" aca="1" ref="X12" ca="1">_xlfn.LET(
_xlpm.PrinIDs,_xlfn._xlws.FILTER(C:C,(A:A=A12)),
_xlpm.SecIDs,_xlfn._xlws.FILTER(D:D,(A:A=A12)),
_xlpm.TerIDs,_xlfn._xlws.FILTER(E:E,A:A=A12),
_xlpm.CuaIDs,_xlfn._xlws.FILTER(F:F,(A:A=A12)),
_xlpm.PrinPts,_xlfn._xlws.FILTER(G:G,(A:A=A12)),
_xlpm.SecPts,_xlfn._xlws.FILTER(H:H,(A:A=A12)),
_xlpm.TerPts,_xlfn._xlws.FILTER(I:I,(A:A=A12)),
_xlpm.CuaPts,_xlfn._xlws.FILTER(J:J,(A:A=A12)),
_xlpm.PCIds,_xlfn._xlws.FILTER(R:R,A:A=A12),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2" s="4" cm="1">
        <f t="array" aca="1" ref="Y12" ca="1">_xlfn.LET(
_xlpm.PrinIDs,_xlfn._xlws.FILTER(C:C,(A:A=A12)),
_xlpm.SecIDs,_xlfn._xlws.FILTER(D:D,(A:A=A12)),
_xlpm.AltIDs,_xlfn._xlws.FILTER(E:E,A:A=A12),
_xlpm.PrinPts,_xlfn._xlws.FILTER(G:G,(A:A=A12)),
_xlpm.SecPts,_xlfn._xlws.FILTER(H:H,(A:A=A12)),
_xlpm.AltPts,_xlfn._xlws.FILTER(I:I,(A:A=A12)),
_xlpm.SPIds,_xlfn._xlws.FILTER(S:S,A:A=A12),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817.56000000000006</v>
      </c>
      <c r="Z12" s="4" cm="1">
        <f t="array" aca="1" ref="Z12" ca="1">_xlfn.LET(
_xlpm.PrinIDs,_xlfn._xlws.FILTER(C:C,(A:A=A12)),
_xlpm.SecIDs,_xlfn._xlws.FILTER(D:D,(A:A=A12)),
_xlpm.TerIDs,_xlfn._xlws.FILTER(E:E,A:A=A12),
_xlpm.CuaIDs,_xlfn._xlws.FILTER(F:F,(A:A=A12)),
_xlpm.PrinPts,_xlfn._xlws.FILTER(G:G,(A:A=A12)),
_xlpm.SecPts,_xlfn._xlws.FILTER(H:H,(A:A=A12)),
_xlpm.TerPts,_xlfn._xlws.FILTER(I:I,(A:A=A12)),
_xlpm.CuaPts,_xlfn._xlws.FILTER(J:J,(A:A=A12)),
_xlpm.STIds,_xlfn._xlws.FILTER(T:T,A:A=A12),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817.56000000000006</v>
      </c>
      <c r="AA12" s="4" cm="1">
        <f t="array" aca="1" ref="AA12" ca="1">_xlfn.LET(
_xlpm.PrinIDs,_xlfn._xlws.FILTER(C:C,(A:A=A12)),
_xlpm.SecIDs,_xlfn._xlws.FILTER(D:D,(A:A=A12)),
_xlpm.TerIDs,_xlfn._xlws.FILTER(E:E,A:A=A12),
_xlpm.CuaIDs,_xlfn._xlws.FILTER(F:F,(A:A=A12)),
_xlpm.PrinPts,_xlfn._xlws.FILTER(G:G,(A:A=A12)),
_xlpm.SecPts,_xlfn._xlws.FILTER(H:H,(A:A=A12)),
_xlpm.TerPts,_xlfn._xlws.FILTER(I:I,(A:A=A12)),
_xlpm.CuaPts,_xlfn._xlws.FILTER(J:J,(A:A=A12)),
_xlpm.SCIds,_xlfn._xlws.FILTER(U:U,A:A=A12),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2" s="14">
        <f t="shared" ca="1" si="3"/>
        <v>4</v>
      </c>
      <c r="AC12" s="14">
        <v>4</v>
      </c>
      <c r="AD12" s="4"/>
      <c r="AE12" s="14" t="str">
        <f ca="1">IF(ISNUMBER(AC12),
IF($B12=1,VLOOKUP($AC12,Inventario1!$A:$H,2),
IF($B12=2,VLOOKUP($AC12,Inventario2!$A:$H,2),
IF($B12=3,VLOOKUP($AC12,Inventario3!$A:$H,2),
IF($B12=4,VLOOKUP($AC12,Inventario4!$A:$H,2),
IF($B12=5,VLOOKUP($AC12,Inventario5!$A:$H,2),
VLOOKUP($AC12,Inventario6!$A:$H,2)
))))),"No equipado")</f>
        <v>Legendario</v>
      </c>
      <c r="AF12" s="14" t="str">
        <f ca="1">IF(ISNUMBER(AC12),
IF($B12=1,VLOOKUP($AC12,Inventario1!$A:$H,3),
IF($B12=2,VLOOKUP($AC12,Inventario2!$A:$H,3),
IF($B12=3,VLOOKUP($AC12,Inventario3!$A:$H,3),
IF($B12=4,VLOOKUP($AC12,Inventario4!$A:$H,3),
IF($B12=5,VLOOKUP($AC12,Inventario5!$A:$H,3),
VLOOKUP($AC12,Inventario6!$A:$H,3)
))))),"")</f>
        <v>Poder vibrante</v>
      </c>
      <c r="AG12" s="14" t="str">
        <f ca="1">IF(ISNUMBER(AC12),
IF($B12=1,VLOOKUP($AC12,Inventario1!$A:$H,4),
IF($B12=2,VLOOKUP($AC12,Inventario2!$A:$H,4),
IF($B12=3,VLOOKUP($AC12,Inventario3!$A:$H,4),
IF($B12=4,VLOOKUP($AC12,Inventario4!$A:$H,4),
IF($B12=5,VLOOKUP($AC12,Inventario5!$A:$H,4),
VLOOKUP($AC12,Inventario6!$A:$H,4)
))))),"")</f>
        <v>Recepción</v>
      </c>
      <c r="AH12" s="14" t="str">
        <f ca="1">IF(ISNUMBER(AC12),
IF($B12=1,VLOOKUP($AC12,Inventario1!$A:$H,5),
IF($B12=2,VLOOKUP($AC12,Inventario2!$A:$H,5),
IF($B12=3,VLOOKUP($AC12,Inventario3!$A:$H,5),
IF($B12=4,VLOOKUP($AC12,Inventario4!$A:$H,5),
IF($B12=5,VLOOKUP($AC12,Inventario5!$A:$H,5),
VLOOKUP($AC12,Inventario6!$A:$H,5)
))))),"")</f>
        <v>Recepción</v>
      </c>
      <c r="AI12" s="14" t="str">
        <f ca="1">IF(ISNUMBER(AC12),
IF($B12=1,VLOOKUP($AC12,Inventario1!$A:$H,6),
IF($B12=2,VLOOKUP($AC12,Inventario2!$A:$H,6),
IF($B12=3,VLOOKUP($AC12,Inventario3!$A:$H,6),
IF($B12=4,VLOOKUP($AC12,Inventario4!$A:$H,6),
IF($B12=5,VLOOKUP($AC12,Inventario5!$A:$H,6),
VLOOKUP($AC12,Inventario6!$A:$H,6)
))))),"")</f>
        <v>Saque</v>
      </c>
      <c r="AJ12" s="14" t="str">
        <f ca="1">IF(ISNUMBER(AC12),
IF($B12=1,VLOOKUP($AC12,Inventario1!$A:$H,7),
IF($B12=2,VLOOKUP($AC12,Inventario2!$A:$H,7),
IF($B12=3,VLOOKUP($AC12,Inventario3!$A:$H,7),
IF($B12=4,VLOOKUP($AC12,Inventario4!$A:$H,7),
IF($B12=5,VLOOKUP($AC12,Inventario5!$A:$H,7),
VLOOKUP($AC12,Inventario6!$A:$H,7)
))))),"")</f>
        <v>Fuerza</v>
      </c>
      <c r="AK12" s="15" t="str">
        <f ca="1">IF(ISNUMBER(AC12),
IF($B12=1,VLOOKUP($AC12,Inventario1!$A:$H,8),
IF($B12=2,VLOOKUP($AC12,Inventario2!$A:$H,8),
IF($B12=3,VLOOKUP($AC12,Inventario3!$A:$H,8),
IF($B12=4,VLOOKUP($AC12,Inventario4!$A:$H,8),
IF($B12=5,VLOOKUP($AC12,Inventario5!$A:$H,8),
VLOOKUP($AC12,Inventario6!$A:$H,8)
))))),"")</f>
        <v>Recuperación</v>
      </c>
    </row>
    <row r="13" spans="1:37" ht="15.75" thickBot="1" x14ac:dyDescent="0.3">
      <c r="A13" s="22" t="s">
        <v>7</v>
      </c>
      <c r="B13" s="17">
        <v>6</v>
      </c>
      <c r="C13" s="18" cm="1">
        <f t="array" aca="1" ref="C13" ca="1">_xlfn.LET(
    _xlpm.jugador, A13,
    _xlpm.idSel, AC13,
    _xlpm.invIDs, IF(B13=1,Inventario1!A:A,IF(B13=2,Inventario2!A:A,IF(B13=3,Inventario3!A:A,IF(B13=4,Inventario4!A:A,IF(B13=5,Inventario5!A:A,Inventario6!A:A))))),
    _xlpm.invCalidad, IF(B13=1,Inventario1!B:B,IF(B13=2,Inventario2!B:B,IF(B13=3,Inventario3!B:B,IF(B13=4,Inventario4!B:B,IF(B13=5,Inventario5!B:B,Inventario6!B:B))))),
    _xlpm.invTipos, IF(B13=1,Inventario1!C:C,IF(B13=2,Inventario2!C:C,IF(B13=3,Inventario3!C:C,IF(B13=4,Inventario4!C:C,IF(B13=5,Inventario5!C:C,Inventario6!C:C))))),
    _xlpm.invStats, IF(B13=1,Inventario1!D:H,IF(B13=2,Inventario2!D:H,IF(B13=3,Inventario3!D:H,IF(B13=4,Inventario4!D:H,IF(B13=5,Inventario5!D:H,Inventario6!D:H))))),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IF(ROW(A13)=2,"",IF(_xlfn._xlws.FILTER(Equipar!AC$2:AC12,Equipar!B$2:B12=B13)={0},"",_xlfn._xlws.FILTER(Equipar!AC$2:AC12,Equipar!B$2:B12=B13))),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</v>
      </c>
      <c r="D13" s="17" cm="1">
        <f t="array" ref="D13">_xlfn.LET(
    _xlpm.jugador, A13,
    _xlpm.idSel, AC13,
    _xlpm.invIDs, IF(B13=1,Inventario1!A:A,IF(B13=2,Inventario2!A:A,IF(B13=3,Inventario3!A:A,IF(B13=4,Inventario4!A:A,IF(B13=5,Inventario5!A:A,Inventario6!A:A))))),
    _xlpm.invCalidad, IF(B13=1,Inventario1!B:B,IF(B13=2,Inventario2!B:B,IF(B13=3,Inventario3!B:B,IF(B13=4,Inventario4!B:B,IF(B13=5,Inventario5!B:B,Inventario6!B:B))))),
    _xlpm.invTipos, IF(B13=1,Inventario1!C:C,IF(B13=2,Inventario2!C:C,IF(B13=3,Inventario3!C:C,IF(B13=4,Inventario4!C:C,IF(B13=5,Inventario5!C:C,Inventario6!C:C))))),
    _xlpm.invStats, IF(B13=1,Inventario1!D:H,IF(B13=2,Inventario2!D:H,IF(B13=3,Inventario3!D:H,IF(B13=4,Inventario4!D:H,IF(B13=5,Inventario5!D:H,Inventario6!D:H))))),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IF(ROW(A13)=2,"",IF(_xlfn._xlws.FILTER(Equipar!AC$2:AC12,Equipar!B$2:B12=B13)={0},"",_xlfn._xlws.FILTER(Equipar!AC$2:AC12,Equipar!B$2:B12=B13))),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175</v>
      </c>
      <c r="E13" s="17" cm="1">
        <f t="array" ref="E13">_xlfn.LET(
    _xlpm.jugador, A13,
    _xlpm.idSel, AC13,
    _xlpm.invIDs, IF(B13=1,Inventario1!A:A,IF(B13=2,Inventario2!A:A,IF(B13=3,Inventario3!A:A,IF(B13=4,Inventario4!A:A,IF(B13=5,Inventario5!A:A,Inventario6!A:A))))),
    _xlpm.invCalidad, IF(B13=1,Inventario1!B:B,IF(B13=2,Inventario2!B:B,IF(B13=3,Inventario3!B:B,IF(B13=4,Inventario4!B:B,IF(B13=5,Inventario5!B:B,Inventario6!B:B))))),
    _xlpm.invTipos, IF(B13=1,Inventario1!C:C,IF(B13=2,Inventario2!C:C,IF(B13=3,Inventario3!C:C,IF(B13=4,Inventario4!C:C,IF(B13=5,Inventario5!C:C,Inventario6!C:C))))),
    _xlpm.invStats, IF(B13=1,Inventario1!D:H,IF(B13=2,Inventario2!D:H,IF(B13=3,Inventario3!D:H,IF(B13=4,Inventario4!D:H,IF(B13=5,Inventario5!D:H,Inventario6!D:H))))),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IF(ROW(A13)=2,"",IF(_xlfn._xlws.FILTER(Equipar!AC$2:AC12,Equipar!B$2:B12=B13)={0},"",_xlfn._xlws.FILTER(Equipar!AC$2:AC12,Equipar!B$2:B12=B13))),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254</v>
      </c>
      <c r="F13" s="17" t="str" cm="1">
        <f t="array" aca="1" ref="F13" ca="1">_xlfn.LET(
    _xlpm.jugador, B13,
    _xlpm.idSel, AD13,
    _xlpm.invIDs, IF(C13=1,Inventario1!B:B,IF(C13=2,Inventario2!B:B,IF(C13=3,Inventario3!B:B,IF(C13=4,Inventario4!B:B,IF(C13=5,Inventario5!B:B,Inventario6!B:B))))),
    _xlpm.invCalidad, IF(C13=1,Inventario1!C:C,IF(C13=2,Inventario2!C:C,IF(C13=3,Inventario3!C:C,IF(C13=4,Inventario4!C:C,IF(C13=5,Inventario5!C:C,Inventario6!C:C))))),
    _xlpm.invTipos, IF(C13=1,Inventario1!D:D,IF(C13=2,Inventario2!D:D,IF(C13=3,Inventario3!D:D,IF(C13=4,Inventario4!D:D,IF(C13=5,Inventario5!D:D,Inventario6!D:D))))),
    _xlpm.invStats, IF(C13=1,Inventario1!E:I,IF(C13=2,Inventario2!E:I,IF(C13=3,Inventario3!E:I,IF(C13=4,Inventario4!E:I,IF(C13=5,Inventario5!E:I,Inventario6!E:I))))),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IF(ROW(B13)=2,"",IF(_xlfn._xlws.FILTER(Equipar!AD$2:AD12,Equipar!C$2:C12=C13)={0},"",_xlfn._xlws.FILTER(Equipar!AD$2:AD12,Equipar!C$2:C12=C13))),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3" s="18" cm="1">
        <f t="array" aca="1" ref="G13" ca="1">_xlfn.LET(
    _xlpm.jugador, A13,
    _xlpm.idSel, AC13,
    _xlpm.invIDs, IF(B13=1,Inventario1!A:A,IF(B13=2,Inventario2!A:A,IF(B13=3,Inventario3!A:A,IF(B13=4,Inventario4!A:A,IF(B13=5,Inventario5!A:A,Inventario6!A:A))))),
    _xlpm.invCalidad, IF(B13=1,Inventario1!B:B,IF(B13=2,Inventario2!B:B,IF(B13=3,Inventario3!B:B,IF(B13=4,Inventario4!B:B,IF(B13=5,Inventario5!B:B,Inventario6!B:B))))),
    _xlpm.invTipos, IF(B13=1,Inventario1!C:C,IF(B13=2,Inventario2!C:C,IF(B13=3,Inventario3!C:C,IF(B13=4,Inventario4!C:C,IF(B13=5,Inventario5!C:C,Inventario6!C:C))))),
    _xlpm.invStats, IF(B13=1,Inventario1!D:H,IF(B13=2,Inventario2!D:H,IF(B13=3,Inventario3!D:H,IF(B13=4,Inventario4!D:H,IF(B13=5,Inventario5!D:H,Inventario6!D:H))))),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IF(ROW(A13)=2,"",IF(_xlfn._xlws.FILTER(Equipar!AC$2:AC12,Equipar!B$2:B12=B13)={0},"",_xlfn._xlws.FILTER(Equipar!AC$2:AC12,Equipar!B$2:B12=B13))),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131.67000000000002</v>
      </c>
      <c r="H13" s="17" cm="1">
        <f t="array" ref="H13">_xlfn.LET(
    _xlpm.jugador, A13,
    _xlpm.idSel, AC13,
    _xlpm.invIDs, IF(B13=1,Inventario1!A:A,IF(B13=2,Inventario2!A:A,IF(B13=3,Inventario3!A:A,IF(B13=4,Inventario4!A:A,IF(B13=5,Inventario5!A:A,Inventario6!A:A))))),
    _xlpm.invCalidad, IF(B13=1,Inventario1!B:B,IF(B13=2,Inventario2!B:B,IF(B13=3,Inventario3!B:B,IF(B13=4,Inventario4!B:B,IF(B13=5,Inventario5!B:B,Inventario6!B:B))))),
    _xlpm.invTipos, IF(B13=1,Inventario1!C:C,IF(B13=2,Inventario2!C:C,IF(B13=3,Inventario3!C:C,IF(B13=4,Inventario4!C:C,IF(B13=5,Inventario5!C:C,Inventario6!C:C))))),
    _xlpm.invStats, IF(B13=1,Inventario1!D:H,IF(B13=2,Inventario2!D:H,IF(B13=3,Inventario3!D:H,IF(B13=4,Inventario4!D:H,IF(B13=5,Inventario5!D:H,Inventario6!D:H))))),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IF(ROW(A13)=2,"",IF(_xlfn._xlws.FILTER(Equipar!AC$2:AC12,Equipar!B$2:B12=B13)={0},"",_xlfn._xlws.FILTER(Equipar!AC$2:AC12,Equipar!B$2:B12=B13))),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117</v>
      </c>
      <c r="I13" s="17" cm="1">
        <f t="array" ref="I13">_xlfn.LET(
    _xlpm.jugador, A13,
    _xlpm.idSel, AC13,
    _xlpm.invIDs, IF(B13=1,Inventario1!A:A,IF(B13=2,Inventario2!A:A,IF(B13=3,Inventario3!A:A,IF(B13=4,Inventario4!A:A,IF(B13=5,Inventario5!A:A,Inventario6!A:A))))),
    _xlpm.invCalidad, IF(B13=1,Inventario1!B:B,IF(B13=2,Inventario2!B:B,IF(B13=3,Inventario3!B:B,IF(B13=4,Inventario4!B:B,IF(B13=5,Inventario5!B:B,Inventario6!B:B))))),
    _xlpm.invTipos, IF(B13=1,Inventario1!C:C,IF(B13=2,Inventario2!C:C,IF(B13=3,Inventario3!C:C,IF(B13=4,Inventario4!C:C,IF(B13=5,Inventario5!C:C,Inventario6!C:C))))),
    _xlpm.invStats, IF(B13=1,Inventario1!D:H,IF(B13=2,Inventario2!D:H,IF(B13=3,Inventario3!D:H,IF(B13=4,Inventario4!D:H,IF(B13=5,Inventario5!D:H,Inventario6!D:H))))),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IF(ROW(A13)=2,"",IF(_xlfn._xlws.FILTER(Equipar!AC$2:AC12,Equipar!B$2:B12=B13)={0},"",_xlfn._xlws.FILTER(Equipar!AC$2:AC12,Equipar!B$2:B12=B13))),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59.85</v>
      </c>
      <c r="J13" s="17" cm="1">
        <f t="array" aca="1" ref="J13" ca="1">_xlfn.LET(
    _xlpm.jugador, B13,
    _xlpm.idSel, AD13,
    _xlpm.invIDs, IF(C13=1,Inventario1!B:B,IF(C13=2,Inventario2!B:B,IF(C13=3,Inventario3!B:B,IF(C13=4,Inventario4!B:B,IF(C13=5,Inventario5!B:B,Inventario6!B:B))))),
    _xlpm.invCalidad, IF(C13=1,Inventario1!C:C,IF(C13=2,Inventario2!C:C,IF(C13=3,Inventario3!C:C,IF(C13=4,Inventario4!C:C,IF(C13=5,Inventario5!C:C,Inventario6!C:C))))),
    _xlpm.invTipos, IF(C13=1,Inventario1!D:D,IF(C13=2,Inventario2!D:D,IF(C13=3,Inventario3!D:D,IF(C13=4,Inventario4!D:D,IF(C13=5,Inventario5!D:D,Inventario6!D:D))))),
    _xlpm.invStats, IF(C13=1,Inventario1!E:I,IF(C13=2,Inventario2!E:I,IF(C13=3,Inventario3!E:I,IF(C13=4,Inventario4!E:I,IF(C13=5,Inventario5!E:I,Inventario6!E:I))))),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IF(ROW(B13)=2,"",IF(_xlfn._xlws.FILTER(Equipar!AD$2:AD12,Equipar!C$2:C12=C13)={0},"",_xlfn._xlws.FILTER(Equipar!AD$2:AD12,Equipar!C$2:C12=C13))),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3" s="17">
        <f t="shared" ca="1" si="0"/>
        <v>14.670000000000016</v>
      </c>
      <c r="L13" s="17">
        <f t="shared" ca="1" si="1"/>
        <v>71.820000000000022</v>
      </c>
      <c r="M13" s="17">
        <f t="shared" ca="1" si="1"/>
        <v>117</v>
      </c>
      <c r="N13" s="17">
        <f t="shared" si="2"/>
        <v>57.15</v>
      </c>
      <c r="O13" s="17">
        <f t="shared" ca="1" si="2"/>
        <v>59.85</v>
      </c>
      <c r="P13" s="18" cm="1">
        <f t="array" aca="1" ref="P13" ca="1">_xlfn.LET(
    _xlpm.ptsPrinBase, _xlfn._xlws.FILTER(G:G, A:A=A13),
    _xlpm.ptsSecBase,  _xlfn._xlws.FILTER(H:H, A:A=A13),
    _xlpm.puntosPrin, _xlpm.ptsPrinBase + _xlfn._xlws.FILTER(B:B, A:A=A13)/1000,
    _xlpm.puntosSec,  _xlpm.ptsSecBase  + _xlfn._xlws.FILTER(B:B, A:A=A13)/1000,
    _xlpm.puntosPrinValidos, SUM(--(_xlpm.ptsPrinBase&gt;0)),
    _xlpm.puntosSecValidos,  SUM(--(_xlpm.ptsSecBase&gt;0)),
    _xlpm.clave, K13 + B13/1000,
    _xlpm.claves, _xlfn._xlws.FILTER(K:K + B:B/1000, A:A=A13),
    IF(AND(_xlpm.puntosPrinValidos&gt;=4,_xlpm.puntosSecValidos&gt;=2),IF(
        SUM(--(_xlpm.claves &gt; _xlpm.clave)) &lt; 4,
        C13,
        D13
    ),"No disp")
)</f>
        <v>1</v>
      </c>
      <c r="Q13" s="18" cm="1">
        <f t="array" aca="1" ref="Q13" ca="1">_xlfn.LET(
    _xlpm.puntosPrin, _xlfn._xlws.FILTER(G:G + B:B/1000, A:A=A13),
    _xlpm.puntosPrinValidos, SUM(--(_xlpm.puntosPrin&gt;1)),
    _xlpm.puntosTer, _xlfn._xlws.FILTER(I:I + B:B/1000, A:A=A13),
    _xlpm.puntosTerValidos, SUM(--(_xlpm.puntosTer&gt;1)),
    _xlpm.clave, L13 + B13/1000,
    _xlpm.claves, _xlfn._xlws.FILTER(L:L + B:B/1000, A:A=A13),
    IF(AND(_xlpm.puntosPrinValidos&gt;=4,_xlpm.puntosTerValidos&gt;=2),IF(
        SUM(--(_xlpm.claves &gt; _xlpm.clave)) &lt; 4,
        C13,
        E13
    ),"No disp")
)</f>
        <v>1</v>
      </c>
      <c r="R13" s="18" t="str" cm="1">
        <f t="array" aca="1" ref="R13" ca="1">_xlfn.LET(
    _xlpm.puntosPrin, _xlfn._xlws.FILTER(G:G + B:B/1000, A:A=A13),
    _xlpm.puntosPrinValidos, SUM(--(_xlpm.puntosPrin&gt;1)),
    _xlpm.puntosTer, _xlfn._xlws.FILTER(J:J + B:B/1000, A:A=A13),
    _xlpm.puntosTerValidos, SUM(--(_xlpm.puntosTer&gt;1)),
    _xlpm.clave, M13 + B13/1000,
    _xlpm.claves, _xlfn._xlws.FILTER(M:M + B:B/1000, A:A=A13),
    IF(AND(_xlpm.puntosPrinValidos&gt;=4,_xlpm.puntosTerValidos&gt;=2),IF(
        SUM(--(_xlpm.claves &gt; _xlpm.clave)) &lt; 4,
        C13,
        F13
    ),"No disp")
)</f>
        <v>No disp</v>
      </c>
      <c r="S13" s="18" cm="1">
        <f t="array" aca="1" ref="S13" ca="1">_xlfn.LET(
    _xlpm.ptsPrinBase, _xlfn._xlws.FILTER(G:G, A:A=A13),
    _xlpm.ptsSecBase,  _xlfn._xlws.FILTER(H:H, A:A=A13),
    _xlpm.puntosPrin, _xlpm.ptsPrinBase + _xlfn._xlws.FILTER(B:B, A:A=A13)/1000,
    _xlpm.puntosSec,  _xlpm.ptsSecBase  + _xlfn._xlws.FILTER(B:B, A:A=A13)/1000,
    _xlpm.puntosPrinValidos, SUM(--(_xlpm.ptsPrinBase&gt;0)),
    _xlpm.puntosSecValidos,  SUM(--(_xlpm.ptsSecBase&gt;0)),
    _xlpm.clave, K13 + B13/1000,
    _xlpm.claves, _xlfn._xlws.FILTER(K:K + B:B/1000, A:A=A13),
    IF(
        AND(_xlpm.puntosPrinValidos&gt;=2, _xlpm.puntosSecValidos&gt;=4),
        IF(
            SUM(--(_xlpm.claves &lt; _xlpm.clave)) &lt; 4,
            D13,
            C13
        ),
        "No disp"
    )
)</f>
        <v>175</v>
      </c>
      <c r="T13" s="18" cm="1">
        <f t="array" ref="T13">_xlfn.LET(
    _xlpm.puntosSec, _xlfn._xlws.FILTER(H:H + B:B/1000, A:A=A13),
    _xlpm.puntosSecValidos, SUM(--(_xlpm.puntosSec&gt;1)),
    _xlpm.puntosAlt, _xlfn._xlws.FILTER(I:I + B:B/1000, A:A=A13),
    _xlpm.puntosAltValidos, SUM(--(_xlpm.puntosAlt&gt;1)),
    _xlpm.clave, N13 + B13/1000,
    _xlpm.claves, _xlfn._xlws.FILTER(N:N + B:B/1000, A:A=A13),
    IF(AND(_xlpm.puntosSecValidos&gt;=4,_xlpm.puntosAltValidos&gt;=2),IF(
        SUM(--(_xlpm.claves &gt; _xlpm.clave)) &lt; 4,
        D13,
        E13
    ),"No disp")
)</f>
        <v>175</v>
      </c>
      <c r="U13" s="18" t="str" cm="1">
        <f t="array" aca="1" ref="U13" ca="1">_xlfn.LET(
    _xlpm.puntosSec, _xlfn._xlws.FILTER(H:H + B:B/1000, A:A=A13),
    _xlpm.puntosSecValidos, SUM(--(_xlpm.puntosSec&gt;1)),
    _xlpm.puntosAlt, _xlfn._xlws.FILTER(J:J + B:B/1000, A:A=A13),
    _xlpm.puntosAltValidos, SUM(--(_xlpm.puntosAlt&gt;1)),
    _xlpm.clave, O13 + B13/1000,
    _xlpm.claves, _xlfn._xlws.FILTER(O:O + B:B/1000, A:A=A13),
    IF(AND(_xlpm.puntosSecValidos&gt;=4,_xlpm.puntosAltValidos&gt;=2),IF(
        SUM(--(_xlpm.claves &gt; _xlpm.clave)) &lt; 4,
        D13,
        F13
    ),"No disp")
)</f>
        <v>No disp</v>
      </c>
      <c r="V13" s="17" cm="1">
        <f t="array" aca="1" ref="V13" ca="1">_xlfn.LET(
_xlpm.PrinIDs,_xlfn._xlws.FILTER(C:C,(A:A=A13)),
_xlpm.SecIDs,_xlfn._xlws.FILTER(D:D,(A:A=A13)),
_xlpm.TerIDs,_xlfn._xlws.FILTER(E:E,A:A=A13),
_xlpm.CuaIDs,_xlfn._xlws.FILTER(F:F,(A:A=A13)),
_xlpm.PrinPts,_xlfn._xlws.FILTER(G:G,(A:A=A13)),
_xlpm.SecPts,_xlfn._xlws.FILTER(H:H,(A:A=A13)),
_xlpm.TerPts,_xlfn._xlws.FILTER(I:I,(A:A=A13)),
_xlpm.CuaPts,_xlfn._xlws.FILTER(J:J,(A:A=A13)),
_xlpm.PSIds,_xlfn._xlws.FILTER(P:P,A:A=A13),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856.17000000000007</v>
      </c>
      <c r="W13" s="17" cm="1">
        <f t="array" aca="1" ref="W13" ca="1">_xlfn.LET(
_xlpm.PrinIDs,_xlfn._xlws.FILTER(C:C,(A:A=A13)),
_xlpm.SecIDs,_xlfn._xlws.FILTER(D:D,(A:A=A13)),
_xlpm.TerIDs,_xlfn._xlws.FILTER(E:E,A:A=A13),
_xlpm.CuaIDs,_xlfn._xlws.FILTER(F:F,(A:A=A13)),
_xlpm.PrinPts,_xlfn._xlws.FILTER(G:G,(A:A=A13)),
_xlpm.SecPts,_xlfn._xlws.FILTER(H:H,(A:A=A13)),
_xlpm.TerPts,_xlfn._xlws.FILTER(I:I,(A:A=A13)),
_xlpm.CuaPts,_xlfn._xlws.FILTER(J:J,(A:A=A13)),
_xlpm.PTIds,_xlfn._xlws.FILTER(Q:Q,A:A=A13),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868.1400000000001</v>
      </c>
      <c r="X13" s="17" cm="1">
        <f t="array" aca="1" ref="X13" ca="1">_xlfn.LET(
_xlpm.PrinIDs,_xlfn._xlws.FILTER(C:C,(A:A=A13)),
_xlpm.SecIDs,_xlfn._xlws.FILTER(D:D,(A:A=A13)),
_xlpm.TerIDs,_xlfn._xlws.FILTER(E:E,A:A=A13),
_xlpm.CuaIDs,_xlfn._xlws.FILTER(F:F,(A:A=A13)),
_xlpm.PrinPts,_xlfn._xlws.FILTER(G:G,(A:A=A13)),
_xlpm.SecPts,_xlfn._xlws.FILTER(H:H,(A:A=A13)),
_xlpm.TerPts,_xlfn._xlws.FILTER(I:I,(A:A=A13)),
_xlpm.CuaPts,_xlfn._xlws.FILTER(J:J,(A:A=A13)),
_xlpm.PCIds,_xlfn._xlws.FILTER(R:R,A:A=A13),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3" s="17" cm="1">
        <f t="array" aca="1" ref="Y13" ca="1">_xlfn.LET(
_xlpm.PrinIDs,_xlfn._xlws.FILTER(C:C,(A:A=A13)),
_xlpm.SecIDs,_xlfn._xlws.FILTER(D:D,(A:A=A13)),
_xlpm.AltIDs,_xlfn._xlws.FILTER(E:E,A:A=A13),
_xlpm.PrinPts,_xlfn._xlws.FILTER(G:G,(A:A=A13)),
_xlpm.SecPts,_xlfn._xlws.FILTER(H:H,(A:A=A13)),
_xlpm.AltPts,_xlfn._xlws.FILTER(I:I,(A:A=A13)),
_xlpm.SPIds,_xlfn._xlws.FILTER(S:S,A:A=A13),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817.56000000000006</v>
      </c>
      <c r="Z13" s="17" cm="1">
        <f t="array" aca="1" ref="Z13" ca="1">_xlfn.LET(
_xlpm.PrinIDs,_xlfn._xlws.FILTER(C:C,(A:A=A13)),
_xlpm.SecIDs,_xlfn._xlws.FILTER(D:D,(A:A=A13)),
_xlpm.TerIDs,_xlfn._xlws.FILTER(E:E,A:A=A13),
_xlpm.CuaIDs,_xlfn._xlws.FILTER(F:F,(A:A=A13)),
_xlpm.PrinPts,_xlfn._xlws.FILTER(G:G,(A:A=A13)),
_xlpm.SecPts,_xlfn._xlws.FILTER(H:H,(A:A=A13)),
_xlpm.TerPts,_xlfn._xlws.FILTER(I:I,(A:A=A13)),
_xlpm.CuaPts,_xlfn._xlws.FILTER(J:J,(A:A=A13)),
_xlpm.STIds,_xlfn._xlws.FILTER(T:T,A:A=A13),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817.56000000000006</v>
      </c>
      <c r="AA13" s="17" cm="1">
        <f t="array" aca="1" ref="AA13" ca="1">_xlfn.LET(
_xlpm.PrinIDs,_xlfn._xlws.FILTER(C:C,(A:A=A13)),
_xlpm.SecIDs,_xlfn._xlws.FILTER(D:D,(A:A=A13)),
_xlpm.TerIDs,_xlfn._xlws.FILTER(E:E,A:A=A13),
_xlpm.CuaIDs,_xlfn._xlws.FILTER(F:F,(A:A=A13)),
_xlpm.PrinPts,_xlfn._xlws.FILTER(G:G,(A:A=A13)),
_xlpm.SecPts,_xlfn._xlws.FILTER(H:H,(A:A=A13)),
_xlpm.TerPts,_xlfn._xlws.FILTER(I:I,(A:A=A13)),
_xlpm.CuaPts,_xlfn._xlws.FILTER(J:J,(A:A=A13)),
_xlpm.SCIds,_xlfn._xlws.FILTER(U:U,A:A=A13),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3" s="18">
        <f t="shared" ca="1" si="3"/>
        <v>1</v>
      </c>
      <c r="AC13" s="18">
        <v>1</v>
      </c>
      <c r="AD13" s="17"/>
      <c r="AE13" s="18" t="str">
        <f ca="1">IF(ISNUMBER(AC13),
IF($B13=1,VLOOKUP($AC13,Inventario1!$A:$H,2),
IF($B13=2,VLOOKUP($AC13,Inventario2!$A:$H,2),
IF($B13=3,VLOOKUP($AC13,Inventario3!$A:$H,2),
IF($B13=4,VLOOKUP($AC13,Inventario4!$A:$H,2),
IF($B13=5,VLOOKUP($AC13,Inventario5!$A:$H,2),
VLOOKUP($AC13,Inventario6!$A:$H,2)
))))),"No equipado")</f>
        <v>Legendario</v>
      </c>
      <c r="AF13" s="18" t="str">
        <f ca="1">IF(ISNUMBER(AC13),
IF($B13=1,VLOOKUP($AC13,Inventario1!$A:$H,3),
IF($B13=2,VLOOKUP($AC13,Inventario2!$A:$H,3),
IF($B13=3,VLOOKUP($AC13,Inventario3!$A:$H,3),
IF($B13=4,VLOOKUP($AC13,Inventario4!$A:$H,3),
IF($B13=5,VLOOKUP($AC13,Inventario5!$A:$H,3),
VLOOKUP($AC13,Inventario6!$A:$H,3)
))))),"")</f>
        <v>Poder vibrante</v>
      </c>
      <c r="AG13" s="18" t="str">
        <f ca="1">IF(ISNUMBER(AC13),
IF($B13=1,VLOOKUP($AC13,Inventario1!$A:$H,4),
IF($B13=2,VLOOKUP($AC13,Inventario2!$A:$H,4),
IF($B13=3,VLOOKUP($AC13,Inventario3!$A:$H,4),
IF($B13=4,VLOOKUP($AC13,Inventario4!$A:$H,4),
IF($B13=5,VLOOKUP($AC13,Inventario5!$A:$H,4),
VLOOKUP($AC13,Inventario6!$A:$H,4)
))))),"")</f>
        <v>Bloqueo</v>
      </c>
      <c r="AH13" s="18" t="str">
        <f ca="1">IF(ISNUMBER(AC13),
IF($B13=1,VLOOKUP($AC13,Inventario1!$A:$H,5),
IF($B13=2,VLOOKUP($AC13,Inventario2!$A:$H,5),
IF($B13=3,VLOOKUP($AC13,Inventario3!$A:$H,5),
IF($B13=4,VLOOKUP($AC13,Inventario4!$A:$H,5),
IF($B13=5,VLOOKUP($AC13,Inventario5!$A:$H,5),
VLOOKUP($AC13,Inventario6!$A:$H,5)
))))),"")</f>
        <v>Ataque poderoso</v>
      </c>
      <c r="AI13" s="18" t="str">
        <f ca="1">IF(ISNUMBER(AC13),
IF($B13=1,VLOOKUP($AC13,Inventario1!$A:$H,6),
IF($B13=2,VLOOKUP($AC13,Inventario2!$A:$H,6),
IF($B13=3,VLOOKUP($AC13,Inventario3!$A:$H,6),
IF($B13=4,VLOOKUP($AC13,Inventario4!$A:$H,6),
IF($B13=5,VLOOKUP($AC13,Inventario5!$A:$H,6),
VLOOKUP($AC13,Inventario6!$A:$H,6)
))))),"")</f>
        <v>Saque</v>
      </c>
      <c r="AJ13" s="18" t="str">
        <f ca="1">IF(ISNUMBER(AC13),
IF($B13=1,VLOOKUP($AC13,Inventario1!$A:$H,7),
IF($B13=2,VLOOKUP($AC13,Inventario2!$A:$H,7),
IF($B13=3,VLOOKUP($AC13,Inventario3!$A:$H,7),
IF($B13=4,VLOOKUP($AC13,Inventario4!$A:$H,7),
IF($B13=5,VLOOKUP($AC13,Inventario5!$A:$H,7),
VLOOKUP($AC13,Inventario6!$A:$H,7)
))))),"")</f>
        <v>Espíritu</v>
      </c>
      <c r="AK13" s="19" t="str">
        <f ca="1">IF(ISNUMBER(AC13),
IF($B13=1,VLOOKUP($AC13,Inventario1!$A:$H,8),
IF($B13=2,VLOOKUP($AC13,Inventario2!$A:$H,8),
IF($B13=3,VLOOKUP($AC13,Inventario3!$A:$H,8),
IF($B13=4,VLOOKUP($AC13,Inventario4!$A:$H,8),
IF($B13=5,VLOOKUP($AC13,Inventario5!$A:$H,8),
VLOOKUP($AC13,Inventario6!$A:$H,8)
))))),"")</f>
        <v>Recepción</v>
      </c>
    </row>
    <row r="14" spans="1:37" x14ac:dyDescent="0.25">
      <c r="A14" s="20" t="s">
        <v>8</v>
      </c>
      <c r="B14" s="9">
        <v>1</v>
      </c>
      <c r="C14" s="10" cm="1">
        <f t="array" ref="C14">_xlfn.LET(
    _xlpm.jugador, A14,
    _xlpm.idSel, AC14,
    _xlpm.invIDs, IF(B14=1,Inventario1!A:A,IF(B14=2,Inventario2!A:A,IF(B14=3,Inventario3!A:A,IF(B14=4,Inventario4!A:A,IF(B14=5,Inventario5!A:A,Inventario6!A:A))))),
    _xlpm.invCalidad, IF(B14=1,Inventario1!B:B,IF(B14=2,Inventario2!B:B,IF(B14=3,Inventario3!B:B,IF(B14=4,Inventario4!B:B,IF(B14=5,Inventario5!B:B,Inventario6!B:B))))),
    _xlpm.invTipos, IF(B14=1,Inventario1!C:C,IF(B14=2,Inventario2!C:C,IF(B14=3,Inventario3!C:C,IF(B14=4,Inventario4!C:C,IF(B14=5,Inventario5!C:C,Inventario6!C:C))))),
    _xlpm.invStats, IF(B14=1,Inventario1!D:H,IF(B14=2,Inventario2!D:H,IF(B14=3,Inventario3!D:H,IF(B14=4,Inventario4!D:H,IF(B14=5,Inventario5!D:H,Inventario6!D:H))))),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IF(ROW(A14)=2,"",IF(_xlfn._xlws.FILTER(Equipar!AC$2:AC13,Equipar!B$2:B13=B14)={0},"",_xlfn._xlws.FILTER(Equipar!AC$2:AC13,Equipar!B$2:B13=B14))),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44</v>
      </c>
      <c r="D14" s="11" cm="1">
        <f t="array" ref="D14">_xlfn.LET(
    _xlpm.jugador, A14,
    _xlpm.idSel, AC14,
    _xlpm.invIDs, IF(B14=1,Inventario1!A:A,IF(B14=2,Inventario2!A:A,IF(B14=3,Inventario3!A:A,IF(B14=4,Inventario4!A:A,IF(B14=5,Inventario5!A:A,Inventario6!A:A))))),
    _xlpm.invCalidad, IF(B14=1,Inventario1!B:B,IF(B14=2,Inventario2!B:B,IF(B14=3,Inventario3!B:B,IF(B14=4,Inventario4!B:B,IF(B14=5,Inventario5!B:B,Inventario6!B:B))))),
    _xlpm.invTipos, IF(B14=1,Inventario1!C:C,IF(B14=2,Inventario2!C:C,IF(B14=3,Inventario3!C:C,IF(B14=4,Inventario4!C:C,IF(B14=5,Inventario5!C:C,Inventario6!C:C))))),
    _xlpm.invStats, IF(B14=1,Inventario1!D:H,IF(B14=2,Inventario2!D:H,IF(B14=3,Inventario3!D:H,IF(B14=4,Inventario4!D:H,IF(B14=5,Inventario5!D:H,Inventario6!D:H))))),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IF(ROW(A14)=2,"",IF(_xlfn._xlws.FILTER(Equipar!AC$2:AC13,Equipar!B$2:B13=B14)={0},"",_xlfn._xlws.FILTER(Equipar!AC$2:AC13,Equipar!B$2:B13=B14))),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</v>
      </c>
      <c r="E14" s="11" cm="1">
        <f t="array" aca="1" ref="E14" ca="1">_xlfn.LET(
    _xlpm.jugador, A14,
    _xlpm.idSel, AC14,
    _xlpm.invIDs, IF(B14=1,Inventario1!A:A,IF(B14=2,Inventario2!A:A,IF(B14=3,Inventario3!A:A,IF(B14=4,Inventario4!A:A,IF(B14=5,Inventario5!A:A,Inventario6!A:A))))),
    _xlpm.invCalidad, IF(B14=1,Inventario1!B:B,IF(B14=2,Inventario2!B:B,IF(B14=3,Inventario3!B:B,IF(B14=4,Inventario4!B:B,IF(B14=5,Inventario5!B:B,Inventario6!B:B))))),
    _xlpm.invTipos, IF(B14=1,Inventario1!C:C,IF(B14=2,Inventario2!C:C,IF(B14=3,Inventario3!C:C,IF(B14=4,Inventario4!C:C,IF(B14=5,Inventario5!C:C,Inventario6!C:C))))),
    _xlpm.invStats, IF(B14=1,Inventario1!D:H,IF(B14=2,Inventario2!D:H,IF(B14=3,Inventario3!D:H,IF(B14=4,Inventario4!D:H,IF(B14=5,Inventario5!D:H,Inventario6!D:H))))),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IF(ROW(A14)=2,"",IF(_xlfn._xlws.FILTER(Equipar!AC$2:AC13,Equipar!B$2:B13=B14)={0},"",_xlfn._xlws.FILTER(Equipar!AC$2:AC13,Equipar!B$2:B13=B14))),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146</v>
      </c>
      <c r="F14" s="11" t="str" cm="1">
        <f t="array" aca="1" ref="F14" ca="1">_xlfn.LET(
    _xlpm.jugador, B14,
    _xlpm.idSel, AD14,
    _xlpm.invIDs, IF(C14=1,Inventario1!B:B,IF(C14=2,Inventario2!B:B,IF(C14=3,Inventario3!B:B,IF(C14=4,Inventario4!B:B,IF(C14=5,Inventario5!B:B,Inventario6!B:B))))),
    _xlpm.invCalidad, IF(C14=1,Inventario1!C:C,IF(C14=2,Inventario2!C:C,IF(C14=3,Inventario3!C:C,IF(C14=4,Inventario4!C:C,IF(C14=5,Inventario5!C:C,Inventario6!C:C))))),
    _xlpm.invTipos, IF(C14=1,Inventario1!D:D,IF(C14=2,Inventario2!D:D,IF(C14=3,Inventario3!D:D,IF(C14=4,Inventario4!D:D,IF(C14=5,Inventario5!D:D,Inventario6!D:D))))),
    _xlpm.invStats, IF(C14=1,Inventario1!E:I,IF(C14=2,Inventario2!E:I,IF(C14=3,Inventario3!E:I,IF(C14=4,Inventario4!E:I,IF(C14=5,Inventario5!E:I,Inventario6!E:I))))),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IF(ROW(B14)=2,"",IF(_xlfn._xlws.FILTER(Equipar!AD$2:AD13,Equipar!C$2:C13=C14)={0},"",_xlfn._xlws.FILTER(Equipar!AD$2:AD13,Equipar!C$2:C13=C14))),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4" s="10" cm="1">
        <f t="array" ref="G14">_xlfn.LET(
    _xlpm.jugador, A14,
    _xlpm.idSel, AC14,
    _xlpm.invIDs, IF(B14=1,Inventario1!A:A,IF(B14=2,Inventario2!A:A,IF(B14=3,Inventario3!A:A,IF(B14=4,Inventario4!A:A,IF(B14=5,Inventario5!A:A,Inventario6!A:A))))),
    _xlpm.invCalidad, IF(B14=1,Inventario1!B:B,IF(B14=2,Inventario2!B:B,IF(B14=3,Inventario3!B:B,IF(B14=4,Inventario4!B:B,IF(B14=5,Inventario5!B:B,Inventario6!B:B))))),
    _xlpm.invTipos, IF(B14=1,Inventario1!C:C,IF(B14=2,Inventario2!C:C,IF(B14=3,Inventario3!C:C,IF(B14=4,Inventario4!C:C,IF(B14=5,Inventario5!C:C,Inventario6!C:C))))),
    _xlpm.invStats, IF(B14=1,Inventario1!D:H,IF(B14=2,Inventario2!D:H,IF(B14=3,Inventario3!D:H,IF(B14=4,Inventario4!D:H,IF(B14=5,Inventario5!D:H,Inventario6!D:H))))),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IF(ROW(A14)=2,"",IF(_xlfn._xlws.FILTER(Equipar!AC$2:AC13,Equipar!B$2:B13=B14)={0},"",_xlfn._xlws.FILTER(Equipar!AC$2:AC13,Equipar!B$2:B13=B14))),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H14" s="11" cm="1">
        <f t="array" ref="H14">_xlfn.LET(
    _xlpm.jugador, A14,
    _xlpm.idSel, AC14,
    _xlpm.invIDs, IF(B14=1,Inventario1!A:A,IF(B14=2,Inventario2!A:A,IF(B14=3,Inventario3!A:A,IF(B14=4,Inventario4!A:A,IF(B14=5,Inventario5!A:A,Inventario6!A:A))))),
    _xlpm.invCalidad, IF(B14=1,Inventario1!B:B,IF(B14=2,Inventario2!B:B,IF(B14=3,Inventario3!B:B,IF(B14=4,Inventario4!B:B,IF(B14=5,Inventario5!B:B,Inventario6!B:B))))),
    _xlpm.invTipos, IF(B14=1,Inventario1!C:C,IF(B14=2,Inventario2!C:C,IF(B14=3,Inventario3!C:C,IF(B14=4,Inventario4!C:C,IF(B14=5,Inventario5!C:C,Inventario6!C:C))))),
    _xlpm.invStats, IF(B14=1,Inventario1!D:H,IF(B14=2,Inventario2!D:H,IF(B14=3,Inventario3!D:H,IF(B14=4,Inventario4!D:H,IF(B14=5,Inventario5!D:H,Inventario6!D:H))))),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IF(ROW(A14)=2,"",IF(_xlfn._xlws.FILTER(Equipar!AC$2:AC13,Equipar!B$2:B13=B14)={0},"",_xlfn._xlws.FILTER(Equipar!AC$2:AC13,Equipar!B$2:B13=B14))),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I14" s="11" cm="1">
        <f t="array" aca="1" ref="I14" ca="1">_xlfn.LET(
    _xlpm.jugador, A14,
    _xlpm.idSel, AC14,
    _xlpm.invIDs, IF(B14=1,Inventario1!A:A,IF(B14=2,Inventario2!A:A,IF(B14=3,Inventario3!A:A,IF(B14=4,Inventario4!A:A,IF(B14=5,Inventario5!A:A,Inventario6!A:A))))),
    _xlpm.invCalidad, IF(B14=1,Inventario1!B:B,IF(B14=2,Inventario2!B:B,IF(B14=3,Inventario3!B:B,IF(B14=4,Inventario4!B:B,IF(B14=5,Inventario5!B:B,Inventario6!B:B))))),
    _xlpm.invTipos, IF(B14=1,Inventario1!C:C,IF(B14=2,Inventario2!C:C,IF(B14=3,Inventario3!C:C,IF(B14=4,Inventario4!C:C,IF(B14=5,Inventario5!C:C,Inventario6!C:C))))),
    _xlpm.invStats, IF(B14=1,Inventario1!D:H,IF(B14=2,Inventario2!D:H,IF(B14=3,Inventario3!D:H,IF(B14=4,Inventario4!D:H,IF(B14=5,Inventario5!D:H,Inventario6!D:H))))),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IF(ROW(A14)=2,"",IF(_xlfn._xlws.FILTER(Equipar!AC$2:AC13,Equipar!B$2:B13=B14)={0},"",_xlfn._xlws.FILTER(Equipar!AC$2:AC13,Equipar!B$2:B13=B14))),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J14" s="11" cm="1">
        <f t="array" aca="1" ref="J14" ca="1">_xlfn.LET(
    _xlpm.jugador, B14,
    _xlpm.idSel, AD14,
    _xlpm.invIDs, IF(C14=1,Inventario1!B:B,IF(C14=2,Inventario2!B:B,IF(C14=3,Inventario3!B:B,IF(C14=4,Inventario4!B:B,IF(C14=5,Inventario5!B:B,Inventario6!B:B))))),
    _xlpm.invCalidad, IF(C14=1,Inventario1!C:C,IF(C14=2,Inventario2!C:C,IF(C14=3,Inventario3!C:C,IF(C14=4,Inventario4!C:C,IF(C14=5,Inventario5!C:C,Inventario6!C:C))))),
    _xlpm.invTipos, IF(C14=1,Inventario1!D:D,IF(C14=2,Inventario2!D:D,IF(C14=3,Inventario3!D:D,IF(C14=4,Inventario4!D:D,IF(C14=5,Inventario5!D:D,Inventario6!D:D))))),
    _xlpm.invStats, IF(C14=1,Inventario1!E:I,IF(C14=2,Inventario2!E:I,IF(C14=3,Inventario3!E:I,IF(C14=4,Inventario4!E:I,IF(C14=5,Inventario5!E:I,Inventario6!E:I))))),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IF(ROW(B14)=2,"",IF(_xlfn._xlws.FILTER(Equipar!AD$2:AD13,Equipar!C$2:C13=C14)={0},"",_xlfn._xlws.FILTER(Equipar!AD$2:AD13,Equipar!C$2:C13=C14))),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4" s="11">
        <f t="shared" si="0"/>
        <v>-26.730000000000004</v>
      </c>
      <c r="L14" s="11">
        <f t="shared" ca="1" si="1"/>
        <v>-18</v>
      </c>
      <c r="M14" s="11">
        <f t="shared" ca="1" si="1"/>
        <v>107.73</v>
      </c>
      <c r="N14" s="11">
        <f t="shared" ca="1" si="2"/>
        <v>8.730000000000004</v>
      </c>
      <c r="O14" s="11">
        <f t="shared" ca="1" si="2"/>
        <v>99</v>
      </c>
      <c r="P14" s="10" cm="1">
        <f t="array" aca="1" ref="P14" ca="1">_xlfn.LET(
    _xlpm.ptsPrinBase, _xlfn._xlws.FILTER(G:G, A:A=A14),
    _xlpm.ptsSecBase,  _xlfn._xlws.FILTER(H:H, A:A=A14),
    _xlpm.puntosPrin, _xlpm.ptsPrinBase + _xlfn._xlws.FILTER(B:B, A:A=A14)/1000,
    _xlpm.puntosSec,  _xlpm.ptsSecBase  + _xlfn._xlws.FILTER(B:B, A:A=A14)/1000,
    _xlpm.puntosPrinValidos, SUM(--(_xlpm.ptsPrinBase&gt;0)),
    _xlpm.puntosSecValidos,  SUM(--(_xlpm.ptsSecBase&gt;0)),
    _xlpm.clave, K14 + B14/1000,
    _xlpm.claves, _xlfn._xlws.FILTER(K:K + B:B/1000, A:A=A14),
    IF(AND(_xlpm.puntosPrinValidos&gt;=4,_xlpm.puntosSecValidos&gt;=2),IF(
        SUM(--(_xlpm.claves &gt; _xlpm.clave)) &lt; 4,
        C14,
        D14
    ),"No disp")
)</f>
        <v>1</v>
      </c>
      <c r="Q14" s="10" cm="1">
        <f t="array" aca="1" ref="Q14" ca="1">_xlfn.LET(
    _xlpm.puntosPrin, _xlfn._xlws.FILTER(G:G + B:B/1000, A:A=A14),
    _xlpm.puntosPrinValidos, SUM(--(_xlpm.puntosPrin&gt;1)),
    _xlpm.puntosTer, _xlfn._xlws.FILTER(I:I + B:B/1000, A:A=A14),
    _xlpm.puntosTerValidos, SUM(--(_xlpm.puntosTer&gt;1)),
    _xlpm.clave, L14 + B14/1000,
    _xlpm.claves, _xlfn._xlws.FILTER(L:L + B:B/1000, A:A=A14),
    IF(AND(_xlpm.puntosPrinValidos&gt;=4,_xlpm.puntosTerValidos&gt;=2),IF(
        SUM(--(_xlpm.claves &gt; _xlpm.clave)) &lt; 4,
        C14,
        E14
    ),"No disp")
)</f>
        <v>146</v>
      </c>
      <c r="R14" s="10" t="str" cm="1">
        <f t="array" aca="1" ref="R14" ca="1">_xlfn.LET(
    _xlpm.puntosPrin, _xlfn._xlws.FILTER(G:G + B:B/1000, A:A=A14),
    _xlpm.puntosPrinValidos, SUM(--(_xlpm.puntosPrin&gt;1)),
    _xlpm.puntosTer, _xlfn._xlws.FILTER(J:J + B:B/1000, A:A=A14),
    _xlpm.puntosTerValidos, SUM(--(_xlpm.puntosTer&gt;1)),
    _xlpm.clave, M14 + B14/1000,
    _xlpm.claves, _xlfn._xlws.FILTER(M:M + B:B/1000, A:A=A14),
    IF(AND(_xlpm.puntosPrinValidos&gt;=4,_xlpm.puntosTerValidos&gt;=2),IF(
        SUM(--(_xlpm.claves &gt; _xlpm.clave)) &lt; 4,
        C14,
        F14
    ),"No disp")
)</f>
        <v>No disp</v>
      </c>
      <c r="S14" s="10" cm="1">
        <f t="array" aca="1" ref="S14" ca="1">_xlfn.LET(
    _xlpm.ptsPrinBase, _xlfn._xlws.FILTER(G:G, A:A=A14),
    _xlpm.ptsSecBase,  _xlfn._xlws.FILTER(H:H, A:A=A14),
    _xlpm.puntosPrin, _xlpm.ptsPrinBase + _xlfn._xlws.FILTER(B:B, A:A=A14)/1000,
    _xlpm.puntosSec,  _xlpm.ptsSecBase  + _xlfn._xlws.FILTER(B:B, A:A=A14)/1000,
    _xlpm.puntosPrinValidos, SUM(--(_xlpm.ptsPrinBase&gt;0)),
    _xlpm.puntosSecValidos,  SUM(--(_xlpm.ptsSecBase&gt;0)),
    _xlpm.clave, K14 + B14/1000,
    _xlpm.claves, _xlfn._xlws.FILTER(K:K + B:B/1000, A:A=A14),
    IF(
        AND(_xlpm.puntosPrinValidos&gt;=2, _xlpm.puntosSecValidos&gt;=4),
        IF(
            SUM(--(_xlpm.claves &lt; _xlpm.clave)) &lt; 4,
            D14,
            C14
        ),
        "No disp"
    )
)</f>
        <v>1</v>
      </c>
      <c r="T14" s="10" cm="1">
        <f t="array" aca="1" ref="T14" ca="1">_xlfn.LET(
    _xlpm.puntosSec, _xlfn._xlws.FILTER(H:H + B:B/1000, A:A=A14),
    _xlpm.puntosSecValidos, SUM(--(_xlpm.puntosSec&gt;1)),
    _xlpm.puntosAlt, _xlfn._xlws.FILTER(I:I + B:B/1000, A:A=A14),
    _xlpm.puntosAltValidos, SUM(--(_xlpm.puntosAlt&gt;1)),
    _xlpm.clave, N14 + B14/1000,
    _xlpm.claves, _xlfn._xlws.FILTER(N:N + B:B/1000, A:A=A14),
    IF(AND(_xlpm.puntosSecValidos&gt;=4,_xlpm.puntosAltValidos&gt;=2),IF(
        SUM(--(_xlpm.claves &gt; _xlpm.clave)) &lt; 4,
        D14,
        E14
    ),"No disp")
)</f>
        <v>1</v>
      </c>
      <c r="U14" s="10" t="str" cm="1">
        <f t="array" aca="1" ref="U14" ca="1">_xlfn.LET(
    _xlpm.puntosSec, _xlfn._xlws.FILTER(H:H + B:B/1000, A:A=A14),
    _xlpm.puntosSecValidos, SUM(--(_xlpm.puntosSec&gt;1)),
    _xlpm.puntosAlt, _xlfn._xlws.FILTER(J:J + B:B/1000, A:A=A14),
    _xlpm.puntosAltValidos, SUM(--(_xlpm.puntosAlt&gt;1)),
    _xlpm.clave, O14 + B14/1000,
    _xlpm.claves, _xlfn._xlws.FILTER(O:O + B:B/1000, A:A=A14),
    IF(AND(_xlpm.puntosSecValidos&gt;=4,_xlpm.puntosAltValidos&gt;=2),IF(
        SUM(--(_xlpm.claves &gt; _xlpm.clave)) &lt; 4,
        D14,
        F14
    ),"No disp")
)</f>
        <v>No disp</v>
      </c>
      <c r="V14" s="11" cm="1">
        <f t="array" aca="1" ref="V14" ca="1">_xlfn.LET(
_xlpm.PrinIDs,_xlfn._xlws.FILTER(C:C,(A:A=A14)),
_xlpm.SecIDs,_xlfn._xlws.FILTER(D:D,(A:A=A14)),
_xlpm.TerIDs,_xlfn._xlws.FILTER(E:E,A:A=A14),
_xlpm.CuaIDs,_xlfn._xlws.FILTER(F:F,(A:A=A14)),
_xlpm.PrinPts,_xlfn._xlws.FILTER(G:G,(A:A=A14)),
_xlpm.SecPts,_xlfn._xlws.FILTER(H:H,(A:A=A14)),
_xlpm.TerPts,_xlfn._xlws.FILTER(I:I,(A:A=A14)),
_xlpm.CuaPts,_xlfn._xlws.FILTER(J:J,(A:A=A14)),
_xlpm.PSIds,_xlfn._xlws.FILTER(P:P,A:A=A14),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748.71</v>
      </c>
      <c r="W14" s="11" cm="1">
        <f t="array" aca="1" ref="W14" ca="1">_xlfn.LET(
_xlpm.PrinIDs,_xlfn._xlws.FILTER(C:C,(A:A=A14)),
_xlpm.SecIDs,_xlfn._xlws.FILTER(D:D,(A:A=A14)),
_xlpm.TerIDs,_xlfn._xlws.FILTER(E:E,A:A=A14),
_xlpm.CuaIDs,_xlfn._xlws.FILTER(F:F,(A:A=A14)),
_xlpm.PrinPts,_xlfn._xlws.FILTER(G:G,(A:A=A14)),
_xlpm.SecPts,_xlfn._xlws.FILTER(H:H,(A:A=A14)),
_xlpm.TerPts,_xlfn._xlws.FILTER(I:I,(A:A=A14)),
_xlpm.CuaPts,_xlfn._xlws.FILTER(J:J,(A:A=A14)),
_xlpm.PTIds,_xlfn._xlws.FILTER(Q:Q,A:A=A14),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742.68000000000006</v>
      </c>
      <c r="X14" s="11" cm="1">
        <f t="array" aca="1" ref="X14" ca="1">_xlfn.LET(
_xlpm.PrinIDs,_xlfn._xlws.FILTER(C:C,(A:A=A14)),
_xlpm.SecIDs,_xlfn._xlws.FILTER(D:D,(A:A=A14)),
_xlpm.TerIDs,_xlfn._xlws.FILTER(E:E,A:A=A14),
_xlpm.CuaIDs,_xlfn._xlws.FILTER(F:F,(A:A=A14)),
_xlpm.PrinPts,_xlfn._xlws.FILTER(G:G,(A:A=A14)),
_xlpm.SecPts,_xlfn._xlws.FILTER(H:H,(A:A=A14)),
_xlpm.TerPts,_xlfn._xlws.FILTER(I:I,(A:A=A14)),
_xlpm.CuaPts,_xlfn._xlws.FILTER(J:J,(A:A=A14)),
_xlpm.PCIds,_xlfn._xlws.FILTER(R:R,A:A=A14),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4" s="11" cm="1">
        <f t="array" aca="1" ref="Y14" ca="1">_xlfn.LET(
_xlpm.PrinIDs,_xlfn._xlws.FILTER(C:C,(A:A=A14)),
_xlpm.SecIDs,_xlfn._xlws.FILTER(D:D,(A:A=A14)),
_xlpm.AltIDs,_xlfn._xlws.FILTER(E:E,A:A=A14),
_xlpm.PrinPts,_xlfn._xlws.FILTER(G:G,(A:A=A14)),
_xlpm.SecPts,_xlfn._xlws.FILTER(H:H,(A:A=A14)),
_xlpm.AltPts,_xlfn._xlws.FILTER(I:I,(A:A=A14)),
_xlpm.SPIds,_xlfn._xlws.FILTER(S:S,A:A=A14),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706.68</v>
      </c>
      <c r="Z14" s="11" cm="1">
        <f t="array" aca="1" ref="Z14" ca="1">_xlfn.LET(
_xlpm.PrinIDs,_xlfn._xlws.FILTER(C:C,(A:A=A14)),
_xlpm.SecIDs,_xlfn._xlws.FILTER(D:D,(A:A=A14)),
_xlpm.TerIDs,_xlfn._xlws.FILTER(E:E,A:A=A14),
_xlpm.CuaIDs,_xlfn._xlws.FILTER(F:F,(A:A=A14)),
_xlpm.PrinPts,_xlfn._xlws.FILTER(G:G,(A:A=A14)),
_xlpm.SecPts,_xlfn._xlws.FILTER(H:H,(A:A=A14)),
_xlpm.TerPts,_xlfn._xlws.FILTER(I:I,(A:A=A14)),
_xlpm.CuaPts,_xlfn._xlws.FILTER(J:J,(A:A=A14)),
_xlpm.STIds,_xlfn._xlws.FILTER(T:T,A:A=A14),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673.83</v>
      </c>
      <c r="AA14" s="11" cm="1">
        <f t="array" aca="1" ref="AA14" ca="1">_xlfn.LET(
_xlpm.PrinIDs,_xlfn._xlws.FILTER(C:C,(A:A=A14)),
_xlpm.SecIDs,_xlfn._xlws.FILTER(D:D,(A:A=A14)),
_xlpm.TerIDs,_xlfn._xlws.FILTER(E:E,A:A=A14),
_xlpm.CuaIDs,_xlfn._xlws.FILTER(F:F,(A:A=A14)),
_xlpm.PrinPts,_xlfn._xlws.FILTER(G:G,(A:A=A14)),
_xlpm.SecPts,_xlfn._xlws.FILTER(H:H,(A:A=A14)),
_xlpm.TerPts,_xlfn._xlws.FILTER(I:I,(A:A=A14)),
_xlpm.CuaPts,_xlfn._xlws.FILTER(J:J,(A:A=A14)),
_xlpm.SCIds,_xlfn._xlws.FILTER(U:U,A:A=A14),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4" s="10">
        <f t="shared" ca="1" si="3"/>
        <v>1</v>
      </c>
      <c r="AC14" s="10">
        <v>1</v>
      </c>
      <c r="AD14" s="11"/>
      <c r="AE14" s="10" t="str">
        <f ca="1">IF(ISNUMBER(AC14),
IF($B14=1,VLOOKUP($AC14,Inventario1!$A:$H,2),
IF($B14=2,VLOOKUP($AC14,Inventario2!$A:$H,2),
IF($B14=3,VLOOKUP($AC14,Inventario3!$A:$H,2),
IF($B14=4,VLOOKUP($AC14,Inventario4!$A:$H,2),
IF($B14=5,VLOOKUP($AC14,Inventario5!$A:$H,2),
VLOOKUP($AC14,Inventario6!$A:$H,2)
))))),"No equipado")</f>
        <v>Legendario</v>
      </c>
      <c r="AF14" s="10" t="str">
        <f ca="1">IF(ISNUMBER(AC14),
IF($B14=1,VLOOKUP($AC14,Inventario1!$A:$H,3),
IF($B14=2,VLOOKUP($AC14,Inventario2!$A:$H,3),
IF($B14=3,VLOOKUP($AC14,Inventario3!$A:$H,3),
IF($B14=4,VLOOKUP($AC14,Inventario4!$A:$H,3),
IF($B14=5,VLOOKUP($AC14,Inventario5!$A:$H,3),
VLOOKUP($AC14,Inventario6!$A:$H,3)
))))),"")</f>
        <v>Pase preciso</v>
      </c>
      <c r="AG14" s="10" t="str">
        <f ca="1">IF(ISNUMBER(AC14),
IF($B14=1,VLOOKUP($AC14,Inventario1!$A:$H,4),
IF($B14=2,VLOOKUP($AC14,Inventario2!$A:$H,4),
IF($B14=3,VLOOKUP($AC14,Inventario3!$A:$H,4),
IF($B14=4,VLOOKUP($AC14,Inventario4!$A:$H,4),
IF($B14=5,VLOOKUP($AC14,Inventario5!$A:$H,4),
VLOOKUP($AC14,Inventario6!$A:$H,4)
))))),"")</f>
        <v>Colocación</v>
      </c>
      <c r="AH14" s="10" t="str">
        <f ca="1">IF(ISNUMBER(AC14),
IF($B14=1,VLOOKUP($AC14,Inventario1!$A:$H,5),
IF($B14=2,VLOOKUP($AC14,Inventario2!$A:$H,5),
IF($B14=3,VLOOKUP($AC14,Inventario3!$A:$H,5),
IF($B14=4,VLOOKUP($AC14,Inventario4!$A:$H,5),
IF($B14=5,VLOOKUP($AC14,Inventario5!$A:$H,5),
VLOOKUP($AC14,Inventario6!$A:$H,5)
))))),"")</f>
        <v>Recepción</v>
      </c>
      <c r="AI14" s="10" t="str">
        <f ca="1">IF(ISNUMBER(AC14),
IF($B14=1,VLOOKUP($AC14,Inventario1!$A:$H,6),
IF($B14=2,VLOOKUP($AC14,Inventario2!$A:$H,6),
IF($B14=3,VLOOKUP($AC14,Inventario3!$A:$H,6),
IF($B14=4,VLOOKUP($AC14,Inventario4!$A:$H,6),
IF($B14=5,VLOOKUP($AC14,Inventario5!$A:$H,6),
VLOOKUP($AC14,Inventario6!$A:$H,6)
))))),"")</f>
        <v>Saque</v>
      </c>
      <c r="AJ14" s="10" t="str">
        <f ca="1">IF(ISNUMBER(AC14),
IF($B14=1,VLOOKUP($AC14,Inventario1!$A:$H,7),
IF($B14=2,VLOOKUP($AC14,Inventario2!$A:$H,7),
IF($B14=3,VLOOKUP($AC14,Inventario3!$A:$H,7),
IF($B14=4,VLOOKUP($AC14,Inventario4!$A:$H,7),
IF($B14=5,VLOOKUP($AC14,Inventario5!$A:$H,7),
VLOOKUP($AC14,Inventario6!$A:$H,7)
))))),"")</f>
        <v>Ataque rápido</v>
      </c>
      <c r="AK14" s="12" t="str">
        <f ca="1">IF(ISNUMBER(AC14),
IF($B14=1,VLOOKUP($AC14,Inventario1!$A:$H,8),
IF($B14=2,VLOOKUP($AC14,Inventario2!$A:$H,8),
IF($B14=3,VLOOKUP($AC14,Inventario3!$A:$H,8),
IF($B14=4,VLOOKUP($AC14,Inventario4!$A:$H,8),
IF($B14=5,VLOOKUP($AC14,Inventario5!$A:$H,8),
VLOOKUP($AC14,Inventario6!$A:$H,8)
))))),"")</f>
        <v>Fuerza</v>
      </c>
    </row>
    <row r="15" spans="1:37" x14ac:dyDescent="0.25">
      <c r="A15" s="21" t="s">
        <v>8</v>
      </c>
      <c r="B15" s="3">
        <v>2</v>
      </c>
      <c r="C15" s="14" cm="1">
        <f t="array" aca="1" ref="C15" ca="1">_xlfn.LET(
    _xlpm.jugador, A15,
    _xlpm.idSel, AC15,
    _xlpm.invIDs, IF(B15=1,Inventario1!A:A,IF(B15=2,Inventario2!A:A,IF(B15=3,Inventario3!A:A,IF(B15=4,Inventario4!A:A,IF(B15=5,Inventario5!A:A,Inventario6!A:A))))),
    _xlpm.invCalidad, IF(B15=1,Inventario1!B:B,IF(B15=2,Inventario2!B:B,IF(B15=3,Inventario3!B:B,IF(B15=4,Inventario4!B:B,IF(B15=5,Inventario5!B:B,Inventario6!B:B))))),
    _xlpm.invTipos, IF(B15=1,Inventario1!C:C,IF(B15=2,Inventario2!C:C,IF(B15=3,Inventario3!C:C,IF(B15=4,Inventario4!C:C,IF(B15=5,Inventario5!C:C,Inventario6!C:C))))),
    _xlpm.invStats, IF(B15=1,Inventario1!D:H,IF(B15=2,Inventario2!D:H,IF(B15=3,Inventario3!D:H,IF(B15=4,Inventario4!D:H,IF(B15=5,Inventario5!D:H,Inventario6!D:H))))),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IF(ROW(A15)=2,"",IF(_xlfn._xlws.FILTER(Equipar!AC$2:AC14,Equipar!B$2:B14=B15)={0},"",_xlfn._xlws.FILTER(Equipar!AC$2:AC14,Equipar!B$2:B14=B15))),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30</v>
      </c>
      <c r="D15" s="4" cm="1">
        <f t="array" ref="D15">_xlfn.LET(
    _xlpm.jugador, A15,
    _xlpm.idSel, AC15,
    _xlpm.invIDs, IF(B15=1,Inventario1!A:A,IF(B15=2,Inventario2!A:A,IF(B15=3,Inventario3!A:A,IF(B15=4,Inventario4!A:A,IF(B15=5,Inventario5!A:A,Inventario6!A:A))))),
    _xlpm.invCalidad, IF(B15=1,Inventario1!B:B,IF(B15=2,Inventario2!B:B,IF(B15=3,Inventario3!B:B,IF(B15=4,Inventario4!B:B,IF(B15=5,Inventario5!B:B,Inventario6!B:B))))),
    _xlpm.invTipos, IF(B15=1,Inventario1!C:C,IF(B15=2,Inventario2!C:C,IF(B15=3,Inventario3!C:C,IF(B15=4,Inventario4!C:C,IF(B15=5,Inventario5!C:C,Inventario6!C:C))))),
    _xlpm.invStats, IF(B15=1,Inventario1!D:H,IF(B15=2,Inventario2!D:H,IF(B15=3,Inventario3!D:H,IF(B15=4,Inventario4!D:H,IF(B15=5,Inventario5!D:H,Inventario6!D:H))))),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IF(ROW(A15)=2,"",IF(_xlfn._xlws.FILTER(Equipar!AC$2:AC14,Equipar!B$2:B14=B15)={0},"",_xlfn._xlws.FILTER(Equipar!AC$2:AC14,Equipar!B$2:B14=B15))),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109</v>
      </c>
      <c r="E15" s="4" cm="1">
        <f t="array" aca="1" ref="E15" ca="1">_xlfn.LET(
    _xlpm.jugador, A15,
    _xlpm.idSel, AC15,
    _xlpm.invIDs, IF(B15=1,Inventario1!A:A,IF(B15=2,Inventario2!A:A,IF(B15=3,Inventario3!A:A,IF(B15=4,Inventario4!A:A,IF(B15=5,Inventario5!A:A,Inventario6!A:A))))),
    _xlpm.invCalidad, IF(B15=1,Inventario1!B:B,IF(B15=2,Inventario2!B:B,IF(B15=3,Inventario3!B:B,IF(B15=4,Inventario4!B:B,IF(B15=5,Inventario5!B:B,Inventario6!B:B))))),
    _xlpm.invTipos, IF(B15=1,Inventario1!C:C,IF(B15=2,Inventario2!C:C,IF(B15=3,Inventario3!C:C,IF(B15=4,Inventario4!C:C,IF(B15=5,Inventario5!C:C,Inventario6!C:C))))),
    _xlpm.invStats, IF(B15=1,Inventario1!D:H,IF(B15=2,Inventario2!D:H,IF(B15=3,Inventario3!D:H,IF(B15=4,Inventario4!D:H,IF(B15=5,Inventario5!D:H,Inventario6!D:H))))),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IF(ROW(A15)=2,"",IF(_xlfn._xlws.FILTER(Equipar!AC$2:AC14,Equipar!B$2:B14=B15)={0},"",_xlfn._xlws.FILTER(Equipar!AC$2:AC14,Equipar!B$2:B14=B15))),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97</v>
      </c>
      <c r="F15" s="4" t="str" cm="1">
        <f t="array" aca="1" ref="F15" ca="1">_xlfn.LET(
    _xlpm.jugador, B15,
    _xlpm.idSel, AD15,
    _xlpm.invIDs, IF(C15=1,Inventario1!B:B,IF(C15=2,Inventario2!B:B,IF(C15=3,Inventario3!B:B,IF(C15=4,Inventario4!B:B,IF(C15=5,Inventario5!B:B,Inventario6!B:B))))),
    _xlpm.invCalidad, IF(C15=1,Inventario1!C:C,IF(C15=2,Inventario2!C:C,IF(C15=3,Inventario3!C:C,IF(C15=4,Inventario4!C:C,IF(C15=5,Inventario5!C:C,Inventario6!C:C))))),
    _xlpm.invTipos, IF(C15=1,Inventario1!D:D,IF(C15=2,Inventario2!D:D,IF(C15=3,Inventario3!D:D,IF(C15=4,Inventario4!D:D,IF(C15=5,Inventario5!D:D,Inventario6!D:D))))),
    _xlpm.invStats, IF(C15=1,Inventario1!E:I,IF(C15=2,Inventario2!E:I,IF(C15=3,Inventario3!E:I,IF(C15=4,Inventario4!E:I,IF(C15=5,Inventario5!E:I,Inventario6!E:I))))),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IF(ROW(B15)=2,"",IF(_xlfn._xlws.FILTER(Equipar!AD$2:AD14,Equipar!C$2:C14=C15)={0},"",_xlfn._xlws.FILTER(Equipar!AD$2:AD14,Equipar!C$2:C14=C15))),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5" s="14" cm="1">
        <f t="array" aca="1" ref="G15" ca="1">_xlfn.LET(
    _xlpm.jugador, A15,
    _xlpm.idSel, AC15,
    _xlpm.invIDs, IF(B15=1,Inventario1!A:A,IF(B15=2,Inventario2!A:A,IF(B15=3,Inventario3!A:A,IF(B15=4,Inventario4!A:A,IF(B15=5,Inventario5!A:A,Inventario6!A:A))))),
    _xlpm.invCalidad, IF(B15=1,Inventario1!B:B,IF(B15=2,Inventario2!B:B,IF(B15=3,Inventario3!B:B,IF(B15=4,Inventario4!B:B,IF(B15=5,Inventario5!B:B,Inventario6!B:B))))),
    _xlpm.invTipos, IF(B15=1,Inventario1!C:C,IF(B15=2,Inventario2!C:C,IF(B15=3,Inventario3!C:C,IF(B15=4,Inventario4!C:C,IF(B15=5,Inventario5!C:C,Inventario6!C:C))))),
    _xlpm.invStats, IF(B15=1,Inventario1!D:H,IF(B15=2,Inventario2!D:H,IF(B15=3,Inventario3!D:H,IF(B15=4,Inventario4!D:H,IF(B15=5,Inventario5!D:H,Inventario6!D:H))))),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IF(ROW(A15)=2,"",IF(_xlfn._xlws.FILTER(Equipar!AC$2:AC14,Equipar!B$2:B14=B15)={0},"",_xlfn._xlws.FILTER(Equipar!AC$2:AC14,Equipar!B$2:B14=B15))),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117</v>
      </c>
      <c r="H15" s="4" cm="1">
        <f t="array" ref="H15">_xlfn.LET(
    _xlpm.jugador, A15,
    _xlpm.idSel, AC15,
    _xlpm.invIDs, IF(B15=1,Inventario1!A:A,IF(B15=2,Inventario2!A:A,IF(B15=3,Inventario3!A:A,IF(B15=4,Inventario4!A:A,IF(B15=5,Inventario5!A:A,Inventario6!A:A))))),
    _xlpm.invCalidad, IF(B15=1,Inventario1!B:B,IF(B15=2,Inventario2!B:B,IF(B15=3,Inventario3!B:B,IF(B15=4,Inventario4!B:B,IF(B15=5,Inventario5!B:B,Inventario6!B:B))))),
    _xlpm.invTipos, IF(B15=1,Inventario1!C:C,IF(B15=2,Inventario2!C:C,IF(B15=3,Inventario3!C:C,IF(B15=4,Inventario4!C:C,IF(B15=5,Inventario5!C:C,Inventario6!C:C))))),
    _xlpm.invStats, IF(B15=1,Inventario1!D:H,IF(B15=2,Inventario2!D:H,IF(B15=3,Inventario3!D:H,IF(B15=4,Inventario4!D:H,IF(B15=5,Inventario5!D:H,Inventario6!D:H))))),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IF(ROW(A15)=2,"",IF(_xlfn._xlws.FILTER(Equipar!AC$2:AC14,Equipar!B$2:B14=B15)={0},"",_xlfn._xlws.FILTER(Equipar!AC$2:AC14,Equipar!B$2:B14=B15))),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I15" s="4" cm="1">
        <f t="array" aca="1" ref="I15" ca="1">_xlfn.LET(
    _xlpm.jugador, A15,
    _xlpm.idSel, AC15,
    _xlpm.invIDs, IF(B15=1,Inventario1!A:A,IF(B15=2,Inventario2!A:A,IF(B15=3,Inventario3!A:A,IF(B15=4,Inventario4!A:A,IF(B15=5,Inventario5!A:A,Inventario6!A:A))))),
    _xlpm.invCalidad, IF(B15=1,Inventario1!B:B,IF(B15=2,Inventario2!B:B,IF(B15=3,Inventario3!B:B,IF(B15=4,Inventario4!B:B,IF(B15=5,Inventario5!B:B,Inventario6!B:B))))),
    _xlpm.invTipos, IF(B15=1,Inventario1!C:C,IF(B15=2,Inventario2!C:C,IF(B15=3,Inventario3!C:C,IF(B15=4,Inventario4!C:C,IF(B15=5,Inventario5!C:C,Inventario6!C:C))))),
    _xlpm.invStats, IF(B15=1,Inventario1!D:H,IF(B15=2,Inventario2!D:H,IF(B15=3,Inventario3!D:H,IF(B15=4,Inventario4!D:H,IF(B15=5,Inventario5!D:H,Inventario6!D:H))))),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IF(ROW(A15)=2,"",IF(_xlfn._xlws.FILTER(Equipar!AC$2:AC14,Equipar!B$2:B14=B15)={0},"",_xlfn._xlws.FILTER(Equipar!AC$2:AC14,Equipar!B$2:B14=B15))),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108</v>
      </c>
      <c r="J15" s="4" cm="1">
        <f t="array" aca="1" ref="J15" ca="1">_xlfn.LET(
    _xlpm.jugador, B15,
    _xlpm.idSel, AD15,
    _xlpm.invIDs, IF(C15=1,Inventario1!B:B,IF(C15=2,Inventario2!B:B,IF(C15=3,Inventario3!B:B,IF(C15=4,Inventario4!B:B,IF(C15=5,Inventario5!B:B,Inventario6!B:B))))),
    _xlpm.invCalidad, IF(C15=1,Inventario1!C:C,IF(C15=2,Inventario2!C:C,IF(C15=3,Inventario3!C:C,IF(C15=4,Inventario4!C:C,IF(C15=5,Inventario5!C:C,Inventario6!C:C))))),
    _xlpm.invTipos, IF(C15=1,Inventario1!D:D,IF(C15=2,Inventario2!D:D,IF(C15=3,Inventario3!D:D,IF(C15=4,Inventario4!D:D,IF(C15=5,Inventario5!D:D,Inventario6!D:D))))),
    _xlpm.invStats, IF(C15=1,Inventario1!E:I,IF(C15=2,Inventario2!E:I,IF(C15=3,Inventario3!E:I,IF(C15=4,Inventario4!E:I,IF(C15=5,Inventario5!E:I,Inventario6!E:I))))),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IF(ROW(B15)=2,"",IF(_xlfn._xlws.FILTER(Equipar!AD$2:AD14,Equipar!C$2:C14=C15)={0},"",_xlfn._xlws.FILTER(Equipar!AD$2:AD14,Equipar!C$2:C14=C15))),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5" s="4">
        <f t="shared" ca="1" si="0"/>
        <v>9.269999999999996</v>
      </c>
      <c r="L15" s="4">
        <f t="shared" ca="1" si="1"/>
        <v>9</v>
      </c>
      <c r="M15" s="4">
        <f t="shared" ca="1" si="1"/>
        <v>107.73</v>
      </c>
      <c r="N15" s="4">
        <f t="shared" ca="1" si="2"/>
        <v>-0.26999999999999602</v>
      </c>
      <c r="O15" s="4">
        <f t="shared" ca="1" si="2"/>
        <v>108</v>
      </c>
      <c r="P15" s="14" cm="1">
        <f t="array" aca="1" ref="P15" ca="1">_xlfn.LET(
    _xlpm.ptsPrinBase, _xlfn._xlws.FILTER(G:G, A:A=A15),
    _xlpm.ptsSecBase,  _xlfn._xlws.FILTER(H:H, A:A=A15),
    _xlpm.puntosPrin, _xlpm.ptsPrinBase + _xlfn._xlws.FILTER(B:B, A:A=A15)/1000,
    _xlpm.puntosSec,  _xlpm.ptsSecBase  + _xlfn._xlws.FILTER(B:B, A:A=A15)/1000,
    _xlpm.puntosPrinValidos, SUM(--(_xlpm.ptsPrinBase&gt;0)),
    _xlpm.puntosSecValidos,  SUM(--(_xlpm.ptsSecBase&gt;0)),
    _xlpm.clave, K15 + B15/1000,
    _xlpm.claves, _xlfn._xlws.FILTER(K:K + B:B/1000, A:A=A15),
    IF(AND(_xlpm.puntosPrinValidos&gt;=4,_xlpm.puntosSecValidos&gt;=2),IF(
        SUM(--(_xlpm.claves &gt; _xlpm.clave)) &lt; 4,
        C15,
        D15
    ),"No disp")
)</f>
        <v>30</v>
      </c>
      <c r="Q15" s="14" cm="1">
        <f t="array" aca="1" ref="Q15" ca="1">_xlfn.LET(
    _xlpm.puntosPrin, _xlfn._xlws.FILTER(G:G + B:B/1000, A:A=A15),
    _xlpm.puntosPrinValidos, SUM(--(_xlpm.puntosPrin&gt;1)),
    _xlpm.puntosTer, _xlfn._xlws.FILTER(I:I + B:B/1000, A:A=A15),
    _xlpm.puntosTerValidos, SUM(--(_xlpm.puntosTer&gt;1)),
    _xlpm.clave, L15 + B15/1000,
    _xlpm.claves, _xlfn._xlws.FILTER(L:L + B:B/1000, A:A=A15),
    IF(AND(_xlpm.puntosPrinValidos&gt;=4,_xlpm.puntosTerValidos&gt;=2),IF(
        SUM(--(_xlpm.claves &gt; _xlpm.clave)) &lt; 4,
        C15,
        E15
    ),"No disp")
)</f>
        <v>30</v>
      </c>
      <c r="R15" s="14" t="str" cm="1">
        <f t="array" aca="1" ref="R15" ca="1">_xlfn.LET(
    _xlpm.puntosPrin, _xlfn._xlws.FILTER(G:G + B:B/1000, A:A=A15),
    _xlpm.puntosPrinValidos, SUM(--(_xlpm.puntosPrin&gt;1)),
    _xlpm.puntosTer, _xlfn._xlws.FILTER(J:J + B:B/1000, A:A=A15),
    _xlpm.puntosTerValidos, SUM(--(_xlpm.puntosTer&gt;1)),
    _xlpm.clave, M15 + B15/1000,
    _xlpm.claves, _xlfn._xlws.FILTER(M:M + B:B/1000, A:A=A15),
    IF(AND(_xlpm.puntosPrinValidos&gt;=4,_xlpm.puntosTerValidos&gt;=2),IF(
        SUM(--(_xlpm.claves &gt; _xlpm.clave)) &lt; 4,
        C15,
        F15
    ),"No disp")
)</f>
        <v>No disp</v>
      </c>
      <c r="S15" s="14" cm="1">
        <f t="array" aca="1" ref="S15" ca="1">_xlfn.LET(
    _xlpm.ptsPrinBase, _xlfn._xlws.FILTER(G:G, A:A=A15),
    _xlpm.ptsSecBase,  _xlfn._xlws.FILTER(H:H, A:A=A15),
    _xlpm.puntosPrin, _xlpm.ptsPrinBase + _xlfn._xlws.FILTER(B:B, A:A=A15)/1000,
    _xlpm.puntosSec,  _xlpm.ptsSecBase  + _xlfn._xlws.FILTER(B:B, A:A=A15)/1000,
    _xlpm.puntosPrinValidos, SUM(--(_xlpm.ptsPrinBase&gt;0)),
    _xlpm.puntosSecValidos,  SUM(--(_xlpm.ptsSecBase&gt;0)),
    _xlpm.clave, K15 + B15/1000,
    _xlpm.claves, _xlfn._xlws.FILTER(K:K + B:B/1000, A:A=A15),
    IF(
        AND(_xlpm.puntosPrinValidos&gt;=2, _xlpm.puntosSecValidos&gt;=4),
        IF(
            SUM(--(_xlpm.claves &lt; _xlpm.clave)) &lt; 4,
            D15,
            C15
        ),
        "No disp"
    )
)</f>
        <v>109</v>
      </c>
      <c r="T15" s="14" cm="1">
        <f t="array" aca="1" ref="T15" ca="1">_xlfn.LET(
    _xlpm.puntosSec, _xlfn._xlws.FILTER(H:H + B:B/1000, A:A=A15),
    _xlpm.puntosSecValidos, SUM(--(_xlpm.puntosSec&gt;1)),
    _xlpm.puntosAlt, _xlfn._xlws.FILTER(I:I + B:B/1000, A:A=A15),
    _xlpm.puntosAltValidos, SUM(--(_xlpm.puntosAlt&gt;1)),
    _xlpm.clave, N15 + B15/1000,
    _xlpm.claves, _xlfn._xlws.FILTER(N:N + B:B/1000, A:A=A15),
    IF(AND(_xlpm.puntosSecValidos&gt;=4,_xlpm.puntosAltValidos&gt;=2),IF(
        SUM(--(_xlpm.claves &gt; _xlpm.clave)) &lt; 4,
        D15,
        E15
    ),"No disp")
)</f>
        <v>109</v>
      </c>
      <c r="U15" s="14" t="str" cm="1">
        <f t="array" aca="1" ref="U15" ca="1">_xlfn.LET(
    _xlpm.puntosSec, _xlfn._xlws.FILTER(H:H + B:B/1000, A:A=A15),
    _xlpm.puntosSecValidos, SUM(--(_xlpm.puntosSec&gt;1)),
    _xlpm.puntosAlt, _xlfn._xlws.FILTER(J:J + B:B/1000, A:A=A15),
    _xlpm.puntosAltValidos, SUM(--(_xlpm.puntosAlt&gt;1)),
    _xlpm.clave, O15 + B15/1000,
    _xlpm.claves, _xlfn._xlws.FILTER(O:O + B:B/1000, A:A=A15),
    IF(AND(_xlpm.puntosSecValidos&gt;=4,_xlpm.puntosAltValidos&gt;=2),IF(
        SUM(--(_xlpm.claves &gt; _xlpm.clave)) &lt; 4,
        D15,
        F15
    ),"No disp")
)</f>
        <v>No disp</v>
      </c>
      <c r="V15" s="4" cm="1">
        <f t="array" aca="1" ref="V15" ca="1">_xlfn.LET(
_xlpm.PrinIDs,_xlfn._xlws.FILTER(C:C,(A:A=A15)),
_xlpm.SecIDs,_xlfn._xlws.FILTER(D:D,(A:A=A15)),
_xlpm.TerIDs,_xlfn._xlws.FILTER(E:E,A:A=A15),
_xlpm.CuaIDs,_xlfn._xlws.FILTER(F:F,(A:A=A15)),
_xlpm.PrinPts,_xlfn._xlws.FILTER(G:G,(A:A=A15)),
_xlpm.SecPts,_xlfn._xlws.FILTER(H:H,(A:A=A15)),
_xlpm.TerPts,_xlfn._xlws.FILTER(I:I,(A:A=A15)),
_xlpm.CuaPts,_xlfn._xlws.FILTER(J:J,(A:A=A15)),
_xlpm.PSIds,_xlfn._xlws.FILTER(P:P,A:A=A15),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748.71</v>
      </c>
      <c r="W15" s="4" cm="1">
        <f t="array" aca="1" ref="W15" ca="1">_xlfn.LET(
_xlpm.PrinIDs,_xlfn._xlws.FILTER(C:C,(A:A=A15)),
_xlpm.SecIDs,_xlfn._xlws.FILTER(D:D,(A:A=A15)),
_xlpm.TerIDs,_xlfn._xlws.FILTER(E:E,A:A=A15),
_xlpm.CuaIDs,_xlfn._xlws.FILTER(F:F,(A:A=A15)),
_xlpm.PrinPts,_xlfn._xlws.FILTER(G:G,(A:A=A15)),
_xlpm.SecPts,_xlfn._xlws.FILTER(H:H,(A:A=A15)),
_xlpm.TerPts,_xlfn._xlws.FILTER(I:I,(A:A=A15)),
_xlpm.CuaPts,_xlfn._xlws.FILTER(J:J,(A:A=A15)),
_xlpm.PTIds,_xlfn._xlws.FILTER(Q:Q,A:A=A15),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742.68000000000006</v>
      </c>
      <c r="X15" s="4" cm="1">
        <f t="array" aca="1" ref="X15" ca="1">_xlfn.LET(
_xlpm.PrinIDs,_xlfn._xlws.FILTER(C:C,(A:A=A15)),
_xlpm.SecIDs,_xlfn._xlws.FILTER(D:D,(A:A=A15)),
_xlpm.TerIDs,_xlfn._xlws.FILTER(E:E,A:A=A15),
_xlpm.CuaIDs,_xlfn._xlws.FILTER(F:F,(A:A=A15)),
_xlpm.PrinPts,_xlfn._xlws.FILTER(G:G,(A:A=A15)),
_xlpm.SecPts,_xlfn._xlws.FILTER(H:H,(A:A=A15)),
_xlpm.TerPts,_xlfn._xlws.FILTER(I:I,(A:A=A15)),
_xlpm.CuaPts,_xlfn._xlws.FILTER(J:J,(A:A=A15)),
_xlpm.PCIds,_xlfn._xlws.FILTER(R:R,A:A=A15),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5" s="4" cm="1">
        <f t="array" aca="1" ref="Y15" ca="1">_xlfn.LET(
_xlpm.PrinIDs,_xlfn._xlws.FILTER(C:C,(A:A=A15)),
_xlpm.SecIDs,_xlfn._xlws.FILTER(D:D,(A:A=A15)),
_xlpm.AltIDs,_xlfn._xlws.FILTER(E:E,A:A=A15),
_xlpm.PrinPts,_xlfn._xlws.FILTER(G:G,(A:A=A15)),
_xlpm.SecPts,_xlfn._xlws.FILTER(H:H,(A:A=A15)),
_xlpm.AltPts,_xlfn._xlws.FILTER(I:I,(A:A=A15)),
_xlpm.SPIds,_xlfn._xlws.FILTER(S:S,A:A=A15),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706.68</v>
      </c>
      <c r="Z15" s="4" cm="1">
        <f t="array" aca="1" ref="Z15" ca="1">_xlfn.LET(
_xlpm.PrinIDs,_xlfn._xlws.FILTER(C:C,(A:A=A15)),
_xlpm.SecIDs,_xlfn._xlws.FILTER(D:D,(A:A=A15)),
_xlpm.TerIDs,_xlfn._xlws.FILTER(E:E,A:A=A15),
_xlpm.CuaIDs,_xlfn._xlws.FILTER(F:F,(A:A=A15)),
_xlpm.PrinPts,_xlfn._xlws.FILTER(G:G,(A:A=A15)),
_xlpm.SecPts,_xlfn._xlws.FILTER(H:H,(A:A=A15)),
_xlpm.TerPts,_xlfn._xlws.FILTER(I:I,(A:A=A15)),
_xlpm.CuaPts,_xlfn._xlws.FILTER(J:J,(A:A=A15)),
_xlpm.STIds,_xlfn._xlws.FILTER(T:T,A:A=A15),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673.83</v>
      </c>
      <c r="AA15" s="4" cm="1">
        <f t="array" aca="1" ref="AA15" ca="1">_xlfn.LET(
_xlpm.PrinIDs,_xlfn._xlws.FILTER(C:C,(A:A=A15)),
_xlpm.SecIDs,_xlfn._xlws.FILTER(D:D,(A:A=A15)),
_xlpm.TerIDs,_xlfn._xlws.FILTER(E:E,A:A=A15),
_xlpm.CuaIDs,_xlfn._xlws.FILTER(F:F,(A:A=A15)),
_xlpm.PrinPts,_xlfn._xlws.FILTER(G:G,(A:A=A15)),
_xlpm.SecPts,_xlfn._xlws.FILTER(H:H,(A:A=A15)),
_xlpm.TerPts,_xlfn._xlws.FILTER(I:I,(A:A=A15)),
_xlpm.CuaPts,_xlfn._xlws.FILTER(J:J,(A:A=A15)),
_xlpm.SCIds,_xlfn._xlws.FILTER(U:U,A:A=A15),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5" s="14">
        <f t="shared" ca="1" si="3"/>
        <v>30</v>
      </c>
      <c r="AC15" s="14">
        <v>30</v>
      </c>
      <c r="AD15" s="4"/>
      <c r="AE15" s="14" t="str">
        <f ca="1">IF(ISNUMBER(AC15),
IF($B15=1,VLOOKUP($AC15,Inventario1!$A:$H,2),
IF($B15=2,VLOOKUP($AC15,Inventario2!$A:$H,2),
IF($B15=3,VLOOKUP($AC15,Inventario3!$A:$H,2),
IF($B15=4,VLOOKUP($AC15,Inventario4!$A:$H,2),
IF($B15=5,VLOOKUP($AC15,Inventario5!$A:$H,2),
VLOOKUP($AC15,Inventario6!$A:$H,2)
))))),"No equipado")</f>
        <v>Épico</v>
      </c>
      <c r="AF15" s="14" t="str">
        <f ca="1">IF(ISNUMBER(AC15),
IF($B15=1,VLOOKUP($AC15,Inventario1!$A:$H,3),
IF($B15=2,VLOOKUP($AC15,Inventario2!$A:$H,3),
IF($B15=3,VLOOKUP($AC15,Inventario3!$A:$H,3),
IF($B15=4,VLOOKUP($AC15,Inventario4!$A:$H,3),
IF($B15=5,VLOOKUP($AC15,Inventario5!$A:$H,3),
VLOOKUP($AC15,Inventario6!$A:$H,3)
))))),"")</f>
        <v>Saque preciso</v>
      </c>
      <c r="AG15" s="14" t="str">
        <f ca="1">IF(ISNUMBER(AC15),
IF($B15=1,VLOOKUP($AC15,Inventario1!$A:$H,4),
IF($B15=2,VLOOKUP($AC15,Inventario2!$A:$H,4),
IF($B15=3,VLOOKUP($AC15,Inventario3!$A:$H,4),
IF($B15=4,VLOOKUP($AC15,Inventario4!$A:$H,4),
IF($B15=5,VLOOKUP($AC15,Inventario5!$A:$H,4),
VLOOKUP($AC15,Inventario6!$A:$H,4)
))))),"")</f>
        <v>Saque</v>
      </c>
      <c r="AH15" s="14" t="str">
        <f ca="1">IF(ISNUMBER(AC15),
IF($B15=1,VLOOKUP($AC15,Inventario1!$A:$H,5),
IF($B15=2,VLOOKUP($AC15,Inventario2!$A:$H,5),
IF($B15=3,VLOOKUP($AC15,Inventario3!$A:$H,5),
IF($B15=4,VLOOKUP($AC15,Inventario4!$A:$H,5),
IF($B15=5,VLOOKUP($AC15,Inventario5!$A:$H,5),
VLOOKUP($AC15,Inventario6!$A:$H,5)
))))),"")</f>
        <v>Saque</v>
      </c>
      <c r="AI15" s="14" t="str">
        <f ca="1">IF(ISNUMBER(AC15),
IF($B15=1,VLOOKUP($AC15,Inventario1!$A:$H,6),
IF($B15=2,VLOOKUP($AC15,Inventario2!$A:$H,6),
IF($B15=3,VLOOKUP($AC15,Inventario3!$A:$H,6),
IF($B15=4,VLOOKUP($AC15,Inventario4!$A:$H,6),
IF($B15=5,VLOOKUP($AC15,Inventario5!$A:$H,6),
VLOOKUP($AC15,Inventario6!$A:$H,6)
))))),"")</f>
        <v>Colocación</v>
      </c>
      <c r="AJ15" s="14" t="str">
        <f ca="1">IF(ISNUMBER(AC15),
IF($B15=1,VLOOKUP($AC15,Inventario1!$A:$H,7),
IF($B15=2,VLOOKUP($AC15,Inventario2!$A:$H,7),
IF($B15=3,VLOOKUP($AC15,Inventario3!$A:$H,7),
IF($B15=4,VLOOKUP($AC15,Inventario4!$A:$H,7),
IF($B15=5,VLOOKUP($AC15,Inventario5!$A:$H,7),
VLOOKUP($AC15,Inventario6!$A:$H,7)
))))),"")</f>
        <v>Fuerza</v>
      </c>
      <c r="AK15" s="15" t="str">
        <f ca="1">IF(ISNUMBER(AC15),
IF($B15=1,VLOOKUP($AC15,Inventario1!$A:$H,8),
IF($B15=2,VLOOKUP($AC15,Inventario2!$A:$H,8),
IF($B15=3,VLOOKUP($AC15,Inventario3!$A:$H,8),
IF($B15=4,VLOOKUP($AC15,Inventario4!$A:$H,8),
IF($B15=5,VLOOKUP($AC15,Inventario5!$A:$H,8),
VLOOKUP($AC15,Inventario6!$A:$H,8)
))))),"")</f>
        <v>Bloqueo</v>
      </c>
    </row>
    <row r="16" spans="1:37" x14ac:dyDescent="0.25">
      <c r="A16" s="21" t="s">
        <v>8</v>
      </c>
      <c r="B16" s="3">
        <v>3</v>
      </c>
      <c r="C16" s="14" cm="1">
        <f t="array" ref="C16">_xlfn.LET(
    _xlpm.jugador, A16,
    _xlpm.idSel, AC16,
    _xlpm.invIDs, IF(B16=1,Inventario1!A:A,IF(B16=2,Inventario2!A:A,IF(B16=3,Inventario3!A:A,IF(B16=4,Inventario4!A:A,IF(B16=5,Inventario5!A:A,Inventario6!A:A))))),
    _xlpm.invCalidad, IF(B16=1,Inventario1!B:B,IF(B16=2,Inventario2!B:B,IF(B16=3,Inventario3!B:B,IF(B16=4,Inventario4!B:B,IF(B16=5,Inventario5!B:B,Inventario6!B:B))))),
    _xlpm.invTipos, IF(B16=1,Inventario1!C:C,IF(B16=2,Inventario2!C:C,IF(B16=3,Inventario3!C:C,IF(B16=4,Inventario4!C:C,IF(B16=5,Inventario5!C:C,Inventario6!C:C))))),
    _xlpm.invStats, IF(B16=1,Inventario1!D:H,IF(B16=2,Inventario2!D:H,IF(B16=3,Inventario3!D:H,IF(B16=4,Inventario4!D:H,IF(B16=5,Inventario5!D:H,Inventario6!D:H))))),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IF(ROW(A16)=2,"",IF(_xlfn._xlws.FILTER(Equipar!AC$2:AC15,Equipar!B$2:B15=B16)={0},"",_xlfn._xlws.FILTER(Equipar!AC$2:AC15,Equipar!B$2:B15=B16))),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37</v>
      </c>
      <c r="D16" s="4" cm="1">
        <f t="array" ref="D16">_xlfn.LET(
    _xlpm.jugador, A16,
    _xlpm.idSel, AC16,
    _xlpm.invIDs, IF(B16=1,Inventario1!A:A,IF(B16=2,Inventario2!A:A,IF(B16=3,Inventario3!A:A,IF(B16=4,Inventario4!A:A,IF(B16=5,Inventario5!A:A,Inventario6!A:A))))),
    _xlpm.invCalidad, IF(B16=1,Inventario1!B:B,IF(B16=2,Inventario2!B:B,IF(B16=3,Inventario3!B:B,IF(B16=4,Inventario4!B:B,IF(B16=5,Inventario5!B:B,Inventario6!B:B))))),
    _xlpm.invTipos, IF(B16=1,Inventario1!C:C,IF(B16=2,Inventario2!C:C,IF(B16=3,Inventario3!C:C,IF(B16=4,Inventario4!C:C,IF(B16=5,Inventario5!C:C,Inventario6!C:C))))),
    _xlpm.invStats, IF(B16=1,Inventario1!D:H,IF(B16=2,Inventario2!D:H,IF(B16=3,Inventario3!D:H,IF(B16=4,Inventario4!D:H,IF(B16=5,Inventario5!D:H,Inventario6!D:H))))),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IF(ROW(A16)=2,"",IF(_xlfn._xlws.FILTER(Equipar!AC$2:AC15,Equipar!B$2:B15=B16)={0},"",_xlfn._xlws.FILTER(Equipar!AC$2:AC15,Equipar!B$2:B15=B16))),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67</v>
      </c>
      <c r="E16" s="4" cm="1">
        <f t="array" aca="1" ref="E16" ca="1">_xlfn.LET(
    _xlpm.jugador, A16,
    _xlpm.idSel, AC16,
    _xlpm.invIDs, IF(B16=1,Inventario1!A:A,IF(B16=2,Inventario2!A:A,IF(B16=3,Inventario3!A:A,IF(B16=4,Inventario4!A:A,IF(B16=5,Inventario5!A:A,Inventario6!A:A))))),
    _xlpm.invCalidad, IF(B16=1,Inventario1!B:B,IF(B16=2,Inventario2!B:B,IF(B16=3,Inventario3!B:B,IF(B16=4,Inventario4!B:B,IF(B16=5,Inventario5!B:B,Inventario6!B:B))))),
    _xlpm.invTipos, IF(B16=1,Inventario1!C:C,IF(B16=2,Inventario2!C:C,IF(B16=3,Inventario3!C:C,IF(B16=4,Inventario4!C:C,IF(B16=5,Inventario5!C:C,Inventario6!C:C))))),
    _xlpm.invStats, IF(B16=1,Inventario1!D:H,IF(B16=2,Inventario2!D:H,IF(B16=3,Inventario3!D:H,IF(B16=4,Inventario4!D:H,IF(B16=5,Inventario5!D:H,Inventario6!D:H))))),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IF(ROW(A16)=2,"",IF(_xlfn._xlws.FILTER(Equipar!AC$2:AC15,Equipar!B$2:B15=B16)={0},"",_xlfn._xlws.FILTER(Equipar!AC$2:AC15,Equipar!B$2:B15=B16))),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266</v>
      </c>
      <c r="F16" s="4" t="str" cm="1">
        <f t="array" aca="1" ref="F16" ca="1">_xlfn.LET(
    _xlpm.jugador, B16,
    _xlpm.idSel, AD16,
    _xlpm.invIDs, IF(C16=1,Inventario1!B:B,IF(C16=2,Inventario2!B:B,IF(C16=3,Inventario3!B:B,IF(C16=4,Inventario4!B:B,IF(C16=5,Inventario5!B:B,Inventario6!B:B))))),
    _xlpm.invCalidad, IF(C16=1,Inventario1!C:C,IF(C16=2,Inventario2!C:C,IF(C16=3,Inventario3!C:C,IF(C16=4,Inventario4!C:C,IF(C16=5,Inventario5!C:C,Inventario6!C:C))))),
    _xlpm.invTipos, IF(C16=1,Inventario1!D:D,IF(C16=2,Inventario2!D:D,IF(C16=3,Inventario3!D:D,IF(C16=4,Inventario4!D:D,IF(C16=5,Inventario5!D:D,Inventario6!D:D))))),
    _xlpm.invStats, IF(C16=1,Inventario1!E:I,IF(C16=2,Inventario2!E:I,IF(C16=3,Inventario3!E:I,IF(C16=4,Inventario4!E:I,IF(C16=5,Inventario5!E:I,Inventario6!E:I))))),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IF(ROW(B16)=2,"",IF(_xlfn._xlws.FILTER(Equipar!AD$2:AD15,Equipar!C$2:C15=C16)={0},"",_xlfn._xlws.FILTER(Equipar!AD$2:AD15,Equipar!C$2:C15=C16))),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6" s="14" cm="1">
        <f t="array" ref="G16">_xlfn.LET(
    _xlpm.jugador, A16,
    _xlpm.idSel, AC16,
    _xlpm.invIDs, IF(B16=1,Inventario1!A:A,IF(B16=2,Inventario2!A:A,IF(B16=3,Inventario3!A:A,IF(B16=4,Inventario4!A:A,IF(B16=5,Inventario5!A:A,Inventario6!A:A))))),
    _xlpm.invCalidad, IF(B16=1,Inventario1!B:B,IF(B16=2,Inventario2!B:B,IF(B16=3,Inventario3!B:B,IF(B16=4,Inventario4!B:B,IF(B16=5,Inventario5!B:B,Inventario6!B:B))))),
    _xlpm.invTipos, IF(B16=1,Inventario1!C:C,IF(B16=2,Inventario2!C:C,IF(B16=3,Inventario3!C:C,IF(B16=4,Inventario4!C:C,IF(B16=5,Inventario5!C:C,Inventario6!C:C))))),
    _xlpm.invStats, IF(B16=1,Inventario1!D:H,IF(B16=2,Inventario2!D:H,IF(B16=3,Inventario3!D:H,IF(B16=4,Inventario4!D:H,IF(B16=5,Inventario5!D:H,Inventario6!D:H))))),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IF(ROW(A16)=2,"",IF(_xlfn._xlws.FILTER(Equipar!AC$2:AC15,Equipar!B$2:B15=B16)={0},"",_xlfn._xlws.FILTER(Equipar!AC$2:AC15,Equipar!B$2:B15=B16))),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167.58</v>
      </c>
      <c r="H16" s="4" cm="1">
        <f t="array" ref="H16">_xlfn.LET(
    _xlpm.jugador, A16,
    _xlpm.idSel, AC16,
    _xlpm.invIDs, IF(B16=1,Inventario1!A:A,IF(B16=2,Inventario2!A:A,IF(B16=3,Inventario3!A:A,IF(B16=4,Inventario4!A:A,IF(B16=5,Inventario5!A:A,Inventario6!A:A))))),
    _xlpm.invCalidad, IF(B16=1,Inventario1!B:B,IF(B16=2,Inventario2!B:B,IF(B16=3,Inventario3!B:B,IF(B16=4,Inventario4!B:B,IF(B16=5,Inventario5!B:B,Inventario6!B:B))))),
    _xlpm.invTipos, IF(B16=1,Inventario1!C:C,IF(B16=2,Inventario2!C:C,IF(B16=3,Inventario3!C:C,IF(B16=4,Inventario4!C:C,IF(B16=5,Inventario5!C:C,Inventario6!C:C))))),
    _xlpm.invStats, IF(B16=1,Inventario1!D:H,IF(B16=2,Inventario2!D:H,IF(B16=3,Inventario3!D:H,IF(B16=4,Inventario4!D:H,IF(B16=5,Inventario5!D:H,Inventario6!D:H))))),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IF(ROW(A16)=2,"",IF(_xlfn._xlws.FILTER(Equipar!AC$2:AC15,Equipar!B$2:B15=B16)={0},"",_xlfn._xlws.FILTER(Equipar!AC$2:AC15,Equipar!B$2:B15=B16))),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I16" s="4" cm="1">
        <f t="array" aca="1" ref="I16" ca="1">_xlfn.LET(
    _xlpm.jugador, A16,
    _xlpm.idSel, AC16,
    _xlpm.invIDs, IF(B16=1,Inventario1!A:A,IF(B16=2,Inventario2!A:A,IF(B16=3,Inventario3!A:A,IF(B16=4,Inventario4!A:A,IF(B16=5,Inventario5!A:A,Inventario6!A:A))))),
    _xlpm.invCalidad, IF(B16=1,Inventario1!B:B,IF(B16=2,Inventario2!B:B,IF(B16=3,Inventario3!B:B,IF(B16=4,Inventario4!B:B,IF(B16=5,Inventario5!B:B,Inventario6!B:B))))),
    _xlpm.invTipos, IF(B16=1,Inventario1!C:C,IF(B16=2,Inventario2!C:C,IF(B16=3,Inventario3!C:C,IF(B16=4,Inventario4!C:C,IF(B16=5,Inventario5!C:C,Inventario6!C:C))))),
    _xlpm.invStats, IF(B16=1,Inventario1!D:H,IF(B16=2,Inventario2!D:H,IF(B16=3,Inventario3!D:H,IF(B16=4,Inventario4!D:H,IF(B16=5,Inventario5!D:H,Inventario6!D:H))))),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IF(ROW(A16)=2,"",IF(_xlfn._xlws.FILTER(Equipar!AC$2:AC15,Equipar!B$2:B15=B16)={0},"",_xlfn._xlws.FILTER(Equipar!AC$2:AC15,Equipar!B$2:B15=B16))),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J16" s="4" cm="1">
        <f t="array" aca="1" ref="J16" ca="1">_xlfn.LET(
    _xlpm.jugador, B16,
    _xlpm.idSel, AD16,
    _xlpm.invIDs, IF(C16=1,Inventario1!B:B,IF(C16=2,Inventario2!B:B,IF(C16=3,Inventario3!B:B,IF(C16=4,Inventario4!B:B,IF(C16=5,Inventario5!B:B,Inventario6!B:B))))),
    _xlpm.invCalidad, IF(C16=1,Inventario1!C:C,IF(C16=2,Inventario2!C:C,IF(C16=3,Inventario3!C:C,IF(C16=4,Inventario4!C:C,IF(C16=5,Inventario5!C:C,Inventario6!C:C))))),
    _xlpm.invTipos, IF(C16=1,Inventario1!D:D,IF(C16=2,Inventario2!D:D,IF(C16=3,Inventario3!D:D,IF(C16=4,Inventario4!D:D,IF(C16=5,Inventario5!D:D,Inventario6!D:D))))),
    _xlpm.invStats, IF(C16=1,Inventario1!E:I,IF(C16=2,Inventario2!E:I,IF(C16=3,Inventario3!E:I,IF(C16=4,Inventario4!E:I,IF(C16=5,Inventario5!E:I,Inventario6!E:I))))),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IF(ROW(B16)=2,"",IF(_xlfn._xlws.FILTER(Equipar!AD$2:AD15,Equipar!C$2:C15=C16)={0},"",_xlfn._xlws.FILTER(Equipar!AD$2:AD15,Equipar!C$2:C15=C16))),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6" s="4">
        <f t="shared" si="0"/>
        <v>68.580000000000013</v>
      </c>
      <c r="L16" s="4">
        <f t="shared" ca="1" si="1"/>
        <v>47.88000000000001</v>
      </c>
      <c r="M16" s="4">
        <f t="shared" ca="1" si="1"/>
        <v>99</v>
      </c>
      <c r="N16" s="4">
        <f t="shared" ca="1" si="2"/>
        <v>-20.700000000000003</v>
      </c>
      <c r="O16" s="4">
        <f t="shared" ca="1" si="2"/>
        <v>119.7</v>
      </c>
      <c r="P16" s="14" cm="1">
        <f t="array" aca="1" ref="P16" ca="1">_xlfn.LET(
    _xlpm.ptsPrinBase, _xlfn._xlws.FILTER(G:G, A:A=A16),
    _xlpm.ptsSecBase,  _xlfn._xlws.FILTER(H:H, A:A=A16),
    _xlpm.puntosPrin, _xlpm.ptsPrinBase + _xlfn._xlws.FILTER(B:B, A:A=A16)/1000,
    _xlpm.puntosSec,  _xlpm.ptsSecBase  + _xlfn._xlws.FILTER(B:B, A:A=A16)/1000,
    _xlpm.puntosPrinValidos, SUM(--(_xlpm.ptsPrinBase&gt;0)),
    _xlpm.puntosSecValidos,  SUM(--(_xlpm.ptsSecBase&gt;0)),
    _xlpm.clave, K16 + B16/1000,
    _xlpm.claves, _xlfn._xlws.FILTER(K:K + B:B/1000, A:A=A16),
    IF(AND(_xlpm.puntosPrinValidos&gt;=4,_xlpm.puntosSecValidos&gt;=2),IF(
        SUM(--(_xlpm.claves &gt; _xlpm.clave)) &lt; 4,
        C16,
        D16
    ),"No disp")
)</f>
        <v>37</v>
      </c>
      <c r="Q16" s="14" cm="1">
        <f t="array" aca="1" ref="Q16" ca="1">_xlfn.LET(
    _xlpm.puntosPrin, _xlfn._xlws.FILTER(G:G + B:B/1000, A:A=A16),
    _xlpm.puntosPrinValidos, SUM(--(_xlpm.puntosPrin&gt;1)),
    _xlpm.puntosTer, _xlfn._xlws.FILTER(I:I + B:B/1000, A:A=A16),
    _xlpm.puntosTerValidos, SUM(--(_xlpm.puntosTer&gt;1)),
    _xlpm.clave, L16 + B16/1000,
    _xlpm.claves, _xlfn._xlws.FILTER(L:L + B:B/1000, A:A=A16),
    IF(AND(_xlpm.puntosPrinValidos&gt;=4,_xlpm.puntosTerValidos&gt;=2),IF(
        SUM(--(_xlpm.claves &gt; _xlpm.clave)) &lt; 4,
        C16,
        E16
    ),"No disp")
)</f>
        <v>37</v>
      </c>
      <c r="R16" s="14" t="str" cm="1">
        <f t="array" aca="1" ref="R16" ca="1">_xlfn.LET(
    _xlpm.puntosPrin, _xlfn._xlws.FILTER(G:G + B:B/1000, A:A=A16),
    _xlpm.puntosPrinValidos, SUM(--(_xlpm.puntosPrin&gt;1)),
    _xlpm.puntosTer, _xlfn._xlws.FILTER(J:J + B:B/1000, A:A=A16),
    _xlpm.puntosTerValidos, SUM(--(_xlpm.puntosTer&gt;1)),
    _xlpm.clave, M16 + B16/1000,
    _xlpm.claves, _xlfn._xlws.FILTER(M:M + B:B/1000, A:A=A16),
    IF(AND(_xlpm.puntosPrinValidos&gt;=4,_xlpm.puntosTerValidos&gt;=2),IF(
        SUM(--(_xlpm.claves &gt; _xlpm.clave)) &lt; 4,
        C16,
        F16
    ),"No disp")
)</f>
        <v>No disp</v>
      </c>
      <c r="S16" s="14" cm="1">
        <f t="array" aca="1" ref="S16" ca="1">_xlfn.LET(
    _xlpm.ptsPrinBase, _xlfn._xlws.FILTER(G:G, A:A=A16),
    _xlpm.ptsSecBase,  _xlfn._xlws.FILTER(H:H, A:A=A16),
    _xlpm.puntosPrin, _xlpm.ptsPrinBase + _xlfn._xlws.FILTER(B:B, A:A=A16)/1000,
    _xlpm.puntosSec,  _xlpm.ptsSecBase  + _xlfn._xlws.FILTER(B:B, A:A=A16)/1000,
    _xlpm.puntosPrinValidos, SUM(--(_xlpm.ptsPrinBase&gt;0)),
    _xlpm.puntosSecValidos,  SUM(--(_xlpm.ptsSecBase&gt;0)),
    _xlpm.clave, K16 + B16/1000,
    _xlpm.claves, _xlfn._xlws.FILTER(K:K + B:B/1000, A:A=A16),
    IF(
        AND(_xlpm.puntosPrinValidos&gt;=2, _xlpm.puntosSecValidos&gt;=4),
        IF(
            SUM(--(_xlpm.claves &lt; _xlpm.clave)) &lt; 4,
            D16,
            C16
        ),
        "No disp"
    )
)</f>
        <v>37</v>
      </c>
      <c r="T16" s="14" cm="1">
        <f t="array" aca="1" ref="T16" ca="1">_xlfn.LET(
    _xlpm.puntosSec, _xlfn._xlws.FILTER(H:H + B:B/1000, A:A=A16),
    _xlpm.puntosSecValidos, SUM(--(_xlpm.puntosSec&gt;1)),
    _xlpm.puntosAlt, _xlfn._xlws.FILTER(I:I + B:B/1000, A:A=A16),
    _xlpm.puntosAltValidos, SUM(--(_xlpm.puntosAlt&gt;1)),
    _xlpm.clave, N16 + B16/1000,
    _xlpm.claves, _xlfn._xlws.FILTER(N:N + B:B/1000, A:A=A16),
    IF(AND(_xlpm.puntosSecValidos&gt;=4,_xlpm.puntosAltValidos&gt;=2),IF(
        SUM(--(_xlpm.claves &gt; _xlpm.clave)) &lt; 4,
        D16,
        E16
    ),"No disp")
)</f>
        <v>266</v>
      </c>
      <c r="U16" s="14" t="str" cm="1">
        <f t="array" aca="1" ref="U16" ca="1">_xlfn.LET(
    _xlpm.puntosSec, _xlfn._xlws.FILTER(H:H + B:B/1000, A:A=A16),
    _xlpm.puntosSecValidos, SUM(--(_xlpm.puntosSec&gt;1)),
    _xlpm.puntosAlt, _xlfn._xlws.FILTER(J:J + B:B/1000, A:A=A16),
    _xlpm.puntosAltValidos, SUM(--(_xlpm.puntosAlt&gt;1)),
    _xlpm.clave, O16 + B16/1000,
    _xlpm.claves, _xlfn._xlws.FILTER(O:O + B:B/1000, A:A=A16),
    IF(AND(_xlpm.puntosSecValidos&gt;=4,_xlpm.puntosAltValidos&gt;=2),IF(
        SUM(--(_xlpm.claves &gt; _xlpm.clave)) &lt; 4,
        D16,
        F16
    ),"No disp")
)</f>
        <v>No disp</v>
      </c>
      <c r="V16" s="4" cm="1">
        <f t="array" aca="1" ref="V16" ca="1">_xlfn.LET(
_xlpm.PrinIDs,_xlfn._xlws.FILTER(C:C,(A:A=A16)),
_xlpm.SecIDs,_xlfn._xlws.FILTER(D:D,(A:A=A16)),
_xlpm.TerIDs,_xlfn._xlws.FILTER(E:E,A:A=A16),
_xlpm.CuaIDs,_xlfn._xlws.FILTER(F:F,(A:A=A16)),
_xlpm.PrinPts,_xlfn._xlws.FILTER(G:G,(A:A=A16)),
_xlpm.SecPts,_xlfn._xlws.FILTER(H:H,(A:A=A16)),
_xlpm.TerPts,_xlfn._xlws.FILTER(I:I,(A:A=A16)),
_xlpm.CuaPts,_xlfn._xlws.FILTER(J:J,(A:A=A16)),
_xlpm.PSIds,_xlfn._xlws.FILTER(P:P,A:A=A16),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748.71</v>
      </c>
      <c r="W16" s="4" cm="1">
        <f t="array" aca="1" ref="W16" ca="1">_xlfn.LET(
_xlpm.PrinIDs,_xlfn._xlws.FILTER(C:C,(A:A=A16)),
_xlpm.SecIDs,_xlfn._xlws.FILTER(D:D,(A:A=A16)),
_xlpm.TerIDs,_xlfn._xlws.FILTER(E:E,A:A=A16),
_xlpm.CuaIDs,_xlfn._xlws.FILTER(F:F,(A:A=A16)),
_xlpm.PrinPts,_xlfn._xlws.FILTER(G:G,(A:A=A16)),
_xlpm.SecPts,_xlfn._xlws.FILTER(H:H,(A:A=A16)),
_xlpm.TerPts,_xlfn._xlws.FILTER(I:I,(A:A=A16)),
_xlpm.CuaPts,_xlfn._xlws.FILTER(J:J,(A:A=A16)),
_xlpm.PTIds,_xlfn._xlws.FILTER(Q:Q,A:A=A16),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742.68000000000006</v>
      </c>
      <c r="X16" s="4" cm="1">
        <f t="array" aca="1" ref="X16" ca="1">_xlfn.LET(
_xlpm.PrinIDs,_xlfn._xlws.FILTER(C:C,(A:A=A16)),
_xlpm.SecIDs,_xlfn._xlws.FILTER(D:D,(A:A=A16)),
_xlpm.TerIDs,_xlfn._xlws.FILTER(E:E,A:A=A16),
_xlpm.CuaIDs,_xlfn._xlws.FILTER(F:F,(A:A=A16)),
_xlpm.PrinPts,_xlfn._xlws.FILTER(G:G,(A:A=A16)),
_xlpm.SecPts,_xlfn._xlws.FILTER(H:H,(A:A=A16)),
_xlpm.TerPts,_xlfn._xlws.FILTER(I:I,(A:A=A16)),
_xlpm.CuaPts,_xlfn._xlws.FILTER(J:J,(A:A=A16)),
_xlpm.PCIds,_xlfn._xlws.FILTER(R:R,A:A=A16),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6" s="4" cm="1">
        <f t="array" aca="1" ref="Y16" ca="1">_xlfn.LET(
_xlpm.PrinIDs,_xlfn._xlws.FILTER(C:C,(A:A=A16)),
_xlpm.SecIDs,_xlfn._xlws.FILTER(D:D,(A:A=A16)),
_xlpm.AltIDs,_xlfn._xlws.FILTER(E:E,A:A=A16),
_xlpm.PrinPts,_xlfn._xlws.FILTER(G:G,(A:A=A16)),
_xlpm.SecPts,_xlfn._xlws.FILTER(H:H,(A:A=A16)),
_xlpm.AltPts,_xlfn._xlws.FILTER(I:I,(A:A=A16)),
_xlpm.SPIds,_xlfn._xlws.FILTER(S:S,A:A=A16),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706.68</v>
      </c>
      <c r="Z16" s="4" cm="1">
        <f t="array" aca="1" ref="Z16" ca="1">_xlfn.LET(
_xlpm.PrinIDs,_xlfn._xlws.FILTER(C:C,(A:A=A16)),
_xlpm.SecIDs,_xlfn._xlws.FILTER(D:D,(A:A=A16)),
_xlpm.TerIDs,_xlfn._xlws.FILTER(E:E,A:A=A16),
_xlpm.CuaIDs,_xlfn._xlws.FILTER(F:F,(A:A=A16)),
_xlpm.PrinPts,_xlfn._xlws.FILTER(G:G,(A:A=A16)),
_xlpm.SecPts,_xlfn._xlws.FILTER(H:H,(A:A=A16)),
_xlpm.TerPts,_xlfn._xlws.FILTER(I:I,(A:A=A16)),
_xlpm.CuaPts,_xlfn._xlws.FILTER(J:J,(A:A=A16)),
_xlpm.STIds,_xlfn._xlws.FILTER(T:T,A:A=A16),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673.83</v>
      </c>
      <c r="AA16" s="4" cm="1">
        <f t="array" aca="1" ref="AA16" ca="1">_xlfn.LET(
_xlpm.PrinIDs,_xlfn._xlws.FILTER(C:C,(A:A=A16)),
_xlpm.SecIDs,_xlfn._xlws.FILTER(D:D,(A:A=A16)),
_xlpm.TerIDs,_xlfn._xlws.FILTER(E:E,A:A=A16),
_xlpm.CuaIDs,_xlfn._xlws.FILTER(F:F,(A:A=A16)),
_xlpm.PrinPts,_xlfn._xlws.FILTER(G:G,(A:A=A16)),
_xlpm.SecPts,_xlfn._xlws.FILTER(H:H,(A:A=A16)),
_xlpm.TerPts,_xlfn._xlws.FILTER(I:I,(A:A=A16)),
_xlpm.CuaPts,_xlfn._xlws.FILTER(J:J,(A:A=A16)),
_xlpm.SCIds,_xlfn._xlws.FILTER(U:U,A:A=A16),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6" s="14">
        <f t="shared" ca="1" si="3"/>
        <v>37</v>
      </c>
      <c r="AC16" s="14">
        <v>37</v>
      </c>
      <c r="AD16" s="4"/>
      <c r="AE16" s="14" t="str">
        <f ca="1">IF(ISNUMBER(AC16),
IF($B16=1,VLOOKUP($AC16,Inventario1!$A:$H,2),
IF($B16=2,VLOOKUP($AC16,Inventario2!$A:$H,2),
IF($B16=3,VLOOKUP($AC16,Inventario3!$A:$H,2),
IF($B16=4,VLOOKUP($AC16,Inventario4!$A:$H,2),
IF($B16=5,VLOOKUP($AC16,Inventario5!$A:$H,2),
VLOOKUP($AC16,Inventario6!$A:$H,2)
))))),"No equipado")</f>
        <v>Legendario</v>
      </c>
      <c r="AF16" s="14" t="str">
        <f ca="1">IF(ISNUMBER(AC16),
IF($B16=1,VLOOKUP($AC16,Inventario1!$A:$H,3),
IF($B16=2,VLOOKUP($AC16,Inventario2!$A:$H,3),
IF($B16=3,VLOOKUP($AC16,Inventario3!$A:$H,3),
IF($B16=4,VLOOKUP($AC16,Inventario4!$A:$H,3),
IF($B16=5,VLOOKUP($AC16,Inventario5!$A:$H,3),
VLOOKUP($AC16,Inventario6!$A:$H,3)
))))),"")</f>
        <v>Saque preciso</v>
      </c>
      <c r="AG16" s="14" t="str">
        <f ca="1">IF(ISNUMBER(AC16),
IF($B16=1,VLOOKUP($AC16,Inventario1!$A:$H,4),
IF($B16=2,VLOOKUP($AC16,Inventario2!$A:$H,4),
IF($B16=3,VLOOKUP($AC16,Inventario3!$A:$H,4),
IF($B16=4,VLOOKUP($AC16,Inventario4!$A:$H,4),
IF($B16=5,VLOOKUP($AC16,Inventario5!$A:$H,4),
VLOOKUP($AC16,Inventario6!$A:$H,4)
))))),"")</f>
        <v>Saque</v>
      </c>
      <c r="AH16" s="14" t="str">
        <f ca="1">IF(ISNUMBER(AC16),
IF($B16=1,VLOOKUP($AC16,Inventario1!$A:$H,5),
IF($B16=2,VLOOKUP($AC16,Inventario2!$A:$H,5),
IF($B16=3,VLOOKUP($AC16,Inventario3!$A:$H,5),
IF($B16=4,VLOOKUP($AC16,Inventario4!$A:$H,5),
IF($B16=5,VLOOKUP($AC16,Inventario5!$A:$H,5),
VLOOKUP($AC16,Inventario6!$A:$H,5)
))))),"")</f>
        <v>Colocación</v>
      </c>
      <c r="AI16" s="14" t="str">
        <f ca="1">IF(ISNUMBER(AC16),
IF($B16=1,VLOOKUP($AC16,Inventario1!$A:$H,6),
IF($B16=2,VLOOKUP($AC16,Inventario2!$A:$H,6),
IF($B16=3,VLOOKUP($AC16,Inventario3!$A:$H,6),
IF($B16=4,VLOOKUP($AC16,Inventario4!$A:$H,6),
IF($B16=5,VLOOKUP($AC16,Inventario5!$A:$H,6),
VLOOKUP($AC16,Inventario6!$A:$H,6)
))))),"")</f>
        <v>Reflejos</v>
      </c>
      <c r="AJ16" s="14" t="str">
        <f ca="1">IF(ISNUMBER(AC16),
IF($B16=1,VLOOKUP($AC16,Inventario1!$A:$H,7),
IF($B16=2,VLOOKUP($AC16,Inventario2!$A:$H,7),
IF($B16=3,VLOOKUP($AC16,Inventario3!$A:$H,7),
IF($B16=4,VLOOKUP($AC16,Inventario4!$A:$H,7),
IF($B16=5,VLOOKUP($AC16,Inventario5!$A:$H,7),
VLOOKUP($AC16,Inventario6!$A:$H,7)
))))),"")</f>
        <v>Saque</v>
      </c>
      <c r="AK16" s="15" t="str">
        <f ca="1">IF(ISNUMBER(AC16),
IF($B16=1,VLOOKUP($AC16,Inventario1!$A:$H,8),
IF($B16=2,VLOOKUP($AC16,Inventario2!$A:$H,8),
IF($B16=3,VLOOKUP($AC16,Inventario3!$A:$H,8),
IF($B16=4,VLOOKUP($AC16,Inventario4!$A:$H,8),
IF($B16=5,VLOOKUP($AC16,Inventario5!$A:$H,8),
VLOOKUP($AC16,Inventario6!$A:$H,8)
))))),"")</f>
        <v>Colocación</v>
      </c>
    </row>
    <row r="17" spans="1:37" x14ac:dyDescent="0.25">
      <c r="A17" s="21" t="s">
        <v>8</v>
      </c>
      <c r="B17" s="3">
        <v>4</v>
      </c>
      <c r="C17" s="14" cm="1">
        <f t="array" aca="1" ref="C17" ca="1">_xlfn.LET(
    _xlpm.jugador, A17,
    _xlpm.idSel, AC17,
    _xlpm.invIDs, IF(B17=1,Inventario1!A:A,IF(B17=2,Inventario2!A:A,IF(B17=3,Inventario3!A:A,IF(B17=4,Inventario4!A:A,IF(B17=5,Inventario5!A:A,Inventario6!A:A))))),
    _xlpm.invCalidad, IF(B17=1,Inventario1!B:B,IF(B17=2,Inventario2!B:B,IF(B17=3,Inventario3!B:B,IF(B17=4,Inventario4!B:B,IF(B17=5,Inventario5!B:B,Inventario6!B:B))))),
    _xlpm.invTipos, IF(B17=1,Inventario1!C:C,IF(B17=2,Inventario2!C:C,IF(B17=3,Inventario3!C:C,IF(B17=4,Inventario4!C:C,IF(B17=5,Inventario5!C:C,Inventario6!C:C))))),
    _xlpm.invStats, IF(B17=1,Inventario1!D:H,IF(B17=2,Inventario2!D:H,IF(B17=3,Inventario3!D:H,IF(B17=4,Inventario4!D:H,IF(B17=5,Inventario5!D:H,Inventario6!D:H))))),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IF(ROW(A17)=2,"",IF(_xlfn._xlws.FILTER(Equipar!AC$2:AC16,Equipar!B$2:B16=B17)={0},"",_xlfn._xlws.FILTER(Equipar!AC$2:AC16,Equipar!B$2:B16=B17))),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29</v>
      </c>
      <c r="D17" s="4" cm="1">
        <f t="array" ref="D17">_xlfn.LET(
    _xlpm.jugador, A17,
    _xlpm.idSel, AC17,
    _xlpm.invIDs, IF(B17=1,Inventario1!A:A,IF(B17=2,Inventario2!A:A,IF(B17=3,Inventario3!A:A,IF(B17=4,Inventario4!A:A,IF(B17=5,Inventario5!A:A,Inventario6!A:A))))),
    _xlpm.invCalidad, IF(B17=1,Inventario1!B:B,IF(B17=2,Inventario2!B:B,IF(B17=3,Inventario3!B:B,IF(B17=4,Inventario4!B:B,IF(B17=5,Inventario5!B:B,Inventario6!B:B))))),
    _xlpm.invTipos, IF(B17=1,Inventario1!C:C,IF(B17=2,Inventario2!C:C,IF(B17=3,Inventario3!C:C,IF(B17=4,Inventario4!C:C,IF(B17=5,Inventario5!C:C,Inventario6!C:C))))),
    _xlpm.invStats, IF(B17=1,Inventario1!D:H,IF(B17=2,Inventario2!D:H,IF(B17=3,Inventario3!D:H,IF(B17=4,Inventario4!D:H,IF(B17=5,Inventario5!D:H,Inventario6!D:H))))),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IF(ROW(A17)=2,"",IF(_xlfn._xlws.FILTER(Equipar!AC$2:AC16,Equipar!B$2:B16=B17)={0},"",_xlfn._xlws.FILTER(Equipar!AC$2:AC16,Equipar!B$2:B16=B17))),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34</v>
      </c>
      <c r="E17" s="4" cm="1">
        <f t="array" aca="1" ref="E17" ca="1">_xlfn.LET(
    _xlpm.jugador, A17,
    _xlpm.idSel, AC17,
    _xlpm.invIDs, IF(B17=1,Inventario1!A:A,IF(B17=2,Inventario2!A:A,IF(B17=3,Inventario3!A:A,IF(B17=4,Inventario4!A:A,IF(B17=5,Inventario5!A:A,Inventario6!A:A))))),
    _xlpm.invCalidad, IF(B17=1,Inventario1!B:B,IF(B17=2,Inventario2!B:B,IF(B17=3,Inventario3!B:B,IF(B17=4,Inventario4!B:B,IF(B17=5,Inventario5!B:B,Inventario6!B:B))))),
    _xlpm.invTipos, IF(B17=1,Inventario1!C:C,IF(B17=2,Inventario2!C:C,IF(B17=3,Inventario3!C:C,IF(B17=4,Inventario4!C:C,IF(B17=5,Inventario5!C:C,Inventario6!C:C))))),
    _xlpm.invStats, IF(B17=1,Inventario1!D:H,IF(B17=2,Inventario2!D:H,IF(B17=3,Inventario3!D:H,IF(B17=4,Inventario4!D:H,IF(B17=5,Inventario5!D:H,Inventario6!D:H))))),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IF(ROW(A17)=2,"",IF(_xlfn._xlws.FILTER(Equipar!AC$2:AC16,Equipar!B$2:B16=B17)={0},"",_xlfn._xlws.FILTER(Equipar!AC$2:AC16,Equipar!B$2:B16=B17))),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229</v>
      </c>
      <c r="F17" s="4" t="str" cm="1">
        <f t="array" aca="1" ref="F17" ca="1">_xlfn.LET(
    _xlpm.jugador, B17,
    _xlpm.idSel, AD17,
    _xlpm.invIDs, IF(C17=1,Inventario1!B:B,IF(C17=2,Inventario2!B:B,IF(C17=3,Inventario3!B:B,IF(C17=4,Inventario4!B:B,IF(C17=5,Inventario5!B:B,Inventario6!B:B))))),
    _xlpm.invCalidad, IF(C17=1,Inventario1!C:C,IF(C17=2,Inventario2!C:C,IF(C17=3,Inventario3!C:C,IF(C17=4,Inventario4!C:C,IF(C17=5,Inventario5!C:C,Inventario6!C:C))))),
    _xlpm.invTipos, IF(C17=1,Inventario1!D:D,IF(C17=2,Inventario2!D:D,IF(C17=3,Inventario3!D:D,IF(C17=4,Inventario4!D:D,IF(C17=5,Inventario5!D:D,Inventario6!D:D))))),
    _xlpm.invStats, IF(C17=1,Inventario1!E:I,IF(C17=2,Inventario2!E:I,IF(C17=3,Inventario3!E:I,IF(C17=4,Inventario4!E:I,IF(C17=5,Inventario5!E:I,Inventario6!E:I))))),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IF(ROW(B17)=2,"",IF(_xlfn._xlws.FILTER(Equipar!AD$2:AD16,Equipar!C$2:C16=C17)={0},"",_xlfn._xlws.FILTER(Equipar!AD$2:AD16,Equipar!C$2:C16=C17))),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7" s="14" cm="1">
        <f t="array" aca="1" ref="G17" ca="1">_xlfn.LET(
    _xlpm.jugador, A17,
    _xlpm.idSel, AC17,
    _xlpm.invIDs, IF(B17=1,Inventario1!A:A,IF(B17=2,Inventario2!A:A,IF(B17=3,Inventario3!A:A,IF(B17=4,Inventario4!A:A,IF(B17=5,Inventario5!A:A,Inventario6!A:A))))),
    _xlpm.invCalidad, IF(B17=1,Inventario1!B:B,IF(B17=2,Inventario2!B:B,IF(B17=3,Inventario3!B:B,IF(B17=4,Inventario4!B:B,IF(B17=5,Inventario5!B:B,Inventario6!B:B))))),
    _xlpm.invTipos, IF(B17=1,Inventario1!C:C,IF(B17=2,Inventario2!C:C,IF(B17=3,Inventario3!C:C,IF(B17=4,Inventario4!C:C,IF(B17=5,Inventario5!C:C,Inventario6!C:C))))),
    _xlpm.invStats, IF(B17=1,Inventario1!D:H,IF(B17=2,Inventario2!D:H,IF(B17=3,Inventario3!D:H,IF(B17=4,Inventario4!D:H,IF(B17=5,Inventario5!D:H,Inventario6!D:H))))),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IF(ROW(A17)=2,"",IF(_xlfn._xlws.FILTER(Equipar!AC$2:AC16,Equipar!B$2:B16=B17)={0},"",_xlfn._xlws.FILTER(Equipar!AC$2:AC16,Equipar!B$2:B16=B17))),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H17" s="4" cm="1">
        <f t="array" ref="H17">_xlfn.LET(
    _xlpm.jugador, A17,
    _xlpm.idSel, AC17,
    _xlpm.invIDs, IF(B17=1,Inventario1!A:A,IF(B17=2,Inventario2!A:A,IF(B17=3,Inventario3!A:A,IF(B17=4,Inventario4!A:A,IF(B17=5,Inventario5!A:A,Inventario6!A:A))))),
    _xlpm.invCalidad, IF(B17=1,Inventario1!B:B,IF(B17=2,Inventario2!B:B,IF(B17=3,Inventario3!B:B,IF(B17=4,Inventario4!B:B,IF(B17=5,Inventario5!B:B,Inventario6!B:B))))),
    _xlpm.invTipos, IF(B17=1,Inventario1!C:C,IF(B17=2,Inventario2!C:C,IF(B17=3,Inventario3!C:C,IF(B17=4,Inventario4!C:C,IF(B17=5,Inventario5!C:C,Inventario6!C:C))))),
    _xlpm.invStats, IF(B17=1,Inventario1!D:H,IF(B17=2,Inventario2!D:H,IF(B17=3,Inventario3!D:H,IF(B17=4,Inventario4!D:H,IF(B17=5,Inventario5!D:H,Inventario6!D:H))))),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IF(ROW(A17)=2,"",IF(_xlfn._xlws.FILTER(Equipar!AC$2:AC16,Equipar!B$2:B16=B17)={0},"",_xlfn._xlws.FILTER(Equipar!AC$2:AC16,Equipar!B$2:B16=B17))),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117</v>
      </c>
      <c r="I17" s="4" cm="1">
        <f t="array" aca="1" ref="I17" ca="1">_xlfn.LET(
    _xlpm.jugador, A17,
    _xlpm.idSel, AC17,
    _xlpm.invIDs, IF(B17=1,Inventario1!A:A,IF(B17=2,Inventario2!A:A,IF(B17=3,Inventario3!A:A,IF(B17=4,Inventario4!A:A,IF(B17=5,Inventario5!A:A,Inventario6!A:A))))),
    _xlpm.invCalidad, IF(B17=1,Inventario1!B:B,IF(B17=2,Inventario2!B:B,IF(B17=3,Inventario3!B:B,IF(B17=4,Inventario4!B:B,IF(B17=5,Inventario5!B:B,Inventario6!B:B))))),
    _xlpm.invTipos, IF(B17=1,Inventario1!C:C,IF(B17=2,Inventario2!C:C,IF(B17=3,Inventario3!C:C,IF(B17=4,Inventario4!C:C,IF(B17=5,Inventario5!C:C,Inventario6!C:C))))),
    _xlpm.invStats, IF(B17=1,Inventario1!D:H,IF(B17=2,Inventario2!D:H,IF(B17=3,Inventario3!D:H,IF(B17=4,Inventario4!D:H,IF(B17=5,Inventario5!D:H,Inventario6!D:H))))),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IF(ROW(A17)=2,"",IF(_xlfn._xlws.FILTER(Equipar!AC$2:AC16,Equipar!B$2:B16=B17)={0},"",_xlfn._xlws.FILTER(Equipar!AC$2:AC16,Equipar!B$2:B16=B17))),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J17" s="4" cm="1">
        <f t="array" aca="1" ref="J17" ca="1">_xlfn.LET(
    _xlpm.jugador, B17,
    _xlpm.idSel, AD17,
    _xlpm.invIDs, IF(C17=1,Inventario1!B:B,IF(C17=2,Inventario2!B:B,IF(C17=3,Inventario3!B:B,IF(C17=4,Inventario4!B:B,IF(C17=5,Inventario5!B:B,Inventario6!B:B))))),
    _xlpm.invCalidad, IF(C17=1,Inventario1!C:C,IF(C17=2,Inventario2!C:C,IF(C17=3,Inventario3!C:C,IF(C17=4,Inventario4!C:C,IF(C17=5,Inventario5!C:C,Inventario6!C:C))))),
    _xlpm.invTipos, IF(C17=1,Inventario1!D:D,IF(C17=2,Inventario2!D:D,IF(C17=3,Inventario3!D:D,IF(C17=4,Inventario4!D:D,IF(C17=5,Inventario5!D:D,Inventario6!D:D))))),
    _xlpm.invStats, IF(C17=1,Inventario1!E:I,IF(C17=2,Inventario2!E:I,IF(C17=3,Inventario3!E:I,IF(C17=4,Inventario4!E:I,IF(C17=5,Inventario5!E:I,Inventario6!E:I))))),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IF(ROW(B17)=2,"",IF(_xlfn._xlws.FILTER(Equipar!AD$2:AD16,Equipar!C$2:C16=C17)={0},"",_xlfn._xlws.FILTER(Equipar!AD$2:AD16,Equipar!C$2:C16=C17))),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7" s="4">
        <f t="shared" ca="1" si="0"/>
        <v>-33.209999999999994</v>
      </c>
      <c r="L17" s="4">
        <f t="shared" ca="1" si="1"/>
        <v>29.790000000000006</v>
      </c>
      <c r="M17" s="4">
        <f t="shared" ca="1" si="1"/>
        <v>117</v>
      </c>
      <c r="N17" s="4">
        <f t="shared" ca="1" si="2"/>
        <v>63</v>
      </c>
      <c r="O17" s="4">
        <f t="shared" ca="1" si="2"/>
        <v>54</v>
      </c>
      <c r="P17" s="14" cm="1">
        <f t="array" aca="1" ref="P17" ca="1">_xlfn.LET(
    _xlpm.ptsPrinBase, _xlfn._xlws.FILTER(G:G, A:A=A17),
    _xlpm.ptsSecBase,  _xlfn._xlws.FILTER(H:H, A:A=A17),
    _xlpm.puntosPrin, _xlpm.ptsPrinBase + _xlfn._xlws.FILTER(B:B, A:A=A17)/1000,
    _xlpm.puntosSec,  _xlpm.ptsSecBase  + _xlfn._xlws.FILTER(B:B, A:A=A17)/1000,
    _xlpm.puntosPrinValidos, SUM(--(_xlpm.ptsPrinBase&gt;0)),
    _xlpm.puntosSecValidos,  SUM(--(_xlpm.ptsSecBase&gt;0)),
    _xlpm.clave, K17 + B17/1000,
    _xlpm.claves, _xlfn._xlws.FILTER(K:K + B:B/1000, A:A=A17),
    IF(AND(_xlpm.puntosPrinValidos&gt;=4,_xlpm.puntosSecValidos&gt;=2),IF(
        SUM(--(_xlpm.claves &gt; _xlpm.clave)) &lt; 4,
        C17,
        D17
    ),"No disp")
)</f>
        <v>34</v>
      </c>
      <c r="Q17" s="14" cm="1">
        <f t="array" aca="1" ref="Q17" ca="1">_xlfn.LET(
    _xlpm.puntosPrin, _xlfn._xlws.FILTER(G:G + B:B/1000, A:A=A17),
    _xlpm.puntosPrinValidos, SUM(--(_xlpm.puntosPrin&gt;1)),
    _xlpm.puntosTer, _xlfn._xlws.FILTER(I:I + B:B/1000, A:A=A17),
    _xlpm.puntosTerValidos, SUM(--(_xlpm.puntosTer&gt;1)),
    _xlpm.clave, L17 + B17/1000,
    _xlpm.claves, _xlfn._xlws.FILTER(L:L + B:B/1000, A:A=A17),
    IF(AND(_xlpm.puntosPrinValidos&gt;=4,_xlpm.puntosTerValidos&gt;=2),IF(
        SUM(--(_xlpm.claves &gt; _xlpm.clave)) &lt; 4,
        C17,
        E17
    ),"No disp")
)</f>
        <v>29</v>
      </c>
      <c r="R17" s="14" t="str" cm="1">
        <f t="array" aca="1" ref="R17" ca="1">_xlfn.LET(
    _xlpm.puntosPrin, _xlfn._xlws.FILTER(G:G + B:B/1000, A:A=A17),
    _xlpm.puntosPrinValidos, SUM(--(_xlpm.puntosPrin&gt;1)),
    _xlpm.puntosTer, _xlfn._xlws.FILTER(J:J + B:B/1000, A:A=A17),
    _xlpm.puntosTerValidos, SUM(--(_xlpm.puntosTer&gt;1)),
    _xlpm.clave, M17 + B17/1000,
    _xlpm.claves, _xlfn._xlws.FILTER(M:M + B:B/1000, A:A=A17),
    IF(AND(_xlpm.puntosPrinValidos&gt;=4,_xlpm.puntosTerValidos&gt;=2),IF(
        SUM(--(_xlpm.claves &gt; _xlpm.clave)) &lt; 4,
        C17,
        F17
    ),"No disp")
)</f>
        <v>No disp</v>
      </c>
      <c r="S17" s="14" cm="1">
        <f t="array" aca="1" ref="S17" ca="1">_xlfn.LET(
    _xlpm.ptsPrinBase, _xlfn._xlws.FILTER(G:G, A:A=A17),
    _xlpm.ptsSecBase,  _xlfn._xlws.FILTER(H:H, A:A=A17),
    _xlpm.puntosPrin, _xlpm.ptsPrinBase + _xlfn._xlws.FILTER(B:B, A:A=A17)/1000,
    _xlpm.puntosSec,  _xlpm.ptsSecBase  + _xlfn._xlws.FILTER(B:B, A:A=A17)/1000,
    _xlpm.puntosPrinValidos, SUM(--(_xlpm.ptsPrinBase&gt;0)),
    _xlpm.puntosSecValidos,  SUM(--(_xlpm.ptsSecBase&gt;0)),
    _xlpm.clave, K17 + B17/1000,
    _xlpm.claves, _xlfn._xlws.FILTER(K:K + B:B/1000, A:A=A17),
    IF(
        AND(_xlpm.puntosPrinValidos&gt;=2, _xlpm.puntosSecValidos&gt;=4),
        IF(
            SUM(--(_xlpm.claves &lt; _xlpm.clave)) &lt; 4,
            D17,
            C17
        ),
        "No disp"
    )
)</f>
        <v>34</v>
      </c>
      <c r="T17" s="14" cm="1">
        <f t="array" aca="1" ref="T17" ca="1">_xlfn.LET(
    _xlpm.puntosSec, _xlfn._xlws.FILTER(H:H + B:B/1000, A:A=A17),
    _xlpm.puntosSecValidos, SUM(--(_xlpm.puntosSec&gt;1)),
    _xlpm.puntosAlt, _xlfn._xlws.FILTER(I:I + B:B/1000, A:A=A17),
    _xlpm.puntosAltValidos, SUM(--(_xlpm.puntosAlt&gt;1)),
    _xlpm.clave, N17 + B17/1000,
    _xlpm.claves, _xlfn._xlws.FILTER(N:N + B:B/1000, A:A=A17),
    IF(AND(_xlpm.puntosSecValidos&gt;=4,_xlpm.puntosAltValidos&gt;=2),IF(
        SUM(--(_xlpm.claves &gt; _xlpm.clave)) &lt; 4,
        D17,
        E17
    ),"No disp")
)</f>
        <v>34</v>
      </c>
      <c r="U17" s="14" t="str" cm="1">
        <f t="array" aca="1" ref="U17" ca="1">_xlfn.LET(
    _xlpm.puntosSec, _xlfn._xlws.FILTER(H:H + B:B/1000, A:A=A17),
    _xlpm.puntosSecValidos, SUM(--(_xlpm.puntosSec&gt;1)),
    _xlpm.puntosAlt, _xlfn._xlws.FILTER(J:J + B:B/1000, A:A=A17),
    _xlpm.puntosAltValidos, SUM(--(_xlpm.puntosAlt&gt;1)),
    _xlpm.clave, O17 + B17/1000,
    _xlpm.claves, _xlfn._xlws.FILTER(O:O + B:B/1000, A:A=A17),
    IF(AND(_xlpm.puntosSecValidos&gt;=4,_xlpm.puntosAltValidos&gt;=2),IF(
        SUM(--(_xlpm.claves &gt; _xlpm.clave)) &lt; 4,
        D17,
        F17
    ),"No disp")
)</f>
        <v>No disp</v>
      </c>
      <c r="V17" s="4" cm="1">
        <f t="array" aca="1" ref="V17" ca="1">_xlfn.LET(
_xlpm.PrinIDs,_xlfn._xlws.FILTER(C:C,(A:A=A17)),
_xlpm.SecIDs,_xlfn._xlws.FILTER(D:D,(A:A=A17)),
_xlpm.TerIDs,_xlfn._xlws.FILTER(E:E,A:A=A17),
_xlpm.CuaIDs,_xlfn._xlws.FILTER(F:F,(A:A=A17)),
_xlpm.PrinPts,_xlfn._xlws.FILTER(G:G,(A:A=A17)),
_xlpm.SecPts,_xlfn._xlws.FILTER(H:H,(A:A=A17)),
_xlpm.TerPts,_xlfn._xlws.FILTER(I:I,(A:A=A17)),
_xlpm.CuaPts,_xlfn._xlws.FILTER(J:J,(A:A=A17)),
_xlpm.PSIds,_xlfn._xlws.FILTER(P:P,A:A=A17),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748.71</v>
      </c>
      <c r="W17" s="4" cm="1">
        <f t="array" aca="1" ref="W17" ca="1">_xlfn.LET(
_xlpm.PrinIDs,_xlfn._xlws.FILTER(C:C,(A:A=A17)),
_xlpm.SecIDs,_xlfn._xlws.FILTER(D:D,(A:A=A17)),
_xlpm.TerIDs,_xlfn._xlws.FILTER(E:E,A:A=A17),
_xlpm.CuaIDs,_xlfn._xlws.FILTER(F:F,(A:A=A17)),
_xlpm.PrinPts,_xlfn._xlws.FILTER(G:G,(A:A=A17)),
_xlpm.SecPts,_xlfn._xlws.FILTER(H:H,(A:A=A17)),
_xlpm.TerPts,_xlfn._xlws.FILTER(I:I,(A:A=A17)),
_xlpm.CuaPts,_xlfn._xlws.FILTER(J:J,(A:A=A17)),
_xlpm.PTIds,_xlfn._xlws.FILTER(Q:Q,A:A=A17),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742.68000000000006</v>
      </c>
      <c r="X17" s="4" cm="1">
        <f t="array" aca="1" ref="X17" ca="1">_xlfn.LET(
_xlpm.PrinIDs,_xlfn._xlws.FILTER(C:C,(A:A=A17)),
_xlpm.SecIDs,_xlfn._xlws.FILTER(D:D,(A:A=A17)),
_xlpm.TerIDs,_xlfn._xlws.FILTER(E:E,A:A=A17),
_xlpm.CuaIDs,_xlfn._xlws.FILTER(F:F,(A:A=A17)),
_xlpm.PrinPts,_xlfn._xlws.FILTER(G:G,(A:A=A17)),
_xlpm.SecPts,_xlfn._xlws.FILTER(H:H,(A:A=A17)),
_xlpm.TerPts,_xlfn._xlws.FILTER(I:I,(A:A=A17)),
_xlpm.CuaPts,_xlfn._xlws.FILTER(J:J,(A:A=A17)),
_xlpm.PCIds,_xlfn._xlws.FILTER(R:R,A:A=A17),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7" s="4" cm="1">
        <f t="array" aca="1" ref="Y17" ca="1">_xlfn.LET(
_xlpm.PrinIDs,_xlfn._xlws.FILTER(C:C,(A:A=A17)),
_xlpm.SecIDs,_xlfn._xlws.FILTER(D:D,(A:A=A17)),
_xlpm.AltIDs,_xlfn._xlws.FILTER(E:E,A:A=A17),
_xlpm.PrinPts,_xlfn._xlws.FILTER(G:G,(A:A=A17)),
_xlpm.SecPts,_xlfn._xlws.FILTER(H:H,(A:A=A17)),
_xlpm.AltPts,_xlfn._xlws.FILTER(I:I,(A:A=A17)),
_xlpm.SPIds,_xlfn._xlws.FILTER(S:S,A:A=A17),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706.68</v>
      </c>
      <c r="Z17" s="4" cm="1">
        <f t="array" aca="1" ref="Z17" ca="1">_xlfn.LET(
_xlpm.PrinIDs,_xlfn._xlws.FILTER(C:C,(A:A=A17)),
_xlpm.SecIDs,_xlfn._xlws.FILTER(D:D,(A:A=A17)),
_xlpm.TerIDs,_xlfn._xlws.FILTER(E:E,A:A=A17),
_xlpm.CuaIDs,_xlfn._xlws.FILTER(F:F,(A:A=A17)),
_xlpm.PrinPts,_xlfn._xlws.FILTER(G:G,(A:A=A17)),
_xlpm.SecPts,_xlfn._xlws.FILTER(H:H,(A:A=A17)),
_xlpm.TerPts,_xlfn._xlws.FILTER(I:I,(A:A=A17)),
_xlpm.CuaPts,_xlfn._xlws.FILTER(J:J,(A:A=A17)),
_xlpm.STIds,_xlfn._xlws.FILTER(T:T,A:A=A17),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673.83</v>
      </c>
      <c r="AA17" s="4" cm="1">
        <f t="array" aca="1" ref="AA17" ca="1">_xlfn.LET(
_xlpm.PrinIDs,_xlfn._xlws.FILTER(C:C,(A:A=A17)),
_xlpm.SecIDs,_xlfn._xlws.FILTER(D:D,(A:A=A17)),
_xlpm.TerIDs,_xlfn._xlws.FILTER(E:E,A:A=A17),
_xlpm.CuaIDs,_xlfn._xlws.FILTER(F:F,(A:A=A17)),
_xlpm.PrinPts,_xlfn._xlws.FILTER(G:G,(A:A=A17)),
_xlpm.SecPts,_xlfn._xlws.FILTER(H:H,(A:A=A17)),
_xlpm.TerPts,_xlfn._xlws.FILTER(I:I,(A:A=A17)),
_xlpm.CuaPts,_xlfn._xlws.FILTER(J:J,(A:A=A17)),
_xlpm.SCIds,_xlfn._xlws.FILTER(U:U,A:A=A17),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7" s="14">
        <f t="shared" ca="1" si="3"/>
        <v>34</v>
      </c>
      <c r="AC17" s="14">
        <v>34</v>
      </c>
      <c r="AD17" s="4"/>
      <c r="AE17" s="14" t="str">
        <f ca="1">IF(ISNUMBER(AC17),
IF($B17=1,VLOOKUP($AC17,Inventario1!$A:$H,2),
IF($B17=2,VLOOKUP($AC17,Inventario2!$A:$H,2),
IF($B17=3,VLOOKUP($AC17,Inventario3!$A:$H,2),
IF($B17=4,VLOOKUP($AC17,Inventario4!$A:$H,2),
IF($B17=5,VLOOKUP($AC17,Inventario5!$A:$H,2),
VLOOKUP($AC17,Inventario6!$A:$H,2)
))))),"No equipado")</f>
        <v>Épico</v>
      </c>
      <c r="AF17" s="14" t="str">
        <f ca="1">IF(ISNUMBER(AC17),
IF($B17=1,VLOOKUP($AC17,Inventario1!$A:$H,3),
IF($B17=2,VLOOKUP($AC17,Inventario2!$A:$H,3),
IF($B17=3,VLOOKUP($AC17,Inventario3!$A:$H,3),
IF($B17=4,VLOOKUP($AC17,Inventario4!$A:$H,3),
IF($B17=5,VLOOKUP($AC17,Inventario5!$A:$H,3),
VLOOKUP($AC17,Inventario6!$A:$H,3)
))))),"")</f>
        <v>Pase preciso</v>
      </c>
      <c r="AG17" s="14" t="str">
        <f ca="1">IF(ISNUMBER(AC17),
IF($B17=1,VLOOKUP($AC17,Inventario1!$A:$H,4),
IF($B17=2,VLOOKUP($AC17,Inventario2!$A:$H,4),
IF($B17=3,VLOOKUP($AC17,Inventario3!$A:$H,4),
IF($B17=4,VLOOKUP($AC17,Inventario4!$A:$H,4),
IF($B17=5,VLOOKUP($AC17,Inventario5!$A:$H,4),
VLOOKUP($AC17,Inventario6!$A:$H,4)
))))),"")</f>
        <v>Reflejos</v>
      </c>
      <c r="AH17" s="14" t="str">
        <f ca="1">IF(ISNUMBER(AC17),
IF($B17=1,VLOOKUP($AC17,Inventario1!$A:$H,5),
IF($B17=2,VLOOKUP($AC17,Inventario2!$A:$H,5),
IF($B17=3,VLOOKUP($AC17,Inventario3!$A:$H,5),
IF($B17=4,VLOOKUP($AC17,Inventario4!$A:$H,5),
IF($B17=5,VLOOKUP($AC17,Inventario5!$A:$H,5),
VLOOKUP($AC17,Inventario6!$A:$H,5)
))))),"")</f>
        <v>Fuerza</v>
      </c>
      <c r="AI17" s="14" t="str">
        <f ca="1">IF(ISNUMBER(AC17),
IF($B17=1,VLOOKUP($AC17,Inventario1!$A:$H,6),
IF($B17=2,VLOOKUP($AC17,Inventario2!$A:$H,6),
IF($B17=3,VLOOKUP($AC17,Inventario3!$A:$H,6),
IF($B17=4,VLOOKUP($AC17,Inventario4!$A:$H,6),
IF($B17=5,VLOOKUP($AC17,Inventario5!$A:$H,6),
VLOOKUP($AC17,Inventario6!$A:$H,6)
))))),"")</f>
        <v>Saque</v>
      </c>
      <c r="AJ17" s="14" t="str">
        <f ca="1">IF(ISNUMBER(AC17),
IF($B17=1,VLOOKUP($AC17,Inventario1!$A:$H,7),
IF($B17=2,VLOOKUP($AC17,Inventario2!$A:$H,7),
IF($B17=3,VLOOKUP($AC17,Inventario3!$A:$H,7),
IF($B17=4,VLOOKUP($AC17,Inventario4!$A:$H,7),
IF($B17=5,VLOOKUP($AC17,Inventario5!$A:$H,7),
VLOOKUP($AC17,Inventario6!$A:$H,7)
))))),"")</f>
        <v>Saque</v>
      </c>
      <c r="AK17" s="15" t="str">
        <f ca="1">IF(ISNUMBER(AC17),
IF($B17=1,VLOOKUP($AC17,Inventario1!$A:$H,8),
IF($B17=2,VLOOKUP($AC17,Inventario2!$A:$H,8),
IF($B17=3,VLOOKUP($AC17,Inventario3!$A:$H,8),
IF($B17=4,VLOOKUP($AC17,Inventario4!$A:$H,8),
IF($B17=5,VLOOKUP($AC17,Inventario5!$A:$H,8),
VLOOKUP($AC17,Inventario6!$A:$H,8)
))))),"")</f>
        <v>Colocación</v>
      </c>
    </row>
    <row r="18" spans="1:37" x14ac:dyDescent="0.25">
      <c r="A18" s="21" t="s">
        <v>8</v>
      </c>
      <c r="B18" s="3">
        <v>5</v>
      </c>
      <c r="C18" s="14" cm="1">
        <f t="array" ref="C18">_xlfn.LET(
    _xlpm.jugador, A18,
    _xlpm.idSel, AC18,
    _xlpm.invIDs, IF(B18=1,Inventario1!A:A,IF(B18=2,Inventario2!A:A,IF(B18=3,Inventario3!A:A,IF(B18=4,Inventario4!A:A,IF(B18=5,Inventario5!A:A,Inventario6!A:A))))),
    _xlpm.invCalidad, IF(B18=1,Inventario1!B:B,IF(B18=2,Inventario2!B:B,IF(B18=3,Inventario3!B:B,IF(B18=4,Inventario4!B:B,IF(B18=5,Inventario5!B:B,Inventario6!B:B))))),
    _xlpm.invTipos, IF(B18=1,Inventario1!C:C,IF(B18=2,Inventario2!C:C,IF(B18=3,Inventario3!C:C,IF(B18=4,Inventario4!C:C,IF(B18=5,Inventario5!C:C,Inventario6!C:C))))),
    _xlpm.invStats, IF(B18=1,Inventario1!D:H,IF(B18=2,Inventario2!D:H,IF(B18=3,Inventario3!D:H,IF(B18=4,Inventario4!D:H,IF(B18=5,Inventario5!D:H,Inventario6!D:H))))),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IF(ROW(A18)=2,"",IF(_xlfn._xlws.FILTER(Equipar!AC$2:AC17,Equipar!B$2:B17=B18)={0},"",_xlfn._xlws.FILTER(Equipar!AC$2:AC17,Equipar!B$2:B17=B18))),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36</v>
      </c>
      <c r="D18" s="4" cm="1">
        <f t="array" ref="D18">_xlfn.LET(
    _xlpm.jugador, A18,
    _xlpm.idSel, AC18,
    _xlpm.invIDs, IF(B18=1,Inventario1!A:A,IF(B18=2,Inventario2!A:A,IF(B18=3,Inventario3!A:A,IF(B18=4,Inventario4!A:A,IF(B18=5,Inventario5!A:A,Inventario6!A:A))))),
    _xlpm.invCalidad, IF(B18=1,Inventario1!B:B,IF(B18=2,Inventario2!B:B,IF(B18=3,Inventario3!B:B,IF(B18=4,Inventario4!B:B,IF(B18=5,Inventario5!B:B,Inventario6!B:B))))),
    _xlpm.invTipos, IF(B18=1,Inventario1!C:C,IF(B18=2,Inventario2!C:C,IF(B18=3,Inventario3!C:C,IF(B18=4,Inventario4!C:C,IF(B18=5,Inventario5!C:C,Inventario6!C:C))))),
    _xlpm.invStats, IF(B18=1,Inventario1!D:H,IF(B18=2,Inventario2!D:H,IF(B18=3,Inventario3!D:H,IF(B18=4,Inventario4!D:H,IF(B18=5,Inventario5!D:H,Inventario6!D:H))))),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IF(ROW(A18)=2,"",IF(_xlfn._xlws.FILTER(Equipar!AC$2:AC17,Equipar!B$2:B17=B18)={0},"",_xlfn._xlws.FILTER(Equipar!AC$2:AC17,Equipar!B$2:B17=B18))),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40</v>
      </c>
      <c r="E18" s="4" cm="1">
        <f t="array" aca="1" ref="E18" ca="1">_xlfn.LET(
    _xlpm.jugador, A18,
    _xlpm.idSel, AC18,
    _xlpm.invIDs, IF(B18=1,Inventario1!A:A,IF(B18=2,Inventario2!A:A,IF(B18=3,Inventario3!A:A,IF(B18=4,Inventario4!A:A,IF(B18=5,Inventario5!A:A,Inventario6!A:A))))),
    _xlpm.invCalidad, IF(B18=1,Inventario1!B:B,IF(B18=2,Inventario2!B:B,IF(B18=3,Inventario3!B:B,IF(B18=4,Inventario4!B:B,IF(B18=5,Inventario5!B:B,Inventario6!B:B))))),
    _xlpm.invTipos, IF(B18=1,Inventario1!C:C,IF(B18=2,Inventario2!C:C,IF(B18=3,Inventario3!C:C,IF(B18=4,Inventario4!C:C,IF(B18=5,Inventario5!C:C,Inventario6!C:C))))),
    _xlpm.invStats, IF(B18=1,Inventario1!D:H,IF(B18=2,Inventario2!D:H,IF(B18=3,Inventario3!D:H,IF(B18=4,Inventario4!D:H,IF(B18=5,Inventario5!D:H,Inventario6!D:H))))),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IF(ROW(A18)=2,"",IF(_xlfn._xlws.FILTER(Equipar!AC$2:AC17,Equipar!B$2:B17=B18)={0},"",_xlfn._xlws.FILTER(Equipar!AC$2:AC17,Equipar!B$2:B17=B18))),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255</v>
      </c>
      <c r="F18" s="4" t="str" cm="1">
        <f t="array" aca="1" ref="F18" ca="1">_xlfn.LET(
    _xlpm.jugador, B18,
    _xlpm.idSel, AD18,
    _xlpm.invIDs, IF(C18=1,Inventario1!B:B,IF(C18=2,Inventario2!B:B,IF(C18=3,Inventario3!B:B,IF(C18=4,Inventario4!B:B,IF(C18=5,Inventario5!B:B,Inventario6!B:B))))),
    _xlpm.invCalidad, IF(C18=1,Inventario1!C:C,IF(C18=2,Inventario2!C:C,IF(C18=3,Inventario3!C:C,IF(C18=4,Inventario4!C:C,IF(C18=5,Inventario5!C:C,Inventario6!C:C))))),
    _xlpm.invTipos, IF(C18=1,Inventario1!D:D,IF(C18=2,Inventario2!D:D,IF(C18=3,Inventario3!D:D,IF(C18=4,Inventario4!D:D,IF(C18=5,Inventario5!D:D,Inventario6!D:D))))),
    _xlpm.invStats, IF(C18=1,Inventario1!E:I,IF(C18=2,Inventario2!E:I,IF(C18=3,Inventario3!E:I,IF(C18=4,Inventario4!E:I,IF(C18=5,Inventario5!E:I,Inventario6!E:I))))),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IF(ROW(B18)=2,"",IF(_xlfn._xlws.FILTER(Equipar!AD$2:AD17,Equipar!C$2:C17=C18)={0},"",_xlfn._xlws.FILTER(Equipar!AD$2:AD17,Equipar!C$2:C17=C18))),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8" s="14" cm="1">
        <f t="array" ref="G18">_xlfn.LET(
    _xlpm.jugador, A18,
    _xlpm.idSel, AC18,
    _xlpm.invIDs, IF(B18=1,Inventario1!A:A,IF(B18=2,Inventario2!A:A,IF(B18=3,Inventario3!A:A,IF(B18=4,Inventario4!A:A,IF(B18=5,Inventario5!A:A,Inventario6!A:A))))),
    _xlpm.invCalidad, IF(B18=1,Inventario1!B:B,IF(B18=2,Inventario2!B:B,IF(B18=3,Inventario3!B:B,IF(B18=4,Inventario4!B:B,IF(B18=5,Inventario5!B:B,Inventario6!B:B))))),
    _xlpm.invTipos, IF(B18=1,Inventario1!C:C,IF(B18=2,Inventario2!C:C,IF(B18=3,Inventario3!C:C,IF(B18=4,Inventario4!C:C,IF(B18=5,Inventario5!C:C,Inventario6!C:C))))),
    _xlpm.invStats, IF(B18=1,Inventario1!D:H,IF(B18=2,Inventario2!D:H,IF(B18=3,Inventario3!D:H,IF(B18=4,Inventario4!D:H,IF(B18=5,Inventario5!D:H,Inventario6!D:H))))),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IF(ROW(A18)=2,"",IF(_xlfn._xlws.FILTER(Equipar!AC$2:AC17,Equipar!B$2:B17=B18)={0},"",_xlfn._xlws.FILTER(Equipar!AC$2:AC17,Equipar!B$2:B17=B18))),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H18" s="4" cm="1">
        <f t="array" ref="H18">_xlfn.LET(
    _xlpm.jugador, A18,
    _xlpm.idSel, AC18,
    _xlpm.invIDs, IF(B18=1,Inventario1!A:A,IF(B18=2,Inventario2!A:A,IF(B18=3,Inventario3!A:A,IF(B18=4,Inventario4!A:A,IF(B18=5,Inventario5!A:A,Inventario6!A:A))))),
    _xlpm.invCalidad, IF(B18=1,Inventario1!B:B,IF(B18=2,Inventario2!B:B,IF(B18=3,Inventario3!B:B,IF(B18=4,Inventario4!B:B,IF(B18=5,Inventario5!B:B,Inventario6!B:B))))),
    _xlpm.invTipos, IF(B18=1,Inventario1!C:C,IF(B18=2,Inventario2!C:C,IF(B18=3,Inventario3!C:C,IF(B18=4,Inventario4!C:C,IF(B18=5,Inventario5!C:C,Inventario6!C:C))))),
    _xlpm.invStats, IF(B18=1,Inventario1!D:H,IF(B18=2,Inventario2!D:H,IF(B18=3,Inventario3!D:H,IF(B18=4,Inventario4!D:H,IF(B18=5,Inventario5!D:H,Inventario6!D:H))))),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IF(ROW(A18)=2,"",IF(_xlfn._xlws.FILTER(Equipar!AC$2:AC17,Equipar!B$2:B17=B18)={0},"",_xlfn._xlws.FILTER(Equipar!AC$2:AC17,Equipar!B$2:B17=B18))),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I18" s="4" cm="1">
        <f t="array" aca="1" ref="I18" ca="1">_xlfn.LET(
    _xlpm.jugador, A18,
    _xlpm.idSel, AC18,
    _xlpm.invIDs, IF(B18=1,Inventario1!A:A,IF(B18=2,Inventario2!A:A,IF(B18=3,Inventario3!A:A,IF(B18=4,Inventario4!A:A,IF(B18=5,Inventario5!A:A,Inventario6!A:A))))),
    _xlpm.invCalidad, IF(B18=1,Inventario1!B:B,IF(B18=2,Inventario2!B:B,IF(B18=3,Inventario3!B:B,IF(B18=4,Inventario4!B:B,IF(B18=5,Inventario5!B:B,Inventario6!B:B))))),
    _xlpm.invTipos, IF(B18=1,Inventario1!C:C,IF(B18=2,Inventario2!C:C,IF(B18=3,Inventario3!C:C,IF(B18=4,Inventario4!C:C,IF(B18=5,Inventario5!C:C,Inventario6!C:C))))),
    _xlpm.invStats, IF(B18=1,Inventario1!D:H,IF(B18=2,Inventario2!D:H,IF(B18=3,Inventario3!D:H,IF(B18=4,Inventario4!D:H,IF(B18=5,Inventario5!D:H,Inventario6!D:H))))),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IF(ROW(A18)=2,"",IF(_xlfn._xlws.FILTER(Equipar!AC$2:AC17,Equipar!B$2:B17=B18)={0},"",_xlfn._xlws.FILTER(Equipar!AC$2:AC17,Equipar!B$2:B17=B18))),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131.67000000000002</v>
      </c>
      <c r="J18" s="4" cm="1">
        <f t="array" aca="1" ref="J18" ca="1">_xlfn.LET(
    _xlpm.jugador, B18,
    _xlpm.idSel, AD18,
    _xlpm.invIDs, IF(C18=1,Inventario1!B:B,IF(C18=2,Inventario2!B:B,IF(C18=3,Inventario3!B:B,IF(C18=4,Inventario4!B:B,IF(C18=5,Inventario5!B:B,Inventario6!B:B))))),
    _xlpm.invCalidad, IF(C18=1,Inventario1!C:C,IF(C18=2,Inventario2!C:C,IF(C18=3,Inventario3!C:C,IF(C18=4,Inventario4!C:C,IF(C18=5,Inventario5!C:C,Inventario6!C:C))))),
    _xlpm.invTipos, IF(C18=1,Inventario1!D:D,IF(C18=2,Inventario2!D:D,IF(C18=3,Inventario3!D:D,IF(C18=4,Inventario4!D:D,IF(C18=5,Inventario5!D:D,Inventario6!D:D))))),
    _xlpm.invStats, IF(C18=1,Inventario1!E:I,IF(C18=2,Inventario2!E:I,IF(C18=3,Inventario3!E:I,IF(C18=4,Inventario4!E:I,IF(C18=5,Inventario5!E:I,Inventario6!E:I))))),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IF(ROW(B18)=2,"",IF(_xlfn._xlws.FILTER(Equipar!AD$2:AD17,Equipar!C$2:C17=C18)={0},"",_xlfn._xlws.FILTER(Equipar!AD$2:AD17,Equipar!C$2:C17=C18))),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8" s="4">
        <f t="shared" ca="1" si="0"/>
        <v>32.760000000000005</v>
      </c>
      <c r="L18" s="4">
        <f t="shared" ca="1" si="1"/>
        <v>-35.910000000000011</v>
      </c>
      <c r="M18" s="4">
        <f t="shared" ca="1" si="1"/>
        <v>63</v>
      </c>
      <c r="N18" s="4">
        <f t="shared" ca="1" si="2"/>
        <v>-68.670000000000016</v>
      </c>
      <c r="O18" s="4">
        <f t="shared" ca="1" si="2"/>
        <v>131.67000000000002</v>
      </c>
      <c r="P18" s="14" cm="1">
        <f t="array" aca="1" ref="P18" ca="1">_xlfn.LET(
    _xlpm.ptsPrinBase, _xlfn._xlws.FILTER(G:G, A:A=A18),
    _xlpm.ptsSecBase,  _xlfn._xlws.FILTER(H:H, A:A=A18),
    _xlpm.puntosPrin, _xlpm.ptsPrinBase + _xlfn._xlws.FILTER(B:B, A:A=A18)/1000,
    _xlpm.puntosSec,  _xlpm.ptsSecBase  + _xlfn._xlws.FILTER(B:B, A:A=A18)/1000,
    _xlpm.puntosPrinValidos, SUM(--(_xlpm.ptsPrinBase&gt;0)),
    _xlpm.puntosSecValidos,  SUM(--(_xlpm.ptsSecBase&gt;0)),
    _xlpm.clave, K18 + B18/1000,
    _xlpm.claves, _xlfn._xlws.FILTER(K:K + B:B/1000, A:A=A18),
    IF(AND(_xlpm.puntosPrinValidos&gt;=4,_xlpm.puntosSecValidos&gt;=2),IF(
        SUM(--(_xlpm.claves &gt; _xlpm.clave)) &lt; 4,
        C18,
        D18
    ),"No disp")
)</f>
        <v>36</v>
      </c>
      <c r="Q18" s="14" cm="1">
        <f t="array" aca="1" ref="Q18" ca="1">_xlfn.LET(
    _xlpm.puntosPrin, _xlfn._xlws.FILTER(G:G + B:B/1000, A:A=A18),
    _xlpm.puntosPrinValidos, SUM(--(_xlpm.puntosPrin&gt;1)),
    _xlpm.puntosTer, _xlfn._xlws.FILTER(I:I + B:B/1000, A:A=A18),
    _xlpm.puntosTerValidos, SUM(--(_xlpm.puntosTer&gt;1)),
    _xlpm.clave, L18 + B18/1000,
    _xlpm.claves, _xlfn._xlws.FILTER(L:L + B:B/1000, A:A=A18),
    IF(AND(_xlpm.puntosPrinValidos&gt;=4,_xlpm.puntosTerValidos&gt;=2),IF(
        SUM(--(_xlpm.claves &gt; _xlpm.clave)) &lt; 4,
        C18,
        E18
    ),"No disp")
)</f>
        <v>255</v>
      </c>
      <c r="R18" s="14" t="str" cm="1">
        <f t="array" aca="1" ref="R18" ca="1">_xlfn.LET(
    _xlpm.puntosPrin, _xlfn._xlws.FILTER(G:G + B:B/1000, A:A=A18),
    _xlpm.puntosPrinValidos, SUM(--(_xlpm.puntosPrin&gt;1)),
    _xlpm.puntosTer, _xlfn._xlws.FILTER(J:J + B:B/1000, A:A=A18),
    _xlpm.puntosTerValidos, SUM(--(_xlpm.puntosTer&gt;1)),
    _xlpm.clave, M18 + B18/1000,
    _xlpm.claves, _xlfn._xlws.FILTER(M:M + B:B/1000, A:A=A18),
    IF(AND(_xlpm.puntosPrinValidos&gt;=4,_xlpm.puntosTerValidos&gt;=2),IF(
        SUM(--(_xlpm.claves &gt; _xlpm.clave)) &lt; 4,
        C18,
        F18
    ),"No disp")
)</f>
        <v>No disp</v>
      </c>
      <c r="S18" s="14" cm="1">
        <f t="array" aca="1" ref="S18" ca="1">_xlfn.LET(
    _xlpm.ptsPrinBase, _xlfn._xlws.FILTER(G:G, A:A=A18),
    _xlpm.ptsSecBase,  _xlfn._xlws.FILTER(H:H, A:A=A18),
    _xlpm.puntosPrin, _xlpm.ptsPrinBase + _xlfn._xlws.FILTER(B:B, A:A=A18)/1000,
    _xlpm.puntosSec,  _xlpm.ptsSecBase  + _xlfn._xlws.FILTER(B:B, A:A=A18)/1000,
    _xlpm.puntosPrinValidos, SUM(--(_xlpm.ptsPrinBase&gt;0)),
    _xlpm.puntosSecValidos,  SUM(--(_xlpm.ptsSecBase&gt;0)),
    _xlpm.clave, K18 + B18/1000,
    _xlpm.claves, _xlfn._xlws.FILTER(K:K + B:B/1000, A:A=A18),
    IF(
        AND(_xlpm.puntosPrinValidos&gt;=2, _xlpm.puntosSecValidos&gt;=4),
        IF(
            SUM(--(_xlpm.claves &lt; _xlpm.clave)) &lt; 4,
            D18,
            C18
        ),
        "No disp"
    )
)</f>
        <v>40</v>
      </c>
      <c r="T18" s="14" cm="1">
        <f t="array" aca="1" ref="T18" ca="1">_xlfn.LET(
    _xlpm.puntosSec, _xlfn._xlws.FILTER(H:H + B:B/1000, A:A=A18),
    _xlpm.puntosSecValidos, SUM(--(_xlpm.puntosSec&gt;1)),
    _xlpm.puntosAlt, _xlfn._xlws.FILTER(I:I + B:B/1000, A:A=A18),
    _xlpm.puntosAltValidos, SUM(--(_xlpm.puntosAlt&gt;1)),
    _xlpm.clave, N18 + B18/1000,
    _xlpm.claves, _xlfn._xlws.FILTER(N:N + B:B/1000, A:A=A18),
    IF(AND(_xlpm.puntosSecValidos&gt;=4,_xlpm.puntosAltValidos&gt;=2),IF(
        SUM(--(_xlpm.claves &gt; _xlpm.clave)) &lt; 4,
        D18,
        E18
    ),"No disp")
)</f>
        <v>255</v>
      </c>
      <c r="U18" s="14" t="str" cm="1">
        <f t="array" aca="1" ref="U18" ca="1">_xlfn.LET(
    _xlpm.puntosSec, _xlfn._xlws.FILTER(H:H + B:B/1000, A:A=A18),
    _xlpm.puntosSecValidos, SUM(--(_xlpm.puntosSec&gt;1)),
    _xlpm.puntosAlt, _xlfn._xlws.FILTER(J:J + B:B/1000, A:A=A18),
    _xlpm.puntosAltValidos, SUM(--(_xlpm.puntosAlt&gt;1)),
    _xlpm.clave, O18 + B18/1000,
    _xlpm.claves, _xlfn._xlws.FILTER(O:O + B:B/1000, A:A=A18),
    IF(AND(_xlpm.puntosSecValidos&gt;=4,_xlpm.puntosAltValidos&gt;=2),IF(
        SUM(--(_xlpm.claves &gt; _xlpm.clave)) &lt; 4,
        D18,
        F18
    ),"No disp")
)</f>
        <v>No disp</v>
      </c>
      <c r="V18" s="4" cm="1">
        <f t="array" aca="1" ref="V18" ca="1">_xlfn.LET(
_xlpm.PrinIDs,_xlfn._xlws.FILTER(C:C,(A:A=A18)),
_xlpm.SecIDs,_xlfn._xlws.FILTER(D:D,(A:A=A18)),
_xlpm.TerIDs,_xlfn._xlws.FILTER(E:E,A:A=A18),
_xlpm.CuaIDs,_xlfn._xlws.FILTER(F:F,(A:A=A18)),
_xlpm.PrinPts,_xlfn._xlws.FILTER(G:G,(A:A=A18)),
_xlpm.SecPts,_xlfn._xlws.FILTER(H:H,(A:A=A18)),
_xlpm.TerPts,_xlfn._xlws.FILTER(I:I,(A:A=A18)),
_xlpm.CuaPts,_xlfn._xlws.FILTER(J:J,(A:A=A18)),
_xlpm.PSIds,_xlfn._xlws.FILTER(P:P,A:A=A18),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748.71</v>
      </c>
      <c r="W18" s="4" cm="1">
        <f t="array" aca="1" ref="W18" ca="1">_xlfn.LET(
_xlpm.PrinIDs,_xlfn._xlws.FILTER(C:C,(A:A=A18)),
_xlpm.SecIDs,_xlfn._xlws.FILTER(D:D,(A:A=A18)),
_xlpm.TerIDs,_xlfn._xlws.FILTER(E:E,A:A=A18),
_xlpm.CuaIDs,_xlfn._xlws.FILTER(F:F,(A:A=A18)),
_xlpm.PrinPts,_xlfn._xlws.FILTER(G:G,(A:A=A18)),
_xlpm.SecPts,_xlfn._xlws.FILTER(H:H,(A:A=A18)),
_xlpm.TerPts,_xlfn._xlws.FILTER(I:I,(A:A=A18)),
_xlpm.CuaPts,_xlfn._xlws.FILTER(J:J,(A:A=A18)),
_xlpm.PTIds,_xlfn._xlws.FILTER(Q:Q,A:A=A18),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742.68000000000006</v>
      </c>
      <c r="X18" s="4" cm="1">
        <f t="array" aca="1" ref="X18" ca="1">_xlfn.LET(
_xlpm.PrinIDs,_xlfn._xlws.FILTER(C:C,(A:A=A18)),
_xlpm.SecIDs,_xlfn._xlws.FILTER(D:D,(A:A=A18)),
_xlpm.TerIDs,_xlfn._xlws.FILTER(E:E,A:A=A18),
_xlpm.CuaIDs,_xlfn._xlws.FILTER(F:F,(A:A=A18)),
_xlpm.PrinPts,_xlfn._xlws.FILTER(G:G,(A:A=A18)),
_xlpm.SecPts,_xlfn._xlws.FILTER(H:H,(A:A=A18)),
_xlpm.TerPts,_xlfn._xlws.FILTER(I:I,(A:A=A18)),
_xlpm.CuaPts,_xlfn._xlws.FILTER(J:J,(A:A=A18)),
_xlpm.PCIds,_xlfn._xlws.FILTER(R:R,A:A=A18),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8" s="4" cm="1">
        <f t="array" aca="1" ref="Y18" ca="1">_xlfn.LET(
_xlpm.PrinIDs,_xlfn._xlws.FILTER(C:C,(A:A=A18)),
_xlpm.SecIDs,_xlfn._xlws.FILTER(D:D,(A:A=A18)),
_xlpm.AltIDs,_xlfn._xlws.FILTER(E:E,A:A=A18),
_xlpm.PrinPts,_xlfn._xlws.FILTER(G:G,(A:A=A18)),
_xlpm.SecPts,_xlfn._xlws.FILTER(H:H,(A:A=A18)),
_xlpm.AltPts,_xlfn._xlws.FILTER(I:I,(A:A=A18)),
_xlpm.SPIds,_xlfn._xlws.FILTER(S:S,A:A=A18),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706.68</v>
      </c>
      <c r="Z18" s="4" cm="1">
        <f t="array" aca="1" ref="Z18" ca="1">_xlfn.LET(
_xlpm.PrinIDs,_xlfn._xlws.FILTER(C:C,(A:A=A18)),
_xlpm.SecIDs,_xlfn._xlws.FILTER(D:D,(A:A=A18)),
_xlpm.TerIDs,_xlfn._xlws.FILTER(E:E,A:A=A18),
_xlpm.CuaIDs,_xlfn._xlws.FILTER(F:F,(A:A=A18)),
_xlpm.PrinPts,_xlfn._xlws.FILTER(G:G,(A:A=A18)),
_xlpm.SecPts,_xlfn._xlws.FILTER(H:H,(A:A=A18)),
_xlpm.TerPts,_xlfn._xlws.FILTER(I:I,(A:A=A18)),
_xlpm.CuaPts,_xlfn._xlws.FILTER(J:J,(A:A=A18)),
_xlpm.STIds,_xlfn._xlws.FILTER(T:T,A:A=A18),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673.83</v>
      </c>
      <c r="AA18" s="4" cm="1">
        <f t="array" aca="1" ref="AA18" ca="1">_xlfn.LET(
_xlpm.PrinIDs,_xlfn._xlws.FILTER(C:C,(A:A=A18)),
_xlpm.SecIDs,_xlfn._xlws.FILTER(D:D,(A:A=A18)),
_xlpm.TerIDs,_xlfn._xlws.FILTER(E:E,A:A=A18),
_xlpm.CuaIDs,_xlfn._xlws.FILTER(F:F,(A:A=A18)),
_xlpm.PrinPts,_xlfn._xlws.FILTER(G:G,(A:A=A18)),
_xlpm.SecPts,_xlfn._xlws.FILTER(H:H,(A:A=A18)),
_xlpm.TerPts,_xlfn._xlws.FILTER(I:I,(A:A=A18)),
_xlpm.CuaPts,_xlfn._xlws.FILTER(J:J,(A:A=A18)),
_xlpm.SCIds,_xlfn._xlws.FILTER(U:U,A:A=A18),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8" s="14">
        <f t="shared" ca="1" si="3"/>
        <v>36</v>
      </c>
      <c r="AC18" s="14">
        <v>36</v>
      </c>
      <c r="AD18" s="4"/>
      <c r="AE18" s="14" t="str">
        <f ca="1">IF(ISNUMBER(AC18),
IF($B18=1,VLOOKUP($AC18,Inventario1!$A:$H,2),
IF($B18=2,VLOOKUP($AC18,Inventario2!$A:$H,2),
IF($B18=3,VLOOKUP($AC18,Inventario3!$A:$H,2),
IF($B18=4,VLOOKUP($AC18,Inventario4!$A:$H,2),
IF($B18=5,VLOOKUP($AC18,Inventario5!$A:$H,2),
VLOOKUP($AC18,Inventario6!$A:$H,2)
))))),"No equipado")</f>
        <v>Legendario</v>
      </c>
      <c r="AF18" s="14" t="str">
        <f ca="1">IF(ISNUMBER(AC18),
IF($B18=1,VLOOKUP($AC18,Inventario1!$A:$H,3),
IF($B18=2,VLOOKUP($AC18,Inventario2!$A:$H,3),
IF($B18=3,VLOOKUP($AC18,Inventario3!$A:$H,3),
IF($B18=4,VLOOKUP($AC18,Inventario4!$A:$H,3),
IF($B18=5,VLOOKUP($AC18,Inventario5!$A:$H,3),
VLOOKUP($AC18,Inventario6!$A:$H,3)
))))),"")</f>
        <v>Saque preciso</v>
      </c>
      <c r="AG18" s="14" t="str">
        <f ca="1">IF(ISNUMBER(AC18),
IF($B18=1,VLOOKUP($AC18,Inventario1!$A:$H,4),
IF($B18=2,VLOOKUP($AC18,Inventario2!$A:$H,4),
IF($B18=3,VLOOKUP($AC18,Inventario3!$A:$H,4),
IF($B18=4,VLOOKUP($AC18,Inventario4!$A:$H,4),
IF($B18=5,VLOOKUP($AC18,Inventario5!$A:$H,4),
VLOOKUP($AC18,Inventario6!$A:$H,4)
))))),"")</f>
        <v>Recepción</v>
      </c>
      <c r="AH18" s="14" t="str">
        <f ca="1">IF(ISNUMBER(AC18),
IF($B18=1,VLOOKUP($AC18,Inventario1!$A:$H,5),
IF($B18=2,VLOOKUP($AC18,Inventario2!$A:$H,5),
IF($B18=3,VLOOKUP($AC18,Inventario3!$A:$H,5),
IF($B18=4,VLOOKUP($AC18,Inventario4!$A:$H,5),
IF($B18=5,VLOOKUP($AC18,Inventario5!$A:$H,5),
VLOOKUP($AC18,Inventario6!$A:$H,5)
))))),"")</f>
        <v>Saque</v>
      </c>
      <c r="AI18" s="14" t="str">
        <f ca="1">IF(ISNUMBER(AC18),
IF($B18=1,VLOOKUP($AC18,Inventario1!$A:$H,6),
IF($B18=2,VLOOKUP($AC18,Inventario2!$A:$H,6),
IF($B18=3,VLOOKUP($AC18,Inventario3!$A:$H,6),
IF($B18=4,VLOOKUP($AC18,Inventario4!$A:$H,6),
IF($B18=5,VLOOKUP($AC18,Inventario5!$A:$H,6),
VLOOKUP($AC18,Inventario6!$A:$H,6)
))))),"")</f>
        <v>Recuperación</v>
      </c>
      <c r="AJ18" s="14" t="str">
        <f ca="1">IF(ISNUMBER(AC18),
IF($B18=1,VLOOKUP($AC18,Inventario1!$A:$H,7),
IF($B18=2,VLOOKUP($AC18,Inventario2!$A:$H,7),
IF($B18=3,VLOOKUP($AC18,Inventario3!$A:$H,7),
IF($B18=4,VLOOKUP($AC18,Inventario4!$A:$H,7),
IF($B18=5,VLOOKUP($AC18,Inventario5!$A:$H,7),
VLOOKUP($AC18,Inventario6!$A:$H,7)
))))),"")</f>
        <v>Saque</v>
      </c>
      <c r="AK18" s="15" t="str">
        <f ca="1">IF(ISNUMBER(AC18),
IF($B18=1,VLOOKUP($AC18,Inventario1!$A:$H,8),
IF($B18=2,VLOOKUP($AC18,Inventario2!$A:$H,8),
IF($B18=3,VLOOKUP($AC18,Inventario3!$A:$H,8),
IF($B18=4,VLOOKUP($AC18,Inventario4!$A:$H,8),
IF($B18=5,VLOOKUP($AC18,Inventario5!$A:$H,8),
VLOOKUP($AC18,Inventario6!$A:$H,8)
))))),"")</f>
        <v>Recepción</v>
      </c>
    </row>
    <row r="19" spans="1:37" ht="15.75" thickBot="1" x14ac:dyDescent="0.3">
      <c r="A19" s="22" t="s">
        <v>8</v>
      </c>
      <c r="B19" s="17">
        <v>6</v>
      </c>
      <c r="C19" s="18" cm="1">
        <f t="array" ref="C19">_xlfn.LET(
    _xlpm.jugador, A19,
    _xlpm.idSel, AC19,
    _xlpm.invIDs, IF(B19=1,Inventario1!A:A,IF(B19=2,Inventario2!A:A,IF(B19=3,Inventario3!A:A,IF(B19=4,Inventario4!A:A,IF(B19=5,Inventario5!A:A,Inventario6!A:A))))),
    _xlpm.invCalidad, IF(B19=1,Inventario1!B:B,IF(B19=2,Inventario2!B:B,IF(B19=3,Inventario3!B:B,IF(B19=4,Inventario4!B:B,IF(B19=5,Inventario5!B:B,Inventario6!B:B))))),
    _xlpm.invTipos, IF(B19=1,Inventario1!C:C,IF(B19=2,Inventario2!C:C,IF(B19=3,Inventario3!C:C,IF(B19=4,Inventario4!C:C,IF(B19=5,Inventario5!C:C,Inventario6!C:C))))),
    _xlpm.invStats, IF(B19=1,Inventario1!D:H,IF(B19=2,Inventario2!D:H,IF(B19=3,Inventario3!D:H,IF(B19=4,Inventario4!D:H,IF(B19=5,Inventario5!D:H,Inventario6!D:H))))),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IF(ROW(A19)=2,"",IF(_xlfn._xlws.FILTER(Equipar!AC$2:AC18,Equipar!B$2:B18=B19)={0},"",_xlfn._xlws.FILTER(Equipar!AC$2:AC18,Equipar!B$2:B18=B19))),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219</v>
      </c>
      <c r="D19" s="17" cm="1">
        <f t="array" ref="D19">_xlfn.LET(
    _xlpm.jugador, A19,
    _xlpm.idSel, AC19,
    _xlpm.invIDs, IF(B19=1,Inventario1!A:A,IF(B19=2,Inventario2!A:A,IF(B19=3,Inventario3!A:A,IF(B19=4,Inventario4!A:A,IF(B19=5,Inventario5!A:A,Inventario6!A:A))))),
    _xlpm.invCalidad, IF(B19=1,Inventario1!B:B,IF(B19=2,Inventario2!B:B,IF(B19=3,Inventario3!B:B,IF(B19=4,Inventario4!B:B,IF(B19=5,Inventario5!B:B,Inventario6!B:B))))),
    _xlpm.invTipos, IF(B19=1,Inventario1!C:C,IF(B19=2,Inventario2!C:C,IF(B19=3,Inventario3!C:C,IF(B19=4,Inventario4!C:C,IF(B19=5,Inventario5!C:C,Inventario6!C:C))))),
    _xlpm.invStats, IF(B19=1,Inventario1!D:H,IF(B19=2,Inventario2!D:H,IF(B19=3,Inventario3!D:H,IF(B19=4,Inventario4!D:H,IF(B19=5,Inventario5!D:H,Inventario6!D:H))))),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IF(ROW(A19)=2,"",IF(_xlfn._xlws.FILTER(Equipar!AC$2:AC18,Equipar!B$2:B18=B19)={0},"",_xlfn._xlws.FILTER(Equipar!AC$2:AC18,Equipar!B$2:B18=B19))),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52</v>
      </c>
      <c r="E19" s="17" cm="1">
        <f t="array" ref="E19">_xlfn.LET(
    _xlpm.jugador, A19,
    _xlpm.idSel, AC19,
    _xlpm.invIDs, IF(B19=1,Inventario1!A:A,IF(B19=2,Inventario2!A:A,IF(B19=3,Inventario3!A:A,IF(B19=4,Inventario4!A:A,IF(B19=5,Inventario5!A:A,Inventario6!A:A))))),
    _xlpm.invCalidad, IF(B19=1,Inventario1!B:B,IF(B19=2,Inventario2!B:B,IF(B19=3,Inventario3!B:B,IF(B19=4,Inventario4!B:B,IF(B19=5,Inventario5!B:B,Inventario6!B:B))))),
    _xlpm.invTipos, IF(B19=1,Inventario1!C:C,IF(B19=2,Inventario2!C:C,IF(B19=3,Inventario3!C:C,IF(B19=4,Inventario4!C:C,IF(B19=5,Inventario5!C:C,Inventario6!C:C))))),
    _xlpm.invStats, IF(B19=1,Inventario1!D:H,IF(B19=2,Inventario2!D:H,IF(B19=3,Inventario3!D:H,IF(B19=4,Inventario4!D:H,IF(B19=5,Inventario5!D:H,Inventario6!D:H))))),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IF(ROW(A19)=2,"",IF(_xlfn._xlws.FILTER(Equipar!AC$2:AC18,Equipar!B$2:B18=B19)={0},"",_xlfn._xlws.FILTER(Equipar!AC$2:AC18,Equipar!B$2:B18=B19))),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279</v>
      </c>
      <c r="F19" s="17" t="str" cm="1">
        <f t="array" aca="1" ref="F19" ca="1">_xlfn.LET(
    _xlpm.jugador, B19,
    _xlpm.idSel, AD19,
    _xlpm.invIDs, IF(C19=1,Inventario1!B:B,IF(C19=2,Inventario2!B:B,IF(C19=3,Inventario3!B:B,IF(C19=4,Inventario4!B:B,IF(C19=5,Inventario5!B:B,Inventario6!B:B))))),
    _xlpm.invCalidad, IF(C19=1,Inventario1!C:C,IF(C19=2,Inventario2!C:C,IF(C19=3,Inventario3!C:C,IF(C19=4,Inventario4!C:C,IF(C19=5,Inventario5!C:C,Inventario6!C:C))))),
    _xlpm.invTipos, IF(C19=1,Inventario1!D:D,IF(C19=2,Inventario2!D:D,IF(C19=3,Inventario3!D:D,IF(C19=4,Inventario4!D:D,IF(C19=5,Inventario5!D:D,Inventario6!D:D))))),
    _xlpm.invStats, IF(C19=1,Inventario1!E:I,IF(C19=2,Inventario2!E:I,IF(C19=3,Inventario3!E:I,IF(C19=4,Inventario4!E:I,IF(C19=5,Inventario5!E:I,Inventario6!E:I))))),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IF(ROW(B19)=2,"",IF(_xlfn._xlws.FILTER(Equipar!AD$2:AD18,Equipar!C$2:C18=C19)={0},"",_xlfn._xlws.FILTER(Equipar!AD$2:AD18,Equipar!C$2:C18=C19))),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9" s="18" cm="1">
        <f t="array" ref="G19">_xlfn.LET(
    _xlpm.jugador, A19,
    _xlpm.idSel, AC19,
    _xlpm.invIDs, IF(B19=1,Inventario1!A:A,IF(B19=2,Inventario2!A:A,IF(B19=3,Inventario3!A:A,IF(B19=4,Inventario4!A:A,IF(B19=5,Inventario5!A:A,Inventario6!A:A))))),
    _xlpm.invCalidad, IF(B19=1,Inventario1!B:B,IF(B19=2,Inventario2!B:B,IF(B19=3,Inventario3!B:B,IF(B19=4,Inventario4!B:B,IF(B19=5,Inventario5!B:B,Inventario6!B:B))))),
    _xlpm.invTipos, IF(B19=1,Inventario1!C:C,IF(B19=2,Inventario2!C:C,IF(B19=3,Inventario3!C:C,IF(B19=4,Inventario4!C:C,IF(B19=5,Inventario5!C:C,Inventario6!C:C))))),
    _xlpm.invStats, IF(B19=1,Inventario1!D:H,IF(B19=2,Inventario2!D:H,IF(B19=3,Inventario3!D:H,IF(B19=4,Inventario4!D:H,IF(B19=5,Inventario5!D:H,Inventario6!D:H))))),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IF(ROW(A19)=2,"",IF(_xlfn._xlws.FILTER(Equipar!AC$2:AC18,Equipar!B$2:B18=B19)={0},"",_xlfn._xlws.FILTER(Equipar!AC$2:AC18,Equipar!B$2:B18=B19))),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143.64000000000001</v>
      </c>
      <c r="H19" s="17" cm="1">
        <f t="array" ref="H19">_xlfn.LET(
    _xlpm.jugador, A19,
    _xlpm.idSel, AC19,
    _xlpm.invIDs, IF(B19=1,Inventario1!A:A,IF(B19=2,Inventario2!A:A,IF(B19=3,Inventario3!A:A,IF(B19=4,Inventario4!A:A,IF(B19=5,Inventario5!A:A,Inventario6!A:A))))),
    _xlpm.invCalidad, IF(B19=1,Inventario1!B:B,IF(B19=2,Inventario2!B:B,IF(B19=3,Inventario3!B:B,IF(B19=4,Inventario4!B:B,IF(B19=5,Inventario5!B:B,Inventario6!B:B))))),
    _xlpm.invTipos, IF(B19=1,Inventario1!C:C,IF(B19=2,Inventario2!C:C,IF(B19=3,Inventario3!C:C,IF(B19=4,Inventario4!C:C,IF(B19=5,Inventario5!C:C,Inventario6!C:C))))),
    _xlpm.invStats, IF(B19=1,Inventario1!D:H,IF(B19=2,Inventario2!D:H,IF(B19=3,Inventario3!D:H,IF(B19=4,Inventario4!D:H,IF(B19=5,Inventario5!D:H,Inventario6!D:H))))),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IF(ROW(A19)=2,"",IF(_xlfn._xlws.FILTER(Equipar!AC$2:AC18,Equipar!B$2:B18=B19)={0},"",_xlfn._xlws.FILTER(Equipar!AC$2:AC18,Equipar!B$2:B18=B19))),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90</v>
      </c>
      <c r="I19" s="17" cm="1">
        <f t="array" ref="I19">_xlfn.LET(
    _xlpm.jugador, A19,
    _xlpm.idSel, AC19,
    _xlpm.invIDs, IF(B19=1,Inventario1!A:A,IF(B19=2,Inventario2!A:A,IF(B19=3,Inventario3!A:A,IF(B19=4,Inventario4!A:A,IF(B19=5,Inventario5!A:A,Inventario6!A:A))))),
    _xlpm.invCalidad, IF(B19=1,Inventario1!B:B,IF(B19=2,Inventario2!B:B,IF(B19=3,Inventario3!B:B,IF(B19=4,Inventario4!B:B,IF(B19=5,Inventario5!B:B,Inventario6!B:B))))),
    _xlpm.invTipos, IF(B19=1,Inventario1!C:C,IF(B19=2,Inventario2!C:C,IF(B19=3,Inventario3!C:C,IF(B19=4,Inventario4!C:C,IF(B19=5,Inventario5!C:C,Inventario6!C:C))))),
    _xlpm.invStats, IF(B19=1,Inventario1!D:H,IF(B19=2,Inventario2!D:H,IF(B19=3,Inventario3!D:H,IF(B19=4,Inventario4!D:H,IF(B19=5,Inventario5!D:H,Inventario6!D:H))))),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IF(ROW(A19)=2,"",IF(_xlfn._xlws.FILTER(Equipar!AC$2:AC18,Equipar!B$2:B18=B19)={0},"",_xlfn._xlws.FILTER(Equipar!AC$2:AC18,Equipar!B$2:B18=B19))),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108</v>
      </c>
      <c r="J19" s="17" cm="1">
        <f t="array" aca="1" ref="J19" ca="1">_xlfn.LET(
    _xlpm.jugador, B19,
    _xlpm.idSel, AD19,
    _xlpm.invIDs, IF(C19=1,Inventario1!B:B,IF(C19=2,Inventario2!B:B,IF(C19=3,Inventario3!B:B,IF(C19=4,Inventario4!B:B,IF(C19=5,Inventario5!B:B,Inventario6!B:B))))),
    _xlpm.invCalidad, IF(C19=1,Inventario1!C:C,IF(C19=2,Inventario2!C:C,IF(C19=3,Inventario3!C:C,IF(C19=4,Inventario4!C:C,IF(C19=5,Inventario5!C:C,Inventario6!C:C))))),
    _xlpm.invTipos, IF(C19=1,Inventario1!D:D,IF(C19=2,Inventario2!D:D,IF(C19=3,Inventario3!D:D,IF(C19=4,Inventario4!D:D,IF(C19=5,Inventario5!D:D,Inventario6!D:D))))),
    _xlpm.invStats, IF(C19=1,Inventario1!E:I,IF(C19=2,Inventario2!E:I,IF(C19=3,Inventario3!E:I,IF(C19=4,Inventario4!E:I,IF(C19=5,Inventario5!E:I,Inventario6!E:I))))),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IF(ROW(B19)=2,"",IF(_xlfn._xlws.FILTER(Equipar!AD$2:AD18,Equipar!C$2:C18=C19)={0},"",_xlfn._xlws.FILTER(Equipar!AD$2:AD18,Equipar!C$2:C18=C19))),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9" s="17">
        <f t="shared" si="0"/>
        <v>53.640000000000015</v>
      </c>
      <c r="L19" s="17">
        <f t="shared" si="1"/>
        <v>35.640000000000015</v>
      </c>
      <c r="M19" s="17">
        <f t="shared" ca="1" si="1"/>
        <v>90</v>
      </c>
      <c r="N19" s="17">
        <f t="shared" si="2"/>
        <v>-18</v>
      </c>
      <c r="O19" s="17">
        <f t="shared" ca="1" si="2"/>
        <v>108</v>
      </c>
      <c r="P19" s="18" cm="1">
        <f t="array" aca="1" ref="P19" ca="1">_xlfn.LET(
    _xlpm.ptsPrinBase, _xlfn._xlws.FILTER(G:G, A:A=A19),
    _xlpm.ptsSecBase,  _xlfn._xlws.FILTER(H:H, A:A=A19),
    _xlpm.puntosPrin, _xlpm.ptsPrinBase + _xlfn._xlws.FILTER(B:B, A:A=A19)/1000,
    _xlpm.puntosSec,  _xlpm.ptsSecBase  + _xlfn._xlws.FILTER(B:B, A:A=A19)/1000,
    _xlpm.puntosPrinValidos, SUM(--(_xlpm.ptsPrinBase&gt;0)),
    _xlpm.puntosSecValidos,  SUM(--(_xlpm.ptsSecBase&gt;0)),
    _xlpm.clave, K19 + B19/1000,
    _xlpm.claves, _xlfn._xlws.FILTER(K:K + B:B/1000, A:A=A19),
    IF(AND(_xlpm.puntosPrinValidos&gt;=4,_xlpm.puntosSecValidos&gt;=2),IF(
        SUM(--(_xlpm.claves &gt; _xlpm.clave)) &lt; 4,
        C19,
        D19
    ),"No disp")
)</f>
        <v>219</v>
      </c>
      <c r="Q19" s="18" cm="1">
        <f t="array" aca="1" ref="Q19" ca="1">_xlfn.LET(
    _xlpm.puntosPrin, _xlfn._xlws.FILTER(G:G + B:B/1000, A:A=A19),
    _xlpm.puntosPrinValidos, SUM(--(_xlpm.puntosPrin&gt;1)),
    _xlpm.puntosTer, _xlfn._xlws.FILTER(I:I + B:B/1000, A:A=A19),
    _xlpm.puntosTerValidos, SUM(--(_xlpm.puntosTer&gt;1)),
    _xlpm.clave, L19 + B19/1000,
    _xlpm.claves, _xlfn._xlws.FILTER(L:L + B:B/1000, A:A=A19),
    IF(AND(_xlpm.puntosPrinValidos&gt;=4,_xlpm.puntosTerValidos&gt;=2),IF(
        SUM(--(_xlpm.claves &gt; _xlpm.clave)) &lt; 4,
        C19,
        E19
    ),"No disp")
)</f>
        <v>219</v>
      </c>
      <c r="R19" s="18" t="str" cm="1">
        <f t="array" aca="1" ref="R19" ca="1">_xlfn.LET(
    _xlpm.puntosPrin, _xlfn._xlws.FILTER(G:G + B:B/1000, A:A=A19),
    _xlpm.puntosPrinValidos, SUM(--(_xlpm.puntosPrin&gt;1)),
    _xlpm.puntosTer, _xlfn._xlws.FILTER(J:J + B:B/1000, A:A=A19),
    _xlpm.puntosTerValidos, SUM(--(_xlpm.puntosTer&gt;1)),
    _xlpm.clave, M19 + B19/1000,
    _xlpm.claves, _xlfn._xlws.FILTER(M:M + B:B/1000, A:A=A19),
    IF(AND(_xlpm.puntosPrinValidos&gt;=4,_xlpm.puntosTerValidos&gt;=2),IF(
        SUM(--(_xlpm.claves &gt; _xlpm.clave)) &lt; 4,
        C19,
        F19
    ),"No disp")
)</f>
        <v>No disp</v>
      </c>
      <c r="S19" s="18" cm="1">
        <f t="array" aca="1" ref="S19" ca="1">_xlfn.LET(
    _xlpm.ptsPrinBase, _xlfn._xlws.FILTER(G:G, A:A=A19),
    _xlpm.ptsSecBase,  _xlfn._xlws.FILTER(H:H, A:A=A19),
    _xlpm.puntosPrin, _xlpm.ptsPrinBase + _xlfn._xlws.FILTER(B:B, A:A=A19)/1000,
    _xlpm.puntosSec,  _xlpm.ptsSecBase  + _xlfn._xlws.FILTER(B:B, A:A=A19)/1000,
    _xlpm.puntosPrinValidos, SUM(--(_xlpm.ptsPrinBase&gt;0)),
    _xlpm.puntosSecValidos,  SUM(--(_xlpm.ptsSecBase&gt;0)),
    _xlpm.clave, K19 + B19/1000,
    _xlpm.claves, _xlfn._xlws.FILTER(K:K + B:B/1000, A:A=A19),
    IF(
        AND(_xlpm.puntosPrinValidos&gt;=2, _xlpm.puntosSecValidos&gt;=4),
        IF(
            SUM(--(_xlpm.claves &lt; _xlpm.clave)) &lt; 4,
            D19,
            C19
        ),
        "No disp"
    )
)</f>
        <v>219</v>
      </c>
      <c r="T19" s="18" cm="1">
        <f t="array" aca="1" ref="T19" ca="1">_xlfn.LET(
    _xlpm.puntosSec, _xlfn._xlws.FILTER(H:H + B:B/1000, A:A=A19),
    _xlpm.puntosSecValidos, SUM(--(_xlpm.puntosSec&gt;1)),
    _xlpm.puntosAlt, _xlfn._xlws.FILTER(I:I + B:B/1000, A:A=A19),
    _xlpm.puntosAltValidos, SUM(--(_xlpm.puntosAlt&gt;1)),
    _xlpm.clave, N19 + B19/1000,
    _xlpm.claves, _xlfn._xlws.FILTER(N:N + B:B/1000, A:A=A19),
    IF(AND(_xlpm.puntosSecValidos&gt;=4,_xlpm.puntosAltValidos&gt;=2),IF(
        SUM(--(_xlpm.claves &gt; _xlpm.clave)) &lt; 4,
        D19,
        E19
    ),"No disp")
)</f>
        <v>52</v>
      </c>
      <c r="U19" s="18" t="str" cm="1">
        <f t="array" aca="1" ref="U19" ca="1">_xlfn.LET(
    _xlpm.puntosSec, _xlfn._xlws.FILTER(H:H + B:B/1000, A:A=A19),
    _xlpm.puntosSecValidos, SUM(--(_xlpm.puntosSec&gt;1)),
    _xlpm.puntosAlt, _xlfn._xlws.FILTER(J:J + B:B/1000, A:A=A19),
    _xlpm.puntosAltValidos, SUM(--(_xlpm.puntosAlt&gt;1)),
    _xlpm.clave, O19 + B19/1000,
    _xlpm.claves, _xlfn._xlws.FILTER(O:O + B:B/1000, A:A=A19),
    IF(AND(_xlpm.puntosSecValidos&gt;=4,_xlpm.puntosAltValidos&gt;=2),IF(
        SUM(--(_xlpm.claves &gt; _xlpm.clave)) &lt; 4,
        D19,
        F19
    ),"No disp")
)</f>
        <v>No disp</v>
      </c>
      <c r="V19" s="17" cm="1">
        <f t="array" aca="1" ref="V19" ca="1">_xlfn.LET(
_xlpm.PrinIDs,_xlfn._xlws.FILTER(C:C,(A:A=A19)),
_xlpm.SecIDs,_xlfn._xlws.FILTER(D:D,(A:A=A19)),
_xlpm.TerIDs,_xlfn._xlws.FILTER(E:E,A:A=A19),
_xlpm.CuaIDs,_xlfn._xlws.FILTER(F:F,(A:A=A19)),
_xlpm.PrinPts,_xlfn._xlws.FILTER(G:G,(A:A=A19)),
_xlpm.SecPts,_xlfn._xlws.FILTER(H:H,(A:A=A19)),
_xlpm.TerPts,_xlfn._xlws.FILTER(I:I,(A:A=A19)),
_xlpm.CuaPts,_xlfn._xlws.FILTER(J:J,(A:A=A19)),
_xlpm.PSIds,_xlfn._xlws.FILTER(P:P,A:A=A19),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748.71</v>
      </c>
      <c r="W19" s="17" cm="1">
        <f t="array" aca="1" ref="W19" ca="1">_xlfn.LET(
_xlpm.PrinIDs,_xlfn._xlws.FILTER(C:C,(A:A=A19)),
_xlpm.SecIDs,_xlfn._xlws.FILTER(D:D,(A:A=A19)),
_xlpm.TerIDs,_xlfn._xlws.FILTER(E:E,A:A=A19),
_xlpm.CuaIDs,_xlfn._xlws.FILTER(F:F,(A:A=A19)),
_xlpm.PrinPts,_xlfn._xlws.FILTER(G:G,(A:A=A19)),
_xlpm.SecPts,_xlfn._xlws.FILTER(H:H,(A:A=A19)),
_xlpm.TerPts,_xlfn._xlws.FILTER(I:I,(A:A=A19)),
_xlpm.CuaPts,_xlfn._xlws.FILTER(J:J,(A:A=A19)),
_xlpm.PTIds,_xlfn._xlws.FILTER(Q:Q,A:A=A19),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742.68000000000006</v>
      </c>
      <c r="X19" s="17" cm="1">
        <f t="array" aca="1" ref="X19" ca="1">_xlfn.LET(
_xlpm.PrinIDs,_xlfn._xlws.FILTER(C:C,(A:A=A19)),
_xlpm.SecIDs,_xlfn._xlws.FILTER(D:D,(A:A=A19)),
_xlpm.TerIDs,_xlfn._xlws.FILTER(E:E,A:A=A19),
_xlpm.CuaIDs,_xlfn._xlws.FILTER(F:F,(A:A=A19)),
_xlpm.PrinPts,_xlfn._xlws.FILTER(G:G,(A:A=A19)),
_xlpm.SecPts,_xlfn._xlws.FILTER(H:H,(A:A=A19)),
_xlpm.TerPts,_xlfn._xlws.FILTER(I:I,(A:A=A19)),
_xlpm.CuaPts,_xlfn._xlws.FILTER(J:J,(A:A=A19)),
_xlpm.PCIds,_xlfn._xlws.FILTER(R:R,A:A=A19),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9" s="17" cm="1">
        <f t="array" aca="1" ref="Y19" ca="1">_xlfn.LET(
_xlpm.PrinIDs,_xlfn._xlws.FILTER(C:C,(A:A=A19)),
_xlpm.SecIDs,_xlfn._xlws.FILTER(D:D,(A:A=A19)),
_xlpm.AltIDs,_xlfn._xlws.FILTER(E:E,A:A=A19),
_xlpm.PrinPts,_xlfn._xlws.FILTER(G:G,(A:A=A19)),
_xlpm.SecPts,_xlfn._xlws.FILTER(H:H,(A:A=A19)),
_xlpm.AltPts,_xlfn._xlws.FILTER(I:I,(A:A=A19)),
_xlpm.SPIds,_xlfn._xlws.FILTER(S:S,A:A=A19),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706.68</v>
      </c>
      <c r="Z19" s="17" cm="1">
        <f t="array" aca="1" ref="Z19" ca="1">_xlfn.LET(
_xlpm.PrinIDs,_xlfn._xlws.FILTER(C:C,(A:A=A19)),
_xlpm.SecIDs,_xlfn._xlws.FILTER(D:D,(A:A=A19)),
_xlpm.TerIDs,_xlfn._xlws.FILTER(E:E,A:A=A19),
_xlpm.CuaIDs,_xlfn._xlws.FILTER(F:F,(A:A=A19)),
_xlpm.PrinPts,_xlfn._xlws.FILTER(G:G,(A:A=A19)),
_xlpm.SecPts,_xlfn._xlws.FILTER(H:H,(A:A=A19)),
_xlpm.TerPts,_xlfn._xlws.FILTER(I:I,(A:A=A19)),
_xlpm.CuaPts,_xlfn._xlws.FILTER(J:J,(A:A=A19)),
_xlpm.STIds,_xlfn._xlws.FILTER(T:T,A:A=A19),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673.83</v>
      </c>
      <c r="AA19" s="17" cm="1">
        <f t="array" aca="1" ref="AA19" ca="1">_xlfn.LET(
_xlpm.PrinIDs,_xlfn._xlws.FILTER(C:C,(A:A=A19)),
_xlpm.SecIDs,_xlfn._xlws.FILTER(D:D,(A:A=A19)),
_xlpm.TerIDs,_xlfn._xlws.FILTER(E:E,A:A=A19),
_xlpm.CuaIDs,_xlfn._xlws.FILTER(F:F,(A:A=A19)),
_xlpm.PrinPts,_xlfn._xlws.FILTER(G:G,(A:A=A19)),
_xlpm.SecPts,_xlfn._xlws.FILTER(H:H,(A:A=A19)),
_xlpm.TerPts,_xlfn._xlws.FILTER(I:I,(A:A=A19)),
_xlpm.CuaPts,_xlfn._xlws.FILTER(J:J,(A:A=A19)),
_xlpm.SCIds,_xlfn._xlws.FILTER(U:U,A:A=A19),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9" s="18">
        <f t="shared" ca="1" si="3"/>
        <v>219</v>
      </c>
      <c r="AC19" s="18">
        <v>219</v>
      </c>
      <c r="AD19" s="17"/>
      <c r="AE19" s="18" t="str">
        <f ca="1">IF(ISNUMBER(AC19),
IF($B19=1,VLOOKUP($AC19,Inventario1!$A:$H,2),
IF($B19=2,VLOOKUP($AC19,Inventario2!$A:$H,2),
IF($B19=3,VLOOKUP($AC19,Inventario3!$A:$H,2),
IF($B19=4,VLOOKUP($AC19,Inventario4!$A:$H,2),
IF($B19=5,VLOOKUP($AC19,Inventario5!$A:$H,2),
VLOOKUP($AC19,Inventario6!$A:$H,2)
))))),"No equipado")</f>
        <v>Legendario</v>
      </c>
      <c r="AF19" s="18" t="str">
        <f ca="1">IF(ISNUMBER(AC19),
IF($B19=1,VLOOKUP($AC19,Inventario1!$A:$H,3),
IF($B19=2,VLOOKUP($AC19,Inventario2!$A:$H,3),
IF($B19=3,VLOOKUP($AC19,Inventario3!$A:$H,3),
IF($B19=4,VLOOKUP($AC19,Inventario4!$A:$H,3),
IF($B19=5,VLOOKUP($AC19,Inventario5!$A:$H,3),
VLOOKUP($AC19,Inventario6!$A:$H,3)
))))),"")</f>
        <v>Saque preciso</v>
      </c>
      <c r="AG19" s="18" t="str">
        <f ca="1">IF(ISNUMBER(AC19),
IF($B19=1,VLOOKUP($AC19,Inventario1!$A:$H,4),
IF($B19=2,VLOOKUP($AC19,Inventario2!$A:$H,4),
IF($B19=3,VLOOKUP($AC19,Inventario3!$A:$H,4),
IF($B19=4,VLOOKUP($AC19,Inventario4!$A:$H,4),
IF($B19=5,VLOOKUP($AC19,Inventario5!$A:$H,4),
VLOOKUP($AC19,Inventario6!$A:$H,4)
))))),"")</f>
        <v>Saque</v>
      </c>
      <c r="AH19" s="18" t="str">
        <f ca="1">IF(ISNUMBER(AC19),
IF($B19=1,VLOOKUP($AC19,Inventario1!$A:$H,5),
IF($B19=2,VLOOKUP($AC19,Inventario2!$A:$H,5),
IF($B19=3,VLOOKUP($AC19,Inventario3!$A:$H,5),
IF($B19=4,VLOOKUP($AC19,Inventario4!$A:$H,5),
IF($B19=5,VLOOKUP($AC19,Inventario5!$A:$H,5),
VLOOKUP($AC19,Inventario6!$A:$H,5)
))))),"")</f>
        <v>Saque</v>
      </c>
      <c r="AI19" s="18" t="str">
        <f ca="1">IF(ISNUMBER(AC19),
IF($B19=1,VLOOKUP($AC19,Inventario1!$A:$H,6),
IF($B19=2,VLOOKUP($AC19,Inventario2!$A:$H,6),
IF($B19=3,VLOOKUP($AC19,Inventario3!$A:$H,6),
IF($B19=4,VLOOKUP($AC19,Inventario4!$A:$H,6),
IF($B19=5,VLOOKUP($AC19,Inventario5!$A:$H,6),
VLOOKUP($AC19,Inventario6!$A:$H,6)
))))),"")</f>
        <v>Ataque rápido</v>
      </c>
      <c r="AJ19" s="18" t="str">
        <f ca="1">IF(ISNUMBER(AC19),
IF($B19=1,VLOOKUP($AC19,Inventario1!$A:$H,7),
IF($B19=2,VLOOKUP($AC19,Inventario2!$A:$H,7),
IF($B19=3,VLOOKUP($AC19,Inventario3!$A:$H,7),
IF($B19=4,VLOOKUP($AC19,Inventario4!$A:$H,7),
IF($B19=5,VLOOKUP($AC19,Inventario5!$A:$H,7),
VLOOKUP($AC19,Inventario6!$A:$H,7)
))))),"")</f>
        <v>Saque</v>
      </c>
      <c r="AK19" s="19" t="str">
        <f ca="1">IF(ISNUMBER(AC19),
IF($B19=1,VLOOKUP($AC19,Inventario1!$A:$H,8),
IF($B19=2,VLOOKUP($AC19,Inventario2!$A:$H,8),
IF($B19=3,VLOOKUP($AC19,Inventario3!$A:$H,8),
IF($B19=4,VLOOKUP($AC19,Inventario4!$A:$H,8),
IF($B19=5,VLOOKUP($AC19,Inventario5!$A:$H,8),
VLOOKUP($AC19,Inventario6!$A:$H,8)
))))),"")</f>
        <v>Ataque poderoso</v>
      </c>
    </row>
    <row r="20" spans="1:37" x14ac:dyDescent="0.25">
      <c r="A20" s="20" t="s">
        <v>11</v>
      </c>
      <c r="B20" s="9">
        <v>1</v>
      </c>
      <c r="C20" s="10" cm="1">
        <f t="array" ref="C20">_xlfn.LET(
    _xlpm.jugador, A20,
    _xlpm.idSel, AC20,
    _xlpm.invIDs, IF(B20=1,Inventario1!A:A,IF(B20=2,Inventario2!A:A,IF(B20=3,Inventario3!A:A,IF(B20=4,Inventario4!A:A,IF(B20=5,Inventario5!A:A,Inventario6!A:A))))),
    _xlpm.invCalidad, IF(B20=1,Inventario1!B:B,IF(B20=2,Inventario2!B:B,IF(B20=3,Inventario3!B:B,IF(B20=4,Inventario4!B:B,IF(B20=5,Inventario5!B:B,Inventario6!B:B))))),
    _xlpm.invTipos, IF(B20=1,Inventario1!C:C,IF(B20=2,Inventario2!C:C,IF(B20=3,Inventario3!C:C,IF(B20=4,Inventario4!C:C,IF(B20=5,Inventario5!C:C,Inventario6!C:C))))),
    _xlpm.invStats, IF(B20=1,Inventario1!D:H,IF(B20=2,Inventario2!D:H,IF(B20=3,Inventario3!D:H,IF(B20=4,Inventario4!D:H,IF(B20=5,Inventario5!D:H,Inventario6!D:H))))),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IF(ROW(A20)=2,"",IF(_xlfn._xlws.FILTER(Equipar!AC$2:AC19,Equipar!B$2:B19=B20)={0},"",_xlfn._xlws.FILTER(Equipar!AC$2:AC19,Equipar!B$2:B19=B20))),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45</v>
      </c>
      <c r="D20" s="11" cm="1">
        <f t="array" ref="D20">_xlfn.LET(
    _xlpm.jugador, A20,
    _xlpm.idSel, AC20,
    _xlpm.invIDs, IF(B20=1,Inventario1!A:A,IF(B20=2,Inventario2!A:A,IF(B20=3,Inventario3!A:A,IF(B20=4,Inventario4!A:A,IF(B20=5,Inventario5!A:A,Inventario6!A:A))))),
    _xlpm.invCalidad, IF(B20=1,Inventario1!B:B,IF(B20=2,Inventario2!B:B,IF(B20=3,Inventario3!B:B,IF(B20=4,Inventario4!B:B,IF(B20=5,Inventario5!B:B,Inventario6!B:B))))),
    _xlpm.invTipos, IF(B20=1,Inventario1!C:C,IF(B20=2,Inventario2!C:C,IF(B20=3,Inventario3!C:C,IF(B20=4,Inventario4!C:C,IF(B20=5,Inventario5!C:C,Inventario6!C:C))))),
    _xlpm.invStats, IF(B20=1,Inventario1!D:H,IF(B20=2,Inventario2!D:H,IF(B20=3,Inventario3!D:H,IF(B20=4,Inventario4!D:H,IF(B20=5,Inventario5!D:H,Inventario6!D:H))))),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IF(ROW(A20)=2,"",IF(_xlfn._xlws.FILTER(Equipar!AC$2:AC19,Equipar!B$2:B19=B20)={0},"",_xlfn._xlws.FILTER(Equipar!AC$2:AC19,Equipar!B$2:B19=B20))),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10</v>
      </c>
      <c r="E20" s="11" cm="1">
        <f t="array" aca="1" ref="E20" ca="1">_xlfn.LET(
    _xlpm.jugador, A20,
    _xlpm.idSel, AC20,
    _xlpm.invIDs, IF(B20=1,Inventario1!A:A,IF(B20=2,Inventario2!A:A,IF(B20=3,Inventario3!A:A,IF(B20=4,Inventario4!A:A,IF(B20=5,Inventario5!A:A,Inventario6!A:A))))),
    _xlpm.invCalidad, IF(B20=1,Inventario1!B:B,IF(B20=2,Inventario2!B:B,IF(B20=3,Inventario3!B:B,IF(B20=4,Inventario4!B:B,IF(B20=5,Inventario5!B:B,Inventario6!B:B))))),
    _xlpm.invTipos, IF(B20=1,Inventario1!C:C,IF(B20=2,Inventario2!C:C,IF(B20=3,Inventario3!C:C,IF(B20=4,Inventario4!C:C,IF(B20=5,Inventario5!C:C,Inventario6!C:C))))),
    _xlpm.invStats, IF(B20=1,Inventario1!D:H,IF(B20=2,Inventario2!D:H,IF(B20=3,Inventario3!D:H,IF(B20=4,Inventario4!D:H,IF(B20=5,Inventario5!D:H,Inventario6!D:H))))),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IF(ROW(A20)=2,"",IF(_xlfn._xlws.FILTER(Equipar!AC$2:AC19,Equipar!B$2:B19=B20)={0},"",_xlfn._xlws.FILTER(Equipar!AC$2:AC19,Equipar!B$2:B19=B20))),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146</v>
      </c>
      <c r="F20" s="11" t="str" cm="1">
        <f t="array" aca="1" ref="F20" ca="1">_xlfn.LET(
    _xlpm.jugador, B20,
    _xlpm.idSel, AD20,
    _xlpm.invIDs, IF(C20=1,Inventario1!B:B,IF(C20=2,Inventario2!B:B,IF(C20=3,Inventario3!B:B,IF(C20=4,Inventario4!B:B,IF(C20=5,Inventario5!B:B,Inventario6!B:B))))),
    _xlpm.invCalidad, IF(C20=1,Inventario1!C:C,IF(C20=2,Inventario2!C:C,IF(C20=3,Inventario3!C:C,IF(C20=4,Inventario4!C:C,IF(C20=5,Inventario5!C:C,Inventario6!C:C))))),
    _xlpm.invTipos, IF(C20=1,Inventario1!D:D,IF(C20=2,Inventario2!D:D,IF(C20=3,Inventario3!D:D,IF(C20=4,Inventario4!D:D,IF(C20=5,Inventario5!D:D,Inventario6!D:D))))),
    _xlpm.invStats, IF(C20=1,Inventario1!E:I,IF(C20=2,Inventario2!E:I,IF(C20=3,Inventario3!E:I,IF(C20=4,Inventario4!E:I,IF(C20=5,Inventario5!E:I,Inventario6!E:I))))),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IF(ROW(B20)=2,"",IF(_xlfn._xlws.FILTER(Equipar!AD$2:AD19,Equipar!C$2:C19=C20)={0},"",_xlfn._xlws.FILTER(Equipar!AD$2:AD19,Equipar!C$2:C19=C20))),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20" s="10" cm="1">
        <f t="array" ref="G20">_xlfn.LET(
    _xlpm.jugador, A20,
    _xlpm.idSel, AC20,
    _xlpm.invIDs, IF(B20=1,Inventario1!A:A,IF(B20=2,Inventario2!A:A,IF(B20=3,Inventario3!A:A,IF(B20=4,Inventario4!A:A,IF(B20=5,Inventario5!A:A,Inventario6!A:A))))),
    _xlpm.invCalidad, IF(B20=1,Inventario1!B:B,IF(B20=2,Inventario2!B:B,IF(B20=3,Inventario3!B:B,IF(B20=4,Inventario4!B:B,IF(B20=5,Inventario5!B:B,Inventario6!B:B))))),
    _xlpm.invTipos, IF(B20=1,Inventario1!C:C,IF(B20=2,Inventario2!C:C,IF(B20=3,Inventario3!C:C,IF(B20=4,Inventario4!C:C,IF(B20=5,Inventario5!C:C,Inventario6!C:C))))),
    _xlpm.invStats, IF(B20=1,Inventario1!D:H,IF(B20=2,Inventario2!D:H,IF(B20=3,Inventario3!D:H,IF(B20=4,Inventario4!D:H,IF(B20=5,Inventario5!D:H,Inventario6!D:H))))),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IF(ROW(A20)=2,"",IF(_xlfn._xlws.FILTER(Equipar!AC$2:AC19,Equipar!B$2:B19=B20)={0},"",_xlfn._xlws.FILTER(Equipar!AC$2:AC19,Equipar!B$2:B19=B20))),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H20" s="11" cm="1">
        <f t="array" ref="H20">_xlfn.LET(
    _xlpm.jugador, A20,
    _xlpm.idSel, AC20,
    _xlpm.invIDs, IF(B20=1,Inventario1!A:A,IF(B20=2,Inventario2!A:A,IF(B20=3,Inventario3!A:A,IF(B20=4,Inventario4!A:A,IF(B20=5,Inventario5!A:A,Inventario6!A:A))))),
    _xlpm.invCalidad, IF(B20=1,Inventario1!B:B,IF(B20=2,Inventario2!B:B,IF(B20=3,Inventario3!B:B,IF(B20=4,Inventario4!B:B,IF(B20=5,Inventario5!B:B,Inventario6!B:B))))),
    _xlpm.invTipos, IF(B20=1,Inventario1!C:C,IF(B20=2,Inventario2!C:C,IF(B20=3,Inventario3!C:C,IF(B20=4,Inventario4!C:C,IF(B20=5,Inventario5!C:C,Inventario6!C:C))))),
    _xlpm.invStats, IF(B20=1,Inventario1!D:H,IF(B20=2,Inventario2!D:H,IF(B20=3,Inventario3!D:H,IF(B20=4,Inventario4!D:H,IF(B20=5,Inventario5!D:H,Inventario6!D:H))))),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IF(ROW(A20)=2,"",IF(_xlfn._xlws.FILTER(Equipar!AC$2:AC19,Equipar!B$2:B19=B20)={0},"",_xlfn._xlws.FILTER(Equipar!AC$2:AC19,Equipar!B$2:B19=B20))),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I20" s="11" cm="1">
        <f t="array" aca="1" ref="I20" ca="1">_xlfn.LET(
    _xlpm.jugador, A20,
    _xlpm.idSel, AC20,
    _xlpm.invIDs, IF(B20=1,Inventario1!A:A,IF(B20=2,Inventario2!A:A,IF(B20=3,Inventario3!A:A,IF(B20=4,Inventario4!A:A,IF(B20=5,Inventario5!A:A,Inventario6!A:A))))),
    _xlpm.invCalidad, IF(B20=1,Inventario1!B:B,IF(B20=2,Inventario2!B:B,IF(B20=3,Inventario3!B:B,IF(B20=4,Inventario4!B:B,IF(B20=5,Inventario5!B:B,Inventario6!B:B))))),
    _xlpm.invTipos, IF(B20=1,Inventario1!C:C,IF(B20=2,Inventario2!C:C,IF(B20=3,Inventario3!C:C,IF(B20=4,Inventario4!C:C,IF(B20=5,Inventario5!C:C,Inventario6!C:C))))),
    _xlpm.invStats, IF(B20=1,Inventario1!D:H,IF(B20=2,Inventario2!D:H,IF(B20=3,Inventario3!D:H,IF(B20=4,Inventario4!D:H,IF(B20=5,Inventario5!D:H,Inventario6!D:H))))),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IF(ROW(A20)=2,"",IF(_xlfn._xlws.FILTER(Equipar!AC$2:AC19,Equipar!B$2:B19=B20)={0},"",_xlfn._xlws.FILTER(Equipar!AC$2:AC19,Equipar!B$2:B19=B20))),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90</v>
      </c>
      <c r="J20" s="11" cm="1">
        <f t="array" aca="1" ref="J20" ca="1">_xlfn.LET(
    _xlpm.jugador, B20,
    _xlpm.idSel, AD20,
    _xlpm.invIDs, IF(C20=1,Inventario1!B:B,IF(C20=2,Inventario2!B:B,IF(C20=3,Inventario3!B:B,IF(C20=4,Inventario4!B:B,IF(C20=5,Inventario5!B:B,Inventario6!B:B))))),
    _xlpm.invCalidad, IF(C20=1,Inventario1!C:C,IF(C20=2,Inventario2!C:C,IF(C20=3,Inventario3!C:C,IF(C20=4,Inventario4!C:C,IF(C20=5,Inventario5!C:C,Inventario6!C:C))))),
    _xlpm.invTipos, IF(C20=1,Inventario1!D:D,IF(C20=2,Inventario2!D:D,IF(C20=3,Inventario3!D:D,IF(C20=4,Inventario4!D:D,IF(C20=5,Inventario5!D:D,Inventario6!D:D))))),
    _xlpm.invStats, IF(C20=1,Inventario1!E:I,IF(C20=2,Inventario2!E:I,IF(C20=3,Inventario3!E:I,IF(C20=4,Inventario4!E:I,IF(C20=5,Inventario5!E:I,Inventario6!E:I))))),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IF(ROW(B20)=2,"",IF(_xlfn._xlws.FILTER(Equipar!AD$2:AD19,Equipar!C$2:C19=C20)={0},"",_xlfn._xlws.FILTER(Equipar!AD$2:AD19,Equipar!C$2:C19=C20))),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20" s="11">
        <f t="shared" si="0"/>
        <v>-2.7900000000000063</v>
      </c>
      <c r="L20" s="11">
        <f t="shared" ca="1" si="1"/>
        <v>-9</v>
      </c>
      <c r="M20" s="11">
        <f t="shared" ca="1" si="1"/>
        <v>83.79</v>
      </c>
      <c r="N20" s="11">
        <f t="shared" ca="1" si="2"/>
        <v>-6.2099999999999937</v>
      </c>
      <c r="O20" s="11">
        <f t="shared" ca="1" si="2"/>
        <v>90</v>
      </c>
      <c r="P20" s="10" cm="1">
        <f t="array" aca="1" ref="P20" ca="1">_xlfn.LET(
    _xlpm.ptsPrinBase, _xlfn._xlws.FILTER(G:G, A:A=A20),
    _xlpm.ptsSecBase,  _xlfn._xlws.FILTER(H:H, A:A=A20),
    _xlpm.puntosPrin, _xlpm.ptsPrinBase + _xlfn._xlws.FILTER(B:B, A:A=A20)/1000,
    _xlpm.puntosSec,  _xlpm.ptsSecBase  + _xlfn._xlws.FILTER(B:B, A:A=A20)/1000,
    _xlpm.puntosPrinValidos, SUM(--(_xlpm.ptsPrinBase&gt;0)),
    _xlpm.puntosSecValidos,  SUM(--(_xlpm.ptsSecBase&gt;0)),
    _xlpm.clave, K20 + B20/1000,
    _xlpm.claves, _xlfn._xlws.FILTER(K:K + B:B/1000, A:A=A20),
    IF(AND(_xlpm.puntosPrinValidos&gt;=4,_xlpm.puntosSecValidos&gt;=2),IF(
        SUM(--(_xlpm.claves &gt; _xlpm.clave)) &lt; 4,
        C20,
        D20
    ),"No disp")
)</f>
        <v>10</v>
      </c>
      <c r="Q20" s="10" cm="1">
        <f t="array" aca="1" ref="Q20" ca="1">_xlfn.LET(
    _xlpm.puntosPrin, _xlfn._xlws.FILTER(G:G + B:B/1000, A:A=A20),
    _xlpm.puntosPrinValidos, SUM(--(_xlpm.puntosPrin&gt;1)),
    _xlpm.puntosTer, _xlfn._xlws.FILTER(I:I + B:B/1000, A:A=A20),
    _xlpm.puntosTerValidos, SUM(--(_xlpm.puntosTer&gt;1)),
    _xlpm.clave, L20 + B20/1000,
    _xlpm.claves, _xlfn._xlws.FILTER(L:L + B:B/1000, A:A=A20),
    IF(AND(_xlpm.puntosPrinValidos&gt;=4,_xlpm.puntosTerValidos&gt;=2),IF(
        SUM(--(_xlpm.claves &gt; _xlpm.clave)) &lt; 4,
        C20,
        E20
    ),"No disp")
)</f>
        <v>45</v>
      </c>
      <c r="R20" s="10" t="str" cm="1">
        <f t="array" aca="1" ref="R20" ca="1">_xlfn.LET(
    _xlpm.puntosPrin, _xlfn._xlws.FILTER(G:G + B:B/1000, A:A=A20),
    _xlpm.puntosPrinValidos, SUM(--(_xlpm.puntosPrin&gt;1)),
    _xlpm.puntosTer, _xlfn._xlws.FILTER(J:J + B:B/1000, A:A=A20),
    _xlpm.puntosTerValidos, SUM(--(_xlpm.puntosTer&gt;1)),
    _xlpm.clave, M20 + B20/1000,
    _xlpm.claves, _xlfn._xlws.FILTER(M:M + B:B/1000, A:A=A20),
    IF(AND(_xlpm.puntosPrinValidos&gt;=4,_xlpm.puntosTerValidos&gt;=2),IF(
        SUM(--(_xlpm.claves &gt; _xlpm.clave)) &lt; 4,
        C20,
        F20
    ),"No disp")
)</f>
        <v>No disp</v>
      </c>
      <c r="S20" s="10" cm="1">
        <f t="array" aca="1" ref="S20" ca="1">_xlfn.LET(
    _xlpm.ptsPrinBase, _xlfn._xlws.FILTER(G:G, A:A=A20),
    _xlpm.ptsSecBase,  _xlfn._xlws.FILTER(H:H, A:A=A20),
    _xlpm.puntosPrin, _xlpm.ptsPrinBase + _xlfn._xlws.FILTER(B:B, A:A=A20)/1000,
    _xlpm.puntosSec,  _xlpm.ptsSecBase  + _xlfn._xlws.FILTER(B:B, A:A=A20)/1000,
    _xlpm.puntosPrinValidos, SUM(--(_xlpm.ptsPrinBase&gt;0)),
    _xlpm.puntosSecValidos,  SUM(--(_xlpm.ptsSecBase&gt;0)),
    _xlpm.clave, K20 + B20/1000,
    _xlpm.claves, _xlfn._xlws.FILTER(K:K + B:B/1000, A:A=A20),
    IF(
        AND(_xlpm.puntosPrinValidos&gt;=2, _xlpm.puntosSecValidos&gt;=4),
        IF(
            SUM(--(_xlpm.claves &lt; _xlpm.clave)) &lt; 4,
            D20,
            C20
        ),
        "No disp"
    )
)</f>
        <v>10</v>
      </c>
      <c r="T20" s="10" cm="1">
        <f t="array" aca="1" ref="T20" ca="1">_xlfn.LET(
    _xlpm.puntosSec, _xlfn._xlws.FILTER(H:H + B:B/1000, A:A=A20),
    _xlpm.puntosSecValidos, SUM(--(_xlpm.puntosSec&gt;1)),
    _xlpm.puntosAlt, _xlfn._xlws.FILTER(I:I + B:B/1000, A:A=A20),
    _xlpm.puntosAltValidos, SUM(--(_xlpm.puntosAlt&gt;1)),
    _xlpm.clave, N20 + B20/1000,
    _xlpm.claves, _xlfn._xlws.FILTER(N:N + B:B/1000, A:A=A20),
    IF(AND(_xlpm.puntosSecValidos&gt;=4,_xlpm.puntosAltValidos&gt;=2),IF(
        SUM(--(_xlpm.claves &gt; _xlpm.clave)) &lt; 4,
        D20,
        E20
    ),"No disp")
)</f>
        <v>10</v>
      </c>
      <c r="U20" s="10" t="str" cm="1">
        <f t="array" aca="1" ref="U20" ca="1">_xlfn.LET(
    _xlpm.puntosSec, _xlfn._xlws.FILTER(H:H + B:B/1000, A:A=A20),
    _xlpm.puntosSecValidos, SUM(--(_xlpm.puntosSec&gt;1)),
    _xlpm.puntosAlt, _xlfn._xlws.FILTER(J:J + B:B/1000, A:A=A20),
    _xlpm.puntosAltValidos, SUM(--(_xlpm.puntosAlt&gt;1)),
    _xlpm.clave, O20 + B20/1000,
    _xlpm.claves, _xlfn._xlws.FILTER(O:O + B:B/1000, A:A=A20),
    IF(AND(_xlpm.puntosSecValidos&gt;=4,_xlpm.puntosAltValidos&gt;=2),IF(
        SUM(--(_xlpm.claves &gt; _xlpm.clave)) &lt; 4,
        D20,
        F20
    ),"No disp")
)</f>
        <v>No disp</v>
      </c>
      <c r="V20" s="11" cm="1">
        <f t="array" aca="1" ref="V20" ca="1">_xlfn.LET(
_xlpm.PrinIDs,_xlfn._xlws.FILTER(C:C,(A:A=A20)),
_xlpm.SecIDs,_xlfn._xlws.FILTER(D:D,(A:A=A20)),
_xlpm.TerIDs,_xlfn._xlws.FILTER(E:E,A:A=A20),
_xlpm.CuaIDs,_xlfn._xlws.FILTER(F:F,(A:A=A20)),
_xlpm.PrinPts,_xlfn._xlws.FILTER(G:G,(A:A=A20)),
_xlpm.SecPts,_xlfn._xlws.FILTER(H:H,(A:A=A20)),
_xlpm.TerPts,_xlfn._xlws.FILTER(I:I,(A:A=A20)),
_xlpm.CuaPts,_xlfn._xlws.FILTER(J:J,(A:A=A20)),
_xlpm.PSIds,_xlfn._xlws.FILTER(P:P,A:A=A20),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526.68000000000006</v>
      </c>
      <c r="W20" s="11" cm="1">
        <f t="array" aca="1" ref="W20" ca="1">_xlfn.LET(
_xlpm.PrinIDs,_xlfn._xlws.FILTER(C:C,(A:A=A20)),
_xlpm.SecIDs,_xlfn._xlws.FILTER(D:D,(A:A=A20)),
_xlpm.TerIDs,_xlfn._xlws.FILTER(E:E,A:A=A20),
_xlpm.CuaIDs,_xlfn._xlws.FILTER(F:F,(A:A=A20)),
_xlpm.PrinPts,_xlfn._xlws.FILTER(G:G,(A:A=A20)),
_xlpm.SecPts,_xlfn._xlws.FILTER(H:H,(A:A=A20)),
_xlpm.TerPts,_xlfn._xlws.FILTER(I:I,(A:A=A20)),
_xlpm.CuaPts,_xlfn._xlws.FILTER(J:J,(A:A=A20)),
_xlpm.PTIds,_xlfn._xlws.FILTER(Q:Q,A:A=A20),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563.04000000000008</v>
      </c>
      <c r="X20" s="11" cm="1">
        <f t="array" aca="1" ref="X20" ca="1">_xlfn.LET(
_xlpm.PrinIDs,_xlfn._xlws.FILTER(C:C,(A:A=A20)),
_xlpm.SecIDs,_xlfn._xlws.FILTER(D:D,(A:A=A20)),
_xlpm.TerIDs,_xlfn._xlws.FILTER(E:E,A:A=A20),
_xlpm.CuaIDs,_xlfn._xlws.FILTER(F:F,(A:A=A20)),
_xlpm.PrinPts,_xlfn._xlws.FILTER(G:G,(A:A=A20)),
_xlpm.SecPts,_xlfn._xlws.FILTER(H:H,(A:A=A20)),
_xlpm.TerPts,_xlfn._xlws.FILTER(I:I,(A:A=A20)),
_xlpm.CuaPts,_xlfn._xlws.FILTER(J:J,(A:A=A20)),
_xlpm.PCIds,_xlfn._xlws.FILTER(R:R,A:A=A20),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20" s="11" cm="1">
        <f t="array" aca="1" ref="Y20" ca="1">_xlfn.LET(
_xlpm.PrinIDs,_xlfn._xlws.FILTER(C:C,(A:A=A20)),
_xlpm.SecIDs,_xlfn._xlws.FILTER(D:D,(A:A=A20)),
_xlpm.AltIDs,_xlfn._xlws.FILTER(E:E,A:A=A20),
_xlpm.PrinPts,_xlfn._xlws.FILTER(G:G,(A:A=A20)),
_xlpm.SecPts,_xlfn._xlws.FILTER(H:H,(A:A=A20)),
_xlpm.AltPts,_xlfn._xlws.FILTER(I:I,(A:A=A20)),
_xlpm.SPIds,_xlfn._xlws.FILTER(S:S,A:A=A20),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485.1</v>
      </c>
      <c r="Z20" s="11" cm="1">
        <f t="array" aca="1" ref="Z20" ca="1">_xlfn.LET(
_xlpm.PrinIDs,_xlfn._xlws.FILTER(C:C,(A:A=A20)),
_xlpm.SecIDs,_xlfn._xlws.FILTER(D:D,(A:A=A20)),
_xlpm.TerIDs,_xlfn._xlws.FILTER(E:E,A:A=A20),
_xlpm.CuaIDs,_xlfn._xlws.FILTER(F:F,(A:A=A20)),
_xlpm.PrinPts,_xlfn._xlws.FILTER(G:G,(A:A=A20)),
_xlpm.SecPts,_xlfn._xlws.FILTER(H:H,(A:A=A20)),
_xlpm.TerPts,_xlfn._xlws.FILTER(I:I,(A:A=A20)),
_xlpm.CuaPts,_xlfn._xlws.FILTER(J:J,(A:A=A20)),
_xlpm.STIds,_xlfn._xlws.FILTER(T:T,A:A=A20),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494.28000000000003</v>
      </c>
      <c r="AA20" s="11" cm="1">
        <f t="array" aca="1" ref="AA20" ca="1">_xlfn.LET(
_xlpm.PrinIDs,_xlfn._xlws.FILTER(C:C,(A:A=A20)),
_xlpm.SecIDs,_xlfn._xlws.FILTER(D:D,(A:A=A20)),
_xlpm.TerIDs,_xlfn._xlws.FILTER(E:E,A:A=A20),
_xlpm.CuaIDs,_xlfn._xlws.FILTER(F:F,(A:A=A20)),
_xlpm.PrinPts,_xlfn._xlws.FILTER(G:G,(A:A=A20)),
_xlpm.SecPts,_xlfn._xlws.FILTER(H:H,(A:A=A20)),
_xlpm.TerPts,_xlfn._xlws.FILTER(I:I,(A:A=A20)),
_xlpm.CuaPts,_xlfn._xlws.FILTER(J:J,(A:A=A20)),
_xlpm.SCIds,_xlfn._xlws.FILTER(U:U,A:A=A20),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20" s="10">
        <f t="shared" ca="1" si="3"/>
        <v>45</v>
      </c>
      <c r="AC20" s="10">
        <v>45</v>
      </c>
      <c r="AD20" s="11"/>
      <c r="AE20" s="10" t="str">
        <f ca="1">IF(ISNUMBER(AC20),
IF($B20=1,VLOOKUP($AC20,Inventario1!$A:$H,2),
IF($B20=2,VLOOKUP($AC20,Inventario2!$A:$H,2),
IF($B20=3,VLOOKUP($AC20,Inventario3!$A:$H,2),
IF($B20=4,VLOOKUP($AC20,Inventario4!$A:$H,2),
IF($B20=5,VLOOKUP($AC20,Inventario5!$A:$H,2),
VLOOKUP($AC20,Inventario6!$A:$H,2)
))))),"No equipado")</f>
        <v>Épico</v>
      </c>
      <c r="AF20" s="10" t="str">
        <f ca="1">IF(ISNUMBER(AC20),
IF($B20=1,VLOOKUP($AC20,Inventario1!$A:$H,3),
IF($B20=2,VLOOKUP($AC20,Inventario2!$A:$H,3),
IF($B20=3,VLOOKUP($AC20,Inventario3!$A:$H,3),
IF($B20=4,VLOOKUP($AC20,Inventario4!$A:$H,3),
IF($B20=5,VLOOKUP($AC20,Inventario5!$A:$H,3),
VLOOKUP($AC20,Inventario6!$A:$H,3)
))))),"")</f>
        <v>Saque preciso</v>
      </c>
      <c r="AG20" s="10" t="str">
        <f ca="1">IF(ISNUMBER(AC20),
IF($B20=1,VLOOKUP($AC20,Inventario1!$A:$H,4),
IF($B20=2,VLOOKUP($AC20,Inventario2!$A:$H,4),
IF($B20=3,VLOOKUP($AC20,Inventario3!$A:$H,4),
IF($B20=4,VLOOKUP($AC20,Inventario4!$A:$H,4),
IF($B20=5,VLOOKUP($AC20,Inventario5!$A:$H,4),
VLOOKUP($AC20,Inventario6!$A:$H,4)
))))),"")</f>
        <v>Colocación</v>
      </c>
      <c r="AH20" s="10" t="str">
        <f ca="1">IF(ISNUMBER(AC20),
IF($B20=1,VLOOKUP($AC20,Inventario1!$A:$H,5),
IF($B20=2,VLOOKUP($AC20,Inventario2!$A:$H,5),
IF($B20=3,VLOOKUP($AC20,Inventario3!$A:$H,5),
IF($B20=4,VLOOKUP($AC20,Inventario4!$A:$H,5),
IF($B20=5,VLOOKUP($AC20,Inventario5!$A:$H,5),
VLOOKUP($AC20,Inventario6!$A:$H,5)
))))),"")</f>
        <v>Colocación</v>
      </c>
      <c r="AI20" s="10" t="str">
        <f ca="1">IF(ISNUMBER(AC20),
IF($B20=1,VLOOKUP($AC20,Inventario1!$A:$H,6),
IF($B20=2,VLOOKUP($AC20,Inventario2!$A:$H,6),
IF($B20=3,VLOOKUP($AC20,Inventario3!$A:$H,6),
IF($B20=4,VLOOKUP($AC20,Inventario4!$A:$H,6),
IF($B20=5,VLOOKUP($AC20,Inventario5!$A:$H,6),
VLOOKUP($AC20,Inventario6!$A:$H,6)
))))),"")</f>
        <v>Colocación</v>
      </c>
      <c r="AJ20" s="10">
        <f ca="1">IF(ISNUMBER(AC20),
IF($B20=1,VLOOKUP($AC20,Inventario1!$A:$H,7),
IF($B20=2,VLOOKUP($AC20,Inventario2!$A:$H,7),
IF($B20=3,VLOOKUP($AC20,Inventario3!$A:$H,7),
IF($B20=4,VLOOKUP($AC20,Inventario4!$A:$H,7),
IF($B20=5,VLOOKUP($AC20,Inventario5!$A:$H,7),
VLOOKUP($AC20,Inventario6!$A:$H,7)
))))),"")</f>
        <v>0</v>
      </c>
      <c r="AK20" s="12">
        <f ca="1">IF(ISNUMBER(AC20),
IF($B20=1,VLOOKUP($AC20,Inventario1!$A:$H,8),
IF($B20=2,VLOOKUP($AC20,Inventario2!$A:$H,8),
IF($B20=3,VLOOKUP($AC20,Inventario3!$A:$H,8),
IF($B20=4,VLOOKUP($AC20,Inventario4!$A:$H,8),
IF($B20=5,VLOOKUP($AC20,Inventario5!$A:$H,8),
VLOOKUP($AC20,Inventario6!$A:$H,8)
))))),"")</f>
        <v>0</v>
      </c>
    </row>
    <row r="21" spans="1:37" x14ac:dyDescent="0.25">
      <c r="A21" s="21" t="s">
        <v>11</v>
      </c>
      <c r="B21" s="3">
        <v>2</v>
      </c>
      <c r="C21" s="14" cm="1">
        <f t="array" aca="1" ref="C21" ca="1">_xlfn.LET(
    _xlpm.jugador, A21,
    _xlpm.idSel, AC21,
    _xlpm.invIDs, IF(B21=1,Inventario1!A:A,IF(B21=2,Inventario2!A:A,IF(B21=3,Inventario3!A:A,IF(B21=4,Inventario4!A:A,IF(B21=5,Inventario5!A:A,Inventario6!A:A))))),
    _xlpm.invCalidad, IF(B21=1,Inventario1!B:B,IF(B21=2,Inventario2!B:B,IF(B21=3,Inventario3!B:B,IF(B21=4,Inventario4!B:B,IF(B21=5,Inventario5!B:B,Inventario6!B:B))))),
    _xlpm.invTipos, IF(B21=1,Inventario1!C:C,IF(B21=2,Inventario2!C:C,IF(B21=3,Inventario3!C:C,IF(B21=4,Inventario4!C:C,IF(B21=5,Inventario5!C:C,Inventario6!C:C))))),
    _xlpm.invStats, IF(B21=1,Inventario1!D:H,IF(B21=2,Inventario2!D:H,IF(B21=3,Inventario3!D:H,IF(B21=4,Inventario4!D:H,IF(B21=5,Inventario5!D:H,Inventario6!D:H))))),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IF(ROW(A21)=2,"",IF(_xlfn._xlws.FILTER(Equipar!AC$2:AC20,Equipar!B$2:B20=B21)={0},"",_xlfn._xlws.FILTER(Equipar!AC$2:AC20,Equipar!B$2:B20=B21))),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</v>
      </c>
      <c r="D21" s="4" cm="1">
        <f t="array" ref="D21">_xlfn.LET(
    _xlpm.jugador, A21,
    _xlpm.idSel, AC21,
    _xlpm.invIDs, IF(B21=1,Inventario1!A:A,IF(B21=2,Inventario2!A:A,IF(B21=3,Inventario3!A:A,IF(B21=4,Inventario4!A:A,IF(B21=5,Inventario5!A:A,Inventario6!A:A))))),
    _xlpm.invCalidad, IF(B21=1,Inventario1!B:B,IF(B21=2,Inventario2!B:B,IF(B21=3,Inventario3!B:B,IF(B21=4,Inventario4!B:B,IF(B21=5,Inventario5!B:B,Inventario6!B:B))))),
    _xlpm.invTipos, IF(B21=1,Inventario1!C:C,IF(B21=2,Inventario2!C:C,IF(B21=3,Inventario3!C:C,IF(B21=4,Inventario4!C:C,IF(B21=5,Inventario5!C:C,Inventario6!C:C))))),
    _xlpm.invStats, IF(B21=1,Inventario1!D:H,IF(B21=2,Inventario2!D:H,IF(B21=3,Inventario3!D:H,IF(B21=4,Inventario4!D:H,IF(B21=5,Inventario5!D:H,Inventario6!D:H))))),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IF(ROW(A21)=2,"",IF(_xlfn._xlws.FILTER(Equipar!AC$2:AC20,Equipar!B$2:B20=B21)={0},"",_xlfn._xlws.FILTER(Equipar!AC$2:AC20,Equipar!B$2:B20=B21))),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109</v>
      </c>
      <c r="E21" s="4" cm="1">
        <f t="array" aca="1" ref="E21" ca="1">_xlfn.LET(
    _xlpm.jugador, A21,
    _xlpm.idSel, AC21,
    _xlpm.invIDs, IF(B21=1,Inventario1!A:A,IF(B21=2,Inventario2!A:A,IF(B21=3,Inventario3!A:A,IF(B21=4,Inventario4!A:A,IF(B21=5,Inventario5!A:A,Inventario6!A:A))))),
    _xlpm.invCalidad, IF(B21=1,Inventario1!B:B,IF(B21=2,Inventario2!B:B,IF(B21=3,Inventario3!B:B,IF(B21=4,Inventario4!B:B,IF(B21=5,Inventario5!B:B,Inventario6!B:B))))),
    _xlpm.invTipos, IF(B21=1,Inventario1!C:C,IF(B21=2,Inventario2!C:C,IF(B21=3,Inventario3!C:C,IF(B21=4,Inventario4!C:C,IF(B21=5,Inventario5!C:C,Inventario6!C:C))))),
    _xlpm.invStats, IF(B21=1,Inventario1!D:H,IF(B21=2,Inventario2!D:H,IF(B21=3,Inventario3!D:H,IF(B21=4,Inventario4!D:H,IF(B21=5,Inventario5!D:H,Inventario6!D:H))))),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IF(ROW(A21)=2,"",IF(_xlfn._xlws.FILTER(Equipar!AC$2:AC20,Equipar!B$2:B20=B21)={0},"",_xlfn._xlws.FILTER(Equipar!AC$2:AC20,Equipar!B$2:B20=B21))),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97</v>
      </c>
      <c r="F21" s="4" t="str" cm="1">
        <f t="array" aca="1" ref="F21" ca="1">_xlfn.LET(
    _xlpm.jugador, B21,
    _xlpm.idSel, AD21,
    _xlpm.invIDs, IF(C21=1,Inventario1!B:B,IF(C21=2,Inventario2!B:B,IF(C21=3,Inventario3!B:B,IF(C21=4,Inventario4!B:B,IF(C21=5,Inventario5!B:B,Inventario6!B:B))))),
    _xlpm.invCalidad, IF(C21=1,Inventario1!C:C,IF(C21=2,Inventario2!C:C,IF(C21=3,Inventario3!C:C,IF(C21=4,Inventario4!C:C,IF(C21=5,Inventario5!C:C,Inventario6!C:C))))),
    _xlpm.invTipos, IF(C21=1,Inventario1!D:D,IF(C21=2,Inventario2!D:D,IF(C21=3,Inventario3!D:D,IF(C21=4,Inventario4!D:D,IF(C21=5,Inventario5!D:D,Inventario6!D:D))))),
    _xlpm.invStats, IF(C21=1,Inventario1!E:I,IF(C21=2,Inventario2!E:I,IF(C21=3,Inventario3!E:I,IF(C21=4,Inventario4!E:I,IF(C21=5,Inventario5!E:I,Inventario6!E:I))))),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IF(ROW(B21)=2,"",IF(_xlfn._xlws.FILTER(Equipar!AD$2:AD20,Equipar!C$2:C20=C21)={0},"",_xlfn._xlws.FILTER(Equipar!AD$2:AD20,Equipar!C$2:C20=C21))),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21" s="14" cm="1">
        <f t="array" aca="1" ref="G21" ca="1">_xlfn.LET(
    _xlpm.jugador, A21,
    _xlpm.idSel, AC21,
    _xlpm.invIDs, IF(B21=1,Inventario1!A:A,IF(B21=2,Inventario2!A:A,IF(B21=3,Inventario3!A:A,IF(B21=4,Inventario4!A:A,IF(B21=5,Inventario5!A:A,Inventario6!A:A))))),
    _xlpm.invCalidad, IF(B21=1,Inventario1!B:B,IF(B21=2,Inventario2!B:B,IF(B21=3,Inventario3!B:B,IF(B21=4,Inventario4!B:B,IF(B21=5,Inventario5!B:B,Inventario6!B:B))))),
    _xlpm.invTipos, IF(B21=1,Inventario1!C:C,IF(B21=2,Inventario2!C:C,IF(B21=3,Inventario3!C:C,IF(B21=4,Inventario4!C:C,IF(B21=5,Inventario5!C:C,Inventario6!C:C))))),
    _xlpm.invStats, IF(B21=1,Inventario1!D:H,IF(B21=2,Inventario2!D:H,IF(B21=3,Inventario3!D:H,IF(B21=4,Inventario4!D:H,IF(B21=5,Inventario5!D:H,Inventario6!D:H))))),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IF(ROW(A21)=2,"",IF(_xlfn._xlws.FILTER(Equipar!AC$2:AC20,Equipar!B$2:B20=B21)={0},"",_xlfn._xlws.FILTER(Equipar!AC$2:AC20,Equipar!B$2:B20=B21))),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H21" s="4" cm="1">
        <f t="array" ref="H21">_xlfn.LET(
    _xlpm.jugador, A21,
    _xlpm.idSel, AC21,
    _xlpm.invIDs, IF(B21=1,Inventario1!A:A,IF(B21=2,Inventario2!A:A,IF(B21=3,Inventario3!A:A,IF(B21=4,Inventario4!A:A,IF(B21=5,Inventario5!A:A,Inventario6!A:A))))),
    _xlpm.invCalidad, IF(B21=1,Inventario1!B:B,IF(B21=2,Inventario2!B:B,IF(B21=3,Inventario3!B:B,IF(B21=4,Inventario4!B:B,IF(B21=5,Inventario5!B:B,Inventario6!B:B))))),
    _xlpm.invTipos, IF(B21=1,Inventario1!C:C,IF(B21=2,Inventario2!C:C,IF(B21=3,Inventario3!C:C,IF(B21=4,Inventario4!C:C,IF(B21=5,Inventario5!C:C,Inventario6!C:C))))),
    _xlpm.invStats, IF(B21=1,Inventario1!D:H,IF(B21=2,Inventario2!D:H,IF(B21=3,Inventario3!D:H,IF(B21=4,Inventario4!D:H,IF(B21=5,Inventario5!D:H,Inventario6!D:H))))),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IF(ROW(A21)=2,"",IF(_xlfn._xlws.FILTER(Equipar!AC$2:AC20,Equipar!B$2:B20=B21)={0},"",_xlfn._xlws.FILTER(Equipar!AC$2:AC20,Equipar!B$2:B20=B21))),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I21" s="4" cm="1">
        <f t="array" aca="1" ref="I21" ca="1">_xlfn.LET(
    _xlpm.jugador, A21,
    _xlpm.idSel, AC21,
    _xlpm.invIDs, IF(B21=1,Inventario1!A:A,IF(B21=2,Inventario2!A:A,IF(B21=3,Inventario3!A:A,IF(B21=4,Inventario4!A:A,IF(B21=5,Inventario5!A:A,Inventario6!A:A))))),
    _xlpm.invCalidad, IF(B21=1,Inventario1!B:B,IF(B21=2,Inventario2!B:B,IF(B21=3,Inventario3!B:B,IF(B21=4,Inventario4!B:B,IF(B21=5,Inventario5!B:B,Inventario6!B:B))))),
    _xlpm.invTipos, IF(B21=1,Inventario1!C:C,IF(B21=2,Inventario2!C:C,IF(B21=3,Inventario3!C:C,IF(B21=4,Inventario4!C:C,IF(B21=5,Inventario5!C:C,Inventario6!C:C))))),
    _xlpm.invStats, IF(B21=1,Inventario1!D:H,IF(B21=2,Inventario2!D:H,IF(B21=3,Inventario3!D:H,IF(B21=4,Inventario4!D:H,IF(B21=5,Inventario5!D:H,Inventario6!D:H))))),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IF(ROW(A21)=2,"",IF(_xlfn._xlws.FILTER(Equipar!AC$2:AC20,Equipar!B$2:B20=B21)={0},"",_xlfn._xlws.FILTER(Equipar!AC$2:AC20,Equipar!B$2:B20=B21))),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J21" s="4" cm="1">
        <f t="array" aca="1" ref="J21" ca="1">_xlfn.LET(
    _xlpm.jugador, B21,
    _xlpm.idSel, AD21,
    _xlpm.invIDs, IF(C21=1,Inventario1!B:B,IF(C21=2,Inventario2!B:B,IF(C21=3,Inventario3!B:B,IF(C21=4,Inventario4!B:B,IF(C21=5,Inventario5!B:B,Inventario6!B:B))))),
    _xlpm.invCalidad, IF(C21=1,Inventario1!C:C,IF(C21=2,Inventario2!C:C,IF(C21=3,Inventario3!C:C,IF(C21=4,Inventario4!C:C,IF(C21=5,Inventario5!C:C,Inventario6!C:C))))),
    _xlpm.invTipos, IF(C21=1,Inventario1!D:D,IF(C21=2,Inventario2!D:D,IF(C21=3,Inventario3!D:D,IF(C21=4,Inventario4!D:D,IF(C21=5,Inventario5!D:D,Inventario6!D:D))))),
    _xlpm.invStats, IF(C21=1,Inventario1!E:I,IF(C21=2,Inventario2!E:I,IF(C21=3,Inventario3!E:I,IF(C21=4,Inventario4!E:I,IF(C21=5,Inventario5!E:I,Inventario6!E:I))))),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IF(ROW(B21)=2,"",IF(_xlfn._xlws.FILTER(Equipar!AD$2:AD20,Equipar!C$2:C20=C21)={0},"",_xlfn._xlws.FILTER(Equipar!AD$2:AD20,Equipar!C$2:C20=C21))),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21" s="4">
        <f t="shared" ca="1" si="0"/>
        <v>-23.939999999999998</v>
      </c>
      <c r="L21" s="4">
        <f t="shared" ca="1" si="1"/>
        <v>-27.179999999999993</v>
      </c>
      <c r="M21" s="4">
        <f t="shared" ca="1" si="1"/>
        <v>95.76</v>
      </c>
      <c r="N21" s="4">
        <f t="shared" ca="1" si="2"/>
        <v>-3.2399999999999949</v>
      </c>
      <c r="O21" s="4">
        <f t="shared" ca="1" si="2"/>
        <v>99</v>
      </c>
      <c r="P21" s="14" cm="1">
        <f t="array" aca="1" ref="P21" ca="1">_xlfn.LET(
    _xlpm.ptsPrinBase, _xlfn._xlws.FILTER(G:G, A:A=A21),
    _xlpm.ptsSecBase,  _xlfn._xlws.FILTER(H:H, A:A=A21),
    _xlpm.puntosPrin, _xlpm.ptsPrinBase + _xlfn._xlws.FILTER(B:B, A:A=A21)/1000,
    _xlpm.puntosSec,  _xlpm.ptsSecBase  + _xlfn._xlws.FILTER(B:B, A:A=A21)/1000,
    _xlpm.puntosPrinValidos, SUM(--(_xlpm.ptsPrinBase&gt;0)),
    _xlpm.puntosSecValidos,  SUM(--(_xlpm.ptsSecBase&gt;0)),
    _xlpm.clave, K21 + B21/1000,
    _xlpm.claves, _xlfn._xlws.FILTER(K:K + B:B/1000, A:A=A21),
    IF(AND(_xlpm.puntosPrinValidos&gt;=4,_xlpm.puntosSecValidos&gt;=2),IF(
        SUM(--(_xlpm.claves &gt; _xlpm.clave)) &lt; 4,
        C21,
        D21
    ),"No disp")
)</f>
        <v>109</v>
      </c>
      <c r="Q21" s="14" cm="1">
        <f t="array" aca="1" ref="Q21" ca="1">_xlfn.LET(
    _xlpm.puntosPrin, _xlfn._xlws.FILTER(G:G + B:B/1000, A:A=A21),
    _xlpm.puntosPrinValidos, SUM(--(_xlpm.puntosPrin&gt;1)),
    _xlpm.puntosTer, _xlfn._xlws.FILTER(I:I + B:B/1000, A:A=A21),
    _xlpm.puntosTerValidos, SUM(--(_xlpm.puntosTer&gt;1)),
    _xlpm.clave, L21 + B21/1000,
    _xlpm.claves, _xlfn._xlws.FILTER(L:L + B:B/1000, A:A=A21),
    IF(AND(_xlpm.puntosPrinValidos&gt;=4,_xlpm.puntosTerValidos&gt;=2),IF(
        SUM(--(_xlpm.claves &gt; _xlpm.clave)) &lt; 4,
        C21,
        E21
    ),"No disp")
)</f>
        <v>97</v>
      </c>
      <c r="R21" s="14" t="str" cm="1">
        <f t="array" aca="1" ref="R21" ca="1">_xlfn.LET(
    _xlpm.puntosPrin, _xlfn._xlws.FILTER(G:G + B:B/1000, A:A=A21),
    _xlpm.puntosPrinValidos, SUM(--(_xlpm.puntosPrin&gt;1)),
    _xlpm.puntosTer, _xlfn._xlws.FILTER(J:J + B:B/1000, A:A=A21),
    _xlpm.puntosTerValidos, SUM(--(_xlpm.puntosTer&gt;1)),
    _xlpm.clave, M21 + B21/1000,
    _xlpm.claves, _xlfn._xlws.FILTER(M:M + B:B/1000, A:A=A21),
    IF(AND(_xlpm.puntosPrinValidos&gt;=4,_xlpm.puntosTerValidos&gt;=2),IF(
        SUM(--(_xlpm.claves &gt; _xlpm.clave)) &lt; 4,
        C21,
        F21
    ),"No disp")
)</f>
        <v>No disp</v>
      </c>
      <c r="S21" s="14" cm="1">
        <f t="array" aca="1" ref="S21" ca="1">_xlfn.LET(
    _xlpm.ptsPrinBase, _xlfn._xlws.FILTER(G:G, A:A=A21),
    _xlpm.ptsSecBase,  _xlfn._xlws.FILTER(H:H, A:A=A21),
    _xlpm.puntosPrin, _xlpm.ptsPrinBase + _xlfn._xlws.FILTER(B:B, A:A=A21)/1000,
    _xlpm.puntosSec,  _xlpm.ptsSecBase  + _xlfn._xlws.FILTER(B:B, A:A=A21)/1000,
    _xlpm.puntosPrinValidos, SUM(--(_xlpm.ptsPrinBase&gt;0)),
    _xlpm.puntosSecValidos,  SUM(--(_xlpm.ptsSecBase&gt;0)),
    _xlpm.clave, K21 + B21/1000,
    _xlpm.claves, _xlfn._xlws.FILTER(K:K + B:B/1000, A:A=A21),
    IF(
        AND(_xlpm.puntosPrinValidos&gt;=2, _xlpm.puntosSecValidos&gt;=4),
        IF(
            SUM(--(_xlpm.claves &lt; _xlpm.clave)) &lt; 4,
            D21,
            C21
        ),
        "No disp"
    )
)</f>
        <v>109</v>
      </c>
      <c r="T21" s="14" cm="1">
        <f t="array" aca="1" ref="T21" ca="1">_xlfn.LET(
    _xlpm.puntosSec, _xlfn._xlws.FILTER(H:H + B:B/1000, A:A=A21),
    _xlpm.puntosSecValidos, SUM(--(_xlpm.puntosSec&gt;1)),
    _xlpm.puntosAlt, _xlfn._xlws.FILTER(I:I + B:B/1000, A:A=A21),
    _xlpm.puntosAltValidos, SUM(--(_xlpm.puntosAlt&gt;1)),
    _xlpm.clave, N21 + B21/1000,
    _xlpm.claves, _xlfn._xlws.FILTER(N:N + B:B/1000, A:A=A21),
    IF(AND(_xlpm.puntosSecValidos&gt;=4,_xlpm.puntosAltValidos&gt;=2),IF(
        SUM(--(_xlpm.claves &gt; _xlpm.clave)) &lt; 4,
        D21,
        E21
    ),"No disp")
)</f>
        <v>109</v>
      </c>
      <c r="U21" s="14" t="str" cm="1">
        <f t="array" aca="1" ref="U21" ca="1">_xlfn.LET(
    _xlpm.puntosSec, _xlfn._xlws.FILTER(H:H + B:B/1000, A:A=A21),
    _xlpm.puntosSecValidos, SUM(--(_xlpm.puntosSec&gt;1)),
    _xlpm.puntosAlt, _xlfn._xlws.FILTER(J:J + B:B/1000, A:A=A21),
    _xlpm.puntosAltValidos, SUM(--(_xlpm.puntosAlt&gt;1)),
    _xlpm.clave, O21 + B21/1000,
    _xlpm.claves, _xlfn._xlws.FILTER(O:O + B:B/1000, A:A=A21),
    IF(AND(_xlpm.puntosSecValidos&gt;=4,_xlpm.puntosAltValidos&gt;=2),IF(
        SUM(--(_xlpm.claves &gt; _xlpm.clave)) &lt; 4,
        D21,
        F21
    ),"No disp")
)</f>
        <v>No disp</v>
      </c>
      <c r="V21" s="4" cm="1">
        <f t="array" aca="1" ref="V21" ca="1">_xlfn.LET(
_xlpm.PrinIDs,_xlfn._xlws.FILTER(C:C,(A:A=A21)),
_xlpm.SecIDs,_xlfn._xlws.FILTER(D:D,(A:A=A21)),
_xlpm.TerIDs,_xlfn._xlws.FILTER(E:E,A:A=A21),
_xlpm.CuaIDs,_xlfn._xlws.FILTER(F:F,(A:A=A21)),
_xlpm.PrinPts,_xlfn._xlws.FILTER(G:G,(A:A=A21)),
_xlpm.SecPts,_xlfn._xlws.FILTER(H:H,(A:A=A21)),
_xlpm.TerPts,_xlfn._xlws.FILTER(I:I,(A:A=A21)),
_xlpm.CuaPts,_xlfn._xlws.FILTER(J:J,(A:A=A21)),
_xlpm.PSIds,_xlfn._xlws.FILTER(P:P,A:A=A21),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526.68000000000006</v>
      </c>
      <c r="W21" s="4" cm="1">
        <f t="array" aca="1" ref="W21" ca="1">_xlfn.LET(
_xlpm.PrinIDs,_xlfn._xlws.FILTER(C:C,(A:A=A21)),
_xlpm.SecIDs,_xlfn._xlws.FILTER(D:D,(A:A=A21)),
_xlpm.TerIDs,_xlfn._xlws.FILTER(E:E,A:A=A21),
_xlpm.CuaIDs,_xlfn._xlws.FILTER(F:F,(A:A=A21)),
_xlpm.PrinPts,_xlfn._xlws.FILTER(G:G,(A:A=A21)),
_xlpm.SecPts,_xlfn._xlws.FILTER(H:H,(A:A=A21)),
_xlpm.TerPts,_xlfn._xlws.FILTER(I:I,(A:A=A21)),
_xlpm.CuaPts,_xlfn._xlws.FILTER(J:J,(A:A=A21)),
_xlpm.PTIds,_xlfn._xlws.FILTER(Q:Q,A:A=A21),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563.04000000000008</v>
      </c>
      <c r="X21" s="4" cm="1">
        <f t="array" aca="1" ref="X21" ca="1">_xlfn.LET(
_xlpm.PrinIDs,_xlfn._xlws.FILTER(C:C,(A:A=A21)),
_xlpm.SecIDs,_xlfn._xlws.FILTER(D:D,(A:A=A21)),
_xlpm.TerIDs,_xlfn._xlws.FILTER(E:E,A:A=A21),
_xlpm.CuaIDs,_xlfn._xlws.FILTER(F:F,(A:A=A21)),
_xlpm.PrinPts,_xlfn._xlws.FILTER(G:G,(A:A=A21)),
_xlpm.SecPts,_xlfn._xlws.FILTER(H:H,(A:A=A21)),
_xlpm.TerPts,_xlfn._xlws.FILTER(I:I,(A:A=A21)),
_xlpm.CuaPts,_xlfn._xlws.FILTER(J:J,(A:A=A21)),
_xlpm.PCIds,_xlfn._xlws.FILTER(R:R,A:A=A21),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21" s="4" cm="1">
        <f t="array" aca="1" ref="Y21" ca="1">_xlfn.LET(
_xlpm.PrinIDs,_xlfn._xlws.FILTER(C:C,(A:A=A21)),
_xlpm.SecIDs,_xlfn._xlws.FILTER(D:D,(A:A=A21)),
_xlpm.AltIDs,_xlfn._xlws.FILTER(E:E,A:A=A21),
_xlpm.PrinPts,_xlfn._xlws.FILTER(G:G,(A:A=A21)),
_xlpm.SecPts,_xlfn._xlws.FILTER(H:H,(A:A=A21)),
_xlpm.AltPts,_xlfn._xlws.FILTER(I:I,(A:A=A21)),
_xlpm.SPIds,_xlfn._xlws.FILTER(S:S,A:A=A21),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485.1</v>
      </c>
      <c r="Z21" s="4" cm="1">
        <f t="array" aca="1" ref="Z21" ca="1">_xlfn.LET(
_xlpm.PrinIDs,_xlfn._xlws.FILTER(C:C,(A:A=A21)),
_xlpm.SecIDs,_xlfn._xlws.FILTER(D:D,(A:A=A21)),
_xlpm.TerIDs,_xlfn._xlws.FILTER(E:E,A:A=A21),
_xlpm.CuaIDs,_xlfn._xlws.FILTER(F:F,(A:A=A21)),
_xlpm.PrinPts,_xlfn._xlws.FILTER(G:G,(A:A=A21)),
_xlpm.SecPts,_xlfn._xlws.FILTER(H:H,(A:A=A21)),
_xlpm.TerPts,_xlfn._xlws.FILTER(I:I,(A:A=A21)),
_xlpm.CuaPts,_xlfn._xlws.FILTER(J:J,(A:A=A21)),
_xlpm.STIds,_xlfn._xlws.FILTER(T:T,A:A=A21),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494.28000000000003</v>
      </c>
      <c r="AA21" s="4" cm="1">
        <f t="array" aca="1" ref="AA21" ca="1">_xlfn.LET(
_xlpm.PrinIDs,_xlfn._xlws.FILTER(C:C,(A:A=A21)),
_xlpm.SecIDs,_xlfn._xlws.FILTER(D:D,(A:A=A21)),
_xlpm.TerIDs,_xlfn._xlws.FILTER(E:E,A:A=A21),
_xlpm.CuaIDs,_xlfn._xlws.FILTER(F:F,(A:A=A21)),
_xlpm.PrinPts,_xlfn._xlws.FILTER(G:G,(A:A=A21)),
_xlpm.SecPts,_xlfn._xlws.FILTER(H:H,(A:A=A21)),
_xlpm.TerPts,_xlfn._xlws.FILTER(I:I,(A:A=A21)),
_xlpm.CuaPts,_xlfn._xlws.FILTER(J:J,(A:A=A21)),
_xlpm.SCIds,_xlfn._xlws.FILTER(U:U,A:A=A21),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21" s="14">
        <f t="shared" ca="1" si="3"/>
        <v>97</v>
      </c>
      <c r="AC21" s="14">
        <v>97</v>
      </c>
      <c r="AD21" s="4"/>
      <c r="AE21" s="14" t="str">
        <f ca="1">IF(ISNUMBER(AC21),
IF($B21=1,VLOOKUP($AC21,Inventario1!$A:$H,2),
IF($B21=2,VLOOKUP($AC21,Inventario2!$A:$H,2),
IF($B21=3,VLOOKUP($AC21,Inventario3!$A:$H,2),
IF($B21=4,VLOOKUP($AC21,Inventario4!$A:$H,2),
IF($B21=5,VLOOKUP($AC21,Inventario5!$A:$H,2),
VLOOKUP($AC21,Inventario6!$A:$H,2)
))))),"No equipado")</f>
        <v>Épico</v>
      </c>
      <c r="AF21" s="14" t="str">
        <f ca="1">IF(ISNUMBER(AC21),
IF($B21=1,VLOOKUP($AC21,Inventario1!$A:$H,3),
IF($B21=2,VLOOKUP($AC21,Inventario2!$A:$H,3),
IF($B21=3,VLOOKUP($AC21,Inventario3!$A:$H,3),
IF($B21=4,VLOOKUP($AC21,Inventario4!$A:$H,3),
IF($B21=5,VLOOKUP($AC21,Inventario5!$A:$H,3),
VLOOKUP($AC21,Inventario6!$A:$H,3)
))))),"")</f>
        <v>Finta de colocador</v>
      </c>
      <c r="AG21" s="14" t="str">
        <f ca="1">IF(ISNUMBER(AC21),
IF($B21=1,VLOOKUP($AC21,Inventario1!$A:$H,4),
IF($B21=2,VLOOKUP($AC21,Inventario2!$A:$H,4),
IF($B21=3,VLOOKUP($AC21,Inventario3!$A:$H,4),
IF($B21=4,VLOOKUP($AC21,Inventario4!$A:$H,4),
IF($B21=5,VLOOKUP($AC21,Inventario5!$A:$H,4),
VLOOKUP($AC21,Inventario6!$A:$H,4)
))))),"")</f>
        <v>Percepción</v>
      </c>
      <c r="AH21" s="14" t="str">
        <f ca="1">IF(ISNUMBER(AC21),
IF($B21=1,VLOOKUP($AC21,Inventario1!$A:$H,5),
IF($B21=2,VLOOKUP($AC21,Inventario2!$A:$H,5),
IF($B21=3,VLOOKUP($AC21,Inventario3!$A:$H,5),
IF($B21=4,VLOOKUP($AC21,Inventario4!$A:$H,5),
IF($B21=5,VLOOKUP($AC21,Inventario5!$A:$H,5),
VLOOKUP($AC21,Inventario6!$A:$H,5)
))))),"")</f>
        <v>Colocación</v>
      </c>
      <c r="AI21" s="14" t="str">
        <f ca="1">IF(ISNUMBER(AC21),
IF($B21=1,VLOOKUP($AC21,Inventario1!$A:$H,6),
IF($B21=2,VLOOKUP($AC21,Inventario2!$A:$H,6),
IF($B21=3,VLOOKUP($AC21,Inventario3!$A:$H,6),
IF($B21=4,VLOOKUP($AC21,Inventario4!$A:$H,6),
IF($B21=5,VLOOKUP($AC21,Inventario5!$A:$H,6),
VLOOKUP($AC21,Inventario6!$A:$H,6)
))))),"")</f>
        <v>Saque</v>
      </c>
      <c r="AJ21" s="14" t="str">
        <f ca="1">IF(ISNUMBER(AC21),
IF($B21=1,VLOOKUP($AC21,Inventario1!$A:$H,7),
IF($B21=2,VLOOKUP($AC21,Inventario2!$A:$H,7),
IF($B21=3,VLOOKUP($AC21,Inventario3!$A:$H,7),
IF($B21=4,VLOOKUP($AC21,Inventario4!$A:$H,7),
IF($B21=5,VLOOKUP($AC21,Inventario5!$A:$H,7),
VLOOKUP($AC21,Inventario6!$A:$H,7)
))))),"")</f>
        <v>Colocación</v>
      </c>
      <c r="AK21" s="15">
        <f ca="1">IF(ISNUMBER(AC21),
IF($B21=1,VLOOKUP($AC21,Inventario1!$A:$H,8),
IF($B21=2,VLOOKUP($AC21,Inventario2!$A:$H,8),
IF($B21=3,VLOOKUP($AC21,Inventario3!$A:$H,8),
IF($B21=4,VLOOKUP($AC21,Inventario4!$A:$H,8),
IF($B21=5,VLOOKUP($AC21,Inventario5!$A:$H,8),
VLOOKUP($AC21,Inventario6!$A:$H,8)
))))),"")</f>
        <v>0</v>
      </c>
    </row>
    <row r="22" spans="1:37" x14ac:dyDescent="0.25">
      <c r="A22" s="21" t="s">
        <v>11</v>
      </c>
      <c r="B22" s="3">
        <v>3</v>
      </c>
      <c r="C22" s="14" cm="1">
        <f t="array" ref="C22">_xlfn.LET(
    _xlpm.jugador, A22,
    _xlpm.idSel, AC22,
    _xlpm.invIDs, IF(B22=1,Inventario1!A:A,IF(B22=2,Inventario2!A:A,IF(B22=3,Inventario3!A:A,IF(B22=4,Inventario4!A:A,IF(B22=5,Inventario5!A:A,Inventario6!A:A))))),
    _xlpm.invCalidad, IF(B22=1,Inventario1!B:B,IF(B22=2,Inventario2!B:B,IF(B22=3,Inventario3!B:B,IF(B22=4,Inventario4!B:B,IF(B22=5,Inventario5!B:B,Inventario6!B:B))))),
    _xlpm.invTipos, IF(B22=1,Inventario1!C:C,IF(B22=2,Inventario2!C:C,IF(B22=3,Inventario3!C:C,IF(B22=4,Inventario4!C:C,IF(B22=5,Inventario5!C:C,Inventario6!C:C))))),
    _xlpm.invStats, IF(B22=1,Inventario1!D:H,IF(B22=2,Inventario2!D:H,IF(B22=3,Inventario3!D:H,IF(B22=4,Inventario4!D:H,IF(B22=5,Inventario5!D:H,Inventario6!D:H))))),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IF(ROW(A22)=2,"",IF(_xlfn._xlws.FILTER(Equipar!AC$2:AC21,Equipar!B$2:B21=B22)={0},"",_xlfn._xlws.FILTER(Equipar!AC$2:AC21,Equipar!B$2:B21=B22))),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258</v>
      </c>
      <c r="D22" s="4" cm="1">
        <f t="array" ref="D22">_xlfn.LET(
    _xlpm.jugador, A22,
    _xlpm.idSel, AC22,
    _xlpm.invIDs, IF(B22=1,Inventario1!A:A,IF(B22=2,Inventario2!A:A,IF(B22=3,Inventario3!A:A,IF(B22=4,Inventario4!A:A,IF(B22=5,Inventario5!A:A,Inventario6!A:A))))),
    _xlpm.invCalidad, IF(B22=1,Inventario1!B:B,IF(B22=2,Inventario2!B:B,IF(B22=3,Inventario3!B:B,IF(B22=4,Inventario4!B:B,IF(B22=5,Inventario5!B:B,Inventario6!B:B))))),
    _xlpm.invTipos, IF(B22=1,Inventario1!C:C,IF(B22=2,Inventario2!C:C,IF(B22=3,Inventario3!C:C,IF(B22=4,Inventario4!C:C,IF(B22=5,Inventario5!C:C,Inventario6!C:C))))),
    _xlpm.invStats, IF(B22=1,Inventario1!D:H,IF(B22=2,Inventario2!D:H,IF(B22=3,Inventario3!D:H,IF(B22=4,Inventario4!D:H,IF(B22=5,Inventario5!D:H,Inventario6!D:H))))),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IF(ROW(A22)=2,"",IF(_xlfn._xlws.FILTER(Equipar!AC$2:AC21,Equipar!B$2:B21=B22)={0},"",_xlfn._xlws.FILTER(Equipar!AC$2:AC21,Equipar!B$2:B21=B22))),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67</v>
      </c>
      <c r="E22" s="4" cm="1">
        <f t="array" aca="1" ref="E22" ca="1">_xlfn.LET(
    _xlpm.jugador, A22,
    _xlpm.idSel, AC22,
    _xlpm.invIDs, IF(B22=1,Inventario1!A:A,IF(B22=2,Inventario2!A:A,IF(B22=3,Inventario3!A:A,IF(B22=4,Inventario4!A:A,IF(B22=5,Inventario5!A:A,Inventario6!A:A))))),
    _xlpm.invCalidad, IF(B22=1,Inventario1!B:B,IF(B22=2,Inventario2!B:B,IF(B22=3,Inventario3!B:B,IF(B22=4,Inventario4!B:B,IF(B22=5,Inventario5!B:B,Inventario6!B:B))))),
    _xlpm.invTipos, IF(B22=1,Inventario1!C:C,IF(B22=2,Inventario2!C:C,IF(B22=3,Inventario3!C:C,IF(B22=4,Inventario4!C:C,IF(B22=5,Inventario5!C:C,Inventario6!C:C))))),
    _xlpm.invStats, IF(B22=1,Inventario1!D:H,IF(B22=2,Inventario2!D:H,IF(B22=3,Inventario3!D:H,IF(B22=4,Inventario4!D:H,IF(B22=5,Inventario5!D:H,Inventario6!D:H))))),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IF(ROW(A22)=2,"",IF(_xlfn._xlws.FILTER(Equipar!AC$2:AC21,Equipar!B$2:B21=B22)={0},"",_xlfn._xlws.FILTER(Equipar!AC$2:AC21,Equipar!B$2:B21=B22))),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266</v>
      </c>
      <c r="F22" s="4" t="str" cm="1">
        <f t="array" aca="1" ref="F22" ca="1">_xlfn.LET(
    _xlpm.jugador, B22,
    _xlpm.idSel, AD22,
    _xlpm.invIDs, IF(C22=1,Inventario1!B:B,IF(C22=2,Inventario2!B:B,IF(C22=3,Inventario3!B:B,IF(C22=4,Inventario4!B:B,IF(C22=5,Inventario5!B:B,Inventario6!B:B))))),
    _xlpm.invCalidad, IF(C22=1,Inventario1!C:C,IF(C22=2,Inventario2!C:C,IF(C22=3,Inventario3!C:C,IF(C22=4,Inventario4!C:C,IF(C22=5,Inventario5!C:C,Inventario6!C:C))))),
    _xlpm.invTipos, IF(C22=1,Inventario1!D:D,IF(C22=2,Inventario2!D:D,IF(C22=3,Inventario3!D:D,IF(C22=4,Inventario4!D:D,IF(C22=5,Inventario5!D:D,Inventario6!D:D))))),
    _xlpm.invStats, IF(C22=1,Inventario1!E:I,IF(C22=2,Inventario2!E:I,IF(C22=3,Inventario3!E:I,IF(C22=4,Inventario4!E:I,IF(C22=5,Inventario5!E:I,Inventario6!E:I))))),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IF(ROW(B22)=2,"",IF(_xlfn._xlws.FILTER(Equipar!AD$2:AD21,Equipar!C$2:C21=C22)={0},"",_xlfn._xlws.FILTER(Equipar!AD$2:AD21,Equipar!C$2:C21=C22))),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22" s="14" cm="1">
        <f t="array" ref="G22">_xlfn.LET(
    _xlpm.jugador, A22,
    _xlpm.idSel, AC22,
    _xlpm.invIDs, IF(B22=1,Inventario1!A:A,IF(B22=2,Inventario2!A:A,IF(B22=3,Inventario3!A:A,IF(B22=4,Inventario4!A:A,IF(B22=5,Inventario5!A:A,Inventario6!A:A))))),
    _xlpm.invCalidad, IF(B22=1,Inventario1!B:B,IF(B22=2,Inventario2!B:B,IF(B22=3,Inventario3!B:B,IF(B22=4,Inventario4!B:B,IF(B22=5,Inventario5!B:B,Inventario6!B:B))))),
    _xlpm.invTipos, IF(B22=1,Inventario1!C:C,IF(B22=2,Inventario2!C:C,IF(B22=3,Inventario3!C:C,IF(B22=4,Inventario4!C:C,IF(B22=5,Inventario5!C:C,Inventario6!C:C))))),
    _xlpm.invStats, IF(B22=1,Inventario1!D:H,IF(B22=2,Inventario2!D:H,IF(B22=3,Inventario3!D:H,IF(B22=4,Inventario4!D:H,IF(B22=5,Inventario5!D:H,Inventario6!D:H))))),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IF(ROW(A22)=2,"",IF(_xlfn._xlws.FILTER(Equipar!AC$2:AC21,Equipar!B$2:B21=B22)={0},"",_xlfn._xlws.FILTER(Equipar!AC$2:AC21,Equipar!B$2:B21=B22))),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H22" s="4" cm="1">
        <f t="array" ref="H22">_xlfn.LET(
    _xlpm.jugador, A22,
    _xlpm.idSel, AC22,
    _xlpm.invIDs, IF(B22=1,Inventario1!A:A,IF(B22=2,Inventario2!A:A,IF(B22=3,Inventario3!A:A,IF(B22=4,Inventario4!A:A,IF(B22=5,Inventario5!A:A,Inventario6!A:A))))),
    _xlpm.invCalidad, IF(B22=1,Inventario1!B:B,IF(B22=2,Inventario2!B:B,IF(B22=3,Inventario3!B:B,IF(B22=4,Inventario4!B:B,IF(B22=5,Inventario5!B:B,Inventario6!B:B))))),
    _xlpm.invTipos, IF(B22=1,Inventario1!C:C,IF(B22=2,Inventario2!C:C,IF(B22=3,Inventario3!C:C,IF(B22=4,Inventario4!C:C,IF(B22=5,Inventario5!C:C,Inventario6!C:C))))),
    _xlpm.invStats, IF(B22=1,Inventario1!D:H,IF(B22=2,Inventario2!D:H,IF(B22=3,Inventario3!D:H,IF(B22=4,Inventario4!D:H,IF(B22=5,Inventario5!D:H,Inventario6!D:H))))),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IF(ROW(A22)=2,"",IF(_xlfn._xlws.FILTER(Equipar!AC$2:AC21,Equipar!B$2:B21=B22)={0},"",_xlfn._xlws.FILTER(Equipar!AC$2:AC21,Equipar!B$2:B21=B22))),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I22" s="4" cm="1">
        <f t="array" aca="1" ref="I22" ca="1">_xlfn.LET(
    _xlpm.jugador, A22,
    _xlpm.idSel, AC22,
    _xlpm.invIDs, IF(B22=1,Inventario1!A:A,IF(B22=2,Inventario2!A:A,IF(B22=3,Inventario3!A:A,IF(B22=4,Inventario4!A:A,IF(B22=5,Inventario5!A:A,Inventario6!A:A))))),
    _xlpm.invCalidad, IF(B22=1,Inventario1!B:B,IF(B22=2,Inventario2!B:B,IF(B22=3,Inventario3!B:B,IF(B22=4,Inventario4!B:B,IF(B22=5,Inventario5!B:B,Inventario6!B:B))))),
    _xlpm.invTipos, IF(B22=1,Inventario1!C:C,IF(B22=2,Inventario2!C:C,IF(B22=3,Inventario3!C:C,IF(B22=4,Inventario4!C:C,IF(B22=5,Inventario5!C:C,Inventario6!C:C))))),
    _xlpm.invStats, IF(B22=1,Inventario1!D:H,IF(B22=2,Inventario2!D:H,IF(B22=3,Inventario3!D:H,IF(B22=4,Inventario4!D:H,IF(B22=5,Inventario5!D:H,Inventario6!D:H))))),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IF(ROW(A22)=2,"",IF(_xlfn._xlws.FILTER(Equipar!AC$2:AC21,Equipar!B$2:B21=B22)={0},"",_xlfn._xlws.FILTER(Equipar!AC$2:AC21,Equipar!B$2:B21=B22))),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J22" s="4" cm="1">
        <f t="array" aca="1" ref="J22" ca="1">_xlfn.LET(
    _xlpm.jugador, B22,
    _xlpm.idSel, AD22,
    _xlpm.invIDs, IF(C22=1,Inventario1!B:B,IF(C22=2,Inventario2!B:B,IF(C22=3,Inventario3!B:B,IF(C22=4,Inventario4!B:B,IF(C22=5,Inventario5!B:B,Inventario6!B:B))))),
    _xlpm.invCalidad, IF(C22=1,Inventario1!C:C,IF(C22=2,Inventario2!C:C,IF(C22=3,Inventario3!C:C,IF(C22=4,Inventario4!C:C,IF(C22=5,Inventario5!C:C,Inventario6!C:C))))),
    _xlpm.invTipos, IF(C22=1,Inventario1!D:D,IF(C22=2,Inventario2!D:D,IF(C22=3,Inventario3!D:D,IF(C22=4,Inventario4!D:D,IF(C22=5,Inventario5!D:D,Inventario6!D:D))))),
    _xlpm.invStats, IF(C22=1,Inventario1!E:I,IF(C22=2,Inventario2!E:I,IF(C22=3,Inventario3!E:I,IF(C22=4,Inventario4!E:I,IF(C22=5,Inventario5!E:I,Inventario6!E:I))))),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IF(ROW(B22)=2,"",IF(_xlfn._xlws.FILTER(Equipar!AD$2:AD21,Equipar!C$2:C21=C22)={0},"",_xlfn._xlws.FILTER(Equipar!AD$2:AD21,Equipar!C$2:C21=C22))),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22" s="4">
        <f t="shared" si="0"/>
        <v>26.730000000000004</v>
      </c>
      <c r="L22" s="4">
        <f t="shared" ca="1" si="1"/>
        <v>11.969999999999999</v>
      </c>
      <c r="M22" s="4">
        <f t="shared" ca="1" si="1"/>
        <v>81</v>
      </c>
      <c r="N22" s="4">
        <f t="shared" ca="1" si="2"/>
        <v>-14.760000000000005</v>
      </c>
      <c r="O22" s="4">
        <f t="shared" ca="1" si="2"/>
        <v>95.76</v>
      </c>
      <c r="P22" s="14" cm="1">
        <f t="array" aca="1" ref="P22" ca="1">_xlfn.LET(
    _xlpm.ptsPrinBase, _xlfn._xlws.FILTER(G:G, A:A=A22),
    _xlpm.ptsSecBase,  _xlfn._xlws.FILTER(H:H, A:A=A22),
    _xlpm.puntosPrin, _xlpm.ptsPrinBase + _xlfn._xlws.FILTER(B:B, A:A=A22)/1000,
    _xlpm.puntosSec,  _xlpm.ptsSecBase  + _xlfn._xlws.FILTER(B:B, A:A=A22)/1000,
    _xlpm.puntosPrinValidos, SUM(--(_xlpm.ptsPrinBase&gt;0)),
    _xlpm.puntosSecValidos,  SUM(--(_xlpm.ptsSecBase&gt;0)),
    _xlpm.clave, K22 + B22/1000,
    _xlpm.claves, _xlfn._xlws.FILTER(K:K + B:B/1000, A:A=A22),
    IF(AND(_xlpm.puntosPrinValidos&gt;=4,_xlpm.puntosSecValidos&gt;=2),IF(
        SUM(--(_xlpm.claves &gt; _xlpm.clave)) &lt; 4,
        C22,
        D22
    ),"No disp")
)</f>
        <v>258</v>
      </c>
      <c r="Q22" s="14" cm="1">
        <f t="array" aca="1" ref="Q22" ca="1">_xlfn.LET(
    _xlpm.puntosPrin, _xlfn._xlws.FILTER(G:G + B:B/1000, A:A=A22),
    _xlpm.puntosPrinValidos, SUM(--(_xlpm.puntosPrin&gt;1)),
    _xlpm.puntosTer, _xlfn._xlws.FILTER(I:I + B:B/1000, A:A=A22),
    _xlpm.puntosTerValidos, SUM(--(_xlpm.puntosTer&gt;1)),
    _xlpm.clave, L22 + B22/1000,
    _xlpm.claves, _xlfn._xlws.FILTER(L:L + B:B/1000, A:A=A22),
    IF(AND(_xlpm.puntosPrinValidos&gt;=4,_xlpm.puntosTerValidos&gt;=2),IF(
        SUM(--(_xlpm.claves &gt; _xlpm.clave)) &lt; 4,
        C22,
        E22
    ),"No disp")
)</f>
        <v>258</v>
      </c>
      <c r="R22" s="14" t="str" cm="1">
        <f t="array" aca="1" ref="R22" ca="1">_xlfn.LET(
    _xlpm.puntosPrin, _xlfn._xlws.FILTER(G:G + B:B/1000, A:A=A22),
    _xlpm.puntosPrinValidos, SUM(--(_xlpm.puntosPrin&gt;1)),
    _xlpm.puntosTer, _xlfn._xlws.FILTER(J:J + B:B/1000, A:A=A22),
    _xlpm.puntosTerValidos, SUM(--(_xlpm.puntosTer&gt;1)),
    _xlpm.clave, M22 + B22/1000,
    _xlpm.claves, _xlfn._xlws.FILTER(M:M + B:B/1000, A:A=A22),
    IF(AND(_xlpm.puntosPrinValidos&gt;=4,_xlpm.puntosTerValidos&gt;=2),IF(
        SUM(--(_xlpm.claves &gt; _xlpm.clave)) &lt; 4,
        C22,
        F22
    ),"No disp")
)</f>
        <v>No disp</v>
      </c>
      <c r="S22" s="14" cm="1">
        <f t="array" aca="1" ref="S22" ca="1">_xlfn.LET(
    _xlpm.ptsPrinBase, _xlfn._xlws.FILTER(G:G, A:A=A22),
    _xlpm.ptsSecBase,  _xlfn._xlws.FILTER(H:H, A:A=A22),
    _xlpm.puntosPrin, _xlpm.ptsPrinBase + _xlfn._xlws.FILTER(B:B, A:A=A22)/1000,
    _xlpm.puntosSec,  _xlpm.ptsSecBase  + _xlfn._xlws.FILTER(B:B, A:A=A22)/1000,
    _xlpm.puntosPrinValidos, SUM(--(_xlpm.ptsPrinBase&gt;0)),
    _xlpm.puntosSecValidos,  SUM(--(_xlpm.ptsSecBase&gt;0)),
    _xlpm.clave, K22 + B22/1000,
    _xlpm.claves, _xlfn._xlws.FILTER(K:K + B:B/1000, A:A=A22),
    IF(
        AND(_xlpm.puntosPrinValidos&gt;=2, _xlpm.puntosSecValidos&gt;=4),
        IF(
            SUM(--(_xlpm.claves &lt; _xlpm.clave)) &lt; 4,
            D22,
            C22
        ),
        "No disp"
    )
)</f>
        <v>258</v>
      </c>
      <c r="T22" s="14" cm="1">
        <f t="array" aca="1" ref="T22" ca="1">_xlfn.LET(
    _xlpm.puntosSec, _xlfn._xlws.FILTER(H:H + B:B/1000, A:A=A22),
    _xlpm.puntosSecValidos, SUM(--(_xlpm.puntosSec&gt;1)),
    _xlpm.puntosAlt, _xlfn._xlws.FILTER(I:I + B:B/1000, A:A=A22),
    _xlpm.puntosAltValidos, SUM(--(_xlpm.puntosAlt&gt;1)),
    _xlpm.clave, N22 + B22/1000,
    _xlpm.claves, _xlfn._xlws.FILTER(N:N + B:B/1000, A:A=A22),
    IF(AND(_xlpm.puntosSecValidos&gt;=4,_xlpm.puntosAltValidos&gt;=2),IF(
        SUM(--(_xlpm.claves &gt; _xlpm.clave)) &lt; 4,
        D22,
        E22
    ),"No disp")
)</f>
        <v>67</v>
      </c>
      <c r="U22" s="14" t="str" cm="1">
        <f t="array" aca="1" ref="U22" ca="1">_xlfn.LET(
    _xlpm.puntosSec, _xlfn._xlws.FILTER(H:H + B:B/1000, A:A=A22),
    _xlpm.puntosSecValidos, SUM(--(_xlpm.puntosSec&gt;1)),
    _xlpm.puntosAlt, _xlfn._xlws.FILTER(J:J + B:B/1000, A:A=A22),
    _xlpm.puntosAltValidos, SUM(--(_xlpm.puntosAlt&gt;1)),
    _xlpm.clave, O22 + B22/1000,
    _xlpm.claves, _xlfn._xlws.FILTER(O:O + B:B/1000, A:A=A22),
    IF(AND(_xlpm.puntosSecValidos&gt;=4,_xlpm.puntosAltValidos&gt;=2),IF(
        SUM(--(_xlpm.claves &gt; _xlpm.clave)) &lt; 4,
        D22,
        F22
    ),"No disp")
)</f>
        <v>No disp</v>
      </c>
      <c r="V22" s="4" cm="1">
        <f t="array" aca="1" ref="V22" ca="1">_xlfn.LET(
_xlpm.PrinIDs,_xlfn._xlws.FILTER(C:C,(A:A=A22)),
_xlpm.SecIDs,_xlfn._xlws.FILTER(D:D,(A:A=A22)),
_xlpm.TerIDs,_xlfn._xlws.FILTER(E:E,A:A=A22),
_xlpm.CuaIDs,_xlfn._xlws.FILTER(F:F,(A:A=A22)),
_xlpm.PrinPts,_xlfn._xlws.FILTER(G:G,(A:A=A22)),
_xlpm.SecPts,_xlfn._xlws.FILTER(H:H,(A:A=A22)),
_xlpm.TerPts,_xlfn._xlws.FILTER(I:I,(A:A=A22)),
_xlpm.CuaPts,_xlfn._xlws.FILTER(J:J,(A:A=A22)),
_xlpm.PSIds,_xlfn._xlws.FILTER(P:P,A:A=A22),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526.68000000000006</v>
      </c>
      <c r="W22" s="4" cm="1">
        <f t="array" aca="1" ref="W22" ca="1">_xlfn.LET(
_xlpm.PrinIDs,_xlfn._xlws.FILTER(C:C,(A:A=A22)),
_xlpm.SecIDs,_xlfn._xlws.FILTER(D:D,(A:A=A22)),
_xlpm.TerIDs,_xlfn._xlws.FILTER(E:E,A:A=A22),
_xlpm.CuaIDs,_xlfn._xlws.FILTER(F:F,(A:A=A22)),
_xlpm.PrinPts,_xlfn._xlws.FILTER(G:G,(A:A=A22)),
_xlpm.SecPts,_xlfn._xlws.FILTER(H:H,(A:A=A22)),
_xlpm.TerPts,_xlfn._xlws.FILTER(I:I,(A:A=A22)),
_xlpm.CuaPts,_xlfn._xlws.FILTER(J:J,(A:A=A22)),
_xlpm.PTIds,_xlfn._xlws.FILTER(Q:Q,A:A=A22),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563.04000000000008</v>
      </c>
      <c r="X22" s="4" cm="1">
        <f t="array" aca="1" ref="X22" ca="1">_xlfn.LET(
_xlpm.PrinIDs,_xlfn._xlws.FILTER(C:C,(A:A=A22)),
_xlpm.SecIDs,_xlfn._xlws.FILTER(D:D,(A:A=A22)),
_xlpm.TerIDs,_xlfn._xlws.FILTER(E:E,A:A=A22),
_xlpm.CuaIDs,_xlfn._xlws.FILTER(F:F,(A:A=A22)),
_xlpm.PrinPts,_xlfn._xlws.FILTER(G:G,(A:A=A22)),
_xlpm.SecPts,_xlfn._xlws.FILTER(H:H,(A:A=A22)),
_xlpm.TerPts,_xlfn._xlws.FILTER(I:I,(A:A=A22)),
_xlpm.CuaPts,_xlfn._xlws.FILTER(J:J,(A:A=A22)),
_xlpm.PCIds,_xlfn._xlws.FILTER(R:R,A:A=A22),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22" s="4" cm="1">
        <f t="array" aca="1" ref="Y22" ca="1">_xlfn.LET(
_xlpm.PrinIDs,_xlfn._xlws.FILTER(C:C,(A:A=A22)),
_xlpm.SecIDs,_xlfn._xlws.FILTER(D:D,(A:A=A22)),
_xlpm.AltIDs,_xlfn._xlws.FILTER(E:E,A:A=A22),
_xlpm.PrinPts,_xlfn._xlws.FILTER(G:G,(A:A=A22)),
_xlpm.SecPts,_xlfn._xlws.FILTER(H:H,(A:A=A22)),
_xlpm.AltPts,_xlfn._xlws.FILTER(I:I,(A:A=A22)),
_xlpm.SPIds,_xlfn._xlws.FILTER(S:S,A:A=A22),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485.1</v>
      </c>
      <c r="Z22" s="4" cm="1">
        <f t="array" aca="1" ref="Z22" ca="1">_xlfn.LET(
_xlpm.PrinIDs,_xlfn._xlws.FILTER(C:C,(A:A=A22)),
_xlpm.SecIDs,_xlfn._xlws.FILTER(D:D,(A:A=A22)),
_xlpm.TerIDs,_xlfn._xlws.FILTER(E:E,A:A=A22),
_xlpm.CuaIDs,_xlfn._xlws.FILTER(F:F,(A:A=A22)),
_xlpm.PrinPts,_xlfn._xlws.FILTER(G:G,(A:A=A22)),
_xlpm.SecPts,_xlfn._xlws.FILTER(H:H,(A:A=A22)),
_xlpm.TerPts,_xlfn._xlws.FILTER(I:I,(A:A=A22)),
_xlpm.CuaPts,_xlfn._xlws.FILTER(J:J,(A:A=A22)),
_xlpm.STIds,_xlfn._xlws.FILTER(T:T,A:A=A22),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494.28000000000003</v>
      </c>
      <c r="AA22" s="4" cm="1">
        <f t="array" aca="1" ref="AA22" ca="1">_xlfn.LET(
_xlpm.PrinIDs,_xlfn._xlws.FILTER(C:C,(A:A=A22)),
_xlpm.SecIDs,_xlfn._xlws.FILTER(D:D,(A:A=A22)),
_xlpm.TerIDs,_xlfn._xlws.FILTER(E:E,A:A=A22),
_xlpm.CuaIDs,_xlfn._xlws.FILTER(F:F,(A:A=A22)),
_xlpm.PrinPts,_xlfn._xlws.FILTER(G:G,(A:A=A22)),
_xlpm.SecPts,_xlfn._xlws.FILTER(H:H,(A:A=A22)),
_xlpm.TerPts,_xlfn._xlws.FILTER(I:I,(A:A=A22)),
_xlpm.CuaPts,_xlfn._xlws.FILTER(J:J,(A:A=A22)),
_xlpm.SCIds,_xlfn._xlws.FILTER(U:U,A:A=A22),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22" s="14">
        <f t="shared" ca="1" si="3"/>
        <v>258</v>
      </c>
      <c r="AC22" s="14">
        <v>258</v>
      </c>
      <c r="AD22" s="4"/>
      <c r="AE22" s="14" t="str">
        <f ca="1">IF(ISNUMBER(AC22),
IF($B22=1,VLOOKUP($AC22,Inventario1!$A:$H,2),
IF($B22=2,VLOOKUP($AC22,Inventario2!$A:$H,2),
IF($B22=3,VLOOKUP($AC22,Inventario3!$A:$H,2),
IF($B22=4,VLOOKUP($AC22,Inventario4!$A:$H,2),
IF($B22=5,VLOOKUP($AC22,Inventario5!$A:$H,2),
VLOOKUP($AC22,Inventario6!$A:$H,2)
))))),"No equipado")</f>
        <v>Legendario</v>
      </c>
      <c r="AF22" s="14" t="str">
        <f ca="1">IF(ISNUMBER(AC22),
IF($B22=1,VLOOKUP($AC22,Inventario1!$A:$H,3),
IF($B22=2,VLOOKUP($AC22,Inventario2!$A:$H,3),
IF($B22=3,VLOOKUP($AC22,Inventario3!$A:$H,3),
IF($B22=4,VLOOKUP($AC22,Inventario4!$A:$H,3),
IF($B22=5,VLOOKUP($AC22,Inventario5!$A:$H,3),
VLOOKUP($AC22,Inventario6!$A:$H,3)
))))),"")</f>
        <v>Saque preciso</v>
      </c>
      <c r="AG22" s="14" t="str">
        <f ca="1">IF(ISNUMBER(AC22),
IF($B22=1,VLOOKUP($AC22,Inventario1!$A:$H,4),
IF($B22=2,VLOOKUP($AC22,Inventario2!$A:$H,4),
IF($B22=3,VLOOKUP($AC22,Inventario3!$A:$H,4),
IF($B22=4,VLOOKUP($AC22,Inventario4!$A:$H,4),
IF($B22=5,VLOOKUP($AC22,Inventario5!$A:$H,4),
VLOOKUP($AC22,Inventario6!$A:$H,4)
))))),"")</f>
        <v>Saque</v>
      </c>
      <c r="AH22" s="14" t="str">
        <f ca="1">IF(ISNUMBER(AC22),
IF($B22=1,VLOOKUP($AC22,Inventario1!$A:$H,5),
IF($B22=2,VLOOKUP($AC22,Inventario2!$A:$H,5),
IF($B22=3,VLOOKUP($AC22,Inventario3!$A:$H,5),
IF($B22=4,VLOOKUP($AC22,Inventario4!$A:$H,5),
IF($B22=5,VLOOKUP($AC22,Inventario5!$A:$H,5),
VLOOKUP($AC22,Inventario6!$A:$H,5)
))))),"")</f>
        <v>Bloqueo</v>
      </c>
      <c r="AI22" s="14" t="str">
        <f ca="1">IF(ISNUMBER(AC22),
IF($B22=1,VLOOKUP($AC22,Inventario1!$A:$H,6),
IF($B22=2,VLOOKUP($AC22,Inventario2!$A:$H,6),
IF($B22=3,VLOOKUP($AC22,Inventario3!$A:$H,6),
IF($B22=4,VLOOKUP($AC22,Inventario4!$A:$H,6),
IF($B22=5,VLOOKUP($AC22,Inventario5!$A:$H,6),
VLOOKUP($AC22,Inventario6!$A:$H,6)
))))),"")</f>
        <v>Saque</v>
      </c>
      <c r="AJ22" s="14" t="str">
        <f ca="1">IF(ISNUMBER(AC22),
IF($B22=1,VLOOKUP($AC22,Inventario1!$A:$H,7),
IF($B22=2,VLOOKUP($AC22,Inventario2!$A:$H,7),
IF($B22=3,VLOOKUP($AC22,Inventario3!$A:$H,7),
IF($B22=4,VLOOKUP($AC22,Inventario4!$A:$H,7),
IF($B22=5,VLOOKUP($AC22,Inventario5!$A:$H,7),
VLOOKUP($AC22,Inventario6!$A:$H,7)
))))),"")</f>
        <v>Saque</v>
      </c>
      <c r="AK22" s="15">
        <f ca="1">IF(ISNUMBER(AC22),
IF($B22=1,VLOOKUP($AC22,Inventario1!$A:$H,8),
IF($B22=2,VLOOKUP($AC22,Inventario2!$A:$H,8),
IF($B22=3,VLOOKUP($AC22,Inventario3!$A:$H,8),
IF($B22=4,VLOOKUP($AC22,Inventario4!$A:$H,8),
IF($B22=5,VLOOKUP($AC22,Inventario5!$A:$H,8),
VLOOKUP($AC22,Inventario6!$A:$H,8)
))))),"")</f>
        <v>0</v>
      </c>
    </row>
    <row r="23" spans="1:37" x14ac:dyDescent="0.25">
      <c r="A23" s="21" t="s">
        <v>11</v>
      </c>
      <c r="B23" s="3">
        <v>4</v>
      </c>
      <c r="C23" s="14" cm="1">
        <f t="array" aca="1" ref="C23" ca="1">_xlfn.LET(
    _xlpm.jugador, A23,
    _xlpm.idSel, AC23,
    _xlpm.invIDs, IF(B23=1,Inventario1!A:A,IF(B23=2,Inventario2!A:A,IF(B23=3,Inventario3!A:A,IF(B23=4,Inventario4!A:A,IF(B23=5,Inventario5!A:A,Inventario6!A:A))))),
    _xlpm.invCalidad, IF(B23=1,Inventario1!B:B,IF(B23=2,Inventario2!B:B,IF(B23=3,Inventario3!B:B,IF(B23=4,Inventario4!B:B,IF(B23=5,Inventario5!B:B,Inventario6!B:B))))),
    _xlpm.invTipos, IF(B23=1,Inventario1!C:C,IF(B23=2,Inventario2!C:C,IF(B23=3,Inventario3!C:C,IF(B23=4,Inventario4!C:C,IF(B23=5,Inventario5!C:C,Inventario6!C:C))))),
    _xlpm.invStats, IF(B23=1,Inventario1!D:H,IF(B23=2,Inventario2!D:H,IF(B23=3,Inventario3!D:H,IF(B23=4,Inventario4!D:H,IF(B23=5,Inventario5!D:H,Inventario6!D:H))))),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IF(ROW(A23)=2,"",IF(_xlfn._xlws.FILTER(Equipar!AC$2:AC22,Equipar!B$2:B22=B23)={0},"",_xlfn._xlws.FILTER(Equipar!AC$2:AC22,Equipar!B$2:B22=B23))),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29</v>
      </c>
      <c r="D23" s="4" cm="1">
        <f t="array" ref="D23">_xlfn.LET(
    _xlpm.jugador, A23,
    _xlpm.idSel, AC23,
    _xlpm.invIDs, IF(B23=1,Inventario1!A:A,IF(B23=2,Inventario2!A:A,IF(B23=3,Inventario3!A:A,IF(B23=4,Inventario4!A:A,IF(B23=5,Inventario5!A:A,Inventario6!A:A))))),
    _xlpm.invCalidad, IF(B23=1,Inventario1!B:B,IF(B23=2,Inventario2!B:B,IF(B23=3,Inventario3!B:B,IF(B23=4,Inventario4!B:B,IF(B23=5,Inventario5!B:B,Inventario6!B:B))))),
    _xlpm.invTipos, IF(B23=1,Inventario1!C:C,IF(B23=2,Inventario2!C:C,IF(B23=3,Inventario3!C:C,IF(B23=4,Inventario4!C:C,IF(B23=5,Inventario5!C:C,Inventario6!C:C))))),
    _xlpm.invStats, IF(B23=1,Inventario1!D:H,IF(B23=2,Inventario2!D:H,IF(B23=3,Inventario3!D:H,IF(B23=4,Inventario4!D:H,IF(B23=5,Inventario5!D:H,Inventario6!D:H))))),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IF(ROW(A23)=2,"",IF(_xlfn._xlws.FILTER(Equipar!AC$2:AC22,Equipar!B$2:B22=B23)={0},"",_xlfn._xlws.FILTER(Equipar!AC$2:AC22,Equipar!B$2:B22=B23))),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54</v>
      </c>
      <c r="E23" s="4" cm="1">
        <f t="array" aca="1" ref="E23" ca="1">_xlfn.LET(
    _xlpm.jugador, A23,
    _xlpm.idSel, AC23,
    _xlpm.invIDs, IF(B23=1,Inventario1!A:A,IF(B23=2,Inventario2!A:A,IF(B23=3,Inventario3!A:A,IF(B23=4,Inventario4!A:A,IF(B23=5,Inventario5!A:A,Inventario6!A:A))))),
    _xlpm.invCalidad, IF(B23=1,Inventario1!B:B,IF(B23=2,Inventario2!B:B,IF(B23=3,Inventario3!B:B,IF(B23=4,Inventario4!B:B,IF(B23=5,Inventario5!B:B,Inventario6!B:B))))),
    _xlpm.invTipos, IF(B23=1,Inventario1!C:C,IF(B23=2,Inventario2!C:C,IF(B23=3,Inventario3!C:C,IF(B23=4,Inventario4!C:C,IF(B23=5,Inventario5!C:C,Inventario6!C:C))))),
    _xlpm.invStats, IF(B23=1,Inventario1!D:H,IF(B23=2,Inventario2!D:H,IF(B23=3,Inventario3!D:H,IF(B23=4,Inventario4!D:H,IF(B23=5,Inventario5!D:H,Inventario6!D:H))))),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IF(ROW(A23)=2,"",IF(_xlfn._xlws.FILTER(Equipar!AC$2:AC22,Equipar!B$2:B22=B23)={0},"",_xlfn._xlws.FILTER(Equipar!AC$2:AC22,Equipar!B$2:B22=B23))),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229</v>
      </c>
      <c r="F23" s="4" t="str" cm="1">
        <f t="array" aca="1" ref="F23" ca="1">_xlfn.LET(
    _xlpm.jugador, B23,
    _xlpm.idSel, AD23,
    _xlpm.invIDs, IF(C23=1,Inventario1!B:B,IF(C23=2,Inventario2!B:B,IF(C23=3,Inventario3!B:B,IF(C23=4,Inventario4!B:B,IF(C23=5,Inventario5!B:B,Inventario6!B:B))))),
    _xlpm.invCalidad, IF(C23=1,Inventario1!C:C,IF(C23=2,Inventario2!C:C,IF(C23=3,Inventario3!C:C,IF(C23=4,Inventario4!C:C,IF(C23=5,Inventario5!C:C,Inventario6!C:C))))),
    _xlpm.invTipos, IF(C23=1,Inventario1!D:D,IF(C23=2,Inventario2!D:D,IF(C23=3,Inventario3!D:D,IF(C23=4,Inventario4!D:D,IF(C23=5,Inventario5!D:D,Inventario6!D:D))))),
    _xlpm.invStats, IF(C23=1,Inventario1!E:I,IF(C23=2,Inventario2!E:I,IF(C23=3,Inventario3!E:I,IF(C23=4,Inventario4!E:I,IF(C23=5,Inventario5!E:I,Inventario6!E:I))))),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IF(ROW(B23)=2,"",IF(_xlfn._xlws.FILTER(Equipar!AD$2:AD22,Equipar!C$2:C22=C23)={0},"",_xlfn._xlws.FILTER(Equipar!AD$2:AD22,Equipar!C$2:C22=C23))),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23" s="14" cm="1">
        <f t="array" aca="1" ref="G23" ca="1">_xlfn.LET(
    _xlpm.jugador, A23,
    _xlpm.idSel, AC23,
    _xlpm.invIDs, IF(B23=1,Inventario1!A:A,IF(B23=2,Inventario2!A:A,IF(B23=3,Inventario3!A:A,IF(B23=4,Inventario4!A:A,IF(B23=5,Inventario5!A:A,Inventario6!A:A))))),
    _xlpm.invCalidad, IF(B23=1,Inventario1!B:B,IF(B23=2,Inventario2!B:B,IF(B23=3,Inventario3!B:B,IF(B23=4,Inventario4!B:B,IF(B23=5,Inventario5!B:B,Inventario6!B:B))))),
    _xlpm.invTipos, IF(B23=1,Inventario1!C:C,IF(B23=2,Inventario2!C:C,IF(B23=3,Inventario3!C:C,IF(B23=4,Inventario4!C:C,IF(B23=5,Inventario5!C:C,Inventario6!C:C))))),
    _xlpm.invStats, IF(B23=1,Inventario1!D:H,IF(B23=2,Inventario2!D:H,IF(B23=3,Inventario3!D:H,IF(B23=4,Inventario4!D:H,IF(B23=5,Inventario5!D:H,Inventario6!D:H))))),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IF(ROW(A23)=2,"",IF(_xlfn._xlws.FILTER(Equipar!AC$2:AC22,Equipar!B$2:B22=B23)={0},"",_xlfn._xlws.FILTER(Equipar!AC$2:AC22,Equipar!B$2:B22=B23))),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H23" s="4" cm="1">
        <f t="array" ref="H23">_xlfn.LET(
    _xlpm.jugador, A23,
    _xlpm.idSel, AC23,
    _xlpm.invIDs, IF(B23=1,Inventario1!A:A,IF(B23=2,Inventario2!A:A,IF(B23=3,Inventario3!A:A,IF(B23=4,Inventario4!A:A,IF(B23=5,Inventario5!A:A,Inventario6!A:A))))),
    _xlpm.invCalidad, IF(B23=1,Inventario1!B:B,IF(B23=2,Inventario2!B:B,IF(B23=3,Inventario3!B:B,IF(B23=4,Inventario4!B:B,IF(B23=5,Inventario5!B:B,Inventario6!B:B))))),
    _xlpm.invTipos, IF(B23=1,Inventario1!C:C,IF(B23=2,Inventario2!C:C,IF(B23=3,Inventario3!C:C,IF(B23=4,Inventario4!C:C,IF(B23=5,Inventario5!C:C,Inventario6!C:C))))),
    _xlpm.invStats, IF(B23=1,Inventario1!D:H,IF(B23=2,Inventario2!D:H,IF(B23=3,Inventario3!D:H,IF(B23=4,Inventario4!D:H,IF(B23=5,Inventario5!D:H,Inventario6!D:H))))),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IF(ROW(A23)=2,"",IF(_xlfn._xlws.FILTER(Equipar!AC$2:AC22,Equipar!B$2:B22=B23)={0},"",_xlfn._xlws.FILTER(Equipar!AC$2:AC22,Equipar!B$2:B22=B23))),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27</v>
      </c>
      <c r="I23" s="4" cm="1">
        <f t="array" aca="1" ref="I23" ca="1">_xlfn.LET(
    _xlpm.jugador, A23,
    _xlpm.idSel, AC23,
    _xlpm.invIDs, IF(B23=1,Inventario1!A:A,IF(B23=2,Inventario2!A:A,IF(B23=3,Inventario3!A:A,IF(B23=4,Inventario4!A:A,IF(B23=5,Inventario5!A:A,Inventario6!A:A))))),
    _xlpm.invCalidad, IF(B23=1,Inventario1!B:B,IF(B23=2,Inventario2!B:B,IF(B23=3,Inventario3!B:B,IF(B23=4,Inventario4!B:B,IF(B23=5,Inventario5!B:B,Inventario6!B:B))))),
    _xlpm.invTipos, IF(B23=1,Inventario1!C:C,IF(B23=2,Inventario2!C:C,IF(B23=3,Inventario3!C:C,IF(B23=4,Inventario4!C:C,IF(B23=5,Inventario5!C:C,Inventario6!C:C))))),
    _xlpm.invStats, IF(B23=1,Inventario1!D:H,IF(B23=2,Inventario2!D:H,IF(B23=3,Inventario3!D:H,IF(B23=4,Inventario4!D:H,IF(B23=5,Inventario5!D:H,Inventario6!D:H))))),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IF(ROW(A23)=2,"",IF(_xlfn._xlws.FILTER(Equipar!AC$2:AC22,Equipar!B$2:B22=B23)={0},"",_xlfn._xlws.FILTER(Equipar!AC$2:AC22,Equipar!B$2:B22=B23))),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45</v>
      </c>
      <c r="J23" s="4" cm="1">
        <f t="array" aca="1" ref="J23" ca="1">_xlfn.LET(
    _xlpm.jugador, B23,
    _xlpm.idSel, AD23,
    _xlpm.invIDs, IF(C23=1,Inventario1!B:B,IF(C23=2,Inventario2!B:B,IF(C23=3,Inventario3!B:B,IF(C23=4,Inventario4!B:B,IF(C23=5,Inventario5!B:B,Inventario6!B:B))))),
    _xlpm.invCalidad, IF(C23=1,Inventario1!C:C,IF(C23=2,Inventario2!C:C,IF(C23=3,Inventario3!C:C,IF(C23=4,Inventario4!C:C,IF(C23=5,Inventario5!C:C,Inventario6!C:C))))),
    _xlpm.invTipos, IF(C23=1,Inventario1!D:D,IF(C23=2,Inventario2!D:D,IF(C23=3,Inventario3!D:D,IF(C23=4,Inventario4!D:D,IF(C23=5,Inventario5!D:D,Inventario6!D:D))))),
    _xlpm.invStats, IF(C23=1,Inventario1!E:I,IF(C23=2,Inventario2!E:I,IF(C23=3,Inventario3!E:I,IF(C23=4,Inventario4!E:I,IF(C23=5,Inventario5!E:I,Inventario6!E:I))))),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IF(ROW(B23)=2,"",IF(_xlfn._xlws.FILTER(Equipar!AD$2:AD22,Equipar!C$2:C22=C23)={0},"",_xlfn._xlws.FILTER(Equipar!AD$2:AD22,Equipar!C$2:C22=C23))),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23" s="4">
        <f t="shared" ca="1" si="0"/>
        <v>44.820000000000007</v>
      </c>
      <c r="L23" s="4">
        <f t="shared" ca="1" si="1"/>
        <v>26.820000000000007</v>
      </c>
      <c r="M23" s="4">
        <f t="shared" ca="1" si="1"/>
        <v>27</v>
      </c>
      <c r="N23" s="4">
        <f t="shared" ca="1" si="2"/>
        <v>-18</v>
      </c>
      <c r="O23" s="4">
        <f t="shared" ca="1" si="2"/>
        <v>45</v>
      </c>
      <c r="P23" s="14" cm="1">
        <f t="array" aca="1" ref="P23" ca="1">_xlfn.LET(
    _xlpm.ptsPrinBase, _xlfn._xlws.FILTER(G:G, A:A=A23),
    _xlpm.ptsSecBase,  _xlfn._xlws.FILTER(H:H, A:A=A23),
    _xlpm.puntosPrin, _xlpm.ptsPrinBase + _xlfn._xlws.FILTER(B:B, A:A=A23)/1000,
    _xlpm.puntosSec,  _xlpm.ptsSecBase  + _xlfn._xlws.FILTER(B:B, A:A=A23)/1000,
    _xlpm.puntosPrinValidos, SUM(--(_xlpm.ptsPrinBase&gt;0)),
    _xlpm.puntosSecValidos,  SUM(--(_xlpm.ptsSecBase&gt;0)),
    _xlpm.clave, K23 + B23/1000,
    _xlpm.claves, _xlfn._xlws.FILTER(K:K + B:B/1000, A:A=A23),
    IF(AND(_xlpm.puntosPrinValidos&gt;=4,_xlpm.puntosSecValidos&gt;=2),IF(
        SUM(--(_xlpm.claves &gt; _xlpm.clave)) &lt; 4,
        C23,
        D23
    ),"No disp")
)</f>
        <v>29</v>
      </c>
      <c r="Q23" s="14" cm="1">
        <f t="array" aca="1" ref="Q23" ca="1">_xlfn.LET(
    _xlpm.puntosPrin, _xlfn._xlws.FILTER(G:G + B:B/1000, A:A=A23),
    _xlpm.puntosPrinValidos, SUM(--(_xlpm.puntosPrin&gt;1)),
    _xlpm.puntosTer, _xlfn._xlws.FILTER(I:I + B:B/1000, A:A=A23),
    _xlpm.puntosTerValidos, SUM(--(_xlpm.puntosTer&gt;1)),
    _xlpm.clave, L23 + B23/1000,
    _xlpm.claves, _xlfn._xlws.FILTER(L:L + B:B/1000, A:A=A23),
    IF(AND(_xlpm.puntosPrinValidos&gt;=4,_xlpm.puntosTerValidos&gt;=2),IF(
        SUM(--(_xlpm.claves &gt; _xlpm.clave)) &lt; 4,
        C23,
        E23
    ),"No disp")
)</f>
        <v>29</v>
      </c>
      <c r="R23" s="14" t="str" cm="1">
        <f t="array" aca="1" ref="R23" ca="1">_xlfn.LET(
    _xlpm.puntosPrin, _xlfn._xlws.FILTER(G:G + B:B/1000, A:A=A23),
    _xlpm.puntosPrinValidos, SUM(--(_xlpm.puntosPrin&gt;1)),
    _xlpm.puntosTer, _xlfn._xlws.FILTER(J:J + B:B/1000, A:A=A23),
    _xlpm.puntosTerValidos, SUM(--(_xlpm.puntosTer&gt;1)),
    _xlpm.clave, M23 + B23/1000,
    _xlpm.claves, _xlfn._xlws.FILTER(M:M + B:B/1000, A:A=A23),
    IF(AND(_xlpm.puntosPrinValidos&gt;=4,_xlpm.puntosTerValidos&gt;=2),IF(
        SUM(--(_xlpm.claves &gt; _xlpm.clave)) &lt; 4,
        C23,
        F23
    ),"No disp")
)</f>
        <v>No disp</v>
      </c>
      <c r="S23" s="14" cm="1">
        <f t="array" aca="1" ref="S23" ca="1">_xlfn.LET(
    _xlpm.ptsPrinBase, _xlfn._xlws.FILTER(G:G, A:A=A23),
    _xlpm.ptsSecBase,  _xlfn._xlws.FILTER(H:H, A:A=A23),
    _xlpm.puntosPrin, _xlpm.ptsPrinBase + _xlfn._xlws.FILTER(B:B, A:A=A23)/1000,
    _xlpm.puntosSec,  _xlpm.ptsSecBase  + _xlfn._xlws.FILTER(B:B, A:A=A23)/1000,
    _xlpm.puntosPrinValidos, SUM(--(_xlpm.ptsPrinBase&gt;0)),
    _xlpm.puntosSecValidos,  SUM(--(_xlpm.ptsSecBase&gt;0)),
    _xlpm.clave, K23 + B23/1000,
    _xlpm.claves, _xlfn._xlws.FILTER(K:K + B:B/1000, A:A=A23),
    IF(
        AND(_xlpm.puntosPrinValidos&gt;=2, _xlpm.puntosSecValidos&gt;=4),
        IF(
            SUM(--(_xlpm.claves &lt; _xlpm.clave)) &lt; 4,
            D23,
            C23
        ),
        "No disp"
    )
)</f>
        <v>29</v>
      </c>
      <c r="T23" s="14" cm="1">
        <f t="array" aca="1" ref="T23" ca="1">_xlfn.LET(
    _xlpm.puntosSec, _xlfn._xlws.FILTER(H:H + B:B/1000, A:A=A23),
    _xlpm.puntosSecValidos, SUM(--(_xlpm.puntosSec&gt;1)),
    _xlpm.puntosAlt, _xlfn._xlws.FILTER(I:I + B:B/1000, A:A=A23),
    _xlpm.puntosAltValidos, SUM(--(_xlpm.puntosAlt&gt;1)),
    _xlpm.clave, N23 + B23/1000,
    _xlpm.claves, _xlfn._xlws.FILTER(N:N + B:B/1000, A:A=A23),
    IF(AND(_xlpm.puntosSecValidos&gt;=4,_xlpm.puntosAltValidos&gt;=2),IF(
        SUM(--(_xlpm.claves &gt; _xlpm.clave)) &lt; 4,
        D23,
        E23
    ),"No disp")
)</f>
        <v>54</v>
      </c>
      <c r="U23" s="14" t="str" cm="1">
        <f t="array" aca="1" ref="U23" ca="1">_xlfn.LET(
    _xlpm.puntosSec, _xlfn._xlws.FILTER(H:H + B:B/1000, A:A=A23),
    _xlpm.puntosSecValidos, SUM(--(_xlpm.puntosSec&gt;1)),
    _xlpm.puntosAlt, _xlfn._xlws.FILTER(J:J + B:B/1000, A:A=A23),
    _xlpm.puntosAltValidos, SUM(--(_xlpm.puntosAlt&gt;1)),
    _xlpm.clave, O23 + B23/1000,
    _xlpm.claves, _xlfn._xlws.FILTER(O:O + B:B/1000, A:A=A23),
    IF(AND(_xlpm.puntosSecValidos&gt;=4,_xlpm.puntosAltValidos&gt;=2),IF(
        SUM(--(_xlpm.claves &gt; _xlpm.clave)) &lt; 4,
        D23,
        F23
    ),"No disp")
)</f>
        <v>No disp</v>
      </c>
      <c r="V23" s="4" cm="1">
        <f t="array" aca="1" ref="V23" ca="1">_xlfn.LET(
_xlpm.PrinIDs,_xlfn._xlws.FILTER(C:C,(A:A=A23)),
_xlpm.SecIDs,_xlfn._xlws.FILTER(D:D,(A:A=A23)),
_xlpm.TerIDs,_xlfn._xlws.FILTER(E:E,A:A=A23),
_xlpm.CuaIDs,_xlfn._xlws.FILTER(F:F,(A:A=A23)),
_xlpm.PrinPts,_xlfn._xlws.FILTER(G:G,(A:A=A23)),
_xlpm.SecPts,_xlfn._xlws.FILTER(H:H,(A:A=A23)),
_xlpm.TerPts,_xlfn._xlws.FILTER(I:I,(A:A=A23)),
_xlpm.CuaPts,_xlfn._xlws.FILTER(J:J,(A:A=A23)),
_xlpm.PSIds,_xlfn._xlws.FILTER(P:P,A:A=A23),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526.68000000000006</v>
      </c>
      <c r="W23" s="4" cm="1">
        <f t="array" aca="1" ref="W23" ca="1">_xlfn.LET(
_xlpm.PrinIDs,_xlfn._xlws.FILTER(C:C,(A:A=A23)),
_xlpm.SecIDs,_xlfn._xlws.FILTER(D:D,(A:A=A23)),
_xlpm.TerIDs,_xlfn._xlws.FILTER(E:E,A:A=A23),
_xlpm.CuaIDs,_xlfn._xlws.FILTER(F:F,(A:A=A23)),
_xlpm.PrinPts,_xlfn._xlws.FILTER(G:G,(A:A=A23)),
_xlpm.SecPts,_xlfn._xlws.FILTER(H:H,(A:A=A23)),
_xlpm.TerPts,_xlfn._xlws.FILTER(I:I,(A:A=A23)),
_xlpm.CuaPts,_xlfn._xlws.FILTER(J:J,(A:A=A23)),
_xlpm.PTIds,_xlfn._xlws.FILTER(Q:Q,A:A=A23),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563.04000000000008</v>
      </c>
      <c r="X23" s="4" cm="1">
        <f t="array" aca="1" ref="X23" ca="1">_xlfn.LET(
_xlpm.PrinIDs,_xlfn._xlws.FILTER(C:C,(A:A=A23)),
_xlpm.SecIDs,_xlfn._xlws.FILTER(D:D,(A:A=A23)),
_xlpm.TerIDs,_xlfn._xlws.FILTER(E:E,A:A=A23),
_xlpm.CuaIDs,_xlfn._xlws.FILTER(F:F,(A:A=A23)),
_xlpm.PrinPts,_xlfn._xlws.FILTER(G:G,(A:A=A23)),
_xlpm.SecPts,_xlfn._xlws.FILTER(H:H,(A:A=A23)),
_xlpm.TerPts,_xlfn._xlws.FILTER(I:I,(A:A=A23)),
_xlpm.CuaPts,_xlfn._xlws.FILTER(J:J,(A:A=A23)),
_xlpm.PCIds,_xlfn._xlws.FILTER(R:R,A:A=A23),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23" s="4" cm="1">
        <f t="array" aca="1" ref="Y23" ca="1">_xlfn.LET(
_xlpm.PrinIDs,_xlfn._xlws.FILTER(C:C,(A:A=A23)),
_xlpm.SecIDs,_xlfn._xlws.FILTER(D:D,(A:A=A23)),
_xlpm.AltIDs,_xlfn._xlws.FILTER(E:E,A:A=A23),
_xlpm.PrinPts,_xlfn._xlws.FILTER(G:G,(A:A=A23)),
_xlpm.SecPts,_xlfn._xlws.FILTER(H:H,(A:A=A23)),
_xlpm.AltPts,_xlfn._xlws.FILTER(I:I,(A:A=A23)),
_xlpm.SPIds,_xlfn._xlws.FILTER(S:S,A:A=A23),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485.1</v>
      </c>
      <c r="Z23" s="4" cm="1">
        <f t="array" aca="1" ref="Z23" ca="1">_xlfn.LET(
_xlpm.PrinIDs,_xlfn._xlws.FILTER(C:C,(A:A=A23)),
_xlpm.SecIDs,_xlfn._xlws.FILTER(D:D,(A:A=A23)),
_xlpm.TerIDs,_xlfn._xlws.FILTER(E:E,A:A=A23),
_xlpm.CuaIDs,_xlfn._xlws.FILTER(F:F,(A:A=A23)),
_xlpm.PrinPts,_xlfn._xlws.FILTER(G:G,(A:A=A23)),
_xlpm.SecPts,_xlfn._xlws.FILTER(H:H,(A:A=A23)),
_xlpm.TerPts,_xlfn._xlws.FILTER(I:I,(A:A=A23)),
_xlpm.CuaPts,_xlfn._xlws.FILTER(J:J,(A:A=A23)),
_xlpm.STIds,_xlfn._xlws.FILTER(T:T,A:A=A23),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494.28000000000003</v>
      </c>
      <c r="AA23" s="4" cm="1">
        <f t="array" aca="1" ref="AA23" ca="1">_xlfn.LET(
_xlpm.PrinIDs,_xlfn._xlws.FILTER(C:C,(A:A=A23)),
_xlpm.SecIDs,_xlfn._xlws.FILTER(D:D,(A:A=A23)),
_xlpm.TerIDs,_xlfn._xlws.FILTER(E:E,A:A=A23),
_xlpm.CuaIDs,_xlfn._xlws.FILTER(F:F,(A:A=A23)),
_xlpm.PrinPts,_xlfn._xlws.FILTER(G:G,(A:A=A23)),
_xlpm.SecPts,_xlfn._xlws.FILTER(H:H,(A:A=A23)),
_xlpm.TerPts,_xlfn._xlws.FILTER(I:I,(A:A=A23)),
_xlpm.CuaPts,_xlfn._xlws.FILTER(J:J,(A:A=A23)),
_xlpm.SCIds,_xlfn._xlws.FILTER(U:U,A:A=A23),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23" s="14">
        <f t="shared" ca="1" si="3"/>
        <v>29</v>
      </c>
      <c r="AC23" s="14">
        <v>29</v>
      </c>
      <c r="AD23" s="4"/>
      <c r="AE23" s="14" t="str">
        <f ca="1">IF(ISNUMBER(AC23),
IF($B23=1,VLOOKUP($AC23,Inventario1!$A:$H,2),
IF($B23=2,VLOOKUP($AC23,Inventario2!$A:$H,2),
IF($B23=3,VLOOKUP($AC23,Inventario3!$A:$H,2),
IF($B23=4,VLOOKUP($AC23,Inventario4!$A:$H,2),
IF($B23=5,VLOOKUP($AC23,Inventario5!$A:$H,2),
VLOOKUP($AC23,Inventario6!$A:$H,2)
))))),"No equipado")</f>
        <v>Legendario</v>
      </c>
      <c r="AF23" s="14" t="str">
        <f ca="1">IF(ISNUMBER(AC23),
IF($B23=1,VLOOKUP($AC23,Inventario1!$A:$H,3),
IF($B23=2,VLOOKUP($AC23,Inventario2!$A:$H,3),
IF($B23=3,VLOOKUP($AC23,Inventario3!$A:$H,3),
IF($B23=4,VLOOKUP($AC23,Inventario4!$A:$H,3),
IF($B23=5,VLOOKUP($AC23,Inventario5!$A:$H,3),
VLOOKUP($AC23,Inventario6!$A:$H,3)
))))),"")</f>
        <v>Saque preciso</v>
      </c>
      <c r="AG23" s="14" t="str">
        <f ca="1">IF(ISNUMBER(AC23),
IF($B23=1,VLOOKUP($AC23,Inventario1!$A:$H,4),
IF($B23=2,VLOOKUP($AC23,Inventario2!$A:$H,4),
IF($B23=3,VLOOKUP($AC23,Inventario3!$A:$H,4),
IF($B23=4,VLOOKUP($AC23,Inventario4!$A:$H,4),
IF($B23=5,VLOOKUP($AC23,Inventario5!$A:$H,4),
VLOOKUP($AC23,Inventario6!$A:$H,4)
))))),"")</f>
        <v>Recepción</v>
      </c>
      <c r="AH23" s="14" t="str">
        <f ca="1">IF(ISNUMBER(AC23),
IF($B23=1,VLOOKUP($AC23,Inventario1!$A:$H,5),
IF($B23=2,VLOOKUP($AC23,Inventario2!$A:$H,5),
IF($B23=3,VLOOKUP($AC23,Inventario3!$A:$H,5),
IF($B23=4,VLOOKUP($AC23,Inventario4!$A:$H,5),
IF($B23=5,VLOOKUP($AC23,Inventario5!$A:$H,5),
VLOOKUP($AC23,Inventario6!$A:$H,5)
))))),"")</f>
        <v>Saque</v>
      </c>
      <c r="AI23" s="14" t="str">
        <f ca="1">IF(ISNUMBER(AC23),
IF($B23=1,VLOOKUP($AC23,Inventario1!$A:$H,6),
IF($B23=2,VLOOKUP($AC23,Inventario2!$A:$H,6),
IF($B23=3,VLOOKUP($AC23,Inventario3!$A:$H,6),
IF($B23=4,VLOOKUP($AC23,Inventario4!$A:$H,6),
IF($B23=5,VLOOKUP($AC23,Inventario5!$A:$H,6),
VLOOKUP($AC23,Inventario6!$A:$H,6)
))))),"")</f>
        <v>Ataque poderoso</v>
      </c>
      <c r="AJ23" s="14" t="str">
        <f ca="1">IF(ISNUMBER(AC23),
IF($B23=1,VLOOKUP($AC23,Inventario1!$A:$H,7),
IF($B23=2,VLOOKUP($AC23,Inventario2!$A:$H,7),
IF($B23=3,VLOOKUP($AC23,Inventario3!$A:$H,7),
IF($B23=4,VLOOKUP($AC23,Inventario4!$A:$H,7),
IF($B23=5,VLOOKUP($AC23,Inventario5!$A:$H,7),
VLOOKUP($AC23,Inventario6!$A:$H,7)
))))),"")</f>
        <v>Recuperación</v>
      </c>
      <c r="AK23" s="15" t="str">
        <f ca="1">IF(ISNUMBER(AC23),
IF($B23=1,VLOOKUP($AC23,Inventario1!$A:$H,8),
IF($B23=2,VLOOKUP($AC23,Inventario2!$A:$H,8),
IF($B23=3,VLOOKUP($AC23,Inventario3!$A:$H,8),
IF($B23=4,VLOOKUP($AC23,Inventario4!$A:$H,8),
IF($B23=5,VLOOKUP($AC23,Inventario5!$A:$H,8),
VLOOKUP($AC23,Inventario6!$A:$H,8)
))))),"")</f>
        <v>Colocación</v>
      </c>
    </row>
    <row r="24" spans="1:37" x14ac:dyDescent="0.25">
      <c r="A24" s="21" t="s">
        <v>11</v>
      </c>
      <c r="B24" s="3">
        <v>5</v>
      </c>
      <c r="C24" s="14" cm="1">
        <f t="array" ref="C24">_xlfn.LET(
    _xlpm.jugador, A24,
    _xlpm.idSel, AC24,
    _xlpm.invIDs, IF(B24=1,Inventario1!A:A,IF(B24=2,Inventario2!A:A,IF(B24=3,Inventario3!A:A,IF(B24=4,Inventario4!A:A,IF(B24=5,Inventario5!A:A,Inventario6!A:A))))),
    _xlpm.invCalidad, IF(B24=1,Inventario1!B:B,IF(B24=2,Inventario2!B:B,IF(B24=3,Inventario3!B:B,IF(B24=4,Inventario4!B:B,IF(B24=5,Inventario5!B:B,Inventario6!B:B))))),
    _xlpm.invTipos, IF(B24=1,Inventario1!C:C,IF(B24=2,Inventario2!C:C,IF(B24=3,Inventario3!C:C,IF(B24=4,Inventario4!C:C,IF(B24=5,Inventario5!C:C,Inventario6!C:C))))),
    _xlpm.invStats, IF(B24=1,Inventario1!D:H,IF(B24=2,Inventario2!D:H,IF(B24=3,Inventario3!D:H,IF(B24=4,Inventario4!D:H,IF(B24=5,Inventario5!D:H,Inventario6!D:H))))),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IF(ROW(A24)=2,"",IF(_xlfn._xlws.FILTER(Equipar!AC$2:AC23,Equipar!B$2:B23=B24)={0},"",_xlfn._xlws.FILTER(Equipar!AC$2:AC23,Equipar!B$2:B23=B24))),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322</v>
      </c>
      <c r="D24" s="4" cm="1">
        <f t="array" ref="D24">_xlfn.LET(
    _xlpm.jugador, A24,
    _xlpm.idSel, AC24,
    _xlpm.invIDs, IF(B24=1,Inventario1!A:A,IF(B24=2,Inventario2!A:A,IF(B24=3,Inventario3!A:A,IF(B24=4,Inventario4!A:A,IF(B24=5,Inventario5!A:A,Inventario6!A:A))))),
    _xlpm.invCalidad, IF(B24=1,Inventario1!B:B,IF(B24=2,Inventario2!B:B,IF(B24=3,Inventario3!B:B,IF(B24=4,Inventario4!B:B,IF(B24=5,Inventario5!B:B,Inventario6!B:B))))),
    _xlpm.invTipos, IF(B24=1,Inventario1!C:C,IF(B24=2,Inventario2!C:C,IF(B24=3,Inventario3!C:C,IF(B24=4,Inventario4!C:C,IF(B24=5,Inventario5!C:C,Inventario6!C:C))))),
    _xlpm.invStats, IF(B24=1,Inventario1!D:H,IF(B24=2,Inventario2!D:H,IF(B24=3,Inventario3!D:H,IF(B24=4,Inventario4!D:H,IF(B24=5,Inventario5!D:H,Inventario6!D:H))))),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IF(ROW(A24)=2,"",IF(_xlfn._xlws.FILTER(Equipar!AC$2:AC23,Equipar!B$2:B23=B24)={0},"",_xlfn._xlws.FILTER(Equipar!AC$2:AC23,Equipar!B$2:B23=B24))),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40</v>
      </c>
      <c r="E24" s="4" cm="1">
        <f t="array" aca="1" ref="E24" ca="1">_xlfn.LET(
    _xlpm.jugador, A24,
    _xlpm.idSel, AC24,
    _xlpm.invIDs, IF(B24=1,Inventario1!A:A,IF(B24=2,Inventario2!A:A,IF(B24=3,Inventario3!A:A,IF(B24=4,Inventario4!A:A,IF(B24=5,Inventario5!A:A,Inventario6!A:A))))),
    _xlpm.invCalidad, IF(B24=1,Inventario1!B:B,IF(B24=2,Inventario2!B:B,IF(B24=3,Inventario3!B:B,IF(B24=4,Inventario4!B:B,IF(B24=5,Inventario5!B:B,Inventario6!B:B))))),
    _xlpm.invTipos, IF(B24=1,Inventario1!C:C,IF(B24=2,Inventario2!C:C,IF(B24=3,Inventario3!C:C,IF(B24=4,Inventario4!C:C,IF(B24=5,Inventario5!C:C,Inventario6!C:C))))),
    _xlpm.invStats, IF(B24=1,Inventario1!D:H,IF(B24=2,Inventario2!D:H,IF(B24=3,Inventario3!D:H,IF(B24=4,Inventario4!D:H,IF(B24=5,Inventario5!D:H,Inventario6!D:H))))),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IF(ROW(A24)=2,"",IF(_xlfn._xlws.FILTER(Equipar!AC$2:AC23,Equipar!B$2:B23=B24)={0},"",_xlfn._xlws.FILTER(Equipar!AC$2:AC23,Equipar!B$2:B23=B24))),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255</v>
      </c>
      <c r="F24" s="4" t="str" cm="1">
        <f t="array" aca="1" ref="F24" ca="1">_xlfn.LET(
    _xlpm.jugador, B24,
    _xlpm.idSel, AD24,
    _xlpm.invIDs, IF(C24=1,Inventario1!B:B,IF(C24=2,Inventario2!B:B,IF(C24=3,Inventario3!B:B,IF(C24=4,Inventario4!B:B,IF(C24=5,Inventario5!B:B,Inventario6!B:B))))),
    _xlpm.invCalidad, IF(C24=1,Inventario1!C:C,IF(C24=2,Inventario2!C:C,IF(C24=3,Inventario3!C:C,IF(C24=4,Inventario4!C:C,IF(C24=5,Inventario5!C:C,Inventario6!C:C))))),
    _xlpm.invTipos, IF(C24=1,Inventario1!D:D,IF(C24=2,Inventario2!D:D,IF(C24=3,Inventario3!D:D,IF(C24=4,Inventario4!D:D,IF(C24=5,Inventario5!D:D,Inventario6!D:D))))),
    _xlpm.invStats, IF(C24=1,Inventario1!E:I,IF(C24=2,Inventario2!E:I,IF(C24=3,Inventario3!E:I,IF(C24=4,Inventario4!E:I,IF(C24=5,Inventario5!E:I,Inventario6!E:I))))),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IF(ROW(B24)=2,"",IF(_xlfn._xlws.FILTER(Equipar!AD$2:AD23,Equipar!C$2:C23=C24)={0},"",_xlfn._xlws.FILTER(Equipar!AD$2:AD23,Equipar!C$2:C23=C24))),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24" s="14" cm="1">
        <f t="array" ref="G24">_xlfn.LET(
    _xlpm.jugador, A24,
    _xlpm.idSel, AC24,
    _xlpm.invIDs, IF(B24=1,Inventario1!A:A,IF(B24=2,Inventario2!A:A,IF(B24=3,Inventario3!A:A,IF(B24=4,Inventario4!A:A,IF(B24=5,Inventario5!A:A,Inventario6!A:A))))),
    _xlpm.invCalidad, IF(B24=1,Inventario1!B:B,IF(B24=2,Inventario2!B:B,IF(B24=3,Inventario3!B:B,IF(B24=4,Inventario4!B:B,IF(B24=5,Inventario5!B:B,Inventario6!B:B))))),
    _xlpm.invTipos, IF(B24=1,Inventario1!C:C,IF(B24=2,Inventario2!C:C,IF(B24=3,Inventario3!C:C,IF(B24=4,Inventario4!C:C,IF(B24=5,Inventario5!C:C,Inventario6!C:C))))),
    _xlpm.invStats, IF(B24=1,Inventario1!D:H,IF(B24=2,Inventario2!D:H,IF(B24=3,Inventario3!D:H,IF(B24=4,Inventario4!D:H,IF(B24=5,Inventario5!D:H,Inventario6!D:H))))),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IF(ROW(A24)=2,"",IF(_xlfn._xlws.FILTER(Equipar!AC$2:AC23,Equipar!B$2:B23=B24)={0},"",_xlfn._xlws.FILTER(Equipar!AC$2:AC23,Equipar!B$2:B23=B24))),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H24" s="4" cm="1">
        <f t="array" ref="H24">_xlfn.LET(
    _xlpm.jugador, A24,
    _xlpm.idSel, AC24,
    _xlpm.invIDs, IF(B24=1,Inventario1!A:A,IF(B24=2,Inventario2!A:A,IF(B24=3,Inventario3!A:A,IF(B24=4,Inventario4!A:A,IF(B24=5,Inventario5!A:A,Inventario6!A:A))))),
    _xlpm.invCalidad, IF(B24=1,Inventario1!B:B,IF(B24=2,Inventario2!B:B,IF(B24=3,Inventario3!B:B,IF(B24=4,Inventario4!B:B,IF(B24=5,Inventario5!B:B,Inventario6!B:B))))),
    _xlpm.invTipos, IF(B24=1,Inventario1!C:C,IF(B24=2,Inventario2!C:C,IF(B24=3,Inventario3!C:C,IF(B24=4,Inventario4!C:C,IF(B24=5,Inventario5!C:C,Inventario6!C:C))))),
    _xlpm.invStats, IF(B24=1,Inventario1!D:H,IF(B24=2,Inventario2!D:H,IF(B24=3,Inventario3!D:H,IF(B24=4,Inventario4!D:H,IF(B24=5,Inventario5!D:H,Inventario6!D:H))))),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IF(ROW(A24)=2,"",IF(_xlfn._xlws.FILTER(Equipar!AC$2:AC23,Equipar!B$2:B23=B24)={0},"",_xlfn._xlws.FILTER(Equipar!AC$2:AC23,Equipar!B$2:B23=B24))),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I24" s="4" cm="1">
        <f t="array" aca="1" ref="I24" ca="1">_xlfn.LET(
    _xlpm.jugador, A24,
    _xlpm.idSel, AC24,
    _xlpm.invIDs, IF(B24=1,Inventario1!A:A,IF(B24=2,Inventario2!A:A,IF(B24=3,Inventario3!A:A,IF(B24=4,Inventario4!A:A,IF(B24=5,Inventario5!A:A,Inventario6!A:A))))),
    _xlpm.invCalidad, IF(B24=1,Inventario1!B:B,IF(B24=2,Inventario2!B:B,IF(B24=3,Inventario3!B:B,IF(B24=4,Inventario4!B:B,IF(B24=5,Inventario5!B:B,Inventario6!B:B))))),
    _xlpm.invTipos, IF(B24=1,Inventario1!C:C,IF(B24=2,Inventario2!C:C,IF(B24=3,Inventario3!C:C,IF(B24=4,Inventario4!C:C,IF(B24=5,Inventario5!C:C,Inventario6!C:C))))),
    _xlpm.invStats, IF(B24=1,Inventario1!D:H,IF(B24=2,Inventario2!D:H,IF(B24=3,Inventario3!D:H,IF(B24=4,Inventario4!D:H,IF(B24=5,Inventario5!D:H,Inventario6!D:H))))),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IF(ROW(A24)=2,"",IF(_xlfn._xlws.FILTER(Equipar!AC$2:AC23,Equipar!B$2:B23=B24)={0},"",_xlfn._xlws.FILTER(Equipar!AC$2:AC23,Equipar!B$2:B23=B24))),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J24" s="4" cm="1">
        <f t="array" aca="1" ref="J24" ca="1">_xlfn.LET(
    _xlpm.jugador, B24,
    _xlpm.idSel, AD24,
    _xlpm.invIDs, IF(C24=1,Inventario1!B:B,IF(C24=2,Inventario2!B:B,IF(C24=3,Inventario3!B:B,IF(C24=4,Inventario4!B:B,IF(C24=5,Inventario5!B:B,Inventario6!B:B))))),
    _xlpm.invCalidad, IF(C24=1,Inventario1!C:C,IF(C24=2,Inventario2!C:C,IF(C24=3,Inventario3!C:C,IF(C24=4,Inventario4!C:C,IF(C24=5,Inventario5!C:C,Inventario6!C:C))))),
    _xlpm.invTipos, IF(C24=1,Inventario1!D:D,IF(C24=2,Inventario2!D:D,IF(C24=3,Inventario3!D:D,IF(C24=4,Inventario4!D:D,IF(C24=5,Inventario5!D:D,Inventario6!D:D))))),
    _xlpm.invStats, IF(C24=1,Inventario1!E:I,IF(C24=2,Inventario2!E:I,IF(C24=3,Inventario3!E:I,IF(C24=4,Inventario4!E:I,IF(C24=5,Inventario5!E:I,Inventario6!E:I))))),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IF(ROW(B24)=2,"",IF(_xlfn._xlws.FILTER(Equipar!AD$2:AD23,Equipar!C$2:C23=C24)={0},"",_xlfn._xlws.FILTER(Equipar!AD$2:AD23,Equipar!C$2:C23=C24))),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24" s="4">
        <f t="shared" ca="1" si="0"/>
        <v>17.820000000000007</v>
      </c>
      <c r="L24" s="4">
        <f t="shared" ca="1" si="1"/>
        <v>-35.909999999999997</v>
      </c>
      <c r="M24" s="4">
        <f t="shared" ca="1" si="1"/>
        <v>54</v>
      </c>
      <c r="N24" s="4">
        <f t="shared" ca="1" si="2"/>
        <v>-53.730000000000004</v>
      </c>
      <c r="O24" s="4">
        <f t="shared" ca="1" si="2"/>
        <v>107.73</v>
      </c>
      <c r="P24" s="14" cm="1">
        <f t="array" aca="1" ref="P24" ca="1">_xlfn.LET(
    _xlpm.ptsPrinBase, _xlfn._xlws.FILTER(G:G, A:A=A24),
    _xlpm.ptsSecBase,  _xlfn._xlws.FILTER(H:H, A:A=A24),
    _xlpm.puntosPrin, _xlpm.ptsPrinBase + _xlfn._xlws.FILTER(B:B, A:A=A24)/1000,
    _xlpm.puntosSec,  _xlpm.ptsSecBase  + _xlfn._xlws.FILTER(B:B, A:A=A24)/1000,
    _xlpm.puntosPrinValidos, SUM(--(_xlpm.ptsPrinBase&gt;0)),
    _xlpm.puntosSecValidos,  SUM(--(_xlpm.ptsSecBase&gt;0)),
    _xlpm.clave, K24 + B24/1000,
    _xlpm.claves, _xlfn._xlws.FILTER(K:K + B:B/1000, A:A=A24),
    IF(AND(_xlpm.puntosPrinValidos&gt;=4,_xlpm.puntosSecValidos&gt;=2),IF(
        SUM(--(_xlpm.claves &gt; _xlpm.clave)) &lt; 4,
        C24,
        D24
    ),"No disp")
)</f>
        <v>322</v>
      </c>
      <c r="Q24" s="14" cm="1">
        <f t="array" aca="1" ref="Q24" ca="1">_xlfn.LET(
    _xlpm.puntosPrin, _xlfn._xlws.FILTER(G:G + B:B/1000, A:A=A24),
    _xlpm.puntosPrinValidos, SUM(--(_xlpm.puntosPrin&gt;1)),
    _xlpm.puntosTer, _xlfn._xlws.FILTER(I:I + B:B/1000, A:A=A24),
    _xlpm.puntosTerValidos, SUM(--(_xlpm.puntosTer&gt;1)),
    _xlpm.clave, L24 + B24/1000,
    _xlpm.claves, _xlfn._xlws.FILTER(L:L + B:B/1000, A:A=A24),
    IF(AND(_xlpm.puntosPrinValidos&gt;=4,_xlpm.puntosTerValidos&gt;=2),IF(
        SUM(--(_xlpm.claves &gt; _xlpm.clave)) &lt; 4,
        C24,
        E24
    ),"No disp")
)</f>
        <v>255</v>
      </c>
      <c r="R24" s="14" t="str" cm="1">
        <f t="array" aca="1" ref="R24" ca="1">_xlfn.LET(
    _xlpm.puntosPrin, _xlfn._xlws.FILTER(G:G + B:B/1000, A:A=A24),
    _xlpm.puntosPrinValidos, SUM(--(_xlpm.puntosPrin&gt;1)),
    _xlpm.puntosTer, _xlfn._xlws.FILTER(J:J + B:B/1000, A:A=A24),
    _xlpm.puntosTerValidos, SUM(--(_xlpm.puntosTer&gt;1)),
    _xlpm.clave, M24 + B24/1000,
    _xlpm.claves, _xlfn._xlws.FILTER(M:M + B:B/1000, A:A=A24),
    IF(AND(_xlpm.puntosPrinValidos&gt;=4,_xlpm.puntosTerValidos&gt;=2),IF(
        SUM(--(_xlpm.claves &gt; _xlpm.clave)) &lt; 4,
        C24,
        F24
    ),"No disp")
)</f>
        <v>No disp</v>
      </c>
      <c r="S24" s="14" cm="1">
        <f t="array" aca="1" ref="S24" ca="1">_xlfn.LET(
    _xlpm.ptsPrinBase, _xlfn._xlws.FILTER(G:G, A:A=A24),
    _xlpm.ptsSecBase,  _xlfn._xlws.FILTER(H:H, A:A=A24),
    _xlpm.puntosPrin, _xlpm.ptsPrinBase + _xlfn._xlws.FILTER(B:B, A:A=A24)/1000,
    _xlpm.puntosSec,  _xlpm.ptsSecBase  + _xlfn._xlws.FILTER(B:B, A:A=A24)/1000,
    _xlpm.puntosPrinValidos, SUM(--(_xlpm.ptsPrinBase&gt;0)),
    _xlpm.puntosSecValidos,  SUM(--(_xlpm.ptsSecBase&gt;0)),
    _xlpm.clave, K24 + B24/1000,
    _xlpm.claves, _xlfn._xlws.FILTER(K:K + B:B/1000, A:A=A24),
    IF(
        AND(_xlpm.puntosPrinValidos&gt;=2, _xlpm.puntosSecValidos&gt;=4),
        IF(
            SUM(--(_xlpm.claves &lt; _xlpm.clave)) &lt; 4,
            D24,
            C24
        ),
        "No disp"
    )
)</f>
        <v>40</v>
      </c>
      <c r="T24" s="14" cm="1">
        <f t="array" aca="1" ref="T24" ca="1">_xlfn.LET(
    _xlpm.puntosSec, _xlfn._xlws.FILTER(H:H + B:B/1000, A:A=A24),
    _xlpm.puntosSecValidos, SUM(--(_xlpm.puntosSec&gt;1)),
    _xlpm.puntosAlt, _xlfn._xlws.FILTER(I:I + B:B/1000, A:A=A24),
    _xlpm.puntosAltValidos, SUM(--(_xlpm.puntosAlt&gt;1)),
    _xlpm.clave, N24 + B24/1000,
    _xlpm.claves, _xlfn._xlws.FILTER(N:N + B:B/1000, A:A=A24),
    IF(AND(_xlpm.puntosSecValidos&gt;=4,_xlpm.puntosAltValidos&gt;=2),IF(
        SUM(--(_xlpm.claves &gt; _xlpm.clave)) &lt; 4,
        D24,
        E24
    ),"No disp")
)</f>
        <v>255</v>
      </c>
      <c r="U24" s="14" t="str" cm="1">
        <f t="array" aca="1" ref="U24" ca="1">_xlfn.LET(
    _xlpm.puntosSec, _xlfn._xlws.FILTER(H:H + B:B/1000, A:A=A24),
    _xlpm.puntosSecValidos, SUM(--(_xlpm.puntosSec&gt;1)),
    _xlpm.puntosAlt, _xlfn._xlws.FILTER(J:J + B:B/1000, A:A=A24),
    _xlpm.puntosAltValidos, SUM(--(_xlpm.puntosAlt&gt;1)),
    _xlpm.clave, O24 + B24/1000,
    _xlpm.claves, _xlfn._xlws.FILTER(O:O + B:B/1000, A:A=A24),
    IF(AND(_xlpm.puntosSecValidos&gt;=4,_xlpm.puntosAltValidos&gt;=2),IF(
        SUM(--(_xlpm.claves &gt; _xlpm.clave)) &lt; 4,
        D24,
        F24
    ),"No disp")
)</f>
        <v>No disp</v>
      </c>
      <c r="V24" s="4" cm="1">
        <f t="array" aca="1" ref="V24" ca="1">_xlfn.LET(
_xlpm.PrinIDs,_xlfn._xlws.FILTER(C:C,(A:A=A24)),
_xlpm.SecIDs,_xlfn._xlws.FILTER(D:D,(A:A=A24)),
_xlpm.TerIDs,_xlfn._xlws.FILTER(E:E,A:A=A24),
_xlpm.CuaIDs,_xlfn._xlws.FILTER(F:F,(A:A=A24)),
_xlpm.PrinPts,_xlfn._xlws.FILTER(G:G,(A:A=A24)),
_xlpm.SecPts,_xlfn._xlws.FILTER(H:H,(A:A=A24)),
_xlpm.TerPts,_xlfn._xlws.FILTER(I:I,(A:A=A24)),
_xlpm.CuaPts,_xlfn._xlws.FILTER(J:J,(A:A=A24)),
_xlpm.PSIds,_xlfn._xlws.FILTER(P:P,A:A=A24),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526.68000000000006</v>
      </c>
      <c r="W24" s="4" cm="1">
        <f t="array" aca="1" ref="W24" ca="1">_xlfn.LET(
_xlpm.PrinIDs,_xlfn._xlws.FILTER(C:C,(A:A=A24)),
_xlpm.SecIDs,_xlfn._xlws.FILTER(D:D,(A:A=A24)),
_xlpm.TerIDs,_xlfn._xlws.FILTER(E:E,A:A=A24),
_xlpm.CuaIDs,_xlfn._xlws.FILTER(F:F,(A:A=A24)),
_xlpm.PrinPts,_xlfn._xlws.FILTER(G:G,(A:A=A24)),
_xlpm.SecPts,_xlfn._xlws.FILTER(H:H,(A:A=A24)),
_xlpm.TerPts,_xlfn._xlws.FILTER(I:I,(A:A=A24)),
_xlpm.CuaPts,_xlfn._xlws.FILTER(J:J,(A:A=A24)),
_xlpm.PTIds,_xlfn._xlws.FILTER(Q:Q,A:A=A24),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563.04000000000008</v>
      </c>
      <c r="X24" s="4" cm="1">
        <f t="array" aca="1" ref="X24" ca="1">_xlfn.LET(
_xlpm.PrinIDs,_xlfn._xlws.FILTER(C:C,(A:A=A24)),
_xlpm.SecIDs,_xlfn._xlws.FILTER(D:D,(A:A=A24)),
_xlpm.TerIDs,_xlfn._xlws.FILTER(E:E,A:A=A24),
_xlpm.CuaIDs,_xlfn._xlws.FILTER(F:F,(A:A=A24)),
_xlpm.PrinPts,_xlfn._xlws.FILTER(G:G,(A:A=A24)),
_xlpm.SecPts,_xlfn._xlws.FILTER(H:H,(A:A=A24)),
_xlpm.TerPts,_xlfn._xlws.FILTER(I:I,(A:A=A24)),
_xlpm.CuaPts,_xlfn._xlws.FILTER(J:J,(A:A=A24)),
_xlpm.PCIds,_xlfn._xlws.FILTER(R:R,A:A=A24),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24" s="4" cm="1">
        <f t="array" aca="1" ref="Y24" ca="1">_xlfn.LET(
_xlpm.PrinIDs,_xlfn._xlws.FILTER(C:C,(A:A=A24)),
_xlpm.SecIDs,_xlfn._xlws.FILTER(D:D,(A:A=A24)),
_xlpm.AltIDs,_xlfn._xlws.FILTER(E:E,A:A=A24),
_xlpm.PrinPts,_xlfn._xlws.FILTER(G:G,(A:A=A24)),
_xlpm.SecPts,_xlfn._xlws.FILTER(H:H,(A:A=A24)),
_xlpm.AltPts,_xlfn._xlws.FILTER(I:I,(A:A=A24)),
_xlpm.SPIds,_xlfn._xlws.FILTER(S:S,A:A=A24),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485.1</v>
      </c>
      <c r="Z24" s="4" cm="1">
        <f t="array" aca="1" ref="Z24" ca="1">_xlfn.LET(
_xlpm.PrinIDs,_xlfn._xlws.FILTER(C:C,(A:A=A24)),
_xlpm.SecIDs,_xlfn._xlws.FILTER(D:D,(A:A=A24)),
_xlpm.TerIDs,_xlfn._xlws.FILTER(E:E,A:A=A24),
_xlpm.CuaIDs,_xlfn._xlws.FILTER(F:F,(A:A=A24)),
_xlpm.PrinPts,_xlfn._xlws.FILTER(G:G,(A:A=A24)),
_xlpm.SecPts,_xlfn._xlws.FILTER(H:H,(A:A=A24)),
_xlpm.TerPts,_xlfn._xlws.FILTER(I:I,(A:A=A24)),
_xlpm.CuaPts,_xlfn._xlws.FILTER(J:J,(A:A=A24)),
_xlpm.STIds,_xlfn._xlws.FILTER(T:T,A:A=A24),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494.28000000000003</v>
      </c>
      <c r="AA24" s="4" cm="1">
        <f t="array" aca="1" ref="AA24" ca="1">_xlfn.LET(
_xlpm.PrinIDs,_xlfn._xlws.FILTER(C:C,(A:A=A24)),
_xlpm.SecIDs,_xlfn._xlws.FILTER(D:D,(A:A=A24)),
_xlpm.TerIDs,_xlfn._xlws.FILTER(E:E,A:A=A24),
_xlpm.CuaIDs,_xlfn._xlws.FILTER(F:F,(A:A=A24)),
_xlpm.PrinPts,_xlfn._xlws.FILTER(G:G,(A:A=A24)),
_xlpm.SecPts,_xlfn._xlws.FILTER(H:H,(A:A=A24)),
_xlpm.TerPts,_xlfn._xlws.FILTER(I:I,(A:A=A24)),
_xlpm.CuaPts,_xlfn._xlws.FILTER(J:J,(A:A=A24)),
_xlpm.SCIds,_xlfn._xlws.FILTER(U:U,A:A=A24),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24" s="14">
        <f t="shared" ca="1" si="3"/>
        <v>255</v>
      </c>
      <c r="AC24" s="14">
        <v>255</v>
      </c>
      <c r="AD24" s="4"/>
      <c r="AE24" s="14" t="str">
        <f ca="1">IF(ISNUMBER(AC24),
IF($B24=1,VLOOKUP($AC24,Inventario1!$A:$H,2),
IF($B24=2,VLOOKUP($AC24,Inventario2!$A:$H,2),
IF($B24=3,VLOOKUP($AC24,Inventario3!$A:$H,2),
IF($B24=4,VLOOKUP($AC24,Inventario4!$A:$H,2),
IF($B24=5,VLOOKUP($AC24,Inventario5!$A:$H,2),
VLOOKUP($AC24,Inventario6!$A:$H,2)
))))),"No equipado")</f>
        <v>Legendario</v>
      </c>
      <c r="AF24" s="14" t="str">
        <f ca="1">IF(ISNUMBER(AC24),
IF($B24=1,VLOOKUP($AC24,Inventario1!$A:$H,3),
IF($B24=2,VLOOKUP($AC24,Inventario2!$A:$H,3),
IF($B24=3,VLOOKUP($AC24,Inventario3!$A:$H,3),
IF($B24=4,VLOOKUP($AC24,Inventario4!$A:$H,3),
IF($B24=5,VLOOKUP($AC24,Inventario5!$A:$H,3),
VLOOKUP($AC24,Inventario6!$A:$H,3)
))))),"")</f>
        <v>Finta de colocador</v>
      </c>
      <c r="AG24" s="14" t="str">
        <f ca="1">IF(ISNUMBER(AC24),
IF($B24=1,VLOOKUP($AC24,Inventario1!$A:$H,4),
IF($B24=2,VLOOKUP($AC24,Inventario2!$A:$H,4),
IF($B24=3,VLOOKUP($AC24,Inventario3!$A:$H,4),
IF($B24=4,VLOOKUP($AC24,Inventario4!$A:$H,4),
IF($B24=5,VLOOKUP($AC24,Inventario5!$A:$H,4),
VLOOKUP($AC24,Inventario6!$A:$H,4)
))))),"")</f>
        <v>Recepción</v>
      </c>
      <c r="AH24" s="14" t="str">
        <f ca="1">IF(ISNUMBER(AC24),
IF($B24=1,VLOOKUP($AC24,Inventario1!$A:$H,5),
IF($B24=2,VLOOKUP($AC24,Inventario2!$A:$H,5),
IF($B24=3,VLOOKUP($AC24,Inventario3!$A:$H,5),
IF($B24=4,VLOOKUP($AC24,Inventario4!$A:$H,5),
IF($B24=5,VLOOKUP($AC24,Inventario5!$A:$H,5),
VLOOKUP($AC24,Inventario6!$A:$H,5)
))))),"")</f>
        <v>Saque</v>
      </c>
      <c r="AI24" s="14" t="str">
        <f ca="1">IF(ISNUMBER(AC24),
IF($B24=1,VLOOKUP($AC24,Inventario1!$A:$H,6),
IF($B24=2,VLOOKUP($AC24,Inventario2!$A:$H,6),
IF($B24=3,VLOOKUP($AC24,Inventario3!$A:$H,6),
IF($B24=4,VLOOKUP($AC24,Inventario4!$A:$H,6),
IF($B24=5,VLOOKUP($AC24,Inventario5!$A:$H,6),
VLOOKUP($AC24,Inventario6!$A:$H,6)
))))),"")</f>
        <v>Saque</v>
      </c>
      <c r="AJ24" s="14" t="str">
        <f ca="1">IF(ISNUMBER(AC24),
IF($B24=1,VLOOKUP($AC24,Inventario1!$A:$H,7),
IF($B24=2,VLOOKUP($AC24,Inventario2!$A:$H,7),
IF($B24=3,VLOOKUP($AC24,Inventario3!$A:$H,7),
IF($B24=4,VLOOKUP($AC24,Inventario4!$A:$H,7),
IF($B24=5,VLOOKUP($AC24,Inventario5!$A:$H,7),
VLOOKUP($AC24,Inventario6!$A:$H,7)
))))),"")</f>
        <v>Colocación</v>
      </c>
      <c r="AK24" s="15">
        <f ca="1">IF(ISNUMBER(AC24),
IF($B24=1,VLOOKUP($AC24,Inventario1!$A:$H,8),
IF($B24=2,VLOOKUP($AC24,Inventario2!$A:$H,8),
IF($B24=3,VLOOKUP($AC24,Inventario3!$A:$H,8),
IF($B24=4,VLOOKUP($AC24,Inventario4!$A:$H,8),
IF($B24=5,VLOOKUP($AC24,Inventario5!$A:$H,8),
VLOOKUP($AC24,Inventario6!$A:$H,8)
))))),"")</f>
        <v>0</v>
      </c>
    </row>
    <row r="25" spans="1:37" ht="15.75" thickBot="1" x14ac:dyDescent="0.3">
      <c r="A25" s="22" t="s">
        <v>11</v>
      </c>
      <c r="B25" s="17">
        <v>6</v>
      </c>
      <c r="C25" s="18" cm="1">
        <f t="array" ref="C25">_xlfn.LET(
    _xlpm.jugador, A25,
    _xlpm.idSel, AC25,
    _xlpm.invIDs, IF(B25=1,Inventario1!A:A,IF(B25=2,Inventario2!A:A,IF(B25=3,Inventario3!A:A,IF(B25=4,Inventario4!A:A,IF(B25=5,Inventario5!A:A,Inventario6!A:A))))),
    _xlpm.invCalidad, IF(B25=1,Inventario1!B:B,IF(B25=2,Inventario2!B:B,IF(B25=3,Inventario3!B:B,IF(B25=4,Inventario4!B:B,IF(B25=5,Inventario5!B:B,Inventario6!B:B))))),
    _xlpm.invTipos, IF(B25=1,Inventario1!C:C,IF(B25=2,Inventario2!C:C,IF(B25=3,Inventario3!C:C,IF(B25=4,Inventario4!C:C,IF(B25=5,Inventario5!C:C,Inventario6!C:C))))),
    _xlpm.invStats, IF(B25=1,Inventario1!D:H,IF(B25=2,Inventario2!D:H,IF(B25=3,Inventario3!D:H,IF(B25=4,Inventario4!D:H,IF(B25=5,Inventario5!D:H,Inventario6!D:H))))),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IF(ROW(A25)=2,"",IF(_xlfn._xlws.FILTER(Equipar!AC$2:AC24,Equipar!B$2:B24=B25)={0},"",_xlfn._xlws.FILTER(Equipar!AC$2:AC24,Equipar!B$2:B24=B25))),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</v>
      </c>
      <c r="D25" s="17" cm="1">
        <f t="array" ref="D25">_xlfn.LET(
    _xlpm.jugador, A25,
    _xlpm.idSel, AC25,
    _xlpm.invIDs, IF(B25=1,Inventario1!A:A,IF(B25=2,Inventario2!A:A,IF(B25=3,Inventario3!A:A,IF(B25=4,Inventario4!A:A,IF(B25=5,Inventario5!A:A,Inventario6!A:A))))),
    _xlpm.invCalidad, IF(B25=1,Inventario1!B:B,IF(B25=2,Inventario2!B:B,IF(B25=3,Inventario3!B:B,IF(B25=4,Inventario4!B:B,IF(B25=5,Inventario5!B:B,Inventario6!B:B))))),
    _xlpm.invTipos, IF(B25=1,Inventario1!C:C,IF(B25=2,Inventario2!C:C,IF(B25=3,Inventario3!C:C,IF(B25=4,Inventario4!C:C,IF(B25=5,Inventario5!C:C,Inventario6!C:C))))),
    _xlpm.invStats, IF(B25=1,Inventario1!D:H,IF(B25=2,Inventario2!D:H,IF(B25=3,Inventario3!D:H,IF(B25=4,Inventario4!D:H,IF(B25=5,Inventario5!D:H,Inventario6!D:H))))),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IF(ROW(A25)=2,"",IF(_xlfn._xlws.FILTER(Equipar!AC$2:AC24,Equipar!B$2:B24=B25)={0},"",_xlfn._xlws.FILTER(Equipar!AC$2:AC24,Equipar!B$2:B24=B25))),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52</v>
      </c>
      <c r="E25" s="17" cm="1">
        <f t="array" ref="E25">_xlfn.LET(
    _xlpm.jugador, A25,
    _xlpm.idSel, AC25,
    _xlpm.invIDs, IF(B25=1,Inventario1!A:A,IF(B25=2,Inventario2!A:A,IF(B25=3,Inventario3!A:A,IF(B25=4,Inventario4!A:A,IF(B25=5,Inventario5!A:A,Inventario6!A:A))))),
    _xlpm.invCalidad, IF(B25=1,Inventario1!B:B,IF(B25=2,Inventario2!B:B,IF(B25=3,Inventario3!B:B,IF(B25=4,Inventario4!B:B,IF(B25=5,Inventario5!B:B,Inventario6!B:B))))),
    _xlpm.invTipos, IF(B25=1,Inventario1!C:C,IF(B25=2,Inventario2!C:C,IF(B25=3,Inventario3!C:C,IF(B25=4,Inventario4!C:C,IF(B25=5,Inventario5!C:C,Inventario6!C:C))))),
    _xlpm.invStats, IF(B25=1,Inventario1!D:H,IF(B25=2,Inventario2!D:H,IF(B25=3,Inventario3!D:H,IF(B25=4,Inventario4!D:H,IF(B25=5,Inventario5!D:H,Inventario6!D:H))))),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IF(ROW(A25)=2,"",IF(_xlfn._xlws.FILTER(Equipar!AC$2:AC24,Equipar!B$2:B24=B25)={0},"",_xlfn._xlws.FILTER(Equipar!AC$2:AC24,Equipar!B$2:B24=B25))),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279</v>
      </c>
      <c r="F25" s="17" t="str" cm="1">
        <f t="array" aca="1" ref="F25" ca="1">_xlfn.LET(
    _xlpm.jugador, B25,
    _xlpm.idSel, AD25,
    _xlpm.invIDs, IF(C25=1,Inventario1!B:B,IF(C25=2,Inventario2!B:B,IF(C25=3,Inventario3!B:B,IF(C25=4,Inventario4!B:B,IF(C25=5,Inventario5!B:B,Inventario6!B:B))))),
    _xlpm.invCalidad, IF(C25=1,Inventario1!C:C,IF(C25=2,Inventario2!C:C,IF(C25=3,Inventario3!C:C,IF(C25=4,Inventario4!C:C,IF(C25=5,Inventario5!C:C,Inventario6!C:C))))),
    _xlpm.invTipos, IF(C25=1,Inventario1!D:D,IF(C25=2,Inventario2!D:D,IF(C25=3,Inventario3!D:D,IF(C25=4,Inventario4!D:D,IF(C25=5,Inventario5!D:D,Inventario6!D:D))))),
    _xlpm.invStats, IF(C25=1,Inventario1!E:I,IF(C25=2,Inventario2!E:I,IF(C25=3,Inventario3!E:I,IF(C25=4,Inventario4!E:I,IF(C25=5,Inventario5!E:I,Inventario6!E:I))))),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IF(ROW(B25)=2,"",IF(_xlfn._xlws.FILTER(Equipar!AD$2:AD24,Equipar!C$2:C24=C25)={0},"",_xlfn._xlws.FILTER(Equipar!AD$2:AD24,Equipar!C$2:C24=C25))),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25" s="18" cm="1">
        <f t="array" ref="G25">_xlfn.LET(
    _xlpm.jugador, A25,
    _xlpm.idSel, AC25,
    _xlpm.invIDs, IF(B25=1,Inventario1!A:A,IF(B25=2,Inventario2!A:A,IF(B25=3,Inventario3!A:A,IF(B25=4,Inventario4!A:A,IF(B25=5,Inventario5!A:A,Inventario6!A:A))))),
    _xlpm.invCalidad, IF(B25=1,Inventario1!B:B,IF(B25=2,Inventario2!B:B,IF(B25=3,Inventario3!B:B,IF(B25=4,Inventario4!B:B,IF(B25=5,Inventario5!B:B,Inventario6!B:B))))),
    _xlpm.invTipos, IF(B25=1,Inventario1!C:C,IF(B25=2,Inventario2!C:C,IF(B25=3,Inventario3!C:C,IF(B25=4,Inventario4!C:C,IF(B25=5,Inventario5!C:C,Inventario6!C:C))))),
    _xlpm.invStats, IF(B25=1,Inventario1!D:H,IF(B25=2,Inventario2!D:H,IF(B25=3,Inventario3!D:H,IF(B25=4,Inventario4!D:H,IF(B25=5,Inventario5!D:H,Inventario6!D:H))))),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IF(ROW(A25)=2,"",IF(_xlfn._xlws.FILTER(Equipar!AC$2:AC24,Equipar!B$2:B24=B25)={0},"",_xlfn._xlws.FILTER(Equipar!AC$2:AC24,Equipar!B$2:B24=B25))),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H25" s="17" cm="1">
        <f t="array" ref="H25">_xlfn.LET(
    _xlpm.jugador, A25,
    _xlpm.idSel, AC25,
    _xlpm.invIDs, IF(B25=1,Inventario1!A:A,IF(B25=2,Inventario2!A:A,IF(B25=3,Inventario3!A:A,IF(B25=4,Inventario4!A:A,IF(B25=5,Inventario5!A:A,Inventario6!A:A))))),
    _xlpm.invCalidad, IF(B25=1,Inventario1!B:B,IF(B25=2,Inventario2!B:B,IF(B25=3,Inventario3!B:B,IF(B25=4,Inventario4!B:B,IF(B25=5,Inventario5!B:B,Inventario6!B:B))))),
    _xlpm.invTipos, IF(B25=1,Inventario1!C:C,IF(B25=2,Inventario2!C:C,IF(B25=3,Inventario3!C:C,IF(B25=4,Inventario4!C:C,IF(B25=5,Inventario5!C:C,Inventario6!C:C))))),
    _xlpm.invStats, IF(B25=1,Inventario1!D:H,IF(B25=2,Inventario2!D:H,IF(B25=3,Inventario3!D:H,IF(B25=4,Inventario4!D:H,IF(B25=5,Inventario5!D:H,Inventario6!D:H))))),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IF(ROW(A25)=2,"",IF(_xlfn._xlws.FILTER(Equipar!AC$2:AC24,Equipar!B$2:B24=B25)={0},"",_xlfn._xlws.FILTER(Equipar!AC$2:AC24,Equipar!B$2:B24=B25))),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I25" s="17" cm="1">
        <f t="array" ref="I25">_xlfn.LET(
    _xlpm.jugador, A25,
    _xlpm.idSel, AC25,
    _xlpm.invIDs, IF(B25=1,Inventario1!A:A,IF(B25=2,Inventario2!A:A,IF(B25=3,Inventario3!A:A,IF(B25=4,Inventario4!A:A,IF(B25=5,Inventario5!A:A,Inventario6!A:A))))),
    _xlpm.invCalidad, IF(B25=1,Inventario1!B:B,IF(B25=2,Inventario2!B:B,IF(B25=3,Inventario3!B:B,IF(B25=4,Inventario4!B:B,IF(B25=5,Inventario5!B:B,Inventario6!B:B))))),
    _xlpm.invTipos, IF(B25=1,Inventario1!C:C,IF(B25=2,Inventario2!C:C,IF(B25=3,Inventario3!C:C,IF(B25=4,Inventario4!C:C,IF(B25=5,Inventario5!C:C,Inventario6!C:C))))),
    _xlpm.invStats, IF(B25=1,Inventario1!D:H,IF(B25=2,Inventario2!D:H,IF(B25=3,Inventario3!D:H,IF(B25=4,Inventario4!D:H,IF(B25=5,Inventario5!D:H,Inventario6!D:H))))),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IF(ROW(A25)=2,"",IF(_xlfn._xlws.FILTER(Equipar!AC$2:AC24,Equipar!B$2:B24=B25)={0},"",_xlfn._xlws.FILTER(Equipar!AC$2:AC24,Equipar!B$2:B24=B25))),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J25" s="17" cm="1">
        <f t="array" aca="1" ref="J25" ca="1">_xlfn.LET(
    _xlpm.jugador, B25,
    _xlpm.idSel, AD25,
    _xlpm.invIDs, IF(C25=1,Inventario1!B:B,IF(C25=2,Inventario2!B:B,IF(C25=3,Inventario3!B:B,IF(C25=4,Inventario4!B:B,IF(C25=5,Inventario5!B:B,Inventario6!B:B))))),
    _xlpm.invCalidad, IF(C25=1,Inventario1!C:C,IF(C25=2,Inventario2!C:C,IF(C25=3,Inventario3!C:C,IF(C25=4,Inventario4!C:C,IF(C25=5,Inventario5!C:C,Inventario6!C:C))))),
    _xlpm.invTipos, IF(C25=1,Inventario1!D:D,IF(C25=2,Inventario2!D:D,IF(C25=3,Inventario3!D:D,IF(C25=4,Inventario4!D:D,IF(C25=5,Inventario5!D:D,Inventario6!D:D))))),
    _xlpm.invStats, IF(C25=1,Inventario1!E:I,IF(C25=2,Inventario2!E:I,IF(C25=3,Inventario3!E:I,IF(C25=4,Inventario4!E:I,IF(C25=5,Inventario5!E:I,Inventario6!E:I))))),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IF(ROW(B25)=2,"",IF(_xlfn._xlws.FILTER(Equipar!AD$2:AD24,Equipar!C$2:C24=C25)={0},"",_xlfn._xlws.FILTER(Equipar!AD$2:AD24,Equipar!C$2:C24=C25))),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25" s="17">
        <f t="shared" si="0"/>
        <v>23.760000000000005</v>
      </c>
      <c r="L25" s="17">
        <f t="shared" si="1"/>
        <v>-3.2399999999999949</v>
      </c>
      <c r="M25" s="17">
        <f t="shared" ca="1" si="1"/>
        <v>72</v>
      </c>
      <c r="N25" s="17">
        <f t="shared" si="2"/>
        <v>-27</v>
      </c>
      <c r="O25" s="17">
        <f t="shared" ca="1" si="2"/>
        <v>99</v>
      </c>
      <c r="P25" s="18" cm="1">
        <f t="array" aca="1" ref="P25" ca="1">_xlfn.LET(
    _xlpm.ptsPrinBase, _xlfn._xlws.FILTER(G:G, A:A=A25),
    _xlpm.ptsSecBase,  _xlfn._xlws.FILTER(H:H, A:A=A25),
    _xlpm.puntosPrin, _xlpm.ptsPrinBase + _xlfn._xlws.FILTER(B:B, A:A=A25)/1000,
    _xlpm.puntosSec,  _xlpm.ptsSecBase  + _xlfn._xlws.FILTER(B:B, A:A=A25)/1000,
    _xlpm.puntosPrinValidos, SUM(--(_xlpm.ptsPrinBase&gt;0)),
    _xlpm.puntosSecValidos,  SUM(--(_xlpm.ptsSecBase&gt;0)),
    _xlpm.clave, K25 + B25/1000,
    _xlpm.claves, _xlfn._xlws.FILTER(K:K + B:B/1000, A:A=A25),
    IF(AND(_xlpm.puntosPrinValidos&gt;=4,_xlpm.puntosSecValidos&gt;=2),IF(
        SUM(--(_xlpm.claves &gt; _xlpm.clave)) &lt; 4,
        C25,
        D25
    ),"No disp")
)</f>
        <v>25</v>
      </c>
      <c r="Q25" s="18" cm="1">
        <f t="array" aca="1" ref="Q25" ca="1">_xlfn.LET(
    _xlpm.puntosPrin, _xlfn._xlws.FILTER(G:G + B:B/1000, A:A=A25),
    _xlpm.puntosPrinValidos, SUM(--(_xlpm.puntosPrin&gt;1)),
    _xlpm.puntosTer, _xlfn._xlws.FILTER(I:I + B:B/1000, A:A=A25),
    _xlpm.puntosTerValidos, SUM(--(_xlpm.puntosTer&gt;1)),
    _xlpm.clave, L25 + B25/1000,
    _xlpm.claves, _xlfn._xlws.FILTER(L:L + B:B/1000, A:A=A25),
    IF(AND(_xlpm.puntosPrinValidos&gt;=4,_xlpm.puntosTerValidos&gt;=2),IF(
        SUM(--(_xlpm.claves &gt; _xlpm.clave)) &lt; 4,
        C25,
        E25
    ),"No disp")
)</f>
        <v>25</v>
      </c>
      <c r="R25" s="18" t="str" cm="1">
        <f t="array" aca="1" ref="R25" ca="1">_xlfn.LET(
    _xlpm.puntosPrin, _xlfn._xlws.FILTER(G:G + B:B/1000, A:A=A25),
    _xlpm.puntosPrinValidos, SUM(--(_xlpm.puntosPrin&gt;1)),
    _xlpm.puntosTer, _xlfn._xlws.FILTER(J:J + B:B/1000, A:A=A25),
    _xlpm.puntosTerValidos, SUM(--(_xlpm.puntosTer&gt;1)),
    _xlpm.clave, M25 + B25/1000,
    _xlpm.claves, _xlfn._xlws.FILTER(M:M + B:B/1000, A:A=A25),
    IF(AND(_xlpm.puntosPrinValidos&gt;=4,_xlpm.puntosTerValidos&gt;=2),IF(
        SUM(--(_xlpm.claves &gt; _xlpm.clave)) &lt; 4,
        C25,
        F25
    ),"No disp")
)</f>
        <v>No disp</v>
      </c>
      <c r="S25" s="18" cm="1">
        <f t="array" aca="1" ref="S25" ca="1">_xlfn.LET(
    _xlpm.ptsPrinBase, _xlfn._xlws.FILTER(G:G, A:A=A25),
    _xlpm.ptsSecBase,  _xlfn._xlws.FILTER(H:H, A:A=A25),
    _xlpm.puntosPrin, _xlpm.ptsPrinBase + _xlfn._xlws.FILTER(B:B, A:A=A25)/1000,
    _xlpm.puntosSec,  _xlpm.ptsSecBase  + _xlfn._xlws.FILTER(B:B, A:A=A25)/1000,
    _xlpm.puntosPrinValidos, SUM(--(_xlpm.ptsPrinBase&gt;0)),
    _xlpm.puntosSecValidos,  SUM(--(_xlpm.ptsSecBase&gt;0)),
    _xlpm.clave, K25 + B25/1000,
    _xlpm.claves, _xlfn._xlws.FILTER(K:K + B:B/1000, A:A=A25),
    IF(
        AND(_xlpm.puntosPrinValidos&gt;=2, _xlpm.puntosSecValidos&gt;=4),
        IF(
            SUM(--(_xlpm.claves &lt; _xlpm.clave)) &lt; 4,
            D25,
            C25
        ),
        "No disp"
    )
)</f>
        <v>52</v>
      </c>
      <c r="T25" s="18" cm="1">
        <f t="array" aca="1" ref="T25" ca="1">_xlfn.LET(
    _xlpm.puntosSec, _xlfn._xlws.FILTER(H:H + B:B/1000, A:A=A25),
    _xlpm.puntosSecValidos, SUM(--(_xlpm.puntosSec&gt;1)),
    _xlpm.puntosAlt, _xlfn._xlws.FILTER(I:I + B:B/1000, A:A=A25),
    _xlpm.puntosAltValidos, SUM(--(_xlpm.puntosAlt&gt;1)),
    _xlpm.clave, N25 + B25/1000,
    _xlpm.claves, _xlfn._xlws.FILTER(N:N + B:B/1000, A:A=A25),
    IF(AND(_xlpm.puntosSecValidos&gt;=4,_xlpm.puntosAltValidos&gt;=2),IF(
        SUM(--(_xlpm.claves &gt; _xlpm.clave)) &lt; 4,
        D25,
        E25
    ),"No disp")
)</f>
        <v>279</v>
      </c>
      <c r="U25" s="18" t="str" cm="1">
        <f t="array" aca="1" ref="U25" ca="1">_xlfn.LET(
    _xlpm.puntosSec, _xlfn._xlws.FILTER(H:H + B:B/1000, A:A=A25),
    _xlpm.puntosSecValidos, SUM(--(_xlpm.puntosSec&gt;1)),
    _xlpm.puntosAlt, _xlfn._xlws.FILTER(J:J + B:B/1000, A:A=A25),
    _xlpm.puntosAltValidos, SUM(--(_xlpm.puntosAlt&gt;1)),
    _xlpm.clave, O25 + B25/1000,
    _xlpm.claves, _xlfn._xlws.FILTER(O:O + B:B/1000, A:A=A25),
    IF(AND(_xlpm.puntosSecValidos&gt;=4,_xlpm.puntosAltValidos&gt;=2),IF(
        SUM(--(_xlpm.claves &gt; _xlpm.clave)) &lt; 4,
        D25,
        F25
    ),"No disp")
)</f>
        <v>No disp</v>
      </c>
      <c r="V25" s="17" cm="1">
        <f t="array" aca="1" ref="V25" ca="1">_xlfn.LET(
_xlpm.PrinIDs,_xlfn._xlws.FILTER(C:C,(A:A=A25)),
_xlpm.SecIDs,_xlfn._xlws.FILTER(D:D,(A:A=A25)),
_xlpm.TerIDs,_xlfn._xlws.FILTER(E:E,A:A=A25),
_xlpm.CuaIDs,_xlfn._xlws.FILTER(F:F,(A:A=A25)),
_xlpm.PrinPts,_xlfn._xlws.FILTER(G:G,(A:A=A25)),
_xlpm.SecPts,_xlfn._xlws.FILTER(H:H,(A:A=A25)),
_xlpm.TerPts,_xlfn._xlws.FILTER(I:I,(A:A=A25)),
_xlpm.CuaPts,_xlfn._xlws.FILTER(J:J,(A:A=A25)),
_xlpm.PSIds,_xlfn._xlws.FILTER(P:P,A:A=A25),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526.68000000000006</v>
      </c>
      <c r="W25" s="17" cm="1">
        <f t="array" aca="1" ref="W25" ca="1">_xlfn.LET(
_xlpm.PrinIDs,_xlfn._xlws.FILTER(C:C,(A:A=A25)),
_xlpm.SecIDs,_xlfn._xlws.FILTER(D:D,(A:A=A25)),
_xlpm.TerIDs,_xlfn._xlws.FILTER(E:E,A:A=A25),
_xlpm.CuaIDs,_xlfn._xlws.FILTER(F:F,(A:A=A25)),
_xlpm.PrinPts,_xlfn._xlws.FILTER(G:G,(A:A=A25)),
_xlpm.SecPts,_xlfn._xlws.FILTER(H:H,(A:A=A25)),
_xlpm.TerPts,_xlfn._xlws.FILTER(I:I,(A:A=A25)),
_xlpm.CuaPts,_xlfn._xlws.FILTER(J:J,(A:A=A25)),
_xlpm.PTIds,_xlfn._xlws.FILTER(Q:Q,A:A=A25),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563.04000000000008</v>
      </c>
      <c r="X25" s="17" cm="1">
        <f t="array" aca="1" ref="X25" ca="1">_xlfn.LET(
_xlpm.PrinIDs,_xlfn._xlws.FILTER(C:C,(A:A=A25)),
_xlpm.SecIDs,_xlfn._xlws.FILTER(D:D,(A:A=A25)),
_xlpm.TerIDs,_xlfn._xlws.FILTER(E:E,A:A=A25),
_xlpm.CuaIDs,_xlfn._xlws.FILTER(F:F,(A:A=A25)),
_xlpm.PrinPts,_xlfn._xlws.FILTER(G:G,(A:A=A25)),
_xlpm.SecPts,_xlfn._xlws.FILTER(H:H,(A:A=A25)),
_xlpm.TerPts,_xlfn._xlws.FILTER(I:I,(A:A=A25)),
_xlpm.CuaPts,_xlfn._xlws.FILTER(J:J,(A:A=A25)),
_xlpm.PCIds,_xlfn._xlws.FILTER(R:R,A:A=A25),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25" s="17" cm="1">
        <f t="array" aca="1" ref="Y25" ca="1">_xlfn.LET(
_xlpm.PrinIDs,_xlfn._xlws.FILTER(C:C,(A:A=A25)),
_xlpm.SecIDs,_xlfn._xlws.FILTER(D:D,(A:A=A25)),
_xlpm.AltIDs,_xlfn._xlws.FILTER(E:E,A:A=A25),
_xlpm.PrinPts,_xlfn._xlws.FILTER(G:G,(A:A=A25)),
_xlpm.SecPts,_xlfn._xlws.FILTER(H:H,(A:A=A25)),
_xlpm.AltPts,_xlfn._xlws.FILTER(I:I,(A:A=A25)),
_xlpm.SPIds,_xlfn._xlws.FILTER(S:S,A:A=A25),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485.1</v>
      </c>
      <c r="Z25" s="17" cm="1">
        <f t="array" aca="1" ref="Z25" ca="1">_xlfn.LET(
_xlpm.PrinIDs,_xlfn._xlws.FILTER(C:C,(A:A=A25)),
_xlpm.SecIDs,_xlfn._xlws.FILTER(D:D,(A:A=A25)),
_xlpm.TerIDs,_xlfn._xlws.FILTER(E:E,A:A=A25),
_xlpm.CuaIDs,_xlfn._xlws.FILTER(F:F,(A:A=A25)),
_xlpm.PrinPts,_xlfn._xlws.FILTER(G:G,(A:A=A25)),
_xlpm.SecPts,_xlfn._xlws.FILTER(H:H,(A:A=A25)),
_xlpm.TerPts,_xlfn._xlws.FILTER(I:I,(A:A=A25)),
_xlpm.CuaPts,_xlfn._xlws.FILTER(J:J,(A:A=A25)),
_xlpm.STIds,_xlfn._xlws.FILTER(T:T,A:A=A25),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494.28000000000003</v>
      </c>
      <c r="AA25" s="17" cm="1">
        <f t="array" aca="1" ref="AA25" ca="1">_xlfn.LET(
_xlpm.PrinIDs,_xlfn._xlws.FILTER(C:C,(A:A=A25)),
_xlpm.SecIDs,_xlfn._xlws.FILTER(D:D,(A:A=A25)),
_xlpm.TerIDs,_xlfn._xlws.FILTER(E:E,A:A=A25),
_xlpm.CuaIDs,_xlfn._xlws.FILTER(F:F,(A:A=A25)),
_xlpm.PrinPts,_xlfn._xlws.FILTER(G:G,(A:A=A25)),
_xlpm.SecPts,_xlfn._xlws.FILTER(H:H,(A:A=A25)),
_xlpm.TerPts,_xlfn._xlws.FILTER(I:I,(A:A=A25)),
_xlpm.CuaPts,_xlfn._xlws.FILTER(J:J,(A:A=A25)),
_xlpm.SCIds,_xlfn._xlws.FILTER(U:U,A:A=A25),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25" s="18">
        <f t="shared" ca="1" si="3"/>
        <v>25</v>
      </c>
      <c r="AC25" s="18">
        <v>25</v>
      </c>
      <c r="AD25" s="17"/>
      <c r="AE25" s="18" t="str">
        <f ca="1">IF(ISNUMBER(AC25),
IF($B25=1,VLOOKUP($AC25,Inventario1!$A:$H,2),
IF($B25=2,VLOOKUP($AC25,Inventario2!$A:$H,2),
IF($B25=3,VLOOKUP($AC25,Inventario3!$A:$H,2),
IF($B25=4,VLOOKUP($AC25,Inventario4!$A:$H,2),
IF($B25=5,VLOOKUP($AC25,Inventario5!$A:$H,2),
VLOOKUP($AC25,Inventario6!$A:$H,2)
))))),"No equipado")</f>
        <v>Legendario</v>
      </c>
      <c r="AF25" s="18" t="str">
        <f ca="1">IF(ISNUMBER(AC25),
IF($B25=1,VLOOKUP($AC25,Inventario1!$A:$H,3),
IF($B25=2,VLOOKUP($AC25,Inventario2!$A:$H,3),
IF($B25=3,VLOOKUP($AC25,Inventario3!$A:$H,3),
IF($B25=4,VLOOKUP($AC25,Inventario4!$A:$H,3),
IF($B25=5,VLOOKUP($AC25,Inventario5!$A:$H,3),
VLOOKUP($AC25,Inventario6!$A:$H,3)
))))),"")</f>
        <v>Saque preciso</v>
      </c>
      <c r="AG25" s="18" t="str">
        <f ca="1">IF(ISNUMBER(AC25),
IF($B25=1,VLOOKUP($AC25,Inventario1!$A:$H,4),
IF($B25=2,VLOOKUP($AC25,Inventario2!$A:$H,4),
IF($B25=3,VLOOKUP($AC25,Inventario3!$A:$H,4),
IF($B25=4,VLOOKUP($AC25,Inventario4!$A:$H,4),
IF($B25=5,VLOOKUP($AC25,Inventario5!$A:$H,4),
VLOOKUP($AC25,Inventario6!$A:$H,4)
))))),"")</f>
        <v>Colocación</v>
      </c>
      <c r="AH25" s="18" t="str">
        <f ca="1">IF(ISNUMBER(AC25),
IF($B25=1,VLOOKUP($AC25,Inventario1!$A:$H,5),
IF($B25=2,VLOOKUP($AC25,Inventario2!$A:$H,5),
IF($B25=3,VLOOKUP($AC25,Inventario3!$A:$H,5),
IF($B25=4,VLOOKUP($AC25,Inventario4!$A:$H,5),
IF($B25=5,VLOOKUP($AC25,Inventario5!$A:$H,5),
VLOOKUP($AC25,Inventario6!$A:$H,5)
))))),"")</f>
        <v>Bloqueo</v>
      </c>
      <c r="AI25" s="18" t="str">
        <f ca="1">IF(ISNUMBER(AC25),
IF($B25=1,VLOOKUP($AC25,Inventario1!$A:$H,6),
IF($B25=2,VLOOKUP($AC25,Inventario2!$A:$H,6),
IF($B25=3,VLOOKUP($AC25,Inventario3!$A:$H,6),
IF($B25=4,VLOOKUP($AC25,Inventario4!$A:$H,6),
IF($B25=5,VLOOKUP($AC25,Inventario5!$A:$H,6),
VLOOKUP($AC25,Inventario6!$A:$H,6)
))))),"")</f>
        <v>Ataque poderoso</v>
      </c>
      <c r="AJ25" s="18" t="str">
        <f ca="1">IF(ISNUMBER(AC25),
IF($B25=1,VLOOKUP($AC25,Inventario1!$A:$H,7),
IF($B25=2,VLOOKUP($AC25,Inventario2!$A:$H,7),
IF($B25=3,VLOOKUP($AC25,Inventario3!$A:$H,7),
IF($B25=4,VLOOKUP($AC25,Inventario4!$A:$H,7),
IF($B25=5,VLOOKUP($AC25,Inventario5!$A:$H,7),
VLOOKUP($AC25,Inventario6!$A:$H,7)
))))),"")</f>
        <v>Saque</v>
      </c>
      <c r="AK25" s="19" t="str">
        <f ca="1">IF(ISNUMBER(AC25),
IF($B25=1,VLOOKUP($AC25,Inventario1!$A:$H,8),
IF($B25=2,VLOOKUP($AC25,Inventario2!$A:$H,8),
IF($B25=3,VLOOKUP($AC25,Inventario3!$A:$H,8),
IF($B25=4,VLOOKUP($AC25,Inventario4!$A:$H,8),
IF($B25=5,VLOOKUP($AC25,Inventario5!$A:$H,8),
VLOOKUP($AC25,Inventario6!$A:$H,8)
))))),"")</f>
        <v>Percepción</v>
      </c>
    </row>
    <row r="26" spans="1:37" x14ac:dyDescent="0.25">
      <c r="A26" s="20" t="s">
        <v>74</v>
      </c>
      <c r="B26" s="9">
        <v>1</v>
      </c>
      <c r="C26" s="10" cm="1">
        <f t="array" aca="1" ref="C26" ca="1">_xlfn.LET(
    _xlpm.jugador, A26,
    _xlpm.idSel, AC26,
    _xlpm.invIDs, IF(B26=1,Inventario1!A:A,IF(B26=2,Inventario2!A:A,IF(B26=3,Inventario3!A:A,IF(B26=4,Inventario4!A:A,IF(B26=5,Inventario5!A:A,Inventario6!A:A))))),
    _xlpm.invCalidad, IF(B26=1,Inventario1!B:B,IF(B26=2,Inventario2!B:B,IF(B26=3,Inventario3!B:B,IF(B26=4,Inventario4!B:B,IF(B26=5,Inventario5!B:B,Inventario6!B:B))))),
    _xlpm.invTipos, IF(B26=1,Inventario1!C:C,IF(B26=2,Inventario2!C:C,IF(B26=3,Inventario3!C:C,IF(B26=4,Inventario4!C:C,IF(B26=5,Inventario5!C:C,Inventario6!C:C))))),
    _xlpm.invStats, IF(B26=1,Inventario1!D:H,IF(B26=2,Inventario2!D:H,IF(B26=3,Inventario3!D:H,IF(B26=4,Inventario4!D:H,IF(B26=5,Inventario5!D:H,Inventario6!D:H))))),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IF(ROW(A26)=2,"",IF(_xlfn._xlws.FILTER(Equipar!AC$2:AC25,Equipar!B$2:B25=B26)={0},"",_xlfn._xlws.FILTER(Equipar!AC$2:AC25,Equipar!B$2:B25=B26))),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36</v>
      </c>
      <c r="D26" s="11" cm="1">
        <f t="array" ref="D26">_xlfn.LET(
    _xlpm.jugador, A26,
    _xlpm.idSel, AC26,
    _xlpm.invIDs, IF(B26=1,Inventario1!A:A,IF(B26=2,Inventario2!A:A,IF(B26=3,Inventario3!A:A,IF(B26=4,Inventario4!A:A,IF(B26=5,Inventario5!A:A,Inventario6!A:A))))),
    _xlpm.invCalidad, IF(B26=1,Inventario1!B:B,IF(B26=2,Inventario2!B:B,IF(B26=3,Inventario3!B:B,IF(B26=4,Inventario4!B:B,IF(B26=5,Inventario5!B:B,Inventario6!B:B))))),
    _xlpm.invTipos, IF(B26=1,Inventario1!C:C,IF(B26=2,Inventario2!C:C,IF(B26=3,Inventario3!C:C,IF(B26=4,Inventario4!C:C,IF(B26=5,Inventario5!C:C,Inventario6!C:C))))),
    _xlpm.invStats, IF(B26=1,Inventario1!D:H,IF(B26=2,Inventario2!D:H,IF(B26=3,Inventario3!D:H,IF(B26=4,Inventario4!D:H,IF(B26=5,Inventario5!D:H,Inventario6!D:H))))),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IF(ROW(A26)=2,"",IF(_xlfn._xlws.FILTER(Equipar!AC$2:AC25,Equipar!B$2:B25=B26)={0},"",_xlfn._xlws.FILTER(Equipar!AC$2:AC25,Equipar!B$2:B25=B26))),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19</v>
      </c>
      <c r="E26" s="11" t="str" cm="1">
        <f t="array" ref="E26">_xlfn.LET(
    _xlpm.jugador, A26,
    _xlpm.idSel, AC26,
    _xlpm.invIDs, IF(B26=1,Inventario1!A:A,IF(B26=2,Inventario2!A:A,IF(B26=3,Inventario3!A:A,IF(B26=4,Inventario4!A:A,IF(B26=5,Inventario5!A:A,Inventario6!A:A))))),
    _xlpm.invCalidad, IF(B26=1,Inventario1!B:B,IF(B26=2,Inventario2!B:B,IF(B26=3,Inventario3!B:B,IF(B26=4,Inventario4!B:B,IF(B26=5,Inventario5!B:B,Inventario6!B:B))))),
    _xlpm.invTipos, IF(B26=1,Inventario1!C:C,IF(B26=2,Inventario2!C:C,IF(B26=3,Inventario3!C:C,IF(B26=4,Inventario4!C:C,IF(B26=5,Inventario5!C:C,Inventario6!C:C))))),
    _xlpm.invStats, IF(B26=1,Inventario1!D:H,IF(B26=2,Inventario2!D:H,IF(B26=3,Inventario3!D:H,IF(B26=4,Inventario4!D:H,IF(B26=5,Inventario5!D:H,Inventario6!D:H))))),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IF(ROW(A26)=2,"",IF(_xlfn._xlws.FILTER(Equipar!AC$2:AC25,Equipar!B$2:B25=B26)={0},"",_xlfn._xlws.FILTER(Equipar!AC$2:AC25,Equipar!B$2:B25=B26))),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26" s="11" t="str" cm="1">
        <f t="array" aca="1" ref="F26" ca="1">_xlfn.LET(
    _xlpm.jugador, B26,
    _xlpm.idSel, AD26,
    _xlpm.invIDs, IF(C26=1,Inventario1!B:B,IF(C26=2,Inventario2!B:B,IF(C26=3,Inventario3!B:B,IF(C26=4,Inventario4!B:B,IF(C26=5,Inventario5!B:B,Inventario6!B:B))))),
    _xlpm.invCalidad, IF(C26=1,Inventario1!C:C,IF(C26=2,Inventario2!C:C,IF(C26=3,Inventario3!C:C,IF(C26=4,Inventario4!C:C,IF(C26=5,Inventario5!C:C,Inventario6!C:C))))),
    _xlpm.invTipos, IF(C26=1,Inventario1!D:D,IF(C26=2,Inventario2!D:D,IF(C26=3,Inventario3!D:D,IF(C26=4,Inventario4!D:D,IF(C26=5,Inventario5!D:D,Inventario6!D:D))))),
    _xlpm.invStats, IF(C26=1,Inventario1!E:I,IF(C26=2,Inventario2!E:I,IF(C26=3,Inventario3!E:I,IF(C26=4,Inventario4!E:I,IF(C26=5,Inventario5!E:I,Inventario6!E:I))))),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IF(ROW(B26)=2,"",IF(_xlfn._xlws.FILTER(Equipar!AD$2:AD25,Equipar!C$2:C25=C26)={0},"",_xlfn._xlws.FILTER(Equipar!AD$2:AD25,Equipar!C$2:C25=C26))),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26" s="10" cm="1">
        <f t="array" aca="1" ref="G26" ca="1">_xlfn.LET(
    _xlpm.jugador, A26,
    _xlpm.idSel, AC26,
    _xlpm.invIDs, IF(B26=1,Inventario1!A:A,IF(B26=2,Inventario2!A:A,IF(B26=3,Inventario3!A:A,IF(B26=4,Inventario4!A:A,IF(B26=5,Inventario5!A:A,Inventario6!A:A))))),
    _xlpm.invCalidad, IF(B26=1,Inventario1!B:B,IF(B26=2,Inventario2!B:B,IF(B26=3,Inventario3!B:B,IF(B26=4,Inventario4!B:B,IF(B26=5,Inventario5!B:B,Inventario6!B:B))))),
    _xlpm.invTipos, IF(B26=1,Inventario1!C:C,IF(B26=2,Inventario2!C:C,IF(B26=3,Inventario3!C:C,IF(B26=4,Inventario4!C:C,IF(B26=5,Inventario5!C:C,Inventario6!C:C))))),
    _xlpm.invStats, IF(B26=1,Inventario1!D:H,IF(B26=2,Inventario2!D:H,IF(B26=3,Inventario3!D:H,IF(B26=4,Inventario4!D:H,IF(B26=5,Inventario5!D:H,Inventario6!D:H))))),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IF(ROW(A26)=2,"",IF(_xlfn._xlws.FILTER(Equipar!AC$2:AC25,Equipar!B$2:B25=B26)={0},"",_xlfn._xlws.FILTER(Equipar!AC$2:AC25,Equipar!B$2:B25=B26))),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H26" s="11" cm="1">
        <f t="array" ref="H26">_xlfn.LET(
    _xlpm.jugador, A26,
    _xlpm.idSel, AC26,
    _xlpm.invIDs, IF(B26=1,Inventario1!A:A,IF(B26=2,Inventario2!A:A,IF(B26=3,Inventario3!A:A,IF(B26=4,Inventario4!A:A,IF(B26=5,Inventario5!A:A,Inventario6!A:A))))),
    _xlpm.invCalidad, IF(B26=1,Inventario1!B:B,IF(B26=2,Inventario2!B:B,IF(B26=3,Inventario3!B:B,IF(B26=4,Inventario4!B:B,IF(B26=5,Inventario5!B:B,Inventario6!B:B))))),
    _xlpm.invTipos, IF(B26=1,Inventario1!C:C,IF(B26=2,Inventario2!C:C,IF(B26=3,Inventario3!C:C,IF(B26=4,Inventario4!C:C,IF(B26=5,Inventario5!C:C,Inventario6!C:C))))),
    _xlpm.invStats, IF(B26=1,Inventario1!D:H,IF(B26=2,Inventario2!D:H,IF(B26=3,Inventario3!D:H,IF(B26=4,Inventario4!D:H,IF(B26=5,Inventario5!D:H,Inventario6!D:H))))),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IF(ROW(A26)=2,"",IF(_xlfn._xlws.FILTER(Equipar!AC$2:AC25,Equipar!B$2:B25=B26)={0},"",_xlfn._xlws.FILTER(Equipar!AC$2:AC25,Equipar!B$2:B25=B26))),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I26" s="11" cm="1">
        <f t="array" ref="I26">_xlfn.LET(
    _xlpm.jugador, A26,
    _xlpm.idSel, AC26,
    _xlpm.invIDs, IF(B26=1,Inventario1!A:A,IF(B26=2,Inventario2!A:A,IF(B26=3,Inventario3!A:A,IF(B26=4,Inventario4!A:A,IF(B26=5,Inventario5!A:A,Inventario6!A:A))))),
    _xlpm.invCalidad, IF(B26=1,Inventario1!B:B,IF(B26=2,Inventario2!B:B,IF(B26=3,Inventario3!B:B,IF(B26=4,Inventario4!B:B,IF(B26=5,Inventario5!B:B,Inventario6!B:B))))),
    _xlpm.invTipos, IF(B26=1,Inventario1!C:C,IF(B26=2,Inventario2!C:C,IF(B26=3,Inventario3!C:C,IF(B26=4,Inventario4!C:C,IF(B26=5,Inventario5!C:C,Inventario6!C:C))))),
    _xlpm.invStats, IF(B26=1,Inventario1!D:H,IF(B26=2,Inventario2!D:H,IF(B26=3,Inventario3!D:H,IF(B26=4,Inventario4!D:H,IF(B26=5,Inventario5!D:H,Inventario6!D:H))))),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IF(ROW(A26)=2,"",IF(_xlfn._xlws.FILTER(Equipar!AC$2:AC25,Equipar!B$2:B25=B26)={0},"",_xlfn._xlws.FILTER(Equipar!AC$2:AC25,Equipar!B$2:B25=B26))),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26" s="11" cm="1">
        <f t="array" aca="1" ref="J26" ca="1">_xlfn.LET(
    _xlpm.jugador, B26,
    _xlpm.idSel, AD26,
    _xlpm.invIDs, IF(C26=1,Inventario1!B:B,IF(C26=2,Inventario2!B:B,IF(C26=3,Inventario3!B:B,IF(C26=4,Inventario4!B:B,IF(C26=5,Inventario5!B:B,Inventario6!B:B))))),
    _xlpm.invCalidad, IF(C26=1,Inventario1!C:C,IF(C26=2,Inventario2!C:C,IF(C26=3,Inventario3!C:C,IF(C26=4,Inventario4!C:C,IF(C26=5,Inventario5!C:C,Inventario6!C:C))))),
    _xlpm.invTipos, IF(C26=1,Inventario1!D:D,IF(C26=2,Inventario2!D:D,IF(C26=3,Inventario3!D:D,IF(C26=4,Inventario4!D:D,IF(C26=5,Inventario5!D:D,Inventario6!D:D))))),
    _xlpm.invStats, IF(C26=1,Inventario1!E:I,IF(C26=2,Inventario2!E:I,IF(C26=3,Inventario3!E:I,IF(C26=4,Inventario4!E:I,IF(C26=5,Inventario5!E:I,Inventario6!E:I))))),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IF(ROW(B26)=2,"",IF(_xlfn._xlws.FILTER(Equipar!AD$2:AD25,Equipar!C$2:C25=C26)={0},"",_xlfn._xlws.FILTER(Equipar!AD$2:AD25,Equipar!C$2:C25=C26))),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26" s="11">
        <f t="shared" ca="1" si="0"/>
        <v>-11.790000000000006</v>
      </c>
      <c r="L26" s="11">
        <f t="shared" ca="1" si="1"/>
        <v>72</v>
      </c>
      <c r="M26" s="11">
        <f t="shared" ca="1" si="1"/>
        <v>83.79</v>
      </c>
      <c r="N26" s="11">
        <f t="shared" si="2"/>
        <v>83.79</v>
      </c>
      <c r="O26" s="11">
        <f t="shared" ca="1" si="2"/>
        <v>0</v>
      </c>
      <c r="P26" s="10" cm="1">
        <f t="array" aca="1" ref="P26" ca="1">_xlfn.LET(
    _xlpm.ptsPrinBase, _xlfn._xlws.FILTER(G:G, A:A=A26),
    _xlpm.ptsSecBase,  _xlfn._xlws.FILTER(H:H, A:A=A26),
    _xlpm.puntosPrin, _xlpm.ptsPrinBase + _xlfn._xlws.FILTER(B:B, A:A=A26)/1000,
    _xlpm.puntosSec,  _xlpm.ptsSecBase  + _xlfn._xlws.FILTER(B:B, A:A=A26)/1000,
    _xlpm.puntosPrinValidos, SUM(--(_xlpm.ptsPrinBase&gt;0)),
    _xlpm.puntosSecValidos,  SUM(--(_xlpm.ptsSecBase&gt;0)),
    _xlpm.clave, K26 + B26/1000,
    _xlpm.claves, _xlfn._xlws.FILTER(K:K + B:B/1000, A:A=A26),
    IF(AND(_xlpm.puntosPrinValidos&gt;=4,_xlpm.puntosSecValidos&gt;=2),IF(
        SUM(--(_xlpm.claves &gt; _xlpm.clave)) &lt; 4,
        C26,
        D26
    ),"No disp")
)</f>
        <v>36</v>
      </c>
      <c r="Q26" s="10" t="str" cm="1">
        <f t="array" aca="1" ref="Q26" ca="1">_xlfn.LET(
    _xlpm.puntosPrin, _xlfn._xlws.FILTER(G:G + B:B/1000, A:A=A26),
    _xlpm.puntosPrinValidos, SUM(--(_xlpm.puntosPrin&gt;1)),
    _xlpm.puntosTer, _xlfn._xlws.FILTER(I:I + B:B/1000, A:A=A26),
    _xlpm.puntosTerValidos, SUM(--(_xlpm.puntosTer&gt;1)),
    _xlpm.clave, L26 + B26/1000,
    _xlpm.claves, _xlfn._xlws.FILTER(L:L + B:B/1000, A:A=A26),
    IF(AND(_xlpm.puntosPrinValidos&gt;=4,_xlpm.puntosTerValidos&gt;=2),IF(
        SUM(--(_xlpm.claves &gt; _xlpm.clave)) &lt; 4,
        C26,
        E26
    ),"No disp")
)</f>
        <v>No disp</v>
      </c>
      <c r="R26" s="10" t="str" cm="1">
        <f t="array" aca="1" ref="R26" ca="1">_xlfn.LET(
    _xlpm.puntosPrin, _xlfn._xlws.FILTER(G:G + B:B/1000, A:A=A26),
    _xlpm.puntosPrinValidos, SUM(--(_xlpm.puntosPrin&gt;1)),
    _xlpm.puntosTer, _xlfn._xlws.FILTER(J:J + B:B/1000, A:A=A26),
    _xlpm.puntosTerValidos, SUM(--(_xlpm.puntosTer&gt;1)),
    _xlpm.clave, M26 + B26/1000,
    _xlpm.claves, _xlfn._xlws.FILTER(M:M + B:B/1000, A:A=A26),
    IF(AND(_xlpm.puntosPrinValidos&gt;=4,_xlpm.puntosTerValidos&gt;=2),IF(
        SUM(--(_xlpm.claves &gt; _xlpm.clave)) &lt; 4,
        C26,
        F26
    ),"No disp")
)</f>
        <v>No disp</v>
      </c>
      <c r="S26" s="10" cm="1">
        <f t="array" aca="1" ref="S26" ca="1">_xlfn.LET(
    _xlpm.ptsPrinBase, _xlfn._xlws.FILTER(G:G, A:A=A26),
    _xlpm.ptsSecBase,  _xlfn._xlws.FILTER(H:H, A:A=A26),
    _xlpm.puntosPrin, _xlpm.ptsPrinBase + _xlfn._xlws.FILTER(B:B, A:A=A26)/1000,
    _xlpm.puntosSec,  _xlpm.ptsSecBase  + _xlfn._xlws.FILTER(B:B, A:A=A26)/1000,
    _xlpm.puntosPrinValidos, SUM(--(_xlpm.ptsPrinBase&gt;0)),
    _xlpm.puntosSecValidos,  SUM(--(_xlpm.ptsSecBase&gt;0)),
    _xlpm.clave, K26 + B26/1000,
    _xlpm.claves, _xlfn._xlws.FILTER(K:K + B:B/1000, A:A=A26),
    IF(
        AND(_xlpm.puntosPrinValidos&gt;=2, _xlpm.puntosSecValidos&gt;=4),
        IF(
            SUM(--(_xlpm.claves &lt; _xlpm.clave)) &lt; 4,
            D26,
            C26
        ),
        "No disp"
    )
)</f>
        <v>19</v>
      </c>
      <c r="T26" s="10" t="str" cm="1">
        <f t="array" ref="T26">_xlfn.LET(
    _xlpm.puntosSec, _xlfn._xlws.FILTER(H:H + B:B/1000, A:A=A26),
    _xlpm.puntosSecValidos, SUM(--(_xlpm.puntosSec&gt;1)),
    _xlpm.puntosAlt, _xlfn._xlws.FILTER(I:I + B:B/1000, A:A=A26),
    _xlpm.puntosAltValidos, SUM(--(_xlpm.puntosAlt&gt;1)),
    _xlpm.clave, N26 + B26/1000,
    _xlpm.claves, _xlfn._xlws.FILTER(N:N + B:B/1000, A:A=A26),
    IF(AND(_xlpm.puntosSecValidos&gt;=4,_xlpm.puntosAltValidos&gt;=2),IF(
        SUM(--(_xlpm.claves &gt; _xlpm.clave)) &lt; 4,
        D26,
        E26
    ),"No disp")
)</f>
        <v>No disp</v>
      </c>
      <c r="U26" s="10" t="str" cm="1">
        <f t="array" aca="1" ref="U26" ca="1">_xlfn.LET(
    _xlpm.puntosSec, _xlfn._xlws.FILTER(H:H + B:B/1000, A:A=A26),
    _xlpm.puntosSecValidos, SUM(--(_xlpm.puntosSec&gt;1)),
    _xlpm.puntosAlt, _xlfn._xlws.FILTER(J:J + B:B/1000, A:A=A26),
    _xlpm.puntosAltValidos, SUM(--(_xlpm.puntosAlt&gt;1)),
    _xlpm.clave, O26 + B26/1000,
    _xlpm.claves, _xlfn._xlws.FILTER(O:O + B:B/1000, A:A=A26),
    IF(AND(_xlpm.puntosSecValidos&gt;=4,_xlpm.puntosAltValidos&gt;=2),IF(
        SUM(--(_xlpm.claves &gt; _xlpm.clave)) &lt; 4,
        D26,
        F26
    ),"No disp")
)</f>
        <v>No disp</v>
      </c>
      <c r="V26" s="11" cm="1">
        <f t="array" aca="1" ref="V26" ca="1">_xlfn.LET(
_xlpm.PrinIDs,_xlfn._xlws.FILTER(C:C,(A:A=A26)),
_xlpm.SecIDs,_xlfn._xlws.FILTER(D:D,(A:A=A26)),
_xlpm.TerIDs,_xlfn._xlws.FILTER(E:E,A:A=A26),
_xlpm.CuaIDs,_xlfn._xlws.FILTER(F:F,(A:A=A26)),
_xlpm.PrinPts,_xlfn._xlws.FILTER(G:G,(A:A=A26)),
_xlpm.SecPts,_xlfn._xlws.FILTER(H:H,(A:A=A26)),
_xlpm.TerPts,_xlfn._xlws.FILTER(I:I,(A:A=A26)),
_xlpm.CuaPts,_xlfn._xlws.FILTER(J:J,(A:A=A26)),
_xlpm.PSIds,_xlfn._xlws.FILTER(P:P,A:A=A26),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407.25</v>
      </c>
      <c r="W26" s="11" cm="1">
        <f t="array" aca="1" ref="W26" ca="1">_xlfn.LET(
_xlpm.PrinIDs,_xlfn._xlws.FILTER(C:C,(A:A=A26)),
_xlpm.SecIDs,_xlfn._xlws.FILTER(D:D,(A:A=A26)),
_xlpm.TerIDs,_xlfn._xlws.FILTER(E:E,A:A=A26),
_xlpm.CuaIDs,_xlfn._xlws.FILTER(F:F,(A:A=A26)),
_xlpm.PrinPts,_xlfn._xlws.FILTER(G:G,(A:A=A26)),
_xlpm.SecPts,_xlfn._xlws.FILTER(H:H,(A:A=A26)),
_xlpm.TerPts,_xlfn._xlws.FILTER(I:I,(A:A=A26)),
_xlpm.CuaPts,_xlfn._xlws.FILTER(J:J,(A:A=A26)),
_xlpm.PTIds,_xlfn._xlws.FILTER(Q:Q,A:A=A26),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26" s="11" cm="1">
        <f t="array" aca="1" ref="X26" ca="1">_xlfn.LET(
_xlpm.PrinIDs,_xlfn._xlws.FILTER(C:C,(A:A=A26)),
_xlpm.SecIDs,_xlfn._xlws.FILTER(D:D,(A:A=A26)),
_xlpm.TerIDs,_xlfn._xlws.FILTER(E:E,A:A=A26),
_xlpm.CuaIDs,_xlfn._xlws.FILTER(F:F,(A:A=A26)),
_xlpm.PrinPts,_xlfn._xlws.FILTER(G:G,(A:A=A26)),
_xlpm.SecPts,_xlfn._xlws.FILTER(H:H,(A:A=A26)),
_xlpm.TerPts,_xlfn._xlws.FILTER(I:I,(A:A=A26)),
_xlpm.CuaPts,_xlfn._xlws.FILTER(J:J,(A:A=A26)),
_xlpm.PCIds,_xlfn._xlws.FILTER(R:R,A:A=A26),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26" s="11" cm="1">
        <f t="array" aca="1" ref="Y26" ca="1">_xlfn.LET(
_xlpm.PrinIDs,_xlfn._xlws.FILTER(C:C,(A:A=A26)),
_xlpm.SecIDs,_xlfn._xlws.FILTER(D:D,(A:A=A26)),
_xlpm.AltIDs,_xlfn._xlws.FILTER(E:E,A:A=A26),
_xlpm.PrinPts,_xlfn._xlws.FILTER(G:G,(A:A=A26)),
_xlpm.SecPts,_xlfn._xlws.FILTER(H:H,(A:A=A26)),
_xlpm.AltPts,_xlfn._xlws.FILTER(I:I,(A:A=A26)),
_xlpm.SPIds,_xlfn._xlws.FILTER(S:S,A:A=A26),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419.04</v>
      </c>
      <c r="Z26" s="11" cm="1">
        <f t="array" aca="1" ref="Z26" ca="1">_xlfn.LET(
_xlpm.PrinIDs,_xlfn._xlws.FILTER(C:C,(A:A=A26)),
_xlpm.SecIDs,_xlfn._xlws.FILTER(D:D,(A:A=A26)),
_xlpm.TerIDs,_xlfn._xlws.FILTER(E:E,A:A=A26),
_xlpm.CuaIDs,_xlfn._xlws.FILTER(F:F,(A:A=A26)),
_xlpm.PrinPts,_xlfn._xlws.FILTER(G:G,(A:A=A26)),
_xlpm.SecPts,_xlfn._xlws.FILTER(H:H,(A:A=A26)),
_xlpm.TerPts,_xlfn._xlws.FILTER(I:I,(A:A=A26)),
_xlpm.CuaPts,_xlfn._xlws.FILTER(J:J,(A:A=A26)),
_xlpm.STIds,_xlfn._xlws.FILTER(T:T,A:A=A26),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26" s="11" cm="1">
        <f t="array" aca="1" ref="AA26" ca="1">_xlfn.LET(
_xlpm.PrinIDs,_xlfn._xlws.FILTER(C:C,(A:A=A26)),
_xlpm.SecIDs,_xlfn._xlws.FILTER(D:D,(A:A=A26)),
_xlpm.TerIDs,_xlfn._xlws.FILTER(E:E,A:A=A26),
_xlpm.CuaIDs,_xlfn._xlws.FILTER(F:F,(A:A=A26)),
_xlpm.PrinPts,_xlfn._xlws.FILTER(G:G,(A:A=A26)),
_xlpm.SecPts,_xlfn._xlws.FILTER(H:H,(A:A=A26)),
_xlpm.TerPts,_xlfn._xlws.FILTER(I:I,(A:A=A26)),
_xlpm.CuaPts,_xlfn._xlws.FILTER(J:J,(A:A=A26)),
_xlpm.SCIds,_xlfn._xlws.FILTER(U:U,A:A=A26),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26" s="10">
        <f t="shared" ca="1" si="3"/>
        <v>19</v>
      </c>
      <c r="AC26" s="10">
        <v>19</v>
      </c>
      <c r="AD26" s="11"/>
      <c r="AE26" s="10" t="str">
        <f ca="1">IF(ISNUMBER(AC26),
IF($B26=1,VLOOKUP($AC26,Inventario1!$A:$H,2),
IF($B26=2,VLOOKUP($AC26,Inventario2!$A:$H,2),
IF($B26=3,VLOOKUP($AC26,Inventario3!$A:$H,2),
IF($B26=4,VLOOKUP($AC26,Inventario4!$A:$H,2),
IF($B26=5,VLOOKUP($AC26,Inventario5!$A:$H,2),
VLOOKUP($AC26,Inventario6!$A:$H,2)
))))),"No equipado")</f>
        <v>Legendario</v>
      </c>
      <c r="AF26" s="10" t="str">
        <f ca="1">IF(ISNUMBER(AC26),
IF($B26=1,VLOOKUP($AC26,Inventario1!$A:$H,3),
IF($B26=2,VLOOKUP($AC26,Inventario2!$A:$H,3),
IF($B26=3,VLOOKUP($AC26,Inventario3!$A:$H,3),
IF($B26=4,VLOOKUP($AC26,Inventario4!$A:$H,3),
IF($B26=5,VLOOKUP($AC26,Inventario5!$A:$H,3),
VLOOKUP($AC26,Inventario6!$A:$H,3)
))))),"")</f>
        <v>Sentido agudo</v>
      </c>
      <c r="AG26" s="10" t="str">
        <f ca="1">IF(ISNUMBER(AC26),
IF($B26=1,VLOOKUP($AC26,Inventario1!$A:$H,4),
IF($B26=2,VLOOKUP($AC26,Inventario2!$A:$H,4),
IF($B26=3,VLOOKUP($AC26,Inventario3!$A:$H,4),
IF($B26=4,VLOOKUP($AC26,Inventario4!$A:$H,4),
IF($B26=5,VLOOKUP($AC26,Inventario5!$A:$H,4),
VLOOKUP($AC26,Inventario6!$A:$H,4)
))))),"")</f>
        <v>Ataque rápido</v>
      </c>
      <c r="AH26" s="10" t="str">
        <f ca="1">IF(ISNUMBER(AC26),
IF($B26=1,VLOOKUP($AC26,Inventario1!$A:$H,5),
IF($B26=2,VLOOKUP($AC26,Inventario2!$A:$H,5),
IF($B26=3,VLOOKUP($AC26,Inventario3!$A:$H,5),
IF($B26=4,VLOOKUP($AC26,Inventario4!$A:$H,5),
IF($B26=5,VLOOKUP($AC26,Inventario5!$A:$H,5),
VLOOKUP($AC26,Inventario6!$A:$H,5)
))))),"")</f>
        <v>Bloqueo</v>
      </c>
      <c r="AI26" s="10" t="str">
        <f ca="1">IF(ISNUMBER(AC26),
IF($B26=1,VLOOKUP($AC26,Inventario1!$A:$H,6),
IF($B26=2,VLOOKUP($AC26,Inventario2!$A:$H,6),
IF($B26=3,VLOOKUP($AC26,Inventario3!$A:$H,6),
IF($B26=4,VLOOKUP($AC26,Inventario4!$A:$H,6),
IF($B26=5,VLOOKUP($AC26,Inventario5!$A:$H,6),
VLOOKUP($AC26,Inventario6!$A:$H,6)
))))),"")</f>
        <v>Saque</v>
      </c>
      <c r="AJ26" s="10" t="str">
        <f ca="1">IF(ISNUMBER(AC26),
IF($B26=1,VLOOKUP($AC26,Inventario1!$A:$H,7),
IF($B26=2,VLOOKUP($AC26,Inventario2!$A:$H,7),
IF($B26=3,VLOOKUP($AC26,Inventario3!$A:$H,7),
IF($B26=4,VLOOKUP($AC26,Inventario4!$A:$H,7),
IF($B26=5,VLOOKUP($AC26,Inventario5!$A:$H,7),
VLOOKUP($AC26,Inventario6!$A:$H,7)
))))),"")</f>
        <v>Ataque rápido</v>
      </c>
      <c r="AK26" s="12">
        <f ca="1">IF(ISNUMBER(AC26),
IF($B26=1,VLOOKUP($AC26,Inventario1!$A:$H,8),
IF($B26=2,VLOOKUP($AC26,Inventario2!$A:$H,8),
IF($B26=3,VLOOKUP($AC26,Inventario3!$A:$H,8),
IF($B26=4,VLOOKUP($AC26,Inventario4!$A:$H,8),
IF($B26=5,VLOOKUP($AC26,Inventario5!$A:$H,8),
VLOOKUP($AC26,Inventario6!$A:$H,8)
))))),"")</f>
        <v>0</v>
      </c>
    </row>
    <row r="27" spans="1:37" x14ac:dyDescent="0.25">
      <c r="A27" s="21" t="s">
        <v>74</v>
      </c>
      <c r="B27" s="3">
        <v>2</v>
      </c>
      <c r="C27" s="14" cm="1">
        <f t="array" ref="C27">_xlfn.LET(
    _xlpm.jugador, A27,
    _xlpm.idSel, AC27,
    _xlpm.invIDs, IF(B27=1,Inventario1!A:A,IF(B27=2,Inventario2!A:A,IF(B27=3,Inventario3!A:A,IF(B27=4,Inventario4!A:A,IF(B27=5,Inventario5!A:A,Inventario6!A:A))))),
    _xlpm.invCalidad, IF(B27=1,Inventario1!B:B,IF(B27=2,Inventario2!B:B,IF(B27=3,Inventario3!B:B,IF(B27=4,Inventario4!B:B,IF(B27=5,Inventario5!B:B,Inventario6!B:B))))),
    _xlpm.invTipos, IF(B27=1,Inventario1!C:C,IF(B27=2,Inventario2!C:C,IF(B27=3,Inventario3!C:C,IF(B27=4,Inventario4!C:C,IF(B27=5,Inventario5!C:C,Inventario6!C:C))))),
    _xlpm.invStats, IF(B27=1,Inventario1!D:H,IF(B27=2,Inventario2!D:H,IF(B27=3,Inventario3!D:H,IF(B27=4,Inventario4!D:H,IF(B27=5,Inventario5!D:H,Inventario6!D:H))))),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IF(ROW(A27)=2,"",IF(_xlfn._xlws.FILTER(Equipar!AC$2:AC26,Equipar!B$2:B26=B27)={0},"",_xlfn._xlws.FILTER(Equipar!AC$2:AC26,Equipar!B$2:B26=B27))),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</v>
      </c>
      <c r="D27" s="4" cm="1">
        <f t="array" ref="D27">_xlfn.LET(
    _xlpm.jugador, A27,
    _xlpm.idSel, AC27,
    _xlpm.invIDs, IF(B27=1,Inventario1!A:A,IF(B27=2,Inventario2!A:A,IF(B27=3,Inventario3!A:A,IF(B27=4,Inventario4!A:A,IF(B27=5,Inventario5!A:A,Inventario6!A:A))))),
    _xlpm.invCalidad, IF(B27=1,Inventario1!B:B,IF(B27=2,Inventario2!B:B,IF(B27=3,Inventario3!B:B,IF(B27=4,Inventario4!B:B,IF(B27=5,Inventario5!B:B,Inventario6!B:B))))),
    _xlpm.invTipos, IF(B27=1,Inventario1!C:C,IF(B27=2,Inventario2!C:C,IF(B27=3,Inventario3!C:C,IF(B27=4,Inventario4!C:C,IF(B27=5,Inventario5!C:C,Inventario6!C:C))))),
    _xlpm.invStats, IF(B27=1,Inventario1!D:H,IF(B27=2,Inventario2!D:H,IF(B27=3,Inventario3!D:H,IF(B27=4,Inventario4!D:H,IF(B27=5,Inventario5!D:H,Inventario6!D:H))))),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IF(ROW(A27)=2,"",IF(_xlfn._xlws.FILTER(Equipar!AC$2:AC26,Equipar!B$2:B26=B27)={0},"",_xlfn._xlws.FILTER(Equipar!AC$2:AC26,Equipar!B$2:B26=B27))),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16</v>
      </c>
      <c r="E27" s="4" t="str" cm="1">
        <f t="array" ref="E27">_xlfn.LET(
    _xlpm.jugador, A27,
    _xlpm.idSel, AC27,
    _xlpm.invIDs, IF(B27=1,Inventario1!A:A,IF(B27=2,Inventario2!A:A,IF(B27=3,Inventario3!A:A,IF(B27=4,Inventario4!A:A,IF(B27=5,Inventario5!A:A,Inventario6!A:A))))),
    _xlpm.invCalidad, IF(B27=1,Inventario1!B:B,IF(B27=2,Inventario2!B:B,IF(B27=3,Inventario3!B:B,IF(B27=4,Inventario4!B:B,IF(B27=5,Inventario5!B:B,Inventario6!B:B))))),
    _xlpm.invTipos, IF(B27=1,Inventario1!C:C,IF(B27=2,Inventario2!C:C,IF(B27=3,Inventario3!C:C,IF(B27=4,Inventario4!C:C,IF(B27=5,Inventario5!C:C,Inventario6!C:C))))),
    _xlpm.invStats, IF(B27=1,Inventario1!D:H,IF(B27=2,Inventario2!D:H,IF(B27=3,Inventario3!D:H,IF(B27=4,Inventario4!D:H,IF(B27=5,Inventario5!D:H,Inventario6!D:H))))),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IF(ROW(A27)=2,"",IF(_xlfn._xlws.FILTER(Equipar!AC$2:AC26,Equipar!B$2:B26=B27)={0},"",_xlfn._xlws.FILTER(Equipar!AC$2:AC26,Equipar!B$2:B26=B27))),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27" s="4" t="str" cm="1">
        <f t="array" aca="1" ref="F27" ca="1">_xlfn.LET(
    _xlpm.jugador, B27,
    _xlpm.idSel, AD27,
    _xlpm.invIDs, IF(C27=1,Inventario1!B:B,IF(C27=2,Inventario2!B:B,IF(C27=3,Inventario3!B:B,IF(C27=4,Inventario4!B:B,IF(C27=5,Inventario5!B:B,Inventario6!B:B))))),
    _xlpm.invCalidad, IF(C27=1,Inventario1!C:C,IF(C27=2,Inventario2!C:C,IF(C27=3,Inventario3!C:C,IF(C27=4,Inventario4!C:C,IF(C27=5,Inventario5!C:C,Inventario6!C:C))))),
    _xlpm.invTipos, IF(C27=1,Inventario1!D:D,IF(C27=2,Inventario2!D:D,IF(C27=3,Inventario3!D:D,IF(C27=4,Inventario4!D:D,IF(C27=5,Inventario5!D:D,Inventario6!D:D))))),
    _xlpm.invStats, IF(C27=1,Inventario1!E:I,IF(C27=2,Inventario2!E:I,IF(C27=3,Inventario3!E:I,IF(C27=4,Inventario4!E:I,IF(C27=5,Inventario5!E:I,Inventario6!E:I))))),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IF(ROW(B27)=2,"",IF(_xlfn._xlws.FILTER(Equipar!AD$2:AD26,Equipar!C$2:C26=C27)={0},"",_xlfn._xlws.FILTER(Equipar!AD$2:AD26,Equipar!C$2:C26=C27))),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27" s="14" cm="1">
        <f t="array" ref="G27">_xlfn.LET(
    _xlpm.jugador, A27,
    _xlpm.idSel, AC27,
    _xlpm.invIDs, IF(B27=1,Inventario1!A:A,IF(B27=2,Inventario2!A:A,IF(B27=3,Inventario3!A:A,IF(B27=4,Inventario4!A:A,IF(B27=5,Inventario5!A:A,Inventario6!A:A))))),
    _xlpm.invCalidad, IF(B27=1,Inventario1!B:B,IF(B27=2,Inventario2!B:B,IF(B27=3,Inventario3!B:B,IF(B27=4,Inventario4!B:B,IF(B27=5,Inventario5!B:B,Inventario6!B:B))))),
    _xlpm.invTipos, IF(B27=1,Inventario1!C:C,IF(B27=2,Inventario2!C:C,IF(B27=3,Inventario3!C:C,IF(B27=4,Inventario4!C:C,IF(B27=5,Inventario5!C:C,Inventario6!C:C))))),
    _xlpm.invStats, IF(B27=1,Inventario1!D:H,IF(B27=2,Inventario2!D:H,IF(B27=3,Inventario3!D:H,IF(B27=4,Inventario4!D:H,IF(B27=5,Inventario5!D:H,Inventario6!D:H))))),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IF(ROW(A27)=2,"",IF(_xlfn._xlws.FILTER(Equipar!AC$2:AC26,Equipar!B$2:B26=B27)={0},"",_xlfn._xlws.FILTER(Equipar!AC$2:AC26,Equipar!B$2:B26=B27))),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H27" s="4" cm="1">
        <f t="array" ref="H27">_xlfn.LET(
    _xlpm.jugador, A27,
    _xlpm.idSel, AC27,
    _xlpm.invIDs, IF(B27=1,Inventario1!A:A,IF(B27=2,Inventario2!A:A,IF(B27=3,Inventario3!A:A,IF(B27=4,Inventario4!A:A,IF(B27=5,Inventario5!A:A,Inventario6!A:A))))),
    _xlpm.invCalidad, IF(B27=1,Inventario1!B:B,IF(B27=2,Inventario2!B:B,IF(B27=3,Inventario3!B:B,IF(B27=4,Inventario4!B:B,IF(B27=5,Inventario5!B:B,Inventario6!B:B))))),
    _xlpm.invTipos, IF(B27=1,Inventario1!C:C,IF(B27=2,Inventario2!C:C,IF(B27=3,Inventario3!C:C,IF(B27=4,Inventario4!C:C,IF(B27=5,Inventario5!C:C,Inventario6!C:C))))),
    _xlpm.invStats, IF(B27=1,Inventario1!D:H,IF(B27=2,Inventario2!D:H,IF(B27=3,Inventario3!D:H,IF(B27=4,Inventario4!D:H,IF(B27=5,Inventario5!D:H,Inventario6!D:H))))),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IF(ROW(A27)=2,"",IF(_xlfn._xlws.FILTER(Equipar!AC$2:AC26,Equipar!B$2:B26=B27)={0},"",_xlfn._xlws.FILTER(Equipar!AC$2:AC26,Equipar!B$2:B26=B27))),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I27" s="4" cm="1">
        <f t="array" ref="I27">_xlfn.LET(
    _xlpm.jugador, A27,
    _xlpm.idSel, AC27,
    _xlpm.invIDs, IF(B27=1,Inventario1!A:A,IF(B27=2,Inventario2!A:A,IF(B27=3,Inventario3!A:A,IF(B27=4,Inventario4!A:A,IF(B27=5,Inventario5!A:A,Inventario6!A:A))))),
    _xlpm.invCalidad, IF(B27=1,Inventario1!B:B,IF(B27=2,Inventario2!B:B,IF(B27=3,Inventario3!B:B,IF(B27=4,Inventario4!B:B,IF(B27=5,Inventario5!B:B,Inventario6!B:B))))),
    _xlpm.invTipos, IF(B27=1,Inventario1!C:C,IF(B27=2,Inventario2!C:C,IF(B27=3,Inventario3!C:C,IF(B27=4,Inventario4!C:C,IF(B27=5,Inventario5!C:C,Inventario6!C:C))))),
    _xlpm.invStats, IF(B27=1,Inventario1!D:H,IF(B27=2,Inventario2!D:H,IF(B27=3,Inventario3!D:H,IF(B27=4,Inventario4!D:H,IF(B27=5,Inventario5!D:H,Inventario6!D:H))))),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IF(ROW(A27)=2,"",IF(_xlfn._xlws.FILTER(Equipar!AC$2:AC26,Equipar!B$2:B26=B27)={0},"",_xlfn._xlws.FILTER(Equipar!AC$2:AC26,Equipar!B$2:B26=B27))),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27" s="4" cm="1">
        <f t="array" aca="1" ref="J27" ca="1">_xlfn.LET(
    _xlpm.jugador, B27,
    _xlpm.idSel, AD27,
    _xlpm.invIDs, IF(C27=1,Inventario1!B:B,IF(C27=2,Inventario2!B:B,IF(C27=3,Inventario3!B:B,IF(C27=4,Inventario4!B:B,IF(C27=5,Inventario5!B:B,Inventario6!B:B))))),
    _xlpm.invCalidad, IF(C27=1,Inventario1!C:C,IF(C27=2,Inventario2!C:C,IF(C27=3,Inventario3!C:C,IF(C27=4,Inventario4!C:C,IF(C27=5,Inventario5!C:C,Inventario6!C:C))))),
    _xlpm.invTipos, IF(C27=1,Inventario1!D:D,IF(C27=2,Inventario2!D:D,IF(C27=3,Inventario3!D:D,IF(C27=4,Inventario4!D:D,IF(C27=5,Inventario5!D:D,Inventario6!D:D))))),
    _xlpm.invStats, IF(C27=1,Inventario1!E:I,IF(C27=2,Inventario2!E:I,IF(C27=3,Inventario3!E:I,IF(C27=4,Inventario4!E:I,IF(C27=5,Inventario5!E:I,Inventario6!E:I))))),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IF(ROW(B27)=2,"",IF(_xlfn._xlws.FILTER(Equipar!AD$2:AD26,Equipar!C$2:C26=C27)={0},"",_xlfn._xlws.FILTER(Equipar!AD$2:AD26,Equipar!C$2:C26=C27))),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27" s="4">
        <f t="shared" si="0"/>
        <v>23.939999999999998</v>
      </c>
      <c r="L27" s="4">
        <f t="shared" si="1"/>
        <v>95.76</v>
      </c>
      <c r="M27" s="4">
        <f t="shared" ca="1" si="1"/>
        <v>71.820000000000007</v>
      </c>
      <c r="N27" s="4">
        <f t="shared" si="2"/>
        <v>71.820000000000007</v>
      </c>
      <c r="O27" s="4">
        <f t="shared" ca="1" si="2"/>
        <v>0</v>
      </c>
      <c r="P27" s="14" cm="1">
        <f t="array" aca="1" ref="P27" ca="1">_xlfn.LET(
    _xlpm.ptsPrinBase, _xlfn._xlws.FILTER(G:G, A:A=A27),
    _xlpm.ptsSecBase,  _xlfn._xlws.FILTER(H:H, A:A=A27),
    _xlpm.puntosPrin, _xlpm.ptsPrinBase + _xlfn._xlws.FILTER(B:B, A:A=A27)/1000,
    _xlpm.puntosSec,  _xlpm.ptsSecBase  + _xlfn._xlws.FILTER(B:B, A:A=A27)/1000,
    _xlpm.puntosPrinValidos, SUM(--(_xlpm.ptsPrinBase&gt;0)),
    _xlpm.puntosSecValidos,  SUM(--(_xlpm.ptsSecBase&gt;0)),
    _xlpm.clave, K27 + B27/1000,
    _xlpm.claves, _xlfn._xlws.FILTER(K:K + B:B/1000, A:A=A27),
    IF(AND(_xlpm.puntosPrinValidos&gt;=4,_xlpm.puntosSecValidos&gt;=2),IF(
        SUM(--(_xlpm.claves &gt; _xlpm.clave)) &lt; 4,
        C27,
        D27
    ),"No disp")
)</f>
        <v>14</v>
      </c>
      <c r="Q27" s="14" t="str" cm="1">
        <f t="array" aca="1" ref="Q27" ca="1">_xlfn.LET(
    _xlpm.puntosPrin, _xlfn._xlws.FILTER(G:G + B:B/1000, A:A=A27),
    _xlpm.puntosPrinValidos, SUM(--(_xlpm.puntosPrin&gt;1)),
    _xlpm.puntosTer, _xlfn._xlws.FILTER(I:I + B:B/1000, A:A=A27),
    _xlpm.puntosTerValidos, SUM(--(_xlpm.puntosTer&gt;1)),
    _xlpm.clave, L27 + B27/1000,
    _xlpm.claves, _xlfn._xlws.FILTER(L:L + B:B/1000, A:A=A27),
    IF(AND(_xlpm.puntosPrinValidos&gt;=4,_xlpm.puntosTerValidos&gt;=2),IF(
        SUM(--(_xlpm.claves &gt; _xlpm.clave)) &lt; 4,
        C27,
        E27
    ),"No disp")
)</f>
        <v>No disp</v>
      </c>
      <c r="R27" s="14" t="str" cm="1">
        <f t="array" aca="1" ref="R27" ca="1">_xlfn.LET(
    _xlpm.puntosPrin, _xlfn._xlws.FILTER(G:G + B:B/1000, A:A=A27),
    _xlpm.puntosPrinValidos, SUM(--(_xlpm.puntosPrin&gt;1)),
    _xlpm.puntosTer, _xlfn._xlws.FILTER(J:J + B:B/1000, A:A=A27),
    _xlpm.puntosTerValidos, SUM(--(_xlpm.puntosTer&gt;1)),
    _xlpm.clave, M27 + B27/1000,
    _xlpm.claves, _xlfn._xlws.FILTER(M:M + B:B/1000, A:A=A27),
    IF(AND(_xlpm.puntosPrinValidos&gt;=4,_xlpm.puntosTerValidos&gt;=2),IF(
        SUM(--(_xlpm.claves &gt; _xlpm.clave)) &lt; 4,
        C27,
        F27
    ),"No disp")
)</f>
        <v>No disp</v>
      </c>
      <c r="S27" s="14" cm="1">
        <f t="array" aca="1" ref="S27" ca="1">_xlfn.LET(
    _xlpm.ptsPrinBase, _xlfn._xlws.FILTER(G:G, A:A=A27),
    _xlpm.ptsSecBase,  _xlfn._xlws.FILTER(H:H, A:A=A27),
    _xlpm.puntosPrin, _xlpm.ptsPrinBase + _xlfn._xlws.FILTER(B:B, A:A=A27)/1000,
    _xlpm.puntosSec,  _xlpm.ptsSecBase  + _xlfn._xlws.FILTER(B:B, A:A=A27)/1000,
    _xlpm.puntosPrinValidos, SUM(--(_xlpm.ptsPrinBase&gt;0)),
    _xlpm.puntosSecValidos,  SUM(--(_xlpm.ptsSecBase&gt;0)),
    _xlpm.clave, K27 + B27/1000,
    _xlpm.claves, _xlfn._xlws.FILTER(K:K + B:B/1000, A:A=A27),
    IF(
        AND(_xlpm.puntosPrinValidos&gt;=2, _xlpm.puntosSecValidos&gt;=4),
        IF(
            SUM(--(_xlpm.claves &lt; _xlpm.clave)) &lt; 4,
            D27,
            C27
        ),
        "No disp"
    )
)</f>
        <v>14</v>
      </c>
      <c r="T27" s="14" t="str" cm="1">
        <f t="array" ref="T27">_xlfn.LET(
    _xlpm.puntosSec, _xlfn._xlws.FILTER(H:H + B:B/1000, A:A=A27),
    _xlpm.puntosSecValidos, SUM(--(_xlpm.puntosSec&gt;1)),
    _xlpm.puntosAlt, _xlfn._xlws.FILTER(I:I + B:B/1000, A:A=A27),
    _xlpm.puntosAltValidos, SUM(--(_xlpm.puntosAlt&gt;1)),
    _xlpm.clave, N27 + B27/1000,
    _xlpm.claves, _xlfn._xlws.FILTER(N:N + B:B/1000, A:A=A27),
    IF(AND(_xlpm.puntosSecValidos&gt;=4,_xlpm.puntosAltValidos&gt;=2),IF(
        SUM(--(_xlpm.claves &gt; _xlpm.clave)) &lt; 4,
        D27,
        E27
    ),"No disp")
)</f>
        <v>No disp</v>
      </c>
      <c r="U27" s="14" t="str" cm="1">
        <f t="array" aca="1" ref="U27" ca="1">_xlfn.LET(
    _xlpm.puntosSec, _xlfn._xlws.FILTER(H:H + B:B/1000, A:A=A27),
    _xlpm.puntosSecValidos, SUM(--(_xlpm.puntosSec&gt;1)),
    _xlpm.puntosAlt, _xlfn._xlws.FILTER(J:J + B:B/1000, A:A=A27),
    _xlpm.puntosAltValidos, SUM(--(_xlpm.puntosAlt&gt;1)),
    _xlpm.clave, O27 + B27/1000,
    _xlpm.claves, _xlfn._xlws.FILTER(O:O + B:B/1000, A:A=A27),
    IF(AND(_xlpm.puntosSecValidos&gt;=4,_xlpm.puntosAltValidos&gt;=2),IF(
        SUM(--(_xlpm.claves &gt; _xlpm.clave)) &lt; 4,
        D27,
        F27
    ),"No disp")
)</f>
        <v>No disp</v>
      </c>
      <c r="V27" s="4" cm="1">
        <f t="array" aca="1" ref="V27" ca="1">_xlfn.LET(
_xlpm.PrinIDs,_xlfn._xlws.FILTER(C:C,(A:A=A27)),
_xlpm.SecIDs,_xlfn._xlws.FILTER(D:D,(A:A=A27)),
_xlpm.TerIDs,_xlfn._xlws.FILTER(E:E,A:A=A27),
_xlpm.CuaIDs,_xlfn._xlws.FILTER(F:F,(A:A=A27)),
_xlpm.PrinPts,_xlfn._xlws.FILTER(G:G,(A:A=A27)),
_xlpm.SecPts,_xlfn._xlws.FILTER(H:H,(A:A=A27)),
_xlpm.TerPts,_xlfn._xlws.FILTER(I:I,(A:A=A27)),
_xlpm.CuaPts,_xlfn._xlws.FILTER(J:J,(A:A=A27)),
_xlpm.PSIds,_xlfn._xlws.FILTER(P:P,A:A=A27),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407.25</v>
      </c>
      <c r="W27" s="4" cm="1">
        <f t="array" aca="1" ref="W27" ca="1">_xlfn.LET(
_xlpm.PrinIDs,_xlfn._xlws.FILTER(C:C,(A:A=A27)),
_xlpm.SecIDs,_xlfn._xlws.FILTER(D:D,(A:A=A27)),
_xlpm.TerIDs,_xlfn._xlws.FILTER(E:E,A:A=A27),
_xlpm.CuaIDs,_xlfn._xlws.FILTER(F:F,(A:A=A27)),
_xlpm.PrinPts,_xlfn._xlws.FILTER(G:G,(A:A=A27)),
_xlpm.SecPts,_xlfn._xlws.FILTER(H:H,(A:A=A27)),
_xlpm.TerPts,_xlfn._xlws.FILTER(I:I,(A:A=A27)),
_xlpm.CuaPts,_xlfn._xlws.FILTER(J:J,(A:A=A27)),
_xlpm.PTIds,_xlfn._xlws.FILTER(Q:Q,A:A=A27),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27" s="4" cm="1">
        <f t="array" aca="1" ref="X27" ca="1">_xlfn.LET(
_xlpm.PrinIDs,_xlfn._xlws.FILTER(C:C,(A:A=A27)),
_xlpm.SecIDs,_xlfn._xlws.FILTER(D:D,(A:A=A27)),
_xlpm.TerIDs,_xlfn._xlws.FILTER(E:E,A:A=A27),
_xlpm.CuaIDs,_xlfn._xlws.FILTER(F:F,(A:A=A27)),
_xlpm.PrinPts,_xlfn._xlws.FILTER(G:G,(A:A=A27)),
_xlpm.SecPts,_xlfn._xlws.FILTER(H:H,(A:A=A27)),
_xlpm.TerPts,_xlfn._xlws.FILTER(I:I,(A:A=A27)),
_xlpm.CuaPts,_xlfn._xlws.FILTER(J:J,(A:A=A27)),
_xlpm.PCIds,_xlfn._xlws.FILTER(R:R,A:A=A27),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27" s="4" cm="1">
        <f t="array" aca="1" ref="Y27" ca="1">_xlfn.LET(
_xlpm.PrinIDs,_xlfn._xlws.FILTER(C:C,(A:A=A27)),
_xlpm.SecIDs,_xlfn._xlws.FILTER(D:D,(A:A=A27)),
_xlpm.AltIDs,_xlfn._xlws.FILTER(E:E,A:A=A27),
_xlpm.PrinPts,_xlfn._xlws.FILTER(G:G,(A:A=A27)),
_xlpm.SecPts,_xlfn._xlws.FILTER(H:H,(A:A=A27)),
_xlpm.AltPts,_xlfn._xlws.FILTER(I:I,(A:A=A27)),
_xlpm.SPIds,_xlfn._xlws.FILTER(S:S,A:A=A27),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419.04</v>
      </c>
      <c r="Z27" s="4" cm="1">
        <f t="array" aca="1" ref="Z27" ca="1">_xlfn.LET(
_xlpm.PrinIDs,_xlfn._xlws.FILTER(C:C,(A:A=A27)),
_xlpm.SecIDs,_xlfn._xlws.FILTER(D:D,(A:A=A27)),
_xlpm.TerIDs,_xlfn._xlws.FILTER(E:E,A:A=A27),
_xlpm.CuaIDs,_xlfn._xlws.FILTER(F:F,(A:A=A27)),
_xlpm.PrinPts,_xlfn._xlws.FILTER(G:G,(A:A=A27)),
_xlpm.SecPts,_xlfn._xlws.FILTER(H:H,(A:A=A27)),
_xlpm.TerPts,_xlfn._xlws.FILTER(I:I,(A:A=A27)),
_xlpm.CuaPts,_xlfn._xlws.FILTER(J:J,(A:A=A27)),
_xlpm.STIds,_xlfn._xlws.FILTER(T:T,A:A=A27),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27" s="4" cm="1">
        <f t="array" aca="1" ref="AA27" ca="1">_xlfn.LET(
_xlpm.PrinIDs,_xlfn._xlws.FILTER(C:C,(A:A=A27)),
_xlpm.SecIDs,_xlfn._xlws.FILTER(D:D,(A:A=A27)),
_xlpm.TerIDs,_xlfn._xlws.FILTER(E:E,A:A=A27),
_xlpm.CuaIDs,_xlfn._xlws.FILTER(F:F,(A:A=A27)),
_xlpm.PrinPts,_xlfn._xlws.FILTER(G:G,(A:A=A27)),
_xlpm.SecPts,_xlfn._xlws.FILTER(H:H,(A:A=A27)),
_xlpm.TerPts,_xlfn._xlws.FILTER(I:I,(A:A=A27)),
_xlpm.CuaPts,_xlfn._xlws.FILTER(J:J,(A:A=A27)),
_xlpm.SCIds,_xlfn._xlws.FILTER(U:U,A:A=A27),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27" s="14">
        <f t="shared" ca="1" si="3"/>
        <v>14</v>
      </c>
      <c r="AC27" s="14">
        <v>14</v>
      </c>
      <c r="AD27" s="4"/>
      <c r="AE27" s="14" t="str">
        <f ca="1">IF(ISNUMBER(AC27),
IF($B27=1,VLOOKUP($AC27,Inventario1!$A:$H,2),
IF($B27=2,VLOOKUP($AC27,Inventario2!$A:$H,2),
IF($B27=3,VLOOKUP($AC27,Inventario3!$A:$H,2),
IF($B27=4,VLOOKUP($AC27,Inventario4!$A:$H,2),
IF($B27=5,VLOOKUP($AC27,Inventario5!$A:$H,2),
VLOOKUP($AC27,Inventario6!$A:$H,2)
))))),"No equipado")</f>
        <v>Legendario</v>
      </c>
      <c r="AF27" s="14" t="str">
        <f ca="1">IF(ISNUMBER(AC27),
IF($B27=1,VLOOKUP($AC27,Inventario1!$A:$H,3),
IF($B27=2,VLOOKUP($AC27,Inventario2!$A:$H,3),
IF($B27=3,VLOOKUP($AC27,Inventario3!$A:$H,3),
IF($B27=4,VLOOKUP($AC27,Inventario4!$A:$H,3),
IF($B27=5,VLOOKUP($AC27,Inventario5!$A:$H,3),
VLOOKUP($AC27,Inventario6!$A:$H,3)
))))),"")</f>
        <v>Ataque veloz</v>
      </c>
      <c r="AG27" s="14" t="str">
        <f ca="1">IF(ISNUMBER(AC27),
IF($B27=1,VLOOKUP($AC27,Inventario1!$A:$H,4),
IF($B27=2,VLOOKUP($AC27,Inventario2!$A:$H,4),
IF($B27=3,VLOOKUP($AC27,Inventario3!$A:$H,4),
IF($B27=4,VLOOKUP($AC27,Inventario4!$A:$H,4),
IF($B27=5,VLOOKUP($AC27,Inventario5!$A:$H,4),
VLOOKUP($AC27,Inventario6!$A:$H,4)
))))),"")</f>
        <v>Fuerza</v>
      </c>
      <c r="AH27" s="14" t="str">
        <f ca="1">IF(ISNUMBER(AC27),
IF($B27=1,VLOOKUP($AC27,Inventario1!$A:$H,5),
IF($B27=2,VLOOKUP($AC27,Inventario2!$A:$H,5),
IF($B27=3,VLOOKUP($AC27,Inventario3!$A:$H,5),
IF($B27=4,VLOOKUP($AC27,Inventario4!$A:$H,5),
IF($B27=5,VLOOKUP($AC27,Inventario5!$A:$H,5),
VLOOKUP($AC27,Inventario6!$A:$H,5)
))))),"")</f>
        <v>Técnica defensiva</v>
      </c>
      <c r="AI27" s="14" t="str">
        <f ca="1">IF(ISNUMBER(AC27),
IF($B27=1,VLOOKUP($AC27,Inventario1!$A:$H,6),
IF($B27=2,VLOOKUP($AC27,Inventario2!$A:$H,6),
IF($B27=3,VLOOKUP($AC27,Inventario3!$A:$H,6),
IF($B27=4,VLOOKUP($AC27,Inventario4!$A:$H,6),
IF($B27=5,VLOOKUP($AC27,Inventario5!$A:$H,6),
VLOOKUP($AC27,Inventario6!$A:$H,6)
))))),"")</f>
        <v>Ataque rápido</v>
      </c>
      <c r="AJ27" s="14" t="str">
        <f ca="1">IF(ISNUMBER(AC27),
IF($B27=1,VLOOKUP($AC27,Inventario1!$A:$H,7),
IF($B27=2,VLOOKUP($AC27,Inventario2!$A:$H,7),
IF($B27=3,VLOOKUP($AC27,Inventario3!$A:$H,7),
IF($B27=4,VLOOKUP($AC27,Inventario4!$A:$H,7),
IF($B27=5,VLOOKUP($AC27,Inventario5!$A:$H,7),
VLOOKUP($AC27,Inventario6!$A:$H,7)
))))),"")</f>
        <v>Ataque rápido</v>
      </c>
      <c r="AK27" s="15" t="str">
        <f ca="1">IF(ISNUMBER(AC27),
IF($B27=1,VLOOKUP($AC27,Inventario1!$A:$H,8),
IF($B27=2,VLOOKUP($AC27,Inventario2!$A:$H,8),
IF($B27=3,VLOOKUP($AC27,Inventario3!$A:$H,8),
IF($B27=4,VLOOKUP($AC27,Inventario4!$A:$H,8),
IF($B27=5,VLOOKUP($AC27,Inventario5!$A:$H,8),
VLOOKUP($AC27,Inventario6!$A:$H,8)
))))),"")</f>
        <v>Colocación</v>
      </c>
    </row>
    <row r="28" spans="1:37" x14ac:dyDescent="0.25">
      <c r="A28" s="21" t="s">
        <v>74</v>
      </c>
      <c r="B28" s="3">
        <v>3</v>
      </c>
      <c r="C28" s="14" cm="1">
        <f t="array" aca="1" ref="C28" ca="1">_xlfn.LET(
    _xlpm.jugador, A28,
    _xlpm.idSel, AC28,
    _xlpm.invIDs, IF(B28=1,Inventario1!A:A,IF(B28=2,Inventario2!A:A,IF(B28=3,Inventario3!A:A,IF(B28=4,Inventario4!A:A,IF(B28=5,Inventario5!A:A,Inventario6!A:A))))),
    _xlpm.invCalidad, IF(B28=1,Inventario1!B:B,IF(B28=2,Inventario2!B:B,IF(B28=3,Inventario3!B:B,IF(B28=4,Inventario4!B:B,IF(B28=5,Inventario5!B:B,Inventario6!B:B))))),
    _xlpm.invTipos, IF(B28=1,Inventario1!C:C,IF(B28=2,Inventario2!C:C,IF(B28=3,Inventario3!C:C,IF(B28=4,Inventario4!C:C,IF(B28=5,Inventario5!C:C,Inventario6!C:C))))),
    _xlpm.invStats, IF(B28=1,Inventario1!D:H,IF(B28=2,Inventario2!D:H,IF(B28=3,Inventario3!D:H,IF(B28=4,Inventario4!D:H,IF(B28=5,Inventario5!D:H,Inventario6!D:H))))),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IF(ROW(A28)=2,"",IF(_xlfn._xlws.FILTER(Equipar!AC$2:AC27,Equipar!B$2:B27=B28)={0},"",_xlfn._xlws.FILTER(Equipar!AC$2:AC27,Equipar!B$2:B27=B28))),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242</v>
      </c>
      <c r="D28" s="4" cm="1">
        <f t="array" ref="D28">_xlfn.LET(
    _xlpm.jugador, A28,
    _xlpm.idSel, AC28,
    _xlpm.invIDs, IF(B28=1,Inventario1!A:A,IF(B28=2,Inventario2!A:A,IF(B28=3,Inventario3!A:A,IF(B28=4,Inventario4!A:A,IF(B28=5,Inventario5!A:A,Inventario6!A:A))))),
    _xlpm.invCalidad, IF(B28=1,Inventario1!B:B,IF(B28=2,Inventario2!B:B,IF(B28=3,Inventario3!B:B,IF(B28=4,Inventario4!B:B,IF(B28=5,Inventario5!B:B,Inventario6!B:B))))),
    _xlpm.invTipos, IF(B28=1,Inventario1!C:C,IF(B28=2,Inventario2!C:C,IF(B28=3,Inventario3!C:C,IF(B28=4,Inventario4!C:C,IF(B28=5,Inventario5!C:C,Inventario6!C:C))))),
    _xlpm.invStats, IF(B28=1,Inventario1!D:H,IF(B28=2,Inventario2!D:H,IF(B28=3,Inventario3!D:H,IF(B28=4,Inventario4!D:H,IF(B28=5,Inventario5!D:H,Inventario6!D:H))))),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IF(ROW(A28)=2,"",IF(_xlfn._xlws.FILTER(Equipar!AC$2:AC27,Equipar!B$2:B27=B28)={0},"",_xlfn._xlws.FILTER(Equipar!AC$2:AC27,Equipar!B$2:B27=B28))),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75</v>
      </c>
      <c r="E28" s="4" t="str" cm="1">
        <f t="array" ref="E28">_xlfn.LET(
    _xlpm.jugador, A28,
    _xlpm.idSel, AC28,
    _xlpm.invIDs, IF(B28=1,Inventario1!A:A,IF(B28=2,Inventario2!A:A,IF(B28=3,Inventario3!A:A,IF(B28=4,Inventario4!A:A,IF(B28=5,Inventario5!A:A,Inventario6!A:A))))),
    _xlpm.invCalidad, IF(B28=1,Inventario1!B:B,IF(B28=2,Inventario2!B:B,IF(B28=3,Inventario3!B:B,IF(B28=4,Inventario4!B:B,IF(B28=5,Inventario5!B:B,Inventario6!B:B))))),
    _xlpm.invTipos, IF(B28=1,Inventario1!C:C,IF(B28=2,Inventario2!C:C,IF(B28=3,Inventario3!C:C,IF(B28=4,Inventario4!C:C,IF(B28=5,Inventario5!C:C,Inventario6!C:C))))),
    _xlpm.invStats, IF(B28=1,Inventario1!D:H,IF(B28=2,Inventario2!D:H,IF(B28=3,Inventario3!D:H,IF(B28=4,Inventario4!D:H,IF(B28=5,Inventario5!D:H,Inventario6!D:H))))),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IF(ROW(A28)=2,"",IF(_xlfn._xlws.FILTER(Equipar!AC$2:AC27,Equipar!B$2:B27=B28)={0},"",_xlfn._xlws.FILTER(Equipar!AC$2:AC27,Equipar!B$2:B27=B28))),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28" s="4" t="str" cm="1">
        <f t="array" aca="1" ref="F28" ca="1">_xlfn.LET(
    _xlpm.jugador, B28,
    _xlpm.idSel, AD28,
    _xlpm.invIDs, IF(C28=1,Inventario1!B:B,IF(C28=2,Inventario2!B:B,IF(C28=3,Inventario3!B:B,IF(C28=4,Inventario4!B:B,IF(C28=5,Inventario5!B:B,Inventario6!B:B))))),
    _xlpm.invCalidad, IF(C28=1,Inventario1!C:C,IF(C28=2,Inventario2!C:C,IF(C28=3,Inventario3!C:C,IF(C28=4,Inventario4!C:C,IF(C28=5,Inventario5!C:C,Inventario6!C:C))))),
    _xlpm.invTipos, IF(C28=1,Inventario1!D:D,IF(C28=2,Inventario2!D:D,IF(C28=3,Inventario3!D:D,IF(C28=4,Inventario4!D:D,IF(C28=5,Inventario5!D:D,Inventario6!D:D))))),
    _xlpm.invStats, IF(C28=1,Inventario1!E:I,IF(C28=2,Inventario2!E:I,IF(C28=3,Inventario3!E:I,IF(C28=4,Inventario4!E:I,IF(C28=5,Inventario5!E:I,Inventario6!E:I))))),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IF(ROW(B28)=2,"",IF(_xlfn._xlws.FILTER(Equipar!AD$2:AD27,Equipar!C$2:C27=C28)={0},"",_xlfn._xlws.FILTER(Equipar!AD$2:AD27,Equipar!C$2:C27=C28))),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28" s="14" cm="1">
        <f t="array" aca="1" ref="G28" ca="1">_xlfn.LET(
    _xlpm.jugador, A28,
    _xlpm.idSel, AC28,
    _xlpm.invIDs, IF(B28=1,Inventario1!A:A,IF(B28=2,Inventario2!A:A,IF(B28=3,Inventario3!A:A,IF(B28=4,Inventario4!A:A,IF(B28=5,Inventario5!A:A,Inventario6!A:A))))),
    _xlpm.invCalidad, IF(B28=1,Inventario1!B:B,IF(B28=2,Inventario2!B:B,IF(B28=3,Inventario3!B:B,IF(B28=4,Inventario4!B:B,IF(B28=5,Inventario5!B:B,Inventario6!B:B))))),
    _xlpm.invTipos, IF(B28=1,Inventario1!C:C,IF(B28=2,Inventario2!C:C,IF(B28=3,Inventario3!C:C,IF(B28=4,Inventario4!C:C,IF(B28=5,Inventario5!C:C,Inventario6!C:C))))),
    _xlpm.invStats, IF(B28=1,Inventario1!D:H,IF(B28=2,Inventario2!D:H,IF(B28=3,Inventario3!D:H,IF(B28=4,Inventario4!D:H,IF(B28=5,Inventario5!D:H,Inventario6!D:H))))),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IF(ROW(A28)=2,"",IF(_xlfn._xlws.FILTER(Equipar!AC$2:AC27,Equipar!B$2:B27=B28)={0},"",_xlfn._xlws.FILTER(Equipar!AC$2:AC27,Equipar!B$2:B27=B28))),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59.85</v>
      </c>
      <c r="H28" s="4" cm="1">
        <f t="array" ref="H28">_xlfn.LET(
    _xlpm.jugador, A28,
    _xlpm.idSel, AC28,
    _xlpm.invIDs, IF(B28=1,Inventario1!A:A,IF(B28=2,Inventario2!A:A,IF(B28=3,Inventario3!A:A,IF(B28=4,Inventario4!A:A,IF(B28=5,Inventario5!A:A,Inventario6!A:A))))),
    _xlpm.invCalidad, IF(B28=1,Inventario1!B:B,IF(B28=2,Inventario2!B:B,IF(B28=3,Inventario3!B:B,IF(B28=4,Inventario4!B:B,IF(B28=5,Inventario5!B:B,Inventario6!B:B))))),
    _xlpm.invTipos, IF(B28=1,Inventario1!C:C,IF(B28=2,Inventario2!C:C,IF(B28=3,Inventario3!C:C,IF(B28=4,Inventario4!C:C,IF(B28=5,Inventario5!C:C,Inventario6!C:C))))),
    _xlpm.invStats, IF(B28=1,Inventario1!D:H,IF(B28=2,Inventario2!D:H,IF(B28=3,Inventario3!D:H,IF(B28=4,Inventario4!D:H,IF(B28=5,Inventario5!D:H,Inventario6!D:H))))),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IF(ROW(A28)=2,"",IF(_xlfn._xlws.FILTER(Equipar!AC$2:AC27,Equipar!B$2:B27=B28)={0},"",_xlfn._xlws.FILTER(Equipar!AC$2:AC27,Equipar!B$2:B27=B28))),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59.85</v>
      </c>
      <c r="I28" s="4" cm="1">
        <f t="array" ref="I28">_xlfn.LET(
    _xlpm.jugador, A28,
    _xlpm.idSel, AC28,
    _xlpm.invIDs, IF(B28=1,Inventario1!A:A,IF(B28=2,Inventario2!A:A,IF(B28=3,Inventario3!A:A,IF(B28=4,Inventario4!A:A,IF(B28=5,Inventario5!A:A,Inventario6!A:A))))),
    _xlpm.invCalidad, IF(B28=1,Inventario1!B:B,IF(B28=2,Inventario2!B:B,IF(B28=3,Inventario3!B:B,IF(B28=4,Inventario4!B:B,IF(B28=5,Inventario5!B:B,Inventario6!B:B))))),
    _xlpm.invTipos, IF(B28=1,Inventario1!C:C,IF(B28=2,Inventario2!C:C,IF(B28=3,Inventario3!C:C,IF(B28=4,Inventario4!C:C,IF(B28=5,Inventario5!C:C,Inventario6!C:C))))),
    _xlpm.invStats, IF(B28=1,Inventario1!D:H,IF(B28=2,Inventario2!D:H,IF(B28=3,Inventario3!D:H,IF(B28=4,Inventario4!D:H,IF(B28=5,Inventario5!D:H,Inventario6!D:H))))),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IF(ROW(A28)=2,"",IF(_xlfn._xlws.FILTER(Equipar!AC$2:AC27,Equipar!B$2:B27=B28)={0},"",_xlfn._xlws.FILTER(Equipar!AC$2:AC27,Equipar!B$2:B27=B28))),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28" s="4" cm="1">
        <f t="array" aca="1" ref="J28" ca="1">_xlfn.LET(
    _xlpm.jugador, B28,
    _xlpm.idSel, AD28,
    _xlpm.invIDs, IF(C28=1,Inventario1!B:B,IF(C28=2,Inventario2!B:B,IF(C28=3,Inventario3!B:B,IF(C28=4,Inventario4!B:B,IF(C28=5,Inventario5!B:B,Inventario6!B:B))))),
    _xlpm.invCalidad, IF(C28=1,Inventario1!C:C,IF(C28=2,Inventario2!C:C,IF(C28=3,Inventario3!C:C,IF(C28=4,Inventario4!C:C,IF(C28=5,Inventario5!C:C,Inventario6!C:C))))),
    _xlpm.invTipos, IF(C28=1,Inventario1!D:D,IF(C28=2,Inventario2!D:D,IF(C28=3,Inventario3!D:D,IF(C28=4,Inventario4!D:D,IF(C28=5,Inventario5!D:D,Inventario6!D:D))))),
    _xlpm.invStats, IF(C28=1,Inventario1!E:I,IF(C28=2,Inventario2!E:I,IF(C28=3,Inventario3!E:I,IF(C28=4,Inventario4!E:I,IF(C28=5,Inventario5!E:I,Inventario6!E:I))))),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IF(ROW(B28)=2,"",IF(_xlfn._xlws.FILTER(Equipar!AD$2:AD27,Equipar!C$2:C27=C28)={0},"",_xlfn._xlws.FILTER(Equipar!AD$2:AD27,Equipar!C$2:C27=C28))),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28" s="4">
        <f t="shared" ca="1" si="0"/>
        <v>0</v>
      </c>
      <c r="L28" s="4">
        <f t="shared" ca="1" si="1"/>
        <v>59.85</v>
      </c>
      <c r="M28" s="4">
        <f t="shared" ca="1" si="1"/>
        <v>59.85</v>
      </c>
      <c r="N28" s="4">
        <f t="shared" si="2"/>
        <v>59.85</v>
      </c>
      <c r="O28" s="4">
        <f t="shared" ca="1" si="2"/>
        <v>0</v>
      </c>
      <c r="P28" s="14" cm="1">
        <f t="array" aca="1" ref="P28" ca="1">_xlfn.LET(
    _xlpm.ptsPrinBase, _xlfn._xlws.FILTER(G:G, A:A=A28),
    _xlpm.ptsSecBase,  _xlfn._xlws.FILTER(H:H, A:A=A28),
    _xlpm.puntosPrin, _xlpm.ptsPrinBase + _xlfn._xlws.FILTER(B:B, A:A=A28)/1000,
    _xlpm.puntosSec,  _xlpm.ptsSecBase  + _xlfn._xlws.FILTER(B:B, A:A=A28)/1000,
    _xlpm.puntosPrinValidos, SUM(--(_xlpm.ptsPrinBase&gt;0)),
    _xlpm.puntosSecValidos,  SUM(--(_xlpm.ptsSecBase&gt;0)),
    _xlpm.clave, K28 + B28/1000,
    _xlpm.claves, _xlfn._xlws.FILTER(K:K + B:B/1000, A:A=A28),
    IF(AND(_xlpm.puntosPrinValidos&gt;=4,_xlpm.puntosSecValidos&gt;=2),IF(
        SUM(--(_xlpm.claves &gt; _xlpm.clave)) &lt; 4,
        C28,
        D28
    ),"No disp")
)</f>
        <v>242</v>
      </c>
      <c r="Q28" s="14" t="str" cm="1">
        <f t="array" aca="1" ref="Q28" ca="1">_xlfn.LET(
    _xlpm.puntosPrin, _xlfn._xlws.FILTER(G:G + B:B/1000, A:A=A28),
    _xlpm.puntosPrinValidos, SUM(--(_xlpm.puntosPrin&gt;1)),
    _xlpm.puntosTer, _xlfn._xlws.FILTER(I:I + B:B/1000, A:A=A28),
    _xlpm.puntosTerValidos, SUM(--(_xlpm.puntosTer&gt;1)),
    _xlpm.clave, L28 + B28/1000,
    _xlpm.claves, _xlfn._xlws.FILTER(L:L + B:B/1000, A:A=A28),
    IF(AND(_xlpm.puntosPrinValidos&gt;=4,_xlpm.puntosTerValidos&gt;=2),IF(
        SUM(--(_xlpm.claves &gt; _xlpm.clave)) &lt; 4,
        C28,
        E28
    ),"No disp")
)</f>
        <v>No disp</v>
      </c>
      <c r="R28" s="14" t="str" cm="1">
        <f t="array" aca="1" ref="R28" ca="1">_xlfn.LET(
    _xlpm.puntosPrin, _xlfn._xlws.FILTER(G:G + B:B/1000, A:A=A28),
    _xlpm.puntosPrinValidos, SUM(--(_xlpm.puntosPrin&gt;1)),
    _xlpm.puntosTer, _xlfn._xlws.FILTER(J:J + B:B/1000, A:A=A28),
    _xlpm.puntosTerValidos, SUM(--(_xlpm.puntosTer&gt;1)),
    _xlpm.clave, M28 + B28/1000,
    _xlpm.claves, _xlfn._xlws.FILTER(M:M + B:B/1000, A:A=A28),
    IF(AND(_xlpm.puntosPrinValidos&gt;=4,_xlpm.puntosTerValidos&gt;=2),IF(
        SUM(--(_xlpm.claves &gt; _xlpm.clave)) &lt; 4,
        C28,
        F28
    ),"No disp")
)</f>
        <v>No disp</v>
      </c>
      <c r="S28" s="14" cm="1">
        <f t="array" aca="1" ref="S28" ca="1">_xlfn.LET(
    _xlpm.ptsPrinBase, _xlfn._xlws.FILTER(G:G, A:A=A28),
    _xlpm.ptsSecBase,  _xlfn._xlws.FILTER(H:H, A:A=A28),
    _xlpm.puntosPrin, _xlpm.ptsPrinBase + _xlfn._xlws.FILTER(B:B, A:A=A28)/1000,
    _xlpm.puntosSec,  _xlpm.ptsSecBase  + _xlfn._xlws.FILTER(B:B, A:A=A28)/1000,
    _xlpm.puntosPrinValidos, SUM(--(_xlpm.ptsPrinBase&gt;0)),
    _xlpm.puntosSecValidos,  SUM(--(_xlpm.ptsSecBase&gt;0)),
    _xlpm.clave, K28 + B28/1000,
    _xlpm.claves, _xlfn._xlws.FILTER(K:K + B:B/1000, A:A=A28),
    IF(
        AND(_xlpm.puntosPrinValidos&gt;=2, _xlpm.puntosSecValidos&gt;=4),
        IF(
            SUM(--(_xlpm.claves &lt; _xlpm.clave)) &lt; 4,
            D28,
            C28
        ),
        "No disp"
    )
)</f>
        <v>75</v>
      </c>
      <c r="T28" s="14" t="str" cm="1">
        <f t="array" ref="T28">_xlfn.LET(
    _xlpm.puntosSec, _xlfn._xlws.FILTER(H:H + B:B/1000, A:A=A28),
    _xlpm.puntosSecValidos, SUM(--(_xlpm.puntosSec&gt;1)),
    _xlpm.puntosAlt, _xlfn._xlws.FILTER(I:I + B:B/1000, A:A=A28),
    _xlpm.puntosAltValidos, SUM(--(_xlpm.puntosAlt&gt;1)),
    _xlpm.clave, N28 + B28/1000,
    _xlpm.claves, _xlfn._xlws.FILTER(N:N + B:B/1000, A:A=A28),
    IF(AND(_xlpm.puntosSecValidos&gt;=4,_xlpm.puntosAltValidos&gt;=2),IF(
        SUM(--(_xlpm.claves &gt; _xlpm.clave)) &lt; 4,
        D28,
        E28
    ),"No disp")
)</f>
        <v>No disp</v>
      </c>
      <c r="U28" s="14" t="str" cm="1">
        <f t="array" aca="1" ref="U28" ca="1">_xlfn.LET(
    _xlpm.puntosSec, _xlfn._xlws.FILTER(H:H + B:B/1000, A:A=A28),
    _xlpm.puntosSecValidos, SUM(--(_xlpm.puntosSec&gt;1)),
    _xlpm.puntosAlt, _xlfn._xlws.FILTER(J:J + B:B/1000, A:A=A28),
    _xlpm.puntosAltValidos, SUM(--(_xlpm.puntosAlt&gt;1)),
    _xlpm.clave, O28 + B28/1000,
    _xlpm.claves, _xlfn._xlws.FILTER(O:O + B:B/1000, A:A=A28),
    IF(AND(_xlpm.puntosSecValidos&gt;=4,_xlpm.puntosAltValidos&gt;=2),IF(
        SUM(--(_xlpm.claves &gt; _xlpm.clave)) &lt; 4,
        D28,
        F28
    ),"No disp")
)</f>
        <v>No disp</v>
      </c>
      <c r="V28" s="4" cm="1">
        <f t="array" aca="1" ref="V28" ca="1">_xlfn.LET(
_xlpm.PrinIDs,_xlfn._xlws.FILTER(C:C,(A:A=A28)),
_xlpm.SecIDs,_xlfn._xlws.FILTER(D:D,(A:A=A28)),
_xlpm.TerIDs,_xlfn._xlws.FILTER(E:E,A:A=A28),
_xlpm.CuaIDs,_xlfn._xlws.FILTER(F:F,(A:A=A28)),
_xlpm.PrinPts,_xlfn._xlws.FILTER(G:G,(A:A=A28)),
_xlpm.SecPts,_xlfn._xlws.FILTER(H:H,(A:A=A28)),
_xlpm.TerPts,_xlfn._xlws.FILTER(I:I,(A:A=A28)),
_xlpm.CuaPts,_xlfn._xlws.FILTER(J:J,(A:A=A28)),
_xlpm.PSIds,_xlfn._xlws.FILTER(P:P,A:A=A28),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407.25</v>
      </c>
      <c r="W28" s="4" cm="1">
        <f t="array" aca="1" ref="W28" ca="1">_xlfn.LET(
_xlpm.PrinIDs,_xlfn._xlws.FILTER(C:C,(A:A=A28)),
_xlpm.SecIDs,_xlfn._xlws.FILTER(D:D,(A:A=A28)),
_xlpm.TerIDs,_xlfn._xlws.FILTER(E:E,A:A=A28),
_xlpm.CuaIDs,_xlfn._xlws.FILTER(F:F,(A:A=A28)),
_xlpm.PrinPts,_xlfn._xlws.FILTER(G:G,(A:A=A28)),
_xlpm.SecPts,_xlfn._xlws.FILTER(H:H,(A:A=A28)),
_xlpm.TerPts,_xlfn._xlws.FILTER(I:I,(A:A=A28)),
_xlpm.CuaPts,_xlfn._xlws.FILTER(J:J,(A:A=A28)),
_xlpm.PTIds,_xlfn._xlws.FILTER(Q:Q,A:A=A28),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28" s="4" cm="1">
        <f t="array" aca="1" ref="X28" ca="1">_xlfn.LET(
_xlpm.PrinIDs,_xlfn._xlws.FILTER(C:C,(A:A=A28)),
_xlpm.SecIDs,_xlfn._xlws.FILTER(D:D,(A:A=A28)),
_xlpm.TerIDs,_xlfn._xlws.FILTER(E:E,A:A=A28),
_xlpm.CuaIDs,_xlfn._xlws.FILTER(F:F,(A:A=A28)),
_xlpm.PrinPts,_xlfn._xlws.FILTER(G:G,(A:A=A28)),
_xlpm.SecPts,_xlfn._xlws.FILTER(H:H,(A:A=A28)),
_xlpm.TerPts,_xlfn._xlws.FILTER(I:I,(A:A=A28)),
_xlpm.CuaPts,_xlfn._xlws.FILTER(J:J,(A:A=A28)),
_xlpm.PCIds,_xlfn._xlws.FILTER(R:R,A:A=A28),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28" s="4" cm="1">
        <f t="array" aca="1" ref="Y28" ca="1">_xlfn.LET(
_xlpm.PrinIDs,_xlfn._xlws.FILTER(C:C,(A:A=A28)),
_xlpm.SecIDs,_xlfn._xlws.FILTER(D:D,(A:A=A28)),
_xlpm.AltIDs,_xlfn._xlws.FILTER(E:E,A:A=A28),
_xlpm.PrinPts,_xlfn._xlws.FILTER(G:G,(A:A=A28)),
_xlpm.SecPts,_xlfn._xlws.FILTER(H:H,(A:A=A28)),
_xlpm.AltPts,_xlfn._xlws.FILTER(I:I,(A:A=A28)),
_xlpm.SPIds,_xlfn._xlws.FILTER(S:S,A:A=A28),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419.04</v>
      </c>
      <c r="Z28" s="4" cm="1">
        <f t="array" aca="1" ref="Z28" ca="1">_xlfn.LET(
_xlpm.PrinIDs,_xlfn._xlws.FILTER(C:C,(A:A=A28)),
_xlpm.SecIDs,_xlfn._xlws.FILTER(D:D,(A:A=A28)),
_xlpm.TerIDs,_xlfn._xlws.FILTER(E:E,A:A=A28),
_xlpm.CuaIDs,_xlfn._xlws.FILTER(F:F,(A:A=A28)),
_xlpm.PrinPts,_xlfn._xlws.FILTER(G:G,(A:A=A28)),
_xlpm.SecPts,_xlfn._xlws.FILTER(H:H,(A:A=A28)),
_xlpm.TerPts,_xlfn._xlws.FILTER(I:I,(A:A=A28)),
_xlpm.CuaPts,_xlfn._xlws.FILTER(J:J,(A:A=A28)),
_xlpm.STIds,_xlfn._xlws.FILTER(T:T,A:A=A28),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28" s="4" cm="1">
        <f t="array" aca="1" ref="AA28" ca="1">_xlfn.LET(
_xlpm.PrinIDs,_xlfn._xlws.FILTER(C:C,(A:A=A28)),
_xlpm.SecIDs,_xlfn._xlws.FILTER(D:D,(A:A=A28)),
_xlpm.TerIDs,_xlfn._xlws.FILTER(E:E,A:A=A28),
_xlpm.CuaIDs,_xlfn._xlws.FILTER(F:F,(A:A=A28)),
_xlpm.PrinPts,_xlfn._xlws.FILTER(G:G,(A:A=A28)),
_xlpm.SecPts,_xlfn._xlws.FILTER(H:H,(A:A=A28)),
_xlpm.TerPts,_xlfn._xlws.FILTER(I:I,(A:A=A28)),
_xlpm.CuaPts,_xlfn._xlws.FILTER(J:J,(A:A=A28)),
_xlpm.SCIds,_xlfn._xlws.FILTER(U:U,A:A=A28),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28" s="14">
        <f t="shared" ca="1" si="3"/>
        <v>75</v>
      </c>
      <c r="AC28" s="14">
        <v>75</v>
      </c>
      <c r="AD28" s="4"/>
      <c r="AE28" s="14" t="str">
        <f ca="1">IF(ISNUMBER(AC28),
IF($B28=1,VLOOKUP($AC28,Inventario1!$A:$H,2),
IF($B28=2,VLOOKUP($AC28,Inventario2!$A:$H,2),
IF($B28=3,VLOOKUP($AC28,Inventario3!$A:$H,2),
IF($B28=4,VLOOKUP($AC28,Inventario4!$A:$H,2),
IF($B28=5,VLOOKUP($AC28,Inventario5!$A:$H,2),
VLOOKUP($AC28,Inventario6!$A:$H,2)
))))),"No equipado")</f>
        <v>Legendario</v>
      </c>
      <c r="AF28" s="14" t="str">
        <f ca="1">IF(ISNUMBER(AC28),
IF($B28=1,VLOOKUP($AC28,Inventario1!$A:$H,3),
IF($B28=2,VLOOKUP($AC28,Inventario2!$A:$H,3),
IF($B28=3,VLOOKUP($AC28,Inventario3!$A:$H,3),
IF($B28=4,VLOOKUP($AC28,Inventario4!$A:$H,3),
IF($B28=5,VLOOKUP($AC28,Inventario5!$A:$H,3),
VLOOKUP($AC28,Inventario6!$A:$H,3)
))))),"")</f>
        <v>Sentido agudo</v>
      </c>
      <c r="AG28" s="14" t="str">
        <f ca="1">IF(ISNUMBER(AC28),
IF($B28=1,VLOOKUP($AC28,Inventario1!$A:$H,4),
IF($B28=2,VLOOKUP($AC28,Inventario2!$A:$H,4),
IF($B28=3,VLOOKUP($AC28,Inventario3!$A:$H,4),
IF($B28=4,VLOOKUP($AC28,Inventario4!$A:$H,4),
IF($B28=5,VLOOKUP($AC28,Inventario5!$A:$H,4),
VLOOKUP($AC28,Inventario6!$A:$H,4)
))))),"")</f>
        <v>Saque</v>
      </c>
      <c r="AH28" s="14" t="str">
        <f ca="1">IF(ISNUMBER(AC28),
IF($B28=1,VLOOKUP($AC28,Inventario1!$A:$H,5),
IF($B28=2,VLOOKUP($AC28,Inventario2!$A:$H,5),
IF($B28=3,VLOOKUP($AC28,Inventario3!$A:$H,5),
IF($B28=4,VLOOKUP($AC28,Inventario4!$A:$H,5),
IF($B28=5,VLOOKUP($AC28,Inventario5!$A:$H,5),
VLOOKUP($AC28,Inventario6!$A:$H,5)
))))),"")</f>
        <v>Ataque rápido</v>
      </c>
      <c r="AI28" s="14" t="str">
        <f ca="1">IF(ISNUMBER(AC28),
IF($B28=1,VLOOKUP($AC28,Inventario1!$A:$H,6),
IF($B28=2,VLOOKUP($AC28,Inventario2!$A:$H,6),
IF($B28=3,VLOOKUP($AC28,Inventario3!$A:$H,6),
IF($B28=4,VLOOKUP($AC28,Inventario4!$A:$H,6),
IF($B28=5,VLOOKUP($AC28,Inventario5!$A:$H,6),
VLOOKUP($AC28,Inventario6!$A:$H,6)
))))),"")</f>
        <v>Espíritu</v>
      </c>
      <c r="AJ28" s="14" t="str">
        <f ca="1">IF(ISNUMBER(AC28),
IF($B28=1,VLOOKUP($AC28,Inventario1!$A:$H,7),
IF($B28=2,VLOOKUP($AC28,Inventario2!$A:$H,7),
IF($B28=3,VLOOKUP($AC28,Inventario3!$A:$H,7),
IF($B28=4,VLOOKUP($AC28,Inventario4!$A:$H,7),
IF($B28=5,VLOOKUP($AC28,Inventario5!$A:$H,7),
VLOOKUP($AC28,Inventario6!$A:$H,7)
))))),"")</f>
        <v>Saque</v>
      </c>
      <c r="AK28" s="15" t="str">
        <f ca="1">IF(ISNUMBER(AC28),
IF($B28=1,VLOOKUP($AC28,Inventario1!$A:$H,8),
IF($B28=2,VLOOKUP($AC28,Inventario2!$A:$H,8),
IF($B28=3,VLOOKUP($AC28,Inventario3!$A:$H,8),
IF($B28=4,VLOOKUP($AC28,Inventario4!$A:$H,8),
IF($B28=5,VLOOKUP($AC28,Inventario5!$A:$H,8),
VLOOKUP($AC28,Inventario6!$A:$H,8)
))))),"")</f>
        <v>Técnica ofensiva</v>
      </c>
    </row>
    <row r="29" spans="1:37" x14ac:dyDescent="0.25">
      <c r="A29" s="21" t="s">
        <v>74</v>
      </c>
      <c r="B29" s="3">
        <v>4</v>
      </c>
      <c r="C29" s="14" cm="1">
        <f t="array" aca="1" ref="C29" ca="1">_xlfn.LET(
    _xlpm.jugador, A29,
    _xlpm.idSel, AC29,
    _xlpm.invIDs, IF(B29=1,Inventario1!A:A,IF(B29=2,Inventario2!A:A,IF(B29=3,Inventario3!A:A,IF(B29=4,Inventario4!A:A,IF(B29=5,Inventario5!A:A,Inventario6!A:A))))),
    _xlpm.invCalidad, IF(B29=1,Inventario1!B:B,IF(B29=2,Inventario2!B:B,IF(B29=3,Inventario3!B:B,IF(B29=4,Inventario4!B:B,IF(B29=5,Inventario5!B:B,Inventario6!B:B))))),
    _xlpm.invTipos, IF(B29=1,Inventario1!C:C,IF(B29=2,Inventario2!C:C,IF(B29=3,Inventario3!C:C,IF(B29=4,Inventario4!C:C,IF(B29=5,Inventario5!C:C,Inventario6!C:C))))),
    _xlpm.invStats, IF(B29=1,Inventario1!D:H,IF(B29=2,Inventario2!D:H,IF(B29=3,Inventario3!D:H,IF(B29=4,Inventario4!D:H,IF(B29=5,Inventario5!D:H,Inventario6!D:H))))),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IF(ROW(A29)=2,"",IF(_xlfn._xlws.FILTER(Equipar!AC$2:AC28,Equipar!B$2:B28=B29)={0},"",_xlfn._xlws.FILTER(Equipar!AC$2:AC28,Equipar!B$2:B28=B29))),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81</v>
      </c>
      <c r="D29" s="4" cm="1">
        <f t="array" ref="D29">_xlfn.LET(
    _xlpm.jugador, A29,
    _xlpm.idSel, AC29,
    _xlpm.invIDs, IF(B29=1,Inventario1!A:A,IF(B29=2,Inventario2!A:A,IF(B29=3,Inventario3!A:A,IF(B29=4,Inventario4!A:A,IF(B29=5,Inventario5!A:A,Inventario6!A:A))))),
    _xlpm.invCalidad, IF(B29=1,Inventario1!B:B,IF(B29=2,Inventario2!B:B,IF(B29=3,Inventario3!B:B,IF(B29=4,Inventario4!B:B,IF(B29=5,Inventario5!B:B,Inventario6!B:B))))),
    _xlpm.invTipos, IF(B29=1,Inventario1!C:C,IF(B29=2,Inventario2!C:C,IF(B29=3,Inventario3!C:C,IF(B29=4,Inventario4!C:C,IF(B29=5,Inventario5!C:C,Inventario6!C:C))))),
    _xlpm.invStats, IF(B29=1,Inventario1!D:H,IF(B29=2,Inventario2!D:H,IF(B29=3,Inventario3!D:H,IF(B29=4,Inventario4!D:H,IF(B29=5,Inventario5!D:H,Inventario6!D:H))))),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IF(ROW(A29)=2,"",IF(_xlfn._xlws.FILTER(Equipar!AC$2:AC28,Equipar!B$2:B28=B29)={0},"",_xlfn._xlws.FILTER(Equipar!AC$2:AC28,Equipar!B$2:B28=B29))),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75</v>
      </c>
      <c r="E29" s="4" t="str" cm="1">
        <f t="array" ref="E29">_xlfn.LET(
    _xlpm.jugador, A29,
    _xlpm.idSel, AC29,
    _xlpm.invIDs, IF(B29=1,Inventario1!A:A,IF(B29=2,Inventario2!A:A,IF(B29=3,Inventario3!A:A,IF(B29=4,Inventario4!A:A,IF(B29=5,Inventario5!A:A,Inventario6!A:A))))),
    _xlpm.invCalidad, IF(B29=1,Inventario1!B:B,IF(B29=2,Inventario2!B:B,IF(B29=3,Inventario3!B:B,IF(B29=4,Inventario4!B:B,IF(B29=5,Inventario5!B:B,Inventario6!B:B))))),
    _xlpm.invTipos, IF(B29=1,Inventario1!C:C,IF(B29=2,Inventario2!C:C,IF(B29=3,Inventario3!C:C,IF(B29=4,Inventario4!C:C,IF(B29=5,Inventario5!C:C,Inventario6!C:C))))),
    _xlpm.invStats, IF(B29=1,Inventario1!D:H,IF(B29=2,Inventario2!D:H,IF(B29=3,Inventario3!D:H,IF(B29=4,Inventario4!D:H,IF(B29=5,Inventario5!D:H,Inventario6!D:H))))),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IF(ROW(A29)=2,"",IF(_xlfn._xlws.FILTER(Equipar!AC$2:AC28,Equipar!B$2:B28=B29)={0},"",_xlfn._xlws.FILTER(Equipar!AC$2:AC28,Equipar!B$2:B28=B29))),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29" s="4" t="str" cm="1">
        <f t="array" aca="1" ref="F29" ca="1">_xlfn.LET(
    _xlpm.jugador, B29,
    _xlpm.idSel, AD29,
    _xlpm.invIDs, IF(C29=1,Inventario1!B:B,IF(C29=2,Inventario2!B:B,IF(C29=3,Inventario3!B:B,IF(C29=4,Inventario4!B:B,IF(C29=5,Inventario5!B:B,Inventario6!B:B))))),
    _xlpm.invCalidad, IF(C29=1,Inventario1!C:C,IF(C29=2,Inventario2!C:C,IF(C29=3,Inventario3!C:C,IF(C29=4,Inventario4!C:C,IF(C29=5,Inventario5!C:C,Inventario6!C:C))))),
    _xlpm.invTipos, IF(C29=1,Inventario1!D:D,IF(C29=2,Inventario2!D:D,IF(C29=3,Inventario3!D:D,IF(C29=4,Inventario4!D:D,IF(C29=5,Inventario5!D:D,Inventario6!D:D))))),
    _xlpm.invStats, IF(C29=1,Inventario1!E:I,IF(C29=2,Inventario2!E:I,IF(C29=3,Inventario3!E:I,IF(C29=4,Inventario4!E:I,IF(C29=5,Inventario5!E:I,Inventario6!E:I))))),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IF(ROW(B29)=2,"",IF(_xlfn._xlws.FILTER(Equipar!AD$2:AD28,Equipar!C$2:C28=C29)={0},"",_xlfn._xlws.FILTER(Equipar!AD$2:AD28,Equipar!C$2:C28=C29))),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29" s="14" cm="1">
        <f t="array" aca="1" ref="G29" ca="1">_xlfn.LET(
    _xlpm.jugador, A29,
    _xlpm.idSel, AC29,
    _xlpm.invIDs, IF(B29=1,Inventario1!A:A,IF(B29=2,Inventario2!A:A,IF(B29=3,Inventario3!A:A,IF(B29=4,Inventario4!A:A,IF(B29=5,Inventario5!A:A,Inventario6!A:A))))),
    _xlpm.invCalidad, IF(B29=1,Inventario1!B:B,IF(B29=2,Inventario2!B:B,IF(B29=3,Inventario3!B:B,IF(B29=4,Inventario4!B:B,IF(B29=5,Inventario5!B:B,Inventario6!B:B))))),
    _xlpm.invTipos, IF(B29=1,Inventario1!C:C,IF(B29=2,Inventario2!C:C,IF(B29=3,Inventario3!C:C,IF(B29=4,Inventario4!C:C,IF(B29=5,Inventario5!C:C,Inventario6!C:C))))),
    _xlpm.invStats, IF(B29=1,Inventario1!D:H,IF(B29=2,Inventario2!D:H,IF(B29=3,Inventario3!D:H,IF(B29=4,Inventario4!D:H,IF(B29=5,Inventario5!D:H,Inventario6!D:H))))),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IF(ROW(A29)=2,"",IF(_xlfn._xlws.FILTER(Equipar!AC$2:AC28,Equipar!B$2:B28=B29)={0},"",_xlfn._xlws.FILTER(Equipar!AC$2:AC28,Equipar!B$2:B28=B29))),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36</v>
      </c>
      <c r="H29" s="4" cm="1">
        <f t="array" ref="H29">_xlfn.LET(
    _xlpm.jugador, A29,
    _xlpm.idSel, AC29,
    _xlpm.invIDs, IF(B29=1,Inventario1!A:A,IF(B29=2,Inventario2!A:A,IF(B29=3,Inventario3!A:A,IF(B29=4,Inventario4!A:A,IF(B29=5,Inventario5!A:A,Inventario6!A:A))))),
    _xlpm.invCalidad, IF(B29=1,Inventario1!B:B,IF(B29=2,Inventario2!B:B,IF(B29=3,Inventario3!B:B,IF(B29=4,Inventario4!B:B,IF(B29=5,Inventario5!B:B,Inventario6!B:B))))),
    _xlpm.invTipos, IF(B29=1,Inventario1!C:C,IF(B29=2,Inventario2!C:C,IF(B29=3,Inventario3!C:C,IF(B29=4,Inventario4!C:C,IF(B29=5,Inventario5!C:C,Inventario6!C:C))))),
    _xlpm.invStats, IF(B29=1,Inventario1!D:H,IF(B29=2,Inventario2!D:H,IF(B29=3,Inventario3!D:H,IF(B29=4,Inventario4!D:H,IF(B29=5,Inventario5!D:H,Inventario6!D:H))))),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IF(ROW(A29)=2,"",IF(_xlfn._xlws.FILTER(Equipar!AC$2:AC28,Equipar!B$2:B28=B29)={0},"",_xlfn._xlws.FILTER(Equipar!AC$2:AC28,Equipar!B$2:B28=B29))),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I29" s="4" cm="1">
        <f t="array" ref="I29">_xlfn.LET(
    _xlpm.jugador, A29,
    _xlpm.idSel, AC29,
    _xlpm.invIDs, IF(B29=1,Inventario1!A:A,IF(B29=2,Inventario2!A:A,IF(B29=3,Inventario3!A:A,IF(B29=4,Inventario4!A:A,IF(B29=5,Inventario5!A:A,Inventario6!A:A))))),
    _xlpm.invCalidad, IF(B29=1,Inventario1!B:B,IF(B29=2,Inventario2!B:B,IF(B29=3,Inventario3!B:B,IF(B29=4,Inventario4!B:B,IF(B29=5,Inventario5!B:B,Inventario6!B:B))))),
    _xlpm.invTipos, IF(B29=1,Inventario1!C:C,IF(B29=2,Inventario2!C:C,IF(B29=3,Inventario3!C:C,IF(B29=4,Inventario4!C:C,IF(B29=5,Inventario5!C:C,Inventario6!C:C))))),
    _xlpm.invStats, IF(B29=1,Inventario1!D:H,IF(B29=2,Inventario2!D:H,IF(B29=3,Inventario3!D:H,IF(B29=4,Inventario4!D:H,IF(B29=5,Inventario5!D:H,Inventario6!D:H))))),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IF(ROW(A29)=2,"",IF(_xlfn._xlws.FILTER(Equipar!AC$2:AC28,Equipar!B$2:B28=B29)={0},"",_xlfn._xlws.FILTER(Equipar!AC$2:AC28,Equipar!B$2:B28=B29))),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29" s="4" cm="1">
        <f t="array" aca="1" ref="J29" ca="1">_xlfn.LET(
    _xlpm.jugador, B29,
    _xlpm.idSel, AD29,
    _xlpm.invIDs, IF(C29=1,Inventario1!B:B,IF(C29=2,Inventario2!B:B,IF(C29=3,Inventario3!B:B,IF(C29=4,Inventario4!B:B,IF(C29=5,Inventario5!B:B,Inventario6!B:B))))),
    _xlpm.invCalidad, IF(C29=1,Inventario1!C:C,IF(C29=2,Inventario2!C:C,IF(C29=3,Inventario3!C:C,IF(C29=4,Inventario4!C:C,IF(C29=5,Inventario5!C:C,Inventario6!C:C))))),
    _xlpm.invTipos, IF(C29=1,Inventario1!D:D,IF(C29=2,Inventario2!D:D,IF(C29=3,Inventario3!D:D,IF(C29=4,Inventario4!D:D,IF(C29=5,Inventario5!D:D,Inventario6!D:D))))),
    _xlpm.invStats, IF(C29=1,Inventario1!E:I,IF(C29=2,Inventario2!E:I,IF(C29=3,Inventario3!E:I,IF(C29=4,Inventario4!E:I,IF(C29=5,Inventario5!E:I,Inventario6!E:I))))),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IF(ROW(B29)=2,"",IF(_xlfn._xlws.FILTER(Equipar!AD$2:AD28,Equipar!C$2:C28=C29)={0},"",_xlfn._xlws.FILTER(Equipar!AD$2:AD28,Equipar!C$2:C28=C29))),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29" s="4">
        <f t="shared" ca="1" si="0"/>
        <v>-35.820000000000007</v>
      </c>
      <c r="L29" s="4">
        <f t="shared" ca="1" si="1"/>
        <v>36</v>
      </c>
      <c r="M29" s="4">
        <f t="shared" ca="1" si="1"/>
        <v>71.820000000000007</v>
      </c>
      <c r="N29" s="4">
        <f t="shared" si="2"/>
        <v>71.820000000000007</v>
      </c>
      <c r="O29" s="4">
        <f t="shared" ca="1" si="2"/>
        <v>0</v>
      </c>
      <c r="P29" s="14" cm="1">
        <f t="array" aca="1" ref="P29" ca="1">_xlfn.LET(
    _xlpm.ptsPrinBase, _xlfn._xlws.FILTER(G:G, A:A=A29),
    _xlpm.ptsSecBase,  _xlfn._xlws.FILTER(H:H, A:A=A29),
    _xlpm.puntosPrin, _xlpm.ptsPrinBase + _xlfn._xlws.FILTER(B:B, A:A=A29)/1000,
    _xlpm.puntosSec,  _xlpm.ptsSecBase  + _xlfn._xlws.FILTER(B:B, A:A=A29)/1000,
    _xlpm.puntosPrinValidos, SUM(--(_xlpm.ptsPrinBase&gt;0)),
    _xlpm.puntosSecValidos,  SUM(--(_xlpm.ptsSecBase&gt;0)),
    _xlpm.clave, K29 + B29/1000,
    _xlpm.claves, _xlfn._xlws.FILTER(K:K + B:B/1000, A:A=A29),
    IF(AND(_xlpm.puntosPrinValidos&gt;=4,_xlpm.puntosSecValidos&gt;=2),IF(
        SUM(--(_xlpm.claves &gt; _xlpm.clave)) &lt; 4,
        C29,
        D29
    ),"No disp")
)</f>
        <v>75</v>
      </c>
      <c r="Q29" s="14" t="str" cm="1">
        <f t="array" aca="1" ref="Q29" ca="1">_xlfn.LET(
    _xlpm.puntosPrin, _xlfn._xlws.FILTER(G:G + B:B/1000, A:A=A29),
    _xlpm.puntosPrinValidos, SUM(--(_xlpm.puntosPrin&gt;1)),
    _xlpm.puntosTer, _xlfn._xlws.FILTER(I:I + B:B/1000, A:A=A29),
    _xlpm.puntosTerValidos, SUM(--(_xlpm.puntosTer&gt;1)),
    _xlpm.clave, L29 + B29/1000,
    _xlpm.claves, _xlfn._xlws.FILTER(L:L + B:B/1000, A:A=A29),
    IF(AND(_xlpm.puntosPrinValidos&gt;=4,_xlpm.puntosTerValidos&gt;=2),IF(
        SUM(--(_xlpm.claves &gt; _xlpm.clave)) &lt; 4,
        C29,
        E29
    ),"No disp")
)</f>
        <v>No disp</v>
      </c>
      <c r="R29" s="14" t="str" cm="1">
        <f t="array" aca="1" ref="R29" ca="1">_xlfn.LET(
    _xlpm.puntosPrin, _xlfn._xlws.FILTER(G:G + B:B/1000, A:A=A29),
    _xlpm.puntosPrinValidos, SUM(--(_xlpm.puntosPrin&gt;1)),
    _xlpm.puntosTer, _xlfn._xlws.FILTER(J:J + B:B/1000, A:A=A29),
    _xlpm.puntosTerValidos, SUM(--(_xlpm.puntosTer&gt;1)),
    _xlpm.clave, M29 + B29/1000,
    _xlpm.claves, _xlfn._xlws.FILTER(M:M + B:B/1000, A:A=A29),
    IF(AND(_xlpm.puntosPrinValidos&gt;=4,_xlpm.puntosTerValidos&gt;=2),IF(
        SUM(--(_xlpm.claves &gt; _xlpm.clave)) &lt; 4,
        C29,
        F29
    ),"No disp")
)</f>
        <v>No disp</v>
      </c>
      <c r="S29" s="14" cm="1">
        <f t="array" aca="1" ref="S29" ca="1">_xlfn.LET(
    _xlpm.ptsPrinBase, _xlfn._xlws.FILTER(G:G, A:A=A29),
    _xlpm.ptsSecBase,  _xlfn._xlws.FILTER(H:H, A:A=A29),
    _xlpm.puntosPrin, _xlpm.ptsPrinBase + _xlfn._xlws.FILTER(B:B, A:A=A29)/1000,
    _xlpm.puntosSec,  _xlpm.ptsSecBase  + _xlfn._xlws.FILTER(B:B, A:A=A29)/1000,
    _xlpm.puntosPrinValidos, SUM(--(_xlpm.ptsPrinBase&gt;0)),
    _xlpm.puntosSecValidos,  SUM(--(_xlpm.ptsSecBase&gt;0)),
    _xlpm.clave, K29 + B29/1000,
    _xlpm.claves, _xlfn._xlws.FILTER(K:K + B:B/1000, A:A=A29),
    IF(
        AND(_xlpm.puntosPrinValidos&gt;=2, _xlpm.puntosSecValidos&gt;=4),
        IF(
            SUM(--(_xlpm.claves &lt; _xlpm.clave)) &lt; 4,
            D29,
            C29
        ),
        "No disp"
    )
)</f>
        <v>75</v>
      </c>
      <c r="T29" s="14" t="str" cm="1">
        <f t="array" ref="T29">_xlfn.LET(
    _xlpm.puntosSec, _xlfn._xlws.FILTER(H:H + B:B/1000, A:A=A29),
    _xlpm.puntosSecValidos, SUM(--(_xlpm.puntosSec&gt;1)),
    _xlpm.puntosAlt, _xlfn._xlws.FILTER(I:I + B:B/1000, A:A=A29),
    _xlpm.puntosAltValidos, SUM(--(_xlpm.puntosAlt&gt;1)),
    _xlpm.clave, N29 + B29/1000,
    _xlpm.claves, _xlfn._xlws.FILTER(N:N + B:B/1000, A:A=A29),
    IF(AND(_xlpm.puntosSecValidos&gt;=4,_xlpm.puntosAltValidos&gt;=2),IF(
        SUM(--(_xlpm.claves &gt; _xlpm.clave)) &lt; 4,
        D29,
        E29
    ),"No disp")
)</f>
        <v>No disp</v>
      </c>
      <c r="U29" s="14" t="str" cm="1">
        <f t="array" aca="1" ref="U29" ca="1">_xlfn.LET(
    _xlpm.puntosSec, _xlfn._xlws.FILTER(H:H + B:B/1000, A:A=A29),
    _xlpm.puntosSecValidos, SUM(--(_xlpm.puntosSec&gt;1)),
    _xlpm.puntosAlt, _xlfn._xlws.FILTER(J:J + B:B/1000, A:A=A29),
    _xlpm.puntosAltValidos, SUM(--(_xlpm.puntosAlt&gt;1)),
    _xlpm.clave, O29 + B29/1000,
    _xlpm.claves, _xlfn._xlws.FILTER(O:O + B:B/1000, A:A=A29),
    IF(AND(_xlpm.puntosSecValidos&gt;=4,_xlpm.puntosAltValidos&gt;=2),IF(
        SUM(--(_xlpm.claves &gt; _xlpm.clave)) &lt; 4,
        D29,
        F29
    ),"No disp")
)</f>
        <v>No disp</v>
      </c>
      <c r="V29" s="4" cm="1">
        <f t="array" aca="1" ref="V29" ca="1">_xlfn.LET(
_xlpm.PrinIDs,_xlfn._xlws.FILTER(C:C,(A:A=A29)),
_xlpm.SecIDs,_xlfn._xlws.FILTER(D:D,(A:A=A29)),
_xlpm.TerIDs,_xlfn._xlws.FILTER(E:E,A:A=A29),
_xlpm.CuaIDs,_xlfn._xlws.FILTER(F:F,(A:A=A29)),
_xlpm.PrinPts,_xlfn._xlws.FILTER(G:G,(A:A=A29)),
_xlpm.SecPts,_xlfn._xlws.FILTER(H:H,(A:A=A29)),
_xlpm.TerPts,_xlfn._xlws.FILTER(I:I,(A:A=A29)),
_xlpm.CuaPts,_xlfn._xlws.FILTER(J:J,(A:A=A29)),
_xlpm.PSIds,_xlfn._xlws.FILTER(P:P,A:A=A29),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407.25</v>
      </c>
      <c r="W29" s="4" cm="1">
        <f t="array" aca="1" ref="W29" ca="1">_xlfn.LET(
_xlpm.PrinIDs,_xlfn._xlws.FILTER(C:C,(A:A=A29)),
_xlpm.SecIDs,_xlfn._xlws.FILTER(D:D,(A:A=A29)),
_xlpm.TerIDs,_xlfn._xlws.FILTER(E:E,A:A=A29),
_xlpm.CuaIDs,_xlfn._xlws.FILTER(F:F,(A:A=A29)),
_xlpm.PrinPts,_xlfn._xlws.FILTER(G:G,(A:A=A29)),
_xlpm.SecPts,_xlfn._xlws.FILTER(H:H,(A:A=A29)),
_xlpm.TerPts,_xlfn._xlws.FILTER(I:I,(A:A=A29)),
_xlpm.CuaPts,_xlfn._xlws.FILTER(J:J,(A:A=A29)),
_xlpm.PTIds,_xlfn._xlws.FILTER(Q:Q,A:A=A29),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29" s="4" cm="1">
        <f t="array" aca="1" ref="X29" ca="1">_xlfn.LET(
_xlpm.PrinIDs,_xlfn._xlws.FILTER(C:C,(A:A=A29)),
_xlpm.SecIDs,_xlfn._xlws.FILTER(D:D,(A:A=A29)),
_xlpm.TerIDs,_xlfn._xlws.FILTER(E:E,A:A=A29),
_xlpm.CuaIDs,_xlfn._xlws.FILTER(F:F,(A:A=A29)),
_xlpm.PrinPts,_xlfn._xlws.FILTER(G:G,(A:A=A29)),
_xlpm.SecPts,_xlfn._xlws.FILTER(H:H,(A:A=A29)),
_xlpm.TerPts,_xlfn._xlws.FILTER(I:I,(A:A=A29)),
_xlpm.CuaPts,_xlfn._xlws.FILTER(J:J,(A:A=A29)),
_xlpm.PCIds,_xlfn._xlws.FILTER(R:R,A:A=A29),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29" s="4" cm="1">
        <f t="array" aca="1" ref="Y29" ca="1">_xlfn.LET(
_xlpm.PrinIDs,_xlfn._xlws.FILTER(C:C,(A:A=A29)),
_xlpm.SecIDs,_xlfn._xlws.FILTER(D:D,(A:A=A29)),
_xlpm.AltIDs,_xlfn._xlws.FILTER(E:E,A:A=A29),
_xlpm.PrinPts,_xlfn._xlws.FILTER(G:G,(A:A=A29)),
_xlpm.SecPts,_xlfn._xlws.FILTER(H:H,(A:A=A29)),
_xlpm.AltPts,_xlfn._xlws.FILTER(I:I,(A:A=A29)),
_xlpm.SPIds,_xlfn._xlws.FILTER(S:S,A:A=A29),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419.04</v>
      </c>
      <c r="Z29" s="4" cm="1">
        <f t="array" aca="1" ref="Z29" ca="1">_xlfn.LET(
_xlpm.PrinIDs,_xlfn._xlws.FILTER(C:C,(A:A=A29)),
_xlpm.SecIDs,_xlfn._xlws.FILTER(D:D,(A:A=A29)),
_xlpm.TerIDs,_xlfn._xlws.FILTER(E:E,A:A=A29),
_xlpm.CuaIDs,_xlfn._xlws.FILTER(F:F,(A:A=A29)),
_xlpm.PrinPts,_xlfn._xlws.FILTER(G:G,(A:A=A29)),
_xlpm.SecPts,_xlfn._xlws.FILTER(H:H,(A:A=A29)),
_xlpm.TerPts,_xlfn._xlws.FILTER(I:I,(A:A=A29)),
_xlpm.CuaPts,_xlfn._xlws.FILTER(J:J,(A:A=A29)),
_xlpm.STIds,_xlfn._xlws.FILTER(T:T,A:A=A29),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29" s="4" cm="1">
        <f t="array" aca="1" ref="AA29" ca="1">_xlfn.LET(
_xlpm.PrinIDs,_xlfn._xlws.FILTER(C:C,(A:A=A29)),
_xlpm.SecIDs,_xlfn._xlws.FILTER(D:D,(A:A=A29)),
_xlpm.TerIDs,_xlfn._xlws.FILTER(E:E,A:A=A29),
_xlpm.CuaIDs,_xlfn._xlws.FILTER(F:F,(A:A=A29)),
_xlpm.PrinPts,_xlfn._xlws.FILTER(G:G,(A:A=A29)),
_xlpm.SecPts,_xlfn._xlws.FILTER(H:H,(A:A=A29)),
_xlpm.TerPts,_xlfn._xlws.FILTER(I:I,(A:A=A29)),
_xlpm.CuaPts,_xlfn._xlws.FILTER(J:J,(A:A=A29)),
_xlpm.SCIds,_xlfn._xlws.FILTER(U:U,A:A=A29),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29" s="14">
        <f t="shared" ca="1" si="3"/>
        <v>75</v>
      </c>
      <c r="AC29" s="14">
        <v>75</v>
      </c>
      <c r="AD29" s="4"/>
      <c r="AE29" s="14" t="str">
        <f ca="1">IF(ISNUMBER(AC29),
IF($B29=1,VLOOKUP($AC29,Inventario1!$A:$H,2),
IF($B29=2,VLOOKUP($AC29,Inventario2!$A:$H,2),
IF($B29=3,VLOOKUP($AC29,Inventario3!$A:$H,2),
IF($B29=4,VLOOKUP($AC29,Inventario4!$A:$H,2),
IF($B29=5,VLOOKUP($AC29,Inventario5!$A:$H,2),
VLOOKUP($AC29,Inventario6!$A:$H,2)
))))),"No equipado")</f>
        <v>Legendario</v>
      </c>
      <c r="AF29" s="14" t="str">
        <f ca="1">IF(ISNUMBER(AC29),
IF($B29=1,VLOOKUP($AC29,Inventario1!$A:$H,3),
IF($B29=2,VLOOKUP($AC29,Inventario2!$A:$H,3),
IF($B29=3,VLOOKUP($AC29,Inventario3!$A:$H,3),
IF($B29=4,VLOOKUP($AC29,Inventario4!$A:$H,3),
IF($B29=5,VLOOKUP($AC29,Inventario5!$A:$H,3),
VLOOKUP($AC29,Inventario6!$A:$H,3)
))))),"")</f>
        <v>Sentido agudo</v>
      </c>
      <c r="AG29" s="14" t="str">
        <f ca="1">IF(ISNUMBER(AC29),
IF($B29=1,VLOOKUP($AC29,Inventario1!$A:$H,4),
IF($B29=2,VLOOKUP($AC29,Inventario2!$A:$H,4),
IF($B29=3,VLOOKUP($AC29,Inventario3!$A:$H,4),
IF($B29=4,VLOOKUP($AC29,Inventario4!$A:$H,4),
IF($B29=5,VLOOKUP($AC29,Inventario5!$A:$H,4),
VLOOKUP($AC29,Inventario6!$A:$H,4)
))))),"")</f>
        <v>Bloqueo</v>
      </c>
      <c r="AH29" s="14" t="str">
        <f ca="1">IF(ISNUMBER(AC29),
IF($B29=1,VLOOKUP($AC29,Inventario1!$A:$H,5),
IF($B29=2,VLOOKUP($AC29,Inventario2!$A:$H,5),
IF($B29=3,VLOOKUP($AC29,Inventario3!$A:$H,5),
IF($B29=4,VLOOKUP($AC29,Inventario4!$A:$H,5),
IF($B29=5,VLOOKUP($AC29,Inventario5!$A:$H,5),
VLOOKUP($AC29,Inventario6!$A:$H,5)
))))),"")</f>
        <v>Bloqueo</v>
      </c>
      <c r="AI29" s="14" t="str">
        <f ca="1">IF(ISNUMBER(AC29),
IF($B29=1,VLOOKUP($AC29,Inventario1!$A:$H,6),
IF($B29=2,VLOOKUP($AC29,Inventario2!$A:$H,6),
IF($B29=3,VLOOKUP($AC29,Inventario3!$A:$H,6),
IF($B29=4,VLOOKUP($AC29,Inventario4!$A:$H,6),
IF($B29=5,VLOOKUP($AC29,Inventario5!$A:$H,6),
VLOOKUP($AC29,Inventario6!$A:$H,6)
))))),"")</f>
        <v>Ataque rápido</v>
      </c>
      <c r="AJ29" s="14" t="str">
        <f ca="1">IF(ISNUMBER(AC29),
IF($B29=1,VLOOKUP($AC29,Inventario1!$A:$H,7),
IF($B29=2,VLOOKUP($AC29,Inventario2!$A:$H,7),
IF($B29=3,VLOOKUP($AC29,Inventario3!$A:$H,7),
IF($B29=4,VLOOKUP($AC29,Inventario4!$A:$H,7),
IF($B29=5,VLOOKUP($AC29,Inventario5!$A:$H,7),
VLOOKUP($AC29,Inventario6!$A:$H,7)
))))),"")</f>
        <v>Bloqueo</v>
      </c>
      <c r="AK29" s="15">
        <f ca="1">IF(ISNUMBER(AC29),
IF($B29=1,VLOOKUP($AC29,Inventario1!$A:$H,8),
IF($B29=2,VLOOKUP($AC29,Inventario2!$A:$H,8),
IF($B29=3,VLOOKUP($AC29,Inventario3!$A:$H,8),
IF($B29=4,VLOOKUP($AC29,Inventario4!$A:$H,8),
IF($B29=5,VLOOKUP($AC29,Inventario5!$A:$H,8),
VLOOKUP($AC29,Inventario6!$A:$H,8)
))))),"")</f>
        <v>0</v>
      </c>
    </row>
    <row r="30" spans="1:37" x14ac:dyDescent="0.25">
      <c r="A30" s="21" t="s">
        <v>74</v>
      </c>
      <c r="B30" s="3">
        <v>5</v>
      </c>
      <c r="C30" s="14" cm="1">
        <f t="array" aca="1" ref="C30" ca="1">_xlfn.LET(
    _xlpm.jugador, A30,
    _xlpm.idSel, AC30,
    _xlpm.invIDs, IF(B30=1,Inventario1!A:A,IF(B30=2,Inventario2!A:A,IF(B30=3,Inventario3!A:A,IF(B30=4,Inventario4!A:A,IF(B30=5,Inventario5!A:A,Inventario6!A:A))))),
    _xlpm.invCalidad, IF(B30=1,Inventario1!B:B,IF(B30=2,Inventario2!B:B,IF(B30=3,Inventario3!B:B,IF(B30=4,Inventario4!B:B,IF(B30=5,Inventario5!B:B,Inventario6!B:B))))),
    _xlpm.invTipos, IF(B30=1,Inventario1!C:C,IF(B30=2,Inventario2!C:C,IF(B30=3,Inventario3!C:C,IF(B30=4,Inventario4!C:C,IF(B30=5,Inventario5!C:C,Inventario6!C:C))))),
    _xlpm.invStats, IF(B30=1,Inventario1!D:H,IF(B30=2,Inventario2!D:H,IF(B30=3,Inventario3!D:H,IF(B30=4,Inventario4!D:H,IF(B30=5,Inventario5!D:H,Inventario6!D:H))))),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IF(ROW(A30)=2,"",IF(_xlfn._xlws.FILTER(Equipar!AC$2:AC29,Equipar!B$2:B29=B30)={0},"",_xlfn._xlws.FILTER(Equipar!AC$2:AC29,Equipar!B$2:B29=B30))),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71</v>
      </c>
      <c r="D30" s="4" cm="1">
        <f t="array" ref="D30">_xlfn.LET(
    _xlpm.jugador, A30,
    _xlpm.idSel, AC30,
    _xlpm.invIDs, IF(B30=1,Inventario1!A:A,IF(B30=2,Inventario2!A:A,IF(B30=3,Inventario3!A:A,IF(B30=4,Inventario4!A:A,IF(B30=5,Inventario5!A:A,Inventario6!A:A))))),
    _xlpm.invCalidad, IF(B30=1,Inventario1!B:B,IF(B30=2,Inventario2!B:B,IF(B30=3,Inventario3!B:B,IF(B30=4,Inventario4!B:B,IF(B30=5,Inventario5!B:B,Inventario6!B:B))))),
    _xlpm.invTipos, IF(B30=1,Inventario1!C:C,IF(B30=2,Inventario2!C:C,IF(B30=3,Inventario3!C:C,IF(B30=4,Inventario4!C:C,IF(B30=5,Inventario5!C:C,Inventario6!C:C))))),
    _xlpm.invStats, IF(B30=1,Inventario1!D:H,IF(B30=2,Inventario2!D:H,IF(B30=3,Inventario3!D:H,IF(B30=4,Inventario4!D:H,IF(B30=5,Inventario5!D:H,Inventario6!D:H))))),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IF(ROW(A30)=2,"",IF(_xlfn._xlws.FILTER(Equipar!AC$2:AC29,Equipar!B$2:B29=B30)={0},"",_xlfn._xlws.FILTER(Equipar!AC$2:AC29,Equipar!B$2:B29=B30))),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85</v>
      </c>
      <c r="E30" s="4" t="str" cm="1">
        <f t="array" ref="E30">_xlfn.LET(
    _xlpm.jugador, A30,
    _xlpm.idSel, AC30,
    _xlpm.invIDs, IF(B30=1,Inventario1!A:A,IF(B30=2,Inventario2!A:A,IF(B30=3,Inventario3!A:A,IF(B30=4,Inventario4!A:A,IF(B30=5,Inventario5!A:A,Inventario6!A:A))))),
    _xlpm.invCalidad, IF(B30=1,Inventario1!B:B,IF(B30=2,Inventario2!B:B,IF(B30=3,Inventario3!B:B,IF(B30=4,Inventario4!B:B,IF(B30=5,Inventario5!B:B,Inventario6!B:B))))),
    _xlpm.invTipos, IF(B30=1,Inventario1!C:C,IF(B30=2,Inventario2!C:C,IF(B30=3,Inventario3!C:C,IF(B30=4,Inventario4!C:C,IF(B30=5,Inventario5!C:C,Inventario6!C:C))))),
    _xlpm.invStats, IF(B30=1,Inventario1!D:H,IF(B30=2,Inventario2!D:H,IF(B30=3,Inventario3!D:H,IF(B30=4,Inventario4!D:H,IF(B30=5,Inventario5!D:H,Inventario6!D:H))))),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IF(ROW(A30)=2,"",IF(_xlfn._xlws.FILTER(Equipar!AC$2:AC29,Equipar!B$2:B29=B30)={0},"",_xlfn._xlws.FILTER(Equipar!AC$2:AC29,Equipar!B$2:B29=B30))),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30" s="4" t="str" cm="1">
        <f t="array" aca="1" ref="F30" ca="1">_xlfn.LET(
    _xlpm.jugador, B30,
    _xlpm.idSel, AD30,
    _xlpm.invIDs, IF(C30=1,Inventario1!B:B,IF(C30=2,Inventario2!B:B,IF(C30=3,Inventario3!B:B,IF(C30=4,Inventario4!B:B,IF(C30=5,Inventario5!B:B,Inventario6!B:B))))),
    _xlpm.invCalidad, IF(C30=1,Inventario1!C:C,IF(C30=2,Inventario2!C:C,IF(C30=3,Inventario3!C:C,IF(C30=4,Inventario4!C:C,IF(C30=5,Inventario5!C:C,Inventario6!C:C))))),
    _xlpm.invTipos, IF(C30=1,Inventario1!D:D,IF(C30=2,Inventario2!D:D,IF(C30=3,Inventario3!D:D,IF(C30=4,Inventario4!D:D,IF(C30=5,Inventario5!D:D,Inventario6!D:D))))),
    _xlpm.invStats, IF(C30=1,Inventario1!E:I,IF(C30=2,Inventario2!E:I,IF(C30=3,Inventario3!E:I,IF(C30=4,Inventario4!E:I,IF(C30=5,Inventario5!E:I,Inventario6!E:I))))),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IF(ROW(B30)=2,"",IF(_xlfn._xlws.FILTER(Equipar!AD$2:AD29,Equipar!C$2:C29=C30)={0},"",_xlfn._xlws.FILTER(Equipar!AD$2:AD29,Equipar!C$2:C29=C30))),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30" s="14" cm="1">
        <f t="array" aca="1" ref="G30" ca="1">_xlfn.LET(
    _xlpm.jugador, A30,
    _xlpm.idSel, AC30,
    _xlpm.invIDs, IF(B30=1,Inventario1!A:A,IF(B30=2,Inventario2!A:A,IF(B30=3,Inventario3!A:A,IF(B30=4,Inventario4!A:A,IF(B30=5,Inventario5!A:A,Inventario6!A:A))))),
    _xlpm.invCalidad, IF(B30=1,Inventario1!B:B,IF(B30=2,Inventario2!B:B,IF(B30=3,Inventario3!B:B,IF(B30=4,Inventario4!B:B,IF(B30=5,Inventario5!B:B,Inventario6!B:B))))),
    _xlpm.invTipos, IF(B30=1,Inventario1!C:C,IF(B30=2,Inventario2!C:C,IF(B30=3,Inventario3!C:C,IF(B30=4,Inventario4!C:C,IF(B30=5,Inventario5!C:C,Inventario6!C:C))))),
    _xlpm.invStats, IF(B30=1,Inventario1!D:H,IF(B30=2,Inventario2!D:H,IF(B30=3,Inventario3!D:H,IF(B30=4,Inventario4!D:H,IF(B30=5,Inventario5!D:H,Inventario6!D:H))))),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IF(ROW(A30)=2,"",IF(_xlfn._xlws.FILTER(Equipar!AC$2:AC29,Equipar!B$2:B29=B30)={0},"",_xlfn._xlws.FILTER(Equipar!AC$2:AC29,Equipar!B$2:B29=B30))),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36</v>
      </c>
      <c r="H30" s="4" cm="1">
        <f t="array" ref="H30">_xlfn.LET(
    _xlpm.jugador, A30,
    _xlpm.idSel, AC30,
    _xlpm.invIDs, IF(B30=1,Inventario1!A:A,IF(B30=2,Inventario2!A:A,IF(B30=3,Inventario3!A:A,IF(B30=4,Inventario4!A:A,IF(B30=5,Inventario5!A:A,Inventario6!A:A))))),
    _xlpm.invCalidad, IF(B30=1,Inventario1!B:B,IF(B30=2,Inventario2!B:B,IF(B30=3,Inventario3!B:B,IF(B30=4,Inventario4!B:B,IF(B30=5,Inventario5!B:B,Inventario6!B:B))))),
    _xlpm.invTipos, IF(B30=1,Inventario1!C:C,IF(B30=2,Inventario2!C:C,IF(B30=3,Inventario3!C:C,IF(B30=4,Inventario4!C:C,IF(B30=5,Inventario5!C:C,Inventario6!C:C))))),
    _xlpm.invStats, IF(B30=1,Inventario1!D:H,IF(B30=2,Inventario2!D:H,IF(B30=3,Inventario3!D:H,IF(B30=4,Inventario4!D:H,IF(B30=5,Inventario5!D:H,Inventario6!D:H))))),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IF(ROW(A30)=2,"",IF(_xlfn._xlws.FILTER(Equipar!AC$2:AC29,Equipar!B$2:B29=B30)={0},"",_xlfn._xlws.FILTER(Equipar!AC$2:AC29,Equipar!B$2:B29=B30))),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36</v>
      </c>
      <c r="I30" s="4" cm="1">
        <f t="array" ref="I30">_xlfn.LET(
    _xlpm.jugador, A30,
    _xlpm.idSel, AC30,
    _xlpm.invIDs, IF(B30=1,Inventario1!A:A,IF(B30=2,Inventario2!A:A,IF(B30=3,Inventario3!A:A,IF(B30=4,Inventario4!A:A,IF(B30=5,Inventario5!A:A,Inventario6!A:A))))),
    _xlpm.invCalidad, IF(B30=1,Inventario1!B:B,IF(B30=2,Inventario2!B:B,IF(B30=3,Inventario3!B:B,IF(B30=4,Inventario4!B:B,IF(B30=5,Inventario5!B:B,Inventario6!B:B))))),
    _xlpm.invTipos, IF(B30=1,Inventario1!C:C,IF(B30=2,Inventario2!C:C,IF(B30=3,Inventario3!C:C,IF(B30=4,Inventario4!C:C,IF(B30=5,Inventario5!C:C,Inventario6!C:C))))),
    _xlpm.invStats, IF(B30=1,Inventario1!D:H,IF(B30=2,Inventario2!D:H,IF(B30=3,Inventario3!D:H,IF(B30=4,Inventario4!D:H,IF(B30=5,Inventario5!D:H,Inventario6!D:H))))),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IF(ROW(A30)=2,"",IF(_xlfn._xlws.FILTER(Equipar!AC$2:AC29,Equipar!B$2:B29=B30)={0},"",_xlfn._xlws.FILTER(Equipar!AC$2:AC29,Equipar!B$2:B29=B30))),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30" s="4" cm="1">
        <f t="array" aca="1" ref="J30" ca="1">_xlfn.LET(
    _xlpm.jugador, B30,
    _xlpm.idSel, AD30,
    _xlpm.invIDs, IF(C30=1,Inventario1!B:B,IF(C30=2,Inventario2!B:B,IF(C30=3,Inventario3!B:B,IF(C30=4,Inventario4!B:B,IF(C30=5,Inventario5!B:B,Inventario6!B:B))))),
    _xlpm.invCalidad, IF(C30=1,Inventario1!C:C,IF(C30=2,Inventario2!C:C,IF(C30=3,Inventario3!C:C,IF(C30=4,Inventario4!C:C,IF(C30=5,Inventario5!C:C,Inventario6!C:C))))),
    _xlpm.invTipos, IF(C30=1,Inventario1!D:D,IF(C30=2,Inventario2!D:D,IF(C30=3,Inventario3!D:D,IF(C30=4,Inventario4!D:D,IF(C30=5,Inventario5!D:D,Inventario6!D:D))))),
    _xlpm.invStats, IF(C30=1,Inventario1!E:I,IF(C30=2,Inventario2!E:I,IF(C30=3,Inventario3!E:I,IF(C30=4,Inventario4!E:I,IF(C30=5,Inventario5!E:I,Inventario6!E:I))))),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IF(ROW(B30)=2,"",IF(_xlfn._xlws.FILTER(Equipar!AD$2:AD29,Equipar!C$2:C29=C30)={0},"",_xlfn._xlws.FILTER(Equipar!AD$2:AD29,Equipar!C$2:C29=C30))),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30" s="4">
        <f t="shared" ca="1" si="0"/>
        <v>0</v>
      </c>
      <c r="L30" s="4">
        <f t="shared" ca="1" si="1"/>
        <v>36</v>
      </c>
      <c r="M30" s="4">
        <f t="shared" ca="1" si="1"/>
        <v>36</v>
      </c>
      <c r="N30" s="4">
        <f t="shared" si="2"/>
        <v>36</v>
      </c>
      <c r="O30" s="4">
        <f t="shared" ca="1" si="2"/>
        <v>0</v>
      </c>
      <c r="P30" s="14" cm="1">
        <f t="array" aca="1" ref="P30" ca="1">_xlfn.LET(
    _xlpm.ptsPrinBase, _xlfn._xlws.FILTER(G:G, A:A=A30),
    _xlpm.ptsSecBase,  _xlfn._xlws.FILTER(H:H, A:A=A30),
    _xlpm.puntosPrin, _xlpm.ptsPrinBase + _xlfn._xlws.FILTER(B:B, A:A=A30)/1000,
    _xlpm.puntosSec,  _xlpm.ptsSecBase  + _xlfn._xlws.FILTER(B:B, A:A=A30)/1000,
    _xlpm.puntosPrinValidos, SUM(--(_xlpm.ptsPrinBase&gt;0)),
    _xlpm.puntosSecValidos,  SUM(--(_xlpm.ptsSecBase&gt;0)),
    _xlpm.clave, K30 + B30/1000,
    _xlpm.claves, _xlfn._xlws.FILTER(K:K + B:B/1000, A:A=A30),
    IF(AND(_xlpm.puntosPrinValidos&gt;=4,_xlpm.puntosSecValidos&gt;=2),IF(
        SUM(--(_xlpm.claves &gt; _xlpm.clave)) &lt; 4,
        C30,
        D30
    ),"No disp")
)</f>
        <v>71</v>
      </c>
      <c r="Q30" s="14" t="str" cm="1">
        <f t="array" aca="1" ref="Q30" ca="1">_xlfn.LET(
    _xlpm.puntosPrin, _xlfn._xlws.FILTER(G:G + B:B/1000, A:A=A30),
    _xlpm.puntosPrinValidos, SUM(--(_xlpm.puntosPrin&gt;1)),
    _xlpm.puntosTer, _xlfn._xlws.FILTER(I:I + B:B/1000, A:A=A30),
    _xlpm.puntosTerValidos, SUM(--(_xlpm.puntosTer&gt;1)),
    _xlpm.clave, L30 + B30/1000,
    _xlpm.claves, _xlfn._xlws.FILTER(L:L + B:B/1000, A:A=A30),
    IF(AND(_xlpm.puntosPrinValidos&gt;=4,_xlpm.puntosTerValidos&gt;=2),IF(
        SUM(--(_xlpm.claves &gt; _xlpm.clave)) &lt; 4,
        C30,
        E30
    ),"No disp")
)</f>
        <v>No disp</v>
      </c>
      <c r="R30" s="14" t="str" cm="1">
        <f t="array" aca="1" ref="R30" ca="1">_xlfn.LET(
    _xlpm.puntosPrin, _xlfn._xlws.FILTER(G:G + B:B/1000, A:A=A30),
    _xlpm.puntosPrinValidos, SUM(--(_xlpm.puntosPrin&gt;1)),
    _xlpm.puntosTer, _xlfn._xlws.FILTER(J:J + B:B/1000, A:A=A30),
    _xlpm.puntosTerValidos, SUM(--(_xlpm.puntosTer&gt;1)),
    _xlpm.clave, M30 + B30/1000,
    _xlpm.claves, _xlfn._xlws.FILTER(M:M + B:B/1000, A:A=A30),
    IF(AND(_xlpm.puntosPrinValidos&gt;=4,_xlpm.puntosTerValidos&gt;=2),IF(
        SUM(--(_xlpm.claves &gt; _xlpm.clave)) &lt; 4,
        C30,
        F30
    ),"No disp")
)</f>
        <v>No disp</v>
      </c>
      <c r="S30" s="14" cm="1">
        <f t="array" aca="1" ref="S30" ca="1">_xlfn.LET(
    _xlpm.ptsPrinBase, _xlfn._xlws.FILTER(G:G, A:A=A30),
    _xlpm.ptsSecBase,  _xlfn._xlws.FILTER(H:H, A:A=A30),
    _xlpm.puntosPrin, _xlpm.ptsPrinBase + _xlfn._xlws.FILTER(B:B, A:A=A30)/1000,
    _xlpm.puntosSec,  _xlpm.ptsSecBase  + _xlfn._xlws.FILTER(B:B, A:A=A30)/1000,
    _xlpm.puntosPrinValidos, SUM(--(_xlpm.ptsPrinBase&gt;0)),
    _xlpm.puntosSecValidos,  SUM(--(_xlpm.ptsSecBase&gt;0)),
    _xlpm.clave, K30 + B30/1000,
    _xlpm.claves, _xlfn._xlws.FILTER(K:K + B:B/1000, A:A=A30),
    IF(
        AND(_xlpm.puntosPrinValidos&gt;=2, _xlpm.puntosSecValidos&gt;=4),
        IF(
            SUM(--(_xlpm.claves &lt; _xlpm.clave)) &lt; 4,
            D30,
            C30
        ),
        "No disp"
    )
)</f>
        <v>71</v>
      </c>
      <c r="T30" s="14" t="str" cm="1">
        <f t="array" ref="T30">_xlfn.LET(
    _xlpm.puntosSec, _xlfn._xlws.FILTER(H:H + B:B/1000, A:A=A30),
    _xlpm.puntosSecValidos, SUM(--(_xlpm.puntosSec&gt;1)),
    _xlpm.puntosAlt, _xlfn._xlws.FILTER(I:I + B:B/1000, A:A=A30),
    _xlpm.puntosAltValidos, SUM(--(_xlpm.puntosAlt&gt;1)),
    _xlpm.clave, N30 + B30/1000,
    _xlpm.claves, _xlfn._xlws.FILTER(N:N + B:B/1000, A:A=A30),
    IF(AND(_xlpm.puntosSecValidos&gt;=4,_xlpm.puntosAltValidos&gt;=2),IF(
        SUM(--(_xlpm.claves &gt; _xlpm.clave)) &lt; 4,
        D30,
        E30
    ),"No disp")
)</f>
        <v>No disp</v>
      </c>
      <c r="U30" s="14" t="str" cm="1">
        <f t="array" aca="1" ref="U30" ca="1">_xlfn.LET(
    _xlpm.puntosSec, _xlfn._xlws.FILTER(H:H + B:B/1000, A:A=A30),
    _xlpm.puntosSecValidos, SUM(--(_xlpm.puntosSec&gt;1)),
    _xlpm.puntosAlt, _xlfn._xlws.FILTER(J:J + B:B/1000, A:A=A30),
    _xlpm.puntosAltValidos, SUM(--(_xlpm.puntosAlt&gt;1)),
    _xlpm.clave, O30 + B30/1000,
    _xlpm.claves, _xlfn._xlws.FILTER(O:O + B:B/1000, A:A=A30),
    IF(AND(_xlpm.puntosSecValidos&gt;=4,_xlpm.puntosAltValidos&gt;=2),IF(
        SUM(--(_xlpm.claves &gt; _xlpm.clave)) &lt; 4,
        D30,
        F30
    ),"No disp")
)</f>
        <v>No disp</v>
      </c>
      <c r="V30" s="4" cm="1">
        <f t="array" aca="1" ref="V30" ca="1">_xlfn.LET(
_xlpm.PrinIDs,_xlfn._xlws.FILTER(C:C,(A:A=A30)),
_xlpm.SecIDs,_xlfn._xlws.FILTER(D:D,(A:A=A30)),
_xlpm.TerIDs,_xlfn._xlws.FILTER(E:E,A:A=A30),
_xlpm.CuaIDs,_xlfn._xlws.FILTER(F:F,(A:A=A30)),
_xlpm.PrinPts,_xlfn._xlws.FILTER(G:G,(A:A=A30)),
_xlpm.SecPts,_xlfn._xlws.FILTER(H:H,(A:A=A30)),
_xlpm.TerPts,_xlfn._xlws.FILTER(I:I,(A:A=A30)),
_xlpm.CuaPts,_xlfn._xlws.FILTER(J:J,(A:A=A30)),
_xlpm.PSIds,_xlfn._xlws.FILTER(P:P,A:A=A30),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407.25</v>
      </c>
      <c r="W30" s="4" cm="1">
        <f t="array" aca="1" ref="W30" ca="1">_xlfn.LET(
_xlpm.PrinIDs,_xlfn._xlws.FILTER(C:C,(A:A=A30)),
_xlpm.SecIDs,_xlfn._xlws.FILTER(D:D,(A:A=A30)),
_xlpm.TerIDs,_xlfn._xlws.FILTER(E:E,A:A=A30),
_xlpm.CuaIDs,_xlfn._xlws.FILTER(F:F,(A:A=A30)),
_xlpm.PrinPts,_xlfn._xlws.FILTER(G:G,(A:A=A30)),
_xlpm.SecPts,_xlfn._xlws.FILTER(H:H,(A:A=A30)),
_xlpm.TerPts,_xlfn._xlws.FILTER(I:I,(A:A=A30)),
_xlpm.CuaPts,_xlfn._xlws.FILTER(J:J,(A:A=A30)),
_xlpm.PTIds,_xlfn._xlws.FILTER(Q:Q,A:A=A30),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30" s="4" cm="1">
        <f t="array" aca="1" ref="X30" ca="1">_xlfn.LET(
_xlpm.PrinIDs,_xlfn._xlws.FILTER(C:C,(A:A=A30)),
_xlpm.SecIDs,_xlfn._xlws.FILTER(D:D,(A:A=A30)),
_xlpm.TerIDs,_xlfn._xlws.FILTER(E:E,A:A=A30),
_xlpm.CuaIDs,_xlfn._xlws.FILTER(F:F,(A:A=A30)),
_xlpm.PrinPts,_xlfn._xlws.FILTER(G:G,(A:A=A30)),
_xlpm.SecPts,_xlfn._xlws.FILTER(H:H,(A:A=A30)),
_xlpm.TerPts,_xlfn._xlws.FILTER(I:I,(A:A=A30)),
_xlpm.CuaPts,_xlfn._xlws.FILTER(J:J,(A:A=A30)),
_xlpm.PCIds,_xlfn._xlws.FILTER(R:R,A:A=A30),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30" s="4" cm="1">
        <f t="array" aca="1" ref="Y30" ca="1">_xlfn.LET(
_xlpm.PrinIDs,_xlfn._xlws.FILTER(C:C,(A:A=A30)),
_xlpm.SecIDs,_xlfn._xlws.FILTER(D:D,(A:A=A30)),
_xlpm.AltIDs,_xlfn._xlws.FILTER(E:E,A:A=A30),
_xlpm.PrinPts,_xlfn._xlws.FILTER(G:G,(A:A=A30)),
_xlpm.SecPts,_xlfn._xlws.FILTER(H:H,(A:A=A30)),
_xlpm.AltPts,_xlfn._xlws.FILTER(I:I,(A:A=A30)),
_xlpm.SPIds,_xlfn._xlws.FILTER(S:S,A:A=A30),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419.04</v>
      </c>
      <c r="Z30" s="4" cm="1">
        <f t="array" aca="1" ref="Z30" ca="1">_xlfn.LET(
_xlpm.PrinIDs,_xlfn._xlws.FILTER(C:C,(A:A=A30)),
_xlpm.SecIDs,_xlfn._xlws.FILTER(D:D,(A:A=A30)),
_xlpm.TerIDs,_xlfn._xlws.FILTER(E:E,A:A=A30),
_xlpm.CuaIDs,_xlfn._xlws.FILTER(F:F,(A:A=A30)),
_xlpm.PrinPts,_xlfn._xlws.FILTER(G:G,(A:A=A30)),
_xlpm.SecPts,_xlfn._xlws.FILTER(H:H,(A:A=A30)),
_xlpm.TerPts,_xlfn._xlws.FILTER(I:I,(A:A=A30)),
_xlpm.CuaPts,_xlfn._xlws.FILTER(J:J,(A:A=A30)),
_xlpm.STIds,_xlfn._xlws.FILTER(T:T,A:A=A30),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30" s="4" cm="1">
        <f t="array" aca="1" ref="AA30" ca="1">_xlfn.LET(
_xlpm.PrinIDs,_xlfn._xlws.FILTER(C:C,(A:A=A30)),
_xlpm.SecIDs,_xlfn._xlws.FILTER(D:D,(A:A=A30)),
_xlpm.TerIDs,_xlfn._xlws.FILTER(E:E,A:A=A30),
_xlpm.CuaIDs,_xlfn._xlws.FILTER(F:F,(A:A=A30)),
_xlpm.PrinPts,_xlfn._xlws.FILTER(G:G,(A:A=A30)),
_xlpm.SecPts,_xlfn._xlws.FILTER(H:H,(A:A=A30)),
_xlpm.TerPts,_xlfn._xlws.FILTER(I:I,(A:A=A30)),
_xlpm.CuaPts,_xlfn._xlws.FILTER(J:J,(A:A=A30)),
_xlpm.SCIds,_xlfn._xlws.FILTER(U:U,A:A=A30),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30" s="14">
        <f t="shared" ca="1" si="3"/>
        <v>71</v>
      </c>
      <c r="AC30" s="14">
        <v>71</v>
      </c>
      <c r="AD30" s="4"/>
      <c r="AE30" s="14" t="str">
        <f ca="1">IF(ISNUMBER(AC30),
IF($B30=1,VLOOKUP($AC30,Inventario1!$A:$H,2),
IF($B30=2,VLOOKUP($AC30,Inventario2!$A:$H,2),
IF($B30=3,VLOOKUP($AC30,Inventario3!$A:$H,2),
IF($B30=4,VLOOKUP($AC30,Inventario4!$A:$H,2),
IF($B30=5,VLOOKUP($AC30,Inventario5!$A:$H,2),
VLOOKUP($AC30,Inventario6!$A:$H,2)
))))),"No equipado")</f>
        <v>Épico</v>
      </c>
      <c r="AF30" s="14" t="str">
        <f ca="1">IF(ISNUMBER(AC30),
IF($B30=1,VLOOKUP($AC30,Inventario1!$A:$H,3),
IF($B30=2,VLOOKUP($AC30,Inventario2!$A:$H,3),
IF($B30=3,VLOOKUP($AC30,Inventario3!$A:$H,3),
IF($B30=4,VLOOKUP($AC30,Inventario4!$A:$H,3),
IF($B30=5,VLOOKUP($AC30,Inventario5!$A:$H,3),
VLOOKUP($AC30,Inventario6!$A:$H,3)
))))),"")</f>
        <v>Ataque veloz</v>
      </c>
      <c r="AG30" s="14" t="str">
        <f ca="1">IF(ISNUMBER(AC30),
IF($B30=1,VLOOKUP($AC30,Inventario1!$A:$H,4),
IF($B30=2,VLOOKUP($AC30,Inventario2!$A:$H,4),
IF($B30=3,VLOOKUP($AC30,Inventario3!$A:$H,4),
IF($B30=4,VLOOKUP($AC30,Inventario4!$A:$H,4),
IF($B30=5,VLOOKUP($AC30,Inventario5!$A:$H,4),
VLOOKUP($AC30,Inventario6!$A:$H,4)
))))),"")</f>
        <v>Recepción</v>
      </c>
      <c r="AH30" s="14" t="str">
        <f ca="1">IF(ISNUMBER(AC30),
IF($B30=1,VLOOKUP($AC30,Inventario1!$A:$H,5),
IF($B30=2,VLOOKUP($AC30,Inventario2!$A:$H,5),
IF($B30=3,VLOOKUP($AC30,Inventario3!$A:$H,5),
IF($B30=4,VLOOKUP($AC30,Inventario4!$A:$H,5),
IF($B30=5,VLOOKUP($AC30,Inventario5!$A:$H,5),
VLOOKUP($AC30,Inventario6!$A:$H,5)
))))),"")</f>
        <v>Bloqueo</v>
      </c>
      <c r="AI30" s="14" t="str">
        <f ca="1">IF(ISNUMBER(AC30),
IF($B30=1,VLOOKUP($AC30,Inventario1!$A:$H,6),
IF($B30=2,VLOOKUP($AC30,Inventario2!$A:$H,6),
IF($B30=3,VLOOKUP($AC30,Inventario3!$A:$H,6),
IF($B30=4,VLOOKUP($AC30,Inventario4!$A:$H,6),
IF($B30=5,VLOOKUP($AC30,Inventario5!$A:$H,6),
VLOOKUP($AC30,Inventario6!$A:$H,6)
))))),"")</f>
        <v>Saque</v>
      </c>
      <c r="AJ30" s="14" t="str">
        <f ca="1">IF(ISNUMBER(AC30),
IF($B30=1,VLOOKUP($AC30,Inventario1!$A:$H,7),
IF($B30=2,VLOOKUP($AC30,Inventario2!$A:$H,7),
IF($B30=3,VLOOKUP($AC30,Inventario3!$A:$H,7),
IF($B30=4,VLOOKUP($AC30,Inventario4!$A:$H,7),
IF($B30=5,VLOOKUP($AC30,Inventario5!$A:$H,7),
VLOOKUP($AC30,Inventario6!$A:$H,7)
))))),"")</f>
        <v>Ataque rápido</v>
      </c>
      <c r="AK30" s="15">
        <f ca="1">IF(ISNUMBER(AC30),
IF($B30=1,VLOOKUP($AC30,Inventario1!$A:$H,8),
IF($B30=2,VLOOKUP($AC30,Inventario2!$A:$H,8),
IF($B30=3,VLOOKUP($AC30,Inventario3!$A:$H,8),
IF($B30=4,VLOOKUP($AC30,Inventario4!$A:$H,8),
IF($B30=5,VLOOKUP($AC30,Inventario5!$A:$H,8),
VLOOKUP($AC30,Inventario6!$A:$H,8)
))))),"")</f>
        <v>0</v>
      </c>
    </row>
    <row r="31" spans="1:37" ht="15.75" thickBot="1" x14ac:dyDescent="0.3">
      <c r="A31" s="22" t="s">
        <v>74</v>
      </c>
      <c r="B31" s="17">
        <v>6</v>
      </c>
      <c r="C31" s="18" cm="1">
        <f t="array" aca="1" ref="C31" ca="1">_xlfn.LET(
    _xlpm.jugador, A31,
    _xlpm.idSel, AC31,
    _xlpm.invIDs, IF(B31=1,Inventario1!A:A,IF(B31=2,Inventario2!A:A,IF(B31=3,Inventario3!A:A,IF(B31=4,Inventario4!A:A,IF(B31=5,Inventario5!A:A,Inventario6!A:A))))),
    _xlpm.invCalidad, IF(B31=1,Inventario1!B:B,IF(B31=2,Inventario2!B:B,IF(B31=3,Inventario3!B:B,IF(B31=4,Inventario4!B:B,IF(B31=5,Inventario5!B:B,Inventario6!B:B))))),
    _xlpm.invTipos, IF(B31=1,Inventario1!C:C,IF(B31=2,Inventario2!C:C,IF(B31=3,Inventario3!C:C,IF(B31=4,Inventario4!C:C,IF(B31=5,Inventario5!C:C,Inventario6!C:C))))),
    _xlpm.invStats, IF(B31=1,Inventario1!D:H,IF(B31=2,Inventario2!D:H,IF(B31=3,Inventario3!D:H,IF(B31=4,Inventario4!D:H,IF(B31=5,Inventario5!D:H,Inventario6!D:H))))),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IF(ROW(A31)=2,"",IF(_xlfn._xlws.FILTER(Equipar!AC$2:AC30,Equipar!B$2:B30=B31)={0},"",_xlfn._xlws.FILTER(Equipar!AC$2:AC30,Equipar!B$2:B30=B31))),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81</v>
      </c>
      <c r="D31" s="17" cm="1">
        <f t="array" ref="D31">_xlfn.LET(
    _xlpm.jugador, A31,
    _xlpm.idSel, AC31,
    _xlpm.invIDs, IF(B31=1,Inventario1!A:A,IF(B31=2,Inventario2!A:A,IF(B31=3,Inventario3!A:A,IF(B31=4,Inventario4!A:A,IF(B31=5,Inventario5!A:A,Inventario6!A:A))))),
    _xlpm.invCalidad, IF(B31=1,Inventario1!B:B,IF(B31=2,Inventario2!B:B,IF(B31=3,Inventario3!B:B,IF(B31=4,Inventario4!B:B,IF(B31=5,Inventario5!B:B,Inventario6!B:B))))),
    _xlpm.invTipos, IF(B31=1,Inventario1!C:C,IF(B31=2,Inventario2!C:C,IF(B31=3,Inventario3!C:C,IF(B31=4,Inventario4!C:C,IF(B31=5,Inventario5!C:C,Inventario6!C:C))))),
    _xlpm.invStats, IF(B31=1,Inventario1!D:H,IF(B31=2,Inventario2!D:H,IF(B31=3,Inventario3!D:H,IF(B31=4,Inventario4!D:H,IF(B31=5,Inventario5!D:H,Inventario6!D:H))))),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IF(ROW(A31)=2,"",IF(_xlfn._xlws.FILTER(Equipar!AC$2:AC30,Equipar!B$2:B30=B31)={0},"",_xlfn._xlws.FILTER(Equipar!AC$2:AC30,Equipar!B$2:B30=B31))),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234</v>
      </c>
      <c r="E31" s="17" t="str" cm="1">
        <f t="array" ref="E31">_xlfn.LET(
    _xlpm.jugador, A31,
    _xlpm.idSel, AC31,
    _xlpm.invIDs, IF(B31=1,Inventario1!A:A,IF(B31=2,Inventario2!A:A,IF(B31=3,Inventario3!A:A,IF(B31=4,Inventario4!A:A,IF(B31=5,Inventario5!A:A,Inventario6!A:A))))),
    _xlpm.invCalidad, IF(B31=1,Inventario1!B:B,IF(B31=2,Inventario2!B:B,IF(B31=3,Inventario3!B:B,IF(B31=4,Inventario4!B:B,IF(B31=5,Inventario5!B:B,Inventario6!B:B))))),
    _xlpm.invTipos, IF(B31=1,Inventario1!C:C,IF(B31=2,Inventario2!C:C,IF(B31=3,Inventario3!C:C,IF(B31=4,Inventario4!C:C,IF(B31=5,Inventario5!C:C,Inventario6!C:C))))),
    _xlpm.invStats, IF(B31=1,Inventario1!D:H,IF(B31=2,Inventario2!D:H,IF(B31=3,Inventario3!D:H,IF(B31=4,Inventario4!D:H,IF(B31=5,Inventario5!D:H,Inventario6!D:H))))),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IF(ROW(A31)=2,"",IF(_xlfn._xlws.FILTER(Equipar!AC$2:AC30,Equipar!B$2:B30=B31)={0},"",_xlfn._xlws.FILTER(Equipar!AC$2:AC30,Equipar!B$2:B30=B31))),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31" s="17" t="str" cm="1">
        <f t="array" aca="1" ref="F31" ca="1">_xlfn.LET(
    _xlpm.jugador, B31,
    _xlpm.idSel, AD31,
    _xlpm.invIDs, IF(C31=1,Inventario1!B:B,IF(C31=2,Inventario2!B:B,IF(C31=3,Inventario3!B:B,IF(C31=4,Inventario4!B:B,IF(C31=5,Inventario5!B:B,Inventario6!B:B))))),
    _xlpm.invCalidad, IF(C31=1,Inventario1!C:C,IF(C31=2,Inventario2!C:C,IF(C31=3,Inventario3!C:C,IF(C31=4,Inventario4!C:C,IF(C31=5,Inventario5!C:C,Inventario6!C:C))))),
    _xlpm.invTipos, IF(C31=1,Inventario1!D:D,IF(C31=2,Inventario2!D:D,IF(C31=3,Inventario3!D:D,IF(C31=4,Inventario4!D:D,IF(C31=5,Inventario5!D:D,Inventario6!D:D))))),
    _xlpm.invStats, IF(C31=1,Inventario1!E:I,IF(C31=2,Inventario2!E:I,IF(C31=3,Inventario3!E:I,IF(C31=4,Inventario4!E:I,IF(C31=5,Inventario5!E:I,Inventario6!E:I))))),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IF(ROW(B31)=2,"",IF(_xlfn._xlws.FILTER(Equipar!AD$2:AD30,Equipar!C$2:C30=C31)={0},"",_xlfn._xlws.FILTER(Equipar!AD$2:AD30,Equipar!C$2:C30=C31))),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31" s="18" cm="1">
        <f t="array" aca="1" ref="G31" ca="1">_xlfn.LET(
    _xlpm.jugador, A31,
    _xlpm.idSel, AC31,
    _xlpm.invIDs, IF(B31=1,Inventario1!A:A,IF(B31=2,Inventario2!A:A,IF(B31=3,Inventario3!A:A,IF(B31=4,Inventario4!A:A,IF(B31=5,Inventario5!A:A,Inventario6!A:A))))),
    _xlpm.invCalidad, IF(B31=1,Inventario1!B:B,IF(B31=2,Inventario2!B:B,IF(B31=3,Inventario3!B:B,IF(B31=4,Inventario4!B:B,IF(B31=5,Inventario5!B:B,Inventario6!B:B))))),
    _xlpm.invTipos, IF(B31=1,Inventario1!C:C,IF(B31=2,Inventario2!C:C,IF(B31=3,Inventario3!C:C,IF(B31=4,Inventario4!C:C,IF(B31=5,Inventario5!C:C,Inventario6!C:C))))),
    _xlpm.invStats, IF(B31=1,Inventario1!D:H,IF(B31=2,Inventario2!D:H,IF(B31=3,Inventario3!D:H,IF(B31=4,Inventario4!D:H,IF(B31=5,Inventario5!D:H,Inventario6!D:H))))),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IF(ROW(A31)=2,"",IF(_xlfn._xlws.FILTER(Equipar!AC$2:AC30,Equipar!B$2:B30=B31)={0},"",_xlfn._xlws.FILTER(Equipar!AC$2:AC30,Equipar!B$2:B30=B31))),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H31" s="17" cm="1">
        <f t="array" ref="H31">_xlfn.LET(
    _xlpm.jugador, A31,
    _xlpm.idSel, AC31,
    _xlpm.invIDs, IF(B31=1,Inventario1!A:A,IF(B31=2,Inventario2!A:A,IF(B31=3,Inventario3!A:A,IF(B31=4,Inventario4!A:A,IF(B31=5,Inventario5!A:A,Inventario6!A:A))))),
    _xlpm.invCalidad, IF(B31=1,Inventario1!B:B,IF(B31=2,Inventario2!B:B,IF(B31=3,Inventario3!B:B,IF(B31=4,Inventario4!B:B,IF(B31=5,Inventario5!B:B,Inventario6!B:B))))),
    _xlpm.invTipos, IF(B31=1,Inventario1!C:C,IF(B31=2,Inventario2!C:C,IF(B31=3,Inventario3!C:C,IF(B31=4,Inventario4!C:C,IF(B31=5,Inventario5!C:C,Inventario6!C:C))))),
    _xlpm.invStats, IF(B31=1,Inventario1!D:H,IF(B31=2,Inventario2!D:H,IF(B31=3,Inventario3!D:H,IF(B31=4,Inventario4!D:H,IF(B31=5,Inventario5!D:H,Inventario6!D:H))))),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IF(ROW(A31)=2,"",IF(_xlfn._xlws.FILTER(Equipar!AC$2:AC30,Equipar!B$2:B30=B31)={0},"",_xlfn._xlws.FILTER(Equipar!AC$2:AC30,Equipar!B$2:B30=B31))),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I31" s="17" cm="1">
        <f t="array" ref="I31">_xlfn.LET(
    _xlpm.jugador, A31,
    _xlpm.idSel, AC31,
    _xlpm.invIDs, IF(B31=1,Inventario1!A:A,IF(B31=2,Inventario2!A:A,IF(B31=3,Inventario3!A:A,IF(B31=4,Inventario4!A:A,IF(B31=5,Inventario5!A:A,Inventario6!A:A))))),
    _xlpm.invCalidad, IF(B31=1,Inventario1!B:B,IF(B31=2,Inventario2!B:B,IF(B31=3,Inventario3!B:B,IF(B31=4,Inventario4!B:B,IF(B31=5,Inventario5!B:B,Inventario6!B:B))))),
    _xlpm.invTipos, IF(B31=1,Inventario1!C:C,IF(B31=2,Inventario2!C:C,IF(B31=3,Inventario3!C:C,IF(B31=4,Inventario4!C:C,IF(B31=5,Inventario5!C:C,Inventario6!C:C))))),
    _xlpm.invStats, IF(B31=1,Inventario1!D:H,IF(B31=2,Inventario2!D:H,IF(B31=3,Inventario3!D:H,IF(B31=4,Inventario4!D:H,IF(B31=5,Inventario5!D:H,Inventario6!D:H))))),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IF(ROW(A31)=2,"",IF(_xlfn._xlws.FILTER(Equipar!AC$2:AC30,Equipar!B$2:B30=B31)={0},"",_xlfn._xlws.FILTER(Equipar!AC$2:AC30,Equipar!B$2:B30=B31))),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31" s="17" cm="1">
        <f t="array" aca="1" ref="J31" ca="1">_xlfn.LET(
    _xlpm.jugador, B31,
    _xlpm.idSel, AD31,
    _xlpm.invIDs, IF(C31=1,Inventario1!B:B,IF(C31=2,Inventario2!B:B,IF(C31=3,Inventario3!B:B,IF(C31=4,Inventario4!B:B,IF(C31=5,Inventario5!B:B,Inventario6!B:B))))),
    _xlpm.invCalidad, IF(C31=1,Inventario1!C:C,IF(C31=2,Inventario2!C:C,IF(C31=3,Inventario3!C:C,IF(C31=4,Inventario4!C:C,IF(C31=5,Inventario5!C:C,Inventario6!C:C))))),
    _xlpm.invTipos, IF(C31=1,Inventario1!D:D,IF(C31=2,Inventario2!D:D,IF(C31=3,Inventario3!D:D,IF(C31=4,Inventario4!D:D,IF(C31=5,Inventario5!D:D,Inventario6!D:D))))),
    _xlpm.invStats, IF(C31=1,Inventario1!E:I,IF(C31=2,Inventario2!E:I,IF(C31=3,Inventario3!E:I,IF(C31=4,Inventario4!E:I,IF(C31=5,Inventario5!E:I,Inventario6!E:I))))),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IF(ROW(B31)=2,"",IF(_xlfn._xlws.FILTER(Equipar!AD$2:AD30,Equipar!C$2:C30=C31)={0},"",_xlfn._xlws.FILTER(Equipar!AD$2:AD30,Equipar!C$2:C30=C31))),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31" s="17">
        <f t="shared" ca="1" si="0"/>
        <v>-17.820000000000007</v>
      </c>
      <c r="L31" s="17">
        <f t="shared" ca="1" si="1"/>
        <v>54</v>
      </c>
      <c r="M31" s="17">
        <f t="shared" ca="1" si="1"/>
        <v>71.820000000000007</v>
      </c>
      <c r="N31" s="17">
        <f t="shared" si="2"/>
        <v>71.820000000000007</v>
      </c>
      <c r="O31" s="17">
        <f t="shared" ca="1" si="2"/>
        <v>0</v>
      </c>
      <c r="P31" s="18" cm="1">
        <f t="array" aca="1" ref="P31" ca="1">_xlfn.LET(
    _xlpm.ptsPrinBase, _xlfn._xlws.FILTER(G:G, A:A=A31),
    _xlpm.ptsSecBase,  _xlfn._xlws.FILTER(H:H, A:A=A31),
    _xlpm.puntosPrin, _xlpm.ptsPrinBase + _xlfn._xlws.FILTER(B:B, A:A=A31)/1000,
    _xlpm.puntosSec,  _xlpm.ptsSecBase  + _xlfn._xlws.FILTER(B:B, A:A=A31)/1000,
    _xlpm.puntosPrinValidos, SUM(--(_xlpm.ptsPrinBase&gt;0)),
    _xlpm.puntosSecValidos,  SUM(--(_xlpm.ptsSecBase&gt;0)),
    _xlpm.clave, K31 + B31/1000,
    _xlpm.claves, _xlfn._xlws.FILTER(K:K + B:B/1000, A:A=A31),
    IF(AND(_xlpm.puntosPrinValidos&gt;=4,_xlpm.puntosSecValidos&gt;=2),IF(
        SUM(--(_xlpm.claves &gt; _xlpm.clave)) &lt; 4,
        C31,
        D31
    ),"No disp")
)</f>
        <v>234</v>
      </c>
      <c r="Q31" s="18" t="str" cm="1">
        <f t="array" aca="1" ref="Q31" ca="1">_xlfn.LET(
    _xlpm.puntosPrin, _xlfn._xlws.FILTER(G:G + B:B/1000, A:A=A31),
    _xlpm.puntosPrinValidos, SUM(--(_xlpm.puntosPrin&gt;1)),
    _xlpm.puntosTer, _xlfn._xlws.FILTER(I:I + B:B/1000, A:A=A31),
    _xlpm.puntosTerValidos, SUM(--(_xlpm.puntosTer&gt;1)),
    _xlpm.clave, L31 + B31/1000,
    _xlpm.claves, _xlfn._xlws.FILTER(L:L + B:B/1000, A:A=A31),
    IF(AND(_xlpm.puntosPrinValidos&gt;=4,_xlpm.puntosTerValidos&gt;=2),IF(
        SUM(--(_xlpm.claves &gt; _xlpm.clave)) &lt; 4,
        C31,
        E31
    ),"No disp")
)</f>
        <v>No disp</v>
      </c>
      <c r="R31" s="18" t="str" cm="1">
        <f t="array" aca="1" ref="R31" ca="1">_xlfn.LET(
    _xlpm.puntosPrin, _xlfn._xlws.FILTER(G:G + B:B/1000, A:A=A31),
    _xlpm.puntosPrinValidos, SUM(--(_xlpm.puntosPrin&gt;1)),
    _xlpm.puntosTer, _xlfn._xlws.FILTER(J:J + B:B/1000, A:A=A31),
    _xlpm.puntosTerValidos, SUM(--(_xlpm.puntosTer&gt;1)),
    _xlpm.clave, M31 + B31/1000,
    _xlpm.claves, _xlfn._xlws.FILTER(M:M + B:B/1000, A:A=A31),
    IF(AND(_xlpm.puntosPrinValidos&gt;=4,_xlpm.puntosTerValidos&gt;=2),IF(
        SUM(--(_xlpm.claves &gt; _xlpm.clave)) &lt; 4,
        C31,
        F31
    ),"No disp")
)</f>
        <v>No disp</v>
      </c>
      <c r="S31" s="18" cm="1">
        <f t="array" aca="1" ref="S31" ca="1">_xlfn.LET(
    _xlpm.ptsPrinBase, _xlfn._xlws.FILTER(G:G, A:A=A31),
    _xlpm.ptsSecBase,  _xlfn._xlws.FILTER(H:H, A:A=A31),
    _xlpm.puntosPrin, _xlpm.ptsPrinBase + _xlfn._xlws.FILTER(B:B, A:A=A31)/1000,
    _xlpm.puntosSec,  _xlpm.ptsSecBase  + _xlfn._xlws.FILTER(B:B, A:A=A31)/1000,
    _xlpm.puntosPrinValidos, SUM(--(_xlpm.ptsPrinBase&gt;0)),
    _xlpm.puntosSecValidos,  SUM(--(_xlpm.ptsSecBase&gt;0)),
    _xlpm.clave, K31 + B31/1000,
    _xlpm.claves, _xlfn._xlws.FILTER(K:K + B:B/1000, A:A=A31),
    IF(
        AND(_xlpm.puntosPrinValidos&gt;=2, _xlpm.puntosSecValidos&gt;=4),
        IF(
            SUM(--(_xlpm.claves &lt; _xlpm.clave)) &lt; 4,
            D31,
            C31
        ),
        "No disp"
    )
)</f>
        <v>234</v>
      </c>
      <c r="T31" s="18" t="str" cm="1">
        <f t="array" ref="T31">_xlfn.LET(
    _xlpm.puntosSec, _xlfn._xlws.FILTER(H:H + B:B/1000, A:A=A31),
    _xlpm.puntosSecValidos, SUM(--(_xlpm.puntosSec&gt;1)),
    _xlpm.puntosAlt, _xlfn._xlws.FILTER(I:I + B:B/1000, A:A=A31),
    _xlpm.puntosAltValidos, SUM(--(_xlpm.puntosAlt&gt;1)),
    _xlpm.clave, N31 + B31/1000,
    _xlpm.claves, _xlfn._xlws.FILTER(N:N + B:B/1000, A:A=A31),
    IF(AND(_xlpm.puntosSecValidos&gt;=4,_xlpm.puntosAltValidos&gt;=2),IF(
        SUM(--(_xlpm.claves &gt; _xlpm.clave)) &lt; 4,
        D31,
        E31
    ),"No disp")
)</f>
        <v>No disp</v>
      </c>
      <c r="U31" s="18" t="str" cm="1">
        <f t="array" aca="1" ref="U31" ca="1">_xlfn.LET(
    _xlpm.puntosSec, _xlfn._xlws.FILTER(H:H + B:B/1000, A:A=A31),
    _xlpm.puntosSecValidos, SUM(--(_xlpm.puntosSec&gt;1)),
    _xlpm.puntosAlt, _xlfn._xlws.FILTER(J:J + B:B/1000, A:A=A31),
    _xlpm.puntosAltValidos, SUM(--(_xlpm.puntosAlt&gt;1)),
    _xlpm.clave, O31 + B31/1000,
    _xlpm.claves, _xlfn._xlws.FILTER(O:O + B:B/1000, A:A=A31),
    IF(AND(_xlpm.puntosSecValidos&gt;=4,_xlpm.puntosAltValidos&gt;=2),IF(
        SUM(--(_xlpm.claves &gt; _xlpm.clave)) &lt; 4,
        D31,
        F31
    ),"No disp")
)</f>
        <v>No disp</v>
      </c>
      <c r="V31" s="17" cm="1">
        <f t="array" aca="1" ref="V31" ca="1">_xlfn.LET(
_xlpm.PrinIDs,_xlfn._xlws.FILTER(C:C,(A:A=A31)),
_xlpm.SecIDs,_xlfn._xlws.FILTER(D:D,(A:A=A31)),
_xlpm.TerIDs,_xlfn._xlws.FILTER(E:E,A:A=A31),
_xlpm.CuaIDs,_xlfn._xlws.FILTER(F:F,(A:A=A31)),
_xlpm.PrinPts,_xlfn._xlws.FILTER(G:G,(A:A=A31)),
_xlpm.SecPts,_xlfn._xlws.FILTER(H:H,(A:A=A31)),
_xlpm.TerPts,_xlfn._xlws.FILTER(I:I,(A:A=A31)),
_xlpm.CuaPts,_xlfn._xlws.FILTER(J:J,(A:A=A31)),
_xlpm.PSIds,_xlfn._xlws.FILTER(P:P,A:A=A31),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407.25</v>
      </c>
      <c r="W31" s="17" cm="1">
        <f t="array" aca="1" ref="W31" ca="1">_xlfn.LET(
_xlpm.PrinIDs,_xlfn._xlws.FILTER(C:C,(A:A=A31)),
_xlpm.SecIDs,_xlfn._xlws.FILTER(D:D,(A:A=A31)),
_xlpm.TerIDs,_xlfn._xlws.FILTER(E:E,A:A=A31),
_xlpm.CuaIDs,_xlfn._xlws.FILTER(F:F,(A:A=A31)),
_xlpm.PrinPts,_xlfn._xlws.FILTER(G:G,(A:A=A31)),
_xlpm.SecPts,_xlfn._xlws.FILTER(H:H,(A:A=A31)),
_xlpm.TerPts,_xlfn._xlws.FILTER(I:I,(A:A=A31)),
_xlpm.CuaPts,_xlfn._xlws.FILTER(J:J,(A:A=A31)),
_xlpm.PTIds,_xlfn._xlws.FILTER(Q:Q,A:A=A31),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31" s="17" cm="1">
        <f t="array" aca="1" ref="X31" ca="1">_xlfn.LET(
_xlpm.PrinIDs,_xlfn._xlws.FILTER(C:C,(A:A=A31)),
_xlpm.SecIDs,_xlfn._xlws.FILTER(D:D,(A:A=A31)),
_xlpm.TerIDs,_xlfn._xlws.FILTER(E:E,A:A=A31),
_xlpm.CuaIDs,_xlfn._xlws.FILTER(F:F,(A:A=A31)),
_xlpm.PrinPts,_xlfn._xlws.FILTER(G:G,(A:A=A31)),
_xlpm.SecPts,_xlfn._xlws.FILTER(H:H,(A:A=A31)),
_xlpm.TerPts,_xlfn._xlws.FILTER(I:I,(A:A=A31)),
_xlpm.CuaPts,_xlfn._xlws.FILTER(J:J,(A:A=A31)),
_xlpm.PCIds,_xlfn._xlws.FILTER(R:R,A:A=A31),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31" s="17" cm="1">
        <f t="array" aca="1" ref="Y31" ca="1">_xlfn.LET(
_xlpm.PrinIDs,_xlfn._xlws.FILTER(C:C,(A:A=A31)),
_xlpm.SecIDs,_xlfn._xlws.FILTER(D:D,(A:A=A31)),
_xlpm.AltIDs,_xlfn._xlws.FILTER(E:E,A:A=A31),
_xlpm.PrinPts,_xlfn._xlws.FILTER(G:G,(A:A=A31)),
_xlpm.SecPts,_xlfn._xlws.FILTER(H:H,(A:A=A31)),
_xlpm.AltPts,_xlfn._xlws.FILTER(I:I,(A:A=A31)),
_xlpm.SPIds,_xlfn._xlws.FILTER(S:S,A:A=A31),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419.04</v>
      </c>
      <c r="Z31" s="17" cm="1">
        <f t="array" aca="1" ref="Z31" ca="1">_xlfn.LET(
_xlpm.PrinIDs,_xlfn._xlws.FILTER(C:C,(A:A=A31)),
_xlpm.SecIDs,_xlfn._xlws.FILTER(D:D,(A:A=A31)),
_xlpm.TerIDs,_xlfn._xlws.FILTER(E:E,A:A=A31),
_xlpm.CuaIDs,_xlfn._xlws.FILTER(F:F,(A:A=A31)),
_xlpm.PrinPts,_xlfn._xlws.FILTER(G:G,(A:A=A31)),
_xlpm.SecPts,_xlfn._xlws.FILTER(H:H,(A:A=A31)),
_xlpm.TerPts,_xlfn._xlws.FILTER(I:I,(A:A=A31)),
_xlpm.CuaPts,_xlfn._xlws.FILTER(J:J,(A:A=A31)),
_xlpm.STIds,_xlfn._xlws.FILTER(T:T,A:A=A31),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31" s="17" cm="1">
        <f t="array" aca="1" ref="AA31" ca="1">_xlfn.LET(
_xlpm.PrinIDs,_xlfn._xlws.FILTER(C:C,(A:A=A31)),
_xlpm.SecIDs,_xlfn._xlws.FILTER(D:D,(A:A=A31)),
_xlpm.TerIDs,_xlfn._xlws.FILTER(E:E,A:A=A31),
_xlpm.CuaIDs,_xlfn._xlws.FILTER(F:F,(A:A=A31)),
_xlpm.PrinPts,_xlfn._xlws.FILTER(G:G,(A:A=A31)),
_xlpm.SecPts,_xlfn._xlws.FILTER(H:H,(A:A=A31)),
_xlpm.TerPts,_xlfn._xlws.FILTER(I:I,(A:A=A31)),
_xlpm.CuaPts,_xlfn._xlws.FILTER(J:J,(A:A=A31)),
_xlpm.SCIds,_xlfn._xlws.FILTER(U:U,A:A=A31),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31" s="18">
        <f t="shared" ca="1" si="3"/>
        <v>234</v>
      </c>
      <c r="AC31" s="18">
        <v>234</v>
      </c>
      <c r="AD31" s="17"/>
      <c r="AE31" s="18" t="str">
        <f ca="1">IF(ISNUMBER(AC31),
IF($B31=1,VLOOKUP($AC31,Inventario1!$A:$H,2),
IF($B31=2,VLOOKUP($AC31,Inventario2!$A:$H,2),
IF($B31=3,VLOOKUP($AC31,Inventario3!$A:$H,2),
IF($B31=4,VLOOKUP($AC31,Inventario4!$A:$H,2),
IF($B31=5,VLOOKUP($AC31,Inventario5!$A:$H,2),
VLOOKUP($AC31,Inventario6!$A:$H,2)
))))),"No equipado")</f>
        <v>Legendario</v>
      </c>
      <c r="AF31" s="18" t="str">
        <f ca="1">IF(ISNUMBER(AC31),
IF($B31=1,VLOOKUP($AC31,Inventario1!$A:$H,3),
IF($B31=2,VLOOKUP($AC31,Inventario2!$A:$H,3),
IF($B31=3,VLOOKUP($AC31,Inventario3!$A:$H,3),
IF($B31=4,VLOOKUP($AC31,Inventario4!$A:$H,3),
IF($B31=5,VLOOKUP($AC31,Inventario5!$A:$H,3),
VLOOKUP($AC31,Inventario6!$A:$H,3)
))))),"")</f>
        <v>Sentido agudo</v>
      </c>
      <c r="AG31" s="18" t="str">
        <f ca="1">IF(ISNUMBER(AC31),
IF($B31=1,VLOOKUP($AC31,Inventario1!$A:$H,4),
IF($B31=2,VLOOKUP($AC31,Inventario2!$A:$H,4),
IF($B31=3,VLOOKUP($AC31,Inventario3!$A:$H,4),
IF($B31=4,VLOOKUP($AC31,Inventario4!$A:$H,4),
IF($B31=5,VLOOKUP($AC31,Inventario5!$A:$H,4),
VLOOKUP($AC31,Inventario6!$A:$H,4)
))))),"")</f>
        <v>Técnica ofensiva</v>
      </c>
      <c r="AH31" s="18" t="str">
        <f ca="1">IF(ISNUMBER(AC31),
IF($B31=1,VLOOKUP($AC31,Inventario1!$A:$H,5),
IF($B31=2,VLOOKUP($AC31,Inventario2!$A:$H,5),
IF($B31=3,VLOOKUP($AC31,Inventario3!$A:$H,5),
IF($B31=4,VLOOKUP($AC31,Inventario4!$A:$H,5),
IF($B31=5,VLOOKUP($AC31,Inventario5!$A:$H,5),
VLOOKUP($AC31,Inventario6!$A:$H,5)
))))),"")</f>
        <v>Ataque poderoso</v>
      </c>
      <c r="AI31" s="18" t="str">
        <f ca="1">IF(ISNUMBER(AC31),
IF($B31=1,VLOOKUP($AC31,Inventario1!$A:$H,6),
IF($B31=2,VLOOKUP($AC31,Inventario2!$A:$H,6),
IF($B31=3,VLOOKUP($AC31,Inventario3!$A:$H,6),
IF($B31=4,VLOOKUP($AC31,Inventario4!$A:$H,6),
IF($B31=5,VLOOKUP($AC31,Inventario5!$A:$H,6),
VLOOKUP($AC31,Inventario6!$A:$H,6)
))))),"")</f>
        <v>Ataque rápido</v>
      </c>
      <c r="AJ31" s="18" t="str">
        <f ca="1">IF(ISNUMBER(AC31),
IF($B31=1,VLOOKUP($AC31,Inventario1!$A:$H,7),
IF($B31=2,VLOOKUP($AC31,Inventario2!$A:$H,7),
IF($B31=3,VLOOKUP($AC31,Inventario3!$A:$H,7),
IF($B31=4,VLOOKUP($AC31,Inventario4!$A:$H,7),
IF($B31=5,VLOOKUP($AC31,Inventario5!$A:$H,7),
VLOOKUP($AC31,Inventario6!$A:$H,7)
))))),"")</f>
        <v>Fuerza</v>
      </c>
      <c r="AK31" s="19">
        <f ca="1">IF(ISNUMBER(AC31),
IF($B31=1,VLOOKUP($AC31,Inventario1!$A:$H,8),
IF($B31=2,VLOOKUP($AC31,Inventario2!$A:$H,8),
IF($B31=3,VLOOKUP($AC31,Inventario3!$A:$H,8),
IF($B31=4,VLOOKUP($AC31,Inventario4!$A:$H,8),
IF($B31=5,VLOOKUP($AC31,Inventario5!$A:$H,8),
VLOOKUP($AC31,Inventario6!$A:$H,8)
))))),"")</f>
        <v>0</v>
      </c>
    </row>
    <row r="32" spans="1:37" x14ac:dyDescent="0.25">
      <c r="A32" s="20" t="s">
        <v>26</v>
      </c>
      <c r="B32" s="11">
        <v>1</v>
      </c>
      <c r="C32" s="10" cm="1">
        <f t="array" aca="1" ref="C32" ca="1">_xlfn.LET(
    _xlpm.jugador, A32,
    _xlpm.idSel, AC32,
    _xlpm.invIDs, IF(B32=1,Inventario1!A:A,IF(B32=2,Inventario2!A:A,IF(B32=3,Inventario3!A:A,IF(B32=4,Inventario4!A:A,IF(B32=5,Inventario5!A:A,Inventario6!A:A))))),
    _xlpm.invCalidad, IF(B32=1,Inventario1!B:B,IF(B32=2,Inventario2!B:B,IF(B32=3,Inventario3!B:B,IF(B32=4,Inventario4!B:B,IF(B32=5,Inventario5!B:B,Inventario6!B:B))))),
    _xlpm.invTipos, IF(B32=1,Inventario1!C:C,IF(B32=2,Inventario2!C:C,IF(B32=3,Inventario3!C:C,IF(B32=4,Inventario4!C:C,IF(B32=5,Inventario5!C:C,Inventario6!C:C))))),
    _xlpm.invStats, IF(B32=1,Inventario1!D:H,IF(B32=2,Inventario2!D:H,IF(B32=3,Inventario3!D:H,IF(B32=4,Inventario4!D:H,IF(B32=5,Inventario5!D:H,Inventario6!D:H))))),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IF(ROW(A32)=2,"",IF(_xlfn._xlws.FILTER(Equipar!AC$2:AC31,Equipar!B$2:B31=B32)={0},"",_xlfn._xlws.FILTER(Equipar!AC$2:AC31,Equipar!B$2:B31=B32))),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189</v>
      </c>
      <c r="D32" s="11" cm="1">
        <f t="array" aca="1" ref="D32" ca="1">_xlfn.LET(
    _xlpm.jugador, A32,
    _xlpm.idSel, AC32,
    _xlpm.invIDs, IF(B32=1,Inventario1!A:A,IF(B32=2,Inventario2!A:A,IF(B32=3,Inventario3!A:A,IF(B32=4,Inventario4!A:A,IF(B32=5,Inventario5!A:A,Inventario6!A:A))))),
    _xlpm.invCalidad, IF(B32=1,Inventario1!B:B,IF(B32=2,Inventario2!B:B,IF(B32=3,Inventario3!B:B,IF(B32=4,Inventario4!B:B,IF(B32=5,Inventario5!B:B,Inventario6!B:B))))),
    _xlpm.invTipos, IF(B32=1,Inventario1!C:C,IF(B32=2,Inventario2!C:C,IF(B32=3,Inventario3!C:C,IF(B32=4,Inventario4!C:C,IF(B32=5,Inventario5!C:C,Inventario6!C:C))))),
    _xlpm.invStats, IF(B32=1,Inventario1!D:H,IF(B32=2,Inventario2!D:H,IF(B32=3,Inventario3!D:H,IF(B32=4,Inventario4!D:H,IF(B32=5,Inventario5!D:H,Inventario6!D:H))))),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IF(ROW(A32)=2,"",IF(_xlfn._xlws.FILTER(Equipar!AC$2:AC31,Equipar!B$2:B31=B32)={0},"",_xlfn._xlws.FILTER(Equipar!AC$2:AC31,Equipar!B$2:B31=B32))),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27</v>
      </c>
      <c r="E32" s="11" cm="1">
        <f t="array" ref="E32">_xlfn.LET(
    _xlpm.jugador, A32,
    _xlpm.idSel, AC32,
    _xlpm.invIDs, IF(B32=1,Inventario1!A:A,IF(B32=2,Inventario2!A:A,IF(B32=3,Inventario3!A:A,IF(B32=4,Inventario4!A:A,IF(B32=5,Inventario5!A:A,Inventario6!A:A))))),
    _xlpm.invCalidad, IF(B32=1,Inventario1!B:B,IF(B32=2,Inventario2!B:B,IF(B32=3,Inventario3!B:B,IF(B32=4,Inventario4!B:B,IF(B32=5,Inventario5!B:B,Inventario6!B:B))))),
    _xlpm.invTipos, IF(B32=1,Inventario1!C:C,IF(B32=2,Inventario2!C:C,IF(B32=3,Inventario3!C:C,IF(B32=4,Inventario4!C:C,IF(B32=5,Inventario5!C:C,Inventario6!C:C))))),
    _xlpm.invStats, IF(B32=1,Inventario1!D:H,IF(B32=2,Inventario2!D:H,IF(B32=3,Inventario3!D:H,IF(B32=4,Inventario4!D:H,IF(B32=5,Inventario5!D:H,Inventario6!D:H))))),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IF(ROW(A32)=2,"",IF(_xlfn._xlws.FILTER(Equipar!AC$2:AC31,Equipar!B$2:B31=B32)={0},"",_xlfn._xlws.FILTER(Equipar!AC$2:AC31,Equipar!B$2:B31=B32))),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30</v>
      </c>
      <c r="F32" s="11" t="str" cm="1">
        <f t="array" aca="1" ref="F32" ca="1">_xlfn.LET(
    _xlpm.jugador, B32,
    _xlpm.idSel, AD32,
    _xlpm.invIDs, IF(C32=1,Inventario1!B:B,IF(C32=2,Inventario2!B:B,IF(C32=3,Inventario3!B:B,IF(C32=4,Inventario4!B:B,IF(C32=5,Inventario5!B:B,Inventario6!B:B))))),
    _xlpm.invCalidad, IF(C32=1,Inventario1!C:C,IF(C32=2,Inventario2!C:C,IF(C32=3,Inventario3!C:C,IF(C32=4,Inventario4!C:C,IF(C32=5,Inventario5!C:C,Inventario6!C:C))))),
    _xlpm.invTipos, IF(C32=1,Inventario1!D:D,IF(C32=2,Inventario2!D:D,IF(C32=3,Inventario3!D:D,IF(C32=4,Inventario4!D:D,IF(C32=5,Inventario5!D:D,Inventario6!D:D))))),
    _xlpm.invStats, IF(C32=1,Inventario1!E:I,IF(C32=2,Inventario2!E:I,IF(C32=3,Inventario3!E:I,IF(C32=4,Inventario4!E:I,IF(C32=5,Inventario5!E:I,Inventario6!E:I))))),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IF(ROW(B32)=2,"",IF(_xlfn._xlws.FILTER(Equipar!AD$2:AD31,Equipar!C$2:C31=C32)={0},"",_xlfn._xlws.FILTER(Equipar!AD$2:AD31,Equipar!C$2:C31=C32))),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32" s="10" cm="1">
        <f t="array" aca="1" ref="G32" ca="1">_xlfn.LET(
    _xlpm.jugador, A32,
    _xlpm.idSel, AC32,
    _xlpm.invIDs, IF(B32=1,Inventario1!A:A,IF(B32=2,Inventario2!A:A,IF(B32=3,Inventario3!A:A,IF(B32=4,Inventario4!A:A,IF(B32=5,Inventario5!A:A,Inventario6!A:A))))),
    _xlpm.invCalidad, IF(B32=1,Inventario1!B:B,IF(B32=2,Inventario2!B:B,IF(B32=3,Inventario3!B:B,IF(B32=4,Inventario4!B:B,IF(B32=5,Inventario5!B:B,Inventario6!B:B))))),
    _xlpm.invTipos, IF(B32=1,Inventario1!C:C,IF(B32=2,Inventario2!C:C,IF(B32=3,Inventario3!C:C,IF(B32=4,Inventario4!C:C,IF(B32=5,Inventario5!C:C,Inventario6!C:C))))),
    _xlpm.invStats, IF(B32=1,Inventario1!D:H,IF(B32=2,Inventario2!D:H,IF(B32=3,Inventario3!D:H,IF(B32=4,Inventario4!D:H,IF(B32=5,Inventario5!D:H,Inventario6!D:H))))),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IF(ROW(A32)=2,"",IF(_xlfn._xlws.FILTER(Equipar!AC$2:AC31,Equipar!B$2:B31=B32)={0},"",_xlfn._xlws.FILTER(Equipar!AC$2:AC31,Equipar!B$2:B31=B32))),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H32" s="11" cm="1">
        <f t="array" aca="1" ref="H32" ca="1">_xlfn.LET(
    _xlpm.jugador, A32,
    _xlpm.idSel, AC32,
    _xlpm.invIDs, IF(B32=1,Inventario1!A:A,IF(B32=2,Inventario2!A:A,IF(B32=3,Inventario3!A:A,IF(B32=4,Inventario4!A:A,IF(B32=5,Inventario5!A:A,Inventario6!A:A))))),
    _xlpm.invCalidad, IF(B32=1,Inventario1!B:B,IF(B32=2,Inventario2!B:B,IF(B32=3,Inventario3!B:B,IF(B32=4,Inventario4!B:B,IF(B32=5,Inventario5!B:B,Inventario6!B:B))))),
    _xlpm.invTipos, IF(B32=1,Inventario1!C:C,IF(B32=2,Inventario2!C:C,IF(B32=3,Inventario3!C:C,IF(B32=4,Inventario4!C:C,IF(B32=5,Inventario5!C:C,Inventario6!C:C))))),
    _xlpm.invStats, IF(B32=1,Inventario1!D:H,IF(B32=2,Inventario2!D:H,IF(B32=3,Inventario3!D:H,IF(B32=4,Inventario4!D:H,IF(B32=5,Inventario5!D:H,Inventario6!D:H))))),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IF(ROW(A32)=2,"",IF(_xlfn._xlws.FILTER(Equipar!AC$2:AC31,Equipar!B$2:B31=B32)={0},"",_xlfn._xlws.FILTER(Equipar!AC$2:AC31,Equipar!B$2:B31=B32))),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I32" s="11" cm="1">
        <f t="array" ref="I32">_xlfn.LET(
    _xlpm.jugador, A32,
    _xlpm.idSel, AC32,
    _xlpm.invIDs, IF(B32=1,Inventario1!A:A,IF(B32=2,Inventario2!A:A,IF(B32=3,Inventario3!A:A,IF(B32=4,Inventario4!A:A,IF(B32=5,Inventario5!A:A,Inventario6!A:A))))),
    _xlpm.invCalidad, IF(B32=1,Inventario1!B:B,IF(B32=2,Inventario2!B:B,IF(B32=3,Inventario3!B:B,IF(B32=4,Inventario4!B:B,IF(B32=5,Inventario5!B:B,Inventario6!B:B))))),
    _xlpm.invTipos, IF(B32=1,Inventario1!C:C,IF(B32=2,Inventario2!C:C,IF(B32=3,Inventario3!C:C,IF(B32=4,Inventario4!C:C,IF(B32=5,Inventario5!C:C,Inventario6!C:C))))),
    _xlpm.invStats, IF(B32=1,Inventario1!D:H,IF(B32=2,Inventario2!D:H,IF(B32=3,Inventario3!D:H,IF(B32=4,Inventario4!D:H,IF(B32=5,Inventario5!D:H,Inventario6!D:H))))),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IF(ROW(A32)=2,"",IF(_xlfn._xlws.FILTER(Equipar!AC$2:AC31,Equipar!B$2:B31=B32)={0},"",_xlfn._xlws.FILTER(Equipar!AC$2:AC31,Equipar!B$2:B31=B32))),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J32" s="11" cm="1">
        <f t="array" aca="1" ref="J32" ca="1">_xlfn.LET(
    _xlpm.jugador, B32,
    _xlpm.idSel, AD32,
    _xlpm.invIDs, IF(C32=1,Inventario1!B:B,IF(C32=2,Inventario2!B:B,IF(C32=3,Inventario3!B:B,IF(C32=4,Inventario4!B:B,IF(C32=5,Inventario5!B:B,Inventario6!B:B))))),
    _xlpm.invCalidad, IF(C32=1,Inventario1!C:C,IF(C32=2,Inventario2!C:C,IF(C32=3,Inventario3!C:C,IF(C32=4,Inventario4!C:C,IF(C32=5,Inventario5!C:C,Inventario6!C:C))))),
    _xlpm.invTipos, IF(C32=1,Inventario1!D:D,IF(C32=2,Inventario2!D:D,IF(C32=3,Inventario3!D:D,IF(C32=4,Inventario4!D:D,IF(C32=5,Inventario5!D:D,Inventario6!D:D))))),
    _xlpm.invStats, IF(C32=1,Inventario1!E:I,IF(C32=2,Inventario2!E:I,IF(C32=3,Inventario3!E:I,IF(C32=4,Inventario4!E:I,IF(C32=5,Inventario5!E:I,Inventario6!E:I))))),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IF(ROW(B32)=2,"",IF(_xlfn._xlws.FILTER(Equipar!AD$2:AD31,Equipar!C$2:C31=C32)={0},"",_xlfn._xlws.FILTER(Equipar!AD$2:AD31,Equipar!C$2:C31=C32))),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32" s="11">
        <f t="shared" ca="1" si="0"/>
        <v>-44.730000000000004</v>
      </c>
      <c r="L32" s="11">
        <f t="shared" ca="1" si="1"/>
        <v>-44.730000000000004</v>
      </c>
      <c r="M32" s="11">
        <f t="shared" ca="1" si="1"/>
        <v>107.73</v>
      </c>
      <c r="N32" s="11">
        <f t="shared" ca="1" si="2"/>
        <v>0</v>
      </c>
      <c r="O32" s="11">
        <f t="shared" ca="1" si="2"/>
        <v>107.73</v>
      </c>
      <c r="P32" s="10" cm="1">
        <f t="array" aca="1" ref="P32" ca="1">_xlfn.LET(
    _xlpm.ptsPrinBase, _xlfn._xlws.FILTER(G:G, A:A=A32),
    _xlpm.ptsSecBase,  _xlfn._xlws.FILTER(H:H, A:A=A32),
    _xlpm.puntosPrin, _xlpm.ptsPrinBase + _xlfn._xlws.FILTER(B:B, A:A=A32)/1000,
    _xlpm.puntosSec,  _xlpm.ptsSecBase  + _xlfn._xlws.FILTER(B:B, A:A=A32)/1000,
    _xlpm.puntosPrinValidos, SUM(--(_xlpm.ptsPrinBase&gt;0)),
    _xlpm.puntosSecValidos,  SUM(--(_xlpm.ptsSecBase&gt;0)),
    _xlpm.clave, K32 + B32/1000,
    _xlpm.claves, _xlfn._xlws.FILTER(K:K + B:B/1000, A:A=A32),
    IF(AND(_xlpm.puntosPrinValidos&gt;=4,_xlpm.puntosSecValidos&gt;=2),IF(
        SUM(--(_xlpm.claves &gt; _xlpm.clave)) &lt; 4,
        C32,
        D32
    ),"No disp")
)</f>
        <v>27</v>
      </c>
      <c r="Q32" s="10" cm="1">
        <f t="array" aca="1" ref="Q32" ca="1">_xlfn.LET(
    _xlpm.puntosPrin, _xlfn._xlws.FILTER(G:G + B:B/1000, A:A=A32),
    _xlpm.puntosPrinValidos, SUM(--(_xlpm.puntosPrin&gt;1)),
    _xlpm.puntosTer, _xlfn._xlws.FILTER(I:I + B:B/1000, A:A=A32),
    _xlpm.puntosTerValidos, SUM(--(_xlpm.puntosTer&gt;1)),
    _xlpm.clave, L32 + B32/1000,
    _xlpm.claves, _xlfn._xlws.FILTER(L:L + B:B/1000, A:A=A32),
    IF(AND(_xlpm.puntosPrinValidos&gt;=4,_xlpm.puntosTerValidos&gt;=2),IF(
        SUM(--(_xlpm.claves &gt; _xlpm.clave)) &lt; 4,
        C32,
        E32
    ),"No disp")
)</f>
        <v>30</v>
      </c>
      <c r="R32" s="10" t="str" cm="1">
        <f t="array" aca="1" ref="R32" ca="1">_xlfn.LET(
    _xlpm.puntosPrin, _xlfn._xlws.FILTER(G:G + B:B/1000, A:A=A32),
    _xlpm.puntosPrinValidos, SUM(--(_xlpm.puntosPrin&gt;1)),
    _xlpm.puntosTer, _xlfn._xlws.FILTER(J:J + B:B/1000, A:A=A32),
    _xlpm.puntosTerValidos, SUM(--(_xlpm.puntosTer&gt;1)),
    _xlpm.clave, M32 + B32/1000,
    _xlpm.claves, _xlfn._xlws.FILTER(M:M + B:B/1000, A:A=A32),
    IF(AND(_xlpm.puntosPrinValidos&gt;=4,_xlpm.puntosTerValidos&gt;=2),IF(
        SUM(--(_xlpm.claves &gt; _xlpm.clave)) &lt; 4,
        C32,
        F32
    ),"No disp")
)</f>
        <v>No disp</v>
      </c>
      <c r="S32" s="10" cm="1">
        <f t="array" aca="1" ref="S32" ca="1">_xlfn.LET(
    _xlpm.ptsPrinBase, _xlfn._xlws.FILTER(G:G, A:A=A32),
    _xlpm.ptsSecBase,  _xlfn._xlws.FILTER(H:H, A:A=A32),
    _xlpm.puntosPrin, _xlpm.ptsPrinBase + _xlfn._xlws.FILTER(B:B, A:A=A32)/1000,
    _xlpm.puntosSec,  _xlpm.ptsSecBase  + _xlfn._xlws.FILTER(B:B, A:A=A32)/1000,
    _xlpm.puntosPrinValidos, SUM(--(_xlpm.ptsPrinBase&gt;0)),
    _xlpm.puntosSecValidos,  SUM(--(_xlpm.ptsSecBase&gt;0)),
    _xlpm.clave, K32 + B32/1000,
    _xlpm.claves, _xlfn._xlws.FILTER(K:K + B:B/1000, A:A=A32),
    IF(
        AND(_xlpm.puntosPrinValidos&gt;=2, _xlpm.puntosSecValidos&gt;=4),
        IF(
            SUM(--(_xlpm.claves &lt; _xlpm.clave)) &lt; 4,
            D32,
            C32
        ),
        "No disp"
    )
)</f>
        <v>27</v>
      </c>
      <c r="T32" s="10" cm="1">
        <f t="array" aca="1" ref="T32" ca="1">_xlfn.LET(
    _xlpm.puntosSec, _xlfn._xlws.FILTER(H:H + B:B/1000, A:A=A32),
    _xlpm.puntosSecValidos, SUM(--(_xlpm.puntosSec&gt;1)),
    _xlpm.puntosAlt, _xlfn._xlws.FILTER(I:I + B:B/1000, A:A=A32),
    _xlpm.puntosAltValidos, SUM(--(_xlpm.puntosAlt&gt;1)),
    _xlpm.clave, N32 + B32/1000,
    _xlpm.claves, _xlfn._xlws.FILTER(N:N + B:B/1000, A:A=A32),
    IF(AND(_xlpm.puntosSecValidos&gt;=4,_xlpm.puntosAltValidos&gt;=2),IF(
        SUM(--(_xlpm.claves &gt; _xlpm.clave)) &lt; 4,
        D32,
        E32
    ),"No disp")
)</f>
        <v>27</v>
      </c>
      <c r="U32" s="10" t="str" cm="1">
        <f t="array" aca="1" ref="U32" ca="1">_xlfn.LET(
    _xlpm.puntosSec, _xlfn._xlws.FILTER(H:H + B:B/1000, A:A=A32),
    _xlpm.puntosSecValidos, SUM(--(_xlpm.puntosSec&gt;1)),
    _xlpm.puntosAlt, _xlfn._xlws.FILTER(J:J + B:B/1000, A:A=A32),
    _xlpm.puntosAltValidos, SUM(--(_xlpm.puntosAlt&gt;1)),
    _xlpm.clave, O32 + B32/1000,
    _xlpm.claves, _xlfn._xlws.FILTER(O:O + B:B/1000, A:A=A32),
    IF(AND(_xlpm.puntosSecValidos&gt;=4,_xlpm.puntosAltValidos&gt;=2),IF(
        SUM(--(_xlpm.claves &gt; _xlpm.clave)) &lt; 4,
        D32,
        F32
    ),"No disp")
)</f>
        <v>No disp</v>
      </c>
      <c r="V32" s="11" cm="1">
        <f t="array" aca="1" ref="V32" ca="1">_xlfn.LET(
_xlpm.PrinIDs,_xlfn._xlws.FILTER(C:C,(A:A=A32)),
_xlpm.SecIDs,_xlfn._xlws.FILTER(D:D,(A:A=A32)),
_xlpm.TerIDs,_xlfn._xlws.FILTER(E:E,A:A=A32),
_xlpm.CuaIDs,_xlfn._xlws.FILTER(F:F,(A:A=A32)),
_xlpm.PrinPts,_xlfn._xlws.FILTER(G:G,(A:A=A32)),
_xlpm.SecPts,_xlfn._xlws.FILTER(H:H,(A:A=A32)),
_xlpm.TerPts,_xlfn._xlws.FILTER(I:I,(A:A=A32)),
_xlpm.CuaPts,_xlfn._xlws.FILTER(J:J,(A:A=A32)),
_xlpm.PSIds,_xlfn._xlws.FILTER(P:P,A:A=A32),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548.01</v>
      </c>
      <c r="W32" s="11" cm="1">
        <f t="array" aca="1" ref="W32" ca="1">_xlfn.LET(
_xlpm.PrinIDs,_xlfn._xlws.FILTER(C:C,(A:A=A32)),
_xlpm.SecIDs,_xlfn._xlws.FILTER(D:D,(A:A=A32)),
_xlpm.TerIDs,_xlfn._xlws.FILTER(E:E,A:A=A32),
_xlpm.CuaIDs,_xlfn._xlws.FILTER(F:F,(A:A=A32)),
_xlpm.PrinPts,_xlfn._xlws.FILTER(G:G,(A:A=A32)),
_xlpm.SecPts,_xlfn._xlws.FILTER(H:H,(A:A=A32)),
_xlpm.TerPts,_xlfn._xlws.FILTER(I:I,(A:A=A32)),
_xlpm.CuaPts,_xlfn._xlws.FILTER(J:J,(A:A=A32)),
_xlpm.PTIds,_xlfn._xlws.FILTER(Q:Q,A:A=A32),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547.83000000000004</v>
      </c>
      <c r="X32" s="11" cm="1">
        <f t="array" aca="1" ref="X32" ca="1">_xlfn.LET(
_xlpm.PrinIDs,_xlfn._xlws.FILTER(C:C,(A:A=A32)),
_xlpm.SecIDs,_xlfn._xlws.FILTER(D:D,(A:A=A32)),
_xlpm.TerIDs,_xlfn._xlws.FILTER(E:E,A:A=A32),
_xlpm.CuaIDs,_xlfn._xlws.FILTER(F:F,(A:A=A32)),
_xlpm.PrinPts,_xlfn._xlws.FILTER(G:G,(A:A=A32)),
_xlpm.SecPts,_xlfn._xlws.FILTER(H:H,(A:A=A32)),
_xlpm.TerPts,_xlfn._xlws.FILTER(I:I,(A:A=A32)),
_xlpm.CuaPts,_xlfn._xlws.FILTER(J:J,(A:A=A32)),
_xlpm.PCIds,_xlfn._xlws.FILTER(R:R,A:A=A32),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32" s="11" cm="1">
        <f t="array" aca="1" ref="Y32" ca="1">_xlfn.LET(
_xlpm.PrinIDs,_xlfn._xlws.FILTER(C:C,(A:A=A32)),
_xlpm.SecIDs,_xlfn._xlws.FILTER(D:D,(A:A=A32)),
_xlpm.AltIDs,_xlfn._xlws.FILTER(E:E,A:A=A32),
_xlpm.PrinPts,_xlfn._xlws.FILTER(G:G,(A:A=A32)),
_xlpm.SecPts,_xlfn._xlws.FILTER(H:H,(A:A=A32)),
_xlpm.AltPts,_xlfn._xlws.FILTER(I:I,(A:A=A32)),
_xlpm.SPIds,_xlfn._xlws.FILTER(S:S,A:A=A32),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526.86</v>
      </c>
      <c r="Z32" s="11" cm="1">
        <f t="array" aca="1" ref="Z32" ca="1">_xlfn.LET(
_xlpm.PrinIDs,_xlfn._xlws.FILTER(C:C,(A:A=A32)),
_xlpm.SecIDs,_xlfn._xlws.FILTER(D:D,(A:A=A32)),
_xlpm.TerIDs,_xlfn._xlws.FILTER(E:E,A:A=A32),
_xlpm.CuaIDs,_xlfn._xlws.FILTER(F:F,(A:A=A32)),
_xlpm.PrinPts,_xlfn._xlws.FILTER(G:G,(A:A=A32)),
_xlpm.SecPts,_xlfn._xlws.FILTER(H:H,(A:A=A32)),
_xlpm.TerPts,_xlfn._xlws.FILTER(I:I,(A:A=A32)),
_xlpm.CuaPts,_xlfn._xlws.FILTER(J:J,(A:A=A32)),
_xlpm.STIds,_xlfn._xlws.FILTER(T:T,A:A=A32),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526.86</v>
      </c>
      <c r="AA32" s="11" cm="1">
        <f t="array" aca="1" ref="AA32" ca="1">_xlfn.LET(
_xlpm.PrinIDs,_xlfn._xlws.FILTER(C:C,(A:A=A32)),
_xlpm.SecIDs,_xlfn._xlws.FILTER(D:D,(A:A=A32)),
_xlpm.TerIDs,_xlfn._xlws.FILTER(E:E,A:A=A32),
_xlpm.CuaIDs,_xlfn._xlws.FILTER(F:F,(A:A=A32)),
_xlpm.PrinPts,_xlfn._xlws.FILTER(G:G,(A:A=A32)),
_xlpm.SecPts,_xlfn._xlws.FILTER(H:H,(A:A=A32)),
_xlpm.TerPts,_xlfn._xlws.FILTER(I:I,(A:A=A32)),
_xlpm.CuaPts,_xlfn._xlws.FILTER(J:J,(A:A=A32)),
_xlpm.SCIds,_xlfn._xlws.FILTER(U:U,A:A=A32),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32" s="10">
        <f t="shared" ca="1" si="3"/>
        <v>27</v>
      </c>
      <c r="AC32" s="10">
        <v>27</v>
      </c>
      <c r="AD32" s="11"/>
      <c r="AE32" s="10" t="str">
        <f ca="1">IF(ISNUMBER(AC32),
IF($B32=1,VLOOKUP($AC32,Inventario1!$A:$H,2),
IF($B32=2,VLOOKUP($AC32,Inventario2!$A:$H,2),
IF($B32=3,VLOOKUP($AC32,Inventario3!$A:$H,2),
IF($B32=4,VLOOKUP($AC32,Inventario4!$A:$H,2),
IF($B32=5,VLOOKUP($AC32,Inventario5!$A:$H,2),
VLOOKUP($AC32,Inventario6!$A:$H,2)
))))),"No equipado")</f>
        <v>Legendario</v>
      </c>
      <c r="AF32" s="10" t="str">
        <f ca="1">IF(ISNUMBER(AC32),
IF($B32=1,VLOOKUP($AC32,Inventario1!$A:$H,3),
IF($B32=2,VLOOKUP($AC32,Inventario2!$A:$H,3),
IF($B32=3,VLOOKUP($AC32,Inventario3!$A:$H,3),
IF($B32=4,VLOOKUP($AC32,Inventario4!$A:$H,3),
IF($B32=5,VLOOKUP($AC32,Inventario5!$A:$H,3),
VLOOKUP($AC32,Inventario6!$A:$H,3)
))))),"")</f>
        <v>Recepción de asistencia</v>
      </c>
      <c r="AG32" s="10" t="str">
        <f ca="1">IF(ISNUMBER(AC32),
IF($B32=1,VLOOKUP($AC32,Inventario1!$A:$H,4),
IF($B32=2,VLOOKUP($AC32,Inventario2!$A:$H,4),
IF($B32=3,VLOOKUP($AC32,Inventario3!$A:$H,4),
IF($B32=4,VLOOKUP($AC32,Inventario4!$A:$H,4),
IF($B32=5,VLOOKUP($AC32,Inventario5!$A:$H,4),
VLOOKUP($AC32,Inventario6!$A:$H,4)
))))),"")</f>
        <v>Recepción</v>
      </c>
      <c r="AH32" s="10" t="str">
        <f ca="1">IF(ISNUMBER(AC32),
IF($B32=1,VLOOKUP($AC32,Inventario1!$A:$H,5),
IF($B32=2,VLOOKUP($AC32,Inventario2!$A:$H,5),
IF($B32=3,VLOOKUP($AC32,Inventario3!$A:$H,5),
IF($B32=4,VLOOKUP($AC32,Inventario4!$A:$H,5),
IF($B32=5,VLOOKUP($AC32,Inventario5!$A:$H,5),
VLOOKUP($AC32,Inventario6!$A:$H,5)
))))),"")</f>
        <v>Fuerza</v>
      </c>
      <c r="AI32" s="10" t="str">
        <f ca="1">IF(ISNUMBER(AC32),
IF($B32=1,VLOOKUP($AC32,Inventario1!$A:$H,6),
IF($B32=2,VLOOKUP($AC32,Inventario2!$A:$H,6),
IF($B32=3,VLOOKUP($AC32,Inventario3!$A:$H,6),
IF($B32=4,VLOOKUP($AC32,Inventario4!$A:$H,6),
IF($B32=5,VLOOKUP($AC32,Inventario5!$A:$H,6),
VLOOKUP($AC32,Inventario6!$A:$H,6)
))))),"")</f>
        <v>Saque</v>
      </c>
      <c r="AJ32" s="10" t="str">
        <f ca="1">IF(ISNUMBER(AC32),
IF($B32=1,VLOOKUP($AC32,Inventario1!$A:$H,7),
IF($B32=2,VLOOKUP($AC32,Inventario2!$A:$H,7),
IF($B32=3,VLOOKUP($AC32,Inventario3!$A:$H,7),
IF($B32=4,VLOOKUP($AC32,Inventario4!$A:$H,7),
IF($B32=5,VLOOKUP($AC32,Inventario5!$A:$H,7),
VLOOKUP($AC32,Inventario6!$A:$H,7)
))))),"")</f>
        <v>Recepción</v>
      </c>
      <c r="AK32" s="12" t="str">
        <f ca="1">IF(ISNUMBER(AC32),
IF($B32=1,VLOOKUP($AC32,Inventario1!$A:$H,8),
IF($B32=2,VLOOKUP($AC32,Inventario2!$A:$H,8),
IF($B32=3,VLOOKUP($AC32,Inventario3!$A:$H,8),
IF($B32=4,VLOOKUP($AC32,Inventario4!$A:$H,8),
IF($B32=5,VLOOKUP($AC32,Inventario5!$A:$H,8),
VLOOKUP($AC32,Inventario6!$A:$H,8)
))))),"")</f>
        <v>Recepción</v>
      </c>
    </row>
    <row r="33" spans="1:37" x14ac:dyDescent="0.25">
      <c r="A33" s="21" t="s">
        <v>26</v>
      </c>
      <c r="B33" s="4">
        <v>2</v>
      </c>
      <c r="C33" s="14" cm="1">
        <f t="array" ref="C33">_xlfn.LET(
    _xlpm.jugador, A33,
    _xlpm.idSel, AC33,
    _xlpm.invIDs, IF(B33=1,Inventario1!A:A,IF(B33=2,Inventario2!A:A,IF(B33=3,Inventario3!A:A,IF(B33=4,Inventario4!A:A,IF(B33=5,Inventario5!A:A,Inventario6!A:A))))),
    _xlpm.invCalidad, IF(B33=1,Inventario1!B:B,IF(B33=2,Inventario2!B:B,IF(B33=3,Inventario3!B:B,IF(B33=4,Inventario4!B:B,IF(B33=5,Inventario5!B:B,Inventario6!B:B))))),
    _xlpm.invTipos, IF(B33=1,Inventario1!C:C,IF(B33=2,Inventario2!C:C,IF(B33=3,Inventario3!C:C,IF(B33=4,Inventario4!C:C,IF(B33=5,Inventario5!C:C,Inventario6!C:C))))),
    _xlpm.invStats, IF(B33=1,Inventario1!D:H,IF(B33=2,Inventario2!D:H,IF(B33=3,Inventario3!D:H,IF(B33=4,Inventario4!D:H,IF(B33=5,Inventario5!D:H,Inventario6!D:H))))),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IF(ROW(A33)=2,"",IF(_xlfn._xlws.FILTER(Equipar!AC$2:AC32,Equipar!B$2:B32=B33)={0},"",_xlfn._xlws.FILTER(Equipar!AC$2:AC32,Equipar!B$2:B32=B33))),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100</v>
      </c>
      <c r="D33" s="4" cm="1">
        <f t="array" aca="1" ref="D33" ca="1">_xlfn.LET(
    _xlpm.jugador, A33,
    _xlpm.idSel, AC33,
    _xlpm.invIDs, IF(B33=1,Inventario1!A:A,IF(B33=2,Inventario2!A:A,IF(B33=3,Inventario3!A:A,IF(B33=4,Inventario4!A:A,IF(B33=5,Inventario5!A:A,Inventario6!A:A))))),
    _xlpm.invCalidad, IF(B33=1,Inventario1!B:B,IF(B33=2,Inventario2!B:B,IF(B33=3,Inventario3!B:B,IF(B33=4,Inventario4!B:B,IF(B33=5,Inventario5!B:B,Inventario6!B:B))))),
    _xlpm.invTipos, IF(B33=1,Inventario1!C:C,IF(B33=2,Inventario2!C:C,IF(B33=3,Inventario3!C:C,IF(B33=4,Inventario4!C:C,IF(B33=5,Inventario5!C:C,Inventario6!C:C))))),
    _xlpm.invStats, IF(B33=1,Inventario1!D:H,IF(B33=2,Inventario2!D:H,IF(B33=3,Inventario3!D:H,IF(B33=4,Inventario4!D:H,IF(B33=5,Inventario5!D:H,Inventario6!D:H))))),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IF(ROW(A33)=2,"",IF(_xlfn._xlws.FILTER(Equipar!AC$2:AC32,Equipar!B$2:B32=B33)={0},"",_xlfn._xlws.FILTER(Equipar!AC$2:AC32,Equipar!B$2:B32=B33))),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205</v>
      </c>
      <c r="E33" s="4" cm="1">
        <f t="array" ref="E33">_xlfn.LET(
    _xlpm.jugador, A33,
    _xlpm.idSel, AC33,
    _xlpm.invIDs, IF(B33=1,Inventario1!A:A,IF(B33=2,Inventario2!A:A,IF(B33=3,Inventario3!A:A,IF(B33=4,Inventario4!A:A,IF(B33=5,Inventario5!A:A,Inventario6!A:A))))),
    _xlpm.invCalidad, IF(B33=1,Inventario1!B:B,IF(B33=2,Inventario2!B:B,IF(B33=3,Inventario3!B:B,IF(B33=4,Inventario4!B:B,IF(B33=5,Inventario5!B:B,Inventario6!B:B))))),
    _xlpm.invTipos, IF(B33=1,Inventario1!C:C,IF(B33=2,Inventario2!C:C,IF(B33=3,Inventario3!C:C,IF(B33=4,Inventario4!C:C,IF(B33=5,Inventario5!C:C,Inventario6!C:C))))),
    _xlpm.invStats, IF(B33=1,Inventario1!D:H,IF(B33=2,Inventario2!D:H,IF(B33=3,Inventario3!D:H,IF(B33=4,Inventario4!D:H,IF(B33=5,Inventario5!D:H,Inventario6!D:H))))),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IF(ROW(A33)=2,"",IF(_xlfn._xlws.FILTER(Equipar!AC$2:AC32,Equipar!B$2:B32=B33)={0},"",_xlfn._xlws.FILTER(Equipar!AC$2:AC32,Equipar!B$2:B32=B33))),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56</v>
      </c>
      <c r="F33" s="4" t="str" cm="1">
        <f t="array" aca="1" ref="F33" ca="1">_xlfn.LET(
    _xlpm.jugador, B33,
    _xlpm.idSel, AD33,
    _xlpm.invIDs, IF(C33=1,Inventario1!B:B,IF(C33=2,Inventario2!B:B,IF(C33=3,Inventario3!B:B,IF(C33=4,Inventario4!B:B,IF(C33=5,Inventario5!B:B,Inventario6!B:B))))),
    _xlpm.invCalidad, IF(C33=1,Inventario1!C:C,IF(C33=2,Inventario2!C:C,IF(C33=3,Inventario3!C:C,IF(C33=4,Inventario4!C:C,IF(C33=5,Inventario5!C:C,Inventario6!C:C))))),
    _xlpm.invTipos, IF(C33=1,Inventario1!D:D,IF(C33=2,Inventario2!D:D,IF(C33=3,Inventario3!D:D,IF(C33=4,Inventario4!D:D,IF(C33=5,Inventario5!D:D,Inventario6!D:D))))),
    _xlpm.invStats, IF(C33=1,Inventario1!E:I,IF(C33=2,Inventario2!E:I,IF(C33=3,Inventario3!E:I,IF(C33=4,Inventario4!E:I,IF(C33=5,Inventario5!E:I,Inventario6!E:I))))),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IF(ROW(B33)=2,"",IF(_xlfn._xlws.FILTER(Equipar!AD$2:AD32,Equipar!C$2:C32=C33)={0},"",_xlfn._xlws.FILTER(Equipar!AD$2:AD32,Equipar!C$2:C32=C33))),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33" s="14" cm="1">
        <f t="array" ref="G33">_xlfn.LET(
    _xlpm.jugador, A33,
    _xlpm.idSel, AC33,
    _xlpm.invIDs, IF(B33=1,Inventario1!A:A,IF(B33=2,Inventario2!A:A,IF(B33=3,Inventario3!A:A,IF(B33=4,Inventario4!A:A,IF(B33=5,Inventario5!A:A,Inventario6!A:A))))),
    _xlpm.invCalidad, IF(B33=1,Inventario1!B:B,IF(B33=2,Inventario2!B:B,IF(B33=3,Inventario3!B:B,IF(B33=4,Inventario4!B:B,IF(B33=5,Inventario5!B:B,Inventario6!B:B))))),
    _xlpm.invTipos, IF(B33=1,Inventario1!C:C,IF(B33=2,Inventario2!C:C,IF(B33=3,Inventario3!C:C,IF(B33=4,Inventario4!C:C,IF(B33=5,Inventario5!C:C,Inventario6!C:C))))),
    _xlpm.invStats, IF(B33=1,Inventario1!D:H,IF(B33=2,Inventario2!D:H,IF(B33=3,Inventario3!D:H,IF(B33=4,Inventario4!D:H,IF(B33=5,Inventario5!D:H,Inventario6!D:H))))),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IF(ROW(A33)=2,"",IF(_xlfn._xlws.FILTER(Equipar!AC$2:AC32,Equipar!B$2:B32=B33)={0},"",_xlfn._xlws.FILTER(Equipar!AC$2:AC32,Equipar!B$2:B32=B33))),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H33" s="4" cm="1">
        <f t="array" aca="1" ref="H33" ca="1">_xlfn.LET(
    _xlpm.jugador, A33,
    _xlpm.idSel, AC33,
    _xlpm.invIDs, IF(B33=1,Inventario1!A:A,IF(B33=2,Inventario2!A:A,IF(B33=3,Inventario3!A:A,IF(B33=4,Inventario4!A:A,IF(B33=5,Inventario5!A:A,Inventario6!A:A))))),
    _xlpm.invCalidad, IF(B33=1,Inventario1!B:B,IF(B33=2,Inventario2!B:B,IF(B33=3,Inventario3!B:B,IF(B33=4,Inventario4!B:B,IF(B33=5,Inventario5!B:B,Inventario6!B:B))))),
    _xlpm.invTipos, IF(B33=1,Inventario1!C:C,IF(B33=2,Inventario2!C:C,IF(B33=3,Inventario3!C:C,IF(B33=4,Inventario4!C:C,IF(B33=5,Inventario5!C:C,Inventario6!C:C))))),
    _xlpm.invStats, IF(B33=1,Inventario1!D:H,IF(B33=2,Inventario2!D:H,IF(B33=3,Inventario3!D:H,IF(B33=4,Inventario4!D:H,IF(B33=5,Inventario5!D:H,Inventario6!D:H))))),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IF(ROW(A33)=2,"",IF(_xlfn._xlws.FILTER(Equipar!AC$2:AC32,Equipar!B$2:B32=B33)={0},"",_xlfn._xlws.FILTER(Equipar!AC$2:AC32,Equipar!B$2:B32=B33))),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I33" s="4" cm="1">
        <f t="array" ref="I33">_xlfn.LET(
    _xlpm.jugador, A33,
    _xlpm.idSel, AC33,
    _xlpm.invIDs, IF(B33=1,Inventario1!A:A,IF(B33=2,Inventario2!A:A,IF(B33=3,Inventario3!A:A,IF(B33=4,Inventario4!A:A,IF(B33=5,Inventario5!A:A,Inventario6!A:A))))),
    _xlpm.invCalidad, IF(B33=1,Inventario1!B:B,IF(B33=2,Inventario2!B:B,IF(B33=3,Inventario3!B:B,IF(B33=4,Inventario4!B:B,IF(B33=5,Inventario5!B:B,Inventario6!B:B))))),
    _xlpm.invTipos, IF(B33=1,Inventario1!C:C,IF(B33=2,Inventario2!C:C,IF(B33=3,Inventario3!C:C,IF(B33=4,Inventario4!C:C,IF(B33=5,Inventario5!C:C,Inventario6!C:C))))),
    _xlpm.invStats, IF(B33=1,Inventario1!D:H,IF(B33=2,Inventario2!D:H,IF(B33=3,Inventario3!D:H,IF(B33=4,Inventario4!D:H,IF(B33=5,Inventario5!D:H,Inventario6!D:H))))),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IF(ROW(A33)=2,"",IF(_xlfn._xlws.FILTER(Equipar!AC$2:AC32,Equipar!B$2:B32=B33)={0},"",_xlfn._xlws.FILTER(Equipar!AC$2:AC32,Equipar!B$2:B32=B33))),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J33" s="4" cm="1">
        <f t="array" aca="1" ref="J33" ca="1">_xlfn.LET(
    _xlpm.jugador, B33,
    _xlpm.idSel, AD33,
    _xlpm.invIDs, IF(C33=1,Inventario1!B:B,IF(C33=2,Inventario2!B:B,IF(C33=3,Inventario3!B:B,IF(C33=4,Inventario4!B:B,IF(C33=5,Inventario5!B:B,Inventario6!B:B))))),
    _xlpm.invCalidad, IF(C33=1,Inventario1!C:C,IF(C33=2,Inventario2!C:C,IF(C33=3,Inventario3!C:C,IF(C33=4,Inventario4!C:C,IF(C33=5,Inventario5!C:C,Inventario6!C:C))))),
    _xlpm.invTipos, IF(C33=1,Inventario1!D:D,IF(C33=2,Inventario2!D:D,IF(C33=3,Inventario3!D:D,IF(C33=4,Inventario4!D:D,IF(C33=5,Inventario5!D:D,Inventario6!D:D))))),
    _xlpm.invStats, IF(C33=1,Inventario1!E:I,IF(C33=2,Inventario2!E:I,IF(C33=3,Inventario3!E:I,IF(C33=4,Inventario4!E:I,IF(C33=5,Inventario5!E:I,Inventario6!E:I))))),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IF(ROW(B33)=2,"",IF(_xlfn._xlws.FILTER(Equipar!AD$2:AD32,Equipar!C$2:C32=C33)={0},"",_xlfn._xlws.FILTER(Equipar!AD$2:AD32,Equipar!C$2:C32=C33))),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33" s="4">
        <f t="shared" ca="1" si="0"/>
        <v>9</v>
      </c>
      <c r="L33" s="4">
        <f t="shared" si="1"/>
        <v>27</v>
      </c>
      <c r="M33" s="4">
        <f t="shared" ca="1" si="1"/>
        <v>72</v>
      </c>
      <c r="N33" s="4">
        <f t="shared" ca="1" si="2"/>
        <v>18</v>
      </c>
      <c r="O33" s="4">
        <f t="shared" ca="1" si="2"/>
        <v>54</v>
      </c>
      <c r="P33" s="14" cm="1">
        <f t="array" aca="1" ref="P33" ca="1">_xlfn.LET(
    _xlpm.ptsPrinBase, _xlfn._xlws.FILTER(G:G, A:A=A33),
    _xlpm.ptsSecBase,  _xlfn._xlws.FILTER(H:H, A:A=A33),
    _xlpm.puntosPrin, _xlpm.ptsPrinBase + _xlfn._xlws.FILTER(B:B, A:A=A33)/1000,
    _xlpm.puntosSec,  _xlpm.ptsSecBase  + _xlfn._xlws.FILTER(B:B, A:A=A33)/1000,
    _xlpm.puntosPrinValidos, SUM(--(_xlpm.ptsPrinBase&gt;0)),
    _xlpm.puntosSecValidos,  SUM(--(_xlpm.ptsSecBase&gt;0)),
    _xlpm.clave, K33 + B33/1000,
    _xlpm.claves, _xlfn._xlws.FILTER(K:K + B:B/1000, A:A=A33),
    IF(AND(_xlpm.puntosPrinValidos&gt;=4,_xlpm.puntosSecValidos&gt;=2),IF(
        SUM(--(_xlpm.claves &gt; _xlpm.clave)) &lt; 4,
        C33,
        D33
    ),"No disp")
)</f>
        <v>100</v>
      </c>
      <c r="Q33" s="14" cm="1">
        <f t="array" aca="1" ref="Q33" ca="1">_xlfn.LET(
    _xlpm.puntosPrin, _xlfn._xlws.FILTER(G:G + B:B/1000, A:A=A33),
    _xlpm.puntosPrinValidos, SUM(--(_xlpm.puntosPrin&gt;1)),
    _xlpm.puntosTer, _xlfn._xlws.FILTER(I:I + B:B/1000, A:A=A33),
    _xlpm.puntosTerValidos, SUM(--(_xlpm.puntosTer&gt;1)),
    _xlpm.clave, L33 + B33/1000,
    _xlpm.claves, _xlfn._xlws.FILTER(L:L + B:B/1000, A:A=A33),
    IF(AND(_xlpm.puntosPrinValidos&gt;=4,_xlpm.puntosTerValidos&gt;=2),IF(
        SUM(--(_xlpm.claves &gt; _xlpm.clave)) &lt; 4,
        C33,
        E33
    ),"No disp")
)</f>
        <v>100</v>
      </c>
      <c r="R33" s="14" t="str" cm="1">
        <f t="array" aca="1" ref="R33" ca="1">_xlfn.LET(
    _xlpm.puntosPrin, _xlfn._xlws.FILTER(G:G + B:B/1000, A:A=A33),
    _xlpm.puntosPrinValidos, SUM(--(_xlpm.puntosPrin&gt;1)),
    _xlpm.puntosTer, _xlfn._xlws.FILTER(J:J + B:B/1000, A:A=A33),
    _xlpm.puntosTerValidos, SUM(--(_xlpm.puntosTer&gt;1)),
    _xlpm.clave, M33 + B33/1000,
    _xlpm.claves, _xlfn._xlws.FILTER(M:M + B:B/1000, A:A=A33),
    IF(AND(_xlpm.puntosPrinValidos&gt;=4,_xlpm.puntosTerValidos&gt;=2),IF(
        SUM(--(_xlpm.claves &gt; _xlpm.clave)) &lt; 4,
        C33,
        F33
    ),"No disp")
)</f>
        <v>No disp</v>
      </c>
      <c r="S33" s="14" cm="1">
        <f t="array" aca="1" ref="S33" ca="1">_xlfn.LET(
    _xlpm.ptsPrinBase, _xlfn._xlws.FILTER(G:G, A:A=A33),
    _xlpm.ptsSecBase,  _xlfn._xlws.FILTER(H:H, A:A=A33),
    _xlpm.puntosPrin, _xlpm.ptsPrinBase + _xlfn._xlws.FILTER(B:B, A:A=A33)/1000,
    _xlpm.puntosSec,  _xlpm.ptsSecBase  + _xlfn._xlws.FILTER(B:B, A:A=A33)/1000,
    _xlpm.puntosPrinValidos, SUM(--(_xlpm.ptsPrinBase&gt;0)),
    _xlpm.puntosSecValidos,  SUM(--(_xlpm.ptsSecBase&gt;0)),
    _xlpm.clave, K33 + B33/1000,
    _xlpm.claves, _xlfn._xlws.FILTER(K:K + B:B/1000, A:A=A33),
    IF(
        AND(_xlpm.puntosPrinValidos&gt;=2, _xlpm.puntosSecValidos&gt;=4),
        IF(
            SUM(--(_xlpm.claves &lt; _xlpm.clave)) &lt; 4,
            D33,
            C33
        ),
        "No disp"
    )
)</f>
        <v>205</v>
      </c>
      <c r="T33" s="14" cm="1">
        <f t="array" aca="1" ref="T33" ca="1">_xlfn.LET(
    _xlpm.puntosSec, _xlfn._xlws.FILTER(H:H + B:B/1000, A:A=A33),
    _xlpm.puntosSecValidos, SUM(--(_xlpm.puntosSec&gt;1)),
    _xlpm.puntosAlt, _xlfn._xlws.FILTER(I:I + B:B/1000, A:A=A33),
    _xlpm.puntosAltValidos, SUM(--(_xlpm.puntosAlt&gt;1)),
    _xlpm.clave, N33 + B33/1000,
    _xlpm.claves, _xlfn._xlws.FILTER(N:N + B:B/1000, A:A=A33),
    IF(AND(_xlpm.puntosSecValidos&gt;=4,_xlpm.puntosAltValidos&gt;=2),IF(
        SUM(--(_xlpm.claves &gt; _xlpm.clave)) &lt; 4,
        D33,
        E33
    ),"No disp")
)</f>
        <v>205</v>
      </c>
      <c r="U33" s="14" t="str" cm="1">
        <f t="array" aca="1" ref="U33" ca="1">_xlfn.LET(
    _xlpm.puntosSec, _xlfn._xlws.FILTER(H:H + B:B/1000, A:A=A33),
    _xlpm.puntosSecValidos, SUM(--(_xlpm.puntosSec&gt;1)),
    _xlpm.puntosAlt, _xlfn._xlws.FILTER(J:J + B:B/1000, A:A=A33),
    _xlpm.puntosAltValidos, SUM(--(_xlpm.puntosAlt&gt;1)),
    _xlpm.clave, O33 + B33/1000,
    _xlpm.claves, _xlfn._xlws.FILTER(O:O + B:B/1000, A:A=A33),
    IF(AND(_xlpm.puntosSecValidos&gt;=4,_xlpm.puntosAltValidos&gt;=2),IF(
        SUM(--(_xlpm.claves &gt; _xlpm.clave)) &lt; 4,
        D33,
        F33
    ),"No disp")
)</f>
        <v>No disp</v>
      </c>
      <c r="V33" s="4" cm="1">
        <f t="array" aca="1" ref="V33" ca="1">_xlfn.LET(
_xlpm.PrinIDs,_xlfn._xlws.FILTER(C:C,(A:A=A33)),
_xlpm.SecIDs,_xlfn._xlws.FILTER(D:D,(A:A=A33)),
_xlpm.TerIDs,_xlfn._xlws.FILTER(E:E,A:A=A33),
_xlpm.CuaIDs,_xlfn._xlws.FILTER(F:F,(A:A=A33)),
_xlpm.PrinPts,_xlfn._xlws.FILTER(G:G,(A:A=A33)),
_xlpm.SecPts,_xlfn._xlws.FILTER(H:H,(A:A=A33)),
_xlpm.TerPts,_xlfn._xlws.FILTER(I:I,(A:A=A33)),
_xlpm.CuaPts,_xlfn._xlws.FILTER(J:J,(A:A=A33)),
_xlpm.PSIds,_xlfn._xlws.FILTER(P:P,A:A=A33),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548.01</v>
      </c>
      <c r="W33" s="4" cm="1">
        <f t="array" aca="1" ref="W33" ca="1">_xlfn.LET(
_xlpm.PrinIDs,_xlfn._xlws.FILTER(C:C,(A:A=A33)),
_xlpm.SecIDs,_xlfn._xlws.FILTER(D:D,(A:A=A33)),
_xlpm.TerIDs,_xlfn._xlws.FILTER(E:E,A:A=A33),
_xlpm.CuaIDs,_xlfn._xlws.FILTER(F:F,(A:A=A33)),
_xlpm.PrinPts,_xlfn._xlws.FILTER(G:G,(A:A=A33)),
_xlpm.SecPts,_xlfn._xlws.FILTER(H:H,(A:A=A33)),
_xlpm.TerPts,_xlfn._xlws.FILTER(I:I,(A:A=A33)),
_xlpm.CuaPts,_xlfn._xlws.FILTER(J:J,(A:A=A33)),
_xlpm.PTIds,_xlfn._xlws.FILTER(Q:Q,A:A=A33),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547.83000000000004</v>
      </c>
      <c r="X33" s="4" cm="1">
        <f t="array" aca="1" ref="X33" ca="1">_xlfn.LET(
_xlpm.PrinIDs,_xlfn._xlws.FILTER(C:C,(A:A=A33)),
_xlpm.SecIDs,_xlfn._xlws.FILTER(D:D,(A:A=A33)),
_xlpm.TerIDs,_xlfn._xlws.FILTER(E:E,A:A=A33),
_xlpm.CuaIDs,_xlfn._xlws.FILTER(F:F,(A:A=A33)),
_xlpm.PrinPts,_xlfn._xlws.FILTER(G:G,(A:A=A33)),
_xlpm.SecPts,_xlfn._xlws.FILTER(H:H,(A:A=A33)),
_xlpm.TerPts,_xlfn._xlws.FILTER(I:I,(A:A=A33)),
_xlpm.CuaPts,_xlfn._xlws.FILTER(J:J,(A:A=A33)),
_xlpm.PCIds,_xlfn._xlws.FILTER(R:R,A:A=A33),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33" s="4" cm="1">
        <f t="array" aca="1" ref="Y33" ca="1">_xlfn.LET(
_xlpm.PrinIDs,_xlfn._xlws.FILTER(C:C,(A:A=A33)),
_xlpm.SecIDs,_xlfn._xlws.FILTER(D:D,(A:A=A33)),
_xlpm.AltIDs,_xlfn._xlws.FILTER(E:E,A:A=A33),
_xlpm.PrinPts,_xlfn._xlws.FILTER(G:G,(A:A=A33)),
_xlpm.SecPts,_xlfn._xlws.FILTER(H:H,(A:A=A33)),
_xlpm.AltPts,_xlfn._xlws.FILTER(I:I,(A:A=A33)),
_xlpm.SPIds,_xlfn._xlws.FILTER(S:S,A:A=A33),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526.86</v>
      </c>
      <c r="Z33" s="4" cm="1">
        <f t="array" aca="1" ref="Z33" ca="1">_xlfn.LET(
_xlpm.PrinIDs,_xlfn._xlws.FILTER(C:C,(A:A=A33)),
_xlpm.SecIDs,_xlfn._xlws.FILTER(D:D,(A:A=A33)),
_xlpm.TerIDs,_xlfn._xlws.FILTER(E:E,A:A=A33),
_xlpm.CuaIDs,_xlfn._xlws.FILTER(F:F,(A:A=A33)),
_xlpm.PrinPts,_xlfn._xlws.FILTER(G:G,(A:A=A33)),
_xlpm.SecPts,_xlfn._xlws.FILTER(H:H,(A:A=A33)),
_xlpm.TerPts,_xlfn._xlws.FILTER(I:I,(A:A=A33)),
_xlpm.CuaPts,_xlfn._xlws.FILTER(J:J,(A:A=A33)),
_xlpm.STIds,_xlfn._xlws.FILTER(T:T,A:A=A33),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526.86</v>
      </c>
      <c r="AA33" s="4" cm="1">
        <f t="array" aca="1" ref="AA33" ca="1">_xlfn.LET(
_xlpm.PrinIDs,_xlfn._xlws.FILTER(C:C,(A:A=A33)),
_xlpm.SecIDs,_xlfn._xlws.FILTER(D:D,(A:A=A33)),
_xlpm.TerIDs,_xlfn._xlws.FILTER(E:E,A:A=A33),
_xlpm.CuaIDs,_xlfn._xlws.FILTER(F:F,(A:A=A33)),
_xlpm.PrinPts,_xlfn._xlws.FILTER(G:G,(A:A=A33)),
_xlpm.SecPts,_xlfn._xlws.FILTER(H:H,(A:A=A33)),
_xlpm.TerPts,_xlfn._xlws.FILTER(I:I,(A:A=A33)),
_xlpm.CuaPts,_xlfn._xlws.FILTER(J:J,(A:A=A33)),
_xlpm.SCIds,_xlfn._xlws.FILTER(U:U,A:A=A33),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33" s="14">
        <f t="shared" ca="1" si="3"/>
        <v>100</v>
      </c>
      <c r="AC33" s="14">
        <v>100</v>
      </c>
      <c r="AD33" s="4"/>
      <c r="AE33" s="14" t="str">
        <f ca="1">IF(ISNUMBER(AC33),
IF($B33=1,VLOOKUP($AC33,Inventario1!$A:$H,2),
IF($B33=2,VLOOKUP($AC33,Inventario2!$A:$H,2),
IF($B33=3,VLOOKUP($AC33,Inventario3!$A:$H,2),
IF($B33=4,VLOOKUP($AC33,Inventario4!$A:$H,2),
IF($B33=5,VLOOKUP($AC33,Inventario5!$A:$H,2),
VLOOKUP($AC33,Inventario6!$A:$H,2)
))))),"No equipado")</f>
        <v>Épico</v>
      </c>
      <c r="AF33" s="14" t="str">
        <f ca="1">IF(ISNUMBER(AC33),
IF($B33=1,VLOOKUP($AC33,Inventario1!$A:$H,3),
IF($B33=2,VLOOKUP($AC33,Inventario2!$A:$H,3),
IF($B33=3,VLOOKUP($AC33,Inventario3!$A:$H,3),
IF($B33=4,VLOOKUP($AC33,Inventario4!$A:$H,3),
IF($B33=5,VLOOKUP($AC33,Inventario5!$A:$H,3),
VLOOKUP($AC33,Inventario6!$A:$H,3)
))))),"")</f>
        <v>Guardia contundente</v>
      </c>
      <c r="AG33" s="14" t="str">
        <f ca="1">IF(ISNUMBER(AC33),
IF($B33=1,VLOOKUP($AC33,Inventario1!$A:$H,4),
IF($B33=2,VLOOKUP($AC33,Inventario2!$A:$H,4),
IF($B33=3,VLOOKUP($AC33,Inventario3!$A:$H,4),
IF($B33=4,VLOOKUP($AC33,Inventario4!$A:$H,4),
IF($B33=5,VLOOKUP($AC33,Inventario5!$A:$H,4),
VLOOKUP($AC33,Inventario6!$A:$H,4)
))))),"")</f>
        <v>Colocación</v>
      </c>
      <c r="AH33" s="14" t="str">
        <f ca="1">IF(ISNUMBER(AC33),
IF($B33=1,VLOOKUP($AC33,Inventario1!$A:$H,5),
IF($B33=2,VLOOKUP($AC33,Inventario2!$A:$H,5),
IF($B33=3,VLOOKUP($AC33,Inventario3!$A:$H,5),
IF($B33=4,VLOOKUP($AC33,Inventario4!$A:$H,5),
IF($B33=5,VLOOKUP($AC33,Inventario5!$A:$H,5),
VLOOKUP($AC33,Inventario6!$A:$H,5)
))))),"")</f>
        <v>Recepción</v>
      </c>
      <c r="AI33" s="14" t="str">
        <f ca="1">IF(ISNUMBER(AC33),
IF($B33=1,VLOOKUP($AC33,Inventario1!$A:$H,6),
IF($B33=2,VLOOKUP($AC33,Inventario2!$A:$H,6),
IF($B33=3,VLOOKUP($AC33,Inventario3!$A:$H,6),
IF($B33=4,VLOOKUP($AC33,Inventario4!$A:$H,6),
IF($B33=5,VLOOKUP($AC33,Inventario5!$A:$H,6),
VLOOKUP($AC33,Inventario6!$A:$H,6)
))))),"")</f>
        <v>Colocación</v>
      </c>
      <c r="AJ33" s="14">
        <f ca="1">IF(ISNUMBER(AC33),
IF($B33=1,VLOOKUP($AC33,Inventario1!$A:$H,7),
IF($B33=2,VLOOKUP($AC33,Inventario2!$A:$H,7),
IF($B33=3,VLOOKUP($AC33,Inventario3!$A:$H,7),
IF($B33=4,VLOOKUP($AC33,Inventario4!$A:$H,7),
IF($B33=5,VLOOKUP($AC33,Inventario5!$A:$H,7),
VLOOKUP($AC33,Inventario6!$A:$H,7)
))))),"")</f>
        <v>0</v>
      </c>
      <c r="AK33" s="15">
        <f ca="1">IF(ISNUMBER(AC33),
IF($B33=1,VLOOKUP($AC33,Inventario1!$A:$H,8),
IF($B33=2,VLOOKUP($AC33,Inventario2!$A:$H,8),
IF($B33=3,VLOOKUP($AC33,Inventario3!$A:$H,8),
IF($B33=4,VLOOKUP($AC33,Inventario4!$A:$H,8),
IF($B33=5,VLOOKUP($AC33,Inventario5!$A:$H,8),
VLOOKUP($AC33,Inventario6!$A:$H,8)
))))),"")</f>
        <v>0</v>
      </c>
    </row>
    <row r="34" spans="1:37" x14ac:dyDescent="0.25">
      <c r="A34" s="21" t="s">
        <v>26</v>
      </c>
      <c r="B34" s="4">
        <v>3</v>
      </c>
      <c r="C34" s="14" cm="1">
        <f t="array" aca="1" ref="C34" ca="1">_xlfn.LET(
    _xlpm.jugador, A34,
    _xlpm.idSel, AC34,
    _xlpm.invIDs, IF(B34=1,Inventario1!A:A,IF(B34=2,Inventario2!A:A,IF(B34=3,Inventario3!A:A,IF(B34=4,Inventario4!A:A,IF(B34=5,Inventario5!A:A,Inventario6!A:A))))),
    _xlpm.invCalidad, IF(B34=1,Inventario1!B:B,IF(B34=2,Inventario2!B:B,IF(B34=3,Inventario3!B:B,IF(B34=4,Inventario4!B:B,IF(B34=5,Inventario5!B:B,Inventario6!B:B))))),
    _xlpm.invTipos, IF(B34=1,Inventario1!C:C,IF(B34=2,Inventario2!C:C,IF(B34=3,Inventario3!C:C,IF(B34=4,Inventario4!C:C,IF(B34=5,Inventario5!C:C,Inventario6!C:C))))),
    _xlpm.invStats, IF(B34=1,Inventario1!D:H,IF(B34=2,Inventario2!D:H,IF(B34=3,Inventario3!D:H,IF(B34=4,Inventario4!D:H,IF(B34=5,Inventario5!D:H,Inventario6!D:H))))),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IF(ROW(A34)=2,"",IF(_xlfn._xlws.FILTER(Equipar!AC$2:AC33,Equipar!B$2:B33=B34)={0},"",_xlfn._xlws.FILTER(Equipar!AC$2:AC33,Equipar!B$2:B33=B34))),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350</v>
      </c>
      <c r="D34" s="4" cm="1">
        <f t="array" aca="1" ref="D34" ca="1">_xlfn.LET(
    _xlpm.jugador, A34,
    _xlpm.idSel, AC34,
    _xlpm.invIDs, IF(B34=1,Inventario1!A:A,IF(B34=2,Inventario2!A:A,IF(B34=3,Inventario3!A:A,IF(B34=4,Inventario4!A:A,IF(B34=5,Inventario5!A:A,Inventario6!A:A))))),
    _xlpm.invCalidad, IF(B34=1,Inventario1!B:B,IF(B34=2,Inventario2!B:B,IF(B34=3,Inventario3!B:B,IF(B34=4,Inventario4!B:B,IF(B34=5,Inventario5!B:B,Inventario6!B:B))))),
    _xlpm.invTipos, IF(B34=1,Inventario1!C:C,IF(B34=2,Inventario2!C:C,IF(B34=3,Inventario3!C:C,IF(B34=4,Inventario4!C:C,IF(B34=5,Inventario5!C:C,Inventario6!C:C))))),
    _xlpm.invStats, IF(B34=1,Inventario1!D:H,IF(B34=2,Inventario2!D:H,IF(B34=3,Inventario3!D:H,IF(B34=4,Inventario4!D:H,IF(B34=5,Inventario5!D:H,Inventario6!D:H))))),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IF(ROW(A34)=2,"",IF(_xlfn._xlws.FILTER(Equipar!AC$2:AC33,Equipar!B$2:B33=B34)={0},"",_xlfn._xlws.FILTER(Equipar!AC$2:AC33,Equipar!B$2:B33=B34))),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138</v>
      </c>
      <c r="E34" s="4" cm="1">
        <f t="array" ref="E34">_xlfn.LET(
    _xlpm.jugador, A34,
    _xlpm.idSel, AC34,
    _xlpm.invIDs, IF(B34=1,Inventario1!A:A,IF(B34=2,Inventario2!A:A,IF(B34=3,Inventario3!A:A,IF(B34=4,Inventario4!A:A,IF(B34=5,Inventario5!A:A,Inventario6!A:A))))),
    _xlpm.invCalidad, IF(B34=1,Inventario1!B:B,IF(B34=2,Inventario2!B:B,IF(B34=3,Inventario3!B:B,IF(B34=4,Inventario4!B:B,IF(B34=5,Inventario5!B:B,Inventario6!B:B))))),
    _xlpm.invTipos, IF(B34=1,Inventario1!C:C,IF(B34=2,Inventario2!C:C,IF(B34=3,Inventario3!C:C,IF(B34=4,Inventario4!C:C,IF(B34=5,Inventario5!C:C,Inventario6!C:C))))),
    _xlpm.invStats, IF(B34=1,Inventario1!D:H,IF(B34=2,Inventario2!D:H,IF(B34=3,Inventario3!D:H,IF(B34=4,Inventario4!D:H,IF(B34=5,Inventario5!D:H,Inventario6!D:H))))),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IF(ROW(A34)=2,"",IF(_xlfn._xlws.FILTER(Equipar!AC$2:AC33,Equipar!B$2:B33=B34)={0},"",_xlfn._xlws.FILTER(Equipar!AC$2:AC33,Equipar!B$2:B33=B34))),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122</v>
      </c>
      <c r="F34" s="4" t="str" cm="1">
        <f t="array" aca="1" ref="F34" ca="1">_xlfn.LET(
    _xlpm.jugador, B34,
    _xlpm.idSel, AD34,
    _xlpm.invIDs, IF(C34=1,Inventario1!B:B,IF(C34=2,Inventario2!B:B,IF(C34=3,Inventario3!B:B,IF(C34=4,Inventario4!B:B,IF(C34=5,Inventario5!B:B,Inventario6!B:B))))),
    _xlpm.invCalidad, IF(C34=1,Inventario1!C:C,IF(C34=2,Inventario2!C:C,IF(C34=3,Inventario3!C:C,IF(C34=4,Inventario4!C:C,IF(C34=5,Inventario5!C:C,Inventario6!C:C))))),
    _xlpm.invTipos, IF(C34=1,Inventario1!D:D,IF(C34=2,Inventario2!D:D,IF(C34=3,Inventario3!D:D,IF(C34=4,Inventario4!D:D,IF(C34=5,Inventario5!D:D,Inventario6!D:D))))),
    _xlpm.invStats, IF(C34=1,Inventario1!E:I,IF(C34=2,Inventario2!E:I,IF(C34=3,Inventario3!E:I,IF(C34=4,Inventario4!E:I,IF(C34=5,Inventario5!E:I,Inventario6!E:I))))),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IF(ROW(B34)=2,"",IF(_xlfn._xlws.FILTER(Equipar!AD$2:AD33,Equipar!C$2:C33=C34)={0},"",_xlfn._xlws.FILTER(Equipar!AD$2:AD33,Equipar!C$2:C33=C34))),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34" s="14" cm="1">
        <f t="array" aca="1" ref="G34" ca="1">_xlfn.LET(
    _xlpm.jugador, A34,
    _xlpm.idSel, AC34,
    _xlpm.invIDs, IF(B34=1,Inventario1!A:A,IF(B34=2,Inventario2!A:A,IF(B34=3,Inventario3!A:A,IF(B34=4,Inventario4!A:A,IF(B34=5,Inventario5!A:A,Inventario6!A:A))))),
    _xlpm.invCalidad, IF(B34=1,Inventario1!B:B,IF(B34=2,Inventario2!B:B,IF(B34=3,Inventario3!B:B,IF(B34=4,Inventario4!B:B,IF(B34=5,Inventario5!B:B,Inventario6!B:B))))),
    _xlpm.invTipos, IF(B34=1,Inventario1!C:C,IF(B34=2,Inventario2!C:C,IF(B34=3,Inventario3!C:C,IF(B34=4,Inventario4!C:C,IF(B34=5,Inventario5!C:C,Inventario6!C:C))))),
    _xlpm.invStats, IF(B34=1,Inventario1!D:H,IF(B34=2,Inventario2!D:H,IF(B34=3,Inventario3!D:H,IF(B34=4,Inventario4!D:H,IF(B34=5,Inventario5!D:H,Inventario6!D:H))))),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IF(ROW(A34)=2,"",IF(_xlfn._xlws.FILTER(Equipar!AC$2:AC33,Equipar!B$2:B33=B34)={0},"",_xlfn._xlws.FILTER(Equipar!AC$2:AC33,Equipar!B$2:B33=B34))),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H34" s="4" cm="1">
        <f t="array" aca="1" ref="H34" ca="1">_xlfn.LET(
    _xlpm.jugador, A34,
    _xlpm.idSel, AC34,
    _xlpm.invIDs, IF(B34=1,Inventario1!A:A,IF(B34=2,Inventario2!A:A,IF(B34=3,Inventario3!A:A,IF(B34=4,Inventario4!A:A,IF(B34=5,Inventario5!A:A,Inventario6!A:A))))),
    _xlpm.invCalidad, IF(B34=1,Inventario1!B:B,IF(B34=2,Inventario2!B:B,IF(B34=3,Inventario3!B:B,IF(B34=4,Inventario4!B:B,IF(B34=5,Inventario5!B:B,Inventario6!B:B))))),
    _xlpm.invTipos, IF(B34=1,Inventario1!C:C,IF(B34=2,Inventario2!C:C,IF(B34=3,Inventario3!C:C,IF(B34=4,Inventario4!C:C,IF(B34=5,Inventario5!C:C,Inventario6!C:C))))),
    _xlpm.invStats, IF(B34=1,Inventario1!D:H,IF(B34=2,Inventario2!D:H,IF(B34=3,Inventario3!D:H,IF(B34=4,Inventario4!D:H,IF(B34=5,Inventario5!D:H,Inventario6!D:H))))),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IF(ROW(A34)=2,"",IF(_xlfn._xlws.FILTER(Equipar!AC$2:AC33,Equipar!B$2:B33=B34)={0},"",_xlfn._xlws.FILTER(Equipar!AC$2:AC33,Equipar!B$2:B33=B34))),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I34" s="4" cm="1">
        <f t="array" ref="I34">_xlfn.LET(
    _xlpm.jugador, A34,
    _xlpm.idSel, AC34,
    _xlpm.invIDs, IF(B34=1,Inventario1!A:A,IF(B34=2,Inventario2!A:A,IF(B34=3,Inventario3!A:A,IF(B34=4,Inventario4!A:A,IF(B34=5,Inventario5!A:A,Inventario6!A:A))))),
    _xlpm.invCalidad, IF(B34=1,Inventario1!B:B,IF(B34=2,Inventario2!B:B,IF(B34=3,Inventario3!B:B,IF(B34=4,Inventario4!B:B,IF(B34=5,Inventario5!B:B,Inventario6!B:B))))),
    _xlpm.invTipos, IF(B34=1,Inventario1!C:C,IF(B34=2,Inventario2!C:C,IF(B34=3,Inventario3!C:C,IF(B34=4,Inventario4!C:C,IF(B34=5,Inventario5!C:C,Inventario6!C:C))))),
    _xlpm.invStats, IF(B34=1,Inventario1!D:H,IF(B34=2,Inventario2!D:H,IF(B34=3,Inventario3!D:H,IF(B34=4,Inventario4!D:H,IF(B34=5,Inventario5!D:H,Inventario6!D:H))))),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IF(ROW(A34)=2,"",IF(_xlfn._xlws.FILTER(Equipar!AC$2:AC33,Equipar!B$2:B33=B34)={0},"",_xlfn._xlws.FILTER(Equipar!AC$2:AC33,Equipar!B$2:B33=B34))),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J34" s="4" cm="1">
        <f t="array" aca="1" ref="J34" ca="1">_xlfn.LET(
    _xlpm.jugador, B34,
    _xlpm.idSel, AD34,
    _xlpm.invIDs, IF(C34=1,Inventario1!B:B,IF(C34=2,Inventario2!B:B,IF(C34=3,Inventario3!B:B,IF(C34=4,Inventario4!B:B,IF(C34=5,Inventario5!B:B,Inventario6!B:B))))),
    _xlpm.invCalidad, IF(C34=1,Inventario1!C:C,IF(C34=2,Inventario2!C:C,IF(C34=3,Inventario3!C:C,IF(C34=4,Inventario4!C:C,IF(C34=5,Inventario5!C:C,Inventario6!C:C))))),
    _xlpm.invTipos, IF(C34=1,Inventario1!D:D,IF(C34=2,Inventario2!D:D,IF(C34=3,Inventario3!D:D,IF(C34=4,Inventario4!D:D,IF(C34=5,Inventario5!D:D,Inventario6!D:D))))),
    _xlpm.invStats, IF(C34=1,Inventario1!E:I,IF(C34=2,Inventario2!E:I,IF(C34=3,Inventario3!E:I,IF(C34=4,Inventario4!E:I,IF(C34=5,Inventario5!E:I,Inventario6!E:I))))),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IF(ROW(B34)=2,"",IF(_xlfn._xlws.FILTER(Equipar!AD$2:AD33,Equipar!C$2:C33=C34)={0},"",_xlfn._xlws.FILTER(Equipar!AD$2:AD33,Equipar!C$2:C33=C34))),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34" s="4">
        <f t="shared" ca="1" si="0"/>
        <v>17.820000000000007</v>
      </c>
      <c r="L34" s="4">
        <f t="shared" ca="1" si="1"/>
        <v>0</v>
      </c>
      <c r="M34" s="4">
        <f t="shared" ca="1" si="1"/>
        <v>54</v>
      </c>
      <c r="N34" s="4">
        <f t="shared" ca="1" si="2"/>
        <v>-17.820000000000007</v>
      </c>
      <c r="O34" s="4">
        <f t="shared" ca="1" si="2"/>
        <v>71.820000000000007</v>
      </c>
      <c r="P34" s="14" cm="1">
        <f t="array" aca="1" ref="P34" ca="1">_xlfn.LET(
    _xlpm.ptsPrinBase, _xlfn._xlws.FILTER(G:G, A:A=A34),
    _xlpm.ptsSecBase,  _xlfn._xlws.FILTER(H:H, A:A=A34),
    _xlpm.puntosPrin, _xlpm.ptsPrinBase + _xlfn._xlws.FILTER(B:B, A:A=A34)/1000,
    _xlpm.puntosSec,  _xlpm.ptsSecBase  + _xlfn._xlws.FILTER(B:B, A:A=A34)/1000,
    _xlpm.puntosPrinValidos, SUM(--(_xlpm.ptsPrinBase&gt;0)),
    _xlpm.puntosSecValidos,  SUM(--(_xlpm.ptsSecBase&gt;0)),
    _xlpm.clave, K34 + B34/1000,
    _xlpm.claves, _xlfn._xlws.FILTER(K:K + B:B/1000, A:A=A34),
    IF(AND(_xlpm.puntosPrinValidos&gt;=4,_xlpm.puntosSecValidos&gt;=2),IF(
        SUM(--(_xlpm.claves &gt; _xlpm.clave)) &lt; 4,
        C34,
        D34
    ),"No disp")
)</f>
        <v>350</v>
      </c>
      <c r="Q34" s="14" cm="1">
        <f t="array" aca="1" ref="Q34" ca="1">_xlfn.LET(
    _xlpm.puntosPrin, _xlfn._xlws.FILTER(G:G + B:B/1000, A:A=A34),
    _xlpm.puntosPrinValidos, SUM(--(_xlpm.puntosPrin&gt;1)),
    _xlpm.puntosTer, _xlfn._xlws.FILTER(I:I + B:B/1000, A:A=A34),
    _xlpm.puntosTerValidos, SUM(--(_xlpm.puntosTer&gt;1)),
    _xlpm.clave, L34 + B34/1000,
    _xlpm.claves, _xlfn._xlws.FILTER(L:L + B:B/1000, A:A=A34),
    IF(AND(_xlpm.puntosPrinValidos&gt;=4,_xlpm.puntosTerValidos&gt;=2),IF(
        SUM(--(_xlpm.claves &gt; _xlpm.clave)) &lt; 4,
        C34,
        E34
    ),"No disp")
)</f>
        <v>350</v>
      </c>
      <c r="R34" s="14" t="str" cm="1">
        <f t="array" aca="1" ref="R34" ca="1">_xlfn.LET(
    _xlpm.puntosPrin, _xlfn._xlws.FILTER(G:G + B:B/1000, A:A=A34),
    _xlpm.puntosPrinValidos, SUM(--(_xlpm.puntosPrin&gt;1)),
    _xlpm.puntosTer, _xlfn._xlws.FILTER(J:J + B:B/1000, A:A=A34),
    _xlpm.puntosTerValidos, SUM(--(_xlpm.puntosTer&gt;1)),
    _xlpm.clave, M34 + B34/1000,
    _xlpm.claves, _xlfn._xlws.FILTER(M:M + B:B/1000, A:A=A34),
    IF(AND(_xlpm.puntosPrinValidos&gt;=4,_xlpm.puntosTerValidos&gt;=2),IF(
        SUM(--(_xlpm.claves &gt; _xlpm.clave)) &lt; 4,
        C34,
        F34
    ),"No disp")
)</f>
        <v>No disp</v>
      </c>
      <c r="S34" s="14" cm="1">
        <f t="array" aca="1" ref="S34" ca="1">_xlfn.LET(
    _xlpm.ptsPrinBase, _xlfn._xlws.FILTER(G:G, A:A=A34),
    _xlpm.ptsSecBase,  _xlfn._xlws.FILTER(H:H, A:A=A34),
    _xlpm.puntosPrin, _xlpm.ptsPrinBase + _xlfn._xlws.FILTER(B:B, A:A=A34)/1000,
    _xlpm.puntosSec,  _xlpm.ptsSecBase  + _xlfn._xlws.FILTER(B:B, A:A=A34)/1000,
    _xlpm.puntosPrinValidos, SUM(--(_xlpm.ptsPrinBase&gt;0)),
    _xlpm.puntosSecValidos,  SUM(--(_xlpm.ptsSecBase&gt;0)),
    _xlpm.clave, K34 + B34/1000,
    _xlpm.claves, _xlfn._xlws.FILTER(K:K + B:B/1000, A:A=A34),
    IF(
        AND(_xlpm.puntosPrinValidos&gt;=2, _xlpm.puntosSecValidos&gt;=4),
        IF(
            SUM(--(_xlpm.claves &lt; _xlpm.clave)) &lt; 4,
            D34,
            C34
        ),
        "No disp"
    )
)</f>
        <v>350</v>
      </c>
      <c r="T34" s="14" cm="1">
        <f t="array" aca="1" ref="T34" ca="1">_xlfn.LET(
    _xlpm.puntosSec, _xlfn._xlws.FILTER(H:H + B:B/1000, A:A=A34),
    _xlpm.puntosSecValidos, SUM(--(_xlpm.puntosSec&gt;1)),
    _xlpm.puntosAlt, _xlfn._xlws.FILTER(I:I + B:B/1000, A:A=A34),
    _xlpm.puntosAltValidos, SUM(--(_xlpm.puntosAlt&gt;1)),
    _xlpm.clave, N34 + B34/1000,
    _xlpm.claves, _xlfn._xlws.FILTER(N:N + B:B/1000, A:A=A34),
    IF(AND(_xlpm.puntosSecValidos&gt;=4,_xlpm.puntosAltValidos&gt;=2),IF(
        SUM(--(_xlpm.claves &gt; _xlpm.clave)) &lt; 4,
        D34,
        E34
    ),"No disp")
)</f>
        <v>122</v>
      </c>
      <c r="U34" s="14" t="str" cm="1">
        <f t="array" aca="1" ref="U34" ca="1">_xlfn.LET(
    _xlpm.puntosSec, _xlfn._xlws.FILTER(H:H + B:B/1000, A:A=A34),
    _xlpm.puntosSecValidos, SUM(--(_xlpm.puntosSec&gt;1)),
    _xlpm.puntosAlt, _xlfn._xlws.FILTER(J:J + B:B/1000, A:A=A34),
    _xlpm.puntosAltValidos, SUM(--(_xlpm.puntosAlt&gt;1)),
    _xlpm.clave, O34 + B34/1000,
    _xlpm.claves, _xlfn._xlws.FILTER(O:O + B:B/1000, A:A=A34),
    IF(AND(_xlpm.puntosSecValidos&gt;=4,_xlpm.puntosAltValidos&gt;=2),IF(
        SUM(--(_xlpm.claves &gt; _xlpm.clave)) &lt; 4,
        D34,
        F34
    ),"No disp")
)</f>
        <v>No disp</v>
      </c>
      <c r="V34" s="4" cm="1">
        <f t="array" aca="1" ref="V34" ca="1">_xlfn.LET(
_xlpm.PrinIDs,_xlfn._xlws.FILTER(C:C,(A:A=A34)),
_xlpm.SecIDs,_xlfn._xlws.FILTER(D:D,(A:A=A34)),
_xlpm.TerIDs,_xlfn._xlws.FILTER(E:E,A:A=A34),
_xlpm.CuaIDs,_xlfn._xlws.FILTER(F:F,(A:A=A34)),
_xlpm.PrinPts,_xlfn._xlws.FILTER(G:G,(A:A=A34)),
_xlpm.SecPts,_xlfn._xlws.FILTER(H:H,(A:A=A34)),
_xlpm.TerPts,_xlfn._xlws.FILTER(I:I,(A:A=A34)),
_xlpm.CuaPts,_xlfn._xlws.FILTER(J:J,(A:A=A34)),
_xlpm.PSIds,_xlfn._xlws.FILTER(P:P,A:A=A34),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548.01</v>
      </c>
      <c r="W34" s="4" cm="1">
        <f t="array" aca="1" ref="W34" ca="1">_xlfn.LET(
_xlpm.PrinIDs,_xlfn._xlws.FILTER(C:C,(A:A=A34)),
_xlpm.SecIDs,_xlfn._xlws.FILTER(D:D,(A:A=A34)),
_xlpm.TerIDs,_xlfn._xlws.FILTER(E:E,A:A=A34),
_xlpm.CuaIDs,_xlfn._xlws.FILTER(F:F,(A:A=A34)),
_xlpm.PrinPts,_xlfn._xlws.FILTER(G:G,(A:A=A34)),
_xlpm.SecPts,_xlfn._xlws.FILTER(H:H,(A:A=A34)),
_xlpm.TerPts,_xlfn._xlws.FILTER(I:I,(A:A=A34)),
_xlpm.CuaPts,_xlfn._xlws.FILTER(J:J,(A:A=A34)),
_xlpm.PTIds,_xlfn._xlws.FILTER(Q:Q,A:A=A34),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547.83000000000004</v>
      </c>
      <c r="X34" s="4" cm="1">
        <f t="array" aca="1" ref="X34" ca="1">_xlfn.LET(
_xlpm.PrinIDs,_xlfn._xlws.FILTER(C:C,(A:A=A34)),
_xlpm.SecIDs,_xlfn._xlws.FILTER(D:D,(A:A=A34)),
_xlpm.TerIDs,_xlfn._xlws.FILTER(E:E,A:A=A34),
_xlpm.CuaIDs,_xlfn._xlws.FILTER(F:F,(A:A=A34)),
_xlpm.PrinPts,_xlfn._xlws.FILTER(G:G,(A:A=A34)),
_xlpm.SecPts,_xlfn._xlws.FILTER(H:H,(A:A=A34)),
_xlpm.TerPts,_xlfn._xlws.FILTER(I:I,(A:A=A34)),
_xlpm.CuaPts,_xlfn._xlws.FILTER(J:J,(A:A=A34)),
_xlpm.PCIds,_xlfn._xlws.FILTER(R:R,A:A=A34),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34" s="4" cm="1">
        <f t="array" aca="1" ref="Y34" ca="1">_xlfn.LET(
_xlpm.PrinIDs,_xlfn._xlws.FILTER(C:C,(A:A=A34)),
_xlpm.SecIDs,_xlfn._xlws.FILTER(D:D,(A:A=A34)),
_xlpm.AltIDs,_xlfn._xlws.FILTER(E:E,A:A=A34),
_xlpm.PrinPts,_xlfn._xlws.FILTER(G:G,(A:A=A34)),
_xlpm.SecPts,_xlfn._xlws.FILTER(H:H,(A:A=A34)),
_xlpm.AltPts,_xlfn._xlws.FILTER(I:I,(A:A=A34)),
_xlpm.SPIds,_xlfn._xlws.FILTER(S:S,A:A=A34),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526.86</v>
      </c>
      <c r="Z34" s="4" cm="1">
        <f t="array" aca="1" ref="Z34" ca="1">_xlfn.LET(
_xlpm.PrinIDs,_xlfn._xlws.FILTER(C:C,(A:A=A34)),
_xlpm.SecIDs,_xlfn._xlws.FILTER(D:D,(A:A=A34)),
_xlpm.TerIDs,_xlfn._xlws.FILTER(E:E,A:A=A34),
_xlpm.CuaIDs,_xlfn._xlws.FILTER(F:F,(A:A=A34)),
_xlpm.PrinPts,_xlfn._xlws.FILTER(G:G,(A:A=A34)),
_xlpm.SecPts,_xlfn._xlws.FILTER(H:H,(A:A=A34)),
_xlpm.TerPts,_xlfn._xlws.FILTER(I:I,(A:A=A34)),
_xlpm.CuaPts,_xlfn._xlws.FILTER(J:J,(A:A=A34)),
_xlpm.STIds,_xlfn._xlws.FILTER(T:T,A:A=A34),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526.86</v>
      </c>
      <c r="AA34" s="4" cm="1">
        <f t="array" aca="1" ref="AA34" ca="1">_xlfn.LET(
_xlpm.PrinIDs,_xlfn._xlws.FILTER(C:C,(A:A=A34)),
_xlpm.SecIDs,_xlfn._xlws.FILTER(D:D,(A:A=A34)),
_xlpm.TerIDs,_xlfn._xlws.FILTER(E:E,A:A=A34),
_xlpm.CuaIDs,_xlfn._xlws.FILTER(F:F,(A:A=A34)),
_xlpm.PrinPts,_xlfn._xlws.FILTER(G:G,(A:A=A34)),
_xlpm.SecPts,_xlfn._xlws.FILTER(H:H,(A:A=A34)),
_xlpm.TerPts,_xlfn._xlws.FILTER(I:I,(A:A=A34)),
_xlpm.CuaPts,_xlfn._xlws.FILTER(J:J,(A:A=A34)),
_xlpm.SCIds,_xlfn._xlws.FILTER(U:U,A:A=A34),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34" s="14">
        <f t="shared" ca="1" si="3"/>
        <v>350</v>
      </c>
      <c r="AC34" s="14">
        <v>350</v>
      </c>
      <c r="AD34" s="4"/>
      <c r="AE34" s="14" t="str">
        <f ca="1">IF(ISNUMBER(AC34),
IF($B34=1,VLOOKUP($AC34,Inventario1!$A:$H,2),
IF($B34=2,VLOOKUP($AC34,Inventario2!$A:$H,2),
IF($B34=3,VLOOKUP($AC34,Inventario3!$A:$H,2),
IF($B34=4,VLOOKUP($AC34,Inventario4!$A:$H,2),
IF($B34=5,VLOOKUP($AC34,Inventario5!$A:$H,2),
VLOOKUP($AC34,Inventario6!$A:$H,2)
))))),"No equipado")</f>
        <v>Legendario</v>
      </c>
      <c r="AF34" s="14" t="str">
        <f ca="1">IF(ISNUMBER(AC34),
IF($B34=1,VLOOKUP($AC34,Inventario1!$A:$H,3),
IF($B34=2,VLOOKUP($AC34,Inventario2!$A:$H,3),
IF($B34=3,VLOOKUP($AC34,Inventario3!$A:$H,3),
IF($B34=4,VLOOKUP($AC34,Inventario4!$A:$H,3),
IF($B34=5,VLOOKUP($AC34,Inventario5!$A:$H,3),
VLOOKUP($AC34,Inventario6!$A:$H,3)
))))),"")</f>
        <v>Guardia contundente</v>
      </c>
      <c r="AG34" s="14" t="str">
        <f ca="1">IF(ISNUMBER(AC34),
IF($B34=1,VLOOKUP($AC34,Inventario1!$A:$H,4),
IF($B34=2,VLOOKUP($AC34,Inventario2!$A:$H,4),
IF($B34=3,VLOOKUP($AC34,Inventario3!$A:$H,4),
IF($B34=4,VLOOKUP($AC34,Inventario4!$A:$H,4),
IF($B34=5,VLOOKUP($AC34,Inventario5!$A:$H,4),
VLOOKUP($AC34,Inventario6!$A:$H,4)
))))),"")</f>
        <v>Saque</v>
      </c>
      <c r="AH34" s="14" t="str">
        <f ca="1">IF(ISNUMBER(AC34),
IF($B34=1,VLOOKUP($AC34,Inventario1!$A:$H,5),
IF($B34=2,VLOOKUP($AC34,Inventario2!$A:$H,5),
IF($B34=3,VLOOKUP($AC34,Inventario3!$A:$H,5),
IF($B34=4,VLOOKUP($AC34,Inventario4!$A:$H,5),
IF($B34=5,VLOOKUP($AC34,Inventario5!$A:$H,5),
VLOOKUP($AC34,Inventario6!$A:$H,5)
))))),"")</f>
        <v>Recepción</v>
      </c>
      <c r="AI34" s="14" t="str">
        <f ca="1">IF(ISNUMBER(AC34),
IF($B34=1,VLOOKUP($AC34,Inventario1!$A:$H,6),
IF($B34=2,VLOOKUP($AC34,Inventario2!$A:$H,6),
IF($B34=3,VLOOKUP($AC34,Inventario3!$A:$H,6),
IF($B34=4,VLOOKUP($AC34,Inventario4!$A:$H,6),
IF($B34=5,VLOOKUP($AC34,Inventario5!$A:$H,6),
VLOOKUP($AC34,Inventario6!$A:$H,6)
))))),"")</f>
        <v>Recuperación</v>
      </c>
      <c r="AJ34" s="14" t="str">
        <f ca="1">IF(ISNUMBER(AC34),
IF($B34=1,VLOOKUP($AC34,Inventario1!$A:$H,7),
IF($B34=2,VLOOKUP($AC34,Inventario2!$A:$H,7),
IF($B34=3,VLOOKUP($AC34,Inventario3!$A:$H,7),
IF($B34=4,VLOOKUP($AC34,Inventario4!$A:$H,7),
IF($B34=5,VLOOKUP($AC34,Inventario5!$A:$H,7),
VLOOKUP($AC34,Inventario6!$A:$H,7)
))))),"")</f>
        <v>Reflejos</v>
      </c>
      <c r="AK34" s="15">
        <f ca="1">IF(ISNUMBER(AC34),
IF($B34=1,VLOOKUP($AC34,Inventario1!$A:$H,8),
IF($B34=2,VLOOKUP($AC34,Inventario2!$A:$H,8),
IF($B34=3,VLOOKUP($AC34,Inventario3!$A:$H,8),
IF($B34=4,VLOOKUP($AC34,Inventario4!$A:$H,8),
IF($B34=5,VLOOKUP($AC34,Inventario5!$A:$H,8),
VLOOKUP($AC34,Inventario6!$A:$H,8)
))))),"")</f>
        <v>0</v>
      </c>
    </row>
    <row r="35" spans="1:37" x14ac:dyDescent="0.25">
      <c r="A35" s="21" t="s">
        <v>26</v>
      </c>
      <c r="B35" s="4">
        <v>4</v>
      </c>
      <c r="C35" s="14" cm="1">
        <f t="array" aca="1" ref="C35" ca="1">_xlfn.LET(
    _xlpm.jugador, A35,
    _xlpm.idSel, AC35,
    _xlpm.invIDs, IF(B35=1,Inventario1!A:A,IF(B35=2,Inventario2!A:A,IF(B35=3,Inventario3!A:A,IF(B35=4,Inventario4!A:A,IF(B35=5,Inventario5!A:A,Inventario6!A:A))))),
    _xlpm.invCalidad, IF(B35=1,Inventario1!B:B,IF(B35=2,Inventario2!B:B,IF(B35=3,Inventario3!B:B,IF(B35=4,Inventario4!B:B,IF(B35=5,Inventario5!B:B,Inventario6!B:B))))),
    _xlpm.invTipos, IF(B35=1,Inventario1!C:C,IF(B35=2,Inventario2!C:C,IF(B35=3,Inventario3!C:C,IF(B35=4,Inventario4!C:C,IF(B35=5,Inventario5!C:C,Inventario6!C:C))))),
    _xlpm.invStats, IF(B35=1,Inventario1!D:H,IF(B35=2,Inventario2!D:H,IF(B35=3,Inventario3!D:H,IF(B35=4,Inventario4!D:H,IF(B35=5,Inventario5!D:H,Inventario6!D:H))))),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IF(ROW(A35)=2,"",IF(_xlfn._xlws.FILTER(Equipar!AC$2:AC34,Equipar!B$2:B34=B35)={0},"",_xlfn._xlws.FILTER(Equipar!AC$2:AC34,Equipar!B$2:B34=B35))),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271</v>
      </c>
      <c r="D35" s="4" cm="1">
        <f t="array" aca="1" ref="D35" ca="1">_xlfn.LET(
    _xlpm.jugador, A35,
    _xlpm.idSel, AC35,
    _xlpm.invIDs, IF(B35=1,Inventario1!A:A,IF(B35=2,Inventario2!A:A,IF(B35=3,Inventario3!A:A,IF(B35=4,Inventario4!A:A,IF(B35=5,Inventario5!A:A,Inventario6!A:A))))),
    _xlpm.invCalidad, IF(B35=1,Inventario1!B:B,IF(B35=2,Inventario2!B:B,IF(B35=3,Inventario3!B:B,IF(B35=4,Inventario4!B:B,IF(B35=5,Inventario5!B:B,Inventario6!B:B))))),
    _xlpm.invTipos, IF(B35=1,Inventario1!C:C,IF(B35=2,Inventario2!C:C,IF(B35=3,Inventario3!C:C,IF(B35=4,Inventario4!C:C,IF(B35=5,Inventario5!C:C,Inventario6!C:C))))),
    _xlpm.invStats, IF(B35=1,Inventario1!D:H,IF(B35=2,Inventario2!D:H,IF(B35=3,Inventario3!D:H,IF(B35=4,Inventario4!D:H,IF(B35=5,Inventario5!D:H,Inventario6!D:H))))),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IF(ROW(A35)=2,"",IF(_xlfn._xlws.FILTER(Equipar!AC$2:AC34,Equipar!B$2:B34=B35)={0},"",_xlfn._xlws.FILTER(Equipar!AC$2:AC34,Equipar!B$2:B34=B35))),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134</v>
      </c>
      <c r="E35" s="4" cm="1">
        <f t="array" ref="E35">_xlfn.LET(
    _xlpm.jugador, A35,
    _xlpm.idSel, AC35,
    _xlpm.invIDs, IF(B35=1,Inventario1!A:A,IF(B35=2,Inventario2!A:A,IF(B35=3,Inventario3!A:A,IF(B35=4,Inventario4!A:A,IF(B35=5,Inventario5!A:A,Inventario6!A:A))))),
    _xlpm.invCalidad, IF(B35=1,Inventario1!B:B,IF(B35=2,Inventario2!B:B,IF(B35=3,Inventario3!B:B,IF(B35=4,Inventario4!B:B,IF(B35=5,Inventario5!B:B,Inventario6!B:B))))),
    _xlpm.invTipos, IF(B35=1,Inventario1!C:C,IF(B35=2,Inventario2!C:C,IF(B35=3,Inventario3!C:C,IF(B35=4,Inventario4!C:C,IF(B35=5,Inventario5!C:C,Inventario6!C:C))))),
    _xlpm.invStats, IF(B35=1,Inventario1!D:H,IF(B35=2,Inventario2!D:H,IF(B35=3,Inventario3!D:H,IF(B35=4,Inventario4!D:H,IF(B35=5,Inventario5!D:H,Inventario6!D:H))))),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IF(ROW(A35)=2,"",IF(_xlfn._xlws.FILTER(Equipar!AC$2:AC34,Equipar!B$2:B34=B35)={0},"",_xlfn._xlws.FILTER(Equipar!AC$2:AC34,Equipar!B$2:B34=B35))),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215</v>
      </c>
      <c r="F35" s="4" t="str" cm="1">
        <f t="array" aca="1" ref="F35" ca="1">_xlfn.LET(
    _xlpm.jugador, B35,
    _xlpm.idSel, AD35,
    _xlpm.invIDs, IF(C35=1,Inventario1!B:B,IF(C35=2,Inventario2!B:B,IF(C35=3,Inventario3!B:B,IF(C35=4,Inventario4!B:B,IF(C35=5,Inventario5!B:B,Inventario6!B:B))))),
    _xlpm.invCalidad, IF(C35=1,Inventario1!C:C,IF(C35=2,Inventario2!C:C,IF(C35=3,Inventario3!C:C,IF(C35=4,Inventario4!C:C,IF(C35=5,Inventario5!C:C,Inventario6!C:C))))),
    _xlpm.invTipos, IF(C35=1,Inventario1!D:D,IF(C35=2,Inventario2!D:D,IF(C35=3,Inventario3!D:D,IF(C35=4,Inventario4!D:D,IF(C35=5,Inventario5!D:D,Inventario6!D:D))))),
    _xlpm.invStats, IF(C35=1,Inventario1!E:I,IF(C35=2,Inventario2!E:I,IF(C35=3,Inventario3!E:I,IF(C35=4,Inventario4!E:I,IF(C35=5,Inventario5!E:I,Inventario6!E:I))))),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IF(ROW(B35)=2,"",IF(_xlfn._xlws.FILTER(Equipar!AD$2:AD34,Equipar!C$2:C34=C35)={0},"",_xlfn._xlws.FILTER(Equipar!AD$2:AD34,Equipar!C$2:C34=C35))),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35" s="14" cm="1">
        <f t="array" aca="1" ref="G35" ca="1">_xlfn.LET(
    _xlpm.jugador, A35,
    _xlpm.idSel, AC35,
    _xlpm.invIDs, IF(B35=1,Inventario1!A:A,IF(B35=2,Inventario2!A:A,IF(B35=3,Inventario3!A:A,IF(B35=4,Inventario4!A:A,IF(B35=5,Inventario5!A:A,Inventario6!A:A))))),
    _xlpm.invCalidad, IF(B35=1,Inventario1!B:B,IF(B35=2,Inventario2!B:B,IF(B35=3,Inventario3!B:B,IF(B35=4,Inventario4!B:B,IF(B35=5,Inventario5!B:B,Inventario6!B:B))))),
    _xlpm.invTipos, IF(B35=1,Inventario1!C:C,IF(B35=2,Inventario2!C:C,IF(B35=3,Inventario3!C:C,IF(B35=4,Inventario4!C:C,IF(B35=5,Inventario5!C:C,Inventario6!C:C))))),
    _xlpm.invStats, IF(B35=1,Inventario1!D:H,IF(B35=2,Inventario2!D:H,IF(B35=3,Inventario3!D:H,IF(B35=4,Inventario4!D:H,IF(B35=5,Inventario5!D:H,Inventario6!D:H))))),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IF(ROW(A35)=2,"",IF(_xlfn._xlws.FILTER(Equipar!AC$2:AC34,Equipar!B$2:B34=B35)={0},"",_xlfn._xlws.FILTER(Equipar!AC$2:AC34,Equipar!B$2:B34=B35))),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H35" s="4" cm="1">
        <f t="array" aca="1" ref="H35" ca="1">_xlfn.LET(
    _xlpm.jugador, A35,
    _xlpm.idSel, AC35,
    _xlpm.invIDs, IF(B35=1,Inventario1!A:A,IF(B35=2,Inventario2!A:A,IF(B35=3,Inventario3!A:A,IF(B35=4,Inventario4!A:A,IF(B35=5,Inventario5!A:A,Inventario6!A:A))))),
    _xlpm.invCalidad, IF(B35=1,Inventario1!B:B,IF(B35=2,Inventario2!B:B,IF(B35=3,Inventario3!B:B,IF(B35=4,Inventario4!B:B,IF(B35=5,Inventario5!B:B,Inventario6!B:B))))),
    _xlpm.invTipos, IF(B35=1,Inventario1!C:C,IF(B35=2,Inventario2!C:C,IF(B35=3,Inventario3!C:C,IF(B35=4,Inventario4!C:C,IF(B35=5,Inventario5!C:C,Inventario6!C:C))))),
    _xlpm.invStats, IF(B35=1,Inventario1!D:H,IF(B35=2,Inventario2!D:H,IF(B35=3,Inventario3!D:H,IF(B35=4,Inventario4!D:H,IF(B35=5,Inventario5!D:H,Inventario6!D:H))))),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IF(ROW(A35)=2,"",IF(_xlfn._xlws.FILTER(Equipar!AC$2:AC34,Equipar!B$2:B34=B35)={0},"",_xlfn._xlws.FILTER(Equipar!AC$2:AC34,Equipar!B$2:B34=B35))),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59.85</v>
      </c>
      <c r="I35" s="4" cm="1">
        <f t="array" ref="I35">_xlfn.LET(
    _xlpm.jugador, A35,
    _xlpm.idSel, AC35,
    _xlpm.invIDs, IF(B35=1,Inventario1!A:A,IF(B35=2,Inventario2!A:A,IF(B35=3,Inventario3!A:A,IF(B35=4,Inventario4!A:A,IF(B35=5,Inventario5!A:A,Inventario6!A:A))))),
    _xlpm.invCalidad, IF(B35=1,Inventario1!B:B,IF(B35=2,Inventario2!B:B,IF(B35=3,Inventario3!B:B,IF(B35=4,Inventario4!B:B,IF(B35=5,Inventario5!B:B,Inventario6!B:B))))),
    _xlpm.invTipos, IF(B35=1,Inventario1!C:C,IF(B35=2,Inventario2!C:C,IF(B35=3,Inventario3!C:C,IF(B35=4,Inventario4!C:C,IF(B35=5,Inventario5!C:C,Inventario6!C:C))))),
    _xlpm.invStats, IF(B35=1,Inventario1!D:H,IF(B35=2,Inventario2!D:H,IF(B35=3,Inventario3!D:H,IF(B35=4,Inventario4!D:H,IF(B35=5,Inventario5!D:H,Inventario6!D:H))))),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IF(ROW(A35)=2,"",IF(_xlfn._xlws.FILTER(Equipar!AC$2:AC34,Equipar!B$2:B34=B35)={0},"",_xlfn._xlws.FILTER(Equipar!AC$2:AC34,Equipar!B$2:B34=B35))),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J35" s="4" cm="1">
        <f t="array" aca="1" ref="J35" ca="1">_xlfn.LET(
    _xlpm.jugador, B35,
    _xlpm.idSel, AD35,
    _xlpm.invIDs, IF(C35=1,Inventario1!B:B,IF(C35=2,Inventario2!B:B,IF(C35=3,Inventario3!B:B,IF(C35=4,Inventario4!B:B,IF(C35=5,Inventario5!B:B,Inventario6!B:B))))),
    _xlpm.invCalidad, IF(C35=1,Inventario1!C:C,IF(C35=2,Inventario2!C:C,IF(C35=3,Inventario3!C:C,IF(C35=4,Inventario4!C:C,IF(C35=5,Inventario5!C:C,Inventario6!C:C))))),
    _xlpm.invTipos, IF(C35=1,Inventario1!D:D,IF(C35=2,Inventario2!D:D,IF(C35=3,Inventario3!D:D,IF(C35=4,Inventario4!D:D,IF(C35=5,Inventario5!D:D,Inventario6!D:D))))),
    _xlpm.invStats, IF(C35=1,Inventario1!E:I,IF(C35=2,Inventario2!E:I,IF(C35=3,Inventario3!E:I,IF(C35=4,Inventario4!E:I,IF(C35=5,Inventario5!E:I,Inventario6!E:I))))),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IF(ROW(B35)=2,"",IF(_xlfn._xlws.FILTER(Equipar!AD$2:AD34,Equipar!C$2:C34=C35)={0},"",_xlfn._xlws.FILTER(Equipar!AD$2:AD34,Equipar!C$2:C34=C35))),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35" s="4">
        <f t="shared" ca="1" si="0"/>
        <v>12.149999999999999</v>
      </c>
      <c r="L35" s="4">
        <f t="shared" ca="1" si="1"/>
        <v>-11.790000000000006</v>
      </c>
      <c r="M35" s="4">
        <f t="shared" ca="1" si="1"/>
        <v>59.85</v>
      </c>
      <c r="N35" s="4">
        <f t="shared" ca="1" si="2"/>
        <v>-23.940000000000005</v>
      </c>
      <c r="O35" s="4">
        <f t="shared" ca="1" si="2"/>
        <v>83.79</v>
      </c>
      <c r="P35" s="14" cm="1">
        <f t="array" aca="1" ref="P35" ca="1">_xlfn.LET(
    _xlpm.ptsPrinBase, _xlfn._xlws.FILTER(G:G, A:A=A35),
    _xlpm.ptsSecBase,  _xlfn._xlws.FILTER(H:H, A:A=A35),
    _xlpm.puntosPrin, _xlpm.ptsPrinBase + _xlfn._xlws.FILTER(B:B, A:A=A35)/1000,
    _xlpm.puntosSec,  _xlpm.ptsSecBase  + _xlfn._xlws.FILTER(B:B, A:A=A35)/1000,
    _xlpm.puntosPrinValidos, SUM(--(_xlpm.ptsPrinBase&gt;0)),
    _xlpm.puntosSecValidos,  SUM(--(_xlpm.ptsSecBase&gt;0)),
    _xlpm.clave, K35 + B35/1000,
    _xlpm.claves, _xlfn._xlws.FILTER(K:K + B:B/1000, A:A=A35),
    IF(AND(_xlpm.puntosPrinValidos&gt;=4,_xlpm.puntosSecValidos&gt;=2),IF(
        SUM(--(_xlpm.claves &gt; _xlpm.clave)) &lt; 4,
        C35,
        D35
    ),"No disp")
)</f>
        <v>271</v>
      </c>
      <c r="Q35" s="14" cm="1">
        <f t="array" aca="1" ref="Q35" ca="1">_xlfn.LET(
    _xlpm.puntosPrin, _xlfn._xlws.FILTER(G:G + B:B/1000, A:A=A35),
    _xlpm.puntosPrinValidos, SUM(--(_xlpm.puntosPrin&gt;1)),
    _xlpm.puntosTer, _xlfn._xlws.FILTER(I:I + B:B/1000, A:A=A35),
    _xlpm.puntosTerValidos, SUM(--(_xlpm.puntosTer&gt;1)),
    _xlpm.clave, L35 + B35/1000,
    _xlpm.claves, _xlfn._xlws.FILTER(L:L + B:B/1000, A:A=A35),
    IF(AND(_xlpm.puntosPrinValidos&gt;=4,_xlpm.puntosTerValidos&gt;=2),IF(
        SUM(--(_xlpm.claves &gt; _xlpm.clave)) &lt; 4,
        C35,
        E35
    ),"No disp")
)</f>
        <v>215</v>
      </c>
      <c r="R35" s="14" t="str" cm="1">
        <f t="array" aca="1" ref="R35" ca="1">_xlfn.LET(
    _xlpm.puntosPrin, _xlfn._xlws.FILTER(G:G + B:B/1000, A:A=A35),
    _xlpm.puntosPrinValidos, SUM(--(_xlpm.puntosPrin&gt;1)),
    _xlpm.puntosTer, _xlfn._xlws.FILTER(J:J + B:B/1000, A:A=A35),
    _xlpm.puntosTerValidos, SUM(--(_xlpm.puntosTer&gt;1)),
    _xlpm.clave, M35 + B35/1000,
    _xlpm.claves, _xlfn._xlws.FILTER(M:M + B:B/1000, A:A=A35),
    IF(AND(_xlpm.puntosPrinValidos&gt;=4,_xlpm.puntosTerValidos&gt;=2),IF(
        SUM(--(_xlpm.claves &gt; _xlpm.clave)) &lt; 4,
        C35,
        F35
    ),"No disp")
)</f>
        <v>No disp</v>
      </c>
      <c r="S35" s="14" cm="1">
        <f t="array" aca="1" ref="S35" ca="1">_xlfn.LET(
    _xlpm.ptsPrinBase, _xlfn._xlws.FILTER(G:G, A:A=A35),
    _xlpm.ptsSecBase,  _xlfn._xlws.FILTER(H:H, A:A=A35),
    _xlpm.puntosPrin, _xlpm.ptsPrinBase + _xlfn._xlws.FILTER(B:B, A:A=A35)/1000,
    _xlpm.puntosSec,  _xlpm.ptsSecBase  + _xlfn._xlws.FILTER(B:B, A:A=A35)/1000,
    _xlpm.puntosPrinValidos, SUM(--(_xlpm.ptsPrinBase&gt;0)),
    _xlpm.puntosSecValidos,  SUM(--(_xlpm.ptsSecBase&gt;0)),
    _xlpm.clave, K35 + B35/1000,
    _xlpm.claves, _xlfn._xlws.FILTER(K:K + B:B/1000, A:A=A35),
    IF(
        AND(_xlpm.puntosPrinValidos&gt;=2, _xlpm.puntosSecValidos&gt;=4),
        IF(
            SUM(--(_xlpm.claves &lt; _xlpm.clave)) &lt; 4,
            D35,
            C35
        ),
        "No disp"
    )
)</f>
        <v>134</v>
      </c>
      <c r="T35" s="14" cm="1">
        <f t="array" aca="1" ref="T35" ca="1">_xlfn.LET(
    _xlpm.puntosSec, _xlfn._xlws.FILTER(H:H + B:B/1000, A:A=A35),
    _xlpm.puntosSecValidos, SUM(--(_xlpm.puntosSec&gt;1)),
    _xlpm.puntosAlt, _xlfn._xlws.FILTER(I:I + B:B/1000, A:A=A35),
    _xlpm.puntosAltValidos, SUM(--(_xlpm.puntosAlt&gt;1)),
    _xlpm.clave, N35 + B35/1000,
    _xlpm.claves, _xlfn._xlws.FILTER(N:N + B:B/1000, A:A=A35),
    IF(AND(_xlpm.puntosSecValidos&gt;=4,_xlpm.puntosAltValidos&gt;=2),IF(
        SUM(--(_xlpm.claves &gt; _xlpm.clave)) &lt; 4,
        D35,
        E35
    ),"No disp")
)</f>
        <v>215</v>
      </c>
      <c r="U35" s="14" t="str" cm="1">
        <f t="array" aca="1" ref="U35" ca="1">_xlfn.LET(
    _xlpm.puntosSec, _xlfn._xlws.FILTER(H:H + B:B/1000, A:A=A35),
    _xlpm.puntosSecValidos, SUM(--(_xlpm.puntosSec&gt;1)),
    _xlpm.puntosAlt, _xlfn._xlws.FILTER(J:J + B:B/1000, A:A=A35),
    _xlpm.puntosAltValidos, SUM(--(_xlpm.puntosAlt&gt;1)),
    _xlpm.clave, O35 + B35/1000,
    _xlpm.claves, _xlfn._xlws.FILTER(O:O + B:B/1000, A:A=A35),
    IF(AND(_xlpm.puntosSecValidos&gt;=4,_xlpm.puntosAltValidos&gt;=2),IF(
        SUM(--(_xlpm.claves &gt; _xlpm.clave)) &lt; 4,
        D35,
        F35
    ),"No disp")
)</f>
        <v>No disp</v>
      </c>
      <c r="V35" s="4" cm="1">
        <f t="array" aca="1" ref="V35" ca="1">_xlfn.LET(
_xlpm.PrinIDs,_xlfn._xlws.FILTER(C:C,(A:A=A35)),
_xlpm.SecIDs,_xlfn._xlws.FILTER(D:D,(A:A=A35)),
_xlpm.TerIDs,_xlfn._xlws.FILTER(E:E,A:A=A35),
_xlpm.CuaIDs,_xlfn._xlws.FILTER(F:F,(A:A=A35)),
_xlpm.PrinPts,_xlfn._xlws.FILTER(G:G,(A:A=A35)),
_xlpm.SecPts,_xlfn._xlws.FILTER(H:H,(A:A=A35)),
_xlpm.TerPts,_xlfn._xlws.FILTER(I:I,(A:A=A35)),
_xlpm.CuaPts,_xlfn._xlws.FILTER(J:J,(A:A=A35)),
_xlpm.PSIds,_xlfn._xlws.FILTER(P:P,A:A=A35),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548.01</v>
      </c>
      <c r="W35" s="4" cm="1">
        <f t="array" aca="1" ref="W35" ca="1">_xlfn.LET(
_xlpm.PrinIDs,_xlfn._xlws.FILTER(C:C,(A:A=A35)),
_xlpm.SecIDs,_xlfn._xlws.FILTER(D:D,(A:A=A35)),
_xlpm.TerIDs,_xlfn._xlws.FILTER(E:E,A:A=A35),
_xlpm.CuaIDs,_xlfn._xlws.FILTER(F:F,(A:A=A35)),
_xlpm.PrinPts,_xlfn._xlws.FILTER(G:G,(A:A=A35)),
_xlpm.SecPts,_xlfn._xlws.FILTER(H:H,(A:A=A35)),
_xlpm.TerPts,_xlfn._xlws.FILTER(I:I,(A:A=A35)),
_xlpm.CuaPts,_xlfn._xlws.FILTER(J:J,(A:A=A35)),
_xlpm.PTIds,_xlfn._xlws.FILTER(Q:Q,A:A=A35),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547.83000000000004</v>
      </c>
      <c r="X35" s="4" cm="1">
        <f t="array" aca="1" ref="X35" ca="1">_xlfn.LET(
_xlpm.PrinIDs,_xlfn._xlws.FILTER(C:C,(A:A=A35)),
_xlpm.SecIDs,_xlfn._xlws.FILTER(D:D,(A:A=A35)),
_xlpm.TerIDs,_xlfn._xlws.FILTER(E:E,A:A=A35),
_xlpm.CuaIDs,_xlfn._xlws.FILTER(F:F,(A:A=A35)),
_xlpm.PrinPts,_xlfn._xlws.FILTER(G:G,(A:A=A35)),
_xlpm.SecPts,_xlfn._xlws.FILTER(H:H,(A:A=A35)),
_xlpm.TerPts,_xlfn._xlws.FILTER(I:I,(A:A=A35)),
_xlpm.CuaPts,_xlfn._xlws.FILTER(J:J,(A:A=A35)),
_xlpm.PCIds,_xlfn._xlws.FILTER(R:R,A:A=A35),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35" s="4" cm="1">
        <f t="array" aca="1" ref="Y35" ca="1">_xlfn.LET(
_xlpm.PrinIDs,_xlfn._xlws.FILTER(C:C,(A:A=A35)),
_xlpm.SecIDs,_xlfn._xlws.FILTER(D:D,(A:A=A35)),
_xlpm.AltIDs,_xlfn._xlws.FILTER(E:E,A:A=A35),
_xlpm.PrinPts,_xlfn._xlws.FILTER(G:G,(A:A=A35)),
_xlpm.SecPts,_xlfn._xlws.FILTER(H:H,(A:A=A35)),
_xlpm.AltPts,_xlfn._xlws.FILTER(I:I,(A:A=A35)),
_xlpm.SPIds,_xlfn._xlws.FILTER(S:S,A:A=A35),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526.86</v>
      </c>
      <c r="Z35" s="4" cm="1">
        <f t="array" aca="1" ref="Z35" ca="1">_xlfn.LET(
_xlpm.PrinIDs,_xlfn._xlws.FILTER(C:C,(A:A=A35)),
_xlpm.SecIDs,_xlfn._xlws.FILTER(D:D,(A:A=A35)),
_xlpm.TerIDs,_xlfn._xlws.FILTER(E:E,A:A=A35),
_xlpm.CuaIDs,_xlfn._xlws.FILTER(F:F,(A:A=A35)),
_xlpm.PrinPts,_xlfn._xlws.FILTER(G:G,(A:A=A35)),
_xlpm.SecPts,_xlfn._xlws.FILTER(H:H,(A:A=A35)),
_xlpm.TerPts,_xlfn._xlws.FILTER(I:I,(A:A=A35)),
_xlpm.CuaPts,_xlfn._xlws.FILTER(J:J,(A:A=A35)),
_xlpm.STIds,_xlfn._xlws.FILTER(T:T,A:A=A35),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526.86</v>
      </c>
      <c r="AA35" s="4" cm="1">
        <f t="array" aca="1" ref="AA35" ca="1">_xlfn.LET(
_xlpm.PrinIDs,_xlfn._xlws.FILTER(C:C,(A:A=A35)),
_xlpm.SecIDs,_xlfn._xlws.FILTER(D:D,(A:A=A35)),
_xlpm.TerIDs,_xlfn._xlws.FILTER(E:E,A:A=A35),
_xlpm.CuaIDs,_xlfn._xlws.FILTER(F:F,(A:A=A35)),
_xlpm.PrinPts,_xlfn._xlws.FILTER(G:G,(A:A=A35)),
_xlpm.SecPts,_xlfn._xlws.FILTER(H:H,(A:A=A35)),
_xlpm.TerPts,_xlfn._xlws.FILTER(I:I,(A:A=A35)),
_xlpm.CuaPts,_xlfn._xlws.FILTER(J:J,(A:A=A35)),
_xlpm.SCIds,_xlfn._xlws.FILTER(U:U,A:A=A35),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35" s="14">
        <f t="shared" ca="1" si="3"/>
        <v>271</v>
      </c>
      <c r="AC35" s="14">
        <v>271</v>
      </c>
      <c r="AD35" s="4"/>
      <c r="AE35" s="14" t="str">
        <f ca="1">IF(ISNUMBER(AC35),
IF($B35=1,VLOOKUP($AC35,Inventario1!$A:$H,2),
IF($B35=2,VLOOKUP($AC35,Inventario2!$A:$H,2),
IF($B35=3,VLOOKUP($AC35,Inventario3!$A:$H,2),
IF($B35=4,VLOOKUP($AC35,Inventario4!$A:$H,2),
IF($B35=5,VLOOKUP($AC35,Inventario5!$A:$H,2),
VLOOKUP($AC35,Inventario6!$A:$H,2)
))))),"No equipado")</f>
        <v>Épico</v>
      </c>
      <c r="AF35" s="14" t="str">
        <f ca="1">IF(ISNUMBER(AC35),
IF($B35=1,VLOOKUP($AC35,Inventario1!$A:$H,3),
IF($B35=2,VLOOKUP($AC35,Inventario2!$A:$H,3),
IF($B35=3,VLOOKUP($AC35,Inventario3!$A:$H,3),
IF($B35=4,VLOOKUP($AC35,Inventario4!$A:$H,3),
IF($B35=5,VLOOKUP($AC35,Inventario5!$A:$H,3),
VLOOKUP($AC35,Inventario6!$A:$H,3)
))))),"")</f>
        <v>Guardia contundente</v>
      </c>
      <c r="AG35" s="14" t="str">
        <f ca="1">IF(ISNUMBER(AC35),
IF($B35=1,VLOOKUP($AC35,Inventario1!$A:$H,4),
IF($B35=2,VLOOKUP($AC35,Inventario2!$A:$H,4),
IF($B35=3,VLOOKUP($AC35,Inventario3!$A:$H,4),
IF($B35=4,VLOOKUP($AC35,Inventario4!$A:$H,4),
IF($B35=5,VLOOKUP($AC35,Inventario5!$A:$H,4),
VLOOKUP($AC35,Inventario6!$A:$H,4)
))))),"")</f>
        <v>Recepción</v>
      </c>
      <c r="AH35" s="14" t="str">
        <f ca="1">IF(ISNUMBER(AC35),
IF($B35=1,VLOOKUP($AC35,Inventario1!$A:$H,5),
IF($B35=2,VLOOKUP($AC35,Inventario2!$A:$H,5),
IF($B35=3,VLOOKUP($AC35,Inventario3!$A:$H,5),
IF($B35=4,VLOOKUP($AC35,Inventario4!$A:$H,5),
IF($B35=5,VLOOKUP($AC35,Inventario5!$A:$H,5),
VLOOKUP($AC35,Inventario6!$A:$H,5)
))))),"")</f>
        <v>Recuperación</v>
      </c>
      <c r="AI35" s="14" t="str">
        <f ca="1">IF(ISNUMBER(AC35),
IF($B35=1,VLOOKUP($AC35,Inventario1!$A:$H,6),
IF($B35=2,VLOOKUP($AC35,Inventario2!$A:$H,6),
IF($B35=3,VLOOKUP($AC35,Inventario3!$A:$H,6),
IF($B35=4,VLOOKUP($AC35,Inventario4!$A:$H,6),
IF($B35=5,VLOOKUP($AC35,Inventario5!$A:$H,6),
VLOOKUP($AC35,Inventario6!$A:$H,6)
))))),"")</f>
        <v>Bloqueo</v>
      </c>
      <c r="AJ35" s="14" t="str">
        <f ca="1">IF(ISNUMBER(AC35),
IF($B35=1,VLOOKUP($AC35,Inventario1!$A:$H,7),
IF($B35=2,VLOOKUP($AC35,Inventario2!$A:$H,7),
IF($B35=3,VLOOKUP($AC35,Inventario3!$A:$H,7),
IF($B35=4,VLOOKUP($AC35,Inventario4!$A:$H,7),
IF($B35=5,VLOOKUP($AC35,Inventario5!$A:$H,7),
VLOOKUP($AC35,Inventario6!$A:$H,7)
))))),"")</f>
        <v>Recepción</v>
      </c>
      <c r="AK35" s="15">
        <f ca="1">IF(ISNUMBER(AC35),
IF($B35=1,VLOOKUP($AC35,Inventario1!$A:$H,8),
IF($B35=2,VLOOKUP($AC35,Inventario2!$A:$H,8),
IF($B35=3,VLOOKUP($AC35,Inventario3!$A:$H,8),
IF($B35=4,VLOOKUP($AC35,Inventario4!$A:$H,8),
IF($B35=5,VLOOKUP($AC35,Inventario5!$A:$H,8),
VLOOKUP($AC35,Inventario6!$A:$H,8)
))))),"")</f>
        <v>0</v>
      </c>
    </row>
    <row r="36" spans="1:37" x14ac:dyDescent="0.25">
      <c r="A36" s="21" t="s">
        <v>26</v>
      </c>
      <c r="B36" s="4">
        <v>5</v>
      </c>
      <c r="C36" s="14" cm="1">
        <f t="array" aca="1" ref="C36" ca="1">_xlfn.LET(
    _xlpm.jugador, A36,
    _xlpm.idSel, AC36,
    _xlpm.invIDs, IF(B36=1,Inventario1!A:A,IF(B36=2,Inventario2!A:A,IF(B36=3,Inventario3!A:A,IF(B36=4,Inventario4!A:A,IF(B36=5,Inventario5!A:A,Inventario6!A:A))))),
    _xlpm.invCalidad, IF(B36=1,Inventario1!B:B,IF(B36=2,Inventario2!B:B,IF(B36=3,Inventario3!B:B,IF(B36=4,Inventario4!B:B,IF(B36=5,Inventario5!B:B,Inventario6!B:B))))),
    _xlpm.invTipos, IF(B36=1,Inventario1!C:C,IF(B36=2,Inventario2!C:C,IF(B36=3,Inventario3!C:C,IF(B36=4,Inventario4!C:C,IF(B36=5,Inventario5!C:C,Inventario6!C:C))))),
    _xlpm.invStats, IF(B36=1,Inventario1!D:H,IF(B36=2,Inventario2!D:H,IF(B36=3,Inventario3!D:H,IF(B36=4,Inventario4!D:H,IF(B36=5,Inventario5!D:H,Inventario6!D:H))))),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IF(ROW(A36)=2,"",IF(_xlfn._xlws.FILTER(Equipar!AC$2:AC35,Equipar!B$2:B35=B36)={0},"",_xlfn._xlws.FILTER(Equipar!AC$2:AC35,Equipar!B$2:B35=B36))),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257</v>
      </c>
      <c r="D36" s="4" cm="1">
        <f t="array" aca="1" ref="D36" ca="1">_xlfn.LET(
    _xlpm.jugador, A36,
    _xlpm.idSel, AC36,
    _xlpm.invIDs, IF(B36=1,Inventario1!A:A,IF(B36=2,Inventario2!A:A,IF(B36=3,Inventario3!A:A,IF(B36=4,Inventario4!A:A,IF(B36=5,Inventario5!A:A,Inventario6!A:A))))),
    _xlpm.invCalidad, IF(B36=1,Inventario1!B:B,IF(B36=2,Inventario2!B:B,IF(B36=3,Inventario3!B:B,IF(B36=4,Inventario4!B:B,IF(B36=5,Inventario5!B:B,Inventario6!B:B))))),
    _xlpm.invTipos, IF(B36=1,Inventario1!C:C,IF(B36=2,Inventario2!C:C,IF(B36=3,Inventario3!C:C,IF(B36=4,Inventario4!C:C,IF(B36=5,Inventario5!C:C,Inventario6!C:C))))),
    _xlpm.invStats, IF(B36=1,Inventario1!D:H,IF(B36=2,Inventario2!D:H,IF(B36=3,Inventario3!D:H,IF(B36=4,Inventario4!D:H,IF(B36=5,Inventario5!D:H,Inventario6!D:H))))),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IF(ROW(A36)=2,"",IF(_xlfn._xlws.FILTER(Equipar!AC$2:AC35,Equipar!B$2:B35=B36)={0},"",_xlfn._xlws.FILTER(Equipar!AC$2:AC35,Equipar!B$2:B35=B36))),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242</v>
      </c>
      <c r="E36" s="4" cm="1">
        <f t="array" ref="E36">_xlfn.LET(
    _xlpm.jugador, A36,
    _xlpm.idSel, AC36,
    _xlpm.invIDs, IF(B36=1,Inventario1!A:A,IF(B36=2,Inventario2!A:A,IF(B36=3,Inventario3!A:A,IF(B36=4,Inventario4!A:A,IF(B36=5,Inventario5!A:A,Inventario6!A:A))))),
    _xlpm.invCalidad, IF(B36=1,Inventario1!B:B,IF(B36=2,Inventario2!B:B,IF(B36=3,Inventario3!B:B,IF(B36=4,Inventario4!B:B,IF(B36=5,Inventario5!B:B,Inventario6!B:B))))),
    _xlpm.invTipos, IF(B36=1,Inventario1!C:C,IF(B36=2,Inventario2!C:C,IF(B36=3,Inventario3!C:C,IF(B36=4,Inventario4!C:C,IF(B36=5,Inventario5!C:C,Inventario6!C:C))))),
    _xlpm.invStats, IF(B36=1,Inventario1!D:H,IF(B36=2,Inventario2!D:H,IF(B36=3,Inventario3!D:H,IF(B36=4,Inventario4!D:H,IF(B36=5,Inventario5!D:H,Inventario6!D:H))))),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IF(ROW(A36)=2,"",IF(_xlfn._xlws.FILTER(Equipar!AC$2:AC35,Equipar!B$2:B35=B36)={0},"",_xlfn._xlws.FILTER(Equipar!AC$2:AC35,Equipar!B$2:B35=B36))),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251</v>
      </c>
      <c r="F36" s="4" t="str" cm="1">
        <f t="array" aca="1" ref="F36" ca="1">_xlfn.LET(
    _xlpm.jugador, B36,
    _xlpm.idSel, AD36,
    _xlpm.invIDs, IF(C36=1,Inventario1!B:B,IF(C36=2,Inventario2!B:B,IF(C36=3,Inventario3!B:B,IF(C36=4,Inventario4!B:B,IF(C36=5,Inventario5!B:B,Inventario6!B:B))))),
    _xlpm.invCalidad, IF(C36=1,Inventario1!C:C,IF(C36=2,Inventario2!C:C,IF(C36=3,Inventario3!C:C,IF(C36=4,Inventario4!C:C,IF(C36=5,Inventario5!C:C,Inventario6!C:C))))),
    _xlpm.invTipos, IF(C36=1,Inventario1!D:D,IF(C36=2,Inventario2!D:D,IF(C36=3,Inventario3!D:D,IF(C36=4,Inventario4!D:D,IF(C36=5,Inventario5!D:D,Inventario6!D:D))))),
    _xlpm.invStats, IF(C36=1,Inventario1!E:I,IF(C36=2,Inventario2!E:I,IF(C36=3,Inventario3!E:I,IF(C36=4,Inventario4!E:I,IF(C36=5,Inventario5!E:I,Inventario6!E:I))))),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IF(ROW(B36)=2,"",IF(_xlfn._xlws.FILTER(Equipar!AD$2:AD35,Equipar!C$2:C35=C36)={0},"",_xlfn._xlws.FILTER(Equipar!AD$2:AD35,Equipar!C$2:C35=C36))),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36" s="14" cm="1">
        <f t="array" aca="1" ref="G36" ca="1">_xlfn.LET(
    _xlpm.jugador, A36,
    _xlpm.idSel, AC36,
    _xlpm.invIDs, IF(B36=1,Inventario1!A:A,IF(B36=2,Inventario2!A:A,IF(B36=3,Inventario3!A:A,IF(B36=4,Inventario4!A:A,IF(B36=5,Inventario5!A:A,Inventario6!A:A))))),
    _xlpm.invCalidad, IF(B36=1,Inventario1!B:B,IF(B36=2,Inventario2!B:B,IF(B36=3,Inventario3!B:B,IF(B36=4,Inventario4!B:B,IF(B36=5,Inventario5!B:B,Inventario6!B:B))))),
    _xlpm.invTipos, IF(B36=1,Inventario1!C:C,IF(B36=2,Inventario2!C:C,IF(B36=3,Inventario3!C:C,IF(B36=4,Inventario4!C:C,IF(B36=5,Inventario5!C:C,Inventario6!C:C))))),
    _xlpm.invStats, IF(B36=1,Inventario1!D:H,IF(B36=2,Inventario2!D:H,IF(B36=3,Inventario3!D:H,IF(B36=4,Inventario4!D:H,IF(B36=5,Inventario5!D:H,Inventario6!D:H))))),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IF(ROW(A36)=2,"",IF(_xlfn._xlws.FILTER(Equipar!AC$2:AC35,Equipar!B$2:B35=B36)={0},"",_xlfn._xlws.FILTER(Equipar!AC$2:AC35,Equipar!B$2:B35=B36))),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H36" s="4" cm="1">
        <f t="array" aca="1" ref="H36" ca="1">_xlfn.LET(
    _xlpm.jugador, A36,
    _xlpm.idSel, AC36,
    _xlpm.invIDs, IF(B36=1,Inventario1!A:A,IF(B36=2,Inventario2!A:A,IF(B36=3,Inventario3!A:A,IF(B36=4,Inventario4!A:A,IF(B36=5,Inventario5!A:A,Inventario6!A:A))))),
    _xlpm.invCalidad, IF(B36=1,Inventario1!B:B,IF(B36=2,Inventario2!B:B,IF(B36=3,Inventario3!B:B,IF(B36=4,Inventario4!B:B,IF(B36=5,Inventario5!B:B,Inventario6!B:B))))),
    _xlpm.invTipos, IF(B36=1,Inventario1!C:C,IF(B36=2,Inventario2!C:C,IF(B36=3,Inventario3!C:C,IF(B36=4,Inventario4!C:C,IF(B36=5,Inventario5!C:C,Inventario6!C:C))))),
    _xlpm.invStats, IF(B36=1,Inventario1!D:H,IF(B36=2,Inventario2!D:H,IF(B36=3,Inventario3!D:H,IF(B36=4,Inventario4!D:H,IF(B36=5,Inventario5!D:H,Inventario6!D:H))))),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IF(ROW(A36)=2,"",IF(_xlfn._xlws.FILTER(Equipar!AC$2:AC35,Equipar!B$2:B35=B36)={0},"",_xlfn._xlws.FILTER(Equipar!AC$2:AC35,Equipar!B$2:B35=B36))),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I36" s="4" cm="1">
        <f t="array" ref="I36">_xlfn.LET(
    _xlpm.jugador, A36,
    _xlpm.idSel, AC36,
    _xlpm.invIDs, IF(B36=1,Inventario1!A:A,IF(B36=2,Inventario2!A:A,IF(B36=3,Inventario3!A:A,IF(B36=4,Inventario4!A:A,IF(B36=5,Inventario5!A:A,Inventario6!A:A))))),
    _xlpm.invCalidad, IF(B36=1,Inventario1!B:B,IF(B36=2,Inventario2!B:B,IF(B36=3,Inventario3!B:B,IF(B36=4,Inventario4!B:B,IF(B36=5,Inventario5!B:B,Inventario6!B:B))))),
    _xlpm.invTipos, IF(B36=1,Inventario1!C:C,IF(B36=2,Inventario2!C:C,IF(B36=3,Inventario3!C:C,IF(B36=4,Inventario4!C:C,IF(B36=5,Inventario5!C:C,Inventario6!C:C))))),
    _xlpm.invStats, IF(B36=1,Inventario1!D:H,IF(B36=2,Inventario2!D:H,IF(B36=3,Inventario3!D:H,IF(B36=4,Inventario4!D:H,IF(B36=5,Inventario5!D:H,Inventario6!D:H))))),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IF(ROW(A36)=2,"",IF(_xlfn._xlws.FILTER(Equipar!AC$2:AC35,Equipar!B$2:B35=B36)={0},"",_xlfn._xlws.FILTER(Equipar!AC$2:AC35,Equipar!B$2:B35=B36))),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J36" s="4" cm="1">
        <f t="array" aca="1" ref="J36" ca="1">_xlfn.LET(
    _xlpm.jugador, B36,
    _xlpm.idSel, AD36,
    _xlpm.invIDs, IF(C36=1,Inventario1!B:B,IF(C36=2,Inventario2!B:B,IF(C36=3,Inventario3!B:B,IF(C36=4,Inventario4!B:B,IF(C36=5,Inventario5!B:B,Inventario6!B:B))))),
    _xlpm.invCalidad, IF(C36=1,Inventario1!C:C,IF(C36=2,Inventario2!C:C,IF(C36=3,Inventario3!C:C,IF(C36=4,Inventario4!C:C,IF(C36=5,Inventario5!C:C,Inventario6!C:C))))),
    _xlpm.invTipos, IF(C36=1,Inventario1!D:D,IF(C36=2,Inventario2!D:D,IF(C36=3,Inventario3!D:D,IF(C36=4,Inventario4!D:D,IF(C36=5,Inventario5!D:D,Inventario6!D:D))))),
    _xlpm.invStats, IF(C36=1,Inventario1!E:I,IF(C36=2,Inventario2!E:I,IF(C36=3,Inventario3!E:I,IF(C36=4,Inventario4!E:I,IF(C36=5,Inventario5!E:I,Inventario6!E:I))))),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IF(ROW(B36)=2,"",IF(_xlfn._xlws.FILTER(Equipar!AD$2:AD35,Equipar!C$2:C35=C36)={0},"",_xlfn._xlws.FILTER(Equipar!AD$2:AD35,Equipar!C$2:C35=C36))),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36" s="4">
        <f t="shared" ca="1" si="0"/>
        <v>-11.969999999999999</v>
      </c>
      <c r="L36" s="4">
        <f t="shared" ca="1" si="1"/>
        <v>11.969999999999999</v>
      </c>
      <c r="M36" s="4">
        <f t="shared" ca="1" si="1"/>
        <v>107.73</v>
      </c>
      <c r="N36" s="4">
        <f t="shared" ca="1" si="2"/>
        <v>23.939999999999998</v>
      </c>
      <c r="O36" s="4">
        <f t="shared" ca="1" si="2"/>
        <v>83.79</v>
      </c>
      <c r="P36" s="14" cm="1">
        <f t="array" aca="1" ref="P36" ca="1">_xlfn.LET(
    _xlpm.ptsPrinBase, _xlfn._xlws.FILTER(G:G, A:A=A36),
    _xlpm.ptsSecBase,  _xlfn._xlws.FILTER(H:H, A:A=A36),
    _xlpm.puntosPrin, _xlpm.ptsPrinBase + _xlfn._xlws.FILTER(B:B, A:A=A36)/1000,
    _xlpm.puntosSec,  _xlpm.ptsSecBase  + _xlfn._xlws.FILTER(B:B, A:A=A36)/1000,
    _xlpm.puntosPrinValidos, SUM(--(_xlpm.ptsPrinBase&gt;0)),
    _xlpm.puntosSecValidos,  SUM(--(_xlpm.ptsSecBase&gt;0)),
    _xlpm.clave, K36 + B36/1000,
    _xlpm.claves, _xlfn._xlws.FILTER(K:K + B:B/1000, A:A=A36),
    IF(AND(_xlpm.puntosPrinValidos&gt;=4,_xlpm.puntosSecValidos&gt;=2),IF(
        SUM(--(_xlpm.claves &gt; _xlpm.clave)) &lt; 4,
        C36,
        D36
    ),"No disp")
)</f>
        <v>242</v>
      </c>
      <c r="Q36" s="14" cm="1">
        <f t="array" aca="1" ref="Q36" ca="1">_xlfn.LET(
    _xlpm.puntosPrin, _xlfn._xlws.FILTER(G:G + B:B/1000, A:A=A36),
    _xlpm.puntosPrinValidos, SUM(--(_xlpm.puntosPrin&gt;1)),
    _xlpm.puntosTer, _xlfn._xlws.FILTER(I:I + B:B/1000, A:A=A36),
    _xlpm.puntosTerValidos, SUM(--(_xlpm.puntosTer&gt;1)),
    _xlpm.clave, L36 + B36/1000,
    _xlpm.claves, _xlfn._xlws.FILTER(L:L + B:B/1000, A:A=A36),
    IF(AND(_xlpm.puntosPrinValidos&gt;=4,_xlpm.puntosTerValidos&gt;=2),IF(
        SUM(--(_xlpm.claves &gt; _xlpm.clave)) &lt; 4,
        C36,
        E36
    ),"No disp")
)</f>
        <v>257</v>
      </c>
      <c r="R36" s="14" t="str" cm="1">
        <f t="array" aca="1" ref="R36" ca="1">_xlfn.LET(
    _xlpm.puntosPrin, _xlfn._xlws.FILTER(G:G + B:B/1000, A:A=A36),
    _xlpm.puntosPrinValidos, SUM(--(_xlpm.puntosPrin&gt;1)),
    _xlpm.puntosTer, _xlfn._xlws.FILTER(J:J + B:B/1000, A:A=A36),
    _xlpm.puntosTerValidos, SUM(--(_xlpm.puntosTer&gt;1)),
    _xlpm.clave, M36 + B36/1000,
    _xlpm.claves, _xlfn._xlws.FILTER(M:M + B:B/1000, A:A=A36),
    IF(AND(_xlpm.puntosPrinValidos&gt;=4,_xlpm.puntosTerValidos&gt;=2),IF(
        SUM(--(_xlpm.claves &gt; _xlpm.clave)) &lt; 4,
        C36,
        F36
    ),"No disp")
)</f>
        <v>No disp</v>
      </c>
      <c r="S36" s="14" cm="1">
        <f t="array" aca="1" ref="S36" ca="1">_xlfn.LET(
    _xlpm.ptsPrinBase, _xlfn._xlws.FILTER(G:G, A:A=A36),
    _xlpm.ptsSecBase,  _xlfn._xlws.FILTER(H:H, A:A=A36),
    _xlpm.puntosPrin, _xlpm.ptsPrinBase + _xlfn._xlws.FILTER(B:B, A:A=A36)/1000,
    _xlpm.puntosSec,  _xlpm.ptsSecBase  + _xlfn._xlws.FILTER(B:B, A:A=A36)/1000,
    _xlpm.puntosPrinValidos, SUM(--(_xlpm.ptsPrinBase&gt;0)),
    _xlpm.puntosSecValidos,  SUM(--(_xlpm.ptsSecBase&gt;0)),
    _xlpm.clave, K36 + B36/1000,
    _xlpm.claves, _xlfn._xlws.FILTER(K:K + B:B/1000, A:A=A36),
    IF(
        AND(_xlpm.puntosPrinValidos&gt;=2, _xlpm.puntosSecValidos&gt;=4),
        IF(
            SUM(--(_xlpm.claves &lt; _xlpm.clave)) &lt; 4,
            D36,
            C36
        ),
        "No disp"
    )
)</f>
        <v>242</v>
      </c>
      <c r="T36" s="14" cm="1">
        <f t="array" aca="1" ref="T36" ca="1">_xlfn.LET(
    _xlpm.puntosSec, _xlfn._xlws.FILTER(H:H + B:B/1000, A:A=A36),
    _xlpm.puntosSecValidos, SUM(--(_xlpm.puntosSec&gt;1)),
    _xlpm.puntosAlt, _xlfn._xlws.FILTER(I:I + B:B/1000, A:A=A36),
    _xlpm.puntosAltValidos, SUM(--(_xlpm.puntosAlt&gt;1)),
    _xlpm.clave, N36 + B36/1000,
    _xlpm.claves, _xlfn._xlws.FILTER(N:N + B:B/1000, A:A=A36),
    IF(AND(_xlpm.puntosSecValidos&gt;=4,_xlpm.puntosAltValidos&gt;=2),IF(
        SUM(--(_xlpm.claves &gt; _xlpm.clave)) &lt; 4,
        D36,
        E36
    ),"No disp")
)</f>
        <v>242</v>
      </c>
      <c r="U36" s="14" t="str" cm="1">
        <f t="array" aca="1" ref="U36" ca="1">_xlfn.LET(
    _xlpm.puntosSec, _xlfn._xlws.FILTER(H:H + B:B/1000, A:A=A36),
    _xlpm.puntosSecValidos, SUM(--(_xlpm.puntosSec&gt;1)),
    _xlpm.puntosAlt, _xlfn._xlws.FILTER(J:J + B:B/1000, A:A=A36),
    _xlpm.puntosAltValidos, SUM(--(_xlpm.puntosAlt&gt;1)),
    _xlpm.clave, O36 + B36/1000,
    _xlpm.claves, _xlfn._xlws.FILTER(O:O + B:B/1000, A:A=A36),
    IF(AND(_xlpm.puntosSecValidos&gt;=4,_xlpm.puntosAltValidos&gt;=2),IF(
        SUM(--(_xlpm.claves &gt; _xlpm.clave)) &lt; 4,
        D36,
        F36
    ),"No disp")
)</f>
        <v>No disp</v>
      </c>
      <c r="V36" s="4" cm="1">
        <f t="array" aca="1" ref="V36" ca="1">_xlfn.LET(
_xlpm.PrinIDs,_xlfn._xlws.FILTER(C:C,(A:A=A36)),
_xlpm.SecIDs,_xlfn._xlws.FILTER(D:D,(A:A=A36)),
_xlpm.TerIDs,_xlfn._xlws.FILTER(E:E,A:A=A36),
_xlpm.CuaIDs,_xlfn._xlws.FILTER(F:F,(A:A=A36)),
_xlpm.PrinPts,_xlfn._xlws.FILTER(G:G,(A:A=A36)),
_xlpm.SecPts,_xlfn._xlws.FILTER(H:H,(A:A=A36)),
_xlpm.TerPts,_xlfn._xlws.FILTER(I:I,(A:A=A36)),
_xlpm.CuaPts,_xlfn._xlws.FILTER(J:J,(A:A=A36)),
_xlpm.PSIds,_xlfn._xlws.FILTER(P:P,A:A=A36),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548.01</v>
      </c>
      <c r="W36" s="4" cm="1">
        <f t="array" aca="1" ref="W36" ca="1">_xlfn.LET(
_xlpm.PrinIDs,_xlfn._xlws.FILTER(C:C,(A:A=A36)),
_xlpm.SecIDs,_xlfn._xlws.FILTER(D:D,(A:A=A36)),
_xlpm.TerIDs,_xlfn._xlws.FILTER(E:E,A:A=A36),
_xlpm.CuaIDs,_xlfn._xlws.FILTER(F:F,(A:A=A36)),
_xlpm.PrinPts,_xlfn._xlws.FILTER(G:G,(A:A=A36)),
_xlpm.SecPts,_xlfn._xlws.FILTER(H:H,(A:A=A36)),
_xlpm.TerPts,_xlfn._xlws.FILTER(I:I,(A:A=A36)),
_xlpm.CuaPts,_xlfn._xlws.FILTER(J:J,(A:A=A36)),
_xlpm.PTIds,_xlfn._xlws.FILTER(Q:Q,A:A=A36),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547.83000000000004</v>
      </c>
      <c r="X36" s="4" cm="1">
        <f t="array" aca="1" ref="X36" ca="1">_xlfn.LET(
_xlpm.PrinIDs,_xlfn._xlws.FILTER(C:C,(A:A=A36)),
_xlpm.SecIDs,_xlfn._xlws.FILTER(D:D,(A:A=A36)),
_xlpm.TerIDs,_xlfn._xlws.FILTER(E:E,A:A=A36),
_xlpm.CuaIDs,_xlfn._xlws.FILTER(F:F,(A:A=A36)),
_xlpm.PrinPts,_xlfn._xlws.FILTER(G:G,(A:A=A36)),
_xlpm.SecPts,_xlfn._xlws.FILTER(H:H,(A:A=A36)),
_xlpm.TerPts,_xlfn._xlws.FILTER(I:I,(A:A=A36)),
_xlpm.CuaPts,_xlfn._xlws.FILTER(J:J,(A:A=A36)),
_xlpm.PCIds,_xlfn._xlws.FILTER(R:R,A:A=A36),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36" s="4" cm="1">
        <f t="array" aca="1" ref="Y36" ca="1">_xlfn.LET(
_xlpm.PrinIDs,_xlfn._xlws.FILTER(C:C,(A:A=A36)),
_xlpm.SecIDs,_xlfn._xlws.FILTER(D:D,(A:A=A36)),
_xlpm.AltIDs,_xlfn._xlws.FILTER(E:E,A:A=A36),
_xlpm.PrinPts,_xlfn._xlws.FILTER(G:G,(A:A=A36)),
_xlpm.SecPts,_xlfn._xlws.FILTER(H:H,(A:A=A36)),
_xlpm.AltPts,_xlfn._xlws.FILTER(I:I,(A:A=A36)),
_xlpm.SPIds,_xlfn._xlws.FILTER(S:S,A:A=A36),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526.86</v>
      </c>
      <c r="Z36" s="4" cm="1">
        <f t="array" aca="1" ref="Z36" ca="1">_xlfn.LET(
_xlpm.PrinIDs,_xlfn._xlws.FILTER(C:C,(A:A=A36)),
_xlpm.SecIDs,_xlfn._xlws.FILTER(D:D,(A:A=A36)),
_xlpm.TerIDs,_xlfn._xlws.FILTER(E:E,A:A=A36),
_xlpm.CuaIDs,_xlfn._xlws.FILTER(F:F,(A:A=A36)),
_xlpm.PrinPts,_xlfn._xlws.FILTER(G:G,(A:A=A36)),
_xlpm.SecPts,_xlfn._xlws.FILTER(H:H,(A:A=A36)),
_xlpm.TerPts,_xlfn._xlws.FILTER(I:I,(A:A=A36)),
_xlpm.CuaPts,_xlfn._xlws.FILTER(J:J,(A:A=A36)),
_xlpm.STIds,_xlfn._xlws.FILTER(T:T,A:A=A36),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526.86</v>
      </c>
      <c r="AA36" s="4" cm="1">
        <f t="array" aca="1" ref="AA36" ca="1">_xlfn.LET(
_xlpm.PrinIDs,_xlfn._xlws.FILTER(C:C,(A:A=A36)),
_xlpm.SecIDs,_xlfn._xlws.FILTER(D:D,(A:A=A36)),
_xlpm.TerIDs,_xlfn._xlws.FILTER(E:E,A:A=A36),
_xlpm.CuaIDs,_xlfn._xlws.FILTER(F:F,(A:A=A36)),
_xlpm.PrinPts,_xlfn._xlws.FILTER(G:G,(A:A=A36)),
_xlpm.SecPts,_xlfn._xlws.FILTER(H:H,(A:A=A36)),
_xlpm.TerPts,_xlfn._xlws.FILTER(I:I,(A:A=A36)),
_xlpm.CuaPts,_xlfn._xlws.FILTER(J:J,(A:A=A36)),
_xlpm.SCIds,_xlfn._xlws.FILTER(U:U,A:A=A36),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36" s="14">
        <f t="shared" ca="1" si="3"/>
        <v>242</v>
      </c>
      <c r="AC36" s="14">
        <v>242</v>
      </c>
      <c r="AD36" s="4"/>
      <c r="AE36" s="14" t="str">
        <f ca="1">IF(ISNUMBER(AC36),
IF($B36=1,VLOOKUP($AC36,Inventario1!$A:$H,2),
IF($B36=2,VLOOKUP($AC36,Inventario2!$A:$H,2),
IF($B36=3,VLOOKUP($AC36,Inventario3!$A:$H,2),
IF($B36=4,VLOOKUP($AC36,Inventario4!$A:$H,2),
IF($B36=5,VLOOKUP($AC36,Inventario5!$A:$H,2),
VLOOKUP($AC36,Inventario6!$A:$H,2)
))))),"No equipado")</f>
        <v>Legendario</v>
      </c>
      <c r="AF36" s="14" t="str">
        <f ca="1">IF(ISNUMBER(AC36),
IF($B36=1,VLOOKUP($AC36,Inventario1!$A:$H,3),
IF($B36=2,VLOOKUP($AC36,Inventario2!$A:$H,3),
IF($B36=3,VLOOKUP($AC36,Inventario3!$A:$H,3),
IF($B36=4,VLOOKUP($AC36,Inventario4!$A:$H,3),
IF($B36=5,VLOOKUP($AC36,Inventario5!$A:$H,3),
VLOOKUP($AC36,Inventario6!$A:$H,3)
))))),"")</f>
        <v>Recepción de asistencia</v>
      </c>
      <c r="AG36" s="14" t="str">
        <f ca="1">IF(ISNUMBER(AC36),
IF($B36=1,VLOOKUP($AC36,Inventario1!$A:$H,4),
IF($B36=2,VLOOKUP($AC36,Inventario2!$A:$H,4),
IF($B36=3,VLOOKUP($AC36,Inventario3!$A:$H,4),
IF($B36=4,VLOOKUP($AC36,Inventario4!$A:$H,4),
IF($B36=5,VLOOKUP($AC36,Inventario5!$A:$H,4),
VLOOKUP($AC36,Inventario6!$A:$H,4)
))))),"")</f>
        <v>Recepción</v>
      </c>
      <c r="AH36" s="14" t="str">
        <f ca="1">IF(ISNUMBER(AC36),
IF($B36=1,VLOOKUP($AC36,Inventario1!$A:$H,5),
IF($B36=2,VLOOKUP($AC36,Inventario2!$A:$H,5),
IF($B36=3,VLOOKUP($AC36,Inventario3!$A:$H,5),
IF($B36=4,VLOOKUP($AC36,Inventario4!$A:$H,5),
IF($B36=5,VLOOKUP($AC36,Inventario5!$A:$H,5),
VLOOKUP($AC36,Inventario6!$A:$H,5)
))))),"")</f>
        <v>Bloqueo</v>
      </c>
      <c r="AI36" s="14" t="str">
        <f ca="1">IF(ISNUMBER(AC36),
IF($B36=1,VLOOKUP($AC36,Inventario1!$A:$H,6),
IF($B36=2,VLOOKUP($AC36,Inventario2!$A:$H,6),
IF($B36=3,VLOOKUP($AC36,Inventario3!$A:$H,6),
IF($B36=4,VLOOKUP($AC36,Inventario4!$A:$H,6),
IF($B36=5,VLOOKUP($AC36,Inventario5!$A:$H,6),
VLOOKUP($AC36,Inventario6!$A:$H,6)
))))),"")</f>
        <v>Colocación</v>
      </c>
      <c r="AJ36" s="14" t="str">
        <f ca="1">IF(ISNUMBER(AC36),
IF($B36=1,VLOOKUP($AC36,Inventario1!$A:$H,7),
IF($B36=2,VLOOKUP($AC36,Inventario2!$A:$H,7),
IF($B36=3,VLOOKUP($AC36,Inventario3!$A:$H,7),
IF($B36=4,VLOOKUP($AC36,Inventario4!$A:$H,7),
IF($B36=5,VLOOKUP($AC36,Inventario5!$A:$H,7),
VLOOKUP($AC36,Inventario6!$A:$H,7)
))))),"")</f>
        <v>Ataque poderoso</v>
      </c>
      <c r="AK36" s="15" t="str">
        <f ca="1">IF(ISNUMBER(AC36),
IF($B36=1,VLOOKUP($AC36,Inventario1!$A:$H,8),
IF($B36=2,VLOOKUP($AC36,Inventario2!$A:$H,8),
IF($B36=3,VLOOKUP($AC36,Inventario3!$A:$H,8),
IF($B36=4,VLOOKUP($AC36,Inventario4!$A:$H,8),
IF($B36=5,VLOOKUP($AC36,Inventario5!$A:$H,8),
VLOOKUP($AC36,Inventario6!$A:$H,8)
))))),"")</f>
        <v>Colocación</v>
      </c>
    </row>
    <row r="37" spans="1:37" ht="15.75" thickBot="1" x14ac:dyDescent="0.3">
      <c r="A37" s="22" t="s">
        <v>26</v>
      </c>
      <c r="B37" s="17">
        <v>6</v>
      </c>
      <c r="C37" s="18" cm="1">
        <f t="array" ref="C37">_xlfn.LET(
    _xlpm.jugador, A37,
    _xlpm.idSel, AC37,
    _xlpm.invIDs, IF(B37=1,Inventario1!A:A,IF(B37=2,Inventario2!A:A,IF(B37=3,Inventario3!A:A,IF(B37=4,Inventario4!A:A,IF(B37=5,Inventario5!A:A,Inventario6!A:A))))),
    _xlpm.invCalidad, IF(B37=1,Inventario1!B:B,IF(B37=2,Inventario2!B:B,IF(B37=3,Inventario3!B:B,IF(B37=4,Inventario4!B:B,IF(B37=5,Inventario5!B:B,Inventario6!B:B))))),
    _xlpm.invTipos, IF(B37=1,Inventario1!C:C,IF(B37=2,Inventario2!C:C,IF(B37=3,Inventario3!C:C,IF(B37=4,Inventario4!C:C,IF(B37=5,Inventario5!C:C,Inventario6!C:C))))),
    _xlpm.invStats, IF(B37=1,Inventario1!D:H,IF(B37=2,Inventario2!D:H,IF(B37=3,Inventario3!D:H,IF(B37=4,Inventario4!D:H,IF(B37=5,Inventario5!D:H,Inventario6!D:H))))),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IF(ROW(A37)=2,"",IF(_xlfn._xlws.FILTER(Equipar!AC$2:AC36,Equipar!B$2:B36=B37)={0},"",_xlfn._xlws.FILTER(Equipar!AC$2:AC36,Equipar!B$2:B36=B37))),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258</v>
      </c>
      <c r="D37" s="17" cm="1">
        <f t="array" aca="1" ref="D37" ca="1">_xlfn.LET(
    _xlpm.jugador, A37,
    _xlpm.idSel, AC37,
    _xlpm.invIDs, IF(B37=1,Inventario1!A:A,IF(B37=2,Inventario2!A:A,IF(B37=3,Inventario3!A:A,IF(B37=4,Inventario4!A:A,IF(B37=5,Inventario5!A:A,Inventario6!A:A))))),
    _xlpm.invCalidad, IF(B37=1,Inventario1!B:B,IF(B37=2,Inventario2!B:B,IF(B37=3,Inventario3!B:B,IF(B37=4,Inventario4!B:B,IF(B37=5,Inventario5!B:B,Inventario6!B:B))))),
    _xlpm.invTipos, IF(B37=1,Inventario1!C:C,IF(B37=2,Inventario2!C:C,IF(B37=3,Inventario3!C:C,IF(B37=4,Inventario4!C:C,IF(B37=5,Inventario5!C:C,Inventario6!C:C))))),
    _xlpm.invStats, IF(B37=1,Inventario1!D:H,IF(B37=2,Inventario2!D:H,IF(B37=3,Inventario3!D:H,IF(B37=4,Inventario4!D:H,IF(B37=5,Inventario5!D:H,Inventario6!D:H))))),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IF(ROW(A37)=2,"",IF(_xlfn._xlws.FILTER(Equipar!AC$2:AC36,Equipar!B$2:B36=B37)={0},"",_xlfn._xlws.FILTER(Equipar!AC$2:AC36,Equipar!B$2:B36=B37))),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145</v>
      </c>
      <c r="E37" s="17" cm="1">
        <f t="array" ref="E37">_xlfn.LET(
    _xlpm.jugador, A37,
    _xlpm.idSel, AC37,
    _xlpm.invIDs, IF(B37=1,Inventario1!A:A,IF(B37=2,Inventario2!A:A,IF(B37=3,Inventario3!A:A,IF(B37=4,Inventario4!A:A,IF(B37=5,Inventario5!A:A,Inventario6!A:A))))),
    _xlpm.invCalidad, IF(B37=1,Inventario1!B:B,IF(B37=2,Inventario2!B:B,IF(B37=3,Inventario3!B:B,IF(B37=4,Inventario4!B:B,IF(B37=5,Inventario5!B:B,Inventario6!B:B))))),
    _xlpm.invTipos, IF(B37=1,Inventario1!C:C,IF(B37=2,Inventario2!C:C,IF(B37=3,Inventario3!C:C,IF(B37=4,Inventario4!C:C,IF(B37=5,Inventario5!C:C,Inventario6!C:C))))),
    _xlpm.invStats, IF(B37=1,Inventario1!D:H,IF(B37=2,Inventario2!D:H,IF(B37=3,Inventario3!D:H,IF(B37=4,Inventario4!D:H,IF(B37=5,Inventario5!D:H,Inventario6!D:H))))),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IF(ROW(A37)=2,"",IF(_xlfn._xlws.FILTER(Equipar!AC$2:AC36,Equipar!B$2:B36=B37)={0},"",_xlfn._xlws.FILTER(Equipar!AC$2:AC36,Equipar!B$2:B36=B37))),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220</v>
      </c>
      <c r="F37" s="17" t="str" cm="1">
        <f t="array" aca="1" ref="F37" ca="1">_xlfn.LET(
    _xlpm.jugador, B37,
    _xlpm.idSel, AD37,
    _xlpm.invIDs, IF(C37=1,Inventario1!B:B,IF(C37=2,Inventario2!B:B,IF(C37=3,Inventario3!B:B,IF(C37=4,Inventario4!B:B,IF(C37=5,Inventario5!B:B,Inventario6!B:B))))),
    _xlpm.invCalidad, IF(C37=1,Inventario1!C:C,IF(C37=2,Inventario2!C:C,IF(C37=3,Inventario3!C:C,IF(C37=4,Inventario4!C:C,IF(C37=5,Inventario5!C:C,Inventario6!C:C))))),
    _xlpm.invTipos, IF(C37=1,Inventario1!D:D,IF(C37=2,Inventario2!D:D,IF(C37=3,Inventario3!D:D,IF(C37=4,Inventario4!D:D,IF(C37=5,Inventario5!D:D,Inventario6!D:D))))),
    _xlpm.invStats, IF(C37=1,Inventario1!E:I,IF(C37=2,Inventario2!E:I,IF(C37=3,Inventario3!E:I,IF(C37=4,Inventario4!E:I,IF(C37=5,Inventario5!E:I,Inventario6!E:I))))),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IF(ROW(B37)=2,"",IF(_xlfn._xlws.FILTER(Equipar!AD$2:AD36,Equipar!C$2:C36=C37)={0},"",_xlfn._xlws.FILTER(Equipar!AD$2:AD36,Equipar!C$2:C36=C37))),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37" s="18" cm="1">
        <f t="array" ref="G37">_xlfn.LET(
    _xlpm.jugador, A37,
    _xlpm.idSel, AC37,
    _xlpm.invIDs, IF(B37=1,Inventario1!A:A,IF(B37=2,Inventario2!A:A,IF(B37=3,Inventario3!A:A,IF(B37=4,Inventario4!A:A,IF(B37=5,Inventario5!A:A,Inventario6!A:A))))),
    _xlpm.invCalidad, IF(B37=1,Inventario1!B:B,IF(B37=2,Inventario2!B:B,IF(B37=3,Inventario3!B:B,IF(B37=4,Inventario4!B:B,IF(B37=5,Inventario5!B:B,Inventario6!B:B))))),
    _xlpm.invTipos, IF(B37=1,Inventario1!C:C,IF(B37=2,Inventario2!C:C,IF(B37=3,Inventario3!C:C,IF(B37=4,Inventario4!C:C,IF(B37=5,Inventario5!C:C,Inventario6!C:C))))),
    _xlpm.invStats, IF(B37=1,Inventario1!D:H,IF(B37=2,Inventario2!D:H,IF(B37=3,Inventario3!D:H,IF(B37=4,Inventario4!D:H,IF(B37=5,Inventario5!D:H,Inventario6!D:H))))),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IF(ROW(A37)=2,"",IF(_xlfn._xlws.FILTER(Equipar!AC$2:AC36,Equipar!B$2:B36=B37)={0},"",_xlfn._xlws.FILTER(Equipar!AC$2:AC36,Equipar!B$2:B36=B37))),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H37" s="17" cm="1">
        <f t="array" aca="1" ref="H37" ca="1">_xlfn.LET(
    _xlpm.jugador, A37,
    _xlpm.idSel, AC37,
    _xlpm.invIDs, IF(B37=1,Inventario1!A:A,IF(B37=2,Inventario2!A:A,IF(B37=3,Inventario3!A:A,IF(B37=4,Inventario4!A:A,IF(B37=5,Inventario5!A:A,Inventario6!A:A))))),
    _xlpm.invCalidad, IF(B37=1,Inventario1!B:B,IF(B37=2,Inventario2!B:B,IF(B37=3,Inventario3!B:B,IF(B37=4,Inventario4!B:B,IF(B37=5,Inventario5!B:B,Inventario6!B:B))))),
    _xlpm.invTipos, IF(B37=1,Inventario1!C:C,IF(B37=2,Inventario2!C:C,IF(B37=3,Inventario3!C:C,IF(B37=4,Inventario4!C:C,IF(B37=5,Inventario5!C:C,Inventario6!C:C))))),
    _xlpm.invStats, IF(B37=1,Inventario1!D:H,IF(B37=2,Inventario2!D:H,IF(B37=3,Inventario3!D:H,IF(B37=4,Inventario4!D:H,IF(B37=5,Inventario5!D:H,Inventario6!D:H))))),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IF(ROW(A37)=2,"",IF(_xlfn._xlws.FILTER(Equipar!AC$2:AC36,Equipar!B$2:B36=B37)={0},"",_xlfn._xlws.FILTER(Equipar!AC$2:AC36,Equipar!B$2:B36=B37))),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I37" s="17" cm="1">
        <f t="array" ref="I37">_xlfn.LET(
    _xlpm.jugador, A37,
    _xlpm.idSel, AC37,
    _xlpm.invIDs, IF(B37=1,Inventario1!A:A,IF(B37=2,Inventario2!A:A,IF(B37=3,Inventario3!A:A,IF(B37=4,Inventario4!A:A,IF(B37=5,Inventario5!A:A,Inventario6!A:A))))),
    _xlpm.invCalidad, IF(B37=1,Inventario1!B:B,IF(B37=2,Inventario2!B:B,IF(B37=3,Inventario3!B:B,IF(B37=4,Inventario4!B:B,IF(B37=5,Inventario5!B:B,Inventario6!B:B))))),
    _xlpm.invTipos, IF(B37=1,Inventario1!C:C,IF(B37=2,Inventario2!C:C,IF(B37=3,Inventario3!C:C,IF(B37=4,Inventario4!C:C,IF(B37=5,Inventario5!C:C,Inventario6!C:C))))),
    _xlpm.invStats, IF(B37=1,Inventario1!D:H,IF(B37=2,Inventario2!D:H,IF(B37=3,Inventario3!D:H,IF(B37=4,Inventario4!D:H,IF(B37=5,Inventario5!D:H,Inventario6!D:H))))),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IF(ROW(A37)=2,"",IF(_xlfn._xlws.FILTER(Equipar!AC$2:AC36,Equipar!B$2:B36=B37)={0},"",_xlfn._xlws.FILTER(Equipar!AC$2:AC36,Equipar!B$2:B36=B37))),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J37" s="17" cm="1">
        <f t="array" aca="1" ref="J37" ca="1">_xlfn.LET(
    _xlpm.jugador, B37,
    _xlpm.idSel, AD37,
    _xlpm.invIDs, IF(C37=1,Inventario1!B:B,IF(C37=2,Inventario2!B:B,IF(C37=3,Inventario3!B:B,IF(C37=4,Inventario4!B:B,IF(C37=5,Inventario5!B:B,Inventario6!B:B))))),
    _xlpm.invCalidad, IF(C37=1,Inventario1!C:C,IF(C37=2,Inventario2!C:C,IF(C37=3,Inventario3!C:C,IF(C37=4,Inventario4!C:C,IF(C37=5,Inventario5!C:C,Inventario6!C:C))))),
    _xlpm.invTipos, IF(C37=1,Inventario1!D:D,IF(C37=2,Inventario2!D:D,IF(C37=3,Inventario3!D:D,IF(C37=4,Inventario4!D:D,IF(C37=5,Inventario5!D:D,Inventario6!D:D))))),
    _xlpm.invStats, IF(C37=1,Inventario1!E:I,IF(C37=2,Inventario2!E:I,IF(C37=3,Inventario3!E:I,IF(C37=4,Inventario4!E:I,IF(C37=5,Inventario5!E:I,Inventario6!E:I))))),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IF(ROW(B37)=2,"",IF(_xlfn._xlws.FILTER(Equipar!AD$2:AD36,Equipar!C$2:C36=C37)={0},"",_xlfn._xlws.FILTER(Equipar!AD$2:AD36,Equipar!C$2:C36=C37))),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37" s="17">
        <f t="shared" ca="1" si="0"/>
        <v>23.939999999999998</v>
      </c>
      <c r="L37" s="17">
        <f t="shared" si="1"/>
        <v>8.730000000000004</v>
      </c>
      <c r="M37" s="17">
        <f t="shared" ca="1" si="1"/>
        <v>83.79</v>
      </c>
      <c r="N37" s="17">
        <f t="shared" ca="1" si="2"/>
        <v>-15.209999999999994</v>
      </c>
      <c r="O37" s="17">
        <f t="shared" ca="1" si="2"/>
        <v>99</v>
      </c>
      <c r="P37" s="18" cm="1">
        <f t="array" aca="1" ref="P37" ca="1">_xlfn.LET(
    _xlpm.ptsPrinBase, _xlfn._xlws.FILTER(G:G, A:A=A37),
    _xlpm.ptsSecBase,  _xlfn._xlws.FILTER(H:H, A:A=A37),
    _xlpm.puntosPrin, _xlpm.ptsPrinBase + _xlfn._xlws.FILTER(B:B, A:A=A37)/1000,
    _xlpm.puntosSec,  _xlpm.ptsSecBase  + _xlfn._xlws.FILTER(B:B, A:A=A37)/1000,
    _xlpm.puntosPrinValidos, SUM(--(_xlpm.ptsPrinBase&gt;0)),
    _xlpm.puntosSecValidos,  SUM(--(_xlpm.ptsSecBase&gt;0)),
    _xlpm.clave, K37 + B37/1000,
    _xlpm.claves, _xlfn._xlws.FILTER(K:K + B:B/1000, A:A=A37),
    IF(AND(_xlpm.puntosPrinValidos&gt;=4,_xlpm.puntosSecValidos&gt;=2),IF(
        SUM(--(_xlpm.claves &gt; _xlpm.clave)) &lt; 4,
        C37,
        D37
    ),"No disp")
)</f>
        <v>258</v>
      </c>
      <c r="Q37" s="18" cm="1">
        <f t="array" aca="1" ref="Q37" ca="1">_xlfn.LET(
    _xlpm.puntosPrin, _xlfn._xlws.FILTER(G:G + B:B/1000, A:A=A37),
    _xlpm.puntosPrinValidos, SUM(--(_xlpm.puntosPrin&gt;1)),
    _xlpm.puntosTer, _xlfn._xlws.FILTER(I:I + B:B/1000, A:A=A37),
    _xlpm.puntosTerValidos, SUM(--(_xlpm.puntosTer&gt;1)),
    _xlpm.clave, L37 + B37/1000,
    _xlpm.claves, _xlfn._xlws.FILTER(L:L + B:B/1000, A:A=A37),
    IF(AND(_xlpm.puntosPrinValidos&gt;=4,_xlpm.puntosTerValidos&gt;=2),IF(
        SUM(--(_xlpm.claves &gt; _xlpm.clave)) &lt; 4,
        C37,
        E37
    ),"No disp")
)</f>
        <v>258</v>
      </c>
      <c r="R37" s="18" t="str" cm="1">
        <f t="array" aca="1" ref="R37" ca="1">_xlfn.LET(
    _xlpm.puntosPrin, _xlfn._xlws.FILTER(G:G + B:B/1000, A:A=A37),
    _xlpm.puntosPrinValidos, SUM(--(_xlpm.puntosPrin&gt;1)),
    _xlpm.puntosTer, _xlfn._xlws.FILTER(J:J + B:B/1000, A:A=A37),
    _xlpm.puntosTerValidos, SUM(--(_xlpm.puntosTer&gt;1)),
    _xlpm.clave, M37 + B37/1000,
    _xlpm.claves, _xlfn._xlws.FILTER(M:M + B:B/1000, A:A=A37),
    IF(AND(_xlpm.puntosPrinValidos&gt;=4,_xlpm.puntosTerValidos&gt;=2),IF(
        SUM(--(_xlpm.claves &gt; _xlpm.clave)) &lt; 4,
        C37,
        F37
    ),"No disp")
)</f>
        <v>No disp</v>
      </c>
      <c r="S37" s="18" cm="1">
        <f t="array" aca="1" ref="S37" ca="1">_xlfn.LET(
    _xlpm.ptsPrinBase, _xlfn._xlws.FILTER(G:G, A:A=A37),
    _xlpm.ptsSecBase,  _xlfn._xlws.FILTER(H:H, A:A=A37),
    _xlpm.puntosPrin, _xlpm.ptsPrinBase + _xlfn._xlws.FILTER(B:B, A:A=A37)/1000,
    _xlpm.puntosSec,  _xlpm.ptsSecBase  + _xlfn._xlws.FILTER(B:B, A:A=A37)/1000,
    _xlpm.puntosPrinValidos, SUM(--(_xlpm.ptsPrinBase&gt;0)),
    _xlpm.puntosSecValidos,  SUM(--(_xlpm.ptsSecBase&gt;0)),
    _xlpm.clave, K37 + B37/1000,
    _xlpm.claves, _xlfn._xlws.FILTER(K:K + B:B/1000, A:A=A37),
    IF(
        AND(_xlpm.puntosPrinValidos&gt;=2, _xlpm.puntosSecValidos&gt;=4),
        IF(
            SUM(--(_xlpm.claves &lt; _xlpm.clave)) &lt; 4,
            D37,
            C37
        ),
        "No disp"
    )
)</f>
        <v>258</v>
      </c>
      <c r="T37" s="18" cm="1">
        <f t="array" aca="1" ref="T37" ca="1">_xlfn.LET(
    _xlpm.puntosSec, _xlfn._xlws.FILTER(H:H + B:B/1000, A:A=A37),
    _xlpm.puntosSecValidos, SUM(--(_xlpm.puntosSec&gt;1)),
    _xlpm.puntosAlt, _xlfn._xlws.FILTER(I:I + B:B/1000, A:A=A37),
    _xlpm.puntosAltValidos, SUM(--(_xlpm.puntosAlt&gt;1)),
    _xlpm.clave, N37 + B37/1000,
    _xlpm.claves, _xlfn._xlws.FILTER(N:N + B:B/1000, A:A=A37),
    IF(AND(_xlpm.puntosSecValidos&gt;=4,_xlpm.puntosAltValidos&gt;=2),IF(
        SUM(--(_xlpm.claves &gt; _xlpm.clave)) &lt; 4,
        D37,
        E37
    ),"No disp")
)</f>
        <v>145</v>
      </c>
      <c r="U37" s="18" t="str" cm="1">
        <f t="array" aca="1" ref="U37" ca="1">_xlfn.LET(
    _xlpm.puntosSec, _xlfn._xlws.FILTER(H:H + B:B/1000, A:A=A37),
    _xlpm.puntosSecValidos, SUM(--(_xlpm.puntosSec&gt;1)),
    _xlpm.puntosAlt, _xlfn._xlws.FILTER(J:J + B:B/1000, A:A=A37),
    _xlpm.puntosAltValidos, SUM(--(_xlpm.puntosAlt&gt;1)),
    _xlpm.clave, O37 + B37/1000,
    _xlpm.claves, _xlfn._xlws.FILTER(O:O + B:B/1000, A:A=A37),
    IF(AND(_xlpm.puntosSecValidos&gt;=4,_xlpm.puntosAltValidos&gt;=2),IF(
        SUM(--(_xlpm.claves &gt; _xlpm.clave)) &lt; 4,
        D37,
        F37
    ),"No disp")
)</f>
        <v>No disp</v>
      </c>
      <c r="V37" s="17" cm="1">
        <f t="array" aca="1" ref="V37" ca="1">_xlfn.LET(
_xlpm.PrinIDs,_xlfn._xlws.FILTER(C:C,(A:A=A37)),
_xlpm.SecIDs,_xlfn._xlws.FILTER(D:D,(A:A=A37)),
_xlpm.TerIDs,_xlfn._xlws.FILTER(E:E,A:A=A37),
_xlpm.CuaIDs,_xlfn._xlws.FILTER(F:F,(A:A=A37)),
_xlpm.PrinPts,_xlfn._xlws.FILTER(G:G,(A:A=A37)),
_xlpm.SecPts,_xlfn._xlws.FILTER(H:H,(A:A=A37)),
_xlpm.TerPts,_xlfn._xlws.FILTER(I:I,(A:A=A37)),
_xlpm.CuaPts,_xlfn._xlws.FILTER(J:J,(A:A=A37)),
_xlpm.PSIds,_xlfn._xlws.FILTER(P:P,A:A=A37),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548.01</v>
      </c>
      <c r="W37" s="17" cm="1">
        <f t="array" aca="1" ref="W37" ca="1">_xlfn.LET(
_xlpm.PrinIDs,_xlfn._xlws.FILTER(C:C,(A:A=A37)),
_xlpm.SecIDs,_xlfn._xlws.FILTER(D:D,(A:A=A37)),
_xlpm.TerIDs,_xlfn._xlws.FILTER(E:E,A:A=A37),
_xlpm.CuaIDs,_xlfn._xlws.FILTER(F:F,(A:A=A37)),
_xlpm.PrinPts,_xlfn._xlws.FILTER(G:G,(A:A=A37)),
_xlpm.SecPts,_xlfn._xlws.FILTER(H:H,(A:A=A37)),
_xlpm.TerPts,_xlfn._xlws.FILTER(I:I,(A:A=A37)),
_xlpm.CuaPts,_xlfn._xlws.FILTER(J:J,(A:A=A37)),
_xlpm.PTIds,_xlfn._xlws.FILTER(Q:Q,A:A=A37),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547.83000000000004</v>
      </c>
      <c r="X37" s="17" cm="1">
        <f t="array" aca="1" ref="X37" ca="1">_xlfn.LET(
_xlpm.PrinIDs,_xlfn._xlws.FILTER(C:C,(A:A=A37)),
_xlpm.SecIDs,_xlfn._xlws.FILTER(D:D,(A:A=A37)),
_xlpm.TerIDs,_xlfn._xlws.FILTER(E:E,A:A=A37),
_xlpm.CuaIDs,_xlfn._xlws.FILTER(F:F,(A:A=A37)),
_xlpm.PrinPts,_xlfn._xlws.FILTER(G:G,(A:A=A37)),
_xlpm.SecPts,_xlfn._xlws.FILTER(H:H,(A:A=A37)),
_xlpm.TerPts,_xlfn._xlws.FILTER(I:I,(A:A=A37)),
_xlpm.CuaPts,_xlfn._xlws.FILTER(J:J,(A:A=A37)),
_xlpm.PCIds,_xlfn._xlws.FILTER(R:R,A:A=A37),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37" s="17" cm="1">
        <f t="array" aca="1" ref="Y37" ca="1">_xlfn.LET(
_xlpm.PrinIDs,_xlfn._xlws.FILTER(C:C,(A:A=A37)),
_xlpm.SecIDs,_xlfn._xlws.FILTER(D:D,(A:A=A37)),
_xlpm.AltIDs,_xlfn._xlws.FILTER(E:E,A:A=A37),
_xlpm.PrinPts,_xlfn._xlws.FILTER(G:G,(A:A=A37)),
_xlpm.SecPts,_xlfn._xlws.FILTER(H:H,(A:A=A37)),
_xlpm.AltPts,_xlfn._xlws.FILTER(I:I,(A:A=A37)),
_xlpm.SPIds,_xlfn._xlws.FILTER(S:S,A:A=A37),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526.86</v>
      </c>
      <c r="Z37" s="17" cm="1">
        <f t="array" aca="1" ref="Z37" ca="1">_xlfn.LET(
_xlpm.PrinIDs,_xlfn._xlws.FILTER(C:C,(A:A=A37)),
_xlpm.SecIDs,_xlfn._xlws.FILTER(D:D,(A:A=A37)),
_xlpm.TerIDs,_xlfn._xlws.FILTER(E:E,A:A=A37),
_xlpm.CuaIDs,_xlfn._xlws.FILTER(F:F,(A:A=A37)),
_xlpm.PrinPts,_xlfn._xlws.FILTER(G:G,(A:A=A37)),
_xlpm.SecPts,_xlfn._xlws.FILTER(H:H,(A:A=A37)),
_xlpm.TerPts,_xlfn._xlws.FILTER(I:I,(A:A=A37)),
_xlpm.CuaPts,_xlfn._xlws.FILTER(J:J,(A:A=A37)),
_xlpm.STIds,_xlfn._xlws.FILTER(T:T,A:A=A37),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526.86</v>
      </c>
      <c r="AA37" s="17" cm="1">
        <f t="array" aca="1" ref="AA37" ca="1">_xlfn.LET(
_xlpm.PrinIDs,_xlfn._xlws.FILTER(C:C,(A:A=A37)),
_xlpm.SecIDs,_xlfn._xlws.FILTER(D:D,(A:A=A37)),
_xlpm.TerIDs,_xlfn._xlws.FILTER(E:E,A:A=A37),
_xlpm.CuaIDs,_xlfn._xlws.FILTER(F:F,(A:A=A37)),
_xlpm.PrinPts,_xlfn._xlws.FILTER(G:G,(A:A=A37)),
_xlpm.SecPts,_xlfn._xlws.FILTER(H:H,(A:A=A37)),
_xlpm.TerPts,_xlfn._xlws.FILTER(I:I,(A:A=A37)),
_xlpm.CuaPts,_xlfn._xlws.FILTER(J:J,(A:A=A37)),
_xlpm.SCIds,_xlfn._xlws.FILTER(U:U,A:A=A37),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37" s="18">
        <f t="shared" ca="1" si="3"/>
        <v>258</v>
      </c>
      <c r="AC37" s="18">
        <v>258</v>
      </c>
      <c r="AD37" s="17"/>
      <c r="AE37" s="18" t="str">
        <f ca="1">IF(ISNUMBER(AC37),
IF($B37=1,VLOOKUP($AC37,Inventario1!$A:$H,2),
IF($B37=2,VLOOKUP($AC37,Inventario2!$A:$H,2),
IF($B37=3,VLOOKUP($AC37,Inventario3!$A:$H,2),
IF($B37=4,VLOOKUP($AC37,Inventario4!$A:$H,2),
IF($B37=5,VLOOKUP($AC37,Inventario5!$A:$H,2),
VLOOKUP($AC37,Inventario6!$A:$H,2)
))))),"No equipado")</f>
        <v>Legendario</v>
      </c>
      <c r="AF37" s="18" t="str">
        <f ca="1">IF(ISNUMBER(AC37),
IF($B37=1,VLOOKUP($AC37,Inventario1!$A:$H,3),
IF($B37=2,VLOOKUP($AC37,Inventario2!$A:$H,3),
IF($B37=3,VLOOKUP($AC37,Inventario3!$A:$H,3),
IF($B37=4,VLOOKUP($AC37,Inventario4!$A:$H,3),
IF($B37=5,VLOOKUP($AC37,Inventario5!$A:$H,3),
VLOOKUP($AC37,Inventario6!$A:$H,3)
))))),"")</f>
        <v>Guardia contundente</v>
      </c>
      <c r="AG37" s="18" t="str">
        <f ca="1">IF(ISNUMBER(AC37),
IF($B37=1,VLOOKUP($AC37,Inventario1!$A:$H,4),
IF($B37=2,VLOOKUP($AC37,Inventario2!$A:$H,4),
IF($B37=3,VLOOKUP($AC37,Inventario3!$A:$H,4),
IF($B37=4,VLOOKUP($AC37,Inventario4!$A:$H,4),
IF($B37=5,VLOOKUP($AC37,Inventario5!$A:$H,4),
VLOOKUP($AC37,Inventario6!$A:$H,4)
))))),"")</f>
        <v>Colocación</v>
      </c>
      <c r="AH37" s="18" t="str">
        <f ca="1">IF(ISNUMBER(AC37),
IF($B37=1,VLOOKUP($AC37,Inventario1!$A:$H,5),
IF($B37=2,VLOOKUP($AC37,Inventario2!$A:$H,5),
IF($B37=3,VLOOKUP($AC37,Inventario3!$A:$H,5),
IF($B37=4,VLOOKUP($AC37,Inventario4!$A:$H,5),
IF($B37=5,VLOOKUP($AC37,Inventario5!$A:$H,5),
VLOOKUP($AC37,Inventario6!$A:$H,5)
))))),"")</f>
        <v>Espíritu</v>
      </c>
      <c r="AI37" s="18" t="str">
        <f ca="1">IF(ISNUMBER(AC37),
IF($B37=1,VLOOKUP($AC37,Inventario1!$A:$H,6),
IF($B37=2,VLOOKUP($AC37,Inventario2!$A:$H,6),
IF($B37=3,VLOOKUP($AC37,Inventario3!$A:$H,6),
IF($B37=4,VLOOKUP($AC37,Inventario4!$A:$H,6),
IF($B37=5,VLOOKUP($AC37,Inventario5!$A:$H,6),
VLOOKUP($AC37,Inventario6!$A:$H,6)
))))),"")</f>
        <v>Colocación</v>
      </c>
      <c r="AJ37" s="18" t="str">
        <f ca="1">IF(ISNUMBER(AC37),
IF($B37=1,VLOOKUP($AC37,Inventario1!$A:$H,7),
IF($B37=2,VLOOKUP($AC37,Inventario2!$A:$H,7),
IF($B37=3,VLOOKUP($AC37,Inventario3!$A:$H,7),
IF($B37=4,VLOOKUP($AC37,Inventario4!$A:$H,7),
IF($B37=5,VLOOKUP($AC37,Inventario5!$A:$H,7),
VLOOKUP($AC37,Inventario6!$A:$H,7)
))))),"")</f>
        <v>Colocación</v>
      </c>
      <c r="AK37" s="19">
        <f ca="1">IF(ISNUMBER(AC37),
IF($B37=1,VLOOKUP($AC37,Inventario1!$A:$H,8),
IF($B37=2,VLOOKUP($AC37,Inventario2!$A:$H,8),
IF($B37=3,VLOOKUP($AC37,Inventario3!$A:$H,8),
IF($B37=4,VLOOKUP($AC37,Inventario4!$A:$H,8),
IF($B37=5,VLOOKUP($AC37,Inventario5!$A:$H,8),
VLOOKUP($AC37,Inventario6!$A:$H,8)
))))),"")</f>
        <v>0</v>
      </c>
    </row>
    <row r="38" spans="1:37" x14ac:dyDescent="0.25">
      <c r="A38" s="20" t="s">
        <v>19</v>
      </c>
      <c r="B38" s="9">
        <v>1</v>
      </c>
      <c r="C38" s="10" cm="1">
        <f t="array" aca="1" ref="C38" ca="1">_xlfn.LET(
    _xlpm.jugador, A38,
    _xlpm.idSel, AC38,
    _xlpm.invIDs, IF(B38=1,Inventario1!A:A,IF(B38=2,Inventario2!A:A,IF(B38=3,Inventario3!A:A,IF(B38=4,Inventario4!A:A,IF(B38=5,Inventario5!A:A,Inventario6!A:A))))),
    _xlpm.invCalidad, IF(B38=1,Inventario1!B:B,IF(B38=2,Inventario2!B:B,IF(B38=3,Inventario3!B:B,IF(B38=4,Inventario4!B:B,IF(B38=5,Inventario5!B:B,Inventario6!B:B))))),
    _xlpm.invTipos, IF(B38=1,Inventario1!C:C,IF(B38=2,Inventario2!C:C,IF(B38=3,Inventario3!C:C,IF(B38=4,Inventario4!C:C,IF(B38=5,Inventario5!C:C,Inventario6!C:C))))),
    _xlpm.invStats, IF(B38=1,Inventario1!D:H,IF(B38=2,Inventario2!D:H,IF(B38=3,Inventario3!D:H,IF(B38=4,Inventario4!D:H,IF(B38=5,Inventario5!D:H,Inventario6!D:H))))),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IF(ROW(A38)=2,"",IF(_xlfn._xlws.FILTER(Equipar!AC$2:AC37,Equipar!B$2:B37=B38)={0},"",_xlfn._xlws.FILTER(Equipar!AC$2:AC37,Equipar!B$2:B37=B38))),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</v>
      </c>
      <c r="D38" s="11" cm="1">
        <f t="array" aca="1" ref="D38" ca="1">_xlfn.LET(
    _xlpm.jugador, A38,
    _xlpm.idSel, AC38,
    _xlpm.invIDs, IF(B38=1,Inventario1!A:A,IF(B38=2,Inventario2!A:A,IF(B38=3,Inventario3!A:A,IF(B38=4,Inventario4!A:A,IF(B38=5,Inventario5!A:A,Inventario6!A:A))))),
    _xlpm.invCalidad, IF(B38=1,Inventario1!B:B,IF(B38=2,Inventario2!B:B,IF(B38=3,Inventario3!B:B,IF(B38=4,Inventario4!B:B,IF(B38=5,Inventario5!B:B,Inventario6!B:B))))),
    _xlpm.invTipos, IF(B38=1,Inventario1!C:C,IF(B38=2,Inventario2!C:C,IF(B38=3,Inventario3!C:C,IF(B38=4,Inventario4!C:C,IF(B38=5,Inventario5!C:C,Inventario6!C:C))))),
    _xlpm.invStats, IF(B38=1,Inventario1!D:H,IF(B38=2,Inventario2!D:H,IF(B38=3,Inventario3!D:H,IF(B38=4,Inventario4!D:H,IF(B38=5,Inventario5!D:H,Inventario6!D:H))))),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IF(ROW(A38)=2,"",IF(_xlfn._xlws.FILTER(Equipar!AC$2:AC37,Equipar!B$2:B37=B38)={0},"",_xlfn._xlws.FILTER(Equipar!AC$2:AC37,Equipar!B$2:B37=B38))),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28</v>
      </c>
      <c r="E38" s="11" t="str" cm="1">
        <f t="array" ref="E38">_xlfn.LET(
    _xlpm.jugador, A38,
    _xlpm.idSel, AC38,
    _xlpm.invIDs, IF(B38=1,Inventario1!A:A,IF(B38=2,Inventario2!A:A,IF(B38=3,Inventario3!A:A,IF(B38=4,Inventario4!A:A,IF(B38=5,Inventario5!A:A,Inventario6!A:A))))),
    _xlpm.invCalidad, IF(B38=1,Inventario1!B:B,IF(B38=2,Inventario2!B:B,IF(B38=3,Inventario3!B:B,IF(B38=4,Inventario4!B:B,IF(B38=5,Inventario5!B:B,Inventario6!B:B))))),
    _xlpm.invTipos, IF(B38=1,Inventario1!C:C,IF(B38=2,Inventario2!C:C,IF(B38=3,Inventario3!C:C,IF(B38=4,Inventario4!C:C,IF(B38=5,Inventario5!C:C,Inventario6!C:C))))),
    _xlpm.invStats, IF(B38=1,Inventario1!D:H,IF(B38=2,Inventario2!D:H,IF(B38=3,Inventario3!D:H,IF(B38=4,Inventario4!D:H,IF(B38=5,Inventario5!D:H,Inventario6!D:H))))),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IF(ROW(A38)=2,"",IF(_xlfn._xlws.FILTER(Equipar!AC$2:AC37,Equipar!B$2:B37=B38)={0},"",_xlfn._xlws.FILTER(Equipar!AC$2:AC37,Equipar!B$2:B37=B38))),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38" s="11" t="str" cm="1">
        <f t="array" aca="1" ref="F38" ca="1">_xlfn.LET(
    _xlpm.jugador, B38,
    _xlpm.idSel, AD38,
    _xlpm.invIDs, IF(C38=1,Inventario1!B:B,IF(C38=2,Inventario2!B:B,IF(C38=3,Inventario3!B:B,IF(C38=4,Inventario4!B:B,IF(C38=5,Inventario5!B:B,Inventario6!B:B))))),
    _xlpm.invCalidad, IF(C38=1,Inventario1!C:C,IF(C38=2,Inventario2!C:C,IF(C38=3,Inventario3!C:C,IF(C38=4,Inventario4!C:C,IF(C38=5,Inventario5!C:C,Inventario6!C:C))))),
    _xlpm.invTipos, IF(C38=1,Inventario1!D:D,IF(C38=2,Inventario2!D:D,IF(C38=3,Inventario3!D:D,IF(C38=4,Inventario4!D:D,IF(C38=5,Inventario5!D:D,Inventario6!D:D))))),
    _xlpm.invStats, IF(C38=1,Inventario1!E:I,IF(C38=2,Inventario2!E:I,IF(C38=3,Inventario3!E:I,IF(C38=4,Inventario4!E:I,IF(C38=5,Inventario5!E:I,Inventario6!E:I))))),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IF(ROW(B38)=2,"",IF(_xlfn._xlws.FILTER(Equipar!AD$2:AD37,Equipar!C$2:C37=C38)={0},"",_xlfn._xlws.FILTER(Equipar!AD$2:AD37,Equipar!C$2:C37=C38))),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38" s="10" cm="1">
        <f t="array" aca="1" ref="G38" ca="1">_xlfn.LET(
    _xlpm.jugador, A38,
    _xlpm.idSel, AC38,
    _xlpm.invIDs, IF(B38=1,Inventario1!A:A,IF(B38=2,Inventario2!A:A,IF(B38=3,Inventario3!A:A,IF(B38=4,Inventario4!A:A,IF(B38=5,Inventario5!A:A,Inventario6!A:A))))),
    _xlpm.invCalidad, IF(B38=1,Inventario1!B:B,IF(B38=2,Inventario2!B:B,IF(B38=3,Inventario3!B:B,IF(B38=4,Inventario4!B:B,IF(B38=5,Inventario5!B:B,Inventario6!B:B))))),
    _xlpm.invTipos, IF(B38=1,Inventario1!C:C,IF(B38=2,Inventario2!C:C,IF(B38=3,Inventario3!C:C,IF(B38=4,Inventario4!C:C,IF(B38=5,Inventario5!C:C,Inventario6!C:C))))),
    _xlpm.invStats, IF(B38=1,Inventario1!D:H,IF(B38=2,Inventario2!D:H,IF(B38=3,Inventario3!D:H,IF(B38=4,Inventario4!D:H,IF(B38=5,Inventario5!D:H,Inventario6!D:H))))),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IF(ROW(A38)=2,"",IF(_xlfn._xlws.FILTER(Equipar!AC$2:AC37,Equipar!B$2:B37=B38)={0},"",_xlfn._xlws.FILTER(Equipar!AC$2:AC37,Equipar!B$2:B37=B38))),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131.67000000000002</v>
      </c>
      <c r="H38" s="11" cm="1">
        <f t="array" aca="1" ref="H38" ca="1">_xlfn.LET(
    _xlpm.jugador, A38,
    _xlpm.idSel, AC38,
    _xlpm.invIDs, IF(B38=1,Inventario1!A:A,IF(B38=2,Inventario2!A:A,IF(B38=3,Inventario3!A:A,IF(B38=4,Inventario4!A:A,IF(B38=5,Inventario5!A:A,Inventario6!A:A))))),
    _xlpm.invCalidad, IF(B38=1,Inventario1!B:B,IF(B38=2,Inventario2!B:B,IF(B38=3,Inventario3!B:B,IF(B38=4,Inventario4!B:B,IF(B38=5,Inventario5!B:B,Inventario6!B:B))))),
    _xlpm.invTipos, IF(B38=1,Inventario1!C:C,IF(B38=2,Inventario2!C:C,IF(B38=3,Inventario3!C:C,IF(B38=4,Inventario4!C:C,IF(B38=5,Inventario5!C:C,Inventario6!C:C))))),
    _xlpm.invStats, IF(B38=1,Inventario1!D:H,IF(B38=2,Inventario2!D:H,IF(B38=3,Inventario3!D:H,IF(B38=4,Inventario4!D:H,IF(B38=5,Inventario5!D:H,Inventario6!D:H))))),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IF(ROW(A38)=2,"",IF(_xlfn._xlws.FILTER(Equipar!AC$2:AC37,Equipar!B$2:B37=B38)={0},"",_xlfn._xlws.FILTER(Equipar!AC$2:AC37,Equipar!B$2:B37=B38))),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I38" s="11" cm="1">
        <f t="array" ref="I38">_xlfn.LET(
    _xlpm.jugador, A38,
    _xlpm.idSel, AC38,
    _xlpm.invIDs, IF(B38=1,Inventario1!A:A,IF(B38=2,Inventario2!A:A,IF(B38=3,Inventario3!A:A,IF(B38=4,Inventario4!A:A,IF(B38=5,Inventario5!A:A,Inventario6!A:A))))),
    _xlpm.invCalidad, IF(B38=1,Inventario1!B:B,IF(B38=2,Inventario2!B:B,IF(B38=3,Inventario3!B:B,IF(B38=4,Inventario4!B:B,IF(B38=5,Inventario5!B:B,Inventario6!B:B))))),
    _xlpm.invTipos, IF(B38=1,Inventario1!C:C,IF(B38=2,Inventario2!C:C,IF(B38=3,Inventario3!C:C,IF(B38=4,Inventario4!C:C,IF(B38=5,Inventario5!C:C,Inventario6!C:C))))),
    _xlpm.invStats, IF(B38=1,Inventario1!D:H,IF(B38=2,Inventario2!D:H,IF(B38=3,Inventario3!D:H,IF(B38=4,Inventario4!D:H,IF(B38=5,Inventario5!D:H,Inventario6!D:H))))),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IF(ROW(A38)=2,"",IF(_xlfn._xlws.FILTER(Equipar!AC$2:AC37,Equipar!B$2:B37=B38)={0},"",_xlfn._xlws.FILTER(Equipar!AC$2:AC37,Equipar!B$2:B37=B38))),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38" s="11" cm="1">
        <f t="array" aca="1" ref="J38" ca="1">_xlfn.LET(
    _xlpm.jugador, B38,
    _xlpm.idSel, AD38,
    _xlpm.invIDs, IF(C38=1,Inventario1!B:B,IF(C38=2,Inventario2!B:B,IF(C38=3,Inventario3!B:B,IF(C38=4,Inventario4!B:B,IF(C38=5,Inventario5!B:B,Inventario6!B:B))))),
    _xlpm.invCalidad, IF(C38=1,Inventario1!C:C,IF(C38=2,Inventario2!C:C,IF(C38=3,Inventario3!C:C,IF(C38=4,Inventario4!C:C,IF(C38=5,Inventario5!C:C,Inventario6!C:C))))),
    _xlpm.invTipos, IF(C38=1,Inventario1!D:D,IF(C38=2,Inventario2!D:D,IF(C38=3,Inventario3!D:D,IF(C38=4,Inventario4!D:D,IF(C38=5,Inventario5!D:D,Inventario6!D:D))))),
    _xlpm.invStats, IF(C38=1,Inventario1!E:I,IF(C38=2,Inventario2!E:I,IF(C38=3,Inventario3!E:I,IF(C38=4,Inventario4!E:I,IF(C38=5,Inventario5!E:I,Inventario6!E:I))))),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IF(ROW(B38)=2,"",IF(_xlfn._xlws.FILTER(Equipar!AD$2:AD37,Equipar!C$2:C37=C38)={0},"",_xlfn._xlws.FILTER(Equipar!AD$2:AD37,Equipar!C$2:C37=C38))),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38" s="11">
        <f t="shared" ca="1" si="0"/>
        <v>11.970000000000013</v>
      </c>
      <c r="L38" s="11">
        <f t="shared" ca="1" si="1"/>
        <v>131.67000000000002</v>
      </c>
      <c r="M38" s="11">
        <f t="shared" ca="1" si="1"/>
        <v>119.7</v>
      </c>
      <c r="N38" s="11">
        <f t="shared" ca="1" si="2"/>
        <v>119.7</v>
      </c>
      <c r="O38" s="11">
        <f t="shared" ca="1" si="2"/>
        <v>0</v>
      </c>
      <c r="P38" s="10" cm="1">
        <f t="array" aca="1" ref="P38" ca="1">_xlfn.LET(
    _xlpm.ptsPrinBase, _xlfn._xlws.FILTER(G:G, A:A=A38),
    _xlpm.ptsSecBase,  _xlfn._xlws.FILTER(H:H, A:A=A38),
    _xlpm.puntosPrin, _xlpm.ptsPrinBase + _xlfn._xlws.FILTER(B:B, A:A=A38)/1000,
    _xlpm.puntosSec,  _xlpm.ptsSecBase  + _xlfn._xlws.FILTER(B:B, A:A=A38)/1000,
    _xlpm.puntosPrinValidos, SUM(--(_xlpm.ptsPrinBase&gt;0)),
    _xlpm.puntosSecValidos,  SUM(--(_xlpm.ptsSecBase&gt;0)),
    _xlpm.clave, K38 + B38/1000,
    _xlpm.claves, _xlfn._xlws.FILTER(K:K + B:B/1000, A:A=A38),
    IF(AND(_xlpm.puntosPrinValidos&gt;=4,_xlpm.puntosSecValidos&gt;=2),IF(
        SUM(--(_xlpm.claves &gt; _xlpm.clave)) &lt; 4,
        C38,
        D38
    ),"No disp")
)</f>
        <v>2</v>
      </c>
      <c r="Q38" s="10" t="str" cm="1">
        <f t="array" aca="1" ref="Q38" ca="1">_xlfn.LET(
    _xlpm.puntosPrin, _xlfn._xlws.FILTER(G:G + B:B/1000, A:A=A38),
    _xlpm.puntosPrinValidos, SUM(--(_xlpm.puntosPrin&gt;1)),
    _xlpm.puntosTer, _xlfn._xlws.FILTER(I:I + B:B/1000, A:A=A38),
    _xlpm.puntosTerValidos, SUM(--(_xlpm.puntosTer&gt;1)),
    _xlpm.clave, L38 + B38/1000,
    _xlpm.claves, _xlfn._xlws.FILTER(L:L + B:B/1000, A:A=A38),
    IF(AND(_xlpm.puntosPrinValidos&gt;=4,_xlpm.puntosTerValidos&gt;=2),IF(
        SUM(--(_xlpm.claves &gt; _xlpm.clave)) &lt; 4,
        C38,
        E38
    ),"No disp")
)</f>
        <v>No disp</v>
      </c>
      <c r="R38" s="10" t="str" cm="1">
        <f t="array" aca="1" ref="R38" ca="1">_xlfn.LET(
    _xlpm.puntosPrin, _xlfn._xlws.FILTER(G:G + B:B/1000, A:A=A38),
    _xlpm.puntosPrinValidos, SUM(--(_xlpm.puntosPrin&gt;1)),
    _xlpm.puntosTer, _xlfn._xlws.FILTER(J:J + B:B/1000, A:A=A38),
    _xlpm.puntosTerValidos, SUM(--(_xlpm.puntosTer&gt;1)),
    _xlpm.clave, M38 + B38/1000,
    _xlpm.claves, _xlfn._xlws.FILTER(M:M + B:B/1000, A:A=A38),
    IF(AND(_xlpm.puntosPrinValidos&gt;=4,_xlpm.puntosTerValidos&gt;=2),IF(
        SUM(--(_xlpm.claves &gt; _xlpm.clave)) &lt; 4,
        C38,
        F38
    ),"No disp")
)</f>
        <v>No disp</v>
      </c>
      <c r="S38" s="10" cm="1">
        <f t="array" aca="1" ref="S38" ca="1">_xlfn.LET(
    _xlpm.ptsPrinBase, _xlfn._xlws.FILTER(G:G, A:A=A38),
    _xlpm.ptsSecBase,  _xlfn._xlws.FILTER(H:H, A:A=A38),
    _xlpm.puntosPrin, _xlpm.ptsPrinBase + _xlfn._xlws.FILTER(B:B, A:A=A38)/1000,
    _xlpm.puntosSec,  _xlpm.ptsSecBase  + _xlfn._xlws.FILTER(B:B, A:A=A38)/1000,
    _xlpm.puntosPrinValidos, SUM(--(_xlpm.ptsPrinBase&gt;0)),
    _xlpm.puntosSecValidos,  SUM(--(_xlpm.ptsSecBase&gt;0)),
    _xlpm.clave, K38 + B38/1000,
    _xlpm.claves, _xlfn._xlws.FILTER(K:K + B:B/1000, A:A=A38),
    IF(
        AND(_xlpm.puntosPrinValidos&gt;=2, _xlpm.puntosSecValidos&gt;=4),
        IF(
            SUM(--(_xlpm.claves &lt; _xlpm.clave)) &lt; 4,
            D38,
            C38
        ),
        "No disp"
    )
)</f>
        <v>28</v>
      </c>
      <c r="T38" s="10" t="str" cm="1">
        <f t="array" aca="1" ref="T38" ca="1">_xlfn.LET(
    _xlpm.puntosSec, _xlfn._xlws.FILTER(H:H + B:B/1000, A:A=A38),
    _xlpm.puntosSecValidos, SUM(--(_xlpm.puntosSec&gt;1)),
    _xlpm.puntosAlt, _xlfn._xlws.FILTER(I:I + B:B/1000, A:A=A38),
    _xlpm.puntosAltValidos, SUM(--(_xlpm.puntosAlt&gt;1)),
    _xlpm.clave, N38 + B38/1000,
    _xlpm.claves, _xlfn._xlws.FILTER(N:N + B:B/1000, A:A=A38),
    IF(AND(_xlpm.puntosSecValidos&gt;=4,_xlpm.puntosAltValidos&gt;=2),IF(
        SUM(--(_xlpm.claves &gt; _xlpm.clave)) &lt; 4,
        D38,
        E38
    ),"No disp")
)</f>
        <v>No disp</v>
      </c>
      <c r="U38" s="10" t="str" cm="1">
        <f t="array" aca="1" ref="U38" ca="1">_xlfn.LET(
    _xlpm.puntosSec, _xlfn._xlws.FILTER(H:H + B:B/1000, A:A=A38),
    _xlpm.puntosSecValidos, SUM(--(_xlpm.puntosSec&gt;1)),
    _xlpm.puntosAlt, _xlfn._xlws.FILTER(J:J + B:B/1000, A:A=A38),
    _xlpm.puntosAltValidos, SUM(--(_xlpm.puntosAlt&gt;1)),
    _xlpm.clave, O38 + B38/1000,
    _xlpm.claves, _xlfn._xlws.FILTER(O:O + B:B/1000, A:A=A38),
    IF(AND(_xlpm.puntosSecValidos&gt;=4,_xlpm.puntosAltValidos&gt;=2),IF(
        SUM(--(_xlpm.claves &gt; _xlpm.clave)) &lt; 4,
        D38,
        F38
    ),"No disp")
)</f>
        <v>No disp</v>
      </c>
      <c r="V38" s="11" cm="1">
        <f t="array" aca="1" ref="V38" ca="1">_xlfn.LET(
_xlpm.PrinIDs,_xlfn._xlws.FILTER(C:C,(A:A=A38)),
_xlpm.SecIDs,_xlfn._xlws.FILTER(D:D,(A:A=A38)),
_xlpm.TerIDs,_xlfn._xlws.FILTER(E:E,A:A=A38),
_xlpm.CuaIDs,_xlfn._xlws.FILTER(F:F,(A:A=A38)),
_xlpm.PrinPts,_xlfn._xlws.FILTER(G:G,(A:A=A38)),
_xlpm.SecPts,_xlfn._xlws.FILTER(H:H,(A:A=A38)),
_xlpm.TerPts,_xlfn._xlws.FILTER(I:I,(A:A=A38)),
_xlpm.CuaPts,_xlfn._xlws.FILTER(J:J,(A:A=A38)),
_xlpm.PSIds,_xlfn._xlws.FILTER(P:P,A:A=A38),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587.16000000000008</v>
      </c>
      <c r="W38" s="11" cm="1">
        <f t="array" aca="1" ref="W38" ca="1">_xlfn.LET(
_xlpm.PrinIDs,_xlfn._xlws.FILTER(C:C,(A:A=A38)),
_xlpm.SecIDs,_xlfn._xlws.FILTER(D:D,(A:A=A38)),
_xlpm.TerIDs,_xlfn._xlws.FILTER(E:E,A:A=A38),
_xlpm.CuaIDs,_xlfn._xlws.FILTER(F:F,(A:A=A38)),
_xlpm.PrinPts,_xlfn._xlws.FILTER(G:G,(A:A=A38)),
_xlpm.SecPts,_xlfn._xlws.FILTER(H:H,(A:A=A38)),
_xlpm.TerPts,_xlfn._xlws.FILTER(I:I,(A:A=A38)),
_xlpm.CuaPts,_xlfn._xlws.FILTER(J:J,(A:A=A38)),
_xlpm.PTIds,_xlfn._xlws.FILTER(Q:Q,A:A=A38),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38" s="11" cm="1">
        <f t="array" aca="1" ref="X38" ca="1">_xlfn.LET(
_xlpm.PrinIDs,_xlfn._xlws.FILTER(C:C,(A:A=A38)),
_xlpm.SecIDs,_xlfn._xlws.FILTER(D:D,(A:A=A38)),
_xlpm.TerIDs,_xlfn._xlws.FILTER(E:E,A:A=A38),
_xlpm.CuaIDs,_xlfn._xlws.FILTER(F:F,(A:A=A38)),
_xlpm.PrinPts,_xlfn._xlws.FILTER(G:G,(A:A=A38)),
_xlpm.SecPts,_xlfn._xlws.FILTER(H:H,(A:A=A38)),
_xlpm.TerPts,_xlfn._xlws.FILTER(I:I,(A:A=A38)),
_xlpm.CuaPts,_xlfn._xlws.FILTER(J:J,(A:A=A38)),
_xlpm.PCIds,_xlfn._xlws.FILTER(R:R,A:A=A38),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38" s="11" cm="1">
        <f t="array" aca="1" ref="Y38" ca="1">_xlfn.LET(
_xlpm.PrinIDs,_xlfn._xlws.FILTER(C:C,(A:A=A38)),
_xlpm.SecIDs,_xlfn._xlws.FILTER(D:D,(A:A=A38)),
_xlpm.AltIDs,_xlfn._xlws.FILTER(E:E,A:A=A38),
_xlpm.PrinPts,_xlfn._xlws.FILTER(G:G,(A:A=A38)),
_xlpm.SecPts,_xlfn._xlws.FILTER(H:H,(A:A=A38)),
_xlpm.AltPts,_xlfn._xlws.FILTER(I:I,(A:A=A38)),
_xlpm.SPIds,_xlfn._xlws.FILTER(S:S,A:A=A38),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557.19000000000005</v>
      </c>
      <c r="Z38" s="11" cm="1">
        <f t="array" aca="1" ref="Z38" ca="1">_xlfn.LET(
_xlpm.PrinIDs,_xlfn._xlws.FILTER(C:C,(A:A=A38)),
_xlpm.SecIDs,_xlfn._xlws.FILTER(D:D,(A:A=A38)),
_xlpm.TerIDs,_xlfn._xlws.FILTER(E:E,A:A=A38),
_xlpm.CuaIDs,_xlfn._xlws.FILTER(F:F,(A:A=A38)),
_xlpm.PrinPts,_xlfn._xlws.FILTER(G:G,(A:A=A38)),
_xlpm.SecPts,_xlfn._xlws.FILTER(H:H,(A:A=A38)),
_xlpm.TerPts,_xlfn._xlws.FILTER(I:I,(A:A=A38)),
_xlpm.CuaPts,_xlfn._xlws.FILTER(J:J,(A:A=A38)),
_xlpm.STIds,_xlfn._xlws.FILTER(T:T,A:A=A38),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38" s="11" cm="1">
        <f t="array" aca="1" ref="AA38" ca="1">_xlfn.LET(
_xlpm.PrinIDs,_xlfn._xlws.FILTER(C:C,(A:A=A38)),
_xlpm.SecIDs,_xlfn._xlws.FILTER(D:D,(A:A=A38)),
_xlpm.TerIDs,_xlfn._xlws.FILTER(E:E,A:A=A38),
_xlpm.CuaIDs,_xlfn._xlws.FILTER(F:F,(A:A=A38)),
_xlpm.PrinPts,_xlfn._xlws.FILTER(G:G,(A:A=A38)),
_xlpm.SecPts,_xlfn._xlws.FILTER(H:H,(A:A=A38)),
_xlpm.TerPts,_xlfn._xlws.FILTER(I:I,(A:A=A38)),
_xlpm.CuaPts,_xlfn._xlws.FILTER(J:J,(A:A=A38)),
_xlpm.SCIds,_xlfn._xlws.FILTER(U:U,A:A=A38),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38" s="10">
        <f t="shared" ca="1" si="3"/>
        <v>2</v>
      </c>
      <c r="AC38" s="10">
        <v>2</v>
      </c>
      <c r="AD38" s="11"/>
      <c r="AE38" s="10" t="str">
        <f ca="1">IF(ISNUMBER(AC38),
IF($B38=1,VLOOKUP($AC38,Inventario1!$A:$H,2),
IF($B38=2,VLOOKUP($AC38,Inventario2!$A:$H,2),
IF($B38=3,VLOOKUP($AC38,Inventario3!$A:$H,2),
IF($B38=4,VLOOKUP($AC38,Inventario4!$A:$H,2),
IF($B38=5,VLOOKUP($AC38,Inventario5!$A:$H,2),
VLOOKUP($AC38,Inventario6!$A:$H,2)
))))),"No equipado")</f>
        <v>Legendario</v>
      </c>
      <c r="AF38" s="10" t="str">
        <f ca="1">IF(ISNUMBER(AC38),
IF($B38=1,VLOOKUP($AC38,Inventario1!$A:$H,3),
IF($B38=2,VLOOKUP($AC38,Inventario2!$A:$H,3),
IF($B38=3,VLOOKUP($AC38,Inventario3!$A:$H,3),
IF($B38=4,VLOOKUP($AC38,Inventario4!$A:$H,3),
IF($B38=5,VLOOKUP($AC38,Inventario5!$A:$H,3),
VLOOKUP($AC38,Inventario6!$A:$H,3)
))))),"")</f>
        <v>Poder vibrante</v>
      </c>
      <c r="AG38" s="10" t="str">
        <f ca="1">IF(ISNUMBER(AC38),
IF($B38=1,VLOOKUP($AC38,Inventario1!$A:$H,4),
IF($B38=2,VLOOKUP($AC38,Inventario2!$A:$H,4),
IF($B38=3,VLOOKUP($AC38,Inventario3!$A:$H,4),
IF($B38=4,VLOOKUP($AC38,Inventario4!$A:$H,4),
IF($B38=5,VLOOKUP($AC38,Inventario5!$A:$H,4),
VLOOKUP($AC38,Inventario6!$A:$H,4)
))))),"")</f>
        <v>Ataque poderoso</v>
      </c>
      <c r="AH38" s="10" t="str">
        <f ca="1">IF(ISNUMBER(AC38),
IF($B38=1,VLOOKUP($AC38,Inventario1!$A:$H,5),
IF($B38=2,VLOOKUP($AC38,Inventario2!$A:$H,5),
IF($B38=3,VLOOKUP($AC38,Inventario3!$A:$H,5),
IF($B38=4,VLOOKUP($AC38,Inventario4!$A:$H,5),
IF($B38=5,VLOOKUP($AC38,Inventario5!$A:$H,5),
VLOOKUP($AC38,Inventario6!$A:$H,5)
))))),"")</f>
        <v>Recepción</v>
      </c>
      <c r="AI38" s="10" t="str">
        <f ca="1">IF(ISNUMBER(AC38),
IF($B38=1,VLOOKUP($AC38,Inventario1!$A:$H,6),
IF($B38=2,VLOOKUP($AC38,Inventario2!$A:$H,6),
IF($B38=3,VLOOKUP($AC38,Inventario3!$A:$H,6),
IF($B38=4,VLOOKUP($AC38,Inventario4!$A:$H,6),
IF($B38=5,VLOOKUP($AC38,Inventario5!$A:$H,6),
VLOOKUP($AC38,Inventario6!$A:$H,6)
))))),"")</f>
        <v>Ataque rápido</v>
      </c>
      <c r="AJ38" s="10" t="str">
        <f ca="1">IF(ISNUMBER(AC38),
IF($B38=1,VLOOKUP($AC38,Inventario1!$A:$H,7),
IF($B38=2,VLOOKUP($AC38,Inventario2!$A:$H,7),
IF($B38=3,VLOOKUP($AC38,Inventario3!$A:$H,7),
IF($B38=4,VLOOKUP($AC38,Inventario4!$A:$H,7),
IF($B38=5,VLOOKUP($AC38,Inventario5!$A:$H,7),
VLOOKUP($AC38,Inventario6!$A:$H,7)
))))),"")</f>
        <v>Recepción</v>
      </c>
      <c r="AK38" s="12" t="str">
        <f ca="1">IF(ISNUMBER(AC38),
IF($B38=1,VLOOKUP($AC38,Inventario1!$A:$H,8),
IF($B38=2,VLOOKUP($AC38,Inventario2!$A:$H,8),
IF($B38=3,VLOOKUP($AC38,Inventario3!$A:$H,8),
IF($B38=4,VLOOKUP($AC38,Inventario4!$A:$H,8),
IF($B38=5,VLOOKUP($AC38,Inventario5!$A:$H,8),
VLOOKUP($AC38,Inventario6!$A:$H,8)
))))),"")</f>
        <v>Técnica ofensiva</v>
      </c>
    </row>
    <row r="39" spans="1:37" x14ac:dyDescent="0.25">
      <c r="A39" s="21" t="s">
        <v>19</v>
      </c>
      <c r="B39" s="3">
        <v>2</v>
      </c>
      <c r="C39" s="14" cm="1">
        <f t="array" aca="1" ref="C39" ca="1">_xlfn.LET(
    _xlpm.jugador, A39,
    _xlpm.idSel, AC39,
    _xlpm.invIDs, IF(B39=1,Inventario1!A:A,IF(B39=2,Inventario2!A:A,IF(B39=3,Inventario3!A:A,IF(B39=4,Inventario4!A:A,IF(B39=5,Inventario5!A:A,Inventario6!A:A))))),
    _xlpm.invCalidad, IF(B39=1,Inventario1!B:B,IF(B39=2,Inventario2!B:B,IF(B39=3,Inventario3!B:B,IF(B39=4,Inventario4!B:B,IF(B39=5,Inventario5!B:B,Inventario6!B:B))))),
    _xlpm.invTipos, IF(B39=1,Inventario1!C:C,IF(B39=2,Inventario2!C:C,IF(B39=3,Inventario3!C:C,IF(B39=4,Inventario4!C:C,IF(B39=5,Inventario5!C:C,Inventario6!C:C))))),
    _xlpm.invStats, IF(B39=1,Inventario1!D:H,IF(B39=2,Inventario2!D:H,IF(B39=3,Inventario3!D:H,IF(B39=4,Inventario4!D:H,IF(B39=5,Inventario5!D:H,Inventario6!D:H))))),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IF(ROW(A39)=2,"",IF(_xlfn._xlws.FILTER(Equipar!AC$2:AC38,Equipar!B$2:B38=B39)={0},"",_xlfn._xlws.FILTER(Equipar!AC$2:AC38,Equipar!B$2:B38=B39))),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33</v>
      </c>
      <c r="D39" s="4" cm="1">
        <f t="array" aca="1" ref="D39" ca="1">_xlfn.LET(
    _xlpm.jugador, A39,
    _xlpm.idSel, AC39,
    _xlpm.invIDs, IF(B39=1,Inventario1!A:A,IF(B39=2,Inventario2!A:A,IF(B39=3,Inventario3!A:A,IF(B39=4,Inventario4!A:A,IF(B39=5,Inventario5!A:A,Inventario6!A:A))))),
    _xlpm.invCalidad, IF(B39=1,Inventario1!B:B,IF(B39=2,Inventario2!B:B,IF(B39=3,Inventario3!B:B,IF(B39=4,Inventario4!B:B,IF(B39=5,Inventario5!B:B,Inventario6!B:B))))),
    _xlpm.invTipos, IF(B39=1,Inventario1!C:C,IF(B39=2,Inventario2!C:C,IF(B39=3,Inventario3!C:C,IF(B39=4,Inventario4!C:C,IF(B39=5,Inventario5!C:C,Inventario6!C:C))))),
    _xlpm.invStats, IF(B39=1,Inventario1!D:H,IF(B39=2,Inventario2!D:H,IF(B39=3,Inventario3!D:H,IF(B39=4,Inventario4!D:H,IF(B39=5,Inventario5!D:H,Inventario6!D:H))))),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IF(ROW(A39)=2,"",IF(_xlfn._xlws.FILTER(Equipar!AC$2:AC38,Equipar!B$2:B38=B39)={0},"",_xlfn._xlws.FILTER(Equipar!AC$2:AC38,Equipar!B$2:B38=B39))),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51</v>
      </c>
      <c r="E39" s="4" t="str" cm="1">
        <f t="array" ref="E39">_xlfn.LET(
    _xlpm.jugador, A39,
    _xlpm.idSel, AC39,
    _xlpm.invIDs, IF(B39=1,Inventario1!A:A,IF(B39=2,Inventario2!A:A,IF(B39=3,Inventario3!A:A,IF(B39=4,Inventario4!A:A,IF(B39=5,Inventario5!A:A,Inventario6!A:A))))),
    _xlpm.invCalidad, IF(B39=1,Inventario1!B:B,IF(B39=2,Inventario2!B:B,IF(B39=3,Inventario3!B:B,IF(B39=4,Inventario4!B:B,IF(B39=5,Inventario5!B:B,Inventario6!B:B))))),
    _xlpm.invTipos, IF(B39=1,Inventario1!C:C,IF(B39=2,Inventario2!C:C,IF(B39=3,Inventario3!C:C,IF(B39=4,Inventario4!C:C,IF(B39=5,Inventario5!C:C,Inventario6!C:C))))),
    _xlpm.invStats, IF(B39=1,Inventario1!D:H,IF(B39=2,Inventario2!D:H,IF(B39=3,Inventario3!D:H,IF(B39=4,Inventario4!D:H,IF(B39=5,Inventario5!D:H,Inventario6!D:H))))),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IF(ROW(A39)=2,"",IF(_xlfn._xlws.FILTER(Equipar!AC$2:AC38,Equipar!B$2:B38=B39)={0},"",_xlfn._xlws.FILTER(Equipar!AC$2:AC38,Equipar!B$2:B38=B39))),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39" s="4" t="str" cm="1">
        <f t="array" aca="1" ref="F39" ca="1">_xlfn.LET(
    _xlpm.jugador, B39,
    _xlpm.idSel, AD39,
    _xlpm.invIDs, IF(C39=1,Inventario1!B:B,IF(C39=2,Inventario2!B:B,IF(C39=3,Inventario3!B:B,IF(C39=4,Inventario4!B:B,IF(C39=5,Inventario5!B:B,Inventario6!B:B))))),
    _xlpm.invCalidad, IF(C39=1,Inventario1!C:C,IF(C39=2,Inventario2!C:C,IF(C39=3,Inventario3!C:C,IF(C39=4,Inventario4!C:C,IF(C39=5,Inventario5!C:C,Inventario6!C:C))))),
    _xlpm.invTipos, IF(C39=1,Inventario1!D:D,IF(C39=2,Inventario2!D:D,IF(C39=3,Inventario3!D:D,IF(C39=4,Inventario4!D:D,IF(C39=5,Inventario5!D:D,Inventario6!D:D))))),
    _xlpm.invStats, IF(C39=1,Inventario1!E:I,IF(C39=2,Inventario2!E:I,IF(C39=3,Inventario3!E:I,IF(C39=4,Inventario4!E:I,IF(C39=5,Inventario5!E:I,Inventario6!E:I))))),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IF(ROW(B39)=2,"",IF(_xlfn._xlws.FILTER(Equipar!AD$2:AD38,Equipar!C$2:C38=C39)={0},"",_xlfn._xlws.FILTER(Equipar!AD$2:AD38,Equipar!C$2:C38=C39))),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39" s="14" cm="1">
        <f t="array" aca="1" ref="G39" ca="1">_xlfn.LET(
    _xlpm.jugador, A39,
    _xlpm.idSel, AC39,
    _xlpm.invIDs, IF(B39=1,Inventario1!A:A,IF(B39=2,Inventario2!A:A,IF(B39=3,Inventario3!A:A,IF(B39=4,Inventario4!A:A,IF(B39=5,Inventario5!A:A,Inventario6!A:A))))),
    _xlpm.invCalidad, IF(B39=1,Inventario1!B:B,IF(B39=2,Inventario2!B:B,IF(B39=3,Inventario3!B:B,IF(B39=4,Inventario4!B:B,IF(B39=5,Inventario5!B:B,Inventario6!B:B))))),
    _xlpm.invTipos, IF(B39=1,Inventario1!C:C,IF(B39=2,Inventario2!C:C,IF(B39=3,Inventario3!C:C,IF(B39=4,Inventario4!C:C,IF(B39=5,Inventario5!C:C,Inventario6!C:C))))),
    _xlpm.invStats, IF(B39=1,Inventario1!D:H,IF(B39=2,Inventario2!D:H,IF(B39=3,Inventario3!D:H,IF(B39=4,Inventario4!D:H,IF(B39=5,Inventario5!D:H,Inventario6!D:H))))),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IF(ROW(A39)=2,"",IF(_xlfn._xlws.FILTER(Equipar!AC$2:AC38,Equipar!B$2:B38=B39)={0},"",_xlfn._xlws.FILTER(Equipar!AC$2:AC38,Equipar!B$2:B38=B39))),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H39" s="4" cm="1">
        <f t="array" aca="1" ref="H39" ca="1">_xlfn.LET(
    _xlpm.jugador, A39,
    _xlpm.idSel, AC39,
    _xlpm.invIDs, IF(B39=1,Inventario1!A:A,IF(B39=2,Inventario2!A:A,IF(B39=3,Inventario3!A:A,IF(B39=4,Inventario4!A:A,IF(B39=5,Inventario5!A:A,Inventario6!A:A))))),
    _xlpm.invCalidad, IF(B39=1,Inventario1!B:B,IF(B39=2,Inventario2!B:B,IF(B39=3,Inventario3!B:B,IF(B39=4,Inventario4!B:B,IF(B39=5,Inventario5!B:B,Inventario6!B:B))))),
    _xlpm.invTipos, IF(B39=1,Inventario1!C:C,IF(B39=2,Inventario2!C:C,IF(B39=3,Inventario3!C:C,IF(B39=4,Inventario4!C:C,IF(B39=5,Inventario5!C:C,Inventario6!C:C))))),
    _xlpm.invStats, IF(B39=1,Inventario1!D:H,IF(B39=2,Inventario2!D:H,IF(B39=3,Inventario3!D:H,IF(B39=4,Inventario4!D:H,IF(B39=5,Inventario5!D:H,Inventario6!D:H))))),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IF(ROW(A39)=2,"",IF(_xlfn._xlws.FILTER(Equipar!AC$2:AC38,Equipar!B$2:B38=B39)={0},"",_xlfn._xlws.FILTER(Equipar!AC$2:AC38,Equipar!B$2:B38=B39))),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I39" s="4" cm="1">
        <f t="array" ref="I39">_xlfn.LET(
    _xlpm.jugador, A39,
    _xlpm.idSel, AC39,
    _xlpm.invIDs, IF(B39=1,Inventario1!A:A,IF(B39=2,Inventario2!A:A,IF(B39=3,Inventario3!A:A,IF(B39=4,Inventario4!A:A,IF(B39=5,Inventario5!A:A,Inventario6!A:A))))),
    _xlpm.invCalidad, IF(B39=1,Inventario1!B:B,IF(B39=2,Inventario2!B:B,IF(B39=3,Inventario3!B:B,IF(B39=4,Inventario4!B:B,IF(B39=5,Inventario5!B:B,Inventario6!B:B))))),
    _xlpm.invTipos, IF(B39=1,Inventario1!C:C,IF(B39=2,Inventario2!C:C,IF(B39=3,Inventario3!C:C,IF(B39=4,Inventario4!C:C,IF(B39=5,Inventario5!C:C,Inventario6!C:C))))),
    _xlpm.invStats, IF(B39=1,Inventario1!D:H,IF(B39=2,Inventario2!D:H,IF(B39=3,Inventario3!D:H,IF(B39=4,Inventario4!D:H,IF(B39=5,Inventario5!D:H,Inventario6!D:H))))),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IF(ROW(A39)=2,"",IF(_xlfn._xlws.FILTER(Equipar!AC$2:AC38,Equipar!B$2:B38=B39)={0},"",_xlfn._xlws.FILTER(Equipar!AC$2:AC38,Equipar!B$2:B38=B39))),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39" s="4" cm="1">
        <f t="array" aca="1" ref="J39" ca="1">_xlfn.LET(
    _xlpm.jugador, B39,
    _xlpm.idSel, AD39,
    _xlpm.invIDs, IF(C39=1,Inventario1!B:B,IF(C39=2,Inventario2!B:B,IF(C39=3,Inventario3!B:B,IF(C39=4,Inventario4!B:B,IF(C39=5,Inventario5!B:B,Inventario6!B:B))))),
    _xlpm.invCalidad, IF(C39=1,Inventario1!C:C,IF(C39=2,Inventario2!C:C,IF(C39=3,Inventario3!C:C,IF(C39=4,Inventario4!C:C,IF(C39=5,Inventario5!C:C,Inventario6!C:C))))),
    _xlpm.invTipos, IF(C39=1,Inventario1!D:D,IF(C39=2,Inventario2!D:D,IF(C39=3,Inventario3!D:D,IF(C39=4,Inventario4!D:D,IF(C39=5,Inventario5!D:D,Inventario6!D:D))))),
    _xlpm.invStats, IF(C39=1,Inventario1!E:I,IF(C39=2,Inventario2!E:I,IF(C39=3,Inventario3!E:I,IF(C39=4,Inventario4!E:I,IF(C39=5,Inventario5!E:I,Inventario6!E:I))))),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IF(ROW(B39)=2,"",IF(_xlfn._xlws.FILTER(Equipar!AD$2:AD38,Equipar!C$2:C38=C39)={0},"",_xlfn._xlws.FILTER(Equipar!AD$2:AD38,Equipar!C$2:C38=C39))),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39" s="4">
        <f t="shared" ca="1" si="0"/>
        <v>0</v>
      </c>
      <c r="L39" s="4">
        <f t="shared" ca="1" si="1"/>
        <v>81</v>
      </c>
      <c r="M39" s="4">
        <f t="shared" ca="1" si="1"/>
        <v>81</v>
      </c>
      <c r="N39" s="4">
        <f t="shared" ca="1" si="2"/>
        <v>81</v>
      </c>
      <c r="O39" s="4">
        <f t="shared" ca="1" si="2"/>
        <v>0</v>
      </c>
      <c r="P39" s="14" cm="1">
        <f t="array" aca="1" ref="P39" ca="1">_xlfn.LET(
    _xlpm.ptsPrinBase, _xlfn._xlws.FILTER(G:G, A:A=A39),
    _xlpm.ptsSecBase,  _xlfn._xlws.FILTER(H:H, A:A=A39),
    _xlpm.puntosPrin, _xlpm.ptsPrinBase + _xlfn._xlws.FILTER(B:B, A:A=A39)/1000,
    _xlpm.puntosSec,  _xlpm.ptsSecBase  + _xlfn._xlws.FILTER(B:B, A:A=A39)/1000,
    _xlpm.puntosPrinValidos, SUM(--(_xlpm.ptsPrinBase&gt;0)),
    _xlpm.puntosSecValidos,  SUM(--(_xlpm.ptsSecBase&gt;0)),
    _xlpm.clave, K39 + B39/1000,
    _xlpm.claves, _xlfn._xlws.FILTER(K:K + B:B/1000, A:A=A39),
    IF(AND(_xlpm.puntosPrinValidos&gt;=4,_xlpm.puntosSecValidos&gt;=2),IF(
        SUM(--(_xlpm.claves &gt; _xlpm.clave)) &lt; 4,
        C39,
        D39
    ),"No disp")
)</f>
        <v>51</v>
      </c>
      <c r="Q39" s="14" t="str" cm="1">
        <f t="array" aca="1" ref="Q39" ca="1">_xlfn.LET(
    _xlpm.puntosPrin, _xlfn._xlws.FILTER(G:G + B:B/1000, A:A=A39),
    _xlpm.puntosPrinValidos, SUM(--(_xlpm.puntosPrin&gt;1)),
    _xlpm.puntosTer, _xlfn._xlws.FILTER(I:I + B:B/1000, A:A=A39),
    _xlpm.puntosTerValidos, SUM(--(_xlpm.puntosTer&gt;1)),
    _xlpm.clave, L39 + B39/1000,
    _xlpm.claves, _xlfn._xlws.FILTER(L:L + B:B/1000, A:A=A39),
    IF(AND(_xlpm.puntosPrinValidos&gt;=4,_xlpm.puntosTerValidos&gt;=2),IF(
        SUM(--(_xlpm.claves &gt; _xlpm.clave)) &lt; 4,
        C39,
        E39
    ),"No disp")
)</f>
        <v>No disp</v>
      </c>
      <c r="R39" s="14" t="str" cm="1">
        <f t="array" aca="1" ref="R39" ca="1">_xlfn.LET(
    _xlpm.puntosPrin, _xlfn._xlws.FILTER(G:G + B:B/1000, A:A=A39),
    _xlpm.puntosPrinValidos, SUM(--(_xlpm.puntosPrin&gt;1)),
    _xlpm.puntosTer, _xlfn._xlws.FILTER(J:J + B:B/1000, A:A=A39),
    _xlpm.puntosTerValidos, SUM(--(_xlpm.puntosTer&gt;1)),
    _xlpm.clave, M39 + B39/1000,
    _xlpm.claves, _xlfn._xlws.FILTER(M:M + B:B/1000, A:A=A39),
    IF(AND(_xlpm.puntosPrinValidos&gt;=4,_xlpm.puntosTerValidos&gt;=2),IF(
        SUM(--(_xlpm.claves &gt; _xlpm.clave)) &lt; 4,
        C39,
        F39
    ),"No disp")
)</f>
        <v>No disp</v>
      </c>
      <c r="S39" s="14" cm="1">
        <f t="array" aca="1" ref="S39" ca="1">_xlfn.LET(
    _xlpm.ptsPrinBase, _xlfn._xlws.FILTER(G:G, A:A=A39),
    _xlpm.ptsSecBase,  _xlfn._xlws.FILTER(H:H, A:A=A39),
    _xlpm.puntosPrin, _xlpm.ptsPrinBase + _xlfn._xlws.FILTER(B:B, A:A=A39)/1000,
    _xlpm.puntosSec,  _xlpm.ptsSecBase  + _xlfn._xlws.FILTER(B:B, A:A=A39)/1000,
    _xlpm.puntosPrinValidos, SUM(--(_xlpm.ptsPrinBase&gt;0)),
    _xlpm.puntosSecValidos,  SUM(--(_xlpm.ptsSecBase&gt;0)),
    _xlpm.clave, K39 + B39/1000,
    _xlpm.claves, _xlfn._xlws.FILTER(K:K + B:B/1000, A:A=A39),
    IF(
        AND(_xlpm.puntosPrinValidos&gt;=2, _xlpm.puntosSecValidos&gt;=4),
        IF(
            SUM(--(_xlpm.claves &lt; _xlpm.clave)) &lt; 4,
            D39,
            C39
        ),
        "No disp"
    )
)</f>
        <v>51</v>
      </c>
      <c r="T39" s="14" t="str" cm="1">
        <f t="array" aca="1" ref="T39" ca="1">_xlfn.LET(
    _xlpm.puntosSec, _xlfn._xlws.FILTER(H:H + B:B/1000, A:A=A39),
    _xlpm.puntosSecValidos, SUM(--(_xlpm.puntosSec&gt;1)),
    _xlpm.puntosAlt, _xlfn._xlws.FILTER(I:I + B:B/1000, A:A=A39),
    _xlpm.puntosAltValidos, SUM(--(_xlpm.puntosAlt&gt;1)),
    _xlpm.clave, N39 + B39/1000,
    _xlpm.claves, _xlfn._xlws.FILTER(N:N + B:B/1000, A:A=A39),
    IF(AND(_xlpm.puntosSecValidos&gt;=4,_xlpm.puntosAltValidos&gt;=2),IF(
        SUM(--(_xlpm.claves &gt; _xlpm.clave)) &lt; 4,
        D39,
        E39
    ),"No disp")
)</f>
        <v>No disp</v>
      </c>
      <c r="U39" s="14" t="str" cm="1">
        <f t="array" aca="1" ref="U39" ca="1">_xlfn.LET(
    _xlpm.puntosSec, _xlfn._xlws.FILTER(H:H + B:B/1000, A:A=A39),
    _xlpm.puntosSecValidos, SUM(--(_xlpm.puntosSec&gt;1)),
    _xlpm.puntosAlt, _xlfn._xlws.FILTER(J:J + B:B/1000, A:A=A39),
    _xlpm.puntosAltValidos, SUM(--(_xlpm.puntosAlt&gt;1)),
    _xlpm.clave, O39 + B39/1000,
    _xlpm.claves, _xlfn._xlws.FILTER(O:O + B:B/1000, A:A=A39),
    IF(AND(_xlpm.puntosSecValidos&gt;=4,_xlpm.puntosAltValidos&gt;=2),IF(
        SUM(--(_xlpm.claves &gt; _xlpm.clave)) &lt; 4,
        D39,
        F39
    ),"No disp")
)</f>
        <v>No disp</v>
      </c>
      <c r="V39" s="4" cm="1">
        <f t="array" aca="1" ref="V39" ca="1">_xlfn.LET(
_xlpm.PrinIDs,_xlfn._xlws.FILTER(C:C,(A:A=A39)),
_xlpm.SecIDs,_xlfn._xlws.FILTER(D:D,(A:A=A39)),
_xlpm.TerIDs,_xlfn._xlws.FILTER(E:E,A:A=A39),
_xlpm.CuaIDs,_xlfn._xlws.FILTER(F:F,(A:A=A39)),
_xlpm.PrinPts,_xlfn._xlws.FILTER(G:G,(A:A=A39)),
_xlpm.SecPts,_xlfn._xlws.FILTER(H:H,(A:A=A39)),
_xlpm.TerPts,_xlfn._xlws.FILTER(I:I,(A:A=A39)),
_xlpm.CuaPts,_xlfn._xlws.FILTER(J:J,(A:A=A39)),
_xlpm.PSIds,_xlfn._xlws.FILTER(P:P,A:A=A39),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587.16000000000008</v>
      </c>
      <c r="W39" s="4" cm="1">
        <f t="array" aca="1" ref="W39" ca="1">_xlfn.LET(
_xlpm.PrinIDs,_xlfn._xlws.FILTER(C:C,(A:A=A39)),
_xlpm.SecIDs,_xlfn._xlws.FILTER(D:D,(A:A=A39)),
_xlpm.TerIDs,_xlfn._xlws.FILTER(E:E,A:A=A39),
_xlpm.CuaIDs,_xlfn._xlws.FILTER(F:F,(A:A=A39)),
_xlpm.PrinPts,_xlfn._xlws.FILTER(G:G,(A:A=A39)),
_xlpm.SecPts,_xlfn._xlws.FILTER(H:H,(A:A=A39)),
_xlpm.TerPts,_xlfn._xlws.FILTER(I:I,(A:A=A39)),
_xlpm.CuaPts,_xlfn._xlws.FILTER(J:J,(A:A=A39)),
_xlpm.PTIds,_xlfn._xlws.FILTER(Q:Q,A:A=A39),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39" s="4" cm="1">
        <f t="array" aca="1" ref="X39" ca="1">_xlfn.LET(
_xlpm.PrinIDs,_xlfn._xlws.FILTER(C:C,(A:A=A39)),
_xlpm.SecIDs,_xlfn._xlws.FILTER(D:D,(A:A=A39)),
_xlpm.TerIDs,_xlfn._xlws.FILTER(E:E,A:A=A39),
_xlpm.CuaIDs,_xlfn._xlws.FILTER(F:F,(A:A=A39)),
_xlpm.PrinPts,_xlfn._xlws.FILTER(G:G,(A:A=A39)),
_xlpm.SecPts,_xlfn._xlws.FILTER(H:H,(A:A=A39)),
_xlpm.TerPts,_xlfn._xlws.FILTER(I:I,(A:A=A39)),
_xlpm.CuaPts,_xlfn._xlws.FILTER(J:J,(A:A=A39)),
_xlpm.PCIds,_xlfn._xlws.FILTER(R:R,A:A=A39),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39" s="4" cm="1">
        <f t="array" aca="1" ref="Y39" ca="1">_xlfn.LET(
_xlpm.PrinIDs,_xlfn._xlws.FILTER(C:C,(A:A=A39)),
_xlpm.SecIDs,_xlfn._xlws.FILTER(D:D,(A:A=A39)),
_xlpm.AltIDs,_xlfn._xlws.FILTER(E:E,A:A=A39),
_xlpm.PrinPts,_xlfn._xlws.FILTER(G:G,(A:A=A39)),
_xlpm.SecPts,_xlfn._xlws.FILTER(H:H,(A:A=A39)),
_xlpm.AltPts,_xlfn._xlws.FILTER(I:I,(A:A=A39)),
_xlpm.SPIds,_xlfn._xlws.FILTER(S:S,A:A=A39),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557.19000000000005</v>
      </c>
      <c r="Z39" s="4" cm="1">
        <f t="array" aca="1" ref="Z39" ca="1">_xlfn.LET(
_xlpm.PrinIDs,_xlfn._xlws.FILTER(C:C,(A:A=A39)),
_xlpm.SecIDs,_xlfn._xlws.FILTER(D:D,(A:A=A39)),
_xlpm.TerIDs,_xlfn._xlws.FILTER(E:E,A:A=A39),
_xlpm.CuaIDs,_xlfn._xlws.FILTER(F:F,(A:A=A39)),
_xlpm.PrinPts,_xlfn._xlws.FILTER(G:G,(A:A=A39)),
_xlpm.SecPts,_xlfn._xlws.FILTER(H:H,(A:A=A39)),
_xlpm.TerPts,_xlfn._xlws.FILTER(I:I,(A:A=A39)),
_xlpm.CuaPts,_xlfn._xlws.FILTER(J:J,(A:A=A39)),
_xlpm.STIds,_xlfn._xlws.FILTER(T:T,A:A=A39),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39" s="4" cm="1">
        <f t="array" aca="1" ref="AA39" ca="1">_xlfn.LET(
_xlpm.PrinIDs,_xlfn._xlws.FILTER(C:C,(A:A=A39)),
_xlpm.SecIDs,_xlfn._xlws.FILTER(D:D,(A:A=A39)),
_xlpm.TerIDs,_xlfn._xlws.FILTER(E:E,A:A=A39),
_xlpm.CuaIDs,_xlfn._xlws.FILTER(F:F,(A:A=A39)),
_xlpm.PrinPts,_xlfn._xlws.FILTER(G:G,(A:A=A39)),
_xlpm.SecPts,_xlfn._xlws.FILTER(H:H,(A:A=A39)),
_xlpm.TerPts,_xlfn._xlws.FILTER(I:I,(A:A=A39)),
_xlpm.CuaPts,_xlfn._xlws.FILTER(J:J,(A:A=A39)),
_xlpm.SCIds,_xlfn._xlws.FILTER(U:U,A:A=A39),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39" s="14">
        <f t="shared" ca="1" si="3"/>
        <v>51</v>
      </c>
      <c r="AC39" s="14">
        <v>51</v>
      </c>
      <c r="AD39" s="4"/>
      <c r="AE39" s="14" t="str">
        <f ca="1">IF(ISNUMBER(AC39),
IF($B39=1,VLOOKUP($AC39,Inventario1!$A:$H,2),
IF($B39=2,VLOOKUP($AC39,Inventario2!$A:$H,2),
IF($B39=3,VLOOKUP($AC39,Inventario3!$A:$H,2),
IF($B39=4,VLOOKUP($AC39,Inventario4!$A:$H,2),
IF($B39=5,VLOOKUP($AC39,Inventario5!$A:$H,2),
VLOOKUP($AC39,Inventario6!$A:$H,2)
))))),"No equipado")</f>
        <v>Épico</v>
      </c>
      <c r="AF39" s="14" t="str">
        <f ca="1">IF(ISNUMBER(AC39),
IF($B39=1,VLOOKUP($AC39,Inventario1!$A:$H,3),
IF($B39=2,VLOOKUP($AC39,Inventario2!$A:$H,3),
IF($B39=3,VLOOKUP($AC39,Inventario3!$A:$H,3),
IF($B39=4,VLOOKUP($AC39,Inventario4!$A:$H,3),
IF($B39=5,VLOOKUP($AC39,Inventario5!$A:$H,3),
VLOOKUP($AC39,Inventario6!$A:$H,3)
))))),"")</f>
        <v>Recepción de asistencia</v>
      </c>
      <c r="AG39" s="14" t="str">
        <f ca="1">IF(ISNUMBER(AC39),
IF($B39=1,VLOOKUP($AC39,Inventario1!$A:$H,4),
IF($B39=2,VLOOKUP($AC39,Inventario2!$A:$H,4),
IF($B39=3,VLOOKUP($AC39,Inventario3!$A:$H,4),
IF($B39=4,VLOOKUP($AC39,Inventario4!$A:$H,4),
IF($B39=5,VLOOKUP($AC39,Inventario5!$A:$H,4),
VLOOKUP($AC39,Inventario6!$A:$H,4)
))))),"")</f>
        <v>Ataque poderoso</v>
      </c>
      <c r="AH39" s="14" t="str">
        <f ca="1">IF(ISNUMBER(AC39),
IF($B39=1,VLOOKUP($AC39,Inventario1!$A:$H,5),
IF($B39=2,VLOOKUP($AC39,Inventario2!$A:$H,5),
IF($B39=3,VLOOKUP($AC39,Inventario3!$A:$H,5),
IF($B39=4,VLOOKUP($AC39,Inventario4!$A:$H,5),
IF($B39=5,VLOOKUP($AC39,Inventario5!$A:$H,5),
VLOOKUP($AC39,Inventario6!$A:$H,5)
))))),"")</f>
        <v>Recepción</v>
      </c>
      <c r="AI39" s="14" t="str">
        <f ca="1">IF(ISNUMBER(AC39),
IF($B39=1,VLOOKUP($AC39,Inventario1!$A:$H,6),
IF($B39=2,VLOOKUP($AC39,Inventario2!$A:$H,6),
IF($B39=3,VLOOKUP($AC39,Inventario3!$A:$H,6),
IF($B39=4,VLOOKUP($AC39,Inventario4!$A:$H,6),
IF($B39=5,VLOOKUP($AC39,Inventario5!$A:$H,6),
VLOOKUP($AC39,Inventario6!$A:$H,6)
))))),"")</f>
        <v>Colocación</v>
      </c>
      <c r="AJ39" s="14" t="str">
        <f ca="1">IF(ISNUMBER(AC39),
IF($B39=1,VLOOKUP($AC39,Inventario1!$A:$H,7),
IF($B39=2,VLOOKUP($AC39,Inventario2!$A:$H,7),
IF($B39=3,VLOOKUP($AC39,Inventario3!$A:$H,7),
IF($B39=4,VLOOKUP($AC39,Inventario4!$A:$H,7),
IF($B39=5,VLOOKUP($AC39,Inventario5!$A:$H,7),
VLOOKUP($AC39,Inventario6!$A:$H,7)
))))),"")</f>
        <v>Ataque poderoso</v>
      </c>
      <c r="AK39" s="15">
        <f ca="1">IF(ISNUMBER(AC39),
IF($B39=1,VLOOKUP($AC39,Inventario1!$A:$H,8),
IF($B39=2,VLOOKUP($AC39,Inventario2!$A:$H,8),
IF($B39=3,VLOOKUP($AC39,Inventario3!$A:$H,8),
IF($B39=4,VLOOKUP($AC39,Inventario4!$A:$H,8),
IF($B39=5,VLOOKUP($AC39,Inventario5!$A:$H,8),
VLOOKUP($AC39,Inventario6!$A:$H,8)
))))),"")</f>
        <v>0</v>
      </c>
    </row>
    <row r="40" spans="1:37" x14ac:dyDescent="0.25">
      <c r="A40" s="21" t="s">
        <v>19</v>
      </c>
      <c r="B40" s="3">
        <v>3</v>
      </c>
      <c r="C40" s="14" cm="1">
        <f t="array" ref="C40">_xlfn.LET(
    _xlpm.jugador, A40,
    _xlpm.idSel, AC40,
    _xlpm.invIDs, IF(B40=1,Inventario1!A:A,IF(B40=2,Inventario2!A:A,IF(B40=3,Inventario3!A:A,IF(B40=4,Inventario4!A:A,IF(B40=5,Inventario5!A:A,Inventario6!A:A))))),
    _xlpm.invCalidad, IF(B40=1,Inventario1!B:B,IF(B40=2,Inventario2!B:B,IF(B40=3,Inventario3!B:B,IF(B40=4,Inventario4!B:B,IF(B40=5,Inventario5!B:B,Inventario6!B:B))))),
    _xlpm.invTipos, IF(B40=1,Inventario1!C:C,IF(B40=2,Inventario2!C:C,IF(B40=3,Inventario3!C:C,IF(B40=4,Inventario4!C:C,IF(B40=5,Inventario5!C:C,Inventario6!C:C))))),
    _xlpm.invStats, IF(B40=1,Inventario1!D:H,IF(B40=2,Inventario2!D:H,IF(B40=3,Inventario3!D:H,IF(B40=4,Inventario4!D:H,IF(B40=5,Inventario5!D:H,Inventario6!D:H))))),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IF(ROW(A40)=2,"",IF(_xlfn._xlws.FILTER(Equipar!AC$2:AC39,Equipar!B$2:B39=B40)={0},"",_xlfn._xlws.FILTER(Equipar!AC$2:AC39,Equipar!B$2:B39=B40))),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</v>
      </c>
      <c r="D40" s="4" cm="1">
        <f t="array" aca="1" ref="D40" ca="1">_xlfn.LET(
    _xlpm.jugador, A40,
    _xlpm.idSel, AC40,
    _xlpm.invIDs, IF(B40=1,Inventario1!A:A,IF(B40=2,Inventario2!A:A,IF(B40=3,Inventario3!A:A,IF(B40=4,Inventario4!A:A,IF(B40=5,Inventario5!A:A,Inventario6!A:A))))),
    _xlpm.invCalidad, IF(B40=1,Inventario1!B:B,IF(B40=2,Inventario2!B:B,IF(B40=3,Inventario3!B:B,IF(B40=4,Inventario4!B:B,IF(B40=5,Inventario5!B:B,Inventario6!B:B))))),
    _xlpm.invTipos, IF(B40=1,Inventario1!C:C,IF(B40=2,Inventario2!C:C,IF(B40=3,Inventario3!C:C,IF(B40=4,Inventario4!C:C,IF(B40=5,Inventario5!C:C,Inventario6!C:C))))),
    _xlpm.invStats, IF(B40=1,Inventario1!D:H,IF(B40=2,Inventario2!D:H,IF(B40=3,Inventario3!D:H,IF(B40=4,Inventario4!D:H,IF(B40=5,Inventario5!D:H,Inventario6!D:H))))),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IF(ROW(A40)=2,"",IF(_xlfn._xlws.FILTER(Equipar!AC$2:AC39,Equipar!B$2:B39=B40)={0},"",_xlfn._xlws.FILTER(Equipar!AC$2:AC39,Equipar!B$2:B39=B40))),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137</v>
      </c>
      <c r="E40" s="4" t="str" cm="1">
        <f t="array" ref="E40">_xlfn.LET(
    _xlpm.jugador, A40,
    _xlpm.idSel, AC40,
    _xlpm.invIDs, IF(B40=1,Inventario1!A:A,IF(B40=2,Inventario2!A:A,IF(B40=3,Inventario3!A:A,IF(B40=4,Inventario4!A:A,IF(B40=5,Inventario5!A:A,Inventario6!A:A))))),
    _xlpm.invCalidad, IF(B40=1,Inventario1!B:B,IF(B40=2,Inventario2!B:B,IF(B40=3,Inventario3!B:B,IF(B40=4,Inventario4!B:B,IF(B40=5,Inventario5!B:B,Inventario6!B:B))))),
    _xlpm.invTipos, IF(B40=1,Inventario1!C:C,IF(B40=2,Inventario2!C:C,IF(B40=3,Inventario3!C:C,IF(B40=4,Inventario4!C:C,IF(B40=5,Inventario5!C:C,Inventario6!C:C))))),
    _xlpm.invStats, IF(B40=1,Inventario1!D:H,IF(B40=2,Inventario2!D:H,IF(B40=3,Inventario3!D:H,IF(B40=4,Inventario4!D:H,IF(B40=5,Inventario5!D:H,Inventario6!D:H))))),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IF(ROW(A40)=2,"",IF(_xlfn._xlws.FILTER(Equipar!AC$2:AC39,Equipar!B$2:B39=B40)={0},"",_xlfn._xlws.FILTER(Equipar!AC$2:AC39,Equipar!B$2:B39=B40))),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40" s="4" t="str" cm="1">
        <f t="array" aca="1" ref="F40" ca="1">_xlfn.LET(
    _xlpm.jugador, B40,
    _xlpm.idSel, AD40,
    _xlpm.invIDs, IF(C40=1,Inventario1!B:B,IF(C40=2,Inventario2!B:B,IF(C40=3,Inventario3!B:B,IF(C40=4,Inventario4!B:B,IF(C40=5,Inventario5!B:B,Inventario6!B:B))))),
    _xlpm.invCalidad, IF(C40=1,Inventario1!C:C,IF(C40=2,Inventario2!C:C,IF(C40=3,Inventario3!C:C,IF(C40=4,Inventario4!C:C,IF(C40=5,Inventario5!C:C,Inventario6!C:C))))),
    _xlpm.invTipos, IF(C40=1,Inventario1!D:D,IF(C40=2,Inventario2!D:D,IF(C40=3,Inventario3!D:D,IF(C40=4,Inventario4!D:D,IF(C40=5,Inventario5!D:D,Inventario6!D:D))))),
    _xlpm.invStats, IF(C40=1,Inventario1!E:I,IF(C40=2,Inventario2!E:I,IF(C40=3,Inventario3!E:I,IF(C40=4,Inventario4!E:I,IF(C40=5,Inventario5!E:I,Inventario6!E:I))))),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IF(ROW(B40)=2,"",IF(_xlfn._xlws.FILTER(Equipar!AD$2:AD39,Equipar!C$2:C39=C40)={0},"",_xlfn._xlws.FILTER(Equipar!AD$2:AD39,Equipar!C$2:C39=C40))),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40" s="14" cm="1">
        <f t="array" aca="1" ref="G40" ca="1">_xlfn.LET(
    _xlpm.jugador, A40,
    _xlpm.idSel, AC40,
    _xlpm.invIDs, IF(B40=1,Inventario1!A:A,IF(B40=2,Inventario2!A:A,IF(B40=3,Inventario3!A:A,IF(B40=4,Inventario4!A:A,IF(B40=5,Inventario5!A:A,Inventario6!A:A))))),
    _xlpm.invCalidad, IF(B40=1,Inventario1!B:B,IF(B40=2,Inventario2!B:B,IF(B40=3,Inventario3!B:B,IF(B40=4,Inventario4!B:B,IF(B40=5,Inventario5!B:B,Inventario6!B:B))))),
    _xlpm.invTipos, IF(B40=1,Inventario1!C:C,IF(B40=2,Inventario2!C:C,IF(B40=3,Inventario3!C:C,IF(B40=4,Inventario4!C:C,IF(B40=5,Inventario5!C:C,Inventario6!C:C))))),
    _xlpm.invStats, IF(B40=1,Inventario1!D:H,IF(B40=2,Inventario2!D:H,IF(B40=3,Inventario3!D:H,IF(B40=4,Inventario4!D:H,IF(B40=5,Inventario5!D:H,Inventario6!D:H))))),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IF(ROW(A40)=2,"",IF(_xlfn._xlws.FILTER(Equipar!AC$2:AC39,Equipar!B$2:B39=B40)={0},"",_xlfn._xlws.FILTER(Equipar!AC$2:AC39,Equipar!B$2:B39=B40))),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H40" s="4" cm="1">
        <f t="array" aca="1" ref="H40" ca="1">_xlfn.LET(
    _xlpm.jugador, A40,
    _xlpm.idSel, AC40,
    _xlpm.invIDs, IF(B40=1,Inventario1!A:A,IF(B40=2,Inventario2!A:A,IF(B40=3,Inventario3!A:A,IF(B40=4,Inventario4!A:A,IF(B40=5,Inventario5!A:A,Inventario6!A:A))))),
    _xlpm.invCalidad, IF(B40=1,Inventario1!B:B,IF(B40=2,Inventario2!B:B,IF(B40=3,Inventario3!B:B,IF(B40=4,Inventario4!B:B,IF(B40=5,Inventario5!B:B,Inventario6!B:B))))),
    _xlpm.invTipos, IF(B40=1,Inventario1!C:C,IF(B40=2,Inventario2!C:C,IF(B40=3,Inventario3!C:C,IF(B40=4,Inventario4!C:C,IF(B40=5,Inventario5!C:C,Inventario6!C:C))))),
    _xlpm.invStats, IF(B40=1,Inventario1!D:H,IF(B40=2,Inventario2!D:H,IF(B40=3,Inventario3!D:H,IF(B40=4,Inventario4!D:H,IF(B40=5,Inventario5!D:H,Inventario6!D:H))))),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IF(ROW(A40)=2,"",IF(_xlfn._xlws.FILTER(Equipar!AC$2:AC39,Equipar!B$2:B39=B40)={0},"",_xlfn._xlws.FILTER(Equipar!AC$2:AC39,Equipar!B$2:B39=B40))),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I40" s="4" cm="1">
        <f t="array" ref="I40">_xlfn.LET(
    _xlpm.jugador, A40,
    _xlpm.idSel, AC40,
    _xlpm.invIDs, IF(B40=1,Inventario1!A:A,IF(B40=2,Inventario2!A:A,IF(B40=3,Inventario3!A:A,IF(B40=4,Inventario4!A:A,IF(B40=5,Inventario5!A:A,Inventario6!A:A))))),
    _xlpm.invCalidad, IF(B40=1,Inventario1!B:B,IF(B40=2,Inventario2!B:B,IF(B40=3,Inventario3!B:B,IF(B40=4,Inventario4!B:B,IF(B40=5,Inventario5!B:B,Inventario6!B:B))))),
    _xlpm.invTipos, IF(B40=1,Inventario1!C:C,IF(B40=2,Inventario2!C:C,IF(B40=3,Inventario3!C:C,IF(B40=4,Inventario4!C:C,IF(B40=5,Inventario5!C:C,Inventario6!C:C))))),
    _xlpm.invStats, IF(B40=1,Inventario1!D:H,IF(B40=2,Inventario2!D:H,IF(B40=3,Inventario3!D:H,IF(B40=4,Inventario4!D:H,IF(B40=5,Inventario5!D:H,Inventario6!D:H))))),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IF(ROW(A40)=2,"",IF(_xlfn._xlws.FILTER(Equipar!AC$2:AC39,Equipar!B$2:B39=B40)={0},"",_xlfn._xlws.FILTER(Equipar!AC$2:AC39,Equipar!B$2:B39=B40))),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40" s="4" cm="1">
        <f t="array" aca="1" ref="J40" ca="1">_xlfn.LET(
    _xlpm.jugador, B40,
    _xlpm.idSel, AD40,
    _xlpm.invIDs, IF(C40=1,Inventario1!B:B,IF(C40=2,Inventario2!B:B,IF(C40=3,Inventario3!B:B,IF(C40=4,Inventario4!B:B,IF(C40=5,Inventario5!B:B,Inventario6!B:B))))),
    _xlpm.invCalidad, IF(C40=1,Inventario1!C:C,IF(C40=2,Inventario2!C:C,IF(C40=3,Inventario3!C:C,IF(C40=4,Inventario4!C:C,IF(C40=5,Inventario5!C:C,Inventario6!C:C))))),
    _xlpm.invTipos, IF(C40=1,Inventario1!D:D,IF(C40=2,Inventario2!D:D,IF(C40=3,Inventario3!D:D,IF(C40=4,Inventario4!D:D,IF(C40=5,Inventario5!D:D,Inventario6!D:D))))),
    _xlpm.invStats, IF(C40=1,Inventario1!E:I,IF(C40=2,Inventario2!E:I,IF(C40=3,Inventario3!E:I,IF(C40=4,Inventario4!E:I,IF(C40=5,Inventario5!E:I,Inventario6!E:I))))),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IF(ROW(B40)=2,"",IF(_xlfn._xlws.FILTER(Equipar!AD$2:AD39,Equipar!C$2:C39=C40)={0},"",_xlfn._xlws.FILTER(Equipar!AD$2:AD39,Equipar!C$2:C39=C40))),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40" s="4">
        <f t="shared" ca="1" si="0"/>
        <v>41.760000000000005</v>
      </c>
      <c r="L40" s="4">
        <f t="shared" ca="1" si="1"/>
        <v>95.76</v>
      </c>
      <c r="M40" s="4">
        <f t="shared" ca="1" si="1"/>
        <v>54</v>
      </c>
      <c r="N40" s="4">
        <f t="shared" ca="1" si="2"/>
        <v>54</v>
      </c>
      <c r="O40" s="4">
        <f t="shared" ca="1" si="2"/>
        <v>0</v>
      </c>
      <c r="P40" s="14" cm="1">
        <f t="array" aca="1" ref="P40" ca="1">_xlfn.LET(
    _xlpm.ptsPrinBase, _xlfn._xlws.FILTER(G:G, A:A=A40),
    _xlpm.ptsSecBase,  _xlfn._xlws.FILTER(H:H, A:A=A40),
    _xlpm.puntosPrin, _xlpm.ptsPrinBase + _xlfn._xlws.FILTER(B:B, A:A=A40)/1000,
    _xlpm.puntosSec,  _xlpm.ptsSecBase  + _xlfn._xlws.FILTER(B:B, A:A=A40)/1000,
    _xlpm.puntosPrinValidos, SUM(--(_xlpm.ptsPrinBase&gt;0)),
    _xlpm.puntosSecValidos,  SUM(--(_xlpm.ptsSecBase&gt;0)),
    _xlpm.clave, K40 + B40/1000,
    _xlpm.claves, _xlfn._xlws.FILTER(K:K + B:B/1000, A:A=A40),
    IF(AND(_xlpm.puntosPrinValidos&gt;=4,_xlpm.puntosSecValidos&gt;=2),IF(
        SUM(--(_xlpm.claves &gt; _xlpm.clave)) &lt; 4,
        C40,
        D40
    ),"No disp")
)</f>
        <v>3</v>
      </c>
      <c r="Q40" s="14" t="str" cm="1">
        <f t="array" aca="1" ref="Q40" ca="1">_xlfn.LET(
    _xlpm.puntosPrin, _xlfn._xlws.FILTER(G:G + B:B/1000, A:A=A40),
    _xlpm.puntosPrinValidos, SUM(--(_xlpm.puntosPrin&gt;1)),
    _xlpm.puntosTer, _xlfn._xlws.FILTER(I:I + B:B/1000, A:A=A40),
    _xlpm.puntosTerValidos, SUM(--(_xlpm.puntosTer&gt;1)),
    _xlpm.clave, L40 + B40/1000,
    _xlpm.claves, _xlfn._xlws.FILTER(L:L + B:B/1000, A:A=A40),
    IF(AND(_xlpm.puntosPrinValidos&gt;=4,_xlpm.puntosTerValidos&gt;=2),IF(
        SUM(--(_xlpm.claves &gt; _xlpm.clave)) &lt; 4,
        C40,
        E40
    ),"No disp")
)</f>
        <v>No disp</v>
      </c>
      <c r="R40" s="14" t="str" cm="1">
        <f t="array" aca="1" ref="R40" ca="1">_xlfn.LET(
    _xlpm.puntosPrin, _xlfn._xlws.FILTER(G:G + B:B/1000, A:A=A40),
    _xlpm.puntosPrinValidos, SUM(--(_xlpm.puntosPrin&gt;1)),
    _xlpm.puntosTer, _xlfn._xlws.FILTER(J:J + B:B/1000, A:A=A40),
    _xlpm.puntosTerValidos, SUM(--(_xlpm.puntosTer&gt;1)),
    _xlpm.clave, M40 + B40/1000,
    _xlpm.claves, _xlfn._xlws.FILTER(M:M + B:B/1000, A:A=A40),
    IF(AND(_xlpm.puntosPrinValidos&gt;=4,_xlpm.puntosTerValidos&gt;=2),IF(
        SUM(--(_xlpm.claves &gt; _xlpm.clave)) &lt; 4,
        C40,
        F40
    ),"No disp")
)</f>
        <v>No disp</v>
      </c>
      <c r="S40" s="14" cm="1">
        <f t="array" aca="1" ref="S40" ca="1">_xlfn.LET(
    _xlpm.ptsPrinBase, _xlfn._xlws.FILTER(G:G, A:A=A40),
    _xlpm.ptsSecBase,  _xlfn._xlws.FILTER(H:H, A:A=A40),
    _xlpm.puntosPrin, _xlpm.ptsPrinBase + _xlfn._xlws.FILTER(B:B, A:A=A40)/1000,
    _xlpm.puntosSec,  _xlpm.ptsSecBase  + _xlfn._xlws.FILTER(B:B, A:A=A40)/1000,
    _xlpm.puntosPrinValidos, SUM(--(_xlpm.ptsPrinBase&gt;0)),
    _xlpm.puntosSecValidos,  SUM(--(_xlpm.ptsSecBase&gt;0)),
    _xlpm.clave, K40 + B40/1000,
    _xlpm.claves, _xlfn._xlws.FILTER(K:K + B:B/1000, A:A=A40),
    IF(
        AND(_xlpm.puntosPrinValidos&gt;=2, _xlpm.puntosSecValidos&gt;=4),
        IF(
            SUM(--(_xlpm.claves &lt; _xlpm.clave)) &lt; 4,
            D40,
            C40
        ),
        "No disp"
    )
)</f>
        <v>3</v>
      </c>
      <c r="T40" s="14" t="str" cm="1">
        <f t="array" aca="1" ref="T40" ca="1">_xlfn.LET(
    _xlpm.puntosSec, _xlfn._xlws.FILTER(H:H + B:B/1000, A:A=A40),
    _xlpm.puntosSecValidos, SUM(--(_xlpm.puntosSec&gt;1)),
    _xlpm.puntosAlt, _xlfn._xlws.FILTER(I:I + B:B/1000, A:A=A40),
    _xlpm.puntosAltValidos, SUM(--(_xlpm.puntosAlt&gt;1)),
    _xlpm.clave, N40 + B40/1000,
    _xlpm.claves, _xlfn._xlws.FILTER(N:N + B:B/1000, A:A=A40),
    IF(AND(_xlpm.puntosSecValidos&gt;=4,_xlpm.puntosAltValidos&gt;=2),IF(
        SUM(--(_xlpm.claves &gt; _xlpm.clave)) &lt; 4,
        D40,
        E40
    ),"No disp")
)</f>
        <v>No disp</v>
      </c>
      <c r="U40" s="14" t="str" cm="1">
        <f t="array" aca="1" ref="U40" ca="1">_xlfn.LET(
    _xlpm.puntosSec, _xlfn._xlws.FILTER(H:H + B:B/1000, A:A=A40),
    _xlpm.puntosSecValidos, SUM(--(_xlpm.puntosSec&gt;1)),
    _xlpm.puntosAlt, _xlfn._xlws.FILTER(J:J + B:B/1000, A:A=A40),
    _xlpm.puntosAltValidos, SUM(--(_xlpm.puntosAlt&gt;1)),
    _xlpm.clave, O40 + B40/1000,
    _xlpm.claves, _xlfn._xlws.FILTER(O:O + B:B/1000, A:A=A40),
    IF(AND(_xlpm.puntosSecValidos&gt;=4,_xlpm.puntosAltValidos&gt;=2),IF(
        SUM(--(_xlpm.claves &gt; _xlpm.clave)) &lt; 4,
        D40,
        F40
    ),"No disp")
)</f>
        <v>No disp</v>
      </c>
      <c r="V40" s="4" cm="1">
        <f t="array" aca="1" ref="V40" ca="1">_xlfn.LET(
_xlpm.PrinIDs,_xlfn._xlws.FILTER(C:C,(A:A=A40)),
_xlpm.SecIDs,_xlfn._xlws.FILTER(D:D,(A:A=A40)),
_xlpm.TerIDs,_xlfn._xlws.FILTER(E:E,A:A=A40),
_xlpm.CuaIDs,_xlfn._xlws.FILTER(F:F,(A:A=A40)),
_xlpm.PrinPts,_xlfn._xlws.FILTER(G:G,(A:A=A40)),
_xlpm.SecPts,_xlfn._xlws.FILTER(H:H,(A:A=A40)),
_xlpm.TerPts,_xlfn._xlws.FILTER(I:I,(A:A=A40)),
_xlpm.CuaPts,_xlfn._xlws.FILTER(J:J,(A:A=A40)),
_xlpm.PSIds,_xlfn._xlws.FILTER(P:P,A:A=A40),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587.16000000000008</v>
      </c>
      <c r="W40" s="4" cm="1">
        <f t="array" aca="1" ref="W40" ca="1">_xlfn.LET(
_xlpm.PrinIDs,_xlfn._xlws.FILTER(C:C,(A:A=A40)),
_xlpm.SecIDs,_xlfn._xlws.FILTER(D:D,(A:A=A40)),
_xlpm.TerIDs,_xlfn._xlws.FILTER(E:E,A:A=A40),
_xlpm.CuaIDs,_xlfn._xlws.FILTER(F:F,(A:A=A40)),
_xlpm.PrinPts,_xlfn._xlws.FILTER(G:G,(A:A=A40)),
_xlpm.SecPts,_xlfn._xlws.FILTER(H:H,(A:A=A40)),
_xlpm.TerPts,_xlfn._xlws.FILTER(I:I,(A:A=A40)),
_xlpm.CuaPts,_xlfn._xlws.FILTER(J:J,(A:A=A40)),
_xlpm.PTIds,_xlfn._xlws.FILTER(Q:Q,A:A=A40),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40" s="4" cm="1">
        <f t="array" aca="1" ref="X40" ca="1">_xlfn.LET(
_xlpm.PrinIDs,_xlfn._xlws.FILTER(C:C,(A:A=A40)),
_xlpm.SecIDs,_xlfn._xlws.FILTER(D:D,(A:A=A40)),
_xlpm.TerIDs,_xlfn._xlws.FILTER(E:E,A:A=A40),
_xlpm.CuaIDs,_xlfn._xlws.FILTER(F:F,(A:A=A40)),
_xlpm.PrinPts,_xlfn._xlws.FILTER(G:G,(A:A=A40)),
_xlpm.SecPts,_xlfn._xlws.FILTER(H:H,(A:A=A40)),
_xlpm.TerPts,_xlfn._xlws.FILTER(I:I,(A:A=A40)),
_xlpm.CuaPts,_xlfn._xlws.FILTER(J:J,(A:A=A40)),
_xlpm.PCIds,_xlfn._xlws.FILTER(R:R,A:A=A40),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40" s="4" cm="1">
        <f t="array" aca="1" ref="Y40" ca="1">_xlfn.LET(
_xlpm.PrinIDs,_xlfn._xlws.FILTER(C:C,(A:A=A40)),
_xlpm.SecIDs,_xlfn._xlws.FILTER(D:D,(A:A=A40)),
_xlpm.AltIDs,_xlfn._xlws.FILTER(E:E,A:A=A40),
_xlpm.PrinPts,_xlfn._xlws.FILTER(G:G,(A:A=A40)),
_xlpm.SecPts,_xlfn._xlws.FILTER(H:H,(A:A=A40)),
_xlpm.AltPts,_xlfn._xlws.FILTER(I:I,(A:A=A40)),
_xlpm.SPIds,_xlfn._xlws.FILTER(S:S,A:A=A40),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557.19000000000005</v>
      </c>
      <c r="Z40" s="4" cm="1">
        <f t="array" aca="1" ref="Z40" ca="1">_xlfn.LET(
_xlpm.PrinIDs,_xlfn._xlws.FILTER(C:C,(A:A=A40)),
_xlpm.SecIDs,_xlfn._xlws.FILTER(D:D,(A:A=A40)),
_xlpm.TerIDs,_xlfn._xlws.FILTER(E:E,A:A=A40),
_xlpm.CuaIDs,_xlfn._xlws.FILTER(F:F,(A:A=A40)),
_xlpm.PrinPts,_xlfn._xlws.FILTER(G:G,(A:A=A40)),
_xlpm.SecPts,_xlfn._xlws.FILTER(H:H,(A:A=A40)),
_xlpm.TerPts,_xlfn._xlws.FILTER(I:I,(A:A=A40)),
_xlpm.CuaPts,_xlfn._xlws.FILTER(J:J,(A:A=A40)),
_xlpm.STIds,_xlfn._xlws.FILTER(T:T,A:A=A40),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40" s="4" cm="1">
        <f t="array" aca="1" ref="AA40" ca="1">_xlfn.LET(
_xlpm.PrinIDs,_xlfn._xlws.FILTER(C:C,(A:A=A40)),
_xlpm.SecIDs,_xlfn._xlws.FILTER(D:D,(A:A=A40)),
_xlpm.TerIDs,_xlfn._xlws.FILTER(E:E,A:A=A40),
_xlpm.CuaIDs,_xlfn._xlws.FILTER(F:F,(A:A=A40)),
_xlpm.PrinPts,_xlfn._xlws.FILTER(G:G,(A:A=A40)),
_xlpm.SecPts,_xlfn._xlws.FILTER(H:H,(A:A=A40)),
_xlpm.TerPts,_xlfn._xlws.FILTER(I:I,(A:A=A40)),
_xlpm.CuaPts,_xlfn._xlws.FILTER(J:J,(A:A=A40)),
_xlpm.SCIds,_xlfn._xlws.FILTER(U:U,A:A=A40),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40" s="14">
        <f t="shared" ca="1" si="3"/>
        <v>3</v>
      </c>
      <c r="AC40" s="14">
        <v>3</v>
      </c>
      <c r="AD40" s="4"/>
      <c r="AE40" s="14" t="str">
        <f ca="1">IF(ISNUMBER(AC40),
IF($B40=1,VLOOKUP($AC40,Inventario1!$A:$H,2),
IF($B40=2,VLOOKUP($AC40,Inventario2!$A:$H,2),
IF($B40=3,VLOOKUP($AC40,Inventario3!$A:$H,2),
IF($B40=4,VLOOKUP($AC40,Inventario4!$A:$H,2),
IF($B40=5,VLOOKUP($AC40,Inventario5!$A:$H,2),
VLOOKUP($AC40,Inventario6!$A:$H,2)
))))),"No equipado")</f>
        <v>Legendario</v>
      </c>
      <c r="AF40" s="14" t="str">
        <f ca="1">IF(ISNUMBER(AC40),
IF($B40=1,VLOOKUP($AC40,Inventario1!$A:$H,3),
IF($B40=2,VLOOKUP($AC40,Inventario2!$A:$H,3),
IF($B40=3,VLOOKUP($AC40,Inventario3!$A:$H,3),
IF($B40=4,VLOOKUP($AC40,Inventario4!$A:$H,3),
IF($B40=5,VLOOKUP($AC40,Inventario5!$A:$H,3),
VLOOKUP($AC40,Inventario6!$A:$H,3)
))))),"")</f>
        <v>Poder vibrante</v>
      </c>
      <c r="AG40" s="14" t="str">
        <f ca="1">IF(ISNUMBER(AC40),
IF($B40=1,VLOOKUP($AC40,Inventario1!$A:$H,4),
IF($B40=2,VLOOKUP($AC40,Inventario2!$A:$H,4),
IF($B40=3,VLOOKUP($AC40,Inventario3!$A:$H,4),
IF($B40=4,VLOOKUP($AC40,Inventario4!$A:$H,4),
IF($B40=5,VLOOKUP($AC40,Inventario5!$A:$H,4),
VLOOKUP($AC40,Inventario6!$A:$H,4)
))))),"")</f>
        <v>Saque</v>
      </c>
      <c r="AH40" s="14" t="str">
        <f ca="1">IF(ISNUMBER(AC40),
IF($B40=1,VLOOKUP($AC40,Inventario1!$A:$H,5),
IF($B40=2,VLOOKUP($AC40,Inventario2!$A:$H,5),
IF($B40=3,VLOOKUP($AC40,Inventario3!$A:$H,5),
IF($B40=4,VLOOKUP($AC40,Inventario4!$A:$H,5),
IF($B40=5,VLOOKUP($AC40,Inventario5!$A:$H,5),
VLOOKUP($AC40,Inventario6!$A:$H,5)
))))),"")</f>
        <v>Técnica defensiva</v>
      </c>
      <c r="AI40" s="14" t="str">
        <f ca="1">IF(ISNUMBER(AC40),
IF($B40=1,VLOOKUP($AC40,Inventario1!$A:$H,6),
IF($B40=2,VLOOKUP($AC40,Inventario2!$A:$H,6),
IF($B40=3,VLOOKUP($AC40,Inventario3!$A:$H,6),
IF($B40=4,VLOOKUP($AC40,Inventario4!$A:$H,6),
IF($B40=5,VLOOKUP($AC40,Inventario5!$A:$H,6),
VLOOKUP($AC40,Inventario6!$A:$H,6)
))))),"")</f>
        <v>Colocación</v>
      </c>
      <c r="AJ40" s="14" t="str">
        <f ca="1">IF(ISNUMBER(AC40),
IF($B40=1,VLOOKUP($AC40,Inventario1!$A:$H,7),
IF($B40=2,VLOOKUP($AC40,Inventario2!$A:$H,7),
IF($B40=3,VLOOKUP($AC40,Inventario3!$A:$H,7),
IF($B40=4,VLOOKUP($AC40,Inventario4!$A:$H,7),
IF($B40=5,VLOOKUP($AC40,Inventario5!$A:$H,7),
VLOOKUP($AC40,Inventario6!$A:$H,7)
))))),"")</f>
        <v>Recepción</v>
      </c>
      <c r="AK40" s="15" t="str">
        <f ca="1">IF(ISNUMBER(AC40),
IF($B40=1,VLOOKUP($AC40,Inventario1!$A:$H,8),
IF($B40=2,VLOOKUP($AC40,Inventario2!$A:$H,8),
IF($B40=3,VLOOKUP($AC40,Inventario3!$A:$H,8),
IF($B40=4,VLOOKUP($AC40,Inventario4!$A:$H,8),
IF($B40=5,VLOOKUP($AC40,Inventario5!$A:$H,8),
VLOOKUP($AC40,Inventario6!$A:$H,8)
))))),"")</f>
        <v>Ataque poderoso</v>
      </c>
    </row>
    <row r="41" spans="1:37" x14ac:dyDescent="0.25">
      <c r="A41" s="21" t="s">
        <v>19</v>
      </c>
      <c r="B41" s="3">
        <v>4</v>
      </c>
      <c r="C41" s="14" cm="1">
        <f t="array" ref="C41">_xlfn.LET(
    _xlpm.jugador, A41,
    _xlpm.idSel, AC41,
    _xlpm.invIDs, IF(B41=1,Inventario1!A:A,IF(B41=2,Inventario2!A:A,IF(B41=3,Inventario3!A:A,IF(B41=4,Inventario4!A:A,IF(B41=5,Inventario5!A:A,Inventario6!A:A))))),
    _xlpm.invCalidad, IF(B41=1,Inventario1!B:B,IF(B41=2,Inventario2!B:B,IF(B41=3,Inventario3!B:B,IF(B41=4,Inventario4!B:B,IF(B41=5,Inventario5!B:B,Inventario6!B:B))))),
    _xlpm.invTipos, IF(B41=1,Inventario1!C:C,IF(B41=2,Inventario2!C:C,IF(B41=3,Inventario3!C:C,IF(B41=4,Inventario4!C:C,IF(B41=5,Inventario5!C:C,Inventario6!C:C))))),
    _xlpm.invStats, IF(B41=1,Inventario1!D:H,IF(B41=2,Inventario2!D:H,IF(B41=3,Inventario3!D:H,IF(B41=4,Inventario4!D:H,IF(B41=5,Inventario5!D:H,Inventario6!D:H))))),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IF(ROW(A41)=2,"",IF(_xlfn._xlws.FILTER(Equipar!AC$2:AC40,Equipar!B$2:B40=B41)={0},"",_xlfn._xlws.FILTER(Equipar!AC$2:AC40,Equipar!B$2:B40=B41))),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70</v>
      </c>
      <c r="D41" s="4" cm="1">
        <f t="array" aca="1" ref="D41" ca="1">_xlfn.LET(
    _xlpm.jugador, A41,
    _xlpm.idSel, AC41,
    _xlpm.invIDs, IF(B41=1,Inventario1!A:A,IF(B41=2,Inventario2!A:A,IF(B41=3,Inventario3!A:A,IF(B41=4,Inventario4!A:A,IF(B41=5,Inventario5!A:A,Inventario6!A:A))))),
    _xlpm.invCalidad, IF(B41=1,Inventario1!B:B,IF(B41=2,Inventario2!B:B,IF(B41=3,Inventario3!B:B,IF(B41=4,Inventario4!B:B,IF(B41=5,Inventario5!B:B,Inventario6!B:B))))),
    _xlpm.invTipos, IF(B41=1,Inventario1!C:C,IF(B41=2,Inventario2!C:C,IF(B41=3,Inventario3!C:C,IF(B41=4,Inventario4!C:C,IF(B41=5,Inventario5!C:C,Inventario6!C:C))))),
    _xlpm.invStats, IF(B41=1,Inventario1!D:H,IF(B41=2,Inventario2!D:H,IF(B41=3,Inventario3!D:H,IF(B41=4,Inventario4!D:H,IF(B41=5,Inventario5!D:H,Inventario6!D:H))))),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IF(ROW(A41)=2,"",IF(_xlfn._xlws.FILTER(Equipar!AC$2:AC40,Equipar!B$2:B40=B41)={0},"",_xlfn._xlws.FILTER(Equipar!AC$2:AC40,Equipar!B$2:B40=B41))),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146</v>
      </c>
      <c r="E41" s="4" t="str" cm="1">
        <f t="array" ref="E41">_xlfn.LET(
    _xlpm.jugador, A41,
    _xlpm.idSel, AC41,
    _xlpm.invIDs, IF(B41=1,Inventario1!A:A,IF(B41=2,Inventario2!A:A,IF(B41=3,Inventario3!A:A,IF(B41=4,Inventario4!A:A,IF(B41=5,Inventario5!A:A,Inventario6!A:A))))),
    _xlpm.invCalidad, IF(B41=1,Inventario1!B:B,IF(B41=2,Inventario2!B:B,IF(B41=3,Inventario3!B:B,IF(B41=4,Inventario4!B:B,IF(B41=5,Inventario5!B:B,Inventario6!B:B))))),
    _xlpm.invTipos, IF(B41=1,Inventario1!C:C,IF(B41=2,Inventario2!C:C,IF(B41=3,Inventario3!C:C,IF(B41=4,Inventario4!C:C,IF(B41=5,Inventario5!C:C,Inventario6!C:C))))),
    _xlpm.invStats, IF(B41=1,Inventario1!D:H,IF(B41=2,Inventario2!D:H,IF(B41=3,Inventario3!D:H,IF(B41=4,Inventario4!D:H,IF(B41=5,Inventario5!D:H,Inventario6!D:H))))),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IF(ROW(A41)=2,"",IF(_xlfn._xlws.FILTER(Equipar!AC$2:AC40,Equipar!B$2:B40=B41)={0},"",_xlfn._xlws.FILTER(Equipar!AC$2:AC40,Equipar!B$2:B40=B41))),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41" s="4" t="str" cm="1">
        <f t="array" aca="1" ref="F41" ca="1">_xlfn.LET(
    _xlpm.jugador, B41,
    _xlpm.idSel, AD41,
    _xlpm.invIDs, IF(C41=1,Inventario1!B:B,IF(C41=2,Inventario2!B:B,IF(C41=3,Inventario3!B:B,IF(C41=4,Inventario4!B:B,IF(C41=5,Inventario5!B:B,Inventario6!B:B))))),
    _xlpm.invCalidad, IF(C41=1,Inventario1!C:C,IF(C41=2,Inventario2!C:C,IF(C41=3,Inventario3!C:C,IF(C41=4,Inventario4!C:C,IF(C41=5,Inventario5!C:C,Inventario6!C:C))))),
    _xlpm.invTipos, IF(C41=1,Inventario1!D:D,IF(C41=2,Inventario2!D:D,IF(C41=3,Inventario3!D:D,IF(C41=4,Inventario4!D:D,IF(C41=5,Inventario5!D:D,Inventario6!D:D))))),
    _xlpm.invStats, IF(C41=1,Inventario1!E:I,IF(C41=2,Inventario2!E:I,IF(C41=3,Inventario3!E:I,IF(C41=4,Inventario4!E:I,IF(C41=5,Inventario5!E:I,Inventario6!E:I))))),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IF(ROW(B41)=2,"",IF(_xlfn._xlws.FILTER(Equipar!AD$2:AD40,Equipar!C$2:C40=C41)={0},"",_xlfn._xlws.FILTER(Equipar!AD$2:AD40,Equipar!C$2:C40=C41))),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41" s="14" cm="1">
        <f t="array" ref="G41">_xlfn.LET(
    _xlpm.jugador, A41,
    _xlpm.idSel, AC41,
    _xlpm.invIDs, IF(B41=1,Inventario1!A:A,IF(B41=2,Inventario2!A:A,IF(B41=3,Inventario3!A:A,IF(B41=4,Inventario4!A:A,IF(B41=5,Inventario5!A:A,Inventario6!A:A))))),
    _xlpm.invCalidad, IF(B41=1,Inventario1!B:B,IF(B41=2,Inventario2!B:B,IF(B41=3,Inventario3!B:B,IF(B41=4,Inventario4!B:B,IF(B41=5,Inventario5!B:B,Inventario6!B:B))))),
    _xlpm.invTipos, IF(B41=1,Inventario1!C:C,IF(B41=2,Inventario2!C:C,IF(B41=3,Inventario3!C:C,IF(B41=4,Inventario4!C:C,IF(B41=5,Inventario5!C:C,Inventario6!C:C))))),
    _xlpm.invStats, IF(B41=1,Inventario1!D:H,IF(B41=2,Inventario2!D:H,IF(B41=3,Inventario3!D:H,IF(B41=4,Inventario4!D:H,IF(B41=5,Inventario5!D:H,Inventario6!D:H))))),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IF(ROW(A41)=2,"",IF(_xlfn._xlws.FILTER(Equipar!AC$2:AC40,Equipar!B$2:B40=B41)={0},"",_xlfn._xlws.FILTER(Equipar!AC$2:AC40,Equipar!B$2:B40=B41))),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H41" s="4" cm="1">
        <f t="array" aca="1" ref="H41" ca="1">_xlfn.LET(
    _xlpm.jugador, A41,
    _xlpm.idSel, AC41,
    _xlpm.invIDs, IF(B41=1,Inventario1!A:A,IF(B41=2,Inventario2!A:A,IF(B41=3,Inventario3!A:A,IF(B41=4,Inventario4!A:A,IF(B41=5,Inventario5!A:A,Inventario6!A:A))))),
    _xlpm.invCalidad, IF(B41=1,Inventario1!B:B,IF(B41=2,Inventario2!B:B,IF(B41=3,Inventario3!B:B,IF(B41=4,Inventario4!B:B,IF(B41=5,Inventario5!B:B,Inventario6!B:B))))),
    _xlpm.invTipos, IF(B41=1,Inventario1!C:C,IF(B41=2,Inventario2!C:C,IF(B41=3,Inventario3!C:C,IF(B41=4,Inventario4!C:C,IF(B41=5,Inventario5!C:C,Inventario6!C:C))))),
    _xlpm.invStats, IF(B41=1,Inventario1!D:H,IF(B41=2,Inventario2!D:H,IF(B41=3,Inventario3!D:H,IF(B41=4,Inventario4!D:H,IF(B41=5,Inventario5!D:H,Inventario6!D:H))))),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IF(ROW(A41)=2,"",IF(_xlfn._xlws.FILTER(Equipar!AC$2:AC40,Equipar!B$2:B40=B41)={0},"",_xlfn._xlws.FILTER(Equipar!AC$2:AC40,Equipar!B$2:B40=B41))),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I41" s="4" cm="1">
        <f t="array" ref="I41">_xlfn.LET(
    _xlpm.jugador, A41,
    _xlpm.idSel, AC41,
    _xlpm.invIDs, IF(B41=1,Inventario1!A:A,IF(B41=2,Inventario2!A:A,IF(B41=3,Inventario3!A:A,IF(B41=4,Inventario4!A:A,IF(B41=5,Inventario5!A:A,Inventario6!A:A))))),
    _xlpm.invCalidad, IF(B41=1,Inventario1!B:B,IF(B41=2,Inventario2!B:B,IF(B41=3,Inventario3!B:B,IF(B41=4,Inventario4!B:B,IF(B41=5,Inventario5!B:B,Inventario6!B:B))))),
    _xlpm.invTipos, IF(B41=1,Inventario1!C:C,IF(B41=2,Inventario2!C:C,IF(B41=3,Inventario3!C:C,IF(B41=4,Inventario4!C:C,IF(B41=5,Inventario5!C:C,Inventario6!C:C))))),
    _xlpm.invStats, IF(B41=1,Inventario1!D:H,IF(B41=2,Inventario2!D:H,IF(B41=3,Inventario3!D:H,IF(B41=4,Inventario4!D:H,IF(B41=5,Inventario5!D:H,Inventario6!D:H))))),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IF(ROW(A41)=2,"",IF(_xlfn._xlws.FILTER(Equipar!AC$2:AC40,Equipar!B$2:B40=B41)={0},"",_xlfn._xlws.FILTER(Equipar!AC$2:AC40,Equipar!B$2:B40=B41))),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41" s="4" cm="1">
        <f t="array" aca="1" ref="J41" ca="1">_xlfn.LET(
    _xlpm.jugador, B41,
    _xlpm.idSel, AD41,
    _xlpm.invIDs, IF(C41=1,Inventario1!B:B,IF(C41=2,Inventario2!B:B,IF(C41=3,Inventario3!B:B,IF(C41=4,Inventario4!B:B,IF(C41=5,Inventario5!B:B,Inventario6!B:B))))),
    _xlpm.invCalidad, IF(C41=1,Inventario1!C:C,IF(C41=2,Inventario2!C:C,IF(C41=3,Inventario3!C:C,IF(C41=4,Inventario4!C:C,IF(C41=5,Inventario5!C:C,Inventario6!C:C))))),
    _xlpm.invTipos, IF(C41=1,Inventario1!D:D,IF(C41=2,Inventario2!D:D,IF(C41=3,Inventario3!D:D,IF(C41=4,Inventario4!D:D,IF(C41=5,Inventario5!D:D,Inventario6!D:D))))),
    _xlpm.invStats, IF(C41=1,Inventario1!E:I,IF(C41=2,Inventario2!E:I,IF(C41=3,Inventario3!E:I,IF(C41=4,Inventario4!E:I,IF(C41=5,Inventario5!E:I,Inventario6!E:I))))),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IF(ROW(B41)=2,"",IF(_xlfn._xlws.FILTER(Equipar!AD$2:AD40,Equipar!C$2:C40=C41)={0},"",_xlfn._xlws.FILTER(Equipar!AD$2:AD40,Equipar!C$2:C40=C41))),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41" s="4">
        <f t="shared" ca="1" si="0"/>
        <v>18</v>
      </c>
      <c r="L41" s="4">
        <f t="shared" si="1"/>
        <v>81</v>
      </c>
      <c r="M41" s="4">
        <f t="shared" ca="1" si="1"/>
        <v>63</v>
      </c>
      <c r="N41" s="4">
        <f t="shared" ca="1" si="2"/>
        <v>63</v>
      </c>
      <c r="O41" s="4">
        <f t="shared" ca="1" si="2"/>
        <v>0</v>
      </c>
      <c r="P41" s="14" cm="1">
        <f t="array" aca="1" ref="P41" ca="1">_xlfn.LET(
    _xlpm.ptsPrinBase, _xlfn._xlws.FILTER(G:G, A:A=A41),
    _xlpm.ptsSecBase,  _xlfn._xlws.FILTER(H:H, A:A=A41),
    _xlpm.puntosPrin, _xlpm.ptsPrinBase + _xlfn._xlws.FILTER(B:B, A:A=A41)/1000,
    _xlpm.puntosSec,  _xlpm.ptsSecBase  + _xlfn._xlws.FILTER(B:B, A:A=A41)/1000,
    _xlpm.puntosPrinValidos, SUM(--(_xlpm.ptsPrinBase&gt;0)),
    _xlpm.puntosSecValidos,  SUM(--(_xlpm.ptsSecBase&gt;0)),
    _xlpm.clave, K41 + B41/1000,
    _xlpm.claves, _xlfn._xlws.FILTER(K:K + B:B/1000, A:A=A41),
    IF(AND(_xlpm.puntosPrinValidos&gt;=4,_xlpm.puntosSecValidos&gt;=2),IF(
        SUM(--(_xlpm.claves &gt; _xlpm.clave)) &lt; 4,
        C41,
        D41
    ),"No disp")
)</f>
        <v>70</v>
      </c>
      <c r="Q41" s="14" t="str" cm="1">
        <f t="array" aca="1" ref="Q41" ca="1">_xlfn.LET(
    _xlpm.puntosPrin, _xlfn._xlws.FILTER(G:G + B:B/1000, A:A=A41),
    _xlpm.puntosPrinValidos, SUM(--(_xlpm.puntosPrin&gt;1)),
    _xlpm.puntosTer, _xlfn._xlws.FILTER(I:I + B:B/1000, A:A=A41),
    _xlpm.puntosTerValidos, SUM(--(_xlpm.puntosTer&gt;1)),
    _xlpm.clave, L41 + B41/1000,
    _xlpm.claves, _xlfn._xlws.FILTER(L:L + B:B/1000, A:A=A41),
    IF(AND(_xlpm.puntosPrinValidos&gt;=4,_xlpm.puntosTerValidos&gt;=2),IF(
        SUM(--(_xlpm.claves &gt; _xlpm.clave)) &lt; 4,
        C41,
        E41
    ),"No disp")
)</f>
        <v>No disp</v>
      </c>
      <c r="R41" s="14" t="str" cm="1">
        <f t="array" aca="1" ref="R41" ca="1">_xlfn.LET(
    _xlpm.puntosPrin, _xlfn._xlws.FILTER(G:G + B:B/1000, A:A=A41),
    _xlpm.puntosPrinValidos, SUM(--(_xlpm.puntosPrin&gt;1)),
    _xlpm.puntosTer, _xlfn._xlws.FILTER(J:J + B:B/1000, A:A=A41),
    _xlpm.puntosTerValidos, SUM(--(_xlpm.puntosTer&gt;1)),
    _xlpm.clave, M41 + B41/1000,
    _xlpm.claves, _xlfn._xlws.FILTER(M:M + B:B/1000, A:A=A41),
    IF(AND(_xlpm.puntosPrinValidos&gt;=4,_xlpm.puntosTerValidos&gt;=2),IF(
        SUM(--(_xlpm.claves &gt; _xlpm.clave)) &lt; 4,
        C41,
        F41
    ),"No disp")
)</f>
        <v>No disp</v>
      </c>
      <c r="S41" s="14" cm="1">
        <f t="array" aca="1" ref="S41" ca="1">_xlfn.LET(
    _xlpm.ptsPrinBase, _xlfn._xlws.FILTER(G:G, A:A=A41),
    _xlpm.ptsSecBase,  _xlfn._xlws.FILTER(H:H, A:A=A41),
    _xlpm.puntosPrin, _xlpm.ptsPrinBase + _xlfn._xlws.FILTER(B:B, A:A=A41)/1000,
    _xlpm.puntosSec,  _xlpm.ptsSecBase  + _xlfn._xlws.FILTER(B:B, A:A=A41)/1000,
    _xlpm.puntosPrinValidos, SUM(--(_xlpm.ptsPrinBase&gt;0)),
    _xlpm.puntosSecValidos,  SUM(--(_xlpm.ptsSecBase&gt;0)),
    _xlpm.clave, K41 + B41/1000,
    _xlpm.claves, _xlfn._xlws.FILTER(K:K + B:B/1000, A:A=A41),
    IF(
        AND(_xlpm.puntosPrinValidos&gt;=2, _xlpm.puntosSecValidos&gt;=4),
        IF(
            SUM(--(_xlpm.claves &lt; _xlpm.clave)) &lt; 4,
            D41,
            C41
        ),
        "No disp"
    )
)</f>
        <v>146</v>
      </c>
      <c r="T41" s="14" t="str" cm="1">
        <f t="array" aca="1" ref="T41" ca="1">_xlfn.LET(
    _xlpm.puntosSec, _xlfn._xlws.FILTER(H:H + B:B/1000, A:A=A41),
    _xlpm.puntosSecValidos, SUM(--(_xlpm.puntosSec&gt;1)),
    _xlpm.puntosAlt, _xlfn._xlws.FILTER(I:I + B:B/1000, A:A=A41),
    _xlpm.puntosAltValidos, SUM(--(_xlpm.puntosAlt&gt;1)),
    _xlpm.clave, N41 + B41/1000,
    _xlpm.claves, _xlfn._xlws.FILTER(N:N + B:B/1000, A:A=A41),
    IF(AND(_xlpm.puntosSecValidos&gt;=4,_xlpm.puntosAltValidos&gt;=2),IF(
        SUM(--(_xlpm.claves &gt; _xlpm.clave)) &lt; 4,
        D41,
        E41
    ),"No disp")
)</f>
        <v>No disp</v>
      </c>
      <c r="U41" s="14" t="str" cm="1">
        <f t="array" aca="1" ref="U41" ca="1">_xlfn.LET(
    _xlpm.puntosSec, _xlfn._xlws.FILTER(H:H + B:B/1000, A:A=A41),
    _xlpm.puntosSecValidos, SUM(--(_xlpm.puntosSec&gt;1)),
    _xlpm.puntosAlt, _xlfn._xlws.FILTER(J:J + B:B/1000, A:A=A41),
    _xlpm.puntosAltValidos, SUM(--(_xlpm.puntosAlt&gt;1)),
    _xlpm.clave, O41 + B41/1000,
    _xlpm.claves, _xlfn._xlws.FILTER(O:O + B:B/1000, A:A=A41),
    IF(AND(_xlpm.puntosSecValidos&gt;=4,_xlpm.puntosAltValidos&gt;=2),IF(
        SUM(--(_xlpm.claves &gt; _xlpm.clave)) &lt; 4,
        D41,
        F41
    ),"No disp")
)</f>
        <v>No disp</v>
      </c>
      <c r="V41" s="4" cm="1">
        <f t="array" aca="1" ref="V41" ca="1">_xlfn.LET(
_xlpm.PrinIDs,_xlfn._xlws.FILTER(C:C,(A:A=A41)),
_xlpm.SecIDs,_xlfn._xlws.FILTER(D:D,(A:A=A41)),
_xlpm.TerIDs,_xlfn._xlws.FILTER(E:E,A:A=A41),
_xlpm.CuaIDs,_xlfn._xlws.FILTER(F:F,(A:A=A41)),
_xlpm.PrinPts,_xlfn._xlws.FILTER(G:G,(A:A=A41)),
_xlpm.SecPts,_xlfn._xlws.FILTER(H:H,(A:A=A41)),
_xlpm.TerPts,_xlfn._xlws.FILTER(I:I,(A:A=A41)),
_xlpm.CuaPts,_xlfn._xlws.FILTER(J:J,(A:A=A41)),
_xlpm.PSIds,_xlfn._xlws.FILTER(P:P,A:A=A41),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587.16000000000008</v>
      </c>
      <c r="W41" s="4" cm="1">
        <f t="array" aca="1" ref="W41" ca="1">_xlfn.LET(
_xlpm.PrinIDs,_xlfn._xlws.FILTER(C:C,(A:A=A41)),
_xlpm.SecIDs,_xlfn._xlws.FILTER(D:D,(A:A=A41)),
_xlpm.TerIDs,_xlfn._xlws.FILTER(E:E,A:A=A41),
_xlpm.CuaIDs,_xlfn._xlws.FILTER(F:F,(A:A=A41)),
_xlpm.PrinPts,_xlfn._xlws.FILTER(G:G,(A:A=A41)),
_xlpm.SecPts,_xlfn._xlws.FILTER(H:H,(A:A=A41)),
_xlpm.TerPts,_xlfn._xlws.FILTER(I:I,(A:A=A41)),
_xlpm.CuaPts,_xlfn._xlws.FILTER(J:J,(A:A=A41)),
_xlpm.PTIds,_xlfn._xlws.FILTER(Q:Q,A:A=A41),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41" s="4" cm="1">
        <f t="array" aca="1" ref="X41" ca="1">_xlfn.LET(
_xlpm.PrinIDs,_xlfn._xlws.FILTER(C:C,(A:A=A41)),
_xlpm.SecIDs,_xlfn._xlws.FILTER(D:D,(A:A=A41)),
_xlpm.TerIDs,_xlfn._xlws.FILTER(E:E,A:A=A41),
_xlpm.CuaIDs,_xlfn._xlws.FILTER(F:F,(A:A=A41)),
_xlpm.PrinPts,_xlfn._xlws.FILTER(G:G,(A:A=A41)),
_xlpm.SecPts,_xlfn._xlws.FILTER(H:H,(A:A=A41)),
_xlpm.TerPts,_xlfn._xlws.FILTER(I:I,(A:A=A41)),
_xlpm.CuaPts,_xlfn._xlws.FILTER(J:J,(A:A=A41)),
_xlpm.PCIds,_xlfn._xlws.FILTER(R:R,A:A=A41),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41" s="4" cm="1">
        <f t="array" aca="1" ref="Y41" ca="1">_xlfn.LET(
_xlpm.PrinIDs,_xlfn._xlws.FILTER(C:C,(A:A=A41)),
_xlpm.SecIDs,_xlfn._xlws.FILTER(D:D,(A:A=A41)),
_xlpm.AltIDs,_xlfn._xlws.FILTER(E:E,A:A=A41),
_xlpm.PrinPts,_xlfn._xlws.FILTER(G:G,(A:A=A41)),
_xlpm.SecPts,_xlfn._xlws.FILTER(H:H,(A:A=A41)),
_xlpm.AltPts,_xlfn._xlws.FILTER(I:I,(A:A=A41)),
_xlpm.SPIds,_xlfn._xlws.FILTER(S:S,A:A=A41),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557.19000000000005</v>
      </c>
      <c r="Z41" s="4" cm="1">
        <f t="array" aca="1" ref="Z41" ca="1">_xlfn.LET(
_xlpm.PrinIDs,_xlfn._xlws.FILTER(C:C,(A:A=A41)),
_xlpm.SecIDs,_xlfn._xlws.FILTER(D:D,(A:A=A41)),
_xlpm.TerIDs,_xlfn._xlws.FILTER(E:E,A:A=A41),
_xlpm.CuaIDs,_xlfn._xlws.FILTER(F:F,(A:A=A41)),
_xlpm.PrinPts,_xlfn._xlws.FILTER(G:G,(A:A=A41)),
_xlpm.SecPts,_xlfn._xlws.FILTER(H:H,(A:A=A41)),
_xlpm.TerPts,_xlfn._xlws.FILTER(I:I,(A:A=A41)),
_xlpm.CuaPts,_xlfn._xlws.FILTER(J:J,(A:A=A41)),
_xlpm.STIds,_xlfn._xlws.FILTER(T:T,A:A=A41),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41" s="4" cm="1">
        <f t="array" aca="1" ref="AA41" ca="1">_xlfn.LET(
_xlpm.PrinIDs,_xlfn._xlws.FILTER(C:C,(A:A=A41)),
_xlpm.SecIDs,_xlfn._xlws.FILTER(D:D,(A:A=A41)),
_xlpm.TerIDs,_xlfn._xlws.FILTER(E:E,A:A=A41),
_xlpm.CuaIDs,_xlfn._xlws.FILTER(F:F,(A:A=A41)),
_xlpm.PrinPts,_xlfn._xlws.FILTER(G:G,(A:A=A41)),
_xlpm.SecPts,_xlfn._xlws.FILTER(H:H,(A:A=A41)),
_xlpm.TerPts,_xlfn._xlws.FILTER(I:I,(A:A=A41)),
_xlpm.CuaPts,_xlfn._xlws.FILTER(J:J,(A:A=A41)),
_xlpm.SCIds,_xlfn._xlws.FILTER(U:U,A:A=A41),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41" s="14">
        <f t="shared" ca="1" si="3"/>
        <v>70</v>
      </c>
      <c r="AC41" s="14">
        <v>70</v>
      </c>
      <c r="AD41" s="4"/>
      <c r="AE41" s="14" t="str">
        <f ca="1">IF(ISNUMBER(AC41),
IF($B41=1,VLOOKUP($AC41,Inventario1!$A:$H,2),
IF($B41=2,VLOOKUP($AC41,Inventario2!$A:$H,2),
IF($B41=3,VLOOKUP($AC41,Inventario3!$A:$H,2),
IF($B41=4,VLOOKUP($AC41,Inventario4!$A:$H,2),
IF($B41=5,VLOOKUP($AC41,Inventario5!$A:$H,2),
VLOOKUP($AC41,Inventario6!$A:$H,2)
))))),"No equipado")</f>
        <v>Épico</v>
      </c>
      <c r="AF41" s="14" t="str">
        <f ca="1">IF(ISNUMBER(AC41),
IF($B41=1,VLOOKUP($AC41,Inventario1!$A:$H,3),
IF($B41=2,VLOOKUP($AC41,Inventario2!$A:$H,3),
IF($B41=3,VLOOKUP($AC41,Inventario3!$A:$H,3),
IF($B41=4,VLOOKUP($AC41,Inventario4!$A:$H,3),
IF($B41=5,VLOOKUP($AC41,Inventario5!$A:$H,3),
VLOOKUP($AC41,Inventario6!$A:$H,3)
))))),"")</f>
        <v>Poder vibrante</v>
      </c>
      <c r="AG41" s="14" t="str">
        <f ca="1">IF(ISNUMBER(AC41),
IF($B41=1,VLOOKUP($AC41,Inventario1!$A:$H,4),
IF($B41=2,VLOOKUP($AC41,Inventario2!$A:$H,4),
IF($B41=3,VLOOKUP($AC41,Inventario3!$A:$H,4),
IF($B41=4,VLOOKUP($AC41,Inventario4!$A:$H,4),
IF($B41=5,VLOOKUP($AC41,Inventario5!$A:$H,4),
VLOOKUP($AC41,Inventario6!$A:$H,4)
))))),"")</f>
        <v>Recepción</v>
      </c>
      <c r="AH41" s="14" t="str">
        <f ca="1">IF(ISNUMBER(AC41),
IF($B41=1,VLOOKUP($AC41,Inventario1!$A:$H,5),
IF($B41=2,VLOOKUP($AC41,Inventario2!$A:$H,5),
IF($B41=3,VLOOKUP($AC41,Inventario3!$A:$H,5),
IF($B41=4,VLOOKUP($AC41,Inventario4!$A:$H,5),
IF($B41=5,VLOOKUP($AC41,Inventario5!$A:$H,5),
VLOOKUP($AC41,Inventario6!$A:$H,5)
))))),"")</f>
        <v>Recepción</v>
      </c>
      <c r="AI41" s="14" t="str">
        <f ca="1">IF(ISNUMBER(AC41),
IF($B41=1,VLOOKUP($AC41,Inventario1!$A:$H,6),
IF($B41=2,VLOOKUP($AC41,Inventario2!$A:$H,6),
IF($B41=3,VLOOKUP($AC41,Inventario3!$A:$H,6),
IF($B41=4,VLOOKUP($AC41,Inventario4!$A:$H,6),
IF($B41=5,VLOOKUP($AC41,Inventario5!$A:$H,6),
VLOOKUP($AC41,Inventario6!$A:$H,6)
))))),"")</f>
        <v>Recepción</v>
      </c>
      <c r="AJ41" s="14">
        <f ca="1">IF(ISNUMBER(AC41),
IF($B41=1,VLOOKUP($AC41,Inventario1!$A:$H,7),
IF($B41=2,VLOOKUP($AC41,Inventario2!$A:$H,7),
IF($B41=3,VLOOKUP($AC41,Inventario3!$A:$H,7),
IF($B41=4,VLOOKUP($AC41,Inventario4!$A:$H,7),
IF($B41=5,VLOOKUP($AC41,Inventario5!$A:$H,7),
VLOOKUP($AC41,Inventario6!$A:$H,7)
))))),"")</f>
        <v>0</v>
      </c>
      <c r="AK41" s="15">
        <f ca="1">IF(ISNUMBER(AC41),
IF($B41=1,VLOOKUP($AC41,Inventario1!$A:$H,8),
IF($B41=2,VLOOKUP($AC41,Inventario2!$A:$H,8),
IF($B41=3,VLOOKUP($AC41,Inventario3!$A:$H,8),
IF($B41=4,VLOOKUP($AC41,Inventario4!$A:$H,8),
IF($B41=5,VLOOKUP($AC41,Inventario5!$A:$H,8),
VLOOKUP($AC41,Inventario6!$A:$H,8)
))))),"")</f>
        <v>0</v>
      </c>
    </row>
    <row r="42" spans="1:37" x14ac:dyDescent="0.25">
      <c r="A42" s="21" t="s">
        <v>19</v>
      </c>
      <c r="B42" s="3">
        <v>5</v>
      </c>
      <c r="C42" s="14" cm="1">
        <f t="array" aca="1" ref="C42" ca="1">_xlfn.LET(
    _xlpm.jugador, A42,
    _xlpm.idSel, AC42,
    _xlpm.invIDs, IF(B42=1,Inventario1!A:A,IF(B42=2,Inventario2!A:A,IF(B42=3,Inventario3!A:A,IF(B42=4,Inventario4!A:A,IF(B42=5,Inventario5!A:A,Inventario6!A:A))))),
    _xlpm.invCalidad, IF(B42=1,Inventario1!B:B,IF(B42=2,Inventario2!B:B,IF(B42=3,Inventario3!B:B,IF(B42=4,Inventario4!B:B,IF(B42=5,Inventario5!B:B,Inventario6!B:B))))),
    _xlpm.invTipos, IF(B42=1,Inventario1!C:C,IF(B42=2,Inventario2!C:C,IF(B42=3,Inventario3!C:C,IF(B42=4,Inventario4!C:C,IF(B42=5,Inventario5!C:C,Inventario6!C:C))))),
    _xlpm.invStats, IF(B42=1,Inventario1!D:H,IF(B42=2,Inventario2!D:H,IF(B42=3,Inventario3!D:H,IF(B42=4,Inventario4!D:H,IF(B42=5,Inventario5!D:H,Inventario6!D:H))))),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IF(ROW(A42)=2,"",IF(_xlfn._xlws.FILTER(Equipar!AC$2:AC41,Equipar!B$2:B41=B42)={0},"",_xlfn._xlws.FILTER(Equipar!AC$2:AC41,Equipar!B$2:B41=B42))),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6</v>
      </c>
      <c r="D42" s="4" cm="1">
        <f t="array" aca="1" ref="D42" ca="1">_xlfn.LET(
    _xlpm.jugador, A42,
    _xlpm.idSel, AC42,
    _xlpm.invIDs, IF(B42=1,Inventario1!A:A,IF(B42=2,Inventario2!A:A,IF(B42=3,Inventario3!A:A,IF(B42=4,Inventario4!A:A,IF(B42=5,Inventario5!A:A,Inventario6!A:A))))),
    _xlpm.invCalidad, IF(B42=1,Inventario1!B:B,IF(B42=2,Inventario2!B:B,IF(B42=3,Inventario3!B:B,IF(B42=4,Inventario4!B:B,IF(B42=5,Inventario5!B:B,Inventario6!B:B))))),
    _xlpm.invTipos, IF(B42=1,Inventario1!C:C,IF(B42=2,Inventario2!C:C,IF(B42=3,Inventario3!C:C,IF(B42=4,Inventario4!C:C,IF(B42=5,Inventario5!C:C,Inventario6!C:C))))),
    _xlpm.invStats, IF(B42=1,Inventario1!D:H,IF(B42=2,Inventario2!D:H,IF(B42=3,Inventario3!D:H,IF(B42=4,Inventario4!D:H,IF(B42=5,Inventario5!D:H,Inventario6!D:H))))),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IF(ROW(A42)=2,"",IF(_xlfn._xlws.FILTER(Equipar!AC$2:AC41,Equipar!B$2:B41=B42)={0},"",_xlfn._xlws.FILTER(Equipar!AC$2:AC41,Equipar!B$2:B41=B42))),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130</v>
      </c>
      <c r="E42" s="4" t="str" cm="1">
        <f t="array" ref="E42">_xlfn.LET(
    _xlpm.jugador, A42,
    _xlpm.idSel, AC42,
    _xlpm.invIDs, IF(B42=1,Inventario1!A:A,IF(B42=2,Inventario2!A:A,IF(B42=3,Inventario3!A:A,IF(B42=4,Inventario4!A:A,IF(B42=5,Inventario5!A:A,Inventario6!A:A))))),
    _xlpm.invCalidad, IF(B42=1,Inventario1!B:B,IF(B42=2,Inventario2!B:B,IF(B42=3,Inventario3!B:B,IF(B42=4,Inventario4!B:B,IF(B42=5,Inventario5!B:B,Inventario6!B:B))))),
    _xlpm.invTipos, IF(B42=1,Inventario1!C:C,IF(B42=2,Inventario2!C:C,IF(B42=3,Inventario3!C:C,IF(B42=4,Inventario4!C:C,IF(B42=5,Inventario5!C:C,Inventario6!C:C))))),
    _xlpm.invStats, IF(B42=1,Inventario1!D:H,IF(B42=2,Inventario2!D:H,IF(B42=3,Inventario3!D:H,IF(B42=4,Inventario4!D:H,IF(B42=5,Inventario5!D:H,Inventario6!D:H))))),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IF(ROW(A42)=2,"",IF(_xlfn._xlws.FILTER(Equipar!AC$2:AC41,Equipar!B$2:B41=B42)={0},"",_xlfn._xlws.FILTER(Equipar!AC$2:AC41,Equipar!B$2:B41=B42))),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42" s="4" t="str" cm="1">
        <f t="array" aca="1" ref="F42" ca="1">_xlfn.LET(
    _xlpm.jugador, B42,
    _xlpm.idSel, AD42,
    _xlpm.invIDs, IF(C42=1,Inventario1!B:B,IF(C42=2,Inventario2!B:B,IF(C42=3,Inventario3!B:B,IF(C42=4,Inventario4!B:B,IF(C42=5,Inventario5!B:B,Inventario6!B:B))))),
    _xlpm.invCalidad, IF(C42=1,Inventario1!C:C,IF(C42=2,Inventario2!C:C,IF(C42=3,Inventario3!C:C,IF(C42=4,Inventario4!C:C,IF(C42=5,Inventario5!C:C,Inventario6!C:C))))),
    _xlpm.invTipos, IF(C42=1,Inventario1!D:D,IF(C42=2,Inventario2!D:D,IF(C42=3,Inventario3!D:D,IF(C42=4,Inventario4!D:D,IF(C42=5,Inventario5!D:D,Inventario6!D:D))))),
    _xlpm.invStats, IF(C42=1,Inventario1!E:I,IF(C42=2,Inventario2!E:I,IF(C42=3,Inventario3!E:I,IF(C42=4,Inventario4!E:I,IF(C42=5,Inventario5!E:I,Inventario6!E:I))))),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IF(ROW(B42)=2,"",IF(_xlfn._xlws.FILTER(Equipar!AD$2:AD41,Equipar!C$2:C41=C42)={0},"",_xlfn._xlws.FILTER(Equipar!AD$2:AD41,Equipar!C$2:C41=C42))),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42" s="14" cm="1">
        <f t="array" aca="1" ref="G42" ca="1">_xlfn.LET(
    _xlpm.jugador, A42,
    _xlpm.idSel, AC42,
    _xlpm.invIDs, IF(B42=1,Inventario1!A:A,IF(B42=2,Inventario2!A:A,IF(B42=3,Inventario3!A:A,IF(B42=4,Inventario4!A:A,IF(B42=5,Inventario5!A:A,Inventario6!A:A))))),
    _xlpm.invCalidad, IF(B42=1,Inventario1!B:B,IF(B42=2,Inventario2!B:B,IF(B42=3,Inventario3!B:B,IF(B42=4,Inventario4!B:B,IF(B42=5,Inventario5!B:B,Inventario6!B:B))))),
    _xlpm.invTipos, IF(B42=1,Inventario1!C:C,IF(B42=2,Inventario2!C:C,IF(B42=3,Inventario3!C:C,IF(B42=4,Inventario4!C:C,IF(B42=5,Inventario5!C:C,Inventario6!C:C))))),
    _xlpm.invStats, IF(B42=1,Inventario1!D:H,IF(B42=2,Inventario2!D:H,IF(B42=3,Inventario3!D:H,IF(B42=4,Inventario4!D:H,IF(B42=5,Inventario5!D:H,Inventario6!D:H))))),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IF(ROW(A42)=2,"",IF(_xlfn._xlws.FILTER(Equipar!AC$2:AC41,Equipar!B$2:B41=B42)={0},"",_xlfn._xlws.FILTER(Equipar!AC$2:AC41,Equipar!B$2:B41=B42))),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H42" s="4" cm="1">
        <f t="array" aca="1" ref="H42" ca="1">_xlfn.LET(
    _xlpm.jugador, A42,
    _xlpm.idSel, AC42,
    _xlpm.invIDs, IF(B42=1,Inventario1!A:A,IF(B42=2,Inventario2!A:A,IF(B42=3,Inventario3!A:A,IF(B42=4,Inventario4!A:A,IF(B42=5,Inventario5!A:A,Inventario6!A:A))))),
    _xlpm.invCalidad, IF(B42=1,Inventario1!B:B,IF(B42=2,Inventario2!B:B,IF(B42=3,Inventario3!B:B,IF(B42=4,Inventario4!B:B,IF(B42=5,Inventario5!B:B,Inventario6!B:B))))),
    _xlpm.invTipos, IF(B42=1,Inventario1!C:C,IF(B42=2,Inventario2!C:C,IF(B42=3,Inventario3!C:C,IF(B42=4,Inventario4!C:C,IF(B42=5,Inventario5!C:C,Inventario6!C:C))))),
    _xlpm.invStats, IF(B42=1,Inventario1!D:H,IF(B42=2,Inventario2!D:H,IF(B42=3,Inventario3!D:H,IF(B42=4,Inventario4!D:H,IF(B42=5,Inventario5!D:H,Inventario6!D:H))))),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IF(ROW(A42)=2,"",IF(_xlfn._xlws.FILTER(Equipar!AC$2:AC41,Equipar!B$2:B41=B42)={0},"",_xlfn._xlws.FILTER(Equipar!AC$2:AC41,Equipar!B$2:B41=B42))),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I42" s="4" cm="1">
        <f t="array" ref="I42">_xlfn.LET(
    _xlpm.jugador, A42,
    _xlpm.idSel, AC42,
    _xlpm.invIDs, IF(B42=1,Inventario1!A:A,IF(B42=2,Inventario2!A:A,IF(B42=3,Inventario3!A:A,IF(B42=4,Inventario4!A:A,IF(B42=5,Inventario5!A:A,Inventario6!A:A))))),
    _xlpm.invCalidad, IF(B42=1,Inventario1!B:B,IF(B42=2,Inventario2!B:B,IF(B42=3,Inventario3!B:B,IF(B42=4,Inventario4!B:B,IF(B42=5,Inventario5!B:B,Inventario6!B:B))))),
    _xlpm.invTipos, IF(B42=1,Inventario1!C:C,IF(B42=2,Inventario2!C:C,IF(B42=3,Inventario3!C:C,IF(B42=4,Inventario4!C:C,IF(B42=5,Inventario5!C:C,Inventario6!C:C))))),
    _xlpm.invStats, IF(B42=1,Inventario1!D:H,IF(B42=2,Inventario2!D:H,IF(B42=3,Inventario3!D:H,IF(B42=4,Inventario4!D:H,IF(B42=5,Inventario5!D:H,Inventario6!D:H))))),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IF(ROW(A42)=2,"",IF(_xlfn._xlws.FILTER(Equipar!AC$2:AC41,Equipar!B$2:B41=B42)={0},"",_xlfn._xlws.FILTER(Equipar!AC$2:AC41,Equipar!B$2:B41=B42))),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42" s="4" cm="1">
        <f t="array" aca="1" ref="J42" ca="1">_xlfn.LET(
    _xlpm.jugador, B42,
    _xlpm.idSel, AD42,
    _xlpm.invIDs, IF(C42=1,Inventario1!B:B,IF(C42=2,Inventario2!B:B,IF(C42=3,Inventario3!B:B,IF(C42=4,Inventario4!B:B,IF(C42=5,Inventario5!B:B,Inventario6!B:B))))),
    _xlpm.invCalidad, IF(C42=1,Inventario1!C:C,IF(C42=2,Inventario2!C:C,IF(C42=3,Inventario3!C:C,IF(C42=4,Inventario4!C:C,IF(C42=5,Inventario5!C:C,Inventario6!C:C))))),
    _xlpm.invTipos, IF(C42=1,Inventario1!D:D,IF(C42=2,Inventario2!D:D,IF(C42=3,Inventario3!D:D,IF(C42=4,Inventario4!D:D,IF(C42=5,Inventario5!D:D,Inventario6!D:D))))),
    _xlpm.invStats, IF(C42=1,Inventario1!E:I,IF(C42=2,Inventario2!E:I,IF(C42=3,Inventario3!E:I,IF(C42=4,Inventario4!E:I,IF(C42=5,Inventario5!E:I,Inventario6!E:I))))),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IF(ROW(B42)=2,"",IF(_xlfn._xlws.FILTER(Equipar!AD$2:AD41,Equipar!C$2:C41=C42)={0},"",_xlfn._xlws.FILTER(Equipar!AD$2:AD41,Equipar!C$2:C41=C42))),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42" s="4">
        <f t="shared" ca="1" si="0"/>
        <v>23.939999999999998</v>
      </c>
      <c r="L42" s="4">
        <f t="shared" ca="1" si="1"/>
        <v>107.73</v>
      </c>
      <c r="M42" s="4">
        <f t="shared" ca="1" si="1"/>
        <v>83.79</v>
      </c>
      <c r="N42" s="4">
        <f t="shared" ca="1" si="2"/>
        <v>83.79</v>
      </c>
      <c r="O42" s="4">
        <f t="shared" ca="1" si="2"/>
        <v>0</v>
      </c>
      <c r="P42" s="14" cm="1">
        <f t="array" aca="1" ref="P42" ca="1">_xlfn.LET(
    _xlpm.ptsPrinBase, _xlfn._xlws.FILTER(G:G, A:A=A42),
    _xlpm.ptsSecBase,  _xlfn._xlws.FILTER(H:H, A:A=A42),
    _xlpm.puntosPrin, _xlpm.ptsPrinBase + _xlfn._xlws.FILTER(B:B, A:A=A42)/1000,
    _xlpm.puntosSec,  _xlpm.ptsSecBase  + _xlfn._xlws.FILTER(B:B, A:A=A42)/1000,
    _xlpm.puntosPrinValidos, SUM(--(_xlpm.ptsPrinBase&gt;0)),
    _xlpm.puntosSecValidos,  SUM(--(_xlpm.ptsSecBase&gt;0)),
    _xlpm.clave, K42 + B42/1000,
    _xlpm.claves, _xlfn._xlws.FILTER(K:K + B:B/1000, A:A=A42),
    IF(AND(_xlpm.puntosPrinValidos&gt;=4,_xlpm.puntosSecValidos&gt;=2),IF(
        SUM(--(_xlpm.claves &gt; _xlpm.clave)) &lt; 4,
        C42,
        D42
    ),"No disp")
)</f>
        <v>6</v>
      </c>
      <c r="Q42" s="14" t="str" cm="1">
        <f t="array" aca="1" ref="Q42" ca="1">_xlfn.LET(
    _xlpm.puntosPrin, _xlfn._xlws.FILTER(G:G + B:B/1000, A:A=A42),
    _xlpm.puntosPrinValidos, SUM(--(_xlpm.puntosPrin&gt;1)),
    _xlpm.puntosTer, _xlfn._xlws.FILTER(I:I + B:B/1000, A:A=A42),
    _xlpm.puntosTerValidos, SUM(--(_xlpm.puntosTer&gt;1)),
    _xlpm.clave, L42 + B42/1000,
    _xlpm.claves, _xlfn._xlws.FILTER(L:L + B:B/1000, A:A=A42),
    IF(AND(_xlpm.puntosPrinValidos&gt;=4,_xlpm.puntosTerValidos&gt;=2),IF(
        SUM(--(_xlpm.claves &gt; _xlpm.clave)) &lt; 4,
        C42,
        E42
    ),"No disp")
)</f>
        <v>No disp</v>
      </c>
      <c r="R42" s="14" t="str" cm="1">
        <f t="array" aca="1" ref="R42" ca="1">_xlfn.LET(
    _xlpm.puntosPrin, _xlfn._xlws.FILTER(G:G + B:B/1000, A:A=A42),
    _xlpm.puntosPrinValidos, SUM(--(_xlpm.puntosPrin&gt;1)),
    _xlpm.puntosTer, _xlfn._xlws.FILTER(J:J + B:B/1000, A:A=A42),
    _xlpm.puntosTerValidos, SUM(--(_xlpm.puntosTer&gt;1)),
    _xlpm.clave, M42 + B42/1000,
    _xlpm.claves, _xlfn._xlws.FILTER(M:M + B:B/1000, A:A=A42),
    IF(AND(_xlpm.puntosPrinValidos&gt;=4,_xlpm.puntosTerValidos&gt;=2),IF(
        SUM(--(_xlpm.claves &gt; _xlpm.clave)) &lt; 4,
        C42,
        F42
    ),"No disp")
)</f>
        <v>No disp</v>
      </c>
      <c r="S42" s="14" cm="1">
        <f t="array" aca="1" ref="S42" ca="1">_xlfn.LET(
    _xlpm.ptsPrinBase, _xlfn._xlws.FILTER(G:G, A:A=A42),
    _xlpm.ptsSecBase,  _xlfn._xlws.FILTER(H:H, A:A=A42),
    _xlpm.puntosPrin, _xlpm.ptsPrinBase + _xlfn._xlws.FILTER(B:B, A:A=A42)/1000,
    _xlpm.puntosSec,  _xlpm.ptsSecBase  + _xlfn._xlws.FILTER(B:B, A:A=A42)/1000,
    _xlpm.puntosPrinValidos, SUM(--(_xlpm.ptsPrinBase&gt;0)),
    _xlpm.puntosSecValidos,  SUM(--(_xlpm.ptsSecBase&gt;0)),
    _xlpm.clave, K42 + B42/1000,
    _xlpm.claves, _xlfn._xlws.FILTER(K:K + B:B/1000, A:A=A42),
    IF(
        AND(_xlpm.puntosPrinValidos&gt;=2, _xlpm.puntosSecValidos&gt;=4),
        IF(
            SUM(--(_xlpm.claves &lt; _xlpm.clave)) &lt; 4,
            D42,
            C42
        ),
        "No disp"
    )
)</f>
        <v>6</v>
      </c>
      <c r="T42" s="14" t="str" cm="1">
        <f t="array" aca="1" ref="T42" ca="1">_xlfn.LET(
    _xlpm.puntosSec, _xlfn._xlws.FILTER(H:H + B:B/1000, A:A=A42),
    _xlpm.puntosSecValidos, SUM(--(_xlpm.puntosSec&gt;1)),
    _xlpm.puntosAlt, _xlfn._xlws.FILTER(I:I + B:B/1000, A:A=A42),
    _xlpm.puntosAltValidos, SUM(--(_xlpm.puntosAlt&gt;1)),
    _xlpm.clave, N42 + B42/1000,
    _xlpm.claves, _xlfn._xlws.FILTER(N:N + B:B/1000, A:A=A42),
    IF(AND(_xlpm.puntosSecValidos&gt;=4,_xlpm.puntosAltValidos&gt;=2),IF(
        SUM(--(_xlpm.claves &gt; _xlpm.clave)) &lt; 4,
        D42,
        E42
    ),"No disp")
)</f>
        <v>No disp</v>
      </c>
      <c r="U42" s="14" t="str" cm="1">
        <f t="array" aca="1" ref="U42" ca="1">_xlfn.LET(
    _xlpm.puntosSec, _xlfn._xlws.FILTER(H:H + B:B/1000, A:A=A42),
    _xlpm.puntosSecValidos, SUM(--(_xlpm.puntosSec&gt;1)),
    _xlpm.puntosAlt, _xlfn._xlws.FILTER(J:J + B:B/1000, A:A=A42),
    _xlpm.puntosAltValidos, SUM(--(_xlpm.puntosAlt&gt;1)),
    _xlpm.clave, O42 + B42/1000,
    _xlpm.claves, _xlfn._xlws.FILTER(O:O + B:B/1000, A:A=A42),
    IF(AND(_xlpm.puntosSecValidos&gt;=4,_xlpm.puntosAltValidos&gt;=2),IF(
        SUM(--(_xlpm.claves &gt; _xlpm.clave)) &lt; 4,
        D42,
        F42
    ),"No disp")
)</f>
        <v>No disp</v>
      </c>
      <c r="V42" s="4" cm="1">
        <f t="array" aca="1" ref="V42" ca="1">_xlfn.LET(
_xlpm.PrinIDs,_xlfn._xlws.FILTER(C:C,(A:A=A42)),
_xlpm.SecIDs,_xlfn._xlws.FILTER(D:D,(A:A=A42)),
_xlpm.TerIDs,_xlfn._xlws.FILTER(E:E,A:A=A42),
_xlpm.CuaIDs,_xlfn._xlws.FILTER(F:F,(A:A=A42)),
_xlpm.PrinPts,_xlfn._xlws.FILTER(G:G,(A:A=A42)),
_xlpm.SecPts,_xlfn._xlws.FILTER(H:H,(A:A=A42)),
_xlpm.TerPts,_xlfn._xlws.FILTER(I:I,(A:A=A42)),
_xlpm.CuaPts,_xlfn._xlws.FILTER(J:J,(A:A=A42)),
_xlpm.PSIds,_xlfn._xlws.FILTER(P:P,A:A=A42),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587.16000000000008</v>
      </c>
      <c r="W42" s="4" cm="1">
        <f t="array" aca="1" ref="W42" ca="1">_xlfn.LET(
_xlpm.PrinIDs,_xlfn._xlws.FILTER(C:C,(A:A=A42)),
_xlpm.SecIDs,_xlfn._xlws.FILTER(D:D,(A:A=A42)),
_xlpm.TerIDs,_xlfn._xlws.FILTER(E:E,A:A=A42),
_xlpm.CuaIDs,_xlfn._xlws.FILTER(F:F,(A:A=A42)),
_xlpm.PrinPts,_xlfn._xlws.FILTER(G:G,(A:A=A42)),
_xlpm.SecPts,_xlfn._xlws.FILTER(H:H,(A:A=A42)),
_xlpm.TerPts,_xlfn._xlws.FILTER(I:I,(A:A=A42)),
_xlpm.CuaPts,_xlfn._xlws.FILTER(J:J,(A:A=A42)),
_xlpm.PTIds,_xlfn._xlws.FILTER(Q:Q,A:A=A42),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42" s="4" cm="1">
        <f t="array" aca="1" ref="X42" ca="1">_xlfn.LET(
_xlpm.PrinIDs,_xlfn._xlws.FILTER(C:C,(A:A=A42)),
_xlpm.SecIDs,_xlfn._xlws.FILTER(D:D,(A:A=A42)),
_xlpm.TerIDs,_xlfn._xlws.FILTER(E:E,A:A=A42),
_xlpm.CuaIDs,_xlfn._xlws.FILTER(F:F,(A:A=A42)),
_xlpm.PrinPts,_xlfn._xlws.FILTER(G:G,(A:A=A42)),
_xlpm.SecPts,_xlfn._xlws.FILTER(H:H,(A:A=A42)),
_xlpm.TerPts,_xlfn._xlws.FILTER(I:I,(A:A=A42)),
_xlpm.CuaPts,_xlfn._xlws.FILTER(J:J,(A:A=A42)),
_xlpm.PCIds,_xlfn._xlws.FILTER(R:R,A:A=A42),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42" s="4" cm="1">
        <f t="array" aca="1" ref="Y42" ca="1">_xlfn.LET(
_xlpm.PrinIDs,_xlfn._xlws.FILTER(C:C,(A:A=A42)),
_xlpm.SecIDs,_xlfn._xlws.FILTER(D:D,(A:A=A42)),
_xlpm.AltIDs,_xlfn._xlws.FILTER(E:E,A:A=A42),
_xlpm.PrinPts,_xlfn._xlws.FILTER(G:G,(A:A=A42)),
_xlpm.SecPts,_xlfn._xlws.FILTER(H:H,(A:A=A42)),
_xlpm.AltPts,_xlfn._xlws.FILTER(I:I,(A:A=A42)),
_xlpm.SPIds,_xlfn._xlws.FILTER(S:S,A:A=A42),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557.19000000000005</v>
      </c>
      <c r="Z42" s="4" cm="1">
        <f t="array" aca="1" ref="Z42" ca="1">_xlfn.LET(
_xlpm.PrinIDs,_xlfn._xlws.FILTER(C:C,(A:A=A42)),
_xlpm.SecIDs,_xlfn._xlws.FILTER(D:D,(A:A=A42)),
_xlpm.TerIDs,_xlfn._xlws.FILTER(E:E,A:A=A42),
_xlpm.CuaIDs,_xlfn._xlws.FILTER(F:F,(A:A=A42)),
_xlpm.PrinPts,_xlfn._xlws.FILTER(G:G,(A:A=A42)),
_xlpm.SecPts,_xlfn._xlws.FILTER(H:H,(A:A=A42)),
_xlpm.TerPts,_xlfn._xlws.FILTER(I:I,(A:A=A42)),
_xlpm.CuaPts,_xlfn._xlws.FILTER(J:J,(A:A=A42)),
_xlpm.STIds,_xlfn._xlws.FILTER(T:T,A:A=A42),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42" s="4" cm="1">
        <f t="array" aca="1" ref="AA42" ca="1">_xlfn.LET(
_xlpm.PrinIDs,_xlfn._xlws.FILTER(C:C,(A:A=A42)),
_xlpm.SecIDs,_xlfn._xlws.FILTER(D:D,(A:A=A42)),
_xlpm.TerIDs,_xlfn._xlws.FILTER(E:E,A:A=A42),
_xlpm.CuaIDs,_xlfn._xlws.FILTER(F:F,(A:A=A42)),
_xlpm.PrinPts,_xlfn._xlws.FILTER(G:G,(A:A=A42)),
_xlpm.SecPts,_xlfn._xlws.FILTER(H:H,(A:A=A42)),
_xlpm.TerPts,_xlfn._xlws.FILTER(I:I,(A:A=A42)),
_xlpm.CuaPts,_xlfn._xlws.FILTER(J:J,(A:A=A42)),
_xlpm.SCIds,_xlfn._xlws.FILTER(U:U,A:A=A42),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42" s="14">
        <f t="shared" ca="1" si="3"/>
        <v>6</v>
      </c>
      <c r="AC42" s="14">
        <v>6</v>
      </c>
      <c r="AD42" s="4"/>
      <c r="AE42" s="14" t="str">
        <f ca="1">IF(ISNUMBER(AC42),
IF($B42=1,VLOOKUP($AC42,Inventario1!$A:$H,2),
IF($B42=2,VLOOKUP($AC42,Inventario2!$A:$H,2),
IF($B42=3,VLOOKUP($AC42,Inventario3!$A:$H,2),
IF($B42=4,VLOOKUP($AC42,Inventario4!$A:$H,2),
IF($B42=5,VLOOKUP($AC42,Inventario5!$A:$H,2),
VLOOKUP($AC42,Inventario6!$A:$H,2)
))))),"No equipado")</f>
        <v>Legendario</v>
      </c>
      <c r="AF42" s="14" t="str">
        <f ca="1">IF(ISNUMBER(AC42),
IF($B42=1,VLOOKUP($AC42,Inventario1!$A:$H,3),
IF($B42=2,VLOOKUP($AC42,Inventario2!$A:$H,3),
IF($B42=3,VLOOKUP($AC42,Inventario3!$A:$H,3),
IF($B42=4,VLOOKUP($AC42,Inventario4!$A:$H,3),
IF($B42=5,VLOOKUP($AC42,Inventario5!$A:$H,3),
VLOOKUP($AC42,Inventario6!$A:$H,3)
))))),"")</f>
        <v>Poder vibrante</v>
      </c>
      <c r="AG42" s="14" t="str">
        <f ca="1">IF(ISNUMBER(AC42),
IF($B42=1,VLOOKUP($AC42,Inventario1!$A:$H,4),
IF($B42=2,VLOOKUP($AC42,Inventario2!$A:$H,4),
IF($B42=3,VLOOKUP($AC42,Inventario3!$A:$H,4),
IF($B42=4,VLOOKUP($AC42,Inventario4!$A:$H,4),
IF($B42=5,VLOOKUP($AC42,Inventario5!$A:$H,4),
VLOOKUP($AC42,Inventario6!$A:$H,4)
))))),"")</f>
        <v>Recepción</v>
      </c>
      <c r="AH42" s="14" t="str">
        <f ca="1">IF(ISNUMBER(AC42),
IF($B42=1,VLOOKUP($AC42,Inventario1!$A:$H,5),
IF($B42=2,VLOOKUP($AC42,Inventario2!$A:$H,5),
IF($B42=3,VLOOKUP($AC42,Inventario3!$A:$H,5),
IF($B42=4,VLOOKUP($AC42,Inventario4!$A:$H,5),
IF($B42=5,VLOOKUP($AC42,Inventario5!$A:$H,5),
VLOOKUP($AC42,Inventario6!$A:$H,5)
))))),"")</f>
        <v>Bloqueo</v>
      </c>
      <c r="AI42" s="14" t="str">
        <f ca="1">IF(ISNUMBER(AC42),
IF($B42=1,VLOOKUP($AC42,Inventario1!$A:$H,6),
IF($B42=2,VLOOKUP($AC42,Inventario2!$A:$H,6),
IF($B42=3,VLOOKUP($AC42,Inventario3!$A:$H,6),
IF($B42=4,VLOOKUP($AC42,Inventario4!$A:$H,6),
IF($B42=5,VLOOKUP($AC42,Inventario5!$A:$H,6),
VLOOKUP($AC42,Inventario6!$A:$H,6)
))))),"")</f>
        <v>Saque</v>
      </c>
      <c r="AJ42" s="14" t="str">
        <f ca="1">IF(ISNUMBER(AC42),
IF($B42=1,VLOOKUP($AC42,Inventario1!$A:$H,7),
IF($B42=2,VLOOKUP($AC42,Inventario2!$A:$H,7),
IF($B42=3,VLOOKUP($AC42,Inventario3!$A:$H,7),
IF($B42=4,VLOOKUP($AC42,Inventario4!$A:$H,7),
IF($B42=5,VLOOKUP($AC42,Inventario5!$A:$H,7),
VLOOKUP($AC42,Inventario6!$A:$H,7)
))))),"")</f>
        <v>Recepción</v>
      </c>
      <c r="AK42" s="15" t="str">
        <f ca="1">IF(ISNUMBER(AC42),
IF($B42=1,VLOOKUP($AC42,Inventario1!$A:$H,8),
IF($B42=2,VLOOKUP($AC42,Inventario2!$A:$H,8),
IF($B42=3,VLOOKUP($AC42,Inventario3!$A:$H,8),
IF($B42=4,VLOOKUP($AC42,Inventario4!$A:$H,8),
IF($B42=5,VLOOKUP($AC42,Inventario5!$A:$H,8),
VLOOKUP($AC42,Inventario6!$A:$H,8)
))))),"")</f>
        <v>Recepción</v>
      </c>
    </row>
    <row r="43" spans="1:37" ht="15.75" thickBot="1" x14ac:dyDescent="0.3">
      <c r="A43" s="22" t="s">
        <v>19</v>
      </c>
      <c r="B43" s="17">
        <v>6</v>
      </c>
      <c r="C43" s="18" cm="1">
        <f t="array" aca="1" ref="C43" ca="1">_xlfn.LET(
    _xlpm.jugador, A43,
    _xlpm.idSel, AC43,
    _xlpm.invIDs, IF(B43=1,Inventario1!A:A,IF(B43=2,Inventario2!A:A,IF(B43=3,Inventario3!A:A,IF(B43=4,Inventario4!A:A,IF(B43=5,Inventario5!A:A,Inventario6!A:A))))),
    _xlpm.invCalidad, IF(B43=1,Inventario1!B:B,IF(B43=2,Inventario2!B:B,IF(B43=3,Inventario3!B:B,IF(B43=4,Inventario4!B:B,IF(B43=5,Inventario5!B:B,Inventario6!B:B))))),
    _xlpm.invTipos, IF(B43=1,Inventario1!C:C,IF(B43=2,Inventario2!C:C,IF(B43=3,Inventario3!C:C,IF(B43=4,Inventario4!C:C,IF(B43=5,Inventario5!C:C,Inventario6!C:C))))),
    _xlpm.invStats, IF(B43=1,Inventario1!D:H,IF(B43=2,Inventario2!D:H,IF(B43=3,Inventario3!D:H,IF(B43=4,Inventario4!D:H,IF(B43=5,Inventario5!D:H,Inventario6!D:H))))),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IF(ROW(A43)=2,"",IF(_xlfn._xlws.FILTER(Equipar!AC$2:AC42,Equipar!B$2:B42=B43)={0},"",_xlfn._xlws.FILTER(Equipar!AC$2:AC42,Equipar!B$2:B42=B43))),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161</v>
      </c>
      <c r="D43" s="17" cm="1">
        <f t="array" aca="1" ref="D43" ca="1">_xlfn.LET(
    _xlpm.jugador, A43,
    _xlpm.idSel, AC43,
    _xlpm.invIDs, IF(B43=1,Inventario1!A:A,IF(B43=2,Inventario2!A:A,IF(B43=3,Inventario3!A:A,IF(B43=4,Inventario4!A:A,IF(B43=5,Inventario5!A:A,Inventario6!A:A))))),
    _xlpm.invCalidad, IF(B43=1,Inventario1!B:B,IF(B43=2,Inventario2!B:B,IF(B43=3,Inventario3!B:B,IF(B43=4,Inventario4!B:B,IF(B43=5,Inventario5!B:B,Inventario6!B:B))))),
    _xlpm.invTipos, IF(B43=1,Inventario1!C:C,IF(B43=2,Inventario2!C:C,IF(B43=3,Inventario3!C:C,IF(B43=4,Inventario4!C:C,IF(B43=5,Inventario5!C:C,Inventario6!C:C))))),
    _xlpm.invStats, IF(B43=1,Inventario1!D:H,IF(B43=2,Inventario2!D:H,IF(B43=3,Inventario3!D:H,IF(B43=4,Inventario4!D:H,IF(B43=5,Inventario5!D:H,Inventario6!D:H))))),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IF(ROW(A43)=2,"",IF(_xlfn._xlws.FILTER(Equipar!AC$2:AC42,Equipar!B$2:B42=B43)={0},"",_xlfn._xlws.FILTER(Equipar!AC$2:AC42,Equipar!B$2:B42=B43))),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153</v>
      </c>
      <c r="E43" s="17" t="str" cm="1">
        <f t="array" ref="E43">_xlfn.LET(
    _xlpm.jugador, A43,
    _xlpm.idSel, AC43,
    _xlpm.invIDs, IF(B43=1,Inventario1!A:A,IF(B43=2,Inventario2!A:A,IF(B43=3,Inventario3!A:A,IF(B43=4,Inventario4!A:A,IF(B43=5,Inventario5!A:A,Inventario6!A:A))))),
    _xlpm.invCalidad, IF(B43=1,Inventario1!B:B,IF(B43=2,Inventario2!B:B,IF(B43=3,Inventario3!B:B,IF(B43=4,Inventario4!B:B,IF(B43=5,Inventario5!B:B,Inventario6!B:B))))),
    _xlpm.invTipos, IF(B43=1,Inventario1!C:C,IF(B43=2,Inventario2!C:C,IF(B43=3,Inventario3!C:C,IF(B43=4,Inventario4!C:C,IF(B43=5,Inventario5!C:C,Inventario6!C:C))))),
    _xlpm.invStats, IF(B43=1,Inventario1!D:H,IF(B43=2,Inventario2!D:H,IF(B43=3,Inventario3!D:H,IF(B43=4,Inventario4!D:H,IF(B43=5,Inventario5!D:H,Inventario6!D:H))))),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IF(ROW(A43)=2,"",IF(_xlfn._xlws.FILTER(Equipar!AC$2:AC42,Equipar!B$2:B42=B43)={0},"",_xlfn._xlws.FILTER(Equipar!AC$2:AC42,Equipar!B$2:B42=B43))),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43" s="17" t="str" cm="1">
        <f t="array" aca="1" ref="F43" ca="1">_xlfn.LET(
    _xlpm.jugador, B43,
    _xlpm.idSel, AD43,
    _xlpm.invIDs, IF(C43=1,Inventario1!B:B,IF(C43=2,Inventario2!B:B,IF(C43=3,Inventario3!B:B,IF(C43=4,Inventario4!B:B,IF(C43=5,Inventario5!B:B,Inventario6!B:B))))),
    _xlpm.invCalidad, IF(C43=1,Inventario1!C:C,IF(C43=2,Inventario2!C:C,IF(C43=3,Inventario3!C:C,IF(C43=4,Inventario4!C:C,IF(C43=5,Inventario5!C:C,Inventario6!C:C))))),
    _xlpm.invTipos, IF(C43=1,Inventario1!D:D,IF(C43=2,Inventario2!D:D,IF(C43=3,Inventario3!D:D,IF(C43=4,Inventario4!D:D,IF(C43=5,Inventario5!D:D,Inventario6!D:D))))),
    _xlpm.invStats, IF(C43=1,Inventario1!E:I,IF(C43=2,Inventario2!E:I,IF(C43=3,Inventario3!E:I,IF(C43=4,Inventario4!E:I,IF(C43=5,Inventario5!E:I,Inventario6!E:I))))),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IF(ROW(B43)=2,"",IF(_xlfn._xlws.FILTER(Equipar!AD$2:AD42,Equipar!C$2:C42=C43)={0},"",_xlfn._xlws.FILTER(Equipar!AD$2:AD42,Equipar!C$2:C42=C43))),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43" s="18" cm="1">
        <f t="array" aca="1" ref="G43" ca="1">_xlfn.LET(
    _xlpm.jugador, A43,
    _xlpm.idSel, AC43,
    _xlpm.invIDs, IF(B43=1,Inventario1!A:A,IF(B43=2,Inventario2!A:A,IF(B43=3,Inventario3!A:A,IF(B43=4,Inventario4!A:A,IF(B43=5,Inventario5!A:A,Inventario6!A:A))))),
    _xlpm.invCalidad, IF(B43=1,Inventario1!B:B,IF(B43=2,Inventario2!B:B,IF(B43=3,Inventario3!B:B,IF(B43=4,Inventario4!B:B,IF(B43=5,Inventario5!B:B,Inventario6!B:B))))),
    _xlpm.invTipos, IF(B43=1,Inventario1!C:C,IF(B43=2,Inventario2!C:C,IF(B43=3,Inventario3!C:C,IF(B43=4,Inventario4!C:C,IF(B43=5,Inventario5!C:C,Inventario6!C:C))))),
    _xlpm.invStats, IF(B43=1,Inventario1!D:H,IF(B43=2,Inventario2!D:H,IF(B43=3,Inventario3!D:H,IF(B43=4,Inventario4!D:H,IF(B43=5,Inventario5!D:H,Inventario6!D:H))))),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IF(ROW(A43)=2,"",IF(_xlfn._xlws.FILTER(Equipar!AC$2:AC42,Equipar!B$2:B42=B43)={0},"",_xlfn._xlws.FILTER(Equipar!AC$2:AC42,Equipar!B$2:B42=B43))),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H43" s="17" cm="1">
        <f t="array" aca="1" ref="H43" ca="1">_xlfn.LET(
    _xlpm.jugador, A43,
    _xlpm.idSel, AC43,
    _xlpm.invIDs, IF(B43=1,Inventario1!A:A,IF(B43=2,Inventario2!A:A,IF(B43=3,Inventario3!A:A,IF(B43=4,Inventario4!A:A,IF(B43=5,Inventario5!A:A,Inventario6!A:A))))),
    _xlpm.invCalidad, IF(B43=1,Inventario1!B:B,IF(B43=2,Inventario2!B:B,IF(B43=3,Inventario3!B:B,IF(B43=4,Inventario4!B:B,IF(B43=5,Inventario5!B:B,Inventario6!B:B))))),
    _xlpm.invTipos, IF(B43=1,Inventario1!C:C,IF(B43=2,Inventario2!C:C,IF(B43=3,Inventario3!C:C,IF(B43=4,Inventario4!C:C,IF(B43=5,Inventario5!C:C,Inventario6!C:C))))),
    _xlpm.invStats, IF(B43=1,Inventario1!D:H,IF(B43=2,Inventario2!D:H,IF(B43=3,Inventario3!D:H,IF(B43=4,Inventario4!D:H,IF(B43=5,Inventario5!D:H,Inventario6!D:H))))),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IF(ROW(A43)=2,"",IF(_xlfn._xlws.FILTER(Equipar!AC$2:AC42,Equipar!B$2:B42=B43)={0},"",_xlfn._xlws.FILTER(Equipar!AC$2:AC42,Equipar!B$2:B42=B43))),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90</v>
      </c>
      <c r="I43" s="17" cm="1">
        <f t="array" ref="I43">_xlfn.LET(
    _xlpm.jugador, A43,
    _xlpm.idSel, AC43,
    _xlpm.invIDs, IF(B43=1,Inventario1!A:A,IF(B43=2,Inventario2!A:A,IF(B43=3,Inventario3!A:A,IF(B43=4,Inventario4!A:A,IF(B43=5,Inventario5!A:A,Inventario6!A:A))))),
    _xlpm.invCalidad, IF(B43=1,Inventario1!B:B,IF(B43=2,Inventario2!B:B,IF(B43=3,Inventario3!B:B,IF(B43=4,Inventario4!B:B,IF(B43=5,Inventario5!B:B,Inventario6!B:B))))),
    _xlpm.invTipos, IF(B43=1,Inventario1!C:C,IF(B43=2,Inventario2!C:C,IF(B43=3,Inventario3!C:C,IF(B43=4,Inventario4!C:C,IF(B43=5,Inventario5!C:C,Inventario6!C:C))))),
    _xlpm.invStats, IF(B43=1,Inventario1!D:H,IF(B43=2,Inventario2!D:H,IF(B43=3,Inventario3!D:H,IF(B43=4,Inventario4!D:H,IF(B43=5,Inventario5!D:H,Inventario6!D:H))))),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IF(ROW(A43)=2,"",IF(_xlfn._xlws.FILTER(Equipar!AC$2:AC42,Equipar!B$2:B42=B43)={0},"",_xlfn._xlws.FILTER(Equipar!AC$2:AC42,Equipar!B$2:B42=B43))),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43" s="17" cm="1">
        <f t="array" aca="1" ref="J43" ca="1">_xlfn.LET(
    _xlpm.jugador, B43,
    _xlpm.idSel, AD43,
    _xlpm.invIDs, IF(C43=1,Inventario1!B:B,IF(C43=2,Inventario2!B:B,IF(C43=3,Inventario3!B:B,IF(C43=4,Inventario4!B:B,IF(C43=5,Inventario5!B:B,Inventario6!B:B))))),
    _xlpm.invCalidad, IF(C43=1,Inventario1!C:C,IF(C43=2,Inventario2!C:C,IF(C43=3,Inventario3!C:C,IF(C43=4,Inventario4!C:C,IF(C43=5,Inventario5!C:C,Inventario6!C:C))))),
    _xlpm.invTipos, IF(C43=1,Inventario1!D:D,IF(C43=2,Inventario2!D:D,IF(C43=3,Inventario3!D:D,IF(C43=4,Inventario4!D:D,IF(C43=5,Inventario5!D:D,Inventario6!D:D))))),
    _xlpm.invStats, IF(C43=1,Inventario1!E:I,IF(C43=2,Inventario2!E:I,IF(C43=3,Inventario3!E:I,IF(C43=4,Inventario4!E:I,IF(C43=5,Inventario5!E:I,Inventario6!E:I))))),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IF(ROW(B43)=2,"",IF(_xlfn._xlws.FILTER(Equipar!AD$2:AD42,Equipar!C$2:C42=C43)={0},"",_xlfn._xlws.FILTER(Equipar!AD$2:AD42,Equipar!C$2:C42=C43))),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43" s="17">
        <f t="shared" ca="1" si="0"/>
        <v>-18.179999999999993</v>
      </c>
      <c r="L43" s="17">
        <f t="shared" ca="1" si="1"/>
        <v>71.820000000000007</v>
      </c>
      <c r="M43" s="17">
        <f t="shared" ca="1" si="1"/>
        <v>90</v>
      </c>
      <c r="N43" s="17">
        <f t="shared" ca="1" si="2"/>
        <v>90</v>
      </c>
      <c r="O43" s="17">
        <f t="shared" ca="1" si="2"/>
        <v>0</v>
      </c>
      <c r="P43" s="18" cm="1">
        <f t="array" aca="1" ref="P43" ca="1">_xlfn.LET(
    _xlpm.ptsPrinBase, _xlfn._xlws.FILTER(G:G, A:A=A43),
    _xlpm.ptsSecBase,  _xlfn._xlws.FILTER(H:H, A:A=A43),
    _xlpm.puntosPrin, _xlpm.ptsPrinBase + _xlfn._xlws.FILTER(B:B, A:A=A43)/1000,
    _xlpm.puntosSec,  _xlpm.ptsSecBase  + _xlfn._xlws.FILTER(B:B, A:A=A43)/1000,
    _xlpm.puntosPrinValidos, SUM(--(_xlpm.ptsPrinBase&gt;0)),
    _xlpm.puntosSecValidos,  SUM(--(_xlpm.ptsSecBase&gt;0)),
    _xlpm.clave, K43 + B43/1000,
    _xlpm.claves, _xlfn._xlws.FILTER(K:K + B:B/1000, A:A=A43),
    IF(AND(_xlpm.puntosPrinValidos&gt;=4,_xlpm.puntosSecValidos&gt;=2),IF(
        SUM(--(_xlpm.claves &gt; _xlpm.clave)) &lt; 4,
        C43,
        D43
    ),"No disp")
)</f>
        <v>153</v>
      </c>
      <c r="Q43" s="18" t="str" cm="1">
        <f t="array" aca="1" ref="Q43" ca="1">_xlfn.LET(
    _xlpm.puntosPrin, _xlfn._xlws.FILTER(G:G + B:B/1000, A:A=A43),
    _xlpm.puntosPrinValidos, SUM(--(_xlpm.puntosPrin&gt;1)),
    _xlpm.puntosTer, _xlfn._xlws.FILTER(I:I + B:B/1000, A:A=A43),
    _xlpm.puntosTerValidos, SUM(--(_xlpm.puntosTer&gt;1)),
    _xlpm.clave, L43 + B43/1000,
    _xlpm.claves, _xlfn._xlws.FILTER(L:L + B:B/1000, A:A=A43),
    IF(AND(_xlpm.puntosPrinValidos&gt;=4,_xlpm.puntosTerValidos&gt;=2),IF(
        SUM(--(_xlpm.claves &gt; _xlpm.clave)) &lt; 4,
        C43,
        E43
    ),"No disp")
)</f>
        <v>No disp</v>
      </c>
      <c r="R43" s="18" t="str" cm="1">
        <f t="array" aca="1" ref="R43" ca="1">_xlfn.LET(
    _xlpm.puntosPrin, _xlfn._xlws.FILTER(G:G + B:B/1000, A:A=A43),
    _xlpm.puntosPrinValidos, SUM(--(_xlpm.puntosPrin&gt;1)),
    _xlpm.puntosTer, _xlfn._xlws.FILTER(J:J + B:B/1000, A:A=A43),
    _xlpm.puntosTerValidos, SUM(--(_xlpm.puntosTer&gt;1)),
    _xlpm.clave, M43 + B43/1000,
    _xlpm.claves, _xlfn._xlws.FILTER(M:M + B:B/1000, A:A=A43),
    IF(AND(_xlpm.puntosPrinValidos&gt;=4,_xlpm.puntosTerValidos&gt;=2),IF(
        SUM(--(_xlpm.claves &gt; _xlpm.clave)) &lt; 4,
        C43,
        F43
    ),"No disp")
)</f>
        <v>No disp</v>
      </c>
      <c r="S43" s="18" cm="1">
        <f t="array" aca="1" ref="S43" ca="1">_xlfn.LET(
    _xlpm.ptsPrinBase, _xlfn._xlws.FILTER(G:G, A:A=A43),
    _xlpm.ptsSecBase,  _xlfn._xlws.FILTER(H:H, A:A=A43),
    _xlpm.puntosPrin, _xlpm.ptsPrinBase + _xlfn._xlws.FILTER(B:B, A:A=A43)/1000,
    _xlpm.puntosSec,  _xlpm.ptsSecBase  + _xlfn._xlws.FILTER(B:B, A:A=A43)/1000,
    _xlpm.puntosPrinValidos, SUM(--(_xlpm.ptsPrinBase&gt;0)),
    _xlpm.puntosSecValidos,  SUM(--(_xlpm.ptsSecBase&gt;0)),
    _xlpm.clave, K43 + B43/1000,
    _xlpm.claves, _xlfn._xlws.FILTER(K:K + B:B/1000, A:A=A43),
    IF(
        AND(_xlpm.puntosPrinValidos&gt;=2, _xlpm.puntosSecValidos&gt;=4),
        IF(
            SUM(--(_xlpm.claves &lt; _xlpm.clave)) &lt; 4,
            D43,
            C43
        ),
        "No disp"
    )
)</f>
        <v>153</v>
      </c>
      <c r="T43" s="18" t="str" cm="1">
        <f t="array" aca="1" ref="T43" ca="1">_xlfn.LET(
    _xlpm.puntosSec, _xlfn._xlws.FILTER(H:H + B:B/1000, A:A=A43),
    _xlpm.puntosSecValidos, SUM(--(_xlpm.puntosSec&gt;1)),
    _xlpm.puntosAlt, _xlfn._xlws.FILTER(I:I + B:B/1000, A:A=A43),
    _xlpm.puntosAltValidos, SUM(--(_xlpm.puntosAlt&gt;1)),
    _xlpm.clave, N43 + B43/1000,
    _xlpm.claves, _xlfn._xlws.FILTER(N:N + B:B/1000, A:A=A43),
    IF(AND(_xlpm.puntosSecValidos&gt;=4,_xlpm.puntosAltValidos&gt;=2),IF(
        SUM(--(_xlpm.claves &gt; _xlpm.clave)) &lt; 4,
        D43,
        E43
    ),"No disp")
)</f>
        <v>No disp</v>
      </c>
      <c r="U43" s="18" t="str" cm="1">
        <f t="array" aca="1" ref="U43" ca="1">_xlfn.LET(
    _xlpm.puntosSec, _xlfn._xlws.FILTER(H:H + B:B/1000, A:A=A43),
    _xlpm.puntosSecValidos, SUM(--(_xlpm.puntosSec&gt;1)),
    _xlpm.puntosAlt, _xlfn._xlws.FILTER(J:J + B:B/1000, A:A=A43),
    _xlpm.puntosAltValidos, SUM(--(_xlpm.puntosAlt&gt;1)),
    _xlpm.clave, O43 + B43/1000,
    _xlpm.claves, _xlfn._xlws.FILTER(O:O + B:B/1000, A:A=A43),
    IF(AND(_xlpm.puntosSecValidos&gt;=4,_xlpm.puntosAltValidos&gt;=2),IF(
        SUM(--(_xlpm.claves &gt; _xlpm.clave)) &lt; 4,
        D43,
        F43
    ),"No disp")
)</f>
        <v>No disp</v>
      </c>
      <c r="V43" s="17" cm="1">
        <f t="array" aca="1" ref="V43" ca="1">_xlfn.LET(
_xlpm.PrinIDs,_xlfn._xlws.FILTER(C:C,(A:A=A43)),
_xlpm.SecIDs,_xlfn._xlws.FILTER(D:D,(A:A=A43)),
_xlpm.TerIDs,_xlfn._xlws.FILTER(E:E,A:A=A43),
_xlpm.CuaIDs,_xlfn._xlws.FILTER(F:F,(A:A=A43)),
_xlpm.PrinPts,_xlfn._xlws.FILTER(G:G,(A:A=A43)),
_xlpm.SecPts,_xlfn._xlws.FILTER(H:H,(A:A=A43)),
_xlpm.TerPts,_xlfn._xlws.FILTER(I:I,(A:A=A43)),
_xlpm.CuaPts,_xlfn._xlws.FILTER(J:J,(A:A=A43)),
_xlpm.PSIds,_xlfn._xlws.FILTER(P:P,A:A=A43),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587.16000000000008</v>
      </c>
      <c r="W43" s="17" cm="1">
        <f t="array" aca="1" ref="W43" ca="1">_xlfn.LET(
_xlpm.PrinIDs,_xlfn._xlws.FILTER(C:C,(A:A=A43)),
_xlpm.SecIDs,_xlfn._xlws.FILTER(D:D,(A:A=A43)),
_xlpm.TerIDs,_xlfn._xlws.FILTER(E:E,A:A=A43),
_xlpm.CuaIDs,_xlfn._xlws.FILTER(F:F,(A:A=A43)),
_xlpm.PrinPts,_xlfn._xlws.FILTER(G:G,(A:A=A43)),
_xlpm.SecPts,_xlfn._xlws.FILTER(H:H,(A:A=A43)),
_xlpm.TerPts,_xlfn._xlws.FILTER(I:I,(A:A=A43)),
_xlpm.CuaPts,_xlfn._xlws.FILTER(J:J,(A:A=A43)),
_xlpm.PTIds,_xlfn._xlws.FILTER(Q:Q,A:A=A43),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43" s="17" cm="1">
        <f t="array" aca="1" ref="X43" ca="1">_xlfn.LET(
_xlpm.PrinIDs,_xlfn._xlws.FILTER(C:C,(A:A=A43)),
_xlpm.SecIDs,_xlfn._xlws.FILTER(D:D,(A:A=A43)),
_xlpm.TerIDs,_xlfn._xlws.FILTER(E:E,A:A=A43),
_xlpm.CuaIDs,_xlfn._xlws.FILTER(F:F,(A:A=A43)),
_xlpm.PrinPts,_xlfn._xlws.FILTER(G:G,(A:A=A43)),
_xlpm.SecPts,_xlfn._xlws.FILTER(H:H,(A:A=A43)),
_xlpm.TerPts,_xlfn._xlws.FILTER(I:I,(A:A=A43)),
_xlpm.CuaPts,_xlfn._xlws.FILTER(J:J,(A:A=A43)),
_xlpm.PCIds,_xlfn._xlws.FILTER(R:R,A:A=A43),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43" s="17" cm="1">
        <f t="array" aca="1" ref="Y43" ca="1">_xlfn.LET(
_xlpm.PrinIDs,_xlfn._xlws.FILTER(C:C,(A:A=A43)),
_xlpm.SecIDs,_xlfn._xlws.FILTER(D:D,(A:A=A43)),
_xlpm.AltIDs,_xlfn._xlws.FILTER(E:E,A:A=A43),
_xlpm.PrinPts,_xlfn._xlws.FILTER(G:G,(A:A=A43)),
_xlpm.SecPts,_xlfn._xlws.FILTER(H:H,(A:A=A43)),
_xlpm.AltPts,_xlfn._xlws.FILTER(I:I,(A:A=A43)),
_xlpm.SPIds,_xlfn._xlws.FILTER(S:S,A:A=A43),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557.19000000000005</v>
      </c>
      <c r="Z43" s="17" cm="1">
        <f t="array" aca="1" ref="Z43" ca="1">_xlfn.LET(
_xlpm.PrinIDs,_xlfn._xlws.FILTER(C:C,(A:A=A43)),
_xlpm.SecIDs,_xlfn._xlws.FILTER(D:D,(A:A=A43)),
_xlpm.TerIDs,_xlfn._xlws.FILTER(E:E,A:A=A43),
_xlpm.CuaIDs,_xlfn._xlws.FILTER(F:F,(A:A=A43)),
_xlpm.PrinPts,_xlfn._xlws.FILTER(G:G,(A:A=A43)),
_xlpm.SecPts,_xlfn._xlws.FILTER(H:H,(A:A=A43)),
_xlpm.TerPts,_xlfn._xlws.FILTER(I:I,(A:A=A43)),
_xlpm.CuaPts,_xlfn._xlws.FILTER(J:J,(A:A=A43)),
_xlpm.STIds,_xlfn._xlws.FILTER(T:T,A:A=A43),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43" s="17" cm="1">
        <f t="array" aca="1" ref="AA43" ca="1">_xlfn.LET(
_xlpm.PrinIDs,_xlfn._xlws.FILTER(C:C,(A:A=A43)),
_xlpm.SecIDs,_xlfn._xlws.FILTER(D:D,(A:A=A43)),
_xlpm.TerIDs,_xlfn._xlws.FILTER(E:E,A:A=A43),
_xlpm.CuaIDs,_xlfn._xlws.FILTER(F:F,(A:A=A43)),
_xlpm.PrinPts,_xlfn._xlws.FILTER(G:G,(A:A=A43)),
_xlpm.SecPts,_xlfn._xlws.FILTER(H:H,(A:A=A43)),
_xlpm.TerPts,_xlfn._xlws.FILTER(I:I,(A:A=A43)),
_xlpm.CuaPts,_xlfn._xlws.FILTER(J:J,(A:A=A43)),
_xlpm.SCIds,_xlfn._xlws.FILTER(U:U,A:A=A43),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43" s="18">
        <f t="shared" ca="1" si="3"/>
        <v>153</v>
      </c>
      <c r="AC43" s="18">
        <v>153</v>
      </c>
      <c r="AD43" s="17"/>
      <c r="AE43" s="18" t="str">
        <f ca="1">IF(ISNUMBER(AC43),
IF($B43=1,VLOOKUP($AC43,Inventario1!$A:$H,2),
IF($B43=2,VLOOKUP($AC43,Inventario2!$A:$H,2),
IF($B43=3,VLOOKUP($AC43,Inventario3!$A:$H,2),
IF($B43=4,VLOOKUP($AC43,Inventario4!$A:$H,2),
IF($B43=5,VLOOKUP($AC43,Inventario5!$A:$H,2),
VLOOKUP($AC43,Inventario6!$A:$H,2)
))))),"No equipado")</f>
        <v>Épico</v>
      </c>
      <c r="AF43" s="18" t="str">
        <f ca="1">IF(ISNUMBER(AC43),
IF($B43=1,VLOOKUP($AC43,Inventario1!$A:$H,3),
IF($B43=2,VLOOKUP($AC43,Inventario2!$A:$H,3),
IF($B43=3,VLOOKUP($AC43,Inventario3!$A:$H,3),
IF($B43=4,VLOOKUP($AC43,Inventario4!$A:$H,3),
IF($B43=5,VLOOKUP($AC43,Inventario5!$A:$H,3),
VLOOKUP($AC43,Inventario6!$A:$H,3)
))))),"")</f>
        <v>Recepción de asistencia</v>
      </c>
      <c r="AG43" s="18" t="str">
        <f ca="1">IF(ISNUMBER(AC43),
IF($B43=1,VLOOKUP($AC43,Inventario1!$A:$H,4),
IF($B43=2,VLOOKUP($AC43,Inventario2!$A:$H,4),
IF($B43=3,VLOOKUP($AC43,Inventario3!$A:$H,4),
IF($B43=4,VLOOKUP($AC43,Inventario4!$A:$H,4),
IF($B43=5,VLOOKUP($AC43,Inventario5!$A:$H,4),
VLOOKUP($AC43,Inventario6!$A:$H,4)
))))),"")</f>
        <v>Técnica defensiva</v>
      </c>
      <c r="AH43" s="18" t="str">
        <f ca="1">IF(ISNUMBER(AC43),
IF($B43=1,VLOOKUP($AC43,Inventario1!$A:$H,5),
IF($B43=2,VLOOKUP($AC43,Inventario2!$A:$H,5),
IF($B43=3,VLOOKUP($AC43,Inventario3!$A:$H,5),
IF($B43=4,VLOOKUP($AC43,Inventario4!$A:$H,5),
IF($B43=5,VLOOKUP($AC43,Inventario5!$A:$H,5),
VLOOKUP($AC43,Inventario6!$A:$H,5)
))))),"")</f>
        <v>Recepción</v>
      </c>
      <c r="AI43" s="18" t="str">
        <f ca="1">IF(ISNUMBER(AC43),
IF($B43=1,VLOOKUP($AC43,Inventario1!$A:$H,6),
IF($B43=2,VLOOKUP($AC43,Inventario2!$A:$H,6),
IF($B43=3,VLOOKUP($AC43,Inventario3!$A:$H,6),
IF($B43=4,VLOOKUP($AC43,Inventario4!$A:$H,6),
IF($B43=5,VLOOKUP($AC43,Inventario5!$A:$H,6),
VLOOKUP($AC43,Inventario6!$A:$H,6)
))))),"")</f>
        <v>Técnica ofensiva</v>
      </c>
      <c r="AJ43" s="18" t="str">
        <f ca="1">IF(ISNUMBER(AC43),
IF($B43=1,VLOOKUP($AC43,Inventario1!$A:$H,7),
IF($B43=2,VLOOKUP($AC43,Inventario2!$A:$H,7),
IF($B43=3,VLOOKUP($AC43,Inventario3!$A:$H,7),
IF($B43=4,VLOOKUP($AC43,Inventario4!$A:$H,7),
IF($B43=5,VLOOKUP($AC43,Inventario5!$A:$H,7),
VLOOKUP($AC43,Inventario6!$A:$H,7)
))))),"")</f>
        <v>Ataque poderoso</v>
      </c>
      <c r="AK43" s="19">
        <f ca="1">IF(ISNUMBER(AC43),
IF($B43=1,VLOOKUP($AC43,Inventario1!$A:$H,8),
IF($B43=2,VLOOKUP($AC43,Inventario2!$A:$H,8),
IF($B43=3,VLOOKUP($AC43,Inventario3!$A:$H,8),
IF($B43=4,VLOOKUP($AC43,Inventario4!$A:$H,8),
IF($B43=5,VLOOKUP($AC43,Inventario5!$A:$H,8),
VLOOKUP($AC43,Inventario6!$A:$H,8)
))))),"")</f>
        <v>0</v>
      </c>
    </row>
    <row r="44" spans="1:37" x14ac:dyDescent="0.25">
      <c r="A44" s="20" t="s">
        <v>27</v>
      </c>
      <c r="B44" s="11">
        <v>1</v>
      </c>
      <c r="C44" s="10" cm="1">
        <f t="array" aca="1" ref="C44" ca="1">_xlfn.LET(
    _xlpm.jugador, A44,
    _xlpm.idSel, AC44,
    _xlpm.invIDs, IF(B44=1,Inventario1!A:A,IF(B44=2,Inventario2!A:A,IF(B44=3,Inventario3!A:A,IF(B44=4,Inventario4!A:A,IF(B44=5,Inventario5!A:A,Inventario6!A:A))))),
    _xlpm.invCalidad, IF(B44=1,Inventario1!B:B,IF(B44=2,Inventario2!B:B,IF(B44=3,Inventario3!B:B,IF(B44=4,Inventario4!B:B,IF(B44=5,Inventario5!B:B,Inventario6!B:B))))),
    _xlpm.invTipos, IF(B44=1,Inventario1!C:C,IF(B44=2,Inventario2!C:C,IF(B44=3,Inventario3!C:C,IF(B44=4,Inventario4!C:C,IF(B44=5,Inventario5!C:C,Inventario6!C:C))))),
    _xlpm.invStats, IF(B44=1,Inventario1!D:H,IF(B44=2,Inventario2!D:H,IF(B44=3,Inventario3!D:H,IF(B44=4,Inventario4!D:H,IF(B44=5,Inventario5!D:H,Inventario6!D:H))))),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IF(ROW(A44)=2,"",IF(_xlfn._xlws.FILTER(Equipar!AC$2:AC43,Equipar!B$2:B43=B44)={0},"",_xlfn._xlws.FILTER(Equipar!AC$2:AC43,Equipar!B$2:B43=B44))),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28</v>
      </c>
      <c r="D44" s="11" cm="1">
        <f t="array" ref="D44">_xlfn.LET(
    _xlpm.jugador, A44,
    _xlpm.idSel, AC44,
    _xlpm.invIDs, IF(B44=1,Inventario1!A:A,IF(B44=2,Inventario2!A:A,IF(B44=3,Inventario3!A:A,IF(B44=4,Inventario4!A:A,IF(B44=5,Inventario5!A:A,Inventario6!A:A))))),
    _xlpm.invCalidad, IF(B44=1,Inventario1!B:B,IF(B44=2,Inventario2!B:B,IF(B44=3,Inventario3!B:B,IF(B44=4,Inventario4!B:B,IF(B44=5,Inventario5!B:B,Inventario6!B:B))))),
    _xlpm.invTipos, IF(B44=1,Inventario1!C:C,IF(B44=2,Inventario2!C:C,IF(B44=3,Inventario3!C:C,IF(B44=4,Inventario4!C:C,IF(B44=5,Inventario5!C:C,Inventario6!C:C))))),
    _xlpm.invStats, IF(B44=1,Inventario1!D:H,IF(B44=2,Inventario2!D:H,IF(B44=3,Inventario3!D:H,IF(B44=4,Inventario4!D:H,IF(B44=5,Inventario5!D:H,Inventario6!D:H))))),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IF(ROW(A44)=2,"",IF(_xlfn._xlws.FILTER(Equipar!AC$2:AC43,Equipar!B$2:B43=B44)={0},"",_xlfn._xlws.FILTER(Equipar!AC$2:AC43,Equipar!B$2:B43=B44))),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31</v>
      </c>
      <c r="E44" s="11" t="str" cm="1">
        <f t="array" ref="E44">_xlfn.LET(
    _xlpm.jugador, A44,
    _xlpm.idSel, AC44,
    _xlpm.invIDs, IF(B44=1,Inventario1!A:A,IF(B44=2,Inventario2!A:A,IF(B44=3,Inventario3!A:A,IF(B44=4,Inventario4!A:A,IF(B44=5,Inventario5!A:A,Inventario6!A:A))))),
    _xlpm.invCalidad, IF(B44=1,Inventario1!B:B,IF(B44=2,Inventario2!B:B,IF(B44=3,Inventario3!B:B,IF(B44=4,Inventario4!B:B,IF(B44=5,Inventario5!B:B,Inventario6!B:B))))),
    _xlpm.invTipos, IF(B44=1,Inventario1!C:C,IF(B44=2,Inventario2!C:C,IF(B44=3,Inventario3!C:C,IF(B44=4,Inventario4!C:C,IF(B44=5,Inventario5!C:C,Inventario6!C:C))))),
    _xlpm.invStats, IF(B44=1,Inventario1!D:H,IF(B44=2,Inventario2!D:H,IF(B44=3,Inventario3!D:H,IF(B44=4,Inventario4!D:H,IF(B44=5,Inventario5!D:H,Inventario6!D:H))))),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IF(ROW(A44)=2,"",IF(_xlfn._xlws.FILTER(Equipar!AC$2:AC43,Equipar!B$2:B43=B44)={0},"",_xlfn._xlws.FILTER(Equipar!AC$2:AC43,Equipar!B$2:B43=B44))),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44" s="11" t="str" cm="1">
        <f t="array" aca="1" ref="F44" ca="1">_xlfn.LET(
    _xlpm.jugador, B44,
    _xlpm.idSel, AD44,
    _xlpm.invIDs, IF(C44=1,Inventario1!B:B,IF(C44=2,Inventario2!B:B,IF(C44=3,Inventario3!B:B,IF(C44=4,Inventario4!B:B,IF(C44=5,Inventario5!B:B,Inventario6!B:B))))),
    _xlpm.invCalidad, IF(C44=1,Inventario1!C:C,IF(C44=2,Inventario2!C:C,IF(C44=3,Inventario3!C:C,IF(C44=4,Inventario4!C:C,IF(C44=5,Inventario5!C:C,Inventario6!C:C))))),
    _xlpm.invTipos, IF(C44=1,Inventario1!D:D,IF(C44=2,Inventario2!D:D,IF(C44=3,Inventario3!D:D,IF(C44=4,Inventario4!D:D,IF(C44=5,Inventario5!D:D,Inventario6!D:D))))),
    _xlpm.invStats, IF(C44=1,Inventario1!E:I,IF(C44=2,Inventario2!E:I,IF(C44=3,Inventario3!E:I,IF(C44=4,Inventario4!E:I,IF(C44=5,Inventario5!E:I,Inventario6!E:I))))),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IF(ROW(B44)=2,"",IF(_xlfn._xlws.FILTER(Equipar!AD$2:AD43,Equipar!C$2:C43=C44)={0},"",_xlfn._xlws.FILTER(Equipar!AD$2:AD43,Equipar!C$2:C43=C44))),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44" s="10" cm="1">
        <f t="array" aca="1" ref="G44" ca="1">_xlfn.LET(
    _xlpm.jugador, A44,
    _xlpm.idSel, AC44,
    _xlpm.invIDs, IF(B44=1,Inventario1!A:A,IF(B44=2,Inventario2!A:A,IF(B44=3,Inventario3!A:A,IF(B44=4,Inventario4!A:A,IF(B44=5,Inventario5!A:A,Inventario6!A:A))))),
    _xlpm.invCalidad, IF(B44=1,Inventario1!B:B,IF(B44=2,Inventario2!B:B,IF(B44=3,Inventario3!B:B,IF(B44=4,Inventario4!B:B,IF(B44=5,Inventario5!B:B,Inventario6!B:B))))),
    _xlpm.invTipos, IF(B44=1,Inventario1!C:C,IF(B44=2,Inventario2!C:C,IF(B44=3,Inventario3!C:C,IF(B44=4,Inventario4!C:C,IF(B44=5,Inventario5!C:C,Inventario6!C:C))))),
    _xlpm.invStats, IF(B44=1,Inventario1!D:H,IF(B44=2,Inventario2!D:H,IF(B44=3,Inventario3!D:H,IF(B44=4,Inventario4!D:H,IF(B44=5,Inventario5!D:H,Inventario6!D:H))))),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IF(ROW(A44)=2,"",IF(_xlfn._xlws.FILTER(Equipar!AC$2:AC43,Equipar!B$2:B43=B44)={0},"",_xlfn._xlws.FILTER(Equipar!AC$2:AC43,Equipar!B$2:B43=B44))),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H44" s="11" cm="1">
        <f t="array" ref="H44">_xlfn.LET(
    _xlpm.jugador, A44,
    _xlpm.idSel, AC44,
    _xlpm.invIDs, IF(B44=1,Inventario1!A:A,IF(B44=2,Inventario2!A:A,IF(B44=3,Inventario3!A:A,IF(B44=4,Inventario4!A:A,IF(B44=5,Inventario5!A:A,Inventario6!A:A))))),
    _xlpm.invCalidad, IF(B44=1,Inventario1!B:B,IF(B44=2,Inventario2!B:B,IF(B44=3,Inventario3!B:B,IF(B44=4,Inventario4!B:B,IF(B44=5,Inventario5!B:B,Inventario6!B:B))))),
    _xlpm.invTipos, IF(B44=1,Inventario1!C:C,IF(B44=2,Inventario2!C:C,IF(B44=3,Inventario3!C:C,IF(B44=4,Inventario4!C:C,IF(B44=5,Inventario5!C:C,Inventario6!C:C))))),
    _xlpm.invStats, IF(B44=1,Inventario1!D:H,IF(B44=2,Inventario2!D:H,IF(B44=3,Inventario3!D:H,IF(B44=4,Inventario4!D:H,IF(B44=5,Inventario5!D:H,Inventario6!D:H))))),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IF(ROW(A44)=2,"",IF(_xlfn._xlws.FILTER(Equipar!AC$2:AC43,Equipar!B$2:B43=B44)={0},"",_xlfn._xlws.FILTER(Equipar!AC$2:AC43,Equipar!B$2:B43=B44))),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I44" s="11" cm="1">
        <f t="array" ref="I44">_xlfn.LET(
    _xlpm.jugador, A44,
    _xlpm.idSel, AC44,
    _xlpm.invIDs, IF(B44=1,Inventario1!A:A,IF(B44=2,Inventario2!A:A,IF(B44=3,Inventario3!A:A,IF(B44=4,Inventario4!A:A,IF(B44=5,Inventario5!A:A,Inventario6!A:A))))),
    _xlpm.invCalidad, IF(B44=1,Inventario1!B:B,IF(B44=2,Inventario2!B:B,IF(B44=3,Inventario3!B:B,IF(B44=4,Inventario4!B:B,IF(B44=5,Inventario5!B:B,Inventario6!B:B))))),
    _xlpm.invTipos, IF(B44=1,Inventario1!C:C,IF(B44=2,Inventario2!C:C,IF(B44=3,Inventario3!C:C,IF(B44=4,Inventario4!C:C,IF(B44=5,Inventario5!C:C,Inventario6!C:C))))),
    _xlpm.invStats, IF(B44=1,Inventario1!D:H,IF(B44=2,Inventario2!D:H,IF(B44=3,Inventario3!D:H,IF(B44=4,Inventario4!D:H,IF(B44=5,Inventario5!D:H,Inventario6!D:H))))),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IF(ROW(A44)=2,"",IF(_xlfn._xlws.FILTER(Equipar!AC$2:AC43,Equipar!B$2:B43=B44)={0},"",_xlfn._xlws.FILTER(Equipar!AC$2:AC43,Equipar!B$2:B43=B44))),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44" s="11" cm="1">
        <f t="array" aca="1" ref="J44" ca="1">_xlfn.LET(
    _xlpm.jugador, B44,
    _xlpm.idSel, AD44,
    _xlpm.invIDs, IF(C44=1,Inventario1!B:B,IF(C44=2,Inventario2!B:B,IF(C44=3,Inventario3!B:B,IF(C44=4,Inventario4!B:B,IF(C44=5,Inventario5!B:B,Inventario6!B:B))))),
    _xlpm.invCalidad, IF(C44=1,Inventario1!C:C,IF(C44=2,Inventario2!C:C,IF(C44=3,Inventario3!C:C,IF(C44=4,Inventario4!C:C,IF(C44=5,Inventario5!C:C,Inventario6!C:C))))),
    _xlpm.invTipos, IF(C44=1,Inventario1!D:D,IF(C44=2,Inventario2!D:D,IF(C44=3,Inventario3!D:D,IF(C44=4,Inventario4!D:D,IF(C44=5,Inventario5!D:D,Inventario6!D:D))))),
    _xlpm.invStats, IF(C44=1,Inventario1!E:I,IF(C44=2,Inventario2!E:I,IF(C44=3,Inventario3!E:I,IF(C44=4,Inventario4!E:I,IF(C44=5,Inventario5!E:I,Inventario6!E:I))))),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IF(ROW(B44)=2,"",IF(_xlfn._xlws.FILTER(Equipar!AD$2:AD43,Equipar!C$2:C43=C44)={0},"",_xlfn._xlws.FILTER(Equipar!AD$2:AD43,Equipar!C$2:C43=C44))),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44" s="11">
        <f t="shared" ca="1" si="0"/>
        <v>11.969999999999999</v>
      </c>
      <c r="L44" s="11">
        <f t="shared" ca="1" si="1"/>
        <v>95.76</v>
      </c>
      <c r="M44" s="11">
        <f t="shared" ca="1" si="1"/>
        <v>83.79</v>
      </c>
      <c r="N44" s="11">
        <f t="shared" si="2"/>
        <v>83.79</v>
      </c>
      <c r="O44" s="11">
        <f t="shared" ca="1" si="2"/>
        <v>0</v>
      </c>
      <c r="P44" s="10" cm="1">
        <f t="array" aca="1" ref="P44" ca="1">_xlfn.LET(
    _xlpm.ptsPrinBase, _xlfn._xlws.FILTER(G:G, A:A=A44),
    _xlpm.ptsSecBase,  _xlfn._xlws.FILTER(H:H, A:A=A44),
    _xlpm.puntosPrin, _xlpm.ptsPrinBase + _xlfn._xlws.FILTER(B:B, A:A=A44)/1000,
    _xlpm.puntosSec,  _xlpm.ptsSecBase  + _xlfn._xlws.FILTER(B:B, A:A=A44)/1000,
    _xlpm.puntosPrinValidos, SUM(--(_xlpm.ptsPrinBase&gt;0)),
    _xlpm.puntosSecValidos,  SUM(--(_xlpm.ptsSecBase&gt;0)),
    _xlpm.clave, K44 + B44/1000,
    _xlpm.claves, _xlfn._xlws.FILTER(K:K + B:B/1000, A:A=A44),
    IF(AND(_xlpm.puntosPrinValidos&gt;=4,_xlpm.puntosSecValidos&gt;=2),IF(
        SUM(--(_xlpm.claves &gt; _xlpm.clave)) &lt; 4,
        C44,
        D44
    ),"No disp")
)</f>
        <v>28</v>
      </c>
      <c r="Q44" s="10" t="str" cm="1">
        <f t="array" aca="1" ref="Q44" ca="1">_xlfn.LET(
    _xlpm.puntosPrin, _xlfn._xlws.FILTER(G:G + B:B/1000, A:A=A44),
    _xlpm.puntosPrinValidos, SUM(--(_xlpm.puntosPrin&gt;1)),
    _xlpm.puntosTer, _xlfn._xlws.FILTER(I:I + B:B/1000, A:A=A44),
    _xlpm.puntosTerValidos, SUM(--(_xlpm.puntosTer&gt;1)),
    _xlpm.clave, L44 + B44/1000,
    _xlpm.claves, _xlfn._xlws.FILTER(L:L + B:B/1000, A:A=A44),
    IF(AND(_xlpm.puntosPrinValidos&gt;=4,_xlpm.puntosTerValidos&gt;=2),IF(
        SUM(--(_xlpm.claves &gt; _xlpm.clave)) &lt; 4,
        C44,
        E44
    ),"No disp")
)</f>
        <v>No disp</v>
      </c>
      <c r="R44" s="10" t="str" cm="1">
        <f t="array" aca="1" ref="R44" ca="1">_xlfn.LET(
    _xlpm.puntosPrin, _xlfn._xlws.FILTER(G:G + B:B/1000, A:A=A44),
    _xlpm.puntosPrinValidos, SUM(--(_xlpm.puntosPrin&gt;1)),
    _xlpm.puntosTer, _xlfn._xlws.FILTER(J:J + B:B/1000, A:A=A44),
    _xlpm.puntosTerValidos, SUM(--(_xlpm.puntosTer&gt;1)),
    _xlpm.clave, M44 + B44/1000,
    _xlpm.claves, _xlfn._xlws.FILTER(M:M + B:B/1000, A:A=A44),
    IF(AND(_xlpm.puntosPrinValidos&gt;=4,_xlpm.puntosTerValidos&gt;=2),IF(
        SUM(--(_xlpm.claves &gt; _xlpm.clave)) &lt; 4,
        C44,
        F44
    ),"No disp")
)</f>
        <v>No disp</v>
      </c>
      <c r="S44" s="10" cm="1">
        <f t="array" aca="1" ref="S44" ca="1">_xlfn.LET(
    _xlpm.ptsPrinBase, _xlfn._xlws.FILTER(G:G, A:A=A44),
    _xlpm.ptsSecBase,  _xlfn._xlws.FILTER(H:H, A:A=A44),
    _xlpm.puntosPrin, _xlpm.ptsPrinBase + _xlfn._xlws.FILTER(B:B, A:A=A44)/1000,
    _xlpm.puntosSec,  _xlpm.ptsSecBase  + _xlfn._xlws.FILTER(B:B, A:A=A44)/1000,
    _xlpm.puntosPrinValidos, SUM(--(_xlpm.ptsPrinBase&gt;0)),
    _xlpm.puntosSecValidos,  SUM(--(_xlpm.ptsSecBase&gt;0)),
    _xlpm.clave, K44 + B44/1000,
    _xlpm.claves, _xlfn._xlws.FILTER(K:K + B:B/1000, A:A=A44),
    IF(
        AND(_xlpm.puntosPrinValidos&gt;=2, _xlpm.puntosSecValidos&gt;=4),
        IF(
            SUM(--(_xlpm.claves &lt; _xlpm.clave)) &lt; 4,
            D44,
            C44
        ),
        "No disp"
    )
)</f>
        <v>28</v>
      </c>
      <c r="T44" s="10" t="str" cm="1">
        <f t="array" ref="T44">_xlfn.LET(
    _xlpm.puntosSec, _xlfn._xlws.FILTER(H:H + B:B/1000, A:A=A44),
    _xlpm.puntosSecValidos, SUM(--(_xlpm.puntosSec&gt;1)),
    _xlpm.puntosAlt, _xlfn._xlws.FILTER(I:I + B:B/1000, A:A=A44),
    _xlpm.puntosAltValidos, SUM(--(_xlpm.puntosAlt&gt;1)),
    _xlpm.clave, N44 + B44/1000,
    _xlpm.claves, _xlfn._xlws.FILTER(N:N + B:B/1000, A:A=A44),
    IF(AND(_xlpm.puntosSecValidos&gt;=4,_xlpm.puntosAltValidos&gt;=2),IF(
        SUM(--(_xlpm.claves &gt; _xlpm.clave)) &lt; 4,
        D44,
        E44
    ),"No disp")
)</f>
        <v>No disp</v>
      </c>
      <c r="U44" s="10" t="str" cm="1">
        <f t="array" aca="1" ref="U44" ca="1">_xlfn.LET(
    _xlpm.puntosSec, _xlfn._xlws.FILTER(H:H + B:B/1000, A:A=A44),
    _xlpm.puntosSecValidos, SUM(--(_xlpm.puntosSec&gt;1)),
    _xlpm.puntosAlt, _xlfn._xlws.FILTER(J:J + B:B/1000, A:A=A44),
    _xlpm.puntosAltValidos, SUM(--(_xlpm.puntosAlt&gt;1)),
    _xlpm.clave, O44 + B44/1000,
    _xlpm.claves, _xlfn._xlws.FILTER(O:O + B:B/1000, A:A=A44),
    IF(AND(_xlpm.puntosSecValidos&gt;=4,_xlpm.puntosAltValidos&gt;=2),IF(
        SUM(--(_xlpm.claves &gt; _xlpm.clave)) &lt; 4,
        D44,
        F44
    ),"No disp")
)</f>
        <v>No disp</v>
      </c>
      <c r="V44" s="11" cm="1">
        <f t="array" aca="1" ref="V44" ca="1">_xlfn.LET(
_xlpm.PrinIDs,_xlfn._xlws.FILTER(C:C,(A:A=A44)),
_xlpm.SecIDs,_xlfn._xlws.FILTER(D:D,(A:A=A44)),
_xlpm.TerIDs,_xlfn._xlws.FILTER(E:E,A:A=A44),
_xlpm.CuaIDs,_xlfn._xlws.FILTER(F:F,(A:A=A44)),
_xlpm.PrinPts,_xlfn._xlws.FILTER(G:G,(A:A=A44)),
_xlpm.SecPts,_xlfn._xlws.FILTER(H:H,(A:A=A44)),
_xlpm.TerPts,_xlfn._xlws.FILTER(I:I,(A:A=A44)),
_xlpm.CuaPts,_xlfn._xlws.FILTER(J:J,(A:A=A44)),
_xlpm.PSIds,_xlfn._xlws.FILTER(P:P,A:A=A44),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440.37</v>
      </c>
      <c r="W44" s="11" cm="1">
        <f t="array" aca="1" ref="W44" ca="1">_xlfn.LET(
_xlpm.PrinIDs,_xlfn._xlws.FILTER(C:C,(A:A=A44)),
_xlpm.SecIDs,_xlfn._xlws.FILTER(D:D,(A:A=A44)),
_xlpm.TerIDs,_xlfn._xlws.FILTER(E:E,A:A=A44),
_xlpm.CuaIDs,_xlfn._xlws.FILTER(F:F,(A:A=A44)),
_xlpm.PrinPts,_xlfn._xlws.FILTER(G:G,(A:A=A44)),
_xlpm.SecPts,_xlfn._xlws.FILTER(H:H,(A:A=A44)),
_xlpm.TerPts,_xlfn._xlws.FILTER(I:I,(A:A=A44)),
_xlpm.CuaPts,_xlfn._xlws.FILTER(J:J,(A:A=A44)),
_xlpm.PTIds,_xlfn._xlws.FILTER(Q:Q,A:A=A44),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44" s="11" cm="1">
        <f t="array" aca="1" ref="X44" ca="1">_xlfn.LET(
_xlpm.PrinIDs,_xlfn._xlws.FILTER(C:C,(A:A=A44)),
_xlpm.SecIDs,_xlfn._xlws.FILTER(D:D,(A:A=A44)),
_xlpm.TerIDs,_xlfn._xlws.FILTER(E:E,A:A=A44),
_xlpm.CuaIDs,_xlfn._xlws.FILTER(F:F,(A:A=A44)),
_xlpm.PrinPts,_xlfn._xlws.FILTER(G:G,(A:A=A44)),
_xlpm.SecPts,_xlfn._xlws.FILTER(H:H,(A:A=A44)),
_xlpm.TerPts,_xlfn._xlws.FILTER(I:I,(A:A=A44)),
_xlpm.CuaPts,_xlfn._xlws.FILTER(J:J,(A:A=A44)),
_xlpm.PCIds,_xlfn._xlws.FILTER(R:R,A:A=A44),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44" s="11" cm="1">
        <f t="array" aca="1" ref="Y44" ca="1">_xlfn.LET(
_xlpm.PrinIDs,_xlfn._xlws.FILTER(C:C,(A:A=A44)),
_xlpm.SecIDs,_xlfn._xlws.FILTER(D:D,(A:A=A44)),
_xlpm.AltIDs,_xlfn._xlws.FILTER(E:E,A:A=A44),
_xlpm.PrinPts,_xlfn._xlws.FILTER(G:G,(A:A=A44)),
_xlpm.SecPts,_xlfn._xlws.FILTER(H:H,(A:A=A44)),
_xlpm.AltPts,_xlfn._xlws.FILTER(I:I,(A:A=A44)),
_xlpm.SPIds,_xlfn._xlws.FILTER(S:S,A:A=A44),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451.98</v>
      </c>
      <c r="Z44" s="11" cm="1">
        <f t="array" aca="1" ref="Z44" ca="1">_xlfn.LET(
_xlpm.PrinIDs,_xlfn._xlws.FILTER(C:C,(A:A=A44)),
_xlpm.SecIDs,_xlfn._xlws.FILTER(D:D,(A:A=A44)),
_xlpm.TerIDs,_xlfn._xlws.FILTER(E:E,A:A=A44),
_xlpm.CuaIDs,_xlfn._xlws.FILTER(F:F,(A:A=A44)),
_xlpm.PrinPts,_xlfn._xlws.FILTER(G:G,(A:A=A44)),
_xlpm.SecPts,_xlfn._xlws.FILTER(H:H,(A:A=A44)),
_xlpm.TerPts,_xlfn._xlws.FILTER(I:I,(A:A=A44)),
_xlpm.CuaPts,_xlfn._xlws.FILTER(J:J,(A:A=A44)),
_xlpm.STIds,_xlfn._xlws.FILTER(T:T,A:A=A44),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44" s="11" cm="1">
        <f t="array" aca="1" ref="AA44" ca="1">_xlfn.LET(
_xlpm.PrinIDs,_xlfn._xlws.FILTER(C:C,(A:A=A44)),
_xlpm.SecIDs,_xlfn._xlws.FILTER(D:D,(A:A=A44)),
_xlpm.TerIDs,_xlfn._xlws.FILTER(E:E,A:A=A44),
_xlpm.CuaIDs,_xlfn._xlws.FILTER(F:F,(A:A=A44)),
_xlpm.PrinPts,_xlfn._xlws.FILTER(G:G,(A:A=A44)),
_xlpm.SecPts,_xlfn._xlws.FILTER(H:H,(A:A=A44)),
_xlpm.TerPts,_xlfn._xlws.FILTER(I:I,(A:A=A44)),
_xlpm.CuaPts,_xlfn._xlws.FILTER(J:J,(A:A=A44)),
_xlpm.SCIds,_xlfn._xlws.FILTER(U:U,A:A=A44),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44" s="10">
        <f t="shared" ca="1" si="3"/>
        <v>28</v>
      </c>
      <c r="AC44" s="10">
        <v>28</v>
      </c>
      <c r="AD44" s="11"/>
      <c r="AE44" s="10" t="str">
        <f ca="1">IF(ISNUMBER(AC44),
IF($B44=1,VLOOKUP($AC44,Inventario1!$A:$H,2),
IF($B44=2,VLOOKUP($AC44,Inventario2!$A:$H,2),
IF($B44=3,VLOOKUP($AC44,Inventario3!$A:$H,2),
IF($B44=4,VLOOKUP($AC44,Inventario4!$A:$H,2),
IF($B44=5,VLOOKUP($AC44,Inventario5!$A:$H,2),
VLOOKUP($AC44,Inventario6!$A:$H,2)
))))),"No equipado")</f>
        <v>Legendario</v>
      </c>
      <c r="AF44" s="10" t="str">
        <f ca="1">IF(ISNUMBER(AC44),
IF($B44=1,VLOOKUP($AC44,Inventario1!$A:$H,3),
IF($B44=2,VLOOKUP($AC44,Inventario2!$A:$H,3),
IF($B44=3,VLOOKUP($AC44,Inventario3!$A:$H,3),
IF($B44=4,VLOOKUP($AC44,Inventario4!$A:$H,3),
IF($B44=5,VLOOKUP($AC44,Inventario5!$A:$H,3),
VLOOKUP($AC44,Inventario6!$A:$H,3)
))))),"")</f>
        <v>Recepción de asistencia</v>
      </c>
      <c r="AG44" s="10" t="str">
        <f ca="1">IF(ISNUMBER(AC44),
IF($B44=1,VLOOKUP($AC44,Inventario1!$A:$H,4),
IF($B44=2,VLOOKUP($AC44,Inventario2!$A:$H,4),
IF($B44=3,VLOOKUP($AC44,Inventario3!$A:$H,4),
IF($B44=4,VLOOKUP($AC44,Inventario4!$A:$H,4),
IF($B44=5,VLOOKUP($AC44,Inventario5!$A:$H,4),
VLOOKUP($AC44,Inventario6!$A:$H,4)
))))),"")</f>
        <v>Recepción</v>
      </c>
      <c r="AH44" s="10" t="str">
        <f ca="1">IF(ISNUMBER(AC44),
IF($B44=1,VLOOKUP($AC44,Inventario1!$A:$H,5),
IF($B44=2,VLOOKUP($AC44,Inventario2!$A:$H,5),
IF($B44=3,VLOOKUP($AC44,Inventario3!$A:$H,5),
IF($B44=4,VLOOKUP($AC44,Inventario4!$A:$H,5),
IF($B44=5,VLOOKUP($AC44,Inventario5!$A:$H,5),
VLOOKUP($AC44,Inventario6!$A:$H,5)
))))),"")</f>
        <v>Ataque poderoso</v>
      </c>
      <c r="AI44" s="10" t="str">
        <f ca="1">IF(ISNUMBER(AC44),
IF($B44=1,VLOOKUP($AC44,Inventario1!$A:$H,6),
IF($B44=2,VLOOKUP($AC44,Inventario2!$A:$H,6),
IF($B44=3,VLOOKUP($AC44,Inventario3!$A:$H,6),
IF($B44=4,VLOOKUP($AC44,Inventario4!$A:$H,6),
IF($B44=5,VLOOKUP($AC44,Inventario5!$A:$H,6),
VLOOKUP($AC44,Inventario6!$A:$H,6)
))))),"")</f>
        <v>Ataque poderoso</v>
      </c>
      <c r="AJ44" s="10" t="str">
        <f ca="1">IF(ISNUMBER(AC44),
IF($B44=1,VLOOKUP($AC44,Inventario1!$A:$H,7),
IF($B44=2,VLOOKUP($AC44,Inventario2!$A:$H,7),
IF($B44=3,VLOOKUP($AC44,Inventario3!$A:$H,7),
IF($B44=4,VLOOKUP($AC44,Inventario4!$A:$H,7),
IF($B44=5,VLOOKUP($AC44,Inventario5!$A:$H,7),
VLOOKUP($AC44,Inventario6!$A:$H,7)
))))),"")</f>
        <v>Bloqueo</v>
      </c>
      <c r="AK44" s="12" t="str">
        <f ca="1">IF(ISNUMBER(AC44),
IF($B44=1,VLOOKUP($AC44,Inventario1!$A:$H,8),
IF($B44=2,VLOOKUP($AC44,Inventario2!$A:$H,8),
IF($B44=3,VLOOKUP($AC44,Inventario3!$A:$H,8),
IF($B44=4,VLOOKUP($AC44,Inventario4!$A:$H,8),
IF($B44=5,VLOOKUP($AC44,Inventario5!$A:$H,8),
VLOOKUP($AC44,Inventario6!$A:$H,8)
))))),"")</f>
        <v>Espíritu</v>
      </c>
    </row>
    <row r="45" spans="1:37" x14ac:dyDescent="0.25">
      <c r="A45" s="21" t="s">
        <v>27</v>
      </c>
      <c r="B45" s="4">
        <v>2</v>
      </c>
      <c r="C45" s="14" cm="1">
        <f t="array" aca="1" ref="C45" ca="1">_xlfn.LET(
    _xlpm.jugador, A45,
    _xlpm.idSel, AC45,
    _xlpm.invIDs, IF(B45=1,Inventario1!A:A,IF(B45=2,Inventario2!A:A,IF(B45=3,Inventario3!A:A,IF(B45=4,Inventario4!A:A,IF(B45=5,Inventario5!A:A,Inventario6!A:A))))),
    _xlpm.invCalidad, IF(B45=1,Inventario1!B:B,IF(B45=2,Inventario2!B:B,IF(B45=3,Inventario3!B:B,IF(B45=4,Inventario4!B:B,IF(B45=5,Inventario5!B:B,Inventario6!B:B))))),
    _xlpm.invTipos, IF(B45=1,Inventario1!C:C,IF(B45=2,Inventario2!C:C,IF(B45=3,Inventario3!C:C,IF(B45=4,Inventario4!C:C,IF(B45=5,Inventario5!C:C,Inventario6!C:C))))),
    _xlpm.invStats, IF(B45=1,Inventario1!D:H,IF(B45=2,Inventario2!D:H,IF(B45=3,Inventario3!D:H,IF(B45=4,Inventario4!D:H,IF(B45=5,Inventario5!D:H,Inventario6!D:H))))),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IF(ROW(A45)=2,"",IF(_xlfn._xlws.FILTER(Equipar!AC$2:AC44,Equipar!B$2:B44=B45)={0},"",_xlfn._xlws.FILTER(Equipar!AC$2:AC44,Equipar!B$2:B44=B45))),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52</v>
      </c>
      <c r="D45" s="4" cm="1">
        <f t="array" ref="D45">_xlfn.LET(
    _xlpm.jugador, A45,
    _xlpm.idSel, AC45,
    _xlpm.invIDs, IF(B45=1,Inventario1!A:A,IF(B45=2,Inventario2!A:A,IF(B45=3,Inventario3!A:A,IF(B45=4,Inventario4!A:A,IF(B45=5,Inventario5!A:A,Inventario6!A:A))))),
    _xlpm.invCalidad, IF(B45=1,Inventario1!B:B,IF(B45=2,Inventario2!B:B,IF(B45=3,Inventario3!B:B,IF(B45=4,Inventario4!B:B,IF(B45=5,Inventario5!B:B,Inventario6!B:B))))),
    _xlpm.invTipos, IF(B45=1,Inventario1!C:C,IF(B45=2,Inventario2!C:C,IF(B45=3,Inventario3!C:C,IF(B45=4,Inventario4!C:C,IF(B45=5,Inventario5!C:C,Inventario6!C:C))))),
    _xlpm.invStats, IF(B45=1,Inventario1!D:H,IF(B45=2,Inventario2!D:H,IF(B45=3,Inventario3!D:H,IF(B45=4,Inventario4!D:H,IF(B45=5,Inventario5!D:H,Inventario6!D:H))))),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IF(ROW(A45)=2,"",IF(_xlfn._xlws.FILTER(Equipar!AC$2:AC44,Equipar!B$2:B44=B45)={0},"",_xlfn._xlws.FILTER(Equipar!AC$2:AC44,Equipar!B$2:B44=B45))),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56</v>
      </c>
      <c r="E45" s="4" t="str" cm="1">
        <f t="array" ref="E45">_xlfn.LET(
    _xlpm.jugador, A45,
    _xlpm.idSel, AC45,
    _xlpm.invIDs, IF(B45=1,Inventario1!A:A,IF(B45=2,Inventario2!A:A,IF(B45=3,Inventario3!A:A,IF(B45=4,Inventario4!A:A,IF(B45=5,Inventario5!A:A,Inventario6!A:A))))),
    _xlpm.invCalidad, IF(B45=1,Inventario1!B:B,IF(B45=2,Inventario2!B:B,IF(B45=3,Inventario3!B:B,IF(B45=4,Inventario4!B:B,IF(B45=5,Inventario5!B:B,Inventario6!B:B))))),
    _xlpm.invTipos, IF(B45=1,Inventario1!C:C,IF(B45=2,Inventario2!C:C,IF(B45=3,Inventario3!C:C,IF(B45=4,Inventario4!C:C,IF(B45=5,Inventario5!C:C,Inventario6!C:C))))),
    _xlpm.invStats, IF(B45=1,Inventario1!D:H,IF(B45=2,Inventario2!D:H,IF(B45=3,Inventario3!D:H,IF(B45=4,Inventario4!D:H,IF(B45=5,Inventario5!D:H,Inventario6!D:H))))),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IF(ROW(A45)=2,"",IF(_xlfn._xlws.FILTER(Equipar!AC$2:AC44,Equipar!B$2:B44=B45)={0},"",_xlfn._xlws.FILTER(Equipar!AC$2:AC44,Equipar!B$2:B44=B45))),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45" s="4" t="str" cm="1">
        <f t="array" aca="1" ref="F45" ca="1">_xlfn.LET(
    _xlpm.jugador, B45,
    _xlpm.idSel, AD45,
    _xlpm.invIDs, IF(C45=1,Inventario1!B:B,IF(C45=2,Inventario2!B:B,IF(C45=3,Inventario3!B:B,IF(C45=4,Inventario4!B:B,IF(C45=5,Inventario5!B:B,Inventario6!B:B))))),
    _xlpm.invCalidad, IF(C45=1,Inventario1!C:C,IF(C45=2,Inventario2!C:C,IF(C45=3,Inventario3!C:C,IF(C45=4,Inventario4!C:C,IF(C45=5,Inventario5!C:C,Inventario6!C:C))))),
    _xlpm.invTipos, IF(C45=1,Inventario1!D:D,IF(C45=2,Inventario2!D:D,IF(C45=3,Inventario3!D:D,IF(C45=4,Inventario4!D:D,IF(C45=5,Inventario5!D:D,Inventario6!D:D))))),
    _xlpm.invStats, IF(C45=1,Inventario1!E:I,IF(C45=2,Inventario2!E:I,IF(C45=3,Inventario3!E:I,IF(C45=4,Inventario4!E:I,IF(C45=5,Inventario5!E:I,Inventario6!E:I))))),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IF(ROW(B45)=2,"",IF(_xlfn._xlws.FILTER(Equipar!AD$2:AD44,Equipar!C$2:C44=C45)={0},"",_xlfn._xlws.FILTER(Equipar!AD$2:AD44,Equipar!C$2:C44=C45))),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45" s="14" cm="1">
        <f t="array" aca="1" ref="G45" ca="1">_xlfn.LET(
    _xlpm.jugador, A45,
    _xlpm.idSel, AC45,
    _xlpm.invIDs, IF(B45=1,Inventario1!A:A,IF(B45=2,Inventario2!A:A,IF(B45=3,Inventario3!A:A,IF(B45=4,Inventario4!A:A,IF(B45=5,Inventario5!A:A,Inventario6!A:A))))),
    _xlpm.invCalidad, IF(B45=1,Inventario1!B:B,IF(B45=2,Inventario2!B:B,IF(B45=3,Inventario3!B:B,IF(B45=4,Inventario4!B:B,IF(B45=5,Inventario5!B:B,Inventario6!B:B))))),
    _xlpm.invTipos, IF(B45=1,Inventario1!C:C,IF(B45=2,Inventario2!C:C,IF(B45=3,Inventario3!C:C,IF(B45=4,Inventario4!C:C,IF(B45=5,Inventario5!C:C,Inventario6!C:C))))),
    _xlpm.invStats, IF(B45=1,Inventario1!D:H,IF(B45=2,Inventario2!D:H,IF(B45=3,Inventario3!D:H,IF(B45=4,Inventario4!D:H,IF(B45=5,Inventario5!D:H,Inventario6!D:H))))),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IF(ROW(A45)=2,"",IF(_xlfn._xlws.FILTER(Equipar!AC$2:AC44,Equipar!B$2:B44=B45)={0},"",_xlfn._xlws.FILTER(Equipar!AC$2:AC44,Equipar!B$2:B44=B45))),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45</v>
      </c>
      <c r="H45" s="4" cm="1">
        <f t="array" ref="H45">_xlfn.LET(
    _xlpm.jugador, A45,
    _xlpm.idSel, AC45,
    _xlpm.invIDs, IF(B45=1,Inventario1!A:A,IF(B45=2,Inventario2!A:A,IF(B45=3,Inventario3!A:A,IF(B45=4,Inventario4!A:A,IF(B45=5,Inventario5!A:A,Inventario6!A:A))))),
    _xlpm.invCalidad, IF(B45=1,Inventario1!B:B,IF(B45=2,Inventario2!B:B,IF(B45=3,Inventario3!B:B,IF(B45=4,Inventario4!B:B,IF(B45=5,Inventario5!B:B,Inventario6!B:B))))),
    _xlpm.invTipos, IF(B45=1,Inventario1!C:C,IF(B45=2,Inventario2!C:C,IF(B45=3,Inventario3!C:C,IF(B45=4,Inventario4!C:C,IF(B45=5,Inventario5!C:C,Inventario6!C:C))))),
    _xlpm.invStats, IF(B45=1,Inventario1!D:H,IF(B45=2,Inventario2!D:H,IF(B45=3,Inventario3!D:H,IF(B45=4,Inventario4!D:H,IF(B45=5,Inventario5!D:H,Inventario6!D:H))))),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IF(ROW(A45)=2,"",IF(_xlfn._xlws.FILTER(Equipar!AC$2:AC44,Equipar!B$2:B44=B45)={0},"",_xlfn._xlws.FILTER(Equipar!AC$2:AC44,Equipar!B$2:B44=B45))),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45</v>
      </c>
      <c r="I45" s="4" cm="1">
        <f t="array" ref="I45">_xlfn.LET(
    _xlpm.jugador, A45,
    _xlpm.idSel, AC45,
    _xlpm.invIDs, IF(B45=1,Inventario1!A:A,IF(B45=2,Inventario2!A:A,IF(B45=3,Inventario3!A:A,IF(B45=4,Inventario4!A:A,IF(B45=5,Inventario5!A:A,Inventario6!A:A))))),
    _xlpm.invCalidad, IF(B45=1,Inventario1!B:B,IF(B45=2,Inventario2!B:B,IF(B45=3,Inventario3!B:B,IF(B45=4,Inventario4!B:B,IF(B45=5,Inventario5!B:B,Inventario6!B:B))))),
    _xlpm.invTipos, IF(B45=1,Inventario1!C:C,IF(B45=2,Inventario2!C:C,IF(B45=3,Inventario3!C:C,IF(B45=4,Inventario4!C:C,IF(B45=5,Inventario5!C:C,Inventario6!C:C))))),
    _xlpm.invStats, IF(B45=1,Inventario1!D:H,IF(B45=2,Inventario2!D:H,IF(B45=3,Inventario3!D:H,IF(B45=4,Inventario4!D:H,IF(B45=5,Inventario5!D:H,Inventario6!D:H))))),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IF(ROW(A45)=2,"",IF(_xlfn._xlws.FILTER(Equipar!AC$2:AC44,Equipar!B$2:B44=B45)={0},"",_xlfn._xlws.FILTER(Equipar!AC$2:AC44,Equipar!B$2:B44=B45))),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45" s="4" cm="1">
        <f t="array" aca="1" ref="J45" ca="1">_xlfn.LET(
    _xlpm.jugador, B45,
    _xlpm.idSel, AD45,
    _xlpm.invIDs, IF(C45=1,Inventario1!B:B,IF(C45=2,Inventario2!B:B,IF(C45=3,Inventario3!B:B,IF(C45=4,Inventario4!B:B,IF(C45=5,Inventario5!B:B,Inventario6!B:B))))),
    _xlpm.invCalidad, IF(C45=1,Inventario1!C:C,IF(C45=2,Inventario2!C:C,IF(C45=3,Inventario3!C:C,IF(C45=4,Inventario4!C:C,IF(C45=5,Inventario5!C:C,Inventario6!C:C))))),
    _xlpm.invTipos, IF(C45=1,Inventario1!D:D,IF(C45=2,Inventario2!D:D,IF(C45=3,Inventario3!D:D,IF(C45=4,Inventario4!D:D,IF(C45=5,Inventario5!D:D,Inventario6!D:D))))),
    _xlpm.invStats, IF(C45=1,Inventario1!E:I,IF(C45=2,Inventario2!E:I,IF(C45=3,Inventario3!E:I,IF(C45=4,Inventario4!E:I,IF(C45=5,Inventario5!E:I,Inventario6!E:I))))),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IF(ROW(B45)=2,"",IF(_xlfn._xlws.FILTER(Equipar!AD$2:AD44,Equipar!C$2:C44=C45)={0},"",_xlfn._xlws.FILTER(Equipar!AD$2:AD44,Equipar!C$2:C44=C45))),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45" s="4">
        <f t="shared" ca="1" si="0"/>
        <v>0</v>
      </c>
      <c r="L45" s="4">
        <f t="shared" ca="1" si="1"/>
        <v>45</v>
      </c>
      <c r="M45" s="4">
        <f t="shared" ca="1" si="1"/>
        <v>45</v>
      </c>
      <c r="N45" s="4">
        <f t="shared" si="2"/>
        <v>45</v>
      </c>
      <c r="O45" s="4">
        <f t="shared" ca="1" si="2"/>
        <v>0</v>
      </c>
      <c r="P45" s="14" cm="1">
        <f t="array" aca="1" ref="P45" ca="1">_xlfn.LET(
    _xlpm.ptsPrinBase, _xlfn._xlws.FILTER(G:G, A:A=A45),
    _xlpm.ptsSecBase,  _xlfn._xlws.FILTER(H:H, A:A=A45),
    _xlpm.puntosPrin, _xlpm.ptsPrinBase + _xlfn._xlws.FILTER(B:B, A:A=A45)/1000,
    _xlpm.puntosSec,  _xlpm.ptsSecBase  + _xlfn._xlws.FILTER(B:B, A:A=A45)/1000,
    _xlpm.puntosPrinValidos, SUM(--(_xlpm.ptsPrinBase&gt;0)),
    _xlpm.puntosSecValidos,  SUM(--(_xlpm.ptsSecBase&gt;0)),
    _xlpm.clave, K45 + B45/1000,
    _xlpm.claves, _xlfn._xlws.FILTER(K:K + B:B/1000, A:A=A45),
    IF(AND(_xlpm.puntosPrinValidos&gt;=4,_xlpm.puntosSecValidos&gt;=2),IF(
        SUM(--(_xlpm.claves &gt; _xlpm.clave)) &lt; 4,
        C45,
        D45
    ),"No disp")
)</f>
        <v>52</v>
      </c>
      <c r="Q45" s="14" t="str" cm="1">
        <f t="array" aca="1" ref="Q45" ca="1">_xlfn.LET(
    _xlpm.puntosPrin, _xlfn._xlws.FILTER(G:G + B:B/1000, A:A=A45),
    _xlpm.puntosPrinValidos, SUM(--(_xlpm.puntosPrin&gt;1)),
    _xlpm.puntosTer, _xlfn._xlws.FILTER(I:I + B:B/1000, A:A=A45),
    _xlpm.puntosTerValidos, SUM(--(_xlpm.puntosTer&gt;1)),
    _xlpm.clave, L45 + B45/1000,
    _xlpm.claves, _xlfn._xlws.FILTER(L:L + B:B/1000, A:A=A45),
    IF(AND(_xlpm.puntosPrinValidos&gt;=4,_xlpm.puntosTerValidos&gt;=2),IF(
        SUM(--(_xlpm.claves &gt; _xlpm.clave)) &lt; 4,
        C45,
        E45
    ),"No disp")
)</f>
        <v>No disp</v>
      </c>
      <c r="R45" s="14" t="str" cm="1">
        <f t="array" aca="1" ref="R45" ca="1">_xlfn.LET(
    _xlpm.puntosPrin, _xlfn._xlws.FILTER(G:G + B:B/1000, A:A=A45),
    _xlpm.puntosPrinValidos, SUM(--(_xlpm.puntosPrin&gt;1)),
    _xlpm.puntosTer, _xlfn._xlws.FILTER(J:J + B:B/1000, A:A=A45),
    _xlpm.puntosTerValidos, SUM(--(_xlpm.puntosTer&gt;1)),
    _xlpm.clave, M45 + B45/1000,
    _xlpm.claves, _xlfn._xlws.FILTER(M:M + B:B/1000, A:A=A45),
    IF(AND(_xlpm.puntosPrinValidos&gt;=4,_xlpm.puntosTerValidos&gt;=2),IF(
        SUM(--(_xlpm.claves &gt; _xlpm.clave)) &lt; 4,
        C45,
        F45
    ),"No disp")
)</f>
        <v>No disp</v>
      </c>
      <c r="S45" s="14" cm="1">
        <f t="array" aca="1" ref="S45" ca="1">_xlfn.LET(
    _xlpm.ptsPrinBase, _xlfn._xlws.FILTER(G:G, A:A=A45),
    _xlpm.ptsSecBase,  _xlfn._xlws.FILTER(H:H, A:A=A45),
    _xlpm.puntosPrin, _xlpm.ptsPrinBase + _xlfn._xlws.FILTER(B:B, A:A=A45)/1000,
    _xlpm.puntosSec,  _xlpm.ptsSecBase  + _xlfn._xlws.FILTER(B:B, A:A=A45)/1000,
    _xlpm.puntosPrinValidos, SUM(--(_xlpm.ptsPrinBase&gt;0)),
    _xlpm.puntosSecValidos,  SUM(--(_xlpm.ptsSecBase&gt;0)),
    _xlpm.clave, K45 + B45/1000,
    _xlpm.claves, _xlfn._xlws.FILTER(K:K + B:B/1000, A:A=A45),
    IF(
        AND(_xlpm.puntosPrinValidos&gt;=2, _xlpm.puntosSecValidos&gt;=4),
        IF(
            SUM(--(_xlpm.claves &lt; _xlpm.clave)) &lt; 4,
            D45,
            C45
        ),
        "No disp"
    )
)</f>
        <v>52</v>
      </c>
      <c r="T45" s="14" t="str" cm="1">
        <f t="array" ref="T45">_xlfn.LET(
    _xlpm.puntosSec, _xlfn._xlws.FILTER(H:H + B:B/1000, A:A=A45),
    _xlpm.puntosSecValidos, SUM(--(_xlpm.puntosSec&gt;1)),
    _xlpm.puntosAlt, _xlfn._xlws.FILTER(I:I + B:B/1000, A:A=A45),
    _xlpm.puntosAltValidos, SUM(--(_xlpm.puntosAlt&gt;1)),
    _xlpm.clave, N45 + B45/1000,
    _xlpm.claves, _xlfn._xlws.FILTER(N:N + B:B/1000, A:A=A45),
    IF(AND(_xlpm.puntosSecValidos&gt;=4,_xlpm.puntosAltValidos&gt;=2),IF(
        SUM(--(_xlpm.claves &gt; _xlpm.clave)) &lt; 4,
        D45,
        E45
    ),"No disp")
)</f>
        <v>No disp</v>
      </c>
      <c r="U45" s="14" t="str" cm="1">
        <f t="array" aca="1" ref="U45" ca="1">_xlfn.LET(
    _xlpm.puntosSec, _xlfn._xlws.FILTER(H:H + B:B/1000, A:A=A45),
    _xlpm.puntosSecValidos, SUM(--(_xlpm.puntosSec&gt;1)),
    _xlpm.puntosAlt, _xlfn._xlws.FILTER(J:J + B:B/1000, A:A=A45),
    _xlpm.puntosAltValidos, SUM(--(_xlpm.puntosAlt&gt;1)),
    _xlpm.clave, O45 + B45/1000,
    _xlpm.claves, _xlfn._xlws.FILTER(O:O + B:B/1000, A:A=A45),
    IF(AND(_xlpm.puntosSecValidos&gt;=4,_xlpm.puntosAltValidos&gt;=2),IF(
        SUM(--(_xlpm.claves &gt; _xlpm.clave)) &lt; 4,
        D45,
        F45
    ),"No disp")
)</f>
        <v>No disp</v>
      </c>
      <c r="V45" s="4" cm="1">
        <f t="array" aca="1" ref="V45" ca="1">_xlfn.LET(
_xlpm.PrinIDs,_xlfn._xlws.FILTER(C:C,(A:A=A45)),
_xlpm.SecIDs,_xlfn._xlws.FILTER(D:D,(A:A=A45)),
_xlpm.TerIDs,_xlfn._xlws.FILTER(E:E,A:A=A45),
_xlpm.CuaIDs,_xlfn._xlws.FILTER(F:F,(A:A=A45)),
_xlpm.PrinPts,_xlfn._xlws.FILTER(G:G,(A:A=A45)),
_xlpm.SecPts,_xlfn._xlws.FILTER(H:H,(A:A=A45)),
_xlpm.TerPts,_xlfn._xlws.FILTER(I:I,(A:A=A45)),
_xlpm.CuaPts,_xlfn._xlws.FILTER(J:J,(A:A=A45)),
_xlpm.PSIds,_xlfn._xlws.FILTER(P:P,A:A=A45),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440.37</v>
      </c>
      <c r="W45" s="4" cm="1">
        <f t="array" aca="1" ref="W45" ca="1">_xlfn.LET(
_xlpm.PrinIDs,_xlfn._xlws.FILTER(C:C,(A:A=A45)),
_xlpm.SecIDs,_xlfn._xlws.FILTER(D:D,(A:A=A45)),
_xlpm.TerIDs,_xlfn._xlws.FILTER(E:E,A:A=A45),
_xlpm.CuaIDs,_xlfn._xlws.FILTER(F:F,(A:A=A45)),
_xlpm.PrinPts,_xlfn._xlws.FILTER(G:G,(A:A=A45)),
_xlpm.SecPts,_xlfn._xlws.FILTER(H:H,(A:A=A45)),
_xlpm.TerPts,_xlfn._xlws.FILTER(I:I,(A:A=A45)),
_xlpm.CuaPts,_xlfn._xlws.FILTER(J:J,(A:A=A45)),
_xlpm.PTIds,_xlfn._xlws.FILTER(Q:Q,A:A=A45),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45" s="4" cm="1">
        <f t="array" aca="1" ref="X45" ca="1">_xlfn.LET(
_xlpm.PrinIDs,_xlfn._xlws.FILTER(C:C,(A:A=A45)),
_xlpm.SecIDs,_xlfn._xlws.FILTER(D:D,(A:A=A45)),
_xlpm.TerIDs,_xlfn._xlws.FILTER(E:E,A:A=A45),
_xlpm.CuaIDs,_xlfn._xlws.FILTER(F:F,(A:A=A45)),
_xlpm.PrinPts,_xlfn._xlws.FILTER(G:G,(A:A=A45)),
_xlpm.SecPts,_xlfn._xlws.FILTER(H:H,(A:A=A45)),
_xlpm.TerPts,_xlfn._xlws.FILTER(I:I,(A:A=A45)),
_xlpm.CuaPts,_xlfn._xlws.FILTER(J:J,(A:A=A45)),
_xlpm.PCIds,_xlfn._xlws.FILTER(R:R,A:A=A45),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45" s="4" cm="1">
        <f t="array" aca="1" ref="Y45" ca="1">_xlfn.LET(
_xlpm.PrinIDs,_xlfn._xlws.FILTER(C:C,(A:A=A45)),
_xlpm.SecIDs,_xlfn._xlws.FILTER(D:D,(A:A=A45)),
_xlpm.AltIDs,_xlfn._xlws.FILTER(E:E,A:A=A45),
_xlpm.PrinPts,_xlfn._xlws.FILTER(G:G,(A:A=A45)),
_xlpm.SecPts,_xlfn._xlws.FILTER(H:H,(A:A=A45)),
_xlpm.AltPts,_xlfn._xlws.FILTER(I:I,(A:A=A45)),
_xlpm.SPIds,_xlfn._xlws.FILTER(S:S,A:A=A45),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451.98</v>
      </c>
      <c r="Z45" s="4" cm="1">
        <f t="array" aca="1" ref="Z45" ca="1">_xlfn.LET(
_xlpm.PrinIDs,_xlfn._xlws.FILTER(C:C,(A:A=A45)),
_xlpm.SecIDs,_xlfn._xlws.FILTER(D:D,(A:A=A45)),
_xlpm.TerIDs,_xlfn._xlws.FILTER(E:E,A:A=A45),
_xlpm.CuaIDs,_xlfn._xlws.FILTER(F:F,(A:A=A45)),
_xlpm.PrinPts,_xlfn._xlws.FILTER(G:G,(A:A=A45)),
_xlpm.SecPts,_xlfn._xlws.FILTER(H:H,(A:A=A45)),
_xlpm.TerPts,_xlfn._xlws.FILTER(I:I,(A:A=A45)),
_xlpm.CuaPts,_xlfn._xlws.FILTER(J:J,(A:A=A45)),
_xlpm.STIds,_xlfn._xlws.FILTER(T:T,A:A=A45),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45" s="4" cm="1">
        <f t="array" aca="1" ref="AA45" ca="1">_xlfn.LET(
_xlpm.PrinIDs,_xlfn._xlws.FILTER(C:C,(A:A=A45)),
_xlpm.SecIDs,_xlfn._xlws.FILTER(D:D,(A:A=A45)),
_xlpm.TerIDs,_xlfn._xlws.FILTER(E:E,A:A=A45),
_xlpm.CuaIDs,_xlfn._xlws.FILTER(F:F,(A:A=A45)),
_xlpm.PrinPts,_xlfn._xlws.FILTER(G:G,(A:A=A45)),
_xlpm.SecPts,_xlfn._xlws.FILTER(H:H,(A:A=A45)),
_xlpm.TerPts,_xlfn._xlws.FILTER(I:I,(A:A=A45)),
_xlpm.CuaPts,_xlfn._xlws.FILTER(J:J,(A:A=A45)),
_xlpm.SCIds,_xlfn._xlws.FILTER(U:U,A:A=A45),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45" s="14">
        <f t="shared" ca="1" si="3"/>
        <v>52</v>
      </c>
      <c r="AC45" s="14">
        <v>52</v>
      </c>
      <c r="AD45" s="4"/>
      <c r="AE45" s="14" t="str">
        <f ca="1">IF(ISNUMBER(AC45),
IF($B45=1,VLOOKUP($AC45,Inventario1!$A:$H,2),
IF($B45=2,VLOOKUP($AC45,Inventario2!$A:$H,2),
IF($B45=3,VLOOKUP($AC45,Inventario3!$A:$H,2),
IF($B45=4,VLOOKUP($AC45,Inventario4!$A:$H,2),
IF($B45=5,VLOOKUP($AC45,Inventario5!$A:$H,2),
VLOOKUP($AC45,Inventario6!$A:$H,2)
))))),"No equipado")</f>
        <v>Épico</v>
      </c>
      <c r="AF45" s="14" t="str">
        <f ca="1">IF(ISNUMBER(AC45),
IF($B45=1,VLOOKUP($AC45,Inventario1!$A:$H,3),
IF($B45=2,VLOOKUP($AC45,Inventario2!$A:$H,3),
IF($B45=3,VLOOKUP($AC45,Inventario3!$A:$H,3),
IF($B45=4,VLOOKUP($AC45,Inventario4!$A:$H,3),
IF($B45=5,VLOOKUP($AC45,Inventario5!$A:$H,3),
VLOOKUP($AC45,Inventario6!$A:$H,3)
))))),"")</f>
        <v>Recepción de asistencia</v>
      </c>
      <c r="AG45" s="14" t="str">
        <f ca="1">IF(ISNUMBER(AC45),
IF($B45=1,VLOOKUP($AC45,Inventario1!$A:$H,4),
IF($B45=2,VLOOKUP($AC45,Inventario2!$A:$H,4),
IF($B45=3,VLOOKUP($AC45,Inventario3!$A:$H,4),
IF($B45=4,VLOOKUP($AC45,Inventario4!$A:$H,4),
IF($B45=5,VLOOKUP($AC45,Inventario5!$A:$H,4),
VLOOKUP($AC45,Inventario6!$A:$H,4)
))))),"")</f>
        <v>Ataque rápido</v>
      </c>
      <c r="AH45" s="14" t="str">
        <f ca="1">IF(ISNUMBER(AC45),
IF($B45=1,VLOOKUP($AC45,Inventario1!$A:$H,5),
IF($B45=2,VLOOKUP($AC45,Inventario2!$A:$H,5),
IF($B45=3,VLOOKUP($AC45,Inventario3!$A:$H,5),
IF($B45=4,VLOOKUP($AC45,Inventario4!$A:$H,5),
IF($B45=5,VLOOKUP($AC45,Inventario5!$A:$H,5),
VLOOKUP($AC45,Inventario6!$A:$H,5)
))))),"")</f>
        <v>Recuperación</v>
      </c>
      <c r="AI45" s="14" t="str">
        <f ca="1">IF(ISNUMBER(AC45),
IF($B45=1,VLOOKUP($AC45,Inventario1!$A:$H,6),
IF($B45=2,VLOOKUP($AC45,Inventario2!$A:$H,6),
IF($B45=3,VLOOKUP($AC45,Inventario3!$A:$H,6),
IF($B45=4,VLOOKUP($AC45,Inventario4!$A:$H,6),
IF($B45=5,VLOOKUP($AC45,Inventario5!$A:$H,6),
VLOOKUP($AC45,Inventario6!$A:$H,6)
))))),"")</f>
        <v>Recepción</v>
      </c>
      <c r="AJ45" s="14" t="str">
        <f ca="1">IF(ISNUMBER(AC45),
IF($B45=1,VLOOKUP($AC45,Inventario1!$A:$H,7),
IF($B45=2,VLOOKUP($AC45,Inventario2!$A:$H,7),
IF($B45=3,VLOOKUP($AC45,Inventario3!$A:$H,7),
IF($B45=4,VLOOKUP($AC45,Inventario4!$A:$H,7),
IF($B45=5,VLOOKUP($AC45,Inventario5!$A:$H,7),
VLOOKUP($AC45,Inventario6!$A:$H,7)
))))),"")</f>
        <v>Técnica defensiva</v>
      </c>
      <c r="AK45" s="15">
        <f ca="1">IF(ISNUMBER(AC45),
IF($B45=1,VLOOKUP($AC45,Inventario1!$A:$H,8),
IF($B45=2,VLOOKUP($AC45,Inventario2!$A:$H,8),
IF($B45=3,VLOOKUP($AC45,Inventario3!$A:$H,8),
IF($B45=4,VLOOKUP($AC45,Inventario4!$A:$H,8),
IF($B45=5,VLOOKUP($AC45,Inventario5!$A:$H,8),
VLOOKUP($AC45,Inventario6!$A:$H,8)
))))),"")</f>
        <v>0</v>
      </c>
    </row>
    <row r="46" spans="1:37" x14ac:dyDescent="0.25">
      <c r="A46" s="21" t="s">
        <v>27</v>
      </c>
      <c r="B46" s="4">
        <v>3</v>
      </c>
      <c r="C46" s="14" cm="1">
        <f t="array" aca="1" ref="C46" ca="1">_xlfn.LET(
    _xlpm.jugador, A46,
    _xlpm.idSel, AC46,
    _xlpm.invIDs, IF(B46=1,Inventario1!A:A,IF(B46=2,Inventario2!A:A,IF(B46=3,Inventario3!A:A,IF(B46=4,Inventario4!A:A,IF(B46=5,Inventario5!A:A,Inventario6!A:A))))),
    _xlpm.invCalidad, IF(B46=1,Inventario1!B:B,IF(B46=2,Inventario2!B:B,IF(B46=3,Inventario3!B:B,IF(B46=4,Inventario4!B:B,IF(B46=5,Inventario5!B:B,Inventario6!B:B))))),
    _xlpm.invTipos, IF(B46=1,Inventario1!C:C,IF(B46=2,Inventario2!C:C,IF(B46=3,Inventario3!C:C,IF(B46=4,Inventario4!C:C,IF(B46=5,Inventario5!C:C,Inventario6!C:C))))),
    _xlpm.invStats, IF(B46=1,Inventario1!D:H,IF(B46=2,Inventario2!D:H,IF(B46=3,Inventario3!D:H,IF(B46=4,Inventario4!D:H,IF(B46=5,Inventario5!D:H,Inventario6!D:H))))),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IF(ROW(A46)=2,"",IF(_xlfn._xlws.FILTER(Equipar!AC$2:AC45,Equipar!B$2:B45=B46)={0},"",_xlfn._xlws.FILTER(Equipar!AC$2:AC45,Equipar!B$2:B45=B46))),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137</v>
      </c>
      <c r="D46" s="4" cm="1">
        <f t="array" ref="D46">_xlfn.LET(
    _xlpm.jugador, A46,
    _xlpm.idSel, AC46,
    _xlpm.invIDs, IF(B46=1,Inventario1!A:A,IF(B46=2,Inventario2!A:A,IF(B46=3,Inventario3!A:A,IF(B46=4,Inventario4!A:A,IF(B46=5,Inventario5!A:A,Inventario6!A:A))))),
    _xlpm.invCalidad, IF(B46=1,Inventario1!B:B,IF(B46=2,Inventario2!B:B,IF(B46=3,Inventario3!B:B,IF(B46=4,Inventario4!B:B,IF(B46=5,Inventario5!B:B,Inventario6!B:B))))),
    _xlpm.invTipos, IF(B46=1,Inventario1!C:C,IF(B46=2,Inventario2!C:C,IF(B46=3,Inventario3!C:C,IF(B46=4,Inventario4!C:C,IF(B46=5,Inventario5!C:C,Inventario6!C:C))))),
    _xlpm.invStats, IF(B46=1,Inventario1!D:H,IF(B46=2,Inventario2!D:H,IF(B46=3,Inventario3!D:H,IF(B46=4,Inventario4!D:H,IF(B46=5,Inventario5!D:H,Inventario6!D:H))))),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IF(ROW(A46)=2,"",IF(_xlfn._xlws.FILTER(Equipar!AC$2:AC45,Equipar!B$2:B45=B46)={0},"",_xlfn._xlws.FILTER(Equipar!AC$2:AC45,Equipar!B$2:B45=B46))),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122</v>
      </c>
      <c r="E46" s="4" t="str" cm="1">
        <f t="array" ref="E46">_xlfn.LET(
    _xlpm.jugador, A46,
    _xlpm.idSel, AC46,
    _xlpm.invIDs, IF(B46=1,Inventario1!A:A,IF(B46=2,Inventario2!A:A,IF(B46=3,Inventario3!A:A,IF(B46=4,Inventario4!A:A,IF(B46=5,Inventario5!A:A,Inventario6!A:A))))),
    _xlpm.invCalidad, IF(B46=1,Inventario1!B:B,IF(B46=2,Inventario2!B:B,IF(B46=3,Inventario3!B:B,IF(B46=4,Inventario4!B:B,IF(B46=5,Inventario5!B:B,Inventario6!B:B))))),
    _xlpm.invTipos, IF(B46=1,Inventario1!C:C,IF(B46=2,Inventario2!C:C,IF(B46=3,Inventario3!C:C,IF(B46=4,Inventario4!C:C,IF(B46=5,Inventario5!C:C,Inventario6!C:C))))),
    _xlpm.invStats, IF(B46=1,Inventario1!D:H,IF(B46=2,Inventario2!D:H,IF(B46=3,Inventario3!D:H,IF(B46=4,Inventario4!D:H,IF(B46=5,Inventario5!D:H,Inventario6!D:H))))),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IF(ROW(A46)=2,"",IF(_xlfn._xlws.FILTER(Equipar!AC$2:AC45,Equipar!B$2:B45=B46)={0},"",_xlfn._xlws.FILTER(Equipar!AC$2:AC45,Equipar!B$2:B45=B46))),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46" s="4" t="str" cm="1">
        <f t="array" aca="1" ref="F46" ca="1">_xlfn.LET(
    _xlpm.jugador, B46,
    _xlpm.idSel, AD46,
    _xlpm.invIDs, IF(C46=1,Inventario1!B:B,IF(C46=2,Inventario2!B:B,IF(C46=3,Inventario3!B:B,IF(C46=4,Inventario4!B:B,IF(C46=5,Inventario5!B:B,Inventario6!B:B))))),
    _xlpm.invCalidad, IF(C46=1,Inventario1!C:C,IF(C46=2,Inventario2!C:C,IF(C46=3,Inventario3!C:C,IF(C46=4,Inventario4!C:C,IF(C46=5,Inventario5!C:C,Inventario6!C:C))))),
    _xlpm.invTipos, IF(C46=1,Inventario1!D:D,IF(C46=2,Inventario2!D:D,IF(C46=3,Inventario3!D:D,IF(C46=4,Inventario4!D:D,IF(C46=5,Inventario5!D:D,Inventario6!D:D))))),
    _xlpm.invStats, IF(C46=1,Inventario1!E:I,IF(C46=2,Inventario2!E:I,IF(C46=3,Inventario3!E:I,IF(C46=4,Inventario4!E:I,IF(C46=5,Inventario5!E:I,Inventario6!E:I))))),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IF(ROW(B46)=2,"",IF(_xlfn._xlws.FILTER(Equipar!AD$2:AD45,Equipar!C$2:C45=C46)={0},"",_xlfn._xlws.FILTER(Equipar!AD$2:AD45,Equipar!C$2:C45=C46))),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46" s="14" cm="1">
        <f t="array" aca="1" ref="G46" ca="1">_xlfn.LET(
    _xlpm.jugador, A46,
    _xlpm.idSel, AC46,
    _xlpm.invIDs, IF(B46=1,Inventario1!A:A,IF(B46=2,Inventario2!A:A,IF(B46=3,Inventario3!A:A,IF(B46=4,Inventario4!A:A,IF(B46=5,Inventario5!A:A,Inventario6!A:A))))),
    _xlpm.invCalidad, IF(B46=1,Inventario1!B:B,IF(B46=2,Inventario2!B:B,IF(B46=3,Inventario3!B:B,IF(B46=4,Inventario4!B:B,IF(B46=5,Inventario5!B:B,Inventario6!B:B))))),
    _xlpm.invTipos, IF(B46=1,Inventario1!C:C,IF(B46=2,Inventario2!C:C,IF(B46=3,Inventario3!C:C,IF(B46=4,Inventario4!C:C,IF(B46=5,Inventario5!C:C,Inventario6!C:C))))),
    _xlpm.invStats, IF(B46=1,Inventario1!D:H,IF(B46=2,Inventario2!D:H,IF(B46=3,Inventario3!D:H,IF(B46=4,Inventario4!D:H,IF(B46=5,Inventario5!D:H,Inventario6!D:H))))),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IF(ROW(A46)=2,"",IF(_xlfn._xlws.FILTER(Equipar!AC$2:AC45,Equipar!B$2:B45=B46)={0},"",_xlfn._xlws.FILTER(Equipar!AC$2:AC45,Equipar!B$2:B45=B46))),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36</v>
      </c>
      <c r="H46" s="4" cm="1">
        <f t="array" ref="H46">_xlfn.LET(
    _xlpm.jugador, A46,
    _xlpm.idSel, AC46,
    _xlpm.invIDs, IF(B46=1,Inventario1!A:A,IF(B46=2,Inventario2!A:A,IF(B46=3,Inventario3!A:A,IF(B46=4,Inventario4!A:A,IF(B46=5,Inventario5!A:A,Inventario6!A:A))))),
    _xlpm.invCalidad, IF(B46=1,Inventario1!B:B,IF(B46=2,Inventario2!B:B,IF(B46=3,Inventario3!B:B,IF(B46=4,Inventario4!B:B,IF(B46=5,Inventario5!B:B,Inventario6!B:B))))),
    _xlpm.invTipos, IF(B46=1,Inventario1!C:C,IF(B46=2,Inventario2!C:C,IF(B46=3,Inventario3!C:C,IF(B46=4,Inventario4!C:C,IF(B46=5,Inventario5!C:C,Inventario6!C:C))))),
    _xlpm.invStats, IF(B46=1,Inventario1!D:H,IF(B46=2,Inventario2!D:H,IF(B46=3,Inventario3!D:H,IF(B46=4,Inventario4!D:H,IF(B46=5,Inventario5!D:H,Inventario6!D:H))))),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IF(ROW(A46)=2,"",IF(_xlfn._xlws.FILTER(Equipar!AC$2:AC45,Equipar!B$2:B45=B46)={0},"",_xlfn._xlws.FILTER(Equipar!AC$2:AC45,Equipar!B$2:B45=B46))),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I46" s="4" cm="1">
        <f t="array" ref="I46">_xlfn.LET(
    _xlpm.jugador, A46,
    _xlpm.idSel, AC46,
    _xlpm.invIDs, IF(B46=1,Inventario1!A:A,IF(B46=2,Inventario2!A:A,IF(B46=3,Inventario3!A:A,IF(B46=4,Inventario4!A:A,IF(B46=5,Inventario5!A:A,Inventario6!A:A))))),
    _xlpm.invCalidad, IF(B46=1,Inventario1!B:B,IF(B46=2,Inventario2!B:B,IF(B46=3,Inventario3!B:B,IF(B46=4,Inventario4!B:B,IF(B46=5,Inventario5!B:B,Inventario6!B:B))))),
    _xlpm.invTipos, IF(B46=1,Inventario1!C:C,IF(B46=2,Inventario2!C:C,IF(B46=3,Inventario3!C:C,IF(B46=4,Inventario4!C:C,IF(B46=5,Inventario5!C:C,Inventario6!C:C))))),
    _xlpm.invStats, IF(B46=1,Inventario1!D:H,IF(B46=2,Inventario2!D:H,IF(B46=3,Inventario3!D:H,IF(B46=4,Inventario4!D:H,IF(B46=5,Inventario5!D:H,Inventario6!D:H))))),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IF(ROW(A46)=2,"",IF(_xlfn._xlws.FILTER(Equipar!AC$2:AC45,Equipar!B$2:B45=B46)={0},"",_xlfn._xlws.FILTER(Equipar!AC$2:AC45,Equipar!B$2:B45=B46))),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46" s="4" cm="1">
        <f t="array" aca="1" ref="J46" ca="1">_xlfn.LET(
    _xlpm.jugador, B46,
    _xlpm.idSel, AD46,
    _xlpm.invIDs, IF(C46=1,Inventario1!B:B,IF(C46=2,Inventario2!B:B,IF(C46=3,Inventario3!B:B,IF(C46=4,Inventario4!B:B,IF(C46=5,Inventario5!B:B,Inventario6!B:B))))),
    _xlpm.invCalidad, IF(C46=1,Inventario1!C:C,IF(C46=2,Inventario2!C:C,IF(C46=3,Inventario3!C:C,IF(C46=4,Inventario4!C:C,IF(C46=5,Inventario5!C:C,Inventario6!C:C))))),
    _xlpm.invTipos, IF(C46=1,Inventario1!D:D,IF(C46=2,Inventario2!D:D,IF(C46=3,Inventario3!D:D,IF(C46=4,Inventario4!D:D,IF(C46=5,Inventario5!D:D,Inventario6!D:D))))),
    _xlpm.invStats, IF(C46=1,Inventario1!E:I,IF(C46=2,Inventario2!E:I,IF(C46=3,Inventario3!E:I,IF(C46=4,Inventario4!E:I,IF(C46=5,Inventario5!E:I,Inventario6!E:I))))),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IF(ROW(B46)=2,"",IF(_xlfn._xlws.FILTER(Equipar!AD$2:AD45,Equipar!C$2:C45=C46)={0},"",_xlfn._xlws.FILTER(Equipar!AD$2:AD45,Equipar!C$2:C45=C46))),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46" s="4">
        <f t="shared" ca="1" si="0"/>
        <v>-47.790000000000006</v>
      </c>
      <c r="L46" s="4">
        <f t="shared" ca="1" si="1"/>
        <v>36</v>
      </c>
      <c r="M46" s="4">
        <f t="shared" ca="1" si="1"/>
        <v>83.79</v>
      </c>
      <c r="N46" s="4">
        <f t="shared" si="2"/>
        <v>83.79</v>
      </c>
      <c r="O46" s="4">
        <f t="shared" ca="1" si="2"/>
        <v>0</v>
      </c>
      <c r="P46" s="14" cm="1">
        <f t="array" aca="1" ref="P46" ca="1">_xlfn.LET(
    _xlpm.ptsPrinBase, _xlfn._xlws.FILTER(G:G, A:A=A46),
    _xlpm.ptsSecBase,  _xlfn._xlws.FILTER(H:H, A:A=A46),
    _xlpm.puntosPrin, _xlpm.ptsPrinBase + _xlfn._xlws.FILTER(B:B, A:A=A46)/1000,
    _xlpm.puntosSec,  _xlpm.ptsSecBase  + _xlfn._xlws.FILTER(B:B, A:A=A46)/1000,
    _xlpm.puntosPrinValidos, SUM(--(_xlpm.ptsPrinBase&gt;0)),
    _xlpm.puntosSecValidos,  SUM(--(_xlpm.ptsSecBase&gt;0)),
    _xlpm.clave, K46 + B46/1000,
    _xlpm.claves, _xlfn._xlws.FILTER(K:K + B:B/1000, A:A=A46),
    IF(AND(_xlpm.puntosPrinValidos&gt;=4,_xlpm.puntosSecValidos&gt;=2),IF(
        SUM(--(_xlpm.claves &gt; _xlpm.clave)) &lt; 4,
        C46,
        D46
    ),"No disp")
)</f>
        <v>122</v>
      </c>
      <c r="Q46" s="14" t="str" cm="1">
        <f t="array" aca="1" ref="Q46" ca="1">_xlfn.LET(
    _xlpm.puntosPrin, _xlfn._xlws.FILTER(G:G + B:B/1000, A:A=A46),
    _xlpm.puntosPrinValidos, SUM(--(_xlpm.puntosPrin&gt;1)),
    _xlpm.puntosTer, _xlfn._xlws.FILTER(I:I + B:B/1000, A:A=A46),
    _xlpm.puntosTerValidos, SUM(--(_xlpm.puntosTer&gt;1)),
    _xlpm.clave, L46 + B46/1000,
    _xlpm.claves, _xlfn._xlws.FILTER(L:L + B:B/1000, A:A=A46),
    IF(AND(_xlpm.puntosPrinValidos&gt;=4,_xlpm.puntosTerValidos&gt;=2),IF(
        SUM(--(_xlpm.claves &gt; _xlpm.clave)) &lt; 4,
        C46,
        E46
    ),"No disp")
)</f>
        <v>No disp</v>
      </c>
      <c r="R46" s="14" t="str" cm="1">
        <f t="array" aca="1" ref="R46" ca="1">_xlfn.LET(
    _xlpm.puntosPrin, _xlfn._xlws.FILTER(G:G + B:B/1000, A:A=A46),
    _xlpm.puntosPrinValidos, SUM(--(_xlpm.puntosPrin&gt;1)),
    _xlpm.puntosTer, _xlfn._xlws.FILTER(J:J + B:B/1000, A:A=A46),
    _xlpm.puntosTerValidos, SUM(--(_xlpm.puntosTer&gt;1)),
    _xlpm.clave, M46 + B46/1000,
    _xlpm.claves, _xlfn._xlws.FILTER(M:M + B:B/1000, A:A=A46),
    IF(AND(_xlpm.puntosPrinValidos&gt;=4,_xlpm.puntosTerValidos&gt;=2),IF(
        SUM(--(_xlpm.claves &gt; _xlpm.clave)) &lt; 4,
        C46,
        F46
    ),"No disp")
)</f>
        <v>No disp</v>
      </c>
      <c r="S46" s="14" cm="1">
        <f t="array" aca="1" ref="S46" ca="1">_xlfn.LET(
    _xlpm.ptsPrinBase, _xlfn._xlws.FILTER(G:G, A:A=A46),
    _xlpm.ptsSecBase,  _xlfn._xlws.FILTER(H:H, A:A=A46),
    _xlpm.puntosPrin, _xlpm.ptsPrinBase + _xlfn._xlws.FILTER(B:B, A:A=A46)/1000,
    _xlpm.puntosSec,  _xlpm.ptsSecBase  + _xlfn._xlws.FILTER(B:B, A:A=A46)/1000,
    _xlpm.puntosPrinValidos, SUM(--(_xlpm.ptsPrinBase&gt;0)),
    _xlpm.puntosSecValidos,  SUM(--(_xlpm.ptsSecBase&gt;0)),
    _xlpm.clave, K46 + B46/1000,
    _xlpm.claves, _xlfn._xlws.FILTER(K:K + B:B/1000, A:A=A46),
    IF(
        AND(_xlpm.puntosPrinValidos&gt;=2, _xlpm.puntosSecValidos&gt;=4),
        IF(
            SUM(--(_xlpm.claves &lt; _xlpm.clave)) &lt; 4,
            D46,
            C46
        ),
        "No disp"
    )
)</f>
        <v>122</v>
      </c>
      <c r="T46" s="14" t="str" cm="1">
        <f t="array" ref="T46">_xlfn.LET(
    _xlpm.puntosSec, _xlfn._xlws.FILTER(H:H + B:B/1000, A:A=A46),
    _xlpm.puntosSecValidos, SUM(--(_xlpm.puntosSec&gt;1)),
    _xlpm.puntosAlt, _xlfn._xlws.FILTER(I:I + B:B/1000, A:A=A46),
    _xlpm.puntosAltValidos, SUM(--(_xlpm.puntosAlt&gt;1)),
    _xlpm.clave, N46 + B46/1000,
    _xlpm.claves, _xlfn._xlws.FILTER(N:N + B:B/1000, A:A=A46),
    IF(AND(_xlpm.puntosSecValidos&gt;=4,_xlpm.puntosAltValidos&gt;=2),IF(
        SUM(--(_xlpm.claves &gt; _xlpm.clave)) &lt; 4,
        D46,
        E46
    ),"No disp")
)</f>
        <v>No disp</v>
      </c>
      <c r="U46" s="14" t="str" cm="1">
        <f t="array" aca="1" ref="U46" ca="1">_xlfn.LET(
    _xlpm.puntosSec, _xlfn._xlws.FILTER(H:H + B:B/1000, A:A=A46),
    _xlpm.puntosSecValidos, SUM(--(_xlpm.puntosSec&gt;1)),
    _xlpm.puntosAlt, _xlfn._xlws.FILTER(J:J + B:B/1000, A:A=A46),
    _xlpm.puntosAltValidos, SUM(--(_xlpm.puntosAlt&gt;1)),
    _xlpm.clave, O46 + B46/1000,
    _xlpm.claves, _xlfn._xlws.FILTER(O:O + B:B/1000, A:A=A46),
    IF(AND(_xlpm.puntosSecValidos&gt;=4,_xlpm.puntosAltValidos&gt;=2),IF(
        SUM(--(_xlpm.claves &gt; _xlpm.clave)) &lt; 4,
        D46,
        F46
    ),"No disp")
)</f>
        <v>No disp</v>
      </c>
      <c r="V46" s="4" cm="1">
        <f t="array" aca="1" ref="V46" ca="1">_xlfn.LET(
_xlpm.PrinIDs,_xlfn._xlws.FILTER(C:C,(A:A=A46)),
_xlpm.SecIDs,_xlfn._xlws.FILTER(D:D,(A:A=A46)),
_xlpm.TerIDs,_xlfn._xlws.FILTER(E:E,A:A=A46),
_xlpm.CuaIDs,_xlfn._xlws.FILTER(F:F,(A:A=A46)),
_xlpm.PrinPts,_xlfn._xlws.FILTER(G:G,(A:A=A46)),
_xlpm.SecPts,_xlfn._xlws.FILTER(H:H,(A:A=A46)),
_xlpm.TerPts,_xlfn._xlws.FILTER(I:I,(A:A=A46)),
_xlpm.CuaPts,_xlfn._xlws.FILTER(J:J,(A:A=A46)),
_xlpm.PSIds,_xlfn._xlws.FILTER(P:P,A:A=A46),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440.37</v>
      </c>
      <c r="W46" s="4" cm="1">
        <f t="array" aca="1" ref="W46" ca="1">_xlfn.LET(
_xlpm.PrinIDs,_xlfn._xlws.FILTER(C:C,(A:A=A46)),
_xlpm.SecIDs,_xlfn._xlws.FILTER(D:D,(A:A=A46)),
_xlpm.TerIDs,_xlfn._xlws.FILTER(E:E,A:A=A46),
_xlpm.CuaIDs,_xlfn._xlws.FILTER(F:F,(A:A=A46)),
_xlpm.PrinPts,_xlfn._xlws.FILTER(G:G,(A:A=A46)),
_xlpm.SecPts,_xlfn._xlws.FILTER(H:H,(A:A=A46)),
_xlpm.TerPts,_xlfn._xlws.FILTER(I:I,(A:A=A46)),
_xlpm.CuaPts,_xlfn._xlws.FILTER(J:J,(A:A=A46)),
_xlpm.PTIds,_xlfn._xlws.FILTER(Q:Q,A:A=A46),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46" s="4" cm="1">
        <f t="array" aca="1" ref="X46" ca="1">_xlfn.LET(
_xlpm.PrinIDs,_xlfn._xlws.FILTER(C:C,(A:A=A46)),
_xlpm.SecIDs,_xlfn._xlws.FILTER(D:D,(A:A=A46)),
_xlpm.TerIDs,_xlfn._xlws.FILTER(E:E,A:A=A46),
_xlpm.CuaIDs,_xlfn._xlws.FILTER(F:F,(A:A=A46)),
_xlpm.PrinPts,_xlfn._xlws.FILTER(G:G,(A:A=A46)),
_xlpm.SecPts,_xlfn._xlws.FILTER(H:H,(A:A=A46)),
_xlpm.TerPts,_xlfn._xlws.FILTER(I:I,(A:A=A46)),
_xlpm.CuaPts,_xlfn._xlws.FILTER(J:J,(A:A=A46)),
_xlpm.PCIds,_xlfn._xlws.FILTER(R:R,A:A=A46),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46" s="4" cm="1">
        <f t="array" aca="1" ref="Y46" ca="1">_xlfn.LET(
_xlpm.PrinIDs,_xlfn._xlws.FILTER(C:C,(A:A=A46)),
_xlpm.SecIDs,_xlfn._xlws.FILTER(D:D,(A:A=A46)),
_xlpm.AltIDs,_xlfn._xlws.FILTER(E:E,A:A=A46),
_xlpm.PrinPts,_xlfn._xlws.FILTER(G:G,(A:A=A46)),
_xlpm.SecPts,_xlfn._xlws.FILTER(H:H,(A:A=A46)),
_xlpm.AltPts,_xlfn._xlws.FILTER(I:I,(A:A=A46)),
_xlpm.SPIds,_xlfn._xlws.FILTER(S:S,A:A=A46),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451.98</v>
      </c>
      <c r="Z46" s="4" cm="1">
        <f t="array" aca="1" ref="Z46" ca="1">_xlfn.LET(
_xlpm.PrinIDs,_xlfn._xlws.FILTER(C:C,(A:A=A46)),
_xlpm.SecIDs,_xlfn._xlws.FILTER(D:D,(A:A=A46)),
_xlpm.TerIDs,_xlfn._xlws.FILTER(E:E,A:A=A46),
_xlpm.CuaIDs,_xlfn._xlws.FILTER(F:F,(A:A=A46)),
_xlpm.PrinPts,_xlfn._xlws.FILTER(G:G,(A:A=A46)),
_xlpm.SecPts,_xlfn._xlws.FILTER(H:H,(A:A=A46)),
_xlpm.TerPts,_xlfn._xlws.FILTER(I:I,(A:A=A46)),
_xlpm.CuaPts,_xlfn._xlws.FILTER(J:J,(A:A=A46)),
_xlpm.STIds,_xlfn._xlws.FILTER(T:T,A:A=A46),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46" s="4" cm="1">
        <f t="array" aca="1" ref="AA46" ca="1">_xlfn.LET(
_xlpm.PrinIDs,_xlfn._xlws.FILTER(C:C,(A:A=A46)),
_xlpm.SecIDs,_xlfn._xlws.FILTER(D:D,(A:A=A46)),
_xlpm.TerIDs,_xlfn._xlws.FILTER(E:E,A:A=A46),
_xlpm.CuaIDs,_xlfn._xlws.FILTER(F:F,(A:A=A46)),
_xlpm.PrinPts,_xlfn._xlws.FILTER(G:G,(A:A=A46)),
_xlpm.SecPts,_xlfn._xlws.FILTER(H:H,(A:A=A46)),
_xlpm.TerPts,_xlfn._xlws.FILTER(I:I,(A:A=A46)),
_xlpm.CuaPts,_xlfn._xlws.FILTER(J:J,(A:A=A46)),
_xlpm.SCIds,_xlfn._xlws.FILTER(U:U,A:A=A46),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46" s="14">
        <f t="shared" ca="1" si="3"/>
        <v>122</v>
      </c>
      <c r="AC46" s="14">
        <v>122</v>
      </c>
      <c r="AD46" s="4"/>
      <c r="AE46" s="14" t="str">
        <f ca="1">IF(ISNUMBER(AC46),
IF($B46=1,VLOOKUP($AC46,Inventario1!$A:$H,2),
IF($B46=2,VLOOKUP($AC46,Inventario2!$A:$H,2),
IF($B46=3,VLOOKUP($AC46,Inventario3!$A:$H,2),
IF($B46=4,VLOOKUP($AC46,Inventario4!$A:$H,2),
IF($B46=5,VLOOKUP($AC46,Inventario5!$A:$H,2),
VLOOKUP($AC46,Inventario6!$A:$H,2)
))))),"No equipado")</f>
        <v>Legendario</v>
      </c>
      <c r="AF46" s="14" t="str">
        <f ca="1">IF(ISNUMBER(AC46),
IF($B46=1,VLOOKUP($AC46,Inventario1!$A:$H,3),
IF($B46=2,VLOOKUP($AC46,Inventario2!$A:$H,3),
IF($B46=3,VLOOKUP($AC46,Inventario3!$A:$H,3),
IF($B46=4,VLOOKUP($AC46,Inventario4!$A:$H,3),
IF($B46=5,VLOOKUP($AC46,Inventario5!$A:$H,3),
VLOOKUP($AC46,Inventario6!$A:$H,3)
))))),"")</f>
        <v>Recepción suprema</v>
      </c>
      <c r="AG46" s="14" t="str">
        <f ca="1">IF(ISNUMBER(AC46),
IF($B46=1,VLOOKUP($AC46,Inventario1!$A:$H,4),
IF($B46=2,VLOOKUP($AC46,Inventario2!$A:$H,4),
IF($B46=3,VLOOKUP($AC46,Inventario3!$A:$H,4),
IF($B46=4,VLOOKUP($AC46,Inventario4!$A:$H,4),
IF($B46=5,VLOOKUP($AC46,Inventario5!$A:$H,4),
VLOOKUP($AC46,Inventario6!$A:$H,4)
))))),"")</f>
        <v>Saque</v>
      </c>
      <c r="AH46" s="14" t="str">
        <f ca="1">IF(ISNUMBER(AC46),
IF($B46=1,VLOOKUP($AC46,Inventario1!$A:$H,5),
IF($B46=2,VLOOKUP($AC46,Inventario2!$A:$H,5),
IF($B46=3,VLOOKUP($AC46,Inventario3!$A:$H,5),
IF($B46=4,VLOOKUP($AC46,Inventario4!$A:$H,5),
IF($B46=5,VLOOKUP($AC46,Inventario5!$A:$H,5),
VLOOKUP($AC46,Inventario6!$A:$H,5)
))))),"")</f>
        <v>Recepción</v>
      </c>
      <c r="AI46" s="14" t="str">
        <f ca="1">IF(ISNUMBER(AC46),
IF($B46=1,VLOOKUP($AC46,Inventario1!$A:$H,6),
IF($B46=2,VLOOKUP($AC46,Inventario2!$A:$H,6),
IF($B46=3,VLOOKUP($AC46,Inventario3!$A:$H,6),
IF($B46=4,VLOOKUP($AC46,Inventario4!$A:$H,6),
IF($B46=5,VLOOKUP($AC46,Inventario5!$A:$H,6),
VLOOKUP($AC46,Inventario6!$A:$H,6)
))))),"")</f>
        <v>Colocación</v>
      </c>
      <c r="AJ46" s="14" t="str">
        <f ca="1">IF(ISNUMBER(AC46),
IF($B46=1,VLOOKUP($AC46,Inventario1!$A:$H,7),
IF($B46=2,VLOOKUP($AC46,Inventario2!$A:$H,7),
IF($B46=3,VLOOKUP($AC46,Inventario3!$A:$H,7),
IF($B46=4,VLOOKUP($AC46,Inventario4!$A:$H,7),
IF($B46=5,VLOOKUP($AC46,Inventario5!$A:$H,7),
VLOOKUP($AC46,Inventario6!$A:$H,7)
))))),"")</f>
        <v>Ataque poderoso</v>
      </c>
      <c r="AK46" s="15" t="str">
        <f ca="1">IF(ISNUMBER(AC46),
IF($B46=1,VLOOKUP($AC46,Inventario1!$A:$H,8),
IF($B46=2,VLOOKUP($AC46,Inventario2!$A:$H,8),
IF($B46=3,VLOOKUP($AC46,Inventario3!$A:$H,8),
IF($B46=4,VLOOKUP($AC46,Inventario4!$A:$H,8),
IF($B46=5,VLOOKUP($AC46,Inventario5!$A:$H,8),
VLOOKUP($AC46,Inventario6!$A:$H,8)
))))),"")</f>
        <v>Técnica ofensiva</v>
      </c>
    </row>
    <row r="47" spans="1:37" x14ac:dyDescent="0.25">
      <c r="A47" s="21" t="s">
        <v>27</v>
      </c>
      <c r="B47" s="4">
        <v>4</v>
      </c>
      <c r="C47" s="14" cm="1">
        <f t="array" aca="1" ref="C47" ca="1">_xlfn.LET(
    _xlpm.jugador, A47,
    _xlpm.idSel, AC47,
    _xlpm.invIDs, IF(B47=1,Inventario1!A:A,IF(B47=2,Inventario2!A:A,IF(B47=3,Inventario3!A:A,IF(B47=4,Inventario4!A:A,IF(B47=5,Inventario5!A:A,Inventario6!A:A))))),
    _xlpm.invCalidad, IF(B47=1,Inventario1!B:B,IF(B47=2,Inventario2!B:B,IF(B47=3,Inventario3!B:B,IF(B47=4,Inventario4!B:B,IF(B47=5,Inventario5!B:B,Inventario6!B:B))))),
    _xlpm.invTipos, IF(B47=1,Inventario1!C:C,IF(B47=2,Inventario2!C:C,IF(B47=3,Inventario3!C:C,IF(B47=4,Inventario4!C:C,IF(B47=5,Inventario5!C:C,Inventario6!C:C))))),
    _xlpm.invStats, IF(B47=1,Inventario1!D:H,IF(B47=2,Inventario2!D:H,IF(B47=3,Inventario3!D:H,IF(B47=4,Inventario4!D:H,IF(B47=5,Inventario5!D:H,Inventario6!D:H))))),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IF(ROW(A47)=2,"",IF(_xlfn._xlws.FILTER(Equipar!AC$2:AC46,Equipar!B$2:B46=B47)={0},"",_xlfn._xlws.FILTER(Equipar!AC$2:AC46,Equipar!B$2:B46=B47))),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146</v>
      </c>
      <c r="D47" s="4" cm="1">
        <f t="array" ref="D47">_xlfn.LET(
    _xlpm.jugador, A47,
    _xlpm.idSel, AC47,
    _xlpm.invIDs, IF(B47=1,Inventario1!A:A,IF(B47=2,Inventario2!A:A,IF(B47=3,Inventario3!A:A,IF(B47=4,Inventario4!A:A,IF(B47=5,Inventario5!A:A,Inventario6!A:A))))),
    _xlpm.invCalidad, IF(B47=1,Inventario1!B:B,IF(B47=2,Inventario2!B:B,IF(B47=3,Inventario3!B:B,IF(B47=4,Inventario4!B:B,IF(B47=5,Inventario5!B:B,Inventario6!B:B))))),
    _xlpm.invTipos, IF(B47=1,Inventario1!C:C,IF(B47=2,Inventario2!C:C,IF(B47=3,Inventario3!C:C,IF(B47=4,Inventario4!C:C,IF(B47=5,Inventario5!C:C,Inventario6!C:C))))),
    _xlpm.invStats, IF(B47=1,Inventario1!D:H,IF(B47=2,Inventario2!D:H,IF(B47=3,Inventario3!D:H,IF(B47=4,Inventario4!D:H,IF(B47=5,Inventario5!D:H,Inventario6!D:H))))),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IF(ROW(A47)=2,"",IF(_xlfn._xlws.FILTER(Equipar!AC$2:AC46,Equipar!B$2:B46=B47)={0},"",_xlfn._xlws.FILTER(Equipar!AC$2:AC46,Equipar!B$2:B46=B47))),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143</v>
      </c>
      <c r="E47" s="4" t="str" cm="1">
        <f t="array" ref="E47">_xlfn.LET(
    _xlpm.jugador, A47,
    _xlpm.idSel, AC47,
    _xlpm.invIDs, IF(B47=1,Inventario1!A:A,IF(B47=2,Inventario2!A:A,IF(B47=3,Inventario3!A:A,IF(B47=4,Inventario4!A:A,IF(B47=5,Inventario5!A:A,Inventario6!A:A))))),
    _xlpm.invCalidad, IF(B47=1,Inventario1!B:B,IF(B47=2,Inventario2!B:B,IF(B47=3,Inventario3!B:B,IF(B47=4,Inventario4!B:B,IF(B47=5,Inventario5!B:B,Inventario6!B:B))))),
    _xlpm.invTipos, IF(B47=1,Inventario1!C:C,IF(B47=2,Inventario2!C:C,IF(B47=3,Inventario3!C:C,IF(B47=4,Inventario4!C:C,IF(B47=5,Inventario5!C:C,Inventario6!C:C))))),
    _xlpm.invStats, IF(B47=1,Inventario1!D:H,IF(B47=2,Inventario2!D:H,IF(B47=3,Inventario3!D:H,IF(B47=4,Inventario4!D:H,IF(B47=5,Inventario5!D:H,Inventario6!D:H))))),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IF(ROW(A47)=2,"",IF(_xlfn._xlws.FILTER(Equipar!AC$2:AC46,Equipar!B$2:B46=B47)={0},"",_xlfn._xlws.FILTER(Equipar!AC$2:AC46,Equipar!B$2:B46=B47))),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47" s="4" t="str" cm="1">
        <f t="array" aca="1" ref="F47" ca="1">_xlfn.LET(
    _xlpm.jugador, B47,
    _xlpm.idSel, AD47,
    _xlpm.invIDs, IF(C47=1,Inventario1!B:B,IF(C47=2,Inventario2!B:B,IF(C47=3,Inventario3!B:B,IF(C47=4,Inventario4!B:B,IF(C47=5,Inventario5!B:B,Inventario6!B:B))))),
    _xlpm.invCalidad, IF(C47=1,Inventario1!C:C,IF(C47=2,Inventario2!C:C,IF(C47=3,Inventario3!C:C,IF(C47=4,Inventario4!C:C,IF(C47=5,Inventario5!C:C,Inventario6!C:C))))),
    _xlpm.invTipos, IF(C47=1,Inventario1!D:D,IF(C47=2,Inventario2!D:D,IF(C47=3,Inventario3!D:D,IF(C47=4,Inventario4!D:D,IF(C47=5,Inventario5!D:D,Inventario6!D:D))))),
    _xlpm.invStats, IF(C47=1,Inventario1!E:I,IF(C47=2,Inventario2!E:I,IF(C47=3,Inventario3!E:I,IF(C47=4,Inventario4!E:I,IF(C47=5,Inventario5!E:I,Inventario6!E:I))))),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IF(ROW(B47)=2,"",IF(_xlfn._xlws.FILTER(Equipar!AD$2:AD46,Equipar!C$2:C46=C47)={0},"",_xlfn._xlws.FILTER(Equipar!AD$2:AD46,Equipar!C$2:C46=C47))),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47" s="14" cm="1">
        <f t="array" aca="1" ref="G47" ca="1">_xlfn.LET(
    _xlpm.jugador, A47,
    _xlpm.idSel, AC47,
    _xlpm.invIDs, IF(B47=1,Inventario1!A:A,IF(B47=2,Inventario2!A:A,IF(B47=3,Inventario3!A:A,IF(B47=4,Inventario4!A:A,IF(B47=5,Inventario5!A:A,Inventario6!A:A))))),
    _xlpm.invCalidad, IF(B47=1,Inventario1!B:B,IF(B47=2,Inventario2!B:B,IF(B47=3,Inventario3!B:B,IF(B47=4,Inventario4!B:B,IF(B47=5,Inventario5!B:B,Inventario6!B:B))))),
    _xlpm.invTipos, IF(B47=1,Inventario1!C:C,IF(B47=2,Inventario2!C:C,IF(B47=3,Inventario3!C:C,IF(B47=4,Inventario4!C:C,IF(B47=5,Inventario5!C:C,Inventario6!C:C))))),
    _xlpm.invStats, IF(B47=1,Inventario1!D:H,IF(B47=2,Inventario2!D:H,IF(B47=3,Inventario3!D:H,IF(B47=4,Inventario4!D:H,IF(B47=5,Inventario5!D:H,Inventario6!D:H))))),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IF(ROW(A47)=2,"",IF(_xlfn._xlws.FILTER(Equipar!AC$2:AC46,Equipar!B$2:B46=B47)={0},"",_xlfn._xlws.FILTER(Equipar!AC$2:AC46,Equipar!B$2:B46=B47))),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H47" s="4" cm="1">
        <f t="array" ref="H47">_xlfn.LET(
    _xlpm.jugador, A47,
    _xlpm.idSel, AC47,
    _xlpm.invIDs, IF(B47=1,Inventario1!A:A,IF(B47=2,Inventario2!A:A,IF(B47=3,Inventario3!A:A,IF(B47=4,Inventario4!A:A,IF(B47=5,Inventario5!A:A,Inventario6!A:A))))),
    _xlpm.invCalidad, IF(B47=1,Inventario1!B:B,IF(B47=2,Inventario2!B:B,IF(B47=3,Inventario3!B:B,IF(B47=4,Inventario4!B:B,IF(B47=5,Inventario5!B:B,Inventario6!B:B))))),
    _xlpm.invTipos, IF(B47=1,Inventario1!C:C,IF(B47=2,Inventario2!C:C,IF(B47=3,Inventario3!C:C,IF(B47=4,Inventario4!C:C,IF(B47=5,Inventario5!C:C,Inventario6!C:C))))),
    _xlpm.invStats, IF(B47=1,Inventario1!D:H,IF(B47=2,Inventario2!D:H,IF(B47=3,Inventario3!D:H,IF(B47=4,Inventario4!D:H,IF(B47=5,Inventario5!D:H,Inventario6!D:H))))),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IF(ROW(A47)=2,"",IF(_xlfn._xlws.FILTER(Equipar!AC$2:AC46,Equipar!B$2:B46=B47)={0},"",_xlfn._xlws.FILTER(Equipar!AC$2:AC46,Equipar!B$2:B46=B47))),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I47" s="4" cm="1">
        <f t="array" ref="I47">_xlfn.LET(
    _xlpm.jugador, A47,
    _xlpm.idSel, AC47,
    _xlpm.invIDs, IF(B47=1,Inventario1!A:A,IF(B47=2,Inventario2!A:A,IF(B47=3,Inventario3!A:A,IF(B47=4,Inventario4!A:A,IF(B47=5,Inventario5!A:A,Inventario6!A:A))))),
    _xlpm.invCalidad, IF(B47=1,Inventario1!B:B,IF(B47=2,Inventario2!B:B,IF(B47=3,Inventario3!B:B,IF(B47=4,Inventario4!B:B,IF(B47=5,Inventario5!B:B,Inventario6!B:B))))),
    _xlpm.invTipos, IF(B47=1,Inventario1!C:C,IF(B47=2,Inventario2!C:C,IF(B47=3,Inventario3!C:C,IF(B47=4,Inventario4!C:C,IF(B47=5,Inventario5!C:C,Inventario6!C:C))))),
    _xlpm.invStats, IF(B47=1,Inventario1!D:H,IF(B47=2,Inventario2!D:H,IF(B47=3,Inventario3!D:H,IF(B47=4,Inventario4!D:H,IF(B47=5,Inventario5!D:H,Inventario6!D:H))))),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IF(ROW(A47)=2,"",IF(_xlfn._xlws.FILTER(Equipar!AC$2:AC46,Equipar!B$2:B46=B47)={0},"",_xlfn._xlws.FILTER(Equipar!AC$2:AC46,Equipar!B$2:B46=B47))),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47" s="4" cm="1">
        <f t="array" aca="1" ref="J47" ca="1">_xlfn.LET(
    _xlpm.jugador, B47,
    _xlpm.idSel, AD47,
    _xlpm.invIDs, IF(C47=1,Inventario1!B:B,IF(C47=2,Inventario2!B:B,IF(C47=3,Inventario3!B:B,IF(C47=4,Inventario4!B:B,IF(C47=5,Inventario5!B:B,Inventario6!B:B))))),
    _xlpm.invCalidad, IF(C47=1,Inventario1!C:C,IF(C47=2,Inventario2!C:C,IF(C47=3,Inventario3!C:C,IF(C47=4,Inventario4!C:C,IF(C47=5,Inventario5!C:C,Inventario6!C:C))))),
    _xlpm.invTipos, IF(C47=1,Inventario1!D:D,IF(C47=2,Inventario2!D:D,IF(C47=3,Inventario3!D:D,IF(C47=4,Inventario4!D:D,IF(C47=5,Inventario5!D:D,Inventario6!D:D))))),
    _xlpm.invStats, IF(C47=1,Inventario1!E:I,IF(C47=2,Inventario2!E:I,IF(C47=3,Inventario3!E:I,IF(C47=4,Inventario4!E:I,IF(C47=5,Inventario5!E:I,Inventario6!E:I))))),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IF(ROW(B47)=2,"",IF(_xlfn._xlws.FILTER(Equipar!AD$2:AD46,Equipar!C$2:C46=C47)={0},"",_xlfn._xlws.FILTER(Equipar!AD$2:AD46,Equipar!C$2:C46=C47))),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47" s="4">
        <f t="shared" ca="1" si="0"/>
        <v>-8.8200000000000074</v>
      </c>
      <c r="L47" s="4">
        <f t="shared" ca="1" si="1"/>
        <v>63</v>
      </c>
      <c r="M47" s="4">
        <f t="shared" ca="1" si="1"/>
        <v>71.820000000000007</v>
      </c>
      <c r="N47" s="4">
        <f t="shared" si="2"/>
        <v>71.820000000000007</v>
      </c>
      <c r="O47" s="4">
        <f t="shared" ca="1" si="2"/>
        <v>0</v>
      </c>
      <c r="P47" s="14" cm="1">
        <f t="array" aca="1" ref="P47" ca="1">_xlfn.LET(
    _xlpm.ptsPrinBase, _xlfn._xlws.FILTER(G:G, A:A=A47),
    _xlpm.ptsSecBase,  _xlfn._xlws.FILTER(H:H, A:A=A47),
    _xlpm.puntosPrin, _xlpm.ptsPrinBase + _xlfn._xlws.FILTER(B:B, A:A=A47)/1000,
    _xlpm.puntosSec,  _xlpm.ptsSecBase  + _xlfn._xlws.FILTER(B:B, A:A=A47)/1000,
    _xlpm.puntosPrinValidos, SUM(--(_xlpm.ptsPrinBase&gt;0)),
    _xlpm.puntosSecValidos,  SUM(--(_xlpm.ptsSecBase&gt;0)),
    _xlpm.clave, K47 + B47/1000,
    _xlpm.claves, _xlfn._xlws.FILTER(K:K + B:B/1000, A:A=A47),
    IF(AND(_xlpm.puntosPrinValidos&gt;=4,_xlpm.puntosSecValidos&gt;=2),IF(
        SUM(--(_xlpm.claves &gt; _xlpm.clave)) &lt; 4,
        C47,
        D47
    ),"No disp")
)</f>
        <v>146</v>
      </c>
      <c r="Q47" s="14" t="str" cm="1">
        <f t="array" aca="1" ref="Q47" ca="1">_xlfn.LET(
    _xlpm.puntosPrin, _xlfn._xlws.FILTER(G:G + B:B/1000, A:A=A47),
    _xlpm.puntosPrinValidos, SUM(--(_xlpm.puntosPrin&gt;1)),
    _xlpm.puntosTer, _xlfn._xlws.FILTER(I:I + B:B/1000, A:A=A47),
    _xlpm.puntosTerValidos, SUM(--(_xlpm.puntosTer&gt;1)),
    _xlpm.clave, L47 + B47/1000,
    _xlpm.claves, _xlfn._xlws.FILTER(L:L + B:B/1000, A:A=A47),
    IF(AND(_xlpm.puntosPrinValidos&gt;=4,_xlpm.puntosTerValidos&gt;=2),IF(
        SUM(--(_xlpm.claves &gt; _xlpm.clave)) &lt; 4,
        C47,
        E47
    ),"No disp")
)</f>
        <v>No disp</v>
      </c>
      <c r="R47" s="14" t="str" cm="1">
        <f t="array" aca="1" ref="R47" ca="1">_xlfn.LET(
    _xlpm.puntosPrin, _xlfn._xlws.FILTER(G:G + B:B/1000, A:A=A47),
    _xlpm.puntosPrinValidos, SUM(--(_xlpm.puntosPrin&gt;1)),
    _xlpm.puntosTer, _xlfn._xlws.FILTER(J:J + B:B/1000, A:A=A47),
    _xlpm.puntosTerValidos, SUM(--(_xlpm.puntosTer&gt;1)),
    _xlpm.clave, M47 + B47/1000,
    _xlpm.claves, _xlfn._xlws.FILTER(M:M + B:B/1000, A:A=A47),
    IF(AND(_xlpm.puntosPrinValidos&gt;=4,_xlpm.puntosTerValidos&gt;=2),IF(
        SUM(--(_xlpm.claves &gt; _xlpm.clave)) &lt; 4,
        C47,
        F47
    ),"No disp")
)</f>
        <v>No disp</v>
      </c>
      <c r="S47" s="14" cm="1">
        <f t="array" aca="1" ref="S47" ca="1">_xlfn.LET(
    _xlpm.ptsPrinBase, _xlfn._xlws.FILTER(G:G, A:A=A47),
    _xlpm.ptsSecBase,  _xlfn._xlws.FILTER(H:H, A:A=A47),
    _xlpm.puntosPrin, _xlpm.ptsPrinBase + _xlfn._xlws.FILTER(B:B, A:A=A47)/1000,
    _xlpm.puntosSec,  _xlpm.ptsSecBase  + _xlfn._xlws.FILTER(B:B, A:A=A47)/1000,
    _xlpm.puntosPrinValidos, SUM(--(_xlpm.ptsPrinBase&gt;0)),
    _xlpm.puntosSecValidos,  SUM(--(_xlpm.ptsSecBase&gt;0)),
    _xlpm.clave, K47 + B47/1000,
    _xlpm.claves, _xlfn._xlws.FILTER(K:K + B:B/1000, A:A=A47),
    IF(
        AND(_xlpm.puntosPrinValidos&gt;=2, _xlpm.puntosSecValidos&gt;=4),
        IF(
            SUM(--(_xlpm.claves &lt; _xlpm.clave)) &lt; 4,
            D47,
            C47
        ),
        "No disp"
    )
)</f>
        <v>143</v>
      </c>
      <c r="T47" s="14" t="str" cm="1">
        <f t="array" ref="T47">_xlfn.LET(
    _xlpm.puntosSec, _xlfn._xlws.FILTER(H:H + B:B/1000, A:A=A47),
    _xlpm.puntosSecValidos, SUM(--(_xlpm.puntosSec&gt;1)),
    _xlpm.puntosAlt, _xlfn._xlws.FILTER(I:I + B:B/1000, A:A=A47),
    _xlpm.puntosAltValidos, SUM(--(_xlpm.puntosAlt&gt;1)),
    _xlpm.clave, N47 + B47/1000,
    _xlpm.claves, _xlfn._xlws.FILTER(N:N + B:B/1000, A:A=A47),
    IF(AND(_xlpm.puntosSecValidos&gt;=4,_xlpm.puntosAltValidos&gt;=2),IF(
        SUM(--(_xlpm.claves &gt; _xlpm.clave)) &lt; 4,
        D47,
        E47
    ),"No disp")
)</f>
        <v>No disp</v>
      </c>
      <c r="U47" s="14" t="str" cm="1">
        <f t="array" aca="1" ref="U47" ca="1">_xlfn.LET(
    _xlpm.puntosSec, _xlfn._xlws.FILTER(H:H + B:B/1000, A:A=A47),
    _xlpm.puntosSecValidos, SUM(--(_xlpm.puntosSec&gt;1)),
    _xlpm.puntosAlt, _xlfn._xlws.FILTER(J:J + B:B/1000, A:A=A47),
    _xlpm.puntosAltValidos, SUM(--(_xlpm.puntosAlt&gt;1)),
    _xlpm.clave, O47 + B47/1000,
    _xlpm.claves, _xlfn._xlws.FILTER(O:O + B:B/1000, A:A=A47),
    IF(AND(_xlpm.puntosSecValidos&gt;=4,_xlpm.puntosAltValidos&gt;=2),IF(
        SUM(--(_xlpm.claves &gt; _xlpm.clave)) &lt; 4,
        D47,
        F47
    ),"No disp")
)</f>
        <v>No disp</v>
      </c>
      <c r="V47" s="4" cm="1">
        <f t="array" aca="1" ref="V47" ca="1">_xlfn.LET(
_xlpm.PrinIDs,_xlfn._xlws.FILTER(C:C,(A:A=A47)),
_xlpm.SecIDs,_xlfn._xlws.FILTER(D:D,(A:A=A47)),
_xlpm.TerIDs,_xlfn._xlws.FILTER(E:E,A:A=A47),
_xlpm.CuaIDs,_xlfn._xlws.FILTER(F:F,(A:A=A47)),
_xlpm.PrinPts,_xlfn._xlws.FILTER(G:G,(A:A=A47)),
_xlpm.SecPts,_xlfn._xlws.FILTER(H:H,(A:A=A47)),
_xlpm.TerPts,_xlfn._xlws.FILTER(I:I,(A:A=A47)),
_xlpm.CuaPts,_xlfn._xlws.FILTER(J:J,(A:A=A47)),
_xlpm.PSIds,_xlfn._xlws.FILTER(P:P,A:A=A47),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440.37</v>
      </c>
      <c r="W47" s="4" cm="1">
        <f t="array" aca="1" ref="W47" ca="1">_xlfn.LET(
_xlpm.PrinIDs,_xlfn._xlws.FILTER(C:C,(A:A=A47)),
_xlpm.SecIDs,_xlfn._xlws.FILTER(D:D,(A:A=A47)),
_xlpm.TerIDs,_xlfn._xlws.FILTER(E:E,A:A=A47),
_xlpm.CuaIDs,_xlfn._xlws.FILTER(F:F,(A:A=A47)),
_xlpm.PrinPts,_xlfn._xlws.FILTER(G:G,(A:A=A47)),
_xlpm.SecPts,_xlfn._xlws.FILTER(H:H,(A:A=A47)),
_xlpm.TerPts,_xlfn._xlws.FILTER(I:I,(A:A=A47)),
_xlpm.CuaPts,_xlfn._xlws.FILTER(J:J,(A:A=A47)),
_xlpm.PTIds,_xlfn._xlws.FILTER(Q:Q,A:A=A47),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47" s="4" cm="1">
        <f t="array" aca="1" ref="X47" ca="1">_xlfn.LET(
_xlpm.PrinIDs,_xlfn._xlws.FILTER(C:C,(A:A=A47)),
_xlpm.SecIDs,_xlfn._xlws.FILTER(D:D,(A:A=A47)),
_xlpm.TerIDs,_xlfn._xlws.FILTER(E:E,A:A=A47),
_xlpm.CuaIDs,_xlfn._xlws.FILTER(F:F,(A:A=A47)),
_xlpm.PrinPts,_xlfn._xlws.FILTER(G:G,(A:A=A47)),
_xlpm.SecPts,_xlfn._xlws.FILTER(H:H,(A:A=A47)),
_xlpm.TerPts,_xlfn._xlws.FILTER(I:I,(A:A=A47)),
_xlpm.CuaPts,_xlfn._xlws.FILTER(J:J,(A:A=A47)),
_xlpm.PCIds,_xlfn._xlws.FILTER(R:R,A:A=A47),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47" s="4" cm="1">
        <f t="array" aca="1" ref="Y47" ca="1">_xlfn.LET(
_xlpm.PrinIDs,_xlfn._xlws.FILTER(C:C,(A:A=A47)),
_xlpm.SecIDs,_xlfn._xlws.FILTER(D:D,(A:A=A47)),
_xlpm.AltIDs,_xlfn._xlws.FILTER(E:E,A:A=A47),
_xlpm.PrinPts,_xlfn._xlws.FILTER(G:G,(A:A=A47)),
_xlpm.SecPts,_xlfn._xlws.FILTER(H:H,(A:A=A47)),
_xlpm.AltPts,_xlfn._xlws.FILTER(I:I,(A:A=A47)),
_xlpm.SPIds,_xlfn._xlws.FILTER(S:S,A:A=A47),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451.98</v>
      </c>
      <c r="Z47" s="4" cm="1">
        <f t="array" aca="1" ref="Z47" ca="1">_xlfn.LET(
_xlpm.PrinIDs,_xlfn._xlws.FILTER(C:C,(A:A=A47)),
_xlpm.SecIDs,_xlfn._xlws.FILTER(D:D,(A:A=A47)),
_xlpm.TerIDs,_xlfn._xlws.FILTER(E:E,A:A=A47),
_xlpm.CuaIDs,_xlfn._xlws.FILTER(F:F,(A:A=A47)),
_xlpm.PrinPts,_xlfn._xlws.FILTER(G:G,(A:A=A47)),
_xlpm.SecPts,_xlfn._xlws.FILTER(H:H,(A:A=A47)),
_xlpm.TerPts,_xlfn._xlws.FILTER(I:I,(A:A=A47)),
_xlpm.CuaPts,_xlfn._xlws.FILTER(J:J,(A:A=A47)),
_xlpm.STIds,_xlfn._xlws.FILTER(T:T,A:A=A47),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47" s="4" cm="1">
        <f t="array" aca="1" ref="AA47" ca="1">_xlfn.LET(
_xlpm.PrinIDs,_xlfn._xlws.FILTER(C:C,(A:A=A47)),
_xlpm.SecIDs,_xlfn._xlws.FILTER(D:D,(A:A=A47)),
_xlpm.TerIDs,_xlfn._xlws.FILTER(E:E,A:A=A47),
_xlpm.CuaIDs,_xlfn._xlws.FILTER(F:F,(A:A=A47)),
_xlpm.PrinPts,_xlfn._xlws.FILTER(G:G,(A:A=A47)),
_xlpm.SecPts,_xlfn._xlws.FILTER(H:H,(A:A=A47)),
_xlpm.TerPts,_xlfn._xlws.FILTER(I:I,(A:A=A47)),
_xlpm.CuaPts,_xlfn._xlws.FILTER(J:J,(A:A=A47)),
_xlpm.SCIds,_xlfn._xlws.FILTER(U:U,A:A=A47),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47" s="14">
        <f t="shared" ca="1" si="3"/>
        <v>143</v>
      </c>
      <c r="AC47" s="14">
        <v>143</v>
      </c>
      <c r="AD47" s="4"/>
      <c r="AE47" s="14" t="str">
        <f ca="1">IF(ISNUMBER(AC47),
IF($B47=1,VLOOKUP($AC47,Inventario1!$A:$H,2),
IF($B47=2,VLOOKUP($AC47,Inventario2!$A:$H,2),
IF($B47=3,VLOOKUP($AC47,Inventario3!$A:$H,2),
IF($B47=4,VLOOKUP($AC47,Inventario4!$A:$H,2),
IF($B47=5,VLOOKUP($AC47,Inventario5!$A:$H,2),
VLOOKUP($AC47,Inventario6!$A:$H,2)
))))),"No equipado")</f>
        <v>Legendario</v>
      </c>
      <c r="AF47" s="14" t="str">
        <f ca="1">IF(ISNUMBER(AC47),
IF($B47=1,VLOOKUP($AC47,Inventario1!$A:$H,3),
IF($B47=2,VLOOKUP($AC47,Inventario2!$A:$H,3),
IF($B47=3,VLOOKUP($AC47,Inventario3!$A:$H,3),
IF($B47=4,VLOOKUP($AC47,Inventario4!$A:$H,3),
IF($B47=5,VLOOKUP($AC47,Inventario5!$A:$H,3),
VLOOKUP($AC47,Inventario6!$A:$H,3)
))))),"")</f>
        <v>Recepción suprema</v>
      </c>
      <c r="AG47" s="14" t="str">
        <f ca="1">IF(ISNUMBER(AC47),
IF($B47=1,VLOOKUP($AC47,Inventario1!$A:$H,4),
IF($B47=2,VLOOKUP($AC47,Inventario2!$A:$H,4),
IF($B47=3,VLOOKUP($AC47,Inventario3!$A:$H,4),
IF($B47=4,VLOOKUP($AC47,Inventario4!$A:$H,4),
IF($B47=5,VLOOKUP($AC47,Inventario5!$A:$H,4),
VLOOKUP($AC47,Inventario6!$A:$H,4)
))))),"")</f>
        <v>Espíritu</v>
      </c>
      <c r="AH47" s="14" t="str">
        <f ca="1">IF(ISNUMBER(AC47),
IF($B47=1,VLOOKUP($AC47,Inventario1!$A:$H,5),
IF($B47=2,VLOOKUP($AC47,Inventario2!$A:$H,5),
IF($B47=3,VLOOKUP($AC47,Inventario3!$A:$H,5),
IF($B47=4,VLOOKUP($AC47,Inventario4!$A:$H,5),
IF($B47=5,VLOOKUP($AC47,Inventario5!$A:$H,5),
VLOOKUP($AC47,Inventario6!$A:$H,5)
))))),"")</f>
        <v>Saque</v>
      </c>
      <c r="AI47" s="14" t="str">
        <f ca="1">IF(ISNUMBER(AC47),
IF($B47=1,VLOOKUP($AC47,Inventario1!$A:$H,6),
IF($B47=2,VLOOKUP($AC47,Inventario2!$A:$H,6),
IF($B47=3,VLOOKUP($AC47,Inventario3!$A:$H,6),
IF($B47=4,VLOOKUP($AC47,Inventario4!$A:$H,6),
IF($B47=5,VLOOKUP($AC47,Inventario5!$A:$H,6),
VLOOKUP($AC47,Inventario6!$A:$H,6)
))))),"")</f>
        <v>Ataque rápido</v>
      </c>
      <c r="AJ47" s="14" t="str">
        <f ca="1">IF(ISNUMBER(AC47),
IF($B47=1,VLOOKUP($AC47,Inventario1!$A:$H,7),
IF($B47=2,VLOOKUP($AC47,Inventario2!$A:$H,7),
IF($B47=3,VLOOKUP($AC47,Inventario3!$A:$H,7),
IF($B47=4,VLOOKUP($AC47,Inventario4!$A:$H,7),
IF($B47=5,VLOOKUP($AC47,Inventario5!$A:$H,7),
VLOOKUP($AC47,Inventario6!$A:$H,7)
))))),"")</f>
        <v>Recepción</v>
      </c>
      <c r="AK47" s="15" t="str">
        <f ca="1">IF(ISNUMBER(AC47),
IF($B47=1,VLOOKUP($AC47,Inventario1!$A:$H,8),
IF($B47=2,VLOOKUP($AC47,Inventario2!$A:$H,8),
IF($B47=3,VLOOKUP($AC47,Inventario3!$A:$H,8),
IF($B47=4,VLOOKUP($AC47,Inventario4!$A:$H,8),
IF($B47=5,VLOOKUP($AC47,Inventario5!$A:$H,8),
VLOOKUP($AC47,Inventario6!$A:$H,8)
))))),"")</f>
        <v>Técnica ofensiva</v>
      </c>
    </row>
    <row r="48" spans="1:37" x14ac:dyDescent="0.25">
      <c r="A48" s="21" t="s">
        <v>27</v>
      </c>
      <c r="B48" s="4">
        <v>5</v>
      </c>
      <c r="C48" s="14" cm="1">
        <f t="array" aca="1" ref="C48" ca="1">_xlfn.LET(
    _xlpm.jugador, A48,
    _xlpm.idSel, AC48,
    _xlpm.invIDs, IF(B48=1,Inventario1!A:A,IF(B48=2,Inventario2!A:A,IF(B48=3,Inventario3!A:A,IF(B48=4,Inventario4!A:A,IF(B48=5,Inventario5!A:A,Inventario6!A:A))))),
    _xlpm.invCalidad, IF(B48=1,Inventario1!B:B,IF(B48=2,Inventario2!B:B,IF(B48=3,Inventario3!B:B,IF(B48=4,Inventario4!B:B,IF(B48=5,Inventario5!B:B,Inventario6!B:B))))),
    _xlpm.invTipos, IF(B48=1,Inventario1!C:C,IF(B48=2,Inventario2!C:C,IF(B48=3,Inventario3!C:C,IF(B48=4,Inventario4!C:C,IF(B48=5,Inventario5!C:C,Inventario6!C:C))))),
    _xlpm.invStats, IF(B48=1,Inventario1!D:H,IF(B48=2,Inventario2!D:H,IF(B48=3,Inventario3!D:H,IF(B48=4,Inventario4!D:H,IF(B48=5,Inventario5!D:H,Inventario6!D:H))))),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IF(ROW(A48)=2,"",IF(_xlfn._xlws.FILTER(Equipar!AC$2:AC47,Equipar!B$2:B47=B48)={0},"",_xlfn._xlws.FILTER(Equipar!AC$2:AC47,Equipar!B$2:B47=B48))),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144</v>
      </c>
      <c r="D48" s="4" cm="1">
        <f t="array" ref="D48">_xlfn.LET(
    _xlpm.jugador, A48,
    _xlpm.idSel, AC48,
    _xlpm.invIDs, IF(B48=1,Inventario1!A:A,IF(B48=2,Inventario2!A:A,IF(B48=3,Inventario3!A:A,IF(B48=4,Inventario4!A:A,IF(B48=5,Inventario5!A:A,Inventario6!A:A))))),
    _xlpm.invCalidad, IF(B48=1,Inventario1!B:B,IF(B48=2,Inventario2!B:B,IF(B48=3,Inventario3!B:B,IF(B48=4,Inventario4!B:B,IF(B48=5,Inventario5!B:B,Inventario6!B:B))))),
    _xlpm.invTipos, IF(B48=1,Inventario1!C:C,IF(B48=2,Inventario2!C:C,IF(B48=3,Inventario3!C:C,IF(B48=4,Inventario4!C:C,IF(B48=5,Inventario5!C:C,Inventario6!C:C))))),
    _xlpm.invStats, IF(B48=1,Inventario1!D:H,IF(B48=2,Inventario2!D:H,IF(B48=3,Inventario3!D:H,IF(B48=4,Inventario4!D:H,IF(B48=5,Inventario5!D:H,Inventario6!D:H))))),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IF(ROW(A48)=2,"",IF(_xlfn._xlws.FILTER(Equipar!AC$2:AC47,Equipar!B$2:B47=B48)={0},"",_xlfn._xlws.FILTER(Equipar!AC$2:AC47,Equipar!B$2:B47=B48))),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132</v>
      </c>
      <c r="E48" s="4" t="str" cm="1">
        <f t="array" ref="E48">_xlfn.LET(
    _xlpm.jugador, A48,
    _xlpm.idSel, AC48,
    _xlpm.invIDs, IF(B48=1,Inventario1!A:A,IF(B48=2,Inventario2!A:A,IF(B48=3,Inventario3!A:A,IF(B48=4,Inventario4!A:A,IF(B48=5,Inventario5!A:A,Inventario6!A:A))))),
    _xlpm.invCalidad, IF(B48=1,Inventario1!B:B,IF(B48=2,Inventario2!B:B,IF(B48=3,Inventario3!B:B,IF(B48=4,Inventario4!B:B,IF(B48=5,Inventario5!B:B,Inventario6!B:B))))),
    _xlpm.invTipos, IF(B48=1,Inventario1!C:C,IF(B48=2,Inventario2!C:C,IF(B48=3,Inventario3!C:C,IF(B48=4,Inventario4!C:C,IF(B48=5,Inventario5!C:C,Inventario6!C:C))))),
    _xlpm.invStats, IF(B48=1,Inventario1!D:H,IF(B48=2,Inventario2!D:H,IF(B48=3,Inventario3!D:H,IF(B48=4,Inventario4!D:H,IF(B48=5,Inventario5!D:H,Inventario6!D:H))))),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IF(ROW(A48)=2,"",IF(_xlfn._xlws.FILTER(Equipar!AC$2:AC47,Equipar!B$2:B47=B48)={0},"",_xlfn._xlws.FILTER(Equipar!AC$2:AC47,Equipar!B$2:B47=B48))),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48" s="4" t="str" cm="1">
        <f t="array" aca="1" ref="F48" ca="1">_xlfn.LET(
    _xlpm.jugador, B48,
    _xlpm.idSel, AD48,
    _xlpm.invIDs, IF(C48=1,Inventario1!B:B,IF(C48=2,Inventario2!B:B,IF(C48=3,Inventario3!B:B,IF(C48=4,Inventario4!B:B,IF(C48=5,Inventario5!B:B,Inventario6!B:B))))),
    _xlpm.invCalidad, IF(C48=1,Inventario1!C:C,IF(C48=2,Inventario2!C:C,IF(C48=3,Inventario3!C:C,IF(C48=4,Inventario4!C:C,IF(C48=5,Inventario5!C:C,Inventario6!C:C))))),
    _xlpm.invTipos, IF(C48=1,Inventario1!D:D,IF(C48=2,Inventario2!D:D,IF(C48=3,Inventario3!D:D,IF(C48=4,Inventario4!D:D,IF(C48=5,Inventario5!D:D,Inventario6!D:D))))),
    _xlpm.invStats, IF(C48=1,Inventario1!E:I,IF(C48=2,Inventario2!E:I,IF(C48=3,Inventario3!E:I,IF(C48=4,Inventario4!E:I,IF(C48=5,Inventario5!E:I,Inventario6!E:I))))),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IF(ROW(B48)=2,"",IF(_xlfn._xlws.FILTER(Equipar!AD$2:AD47,Equipar!C$2:C47=C48)={0},"",_xlfn._xlws.FILTER(Equipar!AD$2:AD47,Equipar!C$2:C47=C48))),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48" s="14" cm="1">
        <f t="array" aca="1" ref="G48" ca="1">_xlfn.LET(
    _xlpm.jugador, A48,
    _xlpm.idSel, AC48,
    _xlpm.invIDs, IF(B48=1,Inventario1!A:A,IF(B48=2,Inventario2!A:A,IF(B48=3,Inventario3!A:A,IF(B48=4,Inventario4!A:A,IF(B48=5,Inventario5!A:A,Inventario6!A:A))))),
    _xlpm.invCalidad, IF(B48=1,Inventario1!B:B,IF(B48=2,Inventario2!B:B,IF(B48=3,Inventario3!B:B,IF(B48=4,Inventario4!B:B,IF(B48=5,Inventario5!B:B,Inventario6!B:B))))),
    _xlpm.invTipos, IF(B48=1,Inventario1!C:C,IF(B48=2,Inventario2!C:C,IF(B48=3,Inventario3!C:C,IF(B48=4,Inventario4!C:C,IF(B48=5,Inventario5!C:C,Inventario6!C:C))))),
    _xlpm.invStats, IF(B48=1,Inventario1!D:H,IF(B48=2,Inventario2!D:H,IF(B48=3,Inventario3!D:H,IF(B48=4,Inventario4!D:H,IF(B48=5,Inventario5!D:H,Inventario6!D:H))))),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IF(ROW(A48)=2,"",IF(_xlfn._xlws.FILTER(Equipar!AC$2:AC47,Equipar!B$2:B47=B48)={0},"",_xlfn._xlws.FILTER(Equipar!AC$2:AC47,Equipar!B$2:B47=B48))),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H48" s="4" cm="1">
        <f t="array" ref="H48">_xlfn.LET(
    _xlpm.jugador, A48,
    _xlpm.idSel, AC48,
    _xlpm.invIDs, IF(B48=1,Inventario1!A:A,IF(B48=2,Inventario2!A:A,IF(B48=3,Inventario3!A:A,IF(B48=4,Inventario4!A:A,IF(B48=5,Inventario5!A:A,Inventario6!A:A))))),
    _xlpm.invCalidad, IF(B48=1,Inventario1!B:B,IF(B48=2,Inventario2!B:B,IF(B48=3,Inventario3!B:B,IF(B48=4,Inventario4!B:B,IF(B48=5,Inventario5!B:B,Inventario6!B:B))))),
    _xlpm.invTipos, IF(B48=1,Inventario1!C:C,IF(B48=2,Inventario2!C:C,IF(B48=3,Inventario3!C:C,IF(B48=4,Inventario4!C:C,IF(B48=5,Inventario5!C:C,Inventario6!C:C))))),
    _xlpm.invStats, IF(B48=1,Inventario1!D:H,IF(B48=2,Inventario2!D:H,IF(B48=3,Inventario3!D:H,IF(B48=4,Inventario4!D:H,IF(B48=5,Inventario5!D:H,Inventario6!D:H))))),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IF(ROW(A48)=2,"",IF(_xlfn._xlws.FILTER(Equipar!AC$2:AC47,Equipar!B$2:B47=B48)={0},"",_xlfn._xlws.FILTER(Equipar!AC$2:AC47,Equipar!B$2:B47=B48))),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I48" s="4" cm="1">
        <f t="array" ref="I48">_xlfn.LET(
    _xlpm.jugador, A48,
    _xlpm.idSel, AC48,
    _xlpm.invIDs, IF(B48=1,Inventario1!A:A,IF(B48=2,Inventario2!A:A,IF(B48=3,Inventario3!A:A,IF(B48=4,Inventario4!A:A,IF(B48=5,Inventario5!A:A,Inventario6!A:A))))),
    _xlpm.invCalidad, IF(B48=1,Inventario1!B:B,IF(B48=2,Inventario2!B:B,IF(B48=3,Inventario3!B:B,IF(B48=4,Inventario4!B:B,IF(B48=5,Inventario5!B:B,Inventario6!B:B))))),
    _xlpm.invTipos, IF(B48=1,Inventario1!C:C,IF(B48=2,Inventario2!C:C,IF(B48=3,Inventario3!C:C,IF(B48=4,Inventario4!C:C,IF(B48=5,Inventario5!C:C,Inventario6!C:C))))),
    _xlpm.invStats, IF(B48=1,Inventario1!D:H,IF(B48=2,Inventario2!D:H,IF(B48=3,Inventario3!D:H,IF(B48=4,Inventario4!D:H,IF(B48=5,Inventario5!D:H,Inventario6!D:H))))),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IF(ROW(A48)=2,"",IF(_xlfn._xlws.FILTER(Equipar!AC$2:AC47,Equipar!B$2:B47=B48)={0},"",_xlfn._xlws.FILTER(Equipar!AC$2:AC47,Equipar!B$2:B47=B48))),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48" s="4" cm="1">
        <f t="array" aca="1" ref="J48" ca="1">_xlfn.LET(
    _xlpm.jugador, B48,
    _xlpm.idSel, AD48,
    _xlpm.invIDs, IF(C48=1,Inventario1!B:B,IF(C48=2,Inventario2!B:B,IF(C48=3,Inventario3!B:B,IF(C48=4,Inventario4!B:B,IF(C48=5,Inventario5!B:B,Inventario6!B:B))))),
    _xlpm.invCalidad, IF(C48=1,Inventario1!C:C,IF(C48=2,Inventario2!C:C,IF(C48=3,Inventario3!C:C,IF(C48=4,Inventario4!C:C,IF(C48=5,Inventario5!C:C,Inventario6!C:C))))),
    _xlpm.invTipos, IF(C48=1,Inventario1!D:D,IF(C48=2,Inventario2!D:D,IF(C48=3,Inventario3!D:D,IF(C48=4,Inventario4!D:D,IF(C48=5,Inventario5!D:D,Inventario6!D:D))))),
    _xlpm.invStats, IF(C48=1,Inventario1!E:I,IF(C48=2,Inventario2!E:I,IF(C48=3,Inventario3!E:I,IF(C48=4,Inventario4!E:I,IF(C48=5,Inventario5!E:I,Inventario6!E:I))))),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IF(ROW(B48)=2,"",IF(_xlfn._xlws.FILTER(Equipar!AD$2:AD47,Equipar!C$2:C47=C48)={0},"",_xlfn._xlws.FILTER(Equipar!AD$2:AD47,Equipar!C$2:C47=C48))),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48" s="4">
        <f t="shared" ca="1" si="0"/>
        <v>-2.7900000000000063</v>
      </c>
      <c r="L48" s="4">
        <f t="shared" ca="1" si="1"/>
        <v>81</v>
      </c>
      <c r="M48" s="4">
        <f t="shared" ca="1" si="1"/>
        <v>83.79</v>
      </c>
      <c r="N48" s="4">
        <f t="shared" si="2"/>
        <v>83.79</v>
      </c>
      <c r="O48" s="4">
        <f t="shared" ca="1" si="2"/>
        <v>0</v>
      </c>
      <c r="P48" s="14" cm="1">
        <f t="array" aca="1" ref="P48" ca="1">_xlfn.LET(
    _xlpm.ptsPrinBase, _xlfn._xlws.FILTER(G:G, A:A=A48),
    _xlpm.ptsSecBase,  _xlfn._xlws.FILTER(H:H, A:A=A48),
    _xlpm.puntosPrin, _xlpm.ptsPrinBase + _xlfn._xlws.FILTER(B:B, A:A=A48)/1000,
    _xlpm.puntosSec,  _xlpm.ptsSecBase  + _xlfn._xlws.FILTER(B:B, A:A=A48)/1000,
    _xlpm.puntosPrinValidos, SUM(--(_xlpm.ptsPrinBase&gt;0)),
    _xlpm.puntosSecValidos,  SUM(--(_xlpm.ptsSecBase&gt;0)),
    _xlpm.clave, K48 + B48/1000,
    _xlpm.claves, _xlfn._xlws.FILTER(K:K + B:B/1000, A:A=A48),
    IF(AND(_xlpm.puntosPrinValidos&gt;=4,_xlpm.puntosSecValidos&gt;=2),IF(
        SUM(--(_xlpm.claves &gt; _xlpm.clave)) &lt; 4,
        C48,
        D48
    ),"No disp")
)</f>
        <v>144</v>
      </c>
      <c r="Q48" s="14" t="str" cm="1">
        <f t="array" aca="1" ref="Q48" ca="1">_xlfn.LET(
    _xlpm.puntosPrin, _xlfn._xlws.FILTER(G:G + B:B/1000, A:A=A48),
    _xlpm.puntosPrinValidos, SUM(--(_xlpm.puntosPrin&gt;1)),
    _xlpm.puntosTer, _xlfn._xlws.FILTER(I:I + B:B/1000, A:A=A48),
    _xlpm.puntosTerValidos, SUM(--(_xlpm.puntosTer&gt;1)),
    _xlpm.clave, L48 + B48/1000,
    _xlpm.claves, _xlfn._xlws.FILTER(L:L + B:B/1000, A:A=A48),
    IF(AND(_xlpm.puntosPrinValidos&gt;=4,_xlpm.puntosTerValidos&gt;=2),IF(
        SUM(--(_xlpm.claves &gt; _xlpm.clave)) &lt; 4,
        C48,
        E48
    ),"No disp")
)</f>
        <v>No disp</v>
      </c>
      <c r="R48" s="14" t="str" cm="1">
        <f t="array" aca="1" ref="R48" ca="1">_xlfn.LET(
    _xlpm.puntosPrin, _xlfn._xlws.FILTER(G:G + B:B/1000, A:A=A48),
    _xlpm.puntosPrinValidos, SUM(--(_xlpm.puntosPrin&gt;1)),
    _xlpm.puntosTer, _xlfn._xlws.FILTER(J:J + B:B/1000, A:A=A48),
    _xlpm.puntosTerValidos, SUM(--(_xlpm.puntosTer&gt;1)),
    _xlpm.clave, M48 + B48/1000,
    _xlpm.claves, _xlfn._xlws.FILTER(M:M + B:B/1000, A:A=A48),
    IF(AND(_xlpm.puntosPrinValidos&gt;=4,_xlpm.puntosTerValidos&gt;=2),IF(
        SUM(--(_xlpm.claves &gt; _xlpm.clave)) &lt; 4,
        C48,
        F48
    ),"No disp")
)</f>
        <v>No disp</v>
      </c>
      <c r="S48" s="14" cm="1">
        <f t="array" aca="1" ref="S48" ca="1">_xlfn.LET(
    _xlpm.ptsPrinBase, _xlfn._xlws.FILTER(G:G, A:A=A48),
    _xlpm.ptsSecBase,  _xlfn._xlws.FILTER(H:H, A:A=A48),
    _xlpm.puntosPrin, _xlpm.ptsPrinBase + _xlfn._xlws.FILTER(B:B, A:A=A48)/1000,
    _xlpm.puntosSec,  _xlpm.ptsSecBase  + _xlfn._xlws.FILTER(B:B, A:A=A48)/1000,
    _xlpm.puntosPrinValidos, SUM(--(_xlpm.ptsPrinBase&gt;0)),
    _xlpm.puntosSecValidos,  SUM(--(_xlpm.ptsSecBase&gt;0)),
    _xlpm.clave, K48 + B48/1000,
    _xlpm.claves, _xlfn._xlws.FILTER(K:K + B:B/1000, A:A=A48),
    IF(
        AND(_xlpm.puntosPrinValidos&gt;=2, _xlpm.puntosSecValidos&gt;=4),
        IF(
            SUM(--(_xlpm.claves &lt; _xlpm.clave)) &lt; 4,
            D48,
            C48
        ),
        "No disp"
    )
)</f>
        <v>132</v>
      </c>
      <c r="T48" s="14" t="str" cm="1">
        <f t="array" ref="T48">_xlfn.LET(
    _xlpm.puntosSec, _xlfn._xlws.FILTER(H:H + B:B/1000, A:A=A48),
    _xlpm.puntosSecValidos, SUM(--(_xlpm.puntosSec&gt;1)),
    _xlpm.puntosAlt, _xlfn._xlws.FILTER(I:I + B:B/1000, A:A=A48),
    _xlpm.puntosAltValidos, SUM(--(_xlpm.puntosAlt&gt;1)),
    _xlpm.clave, N48 + B48/1000,
    _xlpm.claves, _xlfn._xlws.FILTER(N:N + B:B/1000, A:A=A48),
    IF(AND(_xlpm.puntosSecValidos&gt;=4,_xlpm.puntosAltValidos&gt;=2),IF(
        SUM(--(_xlpm.claves &gt; _xlpm.clave)) &lt; 4,
        D48,
        E48
    ),"No disp")
)</f>
        <v>No disp</v>
      </c>
      <c r="U48" s="14" t="str" cm="1">
        <f t="array" aca="1" ref="U48" ca="1">_xlfn.LET(
    _xlpm.puntosSec, _xlfn._xlws.FILTER(H:H + B:B/1000, A:A=A48),
    _xlpm.puntosSecValidos, SUM(--(_xlpm.puntosSec&gt;1)),
    _xlpm.puntosAlt, _xlfn._xlws.FILTER(J:J + B:B/1000, A:A=A48),
    _xlpm.puntosAltValidos, SUM(--(_xlpm.puntosAlt&gt;1)),
    _xlpm.clave, O48 + B48/1000,
    _xlpm.claves, _xlfn._xlws.FILTER(O:O + B:B/1000, A:A=A48),
    IF(AND(_xlpm.puntosSecValidos&gt;=4,_xlpm.puntosAltValidos&gt;=2),IF(
        SUM(--(_xlpm.claves &gt; _xlpm.clave)) &lt; 4,
        D48,
        F48
    ),"No disp")
)</f>
        <v>No disp</v>
      </c>
      <c r="V48" s="4" cm="1">
        <f t="array" aca="1" ref="V48" ca="1">_xlfn.LET(
_xlpm.PrinIDs,_xlfn._xlws.FILTER(C:C,(A:A=A48)),
_xlpm.SecIDs,_xlfn._xlws.FILTER(D:D,(A:A=A48)),
_xlpm.TerIDs,_xlfn._xlws.FILTER(E:E,A:A=A48),
_xlpm.CuaIDs,_xlfn._xlws.FILTER(F:F,(A:A=A48)),
_xlpm.PrinPts,_xlfn._xlws.FILTER(G:G,(A:A=A48)),
_xlpm.SecPts,_xlfn._xlws.FILTER(H:H,(A:A=A48)),
_xlpm.TerPts,_xlfn._xlws.FILTER(I:I,(A:A=A48)),
_xlpm.CuaPts,_xlfn._xlws.FILTER(J:J,(A:A=A48)),
_xlpm.PSIds,_xlfn._xlws.FILTER(P:P,A:A=A48),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440.37</v>
      </c>
      <c r="W48" s="4" cm="1">
        <f t="array" aca="1" ref="W48" ca="1">_xlfn.LET(
_xlpm.PrinIDs,_xlfn._xlws.FILTER(C:C,(A:A=A48)),
_xlpm.SecIDs,_xlfn._xlws.FILTER(D:D,(A:A=A48)),
_xlpm.TerIDs,_xlfn._xlws.FILTER(E:E,A:A=A48),
_xlpm.CuaIDs,_xlfn._xlws.FILTER(F:F,(A:A=A48)),
_xlpm.PrinPts,_xlfn._xlws.FILTER(G:G,(A:A=A48)),
_xlpm.SecPts,_xlfn._xlws.FILTER(H:H,(A:A=A48)),
_xlpm.TerPts,_xlfn._xlws.FILTER(I:I,(A:A=A48)),
_xlpm.CuaPts,_xlfn._xlws.FILTER(J:J,(A:A=A48)),
_xlpm.PTIds,_xlfn._xlws.FILTER(Q:Q,A:A=A48),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48" s="4" cm="1">
        <f t="array" aca="1" ref="X48" ca="1">_xlfn.LET(
_xlpm.PrinIDs,_xlfn._xlws.FILTER(C:C,(A:A=A48)),
_xlpm.SecIDs,_xlfn._xlws.FILTER(D:D,(A:A=A48)),
_xlpm.TerIDs,_xlfn._xlws.FILTER(E:E,A:A=A48),
_xlpm.CuaIDs,_xlfn._xlws.FILTER(F:F,(A:A=A48)),
_xlpm.PrinPts,_xlfn._xlws.FILTER(G:G,(A:A=A48)),
_xlpm.SecPts,_xlfn._xlws.FILTER(H:H,(A:A=A48)),
_xlpm.TerPts,_xlfn._xlws.FILTER(I:I,(A:A=A48)),
_xlpm.CuaPts,_xlfn._xlws.FILTER(J:J,(A:A=A48)),
_xlpm.PCIds,_xlfn._xlws.FILTER(R:R,A:A=A48),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48" s="4" cm="1">
        <f t="array" aca="1" ref="Y48" ca="1">_xlfn.LET(
_xlpm.PrinIDs,_xlfn._xlws.FILTER(C:C,(A:A=A48)),
_xlpm.SecIDs,_xlfn._xlws.FILTER(D:D,(A:A=A48)),
_xlpm.AltIDs,_xlfn._xlws.FILTER(E:E,A:A=A48),
_xlpm.PrinPts,_xlfn._xlws.FILTER(G:G,(A:A=A48)),
_xlpm.SecPts,_xlfn._xlws.FILTER(H:H,(A:A=A48)),
_xlpm.AltPts,_xlfn._xlws.FILTER(I:I,(A:A=A48)),
_xlpm.SPIds,_xlfn._xlws.FILTER(S:S,A:A=A48),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451.98</v>
      </c>
      <c r="Z48" s="4" cm="1">
        <f t="array" aca="1" ref="Z48" ca="1">_xlfn.LET(
_xlpm.PrinIDs,_xlfn._xlws.FILTER(C:C,(A:A=A48)),
_xlpm.SecIDs,_xlfn._xlws.FILTER(D:D,(A:A=A48)),
_xlpm.TerIDs,_xlfn._xlws.FILTER(E:E,A:A=A48),
_xlpm.CuaIDs,_xlfn._xlws.FILTER(F:F,(A:A=A48)),
_xlpm.PrinPts,_xlfn._xlws.FILTER(G:G,(A:A=A48)),
_xlpm.SecPts,_xlfn._xlws.FILTER(H:H,(A:A=A48)),
_xlpm.TerPts,_xlfn._xlws.FILTER(I:I,(A:A=A48)),
_xlpm.CuaPts,_xlfn._xlws.FILTER(J:J,(A:A=A48)),
_xlpm.STIds,_xlfn._xlws.FILTER(T:T,A:A=A48),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48" s="4" cm="1">
        <f t="array" aca="1" ref="AA48" ca="1">_xlfn.LET(
_xlpm.PrinIDs,_xlfn._xlws.FILTER(C:C,(A:A=A48)),
_xlpm.SecIDs,_xlfn._xlws.FILTER(D:D,(A:A=A48)),
_xlpm.TerIDs,_xlfn._xlws.FILTER(E:E,A:A=A48),
_xlpm.CuaIDs,_xlfn._xlws.FILTER(F:F,(A:A=A48)),
_xlpm.PrinPts,_xlfn._xlws.FILTER(G:G,(A:A=A48)),
_xlpm.SecPts,_xlfn._xlws.FILTER(H:H,(A:A=A48)),
_xlpm.TerPts,_xlfn._xlws.FILTER(I:I,(A:A=A48)),
_xlpm.CuaPts,_xlfn._xlws.FILTER(J:J,(A:A=A48)),
_xlpm.SCIds,_xlfn._xlws.FILTER(U:U,A:A=A48),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48" s="14">
        <f t="shared" ca="1" si="3"/>
        <v>132</v>
      </c>
      <c r="AC48" s="14">
        <v>132</v>
      </c>
      <c r="AD48" s="4"/>
      <c r="AE48" s="14" t="str">
        <f ca="1">IF(ISNUMBER(AC48),
IF($B48=1,VLOOKUP($AC48,Inventario1!$A:$H,2),
IF($B48=2,VLOOKUP($AC48,Inventario2!$A:$H,2),
IF($B48=3,VLOOKUP($AC48,Inventario3!$A:$H,2),
IF($B48=4,VLOOKUP($AC48,Inventario4!$A:$H,2),
IF($B48=5,VLOOKUP($AC48,Inventario5!$A:$H,2),
VLOOKUP($AC48,Inventario6!$A:$H,2)
))))),"No equipado")</f>
        <v>Legendario</v>
      </c>
      <c r="AF48" s="14" t="str">
        <f ca="1">IF(ISNUMBER(AC48),
IF($B48=1,VLOOKUP($AC48,Inventario1!$A:$H,3),
IF($B48=2,VLOOKUP($AC48,Inventario2!$A:$H,3),
IF($B48=3,VLOOKUP($AC48,Inventario3!$A:$H,3),
IF($B48=4,VLOOKUP($AC48,Inventario4!$A:$H,3),
IF($B48=5,VLOOKUP($AC48,Inventario5!$A:$H,3),
VLOOKUP($AC48,Inventario6!$A:$H,3)
))))),"")</f>
        <v>Recepción suprema</v>
      </c>
      <c r="AG48" s="14" t="str">
        <f ca="1">IF(ISNUMBER(AC48),
IF($B48=1,VLOOKUP($AC48,Inventario1!$A:$H,4),
IF($B48=2,VLOOKUP($AC48,Inventario2!$A:$H,4),
IF($B48=3,VLOOKUP($AC48,Inventario3!$A:$H,4),
IF($B48=4,VLOOKUP($AC48,Inventario4!$A:$H,4),
IF($B48=5,VLOOKUP($AC48,Inventario5!$A:$H,4),
VLOOKUP($AC48,Inventario6!$A:$H,4)
))))),"")</f>
        <v>Recepción</v>
      </c>
      <c r="AH48" s="14" t="str">
        <f ca="1">IF(ISNUMBER(AC48),
IF($B48=1,VLOOKUP($AC48,Inventario1!$A:$H,5),
IF($B48=2,VLOOKUP($AC48,Inventario2!$A:$H,5),
IF($B48=3,VLOOKUP($AC48,Inventario3!$A:$H,5),
IF($B48=4,VLOOKUP($AC48,Inventario4!$A:$H,5),
IF($B48=5,VLOOKUP($AC48,Inventario5!$A:$H,5),
VLOOKUP($AC48,Inventario6!$A:$H,5)
))))),"")</f>
        <v>Ataque poderoso</v>
      </c>
      <c r="AI48" s="14" t="str">
        <f ca="1">IF(ISNUMBER(AC48),
IF($B48=1,VLOOKUP($AC48,Inventario1!$A:$H,6),
IF($B48=2,VLOOKUP($AC48,Inventario2!$A:$H,6),
IF($B48=3,VLOOKUP($AC48,Inventario3!$A:$H,6),
IF($B48=4,VLOOKUP($AC48,Inventario4!$A:$H,6),
IF($B48=5,VLOOKUP($AC48,Inventario5!$A:$H,6),
VLOOKUP($AC48,Inventario6!$A:$H,6)
))))),"")</f>
        <v>Ataque poderoso</v>
      </c>
      <c r="AJ48" s="14" t="str">
        <f ca="1">IF(ISNUMBER(AC48),
IF($B48=1,VLOOKUP($AC48,Inventario1!$A:$H,7),
IF($B48=2,VLOOKUP($AC48,Inventario2!$A:$H,7),
IF($B48=3,VLOOKUP($AC48,Inventario3!$A:$H,7),
IF($B48=4,VLOOKUP($AC48,Inventario4!$A:$H,7),
IF($B48=5,VLOOKUP($AC48,Inventario5!$A:$H,7),
VLOOKUP($AC48,Inventario6!$A:$H,7)
))))),"")</f>
        <v>Bloqueo</v>
      </c>
      <c r="AK48" s="15" t="str">
        <f ca="1">IF(ISNUMBER(AC48),
IF($B48=1,VLOOKUP($AC48,Inventario1!$A:$H,8),
IF($B48=2,VLOOKUP($AC48,Inventario2!$A:$H,8),
IF($B48=3,VLOOKUP($AC48,Inventario3!$A:$H,8),
IF($B48=4,VLOOKUP($AC48,Inventario4!$A:$H,8),
IF($B48=5,VLOOKUP($AC48,Inventario5!$A:$H,8),
VLOOKUP($AC48,Inventario6!$A:$H,8)
))))),"")</f>
        <v>Fuerza</v>
      </c>
    </row>
    <row r="49" spans="1:37" ht="15.75" thickBot="1" x14ac:dyDescent="0.3">
      <c r="A49" s="22" t="s">
        <v>27</v>
      </c>
      <c r="B49" s="17">
        <v>6</v>
      </c>
      <c r="C49" s="18" cm="1">
        <f t="array" aca="1" ref="C49" ca="1">_xlfn.LET(
    _xlpm.jugador, A49,
    _xlpm.idSel, AC49,
    _xlpm.invIDs, IF(B49=1,Inventario1!A:A,IF(B49=2,Inventario2!A:A,IF(B49=3,Inventario3!A:A,IF(B49=4,Inventario4!A:A,IF(B49=5,Inventario5!A:A,Inventario6!A:A))))),
    _xlpm.invCalidad, IF(B49=1,Inventario1!B:B,IF(B49=2,Inventario2!B:B,IF(B49=3,Inventario3!B:B,IF(B49=4,Inventario4!B:B,IF(B49=5,Inventario5!B:B,Inventario6!B:B))))),
    _xlpm.invTipos, IF(B49=1,Inventario1!C:C,IF(B49=2,Inventario2!C:C,IF(B49=3,Inventario3!C:C,IF(B49=4,Inventario4!C:C,IF(B49=5,Inventario5!C:C,Inventario6!C:C))))),
    _xlpm.invStats, IF(B49=1,Inventario1!D:H,IF(B49=2,Inventario2!D:H,IF(B49=3,Inventario3!D:H,IF(B49=4,Inventario4!D:H,IF(B49=5,Inventario5!D:H,Inventario6!D:H))))),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IF(ROW(A49)=2,"",IF(_xlfn._xlws.FILTER(Equipar!AC$2:AC48,Equipar!B$2:B48=B49)={0},"",_xlfn._xlws.FILTER(Equipar!AC$2:AC48,Equipar!B$2:B48=B49))),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184</v>
      </c>
      <c r="D49" s="17" cm="1">
        <f t="array" ref="D49">_xlfn.LET(
    _xlpm.jugador, A49,
    _xlpm.idSel, AC49,
    _xlpm.invIDs, IF(B49=1,Inventario1!A:A,IF(B49=2,Inventario2!A:A,IF(B49=3,Inventario3!A:A,IF(B49=4,Inventario4!A:A,IF(B49=5,Inventario5!A:A,Inventario6!A:A))))),
    _xlpm.invCalidad, IF(B49=1,Inventario1!B:B,IF(B49=2,Inventario2!B:B,IF(B49=3,Inventario3!B:B,IF(B49=4,Inventario4!B:B,IF(B49=5,Inventario5!B:B,Inventario6!B:B))))),
    _xlpm.invTipos, IF(B49=1,Inventario1!C:C,IF(B49=2,Inventario2!C:C,IF(B49=3,Inventario3!C:C,IF(B49=4,Inventario4!C:C,IF(B49=5,Inventario5!C:C,Inventario6!C:C))))),
    _xlpm.invStats, IF(B49=1,Inventario1!D:H,IF(B49=2,Inventario2!D:H,IF(B49=3,Inventario3!D:H,IF(B49=4,Inventario4!D:H,IF(B49=5,Inventario5!D:H,Inventario6!D:H))))),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IF(ROW(A49)=2,"",IF(_xlfn._xlws.FILTER(Equipar!AC$2:AC48,Equipar!B$2:B48=B49)={0},"",_xlfn._xlws.FILTER(Equipar!AC$2:AC48,Equipar!B$2:B48=B49))),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162</v>
      </c>
      <c r="E49" s="17" t="str" cm="1">
        <f t="array" ref="E49">_xlfn.LET(
    _xlpm.jugador, A49,
    _xlpm.idSel, AC49,
    _xlpm.invIDs, IF(B49=1,Inventario1!A:A,IF(B49=2,Inventario2!A:A,IF(B49=3,Inventario3!A:A,IF(B49=4,Inventario4!A:A,IF(B49=5,Inventario5!A:A,Inventario6!A:A))))),
    _xlpm.invCalidad, IF(B49=1,Inventario1!B:B,IF(B49=2,Inventario2!B:B,IF(B49=3,Inventario3!B:B,IF(B49=4,Inventario4!B:B,IF(B49=5,Inventario5!B:B,Inventario6!B:B))))),
    _xlpm.invTipos, IF(B49=1,Inventario1!C:C,IF(B49=2,Inventario2!C:C,IF(B49=3,Inventario3!C:C,IF(B49=4,Inventario4!C:C,IF(B49=5,Inventario5!C:C,Inventario6!C:C))))),
    _xlpm.invStats, IF(B49=1,Inventario1!D:H,IF(B49=2,Inventario2!D:H,IF(B49=3,Inventario3!D:H,IF(B49=4,Inventario4!D:H,IF(B49=5,Inventario5!D:H,Inventario6!D:H))))),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IF(ROW(A49)=2,"",IF(_xlfn._xlws.FILTER(Equipar!AC$2:AC48,Equipar!B$2:B48=B49)={0},"",_xlfn._xlws.FILTER(Equipar!AC$2:AC48,Equipar!B$2:B48=B49))),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49" s="17" t="str" cm="1">
        <f t="array" aca="1" ref="F49" ca="1">_xlfn.LET(
    _xlpm.jugador, B49,
    _xlpm.idSel, AD49,
    _xlpm.invIDs, IF(C49=1,Inventario1!B:B,IF(C49=2,Inventario2!B:B,IF(C49=3,Inventario3!B:B,IF(C49=4,Inventario4!B:B,IF(C49=5,Inventario5!B:B,Inventario6!B:B))))),
    _xlpm.invCalidad, IF(C49=1,Inventario1!C:C,IF(C49=2,Inventario2!C:C,IF(C49=3,Inventario3!C:C,IF(C49=4,Inventario4!C:C,IF(C49=5,Inventario5!C:C,Inventario6!C:C))))),
    _xlpm.invTipos, IF(C49=1,Inventario1!D:D,IF(C49=2,Inventario2!D:D,IF(C49=3,Inventario3!D:D,IF(C49=4,Inventario4!D:D,IF(C49=5,Inventario5!D:D,Inventario6!D:D))))),
    _xlpm.invStats, IF(C49=1,Inventario1!E:I,IF(C49=2,Inventario2!E:I,IF(C49=3,Inventario3!E:I,IF(C49=4,Inventario4!E:I,IF(C49=5,Inventario5!E:I,Inventario6!E:I))))),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IF(ROW(B49)=2,"",IF(_xlfn._xlws.FILTER(Equipar!AD$2:AD48,Equipar!C$2:C48=C49)={0},"",_xlfn._xlws.FILTER(Equipar!AD$2:AD48,Equipar!C$2:C48=C49))),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49" s="18" cm="1">
        <f t="array" aca="1" ref="G49" ca="1">_xlfn.LET(
    _xlpm.jugador, A49,
    _xlpm.idSel, AC49,
    _xlpm.invIDs, IF(B49=1,Inventario1!A:A,IF(B49=2,Inventario2!A:A,IF(B49=3,Inventario3!A:A,IF(B49=4,Inventario4!A:A,IF(B49=5,Inventario5!A:A,Inventario6!A:A))))),
    _xlpm.invCalidad, IF(B49=1,Inventario1!B:B,IF(B49=2,Inventario2!B:B,IF(B49=3,Inventario3!B:B,IF(B49=4,Inventario4!B:B,IF(B49=5,Inventario5!B:B,Inventario6!B:B))))),
    _xlpm.invTipos, IF(B49=1,Inventario1!C:C,IF(B49=2,Inventario2!C:C,IF(B49=3,Inventario3!C:C,IF(B49=4,Inventario4!C:C,IF(B49=5,Inventario5!C:C,Inventario6!C:C))))),
    _xlpm.invStats, IF(B49=1,Inventario1!D:H,IF(B49=2,Inventario2!D:H,IF(B49=3,Inventario3!D:H,IF(B49=4,Inventario4!D:H,IF(B49=5,Inventario5!D:H,Inventario6!D:H))))),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IF(ROW(A49)=2,"",IF(_xlfn._xlws.FILTER(Equipar!AC$2:AC48,Equipar!B$2:B48=B49)={0},"",_xlfn._xlws.FILTER(Equipar!AC$2:AC48,Equipar!B$2:B48=B49))),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45</v>
      </c>
      <c r="H49" s="17" cm="1">
        <f t="array" ref="H49">_xlfn.LET(
    _xlpm.jugador, A49,
    _xlpm.idSel, AC49,
    _xlpm.invIDs, IF(B49=1,Inventario1!A:A,IF(B49=2,Inventario2!A:A,IF(B49=3,Inventario3!A:A,IF(B49=4,Inventario4!A:A,IF(B49=5,Inventario5!A:A,Inventario6!A:A))))),
    _xlpm.invCalidad, IF(B49=1,Inventario1!B:B,IF(B49=2,Inventario2!B:B,IF(B49=3,Inventario3!B:B,IF(B49=4,Inventario4!B:B,IF(B49=5,Inventario5!B:B,Inventario6!B:B))))),
    _xlpm.invTipos, IF(B49=1,Inventario1!C:C,IF(B49=2,Inventario2!C:C,IF(B49=3,Inventario3!C:C,IF(B49=4,Inventario4!C:C,IF(B49=5,Inventario5!C:C,Inventario6!C:C))))),
    _xlpm.invStats, IF(B49=1,Inventario1!D:H,IF(B49=2,Inventario2!D:H,IF(B49=3,Inventario3!D:H,IF(B49=4,Inventario4!D:H,IF(B49=5,Inventario5!D:H,Inventario6!D:H))))),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IF(ROW(A49)=2,"",IF(_xlfn._xlws.FILTER(Equipar!AC$2:AC48,Equipar!B$2:B48=B49)={0},"",_xlfn._xlws.FILTER(Equipar!AC$2:AC48,Equipar!B$2:B48=B49))),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I49" s="17" cm="1">
        <f t="array" ref="I49">_xlfn.LET(
    _xlpm.jugador, A49,
    _xlpm.idSel, AC49,
    _xlpm.invIDs, IF(B49=1,Inventario1!A:A,IF(B49=2,Inventario2!A:A,IF(B49=3,Inventario3!A:A,IF(B49=4,Inventario4!A:A,IF(B49=5,Inventario5!A:A,Inventario6!A:A))))),
    _xlpm.invCalidad, IF(B49=1,Inventario1!B:B,IF(B49=2,Inventario2!B:B,IF(B49=3,Inventario3!B:B,IF(B49=4,Inventario4!B:B,IF(B49=5,Inventario5!B:B,Inventario6!B:B))))),
    _xlpm.invTipos, IF(B49=1,Inventario1!C:C,IF(B49=2,Inventario2!C:C,IF(B49=3,Inventario3!C:C,IF(B49=4,Inventario4!C:C,IF(B49=5,Inventario5!C:C,Inventario6!C:C))))),
    _xlpm.invStats, IF(B49=1,Inventario1!D:H,IF(B49=2,Inventario2!D:H,IF(B49=3,Inventario3!D:H,IF(B49=4,Inventario4!D:H,IF(B49=5,Inventario5!D:H,Inventario6!D:H))))),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IF(ROW(A49)=2,"",IF(_xlfn._xlws.FILTER(Equipar!AC$2:AC48,Equipar!B$2:B48=B49)={0},"",_xlfn._xlws.FILTER(Equipar!AC$2:AC48,Equipar!B$2:B48=B49))),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49" s="17" cm="1">
        <f t="array" aca="1" ref="J49" ca="1">_xlfn.LET(
    _xlpm.jugador, B49,
    _xlpm.idSel, AD49,
    _xlpm.invIDs, IF(C49=1,Inventario1!B:B,IF(C49=2,Inventario2!B:B,IF(C49=3,Inventario3!B:B,IF(C49=4,Inventario4!B:B,IF(C49=5,Inventario5!B:B,Inventario6!B:B))))),
    _xlpm.invCalidad, IF(C49=1,Inventario1!C:C,IF(C49=2,Inventario2!C:C,IF(C49=3,Inventario3!C:C,IF(C49=4,Inventario4!C:C,IF(C49=5,Inventario5!C:C,Inventario6!C:C))))),
    _xlpm.invTipos, IF(C49=1,Inventario1!D:D,IF(C49=2,Inventario2!D:D,IF(C49=3,Inventario3!D:D,IF(C49=4,Inventario4!D:D,IF(C49=5,Inventario5!D:D,Inventario6!D:D))))),
    _xlpm.invStats, IF(C49=1,Inventario1!E:I,IF(C49=2,Inventario2!E:I,IF(C49=3,Inventario3!E:I,IF(C49=4,Inventario4!E:I,IF(C49=5,Inventario5!E:I,Inventario6!E:I))))),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IF(ROW(B49)=2,"",IF(_xlfn._xlws.FILTER(Equipar!AD$2:AD48,Equipar!C$2:C48=C49)={0},"",_xlfn._xlws.FILTER(Equipar!AD$2:AD48,Equipar!C$2:C48=C49))),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49" s="17">
        <f t="shared" ca="1" si="0"/>
        <v>-26.820000000000007</v>
      </c>
      <c r="L49" s="17">
        <f t="shared" ca="1" si="1"/>
        <v>45</v>
      </c>
      <c r="M49" s="17">
        <f t="shared" ca="1" si="1"/>
        <v>71.820000000000007</v>
      </c>
      <c r="N49" s="17">
        <f t="shared" si="2"/>
        <v>71.820000000000007</v>
      </c>
      <c r="O49" s="17">
        <f t="shared" ca="1" si="2"/>
        <v>0</v>
      </c>
      <c r="P49" s="18" cm="1">
        <f t="array" aca="1" ref="P49" ca="1">_xlfn.LET(
    _xlpm.ptsPrinBase, _xlfn._xlws.FILTER(G:G, A:A=A49),
    _xlpm.ptsSecBase,  _xlfn._xlws.FILTER(H:H, A:A=A49),
    _xlpm.puntosPrin, _xlpm.ptsPrinBase + _xlfn._xlws.FILTER(B:B, A:A=A49)/1000,
    _xlpm.puntosSec,  _xlpm.ptsSecBase  + _xlfn._xlws.FILTER(B:B, A:A=A49)/1000,
    _xlpm.puntosPrinValidos, SUM(--(_xlpm.ptsPrinBase&gt;0)),
    _xlpm.puntosSecValidos,  SUM(--(_xlpm.ptsSecBase&gt;0)),
    _xlpm.clave, K49 + B49/1000,
    _xlpm.claves, _xlfn._xlws.FILTER(K:K + B:B/1000, A:A=A49),
    IF(AND(_xlpm.puntosPrinValidos&gt;=4,_xlpm.puntosSecValidos&gt;=2),IF(
        SUM(--(_xlpm.claves &gt; _xlpm.clave)) &lt; 4,
        C49,
        D49
    ),"No disp")
)</f>
        <v>162</v>
      </c>
      <c r="Q49" s="18" t="str" cm="1">
        <f t="array" aca="1" ref="Q49" ca="1">_xlfn.LET(
    _xlpm.puntosPrin, _xlfn._xlws.FILTER(G:G + B:B/1000, A:A=A49),
    _xlpm.puntosPrinValidos, SUM(--(_xlpm.puntosPrin&gt;1)),
    _xlpm.puntosTer, _xlfn._xlws.FILTER(I:I + B:B/1000, A:A=A49),
    _xlpm.puntosTerValidos, SUM(--(_xlpm.puntosTer&gt;1)),
    _xlpm.clave, L49 + B49/1000,
    _xlpm.claves, _xlfn._xlws.FILTER(L:L + B:B/1000, A:A=A49),
    IF(AND(_xlpm.puntosPrinValidos&gt;=4,_xlpm.puntosTerValidos&gt;=2),IF(
        SUM(--(_xlpm.claves &gt; _xlpm.clave)) &lt; 4,
        C49,
        E49
    ),"No disp")
)</f>
        <v>No disp</v>
      </c>
      <c r="R49" s="18" t="str" cm="1">
        <f t="array" aca="1" ref="R49" ca="1">_xlfn.LET(
    _xlpm.puntosPrin, _xlfn._xlws.FILTER(G:G + B:B/1000, A:A=A49),
    _xlpm.puntosPrinValidos, SUM(--(_xlpm.puntosPrin&gt;1)),
    _xlpm.puntosTer, _xlfn._xlws.FILTER(J:J + B:B/1000, A:A=A49),
    _xlpm.puntosTerValidos, SUM(--(_xlpm.puntosTer&gt;1)),
    _xlpm.clave, M49 + B49/1000,
    _xlpm.claves, _xlfn._xlws.FILTER(M:M + B:B/1000, A:A=A49),
    IF(AND(_xlpm.puntosPrinValidos&gt;=4,_xlpm.puntosTerValidos&gt;=2),IF(
        SUM(--(_xlpm.claves &gt; _xlpm.clave)) &lt; 4,
        C49,
        F49
    ),"No disp")
)</f>
        <v>No disp</v>
      </c>
      <c r="S49" s="18" cm="1">
        <f t="array" aca="1" ref="S49" ca="1">_xlfn.LET(
    _xlpm.ptsPrinBase, _xlfn._xlws.FILTER(G:G, A:A=A49),
    _xlpm.ptsSecBase,  _xlfn._xlws.FILTER(H:H, A:A=A49),
    _xlpm.puntosPrin, _xlpm.ptsPrinBase + _xlfn._xlws.FILTER(B:B, A:A=A49)/1000,
    _xlpm.puntosSec,  _xlpm.ptsSecBase  + _xlfn._xlws.FILTER(B:B, A:A=A49)/1000,
    _xlpm.puntosPrinValidos, SUM(--(_xlpm.ptsPrinBase&gt;0)),
    _xlpm.puntosSecValidos,  SUM(--(_xlpm.ptsSecBase&gt;0)),
    _xlpm.clave, K49 + B49/1000,
    _xlpm.claves, _xlfn._xlws.FILTER(K:K + B:B/1000, A:A=A49),
    IF(
        AND(_xlpm.puntosPrinValidos&gt;=2, _xlpm.puntosSecValidos&gt;=4),
        IF(
            SUM(--(_xlpm.claves &lt; _xlpm.clave)) &lt; 4,
            D49,
            C49
        ),
        "No disp"
    )
)</f>
        <v>162</v>
      </c>
      <c r="T49" s="18" t="str" cm="1">
        <f t="array" ref="T49">_xlfn.LET(
    _xlpm.puntosSec, _xlfn._xlws.FILTER(H:H + B:B/1000, A:A=A49),
    _xlpm.puntosSecValidos, SUM(--(_xlpm.puntosSec&gt;1)),
    _xlpm.puntosAlt, _xlfn._xlws.FILTER(I:I + B:B/1000, A:A=A49),
    _xlpm.puntosAltValidos, SUM(--(_xlpm.puntosAlt&gt;1)),
    _xlpm.clave, N49 + B49/1000,
    _xlpm.claves, _xlfn._xlws.FILTER(N:N + B:B/1000, A:A=A49),
    IF(AND(_xlpm.puntosSecValidos&gt;=4,_xlpm.puntosAltValidos&gt;=2),IF(
        SUM(--(_xlpm.claves &gt; _xlpm.clave)) &lt; 4,
        D49,
        E49
    ),"No disp")
)</f>
        <v>No disp</v>
      </c>
      <c r="U49" s="18" t="str" cm="1">
        <f t="array" aca="1" ref="U49" ca="1">_xlfn.LET(
    _xlpm.puntosSec, _xlfn._xlws.FILTER(H:H + B:B/1000, A:A=A49),
    _xlpm.puntosSecValidos, SUM(--(_xlpm.puntosSec&gt;1)),
    _xlpm.puntosAlt, _xlfn._xlws.FILTER(J:J + B:B/1000, A:A=A49),
    _xlpm.puntosAltValidos, SUM(--(_xlpm.puntosAlt&gt;1)),
    _xlpm.clave, O49 + B49/1000,
    _xlpm.claves, _xlfn._xlws.FILTER(O:O + B:B/1000, A:A=A49),
    IF(AND(_xlpm.puntosSecValidos&gt;=4,_xlpm.puntosAltValidos&gt;=2),IF(
        SUM(--(_xlpm.claves &gt; _xlpm.clave)) &lt; 4,
        D49,
        F49
    ),"No disp")
)</f>
        <v>No disp</v>
      </c>
      <c r="V49" s="17" cm="1">
        <f t="array" aca="1" ref="V49" ca="1">_xlfn.LET(
_xlpm.PrinIDs,_xlfn._xlws.FILTER(C:C,(A:A=A49)),
_xlpm.SecIDs,_xlfn._xlws.FILTER(D:D,(A:A=A49)),
_xlpm.TerIDs,_xlfn._xlws.FILTER(E:E,A:A=A49),
_xlpm.CuaIDs,_xlfn._xlws.FILTER(F:F,(A:A=A49)),
_xlpm.PrinPts,_xlfn._xlws.FILTER(G:G,(A:A=A49)),
_xlpm.SecPts,_xlfn._xlws.FILTER(H:H,(A:A=A49)),
_xlpm.TerPts,_xlfn._xlws.FILTER(I:I,(A:A=A49)),
_xlpm.CuaPts,_xlfn._xlws.FILTER(J:J,(A:A=A49)),
_xlpm.PSIds,_xlfn._xlws.FILTER(P:P,A:A=A49),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440.37</v>
      </c>
      <c r="W49" s="17" cm="1">
        <f t="array" aca="1" ref="W49" ca="1">_xlfn.LET(
_xlpm.PrinIDs,_xlfn._xlws.FILTER(C:C,(A:A=A49)),
_xlpm.SecIDs,_xlfn._xlws.FILTER(D:D,(A:A=A49)),
_xlpm.TerIDs,_xlfn._xlws.FILTER(E:E,A:A=A49),
_xlpm.CuaIDs,_xlfn._xlws.FILTER(F:F,(A:A=A49)),
_xlpm.PrinPts,_xlfn._xlws.FILTER(G:G,(A:A=A49)),
_xlpm.SecPts,_xlfn._xlws.FILTER(H:H,(A:A=A49)),
_xlpm.TerPts,_xlfn._xlws.FILTER(I:I,(A:A=A49)),
_xlpm.CuaPts,_xlfn._xlws.FILTER(J:J,(A:A=A49)),
_xlpm.PTIds,_xlfn._xlws.FILTER(Q:Q,A:A=A49),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49" s="17" cm="1">
        <f t="array" aca="1" ref="X49" ca="1">_xlfn.LET(
_xlpm.PrinIDs,_xlfn._xlws.FILTER(C:C,(A:A=A49)),
_xlpm.SecIDs,_xlfn._xlws.FILTER(D:D,(A:A=A49)),
_xlpm.TerIDs,_xlfn._xlws.FILTER(E:E,A:A=A49),
_xlpm.CuaIDs,_xlfn._xlws.FILTER(F:F,(A:A=A49)),
_xlpm.PrinPts,_xlfn._xlws.FILTER(G:G,(A:A=A49)),
_xlpm.SecPts,_xlfn._xlws.FILTER(H:H,(A:A=A49)),
_xlpm.TerPts,_xlfn._xlws.FILTER(I:I,(A:A=A49)),
_xlpm.CuaPts,_xlfn._xlws.FILTER(J:J,(A:A=A49)),
_xlpm.PCIds,_xlfn._xlws.FILTER(R:R,A:A=A49),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49" s="17" cm="1">
        <f t="array" aca="1" ref="Y49" ca="1">_xlfn.LET(
_xlpm.PrinIDs,_xlfn._xlws.FILTER(C:C,(A:A=A49)),
_xlpm.SecIDs,_xlfn._xlws.FILTER(D:D,(A:A=A49)),
_xlpm.AltIDs,_xlfn._xlws.FILTER(E:E,A:A=A49),
_xlpm.PrinPts,_xlfn._xlws.FILTER(G:G,(A:A=A49)),
_xlpm.SecPts,_xlfn._xlws.FILTER(H:H,(A:A=A49)),
_xlpm.AltPts,_xlfn._xlws.FILTER(I:I,(A:A=A49)),
_xlpm.SPIds,_xlfn._xlws.FILTER(S:S,A:A=A49),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451.98</v>
      </c>
      <c r="Z49" s="17" cm="1">
        <f t="array" aca="1" ref="Z49" ca="1">_xlfn.LET(
_xlpm.PrinIDs,_xlfn._xlws.FILTER(C:C,(A:A=A49)),
_xlpm.SecIDs,_xlfn._xlws.FILTER(D:D,(A:A=A49)),
_xlpm.TerIDs,_xlfn._xlws.FILTER(E:E,A:A=A49),
_xlpm.CuaIDs,_xlfn._xlws.FILTER(F:F,(A:A=A49)),
_xlpm.PrinPts,_xlfn._xlws.FILTER(G:G,(A:A=A49)),
_xlpm.SecPts,_xlfn._xlws.FILTER(H:H,(A:A=A49)),
_xlpm.TerPts,_xlfn._xlws.FILTER(I:I,(A:A=A49)),
_xlpm.CuaPts,_xlfn._xlws.FILTER(J:J,(A:A=A49)),
_xlpm.STIds,_xlfn._xlws.FILTER(T:T,A:A=A49),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49" s="17" cm="1">
        <f t="array" aca="1" ref="AA49" ca="1">_xlfn.LET(
_xlpm.PrinIDs,_xlfn._xlws.FILTER(C:C,(A:A=A49)),
_xlpm.SecIDs,_xlfn._xlws.FILTER(D:D,(A:A=A49)),
_xlpm.TerIDs,_xlfn._xlws.FILTER(E:E,A:A=A49),
_xlpm.CuaIDs,_xlfn._xlws.FILTER(F:F,(A:A=A49)),
_xlpm.PrinPts,_xlfn._xlws.FILTER(G:G,(A:A=A49)),
_xlpm.SecPts,_xlfn._xlws.FILTER(H:H,(A:A=A49)),
_xlpm.TerPts,_xlfn._xlws.FILTER(I:I,(A:A=A49)),
_xlpm.CuaPts,_xlfn._xlws.FILTER(J:J,(A:A=A49)),
_xlpm.SCIds,_xlfn._xlws.FILTER(U:U,A:A=A49),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49" s="18">
        <f t="shared" ca="1" si="3"/>
        <v>162</v>
      </c>
      <c r="AC49" s="18">
        <v>162</v>
      </c>
      <c r="AD49" s="17"/>
      <c r="AE49" s="18" t="str">
        <f ca="1">IF(ISNUMBER(AC49),
IF($B49=1,VLOOKUP($AC49,Inventario1!$A:$H,2),
IF($B49=2,VLOOKUP($AC49,Inventario2!$A:$H,2),
IF($B49=3,VLOOKUP($AC49,Inventario3!$A:$H,2),
IF($B49=4,VLOOKUP($AC49,Inventario4!$A:$H,2),
IF($B49=5,VLOOKUP($AC49,Inventario5!$A:$H,2),
VLOOKUP($AC49,Inventario6!$A:$H,2)
))))),"No equipado")</f>
        <v>Legendario</v>
      </c>
      <c r="AF49" s="18" t="str">
        <f ca="1">IF(ISNUMBER(AC49),
IF($B49=1,VLOOKUP($AC49,Inventario1!$A:$H,3),
IF($B49=2,VLOOKUP($AC49,Inventario2!$A:$H,3),
IF($B49=3,VLOOKUP($AC49,Inventario3!$A:$H,3),
IF($B49=4,VLOOKUP($AC49,Inventario4!$A:$H,3),
IF($B49=5,VLOOKUP($AC49,Inventario5!$A:$H,3),
VLOOKUP($AC49,Inventario6!$A:$H,3)
))))),"")</f>
        <v>Recepción suprema</v>
      </c>
      <c r="AG49" s="18" t="str">
        <f ca="1">IF(ISNUMBER(AC49),
IF($B49=1,VLOOKUP($AC49,Inventario1!$A:$H,4),
IF($B49=2,VLOOKUP($AC49,Inventario2!$A:$H,4),
IF($B49=3,VLOOKUP($AC49,Inventario3!$A:$H,4),
IF($B49=4,VLOOKUP($AC49,Inventario4!$A:$H,4),
IF($B49=5,VLOOKUP($AC49,Inventario5!$A:$H,4),
VLOOKUP($AC49,Inventario6!$A:$H,4)
))))),"")</f>
        <v>Recuperación</v>
      </c>
      <c r="AH49" s="18" t="str">
        <f ca="1">IF(ISNUMBER(AC49),
IF($B49=1,VLOOKUP($AC49,Inventario1!$A:$H,5),
IF($B49=2,VLOOKUP($AC49,Inventario2!$A:$H,5),
IF($B49=3,VLOOKUP($AC49,Inventario3!$A:$H,5),
IF($B49=4,VLOOKUP($AC49,Inventario4!$A:$H,5),
IF($B49=5,VLOOKUP($AC49,Inventario5!$A:$H,5),
VLOOKUP($AC49,Inventario6!$A:$H,5)
))))),"")</f>
        <v>Recepción</v>
      </c>
      <c r="AI49" s="18" t="str">
        <f ca="1">IF(ISNUMBER(AC49),
IF($B49=1,VLOOKUP($AC49,Inventario1!$A:$H,6),
IF($B49=2,VLOOKUP($AC49,Inventario2!$A:$H,6),
IF($B49=3,VLOOKUP($AC49,Inventario3!$A:$H,6),
IF($B49=4,VLOOKUP($AC49,Inventario4!$A:$H,6),
IF($B49=5,VLOOKUP($AC49,Inventario5!$A:$H,6),
VLOOKUP($AC49,Inventario6!$A:$H,6)
))))),"")</f>
        <v>Técnica defensiva</v>
      </c>
      <c r="AJ49" s="18" t="str">
        <f ca="1">IF(ISNUMBER(AC49),
IF($B49=1,VLOOKUP($AC49,Inventario1!$A:$H,7),
IF($B49=2,VLOOKUP($AC49,Inventario2!$A:$H,7),
IF($B49=3,VLOOKUP($AC49,Inventario3!$A:$H,7),
IF($B49=4,VLOOKUP($AC49,Inventario4!$A:$H,7),
IF($B49=5,VLOOKUP($AC49,Inventario5!$A:$H,7),
VLOOKUP($AC49,Inventario6!$A:$H,7)
))))),"")</f>
        <v>Reflejos</v>
      </c>
      <c r="AK49" s="19">
        <f ca="1">IF(ISNUMBER(AC49),
IF($B49=1,VLOOKUP($AC49,Inventario1!$A:$H,8),
IF($B49=2,VLOOKUP($AC49,Inventario2!$A:$H,8),
IF($B49=3,VLOOKUP($AC49,Inventario3!$A:$H,8),
IF($B49=4,VLOOKUP($AC49,Inventario4!$A:$H,8),
IF($B49=5,VLOOKUP($AC49,Inventario5!$A:$H,8),
VLOOKUP($AC49,Inventario6!$A:$H,8)
))))),"")</f>
        <v>0</v>
      </c>
    </row>
    <row r="50" spans="1:37" x14ac:dyDescent="0.25">
      <c r="A50" s="20" t="s">
        <v>15</v>
      </c>
      <c r="B50" s="9">
        <v>1</v>
      </c>
      <c r="C50" s="10" cm="1">
        <f t="array" aca="1" ref="C50" ca="1">_xlfn.LET(
    _xlpm.jugador, A50,
    _xlpm.idSel, AC50,
    _xlpm.invIDs, IF(B50=1,Inventario1!A:A,IF(B50=2,Inventario2!A:A,IF(B50=3,Inventario3!A:A,IF(B50=4,Inventario4!A:A,IF(B50=5,Inventario5!A:A,Inventario6!A:A))))),
    _xlpm.invCalidad, IF(B50=1,Inventario1!B:B,IF(B50=2,Inventario2!B:B,IF(B50=3,Inventario3!B:B,IF(B50=4,Inventario4!B:B,IF(B50=5,Inventario5!B:B,Inventario6!B:B))))),
    _xlpm.invTipos, IF(B50=1,Inventario1!C:C,IF(B50=2,Inventario2!C:C,IF(B50=3,Inventario3!C:C,IF(B50=4,Inventario4!C:C,IF(B50=5,Inventario5!C:C,Inventario6!C:C))))),
    _xlpm.invStats, IF(B50=1,Inventario1!D:H,IF(B50=2,Inventario2!D:H,IF(B50=3,Inventario3!D:H,IF(B50=4,Inventario4!D:H,IF(B50=5,Inventario5!D:H,Inventario6!D:H))))),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IF(ROW(A50)=2,"",IF(_xlfn._xlws.FILTER(Equipar!AC$2:AC49,Equipar!B$2:B49=B50)={0},"",_xlfn._xlws.FILTER(Equipar!AC$2:AC49,Equipar!B$2:B49=B50))),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59</v>
      </c>
      <c r="D50" s="11" cm="1">
        <f t="array" ref="D50">_xlfn.LET(
    _xlpm.jugador, A50,
    _xlpm.idSel, AC50,
    _xlpm.invIDs, IF(B50=1,Inventario1!A:A,IF(B50=2,Inventario2!A:A,IF(B50=3,Inventario3!A:A,IF(B50=4,Inventario4!A:A,IF(B50=5,Inventario5!A:A,Inventario6!A:A))))),
    _xlpm.invCalidad, IF(B50=1,Inventario1!B:B,IF(B50=2,Inventario2!B:B,IF(B50=3,Inventario3!B:B,IF(B50=4,Inventario4!B:B,IF(B50=5,Inventario5!B:B,Inventario6!B:B))))),
    _xlpm.invTipos, IF(B50=1,Inventario1!C:C,IF(B50=2,Inventario2!C:C,IF(B50=3,Inventario3!C:C,IF(B50=4,Inventario4!C:C,IF(B50=5,Inventario5!C:C,Inventario6!C:C))))),
    _xlpm.invStats, IF(B50=1,Inventario1!D:H,IF(B50=2,Inventario2!D:H,IF(B50=3,Inventario3!D:H,IF(B50=4,Inventario4!D:H,IF(B50=5,Inventario5!D:H,Inventario6!D:H))))),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IF(ROW(A50)=2,"",IF(_xlfn._xlws.FILTER(Equipar!AC$2:AC49,Equipar!B$2:B49=B50)={0},"",_xlfn._xlws.FILTER(Equipar!AC$2:AC49,Equipar!B$2:B49=B50))),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64</v>
      </c>
      <c r="E50" s="11" t="str" cm="1">
        <f t="array" ref="E50">_xlfn.LET(
    _xlpm.jugador, A50,
    _xlpm.idSel, AC50,
    _xlpm.invIDs, IF(B50=1,Inventario1!A:A,IF(B50=2,Inventario2!A:A,IF(B50=3,Inventario3!A:A,IF(B50=4,Inventario4!A:A,IF(B50=5,Inventario5!A:A,Inventario6!A:A))))),
    _xlpm.invCalidad, IF(B50=1,Inventario1!B:B,IF(B50=2,Inventario2!B:B,IF(B50=3,Inventario3!B:B,IF(B50=4,Inventario4!B:B,IF(B50=5,Inventario5!B:B,Inventario6!B:B))))),
    _xlpm.invTipos, IF(B50=1,Inventario1!C:C,IF(B50=2,Inventario2!C:C,IF(B50=3,Inventario3!C:C,IF(B50=4,Inventario4!C:C,IF(B50=5,Inventario5!C:C,Inventario6!C:C))))),
    _xlpm.invStats, IF(B50=1,Inventario1!D:H,IF(B50=2,Inventario2!D:H,IF(B50=3,Inventario3!D:H,IF(B50=4,Inventario4!D:H,IF(B50=5,Inventario5!D:H,Inventario6!D:H))))),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IF(ROW(A50)=2,"",IF(_xlfn._xlws.FILTER(Equipar!AC$2:AC49,Equipar!B$2:B49=B50)={0},"",_xlfn._xlws.FILTER(Equipar!AC$2:AC49,Equipar!B$2:B49=B50))),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50" s="11" t="str" cm="1">
        <f t="array" aca="1" ref="F50" ca="1">_xlfn.LET(
    _xlpm.jugador, B50,
    _xlpm.idSel, AD50,
    _xlpm.invIDs, IF(C50=1,Inventario1!B:B,IF(C50=2,Inventario2!B:B,IF(C50=3,Inventario3!B:B,IF(C50=4,Inventario4!B:B,IF(C50=5,Inventario5!B:B,Inventario6!B:B))))),
    _xlpm.invCalidad, IF(C50=1,Inventario1!C:C,IF(C50=2,Inventario2!C:C,IF(C50=3,Inventario3!C:C,IF(C50=4,Inventario4!C:C,IF(C50=5,Inventario5!C:C,Inventario6!C:C))))),
    _xlpm.invTipos, IF(C50=1,Inventario1!D:D,IF(C50=2,Inventario2!D:D,IF(C50=3,Inventario3!D:D,IF(C50=4,Inventario4!D:D,IF(C50=5,Inventario5!D:D,Inventario6!D:D))))),
    _xlpm.invStats, IF(C50=1,Inventario1!E:I,IF(C50=2,Inventario2!E:I,IF(C50=3,Inventario3!E:I,IF(C50=4,Inventario4!E:I,IF(C50=5,Inventario5!E:I,Inventario6!E:I))))),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IF(ROW(B50)=2,"",IF(_xlfn._xlws.FILTER(Equipar!AD$2:AD49,Equipar!C$2:C49=C50)={0},"",_xlfn._xlws.FILTER(Equipar!AD$2:AD49,Equipar!C$2:C49=C50))),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50" s="10" cm="1">
        <f t="array" aca="1" ref="G50" ca="1">_xlfn.LET(
    _xlpm.jugador, A50,
    _xlpm.idSel, AC50,
    _xlpm.invIDs, IF(B50=1,Inventario1!A:A,IF(B50=2,Inventario2!A:A,IF(B50=3,Inventario3!A:A,IF(B50=4,Inventario4!A:A,IF(B50=5,Inventario5!A:A,Inventario6!A:A))))),
    _xlpm.invCalidad, IF(B50=1,Inventario1!B:B,IF(B50=2,Inventario2!B:B,IF(B50=3,Inventario3!B:B,IF(B50=4,Inventario4!B:B,IF(B50=5,Inventario5!B:B,Inventario6!B:B))))),
    _xlpm.invTipos, IF(B50=1,Inventario1!C:C,IF(B50=2,Inventario2!C:C,IF(B50=3,Inventario3!C:C,IF(B50=4,Inventario4!C:C,IF(B50=5,Inventario5!C:C,Inventario6!C:C))))),
    _xlpm.invStats, IF(B50=1,Inventario1!D:H,IF(B50=2,Inventario2!D:H,IF(B50=3,Inventario3!D:H,IF(B50=4,Inventario4!D:H,IF(B50=5,Inventario5!D:H,Inventario6!D:H))))),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IF(ROW(A50)=2,"",IF(_xlfn._xlws.FILTER(Equipar!AC$2:AC49,Equipar!B$2:B49=B50)={0},"",_xlfn._xlws.FILTER(Equipar!AC$2:AC49,Equipar!B$2:B49=B50))),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H50" s="11" cm="1">
        <f t="array" ref="H50">_xlfn.LET(
    _xlpm.jugador, A50,
    _xlpm.idSel, AC50,
    _xlpm.invIDs, IF(B50=1,Inventario1!A:A,IF(B50=2,Inventario2!A:A,IF(B50=3,Inventario3!A:A,IF(B50=4,Inventario4!A:A,IF(B50=5,Inventario5!A:A,Inventario6!A:A))))),
    _xlpm.invCalidad, IF(B50=1,Inventario1!B:B,IF(B50=2,Inventario2!B:B,IF(B50=3,Inventario3!B:B,IF(B50=4,Inventario4!B:B,IF(B50=5,Inventario5!B:B,Inventario6!B:B))))),
    _xlpm.invTipos, IF(B50=1,Inventario1!C:C,IF(B50=2,Inventario2!C:C,IF(B50=3,Inventario3!C:C,IF(B50=4,Inventario4!C:C,IF(B50=5,Inventario5!C:C,Inventario6!C:C))))),
    _xlpm.invStats, IF(B50=1,Inventario1!D:H,IF(B50=2,Inventario2!D:H,IF(B50=3,Inventario3!D:H,IF(B50=4,Inventario4!D:H,IF(B50=5,Inventario5!D:H,Inventario6!D:H))))),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IF(ROW(A50)=2,"",IF(_xlfn._xlws.FILTER(Equipar!AC$2:AC49,Equipar!B$2:B49=B50)={0},"",_xlfn._xlws.FILTER(Equipar!AC$2:AC49,Equipar!B$2:B49=B50))),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I50" s="11" cm="1">
        <f t="array" ref="I50">_xlfn.LET(
    _xlpm.jugador, A50,
    _xlpm.idSel, AC50,
    _xlpm.invIDs, IF(B50=1,Inventario1!A:A,IF(B50=2,Inventario2!A:A,IF(B50=3,Inventario3!A:A,IF(B50=4,Inventario4!A:A,IF(B50=5,Inventario5!A:A,Inventario6!A:A))))),
    _xlpm.invCalidad, IF(B50=1,Inventario1!B:B,IF(B50=2,Inventario2!B:B,IF(B50=3,Inventario3!B:B,IF(B50=4,Inventario4!B:B,IF(B50=5,Inventario5!B:B,Inventario6!B:B))))),
    _xlpm.invTipos, IF(B50=1,Inventario1!C:C,IF(B50=2,Inventario2!C:C,IF(B50=3,Inventario3!C:C,IF(B50=4,Inventario4!C:C,IF(B50=5,Inventario5!C:C,Inventario6!C:C))))),
    _xlpm.invStats, IF(B50=1,Inventario1!D:H,IF(B50=2,Inventario2!D:H,IF(B50=3,Inventario3!D:H,IF(B50=4,Inventario4!D:H,IF(B50=5,Inventario5!D:H,Inventario6!D:H))))),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IF(ROW(A50)=2,"",IF(_xlfn._xlws.FILTER(Equipar!AC$2:AC49,Equipar!B$2:B49=B50)={0},"",_xlfn._xlws.FILTER(Equipar!AC$2:AC49,Equipar!B$2:B49=B50))),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50" s="11" cm="1">
        <f t="array" aca="1" ref="J50" ca="1">_xlfn.LET(
    _xlpm.jugador, B50,
    _xlpm.idSel, AD50,
    _xlpm.invIDs, IF(C50=1,Inventario1!B:B,IF(C50=2,Inventario2!B:B,IF(C50=3,Inventario3!B:B,IF(C50=4,Inventario4!B:B,IF(C50=5,Inventario5!B:B,Inventario6!B:B))))),
    _xlpm.invCalidad, IF(C50=1,Inventario1!C:C,IF(C50=2,Inventario2!C:C,IF(C50=3,Inventario3!C:C,IF(C50=4,Inventario4!C:C,IF(C50=5,Inventario5!C:C,Inventario6!C:C))))),
    _xlpm.invTipos, IF(C50=1,Inventario1!D:D,IF(C50=2,Inventario2!D:D,IF(C50=3,Inventario3!D:D,IF(C50=4,Inventario4!D:D,IF(C50=5,Inventario5!D:D,Inventario6!D:D))))),
    _xlpm.invStats, IF(C50=1,Inventario1!E:I,IF(C50=2,Inventario2!E:I,IF(C50=3,Inventario3!E:I,IF(C50=4,Inventario4!E:I,IF(C50=5,Inventario5!E:I,Inventario6!E:I))))),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IF(ROW(B50)=2,"",IF(_xlfn._xlws.FILTER(Equipar!AD$2:AD49,Equipar!C$2:C49=C50)={0},"",_xlfn._xlws.FILTER(Equipar!AD$2:AD49,Equipar!C$2:C49=C50))),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50" s="11">
        <f t="shared" ca="1" si="0"/>
        <v>0</v>
      </c>
      <c r="L50" s="11">
        <f t="shared" ca="1" si="1"/>
        <v>81</v>
      </c>
      <c r="M50" s="11">
        <f t="shared" ca="1" si="1"/>
        <v>81</v>
      </c>
      <c r="N50" s="11">
        <f t="shared" si="2"/>
        <v>81</v>
      </c>
      <c r="O50" s="11">
        <f t="shared" ca="1" si="2"/>
        <v>0</v>
      </c>
      <c r="P50" s="10" cm="1">
        <f t="array" aca="1" ref="P50" ca="1">_xlfn.LET(
    _xlpm.ptsPrinBase, _xlfn._xlws.FILTER(G:G, A:A=A50),
    _xlpm.ptsSecBase,  _xlfn._xlws.FILTER(H:H, A:A=A50),
    _xlpm.puntosPrin, _xlpm.ptsPrinBase + _xlfn._xlws.FILTER(B:B, A:A=A50)/1000,
    _xlpm.puntosSec,  _xlpm.ptsSecBase  + _xlfn._xlws.FILTER(B:B, A:A=A50)/1000,
    _xlpm.puntosPrinValidos, SUM(--(_xlpm.ptsPrinBase&gt;0)),
    _xlpm.puntosSecValidos,  SUM(--(_xlpm.ptsSecBase&gt;0)),
    _xlpm.clave, K50 + B50/1000,
    _xlpm.claves, _xlfn._xlws.FILTER(K:K + B:B/1000, A:A=A50),
    IF(AND(_xlpm.puntosPrinValidos&gt;=4,_xlpm.puntosSecValidos&gt;=2),IF(
        SUM(--(_xlpm.claves &gt; _xlpm.clave)) &lt; 4,
        C50,
        D50
    ),"No disp")
)</f>
        <v>64</v>
      </c>
      <c r="Q50" s="10" t="str" cm="1">
        <f t="array" aca="1" ref="Q50" ca="1">_xlfn.LET(
    _xlpm.puntosPrin, _xlfn._xlws.FILTER(G:G + B:B/1000, A:A=A50),
    _xlpm.puntosPrinValidos, SUM(--(_xlpm.puntosPrin&gt;1)),
    _xlpm.puntosTer, _xlfn._xlws.FILTER(I:I + B:B/1000, A:A=A50),
    _xlpm.puntosTerValidos, SUM(--(_xlpm.puntosTer&gt;1)),
    _xlpm.clave, L50 + B50/1000,
    _xlpm.claves, _xlfn._xlws.FILTER(L:L + B:B/1000, A:A=A50),
    IF(AND(_xlpm.puntosPrinValidos&gt;=4,_xlpm.puntosTerValidos&gt;=2),IF(
        SUM(--(_xlpm.claves &gt; _xlpm.clave)) &lt; 4,
        C50,
        E50
    ),"No disp")
)</f>
        <v>No disp</v>
      </c>
      <c r="R50" s="10" t="str" cm="1">
        <f t="array" aca="1" ref="R50" ca="1">_xlfn.LET(
    _xlpm.puntosPrin, _xlfn._xlws.FILTER(G:G + B:B/1000, A:A=A50),
    _xlpm.puntosPrinValidos, SUM(--(_xlpm.puntosPrin&gt;1)),
    _xlpm.puntosTer, _xlfn._xlws.FILTER(J:J + B:B/1000, A:A=A50),
    _xlpm.puntosTerValidos, SUM(--(_xlpm.puntosTer&gt;1)),
    _xlpm.clave, M50 + B50/1000,
    _xlpm.claves, _xlfn._xlws.FILTER(M:M + B:B/1000, A:A=A50),
    IF(AND(_xlpm.puntosPrinValidos&gt;=4,_xlpm.puntosTerValidos&gt;=2),IF(
        SUM(--(_xlpm.claves &gt; _xlpm.clave)) &lt; 4,
        C50,
        F50
    ),"No disp")
)</f>
        <v>No disp</v>
      </c>
      <c r="S50" s="10" cm="1">
        <f t="array" aca="1" ref="S50" ca="1">_xlfn.LET(
    _xlpm.ptsPrinBase, _xlfn._xlws.FILTER(G:G, A:A=A50),
    _xlpm.ptsSecBase,  _xlfn._xlws.FILTER(H:H, A:A=A50),
    _xlpm.puntosPrin, _xlpm.ptsPrinBase + _xlfn._xlws.FILTER(B:B, A:A=A50)/1000,
    _xlpm.puntosSec,  _xlpm.ptsSecBase  + _xlfn._xlws.FILTER(B:B, A:A=A50)/1000,
    _xlpm.puntosPrinValidos, SUM(--(_xlpm.ptsPrinBase&gt;0)),
    _xlpm.puntosSecValidos,  SUM(--(_xlpm.ptsSecBase&gt;0)),
    _xlpm.clave, K50 + B50/1000,
    _xlpm.claves, _xlfn._xlws.FILTER(K:K + B:B/1000, A:A=A50),
    IF(
        AND(_xlpm.puntosPrinValidos&gt;=2, _xlpm.puntosSecValidos&gt;=4),
        IF(
            SUM(--(_xlpm.claves &lt; _xlpm.clave)) &lt; 4,
            D50,
            C50
        ),
        "No disp"
    )
)</f>
        <v>64</v>
      </c>
      <c r="T50" s="10" t="str" cm="1">
        <f t="array" aca="1" ref="T50" ca="1">_xlfn.LET(
    _xlpm.puntosSec, _xlfn._xlws.FILTER(H:H + B:B/1000, A:A=A50),
    _xlpm.puntosSecValidos, SUM(--(_xlpm.puntosSec&gt;1)),
    _xlpm.puntosAlt, _xlfn._xlws.FILTER(I:I + B:B/1000, A:A=A50),
    _xlpm.puntosAltValidos, SUM(--(_xlpm.puntosAlt&gt;1)),
    _xlpm.clave, N50 + B50/1000,
    _xlpm.claves, _xlfn._xlws.FILTER(N:N + B:B/1000, A:A=A50),
    IF(AND(_xlpm.puntosSecValidos&gt;=4,_xlpm.puntosAltValidos&gt;=2),IF(
        SUM(--(_xlpm.claves &gt; _xlpm.clave)) &lt; 4,
        D50,
        E50
    ),"No disp")
)</f>
        <v>No disp</v>
      </c>
      <c r="U50" s="10" t="str" cm="1">
        <f t="array" aca="1" ref="U50" ca="1">_xlfn.LET(
    _xlpm.puntosSec, _xlfn._xlws.FILTER(H:H + B:B/1000, A:A=A50),
    _xlpm.puntosSecValidos, SUM(--(_xlpm.puntosSec&gt;1)),
    _xlpm.puntosAlt, _xlfn._xlws.FILTER(J:J + B:B/1000, A:A=A50),
    _xlpm.puntosAltValidos, SUM(--(_xlpm.puntosAlt&gt;1)),
    _xlpm.clave, O50 + B50/1000,
    _xlpm.claves, _xlfn._xlws.FILTER(O:O + B:B/1000, A:A=A50),
    IF(AND(_xlpm.puntosSecValidos&gt;=4,_xlpm.puntosAltValidos&gt;=2),IF(
        SUM(--(_xlpm.claves &gt; _xlpm.clave)) &lt; 4,
        D50,
        F50
    ),"No disp")
)</f>
        <v>No disp</v>
      </c>
      <c r="V50" s="11" cm="1">
        <f t="array" aca="1" ref="V50" ca="1">_xlfn.LET(
_xlpm.PrinIDs,_xlfn._xlws.FILTER(C:C,(A:A=A50)),
_xlpm.SecIDs,_xlfn._xlws.FILTER(D:D,(A:A=A50)),
_xlpm.TerIDs,_xlfn._xlws.FILTER(E:E,A:A=A50),
_xlpm.CuaIDs,_xlfn._xlws.FILTER(F:F,(A:A=A50)),
_xlpm.PrinPts,_xlfn._xlws.FILTER(G:G,(A:A=A50)),
_xlpm.SecPts,_xlfn._xlws.FILTER(H:H,(A:A=A50)),
_xlpm.TerPts,_xlfn._xlws.FILTER(I:I,(A:A=A50)),
_xlpm.CuaPts,_xlfn._xlws.FILTER(J:J,(A:A=A50)),
_xlpm.PSIds,_xlfn._xlws.FILTER(P:P,A:A=A50),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506.25</v>
      </c>
      <c r="W50" s="11" cm="1">
        <f t="array" aca="1" ref="W50" ca="1">_xlfn.LET(
_xlpm.PrinIDs,_xlfn._xlws.FILTER(C:C,(A:A=A50)),
_xlpm.SecIDs,_xlfn._xlws.FILTER(D:D,(A:A=A50)),
_xlpm.TerIDs,_xlfn._xlws.FILTER(E:E,A:A=A50),
_xlpm.CuaIDs,_xlfn._xlws.FILTER(F:F,(A:A=A50)),
_xlpm.PrinPts,_xlfn._xlws.FILTER(G:G,(A:A=A50)),
_xlpm.SecPts,_xlfn._xlws.FILTER(H:H,(A:A=A50)),
_xlpm.TerPts,_xlfn._xlws.FILTER(I:I,(A:A=A50)),
_xlpm.CuaPts,_xlfn._xlws.FILTER(J:J,(A:A=A50)),
_xlpm.PTIds,_xlfn._xlws.FILTER(Q:Q,A:A=A50),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50" s="11" cm="1">
        <f t="array" aca="1" ref="X50" ca="1">_xlfn.LET(
_xlpm.PrinIDs,_xlfn._xlws.FILTER(C:C,(A:A=A50)),
_xlpm.SecIDs,_xlfn._xlws.FILTER(D:D,(A:A=A50)),
_xlpm.TerIDs,_xlfn._xlws.FILTER(E:E,A:A=A50),
_xlpm.CuaIDs,_xlfn._xlws.FILTER(F:F,(A:A=A50)),
_xlpm.PrinPts,_xlfn._xlws.FILTER(G:G,(A:A=A50)),
_xlpm.SecPts,_xlfn._xlws.FILTER(H:H,(A:A=A50)),
_xlpm.TerPts,_xlfn._xlws.FILTER(I:I,(A:A=A50)),
_xlpm.CuaPts,_xlfn._xlws.FILTER(J:J,(A:A=A50)),
_xlpm.PCIds,_xlfn._xlws.FILTER(R:R,A:A=A50),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50" s="11" cm="1">
        <f t="array" aca="1" ref="Y50" ca="1">_xlfn.LET(
_xlpm.PrinIDs,_xlfn._xlws.FILTER(C:C,(A:A=A50)),
_xlpm.SecIDs,_xlfn._xlws.FILTER(D:D,(A:A=A50)),
_xlpm.AltIDs,_xlfn._xlws.FILTER(E:E,A:A=A50),
_xlpm.PrinPts,_xlfn._xlws.FILTER(G:G,(A:A=A50)),
_xlpm.SecPts,_xlfn._xlws.FILTER(H:H,(A:A=A50)),
_xlpm.AltPts,_xlfn._xlws.FILTER(I:I,(A:A=A50)),
_xlpm.SPIds,_xlfn._xlws.FILTER(S:S,A:A=A50),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506.25</v>
      </c>
      <c r="Z50" s="11" cm="1">
        <f t="array" aca="1" ref="Z50" ca="1">_xlfn.LET(
_xlpm.PrinIDs,_xlfn._xlws.FILTER(C:C,(A:A=A50)),
_xlpm.SecIDs,_xlfn._xlws.FILTER(D:D,(A:A=A50)),
_xlpm.TerIDs,_xlfn._xlws.FILTER(E:E,A:A=A50),
_xlpm.CuaIDs,_xlfn._xlws.FILTER(F:F,(A:A=A50)),
_xlpm.PrinPts,_xlfn._xlws.FILTER(G:G,(A:A=A50)),
_xlpm.SecPts,_xlfn._xlws.FILTER(H:H,(A:A=A50)),
_xlpm.TerPts,_xlfn._xlws.FILTER(I:I,(A:A=A50)),
_xlpm.CuaPts,_xlfn._xlws.FILTER(J:J,(A:A=A50)),
_xlpm.STIds,_xlfn._xlws.FILTER(T:T,A:A=A50),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50" s="11" cm="1">
        <f t="array" aca="1" ref="AA50" ca="1">_xlfn.LET(
_xlpm.PrinIDs,_xlfn._xlws.FILTER(C:C,(A:A=A50)),
_xlpm.SecIDs,_xlfn._xlws.FILTER(D:D,(A:A=A50)),
_xlpm.TerIDs,_xlfn._xlws.FILTER(E:E,A:A=A50),
_xlpm.CuaIDs,_xlfn._xlws.FILTER(F:F,(A:A=A50)),
_xlpm.PrinPts,_xlfn._xlws.FILTER(G:G,(A:A=A50)),
_xlpm.SecPts,_xlfn._xlws.FILTER(H:H,(A:A=A50)),
_xlpm.TerPts,_xlfn._xlws.FILTER(I:I,(A:A=A50)),
_xlpm.CuaPts,_xlfn._xlws.FILTER(J:J,(A:A=A50)),
_xlpm.SCIds,_xlfn._xlws.FILTER(U:U,A:A=A50),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50" s="10">
        <f t="shared" ca="1" si="3"/>
        <v>64</v>
      </c>
      <c r="AC50" s="10">
        <v>64</v>
      </c>
      <c r="AD50" s="11"/>
      <c r="AE50" s="10" t="str">
        <f ca="1">IF(ISNUMBER(AC50),
IF($B50=1,VLOOKUP($AC50,Inventario1!$A:$H,2),
IF($B50=2,VLOOKUP($AC50,Inventario2!$A:$H,2),
IF($B50=3,VLOOKUP($AC50,Inventario3!$A:$H,2),
IF($B50=4,VLOOKUP($AC50,Inventario4!$A:$H,2),
IF($B50=5,VLOOKUP($AC50,Inventario5!$A:$H,2),
VLOOKUP($AC50,Inventario6!$A:$H,2)
))))),"No equipado")</f>
        <v>Épico</v>
      </c>
      <c r="AF50" s="10" t="str">
        <f ca="1">IF(ISNUMBER(AC50),
IF($B50=1,VLOOKUP($AC50,Inventario1!$A:$H,3),
IF($B50=2,VLOOKUP($AC50,Inventario2!$A:$H,3),
IF($B50=3,VLOOKUP($AC50,Inventario3!$A:$H,3),
IF($B50=4,VLOOKUP($AC50,Inventario4!$A:$H,3),
IF($B50=5,VLOOKUP($AC50,Inventario5!$A:$H,3),
VLOOKUP($AC50,Inventario6!$A:$H,3)
))))),"")</f>
        <v>Recepción suprema</v>
      </c>
      <c r="AG50" s="10" t="str">
        <f ca="1">IF(ISNUMBER(AC50),
IF($B50=1,VLOOKUP($AC50,Inventario1!$A:$H,4),
IF($B50=2,VLOOKUP($AC50,Inventario2!$A:$H,4),
IF($B50=3,VLOOKUP($AC50,Inventario3!$A:$H,4),
IF($B50=4,VLOOKUP($AC50,Inventario4!$A:$H,4),
IF($B50=5,VLOOKUP($AC50,Inventario5!$A:$H,4),
VLOOKUP($AC50,Inventario6!$A:$H,4)
))))),"")</f>
        <v>Recepción</v>
      </c>
      <c r="AH50" s="10" t="str">
        <f ca="1">IF(ISNUMBER(AC50),
IF($B50=1,VLOOKUP($AC50,Inventario1!$A:$H,5),
IF($B50=2,VLOOKUP($AC50,Inventario2!$A:$H,5),
IF($B50=3,VLOOKUP($AC50,Inventario3!$A:$H,5),
IF($B50=4,VLOOKUP($AC50,Inventario4!$A:$H,5),
IF($B50=5,VLOOKUP($AC50,Inventario5!$A:$H,5),
VLOOKUP($AC50,Inventario6!$A:$H,5)
))))),"")</f>
        <v>Recuperación</v>
      </c>
      <c r="AI50" s="10" t="str">
        <f ca="1">IF(ISNUMBER(AC50),
IF($B50=1,VLOOKUP($AC50,Inventario1!$A:$H,6),
IF($B50=2,VLOOKUP($AC50,Inventario2!$A:$H,6),
IF($B50=3,VLOOKUP($AC50,Inventario3!$A:$H,6),
IF($B50=4,VLOOKUP($AC50,Inventario4!$A:$H,6),
IF($B50=5,VLOOKUP($AC50,Inventario5!$A:$H,6),
VLOOKUP($AC50,Inventario6!$A:$H,6)
))))),"")</f>
        <v>Recuperación</v>
      </c>
      <c r="AJ50" s="10">
        <f ca="1">IF(ISNUMBER(AC50),
IF($B50=1,VLOOKUP($AC50,Inventario1!$A:$H,7),
IF($B50=2,VLOOKUP($AC50,Inventario2!$A:$H,7),
IF($B50=3,VLOOKUP($AC50,Inventario3!$A:$H,7),
IF($B50=4,VLOOKUP($AC50,Inventario4!$A:$H,7),
IF($B50=5,VLOOKUP($AC50,Inventario5!$A:$H,7),
VLOOKUP($AC50,Inventario6!$A:$H,7)
))))),"")</f>
        <v>0</v>
      </c>
      <c r="AK50" s="12">
        <f ca="1">IF(ISNUMBER(AC50),
IF($B50=1,VLOOKUP($AC50,Inventario1!$A:$H,8),
IF($B50=2,VLOOKUP($AC50,Inventario2!$A:$H,8),
IF($B50=3,VLOOKUP($AC50,Inventario3!$A:$H,8),
IF($B50=4,VLOOKUP($AC50,Inventario4!$A:$H,8),
IF($B50=5,VLOOKUP($AC50,Inventario5!$A:$H,8),
VLOOKUP($AC50,Inventario6!$A:$H,8)
))))),"")</f>
        <v>0</v>
      </c>
    </row>
    <row r="51" spans="1:37" x14ac:dyDescent="0.25">
      <c r="A51" s="21" t="s">
        <v>15</v>
      </c>
      <c r="B51" s="3">
        <v>2</v>
      </c>
      <c r="C51" s="14" cm="1">
        <f t="array" aca="1" ref="C51" ca="1">_xlfn.LET(
    _xlpm.jugador, A51,
    _xlpm.idSel, AC51,
    _xlpm.invIDs, IF(B51=1,Inventario1!A:A,IF(B51=2,Inventario2!A:A,IF(B51=3,Inventario3!A:A,IF(B51=4,Inventario4!A:A,IF(B51=5,Inventario5!A:A,Inventario6!A:A))))),
    _xlpm.invCalidad, IF(B51=1,Inventario1!B:B,IF(B51=2,Inventario2!B:B,IF(B51=3,Inventario3!B:B,IF(B51=4,Inventario4!B:B,IF(B51=5,Inventario5!B:B,Inventario6!B:B))))),
    _xlpm.invTipos, IF(B51=1,Inventario1!C:C,IF(B51=2,Inventario2!C:C,IF(B51=3,Inventario3!C:C,IF(B51=4,Inventario4!C:C,IF(B51=5,Inventario5!C:C,Inventario6!C:C))))),
    _xlpm.invStats, IF(B51=1,Inventario1!D:H,IF(B51=2,Inventario2!D:H,IF(B51=3,Inventario3!D:H,IF(B51=4,Inventario4!D:H,IF(B51=5,Inventario5!D:H,Inventario6!D:H))))),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IF(ROW(A51)=2,"",IF(_xlfn._xlws.FILTER(Equipar!AC$2:AC50,Equipar!B$2:B50=B51)={0},"",_xlfn._xlws.FILTER(Equipar!AC$2:AC50,Equipar!B$2:B50=B51))),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205</v>
      </c>
      <c r="D51" s="4" cm="1">
        <f t="array" aca="1" ref="D51" ca="1">_xlfn.LET(
    _xlpm.jugador, A51,
    _xlpm.idSel, AC51,
    _xlpm.invIDs, IF(B51=1,Inventario1!A:A,IF(B51=2,Inventario2!A:A,IF(B51=3,Inventario3!A:A,IF(B51=4,Inventario4!A:A,IF(B51=5,Inventario5!A:A,Inventario6!A:A))))),
    _xlpm.invCalidad, IF(B51=1,Inventario1!B:B,IF(B51=2,Inventario2!B:B,IF(B51=3,Inventario3!B:B,IF(B51=4,Inventario4!B:B,IF(B51=5,Inventario5!B:B,Inventario6!B:B))))),
    _xlpm.invTipos, IF(B51=1,Inventario1!C:C,IF(B51=2,Inventario2!C:C,IF(B51=3,Inventario3!C:C,IF(B51=4,Inventario4!C:C,IF(B51=5,Inventario5!C:C,Inventario6!C:C))))),
    _xlpm.invStats, IF(B51=1,Inventario1!D:H,IF(B51=2,Inventario2!D:H,IF(B51=3,Inventario3!D:H,IF(B51=4,Inventario4!D:H,IF(B51=5,Inventario5!D:H,Inventario6!D:H))))),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IF(ROW(A51)=2,"",IF(_xlfn._xlws.FILTER(Equipar!AC$2:AC50,Equipar!B$2:B50=B51)={0},"",_xlfn._xlws.FILTER(Equipar!AC$2:AC50,Equipar!B$2:B50=B51))),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54</v>
      </c>
      <c r="E51" s="4" t="str" cm="1">
        <f t="array" aca="1" ref="E51" ca="1">_xlfn.LET(
    _xlpm.jugador, A51,
    _xlpm.idSel, AC51,
    _xlpm.invIDs, IF(B51=1,Inventario1!A:A,IF(B51=2,Inventario2!A:A,IF(B51=3,Inventario3!A:A,IF(B51=4,Inventario4!A:A,IF(B51=5,Inventario5!A:A,Inventario6!A:A))))),
    _xlpm.invCalidad, IF(B51=1,Inventario1!B:B,IF(B51=2,Inventario2!B:B,IF(B51=3,Inventario3!B:B,IF(B51=4,Inventario4!B:B,IF(B51=5,Inventario5!B:B,Inventario6!B:B))))),
    _xlpm.invTipos, IF(B51=1,Inventario1!C:C,IF(B51=2,Inventario2!C:C,IF(B51=3,Inventario3!C:C,IF(B51=4,Inventario4!C:C,IF(B51=5,Inventario5!C:C,Inventario6!C:C))))),
    _xlpm.invStats, IF(B51=1,Inventario1!D:H,IF(B51=2,Inventario2!D:H,IF(B51=3,Inventario3!D:H,IF(B51=4,Inventario4!D:H,IF(B51=5,Inventario5!D:H,Inventario6!D:H))))),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IF(ROW(A51)=2,"",IF(_xlfn._xlws.FILTER(Equipar!AC$2:AC50,Equipar!B$2:B50=B51)={0},"",_xlfn._xlws.FILTER(Equipar!AC$2:AC50,Equipar!B$2:B50=B51))),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51" s="4" t="str" cm="1">
        <f t="array" aca="1" ref="F51" ca="1">_xlfn.LET(
    _xlpm.jugador, B51,
    _xlpm.idSel, AD51,
    _xlpm.invIDs, IF(C51=1,Inventario1!B:B,IF(C51=2,Inventario2!B:B,IF(C51=3,Inventario3!B:B,IF(C51=4,Inventario4!B:B,IF(C51=5,Inventario5!B:B,Inventario6!B:B))))),
    _xlpm.invCalidad, IF(C51=1,Inventario1!C:C,IF(C51=2,Inventario2!C:C,IF(C51=3,Inventario3!C:C,IF(C51=4,Inventario4!C:C,IF(C51=5,Inventario5!C:C,Inventario6!C:C))))),
    _xlpm.invTipos, IF(C51=1,Inventario1!D:D,IF(C51=2,Inventario2!D:D,IF(C51=3,Inventario3!D:D,IF(C51=4,Inventario4!D:D,IF(C51=5,Inventario5!D:D,Inventario6!D:D))))),
    _xlpm.invStats, IF(C51=1,Inventario1!E:I,IF(C51=2,Inventario2!E:I,IF(C51=3,Inventario3!E:I,IF(C51=4,Inventario4!E:I,IF(C51=5,Inventario5!E:I,Inventario6!E:I))))),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IF(ROW(B51)=2,"",IF(_xlfn._xlws.FILTER(Equipar!AD$2:AD50,Equipar!C$2:C50=C51)={0},"",_xlfn._xlws.FILTER(Equipar!AD$2:AD50,Equipar!C$2:C50=C51))),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51" s="14" cm="1">
        <f t="array" aca="1" ref="G51" ca="1">_xlfn.LET(
    _xlpm.jugador, A51,
    _xlpm.idSel, AC51,
    _xlpm.invIDs, IF(B51=1,Inventario1!A:A,IF(B51=2,Inventario2!A:A,IF(B51=3,Inventario3!A:A,IF(B51=4,Inventario4!A:A,IF(B51=5,Inventario5!A:A,Inventario6!A:A))))),
    _xlpm.invCalidad, IF(B51=1,Inventario1!B:B,IF(B51=2,Inventario2!B:B,IF(B51=3,Inventario3!B:B,IF(B51=4,Inventario4!B:B,IF(B51=5,Inventario5!B:B,Inventario6!B:B))))),
    _xlpm.invTipos, IF(B51=1,Inventario1!C:C,IF(B51=2,Inventario2!C:C,IF(B51=3,Inventario3!C:C,IF(B51=4,Inventario4!C:C,IF(B51=5,Inventario5!C:C,Inventario6!C:C))))),
    _xlpm.invStats, IF(B51=1,Inventario1!D:H,IF(B51=2,Inventario2!D:H,IF(B51=3,Inventario3!D:H,IF(B51=4,Inventario4!D:H,IF(B51=5,Inventario5!D:H,Inventario6!D:H))))),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IF(ROW(A51)=2,"",IF(_xlfn._xlws.FILTER(Equipar!AC$2:AC50,Equipar!B$2:B50=B51)={0},"",_xlfn._xlws.FILTER(Equipar!AC$2:AC50,Equipar!B$2:B50=B51))),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H51" s="4" cm="1">
        <f t="array" aca="1" ref="H51" ca="1">_xlfn.LET(
    _xlpm.jugador, A51,
    _xlpm.idSel, AC51,
    _xlpm.invIDs, IF(B51=1,Inventario1!A:A,IF(B51=2,Inventario2!A:A,IF(B51=3,Inventario3!A:A,IF(B51=4,Inventario4!A:A,IF(B51=5,Inventario5!A:A,Inventario6!A:A))))),
    _xlpm.invCalidad, IF(B51=1,Inventario1!B:B,IF(B51=2,Inventario2!B:B,IF(B51=3,Inventario3!B:B,IF(B51=4,Inventario4!B:B,IF(B51=5,Inventario5!B:B,Inventario6!B:B))))),
    _xlpm.invTipos, IF(B51=1,Inventario1!C:C,IF(B51=2,Inventario2!C:C,IF(B51=3,Inventario3!C:C,IF(B51=4,Inventario4!C:C,IF(B51=5,Inventario5!C:C,Inventario6!C:C))))),
    _xlpm.invStats, IF(B51=1,Inventario1!D:H,IF(B51=2,Inventario2!D:H,IF(B51=3,Inventario3!D:H,IF(B51=4,Inventario4!D:H,IF(B51=5,Inventario5!D:H,Inventario6!D:H))))),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IF(ROW(A51)=2,"",IF(_xlfn._xlws.FILTER(Equipar!AC$2:AC50,Equipar!B$2:B50=B51)={0},"",_xlfn._xlws.FILTER(Equipar!AC$2:AC50,Equipar!B$2:B50=B51))),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I51" s="4" cm="1">
        <f t="array" aca="1" ref="I51" ca="1">_xlfn.LET(
    _xlpm.jugador, A51,
    _xlpm.idSel, AC51,
    _xlpm.invIDs, IF(B51=1,Inventario1!A:A,IF(B51=2,Inventario2!A:A,IF(B51=3,Inventario3!A:A,IF(B51=4,Inventario4!A:A,IF(B51=5,Inventario5!A:A,Inventario6!A:A))))),
    _xlpm.invCalidad, IF(B51=1,Inventario1!B:B,IF(B51=2,Inventario2!B:B,IF(B51=3,Inventario3!B:B,IF(B51=4,Inventario4!B:B,IF(B51=5,Inventario5!B:B,Inventario6!B:B))))),
    _xlpm.invTipos, IF(B51=1,Inventario1!C:C,IF(B51=2,Inventario2!C:C,IF(B51=3,Inventario3!C:C,IF(B51=4,Inventario4!C:C,IF(B51=5,Inventario5!C:C,Inventario6!C:C))))),
    _xlpm.invStats, IF(B51=1,Inventario1!D:H,IF(B51=2,Inventario2!D:H,IF(B51=3,Inventario3!D:H,IF(B51=4,Inventario4!D:H,IF(B51=5,Inventario5!D:H,Inventario6!D:H))))),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IF(ROW(A51)=2,"",IF(_xlfn._xlws.FILTER(Equipar!AC$2:AC50,Equipar!B$2:B50=B51)={0},"",_xlfn._xlws.FILTER(Equipar!AC$2:AC50,Equipar!B$2:B50=B51))),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51" s="4" cm="1">
        <f t="array" aca="1" ref="J51" ca="1">_xlfn.LET(
    _xlpm.jugador, B51,
    _xlpm.idSel, AD51,
    _xlpm.invIDs, IF(C51=1,Inventario1!B:B,IF(C51=2,Inventario2!B:B,IF(C51=3,Inventario3!B:B,IF(C51=4,Inventario4!B:B,IF(C51=5,Inventario5!B:B,Inventario6!B:B))))),
    _xlpm.invCalidad, IF(C51=1,Inventario1!C:C,IF(C51=2,Inventario2!C:C,IF(C51=3,Inventario3!C:C,IF(C51=4,Inventario4!C:C,IF(C51=5,Inventario5!C:C,Inventario6!C:C))))),
    _xlpm.invTipos, IF(C51=1,Inventario1!D:D,IF(C51=2,Inventario2!D:D,IF(C51=3,Inventario3!D:D,IF(C51=4,Inventario4!D:D,IF(C51=5,Inventario5!D:D,Inventario6!D:D))))),
    _xlpm.invStats, IF(C51=1,Inventario1!E:I,IF(C51=2,Inventario2!E:I,IF(C51=3,Inventario3!E:I,IF(C51=4,Inventario4!E:I,IF(C51=5,Inventario5!E:I,Inventario6!E:I))))),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IF(ROW(B51)=2,"",IF(_xlfn._xlws.FILTER(Equipar!AD$2:AD50,Equipar!C$2:C50=C51)={0},"",_xlfn._xlws.FILTER(Equipar!AD$2:AD50,Equipar!C$2:C50=C51))),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51" s="4">
        <f t="shared" ca="1" si="0"/>
        <v>0</v>
      </c>
      <c r="L51" s="4">
        <f t="shared" ca="1" si="1"/>
        <v>54</v>
      </c>
      <c r="M51" s="4">
        <f t="shared" ca="1" si="1"/>
        <v>54</v>
      </c>
      <c r="N51" s="4">
        <f t="shared" ca="1" si="2"/>
        <v>54</v>
      </c>
      <c r="O51" s="4">
        <f t="shared" ca="1" si="2"/>
        <v>0</v>
      </c>
      <c r="P51" s="14" cm="1">
        <f t="array" aca="1" ref="P51" ca="1">_xlfn.LET(
    _xlpm.ptsPrinBase, _xlfn._xlws.FILTER(G:G, A:A=A51),
    _xlpm.ptsSecBase,  _xlfn._xlws.FILTER(H:H, A:A=A51),
    _xlpm.puntosPrin, _xlpm.ptsPrinBase + _xlfn._xlws.FILTER(B:B, A:A=A51)/1000,
    _xlpm.puntosSec,  _xlpm.ptsSecBase  + _xlfn._xlws.FILTER(B:B, A:A=A51)/1000,
    _xlpm.puntosPrinValidos, SUM(--(_xlpm.ptsPrinBase&gt;0)),
    _xlpm.puntosSecValidos,  SUM(--(_xlpm.ptsSecBase&gt;0)),
    _xlpm.clave, K51 + B51/1000,
    _xlpm.claves, _xlfn._xlws.FILTER(K:K + B:B/1000, A:A=A51),
    IF(AND(_xlpm.puntosPrinValidos&gt;=4,_xlpm.puntosSecValidos&gt;=2),IF(
        SUM(--(_xlpm.claves &gt; _xlpm.clave)) &lt; 4,
        C51,
        D51
    ),"No disp")
)</f>
        <v>205</v>
      </c>
      <c r="Q51" s="14" t="str" cm="1">
        <f t="array" aca="1" ref="Q51" ca="1">_xlfn.LET(
    _xlpm.puntosPrin, _xlfn._xlws.FILTER(G:G + B:B/1000, A:A=A51),
    _xlpm.puntosPrinValidos, SUM(--(_xlpm.puntosPrin&gt;1)),
    _xlpm.puntosTer, _xlfn._xlws.FILTER(I:I + B:B/1000, A:A=A51),
    _xlpm.puntosTerValidos, SUM(--(_xlpm.puntosTer&gt;1)),
    _xlpm.clave, L51 + B51/1000,
    _xlpm.claves, _xlfn._xlws.FILTER(L:L + B:B/1000, A:A=A51),
    IF(AND(_xlpm.puntosPrinValidos&gt;=4,_xlpm.puntosTerValidos&gt;=2),IF(
        SUM(--(_xlpm.claves &gt; _xlpm.clave)) &lt; 4,
        C51,
        E51
    ),"No disp")
)</f>
        <v>No disp</v>
      </c>
      <c r="R51" s="14" t="str" cm="1">
        <f t="array" aca="1" ref="R51" ca="1">_xlfn.LET(
    _xlpm.puntosPrin, _xlfn._xlws.FILTER(G:G + B:B/1000, A:A=A51),
    _xlpm.puntosPrinValidos, SUM(--(_xlpm.puntosPrin&gt;1)),
    _xlpm.puntosTer, _xlfn._xlws.FILTER(J:J + B:B/1000, A:A=A51),
    _xlpm.puntosTerValidos, SUM(--(_xlpm.puntosTer&gt;1)),
    _xlpm.clave, M51 + B51/1000,
    _xlpm.claves, _xlfn._xlws.FILTER(M:M + B:B/1000, A:A=A51),
    IF(AND(_xlpm.puntosPrinValidos&gt;=4,_xlpm.puntosTerValidos&gt;=2),IF(
        SUM(--(_xlpm.claves &gt; _xlpm.clave)) &lt; 4,
        C51,
        F51
    ),"No disp")
)</f>
        <v>No disp</v>
      </c>
      <c r="S51" s="14" cm="1">
        <f t="array" aca="1" ref="S51" ca="1">_xlfn.LET(
    _xlpm.ptsPrinBase, _xlfn._xlws.FILTER(G:G, A:A=A51),
    _xlpm.ptsSecBase,  _xlfn._xlws.FILTER(H:H, A:A=A51),
    _xlpm.puntosPrin, _xlpm.ptsPrinBase + _xlfn._xlws.FILTER(B:B, A:A=A51)/1000,
    _xlpm.puntosSec,  _xlpm.ptsSecBase  + _xlfn._xlws.FILTER(B:B, A:A=A51)/1000,
    _xlpm.puntosPrinValidos, SUM(--(_xlpm.ptsPrinBase&gt;0)),
    _xlpm.puntosSecValidos,  SUM(--(_xlpm.ptsSecBase&gt;0)),
    _xlpm.clave, K51 + B51/1000,
    _xlpm.claves, _xlfn._xlws.FILTER(K:K + B:B/1000, A:A=A51),
    IF(
        AND(_xlpm.puntosPrinValidos&gt;=2, _xlpm.puntosSecValidos&gt;=4),
        IF(
            SUM(--(_xlpm.claves &lt; _xlpm.clave)) &lt; 4,
            D51,
            C51
        ),
        "No disp"
    )
)</f>
        <v>54</v>
      </c>
      <c r="T51" s="14" t="str" cm="1">
        <f t="array" aca="1" ref="T51" ca="1">_xlfn.LET(
    _xlpm.puntosSec, _xlfn._xlws.FILTER(H:H + B:B/1000, A:A=A51),
    _xlpm.puntosSecValidos, SUM(--(_xlpm.puntosSec&gt;1)),
    _xlpm.puntosAlt, _xlfn._xlws.FILTER(I:I + B:B/1000, A:A=A51),
    _xlpm.puntosAltValidos, SUM(--(_xlpm.puntosAlt&gt;1)),
    _xlpm.clave, N51 + B51/1000,
    _xlpm.claves, _xlfn._xlws.FILTER(N:N + B:B/1000, A:A=A51),
    IF(AND(_xlpm.puntosSecValidos&gt;=4,_xlpm.puntosAltValidos&gt;=2),IF(
        SUM(--(_xlpm.claves &gt; _xlpm.clave)) &lt; 4,
        D51,
        E51
    ),"No disp")
)</f>
        <v>No disp</v>
      </c>
      <c r="U51" s="14" t="str" cm="1">
        <f t="array" aca="1" ref="U51" ca="1">_xlfn.LET(
    _xlpm.puntosSec, _xlfn._xlws.FILTER(H:H + B:B/1000, A:A=A51),
    _xlpm.puntosSecValidos, SUM(--(_xlpm.puntosSec&gt;1)),
    _xlpm.puntosAlt, _xlfn._xlws.FILTER(J:J + B:B/1000, A:A=A51),
    _xlpm.puntosAltValidos, SUM(--(_xlpm.puntosAlt&gt;1)),
    _xlpm.clave, O51 + B51/1000,
    _xlpm.claves, _xlfn._xlws.FILTER(O:O + B:B/1000, A:A=A51),
    IF(AND(_xlpm.puntosSecValidos&gt;=4,_xlpm.puntosAltValidos&gt;=2),IF(
        SUM(--(_xlpm.claves &gt; _xlpm.clave)) &lt; 4,
        D51,
        F51
    ),"No disp")
)</f>
        <v>No disp</v>
      </c>
      <c r="V51" s="4" cm="1">
        <f t="array" aca="1" ref="V51" ca="1">_xlfn.LET(
_xlpm.PrinIDs,_xlfn._xlws.FILTER(C:C,(A:A=A51)),
_xlpm.SecIDs,_xlfn._xlws.FILTER(D:D,(A:A=A51)),
_xlpm.TerIDs,_xlfn._xlws.FILTER(E:E,A:A=A51),
_xlpm.CuaIDs,_xlfn._xlws.FILTER(F:F,(A:A=A51)),
_xlpm.PrinPts,_xlfn._xlws.FILTER(G:G,(A:A=A51)),
_xlpm.SecPts,_xlfn._xlws.FILTER(H:H,(A:A=A51)),
_xlpm.TerPts,_xlfn._xlws.FILTER(I:I,(A:A=A51)),
_xlpm.CuaPts,_xlfn._xlws.FILTER(J:J,(A:A=A51)),
_xlpm.PSIds,_xlfn._xlws.FILTER(P:P,A:A=A51),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506.25</v>
      </c>
      <c r="W51" s="4" cm="1">
        <f t="array" aca="1" ref="W51" ca="1">_xlfn.LET(
_xlpm.PrinIDs,_xlfn._xlws.FILTER(C:C,(A:A=A51)),
_xlpm.SecIDs,_xlfn._xlws.FILTER(D:D,(A:A=A51)),
_xlpm.TerIDs,_xlfn._xlws.FILTER(E:E,A:A=A51),
_xlpm.CuaIDs,_xlfn._xlws.FILTER(F:F,(A:A=A51)),
_xlpm.PrinPts,_xlfn._xlws.FILTER(G:G,(A:A=A51)),
_xlpm.SecPts,_xlfn._xlws.FILTER(H:H,(A:A=A51)),
_xlpm.TerPts,_xlfn._xlws.FILTER(I:I,(A:A=A51)),
_xlpm.CuaPts,_xlfn._xlws.FILTER(J:J,(A:A=A51)),
_xlpm.PTIds,_xlfn._xlws.FILTER(Q:Q,A:A=A51),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51" s="4" cm="1">
        <f t="array" aca="1" ref="X51" ca="1">_xlfn.LET(
_xlpm.PrinIDs,_xlfn._xlws.FILTER(C:C,(A:A=A51)),
_xlpm.SecIDs,_xlfn._xlws.FILTER(D:D,(A:A=A51)),
_xlpm.TerIDs,_xlfn._xlws.FILTER(E:E,A:A=A51),
_xlpm.CuaIDs,_xlfn._xlws.FILTER(F:F,(A:A=A51)),
_xlpm.PrinPts,_xlfn._xlws.FILTER(G:G,(A:A=A51)),
_xlpm.SecPts,_xlfn._xlws.FILTER(H:H,(A:A=A51)),
_xlpm.TerPts,_xlfn._xlws.FILTER(I:I,(A:A=A51)),
_xlpm.CuaPts,_xlfn._xlws.FILTER(J:J,(A:A=A51)),
_xlpm.PCIds,_xlfn._xlws.FILTER(R:R,A:A=A51),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51" s="4" cm="1">
        <f t="array" aca="1" ref="Y51" ca="1">_xlfn.LET(
_xlpm.PrinIDs,_xlfn._xlws.FILTER(C:C,(A:A=A51)),
_xlpm.SecIDs,_xlfn._xlws.FILTER(D:D,(A:A=A51)),
_xlpm.AltIDs,_xlfn._xlws.FILTER(E:E,A:A=A51),
_xlpm.PrinPts,_xlfn._xlws.FILTER(G:G,(A:A=A51)),
_xlpm.SecPts,_xlfn._xlws.FILTER(H:H,(A:A=A51)),
_xlpm.AltPts,_xlfn._xlws.FILTER(I:I,(A:A=A51)),
_xlpm.SPIds,_xlfn._xlws.FILTER(S:S,A:A=A51),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506.25</v>
      </c>
      <c r="Z51" s="4" cm="1">
        <f t="array" aca="1" ref="Z51" ca="1">_xlfn.LET(
_xlpm.PrinIDs,_xlfn._xlws.FILTER(C:C,(A:A=A51)),
_xlpm.SecIDs,_xlfn._xlws.FILTER(D:D,(A:A=A51)),
_xlpm.TerIDs,_xlfn._xlws.FILTER(E:E,A:A=A51),
_xlpm.CuaIDs,_xlfn._xlws.FILTER(F:F,(A:A=A51)),
_xlpm.PrinPts,_xlfn._xlws.FILTER(G:G,(A:A=A51)),
_xlpm.SecPts,_xlfn._xlws.FILTER(H:H,(A:A=A51)),
_xlpm.TerPts,_xlfn._xlws.FILTER(I:I,(A:A=A51)),
_xlpm.CuaPts,_xlfn._xlws.FILTER(J:J,(A:A=A51)),
_xlpm.STIds,_xlfn._xlws.FILTER(T:T,A:A=A51),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51" s="4" cm="1">
        <f t="array" aca="1" ref="AA51" ca="1">_xlfn.LET(
_xlpm.PrinIDs,_xlfn._xlws.FILTER(C:C,(A:A=A51)),
_xlpm.SecIDs,_xlfn._xlws.FILTER(D:D,(A:A=A51)),
_xlpm.TerIDs,_xlfn._xlws.FILTER(E:E,A:A=A51),
_xlpm.CuaIDs,_xlfn._xlws.FILTER(F:F,(A:A=A51)),
_xlpm.PrinPts,_xlfn._xlws.FILTER(G:G,(A:A=A51)),
_xlpm.SecPts,_xlfn._xlws.FILTER(H:H,(A:A=A51)),
_xlpm.TerPts,_xlfn._xlws.FILTER(I:I,(A:A=A51)),
_xlpm.CuaPts,_xlfn._xlws.FILTER(J:J,(A:A=A51)),
_xlpm.SCIds,_xlfn._xlws.FILTER(U:U,A:A=A51),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51" s="14">
        <f t="shared" ca="1" si="3"/>
        <v>205</v>
      </c>
      <c r="AC51" s="14">
        <v>205</v>
      </c>
      <c r="AD51" s="4"/>
      <c r="AE51" s="14" t="str">
        <f ca="1">IF(ISNUMBER(AC51),
IF($B51=1,VLOOKUP($AC51,Inventario1!$A:$H,2),
IF($B51=2,VLOOKUP($AC51,Inventario2!$A:$H,2),
IF($B51=3,VLOOKUP($AC51,Inventario3!$A:$H,2),
IF($B51=4,VLOOKUP($AC51,Inventario4!$A:$H,2),
IF($B51=5,VLOOKUP($AC51,Inventario5!$A:$H,2),
VLOOKUP($AC51,Inventario6!$A:$H,2)
))))),"No equipado")</f>
        <v>Épico</v>
      </c>
      <c r="AF51" s="14" t="str">
        <f ca="1">IF(ISNUMBER(AC51),
IF($B51=1,VLOOKUP($AC51,Inventario1!$A:$H,3),
IF($B51=2,VLOOKUP($AC51,Inventario2!$A:$H,3),
IF($B51=3,VLOOKUP($AC51,Inventario3!$A:$H,3),
IF($B51=4,VLOOKUP($AC51,Inventario4!$A:$H,3),
IF($B51=5,VLOOKUP($AC51,Inventario5!$A:$H,3),
VLOOKUP($AC51,Inventario6!$A:$H,3)
))))),"")</f>
        <v>Recepción de asistencia</v>
      </c>
      <c r="AG51" s="14" t="str">
        <f ca="1">IF(ISNUMBER(AC51),
IF($B51=1,VLOOKUP($AC51,Inventario1!$A:$H,4),
IF($B51=2,VLOOKUP($AC51,Inventario2!$A:$H,4),
IF($B51=3,VLOOKUP($AC51,Inventario3!$A:$H,4),
IF($B51=4,VLOOKUP($AC51,Inventario4!$A:$H,4),
IF($B51=5,VLOOKUP($AC51,Inventario5!$A:$H,4),
VLOOKUP($AC51,Inventario6!$A:$H,4)
))))),"")</f>
        <v>Colocación</v>
      </c>
      <c r="AH51" s="14" t="str">
        <f ca="1">IF(ISNUMBER(AC51),
IF($B51=1,VLOOKUP($AC51,Inventario1!$A:$H,5),
IF($B51=2,VLOOKUP($AC51,Inventario2!$A:$H,5),
IF($B51=3,VLOOKUP($AC51,Inventario3!$A:$H,5),
IF($B51=4,VLOOKUP($AC51,Inventario4!$A:$H,5),
IF($B51=5,VLOOKUP($AC51,Inventario5!$A:$H,5),
VLOOKUP($AC51,Inventario6!$A:$H,5)
))))),"")</f>
        <v>Ataque rápido</v>
      </c>
      <c r="AI51" s="14" t="str">
        <f ca="1">IF(ISNUMBER(AC51),
IF($B51=1,VLOOKUP($AC51,Inventario1!$A:$H,6),
IF($B51=2,VLOOKUP($AC51,Inventario2!$A:$H,6),
IF($B51=3,VLOOKUP($AC51,Inventario3!$A:$H,6),
IF($B51=4,VLOOKUP($AC51,Inventario4!$A:$H,6),
IF($B51=5,VLOOKUP($AC51,Inventario5!$A:$H,6),
VLOOKUP($AC51,Inventario6!$A:$H,6)
))))),"")</f>
        <v>Recuperación</v>
      </c>
      <c r="AJ51" s="14" t="str">
        <f ca="1">IF(ISNUMBER(AC51),
IF($B51=1,VLOOKUP($AC51,Inventario1!$A:$H,7),
IF($B51=2,VLOOKUP($AC51,Inventario2!$A:$H,7),
IF($B51=3,VLOOKUP($AC51,Inventario3!$A:$H,7),
IF($B51=4,VLOOKUP($AC51,Inventario4!$A:$H,7),
IF($B51=5,VLOOKUP($AC51,Inventario5!$A:$H,7),
VLOOKUP($AC51,Inventario6!$A:$H,7)
))))),"")</f>
        <v>Recepción</v>
      </c>
      <c r="AK51" s="15">
        <f ca="1">IF(ISNUMBER(AC51),
IF($B51=1,VLOOKUP($AC51,Inventario1!$A:$H,8),
IF($B51=2,VLOOKUP($AC51,Inventario2!$A:$H,8),
IF($B51=3,VLOOKUP($AC51,Inventario3!$A:$H,8),
IF($B51=4,VLOOKUP($AC51,Inventario4!$A:$H,8),
IF($B51=5,VLOOKUP($AC51,Inventario5!$A:$H,8),
VLOOKUP($AC51,Inventario6!$A:$H,8)
))))),"")</f>
        <v>0</v>
      </c>
    </row>
    <row r="52" spans="1:37" x14ac:dyDescent="0.25">
      <c r="A52" s="21" t="s">
        <v>15</v>
      </c>
      <c r="B52" s="3">
        <v>3</v>
      </c>
      <c r="C52" s="14" cm="1">
        <f t="array" aca="1" ref="C52" ca="1">_xlfn.LET(
    _xlpm.jugador, A52,
    _xlpm.idSel, AC52,
    _xlpm.invIDs, IF(B52=1,Inventario1!A:A,IF(B52=2,Inventario2!A:A,IF(B52=3,Inventario3!A:A,IF(B52=4,Inventario4!A:A,IF(B52=5,Inventario5!A:A,Inventario6!A:A))))),
    _xlpm.invCalidad, IF(B52=1,Inventario1!B:B,IF(B52=2,Inventario2!B:B,IF(B52=3,Inventario3!B:B,IF(B52=4,Inventario4!B:B,IF(B52=5,Inventario5!B:B,Inventario6!B:B))))),
    _xlpm.invTipos, IF(B52=1,Inventario1!C:C,IF(B52=2,Inventario2!C:C,IF(B52=3,Inventario3!C:C,IF(B52=4,Inventario4!C:C,IF(B52=5,Inventario5!C:C,Inventario6!C:C))))),
    _xlpm.invStats, IF(B52=1,Inventario1!D:H,IF(B52=2,Inventario2!D:H,IF(B52=3,Inventario3!D:H,IF(B52=4,Inventario4!D:H,IF(B52=5,Inventario5!D:H,Inventario6!D:H))))),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IF(ROW(A52)=2,"",IF(_xlfn._xlws.FILTER(Equipar!AC$2:AC51,Equipar!B$2:B51=B52)={0},"",_xlfn._xlws.FILTER(Equipar!AC$2:AC51,Equipar!B$2:B51=B52))),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138</v>
      </c>
      <c r="D52" s="4" cm="1">
        <f t="array" ref="D52">_xlfn.LET(
    _xlpm.jugador, A52,
    _xlpm.idSel, AC52,
    _xlpm.invIDs, IF(B52=1,Inventario1!A:A,IF(B52=2,Inventario2!A:A,IF(B52=3,Inventario3!A:A,IF(B52=4,Inventario4!A:A,IF(B52=5,Inventario5!A:A,Inventario6!A:A))))),
    _xlpm.invCalidad, IF(B52=1,Inventario1!B:B,IF(B52=2,Inventario2!B:B,IF(B52=3,Inventario3!B:B,IF(B52=4,Inventario4!B:B,IF(B52=5,Inventario5!B:B,Inventario6!B:B))))),
    _xlpm.invTipos, IF(B52=1,Inventario1!C:C,IF(B52=2,Inventario2!C:C,IF(B52=3,Inventario3!C:C,IF(B52=4,Inventario4!C:C,IF(B52=5,Inventario5!C:C,Inventario6!C:C))))),
    _xlpm.invStats, IF(B52=1,Inventario1!D:H,IF(B52=2,Inventario2!D:H,IF(B52=3,Inventario3!D:H,IF(B52=4,Inventario4!D:H,IF(B52=5,Inventario5!D:H,Inventario6!D:H))))),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IF(ROW(A52)=2,"",IF(_xlfn._xlws.FILTER(Equipar!AC$2:AC51,Equipar!B$2:B51=B52)={0},"",_xlfn._xlws.FILTER(Equipar!AC$2:AC51,Equipar!B$2:B51=B52))),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160</v>
      </c>
      <c r="E52" s="4" t="str" cm="1">
        <f t="array" ref="E52">_xlfn.LET(
    _xlpm.jugador, A52,
    _xlpm.idSel, AC52,
    _xlpm.invIDs, IF(B52=1,Inventario1!A:A,IF(B52=2,Inventario2!A:A,IF(B52=3,Inventario3!A:A,IF(B52=4,Inventario4!A:A,IF(B52=5,Inventario5!A:A,Inventario6!A:A))))),
    _xlpm.invCalidad, IF(B52=1,Inventario1!B:B,IF(B52=2,Inventario2!B:B,IF(B52=3,Inventario3!B:B,IF(B52=4,Inventario4!B:B,IF(B52=5,Inventario5!B:B,Inventario6!B:B))))),
    _xlpm.invTipos, IF(B52=1,Inventario1!C:C,IF(B52=2,Inventario2!C:C,IF(B52=3,Inventario3!C:C,IF(B52=4,Inventario4!C:C,IF(B52=5,Inventario5!C:C,Inventario6!C:C))))),
    _xlpm.invStats, IF(B52=1,Inventario1!D:H,IF(B52=2,Inventario2!D:H,IF(B52=3,Inventario3!D:H,IF(B52=4,Inventario4!D:H,IF(B52=5,Inventario5!D:H,Inventario6!D:H))))),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IF(ROW(A52)=2,"",IF(_xlfn._xlws.FILTER(Equipar!AC$2:AC51,Equipar!B$2:B51=B52)={0},"",_xlfn._xlws.FILTER(Equipar!AC$2:AC51,Equipar!B$2:B51=B52))),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52" s="4" t="str" cm="1">
        <f t="array" aca="1" ref="F52" ca="1">_xlfn.LET(
    _xlpm.jugador, B52,
    _xlpm.idSel, AD52,
    _xlpm.invIDs, IF(C52=1,Inventario1!B:B,IF(C52=2,Inventario2!B:B,IF(C52=3,Inventario3!B:B,IF(C52=4,Inventario4!B:B,IF(C52=5,Inventario5!B:B,Inventario6!B:B))))),
    _xlpm.invCalidad, IF(C52=1,Inventario1!C:C,IF(C52=2,Inventario2!C:C,IF(C52=3,Inventario3!C:C,IF(C52=4,Inventario4!C:C,IF(C52=5,Inventario5!C:C,Inventario6!C:C))))),
    _xlpm.invTipos, IF(C52=1,Inventario1!D:D,IF(C52=2,Inventario2!D:D,IF(C52=3,Inventario3!D:D,IF(C52=4,Inventario4!D:D,IF(C52=5,Inventario5!D:D,Inventario6!D:D))))),
    _xlpm.invStats, IF(C52=1,Inventario1!E:I,IF(C52=2,Inventario2!E:I,IF(C52=3,Inventario3!E:I,IF(C52=4,Inventario4!E:I,IF(C52=5,Inventario5!E:I,Inventario6!E:I))))),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IF(ROW(B52)=2,"",IF(_xlfn._xlws.FILTER(Equipar!AD$2:AD51,Equipar!C$2:C51=C52)={0},"",_xlfn._xlws.FILTER(Equipar!AD$2:AD51,Equipar!C$2:C51=C52))),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52" s="14" cm="1">
        <f t="array" aca="1" ref="G52" ca="1">_xlfn.LET(
    _xlpm.jugador, A52,
    _xlpm.idSel, AC52,
    _xlpm.invIDs, IF(B52=1,Inventario1!A:A,IF(B52=2,Inventario2!A:A,IF(B52=3,Inventario3!A:A,IF(B52=4,Inventario4!A:A,IF(B52=5,Inventario5!A:A,Inventario6!A:A))))),
    _xlpm.invCalidad, IF(B52=1,Inventario1!B:B,IF(B52=2,Inventario2!B:B,IF(B52=3,Inventario3!B:B,IF(B52=4,Inventario4!B:B,IF(B52=5,Inventario5!B:B,Inventario6!B:B))))),
    _xlpm.invTipos, IF(B52=1,Inventario1!C:C,IF(B52=2,Inventario2!C:C,IF(B52=3,Inventario3!C:C,IF(B52=4,Inventario4!C:C,IF(B52=5,Inventario5!C:C,Inventario6!C:C))))),
    _xlpm.invStats, IF(B52=1,Inventario1!D:H,IF(B52=2,Inventario2!D:H,IF(B52=3,Inventario3!D:H,IF(B52=4,Inventario4!D:H,IF(B52=5,Inventario5!D:H,Inventario6!D:H))))),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IF(ROW(A52)=2,"",IF(_xlfn._xlws.FILTER(Equipar!AC$2:AC51,Equipar!B$2:B51=B52)={0},"",_xlfn._xlws.FILTER(Equipar!AC$2:AC51,Equipar!B$2:B51=B52))),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36</v>
      </c>
      <c r="H52" s="4" cm="1">
        <f t="array" ref="H52">_xlfn.LET(
    _xlpm.jugador, A52,
    _xlpm.idSel, AC52,
    _xlpm.invIDs, IF(B52=1,Inventario1!A:A,IF(B52=2,Inventario2!A:A,IF(B52=3,Inventario3!A:A,IF(B52=4,Inventario4!A:A,IF(B52=5,Inventario5!A:A,Inventario6!A:A))))),
    _xlpm.invCalidad, IF(B52=1,Inventario1!B:B,IF(B52=2,Inventario2!B:B,IF(B52=3,Inventario3!B:B,IF(B52=4,Inventario4!B:B,IF(B52=5,Inventario5!B:B,Inventario6!B:B))))),
    _xlpm.invTipos, IF(B52=1,Inventario1!C:C,IF(B52=2,Inventario2!C:C,IF(B52=3,Inventario3!C:C,IF(B52=4,Inventario4!C:C,IF(B52=5,Inventario5!C:C,Inventario6!C:C))))),
    _xlpm.invStats, IF(B52=1,Inventario1!D:H,IF(B52=2,Inventario2!D:H,IF(B52=3,Inventario3!D:H,IF(B52=4,Inventario4!D:H,IF(B52=5,Inventario5!D:H,Inventario6!D:H))))),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IF(ROW(A52)=2,"",IF(_xlfn._xlws.FILTER(Equipar!AC$2:AC51,Equipar!B$2:B51=B52)={0},"",_xlfn._xlws.FILTER(Equipar!AC$2:AC51,Equipar!B$2:B51=B52))),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I52" s="4" cm="1">
        <f t="array" ref="I52">_xlfn.LET(
    _xlpm.jugador, A52,
    _xlpm.idSel, AC52,
    _xlpm.invIDs, IF(B52=1,Inventario1!A:A,IF(B52=2,Inventario2!A:A,IF(B52=3,Inventario3!A:A,IF(B52=4,Inventario4!A:A,IF(B52=5,Inventario5!A:A,Inventario6!A:A))))),
    _xlpm.invCalidad, IF(B52=1,Inventario1!B:B,IF(B52=2,Inventario2!B:B,IF(B52=3,Inventario3!B:B,IF(B52=4,Inventario4!B:B,IF(B52=5,Inventario5!B:B,Inventario6!B:B))))),
    _xlpm.invTipos, IF(B52=1,Inventario1!C:C,IF(B52=2,Inventario2!C:C,IF(B52=3,Inventario3!C:C,IF(B52=4,Inventario4!C:C,IF(B52=5,Inventario5!C:C,Inventario6!C:C))))),
    _xlpm.invStats, IF(B52=1,Inventario1!D:H,IF(B52=2,Inventario2!D:H,IF(B52=3,Inventario3!D:H,IF(B52=4,Inventario4!D:H,IF(B52=5,Inventario5!D:H,Inventario6!D:H))))),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IF(ROW(A52)=2,"",IF(_xlfn._xlws.FILTER(Equipar!AC$2:AC51,Equipar!B$2:B51=B52)={0},"",_xlfn._xlws.FILTER(Equipar!AC$2:AC51,Equipar!B$2:B51=B52))),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52" s="4" cm="1">
        <f t="array" aca="1" ref="J52" ca="1">_xlfn.LET(
    _xlpm.jugador, B52,
    _xlpm.idSel, AD52,
    _xlpm.invIDs, IF(C52=1,Inventario1!B:B,IF(C52=2,Inventario2!B:B,IF(C52=3,Inventario3!B:B,IF(C52=4,Inventario4!B:B,IF(C52=5,Inventario5!B:B,Inventario6!B:B))))),
    _xlpm.invCalidad, IF(C52=1,Inventario1!C:C,IF(C52=2,Inventario2!C:C,IF(C52=3,Inventario3!C:C,IF(C52=4,Inventario4!C:C,IF(C52=5,Inventario5!C:C,Inventario6!C:C))))),
    _xlpm.invTipos, IF(C52=1,Inventario1!D:D,IF(C52=2,Inventario2!D:D,IF(C52=3,Inventario3!D:D,IF(C52=4,Inventario4!D:D,IF(C52=5,Inventario5!D:D,Inventario6!D:D))))),
    _xlpm.invStats, IF(C52=1,Inventario1!E:I,IF(C52=2,Inventario2!E:I,IF(C52=3,Inventario3!E:I,IF(C52=4,Inventario4!E:I,IF(C52=5,Inventario5!E:I,Inventario6!E:I))))),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IF(ROW(B52)=2,"",IF(_xlfn._xlws.FILTER(Equipar!AD$2:AD51,Equipar!C$2:C51=C52)={0},"",_xlfn._xlws.FILTER(Equipar!AD$2:AD51,Equipar!C$2:C51=C52))),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52" s="4">
        <f t="shared" ca="1" si="0"/>
        <v>-36</v>
      </c>
      <c r="L52" s="4">
        <f t="shared" ca="1" si="1"/>
        <v>36</v>
      </c>
      <c r="M52" s="4">
        <f t="shared" ca="1" si="1"/>
        <v>72</v>
      </c>
      <c r="N52" s="4">
        <f t="shared" si="2"/>
        <v>72</v>
      </c>
      <c r="O52" s="4">
        <f t="shared" ca="1" si="2"/>
        <v>0</v>
      </c>
      <c r="P52" s="14" cm="1">
        <f t="array" aca="1" ref="P52" ca="1">_xlfn.LET(
    _xlpm.ptsPrinBase, _xlfn._xlws.FILTER(G:G, A:A=A52),
    _xlpm.ptsSecBase,  _xlfn._xlws.FILTER(H:H, A:A=A52),
    _xlpm.puntosPrin, _xlpm.ptsPrinBase + _xlfn._xlws.FILTER(B:B, A:A=A52)/1000,
    _xlpm.puntosSec,  _xlpm.ptsSecBase  + _xlfn._xlws.FILTER(B:B, A:A=A52)/1000,
    _xlpm.puntosPrinValidos, SUM(--(_xlpm.ptsPrinBase&gt;0)),
    _xlpm.puntosSecValidos,  SUM(--(_xlpm.ptsSecBase&gt;0)),
    _xlpm.clave, K52 + B52/1000,
    _xlpm.claves, _xlfn._xlws.FILTER(K:K + B:B/1000, A:A=A52),
    IF(AND(_xlpm.puntosPrinValidos&gt;=4,_xlpm.puntosSecValidos&gt;=2),IF(
        SUM(--(_xlpm.claves &gt; _xlpm.clave)) &lt; 4,
        C52,
        D52
    ),"No disp")
)</f>
        <v>160</v>
      </c>
      <c r="Q52" s="14" t="str" cm="1">
        <f t="array" aca="1" ref="Q52" ca="1">_xlfn.LET(
    _xlpm.puntosPrin, _xlfn._xlws.FILTER(G:G + B:B/1000, A:A=A52),
    _xlpm.puntosPrinValidos, SUM(--(_xlpm.puntosPrin&gt;1)),
    _xlpm.puntosTer, _xlfn._xlws.FILTER(I:I + B:B/1000, A:A=A52),
    _xlpm.puntosTerValidos, SUM(--(_xlpm.puntosTer&gt;1)),
    _xlpm.clave, L52 + B52/1000,
    _xlpm.claves, _xlfn._xlws.FILTER(L:L + B:B/1000, A:A=A52),
    IF(AND(_xlpm.puntosPrinValidos&gt;=4,_xlpm.puntosTerValidos&gt;=2),IF(
        SUM(--(_xlpm.claves &gt; _xlpm.clave)) &lt; 4,
        C52,
        E52
    ),"No disp")
)</f>
        <v>No disp</v>
      </c>
      <c r="R52" s="14" t="str" cm="1">
        <f t="array" aca="1" ref="R52" ca="1">_xlfn.LET(
    _xlpm.puntosPrin, _xlfn._xlws.FILTER(G:G + B:B/1000, A:A=A52),
    _xlpm.puntosPrinValidos, SUM(--(_xlpm.puntosPrin&gt;1)),
    _xlpm.puntosTer, _xlfn._xlws.FILTER(J:J + B:B/1000, A:A=A52),
    _xlpm.puntosTerValidos, SUM(--(_xlpm.puntosTer&gt;1)),
    _xlpm.clave, M52 + B52/1000,
    _xlpm.claves, _xlfn._xlws.FILTER(M:M + B:B/1000, A:A=A52),
    IF(AND(_xlpm.puntosPrinValidos&gt;=4,_xlpm.puntosTerValidos&gt;=2),IF(
        SUM(--(_xlpm.claves &gt; _xlpm.clave)) &lt; 4,
        C52,
        F52
    ),"No disp")
)</f>
        <v>No disp</v>
      </c>
      <c r="S52" s="14" cm="1">
        <f t="array" aca="1" ref="S52" ca="1">_xlfn.LET(
    _xlpm.ptsPrinBase, _xlfn._xlws.FILTER(G:G, A:A=A52),
    _xlpm.ptsSecBase,  _xlfn._xlws.FILTER(H:H, A:A=A52),
    _xlpm.puntosPrin, _xlpm.ptsPrinBase + _xlfn._xlws.FILTER(B:B, A:A=A52)/1000,
    _xlpm.puntosSec,  _xlpm.ptsSecBase  + _xlfn._xlws.FILTER(B:B, A:A=A52)/1000,
    _xlpm.puntosPrinValidos, SUM(--(_xlpm.ptsPrinBase&gt;0)),
    _xlpm.puntosSecValidos,  SUM(--(_xlpm.ptsSecBase&gt;0)),
    _xlpm.clave, K52 + B52/1000,
    _xlpm.claves, _xlfn._xlws.FILTER(K:K + B:B/1000, A:A=A52),
    IF(
        AND(_xlpm.puntosPrinValidos&gt;=2, _xlpm.puntosSecValidos&gt;=4),
        IF(
            SUM(--(_xlpm.claves &lt; _xlpm.clave)) &lt; 4,
            D52,
            C52
        ),
        "No disp"
    )
)</f>
        <v>160</v>
      </c>
      <c r="T52" s="14" t="str" cm="1">
        <f t="array" aca="1" ref="T52" ca="1">_xlfn.LET(
    _xlpm.puntosSec, _xlfn._xlws.FILTER(H:H + B:B/1000, A:A=A52),
    _xlpm.puntosSecValidos, SUM(--(_xlpm.puntosSec&gt;1)),
    _xlpm.puntosAlt, _xlfn._xlws.FILTER(I:I + B:B/1000, A:A=A52),
    _xlpm.puntosAltValidos, SUM(--(_xlpm.puntosAlt&gt;1)),
    _xlpm.clave, N52 + B52/1000,
    _xlpm.claves, _xlfn._xlws.FILTER(N:N + B:B/1000, A:A=A52),
    IF(AND(_xlpm.puntosSecValidos&gt;=4,_xlpm.puntosAltValidos&gt;=2),IF(
        SUM(--(_xlpm.claves &gt; _xlpm.clave)) &lt; 4,
        D52,
        E52
    ),"No disp")
)</f>
        <v>No disp</v>
      </c>
      <c r="U52" s="14" t="str" cm="1">
        <f t="array" aca="1" ref="U52" ca="1">_xlfn.LET(
    _xlpm.puntosSec, _xlfn._xlws.FILTER(H:H + B:B/1000, A:A=A52),
    _xlpm.puntosSecValidos, SUM(--(_xlpm.puntosSec&gt;1)),
    _xlpm.puntosAlt, _xlfn._xlws.FILTER(J:J + B:B/1000, A:A=A52),
    _xlpm.puntosAltValidos, SUM(--(_xlpm.puntosAlt&gt;1)),
    _xlpm.clave, O52 + B52/1000,
    _xlpm.claves, _xlfn._xlws.FILTER(O:O + B:B/1000, A:A=A52),
    IF(AND(_xlpm.puntosSecValidos&gt;=4,_xlpm.puntosAltValidos&gt;=2),IF(
        SUM(--(_xlpm.claves &gt; _xlpm.clave)) &lt; 4,
        D52,
        F52
    ),"No disp")
)</f>
        <v>No disp</v>
      </c>
      <c r="V52" s="4" cm="1">
        <f t="array" aca="1" ref="V52" ca="1">_xlfn.LET(
_xlpm.PrinIDs,_xlfn._xlws.FILTER(C:C,(A:A=A52)),
_xlpm.SecIDs,_xlfn._xlws.FILTER(D:D,(A:A=A52)),
_xlpm.TerIDs,_xlfn._xlws.FILTER(E:E,A:A=A52),
_xlpm.CuaIDs,_xlfn._xlws.FILTER(F:F,(A:A=A52)),
_xlpm.PrinPts,_xlfn._xlws.FILTER(G:G,(A:A=A52)),
_xlpm.SecPts,_xlfn._xlws.FILTER(H:H,(A:A=A52)),
_xlpm.TerPts,_xlfn._xlws.FILTER(I:I,(A:A=A52)),
_xlpm.CuaPts,_xlfn._xlws.FILTER(J:J,(A:A=A52)),
_xlpm.PSIds,_xlfn._xlws.FILTER(P:P,A:A=A52),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506.25</v>
      </c>
      <c r="W52" s="4" cm="1">
        <f t="array" aca="1" ref="W52" ca="1">_xlfn.LET(
_xlpm.PrinIDs,_xlfn._xlws.FILTER(C:C,(A:A=A52)),
_xlpm.SecIDs,_xlfn._xlws.FILTER(D:D,(A:A=A52)),
_xlpm.TerIDs,_xlfn._xlws.FILTER(E:E,A:A=A52),
_xlpm.CuaIDs,_xlfn._xlws.FILTER(F:F,(A:A=A52)),
_xlpm.PrinPts,_xlfn._xlws.FILTER(G:G,(A:A=A52)),
_xlpm.SecPts,_xlfn._xlws.FILTER(H:H,(A:A=A52)),
_xlpm.TerPts,_xlfn._xlws.FILTER(I:I,(A:A=A52)),
_xlpm.CuaPts,_xlfn._xlws.FILTER(J:J,(A:A=A52)),
_xlpm.PTIds,_xlfn._xlws.FILTER(Q:Q,A:A=A52),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52" s="4" cm="1">
        <f t="array" aca="1" ref="X52" ca="1">_xlfn.LET(
_xlpm.PrinIDs,_xlfn._xlws.FILTER(C:C,(A:A=A52)),
_xlpm.SecIDs,_xlfn._xlws.FILTER(D:D,(A:A=A52)),
_xlpm.TerIDs,_xlfn._xlws.FILTER(E:E,A:A=A52),
_xlpm.CuaIDs,_xlfn._xlws.FILTER(F:F,(A:A=A52)),
_xlpm.PrinPts,_xlfn._xlws.FILTER(G:G,(A:A=A52)),
_xlpm.SecPts,_xlfn._xlws.FILTER(H:H,(A:A=A52)),
_xlpm.TerPts,_xlfn._xlws.FILTER(I:I,(A:A=A52)),
_xlpm.CuaPts,_xlfn._xlws.FILTER(J:J,(A:A=A52)),
_xlpm.PCIds,_xlfn._xlws.FILTER(R:R,A:A=A52),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52" s="4" cm="1">
        <f t="array" aca="1" ref="Y52" ca="1">_xlfn.LET(
_xlpm.PrinIDs,_xlfn._xlws.FILTER(C:C,(A:A=A52)),
_xlpm.SecIDs,_xlfn._xlws.FILTER(D:D,(A:A=A52)),
_xlpm.AltIDs,_xlfn._xlws.FILTER(E:E,A:A=A52),
_xlpm.PrinPts,_xlfn._xlws.FILTER(G:G,(A:A=A52)),
_xlpm.SecPts,_xlfn._xlws.FILTER(H:H,(A:A=A52)),
_xlpm.AltPts,_xlfn._xlws.FILTER(I:I,(A:A=A52)),
_xlpm.SPIds,_xlfn._xlws.FILTER(S:S,A:A=A52),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506.25</v>
      </c>
      <c r="Z52" s="4" cm="1">
        <f t="array" aca="1" ref="Z52" ca="1">_xlfn.LET(
_xlpm.PrinIDs,_xlfn._xlws.FILTER(C:C,(A:A=A52)),
_xlpm.SecIDs,_xlfn._xlws.FILTER(D:D,(A:A=A52)),
_xlpm.TerIDs,_xlfn._xlws.FILTER(E:E,A:A=A52),
_xlpm.CuaIDs,_xlfn._xlws.FILTER(F:F,(A:A=A52)),
_xlpm.PrinPts,_xlfn._xlws.FILTER(G:G,(A:A=A52)),
_xlpm.SecPts,_xlfn._xlws.FILTER(H:H,(A:A=A52)),
_xlpm.TerPts,_xlfn._xlws.FILTER(I:I,(A:A=A52)),
_xlpm.CuaPts,_xlfn._xlws.FILTER(J:J,(A:A=A52)),
_xlpm.STIds,_xlfn._xlws.FILTER(T:T,A:A=A52),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52" s="4" cm="1">
        <f t="array" aca="1" ref="AA52" ca="1">_xlfn.LET(
_xlpm.PrinIDs,_xlfn._xlws.FILTER(C:C,(A:A=A52)),
_xlpm.SecIDs,_xlfn._xlws.FILTER(D:D,(A:A=A52)),
_xlpm.TerIDs,_xlfn._xlws.FILTER(E:E,A:A=A52),
_xlpm.CuaIDs,_xlfn._xlws.FILTER(F:F,(A:A=A52)),
_xlpm.PrinPts,_xlfn._xlws.FILTER(G:G,(A:A=A52)),
_xlpm.SecPts,_xlfn._xlws.FILTER(H:H,(A:A=A52)),
_xlpm.TerPts,_xlfn._xlws.FILTER(I:I,(A:A=A52)),
_xlpm.CuaPts,_xlfn._xlws.FILTER(J:J,(A:A=A52)),
_xlpm.SCIds,_xlfn._xlws.FILTER(U:U,A:A=A52),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52" s="14">
        <f t="shared" ca="1" si="3"/>
        <v>160</v>
      </c>
      <c r="AC52" s="14">
        <v>160</v>
      </c>
      <c r="AD52" s="4"/>
      <c r="AE52" s="14" t="str">
        <f ca="1">IF(ISNUMBER(AC52),
IF($B52=1,VLOOKUP($AC52,Inventario1!$A:$H,2),
IF($B52=2,VLOOKUP($AC52,Inventario2!$A:$H,2),
IF($B52=3,VLOOKUP($AC52,Inventario3!$A:$H,2),
IF($B52=4,VLOOKUP($AC52,Inventario4!$A:$H,2),
IF($B52=5,VLOOKUP($AC52,Inventario5!$A:$H,2),
VLOOKUP($AC52,Inventario6!$A:$H,2)
))))),"No equipado")</f>
        <v>Épico</v>
      </c>
      <c r="AF52" s="14" t="str">
        <f ca="1">IF(ISNUMBER(AC52),
IF($B52=1,VLOOKUP($AC52,Inventario1!$A:$H,3),
IF($B52=2,VLOOKUP($AC52,Inventario2!$A:$H,3),
IF($B52=3,VLOOKUP($AC52,Inventario3!$A:$H,3),
IF($B52=4,VLOOKUP($AC52,Inventario4!$A:$H,3),
IF($B52=5,VLOOKUP($AC52,Inventario5!$A:$H,3),
VLOOKUP($AC52,Inventario6!$A:$H,3)
))))),"")</f>
        <v>Recepción suprema</v>
      </c>
      <c r="AG52" s="14" t="str">
        <f ca="1">IF(ISNUMBER(AC52),
IF($B52=1,VLOOKUP($AC52,Inventario1!$A:$H,4),
IF($B52=2,VLOOKUP($AC52,Inventario2!$A:$H,4),
IF($B52=3,VLOOKUP($AC52,Inventario3!$A:$H,4),
IF($B52=4,VLOOKUP($AC52,Inventario4!$A:$H,4),
IF($B52=5,VLOOKUP($AC52,Inventario5!$A:$H,4),
VLOOKUP($AC52,Inventario6!$A:$H,4)
))))),"")</f>
        <v>Saque</v>
      </c>
      <c r="AH52" s="14" t="str">
        <f ca="1">IF(ISNUMBER(AC52),
IF($B52=1,VLOOKUP($AC52,Inventario1!$A:$H,5),
IF($B52=2,VLOOKUP($AC52,Inventario2!$A:$H,5),
IF($B52=3,VLOOKUP($AC52,Inventario3!$A:$H,5),
IF($B52=4,VLOOKUP($AC52,Inventario4!$A:$H,5),
IF($B52=5,VLOOKUP($AC52,Inventario5!$A:$H,5),
VLOOKUP($AC52,Inventario6!$A:$H,5)
))))),"")</f>
        <v>Recuperación</v>
      </c>
      <c r="AI52" s="14" t="str">
        <f ca="1">IF(ISNUMBER(AC52),
IF($B52=1,VLOOKUP($AC52,Inventario1!$A:$H,6),
IF($B52=2,VLOOKUP($AC52,Inventario2!$A:$H,6),
IF($B52=3,VLOOKUP($AC52,Inventario3!$A:$H,6),
IF($B52=4,VLOOKUP($AC52,Inventario4!$A:$H,6),
IF($B52=5,VLOOKUP($AC52,Inventario5!$A:$H,6),
VLOOKUP($AC52,Inventario6!$A:$H,6)
))))),"")</f>
        <v>Espíritu</v>
      </c>
      <c r="AJ52" s="14" t="str">
        <f ca="1">IF(ISNUMBER(AC52),
IF($B52=1,VLOOKUP($AC52,Inventario1!$A:$H,7),
IF($B52=2,VLOOKUP($AC52,Inventario2!$A:$H,7),
IF($B52=3,VLOOKUP($AC52,Inventario3!$A:$H,7),
IF($B52=4,VLOOKUP($AC52,Inventario4!$A:$H,7),
IF($B52=5,VLOOKUP($AC52,Inventario5!$A:$H,7),
VLOOKUP($AC52,Inventario6!$A:$H,7)
))))),"")</f>
        <v>Recepción</v>
      </c>
      <c r="AK52" s="15">
        <f ca="1">IF(ISNUMBER(AC52),
IF($B52=1,VLOOKUP($AC52,Inventario1!$A:$H,8),
IF($B52=2,VLOOKUP($AC52,Inventario2!$A:$H,8),
IF($B52=3,VLOOKUP($AC52,Inventario3!$A:$H,8),
IF($B52=4,VLOOKUP($AC52,Inventario4!$A:$H,8),
IF($B52=5,VLOOKUP($AC52,Inventario5!$A:$H,8),
VLOOKUP($AC52,Inventario6!$A:$H,8)
))))),"")</f>
        <v>0</v>
      </c>
    </row>
    <row r="53" spans="1:37" x14ac:dyDescent="0.25">
      <c r="A53" s="21" t="s">
        <v>15</v>
      </c>
      <c r="B53" s="3">
        <v>4</v>
      </c>
      <c r="C53" s="14" cm="1">
        <f t="array" aca="1" ref="C53" ca="1">_xlfn.LET(
    _xlpm.jugador, A53,
    _xlpm.idSel, AC53,
    _xlpm.invIDs, IF(B53=1,Inventario1!A:A,IF(B53=2,Inventario2!A:A,IF(B53=3,Inventario3!A:A,IF(B53=4,Inventario4!A:A,IF(B53=5,Inventario5!A:A,Inventario6!A:A))))),
    _xlpm.invCalidad, IF(B53=1,Inventario1!B:B,IF(B53=2,Inventario2!B:B,IF(B53=3,Inventario3!B:B,IF(B53=4,Inventario4!B:B,IF(B53=5,Inventario5!B:B,Inventario6!B:B))))),
    _xlpm.invTipos, IF(B53=1,Inventario1!C:C,IF(B53=2,Inventario2!C:C,IF(B53=3,Inventario3!C:C,IF(B53=4,Inventario4!C:C,IF(B53=5,Inventario5!C:C,Inventario6!C:C))))),
    _xlpm.invStats, IF(B53=1,Inventario1!D:H,IF(B53=2,Inventario2!D:H,IF(B53=3,Inventario3!D:H,IF(B53=4,Inventario4!D:H,IF(B53=5,Inventario5!D:H,Inventario6!D:H))))),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IF(ROW(A53)=2,"",IF(_xlfn._xlws.FILTER(Equipar!AC$2:AC52,Equipar!B$2:B52=B53)={0},"",_xlfn._xlws.FILTER(Equipar!AC$2:AC52,Equipar!B$2:B52=B53))),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142</v>
      </c>
      <c r="D53" s="4" cm="1">
        <f t="array" ref="D53">_xlfn.LET(
    _xlpm.jugador, A53,
    _xlpm.idSel, AC53,
    _xlpm.invIDs, IF(B53=1,Inventario1!A:A,IF(B53=2,Inventario2!A:A,IF(B53=3,Inventario3!A:A,IF(B53=4,Inventario4!A:A,IF(B53=5,Inventario5!A:A,Inventario6!A:A))))),
    _xlpm.invCalidad, IF(B53=1,Inventario1!B:B,IF(B53=2,Inventario2!B:B,IF(B53=3,Inventario3!B:B,IF(B53=4,Inventario4!B:B,IF(B53=5,Inventario5!B:B,Inventario6!B:B))))),
    _xlpm.invTipos, IF(B53=1,Inventario1!C:C,IF(B53=2,Inventario2!C:C,IF(B53=3,Inventario3!C:C,IF(B53=4,Inventario4!C:C,IF(B53=5,Inventario5!C:C,Inventario6!C:C))))),
    _xlpm.invStats, IF(B53=1,Inventario1!D:H,IF(B53=2,Inventario2!D:H,IF(B53=3,Inventario3!D:H,IF(B53=4,Inventario4!D:H,IF(B53=5,Inventario5!D:H,Inventario6!D:H))))),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IF(ROW(A53)=2,"",IF(_xlfn._xlws.FILTER(Equipar!AC$2:AC52,Equipar!B$2:B52=B53)={0},"",_xlfn._xlws.FILTER(Equipar!AC$2:AC52,Equipar!B$2:B52=B53))),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215</v>
      </c>
      <c r="E53" s="4" t="str" cm="1">
        <f t="array" ref="E53">_xlfn.LET(
    _xlpm.jugador, A53,
    _xlpm.idSel, AC53,
    _xlpm.invIDs, IF(B53=1,Inventario1!A:A,IF(B53=2,Inventario2!A:A,IF(B53=3,Inventario3!A:A,IF(B53=4,Inventario4!A:A,IF(B53=5,Inventario5!A:A,Inventario6!A:A))))),
    _xlpm.invCalidad, IF(B53=1,Inventario1!B:B,IF(B53=2,Inventario2!B:B,IF(B53=3,Inventario3!B:B,IF(B53=4,Inventario4!B:B,IF(B53=5,Inventario5!B:B,Inventario6!B:B))))),
    _xlpm.invTipos, IF(B53=1,Inventario1!C:C,IF(B53=2,Inventario2!C:C,IF(B53=3,Inventario3!C:C,IF(B53=4,Inventario4!C:C,IF(B53=5,Inventario5!C:C,Inventario6!C:C))))),
    _xlpm.invStats, IF(B53=1,Inventario1!D:H,IF(B53=2,Inventario2!D:H,IF(B53=3,Inventario3!D:H,IF(B53=4,Inventario4!D:H,IF(B53=5,Inventario5!D:H,Inventario6!D:H))))),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IF(ROW(A53)=2,"",IF(_xlfn._xlws.FILTER(Equipar!AC$2:AC52,Equipar!B$2:B52=B53)={0},"",_xlfn._xlws.FILTER(Equipar!AC$2:AC52,Equipar!B$2:B52=B53))),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53" s="4" t="str" cm="1">
        <f t="array" aca="1" ref="F53" ca="1">_xlfn.LET(
    _xlpm.jugador, B53,
    _xlpm.idSel, AD53,
    _xlpm.invIDs, IF(C53=1,Inventario1!B:B,IF(C53=2,Inventario2!B:B,IF(C53=3,Inventario3!B:B,IF(C53=4,Inventario4!B:B,IF(C53=5,Inventario5!B:B,Inventario6!B:B))))),
    _xlpm.invCalidad, IF(C53=1,Inventario1!C:C,IF(C53=2,Inventario2!C:C,IF(C53=3,Inventario3!C:C,IF(C53=4,Inventario4!C:C,IF(C53=5,Inventario5!C:C,Inventario6!C:C))))),
    _xlpm.invTipos, IF(C53=1,Inventario1!D:D,IF(C53=2,Inventario2!D:D,IF(C53=3,Inventario3!D:D,IF(C53=4,Inventario4!D:D,IF(C53=5,Inventario5!D:D,Inventario6!D:D))))),
    _xlpm.invStats, IF(C53=1,Inventario1!E:I,IF(C53=2,Inventario2!E:I,IF(C53=3,Inventario3!E:I,IF(C53=4,Inventario4!E:I,IF(C53=5,Inventario5!E:I,Inventario6!E:I))))),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IF(ROW(B53)=2,"",IF(_xlfn._xlws.FILTER(Equipar!AD$2:AD52,Equipar!C$2:C52=C53)={0},"",_xlfn._xlws.FILTER(Equipar!AD$2:AD52,Equipar!C$2:C52=C53))),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53" s="14" cm="1">
        <f t="array" aca="1" ref="G53" ca="1">_xlfn.LET(
    _xlpm.jugador, A53,
    _xlpm.idSel, AC53,
    _xlpm.invIDs, IF(B53=1,Inventario1!A:A,IF(B53=2,Inventario2!A:A,IF(B53=3,Inventario3!A:A,IF(B53=4,Inventario4!A:A,IF(B53=5,Inventario5!A:A,Inventario6!A:A))))),
    _xlpm.invCalidad, IF(B53=1,Inventario1!B:B,IF(B53=2,Inventario2!B:B,IF(B53=3,Inventario3!B:B,IF(B53=4,Inventario4!B:B,IF(B53=5,Inventario5!B:B,Inventario6!B:B))))),
    _xlpm.invTipos, IF(B53=1,Inventario1!C:C,IF(B53=2,Inventario2!C:C,IF(B53=3,Inventario3!C:C,IF(B53=4,Inventario4!C:C,IF(B53=5,Inventario5!C:C,Inventario6!C:C))))),
    _xlpm.invStats, IF(B53=1,Inventario1!D:H,IF(B53=2,Inventario2!D:H,IF(B53=3,Inventario3!D:H,IF(B53=4,Inventario4!D:H,IF(B53=5,Inventario5!D:H,Inventario6!D:H))))),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IF(ROW(A53)=2,"",IF(_xlfn._xlws.FILTER(Equipar!AC$2:AC52,Equipar!B$2:B52=B53)={0},"",_xlfn._xlws.FILTER(Equipar!AC$2:AC52,Equipar!B$2:B52=B53))),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H53" s="4" cm="1">
        <f t="array" ref="H53">_xlfn.LET(
    _xlpm.jugador, A53,
    _xlpm.idSel, AC53,
    _xlpm.invIDs, IF(B53=1,Inventario1!A:A,IF(B53=2,Inventario2!A:A,IF(B53=3,Inventario3!A:A,IF(B53=4,Inventario4!A:A,IF(B53=5,Inventario5!A:A,Inventario6!A:A))))),
    _xlpm.invCalidad, IF(B53=1,Inventario1!B:B,IF(B53=2,Inventario2!B:B,IF(B53=3,Inventario3!B:B,IF(B53=4,Inventario4!B:B,IF(B53=5,Inventario5!B:B,Inventario6!B:B))))),
    _xlpm.invTipos, IF(B53=1,Inventario1!C:C,IF(B53=2,Inventario2!C:C,IF(B53=3,Inventario3!C:C,IF(B53=4,Inventario4!C:C,IF(B53=5,Inventario5!C:C,Inventario6!C:C))))),
    _xlpm.invStats, IF(B53=1,Inventario1!D:H,IF(B53=2,Inventario2!D:H,IF(B53=3,Inventario3!D:H,IF(B53=4,Inventario4!D:H,IF(B53=5,Inventario5!D:H,Inventario6!D:H))))),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IF(ROW(A53)=2,"",IF(_xlfn._xlws.FILTER(Equipar!AC$2:AC52,Equipar!B$2:B52=B53)={0},"",_xlfn._xlws.FILTER(Equipar!AC$2:AC52,Equipar!B$2:B52=B53))),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I53" s="4" cm="1">
        <f t="array" ref="I53">_xlfn.LET(
    _xlpm.jugador, A53,
    _xlpm.idSel, AC53,
    _xlpm.invIDs, IF(B53=1,Inventario1!A:A,IF(B53=2,Inventario2!A:A,IF(B53=3,Inventario3!A:A,IF(B53=4,Inventario4!A:A,IF(B53=5,Inventario5!A:A,Inventario6!A:A))))),
    _xlpm.invCalidad, IF(B53=1,Inventario1!B:B,IF(B53=2,Inventario2!B:B,IF(B53=3,Inventario3!B:B,IF(B53=4,Inventario4!B:B,IF(B53=5,Inventario5!B:B,Inventario6!B:B))))),
    _xlpm.invTipos, IF(B53=1,Inventario1!C:C,IF(B53=2,Inventario2!C:C,IF(B53=3,Inventario3!C:C,IF(B53=4,Inventario4!C:C,IF(B53=5,Inventario5!C:C,Inventario6!C:C))))),
    _xlpm.invStats, IF(B53=1,Inventario1!D:H,IF(B53=2,Inventario2!D:H,IF(B53=3,Inventario3!D:H,IF(B53=4,Inventario4!D:H,IF(B53=5,Inventario5!D:H,Inventario6!D:H))))),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IF(ROW(A53)=2,"",IF(_xlfn._xlws.FILTER(Equipar!AC$2:AC52,Equipar!B$2:B52=B53)={0},"",_xlfn._xlws.FILTER(Equipar!AC$2:AC52,Equipar!B$2:B52=B53))),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53" s="4" cm="1">
        <f t="array" aca="1" ref="J53" ca="1">_xlfn.LET(
    _xlpm.jugador, B53,
    _xlpm.idSel, AD53,
    _xlpm.invIDs, IF(C53=1,Inventario1!B:B,IF(C53=2,Inventario2!B:B,IF(C53=3,Inventario3!B:B,IF(C53=4,Inventario4!B:B,IF(C53=5,Inventario5!B:B,Inventario6!B:B))))),
    _xlpm.invCalidad, IF(C53=1,Inventario1!C:C,IF(C53=2,Inventario2!C:C,IF(C53=3,Inventario3!C:C,IF(C53=4,Inventario4!C:C,IF(C53=5,Inventario5!C:C,Inventario6!C:C))))),
    _xlpm.invTipos, IF(C53=1,Inventario1!D:D,IF(C53=2,Inventario2!D:D,IF(C53=3,Inventario3!D:D,IF(C53=4,Inventario4!D:D,IF(C53=5,Inventario5!D:D,Inventario6!D:D))))),
    _xlpm.invStats, IF(C53=1,Inventario1!E:I,IF(C53=2,Inventario2!E:I,IF(C53=3,Inventario3!E:I,IF(C53=4,Inventario4!E:I,IF(C53=5,Inventario5!E:I,Inventario6!E:I))))),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IF(ROW(B53)=2,"",IF(_xlfn._xlws.FILTER(Equipar!AD$2:AD52,Equipar!C$2:C52=C53)={0},"",_xlfn._xlws.FILTER(Equipar!AD$2:AD52,Equipar!C$2:C52=C53))),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53" s="4">
        <f t="shared" ca="1" si="0"/>
        <v>23.939999999999998</v>
      </c>
      <c r="L53" s="4">
        <f t="shared" ca="1" si="1"/>
        <v>95.76</v>
      </c>
      <c r="M53" s="4">
        <f t="shared" ca="1" si="1"/>
        <v>71.820000000000007</v>
      </c>
      <c r="N53" s="4">
        <f t="shared" si="2"/>
        <v>71.820000000000007</v>
      </c>
      <c r="O53" s="4">
        <f t="shared" ca="1" si="2"/>
        <v>0</v>
      </c>
      <c r="P53" s="14" cm="1">
        <f t="array" aca="1" ref="P53" ca="1">_xlfn.LET(
    _xlpm.ptsPrinBase, _xlfn._xlws.FILTER(G:G, A:A=A53),
    _xlpm.ptsSecBase,  _xlfn._xlws.FILTER(H:H, A:A=A53),
    _xlpm.puntosPrin, _xlpm.ptsPrinBase + _xlfn._xlws.FILTER(B:B, A:A=A53)/1000,
    _xlpm.puntosSec,  _xlpm.ptsSecBase  + _xlfn._xlws.FILTER(B:B, A:A=A53)/1000,
    _xlpm.puntosPrinValidos, SUM(--(_xlpm.ptsPrinBase&gt;0)),
    _xlpm.puntosSecValidos,  SUM(--(_xlpm.ptsSecBase&gt;0)),
    _xlpm.clave, K53 + B53/1000,
    _xlpm.claves, _xlfn._xlws.FILTER(K:K + B:B/1000, A:A=A53),
    IF(AND(_xlpm.puntosPrinValidos&gt;=4,_xlpm.puntosSecValidos&gt;=2),IF(
        SUM(--(_xlpm.claves &gt; _xlpm.clave)) &lt; 4,
        C53,
        D53
    ),"No disp")
)</f>
        <v>142</v>
      </c>
      <c r="Q53" s="14" t="str" cm="1">
        <f t="array" aca="1" ref="Q53" ca="1">_xlfn.LET(
    _xlpm.puntosPrin, _xlfn._xlws.FILTER(G:G + B:B/1000, A:A=A53),
    _xlpm.puntosPrinValidos, SUM(--(_xlpm.puntosPrin&gt;1)),
    _xlpm.puntosTer, _xlfn._xlws.FILTER(I:I + B:B/1000, A:A=A53),
    _xlpm.puntosTerValidos, SUM(--(_xlpm.puntosTer&gt;1)),
    _xlpm.clave, L53 + B53/1000,
    _xlpm.claves, _xlfn._xlws.FILTER(L:L + B:B/1000, A:A=A53),
    IF(AND(_xlpm.puntosPrinValidos&gt;=4,_xlpm.puntosTerValidos&gt;=2),IF(
        SUM(--(_xlpm.claves &gt; _xlpm.clave)) &lt; 4,
        C53,
        E53
    ),"No disp")
)</f>
        <v>No disp</v>
      </c>
      <c r="R53" s="14" t="str" cm="1">
        <f t="array" aca="1" ref="R53" ca="1">_xlfn.LET(
    _xlpm.puntosPrin, _xlfn._xlws.FILTER(G:G + B:B/1000, A:A=A53),
    _xlpm.puntosPrinValidos, SUM(--(_xlpm.puntosPrin&gt;1)),
    _xlpm.puntosTer, _xlfn._xlws.FILTER(J:J + B:B/1000, A:A=A53),
    _xlpm.puntosTerValidos, SUM(--(_xlpm.puntosTer&gt;1)),
    _xlpm.clave, M53 + B53/1000,
    _xlpm.claves, _xlfn._xlws.FILTER(M:M + B:B/1000, A:A=A53),
    IF(AND(_xlpm.puntosPrinValidos&gt;=4,_xlpm.puntosTerValidos&gt;=2),IF(
        SUM(--(_xlpm.claves &gt; _xlpm.clave)) &lt; 4,
        C53,
        F53
    ),"No disp")
)</f>
        <v>No disp</v>
      </c>
      <c r="S53" s="14" cm="1">
        <f t="array" aca="1" ref="S53" ca="1">_xlfn.LET(
    _xlpm.ptsPrinBase, _xlfn._xlws.FILTER(G:G, A:A=A53),
    _xlpm.ptsSecBase,  _xlfn._xlws.FILTER(H:H, A:A=A53),
    _xlpm.puntosPrin, _xlpm.ptsPrinBase + _xlfn._xlws.FILTER(B:B, A:A=A53)/1000,
    _xlpm.puntosSec,  _xlpm.ptsSecBase  + _xlfn._xlws.FILTER(B:B, A:A=A53)/1000,
    _xlpm.puntosPrinValidos, SUM(--(_xlpm.ptsPrinBase&gt;0)),
    _xlpm.puntosSecValidos,  SUM(--(_xlpm.ptsSecBase&gt;0)),
    _xlpm.clave, K53 + B53/1000,
    _xlpm.claves, _xlfn._xlws.FILTER(K:K + B:B/1000, A:A=A53),
    IF(
        AND(_xlpm.puntosPrinValidos&gt;=2, _xlpm.puntosSecValidos&gt;=4),
        IF(
            SUM(--(_xlpm.claves &lt; _xlpm.clave)) &lt; 4,
            D53,
            C53
        ),
        "No disp"
    )
)</f>
        <v>142</v>
      </c>
      <c r="T53" s="14" t="str" cm="1">
        <f t="array" aca="1" ref="T53" ca="1">_xlfn.LET(
    _xlpm.puntosSec, _xlfn._xlws.FILTER(H:H + B:B/1000, A:A=A53),
    _xlpm.puntosSecValidos, SUM(--(_xlpm.puntosSec&gt;1)),
    _xlpm.puntosAlt, _xlfn._xlws.FILTER(I:I + B:B/1000, A:A=A53),
    _xlpm.puntosAltValidos, SUM(--(_xlpm.puntosAlt&gt;1)),
    _xlpm.clave, N53 + B53/1000,
    _xlpm.claves, _xlfn._xlws.FILTER(N:N + B:B/1000, A:A=A53),
    IF(AND(_xlpm.puntosSecValidos&gt;=4,_xlpm.puntosAltValidos&gt;=2),IF(
        SUM(--(_xlpm.claves &gt; _xlpm.clave)) &lt; 4,
        D53,
        E53
    ),"No disp")
)</f>
        <v>No disp</v>
      </c>
      <c r="U53" s="14" t="str" cm="1">
        <f t="array" aca="1" ref="U53" ca="1">_xlfn.LET(
    _xlpm.puntosSec, _xlfn._xlws.FILTER(H:H + B:B/1000, A:A=A53),
    _xlpm.puntosSecValidos, SUM(--(_xlpm.puntosSec&gt;1)),
    _xlpm.puntosAlt, _xlfn._xlws.FILTER(J:J + B:B/1000, A:A=A53),
    _xlpm.puntosAltValidos, SUM(--(_xlpm.puntosAlt&gt;1)),
    _xlpm.clave, O53 + B53/1000,
    _xlpm.claves, _xlfn._xlws.FILTER(O:O + B:B/1000, A:A=A53),
    IF(AND(_xlpm.puntosSecValidos&gt;=4,_xlpm.puntosAltValidos&gt;=2),IF(
        SUM(--(_xlpm.claves &gt; _xlpm.clave)) &lt; 4,
        D53,
        F53
    ),"No disp")
)</f>
        <v>No disp</v>
      </c>
      <c r="V53" s="4" cm="1">
        <f t="array" aca="1" ref="V53" ca="1">_xlfn.LET(
_xlpm.PrinIDs,_xlfn._xlws.FILTER(C:C,(A:A=A53)),
_xlpm.SecIDs,_xlfn._xlws.FILTER(D:D,(A:A=A53)),
_xlpm.TerIDs,_xlfn._xlws.FILTER(E:E,A:A=A53),
_xlpm.CuaIDs,_xlfn._xlws.FILTER(F:F,(A:A=A53)),
_xlpm.PrinPts,_xlfn._xlws.FILTER(G:G,(A:A=A53)),
_xlpm.SecPts,_xlfn._xlws.FILTER(H:H,(A:A=A53)),
_xlpm.TerPts,_xlfn._xlws.FILTER(I:I,(A:A=A53)),
_xlpm.CuaPts,_xlfn._xlws.FILTER(J:J,(A:A=A53)),
_xlpm.PSIds,_xlfn._xlws.FILTER(P:P,A:A=A53),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506.25</v>
      </c>
      <c r="W53" s="4" cm="1">
        <f t="array" aca="1" ref="W53" ca="1">_xlfn.LET(
_xlpm.PrinIDs,_xlfn._xlws.FILTER(C:C,(A:A=A53)),
_xlpm.SecIDs,_xlfn._xlws.FILTER(D:D,(A:A=A53)),
_xlpm.TerIDs,_xlfn._xlws.FILTER(E:E,A:A=A53),
_xlpm.CuaIDs,_xlfn._xlws.FILTER(F:F,(A:A=A53)),
_xlpm.PrinPts,_xlfn._xlws.FILTER(G:G,(A:A=A53)),
_xlpm.SecPts,_xlfn._xlws.FILTER(H:H,(A:A=A53)),
_xlpm.TerPts,_xlfn._xlws.FILTER(I:I,(A:A=A53)),
_xlpm.CuaPts,_xlfn._xlws.FILTER(J:J,(A:A=A53)),
_xlpm.PTIds,_xlfn._xlws.FILTER(Q:Q,A:A=A53),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53" s="4" cm="1">
        <f t="array" aca="1" ref="X53" ca="1">_xlfn.LET(
_xlpm.PrinIDs,_xlfn._xlws.FILTER(C:C,(A:A=A53)),
_xlpm.SecIDs,_xlfn._xlws.FILTER(D:D,(A:A=A53)),
_xlpm.TerIDs,_xlfn._xlws.FILTER(E:E,A:A=A53),
_xlpm.CuaIDs,_xlfn._xlws.FILTER(F:F,(A:A=A53)),
_xlpm.PrinPts,_xlfn._xlws.FILTER(G:G,(A:A=A53)),
_xlpm.SecPts,_xlfn._xlws.FILTER(H:H,(A:A=A53)),
_xlpm.TerPts,_xlfn._xlws.FILTER(I:I,(A:A=A53)),
_xlpm.CuaPts,_xlfn._xlws.FILTER(J:J,(A:A=A53)),
_xlpm.PCIds,_xlfn._xlws.FILTER(R:R,A:A=A53),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53" s="4" cm="1">
        <f t="array" aca="1" ref="Y53" ca="1">_xlfn.LET(
_xlpm.PrinIDs,_xlfn._xlws.FILTER(C:C,(A:A=A53)),
_xlpm.SecIDs,_xlfn._xlws.FILTER(D:D,(A:A=A53)),
_xlpm.AltIDs,_xlfn._xlws.FILTER(E:E,A:A=A53),
_xlpm.PrinPts,_xlfn._xlws.FILTER(G:G,(A:A=A53)),
_xlpm.SecPts,_xlfn._xlws.FILTER(H:H,(A:A=A53)),
_xlpm.AltPts,_xlfn._xlws.FILTER(I:I,(A:A=A53)),
_xlpm.SPIds,_xlfn._xlws.FILTER(S:S,A:A=A53),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506.25</v>
      </c>
      <c r="Z53" s="4" cm="1">
        <f t="array" aca="1" ref="Z53" ca="1">_xlfn.LET(
_xlpm.PrinIDs,_xlfn._xlws.FILTER(C:C,(A:A=A53)),
_xlpm.SecIDs,_xlfn._xlws.FILTER(D:D,(A:A=A53)),
_xlpm.TerIDs,_xlfn._xlws.FILTER(E:E,A:A=A53),
_xlpm.CuaIDs,_xlfn._xlws.FILTER(F:F,(A:A=A53)),
_xlpm.PrinPts,_xlfn._xlws.FILTER(G:G,(A:A=A53)),
_xlpm.SecPts,_xlfn._xlws.FILTER(H:H,(A:A=A53)),
_xlpm.TerPts,_xlfn._xlws.FILTER(I:I,(A:A=A53)),
_xlpm.CuaPts,_xlfn._xlws.FILTER(J:J,(A:A=A53)),
_xlpm.STIds,_xlfn._xlws.FILTER(T:T,A:A=A53),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53" s="4" cm="1">
        <f t="array" aca="1" ref="AA53" ca="1">_xlfn.LET(
_xlpm.PrinIDs,_xlfn._xlws.FILTER(C:C,(A:A=A53)),
_xlpm.SecIDs,_xlfn._xlws.FILTER(D:D,(A:A=A53)),
_xlpm.TerIDs,_xlfn._xlws.FILTER(E:E,A:A=A53),
_xlpm.CuaIDs,_xlfn._xlws.FILTER(F:F,(A:A=A53)),
_xlpm.PrinPts,_xlfn._xlws.FILTER(G:G,(A:A=A53)),
_xlpm.SecPts,_xlfn._xlws.FILTER(H:H,(A:A=A53)),
_xlpm.TerPts,_xlfn._xlws.FILTER(I:I,(A:A=A53)),
_xlpm.CuaPts,_xlfn._xlws.FILTER(J:J,(A:A=A53)),
_xlpm.SCIds,_xlfn._xlws.FILTER(U:U,A:A=A53),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53" s="14">
        <f t="shared" ca="1" si="3"/>
        <v>142</v>
      </c>
      <c r="AC53" s="14">
        <v>142</v>
      </c>
      <c r="AD53" s="4"/>
      <c r="AE53" s="14" t="str">
        <f ca="1">IF(ISNUMBER(AC53),
IF($B53=1,VLOOKUP($AC53,Inventario1!$A:$H,2),
IF($B53=2,VLOOKUP($AC53,Inventario2!$A:$H,2),
IF($B53=3,VLOOKUP($AC53,Inventario3!$A:$H,2),
IF($B53=4,VLOOKUP($AC53,Inventario4!$A:$H,2),
IF($B53=5,VLOOKUP($AC53,Inventario5!$A:$H,2),
VLOOKUP($AC53,Inventario6!$A:$H,2)
))))),"No equipado")</f>
        <v>Legendario</v>
      </c>
      <c r="AF53" s="14" t="str">
        <f ca="1">IF(ISNUMBER(AC53),
IF($B53=1,VLOOKUP($AC53,Inventario1!$A:$H,3),
IF($B53=2,VLOOKUP($AC53,Inventario2!$A:$H,3),
IF($B53=3,VLOOKUP($AC53,Inventario3!$A:$H,3),
IF($B53=4,VLOOKUP($AC53,Inventario4!$A:$H,3),
IF($B53=5,VLOOKUP($AC53,Inventario5!$A:$H,3),
VLOOKUP($AC53,Inventario6!$A:$H,3)
))))),"")</f>
        <v>Recepción de asistencia</v>
      </c>
      <c r="AG53" s="14" t="str">
        <f ca="1">IF(ISNUMBER(AC53),
IF($B53=1,VLOOKUP($AC53,Inventario1!$A:$H,4),
IF($B53=2,VLOOKUP($AC53,Inventario2!$A:$H,4),
IF($B53=3,VLOOKUP($AC53,Inventario3!$A:$H,4),
IF($B53=4,VLOOKUP($AC53,Inventario4!$A:$H,4),
IF($B53=5,VLOOKUP($AC53,Inventario5!$A:$H,4),
VLOOKUP($AC53,Inventario6!$A:$H,4)
))))),"")</f>
        <v>Recuperación</v>
      </c>
      <c r="AH53" s="14" t="str">
        <f ca="1">IF(ISNUMBER(AC53),
IF($B53=1,VLOOKUP($AC53,Inventario1!$A:$H,5),
IF($B53=2,VLOOKUP($AC53,Inventario2!$A:$H,5),
IF($B53=3,VLOOKUP($AC53,Inventario3!$A:$H,5),
IF($B53=4,VLOOKUP($AC53,Inventario4!$A:$H,5),
IF($B53=5,VLOOKUP($AC53,Inventario5!$A:$H,5),
VLOOKUP($AC53,Inventario6!$A:$H,5)
))))),"")</f>
        <v>Ataque rápido</v>
      </c>
      <c r="AI53" s="14" t="str">
        <f ca="1">IF(ISNUMBER(AC53),
IF($B53=1,VLOOKUP($AC53,Inventario1!$A:$H,6),
IF($B53=2,VLOOKUP($AC53,Inventario2!$A:$H,6),
IF($B53=3,VLOOKUP($AC53,Inventario3!$A:$H,6),
IF($B53=4,VLOOKUP($AC53,Inventario4!$A:$H,6),
IF($B53=5,VLOOKUP($AC53,Inventario5!$A:$H,6),
VLOOKUP($AC53,Inventario6!$A:$H,6)
))))),"")</f>
        <v>Saque</v>
      </c>
      <c r="AJ53" s="14" t="str">
        <f ca="1">IF(ISNUMBER(AC53),
IF($B53=1,VLOOKUP($AC53,Inventario1!$A:$H,7),
IF($B53=2,VLOOKUP($AC53,Inventario2!$A:$H,7),
IF($B53=3,VLOOKUP($AC53,Inventario3!$A:$H,7),
IF($B53=4,VLOOKUP($AC53,Inventario4!$A:$H,7),
IF($B53=5,VLOOKUP($AC53,Inventario5!$A:$H,7),
VLOOKUP($AC53,Inventario6!$A:$H,7)
))))),"")</f>
        <v>Recepción</v>
      </c>
      <c r="AK53" s="15" t="str">
        <f ca="1">IF(ISNUMBER(AC53),
IF($B53=1,VLOOKUP($AC53,Inventario1!$A:$H,8),
IF($B53=2,VLOOKUP($AC53,Inventario2!$A:$H,8),
IF($B53=3,VLOOKUP($AC53,Inventario3!$A:$H,8),
IF($B53=4,VLOOKUP($AC53,Inventario4!$A:$H,8),
IF($B53=5,VLOOKUP($AC53,Inventario5!$A:$H,8),
VLOOKUP($AC53,Inventario6!$A:$H,8)
))))),"")</f>
        <v>Espíritu</v>
      </c>
    </row>
    <row r="54" spans="1:37" x14ac:dyDescent="0.25">
      <c r="A54" s="21" t="s">
        <v>15</v>
      </c>
      <c r="B54" s="3">
        <v>5</v>
      </c>
      <c r="C54" s="14" cm="1">
        <f t="array" aca="1" ref="C54" ca="1">_xlfn.LET(
    _xlpm.jugador, A54,
    _xlpm.idSel, AC54,
    _xlpm.invIDs, IF(B54=1,Inventario1!A:A,IF(B54=2,Inventario2!A:A,IF(B54=3,Inventario3!A:A,IF(B54=4,Inventario4!A:A,IF(B54=5,Inventario5!A:A,Inventario6!A:A))))),
    _xlpm.invCalidad, IF(B54=1,Inventario1!B:B,IF(B54=2,Inventario2!B:B,IF(B54=3,Inventario3!B:B,IF(B54=4,Inventario4!B:B,IF(B54=5,Inventario5!B:B,Inventario6!B:B))))),
    _xlpm.invTipos, IF(B54=1,Inventario1!C:C,IF(B54=2,Inventario2!C:C,IF(B54=3,Inventario3!C:C,IF(B54=4,Inventario4!C:C,IF(B54=5,Inventario5!C:C,Inventario6!C:C))))),
    _xlpm.invStats, IF(B54=1,Inventario1!D:H,IF(B54=2,Inventario2!D:H,IF(B54=3,Inventario3!D:H,IF(B54=4,Inventario4!D:H,IF(B54=5,Inventario5!D:H,Inventario6!D:H))))),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IF(ROW(A54)=2,"",IF(_xlfn._xlws.FILTER(Equipar!AC$2:AC53,Equipar!B$2:B53=B54)={0},"",_xlfn._xlws.FILTER(Equipar!AC$2:AC53,Equipar!B$2:B53=B54))),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130</v>
      </c>
      <c r="D54" s="4" cm="1">
        <f t="array" ref="D54">_xlfn.LET(
    _xlpm.jugador, A54,
    _xlpm.idSel, AC54,
    _xlpm.invIDs, IF(B54=1,Inventario1!A:A,IF(B54=2,Inventario2!A:A,IF(B54=3,Inventario3!A:A,IF(B54=4,Inventario4!A:A,IF(B54=5,Inventario5!A:A,Inventario6!A:A))))),
    _xlpm.invCalidad, IF(B54=1,Inventario1!B:B,IF(B54=2,Inventario2!B:B,IF(B54=3,Inventario3!B:B,IF(B54=4,Inventario4!B:B,IF(B54=5,Inventario5!B:B,Inventario6!B:B))))),
    _xlpm.invTipos, IF(B54=1,Inventario1!C:C,IF(B54=2,Inventario2!C:C,IF(B54=3,Inventario3!C:C,IF(B54=4,Inventario4!C:C,IF(B54=5,Inventario5!C:C,Inventario6!C:C))))),
    _xlpm.invStats, IF(B54=1,Inventario1!D:H,IF(B54=2,Inventario2!D:H,IF(B54=3,Inventario3!D:H,IF(B54=4,Inventario4!D:H,IF(B54=5,Inventario5!D:H,Inventario6!D:H))))),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IF(ROW(A54)=2,"",IF(_xlfn._xlws.FILTER(Equipar!AC$2:AC53,Equipar!B$2:B53=B54)={0},"",_xlfn._xlws.FILTER(Equipar!AC$2:AC53,Equipar!B$2:B53=B54))),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268</v>
      </c>
      <c r="E54" s="4" t="str" cm="1">
        <f t="array" ref="E54">_xlfn.LET(
    _xlpm.jugador, A54,
    _xlpm.idSel, AC54,
    _xlpm.invIDs, IF(B54=1,Inventario1!A:A,IF(B54=2,Inventario2!A:A,IF(B54=3,Inventario3!A:A,IF(B54=4,Inventario4!A:A,IF(B54=5,Inventario5!A:A,Inventario6!A:A))))),
    _xlpm.invCalidad, IF(B54=1,Inventario1!B:B,IF(B54=2,Inventario2!B:B,IF(B54=3,Inventario3!B:B,IF(B54=4,Inventario4!B:B,IF(B54=5,Inventario5!B:B,Inventario6!B:B))))),
    _xlpm.invTipos, IF(B54=1,Inventario1!C:C,IF(B54=2,Inventario2!C:C,IF(B54=3,Inventario3!C:C,IF(B54=4,Inventario4!C:C,IF(B54=5,Inventario5!C:C,Inventario6!C:C))))),
    _xlpm.invStats, IF(B54=1,Inventario1!D:H,IF(B54=2,Inventario2!D:H,IF(B54=3,Inventario3!D:H,IF(B54=4,Inventario4!D:H,IF(B54=5,Inventario5!D:H,Inventario6!D:H))))),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IF(ROW(A54)=2,"",IF(_xlfn._xlws.FILTER(Equipar!AC$2:AC53,Equipar!B$2:B53=B54)={0},"",_xlfn._xlws.FILTER(Equipar!AC$2:AC53,Equipar!B$2:B53=B54))),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54" s="4" t="str" cm="1">
        <f t="array" aca="1" ref="F54" ca="1">_xlfn.LET(
    _xlpm.jugador, B54,
    _xlpm.idSel, AD54,
    _xlpm.invIDs, IF(C54=1,Inventario1!B:B,IF(C54=2,Inventario2!B:B,IF(C54=3,Inventario3!B:B,IF(C54=4,Inventario4!B:B,IF(C54=5,Inventario5!B:B,Inventario6!B:B))))),
    _xlpm.invCalidad, IF(C54=1,Inventario1!C:C,IF(C54=2,Inventario2!C:C,IF(C54=3,Inventario3!C:C,IF(C54=4,Inventario4!C:C,IF(C54=5,Inventario5!C:C,Inventario6!C:C))))),
    _xlpm.invTipos, IF(C54=1,Inventario1!D:D,IF(C54=2,Inventario2!D:D,IF(C54=3,Inventario3!D:D,IF(C54=4,Inventario4!D:D,IF(C54=5,Inventario5!D:D,Inventario6!D:D))))),
    _xlpm.invStats, IF(C54=1,Inventario1!E:I,IF(C54=2,Inventario2!E:I,IF(C54=3,Inventario3!E:I,IF(C54=4,Inventario4!E:I,IF(C54=5,Inventario5!E:I,Inventario6!E:I))))),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IF(ROW(B54)=2,"",IF(_xlfn._xlws.FILTER(Equipar!AD$2:AD53,Equipar!C$2:C53=C54)={0},"",_xlfn._xlws.FILTER(Equipar!AD$2:AD53,Equipar!C$2:C53=C54))),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54" s="14" cm="1">
        <f t="array" aca="1" ref="G54" ca="1">_xlfn.LET(
    _xlpm.jugador, A54,
    _xlpm.idSel, AC54,
    _xlpm.invIDs, IF(B54=1,Inventario1!A:A,IF(B54=2,Inventario2!A:A,IF(B54=3,Inventario3!A:A,IF(B54=4,Inventario4!A:A,IF(B54=5,Inventario5!A:A,Inventario6!A:A))))),
    _xlpm.invCalidad, IF(B54=1,Inventario1!B:B,IF(B54=2,Inventario2!B:B,IF(B54=3,Inventario3!B:B,IF(B54=4,Inventario4!B:B,IF(B54=5,Inventario5!B:B,Inventario6!B:B))))),
    _xlpm.invTipos, IF(B54=1,Inventario1!C:C,IF(B54=2,Inventario2!C:C,IF(B54=3,Inventario3!C:C,IF(B54=4,Inventario4!C:C,IF(B54=5,Inventario5!C:C,Inventario6!C:C))))),
    _xlpm.invStats, IF(B54=1,Inventario1!D:H,IF(B54=2,Inventario2!D:H,IF(B54=3,Inventario3!D:H,IF(B54=4,Inventario4!D:H,IF(B54=5,Inventario5!D:H,Inventario6!D:H))))),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IF(ROW(A54)=2,"",IF(_xlfn._xlws.FILTER(Equipar!AC$2:AC53,Equipar!B$2:B53=B54)={0},"",_xlfn._xlws.FILTER(Equipar!AC$2:AC53,Equipar!B$2:B53=B54))),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H54" s="4" cm="1">
        <f t="array" ref="H54">_xlfn.LET(
    _xlpm.jugador, A54,
    _xlpm.idSel, AC54,
    _xlpm.invIDs, IF(B54=1,Inventario1!A:A,IF(B54=2,Inventario2!A:A,IF(B54=3,Inventario3!A:A,IF(B54=4,Inventario4!A:A,IF(B54=5,Inventario5!A:A,Inventario6!A:A))))),
    _xlpm.invCalidad, IF(B54=1,Inventario1!B:B,IF(B54=2,Inventario2!B:B,IF(B54=3,Inventario3!B:B,IF(B54=4,Inventario4!B:B,IF(B54=5,Inventario5!B:B,Inventario6!B:B))))),
    _xlpm.invTipos, IF(B54=1,Inventario1!C:C,IF(B54=2,Inventario2!C:C,IF(B54=3,Inventario3!C:C,IF(B54=4,Inventario4!C:C,IF(B54=5,Inventario5!C:C,Inventario6!C:C))))),
    _xlpm.invStats, IF(B54=1,Inventario1!D:H,IF(B54=2,Inventario2!D:H,IF(B54=3,Inventario3!D:H,IF(B54=4,Inventario4!D:H,IF(B54=5,Inventario5!D:H,Inventario6!D:H))))),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IF(ROW(A54)=2,"",IF(_xlfn._xlws.FILTER(Equipar!AC$2:AC53,Equipar!B$2:B53=B54)={0},"",_xlfn._xlws.FILTER(Equipar!AC$2:AC53,Equipar!B$2:B53=B54))),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I54" s="4" cm="1">
        <f t="array" ref="I54">_xlfn.LET(
    _xlpm.jugador, A54,
    _xlpm.idSel, AC54,
    _xlpm.invIDs, IF(B54=1,Inventario1!A:A,IF(B54=2,Inventario2!A:A,IF(B54=3,Inventario3!A:A,IF(B54=4,Inventario4!A:A,IF(B54=5,Inventario5!A:A,Inventario6!A:A))))),
    _xlpm.invCalidad, IF(B54=1,Inventario1!B:B,IF(B54=2,Inventario2!B:B,IF(B54=3,Inventario3!B:B,IF(B54=4,Inventario4!B:B,IF(B54=5,Inventario5!B:B,Inventario6!B:B))))),
    _xlpm.invTipos, IF(B54=1,Inventario1!C:C,IF(B54=2,Inventario2!C:C,IF(B54=3,Inventario3!C:C,IF(B54=4,Inventario4!C:C,IF(B54=5,Inventario5!C:C,Inventario6!C:C))))),
    _xlpm.invStats, IF(B54=1,Inventario1!D:H,IF(B54=2,Inventario2!D:H,IF(B54=3,Inventario3!D:H,IF(B54=4,Inventario4!D:H,IF(B54=5,Inventario5!D:H,Inventario6!D:H))))),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IF(ROW(A54)=2,"",IF(_xlfn._xlws.FILTER(Equipar!AC$2:AC53,Equipar!B$2:B53=B54)={0},"",_xlfn._xlws.FILTER(Equipar!AC$2:AC53,Equipar!B$2:B53=B54))),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54" s="4" cm="1">
        <f t="array" aca="1" ref="J54" ca="1">_xlfn.LET(
    _xlpm.jugador, B54,
    _xlpm.idSel, AD54,
    _xlpm.invIDs, IF(C54=1,Inventario1!B:B,IF(C54=2,Inventario2!B:B,IF(C54=3,Inventario3!B:B,IF(C54=4,Inventario4!B:B,IF(C54=5,Inventario5!B:B,Inventario6!B:B))))),
    _xlpm.invCalidad, IF(C54=1,Inventario1!C:C,IF(C54=2,Inventario2!C:C,IF(C54=3,Inventario3!C:C,IF(C54=4,Inventario4!C:C,IF(C54=5,Inventario5!C:C,Inventario6!C:C))))),
    _xlpm.invTipos, IF(C54=1,Inventario1!D:D,IF(C54=2,Inventario2!D:D,IF(C54=3,Inventario3!D:D,IF(C54=4,Inventario4!D:D,IF(C54=5,Inventario5!D:D,Inventario6!D:D))))),
    _xlpm.invStats, IF(C54=1,Inventario1!E:I,IF(C54=2,Inventario2!E:I,IF(C54=3,Inventario3!E:I,IF(C54=4,Inventario4!E:I,IF(C54=5,Inventario5!E:I,Inventario6!E:I))))),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IF(ROW(B54)=2,"",IF(_xlfn._xlws.FILTER(Equipar!AD$2:AD53,Equipar!C$2:C53=C54)={0},"",_xlfn._xlws.FILTER(Equipar!AD$2:AD53,Equipar!C$2:C53=C54))),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54" s="4">
        <f t="shared" ca="1" si="0"/>
        <v>14.760000000000005</v>
      </c>
      <c r="L54" s="4">
        <f t="shared" ca="1" si="1"/>
        <v>95.76</v>
      </c>
      <c r="M54" s="4">
        <f t="shared" ca="1" si="1"/>
        <v>81</v>
      </c>
      <c r="N54" s="4">
        <f t="shared" si="2"/>
        <v>81</v>
      </c>
      <c r="O54" s="4">
        <f t="shared" ca="1" si="2"/>
        <v>0</v>
      </c>
      <c r="P54" s="14" cm="1">
        <f t="array" aca="1" ref="P54" ca="1">_xlfn.LET(
    _xlpm.ptsPrinBase, _xlfn._xlws.FILTER(G:G, A:A=A54),
    _xlpm.ptsSecBase,  _xlfn._xlws.FILTER(H:H, A:A=A54),
    _xlpm.puntosPrin, _xlpm.ptsPrinBase + _xlfn._xlws.FILTER(B:B, A:A=A54)/1000,
    _xlpm.puntosSec,  _xlpm.ptsSecBase  + _xlfn._xlws.FILTER(B:B, A:A=A54)/1000,
    _xlpm.puntosPrinValidos, SUM(--(_xlpm.ptsPrinBase&gt;0)),
    _xlpm.puntosSecValidos,  SUM(--(_xlpm.ptsSecBase&gt;0)),
    _xlpm.clave, K54 + B54/1000,
    _xlpm.claves, _xlfn._xlws.FILTER(K:K + B:B/1000, A:A=A54),
    IF(AND(_xlpm.puntosPrinValidos&gt;=4,_xlpm.puntosSecValidos&gt;=2),IF(
        SUM(--(_xlpm.claves &gt; _xlpm.clave)) &lt; 4,
        C54,
        D54
    ),"No disp")
)</f>
        <v>130</v>
      </c>
      <c r="Q54" s="14" t="str" cm="1">
        <f t="array" aca="1" ref="Q54" ca="1">_xlfn.LET(
    _xlpm.puntosPrin, _xlfn._xlws.FILTER(G:G + B:B/1000, A:A=A54),
    _xlpm.puntosPrinValidos, SUM(--(_xlpm.puntosPrin&gt;1)),
    _xlpm.puntosTer, _xlfn._xlws.FILTER(I:I + B:B/1000, A:A=A54),
    _xlpm.puntosTerValidos, SUM(--(_xlpm.puntosTer&gt;1)),
    _xlpm.clave, L54 + B54/1000,
    _xlpm.claves, _xlfn._xlws.FILTER(L:L + B:B/1000, A:A=A54),
    IF(AND(_xlpm.puntosPrinValidos&gt;=4,_xlpm.puntosTerValidos&gt;=2),IF(
        SUM(--(_xlpm.claves &gt; _xlpm.clave)) &lt; 4,
        C54,
        E54
    ),"No disp")
)</f>
        <v>No disp</v>
      </c>
      <c r="R54" s="14" t="str" cm="1">
        <f t="array" aca="1" ref="R54" ca="1">_xlfn.LET(
    _xlpm.puntosPrin, _xlfn._xlws.FILTER(G:G + B:B/1000, A:A=A54),
    _xlpm.puntosPrinValidos, SUM(--(_xlpm.puntosPrin&gt;1)),
    _xlpm.puntosTer, _xlfn._xlws.FILTER(J:J + B:B/1000, A:A=A54),
    _xlpm.puntosTerValidos, SUM(--(_xlpm.puntosTer&gt;1)),
    _xlpm.clave, M54 + B54/1000,
    _xlpm.claves, _xlfn._xlws.FILTER(M:M + B:B/1000, A:A=A54),
    IF(AND(_xlpm.puntosPrinValidos&gt;=4,_xlpm.puntosTerValidos&gt;=2),IF(
        SUM(--(_xlpm.claves &gt; _xlpm.clave)) &lt; 4,
        C54,
        F54
    ),"No disp")
)</f>
        <v>No disp</v>
      </c>
      <c r="S54" s="14" cm="1">
        <f t="array" aca="1" ref="S54" ca="1">_xlfn.LET(
    _xlpm.ptsPrinBase, _xlfn._xlws.FILTER(G:G, A:A=A54),
    _xlpm.ptsSecBase,  _xlfn._xlws.FILTER(H:H, A:A=A54),
    _xlpm.puntosPrin, _xlpm.ptsPrinBase + _xlfn._xlws.FILTER(B:B, A:A=A54)/1000,
    _xlpm.puntosSec,  _xlpm.ptsSecBase  + _xlfn._xlws.FILTER(B:B, A:A=A54)/1000,
    _xlpm.puntosPrinValidos, SUM(--(_xlpm.ptsPrinBase&gt;0)),
    _xlpm.puntosSecValidos,  SUM(--(_xlpm.ptsSecBase&gt;0)),
    _xlpm.clave, K54 + B54/1000,
    _xlpm.claves, _xlfn._xlws.FILTER(K:K + B:B/1000, A:A=A54),
    IF(
        AND(_xlpm.puntosPrinValidos&gt;=2, _xlpm.puntosSecValidos&gt;=4),
        IF(
            SUM(--(_xlpm.claves &lt; _xlpm.clave)) &lt; 4,
            D54,
            C54
        ),
        "No disp"
    )
)</f>
        <v>130</v>
      </c>
      <c r="T54" s="14" t="str" cm="1">
        <f t="array" aca="1" ref="T54" ca="1">_xlfn.LET(
    _xlpm.puntosSec, _xlfn._xlws.FILTER(H:H + B:B/1000, A:A=A54),
    _xlpm.puntosSecValidos, SUM(--(_xlpm.puntosSec&gt;1)),
    _xlpm.puntosAlt, _xlfn._xlws.FILTER(I:I + B:B/1000, A:A=A54),
    _xlpm.puntosAltValidos, SUM(--(_xlpm.puntosAlt&gt;1)),
    _xlpm.clave, N54 + B54/1000,
    _xlpm.claves, _xlfn._xlws.FILTER(N:N + B:B/1000, A:A=A54),
    IF(AND(_xlpm.puntosSecValidos&gt;=4,_xlpm.puntosAltValidos&gt;=2),IF(
        SUM(--(_xlpm.claves &gt; _xlpm.clave)) &lt; 4,
        D54,
        E54
    ),"No disp")
)</f>
        <v>No disp</v>
      </c>
      <c r="U54" s="14" t="str" cm="1">
        <f t="array" aca="1" ref="U54" ca="1">_xlfn.LET(
    _xlpm.puntosSec, _xlfn._xlws.FILTER(H:H + B:B/1000, A:A=A54),
    _xlpm.puntosSecValidos, SUM(--(_xlpm.puntosSec&gt;1)),
    _xlpm.puntosAlt, _xlfn._xlws.FILTER(J:J + B:B/1000, A:A=A54),
    _xlpm.puntosAltValidos, SUM(--(_xlpm.puntosAlt&gt;1)),
    _xlpm.clave, O54 + B54/1000,
    _xlpm.claves, _xlfn._xlws.FILTER(O:O + B:B/1000, A:A=A54),
    IF(AND(_xlpm.puntosSecValidos&gt;=4,_xlpm.puntosAltValidos&gt;=2),IF(
        SUM(--(_xlpm.claves &gt; _xlpm.clave)) &lt; 4,
        D54,
        F54
    ),"No disp")
)</f>
        <v>No disp</v>
      </c>
      <c r="V54" s="4" cm="1">
        <f t="array" aca="1" ref="V54" ca="1">_xlfn.LET(
_xlpm.PrinIDs,_xlfn._xlws.FILTER(C:C,(A:A=A54)),
_xlpm.SecIDs,_xlfn._xlws.FILTER(D:D,(A:A=A54)),
_xlpm.TerIDs,_xlfn._xlws.FILTER(E:E,A:A=A54),
_xlpm.CuaIDs,_xlfn._xlws.FILTER(F:F,(A:A=A54)),
_xlpm.PrinPts,_xlfn._xlws.FILTER(G:G,(A:A=A54)),
_xlpm.SecPts,_xlfn._xlws.FILTER(H:H,(A:A=A54)),
_xlpm.TerPts,_xlfn._xlws.FILTER(I:I,(A:A=A54)),
_xlpm.CuaPts,_xlfn._xlws.FILTER(J:J,(A:A=A54)),
_xlpm.PSIds,_xlfn._xlws.FILTER(P:P,A:A=A54),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506.25</v>
      </c>
      <c r="W54" s="4" cm="1">
        <f t="array" aca="1" ref="W54" ca="1">_xlfn.LET(
_xlpm.PrinIDs,_xlfn._xlws.FILTER(C:C,(A:A=A54)),
_xlpm.SecIDs,_xlfn._xlws.FILTER(D:D,(A:A=A54)),
_xlpm.TerIDs,_xlfn._xlws.FILTER(E:E,A:A=A54),
_xlpm.CuaIDs,_xlfn._xlws.FILTER(F:F,(A:A=A54)),
_xlpm.PrinPts,_xlfn._xlws.FILTER(G:G,(A:A=A54)),
_xlpm.SecPts,_xlfn._xlws.FILTER(H:H,(A:A=A54)),
_xlpm.TerPts,_xlfn._xlws.FILTER(I:I,(A:A=A54)),
_xlpm.CuaPts,_xlfn._xlws.FILTER(J:J,(A:A=A54)),
_xlpm.PTIds,_xlfn._xlws.FILTER(Q:Q,A:A=A54),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54" s="4" cm="1">
        <f t="array" aca="1" ref="X54" ca="1">_xlfn.LET(
_xlpm.PrinIDs,_xlfn._xlws.FILTER(C:C,(A:A=A54)),
_xlpm.SecIDs,_xlfn._xlws.FILTER(D:D,(A:A=A54)),
_xlpm.TerIDs,_xlfn._xlws.FILTER(E:E,A:A=A54),
_xlpm.CuaIDs,_xlfn._xlws.FILTER(F:F,(A:A=A54)),
_xlpm.PrinPts,_xlfn._xlws.FILTER(G:G,(A:A=A54)),
_xlpm.SecPts,_xlfn._xlws.FILTER(H:H,(A:A=A54)),
_xlpm.TerPts,_xlfn._xlws.FILTER(I:I,(A:A=A54)),
_xlpm.CuaPts,_xlfn._xlws.FILTER(J:J,(A:A=A54)),
_xlpm.PCIds,_xlfn._xlws.FILTER(R:R,A:A=A54),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54" s="4" cm="1">
        <f t="array" aca="1" ref="Y54" ca="1">_xlfn.LET(
_xlpm.PrinIDs,_xlfn._xlws.FILTER(C:C,(A:A=A54)),
_xlpm.SecIDs,_xlfn._xlws.FILTER(D:D,(A:A=A54)),
_xlpm.AltIDs,_xlfn._xlws.FILTER(E:E,A:A=A54),
_xlpm.PrinPts,_xlfn._xlws.FILTER(G:G,(A:A=A54)),
_xlpm.SecPts,_xlfn._xlws.FILTER(H:H,(A:A=A54)),
_xlpm.AltPts,_xlfn._xlws.FILTER(I:I,(A:A=A54)),
_xlpm.SPIds,_xlfn._xlws.FILTER(S:S,A:A=A54),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506.25</v>
      </c>
      <c r="Z54" s="4" cm="1">
        <f t="array" aca="1" ref="Z54" ca="1">_xlfn.LET(
_xlpm.PrinIDs,_xlfn._xlws.FILTER(C:C,(A:A=A54)),
_xlpm.SecIDs,_xlfn._xlws.FILTER(D:D,(A:A=A54)),
_xlpm.TerIDs,_xlfn._xlws.FILTER(E:E,A:A=A54),
_xlpm.CuaIDs,_xlfn._xlws.FILTER(F:F,(A:A=A54)),
_xlpm.PrinPts,_xlfn._xlws.FILTER(G:G,(A:A=A54)),
_xlpm.SecPts,_xlfn._xlws.FILTER(H:H,(A:A=A54)),
_xlpm.TerPts,_xlfn._xlws.FILTER(I:I,(A:A=A54)),
_xlpm.CuaPts,_xlfn._xlws.FILTER(J:J,(A:A=A54)),
_xlpm.STIds,_xlfn._xlws.FILTER(T:T,A:A=A54),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54" s="4" cm="1">
        <f t="array" aca="1" ref="AA54" ca="1">_xlfn.LET(
_xlpm.PrinIDs,_xlfn._xlws.FILTER(C:C,(A:A=A54)),
_xlpm.SecIDs,_xlfn._xlws.FILTER(D:D,(A:A=A54)),
_xlpm.TerIDs,_xlfn._xlws.FILTER(E:E,A:A=A54),
_xlpm.CuaIDs,_xlfn._xlws.FILTER(F:F,(A:A=A54)),
_xlpm.PrinPts,_xlfn._xlws.FILTER(G:G,(A:A=A54)),
_xlpm.SecPts,_xlfn._xlws.FILTER(H:H,(A:A=A54)),
_xlpm.TerPts,_xlfn._xlws.FILTER(I:I,(A:A=A54)),
_xlpm.CuaPts,_xlfn._xlws.FILTER(J:J,(A:A=A54)),
_xlpm.SCIds,_xlfn._xlws.FILTER(U:U,A:A=A54),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54" s="14">
        <f t="shared" ca="1" si="3"/>
        <v>130</v>
      </c>
      <c r="AC54" s="14">
        <v>130</v>
      </c>
      <c r="AD54" s="4"/>
      <c r="AE54" s="14" t="str">
        <f ca="1">IF(ISNUMBER(AC54),
IF($B54=1,VLOOKUP($AC54,Inventario1!$A:$H,2),
IF($B54=2,VLOOKUP($AC54,Inventario2!$A:$H,2),
IF($B54=3,VLOOKUP($AC54,Inventario3!$A:$H,2),
IF($B54=4,VLOOKUP($AC54,Inventario4!$A:$H,2),
IF($B54=5,VLOOKUP($AC54,Inventario5!$A:$H,2),
VLOOKUP($AC54,Inventario6!$A:$H,2)
))))),"No equipado")</f>
        <v>Legendario</v>
      </c>
      <c r="AF54" s="14" t="str">
        <f ca="1">IF(ISNUMBER(AC54),
IF($B54=1,VLOOKUP($AC54,Inventario1!$A:$H,3),
IF($B54=2,VLOOKUP($AC54,Inventario2!$A:$H,3),
IF($B54=3,VLOOKUP($AC54,Inventario3!$A:$H,3),
IF($B54=4,VLOOKUP($AC54,Inventario4!$A:$H,3),
IF($B54=5,VLOOKUP($AC54,Inventario5!$A:$H,3),
VLOOKUP($AC54,Inventario6!$A:$H,3)
))))),"")</f>
        <v>Recepción de asistencia</v>
      </c>
      <c r="AG54" s="14" t="str">
        <f ca="1">IF(ISNUMBER(AC54),
IF($B54=1,VLOOKUP($AC54,Inventario1!$A:$H,4),
IF($B54=2,VLOOKUP($AC54,Inventario2!$A:$H,4),
IF($B54=3,VLOOKUP($AC54,Inventario3!$A:$H,4),
IF($B54=4,VLOOKUP($AC54,Inventario4!$A:$H,4),
IF($B54=5,VLOOKUP($AC54,Inventario5!$A:$H,4),
VLOOKUP($AC54,Inventario6!$A:$H,4)
))))),"")</f>
        <v>Recepción</v>
      </c>
      <c r="AH54" s="14" t="str">
        <f ca="1">IF(ISNUMBER(AC54),
IF($B54=1,VLOOKUP($AC54,Inventario1!$A:$H,5),
IF($B54=2,VLOOKUP($AC54,Inventario2!$A:$H,5),
IF($B54=3,VLOOKUP($AC54,Inventario3!$A:$H,5),
IF($B54=4,VLOOKUP($AC54,Inventario4!$A:$H,5),
IF($B54=5,VLOOKUP($AC54,Inventario5!$A:$H,5),
VLOOKUP($AC54,Inventario6!$A:$H,5)
))))),"")</f>
        <v>Ataque poderoso</v>
      </c>
      <c r="AI54" s="14" t="str">
        <f ca="1">IF(ISNUMBER(AC54),
IF($B54=1,VLOOKUP($AC54,Inventario1!$A:$H,6),
IF($B54=2,VLOOKUP($AC54,Inventario2!$A:$H,6),
IF($B54=3,VLOOKUP($AC54,Inventario3!$A:$H,6),
IF($B54=4,VLOOKUP($AC54,Inventario4!$A:$H,6),
IF($B54=5,VLOOKUP($AC54,Inventario5!$A:$H,6),
VLOOKUP($AC54,Inventario6!$A:$H,6)
))))),"")</f>
        <v>Recuperación</v>
      </c>
      <c r="AJ54" s="14" t="str">
        <f ca="1">IF(ISNUMBER(AC54),
IF($B54=1,VLOOKUP($AC54,Inventario1!$A:$H,7),
IF($B54=2,VLOOKUP($AC54,Inventario2!$A:$H,7),
IF($B54=3,VLOOKUP($AC54,Inventario3!$A:$H,7),
IF($B54=4,VLOOKUP($AC54,Inventario4!$A:$H,7),
IF($B54=5,VLOOKUP($AC54,Inventario5!$A:$H,7),
VLOOKUP($AC54,Inventario6!$A:$H,7)
))))),"")</f>
        <v>Ataque rápido</v>
      </c>
      <c r="AK54" s="15" t="str">
        <f ca="1">IF(ISNUMBER(AC54),
IF($B54=1,VLOOKUP($AC54,Inventario1!$A:$H,8),
IF($B54=2,VLOOKUP($AC54,Inventario2!$A:$H,8),
IF($B54=3,VLOOKUP($AC54,Inventario3!$A:$H,8),
IF($B54=4,VLOOKUP($AC54,Inventario4!$A:$H,8),
IF($B54=5,VLOOKUP($AC54,Inventario5!$A:$H,8),
VLOOKUP($AC54,Inventario6!$A:$H,8)
))))),"")</f>
        <v>Espíritu</v>
      </c>
    </row>
    <row r="55" spans="1:37" ht="15.75" thickBot="1" x14ac:dyDescent="0.3">
      <c r="A55" s="22" t="s">
        <v>15</v>
      </c>
      <c r="B55" s="17">
        <v>6</v>
      </c>
      <c r="C55" s="18" cm="1">
        <f t="array" aca="1" ref="C55" ca="1">_xlfn.LET(
    _xlpm.jugador, A55,
    _xlpm.idSel, AC55,
    _xlpm.invIDs, IF(B55=1,Inventario1!A:A,IF(B55=2,Inventario2!A:A,IF(B55=3,Inventario3!A:A,IF(B55=4,Inventario4!A:A,IF(B55=5,Inventario5!A:A,Inventario6!A:A))))),
    _xlpm.invCalidad, IF(B55=1,Inventario1!B:B,IF(B55=2,Inventario2!B:B,IF(B55=3,Inventario3!B:B,IF(B55=4,Inventario4!B:B,IF(B55=5,Inventario5!B:B,Inventario6!B:B))))),
    _xlpm.invTipos, IF(B55=1,Inventario1!C:C,IF(B55=2,Inventario2!C:C,IF(B55=3,Inventario3!C:C,IF(B55=4,Inventario4!C:C,IF(B55=5,Inventario5!C:C,Inventario6!C:C))))),
    _xlpm.invStats, IF(B55=1,Inventario1!D:H,IF(B55=2,Inventario2!D:H,IF(B55=3,Inventario3!D:H,IF(B55=4,Inventario4!D:H,IF(B55=5,Inventario5!D:H,Inventario6!D:H))))),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IF(ROW(A55)=2,"",IF(_xlfn._xlws.FILTER(Equipar!AC$2:AC54,Equipar!B$2:B54=B55)={0},"",_xlfn._xlws.FILTER(Equipar!AC$2:AC54,Equipar!B$2:B54=B55))),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145</v>
      </c>
      <c r="D55" s="17" cm="1">
        <f t="array" ref="D55">_xlfn.LET(
    _xlpm.jugador, A55,
    _xlpm.idSel, AC55,
    _xlpm.invIDs, IF(B55=1,Inventario1!A:A,IF(B55=2,Inventario2!A:A,IF(B55=3,Inventario3!A:A,IF(B55=4,Inventario4!A:A,IF(B55=5,Inventario5!A:A,Inventario6!A:A))))),
    _xlpm.invCalidad, IF(B55=1,Inventario1!B:B,IF(B55=2,Inventario2!B:B,IF(B55=3,Inventario3!B:B,IF(B55=4,Inventario4!B:B,IF(B55=5,Inventario5!B:B,Inventario6!B:B))))),
    _xlpm.invTipos, IF(B55=1,Inventario1!C:C,IF(B55=2,Inventario2!C:C,IF(B55=3,Inventario3!C:C,IF(B55=4,Inventario4!C:C,IF(B55=5,Inventario5!C:C,Inventario6!C:C))))),
    _xlpm.invStats, IF(B55=1,Inventario1!D:H,IF(B55=2,Inventario2!D:H,IF(B55=3,Inventario3!D:H,IF(B55=4,Inventario4!D:H,IF(B55=5,Inventario5!D:H,Inventario6!D:H))))),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IF(ROW(A55)=2,"",IF(_xlfn._xlws.FILTER(Equipar!AC$2:AC54,Equipar!B$2:B54=B55)={0},"",_xlfn._xlws.FILTER(Equipar!AC$2:AC54,Equipar!B$2:B54=B55))),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235</v>
      </c>
      <c r="E55" s="17" t="str" cm="1">
        <f t="array" ref="E55">_xlfn.LET(
    _xlpm.jugador, A55,
    _xlpm.idSel, AC55,
    _xlpm.invIDs, IF(B55=1,Inventario1!A:A,IF(B55=2,Inventario2!A:A,IF(B55=3,Inventario3!A:A,IF(B55=4,Inventario4!A:A,IF(B55=5,Inventario5!A:A,Inventario6!A:A))))),
    _xlpm.invCalidad, IF(B55=1,Inventario1!B:B,IF(B55=2,Inventario2!B:B,IF(B55=3,Inventario3!B:B,IF(B55=4,Inventario4!B:B,IF(B55=5,Inventario5!B:B,Inventario6!B:B))))),
    _xlpm.invTipos, IF(B55=1,Inventario1!C:C,IF(B55=2,Inventario2!C:C,IF(B55=3,Inventario3!C:C,IF(B55=4,Inventario4!C:C,IF(B55=5,Inventario5!C:C,Inventario6!C:C))))),
    _xlpm.invStats, IF(B55=1,Inventario1!D:H,IF(B55=2,Inventario2!D:H,IF(B55=3,Inventario3!D:H,IF(B55=4,Inventario4!D:H,IF(B55=5,Inventario5!D:H,Inventario6!D:H))))),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IF(ROW(A55)=2,"",IF(_xlfn._xlws.FILTER(Equipar!AC$2:AC54,Equipar!B$2:B54=B55)={0},"",_xlfn._xlws.FILTER(Equipar!AC$2:AC54,Equipar!B$2:B54=B55))),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55" s="17" t="str" cm="1">
        <f t="array" aca="1" ref="F55" ca="1">_xlfn.LET(
    _xlpm.jugador, B55,
    _xlpm.idSel, AD55,
    _xlpm.invIDs, IF(C55=1,Inventario1!B:B,IF(C55=2,Inventario2!B:B,IF(C55=3,Inventario3!B:B,IF(C55=4,Inventario4!B:B,IF(C55=5,Inventario5!B:B,Inventario6!B:B))))),
    _xlpm.invCalidad, IF(C55=1,Inventario1!C:C,IF(C55=2,Inventario2!C:C,IF(C55=3,Inventario3!C:C,IF(C55=4,Inventario4!C:C,IF(C55=5,Inventario5!C:C,Inventario6!C:C))))),
    _xlpm.invTipos, IF(C55=1,Inventario1!D:D,IF(C55=2,Inventario2!D:D,IF(C55=3,Inventario3!D:D,IF(C55=4,Inventario4!D:D,IF(C55=5,Inventario5!D:D,Inventario6!D:D))))),
    _xlpm.invStats, IF(C55=1,Inventario1!E:I,IF(C55=2,Inventario2!E:I,IF(C55=3,Inventario3!E:I,IF(C55=4,Inventario4!E:I,IF(C55=5,Inventario5!E:I,Inventario6!E:I))))),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IF(ROW(B55)=2,"",IF(_xlfn._xlws.FILTER(Equipar!AD$2:AD54,Equipar!C$2:C54=C55)={0},"",_xlfn._xlws.FILTER(Equipar!AD$2:AD54,Equipar!C$2:C54=C55))),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55" s="18" cm="1">
        <f t="array" aca="1" ref="G55" ca="1">_xlfn.LET(
    _xlpm.jugador, A55,
    _xlpm.idSel, AC55,
    _xlpm.invIDs, IF(B55=1,Inventario1!A:A,IF(B55=2,Inventario2!A:A,IF(B55=3,Inventario3!A:A,IF(B55=4,Inventario4!A:A,IF(B55=5,Inventario5!A:A,Inventario6!A:A))))),
    _xlpm.invCalidad, IF(B55=1,Inventario1!B:B,IF(B55=2,Inventario2!B:B,IF(B55=3,Inventario3!B:B,IF(B55=4,Inventario4!B:B,IF(B55=5,Inventario5!B:B,Inventario6!B:B))))),
    _xlpm.invTipos, IF(B55=1,Inventario1!C:C,IF(B55=2,Inventario2!C:C,IF(B55=3,Inventario3!C:C,IF(B55=4,Inventario4!C:C,IF(B55=5,Inventario5!C:C,Inventario6!C:C))))),
    _xlpm.invStats, IF(B55=1,Inventario1!D:H,IF(B55=2,Inventario2!D:H,IF(B55=3,Inventario3!D:H,IF(B55=4,Inventario4!D:H,IF(B55=5,Inventario5!D:H,Inventario6!D:H))))),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IF(ROW(A55)=2,"",IF(_xlfn._xlws.FILTER(Equipar!AC$2:AC54,Equipar!B$2:B54=B55)={0},"",_xlfn._xlws.FILTER(Equipar!AC$2:AC54,Equipar!B$2:B54=B55))),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H55" s="17" cm="1">
        <f t="array" ref="H55">_xlfn.LET(
    _xlpm.jugador, A55,
    _xlpm.idSel, AC55,
    _xlpm.invIDs, IF(B55=1,Inventario1!A:A,IF(B55=2,Inventario2!A:A,IF(B55=3,Inventario3!A:A,IF(B55=4,Inventario4!A:A,IF(B55=5,Inventario5!A:A,Inventario6!A:A))))),
    _xlpm.invCalidad, IF(B55=1,Inventario1!B:B,IF(B55=2,Inventario2!B:B,IF(B55=3,Inventario3!B:B,IF(B55=4,Inventario4!B:B,IF(B55=5,Inventario5!B:B,Inventario6!B:B))))),
    _xlpm.invTipos, IF(B55=1,Inventario1!C:C,IF(B55=2,Inventario2!C:C,IF(B55=3,Inventario3!C:C,IF(B55=4,Inventario4!C:C,IF(B55=5,Inventario5!C:C,Inventario6!C:C))))),
    _xlpm.invStats, IF(B55=1,Inventario1!D:H,IF(B55=2,Inventario2!D:H,IF(B55=3,Inventario3!D:H,IF(B55=4,Inventario4!D:H,IF(B55=5,Inventario5!D:H,Inventario6!D:H))))),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IF(ROW(A55)=2,"",IF(_xlfn._xlws.FILTER(Equipar!AC$2:AC54,Equipar!B$2:B54=B55)={0},"",_xlfn._xlws.FILTER(Equipar!AC$2:AC54,Equipar!B$2:B54=B55))),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I55" s="17" cm="1">
        <f t="array" ref="I55">_xlfn.LET(
    _xlpm.jugador, A55,
    _xlpm.idSel, AC55,
    _xlpm.invIDs, IF(B55=1,Inventario1!A:A,IF(B55=2,Inventario2!A:A,IF(B55=3,Inventario3!A:A,IF(B55=4,Inventario4!A:A,IF(B55=5,Inventario5!A:A,Inventario6!A:A))))),
    _xlpm.invCalidad, IF(B55=1,Inventario1!B:B,IF(B55=2,Inventario2!B:B,IF(B55=3,Inventario3!B:B,IF(B55=4,Inventario4!B:B,IF(B55=5,Inventario5!B:B,Inventario6!B:B))))),
    _xlpm.invTipos, IF(B55=1,Inventario1!C:C,IF(B55=2,Inventario2!C:C,IF(B55=3,Inventario3!C:C,IF(B55=4,Inventario4!C:C,IF(B55=5,Inventario5!C:C,Inventario6!C:C))))),
    _xlpm.invStats, IF(B55=1,Inventario1!D:H,IF(B55=2,Inventario2!D:H,IF(B55=3,Inventario3!D:H,IF(B55=4,Inventario4!D:H,IF(B55=5,Inventario5!D:H,Inventario6!D:H))))),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IF(ROW(A55)=2,"",IF(_xlfn._xlws.FILTER(Equipar!AC$2:AC54,Equipar!B$2:B54=B55)={0},"",_xlfn._xlws.FILTER(Equipar!AC$2:AC54,Equipar!B$2:B54=B55))),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55" s="17" cm="1">
        <f t="array" aca="1" ref="J55" ca="1">_xlfn.LET(
    _xlpm.jugador, B55,
    _xlpm.idSel, AD55,
    _xlpm.invIDs, IF(C55=1,Inventario1!B:B,IF(C55=2,Inventario2!B:B,IF(C55=3,Inventario3!B:B,IF(C55=4,Inventario4!B:B,IF(C55=5,Inventario5!B:B,Inventario6!B:B))))),
    _xlpm.invCalidad, IF(C55=1,Inventario1!C:C,IF(C55=2,Inventario2!C:C,IF(C55=3,Inventario3!C:C,IF(C55=4,Inventario4!C:C,IF(C55=5,Inventario5!C:C,Inventario6!C:C))))),
    _xlpm.invTipos, IF(C55=1,Inventario1!D:D,IF(C55=2,Inventario2!D:D,IF(C55=3,Inventario3!D:D,IF(C55=4,Inventario4!D:D,IF(C55=5,Inventario5!D:D,Inventario6!D:D))))),
    _xlpm.invStats, IF(C55=1,Inventario1!E:I,IF(C55=2,Inventario2!E:I,IF(C55=3,Inventario3!E:I,IF(C55=4,Inventario4!E:I,IF(C55=5,Inventario5!E:I,Inventario6!E:I))))),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IF(ROW(B55)=2,"",IF(_xlfn._xlws.FILTER(Equipar!AD$2:AD54,Equipar!C$2:C54=C55)={0},"",_xlfn._xlws.FILTER(Equipar!AD$2:AD54,Equipar!C$2:C54=C55))),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55" s="17">
        <f t="shared" ca="1" si="0"/>
        <v>0</v>
      </c>
      <c r="L55" s="17">
        <f t="shared" ca="1" si="1"/>
        <v>107.73</v>
      </c>
      <c r="M55" s="17">
        <f t="shared" ca="1" si="1"/>
        <v>107.73</v>
      </c>
      <c r="N55" s="17">
        <f t="shared" si="2"/>
        <v>107.73</v>
      </c>
      <c r="O55" s="17">
        <f t="shared" ca="1" si="2"/>
        <v>0</v>
      </c>
      <c r="P55" s="18" cm="1">
        <f t="array" aca="1" ref="P55" ca="1">_xlfn.LET(
    _xlpm.ptsPrinBase, _xlfn._xlws.FILTER(G:G, A:A=A55),
    _xlpm.ptsSecBase,  _xlfn._xlws.FILTER(H:H, A:A=A55),
    _xlpm.puntosPrin, _xlpm.ptsPrinBase + _xlfn._xlws.FILTER(B:B, A:A=A55)/1000,
    _xlpm.puntosSec,  _xlpm.ptsSecBase  + _xlfn._xlws.FILTER(B:B, A:A=A55)/1000,
    _xlpm.puntosPrinValidos, SUM(--(_xlpm.ptsPrinBase&gt;0)),
    _xlpm.puntosSecValidos,  SUM(--(_xlpm.ptsSecBase&gt;0)),
    _xlpm.clave, K55 + B55/1000,
    _xlpm.claves, _xlfn._xlws.FILTER(K:K + B:B/1000, A:A=A55),
    IF(AND(_xlpm.puntosPrinValidos&gt;=4,_xlpm.puntosSecValidos&gt;=2),IF(
        SUM(--(_xlpm.claves &gt; _xlpm.clave)) &lt; 4,
        C55,
        D55
    ),"No disp")
)</f>
        <v>145</v>
      </c>
      <c r="Q55" s="18" t="str" cm="1">
        <f t="array" aca="1" ref="Q55" ca="1">_xlfn.LET(
    _xlpm.puntosPrin, _xlfn._xlws.FILTER(G:G + B:B/1000, A:A=A55),
    _xlpm.puntosPrinValidos, SUM(--(_xlpm.puntosPrin&gt;1)),
    _xlpm.puntosTer, _xlfn._xlws.FILTER(I:I + B:B/1000, A:A=A55),
    _xlpm.puntosTerValidos, SUM(--(_xlpm.puntosTer&gt;1)),
    _xlpm.clave, L55 + B55/1000,
    _xlpm.claves, _xlfn._xlws.FILTER(L:L + B:B/1000, A:A=A55),
    IF(AND(_xlpm.puntosPrinValidos&gt;=4,_xlpm.puntosTerValidos&gt;=2),IF(
        SUM(--(_xlpm.claves &gt; _xlpm.clave)) &lt; 4,
        C55,
        E55
    ),"No disp")
)</f>
        <v>No disp</v>
      </c>
      <c r="R55" s="18" t="str" cm="1">
        <f t="array" aca="1" ref="R55" ca="1">_xlfn.LET(
    _xlpm.puntosPrin, _xlfn._xlws.FILTER(G:G + B:B/1000, A:A=A55),
    _xlpm.puntosPrinValidos, SUM(--(_xlpm.puntosPrin&gt;1)),
    _xlpm.puntosTer, _xlfn._xlws.FILTER(J:J + B:B/1000, A:A=A55),
    _xlpm.puntosTerValidos, SUM(--(_xlpm.puntosTer&gt;1)),
    _xlpm.clave, M55 + B55/1000,
    _xlpm.claves, _xlfn._xlws.FILTER(M:M + B:B/1000, A:A=A55),
    IF(AND(_xlpm.puntosPrinValidos&gt;=4,_xlpm.puntosTerValidos&gt;=2),IF(
        SUM(--(_xlpm.claves &gt; _xlpm.clave)) &lt; 4,
        C55,
        F55
    ),"No disp")
)</f>
        <v>No disp</v>
      </c>
      <c r="S55" s="18" cm="1">
        <f t="array" aca="1" ref="S55" ca="1">_xlfn.LET(
    _xlpm.ptsPrinBase, _xlfn._xlws.FILTER(G:G, A:A=A55),
    _xlpm.ptsSecBase,  _xlfn._xlws.FILTER(H:H, A:A=A55),
    _xlpm.puntosPrin, _xlpm.ptsPrinBase + _xlfn._xlws.FILTER(B:B, A:A=A55)/1000,
    _xlpm.puntosSec,  _xlpm.ptsSecBase  + _xlfn._xlws.FILTER(B:B, A:A=A55)/1000,
    _xlpm.puntosPrinValidos, SUM(--(_xlpm.ptsPrinBase&gt;0)),
    _xlpm.puntosSecValidos,  SUM(--(_xlpm.ptsSecBase&gt;0)),
    _xlpm.clave, K55 + B55/1000,
    _xlpm.claves, _xlfn._xlws.FILTER(K:K + B:B/1000, A:A=A55),
    IF(
        AND(_xlpm.puntosPrinValidos&gt;=2, _xlpm.puntosSecValidos&gt;=4),
        IF(
            SUM(--(_xlpm.claves &lt; _xlpm.clave)) &lt; 4,
            D55,
            C55
        ),
        "No disp"
    )
)</f>
        <v>235</v>
      </c>
      <c r="T55" s="18" t="str" cm="1">
        <f t="array" aca="1" ref="T55" ca="1">_xlfn.LET(
    _xlpm.puntosSec, _xlfn._xlws.FILTER(H:H + B:B/1000, A:A=A55),
    _xlpm.puntosSecValidos, SUM(--(_xlpm.puntosSec&gt;1)),
    _xlpm.puntosAlt, _xlfn._xlws.FILTER(I:I + B:B/1000, A:A=A55),
    _xlpm.puntosAltValidos, SUM(--(_xlpm.puntosAlt&gt;1)),
    _xlpm.clave, N55 + B55/1000,
    _xlpm.claves, _xlfn._xlws.FILTER(N:N + B:B/1000, A:A=A55),
    IF(AND(_xlpm.puntosSecValidos&gt;=4,_xlpm.puntosAltValidos&gt;=2),IF(
        SUM(--(_xlpm.claves &gt; _xlpm.clave)) &lt; 4,
        D55,
        E55
    ),"No disp")
)</f>
        <v>No disp</v>
      </c>
      <c r="U55" s="18" t="str" cm="1">
        <f t="array" aca="1" ref="U55" ca="1">_xlfn.LET(
    _xlpm.puntosSec, _xlfn._xlws.FILTER(H:H + B:B/1000, A:A=A55),
    _xlpm.puntosSecValidos, SUM(--(_xlpm.puntosSec&gt;1)),
    _xlpm.puntosAlt, _xlfn._xlws.FILTER(J:J + B:B/1000, A:A=A55),
    _xlpm.puntosAltValidos, SUM(--(_xlpm.puntosAlt&gt;1)),
    _xlpm.clave, O55 + B55/1000,
    _xlpm.claves, _xlfn._xlws.FILTER(O:O + B:B/1000, A:A=A55),
    IF(AND(_xlpm.puntosSecValidos&gt;=4,_xlpm.puntosAltValidos&gt;=2),IF(
        SUM(--(_xlpm.claves &gt; _xlpm.clave)) &lt; 4,
        D55,
        F55
    ),"No disp")
)</f>
        <v>No disp</v>
      </c>
      <c r="V55" s="17" cm="1">
        <f t="array" aca="1" ref="V55" ca="1">_xlfn.LET(
_xlpm.PrinIDs,_xlfn._xlws.FILTER(C:C,(A:A=A55)),
_xlpm.SecIDs,_xlfn._xlws.FILTER(D:D,(A:A=A55)),
_xlpm.TerIDs,_xlfn._xlws.FILTER(E:E,A:A=A55),
_xlpm.CuaIDs,_xlfn._xlws.FILTER(F:F,(A:A=A55)),
_xlpm.PrinPts,_xlfn._xlws.FILTER(G:G,(A:A=A55)),
_xlpm.SecPts,_xlfn._xlws.FILTER(H:H,(A:A=A55)),
_xlpm.TerPts,_xlfn._xlws.FILTER(I:I,(A:A=A55)),
_xlpm.CuaPts,_xlfn._xlws.FILTER(J:J,(A:A=A55)),
_xlpm.PSIds,_xlfn._xlws.FILTER(P:P,A:A=A55),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506.25</v>
      </c>
      <c r="W55" s="17" cm="1">
        <f t="array" aca="1" ref="W55" ca="1">_xlfn.LET(
_xlpm.PrinIDs,_xlfn._xlws.FILTER(C:C,(A:A=A55)),
_xlpm.SecIDs,_xlfn._xlws.FILTER(D:D,(A:A=A55)),
_xlpm.TerIDs,_xlfn._xlws.FILTER(E:E,A:A=A55),
_xlpm.CuaIDs,_xlfn._xlws.FILTER(F:F,(A:A=A55)),
_xlpm.PrinPts,_xlfn._xlws.FILTER(G:G,(A:A=A55)),
_xlpm.SecPts,_xlfn._xlws.FILTER(H:H,(A:A=A55)),
_xlpm.TerPts,_xlfn._xlws.FILTER(I:I,(A:A=A55)),
_xlpm.CuaPts,_xlfn._xlws.FILTER(J:J,(A:A=A55)),
_xlpm.PTIds,_xlfn._xlws.FILTER(Q:Q,A:A=A55),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55" s="17" cm="1">
        <f t="array" aca="1" ref="X55" ca="1">_xlfn.LET(
_xlpm.PrinIDs,_xlfn._xlws.FILTER(C:C,(A:A=A55)),
_xlpm.SecIDs,_xlfn._xlws.FILTER(D:D,(A:A=A55)),
_xlpm.TerIDs,_xlfn._xlws.FILTER(E:E,A:A=A55),
_xlpm.CuaIDs,_xlfn._xlws.FILTER(F:F,(A:A=A55)),
_xlpm.PrinPts,_xlfn._xlws.FILTER(G:G,(A:A=A55)),
_xlpm.SecPts,_xlfn._xlws.FILTER(H:H,(A:A=A55)),
_xlpm.TerPts,_xlfn._xlws.FILTER(I:I,(A:A=A55)),
_xlpm.CuaPts,_xlfn._xlws.FILTER(J:J,(A:A=A55)),
_xlpm.PCIds,_xlfn._xlws.FILTER(R:R,A:A=A55),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55" s="17" cm="1">
        <f t="array" aca="1" ref="Y55" ca="1">_xlfn.LET(
_xlpm.PrinIDs,_xlfn._xlws.FILTER(C:C,(A:A=A55)),
_xlpm.SecIDs,_xlfn._xlws.FILTER(D:D,(A:A=A55)),
_xlpm.AltIDs,_xlfn._xlws.FILTER(E:E,A:A=A55),
_xlpm.PrinPts,_xlfn._xlws.FILTER(G:G,(A:A=A55)),
_xlpm.SecPts,_xlfn._xlws.FILTER(H:H,(A:A=A55)),
_xlpm.AltPts,_xlfn._xlws.FILTER(I:I,(A:A=A55)),
_xlpm.SPIds,_xlfn._xlws.FILTER(S:S,A:A=A55),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506.25</v>
      </c>
      <c r="Z55" s="17" cm="1">
        <f t="array" aca="1" ref="Z55" ca="1">_xlfn.LET(
_xlpm.PrinIDs,_xlfn._xlws.FILTER(C:C,(A:A=A55)),
_xlpm.SecIDs,_xlfn._xlws.FILTER(D:D,(A:A=A55)),
_xlpm.TerIDs,_xlfn._xlws.FILTER(E:E,A:A=A55),
_xlpm.CuaIDs,_xlfn._xlws.FILTER(F:F,(A:A=A55)),
_xlpm.PrinPts,_xlfn._xlws.FILTER(G:G,(A:A=A55)),
_xlpm.SecPts,_xlfn._xlws.FILTER(H:H,(A:A=A55)),
_xlpm.TerPts,_xlfn._xlws.FILTER(I:I,(A:A=A55)),
_xlpm.CuaPts,_xlfn._xlws.FILTER(J:J,(A:A=A55)),
_xlpm.STIds,_xlfn._xlws.FILTER(T:T,A:A=A55),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55" s="17" cm="1">
        <f t="array" aca="1" ref="AA55" ca="1">_xlfn.LET(
_xlpm.PrinIDs,_xlfn._xlws.FILTER(C:C,(A:A=A55)),
_xlpm.SecIDs,_xlfn._xlws.FILTER(D:D,(A:A=A55)),
_xlpm.TerIDs,_xlfn._xlws.FILTER(E:E,A:A=A55),
_xlpm.CuaIDs,_xlfn._xlws.FILTER(F:F,(A:A=A55)),
_xlpm.PrinPts,_xlfn._xlws.FILTER(G:G,(A:A=A55)),
_xlpm.SecPts,_xlfn._xlws.FILTER(H:H,(A:A=A55)),
_xlpm.TerPts,_xlfn._xlws.FILTER(I:I,(A:A=A55)),
_xlpm.CuaPts,_xlfn._xlws.FILTER(J:J,(A:A=A55)),
_xlpm.SCIds,_xlfn._xlws.FILTER(U:U,A:A=A55),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55" s="18">
        <f t="shared" ca="1" si="3"/>
        <v>145</v>
      </c>
      <c r="AC55" s="18">
        <v>145</v>
      </c>
      <c r="AD55" s="17"/>
      <c r="AE55" s="18" t="str">
        <f ca="1">IF(ISNUMBER(AC55),
IF($B55=1,VLOOKUP($AC55,Inventario1!$A:$H,2),
IF($B55=2,VLOOKUP($AC55,Inventario2!$A:$H,2),
IF($B55=3,VLOOKUP($AC55,Inventario3!$A:$H,2),
IF($B55=4,VLOOKUP($AC55,Inventario4!$A:$H,2),
IF($B55=5,VLOOKUP($AC55,Inventario5!$A:$H,2),
VLOOKUP($AC55,Inventario6!$A:$H,2)
))))),"No equipado")</f>
        <v>Legendario</v>
      </c>
      <c r="AF55" s="18" t="str">
        <f ca="1">IF(ISNUMBER(AC55),
IF($B55=1,VLOOKUP($AC55,Inventario1!$A:$H,3),
IF($B55=2,VLOOKUP($AC55,Inventario2!$A:$H,3),
IF($B55=3,VLOOKUP($AC55,Inventario3!$A:$H,3),
IF($B55=4,VLOOKUP($AC55,Inventario4!$A:$H,3),
IF($B55=5,VLOOKUP($AC55,Inventario5!$A:$H,3),
VLOOKUP($AC55,Inventario6!$A:$H,3)
))))),"")</f>
        <v>Recepción de asistencia</v>
      </c>
      <c r="AG55" s="18" t="str">
        <f ca="1">IF(ISNUMBER(AC55),
IF($B55=1,VLOOKUP($AC55,Inventario1!$A:$H,4),
IF($B55=2,VLOOKUP($AC55,Inventario2!$A:$H,4),
IF($B55=3,VLOOKUP($AC55,Inventario3!$A:$H,4),
IF($B55=4,VLOOKUP($AC55,Inventario4!$A:$H,4),
IF($B55=5,VLOOKUP($AC55,Inventario5!$A:$H,4),
VLOOKUP($AC55,Inventario6!$A:$H,4)
))))),"")</f>
        <v>Recepción</v>
      </c>
      <c r="AH55" s="18" t="str">
        <f ca="1">IF(ISNUMBER(AC55),
IF($B55=1,VLOOKUP($AC55,Inventario1!$A:$H,5),
IF($B55=2,VLOOKUP($AC55,Inventario2!$A:$H,5),
IF($B55=3,VLOOKUP($AC55,Inventario3!$A:$H,5),
IF($B55=4,VLOOKUP($AC55,Inventario4!$A:$H,5),
IF($B55=5,VLOOKUP($AC55,Inventario5!$A:$H,5),
VLOOKUP($AC55,Inventario6!$A:$H,5)
))))),"")</f>
        <v>Ataque rápido</v>
      </c>
      <c r="AI55" s="18" t="str">
        <f ca="1">IF(ISNUMBER(AC55),
IF($B55=1,VLOOKUP($AC55,Inventario1!$A:$H,6),
IF($B55=2,VLOOKUP($AC55,Inventario2!$A:$H,6),
IF($B55=3,VLOOKUP($AC55,Inventario3!$A:$H,6),
IF($B55=4,VLOOKUP($AC55,Inventario4!$A:$H,6),
IF($B55=5,VLOOKUP($AC55,Inventario5!$A:$H,6),
VLOOKUP($AC55,Inventario6!$A:$H,6)
))))),"")</f>
        <v>Recuperación</v>
      </c>
      <c r="AJ55" s="18" t="str">
        <f ca="1">IF(ISNUMBER(AC55),
IF($B55=1,VLOOKUP($AC55,Inventario1!$A:$H,7),
IF($B55=2,VLOOKUP($AC55,Inventario2!$A:$H,7),
IF($B55=3,VLOOKUP($AC55,Inventario3!$A:$H,7),
IF($B55=4,VLOOKUP($AC55,Inventario4!$A:$H,7),
IF($B55=5,VLOOKUP($AC55,Inventario5!$A:$H,7),
VLOOKUP($AC55,Inventario6!$A:$H,7)
))))),"")</f>
        <v>Recuperación</v>
      </c>
      <c r="AK55" s="19">
        <f ca="1">IF(ISNUMBER(AC55),
IF($B55=1,VLOOKUP($AC55,Inventario1!$A:$H,8),
IF($B55=2,VLOOKUP($AC55,Inventario2!$A:$H,8),
IF($B55=3,VLOOKUP($AC55,Inventario3!$A:$H,8),
IF($B55=4,VLOOKUP($AC55,Inventario4!$A:$H,8),
IF($B55=5,VLOOKUP($AC55,Inventario5!$A:$H,8),
VLOOKUP($AC55,Inventario6!$A:$H,8)
))))),"")</f>
        <v>0</v>
      </c>
    </row>
    <row r="56" spans="1:37" x14ac:dyDescent="0.25">
      <c r="A56" s="20" t="s">
        <v>18</v>
      </c>
      <c r="B56" s="9">
        <v>1</v>
      </c>
      <c r="C56" s="10" cm="1">
        <f t="array" aca="1" ref="C56" ca="1">_xlfn.LET(
    _xlpm.jugador, A56,
    _xlpm.idSel, AC56,
    _xlpm.invIDs, IF(B56=1,Inventario1!A:A,IF(B56=2,Inventario2!A:A,IF(B56=3,Inventario3!A:A,IF(B56=4,Inventario4!A:A,IF(B56=5,Inventario5!A:A,Inventario6!A:A))))),
    _xlpm.invCalidad, IF(B56=1,Inventario1!B:B,IF(B56=2,Inventario2!B:B,IF(B56=3,Inventario3!B:B,IF(B56=4,Inventario4!B:B,IF(B56=5,Inventario5!B:B,Inventario6!B:B))))),
    _xlpm.invTipos, IF(B56=1,Inventario1!C:C,IF(B56=2,Inventario2!C:C,IF(B56=3,Inventario3!C:C,IF(B56=4,Inventario4!C:C,IF(B56=5,Inventario5!C:C,Inventario6!C:C))))),
    _xlpm.invStats, IF(B56=1,Inventario1!D:H,IF(B56=2,Inventario2!D:H,IF(B56=3,Inventario3!D:H,IF(B56=4,Inventario4!D:H,IF(B56=5,Inventario5!D:H,Inventario6!D:H))))),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IF(ROW(A56)=2,"",IF(_xlfn._xlws.FILTER(Equipar!AC$2:AC55,Equipar!B$2:B55=B56)={0},"",_xlfn._xlws.FILTER(Equipar!AC$2:AC55,Equipar!B$2:B55=B56))),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59</v>
      </c>
      <c r="D56" s="11" cm="1">
        <f t="array" ref="D56">_xlfn.LET(
    _xlpm.jugador, A56,
    _xlpm.idSel, AC56,
    _xlpm.invIDs, IF(B56=1,Inventario1!A:A,IF(B56=2,Inventario2!A:A,IF(B56=3,Inventario3!A:A,IF(B56=4,Inventario4!A:A,IF(B56=5,Inventario5!A:A,Inventario6!A:A))))),
    _xlpm.invCalidad, IF(B56=1,Inventario1!B:B,IF(B56=2,Inventario2!B:B,IF(B56=3,Inventario3!B:B,IF(B56=4,Inventario4!B:B,IF(B56=5,Inventario5!B:B,Inventario6!B:B))))),
    _xlpm.invTipos, IF(B56=1,Inventario1!C:C,IF(B56=2,Inventario2!C:C,IF(B56=3,Inventario3!C:C,IF(B56=4,Inventario4!C:C,IF(B56=5,Inventario5!C:C,Inventario6!C:C))))),
    _xlpm.invStats, IF(B56=1,Inventario1!D:H,IF(B56=2,Inventario2!D:H,IF(B56=3,Inventario3!D:H,IF(B56=4,Inventario4!D:H,IF(B56=5,Inventario5!D:H,Inventario6!D:H))))),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IF(ROW(A56)=2,"",IF(_xlfn._xlws.FILTER(Equipar!AC$2:AC55,Equipar!B$2:B55=B56)={0},"",_xlfn._xlws.FILTER(Equipar!AC$2:AC55,Equipar!B$2:B55=B56))),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30</v>
      </c>
      <c r="E56" s="11" t="str" cm="1">
        <f t="array" ref="E56">_xlfn.LET(
    _xlpm.jugador, A56,
    _xlpm.idSel, AC56,
    _xlpm.invIDs, IF(B56=1,Inventario1!A:A,IF(B56=2,Inventario2!A:A,IF(B56=3,Inventario3!A:A,IF(B56=4,Inventario4!A:A,IF(B56=5,Inventario5!A:A,Inventario6!A:A))))),
    _xlpm.invCalidad, IF(B56=1,Inventario1!B:B,IF(B56=2,Inventario2!B:B,IF(B56=3,Inventario3!B:B,IF(B56=4,Inventario4!B:B,IF(B56=5,Inventario5!B:B,Inventario6!B:B))))),
    _xlpm.invTipos, IF(B56=1,Inventario1!C:C,IF(B56=2,Inventario2!C:C,IF(B56=3,Inventario3!C:C,IF(B56=4,Inventario4!C:C,IF(B56=5,Inventario5!C:C,Inventario6!C:C))))),
    _xlpm.invStats, IF(B56=1,Inventario1!D:H,IF(B56=2,Inventario2!D:H,IF(B56=3,Inventario3!D:H,IF(B56=4,Inventario4!D:H,IF(B56=5,Inventario5!D:H,Inventario6!D:H))))),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IF(ROW(A56)=2,"",IF(_xlfn._xlws.FILTER(Equipar!AC$2:AC55,Equipar!B$2:B55=B56)={0},"",_xlfn._xlws.FILTER(Equipar!AC$2:AC55,Equipar!B$2:B55=B56))),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56" s="11" t="str" cm="1">
        <f t="array" aca="1" ref="F56" ca="1">_xlfn.LET(
    _xlpm.jugador, B56,
    _xlpm.idSel, AD56,
    _xlpm.invIDs, IF(C56=1,Inventario1!B:B,IF(C56=2,Inventario2!B:B,IF(C56=3,Inventario3!B:B,IF(C56=4,Inventario4!B:B,IF(C56=5,Inventario5!B:B,Inventario6!B:B))))),
    _xlpm.invCalidad, IF(C56=1,Inventario1!C:C,IF(C56=2,Inventario2!C:C,IF(C56=3,Inventario3!C:C,IF(C56=4,Inventario4!C:C,IF(C56=5,Inventario5!C:C,Inventario6!C:C))))),
    _xlpm.invTipos, IF(C56=1,Inventario1!D:D,IF(C56=2,Inventario2!D:D,IF(C56=3,Inventario3!D:D,IF(C56=4,Inventario4!D:D,IF(C56=5,Inventario5!D:D,Inventario6!D:D))))),
    _xlpm.invStats, IF(C56=1,Inventario1!E:I,IF(C56=2,Inventario2!E:I,IF(C56=3,Inventario3!E:I,IF(C56=4,Inventario4!E:I,IF(C56=5,Inventario5!E:I,Inventario6!E:I))))),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IF(ROW(B56)=2,"",IF(_xlfn._xlws.FILTER(Equipar!AD$2:AD55,Equipar!C$2:C55=C56)={0},"",_xlfn._xlws.FILTER(Equipar!AD$2:AD55,Equipar!C$2:C55=C56))),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56" s="10" cm="1">
        <f t="array" aca="1" ref="G56" ca="1">_xlfn.LET(
    _xlpm.jugador, A56,
    _xlpm.idSel, AC56,
    _xlpm.invIDs, IF(B56=1,Inventario1!A:A,IF(B56=2,Inventario2!A:A,IF(B56=3,Inventario3!A:A,IF(B56=4,Inventario4!A:A,IF(B56=5,Inventario5!A:A,Inventario6!A:A))))),
    _xlpm.invCalidad, IF(B56=1,Inventario1!B:B,IF(B56=2,Inventario2!B:B,IF(B56=3,Inventario3!B:B,IF(B56=4,Inventario4!B:B,IF(B56=5,Inventario5!B:B,Inventario6!B:B))))),
    _xlpm.invTipos, IF(B56=1,Inventario1!C:C,IF(B56=2,Inventario2!C:C,IF(B56=3,Inventario3!C:C,IF(B56=4,Inventario4!C:C,IF(B56=5,Inventario5!C:C,Inventario6!C:C))))),
    _xlpm.invStats, IF(B56=1,Inventario1!D:H,IF(B56=2,Inventario2!D:H,IF(B56=3,Inventario3!D:H,IF(B56=4,Inventario4!D:H,IF(B56=5,Inventario5!D:H,Inventario6!D:H))))),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IF(ROW(A56)=2,"",IF(_xlfn._xlws.FILTER(Equipar!AC$2:AC55,Equipar!B$2:B55=B56)={0},"",_xlfn._xlws.FILTER(Equipar!AC$2:AC55,Equipar!B$2:B55=B56))),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H56" s="11" cm="1">
        <f t="array" ref="H56">_xlfn.LET(
    _xlpm.jugador, A56,
    _xlpm.idSel, AC56,
    _xlpm.invIDs, IF(B56=1,Inventario1!A:A,IF(B56=2,Inventario2!A:A,IF(B56=3,Inventario3!A:A,IF(B56=4,Inventario4!A:A,IF(B56=5,Inventario5!A:A,Inventario6!A:A))))),
    _xlpm.invCalidad, IF(B56=1,Inventario1!B:B,IF(B56=2,Inventario2!B:B,IF(B56=3,Inventario3!B:B,IF(B56=4,Inventario4!B:B,IF(B56=5,Inventario5!B:B,Inventario6!B:B))))),
    _xlpm.invTipos, IF(B56=1,Inventario1!C:C,IF(B56=2,Inventario2!C:C,IF(B56=3,Inventario3!C:C,IF(B56=4,Inventario4!C:C,IF(B56=5,Inventario5!C:C,Inventario6!C:C))))),
    _xlpm.invStats, IF(B56=1,Inventario1!D:H,IF(B56=2,Inventario2!D:H,IF(B56=3,Inventario3!D:H,IF(B56=4,Inventario4!D:H,IF(B56=5,Inventario5!D:H,Inventario6!D:H))))),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IF(ROW(A56)=2,"",IF(_xlfn._xlws.FILTER(Equipar!AC$2:AC55,Equipar!B$2:B55=B56)={0},"",_xlfn._xlws.FILTER(Equipar!AC$2:AC55,Equipar!B$2:B55=B56))),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I56" s="11" cm="1">
        <f t="array" ref="I56">_xlfn.LET(
    _xlpm.jugador, A56,
    _xlpm.idSel, AC56,
    _xlpm.invIDs, IF(B56=1,Inventario1!A:A,IF(B56=2,Inventario2!A:A,IF(B56=3,Inventario3!A:A,IF(B56=4,Inventario4!A:A,IF(B56=5,Inventario5!A:A,Inventario6!A:A))))),
    _xlpm.invCalidad, IF(B56=1,Inventario1!B:B,IF(B56=2,Inventario2!B:B,IF(B56=3,Inventario3!B:B,IF(B56=4,Inventario4!B:B,IF(B56=5,Inventario5!B:B,Inventario6!B:B))))),
    _xlpm.invTipos, IF(B56=1,Inventario1!C:C,IF(B56=2,Inventario2!C:C,IF(B56=3,Inventario3!C:C,IF(B56=4,Inventario4!C:C,IF(B56=5,Inventario5!C:C,Inventario6!C:C))))),
    _xlpm.invStats, IF(B56=1,Inventario1!D:H,IF(B56=2,Inventario2!D:H,IF(B56=3,Inventario3!D:H,IF(B56=4,Inventario4!D:H,IF(B56=5,Inventario5!D:H,Inventario6!D:H))))),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IF(ROW(A56)=2,"",IF(_xlfn._xlws.FILTER(Equipar!AC$2:AC55,Equipar!B$2:B55=B56)={0},"",_xlfn._xlws.FILTER(Equipar!AC$2:AC55,Equipar!B$2:B55=B56))),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56" s="11" cm="1">
        <f t="array" aca="1" ref="J56" ca="1">_xlfn.LET(
    _xlpm.jugador, B56,
    _xlpm.idSel, AD56,
    _xlpm.invIDs, IF(C56=1,Inventario1!B:B,IF(C56=2,Inventario2!B:B,IF(C56=3,Inventario3!B:B,IF(C56=4,Inventario4!B:B,IF(C56=5,Inventario5!B:B,Inventario6!B:B))))),
    _xlpm.invCalidad, IF(C56=1,Inventario1!C:C,IF(C56=2,Inventario2!C:C,IF(C56=3,Inventario3!C:C,IF(C56=4,Inventario4!C:C,IF(C56=5,Inventario5!C:C,Inventario6!C:C))))),
    _xlpm.invTipos, IF(C56=1,Inventario1!D:D,IF(C56=2,Inventario2!D:D,IF(C56=3,Inventario3!D:D,IF(C56=4,Inventario4!D:D,IF(C56=5,Inventario5!D:D,Inventario6!D:D))))),
    _xlpm.invStats, IF(C56=1,Inventario1!E:I,IF(C56=2,Inventario2!E:I,IF(C56=3,Inventario3!E:I,IF(C56=4,Inventario4!E:I,IF(C56=5,Inventario5!E:I,Inventario6!E:I))))),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IF(ROW(B56)=2,"",IF(_xlfn._xlws.FILTER(Equipar!AD$2:AD55,Equipar!C$2:C55=C56)={0},"",_xlfn._xlws.FILTER(Equipar!AD$2:AD55,Equipar!C$2:C55=C56))),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56" s="11">
        <f t="shared" ca="1" si="0"/>
        <v>9.1799999999999926</v>
      </c>
      <c r="L56" s="11">
        <f t="shared" ca="1" si="1"/>
        <v>81</v>
      </c>
      <c r="M56" s="11">
        <f t="shared" ca="1" si="1"/>
        <v>71.820000000000007</v>
      </c>
      <c r="N56" s="11">
        <f t="shared" si="2"/>
        <v>71.820000000000007</v>
      </c>
      <c r="O56" s="11">
        <f t="shared" ca="1" si="2"/>
        <v>0</v>
      </c>
      <c r="P56" s="10" cm="1">
        <f t="array" aca="1" ref="P56" ca="1">_xlfn.LET(
    _xlpm.ptsPrinBase, _xlfn._xlws.FILTER(G:G, A:A=A56),
    _xlpm.ptsSecBase,  _xlfn._xlws.FILTER(H:H, A:A=A56),
    _xlpm.puntosPrin, _xlpm.ptsPrinBase + _xlfn._xlws.FILTER(B:B, A:A=A56)/1000,
    _xlpm.puntosSec,  _xlpm.ptsSecBase  + _xlfn._xlws.FILTER(B:B, A:A=A56)/1000,
    _xlpm.puntosPrinValidos, SUM(--(_xlpm.ptsPrinBase&gt;0)),
    _xlpm.puntosSecValidos,  SUM(--(_xlpm.ptsSecBase&gt;0)),
    _xlpm.clave, K56 + B56/1000,
    _xlpm.claves, _xlfn._xlws.FILTER(K:K + B:B/1000, A:A=A56),
    IF(AND(_xlpm.puntosPrinValidos&gt;=4,_xlpm.puntosSecValidos&gt;=2),IF(
        SUM(--(_xlpm.claves &gt; _xlpm.clave)) &lt; 4,
        C56,
        D56
    ),"No disp")
)</f>
        <v>59</v>
      </c>
      <c r="Q56" s="10" t="str" cm="1">
        <f t="array" aca="1" ref="Q56" ca="1">_xlfn.LET(
    _xlpm.puntosPrin, _xlfn._xlws.FILTER(G:G + B:B/1000, A:A=A56),
    _xlpm.puntosPrinValidos, SUM(--(_xlpm.puntosPrin&gt;1)),
    _xlpm.puntosTer, _xlfn._xlws.FILTER(I:I + B:B/1000, A:A=A56),
    _xlpm.puntosTerValidos, SUM(--(_xlpm.puntosTer&gt;1)),
    _xlpm.clave, L56 + B56/1000,
    _xlpm.claves, _xlfn._xlws.FILTER(L:L + B:B/1000, A:A=A56),
    IF(AND(_xlpm.puntosPrinValidos&gt;=4,_xlpm.puntosTerValidos&gt;=2),IF(
        SUM(--(_xlpm.claves &gt; _xlpm.clave)) &lt; 4,
        C56,
        E56
    ),"No disp")
)</f>
        <v>No disp</v>
      </c>
      <c r="R56" s="10" t="str" cm="1">
        <f t="array" aca="1" ref="R56" ca="1">_xlfn.LET(
    _xlpm.puntosPrin, _xlfn._xlws.FILTER(G:G + B:B/1000, A:A=A56),
    _xlpm.puntosPrinValidos, SUM(--(_xlpm.puntosPrin&gt;1)),
    _xlpm.puntosTer, _xlfn._xlws.FILTER(J:J + B:B/1000, A:A=A56),
    _xlpm.puntosTerValidos, SUM(--(_xlpm.puntosTer&gt;1)),
    _xlpm.clave, M56 + B56/1000,
    _xlpm.claves, _xlfn._xlws.FILTER(M:M + B:B/1000, A:A=A56),
    IF(AND(_xlpm.puntosPrinValidos&gt;=4,_xlpm.puntosTerValidos&gt;=2),IF(
        SUM(--(_xlpm.claves &gt; _xlpm.clave)) &lt; 4,
        C56,
        F56
    ),"No disp")
)</f>
        <v>No disp</v>
      </c>
      <c r="S56" s="10" cm="1">
        <f t="array" aca="1" ref="S56" ca="1">_xlfn.LET(
    _xlpm.ptsPrinBase, _xlfn._xlws.FILTER(G:G, A:A=A56),
    _xlpm.ptsSecBase,  _xlfn._xlws.FILTER(H:H, A:A=A56),
    _xlpm.puntosPrin, _xlpm.ptsPrinBase + _xlfn._xlws.FILTER(B:B, A:A=A56)/1000,
    _xlpm.puntosSec,  _xlpm.ptsSecBase  + _xlfn._xlws.FILTER(B:B, A:A=A56)/1000,
    _xlpm.puntosPrinValidos, SUM(--(_xlpm.ptsPrinBase&gt;0)),
    _xlpm.puntosSecValidos,  SUM(--(_xlpm.ptsSecBase&gt;0)),
    _xlpm.clave, K56 + B56/1000,
    _xlpm.claves, _xlfn._xlws.FILTER(K:K + B:B/1000, A:A=A56),
    IF(
        AND(_xlpm.puntosPrinValidos&gt;=2, _xlpm.puntosSecValidos&gt;=4),
        IF(
            SUM(--(_xlpm.claves &lt; _xlpm.clave)) &lt; 4,
            D56,
            C56
        ),
        "No disp"
    )
)</f>
        <v>59</v>
      </c>
      <c r="T56" s="10" t="str" cm="1">
        <f t="array" aca="1" ref="T56" ca="1">_xlfn.LET(
    _xlpm.puntosSec, _xlfn._xlws.FILTER(H:H + B:B/1000, A:A=A56),
    _xlpm.puntosSecValidos, SUM(--(_xlpm.puntosSec&gt;1)),
    _xlpm.puntosAlt, _xlfn._xlws.FILTER(I:I + B:B/1000, A:A=A56),
    _xlpm.puntosAltValidos, SUM(--(_xlpm.puntosAlt&gt;1)),
    _xlpm.clave, N56 + B56/1000,
    _xlpm.claves, _xlfn._xlws.FILTER(N:N + B:B/1000, A:A=A56),
    IF(AND(_xlpm.puntosSecValidos&gt;=4,_xlpm.puntosAltValidos&gt;=2),IF(
        SUM(--(_xlpm.claves &gt; _xlpm.clave)) &lt; 4,
        D56,
        E56
    ),"No disp")
)</f>
        <v>No disp</v>
      </c>
      <c r="U56" s="10" t="str" cm="1">
        <f t="array" aca="1" ref="U56" ca="1">_xlfn.LET(
    _xlpm.puntosSec, _xlfn._xlws.FILTER(H:H + B:B/1000, A:A=A56),
    _xlpm.puntosSecValidos, SUM(--(_xlpm.puntosSec&gt;1)),
    _xlpm.puntosAlt, _xlfn._xlws.FILTER(J:J + B:B/1000, A:A=A56),
    _xlpm.puntosAltValidos, SUM(--(_xlpm.puntosAlt&gt;1)),
    _xlpm.clave, O56 + B56/1000,
    _xlpm.claves, _xlfn._xlws.FILTER(O:O + B:B/1000, A:A=A56),
    IF(AND(_xlpm.puntosSecValidos&gt;=4,_xlpm.puntosAltValidos&gt;=2),IF(
        SUM(--(_xlpm.claves &gt; _xlpm.clave)) &lt; 4,
        D56,
        F56
    ),"No disp")
)</f>
        <v>No disp</v>
      </c>
      <c r="V56" s="11" cm="1">
        <f t="array" aca="1" ref="V56" ca="1">_xlfn.LET(
_xlpm.PrinIDs,_xlfn._xlws.FILTER(C:C,(A:A=A56)),
_xlpm.SecIDs,_xlfn._xlws.FILTER(D:D,(A:A=A56)),
_xlpm.TerIDs,_xlfn._xlws.FILTER(E:E,A:A=A56),
_xlpm.CuaIDs,_xlfn._xlws.FILTER(F:F,(A:A=A56)),
_xlpm.PrinPts,_xlfn._xlws.FILTER(G:G,(A:A=A56)),
_xlpm.SecPts,_xlfn._xlws.FILTER(H:H,(A:A=A56)),
_xlpm.TerPts,_xlfn._xlws.FILTER(I:I,(A:A=A56)),
_xlpm.CuaPts,_xlfn._xlws.FILTER(J:J,(A:A=A56)),
_xlpm.PSIds,_xlfn._xlws.FILTER(P:P,A:A=A56),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464.49</v>
      </c>
      <c r="W56" s="11" cm="1">
        <f t="array" aca="1" ref="W56" ca="1">_xlfn.LET(
_xlpm.PrinIDs,_xlfn._xlws.FILTER(C:C,(A:A=A56)),
_xlpm.SecIDs,_xlfn._xlws.FILTER(D:D,(A:A=A56)),
_xlpm.TerIDs,_xlfn._xlws.FILTER(E:E,A:A=A56),
_xlpm.CuaIDs,_xlfn._xlws.FILTER(F:F,(A:A=A56)),
_xlpm.PrinPts,_xlfn._xlws.FILTER(G:G,(A:A=A56)),
_xlpm.SecPts,_xlfn._xlws.FILTER(H:H,(A:A=A56)),
_xlpm.TerPts,_xlfn._xlws.FILTER(I:I,(A:A=A56)),
_xlpm.CuaPts,_xlfn._xlws.FILTER(J:J,(A:A=A56)),
_xlpm.PTIds,_xlfn._xlws.FILTER(Q:Q,A:A=A56),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56" s="11" cm="1">
        <f t="array" aca="1" ref="X56" ca="1">_xlfn.LET(
_xlpm.PrinIDs,_xlfn._xlws.FILTER(C:C,(A:A=A56)),
_xlpm.SecIDs,_xlfn._xlws.FILTER(D:D,(A:A=A56)),
_xlpm.TerIDs,_xlfn._xlws.FILTER(E:E,A:A=A56),
_xlpm.CuaIDs,_xlfn._xlws.FILTER(F:F,(A:A=A56)),
_xlpm.PrinPts,_xlfn._xlws.FILTER(G:G,(A:A=A56)),
_xlpm.SecPts,_xlfn._xlws.FILTER(H:H,(A:A=A56)),
_xlpm.TerPts,_xlfn._xlws.FILTER(I:I,(A:A=A56)),
_xlpm.CuaPts,_xlfn._xlws.FILTER(J:J,(A:A=A56)),
_xlpm.PCIds,_xlfn._xlws.FILTER(R:R,A:A=A56),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56" s="11" cm="1">
        <f t="array" aca="1" ref="Y56" ca="1">_xlfn.LET(
_xlpm.PrinIDs,_xlfn._xlws.FILTER(C:C,(A:A=A56)),
_xlpm.SecIDs,_xlfn._xlws.FILTER(D:D,(A:A=A56)),
_xlpm.AltIDs,_xlfn._xlws.FILTER(E:E,A:A=A56),
_xlpm.PrinPts,_xlfn._xlws.FILTER(G:G,(A:A=A56)),
_xlpm.SecPts,_xlfn._xlws.FILTER(H:H,(A:A=A56)),
_xlpm.AltPts,_xlfn._xlws.FILTER(I:I,(A:A=A56)),
_xlpm.SPIds,_xlfn._xlws.FILTER(S:S,A:A=A56),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464.31</v>
      </c>
      <c r="Z56" s="11" cm="1">
        <f t="array" aca="1" ref="Z56" ca="1">_xlfn.LET(
_xlpm.PrinIDs,_xlfn._xlws.FILTER(C:C,(A:A=A56)),
_xlpm.SecIDs,_xlfn._xlws.FILTER(D:D,(A:A=A56)),
_xlpm.TerIDs,_xlfn._xlws.FILTER(E:E,A:A=A56),
_xlpm.CuaIDs,_xlfn._xlws.FILTER(F:F,(A:A=A56)),
_xlpm.PrinPts,_xlfn._xlws.FILTER(G:G,(A:A=A56)),
_xlpm.SecPts,_xlfn._xlws.FILTER(H:H,(A:A=A56)),
_xlpm.TerPts,_xlfn._xlws.FILTER(I:I,(A:A=A56)),
_xlpm.CuaPts,_xlfn._xlws.FILTER(J:J,(A:A=A56)),
_xlpm.STIds,_xlfn._xlws.FILTER(T:T,A:A=A56),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56" s="11" cm="1">
        <f t="array" aca="1" ref="AA56" ca="1">_xlfn.LET(
_xlpm.PrinIDs,_xlfn._xlws.FILTER(C:C,(A:A=A56)),
_xlpm.SecIDs,_xlfn._xlws.FILTER(D:D,(A:A=A56)),
_xlpm.TerIDs,_xlfn._xlws.FILTER(E:E,A:A=A56),
_xlpm.CuaIDs,_xlfn._xlws.FILTER(F:F,(A:A=A56)),
_xlpm.PrinPts,_xlfn._xlws.FILTER(G:G,(A:A=A56)),
_xlpm.SecPts,_xlfn._xlws.FILTER(H:H,(A:A=A56)),
_xlpm.TerPts,_xlfn._xlws.FILTER(I:I,(A:A=A56)),
_xlpm.CuaPts,_xlfn._xlws.FILTER(J:J,(A:A=A56)),
_xlpm.SCIds,_xlfn._xlws.FILTER(U:U,A:A=A56),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56" s="10">
        <f t="shared" ca="1" si="3"/>
        <v>59</v>
      </c>
      <c r="AC56" s="10">
        <v>59</v>
      </c>
      <c r="AD56" s="11"/>
      <c r="AE56" s="10" t="str">
        <f ca="1">IF(ISNUMBER(AC56),
IF($B56=1,VLOOKUP($AC56,Inventario1!$A:$H,2),
IF($B56=2,VLOOKUP($AC56,Inventario2!$A:$H,2),
IF($B56=3,VLOOKUP($AC56,Inventario3!$A:$H,2),
IF($B56=4,VLOOKUP($AC56,Inventario4!$A:$H,2),
IF($B56=5,VLOOKUP($AC56,Inventario5!$A:$H,2),
VLOOKUP($AC56,Inventario6!$A:$H,2)
))))),"No equipado")</f>
        <v>Épico</v>
      </c>
      <c r="AF56" s="10" t="str">
        <f ca="1">IF(ISNUMBER(AC56),
IF($B56=1,VLOOKUP($AC56,Inventario1!$A:$H,3),
IF($B56=2,VLOOKUP($AC56,Inventario2!$A:$H,3),
IF($B56=3,VLOOKUP($AC56,Inventario3!$A:$H,3),
IF($B56=4,VLOOKUP($AC56,Inventario4!$A:$H,3),
IF($B56=5,VLOOKUP($AC56,Inventario5!$A:$H,3),
VLOOKUP($AC56,Inventario6!$A:$H,3)
))))),"")</f>
        <v>Recepción de asistencia</v>
      </c>
      <c r="AG56" s="10" t="str">
        <f ca="1">IF(ISNUMBER(AC56),
IF($B56=1,VLOOKUP($AC56,Inventario1!$A:$H,4),
IF($B56=2,VLOOKUP($AC56,Inventario2!$A:$H,4),
IF($B56=3,VLOOKUP($AC56,Inventario3!$A:$H,4),
IF($B56=4,VLOOKUP($AC56,Inventario4!$A:$H,4),
IF($B56=5,VLOOKUP($AC56,Inventario5!$A:$H,4),
VLOOKUP($AC56,Inventario6!$A:$H,4)
))))),"")</f>
        <v>Recepción</v>
      </c>
      <c r="AH56" s="10" t="str">
        <f ca="1">IF(ISNUMBER(AC56),
IF($B56=1,VLOOKUP($AC56,Inventario1!$A:$H,5),
IF($B56=2,VLOOKUP($AC56,Inventario2!$A:$H,5),
IF($B56=3,VLOOKUP($AC56,Inventario3!$A:$H,5),
IF($B56=4,VLOOKUP($AC56,Inventario4!$A:$H,5),
IF($B56=5,VLOOKUP($AC56,Inventario5!$A:$H,5),
VLOOKUP($AC56,Inventario6!$A:$H,5)
))))),"")</f>
        <v>Recepción</v>
      </c>
      <c r="AI56" s="10" t="str">
        <f ca="1">IF(ISNUMBER(AC56),
IF($B56=1,VLOOKUP($AC56,Inventario1!$A:$H,6),
IF($B56=2,VLOOKUP($AC56,Inventario2!$A:$H,6),
IF($B56=3,VLOOKUP($AC56,Inventario3!$A:$H,6),
IF($B56=4,VLOOKUP($AC56,Inventario4!$A:$H,6),
IF($B56=5,VLOOKUP($AC56,Inventario5!$A:$H,6),
VLOOKUP($AC56,Inventario6!$A:$H,6)
))))),"")</f>
        <v>Bloqueo</v>
      </c>
      <c r="AJ56" s="10" t="str">
        <f ca="1">IF(ISNUMBER(AC56),
IF($B56=1,VLOOKUP($AC56,Inventario1!$A:$H,7),
IF($B56=2,VLOOKUP($AC56,Inventario2!$A:$H,7),
IF($B56=3,VLOOKUP($AC56,Inventario3!$A:$H,7),
IF($B56=4,VLOOKUP($AC56,Inventario4!$A:$H,7),
IF($B56=5,VLOOKUP($AC56,Inventario5!$A:$H,7),
VLOOKUP($AC56,Inventario6!$A:$H,7)
))))),"")</f>
        <v>Recepción</v>
      </c>
      <c r="AK56" s="12">
        <f ca="1">IF(ISNUMBER(AC56),
IF($B56=1,VLOOKUP($AC56,Inventario1!$A:$H,8),
IF($B56=2,VLOOKUP($AC56,Inventario2!$A:$H,8),
IF($B56=3,VLOOKUP($AC56,Inventario3!$A:$H,8),
IF($B56=4,VLOOKUP($AC56,Inventario4!$A:$H,8),
IF($B56=5,VLOOKUP($AC56,Inventario5!$A:$H,8),
VLOOKUP($AC56,Inventario6!$A:$H,8)
))))),"")</f>
        <v>0</v>
      </c>
    </row>
    <row r="57" spans="1:37" x14ac:dyDescent="0.25">
      <c r="A57" s="21" t="s">
        <v>18</v>
      </c>
      <c r="B57" s="3">
        <v>2</v>
      </c>
      <c r="C57" s="14" cm="1">
        <f t="array" aca="1" ref="C57" ca="1">_xlfn.LET(
    _xlpm.jugador, A57,
    _xlpm.idSel, AC57,
    _xlpm.invIDs, IF(B57=1,Inventario1!A:A,IF(B57=2,Inventario2!A:A,IF(B57=3,Inventario3!A:A,IF(B57=4,Inventario4!A:A,IF(B57=5,Inventario5!A:A,Inventario6!A:A))))),
    _xlpm.invCalidad, IF(B57=1,Inventario1!B:B,IF(B57=2,Inventario2!B:B,IF(B57=3,Inventario3!B:B,IF(B57=4,Inventario4!B:B,IF(B57=5,Inventario5!B:B,Inventario6!B:B))))),
    _xlpm.invTipos, IF(B57=1,Inventario1!C:C,IF(B57=2,Inventario2!C:C,IF(B57=3,Inventario3!C:C,IF(B57=4,Inventario4!C:C,IF(B57=5,Inventario5!C:C,Inventario6!C:C))))),
    _xlpm.invStats, IF(B57=1,Inventario1!D:H,IF(B57=2,Inventario2!D:H,IF(B57=3,Inventario3!D:H,IF(B57=4,Inventario4!D:H,IF(B57=5,Inventario5!D:H,Inventario6!D:H))))),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IF(ROW(A57)=2,"",IF(_xlfn._xlws.FILTER(Equipar!AC$2:AC56,Equipar!B$2:B56=B57)={0},"",_xlfn._xlws.FILTER(Equipar!AC$2:AC56,Equipar!B$2:B56=B57))),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206</v>
      </c>
      <c r="D57" s="4" cm="1">
        <f t="array" aca="1" ref="D57" ca="1">_xlfn.LET(
    _xlpm.jugador, A57,
    _xlpm.idSel, AC57,
    _xlpm.invIDs, IF(B57=1,Inventario1!A:A,IF(B57=2,Inventario2!A:A,IF(B57=3,Inventario3!A:A,IF(B57=4,Inventario4!A:A,IF(B57=5,Inventario5!A:A,Inventario6!A:A))))),
    _xlpm.invCalidad, IF(B57=1,Inventario1!B:B,IF(B57=2,Inventario2!B:B,IF(B57=3,Inventario3!B:B,IF(B57=4,Inventario4!B:B,IF(B57=5,Inventario5!B:B,Inventario6!B:B))))),
    _xlpm.invTipos, IF(B57=1,Inventario1!C:C,IF(B57=2,Inventario2!C:C,IF(B57=3,Inventario3!C:C,IF(B57=4,Inventario4!C:C,IF(B57=5,Inventario5!C:C,Inventario6!C:C))))),
    _xlpm.invStats, IF(B57=1,Inventario1!D:H,IF(B57=2,Inventario2!D:H,IF(B57=3,Inventario3!D:H,IF(B57=4,Inventario4!D:H,IF(B57=5,Inventario5!D:H,Inventario6!D:H))))),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IF(ROW(A57)=2,"",IF(_xlfn._xlws.FILTER(Equipar!AC$2:AC56,Equipar!B$2:B56=B57)={0},"",_xlfn._xlws.FILTER(Equipar!AC$2:AC56,Equipar!B$2:B56=B57))),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54</v>
      </c>
      <c r="E57" s="4" t="str" cm="1">
        <f t="array" aca="1" ref="E57" ca="1">_xlfn.LET(
    _xlpm.jugador, A57,
    _xlpm.idSel, AC57,
    _xlpm.invIDs, IF(B57=1,Inventario1!A:A,IF(B57=2,Inventario2!A:A,IF(B57=3,Inventario3!A:A,IF(B57=4,Inventario4!A:A,IF(B57=5,Inventario5!A:A,Inventario6!A:A))))),
    _xlpm.invCalidad, IF(B57=1,Inventario1!B:B,IF(B57=2,Inventario2!B:B,IF(B57=3,Inventario3!B:B,IF(B57=4,Inventario4!B:B,IF(B57=5,Inventario5!B:B,Inventario6!B:B))))),
    _xlpm.invTipos, IF(B57=1,Inventario1!C:C,IF(B57=2,Inventario2!C:C,IF(B57=3,Inventario3!C:C,IF(B57=4,Inventario4!C:C,IF(B57=5,Inventario5!C:C,Inventario6!C:C))))),
    _xlpm.invStats, IF(B57=1,Inventario1!D:H,IF(B57=2,Inventario2!D:H,IF(B57=3,Inventario3!D:H,IF(B57=4,Inventario4!D:H,IF(B57=5,Inventario5!D:H,Inventario6!D:H))))),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IF(ROW(A57)=2,"",IF(_xlfn._xlws.FILTER(Equipar!AC$2:AC56,Equipar!B$2:B56=B57)={0},"",_xlfn._xlws.FILTER(Equipar!AC$2:AC56,Equipar!B$2:B56=B57))),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57" s="4" t="str" cm="1">
        <f t="array" aca="1" ref="F57" ca="1">_xlfn.LET(
    _xlpm.jugador, B57,
    _xlpm.idSel, AD57,
    _xlpm.invIDs, IF(C57=1,Inventario1!B:B,IF(C57=2,Inventario2!B:B,IF(C57=3,Inventario3!B:B,IF(C57=4,Inventario4!B:B,IF(C57=5,Inventario5!B:B,Inventario6!B:B))))),
    _xlpm.invCalidad, IF(C57=1,Inventario1!C:C,IF(C57=2,Inventario2!C:C,IF(C57=3,Inventario3!C:C,IF(C57=4,Inventario4!C:C,IF(C57=5,Inventario5!C:C,Inventario6!C:C))))),
    _xlpm.invTipos, IF(C57=1,Inventario1!D:D,IF(C57=2,Inventario2!D:D,IF(C57=3,Inventario3!D:D,IF(C57=4,Inventario4!D:D,IF(C57=5,Inventario5!D:D,Inventario6!D:D))))),
    _xlpm.invStats, IF(C57=1,Inventario1!E:I,IF(C57=2,Inventario2!E:I,IF(C57=3,Inventario3!E:I,IF(C57=4,Inventario4!E:I,IF(C57=5,Inventario5!E:I,Inventario6!E:I))))),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IF(ROW(B57)=2,"",IF(_xlfn._xlws.FILTER(Equipar!AD$2:AD56,Equipar!C$2:C56=C57)={0},"",_xlfn._xlws.FILTER(Equipar!AD$2:AD56,Equipar!C$2:C56=C57))),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57" s="14" cm="1">
        <f t="array" aca="1" ref="G57" ca="1">_xlfn.LET(
    _xlpm.jugador, A57,
    _xlpm.idSel, AC57,
    _xlpm.invIDs, IF(B57=1,Inventario1!A:A,IF(B57=2,Inventario2!A:A,IF(B57=3,Inventario3!A:A,IF(B57=4,Inventario4!A:A,IF(B57=5,Inventario5!A:A,Inventario6!A:A))))),
    _xlpm.invCalidad, IF(B57=1,Inventario1!B:B,IF(B57=2,Inventario2!B:B,IF(B57=3,Inventario3!B:B,IF(B57=4,Inventario4!B:B,IF(B57=5,Inventario5!B:B,Inventario6!B:B))))),
    _xlpm.invTipos, IF(B57=1,Inventario1!C:C,IF(B57=2,Inventario2!C:C,IF(B57=3,Inventario3!C:C,IF(B57=4,Inventario4!C:C,IF(B57=5,Inventario5!C:C,Inventario6!C:C))))),
    _xlpm.invStats, IF(B57=1,Inventario1!D:H,IF(B57=2,Inventario2!D:H,IF(B57=3,Inventario3!D:H,IF(B57=4,Inventario4!D:H,IF(B57=5,Inventario5!D:H,Inventario6!D:H))))),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IF(ROW(A57)=2,"",IF(_xlfn._xlws.FILTER(Equipar!AC$2:AC56,Equipar!B$2:B56=B57)={0},"",_xlfn._xlws.FILTER(Equipar!AC$2:AC56,Equipar!B$2:B56=B57))),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H57" s="4" cm="1">
        <f t="array" aca="1" ref="H57" ca="1">_xlfn.LET(
    _xlpm.jugador, A57,
    _xlpm.idSel, AC57,
    _xlpm.invIDs, IF(B57=1,Inventario1!A:A,IF(B57=2,Inventario2!A:A,IF(B57=3,Inventario3!A:A,IF(B57=4,Inventario4!A:A,IF(B57=5,Inventario5!A:A,Inventario6!A:A))))),
    _xlpm.invCalidad, IF(B57=1,Inventario1!B:B,IF(B57=2,Inventario2!B:B,IF(B57=3,Inventario3!B:B,IF(B57=4,Inventario4!B:B,IF(B57=5,Inventario5!B:B,Inventario6!B:B))))),
    _xlpm.invTipos, IF(B57=1,Inventario1!C:C,IF(B57=2,Inventario2!C:C,IF(B57=3,Inventario3!C:C,IF(B57=4,Inventario4!C:C,IF(B57=5,Inventario5!C:C,Inventario6!C:C))))),
    _xlpm.invStats, IF(B57=1,Inventario1!D:H,IF(B57=2,Inventario2!D:H,IF(B57=3,Inventario3!D:H,IF(B57=4,Inventario4!D:H,IF(B57=5,Inventario5!D:H,Inventario6!D:H))))),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IF(ROW(A57)=2,"",IF(_xlfn._xlws.FILTER(Equipar!AC$2:AC56,Equipar!B$2:B56=B57)={0},"",_xlfn._xlws.FILTER(Equipar!AC$2:AC56,Equipar!B$2:B56=B57))),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I57" s="4" cm="1">
        <f t="array" aca="1" ref="I57" ca="1">_xlfn.LET(
    _xlpm.jugador, A57,
    _xlpm.idSel, AC57,
    _xlpm.invIDs, IF(B57=1,Inventario1!A:A,IF(B57=2,Inventario2!A:A,IF(B57=3,Inventario3!A:A,IF(B57=4,Inventario4!A:A,IF(B57=5,Inventario5!A:A,Inventario6!A:A))))),
    _xlpm.invCalidad, IF(B57=1,Inventario1!B:B,IF(B57=2,Inventario2!B:B,IF(B57=3,Inventario3!B:B,IF(B57=4,Inventario4!B:B,IF(B57=5,Inventario5!B:B,Inventario6!B:B))))),
    _xlpm.invTipos, IF(B57=1,Inventario1!C:C,IF(B57=2,Inventario2!C:C,IF(B57=3,Inventario3!C:C,IF(B57=4,Inventario4!C:C,IF(B57=5,Inventario5!C:C,Inventario6!C:C))))),
    _xlpm.invStats, IF(B57=1,Inventario1!D:H,IF(B57=2,Inventario2!D:H,IF(B57=3,Inventario3!D:H,IF(B57=4,Inventario4!D:H,IF(B57=5,Inventario5!D:H,Inventario6!D:H))))),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IF(ROW(A57)=2,"",IF(_xlfn._xlws.FILTER(Equipar!AC$2:AC56,Equipar!B$2:B56=B57)={0},"",_xlfn._xlws.FILTER(Equipar!AC$2:AC56,Equipar!B$2:B56=B57))),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57" s="4" cm="1">
        <f t="array" aca="1" ref="J57" ca="1">_xlfn.LET(
    _xlpm.jugador, B57,
    _xlpm.idSel, AD57,
    _xlpm.invIDs, IF(C57=1,Inventario1!B:B,IF(C57=2,Inventario2!B:B,IF(C57=3,Inventario3!B:B,IF(C57=4,Inventario4!B:B,IF(C57=5,Inventario5!B:B,Inventario6!B:B))))),
    _xlpm.invCalidad, IF(C57=1,Inventario1!C:C,IF(C57=2,Inventario2!C:C,IF(C57=3,Inventario3!C:C,IF(C57=4,Inventario4!C:C,IF(C57=5,Inventario5!C:C,Inventario6!C:C))))),
    _xlpm.invTipos, IF(C57=1,Inventario1!D:D,IF(C57=2,Inventario2!D:D,IF(C57=3,Inventario3!D:D,IF(C57=4,Inventario4!D:D,IF(C57=5,Inventario5!D:D,Inventario6!D:D))))),
    _xlpm.invStats, IF(C57=1,Inventario1!E:I,IF(C57=2,Inventario2!E:I,IF(C57=3,Inventario3!E:I,IF(C57=4,Inventario4!E:I,IF(C57=5,Inventario5!E:I,Inventario6!E:I))))),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IF(ROW(B57)=2,"",IF(_xlfn._xlws.FILTER(Equipar!AD$2:AD56,Equipar!C$2:C56=C57)={0},"",_xlfn._xlws.FILTER(Equipar!AD$2:AD56,Equipar!C$2:C56=C57))),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57" s="4">
        <f t="shared" ca="1" si="0"/>
        <v>0</v>
      </c>
      <c r="L57" s="4">
        <f t="shared" ca="1" si="1"/>
        <v>54</v>
      </c>
      <c r="M57" s="4">
        <f t="shared" ca="1" si="1"/>
        <v>54</v>
      </c>
      <c r="N57" s="4">
        <f t="shared" ca="1" si="2"/>
        <v>54</v>
      </c>
      <c r="O57" s="4">
        <f t="shared" ca="1" si="2"/>
        <v>0</v>
      </c>
      <c r="P57" s="14" cm="1">
        <f t="array" aca="1" ref="P57" ca="1">_xlfn.LET(
    _xlpm.ptsPrinBase, _xlfn._xlws.FILTER(G:G, A:A=A57),
    _xlpm.ptsSecBase,  _xlfn._xlws.FILTER(H:H, A:A=A57),
    _xlpm.puntosPrin, _xlpm.ptsPrinBase + _xlfn._xlws.FILTER(B:B, A:A=A57)/1000,
    _xlpm.puntosSec,  _xlpm.ptsSecBase  + _xlfn._xlws.FILTER(B:B, A:A=A57)/1000,
    _xlpm.puntosPrinValidos, SUM(--(_xlpm.ptsPrinBase&gt;0)),
    _xlpm.puntosSecValidos,  SUM(--(_xlpm.ptsSecBase&gt;0)),
    _xlpm.clave, K57 + B57/1000,
    _xlpm.claves, _xlfn._xlws.FILTER(K:K + B:B/1000, A:A=A57),
    IF(AND(_xlpm.puntosPrinValidos&gt;=4,_xlpm.puntosSecValidos&gt;=2),IF(
        SUM(--(_xlpm.claves &gt; _xlpm.clave)) &lt; 4,
        C57,
        D57
    ),"No disp")
)</f>
        <v>206</v>
      </c>
      <c r="Q57" s="14" t="str" cm="1">
        <f t="array" aca="1" ref="Q57" ca="1">_xlfn.LET(
    _xlpm.puntosPrin, _xlfn._xlws.FILTER(G:G + B:B/1000, A:A=A57),
    _xlpm.puntosPrinValidos, SUM(--(_xlpm.puntosPrin&gt;1)),
    _xlpm.puntosTer, _xlfn._xlws.FILTER(I:I + B:B/1000, A:A=A57),
    _xlpm.puntosTerValidos, SUM(--(_xlpm.puntosTer&gt;1)),
    _xlpm.clave, L57 + B57/1000,
    _xlpm.claves, _xlfn._xlws.FILTER(L:L + B:B/1000, A:A=A57),
    IF(AND(_xlpm.puntosPrinValidos&gt;=4,_xlpm.puntosTerValidos&gt;=2),IF(
        SUM(--(_xlpm.claves &gt; _xlpm.clave)) &lt; 4,
        C57,
        E57
    ),"No disp")
)</f>
        <v>No disp</v>
      </c>
      <c r="R57" s="14" t="str" cm="1">
        <f t="array" aca="1" ref="R57" ca="1">_xlfn.LET(
    _xlpm.puntosPrin, _xlfn._xlws.FILTER(G:G + B:B/1000, A:A=A57),
    _xlpm.puntosPrinValidos, SUM(--(_xlpm.puntosPrin&gt;1)),
    _xlpm.puntosTer, _xlfn._xlws.FILTER(J:J + B:B/1000, A:A=A57),
    _xlpm.puntosTerValidos, SUM(--(_xlpm.puntosTer&gt;1)),
    _xlpm.clave, M57 + B57/1000,
    _xlpm.claves, _xlfn._xlws.FILTER(M:M + B:B/1000, A:A=A57),
    IF(AND(_xlpm.puntosPrinValidos&gt;=4,_xlpm.puntosTerValidos&gt;=2),IF(
        SUM(--(_xlpm.claves &gt; _xlpm.clave)) &lt; 4,
        C57,
        F57
    ),"No disp")
)</f>
        <v>No disp</v>
      </c>
      <c r="S57" s="14" cm="1">
        <f t="array" aca="1" ref="S57" ca="1">_xlfn.LET(
    _xlpm.ptsPrinBase, _xlfn._xlws.FILTER(G:G, A:A=A57),
    _xlpm.ptsSecBase,  _xlfn._xlws.FILTER(H:H, A:A=A57),
    _xlpm.puntosPrin, _xlpm.ptsPrinBase + _xlfn._xlws.FILTER(B:B, A:A=A57)/1000,
    _xlpm.puntosSec,  _xlpm.ptsSecBase  + _xlfn._xlws.FILTER(B:B, A:A=A57)/1000,
    _xlpm.puntosPrinValidos, SUM(--(_xlpm.ptsPrinBase&gt;0)),
    _xlpm.puntosSecValidos,  SUM(--(_xlpm.ptsSecBase&gt;0)),
    _xlpm.clave, K57 + B57/1000,
    _xlpm.claves, _xlfn._xlws.FILTER(K:K + B:B/1000, A:A=A57),
    IF(
        AND(_xlpm.puntosPrinValidos&gt;=2, _xlpm.puntosSecValidos&gt;=4),
        IF(
            SUM(--(_xlpm.claves &lt; _xlpm.clave)) &lt; 4,
            D57,
            C57
        ),
        "No disp"
    )
)</f>
        <v>54</v>
      </c>
      <c r="T57" s="14" t="str" cm="1">
        <f t="array" aca="1" ref="T57" ca="1">_xlfn.LET(
    _xlpm.puntosSec, _xlfn._xlws.FILTER(H:H + B:B/1000, A:A=A57),
    _xlpm.puntosSecValidos, SUM(--(_xlpm.puntosSec&gt;1)),
    _xlpm.puntosAlt, _xlfn._xlws.FILTER(I:I + B:B/1000, A:A=A57),
    _xlpm.puntosAltValidos, SUM(--(_xlpm.puntosAlt&gt;1)),
    _xlpm.clave, N57 + B57/1000,
    _xlpm.claves, _xlfn._xlws.FILTER(N:N + B:B/1000, A:A=A57),
    IF(AND(_xlpm.puntosSecValidos&gt;=4,_xlpm.puntosAltValidos&gt;=2),IF(
        SUM(--(_xlpm.claves &gt; _xlpm.clave)) &lt; 4,
        D57,
        E57
    ),"No disp")
)</f>
        <v>No disp</v>
      </c>
      <c r="U57" s="14" t="str" cm="1">
        <f t="array" aca="1" ref="U57" ca="1">_xlfn.LET(
    _xlpm.puntosSec, _xlfn._xlws.FILTER(H:H + B:B/1000, A:A=A57),
    _xlpm.puntosSecValidos, SUM(--(_xlpm.puntosSec&gt;1)),
    _xlpm.puntosAlt, _xlfn._xlws.FILTER(J:J + B:B/1000, A:A=A57),
    _xlpm.puntosAltValidos, SUM(--(_xlpm.puntosAlt&gt;1)),
    _xlpm.clave, O57 + B57/1000,
    _xlpm.claves, _xlfn._xlws.FILTER(O:O + B:B/1000, A:A=A57),
    IF(AND(_xlpm.puntosSecValidos&gt;=4,_xlpm.puntosAltValidos&gt;=2),IF(
        SUM(--(_xlpm.claves &gt; _xlpm.clave)) &lt; 4,
        D57,
        F57
    ),"No disp")
)</f>
        <v>No disp</v>
      </c>
      <c r="V57" s="4" cm="1">
        <f t="array" aca="1" ref="V57" ca="1">_xlfn.LET(
_xlpm.PrinIDs,_xlfn._xlws.FILTER(C:C,(A:A=A57)),
_xlpm.SecIDs,_xlfn._xlws.FILTER(D:D,(A:A=A57)),
_xlpm.TerIDs,_xlfn._xlws.FILTER(E:E,A:A=A57),
_xlpm.CuaIDs,_xlfn._xlws.FILTER(F:F,(A:A=A57)),
_xlpm.PrinPts,_xlfn._xlws.FILTER(G:G,(A:A=A57)),
_xlpm.SecPts,_xlfn._xlws.FILTER(H:H,(A:A=A57)),
_xlpm.TerPts,_xlfn._xlws.FILTER(I:I,(A:A=A57)),
_xlpm.CuaPts,_xlfn._xlws.FILTER(J:J,(A:A=A57)),
_xlpm.PSIds,_xlfn._xlws.FILTER(P:P,A:A=A57),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464.49</v>
      </c>
      <c r="W57" s="4" cm="1">
        <f t="array" aca="1" ref="W57" ca="1">_xlfn.LET(
_xlpm.PrinIDs,_xlfn._xlws.FILTER(C:C,(A:A=A57)),
_xlpm.SecIDs,_xlfn._xlws.FILTER(D:D,(A:A=A57)),
_xlpm.TerIDs,_xlfn._xlws.FILTER(E:E,A:A=A57),
_xlpm.CuaIDs,_xlfn._xlws.FILTER(F:F,(A:A=A57)),
_xlpm.PrinPts,_xlfn._xlws.FILTER(G:G,(A:A=A57)),
_xlpm.SecPts,_xlfn._xlws.FILTER(H:H,(A:A=A57)),
_xlpm.TerPts,_xlfn._xlws.FILTER(I:I,(A:A=A57)),
_xlpm.CuaPts,_xlfn._xlws.FILTER(J:J,(A:A=A57)),
_xlpm.PTIds,_xlfn._xlws.FILTER(Q:Q,A:A=A57),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57" s="4" cm="1">
        <f t="array" aca="1" ref="X57" ca="1">_xlfn.LET(
_xlpm.PrinIDs,_xlfn._xlws.FILTER(C:C,(A:A=A57)),
_xlpm.SecIDs,_xlfn._xlws.FILTER(D:D,(A:A=A57)),
_xlpm.TerIDs,_xlfn._xlws.FILTER(E:E,A:A=A57),
_xlpm.CuaIDs,_xlfn._xlws.FILTER(F:F,(A:A=A57)),
_xlpm.PrinPts,_xlfn._xlws.FILTER(G:G,(A:A=A57)),
_xlpm.SecPts,_xlfn._xlws.FILTER(H:H,(A:A=A57)),
_xlpm.TerPts,_xlfn._xlws.FILTER(I:I,(A:A=A57)),
_xlpm.CuaPts,_xlfn._xlws.FILTER(J:J,(A:A=A57)),
_xlpm.PCIds,_xlfn._xlws.FILTER(R:R,A:A=A57),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57" s="4" cm="1">
        <f t="array" aca="1" ref="Y57" ca="1">_xlfn.LET(
_xlpm.PrinIDs,_xlfn._xlws.FILTER(C:C,(A:A=A57)),
_xlpm.SecIDs,_xlfn._xlws.FILTER(D:D,(A:A=A57)),
_xlpm.AltIDs,_xlfn._xlws.FILTER(E:E,A:A=A57),
_xlpm.PrinPts,_xlfn._xlws.FILTER(G:G,(A:A=A57)),
_xlpm.SecPts,_xlfn._xlws.FILTER(H:H,(A:A=A57)),
_xlpm.AltPts,_xlfn._xlws.FILTER(I:I,(A:A=A57)),
_xlpm.SPIds,_xlfn._xlws.FILTER(S:S,A:A=A57),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464.31</v>
      </c>
      <c r="Z57" s="4" cm="1">
        <f t="array" aca="1" ref="Z57" ca="1">_xlfn.LET(
_xlpm.PrinIDs,_xlfn._xlws.FILTER(C:C,(A:A=A57)),
_xlpm.SecIDs,_xlfn._xlws.FILTER(D:D,(A:A=A57)),
_xlpm.TerIDs,_xlfn._xlws.FILTER(E:E,A:A=A57),
_xlpm.CuaIDs,_xlfn._xlws.FILTER(F:F,(A:A=A57)),
_xlpm.PrinPts,_xlfn._xlws.FILTER(G:G,(A:A=A57)),
_xlpm.SecPts,_xlfn._xlws.FILTER(H:H,(A:A=A57)),
_xlpm.TerPts,_xlfn._xlws.FILTER(I:I,(A:A=A57)),
_xlpm.CuaPts,_xlfn._xlws.FILTER(J:J,(A:A=A57)),
_xlpm.STIds,_xlfn._xlws.FILTER(T:T,A:A=A57),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57" s="4" cm="1">
        <f t="array" aca="1" ref="AA57" ca="1">_xlfn.LET(
_xlpm.PrinIDs,_xlfn._xlws.FILTER(C:C,(A:A=A57)),
_xlpm.SecIDs,_xlfn._xlws.FILTER(D:D,(A:A=A57)),
_xlpm.TerIDs,_xlfn._xlws.FILTER(E:E,A:A=A57),
_xlpm.CuaIDs,_xlfn._xlws.FILTER(F:F,(A:A=A57)),
_xlpm.PrinPts,_xlfn._xlws.FILTER(G:G,(A:A=A57)),
_xlpm.SecPts,_xlfn._xlws.FILTER(H:H,(A:A=A57)),
_xlpm.TerPts,_xlfn._xlws.FILTER(I:I,(A:A=A57)),
_xlpm.CuaPts,_xlfn._xlws.FILTER(J:J,(A:A=A57)),
_xlpm.SCIds,_xlfn._xlws.FILTER(U:U,A:A=A57),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57" s="14">
        <f t="shared" ca="1" si="3"/>
        <v>206</v>
      </c>
      <c r="AC57" s="14">
        <v>206</v>
      </c>
      <c r="AD57" s="4"/>
      <c r="AE57" s="14" t="str">
        <f ca="1">IF(ISNUMBER(AC57),
IF($B57=1,VLOOKUP($AC57,Inventario1!$A:$H,2),
IF($B57=2,VLOOKUP($AC57,Inventario2!$A:$H,2),
IF($B57=3,VLOOKUP($AC57,Inventario3!$A:$H,2),
IF($B57=4,VLOOKUP($AC57,Inventario4!$A:$H,2),
IF($B57=5,VLOOKUP($AC57,Inventario5!$A:$H,2),
VLOOKUP($AC57,Inventario6!$A:$H,2)
))))),"No equipado")</f>
        <v>Épico</v>
      </c>
      <c r="AF57" s="14" t="str">
        <f ca="1">IF(ISNUMBER(AC57),
IF($B57=1,VLOOKUP($AC57,Inventario1!$A:$H,3),
IF($B57=2,VLOOKUP($AC57,Inventario2!$A:$H,3),
IF($B57=3,VLOOKUP($AC57,Inventario3!$A:$H,3),
IF($B57=4,VLOOKUP($AC57,Inventario4!$A:$H,3),
IF($B57=5,VLOOKUP($AC57,Inventario5!$A:$H,3),
VLOOKUP($AC57,Inventario6!$A:$H,3)
))))),"")</f>
        <v>Recepción de asistencia</v>
      </c>
      <c r="AG57" s="14" t="str">
        <f ca="1">IF(ISNUMBER(AC57),
IF($B57=1,VLOOKUP($AC57,Inventario1!$A:$H,4),
IF($B57=2,VLOOKUP($AC57,Inventario2!$A:$H,4),
IF($B57=3,VLOOKUP($AC57,Inventario3!$A:$H,4),
IF($B57=4,VLOOKUP($AC57,Inventario4!$A:$H,4),
IF($B57=5,VLOOKUP($AC57,Inventario5!$A:$H,4),
VLOOKUP($AC57,Inventario6!$A:$H,4)
))))),"")</f>
        <v>Colocación</v>
      </c>
      <c r="AH57" s="14" t="str">
        <f ca="1">IF(ISNUMBER(AC57),
IF($B57=1,VLOOKUP($AC57,Inventario1!$A:$H,5),
IF($B57=2,VLOOKUP($AC57,Inventario2!$A:$H,5),
IF($B57=3,VLOOKUP($AC57,Inventario3!$A:$H,5),
IF($B57=4,VLOOKUP($AC57,Inventario4!$A:$H,5),
IF($B57=5,VLOOKUP($AC57,Inventario5!$A:$H,5),
VLOOKUP($AC57,Inventario6!$A:$H,5)
))))),"")</f>
        <v>Recepción</v>
      </c>
      <c r="AI57" s="14" t="str">
        <f ca="1">IF(ISNUMBER(AC57),
IF($B57=1,VLOOKUP($AC57,Inventario1!$A:$H,6),
IF($B57=2,VLOOKUP($AC57,Inventario2!$A:$H,6),
IF($B57=3,VLOOKUP($AC57,Inventario3!$A:$H,6),
IF($B57=4,VLOOKUP($AC57,Inventario4!$A:$H,6),
IF($B57=5,VLOOKUP($AC57,Inventario5!$A:$H,6),
VLOOKUP($AC57,Inventario6!$A:$H,6)
))))),"")</f>
        <v>Recuperación</v>
      </c>
      <c r="AJ57" s="14">
        <f ca="1">IF(ISNUMBER(AC57),
IF($B57=1,VLOOKUP($AC57,Inventario1!$A:$H,7),
IF($B57=2,VLOOKUP($AC57,Inventario2!$A:$H,7),
IF($B57=3,VLOOKUP($AC57,Inventario3!$A:$H,7),
IF($B57=4,VLOOKUP($AC57,Inventario4!$A:$H,7),
IF($B57=5,VLOOKUP($AC57,Inventario5!$A:$H,7),
VLOOKUP($AC57,Inventario6!$A:$H,7)
))))),"")</f>
        <v>0</v>
      </c>
      <c r="AK57" s="15">
        <f ca="1">IF(ISNUMBER(AC57),
IF($B57=1,VLOOKUP($AC57,Inventario1!$A:$H,8),
IF($B57=2,VLOOKUP($AC57,Inventario2!$A:$H,8),
IF($B57=3,VLOOKUP($AC57,Inventario3!$A:$H,8),
IF($B57=4,VLOOKUP($AC57,Inventario4!$A:$H,8),
IF($B57=5,VLOOKUP($AC57,Inventario5!$A:$H,8),
VLOOKUP($AC57,Inventario6!$A:$H,8)
))))),"")</f>
        <v>0</v>
      </c>
    </row>
    <row r="58" spans="1:37" x14ac:dyDescent="0.25">
      <c r="A58" s="21" t="s">
        <v>18</v>
      </c>
      <c r="B58" s="3">
        <v>3</v>
      </c>
      <c r="C58" s="14" cm="1">
        <f t="array" aca="1" ref="C58" ca="1">_xlfn.LET(
    _xlpm.jugador, A58,
    _xlpm.idSel, AC58,
    _xlpm.invIDs, IF(B58=1,Inventario1!A:A,IF(B58=2,Inventario2!A:A,IF(B58=3,Inventario3!A:A,IF(B58=4,Inventario4!A:A,IF(B58=5,Inventario5!A:A,Inventario6!A:A))))),
    _xlpm.invCalidad, IF(B58=1,Inventario1!B:B,IF(B58=2,Inventario2!B:B,IF(B58=3,Inventario3!B:B,IF(B58=4,Inventario4!B:B,IF(B58=5,Inventario5!B:B,Inventario6!B:B))))),
    _xlpm.invTipos, IF(B58=1,Inventario1!C:C,IF(B58=2,Inventario2!C:C,IF(B58=3,Inventario3!C:C,IF(B58=4,Inventario4!C:C,IF(B58=5,Inventario5!C:C,Inventario6!C:C))))),
    _xlpm.invStats, IF(B58=1,Inventario1!D:H,IF(B58=2,Inventario2!D:H,IF(B58=3,Inventario3!D:H,IF(B58=4,Inventario4!D:H,IF(B58=5,Inventario5!D:H,Inventario6!D:H))))),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IF(ROW(A58)=2,"",IF(_xlfn._xlws.FILTER(Equipar!AC$2:AC57,Equipar!B$2:B57=B58)={0},"",_xlfn._xlws.FILTER(Equipar!AC$2:AC57,Equipar!B$2:B57=B58))),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138</v>
      </c>
      <c r="D58" s="4" cm="1">
        <f t="array" ref="D58">_xlfn.LET(
    _xlpm.jugador, A58,
    _xlpm.idSel, AC58,
    _xlpm.invIDs, IF(B58=1,Inventario1!A:A,IF(B58=2,Inventario2!A:A,IF(B58=3,Inventario3!A:A,IF(B58=4,Inventario4!A:A,IF(B58=5,Inventario5!A:A,Inventario6!A:A))))),
    _xlpm.invCalidad, IF(B58=1,Inventario1!B:B,IF(B58=2,Inventario2!B:B,IF(B58=3,Inventario3!B:B,IF(B58=4,Inventario4!B:B,IF(B58=5,Inventario5!B:B,Inventario6!B:B))))),
    _xlpm.invTipos, IF(B58=1,Inventario1!C:C,IF(B58=2,Inventario2!C:C,IF(B58=3,Inventario3!C:C,IF(B58=4,Inventario4!C:C,IF(B58=5,Inventario5!C:C,Inventario6!C:C))))),
    _xlpm.invStats, IF(B58=1,Inventario1!D:H,IF(B58=2,Inventario2!D:H,IF(B58=3,Inventario3!D:H,IF(B58=4,Inventario4!D:H,IF(B58=5,Inventario5!D:H,Inventario6!D:H))))),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IF(ROW(A58)=2,"",IF(_xlfn._xlws.FILTER(Equipar!AC$2:AC57,Equipar!B$2:B57=B58)={0},"",_xlfn._xlws.FILTER(Equipar!AC$2:AC57,Equipar!B$2:B57=B58))),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182</v>
      </c>
      <c r="E58" s="4" t="str" cm="1">
        <f t="array" ref="E58">_xlfn.LET(
    _xlpm.jugador, A58,
    _xlpm.idSel, AC58,
    _xlpm.invIDs, IF(B58=1,Inventario1!A:A,IF(B58=2,Inventario2!A:A,IF(B58=3,Inventario3!A:A,IF(B58=4,Inventario4!A:A,IF(B58=5,Inventario5!A:A,Inventario6!A:A))))),
    _xlpm.invCalidad, IF(B58=1,Inventario1!B:B,IF(B58=2,Inventario2!B:B,IF(B58=3,Inventario3!B:B,IF(B58=4,Inventario4!B:B,IF(B58=5,Inventario5!B:B,Inventario6!B:B))))),
    _xlpm.invTipos, IF(B58=1,Inventario1!C:C,IF(B58=2,Inventario2!C:C,IF(B58=3,Inventario3!C:C,IF(B58=4,Inventario4!C:C,IF(B58=5,Inventario5!C:C,Inventario6!C:C))))),
    _xlpm.invStats, IF(B58=1,Inventario1!D:H,IF(B58=2,Inventario2!D:H,IF(B58=3,Inventario3!D:H,IF(B58=4,Inventario4!D:H,IF(B58=5,Inventario5!D:H,Inventario6!D:H))))),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IF(ROW(A58)=2,"",IF(_xlfn._xlws.FILTER(Equipar!AC$2:AC57,Equipar!B$2:B57=B58)={0},"",_xlfn._xlws.FILTER(Equipar!AC$2:AC57,Equipar!B$2:B57=B58))),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58" s="4" t="str" cm="1">
        <f t="array" aca="1" ref="F58" ca="1">_xlfn.LET(
    _xlpm.jugador, B58,
    _xlpm.idSel, AD58,
    _xlpm.invIDs, IF(C58=1,Inventario1!B:B,IF(C58=2,Inventario2!B:B,IF(C58=3,Inventario3!B:B,IF(C58=4,Inventario4!B:B,IF(C58=5,Inventario5!B:B,Inventario6!B:B))))),
    _xlpm.invCalidad, IF(C58=1,Inventario1!C:C,IF(C58=2,Inventario2!C:C,IF(C58=3,Inventario3!C:C,IF(C58=4,Inventario4!C:C,IF(C58=5,Inventario5!C:C,Inventario6!C:C))))),
    _xlpm.invTipos, IF(C58=1,Inventario1!D:D,IF(C58=2,Inventario2!D:D,IF(C58=3,Inventario3!D:D,IF(C58=4,Inventario4!D:D,IF(C58=5,Inventario5!D:D,Inventario6!D:D))))),
    _xlpm.invStats, IF(C58=1,Inventario1!E:I,IF(C58=2,Inventario2!E:I,IF(C58=3,Inventario3!E:I,IF(C58=4,Inventario4!E:I,IF(C58=5,Inventario5!E:I,Inventario6!E:I))))),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IF(ROW(B58)=2,"",IF(_xlfn._xlws.FILTER(Equipar!AD$2:AD57,Equipar!C$2:C57=C58)={0},"",_xlfn._xlws.FILTER(Equipar!AD$2:AD57,Equipar!C$2:C57=C58))),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58" s="14" cm="1">
        <f t="array" aca="1" ref="G58" ca="1">_xlfn.LET(
    _xlpm.jugador, A58,
    _xlpm.idSel, AC58,
    _xlpm.invIDs, IF(B58=1,Inventario1!A:A,IF(B58=2,Inventario2!A:A,IF(B58=3,Inventario3!A:A,IF(B58=4,Inventario4!A:A,IF(B58=5,Inventario5!A:A,Inventario6!A:A))))),
    _xlpm.invCalidad, IF(B58=1,Inventario1!B:B,IF(B58=2,Inventario2!B:B,IF(B58=3,Inventario3!B:B,IF(B58=4,Inventario4!B:B,IF(B58=5,Inventario5!B:B,Inventario6!B:B))))),
    _xlpm.invTipos, IF(B58=1,Inventario1!C:C,IF(B58=2,Inventario2!C:C,IF(B58=3,Inventario3!C:C,IF(B58=4,Inventario4!C:C,IF(B58=5,Inventario5!C:C,Inventario6!C:C))))),
    _xlpm.invStats, IF(B58=1,Inventario1!D:H,IF(B58=2,Inventario2!D:H,IF(B58=3,Inventario3!D:H,IF(B58=4,Inventario4!D:H,IF(B58=5,Inventario5!D:H,Inventario6!D:H))))),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IF(ROW(A58)=2,"",IF(_xlfn._xlws.FILTER(Equipar!AC$2:AC57,Equipar!B$2:B57=B58)={0},"",_xlfn._xlws.FILTER(Equipar!AC$2:AC57,Equipar!B$2:B57=B58))),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36</v>
      </c>
      <c r="H58" s="4" cm="1">
        <f t="array" ref="H58">_xlfn.LET(
    _xlpm.jugador, A58,
    _xlpm.idSel, AC58,
    _xlpm.invIDs, IF(B58=1,Inventario1!A:A,IF(B58=2,Inventario2!A:A,IF(B58=3,Inventario3!A:A,IF(B58=4,Inventario4!A:A,IF(B58=5,Inventario5!A:A,Inventario6!A:A))))),
    _xlpm.invCalidad, IF(B58=1,Inventario1!B:B,IF(B58=2,Inventario2!B:B,IF(B58=3,Inventario3!B:B,IF(B58=4,Inventario4!B:B,IF(B58=5,Inventario5!B:B,Inventario6!B:B))))),
    _xlpm.invTipos, IF(B58=1,Inventario1!C:C,IF(B58=2,Inventario2!C:C,IF(B58=3,Inventario3!C:C,IF(B58=4,Inventario4!C:C,IF(B58=5,Inventario5!C:C,Inventario6!C:C))))),
    _xlpm.invStats, IF(B58=1,Inventario1!D:H,IF(B58=2,Inventario2!D:H,IF(B58=3,Inventario3!D:H,IF(B58=4,Inventario4!D:H,IF(B58=5,Inventario5!D:H,Inventario6!D:H))))),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IF(ROW(A58)=2,"",IF(_xlfn._xlws.FILTER(Equipar!AC$2:AC57,Equipar!B$2:B57=B58)={0},"",_xlfn._xlws.FILTER(Equipar!AC$2:AC57,Equipar!B$2:B57=B58))),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I58" s="4" cm="1">
        <f t="array" ref="I58">_xlfn.LET(
    _xlpm.jugador, A58,
    _xlpm.idSel, AC58,
    _xlpm.invIDs, IF(B58=1,Inventario1!A:A,IF(B58=2,Inventario2!A:A,IF(B58=3,Inventario3!A:A,IF(B58=4,Inventario4!A:A,IF(B58=5,Inventario5!A:A,Inventario6!A:A))))),
    _xlpm.invCalidad, IF(B58=1,Inventario1!B:B,IF(B58=2,Inventario2!B:B,IF(B58=3,Inventario3!B:B,IF(B58=4,Inventario4!B:B,IF(B58=5,Inventario5!B:B,Inventario6!B:B))))),
    _xlpm.invTipos, IF(B58=1,Inventario1!C:C,IF(B58=2,Inventario2!C:C,IF(B58=3,Inventario3!C:C,IF(B58=4,Inventario4!C:C,IF(B58=5,Inventario5!C:C,Inventario6!C:C))))),
    _xlpm.invStats, IF(B58=1,Inventario1!D:H,IF(B58=2,Inventario2!D:H,IF(B58=3,Inventario3!D:H,IF(B58=4,Inventario4!D:H,IF(B58=5,Inventario5!D:H,Inventario6!D:H))))),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IF(ROW(A58)=2,"",IF(_xlfn._xlws.FILTER(Equipar!AC$2:AC57,Equipar!B$2:B57=B58)={0},"",_xlfn._xlws.FILTER(Equipar!AC$2:AC57,Equipar!B$2:B57=B58))),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58" s="4" cm="1">
        <f t="array" aca="1" ref="J58" ca="1">_xlfn.LET(
    _xlpm.jugador, B58,
    _xlpm.idSel, AD58,
    _xlpm.invIDs, IF(C58=1,Inventario1!B:B,IF(C58=2,Inventario2!B:B,IF(C58=3,Inventario3!B:B,IF(C58=4,Inventario4!B:B,IF(C58=5,Inventario5!B:B,Inventario6!B:B))))),
    _xlpm.invCalidad, IF(C58=1,Inventario1!C:C,IF(C58=2,Inventario2!C:C,IF(C58=3,Inventario3!C:C,IF(C58=4,Inventario4!C:C,IF(C58=5,Inventario5!C:C,Inventario6!C:C))))),
    _xlpm.invTipos, IF(C58=1,Inventario1!D:D,IF(C58=2,Inventario2!D:D,IF(C58=3,Inventario3!D:D,IF(C58=4,Inventario4!D:D,IF(C58=5,Inventario5!D:D,Inventario6!D:D))))),
    _xlpm.invStats, IF(C58=1,Inventario1!E:I,IF(C58=2,Inventario2!E:I,IF(C58=3,Inventario3!E:I,IF(C58=4,Inventario4!E:I,IF(C58=5,Inventario5!E:I,Inventario6!E:I))))),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IF(ROW(B58)=2,"",IF(_xlfn._xlws.FILTER(Equipar!AD$2:AD57,Equipar!C$2:C57=C58)={0},"",_xlfn._xlws.FILTER(Equipar!AD$2:AD57,Equipar!C$2:C57=C58))),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58" s="4">
        <f t="shared" ca="1" si="0"/>
        <v>-18</v>
      </c>
      <c r="L58" s="4">
        <f t="shared" ca="1" si="1"/>
        <v>36</v>
      </c>
      <c r="M58" s="4">
        <f t="shared" ca="1" si="1"/>
        <v>54</v>
      </c>
      <c r="N58" s="4">
        <f t="shared" si="2"/>
        <v>54</v>
      </c>
      <c r="O58" s="4">
        <f t="shared" ca="1" si="2"/>
        <v>0</v>
      </c>
      <c r="P58" s="14" cm="1">
        <f t="array" aca="1" ref="P58" ca="1">_xlfn.LET(
    _xlpm.ptsPrinBase, _xlfn._xlws.FILTER(G:G, A:A=A58),
    _xlpm.ptsSecBase,  _xlfn._xlws.FILTER(H:H, A:A=A58),
    _xlpm.puntosPrin, _xlpm.ptsPrinBase + _xlfn._xlws.FILTER(B:B, A:A=A58)/1000,
    _xlpm.puntosSec,  _xlpm.ptsSecBase  + _xlfn._xlws.FILTER(B:B, A:A=A58)/1000,
    _xlpm.puntosPrinValidos, SUM(--(_xlpm.ptsPrinBase&gt;0)),
    _xlpm.puntosSecValidos,  SUM(--(_xlpm.ptsSecBase&gt;0)),
    _xlpm.clave, K58 + B58/1000,
    _xlpm.claves, _xlfn._xlws.FILTER(K:K + B:B/1000, A:A=A58),
    IF(AND(_xlpm.puntosPrinValidos&gt;=4,_xlpm.puntosSecValidos&gt;=2),IF(
        SUM(--(_xlpm.claves &gt; _xlpm.clave)) &lt; 4,
        C58,
        D58
    ),"No disp")
)</f>
        <v>182</v>
      </c>
      <c r="Q58" s="14" t="str" cm="1">
        <f t="array" aca="1" ref="Q58" ca="1">_xlfn.LET(
    _xlpm.puntosPrin, _xlfn._xlws.FILTER(G:G + B:B/1000, A:A=A58),
    _xlpm.puntosPrinValidos, SUM(--(_xlpm.puntosPrin&gt;1)),
    _xlpm.puntosTer, _xlfn._xlws.FILTER(I:I + B:B/1000, A:A=A58),
    _xlpm.puntosTerValidos, SUM(--(_xlpm.puntosTer&gt;1)),
    _xlpm.clave, L58 + B58/1000,
    _xlpm.claves, _xlfn._xlws.FILTER(L:L + B:B/1000, A:A=A58),
    IF(AND(_xlpm.puntosPrinValidos&gt;=4,_xlpm.puntosTerValidos&gt;=2),IF(
        SUM(--(_xlpm.claves &gt; _xlpm.clave)) &lt; 4,
        C58,
        E58
    ),"No disp")
)</f>
        <v>No disp</v>
      </c>
      <c r="R58" s="14" t="str" cm="1">
        <f t="array" aca="1" ref="R58" ca="1">_xlfn.LET(
    _xlpm.puntosPrin, _xlfn._xlws.FILTER(G:G + B:B/1000, A:A=A58),
    _xlpm.puntosPrinValidos, SUM(--(_xlpm.puntosPrin&gt;1)),
    _xlpm.puntosTer, _xlfn._xlws.FILTER(J:J + B:B/1000, A:A=A58),
    _xlpm.puntosTerValidos, SUM(--(_xlpm.puntosTer&gt;1)),
    _xlpm.clave, M58 + B58/1000,
    _xlpm.claves, _xlfn._xlws.FILTER(M:M + B:B/1000, A:A=A58),
    IF(AND(_xlpm.puntosPrinValidos&gt;=4,_xlpm.puntosTerValidos&gt;=2),IF(
        SUM(--(_xlpm.claves &gt; _xlpm.clave)) &lt; 4,
        C58,
        F58
    ),"No disp")
)</f>
        <v>No disp</v>
      </c>
      <c r="S58" s="14" cm="1">
        <f t="array" aca="1" ref="S58" ca="1">_xlfn.LET(
    _xlpm.ptsPrinBase, _xlfn._xlws.FILTER(G:G, A:A=A58),
    _xlpm.ptsSecBase,  _xlfn._xlws.FILTER(H:H, A:A=A58),
    _xlpm.puntosPrin, _xlpm.ptsPrinBase + _xlfn._xlws.FILTER(B:B, A:A=A58)/1000,
    _xlpm.puntosSec,  _xlpm.ptsSecBase  + _xlfn._xlws.FILTER(B:B, A:A=A58)/1000,
    _xlpm.puntosPrinValidos, SUM(--(_xlpm.ptsPrinBase&gt;0)),
    _xlpm.puntosSecValidos,  SUM(--(_xlpm.ptsSecBase&gt;0)),
    _xlpm.clave, K58 + B58/1000,
    _xlpm.claves, _xlfn._xlws.FILTER(K:K + B:B/1000, A:A=A58),
    IF(
        AND(_xlpm.puntosPrinValidos&gt;=2, _xlpm.puntosSecValidos&gt;=4),
        IF(
            SUM(--(_xlpm.claves &lt; _xlpm.clave)) &lt; 4,
            D58,
            C58
        ),
        "No disp"
    )
)</f>
        <v>182</v>
      </c>
      <c r="T58" s="14" t="str" cm="1">
        <f t="array" aca="1" ref="T58" ca="1">_xlfn.LET(
    _xlpm.puntosSec, _xlfn._xlws.FILTER(H:H + B:B/1000, A:A=A58),
    _xlpm.puntosSecValidos, SUM(--(_xlpm.puntosSec&gt;1)),
    _xlpm.puntosAlt, _xlfn._xlws.FILTER(I:I + B:B/1000, A:A=A58),
    _xlpm.puntosAltValidos, SUM(--(_xlpm.puntosAlt&gt;1)),
    _xlpm.clave, N58 + B58/1000,
    _xlpm.claves, _xlfn._xlws.FILTER(N:N + B:B/1000, A:A=A58),
    IF(AND(_xlpm.puntosSecValidos&gt;=4,_xlpm.puntosAltValidos&gt;=2),IF(
        SUM(--(_xlpm.claves &gt; _xlpm.clave)) &lt; 4,
        D58,
        E58
    ),"No disp")
)</f>
        <v>No disp</v>
      </c>
      <c r="U58" s="14" t="str" cm="1">
        <f t="array" aca="1" ref="U58" ca="1">_xlfn.LET(
    _xlpm.puntosSec, _xlfn._xlws.FILTER(H:H + B:B/1000, A:A=A58),
    _xlpm.puntosSecValidos, SUM(--(_xlpm.puntosSec&gt;1)),
    _xlpm.puntosAlt, _xlfn._xlws.FILTER(J:J + B:B/1000, A:A=A58),
    _xlpm.puntosAltValidos, SUM(--(_xlpm.puntosAlt&gt;1)),
    _xlpm.clave, O58 + B58/1000,
    _xlpm.claves, _xlfn._xlws.FILTER(O:O + B:B/1000, A:A=A58),
    IF(AND(_xlpm.puntosSecValidos&gt;=4,_xlpm.puntosAltValidos&gt;=2),IF(
        SUM(--(_xlpm.claves &gt; _xlpm.clave)) &lt; 4,
        D58,
        F58
    ),"No disp")
)</f>
        <v>No disp</v>
      </c>
      <c r="V58" s="4" cm="1">
        <f t="array" aca="1" ref="V58" ca="1">_xlfn.LET(
_xlpm.PrinIDs,_xlfn._xlws.FILTER(C:C,(A:A=A58)),
_xlpm.SecIDs,_xlfn._xlws.FILTER(D:D,(A:A=A58)),
_xlpm.TerIDs,_xlfn._xlws.FILTER(E:E,A:A=A58),
_xlpm.CuaIDs,_xlfn._xlws.FILTER(F:F,(A:A=A58)),
_xlpm.PrinPts,_xlfn._xlws.FILTER(G:G,(A:A=A58)),
_xlpm.SecPts,_xlfn._xlws.FILTER(H:H,(A:A=A58)),
_xlpm.TerPts,_xlfn._xlws.FILTER(I:I,(A:A=A58)),
_xlpm.CuaPts,_xlfn._xlws.FILTER(J:J,(A:A=A58)),
_xlpm.PSIds,_xlfn._xlws.FILTER(P:P,A:A=A58),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464.49</v>
      </c>
      <c r="W58" s="4" cm="1">
        <f t="array" aca="1" ref="W58" ca="1">_xlfn.LET(
_xlpm.PrinIDs,_xlfn._xlws.FILTER(C:C,(A:A=A58)),
_xlpm.SecIDs,_xlfn._xlws.FILTER(D:D,(A:A=A58)),
_xlpm.TerIDs,_xlfn._xlws.FILTER(E:E,A:A=A58),
_xlpm.CuaIDs,_xlfn._xlws.FILTER(F:F,(A:A=A58)),
_xlpm.PrinPts,_xlfn._xlws.FILTER(G:G,(A:A=A58)),
_xlpm.SecPts,_xlfn._xlws.FILTER(H:H,(A:A=A58)),
_xlpm.TerPts,_xlfn._xlws.FILTER(I:I,(A:A=A58)),
_xlpm.CuaPts,_xlfn._xlws.FILTER(J:J,(A:A=A58)),
_xlpm.PTIds,_xlfn._xlws.FILTER(Q:Q,A:A=A58),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58" s="4" cm="1">
        <f t="array" aca="1" ref="X58" ca="1">_xlfn.LET(
_xlpm.PrinIDs,_xlfn._xlws.FILTER(C:C,(A:A=A58)),
_xlpm.SecIDs,_xlfn._xlws.FILTER(D:D,(A:A=A58)),
_xlpm.TerIDs,_xlfn._xlws.FILTER(E:E,A:A=A58),
_xlpm.CuaIDs,_xlfn._xlws.FILTER(F:F,(A:A=A58)),
_xlpm.PrinPts,_xlfn._xlws.FILTER(G:G,(A:A=A58)),
_xlpm.SecPts,_xlfn._xlws.FILTER(H:H,(A:A=A58)),
_xlpm.TerPts,_xlfn._xlws.FILTER(I:I,(A:A=A58)),
_xlpm.CuaPts,_xlfn._xlws.FILTER(J:J,(A:A=A58)),
_xlpm.PCIds,_xlfn._xlws.FILTER(R:R,A:A=A58),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58" s="4" cm="1">
        <f t="array" aca="1" ref="Y58" ca="1">_xlfn.LET(
_xlpm.PrinIDs,_xlfn._xlws.FILTER(C:C,(A:A=A58)),
_xlpm.SecIDs,_xlfn._xlws.FILTER(D:D,(A:A=A58)),
_xlpm.AltIDs,_xlfn._xlws.FILTER(E:E,A:A=A58),
_xlpm.PrinPts,_xlfn._xlws.FILTER(G:G,(A:A=A58)),
_xlpm.SecPts,_xlfn._xlws.FILTER(H:H,(A:A=A58)),
_xlpm.AltPts,_xlfn._xlws.FILTER(I:I,(A:A=A58)),
_xlpm.SPIds,_xlfn._xlws.FILTER(S:S,A:A=A58),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464.31</v>
      </c>
      <c r="Z58" s="4" cm="1">
        <f t="array" aca="1" ref="Z58" ca="1">_xlfn.LET(
_xlpm.PrinIDs,_xlfn._xlws.FILTER(C:C,(A:A=A58)),
_xlpm.SecIDs,_xlfn._xlws.FILTER(D:D,(A:A=A58)),
_xlpm.TerIDs,_xlfn._xlws.FILTER(E:E,A:A=A58),
_xlpm.CuaIDs,_xlfn._xlws.FILTER(F:F,(A:A=A58)),
_xlpm.PrinPts,_xlfn._xlws.FILTER(G:G,(A:A=A58)),
_xlpm.SecPts,_xlfn._xlws.FILTER(H:H,(A:A=A58)),
_xlpm.TerPts,_xlfn._xlws.FILTER(I:I,(A:A=A58)),
_xlpm.CuaPts,_xlfn._xlws.FILTER(J:J,(A:A=A58)),
_xlpm.STIds,_xlfn._xlws.FILTER(T:T,A:A=A58),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58" s="4" cm="1">
        <f t="array" aca="1" ref="AA58" ca="1">_xlfn.LET(
_xlpm.PrinIDs,_xlfn._xlws.FILTER(C:C,(A:A=A58)),
_xlpm.SecIDs,_xlfn._xlws.FILTER(D:D,(A:A=A58)),
_xlpm.TerIDs,_xlfn._xlws.FILTER(E:E,A:A=A58),
_xlpm.CuaIDs,_xlfn._xlws.FILTER(F:F,(A:A=A58)),
_xlpm.PrinPts,_xlfn._xlws.FILTER(G:G,(A:A=A58)),
_xlpm.SecPts,_xlfn._xlws.FILTER(H:H,(A:A=A58)),
_xlpm.TerPts,_xlfn._xlws.FILTER(I:I,(A:A=A58)),
_xlpm.CuaPts,_xlfn._xlws.FILTER(J:J,(A:A=A58)),
_xlpm.SCIds,_xlfn._xlws.FILTER(U:U,A:A=A58),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58" s="14">
        <f t="shared" ca="1" si="3"/>
        <v>182</v>
      </c>
      <c r="AC58" s="14">
        <v>182</v>
      </c>
      <c r="AD58" s="4"/>
      <c r="AE58" s="14" t="str">
        <f ca="1">IF(ISNUMBER(AC58),
IF($B58=1,VLOOKUP($AC58,Inventario1!$A:$H,2),
IF($B58=2,VLOOKUP($AC58,Inventario2!$A:$H,2),
IF($B58=3,VLOOKUP($AC58,Inventario3!$A:$H,2),
IF($B58=4,VLOOKUP($AC58,Inventario4!$A:$H,2),
IF($B58=5,VLOOKUP($AC58,Inventario5!$A:$H,2),
VLOOKUP($AC58,Inventario6!$A:$H,2)
))))),"No equipado")</f>
        <v>Épico</v>
      </c>
      <c r="AF58" s="14" t="str">
        <f ca="1">IF(ISNUMBER(AC58),
IF($B58=1,VLOOKUP($AC58,Inventario1!$A:$H,3),
IF($B58=2,VLOOKUP($AC58,Inventario2!$A:$H,3),
IF($B58=3,VLOOKUP($AC58,Inventario3!$A:$H,3),
IF($B58=4,VLOOKUP($AC58,Inventario4!$A:$H,3),
IF($B58=5,VLOOKUP($AC58,Inventario5!$A:$H,3),
VLOOKUP($AC58,Inventario6!$A:$H,3)
))))),"")</f>
        <v>Recepción suprema</v>
      </c>
      <c r="AG58" s="14" t="str">
        <f ca="1">IF(ISNUMBER(AC58),
IF($B58=1,VLOOKUP($AC58,Inventario1!$A:$H,4),
IF($B58=2,VLOOKUP($AC58,Inventario2!$A:$H,4),
IF($B58=3,VLOOKUP($AC58,Inventario3!$A:$H,4),
IF($B58=4,VLOOKUP($AC58,Inventario4!$A:$H,4),
IF($B58=5,VLOOKUP($AC58,Inventario5!$A:$H,4),
VLOOKUP($AC58,Inventario6!$A:$H,4)
))))),"")</f>
        <v>Saque</v>
      </c>
      <c r="AH58" s="14" t="str">
        <f ca="1">IF(ISNUMBER(AC58),
IF($B58=1,VLOOKUP($AC58,Inventario1!$A:$H,5),
IF($B58=2,VLOOKUP($AC58,Inventario2!$A:$H,5),
IF($B58=3,VLOOKUP($AC58,Inventario3!$A:$H,5),
IF($B58=4,VLOOKUP($AC58,Inventario4!$A:$H,5),
IF($B58=5,VLOOKUP($AC58,Inventario5!$A:$H,5),
VLOOKUP($AC58,Inventario6!$A:$H,5)
))))),"")</f>
        <v>Recuperación</v>
      </c>
      <c r="AI58" s="14" t="str">
        <f ca="1">IF(ISNUMBER(AC58),
IF($B58=1,VLOOKUP($AC58,Inventario1!$A:$H,6),
IF($B58=2,VLOOKUP($AC58,Inventario2!$A:$H,6),
IF($B58=3,VLOOKUP($AC58,Inventario3!$A:$H,6),
IF($B58=4,VLOOKUP($AC58,Inventario4!$A:$H,6),
IF($B58=5,VLOOKUP($AC58,Inventario5!$A:$H,6),
VLOOKUP($AC58,Inventario6!$A:$H,6)
))))),"")</f>
        <v>Recepción</v>
      </c>
      <c r="AJ58" s="14">
        <f ca="1">IF(ISNUMBER(AC58),
IF($B58=1,VLOOKUP($AC58,Inventario1!$A:$H,7),
IF($B58=2,VLOOKUP($AC58,Inventario2!$A:$H,7),
IF($B58=3,VLOOKUP($AC58,Inventario3!$A:$H,7),
IF($B58=4,VLOOKUP($AC58,Inventario4!$A:$H,7),
IF($B58=5,VLOOKUP($AC58,Inventario5!$A:$H,7),
VLOOKUP($AC58,Inventario6!$A:$H,7)
))))),"")</f>
        <v>0</v>
      </c>
      <c r="AK58" s="15">
        <f ca="1">IF(ISNUMBER(AC58),
IF($B58=1,VLOOKUP($AC58,Inventario1!$A:$H,8),
IF($B58=2,VLOOKUP($AC58,Inventario2!$A:$H,8),
IF($B58=3,VLOOKUP($AC58,Inventario3!$A:$H,8),
IF($B58=4,VLOOKUP($AC58,Inventario4!$A:$H,8),
IF($B58=5,VLOOKUP($AC58,Inventario5!$A:$H,8),
VLOOKUP($AC58,Inventario6!$A:$H,8)
))))),"")</f>
        <v>0</v>
      </c>
    </row>
    <row r="59" spans="1:37" x14ac:dyDescent="0.25">
      <c r="A59" s="21" t="s">
        <v>18</v>
      </c>
      <c r="B59" s="3">
        <v>4</v>
      </c>
      <c r="C59" s="14" cm="1">
        <f t="array" aca="1" ref="C59" ca="1">_xlfn.LET(
    _xlpm.jugador, A59,
    _xlpm.idSel, AC59,
    _xlpm.invIDs, IF(B59=1,Inventario1!A:A,IF(B59=2,Inventario2!A:A,IF(B59=3,Inventario3!A:A,IF(B59=4,Inventario4!A:A,IF(B59=5,Inventario5!A:A,Inventario6!A:A))))),
    _xlpm.invCalidad, IF(B59=1,Inventario1!B:B,IF(B59=2,Inventario2!B:B,IF(B59=3,Inventario3!B:B,IF(B59=4,Inventario4!B:B,IF(B59=5,Inventario5!B:B,Inventario6!B:B))))),
    _xlpm.invTipos, IF(B59=1,Inventario1!C:C,IF(B59=2,Inventario2!C:C,IF(B59=3,Inventario3!C:C,IF(B59=4,Inventario4!C:C,IF(B59=5,Inventario5!C:C,Inventario6!C:C))))),
    _xlpm.invStats, IF(B59=1,Inventario1!D:H,IF(B59=2,Inventario2!D:H,IF(B59=3,Inventario3!D:H,IF(B59=4,Inventario4!D:H,IF(B59=5,Inventario5!D:H,Inventario6!D:H))))),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IF(ROW(A59)=2,"",IF(_xlfn._xlws.FILTER(Equipar!AC$2:AC58,Equipar!B$2:B58=B59)={0},"",_xlfn._xlws.FILTER(Equipar!AC$2:AC58,Equipar!B$2:B58=B59))),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146</v>
      </c>
      <c r="D59" s="4" cm="1">
        <f t="array" ref="D59">_xlfn.LET(
    _xlpm.jugador, A59,
    _xlpm.idSel, AC59,
    _xlpm.invIDs, IF(B59=1,Inventario1!A:A,IF(B59=2,Inventario2!A:A,IF(B59=3,Inventario3!A:A,IF(B59=4,Inventario4!A:A,IF(B59=5,Inventario5!A:A,Inventario6!A:A))))),
    _xlpm.invCalidad, IF(B59=1,Inventario1!B:B,IF(B59=2,Inventario2!B:B,IF(B59=3,Inventario3!B:B,IF(B59=4,Inventario4!B:B,IF(B59=5,Inventario5!B:B,Inventario6!B:B))))),
    _xlpm.invTipos, IF(B59=1,Inventario1!C:C,IF(B59=2,Inventario2!C:C,IF(B59=3,Inventario3!C:C,IF(B59=4,Inventario4!C:C,IF(B59=5,Inventario5!C:C,Inventario6!C:C))))),
    _xlpm.invStats, IF(B59=1,Inventario1!D:H,IF(B59=2,Inventario2!D:H,IF(B59=3,Inventario3!D:H,IF(B59=4,Inventario4!D:H,IF(B59=5,Inventario5!D:H,Inventario6!D:H))))),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IF(ROW(A59)=2,"",IF(_xlfn._xlws.FILTER(Equipar!AC$2:AC58,Equipar!B$2:B58=B59)={0},"",_xlfn._xlws.FILTER(Equipar!AC$2:AC58,Equipar!B$2:B58=B59))),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215</v>
      </c>
      <c r="E59" s="4" t="str" cm="1">
        <f t="array" ref="E59">_xlfn.LET(
    _xlpm.jugador, A59,
    _xlpm.idSel, AC59,
    _xlpm.invIDs, IF(B59=1,Inventario1!A:A,IF(B59=2,Inventario2!A:A,IF(B59=3,Inventario3!A:A,IF(B59=4,Inventario4!A:A,IF(B59=5,Inventario5!A:A,Inventario6!A:A))))),
    _xlpm.invCalidad, IF(B59=1,Inventario1!B:B,IF(B59=2,Inventario2!B:B,IF(B59=3,Inventario3!B:B,IF(B59=4,Inventario4!B:B,IF(B59=5,Inventario5!B:B,Inventario6!B:B))))),
    _xlpm.invTipos, IF(B59=1,Inventario1!C:C,IF(B59=2,Inventario2!C:C,IF(B59=3,Inventario3!C:C,IF(B59=4,Inventario4!C:C,IF(B59=5,Inventario5!C:C,Inventario6!C:C))))),
    _xlpm.invStats, IF(B59=1,Inventario1!D:H,IF(B59=2,Inventario2!D:H,IF(B59=3,Inventario3!D:H,IF(B59=4,Inventario4!D:H,IF(B59=5,Inventario5!D:H,Inventario6!D:H))))),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IF(ROW(A59)=2,"",IF(_xlfn._xlws.FILTER(Equipar!AC$2:AC58,Equipar!B$2:B58=B59)={0},"",_xlfn._xlws.FILTER(Equipar!AC$2:AC58,Equipar!B$2:B58=B59))),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59" s="4" t="str" cm="1">
        <f t="array" aca="1" ref="F59" ca="1">_xlfn.LET(
    _xlpm.jugador, B59,
    _xlpm.idSel, AD59,
    _xlpm.invIDs, IF(C59=1,Inventario1!B:B,IF(C59=2,Inventario2!B:B,IF(C59=3,Inventario3!B:B,IF(C59=4,Inventario4!B:B,IF(C59=5,Inventario5!B:B,Inventario6!B:B))))),
    _xlpm.invCalidad, IF(C59=1,Inventario1!C:C,IF(C59=2,Inventario2!C:C,IF(C59=3,Inventario3!C:C,IF(C59=4,Inventario4!C:C,IF(C59=5,Inventario5!C:C,Inventario6!C:C))))),
    _xlpm.invTipos, IF(C59=1,Inventario1!D:D,IF(C59=2,Inventario2!D:D,IF(C59=3,Inventario3!D:D,IF(C59=4,Inventario4!D:D,IF(C59=5,Inventario5!D:D,Inventario6!D:D))))),
    _xlpm.invStats, IF(C59=1,Inventario1!E:I,IF(C59=2,Inventario2!E:I,IF(C59=3,Inventario3!E:I,IF(C59=4,Inventario4!E:I,IF(C59=5,Inventario5!E:I,Inventario6!E:I))))),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IF(ROW(B59)=2,"",IF(_xlfn._xlws.FILTER(Equipar!AD$2:AD58,Equipar!C$2:C58=C59)={0},"",_xlfn._xlws.FILTER(Equipar!AD$2:AD58,Equipar!C$2:C58=C59))),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59" s="14" cm="1">
        <f t="array" aca="1" ref="G59" ca="1">_xlfn.LET(
    _xlpm.jugador, A59,
    _xlpm.idSel, AC59,
    _xlpm.invIDs, IF(B59=1,Inventario1!A:A,IF(B59=2,Inventario2!A:A,IF(B59=3,Inventario3!A:A,IF(B59=4,Inventario4!A:A,IF(B59=5,Inventario5!A:A,Inventario6!A:A))))),
    _xlpm.invCalidad, IF(B59=1,Inventario1!B:B,IF(B59=2,Inventario2!B:B,IF(B59=3,Inventario3!B:B,IF(B59=4,Inventario4!B:B,IF(B59=5,Inventario5!B:B,Inventario6!B:B))))),
    _xlpm.invTipos, IF(B59=1,Inventario1!C:C,IF(B59=2,Inventario2!C:C,IF(B59=3,Inventario3!C:C,IF(B59=4,Inventario4!C:C,IF(B59=5,Inventario5!C:C,Inventario6!C:C))))),
    _xlpm.invStats, IF(B59=1,Inventario1!D:H,IF(B59=2,Inventario2!D:H,IF(B59=3,Inventario3!D:H,IF(B59=4,Inventario4!D:H,IF(B59=5,Inventario5!D:H,Inventario6!D:H))))),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IF(ROW(A59)=2,"",IF(_xlfn._xlws.FILTER(Equipar!AC$2:AC58,Equipar!B$2:B58=B59)={0},"",_xlfn._xlws.FILTER(Equipar!AC$2:AC58,Equipar!B$2:B58=B59))),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H59" s="4" cm="1">
        <f t="array" ref="H59">_xlfn.LET(
    _xlpm.jugador, A59,
    _xlpm.idSel, AC59,
    _xlpm.invIDs, IF(B59=1,Inventario1!A:A,IF(B59=2,Inventario2!A:A,IF(B59=3,Inventario3!A:A,IF(B59=4,Inventario4!A:A,IF(B59=5,Inventario5!A:A,Inventario6!A:A))))),
    _xlpm.invCalidad, IF(B59=1,Inventario1!B:B,IF(B59=2,Inventario2!B:B,IF(B59=3,Inventario3!B:B,IF(B59=4,Inventario4!B:B,IF(B59=5,Inventario5!B:B,Inventario6!B:B))))),
    _xlpm.invTipos, IF(B59=1,Inventario1!C:C,IF(B59=2,Inventario2!C:C,IF(B59=3,Inventario3!C:C,IF(B59=4,Inventario4!C:C,IF(B59=5,Inventario5!C:C,Inventario6!C:C))))),
    _xlpm.invStats, IF(B59=1,Inventario1!D:H,IF(B59=2,Inventario2!D:H,IF(B59=3,Inventario3!D:H,IF(B59=4,Inventario4!D:H,IF(B59=5,Inventario5!D:H,Inventario6!D:H))))),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IF(ROW(A59)=2,"",IF(_xlfn._xlws.FILTER(Equipar!AC$2:AC58,Equipar!B$2:B58=B59)={0},"",_xlfn._xlws.FILTER(Equipar!AC$2:AC58,Equipar!B$2:B58=B59))),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I59" s="4" cm="1">
        <f t="array" ref="I59">_xlfn.LET(
    _xlpm.jugador, A59,
    _xlpm.idSel, AC59,
    _xlpm.invIDs, IF(B59=1,Inventario1!A:A,IF(B59=2,Inventario2!A:A,IF(B59=3,Inventario3!A:A,IF(B59=4,Inventario4!A:A,IF(B59=5,Inventario5!A:A,Inventario6!A:A))))),
    _xlpm.invCalidad, IF(B59=1,Inventario1!B:B,IF(B59=2,Inventario2!B:B,IF(B59=3,Inventario3!B:B,IF(B59=4,Inventario4!B:B,IF(B59=5,Inventario5!B:B,Inventario6!B:B))))),
    _xlpm.invTipos, IF(B59=1,Inventario1!C:C,IF(B59=2,Inventario2!C:C,IF(B59=3,Inventario3!C:C,IF(B59=4,Inventario4!C:C,IF(B59=5,Inventario5!C:C,Inventario6!C:C))))),
    _xlpm.invStats, IF(B59=1,Inventario1!D:H,IF(B59=2,Inventario2!D:H,IF(B59=3,Inventario3!D:H,IF(B59=4,Inventario4!D:H,IF(B59=5,Inventario5!D:H,Inventario6!D:H))))),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IF(ROW(A59)=2,"",IF(_xlfn._xlws.FILTER(Equipar!AC$2:AC58,Equipar!B$2:B58=B59)={0},"",_xlfn._xlws.FILTER(Equipar!AC$2:AC58,Equipar!B$2:B58=B59))),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59" s="4" cm="1">
        <f t="array" aca="1" ref="J59" ca="1">_xlfn.LET(
    _xlpm.jugador, B59,
    _xlpm.idSel, AD59,
    _xlpm.invIDs, IF(C59=1,Inventario1!B:B,IF(C59=2,Inventario2!B:B,IF(C59=3,Inventario3!B:B,IF(C59=4,Inventario4!B:B,IF(C59=5,Inventario5!B:B,Inventario6!B:B))))),
    _xlpm.invCalidad, IF(C59=1,Inventario1!C:C,IF(C59=2,Inventario2!C:C,IF(C59=3,Inventario3!C:C,IF(C59=4,Inventario4!C:C,IF(C59=5,Inventario5!C:C,Inventario6!C:C))))),
    _xlpm.invTipos, IF(C59=1,Inventario1!D:D,IF(C59=2,Inventario2!D:D,IF(C59=3,Inventario3!D:D,IF(C59=4,Inventario4!D:D,IF(C59=5,Inventario5!D:D,Inventario6!D:D))))),
    _xlpm.invStats, IF(C59=1,Inventario1!E:I,IF(C59=2,Inventario2!E:I,IF(C59=3,Inventario3!E:I,IF(C59=4,Inventario4!E:I,IF(C59=5,Inventario5!E:I,Inventario6!E:I))))),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IF(ROW(B59)=2,"",IF(_xlfn._xlws.FILTER(Equipar!AD$2:AD58,Equipar!C$2:C58=C59)={0},"",_xlfn._xlws.FILTER(Equipar!AD$2:AD58,Equipar!C$2:C58=C59))),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59" s="4">
        <f t="shared" ca="1" si="0"/>
        <v>0.17999999999999261</v>
      </c>
      <c r="L59" s="4">
        <f t="shared" ca="1" si="1"/>
        <v>72</v>
      </c>
      <c r="M59" s="4">
        <f t="shared" ca="1" si="1"/>
        <v>71.820000000000007</v>
      </c>
      <c r="N59" s="4">
        <f t="shared" si="2"/>
        <v>71.820000000000007</v>
      </c>
      <c r="O59" s="4">
        <f t="shared" ca="1" si="2"/>
        <v>0</v>
      </c>
      <c r="P59" s="14" cm="1">
        <f t="array" aca="1" ref="P59" ca="1">_xlfn.LET(
    _xlpm.ptsPrinBase, _xlfn._xlws.FILTER(G:G, A:A=A59),
    _xlpm.ptsSecBase,  _xlfn._xlws.FILTER(H:H, A:A=A59),
    _xlpm.puntosPrin, _xlpm.ptsPrinBase + _xlfn._xlws.FILTER(B:B, A:A=A59)/1000,
    _xlpm.puntosSec,  _xlpm.ptsSecBase  + _xlfn._xlws.FILTER(B:B, A:A=A59)/1000,
    _xlpm.puntosPrinValidos, SUM(--(_xlpm.ptsPrinBase&gt;0)),
    _xlpm.puntosSecValidos,  SUM(--(_xlpm.ptsSecBase&gt;0)),
    _xlpm.clave, K59 + B59/1000,
    _xlpm.claves, _xlfn._xlws.FILTER(K:K + B:B/1000, A:A=A59),
    IF(AND(_xlpm.puntosPrinValidos&gt;=4,_xlpm.puntosSecValidos&gt;=2),IF(
        SUM(--(_xlpm.claves &gt; _xlpm.clave)) &lt; 4,
        C59,
        D59
    ),"No disp")
)</f>
        <v>146</v>
      </c>
      <c r="Q59" s="14" t="str" cm="1">
        <f t="array" aca="1" ref="Q59" ca="1">_xlfn.LET(
    _xlpm.puntosPrin, _xlfn._xlws.FILTER(G:G + B:B/1000, A:A=A59),
    _xlpm.puntosPrinValidos, SUM(--(_xlpm.puntosPrin&gt;1)),
    _xlpm.puntosTer, _xlfn._xlws.FILTER(I:I + B:B/1000, A:A=A59),
    _xlpm.puntosTerValidos, SUM(--(_xlpm.puntosTer&gt;1)),
    _xlpm.clave, L59 + B59/1000,
    _xlpm.claves, _xlfn._xlws.FILTER(L:L + B:B/1000, A:A=A59),
    IF(AND(_xlpm.puntosPrinValidos&gt;=4,_xlpm.puntosTerValidos&gt;=2),IF(
        SUM(--(_xlpm.claves &gt; _xlpm.clave)) &lt; 4,
        C59,
        E59
    ),"No disp")
)</f>
        <v>No disp</v>
      </c>
      <c r="R59" s="14" t="str" cm="1">
        <f t="array" aca="1" ref="R59" ca="1">_xlfn.LET(
    _xlpm.puntosPrin, _xlfn._xlws.FILTER(G:G + B:B/1000, A:A=A59),
    _xlpm.puntosPrinValidos, SUM(--(_xlpm.puntosPrin&gt;1)),
    _xlpm.puntosTer, _xlfn._xlws.FILTER(J:J + B:B/1000, A:A=A59),
    _xlpm.puntosTerValidos, SUM(--(_xlpm.puntosTer&gt;1)),
    _xlpm.clave, M59 + B59/1000,
    _xlpm.claves, _xlfn._xlws.FILTER(M:M + B:B/1000, A:A=A59),
    IF(AND(_xlpm.puntosPrinValidos&gt;=4,_xlpm.puntosTerValidos&gt;=2),IF(
        SUM(--(_xlpm.claves &gt; _xlpm.clave)) &lt; 4,
        C59,
        F59
    ),"No disp")
)</f>
        <v>No disp</v>
      </c>
      <c r="S59" s="14" cm="1">
        <f t="array" aca="1" ref="S59" ca="1">_xlfn.LET(
    _xlpm.ptsPrinBase, _xlfn._xlws.FILTER(G:G, A:A=A59),
    _xlpm.ptsSecBase,  _xlfn._xlws.FILTER(H:H, A:A=A59),
    _xlpm.puntosPrin, _xlpm.ptsPrinBase + _xlfn._xlws.FILTER(B:B, A:A=A59)/1000,
    _xlpm.puntosSec,  _xlpm.ptsSecBase  + _xlfn._xlws.FILTER(B:B, A:A=A59)/1000,
    _xlpm.puntosPrinValidos, SUM(--(_xlpm.ptsPrinBase&gt;0)),
    _xlpm.puntosSecValidos,  SUM(--(_xlpm.ptsSecBase&gt;0)),
    _xlpm.clave, K59 + B59/1000,
    _xlpm.claves, _xlfn._xlws.FILTER(K:K + B:B/1000, A:A=A59),
    IF(
        AND(_xlpm.puntosPrinValidos&gt;=2, _xlpm.puntosSecValidos&gt;=4),
        IF(
            SUM(--(_xlpm.claves &lt; _xlpm.clave)) &lt; 4,
            D59,
            C59
        ),
        "No disp"
    )
)</f>
        <v>215</v>
      </c>
      <c r="T59" s="14" t="str" cm="1">
        <f t="array" aca="1" ref="T59" ca="1">_xlfn.LET(
    _xlpm.puntosSec, _xlfn._xlws.FILTER(H:H + B:B/1000, A:A=A59),
    _xlpm.puntosSecValidos, SUM(--(_xlpm.puntosSec&gt;1)),
    _xlpm.puntosAlt, _xlfn._xlws.FILTER(I:I + B:B/1000, A:A=A59),
    _xlpm.puntosAltValidos, SUM(--(_xlpm.puntosAlt&gt;1)),
    _xlpm.clave, N59 + B59/1000,
    _xlpm.claves, _xlfn._xlws.FILTER(N:N + B:B/1000, A:A=A59),
    IF(AND(_xlpm.puntosSecValidos&gt;=4,_xlpm.puntosAltValidos&gt;=2),IF(
        SUM(--(_xlpm.claves &gt; _xlpm.clave)) &lt; 4,
        D59,
        E59
    ),"No disp")
)</f>
        <v>No disp</v>
      </c>
      <c r="U59" s="14" t="str" cm="1">
        <f t="array" aca="1" ref="U59" ca="1">_xlfn.LET(
    _xlpm.puntosSec, _xlfn._xlws.FILTER(H:H + B:B/1000, A:A=A59),
    _xlpm.puntosSecValidos, SUM(--(_xlpm.puntosSec&gt;1)),
    _xlpm.puntosAlt, _xlfn._xlws.FILTER(J:J + B:B/1000, A:A=A59),
    _xlpm.puntosAltValidos, SUM(--(_xlpm.puntosAlt&gt;1)),
    _xlpm.clave, O59 + B59/1000,
    _xlpm.claves, _xlfn._xlws.FILTER(O:O + B:B/1000, A:A=A59),
    IF(AND(_xlpm.puntosSecValidos&gt;=4,_xlpm.puntosAltValidos&gt;=2),IF(
        SUM(--(_xlpm.claves &gt; _xlpm.clave)) &lt; 4,
        D59,
        F59
    ),"No disp")
)</f>
        <v>No disp</v>
      </c>
      <c r="V59" s="4" cm="1">
        <f t="array" aca="1" ref="V59" ca="1">_xlfn.LET(
_xlpm.PrinIDs,_xlfn._xlws.FILTER(C:C,(A:A=A59)),
_xlpm.SecIDs,_xlfn._xlws.FILTER(D:D,(A:A=A59)),
_xlpm.TerIDs,_xlfn._xlws.FILTER(E:E,A:A=A59),
_xlpm.CuaIDs,_xlfn._xlws.FILTER(F:F,(A:A=A59)),
_xlpm.PrinPts,_xlfn._xlws.FILTER(G:G,(A:A=A59)),
_xlpm.SecPts,_xlfn._xlws.FILTER(H:H,(A:A=A59)),
_xlpm.TerPts,_xlfn._xlws.FILTER(I:I,(A:A=A59)),
_xlpm.CuaPts,_xlfn._xlws.FILTER(J:J,(A:A=A59)),
_xlpm.PSIds,_xlfn._xlws.FILTER(P:P,A:A=A59),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464.49</v>
      </c>
      <c r="W59" s="4" cm="1">
        <f t="array" aca="1" ref="W59" ca="1">_xlfn.LET(
_xlpm.PrinIDs,_xlfn._xlws.FILTER(C:C,(A:A=A59)),
_xlpm.SecIDs,_xlfn._xlws.FILTER(D:D,(A:A=A59)),
_xlpm.TerIDs,_xlfn._xlws.FILTER(E:E,A:A=A59),
_xlpm.CuaIDs,_xlfn._xlws.FILTER(F:F,(A:A=A59)),
_xlpm.PrinPts,_xlfn._xlws.FILTER(G:G,(A:A=A59)),
_xlpm.SecPts,_xlfn._xlws.FILTER(H:H,(A:A=A59)),
_xlpm.TerPts,_xlfn._xlws.FILTER(I:I,(A:A=A59)),
_xlpm.CuaPts,_xlfn._xlws.FILTER(J:J,(A:A=A59)),
_xlpm.PTIds,_xlfn._xlws.FILTER(Q:Q,A:A=A59),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59" s="4" cm="1">
        <f t="array" aca="1" ref="X59" ca="1">_xlfn.LET(
_xlpm.PrinIDs,_xlfn._xlws.FILTER(C:C,(A:A=A59)),
_xlpm.SecIDs,_xlfn._xlws.FILTER(D:D,(A:A=A59)),
_xlpm.TerIDs,_xlfn._xlws.FILTER(E:E,A:A=A59),
_xlpm.CuaIDs,_xlfn._xlws.FILTER(F:F,(A:A=A59)),
_xlpm.PrinPts,_xlfn._xlws.FILTER(G:G,(A:A=A59)),
_xlpm.SecPts,_xlfn._xlws.FILTER(H:H,(A:A=A59)),
_xlpm.TerPts,_xlfn._xlws.FILTER(I:I,(A:A=A59)),
_xlpm.CuaPts,_xlfn._xlws.FILTER(J:J,(A:A=A59)),
_xlpm.PCIds,_xlfn._xlws.FILTER(R:R,A:A=A59),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59" s="4" cm="1">
        <f t="array" aca="1" ref="Y59" ca="1">_xlfn.LET(
_xlpm.PrinIDs,_xlfn._xlws.FILTER(C:C,(A:A=A59)),
_xlpm.SecIDs,_xlfn._xlws.FILTER(D:D,(A:A=A59)),
_xlpm.AltIDs,_xlfn._xlws.FILTER(E:E,A:A=A59),
_xlpm.PrinPts,_xlfn._xlws.FILTER(G:G,(A:A=A59)),
_xlpm.SecPts,_xlfn._xlws.FILTER(H:H,(A:A=A59)),
_xlpm.AltPts,_xlfn._xlws.FILTER(I:I,(A:A=A59)),
_xlpm.SPIds,_xlfn._xlws.FILTER(S:S,A:A=A59),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464.31</v>
      </c>
      <c r="Z59" s="4" cm="1">
        <f t="array" aca="1" ref="Z59" ca="1">_xlfn.LET(
_xlpm.PrinIDs,_xlfn._xlws.FILTER(C:C,(A:A=A59)),
_xlpm.SecIDs,_xlfn._xlws.FILTER(D:D,(A:A=A59)),
_xlpm.TerIDs,_xlfn._xlws.FILTER(E:E,A:A=A59),
_xlpm.CuaIDs,_xlfn._xlws.FILTER(F:F,(A:A=A59)),
_xlpm.PrinPts,_xlfn._xlws.FILTER(G:G,(A:A=A59)),
_xlpm.SecPts,_xlfn._xlws.FILTER(H:H,(A:A=A59)),
_xlpm.TerPts,_xlfn._xlws.FILTER(I:I,(A:A=A59)),
_xlpm.CuaPts,_xlfn._xlws.FILTER(J:J,(A:A=A59)),
_xlpm.STIds,_xlfn._xlws.FILTER(T:T,A:A=A59),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59" s="4" cm="1">
        <f t="array" aca="1" ref="AA59" ca="1">_xlfn.LET(
_xlpm.PrinIDs,_xlfn._xlws.FILTER(C:C,(A:A=A59)),
_xlpm.SecIDs,_xlfn._xlws.FILTER(D:D,(A:A=A59)),
_xlpm.TerIDs,_xlfn._xlws.FILTER(E:E,A:A=A59),
_xlpm.CuaIDs,_xlfn._xlws.FILTER(F:F,(A:A=A59)),
_xlpm.PrinPts,_xlfn._xlws.FILTER(G:G,(A:A=A59)),
_xlpm.SecPts,_xlfn._xlws.FILTER(H:H,(A:A=A59)),
_xlpm.TerPts,_xlfn._xlws.FILTER(I:I,(A:A=A59)),
_xlpm.CuaPts,_xlfn._xlws.FILTER(J:J,(A:A=A59)),
_xlpm.SCIds,_xlfn._xlws.FILTER(U:U,A:A=A59),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59" s="14">
        <f t="shared" ca="1" si="3"/>
        <v>146</v>
      </c>
      <c r="AC59" s="14">
        <v>146</v>
      </c>
      <c r="AD59" s="4"/>
      <c r="AE59" s="14" t="str">
        <f ca="1">IF(ISNUMBER(AC59),
IF($B59=1,VLOOKUP($AC59,Inventario1!$A:$H,2),
IF($B59=2,VLOOKUP($AC59,Inventario2!$A:$H,2),
IF($B59=3,VLOOKUP($AC59,Inventario3!$A:$H,2),
IF($B59=4,VLOOKUP($AC59,Inventario4!$A:$H,2),
IF($B59=5,VLOOKUP($AC59,Inventario5!$A:$H,2),
VLOOKUP($AC59,Inventario6!$A:$H,2)
))))),"No equipado")</f>
        <v>Épico</v>
      </c>
      <c r="AF59" s="14" t="str">
        <f ca="1">IF(ISNUMBER(AC59),
IF($B59=1,VLOOKUP($AC59,Inventario1!$A:$H,3),
IF($B59=2,VLOOKUP($AC59,Inventario2!$A:$H,3),
IF($B59=3,VLOOKUP($AC59,Inventario3!$A:$H,3),
IF($B59=4,VLOOKUP($AC59,Inventario4!$A:$H,3),
IF($B59=5,VLOOKUP($AC59,Inventario5!$A:$H,3),
VLOOKUP($AC59,Inventario6!$A:$H,3)
))))),"")</f>
        <v>Recepción de asistencia</v>
      </c>
      <c r="AG59" s="14" t="str">
        <f ca="1">IF(ISNUMBER(AC59),
IF($B59=1,VLOOKUP($AC59,Inventario1!$A:$H,4),
IF($B59=2,VLOOKUP($AC59,Inventario2!$A:$H,4),
IF($B59=3,VLOOKUP($AC59,Inventario3!$A:$H,4),
IF($B59=4,VLOOKUP($AC59,Inventario4!$A:$H,4),
IF($B59=5,VLOOKUP($AC59,Inventario5!$A:$H,4),
VLOOKUP($AC59,Inventario6!$A:$H,4)
))))),"")</f>
        <v>Espíritu</v>
      </c>
      <c r="AH59" s="14" t="str">
        <f ca="1">IF(ISNUMBER(AC59),
IF($B59=1,VLOOKUP($AC59,Inventario1!$A:$H,5),
IF($B59=2,VLOOKUP($AC59,Inventario2!$A:$H,5),
IF($B59=3,VLOOKUP($AC59,Inventario3!$A:$H,5),
IF($B59=4,VLOOKUP($AC59,Inventario4!$A:$H,5),
IF($B59=5,VLOOKUP($AC59,Inventario5!$A:$H,5),
VLOOKUP($AC59,Inventario6!$A:$H,5)
))))),"")</f>
        <v>Recepción</v>
      </c>
      <c r="AI59" s="14" t="str">
        <f ca="1">IF(ISNUMBER(AC59),
IF($B59=1,VLOOKUP($AC59,Inventario1!$A:$H,6),
IF($B59=2,VLOOKUP($AC59,Inventario2!$A:$H,6),
IF($B59=3,VLOOKUP($AC59,Inventario3!$A:$H,6),
IF($B59=4,VLOOKUP($AC59,Inventario4!$A:$H,6),
IF($B59=5,VLOOKUP($AC59,Inventario5!$A:$H,6),
VLOOKUP($AC59,Inventario6!$A:$H,6)
))))),"")</f>
        <v>Recepción</v>
      </c>
      <c r="AJ59" s="14" t="str">
        <f ca="1">IF(ISNUMBER(AC59),
IF($B59=1,VLOOKUP($AC59,Inventario1!$A:$H,7),
IF($B59=2,VLOOKUP($AC59,Inventario2!$A:$H,7),
IF($B59=3,VLOOKUP($AC59,Inventario3!$A:$H,7),
IF($B59=4,VLOOKUP($AC59,Inventario4!$A:$H,7),
IF($B59=5,VLOOKUP($AC59,Inventario5!$A:$H,7),
VLOOKUP($AC59,Inventario6!$A:$H,7)
))))),"")</f>
        <v>Saque</v>
      </c>
      <c r="AK59" s="15">
        <f ca="1">IF(ISNUMBER(AC59),
IF($B59=1,VLOOKUP($AC59,Inventario1!$A:$H,8),
IF($B59=2,VLOOKUP($AC59,Inventario2!$A:$H,8),
IF($B59=3,VLOOKUP($AC59,Inventario3!$A:$H,8),
IF($B59=4,VLOOKUP($AC59,Inventario4!$A:$H,8),
IF($B59=5,VLOOKUP($AC59,Inventario5!$A:$H,8),
VLOOKUP($AC59,Inventario6!$A:$H,8)
))))),"")</f>
        <v>0</v>
      </c>
    </row>
    <row r="60" spans="1:37" x14ac:dyDescent="0.25">
      <c r="A60" s="21" t="s">
        <v>18</v>
      </c>
      <c r="B60" s="3">
        <v>5</v>
      </c>
      <c r="C60" s="14" cm="1">
        <f t="array" aca="1" ref="C60" ca="1">_xlfn.LET(
    _xlpm.jugador, A60,
    _xlpm.idSel, AC60,
    _xlpm.invIDs, IF(B60=1,Inventario1!A:A,IF(B60=2,Inventario2!A:A,IF(B60=3,Inventario3!A:A,IF(B60=4,Inventario4!A:A,IF(B60=5,Inventario5!A:A,Inventario6!A:A))))),
    _xlpm.invCalidad, IF(B60=1,Inventario1!B:B,IF(B60=2,Inventario2!B:B,IF(B60=3,Inventario3!B:B,IF(B60=4,Inventario4!B:B,IF(B60=5,Inventario5!B:B,Inventario6!B:B))))),
    _xlpm.invTipos, IF(B60=1,Inventario1!C:C,IF(B60=2,Inventario2!C:C,IF(B60=3,Inventario3!C:C,IF(B60=4,Inventario4!C:C,IF(B60=5,Inventario5!C:C,Inventario6!C:C))))),
    _xlpm.invStats, IF(B60=1,Inventario1!D:H,IF(B60=2,Inventario2!D:H,IF(B60=3,Inventario3!D:H,IF(B60=4,Inventario4!D:H,IF(B60=5,Inventario5!D:H,Inventario6!D:H))))),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IF(ROW(A60)=2,"",IF(_xlfn._xlws.FILTER(Equipar!AC$2:AC59,Equipar!B$2:B59=B60)={0},"",_xlfn._xlws.FILTER(Equipar!AC$2:AC59,Equipar!B$2:B59=B60))),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323</v>
      </c>
      <c r="D60" s="4" cm="1">
        <f t="array" ref="D60">_xlfn.LET(
    _xlpm.jugador, A60,
    _xlpm.idSel, AC60,
    _xlpm.invIDs, IF(B60=1,Inventario1!A:A,IF(B60=2,Inventario2!A:A,IF(B60=3,Inventario3!A:A,IF(B60=4,Inventario4!A:A,IF(B60=5,Inventario5!A:A,Inventario6!A:A))))),
    _xlpm.invCalidad, IF(B60=1,Inventario1!B:B,IF(B60=2,Inventario2!B:B,IF(B60=3,Inventario3!B:B,IF(B60=4,Inventario4!B:B,IF(B60=5,Inventario5!B:B,Inventario6!B:B))))),
    _xlpm.invTipos, IF(B60=1,Inventario1!C:C,IF(B60=2,Inventario2!C:C,IF(B60=3,Inventario3!C:C,IF(B60=4,Inventario4!C:C,IF(B60=5,Inventario5!C:C,Inventario6!C:C))))),
    _xlpm.invStats, IF(B60=1,Inventario1!D:H,IF(B60=2,Inventario2!D:H,IF(B60=3,Inventario3!D:H,IF(B60=4,Inventario4!D:H,IF(B60=5,Inventario5!D:H,Inventario6!D:H))))),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IF(ROW(A60)=2,"",IF(_xlfn._xlws.FILTER(Equipar!AC$2:AC59,Equipar!B$2:B59=B60)={0},"",_xlfn._xlws.FILTER(Equipar!AC$2:AC59,Equipar!B$2:B59=B60))),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268</v>
      </c>
      <c r="E60" s="4" t="str" cm="1">
        <f t="array" ref="E60">_xlfn.LET(
    _xlpm.jugador, A60,
    _xlpm.idSel, AC60,
    _xlpm.invIDs, IF(B60=1,Inventario1!A:A,IF(B60=2,Inventario2!A:A,IF(B60=3,Inventario3!A:A,IF(B60=4,Inventario4!A:A,IF(B60=5,Inventario5!A:A,Inventario6!A:A))))),
    _xlpm.invCalidad, IF(B60=1,Inventario1!B:B,IF(B60=2,Inventario2!B:B,IF(B60=3,Inventario3!B:B,IF(B60=4,Inventario4!B:B,IF(B60=5,Inventario5!B:B,Inventario6!B:B))))),
    _xlpm.invTipos, IF(B60=1,Inventario1!C:C,IF(B60=2,Inventario2!C:C,IF(B60=3,Inventario3!C:C,IF(B60=4,Inventario4!C:C,IF(B60=5,Inventario5!C:C,Inventario6!C:C))))),
    _xlpm.invStats, IF(B60=1,Inventario1!D:H,IF(B60=2,Inventario2!D:H,IF(B60=3,Inventario3!D:H,IF(B60=4,Inventario4!D:H,IF(B60=5,Inventario5!D:H,Inventario6!D:H))))),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IF(ROW(A60)=2,"",IF(_xlfn._xlws.FILTER(Equipar!AC$2:AC59,Equipar!B$2:B59=B60)={0},"",_xlfn._xlws.FILTER(Equipar!AC$2:AC59,Equipar!B$2:B59=B60))),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60" s="4" t="str" cm="1">
        <f t="array" aca="1" ref="F60" ca="1">_xlfn.LET(
    _xlpm.jugador, B60,
    _xlpm.idSel, AD60,
    _xlpm.invIDs, IF(C60=1,Inventario1!B:B,IF(C60=2,Inventario2!B:B,IF(C60=3,Inventario3!B:B,IF(C60=4,Inventario4!B:B,IF(C60=5,Inventario5!B:B,Inventario6!B:B))))),
    _xlpm.invCalidad, IF(C60=1,Inventario1!C:C,IF(C60=2,Inventario2!C:C,IF(C60=3,Inventario3!C:C,IF(C60=4,Inventario4!C:C,IF(C60=5,Inventario5!C:C,Inventario6!C:C))))),
    _xlpm.invTipos, IF(C60=1,Inventario1!D:D,IF(C60=2,Inventario2!D:D,IF(C60=3,Inventario3!D:D,IF(C60=4,Inventario4!D:D,IF(C60=5,Inventario5!D:D,Inventario6!D:D))))),
    _xlpm.invStats, IF(C60=1,Inventario1!E:I,IF(C60=2,Inventario2!E:I,IF(C60=3,Inventario3!E:I,IF(C60=4,Inventario4!E:I,IF(C60=5,Inventario5!E:I,Inventario6!E:I))))),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IF(ROW(B60)=2,"",IF(_xlfn._xlws.FILTER(Equipar!AD$2:AD59,Equipar!C$2:C59=C60)={0},"",_xlfn._xlws.FILTER(Equipar!AD$2:AD59,Equipar!C$2:C59=C60))),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60" s="14" cm="1">
        <f t="array" aca="1" ref="G60" ca="1">_xlfn.LET(
    _xlpm.jugador, A60,
    _xlpm.idSel, AC60,
    _xlpm.invIDs, IF(B60=1,Inventario1!A:A,IF(B60=2,Inventario2!A:A,IF(B60=3,Inventario3!A:A,IF(B60=4,Inventario4!A:A,IF(B60=5,Inventario5!A:A,Inventario6!A:A))))),
    _xlpm.invCalidad, IF(B60=1,Inventario1!B:B,IF(B60=2,Inventario2!B:B,IF(B60=3,Inventario3!B:B,IF(B60=4,Inventario4!B:B,IF(B60=5,Inventario5!B:B,Inventario6!B:B))))),
    _xlpm.invTipos, IF(B60=1,Inventario1!C:C,IF(B60=2,Inventario2!C:C,IF(B60=3,Inventario3!C:C,IF(B60=4,Inventario4!C:C,IF(B60=5,Inventario5!C:C,Inventario6!C:C))))),
    _xlpm.invStats, IF(B60=1,Inventario1!D:H,IF(B60=2,Inventario2!D:H,IF(B60=3,Inventario3!D:H,IF(B60=4,Inventario4!D:H,IF(B60=5,Inventario5!D:H,Inventario6!D:H))))),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IF(ROW(A60)=2,"",IF(_xlfn._xlws.FILTER(Equipar!AC$2:AC59,Equipar!B$2:B59=B60)={0},"",_xlfn._xlws.FILTER(Equipar!AC$2:AC59,Equipar!B$2:B59=B60))),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H60" s="4" cm="1">
        <f t="array" ref="H60">_xlfn.LET(
    _xlpm.jugador, A60,
    _xlpm.idSel, AC60,
    _xlpm.invIDs, IF(B60=1,Inventario1!A:A,IF(B60=2,Inventario2!A:A,IF(B60=3,Inventario3!A:A,IF(B60=4,Inventario4!A:A,IF(B60=5,Inventario5!A:A,Inventario6!A:A))))),
    _xlpm.invCalidad, IF(B60=1,Inventario1!B:B,IF(B60=2,Inventario2!B:B,IF(B60=3,Inventario3!B:B,IF(B60=4,Inventario4!B:B,IF(B60=5,Inventario5!B:B,Inventario6!B:B))))),
    _xlpm.invTipos, IF(B60=1,Inventario1!C:C,IF(B60=2,Inventario2!C:C,IF(B60=3,Inventario3!C:C,IF(B60=4,Inventario4!C:C,IF(B60=5,Inventario5!C:C,Inventario6!C:C))))),
    _xlpm.invStats, IF(B60=1,Inventario1!D:H,IF(B60=2,Inventario2!D:H,IF(B60=3,Inventario3!D:H,IF(B60=4,Inventario4!D:H,IF(B60=5,Inventario5!D:H,Inventario6!D:H))))),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IF(ROW(A60)=2,"",IF(_xlfn._xlws.FILTER(Equipar!AC$2:AC59,Equipar!B$2:B59=B60)={0},"",_xlfn._xlws.FILTER(Equipar!AC$2:AC59,Equipar!B$2:B59=B60))),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I60" s="4" cm="1">
        <f t="array" ref="I60">_xlfn.LET(
    _xlpm.jugador, A60,
    _xlpm.idSel, AC60,
    _xlpm.invIDs, IF(B60=1,Inventario1!A:A,IF(B60=2,Inventario2!A:A,IF(B60=3,Inventario3!A:A,IF(B60=4,Inventario4!A:A,IF(B60=5,Inventario5!A:A,Inventario6!A:A))))),
    _xlpm.invCalidad, IF(B60=1,Inventario1!B:B,IF(B60=2,Inventario2!B:B,IF(B60=3,Inventario3!B:B,IF(B60=4,Inventario4!B:B,IF(B60=5,Inventario5!B:B,Inventario6!B:B))))),
    _xlpm.invTipos, IF(B60=1,Inventario1!C:C,IF(B60=2,Inventario2!C:C,IF(B60=3,Inventario3!C:C,IF(B60=4,Inventario4!C:C,IF(B60=5,Inventario5!C:C,Inventario6!C:C))))),
    _xlpm.invStats, IF(B60=1,Inventario1!D:H,IF(B60=2,Inventario2!D:H,IF(B60=3,Inventario3!D:H,IF(B60=4,Inventario4!D:H,IF(B60=5,Inventario5!D:H,Inventario6!D:H))))),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IF(ROW(A60)=2,"",IF(_xlfn._xlws.FILTER(Equipar!AC$2:AC59,Equipar!B$2:B59=B60)={0},"",_xlfn._xlws.FILTER(Equipar!AC$2:AC59,Equipar!B$2:B59=B60))),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60" s="4" cm="1">
        <f t="array" aca="1" ref="J60" ca="1">_xlfn.LET(
    _xlpm.jugador, B60,
    _xlpm.idSel, AD60,
    _xlpm.invIDs, IF(C60=1,Inventario1!B:B,IF(C60=2,Inventario2!B:B,IF(C60=3,Inventario3!B:B,IF(C60=4,Inventario4!B:B,IF(C60=5,Inventario5!B:B,Inventario6!B:B))))),
    _xlpm.invCalidad, IF(C60=1,Inventario1!C:C,IF(C60=2,Inventario2!C:C,IF(C60=3,Inventario3!C:C,IF(C60=4,Inventario4!C:C,IF(C60=5,Inventario5!C:C,Inventario6!C:C))))),
    _xlpm.invTipos, IF(C60=1,Inventario1!D:D,IF(C60=2,Inventario2!D:D,IF(C60=3,Inventario3!D:D,IF(C60=4,Inventario4!D:D,IF(C60=5,Inventario5!D:D,Inventario6!D:D))))),
    _xlpm.invStats, IF(C60=1,Inventario1!E:I,IF(C60=2,Inventario2!E:I,IF(C60=3,Inventario3!E:I,IF(C60=4,Inventario4!E:I,IF(C60=5,Inventario5!E:I,Inventario6!E:I))))),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IF(ROW(B60)=2,"",IF(_xlfn._xlws.FILTER(Equipar!AD$2:AD59,Equipar!C$2:C59=C60)={0},"",_xlfn._xlws.FILTER(Equipar!AD$2:AD59,Equipar!C$2:C59=C60))),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60" s="4">
        <f t="shared" ca="1" si="0"/>
        <v>14.760000000000005</v>
      </c>
      <c r="L60" s="4">
        <f t="shared" ca="1" si="1"/>
        <v>95.76</v>
      </c>
      <c r="M60" s="4">
        <f t="shared" ca="1" si="1"/>
        <v>81</v>
      </c>
      <c r="N60" s="4">
        <f t="shared" si="2"/>
        <v>81</v>
      </c>
      <c r="O60" s="4">
        <f t="shared" ca="1" si="2"/>
        <v>0</v>
      </c>
      <c r="P60" s="14" cm="1">
        <f t="array" aca="1" ref="P60" ca="1">_xlfn.LET(
    _xlpm.ptsPrinBase, _xlfn._xlws.FILTER(G:G, A:A=A60),
    _xlpm.ptsSecBase,  _xlfn._xlws.FILTER(H:H, A:A=A60),
    _xlpm.puntosPrin, _xlpm.ptsPrinBase + _xlfn._xlws.FILTER(B:B, A:A=A60)/1000,
    _xlpm.puntosSec,  _xlpm.ptsSecBase  + _xlfn._xlws.FILTER(B:B, A:A=A60)/1000,
    _xlpm.puntosPrinValidos, SUM(--(_xlpm.ptsPrinBase&gt;0)),
    _xlpm.puntosSecValidos,  SUM(--(_xlpm.ptsSecBase&gt;0)),
    _xlpm.clave, K60 + B60/1000,
    _xlpm.claves, _xlfn._xlws.FILTER(K:K + B:B/1000, A:A=A60),
    IF(AND(_xlpm.puntosPrinValidos&gt;=4,_xlpm.puntosSecValidos&gt;=2),IF(
        SUM(--(_xlpm.claves &gt; _xlpm.clave)) &lt; 4,
        C60,
        D60
    ),"No disp")
)</f>
        <v>323</v>
      </c>
      <c r="Q60" s="14" t="str" cm="1">
        <f t="array" aca="1" ref="Q60" ca="1">_xlfn.LET(
    _xlpm.puntosPrin, _xlfn._xlws.FILTER(G:G + B:B/1000, A:A=A60),
    _xlpm.puntosPrinValidos, SUM(--(_xlpm.puntosPrin&gt;1)),
    _xlpm.puntosTer, _xlfn._xlws.FILTER(I:I + B:B/1000, A:A=A60),
    _xlpm.puntosTerValidos, SUM(--(_xlpm.puntosTer&gt;1)),
    _xlpm.clave, L60 + B60/1000,
    _xlpm.claves, _xlfn._xlws.FILTER(L:L + B:B/1000, A:A=A60),
    IF(AND(_xlpm.puntosPrinValidos&gt;=4,_xlpm.puntosTerValidos&gt;=2),IF(
        SUM(--(_xlpm.claves &gt; _xlpm.clave)) &lt; 4,
        C60,
        E60
    ),"No disp")
)</f>
        <v>No disp</v>
      </c>
      <c r="R60" s="14" t="str" cm="1">
        <f t="array" aca="1" ref="R60" ca="1">_xlfn.LET(
    _xlpm.puntosPrin, _xlfn._xlws.FILTER(G:G + B:B/1000, A:A=A60),
    _xlpm.puntosPrinValidos, SUM(--(_xlpm.puntosPrin&gt;1)),
    _xlpm.puntosTer, _xlfn._xlws.FILTER(J:J + B:B/1000, A:A=A60),
    _xlpm.puntosTerValidos, SUM(--(_xlpm.puntosTer&gt;1)),
    _xlpm.clave, M60 + B60/1000,
    _xlpm.claves, _xlfn._xlws.FILTER(M:M + B:B/1000, A:A=A60),
    IF(AND(_xlpm.puntosPrinValidos&gt;=4,_xlpm.puntosTerValidos&gt;=2),IF(
        SUM(--(_xlpm.claves &gt; _xlpm.clave)) &lt; 4,
        C60,
        F60
    ),"No disp")
)</f>
        <v>No disp</v>
      </c>
      <c r="S60" s="14" cm="1">
        <f t="array" aca="1" ref="S60" ca="1">_xlfn.LET(
    _xlpm.ptsPrinBase, _xlfn._xlws.FILTER(G:G, A:A=A60),
    _xlpm.ptsSecBase,  _xlfn._xlws.FILTER(H:H, A:A=A60),
    _xlpm.puntosPrin, _xlpm.ptsPrinBase + _xlfn._xlws.FILTER(B:B, A:A=A60)/1000,
    _xlpm.puntosSec,  _xlpm.ptsSecBase  + _xlfn._xlws.FILTER(B:B, A:A=A60)/1000,
    _xlpm.puntosPrinValidos, SUM(--(_xlpm.ptsPrinBase&gt;0)),
    _xlpm.puntosSecValidos,  SUM(--(_xlpm.ptsSecBase&gt;0)),
    _xlpm.clave, K60 + B60/1000,
    _xlpm.claves, _xlfn._xlws.FILTER(K:K + B:B/1000, A:A=A60),
    IF(
        AND(_xlpm.puntosPrinValidos&gt;=2, _xlpm.puntosSecValidos&gt;=4),
        IF(
            SUM(--(_xlpm.claves &lt; _xlpm.clave)) &lt; 4,
            D60,
            C60
        ),
        "No disp"
    )
)</f>
        <v>323</v>
      </c>
      <c r="T60" s="14" t="str" cm="1">
        <f t="array" aca="1" ref="T60" ca="1">_xlfn.LET(
    _xlpm.puntosSec, _xlfn._xlws.FILTER(H:H + B:B/1000, A:A=A60),
    _xlpm.puntosSecValidos, SUM(--(_xlpm.puntosSec&gt;1)),
    _xlpm.puntosAlt, _xlfn._xlws.FILTER(I:I + B:B/1000, A:A=A60),
    _xlpm.puntosAltValidos, SUM(--(_xlpm.puntosAlt&gt;1)),
    _xlpm.clave, N60 + B60/1000,
    _xlpm.claves, _xlfn._xlws.FILTER(N:N + B:B/1000, A:A=A60),
    IF(AND(_xlpm.puntosSecValidos&gt;=4,_xlpm.puntosAltValidos&gt;=2),IF(
        SUM(--(_xlpm.claves &gt; _xlpm.clave)) &lt; 4,
        D60,
        E60
    ),"No disp")
)</f>
        <v>No disp</v>
      </c>
      <c r="U60" s="14" t="str" cm="1">
        <f t="array" aca="1" ref="U60" ca="1">_xlfn.LET(
    _xlpm.puntosSec, _xlfn._xlws.FILTER(H:H + B:B/1000, A:A=A60),
    _xlpm.puntosSecValidos, SUM(--(_xlpm.puntosSec&gt;1)),
    _xlpm.puntosAlt, _xlfn._xlws.FILTER(J:J + B:B/1000, A:A=A60),
    _xlpm.puntosAltValidos, SUM(--(_xlpm.puntosAlt&gt;1)),
    _xlpm.clave, O60 + B60/1000,
    _xlpm.claves, _xlfn._xlws.FILTER(O:O + B:B/1000, A:A=A60),
    IF(AND(_xlpm.puntosSecValidos&gt;=4,_xlpm.puntosAltValidos&gt;=2),IF(
        SUM(--(_xlpm.claves &gt; _xlpm.clave)) &lt; 4,
        D60,
        F60
    ),"No disp")
)</f>
        <v>No disp</v>
      </c>
      <c r="V60" s="4" cm="1">
        <f t="array" aca="1" ref="V60" ca="1">_xlfn.LET(
_xlpm.PrinIDs,_xlfn._xlws.FILTER(C:C,(A:A=A60)),
_xlpm.SecIDs,_xlfn._xlws.FILTER(D:D,(A:A=A60)),
_xlpm.TerIDs,_xlfn._xlws.FILTER(E:E,A:A=A60),
_xlpm.CuaIDs,_xlfn._xlws.FILTER(F:F,(A:A=A60)),
_xlpm.PrinPts,_xlfn._xlws.FILTER(G:G,(A:A=A60)),
_xlpm.SecPts,_xlfn._xlws.FILTER(H:H,(A:A=A60)),
_xlpm.TerPts,_xlfn._xlws.FILTER(I:I,(A:A=A60)),
_xlpm.CuaPts,_xlfn._xlws.FILTER(J:J,(A:A=A60)),
_xlpm.PSIds,_xlfn._xlws.FILTER(P:P,A:A=A60),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464.49</v>
      </c>
      <c r="W60" s="4" cm="1">
        <f t="array" aca="1" ref="W60" ca="1">_xlfn.LET(
_xlpm.PrinIDs,_xlfn._xlws.FILTER(C:C,(A:A=A60)),
_xlpm.SecIDs,_xlfn._xlws.FILTER(D:D,(A:A=A60)),
_xlpm.TerIDs,_xlfn._xlws.FILTER(E:E,A:A=A60),
_xlpm.CuaIDs,_xlfn._xlws.FILTER(F:F,(A:A=A60)),
_xlpm.PrinPts,_xlfn._xlws.FILTER(G:G,(A:A=A60)),
_xlpm.SecPts,_xlfn._xlws.FILTER(H:H,(A:A=A60)),
_xlpm.TerPts,_xlfn._xlws.FILTER(I:I,(A:A=A60)),
_xlpm.CuaPts,_xlfn._xlws.FILTER(J:J,(A:A=A60)),
_xlpm.PTIds,_xlfn._xlws.FILTER(Q:Q,A:A=A60),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60" s="4" cm="1">
        <f t="array" aca="1" ref="X60" ca="1">_xlfn.LET(
_xlpm.PrinIDs,_xlfn._xlws.FILTER(C:C,(A:A=A60)),
_xlpm.SecIDs,_xlfn._xlws.FILTER(D:D,(A:A=A60)),
_xlpm.TerIDs,_xlfn._xlws.FILTER(E:E,A:A=A60),
_xlpm.CuaIDs,_xlfn._xlws.FILTER(F:F,(A:A=A60)),
_xlpm.PrinPts,_xlfn._xlws.FILTER(G:G,(A:A=A60)),
_xlpm.SecPts,_xlfn._xlws.FILTER(H:H,(A:A=A60)),
_xlpm.TerPts,_xlfn._xlws.FILTER(I:I,(A:A=A60)),
_xlpm.CuaPts,_xlfn._xlws.FILTER(J:J,(A:A=A60)),
_xlpm.PCIds,_xlfn._xlws.FILTER(R:R,A:A=A60),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60" s="4" cm="1">
        <f t="array" aca="1" ref="Y60" ca="1">_xlfn.LET(
_xlpm.PrinIDs,_xlfn._xlws.FILTER(C:C,(A:A=A60)),
_xlpm.SecIDs,_xlfn._xlws.FILTER(D:D,(A:A=A60)),
_xlpm.AltIDs,_xlfn._xlws.FILTER(E:E,A:A=A60),
_xlpm.PrinPts,_xlfn._xlws.FILTER(G:G,(A:A=A60)),
_xlpm.SecPts,_xlfn._xlws.FILTER(H:H,(A:A=A60)),
_xlpm.AltPts,_xlfn._xlws.FILTER(I:I,(A:A=A60)),
_xlpm.SPIds,_xlfn._xlws.FILTER(S:S,A:A=A60),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464.31</v>
      </c>
      <c r="Z60" s="4" cm="1">
        <f t="array" aca="1" ref="Z60" ca="1">_xlfn.LET(
_xlpm.PrinIDs,_xlfn._xlws.FILTER(C:C,(A:A=A60)),
_xlpm.SecIDs,_xlfn._xlws.FILTER(D:D,(A:A=A60)),
_xlpm.TerIDs,_xlfn._xlws.FILTER(E:E,A:A=A60),
_xlpm.CuaIDs,_xlfn._xlws.FILTER(F:F,(A:A=A60)),
_xlpm.PrinPts,_xlfn._xlws.FILTER(G:G,(A:A=A60)),
_xlpm.SecPts,_xlfn._xlws.FILTER(H:H,(A:A=A60)),
_xlpm.TerPts,_xlfn._xlws.FILTER(I:I,(A:A=A60)),
_xlpm.CuaPts,_xlfn._xlws.FILTER(J:J,(A:A=A60)),
_xlpm.STIds,_xlfn._xlws.FILTER(T:T,A:A=A60),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60" s="4" cm="1">
        <f t="array" aca="1" ref="AA60" ca="1">_xlfn.LET(
_xlpm.PrinIDs,_xlfn._xlws.FILTER(C:C,(A:A=A60)),
_xlpm.SecIDs,_xlfn._xlws.FILTER(D:D,(A:A=A60)),
_xlpm.TerIDs,_xlfn._xlws.FILTER(E:E,A:A=A60),
_xlpm.CuaIDs,_xlfn._xlws.FILTER(F:F,(A:A=A60)),
_xlpm.PrinPts,_xlfn._xlws.FILTER(G:G,(A:A=A60)),
_xlpm.SecPts,_xlfn._xlws.FILTER(H:H,(A:A=A60)),
_xlpm.TerPts,_xlfn._xlws.FILTER(I:I,(A:A=A60)),
_xlpm.CuaPts,_xlfn._xlws.FILTER(J:J,(A:A=A60)),
_xlpm.SCIds,_xlfn._xlws.FILTER(U:U,A:A=A60),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60" s="14">
        <f t="shared" ca="1" si="3"/>
        <v>323</v>
      </c>
      <c r="AC60" s="14">
        <v>323</v>
      </c>
      <c r="AD60" s="4"/>
      <c r="AE60" s="14" t="str">
        <f ca="1">IF(ISNUMBER(AC60),
IF($B60=1,VLOOKUP($AC60,Inventario1!$A:$H,2),
IF($B60=2,VLOOKUP($AC60,Inventario2!$A:$H,2),
IF($B60=3,VLOOKUP($AC60,Inventario3!$A:$H,2),
IF($B60=4,VLOOKUP($AC60,Inventario4!$A:$H,2),
IF($B60=5,VLOOKUP($AC60,Inventario5!$A:$H,2),
VLOOKUP($AC60,Inventario6!$A:$H,2)
))))),"No equipado")</f>
        <v>Legendario</v>
      </c>
      <c r="AF60" s="14" t="str">
        <f ca="1">IF(ISNUMBER(AC60),
IF($B60=1,VLOOKUP($AC60,Inventario1!$A:$H,3),
IF($B60=2,VLOOKUP($AC60,Inventario2!$A:$H,3),
IF($B60=3,VLOOKUP($AC60,Inventario3!$A:$H,3),
IF($B60=4,VLOOKUP($AC60,Inventario4!$A:$H,3),
IF($B60=5,VLOOKUP($AC60,Inventario5!$A:$H,3),
VLOOKUP($AC60,Inventario6!$A:$H,3)
))))),"")</f>
        <v>Recepción de asistencia</v>
      </c>
      <c r="AG60" s="14" t="str">
        <f ca="1">IF(ISNUMBER(AC60),
IF($B60=1,VLOOKUP($AC60,Inventario1!$A:$H,4),
IF($B60=2,VLOOKUP($AC60,Inventario2!$A:$H,4),
IF($B60=3,VLOOKUP($AC60,Inventario3!$A:$H,4),
IF($B60=4,VLOOKUP($AC60,Inventario4!$A:$H,4),
IF($B60=5,VLOOKUP($AC60,Inventario5!$A:$H,4),
VLOOKUP($AC60,Inventario6!$A:$H,4)
))))),"")</f>
        <v>Recepción</v>
      </c>
      <c r="AH60" s="14" t="str">
        <f ca="1">IF(ISNUMBER(AC60),
IF($B60=1,VLOOKUP($AC60,Inventario1!$A:$H,5),
IF($B60=2,VLOOKUP($AC60,Inventario2!$A:$H,5),
IF($B60=3,VLOOKUP($AC60,Inventario3!$A:$H,5),
IF($B60=4,VLOOKUP($AC60,Inventario4!$A:$H,5),
IF($B60=5,VLOOKUP($AC60,Inventario5!$A:$H,5),
VLOOKUP($AC60,Inventario6!$A:$H,5)
))))),"")</f>
        <v>Recuperación</v>
      </c>
      <c r="AI60" s="14" t="str">
        <f ca="1">IF(ISNUMBER(AC60),
IF($B60=1,VLOOKUP($AC60,Inventario1!$A:$H,6),
IF($B60=2,VLOOKUP($AC60,Inventario2!$A:$H,6),
IF($B60=3,VLOOKUP($AC60,Inventario3!$A:$H,6),
IF($B60=4,VLOOKUP($AC60,Inventario4!$A:$H,6),
IF($B60=5,VLOOKUP($AC60,Inventario5!$A:$H,6),
VLOOKUP($AC60,Inventario6!$A:$H,6)
))))),"")</f>
        <v>Saque</v>
      </c>
      <c r="AJ60" s="14" t="str">
        <f ca="1">IF(ISNUMBER(AC60),
IF($B60=1,VLOOKUP($AC60,Inventario1!$A:$H,7),
IF($B60=2,VLOOKUP($AC60,Inventario2!$A:$H,7),
IF($B60=3,VLOOKUP($AC60,Inventario3!$A:$H,7),
IF($B60=4,VLOOKUP($AC60,Inventario4!$A:$H,7),
IF($B60=5,VLOOKUP($AC60,Inventario5!$A:$H,7),
VLOOKUP($AC60,Inventario6!$A:$H,7)
))))),"")</f>
        <v>Reflejos</v>
      </c>
      <c r="AK60" s="15">
        <f ca="1">IF(ISNUMBER(AC60),
IF($B60=1,VLOOKUP($AC60,Inventario1!$A:$H,8),
IF($B60=2,VLOOKUP($AC60,Inventario2!$A:$H,8),
IF($B60=3,VLOOKUP($AC60,Inventario3!$A:$H,8),
IF($B60=4,VLOOKUP($AC60,Inventario4!$A:$H,8),
IF($B60=5,VLOOKUP($AC60,Inventario5!$A:$H,8),
VLOOKUP($AC60,Inventario6!$A:$H,8)
))))),"")</f>
        <v>0</v>
      </c>
    </row>
    <row r="61" spans="1:37" ht="15.75" thickBot="1" x14ac:dyDescent="0.3">
      <c r="A61" s="22" t="s">
        <v>18</v>
      </c>
      <c r="B61" s="17">
        <v>6</v>
      </c>
      <c r="C61" s="18" cm="1">
        <f t="array" aca="1" ref="C61" ca="1">_xlfn.LET(
    _xlpm.jugador, A61,
    _xlpm.idSel, AC61,
    _xlpm.invIDs, IF(B61=1,Inventario1!A:A,IF(B61=2,Inventario2!A:A,IF(B61=3,Inventario3!A:A,IF(B61=4,Inventario4!A:A,IF(B61=5,Inventario5!A:A,Inventario6!A:A))))),
    _xlpm.invCalidad, IF(B61=1,Inventario1!B:B,IF(B61=2,Inventario2!B:B,IF(B61=3,Inventario3!B:B,IF(B61=4,Inventario4!B:B,IF(B61=5,Inventario5!B:B,Inventario6!B:B))))),
    _xlpm.invTipos, IF(B61=1,Inventario1!C:C,IF(B61=2,Inventario2!C:C,IF(B61=3,Inventario3!C:C,IF(B61=4,Inventario4!C:C,IF(B61=5,Inventario5!C:C,Inventario6!C:C))))),
    _xlpm.invStats, IF(B61=1,Inventario1!D:H,IF(B61=2,Inventario2!D:H,IF(B61=3,Inventario3!D:H,IF(B61=4,Inventario4!D:H,IF(B61=5,Inventario5!D:H,Inventario6!D:H))))),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IF(ROW(A61)=2,"",IF(_xlfn._xlws.FILTER(Equipar!AC$2:AC60,Equipar!B$2:B60=B61)={0},"",_xlfn._xlws.FILTER(Equipar!AC$2:AC60,Equipar!B$2:B60=B61))),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152</v>
      </c>
      <c r="D61" s="17" cm="1">
        <f t="array" ref="D61">_xlfn.LET(
    _xlpm.jugador, A61,
    _xlpm.idSel, AC61,
    _xlpm.invIDs, IF(B61=1,Inventario1!A:A,IF(B61=2,Inventario2!A:A,IF(B61=3,Inventario3!A:A,IF(B61=4,Inventario4!A:A,IF(B61=5,Inventario5!A:A,Inventario6!A:A))))),
    _xlpm.invCalidad, IF(B61=1,Inventario1!B:B,IF(B61=2,Inventario2!B:B,IF(B61=3,Inventario3!B:B,IF(B61=4,Inventario4!B:B,IF(B61=5,Inventario5!B:B,Inventario6!B:B))))),
    _xlpm.invTipos, IF(B61=1,Inventario1!C:C,IF(B61=2,Inventario2!C:C,IF(B61=3,Inventario3!C:C,IF(B61=4,Inventario4!C:C,IF(B61=5,Inventario5!C:C,Inventario6!C:C))))),
    _xlpm.invStats, IF(B61=1,Inventario1!D:H,IF(B61=2,Inventario2!D:H,IF(B61=3,Inventario3!D:H,IF(B61=4,Inventario4!D:H,IF(B61=5,Inventario5!D:H,Inventario6!D:H))))),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IF(ROW(A61)=2,"",IF(_xlfn._xlws.FILTER(Equipar!AC$2:AC60,Equipar!B$2:B60=B61)={0},"",_xlfn._xlws.FILTER(Equipar!AC$2:AC60,Equipar!B$2:B60=B61))),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235</v>
      </c>
      <c r="E61" s="17" t="str" cm="1">
        <f t="array" ref="E61">_xlfn.LET(
    _xlpm.jugador, A61,
    _xlpm.idSel, AC61,
    _xlpm.invIDs, IF(B61=1,Inventario1!A:A,IF(B61=2,Inventario2!A:A,IF(B61=3,Inventario3!A:A,IF(B61=4,Inventario4!A:A,IF(B61=5,Inventario5!A:A,Inventario6!A:A))))),
    _xlpm.invCalidad, IF(B61=1,Inventario1!B:B,IF(B61=2,Inventario2!B:B,IF(B61=3,Inventario3!B:B,IF(B61=4,Inventario4!B:B,IF(B61=5,Inventario5!B:B,Inventario6!B:B))))),
    _xlpm.invTipos, IF(B61=1,Inventario1!C:C,IF(B61=2,Inventario2!C:C,IF(B61=3,Inventario3!C:C,IF(B61=4,Inventario4!C:C,IF(B61=5,Inventario5!C:C,Inventario6!C:C))))),
    _xlpm.invStats, IF(B61=1,Inventario1!D:H,IF(B61=2,Inventario2!D:H,IF(B61=3,Inventario3!D:H,IF(B61=4,Inventario4!D:H,IF(B61=5,Inventario5!D:H,Inventario6!D:H))))),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IF(ROW(A61)=2,"",IF(_xlfn._xlws.FILTER(Equipar!AC$2:AC60,Equipar!B$2:B60=B61)={0},"",_xlfn._xlws.FILTER(Equipar!AC$2:AC60,Equipar!B$2:B60=B61))),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61" s="17" t="str" cm="1">
        <f t="array" aca="1" ref="F61" ca="1">_xlfn.LET(
    _xlpm.jugador, B61,
    _xlpm.idSel, AD61,
    _xlpm.invIDs, IF(C61=1,Inventario1!B:B,IF(C61=2,Inventario2!B:B,IF(C61=3,Inventario3!B:B,IF(C61=4,Inventario4!B:B,IF(C61=5,Inventario5!B:B,Inventario6!B:B))))),
    _xlpm.invCalidad, IF(C61=1,Inventario1!C:C,IF(C61=2,Inventario2!C:C,IF(C61=3,Inventario3!C:C,IF(C61=4,Inventario4!C:C,IF(C61=5,Inventario5!C:C,Inventario6!C:C))))),
    _xlpm.invTipos, IF(C61=1,Inventario1!D:D,IF(C61=2,Inventario2!D:D,IF(C61=3,Inventario3!D:D,IF(C61=4,Inventario4!D:D,IF(C61=5,Inventario5!D:D,Inventario6!D:D))))),
    _xlpm.invStats, IF(C61=1,Inventario1!E:I,IF(C61=2,Inventario2!E:I,IF(C61=3,Inventario3!E:I,IF(C61=4,Inventario4!E:I,IF(C61=5,Inventario5!E:I,Inventario6!E:I))))),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IF(ROW(B61)=2,"",IF(_xlfn._xlws.FILTER(Equipar!AD$2:AD60,Equipar!C$2:C60=C61)={0},"",_xlfn._xlws.FILTER(Equipar!AD$2:AD60,Equipar!C$2:C60=C61))),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61" s="18" cm="1">
        <f t="array" aca="1" ref="G61" ca="1">_xlfn.LET(
    _xlpm.jugador, A61,
    _xlpm.idSel, AC61,
    _xlpm.invIDs, IF(B61=1,Inventario1!A:A,IF(B61=2,Inventario2!A:A,IF(B61=3,Inventario3!A:A,IF(B61=4,Inventario4!A:A,IF(B61=5,Inventario5!A:A,Inventario6!A:A))))),
    _xlpm.invCalidad, IF(B61=1,Inventario1!B:B,IF(B61=2,Inventario2!B:B,IF(B61=3,Inventario3!B:B,IF(B61=4,Inventario4!B:B,IF(B61=5,Inventario5!B:B,Inventario6!B:B))))),
    _xlpm.invTipos, IF(B61=1,Inventario1!C:C,IF(B61=2,Inventario2!C:C,IF(B61=3,Inventario3!C:C,IF(B61=4,Inventario4!C:C,IF(B61=5,Inventario5!C:C,Inventario6!C:C))))),
    _xlpm.invStats, IF(B61=1,Inventario1!D:H,IF(B61=2,Inventario2!D:H,IF(B61=3,Inventario3!D:H,IF(B61=4,Inventario4!D:H,IF(B61=5,Inventario5!D:H,Inventario6!D:H))))),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IF(ROW(A61)=2,"",IF(_xlfn._xlws.FILTER(Equipar!AC$2:AC60,Equipar!B$2:B60=B61)={0},"",_xlfn._xlws.FILTER(Equipar!AC$2:AC60,Equipar!B$2:B60=B61))),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H61" s="17" cm="1">
        <f t="array" ref="H61">_xlfn.LET(
    _xlpm.jugador, A61,
    _xlpm.idSel, AC61,
    _xlpm.invIDs, IF(B61=1,Inventario1!A:A,IF(B61=2,Inventario2!A:A,IF(B61=3,Inventario3!A:A,IF(B61=4,Inventario4!A:A,IF(B61=5,Inventario5!A:A,Inventario6!A:A))))),
    _xlpm.invCalidad, IF(B61=1,Inventario1!B:B,IF(B61=2,Inventario2!B:B,IF(B61=3,Inventario3!B:B,IF(B61=4,Inventario4!B:B,IF(B61=5,Inventario5!B:B,Inventario6!B:B))))),
    _xlpm.invTipos, IF(B61=1,Inventario1!C:C,IF(B61=2,Inventario2!C:C,IF(B61=3,Inventario3!C:C,IF(B61=4,Inventario4!C:C,IF(B61=5,Inventario5!C:C,Inventario6!C:C))))),
    _xlpm.invStats, IF(B61=1,Inventario1!D:H,IF(B61=2,Inventario2!D:H,IF(B61=3,Inventario3!D:H,IF(B61=4,Inventario4!D:H,IF(B61=5,Inventario5!D:H,Inventario6!D:H))))),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IF(ROW(A61)=2,"",IF(_xlfn._xlws.FILTER(Equipar!AC$2:AC60,Equipar!B$2:B60=B61)={0},"",_xlfn._xlws.FILTER(Equipar!AC$2:AC60,Equipar!B$2:B60=B61))),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I61" s="17" cm="1">
        <f t="array" ref="I61">_xlfn.LET(
    _xlpm.jugador, A61,
    _xlpm.idSel, AC61,
    _xlpm.invIDs, IF(B61=1,Inventario1!A:A,IF(B61=2,Inventario2!A:A,IF(B61=3,Inventario3!A:A,IF(B61=4,Inventario4!A:A,IF(B61=5,Inventario5!A:A,Inventario6!A:A))))),
    _xlpm.invCalidad, IF(B61=1,Inventario1!B:B,IF(B61=2,Inventario2!B:B,IF(B61=3,Inventario3!B:B,IF(B61=4,Inventario4!B:B,IF(B61=5,Inventario5!B:B,Inventario6!B:B))))),
    _xlpm.invTipos, IF(B61=1,Inventario1!C:C,IF(B61=2,Inventario2!C:C,IF(B61=3,Inventario3!C:C,IF(B61=4,Inventario4!C:C,IF(B61=5,Inventario5!C:C,Inventario6!C:C))))),
    _xlpm.invStats, IF(B61=1,Inventario1!D:H,IF(B61=2,Inventario2!D:H,IF(B61=3,Inventario3!D:H,IF(B61=4,Inventario4!D:H,IF(B61=5,Inventario5!D:H,Inventario6!D:H))))),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IF(ROW(A61)=2,"",IF(_xlfn._xlws.FILTER(Equipar!AC$2:AC60,Equipar!B$2:B60=B61)={0},"",_xlfn._xlws.FILTER(Equipar!AC$2:AC60,Equipar!B$2:B60=B61))),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61" s="17" cm="1">
        <f t="array" aca="1" ref="J61" ca="1">_xlfn.LET(
    _xlpm.jugador, B61,
    _xlpm.idSel, AD61,
    _xlpm.invIDs, IF(C61=1,Inventario1!B:B,IF(C61=2,Inventario2!B:B,IF(C61=3,Inventario3!B:B,IF(C61=4,Inventario4!B:B,IF(C61=5,Inventario5!B:B,Inventario6!B:B))))),
    _xlpm.invCalidad, IF(C61=1,Inventario1!C:C,IF(C61=2,Inventario2!C:C,IF(C61=3,Inventario3!C:C,IF(C61=4,Inventario4!C:C,IF(C61=5,Inventario5!C:C,Inventario6!C:C))))),
    _xlpm.invTipos, IF(C61=1,Inventario1!D:D,IF(C61=2,Inventario2!D:D,IF(C61=3,Inventario3!D:D,IF(C61=4,Inventario4!D:D,IF(C61=5,Inventario5!D:D,Inventario6!D:D))))),
    _xlpm.invStats, IF(C61=1,Inventario1!E:I,IF(C61=2,Inventario2!E:I,IF(C61=3,Inventario3!E:I,IF(C61=4,Inventario4!E:I,IF(C61=5,Inventario5!E:I,Inventario6!E:I))))),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IF(ROW(B61)=2,"",IF(_xlfn._xlws.FILTER(Equipar!AD$2:AD60,Equipar!C$2:C60=C61)={0},"",_xlfn._xlws.FILTER(Equipar!AD$2:AD60,Equipar!C$2:C60=C61))),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61" s="17">
        <f t="shared" ca="1" si="0"/>
        <v>-53.730000000000004</v>
      </c>
      <c r="L61" s="17">
        <f t="shared" ca="1" si="1"/>
        <v>54</v>
      </c>
      <c r="M61" s="17">
        <f t="shared" ca="1" si="1"/>
        <v>107.73</v>
      </c>
      <c r="N61" s="17">
        <f t="shared" si="2"/>
        <v>107.73</v>
      </c>
      <c r="O61" s="17">
        <f t="shared" ca="1" si="2"/>
        <v>0</v>
      </c>
      <c r="P61" s="18" cm="1">
        <f t="array" aca="1" ref="P61" ca="1">_xlfn.LET(
    _xlpm.ptsPrinBase, _xlfn._xlws.FILTER(G:G, A:A=A61),
    _xlpm.ptsSecBase,  _xlfn._xlws.FILTER(H:H, A:A=A61),
    _xlpm.puntosPrin, _xlpm.ptsPrinBase + _xlfn._xlws.FILTER(B:B, A:A=A61)/1000,
    _xlpm.puntosSec,  _xlpm.ptsSecBase  + _xlfn._xlws.FILTER(B:B, A:A=A61)/1000,
    _xlpm.puntosPrinValidos, SUM(--(_xlpm.ptsPrinBase&gt;0)),
    _xlpm.puntosSecValidos,  SUM(--(_xlpm.ptsSecBase&gt;0)),
    _xlpm.clave, K61 + B61/1000,
    _xlpm.claves, _xlfn._xlws.FILTER(K:K + B:B/1000, A:A=A61),
    IF(AND(_xlpm.puntosPrinValidos&gt;=4,_xlpm.puntosSecValidos&gt;=2),IF(
        SUM(--(_xlpm.claves &gt; _xlpm.clave)) &lt; 4,
        C61,
        D61
    ),"No disp")
)</f>
        <v>235</v>
      </c>
      <c r="Q61" s="18" t="str" cm="1">
        <f t="array" aca="1" ref="Q61" ca="1">_xlfn.LET(
    _xlpm.puntosPrin, _xlfn._xlws.FILTER(G:G + B:B/1000, A:A=A61),
    _xlpm.puntosPrinValidos, SUM(--(_xlpm.puntosPrin&gt;1)),
    _xlpm.puntosTer, _xlfn._xlws.FILTER(I:I + B:B/1000, A:A=A61),
    _xlpm.puntosTerValidos, SUM(--(_xlpm.puntosTer&gt;1)),
    _xlpm.clave, L61 + B61/1000,
    _xlpm.claves, _xlfn._xlws.FILTER(L:L + B:B/1000, A:A=A61),
    IF(AND(_xlpm.puntosPrinValidos&gt;=4,_xlpm.puntosTerValidos&gt;=2),IF(
        SUM(--(_xlpm.claves &gt; _xlpm.clave)) &lt; 4,
        C61,
        E61
    ),"No disp")
)</f>
        <v>No disp</v>
      </c>
      <c r="R61" s="18" t="str" cm="1">
        <f t="array" aca="1" ref="R61" ca="1">_xlfn.LET(
    _xlpm.puntosPrin, _xlfn._xlws.FILTER(G:G + B:B/1000, A:A=A61),
    _xlpm.puntosPrinValidos, SUM(--(_xlpm.puntosPrin&gt;1)),
    _xlpm.puntosTer, _xlfn._xlws.FILTER(J:J + B:B/1000, A:A=A61),
    _xlpm.puntosTerValidos, SUM(--(_xlpm.puntosTer&gt;1)),
    _xlpm.clave, M61 + B61/1000,
    _xlpm.claves, _xlfn._xlws.FILTER(M:M + B:B/1000, A:A=A61),
    IF(AND(_xlpm.puntosPrinValidos&gt;=4,_xlpm.puntosTerValidos&gt;=2),IF(
        SUM(--(_xlpm.claves &gt; _xlpm.clave)) &lt; 4,
        C61,
        F61
    ),"No disp")
)</f>
        <v>No disp</v>
      </c>
      <c r="S61" s="18" cm="1">
        <f t="array" aca="1" ref="S61" ca="1">_xlfn.LET(
    _xlpm.ptsPrinBase, _xlfn._xlws.FILTER(G:G, A:A=A61),
    _xlpm.ptsSecBase,  _xlfn._xlws.FILTER(H:H, A:A=A61),
    _xlpm.puntosPrin, _xlpm.ptsPrinBase + _xlfn._xlws.FILTER(B:B, A:A=A61)/1000,
    _xlpm.puntosSec,  _xlpm.ptsSecBase  + _xlfn._xlws.FILTER(B:B, A:A=A61)/1000,
    _xlpm.puntosPrinValidos, SUM(--(_xlpm.ptsPrinBase&gt;0)),
    _xlpm.puntosSecValidos,  SUM(--(_xlpm.ptsSecBase&gt;0)),
    _xlpm.clave, K61 + B61/1000,
    _xlpm.claves, _xlfn._xlws.FILTER(K:K + B:B/1000, A:A=A61),
    IF(
        AND(_xlpm.puntosPrinValidos&gt;=2, _xlpm.puntosSecValidos&gt;=4),
        IF(
            SUM(--(_xlpm.claves &lt; _xlpm.clave)) &lt; 4,
            D61,
            C61
        ),
        "No disp"
    )
)</f>
        <v>235</v>
      </c>
      <c r="T61" s="18" t="str" cm="1">
        <f t="array" aca="1" ref="T61" ca="1">_xlfn.LET(
    _xlpm.puntosSec, _xlfn._xlws.FILTER(H:H + B:B/1000, A:A=A61),
    _xlpm.puntosSecValidos, SUM(--(_xlpm.puntosSec&gt;1)),
    _xlpm.puntosAlt, _xlfn._xlws.FILTER(I:I + B:B/1000, A:A=A61),
    _xlpm.puntosAltValidos, SUM(--(_xlpm.puntosAlt&gt;1)),
    _xlpm.clave, N61 + B61/1000,
    _xlpm.claves, _xlfn._xlws.FILTER(N:N + B:B/1000, A:A=A61),
    IF(AND(_xlpm.puntosSecValidos&gt;=4,_xlpm.puntosAltValidos&gt;=2),IF(
        SUM(--(_xlpm.claves &gt; _xlpm.clave)) &lt; 4,
        D61,
        E61
    ),"No disp")
)</f>
        <v>No disp</v>
      </c>
      <c r="U61" s="18" t="str" cm="1">
        <f t="array" aca="1" ref="U61" ca="1">_xlfn.LET(
    _xlpm.puntosSec, _xlfn._xlws.FILTER(H:H + B:B/1000, A:A=A61),
    _xlpm.puntosSecValidos, SUM(--(_xlpm.puntosSec&gt;1)),
    _xlpm.puntosAlt, _xlfn._xlws.FILTER(J:J + B:B/1000, A:A=A61),
    _xlpm.puntosAltValidos, SUM(--(_xlpm.puntosAlt&gt;1)),
    _xlpm.clave, O61 + B61/1000,
    _xlpm.claves, _xlfn._xlws.FILTER(O:O + B:B/1000, A:A=A61),
    IF(AND(_xlpm.puntosSecValidos&gt;=4,_xlpm.puntosAltValidos&gt;=2),IF(
        SUM(--(_xlpm.claves &gt; _xlpm.clave)) &lt; 4,
        D61,
        F61
    ),"No disp")
)</f>
        <v>No disp</v>
      </c>
      <c r="V61" s="17" cm="1">
        <f t="array" aca="1" ref="V61" ca="1">_xlfn.LET(
_xlpm.PrinIDs,_xlfn._xlws.FILTER(C:C,(A:A=A61)),
_xlpm.SecIDs,_xlfn._xlws.FILTER(D:D,(A:A=A61)),
_xlpm.TerIDs,_xlfn._xlws.FILTER(E:E,A:A=A61),
_xlpm.CuaIDs,_xlfn._xlws.FILTER(F:F,(A:A=A61)),
_xlpm.PrinPts,_xlfn._xlws.FILTER(G:G,(A:A=A61)),
_xlpm.SecPts,_xlfn._xlws.FILTER(H:H,(A:A=A61)),
_xlpm.TerPts,_xlfn._xlws.FILTER(I:I,(A:A=A61)),
_xlpm.CuaPts,_xlfn._xlws.FILTER(J:J,(A:A=A61)),
_xlpm.PSIds,_xlfn._xlws.FILTER(P:P,A:A=A61),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464.49</v>
      </c>
      <c r="W61" s="17" cm="1">
        <f t="array" aca="1" ref="W61" ca="1">_xlfn.LET(
_xlpm.PrinIDs,_xlfn._xlws.FILTER(C:C,(A:A=A61)),
_xlpm.SecIDs,_xlfn._xlws.FILTER(D:D,(A:A=A61)),
_xlpm.TerIDs,_xlfn._xlws.FILTER(E:E,A:A=A61),
_xlpm.CuaIDs,_xlfn._xlws.FILTER(F:F,(A:A=A61)),
_xlpm.PrinPts,_xlfn._xlws.FILTER(G:G,(A:A=A61)),
_xlpm.SecPts,_xlfn._xlws.FILTER(H:H,(A:A=A61)),
_xlpm.TerPts,_xlfn._xlws.FILTER(I:I,(A:A=A61)),
_xlpm.CuaPts,_xlfn._xlws.FILTER(J:J,(A:A=A61)),
_xlpm.PTIds,_xlfn._xlws.FILTER(Q:Q,A:A=A61),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61" s="17" cm="1">
        <f t="array" aca="1" ref="X61" ca="1">_xlfn.LET(
_xlpm.PrinIDs,_xlfn._xlws.FILTER(C:C,(A:A=A61)),
_xlpm.SecIDs,_xlfn._xlws.FILTER(D:D,(A:A=A61)),
_xlpm.TerIDs,_xlfn._xlws.FILTER(E:E,A:A=A61),
_xlpm.CuaIDs,_xlfn._xlws.FILTER(F:F,(A:A=A61)),
_xlpm.PrinPts,_xlfn._xlws.FILTER(G:G,(A:A=A61)),
_xlpm.SecPts,_xlfn._xlws.FILTER(H:H,(A:A=A61)),
_xlpm.TerPts,_xlfn._xlws.FILTER(I:I,(A:A=A61)),
_xlpm.CuaPts,_xlfn._xlws.FILTER(J:J,(A:A=A61)),
_xlpm.PCIds,_xlfn._xlws.FILTER(R:R,A:A=A61),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61" s="17" cm="1">
        <f t="array" aca="1" ref="Y61" ca="1">_xlfn.LET(
_xlpm.PrinIDs,_xlfn._xlws.FILTER(C:C,(A:A=A61)),
_xlpm.SecIDs,_xlfn._xlws.FILTER(D:D,(A:A=A61)),
_xlpm.AltIDs,_xlfn._xlws.FILTER(E:E,A:A=A61),
_xlpm.PrinPts,_xlfn._xlws.FILTER(G:G,(A:A=A61)),
_xlpm.SecPts,_xlfn._xlws.FILTER(H:H,(A:A=A61)),
_xlpm.AltPts,_xlfn._xlws.FILTER(I:I,(A:A=A61)),
_xlpm.SPIds,_xlfn._xlws.FILTER(S:S,A:A=A61),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464.31</v>
      </c>
      <c r="Z61" s="17" cm="1">
        <f t="array" aca="1" ref="Z61" ca="1">_xlfn.LET(
_xlpm.PrinIDs,_xlfn._xlws.FILTER(C:C,(A:A=A61)),
_xlpm.SecIDs,_xlfn._xlws.FILTER(D:D,(A:A=A61)),
_xlpm.TerIDs,_xlfn._xlws.FILTER(E:E,A:A=A61),
_xlpm.CuaIDs,_xlfn._xlws.FILTER(F:F,(A:A=A61)),
_xlpm.PrinPts,_xlfn._xlws.FILTER(G:G,(A:A=A61)),
_xlpm.SecPts,_xlfn._xlws.FILTER(H:H,(A:A=A61)),
_xlpm.TerPts,_xlfn._xlws.FILTER(I:I,(A:A=A61)),
_xlpm.CuaPts,_xlfn._xlws.FILTER(J:J,(A:A=A61)),
_xlpm.STIds,_xlfn._xlws.FILTER(T:T,A:A=A61),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61" s="17" cm="1">
        <f t="array" aca="1" ref="AA61" ca="1">_xlfn.LET(
_xlpm.PrinIDs,_xlfn._xlws.FILTER(C:C,(A:A=A61)),
_xlpm.SecIDs,_xlfn._xlws.FILTER(D:D,(A:A=A61)),
_xlpm.TerIDs,_xlfn._xlws.FILTER(E:E,A:A=A61),
_xlpm.CuaIDs,_xlfn._xlws.FILTER(F:F,(A:A=A61)),
_xlpm.PrinPts,_xlfn._xlws.FILTER(G:G,(A:A=A61)),
_xlpm.SecPts,_xlfn._xlws.FILTER(H:H,(A:A=A61)),
_xlpm.TerPts,_xlfn._xlws.FILTER(I:I,(A:A=A61)),
_xlpm.CuaPts,_xlfn._xlws.FILTER(J:J,(A:A=A61)),
_xlpm.SCIds,_xlfn._xlws.FILTER(U:U,A:A=A61),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61" s="18">
        <f t="shared" ca="1" si="3"/>
        <v>235</v>
      </c>
      <c r="AC61" s="18">
        <v>235</v>
      </c>
      <c r="AD61" s="17"/>
      <c r="AE61" s="18" t="str">
        <f ca="1">IF(ISNUMBER(AC61),
IF($B61=1,VLOOKUP($AC61,Inventario1!$A:$H,2),
IF($B61=2,VLOOKUP($AC61,Inventario2!$A:$H,2),
IF($B61=3,VLOOKUP($AC61,Inventario3!$A:$H,2),
IF($B61=4,VLOOKUP($AC61,Inventario4!$A:$H,2),
IF($B61=5,VLOOKUP($AC61,Inventario5!$A:$H,2),
VLOOKUP($AC61,Inventario6!$A:$H,2)
))))),"No equipado")</f>
        <v>Legendario</v>
      </c>
      <c r="AF61" s="18" t="str">
        <f ca="1">IF(ISNUMBER(AC61),
IF($B61=1,VLOOKUP($AC61,Inventario1!$A:$H,3),
IF($B61=2,VLOOKUP($AC61,Inventario2!$A:$H,3),
IF($B61=3,VLOOKUP($AC61,Inventario3!$A:$H,3),
IF($B61=4,VLOOKUP($AC61,Inventario4!$A:$H,3),
IF($B61=5,VLOOKUP($AC61,Inventario5!$A:$H,3),
VLOOKUP($AC61,Inventario6!$A:$H,3)
))))),"")</f>
        <v>Recepción suprema</v>
      </c>
      <c r="AG61" s="18" t="str">
        <f ca="1">IF(ISNUMBER(AC61),
IF($B61=1,VLOOKUP($AC61,Inventario1!$A:$H,4),
IF($B61=2,VLOOKUP($AC61,Inventario2!$A:$H,4),
IF($B61=3,VLOOKUP($AC61,Inventario3!$A:$H,4),
IF($B61=4,VLOOKUP($AC61,Inventario4!$A:$H,4),
IF($B61=5,VLOOKUP($AC61,Inventario5!$A:$H,4),
VLOOKUP($AC61,Inventario6!$A:$H,4)
))))),"")</f>
        <v>Saque</v>
      </c>
      <c r="AH61" s="18" t="str">
        <f ca="1">IF(ISNUMBER(AC61),
IF($B61=1,VLOOKUP($AC61,Inventario1!$A:$H,5),
IF($B61=2,VLOOKUP($AC61,Inventario2!$A:$H,5),
IF($B61=3,VLOOKUP($AC61,Inventario3!$A:$H,5),
IF($B61=4,VLOOKUP($AC61,Inventario4!$A:$H,5),
IF($B61=5,VLOOKUP($AC61,Inventario5!$A:$H,5),
VLOOKUP($AC61,Inventario6!$A:$H,5)
))))),"")</f>
        <v>Recuperación</v>
      </c>
      <c r="AI61" s="18" t="str">
        <f ca="1">IF(ISNUMBER(AC61),
IF($B61=1,VLOOKUP($AC61,Inventario1!$A:$H,6),
IF($B61=2,VLOOKUP($AC61,Inventario2!$A:$H,6),
IF($B61=3,VLOOKUP($AC61,Inventario3!$A:$H,6),
IF($B61=4,VLOOKUP($AC61,Inventario4!$A:$H,6),
IF($B61=5,VLOOKUP($AC61,Inventario5!$A:$H,6),
VLOOKUP($AC61,Inventario6!$A:$H,6)
))))),"")</f>
        <v>Recepción</v>
      </c>
      <c r="AJ61" s="18" t="str">
        <f ca="1">IF(ISNUMBER(AC61),
IF($B61=1,VLOOKUP($AC61,Inventario1!$A:$H,7),
IF($B61=2,VLOOKUP($AC61,Inventario2!$A:$H,7),
IF($B61=3,VLOOKUP($AC61,Inventario3!$A:$H,7),
IF($B61=4,VLOOKUP($AC61,Inventario4!$A:$H,7),
IF($B61=5,VLOOKUP($AC61,Inventario5!$A:$H,7),
VLOOKUP($AC61,Inventario6!$A:$H,7)
))))),"")</f>
        <v>Recepción</v>
      </c>
      <c r="AK61" s="19">
        <f ca="1">IF(ISNUMBER(AC61),
IF($B61=1,VLOOKUP($AC61,Inventario1!$A:$H,8),
IF($B61=2,VLOOKUP($AC61,Inventario2!$A:$H,8),
IF($B61=3,VLOOKUP($AC61,Inventario3!$A:$H,8),
IF($B61=4,VLOOKUP($AC61,Inventario4!$A:$H,8),
IF($B61=5,VLOOKUP($AC61,Inventario5!$A:$H,8),
VLOOKUP($AC61,Inventario6!$A:$H,8)
))))),"")</f>
        <v>0</v>
      </c>
    </row>
    <row r="62" spans="1:37" x14ac:dyDescent="0.25">
      <c r="A62" s="20" t="s">
        <v>20</v>
      </c>
      <c r="B62" s="9">
        <v>1</v>
      </c>
      <c r="C62" s="10" cm="1">
        <f t="array" aca="1" ref="C62" ca="1">_xlfn.LET(
    _xlpm.jugador, A62,
    _xlpm.idSel, AC62,
    _xlpm.invIDs, IF(B62=1,Inventario1!A:A,IF(B62=2,Inventario2!A:A,IF(B62=3,Inventario3!A:A,IF(B62=4,Inventario4!A:A,IF(B62=5,Inventario5!A:A,Inventario6!A:A))))),
    _xlpm.invCalidad, IF(B62=1,Inventario1!B:B,IF(B62=2,Inventario2!B:B,IF(B62=3,Inventario3!B:B,IF(B62=4,Inventario4!B:B,IF(B62=5,Inventario5!B:B,Inventario6!B:B))))),
    _xlpm.invTipos, IF(B62=1,Inventario1!C:C,IF(B62=2,Inventario2!C:C,IF(B62=3,Inventario3!C:C,IF(B62=4,Inventario4!C:C,IF(B62=5,Inventario5!C:C,Inventario6!C:C))))),
    _xlpm.invStats, IF(B62=1,Inventario1!D:H,IF(B62=2,Inventario2!D:H,IF(B62=3,Inventario3!D:H,IF(B62=4,Inventario4!D:H,IF(B62=5,Inventario5!D:H,Inventario6!D:H))))),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IF(ROW(A62)=2,"",IF(_xlfn._xlws.FILTER(Equipar!AC$2:AC61,Equipar!B$2:B61=B62)={0},"",_xlfn._xlws.FILTER(Equipar!AC$2:AC61,Equipar!B$2:B61=B62))),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81</v>
      </c>
      <c r="D62" s="11" cm="1">
        <f t="array" aca="1" ref="D62" ca="1">_xlfn.LET(
    _xlpm.jugador, A62,
    _xlpm.idSel, AC62,
    _xlpm.invIDs, IF(B62=1,Inventario1!A:A,IF(B62=2,Inventario2!A:A,IF(B62=3,Inventario3!A:A,IF(B62=4,Inventario4!A:A,IF(B62=5,Inventario5!A:A,Inventario6!A:A))))),
    _xlpm.invCalidad, IF(B62=1,Inventario1!B:B,IF(B62=2,Inventario2!B:B,IF(B62=3,Inventario3!B:B,IF(B62=4,Inventario4!B:B,IF(B62=5,Inventario5!B:B,Inventario6!B:B))))),
    _xlpm.invTipos, IF(B62=1,Inventario1!C:C,IF(B62=2,Inventario2!C:C,IF(B62=3,Inventario3!C:C,IF(B62=4,Inventario4!C:C,IF(B62=5,Inventario5!C:C,Inventario6!C:C))))),
    _xlpm.invStats, IF(B62=1,Inventario1!D:H,IF(B62=2,Inventario2!D:H,IF(B62=3,Inventario3!D:H,IF(B62=4,Inventario4!D:H,IF(B62=5,Inventario5!D:H,Inventario6!D:H))))),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IF(ROW(A62)=2,"",IF(_xlfn._xlws.FILTER(Equipar!AC$2:AC61,Equipar!B$2:B61=B62)={0},"",_xlfn._xlws.FILTER(Equipar!AC$2:AC61,Equipar!B$2:B61=B62))),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</v>
      </c>
      <c r="E62" s="11" cm="1">
        <f t="array" ref="E62">_xlfn.LET(
    _xlpm.jugador, A62,
    _xlpm.idSel, AC62,
    _xlpm.invIDs, IF(B62=1,Inventario1!A:A,IF(B62=2,Inventario2!A:A,IF(B62=3,Inventario3!A:A,IF(B62=4,Inventario4!A:A,IF(B62=5,Inventario5!A:A,Inventario6!A:A))))),
    _xlpm.invCalidad, IF(B62=1,Inventario1!B:B,IF(B62=2,Inventario2!B:B,IF(B62=3,Inventario3!B:B,IF(B62=4,Inventario4!B:B,IF(B62=5,Inventario5!B:B,Inventario6!B:B))))),
    _xlpm.invTipos, IF(B62=1,Inventario1!C:C,IF(B62=2,Inventario2!C:C,IF(B62=3,Inventario3!C:C,IF(B62=4,Inventario4!C:C,IF(B62=5,Inventario5!C:C,Inventario6!C:C))))),
    _xlpm.invStats, IF(B62=1,Inventario1!D:H,IF(B62=2,Inventario2!D:H,IF(B62=3,Inventario3!D:H,IF(B62=4,Inventario4!D:H,IF(B62=5,Inventario5!D:H,Inventario6!D:H))))),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IF(ROW(A62)=2,"",IF(_xlfn._xlws.FILTER(Equipar!AC$2:AC61,Equipar!B$2:B61=B62)={0},"",_xlfn._xlws.FILTER(Equipar!AC$2:AC61,Equipar!B$2:B61=B62))),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26</v>
      </c>
      <c r="F62" s="11" t="str" cm="1">
        <f t="array" aca="1" ref="F62" ca="1">_xlfn.LET(
    _xlpm.jugador, B62,
    _xlpm.idSel, AD62,
    _xlpm.invIDs, IF(C62=1,Inventario1!B:B,IF(C62=2,Inventario2!B:B,IF(C62=3,Inventario3!B:B,IF(C62=4,Inventario4!B:B,IF(C62=5,Inventario5!B:B,Inventario6!B:B))))),
    _xlpm.invCalidad, IF(C62=1,Inventario1!C:C,IF(C62=2,Inventario2!C:C,IF(C62=3,Inventario3!C:C,IF(C62=4,Inventario4!C:C,IF(C62=5,Inventario5!C:C,Inventario6!C:C))))),
    _xlpm.invTipos, IF(C62=1,Inventario1!D:D,IF(C62=2,Inventario2!D:D,IF(C62=3,Inventario3!D:D,IF(C62=4,Inventario4!D:D,IF(C62=5,Inventario5!D:D,Inventario6!D:D))))),
    _xlpm.invStats, IF(C62=1,Inventario1!E:I,IF(C62=2,Inventario2!E:I,IF(C62=3,Inventario3!E:I,IF(C62=4,Inventario4!E:I,IF(C62=5,Inventario5!E:I,Inventario6!E:I))))),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IF(ROW(B62)=2,"",IF(_xlfn._xlws.FILTER(Equipar!AD$2:AD61,Equipar!C$2:C61=C62)={0},"",_xlfn._xlws.FILTER(Equipar!AD$2:AD61,Equipar!C$2:C61=C62))),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62" s="10" cm="1">
        <f t="array" aca="1" ref="G62" ca="1">_xlfn.LET(
    _xlpm.jugador, A62,
    _xlpm.idSel, AC62,
    _xlpm.invIDs, IF(B62=1,Inventario1!A:A,IF(B62=2,Inventario2!A:A,IF(B62=3,Inventario3!A:A,IF(B62=4,Inventario4!A:A,IF(B62=5,Inventario5!A:A,Inventario6!A:A))))),
    _xlpm.invCalidad, IF(B62=1,Inventario1!B:B,IF(B62=2,Inventario2!B:B,IF(B62=3,Inventario3!B:B,IF(B62=4,Inventario4!B:B,IF(B62=5,Inventario5!B:B,Inventario6!B:B))))),
    _xlpm.invTipos, IF(B62=1,Inventario1!C:C,IF(B62=2,Inventario2!C:C,IF(B62=3,Inventario3!C:C,IF(B62=4,Inventario4!C:C,IF(B62=5,Inventario5!C:C,Inventario6!C:C))))),
    _xlpm.invStats, IF(B62=1,Inventario1!D:H,IF(B62=2,Inventario2!D:H,IF(B62=3,Inventario3!D:H,IF(B62=4,Inventario4!D:H,IF(B62=5,Inventario5!D:H,Inventario6!D:H))))),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IF(ROW(A62)=2,"",IF(_xlfn._xlws.FILTER(Equipar!AC$2:AC61,Equipar!B$2:B61=B62)={0},"",_xlfn._xlws.FILTER(Equipar!AC$2:AC61,Equipar!B$2:B61=B62))),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H62" s="11" cm="1">
        <f t="array" aca="1" ref="H62" ca="1">_xlfn.LET(
    _xlpm.jugador, A62,
    _xlpm.idSel, AC62,
    _xlpm.invIDs, IF(B62=1,Inventario1!A:A,IF(B62=2,Inventario2!A:A,IF(B62=3,Inventario3!A:A,IF(B62=4,Inventario4!A:A,IF(B62=5,Inventario5!A:A,Inventario6!A:A))))),
    _xlpm.invCalidad, IF(B62=1,Inventario1!B:B,IF(B62=2,Inventario2!B:B,IF(B62=3,Inventario3!B:B,IF(B62=4,Inventario4!B:B,IF(B62=5,Inventario5!B:B,Inventario6!B:B))))),
    _xlpm.invTipos, IF(B62=1,Inventario1!C:C,IF(B62=2,Inventario2!C:C,IF(B62=3,Inventario3!C:C,IF(B62=4,Inventario4!C:C,IF(B62=5,Inventario5!C:C,Inventario6!C:C))))),
    _xlpm.invStats, IF(B62=1,Inventario1!D:H,IF(B62=2,Inventario2!D:H,IF(B62=3,Inventario3!D:H,IF(B62=4,Inventario4!D:H,IF(B62=5,Inventario5!D:H,Inventario6!D:H))))),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IF(ROW(A62)=2,"",IF(_xlfn._xlws.FILTER(Equipar!AC$2:AC61,Equipar!B$2:B61=B62)={0},"",_xlfn._xlws.FILTER(Equipar!AC$2:AC61,Equipar!B$2:B61=B62))),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I62" s="11" cm="1">
        <f t="array" ref="I62">_xlfn.LET(
    _xlpm.jugador, A62,
    _xlpm.idSel, AC62,
    _xlpm.invIDs, IF(B62=1,Inventario1!A:A,IF(B62=2,Inventario2!A:A,IF(B62=3,Inventario3!A:A,IF(B62=4,Inventario4!A:A,IF(B62=5,Inventario5!A:A,Inventario6!A:A))))),
    _xlpm.invCalidad, IF(B62=1,Inventario1!B:B,IF(B62=2,Inventario2!B:B,IF(B62=3,Inventario3!B:B,IF(B62=4,Inventario4!B:B,IF(B62=5,Inventario5!B:B,Inventario6!B:B))))),
    _xlpm.invTipos, IF(B62=1,Inventario1!C:C,IF(B62=2,Inventario2!C:C,IF(B62=3,Inventario3!C:C,IF(B62=4,Inventario4!C:C,IF(B62=5,Inventario5!C:C,Inventario6!C:C))))),
    _xlpm.invStats, IF(B62=1,Inventario1!D:H,IF(B62=2,Inventario2!D:H,IF(B62=3,Inventario3!D:H,IF(B62=4,Inventario4!D:H,IF(B62=5,Inventario5!D:H,Inventario6!D:H))))),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IF(ROW(A62)=2,"",IF(_xlfn._xlws.FILTER(Equipar!AC$2:AC61,Equipar!B$2:B61=B62)={0},"",_xlfn._xlws.FILTER(Equipar!AC$2:AC61,Equipar!B$2:B61=B62))),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J62" s="11" cm="1">
        <f t="array" aca="1" ref="J62" ca="1">_xlfn.LET(
    _xlpm.jugador, B62,
    _xlpm.idSel, AD62,
    _xlpm.invIDs, IF(C62=1,Inventario1!B:B,IF(C62=2,Inventario2!B:B,IF(C62=3,Inventario3!B:B,IF(C62=4,Inventario4!B:B,IF(C62=5,Inventario5!B:B,Inventario6!B:B))))),
    _xlpm.invCalidad, IF(C62=1,Inventario1!C:C,IF(C62=2,Inventario2!C:C,IF(C62=3,Inventario3!C:C,IF(C62=4,Inventario4!C:C,IF(C62=5,Inventario5!C:C,Inventario6!C:C))))),
    _xlpm.invTipos, IF(C62=1,Inventario1!D:D,IF(C62=2,Inventario2!D:D,IF(C62=3,Inventario3!D:D,IF(C62=4,Inventario4!D:D,IF(C62=5,Inventario5!D:D,Inventario6!D:D))))),
    _xlpm.invStats, IF(C62=1,Inventario1!E:I,IF(C62=2,Inventario2!E:I,IF(C62=3,Inventario3!E:I,IF(C62=4,Inventario4!E:I,IF(C62=5,Inventario5!E:I,Inventario6!E:I))))),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IF(ROW(B62)=2,"",IF(_xlfn._xlws.FILTER(Equipar!AD$2:AD61,Equipar!C$2:C61=C62)={0},"",_xlfn._xlws.FILTER(Equipar!AD$2:AD61,Equipar!C$2:C61=C62))),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62" s="11">
        <f t="shared" ca="1" si="0"/>
        <v>-23.939999999999998</v>
      </c>
      <c r="L62" s="11">
        <f t="shared" ca="1" si="1"/>
        <v>-11.969999999999999</v>
      </c>
      <c r="M62" s="11">
        <f t="shared" ca="1" si="1"/>
        <v>119.7</v>
      </c>
      <c r="N62" s="11">
        <f t="shared" ca="1" si="2"/>
        <v>11.969999999999999</v>
      </c>
      <c r="O62" s="11">
        <f t="shared" ca="1" si="2"/>
        <v>107.73</v>
      </c>
      <c r="P62" s="10" cm="1">
        <f t="array" aca="1" ref="P62" ca="1">_xlfn.LET(
    _xlpm.ptsPrinBase, _xlfn._xlws.FILTER(G:G, A:A=A62),
    _xlpm.ptsSecBase,  _xlfn._xlws.FILTER(H:H, A:A=A62),
    _xlpm.puntosPrin, _xlpm.ptsPrinBase + _xlfn._xlws.FILTER(B:B, A:A=A62)/1000,
    _xlpm.puntosSec,  _xlpm.ptsSecBase  + _xlfn._xlws.FILTER(B:B, A:A=A62)/1000,
    _xlpm.puntosPrinValidos, SUM(--(_xlpm.ptsPrinBase&gt;0)),
    _xlpm.puntosSecValidos,  SUM(--(_xlpm.ptsSecBase&gt;0)),
    _xlpm.clave, K62 + B62/1000,
    _xlpm.claves, _xlfn._xlws.FILTER(K:K + B:B/1000, A:A=A62),
    IF(AND(_xlpm.puntosPrinValidos&gt;=4,_xlpm.puntosSecValidos&gt;=2),IF(
        SUM(--(_xlpm.claves &gt; _xlpm.clave)) &lt; 4,
        C62,
        D62
    ),"No disp")
)</f>
        <v>5</v>
      </c>
      <c r="Q62" s="10" cm="1">
        <f t="array" aca="1" ref="Q62" ca="1">_xlfn.LET(
    _xlpm.puntosPrin, _xlfn._xlws.FILTER(G:G + B:B/1000, A:A=A62),
    _xlpm.puntosPrinValidos, SUM(--(_xlpm.puntosPrin&gt;1)),
    _xlpm.puntosTer, _xlfn._xlws.FILTER(I:I + B:B/1000, A:A=A62),
    _xlpm.puntosTerValidos, SUM(--(_xlpm.puntosTer&gt;1)),
    _xlpm.clave, L62 + B62/1000,
    _xlpm.claves, _xlfn._xlws.FILTER(L:L + B:B/1000, A:A=A62),
    IF(AND(_xlpm.puntosPrinValidos&gt;=4,_xlpm.puntosTerValidos&gt;=2),IF(
        SUM(--(_xlpm.claves &gt; _xlpm.clave)) &lt; 4,
        C62,
        E62
    ),"No disp")
)</f>
        <v>81</v>
      </c>
      <c r="R62" s="10" t="str" cm="1">
        <f t="array" aca="1" ref="R62" ca="1">_xlfn.LET(
    _xlpm.puntosPrin, _xlfn._xlws.FILTER(G:G + B:B/1000, A:A=A62),
    _xlpm.puntosPrinValidos, SUM(--(_xlpm.puntosPrin&gt;1)),
    _xlpm.puntosTer, _xlfn._xlws.FILTER(J:J + B:B/1000, A:A=A62),
    _xlpm.puntosTerValidos, SUM(--(_xlpm.puntosTer&gt;1)),
    _xlpm.clave, M62 + B62/1000,
    _xlpm.claves, _xlfn._xlws.FILTER(M:M + B:B/1000, A:A=A62),
    IF(AND(_xlpm.puntosPrinValidos&gt;=4,_xlpm.puntosTerValidos&gt;=2),IF(
        SUM(--(_xlpm.claves &gt; _xlpm.clave)) &lt; 4,
        C62,
        F62
    ),"No disp")
)</f>
        <v>No disp</v>
      </c>
      <c r="S62" s="10" cm="1">
        <f t="array" aca="1" ref="S62" ca="1">_xlfn.LET(
    _xlpm.ptsPrinBase, _xlfn._xlws.FILTER(G:G, A:A=A62),
    _xlpm.ptsSecBase,  _xlfn._xlws.FILTER(H:H, A:A=A62),
    _xlpm.puntosPrin, _xlpm.ptsPrinBase + _xlfn._xlws.FILTER(B:B, A:A=A62)/1000,
    _xlpm.puntosSec,  _xlpm.ptsSecBase  + _xlfn._xlws.FILTER(B:B, A:A=A62)/1000,
    _xlpm.puntosPrinValidos, SUM(--(_xlpm.ptsPrinBase&gt;0)),
    _xlpm.puntosSecValidos,  SUM(--(_xlpm.ptsSecBase&gt;0)),
    _xlpm.clave, K62 + B62/1000,
    _xlpm.claves, _xlfn._xlws.FILTER(K:K + B:B/1000, A:A=A62),
    IF(
        AND(_xlpm.puntosPrinValidos&gt;=2, _xlpm.puntosSecValidos&gt;=4),
        IF(
            SUM(--(_xlpm.claves &lt; _xlpm.clave)) &lt; 4,
            D62,
            C62
        ),
        "No disp"
    )
)</f>
        <v>5</v>
      </c>
      <c r="T62" s="10" cm="1">
        <f t="array" aca="1" ref="T62" ca="1">_xlfn.LET(
    _xlpm.puntosSec, _xlfn._xlws.FILTER(H:H + B:B/1000, A:A=A62),
    _xlpm.puntosSecValidos, SUM(--(_xlpm.puntosSec&gt;1)),
    _xlpm.puntosAlt, _xlfn._xlws.FILTER(I:I + B:B/1000, A:A=A62),
    _xlpm.puntosAltValidos, SUM(--(_xlpm.puntosAlt&gt;1)),
    _xlpm.clave, N62 + B62/1000,
    _xlpm.claves, _xlfn._xlws.FILTER(N:N + B:B/1000, A:A=A62),
    IF(AND(_xlpm.puntosSecValidos&gt;=4,_xlpm.puntosAltValidos&gt;=2),IF(
        SUM(--(_xlpm.claves &gt; _xlpm.clave)) &lt; 4,
        D62,
        E62
    ),"No disp")
)</f>
        <v>5</v>
      </c>
      <c r="U62" s="10" t="str" cm="1">
        <f t="array" aca="1" ref="U62" ca="1">_xlfn.LET(
    _xlpm.puntosSec, _xlfn._xlws.FILTER(H:H + B:B/1000, A:A=A62),
    _xlpm.puntosSecValidos, SUM(--(_xlpm.puntosSec&gt;1)),
    _xlpm.puntosAlt, _xlfn._xlws.FILTER(J:J + B:B/1000, A:A=A62),
    _xlpm.puntosAltValidos, SUM(--(_xlpm.puntosAlt&gt;1)),
    _xlpm.clave, O62 + B62/1000,
    _xlpm.claves, _xlfn._xlws.FILTER(O:O + B:B/1000, A:A=A62),
    IF(AND(_xlpm.puntosSecValidos&gt;=4,_xlpm.puntosAltValidos&gt;=2),IF(
        SUM(--(_xlpm.claves &gt; _xlpm.clave)) &lt; 4,
        D62,
        F62
    ),"No disp")
)</f>
        <v>No disp</v>
      </c>
      <c r="V62" s="11" cm="1">
        <f t="array" aca="1" ref="V62" ca="1">_xlfn.LET(
_xlpm.PrinIDs,_xlfn._xlws.FILTER(C:C,(A:A=A62)),
_xlpm.SecIDs,_xlfn._xlws.FILTER(D:D,(A:A=A62)),
_xlpm.TerIDs,_xlfn._xlws.FILTER(E:E,A:A=A62),
_xlpm.CuaIDs,_xlfn._xlws.FILTER(F:F,(A:A=A62)),
_xlpm.PrinPts,_xlfn._xlws.FILTER(G:G,(A:A=A62)),
_xlpm.SecPts,_xlfn._xlws.FILTER(H:H,(A:A=A62)),
_xlpm.TerPts,_xlfn._xlws.FILTER(I:I,(A:A=A62)),
_xlpm.CuaPts,_xlfn._xlws.FILTER(J:J,(A:A=A62)),
_xlpm.PSIds,_xlfn._xlws.FILTER(P:P,A:A=A62),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544.77</v>
      </c>
      <c r="W62" s="11" cm="1">
        <f t="array" aca="1" ref="W62" ca="1">_xlfn.LET(
_xlpm.PrinIDs,_xlfn._xlws.FILTER(C:C,(A:A=A62)),
_xlpm.SecIDs,_xlfn._xlws.FILTER(D:D,(A:A=A62)),
_xlpm.TerIDs,_xlfn._xlws.FILTER(E:E,A:A=A62),
_xlpm.CuaIDs,_xlfn._xlws.FILTER(F:F,(A:A=A62)),
_xlpm.PrinPts,_xlfn._xlws.FILTER(G:G,(A:A=A62)),
_xlpm.SecPts,_xlfn._xlws.FILTER(H:H,(A:A=A62)),
_xlpm.TerPts,_xlfn._xlws.FILTER(I:I,(A:A=A62)),
_xlpm.CuaPts,_xlfn._xlws.FILTER(J:J,(A:A=A62)),
_xlpm.PTIds,_xlfn._xlws.FILTER(Q:Q,A:A=A62),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550.62</v>
      </c>
      <c r="X62" s="11" cm="1">
        <f t="array" aca="1" ref="X62" ca="1">_xlfn.LET(
_xlpm.PrinIDs,_xlfn._xlws.FILTER(C:C,(A:A=A62)),
_xlpm.SecIDs,_xlfn._xlws.FILTER(D:D,(A:A=A62)),
_xlpm.TerIDs,_xlfn._xlws.FILTER(E:E,A:A=A62),
_xlpm.CuaIDs,_xlfn._xlws.FILTER(F:F,(A:A=A62)),
_xlpm.PrinPts,_xlfn._xlws.FILTER(G:G,(A:A=A62)),
_xlpm.SecPts,_xlfn._xlws.FILTER(H:H,(A:A=A62)),
_xlpm.TerPts,_xlfn._xlws.FILTER(I:I,(A:A=A62)),
_xlpm.CuaPts,_xlfn._xlws.FILTER(J:J,(A:A=A62)),
_xlpm.PCIds,_xlfn._xlws.FILTER(R:R,A:A=A62),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62" s="11" cm="1">
        <f t="array" aca="1" ref="Y62" ca="1">_xlfn.LET(
_xlpm.PrinIDs,_xlfn._xlws.FILTER(C:C,(A:A=A62)),
_xlpm.SecIDs,_xlfn._xlws.FILTER(D:D,(A:A=A62)),
_xlpm.AltIDs,_xlfn._xlws.FILTER(E:E,A:A=A62),
_xlpm.PrinPts,_xlfn._xlws.FILTER(G:G,(A:A=A62)),
_xlpm.SecPts,_xlfn._xlws.FILTER(H:H,(A:A=A62)),
_xlpm.AltPts,_xlfn._xlws.FILTER(I:I,(A:A=A62)),
_xlpm.SPIds,_xlfn._xlws.FILTER(S:S,A:A=A62),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583.83000000000004</v>
      </c>
      <c r="Z62" s="11" cm="1">
        <f t="array" aca="1" ref="Z62" ca="1">_xlfn.LET(
_xlpm.PrinIDs,_xlfn._xlws.FILTER(C:C,(A:A=A62)),
_xlpm.SecIDs,_xlfn._xlws.FILTER(D:D,(A:A=A62)),
_xlpm.TerIDs,_xlfn._xlws.FILTER(E:E,A:A=A62),
_xlpm.CuaIDs,_xlfn._xlws.FILTER(F:F,(A:A=A62)),
_xlpm.PrinPts,_xlfn._xlws.FILTER(G:G,(A:A=A62)),
_xlpm.SecPts,_xlfn._xlws.FILTER(H:H,(A:A=A62)),
_xlpm.TerPts,_xlfn._xlws.FILTER(I:I,(A:A=A62)),
_xlpm.CuaPts,_xlfn._xlws.FILTER(J:J,(A:A=A62)),
_xlpm.STIds,_xlfn._xlws.FILTER(T:T,A:A=A62),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539.1</v>
      </c>
      <c r="AA62" s="11" cm="1">
        <f t="array" aca="1" ref="AA62" ca="1">_xlfn.LET(
_xlpm.PrinIDs,_xlfn._xlws.FILTER(C:C,(A:A=A62)),
_xlpm.SecIDs,_xlfn._xlws.FILTER(D:D,(A:A=A62)),
_xlpm.TerIDs,_xlfn._xlws.FILTER(E:E,A:A=A62),
_xlpm.CuaIDs,_xlfn._xlws.FILTER(F:F,(A:A=A62)),
_xlpm.PrinPts,_xlfn._xlws.FILTER(G:G,(A:A=A62)),
_xlpm.SecPts,_xlfn._xlws.FILTER(H:H,(A:A=A62)),
_xlpm.TerPts,_xlfn._xlws.FILTER(I:I,(A:A=A62)),
_xlpm.CuaPts,_xlfn._xlws.FILTER(J:J,(A:A=A62)),
_xlpm.SCIds,_xlfn._xlws.FILTER(U:U,A:A=A62),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62" s="10">
        <f t="shared" ca="1" si="3"/>
        <v>5</v>
      </c>
      <c r="AC62" s="10">
        <v>5</v>
      </c>
      <c r="AD62" s="11"/>
      <c r="AE62" s="10" t="str">
        <f ca="1">IF(ISNUMBER(AC62),
IF($B62=1,VLOOKUP($AC62,Inventario1!$A:$H,2),
IF($B62=2,VLOOKUP($AC62,Inventario2!$A:$H,2),
IF($B62=3,VLOOKUP($AC62,Inventario3!$A:$H,2),
IF($B62=4,VLOOKUP($AC62,Inventario4!$A:$H,2),
IF($B62=5,VLOOKUP($AC62,Inventario5!$A:$H,2),
VLOOKUP($AC62,Inventario6!$A:$H,2)
))))),"No equipado")</f>
        <v>Legendario</v>
      </c>
      <c r="AF62" s="10" t="str">
        <f ca="1">IF(ISNUMBER(AC62),
IF($B62=1,VLOOKUP($AC62,Inventario1!$A:$H,3),
IF($B62=2,VLOOKUP($AC62,Inventario2!$A:$H,3),
IF($B62=3,VLOOKUP($AC62,Inventario3!$A:$H,3),
IF($B62=4,VLOOKUP($AC62,Inventario4!$A:$H,3),
IF($B62=5,VLOOKUP($AC62,Inventario5!$A:$H,3),
VLOOKUP($AC62,Inventario6!$A:$H,3)
))))),"")</f>
        <v>Bloque preciso</v>
      </c>
      <c r="AG62" s="10" t="str">
        <f ca="1">IF(ISNUMBER(AC62),
IF($B62=1,VLOOKUP($AC62,Inventario1!$A:$H,4),
IF($B62=2,VLOOKUP($AC62,Inventario2!$A:$H,4),
IF($B62=3,VLOOKUP($AC62,Inventario3!$A:$H,4),
IF($B62=4,VLOOKUP($AC62,Inventario4!$A:$H,4),
IF($B62=5,VLOOKUP($AC62,Inventario5!$A:$H,4),
VLOOKUP($AC62,Inventario6!$A:$H,4)
))))),"")</f>
        <v>Bloqueo</v>
      </c>
      <c r="AH62" s="10" t="str">
        <f ca="1">IF(ISNUMBER(AC62),
IF($B62=1,VLOOKUP($AC62,Inventario1!$A:$H,5),
IF($B62=2,VLOOKUP($AC62,Inventario2!$A:$H,5),
IF($B62=3,VLOOKUP($AC62,Inventario3!$A:$H,5),
IF($B62=4,VLOOKUP($AC62,Inventario4!$A:$H,5),
IF($B62=5,VLOOKUP($AC62,Inventario5!$A:$H,5),
VLOOKUP($AC62,Inventario6!$A:$H,5)
))))),"")</f>
        <v>Bloqueo</v>
      </c>
      <c r="AI62" s="10" t="str">
        <f ca="1">IF(ISNUMBER(AC62),
IF($B62=1,VLOOKUP($AC62,Inventario1!$A:$H,6),
IF($B62=2,VLOOKUP($AC62,Inventario2!$A:$H,6),
IF($B62=3,VLOOKUP($AC62,Inventario3!$A:$H,6),
IF($B62=4,VLOOKUP($AC62,Inventario4!$A:$H,6),
IF($B62=5,VLOOKUP($AC62,Inventario5!$A:$H,6),
VLOOKUP($AC62,Inventario6!$A:$H,6)
))))),"")</f>
        <v>Colocación</v>
      </c>
      <c r="AJ62" s="10" t="str">
        <f ca="1">IF(ISNUMBER(AC62),
IF($B62=1,VLOOKUP($AC62,Inventario1!$A:$H,7),
IF($B62=2,VLOOKUP($AC62,Inventario2!$A:$H,7),
IF($B62=3,VLOOKUP($AC62,Inventario3!$A:$H,7),
IF($B62=4,VLOOKUP($AC62,Inventario4!$A:$H,7),
IF($B62=5,VLOOKUP($AC62,Inventario5!$A:$H,7),
VLOOKUP($AC62,Inventario6!$A:$H,7)
))))),"")</f>
        <v>Ataque rápido</v>
      </c>
      <c r="AK62" s="12" t="str">
        <f ca="1">IF(ISNUMBER(AC62),
IF($B62=1,VLOOKUP($AC62,Inventario1!$A:$H,8),
IF($B62=2,VLOOKUP($AC62,Inventario2!$A:$H,8),
IF($B62=3,VLOOKUP($AC62,Inventario3!$A:$H,8),
IF($B62=4,VLOOKUP($AC62,Inventario4!$A:$H,8),
IF($B62=5,VLOOKUP($AC62,Inventario5!$A:$H,8),
VLOOKUP($AC62,Inventario6!$A:$H,8)
))))),"")</f>
        <v>Ataque rápido</v>
      </c>
    </row>
    <row r="63" spans="1:37" x14ac:dyDescent="0.25">
      <c r="A63" s="21" t="s">
        <v>20</v>
      </c>
      <c r="B63" s="3">
        <v>2</v>
      </c>
      <c r="C63" s="14" cm="1">
        <f t="array" ref="C63">_xlfn.LET(
    _xlpm.jugador, A63,
    _xlpm.idSel, AC63,
    _xlpm.invIDs, IF(B63=1,Inventario1!A:A,IF(B63=2,Inventario2!A:A,IF(B63=3,Inventario3!A:A,IF(B63=4,Inventario4!A:A,IF(B63=5,Inventario5!A:A,Inventario6!A:A))))),
    _xlpm.invCalidad, IF(B63=1,Inventario1!B:B,IF(B63=2,Inventario2!B:B,IF(B63=3,Inventario3!B:B,IF(B63=4,Inventario4!B:B,IF(B63=5,Inventario5!B:B,Inventario6!B:B))))),
    _xlpm.invTipos, IF(B63=1,Inventario1!C:C,IF(B63=2,Inventario2!C:C,IF(B63=3,Inventario3!C:C,IF(B63=4,Inventario4!C:C,IF(B63=5,Inventario5!C:C,Inventario6!C:C))))),
    _xlpm.invStats, IF(B63=1,Inventario1!D:H,IF(B63=2,Inventario2!D:H,IF(B63=3,Inventario3!D:H,IF(B63=4,Inventario4!D:H,IF(B63=5,Inventario5!D:H,Inventario6!D:H))))),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IF(ROW(A63)=2,"",IF(_xlfn._xlws.FILTER(Equipar!AC$2:AC62,Equipar!B$2:B62=B63)={0},"",_xlfn._xlws.FILTER(Equipar!AC$2:AC62,Equipar!B$2:B62=B63))),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119</v>
      </c>
      <c r="D63" s="4" cm="1">
        <f t="array" aca="1" ref="D63" ca="1">_xlfn.LET(
    _xlpm.jugador, A63,
    _xlpm.idSel, AC63,
    _xlpm.invIDs, IF(B63=1,Inventario1!A:A,IF(B63=2,Inventario2!A:A,IF(B63=3,Inventario3!A:A,IF(B63=4,Inventario4!A:A,IF(B63=5,Inventario5!A:A,Inventario6!A:A))))),
    _xlpm.invCalidad, IF(B63=1,Inventario1!B:B,IF(B63=2,Inventario2!B:B,IF(B63=3,Inventario3!B:B,IF(B63=4,Inventario4!B:B,IF(B63=5,Inventario5!B:B,Inventario6!B:B))))),
    _xlpm.invTipos, IF(B63=1,Inventario1!C:C,IF(B63=2,Inventario2!C:C,IF(B63=3,Inventario3!C:C,IF(B63=4,Inventario4!C:C,IF(B63=5,Inventario5!C:C,Inventario6!C:C))))),
    _xlpm.invStats, IF(B63=1,Inventario1!D:H,IF(B63=2,Inventario2!D:H,IF(B63=3,Inventario3!D:H,IF(B63=4,Inventario4!D:H,IF(B63=5,Inventario5!D:H,Inventario6!D:H))))),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IF(ROW(A63)=2,"",IF(_xlfn._xlws.FILTER(Equipar!AC$2:AC62,Equipar!B$2:B62=B63)={0},"",_xlfn._xlws.FILTER(Equipar!AC$2:AC62,Equipar!B$2:B62=B63))),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48</v>
      </c>
      <c r="E63" s="4" cm="1">
        <f t="array" ref="E63">_xlfn.LET(
    _xlpm.jugador, A63,
    _xlpm.idSel, AC63,
    _xlpm.invIDs, IF(B63=1,Inventario1!A:A,IF(B63=2,Inventario2!A:A,IF(B63=3,Inventario3!A:A,IF(B63=4,Inventario4!A:A,IF(B63=5,Inventario5!A:A,Inventario6!A:A))))),
    _xlpm.invCalidad, IF(B63=1,Inventario1!B:B,IF(B63=2,Inventario2!B:B,IF(B63=3,Inventario3!B:B,IF(B63=4,Inventario4!B:B,IF(B63=5,Inventario5!B:B,Inventario6!B:B))))),
    _xlpm.invTipos, IF(B63=1,Inventario1!C:C,IF(B63=2,Inventario2!C:C,IF(B63=3,Inventario3!C:C,IF(B63=4,Inventario4!C:C,IF(B63=5,Inventario5!C:C,Inventario6!C:C))))),
    _xlpm.invStats, IF(B63=1,Inventario1!D:H,IF(B63=2,Inventario2!D:H,IF(B63=3,Inventario3!D:H,IF(B63=4,Inventario4!D:H,IF(B63=5,Inventario5!D:H,Inventario6!D:H))))),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IF(ROW(A63)=2,"",IF(_xlfn._xlws.FILTER(Equipar!AC$2:AC62,Equipar!B$2:B62=B63)={0},"",_xlfn._xlws.FILTER(Equipar!AC$2:AC62,Equipar!B$2:B62=B63))),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129</v>
      </c>
      <c r="F63" s="4" t="str" cm="1">
        <f t="array" aca="1" ref="F63" ca="1">_xlfn.LET(
    _xlpm.jugador, B63,
    _xlpm.idSel, AD63,
    _xlpm.invIDs, IF(C63=1,Inventario1!B:B,IF(C63=2,Inventario2!B:B,IF(C63=3,Inventario3!B:B,IF(C63=4,Inventario4!B:B,IF(C63=5,Inventario5!B:B,Inventario6!B:B))))),
    _xlpm.invCalidad, IF(C63=1,Inventario1!C:C,IF(C63=2,Inventario2!C:C,IF(C63=3,Inventario3!C:C,IF(C63=4,Inventario4!C:C,IF(C63=5,Inventario5!C:C,Inventario6!C:C))))),
    _xlpm.invTipos, IF(C63=1,Inventario1!D:D,IF(C63=2,Inventario2!D:D,IF(C63=3,Inventario3!D:D,IF(C63=4,Inventario4!D:D,IF(C63=5,Inventario5!D:D,Inventario6!D:D))))),
    _xlpm.invStats, IF(C63=1,Inventario1!E:I,IF(C63=2,Inventario2!E:I,IF(C63=3,Inventario3!E:I,IF(C63=4,Inventario4!E:I,IF(C63=5,Inventario5!E:I,Inventario6!E:I))))),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IF(ROW(B63)=2,"",IF(_xlfn._xlws.FILTER(Equipar!AD$2:AD62,Equipar!C$2:C62=C63)={0},"",_xlfn._xlws.FILTER(Equipar!AD$2:AD62,Equipar!C$2:C62=C63))),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63" s="14" cm="1">
        <f t="array" ref="G63">_xlfn.LET(
    _xlpm.jugador, A63,
    _xlpm.idSel, AC63,
    _xlpm.invIDs, IF(B63=1,Inventario1!A:A,IF(B63=2,Inventario2!A:A,IF(B63=3,Inventario3!A:A,IF(B63=4,Inventario4!A:A,IF(B63=5,Inventario5!A:A,Inventario6!A:A))))),
    _xlpm.invCalidad, IF(B63=1,Inventario1!B:B,IF(B63=2,Inventario2!B:B,IF(B63=3,Inventario3!B:B,IF(B63=4,Inventario4!B:B,IF(B63=5,Inventario5!B:B,Inventario6!B:B))))),
    _xlpm.invTipos, IF(B63=1,Inventario1!C:C,IF(B63=2,Inventario2!C:C,IF(B63=3,Inventario3!C:C,IF(B63=4,Inventario4!C:C,IF(B63=5,Inventario5!C:C,Inventario6!C:C))))),
    _xlpm.invStats, IF(B63=1,Inventario1!D:H,IF(B63=2,Inventario2!D:H,IF(B63=3,Inventario3!D:H,IF(B63=4,Inventario4!D:H,IF(B63=5,Inventario5!D:H,Inventario6!D:H))))),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IF(ROW(A63)=2,"",IF(_xlfn._xlws.FILTER(Equipar!AC$2:AC62,Equipar!B$2:B62=B63)={0},"",_xlfn._xlws.FILTER(Equipar!AC$2:AC62,Equipar!B$2:B62=B63))),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H63" s="4" cm="1">
        <f t="array" aca="1" ref="H63" ca="1">_xlfn.LET(
    _xlpm.jugador, A63,
    _xlpm.idSel, AC63,
    _xlpm.invIDs, IF(B63=1,Inventario1!A:A,IF(B63=2,Inventario2!A:A,IF(B63=3,Inventario3!A:A,IF(B63=4,Inventario4!A:A,IF(B63=5,Inventario5!A:A,Inventario6!A:A))))),
    _xlpm.invCalidad, IF(B63=1,Inventario1!B:B,IF(B63=2,Inventario2!B:B,IF(B63=3,Inventario3!B:B,IF(B63=4,Inventario4!B:B,IF(B63=5,Inventario5!B:B,Inventario6!B:B))))),
    _xlpm.invTipos, IF(B63=1,Inventario1!C:C,IF(B63=2,Inventario2!C:C,IF(B63=3,Inventario3!C:C,IF(B63=4,Inventario4!C:C,IF(B63=5,Inventario5!C:C,Inventario6!C:C))))),
    _xlpm.invStats, IF(B63=1,Inventario1!D:H,IF(B63=2,Inventario2!D:H,IF(B63=3,Inventario3!D:H,IF(B63=4,Inventario4!D:H,IF(B63=5,Inventario5!D:H,Inventario6!D:H))))),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IF(ROW(A63)=2,"",IF(_xlfn._xlws.FILTER(Equipar!AC$2:AC62,Equipar!B$2:B62=B63)={0},"",_xlfn._xlws.FILTER(Equipar!AC$2:AC62,Equipar!B$2:B62=B63))),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45</v>
      </c>
      <c r="I63" s="4" cm="1">
        <f t="array" ref="I63">_xlfn.LET(
    _xlpm.jugador, A63,
    _xlpm.idSel, AC63,
    _xlpm.invIDs, IF(B63=1,Inventario1!A:A,IF(B63=2,Inventario2!A:A,IF(B63=3,Inventario3!A:A,IF(B63=4,Inventario4!A:A,IF(B63=5,Inventario5!A:A,Inventario6!A:A))))),
    _xlpm.invCalidad, IF(B63=1,Inventario1!B:B,IF(B63=2,Inventario2!B:B,IF(B63=3,Inventario3!B:B,IF(B63=4,Inventario4!B:B,IF(B63=5,Inventario5!B:B,Inventario6!B:B))))),
    _xlpm.invTipos, IF(B63=1,Inventario1!C:C,IF(B63=2,Inventario2!C:C,IF(B63=3,Inventario3!C:C,IF(B63=4,Inventario4!C:C,IF(B63=5,Inventario5!C:C,Inventario6!C:C))))),
    _xlpm.invStats, IF(B63=1,Inventario1!D:H,IF(B63=2,Inventario2!D:H,IF(B63=3,Inventario3!D:H,IF(B63=4,Inventario4!D:H,IF(B63=5,Inventario5!D:H,Inventario6!D:H))))),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IF(ROW(A63)=2,"",IF(_xlfn._xlws.FILTER(Equipar!AC$2:AC62,Equipar!B$2:B62=B63)={0},"",_xlfn._xlws.FILTER(Equipar!AC$2:AC62,Equipar!B$2:B62=B63))),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J63" s="4" cm="1">
        <f t="array" aca="1" ref="J63" ca="1">_xlfn.LET(
    _xlpm.jugador, B63,
    _xlpm.idSel, AD63,
    _xlpm.invIDs, IF(C63=1,Inventario1!B:B,IF(C63=2,Inventario2!B:B,IF(C63=3,Inventario3!B:B,IF(C63=4,Inventario4!B:B,IF(C63=5,Inventario5!B:B,Inventario6!B:B))))),
    _xlpm.invCalidad, IF(C63=1,Inventario1!C:C,IF(C63=2,Inventario2!C:C,IF(C63=3,Inventario3!C:C,IF(C63=4,Inventario4!C:C,IF(C63=5,Inventario5!C:C,Inventario6!C:C))))),
    _xlpm.invTipos, IF(C63=1,Inventario1!D:D,IF(C63=2,Inventario2!D:D,IF(C63=3,Inventario3!D:D,IF(C63=4,Inventario4!D:D,IF(C63=5,Inventario5!D:D,Inventario6!D:D))))),
    _xlpm.invStats, IF(C63=1,Inventario1!E:I,IF(C63=2,Inventario2!E:I,IF(C63=3,Inventario3!E:I,IF(C63=4,Inventario4!E:I,IF(C63=5,Inventario5!E:I,Inventario6!E:I))))),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IF(ROW(B63)=2,"",IF(_xlfn._xlws.FILTER(Equipar!AD$2:AD62,Equipar!C$2:C62=C63)={0},"",_xlfn._xlws.FILTER(Equipar!AD$2:AD62,Equipar!C$2:C62=C63))),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63" s="4">
        <f t="shared" ca="1" si="0"/>
        <v>74.7</v>
      </c>
      <c r="L63" s="4">
        <f t="shared" si="1"/>
        <v>56.7</v>
      </c>
      <c r="M63" s="4">
        <f t="shared" ca="1" si="1"/>
        <v>45</v>
      </c>
      <c r="N63" s="4">
        <f t="shared" ca="1" si="2"/>
        <v>-18</v>
      </c>
      <c r="O63" s="4">
        <f t="shared" ca="1" si="2"/>
        <v>63</v>
      </c>
      <c r="P63" s="14" cm="1">
        <f t="array" aca="1" ref="P63" ca="1">_xlfn.LET(
    _xlpm.ptsPrinBase, _xlfn._xlws.FILTER(G:G, A:A=A63),
    _xlpm.ptsSecBase,  _xlfn._xlws.FILTER(H:H, A:A=A63),
    _xlpm.puntosPrin, _xlpm.ptsPrinBase + _xlfn._xlws.FILTER(B:B, A:A=A63)/1000,
    _xlpm.puntosSec,  _xlpm.ptsSecBase  + _xlfn._xlws.FILTER(B:B, A:A=A63)/1000,
    _xlpm.puntosPrinValidos, SUM(--(_xlpm.ptsPrinBase&gt;0)),
    _xlpm.puntosSecValidos,  SUM(--(_xlpm.ptsSecBase&gt;0)),
    _xlpm.clave, K63 + B63/1000,
    _xlpm.claves, _xlfn._xlws.FILTER(K:K + B:B/1000, A:A=A63),
    IF(AND(_xlpm.puntosPrinValidos&gt;=4,_xlpm.puntosSecValidos&gt;=2),IF(
        SUM(--(_xlpm.claves &gt; _xlpm.clave)) &lt; 4,
        C63,
        D63
    ),"No disp")
)</f>
        <v>119</v>
      </c>
      <c r="Q63" s="14" cm="1">
        <f t="array" aca="1" ref="Q63" ca="1">_xlfn.LET(
    _xlpm.puntosPrin, _xlfn._xlws.FILTER(G:G + B:B/1000, A:A=A63),
    _xlpm.puntosPrinValidos, SUM(--(_xlpm.puntosPrin&gt;1)),
    _xlpm.puntosTer, _xlfn._xlws.FILTER(I:I + B:B/1000, A:A=A63),
    _xlpm.puntosTerValidos, SUM(--(_xlpm.puntosTer&gt;1)),
    _xlpm.clave, L63 + B63/1000,
    _xlpm.claves, _xlfn._xlws.FILTER(L:L + B:B/1000, A:A=A63),
    IF(AND(_xlpm.puntosPrinValidos&gt;=4,_xlpm.puntosTerValidos&gt;=2),IF(
        SUM(--(_xlpm.claves &gt; _xlpm.clave)) &lt; 4,
        C63,
        E63
    ),"No disp")
)</f>
        <v>119</v>
      </c>
      <c r="R63" s="14" t="str" cm="1">
        <f t="array" aca="1" ref="R63" ca="1">_xlfn.LET(
    _xlpm.puntosPrin, _xlfn._xlws.FILTER(G:G + B:B/1000, A:A=A63),
    _xlpm.puntosPrinValidos, SUM(--(_xlpm.puntosPrin&gt;1)),
    _xlpm.puntosTer, _xlfn._xlws.FILTER(J:J + B:B/1000, A:A=A63),
    _xlpm.puntosTerValidos, SUM(--(_xlpm.puntosTer&gt;1)),
    _xlpm.clave, M63 + B63/1000,
    _xlpm.claves, _xlfn._xlws.FILTER(M:M + B:B/1000, A:A=A63),
    IF(AND(_xlpm.puntosPrinValidos&gt;=4,_xlpm.puntosTerValidos&gt;=2),IF(
        SUM(--(_xlpm.claves &gt; _xlpm.clave)) &lt; 4,
        C63,
        F63
    ),"No disp")
)</f>
        <v>No disp</v>
      </c>
      <c r="S63" s="14" cm="1">
        <f t="array" aca="1" ref="S63" ca="1">_xlfn.LET(
    _xlpm.ptsPrinBase, _xlfn._xlws.FILTER(G:G, A:A=A63),
    _xlpm.ptsSecBase,  _xlfn._xlws.FILTER(H:H, A:A=A63),
    _xlpm.puntosPrin, _xlpm.ptsPrinBase + _xlfn._xlws.FILTER(B:B, A:A=A63)/1000,
    _xlpm.puntosSec,  _xlpm.ptsSecBase  + _xlfn._xlws.FILTER(B:B, A:A=A63)/1000,
    _xlpm.puntosPrinValidos, SUM(--(_xlpm.ptsPrinBase&gt;0)),
    _xlpm.puntosSecValidos,  SUM(--(_xlpm.ptsSecBase&gt;0)),
    _xlpm.clave, K63 + B63/1000,
    _xlpm.claves, _xlfn._xlws.FILTER(K:K + B:B/1000, A:A=A63),
    IF(
        AND(_xlpm.puntosPrinValidos&gt;=2, _xlpm.puntosSecValidos&gt;=4),
        IF(
            SUM(--(_xlpm.claves &lt; _xlpm.clave)) &lt; 4,
            D63,
            C63
        ),
        "No disp"
    )
)</f>
        <v>119</v>
      </c>
      <c r="T63" s="14" cm="1">
        <f t="array" aca="1" ref="T63" ca="1">_xlfn.LET(
    _xlpm.puntosSec, _xlfn._xlws.FILTER(H:H + B:B/1000, A:A=A63),
    _xlpm.puntosSecValidos, SUM(--(_xlpm.puntosSec&gt;1)),
    _xlpm.puntosAlt, _xlfn._xlws.FILTER(I:I + B:B/1000, A:A=A63),
    _xlpm.puntosAltValidos, SUM(--(_xlpm.puntosAlt&gt;1)),
    _xlpm.clave, N63 + B63/1000,
    _xlpm.claves, _xlfn._xlws.FILTER(N:N + B:B/1000, A:A=A63),
    IF(AND(_xlpm.puntosSecValidos&gt;=4,_xlpm.puntosAltValidos&gt;=2),IF(
        SUM(--(_xlpm.claves &gt; _xlpm.clave)) &lt; 4,
        D63,
        E63
    ),"No disp")
)</f>
        <v>129</v>
      </c>
      <c r="U63" s="14" t="str" cm="1">
        <f t="array" aca="1" ref="U63" ca="1">_xlfn.LET(
    _xlpm.puntosSec, _xlfn._xlws.FILTER(H:H + B:B/1000, A:A=A63),
    _xlpm.puntosSecValidos, SUM(--(_xlpm.puntosSec&gt;1)),
    _xlpm.puntosAlt, _xlfn._xlws.FILTER(J:J + B:B/1000, A:A=A63),
    _xlpm.puntosAltValidos, SUM(--(_xlpm.puntosAlt&gt;1)),
    _xlpm.clave, O63 + B63/1000,
    _xlpm.claves, _xlfn._xlws.FILTER(O:O + B:B/1000, A:A=A63),
    IF(AND(_xlpm.puntosSecValidos&gt;=4,_xlpm.puntosAltValidos&gt;=2),IF(
        SUM(--(_xlpm.claves &gt; _xlpm.clave)) &lt; 4,
        D63,
        F63
    ),"No disp")
)</f>
        <v>No disp</v>
      </c>
      <c r="V63" s="4" cm="1">
        <f t="array" aca="1" ref="V63" ca="1">_xlfn.LET(
_xlpm.PrinIDs,_xlfn._xlws.FILTER(C:C,(A:A=A63)),
_xlpm.SecIDs,_xlfn._xlws.FILTER(D:D,(A:A=A63)),
_xlpm.TerIDs,_xlfn._xlws.FILTER(E:E,A:A=A63),
_xlpm.CuaIDs,_xlfn._xlws.FILTER(F:F,(A:A=A63)),
_xlpm.PrinPts,_xlfn._xlws.FILTER(G:G,(A:A=A63)),
_xlpm.SecPts,_xlfn._xlws.FILTER(H:H,(A:A=A63)),
_xlpm.TerPts,_xlfn._xlws.FILTER(I:I,(A:A=A63)),
_xlpm.CuaPts,_xlfn._xlws.FILTER(J:J,(A:A=A63)),
_xlpm.PSIds,_xlfn._xlws.FILTER(P:P,A:A=A63),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544.77</v>
      </c>
      <c r="W63" s="4" cm="1">
        <f t="array" aca="1" ref="W63" ca="1">_xlfn.LET(
_xlpm.PrinIDs,_xlfn._xlws.FILTER(C:C,(A:A=A63)),
_xlpm.SecIDs,_xlfn._xlws.FILTER(D:D,(A:A=A63)),
_xlpm.TerIDs,_xlfn._xlws.FILTER(E:E,A:A=A63),
_xlpm.CuaIDs,_xlfn._xlws.FILTER(F:F,(A:A=A63)),
_xlpm.PrinPts,_xlfn._xlws.FILTER(G:G,(A:A=A63)),
_xlpm.SecPts,_xlfn._xlws.FILTER(H:H,(A:A=A63)),
_xlpm.TerPts,_xlfn._xlws.FILTER(I:I,(A:A=A63)),
_xlpm.CuaPts,_xlfn._xlws.FILTER(J:J,(A:A=A63)),
_xlpm.PTIds,_xlfn._xlws.FILTER(Q:Q,A:A=A63),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550.62</v>
      </c>
      <c r="X63" s="4" cm="1">
        <f t="array" aca="1" ref="X63" ca="1">_xlfn.LET(
_xlpm.PrinIDs,_xlfn._xlws.FILTER(C:C,(A:A=A63)),
_xlpm.SecIDs,_xlfn._xlws.FILTER(D:D,(A:A=A63)),
_xlpm.TerIDs,_xlfn._xlws.FILTER(E:E,A:A=A63),
_xlpm.CuaIDs,_xlfn._xlws.FILTER(F:F,(A:A=A63)),
_xlpm.PrinPts,_xlfn._xlws.FILTER(G:G,(A:A=A63)),
_xlpm.SecPts,_xlfn._xlws.FILTER(H:H,(A:A=A63)),
_xlpm.TerPts,_xlfn._xlws.FILTER(I:I,(A:A=A63)),
_xlpm.CuaPts,_xlfn._xlws.FILTER(J:J,(A:A=A63)),
_xlpm.PCIds,_xlfn._xlws.FILTER(R:R,A:A=A63),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63" s="4" cm="1">
        <f t="array" aca="1" ref="Y63" ca="1">_xlfn.LET(
_xlpm.PrinIDs,_xlfn._xlws.FILTER(C:C,(A:A=A63)),
_xlpm.SecIDs,_xlfn._xlws.FILTER(D:D,(A:A=A63)),
_xlpm.AltIDs,_xlfn._xlws.FILTER(E:E,A:A=A63),
_xlpm.PrinPts,_xlfn._xlws.FILTER(G:G,(A:A=A63)),
_xlpm.SecPts,_xlfn._xlws.FILTER(H:H,(A:A=A63)),
_xlpm.AltPts,_xlfn._xlws.FILTER(I:I,(A:A=A63)),
_xlpm.SPIds,_xlfn._xlws.FILTER(S:S,A:A=A63),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583.83000000000004</v>
      </c>
      <c r="Z63" s="4" cm="1">
        <f t="array" aca="1" ref="Z63" ca="1">_xlfn.LET(
_xlpm.PrinIDs,_xlfn._xlws.FILTER(C:C,(A:A=A63)),
_xlpm.SecIDs,_xlfn._xlws.FILTER(D:D,(A:A=A63)),
_xlpm.TerIDs,_xlfn._xlws.FILTER(E:E,A:A=A63),
_xlpm.CuaIDs,_xlfn._xlws.FILTER(F:F,(A:A=A63)),
_xlpm.PrinPts,_xlfn._xlws.FILTER(G:G,(A:A=A63)),
_xlpm.SecPts,_xlfn._xlws.FILTER(H:H,(A:A=A63)),
_xlpm.TerPts,_xlfn._xlws.FILTER(I:I,(A:A=A63)),
_xlpm.CuaPts,_xlfn._xlws.FILTER(J:J,(A:A=A63)),
_xlpm.STIds,_xlfn._xlws.FILTER(T:T,A:A=A63),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539.1</v>
      </c>
      <c r="AA63" s="4" cm="1">
        <f t="array" aca="1" ref="AA63" ca="1">_xlfn.LET(
_xlpm.PrinIDs,_xlfn._xlws.FILTER(C:C,(A:A=A63)),
_xlpm.SecIDs,_xlfn._xlws.FILTER(D:D,(A:A=A63)),
_xlpm.TerIDs,_xlfn._xlws.FILTER(E:E,A:A=A63),
_xlpm.CuaIDs,_xlfn._xlws.FILTER(F:F,(A:A=A63)),
_xlpm.PrinPts,_xlfn._xlws.FILTER(G:G,(A:A=A63)),
_xlpm.SecPts,_xlfn._xlws.FILTER(H:H,(A:A=A63)),
_xlpm.TerPts,_xlfn._xlws.FILTER(I:I,(A:A=A63)),
_xlpm.CuaPts,_xlfn._xlws.FILTER(J:J,(A:A=A63)),
_xlpm.SCIds,_xlfn._xlws.FILTER(U:U,A:A=A63),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63" s="14">
        <f t="shared" ca="1" si="3"/>
        <v>119</v>
      </c>
      <c r="AC63" s="14">
        <v>119</v>
      </c>
      <c r="AD63" s="4"/>
      <c r="AE63" s="14" t="str">
        <f ca="1">IF(ISNUMBER(AC63),
IF($B63=1,VLOOKUP($AC63,Inventario1!$A:$H,2),
IF($B63=2,VLOOKUP($AC63,Inventario2!$A:$H,2),
IF($B63=3,VLOOKUP($AC63,Inventario3!$A:$H,2),
IF($B63=4,VLOOKUP($AC63,Inventario4!$A:$H,2),
IF($B63=5,VLOOKUP($AC63,Inventario5!$A:$H,2),
VLOOKUP($AC63,Inventario6!$A:$H,2)
))))),"No equipado")</f>
        <v>Legendario</v>
      </c>
      <c r="AF63" s="14" t="str">
        <f ca="1">IF(ISNUMBER(AC63),
IF($B63=1,VLOOKUP($AC63,Inventario1!$A:$H,3),
IF($B63=2,VLOOKUP($AC63,Inventario2!$A:$H,3),
IF($B63=3,VLOOKUP($AC63,Inventario3!$A:$H,3),
IF($B63=4,VLOOKUP($AC63,Inventario4!$A:$H,3),
IF($B63=5,VLOOKUP($AC63,Inventario5!$A:$H,3),
VLOOKUP($AC63,Inventario6!$A:$H,3)
))))),"")</f>
        <v>Guardia contundente</v>
      </c>
      <c r="AG63" s="14" t="str">
        <f ca="1">IF(ISNUMBER(AC63),
IF($B63=1,VLOOKUP($AC63,Inventario1!$A:$H,4),
IF($B63=2,VLOOKUP($AC63,Inventario2!$A:$H,4),
IF($B63=3,VLOOKUP($AC63,Inventario3!$A:$H,4),
IF($B63=4,VLOOKUP($AC63,Inventario4!$A:$H,4),
IF($B63=5,VLOOKUP($AC63,Inventario5!$A:$H,4),
VLOOKUP($AC63,Inventario6!$A:$H,4)
))))),"")</f>
        <v>Ataque rápido</v>
      </c>
      <c r="AH63" s="14" t="str">
        <f ca="1">IF(ISNUMBER(AC63),
IF($B63=1,VLOOKUP($AC63,Inventario1!$A:$H,5),
IF($B63=2,VLOOKUP($AC63,Inventario2!$A:$H,5),
IF($B63=3,VLOOKUP($AC63,Inventario3!$A:$H,5),
IF($B63=4,VLOOKUP($AC63,Inventario4!$A:$H,5),
IF($B63=5,VLOOKUP($AC63,Inventario5!$A:$H,5),
VLOOKUP($AC63,Inventario6!$A:$H,5)
))))),"")</f>
        <v>Ataque rápido</v>
      </c>
      <c r="AI63" s="14" t="str">
        <f ca="1">IF(ISNUMBER(AC63),
IF($B63=1,VLOOKUP($AC63,Inventario1!$A:$H,6),
IF($B63=2,VLOOKUP($AC63,Inventario2!$A:$H,6),
IF($B63=3,VLOOKUP($AC63,Inventario3!$A:$H,6),
IF($B63=4,VLOOKUP($AC63,Inventario4!$A:$H,6),
IF($B63=5,VLOOKUP($AC63,Inventario5!$A:$H,6),
VLOOKUP($AC63,Inventario6!$A:$H,6)
))))),"")</f>
        <v>Ataque rápido</v>
      </c>
      <c r="AJ63" s="14" t="str">
        <f ca="1">IF(ISNUMBER(AC63),
IF($B63=1,VLOOKUP($AC63,Inventario1!$A:$H,7),
IF($B63=2,VLOOKUP($AC63,Inventario2!$A:$H,7),
IF($B63=3,VLOOKUP($AC63,Inventario3!$A:$H,7),
IF($B63=4,VLOOKUP($AC63,Inventario4!$A:$H,7),
IF($B63=5,VLOOKUP($AC63,Inventario5!$A:$H,7),
VLOOKUP($AC63,Inventario6!$A:$H,7)
))))),"")</f>
        <v>Técnica ofensiva</v>
      </c>
      <c r="AK63" s="15" t="str">
        <f ca="1">IF(ISNUMBER(AC63),
IF($B63=1,VLOOKUP($AC63,Inventario1!$A:$H,8),
IF($B63=2,VLOOKUP($AC63,Inventario2!$A:$H,8),
IF($B63=3,VLOOKUP($AC63,Inventario3!$A:$H,8),
IF($B63=4,VLOOKUP($AC63,Inventario4!$A:$H,8),
IF($B63=5,VLOOKUP($AC63,Inventario5!$A:$H,8),
VLOOKUP($AC63,Inventario6!$A:$H,8)
))))),"")</f>
        <v>Bloqueo</v>
      </c>
    </row>
    <row r="64" spans="1:37" x14ac:dyDescent="0.25">
      <c r="A64" s="21" t="s">
        <v>20</v>
      </c>
      <c r="B64" s="3">
        <v>3</v>
      </c>
      <c r="C64" s="14" cm="1">
        <f t="array" aca="1" ref="C64" ca="1">_xlfn.LET(
    _xlpm.jugador, A64,
    _xlpm.idSel, AC64,
    _xlpm.invIDs, IF(B64=1,Inventario1!A:A,IF(B64=2,Inventario2!A:A,IF(B64=3,Inventario3!A:A,IF(B64=4,Inventario4!A:A,IF(B64=5,Inventario5!A:A,Inventario6!A:A))))),
    _xlpm.invCalidad, IF(B64=1,Inventario1!B:B,IF(B64=2,Inventario2!B:B,IF(B64=3,Inventario3!B:B,IF(B64=4,Inventario4!B:B,IF(B64=5,Inventario5!B:B,Inventario6!B:B))))),
    _xlpm.invTipos, IF(B64=1,Inventario1!C:C,IF(B64=2,Inventario2!C:C,IF(B64=3,Inventario3!C:C,IF(B64=4,Inventario4!C:C,IF(B64=5,Inventario5!C:C,Inventario6!C:C))))),
    _xlpm.invStats, IF(B64=1,Inventario1!D:H,IF(B64=2,Inventario2!D:H,IF(B64=3,Inventario3!D:H,IF(B64=4,Inventario4!D:H,IF(B64=5,Inventario5!D:H,Inventario6!D:H))))),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IF(ROW(A64)=2,"",IF(_xlfn._xlws.FILTER(Equipar!AC$2:AC63,Equipar!B$2:B63=B64)={0},"",_xlfn._xlws.FILTER(Equipar!AC$2:AC63,Equipar!B$2:B63=B64))),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233</v>
      </c>
      <c r="D64" s="4" cm="1">
        <f t="array" ref="D64">_xlfn.LET(
    _xlpm.jugador, A64,
    _xlpm.idSel, AC64,
    _xlpm.invIDs, IF(B64=1,Inventario1!A:A,IF(B64=2,Inventario2!A:A,IF(B64=3,Inventario3!A:A,IF(B64=4,Inventario4!A:A,IF(B64=5,Inventario5!A:A,Inventario6!A:A))))),
    _xlpm.invCalidad, IF(B64=1,Inventario1!B:B,IF(B64=2,Inventario2!B:B,IF(B64=3,Inventario3!B:B,IF(B64=4,Inventario4!B:B,IF(B64=5,Inventario5!B:B,Inventario6!B:B))))),
    _xlpm.invTipos, IF(B64=1,Inventario1!C:C,IF(B64=2,Inventario2!C:C,IF(B64=3,Inventario3!C:C,IF(B64=4,Inventario4!C:C,IF(B64=5,Inventario5!C:C,Inventario6!C:C))))),
    _xlpm.invStats, IF(B64=1,Inventario1!D:H,IF(B64=2,Inventario2!D:H,IF(B64=3,Inventario3!D:H,IF(B64=4,Inventario4!D:H,IF(B64=5,Inventario5!D:H,Inventario6!D:H))))),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IF(ROW(A64)=2,"",IF(_xlfn._xlws.FILTER(Equipar!AC$2:AC63,Equipar!B$2:B63=B64)={0},"",_xlfn._xlws.FILTER(Equipar!AC$2:AC63,Equipar!B$2:B63=B64))),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184</v>
      </c>
      <c r="E64" s="4" cm="1">
        <f t="array" ref="E64">_xlfn.LET(
    _xlpm.jugador, A64,
    _xlpm.idSel, AC64,
    _xlpm.invIDs, IF(B64=1,Inventario1!A:A,IF(B64=2,Inventario2!A:A,IF(B64=3,Inventario3!A:A,IF(B64=4,Inventario4!A:A,IF(B64=5,Inventario5!A:A,Inventario6!A:A))))),
    _xlpm.invCalidad, IF(B64=1,Inventario1!B:B,IF(B64=2,Inventario2!B:B,IF(B64=3,Inventario3!B:B,IF(B64=4,Inventario4!B:B,IF(B64=5,Inventario5!B:B,Inventario6!B:B))))),
    _xlpm.invTipos, IF(B64=1,Inventario1!C:C,IF(B64=2,Inventario2!C:C,IF(B64=3,Inventario3!C:C,IF(B64=4,Inventario4!C:C,IF(B64=5,Inventario5!C:C,Inventario6!C:C))))),
    _xlpm.invStats, IF(B64=1,Inventario1!D:H,IF(B64=2,Inventario2!D:H,IF(B64=3,Inventario3!D:H,IF(B64=4,Inventario4!D:H,IF(B64=5,Inventario5!D:H,Inventario6!D:H))))),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IF(ROW(A64)=2,"",IF(_xlfn._xlws.FILTER(Equipar!AC$2:AC63,Equipar!B$2:B63=B64)={0},"",_xlfn._xlws.FILTER(Equipar!AC$2:AC63,Equipar!B$2:B63=B64))),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260</v>
      </c>
      <c r="F64" s="4" t="str" cm="1">
        <f t="array" aca="1" ref="F64" ca="1">_xlfn.LET(
    _xlpm.jugador, B64,
    _xlpm.idSel, AD64,
    _xlpm.invIDs, IF(C64=1,Inventario1!B:B,IF(C64=2,Inventario2!B:B,IF(C64=3,Inventario3!B:B,IF(C64=4,Inventario4!B:B,IF(C64=5,Inventario5!B:B,Inventario6!B:B))))),
    _xlpm.invCalidad, IF(C64=1,Inventario1!C:C,IF(C64=2,Inventario2!C:C,IF(C64=3,Inventario3!C:C,IF(C64=4,Inventario4!C:C,IF(C64=5,Inventario5!C:C,Inventario6!C:C))))),
    _xlpm.invTipos, IF(C64=1,Inventario1!D:D,IF(C64=2,Inventario2!D:D,IF(C64=3,Inventario3!D:D,IF(C64=4,Inventario4!D:D,IF(C64=5,Inventario5!D:D,Inventario6!D:D))))),
    _xlpm.invStats, IF(C64=1,Inventario1!E:I,IF(C64=2,Inventario2!E:I,IF(C64=3,Inventario3!E:I,IF(C64=4,Inventario4!E:I,IF(C64=5,Inventario5!E:I,Inventario6!E:I))))),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IF(ROW(B64)=2,"",IF(_xlfn._xlws.FILTER(Equipar!AD$2:AD63,Equipar!C$2:C63=C64)={0},"",_xlfn._xlws.FILTER(Equipar!AD$2:AD63,Equipar!C$2:C63=C64))),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64" s="14" cm="1">
        <f t="array" aca="1" ref="G64" ca="1">_xlfn.LET(
    _xlpm.jugador, A64,
    _xlpm.idSel, AC64,
    _xlpm.invIDs, IF(B64=1,Inventario1!A:A,IF(B64=2,Inventario2!A:A,IF(B64=3,Inventario3!A:A,IF(B64=4,Inventario4!A:A,IF(B64=5,Inventario5!A:A,Inventario6!A:A))))),
    _xlpm.invCalidad, IF(B64=1,Inventario1!B:B,IF(B64=2,Inventario2!B:B,IF(B64=3,Inventario3!B:B,IF(B64=4,Inventario4!B:B,IF(B64=5,Inventario5!B:B,Inventario6!B:B))))),
    _xlpm.invTipos, IF(B64=1,Inventario1!C:C,IF(B64=2,Inventario2!C:C,IF(B64=3,Inventario3!C:C,IF(B64=4,Inventario4!C:C,IF(B64=5,Inventario5!C:C,Inventario6!C:C))))),
    _xlpm.invStats, IF(B64=1,Inventario1!D:H,IF(B64=2,Inventario2!D:H,IF(B64=3,Inventario3!D:H,IF(B64=4,Inventario4!D:H,IF(B64=5,Inventario5!D:H,Inventario6!D:H))))),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IF(ROW(A64)=2,"",IF(_xlfn._xlws.FILTER(Equipar!AC$2:AC63,Equipar!B$2:B63=B64)={0},"",_xlfn._xlws.FILTER(Equipar!AC$2:AC63,Equipar!B$2:B63=B64))),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H64" s="4" cm="1">
        <f t="array" ref="H64">_xlfn.LET(
    _xlpm.jugador, A64,
    _xlpm.idSel, AC64,
    _xlpm.invIDs, IF(B64=1,Inventario1!A:A,IF(B64=2,Inventario2!A:A,IF(B64=3,Inventario3!A:A,IF(B64=4,Inventario4!A:A,IF(B64=5,Inventario5!A:A,Inventario6!A:A))))),
    _xlpm.invCalidad, IF(B64=1,Inventario1!B:B,IF(B64=2,Inventario2!B:B,IF(B64=3,Inventario3!B:B,IF(B64=4,Inventario4!B:B,IF(B64=5,Inventario5!B:B,Inventario6!B:B))))),
    _xlpm.invTipos, IF(B64=1,Inventario1!C:C,IF(B64=2,Inventario2!C:C,IF(B64=3,Inventario3!C:C,IF(B64=4,Inventario4!C:C,IF(B64=5,Inventario5!C:C,Inventario6!C:C))))),
    _xlpm.invStats, IF(B64=1,Inventario1!D:H,IF(B64=2,Inventario2!D:H,IF(B64=3,Inventario3!D:H,IF(B64=4,Inventario4!D:H,IF(B64=5,Inventario5!D:H,Inventario6!D:H))))),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IF(ROW(A64)=2,"",IF(_xlfn._xlws.FILTER(Equipar!AC$2:AC63,Equipar!B$2:B63=B64)={0},"",_xlfn._xlws.FILTER(Equipar!AC$2:AC63,Equipar!B$2:B63=B64))),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I64" s="4" cm="1">
        <f t="array" ref="I64">_xlfn.LET(
    _xlpm.jugador, A64,
    _xlpm.idSel, AC64,
    _xlpm.invIDs, IF(B64=1,Inventario1!A:A,IF(B64=2,Inventario2!A:A,IF(B64=3,Inventario3!A:A,IF(B64=4,Inventario4!A:A,IF(B64=5,Inventario5!A:A,Inventario6!A:A))))),
    _xlpm.invCalidad, IF(B64=1,Inventario1!B:B,IF(B64=2,Inventario2!B:B,IF(B64=3,Inventario3!B:B,IF(B64=4,Inventario4!B:B,IF(B64=5,Inventario5!B:B,Inventario6!B:B))))),
    _xlpm.invTipos, IF(B64=1,Inventario1!C:C,IF(B64=2,Inventario2!C:C,IF(B64=3,Inventario3!C:C,IF(B64=4,Inventario4!C:C,IF(B64=5,Inventario5!C:C,Inventario6!C:C))))),
    _xlpm.invStats, IF(B64=1,Inventario1!D:H,IF(B64=2,Inventario2!D:H,IF(B64=3,Inventario3!D:H,IF(B64=4,Inventario4!D:H,IF(B64=5,Inventario5!D:H,Inventario6!D:H))))),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IF(ROW(A64)=2,"",IF(_xlfn._xlws.FILTER(Equipar!AC$2:AC63,Equipar!B$2:B63=B64)={0},"",_xlfn._xlws.FILTER(Equipar!AC$2:AC63,Equipar!B$2:B63=B64))),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J64" s="4" cm="1">
        <f t="array" aca="1" ref="J64" ca="1">_xlfn.LET(
    _xlpm.jugador, B64,
    _xlpm.idSel, AD64,
    _xlpm.invIDs, IF(C64=1,Inventario1!B:B,IF(C64=2,Inventario2!B:B,IF(C64=3,Inventario3!B:B,IF(C64=4,Inventario4!B:B,IF(C64=5,Inventario5!B:B,Inventario6!B:B))))),
    _xlpm.invCalidad, IF(C64=1,Inventario1!C:C,IF(C64=2,Inventario2!C:C,IF(C64=3,Inventario3!C:C,IF(C64=4,Inventario4!C:C,IF(C64=5,Inventario5!C:C,Inventario6!C:C))))),
    _xlpm.invTipos, IF(C64=1,Inventario1!D:D,IF(C64=2,Inventario2!D:D,IF(C64=3,Inventario3!D:D,IF(C64=4,Inventario4!D:D,IF(C64=5,Inventario5!D:D,Inventario6!D:D))))),
    _xlpm.invStats, IF(C64=1,Inventario1!E:I,IF(C64=2,Inventario2!E:I,IF(C64=3,Inventario3!E:I,IF(C64=4,Inventario4!E:I,IF(C64=5,Inventario5!E:I,Inventario6!E:I))))),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IF(ROW(B64)=2,"",IF(_xlfn._xlws.FILTER(Equipar!AD$2:AD63,Equipar!C$2:C63=C64)={0},"",_xlfn._xlws.FILTER(Equipar!AD$2:AD63,Equipar!C$2:C63=C64))),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64" s="4">
        <f t="shared" ca="1" si="0"/>
        <v>-17.820000000000007</v>
      </c>
      <c r="L64" s="4">
        <f t="shared" ca="1" si="1"/>
        <v>-17.820000000000007</v>
      </c>
      <c r="M64" s="4">
        <f t="shared" ca="1" si="1"/>
        <v>71.820000000000007</v>
      </c>
      <c r="N64" s="4">
        <f t="shared" si="2"/>
        <v>0</v>
      </c>
      <c r="O64" s="4">
        <f t="shared" ca="1" si="2"/>
        <v>71.820000000000007</v>
      </c>
      <c r="P64" s="14" cm="1">
        <f t="array" aca="1" ref="P64" ca="1">_xlfn.LET(
    _xlpm.ptsPrinBase, _xlfn._xlws.FILTER(G:G, A:A=A64),
    _xlpm.ptsSecBase,  _xlfn._xlws.FILTER(H:H, A:A=A64),
    _xlpm.puntosPrin, _xlpm.ptsPrinBase + _xlfn._xlws.FILTER(B:B, A:A=A64)/1000,
    _xlpm.puntosSec,  _xlpm.ptsSecBase  + _xlfn._xlws.FILTER(B:B, A:A=A64)/1000,
    _xlpm.puntosPrinValidos, SUM(--(_xlpm.ptsPrinBase&gt;0)),
    _xlpm.puntosSecValidos,  SUM(--(_xlpm.ptsSecBase&gt;0)),
    _xlpm.clave, K64 + B64/1000,
    _xlpm.claves, _xlfn._xlws.FILTER(K:K + B:B/1000, A:A=A64),
    IF(AND(_xlpm.puntosPrinValidos&gt;=4,_xlpm.puntosSecValidos&gt;=2),IF(
        SUM(--(_xlpm.claves &gt; _xlpm.clave)) &lt; 4,
        C64,
        D64
    ),"No disp")
)</f>
        <v>233</v>
      </c>
      <c r="Q64" s="14" cm="1">
        <f t="array" aca="1" ref="Q64" ca="1">_xlfn.LET(
    _xlpm.puntosPrin, _xlfn._xlws.FILTER(G:G + B:B/1000, A:A=A64),
    _xlpm.puntosPrinValidos, SUM(--(_xlpm.puntosPrin&gt;1)),
    _xlpm.puntosTer, _xlfn._xlws.FILTER(I:I + B:B/1000, A:A=A64),
    _xlpm.puntosTerValidos, SUM(--(_xlpm.puntosTer&gt;1)),
    _xlpm.clave, L64 + B64/1000,
    _xlpm.claves, _xlfn._xlws.FILTER(L:L + B:B/1000, A:A=A64),
    IF(AND(_xlpm.puntosPrinValidos&gt;=4,_xlpm.puntosTerValidos&gt;=2),IF(
        SUM(--(_xlpm.claves &gt; _xlpm.clave)) &lt; 4,
        C64,
        E64
    ),"No disp")
)</f>
        <v>260</v>
      </c>
      <c r="R64" s="14" t="str" cm="1">
        <f t="array" aca="1" ref="R64" ca="1">_xlfn.LET(
    _xlpm.puntosPrin, _xlfn._xlws.FILTER(G:G + B:B/1000, A:A=A64),
    _xlpm.puntosPrinValidos, SUM(--(_xlpm.puntosPrin&gt;1)),
    _xlpm.puntosTer, _xlfn._xlws.FILTER(J:J + B:B/1000, A:A=A64),
    _xlpm.puntosTerValidos, SUM(--(_xlpm.puntosTer&gt;1)),
    _xlpm.clave, M64 + B64/1000,
    _xlpm.claves, _xlfn._xlws.FILTER(M:M + B:B/1000, A:A=A64),
    IF(AND(_xlpm.puntosPrinValidos&gt;=4,_xlpm.puntosTerValidos&gt;=2),IF(
        SUM(--(_xlpm.claves &gt; _xlpm.clave)) &lt; 4,
        C64,
        F64
    ),"No disp")
)</f>
        <v>No disp</v>
      </c>
      <c r="S64" s="14" cm="1">
        <f t="array" aca="1" ref="S64" ca="1">_xlfn.LET(
    _xlpm.ptsPrinBase, _xlfn._xlws.FILTER(G:G, A:A=A64),
    _xlpm.ptsSecBase,  _xlfn._xlws.FILTER(H:H, A:A=A64),
    _xlpm.puntosPrin, _xlpm.ptsPrinBase + _xlfn._xlws.FILTER(B:B, A:A=A64)/1000,
    _xlpm.puntosSec,  _xlpm.ptsSecBase  + _xlfn._xlws.FILTER(B:B, A:A=A64)/1000,
    _xlpm.puntosPrinValidos, SUM(--(_xlpm.ptsPrinBase&gt;0)),
    _xlpm.puntosSecValidos,  SUM(--(_xlpm.ptsSecBase&gt;0)),
    _xlpm.clave, K64 + B64/1000,
    _xlpm.claves, _xlfn._xlws.FILTER(K:K + B:B/1000, A:A=A64),
    IF(
        AND(_xlpm.puntosPrinValidos&gt;=2, _xlpm.puntosSecValidos&gt;=4),
        IF(
            SUM(--(_xlpm.claves &lt; _xlpm.clave)) &lt; 4,
            D64,
            C64
        ),
        "No disp"
    )
)</f>
        <v>184</v>
      </c>
      <c r="T64" s="14" cm="1">
        <f t="array" aca="1" ref="T64" ca="1">_xlfn.LET(
    _xlpm.puntosSec, _xlfn._xlws.FILTER(H:H + B:B/1000, A:A=A64),
    _xlpm.puntosSecValidos, SUM(--(_xlpm.puntosSec&gt;1)),
    _xlpm.puntosAlt, _xlfn._xlws.FILTER(I:I + B:B/1000, A:A=A64),
    _xlpm.puntosAltValidos, SUM(--(_xlpm.puntosAlt&gt;1)),
    _xlpm.clave, N64 + B64/1000,
    _xlpm.claves, _xlfn._xlws.FILTER(N:N + B:B/1000, A:A=A64),
    IF(AND(_xlpm.puntosSecValidos&gt;=4,_xlpm.puntosAltValidos&gt;=2),IF(
        SUM(--(_xlpm.claves &gt; _xlpm.clave)) &lt; 4,
        D64,
        E64
    ),"No disp")
)</f>
        <v>184</v>
      </c>
      <c r="U64" s="14" t="str" cm="1">
        <f t="array" aca="1" ref="U64" ca="1">_xlfn.LET(
    _xlpm.puntosSec, _xlfn._xlws.FILTER(H:H + B:B/1000, A:A=A64),
    _xlpm.puntosSecValidos, SUM(--(_xlpm.puntosSec&gt;1)),
    _xlpm.puntosAlt, _xlfn._xlws.FILTER(J:J + B:B/1000, A:A=A64),
    _xlpm.puntosAltValidos, SUM(--(_xlpm.puntosAlt&gt;1)),
    _xlpm.clave, O64 + B64/1000,
    _xlpm.claves, _xlfn._xlws.FILTER(O:O + B:B/1000, A:A=A64),
    IF(AND(_xlpm.puntosSecValidos&gt;=4,_xlpm.puntosAltValidos&gt;=2),IF(
        SUM(--(_xlpm.claves &gt; _xlpm.clave)) &lt; 4,
        D64,
        F64
    ),"No disp")
)</f>
        <v>No disp</v>
      </c>
      <c r="V64" s="4" cm="1">
        <f t="array" aca="1" ref="V64" ca="1">_xlfn.LET(
_xlpm.PrinIDs,_xlfn._xlws.FILTER(C:C,(A:A=A64)),
_xlpm.SecIDs,_xlfn._xlws.FILTER(D:D,(A:A=A64)),
_xlpm.TerIDs,_xlfn._xlws.FILTER(E:E,A:A=A64),
_xlpm.CuaIDs,_xlfn._xlws.FILTER(F:F,(A:A=A64)),
_xlpm.PrinPts,_xlfn._xlws.FILTER(G:G,(A:A=A64)),
_xlpm.SecPts,_xlfn._xlws.FILTER(H:H,(A:A=A64)),
_xlpm.TerPts,_xlfn._xlws.FILTER(I:I,(A:A=A64)),
_xlpm.CuaPts,_xlfn._xlws.FILTER(J:J,(A:A=A64)),
_xlpm.PSIds,_xlfn._xlws.FILTER(P:P,A:A=A64),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544.77</v>
      </c>
      <c r="W64" s="4" cm="1">
        <f t="array" aca="1" ref="W64" ca="1">_xlfn.LET(
_xlpm.PrinIDs,_xlfn._xlws.FILTER(C:C,(A:A=A64)),
_xlpm.SecIDs,_xlfn._xlws.FILTER(D:D,(A:A=A64)),
_xlpm.TerIDs,_xlfn._xlws.FILTER(E:E,A:A=A64),
_xlpm.CuaIDs,_xlfn._xlws.FILTER(F:F,(A:A=A64)),
_xlpm.PrinPts,_xlfn._xlws.FILTER(G:G,(A:A=A64)),
_xlpm.SecPts,_xlfn._xlws.FILTER(H:H,(A:A=A64)),
_xlpm.TerPts,_xlfn._xlws.FILTER(I:I,(A:A=A64)),
_xlpm.CuaPts,_xlfn._xlws.FILTER(J:J,(A:A=A64)),
_xlpm.PTIds,_xlfn._xlws.FILTER(Q:Q,A:A=A64),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550.62</v>
      </c>
      <c r="X64" s="4" cm="1">
        <f t="array" aca="1" ref="X64" ca="1">_xlfn.LET(
_xlpm.PrinIDs,_xlfn._xlws.FILTER(C:C,(A:A=A64)),
_xlpm.SecIDs,_xlfn._xlws.FILTER(D:D,(A:A=A64)),
_xlpm.TerIDs,_xlfn._xlws.FILTER(E:E,A:A=A64),
_xlpm.CuaIDs,_xlfn._xlws.FILTER(F:F,(A:A=A64)),
_xlpm.PrinPts,_xlfn._xlws.FILTER(G:G,(A:A=A64)),
_xlpm.SecPts,_xlfn._xlws.FILTER(H:H,(A:A=A64)),
_xlpm.TerPts,_xlfn._xlws.FILTER(I:I,(A:A=A64)),
_xlpm.CuaPts,_xlfn._xlws.FILTER(J:J,(A:A=A64)),
_xlpm.PCIds,_xlfn._xlws.FILTER(R:R,A:A=A64),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64" s="4" cm="1">
        <f t="array" aca="1" ref="Y64" ca="1">_xlfn.LET(
_xlpm.PrinIDs,_xlfn._xlws.FILTER(C:C,(A:A=A64)),
_xlpm.SecIDs,_xlfn._xlws.FILTER(D:D,(A:A=A64)),
_xlpm.AltIDs,_xlfn._xlws.FILTER(E:E,A:A=A64),
_xlpm.PrinPts,_xlfn._xlws.FILTER(G:G,(A:A=A64)),
_xlpm.SecPts,_xlfn._xlws.FILTER(H:H,(A:A=A64)),
_xlpm.AltPts,_xlfn._xlws.FILTER(I:I,(A:A=A64)),
_xlpm.SPIds,_xlfn._xlws.FILTER(S:S,A:A=A64),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583.83000000000004</v>
      </c>
      <c r="Z64" s="4" cm="1">
        <f t="array" aca="1" ref="Z64" ca="1">_xlfn.LET(
_xlpm.PrinIDs,_xlfn._xlws.FILTER(C:C,(A:A=A64)),
_xlpm.SecIDs,_xlfn._xlws.FILTER(D:D,(A:A=A64)),
_xlpm.TerIDs,_xlfn._xlws.FILTER(E:E,A:A=A64),
_xlpm.CuaIDs,_xlfn._xlws.FILTER(F:F,(A:A=A64)),
_xlpm.PrinPts,_xlfn._xlws.FILTER(G:G,(A:A=A64)),
_xlpm.SecPts,_xlfn._xlws.FILTER(H:H,(A:A=A64)),
_xlpm.TerPts,_xlfn._xlws.FILTER(I:I,(A:A=A64)),
_xlpm.CuaPts,_xlfn._xlws.FILTER(J:J,(A:A=A64)),
_xlpm.STIds,_xlfn._xlws.FILTER(T:T,A:A=A64),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539.1</v>
      </c>
      <c r="AA64" s="4" cm="1">
        <f t="array" aca="1" ref="AA64" ca="1">_xlfn.LET(
_xlpm.PrinIDs,_xlfn._xlws.FILTER(C:C,(A:A=A64)),
_xlpm.SecIDs,_xlfn._xlws.FILTER(D:D,(A:A=A64)),
_xlpm.TerIDs,_xlfn._xlws.FILTER(E:E,A:A=A64),
_xlpm.CuaIDs,_xlfn._xlws.FILTER(F:F,(A:A=A64)),
_xlpm.PrinPts,_xlfn._xlws.FILTER(G:G,(A:A=A64)),
_xlpm.SecPts,_xlfn._xlws.FILTER(H:H,(A:A=A64)),
_xlpm.TerPts,_xlfn._xlws.FILTER(I:I,(A:A=A64)),
_xlpm.CuaPts,_xlfn._xlws.FILTER(J:J,(A:A=A64)),
_xlpm.SCIds,_xlfn._xlws.FILTER(U:U,A:A=A64),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64" s="14">
        <f t="shared" ca="1" si="3"/>
        <v>184</v>
      </c>
      <c r="AC64" s="14">
        <v>184</v>
      </c>
      <c r="AD64" s="4"/>
      <c r="AE64" s="14" t="str">
        <f ca="1">IF(ISNUMBER(AC64),
IF($B64=1,VLOOKUP($AC64,Inventario1!$A:$H,2),
IF($B64=2,VLOOKUP($AC64,Inventario2!$A:$H,2),
IF($B64=3,VLOOKUP($AC64,Inventario3!$A:$H,2),
IF($B64=4,VLOOKUP($AC64,Inventario4!$A:$H,2),
IF($B64=5,VLOOKUP($AC64,Inventario5!$A:$H,2),
VLOOKUP($AC64,Inventario6!$A:$H,2)
))))),"No equipado")</f>
        <v>Legendario</v>
      </c>
      <c r="AF64" s="14" t="str">
        <f ca="1">IF(ISNUMBER(AC64),
IF($B64=1,VLOOKUP($AC64,Inventario1!$A:$H,3),
IF($B64=2,VLOOKUP($AC64,Inventario2!$A:$H,3),
IF($B64=3,VLOOKUP($AC64,Inventario3!$A:$H,3),
IF($B64=4,VLOOKUP($AC64,Inventario4!$A:$H,3),
IF($B64=5,VLOOKUP($AC64,Inventario5!$A:$H,3),
VLOOKUP($AC64,Inventario6!$A:$H,3)
))))),"")</f>
        <v>Bloque preciso</v>
      </c>
      <c r="AG64" s="14" t="str">
        <f ca="1">IF(ISNUMBER(AC64),
IF($B64=1,VLOOKUP($AC64,Inventario1!$A:$H,4),
IF($B64=2,VLOOKUP($AC64,Inventario2!$A:$H,4),
IF($B64=3,VLOOKUP($AC64,Inventario3!$A:$H,4),
IF($B64=4,VLOOKUP($AC64,Inventario4!$A:$H,4),
IF($B64=5,VLOOKUP($AC64,Inventario5!$A:$H,4),
VLOOKUP($AC64,Inventario6!$A:$H,4)
))))),"")</f>
        <v>Saque</v>
      </c>
      <c r="AH64" s="14" t="str">
        <f ca="1">IF(ISNUMBER(AC64),
IF($B64=1,VLOOKUP($AC64,Inventario1!$A:$H,5),
IF($B64=2,VLOOKUP($AC64,Inventario2!$A:$H,5),
IF($B64=3,VLOOKUP($AC64,Inventario3!$A:$H,5),
IF($B64=4,VLOOKUP($AC64,Inventario4!$A:$H,5),
IF($B64=5,VLOOKUP($AC64,Inventario5!$A:$H,5),
VLOOKUP($AC64,Inventario6!$A:$H,5)
))))),"")</f>
        <v>Ataque rápido</v>
      </c>
      <c r="AI64" s="14" t="str">
        <f ca="1">IF(ISNUMBER(AC64),
IF($B64=1,VLOOKUP($AC64,Inventario1!$A:$H,6),
IF($B64=2,VLOOKUP($AC64,Inventario2!$A:$H,6),
IF($B64=3,VLOOKUP($AC64,Inventario3!$A:$H,6),
IF($B64=4,VLOOKUP($AC64,Inventario4!$A:$H,6),
IF($B64=5,VLOOKUP($AC64,Inventario5!$A:$H,6),
VLOOKUP($AC64,Inventario6!$A:$H,6)
))))),"")</f>
        <v>Saque</v>
      </c>
      <c r="AJ64" s="14" t="str">
        <f ca="1">IF(ISNUMBER(AC64),
IF($B64=1,VLOOKUP($AC64,Inventario1!$A:$H,7),
IF($B64=2,VLOOKUP($AC64,Inventario2!$A:$H,7),
IF($B64=3,VLOOKUP($AC64,Inventario3!$A:$H,7),
IF($B64=4,VLOOKUP($AC64,Inventario4!$A:$H,7),
IF($B64=5,VLOOKUP($AC64,Inventario5!$A:$H,7),
VLOOKUP($AC64,Inventario6!$A:$H,7)
))))),"")</f>
        <v>Reflejos</v>
      </c>
      <c r="AK64" s="15">
        <f ca="1">IF(ISNUMBER(AC64),
IF($B64=1,VLOOKUP($AC64,Inventario1!$A:$H,8),
IF($B64=2,VLOOKUP($AC64,Inventario2!$A:$H,8),
IF($B64=3,VLOOKUP($AC64,Inventario3!$A:$H,8),
IF($B64=4,VLOOKUP($AC64,Inventario4!$A:$H,8),
IF($B64=5,VLOOKUP($AC64,Inventario5!$A:$H,8),
VLOOKUP($AC64,Inventario6!$A:$H,8)
))))),"")</f>
        <v>0</v>
      </c>
    </row>
    <row r="65" spans="1:37" x14ac:dyDescent="0.25">
      <c r="A65" s="21" t="s">
        <v>20</v>
      </c>
      <c r="B65" s="3">
        <v>4</v>
      </c>
      <c r="C65" s="14" cm="1">
        <f t="array" aca="1" ref="C65" ca="1">_xlfn.LET(
    _xlpm.jugador, A65,
    _xlpm.idSel, AC65,
    _xlpm.invIDs, IF(B65=1,Inventario1!A:A,IF(B65=2,Inventario2!A:A,IF(B65=3,Inventario3!A:A,IF(B65=4,Inventario4!A:A,IF(B65=5,Inventario5!A:A,Inventario6!A:A))))),
    _xlpm.invCalidad, IF(B65=1,Inventario1!B:B,IF(B65=2,Inventario2!B:B,IF(B65=3,Inventario3!B:B,IF(B65=4,Inventario4!B:B,IF(B65=5,Inventario5!B:B,Inventario6!B:B))))),
    _xlpm.invTipos, IF(B65=1,Inventario1!C:C,IF(B65=2,Inventario2!C:C,IF(B65=3,Inventario3!C:C,IF(B65=4,Inventario4!C:C,IF(B65=5,Inventario5!C:C,Inventario6!C:C))))),
    _xlpm.invStats, IF(B65=1,Inventario1!D:H,IF(B65=2,Inventario2!D:H,IF(B65=3,Inventario3!D:H,IF(B65=4,Inventario4!D:H,IF(B65=5,Inventario5!D:H,Inventario6!D:H))))),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IF(ROW(A65)=2,"",IF(_xlfn._xlws.FILTER(Equipar!AC$2:AC64,Equipar!B$2:B64=B65)={0},"",_xlfn._xlws.FILTER(Equipar!AC$2:AC64,Equipar!B$2:B64=B65))),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304</v>
      </c>
      <c r="D65" s="4" cm="1">
        <f t="array" aca="1" ref="D65" ca="1">_xlfn.LET(
    _xlpm.jugador, A65,
    _xlpm.idSel, AC65,
    _xlpm.invIDs, IF(B65=1,Inventario1!A:A,IF(B65=2,Inventario2!A:A,IF(B65=3,Inventario3!A:A,IF(B65=4,Inventario4!A:A,IF(B65=5,Inventario5!A:A,Inventario6!A:A))))),
    _xlpm.invCalidad, IF(B65=1,Inventario1!B:B,IF(B65=2,Inventario2!B:B,IF(B65=3,Inventario3!B:B,IF(B65=4,Inventario4!B:B,IF(B65=5,Inventario5!B:B,Inventario6!B:B))))),
    _xlpm.invTipos, IF(B65=1,Inventario1!C:C,IF(B65=2,Inventario2!C:C,IF(B65=3,Inventario3!C:C,IF(B65=4,Inventario4!C:C,IF(B65=5,Inventario5!C:C,Inventario6!C:C))))),
    _xlpm.invStats, IF(B65=1,Inventario1!D:H,IF(B65=2,Inventario2!D:H,IF(B65=3,Inventario3!D:H,IF(B65=4,Inventario4!D:H,IF(B65=5,Inventario5!D:H,Inventario6!D:H))))),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IF(ROW(A65)=2,"",IF(_xlfn._xlws.FILTER(Equipar!AC$2:AC64,Equipar!B$2:B64=B65)={0},"",_xlfn._xlws.FILTER(Equipar!AC$2:AC64,Equipar!B$2:B64=B65))),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113</v>
      </c>
      <c r="E65" s="4" cm="1">
        <f t="array" ref="E65">_xlfn.LET(
    _xlpm.jugador, A65,
    _xlpm.idSel, AC65,
    _xlpm.invIDs, IF(B65=1,Inventario1!A:A,IF(B65=2,Inventario2!A:A,IF(B65=3,Inventario3!A:A,IF(B65=4,Inventario4!A:A,IF(B65=5,Inventario5!A:A,Inventario6!A:A))))),
    _xlpm.invCalidad, IF(B65=1,Inventario1!B:B,IF(B65=2,Inventario2!B:B,IF(B65=3,Inventario3!B:B,IF(B65=4,Inventario4!B:B,IF(B65=5,Inventario5!B:B,Inventario6!B:B))))),
    _xlpm.invTipos, IF(B65=1,Inventario1!C:C,IF(B65=2,Inventario2!C:C,IF(B65=3,Inventario3!C:C,IF(B65=4,Inventario4!C:C,IF(B65=5,Inventario5!C:C,Inventario6!C:C))))),
    _xlpm.invStats, IF(B65=1,Inventario1!D:H,IF(B65=2,Inventario2!D:H,IF(B65=3,Inventario3!D:H,IF(B65=4,Inventario4!D:H,IF(B65=5,Inventario5!D:H,Inventario6!D:H))))),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IF(ROW(A65)=2,"",IF(_xlfn._xlws.FILTER(Equipar!AC$2:AC64,Equipar!B$2:B64=B65)={0},"",_xlfn._xlws.FILTER(Equipar!AC$2:AC64,Equipar!B$2:B64=B65))),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149</v>
      </c>
      <c r="F65" s="4" t="str" cm="1">
        <f t="array" aca="1" ref="F65" ca="1">_xlfn.LET(
    _xlpm.jugador, B65,
    _xlpm.idSel, AD65,
    _xlpm.invIDs, IF(C65=1,Inventario1!B:B,IF(C65=2,Inventario2!B:B,IF(C65=3,Inventario3!B:B,IF(C65=4,Inventario4!B:B,IF(C65=5,Inventario5!B:B,Inventario6!B:B))))),
    _xlpm.invCalidad, IF(C65=1,Inventario1!C:C,IF(C65=2,Inventario2!C:C,IF(C65=3,Inventario3!C:C,IF(C65=4,Inventario4!C:C,IF(C65=5,Inventario5!C:C,Inventario6!C:C))))),
    _xlpm.invTipos, IF(C65=1,Inventario1!D:D,IF(C65=2,Inventario2!D:D,IF(C65=3,Inventario3!D:D,IF(C65=4,Inventario4!D:D,IF(C65=5,Inventario5!D:D,Inventario6!D:D))))),
    _xlpm.invStats, IF(C65=1,Inventario1!E:I,IF(C65=2,Inventario2!E:I,IF(C65=3,Inventario3!E:I,IF(C65=4,Inventario4!E:I,IF(C65=5,Inventario5!E:I,Inventario6!E:I))))),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IF(ROW(B65)=2,"",IF(_xlfn._xlws.FILTER(Equipar!AD$2:AD64,Equipar!C$2:C64=C65)={0},"",_xlfn._xlws.FILTER(Equipar!AD$2:AD64,Equipar!C$2:C64=C65))),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65" s="14" cm="1">
        <f t="array" aca="1" ref="G65" ca="1">_xlfn.LET(
    _xlpm.jugador, A65,
    _xlpm.idSel, AC65,
    _xlpm.invIDs, IF(B65=1,Inventario1!A:A,IF(B65=2,Inventario2!A:A,IF(B65=3,Inventario3!A:A,IF(B65=4,Inventario4!A:A,IF(B65=5,Inventario5!A:A,Inventario6!A:A))))),
    _xlpm.invCalidad, IF(B65=1,Inventario1!B:B,IF(B65=2,Inventario2!B:B,IF(B65=3,Inventario3!B:B,IF(B65=4,Inventario4!B:B,IF(B65=5,Inventario5!B:B,Inventario6!B:B))))),
    _xlpm.invTipos, IF(B65=1,Inventario1!C:C,IF(B65=2,Inventario2!C:C,IF(B65=3,Inventario3!C:C,IF(B65=4,Inventario4!C:C,IF(B65=5,Inventario5!C:C,Inventario6!C:C))))),
    _xlpm.invStats, IF(B65=1,Inventario1!D:H,IF(B65=2,Inventario2!D:H,IF(B65=3,Inventario3!D:H,IF(B65=4,Inventario4!D:H,IF(B65=5,Inventario5!D:H,Inventario6!D:H))))),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IF(ROW(A65)=2,"",IF(_xlfn._xlws.FILTER(Equipar!AC$2:AC64,Equipar!B$2:B64=B65)={0},"",_xlfn._xlws.FILTER(Equipar!AC$2:AC64,Equipar!B$2:B64=B65))),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H65" s="4" cm="1">
        <f t="array" aca="1" ref="H65" ca="1">_xlfn.LET(
    _xlpm.jugador, A65,
    _xlpm.idSel, AC65,
    _xlpm.invIDs, IF(B65=1,Inventario1!A:A,IF(B65=2,Inventario2!A:A,IF(B65=3,Inventario3!A:A,IF(B65=4,Inventario4!A:A,IF(B65=5,Inventario5!A:A,Inventario6!A:A))))),
    _xlpm.invCalidad, IF(B65=1,Inventario1!B:B,IF(B65=2,Inventario2!B:B,IF(B65=3,Inventario3!B:B,IF(B65=4,Inventario4!B:B,IF(B65=5,Inventario5!B:B,Inventario6!B:B))))),
    _xlpm.invTipos, IF(B65=1,Inventario1!C:C,IF(B65=2,Inventario2!C:C,IF(B65=3,Inventario3!C:C,IF(B65=4,Inventario4!C:C,IF(B65=5,Inventario5!C:C,Inventario6!C:C))))),
    _xlpm.invStats, IF(B65=1,Inventario1!D:H,IF(B65=2,Inventario2!D:H,IF(B65=3,Inventario3!D:H,IF(B65=4,Inventario4!D:H,IF(B65=5,Inventario5!D:H,Inventario6!D:H))))),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IF(ROW(A65)=2,"",IF(_xlfn._xlws.FILTER(Equipar!AC$2:AC64,Equipar!B$2:B64=B65)={0},"",_xlfn._xlws.FILTER(Equipar!AC$2:AC64,Equipar!B$2:B64=B65))),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117</v>
      </c>
      <c r="I65" s="4" cm="1">
        <f t="array" ref="I65">_xlfn.LET(
    _xlpm.jugador, A65,
    _xlpm.idSel, AC65,
    _xlpm.invIDs, IF(B65=1,Inventario1!A:A,IF(B65=2,Inventario2!A:A,IF(B65=3,Inventario3!A:A,IF(B65=4,Inventario4!A:A,IF(B65=5,Inventario5!A:A,Inventario6!A:A))))),
    _xlpm.invCalidad, IF(B65=1,Inventario1!B:B,IF(B65=2,Inventario2!B:B,IF(B65=3,Inventario3!B:B,IF(B65=4,Inventario4!B:B,IF(B65=5,Inventario5!B:B,Inventario6!B:B))))),
    _xlpm.invTipos, IF(B65=1,Inventario1!C:C,IF(B65=2,Inventario2!C:C,IF(B65=3,Inventario3!C:C,IF(B65=4,Inventario4!C:C,IF(B65=5,Inventario5!C:C,Inventario6!C:C))))),
    _xlpm.invStats, IF(B65=1,Inventario1!D:H,IF(B65=2,Inventario2!D:H,IF(B65=3,Inventario3!D:H,IF(B65=4,Inventario4!D:H,IF(B65=5,Inventario5!D:H,Inventario6!D:H))))),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IF(ROW(A65)=2,"",IF(_xlfn._xlws.FILTER(Equipar!AC$2:AC64,Equipar!B$2:B64=B65)={0},"",_xlfn._xlws.FILTER(Equipar!AC$2:AC64,Equipar!B$2:B64=B65))),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J65" s="4" cm="1">
        <f t="array" aca="1" ref="J65" ca="1">_xlfn.LET(
    _xlpm.jugador, B65,
    _xlpm.idSel, AD65,
    _xlpm.invIDs, IF(C65=1,Inventario1!B:B,IF(C65=2,Inventario2!B:B,IF(C65=3,Inventario3!B:B,IF(C65=4,Inventario4!B:B,IF(C65=5,Inventario5!B:B,Inventario6!B:B))))),
    _xlpm.invCalidad, IF(C65=1,Inventario1!C:C,IF(C65=2,Inventario2!C:C,IF(C65=3,Inventario3!C:C,IF(C65=4,Inventario4!C:C,IF(C65=5,Inventario5!C:C,Inventario6!C:C))))),
    _xlpm.invTipos, IF(C65=1,Inventario1!D:D,IF(C65=2,Inventario2!D:D,IF(C65=3,Inventario3!D:D,IF(C65=4,Inventario4!D:D,IF(C65=5,Inventario5!D:D,Inventario6!D:D))))),
    _xlpm.invStats, IF(C65=1,Inventario1!E:I,IF(C65=2,Inventario2!E:I,IF(C65=3,Inventario3!E:I,IF(C65=4,Inventario4!E:I,IF(C65=5,Inventario5!E:I,Inventario6!E:I))))),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IF(ROW(B65)=2,"",IF(_xlfn._xlws.FILTER(Equipar!AD$2:AD64,Equipar!C$2:C64=C65)={0},"",_xlfn._xlws.FILTER(Equipar!AD$2:AD64,Equipar!C$2:C64=C65))),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65" s="4">
        <f t="shared" ca="1" si="0"/>
        <v>-21.239999999999995</v>
      </c>
      <c r="L65" s="4">
        <f t="shared" ca="1" si="1"/>
        <v>0</v>
      </c>
      <c r="M65" s="4">
        <f t="shared" ca="1" si="1"/>
        <v>117</v>
      </c>
      <c r="N65" s="4">
        <f t="shared" ca="1" si="2"/>
        <v>21.239999999999995</v>
      </c>
      <c r="O65" s="4">
        <f t="shared" ca="1" si="2"/>
        <v>95.76</v>
      </c>
      <c r="P65" s="14" cm="1">
        <f t="array" aca="1" ref="P65" ca="1">_xlfn.LET(
    _xlpm.ptsPrinBase, _xlfn._xlws.FILTER(G:G, A:A=A65),
    _xlpm.ptsSecBase,  _xlfn._xlws.FILTER(H:H, A:A=A65),
    _xlpm.puntosPrin, _xlpm.ptsPrinBase + _xlfn._xlws.FILTER(B:B, A:A=A65)/1000,
    _xlpm.puntosSec,  _xlpm.ptsSecBase  + _xlfn._xlws.FILTER(B:B, A:A=A65)/1000,
    _xlpm.puntosPrinValidos, SUM(--(_xlpm.ptsPrinBase&gt;0)),
    _xlpm.puntosSecValidos,  SUM(--(_xlpm.ptsSecBase&gt;0)),
    _xlpm.clave, K65 + B65/1000,
    _xlpm.claves, _xlfn._xlws.FILTER(K:K + B:B/1000, A:A=A65),
    IF(AND(_xlpm.puntosPrinValidos&gt;=4,_xlpm.puntosSecValidos&gt;=2),IF(
        SUM(--(_xlpm.claves &gt; _xlpm.clave)) &lt; 4,
        C65,
        D65
    ),"No disp")
)</f>
        <v>304</v>
      </c>
      <c r="Q65" s="14" cm="1">
        <f t="array" aca="1" ref="Q65" ca="1">_xlfn.LET(
    _xlpm.puntosPrin, _xlfn._xlws.FILTER(G:G + B:B/1000, A:A=A65),
    _xlpm.puntosPrinValidos, SUM(--(_xlpm.puntosPrin&gt;1)),
    _xlpm.puntosTer, _xlfn._xlws.FILTER(I:I + B:B/1000, A:A=A65),
    _xlpm.puntosTerValidos, SUM(--(_xlpm.puntosTer&gt;1)),
    _xlpm.clave, L65 + B65/1000,
    _xlpm.claves, _xlfn._xlws.FILTER(L:L + B:B/1000, A:A=A65),
    IF(AND(_xlpm.puntosPrinValidos&gt;=4,_xlpm.puntosTerValidos&gt;=2),IF(
        SUM(--(_xlpm.claves &gt; _xlpm.clave)) &lt; 4,
        C65,
        E65
    ),"No disp")
)</f>
        <v>304</v>
      </c>
      <c r="R65" s="14" t="str" cm="1">
        <f t="array" aca="1" ref="R65" ca="1">_xlfn.LET(
    _xlpm.puntosPrin, _xlfn._xlws.FILTER(G:G + B:B/1000, A:A=A65),
    _xlpm.puntosPrinValidos, SUM(--(_xlpm.puntosPrin&gt;1)),
    _xlpm.puntosTer, _xlfn._xlws.FILTER(J:J + B:B/1000, A:A=A65),
    _xlpm.puntosTerValidos, SUM(--(_xlpm.puntosTer&gt;1)),
    _xlpm.clave, M65 + B65/1000,
    _xlpm.claves, _xlfn._xlws.FILTER(M:M + B:B/1000, A:A=A65),
    IF(AND(_xlpm.puntosPrinValidos&gt;=4,_xlpm.puntosTerValidos&gt;=2),IF(
        SUM(--(_xlpm.claves &gt; _xlpm.clave)) &lt; 4,
        C65,
        F65
    ),"No disp")
)</f>
        <v>No disp</v>
      </c>
      <c r="S65" s="14" cm="1">
        <f t="array" aca="1" ref="S65" ca="1">_xlfn.LET(
    _xlpm.ptsPrinBase, _xlfn._xlws.FILTER(G:G, A:A=A65),
    _xlpm.ptsSecBase,  _xlfn._xlws.FILTER(H:H, A:A=A65),
    _xlpm.puntosPrin, _xlpm.ptsPrinBase + _xlfn._xlws.FILTER(B:B, A:A=A65)/1000,
    _xlpm.puntosSec,  _xlpm.ptsSecBase  + _xlfn._xlws.FILTER(B:B, A:A=A65)/1000,
    _xlpm.puntosPrinValidos, SUM(--(_xlpm.ptsPrinBase&gt;0)),
    _xlpm.puntosSecValidos,  SUM(--(_xlpm.ptsSecBase&gt;0)),
    _xlpm.clave, K65 + B65/1000,
    _xlpm.claves, _xlfn._xlws.FILTER(K:K + B:B/1000, A:A=A65),
    IF(
        AND(_xlpm.puntosPrinValidos&gt;=2, _xlpm.puntosSecValidos&gt;=4),
        IF(
            SUM(--(_xlpm.claves &lt; _xlpm.clave)) &lt; 4,
            D65,
            C65
        ),
        "No disp"
    )
)</f>
        <v>113</v>
      </c>
      <c r="T65" s="14" cm="1">
        <f t="array" aca="1" ref="T65" ca="1">_xlfn.LET(
    _xlpm.puntosSec, _xlfn._xlws.FILTER(H:H + B:B/1000, A:A=A65),
    _xlpm.puntosSecValidos, SUM(--(_xlpm.puntosSec&gt;1)),
    _xlpm.puntosAlt, _xlfn._xlws.FILTER(I:I + B:B/1000, A:A=A65),
    _xlpm.puntosAltValidos, SUM(--(_xlpm.puntosAlt&gt;1)),
    _xlpm.clave, N65 + B65/1000,
    _xlpm.claves, _xlfn._xlws.FILTER(N:N + B:B/1000, A:A=A65),
    IF(AND(_xlpm.puntosSecValidos&gt;=4,_xlpm.puntosAltValidos&gt;=2),IF(
        SUM(--(_xlpm.claves &gt; _xlpm.clave)) &lt; 4,
        D65,
        E65
    ),"No disp")
)</f>
        <v>113</v>
      </c>
      <c r="U65" s="14" t="str" cm="1">
        <f t="array" aca="1" ref="U65" ca="1">_xlfn.LET(
    _xlpm.puntosSec, _xlfn._xlws.FILTER(H:H + B:B/1000, A:A=A65),
    _xlpm.puntosSecValidos, SUM(--(_xlpm.puntosSec&gt;1)),
    _xlpm.puntosAlt, _xlfn._xlws.FILTER(J:J + B:B/1000, A:A=A65),
    _xlpm.puntosAltValidos, SUM(--(_xlpm.puntosAlt&gt;1)),
    _xlpm.clave, O65 + B65/1000,
    _xlpm.claves, _xlfn._xlws.FILTER(O:O + B:B/1000, A:A=A65),
    IF(AND(_xlpm.puntosSecValidos&gt;=4,_xlpm.puntosAltValidos&gt;=2),IF(
        SUM(--(_xlpm.claves &gt; _xlpm.clave)) &lt; 4,
        D65,
        F65
    ),"No disp")
)</f>
        <v>No disp</v>
      </c>
      <c r="V65" s="4" cm="1">
        <f t="array" aca="1" ref="V65" ca="1">_xlfn.LET(
_xlpm.PrinIDs,_xlfn._xlws.FILTER(C:C,(A:A=A65)),
_xlpm.SecIDs,_xlfn._xlws.FILTER(D:D,(A:A=A65)),
_xlpm.TerIDs,_xlfn._xlws.FILTER(E:E,A:A=A65),
_xlpm.CuaIDs,_xlfn._xlws.FILTER(F:F,(A:A=A65)),
_xlpm.PrinPts,_xlfn._xlws.FILTER(G:G,(A:A=A65)),
_xlpm.SecPts,_xlfn._xlws.FILTER(H:H,(A:A=A65)),
_xlpm.TerPts,_xlfn._xlws.FILTER(I:I,(A:A=A65)),
_xlpm.CuaPts,_xlfn._xlws.FILTER(J:J,(A:A=A65)),
_xlpm.PSIds,_xlfn._xlws.FILTER(P:P,A:A=A65),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544.77</v>
      </c>
      <c r="W65" s="4" cm="1">
        <f t="array" aca="1" ref="W65" ca="1">_xlfn.LET(
_xlpm.PrinIDs,_xlfn._xlws.FILTER(C:C,(A:A=A65)),
_xlpm.SecIDs,_xlfn._xlws.FILTER(D:D,(A:A=A65)),
_xlpm.TerIDs,_xlfn._xlws.FILTER(E:E,A:A=A65),
_xlpm.CuaIDs,_xlfn._xlws.FILTER(F:F,(A:A=A65)),
_xlpm.PrinPts,_xlfn._xlws.FILTER(G:G,(A:A=A65)),
_xlpm.SecPts,_xlfn._xlws.FILTER(H:H,(A:A=A65)),
_xlpm.TerPts,_xlfn._xlws.FILTER(I:I,(A:A=A65)),
_xlpm.CuaPts,_xlfn._xlws.FILTER(J:J,(A:A=A65)),
_xlpm.PTIds,_xlfn._xlws.FILTER(Q:Q,A:A=A65),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550.62</v>
      </c>
      <c r="X65" s="4" cm="1">
        <f t="array" aca="1" ref="X65" ca="1">_xlfn.LET(
_xlpm.PrinIDs,_xlfn._xlws.FILTER(C:C,(A:A=A65)),
_xlpm.SecIDs,_xlfn._xlws.FILTER(D:D,(A:A=A65)),
_xlpm.TerIDs,_xlfn._xlws.FILTER(E:E,A:A=A65),
_xlpm.CuaIDs,_xlfn._xlws.FILTER(F:F,(A:A=A65)),
_xlpm.PrinPts,_xlfn._xlws.FILTER(G:G,(A:A=A65)),
_xlpm.SecPts,_xlfn._xlws.FILTER(H:H,(A:A=A65)),
_xlpm.TerPts,_xlfn._xlws.FILTER(I:I,(A:A=A65)),
_xlpm.CuaPts,_xlfn._xlws.FILTER(J:J,(A:A=A65)),
_xlpm.PCIds,_xlfn._xlws.FILTER(R:R,A:A=A65),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65" s="4" cm="1">
        <f t="array" aca="1" ref="Y65" ca="1">_xlfn.LET(
_xlpm.PrinIDs,_xlfn._xlws.FILTER(C:C,(A:A=A65)),
_xlpm.SecIDs,_xlfn._xlws.FILTER(D:D,(A:A=A65)),
_xlpm.AltIDs,_xlfn._xlws.FILTER(E:E,A:A=A65),
_xlpm.PrinPts,_xlfn._xlws.FILTER(G:G,(A:A=A65)),
_xlpm.SecPts,_xlfn._xlws.FILTER(H:H,(A:A=A65)),
_xlpm.AltPts,_xlfn._xlws.FILTER(I:I,(A:A=A65)),
_xlpm.SPIds,_xlfn._xlws.FILTER(S:S,A:A=A65),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583.83000000000004</v>
      </c>
      <c r="Z65" s="4" cm="1">
        <f t="array" aca="1" ref="Z65" ca="1">_xlfn.LET(
_xlpm.PrinIDs,_xlfn._xlws.FILTER(C:C,(A:A=A65)),
_xlpm.SecIDs,_xlfn._xlws.FILTER(D:D,(A:A=A65)),
_xlpm.TerIDs,_xlfn._xlws.FILTER(E:E,A:A=A65),
_xlpm.CuaIDs,_xlfn._xlws.FILTER(F:F,(A:A=A65)),
_xlpm.PrinPts,_xlfn._xlws.FILTER(G:G,(A:A=A65)),
_xlpm.SecPts,_xlfn._xlws.FILTER(H:H,(A:A=A65)),
_xlpm.TerPts,_xlfn._xlws.FILTER(I:I,(A:A=A65)),
_xlpm.CuaPts,_xlfn._xlws.FILTER(J:J,(A:A=A65)),
_xlpm.STIds,_xlfn._xlws.FILTER(T:T,A:A=A65),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539.1</v>
      </c>
      <c r="AA65" s="4" cm="1">
        <f t="array" aca="1" ref="AA65" ca="1">_xlfn.LET(
_xlpm.PrinIDs,_xlfn._xlws.FILTER(C:C,(A:A=A65)),
_xlpm.SecIDs,_xlfn._xlws.FILTER(D:D,(A:A=A65)),
_xlpm.TerIDs,_xlfn._xlws.FILTER(E:E,A:A=A65),
_xlpm.CuaIDs,_xlfn._xlws.FILTER(F:F,(A:A=A65)),
_xlpm.PrinPts,_xlfn._xlws.FILTER(G:G,(A:A=A65)),
_xlpm.SecPts,_xlfn._xlws.FILTER(H:H,(A:A=A65)),
_xlpm.TerPts,_xlfn._xlws.FILTER(I:I,(A:A=A65)),
_xlpm.CuaPts,_xlfn._xlws.FILTER(J:J,(A:A=A65)),
_xlpm.SCIds,_xlfn._xlws.FILTER(U:U,A:A=A65),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65" s="14">
        <f t="shared" ca="1" si="3"/>
        <v>113</v>
      </c>
      <c r="AC65" s="14">
        <v>113</v>
      </c>
      <c r="AD65" s="4"/>
      <c r="AE65" s="14" t="str">
        <f ca="1">IF(ISNUMBER(AC65),
IF($B65=1,VLOOKUP($AC65,Inventario1!$A:$H,2),
IF($B65=2,VLOOKUP($AC65,Inventario2!$A:$H,2),
IF($B65=3,VLOOKUP($AC65,Inventario3!$A:$H,2),
IF($B65=4,VLOOKUP($AC65,Inventario4!$A:$H,2),
IF($B65=5,VLOOKUP($AC65,Inventario5!$A:$H,2),
VLOOKUP($AC65,Inventario6!$A:$H,2)
))))),"No equipado")</f>
        <v>Épico</v>
      </c>
      <c r="AF65" s="14" t="str">
        <f ca="1">IF(ISNUMBER(AC65),
IF($B65=1,VLOOKUP($AC65,Inventario1!$A:$H,3),
IF($B65=2,VLOOKUP($AC65,Inventario2!$A:$H,3),
IF($B65=3,VLOOKUP($AC65,Inventario3!$A:$H,3),
IF($B65=4,VLOOKUP($AC65,Inventario4!$A:$H,3),
IF($B65=5,VLOOKUP($AC65,Inventario5!$A:$H,3),
VLOOKUP($AC65,Inventario6!$A:$H,3)
))))),"")</f>
        <v>Bloque preciso</v>
      </c>
      <c r="AG65" s="14" t="str">
        <f ca="1">IF(ISNUMBER(AC65),
IF($B65=1,VLOOKUP($AC65,Inventario1!$A:$H,4),
IF($B65=2,VLOOKUP($AC65,Inventario2!$A:$H,4),
IF($B65=3,VLOOKUP($AC65,Inventario3!$A:$H,4),
IF($B65=4,VLOOKUP($AC65,Inventario4!$A:$H,4),
IF($B65=5,VLOOKUP($AC65,Inventario5!$A:$H,4),
VLOOKUP($AC65,Inventario6!$A:$H,4)
))))),"")</f>
        <v>Bloqueo</v>
      </c>
      <c r="AH65" s="14" t="str">
        <f ca="1">IF(ISNUMBER(AC65),
IF($B65=1,VLOOKUP($AC65,Inventario1!$A:$H,5),
IF($B65=2,VLOOKUP($AC65,Inventario2!$A:$H,5),
IF($B65=3,VLOOKUP($AC65,Inventario3!$A:$H,5),
IF($B65=4,VLOOKUP($AC65,Inventario4!$A:$H,5),
IF($B65=5,VLOOKUP($AC65,Inventario5!$A:$H,5),
VLOOKUP($AC65,Inventario6!$A:$H,5)
))))),"")</f>
        <v>Ataque rápido</v>
      </c>
      <c r="AI65" s="14" t="str">
        <f ca="1">IF(ISNUMBER(AC65),
IF($B65=1,VLOOKUP($AC65,Inventario1!$A:$H,6),
IF($B65=2,VLOOKUP($AC65,Inventario2!$A:$H,6),
IF($B65=3,VLOOKUP($AC65,Inventario3!$A:$H,6),
IF($B65=4,VLOOKUP($AC65,Inventario4!$A:$H,6),
IF($B65=5,VLOOKUP($AC65,Inventario5!$A:$H,6),
VLOOKUP($AC65,Inventario6!$A:$H,6)
))))),"")</f>
        <v>Bloqueo</v>
      </c>
      <c r="AJ65" s="14" t="str">
        <f ca="1">IF(ISNUMBER(AC65),
IF($B65=1,VLOOKUP($AC65,Inventario1!$A:$H,7),
IF($B65=2,VLOOKUP($AC65,Inventario2!$A:$H,7),
IF($B65=3,VLOOKUP($AC65,Inventario3!$A:$H,7),
IF($B65=4,VLOOKUP($AC65,Inventario4!$A:$H,7),
IF($B65=5,VLOOKUP($AC65,Inventario5!$A:$H,7),
VLOOKUP($AC65,Inventario6!$A:$H,7)
))))),"")</f>
        <v>Reflejos</v>
      </c>
      <c r="AK65" s="15" t="str">
        <f ca="1">IF(ISNUMBER(AC65),
IF($B65=1,VLOOKUP($AC65,Inventario1!$A:$H,8),
IF($B65=2,VLOOKUP($AC65,Inventario2!$A:$H,8),
IF($B65=3,VLOOKUP($AC65,Inventario3!$A:$H,8),
IF($B65=4,VLOOKUP($AC65,Inventario4!$A:$H,8),
IF($B65=5,VLOOKUP($AC65,Inventario5!$A:$H,8),
VLOOKUP($AC65,Inventario6!$A:$H,8)
))))),"")</f>
        <v>Bloqueo</v>
      </c>
    </row>
    <row r="66" spans="1:37" x14ac:dyDescent="0.25">
      <c r="A66" s="21" t="s">
        <v>20</v>
      </c>
      <c r="B66" s="3">
        <v>5</v>
      </c>
      <c r="C66" s="14" cm="1">
        <f t="array" aca="1" ref="C66" ca="1">_xlfn.LET(
    _xlpm.jugador, A66,
    _xlpm.idSel, AC66,
    _xlpm.invIDs, IF(B66=1,Inventario1!A:A,IF(B66=2,Inventario2!A:A,IF(B66=3,Inventario3!A:A,IF(B66=4,Inventario4!A:A,IF(B66=5,Inventario5!A:A,Inventario6!A:A))))),
    _xlpm.invCalidad, IF(B66=1,Inventario1!B:B,IF(B66=2,Inventario2!B:B,IF(B66=3,Inventario3!B:B,IF(B66=4,Inventario4!B:B,IF(B66=5,Inventario5!B:B,Inventario6!B:B))))),
    _xlpm.invTipos, IF(B66=1,Inventario1!C:C,IF(B66=2,Inventario2!C:C,IF(B66=3,Inventario3!C:C,IF(B66=4,Inventario4!C:C,IF(B66=5,Inventario5!C:C,Inventario6!C:C))))),
    _xlpm.invStats, IF(B66=1,Inventario1!D:H,IF(B66=2,Inventario2!D:H,IF(B66=3,Inventario3!D:H,IF(B66=4,Inventario4!D:H,IF(B66=5,Inventario5!D:H,Inventario6!D:H))))),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IF(ROW(A66)=2,"",IF(_xlfn._xlws.FILTER(Equipar!AC$2:AC65,Equipar!B$2:B65=B66)={0},"",_xlfn._xlws.FILTER(Equipar!AC$2:AC65,Equipar!B$2:B65=B66))),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257</v>
      </c>
      <c r="D66" s="4" cm="1">
        <f t="array" ref="D66">_xlfn.LET(
    _xlpm.jugador, A66,
    _xlpm.idSel, AC66,
    _xlpm.invIDs, IF(B66=1,Inventario1!A:A,IF(B66=2,Inventario2!A:A,IF(B66=3,Inventario3!A:A,IF(B66=4,Inventario4!A:A,IF(B66=5,Inventario5!A:A,Inventario6!A:A))))),
    _xlpm.invCalidad, IF(B66=1,Inventario1!B:B,IF(B66=2,Inventario2!B:B,IF(B66=3,Inventario3!B:B,IF(B66=4,Inventario4!B:B,IF(B66=5,Inventario5!B:B,Inventario6!B:B))))),
    _xlpm.invTipos, IF(B66=1,Inventario1!C:C,IF(B66=2,Inventario2!C:C,IF(B66=3,Inventario3!C:C,IF(B66=4,Inventario4!C:C,IF(B66=5,Inventario5!C:C,Inventario6!C:C))))),
    _xlpm.invStats, IF(B66=1,Inventario1!D:H,IF(B66=2,Inventario2!D:H,IF(B66=3,Inventario3!D:H,IF(B66=4,Inventario4!D:H,IF(B66=5,Inventario5!D:H,Inventario6!D:H))))),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IF(ROW(A66)=2,"",IF(_xlfn._xlws.FILTER(Equipar!AC$2:AC65,Equipar!B$2:B65=B66)={0},"",_xlfn._xlws.FILTER(Equipar!AC$2:AC65,Equipar!B$2:B65=B66))),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96</v>
      </c>
      <c r="E66" s="4" cm="1">
        <f t="array" ref="E66">_xlfn.LET(
    _xlpm.jugador, A66,
    _xlpm.idSel, AC66,
    _xlpm.invIDs, IF(B66=1,Inventario1!A:A,IF(B66=2,Inventario2!A:A,IF(B66=3,Inventario3!A:A,IF(B66=4,Inventario4!A:A,IF(B66=5,Inventario5!A:A,Inventario6!A:A))))),
    _xlpm.invCalidad, IF(B66=1,Inventario1!B:B,IF(B66=2,Inventario2!B:B,IF(B66=3,Inventario3!B:B,IF(B66=4,Inventario4!B:B,IF(B66=5,Inventario5!B:B,Inventario6!B:B))))),
    _xlpm.invTipos, IF(B66=1,Inventario1!C:C,IF(B66=2,Inventario2!C:C,IF(B66=3,Inventario3!C:C,IF(B66=4,Inventario4!C:C,IF(B66=5,Inventario5!C:C,Inventario6!C:C))))),
    _xlpm.invStats, IF(B66=1,Inventario1!D:H,IF(B66=2,Inventario2!D:H,IF(B66=3,Inventario3!D:H,IF(B66=4,Inventario4!D:H,IF(B66=5,Inventario5!D:H,Inventario6!D:H))))),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IF(ROW(A66)=2,"",IF(_xlfn._xlws.FILTER(Equipar!AC$2:AC65,Equipar!B$2:B65=B66)={0},"",_xlfn._xlws.FILTER(Equipar!AC$2:AC65,Equipar!B$2:B65=B66))),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100</v>
      </c>
      <c r="F66" s="4" t="str" cm="1">
        <f t="array" aca="1" ref="F66" ca="1">_xlfn.LET(
    _xlpm.jugador, B66,
    _xlpm.idSel, AD66,
    _xlpm.invIDs, IF(C66=1,Inventario1!B:B,IF(C66=2,Inventario2!B:B,IF(C66=3,Inventario3!B:B,IF(C66=4,Inventario4!B:B,IF(C66=5,Inventario5!B:B,Inventario6!B:B))))),
    _xlpm.invCalidad, IF(C66=1,Inventario1!C:C,IF(C66=2,Inventario2!C:C,IF(C66=3,Inventario3!C:C,IF(C66=4,Inventario4!C:C,IF(C66=5,Inventario5!C:C,Inventario6!C:C))))),
    _xlpm.invTipos, IF(C66=1,Inventario1!D:D,IF(C66=2,Inventario2!D:D,IF(C66=3,Inventario3!D:D,IF(C66=4,Inventario4!D:D,IF(C66=5,Inventario5!D:D,Inventario6!D:D))))),
    _xlpm.invStats, IF(C66=1,Inventario1!E:I,IF(C66=2,Inventario2!E:I,IF(C66=3,Inventario3!E:I,IF(C66=4,Inventario4!E:I,IF(C66=5,Inventario5!E:I,Inventario6!E:I))))),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IF(ROW(B66)=2,"",IF(_xlfn._xlws.FILTER(Equipar!AD$2:AD65,Equipar!C$2:C65=C66)={0},"",_xlfn._xlws.FILTER(Equipar!AD$2:AD65,Equipar!C$2:C65=C66))),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66" s="14" cm="1">
        <f t="array" aca="1" ref="G66" ca="1">_xlfn.LET(
    _xlpm.jugador, A66,
    _xlpm.idSel, AC66,
    _xlpm.invIDs, IF(B66=1,Inventario1!A:A,IF(B66=2,Inventario2!A:A,IF(B66=3,Inventario3!A:A,IF(B66=4,Inventario4!A:A,IF(B66=5,Inventario5!A:A,Inventario6!A:A))))),
    _xlpm.invCalidad, IF(B66=1,Inventario1!B:B,IF(B66=2,Inventario2!B:B,IF(B66=3,Inventario3!B:B,IF(B66=4,Inventario4!B:B,IF(B66=5,Inventario5!B:B,Inventario6!B:B))))),
    _xlpm.invTipos, IF(B66=1,Inventario1!C:C,IF(B66=2,Inventario2!C:C,IF(B66=3,Inventario3!C:C,IF(B66=4,Inventario4!C:C,IF(B66=5,Inventario5!C:C,Inventario6!C:C))))),
    _xlpm.invStats, IF(B66=1,Inventario1!D:H,IF(B66=2,Inventario2!D:H,IF(B66=3,Inventario3!D:H,IF(B66=4,Inventario4!D:H,IF(B66=5,Inventario5!D:H,Inventario6!D:H))))),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IF(ROW(A66)=2,"",IF(_xlfn._xlws.FILTER(Equipar!AC$2:AC65,Equipar!B$2:B65=B66)={0},"",_xlfn._xlws.FILTER(Equipar!AC$2:AC65,Equipar!B$2:B65=B66))),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59.85</v>
      </c>
      <c r="H66" s="4" cm="1">
        <f t="array" ref="H66">_xlfn.LET(
    _xlpm.jugador, A66,
    _xlpm.idSel, AC66,
    _xlpm.invIDs, IF(B66=1,Inventario1!A:A,IF(B66=2,Inventario2!A:A,IF(B66=3,Inventario3!A:A,IF(B66=4,Inventario4!A:A,IF(B66=5,Inventario5!A:A,Inventario6!A:A))))),
    _xlpm.invCalidad, IF(B66=1,Inventario1!B:B,IF(B66=2,Inventario2!B:B,IF(B66=3,Inventario3!B:B,IF(B66=4,Inventario4!B:B,IF(B66=5,Inventario5!B:B,Inventario6!B:B))))),
    _xlpm.invTipos, IF(B66=1,Inventario1!C:C,IF(B66=2,Inventario2!C:C,IF(B66=3,Inventario3!C:C,IF(B66=4,Inventario4!C:C,IF(B66=5,Inventario5!C:C,Inventario6!C:C))))),
    _xlpm.invStats, IF(B66=1,Inventario1!D:H,IF(B66=2,Inventario2!D:H,IF(B66=3,Inventario3!D:H,IF(B66=4,Inventario4!D:H,IF(B66=5,Inventario5!D:H,Inventario6!D:H))))),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IF(ROW(A66)=2,"",IF(_xlfn._xlws.FILTER(Equipar!AC$2:AC65,Equipar!B$2:B65=B66)={0},"",_xlfn._xlws.FILTER(Equipar!AC$2:AC65,Equipar!B$2:B65=B66))),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59.85</v>
      </c>
      <c r="I66" s="4" cm="1">
        <f t="array" ref="I66">_xlfn.LET(
    _xlpm.jugador, A66,
    _xlpm.idSel, AC66,
    _xlpm.invIDs, IF(B66=1,Inventario1!A:A,IF(B66=2,Inventario2!A:A,IF(B66=3,Inventario3!A:A,IF(B66=4,Inventario4!A:A,IF(B66=5,Inventario5!A:A,Inventario6!A:A))))),
    _xlpm.invCalidad, IF(B66=1,Inventario1!B:B,IF(B66=2,Inventario2!B:B,IF(B66=3,Inventario3!B:B,IF(B66=4,Inventario4!B:B,IF(B66=5,Inventario5!B:B,Inventario6!B:B))))),
    _xlpm.invTipos, IF(B66=1,Inventario1!C:C,IF(B66=2,Inventario2!C:C,IF(B66=3,Inventario3!C:C,IF(B66=4,Inventario4!C:C,IF(B66=5,Inventario5!C:C,Inventario6!C:C))))),
    _xlpm.invStats, IF(B66=1,Inventario1!D:H,IF(B66=2,Inventario2!D:H,IF(B66=3,Inventario3!D:H,IF(B66=4,Inventario4!D:H,IF(B66=5,Inventario5!D:H,Inventario6!D:H))))),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IF(ROW(A66)=2,"",IF(_xlfn._xlws.FILTER(Equipar!AC$2:AC65,Equipar!B$2:B65=B66)={0},"",_xlfn._xlws.FILTER(Equipar!AC$2:AC65,Equipar!B$2:B65=B66))),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47.88</v>
      </c>
      <c r="J66" s="4" cm="1">
        <f t="array" aca="1" ref="J66" ca="1">_xlfn.LET(
    _xlpm.jugador, B66,
    _xlpm.idSel, AD66,
    _xlpm.invIDs, IF(C66=1,Inventario1!B:B,IF(C66=2,Inventario2!B:B,IF(C66=3,Inventario3!B:B,IF(C66=4,Inventario4!B:B,IF(C66=5,Inventario5!B:B,Inventario6!B:B))))),
    _xlpm.invCalidad, IF(C66=1,Inventario1!C:C,IF(C66=2,Inventario2!C:C,IF(C66=3,Inventario3!C:C,IF(C66=4,Inventario4!C:C,IF(C66=5,Inventario5!C:C,Inventario6!C:C))))),
    _xlpm.invTipos, IF(C66=1,Inventario1!D:D,IF(C66=2,Inventario2!D:D,IF(C66=3,Inventario3!D:D,IF(C66=4,Inventario4!D:D,IF(C66=5,Inventario5!D:D,Inventario6!D:D))))),
    _xlpm.invStats, IF(C66=1,Inventario1!E:I,IF(C66=2,Inventario2!E:I,IF(C66=3,Inventario3!E:I,IF(C66=4,Inventario4!E:I,IF(C66=5,Inventario5!E:I,Inventario6!E:I))))),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IF(ROW(B66)=2,"",IF(_xlfn._xlws.FILTER(Equipar!AD$2:AD65,Equipar!C$2:C65=C66)={0},"",_xlfn._xlws.FILTER(Equipar!AD$2:AD65,Equipar!C$2:C65=C66))),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66" s="4">
        <f t="shared" ca="1" si="0"/>
        <v>0</v>
      </c>
      <c r="L66" s="4">
        <f t="shared" ca="1" si="1"/>
        <v>11.969999999999999</v>
      </c>
      <c r="M66" s="4">
        <f t="shared" ca="1" si="1"/>
        <v>59.85</v>
      </c>
      <c r="N66" s="4">
        <f t="shared" si="2"/>
        <v>11.969999999999999</v>
      </c>
      <c r="O66" s="4">
        <f t="shared" ca="1" si="2"/>
        <v>47.88</v>
      </c>
      <c r="P66" s="14" cm="1">
        <f t="array" aca="1" ref="P66" ca="1">_xlfn.LET(
    _xlpm.ptsPrinBase, _xlfn._xlws.FILTER(G:G, A:A=A66),
    _xlpm.ptsSecBase,  _xlfn._xlws.FILTER(H:H, A:A=A66),
    _xlpm.puntosPrin, _xlpm.ptsPrinBase + _xlfn._xlws.FILTER(B:B, A:A=A66)/1000,
    _xlpm.puntosSec,  _xlpm.ptsSecBase  + _xlfn._xlws.FILTER(B:B, A:A=A66)/1000,
    _xlpm.puntosPrinValidos, SUM(--(_xlpm.ptsPrinBase&gt;0)),
    _xlpm.puntosSecValidos,  SUM(--(_xlpm.ptsSecBase&gt;0)),
    _xlpm.clave, K66 + B66/1000,
    _xlpm.claves, _xlfn._xlws.FILTER(K:K + B:B/1000, A:A=A66),
    IF(AND(_xlpm.puntosPrinValidos&gt;=4,_xlpm.puntosSecValidos&gt;=2),IF(
        SUM(--(_xlpm.claves &gt; _xlpm.clave)) &lt; 4,
        C66,
        D66
    ),"No disp")
)</f>
        <v>257</v>
      </c>
      <c r="Q66" s="14" cm="1">
        <f t="array" aca="1" ref="Q66" ca="1">_xlfn.LET(
    _xlpm.puntosPrin, _xlfn._xlws.FILTER(G:G + B:B/1000, A:A=A66),
    _xlpm.puntosPrinValidos, SUM(--(_xlpm.puntosPrin&gt;1)),
    _xlpm.puntosTer, _xlfn._xlws.FILTER(I:I + B:B/1000, A:A=A66),
    _xlpm.puntosTerValidos, SUM(--(_xlpm.puntosTer&gt;1)),
    _xlpm.clave, L66 + B66/1000,
    _xlpm.claves, _xlfn._xlws.FILTER(L:L + B:B/1000, A:A=A66),
    IF(AND(_xlpm.puntosPrinValidos&gt;=4,_xlpm.puntosTerValidos&gt;=2),IF(
        SUM(--(_xlpm.claves &gt; _xlpm.clave)) &lt; 4,
        C66,
        E66
    ),"No disp")
)</f>
        <v>257</v>
      </c>
      <c r="R66" s="14" t="str" cm="1">
        <f t="array" aca="1" ref="R66" ca="1">_xlfn.LET(
    _xlpm.puntosPrin, _xlfn._xlws.FILTER(G:G + B:B/1000, A:A=A66),
    _xlpm.puntosPrinValidos, SUM(--(_xlpm.puntosPrin&gt;1)),
    _xlpm.puntosTer, _xlfn._xlws.FILTER(J:J + B:B/1000, A:A=A66),
    _xlpm.puntosTerValidos, SUM(--(_xlpm.puntosTer&gt;1)),
    _xlpm.clave, M66 + B66/1000,
    _xlpm.claves, _xlfn._xlws.FILTER(M:M + B:B/1000, A:A=A66),
    IF(AND(_xlpm.puntosPrinValidos&gt;=4,_xlpm.puntosTerValidos&gt;=2),IF(
        SUM(--(_xlpm.claves &gt; _xlpm.clave)) &lt; 4,
        C66,
        F66
    ),"No disp")
)</f>
        <v>No disp</v>
      </c>
      <c r="S66" s="14" cm="1">
        <f t="array" aca="1" ref="S66" ca="1">_xlfn.LET(
    _xlpm.ptsPrinBase, _xlfn._xlws.FILTER(G:G, A:A=A66),
    _xlpm.ptsSecBase,  _xlfn._xlws.FILTER(H:H, A:A=A66),
    _xlpm.puntosPrin, _xlpm.ptsPrinBase + _xlfn._xlws.FILTER(B:B, A:A=A66)/1000,
    _xlpm.puntosSec,  _xlpm.ptsSecBase  + _xlfn._xlws.FILTER(B:B, A:A=A66)/1000,
    _xlpm.puntosPrinValidos, SUM(--(_xlpm.ptsPrinBase&gt;0)),
    _xlpm.puntosSecValidos,  SUM(--(_xlpm.ptsSecBase&gt;0)),
    _xlpm.clave, K66 + B66/1000,
    _xlpm.claves, _xlfn._xlws.FILTER(K:K + B:B/1000, A:A=A66),
    IF(
        AND(_xlpm.puntosPrinValidos&gt;=2, _xlpm.puntosSecValidos&gt;=4),
        IF(
            SUM(--(_xlpm.claves &lt; _xlpm.clave)) &lt; 4,
            D66,
            C66
        ),
        "No disp"
    )
)</f>
        <v>257</v>
      </c>
      <c r="T66" s="14" cm="1">
        <f t="array" aca="1" ref="T66" ca="1">_xlfn.LET(
    _xlpm.puntosSec, _xlfn._xlws.FILTER(H:H + B:B/1000, A:A=A66),
    _xlpm.puntosSecValidos, SUM(--(_xlpm.puntosSec&gt;1)),
    _xlpm.puntosAlt, _xlfn._xlws.FILTER(I:I + B:B/1000, A:A=A66),
    _xlpm.puntosAltValidos, SUM(--(_xlpm.puntosAlt&gt;1)),
    _xlpm.clave, N66 + B66/1000,
    _xlpm.claves, _xlfn._xlws.FILTER(N:N + B:B/1000, A:A=A66),
    IF(AND(_xlpm.puntosSecValidos&gt;=4,_xlpm.puntosAltValidos&gt;=2),IF(
        SUM(--(_xlpm.claves &gt; _xlpm.clave)) &lt; 4,
        D66,
        E66
    ),"No disp")
)</f>
        <v>96</v>
      </c>
      <c r="U66" s="14" t="str" cm="1">
        <f t="array" aca="1" ref="U66" ca="1">_xlfn.LET(
    _xlpm.puntosSec, _xlfn._xlws.FILTER(H:H + B:B/1000, A:A=A66),
    _xlpm.puntosSecValidos, SUM(--(_xlpm.puntosSec&gt;1)),
    _xlpm.puntosAlt, _xlfn._xlws.FILTER(J:J + B:B/1000, A:A=A66),
    _xlpm.puntosAltValidos, SUM(--(_xlpm.puntosAlt&gt;1)),
    _xlpm.clave, O66 + B66/1000,
    _xlpm.claves, _xlfn._xlws.FILTER(O:O + B:B/1000, A:A=A66),
    IF(AND(_xlpm.puntosSecValidos&gt;=4,_xlpm.puntosAltValidos&gt;=2),IF(
        SUM(--(_xlpm.claves &gt; _xlpm.clave)) &lt; 4,
        D66,
        F66
    ),"No disp")
)</f>
        <v>No disp</v>
      </c>
      <c r="V66" s="4" cm="1">
        <f t="array" aca="1" ref="V66" ca="1">_xlfn.LET(
_xlpm.PrinIDs,_xlfn._xlws.FILTER(C:C,(A:A=A66)),
_xlpm.SecIDs,_xlfn._xlws.FILTER(D:D,(A:A=A66)),
_xlpm.TerIDs,_xlfn._xlws.FILTER(E:E,A:A=A66),
_xlpm.CuaIDs,_xlfn._xlws.FILTER(F:F,(A:A=A66)),
_xlpm.PrinPts,_xlfn._xlws.FILTER(G:G,(A:A=A66)),
_xlpm.SecPts,_xlfn._xlws.FILTER(H:H,(A:A=A66)),
_xlpm.TerPts,_xlfn._xlws.FILTER(I:I,(A:A=A66)),
_xlpm.CuaPts,_xlfn._xlws.FILTER(J:J,(A:A=A66)),
_xlpm.PSIds,_xlfn._xlws.FILTER(P:P,A:A=A66),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544.77</v>
      </c>
      <c r="W66" s="4" cm="1">
        <f t="array" aca="1" ref="W66" ca="1">_xlfn.LET(
_xlpm.PrinIDs,_xlfn._xlws.FILTER(C:C,(A:A=A66)),
_xlpm.SecIDs,_xlfn._xlws.FILTER(D:D,(A:A=A66)),
_xlpm.TerIDs,_xlfn._xlws.FILTER(E:E,A:A=A66),
_xlpm.CuaIDs,_xlfn._xlws.FILTER(F:F,(A:A=A66)),
_xlpm.PrinPts,_xlfn._xlws.FILTER(G:G,(A:A=A66)),
_xlpm.SecPts,_xlfn._xlws.FILTER(H:H,(A:A=A66)),
_xlpm.TerPts,_xlfn._xlws.FILTER(I:I,(A:A=A66)),
_xlpm.CuaPts,_xlfn._xlws.FILTER(J:J,(A:A=A66)),
_xlpm.PTIds,_xlfn._xlws.FILTER(Q:Q,A:A=A66),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550.62</v>
      </c>
      <c r="X66" s="4" cm="1">
        <f t="array" aca="1" ref="X66" ca="1">_xlfn.LET(
_xlpm.PrinIDs,_xlfn._xlws.FILTER(C:C,(A:A=A66)),
_xlpm.SecIDs,_xlfn._xlws.FILTER(D:D,(A:A=A66)),
_xlpm.TerIDs,_xlfn._xlws.FILTER(E:E,A:A=A66),
_xlpm.CuaIDs,_xlfn._xlws.FILTER(F:F,(A:A=A66)),
_xlpm.PrinPts,_xlfn._xlws.FILTER(G:G,(A:A=A66)),
_xlpm.SecPts,_xlfn._xlws.FILTER(H:H,(A:A=A66)),
_xlpm.TerPts,_xlfn._xlws.FILTER(I:I,(A:A=A66)),
_xlpm.CuaPts,_xlfn._xlws.FILTER(J:J,(A:A=A66)),
_xlpm.PCIds,_xlfn._xlws.FILTER(R:R,A:A=A66),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66" s="4" cm="1">
        <f t="array" aca="1" ref="Y66" ca="1">_xlfn.LET(
_xlpm.PrinIDs,_xlfn._xlws.FILTER(C:C,(A:A=A66)),
_xlpm.SecIDs,_xlfn._xlws.FILTER(D:D,(A:A=A66)),
_xlpm.AltIDs,_xlfn._xlws.FILTER(E:E,A:A=A66),
_xlpm.PrinPts,_xlfn._xlws.FILTER(G:G,(A:A=A66)),
_xlpm.SecPts,_xlfn._xlws.FILTER(H:H,(A:A=A66)),
_xlpm.AltPts,_xlfn._xlws.FILTER(I:I,(A:A=A66)),
_xlpm.SPIds,_xlfn._xlws.FILTER(S:S,A:A=A66),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583.83000000000004</v>
      </c>
      <c r="Z66" s="4" cm="1">
        <f t="array" aca="1" ref="Z66" ca="1">_xlfn.LET(
_xlpm.PrinIDs,_xlfn._xlws.FILTER(C:C,(A:A=A66)),
_xlpm.SecIDs,_xlfn._xlws.FILTER(D:D,(A:A=A66)),
_xlpm.TerIDs,_xlfn._xlws.FILTER(E:E,A:A=A66),
_xlpm.CuaIDs,_xlfn._xlws.FILTER(F:F,(A:A=A66)),
_xlpm.PrinPts,_xlfn._xlws.FILTER(G:G,(A:A=A66)),
_xlpm.SecPts,_xlfn._xlws.FILTER(H:H,(A:A=A66)),
_xlpm.TerPts,_xlfn._xlws.FILTER(I:I,(A:A=A66)),
_xlpm.CuaPts,_xlfn._xlws.FILTER(J:J,(A:A=A66)),
_xlpm.STIds,_xlfn._xlws.FILTER(T:T,A:A=A66),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539.1</v>
      </c>
      <c r="AA66" s="4" cm="1">
        <f t="array" aca="1" ref="AA66" ca="1">_xlfn.LET(
_xlpm.PrinIDs,_xlfn._xlws.FILTER(C:C,(A:A=A66)),
_xlpm.SecIDs,_xlfn._xlws.FILTER(D:D,(A:A=A66)),
_xlpm.TerIDs,_xlfn._xlws.FILTER(E:E,A:A=A66),
_xlpm.CuaIDs,_xlfn._xlws.FILTER(F:F,(A:A=A66)),
_xlpm.PrinPts,_xlfn._xlws.FILTER(G:G,(A:A=A66)),
_xlpm.SecPts,_xlfn._xlws.FILTER(H:H,(A:A=A66)),
_xlpm.TerPts,_xlfn._xlws.FILTER(I:I,(A:A=A66)),
_xlpm.CuaPts,_xlfn._xlws.FILTER(J:J,(A:A=A66)),
_xlpm.SCIds,_xlfn._xlws.FILTER(U:U,A:A=A66),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66" s="14">
        <f t="shared" ca="1" si="3"/>
        <v>257</v>
      </c>
      <c r="AC66" s="14">
        <v>257</v>
      </c>
      <c r="AD66" s="4"/>
      <c r="AE66" s="14" t="str">
        <f ca="1">IF(ISNUMBER(AC66),
IF($B66=1,VLOOKUP($AC66,Inventario1!$A:$H,2),
IF($B66=2,VLOOKUP($AC66,Inventario2!$A:$H,2),
IF($B66=3,VLOOKUP($AC66,Inventario3!$A:$H,2),
IF($B66=4,VLOOKUP($AC66,Inventario4!$A:$H,2),
IF($B66=5,VLOOKUP($AC66,Inventario5!$A:$H,2),
VLOOKUP($AC66,Inventario6!$A:$H,2)
))))),"No equipado")</f>
        <v>Legendario</v>
      </c>
      <c r="AF66" s="14" t="str">
        <f ca="1">IF(ISNUMBER(AC66),
IF($B66=1,VLOOKUP($AC66,Inventario1!$A:$H,3),
IF($B66=2,VLOOKUP($AC66,Inventario2!$A:$H,3),
IF($B66=3,VLOOKUP($AC66,Inventario3!$A:$H,3),
IF($B66=4,VLOOKUP($AC66,Inventario4!$A:$H,3),
IF($B66=5,VLOOKUP($AC66,Inventario5!$A:$H,3),
VLOOKUP($AC66,Inventario6!$A:$H,3)
))))),"")</f>
        <v>Guardia contundente</v>
      </c>
      <c r="AG66" s="14" t="str">
        <f ca="1">IF(ISNUMBER(AC66),
IF($B66=1,VLOOKUP($AC66,Inventario1!$A:$H,4),
IF($B66=2,VLOOKUP($AC66,Inventario2!$A:$H,4),
IF($B66=3,VLOOKUP($AC66,Inventario3!$A:$H,4),
IF($B66=4,VLOOKUP($AC66,Inventario4!$A:$H,4),
IF($B66=5,VLOOKUP($AC66,Inventario5!$A:$H,4),
VLOOKUP($AC66,Inventario6!$A:$H,4)
))))),"")</f>
        <v>Recepción</v>
      </c>
      <c r="AH66" s="14" t="str">
        <f ca="1">IF(ISNUMBER(AC66),
IF($B66=1,VLOOKUP($AC66,Inventario1!$A:$H,5),
IF($B66=2,VLOOKUP($AC66,Inventario2!$A:$H,5),
IF($B66=3,VLOOKUP($AC66,Inventario3!$A:$H,5),
IF($B66=4,VLOOKUP($AC66,Inventario4!$A:$H,5),
IF($B66=5,VLOOKUP($AC66,Inventario5!$A:$H,5),
VLOOKUP($AC66,Inventario6!$A:$H,5)
))))),"")</f>
        <v>Bloqueo</v>
      </c>
      <c r="AI66" s="14" t="str">
        <f ca="1">IF(ISNUMBER(AC66),
IF($B66=1,VLOOKUP($AC66,Inventario1!$A:$H,6),
IF($B66=2,VLOOKUP($AC66,Inventario2!$A:$H,6),
IF($B66=3,VLOOKUP($AC66,Inventario3!$A:$H,6),
IF($B66=4,VLOOKUP($AC66,Inventario4!$A:$H,6),
IF($B66=5,VLOOKUP($AC66,Inventario5!$A:$H,6),
VLOOKUP($AC66,Inventario6!$A:$H,6)
))))),"")</f>
        <v>Ataque rápido</v>
      </c>
      <c r="AJ66" s="14" t="str">
        <f ca="1">IF(ISNUMBER(AC66),
IF($B66=1,VLOOKUP($AC66,Inventario1!$A:$H,7),
IF($B66=2,VLOOKUP($AC66,Inventario2!$A:$H,7),
IF($B66=3,VLOOKUP($AC66,Inventario3!$A:$H,7),
IF($B66=4,VLOOKUP($AC66,Inventario4!$A:$H,7),
IF($B66=5,VLOOKUP($AC66,Inventario5!$A:$H,7),
VLOOKUP($AC66,Inventario6!$A:$H,7)
))))),"")</f>
        <v>Recuperación</v>
      </c>
      <c r="AK66" s="15" t="str">
        <f ca="1">IF(ISNUMBER(AC66),
IF($B66=1,VLOOKUP($AC66,Inventario1!$A:$H,8),
IF($B66=2,VLOOKUP($AC66,Inventario2!$A:$H,8),
IF($B66=3,VLOOKUP($AC66,Inventario3!$A:$H,8),
IF($B66=4,VLOOKUP($AC66,Inventario4!$A:$H,8),
IF($B66=5,VLOOKUP($AC66,Inventario5!$A:$H,8),
VLOOKUP($AC66,Inventario6!$A:$H,8)
))))),"")</f>
        <v>Recepción</v>
      </c>
    </row>
    <row r="67" spans="1:37" ht="15.75" thickBot="1" x14ac:dyDescent="0.3">
      <c r="A67" s="22" t="s">
        <v>20</v>
      </c>
      <c r="B67" s="17">
        <v>6</v>
      </c>
      <c r="C67" s="18" cm="1">
        <f t="array" ref="C67">_xlfn.LET(
    _xlpm.jugador, A67,
    _xlpm.idSel, AC67,
    _xlpm.invIDs, IF(B67=1,Inventario1!A:A,IF(B67=2,Inventario2!A:A,IF(B67=3,Inventario3!A:A,IF(B67=4,Inventario4!A:A,IF(B67=5,Inventario5!A:A,Inventario6!A:A))))),
    _xlpm.invCalidad, IF(B67=1,Inventario1!B:B,IF(B67=2,Inventario2!B:B,IF(B67=3,Inventario3!B:B,IF(B67=4,Inventario4!B:B,IF(B67=5,Inventario5!B:B,Inventario6!B:B))))),
    _xlpm.invTipos, IF(B67=1,Inventario1!C:C,IF(B67=2,Inventario2!C:C,IF(B67=3,Inventario3!C:C,IF(B67=4,Inventario4!C:C,IF(B67=5,Inventario5!C:C,Inventario6!C:C))))),
    _xlpm.invStats, IF(B67=1,Inventario1!D:H,IF(B67=2,Inventario2!D:H,IF(B67=3,Inventario3!D:H,IF(B67=4,Inventario4!D:H,IF(B67=5,Inventario5!D:H,Inventario6!D:H))))),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IF(ROW(A67)=2,"",IF(_xlfn._xlws.FILTER(Equipar!AC$2:AC66,Equipar!B$2:B66=B67)={0},"",_xlfn._xlws.FILTER(Equipar!AC$2:AC66,Equipar!B$2:B66=B67))),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206</v>
      </c>
      <c r="D67" s="17" cm="1">
        <f t="array" aca="1" ref="D67" ca="1">_xlfn.LET(
    _xlpm.jugador, A67,
    _xlpm.idSel, AC67,
    _xlpm.invIDs, IF(B67=1,Inventario1!A:A,IF(B67=2,Inventario2!A:A,IF(B67=3,Inventario3!A:A,IF(B67=4,Inventario4!A:A,IF(B67=5,Inventario5!A:A,Inventario6!A:A))))),
    _xlpm.invCalidad, IF(B67=1,Inventario1!B:B,IF(B67=2,Inventario2!B:B,IF(B67=3,Inventario3!B:B,IF(B67=4,Inventario4!B:B,IF(B67=5,Inventario5!B:B,Inventario6!B:B))))),
    _xlpm.invTipos, IF(B67=1,Inventario1!C:C,IF(B67=2,Inventario2!C:C,IF(B67=3,Inventario3!C:C,IF(B67=4,Inventario4!C:C,IF(B67=5,Inventario5!C:C,Inventario6!C:C))))),
    _xlpm.invStats, IF(B67=1,Inventario1!D:H,IF(B67=2,Inventario2!D:H,IF(B67=3,Inventario3!D:H,IF(B67=4,Inventario4!D:H,IF(B67=5,Inventario5!D:H,Inventario6!D:H))))),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IF(ROW(A67)=2,"",IF(_xlfn._xlws.FILTER(Equipar!AC$2:AC66,Equipar!B$2:B66=B67)={0},"",_xlfn._xlws.FILTER(Equipar!AC$2:AC66,Equipar!B$2:B66=B67))),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114</v>
      </c>
      <c r="E67" s="17" cm="1">
        <f t="array" ref="E67">_xlfn.LET(
    _xlpm.jugador, A67,
    _xlpm.idSel, AC67,
    _xlpm.invIDs, IF(B67=1,Inventario1!A:A,IF(B67=2,Inventario2!A:A,IF(B67=3,Inventario3!A:A,IF(B67=4,Inventario4!A:A,IF(B67=5,Inventario5!A:A,Inventario6!A:A))))),
    _xlpm.invCalidad, IF(B67=1,Inventario1!B:B,IF(B67=2,Inventario2!B:B,IF(B67=3,Inventario3!B:B,IF(B67=4,Inventario4!B:B,IF(B67=5,Inventario5!B:B,Inventario6!B:B))))),
    _xlpm.invTipos, IF(B67=1,Inventario1!C:C,IF(B67=2,Inventario2!C:C,IF(B67=3,Inventario3!C:C,IF(B67=4,Inventario4!C:C,IF(B67=5,Inventario5!C:C,Inventario6!C:C))))),
    _xlpm.invStats, IF(B67=1,Inventario1!D:H,IF(B67=2,Inventario2!D:H,IF(B67=3,Inventario3!D:H,IF(B67=4,Inventario4!D:H,IF(B67=5,Inventario5!D:H,Inventario6!D:H))))),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IF(ROW(A67)=2,"",IF(_xlfn._xlws.FILTER(Equipar!AC$2:AC66,Equipar!B$2:B66=B67)={0},"",_xlfn._xlws.FILTER(Equipar!AC$2:AC66,Equipar!B$2:B66=B67))),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115</v>
      </c>
      <c r="F67" s="17" t="str" cm="1">
        <f t="array" aca="1" ref="F67" ca="1">_xlfn.LET(
    _xlpm.jugador, B67,
    _xlpm.idSel, AD67,
    _xlpm.invIDs, IF(C67=1,Inventario1!B:B,IF(C67=2,Inventario2!B:B,IF(C67=3,Inventario3!B:B,IF(C67=4,Inventario4!B:B,IF(C67=5,Inventario5!B:B,Inventario6!B:B))))),
    _xlpm.invCalidad, IF(C67=1,Inventario1!C:C,IF(C67=2,Inventario2!C:C,IF(C67=3,Inventario3!C:C,IF(C67=4,Inventario4!C:C,IF(C67=5,Inventario5!C:C,Inventario6!C:C))))),
    _xlpm.invTipos, IF(C67=1,Inventario1!D:D,IF(C67=2,Inventario2!D:D,IF(C67=3,Inventario3!D:D,IF(C67=4,Inventario4!D:D,IF(C67=5,Inventario5!D:D,Inventario6!D:D))))),
    _xlpm.invStats, IF(C67=1,Inventario1!E:I,IF(C67=2,Inventario2!E:I,IF(C67=3,Inventario3!E:I,IF(C67=4,Inventario4!E:I,IF(C67=5,Inventario5!E:I,Inventario6!E:I))))),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IF(ROW(B67)=2,"",IF(_xlfn._xlws.FILTER(Equipar!AD$2:AD66,Equipar!C$2:C66=C67)={0},"",_xlfn._xlws.FILTER(Equipar!AD$2:AD66,Equipar!C$2:C66=C67))),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67" s="18" cm="1">
        <f t="array" ref="G67">_xlfn.LET(
    _xlpm.jugador, A67,
    _xlpm.idSel, AC67,
    _xlpm.invIDs, IF(B67=1,Inventario1!A:A,IF(B67=2,Inventario2!A:A,IF(B67=3,Inventario3!A:A,IF(B67=4,Inventario4!A:A,IF(B67=5,Inventario5!A:A,Inventario6!A:A))))),
    _xlpm.invCalidad, IF(B67=1,Inventario1!B:B,IF(B67=2,Inventario2!B:B,IF(B67=3,Inventario3!B:B,IF(B67=4,Inventario4!B:B,IF(B67=5,Inventario5!B:B,Inventario6!B:B))))),
    _xlpm.invTipos, IF(B67=1,Inventario1!C:C,IF(B67=2,Inventario2!C:C,IF(B67=3,Inventario3!C:C,IF(B67=4,Inventario4!C:C,IF(B67=5,Inventario5!C:C,Inventario6!C:C))))),
    _xlpm.invStats, IF(B67=1,Inventario1!D:H,IF(B67=2,Inventario2!D:H,IF(B67=3,Inventario3!D:H,IF(B67=4,Inventario4!D:H,IF(B67=5,Inventario5!D:H,Inventario6!D:H))))),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IF(ROW(A67)=2,"",IF(_xlfn._xlws.FILTER(Equipar!AC$2:AC66,Equipar!B$2:B66=B67)={0},"",_xlfn._xlws.FILTER(Equipar!AC$2:AC66,Equipar!B$2:B66=B67))),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H67" s="17" cm="1">
        <f t="array" aca="1" ref="H67" ca="1">_xlfn.LET(
    _xlpm.jugador, A67,
    _xlpm.idSel, AC67,
    _xlpm.invIDs, IF(B67=1,Inventario1!A:A,IF(B67=2,Inventario2!A:A,IF(B67=3,Inventario3!A:A,IF(B67=4,Inventario4!A:A,IF(B67=5,Inventario5!A:A,Inventario6!A:A))))),
    _xlpm.invCalidad, IF(B67=1,Inventario1!B:B,IF(B67=2,Inventario2!B:B,IF(B67=3,Inventario3!B:B,IF(B67=4,Inventario4!B:B,IF(B67=5,Inventario5!B:B,Inventario6!B:B))))),
    _xlpm.invTipos, IF(B67=1,Inventario1!C:C,IF(B67=2,Inventario2!C:C,IF(B67=3,Inventario3!C:C,IF(B67=4,Inventario4!C:C,IF(B67=5,Inventario5!C:C,Inventario6!C:C))))),
    _xlpm.invStats, IF(B67=1,Inventario1!D:H,IF(B67=2,Inventario2!D:H,IF(B67=3,Inventario3!D:H,IF(B67=4,Inventario4!D:H,IF(B67=5,Inventario5!D:H,Inventario6!D:H))))),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IF(ROW(A67)=2,"",IF(_xlfn._xlws.FILTER(Equipar!AC$2:AC66,Equipar!B$2:B66=B67)={0},"",_xlfn._xlws.FILTER(Equipar!AC$2:AC66,Equipar!B$2:B66=B67))),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I67" s="17" cm="1">
        <f t="array" ref="I67">_xlfn.LET(
    _xlpm.jugador, A67,
    _xlpm.idSel, AC67,
    _xlpm.invIDs, IF(B67=1,Inventario1!A:A,IF(B67=2,Inventario2!A:A,IF(B67=3,Inventario3!A:A,IF(B67=4,Inventario4!A:A,IF(B67=5,Inventario5!A:A,Inventario6!A:A))))),
    _xlpm.invCalidad, IF(B67=1,Inventario1!B:B,IF(B67=2,Inventario2!B:B,IF(B67=3,Inventario3!B:B,IF(B67=4,Inventario4!B:B,IF(B67=5,Inventario5!B:B,Inventario6!B:B))))),
    _xlpm.invTipos, IF(B67=1,Inventario1!C:C,IF(B67=2,Inventario2!C:C,IF(B67=3,Inventario3!C:C,IF(B67=4,Inventario4!C:C,IF(B67=5,Inventario5!C:C,Inventario6!C:C))))),
    _xlpm.invStats, IF(B67=1,Inventario1!D:H,IF(B67=2,Inventario2!D:H,IF(B67=3,Inventario3!D:H,IF(B67=4,Inventario4!D:H,IF(B67=5,Inventario5!D:H,Inventario6!D:H))))),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IF(ROW(A67)=2,"",IF(_xlfn._xlws.FILTER(Equipar!AC$2:AC66,Equipar!B$2:B66=B67)={0},"",_xlfn._xlws.FILTER(Equipar!AC$2:AC66,Equipar!B$2:B66=B67))),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J67" s="17" cm="1">
        <f t="array" aca="1" ref="J67" ca="1">_xlfn.LET(
    _xlpm.jugador, B67,
    _xlpm.idSel, AD67,
    _xlpm.invIDs, IF(C67=1,Inventario1!B:B,IF(C67=2,Inventario2!B:B,IF(C67=3,Inventario3!B:B,IF(C67=4,Inventario4!B:B,IF(C67=5,Inventario5!B:B,Inventario6!B:B))))),
    _xlpm.invCalidad, IF(C67=1,Inventario1!C:C,IF(C67=2,Inventario2!C:C,IF(C67=3,Inventario3!C:C,IF(C67=4,Inventario4!C:C,IF(C67=5,Inventario5!C:C,Inventario6!C:C))))),
    _xlpm.invTipos, IF(C67=1,Inventario1!D:D,IF(C67=2,Inventario2!D:D,IF(C67=3,Inventario3!D:D,IF(C67=4,Inventario4!D:D,IF(C67=5,Inventario5!D:D,Inventario6!D:D))))),
    _xlpm.invStats, IF(C67=1,Inventario1!E:I,IF(C67=2,Inventario2!E:I,IF(C67=3,Inventario3!E:I,IF(C67=4,Inventario4!E:I,IF(C67=5,Inventario5!E:I,Inventario6!E:I))))),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IF(ROW(B67)=2,"",IF(_xlfn._xlws.FILTER(Equipar!AD$2:AD66,Equipar!C$2:C66=C67)={0},"",_xlfn._xlws.FILTER(Equipar!AD$2:AD66,Equipar!C$2:C66=C67))),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67" s="17">
        <f t="shared" ref="K67:K115" ca="1" si="4">G67-H67</f>
        <v>-23.760000000000005</v>
      </c>
      <c r="L67" s="17">
        <f t="shared" ref="L67:M115" si="5">G67-I67</f>
        <v>-35.730000000000004</v>
      </c>
      <c r="M67" s="17">
        <f t="shared" ca="1" si="5"/>
        <v>95.76</v>
      </c>
      <c r="N67" s="17">
        <f t="shared" ref="N67:O115" ca="1" si="6">H67-I67</f>
        <v>-11.969999999999999</v>
      </c>
      <c r="O67" s="17">
        <f t="shared" ca="1" si="6"/>
        <v>107.73</v>
      </c>
      <c r="P67" s="18" cm="1">
        <f t="array" aca="1" ref="P67" ca="1">_xlfn.LET(
    _xlpm.ptsPrinBase, _xlfn._xlws.FILTER(G:G, A:A=A67),
    _xlpm.ptsSecBase,  _xlfn._xlws.FILTER(H:H, A:A=A67),
    _xlpm.puntosPrin, _xlpm.ptsPrinBase + _xlfn._xlws.FILTER(B:B, A:A=A67)/1000,
    _xlpm.puntosSec,  _xlpm.ptsSecBase  + _xlfn._xlws.FILTER(B:B, A:A=A67)/1000,
    _xlpm.puntosPrinValidos, SUM(--(_xlpm.ptsPrinBase&gt;0)),
    _xlpm.puntosSecValidos,  SUM(--(_xlpm.ptsSecBase&gt;0)),
    _xlpm.clave, K67 + B67/1000,
    _xlpm.claves, _xlfn._xlws.FILTER(K:K + B:B/1000, A:A=A67),
    IF(AND(_xlpm.puntosPrinValidos&gt;=4,_xlpm.puntosSecValidos&gt;=2),IF(
        SUM(--(_xlpm.claves &gt; _xlpm.clave)) &lt; 4,
        C67,
        D67
    ),"No disp")
)</f>
        <v>114</v>
      </c>
      <c r="Q67" s="18" cm="1">
        <f t="array" aca="1" ref="Q67" ca="1">_xlfn.LET(
    _xlpm.puntosPrin, _xlfn._xlws.FILTER(G:G + B:B/1000, A:A=A67),
    _xlpm.puntosPrinValidos, SUM(--(_xlpm.puntosPrin&gt;1)),
    _xlpm.puntosTer, _xlfn._xlws.FILTER(I:I + B:B/1000, A:A=A67),
    _xlpm.puntosTerValidos, SUM(--(_xlpm.puntosTer&gt;1)),
    _xlpm.clave, L67 + B67/1000,
    _xlpm.claves, _xlfn._xlws.FILTER(L:L + B:B/1000, A:A=A67),
    IF(AND(_xlpm.puntosPrinValidos&gt;=4,_xlpm.puntosTerValidos&gt;=2),IF(
        SUM(--(_xlpm.claves &gt; _xlpm.clave)) &lt; 4,
        C67,
        E67
    ),"No disp")
)</f>
        <v>115</v>
      </c>
      <c r="R67" s="18" t="str" cm="1">
        <f t="array" aca="1" ref="R67" ca="1">_xlfn.LET(
    _xlpm.puntosPrin, _xlfn._xlws.FILTER(G:G + B:B/1000, A:A=A67),
    _xlpm.puntosPrinValidos, SUM(--(_xlpm.puntosPrin&gt;1)),
    _xlpm.puntosTer, _xlfn._xlws.FILTER(J:J + B:B/1000, A:A=A67),
    _xlpm.puntosTerValidos, SUM(--(_xlpm.puntosTer&gt;1)),
    _xlpm.clave, M67 + B67/1000,
    _xlpm.claves, _xlfn._xlws.FILTER(M:M + B:B/1000, A:A=A67),
    IF(AND(_xlpm.puntosPrinValidos&gt;=4,_xlpm.puntosTerValidos&gt;=2),IF(
        SUM(--(_xlpm.claves &gt; _xlpm.clave)) &lt; 4,
        C67,
        F67
    ),"No disp")
)</f>
        <v>No disp</v>
      </c>
      <c r="S67" s="18" cm="1">
        <f t="array" aca="1" ref="S67" ca="1">_xlfn.LET(
    _xlpm.ptsPrinBase, _xlfn._xlws.FILTER(G:G, A:A=A67),
    _xlpm.ptsSecBase,  _xlfn._xlws.FILTER(H:H, A:A=A67),
    _xlpm.puntosPrin, _xlpm.ptsPrinBase + _xlfn._xlws.FILTER(B:B, A:A=A67)/1000,
    _xlpm.puntosSec,  _xlpm.ptsSecBase  + _xlfn._xlws.FILTER(B:B, A:A=A67)/1000,
    _xlpm.puntosPrinValidos, SUM(--(_xlpm.ptsPrinBase&gt;0)),
    _xlpm.puntosSecValidos,  SUM(--(_xlpm.ptsSecBase&gt;0)),
    _xlpm.clave, K67 + B67/1000,
    _xlpm.claves, _xlfn._xlws.FILTER(K:K + B:B/1000, A:A=A67),
    IF(
        AND(_xlpm.puntosPrinValidos&gt;=2, _xlpm.puntosSecValidos&gt;=4),
        IF(
            SUM(--(_xlpm.claves &lt; _xlpm.clave)) &lt; 4,
            D67,
            C67
        ),
        "No disp"
    )
)</f>
        <v>114</v>
      </c>
      <c r="T67" s="18" cm="1">
        <f t="array" aca="1" ref="T67" ca="1">_xlfn.LET(
    _xlpm.puntosSec, _xlfn._xlws.FILTER(H:H + B:B/1000, A:A=A67),
    _xlpm.puntosSecValidos, SUM(--(_xlpm.puntosSec&gt;1)),
    _xlpm.puntosAlt, _xlfn._xlws.FILTER(I:I + B:B/1000, A:A=A67),
    _xlpm.puntosAltValidos, SUM(--(_xlpm.puntosAlt&gt;1)),
    _xlpm.clave, N67 + B67/1000,
    _xlpm.claves, _xlfn._xlws.FILTER(N:N + B:B/1000, A:A=A67),
    IF(AND(_xlpm.puntosSecValidos&gt;=4,_xlpm.puntosAltValidos&gt;=2),IF(
        SUM(--(_xlpm.claves &gt; _xlpm.clave)) &lt; 4,
        D67,
        E67
    ),"No disp")
)</f>
        <v>115</v>
      </c>
      <c r="U67" s="18" t="str" cm="1">
        <f t="array" aca="1" ref="U67" ca="1">_xlfn.LET(
    _xlpm.puntosSec, _xlfn._xlws.FILTER(H:H + B:B/1000, A:A=A67),
    _xlpm.puntosSecValidos, SUM(--(_xlpm.puntosSec&gt;1)),
    _xlpm.puntosAlt, _xlfn._xlws.FILTER(J:J + B:B/1000, A:A=A67),
    _xlpm.puntosAltValidos, SUM(--(_xlpm.puntosAlt&gt;1)),
    _xlpm.clave, O67 + B67/1000,
    _xlpm.claves, _xlfn._xlws.FILTER(O:O + B:B/1000, A:A=A67),
    IF(AND(_xlpm.puntosSecValidos&gt;=4,_xlpm.puntosAltValidos&gt;=2),IF(
        SUM(--(_xlpm.claves &gt; _xlpm.clave)) &lt; 4,
        D67,
        F67
    ),"No disp")
)</f>
        <v>No disp</v>
      </c>
      <c r="V67" s="17" cm="1">
        <f t="array" aca="1" ref="V67" ca="1">_xlfn.LET(
_xlpm.PrinIDs,_xlfn._xlws.FILTER(C:C,(A:A=A67)),
_xlpm.SecIDs,_xlfn._xlws.FILTER(D:D,(A:A=A67)),
_xlpm.TerIDs,_xlfn._xlws.FILTER(E:E,A:A=A67),
_xlpm.CuaIDs,_xlfn._xlws.FILTER(F:F,(A:A=A67)),
_xlpm.PrinPts,_xlfn._xlws.FILTER(G:G,(A:A=A67)),
_xlpm.SecPts,_xlfn._xlws.FILTER(H:H,(A:A=A67)),
_xlpm.TerPts,_xlfn._xlws.FILTER(I:I,(A:A=A67)),
_xlpm.CuaPts,_xlfn._xlws.FILTER(J:J,(A:A=A67)),
_xlpm.PSIds,_xlfn._xlws.FILTER(P:P,A:A=A67),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544.77</v>
      </c>
      <c r="W67" s="17" cm="1">
        <f t="array" aca="1" ref="W67" ca="1">_xlfn.LET(
_xlpm.PrinIDs,_xlfn._xlws.FILTER(C:C,(A:A=A67)),
_xlpm.SecIDs,_xlfn._xlws.FILTER(D:D,(A:A=A67)),
_xlpm.TerIDs,_xlfn._xlws.FILTER(E:E,A:A=A67),
_xlpm.CuaIDs,_xlfn._xlws.FILTER(F:F,(A:A=A67)),
_xlpm.PrinPts,_xlfn._xlws.FILTER(G:G,(A:A=A67)),
_xlpm.SecPts,_xlfn._xlws.FILTER(H:H,(A:A=A67)),
_xlpm.TerPts,_xlfn._xlws.FILTER(I:I,(A:A=A67)),
_xlpm.CuaPts,_xlfn._xlws.FILTER(J:J,(A:A=A67)),
_xlpm.PTIds,_xlfn._xlws.FILTER(Q:Q,A:A=A67),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550.62</v>
      </c>
      <c r="X67" s="17" cm="1">
        <f t="array" aca="1" ref="X67" ca="1">_xlfn.LET(
_xlpm.PrinIDs,_xlfn._xlws.FILTER(C:C,(A:A=A67)),
_xlpm.SecIDs,_xlfn._xlws.FILTER(D:D,(A:A=A67)),
_xlpm.TerIDs,_xlfn._xlws.FILTER(E:E,A:A=A67),
_xlpm.CuaIDs,_xlfn._xlws.FILTER(F:F,(A:A=A67)),
_xlpm.PrinPts,_xlfn._xlws.FILTER(G:G,(A:A=A67)),
_xlpm.SecPts,_xlfn._xlws.FILTER(H:H,(A:A=A67)),
_xlpm.TerPts,_xlfn._xlws.FILTER(I:I,(A:A=A67)),
_xlpm.CuaPts,_xlfn._xlws.FILTER(J:J,(A:A=A67)),
_xlpm.PCIds,_xlfn._xlws.FILTER(R:R,A:A=A67),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67" s="17" cm="1">
        <f t="array" aca="1" ref="Y67" ca="1">_xlfn.LET(
_xlpm.PrinIDs,_xlfn._xlws.FILTER(C:C,(A:A=A67)),
_xlpm.SecIDs,_xlfn._xlws.FILTER(D:D,(A:A=A67)),
_xlpm.AltIDs,_xlfn._xlws.FILTER(E:E,A:A=A67),
_xlpm.PrinPts,_xlfn._xlws.FILTER(G:G,(A:A=A67)),
_xlpm.SecPts,_xlfn._xlws.FILTER(H:H,(A:A=A67)),
_xlpm.AltPts,_xlfn._xlws.FILTER(I:I,(A:A=A67)),
_xlpm.SPIds,_xlfn._xlws.FILTER(S:S,A:A=A67),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583.83000000000004</v>
      </c>
      <c r="Z67" s="17" cm="1">
        <f t="array" aca="1" ref="Z67" ca="1">_xlfn.LET(
_xlpm.PrinIDs,_xlfn._xlws.FILTER(C:C,(A:A=A67)),
_xlpm.SecIDs,_xlfn._xlws.FILTER(D:D,(A:A=A67)),
_xlpm.TerIDs,_xlfn._xlws.FILTER(E:E,A:A=A67),
_xlpm.CuaIDs,_xlfn._xlws.FILTER(F:F,(A:A=A67)),
_xlpm.PrinPts,_xlfn._xlws.FILTER(G:G,(A:A=A67)),
_xlpm.SecPts,_xlfn._xlws.FILTER(H:H,(A:A=A67)),
_xlpm.TerPts,_xlfn._xlws.FILTER(I:I,(A:A=A67)),
_xlpm.CuaPts,_xlfn._xlws.FILTER(J:J,(A:A=A67)),
_xlpm.STIds,_xlfn._xlws.FILTER(T:T,A:A=A67),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539.1</v>
      </c>
      <c r="AA67" s="17" cm="1">
        <f t="array" aca="1" ref="AA67" ca="1">_xlfn.LET(
_xlpm.PrinIDs,_xlfn._xlws.FILTER(C:C,(A:A=A67)),
_xlpm.SecIDs,_xlfn._xlws.FILTER(D:D,(A:A=A67)),
_xlpm.TerIDs,_xlfn._xlws.FILTER(E:E,A:A=A67),
_xlpm.CuaIDs,_xlfn._xlws.FILTER(F:F,(A:A=A67)),
_xlpm.PrinPts,_xlfn._xlws.FILTER(G:G,(A:A=A67)),
_xlpm.SecPts,_xlfn._xlws.FILTER(H:H,(A:A=A67)),
_xlpm.TerPts,_xlfn._xlws.FILTER(I:I,(A:A=A67)),
_xlpm.CuaPts,_xlfn._xlws.FILTER(J:J,(A:A=A67)),
_xlpm.SCIds,_xlfn._xlws.FILTER(U:U,A:A=A67),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67" s="18">
        <f t="shared" ref="AB67:AB121" ca="1" si="7">IF(MAX(V67:AA67)=V67,P67,
IF(MAX(V67:AA67)=W67,Q67,
IF(MAX(V67:AA67)=X67,R67,
IF(MAX(V67:AA67)=Y67,S67,
IF(MAX(V67:AA67)=Z67,T67,
IF(MAX(V67:AA67)=AA67,U67,"Error"))))))</f>
        <v>114</v>
      </c>
      <c r="AC67" s="18">
        <v>114</v>
      </c>
      <c r="AD67" s="17"/>
      <c r="AE67" s="18" t="str">
        <f ca="1">IF(ISNUMBER(AC67),
IF($B67=1,VLOOKUP($AC67,Inventario1!$A:$H,2),
IF($B67=2,VLOOKUP($AC67,Inventario2!$A:$H,2),
IF($B67=3,VLOOKUP($AC67,Inventario3!$A:$H,2),
IF($B67=4,VLOOKUP($AC67,Inventario4!$A:$H,2),
IF($B67=5,VLOOKUP($AC67,Inventario5!$A:$H,2),
VLOOKUP($AC67,Inventario6!$A:$H,2)
))))),"No equipado")</f>
        <v>Legendario</v>
      </c>
      <c r="AF67" s="18" t="str">
        <f ca="1">IF(ISNUMBER(AC67),
IF($B67=1,VLOOKUP($AC67,Inventario1!$A:$H,3),
IF($B67=2,VLOOKUP($AC67,Inventario2!$A:$H,3),
IF($B67=3,VLOOKUP($AC67,Inventario3!$A:$H,3),
IF($B67=4,VLOOKUP($AC67,Inventario4!$A:$H,3),
IF($B67=5,VLOOKUP($AC67,Inventario5!$A:$H,3),
VLOOKUP($AC67,Inventario6!$A:$H,3)
))))),"")</f>
        <v>Bloque preciso</v>
      </c>
      <c r="AG67" s="18" t="str">
        <f ca="1">IF(ISNUMBER(AC67),
IF($B67=1,VLOOKUP($AC67,Inventario1!$A:$H,4),
IF($B67=2,VLOOKUP($AC67,Inventario2!$A:$H,4),
IF($B67=3,VLOOKUP($AC67,Inventario3!$A:$H,4),
IF($B67=4,VLOOKUP($AC67,Inventario4!$A:$H,4),
IF($B67=5,VLOOKUP($AC67,Inventario5!$A:$H,4),
VLOOKUP($AC67,Inventario6!$A:$H,4)
))))),"")</f>
        <v>Ataque rápido</v>
      </c>
      <c r="AH67" s="18" t="str">
        <f ca="1">IF(ISNUMBER(AC67),
IF($B67=1,VLOOKUP($AC67,Inventario1!$A:$H,5),
IF($B67=2,VLOOKUP($AC67,Inventario2!$A:$H,5),
IF($B67=3,VLOOKUP($AC67,Inventario3!$A:$H,5),
IF($B67=4,VLOOKUP($AC67,Inventario4!$A:$H,5),
IF($B67=5,VLOOKUP($AC67,Inventario5!$A:$H,5),
VLOOKUP($AC67,Inventario6!$A:$H,5)
))))),"")</f>
        <v>Reflejos</v>
      </c>
      <c r="AI67" s="18" t="str">
        <f ca="1">IF(ISNUMBER(AC67),
IF($B67=1,VLOOKUP($AC67,Inventario1!$A:$H,6),
IF($B67=2,VLOOKUP($AC67,Inventario2!$A:$H,6),
IF($B67=3,VLOOKUP($AC67,Inventario3!$A:$H,6),
IF($B67=4,VLOOKUP($AC67,Inventario4!$A:$H,6),
IF($B67=5,VLOOKUP($AC67,Inventario5!$A:$H,6),
VLOOKUP($AC67,Inventario6!$A:$H,6)
))))),"")</f>
        <v>Fuerza</v>
      </c>
      <c r="AJ67" s="18" t="str">
        <f ca="1">IF(ISNUMBER(AC67),
IF($B67=1,VLOOKUP($AC67,Inventario1!$A:$H,7),
IF($B67=2,VLOOKUP($AC67,Inventario2!$A:$H,7),
IF($B67=3,VLOOKUP($AC67,Inventario3!$A:$H,7),
IF($B67=4,VLOOKUP($AC67,Inventario4!$A:$H,7),
IF($B67=5,VLOOKUP($AC67,Inventario5!$A:$H,7),
VLOOKUP($AC67,Inventario6!$A:$H,7)
))))),"")</f>
        <v>Bloqueo</v>
      </c>
      <c r="AK67" s="19">
        <f ca="1">IF(ISNUMBER(AC67),
IF($B67=1,VLOOKUP($AC67,Inventario1!$A:$H,8),
IF($B67=2,VLOOKUP($AC67,Inventario2!$A:$H,8),
IF($B67=3,VLOOKUP($AC67,Inventario3!$A:$H,8),
IF($B67=4,VLOOKUP($AC67,Inventario4!$A:$H,8),
IF($B67=5,VLOOKUP($AC67,Inventario5!$A:$H,8),
VLOOKUP($AC67,Inventario6!$A:$H,8)
))))),"")</f>
        <v>0</v>
      </c>
    </row>
    <row r="68" spans="1:37" x14ac:dyDescent="0.25">
      <c r="A68" s="20" t="s">
        <v>12</v>
      </c>
      <c r="B68" s="9">
        <v>1</v>
      </c>
      <c r="C68" s="10" cm="1">
        <f t="array" aca="1" ref="C68" ca="1">_xlfn.LET(
    _xlpm.jugador, A68,
    _xlpm.idSel, AC68,
    _xlpm.invIDs, IF(B68=1,Inventario1!A:A,IF(B68=2,Inventario2!A:A,IF(B68=3,Inventario3!A:A,IF(B68=4,Inventario4!A:A,IF(B68=5,Inventario5!A:A,Inventario6!A:A))))),
    _xlpm.invCalidad, IF(B68=1,Inventario1!B:B,IF(B68=2,Inventario2!B:B,IF(B68=3,Inventario3!B:B,IF(B68=4,Inventario4!B:B,IF(B68=5,Inventario5!B:B,Inventario6!B:B))))),
    _xlpm.invTipos, IF(B68=1,Inventario1!C:C,IF(B68=2,Inventario2!C:C,IF(B68=3,Inventario3!C:C,IF(B68=4,Inventario4!C:C,IF(B68=5,Inventario5!C:C,Inventario6!C:C))))),
    _xlpm.invStats, IF(B68=1,Inventario1!D:H,IF(B68=2,Inventario2!D:H,IF(B68=3,Inventario3!D:H,IF(B68=4,Inventario4!D:H,IF(B68=5,Inventario5!D:H,Inventario6!D:H))))),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IF(ROW(A68)=2,"",IF(_xlfn._xlws.FILTER(Equipar!AC$2:AC67,Equipar!B$2:B67=B68)={0},"",_xlfn._xlws.FILTER(Equipar!AC$2:AC67,Equipar!B$2:B67=B68))),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36</v>
      </c>
      <c r="D68" s="11" cm="1">
        <f t="array" ref="D68">_xlfn.LET(
    _xlpm.jugador, A68,
    _xlpm.idSel, AC68,
    _xlpm.invIDs, IF(B68=1,Inventario1!A:A,IF(B68=2,Inventario2!A:A,IF(B68=3,Inventario3!A:A,IF(B68=4,Inventario4!A:A,IF(B68=5,Inventario5!A:A,Inventario6!A:A))))),
    _xlpm.invCalidad, IF(B68=1,Inventario1!B:B,IF(B68=2,Inventario2!B:B,IF(B68=3,Inventario3!B:B,IF(B68=4,Inventario4!B:B,IF(B68=5,Inventario5!B:B,Inventario6!B:B))))),
    _xlpm.invTipos, IF(B68=1,Inventario1!C:C,IF(B68=2,Inventario2!C:C,IF(B68=3,Inventario3!C:C,IF(B68=4,Inventario4!C:C,IF(B68=5,Inventario5!C:C,Inventario6!C:C))))),
    _xlpm.invStats, IF(B68=1,Inventario1!D:H,IF(B68=2,Inventario2!D:H,IF(B68=3,Inventario3!D:H,IF(B68=4,Inventario4!D:H,IF(B68=5,Inventario5!D:H,Inventario6!D:H))))),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IF(ROW(A68)=2,"",IF(_xlfn._xlws.FILTER(Equipar!AC$2:AC67,Equipar!B$2:B67=B68)={0},"",_xlfn._xlws.FILTER(Equipar!AC$2:AC67,Equipar!B$2:B67=B68))),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17</v>
      </c>
      <c r="E68" s="11" t="str" cm="1">
        <f t="array" ref="E68">_xlfn.LET(
    _xlpm.jugador, A68,
    _xlpm.idSel, AC68,
    _xlpm.invIDs, IF(B68=1,Inventario1!A:A,IF(B68=2,Inventario2!A:A,IF(B68=3,Inventario3!A:A,IF(B68=4,Inventario4!A:A,IF(B68=5,Inventario5!A:A,Inventario6!A:A))))),
    _xlpm.invCalidad, IF(B68=1,Inventario1!B:B,IF(B68=2,Inventario2!B:B,IF(B68=3,Inventario3!B:B,IF(B68=4,Inventario4!B:B,IF(B68=5,Inventario5!B:B,Inventario6!B:B))))),
    _xlpm.invTipos, IF(B68=1,Inventario1!C:C,IF(B68=2,Inventario2!C:C,IF(B68=3,Inventario3!C:C,IF(B68=4,Inventario4!C:C,IF(B68=5,Inventario5!C:C,Inventario6!C:C))))),
    _xlpm.invStats, IF(B68=1,Inventario1!D:H,IF(B68=2,Inventario2!D:H,IF(B68=3,Inventario3!D:H,IF(B68=4,Inventario4!D:H,IF(B68=5,Inventario5!D:H,Inventario6!D:H))))),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IF(ROW(A68)=2,"",IF(_xlfn._xlws.FILTER(Equipar!AC$2:AC67,Equipar!B$2:B67=B68)={0},"",_xlfn._xlws.FILTER(Equipar!AC$2:AC67,Equipar!B$2:B67=B68))),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68" s="11" t="str" cm="1">
        <f t="array" aca="1" ref="F68" ca="1">_xlfn.LET(
    _xlpm.jugador, B68,
    _xlpm.idSel, AD68,
    _xlpm.invIDs, IF(C68=1,Inventario1!B:B,IF(C68=2,Inventario2!B:B,IF(C68=3,Inventario3!B:B,IF(C68=4,Inventario4!B:B,IF(C68=5,Inventario5!B:B,Inventario6!B:B))))),
    _xlpm.invCalidad, IF(C68=1,Inventario1!C:C,IF(C68=2,Inventario2!C:C,IF(C68=3,Inventario3!C:C,IF(C68=4,Inventario4!C:C,IF(C68=5,Inventario5!C:C,Inventario6!C:C))))),
    _xlpm.invTipos, IF(C68=1,Inventario1!D:D,IF(C68=2,Inventario2!D:D,IF(C68=3,Inventario3!D:D,IF(C68=4,Inventario4!D:D,IF(C68=5,Inventario5!D:D,Inventario6!D:D))))),
    _xlpm.invStats, IF(C68=1,Inventario1!E:I,IF(C68=2,Inventario2!E:I,IF(C68=3,Inventario3!E:I,IF(C68=4,Inventario4!E:I,IF(C68=5,Inventario5!E:I,Inventario6!E:I))))),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IF(ROW(B68)=2,"",IF(_xlfn._xlws.FILTER(Equipar!AD$2:AD67,Equipar!C$2:C67=C68)={0},"",_xlfn._xlws.FILTER(Equipar!AD$2:AD67,Equipar!C$2:C67=C68))),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68" s="10" cm="1">
        <f t="array" aca="1" ref="G68" ca="1">_xlfn.LET(
    _xlpm.jugador, A68,
    _xlpm.idSel, AC68,
    _xlpm.invIDs, IF(B68=1,Inventario1!A:A,IF(B68=2,Inventario2!A:A,IF(B68=3,Inventario3!A:A,IF(B68=4,Inventario4!A:A,IF(B68=5,Inventario5!A:A,Inventario6!A:A))))),
    _xlpm.invCalidad, IF(B68=1,Inventario1!B:B,IF(B68=2,Inventario2!B:B,IF(B68=3,Inventario3!B:B,IF(B68=4,Inventario4!B:B,IF(B68=5,Inventario5!B:B,Inventario6!B:B))))),
    _xlpm.invTipos, IF(B68=1,Inventario1!C:C,IF(B68=2,Inventario2!C:C,IF(B68=3,Inventario3!C:C,IF(B68=4,Inventario4!C:C,IF(B68=5,Inventario5!C:C,Inventario6!C:C))))),
    _xlpm.invStats, IF(B68=1,Inventario1!D:H,IF(B68=2,Inventario2!D:H,IF(B68=3,Inventario3!D:H,IF(B68=4,Inventario4!D:H,IF(B68=5,Inventario5!D:H,Inventario6!D:H))))),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IF(ROW(A68)=2,"",IF(_xlfn._xlws.FILTER(Equipar!AC$2:AC67,Equipar!B$2:B67=B68)={0},"",_xlfn._xlws.FILTER(Equipar!AC$2:AC67,Equipar!B$2:B67=B68))),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H68" s="11" cm="1">
        <f t="array" ref="H68">_xlfn.LET(
    _xlpm.jugador, A68,
    _xlpm.idSel, AC68,
    _xlpm.invIDs, IF(B68=1,Inventario1!A:A,IF(B68=2,Inventario2!A:A,IF(B68=3,Inventario3!A:A,IF(B68=4,Inventario4!A:A,IF(B68=5,Inventario5!A:A,Inventario6!A:A))))),
    _xlpm.invCalidad, IF(B68=1,Inventario1!B:B,IF(B68=2,Inventario2!B:B,IF(B68=3,Inventario3!B:B,IF(B68=4,Inventario4!B:B,IF(B68=5,Inventario5!B:B,Inventario6!B:B))))),
    _xlpm.invTipos, IF(B68=1,Inventario1!C:C,IF(B68=2,Inventario2!C:C,IF(B68=3,Inventario3!C:C,IF(B68=4,Inventario4!C:C,IF(B68=5,Inventario5!C:C,Inventario6!C:C))))),
    _xlpm.invStats, IF(B68=1,Inventario1!D:H,IF(B68=2,Inventario2!D:H,IF(B68=3,Inventario3!D:H,IF(B68=4,Inventario4!D:H,IF(B68=5,Inventario5!D:H,Inventario6!D:H))))),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IF(ROW(A68)=2,"",IF(_xlfn._xlws.FILTER(Equipar!AC$2:AC67,Equipar!B$2:B67=B68)={0},"",_xlfn._xlws.FILTER(Equipar!AC$2:AC67,Equipar!B$2:B67=B68))),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59.85</v>
      </c>
      <c r="I68" s="11" cm="1">
        <f t="array" ref="I68">_xlfn.LET(
    _xlpm.jugador, A68,
    _xlpm.idSel, AC68,
    _xlpm.invIDs, IF(B68=1,Inventario1!A:A,IF(B68=2,Inventario2!A:A,IF(B68=3,Inventario3!A:A,IF(B68=4,Inventario4!A:A,IF(B68=5,Inventario5!A:A,Inventario6!A:A))))),
    _xlpm.invCalidad, IF(B68=1,Inventario1!B:B,IF(B68=2,Inventario2!B:B,IF(B68=3,Inventario3!B:B,IF(B68=4,Inventario4!B:B,IF(B68=5,Inventario5!B:B,Inventario6!B:B))))),
    _xlpm.invTipos, IF(B68=1,Inventario1!C:C,IF(B68=2,Inventario2!C:C,IF(B68=3,Inventario3!C:C,IF(B68=4,Inventario4!C:C,IF(B68=5,Inventario5!C:C,Inventario6!C:C))))),
    _xlpm.invStats, IF(B68=1,Inventario1!D:H,IF(B68=2,Inventario2!D:H,IF(B68=3,Inventario3!D:H,IF(B68=4,Inventario4!D:H,IF(B68=5,Inventario5!D:H,Inventario6!D:H))))),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IF(ROW(A68)=2,"",IF(_xlfn._xlws.FILTER(Equipar!AC$2:AC67,Equipar!B$2:B67=B68)={0},"",_xlfn._xlws.FILTER(Equipar!AC$2:AC67,Equipar!B$2:B67=B68))),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68" s="11" cm="1">
        <f t="array" aca="1" ref="J68" ca="1">_xlfn.LET(
    _xlpm.jugador, B68,
    _xlpm.idSel, AD68,
    _xlpm.invIDs, IF(C68=1,Inventario1!B:B,IF(C68=2,Inventario2!B:B,IF(C68=3,Inventario3!B:B,IF(C68=4,Inventario4!B:B,IF(C68=5,Inventario5!B:B,Inventario6!B:B))))),
    _xlpm.invCalidad, IF(C68=1,Inventario1!C:C,IF(C68=2,Inventario2!C:C,IF(C68=3,Inventario3!C:C,IF(C68=4,Inventario4!C:C,IF(C68=5,Inventario5!C:C,Inventario6!C:C))))),
    _xlpm.invTipos, IF(C68=1,Inventario1!D:D,IF(C68=2,Inventario2!D:D,IF(C68=3,Inventario3!D:D,IF(C68=4,Inventario4!D:D,IF(C68=5,Inventario5!D:D,Inventario6!D:D))))),
    _xlpm.invStats, IF(C68=1,Inventario1!E:I,IF(C68=2,Inventario2!E:I,IF(C68=3,Inventario3!E:I,IF(C68=4,Inventario4!E:I,IF(C68=5,Inventario5!E:I,Inventario6!E:I))))),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IF(ROW(B68)=2,"",IF(_xlfn._xlws.FILTER(Equipar!AD$2:AD67,Equipar!C$2:C67=C68)={0},"",_xlfn._xlws.FILTER(Equipar!AD$2:AD67,Equipar!C$2:C67=C68))),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68" s="11">
        <f t="shared" ca="1" si="4"/>
        <v>12.149999999999999</v>
      </c>
      <c r="L68" s="11">
        <f t="shared" ca="1" si="5"/>
        <v>72</v>
      </c>
      <c r="M68" s="11">
        <f t="shared" ca="1" si="5"/>
        <v>59.85</v>
      </c>
      <c r="N68" s="11">
        <f t="shared" si="6"/>
        <v>59.85</v>
      </c>
      <c r="O68" s="11">
        <f t="shared" ca="1" si="6"/>
        <v>0</v>
      </c>
      <c r="P68" s="10" cm="1">
        <f t="array" aca="1" ref="P68" ca="1">_xlfn.LET(
    _xlpm.ptsPrinBase, _xlfn._xlws.FILTER(G:G, A:A=A68),
    _xlpm.ptsSecBase,  _xlfn._xlws.FILTER(H:H, A:A=A68),
    _xlpm.puntosPrin, _xlpm.ptsPrinBase + _xlfn._xlws.FILTER(B:B, A:A=A68)/1000,
    _xlpm.puntosSec,  _xlpm.ptsSecBase  + _xlfn._xlws.FILTER(B:B, A:A=A68)/1000,
    _xlpm.puntosPrinValidos, SUM(--(_xlpm.ptsPrinBase&gt;0)),
    _xlpm.puntosSecValidos,  SUM(--(_xlpm.ptsSecBase&gt;0)),
    _xlpm.clave, K68 + B68/1000,
    _xlpm.claves, _xlfn._xlws.FILTER(K:K + B:B/1000, A:A=A68),
    IF(AND(_xlpm.puntosPrinValidos&gt;=4,_xlpm.puntosSecValidos&gt;=2),IF(
        SUM(--(_xlpm.claves &gt; _xlpm.clave)) &lt; 4,
        C68,
        D68
    ),"No disp")
)</f>
        <v>36</v>
      </c>
      <c r="Q68" s="10" t="str" cm="1">
        <f t="array" aca="1" ref="Q68" ca="1">_xlfn.LET(
    _xlpm.puntosPrin, _xlfn._xlws.FILTER(G:G + B:B/1000, A:A=A68),
    _xlpm.puntosPrinValidos, SUM(--(_xlpm.puntosPrin&gt;1)),
    _xlpm.puntosTer, _xlfn._xlws.FILTER(I:I + B:B/1000, A:A=A68),
    _xlpm.puntosTerValidos, SUM(--(_xlpm.puntosTer&gt;1)),
    _xlpm.clave, L68 + B68/1000,
    _xlpm.claves, _xlfn._xlws.FILTER(L:L + B:B/1000, A:A=A68),
    IF(AND(_xlpm.puntosPrinValidos&gt;=4,_xlpm.puntosTerValidos&gt;=2),IF(
        SUM(--(_xlpm.claves &gt; _xlpm.clave)) &lt; 4,
        C68,
        E68
    ),"No disp")
)</f>
        <v>No disp</v>
      </c>
      <c r="R68" s="10" t="str" cm="1">
        <f t="array" aca="1" ref="R68" ca="1">_xlfn.LET(
    _xlpm.puntosPrin, _xlfn._xlws.FILTER(G:G + B:B/1000, A:A=A68),
    _xlpm.puntosPrinValidos, SUM(--(_xlpm.puntosPrin&gt;1)),
    _xlpm.puntosTer, _xlfn._xlws.FILTER(J:J + B:B/1000, A:A=A68),
    _xlpm.puntosTerValidos, SUM(--(_xlpm.puntosTer&gt;1)),
    _xlpm.clave, M68 + B68/1000,
    _xlpm.claves, _xlfn._xlws.FILTER(M:M + B:B/1000, A:A=A68),
    IF(AND(_xlpm.puntosPrinValidos&gt;=4,_xlpm.puntosTerValidos&gt;=2),IF(
        SUM(--(_xlpm.claves &gt; _xlpm.clave)) &lt; 4,
        C68,
        F68
    ),"No disp")
)</f>
        <v>No disp</v>
      </c>
      <c r="S68" s="10" cm="1">
        <f t="array" aca="1" ref="S68" ca="1">_xlfn.LET(
    _xlpm.ptsPrinBase, _xlfn._xlws.FILTER(G:G, A:A=A68),
    _xlpm.ptsSecBase,  _xlfn._xlws.FILTER(H:H, A:A=A68),
    _xlpm.puntosPrin, _xlpm.ptsPrinBase + _xlfn._xlws.FILTER(B:B, A:A=A68)/1000,
    _xlpm.puntosSec,  _xlpm.ptsSecBase  + _xlfn._xlws.FILTER(B:B, A:A=A68)/1000,
    _xlpm.puntosPrinValidos, SUM(--(_xlpm.ptsPrinBase&gt;0)),
    _xlpm.puntosSecValidos,  SUM(--(_xlpm.ptsSecBase&gt;0)),
    _xlpm.clave, K68 + B68/1000,
    _xlpm.claves, _xlfn._xlws.FILTER(K:K + B:B/1000, A:A=A68),
    IF(
        AND(_xlpm.puntosPrinValidos&gt;=2, _xlpm.puntosSecValidos&gt;=4),
        IF(
            SUM(--(_xlpm.claves &lt; _xlpm.clave)) &lt; 4,
            D68,
            C68
        ),
        "No disp"
    )
)</f>
        <v>36</v>
      </c>
      <c r="T68" s="10" t="str" cm="1">
        <f t="array" ref="T68">_xlfn.LET(
    _xlpm.puntosSec, _xlfn._xlws.FILTER(H:H + B:B/1000, A:A=A68),
    _xlpm.puntosSecValidos, SUM(--(_xlpm.puntosSec&gt;1)),
    _xlpm.puntosAlt, _xlfn._xlws.FILTER(I:I + B:B/1000, A:A=A68),
    _xlpm.puntosAltValidos, SUM(--(_xlpm.puntosAlt&gt;1)),
    _xlpm.clave, N68 + B68/1000,
    _xlpm.claves, _xlfn._xlws.FILTER(N:N + B:B/1000, A:A=A68),
    IF(AND(_xlpm.puntosSecValidos&gt;=4,_xlpm.puntosAltValidos&gt;=2),IF(
        SUM(--(_xlpm.claves &gt; _xlpm.clave)) &lt; 4,
        D68,
        E68
    ),"No disp")
)</f>
        <v>No disp</v>
      </c>
      <c r="U68" s="10" t="str" cm="1">
        <f t="array" aca="1" ref="U68" ca="1">_xlfn.LET(
    _xlpm.puntosSec, _xlfn._xlws.FILTER(H:H + B:B/1000, A:A=A68),
    _xlpm.puntosSecValidos, SUM(--(_xlpm.puntosSec&gt;1)),
    _xlpm.puntosAlt, _xlfn._xlws.FILTER(J:J + B:B/1000, A:A=A68),
    _xlpm.puntosAltValidos, SUM(--(_xlpm.puntosAlt&gt;1)),
    _xlpm.clave, O68 + B68/1000,
    _xlpm.claves, _xlfn._xlws.FILTER(O:O + B:B/1000, A:A=A68),
    IF(AND(_xlpm.puntosSecValidos&gt;=4,_xlpm.puntosAltValidos&gt;=2),IF(
        SUM(--(_xlpm.claves &gt; _xlpm.clave)) &lt; 4,
        D68,
        F68
    ),"No disp")
)</f>
        <v>No disp</v>
      </c>
      <c r="V68" s="11" cm="1">
        <f t="array" aca="1" ref="V68" ca="1">_xlfn.LET(
_xlpm.PrinIDs,_xlfn._xlws.FILTER(C:C,(A:A=A68)),
_xlpm.SecIDs,_xlfn._xlws.FILTER(D:D,(A:A=A68)),
_xlpm.TerIDs,_xlfn._xlws.FILTER(E:E,A:A=A68),
_xlpm.CuaIDs,_xlfn._xlws.FILTER(F:F,(A:A=A68)),
_xlpm.PrinPts,_xlfn._xlws.FILTER(G:G,(A:A=A68)),
_xlpm.SecPts,_xlfn._xlws.FILTER(H:H,(A:A=A68)),
_xlpm.TerPts,_xlfn._xlws.FILTER(I:I,(A:A=A68)),
_xlpm.CuaPts,_xlfn._xlws.FILTER(J:J,(A:A=A68)),
_xlpm.PSIds,_xlfn._xlws.FILTER(P:P,A:A=A68),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347.58</v>
      </c>
      <c r="W68" s="11" cm="1">
        <f t="array" aca="1" ref="W68" ca="1">_xlfn.LET(
_xlpm.PrinIDs,_xlfn._xlws.FILTER(C:C,(A:A=A68)),
_xlpm.SecIDs,_xlfn._xlws.FILTER(D:D,(A:A=A68)),
_xlpm.TerIDs,_xlfn._xlws.FILTER(E:E,A:A=A68),
_xlpm.CuaIDs,_xlfn._xlws.FILTER(F:F,(A:A=A68)),
_xlpm.PrinPts,_xlfn._xlws.FILTER(G:G,(A:A=A68)),
_xlpm.SecPts,_xlfn._xlws.FILTER(H:H,(A:A=A68)),
_xlpm.TerPts,_xlfn._xlws.FILTER(I:I,(A:A=A68)),
_xlpm.CuaPts,_xlfn._xlws.FILTER(J:J,(A:A=A68)),
_xlpm.PTIds,_xlfn._xlws.FILTER(Q:Q,A:A=A68),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68" s="11" cm="1">
        <f t="array" aca="1" ref="X68" ca="1">_xlfn.LET(
_xlpm.PrinIDs,_xlfn._xlws.FILTER(C:C,(A:A=A68)),
_xlpm.SecIDs,_xlfn._xlws.FILTER(D:D,(A:A=A68)),
_xlpm.TerIDs,_xlfn._xlws.FILTER(E:E,A:A=A68),
_xlpm.CuaIDs,_xlfn._xlws.FILTER(F:F,(A:A=A68)),
_xlpm.PrinPts,_xlfn._xlws.FILTER(G:G,(A:A=A68)),
_xlpm.SecPts,_xlfn._xlws.FILTER(H:H,(A:A=A68)),
_xlpm.TerPts,_xlfn._xlws.FILTER(I:I,(A:A=A68)),
_xlpm.CuaPts,_xlfn._xlws.FILTER(J:J,(A:A=A68)),
_xlpm.PCIds,_xlfn._xlws.FILTER(R:R,A:A=A68),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68" s="11" cm="1">
        <f t="array" aca="1" ref="Y68" ca="1">_xlfn.LET(
_xlpm.PrinIDs,_xlfn._xlws.FILTER(C:C,(A:A=A68)),
_xlpm.SecIDs,_xlfn._xlws.FILTER(D:D,(A:A=A68)),
_xlpm.AltIDs,_xlfn._xlws.FILTER(E:E,A:A=A68),
_xlpm.PrinPts,_xlfn._xlws.FILTER(G:G,(A:A=A68)),
_xlpm.SecPts,_xlfn._xlws.FILTER(H:H,(A:A=A68)),
_xlpm.AltPts,_xlfn._xlws.FILTER(I:I,(A:A=A68)),
_xlpm.SPIds,_xlfn._xlws.FILTER(S:S,A:A=A68),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353.7</v>
      </c>
      <c r="Z68" s="11" cm="1">
        <f t="array" aca="1" ref="Z68" ca="1">_xlfn.LET(
_xlpm.PrinIDs,_xlfn._xlws.FILTER(C:C,(A:A=A68)),
_xlpm.SecIDs,_xlfn._xlws.FILTER(D:D,(A:A=A68)),
_xlpm.TerIDs,_xlfn._xlws.FILTER(E:E,A:A=A68),
_xlpm.CuaIDs,_xlfn._xlws.FILTER(F:F,(A:A=A68)),
_xlpm.PrinPts,_xlfn._xlws.FILTER(G:G,(A:A=A68)),
_xlpm.SecPts,_xlfn._xlws.FILTER(H:H,(A:A=A68)),
_xlpm.TerPts,_xlfn._xlws.FILTER(I:I,(A:A=A68)),
_xlpm.CuaPts,_xlfn._xlws.FILTER(J:J,(A:A=A68)),
_xlpm.STIds,_xlfn._xlws.FILTER(T:T,A:A=A68),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68" s="11" cm="1">
        <f t="array" aca="1" ref="AA68" ca="1">_xlfn.LET(
_xlpm.PrinIDs,_xlfn._xlws.FILTER(C:C,(A:A=A68)),
_xlpm.SecIDs,_xlfn._xlws.FILTER(D:D,(A:A=A68)),
_xlpm.TerIDs,_xlfn._xlws.FILTER(E:E,A:A=A68),
_xlpm.CuaIDs,_xlfn._xlws.FILTER(F:F,(A:A=A68)),
_xlpm.PrinPts,_xlfn._xlws.FILTER(G:G,(A:A=A68)),
_xlpm.SecPts,_xlfn._xlws.FILTER(H:H,(A:A=A68)),
_xlpm.TerPts,_xlfn._xlws.FILTER(I:I,(A:A=A68)),
_xlpm.CuaPts,_xlfn._xlws.FILTER(J:J,(A:A=A68)),
_xlpm.SCIds,_xlfn._xlws.FILTER(U:U,A:A=A68),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68" s="10">
        <f t="shared" ca="1" si="7"/>
        <v>36</v>
      </c>
      <c r="AC68" s="10">
        <v>36</v>
      </c>
      <c r="AD68" s="11"/>
      <c r="AE68" s="10" t="str">
        <f ca="1">IF(ISNUMBER(AC68),
IF($B68=1,VLOOKUP($AC68,Inventario1!$A:$H,2),
IF($B68=2,VLOOKUP($AC68,Inventario2!$A:$H,2),
IF($B68=3,VLOOKUP($AC68,Inventario3!$A:$H,2),
IF($B68=4,VLOOKUP($AC68,Inventario4!$A:$H,2),
IF($B68=5,VLOOKUP($AC68,Inventario5!$A:$H,2),
VLOOKUP($AC68,Inventario6!$A:$H,2)
))))),"No equipado")</f>
        <v>Épico</v>
      </c>
      <c r="AF68" s="10" t="str">
        <f ca="1">IF(ISNUMBER(AC68),
IF($B68=1,VLOOKUP($AC68,Inventario1!$A:$H,3),
IF($B68=2,VLOOKUP($AC68,Inventario2!$A:$H,3),
IF($B68=3,VLOOKUP($AC68,Inventario3!$A:$H,3),
IF($B68=4,VLOOKUP($AC68,Inventario4!$A:$H,3),
IF($B68=5,VLOOKUP($AC68,Inventario5!$A:$H,3),
VLOOKUP($AC68,Inventario6!$A:$H,3)
))))),"")</f>
        <v>Ataque veloz</v>
      </c>
      <c r="AG68" s="10" t="str">
        <f ca="1">IF(ISNUMBER(AC68),
IF($B68=1,VLOOKUP($AC68,Inventario1!$A:$H,4),
IF($B68=2,VLOOKUP($AC68,Inventario2!$A:$H,4),
IF($B68=3,VLOOKUP($AC68,Inventario3!$A:$H,4),
IF($B68=4,VLOOKUP($AC68,Inventario4!$A:$H,4),
IF($B68=5,VLOOKUP($AC68,Inventario5!$A:$H,4),
VLOOKUP($AC68,Inventario6!$A:$H,4)
))))),"")</f>
        <v>Ataque rápido</v>
      </c>
      <c r="AH68" s="10" t="str">
        <f ca="1">IF(ISNUMBER(AC68),
IF($B68=1,VLOOKUP($AC68,Inventario1!$A:$H,5),
IF($B68=2,VLOOKUP($AC68,Inventario2!$A:$H,5),
IF($B68=3,VLOOKUP($AC68,Inventario3!$A:$H,5),
IF($B68=4,VLOOKUP($AC68,Inventario4!$A:$H,5),
IF($B68=5,VLOOKUP($AC68,Inventario5!$A:$H,5),
VLOOKUP($AC68,Inventario6!$A:$H,5)
))))),"")</f>
        <v>Ataque rápido</v>
      </c>
      <c r="AI68" s="10" t="str">
        <f ca="1">IF(ISNUMBER(AC68),
IF($B68=1,VLOOKUP($AC68,Inventario1!$A:$H,6),
IF($B68=2,VLOOKUP($AC68,Inventario2!$A:$H,6),
IF($B68=3,VLOOKUP($AC68,Inventario3!$A:$H,6),
IF($B68=4,VLOOKUP($AC68,Inventario4!$A:$H,6),
IF($B68=5,VLOOKUP($AC68,Inventario5!$A:$H,6),
VLOOKUP($AC68,Inventario6!$A:$H,6)
))))),"")</f>
        <v>Percepción</v>
      </c>
      <c r="AJ68" s="10" t="str">
        <f ca="1">IF(ISNUMBER(AC68),
IF($B68=1,VLOOKUP($AC68,Inventario1!$A:$H,7),
IF($B68=2,VLOOKUP($AC68,Inventario2!$A:$H,7),
IF($B68=3,VLOOKUP($AC68,Inventario3!$A:$H,7),
IF($B68=4,VLOOKUP($AC68,Inventario4!$A:$H,7),
IF($B68=5,VLOOKUP($AC68,Inventario5!$A:$H,7),
VLOOKUP($AC68,Inventario6!$A:$H,7)
))))),"")</f>
        <v>Saque</v>
      </c>
      <c r="AK68" s="12" t="str">
        <f ca="1">IF(ISNUMBER(AC68),
IF($B68=1,VLOOKUP($AC68,Inventario1!$A:$H,8),
IF($B68=2,VLOOKUP($AC68,Inventario2!$A:$H,8),
IF($B68=3,VLOOKUP($AC68,Inventario3!$A:$H,8),
IF($B68=4,VLOOKUP($AC68,Inventario4!$A:$H,8),
IF($B68=5,VLOOKUP($AC68,Inventario5!$A:$H,8),
VLOOKUP($AC68,Inventario6!$A:$H,8)
))))),"")</f>
        <v>Recepción</v>
      </c>
    </row>
    <row r="69" spans="1:37" x14ac:dyDescent="0.25">
      <c r="A69" s="21" t="s">
        <v>12</v>
      </c>
      <c r="B69" s="3">
        <v>2</v>
      </c>
      <c r="C69" s="14" cm="1">
        <f t="array" ref="C69">_xlfn.LET(
    _xlpm.jugador, A69,
    _xlpm.idSel, AC69,
    _xlpm.invIDs, IF(B69=1,Inventario1!A:A,IF(B69=2,Inventario2!A:A,IF(B69=3,Inventario3!A:A,IF(B69=4,Inventario4!A:A,IF(B69=5,Inventario5!A:A,Inventario6!A:A))))),
    _xlpm.invCalidad, IF(B69=1,Inventario1!B:B,IF(B69=2,Inventario2!B:B,IF(B69=3,Inventario3!B:B,IF(B69=4,Inventario4!B:B,IF(B69=5,Inventario5!B:B,Inventario6!B:B))))),
    _xlpm.invTipos, IF(B69=1,Inventario1!C:C,IF(B69=2,Inventario2!C:C,IF(B69=3,Inventario3!C:C,IF(B69=4,Inventario4!C:C,IF(B69=5,Inventario5!C:C,Inventario6!C:C))))),
    _xlpm.invStats, IF(B69=1,Inventario1!D:H,IF(B69=2,Inventario2!D:H,IF(B69=3,Inventario3!D:H,IF(B69=4,Inventario4!D:H,IF(B69=5,Inventario5!D:H,Inventario6!D:H))))),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IF(ROW(A69)=2,"",IF(_xlfn._xlws.FILTER(Equipar!AC$2:AC68,Equipar!B$2:B68=B69)={0},"",_xlfn._xlws.FILTER(Equipar!AC$2:AC68,Equipar!B$2:B68=B69))),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46</v>
      </c>
      <c r="D69" s="4" cm="1">
        <f t="array" ref="D69">_xlfn.LET(
    _xlpm.jugador, A69,
    _xlpm.idSel, AC69,
    _xlpm.invIDs, IF(B69=1,Inventario1!A:A,IF(B69=2,Inventario2!A:A,IF(B69=3,Inventario3!A:A,IF(B69=4,Inventario4!A:A,IF(B69=5,Inventario5!A:A,Inventario6!A:A))))),
    _xlpm.invCalidad, IF(B69=1,Inventario1!B:B,IF(B69=2,Inventario2!B:B,IF(B69=3,Inventario3!B:B,IF(B69=4,Inventario4!B:B,IF(B69=5,Inventario5!B:B,Inventario6!B:B))))),
    _xlpm.invTipos, IF(B69=1,Inventario1!C:C,IF(B69=2,Inventario2!C:C,IF(B69=3,Inventario3!C:C,IF(B69=4,Inventario4!C:C,IF(B69=5,Inventario5!C:C,Inventario6!C:C))))),
    _xlpm.invStats, IF(B69=1,Inventario1!D:H,IF(B69=2,Inventario2!D:H,IF(B69=3,Inventario3!D:H,IF(B69=4,Inventario4!D:H,IF(B69=5,Inventario5!D:H,Inventario6!D:H))))),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IF(ROW(A69)=2,"",IF(_xlfn._xlws.FILTER(Equipar!AC$2:AC68,Equipar!B$2:B68=B69)={0},"",_xlfn._xlws.FILTER(Equipar!AC$2:AC68,Equipar!B$2:B68=B69))),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16</v>
      </c>
      <c r="E69" s="4" t="str" cm="1">
        <f t="array" ref="E69">_xlfn.LET(
    _xlpm.jugador, A69,
    _xlpm.idSel, AC69,
    _xlpm.invIDs, IF(B69=1,Inventario1!A:A,IF(B69=2,Inventario2!A:A,IF(B69=3,Inventario3!A:A,IF(B69=4,Inventario4!A:A,IF(B69=5,Inventario5!A:A,Inventario6!A:A))))),
    _xlpm.invCalidad, IF(B69=1,Inventario1!B:B,IF(B69=2,Inventario2!B:B,IF(B69=3,Inventario3!B:B,IF(B69=4,Inventario4!B:B,IF(B69=5,Inventario5!B:B,Inventario6!B:B))))),
    _xlpm.invTipos, IF(B69=1,Inventario1!C:C,IF(B69=2,Inventario2!C:C,IF(B69=3,Inventario3!C:C,IF(B69=4,Inventario4!C:C,IF(B69=5,Inventario5!C:C,Inventario6!C:C))))),
    _xlpm.invStats, IF(B69=1,Inventario1!D:H,IF(B69=2,Inventario2!D:H,IF(B69=3,Inventario3!D:H,IF(B69=4,Inventario4!D:H,IF(B69=5,Inventario5!D:H,Inventario6!D:H))))),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IF(ROW(A69)=2,"",IF(_xlfn._xlws.FILTER(Equipar!AC$2:AC68,Equipar!B$2:B68=B69)={0},"",_xlfn._xlws.FILTER(Equipar!AC$2:AC68,Equipar!B$2:B68=B69))),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69" s="4" t="str" cm="1">
        <f t="array" aca="1" ref="F69" ca="1">_xlfn.LET(
    _xlpm.jugador, B69,
    _xlpm.idSel, AD69,
    _xlpm.invIDs, IF(C69=1,Inventario1!B:B,IF(C69=2,Inventario2!B:B,IF(C69=3,Inventario3!B:B,IF(C69=4,Inventario4!B:B,IF(C69=5,Inventario5!B:B,Inventario6!B:B))))),
    _xlpm.invCalidad, IF(C69=1,Inventario1!C:C,IF(C69=2,Inventario2!C:C,IF(C69=3,Inventario3!C:C,IF(C69=4,Inventario4!C:C,IF(C69=5,Inventario5!C:C,Inventario6!C:C))))),
    _xlpm.invTipos, IF(C69=1,Inventario1!D:D,IF(C69=2,Inventario2!D:D,IF(C69=3,Inventario3!D:D,IF(C69=4,Inventario4!D:D,IF(C69=5,Inventario5!D:D,Inventario6!D:D))))),
    _xlpm.invStats, IF(C69=1,Inventario1!E:I,IF(C69=2,Inventario2!E:I,IF(C69=3,Inventario3!E:I,IF(C69=4,Inventario4!E:I,IF(C69=5,Inventario5!E:I,Inventario6!E:I))))),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IF(ROW(B69)=2,"",IF(_xlfn._xlws.FILTER(Equipar!AD$2:AD68,Equipar!C$2:C68=C69)={0},"",_xlfn._xlws.FILTER(Equipar!AD$2:AD68,Equipar!C$2:C68=C69))),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69" s="14" cm="1">
        <f t="array" ref="G69">_xlfn.LET(
    _xlpm.jugador, A69,
    _xlpm.idSel, AC69,
    _xlpm.invIDs, IF(B69=1,Inventario1!A:A,IF(B69=2,Inventario2!A:A,IF(B69=3,Inventario3!A:A,IF(B69=4,Inventario4!A:A,IF(B69=5,Inventario5!A:A,Inventario6!A:A))))),
    _xlpm.invCalidad, IF(B69=1,Inventario1!B:B,IF(B69=2,Inventario2!B:B,IF(B69=3,Inventario3!B:B,IF(B69=4,Inventario4!B:B,IF(B69=5,Inventario5!B:B,Inventario6!B:B))))),
    _xlpm.invTipos, IF(B69=1,Inventario1!C:C,IF(B69=2,Inventario2!C:C,IF(B69=3,Inventario3!C:C,IF(B69=4,Inventario4!C:C,IF(B69=5,Inventario5!C:C,Inventario6!C:C))))),
    _xlpm.invStats, IF(B69=1,Inventario1!D:H,IF(B69=2,Inventario2!D:H,IF(B69=3,Inventario3!D:H,IF(B69=4,Inventario4!D:H,IF(B69=5,Inventario5!D:H,Inventario6!D:H))))),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IF(ROW(A69)=2,"",IF(_xlfn._xlws.FILTER(Equipar!AC$2:AC68,Equipar!B$2:B68=B69)={0},"",_xlfn._xlws.FILTER(Equipar!AC$2:AC68,Equipar!B$2:B68=B69))),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H69" s="4" cm="1">
        <f t="array" ref="H69">_xlfn.LET(
    _xlpm.jugador, A69,
    _xlpm.idSel, AC69,
    _xlpm.invIDs, IF(B69=1,Inventario1!A:A,IF(B69=2,Inventario2!A:A,IF(B69=3,Inventario3!A:A,IF(B69=4,Inventario4!A:A,IF(B69=5,Inventario5!A:A,Inventario6!A:A))))),
    _xlpm.invCalidad, IF(B69=1,Inventario1!B:B,IF(B69=2,Inventario2!B:B,IF(B69=3,Inventario3!B:B,IF(B69=4,Inventario4!B:B,IF(B69=5,Inventario5!B:B,Inventario6!B:B))))),
    _xlpm.invTipos, IF(B69=1,Inventario1!C:C,IF(B69=2,Inventario2!C:C,IF(B69=3,Inventario3!C:C,IF(B69=4,Inventario4!C:C,IF(B69=5,Inventario5!C:C,Inventario6!C:C))))),
    _xlpm.invStats, IF(B69=1,Inventario1!D:H,IF(B69=2,Inventario2!D:H,IF(B69=3,Inventario3!D:H,IF(B69=4,Inventario4!D:H,IF(B69=5,Inventario5!D:H,Inventario6!D:H))))),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IF(ROW(A69)=2,"",IF(_xlfn._xlws.FILTER(Equipar!AC$2:AC68,Equipar!B$2:B68=B69)={0},"",_xlfn._xlws.FILTER(Equipar!AC$2:AC68,Equipar!B$2:B68=B69))),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I69" s="4" cm="1">
        <f t="array" ref="I69">_xlfn.LET(
    _xlpm.jugador, A69,
    _xlpm.idSel, AC69,
    _xlpm.invIDs, IF(B69=1,Inventario1!A:A,IF(B69=2,Inventario2!A:A,IF(B69=3,Inventario3!A:A,IF(B69=4,Inventario4!A:A,IF(B69=5,Inventario5!A:A,Inventario6!A:A))))),
    _xlpm.invCalidad, IF(B69=1,Inventario1!B:B,IF(B69=2,Inventario2!B:B,IF(B69=3,Inventario3!B:B,IF(B69=4,Inventario4!B:B,IF(B69=5,Inventario5!B:B,Inventario6!B:B))))),
    _xlpm.invTipos, IF(B69=1,Inventario1!C:C,IF(B69=2,Inventario2!C:C,IF(B69=3,Inventario3!C:C,IF(B69=4,Inventario4!C:C,IF(B69=5,Inventario5!C:C,Inventario6!C:C))))),
    _xlpm.invStats, IF(B69=1,Inventario1!D:H,IF(B69=2,Inventario2!D:H,IF(B69=3,Inventario3!D:H,IF(B69=4,Inventario4!D:H,IF(B69=5,Inventario5!D:H,Inventario6!D:H))))),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IF(ROW(A69)=2,"",IF(_xlfn._xlws.FILTER(Equipar!AC$2:AC68,Equipar!B$2:B68=B69)={0},"",_xlfn._xlws.FILTER(Equipar!AC$2:AC68,Equipar!B$2:B68=B69))),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69" s="4" cm="1">
        <f t="array" aca="1" ref="J69" ca="1">_xlfn.LET(
    _xlpm.jugador, B69,
    _xlpm.idSel, AD69,
    _xlpm.invIDs, IF(C69=1,Inventario1!B:B,IF(C69=2,Inventario2!B:B,IF(C69=3,Inventario3!B:B,IF(C69=4,Inventario4!B:B,IF(C69=5,Inventario5!B:B,Inventario6!B:B))))),
    _xlpm.invCalidad, IF(C69=1,Inventario1!C:C,IF(C69=2,Inventario2!C:C,IF(C69=3,Inventario3!C:C,IF(C69=4,Inventario4!C:C,IF(C69=5,Inventario5!C:C,Inventario6!C:C))))),
    _xlpm.invTipos, IF(C69=1,Inventario1!D:D,IF(C69=2,Inventario2!D:D,IF(C69=3,Inventario3!D:D,IF(C69=4,Inventario4!D:D,IF(C69=5,Inventario5!D:D,Inventario6!D:D))))),
    _xlpm.invStats, IF(C69=1,Inventario1!E:I,IF(C69=2,Inventario2!E:I,IF(C69=3,Inventario3!E:I,IF(C69=4,Inventario4!E:I,IF(C69=5,Inventario5!E:I,Inventario6!E:I))))),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IF(ROW(B69)=2,"",IF(_xlfn._xlws.FILTER(Equipar!AD$2:AD68,Equipar!C$2:C68=C69)={0},"",_xlfn._xlws.FILTER(Equipar!AD$2:AD68,Equipar!C$2:C68=C69))),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69" s="4">
        <f t="shared" si="4"/>
        <v>-8.8200000000000074</v>
      </c>
      <c r="L69" s="4">
        <f t="shared" si="5"/>
        <v>63</v>
      </c>
      <c r="M69" s="4">
        <f t="shared" ca="1" si="5"/>
        <v>71.820000000000007</v>
      </c>
      <c r="N69" s="4">
        <f t="shared" si="6"/>
        <v>71.820000000000007</v>
      </c>
      <c r="O69" s="4">
        <f t="shared" ca="1" si="6"/>
        <v>0</v>
      </c>
      <c r="P69" s="14" cm="1">
        <f t="array" aca="1" ref="P69" ca="1">_xlfn.LET(
    _xlpm.ptsPrinBase, _xlfn._xlws.FILTER(G:G, A:A=A69),
    _xlpm.ptsSecBase,  _xlfn._xlws.FILTER(H:H, A:A=A69),
    _xlpm.puntosPrin, _xlpm.ptsPrinBase + _xlfn._xlws.FILTER(B:B, A:A=A69)/1000,
    _xlpm.puntosSec,  _xlpm.ptsSecBase  + _xlfn._xlws.FILTER(B:B, A:A=A69)/1000,
    _xlpm.puntosPrinValidos, SUM(--(_xlpm.ptsPrinBase&gt;0)),
    _xlpm.puntosSecValidos,  SUM(--(_xlpm.ptsSecBase&gt;0)),
    _xlpm.clave, K69 + B69/1000,
    _xlpm.claves, _xlfn._xlws.FILTER(K:K + B:B/1000, A:A=A69),
    IF(AND(_xlpm.puntosPrinValidos&gt;=4,_xlpm.puntosSecValidos&gt;=2),IF(
        SUM(--(_xlpm.claves &gt; _xlpm.clave)) &lt; 4,
        C69,
        D69
    ),"No disp")
)</f>
        <v>16</v>
      </c>
      <c r="Q69" s="14" t="str" cm="1">
        <f t="array" aca="1" ref="Q69" ca="1">_xlfn.LET(
    _xlpm.puntosPrin, _xlfn._xlws.FILTER(G:G + B:B/1000, A:A=A69),
    _xlpm.puntosPrinValidos, SUM(--(_xlpm.puntosPrin&gt;1)),
    _xlpm.puntosTer, _xlfn._xlws.FILTER(I:I + B:B/1000, A:A=A69),
    _xlpm.puntosTerValidos, SUM(--(_xlpm.puntosTer&gt;1)),
    _xlpm.clave, L69 + B69/1000,
    _xlpm.claves, _xlfn._xlws.FILTER(L:L + B:B/1000, A:A=A69),
    IF(AND(_xlpm.puntosPrinValidos&gt;=4,_xlpm.puntosTerValidos&gt;=2),IF(
        SUM(--(_xlpm.claves &gt; _xlpm.clave)) &lt; 4,
        C69,
        E69
    ),"No disp")
)</f>
        <v>No disp</v>
      </c>
      <c r="R69" s="14" t="str" cm="1">
        <f t="array" aca="1" ref="R69" ca="1">_xlfn.LET(
    _xlpm.puntosPrin, _xlfn._xlws.FILTER(G:G + B:B/1000, A:A=A69),
    _xlpm.puntosPrinValidos, SUM(--(_xlpm.puntosPrin&gt;1)),
    _xlpm.puntosTer, _xlfn._xlws.FILTER(J:J + B:B/1000, A:A=A69),
    _xlpm.puntosTerValidos, SUM(--(_xlpm.puntosTer&gt;1)),
    _xlpm.clave, M69 + B69/1000,
    _xlpm.claves, _xlfn._xlws.FILTER(M:M + B:B/1000, A:A=A69),
    IF(AND(_xlpm.puntosPrinValidos&gt;=4,_xlpm.puntosTerValidos&gt;=2),IF(
        SUM(--(_xlpm.claves &gt; _xlpm.clave)) &lt; 4,
        C69,
        F69
    ),"No disp")
)</f>
        <v>No disp</v>
      </c>
      <c r="S69" s="14" cm="1">
        <f t="array" aca="1" ref="S69" ca="1">_xlfn.LET(
    _xlpm.ptsPrinBase, _xlfn._xlws.FILTER(G:G, A:A=A69),
    _xlpm.ptsSecBase,  _xlfn._xlws.FILTER(H:H, A:A=A69),
    _xlpm.puntosPrin, _xlpm.ptsPrinBase + _xlfn._xlws.FILTER(B:B, A:A=A69)/1000,
    _xlpm.puntosSec,  _xlpm.ptsSecBase  + _xlfn._xlws.FILTER(B:B, A:A=A69)/1000,
    _xlpm.puntosPrinValidos, SUM(--(_xlpm.ptsPrinBase&gt;0)),
    _xlpm.puntosSecValidos,  SUM(--(_xlpm.ptsSecBase&gt;0)),
    _xlpm.clave, K69 + B69/1000,
    _xlpm.claves, _xlfn._xlws.FILTER(K:K + B:B/1000, A:A=A69),
    IF(
        AND(_xlpm.puntosPrinValidos&gt;=2, _xlpm.puntosSecValidos&gt;=4),
        IF(
            SUM(--(_xlpm.claves &lt; _xlpm.clave)) &lt; 4,
            D69,
            C69
        ),
        "No disp"
    )
)</f>
        <v>16</v>
      </c>
      <c r="T69" s="14" t="str" cm="1">
        <f t="array" ref="T69">_xlfn.LET(
    _xlpm.puntosSec, _xlfn._xlws.FILTER(H:H + B:B/1000, A:A=A69),
    _xlpm.puntosSecValidos, SUM(--(_xlpm.puntosSec&gt;1)),
    _xlpm.puntosAlt, _xlfn._xlws.FILTER(I:I + B:B/1000, A:A=A69),
    _xlpm.puntosAltValidos, SUM(--(_xlpm.puntosAlt&gt;1)),
    _xlpm.clave, N69 + B69/1000,
    _xlpm.claves, _xlfn._xlws.FILTER(N:N + B:B/1000, A:A=A69),
    IF(AND(_xlpm.puntosSecValidos&gt;=4,_xlpm.puntosAltValidos&gt;=2),IF(
        SUM(--(_xlpm.claves &gt; _xlpm.clave)) &lt; 4,
        D69,
        E69
    ),"No disp")
)</f>
        <v>No disp</v>
      </c>
      <c r="U69" s="14" t="str" cm="1">
        <f t="array" aca="1" ref="U69" ca="1">_xlfn.LET(
    _xlpm.puntosSec, _xlfn._xlws.FILTER(H:H + B:B/1000, A:A=A69),
    _xlpm.puntosSecValidos, SUM(--(_xlpm.puntosSec&gt;1)),
    _xlpm.puntosAlt, _xlfn._xlws.FILTER(J:J + B:B/1000, A:A=A69),
    _xlpm.puntosAltValidos, SUM(--(_xlpm.puntosAlt&gt;1)),
    _xlpm.clave, O69 + B69/1000,
    _xlpm.claves, _xlfn._xlws.FILTER(O:O + B:B/1000, A:A=A69),
    IF(AND(_xlpm.puntosSecValidos&gt;=4,_xlpm.puntosAltValidos&gt;=2),IF(
        SUM(--(_xlpm.claves &gt; _xlpm.clave)) &lt; 4,
        D69,
        F69
    ),"No disp")
)</f>
        <v>No disp</v>
      </c>
      <c r="V69" s="4" cm="1">
        <f t="array" aca="1" ref="V69" ca="1">_xlfn.LET(
_xlpm.PrinIDs,_xlfn._xlws.FILTER(C:C,(A:A=A69)),
_xlpm.SecIDs,_xlfn._xlws.FILTER(D:D,(A:A=A69)),
_xlpm.TerIDs,_xlfn._xlws.FILTER(E:E,A:A=A69),
_xlpm.CuaIDs,_xlfn._xlws.FILTER(F:F,(A:A=A69)),
_xlpm.PrinPts,_xlfn._xlws.FILTER(G:G,(A:A=A69)),
_xlpm.SecPts,_xlfn._xlws.FILTER(H:H,(A:A=A69)),
_xlpm.TerPts,_xlfn._xlws.FILTER(I:I,(A:A=A69)),
_xlpm.CuaPts,_xlfn._xlws.FILTER(J:J,(A:A=A69)),
_xlpm.PSIds,_xlfn._xlws.FILTER(P:P,A:A=A69),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347.58</v>
      </c>
      <c r="W69" s="4" cm="1">
        <f t="array" aca="1" ref="W69" ca="1">_xlfn.LET(
_xlpm.PrinIDs,_xlfn._xlws.FILTER(C:C,(A:A=A69)),
_xlpm.SecIDs,_xlfn._xlws.FILTER(D:D,(A:A=A69)),
_xlpm.TerIDs,_xlfn._xlws.FILTER(E:E,A:A=A69),
_xlpm.CuaIDs,_xlfn._xlws.FILTER(F:F,(A:A=A69)),
_xlpm.PrinPts,_xlfn._xlws.FILTER(G:G,(A:A=A69)),
_xlpm.SecPts,_xlfn._xlws.FILTER(H:H,(A:A=A69)),
_xlpm.TerPts,_xlfn._xlws.FILTER(I:I,(A:A=A69)),
_xlpm.CuaPts,_xlfn._xlws.FILTER(J:J,(A:A=A69)),
_xlpm.PTIds,_xlfn._xlws.FILTER(Q:Q,A:A=A69),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69" s="4" cm="1">
        <f t="array" aca="1" ref="X69" ca="1">_xlfn.LET(
_xlpm.PrinIDs,_xlfn._xlws.FILTER(C:C,(A:A=A69)),
_xlpm.SecIDs,_xlfn._xlws.FILTER(D:D,(A:A=A69)),
_xlpm.TerIDs,_xlfn._xlws.FILTER(E:E,A:A=A69),
_xlpm.CuaIDs,_xlfn._xlws.FILTER(F:F,(A:A=A69)),
_xlpm.PrinPts,_xlfn._xlws.FILTER(G:G,(A:A=A69)),
_xlpm.SecPts,_xlfn._xlws.FILTER(H:H,(A:A=A69)),
_xlpm.TerPts,_xlfn._xlws.FILTER(I:I,(A:A=A69)),
_xlpm.CuaPts,_xlfn._xlws.FILTER(J:J,(A:A=A69)),
_xlpm.PCIds,_xlfn._xlws.FILTER(R:R,A:A=A69),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69" s="4" cm="1">
        <f t="array" aca="1" ref="Y69" ca="1">_xlfn.LET(
_xlpm.PrinIDs,_xlfn._xlws.FILTER(C:C,(A:A=A69)),
_xlpm.SecIDs,_xlfn._xlws.FILTER(D:D,(A:A=A69)),
_xlpm.AltIDs,_xlfn._xlws.FILTER(E:E,A:A=A69),
_xlpm.PrinPts,_xlfn._xlws.FILTER(G:G,(A:A=A69)),
_xlpm.SecPts,_xlfn._xlws.FILTER(H:H,(A:A=A69)),
_xlpm.AltPts,_xlfn._xlws.FILTER(I:I,(A:A=A69)),
_xlpm.SPIds,_xlfn._xlws.FILTER(S:S,A:A=A69),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353.7</v>
      </c>
      <c r="Z69" s="4" cm="1">
        <f t="array" aca="1" ref="Z69" ca="1">_xlfn.LET(
_xlpm.PrinIDs,_xlfn._xlws.FILTER(C:C,(A:A=A69)),
_xlpm.SecIDs,_xlfn._xlws.FILTER(D:D,(A:A=A69)),
_xlpm.TerIDs,_xlfn._xlws.FILTER(E:E,A:A=A69),
_xlpm.CuaIDs,_xlfn._xlws.FILTER(F:F,(A:A=A69)),
_xlpm.PrinPts,_xlfn._xlws.FILTER(G:G,(A:A=A69)),
_xlpm.SecPts,_xlfn._xlws.FILTER(H:H,(A:A=A69)),
_xlpm.TerPts,_xlfn._xlws.FILTER(I:I,(A:A=A69)),
_xlpm.CuaPts,_xlfn._xlws.FILTER(J:J,(A:A=A69)),
_xlpm.STIds,_xlfn._xlws.FILTER(T:T,A:A=A69),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69" s="4" cm="1">
        <f t="array" aca="1" ref="AA69" ca="1">_xlfn.LET(
_xlpm.PrinIDs,_xlfn._xlws.FILTER(C:C,(A:A=A69)),
_xlpm.SecIDs,_xlfn._xlws.FILTER(D:D,(A:A=A69)),
_xlpm.TerIDs,_xlfn._xlws.FILTER(E:E,A:A=A69),
_xlpm.CuaIDs,_xlfn._xlws.FILTER(F:F,(A:A=A69)),
_xlpm.PrinPts,_xlfn._xlws.FILTER(G:G,(A:A=A69)),
_xlpm.SecPts,_xlfn._xlws.FILTER(H:H,(A:A=A69)),
_xlpm.TerPts,_xlfn._xlws.FILTER(I:I,(A:A=A69)),
_xlpm.CuaPts,_xlfn._xlws.FILTER(J:J,(A:A=A69)),
_xlpm.SCIds,_xlfn._xlws.FILTER(U:U,A:A=A69),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69" s="14">
        <f t="shared" ca="1" si="7"/>
        <v>16</v>
      </c>
      <c r="AC69" s="14">
        <v>16</v>
      </c>
      <c r="AD69" s="4"/>
      <c r="AE69" s="14" t="str">
        <f ca="1">IF(ISNUMBER(AC69),
IF($B69=1,VLOOKUP($AC69,Inventario1!$A:$H,2),
IF($B69=2,VLOOKUP($AC69,Inventario2!$A:$H,2),
IF($B69=3,VLOOKUP($AC69,Inventario3!$A:$H,2),
IF($B69=4,VLOOKUP($AC69,Inventario4!$A:$H,2),
IF($B69=5,VLOOKUP($AC69,Inventario5!$A:$H,2),
VLOOKUP($AC69,Inventario6!$A:$H,2)
))))),"No equipado")</f>
        <v>Legendario</v>
      </c>
      <c r="AF69" s="14" t="str">
        <f ca="1">IF(ISNUMBER(AC69),
IF($B69=1,VLOOKUP($AC69,Inventario1!$A:$H,3),
IF($B69=2,VLOOKUP($AC69,Inventario2!$A:$H,3),
IF($B69=3,VLOOKUP($AC69,Inventario3!$A:$H,3),
IF($B69=4,VLOOKUP($AC69,Inventario4!$A:$H,3),
IF($B69=5,VLOOKUP($AC69,Inventario5!$A:$H,3),
VLOOKUP($AC69,Inventario6!$A:$H,3)
))))),"")</f>
        <v>Sentido agudo</v>
      </c>
      <c r="AG69" s="14" t="str">
        <f ca="1">IF(ISNUMBER(AC69),
IF($B69=1,VLOOKUP($AC69,Inventario1!$A:$H,4),
IF($B69=2,VLOOKUP($AC69,Inventario2!$A:$H,4),
IF($B69=3,VLOOKUP($AC69,Inventario3!$A:$H,4),
IF($B69=4,VLOOKUP($AC69,Inventario4!$A:$H,4),
IF($B69=5,VLOOKUP($AC69,Inventario5!$A:$H,4),
VLOOKUP($AC69,Inventario6!$A:$H,4)
))))),"")</f>
        <v>Ataque rápido</v>
      </c>
      <c r="AH69" s="14" t="str">
        <f ca="1">IF(ISNUMBER(AC69),
IF($B69=1,VLOOKUP($AC69,Inventario1!$A:$H,5),
IF($B69=2,VLOOKUP($AC69,Inventario2!$A:$H,5),
IF($B69=3,VLOOKUP($AC69,Inventario3!$A:$H,5),
IF($B69=4,VLOOKUP($AC69,Inventario4!$A:$H,5),
IF($B69=5,VLOOKUP($AC69,Inventario5!$A:$H,5),
VLOOKUP($AC69,Inventario6!$A:$H,5)
))))),"")</f>
        <v>Recuperación</v>
      </c>
      <c r="AI69" s="14" t="str">
        <f ca="1">IF(ISNUMBER(AC69),
IF($B69=1,VLOOKUP($AC69,Inventario1!$A:$H,6),
IF($B69=2,VLOOKUP($AC69,Inventario2!$A:$H,6),
IF($B69=3,VLOOKUP($AC69,Inventario3!$A:$H,6),
IF($B69=4,VLOOKUP($AC69,Inventario4!$A:$H,6),
IF($B69=5,VLOOKUP($AC69,Inventario5!$A:$H,6),
VLOOKUP($AC69,Inventario6!$A:$H,6)
))))),"")</f>
        <v>Colocación</v>
      </c>
      <c r="AJ69" s="14" t="str">
        <f ca="1">IF(ISNUMBER(AC69),
IF($B69=1,VLOOKUP($AC69,Inventario1!$A:$H,7),
IF($B69=2,VLOOKUP($AC69,Inventario2!$A:$H,7),
IF($B69=3,VLOOKUP($AC69,Inventario3!$A:$H,7),
IF($B69=4,VLOOKUP($AC69,Inventario4!$A:$H,7),
IF($B69=5,VLOOKUP($AC69,Inventario5!$A:$H,7),
VLOOKUP($AC69,Inventario6!$A:$H,7)
))))),"")</f>
        <v>Ataque rápido</v>
      </c>
      <c r="AK69" s="15">
        <f ca="1">IF(ISNUMBER(AC69),
IF($B69=1,VLOOKUP($AC69,Inventario1!$A:$H,8),
IF($B69=2,VLOOKUP($AC69,Inventario2!$A:$H,8),
IF($B69=3,VLOOKUP($AC69,Inventario3!$A:$H,8),
IF($B69=4,VLOOKUP($AC69,Inventario4!$A:$H,8),
IF($B69=5,VLOOKUP($AC69,Inventario5!$A:$H,8),
VLOOKUP($AC69,Inventario6!$A:$H,8)
))))),"")</f>
        <v>0</v>
      </c>
    </row>
    <row r="70" spans="1:37" x14ac:dyDescent="0.25">
      <c r="A70" s="21" t="s">
        <v>12</v>
      </c>
      <c r="B70" s="3">
        <v>3</v>
      </c>
      <c r="C70" s="14" cm="1">
        <f t="array" aca="1" ref="C70" ca="1">_xlfn.LET(
    _xlpm.jugador, A70,
    _xlpm.idSel, AC70,
    _xlpm.invIDs, IF(B70=1,Inventario1!A:A,IF(B70=2,Inventario2!A:A,IF(B70=3,Inventario3!A:A,IF(B70=4,Inventario4!A:A,IF(B70=5,Inventario5!A:A,Inventario6!A:A))))),
    _xlpm.invCalidad, IF(B70=1,Inventario1!B:B,IF(B70=2,Inventario2!B:B,IF(B70=3,Inventario3!B:B,IF(B70=4,Inventario4!B:B,IF(B70=5,Inventario5!B:B,Inventario6!B:B))))),
    _xlpm.invTipos, IF(B70=1,Inventario1!C:C,IF(B70=2,Inventario2!C:C,IF(B70=3,Inventario3!C:C,IF(B70=4,Inventario4!C:C,IF(B70=5,Inventario5!C:C,Inventario6!C:C))))),
    _xlpm.invStats, IF(B70=1,Inventario1!D:H,IF(B70=2,Inventario2!D:H,IF(B70=3,Inventario3!D:H,IF(B70=4,Inventario4!D:H,IF(B70=5,Inventario5!D:H,Inventario6!D:H))))),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IF(ROW(A70)=2,"",IF(_xlfn._xlws.FILTER(Equipar!AC$2:AC69,Equipar!B$2:B69=B70)={0},"",_xlfn._xlws.FILTER(Equipar!AC$2:AC69,Equipar!B$2:B69=B70))),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73</v>
      </c>
      <c r="D70" s="4" cm="1">
        <f t="array" ref="D70">_xlfn.LET(
    _xlpm.jugador, A70,
    _xlpm.idSel, AC70,
    _xlpm.invIDs, IF(B70=1,Inventario1!A:A,IF(B70=2,Inventario2!A:A,IF(B70=3,Inventario3!A:A,IF(B70=4,Inventario4!A:A,IF(B70=5,Inventario5!A:A,Inventario6!A:A))))),
    _xlpm.invCalidad, IF(B70=1,Inventario1!B:B,IF(B70=2,Inventario2!B:B,IF(B70=3,Inventario3!B:B,IF(B70=4,Inventario4!B:B,IF(B70=5,Inventario5!B:B,Inventario6!B:B))))),
    _xlpm.invTipos, IF(B70=1,Inventario1!C:C,IF(B70=2,Inventario2!C:C,IF(B70=3,Inventario3!C:C,IF(B70=4,Inventario4!C:C,IF(B70=5,Inventario5!C:C,Inventario6!C:C))))),
    _xlpm.invStats, IF(B70=1,Inventario1!D:H,IF(B70=2,Inventario2!D:H,IF(B70=3,Inventario3!D:H,IF(B70=4,Inventario4!D:H,IF(B70=5,Inventario5!D:H,Inventario6!D:H))))),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IF(ROW(A70)=2,"",IF(_xlfn._xlws.FILTER(Equipar!AC$2:AC69,Equipar!B$2:B69=B70)={0},"",_xlfn._xlws.FILTER(Equipar!AC$2:AC69,Equipar!B$2:B69=B70))),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76</v>
      </c>
      <c r="E70" s="4" t="str" cm="1">
        <f t="array" ref="E70">_xlfn.LET(
    _xlpm.jugador, A70,
    _xlpm.idSel, AC70,
    _xlpm.invIDs, IF(B70=1,Inventario1!A:A,IF(B70=2,Inventario2!A:A,IF(B70=3,Inventario3!A:A,IF(B70=4,Inventario4!A:A,IF(B70=5,Inventario5!A:A,Inventario6!A:A))))),
    _xlpm.invCalidad, IF(B70=1,Inventario1!B:B,IF(B70=2,Inventario2!B:B,IF(B70=3,Inventario3!B:B,IF(B70=4,Inventario4!B:B,IF(B70=5,Inventario5!B:B,Inventario6!B:B))))),
    _xlpm.invTipos, IF(B70=1,Inventario1!C:C,IF(B70=2,Inventario2!C:C,IF(B70=3,Inventario3!C:C,IF(B70=4,Inventario4!C:C,IF(B70=5,Inventario5!C:C,Inventario6!C:C))))),
    _xlpm.invStats, IF(B70=1,Inventario1!D:H,IF(B70=2,Inventario2!D:H,IF(B70=3,Inventario3!D:H,IF(B70=4,Inventario4!D:H,IF(B70=5,Inventario5!D:H,Inventario6!D:H))))),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IF(ROW(A70)=2,"",IF(_xlfn._xlws.FILTER(Equipar!AC$2:AC69,Equipar!B$2:B69=B70)={0},"",_xlfn._xlws.FILTER(Equipar!AC$2:AC69,Equipar!B$2:B69=B70))),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70" s="4" t="str" cm="1">
        <f t="array" aca="1" ref="F70" ca="1">_xlfn.LET(
    _xlpm.jugador, B70,
    _xlpm.idSel, AD70,
    _xlpm.invIDs, IF(C70=1,Inventario1!B:B,IF(C70=2,Inventario2!B:B,IF(C70=3,Inventario3!B:B,IF(C70=4,Inventario4!B:B,IF(C70=5,Inventario5!B:B,Inventario6!B:B))))),
    _xlpm.invCalidad, IF(C70=1,Inventario1!C:C,IF(C70=2,Inventario2!C:C,IF(C70=3,Inventario3!C:C,IF(C70=4,Inventario4!C:C,IF(C70=5,Inventario5!C:C,Inventario6!C:C))))),
    _xlpm.invTipos, IF(C70=1,Inventario1!D:D,IF(C70=2,Inventario2!D:D,IF(C70=3,Inventario3!D:D,IF(C70=4,Inventario4!D:D,IF(C70=5,Inventario5!D:D,Inventario6!D:D))))),
    _xlpm.invStats, IF(C70=1,Inventario1!E:I,IF(C70=2,Inventario2!E:I,IF(C70=3,Inventario3!E:I,IF(C70=4,Inventario4!E:I,IF(C70=5,Inventario5!E:I,Inventario6!E:I))))),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IF(ROW(B70)=2,"",IF(_xlfn._xlws.FILTER(Equipar!AD$2:AD69,Equipar!C$2:C69=C70)={0},"",_xlfn._xlws.FILTER(Equipar!AD$2:AD69,Equipar!C$2:C69=C70))),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70" s="14" cm="1">
        <f t="array" aca="1" ref="G70" ca="1">_xlfn.LET(
    _xlpm.jugador, A70,
    _xlpm.idSel, AC70,
    _xlpm.invIDs, IF(B70=1,Inventario1!A:A,IF(B70=2,Inventario2!A:A,IF(B70=3,Inventario3!A:A,IF(B70=4,Inventario4!A:A,IF(B70=5,Inventario5!A:A,Inventario6!A:A))))),
    _xlpm.invCalidad, IF(B70=1,Inventario1!B:B,IF(B70=2,Inventario2!B:B,IF(B70=3,Inventario3!B:B,IF(B70=4,Inventario4!B:B,IF(B70=5,Inventario5!B:B,Inventario6!B:B))))),
    _xlpm.invTipos, IF(B70=1,Inventario1!C:C,IF(B70=2,Inventario2!C:C,IF(B70=3,Inventario3!C:C,IF(B70=4,Inventario4!C:C,IF(B70=5,Inventario5!C:C,Inventario6!C:C))))),
    _xlpm.invStats, IF(B70=1,Inventario1!D:H,IF(B70=2,Inventario2!D:H,IF(B70=3,Inventario3!D:H,IF(B70=4,Inventario4!D:H,IF(B70=5,Inventario5!D:H,Inventario6!D:H))))),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IF(ROW(A70)=2,"",IF(_xlfn._xlws.FILTER(Equipar!AC$2:AC69,Equipar!B$2:B69=B70)={0},"",_xlfn._xlws.FILTER(Equipar!AC$2:AC69,Equipar!B$2:B69=B70))),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47.88</v>
      </c>
      <c r="H70" s="4" cm="1">
        <f t="array" ref="H70">_xlfn.LET(
    _xlpm.jugador, A70,
    _xlpm.idSel, AC70,
    _xlpm.invIDs, IF(B70=1,Inventario1!A:A,IF(B70=2,Inventario2!A:A,IF(B70=3,Inventario3!A:A,IF(B70=4,Inventario4!A:A,IF(B70=5,Inventario5!A:A,Inventario6!A:A))))),
    _xlpm.invCalidad, IF(B70=1,Inventario1!B:B,IF(B70=2,Inventario2!B:B,IF(B70=3,Inventario3!B:B,IF(B70=4,Inventario4!B:B,IF(B70=5,Inventario5!B:B,Inventario6!B:B))))),
    _xlpm.invTipos, IF(B70=1,Inventario1!C:C,IF(B70=2,Inventario2!C:C,IF(B70=3,Inventario3!C:C,IF(B70=4,Inventario4!C:C,IF(B70=5,Inventario5!C:C,Inventario6!C:C))))),
    _xlpm.invStats, IF(B70=1,Inventario1!D:H,IF(B70=2,Inventario2!D:H,IF(B70=3,Inventario3!D:H,IF(B70=4,Inventario4!D:H,IF(B70=5,Inventario5!D:H,Inventario6!D:H))))),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IF(ROW(A70)=2,"",IF(_xlfn._xlws.FILTER(Equipar!AC$2:AC69,Equipar!B$2:B69=B70)={0},"",_xlfn._xlws.FILTER(Equipar!AC$2:AC69,Equipar!B$2:B69=B70))),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47.88</v>
      </c>
      <c r="I70" s="4" cm="1">
        <f t="array" ref="I70">_xlfn.LET(
    _xlpm.jugador, A70,
    _xlpm.idSel, AC70,
    _xlpm.invIDs, IF(B70=1,Inventario1!A:A,IF(B70=2,Inventario2!A:A,IF(B70=3,Inventario3!A:A,IF(B70=4,Inventario4!A:A,IF(B70=5,Inventario5!A:A,Inventario6!A:A))))),
    _xlpm.invCalidad, IF(B70=1,Inventario1!B:B,IF(B70=2,Inventario2!B:B,IF(B70=3,Inventario3!B:B,IF(B70=4,Inventario4!B:B,IF(B70=5,Inventario5!B:B,Inventario6!B:B))))),
    _xlpm.invTipos, IF(B70=1,Inventario1!C:C,IF(B70=2,Inventario2!C:C,IF(B70=3,Inventario3!C:C,IF(B70=4,Inventario4!C:C,IF(B70=5,Inventario5!C:C,Inventario6!C:C))))),
    _xlpm.invStats, IF(B70=1,Inventario1!D:H,IF(B70=2,Inventario2!D:H,IF(B70=3,Inventario3!D:H,IF(B70=4,Inventario4!D:H,IF(B70=5,Inventario5!D:H,Inventario6!D:H))))),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IF(ROW(A70)=2,"",IF(_xlfn._xlws.FILTER(Equipar!AC$2:AC69,Equipar!B$2:B69=B70)={0},"",_xlfn._xlws.FILTER(Equipar!AC$2:AC69,Equipar!B$2:B69=B70))),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70" s="4" cm="1">
        <f t="array" aca="1" ref="J70" ca="1">_xlfn.LET(
    _xlpm.jugador, B70,
    _xlpm.idSel, AD70,
    _xlpm.invIDs, IF(C70=1,Inventario1!B:B,IF(C70=2,Inventario2!B:B,IF(C70=3,Inventario3!B:B,IF(C70=4,Inventario4!B:B,IF(C70=5,Inventario5!B:B,Inventario6!B:B))))),
    _xlpm.invCalidad, IF(C70=1,Inventario1!C:C,IF(C70=2,Inventario2!C:C,IF(C70=3,Inventario3!C:C,IF(C70=4,Inventario4!C:C,IF(C70=5,Inventario5!C:C,Inventario6!C:C))))),
    _xlpm.invTipos, IF(C70=1,Inventario1!D:D,IF(C70=2,Inventario2!D:D,IF(C70=3,Inventario3!D:D,IF(C70=4,Inventario4!D:D,IF(C70=5,Inventario5!D:D,Inventario6!D:D))))),
    _xlpm.invStats, IF(C70=1,Inventario1!E:I,IF(C70=2,Inventario2!E:I,IF(C70=3,Inventario3!E:I,IF(C70=4,Inventario4!E:I,IF(C70=5,Inventario5!E:I,Inventario6!E:I))))),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IF(ROW(B70)=2,"",IF(_xlfn._xlws.FILTER(Equipar!AD$2:AD69,Equipar!C$2:C69=C70)={0},"",_xlfn._xlws.FILTER(Equipar!AD$2:AD69,Equipar!C$2:C69=C70))),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70" s="4">
        <f t="shared" ca="1" si="4"/>
        <v>0</v>
      </c>
      <c r="L70" s="4">
        <f t="shared" ca="1" si="5"/>
        <v>47.88</v>
      </c>
      <c r="M70" s="4">
        <f t="shared" ca="1" si="5"/>
        <v>47.88</v>
      </c>
      <c r="N70" s="4">
        <f t="shared" si="6"/>
        <v>47.88</v>
      </c>
      <c r="O70" s="4">
        <f t="shared" ca="1" si="6"/>
        <v>0</v>
      </c>
      <c r="P70" s="14" cm="1">
        <f t="array" aca="1" ref="P70" ca="1">_xlfn.LET(
    _xlpm.ptsPrinBase, _xlfn._xlws.FILTER(G:G, A:A=A70),
    _xlpm.ptsSecBase,  _xlfn._xlws.FILTER(H:H, A:A=A70),
    _xlpm.puntosPrin, _xlpm.ptsPrinBase + _xlfn._xlws.FILTER(B:B, A:A=A70)/1000,
    _xlpm.puntosSec,  _xlpm.ptsSecBase  + _xlfn._xlws.FILTER(B:B, A:A=A70)/1000,
    _xlpm.puntosPrinValidos, SUM(--(_xlpm.ptsPrinBase&gt;0)),
    _xlpm.puntosSecValidos,  SUM(--(_xlpm.ptsSecBase&gt;0)),
    _xlpm.clave, K70 + B70/1000,
    _xlpm.claves, _xlfn._xlws.FILTER(K:K + B:B/1000, A:A=A70),
    IF(AND(_xlpm.puntosPrinValidos&gt;=4,_xlpm.puntosSecValidos&gt;=2),IF(
        SUM(--(_xlpm.claves &gt; _xlpm.clave)) &lt; 4,
        C70,
        D70
    ),"No disp")
)</f>
        <v>73</v>
      </c>
      <c r="Q70" s="14" t="str" cm="1">
        <f t="array" aca="1" ref="Q70" ca="1">_xlfn.LET(
    _xlpm.puntosPrin, _xlfn._xlws.FILTER(G:G + B:B/1000, A:A=A70),
    _xlpm.puntosPrinValidos, SUM(--(_xlpm.puntosPrin&gt;1)),
    _xlpm.puntosTer, _xlfn._xlws.FILTER(I:I + B:B/1000, A:A=A70),
    _xlpm.puntosTerValidos, SUM(--(_xlpm.puntosTer&gt;1)),
    _xlpm.clave, L70 + B70/1000,
    _xlpm.claves, _xlfn._xlws.FILTER(L:L + B:B/1000, A:A=A70),
    IF(AND(_xlpm.puntosPrinValidos&gt;=4,_xlpm.puntosTerValidos&gt;=2),IF(
        SUM(--(_xlpm.claves &gt; _xlpm.clave)) &lt; 4,
        C70,
        E70
    ),"No disp")
)</f>
        <v>No disp</v>
      </c>
      <c r="R70" s="14" t="str" cm="1">
        <f t="array" aca="1" ref="R70" ca="1">_xlfn.LET(
    _xlpm.puntosPrin, _xlfn._xlws.FILTER(G:G + B:B/1000, A:A=A70),
    _xlpm.puntosPrinValidos, SUM(--(_xlpm.puntosPrin&gt;1)),
    _xlpm.puntosTer, _xlfn._xlws.FILTER(J:J + B:B/1000, A:A=A70),
    _xlpm.puntosTerValidos, SUM(--(_xlpm.puntosTer&gt;1)),
    _xlpm.clave, M70 + B70/1000,
    _xlpm.claves, _xlfn._xlws.FILTER(M:M + B:B/1000, A:A=A70),
    IF(AND(_xlpm.puntosPrinValidos&gt;=4,_xlpm.puntosTerValidos&gt;=2),IF(
        SUM(--(_xlpm.claves &gt; _xlpm.clave)) &lt; 4,
        C70,
        F70
    ),"No disp")
)</f>
        <v>No disp</v>
      </c>
      <c r="S70" s="14" cm="1">
        <f t="array" aca="1" ref="S70" ca="1">_xlfn.LET(
    _xlpm.ptsPrinBase, _xlfn._xlws.FILTER(G:G, A:A=A70),
    _xlpm.ptsSecBase,  _xlfn._xlws.FILTER(H:H, A:A=A70),
    _xlpm.puntosPrin, _xlpm.ptsPrinBase + _xlfn._xlws.FILTER(B:B, A:A=A70)/1000,
    _xlpm.puntosSec,  _xlpm.ptsSecBase  + _xlfn._xlws.FILTER(B:B, A:A=A70)/1000,
    _xlpm.puntosPrinValidos, SUM(--(_xlpm.ptsPrinBase&gt;0)),
    _xlpm.puntosSecValidos,  SUM(--(_xlpm.ptsSecBase&gt;0)),
    _xlpm.clave, K70 + B70/1000,
    _xlpm.claves, _xlfn._xlws.FILTER(K:K + B:B/1000, A:A=A70),
    IF(
        AND(_xlpm.puntosPrinValidos&gt;=2, _xlpm.puntosSecValidos&gt;=4),
        IF(
            SUM(--(_xlpm.claves &lt; _xlpm.clave)) &lt; 4,
            D70,
            C70
        ),
        "No disp"
    )
)</f>
        <v>76</v>
      </c>
      <c r="T70" s="14" t="str" cm="1">
        <f t="array" ref="T70">_xlfn.LET(
    _xlpm.puntosSec, _xlfn._xlws.FILTER(H:H + B:B/1000, A:A=A70),
    _xlpm.puntosSecValidos, SUM(--(_xlpm.puntosSec&gt;1)),
    _xlpm.puntosAlt, _xlfn._xlws.FILTER(I:I + B:B/1000, A:A=A70),
    _xlpm.puntosAltValidos, SUM(--(_xlpm.puntosAlt&gt;1)),
    _xlpm.clave, N70 + B70/1000,
    _xlpm.claves, _xlfn._xlws.FILTER(N:N + B:B/1000, A:A=A70),
    IF(AND(_xlpm.puntosSecValidos&gt;=4,_xlpm.puntosAltValidos&gt;=2),IF(
        SUM(--(_xlpm.claves &gt; _xlpm.clave)) &lt; 4,
        D70,
        E70
    ),"No disp")
)</f>
        <v>No disp</v>
      </c>
      <c r="U70" s="14" t="str" cm="1">
        <f t="array" aca="1" ref="U70" ca="1">_xlfn.LET(
    _xlpm.puntosSec, _xlfn._xlws.FILTER(H:H + B:B/1000, A:A=A70),
    _xlpm.puntosSecValidos, SUM(--(_xlpm.puntosSec&gt;1)),
    _xlpm.puntosAlt, _xlfn._xlws.FILTER(J:J + B:B/1000, A:A=A70),
    _xlpm.puntosAltValidos, SUM(--(_xlpm.puntosAlt&gt;1)),
    _xlpm.clave, O70 + B70/1000,
    _xlpm.claves, _xlfn._xlws.FILTER(O:O + B:B/1000, A:A=A70),
    IF(AND(_xlpm.puntosSecValidos&gt;=4,_xlpm.puntosAltValidos&gt;=2),IF(
        SUM(--(_xlpm.claves &gt; _xlpm.clave)) &lt; 4,
        D70,
        F70
    ),"No disp")
)</f>
        <v>No disp</v>
      </c>
      <c r="V70" s="4" cm="1">
        <f t="array" aca="1" ref="V70" ca="1">_xlfn.LET(
_xlpm.PrinIDs,_xlfn._xlws.FILTER(C:C,(A:A=A70)),
_xlpm.SecIDs,_xlfn._xlws.FILTER(D:D,(A:A=A70)),
_xlpm.TerIDs,_xlfn._xlws.FILTER(E:E,A:A=A70),
_xlpm.CuaIDs,_xlfn._xlws.FILTER(F:F,(A:A=A70)),
_xlpm.PrinPts,_xlfn._xlws.FILTER(G:G,(A:A=A70)),
_xlpm.SecPts,_xlfn._xlws.FILTER(H:H,(A:A=A70)),
_xlpm.TerPts,_xlfn._xlws.FILTER(I:I,(A:A=A70)),
_xlpm.CuaPts,_xlfn._xlws.FILTER(J:J,(A:A=A70)),
_xlpm.PSIds,_xlfn._xlws.FILTER(P:P,A:A=A70),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347.58</v>
      </c>
      <c r="W70" s="4" cm="1">
        <f t="array" aca="1" ref="W70" ca="1">_xlfn.LET(
_xlpm.PrinIDs,_xlfn._xlws.FILTER(C:C,(A:A=A70)),
_xlpm.SecIDs,_xlfn._xlws.FILTER(D:D,(A:A=A70)),
_xlpm.TerIDs,_xlfn._xlws.FILTER(E:E,A:A=A70),
_xlpm.CuaIDs,_xlfn._xlws.FILTER(F:F,(A:A=A70)),
_xlpm.PrinPts,_xlfn._xlws.FILTER(G:G,(A:A=A70)),
_xlpm.SecPts,_xlfn._xlws.FILTER(H:H,(A:A=A70)),
_xlpm.TerPts,_xlfn._xlws.FILTER(I:I,(A:A=A70)),
_xlpm.CuaPts,_xlfn._xlws.FILTER(J:J,(A:A=A70)),
_xlpm.PTIds,_xlfn._xlws.FILTER(Q:Q,A:A=A70),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70" s="4" cm="1">
        <f t="array" aca="1" ref="X70" ca="1">_xlfn.LET(
_xlpm.PrinIDs,_xlfn._xlws.FILTER(C:C,(A:A=A70)),
_xlpm.SecIDs,_xlfn._xlws.FILTER(D:D,(A:A=A70)),
_xlpm.TerIDs,_xlfn._xlws.FILTER(E:E,A:A=A70),
_xlpm.CuaIDs,_xlfn._xlws.FILTER(F:F,(A:A=A70)),
_xlpm.PrinPts,_xlfn._xlws.FILTER(G:G,(A:A=A70)),
_xlpm.SecPts,_xlfn._xlws.FILTER(H:H,(A:A=A70)),
_xlpm.TerPts,_xlfn._xlws.FILTER(I:I,(A:A=A70)),
_xlpm.CuaPts,_xlfn._xlws.FILTER(J:J,(A:A=A70)),
_xlpm.PCIds,_xlfn._xlws.FILTER(R:R,A:A=A70),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70" s="4" cm="1">
        <f t="array" aca="1" ref="Y70" ca="1">_xlfn.LET(
_xlpm.PrinIDs,_xlfn._xlws.FILTER(C:C,(A:A=A70)),
_xlpm.SecIDs,_xlfn._xlws.FILTER(D:D,(A:A=A70)),
_xlpm.AltIDs,_xlfn._xlws.FILTER(E:E,A:A=A70),
_xlpm.PrinPts,_xlfn._xlws.FILTER(G:G,(A:A=A70)),
_xlpm.SecPts,_xlfn._xlws.FILTER(H:H,(A:A=A70)),
_xlpm.AltPts,_xlfn._xlws.FILTER(I:I,(A:A=A70)),
_xlpm.SPIds,_xlfn._xlws.FILTER(S:S,A:A=A70),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353.7</v>
      </c>
      <c r="Z70" s="4" cm="1">
        <f t="array" aca="1" ref="Z70" ca="1">_xlfn.LET(
_xlpm.PrinIDs,_xlfn._xlws.FILTER(C:C,(A:A=A70)),
_xlpm.SecIDs,_xlfn._xlws.FILTER(D:D,(A:A=A70)),
_xlpm.TerIDs,_xlfn._xlws.FILTER(E:E,A:A=A70),
_xlpm.CuaIDs,_xlfn._xlws.FILTER(F:F,(A:A=A70)),
_xlpm.PrinPts,_xlfn._xlws.FILTER(G:G,(A:A=A70)),
_xlpm.SecPts,_xlfn._xlws.FILTER(H:H,(A:A=A70)),
_xlpm.TerPts,_xlfn._xlws.FILTER(I:I,(A:A=A70)),
_xlpm.CuaPts,_xlfn._xlws.FILTER(J:J,(A:A=A70)),
_xlpm.STIds,_xlfn._xlws.FILTER(T:T,A:A=A70),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70" s="4" cm="1">
        <f t="array" aca="1" ref="AA70" ca="1">_xlfn.LET(
_xlpm.PrinIDs,_xlfn._xlws.FILTER(C:C,(A:A=A70)),
_xlpm.SecIDs,_xlfn._xlws.FILTER(D:D,(A:A=A70)),
_xlpm.TerIDs,_xlfn._xlws.FILTER(E:E,A:A=A70),
_xlpm.CuaIDs,_xlfn._xlws.FILTER(F:F,(A:A=A70)),
_xlpm.PrinPts,_xlfn._xlws.FILTER(G:G,(A:A=A70)),
_xlpm.SecPts,_xlfn._xlws.FILTER(H:H,(A:A=A70)),
_xlpm.TerPts,_xlfn._xlws.FILTER(I:I,(A:A=A70)),
_xlpm.CuaPts,_xlfn._xlws.FILTER(J:J,(A:A=A70)),
_xlpm.SCIds,_xlfn._xlws.FILTER(U:U,A:A=A70),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70" s="14">
        <f t="shared" ca="1" si="7"/>
        <v>76</v>
      </c>
      <c r="AC70" s="14">
        <v>76</v>
      </c>
      <c r="AD70" s="4"/>
      <c r="AE70" s="14" t="str">
        <f ca="1">IF(ISNUMBER(AC70),
IF($B70=1,VLOOKUP($AC70,Inventario1!$A:$H,2),
IF($B70=2,VLOOKUP($AC70,Inventario2!$A:$H,2),
IF($B70=3,VLOOKUP($AC70,Inventario3!$A:$H,2),
IF($B70=4,VLOOKUP($AC70,Inventario4!$A:$H,2),
IF($B70=5,VLOOKUP($AC70,Inventario5!$A:$H,2),
VLOOKUP($AC70,Inventario6!$A:$H,2)
))))),"No equipado")</f>
        <v>Legendario</v>
      </c>
      <c r="AF70" s="14" t="str">
        <f ca="1">IF(ISNUMBER(AC70),
IF($B70=1,VLOOKUP($AC70,Inventario1!$A:$H,3),
IF($B70=2,VLOOKUP($AC70,Inventario2!$A:$H,3),
IF($B70=3,VLOOKUP($AC70,Inventario3!$A:$H,3),
IF($B70=4,VLOOKUP($AC70,Inventario4!$A:$H,3),
IF($B70=5,VLOOKUP($AC70,Inventario5!$A:$H,3),
VLOOKUP($AC70,Inventario6!$A:$H,3)
))))),"")</f>
        <v>Sentido agudo</v>
      </c>
      <c r="AG70" s="14" t="str">
        <f ca="1">IF(ISNUMBER(AC70),
IF($B70=1,VLOOKUP($AC70,Inventario1!$A:$H,4),
IF($B70=2,VLOOKUP($AC70,Inventario2!$A:$H,4),
IF($B70=3,VLOOKUP($AC70,Inventario3!$A:$H,4),
IF($B70=4,VLOOKUP($AC70,Inventario4!$A:$H,4),
IF($B70=5,VLOOKUP($AC70,Inventario5!$A:$H,4),
VLOOKUP($AC70,Inventario6!$A:$H,4)
))))),"")</f>
        <v>Saque</v>
      </c>
      <c r="AH70" s="14" t="str">
        <f ca="1">IF(ISNUMBER(AC70),
IF($B70=1,VLOOKUP($AC70,Inventario1!$A:$H,5),
IF($B70=2,VLOOKUP($AC70,Inventario2!$A:$H,5),
IF($B70=3,VLOOKUP($AC70,Inventario3!$A:$H,5),
IF($B70=4,VLOOKUP($AC70,Inventario4!$A:$H,5),
IF($B70=5,VLOOKUP($AC70,Inventario5!$A:$H,5),
VLOOKUP($AC70,Inventario6!$A:$H,5)
))))),"")</f>
        <v>Ataque rápido</v>
      </c>
      <c r="AI70" s="14" t="str">
        <f ca="1">IF(ISNUMBER(AC70),
IF($B70=1,VLOOKUP($AC70,Inventario1!$A:$H,6),
IF($B70=2,VLOOKUP($AC70,Inventario2!$A:$H,6),
IF($B70=3,VLOOKUP($AC70,Inventario3!$A:$H,6),
IF($B70=4,VLOOKUP($AC70,Inventario4!$A:$H,6),
IF($B70=5,VLOOKUP($AC70,Inventario5!$A:$H,6),
VLOOKUP($AC70,Inventario6!$A:$H,6)
))))),"")</f>
        <v>Técnica defensiva</v>
      </c>
      <c r="AJ70" s="14" t="str">
        <f ca="1">IF(ISNUMBER(AC70),
IF($B70=1,VLOOKUP($AC70,Inventario1!$A:$H,7),
IF($B70=2,VLOOKUP($AC70,Inventario2!$A:$H,7),
IF($B70=3,VLOOKUP($AC70,Inventario3!$A:$H,7),
IF($B70=4,VLOOKUP($AC70,Inventario4!$A:$H,7),
IF($B70=5,VLOOKUP($AC70,Inventario5!$A:$H,7),
VLOOKUP($AC70,Inventario6!$A:$H,7)
))))),"")</f>
        <v>Recuperación</v>
      </c>
      <c r="AK70" s="15">
        <f ca="1">IF(ISNUMBER(AC70),
IF($B70=1,VLOOKUP($AC70,Inventario1!$A:$H,8),
IF($B70=2,VLOOKUP($AC70,Inventario2!$A:$H,8),
IF($B70=3,VLOOKUP($AC70,Inventario3!$A:$H,8),
IF($B70=4,VLOOKUP($AC70,Inventario4!$A:$H,8),
IF($B70=5,VLOOKUP($AC70,Inventario5!$A:$H,8),
VLOOKUP($AC70,Inventario6!$A:$H,8)
))))),"")</f>
        <v>0</v>
      </c>
    </row>
    <row r="71" spans="1:37" x14ac:dyDescent="0.25">
      <c r="A71" s="21" t="s">
        <v>12</v>
      </c>
      <c r="B71" s="3">
        <v>4</v>
      </c>
      <c r="C71" s="14" cm="1">
        <f t="array" aca="1" ref="C71" ca="1">_xlfn.LET(
    _xlpm.jugador, A71,
    _xlpm.idSel, AC71,
    _xlpm.invIDs, IF(B71=1,Inventario1!A:A,IF(B71=2,Inventario2!A:A,IF(B71=3,Inventario3!A:A,IF(B71=4,Inventario4!A:A,IF(B71=5,Inventario5!A:A,Inventario6!A:A))))),
    _xlpm.invCalidad, IF(B71=1,Inventario1!B:B,IF(B71=2,Inventario2!B:B,IF(B71=3,Inventario3!B:B,IF(B71=4,Inventario4!B:B,IF(B71=5,Inventario5!B:B,Inventario6!B:B))))),
    _xlpm.invTipos, IF(B71=1,Inventario1!C:C,IF(B71=2,Inventario2!C:C,IF(B71=3,Inventario3!C:C,IF(B71=4,Inventario4!C:C,IF(B71=5,Inventario5!C:C,Inventario6!C:C))))),
    _xlpm.invStats, IF(B71=1,Inventario1!D:H,IF(B71=2,Inventario2!D:H,IF(B71=3,Inventario3!D:H,IF(B71=4,Inventario4!D:H,IF(B71=5,Inventario5!D:H,Inventario6!D:H))))),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IF(ROW(A71)=2,"",IF(_xlfn._xlws.FILTER(Equipar!AC$2:AC70,Equipar!B$2:B70=B71)={0},"",_xlfn._xlws.FILTER(Equipar!AC$2:AC70,Equipar!B$2:B70=B71))),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81</v>
      </c>
      <c r="D71" s="4" cm="1">
        <f t="array" ref="D71">_xlfn.LET(
    _xlpm.jugador, A71,
    _xlpm.idSel, AC71,
    _xlpm.invIDs, IF(B71=1,Inventario1!A:A,IF(B71=2,Inventario2!A:A,IF(B71=3,Inventario3!A:A,IF(B71=4,Inventario4!A:A,IF(B71=5,Inventario5!A:A,Inventario6!A:A))))),
    _xlpm.invCalidad, IF(B71=1,Inventario1!B:B,IF(B71=2,Inventario2!B:B,IF(B71=3,Inventario3!B:B,IF(B71=4,Inventario4!B:B,IF(B71=5,Inventario5!B:B,Inventario6!B:B))))),
    _xlpm.invTipos, IF(B71=1,Inventario1!C:C,IF(B71=2,Inventario2!C:C,IF(B71=3,Inventario3!C:C,IF(B71=4,Inventario4!C:C,IF(B71=5,Inventario5!C:C,Inventario6!C:C))))),
    _xlpm.invStats, IF(B71=1,Inventario1!D:H,IF(B71=2,Inventario2!D:H,IF(B71=3,Inventario3!D:H,IF(B71=4,Inventario4!D:H,IF(B71=5,Inventario5!D:H,Inventario6!D:H))))),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IF(ROW(A71)=2,"",IF(_xlfn._xlws.FILTER(Equipar!AC$2:AC70,Equipar!B$2:B70=B71)={0},"",_xlfn._xlws.FILTER(Equipar!AC$2:AC70,Equipar!B$2:B70=B71))),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101</v>
      </c>
      <c r="E71" s="4" t="str" cm="1">
        <f t="array" ref="E71">_xlfn.LET(
    _xlpm.jugador, A71,
    _xlpm.idSel, AC71,
    _xlpm.invIDs, IF(B71=1,Inventario1!A:A,IF(B71=2,Inventario2!A:A,IF(B71=3,Inventario3!A:A,IF(B71=4,Inventario4!A:A,IF(B71=5,Inventario5!A:A,Inventario6!A:A))))),
    _xlpm.invCalidad, IF(B71=1,Inventario1!B:B,IF(B71=2,Inventario2!B:B,IF(B71=3,Inventario3!B:B,IF(B71=4,Inventario4!B:B,IF(B71=5,Inventario5!B:B,Inventario6!B:B))))),
    _xlpm.invTipos, IF(B71=1,Inventario1!C:C,IF(B71=2,Inventario2!C:C,IF(B71=3,Inventario3!C:C,IF(B71=4,Inventario4!C:C,IF(B71=5,Inventario5!C:C,Inventario6!C:C))))),
    _xlpm.invStats, IF(B71=1,Inventario1!D:H,IF(B71=2,Inventario2!D:H,IF(B71=3,Inventario3!D:H,IF(B71=4,Inventario4!D:H,IF(B71=5,Inventario5!D:H,Inventario6!D:H))))),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IF(ROW(A71)=2,"",IF(_xlfn._xlws.FILTER(Equipar!AC$2:AC70,Equipar!B$2:B70=B71)={0},"",_xlfn._xlws.FILTER(Equipar!AC$2:AC70,Equipar!B$2:B70=B71))),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71" s="4" t="str" cm="1">
        <f t="array" aca="1" ref="F71" ca="1">_xlfn.LET(
    _xlpm.jugador, B71,
    _xlpm.idSel, AD71,
    _xlpm.invIDs, IF(C71=1,Inventario1!B:B,IF(C71=2,Inventario2!B:B,IF(C71=3,Inventario3!B:B,IF(C71=4,Inventario4!B:B,IF(C71=5,Inventario5!B:B,Inventario6!B:B))))),
    _xlpm.invCalidad, IF(C71=1,Inventario1!C:C,IF(C71=2,Inventario2!C:C,IF(C71=3,Inventario3!C:C,IF(C71=4,Inventario4!C:C,IF(C71=5,Inventario5!C:C,Inventario6!C:C))))),
    _xlpm.invTipos, IF(C71=1,Inventario1!D:D,IF(C71=2,Inventario2!D:D,IF(C71=3,Inventario3!D:D,IF(C71=4,Inventario4!D:D,IF(C71=5,Inventario5!D:D,Inventario6!D:D))))),
    _xlpm.invStats, IF(C71=1,Inventario1!E:I,IF(C71=2,Inventario2!E:I,IF(C71=3,Inventario3!E:I,IF(C71=4,Inventario4!E:I,IF(C71=5,Inventario5!E:I,Inventario6!E:I))))),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IF(ROW(B71)=2,"",IF(_xlfn._xlws.FILTER(Equipar!AD$2:AD70,Equipar!C$2:C70=C71)={0},"",_xlfn._xlws.FILTER(Equipar!AD$2:AD70,Equipar!C$2:C70=C71))),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71" s="14" cm="1">
        <f t="array" aca="1" ref="G71" ca="1">_xlfn.LET(
    _xlpm.jugador, A71,
    _xlpm.idSel, AC71,
    _xlpm.invIDs, IF(B71=1,Inventario1!A:A,IF(B71=2,Inventario2!A:A,IF(B71=3,Inventario3!A:A,IF(B71=4,Inventario4!A:A,IF(B71=5,Inventario5!A:A,Inventario6!A:A))))),
    _xlpm.invCalidad, IF(B71=1,Inventario1!B:B,IF(B71=2,Inventario2!B:B,IF(B71=3,Inventario3!B:B,IF(B71=4,Inventario4!B:B,IF(B71=5,Inventario5!B:B,Inventario6!B:B))))),
    _xlpm.invTipos, IF(B71=1,Inventario1!C:C,IF(B71=2,Inventario2!C:C,IF(B71=3,Inventario3!C:C,IF(B71=4,Inventario4!C:C,IF(B71=5,Inventario5!C:C,Inventario6!C:C))))),
    _xlpm.invStats, IF(B71=1,Inventario1!D:H,IF(B71=2,Inventario2!D:H,IF(B71=3,Inventario3!D:H,IF(B71=4,Inventario4!D:H,IF(B71=5,Inventario5!D:H,Inventario6!D:H))))),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IF(ROW(A71)=2,"",IF(_xlfn._xlws.FILTER(Equipar!AC$2:AC70,Equipar!B$2:B70=B71)={0},"",_xlfn._xlws.FILTER(Equipar!AC$2:AC70,Equipar!B$2:B70=B71))),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27</v>
      </c>
      <c r="H71" s="4" cm="1">
        <f t="array" ref="H71">_xlfn.LET(
    _xlpm.jugador, A71,
    _xlpm.idSel, AC71,
    _xlpm.invIDs, IF(B71=1,Inventario1!A:A,IF(B71=2,Inventario2!A:A,IF(B71=3,Inventario3!A:A,IF(B71=4,Inventario4!A:A,IF(B71=5,Inventario5!A:A,Inventario6!A:A))))),
    _xlpm.invCalidad, IF(B71=1,Inventario1!B:B,IF(B71=2,Inventario2!B:B,IF(B71=3,Inventario3!B:B,IF(B71=4,Inventario4!B:B,IF(B71=5,Inventario5!B:B,Inventario6!B:B))))),
    _xlpm.invTipos, IF(B71=1,Inventario1!C:C,IF(B71=2,Inventario2!C:C,IF(B71=3,Inventario3!C:C,IF(B71=4,Inventario4!C:C,IF(B71=5,Inventario5!C:C,Inventario6!C:C))))),
    _xlpm.invStats, IF(B71=1,Inventario1!D:H,IF(B71=2,Inventario2!D:H,IF(B71=3,Inventario3!D:H,IF(B71=4,Inventario4!D:H,IF(B71=5,Inventario5!D:H,Inventario6!D:H))))),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IF(ROW(A71)=2,"",IF(_xlfn._xlws.FILTER(Equipar!AC$2:AC70,Equipar!B$2:B70=B71)={0},"",_xlfn._xlws.FILTER(Equipar!AC$2:AC70,Equipar!B$2:B70=B71))),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I71" s="4" cm="1">
        <f t="array" ref="I71">_xlfn.LET(
    _xlpm.jugador, A71,
    _xlpm.idSel, AC71,
    _xlpm.invIDs, IF(B71=1,Inventario1!A:A,IF(B71=2,Inventario2!A:A,IF(B71=3,Inventario3!A:A,IF(B71=4,Inventario4!A:A,IF(B71=5,Inventario5!A:A,Inventario6!A:A))))),
    _xlpm.invCalidad, IF(B71=1,Inventario1!B:B,IF(B71=2,Inventario2!B:B,IF(B71=3,Inventario3!B:B,IF(B71=4,Inventario4!B:B,IF(B71=5,Inventario5!B:B,Inventario6!B:B))))),
    _xlpm.invTipos, IF(B71=1,Inventario1!C:C,IF(B71=2,Inventario2!C:C,IF(B71=3,Inventario3!C:C,IF(B71=4,Inventario4!C:C,IF(B71=5,Inventario5!C:C,Inventario6!C:C))))),
    _xlpm.invStats, IF(B71=1,Inventario1!D:H,IF(B71=2,Inventario2!D:H,IF(B71=3,Inventario3!D:H,IF(B71=4,Inventario4!D:H,IF(B71=5,Inventario5!D:H,Inventario6!D:H))))),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IF(ROW(A71)=2,"",IF(_xlfn._xlws.FILTER(Equipar!AC$2:AC70,Equipar!B$2:B70=B71)={0},"",_xlfn._xlws.FILTER(Equipar!AC$2:AC70,Equipar!B$2:B70=B71))),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71" s="4" cm="1">
        <f t="array" aca="1" ref="J71" ca="1">_xlfn.LET(
    _xlpm.jugador, B71,
    _xlpm.idSel, AD71,
    _xlpm.invIDs, IF(C71=1,Inventario1!B:B,IF(C71=2,Inventario2!B:B,IF(C71=3,Inventario3!B:B,IF(C71=4,Inventario4!B:B,IF(C71=5,Inventario5!B:B,Inventario6!B:B))))),
    _xlpm.invCalidad, IF(C71=1,Inventario1!C:C,IF(C71=2,Inventario2!C:C,IF(C71=3,Inventario3!C:C,IF(C71=4,Inventario4!C:C,IF(C71=5,Inventario5!C:C,Inventario6!C:C))))),
    _xlpm.invTipos, IF(C71=1,Inventario1!D:D,IF(C71=2,Inventario2!D:D,IF(C71=3,Inventario3!D:D,IF(C71=4,Inventario4!D:D,IF(C71=5,Inventario5!D:D,Inventario6!D:D))))),
    _xlpm.invStats, IF(C71=1,Inventario1!E:I,IF(C71=2,Inventario2!E:I,IF(C71=3,Inventario3!E:I,IF(C71=4,Inventario4!E:I,IF(C71=5,Inventario5!E:I,Inventario6!E:I))))),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IF(ROW(B71)=2,"",IF(_xlfn._xlws.FILTER(Equipar!AD$2:AD70,Equipar!C$2:C70=C71)={0},"",_xlfn._xlws.FILTER(Equipar!AD$2:AD70,Equipar!C$2:C70=C71))),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71" s="4">
        <f t="shared" ca="1" si="4"/>
        <v>-27</v>
      </c>
      <c r="L71" s="4">
        <f t="shared" ca="1" si="5"/>
        <v>27</v>
      </c>
      <c r="M71" s="4">
        <f t="shared" ca="1" si="5"/>
        <v>54</v>
      </c>
      <c r="N71" s="4">
        <f t="shared" si="6"/>
        <v>54</v>
      </c>
      <c r="O71" s="4">
        <f t="shared" ca="1" si="6"/>
        <v>0</v>
      </c>
      <c r="P71" s="14" cm="1">
        <f t="array" aca="1" ref="P71" ca="1">_xlfn.LET(
    _xlpm.ptsPrinBase, _xlfn._xlws.FILTER(G:G, A:A=A71),
    _xlpm.ptsSecBase,  _xlfn._xlws.FILTER(H:H, A:A=A71),
    _xlpm.puntosPrin, _xlpm.ptsPrinBase + _xlfn._xlws.FILTER(B:B, A:A=A71)/1000,
    _xlpm.puntosSec,  _xlpm.ptsSecBase  + _xlfn._xlws.FILTER(B:B, A:A=A71)/1000,
    _xlpm.puntosPrinValidos, SUM(--(_xlpm.ptsPrinBase&gt;0)),
    _xlpm.puntosSecValidos,  SUM(--(_xlpm.ptsSecBase&gt;0)),
    _xlpm.clave, K71 + B71/1000,
    _xlpm.claves, _xlfn._xlws.FILTER(K:K + B:B/1000, A:A=A71),
    IF(AND(_xlpm.puntosPrinValidos&gt;=4,_xlpm.puntosSecValidos&gt;=2),IF(
        SUM(--(_xlpm.claves &gt; _xlpm.clave)) &lt; 4,
        C71,
        D71
    ),"No disp")
)</f>
        <v>101</v>
      </c>
      <c r="Q71" s="14" t="str" cm="1">
        <f t="array" aca="1" ref="Q71" ca="1">_xlfn.LET(
    _xlpm.puntosPrin, _xlfn._xlws.FILTER(G:G + B:B/1000, A:A=A71),
    _xlpm.puntosPrinValidos, SUM(--(_xlpm.puntosPrin&gt;1)),
    _xlpm.puntosTer, _xlfn._xlws.FILTER(I:I + B:B/1000, A:A=A71),
    _xlpm.puntosTerValidos, SUM(--(_xlpm.puntosTer&gt;1)),
    _xlpm.clave, L71 + B71/1000,
    _xlpm.claves, _xlfn._xlws.FILTER(L:L + B:B/1000, A:A=A71),
    IF(AND(_xlpm.puntosPrinValidos&gt;=4,_xlpm.puntosTerValidos&gt;=2),IF(
        SUM(--(_xlpm.claves &gt; _xlpm.clave)) &lt; 4,
        C71,
        E71
    ),"No disp")
)</f>
        <v>No disp</v>
      </c>
      <c r="R71" s="14" t="str" cm="1">
        <f t="array" aca="1" ref="R71" ca="1">_xlfn.LET(
    _xlpm.puntosPrin, _xlfn._xlws.FILTER(G:G + B:B/1000, A:A=A71),
    _xlpm.puntosPrinValidos, SUM(--(_xlpm.puntosPrin&gt;1)),
    _xlpm.puntosTer, _xlfn._xlws.FILTER(J:J + B:B/1000, A:A=A71),
    _xlpm.puntosTerValidos, SUM(--(_xlpm.puntosTer&gt;1)),
    _xlpm.clave, M71 + B71/1000,
    _xlpm.claves, _xlfn._xlws.FILTER(M:M + B:B/1000, A:A=A71),
    IF(AND(_xlpm.puntosPrinValidos&gt;=4,_xlpm.puntosTerValidos&gt;=2),IF(
        SUM(--(_xlpm.claves &gt; _xlpm.clave)) &lt; 4,
        C71,
        F71
    ),"No disp")
)</f>
        <v>No disp</v>
      </c>
      <c r="S71" s="14" cm="1">
        <f t="array" aca="1" ref="S71" ca="1">_xlfn.LET(
    _xlpm.ptsPrinBase, _xlfn._xlws.FILTER(G:G, A:A=A71),
    _xlpm.ptsSecBase,  _xlfn._xlws.FILTER(H:H, A:A=A71),
    _xlpm.puntosPrin, _xlpm.ptsPrinBase + _xlfn._xlws.FILTER(B:B, A:A=A71)/1000,
    _xlpm.puntosSec,  _xlpm.ptsSecBase  + _xlfn._xlws.FILTER(B:B, A:A=A71)/1000,
    _xlpm.puntosPrinValidos, SUM(--(_xlpm.ptsPrinBase&gt;0)),
    _xlpm.puntosSecValidos,  SUM(--(_xlpm.ptsSecBase&gt;0)),
    _xlpm.clave, K71 + B71/1000,
    _xlpm.claves, _xlfn._xlws.FILTER(K:K + B:B/1000, A:A=A71),
    IF(
        AND(_xlpm.puntosPrinValidos&gt;=2, _xlpm.puntosSecValidos&gt;=4),
        IF(
            SUM(--(_xlpm.claves &lt; _xlpm.clave)) &lt; 4,
            D71,
            C71
        ),
        "No disp"
    )
)</f>
        <v>101</v>
      </c>
      <c r="T71" s="14" t="str" cm="1">
        <f t="array" ref="T71">_xlfn.LET(
    _xlpm.puntosSec, _xlfn._xlws.FILTER(H:H + B:B/1000, A:A=A71),
    _xlpm.puntosSecValidos, SUM(--(_xlpm.puntosSec&gt;1)),
    _xlpm.puntosAlt, _xlfn._xlws.FILTER(I:I + B:B/1000, A:A=A71),
    _xlpm.puntosAltValidos, SUM(--(_xlpm.puntosAlt&gt;1)),
    _xlpm.clave, N71 + B71/1000,
    _xlpm.claves, _xlfn._xlws.FILTER(N:N + B:B/1000, A:A=A71),
    IF(AND(_xlpm.puntosSecValidos&gt;=4,_xlpm.puntosAltValidos&gt;=2),IF(
        SUM(--(_xlpm.claves &gt; _xlpm.clave)) &lt; 4,
        D71,
        E71
    ),"No disp")
)</f>
        <v>No disp</v>
      </c>
      <c r="U71" s="14" t="str" cm="1">
        <f t="array" aca="1" ref="U71" ca="1">_xlfn.LET(
    _xlpm.puntosSec, _xlfn._xlws.FILTER(H:H + B:B/1000, A:A=A71),
    _xlpm.puntosSecValidos, SUM(--(_xlpm.puntosSec&gt;1)),
    _xlpm.puntosAlt, _xlfn._xlws.FILTER(J:J + B:B/1000, A:A=A71),
    _xlpm.puntosAltValidos, SUM(--(_xlpm.puntosAlt&gt;1)),
    _xlpm.clave, O71 + B71/1000,
    _xlpm.claves, _xlfn._xlws.FILTER(O:O + B:B/1000, A:A=A71),
    IF(AND(_xlpm.puntosSecValidos&gt;=4,_xlpm.puntosAltValidos&gt;=2),IF(
        SUM(--(_xlpm.claves &gt; _xlpm.clave)) &lt; 4,
        D71,
        F71
    ),"No disp")
)</f>
        <v>No disp</v>
      </c>
      <c r="V71" s="4" cm="1">
        <f t="array" aca="1" ref="V71" ca="1">_xlfn.LET(
_xlpm.PrinIDs,_xlfn._xlws.FILTER(C:C,(A:A=A71)),
_xlpm.SecIDs,_xlfn._xlws.FILTER(D:D,(A:A=A71)),
_xlpm.TerIDs,_xlfn._xlws.FILTER(E:E,A:A=A71),
_xlpm.CuaIDs,_xlfn._xlws.FILTER(F:F,(A:A=A71)),
_xlpm.PrinPts,_xlfn._xlws.FILTER(G:G,(A:A=A71)),
_xlpm.SecPts,_xlfn._xlws.FILTER(H:H,(A:A=A71)),
_xlpm.TerPts,_xlfn._xlws.FILTER(I:I,(A:A=A71)),
_xlpm.CuaPts,_xlfn._xlws.FILTER(J:J,(A:A=A71)),
_xlpm.PSIds,_xlfn._xlws.FILTER(P:P,A:A=A71),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347.58</v>
      </c>
      <c r="W71" s="4" cm="1">
        <f t="array" aca="1" ref="W71" ca="1">_xlfn.LET(
_xlpm.PrinIDs,_xlfn._xlws.FILTER(C:C,(A:A=A71)),
_xlpm.SecIDs,_xlfn._xlws.FILTER(D:D,(A:A=A71)),
_xlpm.TerIDs,_xlfn._xlws.FILTER(E:E,A:A=A71),
_xlpm.CuaIDs,_xlfn._xlws.FILTER(F:F,(A:A=A71)),
_xlpm.PrinPts,_xlfn._xlws.FILTER(G:G,(A:A=A71)),
_xlpm.SecPts,_xlfn._xlws.FILTER(H:H,(A:A=A71)),
_xlpm.TerPts,_xlfn._xlws.FILTER(I:I,(A:A=A71)),
_xlpm.CuaPts,_xlfn._xlws.FILTER(J:J,(A:A=A71)),
_xlpm.PTIds,_xlfn._xlws.FILTER(Q:Q,A:A=A71),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71" s="4" cm="1">
        <f t="array" aca="1" ref="X71" ca="1">_xlfn.LET(
_xlpm.PrinIDs,_xlfn._xlws.FILTER(C:C,(A:A=A71)),
_xlpm.SecIDs,_xlfn._xlws.FILTER(D:D,(A:A=A71)),
_xlpm.TerIDs,_xlfn._xlws.FILTER(E:E,A:A=A71),
_xlpm.CuaIDs,_xlfn._xlws.FILTER(F:F,(A:A=A71)),
_xlpm.PrinPts,_xlfn._xlws.FILTER(G:G,(A:A=A71)),
_xlpm.SecPts,_xlfn._xlws.FILTER(H:H,(A:A=A71)),
_xlpm.TerPts,_xlfn._xlws.FILTER(I:I,(A:A=A71)),
_xlpm.CuaPts,_xlfn._xlws.FILTER(J:J,(A:A=A71)),
_xlpm.PCIds,_xlfn._xlws.FILTER(R:R,A:A=A71),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71" s="4" cm="1">
        <f t="array" aca="1" ref="Y71" ca="1">_xlfn.LET(
_xlpm.PrinIDs,_xlfn._xlws.FILTER(C:C,(A:A=A71)),
_xlpm.SecIDs,_xlfn._xlws.FILTER(D:D,(A:A=A71)),
_xlpm.AltIDs,_xlfn._xlws.FILTER(E:E,A:A=A71),
_xlpm.PrinPts,_xlfn._xlws.FILTER(G:G,(A:A=A71)),
_xlpm.SecPts,_xlfn._xlws.FILTER(H:H,(A:A=A71)),
_xlpm.AltPts,_xlfn._xlws.FILTER(I:I,(A:A=A71)),
_xlpm.SPIds,_xlfn._xlws.FILTER(S:S,A:A=A71),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353.7</v>
      </c>
      <c r="Z71" s="4" cm="1">
        <f t="array" aca="1" ref="Z71" ca="1">_xlfn.LET(
_xlpm.PrinIDs,_xlfn._xlws.FILTER(C:C,(A:A=A71)),
_xlpm.SecIDs,_xlfn._xlws.FILTER(D:D,(A:A=A71)),
_xlpm.TerIDs,_xlfn._xlws.FILTER(E:E,A:A=A71),
_xlpm.CuaIDs,_xlfn._xlws.FILTER(F:F,(A:A=A71)),
_xlpm.PrinPts,_xlfn._xlws.FILTER(G:G,(A:A=A71)),
_xlpm.SecPts,_xlfn._xlws.FILTER(H:H,(A:A=A71)),
_xlpm.TerPts,_xlfn._xlws.FILTER(I:I,(A:A=A71)),
_xlpm.CuaPts,_xlfn._xlws.FILTER(J:J,(A:A=A71)),
_xlpm.STIds,_xlfn._xlws.FILTER(T:T,A:A=A71),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71" s="4" cm="1">
        <f t="array" aca="1" ref="AA71" ca="1">_xlfn.LET(
_xlpm.PrinIDs,_xlfn._xlws.FILTER(C:C,(A:A=A71)),
_xlpm.SecIDs,_xlfn._xlws.FILTER(D:D,(A:A=A71)),
_xlpm.TerIDs,_xlfn._xlws.FILTER(E:E,A:A=A71),
_xlpm.CuaIDs,_xlfn._xlws.FILTER(F:F,(A:A=A71)),
_xlpm.PrinPts,_xlfn._xlws.FILTER(G:G,(A:A=A71)),
_xlpm.SecPts,_xlfn._xlws.FILTER(H:H,(A:A=A71)),
_xlpm.TerPts,_xlfn._xlws.FILTER(I:I,(A:A=A71)),
_xlpm.CuaPts,_xlfn._xlws.FILTER(J:J,(A:A=A71)),
_xlpm.SCIds,_xlfn._xlws.FILTER(U:U,A:A=A71),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71" s="14">
        <f t="shared" ca="1" si="7"/>
        <v>101</v>
      </c>
      <c r="AC71" s="14">
        <v>101</v>
      </c>
      <c r="AD71" s="4"/>
      <c r="AE71" s="14" t="str">
        <f ca="1">IF(ISNUMBER(AC71),
IF($B71=1,VLOOKUP($AC71,Inventario1!$A:$H,2),
IF($B71=2,VLOOKUP($AC71,Inventario2!$A:$H,2),
IF($B71=3,VLOOKUP($AC71,Inventario3!$A:$H,2),
IF($B71=4,VLOOKUP($AC71,Inventario4!$A:$H,2),
IF($B71=5,VLOOKUP($AC71,Inventario5!$A:$H,2),
VLOOKUP($AC71,Inventario6!$A:$H,2)
))))),"No equipado")</f>
        <v>Épico</v>
      </c>
      <c r="AF71" s="14" t="str">
        <f ca="1">IF(ISNUMBER(AC71),
IF($B71=1,VLOOKUP($AC71,Inventario1!$A:$H,3),
IF($B71=2,VLOOKUP($AC71,Inventario2!$A:$H,3),
IF($B71=3,VLOOKUP($AC71,Inventario3!$A:$H,3),
IF($B71=4,VLOOKUP($AC71,Inventario4!$A:$H,3),
IF($B71=5,VLOOKUP($AC71,Inventario5!$A:$H,3),
VLOOKUP($AC71,Inventario6!$A:$H,3)
))))),"")</f>
        <v>Sentido agudo</v>
      </c>
      <c r="AG71" s="14" t="str">
        <f ca="1">IF(ISNUMBER(AC71),
IF($B71=1,VLOOKUP($AC71,Inventario1!$A:$H,4),
IF($B71=2,VLOOKUP($AC71,Inventario2!$A:$H,4),
IF($B71=3,VLOOKUP($AC71,Inventario3!$A:$H,4),
IF($B71=4,VLOOKUP($AC71,Inventario4!$A:$H,4),
IF($B71=5,VLOOKUP($AC71,Inventario5!$A:$H,4),
VLOOKUP($AC71,Inventario6!$A:$H,4)
))))),"")</f>
        <v>Recepción</v>
      </c>
      <c r="AH71" s="14" t="str">
        <f ca="1">IF(ISNUMBER(AC71),
IF($B71=1,VLOOKUP($AC71,Inventario1!$A:$H,5),
IF($B71=2,VLOOKUP($AC71,Inventario2!$A:$H,5),
IF($B71=3,VLOOKUP($AC71,Inventario3!$A:$H,5),
IF($B71=4,VLOOKUP($AC71,Inventario4!$A:$H,5),
IF($B71=5,VLOOKUP($AC71,Inventario5!$A:$H,5),
VLOOKUP($AC71,Inventario6!$A:$H,5)
))))),"")</f>
        <v>Bloqueo</v>
      </c>
      <c r="AI71" s="14" t="str">
        <f ca="1">IF(ISNUMBER(AC71),
IF($B71=1,VLOOKUP($AC71,Inventario1!$A:$H,6),
IF($B71=2,VLOOKUP($AC71,Inventario2!$A:$H,6),
IF($B71=3,VLOOKUP($AC71,Inventario3!$A:$H,6),
IF($B71=4,VLOOKUP($AC71,Inventario4!$A:$H,6),
IF($B71=5,VLOOKUP($AC71,Inventario5!$A:$H,6),
VLOOKUP($AC71,Inventario6!$A:$H,6)
))))),"")</f>
        <v>Ataque rápido</v>
      </c>
      <c r="AJ71" s="14" t="str">
        <f ca="1">IF(ISNUMBER(AC71),
IF($B71=1,VLOOKUP($AC71,Inventario1!$A:$H,7),
IF($B71=2,VLOOKUP($AC71,Inventario2!$A:$H,7),
IF($B71=3,VLOOKUP($AC71,Inventario3!$A:$H,7),
IF($B71=4,VLOOKUP($AC71,Inventario4!$A:$H,7),
IF($B71=5,VLOOKUP($AC71,Inventario5!$A:$H,7),
VLOOKUP($AC71,Inventario6!$A:$H,7)
))))),"")</f>
        <v>Ataque rápido</v>
      </c>
      <c r="AK71" s="15">
        <f ca="1">IF(ISNUMBER(AC71),
IF($B71=1,VLOOKUP($AC71,Inventario1!$A:$H,8),
IF($B71=2,VLOOKUP($AC71,Inventario2!$A:$H,8),
IF($B71=3,VLOOKUP($AC71,Inventario3!$A:$H,8),
IF($B71=4,VLOOKUP($AC71,Inventario4!$A:$H,8),
IF($B71=5,VLOOKUP($AC71,Inventario5!$A:$H,8),
VLOOKUP($AC71,Inventario6!$A:$H,8)
))))),"")</f>
        <v>0</v>
      </c>
    </row>
    <row r="72" spans="1:37" x14ac:dyDescent="0.25">
      <c r="A72" s="21" t="s">
        <v>12</v>
      </c>
      <c r="B72" s="3">
        <v>5</v>
      </c>
      <c r="C72" s="14" cm="1">
        <f t="array" aca="1" ref="C72" ca="1">_xlfn.LET(
    _xlpm.jugador, A72,
    _xlpm.idSel, AC72,
    _xlpm.invIDs, IF(B72=1,Inventario1!A:A,IF(B72=2,Inventario2!A:A,IF(B72=3,Inventario3!A:A,IF(B72=4,Inventario4!A:A,IF(B72=5,Inventario5!A:A,Inventario6!A:A))))),
    _xlpm.invCalidad, IF(B72=1,Inventario1!B:B,IF(B72=2,Inventario2!B:B,IF(B72=3,Inventario3!B:B,IF(B72=4,Inventario4!B:B,IF(B72=5,Inventario5!B:B,Inventario6!B:B))))),
    _xlpm.invTipos, IF(B72=1,Inventario1!C:C,IF(B72=2,Inventario2!C:C,IF(B72=3,Inventario3!C:C,IF(B72=4,Inventario4!C:C,IF(B72=5,Inventario5!C:C,Inventario6!C:C))))),
    _xlpm.invStats, IF(B72=1,Inventario1!D:H,IF(B72=2,Inventario2!D:H,IF(B72=3,Inventario3!D:H,IF(B72=4,Inventario4!D:H,IF(B72=5,Inventario5!D:H,Inventario6!D:H))))),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IF(ROW(A72)=2,"",IF(_xlfn._xlws.FILTER(Equipar!AC$2:AC71,Equipar!B$2:B71=B72)={0},"",_xlfn._xlws.FILTER(Equipar!AC$2:AC71,Equipar!B$2:B71=B72))),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68</v>
      </c>
      <c r="D72" s="4" cm="1">
        <f t="array" ref="D72">_xlfn.LET(
    _xlpm.jugador, A72,
    _xlpm.idSel, AC72,
    _xlpm.invIDs, IF(B72=1,Inventario1!A:A,IF(B72=2,Inventario2!A:A,IF(B72=3,Inventario3!A:A,IF(B72=4,Inventario4!A:A,IF(B72=5,Inventario5!A:A,Inventario6!A:A))))),
    _xlpm.invCalidad, IF(B72=1,Inventario1!B:B,IF(B72=2,Inventario2!B:B,IF(B72=3,Inventario3!B:B,IF(B72=4,Inventario4!B:B,IF(B72=5,Inventario5!B:B,Inventario6!B:B))))),
    _xlpm.invTipos, IF(B72=1,Inventario1!C:C,IF(B72=2,Inventario2!C:C,IF(B72=3,Inventario3!C:C,IF(B72=4,Inventario4!C:C,IF(B72=5,Inventario5!C:C,Inventario6!C:C))))),
    _xlpm.invStats, IF(B72=1,Inventario1!D:H,IF(B72=2,Inventario2!D:H,IF(B72=3,Inventario3!D:H,IF(B72=4,Inventario4!D:H,IF(B72=5,Inventario5!D:H,Inventario6!D:H))))),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IF(ROW(A72)=2,"",IF(_xlfn._xlws.FILTER(Equipar!AC$2:AC71,Equipar!B$2:B71=B72)={0},"",_xlfn._xlws.FILTER(Equipar!AC$2:AC71,Equipar!B$2:B71=B72))),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85</v>
      </c>
      <c r="E72" s="4" t="str" cm="1">
        <f t="array" ref="E72">_xlfn.LET(
    _xlpm.jugador, A72,
    _xlpm.idSel, AC72,
    _xlpm.invIDs, IF(B72=1,Inventario1!A:A,IF(B72=2,Inventario2!A:A,IF(B72=3,Inventario3!A:A,IF(B72=4,Inventario4!A:A,IF(B72=5,Inventario5!A:A,Inventario6!A:A))))),
    _xlpm.invCalidad, IF(B72=1,Inventario1!B:B,IF(B72=2,Inventario2!B:B,IF(B72=3,Inventario3!B:B,IF(B72=4,Inventario4!B:B,IF(B72=5,Inventario5!B:B,Inventario6!B:B))))),
    _xlpm.invTipos, IF(B72=1,Inventario1!C:C,IF(B72=2,Inventario2!C:C,IF(B72=3,Inventario3!C:C,IF(B72=4,Inventario4!C:C,IF(B72=5,Inventario5!C:C,Inventario6!C:C))))),
    _xlpm.invStats, IF(B72=1,Inventario1!D:H,IF(B72=2,Inventario2!D:H,IF(B72=3,Inventario3!D:H,IF(B72=4,Inventario4!D:H,IF(B72=5,Inventario5!D:H,Inventario6!D:H))))),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IF(ROW(A72)=2,"",IF(_xlfn._xlws.FILTER(Equipar!AC$2:AC71,Equipar!B$2:B71=B72)={0},"",_xlfn._xlws.FILTER(Equipar!AC$2:AC71,Equipar!B$2:B71=B72))),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72" s="4" t="str" cm="1">
        <f t="array" aca="1" ref="F72" ca="1">_xlfn.LET(
    _xlpm.jugador, B72,
    _xlpm.idSel, AD72,
    _xlpm.invIDs, IF(C72=1,Inventario1!B:B,IF(C72=2,Inventario2!B:B,IF(C72=3,Inventario3!B:B,IF(C72=4,Inventario4!B:B,IF(C72=5,Inventario5!B:B,Inventario6!B:B))))),
    _xlpm.invCalidad, IF(C72=1,Inventario1!C:C,IF(C72=2,Inventario2!C:C,IF(C72=3,Inventario3!C:C,IF(C72=4,Inventario4!C:C,IF(C72=5,Inventario5!C:C,Inventario6!C:C))))),
    _xlpm.invTipos, IF(C72=1,Inventario1!D:D,IF(C72=2,Inventario2!D:D,IF(C72=3,Inventario3!D:D,IF(C72=4,Inventario4!D:D,IF(C72=5,Inventario5!D:D,Inventario6!D:D))))),
    _xlpm.invStats, IF(C72=1,Inventario1!E:I,IF(C72=2,Inventario2!E:I,IF(C72=3,Inventario3!E:I,IF(C72=4,Inventario4!E:I,IF(C72=5,Inventario5!E:I,Inventario6!E:I))))),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IF(ROW(B72)=2,"",IF(_xlfn._xlws.FILTER(Equipar!AD$2:AD71,Equipar!C$2:C71=C72)={0},"",_xlfn._xlws.FILTER(Equipar!AD$2:AD71,Equipar!C$2:C71=C72))),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72" s="14" cm="1">
        <f t="array" aca="1" ref="G72" ca="1">_xlfn.LET(
    _xlpm.jugador, A72,
    _xlpm.idSel, AC72,
    _xlpm.invIDs, IF(B72=1,Inventario1!A:A,IF(B72=2,Inventario2!A:A,IF(B72=3,Inventario3!A:A,IF(B72=4,Inventario4!A:A,IF(B72=5,Inventario5!A:A,Inventario6!A:A))))),
    _xlpm.invCalidad, IF(B72=1,Inventario1!B:B,IF(B72=2,Inventario2!B:B,IF(B72=3,Inventario3!B:B,IF(B72=4,Inventario4!B:B,IF(B72=5,Inventario5!B:B,Inventario6!B:B))))),
    _xlpm.invTipos, IF(B72=1,Inventario1!C:C,IF(B72=2,Inventario2!C:C,IF(B72=3,Inventario3!C:C,IF(B72=4,Inventario4!C:C,IF(B72=5,Inventario5!C:C,Inventario6!C:C))))),
    _xlpm.invStats, IF(B72=1,Inventario1!D:H,IF(B72=2,Inventario2!D:H,IF(B72=3,Inventario3!D:H,IF(B72=4,Inventario4!D:H,IF(B72=5,Inventario5!D:H,Inventario6!D:H))))),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IF(ROW(A72)=2,"",IF(_xlfn._xlws.FILTER(Equipar!AC$2:AC71,Equipar!B$2:B71=B72)={0},"",_xlfn._xlws.FILTER(Equipar!AC$2:AC71,Equipar!B$2:B71=B72))),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47.88</v>
      </c>
      <c r="H72" s="4" cm="1">
        <f t="array" ref="H72">_xlfn.LET(
    _xlpm.jugador, A72,
    _xlpm.idSel, AC72,
    _xlpm.invIDs, IF(B72=1,Inventario1!A:A,IF(B72=2,Inventario2!A:A,IF(B72=3,Inventario3!A:A,IF(B72=4,Inventario4!A:A,IF(B72=5,Inventario5!A:A,Inventario6!A:A))))),
    _xlpm.invCalidad, IF(B72=1,Inventario1!B:B,IF(B72=2,Inventario2!B:B,IF(B72=3,Inventario3!B:B,IF(B72=4,Inventario4!B:B,IF(B72=5,Inventario5!B:B,Inventario6!B:B))))),
    _xlpm.invTipos, IF(B72=1,Inventario1!C:C,IF(B72=2,Inventario2!C:C,IF(B72=3,Inventario3!C:C,IF(B72=4,Inventario4!C:C,IF(B72=5,Inventario5!C:C,Inventario6!C:C))))),
    _xlpm.invStats, IF(B72=1,Inventario1!D:H,IF(B72=2,Inventario2!D:H,IF(B72=3,Inventario3!D:H,IF(B72=4,Inventario4!D:H,IF(B72=5,Inventario5!D:H,Inventario6!D:H))))),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IF(ROW(A72)=2,"",IF(_xlfn._xlws.FILTER(Equipar!AC$2:AC71,Equipar!B$2:B71=B72)={0},"",_xlfn._xlws.FILTER(Equipar!AC$2:AC71,Equipar!B$2:B71=B72))),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I72" s="4" cm="1">
        <f t="array" ref="I72">_xlfn.LET(
    _xlpm.jugador, A72,
    _xlpm.idSel, AC72,
    _xlpm.invIDs, IF(B72=1,Inventario1!A:A,IF(B72=2,Inventario2!A:A,IF(B72=3,Inventario3!A:A,IF(B72=4,Inventario4!A:A,IF(B72=5,Inventario5!A:A,Inventario6!A:A))))),
    _xlpm.invCalidad, IF(B72=1,Inventario1!B:B,IF(B72=2,Inventario2!B:B,IF(B72=3,Inventario3!B:B,IF(B72=4,Inventario4!B:B,IF(B72=5,Inventario5!B:B,Inventario6!B:B))))),
    _xlpm.invTipos, IF(B72=1,Inventario1!C:C,IF(B72=2,Inventario2!C:C,IF(B72=3,Inventario3!C:C,IF(B72=4,Inventario4!C:C,IF(B72=5,Inventario5!C:C,Inventario6!C:C))))),
    _xlpm.invStats, IF(B72=1,Inventario1!D:H,IF(B72=2,Inventario2!D:H,IF(B72=3,Inventario3!D:H,IF(B72=4,Inventario4!D:H,IF(B72=5,Inventario5!D:H,Inventario6!D:H))))),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IF(ROW(A72)=2,"",IF(_xlfn._xlws.FILTER(Equipar!AC$2:AC71,Equipar!B$2:B71=B72)={0},"",_xlfn._xlws.FILTER(Equipar!AC$2:AC71,Equipar!B$2:B71=B72))),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72" s="4" cm="1">
        <f t="array" aca="1" ref="J72" ca="1">_xlfn.LET(
    _xlpm.jugador, B72,
    _xlpm.idSel, AD72,
    _xlpm.invIDs, IF(C72=1,Inventario1!B:B,IF(C72=2,Inventario2!B:B,IF(C72=3,Inventario3!B:B,IF(C72=4,Inventario4!B:B,IF(C72=5,Inventario5!B:B,Inventario6!B:B))))),
    _xlpm.invCalidad, IF(C72=1,Inventario1!C:C,IF(C72=2,Inventario2!C:C,IF(C72=3,Inventario3!C:C,IF(C72=4,Inventario4!C:C,IF(C72=5,Inventario5!C:C,Inventario6!C:C))))),
    _xlpm.invTipos, IF(C72=1,Inventario1!D:D,IF(C72=2,Inventario2!D:D,IF(C72=3,Inventario3!D:D,IF(C72=4,Inventario4!D:D,IF(C72=5,Inventario5!D:D,Inventario6!D:D))))),
    _xlpm.invStats, IF(C72=1,Inventario1!E:I,IF(C72=2,Inventario2!E:I,IF(C72=3,Inventario3!E:I,IF(C72=4,Inventario4!E:I,IF(C72=5,Inventario5!E:I,Inventario6!E:I))))),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IF(ROW(B72)=2,"",IF(_xlfn._xlws.FILTER(Equipar!AD$2:AD71,Equipar!C$2:C71=C72)={0},"",_xlfn._xlws.FILTER(Equipar!AD$2:AD71,Equipar!C$2:C71=C72))),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72" s="4">
        <f t="shared" ca="1" si="4"/>
        <v>-6.1199999999999974</v>
      </c>
      <c r="L72" s="4">
        <f t="shared" ca="1" si="5"/>
        <v>47.88</v>
      </c>
      <c r="M72" s="4">
        <f t="shared" ca="1" si="5"/>
        <v>54</v>
      </c>
      <c r="N72" s="4">
        <f t="shared" si="6"/>
        <v>54</v>
      </c>
      <c r="O72" s="4">
        <f t="shared" ca="1" si="6"/>
        <v>0</v>
      </c>
      <c r="P72" s="14" cm="1">
        <f t="array" aca="1" ref="P72" ca="1">_xlfn.LET(
    _xlpm.ptsPrinBase, _xlfn._xlws.FILTER(G:G, A:A=A72),
    _xlpm.ptsSecBase,  _xlfn._xlws.FILTER(H:H, A:A=A72),
    _xlpm.puntosPrin, _xlpm.ptsPrinBase + _xlfn._xlws.FILTER(B:B, A:A=A72)/1000,
    _xlpm.puntosSec,  _xlpm.ptsSecBase  + _xlfn._xlws.FILTER(B:B, A:A=A72)/1000,
    _xlpm.puntosPrinValidos, SUM(--(_xlpm.ptsPrinBase&gt;0)),
    _xlpm.puntosSecValidos,  SUM(--(_xlpm.ptsSecBase&gt;0)),
    _xlpm.clave, K72 + B72/1000,
    _xlpm.claves, _xlfn._xlws.FILTER(K:K + B:B/1000, A:A=A72),
    IF(AND(_xlpm.puntosPrinValidos&gt;=4,_xlpm.puntosSecValidos&gt;=2),IF(
        SUM(--(_xlpm.claves &gt; _xlpm.clave)) &lt; 4,
        C72,
        D72
    ),"No disp")
)</f>
        <v>68</v>
      </c>
      <c r="Q72" s="14" t="str" cm="1">
        <f t="array" aca="1" ref="Q72" ca="1">_xlfn.LET(
    _xlpm.puntosPrin, _xlfn._xlws.FILTER(G:G + B:B/1000, A:A=A72),
    _xlpm.puntosPrinValidos, SUM(--(_xlpm.puntosPrin&gt;1)),
    _xlpm.puntosTer, _xlfn._xlws.FILTER(I:I + B:B/1000, A:A=A72),
    _xlpm.puntosTerValidos, SUM(--(_xlpm.puntosTer&gt;1)),
    _xlpm.clave, L72 + B72/1000,
    _xlpm.claves, _xlfn._xlws.FILTER(L:L + B:B/1000, A:A=A72),
    IF(AND(_xlpm.puntosPrinValidos&gt;=4,_xlpm.puntosTerValidos&gt;=2),IF(
        SUM(--(_xlpm.claves &gt; _xlpm.clave)) &lt; 4,
        C72,
        E72
    ),"No disp")
)</f>
        <v>No disp</v>
      </c>
      <c r="R72" s="14" t="str" cm="1">
        <f t="array" aca="1" ref="R72" ca="1">_xlfn.LET(
    _xlpm.puntosPrin, _xlfn._xlws.FILTER(G:G + B:B/1000, A:A=A72),
    _xlpm.puntosPrinValidos, SUM(--(_xlpm.puntosPrin&gt;1)),
    _xlpm.puntosTer, _xlfn._xlws.FILTER(J:J + B:B/1000, A:A=A72),
    _xlpm.puntosTerValidos, SUM(--(_xlpm.puntosTer&gt;1)),
    _xlpm.clave, M72 + B72/1000,
    _xlpm.claves, _xlfn._xlws.FILTER(M:M + B:B/1000, A:A=A72),
    IF(AND(_xlpm.puntosPrinValidos&gt;=4,_xlpm.puntosTerValidos&gt;=2),IF(
        SUM(--(_xlpm.claves &gt; _xlpm.clave)) &lt; 4,
        C72,
        F72
    ),"No disp")
)</f>
        <v>No disp</v>
      </c>
      <c r="S72" s="14" cm="1">
        <f t="array" aca="1" ref="S72" ca="1">_xlfn.LET(
    _xlpm.ptsPrinBase, _xlfn._xlws.FILTER(G:G, A:A=A72),
    _xlpm.ptsSecBase,  _xlfn._xlws.FILTER(H:H, A:A=A72),
    _xlpm.puntosPrin, _xlpm.ptsPrinBase + _xlfn._xlws.FILTER(B:B, A:A=A72)/1000,
    _xlpm.puntosSec,  _xlpm.ptsSecBase  + _xlfn._xlws.FILTER(B:B, A:A=A72)/1000,
    _xlpm.puntosPrinValidos, SUM(--(_xlpm.ptsPrinBase&gt;0)),
    _xlpm.puntosSecValidos,  SUM(--(_xlpm.ptsSecBase&gt;0)),
    _xlpm.clave, K72 + B72/1000,
    _xlpm.claves, _xlfn._xlws.FILTER(K:K + B:B/1000, A:A=A72),
    IF(
        AND(_xlpm.puntosPrinValidos&gt;=2, _xlpm.puntosSecValidos&gt;=4),
        IF(
            SUM(--(_xlpm.claves &lt; _xlpm.clave)) &lt; 4,
            D72,
            C72
        ),
        "No disp"
    )
)</f>
        <v>85</v>
      </c>
      <c r="T72" s="14" t="str" cm="1">
        <f t="array" ref="T72">_xlfn.LET(
    _xlpm.puntosSec, _xlfn._xlws.FILTER(H:H + B:B/1000, A:A=A72),
    _xlpm.puntosSecValidos, SUM(--(_xlpm.puntosSec&gt;1)),
    _xlpm.puntosAlt, _xlfn._xlws.FILTER(I:I + B:B/1000, A:A=A72),
    _xlpm.puntosAltValidos, SUM(--(_xlpm.puntosAlt&gt;1)),
    _xlpm.clave, N72 + B72/1000,
    _xlpm.claves, _xlfn._xlws.FILTER(N:N + B:B/1000, A:A=A72),
    IF(AND(_xlpm.puntosSecValidos&gt;=4,_xlpm.puntosAltValidos&gt;=2),IF(
        SUM(--(_xlpm.claves &gt; _xlpm.clave)) &lt; 4,
        D72,
        E72
    ),"No disp")
)</f>
        <v>No disp</v>
      </c>
      <c r="U72" s="14" t="str" cm="1">
        <f t="array" aca="1" ref="U72" ca="1">_xlfn.LET(
    _xlpm.puntosSec, _xlfn._xlws.FILTER(H:H + B:B/1000, A:A=A72),
    _xlpm.puntosSecValidos, SUM(--(_xlpm.puntosSec&gt;1)),
    _xlpm.puntosAlt, _xlfn._xlws.FILTER(J:J + B:B/1000, A:A=A72),
    _xlpm.puntosAltValidos, SUM(--(_xlpm.puntosAlt&gt;1)),
    _xlpm.clave, O72 + B72/1000,
    _xlpm.claves, _xlfn._xlws.FILTER(O:O + B:B/1000, A:A=A72),
    IF(AND(_xlpm.puntosSecValidos&gt;=4,_xlpm.puntosAltValidos&gt;=2),IF(
        SUM(--(_xlpm.claves &gt; _xlpm.clave)) &lt; 4,
        D72,
        F72
    ),"No disp")
)</f>
        <v>No disp</v>
      </c>
      <c r="V72" s="4" cm="1">
        <f t="array" aca="1" ref="V72" ca="1">_xlfn.LET(
_xlpm.PrinIDs,_xlfn._xlws.FILTER(C:C,(A:A=A72)),
_xlpm.SecIDs,_xlfn._xlws.FILTER(D:D,(A:A=A72)),
_xlpm.TerIDs,_xlfn._xlws.FILTER(E:E,A:A=A72),
_xlpm.CuaIDs,_xlfn._xlws.FILTER(F:F,(A:A=A72)),
_xlpm.PrinPts,_xlfn._xlws.FILTER(G:G,(A:A=A72)),
_xlpm.SecPts,_xlfn._xlws.FILTER(H:H,(A:A=A72)),
_xlpm.TerPts,_xlfn._xlws.FILTER(I:I,(A:A=A72)),
_xlpm.CuaPts,_xlfn._xlws.FILTER(J:J,(A:A=A72)),
_xlpm.PSIds,_xlfn._xlws.FILTER(P:P,A:A=A72),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347.58</v>
      </c>
      <c r="W72" s="4" cm="1">
        <f t="array" aca="1" ref="W72" ca="1">_xlfn.LET(
_xlpm.PrinIDs,_xlfn._xlws.FILTER(C:C,(A:A=A72)),
_xlpm.SecIDs,_xlfn._xlws.FILTER(D:D,(A:A=A72)),
_xlpm.TerIDs,_xlfn._xlws.FILTER(E:E,A:A=A72),
_xlpm.CuaIDs,_xlfn._xlws.FILTER(F:F,(A:A=A72)),
_xlpm.PrinPts,_xlfn._xlws.FILTER(G:G,(A:A=A72)),
_xlpm.SecPts,_xlfn._xlws.FILTER(H:H,(A:A=A72)),
_xlpm.TerPts,_xlfn._xlws.FILTER(I:I,(A:A=A72)),
_xlpm.CuaPts,_xlfn._xlws.FILTER(J:J,(A:A=A72)),
_xlpm.PTIds,_xlfn._xlws.FILTER(Q:Q,A:A=A72),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72" s="4" cm="1">
        <f t="array" aca="1" ref="X72" ca="1">_xlfn.LET(
_xlpm.PrinIDs,_xlfn._xlws.FILTER(C:C,(A:A=A72)),
_xlpm.SecIDs,_xlfn._xlws.FILTER(D:D,(A:A=A72)),
_xlpm.TerIDs,_xlfn._xlws.FILTER(E:E,A:A=A72),
_xlpm.CuaIDs,_xlfn._xlws.FILTER(F:F,(A:A=A72)),
_xlpm.PrinPts,_xlfn._xlws.FILTER(G:G,(A:A=A72)),
_xlpm.SecPts,_xlfn._xlws.FILTER(H:H,(A:A=A72)),
_xlpm.TerPts,_xlfn._xlws.FILTER(I:I,(A:A=A72)),
_xlpm.CuaPts,_xlfn._xlws.FILTER(J:J,(A:A=A72)),
_xlpm.PCIds,_xlfn._xlws.FILTER(R:R,A:A=A72),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72" s="4" cm="1">
        <f t="array" aca="1" ref="Y72" ca="1">_xlfn.LET(
_xlpm.PrinIDs,_xlfn._xlws.FILTER(C:C,(A:A=A72)),
_xlpm.SecIDs,_xlfn._xlws.FILTER(D:D,(A:A=A72)),
_xlpm.AltIDs,_xlfn._xlws.FILTER(E:E,A:A=A72),
_xlpm.PrinPts,_xlfn._xlws.FILTER(G:G,(A:A=A72)),
_xlpm.SecPts,_xlfn._xlws.FILTER(H:H,(A:A=A72)),
_xlpm.AltPts,_xlfn._xlws.FILTER(I:I,(A:A=A72)),
_xlpm.SPIds,_xlfn._xlws.FILTER(S:S,A:A=A72),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353.7</v>
      </c>
      <c r="Z72" s="4" cm="1">
        <f t="array" aca="1" ref="Z72" ca="1">_xlfn.LET(
_xlpm.PrinIDs,_xlfn._xlws.FILTER(C:C,(A:A=A72)),
_xlpm.SecIDs,_xlfn._xlws.FILTER(D:D,(A:A=A72)),
_xlpm.TerIDs,_xlfn._xlws.FILTER(E:E,A:A=A72),
_xlpm.CuaIDs,_xlfn._xlws.FILTER(F:F,(A:A=A72)),
_xlpm.PrinPts,_xlfn._xlws.FILTER(G:G,(A:A=A72)),
_xlpm.SecPts,_xlfn._xlws.FILTER(H:H,(A:A=A72)),
_xlpm.TerPts,_xlfn._xlws.FILTER(I:I,(A:A=A72)),
_xlpm.CuaPts,_xlfn._xlws.FILTER(J:J,(A:A=A72)),
_xlpm.STIds,_xlfn._xlws.FILTER(T:T,A:A=A72),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72" s="4" cm="1">
        <f t="array" aca="1" ref="AA72" ca="1">_xlfn.LET(
_xlpm.PrinIDs,_xlfn._xlws.FILTER(C:C,(A:A=A72)),
_xlpm.SecIDs,_xlfn._xlws.FILTER(D:D,(A:A=A72)),
_xlpm.TerIDs,_xlfn._xlws.FILTER(E:E,A:A=A72),
_xlpm.CuaIDs,_xlfn._xlws.FILTER(F:F,(A:A=A72)),
_xlpm.PrinPts,_xlfn._xlws.FILTER(G:G,(A:A=A72)),
_xlpm.SecPts,_xlfn._xlws.FILTER(H:H,(A:A=A72)),
_xlpm.TerPts,_xlfn._xlws.FILTER(I:I,(A:A=A72)),
_xlpm.CuaPts,_xlfn._xlws.FILTER(J:J,(A:A=A72)),
_xlpm.SCIds,_xlfn._xlws.FILTER(U:U,A:A=A72),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72" s="14">
        <f t="shared" ca="1" si="7"/>
        <v>85</v>
      </c>
      <c r="AC72" s="14">
        <v>85</v>
      </c>
      <c r="AD72" s="4"/>
      <c r="AE72" s="14" t="str">
        <f ca="1">IF(ISNUMBER(AC72),
IF($B72=1,VLOOKUP($AC72,Inventario1!$A:$H,2),
IF($B72=2,VLOOKUP($AC72,Inventario2!$A:$H,2),
IF($B72=3,VLOOKUP($AC72,Inventario3!$A:$H,2),
IF($B72=4,VLOOKUP($AC72,Inventario4!$A:$H,2),
IF($B72=5,VLOOKUP($AC72,Inventario5!$A:$H,2),
VLOOKUP($AC72,Inventario6!$A:$H,2)
))))),"No equipado")</f>
        <v>Épico</v>
      </c>
      <c r="AF72" s="14" t="str">
        <f ca="1">IF(ISNUMBER(AC72),
IF($B72=1,VLOOKUP($AC72,Inventario1!$A:$H,3),
IF($B72=2,VLOOKUP($AC72,Inventario2!$A:$H,3),
IF($B72=3,VLOOKUP($AC72,Inventario3!$A:$H,3),
IF($B72=4,VLOOKUP($AC72,Inventario4!$A:$H,3),
IF($B72=5,VLOOKUP($AC72,Inventario5!$A:$H,3),
VLOOKUP($AC72,Inventario6!$A:$H,3)
))))),"")</f>
        <v>Sentido agudo</v>
      </c>
      <c r="AG72" s="14" t="str">
        <f ca="1">IF(ISNUMBER(AC72),
IF($B72=1,VLOOKUP($AC72,Inventario1!$A:$H,4),
IF($B72=2,VLOOKUP($AC72,Inventario2!$A:$H,4),
IF($B72=3,VLOOKUP($AC72,Inventario3!$A:$H,4),
IF($B72=4,VLOOKUP($AC72,Inventario4!$A:$H,4),
IF($B72=5,VLOOKUP($AC72,Inventario5!$A:$H,4),
VLOOKUP($AC72,Inventario6!$A:$H,4)
))))),"")</f>
        <v>Recepción</v>
      </c>
      <c r="AH72" s="14" t="str">
        <f ca="1">IF(ISNUMBER(AC72),
IF($B72=1,VLOOKUP($AC72,Inventario1!$A:$H,5),
IF($B72=2,VLOOKUP($AC72,Inventario2!$A:$H,5),
IF($B72=3,VLOOKUP($AC72,Inventario3!$A:$H,5),
IF($B72=4,VLOOKUP($AC72,Inventario4!$A:$H,5),
IF($B72=5,VLOOKUP($AC72,Inventario5!$A:$H,5),
VLOOKUP($AC72,Inventario6!$A:$H,5)
))))),"")</f>
        <v>Saque</v>
      </c>
      <c r="AI72" s="14" t="str">
        <f ca="1">IF(ISNUMBER(AC72),
IF($B72=1,VLOOKUP($AC72,Inventario1!$A:$H,6),
IF($B72=2,VLOOKUP($AC72,Inventario2!$A:$H,6),
IF($B72=3,VLOOKUP($AC72,Inventario3!$A:$H,6),
IF($B72=4,VLOOKUP($AC72,Inventario4!$A:$H,6),
IF($B72=5,VLOOKUP($AC72,Inventario5!$A:$H,6),
VLOOKUP($AC72,Inventario6!$A:$H,6)
))))),"")</f>
        <v>Ataque rápido</v>
      </c>
      <c r="AJ72" s="14" t="str">
        <f ca="1">IF(ISNUMBER(AC72),
IF($B72=1,VLOOKUP($AC72,Inventario1!$A:$H,7),
IF($B72=2,VLOOKUP($AC72,Inventario2!$A:$H,7),
IF($B72=3,VLOOKUP($AC72,Inventario3!$A:$H,7),
IF($B72=4,VLOOKUP($AC72,Inventario4!$A:$H,7),
IF($B72=5,VLOOKUP($AC72,Inventario5!$A:$H,7),
VLOOKUP($AC72,Inventario6!$A:$H,7)
))))),"")</f>
        <v>Técnica ofensiva</v>
      </c>
      <c r="AK72" s="15">
        <f ca="1">IF(ISNUMBER(AC72),
IF($B72=1,VLOOKUP($AC72,Inventario1!$A:$H,8),
IF($B72=2,VLOOKUP($AC72,Inventario2!$A:$H,8),
IF($B72=3,VLOOKUP($AC72,Inventario3!$A:$H,8),
IF($B72=4,VLOOKUP($AC72,Inventario4!$A:$H,8),
IF($B72=5,VLOOKUP($AC72,Inventario5!$A:$H,8),
VLOOKUP($AC72,Inventario6!$A:$H,8)
))))),"")</f>
        <v>0</v>
      </c>
    </row>
    <row r="73" spans="1:37" ht="15.75" thickBot="1" x14ac:dyDescent="0.3">
      <c r="A73" s="22" t="s">
        <v>12</v>
      </c>
      <c r="B73" s="17">
        <v>6</v>
      </c>
      <c r="C73" s="18" cm="1">
        <f t="array" aca="1" ref="C73" ca="1">_xlfn.LET(
    _xlpm.jugador, A73,
    _xlpm.idSel, AC73,
    _xlpm.invIDs, IF(B73=1,Inventario1!A:A,IF(B73=2,Inventario2!A:A,IF(B73=3,Inventario3!A:A,IF(B73=4,Inventario4!A:A,IF(B73=5,Inventario5!A:A,Inventario6!A:A))))),
    _xlpm.invCalidad, IF(B73=1,Inventario1!B:B,IF(B73=2,Inventario2!B:B,IF(B73=3,Inventario3!B:B,IF(B73=4,Inventario4!B:B,IF(B73=5,Inventario5!B:B,Inventario6!B:B))))),
    _xlpm.invTipos, IF(B73=1,Inventario1!C:C,IF(B73=2,Inventario2!C:C,IF(B73=3,Inventario3!C:C,IF(B73=4,Inventario4!C:C,IF(B73=5,Inventario5!C:C,Inventario6!C:C))))),
    _xlpm.invStats, IF(B73=1,Inventario1!D:H,IF(B73=2,Inventario2!D:H,IF(B73=3,Inventario3!D:H,IF(B73=4,Inventario4!D:H,IF(B73=5,Inventario5!D:H,Inventario6!D:H))))),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IF(ROW(A73)=2,"",IF(_xlfn._xlws.FILTER(Equipar!AC$2:AC72,Equipar!B$2:B72=B73)={0},"",_xlfn._xlws.FILTER(Equipar!AC$2:AC72,Equipar!B$2:B72=B73))),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81</v>
      </c>
      <c r="D73" s="17" cm="1">
        <f t="array" ref="D73">_xlfn.LET(
    _xlpm.jugador, A73,
    _xlpm.idSel, AC73,
    _xlpm.invIDs, IF(B73=1,Inventario1!A:A,IF(B73=2,Inventario2!A:A,IF(B73=3,Inventario3!A:A,IF(B73=4,Inventario4!A:A,IF(B73=5,Inventario5!A:A,Inventario6!A:A))))),
    _xlpm.invCalidad, IF(B73=1,Inventario1!B:B,IF(B73=2,Inventario2!B:B,IF(B73=3,Inventario3!B:B,IF(B73=4,Inventario4!B:B,IF(B73=5,Inventario5!B:B,Inventario6!B:B))))),
    _xlpm.invTipos, IF(B73=1,Inventario1!C:C,IF(B73=2,Inventario2!C:C,IF(B73=3,Inventario3!C:C,IF(B73=4,Inventario4!C:C,IF(B73=5,Inventario5!C:C,Inventario6!C:C))))),
    _xlpm.invStats, IF(B73=1,Inventario1!D:H,IF(B73=2,Inventario2!D:H,IF(B73=3,Inventario3!D:H,IF(B73=4,Inventario4!D:H,IF(B73=5,Inventario5!D:H,Inventario6!D:H))))),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IF(ROW(A73)=2,"",IF(_xlfn._xlws.FILTER(Equipar!AC$2:AC72,Equipar!B$2:B72=B73)={0},"",_xlfn._xlws.FILTER(Equipar!AC$2:AC72,Equipar!B$2:B72=B73))),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95</v>
      </c>
      <c r="E73" s="17" t="str" cm="1">
        <f t="array" ref="E73">_xlfn.LET(
    _xlpm.jugador, A73,
    _xlpm.idSel, AC73,
    _xlpm.invIDs, IF(B73=1,Inventario1!A:A,IF(B73=2,Inventario2!A:A,IF(B73=3,Inventario3!A:A,IF(B73=4,Inventario4!A:A,IF(B73=5,Inventario5!A:A,Inventario6!A:A))))),
    _xlpm.invCalidad, IF(B73=1,Inventario1!B:B,IF(B73=2,Inventario2!B:B,IF(B73=3,Inventario3!B:B,IF(B73=4,Inventario4!B:B,IF(B73=5,Inventario5!B:B,Inventario6!B:B))))),
    _xlpm.invTipos, IF(B73=1,Inventario1!C:C,IF(B73=2,Inventario2!C:C,IF(B73=3,Inventario3!C:C,IF(B73=4,Inventario4!C:C,IF(B73=5,Inventario5!C:C,Inventario6!C:C))))),
    _xlpm.invStats, IF(B73=1,Inventario1!D:H,IF(B73=2,Inventario2!D:H,IF(B73=3,Inventario3!D:H,IF(B73=4,Inventario4!D:H,IF(B73=5,Inventario5!D:H,Inventario6!D:H))))),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IF(ROW(A73)=2,"",IF(_xlfn._xlws.FILTER(Equipar!AC$2:AC72,Equipar!B$2:B72=B73)={0},"",_xlfn._xlws.FILTER(Equipar!AC$2:AC72,Equipar!B$2:B72=B73))),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73" s="17" t="str" cm="1">
        <f t="array" aca="1" ref="F73" ca="1">_xlfn.LET(
    _xlpm.jugador, B73,
    _xlpm.idSel, AD73,
    _xlpm.invIDs, IF(C73=1,Inventario1!B:B,IF(C73=2,Inventario2!B:B,IF(C73=3,Inventario3!B:B,IF(C73=4,Inventario4!B:B,IF(C73=5,Inventario5!B:B,Inventario6!B:B))))),
    _xlpm.invCalidad, IF(C73=1,Inventario1!C:C,IF(C73=2,Inventario2!C:C,IF(C73=3,Inventario3!C:C,IF(C73=4,Inventario4!C:C,IF(C73=5,Inventario5!C:C,Inventario6!C:C))))),
    _xlpm.invTipos, IF(C73=1,Inventario1!D:D,IF(C73=2,Inventario2!D:D,IF(C73=3,Inventario3!D:D,IF(C73=4,Inventario4!D:D,IF(C73=5,Inventario5!D:D,Inventario6!D:D))))),
    _xlpm.invStats, IF(C73=1,Inventario1!E:I,IF(C73=2,Inventario2!E:I,IF(C73=3,Inventario3!E:I,IF(C73=4,Inventario4!E:I,IF(C73=5,Inventario5!E:I,Inventario6!E:I))))),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IF(ROW(B73)=2,"",IF(_xlfn._xlws.FILTER(Equipar!AD$2:AD72,Equipar!C$2:C72=C73)={0},"",_xlfn._xlws.FILTER(Equipar!AD$2:AD72,Equipar!C$2:C72=C73))),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73" s="18" cm="1">
        <f t="array" aca="1" ref="G73" ca="1">_xlfn.LET(
    _xlpm.jugador, A73,
    _xlpm.idSel, AC73,
    _xlpm.invIDs, IF(B73=1,Inventario1!A:A,IF(B73=2,Inventario2!A:A,IF(B73=3,Inventario3!A:A,IF(B73=4,Inventario4!A:A,IF(B73=5,Inventario5!A:A,Inventario6!A:A))))),
    _xlpm.invCalidad, IF(B73=1,Inventario1!B:B,IF(B73=2,Inventario2!B:B,IF(B73=3,Inventario3!B:B,IF(B73=4,Inventario4!B:B,IF(B73=5,Inventario5!B:B,Inventario6!B:B))))),
    _xlpm.invTipos, IF(B73=1,Inventario1!C:C,IF(B73=2,Inventario2!C:C,IF(B73=3,Inventario3!C:C,IF(B73=4,Inventario4!C:C,IF(B73=5,Inventario5!C:C,Inventario6!C:C))))),
    _xlpm.invStats, IF(B73=1,Inventario1!D:H,IF(B73=2,Inventario2!D:H,IF(B73=3,Inventario3!D:H,IF(B73=4,Inventario4!D:H,IF(B73=5,Inventario5!D:H,Inventario6!D:H))))),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IF(ROW(A73)=2,"",IF(_xlfn._xlws.FILTER(Equipar!AC$2:AC72,Equipar!B$2:B72=B73)={0},"",_xlfn._xlws.FILTER(Equipar!AC$2:AC72,Equipar!B$2:B72=B73))),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H73" s="17" cm="1">
        <f t="array" ref="H73">_xlfn.LET(
    _xlpm.jugador, A73,
    _xlpm.idSel, AC73,
    _xlpm.invIDs, IF(B73=1,Inventario1!A:A,IF(B73=2,Inventario2!A:A,IF(B73=3,Inventario3!A:A,IF(B73=4,Inventario4!A:A,IF(B73=5,Inventario5!A:A,Inventario6!A:A))))),
    _xlpm.invCalidad, IF(B73=1,Inventario1!B:B,IF(B73=2,Inventario2!B:B,IF(B73=3,Inventario3!B:B,IF(B73=4,Inventario4!B:B,IF(B73=5,Inventario5!B:B,Inventario6!B:B))))),
    _xlpm.invTipos, IF(B73=1,Inventario1!C:C,IF(B73=2,Inventario2!C:C,IF(B73=3,Inventario3!C:C,IF(B73=4,Inventario4!C:C,IF(B73=5,Inventario5!C:C,Inventario6!C:C))))),
    _xlpm.invStats, IF(B73=1,Inventario1!D:H,IF(B73=2,Inventario2!D:H,IF(B73=3,Inventario3!D:H,IF(B73=4,Inventario4!D:H,IF(B73=5,Inventario5!D:H,Inventario6!D:H))))),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IF(ROW(A73)=2,"",IF(_xlfn._xlws.FILTER(Equipar!AC$2:AC72,Equipar!B$2:B72=B73)={0},"",_xlfn._xlws.FILTER(Equipar!AC$2:AC72,Equipar!B$2:B72=B73))),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I73" s="17" cm="1">
        <f t="array" ref="I73">_xlfn.LET(
    _xlpm.jugador, A73,
    _xlpm.idSel, AC73,
    _xlpm.invIDs, IF(B73=1,Inventario1!A:A,IF(B73=2,Inventario2!A:A,IF(B73=3,Inventario3!A:A,IF(B73=4,Inventario4!A:A,IF(B73=5,Inventario5!A:A,Inventario6!A:A))))),
    _xlpm.invCalidad, IF(B73=1,Inventario1!B:B,IF(B73=2,Inventario2!B:B,IF(B73=3,Inventario3!B:B,IF(B73=4,Inventario4!B:B,IF(B73=5,Inventario5!B:B,Inventario6!B:B))))),
    _xlpm.invTipos, IF(B73=1,Inventario1!C:C,IF(B73=2,Inventario2!C:C,IF(B73=3,Inventario3!C:C,IF(B73=4,Inventario4!C:C,IF(B73=5,Inventario5!C:C,Inventario6!C:C))))),
    _xlpm.invStats, IF(B73=1,Inventario1!D:H,IF(B73=2,Inventario2!D:H,IF(B73=3,Inventario3!D:H,IF(B73=4,Inventario4!D:H,IF(B73=5,Inventario5!D:H,Inventario6!D:H))))),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IF(ROW(A73)=2,"",IF(_xlfn._xlws.FILTER(Equipar!AC$2:AC72,Equipar!B$2:B72=B73)={0},"",_xlfn._xlws.FILTER(Equipar!AC$2:AC72,Equipar!B$2:B72=B73))),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73" s="17" cm="1">
        <f t="array" aca="1" ref="J73" ca="1">_xlfn.LET(
    _xlpm.jugador, B73,
    _xlpm.idSel, AD73,
    _xlpm.invIDs, IF(C73=1,Inventario1!B:B,IF(C73=2,Inventario2!B:B,IF(C73=3,Inventario3!B:B,IF(C73=4,Inventario4!B:B,IF(C73=5,Inventario5!B:B,Inventario6!B:B))))),
    _xlpm.invCalidad, IF(C73=1,Inventario1!C:C,IF(C73=2,Inventario2!C:C,IF(C73=3,Inventario3!C:C,IF(C73=4,Inventario4!C:C,IF(C73=5,Inventario5!C:C,Inventario6!C:C))))),
    _xlpm.invTipos, IF(C73=1,Inventario1!D:D,IF(C73=2,Inventario2!D:D,IF(C73=3,Inventario3!D:D,IF(C73=4,Inventario4!D:D,IF(C73=5,Inventario5!D:D,Inventario6!D:D))))),
    _xlpm.invStats, IF(C73=1,Inventario1!E:I,IF(C73=2,Inventario2!E:I,IF(C73=3,Inventario3!E:I,IF(C73=4,Inventario4!E:I,IF(C73=5,Inventario5!E:I,Inventario6!E:I))))),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IF(ROW(B73)=2,"",IF(_xlfn._xlws.FILTER(Equipar!AD$2:AD72,Equipar!C$2:C72=C73)={0},"",_xlfn._xlws.FILTER(Equipar!AD$2:AD72,Equipar!C$2:C72=C73))),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73" s="17">
        <f t="shared" ca="1" si="4"/>
        <v>0</v>
      </c>
      <c r="L73" s="17">
        <f t="shared" ca="1" si="5"/>
        <v>54</v>
      </c>
      <c r="M73" s="17">
        <f t="shared" ca="1" si="5"/>
        <v>54</v>
      </c>
      <c r="N73" s="17">
        <f t="shared" si="6"/>
        <v>54</v>
      </c>
      <c r="O73" s="17">
        <f t="shared" ca="1" si="6"/>
        <v>0</v>
      </c>
      <c r="P73" s="18" cm="1">
        <f t="array" aca="1" ref="P73" ca="1">_xlfn.LET(
    _xlpm.ptsPrinBase, _xlfn._xlws.FILTER(G:G, A:A=A73),
    _xlpm.ptsSecBase,  _xlfn._xlws.FILTER(H:H, A:A=A73),
    _xlpm.puntosPrin, _xlpm.ptsPrinBase + _xlfn._xlws.FILTER(B:B, A:A=A73)/1000,
    _xlpm.puntosSec,  _xlpm.ptsSecBase  + _xlfn._xlws.FILTER(B:B, A:A=A73)/1000,
    _xlpm.puntosPrinValidos, SUM(--(_xlpm.ptsPrinBase&gt;0)),
    _xlpm.puntosSecValidos,  SUM(--(_xlpm.ptsSecBase&gt;0)),
    _xlpm.clave, K73 + B73/1000,
    _xlpm.claves, _xlfn._xlws.FILTER(K:K + B:B/1000, A:A=A73),
    IF(AND(_xlpm.puntosPrinValidos&gt;=4,_xlpm.puntosSecValidos&gt;=2),IF(
        SUM(--(_xlpm.claves &gt; _xlpm.clave)) &lt; 4,
        C73,
        D73
    ),"No disp")
)</f>
        <v>81</v>
      </c>
      <c r="Q73" s="18" t="str" cm="1">
        <f t="array" aca="1" ref="Q73" ca="1">_xlfn.LET(
    _xlpm.puntosPrin, _xlfn._xlws.FILTER(G:G + B:B/1000, A:A=A73),
    _xlpm.puntosPrinValidos, SUM(--(_xlpm.puntosPrin&gt;1)),
    _xlpm.puntosTer, _xlfn._xlws.FILTER(I:I + B:B/1000, A:A=A73),
    _xlpm.puntosTerValidos, SUM(--(_xlpm.puntosTer&gt;1)),
    _xlpm.clave, L73 + B73/1000,
    _xlpm.claves, _xlfn._xlws.FILTER(L:L + B:B/1000, A:A=A73),
    IF(AND(_xlpm.puntosPrinValidos&gt;=4,_xlpm.puntosTerValidos&gt;=2),IF(
        SUM(--(_xlpm.claves &gt; _xlpm.clave)) &lt; 4,
        C73,
        E73
    ),"No disp")
)</f>
        <v>No disp</v>
      </c>
      <c r="R73" s="18" t="str" cm="1">
        <f t="array" aca="1" ref="R73" ca="1">_xlfn.LET(
    _xlpm.puntosPrin, _xlfn._xlws.FILTER(G:G + B:B/1000, A:A=A73),
    _xlpm.puntosPrinValidos, SUM(--(_xlpm.puntosPrin&gt;1)),
    _xlpm.puntosTer, _xlfn._xlws.FILTER(J:J + B:B/1000, A:A=A73),
    _xlpm.puntosTerValidos, SUM(--(_xlpm.puntosTer&gt;1)),
    _xlpm.clave, M73 + B73/1000,
    _xlpm.claves, _xlfn._xlws.FILTER(M:M + B:B/1000, A:A=A73),
    IF(AND(_xlpm.puntosPrinValidos&gt;=4,_xlpm.puntosTerValidos&gt;=2),IF(
        SUM(--(_xlpm.claves &gt; _xlpm.clave)) &lt; 4,
        C73,
        F73
    ),"No disp")
)</f>
        <v>No disp</v>
      </c>
      <c r="S73" s="18" cm="1">
        <f t="array" aca="1" ref="S73" ca="1">_xlfn.LET(
    _xlpm.ptsPrinBase, _xlfn._xlws.FILTER(G:G, A:A=A73),
    _xlpm.ptsSecBase,  _xlfn._xlws.FILTER(H:H, A:A=A73),
    _xlpm.puntosPrin, _xlpm.ptsPrinBase + _xlfn._xlws.FILTER(B:B, A:A=A73)/1000,
    _xlpm.puntosSec,  _xlpm.ptsSecBase  + _xlfn._xlws.FILTER(B:B, A:A=A73)/1000,
    _xlpm.puntosPrinValidos, SUM(--(_xlpm.ptsPrinBase&gt;0)),
    _xlpm.puntosSecValidos,  SUM(--(_xlpm.ptsSecBase&gt;0)),
    _xlpm.clave, K73 + B73/1000,
    _xlpm.claves, _xlfn._xlws.FILTER(K:K + B:B/1000, A:A=A73),
    IF(
        AND(_xlpm.puntosPrinValidos&gt;=2, _xlpm.puntosSecValidos&gt;=4),
        IF(
            SUM(--(_xlpm.claves &lt; _xlpm.clave)) &lt; 4,
            D73,
            C73
        ),
        "No disp"
    )
)</f>
        <v>81</v>
      </c>
      <c r="T73" s="18" t="str" cm="1">
        <f t="array" ref="T73">_xlfn.LET(
    _xlpm.puntosSec, _xlfn._xlws.FILTER(H:H + B:B/1000, A:A=A73),
    _xlpm.puntosSecValidos, SUM(--(_xlpm.puntosSec&gt;1)),
    _xlpm.puntosAlt, _xlfn._xlws.FILTER(I:I + B:B/1000, A:A=A73),
    _xlpm.puntosAltValidos, SUM(--(_xlpm.puntosAlt&gt;1)),
    _xlpm.clave, N73 + B73/1000,
    _xlpm.claves, _xlfn._xlws.FILTER(N:N + B:B/1000, A:A=A73),
    IF(AND(_xlpm.puntosSecValidos&gt;=4,_xlpm.puntosAltValidos&gt;=2),IF(
        SUM(--(_xlpm.claves &gt; _xlpm.clave)) &lt; 4,
        D73,
        E73
    ),"No disp")
)</f>
        <v>No disp</v>
      </c>
      <c r="U73" s="18" t="str" cm="1">
        <f t="array" aca="1" ref="U73" ca="1">_xlfn.LET(
    _xlpm.puntosSec, _xlfn._xlws.FILTER(H:H + B:B/1000, A:A=A73),
    _xlpm.puntosSecValidos, SUM(--(_xlpm.puntosSec&gt;1)),
    _xlpm.puntosAlt, _xlfn._xlws.FILTER(J:J + B:B/1000, A:A=A73),
    _xlpm.puntosAltValidos, SUM(--(_xlpm.puntosAlt&gt;1)),
    _xlpm.clave, O73 + B73/1000,
    _xlpm.claves, _xlfn._xlws.FILTER(O:O + B:B/1000, A:A=A73),
    IF(AND(_xlpm.puntosSecValidos&gt;=4,_xlpm.puntosAltValidos&gt;=2),IF(
        SUM(--(_xlpm.claves &gt; _xlpm.clave)) &lt; 4,
        D73,
        F73
    ),"No disp")
)</f>
        <v>No disp</v>
      </c>
      <c r="V73" s="17" cm="1">
        <f t="array" aca="1" ref="V73" ca="1">_xlfn.LET(
_xlpm.PrinIDs,_xlfn._xlws.FILTER(C:C,(A:A=A73)),
_xlpm.SecIDs,_xlfn._xlws.FILTER(D:D,(A:A=A73)),
_xlpm.TerIDs,_xlfn._xlws.FILTER(E:E,A:A=A73),
_xlpm.CuaIDs,_xlfn._xlws.FILTER(F:F,(A:A=A73)),
_xlpm.PrinPts,_xlfn._xlws.FILTER(G:G,(A:A=A73)),
_xlpm.SecPts,_xlfn._xlws.FILTER(H:H,(A:A=A73)),
_xlpm.TerPts,_xlfn._xlws.FILTER(I:I,(A:A=A73)),
_xlpm.CuaPts,_xlfn._xlws.FILTER(J:J,(A:A=A73)),
_xlpm.PSIds,_xlfn._xlws.FILTER(P:P,A:A=A73),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347.58</v>
      </c>
      <c r="W73" s="17" cm="1">
        <f t="array" aca="1" ref="W73" ca="1">_xlfn.LET(
_xlpm.PrinIDs,_xlfn._xlws.FILTER(C:C,(A:A=A73)),
_xlpm.SecIDs,_xlfn._xlws.FILTER(D:D,(A:A=A73)),
_xlpm.TerIDs,_xlfn._xlws.FILTER(E:E,A:A=A73),
_xlpm.CuaIDs,_xlfn._xlws.FILTER(F:F,(A:A=A73)),
_xlpm.PrinPts,_xlfn._xlws.FILTER(G:G,(A:A=A73)),
_xlpm.SecPts,_xlfn._xlws.FILTER(H:H,(A:A=A73)),
_xlpm.TerPts,_xlfn._xlws.FILTER(I:I,(A:A=A73)),
_xlpm.CuaPts,_xlfn._xlws.FILTER(J:J,(A:A=A73)),
_xlpm.PTIds,_xlfn._xlws.FILTER(Q:Q,A:A=A73),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73" s="17" cm="1">
        <f t="array" aca="1" ref="X73" ca="1">_xlfn.LET(
_xlpm.PrinIDs,_xlfn._xlws.FILTER(C:C,(A:A=A73)),
_xlpm.SecIDs,_xlfn._xlws.FILTER(D:D,(A:A=A73)),
_xlpm.TerIDs,_xlfn._xlws.FILTER(E:E,A:A=A73),
_xlpm.CuaIDs,_xlfn._xlws.FILTER(F:F,(A:A=A73)),
_xlpm.PrinPts,_xlfn._xlws.FILTER(G:G,(A:A=A73)),
_xlpm.SecPts,_xlfn._xlws.FILTER(H:H,(A:A=A73)),
_xlpm.TerPts,_xlfn._xlws.FILTER(I:I,(A:A=A73)),
_xlpm.CuaPts,_xlfn._xlws.FILTER(J:J,(A:A=A73)),
_xlpm.PCIds,_xlfn._xlws.FILTER(R:R,A:A=A73),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73" s="17" cm="1">
        <f t="array" aca="1" ref="Y73" ca="1">_xlfn.LET(
_xlpm.PrinIDs,_xlfn._xlws.FILTER(C:C,(A:A=A73)),
_xlpm.SecIDs,_xlfn._xlws.FILTER(D:D,(A:A=A73)),
_xlpm.AltIDs,_xlfn._xlws.FILTER(E:E,A:A=A73),
_xlpm.PrinPts,_xlfn._xlws.FILTER(G:G,(A:A=A73)),
_xlpm.SecPts,_xlfn._xlws.FILTER(H:H,(A:A=A73)),
_xlpm.AltPts,_xlfn._xlws.FILTER(I:I,(A:A=A73)),
_xlpm.SPIds,_xlfn._xlws.FILTER(S:S,A:A=A73),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353.7</v>
      </c>
      <c r="Z73" s="17" cm="1">
        <f t="array" aca="1" ref="Z73" ca="1">_xlfn.LET(
_xlpm.PrinIDs,_xlfn._xlws.FILTER(C:C,(A:A=A73)),
_xlpm.SecIDs,_xlfn._xlws.FILTER(D:D,(A:A=A73)),
_xlpm.TerIDs,_xlfn._xlws.FILTER(E:E,A:A=A73),
_xlpm.CuaIDs,_xlfn._xlws.FILTER(F:F,(A:A=A73)),
_xlpm.PrinPts,_xlfn._xlws.FILTER(G:G,(A:A=A73)),
_xlpm.SecPts,_xlfn._xlws.FILTER(H:H,(A:A=A73)),
_xlpm.TerPts,_xlfn._xlws.FILTER(I:I,(A:A=A73)),
_xlpm.CuaPts,_xlfn._xlws.FILTER(J:J,(A:A=A73)),
_xlpm.STIds,_xlfn._xlws.FILTER(T:T,A:A=A73),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73" s="17" cm="1">
        <f t="array" aca="1" ref="AA73" ca="1">_xlfn.LET(
_xlpm.PrinIDs,_xlfn._xlws.FILTER(C:C,(A:A=A73)),
_xlpm.SecIDs,_xlfn._xlws.FILTER(D:D,(A:A=A73)),
_xlpm.TerIDs,_xlfn._xlws.FILTER(E:E,A:A=A73),
_xlpm.CuaIDs,_xlfn._xlws.FILTER(F:F,(A:A=A73)),
_xlpm.PrinPts,_xlfn._xlws.FILTER(G:G,(A:A=A73)),
_xlpm.SecPts,_xlfn._xlws.FILTER(H:H,(A:A=A73)),
_xlpm.TerPts,_xlfn._xlws.FILTER(I:I,(A:A=A73)),
_xlpm.CuaPts,_xlfn._xlws.FILTER(J:J,(A:A=A73)),
_xlpm.SCIds,_xlfn._xlws.FILTER(U:U,A:A=A73),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73" s="18">
        <f t="shared" ca="1" si="7"/>
        <v>81</v>
      </c>
      <c r="AC73" s="18">
        <v>81</v>
      </c>
      <c r="AD73" s="17"/>
      <c r="AE73" s="18" t="str">
        <f ca="1">IF(ISNUMBER(AC73),
IF($B73=1,VLOOKUP($AC73,Inventario1!$A:$H,2),
IF($B73=2,VLOOKUP($AC73,Inventario2!$A:$H,2),
IF($B73=3,VLOOKUP($AC73,Inventario3!$A:$H,2),
IF($B73=4,VLOOKUP($AC73,Inventario4!$A:$H,2),
IF($B73=5,VLOOKUP($AC73,Inventario5!$A:$H,2),
VLOOKUP($AC73,Inventario6!$A:$H,2)
))))),"No equipado")</f>
        <v>Épico</v>
      </c>
      <c r="AF73" s="18" t="str">
        <f ca="1">IF(ISNUMBER(AC73),
IF($B73=1,VLOOKUP($AC73,Inventario1!$A:$H,3),
IF($B73=2,VLOOKUP($AC73,Inventario2!$A:$H,3),
IF($B73=3,VLOOKUP($AC73,Inventario3!$A:$H,3),
IF($B73=4,VLOOKUP($AC73,Inventario4!$A:$H,3),
IF($B73=5,VLOOKUP($AC73,Inventario5!$A:$H,3),
VLOOKUP($AC73,Inventario6!$A:$H,3)
))))),"")</f>
        <v>Ataque veloz</v>
      </c>
      <c r="AG73" s="18" t="str">
        <f ca="1">IF(ISNUMBER(AC73),
IF($B73=1,VLOOKUP($AC73,Inventario1!$A:$H,4),
IF($B73=2,VLOOKUP($AC73,Inventario2!$A:$H,4),
IF($B73=3,VLOOKUP($AC73,Inventario3!$A:$H,4),
IF($B73=4,VLOOKUP($AC73,Inventario4!$A:$H,4),
IF($B73=5,VLOOKUP($AC73,Inventario5!$A:$H,4),
VLOOKUP($AC73,Inventario6!$A:$H,4)
))))),"")</f>
        <v>Ataque rápido</v>
      </c>
      <c r="AH73" s="18" t="str">
        <f ca="1">IF(ISNUMBER(AC73),
IF($B73=1,VLOOKUP($AC73,Inventario1!$A:$H,5),
IF($B73=2,VLOOKUP($AC73,Inventario2!$A:$H,5),
IF($B73=3,VLOOKUP($AC73,Inventario3!$A:$H,5),
IF($B73=4,VLOOKUP($AC73,Inventario4!$A:$H,5),
IF($B73=5,VLOOKUP($AC73,Inventario5!$A:$H,5),
VLOOKUP($AC73,Inventario6!$A:$H,5)
))))),"")</f>
        <v>Ataque rápido</v>
      </c>
      <c r="AI73" s="18" t="str">
        <f ca="1">IF(ISNUMBER(AC73),
IF($B73=1,VLOOKUP($AC73,Inventario1!$A:$H,6),
IF($B73=2,VLOOKUP($AC73,Inventario2!$A:$H,6),
IF($B73=3,VLOOKUP($AC73,Inventario3!$A:$H,6),
IF($B73=4,VLOOKUP($AC73,Inventario4!$A:$H,6),
IF($B73=5,VLOOKUP($AC73,Inventario5!$A:$H,6),
VLOOKUP($AC73,Inventario6!$A:$H,6)
))))),"")</f>
        <v>Técnica defensiva</v>
      </c>
      <c r="AJ73" s="18">
        <f ca="1">IF(ISNUMBER(AC73),
IF($B73=1,VLOOKUP($AC73,Inventario1!$A:$H,7),
IF($B73=2,VLOOKUP($AC73,Inventario2!$A:$H,7),
IF($B73=3,VLOOKUP($AC73,Inventario3!$A:$H,7),
IF($B73=4,VLOOKUP($AC73,Inventario4!$A:$H,7),
IF($B73=5,VLOOKUP($AC73,Inventario5!$A:$H,7),
VLOOKUP($AC73,Inventario6!$A:$H,7)
))))),"")</f>
        <v>0</v>
      </c>
      <c r="AK73" s="19">
        <f ca="1">IF(ISNUMBER(AC73),
IF($B73=1,VLOOKUP($AC73,Inventario1!$A:$H,8),
IF($B73=2,VLOOKUP($AC73,Inventario2!$A:$H,8),
IF($B73=3,VLOOKUP($AC73,Inventario3!$A:$H,8),
IF($B73=4,VLOOKUP($AC73,Inventario4!$A:$H,8),
IF($B73=5,VLOOKUP($AC73,Inventario5!$A:$H,8),
VLOOKUP($AC73,Inventario6!$A:$H,8)
))))),"")</f>
        <v>0</v>
      </c>
    </row>
    <row r="74" spans="1:37" x14ac:dyDescent="0.25">
      <c r="A74" s="20" t="s">
        <v>24</v>
      </c>
      <c r="B74" s="9">
        <v>1</v>
      </c>
      <c r="C74" s="10" cm="1">
        <f t="array" aca="1" ref="C74" ca="1">_xlfn.LET(
    _xlpm.jugador, A74,
    _xlpm.idSel, AC74,
    _xlpm.invIDs, IF(B74=1,Inventario1!A:A,IF(B74=2,Inventario2!A:A,IF(B74=3,Inventario3!A:A,IF(B74=4,Inventario4!A:A,IF(B74=5,Inventario5!A:A,Inventario6!A:A))))),
    _xlpm.invCalidad, IF(B74=1,Inventario1!B:B,IF(B74=2,Inventario2!B:B,IF(B74=3,Inventario3!B:B,IF(B74=4,Inventario4!B:B,IF(B74=5,Inventario5!B:B,Inventario6!B:B))))),
    _xlpm.invTipos, IF(B74=1,Inventario1!C:C,IF(B74=2,Inventario2!C:C,IF(B74=3,Inventario3!C:C,IF(B74=4,Inventario4!C:C,IF(B74=5,Inventario5!C:C,Inventario6!C:C))))),
    _xlpm.invStats, IF(B74=1,Inventario1!D:H,IF(B74=2,Inventario2!D:H,IF(B74=3,Inventario3!D:H,IF(B74=4,Inventario4!D:H,IF(B74=5,Inventario5!D:H,Inventario6!D:H))))),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IF(ROW(A74)=2,"",IF(_xlfn._xlws.FILTER(Equipar!AC$2:AC73,Equipar!B$2:B73=B74)={0},"",_xlfn._xlws.FILTER(Equipar!AC$2:AC73,Equipar!B$2:B73=B74))),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22</v>
      </c>
      <c r="D74" s="11" cm="1">
        <f t="array" ref="D74">_xlfn.LET(
    _xlpm.jugador, A74,
    _xlpm.idSel, AC74,
    _xlpm.invIDs, IF(B74=1,Inventario1!A:A,IF(B74=2,Inventario2!A:A,IF(B74=3,Inventario3!A:A,IF(B74=4,Inventario4!A:A,IF(B74=5,Inventario5!A:A,Inventario6!A:A))))),
    _xlpm.invCalidad, IF(B74=1,Inventario1!B:B,IF(B74=2,Inventario2!B:B,IF(B74=3,Inventario3!B:B,IF(B74=4,Inventario4!B:B,IF(B74=5,Inventario5!B:B,Inventario6!B:B))))),
    _xlpm.invTipos, IF(B74=1,Inventario1!C:C,IF(B74=2,Inventario2!C:C,IF(B74=3,Inventario3!C:C,IF(B74=4,Inventario4!C:C,IF(B74=5,Inventario5!C:C,Inventario6!C:C))))),
    _xlpm.invStats, IF(B74=1,Inventario1!D:H,IF(B74=2,Inventario2!D:H,IF(B74=3,Inventario3!D:H,IF(B74=4,Inventario4!D:H,IF(B74=5,Inventario5!D:H,Inventario6!D:H))))),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IF(ROW(A74)=2,"",IF(_xlfn._xlws.FILTER(Equipar!AC$2:AC73,Equipar!B$2:B73=B74)={0},"",_xlfn._xlws.FILTER(Equipar!AC$2:AC73,Equipar!B$2:B73=B74))),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26</v>
      </c>
      <c r="E74" s="11" t="str" cm="1">
        <f t="array" ref="E74">_xlfn.LET(
    _xlpm.jugador, A74,
    _xlpm.idSel, AC74,
    _xlpm.invIDs, IF(B74=1,Inventario1!A:A,IF(B74=2,Inventario2!A:A,IF(B74=3,Inventario3!A:A,IF(B74=4,Inventario4!A:A,IF(B74=5,Inventario5!A:A,Inventario6!A:A))))),
    _xlpm.invCalidad, IF(B74=1,Inventario1!B:B,IF(B74=2,Inventario2!B:B,IF(B74=3,Inventario3!B:B,IF(B74=4,Inventario4!B:B,IF(B74=5,Inventario5!B:B,Inventario6!B:B))))),
    _xlpm.invTipos, IF(B74=1,Inventario1!C:C,IF(B74=2,Inventario2!C:C,IF(B74=3,Inventario3!C:C,IF(B74=4,Inventario4!C:C,IF(B74=5,Inventario5!C:C,Inventario6!C:C))))),
    _xlpm.invStats, IF(B74=1,Inventario1!D:H,IF(B74=2,Inventario2!D:H,IF(B74=3,Inventario3!D:H,IF(B74=4,Inventario4!D:H,IF(B74=5,Inventario5!D:H,Inventario6!D:H))))),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IF(ROW(A74)=2,"",IF(_xlfn._xlws.FILTER(Equipar!AC$2:AC73,Equipar!B$2:B73=B74)={0},"",_xlfn._xlws.FILTER(Equipar!AC$2:AC73,Equipar!B$2:B73=B74))),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74" s="11" t="str" cm="1">
        <f t="array" aca="1" ref="F74" ca="1">_xlfn.LET(
    _xlpm.jugador, B74,
    _xlpm.idSel, AD74,
    _xlpm.invIDs, IF(C74=1,Inventario1!B:B,IF(C74=2,Inventario2!B:B,IF(C74=3,Inventario3!B:B,IF(C74=4,Inventario4!B:B,IF(C74=5,Inventario5!B:B,Inventario6!B:B))))),
    _xlpm.invCalidad, IF(C74=1,Inventario1!C:C,IF(C74=2,Inventario2!C:C,IF(C74=3,Inventario3!C:C,IF(C74=4,Inventario4!C:C,IF(C74=5,Inventario5!C:C,Inventario6!C:C))))),
    _xlpm.invTipos, IF(C74=1,Inventario1!D:D,IF(C74=2,Inventario2!D:D,IF(C74=3,Inventario3!D:D,IF(C74=4,Inventario4!D:D,IF(C74=5,Inventario5!D:D,Inventario6!D:D))))),
    _xlpm.invStats, IF(C74=1,Inventario1!E:I,IF(C74=2,Inventario2!E:I,IF(C74=3,Inventario3!E:I,IF(C74=4,Inventario4!E:I,IF(C74=5,Inventario5!E:I,Inventario6!E:I))))),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IF(ROW(B74)=2,"",IF(_xlfn._xlws.FILTER(Equipar!AD$2:AD73,Equipar!C$2:C73=C74)={0},"",_xlfn._xlws.FILTER(Equipar!AD$2:AD73,Equipar!C$2:C73=C74))),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74" s="10" cm="1">
        <f t="array" aca="1" ref="G74" ca="1">_xlfn.LET(
    _xlpm.jugador, A74,
    _xlpm.idSel, AC74,
    _xlpm.invIDs, IF(B74=1,Inventario1!A:A,IF(B74=2,Inventario2!A:A,IF(B74=3,Inventario3!A:A,IF(B74=4,Inventario4!A:A,IF(B74=5,Inventario5!A:A,Inventario6!A:A))))),
    _xlpm.invCalidad, IF(B74=1,Inventario1!B:B,IF(B74=2,Inventario2!B:B,IF(B74=3,Inventario3!B:B,IF(B74=4,Inventario4!B:B,IF(B74=5,Inventario5!B:B,Inventario6!B:B))))),
    _xlpm.invTipos, IF(B74=1,Inventario1!C:C,IF(B74=2,Inventario2!C:C,IF(B74=3,Inventario3!C:C,IF(B74=4,Inventario4!C:C,IF(B74=5,Inventario5!C:C,Inventario6!C:C))))),
    _xlpm.invStats, IF(B74=1,Inventario1!D:H,IF(B74=2,Inventario2!D:H,IF(B74=3,Inventario3!D:H,IF(B74=4,Inventario4!D:H,IF(B74=5,Inventario5!D:H,Inventario6!D:H))))),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IF(ROW(A74)=2,"",IF(_xlfn._xlws.FILTER(Equipar!AC$2:AC73,Equipar!B$2:B73=B74)={0},"",_xlfn._xlws.FILTER(Equipar!AC$2:AC73,Equipar!B$2:B73=B74))),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H74" s="11" cm="1">
        <f t="array" ref="H74">_xlfn.LET(
    _xlpm.jugador, A74,
    _xlpm.idSel, AC74,
    _xlpm.invIDs, IF(B74=1,Inventario1!A:A,IF(B74=2,Inventario2!A:A,IF(B74=3,Inventario3!A:A,IF(B74=4,Inventario4!A:A,IF(B74=5,Inventario5!A:A,Inventario6!A:A))))),
    _xlpm.invCalidad, IF(B74=1,Inventario1!B:B,IF(B74=2,Inventario2!B:B,IF(B74=3,Inventario3!B:B,IF(B74=4,Inventario4!B:B,IF(B74=5,Inventario5!B:B,Inventario6!B:B))))),
    _xlpm.invTipos, IF(B74=1,Inventario1!C:C,IF(B74=2,Inventario2!C:C,IF(B74=3,Inventario3!C:C,IF(B74=4,Inventario4!C:C,IF(B74=5,Inventario5!C:C,Inventario6!C:C))))),
    _xlpm.invStats, IF(B74=1,Inventario1!D:H,IF(B74=2,Inventario2!D:H,IF(B74=3,Inventario3!D:H,IF(B74=4,Inventario4!D:H,IF(B74=5,Inventario5!D:H,Inventario6!D:H))))),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IF(ROW(A74)=2,"",IF(_xlfn._xlws.FILTER(Equipar!AC$2:AC73,Equipar!B$2:B73=B74)={0},"",_xlfn._xlws.FILTER(Equipar!AC$2:AC73,Equipar!B$2:B73=B74))),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I74" s="11" cm="1">
        <f t="array" ref="I74">_xlfn.LET(
    _xlpm.jugador, A74,
    _xlpm.idSel, AC74,
    _xlpm.invIDs, IF(B74=1,Inventario1!A:A,IF(B74=2,Inventario2!A:A,IF(B74=3,Inventario3!A:A,IF(B74=4,Inventario4!A:A,IF(B74=5,Inventario5!A:A,Inventario6!A:A))))),
    _xlpm.invCalidad, IF(B74=1,Inventario1!B:B,IF(B74=2,Inventario2!B:B,IF(B74=3,Inventario3!B:B,IF(B74=4,Inventario4!B:B,IF(B74=5,Inventario5!B:B,Inventario6!B:B))))),
    _xlpm.invTipos, IF(B74=1,Inventario1!C:C,IF(B74=2,Inventario2!C:C,IF(B74=3,Inventario3!C:C,IF(B74=4,Inventario4!C:C,IF(B74=5,Inventario5!C:C,Inventario6!C:C))))),
    _xlpm.invStats, IF(B74=1,Inventario1!D:H,IF(B74=2,Inventario2!D:H,IF(B74=3,Inventario3!D:H,IF(B74=4,Inventario4!D:H,IF(B74=5,Inventario5!D:H,Inventario6!D:H))))),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IF(ROW(A74)=2,"",IF(_xlfn._xlws.FILTER(Equipar!AC$2:AC73,Equipar!B$2:B73=B74)={0},"",_xlfn._xlws.FILTER(Equipar!AC$2:AC73,Equipar!B$2:B73=B74))),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74" s="11" cm="1">
        <f t="array" aca="1" ref="J74" ca="1">_xlfn.LET(
    _xlpm.jugador, B74,
    _xlpm.idSel, AD74,
    _xlpm.invIDs, IF(C74=1,Inventario1!B:B,IF(C74=2,Inventario2!B:B,IF(C74=3,Inventario3!B:B,IF(C74=4,Inventario4!B:B,IF(C74=5,Inventario5!B:B,Inventario6!B:B))))),
    _xlpm.invCalidad, IF(C74=1,Inventario1!C:C,IF(C74=2,Inventario2!C:C,IF(C74=3,Inventario3!C:C,IF(C74=4,Inventario4!C:C,IF(C74=5,Inventario5!C:C,Inventario6!C:C))))),
    _xlpm.invTipos, IF(C74=1,Inventario1!D:D,IF(C74=2,Inventario2!D:D,IF(C74=3,Inventario3!D:D,IF(C74=4,Inventario4!D:D,IF(C74=5,Inventario5!D:D,Inventario6!D:D))))),
    _xlpm.invStats, IF(C74=1,Inventario1!E:I,IF(C74=2,Inventario2!E:I,IF(C74=3,Inventario3!E:I,IF(C74=4,Inventario4!E:I,IF(C74=5,Inventario5!E:I,Inventario6!E:I))))),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IF(ROW(B74)=2,"",IF(_xlfn._xlws.FILTER(Equipar!AD$2:AD73,Equipar!C$2:C73=C74)={0},"",_xlfn._xlws.FILTER(Equipar!AD$2:AD73,Equipar!C$2:C73=C74))),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74" s="11">
        <f t="shared" ca="1" si="4"/>
        <v>-11.969999999999999</v>
      </c>
      <c r="L74" s="11">
        <f t="shared" ca="1" si="5"/>
        <v>83.79</v>
      </c>
      <c r="M74" s="11">
        <f t="shared" ca="1" si="5"/>
        <v>95.76</v>
      </c>
      <c r="N74" s="11">
        <f t="shared" si="6"/>
        <v>95.76</v>
      </c>
      <c r="O74" s="11">
        <f t="shared" ca="1" si="6"/>
        <v>0</v>
      </c>
      <c r="P74" s="10" cm="1">
        <f t="array" aca="1" ref="P74" ca="1">_xlfn.LET(
    _xlpm.ptsPrinBase, _xlfn._xlws.FILTER(G:G, A:A=A74),
    _xlpm.ptsSecBase,  _xlfn._xlws.FILTER(H:H, A:A=A74),
    _xlpm.puntosPrin, _xlpm.ptsPrinBase + _xlfn._xlws.FILTER(B:B, A:A=A74)/1000,
    _xlpm.puntosSec,  _xlpm.ptsSecBase  + _xlfn._xlws.FILTER(B:B, A:A=A74)/1000,
    _xlpm.puntosPrinValidos, SUM(--(_xlpm.ptsPrinBase&gt;0)),
    _xlpm.puntosSecValidos,  SUM(--(_xlpm.ptsSecBase&gt;0)),
    _xlpm.clave, K74 + B74/1000,
    _xlpm.claves, _xlfn._xlws.FILTER(K:K + B:B/1000, A:A=A74),
    IF(AND(_xlpm.puntosPrinValidos&gt;=4,_xlpm.puntosSecValidos&gt;=2),IF(
        SUM(--(_xlpm.claves &gt; _xlpm.clave)) &lt; 4,
        C74,
        D74
    ),"No disp")
)</f>
        <v>22</v>
      </c>
      <c r="Q74" s="10" t="str" cm="1">
        <f t="array" aca="1" ref="Q74" ca="1">_xlfn.LET(
    _xlpm.puntosPrin, _xlfn._xlws.FILTER(G:G + B:B/1000, A:A=A74),
    _xlpm.puntosPrinValidos, SUM(--(_xlpm.puntosPrin&gt;1)),
    _xlpm.puntosTer, _xlfn._xlws.FILTER(I:I + B:B/1000, A:A=A74),
    _xlpm.puntosTerValidos, SUM(--(_xlpm.puntosTer&gt;1)),
    _xlpm.clave, L74 + B74/1000,
    _xlpm.claves, _xlfn._xlws.FILTER(L:L + B:B/1000, A:A=A74),
    IF(AND(_xlpm.puntosPrinValidos&gt;=4,_xlpm.puntosTerValidos&gt;=2),IF(
        SUM(--(_xlpm.claves &gt; _xlpm.clave)) &lt; 4,
        C74,
        E74
    ),"No disp")
)</f>
        <v>No disp</v>
      </c>
      <c r="R74" s="10" t="str" cm="1">
        <f t="array" aca="1" ref="R74" ca="1">_xlfn.LET(
    _xlpm.puntosPrin, _xlfn._xlws.FILTER(G:G + B:B/1000, A:A=A74),
    _xlpm.puntosPrinValidos, SUM(--(_xlpm.puntosPrin&gt;1)),
    _xlpm.puntosTer, _xlfn._xlws.FILTER(J:J + B:B/1000, A:A=A74),
    _xlpm.puntosTerValidos, SUM(--(_xlpm.puntosTer&gt;1)),
    _xlpm.clave, M74 + B74/1000,
    _xlpm.claves, _xlfn._xlws.FILTER(M:M + B:B/1000, A:A=A74),
    IF(AND(_xlpm.puntosPrinValidos&gt;=4,_xlpm.puntosTerValidos&gt;=2),IF(
        SUM(--(_xlpm.claves &gt; _xlpm.clave)) &lt; 4,
        C74,
        F74
    ),"No disp")
)</f>
        <v>No disp</v>
      </c>
      <c r="S74" s="10" cm="1">
        <f t="array" aca="1" ref="S74" ca="1">_xlfn.LET(
    _xlpm.ptsPrinBase, _xlfn._xlws.FILTER(G:G, A:A=A74),
    _xlpm.ptsSecBase,  _xlfn._xlws.FILTER(H:H, A:A=A74),
    _xlpm.puntosPrin, _xlpm.ptsPrinBase + _xlfn._xlws.FILTER(B:B, A:A=A74)/1000,
    _xlpm.puntosSec,  _xlpm.ptsSecBase  + _xlfn._xlws.FILTER(B:B, A:A=A74)/1000,
    _xlpm.puntosPrinValidos, SUM(--(_xlpm.ptsPrinBase&gt;0)),
    _xlpm.puntosSecValidos,  SUM(--(_xlpm.ptsSecBase&gt;0)),
    _xlpm.clave, K74 + B74/1000,
    _xlpm.claves, _xlfn._xlws.FILTER(K:K + B:B/1000, A:A=A74),
    IF(
        AND(_xlpm.puntosPrinValidos&gt;=2, _xlpm.puntosSecValidos&gt;=4),
        IF(
            SUM(--(_xlpm.claves &lt; _xlpm.clave)) &lt; 4,
            D74,
            C74
        ),
        "No disp"
    )
)</f>
        <v>26</v>
      </c>
      <c r="T74" s="10" t="str" cm="1">
        <f t="array" ref="T74">_xlfn.LET(
    _xlpm.puntosSec, _xlfn._xlws.FILTER(H:H + B:B/1000, A:A=A74),
    _xlpm.puntosSecValidos, SUM(--(_xlpm.puntosSec&gt;1)),
    _xlpm.puntosAlt, _xlfn._xlws.FILTER(I:I + B:B/1000, A:A=A74),
    _xlpm.puntosAltValidos, SUM(--(_xlpm.puntosAlt&gt;1)),
    _xlpm.clave, N74 + B74/1000,
    _xlpm.claves, _xlfn._xlws.FILTER(N:N + B:B/1000, A:A=A74),
    IF(AND(_xlpm.puntosSecValidos&gt;=4,_xlpm.puntosAltValidos&gt;=2),IF(
        SUM(--(_xlpm.claves &gt; _xlpm.clave)) &lt; 4,
        D74,
        E74
    ),"No disp")
)</f>
        <v>No disp</v>
      </c>
      <c r="U74" s="10" t="str" cm="1">
        <f t="array" aca="1" ref="U74" ca="1">_xlfn.LET(
    _xlpm.puntosSec, _xlfn._xlws.FILTER(H:H + B:B/1000, A:A=A74),
    _xlpm.puntosSecValidos, SUM(--(_xlpm.puntosSec&gt;1)),
    _xlpm.puntosAlt, _xlfn._xlws.FILTER(J:J + B:B/1000, A:A=A74),
    _xlpm.puntosAltValidos, SUM(--(_xlpm.puntosAlt&gt;1)),
    _xlpm.clave, O74 + B74/1000,
    _xlpm.claves, _xlfn._xlws.FILTER(O:O + B:B/1000, A:A=A74),
    IF(AND(_xlpm.puntosSecValidos&gt;=4,_xlpm.puntosAltValidos&gt;=2),IF(
        SUM(--(_xlpm.claves &gt; _xlpm.clave)) &lt; 4,
        D74,
        F74
    ),"No disp")
)</f>
        <v>No disp</v>
      </c>
      <c r="V74" s="11" cm="1">
        <f t="array" aca="1" ref="V74" ca="1">_xlfn.LET(
_xlpm.PrinIDs,_xlfn._xlws.FILTER(C:C,(A:A=A74)),
_xlpm.SecIDs,_xlfn._xlws.FILTER(D:D,(A:A=A74)),
_xlpm.TerIDs,_xlfn._xlws.FILTER(E:E,A:A=A74),
_xlpm.CuaIDs,_xlfn._xlws.FILTER(F:F,(A:A=A74)),
_xlpm.PrinPts,_xlfn._xlws.FILTER(G:G,(A:A=A74)),
_xlpm.SecPts,_xlfn._xlws.FILTER(H:H,(A:A=A74)),
_xlpm.TerPts,_xlfn._xlws.FILTER(I:I,(A:A=A74)),
_xlpm.CuaPts,_xlfn._xlws.FILTER(J:J,(A:A=A74)),
_xlpm.PSIds,_xlfn._xlws.FILTER(P:P,A:A=A74),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416.52000000000004</v>
      </c>
      <c r="W74" s="11" cm="1">
        <f t="array" aca="1" ref="W74" ca="1">_xlfn.LET(
_xlpm.PrinIDs,_xlfn._xlws.FILTER(C:C,(A:A=A74)),
_xlpm.SecIDs,_xlfn._xlws.FILTER(D:D,(A:A=A74)),
_xlpm.TerIDs,_xlfn._xlws.FILTER(E:E,A:A=A74),
_xlpm.CuaIDs,_xlfn._xlws.FILTER(F:F,(A:A=A74)),
_xlpm.PrinPts,_xlfn._xlws.FILTER(G:G,(A:A=A74)),
_xlpm.SecPts,_xlfn._xlws.FILTER(H:H,(A:A=A74)),
_xlpm.TerPts,_xlfn._xlws.FILTER(I:I,(A:A=A74)),
_xlpm.CuaPts,_xlfn._xlws.FILTER(J:J,(A:A=A74)),
_xlpm.PTIds,_xlfn._xlws.FILTER(Q:Q,A:A=A74),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74" s="11" cm="1">
        <f t="array" aca="1" ref="X74" ca="1">_xlfn.LET(
_xlpm.PrinIDs,_xlfn._xlws.FILTER(C:C,(A:A=A74)),
_xlpm.SecIDs,_xlfn._xlws.FILTER(D:D,(A:A=A74)),
_xlpm.TerIDs,_xlfn._xlws.FILTER(E:E,A:A=A74),
_xlpm.CuaIDs,_xlfn._xlws.FILTER(F:F,(A:A=A74)),
_xlpm.PrinPts,_xlfn._xlws.FILTER(G:G,(A:A=A74)),
_xlpm.SecPts,_xlfn._xlws.FILTER(H:H,(A:A=A74)),
_xlpm.TerPts,_xlfn._xlws.FILTER(I:I,(A:A=A74)),
_xlpm.CuaPts,_xlfn._xlws.FILTER(J:J,(A:A=A74)),
_xlpm.PCIds,_xlfn._xlws.FILTER(R:R,A:A=A74),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74" s="11" cm="1">
        <f t="array" aca="1" ref="Y74" ca="1">_xlfn.LET(
_xlpm.PrinIDs,_xlfn._xlws.FILTER(C:C,(A:A=A74)),
_xlpm.SecIDs,_xlfn._xlws.FILTER(D:D,(A:A=A74)),
_xlpm.AltIDs,_xlfn._xlws.FILTER(E:E,A:A=A74),
_xlpm.PrinPts,_xlfn._xlws.FILTER(G:G,(A:A=A74)),
_xlpm.SecPts,_xlfn._xlws.FILTER(H:H,(A:A=A74)),
_xlpm.AltPts,_xlfn._xlws.FILTER(I:I,(A:A=A74)),
_xlpm.SPIds,_xlfn._xlws.FILTER(S:S,A:A=A74),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437.49</v>
      </c>
      <c r="Z74" s="11" cm="1">
        <f t="array" aca="1" ref="Z74" ca="1">_xlfn.LET(
_xlpm.PrinIDs,_xlfn._xlws.FILTER(C:C,(A:A=A74)),
_xlpm.SecIDs,_xlfn._xlws.FILTER(D:D,(A:A=A74)),
_xlpm.TerIDs,_xlfn._xlws.FILTER(E:E,A:A=A74),
_xlpm.CuaIDs,_xlfn._xlws.FILTER(F:F,(A:A=A74)),
_xlpm.PrinPts,_xlfn._xlws.FILTER(G:G,(A:A=A74)),
_xlpm.SecPts,_xlfn._xlws.FILTER(H:H,(A:A=A74)),
_xlpm.TerPts,_xlfn._xlws.FILTER(I:I,(A:A=A74)),
_xlpm.CuaPts,_xlfn._xlws.FILTER(J:J,(A:A=A74)),
_xlpm.STIds,_xlfn._xlws.FILTER(T:T,A:A=A74),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74" s="11" cm="1">
        <f t="array" aca="1" ref="AA74" ca="1">_xlfn.LET(
_xlpm.PrinIDs,_xlfn._xlws.FILTER(C:C,(A:A=A74)),
_xlpm.SecIDs,_xlfn._xlws.FILTER(D:D,(A:A=A74)),
_xlpm.TerIDs,_xlfn._xlws.FILTER(E:E,A:A=A74),
_xlpm.CuaIDs,_xlfn._xlws.FILTER(F:F,(A:A=A74)),
_xlpm.PrinPts,_xlfn._xlws.FILTER(G:G,(A:A=A74)),
_xlpm.SecPts,_xlfn._xlws.FILTER(H:H,(A:A=A74)),
_xlpm.TerPts,_xlfn._xlws.FILTER(I:I,(A:A=A74)),
_xlpm.CuaPts,_xlfn._xlws.FILTER(J:J,(A:A=A74)),
_xlpm.SCIds,_xlfn._xlws.FILTER(U:U,A:A=A74),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74" s="10">
        <f t="shared" ca="1" si="7"/>
        <v>26</v>
      </c>
      <c r="AC74" s="10">
        <v>26</v>
      </c>
      <c r="AD74" s="11"/>
      <c r="AE74" s="10" t="str">
        <f ca="1">IF(ISNUMBER(AC74),
IF($B74=1,VLOOKUP($AC74,Inventario1!$A:$H,2),
IF($B74=2,VLOOKUP($AC74,Inventario2!$A:$H,2),
IF($B74=3,VLOOKUP($AC74,Inventario3!$A:$H,2),
IF($B74=4,VLOOKUP($AC74,Inventario4!$A:$H,2),
IF($B74=5,VLOOKUP($AC74,Inventario5!$A:$H,2),
VLOOKUP($AC74,Inventario6!$A:$H,2)
))))),"No equipado")</f>
        <v>Legendario</v>
      </c>
      <c r="AF74" s="10" t="str">
        <f ca="1">IF(ISNUMBER(AC74),
IF($B74=1,VLOOKUP($AC74,Inventario1!$A:$H,3),
IF($B74=2,VLOOKUP($AC74,Inventario2!$A:$H,3),
IF($B74=3,VLOOKUP($AC74,Inventario3!$A:$H,3),
IF($B74=4,VLOOKUP($AC74,Inventario4!$A:$H,3),
IF($B74=5,VLOOKUP($AC74,Inventario5!$A:$H,3),
VLOOKUP($AC74,Inventario6!$A:$H,3)
))))),"")</f>
        <v>Movimiento de bloqueo</v>
      </c>
      <c r="AG74" s="10" t="str">
        <f ca="1">IF(ISNUMBER(AC74),
IF($B74=1,VLOOKUP($AC74,Inventario1!$A:$H,4),
IF($B74=2,VLOOKUP($AC74,Inventario2!$A:$H,4),
IF($B74=3,VLOOKUP($AC74,Inventario3!$A:$H,4),
IF($B74=4,VLOOKUP($AC74,Inventario4!$A:$H,4),
IF($B74=5,VLOOKUP($AC74,Inventario5!$A:$H,4),
VLOOKUP($AC74,Inventario6!$A:$H,4)
))))),"")</f>
        <v>Bloqueo</v>
      </c>
      <c r="AH74" s="10" t="str">
        <f ca="1">IF(ISNUMBER(AC74),
IF($B74=1,VLOOKUP($AC74,Inventario1!$A:$H,5),
IF($B74=2,VLOOKUP($AC74,Inventario2!$A:$H,5),
IF($B74=3,VLOOKUP($AC74,Inventario3!$A:$H,5),
IF($B74=4,VLOOKUP($AC74,Inventario4!$A:$H,5),
IF($B74=5,VLOOKUP($AC74,Inventario5!$A:$H,5),
VLOOKUP($AC74,Inventario6!$A:$H,5)
))))),"")</f>
        <v>Saque</v>
      </c>
      <c r="AI74" s="10" t="str">
        <f ca="1">IF(ISNUMBER(AC74),
IF($B74=1,VLOOKUP($AC74,Inventario1!$A:$H,6),
IF($B74=2,VLOOKUP($AC74,Inventario2!$A:$H,6),
IF($B74=3,VLOOKUP($AC74,Inventario3!$A:$H,6),
IF($B74=4,VLOOKUP($AC74,Inventario4!$A:$H,6),
IF($B74=5,VLOOKUP($AC74,Inventario5!$A:$H,6),
VLOOKUP($AC74,Inventario6!$A:$H,6)
))))),"")</f>
        <v>Bloqueo</v>
      </c>
      <c r="AJ74" s="10" t="str">
        <f ca="1">IF(ISNUMBER(AC74),
IF($B74=1,VLOOKUP($AC74,Inventario1!$A:$H,7),
IF($B74=2,VLOOKUP($AC74,Inventario2!$A:$H,7),
IF($B74=3,VLOOKUP($AC74,Inventario3!$A:$H,7),
IF($B74=4,VLOOKUP($AC74,Inventario4!$A:$H,7),
IF($B74=5,VLOOKUP($AC74,Inventario5!$A:$H,7),
VLOOKUP($AC74,Inventario6!$A:$H,7)
))))),"")</f>
        <v>Ataque rápido</v>
      </c>
      <c r="AK74" s="12">
        <f ca="1">IF(ISNUMBER(AC74),
IF($B74=1,VLOOKUP($AC74,Inventario1!$A:$H,8),
IF($B74=2,VLOOKUP($AC74,Inventario2!$A:$H,8),
IF($B74=3,VLOOKUP($AC74,Inventario3!$A:$H,8),
IF($B74=4,VLOOKUP($AC74,Inventario4!$A:$H,8),
IF($B74=5,VLOOKUP($AC74,Inventario5!$A:$H,8),
VLOOKUP($AC74,Inventario6!$A:$H,8)
))))),"")</f>
        <v>0</v>
      </c>
    </row>
    <row r="75" spans="1:37" x14ac:dyDescent="0.25">
      <c r="A75" s="21" t="s">
        <v>24</v>
      </c>
      <c r="B75" s="3">
        <v>2</v>
      </c>
      <c r="C75" s="14" cm="1">
        <f t="array" aca="1" ref="C75" ca="1">_xlfn.LET(
    _xlpm.jugador, A75,
    _xlpm.idSel, AC75,
    _xlpm.invIDs, IF(B75=1,Inventario1!A:A,IF(B75=2,Inventario2!A:A,IF(B75=3,Inventario3!A:A,IF(B75=4,Inventario4!A:A,IF(B75=5,Inventario5!A:A,Inventario6!A:A))))),
    _xlpm.invCalidad, IF(B75=1,Inventario1!B:B,IF(B75=2,Inventario2!B:B,IF(B75=3,Inventario3!B:B,IF(B75=4,Inventario4!B:B,IF(B75=5,Inventario5!B:B,Inventario6!B:B))))),
    _xlpm.invTipos, IF(B75=1,Inventario1!C:C,IF(B75=2,Inventario2!C:C,IF(B75=3,Inventario3!C:C,IF(B75=4,Inventario4!C:C,IF(B75=5,Inventario5!C:C,Inventario6!C:C))))),
    _xlpm.invStats, IF(B75=1,Inventario1!D:H,IF(B75=2,Inventario2!D:H,IF(B75=3,Inventario3!D:H,IF(B75=4,Inventario4!D:H,IF(B75=5,Inventario5!D:H,Inventario6!D:H))))),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IF(ROW(A75)=2,"",IF(_xlfn._xlws.FILTER(Equipar!AC$2:AC74,Equipar!B$2:B74=B75)={0},"",_xlfn._xlws.FILTER(Equipar!AC$2:AC74,Equipar!B$2:B74=B75))),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203</v>
      </c>
      <c r="D75" s="4" cm="1">
        <f t="array" ref="D75">_xlfn.LET(
    _xlpm.jugador, A75,
    _xlpm.idSel, AC75,
    _xlpm.invIDs, IF(B75=1,Inventario1!A:A,IF(B75=2,Inventario2!A:A,IF(B75=3,Inventario3!A:A,IF(B75=4,Inventario4!A:A,IF(B75=5,Inventario5!A:A,Inventario6!A:A))))),
    _xlpm.invCalidad, IF(B75=1,Inventario1!B:B,IF(B75=2,Inventario2!B:B,IF(B75=3,Inventario3!B:B,IF(B75=4,Inventario4!B:B,IF(B75=5,Inventario5!B:B,Inventario6!B:B))))),
    _xlpm.invTipos, IF(B75=1,Inventario1!C:C,IF(B75=2,Inventario2!C:C,IF(B75=3,Inventario3!C:C,IF(B75=4,Inventario4!C:C,IF(B75=5,Inventario5!C:C,Inventario6!C:C))))),
    _xlpm.invStats, IF(B75=1,Inventario1!D:H,IF(B75=2,Inventario2!D:H,IF(B75=3,Inventario3!D:H,IF(B75=4,Inventario4!D:H,IF(B75=5,Inventario5!D:H,Inventario6!D:H))))),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IF(ROW(A75)=2,"",IF(_xlfn._xlws.FILTER(Equipar!AC$2:AC74,Equipar!B$2:B74=B75)={0},"",_xlfn._xlws.FILTER(Equipar!AC$2:AC74,Equipar!B$2:B74=B75))),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129</v>
      </c>
      <c r="E75" s="4" t="str" cm="1">
        <f t="array" ref="E75">_xlfn.LET(
    _xlpm.jugador, A75,
    _xlpm.idSel, AC75,
    _xlpm.invIDs, IF(B75=1,Inventario1!A:A,IF(B75=2,Inventario2!A:A,IF(B75=3,Inventario3!A:A,IF(B75=4,Inventario4!A:A,IF(B75=5,Inventario5!A:A,Inventario6!A:A))))),
    _xlpm.invCalidad, IF(B75=1,Inventario1!B:B,IF(B75=2,Inventario2!B:B,IF(B75=3,Inventario3!B:B,IF(B75=4,Inventario4!B:B,IF(B75=5,Inventario5!B:B,Inventario6!B:B))))),
    _xlpm.invTipos, IF(B75=1,Inventario1!C:C,IF(B75=2,Inventario2!C:C,IF(B75=3,Inventario3!C:C,IF(B75=4,Inventario4!C:C,IF(B75=5,Inventario5!C:C,Inventario6!C:C))))),
    _xlpm.invStats, IF(B75=1,Inventario1!D:H,IF(B75=2,Inventario2!D:H,IF(B75=3,Inventario3!D:H,IF(B75=4,Inventario4!D:H,IF(B75=5,Inventario5!D:H,Inventario6!D:H))))),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IF(ROW(A75)=2,"",IF(_xlfn._xlws.FILTER(Equipar!AC$2:AC74,Equipar!B$2:B74=B75)={0},"",_xlfn._xlws.FILTER(Equipar!AC$2:AC74,Equipar!B$2:B74=B75))),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75" s="4" t="str" cm="1">
        <f t="array" aca="1" ref="F75" ca="1">_xlfn.LET(
    _xlpm.jugador, B75,
    _xlpm.idSel, AD75,
    _xlpm.invIDs, IF(C75=1,Inventario1!B:B,IF(C75=2,Inventario2!B:B,IF(C75=3,Inventario3!B:B,IF(C75=4,Inventario4!B:B,IF(C75=5,Inventario5!B:B,Inventario6!B:B))))),
    _xlpm.invCalidad, IF(C75=1,Inventario1!C:C,IF(C75=2,Inventario2!C:C,IF(C75=3,Inventario3!C:C,IF(C75=4,Inventario4!C:C,IF(C75=5,Inventario5!C:C,Inventario6!C:C))))),
    _xlpm.invTipos, IF(C75=1,Inventario1!D:D,IF(C75=2,Inventario2!D:D,IF(C75=3,Inventario3!D:D,IF(C75=4,Inventario4!D:D,IF(C75=5,Inventario5!D:D,Inventario6!D:D))))),
    _xlpm.invStats, IF(C75=1,Inventario1!E:I,IF(C75=2,Inventario2!E:I,IF(C75=3,Inventario3!E:I,IF(C75=4,Inventario4!E:I,IF(C75=5,Inventario5!E:I,Inventario6!E:I))))),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IF(ROW(B75)=2,"",IF(_xlfn._xlws.FILTER(Equipar!AD$2:AD74,Equipar!C$2:C74=C75)={0},"",_xlfn._xlws.FILTER(Equipar!AD$2:AD74,Equipar!C$2:C74=C75))),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75" s="14" cm="1">
        <f t="array" aca="1" ref="G75" ca="1">_xlfn.LET(
    _xlpm.jugador, A75,
    _xlpm.idSel, AC75,
    _xlpm.invIDs, IF(B75=1,Inventario1!A:A,IF(B75=2,Inventario2!A:A,IF(B75=3,Inventario3!A:A,IF(B75=4,Inventario4!A:A,IF(B75=5,Inventario5!A:A,Inventario6!A:A))))),
    _xlpm.invCalidad, IF(B75=1,Inventario1!B:B,IF(B75=2,Inventario2!B:B,IF(B75=3,Inventario3!B:B,IF(B75=4,Inventario4!B:B,IF(B75=5,Inventario5!B:B,Inventario6!B:B))))),
    _xlpm.invTipos, IF(B75=1,Inventario1!C:C,IF(B75=2,Inventario2!C:C,IF(B75=3,Inventario3!C:C,IF(B75=4,Inventario4!C:C,IF(B75=5,Inventario5!C:C,Inventario6!C:C))))),
    _xlpm.invStats, IF(B75=1,Inventario1!D:H,IF(B75=2,Inventario2!D:H,IF(B75=3,Inventario3!D:H,IF(B75=4,Inventario4!D:H,IF(B75=5,Inventario5!D:H,Inventario6!D:H))))),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IF(ROW(A75)=2,"",IF(_xlfn._xlws.FILTER(Equipar!AC$2:AC74,Equipar!B$2:B74=B75)={0},"",_xlfn._xlws.FILTER(Equipar!AC$2:AC74,Equipar!B$2:B74=B75))),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36</v>
      </c>
      <c r="H75" s="4" cm="1">
        <f t="array" ref="H75">_xlfn.LET(
    _xlpm.jugador, A75,
    _xlpm.idSel, AC75,
    _xlpm.invIDs, IF(B75=1,Inventario1!A:A,IF(B75=2,Inventario2!A:A,IF(B75=3,Inventario3!A:A,IF(B75=4,Inventario4!A:A,IF(B75=5,Inventario5!A:A,Inventario6!A:A))))),
    _xlpm.invCalidad, IF(B75=1,Inventario1!B:B,IF(B75=2,Inventario2!B:B,IF(B75=3,Inventario3!B:B,IF(B75=4,Inventario4!B:B,IF(B75=5,Inventario5!B:B,Inventario6!B:B))))),
    _xlpm.invTipos, IF(B75=1,Inventario1!C:C,IF(B75=2,Inventario2!C:C,IF(B75=3,Inventario3!C:C,IF(B75=4,Inventario4!C:C,IF(B75=5,Inventario5!C:C,Inventario6!C:C))))),
    _xlpm.invStats, IF(B75=1,Inventario1!D:H,IF(B75=2,Inventario2!D:H,IF(B75=3,Inventario3!D:H,IF(B75=4,Inventario4!D:H,IF(B75=5,Inventario5!D:H,Inventario6!D:H))))),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IF(ROW(A75)=2,"",IF(_xlfn._xlws.FILTER(Equipar!AC$2:AC74,Equipar!B$2:B74=B75)={0},"",_xlfn._xlws.FILTER(Equipar!AC$2:AC74,Equipar!B$2:B74=B75))),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I75" s="4" cm="1">
        <f t="array" ref="I75">_xlfn.LET(
    _xlpm.jugador, A75,
    _xlpm.idSel, AC75,
    _xlpm.invIDs, IF(B75=1,Inventario1!A:A,IF(B75=2,Inventario2!A:A,IF(B75=3,Inventario3!A:A,IF(B75=4,Inventario4!A:A,IF(B75=5,Inventario5!A:A,Inventario6!A:A))))),
    _xlpm.invCalidad, IF(B75=1,Inventario1!B:B,IF(B75=2,Inventario2!B:B,IF(B75=3,Inventario3!B:B,IF(B75=4,Inventario4!B:B,IF(B75=5,Inventario5!B:B,Inventario6!B:B))))),
    _xlpm.invTipos, IF(B75=1,Inventario1!C:C,IF(B75=2,Inventario2!C:C,IF(B75=3,Inventario3!C:C,IF(B75=4,Inventario4!C:C,IF(B75=5,Inventario5!C:C,Inventario6!C:C))))),
    _xlpm.invStats, IF(B75=1,Inventario1!D:H,IF(B75=2,Inventario2!D:H,IF(B75=3,Inventario3!D:H,IF(B75=4,Inventario4!D:H,IF(B75=5,Inventario5!D:H,Inventario6!D:H))))),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IF(ROW(A75)=2,"",IF(_xlfn._xlws.FILTER(Equipar!AC$2:AC74,Equipar!B$2:B74=B75)={0},"",_xlfn._xlws.FILTER(Equipar!AC$2:AC74,Equipar!B$2:B74=B75))),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75" s="4" cm="1">
        <f t="array" aca="1" ref="J75" ca="1">_xlfn.LET(
    _xlpm.jugador, B75,
    _xlpm.idSel, AD75,
    _xlpm.invIDs, IF(C75=1,Inventario1!B:B,IF(C75=2,Inventario2!B:B,IF(C75=3,Inventario3!B:B,IF(C75=4,Inventario4!B:B,IF(C75=5,Inventario5!B:B,Inventario6!B:B))))),
    _xlpm.invCalidad, IF(C75=1,Inventario1!C:C,IF(C75=2,Inventario2!C:C,IF(C75=3,Inventario3!C:C,IF(C75=4,Inventario4!C:C,IF(C75=5,Inventario5!C:C,Inventario6!C:C))))),
    _xlpm.invTipos, IF(C75=1,Inventario1!D:D,IF(C75=2,Inventario2!D:D,IF(C75=3,Inventario3!D:D,IF(C75=4,Inventario4!D:D,IF(C75=5,Inventario5!D:D,Inventario6!D:D))))),
    _xlpm.invStats, IF(C75=1,Inventario1!E:I,IF(C75=2,Inventario2!E:I,IF(C75=3,Inventario3!E:I,IF(C75=4,Inventario4!E:I,IF(C75=5,Inventario5!E:I,Inventario6!E:I))))),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IF(ROW(B75)=2,"",IF(_xlfn._xlws.FILTER(Equipar!AD$2:AD74,Equipar!C$2:C74=C75)={0},"",_xlfn._xlws.FILTER(Equipar!AD$2:AD74,Equipar!C$2:C74=C75))),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75" s="4">
        <f t="shared" ca="1" si="4"/>
        <v>-27</v>
      </c>
      <c r="L75" s="4">
        <f t="shared" ca="1" si="5"/>
        <v>36</v>
      </c>
      <c r="M75" s="4">
        <f t="shared" ca="1" si="5"/>
        <v>63</v>
      </c>
      <c r="N75" s="4">
        <f t="shared" si="6"/>
        <v>63</v>
      </c>
      <c r="O75" s="4">
        <f t="shared" ca="1" si="6"/>
        <v>0</v>
      </c>
      <c r="P75" s="14" cm="1">
        <f t="array" aca="1" ref="P75" ca="1">_xlfn.LET(
    _xlpm.ptsPrinBase, _xlfn._xlws.FILTER(G:G, A:A=A75),
    _xlpm.ptsSecBase,  _xlfn._xlws.FILTER(H:H, A:A=A75),
    _xlpm.puntosPrin, _xlpm.ptsPrinBase + _xlfn._xlws.FILTER(B:B, A:A=A75)/1000,
    _xlpm.puntosSec,  _xlpm.ptsSecBase  + _xlfn._xlws.FILTER(B:B, A:A=A75)/1000,
    _xlpm.puntosPrinValidos, SUM(--(_xlpm.ptsPrinBase&gt;0)),
    _xlpm.puntosSecValidos,  SUM(--(_xlpm.ptsSecBase&gt;0)),
    _xlpm.clave, K75 + B75/1000,
    _xlpm.claves, _xlfn._xlws.FILTER(K:K + B:B/1000, A:A=A75),
    IF(AND(_xlpm.puntosPrinValidos&gt;=4,_xlpm.puntosSecValidos&gt;=2),IF(
        SUM(--(_xlpm.claves &gt; _xlpm.clave)) &lt; 4,
        C75,
        D75
    ),"No disp")
)</f>
        <v>129</v>
      </c>
      <c r="Q75" s="14" t="str" cm="1">
        <f t="array" aca="1" ref="Q75" ca="1">_xlfn.LET(
    _xlpm.puntosPrin, _xlfn._xlws.FILTER(G:G + B:B/1000, A:A=A75),
    _xlpm.puntosPrinValidos, SUM(--(_xlpm.puntosPrin&gt;1)),
    _xlpm.puntosTer, _xlfn._xlws.FILTER(I:I + B:B/1000, A:A=A75),
    _xlpm.puntosTerValidos, SUM(--(_xlpm.puntosTer&gt;1)),
    _xlpm.clave, L75 + B75/1000,
    _xlpm.claves, _xlfn._xlws.FILTER(L:L + B:B/1000, A:A=A75),
    IF(AND(_xlpm.puntosPrinValidos&gt;=4,_xlpm.puntosTerValidos&gt;=2),IF(
        SUM(--(_xlpm.claves &gt; _xlpm.clave)) &lt; 4,
        C75,
        E75
    ),"No disp")
)</f>
        <v>No disp</v>
      </c>
      <c r="R75" s="14" t="str" cm="1">
        <f t="array" aca="1" ref="R75" ca="1">_xlfn.LET(
    _xlpm.puntosPrin, _xlfn._xlws.FILTER(G:G + B:B/1000, A:A=A75),
    _xlpm.puntosPrinValidos, SUM(--(_xlpm.puntosPrin&gt;1)),
    _xlpm.puntosTer, _xlfn._xlws.FILTER(J:J + B:B/1000, A:A=A75),
    _xlpm.puntosTerValidos, SUM(--(_xlpm.puntosTer&gt;1)),
    _xlpm.clave, M75 + B75/1000,
    _xlpm.claves, _xlfn._xlws.FILTER(M:M + B:B/1000, A:A=A75),
    IF(AND(_xlpm.puntosPrinValidos&gt;=4,_xlpm.puntosTerValidos&gt;=2),IF(
        SUM(--(_xlpm.claves &gt; _xlpm.clave)) &lt; 4,
        C75,
        F75
    ),"No disp")
)</f>
        <v>No disp</v>
      </c>
      <c r="S75" s="14" cm="1">
        <f t="array" aca="1" ref="S75" ca="1">_xlfn.LET(
    _xlpm.ptsPrinBase, _xlfn._xlws.FILTER(G:G, A:A=A75),
    _xlpm.ptsSecBase,  _xlfn._xlws.FILTER(H:H, A:A=A75),
    _xlpm.puntosPrin, _xlpm.ptsPrinBase + _xlfn._xlws.FILTER(B:B, A:A=A75)/1000,
    _xlpm.puntosSec,  _xlpm.ptsSecBase  + _xlfn._xlws.FILTER(B:B, A:A=A75)/1000,
    _xlpm.puntosPrinValidos, SUM(--(_xlpm.ptsPrinBase&gt;0)),
    _xlpm.puntosSecValidos,  SUM(--(_xlpm.ptsSecBase&gt;0)),
    _xlpm.clave, K75 + B75/1000,
    _xlpm.claves, _xlfn._xlws.FILTER(K:K + B:B/1000, A:A=A75),
    IF(
        AND(_xlpm.puntosPrinValidos&gt;=2, _xlpm.puntosSecValidos&gt;=4),
        IF(
            SUM(--(_xlpm.claves &lt; _xlpm.clave)) &lt; 4,
            D75,
            C75
        ),
        "No disp"
    )
)</f>
        <v>129</v>
      </c>
      <c r="T75" s="14" t="str" cm="1">
        <f t="array" ref="T75">_xlfn.LET(
    _xlpm.puntosSec, _xlfn._xlws.FILTER(H:H + B:B/1000, A:A=A75),
    _xlpm.puntosSecValidos, SUM(--(_xlpm.puntosSec&gt;1)),
    _xlpm.puntosAlt, _xlfn._xlws.FILTER(I:I + B:B/1000, A:A=A75),
    _xlpm.puntosAltValidos, SUM(--(_xlpm.puntosAlt&gt;1)),
    _xlpm.clave, N75 + B75/1000,
    _xlpm.claves, _xlfn._xlws.FILTER(N:N + B:B/1000, A:A=A75),
    IF(AND(_xlpm.puntosSecValidos&gt;=4,_xlpm.puntosAltValidos&gt;=2),IF(
        SUM(--(_xlpm.claves &gt; _xlpm.clave)) &lt; 4,
        D75,
        E75
    ),"No disp")
)</f>
        <v>No disp</v>
      </c>
      <c r="U75" s="14" t="str" cm="1">
        <f t="array" aca="1" ref="U75" ca="1">_xlfn.LET(
    _xlpm.puntosSec, _xlfn._xlws.FILTER(H:H + B:B/1000, A:A=A75),
    _xlpm.puntosSecValidos, SUM(--(_xlpm.puntosSec&gt;1)),
    _xlpm.puntosAlt, _xlfn._xlws.FILTER(J:J + B:B/1000, A:A=A75),
    _xlpm.puntosAltValidos, SUM(--(_xlpm.puntosAlt&gt;1)),
    _xlpm.clave, O75 + B75/1000,
    _xlpm.claves, _xlfn._xlws.FILTER(O:O + B:B/1000, A:A=A75),
    IF(AND(_xlpm.puntosSecValidos&gt;=4,_xlpm.puntosAltValidos&gt;=2),IF(
        SUM(--(_xlpm.claves &gt; _xlpm.clave)) &lt; 4,
        D75,
        F75
    ),"No disp")
)</f>
        <v>No disp</v>
      </c>
      <c r="V75" s="4" cm="1">
        <f t="array" aca="1" ref="V75" ca="1">_xlfn.LET(
_xlpm.PrinIDs,_xlfn._xlws.FILTER(C:C,(A:A=A75)),
_xlpm.SecIDs,_xlfn._xlws.FILTER(D:D,(A:A=A75)),
_xlpm.TerIDs,_xlfn._xlws.FILTER(E:E,A:A=A75),
_xlpm.CuaIDs,_xlfn._xlws.FILTER(F:F,(A:A=A75)),
_xlpm.PrinPts,_xlfn._xlws.FILTER(G:G,(A:A=A75)),
_xlpm.SecPts,_xlfn._xlws.FILTER(H:H,(A:A=A75)),
_xlpm.TerPts,_xlfn._xlws.FILTER(I:I,(A:A=A75)),
_xlpm.CuaPts,_xlfn._xlws.FILTER(J:J,(A:A=A75)),
_xlpm.PSIds,_xlfn._xlws.FILTER(P:P,A:A=A75),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416.52000000000004</v>
      </c>
      <c r="W75" s="4" cm="1">
        <f t="array" aca="1" ref="W75" ca="1">_xlfn.LET(
_xlpm.PrinIDs,_xlfn._xlws.FILTER(C:C,(A:A=A75)),
_xlpm.SecIDs,_xlfn._xlws.FILTER(D:D,(A:A=A75)),
_xlpm.TerIDs,_xlfn._xlws.FILTER(E:E,A:A=A75),
_xlpm.CuaIDs,_xlfn._xlws.FILTER(F:F,(A:A=A75)),
_xlpm.PrinPts,_xlfn._xlws.FILTER(G:G,(A:A=A75)),
_xlpm.SecPts,_xlfn._xlws.FILTER(H:H,(A:A=A75)),
_xlpm.TerPts,_xlfn._xlws.FILTER(I:I,(A:A=A75)),
_xlpm.CuaPts,_xlfn._xlws.FILTER(J:J,(A:A=A75)),
_xlpm.PTIds,_xlfn._xlws.FILTER(Q:Q,A:A=A75),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75" s="4" cm="1">
        <f t="array" aca="1" ref="X75" ca="1">_xlfn.LET(
_xlpm.PrinIDs,_xlfn._xlws.FILTER(C:C,(A:A=A75)),
_xlpm.SecIDs,_xlfn._xlws.FILTER(D:D,(A:A=A75)),
_xlpm.TerIDs,_xlfn._xlws.FILTER(E:E,A:A=A75),
_xlpm.CuaIDs,_xlfn._xlws.FILTER(F:F,(A:A=A75)),
_xlpm.PrinPts,_xlfn._xlws.FILTER(G:G,(A:A=A75)),
_xlpm.SecPts,_xlfn._xlws.FILTER(H:H,(A:A=A75)),
_xlpm.TerPts,_xlfn._xlws.FILTER(I:I,(A:A=A75)),
_xlpm.CuaPts,_xlfn._xlws.FILTER(J:J,(A:A=A75)),
_xlpm.PCIds,_xlfn._xlws.FILTER(R:R,A:A=A75),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75" s="4" cm="1">
        <f t="array" aca="1" ref="Y75" ca="1">_xlfn.LET(
_xlpm.PrinIDs,_xlfn._xlws.FILTER(C:C,(A:A=A75)),
_xlpm.SecIDs,_xlfn._xlws.FILTER(D:D,(A:A=A75)),
_xlpm.AltIDs,_xlfn._xlws.FILTER(E:E,A:A=A75),
_xlpm.PrinPts,_xlfn._xlws.FILTER(G:G,(A:A=A75)),
_xlpm.SecPts,_xlfn._xlws.FILTER(H:H,(A:A=A75)),
_xlpm.AltPts,_xlfn._xlws.FILTER(I:I,(A:A=A75)),
_xlpm.SPIds,_xlfn._xlws.FILTER(S:S,A:A=A75),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437.49</v>
      </c>
      <c r="Z75" s="4" cm="1">
        <f t="array" aca="1" ref="Z75" ca="1">_xlfn.LET(
_xlpm.PrinIDs,_xlfn._xlws.FILTER(C:C,(A:A=A75)),
_xlpm.SecIDs,_xlfn._xlws.FILTER(D:D,(A:A=A75)),
_xlpm.TerIDs,_xlfn._xlws.FILTER(E:E,A:A=A75),
_xlpm.CuaIDs,_xlfn._xlws.FILTER(F:F,(A:A=A75)),
_xlpm.PrinPts,_xlfn._xlws.FILTER(G:G,(A:A=A75)),
_xlpm.SecPts,_xlfn._xlws.FILTER(H:H,(A:A=A75)),
_xlpm.TerPts,_xlfn._xlws.FILTER(I:I,(A:A=A75)),
_xlpm.CuaPts,_xlfn._xlws.FILTER(J:J,(A:A=A75)),
_xlpm.STIds,_xlfn._xlws.FILTER(T:T,A:A=A75),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75" s="4" cm="1">
        <f t="array" aca="1" ref="AA75" ca="1">_xlfn.LET(
_xlpm.PrinIDs,_xlfn._xlws.FILTER(C:C,(A:A=A75)),
_xlpm.SecIDs,_xlfn._xlws.FILTER(D:D,(A:A=A75)),
_xlpm.TerIDs,_xlfn._xlws.FILTER(E:E,A:A=A75),
_xlpm.CuaIDs,_xlfn._xlws.FILTER(F:F,(A:A=A75)),
_xlpm.PrinPts,_xlfn._xlws.FILTER(G:G,(A:A=A75)),
_xlpm.SecPts,_xlfn._xlws.FILTER(H:H,(A:A=A75)),
_xlpm.TerPts,_xlfn._xlws.FILTER(I:I,(A:A=A75)),
_xlpm.CuaPts,_xlfn._xlws.FILTER(J:J,(A:A=A75)),
_xlpm.SCIds,_xlfn._xlws.FILTER(U:U,A:A=A75),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75" s="14">
        <f t="shared" ca="1" si="7"/>
        <v>129</v>
      </c>
      <c r="AC75" s="14">
        <v>129</v>
      </c>
      <c r="AD75" s="4"/>
      <c r="AE75" s="14" t="str">
        <f ca="1">IF(ISNUMBER(AC75),
IF($B75=1,VLOOKUP($AC75,Inventario1!$A:$H,2),
IF($B75=2,VLOOKUP($AC75,Inventario2!$A:$H,2),
IF($B75=3,VLOOKUP($AC75,Inventario3!$A:$H,2),
IF($B75=4,VLOOKUP($AC75,Inventario4!$A:$H,2),
IF($B75=5,VLOOKUP($AC75,Inventario5!$A:$H,2),
VLOOKUP($AC75,Inventario6!$A:$H,2)
))))),"No equipado")</f>
        <v>Épico</v>
      </c>
      <c r="AF75" s="14" t="str">
        <f ca="1">IF(ISNUMBER(AC75),
IF($B75=1,VLOOKUP($AC75,Inventario1!$A:$H,3),
IF($B75=2,VLOOKUP($AC75,Inventario2!$A:$H,3),
IF($B75=3,VLOOKUP($AC75,Inventario3!$A:$H,3),
IF($B75=4,VLOOKUP($AC75,Inventario4!$A:$H,3),
IF($B75=5,VLOOKUP($AC75,Inventario5!$A:$H,3),
VLOOKUP($AC75,Inventario6!$A:$H,3)
))))),"")</f>
        <v>Movimiento de bloqueo</v>
      </c>
      <c r="AG75" s="14" t="str">
        <f ca="1">IF(ISNUMBER(AC75),
IF($B75=1,VLOOKUP($AC75,Inventario1!$A:$H,4),
IF($B75=2,VLOOKUP($AC75,Inventario2!$A:$H,4),
IF($B75=3,VLOOKUP($AC75,Inventario3!$A:$H,4),
IF($B75=4,VLOOKUP($AC75,Inventario4!$A:$H,4),
IF($B75=5,VLOOKUP($AC75,Inventario5!$A:$H,4),
VLOOKUP($AC75,Inventario6!$A:$H,4)
))))),"")</f>
        <v>Ataque rápido</v>
      </c>
      <c r="AH75" s="14" t="str">
        <f ca="1">IF(ISNUMBER(AC75),
IF($B75=1,VLOOKUP($AC75,Inventario1!$A:$H,5),
IF($B75=2,VLOOKUP($AC75,Inventario2!$A:$H,5),
IF($B75=3,VLOOKUP($AC75,Inventario3!$A:$H,5),
IF($B75=4,VLOOKUP($AC75,Inventario4!$A:$H,5),
IF($B75=5,VLOOKUP($AC75,Inventario5!$A:$H,5),
VLOOKUP($AC75,Inventario6!$A:$H,5)
))))),"")</f>
        <v>Bloqueo</v>
      </c>
      <c r="AI75" s="14" t="str">
        <f ca="1">IF(ISNUMBER(AC75),
IF($B75=1,VLOOKUP($AC75,Inventario1!$A:$H,6),
IF($B75=2,VLOOKUP($AC75,Inventario2!$A:$H,6),
IF($B75=3,VLOOKUP($AC75,Inventario3!$A:$H,6),
IF($B75=4,VLOOKUP($AC75,Inventario4!$A:$H,6),
IF($B75=5,VLOOKUP($AC75,Inventario5!$A:$H,6),
VLOOKUP($AC75,Inventario6!$A:$H,6)
))))),"")</f>
        <v>Ataque rápido</v>
      </c>
      <c r="AJ75" s="14">
        <f ca="1">IF(ISNUMBER(AC75),
IF($B75=1,VLOOKUP($AC75,Inventario1!$A:$H,7),
IF($B75=2,VLOOKUP($AC75,Inventario2!$A:$H,7),
IF($B75=3,VLOOKUP($AC75,Inventario3!$A:$H,7),
IF($B75=4,VLOOKUP($AC75,Inventario4!$A:$H,7),
IF($B75=5,VLOOKUP($AC75,Inventario5!$A:$H,7),
VLOOKUP($AC75,Inventario6!$A:$H,7)
))))),"")</f>
        <v>0</v>
      </c>
      <c r="AK75" s="15">
        <f ca="1">IF(ISNUMBER(AC75),
IF($B75=1,VLOOKUP($AC75,Inventario1!$A:$H,8),
IF($B75=2,VLOOKUP($AC75,Inventario2!$A:$H,8),
IF($B75=3,VLOOKUP($AC75,Inventario3!$A:$H,8),
IF($B75=4,VLOOKUP($AC75,Inventario4!$A:$H,8),
IF($B75=5,VLOOKUP($AC75,Inventario5!$A:$H,8),
VLOOKUP($AC75,Inventario6!$A:$H,8)
))))),"")</f>
        <v>0</v>
      </c>
    </row>
    <row r="76" spans="1:37" x14ac:dyDescent="0.25">
      <c r="A76" s="21" t="s">
        <v>24</v>
      </c>
      <c r="B76" s="3">
        <v>3</v>
      </c>
      <c r="C76" s="14" cm="1">
        <f t="array" ref="C76">_xlfn.LET(
    _xlpm.jugador, A76,
    _xlpm.idSel, AC76,
    _xlpm.invIDs, IF(B76=1,Inventario1!A:A,IF(B76=2,Inventario2!A:A,IF(B76=3,Inventario3!A:A,IF(B76=4,Inventario4!A:A,IF(B76=5,Inventario5!A:A,Inventario6!A:A))))),
    _xlpm.invCalidad, IF(B76=1,Inventario1!B:B,IF(B76=2,Inventario2!B:B,IF(B76=3,Inventario3!B:B,IF(B76=4,Inventario4!B:B,IF(B76=5,Inventario5!B:B,Inventario6!B:B))))),
    _xlpm.invTipos, IF(B76=1,Inventario1!C:C,IF(B76=2,Inventario2!C:C,IF(B76=3,Inventario3!C:C,IF(B76=4,Inventario4!C:C,IF(B76=5,Inventario5!C:C,Inventario6!C:C))))),
    _xlpm.invStats, IF(B76=1,Inventario1!D:H,IF(B76=2,Inventario2!D:H,IF(B76=3,Inventario3!D:H,IF(B76=4,Inventario4!D:H,IF(B76=5,Inventario5!D:H,Inventario6!D:H))))),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IF(ROW(A76)=2,"",IF(_xlfn._xlws.FILTER(Equipar!AC$2:AC75,Equipar!B$2:B75=B76)={0},"",_xlfn._xlws.FILTER(Equipar!AC$2:AC75,Equipar!B$2:B75=B76))),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167</v>
      </c>
      <c r="D76" s="4" cm="1">
        <f t="array" ref="D76">_xlfn.LET(
    _xlpm.jugador, A76,
    _xlpm.idSel, AC76,
    _xlpm.invIDs, IF(B76=1,Inventario1!A:A,IF(B76=2,Inventario2!A:A,IF(B76=3,Inventario3!A:A,IF(B76=4,Inventario4!A:A,IF(B76=5,Inventario5!A:A,Inventario6!A:A))))),
    _xlpm.invCalidad, IF(B76=1,Inventario1!B:B,IF(B76=2,Inventario2!B:B,IF(B76=3,Inventario3!B:B,IF(B76=4,Inventario4!B:B,IF(B76=5,Inventario5!B:B,Inventario6!B:B))))),
    _xlpm.invTipos, IF(B76=1,Inventario1!C:C,IF(B76=2,Inventario2!C:C,IF(B76=3,Inventario3!C:C,IF(B76=4,Inventario4!C:C,IF(B76=5,Inventario5!C:C,Inventario6!C:C))))),
    _xlpm.invStats, IF(B76=1,Inventario1!D:H,IF(B76=2,Inventario2!D:H,IF(B76=3,Inventario3!D:H,IF(B76=4,Inventario4!D:H,IF(B76=5,Inventario5!D:H,Inventario6!D:H))))),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IF(ROW(A76)=2,"",IF(_xlfn._xlws.FILTER(Equipar!AC$2:AC75,Equipar!B$2:B75=B76)={0},"",_xlfn._xlws.FILTER(Equipar!AC$2:AC75,Equipar!B$2:B75=B76))),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260</v>
      </c>
      <c r="E76" s="4" t="str" cm="1">
        <f t="array" ref="E76">_xlfn.LET(
    _xlpm.jugador, A76,
    _xlpm.idSel, AC76,
    _xlpm.invIDs, IF(B76=1,Inventario1!A:A,IF(B76=2,Inventario2!A:A,IF(B76=3,Inventario3!A:A,IF(B76=4,Inventario4!A:A,IF(B76=5,Inventario5!A:A,Inventario6!A:A))))),
    _xlpm.invCalidad, IF(B76=1,Inventario1!B:B,IF(B76=2,Inventario2!B:B,IF(B76=3,Inventario3!B:B,IF(B76=4,Inventario4!B:B,IF(B76=5,Inventario5!B:B,Inventario6!B:B))))),
    _xlpm.invTipos, IF(B76=1,Inventario1!C:C,IF(B76=2,Inventario2!C:C,IF(B76=3,Inventario3!C:C,IF(B76=4,Inventario4!C:C,IF(B76=5,Inventario5!C:C,Inventario6!C:C))))),
    _xlpm.invStats, IF(B76=1,Inventario1!D:H,IF(B76=2,Inventario2!D:H,IF(B76=3,Inventario3!D:H,IF(B76=4,Inventario4!D:H,IF(B76=5,Inventario5!D:H,Inventario6!D:H))))),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IF(ROW(A76)=2,"",IF(_xlfn._xlws.FILTER(Equipar!AC$2:AC75,Equipar!B$2:B75=B76)={0},"",_xlfn._xlws.FILTER(Equipar!AC$2:AC75,Equipar!B$2:B75=B76))),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76" s="4" t="str" cm="1">
        <f t="array" aca="1" ref="F76" ca="1">_xlfn.LET(
    _xlpm.jugador, B76,
    _xlpm.idSel, AD76,
    _xlpm.invIDs, IF(C76=1,Inventario1!B:B,IF(C76=2,Inventario2!B:B,IF(C76=3,Inventario3!B:B,IF(C76=4,Inventario4!B:B,IF(C76=5,Inventario5!B:B,Inventario6!B:B))))),
    _xlpm.invCalidad, IF(C76=1,Inventario1!C:C,IF(C76=2,Inventario2!C:C,IF(C76=3,Inventario3!C:C,IF(C76=4,Inventario4!C:C,IF(C76=5,Inventario5!C:C,Inventario6!C:C))))),
    _xlpm.invTipos, IF(C76=1,Inventario1!D:D,IF(C76=2,Inventario2!D:D,IF(C76=3,Inventario3!D:D,IF(C76=4,Inventario4!D:D,IF(C76=5,Inventario5!D:D,Inventario6!D:D))))),
    _xlpm.invStats, IF(C76=1,Inventario1!E:I,IF(C76=2,Inventario2!E:I,IF(C76=3,Inventario3!E:I,IF(C76=4,Inventario4!E:I,IF(C76=5,Inventario5!E:I,Inventario6!E:I))))),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IF(ROW(B76)=2,"",IF(_xlfn._xlws.FILTER(Equipar!AD$2:AD75,Equipar!C$2:C75=C76)={0},"",_xlfn._xlws.FILTER(Equipar!AD$2:AD75,Equipar!C$2:C75=C76))),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76" s="14" cm="1">
        <f t="array" ref="G76">_xlfn.LET(
    _xlpm.jugador, A76,
    _xlpm.idSel, AC76,
    _xlpm.invIDs, IF(B76=1,Inventario1!A:A,IF(B76=2,Inventario2!A:A,IF(B76=3,Inventario3!A:A,IF(B76=4,Inventario4!A:A,IF(B76=5,Inventario5!A:A,Inventario6!A:A))))),
    _xlpm.invCalidad, IF(B76=1,Inventario1!B:B,IF(B76=2,Inventario2!B:B,IF(B76=3,Inventario3!B:B,IF(B76=4,Inventario4!B:B,IF(B76=5,Inventario5!B:B,Inventario6!B:B))))),
    _xlpm.invTipos, IF(B76=1,Inventario1!C:C,IF(B76=2,Inventario2!C:C,IF(B76=3,Inventario3!C:C,IF(B76=4,Inventario4!C:C,IF(B76=5,Inventario5!C:C,Inventario6!C:C))))),
    _xlpm.invStats, IF(B76=1,Inventario1!D:H,IF(B76=2,Inventario2!D:H,IF(B76=3,Inventario3!D:H,IF(B76=4,Inventario4!D:H,IF(B76=5,Inventario5!D:H,Inventario6!D:H))))),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IF(ROW(A76)=2,"",IF(_xlfn._xlws.FILTER(Equipar!AC$2:AC75,Equipar!B$2:B75=B76)={0},"",_xlfn._xlws.FILTER(Equipar!AC$2:AC75,Equipar!B$2:B75=B76))),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H76" s="4" cm="1">
        <f t="array" ref="H76">_xlfn.LET(
    _xlpm.jugador, A76,
    _xlpm.idSel, AC76,
    _xlpm.invIDs, IF(B76=1,Inventario1!A:A,IF(B76=2,Inventario2!A:A,IF(B76=3,Inventario3!A:A,IF(B76=4,Inventario4!A:A,IF(B76=5,Inventario5!A:A,Inventario6!A:A))))),
    _xlpm.invCalidad, IF(B76=1,Inventario1!B:B,IF(B76=2,Inventario2!B:B,IF(B76=3,Inventario3!B:B,IF(B76=4,Inventario4!B:B,IF(B76=5,Inventario5!B:B,Inventario6!B:B))))),
    _xlpm.invTipos, IF(B76=1,Inventario1!C:C,IF(B76=2,Inventario2!C:C,IF(B76=3,Inventario3!C:C,IF(B76=4,Inventario4!C:C,IF(B76=5,Inventario5!C:C,Inventario6!C:C))))),
    _xlpm.invStats, IF(B76=1,Inventario1!D:H,IF(B76=2,Inventario2!D:H,IF(B76=3,Inventario3!D:H,IF(B76=4,Inventario4!D:H,IF(B76=5,Inventario5!D:H,Inventario6!D:H))))),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IF(ROW(A76)=2,"",IF(_xlfn._xlws.FILTER(Equipar!AC$2:AC75,Equipar!B$2:B75=B76)={0},"",_xlfn._xlws.FILTER(Equipar!AC$2:AC75,Equipar!B$2:B75=B76))),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47.88</v>
      </c>
      <c r="I76" s="4" cm="1">
        <f t="array" ref="I76">_xlfn.LET(
    _xlpm.jugador, A76,
    _xlpm.idSel, AC76,
    _xlpm.invIDs, IF(B76=1,Inventario1!A:A,IF(B76=2,Inventario2!A:A,IF(B76=3,Inventario3!A:A,IF(B76=4,Inventario4!A:A,IF(B76=5,Inventario5!A:A,Inventario6!A:A))))),
    _xlpm.invCalidad, IF(B76=1,Inventario1!B:B,IF(B76=2,Inventario2!B:B,IF(B76=3,Inventario3!B:B,IF(B76=4,Inventario4!B:B,IF(B76=5,Inventario5!B:B,Inventario6!B:B))))),
    _xlpm.invTipos, IF(B76=1,Inventario1!C:C,IF(B76=2,Inventario2!C:C,IF(B76=3,Inventario3!C:C,IF(B76=4,Inventario4!C:C,IF(B76=5,Inventario5!C:C,Inventario6!C:C))))),
    _xlpm.invStats, IF(B76=1,Inventario1!D:H,IF(B76=2,Inventario2!D:H,IF(B76=3,Inventario3!D:H,IF(B76=4,Inventario4!D:H,IF(B76=5,Inventario5!D:H,Inventario6!D:H))))),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IF(ROW(A76)=2,"",IF(_xlfn._xlws.FILTER(Equipar!AC$2:AC75,Equipar!B$2:B75=B76)={0},"",_xlfn._xlws.FILTER(Equipar!AC$2:AC75,Equipar!B$2:B75=B76))),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76" s="4" cm="1">
        <f t="array" aca="1" ref="J76" ca="1">_xlfn.LET(
    _xlpm.jugador, B76,
    _xlpm.idSel, AD76,
    _xlpm.invIDs, IF(C76=1,Inventario1!B:B,IF(C76=2,Inventario2!B:B,IF(C76=3,Inventario3!B:B,IF(C76=4,Inventario4!B:B,IF(C76=5,Inventario5!B:B,Inventario6!B:B))))),
    _xlpm.invCalidad, IF(C76=1,Inventario1!C:C,IF(C76=2,Inventario2!C:C,IF(C76=3,Inventario3!C:C,IF(C76=4,Inventario4!C:C,IF(C76=5,Inventario5!C:C,Inventario6!C:C))))),
    _xlpm.invTipos, IF(C76=1,Inventario1!D:D,IF(C76=2,Inventario2!D:D,IF(C76=3,Inventario3!D:D,IF(C76=4,Inventario4!D:D,IF(C76=5,Inventario5!D:D,Inventario6!D:D))))),
    _xlpm.invStats, IF(C76=1,Inventario1!E:I,IF(C76=2,Inventario2!E:I,IF(C76=3,Inventario3!E:I,IF(C76=4,Inventario4!E:I,IF(C76=5,Inventario5!E:I,Inventario6!E:I))))),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IF(ROW(B76)=2,"",IF(_xlfn._xlws.FILTER(Equipar!AD$2:AD75,Equipar!C$2:C75=C76)={0},"",_xlfn._xlws.FILTER(Equipar!AD$2:AD75,Equipar!C$2:C75=C76))),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76" s="4">
        <f t="shared" si="4"/>
        <v>6.1199999999999974</v>
      </c>
      <c r="L76" s="4">
        <f t="shared" si="5"/>
        <v>54</v>
      </c>
      <c r="M76" s="4">
        <f t="shared" ca="1" si="5"/>
        <v>47.88</v>
      </c>
      <c r="N76" s="4">
        <f t="shared" si="6"/>
        <v>47.88</v>
      </c>
      <c r="O76" s="4">
        <f t="shared" ca="1" si="6"/>
        <v>0</v>
      </c>
      <c r="P76" s="14" cm="1">
        <f t="array" aca="1" ref="P76" ca="1">_xlfn.LET(
    _xlpm.ptsPrinBase, _xlfn._xlws.FILTER(G:G, A:A=A76),
    _xlpm.ptsSecBase,  _xlfn._xlws.FILTER(H:H, A:A=A76),
    _xlpm.puntosPrin, _xlpm.ptsPrinBase + _xlfn._xlws.FILTER(B:B, A:A=A76)/1000,
    _xlpm.puntosSec,  _xlpm.ptsSecBase  + _xlfn._xlws.FILTER(B:B, A:A=A76)/1000,
    _xlpm.puntosPrinValidos, SUM(--(_xlpm.ptsPrinBase&gt;0)),
    _xlpm.puntosSecValidos,  SUM(--(_xlpm.ptsSecBase&gt;0)),
    _xlpm.clave, K76 + B76/1000,
    _xlpm.claves, _xlfn._xlws.FILTER(K:K + B:B/1000, A:A=A76),
    IF(AND(_xlpm.puntosPrinValidos&gt;=4,_xlpm.puntosSecValidos&gt;=2),IF(
        SUM(--(_xlpm.claves &gt; _xlpm.clave)) &lt; 4,
        C76,
        D76
    ),"No disp")
)</f>
        <v>167</v>
      </c>
      <c r="Q76" s="14" t="str" cm="1">
        <f t="array" aca="1" ref="Q76" ca="1">_xlfn.LET(
    _xlpm.puntosPrin, _xlfn._xlws.FILTER(G:G + B:B/1000, A:A=A76),
    _xlpm.puntosPrinValidos, SUM(--(_xlpm.puntosPrin&gt;1)),
    _xlpm.puntosTer, _xlfn._xlws.FILTER(I:I + B:B/1000, A:A=A76),
    _xlpm.puntosTerValidos, SUM(--(_xlpm.puntosTer&gt;1)),
    _xlpm.clave, L76 + B76/1000,
    _xlpm.claves, _xlfn._xlws.FILTER(L:L + B:B/1000, A:A=A76),
    IF(AND(_xlpm.puntosPrinValidos&gt;=4,_xlpm.puntosTerValidos&gt;=2),IF(
        SUM(--(_xlpm.claves &gt; _xlpm.clave)) &lt; 4,
        C76,
        E76
    ),"No disp")
)</f>
        <v>No disp</v>
      </c>
      <c r="R76" s="14" t="str" cm="1">
        <f t="array" aca="1" ref="R76" ca="1">_xlfn.LET(
    _xlpm.puntosPrin, _xlfn._xlws.FILTER(G:G + B:B/1000, A:A=A76),
    _xlpm.puntosPrinValidos, SUM(--(_xlpm.puntosPrin&gt;1)),
    _xlpm.puntosTer, _xlfn._xlws.FILTER(J:J + B:B/1000, A:A=A76),
    _xlpm.puntosTerValidos, SUM(--(_xlpm.puntosTer&gt;1)),
    _xlpm.clave, M76 + B76/1000,
    _xlpm.claves, _xlfn._xlws.FILTER(M:M + B:B/1000, A:A=A76),
    IF(AND(_xlpm.puntosPrinValidos&gt;=4,_xlpm.puntosTerValidos&gt;=2),IF(
        SUM(--(_xlpm.claves &gt; _xlpm.clave)) &lt; 4,
        C76,
        F76
    ),"No disp")
)</f>
        <v>No disp</v>
      </c>
      <c r="S76" s="14" cm="1">
        <f t="array" aca="1" ref="S76" ca="1">_xlfn.LET(
    _xlpm.ptsPrinBase, _xlfn._xlws.FILTER(G:G, A:A=A76),
    _xlpm.ptsSecBase,  _xlfn._xlws.FILTER(H:H, A:A=A76),
    _xlpm.puntosPrin, _xlpm.ptsPrinBase + _xlfn._xlws.FILTER(B:B, A:A=A76)/1000,
    _xlpm.puntosSec,  _xlpm.ptsSecBase  + _xlfn._xlws.FILTER(B:B, A:A=A76)/1000,
    _xlpm.puntosPrinValidos, SUM(--(_xlpm.ptsPrinBase&gt;0)),
    _xlpm.puntosSecValidos,  SUM(--(_xlpm.ptsSecBase&gt;0)),
    _xlpm.clave, K76 + B76/1000,
    _xlpm.claves, _xlfn._xlws.FILTER(K:K + B:B/1000, A:A=A76),
    IF(
        AND(_xlpm.puntosPrinValidos&gt;=2, _xlpm.puntosSecValidos&gt;=4),
        IF(
            SUM(--(_xlpm.claves &lt; _xlpm.clave)) &lt; 4,
            D76,
            C76
        ),
        "No disp"
    )
)</f>
        <v>167</v>
      </c>
      <c r="T76" s="14" t="str" cm="1">
        <f t="array" ref="T76">_xlfn.LET(
    _xlpm.puntosSec, _xlfn._xlws.FILTER(H:H + B:B/1000, A:A=A76),
    _xlpm.puntosSecValidos, SUM(--(_xlpm.puntosSec&gt;1)),
    _xlpm.puntosAlt, _xlfn._xlws.FILTER(I:I + B:B/1000, A:A=A76),
    _xlpm.puntosAltValidos, SUM(--(_xlpm.puntosAlt&gt;1)),
    _xlpm.clave, N76 + B76/1000,
    _xlpm.claves, _xlfn._xlws.FILTER(N:N + B:B/1000, A:A=A76),
    IF(AND(_xlpm.puntosSecValidos&gt;=4,_xlpm.puntosAltValidos&gt;=2),IF(
        SUM(--(_xlpm.claves &gt; _xlpm.clave)) &lt; 4,
        D76,
        E76
    ),"No disp")
)</f>
        <v>No disp</v>
      </c>
      <c r="U76" s="14" t="str" cm="1">
        <f t="array" aca="1" ref="U76" ca="1">_xlfn.LET(
    _xlpm.puntosSec, _xlfn._xlws.FILTER(H:H + B:B/1000, A:A=A76),
    _xlpm.puntosSecValidos, SUM(--(_xlpm.puntosSec&gt;1)),
    _xlpm.puntosAlt, _xlfn._xlws.FILTER(J:J + B:B/1000, A:A=A76),
    _xlpm.puntosAltValidos, SUM(--(_xlpm.puntosAlt&gt;1)),
    _xlpm.clave, O76 + B76/1000,
    _xlpm.claves, _xlfn._xlws.FILTER(O:O + B:B/1000, A:A=A76),
    IF(AND(_xlpm.puntosSecValidos&gt;=4,_xlpm.puntosAltValidos&gt;=2),IF(
        SUM(--(_xlpm.claves &gt; _xlpm.clave)) &lt; 4,
        D76,
        F76
    ),"No disp")
)</f>
        <v>No disp</v>
      </c>
      <c r="V76" s="4" cm="1">
        <f t="array" aca="1" ref="V76" ca="1">_xlfn.LET(
_xlpm.PrinIDs,_xlfn._xlws.FILTER(C:C,(A:A=A76)),
_xlpm.SecIDs,_xlfn._xlws.FILTER(D:D,(A:A=A76)),
_xlpm.TerIDs,_xlfn._xlws.FILTER(E:E,A:A=A76),
_xlpm.CuaIDs,_xlfn._xlws.FILTER(F:F,(A:A=A76)),
_xlpm.PrinPts,_xlfn._xlws.FILTER(G:G,(A:A=A76)),
_xlpm.SecPts,_xlfn._xlws.FILTER(H:H,(A:A=A76)),
_xlpm.TerPts,_xlfn._xlws.FILTER(I:I,(A:A=A76)),
_xlpm.CuaPts,_xlfn._xlws.FILTER(J:J,(A:A=A76)),
_xlpm.PSIds,_xlfn._xlws.FILTER(P:P,A:A=A76),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416.52000000000004</v>
      </c>
      <c r="W76" s="4" cm="1">
        <f t="array" aca="1" ref="W76" ca="1">_xlfn.LET(
_xlpm.PrinIDs,_xlfn._xlws.FILTER(C:C,(A:A=A76)),
_xlpm.SecIDs,_xlfn._xlws.FILTER(D:D,(A:A=A76)),
_xlpm.TerIDs,_xlfn._xlws.FILTER(E:E,A:A=A76),
_xlpm.CuaIDs,_xlfn._xlws.FILTER(F:F,(A:A=A76)),
_xlpm.PrinPts,_xlfn._xlws.FILTER(G:G,(A:A=A76)),
_xlpm.SecPts,_xlfn._xlws.FILTER(H:H,(A:A=A76)),
_xlpm.TerPts,_xlfn._xlws.FILTER(I:I,(A:A=A76)),
_xlpm.CuaPts,_xlfn._xlws.FILTER(J:J,(A:A=A76)),
_xlpm.PTIds,_xlfn._xlws.FILTER(Q:Q,A:A=A76),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76" s="4" cm="1">
        <f t="array" aca="1" ref="X76" ca="1">_xlfn.LET(
_xlpm.PrinIDs,_xlfn._xlws.FILTER(C:C,(A:A=A76)),
_xlpm.SecIDs,_xlfn._xlws.FILTER(D:D,(A:A=A76)),
_xlpm.TerIDs,_xlfn._xlws.FILTER(E:E,A:A=A76),
_xlpm.CuaIDs,_xlfn._xlws.FILTER(F:F,(A:A=A76)),
_xlpm.PrinPts,_xlfn._xlws.FILTER(G:G,(A:A=A76)),
_xlpm.SecPts,_xlfn._xlws.FILTER(H:H,(A:A=A76)),
_xlpm.TerPts,_xlfn._xlws.FILTER(I:I,(A:A=A76)),
_xlpm.CuaPts,_xlfn._xlws.FILTER(J:J,(A:A=A76)),
_xlpm.PCIds,_xlfn._xlws.FILTER(R:R,A:A=A76),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76" s="4" cm="1">
        <f t="array" aca="1" ref="Y76" ca="1">_xlfn.LET(
_xlpm.PrinIDs,_xlfn._xlws.FILTER(C:C,(A:A=A76)),
_xlpm.SecIDs,_xlfn._xlws.FILTER(D:D,(A:A=A76)),
_xlpm.AltIDs,_xlfn._xlws.FILTER(E:E,A:A=A76),
_xlpm.PrinPts,_xlfn._xlws.FILTER(G:G,(A:A=A76)),
_xlpm.SecPts,_xlfn._xlws.FILTER(H:H,(A:A=A76)),
_xlpm.AltPts,_xlfn._xlws.FILTER(I:I,(A:A=A76)),
_xlpm.SPIds,_xlfn._xlws.FILTER(S:S,A:A=A76),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437.49</v>
      </c>
      <c r="Z76" s="4" cm="1">
        <f t="array" aca="1" ref="Z76" ca="1">_xlfn.LET(
_xlpm.PrinIDs,_xlfn._xlws.FILTER(C:C,(A:A=A76)),
_xlpm.SecIDs,_xlfn._xlws.FILTER(D:D,(A:A=A76)),
_xlpm.TerIDs,_xlfn._xlws.FILTER(E:E,A:A=A76),
_xlpm.CuaIDs,_xlfn._xlws.FILTER(F:F,(A:A=A76)),
_xlpm.PrinPts,_xlfn._xlws.FILTER(G:G,(A:A=A76)),
_xlpm.SecPts,_xlfn._xlws.FILTER(H:H,(A:A=A76)),
_xlpm.TerPts,_xlfn._xlws.FILTER(I:I,(A:A=A76)),
_xlpm.CuaPts,_xlfn._xlws.FILTER(J:J,(A:A=A76)),
_xlpm.STIds,_xlfn._xlws.FILTER(T:T,A:A=A76),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76" s="4" cm="1">
        <f t="array" aca="1" ref="AA76" ca="1">_xlfn.LET(
_xlpm.PrinIDs,_xlfn._xlws.FILTER(C:C,(A:A=A76)),
_xlpm.SecIDs,_xlfn._xlws.FILTER(D:D,(A:A=A76)),
_xlpm.TerIDs,_xlfn._xlws.FILTER(E:E,A:A=A76),
_xlpm.CuaIDs,_xlfn._xlws.FILTER(F:F,(A:A=A76)),
_xlpm.PrinPts,_xlfn._xlws.FILTER(G:G,(A:A=A76)),
_xlpm.SecPts,_xlfn._xlws.FILTER(H:H,(A:A=A76)),
_xlpm.TerPts,_xlfn._xlws.FILTER(I:I,(A:A=A76)),
_xlpm.CuaPts,_xlfn._xlws.FILTER(J:J,(A:A=A76)),
_xlpm.SCIds,_xlfn._xlws.FILTER(U:U,A:A=A76),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76" s="14">
        <f t="shared" ca="1" si="7"/>
        <v>167</v>
      </c>
      <c r="AC76" s="14">
        <v>167</v>
      </c>
      <c r="AD76" s="4"/>
      <c r="AE76" s="14" t="str">
        <f ca="1">IF(ISNUMBER(AC76),
IF($B76=1,VLOOKUP($AC76,Inventario1!$A:$H,2),
IF($B76=2,VLOOKUP($AC76,Inventario2!$A:$H,2),
IF($B76=3,VLOOKUP($AC76,Inventario3!$A:$H,2),
IF($B76=4,VLOOKUP($AC76,Inventario4!$A:$H,2),
IF($B76=5,VLOOKUP($AC76,Inventario5!$A:$H,2),
VLOOKUP($AC76,Inventario6!$A:$H,2)
))))),"No equipado")</f>
        <v>Épico</v>
      </c>
      <c r="AF76" s="14" t="str">
        <f ca="1">IF(ISNUMBER(AC76),
IF($B76=1,VLOOKUP($AC76,Inventario1!$A:$H,3),
IF($B76=2,VLOOKUP($AC76,Inventario2!$A:$H,3),
IF($B76=3,VLOOKUP($AC76,Inventario3!$A:$H,3),
IF($B76=4,VLOOKUP($AC76,Inventario4!$A:$H,3),
IF($B76=5,VLOOKUP($AC76,Inventario5!$A:$H,3),
VLOOKUP($AC76,Inventario6!$A:$H,3)
))))),"")</f>
        <v>Bloque preciso</v>
      </c>
      <c r="AG76" s="14" t="str">
        <f ca="1">IF(ISNUMBER(AC76),
IF($B76=1,VLOOKUP($AC76,Inventario1!$A:$H,4),
IF($B76=2,VLOOKUP($AC76,Inventario2!$A:$H,4),
IF($B76=3,VLOOKUP($AC76,Inventario3!$A:$H,4),
IF($B76=4,VLOOKUP($AC76,Inventario4!$A:$H,4),
IF($B76=5,VLOOKUP($AC76,Inventario5!$A:$H,4),
VLOOKUP($AC76,Inventario6!$A:$H,4)
))))),"")</f>
        <v>Saque</v>
      </c>
      <c r="AH76" s="14" t="str">
        <f ca="1">IF(ISNUMBER(AC76),
IF($B76=1,VLOOKUP($AC76,Inventario1!$A:$H,5),
IF($B76=2,VLOOKUP($AC76,Inventario2!$A:$H,5),
IF($B76=3,VLOOKUP($AC76,Inventario3!$A:$H,5),
IF($B76=4,VLOOKUP($AC76,Inventario4!$A:$H,5),
IF($B76=5,VLOOKUP($AC76,Inventario5!$A:$H,5),
VLOOKUP($AC76,Inventario6!$A:$H,5)
))))),"")</f>
        <v>Bloqueo</v>
      </c>
      <c r="AI76" s="14" t="str">
        <f ca="1">IF(ISNUMBER(AC76),
IF($B76=1,VLOOKUP($AC76,Inventario1!$A:$H,6),
IF($B76=2,VLOOKUP($AC76,Inventario2!$A:$H,6),
IF($B76=3,VLOOKUP($AC76,Inventario3!$A:$H,6),
IF($B76=4,VLOOKUP($AC76,Inventario4!$A:$H,6),
IF($B76=5,VLOOKUP($AC76,Inventario5!$A:$H,6),
VLOOKUP($AC76,Inventario6!$A:$H,6)
))))),"")</f>
        <v>Bloqueo</v>
      </c>
      <c r="AJ76" s="14">
        <f ca="1">IF(ISNUMBER(AC76),
IF($B76=1,VLOOKUP($AC76,Inventario1!$A:$H,7),
IF($B76=2,VLOOKUP($AC76,Inventario2!$A:$H,7),
IF($B76=3,VLOOKUP($AC76,Inventario3!$A:$H,7),
IF($B76=4,VLOOKUP($AC76,Inventario4!$A:$H,7),
IF($B76=5,VLOOKUP($AC76,Inventario5!$A:$H,7),
VLOOKUP($AC76,Inventario6!$A:$H,7)
))))),"")</f>
        <v>0</v>
      </c>
      <c r="AK76" s="15">
        <f ca="1">IF(ISNUMBER(AC76),
IF($B76=1,VLOOKUP($AC76,Inventario1!$A:$H,8),
IF($B76=2,VLOOKUP($AC76,Inventario2!$A:$H,8),
IF($B76=3,VLOOKUP($AC76,Inventario3!$A:$H,8),
IF($B76=4,VLOOKUP($AC76,Inventario4!$A:$H,8),
IF($B76=5,VLOOKUP($AC76,Inventario5!$A:$H,8),
VLOOKUP($AC76,Inventario6!$A:$H,8)
))))),"")</f>
        <v>0</v>
      </c>
    </row>
    <row r="77" spans="1:37" x14ac:dyDescent="0.25">
      <c r="A77" s="21" t="s">
        <v>24</v>
      </c>
      <c r="B77" s="3">
        <v>4</v>
      </c>
      <c r="C77" s="14" cm="1">
        <f t="array" aca="1" ref="C77" ca="1">_xlfn.LET(
    _xlpm.jugador, A77,
    _xlpm.idSel, AC77,
    _xlpm.invIDs, IF(B77=1,Inventario1!A:A,IF(B77=2,Inventario2!A:A,IF(B77=3,Inventario3!A:A,IF(B77=4,Inventario4!A:A,IF(B77=5,Inventario5!A:A,Inventario6!A:A))))),
    _xlpm.invCalidad, IF(B77=1,Inventario1!B:B,IF(B77=2,Inventario2!B:B,IF(B77=3,Inventario3!B:B,IF(B77=4,Inventario4!B:B,IF(B77=5,Inventario5!B:B,Inventario6!B:B))))),
    _xlpm.invTipos, IF(B77=1,Inventario1!C:C,IF(B77=2,Inventario2!C:C,IF(B77=3,Inventario3!C:C,IF(B77=4,Inventario4!C:C,IF(B77=5,Inventario5!C:C,Inventario6!C:C))))),
    _xlpm.invStats, IF(B77=1,Inventario1!D:H,IF(B77=2,Inventario2!D:H,IF(B77=3,Inventario3!D:H,IF(B77=4,Inventario4!D:H,IF(B77=5,Inventario5!D:H,Inventario6!D:H))))),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IF(ROW(A77)=2,"",IF(_xlfn._xlws.FILTER(Equipar!AC$2:AC76,Equipar!B$2:B76=B77)={0},"",_xlfn._xlws.FILTER(Equipar!AC$2:AC76,Equipar!B$2:B76=B77))),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118</v>
      </c>
      <c r="D77" s="4" cm="1">
        <f t="array" ref="D77">_xlfn.LET(
    _xlpm.jugador, A77,
    _xlpm.idSel, AC77,
    _xlpm.invIDs, IF(B77=1,Inventario1!A:A,IF(B77=2,Inventario2!A:A,IF(B77=3,Inventario3!A:A,IF(B77=4,Inventario4!A:A,IF(B77=5,Inventario5!A:A,Inventario6!A:A))))),
    _xlpm.invCalidad, IF(B77=1,Inventario1!B:B,IF(B77=2,Inventario2!B:B,IF(B77=3,Inventario3!B:B,IF(B77=4,Inventario4!B:B,IF(B77=5,Inventario5!B:B,Inventario6!B:B))))),
    _xlpm.invTipos, IF(B77=1,Inventario1!C:C,IF(B77=2,Inventario2!C:C,IF(B77=3,Inventario3!C:C,IF(B77=4,Inventario4!C:C,IF(B77=5,Inventario5!C:C,Inventario6!C:C))))),
    _xlpm.invStats, IF(B77=1,Inventario1!D:H,IF(B77=2,Inventario2!D:H,IF(B77=3,Inventario3!D:H,IF(B77=4,Inventario4!D:H,IF(B77=5,Inventario5!D:H,Inventario6!D:H))))),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IF(ROW(A77)=2,"",IF(_xlfn._xlws.FILTER(Equipar!AC$2:AC76,Equipar!B$2:B76=B77)={0},"",_xlfn._xlws.FILTER(Equipar!AC$2:AC76,Equipar!B$2:B76=B77))),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254</v>
      </c>
      <c r="E77" s="4" t="str" cm="1">
        <f t="array" ref="E77">_xlfn.LET(
    _xlpm.jugador, A77,
    _xlpm.idSel, AC77,
    _xlpm.invIDs, IF(B77=1,Inventario1!A:A,IF(B77=2,Inventario2!A:A,IF(B77=3,Inventario3!A:A,IF(B77=4,Inventario4!A:A,IF(B77=5,Inventario5!A:A,Inventario6!A:A))))),
    _xlpm.invCalidad, IF(B77=1,Inventario1!B:B,IF(B77=2,Inventario2!B:B,IF(B77=3,Inventario3!B:B,IF(B77=4,Inventario4!B:B,IF(B77=5,Inventario5!B:B,Inventario6!B:B))))),
    _xlpm.invTipos, IF(B77=1,Inventario1!C:C,IF(B77=2,Inventario2!C:C,IF(B77=3,Inventario3!C:C,IF(B77=4,Inventario4!C:C,IF(B77=5,Inventario5!C:C,Inventario6!C:C))))),
    _xlpm.invStats, IF(B77=1,Inventario1!D:H,IF(B77=2,Inventario2!D:H,IF(B77=3,Inventario3!D:H,IF(B77=4,Inventario4!D:H,IF(B77=5,Inventario5!D:H,Inventario6!D:H))))),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IF(ROW(A77)=2,"",IF(_xlfn._xlws.FILTER(Equipar!AC$2:AC76,Equipar!B$2:B76=B77)={0},"",_xlfn._xlws.FILTER(Equipar!AC$2:AC76,Equipar!B$2:B76=B77))),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77" s="4" t="str" cm="1">
        <f t="array" aca="1" ref="F77" ca="1">_xlfn.LET(
    _xlpm.jugador, B77,
    _xlpm.idSel, AD77,
    _xlpm.invIDs, IF(C77=1,Inventario1!B:B,IF(C77=2,Inventario2!B:B,IF(C77=3,Inventario3!B:B,IF(C77=4,Inventario4!B:B,IF(C77=5,Inventario5!B:B,Inventario6!B:B))))),
    _xlpm.invCalidad, IF(C77=1,Inventario1!C:C,IF(C77=2,Inventario2!C:C,IF(C77=3,Inventario3!C:C,IF(C77=4,Inventario4!C:C,IF(C77=5,Inventario5!C:C,Inventario6!C:C))))),
    _xlpm.invTipos, IF(C77=1,Inventario1!D:D,IF(C77=2,Inventario2!D:D,IF(C77=3,Inventario3!D:D,IF(C77=4,Inventario4!D:D,IF(C77=5,Inventario5!D:D,Inventario6!D:D))))),
    _xlpm.invStats, IF(C77=1,Inventario1!E:I,IF(C77=2,Inventario2!E:I,IF(C77=3,Inventario3!E:I,IF(C77=4,Inventario4!E:I,IF(C77=5,Inventario5!E:I,Inventario6!E:I))))),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IF(ROW(B77)=2,"",IF(_xlfn._xlws.FILTER(Equipar!AD$2:AD76,Equipar!C$2:C76=C77)={0},"",_xlfn._xlws.FILTER(Equipar!AD$2:AD76,Equipar!C$2:C76=C77))),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77" s="14" cm="1">
        <f t="array" aca="1" ref="G77" ca="1">_xlfn.LET(
    _xlpm.jugador, A77,
    _xlpm.idSel, AC77,
    _xlpm.invIDs, IF(B77=1,Inventario1!A:A,IF(B77=2,Inventario2!A:A,IF(B77=3,Inventario3!A:A,IF(B77=4,Inventario4!A:A,IF(B77=5,Inventario5!A:A,Inventario6!A:A))))),
    _xlpm.invCalidad, IF(B77=1,Inventario1!B:B,IF(B77=2,Inventario2!B:B,IF(B77=3,Inventario3!B:B,IF(B77=4,Inventario4!B:B,IF(B77=5,Inventario5!B:B,Inventario6!B:B))))),
    _xlpm.invTipos, IF(B77=1,Inventario1!C:C,IF(B77=2,Inventario2!C:C,IF(B77=3,Inventario3!C:C,IF(B77=4,Inventario4!C:C,IF(B77=5,Inventario5!C:C,Inventario6!C:C))))),
    _xlpm.invStats, IF(B77=1,Inventario1!D:H,IF(B77=2,Inventario2!D:H,IF(B77=3,Inventario3!D:H,IF(B77=4,Inventario4!D:H,IF(B77=5,Inventario5!D:H,Inventario6!D:H))))),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IF(ROW(A77)=2,"",IF(_xlfn._xlws.FILTER(Equipar!AC$2:AC76,Equipar!B$2:B76=B77)={0},"",_xlfn._xlws.FILTER(Equipar!AC$2:AC76,Equipar!B$2:B76=B77))),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H77" s="4" cm="1">
        <f t="array" ref="H77">_xlfn.LET(
    _xlpm.jugador, A77,
    _xlpm.idSel, AC77,
    _xlpm.invIDs, IF(B77=1,Inventario1!A:A,IF(B77=2,Inventario2!A:A,IF(B77=3,Inventario3!A:A,IF(B77=4,Inventario4!A:A,IF(B77=5,Inventario5!A:A,Inventario6!A:A))))),
    _xlpm.invCalidad, IF(B77=1,Inventario1!B:B,IF(B77=2,Inventario2!B:B,IF(B77=3,Inventario3!B:B,IF(B77=4,Inventario4!B:B,IF(B77=5,Inventario5!B:B,Inventario6!B:B))))),
    _xlpm.invTipos, IF(B77=1,Inventario1!C:C,IF(B77=2,Inventario2!C:C,IF(B77=3,Inventario3!C:C,IF(B77=4,Inventario4!C:C,IF(B77=5,Inventario5!C:C,Inventario6!C:C))))),
    _xlpm.invStats, IF(B77=1,Inventario1!D:H,IF(B77=2,Inventario2!D:H,IF(B77=3,Inventario3!D:H,IF(B77=4,Inventario4!D:H,IF(B77=5,Inventario5!D:H,Inventario6!D:H))))),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IF(ROW(A77)=2,"",IF(_xlfn._xlws.FILTER(Equipar!AC$2:AC76,Equipar!B$2:B76=B77)={0},"",_xlfn._xlws.FILTER(Equipar!AC$2:AC76,Equipar!B$2:B76=B77))),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I77" s="4" cm="1">
        <f t="array" ref="I77">_xlfn.LET(
    _xlpm.jugador, A77,
    _xlpm.idSel, AC77,
    _xlpm.invIDs, IF(B77=1,Inventario1!A:A,IF(B77=2,Inventario2!A:A,IF(B77=3,Inventario3!A:A,IF(B77=4,Inventario4!A:A,IF(B77=5,Inventario5!A:A,Inventario6!A:A))))),
    _xlpm.invCalidad, IF(B77=1,Inventario1!B:B,IF(B77=2,Inventario2!B:B,IF(B77=3,Inventario3!B:B,IF(B77=4,Inventario4!B:B,IF(B77=5,Inventario5!B:B,Inventario6!B:B))))),
    _xlpm.invTipos, IF(B77=1,Inventario1!C:C,IF(B77=2,Inventario2!C:C,IF(B77=3,Inventario3!C:C,IF(B77=4,Inventario4!C:C,IF(B77=5,Inventario5!C:C,Inventario6!C:C))))),
    _xlpm.invStats, IF(B77=1,Inventario1!D:H,IF(B77=2,Inventario2!D:H,IF(B77=3,Inventario3!D:H,IF(B77=4,Inventario4!D:H,IF(B77=5,Inventario5!D:H,Inventario6!D:H))))),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IF(ROW(A77)=2,"",IF(_xlfn._xlws.FILTER(Equipar!AC$2:AC76,Equipar!B$2:B76=B77)={0},"",_xlfn._xlws.FILTER(Equipar!AC$2:AC76,Equipar!B$2:B76=B77))),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77" s="4" cm="1">
        <f t="array" aca="1" ref="J77" ca="1">_xlfn.LET(
    _xlpm.jugador, B77,
    _xlpm.idSel, AD77,
    _xlpm.invIDs, IF(C77=1,Inventario1!B:B,IF(C77=2,Inventario2!B:B,IF(C77=3,Inventario3!B:B,IF(C77=4,Inventario4!B:B,IF(C77=5,Inventario5!B:B,Inventario6!B:B))))),
    _xlpm.invCalidad, IF(C77=1,Inventario1!C:C,IF(C77=2,Inventario2!C:C,IF(C77=3,Inventario3!C:C,IF(C77=4,Inventario4!C:C,IF(C77=5,Inventario5!C:C,Inventario6!C:C))))),
    _xlpm.invTipos, IF(C77=1,Inventario1!D:D,IF(C77=2,Inventario2!D:D,IF(C77=3,Inventario3!D:D,IF(C77=4,Inventario4!D:D,IF(C77=5,Inventario5!D:D,Inventario6!D:D))))),
    _xlpm.invStats, IF(C77=1,Inventario1!E:I,IF(C77=2,Inventario2!E:I,IF(C77=3,Inventario3!E:I,IF(C77=4,Inventario4!E:I,IF(C77=5,Inventario5!E:I,Inventario6!E:I))))),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IF(ROW(B77)=2,"",IF(_xlfn._xlws.FILTER(Equipar!AD$2:AD76,Equipar!C$2:C76=C77)={0},"",_xlfn._xlws.FILTER(Equipar!AD$2:AD76,Equipar!C$2:C76=C77))),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77" s="4">
        <f t="shared" ca="1" si="4"/>
        <v>-9</v>
      </c>
      <c r="L77" s="4">
        <f t="shared" ca="1" si="5"/>
        <v>63</v>
      </c>
      <c r="M77" s="4">
        <f t="shared" ca="1" si="5"/>
        <v>72</v>
      </c>
      <c r="N77" s="4">
        <f t="shared" si="6"/>
        <v>72</v>
      </c>
      <c r="O77" s="4">
        <f t="shared" ca="1" si="6"/>
        <v>0</v>
      </c>
      <c r="P77" s="14" cm="1">
        <f t="array" aca="1" ref="P77" ca="1">_xlfn.LET(
    _xlpm.ptsPrinBase, _xlfn._xlws.FILTER(G:G, A:A=A77),
    _xlpm.ptsSecBase,  _xlfn._xlws.FILTER(H:H, A:A=A77),
    _xlpm.puntosPrin, _xlpm.ptsPrinBase + _xlfn._xlws.FILTER(B:B, A:A=A77)/1000,
    _xlpm.puntosSec,  _xlpm.ptsSecBase  + _xlfn._xlws.FILTER(B:B, A:A=A77)/1000,
    _xlpm.puntosPrinValidos, SUM(--(_xlpm.ptsPrinBase&gt;0)),
    _xlpm.puntosSecValidos,  SUM(--(_xlpm.ptsSecBase&gt;0)),
    _xlpm.clave, K77 + B77/1000,
    _xlpm.claves, _xlfn._xlws.FILTER(K:K + B:B/1000, A:A=A77),
    IF(AND(_xlpm.puntosPrinValidos&gt;=4,_xlpm.puntosSecValidos&gt;=2),IF(
        SUM(--(_xlpm.claves &gt; _xlpm.clave)) &lt; 4,
        C77,
        D77
    ),"No disp")
)</f>
        <v>118</v>
      </c>
      <c r="Q77" s="14" t="str" cm="1">
        <f t="array" aca="1" ref="Q77" ca="1">_xlfn.LET(
    _xlpm.puntosPrin, _xlfn._xlws.FILTER(G:G + B:B/1000, A:A=A77),
    _xlpm.puntosPrinValidos, SUM(--(_xlpm.puntosPrin&gt;1)),
    _xlpm.puntosTer, _xlfn._xlws.FILTER(I:I + B:B/1000, A:A=A77),
    _xlpm.puntosTerValidos, SUM(--(_xlpm.puntosTer&gt;1)),
    _xlpm.clave, L77 + B77/1000,
    _xlpm.claves, _xlfn._xlws.FILTER(L:L + B:B/1000, A:A=A77),
    IF(AND(_xlpm.puntosPrinValidos&gt;=4,_xlpm.puntosTerValidos&gt;=2),IF(
        SUM(--(_xlpm.claves &gt; _xlpm.clave)) &lt; 4,
        C77,
        E77
    ),"No disp")
)</f>
        <v>No disp</v>
      </c>
      <c r="R77" s="14" t="str" cm="1">
        <f t="array" aca="1" ref="R77" ca="1">_xlfn.LET(
    _xlpm.puntosPrin, _xlfn._xlws.FILTER(G:G + B:B/1000, A:A=A77),
    _xlpm.puntosPrinValidos, SUM(--(_xlpm.puntosPrin&gt;1)),
    _xlpm.puntosTer, _xlfn._xlws.FILTER(J:J + B:B/1000, A:A=A77),
    _xlpm.puntosTerValidos, SUM(--(_xlpm.puntosTer&gt;1)),
    _xlpm.clave, M77 + B77/1000,
    _xlpm.claves, _xlfn._xlws.FILTER(M:M + B:B/1000, A:A=A77),
    IF(AND(_xlpm.puntosPrinValidos&gt;=4,_xlpm.puntosTerValidos&gt;=2),IF(
        SUM(--(_xlpm.claves &gt; _xlpm.clave)) &lt; 4,
        C77,
        F77
    ),"No disp")
)</f>
        <v>No disp</v>
      </c>
      <c r="S77" s="14" cm="1">
        <f t="array" aca="1" ref="S77" ca="1">_xlfn.LET(
    _xlpm.ptsPrinBase, _xlfn._xlws.FILTER(G:G, A:A=A77),
    _xlpm.ptsSecBase,  _xlfn._xlws.FILTER(H:H, A:A=A77),
    _xlpm.puntosPrin, _xlpm.ptsPrinBase + _xlfn._xlws.FILTER(B:B, A:A=A77)/1000,
    _xlpm.puntosSec,  _xlpm.ptsSecBase  + _xlfn._xlws.FILTER(B:B, A:A=A77)/1000,
    _xlpm.puntosPrinValidos, SUM(--(_xlpm.ptsPrinBase&gt;0)),
    _xlpm.puntosSecValidos,  SUM(--(_xlpm.ptsSecBase&gt;0)),
    _xlpm.clave, K77 + B77/1000,
    _xlpm.claves, _xlfn._xlws.FILTER(K:K + B:B/1000, A:A=A77),
    IF(
        AND(_xlpm.puntosPrinValidos&gt;=2, _xlpm.puntosSecValidos&gt;=4),
        IF(
            SUM(--(_xlpm.claves &lt; _xlpm.clave)) &lt; 4,
            D77,
            C77
        ),
        "No disp"
    )
)</f>
        <v>254</v>
      </c>
      <c r="T77" s="14" t="str" cm="1">
        <f t="array" ref="T77">_xlfn.LET(
    _xlpm.puntosSec, _xlfn._xlws.FILTER(H:H + B:B/1000, A:A=A77),
    _xlpm.puntosSecValidos, SUM(--(_xlpm.puntosSec&gt;1)),
    _xlpm.puntosAlt, _xlfn._xlws.FILTER(I:I + B:B/1000, A:A=A77),
    _xlpm.puntosAltValidos, SUM(--(_xlpm.puntosAlt&gt;1)),
    _xlpm.clave, N77 + B77/1000,
    _xlpm.claves, _xlfn._xlws.FILTER(N:N + B:B/1000, A:A=A77),
    IF(AND(_xlpm.puntosSecValidos&gt;=4,_xlpm.puntosAltValidos&gt;=2),IF(
        SUM(--(_xlpm.claves &gt; _xlpm.clave)) &lt; 4,
        D77,
        E77
    ),"No disp")
)</f>
        <v>No disp</v>
      </c>
      <c r="U77" s="14" t="str" cm="1">
        <f t="array" aca="1" ref="U77" ca="1">_xlfn.LET(
    _xlpm.puntosSec, _xlfn._xlws.FILTER(H:H + B:B/1000, A:A=A77),
    _xlpm.puntosSecValidos, SUM(--(_xlpm.puntosSec&gt;1)),
    _xlpm.puntosAlt, _xlfn._xlws.FILTER(J:J + B:B/1000, A:A=A77),
    _xlpm.puntosAltValidos, SUM(--(_xlpm.puntosAlt&gt;1)),
    _xlpm.clave, O77 + B77/1000,
    _xlpm.claves, _xlfn._xlws.FILTER(O:O + B:B/1000, A:A=A77),
    IF(AND(_xlpm.puntosSecValidos&gt;=4,_xlpm.puntosAltValidos&gt;=2),IF(
        SUM(--(_xlpm.claves &gt; _xlpm.clave)) &lt; 4,
        D77,
        F77
    ),"No disp")
)</f>
        <v>No disp</v>
      </c>
      <c r="V77" s="4" cm="1">
        <f t="array" aca="1" ref="V77" ca="1">_xlfn.LET(
_xlpm.PrinIDs,_xlfn._xlws.FILTER(C:C,(A:A=A77)),
_xlpm.SecIDs,_xlfn._xlws.FILTER(D:D,(A:A=A77)),
_xlpm.TerIDs,_xlfn._xlws.FILTER(E:E,A:A=A77),
_xlpm.CuaIDs,_xlfn._xlws.FILTER(F:F,(A:A=A77)),
_xlpm.PrinPts,_xlfn._xlws.FILTER(G:G,(A:A=A77)),
_xlpm.SecPts,_xlfn._xlws.FILTER(H:H,(A:A=A77)),
_xlpm.TerPts,_xlfn._xlws.FILTER(I:I,(A:A=A77)),
_xlpm.CuaPts,_xlfn._xlws.FILTER(J:J,(A:A=A77)),
_xlpm.PSIds,_xlfn._xlws.FILTER(P:P,A:A=A77),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416.52000000000004</v>
      </c>
      <c r="W77" s="4" cm="1">
        <f t="array" aca="1" ref="W77" ca="1">_xlfn.LET(
_xlpm.PrinIDs,_xlfn._xlws.FILTER(C:C,(A:A=A77)),
_xlpm.SecIDs,_xlfn._xlws.FILTER(D:D,(A:A=A77)),
_xlpm.TerIDs,_xlfn._xlws.FILTER(E:E,A:A=A77),
_xlpm.CuaIDs,_xlfn._xlws.FILTER(F:F,(A:A=A77)),
_xlpm.PrinPts,_xlfn._xlws.FILTER(G:G,(A:A=A77)),
_xlpm.SecPts,_xlfn._xlws.FILTER(H:H,(A:A=A77)),
_xlpm.TerPts,_xlfn._xlws.FILTER(I:I,(A:A=A77)),
_xlpm.CuaPts,_xlfn._xlws.FILTER(J:J,(A:A=A77)),
_xlpm.PTIds,_xlfn._xlws.FILTER(Q:Q,A:A=A77),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77" s="4" cm="1">
        <f t="array" aca="1" ref="X77" ca="1">_xlfn.LET(
_xlpm.PrinIDs,_xlfn._xlws.FILTER(C:C,(A:A=A77)),
_xlpm.SecIDs,_xlfn._xlws.FILTER(D:D,(A:A=A77)),
_xlpm.TerIDs,_xlfn._xlws.FILTER(E:E,A:A=A77),
_xlpm.CuaIDs,_xlfn._xlws.FILTER(F:F,(A:A=A77)),
_xlpm.PrinPts,_xlfn._xlws.FILTER(G:G,(A:A=A77)),
_xlpm.SecPts,_xlfn._xlws.FILTER(H:H,(A:A=A77)),
_xlpm.TerPts,_xlfn._xlws.FILTER(I:I,(A:A=A77)),
_xlpm.CuaPts,_xlfn._xlws.FILTER(J:J,(A:A=A77)),
_xlpm.PCIds,_xlfn._xlws.FILTER(R:R,A:A=A77),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77" s="4" cm="1">
        <f t="array" aca="1" ref="Y77" ca="1">_xlfn.LET(
_xlpm.PrinIDs,_xlfn._xlws.FILTER(C:C,(A:A=A77)),
_xlpm.SecIDs,_xlfn._xlws.FILTER(D:D,(A:A=A77)),
_xlpm.AltIDs,_xlfn._xlws.FILTER(E:E,A:A=A77),
_xlpm.PrinPts,_xlfn._xlws.FILTER(G:G,(A:A=A77)),
_xlpm.SecPts,_xlfn._xlws.FILTER(H:H,(A:A=A77)),
_xlpm.AltPts,_xlfn._xlws.FILTER(I:I,(A:A=A77)),
_xlpm.SPIds,_xlfn._xlws.FILTER(S:S,A:A=A77),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437.49</v>
      </c>
      <c r="Z77" s="4" cm="1">
        <f t="array" aca="1" ref="Z77" ca="1">_xlfn.LET(
_xlpm.PrinIDs,_xlfn._xlws.FILTER(C:C,(A:A=A77)),
_xlpm.SecIDs,_xlfn._xlws.FILTER(D:D,(A:A=A77)),
_xlpm.TerIDs,_xlfn._xlws.FILTER(E:E,A:A=A77),
_xlpm.CuaIDs,_xlfn._xlws.FILTER(F:F,(A:A=A77)),
_xlpm.PrinPts,_xlfn._xlws.FILTER(G:G,(A:A=A77)),
_xlpm.SecPts,_xlfn._xlws.FILTER(H:H,(A:A=A77)),
_xlpm.TerPts,_xlfn._xlws.FILTER(I:I,(A:A=A77)),
_xlpm.CuaPts,_xlfn._xlws.FILTER(J:J,(A:A=A77)),
_xlpm.STIds,_xlfn._xlws.FILTER(T:T,A:A=A77),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77" s="4" cm="1">
        <f t="array" aca="1" ref="AA77" ca="1">_xlfn.LET(
_xlpm.PrinIDs,_xlfn._xlws.FILTER(C:C,(A:A=A77)),
_xlpm.SecIDs,_xlfn._xlws.FILTER(D:D,(A:A=A77)),
_xlpm.TerIDs,_xlfn._xlws.FILTER(E:E,A:A=A77),
_xlpm.CuaIDs,_xlfn._xlws.FILTER(F:F,(A:A=A77)),
_xlpm.PrinPts,_xlfn._xlws.FILTER(G:G,(A:A=A77)),
_xlpm.SecPts,_xlfn._xlws.FILTER(H:H,(A:A=A77)),
_xlpm.TerPts,_xlfn._xlws.FILTER(I:I,(A:A=A77)),
_xlpm.CuaPts,_xlfn._xlws.FILTER(J:J,(A:A=A77)),
_xlpm.SCIds,_xlfn._xlws.FILTER(U:U,A:A=A77),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77" s="14">
        <f t="shared" ca="1" si="7"/>
        <v>254</v>
      </c>
      <c r="AC77" s="14">
        <v>254</v>
      </c>
      <c r="AD77" s="4"/>
      <c r="AE77" s="14" t="str">
        <f ca="1">IF(ISNUMBER(AC77),
IF($B77=1,VLOOKUP($AC77,Inventario1!$A:$H,2),
IF($B77=2,VLOOKUP($AC77,Inventario2!$A:$H,2),
IF($B77=3,VLOOKUP($AC77,Inventario3!$A:$H,2),
IF($B77=4,VLOOKUP($AC77,Inventario4!$A:$H,2),
IF($B77=5,VLOOKUP($AC77,Inventario5!$A:$H,2),
VLOOKUP($AC77,Inventario6!$A:$H,2)
))))),"No equipado")</f>
        <v>Épico</v>
      </c>
      <c r="AF77" s="14" t="str">
        <f ca="1">IF(ISNUMBER(AC77),
IF($B77=1,VLOOKUP($AC77,Inventario1!$A:$H,3),
IF($B77=2,VLOOKUP($AC77,Inventario2!$A:$H,3),
IF($B77=3,VLOOKUP($AC77,Inventario3!$A:$H,3),
IF($B77=4,VLOOKUP($AC77,Inventario4!$A:$H,3),
IF($B77=5,VLOOKUP($AC77,Inventario5!$A:$H,3),
VLOOKUP($AC77,Inventario6!$A:$H,3)
))))),"")</f>
        <v>Movimiento de bloqueo</v>
      </c>
      <c r="AG77" s="14" t="str">
        <f ca="1">IF(ISNUMBER(AC77),
IF($B77=1,VLOOKUP($AC77,Inventario1!$A:$H,4),
IF($B77=2,VLOOKUP($AC77,Inventario2!$A:$H,4),
IF($B77=3,VLOOKUP($AC77,Inventario3!$A:$H,4),
IF($B77=4,VLOOKUP($AC77,Inventario4!$A:$H,4),
IF($B77=5,VLOOKUP($AC77,Inventario5!$A:$H,4),
VLOOKUP($AC77,Inventario6!$A:$H,4)
))))),"")</f>
        <v>Bloqueo</v>
      </c>
      <c r="AH77" s="14" t="str">
        <f ca="1">IF(ISNUMBER(AC77),
IF($B77=1,VLOOKUP($AC77,Inventario1!$A:$H,5),
IF($B77=2,VLOOKUP($AC77,Inventario2!$A:$H,5),
IF($B77=3,VLOOKUP($AC77,Inventario3!$A:$H,5),
IF($B77=4,VLOOKUP($AC77,Inventario4!$A:$H,5),
IF($B77=5,VLOOKUP($AC77,Inventario5!$A:$H,5),
VLOOKUP($AC77,Inventario6!$A:$H,5)
))))),"")</f>
        <v>Ataque rápido</v>
      </c>
      <c r="AI77" s="14" t="str">
        <f ca="1">IF(ISNUMBER(AC77),
IF($B77=1,VLOOKUP($AC77,Inventario1!$A:$H,6),
IF($B77=2,VLOOKUP($AC77,Inventario2!$A:$H,6),
IF($B77=3,VLOOKUP($AC77,Inventario3!$A:$H,6),
IF($B77=4,VLOOKUP($AC77,Inventario4!$A:$H,6),
IF($B77=5,VLOOKUP($AC77,Inventario5!$A:$H,6),
VLOOKUP($AC77,Inventario6!$A:$H,6)
))))),"")</f>
        <v>Bloqueo</v>
      </c>
      <c r="AJ77" s="14">
        <f ca="1">IF(ISNUMBER(AC77),
IF($B77=1,VLOOKUP($AC77,Inventario1!$A:$H,7),
IF($B77=2,VLOOKUP($AC77,Inventario2!$A:$H,7),
IF($B77=3,VLOOKUP($AC77,Inventario3!$A:$H,7),
IF($B77=4,VLOOKUP($AC77,Inventario4!$A:$H,7),
IF($B77=5,VLOOKUP($AC77,Inventario5!$A:$H,7),
VLOOKUP($AC77,Inventario6!$A:$H,7)
))))),"")</f>
        <v>0</v>
      </c>
      <c r="AK77" s="15">
        <f ca="1">IF(ISNUMBER(AC77),
IF($B77=1,VLOOKUP($AC77,Inventario1!$A:$H,8),
IF($B77=2,VLOOKUP($AC77,Inventario2!$A:$H,8),
IF($B77=3,VLOOKUP($AC77,Inventario3!$A:$H,8),
IF($B77=4,VLOOKUP($AC77,Inventario4!$A:$H,8),
IF($B77=5,VLOOKUP($AC77,Inventario5!$A:$H,8),
VLOOKUP($AC77,Inventario6!$A:$H,8)
))))),"")</f>
        <v>0</v>
      </c>
    </row>
    <row r="78" spans="1:37" x14ac:dyDescent="0.25">
      <c r="A78" s="21" t="s">
        <v>24</v>
      </c>
      <c r="B78" s="3">
        <v>5</v>
      </c>
      <c r="C78" s="14" cm="1">
        <f t="array" ref="C78">_xlfn.LET(
    _xlpm.jugador, A78,
    _xlpm.idSel, AC78,
    _xlpm.invIDs, IF(B78=1,Inventario1!A:A,IF(B78=2,Inventario2!A:A,IF(B78=3,Inventario3!A:A,IF(B78=4,Inventario4!A:A,IF(B78=5,Inventario5!A:A,Inventario6!A:A))))),
    _xlpm.invCalidad, IF(B78=1,Inventario1!B:B,IF(B78=2,Inventario2!B:B,IF(B78=3,Inventario3!B:B,IF(B78=4,Inventario4!B:B,IF(B78=5,Inventario5!B:B,Inventario6!B:B))))),
    _xlpm.invTipos, IF(B78=1,Inventario1!C:C,IF(B78=2,Inventario2!C:C,IF(B78=3,Inventario3!C:C,IF(B78=4,Inventario4!C:C,IF(B78=5,Inventario5!C:C,Inventario6!C:C))))),
    _xlpm.invStats, IF(B78=1,Inventario1!D:H,IF(B78=2,Inventario2!D:H,IF(B78=3,Inventario3!D:H,IF(B78=4,Inventario4!D:H,IF(B78=5,Inventario5!D:H,Inventario6!D:H))))),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IF(ROW(A78)=2,"",IF(_xlfn._xlws.FILTER(Equipar!AC$2:AC77,Equipar!B$2:B77=B78)={0},"",_xlfn._xlws.FILTER(Equipar!AC$2:AC77,Equipar!B$2:B77=B78))),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108</v>
      </c>
      <c r="D78" s="4" cm="1">
        <f t="array" ref="D78">_xlfn.LET(
    _xlpm.jugador, A78,
    _xlpm.idSel, AC78,
    _xlpm.invIDs, IF(B78=1,Inventario1!A:A,IF(B78=2,Inventario2!A:A,IF(B78=3,Inventario3!A:A,IF(B78=4,Inventario4!A:A,IF(B78=5,Inventario5!A:A,Inventario6!A:A))))),
    _xlpm.invCalidad, IF(B78=1,Inventario1!B:B,IF(B78=2,Inventario2!B:B,IF(B78=3,Inventario3!B:B,IF(B78=4,Inventario4!B:B,IF(B78=5,Inventario5!B:B,Inventario6!B:B))))),
    _xlpm.invTipos, IF(B78=1,Inventario1!C:C,IF(B78=2,Inventario2!C:C,IF(B78=3,Inventario3!C:C,IF(B78=4,Inventario4!C:C,IF(B78=5,Inventario5!C:C,Inventario6!C:C))))),
    _xlpm.invStats, IF(B78=1,Inventario1!D:H,IF(B78=2,Inventario2!D:H,IF(B78=3,Inventario3!D:H,IF(B78=4,Inventario4!D:H,IF(B78=5,Inventario5!D:H,Inventario6!D:H))))),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IF(ROW(A78)=2,"",IF(_xlfn._xlws.FILTER(Equipar!AC$2:AC77,Equipar!B$2:B77=B78)={0},"",_xlfn._xlws.FILTER(Equipar!AC$2:AC77,Equipar!B$2:B77=B78))),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267</v>
      </c>
      <c r="E78" s="4" t="str" cm="1">
        <f t="array" ref="E78">_xlfn.LET(
    _xlpm.jugador, A78,
    _xlpm.idSel, AC78,
    _xlpm.invIDs, IF(B78=1,Inventario1!A:A,IF(B78=2,Inventario2!A:A,IF(B78=3,Inventario3!A:A,IF(B78=4,Inventario4!A:A,IF(B78=5,Inventario5!A:A,Inventario6!A:A))))),
    _xlpm.invCalidad, IF(B78=1,Inventario1!B:B,IF(B78=2,Inventario2!B:B,IF(B78=3,Inventario3!B:B,IF(B78=4,Inventario4!B:B,IF(B78=5,Inventario5!B:B,Inventario6!B:B))))),
    _xlpm.invTipos, IF(B78=1,Inventario1!C:C,IF(B78=2,Inventario2!C:C,IF(B78=3,Inventario3!C:C,IF(B78=4,Inventario4!C:C,IF(B78=5,Inventario5!C:C,Inventario6!C:C))))),
    _xlpm.invStats, IF(B78=1,Inventario1!D:H,IF(B78=2,Inventario2!D:H,IF(B78=3,Inventario3!D:H,IF(B78=4,Inventario4!D:H,IF(B78=5,Inventario5!D:H,Inventario6!D:H))))),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IF(ROW(A78)=2,"",IF(_xlfn._xlws.FILTER(Equipar!AC$2:AC77,Equipar!B$2:B77=B78)={0},"",_xlfn._xlws.FILTER(Equipar!AC$2:AC77,Equipar!B$2:B77=B78))),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78" s="4" t="str" cm="1">
        <f t="array" aca="1" ref="F78" ca="1">_xlfn.LET(
    _xlpm.jugador, B78,
    _xlpm.idSel, AD78,
    _xlpm.invIDs, IF(C78=1,Inventario1!B:B,IF(C78=2,Inventario2!B:B,IF(C78=3,Inventario3!B:B,IF(C78=4,Inventario4!B:B,IF(C78=5,Inventario5!B:B,Inventario6!B:B))))),
    _xlpm.invCalidad, IF(C78=1,Inventario1!C:C,IF(C78=2,Inventario2!C:C,IF(C78=3,Inventario3!C:C,IF(C78=4,Inventario4!C:C,IF(C78=5,Inventario5!C:C,Inventario6!C:C))))),
    _xlpm.invTipos, IF(C78=1,Inventario1!D:D,IF(C78=2,Inventario2!D:D,IF(C78=3,Inventario3!D:D,IF(C78=4,Inventario4!D:D,IF(C78=5,Inventario5!D:D,Inventario6!D:D))))),
    _xlpm.invStats, IF(C78=1,Inventario1!E:I,IF(C78=2,Inventario2!E:I,IF(C78=3,Inventario3!E:I,IF(C78=4,Inventario4!E:I,IF(C78=5,Inventario5!E:I,Inventario6!E:I))))),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IF(ROW(B78)=2,"",IF(_xlfn._xlws.FILTER(Equipar!AD$2:AD77,Equipar!C$2:C77=C78)={0},"",_xlfn._xlws.FILTER(Equipar!AD$2:AD77,Equipar!C$2:C77=C78))),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78" s="14" cm="1">
        <f t="array" ref="G78">_xlfn.LET(
    _xlpm.jugador, A78,
    _xlpm.idSel, AC78,
    _xlpm.invIDs, IF(B78=1,Inventario1!A:A,IF(B78=2,Inventario2!A:A,IF(B78=3,Inventario3!A:A,IF(B78=4,Inventario4!A:A,IF(B78=5,Inventario5!A:A,Inventario6!A:A))))),
    _xlpm.invCalidad, IF(B78=1,Inventario1!B:B,IF(B78=2,Inventario2!B:B,IF(B78=3,Inventario3!B:B,IF(B78=4,Inventario4!B:B,IF(B78=5,Inventario5!B:B,Inventario6!B:B))))),
    _xlpm.invTipos, IF(B78=1,Inventario1!C:C,IF(B78=2,Inventario2!C:C,IF(B78=3,Inventario3!C:C,IF(B78=4,Inventario4!C:C,IF(B78=5,Inventario5!C:C,Inventario6!C:C))))),
    _xlpm.invStats, IF(B78=1,Inventario1!D:H,IF(B78=2,Inventario2!D:H,IF(B78=3,Inventario3!D:H,IF(B78=4,Inventario4!D:H,IF(B78=5,Inventario5!D:H,Inventario6!D:H))))),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IF(ROW(A78)=2,"",IF(_xlfn._xlws.FILTER(Equipar!AC$2:AC77,Equipar!B$2:B77=B78)={0},"",_xlfn._xlws.FILTER(Equipar!AC$2:AC77,Equipar!B$2:B77=B78))),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45</v>
      </c>
      <c r="H78" s="4" cm="1">
        <f t="array" ref="H78">_xlfn.LET(
    _xlpm.jugador, A78,
    _xlpm.idSel, AC78,
    _xlpm.invIDs, IF(B78=1,Inventario1!A:A,IF(B78=2,Inventario2!A:A,IF(B78=3,Inventario3!A:A,IF(B78=4,Inventario4!A:A,IF(B78=5,Inventario5!A:A,Inventario6!A:A))))),
    _xlpm.invCalidad, IF(B78=1,Inventario1!B:B,IF(B78=2,Inventario2!B:B,IF(B78=3,Inventario3!B:B,IF(B78=4,Inventario4!B:B,IF(B78=5,Inventario5!B:B,Inventario6!B:B))))),
    _xlpm.invTipos, IF(B78=1,Inventario1!C:C,IF(B78=2,Inventario2!C:C,IF(B78=3,Inventario3!C:C,IF(B78=4,Inventario4!C:C,IF(B78=5,Inventario5!C:C,Inventario6!C:C))))),
    _xlpm.invStats, IF(B78=1,Inventario1!D:H,IF(B78=2,Inventario2!D:H,IF(B78=3,Inventario3!D:H,IF(B78=4,Inventario4!D:H,IF(B78=5,Inventario5!D:H,Inventario6!D:H))))),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IF(ROW(A78)=2,"",IF(_xlfn._xlws.FILTER(Equipar!AC$2:AC77,Equipar!B$2:B77=B78)={0},"",_xlfn._xlws.FILTER(Equipar!AC$2:AC77,Equipar!B$2:B77=B78))),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36</v>
      </c>
      <c r="I78" s="4" cm="1">
        <f t="array" ref="I78">_xlfn.LET(
    _xlpm.jugador, A78,
    _xlpm.idSel, AC78,
    _xlpm.invIDs, IF(B78=1,Inventario1!A:A,IF(B78=2,Inventario2!A:A,IF(B78=3,Inventario3!A:A,IF(B78=4,Inventario4!A:A,IF(B78=5,Inventario5!A:A,Inventario6!A:A))))),
    _xlpm.invCalidad, IF(B78=1,Inventario1!B:B,IF(B78=2,Inventario2!B:B,IF(B78=3,Inventario3!B:B,IF(B78=4,Inventario4!B:B,IF(B78=5,Inventario5!B:B,Inventario6!B:B))))),
    _xlpm.invTipos, IF(B78=1,Inventario1!C:C,IF(B78=2,Inventario2!C:C,IF(B78=3,Inventario3!C:C,IF(B78=4,Inventario4!C:C,IF(B78=5,Inventario5!C:C,Inventario6!C:C))))),
    _xlpm.invStats, IF(B78=1,Inventario1!D:H,IF(B78=2,Inventario2!D:H,IF(B78=3,Inventario3!D:H,IF(B78=4,Inventario4!D:H,IF(B78=5,Inventario5!D:H,Inventario6!D:H))))),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IF(ROW(A78)=2,"",IF(_xlfn._xlws.FILTER(Equipar!AC$2:AC77,Equipar!B$2:B77=B78)={0},"",_xlfn._xlws.FILTER(Equipar!AC$2:AC77,Equipar!B$2:B77=B78))),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78" s="4" cm="1">
        <f t="array" aca="1" ref="J78" ca="1">_xlfn.LET(
    _xlpm.jugador, B78,
    _xlpm.idSel, AD78,
    _xlpm.invIDs, IF(C78=1,Inventario1!B:B,IF(C78=2,Inventario2!B:B,IF(C78=3,Inventario3!B:B,IF(C78=4,Inventario4!B:B,IF(C78=5,Inventario5!B:B,Inventario6!B:B))))),
    _xlpm.invCalidad, IF(C78=1,Inventario1!C:C,IF(C78=2,Inventario2!C:C,IF(C78=3,Inventario3!C:C,IF(C78=4,Inventario4!C:C,IF(C78=5,Inventario5!C:C,Inventario6!C:C))))),
    _xlpm.invTipos, IF(C78=1,Inventario1!D:D,IF(C78=2,Inventario2!D:D,IF(C78=3,Inventario3!D:D,IF(C78=4,Inventario4!D:D,IF(C78=5,Inventario5!D:D,Inventario6!D:D))))),
    _xlpm.invStats, IF(C78=1,Inventario1!E:I,IF(C78=2,Inventario2!E:I,IF(C78=3,Inventario3!E:I,IF(C78=4,Inventario4!E:I,IF(C78=5,Inventario5!E:I,Inventario6!E:I))))),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IF(ROW(B78)=2,"",IF(_xlfn._xlws.FILTER(Equipar!AD$2:AD77,Equipar!C$2:C77=C78)={0},"",_xlfn._xlws.FILTER(Equipar!AD$2:AD77,Equipar!C$2:C77=C78))),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78" s="4">
        <f t="shared" si="4"/>
        <v>9</v>
      </c>
      <c r="L78" s="4">
        <f t="shared" si="5"/>
        <v>45</v>
      </c>
      <c r="M78" s="4">
        <f t="shared" ca="1" si="5"/>
        <v>36</v>
      </c>
      <c r="N78" s="4">
        <f t="shared" si="6"/>
        <v>36</v>
      </c>
      <c r="O78" s="4">
        <f t="shared" ca="1" si="6"/>
        <v>0</v>
      </c>
      <c r="P78" s="14" cm="1">
        <f t="array" aca="1" ref="P78" ca="1">_xlfn.LET(
    _xlpm.ptsPrinBase, _xlfn._xlws.FILTER(G:G, A:A=A78),
    _xlpm.ptsSecBase,  _xlfn._xlws.FILTER(H:H, A:A=A78),
    _xlpm.puntosPrin, _xlpm.ptsPrinBase + _xlfn._xlws.FILTER(B:B, A:A=A78)/1000,
    _xlpm.puntosSec,  _xlpm.ptsSecBase  + _xlfn._xlws.FILTER(B:B, A:A=A78)/1000,
    _xlpm.puntosPrinValidos, SUM(--(_xlpm.ptsPrinBase&gt;0)),
    _xlpm.puntosSecValidos,  SUM(--(_xlpm.ptsSecBase&gt;0)),
    _xlpm.clave, K78 + B78/1000,
    _xlpm.claves, _xlfn._xlws.FILTER(K:K + B:B/1000, A:A=A78),
    IF(AND(_xlpm.puntosPrinValidos&gt;=4,_xlpm.puntosSecValidos&gt;=2),IF(
        SUM(--(_xlpm.claves &gt; _xlpm.clave)) &lt; 4,
        C78,
        D78
    ),"No disp")
)</f>
        <v>108</v>
      </c>
      <c r="Q78" s="14" t="str" cm="1">
        <f t="array" aca="1" ref="Q78" ca="1">_xlfn.LET(
    _xlpm.puntosPrin, _xlfn._xlws.FILTER(G:G + B:B/1000, A:A=A78),
    _xlpm.puntosPrinValidos, SUM(--(_xlpm.puntosPrin&gt;1)),
    _xlpm.puntosTer, _xlfn._xlws.FILTER(I:I + B:B/1000, A:A=A78),
    _xlpm.puntosTerValidos, SUM(--(_xlpm.puntosTer&gt;1)),
    _xlpm.clave, L78 + B78/1000,
    _xlpm.claves, _xlfn._xlws.FILTER(L:L + B:B/1000, A:A=A78),
    IF(AND(_xlpm.puntosPrinValidos&gt;=4,_xlpm.puntosTerValidos&gt;=2),IF(
        SUM(--(_xlpm.claves &gt; _xlpm.clave)) &lt; 4,
        C78,
        E78
    ),"No disp")
)</f>
        <v>No disp</v>
      </c>
      <c r="R78" s="14" t="str" cm="1">
        <f t="array" aca="1" ref="R78" ca="1">_xlfn.LET(
    _xlpm.puntosPrin, _xlfn._xlws.FILTER(G:G + B:B/1000, A:A=A78),
    _xlpm.puntosPrinValidos, SUM(--(_xlpm.puntosPrin&gt;1)),
    _xlpm.puntosTer, _xlfn._xlws.FILTER(J:J + B:B/1000, A:A=A78),
    _xlpm.puntosTerValidos, SUM(--(_xlpm.puntosTer&gt;1)),
    _xlpm.clave, M78 + B78/1000,
    _xlpm.claves, _xlfn._xlws.FILTER(M:M + B:B/1000, A:A=A78),
    IF(AND(_xlpm.puntosPrinValidos&gt;=4,_xlpm.puntosTerValidos&gt;=2),IF(
        SUM(--(_xlpm.claves &gt; _xlpm.clave)) &lt; 4,
        C78,
        F78
    ),"No disp")
)</f>
        <v>No disp</v>
      </c>
      <c r="S78" s="14" cm="1">
        <f t="array" aca="1" ref="S78" ca="1">_xlfn.LET(
    _xlpm.ptsPrinBase, _xlfn._xlws.FILTER(G:G, A:A=A78),
    _xlpm.ptsSecBase,  _xlfn._xlws.FILTER(H:H, A:A=A78),
    _xlpm.puntosPrin, _xlpm.ptsPrinBase + _xlfn._xlws.FILTER(B:B, A:A=A78)/1000,
    _xlpm.puntosSec,  _xlpm.ptsSecBase  + _xlfn._xlws.FILTER(B:B, A:A=A78)/1000,
    _xlpm.puntosPrinValidos, SUM(--(_xlpm.ptsPrinBase&gt;0)),
    _xlpm.puntosSecValidos,  SUM(--(_xlpm.ptsSecBase&gt;0)),
    _xlpm.clave, K78 + B78/1000,
    _xlpm.claves, _xlfn._xlws.FILTER(K:K + B:B/1000, A:A=A78),
    IF(
        AND(_xlpm.puntosPrinValidos&gt;=2, _xlpm.puntosSecValidos&gt;=4),
        IF(
            SUM(--(_xlpm.claves &lt; _xlpm.clave)) &lt; 4,
            D78,
            C78
        ),
        "No disp"
    )
)</f>
        <v>108</v>
      </c>
      <c r="T78" s="14" t="str" cm="1">
        <f t="array" ref="T78">_xlfn.LET(
    _xlpm.puntosSec, _xlfn._xlws.FILTER(H:H + B:B/1000, A:A=A78),
    _xlpm.puntosSecValidos, SUM(--(_xlpm.puntosSec&gt;1)),
    _xlpm.puntosAlt, _xlfn._xlws.FILTER(I:I + B:B/1000, A:A=A78),
    _xlpm.puntosAltValidos, SUM(--(_xlpm.puntosAlt&gt;1)),
    _xlpm.clave, N78 + B78/1000,
    _xlpm.claves, _xlfn._xlws.FILTER(N:N + B:B/1000, A:A=A78),
    IF(AND(_xlpm.puntosSecValidos&gt;=4,_xlpm.puntosAltValidos&gt;=2),IF(
        SUM(--(_xlpm.claves &gt; _xlpm.clave)) &lt; 4,
        D78,
        E78
    ),"No disp")
)</f>
        <v>No disp</v>
      </c>
      <c r="U78" s="14" t="str" cm="1">
        <f t="array" aca="1" ref="U78" ca="1">_xlfn.LET(
    _xlpm.puntosSec, _xlfn._xlws.FILTER(H:H + B:B/1000, A:A=A78),
    _xlpm.puntosSecValidos, SUM(--(_xlpm.puntosSec&gt;1)),
    _xlpm.puntosAlt, _xlfn._xlws.FILTER(J:J + B:B/1000, A:A=A78),
    _xlpm.puntosAltValidos, SUM(--(_xlpm.puntosAlt&gt;1)),
    _xlpm.clave, O78 + B78/1000,
    _xlpm.claves, _xlfn._xlws.FILTER(O:O + B:B/1000, A:A=A78),
    IF(AND(_xlpm.puntosSecValidos&gt;=4,_xlpm.puntosAltValidos&gt;=2),IF(
        SUM(--(_xlpm.claves &gt; _xlpm.clave)) &lt; 4,
        D78,
        F78
    ),"No disp")
)</f>
        <v>No disp</v>
      </c>
      <c r="V78" s="4" cm="1">
        <f t="array" aca="1" ref="V78" ca="1">_xlfn.LET(
_xlpm.PrinIDs,_xlfn._xlws.FILTER(C:C,(A:A=A78)),
_xlpm.SecIDs,_xlfn._xlws.FILTER(D:D,(A:A=A78)),
_xlpm.TerIDs,_xlfn._xlws.FILTER(E:E,A:A=A78),
_xlpm.CuaIDs,_xlfn._xlws.FILTER(F:F,(A:A=A78)),
_xlpm.PrinPts,_xlfn._xlws.FILTER(G:G,(A:A=A78)),
_xlpm.SecPts,_xlfn._xlws.FILTER(H:H,(A:A=A78)),
_xlpm.TerPts,_xlfn._xlws.FILTER(I:I,(A:A=A78)),
_xlpm.CuaPts,_xlfn._xlws.FILTER(J:J,(A:A=A78)),
_xlpm.PSIds,_xlfn._xlws.FILTER(P:P,A:A=A78),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416.52000000000004</v>
      </c>
      <c r="W78" s="4" cm="1">
        <f t="array" aca="1" ref="W78" ca="1">_xlfn.LET(
_xlpm.PrinIDs,_xlfn._xlws.FILTER(C:C,(A:A=A78)),
_xlpm.SecIDs,_xlfn._xlws.FILTER(D:D,(A:A=A78)),
_xlpm.TerIDs,_xlfn._xlws.FILTER(E:E,A:A=A78),
_xlpm.CuaIDs,_xlfn._xlws.FILTER(F:F,(A:A=A78)),
_xlpm.PrinPts,_xlfn._xlws.FILTER(G:G,(A:A=A78)),
_xlpm.SecPts,_xlfn._xlws.FILTER(H:H,(A:A=A78)),
_xlpm.TerPts,_xlfn._xlws.FILTER(I:I,(A:A=A78)),
_xlpm.CuaPts,_xlfn._xlws.FILTER(J:J,(A:A=A78)),
_xlpm.PTIds,_xlfn._xlws.FILTER(Q:Q,A:A=A78),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78" s="4" cm="1">
        <f t="array" aca="1" ref="X78" ca="1">_xlfn.LET(
_xlpm.PrinIDs,_xlfn._xlws.FILTER(C:C,(A:A=A78)),
_xlpm.SecIDs,_xlfn._xlws.FILTER(D:D,(A:A=A78)),
_xlpm.TerIDs,_xlfn._xlws.FILTER(E:E,A:A=A78),
_xlpm.CuaIDs,_xlfn._xlws.FILTER(F:F,(A:A=A78)),
_xlpm.PrinPts,_xlfn._xlws.FILTER(G:G,(A:A=A78)),
_xlpm.SecPts,_xlfn._xlws.FILTER(H:H,(A:A=A78)),
_xlpm.TerPts,_xlfn._xlws.FILTER(I:I,(A:A=A78)),
_xlpm.CuaPts,_xlfn._xlws.FILTER(J:J,(A:A=A78)),
_xlpm.PCIds,_xlfn._xlws.FILTER(R:R,A:A=A78),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78" s="4" cm="1">
        <f t="array" aca="1" ref="Y78" ca="1">_xlfn.LET(
_xlpm.PrinIDs,_xlfn._xlws.FILTER(C:C,(A:A=A78)),
_xlpm.SecIDs,_xlfn._xlws.FILTER(D:D,(A:A=A78)),
_xlpm.AltIDs,_xlfn._xlws.FILTER(E:E,A:A=A78),
_xlpm.PrinPts,_xlfn._xlws.FILTER(G:G,(A:A=A78)),
_xlpm.SecPts,_xlfn._xlws.FILTER(H:H,(A:A=A78)),
_xlpm.AltPts,_xlfn._xlws.FILTER(I:I,(A:A=A78)),
_xlpm.SPIds,_xlfn._xlws.FILTER(S:S,A:A=A78),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437.49</v>
      </c>
      <c r="Z78" s="4" cm="1">
        <f t="array" aca="1" ref="Z78" ca="1">_xlfn.LET(
_xlpm.PrinIDs,_xlfn._xlws.FILTER(C:C,(A:A=A78)),
_xlpm.SecIDs,_xlfn._xlws.FILTER(D:D,(A:A=A78)),
_xlpm.TerIDs,_xlfn._xlws.FILTER(E:E,A:A=A78),
_xlpm.CuaIDs,_xlfn._xlws.FILTER(F:F,(A:A=A78)),
_xlpm.PrinPts,_xlfn._xlws.FILTER(G:G,(A:A=A78)),
_xlpm.SecPts,_xlfn._xlws.FILTER(H:H,(A:A=A78)),
_xlpm.TerPts,_xlfn._xlws.FILTER(I:I,(A:A=A78)),
_xlpm.CuaPts,_xlfn._xlws.FILTER(J:J,(A:A=A78)),
_xlpm.STIds,_xlfn._xlws.FILTER(T:T,A:A=A78),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78" s="4" cm="1">
        <f t="array" aca="1" ref="AA78" ca="1">_xlfn.LET(
_xlpm.PrinIDs,_xlfn._xlws.FILTER(C:C,(A:A=A78)),
_xlpm.SecIDs,_xlfn._xlws.FILTER(D:D,(A:A=A78)),
_xlpm.TerIDs,_xlfn._xlws.FILTER(E:E,A:A=A78),
_xlpm.CuaIDs,_xlfn._xlws.FILTER(F:F,(A:A=A78)),
_xlpm.PrinPts,_xlfn._xlws.FILTER(G:G,(A:A=A78)),
_xlpm.SecPts,_xlfn._xlws.FILTER(H:H,(A:A=A78)),
_xlpm.TerPts,_xlfn._xlws.FILTER(I:I,(A:A=A78)),
_xlpm.CuaPts,_xlfn._xlws.FILTER(J:J,(A:A=A78)),
_xlpm.SCIds,_xlfn._xlws.FILTER(U:U,A:A=A78),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78" s="14">
        <f t="shared" ca="1" si="7"/>
        <v>108</v>
      </c>
      <c r="AC78" s="14">
        <v>108</v>
      </c>
      <c r="AD78" s="4"/>
      <c r="AE78" s="14" t="str">
        <f ca="1">IF(ISNUMBER(AC78),
IF($B78=1,VLOOKUP($AC78,Inventario1!$A:$H,2),
IF($B78=2,VLOOKUP($AC78,Inventario2!$A:$H,2),
IF($B78=3,VLOOKUP($AC78,Inventario3!$A:$H,2),
IF($B78=4,VLOOKUP($AC78,Inventario4!$A:$H,2),
IF($B78=5,VLOOKUP($AC78,Inventario5!$A:$H,2),
VLOOKUP($AC78,Inventario6!$A:$H,2)
))))),"No equipado")</f>
        <v>Épico</v>
      </c>
      <c r="AF78" s="14" t="str">
        <f ca="1">IF(ISNUMBER(AC78),
IF($B78=1,VLOOKUP($AC78,Inventario1!$A:$H,3),
IF($B78=2,VLOOKUP($AC78,Inventario2!$A:$H,3),
IF($B78=3,VLOOKUP($AC78,Inventario3!$A:$H,3),
IF($B78=4,VLOOKUP($AC78,Inventario4!$A:$H,3),
IF($B78=5,VLOOKUP($AC78,Inventario5!$A:$H,3),
VLOOKUP($AC78,Inventario6!$A:$H,3)
))))),"")</f>
        <v>Bloque preciso</v>
      </c>
      <c r="AG78" s="14" t="str">
        <f ca="1">IF(ISNUMBER(AC78),
IF($B78=1,VLOOKUP($AC78,Inventario1!$A:$H,4),
IF($B78=2,VLOOKUP($AC78,Inventario2!$A:$H,4),
IF($B78=3,VLOOKUP($AC78,Inventario3!$A:$H,4),
IF($B78=4,VLOOKUP($AC78,Inventario4!$A:$H,4),
IF($B78=5,VLOOKUP($AC78,Inventario5!$A:$H,4),
VLOOKUP($AC78,Inventario6!$A:$H,4)
))))),"")</f>
        <v>Recepción</v>
      </c>
      <c r="AH78" s="14" t="str">
        <f ca="1">IF(ISNUMBER(AC78),
IF($B78=1,VLOOKUP($AC78,Inventario1!$A:$H,5),
IF($B78=2,VLOOKUP($AC78,Inventario2!$A:$H,5),
IF($B78=3,VLOOKUP($AC78,Inventario3!$A:$H,5),
IF($B78=4,VLOOKUP($AC78,Inventario4!$A:$H,5),
IF($B78=5,VLOOKUP($AC78,Inventario5!$A:$H,5),
VLOOKUP($AC78,Inventario6!$A:$H,5)
))))),"")</f>
        <v>Ataque rápido</v>
      </c>
      <c r="AI78" s="14" t="str">
        <f ca="1">IF(ISNUMBER(AC78),
IF($B78=1,VLOOKUP($AC78,Inventario1!$A:$H,6),
IF($B78=2,VLOOKUP($AC78,Inventario2!$A:$H,6),
IF($B78=3,VLOOKUP($AC78,Inventario3!$A:$H,6),
IF($B78=4,VLOOKUP($AC78,Inventario4!$A:$H,6),
IF($B78=5,VLOOKUP($AC78,Inventario5!$A:$H,6),
VLOOKUP($AC78,Inventario6!$A:$H,6)
))))),"")</f>
        <v>Bloqueo</v>
      </c>
      <c r="AJ78" s="14">
        <f ca="1">IF(ISNUMBER(AC78),
IF($B78=1,VLOOKUP($AC78,Inventario1!$A:$H,7),
IF($B78=2,VLOOKUP($AC78,Inventario2!$A:$H,7),
IF($B78=3,VLOOKUP($AC78,Inventario3!$A:$H,7),
IF($B78=4,VLOOKUP($AC78,Inventario4!$A:$H,7),
IF($B78=5,VLOOKUP($AC78,Inventario5!$A:$H,7),
VLOOKUP($AC78,Inventario6!$A:$H,7)
))))),"")</f>
        <v>0</v>
      </c>
      <c r="AK78" s="15">
        <f ca="1">IF(ISNUMBER(AC78),
IF($B78=1,VLOOKUP($AC78,Inventario1!$A:$H,8),
IF($B78=2,VLOOKUP($AC78,Inventario2!$A:$H,8),
IF($B78=3,VLOOKUP($AC78,Inventario3!$A:$H,8),
IF($B78=4,VLOOKUP($AC78,Inventario4!$A:$H,8),
IF($B78=5,VLOOKUP($AC78,Inventario5!$A:$H,8),
VLOOKUP($AC78,Inventario6!$A:$H,8)
))))),"")</f>
        <v>0</v>
      </c>
    </row>
    <row r="79" spans="1:37" ht="15.75" thickBot="1" x14ac:dyDescent="0.3">
      <c r="A79" s="22" t="s">
        <v>24</v>
      </c>
      <c r="B79" s="17">
        <v>6</v>
      </c>
      <c r="C79" s="18" cm="1">
        <f t="array" aca="1" ref="C79" ca="1">_xlfn.LET(
    _xlpm.jugador, A79,
    _xlpm.idSel, AC79,
    _xlpm.invIDs, IF(B79=1,Inventario1!A:A,IF(B79=2,Inventario2!A:A,IF(B79=3,Inventario3!A:A,IF(B79=4,Inventario4!A:A,IF(B79=5,Inventario5!A:A,Inventario6!A:A))))),
    _xlpm.invCalidad, IF(B79=1,Inventario1!B:B,IF(B79=2,Inventario2!B:B,IF(B79=3,Inventario3!B:B,IF(B79=4,Inventario4!B:B,IF(B79=5,Inventario5!B:B,Inventario6!B:B))))),
    _xlpm.invTipos, IF(B79=1,Inventario1!C:C,IF(B79=2,Inventario2!C:C,IF(B79=3,Inventario3!C:C,IF(B79=4,Inventario4!C:C,IF(B79=5,Inventario5!C:C,Inventario6!C:C))))),
    _xlpm.invStats, IF(B79=1,Inventario1!D:H,IF(B79=2,Inventario2!D:H,IF(B79=3,Inventario3!D:H,IF(B79=4,Inventario4!D:H,IF(B79=5,Inventario5!D:H,Inventario6!D:H))))),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IF(ROW(A79)=2,"",IF(_xlfn._xlws.FILTER(Equipar!AC$2:AC78,Equipar!B$2:B78=B79)={0},"",_xlfn._xlws.FILTER(Equipar!AC$2:AC78,Equipar!B$2:B78=B79))),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252</v>
      </c>
      <c r="D79" s="17" cm="1">
        <f t="array" ref="D79">_xlfn.LET(
    _xlpm.jugador, A79,
    _xlpm.idSel, AC79,
    _xlpm.invIDs, IF(B79=1,Inventario1!A:A,IF(B79=2,Inventario2!A:A,IF(B79=3,Inventario3!A:A,IF(B79=4,Inventario4!A:A,IF(B79=5,Inventario5!A:A,Inventario6!A:A))))),
    _xlpm.invCalidad, IF(B79=1,Inventario1!B:B,IF(B79=2,Inventario2!B:B,IF(B79=3,Inventario3!B:B,IF(B79=4,Inventario4!B:B,IF(B79=5,Inventario5!B:B,Inventario6!B:B))))),
    _xlpm.invTipos, IF(B79=1,Inventario1!C:C,IF(B79=2,Inventario2!C:C,IF(B79=3,Inventario3!C:C,IF(B79=4,Inventario4!C:C,IF(B79=5,Inventario5!C:C,Inventario6!C:C))))),
    _xlpm.invStats, IF(B79=1,Inventario1!D:H,IF(B79=2,Inventario2!D:H,IF(B79=3,Inventario3!D:H,IF(B79=4,Inventario4!D:H,IF(B79=5,Inventario5!D:H,Inventario6!D:H))))),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IF(ROW(A79)=2,"",IF(_xlfn._xlws.FILTER(Equipar!AC$2:AC78,Equipar!B$2:B78=B79)={0},"",_xlfn._xlws.FILTER(Equipar!AC$2:AC78,Equipar!B$2:B78=B79))),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115</v>
      </c>
      <c r="E79" s="17" t="str" cm="1">
        <f t="array" ref="E79">_xlfn.LET(
    _xlpm.jugador, A79,
    _xlpm.idSel, AC79,
    _xlpm.invIDs, IF(B79=1,Inventario1!A:A,IF(B79=2,Inventario2!A:A,IF(B79=3,Inventario3!A:A,IF(B79=4,Inventario4!A:A,IF(B79=5,Inventario5!A:A,Inventario6!A:A))))),
    _xlpm.invCalidad, IF(B79=1,Inventario1!B:B,IF(B79=2,Inventario2!B:B,IF(B79=3,Inventario3!B:B,IF(B79=4,Inventario4!B:B,IF(B79=5,Inventario5!B:B,Inventario6!B:B))))),
    _xlpm.invTipos, IF(B79=1,Inventario1!C:C,IF(B79=2,Inventario2!C:C,IF(B79=3,Inventario3!C:C,IF(B79=4,Inventario4!C:C,IF(B79=5,Inventario5!C:C,Inventario6!C:C))))),
    _xlpm.invStats, IF(B79=1,Inventario1!D:H,IF(B79=2,Inventario2!D:H,IF(B79=3,Inventario3!D:H,IF(B79=4,Inventario4!D:H,IF(B79=5,Inventario5!D:H,Inventario6!D:H))))),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IF(ROW(A79)=2,"",IF(_xlfn._xlws.FILTER(Equipar!AC$2:AC78,Equipar!B$2:B78=B79)={0},"",_xlfn._xlws.FILTER(Equipar!AC$2:AC78,Equipar!B$2:B78=B79))),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79" s="17" t="str" cm="1">
        <f t="array" aca="1" ref="F79" ca="1">_xlfn.LET(
    _xlpm.jugador, B79,
    _xlpm.idSel, AD79,
    _xlpm.invIDs, IF(C79=1,Inventario1!B:B,IF(C79=2,Inventario2!B:B,IF(C79=3,Inventario3!B:B,IF(C79=4,Inventario4!B:B,IF(C79=5,Inventario5!B:B,Inventario6!B:B))))),
    _xlpm.invCalidad, IF(C79=1,Inventario1!C:C,IF(C79=2,Inventario2!C:C,IF(C79=3,Inventario3!C:C,IF(C79=4,Inventario4!C:C,IF(C79=5,Inventario5!C:C,Inventario6!C:C))))),
    _xlpm.invTipos, IF(C79=1,Inventario1!D:D,IF(C79=2,Inventario2!D:D,IF(C79=3,Inventario3!D:D,IF(C79=4,Inventario4!D:D,IF(C79=5,Inventario5!D:D,Inventario6!D:D))))),
    _xlpm.invStats, IF(C79=1,Inventario1!E:I,IF(C79=2,Inventario2!E:I,IF(C79=3,Inventario3!E:I,IF(C79=4,Inventario4!E:I,IF(C79=5,Inventario5!E:I,Inventario6!E:I))))),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IF(ROW(B79)=2,"",IF(_xlfn._xlws.FILTER(Equipar!AD$2:AD78,Equipar!C$2:C78=C79)={0},"",_xlfn._xlws.FILTER(Equipar!AD$2:AD78,Equipar!C$2:C78=C79))),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79" s="18" cm="1">
        <f t="array" aca="1" ref="G79" ca="1">_xlfn.LET(
    _xlpm.jugador, A79,
    _xlpm.idSel, AC79,
    _xlpm.invIDs, IF(B79=1,Inventario1!A:A,IF(B79=2,Inventario2!A:A,IF(B79=3,Inventario3!A:A,IF(B79=4,Inventario4!A:A,IF(B79=5,Inventario5!A:A,Inventario6!A:A))))),
    _xlpm.invCalidad, IF(B79=1,Inventario1!B:B,IF(B79=2,Inventario2!B:B,IF(B79=3,Inventario3!B:B,IF(B79=4,Inventario4!B:B,IF(B79=5,Inventario5!B:B,Inventario6!B:B))))),
    _xlpm.invTipos, IF(B79=1,Inventario1!C:C,IF(B79=2,Inventario2!C:C,IF(B79=3,Inventario3!C:C,IF(B79=4,Inventario4!C:C,IF(B79=5,Inventario5!C:C,Inventario6!C:C))))),
    _xlpm.invStats, IF(B79=1,Inventario1!D:H,IF(B79=2,Inventario2!D:H,IF(B79=3,Inventario3!D:H,IF(B79=4,Inventario4!D:H,IF(B79=5,Inventario5!D:H,Inventario6!D:H))))),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IF(ROW(A79)=2,"",IF(_xlfn._xlws.FILTER(Equipar!AC$2:AC78,Equipar!B$2:B78=B79)={0},"",_xlfn._xlws.FILTER(Equipar!AC$2:AC78,Equipar!B$2:B78=B79))),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47.88</v>
      </c>
      <c r="H79" s="17" cm="1">
        <f t="array" ref="H79">_xlfn.LET(
    _xlpm.jugador, A79,
    _xlpm.idSel, AC79,
    _xlpm.invIDs, IF(B79=1,Inventario1!A:A,IF(B79=2,Inventario2!A:A,IF(B79=3,Inventario3!A:A,IF(B79=4,Inventario4!A:A,IF(B79=5,Inventario5!A:A,Inventario6!A:A))))),
    _xlpm.invCalidad, IF(B79=1,Inventario1!B:B,IF(B79=2,Inventario2!B:B,IF(B79=3,Inventario3!B:B,IF(B79=4,Inventario4!B:B,IF(B79=5,Inventario5!B:B,Inventario6!B:B))))),
    _xlpm.invTipos, IF(B79=1,Inventario1!C:C,IF(B79=2,Inventario2!C:C,IF(B79=3,Inventario3!C:C,IF(B79=4,Inventario4!C:C,IF(B79=5,Inventario5!C:C,Inventario6!C:C))))),
    _xlpm.invStats, IF(B79=1,Inventario1!D:H,IF(B79=2,Inventario2!D:H,IF(B79=3,Inventario3!D:H,IF(B79=4,Inventario4!D:H,IF(B79=5,Inventario5!D:H,Inventario6!D:H))))),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IF(ROW(A79)=2,"",IF(_xlfn._xlws.FILTER(Equipar!AC$2:AC78,Equipar!B$2:B78=B79)={0},"",_xlfn._xlws.FILTER(Equipar!AC$2:AC78,Equipar!B$2:B78=B79))),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I79" s="17" cm="1">
        <f t="array" ref="I79">_xlfn.LET(
    _xlpm.jugador, A79,
    _xlpm.idSel, AC79,
    _xlpm.invIDs, IF(B79=1,Inventario1!A:A,IF(B79=2,Inventario2!A:A,IF(B79=3,Inventario3!A:A,IF(B79=4,Inventario4!A:A,IF(B79=5,Inventario5!A:A,Inventario6!A:A))))),
    _xlpm.invCalidad, IF(B79=1,Inventario1!B:B,IF(B79=2,Inventario2!B:B,IF(B79=3,Inventario3!B:B,IF(B79=4,Inventario4!B:B,IF(B79=5,Inventario5!B:B,Inventario6!B:B))))),
    _xlpm.invTipos, IF(B79=1,Inventario1!C:C,IF(B79=2,Inventario2!C:C,IF(B79=3,Inventario3!C:C,IF(B79=4,Inventario4!C:C,IF(B79=5,Inventario5!C:C,Inventario6!C:C))))),
    _xlpm.invStats, IF(B79=1,Inventario1!D:H,IF(B79=2,Inventario2!D:H,IF(B79=3,Inventario3!D:H,IF(B79=4,Inventario4!D:H,IF(B79=5,Inventario5!D:H,Inventario6!D:H))))),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IF(ROW(A79)=2,"",IF(_xlfn._xlws.FILTER(Equipar!AC$2:AC78,Equipar!B$2:B78=B79)={0},"",_xlfn._xlws.FILTER(Equipar!AC$2:AC78,Equipar!B$2:B78=B79))),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79" s="17" cm="1">
        <f t="array" aca="1" ref="J79" ca="1">_xlfn.LET(
    _xlpm.jugador, B79,
    _xlpm.idSel, AD79,
    _xlpm.invIDs, IF(C79=1,Inventario1!B:B,IF(C79=2,Inventario2!B:B,IF(C79=3,Inventario3!B:B,IF(C79=4,Inventario4!B:B,IF(C79=5,Inventario5!B:B,Inventario6!B:B))))),
    _xlpm.invCalidad, IF(C79=1,Inventario1!C:C,IF(C79=2,Inventario2!C:C,IF(C79=3,Inventario3!C:C,IF(C79=4,Inventario4!C:C,IF(C79=5,Inventario5!C:C,Inventario6!C:C))))),
    _xlpm.invTipos, IF(C79=1,Inventario1!D:D,IF(C79=2,Inventario2!D:D,IF(C79=3,Inventario3!D:D,IF(C79=4,Inventario4!D:D,IF(C79=5,Inventario5!D:D,Inventario6!D:D))))),
    _xlpm.invStats, IF(C79=1,Inventario1!E:I,IF(C79=2,Inventario2!E:I,IF(C79=3,Inventario3!E:I,IF(C79=4,Inventario4!E:I,IF(C79=5,Inventario5!E:I,Inventario6!E:I))))),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IF(ROW(B79)=2,"",IF(_xlfn._xlws.FILTER(Equipar!AD$2:AD78,Equipar!C$2:C78=C79)={0},"",_xlfn._xlws.FILTER(Equipar!AD$2:AD78,Equipar!C$2:C78=C79))),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79" s="17">
        <f t="shared" ca="1" si="4"/>
        <v>-59.85</v>
      </c>
      <c r="L79" s="17">
        <f t="shared" ca="1" si="5"/>
        <v>47.88</v>
      </c>
      <c r="M79" s="17">
        <f t="shared" ca="1" si="5"/>
        <v>107.73</v>
      </c>
      <c r="N79" s="17">
        <f t="shared" si="6"/>
        <v>107.73</v>
      </c>
      <c r="O79" s="17">
        <f t="shared" ca="1" si="6"/>
        <v>0</v>
      </c>
      <c r="P79" s="18" cm="1">
        <f t="array" aca="1" ref="P79" ca="1">_xlfn.LET(
    _xlpm.ptsPrinBase, _xlfn._xlws.FILTER(G:G, A:A=A79),
    _xlpm.ptsSecBase,  _xlfn._xlws.FILTER(H:H, A:A=A79),
    _xlpm.puntosPrin, _xlpm.ptsPrinBase + _xlfn._xlws.FILTER(B:B, A:A=A79)/1000,
    _xlpm.puntosSec,  _xlpm.ptsSecBase  + _xlfn._xlws.FILTER(B:B, A:A=A79)/1000,
    _xlpm.puntosPrinValidos, SUM(--(_xlpm.ptsPrinBase&gt;0)),
    _xlpm.puntosSecValidos,  SUM(--(_xlpm.ptsSecBase&gt;0)),
    _xlpm.clave, K79 + B79/1000,
    _xlpm.claves, _xlfn._xlws.FILTER(K:K + B:B/1000, A:A=A79),
    IF(AND(_xlpm.puntosPrinValidos&gt;=4,_xlpm.puntosSecValidos&gt;=2),IF(
        SUM(--(_xlpm.claves &gt; _xlpm.clave)) &lt; 4,
        C79,
        D79
    ),"No disp")
)</f>
        <v>115</v>
      </c>
      <c r="Q79" s="18" t="str" cm="1">
        <f t="array" aca="1" ref="Q79" ca="1">_xlfn.LET(
    _xlpm.puntosPrin, _xlfn._xlws.FILTER(G:G + B:B/1000, A:A=A79),
    _xlpm.puntosPrinValidos, SUM(--(_xlpm.puntosPrin&gt;1)),
    _xlpm.puntosTer, _xlfn._xlws.FILTER(I:I + B:B/1000, A:A=A79),
    _xlpm.puntosTerValidos, SUM(--(_xlpm.puntosTer&gt;1)),
    _xlpm.clave, L79 + B79/1000,
    _xlpm.claves, _xlfn._xlws.FILTER(L:L + B:B/1000, A:A=A79),
    IF(AND(_xlpm.puntosPrinValidos&gt;=4,_xlpm.puntosTerValidos&gt;=2),IF(
        SUM(--(_xlpm.claves &gt; _xlpm.clave)) &lt; 4,
        C79,
        E79
    ),"No disp")
)</f>
        <v>No disp</v>
      </c>
      <c r="R79" s="18" t="str" cm="1">
        <f t="array" aca="1" ref="R79" ca="1">_xlfn.LET(
    _xlpm.puntosPrin, _xlfn._xlws.FILTER(G:G + B:B/1000, A:A=A79),
    _xlpm.puntosPrinValidos, SUM(--(_xlpm.puntosPrin&gt;1)),
    _xlpm.puntosTer, _xlfn._xlws.FILTER(J:J + B:B/1000, A:A=A79),
    _xlpm.puntosTerValidos, SUM(--(_xlpm.puntosTer&gt;1)),
    _xlpm.clave, M79 + B79/1000,
    _xlpm.claves, _xlfn._xlws.FILTER(M:M + B:B/1000, A:A=A79),
    IF(AND(_xlpm.puntosPrinValidos&gt;=4,_xlpm.puntosTerValidos&gt;=2),IF(
        SUM(--(_xlpm.claves &gt; _xlpm.clave)) &lt; 4,
        C79,
        F79
    ),"No disp")
)</f>
        <v>No disp</v>
      </c>
      <c r="S79" s="18" cm="1">
        <f t="array" aca="1" ref="S79" ca="1">_xlfn.LET(
    _xlpm.ptsPrinBase, _xlfn._xlws.FILTER(G:G, A:A=A79),
    _xlpm.ptsSecBase,  _xlfn._xlws.FILTER(H:H, A:A=A79),
    _xlpm.puntosPrin, _xlpm.ptsPrinBase + _xlfn._xlws.FILTER(B:B, A:A=A79)/1000,
    _xlpm.puntosSec,  _xlpm.ptsSecBase  + _xlfn._xlws.FILTER(B:B, A:A=A79)/1000,
    _xlpm.puntosPrinValidos, SUM(--(_xlpm.ptsPrinBase&gt;0)),
    _xlpm.puntosSecValidos,  SUM(--(_xlpm.ptsSecBase&gt;0)),
    _xlpm.clave, K79 + B79/1000,
    _xlpm.claves, _xlfn._xlws.FILTER(K:K + B:B/1000, A:A=A79),
    IF(
        AND(_xlpm.puntosPrinValidos&gt;=2, _xlpm.puntosSecValidos&gt;=4),
        IF(
            SUM(--(_xlpm.claves &lt; _xlpm.clave)) &lt; 4,
            D79,
            C79
        ),
        "No disp"
    )
)</f>
        <v>115</v>
      </c>
      <c r="T79" s="18" t="str" cm="1">
        <f t="array" ref="T79">_xlfn.LET(
    _xlpm.puntosSec, _xlfn._xlws.FILTER(H:H + B:B/1000, A:A=A79),
    _xlpm.puntosSecValidos, SUM(--(_xlpm.puntosSec&gt;1)),
    _xlpm.puntosAlt, _xlfn._xlws.FILTER(I:I + B:B/1000, A:A=A79),
    _xlpm.puntosAltValidos, SUM(--(_xlpm.puntosAlt&gt;1)),
    _xlpm.clave, N79 + B79/1000,
    _xlpm.claves, _xlfn._xlws.FILTER(N:N + B:B/1000, A:A=A79),
    IF(AND(_xlpm.puntosSecValidos&gt;=4,_xlpm.puntosAltValidos&gt;=2),IF(
        SUM(--(_xlpm.claves &gt; _xlpm.clave)) &lt; 4,
        D79,
        E79
    ),"No disp")
)</f>
        <v>No disp</v>
      </c>
      <c r="U79" s="18" t="str" cm="1">
        <f t="array" aca="1" ref="U79" ca="1">_xlfn.LET(
    _xlpm.puntosSec, _xlfn._xlws.FILTER(H:H + B:B/1000, A:A=A79),
    _xlpm.puntosSecValidos, SUM(--(_xlpm.puntosSec&gt;1)),
    _xlpm.puntosAlt, _xlfn._xlws.FILTER(J:J + B:B/1000, A:A=A79),
    _xlpm.puntosAltValidos, SUM(--(_xlpm.puntosAlt&gt;1)),
    _xlpm.clave, O79 + B79/1000,
    _xlpm.claves, _xlfn._xlws.FILTER(O:O + B:B/1000, A:A=A79),
    IF(AND(_xlpm.puntosSecValidos&gt;=4,_xlpm.puntosAltValidos&gt;=2),IF(
        SUM(--(_xlpm.claves &gt; _xlpm.clave)) &lt; 4,
        D79,
        F79
    ),"No disp")
)</f>
        <v>No disp</v>
      </c>
      <c r="V79" s="17" cm="1">
        <f t="array" aca="1" ref="V79" ca="1">_xlfn.LET(
_xlpm.PrinIDs,_xlfn._xlws.FILTER(C:C,(A:A=A79)),
_xlpm.SecIDs,_xlfn._xlws.FILTER(D:D,(A:A=A79)),
_xlpm.TerIDs,_xlfn._xlws.FILTER(E:E,A:A=A79),
_xlpm.CuaIDs,_xlfn._xlws.FILTER(F:F,(A:A=A79)),
_xlpm.PrinPts,_xlfn._xlws.FILTER(G:G,(A:A=A79)),
_xlpm.SecPts,_xlfn._xlws.FILTER(H:H,(A:A=A79)),
_xlpm.TerPts,_xlfn._xlws.FILTER(I:I,(A:A=A79)),
_xlpm.CuaPts,_xlfn._xlws.FILTER(J:J,(A:A=A79)),
_xlpm.PSIds,_xlfn._xlws.FILTER(P:P,A:A=A79),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416.52000000000004</v>
      </c>
      <c r="W79" s="17" cm="1">
        <f t="array" aca="1" ref="W79" ca="1">_xlfn.LET(
_xlpm.PrinIDs,_xlfn._xlws.FILTER(C:C,(A:A=A79)),
_xlpm.SecIDs,_xlfn._xlws.FILTER(D:D,(A:A=A79)),
_xlpm.TerIDs,_xlfn._xlws.FILTER(E:E,A:A=A79),
_xlpm.CuaIDs,_xlfn._xlws.FILTER(F:F,(A:A=A79)),
_xlpm.PrinPts,_xlfn._xlws.FILTER(G:G,(A:A=A79)),
_xlpm.SecPts,_xlfn._xlws.FILTER(H:H,(A:A=A79)),
_xlpm.TerPts,_xlfn._xlws.FILTER(I:I,(A:A=A79)),
_xlpm.CuaPts,_xlfn._xlws.FILTER(J:J,(A:A=A79)),
_xlpm.PTIds,_xlfn._xlws.FILTER(Q:Q,A:A=A79),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79" s="17" cm="1">
        <f t="array" aca="1" ref="X79" ca="1">_xlfn.LET(
_xlpm.PrinIDs,_xlfn._xlws.FILTER(C:C,(A:A=A79)),
_xlpm.SecIDs,_xlfn._xlws.FILTER(D:D,(A:A=A79)),
_xlpm.TerIDs,_xlfn._xlws.FILTER(E:E,A:A=A79),
_xlpm.CuaIDs,_xlfn._xlws.FILTER(F:F,(A:A=A79)),
_xlpm.PrinPts,_xlfn._xlws.FILTER(G:G,(A:A=A79)),
_xlpm.SecPts,_xlfn._xlws.FILTER(H:H,(A:A=A79)),
_xlpm.TerPts,_xlfn._xlws.FILTER(I:I,(A:A=A79)),
_xlpm.CuaPts,_xlfn._xlws.FILTER(J:J,(A:A=A79)),
_xlpm.PCIds,_xlfn._xlws.FILTER(R:R,A:A=A79),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79" s="17" cm="1">
        <f t="array" aca="1" ref="Y79" ca="1">_xlfn.LET(
_xlpm.PrinIDs,_xlfn._xlws.FILTER(C:C,(A:A=A79)),
_xlpm.SecIDs,_xlfn._xlws.FILTER(D:D,(A:A=A79)),
_xlpm.AltIDs,_xlfn._xlws.FILTER(E:E,A:A=A79),
_xlpm.PrinPts,_xlfn._xlws.FILTER(G:G,(A:A=A79)),
_xlpm.SecPts,_xlfn._xlws.FILTER(H:H,(A:A=A79)),
_xlpm.AltPts,_xlfn._xlws.FILTER(I:I,(A:A=A79)),
_xlpm.SPIds,_xlfn._xlws.FILTER(S:S,A:A=A79),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437.49</v>
      </c>
      <c r="Z79" s="17" cm="1">
        <f t="array" aca="1" ref="Z79" ca="1">_xlfn.LET(
_xlpm.PrinIDs,_xlfn._xlws.FILTER(C:C,(A:A=A79)),
_xlpm.SecIDs,_xlfn._xlws.FILTER(D:D,(A:A=A79)),
_xlpm.TerIDs,_xlfn._xlws.FILTER(E:E,A:A=A79),
_xlpm.CuaIDs,_xlfn._xlws.FILTER(F:F,(A:A=A79)),
_xlpm.PrinPts,_xlfn._xlws.FILTER(G:G,(A:A=A79)),
_xlpm.SecPts,_xlfn._xlws.FILTER(H:H,(A:A=A79)),
_xlpm.TerPts,_xlfn._xlws.FILTER(I:I,(A:A=A79)),
_xlpm.CuaPts,_xlfn._xlws.FILTER(J:J,(A:A=A79)),
_xlpm.STIds,_xlfn._xlws.FILTER(T:T,A:A=A79),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79" s="17" cm="1">
        <f t="array" aca="1" ref="AA79" ca="1">_xlfn.LET(
_xlpm.PrinIDs,_xlfn._xlws.FILTER(C:C,(A:A=A79)),
_xlpm.SecIDs,_xlfn._xlws.FILTER(D:D,(A:A=A79)),
_xlpm.TerIDs,_xlfn._xlws.FILTER(E:E,A:A=A79),
_xlpm.CuaIDs,_xlfn._xlws.FILTER(F:F,(A:A=A79)),
_xlpm.PrinPts,_xlfn._xlws.FILTER(G:G,(A:A=A79)),
_xlpm.SecPts,_xlfn._xlws.FILTER(H:H,(A:A=A79)),
_xlpm.TerPts,_xlfn._xlws.FILTER(I:I,(A:A=A79)),
_xlpm.CuaPts,_xlfn._xlws.FILTER(J:J,(A:A=A79)),
_xlpm.SCIds,_xlfn._xlws.FILTER(U:U,A:A=A79),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79" s="18">
        <f t="shared" ca="1" si="7"/>
        <v>115</v>
      </c>
      <c r="AC79" s="18">
        <v>115</v>
      </c>
      <c r="AD79" s="17"/>
      <c r="AE79" s="18" t="str">
        <f ca="1">IF(ISNUMBER(AC79),
IF($B79=1,VLOOKUP($AC79,Inventario1!$A:$H,2),
IF($B79=2,VLOOKUP($AC79,Inventario2!$A:$H,2),
IF($B79=3,VLOOKUP($AC79,Inventario3!$A:$H,2),
IF($B79=4,VLOOKUP($AC79,Inventario4!$A:$H,2),
IF($B79=5,VLOOKUP($AC79,Inventario5!$A:$H,2),
VLOOKUP($AC79,Inventario6!$A:$H,2)
))))),"No equipado")</f>
        <v>Legendario</v>
      </c>
      <c r="AF79" s="18" t="str">
        <f ca="1">IF(ISNUMBER(AC79),
IF($B79=1,VLOOKUP($AC79,Inventario1!$A:$H,3),
IF($B79=2,VLOOKUP($AC79,Inventario2!$A:$H,3),
IF($B79=3,VLOOKUP($AC79,Inventario3!$A:$H,3),
IF($B79=4,VLOOKUP($AC79,Inventario4!$A:$H,3),
IF($B79=5,VLOOKUP($AC79,Inventario5!$A:$H,3),
VLOOKUP($AC79,Inventario6!$A:$H,3)
))))),"")</f>
        <v>Movimiento de bloqueo</v>
      </c>
      <c r="AG79" s="18" t="str">
        <f ca="1">IF(ISNUMBER(AC79),
IF($B79=1,VLOOKUP($AC79,Inventario1!$A:$H,4),
IF($B79=2,VLOOKUP($AC79,Inventario2!$A:$H,4),
IF($B79=3,VLOOKUP($AC79,Inventario3!$A:$H,4),
IF($B79=4,VLOOKUP($AC79,Inventario4!$A:$H,4),
IF($B79=5,VLOOKUP($AC79,Inventario5!$A:$H,4),
VLOOKUP($AC79,Inventario6!$A:$H,4)
))))),"")</f>
        <v>Ataque rápido</v>
      </c>
      <c r="AH79" s="18" t="str">
        <f ca="1">IF(ISNUMBER(AC79),
IF($B79=1,VLOOKUP($AC79,Inventario1!$A:$H,5),
IF($B79=2,VLOOKUP($AC79,Inventario2!$A:$H,5),
IF($B79=3,VLOOKUP($AC79,Inventario3!$A:$H,5),
IF($B79=4,VLOOKUP($AC79,Inventario4!$A:$H,5),
IF($B79=5,VLOOKUP($AC79,Inventario5!$A:$H,5),
VLOOKUP($AC79,Inventario6!$A:$H,5)
))))),"")</f>
        <v>Bloqueo</v>
      </c>
      <c r="AI79" s="18" t="str">
        <f ca="1">IF(ISNUMBER(AC79),
IF($B79=1,VLOOKUP($AC79,Inventario1!$A:$H,6),
IF($B79=2,VLOOKUP($AC79,Inventario2!$A:$H,6),
IF($B79=3,VLOOKUP($AC79,Inventario3!$A:$H,6),
IF($B79=4,VLOOKUP($AC79,Inventario4!$A:$H,6),
IF($B79=5,VLOOKUP($AC79,Inventario5!$A:$H,6),
VLOOKUP($AC79,Inventario6!$A:$H,6)
))))),"")</f>
        <v>Ataque rápido</v>
      </c>
      <c r="AJ79" s="18" t="str">
        <f ca="1">IF(ISNUMBER(AC79),
IF($B79=1,VLOOKUP($AC79,Inventario1!$A:$H,7),
IF($B79=2,VLOOKUP($AC79,Inventario2!$A:$H,7),
IF($B79=3,VLOOKUP($AC79,Inventario3!$A:$H,7),
IF($B79=4,VLOOKUP($AC79,Inventario4!$A:$H,7),
IF($B79=5,VLOOKUP($AC79,Inventario5!$A:$H,7),
VLOOKUP($AC79,Inventario6!$A:$H,7)
))))),"")</f>
        <v>Ataque rápido</v>
      </c>
      <c r="AK79" s="19" t="str">
        <f ca="1">IF(ISNUMBER(AC79),
IF($B79=1,VLOOKUP($AC79,Inventario1!$A:$H,8),
IF($B79=2,VLOOKUP($AC79,Inventario2!$A:$H,8),
IF($B79=3,VLOOKUP($AC79,Inventario3!$A:$H,8),
IF($B79=4,VLOOKUP($AC79,Inventario4!$A:$H,8),
IF($B79=5,VLOOKUP($AC79,Inventario5!$A:$H,8),
VLOOKUP($AC79,Inventario6!$A:$H,8)
))))),"")</f>
        <v>Ataque poderoso</v>
      </c>
    </row>
    <row r="80" spans="1:37" x14ac:dyDescent="0.25">
      <c r="A80" s="20" t="s">
        <v>71</v>
      </c>
      <c r="B80" s="9">
        <v>1</v>
      </c>
      <c r="C80" s="10" cm="1">
        <f t="array" aca="1" ref="C80" ca="1">_xlfn.LET(
    _xlpm.jugador, A80,
    _xlpm.idSel, AC80,
    _xlpm.invIDs, IF(B80=1,Inventario1!A:A,IF(B80=2,Inventario2!A:A,IF(B80=3,Inventario3!A:A,IF(B80=4,Inventario4!A:A,IF(B80=5,Inventario5!A:A,Inventario6!A:A))))),
    _xlpm.invCalidad, IF(B80=1,Inventario1!B:B,IF(B80=2,Inventario2!B:B,IF(B80=3,Inventario3!B:B,IF(B80=4,Inventario4!B:B,IF(B80=5,Inventario5!B:B,Inventario6!B:B))))),
    _xlpm.invTipos, IF(B80=1,Inventario1!C:C,IF(B80=2,Inventario2!C:C,IF(B80=3,Inventario3!C:C,IF(B80=4,Inventario4!C:C,IF(B80=5,Inventario5!C:C,Inventario6!C:C))))),
    _xlpm.invStats, IF(B80=1,Inventario1!D:H,IF(B80=2,Inventario2!D:H,IF(B80=3,Inventario3!D:H,IF(B80=4,Inventario4!D:H,IF(B80=5,Inventario5!D:H,Inventario6!D:H))))),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IF(ROW(A80)=2,"",IF(_xlfn._xlws.FILTER(Equipar!AC$2:AC79,Equipar!B$2:B79=B80)={0},"",_xlfn._xlws.FILTER(Equipar!AC$2:AC79,Equipar!B$2:B79=B80))),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81</v>
      </c>
      <c r="D80" s="11" cm="1">
        <f t="array" aca="1" ref="D80" ca="1">_xlfn.LET(
    _xlpm.jugador, A80,
    _xlpm.idSel, AC80,
    _xlpm.invIDs, IF(B80=1,Inventario1!A:A,IF(B80=2,Inventario2!A:A,IF(B80=3,Inventario3!A:A,IF(B80=4,Inventario4!A:A,IF(B80=5,Inventario5!A:A,Inventario6!A:A))))),
    _xlpm.invCalidad, IF(B80=1,Inventario1!B:B,IF(B80=2,Inventario2!B:B,IF(B80=3,Inventario3!B:B,IF(B80=4,Inventario4!B:B,IF(B80=5,Inventario5!B:B,Inventario6!B:B))))),
    _xlpm.invTipos, IF(B80=1,Inventario1!C:C,IF(B80=2,Inventario2!C:C,IF(B80=3,Inventario3!C:C,IF(B80=4,Inventario4!C:C,IF(B80=5,Inventario5!C:C,Inventario6!C:C))))),
    _xlpm.invStats, IF(B80=1,Inventario1!D:H,IF(B80=2,Inventario2!D:H,IF(B80=3,Inventario3!D:H,IF(B80=4,Inventario4!D:H,IF(B80=5,Inventario5!D:H,Inventario6!D:H))))),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IF(ROW(A80)=2,"",IF(_xlfn._xlws.FILTER(Equipar!AC$2:AC79,Equipar!B$2:B79=B80)={0},"",_xlfn._xlws.FILTER(Equipar!AC$2:AC79,Equipar!B$2:B79=B80))),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20</v>
      </c>
      <c r="E80" s="11" cm="1">
        <f t="array" ref="E80">_xlfn.LET(
    _xlpm.jugador, A80,
    _xlpm.idSel, AC80,
    _xlpm.invIDs, IF(B80=1,Inventario1!A:A,IF(B80=2,Inventario2!A:A,IF(B80=3,Inventario3!A:A,IF(B80=4,Inventario4!A:A,IF(B80=5,Inventario5!A:A,Inventario6!A:A))))),
    _xlpm.invCalidad, IF(B80=1,Inventario1!B:B,IF(B80=2,Inventario2!B:B,IF(B80=3,Inventario3!B:B,IF(B80=4,Inventario4!B:B,IF(B80=5,Inventario5!B:B,Inventario6!B:B))))),
    _xlpm.invTipos, IF(B80=1,Inventario1!C:C,IF(B80=2,Inventario2!C:C,IF(B80=3,Inventario3!C:C,IF(B80=4,Inventario4!C:C,IF(B80=5,Inventario5!C:C,Inventario6!C:C))))),
    _xlpm.invStats, IF(B80=1,Inventario1!D:H,IF(B80=2,Inventario2!D:H,IF(B80=3,Inventario3!D:H,IF(B80=4,Inventario4!D:H,IF(B80=5,Inventario5!D:H,Inventario6!D:H))))),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IF(ROW(A80)=2,"",IF(_xlfn._xlws.FILTER(Equipar!AC$2:AC79,Equipar!B$2:B79=B80)={0},"",_xlfn._xlws.FILTER(Equipar!AC$2:AC79,Equipar!B$2:B79=B80))),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91</v>
      </c>
      <c r="F80" s="11" t="str" cm="1">
        <f t="array" aca="1" ref="F80" ca="1">_xlfn.LET(
    _xlpm.jugador, B80,
    _xlpm.idSel, AD80,
    _xlpm.invIDs, IF(C80=1,Inventario1!B:B,IF(C80=2,Inventario2!B:B,IF(C80=3,Inventario3!B:B,IF(C80=4,Inventario4!B:B,IF(C80=5,Inventario5!B:B,Inventario6!B:B))))),
    _xlpm.invCalidad, IF(C80=1,Inventario1!C:C,IF(C80=2,Inventario2!C:C,IF(C80=3,Inventario3!C:C,IF(C80=4,Inventario4!C:C,IF(C80=5,Inventario5!C:C,Inventario6!C:C))))),
    _xlpm.invTipos, IF(C80=1,Inventario1!D:D,IF(C80=2,Inventario2!D:D,IF(C80=3,Inventario3!D:D,IF(C80=4,Inventario4!D:D,IF(C80=5,Inventario5!D:D,Inventario6!D:D))))),
    _xlpm.invStats, IF(C80=1,Inventario1!E:I,IF(C80=2,Inventario2!E:I,IF(C80=3,Inventario3!E:I,IF(C80=4,Inventario4!E:I,IF(C80=5,Inventario5!E:I,Inventario6!E:I))))),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IF(ROW(B80)=2,"",IF(_xlfn._xlws.FILTER(Equipar!AD$2:AD79,Equipar!C$2:C79=C80)={0},"",_xlfn._xlws.FILTER(Equipar!AD$2:AD79,Equipar!C$2:C79=C80))),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80" s="10" cm="1">
        <f t="array" aca="1" ref="G80" ca="1">_xlfn.LET(
    _xlpm.jugador, A80,
    _xlpm.idSel, AC80,
    _xlpm.invIDs, IF(B80=1,Inventario1!A:A,IF(B80=2,Inventario2!A:A,IF(B80=3,Inventario3!A:A,IF(B80=4,Inventario4!A:A,IF(B80=5,Inventario5!A:A,Inventario6!A:A))))),
    _xlpm.invCalidad, IF(B80=1,Inventario1!B:B,IF(B80=2,Inventario2!B:B,IF(B80=3,Inventario3!B:B,IF(B80=4,Inventario4!B:B,IF(B80=5,Inventario5!B:B,Inventario6!B:B))))),
    _xlpm.invTipos, IF(B80=1,Inventario1!C:C,IF(B80=2,Inventario2!C:C,IF(B80=3,Inventario3!C:C,IF(B80=4,Inventario4!C:C,IF(B80=5,Inventario5!C:C,Inventario6!C:C))))),
    _xlpm.invStats, IF(B80=1,Inventario1!D:H,IF(B80=2,Inventario2!D:H,IF(B80=3,Inventario3!D:H,IF(B80=4,Inventario4!D:H,IF(B80=5,Inventario5!D:H,Inventario6!D:H))))),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IF(ROW(A80)=2,"",IF(_xlfn._xlws.FILTER(Equipar!AC$2:AC79,Equipar!B$2:B79=B80)={0},"",_xlfn._xlws.FILTER(Equipar!AC$2:AC79,Equipar!B$2:B79=B80))),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H80" s="11" cm="1">
        <f t="array" aca="1" ref="H80" ca="1">_xlfn.LET(
    _xlpm.jugador, A80,
    _xlpm.idSel, AC80,
    _xlpm.invIDs, IF(B80=1,Inventario1!A:A,IF(B80=2,Inventario2!A:A,IF(B80=3,Inventario3!A:A,IF(B80=4,Inventario4!A:A,IF(B80=5,Inventario5!A:A,Inventario6!A:A))))),
    _xlpm.invCalidad, IF(B80=1,Inventario1!B:B,IF(B80=2,Inventario2!B:B,IF(B80=3,Inventario3!B:B,IF(B80=4,Inventario4!B:B,IF(B80=5,Inventario5!B:B,Inventario6!B:B))))),
    _xlpm.invTipos, IF(B80=1,Inventario1!C:C,IF(B80=2,Inventario2!C:C,IF(B80=3,Inventario3!C:C,IF(B80=4,Inventario4!C:C,IF(B80=5,Inventario5!C:C,Inventario6!C:C))))),
    _xlpm.invStats, IF(B80=1,Inventario1!D:H,IF(B80=2,Inventario2!D:H,IF(B80=3,Inventario3!D:H,IF(B80=4,Inventario4!D:H,IF(B80=5,Inventario5!D:H,Inventario6!D:H))))),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IF(ROW(A80)=2,"",IF(_xlfn._xlws.FILTER(Equipar!AC$2:AC79,Equipar!B$2:B79=B80)={0},"",_xlfn._xlws.FILTER(Equipar!AC$2:AC79,Equipar!B$2:B79=B80))),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I80" s="11" cm="1">
        <f t="array" ref="I80">_xlfn.LET(
    _xlpm.jugador, A80,
    _xlpm.idSel, AC80,
    _xlpm.invIDs, IF(B80=1,Inventario1!A:A,IF(B80=2,Inventario2!A:A,IF(B80=3,Inventario3!A:A,IF(B80=4,Inventario4!A:A,IF(B80=5,Inventario5!A:A,Inventario6!A:A))))),
    _xlpm.invCalidad, IF(B80=1,Inventario1!B:B,IF(B80=2,Inventario2!B:B,IF(B80=3,Inventario3!B:B,IF(B80=4,Inventario4!B:B,IF(B80=5,Inventario5!B:B,Inventario6!B:B))))),
    _xlpm.invTipos, IF(B80=1,Inventario1!C:C,IF(B80=2,Inventario2!C:C,IF(B80=3,Inventario3!C:C,IF(B80=4,Inventario4!C:C,IF(B80=5,Inventario5!C:C,Inventario6!C:C))))),
    _xlpm.invStats, IF(B80=1,Inventario1!D:H,IF(B80=2,Inventario2!D:H,IF(B80=3,Inventario3!D:H,IF(B80=4,Inventario4!D:H,IF(B80=5,Inventario5!D:H,Inventario6!D:H))))),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IF(ROW(A80)=2,"",IF(_xlfn._xlws.FILTER(Equipar!AC$2:AC79,Equipar!B$2:B79=B80)={0},"",_xlfn._xlws.FILTER(Equipar!AC$2:AC79,Equipar!B$2:B79=B80))),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59.85</v>
      </c>
      <c r="J80" s="11" cm="1">
        <f t="array" aca="1" ref="J80" ca="1">_xlfn.LET(
    _xlpm.jugador, B80,
    _xlpm.idSel, AD80,
    _xlpm.invIDs, IF(C80=1,Inventario1!B:B,IF(C80=2,Inventario2!B:B,IF(C80=3,Inventario3!B:B,IF(C80=4,Inventario4!B:B,IF(C80=5,Inventario5!B:B,Inventario6!B:B))))),
    _xlpm.invCalidad, IF(C80=1,Inventario1!C:C,IF(C80=2,Inventario2!C:C,IF(C80=3,Inventario3!C:C,IF(C80=4,Inventario4!C:C,IF(C80=5,Inventario5!C:C,Inventario6!C:C))))),
    _xlpm.invTipos, IF(C80=1,Inventario1!D:D,IF(C80=2,Inventario2!D:D,IF(C80=3,Inventario3!D:D,IF(C80=4,Inventario4!D:D,IF(C80=5,Inventario5!D:D,Inventario6!D:D))))),
    _xlpm.invStats, IF(C80=1,Inventario1!E:I,IF(C80=2,Inventario2!E:I,IF(C80=3,Inventario3!E:I,IF(C80=4,Inventario4!E:I,IF(C80=5,Inventario5!E:I,Inventario6!E:I))))),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IF(ROW(B80)=2,"",IF(_xlfn._xlws.FILTER(Equipar!AD$2:AD79,Equipar!C$2:C79=C80)={0},"",_xlfn._xlws.FILTER(Equipar!AD$2:AD79,Equipar!C$2:C79=C80))),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80" s="11">
        <f t="shared" ca="1" si="4"/>
        <v>11.969999999999999</v>
      </c>
      <c r="L80" s="11">
        <f t="shared" ca="1" si="5"/>
        <v>35.910000000000004</v>
      </c>
      <c r="M80" s="11">
        <f t="shared" ca="1" si="5"/>
        <v>83.79</v>
      </c>
      <c r="N80" s="11">
        <f t="shared" ca="1" si="6"/>
        <v>23.940000000000005</v>
      </c>
      <c r="O80" s="11">
        <f t="shared" ca="1" si="6"/>
        <v>59.85</v>
      </c>
      <c r="P80" s="10" cm="1">
        <f t="array" aca="1" ref="P80" ca="1">_xlfn.LET(
    _xlpm.ptsPrinBase, _xlfn._xlws.FILTER(G:G, A:A=A80),
    _xlpm.ptsSecBase,  _xlfn._xlws.FILTER(H:H, A:A=A80),
    _xlpm.puntosPrin, _xlpm.ptsPrinBase + _xlfn._xlws.FILTER(B:B, A:A=A80)/1000,
    _xlpm.puntosSec,  _xlpm.ptsSecBase  + _xlfn._xlws.FILTER(B:B, A:A=A80)/1000,
    _xlpm.puntosPrinValidos, SUM(--(_xlpm.ptsPrinBase&gt;0)),
    _xlpm.puntosSecValidos,  SUM(--(_xlpm.ptsSecBase&gt;0)),
    _xlpm.clave, K80 + B80/1000,
    _xlpm.claves, _xlfn._xlws.FILTER(K:K + B:B/1000, A:A=A80),
    IF(AND(_xlpm.puntosPrinValidos&gt;=4,_xlpm.puntosSecValidos&gt;=2),IF(
        SUM(--(_xlpm.claves &gt; _xlpm.clave)) &lt; 4,
        C80,
        D80
    ),"No disp")
)</f>
        <v>81</v>
      </c>
      <c r="Q80" s="10" cm="1">
        <f t="array" aca="1" ref="Q80" ca="1">_xlfn.LET(
    _xlpm.puntosPrin, _xlfn._xlws.FILTER(G:G + B:B/1000, A:A=A80),
    _xlpm.puntosPrinValidos, SUM(--(_xlpm.puntosPrin&gt;1)),
    _xlpm.puntosTer, _xlfn._xlws.FILTER(I:I + B:B/1000, A:A=A80),
    _xlpm.puntosTerValidos, SUM(--(_xlpm.puntosTer&gt;1)),
    _xlpm.clave, L80 + B80/1000,
    _xlpm.claves, _xlfn._xlws.FILTER(L:L + B:B/1000, A:A=A80),
    IF(AND(_xlpm.puntosPrinValidos&gt;=4,_xlpm.puntosTerValidos&gt;=2),IF(
        SUM(--(_xlpm.claves &gt; _xlpm.clave)) &lt; 4,
        C80,
        E80
    ),"No disp")
)</f>
        <v>81</v>
      </c>
      <c r="R80" s="10" t="str" cm="1">
        <f t="array" aca="1" ref="R80" ca="1">_xlfn.LET(
    _xlpm.puntosPrin, _xlfn._xlws.FILTER(G:G + B:B/1000, A:A=A80),
    _xlpm.puntosPrinValidos, SUM(--(_xlpm.puntosPrin&gt;1)),
    _xlpm.puntosTer, _xlfn._xlws.FILTER(J:J + B:B/1000, A:A=A80),
    _xlpm.puntosTerValidos, SUM(--(_xlpm.puntosTer&gt;1)),
    _xlpm.clave, M80 + B80/1000,
    _xlpm.claves, _xlfn._xlws.FILTER(M:M + B:B/1000, A:A=A80),
    IF(AND(_xlpm.puntosPrinValidos&gt;=4,_xlpm.puntosTerValidos&gt;=2),IF(
        SUM(--(_xlpm.claves &gt; _xlpm.clave)) &lt; 4,
        C80,
        F80
    ),"No disp")
)</f>
        <v>No disp</v>
      </c>
      <c r="S80" s="10" cm="1">
        <f t="array" aca="1" ref="S80" ca="1">_xlfn.LET(
    _xlpm.ptsPrinBase, _xlfn._xlws.FILTER(G:G, A:A=A80),
    _xlpm.ptsSecBase,  _xlfn._xlws.FILTER(H:H, A:A=A80),
    _xlpm.puntosPrin, _xlpm.ptsPrinBase + _xlfn._xlws.FILTER(B:B, A:A=A80)/1000,
    _xlpm.puntosSec,  _xlpm.ptsSecBase  + _xlfn._xlws.FILTER(B:B, A:A=A80)/1000,
    _xlpm.puntosPrinValidos, SUM(--(_xlpm.ptsPrinBase&gt;0)),
    _xlpm.puntosSecValidos,  SUM(--(_xlpm.ptsSecBase&gt;0)),
    _xlpm.clave, K80 + B80/1000,
    _xlpm.claves, _xlfn._xlws.FILTER(K:K + B:B/1000, A:A=A80),
    IF(
        AND(_xlpm.puntosPrinValidos&gt;=2, _xlpm.puntosSecValidos&gt;=4),
        IF(
            SUM(--(_xlpm.claves &lt; _xlpm.clave)) &lt; 4,
            D80,
            C80
        ),
        "No disp"
    )
)</f>
        <v>20</v>
      </c>
      <c r="T80" s="10" cm="1">
        <f t="array" aca="1" ref="T80" ca="1">_xlfn.LET(
    _xlpm.puntosSec, _xlfn._xlws.FILTER(H:H + B:B/1000, A:A=A80),
    _xlpm.puntosSecValidos, SUM(--(_xlpm.puntosSec&gt;1)),
    _xlpm.puntosAlt, _xlfn._xlws.FILTER(I:I + B:B/1000, A:A=A80),
    _xlpm.puntosAltValidos, SUM(--(_xlpm.puntosAlt&gt;1)),
    _xlpm.clave, N80 + B80/1000,
    _xlpm.claves, _xlfn._xlws.FILTER(N:N + B:B/1000, A:A=A80),
    IF(AND(_xlpm.puntosSecValidos&gt;=4,_xlpm.puntosAltValidos&gt;=2),IF(
        SUM(--(_xlpm.claves &gt; _xlpm.clave)) &lt; 4,
        D80,
        E80
    ),"No disp")
)</f>
        <v>20</v>
      </c>
      <c r="U80" s="10" t="str" cm="1">
        <f t="array" aca="1" ref="U80" ca="1">_xlfn.LET(
    _xlpm.puntosSec, _xlfn._xlws.FILTER(H:H + B:B/1000, A:A=A80),
    _xlpm.puntosSecValidos, SUM(--(_xlpm.puntosSec&gt;1)),
    _xlpm.puntosAlt, _xlfn._xlws.FILTER(J:J + B:B/1000, A:A=A80),
    _xlpm.puntosAltValidos, SUM(--(_xlpm.puntosAlt&gt;1)),
    _xlpm.clave, O80 + B80/1000,
    _xlpm.claves, _xlfn._xlws.FILTER(O:O + B:B/1000, A:A=A80),
    IF(AND(_xlpm.puntosSecValidos&gt;=4,_xlpm.puntosAltValidos&gt;=2),IF(
        SUM(--(_xlpm.claves &gt; _xlpm.clave)) &lt; 4,
        D80,
        F80
    ),"No disp")
)</f>
        <v>No disp</v>
      </c>
      <c r="V80" s="11" cm="1">
        <f t="array" aca="1" ref="V80" ca="1">_xlfn.LET(
_xlpm.PrinIDs,_xlfn._xlws.FILTER(C:C,(A:A=A80)),
_xlpm.SecIDs,_xlfn._xlws.FILTER(D:D,(A:A=A80)),
_xlpm.TerIDs,_xlfn._xlws.FILTER(E:E,A:A=A80),
_xlpm.CuaIDs,_xlfn._xlws.FILTER(F:F,(A:A=A80)),
_xlpm.PrinPts,_xlfn._xlws.FILTER(G:G,(A:A=A80)),
_xlpm.SecPts,_xlfn._xlws.FILTER(H:H,(A:A=A80)),
_xlpm.TerPts,_xlfn._xlws.FILTER(I:I,(A:A=A80)),
_xlpm.CuaPts,_xlfn._xlws.FILTER(J:J,(A:A=A80)),
_xlpm.PSIds,_xlfn._xlws.FILTER(P:P,A:A=A80),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449.37</v>
      </c>
      <c r="W80" s="11" cm="1">
        <f t="array" aca="1" ref="W80" ca="1">_xlfn.LET(
_xlpm.PrinIDs,_xlfn._xlws.FILTER(C:C,(A:A=A80)),
_xlpm.SecIDs,_xlfn._xlws.FILTER(D:D,(A:A=A80)),
_xlpm.TerIDs,_xlfn._xlws.FILTER(E:E,A:A=A80),
_xlpm.CuaIDs,_xlfn._xlws.FILTER(F:F,(A:A=A80)),
_xlpm.PrinPts,_xlfn._xlws.FILTER(G:G,(A:A=A80)),
_xlpm.SecPts,_xlfn._xlws.FILTER(H:H,(A:A=A80)),
_xlpm.TerPts,_xlfn._xlws.FILTER(I:I,(A:A=A80)),
_xlpm.CuaPts,_xlfn._xlws.FILTER(J:J,(A:A=A80)),
_xlpm.PTIds,_xlfn._xlws.FILTER(Q:Q,A:A=A80),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458.01</v>
      </c>
      <c r="X80" s="11" cm="1">
        <f t="array" aca="1" ref="X80" ca="1">_xlfn.LET(
_xlpm.PrinIDs,_xlfn._xlws.FILTER(C:C,(A:A=A80)),
_xlpm.SecIDs,_xlfn._xlws.FILTER(D:D,(A:A=A80)),
_xlpm.TerIDs,_xlfn._xlws.FILTER(E:E,A:A=A80),
_xlpm.CuaIDs,_xlfn._xlws.FILTER(F:F,(A:A=A80)),
_xlpm.PrinPts,_xlfn._xlws.FILTER(G:G,(A:A=A80)),
_xlpm.SecPts,_xlfn._xlws.FILTER(H:H,(A:A=A80)),
_xlpm.TerPts,_xlfn._xlws.FILTER(I:I,(A:A=A80)),
_xlpm.CuaPts,_xlfn._xlws.FILTER(J:J,(A:A=A80)),
_xlpm.PCIds,_xlfn._xlws.FILTER(R:R,A:A=A80),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80" s="11" cm="1">
        <f t="array" aca="1" ref="Y80" ca="1">_xlfn.LET(
_xlpm.PrinIDs,_xlfn._xlws.FILTER(C:C,(A:A=A80)),
_xlpm.SecIDs,_xlfn._xlws.FILTER(D:D,(A:A=A80)),
_xlpm.AltIDs,_xlfn._xlws.FILTER(E:E,A:A=A80),
_xlpm.PrinPts,_xlfn._xlws.FILTER(G:G,(A:A=A80)),
_xlpm.SecPts,_xlfn._xlws.FILTER(H:H,(A:A=A80)),
_xlpm.AltPts,_xlfn._xlws.FILTER(I:I,(A:A=A80)),
_xlpm.SPIds,_xlfn._xlws.FILTER(S:S,A:A=A80),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428.40000000000003</v>
      </c>
      <c r="Z80" s="11" cm="1">
        <f t="array" aca="1" ref="Z80" ca="1">_xlfn.LET(
_xlpm.PrinIDs,_xlfn._xlws.FILTER(C:C,(A:A=A80)),
_xlpm.SecIDs,_xlfn._xlws.FILTER(D:D,(A:A=A80)),
_xlpm.TerIDs,_xlfn._xlws.FILTER(E:E,A:A=A80),
_xlpm.CuaIDs,_xlfn._xlws.FILTER(F:F,(A:A=A80)),
_xlpm.PrinPts,_xlfn._xlws.FILTER(G:G,(A:A=A80)),
_xlpm.SecPts,_xlfn._xlws.FILTER(H:H,(A:A=A80)),
_xlpm.TerPts,_xlfn._xlws.FILTER(I:I,(A:A=A80)),
_xlpm.CuaPts,_xlfn._xlws.FILTER(J:J,(A:A=A80)),
_xlpm.STIds,_xlfn._xlws.FILTER(T:T,A:A=A80),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431.19000000000005</v>
      </c>
      <c r="AA80" s="11" cm="1">
        <f t="array" aca="1" ref="AA80" ca="1">_xlfn.LET(
_xlpm.PrinIDs,_xlfn._xlws.FILTER(C:C,(A:A=A80)),
_xlpm.SecIDs,_xlfn._xlws.FILTER(D:D,(A:A=A80)),
_xlpm.TerIDs,_xlfn._xlws.FILTER(E:E,A:A=A80),
_xlpm.CuaIDs,_xlfn._xlws.FILTER(F:F,(A:A=A80)),
_xlpm.PrinPts,_xlfn._xlws.FILTER(G:G,(A:A=A80)),
_xlpm.SecPts,_xlfn._xlws.FILTER(H:H,(A:A=A80)),
_xlpm.TerPts,_xlfn._xlws.FILTER(I:I,(A:A=A80)),
_xlpm.CuaPts,_xlfn._xlws.FILTER(J:J,(A:A=A80)),
_xlpm.SCIds,_xlfn._xlws.FILTER(U:U,A:A=A80),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80" s="10">
        <f t="shared" ca="1" si="7"/>
        <v>81</v>
      </c>
      <c r="AC80" s="10">
        <v>81</v>
      </c>
      <c r="AD80" s="11"/>
      <c r="AE80" s="10" t="str">
        <f ca="1">IF(ISNUMBER(AC80),
IF($B80=1,VLOOKUP($AC80,Inventario1!$A:$H,2),
IF($B80=2,VLOOKUP($AC80,Inventario2!$A:$H,2),
IF($B80=3,VLOOKUP($AC80,Inventario3!$A:$H,2),
IF($B80=4,VLOOKUP($AC80,Inventario4!$A:$H,2),
IF($B80=5,VLOOKUP($AC80,Inventario5!$A:$H,2),
VLOOKUP($AC80,Inventario6!$A:$H,2)
))))),"No equipado")</f>
        <v>Legendario</v>
      </c>
      <c r="AF80" s="10" t="str">
        <f ca="1">IF(ISNUMBER(AC80),
IF($B80=1,VLOOKUP($AC80,Inventario1!$A:$H,3),
IF($B80=2,VLOOKUP($AC80,Inventario2!$A:$H,3),
IF($B80=3,VLOOKUP($AC80,Inventario3!$A:$H,3),
IF($B80=4,VLOOKUP($AC80,Inventario4!$A:$H,3),
IF($B80=5,VLOOKUP($AC80,Inventario5!$A:$H,3),
VLOOKUP($AC80,Inventario6!$A:$H,3)
))))),"")</f>
        <v>Guardia contundente</v>
      </c>
      <c r="AG80" s="10" t="str">
        <f ca="1">IF(ISNUMBER(AC80),
IF($B80=1,VLOOKUP($AC80,Inventario1!$A:$H,4),
IF($B80=2,VLOOKUP($AC80,Inventario2!$A:$H,4),
IF($B80=3,VLOOKUP($AC80,Inventario3!$A:$H,4),
IF($B80=4,VLOOKUP($AC80,Inventario4!$A:$H,4),
IF($B80=5,VLOOKUP($AC80,Inventario5!$A:$H,4),
VLOOKUP($AC80,Inventario6!$A:$H,4)
))))),"")</f>
        <v>Bloqueo</v>
      </c>
      <c r="AH80" s="10" t="str">
        <f ca="1">IF(ISNUMBER(AC80),
IF($B80=1,VLOOKUP($AC80,Inventario1!$A:$H,5),
IF($B80=2,VLOOKUP($AC80,Inventario2!$A:$H,5),
IF($B80=3,VLOOKUP($AC80,Inventario3!$A:$H,5),
IF($B80=4,VLOOKUP($AC80,Inventario4!$A:$H,5),
IF($B80=5,VLOOKUP($AC80,Inventario5!$A:$H,5),
VLOOKUP($AC80,Inventario6!$A:$H,5)
))))),"")</f>
        <v>Ataque rápido</v>
      </c>
      <c r="AI80" s="10" t="str">
        <f ca="1">IF(ISNUMBER(AC80),
IF($B80=1,VLOOKUP($AC80,Inventario1!$A:$H,6),
IF($B80=2,VLOOKUP($AC80,Inventario2!$A:$H,6),
IF($B80=3,VLOOKUP($AC80,Inventario3!$A:$H,6),
IF($B80=4,VLOOKUP($AC80,Inventario4!$A:$H,6),
IF($B80=5,VLOOKUP($AC80,Inventario5!$A:$H,6),
VLOOKUP($AC80,Inventario6!$A:$H,6)
))))),"")</f>
        <v>Bloqueo</v>
      </c>
      <c r="AJ80" s="10" t="str">
        <f ca="1">IF(ISNUMBER(AC80),
IF($B80=1,VLOOKUP($AC80,Inventario1!$A:$H,7),
IF($B80=2,VLOOKUP($AC80,Inventario2!$A:$H,7),
IF($B80=3,VLOOKUP($AC80,Inventario3!$A:$H,7),
IF($B80=4,VLOOKUP($AC80,Inventario4!$A:$H,7),
IF($B80=5,VLOOKUP($AC80,Inventario5!$A:$H,7),
VLOOKUP($AC80,Inventario6!$A:$H,7)
))))),"")</f>
        <v>Ataque poderoso</v>
      </c>
      <c r="AK80" s="12" t="str">
        <f ca="1">IF(ISNUMBER(AC80),
IF($B80=1,VLOOKUP($AC80,Inventario1!$A:$H,8),
IF($B80=2,VLOOKUP($AC80,Inventario2!$A:$H,8),
IF($B80=3,VLOOKUP($AC80,Inventario3!$A:$H,8),
IF($B80=4,VLOOKUP($AC80,Inventario4!$A:$H,8),
IF($B80=5,VLOOKUP($AC80,Inventario5!$A:$H,8),
VLOOKUP($AC80,Inventario6!$A:$H,8)
))))),"")</f>
        <v>Ataque poderoso</v>
      </c>
    </row>
    <row r="81" spans="1:37" x14ac:dyDescent="0.25">
      <c r="A81" s="21" t="s">
        <v>71</v>
      </c>
      <c r="B81" s="3">
        <v>2</v>
      </c>
      <c r="C81" s="14" cm="1">
        <f t="array" ref="C81">_xlfn.LET(
    _xlpm.jugador, A81,
    _xlpm.idSel, AC81,
    _xlpm.invIDs, IF(B81=1,Inventario1!A:A,IF(B81=2,Inventario2!A:A,IF(B81=3,Inventario3!A:A,IF(B81=4,Inventario4!A:A,IF(B81=5,Inventario5!A:A,Inventario6!A:A))))),
    _xlpm.invCalidad, IF(B81=1,Inventario1!B:B,IF(B81=2,Inventario2!B:B,IF(B81=3,Inventario3!B:B,IF(B81=4,Inventario4!B:B,IF(B81=5,Inventario5!B:B,Inventario6!B:B))))),
    _xlpm.invTipos, IF(B81=1,Inventario1!C:C,IF(B81=2,Inventario2!C:C,IF(B81=3,Inventario3!C:C,IF(B81=4,Inventario4!C:C,IF(B81=5,Inventario5!C:C,Inventario6!C:C))))),
    _xlpm.invStats, IF(B81=1,Inventario1!D:H,IF(B81=2,Inventario2!D:H,IF(B81=3,Inventario3!D:H,IF(B81=4,Inventario4!D:H,IF(B81=5,Inventario5!D:H,Inventario6!D:H))))),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IF(ROW(A81)=2,"",IF(_xlfn._xlws.FILTER(Equipar!AC$2:AC80,Equipar!B$2:B80=B81)={0},"",_xlfn._xlws.FILTER(Equipar!AC$2:AC80,Equipar!B$2:B80=B81))),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152</v>
      </c>
      <c r="D81" s="4" cm="1">
        <f t="array" aca="1" ref="D81" ca="1">_xlfn.LET(
    _xlpm.jugador, A81,
    _xlpm.idSel, AC81,
    _xlpm.invIDs, IF(B81=1,Inventario1!A:A,IF(B81=2,Inventario2!A:A,IF(B81=3,Inventario3!A:A,IF(B81=4,Inventario4!A:A,IF(B81=5,Inventario5!A:A,Inventario6!A:A))))),
    _xlpm.invCalidad, IF(B81=1,Inventario1!B:B,IF(B81=2,Inventario2!B:B,IF(B81=3,Inventario3!B:B,IF(B81=4,Inventario4!B:B,IF(B81=5,Inventario5!B:B,Inventario6!B:B))))),
    _xlpm.invTipos, IF(B81=1,Inventario1!C:C,IF(B81=2,Inventario2!C:C,IF(B81=3,Inventario3!C:C,IF(B81=4,Inventario4!C:C,IF(B81=5,Inventario5!C:C,Inventario6!C:C))))),
    _xlpm.invStats, IF(B81=1,Inventario1!D:H,IF(B81=2,Inventario2!D:H,IF(B81=3,Inventario3!D:H,IF(B81=4,Inventario4!D:H,IF(B81=5,Inventario5!D:H,Inventario6!D:H))))),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IF(ROW(A81)=2,"",IF(_xlfn._xlws.FILTER(Equipar!AC$2:AC80,Equipar!B$2:B80=B81)={0},"",_xlfn._xlws.FILTER(Equipar!AC$2:AC80,Equipar!B$2:B80=B81))),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48</v>
      </c>
      <c r="E81" s="4" cm="1">
        <f t="array" ref="E81">_xlfn.LET(
    _xlpm.jugador, A81,
    _xlpm.idSel, AC81,
    _xlpm.invIDs, IF(B81=1,Inventario1!A:A,IF(B81=2,Inventario2!A:A,IF(B81=3,Inventario3!A:A,IF(B81=4,Inventario4!A:A,IF(B81=5,Inventario5!A:A,Inventario6!A:A))))),
    _xlpm.invCalidad, IF(B81=1,Inventario1!B:B,IF(B81=2,Inventario2!B:B,IF(B81=3,Inventario3!B:B,IF(B81=4,Inventario4!B:B,IF(B81=5,Inventario5!B:B,Inventario6!B:B))))),
    _xlpm.invTipos, IF(B81=1,Inventario1!C:C,IF(B81=2,Inventario2!C:C,IF(B81=3,Inventario3!C:C,IF(B81=4,Inventario4!C:C,IF(B81=5,Inventario5!C:C,Inventario6!C:C))))),
    _xlpm.invStats, IF(B81=1,Inventario1!D:H,IF(B81=2,Inventario2!D:H,IF(B81=3,Inventario3!D:H,IF(B81=4,Inventario4!D:H,IF(B81=5,Inventario5!D:H,Inventario6!D:H))))),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IF(ROW(A81)=2,"",IF(_xlfn._xlws.FILTER(Equipar!AC$2:AC80,Equipar!B$2:B80=B81)={0},"",_xlfn._xlws.FILTER(Equipar!AC$2:AC80,Equipar!B$2:B80=B81))),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68</v>
      </c>
      <c r="F81" s="4" t="str" cm="1">
        <f t="array" aca="1" ref="F81" ca="1">_xlfn.LET(
    _xlpm.jugador, B81,
    _xlpm.idSel, AD81,
    _xlpm.invIDs, IF(C81=1,Inventario1!B:B,IF(C81=2,Inventario2!B:B,IF(C81=3,Inventario3!B:B,IF(C81=4,Inventario4!B:B,IF(C81=5,Inventario5!B:B,Inventario6!B:B))))),
    _xlpm.invCalidad, IF(C81=1,Inventario1!C:C,IF(C81=2,Inventario2!C:C,IF(C81=3,Inventario3!C:C,IF(C81=4,Inventario4!C:C,IF(C81=5,Inventario5!C:C,Inventario6!C:C))))),
    _xlpm.invTipos, IF(C81=1,Inventario1!D:D,IF(C81=2,Inventario2!D:D,IF(C81=3,Inventario3!D:D,IF(C81=4,Inventario4!D:D,IF(C81=5,Inventario5!D:D,Inventario6!D:D))))),
    _xlpm.invStats, IF(C81=1,Inventario1!E:I,IF(C81=2,Inventario2!E:I,IF(C81=3,Inventario3!E:I,IF(C81=4,Inventario4!E:I,IF(C81=5,Inventario5!E:I,Inventario6!E:I))))),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IF(ROW(B81)=2,"",IF(_xlfn._xlws.FILTER(Equipar!AD$2:AD80,Equipar!C$2:C80=C81)={0},"",_xlfn._xlws.FILTER(Equipar!AD$2:AD80,Equipar!C$2:C80=C81))),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81" s="14" cm="1">
        <f t="array" ref="G81">_xlfn.LET(
    _xlpm.jugador, A81,
    _xlpm.idSel, AC81,
    _xlpm.invIDs, IF(B81=1,Inventario1!A:A,IF(B81=2,Inventario2!A:A,IF(B81=3,Inventario3!A:A,IF(B81=4,Inventario4!A:A,IF(B81=5,Inventario5!A:A,Inventario6!A:A))))),
    _xlpm.invCalidad, IF(B81=1,Inventario1!B:B,IF(B81=2,Inventario2!B:B,IF(B81=3,Inventario3!B:B,IF(B81=4,Inventario4!B:B,IF(B81=5,Inventario5!B:B,Inventario6!B:B))))),
    _xlpm.invTipos, IF(B81=1,Inventario1!C:C,IF(B81=2,Inventario2!C:C,IF(B81=3,Inventario3!C:C,IF(B81=4,Inventario4!C:C,IF(B81=5,Inventario5!C:C,Inventario6!C:C))))),
    _xlpm.invStats, IF(B81=1,Inventario1!D:H,IF(B81=2,Inventario2!D:H,IF(B81=3,Inventario3!D:H,IF(B81=4,Inventario4!D:H,IF(B81=5,Inventario5!D:H,Inventario6!D:H))))),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IF(ROW(A81)=2,"",IF(_xlfn._xlws.FILTER(Equipar!AC$2:AC80,Equipar!B$2:B80=B81)={0},"",_xlfn._xlws.FILTER(Equipar!AC$2:AC80,Equipar!B$2:B80=B81))),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H81" s="4" cm="1">
        <f t="array" aca="1" ref="H81" ca="1">_xlfn.LET(
    _xlpm.jugador, A81,
    _xlpm.idSel, AC81,
    _xlpm.invIDs, IF(B81=1,Inventario1!A:A,IF(B81=2,Inventario2!A:A,IF(B81=3,Inventario3!A:A,IF(B81=4,Inventario4!A:A,IF(B81=5,Inventario5!A:A,Inventario6!A:A))))),
    _xlpm.invCalidad, IF(B81=1,Inventario1!B:B,IF(B81=2,Inventario2!B:B,IF(B81=3,Inventario3!B:B,IF(B81=4,Inventario4!B:B,IF(B81=5,Inventario5!B:B,Inventario6!B:B))))),
    _xlpm.invTipos, IF(B81=1,Inventario1!C:C,IF(B81=2,Inventario2!C:C,IF(B81=3,Inventario3!C:C,IF(B81=4,Inventario4!C:C,IF(B81=5,Inventario5!C:C,Inventario6!C:C))))),
    _xlpm.invStats, IF(B81=1,Inventario1!D:H,IF(B81=2,Inventario2!D:H,IF(B81=3,Inventario3!D:H,IF(B81=4,Inventario4!D:H,IF(B81=5,Inventario5!D:H,Inventario6!D:H))))),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IF(ROW(A81)=2,"",IF(_xlfn._xlws.FILTER(Equipar!AC$2:AC80,Equipar!B$2:B80=B81)={0},"",_xlfn._xlws.FILTER(Equipar!AC$2:AC80,Equipar!B$2:B80=B81))),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45</v>
      </c>
      <c r="I81" s="4" cm="1">
        <f t="array" ref="I81">_xlfn.LET(
    _xlpm.jugador, A81,
    _xlpm.idSel, AC81,
    _xlpm.invIDs, IF(B81=1,Inventario1!A:A,IF(B81=2,Inventario2!A:A,IF(B81=3,Inventario3!A:A,IF(B81=4,Inventario4!A:A,IF(B81=5,Inventario5!A:A,Inventario6!A:A))))),
    _xlpm.invCalidad, IF(B81=1,Inventario1!B:B,IF(B81=2,Inventario2!B:B,IF(B81=3,Inventario3!B:B,IF(B81=4,Inventario4!B:B,IF(B81=5,Inventario5!B:B,Inventario6!B:B))))),
    _xlpm.invTipos, IF(B81=1,Inventario1!C:C,IF(B81=2,Inventario2!C:C,IF(B81=3,Inventario3!C:C,IF(B81=4,Inventario4!C:C,IF(B81=5,Inventario5!C:C,Inventario6!C:C))))),
    _xlpm.invStats, IF(B81=1,Inventario1!D:H,IF(B81=2,Inventario2!D:H,IF(B81=3,Inventario3!D:H,IF(B81=4,Inventario4!D:H,IF(B81=5,Inventario5!D:H,Inventario6!D:H))))),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IF(ROW(A81)=2,"",IF(_xlfn._xlws.FILTER(Equipar!AC$2:AC80,Equipar!B$2:B80=B81)={0},"",_xlfn._xlws.FILTER(Equipar!AC$2:AC80,Equipar!B$2:B80=B81))),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47.88</v>
      </c>
      <c r="J81" s="4" cm="1">
        <f t="array" aca="1" ref="J81" ca="1">_xlfn.LET(
    _xlpm.jugador, B81,
    _xlpm.idSel, AD81,
    _xlpm.invIDs, IF(C81=1,Inventario1!B:B,IF(C81=2,Inventario2!B:B,IF(C81=3,Inventario3!B:B,IF(C81=4,Inventario4!B:B,IF(C81=5,Inventario5!B:B,Inventario6!B:B))))),
    _xlpm.invCalidad, IF(C81=1,Inventario1!C:C,IF(C81=2,Inventario2!C:C,IF(C81=3,Inventario3!C:C,IF(C81=4,Inventario4!C:C,IF(C81=5,Inventario5!C:C,Inventario6!C:C))))),
    _xlpm.invTipos, IF(C81=1,Inventario1!D:D,IF(C81=2,Inventario2!D:D,IF(C81=3,Inventario3!D:D,IF(C81=4,Inventario4!D:D,IF(C81=5,Inventario5!D:D,Inventario6!D:D))))),
    _xlpm.invStats, IF(C81=1,Inventario1!E:I,IF(C81=2,Inventario2!E:I,IF(C81=3,Inventario3!E:I,IF(C81=4,Inventario4!E:I,IF(C81=5,Inventario5!E:I,Inventario6!E:I))))),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IF(ROW(B81)=2,"",IF(_xlfn._xlws.FILTER(Equipar!AD$2:AD80,Equipar!C$2:C80=C81)={0},"",_xlfn._xlws.FILTER(Equipar!AD$2:AD80,Equipar!C$2:C80=C81))),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81" s="4">
        <f t="shared" ca="1" si="4"/>
        <v>18</v>
      </c>
      <c r="L81" s="4">
        <f t="shared" si="5"/>
        <v>15.119999999999997</v>
      </c>
      <c r="M81" s="4">
        <f t="shared" ca="1" si="5"/>
        <v>45</v>
      </c>
      <c r="N81" s="4">
        <f t="shared" ca="1" si="6"/>
        <v>-2.8800000000000026</v>
      </c>
      <c r="O81" s="4">
        <f t="shared" ca="1" si="6"/>
        <v>47.88</v>
      </c>
      <c r="P81" s="14" cm="1">
        <f t="array" aca="1" ref="P81" ca="1">_xlfn.LET(
    _xlpm.ptsPrinBase, _xlfn._xlws.FILTER(G:G, A:A=A81),
    _xlpm.ptsSecBase,  _xlfn._xlws.FILTER(H:H, A:A=A81),
    _xlpm.puntosPrin, _xlpm.ptsPrinBase + _xlfn._xlws.FILTER(B:B, A:A=A81)/1000,
    _xlpm.puntosSec,  _xlpm.ptsSecBase  + _xlfn._xlws.FILTER(B:B, A:A=A81)/1000,
    _xlpm.puntosPrinValidos, SUM(--(_xlpm.ptsPrinBase&gt;0)),
    _xlpm.puntosSecValidos,  SUM(--(_xlpm.ptsSecBase&gt;0)),
    _xlpm.clave, K81 + B81/1000,
    _xlpm.claves, _xlfn._xlws.FILTER(K:K + B:B/1000, A:A=A81),
    IF(AND(_xlpm.puntosPrinValidos&gt;=4,_xlpm.puntosSecValidos&gt;=2),IF(
        SUM(--(_xlpm.claves &gt; _xlpm.clave)) &lt; 4,
        C81,
        D81
    ),"No disp")
)</f>
        <v>152</v>
      </c>
      <c r="Q81" s="14" cm="1">
        <f t="array" aca="1" ref="Q81" ca="1">_xlfn.LET(
    _xlpm.puntosPrin, _xlfn._xlws.FILTER(G:G + B:B/1000, A:A=A81),
    _xlpm.puntosPrinValidos, SUM(--(_xlpm.puntosPrin&gt;1)),
    _xlpm.puntosTer, _xlfn._xlws.FILTER(I:I + B:B/1000, A:A=A81),
    _xlpm.puntosTerValidos, SUM(--(_xlpm.puntosTer&gt;1)),
    _xlpm.clave, L81 + B81/1000,
    _xlpm.claves, _xlfn._xlws.FILTER(L:L + B:B/1000, A:A=A81),
    IF(AND(_xlpm.puntosPrinValidos&gt;=4,_xlpm.puntosTerValidos&gt;=2),IF(
        SUM(--(_xlpm.claves &gt; _xlpm.clave)) &lt; 4,
        C81,
        E81
    ),"No disp")
)</f>
        <v>152</v>
      </c>
      <c r="R81" s="14" t="str" cm="1">
        <f t="array" aca="1" ref="R81" ca="1">_xlfn.LET(
    _xlpm.puntosPrin, _xlfn._xlws.FILTER(G:G + B:B/1000, A:A=A81),
    _xlpm.puntosPrinValidos, SUM(--(_xlpm.puntosPrin&gt;1)),
    _xlpm.puntosTer, _xlfn._xlws.FILTER(J:J + B:B/1000, A:A=A81),
    _xlpm.puntosTerValidos, SUM(--(_xlpm.puntosTer&gt;1)),
    _xlpm.clave, M81 + B81/1000,
    _xlpm.claves, _xlfn._xlws.FILTER(M:M + B:B/1000, A:A=A81),
    IF(AND(_xlpm.puntosPrinValidos&gt;=4,_xlpm.puntosTerValidos&gt;=2),IF(
        SUM(--(_xlpm.claves &gt; _xlpm.clave)) &lt; 4,
        C81,
        F81
    ),"No disp")
)</f>
        <v>No disp</v>
      </c>
      <c r="S81" s="14" cm="1">
        <f t="array" aca="1" ref="S81" ca="1">_xlfn.LET(
    _xlpm.ptsPrinBase, _xlfn._xlws.FILTER(G:G, A:A=A81),
    _xlpm.ptsSecBase,  _xlfn._xlws.FILTER(H:H, A:A=A81),
    _xlpm.puntosPrin, _xlpm.ptsPrinBase + _xlfn._xlws.FILTER(B:B, A:A=A81)/1000,
    _xlpm.puntosSec,  _xlpm.ptsSecBase  + _xlfn._xlws.FILTER(B:B, A:A=A81)/1000,
    _xlpm.puntosPrinValidos, SUM(--(_xlpm.ptsPrinBase&gt;0)),
    _xlpm.puntosSecValidos,  SUM(--(_xlpm.ptsSecBase&gt;0)),
    _xlpm.clave, K81 + B81/1000,
    _xlpm.claves, _xlfn._xlws.FILTER(K:K + B:B/1000, A:A=A81),
    IF(
        AND(_xlpm.puntosPrinValidos&gt;=2, _xlpm.puntosSecValidos&gt;=4),
        IF(
            SUM(--(_xlpm.claves &lt; _xlpm.clave)) &lt; 4,
            D81,
            C81
        ),
        "No disp"
    )
)</f>
        <v>152</v>
      </c>
      <c r="T81" s="14" cm="1">
        <f t="array" aca="1" ref="T81" ca="1">_xlfn.LET(
    _xlpm.puntosSec, _xlfn._xlws.FILTER(H:H + B:B/1000, A:A=A81),
    _xlpm.puntosSecValidos, SUM(--(_xlpm.puntosSec&gt;1)),
    _xlpm.puntosAlt, _xlfn._xlws.FILTER(I:I + B:B/1000, A:A=A81),
    _xlpm.puntosAltValidos, SUM(--(_xlpm.puntosAlt&gt;1)),
    _xlpm.clave, N81 + B81/1000,
    _xlpm.claves, _xlfn._xlws.FILTER(N:N + B:B/1000, A:A=A81),
    IF(AND(_xlpm.puntosSecValidos&gt;=4,_xlpm.puntosAltValidos&gt;=2),IF(
        SUM(--(_xlpm.claves &gt; _xlpm.clave)) &lt; 4,
        D81,
        E81
    ),"No disp")
)</f>
        <v>48</v>
      </c>
      <c r="U81" s="14" t="str" cm="1">
        <f t="array" aca="1" ref="U81" ca="1">_xlfn.LET(
    _xlpm.puntosSec, _xlfn._xlws.FILTER(H:H + B:B/1000, A:A=A81),
    _xlpm.puntosSecValidos, SUM(--(_xlpm.puntosSec&gt;1)),
    _xlpm.puntosAlt, _xlfn._xlws.FILTER(J:J + B:B/1000, A:A=A81),
    _xlpm.puntosAltValidos, SUM(--(_xlpm.puntosAlt&gt;1)),
    _xlpm.clave, O81 + B81/1000,
    _xlpm.claves, _xlfn._xlws.FILTER(O:O + B:B/1000, A:A=A81),
    IF(AND(_xlpm.puntosSecValidos&gt;=4,_xlpm.puntosAltValidos&gt;=2),IF(
        SUM(--(_xlpm.claves &gt; _xlpm.clave)) &lt; 4,
        D81,
        F81
    ),"No disp")
)</f>
        <v>No disp</v>
      </c>
      <c r="V81" s="4" cm="1">
        <f t="array" aca="1" ref="V81" ca="1">_xlfn.LET(
_xlpm.PrinIDs,_xlfn._xlws.FILTER(C:C,(A:A=A81)),
_xlpm.SecIDs,_xlfn._xlws.FILTER(D:D,(A:A=A81)),
_xlpm.TerIDs,_xlfn._xlws.FILTER(E:E,A:A=A81),
_xlpm.CuaIDs,_xlfn._xlws.FILTER(F:F,(A:A=A81)),
_xlpm.PrinPts,_xlfn._xlws.FILTER(G:G,(A:A=A81)),
_xlpm.SecPts,_xlfn._xlws.FILTER(H:H,(A:A=A81)),
_xlpm.TerPts,_xlfn._xlws.FILTER(I:I,(A:A=A81)),
_xlpm.CuaPts,_xlfn._xlws.FILTER(J:J,(A:A=A81)),
_xlpm.PSIds,_xlfn._xlws.FILTER(P:P,A:A=A81),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449.37</v>
      </c>
      <c r="W81" s="4" cm="1">
        <f t="array" aca="1" ref="W81" ca="1">_xlfn.LET(
_xlpm.PrinIDs,_xlfn._xlws.FILTER(C:C,(A:A=A81)),
_xlpm.SecIDs,_xlfn._xlws.FILTER(D:D,(A:A=A81)),
_xlpm.TerIDs,_xlfn._xlws.FILTER(E:E,A:A=A81),
_xlpm.CuaIDs,_xlfn._xlws.FILTER(F:F,(A:A=A81)),
_xlpm.PrinPts,_xlfn._xlws.FILTER(G:G,(A:A=A81)),
_xlpm.SecPts,_xlfn._xlws.FILTER(H:H,(A:A=A81)),
_xlpm.TerPts,_xlfn._xlws.FILTER(I:I,(A:A=A81)),
_xlpm.CuaPts,_xlfn._xlws.FILTER(J:J,(A:A=A81)),
_xlpm.PTIds,_xlfn._xlws.FILTER(Q:Q,A:A=A81),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458.01</v>
      </c>
      <c r="X81" s="4" cm="1">
        <f t="array" aca="1" ref="X81" ca="1">_xlfn.LET(
_xlpm.PrinIDs,_xlfn._xlws.FILTER(C:C,(A:A=A81)),
_xlpm.SecIDs,_xlfn._xlws.FILTER(D:D,(A:A=A81)),
_xlpm.TerIDs,_xlfn._xlws.FILTER(E:E,A:A=A81),
_xlpm.CuaIDs,_xlfn._xlws.FILTER(F:F,(A:A=A81)),
_xlpm.PrinPts,_xlfn._xlws.FILTER(G:G,(A:A=A81)),
_xlpm.SecPts,_xlfn._xlws.FILTER(H:H,(A:A=A81)),
_xlpm.TerPts,_xlfn._xlws.FILTER(I:I,(A:A=A81)),
_xlpm.CuaPts,_xlfn._xlws.FILTER(J:J,(A:A=A81)),
_xlpm.PCIds,_xlfn._xlws.FILTER(R:R,A:A=A81),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81" s="4" cm="1">
        <f t="array" aca="1" ref="Y81" ca="1">_xlfn.LET(
_xlpm.PrinIDs,_xlfn._xlws.FILTER(C:C,(A:A=A81)),
_xlpm.SecIDs,_xlfn._xlws.FILTER(D:D,(A:A=A81)),
_xlpm.AltIDs,_xlfn._xlws.FILTER(E:E,A:A=A81),
_xlpm.PrinPts,_xlfn._xlws.FILTER(G:G,(A:A=A81)),
_xlpm.SecPts,_xlfn._xlws.FILTER(H:H,(A:A=A81)),
_xlpm.AltPts,_xlfn._xlws.FILTER(I:I,(A:A=A81)),
_xlpm.SPIds,_xlfn._xlws.FILTER(S:S,A:A=A81),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428.40000000000003</v>
      </c>
      <c r="Z81" s="4" cm="1">
        <f t="array" aca="1" ref="Z81" ca="1">_xlfn.LET(
_xlpm.PrinIDs,_xlfn._xlws.FILTER(C:C,(A:A=A81)),
_xlpm.SecIDs,_xlfn._xlws.FILTER(D:D,(A:A=A81)),
_xlpm.TerIDs,_xlfn._xlws.FILTER(E:E,A:A=A81),
_xlpm.CuaIDs,_xlfn._xlws.FILTER(F:F,(A:A=A81)),
_xlpm.PrinPts,_xlfn._xlws.FILTER(G:G,(A:A=A81)),
_xlpm.SecPts,_xlfn._xlws.FILTER(H:H,(A:A=A81)),
_xlpm.TerPts,_xlfn._xlws.FILTER(I:I,(A:A=A81)),
_xlpm.CuaPts,_xlfn._xlws.FILTER(J:J,(A:A=A81)),
_xlpm.STIds,_xlfn._xlws.FILTER(T:T,A:A=A81),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431.19000000000005</v>
      </c>
      <c r="AA81" s="4" cm="1">
        <f t="array" aca="1" ref="AA81" ca="1">_xlfn.LET(
_xlpm.PrinIDs,_xlfn._xlws.FILTER(C:C,(A:A=A81)),
_xlpm.SecIDs,_xlfn._xlws.FILTER(D:D,(A:A=A81)),
_xlpm.TerIDs,_xlfn._xlws.FILTER(E:E,A:A=A81),
_xlpm.CuaIDs,_xlfn._xlws.FILTER(F:F,(A:A=A81)),
_xlpm.PrinPts,_xlfn._xlws.FILTER(G:G,(A:A=A81)),
_xlpm.SecPts,_xlfn._xlws.FILTER(H:H,(A:A=A81)),
_xlpm.TerPts,_xlfn._xlws.FILTER(I:I,(A:A=A81)),
_xlpm.CuaPts,_xlfn._xlws.FILTER(J:J,(A:A=A81)),
_xlpm.SCIds,_xlfn._xlws.FILTER(U:U,A:A=A81),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81" s="14">
        <f t="shared" ca="1" si="7"/>
        <v>152</v>
      </c>
      <c r="AC81" s="14">
        <v>152</v>
      </c>
      <c r="AD81" s="4"/>
      <c r="AE81" s="14" t="str">
        <f ca="1">IF(ISNUMBER(AC81),
IF($B81=1,VLOOKUP($AC81,Inventario1!$A:$H,2),
IF($B81=2,VLOOKUP($AC81,Inventario2!$A:$H,2),
IF($B81=3,VLOOKUP($AC81,Inventario3!$A:$H,2),
IF($B81=4,VLOOKUP($AC81,Inventario4!$A:$H,2),
IF($B81=5,VLOOKUP($AC81,Inventario5!$A:$H,2),
VLOOKUP($AC81,Inventario6!$A:$H,2)
))))),"No equipado")</f>
        <v>Épico</v>
      </c>
      <c r="AF81" s="14" t="str">
        <f ca="1">IF(ISNUMBER(AC81),
IF($B81=1,VLOOKUP($AC81,Inventario1!$A:$H,3),
IF($B81=2,VLOOKUP($AC81,Inventario2!$A:$H,3),
IF($B81=3,VLOOKUP($AC81,Inventario3!$A:$H,3),
IF($B81=4,VLOOKUP($AC81,Inventario4!$A:$H,3),
IF($B81=5,VLOOKUP($AC81,Inventario5!$A:$H,3),
VLOOKUP($AC81,Inventario6!$A:$H,3)
))))),"")</f>
        <v>Guardia contundente</v>
      </c>
      <c r="AG81" s="14" t="str">
        <f ca="1">IF(ISNUMBER(AC81),
IF($B81=1,VLOOKUP($AC81,Inventario1!$A:$H,4),
IF($B81=2,VLOOKUP($AC81,Inventario2!$A:$H,4),
IF($B81=3,VLOOKUP($AC81,Inventario3!$A:$H,4),
IF($B81=4,VLOOKUP($AC81,Inventario4!$A:$H,4),
IF($B81=5,VLOOKUP($AC81,Inventario5!$A:$H,4),
VLOOKUP($AC81,Inventario6!$A:$H,4)
))))),"")</f>
        <v>Ataque rápido</v>
      </c>
      <c r="AH81" s="14" t="str">
        <f ca="1">IF(ISNUMBER(AC81),
IF($B81=1,VLOOKUP($AC81,Inventario1!$A:$H,5),
IF($B81=2,VLOOKUP($AC81,Inventario2!$A:$H,5),
IF($B81=3,VLOOKUP($AC81,Inventario3!$A:$H,5),
IF($B81=4,VLOOKUP($AC81,Inventario4!$A:$H,5),
IF($B81=5,VLOOKUP($AC81,Inventario5!$A:$H,5),
VLOOKUP($AC81,Inventario6!$A:$H,5)
))))),"")</f>
        <v>Colocación</v>
      </c>
      <c r="AI81" s="14" t="str">
        <f ca="1">IF(ISNUMBER(AC81),
IF($B81=1,VLOOKUP($AC81,Inventario1!$A:$H,6),
IF($B81=2,VLOOKUP($AC81,Inventario2!$A:$H,6),
IF($B81=3,VLOOKUP($AC81,Inventario3!$A:$H,6),
IF($B81=4,VLOOKUP($AC81,Inventario4!$A:$H,6),
IF($B81=5,VLOOKUP($AC81,Inventario5!$A:$H,6),
VLOOKUP($AC81,Inventario6!$A:$H,6)
))))),"")</f>
        <v>Ataque rápido</v>
      </c>
      <c r="AJ81" s="14" t="str">
        <f ca="1">IF(ISNUMBER(AC81),
IF($B81=1,VLOOKUP($AC81,Inventario1!$A:$H,7),
IF($B81=2,VLOOKUP($AC81,Inventario2!$A:$H,7),
IF($B81=3,VLOOKUP($AC81,Inventario3!$A:$H,7),
IF($B81=4,VLOOKUP($AC81,Inventario4!$A:$H,7),
IF($B81=5,VLOOKUP($AC81,Inventario5!$A:$H,7),
VLOOKUP($AC81,Inventario6!$A:$H,7)
))))),"")</f>
        <v>Bloqueo</v>
      </c>
      <c r="AK81" s="15">
        <f ca="1">IF(ISNUMBER(AC81),
IF($B81=1,VLOOKUP($AC81,Inventario1!$A:$H,8),
IF($B81=2,VLOOKUP($AC81,Inventario2!$A:$H,8),
IF($B81=3,VLOOKUP($AC81,Inventario3!$A:$H,8),
IF($B81=4,VLOOKUP($AC81,Inventario4!$A:$H,8),
IF($B81=5,VLOOKUP($AC81,Inventario5!$A:$H,8),
VLOOKUP($AC81,Inventario6!$A:$H,8)
))))),"")</f>
        <v>0</v>
      </c>
    </row>
    <row r="82" spans="1:37" x14ac:dyDescent="0.25">
      <c r="A82" s="21" t="s">
        <v>71</v>
      </c>
      <c r="B82" s="3">
        <v>3</v>
      </c>
      <c r="C82" s="14" cm="1">
        <f t="array" aca="1" ref="C82" ca="1">_xlfn.LET(
    _xlpm.jugador, A82,
    _xlpm.idSel, AC82,
    _xlpm.invIDs, IF(B82=1,Inventario1!A:A,IF(B82=2,Inventario2!A:A,IF(B82=3,Inventario3!A:A,IF(B82=4,Inventario4!A:A,IF(B82=5,Inventario5!A:A,Inventario6!A:A))))),
    _xlpm.invCalidad, IF(B82=1,Inventario1!B:B,IF(B82=2,Inventario2!B:B,IF(B82=3,Inventario3!B:B,IF(B82=4,Inventario4!B:B,IF(B82=5,Inventario5!B:B,Inventario6!B:B))))),
    _xlpm.invTipos, IF(B82=1,Inventario1!C:C,IF(B82=2,Inventario2!C:C,IF(B82=3,Inventario3!C:C,IF(B82=4,Inventario4!C:C,IF(B82=5,Inventario5!C:C,Inventario6!C:C))))),
    _xlpm.invStats, IF(B82=1,Inventario1!D:H,IF(B82=2,Inventario2!D:H,IF(B82=3,Inventario3!D:H,IF(B82=4,Inventario4!D:H,IF(B82=5,Inventario5!D:H,Inventario6!D:H))))),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IF(ROW(A82)=2,"",IF(_xlfn._xlws.FILTER(Equipar!AC$2:AC81,Equipar!B$2:B81=B82)={0},"",_xlfn._xlws.FILTER(Equipar!AC$2:AC81,Equipar!B$2:B81=B82))),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233</v>
      </c>
      <c r="D82" s="4" cm="1">
        <f t="array" ref="D82">_xlfn.LET(
    _xlpm.jugador, A82,
    _xlpm.idSel, AC82,
    _xlpm.invIDs, IF(B82=1,Inventario1!A:A,IF(B82=2,Inventario2!A:A,IF(B82=3,Inventario3!A:A,IF(B82=4,Inventario4!A:A,IF(B82=5,Inventario5!A:A,Inventario6!A:A))))),
    _xlpm.invCalidad, IF(B82=1,Inventario1!B:B,IF(B82=2,Inventario2!B:B,IF(B82=3,Inventario3!B:B,IF(B82=4,Inventario4!B:B,IF(B82=5,Inventario5!B:B,Inventario6!B:B))))),
    _xlpm.invTipos, IF(B82=1,Inventario1!C:C,IF(B82=2,Inventario2!C:C,IF(B82=3,Inventario3!C:C,IF(B82=4,Inventario4!C:C,IF(B82=5,Inventario5!C:C,Inventario6!C:C))))),
    _xlpm.invStats, IF(B82=1,Inventario1!D:H,IF(B82=2,Inventario2!D:H,IF(B82=3,Inventario3!D:H,IF(B82=4,Inventario4!D:H,IF(B82=5,Inventario5!D:H,Inventario6!D:H))))),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IF(ROW(A82)=2,"",IF(_xlfn._xlws.FILTER(Equipar!AC$2:AC81,Equipar!B$2:B81=B82)={0},"",_xlfn._xlws.FILTER(Equipar!AC$2:AC81,Equipar!B$2:B81=B82))),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105</v>
      </c>
      <c r="E82" s="4" cm="1">
        <f t="array" ref="E82">_xlfn.LET(
    _xlpm.jugador, A82,
    _xlpm.idSel, AC82,
    _xlpm.invIDs, IF(B82=1,Inventario1!A:A,IF(B82=2,Inventario2!A:A,IF(B82=3,Inventario3!A:A,IF(B82=4,Inventario4!A:A,IF(B82=5,Inventario5!A:A,Inventario6!A:A))))),
    _xlpm.invCalidad, IF(B82=1,Inventario1!B:B,IF(B82=2,Inventario2!B:B,IF(B82=3,Inventario3!B:B,IF(B82=4,Inventario4!B:B,IF(B82=5,Inventario5!B:B,Inventario6!B:B))))),
    _xlpm.invTipos, IF(B82=1,Inventario1!C:C,IF(B82=2,Inventario2!C:C,IF(B82=3,Inventario3!C:C,IF(B82=4,Inventario4!C:C,IF(B82=5,Inventario5!C:C,Inventario6!C:C))))),
    _xlpm.invStats, IF(B82=1,Inventario1!D:H,IF(B82=2,Inventario2!D:H,IF(B82=3,Inventario3!D:H,IF(B82=4,Inventario4!D:H,IF(B82=5,Inventario5!D:H,Inventario6!D:H))))),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IF(ROW(A82)=2,"",IF(_xlfn._xlws.FILTER(Equipar!AC$2:AC81,Equipar!B$2:B81=B82)={0},"",_xlfn._xlws.FILTER(Equipar!AC$2:AC81,Equipar!B$2:B81=B82))),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260</v>
      </c>
      <c r="F82" s="4" t="str" cm="1">
        <f t="array" aca="1" ref="F82" ca="1">_xlfn.LET(
    _xlpm.jugador, B82,
    _xlpm.idSel, AD82,
    _xlpm.invIDs, IF(C82=1,Inventario1!B:B,IF(C82=2,Inventario2!B:B,IF(C82=3,Inventario3!B:B,IF(C82=4,Inventario4!B:B,IF(C82=5,Inventario5!B:B,Inventario6!B:B))))),
    _xlpm.invCalidad, IF(C82=1,Inventario1!C:C,IF(C82=2,Inventario2!C:C,IF(C82=3,Inventario3!C:C,IF(C82=4,Inventario4!C:C,IF(C82=5,Inventario5!C:C,Inventario6!C:C))))),
    _xlpm.invTipos, IF(C82=1,Inventario1!D:D,IF(C82=2,Inventario2!D:D,IF(C82=3,Inventario3!D:D,IF(C82=4,Inventario4!D:D,IF(C82=5,Inventario5!D:D,Inventario6!D:D))))),
    _xlpm.invStats, IF(C82=1,Inventario1!E:I,IF(C82=2,Inventario2!E:I,IF(C82=3,Inventario3!E:I,IF(C82=4,Inventario4!E:I,IF(C82=5,Inventario5!E:I,Inventario6!E:I))))),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IF(ROW(B82)=2,"",IF(_xlfn._xlws.FILTER(Equipar!AD$2:AD81,Equipar!C$2:C81=C82)={0},"",_xlfn._xlws.FILTER(Equipar!AD$2:AD81,Equipar!C$2:C81=C82))),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82" s="14" cm="1">
        <f t="array" aca="1" ref="G82" ca="1">_xlfn.LET(
    _xlpm.jugador, A82,
    _xlpm.idSel, AC82,
    _xlpm.invIDs, IF(B82=1,Inventario1!A:A,IF(B82=2,Inventario2!A:A,IF(B82=3,Inventario3!A:A,IF(B82=4,Inventario4!A:A,IF(B82=5,Inventario5!A:A,Inventario6!A:A))))),
    _xlpm.invCalidad, IF(B82=1,Inventario1!B:B,IF(B82=2,Inventario2!B:B,IF(B82=3,Inventario3!B:B,IF(B82=4,Inventario4!B:B,IF(B82=5,Inventario5!B:B,Inventario6!B:B))))),
    _xlpm.invTipos, IF(B82=1,Inventario1!C:C,IF(B82=2,Inventario2!C:C,IF(B82=3,Inventario3!C:C,IF(B82=4,Inventario4!C:C,IF(B82=5,Inventario5!C:C,Inventario6!C:C))))),
    _xlpm.invStats, IF(B82=1,Inventario1!D:H,IF(B82=2,Inventario2!D:H,IF(B82=3,Inventario3!D:H,IF(B82=4,Inventario4!D:H,IF(B82=5,Inventario5!D:H,Inventario6!D:H))))),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IF(ROW(A82)=2,"",IF(_xlfn._xlws.FILTER(Equipar!AC$2:AC81,Equipar!B$2:B81=B82)={0},"",_xlfn._xlws.FILTER(Equipar!AC$2:AC81,Equipar!B$2:B81=B82))),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H82" s="4" cm="1">
        <f t="array" ref="H82">_xlfn.LET(
    _xlpm.jugador, A82,
    _xlpm.idSel, AC82,
    _xlpm.invIDs, IF(B82=1,Inventario1!A:A,IF(B82=2,Inventario2!A:A,IF(B82=3,Inventario3!A:A,IF(B82=4,Inventario4!A:A,IF(B82=5,Inventario5!A:A,Inventario6!A:A))))),
    _xlpm.invCalidad, IF(B82=1,Inventario1!B:B,IF(B82=2,Inventario2!B:B,IF(B82=3,Inventario3!B:B,IF(B82=4,Inventario4!B:B,IF(B82=5,Inventario5!B:B,Inventario6!B:B))))),
    _xlpm.invTipos, IF(B82=1,Inventario1!C:C,IF(B82=2,Inventario2!C:C,IF(B82=3,Inventario3!C:C,IF(B82=4,Inventario4!C:C,IF(B82=5,Inventario5!C:C,Inventario6!C:C))))),
    _xlpm.invStats, IF(B82=1,Inventario1!D:H,IF(B82=2,Inventario2!D:H,IF(B82=3,Inventario3!D:H,IF(B82=4,Inventario4!D:H,IF(B82=5,Inventario5!D:H,Inventario6!D:H))))),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IF(ROW(A82)=2,"",IF(_xlfn._xlws.FILTER(Equipar!AC$2:AC81,Equipar!B$2:B81=B82)={0},"",_xlfn._xlws.FILTER(Equipar!AC$2:AC81,Equipar!B$2:B81=B82))),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I82" s="4" cm="1">
        <f t="array" ref="I82">_xlfn.LET(
    _xlpm.jugador, A82,
    _xlpm.idSel, AC82,
    _xlpm.invIDs, IF(B82=1,Inventario1!A:A,IF(B82=2,Inventario2!A:A,IF(B82=3,Inventario3!A:A,IF(B82=4,Inventario4!A:A,IF(B82=5,Inventario5!A:A,Inventario6!A:A))))),
    _xlpm.invCalidad, IF(B82=1,Inventario1!B:B,IF(B82=2,Inventario2!B:B,IF(B82=3,Inventario3!B:B,IF(B82=4,Inventario4!B:B,IF(B82=5,Inventario5!B:B,Inventario6!B:B))))),
    _xlpm.invTipos, IF(B82=1,Inventario1!C:C,IF(B82=2,Inventario2!C:C,IF(B82=3,Inventario3!C:C,IF(B82=4,Inventario4!C:C,IF(B82=5,Inventario5!C:C,Inventario6!C:C))))),
    _xlpm.invStats, IF(B82=1,Inventario1!D:H,IF(B82=2,Inventario2!D:H,IF(B82=3,Inventario3!D:H,IF(B82=4,Inventario4!D:H,IF(B82=5,Inventario5!D:H,Inventario6!D:H))))),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IF(ROW(A82)=2,"",IF(_xlfn._xlws.FILTER(Equipar!AC$2:AC81,Equipar!B$2:B81=B82)={0},"",_xlfn._xlws.FILTER(Equipar!AC$2:AC81,Equipar!B$2:B81=B82))),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J82" s="4" cm="1">
        <f t="array" aca="1" ref="J82" ca="1">_xlfn.LET(
    _xlpm.jugador, B82,
    _xlpm.idSel, AD82,
    _xlpm.invIDs, IF(C82=1,Inventario1!B:B,IF(C82=2,Inventario2!B:B,IF(C82=3,Inventario3!B:B,IF(C82=4,Inventario4!B:B,IF(C82=5,Inventario5!B:B,Inventario6!B:B))))),
    _xlpm.invCalidad, IF(C82=1,Inventario1!C:C,IF(C82=2,Inventario2!C:C,IF(C82=3,Inventario3!C:C,IF(C82=4,Inventario4!C:C,IF(C82=5,Inventario5!C:C,Inventario6!C:C))))),
    _xlpm.invTipos, IF(C82=1,Inventario1!D:D,IF(C82=2,Inventario2!D:D,IF(C82=3,Inventario3!D:D,IF(C82=4,Inventario4!D:D,IF(C82=5,Inventario5!D:D,Inventario6!D:D))))),
    _xlpm.invStats, IF(C82=1,Inventario1!E:I,IF(C82=2,Inventario2!E:I,IF(C82=3,Inventario3!E:I,IF(C82=4,Inventario4!E:I,IF(C82=5,Inventario5!E:I,Inventario6!E:I))))),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IF(ROW(B82)=2,"",IF(_xlfn._xlws.FILTER(Equipar!AD$2:AD81,Equipar!C$2:C81=C82)={0},"",_xlfn._xlws.FILTER(Equipar!AD$2:AD81,Equipar!C$2:C81=C82))),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82" s="4">
        <f t="shared" ca="1" si="4"/>
        <v>-9</v>
      </c>
      <c r="L82" s="4">
        <f t="shared" ca="1" si="5"/>
        <v>-17.820000000000007</v>
      </c>
      <c r="M82" s="4">
        <f t="shared" ca="1" si="5"/>
        <v>63</v>
      </c>
      <c r="N82" s="4">
        <f t="shared" si="6"/>
        <v>-8.8200000000000074</v>
      </c>
      <c r="O82" s="4">
        <f t="shared" ca="1" si="6"/>
        <v>71.820000000000007</v>
      </c>
      <c r="P82" s="14" cm="1">
        <f t="array" aca="1" ref="P82" ca="1">_xlfn.LET(
    _xlpm.ptsPrinBase, _xlfn._xlws.FILTER(G:G, A:A=A82),
    _xlpm.ptsSecBase,  _xlfn._xlws.FILTER(H:H, A:A=A82),
    _xlpm.puntosPrin, _xlpm.ptsPrinBase + _xlfn._xlws.FILTER(B:B, A:A=A82)/1000,
    _xlpm.puntosSec,  _xlpm.ptsSecBase  + _xlfn._xlws.FILTER(B:B, A:A=A82)/1000,
    _xlpm.puntosPrinValidos, SUM(--(_xlpm.ptsPrinBase&gt;0)),
    _xlpm.puntosSecValidos,  SUM(--(_xlpm.ptsSecBase&gt;0)),
    _xlpm.clave, K82 + B82/1000,
    _xlpm.claves, _xlfn._xlws.FILTER(K:K + B:B/1000, A:A=A82),
    IF(AND(_xlpm.puntosPrinValidos&gt;=4,_xlpm.puntosSecValidos&gt;=2),IF(
        SUM(--(_xlpm.claves &gt; _xlpm.clave)) &lt; 4,
        C82,
        D82
    ),"No disp")
)</f>
        <v>105</v>
      </c>
      <c r="Q82" s="14" cm="1">
        <f t="array" aca="1" ref="Q82" ca="1">_xlfn.LET(
    _xlpm.puntosPrin, _xlfn._xlws.FILTER(G:G + B:B/1000, A:A=A82),
    _xlpm.puntosPrinValidos, SUM(--(_xlpm.puntosPrin&gt;1)),
    _xlpm.puntosTer, _xlfn._xlws.FILTER(I:I + B:B/1000, A:A=A82),
    _xlpm.puntosTerValidos, SUM(--(_xlpm.puntosTer&gt;1)),
    _xlpm.clave, L82 + B82/1000,
    _xlpm.claves, _xlfn._xlws.FILTER(L:L + B:B/1000, A:A=A82),
    IF(AND(_xlpm.puntosPrinValidos&gt;=4,_xlpm.puntosTerValidos&gt;=2),IF(
        SUM(--(_xlpm.claves &gt; _xlpm.clave)) &lt; 4,
        C82,
        E82
    ),"No disp")
)</f>
        <v>260</v>
      </c>
      <c r="R82" s="14" t="str" cm="1">
        <f t="array" aca="1" ref="R82" ca="1">_xlfn.LET(
    _xlpm.puntosPrin, _xlfn._xlws.FILTER(G:G + B:B/1000, A:A=A82),
    _xlpm.puntosPrinValidos, SUM(--(_xlpm.puntosPrin&gt;1)),
    _xlpm.puntosTer, _xlfn._xlws.FILTER(J:J + B:B/1000, A:A=A82),
    _xlpm.puntosTerValidos, SUM(--(_xlpm.puntosTer&gt;1)),
    _xlpm.clave, M82 + B82/1000,
    _xlpm.claves, _xlfn._xlws.FILTER(M:M + B:B/1000, A:A=A82),
    IF(AND(_xlpm.puntosPrinValidos&gt;=4,_xlpm.puntosTerValidos&gt;=2),IF(
        SUM(--(_xlpm.claves &gt; _xlpm.clave)) &lt; 4,
        C82,
        F82
    ),"No disp")
)</f>
        <v>No disp</v>
      </c>
      <c r="S82" s="14" cm="1">
        <f t="array" aca="1" ref="S82" ca="1">_xlfn.LET(
    _xlpm.ptsPrinBase, _xlfn._xlws.FILTER(G:G, A:A=A82),
    _xlpm.ptsSecBase,  _xlfn._xlws.FILTER(H:H, A:A=A82),
    _xlpm.puntosPrin, _xlpm.ptsPrinBase + _xlfn._xlws.FILTER(B:B, A:A=A82)/1000,
    _xlpm.puntosSec,  _xlpm.ptsSecBase  + _xlfn._xlws.FILTER(B:B, A:A=A82)/1000,
    _xlpm.puntosPrinValidos, SUM(--(_xlpm.ptsPrinBase&gt;0)),
    _xlpm.puntosSecValidos,  SUM(--(_xlpm.ptsSecBase&gt;0)),
    _xlpm.clave, K82 + B82/1000,
    _xlpm.claves, _xlfn._xlws.FILTER(K:K + B:B/1000, A:A=A82),
    IF(
        AND(_xlpm.puntosPrinValidos&gt;=2, _xlpm.puntosSecValidos&gt;=4),
        IF(
            SUM(--(_xlpm.claves &lt; _xlpm.clave)) &lt; 4,
            D82,
            C82
        ),
        "No disp"
    )
)</f>
        <v>105</v>
      </c>
      <c r="T82" s="14" cm="1">
        <f t="array" aca="1" ref="T82" ca="1">_xlfn.LET(
    _xlpm.puntosSec, _xlfn._xlws.FILTER(H:H + B:B/1000, A:A=A82),
    _xlpm.puntosSecValidos, SUM(--(_xlpm.puntosSec&gt;1)),
    _xlpm.puntosAlt, _xlfn._xlws.FILTER(I:I + B:B/1000, A:A=A82),
    _xlpm.puntosAltValidos, SUM(--(_xlpm.puntosAlt&gt;1)),
    _xlpm.clave, N82 + B82/1000,
    _xlpm.claves, _xlfn._xlws.FILTER(N:N + B:B/1000, A:A=A82),
    IF(AND(_xlpm.puntosSecValidos&gt;=4,_xlpm.puntosAltValidos&gt;=2),IF(
        SUM(--(_xlpm.claves &gt; _xlpm.clave)) &lt; 4,
        D82,
        E82
    ),"No disp")
)</f>
        <v>105</v>
      </c>
      <c r="U82" s="14" t="str" cm="1">
        <f t="array" aca="1" ref="U82" ca="1">_xlfn.LET(
    _xlpm.puntosSec, _xlfn._xlws.FILTER(H:H + B:B/1000, A:A=A82),
    _xlpm.puntosSecValidos, SUM(--(_xlpm.puntosSec&gt;1)),
    _xlpm.puntosAlt, _xlfn._xlws.FILTER(J:J + B:B/1000, A:A=A82),
    _xlpm.puntosAltValidos, SUM(--(_xlpm.puntosAlt&gt;1)),
    _xlpm.clave, O82 + B82/1000,
    _xlpm.claves, _xlfn._xlws.FILTER(O:O + B:B/1000, A:A=A82),
    IF(AND(_xlpm.puntosSecValidos&gt;=4,_xlpm.puntosAltValidos&gt;=2),IF(
        SUM(--(_xlpm.claves &gt; _xlpm.clave)) &lt; 4,
        D82,
        F82
    ),"No disp")
)</f>
        <v>No disp</v>
      </c>
      <c r="V82" s="4" cm="1">
        <f t="array" aca="1" ref="V82" ca="1">_xlfn.LET(
_xlpm.PrinIDs,_xlfn._xlws.FILTER(C:C,(A:A=A82)),
_xlpm.SecIDs,_xlfn._xlws.FILTER(D:D,(A:A=A82)),
_xlpm.TerIDs,_xlfn._xlws.FILTER(E:E,A:A=A82),
_xlpm.CuaIDs,_xlfn._xlws.FILTER(F:F,(A:A=A82)),
_xlpm.PrinPts,_xlfn._xlws.FILTER(G:G,(A:A=A82)),
_xlpm.SecPts,_xlfn._xlws.FILTER(H:H,(A:A=A82)),
_xlpm.TerPts,_xlfn._xlws.FILTER(I:I,(A:A=A82)),
_xlpm.CuaPts,_xlfn._xlws.FILTER(J:J,(A:A=A82)),
_xlpm.PSIds,_xlfn._xlws.FILTER(P:P,A:A=A82),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449.37</v>
      </c>
      <c r="W82" s="4" cm="1">
        <f t="array" aca="1" ref="W82" ca="1">_xlfn.LET(
_xlpm.PrinIDs,_xlfn._xlws.FILTER(C:C,(A:A=A82)),
_xlpm.SecIDs,_xlfn._xlws.FILTER(D:D,(A:A=A82)),
_xlpm.TerIDs,_xlfn._xlws.FILTER(E:E,A:A=A82),
_xlpm.CuaIDs,_xlfn._xlws.FILTER(F:F,(A:A=A82)),
_xlpm.PrinPts,_xlfn._xlws.FILTER(G:G,(A:A=A82)),
_xlpm.SecPts,_xlfn._xlws.FILTER(H:H,(A:A=A82)),
_xlpm.TerPts,_xlfn._xlws.FILTER(I:I,(A:A=A82)),
_xlpm.CuaPts,_xlfn._xlws.FILTER(J:J,(A:A=A82)),
_xlpm.PTIds,_xlfn._xlws.FILTER(Q:Q,A:A=A82),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458.01</v>
      </c>
      <c r="X82" s="4" cm="1">
        <f t="array" aca="1" ref="X82" ca="1">_xlfn.LET(
_xlpm.PrinIDs,_xlfn._xlws.FILTER(C:C,(A:A=A82)),
_xlpm.SecIDs,_xlfn._xlws.FILTER(D:D,(A:A=A82)),
_xlpm.TerIDs,_xlfn._xlws.FILTER(E:E,A:A=A82),
_xlpm.CuaIDs,_xlfn._xlws.FILTER(F:F,(A:A=A82)),
_xlpm.PrinPts,_xlfn._xlws.FILTER(G:G,(A:A=A82)),
_xlpm.SecPts,_xlfn._xlws.FILTER(H:H,(A:A=A82)),
_xlpm.TerPts,_xlfn._xlws.FILTER(I:I,(A:A=A82)),
_xlpm.CuaPts,_xlfn._xlws.FILTER(J:J,(A:A=A82)),
_xlpm.PCIds,_xlfn._xlws.FILTER(R:R,A:A=A82),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82" s="4" cm="1">
        <f t="array" aca="1" ref="Y82" ca="1">_xlfn.LET(
_xlpm.PrinIDs,_xlfn._xlws.FILTER(C:C,(A:A=A82)),
_xlpm.SecIDs,_xlfn._xlws.FILTER(D:D,(A:A=A82)),
_xlpm.AltIDs,_xlfn._xlws.FILTER(E:E,A:A=A82),
_xlpm.PrinPts,_xlfn._xlws.FILTER(G:G,(A:A=A82)),
_xlpm.SecPts,_xlfn._xlws.FILTER(H:H,(A:A=A82)),
_xlpm.AltPts,_xlfn._xlws.FILTER(I:I,(A:A=A82)),
_xlpm.SPIds,_xlfn._xlws.FILTER(S:S,A:A=A82),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428.40000000000003</v>
      </c>
      <c r="Z82" s="4" cm="1">
        <f t="array" aca="1" ref="Z82" ca="1">_xlfn.LET(
_xlpm.PrinIDs,_xlfn._xlws.FILTER(C:C,(A:A=A82)),
_xlpm.SecIDs,_xlfn._xlws.FILTER(D:D,(A:A=A82)),
_xlpm.TerIDs,_xlfn._xlws.FILTER(E:E,A:A=A82),
_xlpm.CuaIDs,_xlfn._xlws.FILTER(F:F,(A:A=A82)),
_xlpm.PrinPts,_xlfn._xlws.FILTER(G:G,(A:A=A82)),
_xlpm.SecPts,_xlfn._xlws.FILTER(H:H,(A:A=A82)),
_xlpm.TerPts,_xlfn._xlws.FILTER(I:I,(A:A=A82)),
_xlpm.CuaPts,_xlfn._xlws.FILTER(J:J,(A:A=A82)),
_xlpm.STIds,_xlfn._xlws.FILTER(T:T,A:A=A82),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431.19000000000005</v>
      </c>
      <c r="AA82" s="4" cm="1">
        <f t="array" aca="1" ref="AA82" ca="1">_xlfn.LET(
_xlpm.PrinIDs,_xlfn._xlws.FILTER(C:C,(A:A=A82)),
_xlpm.SecIDs,_xlfn._xlws.FILTER(D:D,(A:A=A82)),
_xlpm.TerIDs,_xlfn._xlws.FILTER(E:E,A:A=A82),
_xlpm.CuaIDs,_xlfn._xlws.FILTER(F:F,(A:A=A82)),
_xlpm.PrinPts,_xlfn._xlws.FILTER(G:G,(A:A=A82)),
_xlpm.SecPts,_xlfn._xlws.FILTER(H:H,(A:A=A82)),
_xlpm.TerPts,_xlfn._xlws.FILTER(I:I,(A:A=A82)),
_xlpm.CuaPts,_xlfn._xlws.FILTER(J:J,(A:A=A82)),
_xlpm.SCIds,_xlfn._xlws.FILTER(U:U,A:A=A82),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82" s="14">
        <f t="shared" ca="1" si="7"/>
        <v>260</v>
      </c>
      <c r="AC82" s="14">
        <v>260</v>
      </c>
      <c r="AD82" s="4"/>
      <c r="AE82" s="14" t="str">
        <f ca="1">IF(ISNUMBER(AC82),
IF($B82=1,VLOOKUP($AC82,Inventario1!$A:$H,2),
IF($B82=2,VLOOKUP($AC82,Inventario2!$A:$H,2),
IF($B82=3,VLOOKUP($AC82,Inventario3!$A:$H,2),
IF($B82=4,VLOOKUP($AC82,Inventario4!$A:$H,2),
IF($B82=5,VLOOKUP($AC82,Inventario5!$A:$H,2),
VLOOKUP($AC82,Inventario6!$A:$H,2)
))))),"No equipado")</f>
        <v>Legendario</v>
      </c>
      <c r="AF82" s="14" t="str">
        <f ca="1">IF(ISNUMBER(AC82),
IF($B82=1,VLOOKUP($AC82,Inventario1!$A:$H,3),
IF($B82=2,VLOOKUP($AC82,Inventario2!$A:$H,3),
IF($B82=3,VLOOKUP($AC82,Inventario3!$A:$H,3),
IF($B82=4,VLOOKUP($AC82,Inventario4!$A:$H,3),
IF($B82=5,VLOOKUP($AC82,Inventario5!$A:$H,3),
VLOOKUP($AC82,Inventario6!$A:$H,3)
))))),"")</f>
        <v>Movimiento de bloqueo</v>
      </c>
      <c r="AG82" s="14" t="str">
        <f ca="1">IF(ISNUMBER(AC82),
IF($B82=1,VLOOKUP($AC82,Inventario1!$A:$H,4),
IF($B82=2,VLOOKUP($AC82,Inventario2!$A:$H,4),
IF($B82=3,VLOOKUP($AC82,Inventario3!$A:$H,4),
IF($B82=4,VLOOKUP($AC82,Inventario4!$A:$H,4),
IF($B82=5,VLOOKUP($AC82,Inventario5!$A:$H,4),
VLOOKUP($AC82,Inventario6!$A:$H,4)
))))),"")</f>
        <v>Saque</v>
      </c>
      <c r="AH82" s="14" t="str">
        <f ca="1">IF(ISNUMBER(AC82),
IF($B82=1,VLOOKUP($AC82,Inventario1!$A:$H,5),
IF($B82=2,VLOOKUP($AC82,Inventario2!$A:$H,5),
IF($B82=3,VLOOKUP($AC82,Inventario3!$A:$H,5),
IF($B82=4,VLOOKUP($AC82,Inventario4!$A:$H,5),
IF($B82=5,VLOOKUP($AC82,Inventario5!$A:$H,5),
VLOOKUP($AC82,Inventario6!$A:$H,5)
))))),"")</f>
        <v>Bloqueo</v>
      </c>
      <c r="AI82" s="14" t="str">
        <f ca="1">IF(ISNUMBER(AC82),
IF($B82=1,VLOOKUP($AC82,Inventario1!$A:$H,6),
IF($B82=2,VLOOKUP($AC82,Inventario2!$A:$H,6),
IF($B82=3,VLOOKUP($AC82,Inventario3!$A:$H,6),
IF($B82=4,VLOOKUP($AC82,Inventario4!$A:$H,6),
IF($B82=5,VLOOKUP($AC82,Inventario5!$A:$H,6),
VLOOKUP($AC82,Inventario6!$A:$H,6)
))))),"")</f>
        <v>Recuperación</v>
      </c>
      <c r="AJ82" s="14" t="str">
        <f ca="1">IF(ISNUMBER(AC82),
IF($B82=1,VLOOKUP($AC82,Inventario1!$A:$H,7),
IF($B82=2,VLOOKUP($AC82,Inventario2!$A:$H,7),
IF($B82=3,VLOOKUP($AC82,Inventario3!$A:$H,7),
IF($B82=4,VLOOKUP($AC82,Inventario4!$A:$H,7),
IF($B82=5,VLOOKUP($AC82,Inventario5!$A:$H,7),
VLOOKUP($AC82,Inventario6!$A:$H,7)
))))),"")</f>
        <v>Fuerza</v>
      </c>
      <c r="AK82" s="15" t="str">
        <f ca="1">IF(ISNUMBER(AC82),
IF($B82=1,VLOOKUP($AC82,Inventario1!$A:$H,8),
IF($B82=2,VLOOKUP($AC82,Inventario2!$A:$H,8),
IF($B82=3,VLOOKUP($AC82,Inventario3!$A:$H,8),
IF($B82=4,VLOOKUP($AC82,Inventario4!$A:$H,8),
IF($B82=5,VLOOKUP($AC82,Inventario5!$A:$H,8),
VLOOKUP($AC82,Inventario6!$A:$H,8)
))))),"")</f>
        <v>Saque</v>
      </c>
    </row>
    <row r="83" spans="1:37" x14ac:dyDescent="0.25">
      <c r="A83" s="21" t="s">
        <v>71</v>
      </c>
      <c r="B83" s="3">
        <v>4</v>
      </c>
      <c r="C83" s="14" cm="1">
        <f t="array" aca="1" ref="C83" ca="1">_xlfn.LET(
    _xlpm.jugador, A83,
    _xlpm.idSel, AC83,
    _xlpm.invIDs, IF(B83=1,Inventario1!A:A,IF(B83=2,Inventario2!A:A,IF(B83=3,Inventario3!A:A,IF(B83=4,Inventario4!A:A,IF(B83=5,Inventario5!A:A,Inventario6!A:A))))),
    _xlpm.invCalidad, IF(B83=1,Inventario1!B:B,IF(B83=2,Inventario2!B:B,IF(B83=3,Inventario3!B:B,IF(B83=4,Inventario4!B:B,IF(B83=5,Inventario5!B:B,Inventario6!B:B))))),
    _xlpm.invTipos, IF(B83=1,Inventario1!C:C,IF(B83=2,Inventario2!C:C,IF(B83=3,Inventario3!C:C,IF(B83=4,Inventario4!C:C,IF(B83=5,Inventario5!C:C,Inventario6!C:C))))),
    _xlpm.invStats, IF(B83=1,Inventario1!D:H,IF(B83=2,Inventario2!D:H,IF(B83=3,Inventario3!D:H,IF(B83=4,Inventario4!D:H,IF(B83=5,Inventario5!D:H,Inventario6!D:H))))),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IF(ROW(A83)=2,"",IF(_xlfn._xlws.FILTER(Equipar!AC$2:AC82,Equipar!B$2:B82=B83)={0},"",_xlfn._xlws.FILTER(Equipar!AC$2:AC82,Equipar!B$2:B82=B83))),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304</v>
      </c>
      <c r="D83" s="4" cm="1">
        <f t="array" aca="1" ref="D83" ca="1">_xlfn.LET(
    _xlpm.jugador, A83,
    _xlpm.idSel, AC83,
    _xlpm.invIDs, IF(B83=1,Inventario1!A:A,IF(B83=2,Inventario2!A:A,IF(B83=3,Inventario3!A:A,IF(B83=4,Inventario4!A:A,IF(B83=5,Inventario5!A:A,Inventario6!A:A))))),
    _xlpm.invCalidad, IF(B83=1,Inventario1!B:B,IF(B83=2,Inventario2!B:B,IF(B83=3,Inventario3!B:B,IF(B83=4,Inventario4!B:B,IF(B83=5,Inventario5!B:B,Inventario6!B:B))))),
    _xlpm.invTipos, IF(B83=1,Inventario1!C:C,IF(B83=2,Inventario2!C:C,IF(B83=3,Inventario3!C:C,IF(B83=4,Inventario4!C:C,IF(B83=5,Inventario5!C:C,Inventario6!C:C))))),
    _xlpm.invStats, IF(B83=1,Inventario1!D:H,IF(B83=2,Inventario2!D:H,IF(B83=3,Inventario3!D:H,IF(B83=4,Inventario4!D:H,IF(B83=5,Inventario5!D:H,Inventario6!D:H))))),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IF(ROW(A83)=2,"",IF(_xlfn._xlws.FILTER(Equipar!AC$2:AC82,Equipar!B$2:B82=B83)={0},"",_xlfn._xlws.FILTER(Equipar!AC$2:AC82,Equipar!B$2:B82=B83))),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118</v>
      </c>
      <c r="E83" s="4" cm="1">
        <f t="array" ref="E83">_xlfn.LET(
    _xlpm.jugador, A83,
    _xlpm.idSel, AC83,
    _xlpm.invIDs, IF(B83=1,Inventario1!A:A,IF(B83=2,Inventario2!A:A,IF(B83=3,Inventario3!A:A,IF(B83=4,Inventario4!A:A,IF(B83=5,Inventario5!A:A,Inventario6!A:A))))),
    _xlpm.invCalidad, IF(B83=1,Inventario1!B:B,IF(B83=2,Inventario2!B:B,IF(B83=3,Inventario3!B:B,IF(B83=4,Inventario4!B:B,IF(B83=5,Inventario5!B:B,Inventario6!B:B))))),
    _xlpm.invTipos, IF(B83=1,Inventario1!C:C,IF(B83=2,Inventario2!C:C,IF(B83=3,Inventario3!C:C,IF(B83=4,Inventario4!C:C,IF(B83=5,Inventario5!C:C,Inventario6!C:C))))),
    _xlpm.invStats, IF(B83=1,Inventario1!D:H,IF(B83=2,Inventario2!D:H,IF(B83=3,Inventario3!D:H,IF(B83=4,Inventario4!D:H,IF(B83=5,Inventario5!D:H,Inventario6!D:H))))),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IF(ROW(A83)=2,"",IF(_xlfn._xlws.FILTER(Equipar!AC$2:AC82,Equipar!B$2:B82=B83)={0},"",_xlfn._xlws.FILTER(Equipar!AC$2:AC82,Equipar!B$2:B82=B83))),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149</v>
      </c>
      <c r="F83" s="4" t="str" cm="1">
        <f t="array" aca="1" ref="F83" ca="1">_xlfn.LET(
    _xlpm.jugador, B83,
    _xlpm.idSel, AD83,
    _xlpm.invIDs, IF(C83=1,Inventario1!B:B,IF(C83=2,Inventario2!B:B,IF(C83=3,Inventario3!B:B,IF(C83=4,Inventario4!B:B,IF(C83=5,Inventario5!B:B,Inventario6!B:B))))),
    _xlpm.invCalidad, IF(C83=1,Inventario1!C:C,IF(C83=2,Inventario2!C:C,IF(C83=3,Inventario3!C:C,IF(C83=4,Inventario4!C:C,IF(C83=5,Inventario5!C:C,Inventario6!C:C))))),
    _xlpm.invTipos, IF(C83=1,Inventario1!D:D,IF(C83=2,Inventario2!D:D,IF(C83=3,Inventario3!D:D,IF(C83=4,Inventario4!D:D,IF(C83=5,Inventario5!D:D,Inventario6!D:D))))),
    _xlpm.invStats, IF(C83=1,Inventario1!E:I,IF(C83=2,Inventario2!E:I,IF(C83=3,Inventario3!E:I,IF(C83=4,Inventario4!E:I,IF(C83=5,Inventario5!E:I,Inventario6!E:I))))),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IF(ROW(B83)=2,"",IF(_xlfn._xlws.FILTER(Equipar!AD$2:AD82,Equipar!C$2:C82=C83)={0},"",_xlfn._xlws.FILTER(Equipar!AD$2:AD82,Equipar!C$2:C82=C83))),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83" s="14" cm="1">
        <f t="array" aca="1" ref="G83" ca="1">_xlfn.LET(
    _xlpm.jugador, A83,
    _xlpm.idSel, AC83,
    _xlpm.invIDs, IF(B83=1,Inventario1!A:A,IF(B83=2,Inventario2!A:A,IF(B83=3,Inventario3!A:A,IF(B83=4,Inventario4!A:A,IF(B83=5,Inventario5!A:A,Inventario6!A:A))))),
    _xlpm.invCalidad, IF(B83=1,Inventario1!B:B,IF(B83=2,Inventario2!B:B,IF(B83=3,Inventario3!B:B,IF(B83=4,Inventario4!B:B,IF(B83=5,Inventario5!B:B,Inventario6!B:B))))),
    _xlpm.invTipos, IF(B83=1,Inventario1!C:C,IF(B83=2,Inventario2!C:C,IF(B83=3,Inventario3!C:C,IF(B83=4,Inventario4!C:C,IF(B83=5,Inventario5!C:C,Inventario6!C:C))))),
    _xlpm.invStats, IF(B83=1,Inventario1!D:H,IF(B83=2,Inventario2!D:H,IF(B83=3,Inventario3!D:H,IF(B83=4,Inventario4!D:H,IF(B83=5,Inventario5!D:H,Inventario6!D:H))))),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IF(ROW(A83)=2,"",IF(_xlfn._xlws.FILTER(Equipar!AC$2:AC82,Equipar!B$2:B82=B83)={0},"",_xlfn._xlws.FILTER(Equipar!AC$2:AC82,Equipar!B$2:B82=B83))),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H83" s="4" cm="1">
        <f t="array" aca="1" ref="H83" ca="1">_xlfn.LET(
    _xlpm.jugador, A83,
    _xlpm.idSel, AC83,
    _xlpm.invIDs, IF(B83=1,Inventario1!A:A,IF(B83=2,Inventario2!A:A,IF(B83=3,Inventario3!A:A,IF(B83=4,Inventario4!A:A,IF(B83=5,Inventario5!A:A,Inventario6!A:A))))),
    _xlpm.invCalidad, IF(B83=1,Inventario1!B:B,IF(B83=2,Inventario2!B:B,IF(B83=3,Inventario3!B:B,IF(B83=4,Inventario4!B:B,IF(B83=5,Inventario5!B:B,Inventario6!B:B))))),
    _xlpm.invTipos, IF(B83=1,Inventario1!C:C,IF(B83=2,Inventario2!C:C,IF(B83=3,Inventario3!C:C,IF(B83=4,Inventario4!C:C,IF(B83=5,Inventario5!C:C,Inventario6!C:C))))),
    _xlpm.invStats, IF(B83=1,Inventario1!D:H,IF(B83=2,Inventario2!D:H,IF(B83=3,Inventario3!D:H,IF(B83=4,Inventario4!D:H,IF(B83=5,Inventario5!D:H,Inventario6!D:H))))),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IF(ROW(A83)=2,"",IF(_xlfn._xlws.FILTER(Equipar!AC$2:AC82,Equipar!B$2:B82=B83)={0},"",_xlfn._xlws.FILTER(Equipar!AC$2:AC82,Equipar!B$2:B82=B83))),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I83" s="4" cm="1">
        <f t="array" ref="I83">_xlfn.LET(
    _xlpm.jugador, A83,
    _xlpm.idSel, AC83,
    _xlpm.invIDs, IF(B83=1,Inventario1!A:A,IF(B83=2,Inventario2!A:A,IF(B83=3,Inventario3!A:A,IF(B83=4,Inventario4!A:A,IF(B83=5,Inventario5!A:A,Inventario6!A:A))))),
    _xlpm.invCalidad, IF(B83=1,Inventario1!B:B,IF(B83=2,Inventario2!B:B,IF(B83=3,Inventario3!B:B,IF(B83=4,Inventario4!B:B,IF(B83=5,Inventario5!B:B,Inventario6!B:B))))),
    _xlpm.invTipos, IF(B83=1,Inventario1!C:C,IF(B83=2,Inventario2!C:C,IF(B83=3,Inventario3!C:C,IF(B83=4,Inventario4!C:C,IF(B83=5,Inventario5!C:C,Inventario6!C:C))))),
    _xlpm.invStats, IF(B83=1,Inventario1!D:H,IF(B83=2,Inventario2!D:H,IF(B83=3,Inventario3!D:H,IF(B83=4,Inventario4!D:H,IF(B83=5,Inventario5!D:H,Inventario6!D:H))))),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IF(ROW(A83)=2,"",IF(_xlfn._xlws.FILTER(Equipar!AC$2:AC82,Equipar!B$2:B82=B83)={0},"",_xlfn._xlws.FILTER(Equipar!AC$2:AC82,Equipar!B$2:B82=B83))),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J83" s="4" cm="1">
        <f t="array" aca="1" ref="J83" ca="1">_xlfn.LET(
    _xlpm.jugador, B83,
    _xlpm.idSel, AD83,
    _xlpm.invIDs, IF(C83=1,Inventario1!B:B,IF(C83=2,Inventario2!B:B,IF(C83=3,Inventario3!B:B,IF(C83=4,Inventario4!B:B,IF(C83=5,Inventario5!B:B,Inventario6!B:B))))),
    _xlpm.invCalidad, IF(C83=1,Inventario1!C:C,IF(C83=2,Inventario2!C:C,IF(C83=3,Inventario3!C:C,IF(C83=4,Inventario4!C:C,IF(C83=5,Inventario5!C:C,Inventario6!C:C))))),
    _xlpm.invTipos, IF(C83=1,Inventario1!D:D,IF(C83=2,Inventario2!D:D,IF(C83=3,Inventario3!D:D,IF(C83=4,Inventario4!D:D,IF(C83=5,Inventario5!D:D,Inventario6!D:D))))),
    _xlpm.invStats, IF(C83=1,Inventario1!E:I,IF(C83=2,Inventario2!E:I,IF(C83=3,Inventario3!E:I,IF(C83=4,Inventario4!E:I,IF(C83=5,Inventario5!E:I,Inventario6!E:I))))),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IF(ROW(B83)=2,"",IF(_xlfn._xlws.FILTER(Equipar!AD$2:AD82,Equipar!C$2:C82=C83)={0},"",_xlfn._xlws.FILTER(Equipar!AD$2:AD82,Equipar!C$2:C82=C83))),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83" s="4">
        <f t="shared" ca="1" si="4"/>
        <v>23.760000000000005</v>
      </c>
      <c r="L83" s="4">
        <f t="shared" ca="1" si="5"/>
        <v>0</v>
      </c>
      <c r="M83" s="4">
        <f t="shared" ca="1" si="5"/>
        <v>72</v>
      </c>
      <c r="N83" s="4">
        <f t="shared" ca="1" si="6"/>
        <v>-23.760000000000005</v>
      </c>
      <c r="O83" s="4">
        <f t="shared" ca="1" si="6"/>
        <v>95.76</v>
      </c>
      <c r="P83" s="14" cm="1">
        <f t="array" aca="1" ref="P83" ca="1">_xlfn.LET(
    _xlpm.ptsPrinBase, _xlfn._xlws.FILTER(G:G, A:A=A83),
    _xlpm.ptsSecBase,  _xlfn._xlws.FILTER(H:H, A:A=A83),
    _xlpm.puntosPrin, _xlpm.ptsPrinBase + _xlfn._xlws.FILTER(B:B, A:A=A83)/1000,
    _xlpm.puntosSec,  _xlpm.ptsSecBase  + _xlfn._xlws.FILTER(B:B, A:A=A83)/1000,
    _xlpm.puntosPrinValidos, SUM(--(_xlpm.ptsPrinBase&gt;0)),
    _xlpm.puntosSecValidos,  SUM(--(_xlpm.ptsSecBase&gt;0)),
    _xlpm.clave, K83 + B83/1000,
    _xlpm.claves, _xlfn._xlws.FILTER(K:K + B:B/1000, A:A=A83),
    IF(AND(_xlpm.puntosPrinValidos&gt;=4,_xlpm.puntosSecValidos&gt;=2),IF(
        SUM(--(_xlpm.claves &gt; _xlpm.clave)) &lt; 4,
        C83,
        D83
    ),"No disp")
)</f>
        <v>304</v>
      </c>
      <c r="Q83" s="14" cm="1">
        <f t="array" aca="1" ref="Q83" ca="1">_xlfn.LET(
    _xlpm.puntosPrin, _xlfn._xlws.FILTER(G:G + B:B/1000, A:A=A83),
    _xlpm.puntosPrinValidos, SUM(--(_xlpm.puntosPrin&gt;1)),
    _xlpm.puntosTer, _xlfn._xlws.FILTER(I:I + B:B/1000, A:A=A83),
    _xlpm.puntosTerValidos, SUM(--(_xlpm.puntosTer&gt;1)),
    _xlpm.clave, L83 + B83/1000,
    _xlpm.claves, _xlfn._xlws.FILTER(L:L + B:B/1000, A:A=A83),
    IF(AND(_xlpm.puntosPrinValidos&gt;=4,_xlpm.puntosTerValidos&gt;=2),IF(
        SUM(--(_xlpm.claves &gt; _xlpm.clave)) &lt; 4,
        C83,
        E83
    ),"No disp")
)</f>
        <v>304</v>
      </c>
      <c r="R83" s="14" t="str" cm="1">
        <f t="array" aca="1" ref="R83" ca="1">_xlfn.LET(
    _xlpm.puntosPrin, _xlfn._xlws.FILTER(G:G + B:B/1000, A:A=A83),
    _xlpm.puntosPrinValidos, SUM(--(_xlpm.puntosPrin&gt;1)),
    _xlpm.puntosTer, _xlfn._xlws.FILTER(J:J + B:B/1000, A:A=A83),
    _xlpm.puntosTerValidos, SUM(--(_xlpm.puntosTer&gt;1)),
    _xlpm.clave, M83 + B83/1000,
    _xlpm.claves, _xlfn._xlws.FILTER(M:M + B:B/1000, A:A=A83),
    IF(AND(_xlpm.puntosPrinValidos&gt;=4,_xlpm.puntosTerValidos&gt;=2),IF(
        SUM(--(_xlpm.claves &gt; _xlpm.clave)) &lt; 4,
        C83,
        F83
    ),"No disp")
)</f>
        <v>No disp</v>
      </c>
      <c r="S83" s="14" cm="1">
        <f t="array" aca="1" ref="S83" ca="1">_xlfn.LET(
    _xlpm.ptsPrinBase, _xlfn._xlws.FILTER(G:G, A:A=A83),
    _xlpm.ptsSecBase,  _xlfn._xlws.FILTER(H:H, A:A=A83),
    _xlpm.puntosPrin, _xlpm.ptsPrinBase + _xlfn._xlws.FILTER(B:B, A:A=A83)/1000,
    _xlpm.puntosSec,  _xlpm.ptsSecBase  + _xlfn._xlws.FILTER(B:B, A:A=A83)/1000,
    _xlpm.puntosPrinValidos, SUM(--(_xlpm.ptsPrinBase&gt;0)),
    _xlpm.puntosSecValidos,  SUM(--(_xlpm.ptsSecBase&gt;0)),
    _xlpm.clave, K83 + B83/1000,
    _xlpm.claves, _xlfn._xlws.FILTER(K:K + B:B/1000, A:A=A83),
    IF(
        AND(_xlpm.puntosPrinValidos&gt;=2, _xlpm.puntosSecValidos&gt;=4),
        IF(
            SUM(--(_xlpm.claves &lt; _xlpm.clave)) &lt; 4,
            D83,
            C83
        ),
        "No disp"
    )
)</f>
        <v>304</v>
      </c>
      <c r="T83" s="14" cm="1">
        <f t="array" aca="1" ref="T83" ca="1">_xlfn.LET(
    _xlpm.puntosSec, _xlfn._xlws.FILTER(H:H + B:B/1000, A:A=A83),
    _xlpm.puntosSecValidos, SUM(--(_xlpm.puntosSec&gt;1)),
    _xlpm.puntosAlt, _xlfn._xlws.FILTER(I:I + B:B/1000, A:A=A83),
    _xlpm.puntosAltValidos, SUM(--(_xlpm.puntosAlt&gt;1)),
    _xlpm.clave, N83 + B83/1000,
    _xlpm.claves, _xlfn._xlws.FILTER(N:N + B:B/1000, A:A=A83),
    IF(AND(_xlpm.puntosSecValidos&gt;=4,_xlpm.puntosAltValidos&gt;=2),IF(
        SUM(--(_xlpm.claves &gt; _xlpm.clave)) &lt; 4,
        D83,
        E83
    ),"No disp")
)</f>
        <v>149</v>
      </c>
      <c r="U83" s="14" t="str" cm="1">
        <f t="array" aca="1" ref="U83" ca="1">_xlfn.LET(
    _xlpm.puntosSec, _xlfn._xlws.FILTER(H:H + B:B/1000, A:A=A83),
    _xlpm.puntosSecValidos, SUM(--(_xlpm.puntosSec&gt;1)),
    _xlpm.puntosAlt, _xlfn._xlws.FILTER(J:J + B:B/1000, A:A=A83),
    _xlpm.puntosAltValidos, SUM(--(_xlpm.puntosAlt&gt;1)),
    _xlpm.clave, O83 + B83/1000,
    _xlpm.claves, _xlfn._xlws.FILTER(O:O + B:B/1000, A:A=A83),
    IF(AND(_xlpm.puntosSecValidos&gt;=4,_xlpm.puntosAltValidos&gt;=2),IF(
        SUM(--(_xlpm.claves &gt; _xlpm.clave)) &lt; 4,
        D83,
        F83
    ),"No disp")
)</f>
        <v>No disp</v>
      </c>
      <c r="V83" s="4" cm="1">
        <f t="array" aca="1" ref="V83" ca="1">_xlfn.LET(
_xlpm.PrinIDs,_xlfn._xlws.FILTER(C:C,(A:A=A83)),
_xlpm.SecIDs,_xlfn._xlws.FILTER(D:D,(A:A=A83)),
_xlpm.TerIDs,_xlfn._xlws.FILTER(E:E,A:A=A83),
_xlpm.CuaIDs,_xlfn._xlws.FILTER(F:F,(A:A=A83)),
_xlpm.PrinPts,_xlfn._xlws.FILTER(G:G,(A:A=A83)),
_xlpm.SecPts,_xlfn._xlws.FILTER(H:H,(A:A=A83)),
_xlpm.TerPts,_xlfn._xlws.FILTER(I:I,(A:A=A83)),
_xlpm.CuaPts,_xlfn._xlws.FILTER(J:J,(A:A=A83)),
_xlpm.PSIds,_xlfn._xlws.FILTER(P:P,A:A=A83),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449.37</v>
      </c>
      <c r="W83" s="4" cm="1">
        <f t="array" aca="1" ref="W83" ca="1">_xlfn.LET(
_xlpm.PrinIDs,_xlfn._xlws.FILTER(C:C,(A:A=A83)),
_xlpm.SecIDs,_xlfn._xlws.FILTER(D:D,(A:A=A83)),
_xlpm.TerIDs,_xlfn._xlws.FILTER(E:E,A:A=A83),
_xlpm.CuaIDs,_xlfn._xlws.FILTER(F:F,(A:A=A83)),
_xlpm.PrinPts,_xlfn._xlws.FILTER(G:G,(A:A=A83)),
_xlpm.SecPts,_xlfn._xlws.FILTER(H:H,(A:A=A83)),
_xlpm.TerPts,_xlfn._xlws.FILTER(I:I,(A:A=A83)),
_xlpm.CuaPts,_xlfn._xlws.FILTER(J:J,(A:A=A83)),
_xlpm.PTIds,_xlfn._xlws.FILTER(Q:Q,A:A=A83),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458.01</v>
      </c>
      <c r="X83" s="4" cm="1">
        <f t="array" aca="1" ref="X83" ca="1">_xlfn.LET(
_xlpm.PrinIDs,_xlfn._xlws.FILTER(C:C,(A:A=A83)),
_xlpm.SecIDs,_xlfn._xlws.FILTER(D:D,(A:A=A83)),
_xlpm.TerIDs,_xlfn._xlws.FILTER(E:E,A:A=A83),
_xlpm.CuaIDs,_xlfn._xlws.FILTER(F:F,(A:A=A83)),
_xlpm.PrinPts,_xlfn._xlws.FILTER(G:G,(A:A=A83)),
_xlpm.SecPts,_xlfn._xlws.FILTER(H:H,(A:A=A83)),
_xlpm.TerPts,_xlfn._xlws.FILTER(I:I,(A:A=A83)),
_xlpm.CuaPts,_xlfn._xlws.FILTER(J:J,(A:A=A83)),
_xlpm.PCIds,_xlfn._xlws.FILTER(R:R,A:A=A83),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83" s="4" cm="1">
        <f t="array" aca="1" ref="Y83" ca="1">_xlfn.LET(
_xlpm.PrinIDs,_xlfn._xlws.FILTER(C:C,(A:A=A83)),
_xlpm.SecIDs,_xlfn._xlws.FILTER(D:D,(A:A=A83)),
_xlpm.AltIDs,_xlfn._xlws.FILTER(E:E,A:A=A83),
_xlpm.PrinPts,_xlfn._xlws.FILTER(G:G,(A:A=A83)),
_xlpm.SecPts,_xlfn._xlws.FILTER(H:H,(A:A=A83)),
_xlpm.AltPts,_xlfn._xlws.FILTER(I:I,(A:A=A83)),
_xlpm.SPIds,_xlfn._xlws.FILTER(S:S,A:A=A83),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428.40000000000003</v>
      </c>
      <c r="Z83" s="4" cm="1">
        <f t="array" aca="1" ref="Z83" ca="1">_xlfn.LET(
_xlpm.PrinIDs,_xlfn._xlws.FILTER(C:C,(A:A=A83)),
_xlpm.SecIDs,_xlfn._xlws.FILTER(D:D,(A:A=A83)),
_xlpm.TerIDs,_xlfn._xlws.FILTER(E:E,A:A=A83),
_xlpm.CuaIDs,_xlfn._xlws.FILTER(F:F,(A:A=A83)),
_xlpm.PrinPts,_xlfn._xlws.FILTER(G:G,(A:A=A83)),
_xlpm.SecPts,_xlfn._xlws.FILTER(H:H,(A:A=A83)),
_xlpm.TerPts,_xlfn._xlws.FILTER(I:I,(A:A=A83)),
_xlpm.CuaPts,_xlfn._xlws.FILTER(J:J,(A:A=A83)),
_xlpm.STIds,_xlfn._xlws.FILTER(T:T,A:A=A83),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431.19000000000005</v>
      </c>
      <c r="AA83" s="4" cm="1">
        <f t="array" aca="1" ref="AA83" ca="1">_xlfn.LET(
_xlpm.PrinIDs,_xlfn._xlws.FILTER(C:C,(A:A=A83)),
_xlpm.SecIDs,_xlfn._xlws.FILTER(D:D,(A:A=A83)),
_xlpm.TerIDs,_xlfn._xlws.FILTER(E:E,A:A=A83),
_xlpm.CuaIDs,_xlfn._xlws.FILTER(F:F,(A:A=A83)),
_xlpm.PrinPts,_xlfn._xlws.FILTER(G:G,(A:A=A83)),
_xlpm.SecPts,_xlfn._xlws.FILTER(H:H,(A:A=A83)),
_xlpm.TerPts,_xlfn._xlws.FILTER(I:I,(A:A=A83)),
_xlpm.CuaPts,_xlfn._xlws.FILTER(J:J,(A:A=A83)),
_xlpm.SCIds,_xlfn._xlws.FILTER(U:U,A:A=A83),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83" s="14">
        <f t="shared" ca="1" si="7"/>
        <v>304</v>
      </c>
      <c r="AC83" s="14">
        <v>304</v>
      </c>
      <c r="AD83" s="4"/>
      <c r="AE83" s="14" t="str">
        <f ca="1">IF(ISNUMBER(AC83),
IF($B83=1,VLOOKUP($AC83,Inventario1!$A:$H,2),
IF($B83=2,VLOOKUP($AC83,Inventario2!$A:$H,2),
IF($B83=3,VLOOKUP($AC83,Inventario3!$A:$H,2),
IF($B83=4,VLOOKUP($AC83,Inventario4!$A:$H,2),
IF($B83=5,VLOOKUP($AC83,Inventario5!$A:$H,2),
VLOOKUP($AC83,Inventario6!$A:$H,2)
))))),"No equipado")</f>
        <v>Legendario</v>
      </c>
      <c r="AF83" s="14" t="str">
        <f ca="1">IF(ISNUMBER(AC83),
IF($B83=1,VLOOKUP($AC83,Inventario1!$A:$H,3),
IF($B83=2,VLOOKUP($AC83,Inventario2!$A:$H,3),
IF($B83=3,VLOOKUP($AC83,Inventario3!$A:$H,3),
IF($B83=4,VLOOKUP($AC83,Inventario4!$A:$H,3),
IF($B83=5,VLOOKUP($AC83,Inventario5!$A:$H,3),
VLOOKUP($AC83,Inventario6!$A:$H,3)
))))),"")</f>
        <v>Guardia contundente</v>
      </c>
      <c r="AG83" s="14" t="str">
        <f ca="1">IF(ISNUMBER(AC83),
IF($B83=1,VLOOKUP($AC83,Inventario1!$A:$H,4),
IF($B83=2,VLOOKUP($AC83,Inventario2!$A:$H,4),
IF($B83=3,VLOOKUP($AC83,Inventario3!$A:$H,4),
IF($B83=4,VLOOKUP($AC83,Inventario4!$A:$H,4),
IF($B83=5,VLOOKUP($AC83,Inventario5!$A:$H,4),
VLOOKUP($AC83,Inventario6!$A:$H,4)
))))),"")</f>
        <v>Reflejos</v>
      </c>
      <c r="AH83" s="14" t="str">
        <f ca="1">IF(ISNUMBER(AC83),
IF($B83=1,VLOOKUP($AC83,Inventario1!$A:$H,5),
IF($B83=2,VLOOKUP($AC83,Inventario2!$A:$H,5),
IF($B83=3,VLOOKUP($AC83,Inventario3!$A:$H,5),
IF($B83=4,VLOOKUP($AC83,Inventario4!$A:$H,5),
IF($B83=5,VLOOKUP($AC83,Inventario5!$A:$H,5),
VLOOKUP($AC83,Inventario6!$A:$H,5)
))))),"")</f>
        <v>Ataque rápido</v>
      </c>
      <c r="AI83" s="14" t="str">
        <f ca="1">IF(ISNUMBER(AC83),
IF($B83=1,VLOOKUP($AC83,Inventario1!$A:$H,6),
IF($B83=2,VLOOKUP($AC83,Inventario2!$A:$H,6),
IF($B83=3,VLOOKUP($AC83,Inventario3!$A:$H,6),
IF($B83=4,VLOOKUP($AC83,Inventario4!$A:$H,6),
IF($B83=5,VLOOKUP($AC83,Inventario5!$A:$H,6),
VLOOKUP($AC83,Inventario6!$A:$H,6)
))))),"")</f>
        <v>Bloqueo</v>
      </c>
      <c r="AJ83" s="14" t="str">
        <f ca="1">IF(ISNUMBER(AC83),
IF($B83=1,VLOOKUP($AC83,Inventario1!$A:$H,7),
IF($B83=2,VLOOKUP($AC83,Inventario2!$A:$H,7),
IF($B83=3,VLOOKUP($AC83,Inventario3!$A:$H,7),
IF($B83=4,VLOOKUP($AC83,Inventario4!$A:$H,7),
IF($B83=5,VLOOKUP($AC83,Inventario5!$A:$H,7),
VLOOKUP($AC83,Inventario6!$A:$H,7)
))))),"")</f>
        <v>Espíritu</v>
      </c>
      <c r="AK83" s="15">
        <f ca="1">IF(ISNUMBER(AC83),
IF($B83=1,VLOOKUP($AC83,Inventario1!$A:$H,8),
IF($B83=2,VLOOKUP($AC83,Inventario2!$A:$H,8),
IF($B83=3,VLOOKUP($AC83,Inventario3!$A:$H,8),
IF($B83=4,VLOOKUP($AC83,Inventario4!$A:$H,8),
IF($B83=5,VLOOKUP($AC83,Inventario5!$A:$H,8),
VLOOKUP($AC83,Inventario6!$A:$H,8)
))))),"")</f>
        <v>0</v>
      </c>
    </row>
    <row r="84" spans="1:37" x14ac:dyDescent="0.25">
      <c r="A84" s="21" t="s">
        <v>71</v>
      </c>
      <c r="B84" s="3">
        <v>5</v>
      </c>
      <c r="C84" s="14" cm="1">
        <f t="array" aca="1" ref="C84" ca="1">_xlfn.LET(
    _xlpm.jugador, A84,
    _xlpm.idSel, AC84,
    _xlpm.invIDs, IF(B84=1,Inventario1!A:A,IF(B84=2,Inventario2!A:A,IF(B84=3,Inventario3!A:A,IF(B84=4,Inventario4!A:A,IF(B84=5,Inventario5!A:A,Inventario6!A:A))))),
    _xlpm.invCalidad, IF(B84=1,Inventario1!B:B,IF(B84=2,Inventario2!B:B,IF(B84=3,Inventario3!B:B,IF(B84=4,Inventario4!B:B,IF(B84=5,Inventario5!B:B,Inventario6!B:B))))),
    _xlpm.invTipos, IF(B84=1,Inventario1!C:C,IF(B84=2,Inventario2!C:C,IF(B84=3,Inventario3!C:C,IF(B84=4,Inventario4!C:C,IF(B84=5,Inventario5!C:C,Inventario6!C:C))))),
    _xlpm.invStats, IF(B84=1,Inventario1!D:H,IF(B84=2,Inventario2!D:H,IF(B84=3,Inventario3!D:H,IF(B84=4,Inventario4!D:H,IF(B84=5,Inventario5!D:H,Inventario6!D:H))))),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IF(ROW(A84)=2,"",IF(_xlfn._xlws.FILTER(Equipar!AC$2:AC83,Equipar!B$2:B83=B84)={0},"",_xlfn._xlws.FILTER(Equipar!AC$2:AC83,Equipar!B$2:B83=B84))),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256</v>
      </c>
      <c r="D84" s="4" cm="1">
        <f t="array" ref="D84">_xlfn.LET(
    _xlpm.jugador, A84,
    _xlpm.idSel, AC84,
    _xlpm.invIDs, IF(B84=1,Inventario1!A:A,IF(B84=2,Inventario2!A:A,IF(B84=3,Inventario3!A:A,IF(B84=4,Inventario4!A:A,IF(B84=5,Inventario5!A:A,Inventario6!A:A))))),
    _xlpm.invCalidad, IF(B84=1,Inventario1!B:B,IF(B84=2,Inventario2!B:B,IF(B84=3,Inventario3!B:B,IF(B84=4,Inventario4!B:B,IF(B84=5,Inventario5!B:B,Inventario6!B:B))))),
    _xlpm.invTipos, IF(B84=1,Inventario1!C:C,IF(B84=2,Inventario2!C:C,IF(B84=3,Inventario3!C:C,IF(B84=4,Inventario4!C:C,IF(B84=5,Inventario5!C:C,Inventario6!C:C))))),
    _xlpm.invStats, IF(B84=1,Inventario1!D:H,IF(B84=2,Inventario2!D:H,IF(B84=3,Inventario3!D:H,IF(B84=4,Inventario4!D:H,IF(B84=5,Inventario5!D:H,Inventario6!D:H))))),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IF(ROW(A84)=2,"",IF(_xlfn._xlws.FILTER(Equipar!AC$2:AC83,Equipar!B$2:B83=B84)={0},"",_xlfn._xlws.FILTER(Equipar!AC$2:AC83,Equipar!B$2:B83=B84))),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96</v>
      </c>
      <c r="E84" s="4" cm="1">
        <f t="array" ref="E84">_xlfn.LET(
    _xlpm.jugador, A84,
    _xlpm.idSel, AC84,
    _xlpm.invIDs, IF(B84=1,Inventario1!A:A,IF(B84=2,Inventario2!A:A,IF(B84=3,Inventario3!A:A,IF(B84=4,Inventario4!A:A,IF(B84=5,Inventario5!A:A,Inventario6!A:A))))),
    _xlpm.invCalidad, IF(B84=1,Inventario1!B:B,IF(B84=2,Inventario2!B:B,IF(B84=3,Inventario3!B:B,IF(B84=4,Inventario4!B:B,IF(B84=5,Inventario5!B:B,Inventario6!B:B))))),
    _xlpm.invTipos, IF(B84=1,Inventario1!C:C,IF(B84=2,Inventario2!C:C,IF(B84=3,Inventario3!C:C,IF(B84=4,Inventario4!C:C,IF(B84=5,Inventario5!C:C,Inventario6!C:C))))),
    _xlpm.invStats, IF(B84=1,Inventario1!D:H,IF(B84=2,Inventario2!D:H,IF(B84=3,Inventario3!D:H,IF(B84=4,Inventario4!D:H,IF(B84=5,Inventario5!D:H,Inventario6!D:H))))),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IF(ROW(A84)=2,"",IF(_xlfn._xlws.FILTER(Equipar!AC$2:AC83,Equipar!B$2:B83=B84)={0},"",_xlfn._xlws.FILTER(Equipar!AC$2:AC83,Equipar!B$2:B83=B84))),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100</v>
      </c>
      <c r="F84" s="4" t="str" cm="1">
        <f t="array" aca="1" ref="F84" ca="1">_xlfn.LET(
    _xlpm.jugador, B84,
    _xlpm.idSel, AD84,
    _xlpm.invIDs, IF(C84=1,Inventario1!B:B,IF(C84=2,Inventario2!B:B,IF(C84=3,Inventario3!B:B,IF(C84=4,Inventario4!B:B,IF(C84=5,Inventario5!B:B,Inventario6!B:B))))),
    _xlpm.invCalidad, IF(C84=1,Inventario1!C:C,IF(C84=2,Inventario2!C:C,IF(C84=3,Inventario3!C:C,IF(C84=4,Inventario4!C:C,IF(C84=5,Inventario5!C:C,Inventario6!C:C))))),
    _xlpm.invTipos, IF(C84=1,Inventario1!D:D,IF(C84=2,Inventario2!D:D,IF(C84=3,Inventario3!D:D,IF(C84=4,Inventario4!D:D,IF(C84=5,Inventario5!D:D,Inventario6!D:D))))),
    _xlpm.invStats, IF(C84=1,Inventario1!E:I,IF(C84=2,Inventario2!E:I,IF(C84=3,Inventario3!E:I,IF(C84=4,Inventario4!E:I,IF(C84=5,Inventario5!E:I,Inventario6!E:I))))),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IF(ROW(B84)=2,"",IF(_xlfn._xlws.FILTER(Equipar!AD$2:AD83,Equipar!C$2:C83=C84)={0},"",_xlfn._xlws.FILTER(Equipar!AD$2:AD83,Equipar!C$2:C83=C84))),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84" s="14" cm="1">
        <f t="array" aca="1" ref="G84" ca="1">_xlfn.LET(
    _xlpm.jugador, A84,
    _xlpm.idSel, AC84,
    _xlpm.invIDs, IF(B84=1,Inventario1!A:A,IF(B84=2,Inventario2!A:A,IF(B84=3,Inventario3!A:A,IF(B84=4,Inventario4!A:A,IF(B84=5,Inventario5!A:A,Inventario6!A:A))))),
    _xlpm.invCalidad, IF(B84=1,Inventario1!B:B,IF(B84=2,Inventario2!B:B,IF(B84=3,Inventario3!B:B,IF(B84=4,Inventario4!B:B,IF(B84=5,Inventario5!B:B,Inventario6!B:B))))),
    _xlpm.invTipos, IF(B84=1,Inventario1!C:C,IF(B84=2,Inventario2!C:C,IF(B84=3,Inventario3!C:C,IF(B84=4,Inventario4!C:C,IF(B84=5,Inventario5!C:C,Inventario6!C:C))))),
    _xlpm.invStats, IF(B84=1,Inventario1!D:H,IF(B84=2,Inventario2!D:H,IF(B84=3,Inventario3!D:H,IF(B84=4,Inventario4!D:H,IF(B84=5,Inventario5!D:H,Inventario6!D:H))))),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IF(ROW(A84)=2,"",IF(_xlfn._xlws.FILTER(Equipar!AC$2:AC83,Equipar!B$2:B83=B84)={0},"",_xlfn._xlws.FILTER(Equipar!AC$2:AC83,Equipar!B$2:B83=B84))),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47.88</v>
      </c>
      <c r="H84" s="4" cm="1">
        <f t="array" ref="H84">_xlfn.LET(
    _xlpm.jugador, A84,
    _xlpm.idSel, AC84,
    _xlpm.invIDs, IF(B84=1,Inventario1!A:A,IF(B84=2,Inventario2!A:A,IF(B84=3,Inventario3!A:A,IF(B84=4,Inventario4!A:A,IF(B84=5,Inventario5!A:A,Inventario6!A:A))))),
    _xlpm.invCalidad, IF(B84=1,Inventario1!B:B,IF(B84=2,Inventario2!B:B,IF(B84=3,Inventario3!B:B,IF(B84=4,Inventario4!B:B,IF(B84=5,Inventario5!B:B,Inventario6!B:B))))),
    _xlpm.invTipos, IF(B84=1,Inventario1!C:C,IF(B84=2,Inventario2!C:C,IF(B84=3,Inventario3!C:C,IF(B84=4,Inventario4!C:C,IF(B84=5,Inventario5!C:C,Inventario6!C:C))))),
    _xlpm.invStats, IF(B84=1,Inventario1!D:H,IF(B84=2,Inventario2!D:H,IF(B84=3,Inventario3!D:H,IF(B84=4,Inventario4!D:H,IF(B84=5,Inventario5!D:H,Inventario6!D:H))))),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IF(ROW(A84)=2,"",IF(_xlfn._xlws.FILTER(Equipar!AC$2:AC83,Equipar!B$2:B83=B84)={0},"",_xlfn._xlws.FILTER(Equipar!AC$2:AC83,Equipar!B$2:B83=B84))),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59.85</v>
      </c>
      <c r="I84" s="4" cm="1">
        <f t="array" ref="I84">_xlfn.LET(
    _xlpm.jugador, A84,
    _xlpm.idSel, AC84,
    _xlpm.invIDs, IF(B84=1,Inventario1!A:A,IF(B84=2,Inventario2!A:A,IF(B84=3,Inventario3!A:A,IF(B84=4,Inventario4!A:A,IF(B84=5,Inventario5!A:A,Inventario6!A:A))))),
    _xlpm.invCalidad, IF(B84=1,Inventario1!B:B,IF(B84=2,Inventario2!B:B,IF(B84=3,Inventario3!B:B,IF(B84=4,Inventario4!B:B,IF(B84=5,Inventario5!B:B,Inventario6!B:B))))),
    _xlpm.invTipos, IF(B84=1,Inventario1!C:C,IF(B84=2,Inventario2!C:C,IF(B84=3,Inventario3!C:C,IF(B84=4,Inventario4!C:C,IF(B84=5,Inventario5!C:C,Inventario6!C:C))))),
    _xlpm.invStats, IF(B84=1,Inventario1!D:H,IF(B84=2,Inventario2!D:H,IF(B84=3,Inventario3!D:H,IF(B84=4,Inventario4!D:H,IF(B84=5,Inventario5!D:H,Inventario6!D:H))))),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IF(ROW(A84)=2,"",IF(_xlfn._xlws.FILTER(Equipar!AC$2:AC83,Equipar!B$2:B83=B84)={0},"",_xlfn._xlws.FILTER(Equipar!AC$2:AC83,Equipar!B$2:B83=B84))),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47.88</v>
      </c>
      <c r="J84" s="4" cm="1">
        <f t="array" aca="1" ref="J84" ca="1">_xlfn.LET(
    _xlpm.jugador, B84,
    _xlpm.idSel, AD84,
    _xlpm.invIDs, IF(C84=1,Inventario1!B:B,IF(C84=2,Inventario2!B:B,IF(C84=3,Inventario3!B:B,IF(C84=4,Inventario4!B:B,IF(C84=5,Inventario5!B:B,Inventario6!B:B))))),
    _xlpm.invCalidad, IF(C84=1,Inventario1!C:C,IF(C84=2,Inventario2!C:C,IF(C84=3,Inventario3!C:C,IF(C84=4,Inventario4!C:C,IF(C84=5,Inventario5!C:C,Inventario6!C:C))))),
    _xlpm.invTipos, IF(C84=1,Inventario1!D:D,IF(C84=2,Inventario2!D:D,IF(C84=3,Inventario3!D:D,IF(C84=4,Inventario4!D:D,IF(C84=5,Inventario5!D:D,Inventario6!D:D))))),
    _xlpm.invStats, IF(C84=1,Inventario1!E:I,IF(C84=2,Inventario2!E:I,IF(C84=3,Inventario3!E:I,IF(C84=4,Inventario4!E:I,IF(C84=5,Inventario5!E:I,Inventario6!E:I))))),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IF(ROW(B84)=2,"",IF(_xlfn._xlws.FILTER(Equipar!AD$2:AD83,Equipar!C$2:C83=C84)={0},"",_xlfn._xlws.FILTER(Equipar!AD$2:AD83,Equipar!C$2:C83=C84))),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84" s="4">
        <f t="shared" ca="1" si="4"/>
        <v>-11.969999999999999</v>
      </c>
      <c r="L84" s="4">
        <f t="shared" ca="1" si="5"/>
        <v>0</v>
      </c>
      <c r="M84" s="4">
        <f t="shared" ca="1" si="5"/>
        <v>59.85</v>
      </c>
      <c r="N84" s="4">
        <f t="shared" si="6"/>
        <v>11.969999999999999</v>
      </c>
      <c r="O84" s="4">
        <f t="shared" ca="1" si="6"/>
        <v>47.88</v>
      </c>
      <c r="P84" s="14" cm="1">
        <f t="array" aca="1" ref="P84" ca="1">_xlfn.LET(
    _xlpm.ptsPrinBase, _xlfn._xlws.FILTER(G:G, A:A=A84),
    _xlpm.ptsSecBase,  _xlfn._xlws.FILTER(H:H, A:A=A84),
    _xlpm.puntosPrin, _xlpm.ptsPrinBase + _xlfn._xlws.FILTER(B:B, A:A=A84)/1000,
    _xlpm.puntosSec,  _xlpm.ptsSecBase  + _xlfn._xlws.FILTER(B:B, A:A=A84)/1000,
    _xlpm.puntosPrinValidos, SUM(--(_xlpm.ptsPrinBase&gt;0)),
    _xlpm.puntosSecValidos,  SUM(--(_xlpm.ptsSecBase&gt;0)),
    _xlpm.clave, K84 + B84/1000,
    _xlpm.claves, _xlfn._xlws.FILTER(K:K + B:B/1000, A:A=A84),
    IF(AND(_xlpm.puntosPrinValidos&gt;=4,_xlpm.puntosSecValidos&gt;=2),IF(
        SUM(--(_xlpm.claves &gt; _xlpm.clave)) &lt; 4,
        C84,
        D84
    ),"No disp")
)</f>
        <v>96</v>
      </c>
      <c r="Q84" s="14" cm="1">
        <f t="array" aca="1" ref="Q84" ca="1">_xlfn.LET(
    _xlpm.puntosPrin, _xlfn._xlws.FILTER(G:G + B:B/1000, A:A=A84),
    _xlpm.puntosPrinValidos, SUM(--(_xlpm.puntosPrin&gt;1)),
    _xlpm.puntosTer, _xlfn._xlws.FILTER(I:I + B:B/1000, A:A=A84),
    _xlpm.puntosTerValidos, SUM(--(_xlpm.puntosTer&gt;1)),
    _xlpm.clave, L84 + B84/1000,
    _xlpm.claves, _xlfn._xlws.FILTER(L:L + B:B/1000, A:A=A84),
    IF(AND(_xlpm.puntosPrinValidos&gt;=4,_xlpm.puntosTerValidos&gt;=2),IF(
        SUM(--(_xlpm.claves &gt; _xlpm.clave)) &lt; 4,
        C84,
        E84
    ),"No disp")
)</f>
        <v>256</v>
      </c>
      <c r="R84" s="14" t="str" cm="1">
        <f t="array" aca="1" ref="R84" ca="1">_xlfn.LET(
    _xlpm.puntosPrin, _xlfn._xlws.FILTER(G:G + B:B/1000, A:A=A84),
    _xlpm.puntosPrinValidos, SUM(--(_xlpm.puntosPrin&gt;1)),
    _xlpm.puntosTer, _xlfn._xlws.FILTER(J:J + B:B/1000, A:A=A84),
    _xlpm.puntosTerValidos, SUM(--(_xlpm.puntosTer&gt;1)),
    _xlpm.clave, M84 + B84/1000,
    _xlpm.claves, _xlfn._xlws.FILTER(M:M + B:B/1000, A:A=A84),
    IF(AND(_xlpm.puntosPrinValidos&gt;=4,_xlpm.puntosTerValidos&gt;=2),IF(
        SUM(--(_xlpm.claves &gt; _xlpm.clave)) &lt; 4,
        C84,
        F84
    ),"No disp")
)</f>
        <v>No disp</v>
      </c>
      <c r="S84" s="14" cm="1">
        <f t="array" aca="1" ref="S84" ca="1">_xlfn.LET(
    _xlpm.ptsPrinBase, _xlfn._xlws.FILTER(G:G, A:A=A84),
    _xlpm.ptsSecBase,  _xlfn._xlws.FILTER(H:H, A:A=A84),
    _xlpm.puntosPrin, _xlpm.ptsPrinBase + _xlfn._xlws.FILTER(B:B, A:A=A84)/1000,
    _xlpm.puntosSec,  _xlpm.ptsSecBase  + _xlfn._xlws.FILTER(B:B, A:A=A84)/1000,
    _xlpm.puntosPrinValidos, SUM(--(_xlpm.ptsPrinBase&gt;0)),
    _xlpm.puntosSecValidos,  SUM(--(_xlpm.ptsSecBase&gt;0)),
    _xlpm.clave, K84 + B84/1000,
    _xlpm.claves, _xlfn._xlws.FILTER(K:K + B:B/1000, A:A=A84),
    IF(
        AND(_xlpm.puntosPrinValidos&gt;=2, _xlpm.puntosSecValidos&gt;=4),
        IF(
            SUM(--(_xlpm.claves &lt; _xlpm.clave)) &lt; 4,
            D84,
            C84
        ),
        "No disp"
    )
)</f>
        <v>96</v>
      </c>
      <c r="T84" s="14" cm="1">
        <f t="array" aca="1" ref="T84" ca="1">_xlfn.LET(
    _xlpm.puntosSec, _xlfn._xlws.FILTER(H:H + B:B/1000, A:A=A84),
    _xlpm.puntosSecValidos, SUM(--(_xlpm.puntosSec&gt;1)),
    _xlpm.puntosAlt, _xlfn._xlws.FILTER(I:I + B:B/1000, A:A=A84),
    _xlpm.puntosAltValidos, SUM(--(_xlpm.puntosAlt&gt;1)),
    _xlpm.clave, N84 + B84/1000,
    _xlpm.claves, _xlfn._xlws.FILTER(N:N + B:B/1000, A:A=A84),
    IF(AND(_xlpm.puntosSecValidos&gt;=4,_xlpm.puntosAltValidos&gt;=2),IF(
        SUM(--(_xlpm.claves &gt; _xlpm.clave)) &lt; 4,
        D84,
        E84
    ),"No disp")
)</f>
        <v>96</v>
      </c>
      <c r="U84" s="14" t="str" cm="1">
        <f t="array" aca="1" ref="U84" ca="1">_xlfn.LET(
    _xlpm.puntosSec, _xlfn._xlws.FILTER(H:H + B:B/1000, A:A=A84),
    _xlpm.puntosSecValidos, SUM(--(_xlpm.puntosSec&gt;1)),
    _xlpm.puntosAlt, _xlfn._xlws.FILTER(J:J + B:B/1000, A:A=A84),
    _xlpm.puntosAltValidos, SUM(--(_xlpm.puntosAlt&gt;1)),
    _xlpm.clave, O84 + B84/1000,
    _xlpm.claves, _xlfn._xlws.FILTER(O:O + B:B/1000, A:A=A84),
    IF(AND(_xlpm.puntosSecValidos&gt;=4,_xlpm.puntosAltValidos&gt;=2),IF(
        SUM(--(_xlpm.claves &gt; _xlpm.clave)) &lt; 4,
        D84,
        F84
    ),"No disp")
)</f>
        <v>No disp</v>
      </c>
      <c r="V84" s="4" cm="1">
        <f t="array" aca="1" ref="V84" ca="1">_xlfn.LET(
_xlpm.PrinIDs,_xlfn._xlws.FILTER(C:C,(A:A=A84)),
_xlpm.SecIDs,_xlfn._xlws.FILTER(D:D,(A:A=A84)),
_xlpm.TerIDs,_xlfn._xlws.FILTER(E:E,A:A=A84),
_xlpm.CuaIDs,_xlfn._xlws.FILTER(F:F,(A:A=A84)),
_xlpm.PrinPts,_xlfn._xlws.FILTER(G:G,(A:A=A84)),
_xlpm.SecPts,_xlfn._xlws.FILTER(H:H,(A:A=A84)),
_xlpm.TerPts,_xlfn._xlws.FILTER(I:I,(A:A=A84)),
_xlpm.CuaPts,_xlfn._xlws.FILTER(J:J,(A:A=A84)),
_xlpm.PSIds,_xlfn._xlws.FILTER(P:P,A:A=A84),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449.37</v>
      </c>
      <c r="W84" s="4" cm="1">
        <f t="array" aca="1" ref="W84" ca="1">_xlfn.LET(
_xlpm.PrinIDs,_xlfn._xlws.FILTER(C:C,(A:A=A84)),
_xlpm.SecIDs,_xlfn._xlws.FILTER(D:D,(A:A=A84)),
_xlpm.TerIDs,_xlfn._xlws.FILTER(E:E,A:A=A84),
_xlpm.CuaIDs,_xlfn._xlws.FILTER(F:F,(A:A=A84)),
_xlpm.PrinPts,_xlfn._xlws.FILTER(G:G,(A:A=A84)),
_xlpm.SecPts,_xlfn._xlws.FILTER(H:H,(A:A=A84)),
_xlpm.TerPts,_xlfn._xlws.FILTER(I:I,(A:A=A84)),
_xlpm.CuaPts,_xlfn._xlws.FILTER(J:J,(A:A=A84)),
_xlpm.PTIds,_xlfn._xlws.FILTER(Q:Q,A:A=A84),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458.01</v>
      </c>
      <c r="X84" s="4" cm="1">
        <f t="array" aca="1" ref="X84" ca="1">_xlfn.LET(
_xlpm.PrinIDs,_xlfn._xlws.FILTER(C:C,(A:A=A84)),
_xlpm.SecIDs,_xlfn._xlws.FILTER(D:D,(A:A=A84)),
_xlpm.TerIDs,_xlfn._xlws.FILTER(E:E,A:A=A84),
_xlpm.CuaIDs,_xlfn._xlws.FILTER(F:F,(A:A=A84)),
_xlpm.PrinPts,_xlfn._xlws.FILTER(G:G,(A:A=A84)),
_xlpm.SecPts,_xlfn._xlws.FILTER(H:H,(A:A=A84)),
_xlpm.TerPts,_xlfn._xlws.FILTER(I:I,(A:A=A84)),
_xlpm.CuaPts,_xlfn._xlws.FILTER(J:J,(A:A=A84)),
_xlpm.PCIds,_xlfn._xlws.FILTER(R:R,A:A=A84),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84" s="4" cm="1">
        <f t="array" aca="1" ref="Y84" ca="1">_xlfn.LET(
_xlpm.PrinIDs,_xlfn._xlws.FILTER(C:C,(A:A=A84)),
_xlpm.SecIDs,_xlfn._xlws.FILTER(D:D,(A:A=A84)),
_xlpm.AltIDs,_xlfn._xlws.FILTER(E:E,A:A=A84),
_xlpm.PrinPts,_xlfn._xlws.FILTER(G:G,(A:A=A84)),
_xlpm.SecPts,_xlfn._xlws.FILTER(H:H,(A:A=A84)),
_xlpm.AltPts,_xlfn._xlws.FILTER(I:I,(A:A=A84)),
_xlpm.SPIds,_xlfn._xlws.FILTER(S:S,A:A=A84),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428.40000000000003</v>
      </c>
      <c r="Z84" s="4" cm="1">
        <f t="array" aca="1" ref="Z84" ca="1">_xlfn.LET(
_xlpm.PrinIDs,_xlfn._xlws.FILTER(C:C,(A:A=A84)),
_xlpm.SecIDs,_xlfn._xlws.FILTER(D:D,(A:A=A84)),
_xlpm.TerIDs,_xlfn._xlws.FILTER(E:E,A:A=A84),
_xlpm.CuaIDs,_xlfn._xlws.FILTER(F:F,(A:A=A84)),
_xlpm.PrinPts,_xlfn._xlws.FILTER(G:G,(A:A=A84)),
_xlpm.SecPts,_xlfn._xlws.FILTER(H:H,(A:A=A84)),
_xlpm.TerPts,_xlfn._xlws.FILTER(I:I,(A:A=A84)),
_xlpm.CuaPts,_xlfn._xlws.FILTER(J:J,(A:A=A84)),
_xlpm.STIds,_xlfn._xlws.FILTER(T:T,A:A=A84),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431.19000000000005</v>
      </c>
      <c r="AA84" s="4" cm="1">
        <f t="array" aca="1" ref="AA84" ca="1">_xlfn.LET(
_xlpm.PrinIDs,_xlfn._xlws.FILTER(C:C,(A:A=A84)),
_xlpm.SecIDs,_xlfn._xlws.FILTER(D:D,(A:A=A84)),
_xlpm.TerIDs,_xlfn._xlws.FILTER(E:E,A:A=A84),
_xlpm.CuaIDs,_xlfn._xlws.FILTER(F:F,(A:A=A84)),
_xlpm.PrinPts,_xlfn._xlws.FILTER(G:G,(A:A=A84)),
_xlpm.SecPts,_xlfn._xlws.FILTER(H:H,(A:A=A84)),
_xlpm.TerPts,_xlfn._xlws.FILTER(I:I,(A:A=A84)),
_xlpm.CuaPts,_xlfn._xlws.FILTER(J:J,(A:A=A84)),
_xlpm.SCIds,_xlfn._xlws.FILTER(U:U,A:A=A84),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84" s="14">
        <f t="shared" ca="1" si="7"/>
        <v>256</v>
      </c>
      <c r="AC84" s="14">
        <v>256</v>
      </c>
      <c r="AD84" s="4"/>
      <c r="AE84" s="14" t="str">
        <f ca="1">IF(ISNUMBER(AC84),
IF($B84=1,VLOOKUP($AC84,Inventario1!$A:$H,2),
IF($B84=2,VLOOKUP($AC84,Inventario2!$A:$H,2),
IF($B84=3,VLOOKUP($AC84,Inventario3!$A:$H,2),
IF($B84=4,VLOOKUP($AC84,Inventario4!$A:$H,2),
IF($B84=5,VLOOKUP($AC84,Inventario5!$A:$H,2),
VLOOKUP($AC84,Inventario6!$A:$H,2)
))))),"No equipado")</f>
        <v>Legendario</v>
      </c>
      <c r="AF84" s="14" t="str">
        <f ca="1">IF(ISNUMBER(AC84),
IF($B84=1,VLOOKUP($AC84,Inventario1!$A:$H,3),
IF($B84=2,VLOOKUP($AC84,Inventario2!$A:$H,3),
IF($B84=3,VLOOKUP($AC84,Inventario3!$A:$H,3),
IF($B84=4,VLOOKUP($AC84,Inventario4!$A:$H,3),
IF($B84=5,VLOOKUP($AC84,Inventario5!$A:$H,3),
VLOOKUP($AC84,Inventario6!$A:$H,3)
))))),"")</f>
        <v>Guardia contundente</v>
      </c>
      <c r="AG84" s="14" t="str">
        <f ca="1">IF(ISNUMBER(AC84),
IF($B84=1,VLOOKUP($AC84,Inventario1!$A:$H,4),
IF($B84=2,VLOOKUP($AC84,Inventario2!$A:$H,4),
IF($B84=3,VLOOKUP($AC84,Inventario3!$A:$H,4),
IF($B84=4,VLOOKUP($AC84,Inventario4!$A:$H,4),
IF($B84=5,VLOOKUP($AC84,Inventario5!$A:$H,4),
VLOOKUP($AC84,Inventario6!$A:$H,4)
))))),"")</f>
        <v>Recepción</v>
      </c>
      <c r="AH84" s="14" t="str">
        <f ca="1">IF(ISNUMBER(AC84),
IF($B84=1,VLOOKUP($AC84,Inventario1!$A:$H,5),
IF($B84=2,VLOOKUP($AC84,Inventario2!$A:$H,5),
IF($B84=3,VLOOKUP($AC84,Inventario3!$A:$H,5),
IF($B84=4,VLOOKUP($AC84,Inventario4!$A:$H,5),
IF($B84=5,VLOOKUP($AC84,Inventario5!$A:$H,5),
VLOOKUP($AC84,Inventario6!$A:$H,5)
))))),"")</f>
        <v>Ataque rápido</v>
      </c>
      <c r="AI84" s="14" t="str">
        <f ca="1">IF(ISNUMBER(AC84),
IF($B84=1,VLOOKUP($AC84,Inventario1!$A:$H,6),
IF($B84=2,VLOOKUP($AC84,Inventario2!$A:$H,6),
IF($B84=3,VLOOKUP($AC84,Inventario3!$A:$H,6),
IF($B84=4,VLOOKUP($AC84,Inventario4!$A:$H,6),
IF($B84=5,VLOOKUP($AC84,Inventario5!$A:$H,6),
VLOOKUP($AC84,Inventario6!$A:$H,6)
))))),"")</f>
        <v>Técnica ofensiva</v>
      </c>
      <c r="AJ84" s="14" t="str">
        <f ca="1">IF(ISNUMBER(AC84),
IF($B84=1,VLOOKUP($AC84,Inventario1!$A:$H,7),
IF($B84=2,VLOOKUP($AC84,Inventario2!$A:$H,7),
IF($B84=3,VLOOKUP($AC84,Inventario3!$A:$H,7),
IF($B84=4,VLOOKUP($AC84,Inventario4!$A:$H,7),
IF($B84=5,VLOOKUP($AC84,Inventario5!$A:$H,7),
VLOOKUP($AC84,Inventario6!$A:$H,7)
))))),"")</f>
        <v>Recuperación</v>
      </c>
      <c r="AK84" s="15" t="str">
        <f ca="1">IF(ISNUMBER(AC84),
IF($B84=1,VLOOKUP($AC84,Inventario1!$A:$H,8),
IF($B84=2,VLOOKUP($AC84,Inventario2!$A:$H,8),
IF($B84=3,VLOOKUP($AC84,Inventario3!$A:$H,8),
IF($B84=4,VLOOKUP($AC84,Inventario4!$A:$H,8),
IF($B84=5,VLOOKUP($AC84,Inventario5!$A:$H,8),
VLOOKUP($AC84,Inventario6!$A:$H,8)
))))),"")</f>
        <v>Saque</v>
      </c>
    </row>
    <row r="85" spans="1:37" ht="15.75" thickBot="1" x14ac:dyDescent="0.3">
      <c r="A85" s="22" t="s">
        <v>71</v>
      </c>
      <c r="B85" s="17">
        <v>6</v>
      </c>
      <c r="C85" s="18" cm="1">
        <f t="array" ref="C85">_xlfn.LET(
    _xlpm.jugador, A85,
    _xlpm.idSel, AC85,
    _xlpm.invIDs, IF(B85=1,Inventario1!A:A,IF(B85=2,Inventario2!A:A,IF(B85=3,Inventario3!A:A,IF(B85=4,Inventario4!A:A,IF(B85=5,Inventario5!A:A,Inventario6!A:A))))),
    _xlpm.invCalidad, IF(B85=1,Inventario1!B:B,IF(B85=2,Inventario2!B:B,IF(B85=3,Inventario3!B:B,IF(B85=4,Inventario4!B:B,IF(B85=5,Inventario5!B:B,Inventario6!B:B))))),
    _xlpm.invTipos, IF(B85=1,Inventario1!C:C,IF(B85=2,Inventario2!C:C,IF(B85=3,Inventario3!C:C,IF(B85=4,Inventario4!C:C,IF(B85=5,Inventario5!C:C,Inventario6!C:C))))),
    _xlpm.invStats, IF(B85=1,Inventario1!D:H,IF(B85=2,Inventario2!D:H,IF(B85=3,Inventario3!D:H,IF(B85=4,Inventario4!D:H,IF(B85=5,Inventario5!D:H,Inventario6!D:H))))),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IF(ROW(A85)=2,"",IF(_xlfn._xlws.FILTER(Equipar!AC$2:AC84,Equipar!B$2:B84=B85)={0},"",_xlfn._xlws.FILTER(Equipar!AC$2:AC84,Equipar!B$2:B84=B85))),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206</v>
      </c>
      <c r="D85" s="17" cm="1">
        <f t="array" aca="1" ref="D85" ca="1">_xlfn.LET(
    _xlpm.jugador, A85,
    _xlpm.idSel, AC85,
    _xlpm.invIDs, IF(B85=1,Inventario1!A:A,IF(B85=2,Inventario2!A:A,IF(B85=3,Inventario3!A:A,IF(B85=4,Inventario4!A:A,IF(B85=5,Inventario5!A:A,Inventario6!A:A))))),
    _xlpm.invCalidad, IF(B85=1,Inventario1!B:B,IF(B85=2,Inventario2!B:B,IF(B85=3,Inventario3!B:B,IF(B85=4,Inventario4!B:B,IF(B85=5,Inventario5!B:B,Inventario6!B:B))))),
    _xlpm.invTipos, IF(B85=1,Inventario1!C:C,IF(B85=2,Inventario2!C:C,IF(B85=3,Inventario3!C:C,IF(B85=4,Inventario4!C:C,IF(B85=5,Inventario5!C:C,Inventario6!C:C))))),
    _xlpm.invStats, IF(B85=1,Inventario1!D:H,IF(B85=2,Inventario2!D:H,IF(B85=3,Inventario3!D:H,IF(B85=4,Inventario4!D:H,IF(B85=5,Inventario5!D:H,Inventario6!D:H))))),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IF(ROW(A85)=2,"",IF(_xlfn._xlws.FILTER(Equipar!AC$2:AC84,Equipar!B$2:B84=B85)={0},"",_xlfn._xlws.FILTER(Equipar!AC$2:AC84,Equipar!B$2:B84=B85))),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117</v>
      </c>
      <c r="E85" s="17" cm="1">
        <f t="array" ref="E85">_xlfn.LET(
    _xlpm.jugador, A85,
    _xlpm.idSel, AC85,
    _xlpm.invIDs, IF(B85=1,Inventario1!A:A,IF(B85=2,Inventario2!A:A,IF(B85=3,Inventario3!A:A,IF(B85=4,Inventario4!A:A,IF(B85=5,Inventario5!A:A,Inventario6!A:A))))),
    _xlpm.invCalidad, IF(B85=1,Inventario1!B:B,IF(B85=2,Inventario2!B:B,IF(B85=3,Inventario3!B:B,IF(B85=4,Inventario4!B:B,IF(B85=5,Inventario5!B:B,Inventario6!B:B))))),
    _xlpm.invTipos, IF(B85=1,Inventario1!C:C,IF(B85=2,Inventario2!C:C,IF(B85=3,Inventario3!C:C,IF(B85=4,Inventario4!C:C,IF(B85=5,Inventario5!C:C,Inventario6!C:C))))),
    _xlpm.invStats, IF(B85=1,Inventario1!D:H,IF(B85=2,Inventario2!D:H,IF(B85=3,Inventario3!D:H,IF(B85=4,Inventario4!D:H,IF(B85=5,Inventario5!D:H,Inventario6!D:H))))),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IF(ROW(A85)=2,"",IF(_xlfn._xlws.FILTER(Equipar!AC$2:AC84,Equipar!B$2:B84=B85)={0},"",_xlfn._xlws.FILTER(Equipar!AC$2:AC84,Equipar!B$2:B84=B85))),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96</v>
      </c>
      <c r="F85" s="17" t="str" cm="1">
        <f t="array" aca="1" ref="F85" ca="1">_xlfn.LET(
    _xlpm.jugador, B85,
    _xlpm.idSel, AD85,
    _xlpm.invIDs, IF(C85=1,Inventario1!B:B,IF(C85=2,Inventario2!B:B,IF(C85=3,Inventario3!B:B,IF(C85=4,Inventario4!B:B,IF(C85=5,Inventario5!B:B,Inventario6!B:B))))),
    _xlpm.invCalidad, IF(C85=1,Inventario1!C:C,IF(C85=2,Inventario2!C:C,IF(C85=3,Inventario3!C:C,IF(C85=4,Inventario4!C:C,IF(C85=5,Inventario5!C:C,Inventario6!C:C))))),
    _xlpm.invTipos, IF(C85=1,Inventario1!D:D,IF(C85=2,Inventario2!D:D,IF(C85=3,Inventario3!D:D,IF(C85=4,Inventario4!D:D,IF(C85=5,Inventario5!D:D,Inventario6!D:D))))),
    _xlpm.invStats, IF(C85=1,Inventario1!E:I,IF(C85=2,Inventario2!E:I,IF(C85=3,Inventario3!E:I,IF(C85=4,Inventario4!E:I,IF(C85=5,Inventario5!E:I,Inventario6!E:I))))),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IF(ROW(B85)=2,"",IF(_xlfn._xlws.FILTER(Equipar!AD$2:AD84,Equipar!C$2:C84=C85)={0},"",_xlfn._xlws.FILTER(Equipar!AD$2:AD84,Equipar!C$2:C84=C85))),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85" s="18" cm="1">
        <f t="array" ref="G85">_xlfn.LET(
    _xlpm.jugador, A85,
    _xlpm.idSel, AC85,
    _xlpm.invIDs, IF(B85=1,Inventario1!A:A,IF(B85=2,Inventario2!A:A,IF(B85=3,Inventario3!A:A,IF(B85=4,Inventario4!A:A,IF(B85=5,Inventario5!A:A,Inventario6!A:A))))),
    _xlpm.invCalidad, IF(B85=1,Inventario1!B:B,IF(B85=2,Inventario2!B:B,IF(B85=3,Inventario3!B:B,IF(B85=4,Inventario4!B:B,IF(B85=5,Inventario5!B:B,Inventario6!B:B))))),
    _xlpm.invTipos, IF(B85=1,Inventario1!C:C,IF(B85=2,Inventario2!C:C,IF(B85=3,Inventario3!C:C,IF(B85=4,Inventario4!C:C,IF(B85=5,Inventario5!C:C,Inventario6!C:C))))),
    _xlpm.invStats, IF(B85=1,Inventario1!D:H,IF(B85=2,Inventario2!D:H,IF(B85=3,Inventario3!D:H,IF(B85=4,Inventario4!D:H,IF(B85=5,Inventario5!D:H,Inventario6!D:H))))),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IF(ROW(A85)=2,"",IF(_xlfn._xlws.FILTER(Equipar!AC$2:AC84,Equipar!B$2:B84=B85)={0},"",_xlfn._xlws.FILTER(Equipar!AC$2:AC84,Equipar!B$2:B84=B85))),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H85" s="17" cm="1">
        <f t="array" aca="1" ref="H85" ca="1">_xlfn.LET(
    _xlpm.jugador, A85,
    _xlpm.idSel, AC85,
    _xlpm.invIDs, IF(B85=1,Inventario1!A:A,IF(B85=2,Inventario2!A:A,IF(B85=3,Inventario3!A:A,IF(B85=4,Inventario4!A:A,IF(B85=5,Inventario5!A:A,Inventario6!A:A))))),
    _xlpm.invCalidad, IF(B85=1,Inventario1!B:B,IF(B85=2,Inventario2!B:B,IF(B85=3,Inventario3!B:B,IF(B85=4,Inventario4!B:B,IF(B85=5,Inventario5!B:B,Inventario6!B:B))))),
    _xlpm.invTipos, IF(B85=1,Inventario1!C:C,IF(B85=2,Inventario2!C:C,IF(B85=3,Inventario3!C:C,IF(B85=4,Inventario4!C:C,IF(B85=5,Inventario5!C:C,Inventario6!C:C))))),
    _xlpm.invStats, IF(B85=1,Inventario1!D:H,IF(B85=2,Inventario2!D:H,IF(B85=3,Inventario3!D:H,IF(B85=4,Inventario4!D:H,IF(B85=5,Inventario5!D:H,Inventario6!D:H))))),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IF(ROW(A85)=2,"",IF(_xlfn._xlws.FILTER(Equipar!AC$2:AC84,Equipar!B$2:B84=B85)={0},"",_xlfn._xlws.FILTER(Equipar!AC$2:AC84,Equipar!B$2:B84=B85))),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I85" s="17" cm="1">
        <f t="array" ref="I85">_xlfn.LET(
    _xlpm.jugador, A85,
    _xlpm.idSel, AC85,
    _xlpm.invIDs, IF(B85=1,Inventario1!A:A,IF(B85=2,Inventario2!A:A,IF(B85=3,Inventario3!A:A,IF(B85=4,Inventario4!A:A,IF(B85=5,Inventario5!A:A,Inventario6!A:A))))),
    _xlpm.invCalidad, IF(B85=1,Inventario1!B:B,IF(B85=2,Inventario2!B:B,IF(B85=3,Inventario3!B:B,IF(B85=4,Inventario4!B:B,IF(B85=5,Inventario5!B:B,Inventario6!B:B))))),
    _xlpm.invTipos, IF(B85=1,Inventario1!C:C,IF(B85=2,Inventario2!C:C,IF(B85=3,Inventario3!C:C,IF(B85=4,Inventario4!C:C,IF(B85=5,Inventario5!C:C,Inventario6!C:C))))),
    _xlpm.invStats, IF(B85=1,Inventario1!D:H,IF(B85=2,Inventario2!D:H,IF(B85=3,Inventario3!D:H,IF(B85=4,Inventario4!D:H,IF(B85=5,Inventario5!D:H,Inventario6!D:H))))),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IF(ROW(A85)=2,"",IF(_xlfn._xlws.FILTER(Equipar!AC$2:AC84,Equipar!B$2:B84=B85)={0},"",_xlfn._xlws.FILTER(Equipar!AC$2:AC84,Equipar!B$2:B84=B85))),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J85" s="17" cm="1">
        <f t="array" aca="1" ref="J85" ca="1">_xlfn.LET(
    _xlpm.jugador, B85,
    _xlpm.idSel, AD85,
    _xlpm.invIDs, IF(C85=1,Inventario1!B:B,IF(C85=2,Inventario2!B:B,IF(C85=3,Inventario3!B:B,IF(C85=4,Inventario4!B:B,IF(C85=5,Inventario5!B:B,Inventario6!B:B))))),
    _xlpm.invCalidad, IF(C85=1,Inventario1!C:C,IF(C85=2,Inventario2!C:C,IF(C85=3,Inventario3!C:C,IF(C85=4,Inventario4!C:C,IF(C85=5,Inventario5!C:C,Inventario6!C:C))))),
    _xlpm.invTipos, IF(C85=1,Inventario1!D:D,IF(C85=2,Inventario2!D:D,IF(C85=3,Inventario3!D:D,IF(C85=4,Inventario4!D:D,IF(C85=5,Inventario5!D:D,Inventario6!D:D))))),
    _xlpm.invStats, IF(C85=1,Inventario1!E:I,IF(C85=2,Inventario2!E:I,IF(C85=3,Inventario3!E:I,IF(C85=4,Inventario4!E:I,IF(C85=5,Inventario5!E:I,Inventario6!E:I))))),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IF(ROW(B85)=2,"",IF(_xlfn._xlws.FILTER(Equipar!AD$2:AD84,Equipar!C$2:C84=C85)={0},"",_xlfn._xlws.FILTER(Equipar!AD$2:AD84,Equipar!C$2:C84=C85))),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85" s="17">
        <f t="shared" ca="1" si="4"/>
        <v>9</v>
      </c>
      <c r="L85" s="17">
        <f t="shared" si="5"/>
        <v>-11.790000000000006</v>
      </c>
      <c r="M85" s="17">
        <f t="shared" ca="1" si="5"/>
        <v>63</v>
      </c>
      <c r="N85" s="17">
        <f t="shared" ca="1" si="6"/>
        <v>-20.790000000000006</v>
      </c>
      <c r="O85" s="17">
        <f t="shared" ca="1" si="6"/>
        <v>83.79</v>
      </c>
      <c r="P85" s="18" cm="1">
        <f t="array" aca="1" ref="P85" ca="1">_xlfn.LET(
    _xlpm.ptsPrinBase, _xlfn._xlws.FILTER(G:G, A:A=A85),
    _xlpm.ptsSecBase,  _xlfn._xlws.FILTER(H:H, A:A=A85),
    _xlpm.puntosPrin, _xlpm.ptsPrinBase + _xlfn._xlws.FILTER(B:B, A:A=A85)/1000,
    _xlpm.puntosSec,  _xlpm.ptsSecBase  + _xlfn._xlws.FILTER(B:B, A:A=A85)/1000,
    _xlpm.puntosPrinValidos, SUM(--(_xlpm.ptsPrinBase&gt;0)),
    _xlpm.puntosSecValidos,  SUM(--(_xlpm.ptsSecBase&gt;0)),
    _xlpm.clave, K85 + B85/1000,
    _xlpm.claves, _xlfn._xlws.FILTER(K:K + B:B/1000, A:A=A85),
    IF(AND(_xlpm.puntosPrinValidos&gt;=4,_xlpm.puntosSecValidos&gt;=2),IF(
        SUM(--(_xlpm.claves &gt; _xlpm.clave)) &lt; 4,
        C85,
        D85
    ),"No disp")
)</f>
        <v>206</v>
      </c>
      <c r="Q85" s="18" cm="1">
        <f t="array" aca="1" ref="Q85" ca="1">_xlfn.LET(
    _xlpm.puntosPrin, _xlfn._xlws.FILTER(G:G + B:B/1000, A:A=A85),
    _xlpm.puntosPrinValidos, SUM(--(_xlpm.puntosPrin&gt;1)),
    _xlpm.puntosTer, _xlfn._xlws.FILTER(I:I + B:B/1000, A:A=A85),
    _xlpm.puntosTerValidos, SUM(--(_xlpm.puntosTer&gt;1)),
    _xlpm.clave, L85 + B85/1000,
    _xlpm.claves, _xlfn._xlws.FILTER(L:L + B:B/1000, A:A=A85),
    IF(AND(_xlpm.puntosPrinValidos&gt;=4,_xlpm.puntosTerValidos&gt;=2),IF(
        SUM(--(_xlpm.claves &gt; _xlpm.clave)) &lt; 4,
        C85,
        E85
    ),"No disp")
)</f>
        <v>96</v>
      </c>
      <c r="R85" s="18" t="str" cm="1">
        <f t="array" aca="1" ref="R85" ca="1">_xlfn.LET(
    _xlpm.puntosPrin, _xlfn._xlws.FILTER(G:G + B:B/1000, A:A=A85),
    _xlpm.puntosPrinValidos, SUM(--(_xlpm.puntosPrin&gt;1)),
    _xlpm.puntosTer, _xlfn._xlws.FILTER(J:J + B:B/1000, A:A=A85),
    _xlpm.puntosTerValidos, SUM(--(_xlpm.puntosTer&gt;1)),
    _xlpm.clave, M85 + B85/1000,
    _xlpm.claves, _xlfn._xlws.FILTER(M:M + B:B/1000, A:A=A85),
    IF(AND(_xlpm.puntosPrinValidos&gt;=4,_xlpm.puntosTerValidos&gt;=2),IF(
        SUM(--(_xlpm.claves &gt; _xlpm.clave)) &lt; 4,
        C85,
        F85
    ),"No disp")
)</f>
        <v>No disp</v>
      </c>
      <c r="S85" s="18" cm="1">
        <f t="array" aca="1" ref="S85" ca="1">_xlfn.LET(
    _xlpm.ptsPrinBase, _xlfn._xlws.FILTER(G:G, A:A=A85),
    _xlpm.ptsSecBase,  _xlfn._xlws.FILTER(H:H, A:A=A85),
    _xlpm.puntosPrin, _xlpm.ptsPrinBase + _xlfn._xlws.FILTER(B:B, A:A=A85)/1000,
    _xlpm.puntosSec,  _xlpm.ptsSecBase  + _xlfn._xlws.FILTER(B:B, A:A=A85)/1000,
    _xlpm.puntosPrinValidos, SUM(--(_xlpm.ptsPrinBase&gt;0)),
    _xlpm.puntosSecValidos,  SUM(--(_xlpm.ptsSecBase&gt;0)),
    _xlpm.clave, K85 + B85/1000,
    _xlpm.claves, _xlfn._xlws.FILTER(K:K + B:B/1000, A:A=A85),
    IF(
        AND(_xlpm.puntosPrinValidos&gt;=2, _xlpm.puntosSecValidos&gt;=4),
        IF(
            SUM(--(_xlpm.claves &lt; _xlpm.clave)) &lt; 4,
            D85,
            C85
        ),
        "No disp"
    )
)</f>
        <v>117</v>
      </c>
      <c r="T85" s="18" cm="1">
        <f t="array" aca="1" ref="T85" ca="1">_xlfn.LET(
    _xlpm.puntosSec, _xlfn._xlws.FILTER(H:H + B:B/1000, A:A=A85),
    _xlpm.puntosSecValidos, SUM(--(_xlpm.puntosSec&gt;1)),
    _xlpm.puntosAlt, _xlfn._xlws.FILTER(I:I + B:B/1000, A:A=A85),
    _xlpm.puntosAltValidos, SUM(--(_xlpm.puntosAlt&gt;1)),
    _xlpm.clave, N85 + B85/1000,
    _xlpm.claves, _xlfn._xlws.FILTER(N:N + B:B/1000, A:A=A85),
    IF(AND(_xlpm.puntosSecValidos&gt;=4,_xlpm.puntosAltValidos&gt;=2),IF(
        SUM(--(_xlpm.claves &gt; _xlpm.clave)) &lt; 4,
        D85,
        E85
    ),"No disp")
)</f>
        <v>96</v>
      </c>
      <c r="U85" s="18" t="str" cm="1">
        <f t="array" aca="1" ref="U85" ca="1">_xlfn.LET(
    _xlpm.puntosSec, _xlfn._xlws.FILTER(H:H + B:B/1000, A:A=A85),
    _xlpm.puntosSecValidos, SUM(--(_xlpm.puntosSec&gt;1)),
    _xlpm.puntosAlt, _xlfn._xlws.FILTER(J:J + B:B/1000, A:A=A85),
    _xlpm.puntosAltValidos, SUM(--(_xlpm.puntosAlt&gt;1)),
    _xlpm.clave, O85 + B85/1000,
    _xlpm.claves, _xlfn._xlws.FILTER(O:O + B:B/1000, A:A=A85),
    IF(AND(_xlpm.puntosSecValidos&gt;=4,_xlpm.puntosAltValidos&gt;=2),IF(
        SUM(--(_xlpm.claves &gt; _xlpm.clave)) &lt; 4,
        D85,
        F85
    ),"No disp")
)</f>
        <v>No disp</v>
      </c>
      <c r="V85" s="17" cm="1">
        <f t="array" aca="1" ref="V85" ca="1">_xlfn.LET(
_xlpm.PrinIDs,_xlfn._xlws.FILTER(C:C,(A:A=A85)),
_xlpm.SecIDs,_xlfn._xlws.FILTER(D:D,(A:A=A85)),
_xlpm.TerIDs,_xlfn._xlws.FILTER(E:E,A:A=A85),
_xlpm.CuaIDs,_xlfn._xlws.FILTER(F:F,(A:A=A85)),
_xlpm.PrinPts,_xlfn._xlws.FILTER(G:G,(A:A=A85)),
_xlpm.SecPts,_xlfn._xlws.FILTER(H:H,(A:A=A85)),
_xlpm.TerPts,_xlfn._xlws.FILTER(I:I,(A:A=A85)),
_xlpm.CuaPts,_xlfn._xlws.FILTER(J:J,(A:A=A85)),
_xlpm.PSIds,_xlfn._xlws.FILTER(P:P,A:A=A85),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449.37</v>
      </c>
      <c r="W85" s="17" cm="1">
        <f t="array" aca="1" ref="W85" ca="1">_xlfn.LET(
_xlpm.PrinIDs,_xlfn._xlws.FILTER(C:C,(A:A=A85)),
_xlpm.SecIDs,_xlfn._xlws.FILTER(D:D,(A:A=A85)),
_xlpm.TerIDs,_xlfn._xlws.FILTER(E:E,A:A=A85),
_xlpm.CuaIDs,_xlfn._xlws.FILTER(F:F,(A:A=A85)),
_xlpm.PrinPts,_xlfn._xlws.FILTER(G:G,(A:A=A85)),
_xlpm.SecPts,_xlfn._xlws.FILTER(H:H,(A:A=A85)),
_xlpm.TerPts,_xlfn._xlws.FILTER(I:I,(A:A=A85)),
_xlpm.CuaPts,_xlfn._xlws.FILTER(J:J,(A:A=A85)),
_xlpm.PTIds,_xlfn._xlws.FILTER(Q:Q,A:A=A85),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458.01</v>
      </c>
      <c r="X85" s="17" cm="1">
        <f t="array" aca="1" ref="X85" ca="1">_xlfn.LET(
_xlpm.PrinIDs,_xlfn._xlws.FILTER(C:C,(A:A=A85)),
_xlpm.SecIDs,_xlfn._xlws.FILTER(D:D,(A:A=A85)),
_xlpm.TerIDs,_xlfn._xlws.FILTER(E:E,A:A=A85),
_xlpm.CuaIDs,_xlfn._xlws.FILTER(F:F,(A:A=A85)),
_xlpm.PrinPts,_xlfn._xlws.FILTER(G:G,(A:A=A85)),
_xlpm.SecPts,_xlfn._xlws.FILTER(H:H,(A:A=A85)),
_xlpm.TerPts,_xlfn._xlws.FILTER(I:I,(A:A=A85)),
_xlpm.CuaPts,_xlfn._xlws.FILTER(J:J,(A:A=A85)),
_xlpm.PCIds,_xlfn._xlws.FILTER(R:R,A:A=A85),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85" s="17" cm="1">
        <f t="array" aca="1" ref="Y85" ca="1">_xlfn.LET(
_xlpm.PrinIDs,_xlfn._xlws.FILTER(C:C,(A:A=A85)),
_xlpm.SecIDs,_xlfn._xlws.FILTER(D:D,(A:A=A85)),
_xlpm.AltIDs,_xlfn._xlws.FILTER(E:E,A:A=A85),
_xlpm.PrinPts,_xlfn._xlws.FILTER(G:G,(A:A=A85)),
_xlpm.SecPts,_xlfn._xlws.FILTER(H:H,(A:A=A85)),
_xlpm.AltPts,_xlfn._xlws.FILTER(I:I,(A:A=A85)),
_xlpm.SPIds,_xlfn._xlws.FILTER(S:S,A:A=A85),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428.40000000000003</v>
      </c>
      <c r="Z85" s="17" cm="1">
        <f t="array" aca="1" ref="Z85" ca="1">_xlfn.LET(
_xlpm.PrinIDs,_xlfn._xlws.FILTER(C:C,(A:A=A85)),
_xlpm.SecIDs,_xlfn._xlws.FILTER(D:D,(A:A=A85)),
_xlpm.TerIDs,_xlfn._xlws.FILTER(E:E,A:A=A85),
_xlpm.CuaIDs,_xlfn._xlws.FILTER(F:F,(A:A=A85)),
_xlpm.PrinPts,_xlfn._xlws.FILTER(G:G,(A:A=A85)),
_xlpm.SecPts,_xlfn._xlws.FILTER(H:H,(A:A=A85)),
_xlpm.TerPts,_xlfn._xlws.FILTER(I:I,(A:A=A85)),
_xlpm.CuaPts,_xlfn._xlws.FILTER(J:J,(A:A=A85)),
_xlpm.STIds,_xlfn._xlws.FILTER(T:T,A:A=A85),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431.19000000000005</v>
      </c>
      <c r="AA85" s="17" cm="1">
        <f t="array" aca="1" ref="AA85" ca="1">_xlfn.LET(
_xlpm.PrinIDs,_xlfn._xlws.FILTER(C:C,(A:A=A85)),
_xlpm.SecIDs,_xlfn._xlws.FILTER(D:D,(A:A=A85)),
_xlpm.TerIDs,_xlfn._xlws.FILTER(E:E,A:A=A85),
_xlpm.CuaIDs,_xlfn._xlws.FILTER(F:F,(A:A=A85)),
_xlpm.PrinPts,_xlfn._xlws.FILTER(G:G,(A:A=A85)),
_xlpm.SecPts,_xlfn._xlws.FILTER(H:H,(A:A=A85)),
_xlpm.TerPts,_xlfn._xlws.FILTER(I:I,(A:A=A85)),
_xlpm.CuaPts,_xlfn._xlws.FILTER(J:J,(A:A=A85)),
_xlpm.SCIds,_xlfn._xlws.FILTER(U:U,A:A=A85),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85" s="18">
        <f t="shared" ca="1" si="7"/>
        <v>96</v>
      </c>
      <c r="AC85" s="18">
        <v>96</v>
      </c>
      <c r="AD85" s="17"/>
      <c r="AE85" s="18" t="str">
        <f ca="1">IF(ISNUMBER(AC85),
IF($B85=1,VLOOKUP($AC85,Inventario1!$A:$H,2),
IF($B85=2,VLOOKUP($AC85,Inventario2!$A:$H,2),
IF($B85=3,VLOOKUP($AC85,Inventario3!$A:$H,2),
IF($B85=4,VLOOKUP($AC85,Inventario4!$A:$H,2),
IF($B85=5,VLOOKUP($AC85,Inventario5!$A:$H,2),
VLOOKUP($AC85,Inventario6!$A:$H,2)
))))),"No equipado")</f>
        <v>Legendario</v>
      </c>
      <c r="AF85" s="18" t="str">
        <f ca="1">IF(ISNUMBER(AC85),
IF($B85=1,VLOOKUP($AC85,Inventario1!$A:$H,3),
IF($B85=2,VLOOKUP($AC85,Inventario2!$A:$H,3),
IF($B85=3,VLOOKUP($AC85,Inventario3!$A:$H,3),
IF($B85=4,VLOOKUP($AC85,Inventario4!$A:$H,3),
IF($B85=5,VLOOKUP($AC85,Inventario5!$A:$H,3),
VLOOKUP($AC85,Inventario6!$A:$H,3)
))))),"")</f>
        <v>Movimiento de bloqueo</v>
      </c>
      <c r="AG85" s="18" t="str">
        <f ca="1">IF(ISNUMBER(AC85),
IF($B85=1,VLOOKUP($AC85,Inventario1!$A:$H,4),
IF($B85=2,VLOOKUP($AC85,Inventario2!$A:$H,4),
IF($B85=3,VLOOKUP($AC85,Inventario3!$A:$H,4),
IF($B85=4,VLOOKUP($AC85,Inventario4!$A:$H,4),
IF($B85=5,VLOOKUP($AC85,Inventario5!$A:$H,4),
VLOOKUP($AC85,Inventario6!$A:$H,4)
))))),"")</f>
        <v>Saque</v>
      </c>
      <c r="AH85" s="18" t="str">
        <f ca="1">IF(ISNUMBER(AC85),
IF($B85=1,VLOOKUP($AC85,Inventario1!$A:$H,5),
IF($B85=2,VLOOKUP($AC85,Inventario2!$A:$H,5),
IF($B85=3,VLOOKUP($AC85,Inventario3!$A:$H,5),
IF($B85=4,VLOOKUP($AC85,Inventario4!$A:$H,5),
IF($B85=5,VLOOKUP($AC85,Inventario5!$A:$H,5),
VLOOKUP($AC85,Inventario6!$A:$H,5)
))))),"")</f>
        <v>Ataque rápido</v>
      </c>
      <c r="AI85" s="18" t="str">
        <f ca="1">IF(ISNUMBER(AC85),
IF($B85=1,VLOOKUP($AC85,Inventario1!$A:$H,6),
IF($B85=2,VLOOKUP($AC85,Inventario2!$A:$H,6),
IF($B85=3,VLOOKUP($AC85,Inventario3!$A:$H,6),
IF($B85=4,VLOOKUP($AC85,Inventario4!$A:$H,6),
IF($B85=5,VLOOKUP($AC85,Inventario5!$A:$H,6),
VLOOKUP($AC85,Inventario6!$A:$H,6)
))))),"")</f>
        <v>Bloqueo</v>
      </c>
      <c r="AJ85" s="18" t="str">
        <f ca="1">IF(ISNUMBER(AC85),
IF($B85=1,VLOOKUP($AC85,Inventario1!$A:$H,7),
IF($B85=2,VLOOKUP($AC85,Inventario2!$A:$H,7),
IF($B85=3,VLOOKUP($AC85,Inventario3!$A:$H,7),
IF($B85=4,VLOOKUP($AC85,Inventario4!$A:$H,7),
IF($B85=5,VLOOKUP($AC85,Inventario5!$A:$H,7),
VLOOKUP($AC85,Inventario6!$A:$H,7)
))))),"")</f>
        <v>Ataque poderoso</v>
      </c>
      <c r="AK85" s="19" t="str">
        <f ca="1">IF(ISNUMBER(AC85),
IF($B85=1,VLOOKUP($AC85,Inventario1!$A:$H,8),
IF($B85=2,VLOOKUP($AC85,Inventario2!$A:$H,8),
IF($B85=3,VLOOKUP($AC85,Inventario3!$A:$H,8),
IF($B85=4,VLOOKUP($AC85,Inventario4!$A:$H,8),
IF($B85=5,VLOOKUP($AC85,Inventario5!$A:$H,8),
VLOOKUP($AC85,Inventario6!$A:$H,8)
))))),"")</f>
        <v>Técnica defensiva</v>
      </c>
    </row>
    <row r="86" spans="1:37" x14ac:dyDescent="0.25">
      <c r="A86" s="20" t="s">
        <v>25</v>
      </c>
      <c r="B86" s="9">
        <v>1</v>
      </c>
      <c r="C86" s="10" cm="1">
        <f t="array" aca="1" ref="C86" ca="1">_xlfn.LET(
    _xlpm.jugador, A86,
    _xlpm.idSel, AC86,
    _xlpm.invIDs, IF(B86=1,Inventario1!A:A,IF(B86=2,Inventario2!A:A,IF(B86=3,Inventario3!A:A,IF(B86=4,Inventario4!A:A,IF(B86=5,Inventario5!A:A,Inventario6!A:A))))),
    _xlpm.invCalidad, IF(B86=1,Inventario1!B:B,IF(B86=2,Inventario2!B:B,IF(B86=3,Inventario3!B:B,IF(B86=4,Inventario4!B:B,IF(B86=5,Inventario5!B:B,Inventario6!B:B))))),
    _xlpm.invTipos, IF(B86=1,Inventario1!C:C,IF(B86=2,Inventario2!C:C,IF(B86=3,Inventario3!C:C,IF(B86=4,Inventario4!C:C,IF(B86=5,Inventario5!C:C,Inventario6!C:C))))),
    _xlpm.invStats, IF(B86=1,Inventario1!D:H,IF(B86=2,Inventario2!D:H,IF(B86=3,Inventario3!D:H,IF(B86=4,Inventario4!D:H,IF(B86=5,Inventario5!D:H,Inventario6!D:H))))),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IF(ROW(A86)=2,"",IF(_xlfn._xlws.FILTER(Equipar!AC$2:AC85,Equipar!B$2:B85=B86)={0},"",_xlfn._xlws.FILTER(Equipar!AC$2:AC85,Equipar!B$2:B85=B86))),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20</v>
      </c>
      <c r="D86" s="11" cm="1">
        <f t="array" aca="1" ref="D86" ca="1">_xlfn.LET(
    _xlpm.jugador, A86,
    _xlpm.idSel, AC86,
    _xlpm.invIDs, IF(B86=1,Inventario1!A:A,IF(B86=2,Inventario2!A:A,IF(B86=3,Inventario3!A:A,IF(B86=4,Inventario4!A:A,IF(B86=5,Inventario5!A:A,Inventario6!A:A))))),
    _xlpm.invCalidad, IF(B86=1,Inventario1!B:B,IF(B86=2,Inventario2!B:B,IF(B86=3,Inventario3!B:B,IF(B86=4,Inventario4!B:B,IF(B86=5,Inventario5!B:B,Inventario6!B:B))))),
    _xlpm.invTipos, IF(B86=1,Inventario1!C:C,IF(B86=2,Inventario2!C:C,IF(B86=3,Inventario3!C:C,IF(B86=4,Inventario4!C:C,IF(B86=5,Inventario5!C:C,Inventario6!C:C))))),
    _xlpm.invStats, IF(B86=1,Inventario1!D:H,IF(B86=2,Inventario2!D:H,IF(B86=3,Inventario3!D:H,IF(B86=4,Inventario4!D:H,IF(B86=5,Inventario5!D:H,Inventario6!D:H))))),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IF(ROW(A86)=2,"",IF(_xlfn._xlws.FILTER(Equipar!AC$2:AC85,Equipar!B$2:B85=B86)={0},"",_xlfn._xlws.FILTER(Equipar!AC$2:AC85,Equipar!B$2:B85=B86))),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204</v>
      </c>
      <c r="E86" s="11" t="str" cm="1">
        <f t="array" ref="E86">_xlfn.LET(
    _xlpm.jugador, A86,
    _xlpm.idSel, AC86,
    _xlpm.invIDs, IF(B86=1,Inventario1!A:A,IF(B86=2,Inventario2!A:A,IF(B86=3,Inventario3!A:A,IF(B86=4,Inventario4!A:A,IF(B86=5,Inventario5!A:A,Inventario6!A:A))))),
    _xlpm.invCalidad, IF(B86=1,Inventario1!B:B,IF(B86=2,Inventario2!B:B,IF(B86=3,Inventario3!B:B,IF(B86=4,Inventario4!B:B,IF(B86=5,Inventario5!B:B,Inventario6!B:B))))),
    _xlpm.invTipos, IF(B86=1,Inventario1!C:C,IF(B86=2,Inventario2!C:C,IF(B86=3,Inventario3!C:C,IF(B86=4,Inventario4!C:C,IF(B86=5,Inventario5!C:C,Inventario6!C:C))))),
    _xlpm.invStats, IF(B86=1,Inventario1!D:H,IF(B86=2,Inventario2!D:H,IF(B86=3,Inventario3!D:H,IF(B86=4,Inventario4!D:H,IF(B86=5,Inventario5!D:H,Inventario6!D:H))))),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IF(ROW(A86)=2,"",IF(_xlfn._xlws.FILTER(Equipar!AC$2:AC85,Equipar!B$2:B85=B86)={0},"",_xlfn._xlws.FILTER(Equipar!AC$2:AC85,Equipar!B$2:B85=B86))),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86" s="11" t="str" cm="1">
        <f t="array" aca="1" ref="F86" ca="1">_xlfn.LET(
    _xlpm.jugador, B86,
    _xlpm.idSel, AD86,
    _xlpm.invIDs, IF(C86=1,Inventario1!B:B,IF(C86=2,Inventario2!B:B,IF(C86=3,Inventario3!B:B,IF(C86=4,Inventario4!B:B,IF(C86=5,Inventario5!B:B,Inventario6!B:B))))),
    _xlpm.invCalidad, IF(C86=1,Inventario1!C:C,IF(C86=2,Inventario2!C:C,IF(C86=3,Inventario3!C:C,IF(C86=4,Inventario4!C:C,IF(C86=5,Inventario5!C:C,Inventario6!C:C))))),
    _xlpm.invTipos, IF(C86=1,Inventario1!D:D,IF(C86=2,Inventario2!D:D,IF(C86=3,Inventario3!D:D,IF(C86=4,Inventario4!D:D,IF(C86=5,Inventario5!D:D,Inventario6!D:D))))),
    _xlpm.invStats, IF(C86=1,Inventario1!E:I,IF(C86=2,Inventario2!E:I,IF(C86=3,Inventario3!E:I,IF(C86=4,Inventario4!E:I,IF(C86=5,Inventario5!E:I,Inventario6!E:I))))),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IF(ROW(B86)=2,"",IF(_xlfn._xlws.FILTER(Equipar!AD$2:AD85,Equipar!C$2:C85=C86)={0},"",_xlfn._xlws.FILTER(Equipar!AD$2:AD85,Equipar!C$2:C85=C86))),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86" s="10" cm="1">
        <f t="array" aca="1" ref="G86" ca="1">_xlfn.LET(
    _xlpm.jugador, A86,
    _xlpm.idSel, AC86,
    _xlpm.invIDs, IF(B86=1,Inventario1!A:A,IF(B86=2,Inventario2!A:A,IF(B86=3,Inventario3!A:A,IF(B86=4,Inventario4!A:A,IF(B86=5,Inventario5!A:A,Inventario6!A:A))))),
    _xlpm.invCalidad, IF(B86=1,Inventario1!B:B,IF(B86=2,Inventario2!B:B,IF(B86=3,Inventario3!B:B,IF(B86=4,Inventario4!B:B,IF(B86=5,Inventario5!B:B,Inventario6!B:B))))),
    _xlpm.invTipos, IF(B86=1,Inventario1!C:C,IF(B86=2,Inventario2!C:C,IF(B86=3,Inventario3!C:C,IF(B86=4,Inventario4!C:C,IF(B86=5,Inventario5!C:C,Inventario6!C:C))))),
    _xlpm.invStats, IF(B86=1,Inventario1!D:H,IF(B86=2,Inventario2!D:H,IF(B86=3,Inventario3!D:H,IF(B86=4,Inventario4!D:H,IF(B86=5,Inventario5!D:H,Inventario6!D:H))))),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IF(ROW(A86)=2,"",IF(_xlfn._xlws.FILTER(Equipar!AC$2:AC85,Equipar!B$2:B85=B86)={0},"",_xlfn._xlws.FILTER(Equipar!AC$2:AC85,Equipar!B$2:B85=B86))),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H86" s="11" cm="1">
        <f t="array" aca="1" ref="H86" ca="1">_xlfn.LET(
    _xlpm.jugador, A86,
    _xlpm.idSel, AC86,
    _xlpm.invIDs, IF(B86=1,Inventario1!A:A,IF(B86=2,Inventario2!A:A,IF(B86=3,Inventario3!A:A,IF(B86=4,Inventario4!A:A,IF(B86=5,Inventario5!A:A,Inventario6!A:A))))),
    _xlpm.invCalidad, IF(B86=1,Inventario1!B:B,IF(B86=2,Inventario2!B:B,IF(B86=3,Inventario3!B:B,IF(B86=4,Inventario4!B:B,IF(B86=5,Inventario5!B:B,Inventario6!B:B))))),
    _xlpm.invTipos, IF(B86=1,Inventario1!C:C,IF(B86=2,Inventario2!C:C,IF(B86=3,Inventario3!C:C,IF(B86=4,Inventario4!C:C,IF(B86=5,Inventario5!C:C,Inventario6!C:C))))),
    _xlpm.invStats, IF(B86=1,Inventario1!D:H,IF(B86=2,Inventario2!D:H,IF(B86=3,Inventario3!D:H,IF(B86=4,Inventario4!D:H,IF(B86=5,Inventario5!D:H,Inventario6!D:H))))),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IF(ROW(A86)=2,"",IF(_xlfn._xlws.FILTER(Equipar!AC$2:AC85,Equipar!B$2:B85=B86)={0},"",_xlfn._xlws.FILTER(Equipar!AC$2:AC85,Equipar!B$2:B85=B86))),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I86" s="11" cm="1">
        <f t="array" ref="I86">_xlfn.LET(
    _xlpm.jugador, A86,
    _xlpm.idSel, AC86,
    _xlpm.invIDs, IF(B86=1,Inventario1!A:A,IF(B86=2,Inventario2!A:A,IF(B86=3,Inventario3!A:A,IF(B86=4,Inventario4!A:A,IF(B86=5,Inventario5!A:A,Inventario6!A:A))))),
    _xlpm.invCalidad, IF(B86=1,Inventario1!B:B,IF(B86=2,Inventario2!B:B,IF(B86=3,Inventario3!B:B,IF(B86=4,Inventario4!B:B,IF(B86=5,Inventario5!B:B,Inventario6!B:B))))),
    _xlpm.invTipos, IF(B86=1,Inventario1!C:C,IF(B86=2,Inventario2!C:C,IF(B86=3,Inventario3!C:C,IF(B86=4,Inventario4!C:C,IF(B86=5,Inventario5!C:C,Inventario6!C:C))))),
    _xlpm.invStats, IF(B86=1,Inventario1!D:H,IF(B86=2,Inventario2!D:H,IF(B86=3,Inventario3!D:H,IF(B86=4,Inventario4!D:H,IF(B86=5,Inventario5!D:H,Inventario6!D:H))))),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IF(ROW(A86)=2,"",IF(_xlfn._xlws.FILTER(Equipar!AC$2:AC85,Equipar!B$2:B85=B86)={0},"",_xlfn._xlws.FILTER(Equipar!AC$2:AC85,Equipar!B$2:B85=B86))),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86" s="11" cm="1">
        <f t="array" aca="1" ref="J86" ca="1">_xlfn.LET(
    _xlpm.jugador, B86,
    _xlpm.idSel, AD86,
    _xlpm.invIDs, IF(C86=1,Inventario1!B:B,IF(C86=2,Inventario2!B:B,IF(C86=3,Inventario3!B:B,IF(C86=4,Inventario4!B:B,IF(C86=5,Inventario5!B:B,Inventario6!B:B))))),
    _xlpm.invCalidad, IF(C86=1,Inventario1!C:C,IF(C86=2,Inventario2!C:C,IF(C86=3,Inventario3!C:C,IF(C86=4,Inventario4!C:C,IF(C86=5,Inventario5!C:C,Inventario6!C:C))))),
    _xlpm.invTipos, IF(C86=1,Inventario1!D:D,IF(C86=2,Inventario2!D:D,IF(C86=3,Inventario3!D:D,IF(C86=4,Inventario4!D:D,IF(C86=5,Inventario5!D:D,Inventario6!D:D))))),
    _xlpm.invStats, IF(C86=1,Inventario1!E:I,IF(C86=2,Inventario2!E:I,IF(C86=3,Inventario3!E:I,IF(C86=4,Inventario4!E:I,IF(C86=5,Inventario5!E:I,Inventario6!E:I))))),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IF(ROW(B86)=2,"",IF(_xlfn._xlws.FILTER(Equipar!AD$2:AD85,Equipar!C$2:C85=C86)={0},"",_xlfn._xlws.FILTER(Equipar!AD$2:AD85,Equipar!C$2:C85=C86))),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86" s="11">
        <f t="shared" ca="1" si="4"/>
        <v>11.790000000000006</v>
      </c>
      <c r="L86" s="11">
        <f t="shared" ca="1" si="5"/>
        <v>83.79</v>
      </c>
      <c r="M86" s="11">
        <f t="shared" ca="1" si="5"/>
        <v>72</v>
      </c>
      <c r="N86" s="11">
        <f t="shared" ca="1" si="6"/>
        <v>72</v>
      </c>
      <c r="O86" s="11">
        <f t="shared" ca="1" si="6"/>
        <v>0</v>
      </c>
      <c r="P86" s="10" cm="1">
        <f t="array" aca="1" ref="P86" ca="1">_xlfn.LET(
    _xlpm.ptsPrinBase, _xlfn._xlws.FILTER(G:G, A:A=A86),
    _xlpm.ptsSecBase,  _xlfn._xlws.FILTER(H:H, A:A=A86),
    _xlpm.puntosPrin, _xlpm.ptsPrinBase + _xlfn._xlws.FILTER(B:B, A:A=A86)/1000,
    _xlpm.puntosSec,  _xlpm.ptsSecBase  + _xlfn._xlws.FILTER(B:B, A:A=A86)/1000,
    _xlpm.puntosPrinValidos, SUM(--(_xlpm.ptsPrinBase&gt;0)),
    _xlpm.puntosSecValidos,  SUM(--(_xlpm.ptsSecBase&gt;0)),
    _xlpm.clave, K86 + B86/1000,
    _xlpm.claves, _xlfn._xlws.FILTER(K:K + B:B/1000, A:A=A86),
    IF(AND(_xlpm.puntosPrinValidos&gt;=4,_xlpm.puntosSecValidos&gt;=2),IF(
        SUM(--(_xlpm.claves &gt; _xlpm.clave)) &lt; 4,
        C86,
        D86
    ),"No disp")
)</f>
        <v>20</v>
      </c>
      <c r="Q86" s="10" t="str" cm="1">
        <f t="array" aca="1" ref="Q86" ca="1">_xlfn.LET(
    _xlpm.puntosPrin, _xlfn._xlws.FILTER(G:G + B:B/1000, A:A=A86),
    _xlpm.puntosPrinValidos, SUM(--(_xlpm.puntosPrin&gt;1)),
    _xlpm.puntosTer, _xlfn._xlws.FILTER(I:I + B:B/1000, A:A=A86),
    _xlpm.puntosTerValidos, SUM(--(_xlpm.puntosTer&gt;1)),
    _xlpm.clave, L86 + B86/1000,
    _xlpm.claves, _xlfn._xlws.FILTER(L:L + B:B/1000, A:A=A86),
    IF(AND(_xlpm.puntosPrinValidos&gt;=4,_xlpm.puntosTerValidos&gt;=2),IF(
        SUM(--(_xlpm.claves &gt; _xlpm.clave)) &lt; 4,
        C86,
        E86
    ),"No disp")
)</f>
        <v>No disp</v>
      </c>
      <c r="R86" s="10" t="str" cm="1">
        <f t="array" aca="1" ref="R86" ca="1">_xlfn.LET(
    _xlpm.puntosPrin, _xlfn._xlws.FILTER(G:G + B:B/1000, A:A=A86),
    _xlpm.puntosPrinValidos, SUM(--(_xlpm.puntosPrin&gt;1)),
    _xlpm.puntosTer, _xlfn._xlws.FILTER(J:J + B:B/1000, A:A=A86),
    _xlpm.puntosTerValidos, SUM(--(_xlpm.puntosTer&gt;1)),
    _xlpm.clave, M86 + B86/1000,
    _xlpm.claves, _xlfn._xlws.FILTER(M:M + B:B/1000, A:A=A86),
    IF(AND(_xlpm.puntosPrinValidos&gt;=4,_xlpm.puntosTerValidos&gt;=2),IF(
        SUM(--(_xlpm.claves &gt; _xlpm.clave)) &lt; 4,
        C86,
        F86
    ),"No disp")
)</f>
        <v>No disp</v>
      </c>
      <c r="S86" s="10" cm="1">
        <f t="array" aca="1" ref="S86" ca="1">_xlfn.LET(
    _xlpm.ptsPrinBase, _xlfn._xlws.FILTER(G:G, A:A=A86),
    _xlpm.ptsSecBase,  _xlfn._xlws.FILTER(H:H, A:A=A86),
    _xlpm.puntosPrin, _xlpm.ptsPrinBase + _xlfn._xlws.FILTER(B:B, A:A=A86)/1000,
    _xlpm.puntosSec,  _xlpm.ptsSecBase  + _xlfn._xlws.FILTER(B:B, A:A=A86)/1000,
    _xlpm.puntosPrinValidos, SUM(--(_xlpm.ptsPrinBase&gt;0)),
    _xlpm.puntosSecValidos,  SUM(--(_xlpm.ptsSecBase&gt;0)),
    _xlpm.clave, K86 + B86/1000,
    _xlpm.claves, _xlfn._xlws.FILTER(K:K + B:B/1000, A:A=A86),
    IF(
        AND(_xlpm.puntosPrinValidos&gt;=2, _xlpm.puntosSecValidos&gt;=4),
        IF(
            SUM(--(_xlpm.claves &lt; _xlpm.clave)) &lt; 4,
            D86,
            C86
        ),
        "No disp"
    )
)</f>
        <v>20</v>
      </c>
      <c r="T86" s="10" t="str" cm="1">
        <f t="array" aca="1" ref="T86" ca="1">_xlfn.LET(
    _xlpm.puntosSec, _xlfn._xlws.FILTER(H:H + B:B/1000, A:A=A86),
    _xlpm.puntosSecValidos, SUM(--(_xlpm.puntosSec&gt;1)),
    _xlpm.puntosAlt, _xlfn._xlws.FILTER(I:I + B:B/1000, A:A=A86),
    _xlpm.puntosAltValidos, SUM(--(_xlpm.puntosAlt&gt;1)),
    _xlpm.clave, N86 + B86/1000,
    _xlpm.claves, _xlfn._xlws.FILTER(N:N + B:B/1000, A:A=A86),
    IF(AND(_xlpm.puntosSecValidos&gt;=4,_xlpm.puntosAltValidos&gt;=2),IF(
        SUM(--(_xlpm.claves &gt; _xlpm.clave)) &lt; 4,
        D86,
        E86
    ),"No disp")
)</f>
        <v>No disp</v>
      </c>
      <c r="U86" s="10" t="str" cm="1">
        <f t="array" aca="1" ref="U86" ca="1">_xlfn.LET(
    _xlpm.puntosSec, _xlfn._xlws.FILTER(H:H + B:B/1000, A:A=A86),
    _xlpm.puntosSecValidos, SUM(--(_xlpm.puntosSec&gt;1)),
    _xlpm.puntosAlt, _xlfn._xlws.FILTER(J:J + B:B/1000, A:A=A86),
    _xlpm.puntosAltValidos, SUM(--(_xlpm.puntosAlt&gt;1)),
    _xlpm.clave, O86 + B86/1000,
    _xlpm.claves, _xlfn._xlws.FILTER(O:O + B:B/1000, A:A=A86),
    IF(AND(_xlpm.puntosSecValidos&gt;=4,_xlpm.puntosAltValidos&gt;=2),IF(
        SUM(--(_xlpm.claves &gt; _xlpm.clave)) &lt; 4,
        D86,
        F86
    ),"No disp")
)</f>
        <v>No disp</v>
      </c>
      <c r="V86" s="11" cm="1">
        <f t="array" aca="1" ref="V86" ca="1">_xlfn.LET(
_xlpm.PrinIDs,_xlfn._xlws.FILTER(C:C,(A:A=A86)),
_xlpm.SecIDs,_xlfn._xlws.FILTER(D:D,(A:A=A86)),
_xlpm.TerIDs,_xlfn._xlws.FILTER(E:E,A:A=A86),
_xlpm.CuaIDs,_xlfn._xlws.FILTER(F:F,(A:A=A86)),
_xlpm.PrinPts,_xlfn._xlws.FILTER(G:G,(A:A=A86)),
_xlpm.SecPts,_xlfn._xlws.FILTER(H:H,(A:A=A86)),
_xlpm.TerPts,_xlfn._xlws.FILTER(I:I,(A:A=A86)),
_xlpm.CuaPts,_xlfn._xlws.FILTER(J:J,(A:A=A86)),
_xlpm.PSIds,_xlfn._xlws.FILTER(P:P,A:A=A86),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422.28000000000003</v>
      </c>
      <c r="W86" s="11" cm="1">
        <f t="array" aca="1" ref="W86" ca="1">_xlfn.LET(
_xlpm.PrinIDs,_xlfn._xlws.FILTER(C:C,(A:A=A86)),
_xlpm.SecIDs,_xlfn._xlws.FILTER(D:D,(A:A=A86)),
_xlpm.TerIDs,_xlfn._xlws.FILTER(E:E,A:A=A86),
_xlpm.CuaIDs,_xlfn._xlws.FILTER(F:F,(A:A=A86)),
_xlpm.PrinPts,_xlfn._xlws.FILTER(G:G,(A:A=A86)),
_xlpm.SecPts,_xlfn._xlws.FILTER(H:H,(A:A=A86)),
_xlpm.TerPts,_xlfn._xlws.FILTER(I:I,(A:A=A86)),
_xlpm.CuaPts,_xlfn._xlws.FILTER(J:J,(A:A=A86)),
_xlpm.PTIds,_xlfn._xlws.FILTER(Q:Q,A:A=A86),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86" s="11" cm="1">
        <f t="array" aca="1" ref="X86" ca="1">_xlfn.LET(
_xlpm.PrinIDs,_xlfn._xlws.FILTER(C:C,(A:A=A86)),
_xlpm.SecIDs,_xlfn._xlws.FILTER(D:D,(A:A=A86)),
_xlpm.TerIDs,_xlfn._xlws.FILTER(E:E,A:A=A86),
_xlpm.CuaIDs,_xlfn._xlws.FILTER(F:F,(A:A=A86)),
_xlpm.PrinPts,_xlfn._xlws.FILTER(G:G,(A:A=A86)),
_xlpm.SecPts,_xlfn._xlws.FILTER(H:H,(A:A=A86)),
_xlpm.TerPts,_xlfn._xlws.FILTER(I:I,(A:A=A86)),
_xlpm.CuaPts,_xlfn._xlws.FILTER(J:J,(A:A=A86)),
_xlpm.PCIds,_xlfn._xlws.FILTER(R:R,A:A=A86),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86" s="11" cm="1">
        <f t="array" aca="1" ref="Y86" ca="1">_xlfn.LET(
_xlpm.PrinIDs,_xlfn._xlws.FILTER(C:C,(A:A=A86)),
_xlpm.SecIDs,_xlfn._xlws.FILTER(D:D,(A:A=A86)),
_xlpm.AltIDs,_xlfn._xlws.FILTER(E:E,A:A=A86),
_xlpm.PrinPts,_xlfn._xlws.FILTER(G:G,(A:A=A86)),
_xlpm.SecPts,_xlfn._xlws.FILTER(H:H,(A:A=A86)),
_xlpm.AltPts,_xlfn._xlws.FILTER(I:I,(A:A=A86)),
_xlpm.SPIds,_xlfn._xlws.FILTER(S:S,A:A=A86),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431.1</v>
      </c>
      <c r="Z86" s="11" cm="1">
        <f t="array" aca="1" ref="Z86" ca="1">_xlfn.LET(
_xlpm.PrinIDs,_xlfn._xlws.FILTER(C:C,(A:A=A86)),
_xlpm.SecIDs,_xlfn._xlws.FILTER(D:D,(A:A=A86)),
_xlpm.TerIDs,_xlfn._xlws.FILTER(E:E,A:A=A86),
_xlpm.CuaIDs,_xlfn._xlws.FILTER(F:F,(A:A=A86)),
_xlpm.PrinPts,_xlfn._xlws.FILTER(G:G,(A:A=A86)),
_xlpm.SecPts,_xlfn._xlws.FILTER(H:H,(A:A=A86)),
_xlpm.TerPts,_xlfn._xlws.FILTER(I:I,(A:A=A86)),
_xlpm.CuaPts,_xlfn._xlws.FILTER(J:J,(A:A=A86)),
_xlpm.STIds,_xlfn._xlws.FILTER(T:T,A:A=A86),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86" s="11" cm="1">
        <f t="array" aca="1" ref="AA86" ca="1">_xlfn.LET(
_xlpm.PrinIDs,_xlfn._xlws.FILTER(C:C,(A:A=A86)),
_xlpm.SecIDs,_xlfn._xlws.FILTER(D:D,(A:A=A86)),
_xlpm.TerIDs,_xlfn._xlws.FILTER(E:E,A:A=A86),
_xlpm.CuaIDs,_xlfn._xlws.FILTER(F:F,(A:A=A86)),
_xlpm.PrinPts,_xlfn._xlws.FILTER(G:G,(A:A=A86)),
_xlpm.SecPts,_xlfn._xlws.FILTER(H:H,(A:A=A86)),
_xlpm.TerPts,_xlfn._xlws.FILTER(I:I,(A:A=A86)),
_xlpm.CuaPts,_xlfn._xlws.FILTER(J:J,(A:A=A86)),
_xlpm.SCIds,_xlfn._xlws.FILTER(U:U,A:A=A86),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86" s="10">
        <f t="shared" ca="1" si="7"/>
        <v>20</v>
      </c>
      <c r="AC86" s="10">
        <v>20</v>
      </c>
      <c r="AD86" s="11"/>
      <c r="AE86" s="10" t="str">
        <f ca="1">IF(ISNUMBER(AC86),
IF($B86=1,VLOOKUP($AC86,Inventario1!$A:$H,2),
IF($B86=2,VLOOKUP($AC86,Inventario2!$A:$H,2),
IF($B86=3,VLOOKUP($AC86,Inventario3!$A:$H,2),
IF($B86=4,VLOOKUP($AC86,Inventario4!$A:$H,2),
IF($B86=5,VLOOKUP($AC86,Inventario5!$A:$H,2),
VLOOKUP($AC86,Inventario6!$A:$H,2)
))))),"No equipado")</f>
        <v>Legendario</v>
      </c>
      <c r="AF86" s="10" t="str">
        <f ca="1">IF(ISNUMBER(AC86),
IF($B86=1,VLOOKUP($AC86,Inventario1!$A:$H,3),
IF($B86=2,VLOOKUP($AC86,Inventario2!$A:$H,3),
IF($B86=3,VLOOKUP($AC86,Inventario3!$A:$H,3),
IF($B86=4,VLOOKUP($AC86,Inventario4!$A:$H,3),
IF($B86=5,VLOOKUP($AC86,Inventario5!$A:$H,3),
VLOOKUP($AC86,Inventario6!$A:$H,3)
))))),"")</f>
        <v>Bloque preciso</v>
      </c>
      <c r="AG86" s="10" t="str">
        <f ca="1">IF(ISNUMBER(AC86),
IF($B86=1,VLOOKUP($AC86,Inventario1!$A:$H,4),
IF($B86=2,VLOOKUP($AC86,Inventario2!$A:$H,4),
IF($B86=3,VLOOKUP($AC86,Inventario3!$A:$H,4),
IF($B86=4,VLOOKUP($AC86,Inventario4!$A:$H,4),
IF($B86=5,VLOOKUP($AC86,Inventario5!$A:$H,4),
VLOOKUP($AC86,Inventario6!$A:$H,4)
))))),"")</f>
        <v>Bloqueo</v>
      </c>
      <c r="AH86" s="10" t="str">
        <f ca="1">IF(ISNUMBER(AC86),
IF($B86=1,VLOOKUP($AC86,Inventario1!$A:$H,5),
IF($B86=2,VLOOKUP($AC86,Inventario2!$A:$H,5),
IF($B86=3,VLOOKUP($AC86,Inventario3!$A:$H,5),
IF($B86=4,VLOOKUP($AC86,Inventario4!$A:$H,5),
IF($B86=5,VLOOKUP($AC86,Inventario5!$A:$H,5),
VLOOKUP($AC86,Inventario6!$A:$H,5)
))))),"")</f>
        <v>Saque</v>
      </c>
      <c r="AI86" s="10" t="str">
        <f ca="1">IF(ISNUMBER(AC86),
IF($B86=1,VLOOKUP($AC86,Inventario1!$A:$H,6),
IF($B86=2,VLOOKUP($AC86,Inventario2!$A:$H,6),
IF($B86=3,VLOOKUP($AC86,Inventario3!$A:$H,6),
IF($B86=4,VLOOKUP($AC86,Inventario4!$A:$H,6),
IF($B86=5,VLOOKUP($AC86,Inventario5!$A:$H,6),
VLOOKUP($AC86,Inventario6!$A:$H,6)
))))),"")</f>
        <v>Bloqueo</v>
      </c>
      <c r="AJ86" s="10" t="str">
        <f ca="1">IF(ISNUMBER(AC86),
IF($B86=1,VLOOKUP($AC86,Inventario1!$A:$H,7),
IF($B86=2,VLOOKUP($AC86,Inventario2!$A:$H,7),
IF($B86=3,VLOOKUP($AC86,Inventario3!$A:$H,7),
IF($B86=4,VLOOKUP($AC86,Inventario4!$A:$H,7),
IF($B86=5,VLOOKUP($AC86,Inventario5!$A:$H,7),
VLOOKUP($AC86,Inventario6!$A:$H,7)
))))),"")</f>
        <v>Ataque poderoso</v>
      </c>
      <c r="AK86" s="12">
        <f ca="1">IF(ISNUMBER(AC86),
IF($B86=1,VLOOKUP($AC86,Inventario1!$A:$H,8),
IF($B86=2,VLOOKUP($AC86,Inventario2!$A:$H,8),
IF($B86=3,VLOOKUP($AC86,Inventario3!$A:$H,8),
IF($B86=4,VLOOKUP($AC86,Inventario4!$A:$H,8),
IF($B86=5,VLOOKUP($AC86,Inventario5!$A:$H,8),
VLOOKUP($AC86,Inventario6!$A:$H,8)
))))),"")</f>
        <v>0</v>
      </c>
    </row>
    <row r="87" spans="1:37" x14ac:dyDescent="0.25">
      <c r="A87" s="21" t="s">
        <v>25</v>
      </c>
      <c r="B87" s="3">
        <v>2</v>
      </c>
      <c r="C87" s="14" cm="1">
        <f t="array" aca="1" ref="C87" ca="1">_xlfn.LET(
    _xlpm.jugador, A87,
    _xlpm.idSel, AC87,
    _xlpm.invIDs, IF(B87=1,Inventario1!A:A,IF(B87=2,Inventario2!A:A,IF(B87=3,Inventario3!A:A,IF(B87=4,Inventario4!A:A,IF(B87=5,Inventario5!A:A,Inventario6!A:A))))),
    _xlpm.invCalidad, IF(B87=1,Inventario1!B:B,IF(B87=2,Inventario2!B:B,IF(B87=3,Inventario3!B:B,IF(B87=4,Inventario4!B:B,IF(B87=5,Inventario5!B:B,Inventario6!B:B))))),
    _xlpm.invTipos, IF(B87=1,Inventario1!C:C,IF(B87=2,Inventario2!C:C,IF(B87=3,Inventario3!C:C,IF(B87=4,Inventario4!C:C,IF(B87=5,Inventario5!C:C,Inventario6!C:C))))),
    _xlpm.invStats, IF(B87=1,Inventario1!D:H,IF(B87=2,Inventario2!D:H,IF(B87=3,Inventario3!D:H,IF(B87=4,Inventario4!D:H,IF(B87=5,Inventario5!D:H,Inventario6!D:H))))),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IF(ROW(A87)=2,"",IF(_xlfn._xlws.FILTER(Equipar!AC$2:AC86,Equipar!B$2:B86=B87)={0},"",_xlfn._xlws.FILTER(Equipar!AC$2:AC86,Equipar!B$2:B86=B87))),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48</v>
      </c>
      <c r="D87" s="4" cm="1">
        <f t="array" ref="D87">_xlfn.LET(
    _xlpm.jugador, A87,
    _xlpm.idSel, AC87,
    _xlpm.invIDs, IF(B87=1,Inventario1!A:A,IF(B87=2,Inventario2!A:A,IF(B87=3,Inventario3!A:A,IF(B87=4,Inventario4!A:A,IF(B87=5,Inventario5!A:A,Inventario6!A:A))))),
    _xlpm.invCalidad, IF(B87=1,Inventario1!B:B,IF(B87=2,Inventario2!B:B,IF(B87=3,Inventario3!B:B,IF(B87=4,Inventario4!B:B,IF(B87=5,Inventario5!B:B,Inventario6!B:B))))),
    _xlpm.invTipos, IF(B87=1,Inventario1!C:C,IF(B87=2,Inventario2!C:C,IF(B87=3,Inventario3!C:C,IF(B87=4,Inventario4!C:C,IF(B87=5,Inventario5!C:C,Inventario6!C:C))))),
    _xlpm.invStats, IF(B87=1,Inventario1!D:H,IF(B87=2,Inventario2!D:H,IF(B87=3,Inventario3!D:H,IF(B87=4,Inventario4!D:H,IF(B87=5,Inventario5!D:H,Inventario6!D:H))))),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IF(ROW(A87)=2,"",IF(_xlfn._xlws.FILTER(Equipar!AC$2:AC86,Equipar!B$2:B86=B87)={0},"",_xlfn._xlws.FILTER(Equipar!AC$2:AC86,Equipar!B$2:B86=B87))),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10</v>
      </c>
      <c r="E87" s="4" t="str" cm="1">
        <f t="array" ref="E87">_xlfn.LET(
    _xlpm.jugador, A87,
    _xlpm.idSel, AC87,
    _xlpm.invIDs, IF(B87=1,Inventario1!A:A,IF(B87=2,Inventario2!A:A,IF(B87=3,Inventario3!A:A,IF(B87=4,Inventario4!A:A,IF(B87=5,Inventario5!A:A,Inventario6!A:A))))),
    _xlpm.invCalidad, IF(B87=1,Inventario1!B:B,IF(B87=2,Inventario2!B:B,IF(B87=3,Inventario3!B:B,IF(B87=4,Inventario4!B:B,IF(B87=5,Inventario5!B:B,Inventario6!B:B))))),
    _xlpm.invTipos, IF(B87=1,Inventario1!C:C,IF(B87=2,Inventario2!C:C,IF(B87=3,Inventario3!C:C,IF(B87=4,Inventario4!C:C,IF(B87=5,Inventario5!C:C,Inventario6!C:C))))),
    _xlpm.invStats, IF(B87=1,Inventario1!D:H,IF(B87=2,Inventario2!D:H,IF(B87=3,Inventario3!D:H,IF(B87=4,Inventario4!D:H,IF(B87=5,Inventario5!D:H,Inventario6!D:H))))),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IF(ROW(A87)=2,"",IF(_xlfn._xlws.FILTER(Equipar!AC$2:AC86,Equipar!B$2:B86=B87)={0},"",_xlfn._xlws.FILTER(Equipar!AC$2:AC86,Equipar!B$2:B86=B87))),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87" s="4" t="str" cm="1">
        <f t="array" aca="1" ref="F87" ca="1">_xlfn.LET(
    _xlpm.jugador, B87,
    _xlpm.idSel, AD87,
    _xlpm.invIDs, IF(C87=1,Inventario1!B:B,IF(C87=2,Inventario2!B:B,IF(C87=3,Inventario3!B:B,IF(C87=4,Inventario4!B:B,IF(C87=5,Inventario5!B:B,Inventario6!B:B))))),
    _xlpm.invCalidad, IF(C87=1,Inventario1!C:C,IF(C87=2,Inventario2!C:C,IF(C87=3,Inventario3!C:C,IF(C87=4,Inventario4!C:C,IF(C87=5,Inventario5!C:C,Inventario6!C:C))))),
    _xlpm.invTipos, IF(C87=1,Inventario1!D:D,IF(C87=2,Inventario2!D:D,IF(C87=3,Inventario3!D:D,IF(C87=4,Inventario4!D:D,IF(C87=5,Inventario5!D:D,Inventario6!D:D))))),
    _xlpm.invStats, IF(C87=1,Inventario1!E:I,IF(C87=2,Inventario2!E:I,IF(C87=3,Inventario3!E:I,IF(C87=4,Inventario4!E:I,IF(C87=5,Inventario5!E:I,Inventario6!E:I))))),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IF(ROW(B87)=2,"",IF(_xlfn._xlws.FILTER(Equipar!AD$2:AD86,Equipar!C$2:C86=C87)={0},"",_xlfn._xlws.FILTER(Equipar!AD$2:AD86,Equipar!C$2:C86=C87))),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87" s="14" cm="1">
        <f t="array" aca="1" ref="G87" ca="1">_xlfn.LET(
    _xlpm.jugador, A87,
    _xlpm.idSel, AC87,
    _xlpm.invIDs, IF(B87=1,Inventario1!A:A,IF(B87=2,Inventario2!A:A,IF(B87=3,Inventario3!A:A,IF(B87=4,Inventario4!A:A,IF(B87=5,Inventario5!A:A,Inventario6!A:A))))),
    _xlpm.invCalidad, IF(B87=1,Inventario1!B:B,IF(B87=2,Inventario2!B:B,IF(B87=3,Inventario3!B:B,IF(B87=4,Inventario4!B:B,IF(B87=5,Inventario5!B:B,Inventario6!B:B))))),
    _xlpm.invTipos, IF(B87=1,Inventario1!C:C,IF(B87=2,Inventario2!C:C,IF(B87=3,Inventario3!C:C,IF(B87=4,Inventario4!C:C,IF(B87=5,Inventario5!C:C,Inventario6!C:C))))),
    _xlpm.invStats, IF(B87=1,Inventario1!D:H,IF(B87=2,Inventario2!D:H,IF(B87=3,Inventario3!D:H,IF(B87=4,Inventario4!D:H,IF(B87=5,Inventario5!D:H,Inventario6!D:H))))),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IF(ROW(A87)=2,"",IF(_xlfn._xlws.FILTER(Equipar!AC$2:AC86,Equipar!B$2:B86=B87)={0},"",_xlfn._xlws.FILTER(Equipar!AC$2:AC86,Equipar!B$2:B86=B87))),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45</v>
      </c>
      <c r="H87" s="4" cm="1">
        <f t="array" ref="H87">_xlfn.LET(
    _xlpm.jugador, A87,
    _xlpm.idSel, AC87,
    _xlpm.invIDs, IF(B87=1,Inventario1!A:A,IF(B87=2,Inventario2!A:A,IF(B87=3,Inventario3!A:A,IF(B87=4,Inventario4!A:A,IF(B87=5,Inventario5!A:A,Inventario6!A:A))))),
    _xlpm.invCalidad, IF(B87=1,Inventario1!B:B,IF(B87=2,Inventario2!B:B,IF(B87=3,Inventario3!B:B,IF(B87=4,Inventario4!B:B,IF(B87=5,Inventario5!B:B,Inventario6!B:B))))),
    _xlpm.invTipos, IF(B87=1,Inventario1!C:C,IF(B87=2,Inventario2!C:C,IF(B87=3,Inventario3!C:C,IF(B87=4,Inventario4!C:C,IF(B87=5,Inventario5!C:C,Inventario6!C:C))))),
    _xlpm.invStats, IF(B87=1,Inventario1!D:H,IF(B87=2,Inventario2!D:H,IF(B87=3,Inventario3!D:H,IF(B87=4,Inventario4!D:H,IF(B87=5,Inventario5!D:H,Inventario6!D:H))))),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IF(ROW(A87)=2,"",IF(_xlfn._xlws.FILTER(Equipar!AC$2:AC86,Equipar!B$2:B86=B87)={0},"",_xlfn._xlws.FILTER(Equipar!AC$2:AC86,Equipar!B$2:B86=B87))),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I87" s="4" cm="1">
        <f t="array" ref="I87">_xlfn.LET(
    _xlpm.jugador, A87,
    _xlpm.idSel, AC87,
    _xlpm.invIDs, IF(B87=1,Inventario1!A:A,IF(B87=2,Inventario2!A:A,IF(B87=3,Inventario3!A:A,IF(B87=4,Inventario4!A:A,IF(B87=5,Inventario5!A:A,Inventario6!A:A))))),
    _xlpm.invCalidad, IF(B87=1,Inventario1!B:B,IF(B87=2,Inventario2!B:B,IF(B87=3,Inventario3!B:B,IF(B87=4,Inventario4!B:B,IF(B87=5,Inventario5!B:B,Inventario6!B:B))))),
    _xlpm.invTipos, IF(B87=1,Inventario1!C:C,IF(B87=2,Inventario2!C:C,IF(B87=3,Inventario3!C:C,IF(B87=4,Inventario4!C:C,IF(B87=5,Inventario5!C:C,Inventario6!C:C))))),
    _xlpm.invStats, IF(B87=1,Inventario1!D:H,IF(B87=2,Inventario2!D:H,IF(B87=3,Inventario3!D:H,IF(B87=4,Inventario4!D:H,IF(B87=5,Inventario5!D:H,Inventario6!D:H))))),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IF(ROW(A87)=2,"",IF(_xlfn._xlws.FILTER(Equipar!AC$2:AC86,Equipar!B$2:B86=B87)={0},"",_xlfn._xlws.FILTER(Equipar!AC$2:AC86,Equipar!B$2:B86=B87))),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87" s="4" cm="1">
        <f t="array" aca="1" ref="J87" ca="1">_xlfn.LET(
    _xlpm.jugador, B87,
    _xlpm.idSel, AD87,
    _xlpm.invIDs, IF(C87=1,Inventario1!B:B,IF(C87=2,Inventario2!B:B,IF(C87=3,Inventario3!B:B,IF(C87=4,Inventario4!B:B,IF(C87=5,Inventario5!B:B,Inventario6!B:B))))),
    _xlpm.invCalidad, IF(C87=1,Inventario1!C:C,IF(C87=2,Inventario2!C:C,IF(C87=3,Inventario3!C:C,IF(C87=4,Inventario4!C:C,IF(C87=5,Inventario5!C:C,Inventario6!C:C))))),
    _xlpm.invTipos, IF(C87=1,Inventario1!D:D,IF(C87=2,Inventario2!D:D,IF(C87=3,Inventario3!D:D,IF(C87=4,Inventario4!D:D,IF(C87=5,Inventario5!D:D,Inventario6!D:D))))),
    _xlpm.invStats, IF(C87=1,Inventario1!E:I,IF(C87=2,Inventario2!E:I,IF(C87=3,Inventario3!E:I,IF(C87=4,Inventario4!E:I,IF(C87=5,Inventario5!E:I,Inventario6!E:I))))),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IF(ROW(B87)=2,"",IF(_xlfn._xlws.FILTER(Equipar!AD$2:AD86,Equipar!C$2:C86=C87)={0},"",_xlfn._xlws.FILTER(Equipar!AD$2:AD86,Equipar!C$2:C86=C87))),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87" s="4">
        <f t="shared" ca="1" si="4"/>
        <v>-26.820000000000007</v>
      </c>
      <c r="L87" s="4">
        <f t="shared" ca="1" si="5"/>
        <v>45</v>
      </c>
      <c r="M87" s="4">
        <f t="shared" ca="1" si="5"/>
        <v>71.820000000000007</v>
      </c>
      <c r="N87" s="4">
        <f t="shared" si="6"/>
        <v>71.820000000000007</v>
      </c>
      <c r="O87" s="4">
        <f t="shared" ca="1" si="6"/>
        <v>0</v>
      </c>
      <c r="P87" s="14" cm="1">
        <f t="array" aca="1" ref="P87" ca="1">_xlfn.LET(
    _xlpm.ptsPrinBase, _xlfn._xlws.FILTER(G:G, A:A=A87),
    _xlpm.ptsSecBase,  _xlfn._xlws.FILTER(H:H, A:A=A87),
    _xlpm.puntosPrin, _xlpm.ptsPrinBase + _xlfn._xlws.FILTER(B:B, A:A=A87)/1000,
    _xlpm.puntosSec,  _xlpm.ptsSecBase  + _xlfn._xlws.FILTER(B:B, A:A=A87)/1000,
    _xlpm.puntosPrinValidos, SUM(--(_xlpm.ptsPrinBase&gt;0)),
    _xlpm.puntosSecValidos,  SUM(--(_xlpm.ptsSecBase&gt;0)),
    _xlpm.clave, K87 + B87/1000,
    _xlpm.claves, _xlfn._xlws.FILTER(K:K + B:B/1000, A:A=A87),
    IF(AND(_xlpm.puntosPrinValidos&gt;=4,_xlpm.puntosSecValidos&gt;=2),IF(
        SUM(--(_xlpm.claves &gt; _xlpm.clave)) &lt; 4,
        C87,
        D87
    ),"No disp")
)</f>
        <v>10</v>
      </c>
      <c r="Q87" s="14" t="str" cm="1">
        <f t="array" aca="1" ref="Q87" ca="1">_xlfn.LET(
    _xlpm.puntosPrin, _xlfn._xlws.FILTER(G:G + B:B/1000, A:A=A87),
    _xlpm.puntosPrinValidos, SUM(--(_xlpm.puntosPrin&gt;1)),
    _xlpm.puntosTer, _xlfn._xlws.FILTER(I:I + B:B/1000, A:A=A87),
    _xlpm.puntosTerValidos, SUM(--(_xlpm.puntosTer&gt;1)),
    _xlpm.clave, L87 + B87/1000,
    _xlpm.claves, _xlfn._xlws.FILTER(L:L + B:B/1000, A:A=A87),
    IF(AND(_xlpm.puntosPrinValidos&gt;=4,_xlpm.puntosTerValidos&gt;=2),IF(
        SUM(--(_xlpm.claves &gt; _xlpm.clave)) &lt; 4,
        C87,
        E87
    ),"No disp")
)</f>
        <v>No disp</v>
      </c>
      <c r="R87" s="14" t="str" cm="1">
        <f t="array" aca="1" ref="R87" ca="1">_xlfn.LET(
    _xlpm.puntosPrin, _xlfn._xlws.FILTER(G:G + B:B/1000, A:A=A87),
    _xlpm.puntosPrinValidos, SUM(--(_xlpm.puntosPrin&gt;1)),
    _xlpm.puntosTer, _xlfn._xlws.FILTER(J:J + B:B/1000, A:A=A87),
    _xlpm.puntosTerValidos, SUM(--(_xlpm.puntosTer&gt;1)),
    _xlpm.clave, M87 + B87/1000,
    _xlpm.claves, _xlfn._xlws.FILTER(M:M + B:B/1000, A:A=A87),
    IF(AND(_xlpm.puntosPrinValidos&gt;=4,_xlpm.puntosTerValidos&gt;=2),IF(
        SUM(--(_xlpm.claves &gt; _xlpm.clave)) &lt; 4,
        C87,
        F87
    ),"No disp")
)</f>
        <v>No disp</v>
      </c>
      <c r="S87" s="14" cm="1">
        <f t="array" aca="1" ref="S87" ca="1">_xlfn.LET(
    _xlpm.ptsPrinBase, _xlfn._xlws.FILTER(G:G, A:A=A87),
    _xlpm.ptsSecBase,  _xlfn._xlws.FILTER(H:H, A:A=A87),
    _xlpm.puntosPrin, _xlpm.ptsPrinBase + _xlfn._xlws.FILTER(B:B, A:A=A87)/1000,
    _xlpm.puntosSec,  _xlpm.ptsSecBase  + _xlfn._xlws.FILTER(B:B, A:A=A87)/1000,
    _xlpm.puntosPrinValidos, SUM(--(_xlpm.ptsPrinBase&gt;0)),
    _xlpm.puntosSecValidos,  SUM(--(_xlpm.ptsSecBase&gt;0)),
    _xlpm.clave, K87 + B87/1000,
    _xlpm.claves, _xlfn._xlws.FILTER(K:K + B:B/1000, A:A=A87),
    IF(
        AND(_xlpm.puntosPrinValidos&gt;=2, _xlpm.puntosSecValidos&gt;=4),
        IF(
            SUM(--(_xlpm.claves &lt; _xlpm.clave)) &lt; 4,
            D87,
            C87
        ),
        "No disp"
    )
)</f>
        <v>10</v>
      </c>
      <c r="T87" s="14" t="str" cm="1">
        <f t="array" aca="1" ref="T87" ca="1">_xlfn.LET(
    _xlpm.puntosSec, _xlfn._xlws.FILTER(H:H + B:B/1000, A:A=A87),
    _xlpm.puntosSecValidos, SUM(--(_xlpm.puntosSec&gt;1)),
    _xlpm.puntosAlt, _xlfn._xlws.FILTER(I:I + B:B/1000, A:A=A87),
    _xlpm.puntosAltValidos, SUM(--(_xlpm.puntosAlt&gt;1)),
    _xlpm.clave, N87 + B87/1000,
    _xlpm.claves, _xlfn._xlws.FILTER(N:N + B:B/1000, A:A=A87),
    IF(AND(_xlpm.puntosSecValidos&gt;=4,_xlpm.puntosAltValidos&gt;=2),IF(
        SUM(--(_xlpm.claves &gt; _xlpm.clave)) &lt; 4,
        D87,
        E87
    ),"No disp")
)</f>
        <v>No disp</v>
      </c>
      <c r="U87" s="14" t="str" cm="1">
        <f t="array" aca="1" ref="U87" ca="1">_xlfn.LET(
    _xlpm.puntosSec, _xlfn._xlws.FILTER(H:H + B:B/1000, A:A=A87),
    _xlpm.puntosSecValidos, SUM(--(_xlpm.puntosSec&gt;1)),
    _xlpm.puntosAlt, _xlfn._xlws.FILTER(J:J + B:B/1000, A:A=A87),
    _xlpm.puntosAltValidos, SUM(--(_xlpm.puntosAlt&gt;1)),
    _xlpm.clave, O87 + B87/1000,
    _xlpm.claves, _xlfn._xlws.FILTER(O:O + B:B/1000, A:A=A87),
    IF(AND(_xlpm.puntosSecValidos&gt;=4,_xlpm.puntosAltValidos&gt;=2),IF(
        SUM(--(_xlpm.claves &gt; _xlpm.clave)) &lt; 4,
        D87,
        F87
    ),"No disp")
)</f>
        <v>No disp</v>
      </c>
      <c r="V87" s="4" cm="1">
        <f t="array" aca="1" ref="V87" ca="1">_xlfn.LET(
_xlpm.PrinIDs,_xlfn._xlws.FILTER(C:C,(A:A=A87)),
_xlpm.SecIDs,_xlfn._xlws.FILTER(D:D,(A:A=A87)),
_xlpm.TerIDs,_xlfn._xlws.FILTER(E:E,A:A=A87),
_xlpm.CuaIDs,_xlfn._xlws.FILTER(F:F,(A:A=A87)),
_xlpm.PrinPts,_xlfn._xlws.FILTER(G:G,(A:A=A87)),
_xlpm.SecPts,_xlfn._xlws.FILTER(H:H,(A:A=A87)),
_xlpm.TerPts,_xlfn._xlws.FILTER(I:I,(A:A=A87)),
_xlpm.CuaPts,_xlfn._xlws.FILTER(J:J,(A:A=A87)),
_xlpm.PSIds,_xlfn._xlws.FILTER(P:P,A:A=A87),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422.28000000000003</v>
      </c>
      <c r="W87" s="4" cm="1">
        <f t="array" aca="1" ref="W87" ca="1">_xlfn.LET(
_xlpm.PrinIDs,_xlfn._xlws.FILTER(C:C,(A:A=A87)),
_xlpm.SecIDs,_xlfn._xlws.FILTER(D:D,(A:A=A87)),
_xlpm.TerIDs,_xlfn._xlws.FILTER(E:E,A:A=A87),
_xlpm.CuaIDs,_xlfn._xlws.FILTER(F:F,(A:A=A87)),
_xlpm.PrinPts,_xlfn._xlws.FILTER(G:G,(A:A=A87)),
_xlpm.SecPts,_xlfn._xlws.FILTER(H:H,(A:A=A87)),
_xlpm.TerPts,_xlfn._xlws.FILTER(I:I,(A:A=A87)),
_xlpm.CuaPts,_xlfn._xlws.FILTER(J:J,(A:A=A87)),
_xlpm.PTIds,_xlfn._xlws.FILTER(Q:Q,A:A=A87),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87" s="4" cm="1">
        <f t="array" aca="1" ref="X87" ca="1">_xlfn.LET(
_xlpm.PrinIDs,_xlfn._xlws.FILTER(C:C,(A:A=A87)),
_xlpm.SecIDs,_xlfn._xlws.FILTER(D:D,(A:A=A87)),
_xlpm.TerIDs,_xlfn._xlws.FILTER(E:E,A:A=A87),
_xlpm.CuaIDs,_xlfn._xlws.FILTER(F:F,(A:A=A87)),
_xlpm.PrinPts,_xlfn._xlws.FILTER(G:G,(A:A=A87)),
_xlpm.SecPts,_xlfn._xlws.FILTER(H:H,(A:A=A87)),
_xlpm.TerPts,_xlfn._xlws.FILTER(I:I,(A:A=A87)),
_xlpm.CuaPts,_xlfn._xlws.FILTER(J:J,(A:A=A87)),
_xlpm.PCIds,_xlfn._xlws.FILTER(R:R,A:A=A87),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87" s="4" cm="1">
        <f t="array" aca="1" ref="Y87" ca="1">_xlfn.LET(
_xlpm.PrinIDs,_xlfn._xlws.FILTER(C:C,(A:A=A87)),
_xlpm.SecIDs,_xlfn._xlws.FILTER(D:D,(A:A=A87)),
_xlpm.AltIDs,_xlfn._xlws.FILTER(E:E,A:A=A87),
_xlpm.PrinPts,_xlfn._xlws.FILTER(G:G,(A:A=A87)),
_xlpm.SecPts,_xlfn._xlws.FILTER(H:H,(A:A=A87)),
_xlpm.AltPts,_xlfn._xlws.FILTER(I:I,(A:A=A87)),
_xlpm.SPIds,_xlfn._xlws.FILTER(S:S,A:A=A87),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431.1</v>
      </c>
      <c r="Z87" s="4" cm="1">
        <f t="array" aca="1" ref="Z87" ca="1">_xlfn.LET(
_xlpm.PrinIDs,_xlfn._xlws.FILTER(C:C,(A:A=A87)),
_xlpm.SecIDs,_xlfn._xlws.FILTER(D:D,(A:A=A87)),
_xlpm.TerIDs,_xlfn._xlws.FILTER(E:E,A:A=A87),
_xlpm.CuaIDs,_xlfn._xlws.FILTER(F:F,(A:A=A87)),
_xlpm.PrinPts,_xlfn._xlws.FILTER(G:G,(A:A=A87)),
_xlpm.SecPts,_xlfn._xlws.FILTER(H:H,(A:A=A87)),
_xlpm.TerPts,_xlfn._xlws.FILTER(I:I,(A:A=A87)),
_xlpm.CuaPts,_xlfn._xlws.FILTER(J:J,(A:A=A87)),
_xlpm.STIds,_xlfn._xlws.FILTER(T:T,A:A=A87),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87" s="4" cm="1">
        <f t="array" aca="1" ref="AA87" ca="1">_xlfn.LET(
_xlpm.PrinIDs,_xlfn._xlws.FILTER(C:C,(A:A=A87)),
_xlpm.SecIDs,_xlfn._xlws.FILTER(D:D,(A:A=A87)),
_xlpm.TerIDs,_xlfn._xlws.FILTER(E:E,A:A=A87),
_xlpm.CuaIDs,_xlfn._xlws.FILTER(F:F,(A:A=A87)),
_xlpm.PrinPts,_xlfn._xlws.FILTER(G:G,(A:A=A87)),
_xlpm.SecPts,_xlfn._xlws.FILTER(H:H,(A:A=A87)),
_xlpm.TerPts,_xlfn._xlws.FILTER(I:I,(A:A=A87)),
_xlpm.CuaPts,_xlfn._xlws.FILTER(J:J,(A:A=A87)),
_xlpm.SCIds,_xlfn._xlws.FILTER(U:U,A:A=A87),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87" s="14">
        <f t="shared" ca="1" si="7"/>
        <v>10</v>
      </c>
      <c r="AC87" s="14">
        <v>10</v>
      </c>
      <c r="AD87" s="4"/>
      <c r="AE87" s="14" t="str">
        <f ca="1">IF(ISNUMBER(AC87),
IF($B87=1,VLOOKUP($AC87,Inventario1!$A:$H,2),
IF($B87=2,VLOOKUP($AC87,Inventario2!$A:$H,2),
IF($B87=3,VLOOKUP($AC87,Inventario3!$A:$H,2),
IF($B87=4,VLOOKUP($AC87,Inventario4!$A:$H,2),
IF($B87=5,VLOOKUP($AC87,Inventario5!$A:$H,2),
VLOOKUP($AC87,Inventario6!$A:$H,2)
))))),"No equipado")</f>
        <v>Legendario</v>
      </c>
      <c r="AF87" s="14" t="str">
        <f ca="1">IF(ISNUMBER(AC87),
IF($B87=1,VLOOKUP($AC87,Inventario1!$A:$H,3),
IF($B87=2,VLOOKUP($AC87,Inventario2!$A:$H,3),
IF($B87=3,VLOOKUP($AC87,Inventario3!$A:$H,3),
IF($B87=4,VLOOKUP($AC87,Inventario4!$A:$H,3),
IF($B87=5,VLOOKUP($AC87,Inventario5!$A:$H,3),
VLOOKUP($AC87,Inventario6!$A:$H,3)
))))),"")</f>
        <v>Ataque veloz</v>
      </c>
      <c r="AG87" s="14" t="str">
        <f ca="1">IF(ISNUMBER(AC87),
IF($B87=1,VLOOKUP($AC87,Inventario1!$A:$H,4),
IF($B87=2,VLOOKUP($AC87,Inventario2!$A:$H,4),
IF($B87=3,VLOOKUP($AC87,Inventario3!$A:$H,4),
IF($B87=4,VLOOKUP($AC87,Inventario4!$A:$H,4),
IF($B87=5,VLOOKUP($AC87,Inventario5!$A:$H,4),
VLOOKUP($AC87,Inventario6!$A:$H,4)
))))),"")</f>
        <v>Ataque rápido</v>
      </c>
      <c r="AH87" s="14" t="str">
        <f ca="1">IF(ISNUMBER(AC87),
IF($B87=1,VLOOKUP($AC87,Inventario1!$A:$H,5),
IF($B87=2,VLOOKUP($AC87,Inventario2!$A:$H,5),
IF($B87=3,VLOOKUP($AC87,Inventario3!$A:$H,5),
IF($B87=4,VLOOKUP($AC87,Inventario4!$A:$H,5),
IF($B87=5,VLOOKUP($AC87,Inventario5!$A:$H,5),
VLOOKUP($AC87,Inventario6!$A:$H,5)
))))),"")</f>
        <v>Ataque poderoso</v>
      </c>
      <c r="AI87" s="14" t="str">
        <f ca="1">IF(ISNUMBER(AC87),
IF($B87=1,VLOOKUP($AC87,Inventario1!$A:$H,6),
IF($B87=2,VLOOKUP($AC87,Inventario2!$A:$H,6),
IF($B87=3,VLOOKUP($AC87,Inventario3!$A:$H,6),
IF($B87=4,VLOOKUP($AC87,Inventario4!$A:$H,6),
IF($B87=5,VLOOKUP($AC87,Inventario5!$A:$H,6),
VLOOKUP($AC87,Inventario6!$A:$H,6)
))))),"")</f>
        <v>Recepción</v>
      </c>
      <c r="AJ87" s="14" t="str">
        <f ca="1">IF(ISNUMBER(AC87),
IF($B87=1,VLOOKUP($AC87,Inventario1!$A:$H,7),
IF($B87=2,VLOOKUP($AC87,Inventario2!$A:$H,7),
IF($B87=3,VLOOKUP($AC87,Inventario3!$A:$H,7),
IF($B87=4,VLOOKUP($AC87,Inventario4!$A:$H,7),
IF($B87=5,VLOOKUP($AC87,Inventario5!$A:$H,7),
VLOOKUP($AC87,Inventario6!$A:$H,7)
))))),"")</f>
        <v>Técnica ofensiva</v>
      </c>
      <c r="AK87" s="15" t="str">
        <f ca="1">IF(ISNUMBER(AC87),
IF($B87=1,VLOOKUP($AC87,Inventario1!$A:$H,8),
IF($B87=2,VLOOKUP($AC87,Inventario2!$A:$H,8),
IF($B87=3,VLOOKUP($AC87,Inventario3!$A:$H,8),
IF($B87=4,VLOOKUP($AC87,Inventario4!$A:$H,8),
IF($B87=5,VLOOKUP($AC87,Inventario5!$A:$H,8),
VLOOKUP($AC87,Inventario6!$A:$H,8)
))))),"")</f>
        <v>Bloqueo</v>
      </c>
    </row>
    <row r="88" spans="1:37" x14ac:dyDescent="0.25">
      <c r="A88" s="21" t="s">
        <v>25</v>
      </c>
      <c r="B88" s="3">
        <v>3</v>
      </c>
      <c r="C88" s="14" cm="1">
        <f t="array" ref="C88">_xlfn.LET(
    _xlpm.jugador, A88,
    _xlpm.idSel, AC88,
    _xlpm.invIDs, IF(B88=1,Inventario1!A:A,IF(B88=2,Inventario2!A:A,IF(B88=3,Inventario3!A:A,IF(B88=4,Inventario4!A:A,IF(B88=5,Inventario5!A:A,Inventario6!A:A))))),
    _xlpm.invCalidad, IF(B88=1,Inventario1!B:B,IF(B88=2,Inventario2!B:B,IF(B88=3,Inventario3!B:B,IF(B88=4,Inventario4!B:B,IF(B88=5,Inventario5!B:B,Inventario6!B:B))))),
    _xlpm.invTipos, IF(B88=1,Inventario1!C:C,IF(B88=2,Inventario2!C:C,IF(B88=3,Inventario3!C:C,IF(B88=4,Inventario4!C:C,IF(B88=5,Inventario5!C:C,Inventario6!C:C))))),
    _xlpm.invStats, IF(B88=1,Inventario1!D:H,IF(B88=2,Inventario2!D:H,IF(B88=3,Inventario3!D:H,IF(B88=4,Inventario4!D:H,IF(B88=5,Inventario5!D:H,Inventario6!D:H))))),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IF(ROW(A88)=2,"",IF(_xlfn._xlws.FILTER(Equipar!AC$2:AC87,Equipar!B$2:B87=B88)={0},"",_xlfn._xlws.FILTER(Equipar!AC$2:AC87,Equipar!B$2:B87=B88))),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105</v>
      </c>
      <c r="D88" s="4" cm="1">
        <f t="array" aca="1" ref="D88" ca="1">_xlfn.LET(
    _xlpm.jugador, A88,
    _xlpm.idSel, AC88,
    _xlpm.invIDs, IF(B88=1,Inventario1!A:A,IF(B88=2,Inventario2!A:A,IF(B88=3,Inventario3!A:A,IF(B88=4,Inventario4!A:A,IF(B88=5,Inventario5!A:A,Inventario6!A:A))))),
    _xlpm.invCalidad, IF(B88=1,Inventario1!B:B,IF(B88=2,Inventario2!B:B,IF(B88=3,Inventario3!B:B,IF(B88=4,Inventario4!B:B,IF(B88=5,Inventario5!B:B,Inventario6!B:B))))),
    _xlpm.invTipos, IF(B88=1,Inventario1!C:C,IF(B88=2,Inventario2!C:C,IF(B88=3,Inventario3!C:C,IF(B88=4,Inventario4!C:C,IF(B88=5,Inventario5!C:C,Inventario6!C:C))))),
    _xlpm.invStats, IF(B88=1,Inventario1!D:H,IF(B88=2,Inventario2!D:H,IF(B88=3,Inventario3!D:H,IF(B88=4,Inventario4!D:H,IF(B88=5,Inventario5!D:H,Inventario6!D:H))))),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IF(ROW(A88)=2,"",IF(_xlfn._xlws.FILTER(Equipar!AC$2:AC87,Equipar!B$2:B87=B88)={0},"",_xlfn._xlws.FILTER(Equipar!AC$2:AC87,Equipar!B$2:B87=B88))),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161</v>
      </c>
      <c r="E88" s="4" t="str" cm="1">
        <f t="array" ref="E88">_xlfn.LET(
    _xlpm.jugador, A88,
    _xlpm.idSel, AC88,
    _xlpm.invIDs, IF(B88=1,Inventario1!A:A,IF(B88=2,Inventario2!A:A,IF(B88=3,Inventario3!A:A,IF(B88=4,Inventario4!A:A,IF(B88=5,Inventario5!A:A,Inventario6!A:A))))),
    _xlpm.invCalidad, IF(B88=1,Inventario1!B:B,IF(B88=2,Inventario2!B:B,IF(B88=3,Inventario3!B:B,IF(B88=4,Inventario4!B:B,IF(B88=5,Inventario5!B:B,Inventario6!B:B))))),
    _xlpm.invTipos, IF(B88=1,Inventario1!C:C,IF(B88=2,Inventario2!C:C,IF(B88=3,Inventario3!C:C,IF(B88=4,Inventario4!C:C,IF(B88=5,Inventario5!C:C,Inventario6!C:C))))),
    _xlpm.invStats, IF(B88=1,Inventario1!D:H,IF(B88=2,Inventario2!D:H,IF(B88=3,Inventario3!D:H,IF(B88=4,Inventario4!D:H,IF(B88=5,Inventario5!D:H,Inventario6!D:H))))),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IF(ROW(A88)=2,"",IF(_xlfn._xlws.FILTER(Equipar!AC$2:AC87,Equipar!B$2:B87=B88)={0},"",_xlfn._xlws.FILTER(Equipar!AC$2:AC87,Equipar!B$2:B87=B88))),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88" s="4" t="str" cm="1">
        <f t="array" aca="1" ref="F88" ca="1">_xlfn.LET(
    _xlpm.jugador, B88,
    _xlpm.idSel, AD88,
    _xlpm.invIDs, IF(C88=1,Inventario1!B:B,IF(C88=2,Inventario2!B:B,IF(C88=3,Inventario3!B:B,IF(C88=4,Inventario4!B:B,IF(C88=5,Inventario5!B:B,Inventario6!B:B))))),
    _xlpm.invCalidad, IF(C88=1,Inventario1!C:C,IF(C88=2,Inventario2!C:C,IF(C88=3,Inventario3!C:C,IF(C88=4,Inventario4!C:C,IF(C88=5,Inventario5!C:C,Inventario6!C:C))))),
    _xlpm.invTipos, IF(C88=1,Inventario1!D:D,IF(C88=2,Inventario2!D:D,IF(C88=3,Inventario3!D:D,IF(C88=4,Inventario4!D:D,IF(C88=5,Inventario5!D:D,Inventario6!D:D))))),
    _xlpm.invStats, IF(C88=1,Inventario1!E:I,IF(C88=2,Inventario2!E:I,IF(C88=3,Inventario3!E:I,IF(C88=4,Inventario4!E:I,IF(C88=5,Inventario5!E:I,Inventario6!E:I))))),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IF(ROW(B88)=2,"",IF(_xlfn._xlws.FILTER(Equipar!AD$2:AD87,Equipar!C$2:C87=C88)={0},"",_xlfn._xlws.FILTER(Equipar!AD$2:AD87,Equipar!C$2:C87=C88))),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88" s="14" cm="1">
        <f t="array" ref="G88">_xlfn.LET(
    _xlpm.jugador, A88,
    _xlpm.idSel, AC88,
    _xlpm.invIDs, IF(B88=1,Inventario1!A:A,IF(B88=2,Inventario2!A:A,IF(B88=3,Inventario3!A:A,IF(B88=4,Inventario4!A:A,IF(B88=5,Inventario5!A:A,Inventario6!A:A))))),
    _xlpm.invCalidad, IF(B88=1,Inventario1!B:B,IF(B88=2,Inventario2!B:B,IF(B88=3,Inventario3!B:B,IF(B88=4,Inventario4!B:B,IF(B88=5,Inventario5!B:B,Inventario6!B:B))))),
    _xlpm.invTipos, IF(B88=1,Inventario1!C:C,IF(B88=2,Inventario2!C:C,IF(B88=3,Inventario3!C:C,IF(B88=4,Inventario4!C:C,IF(B88=5,Inventario5!C:C,Inventario6!C:C))))),
    _xlpm.invStats, IF(B88=1,Inventario1!D:H,IF(B88=2,Inventario2!D:H,IF(B88=3,Inventario3!D:H,IF(B88=4,Inventario4!D:H,IF(B88=5,Inventario5!D:H,Inventario6!D:H))))),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IF(ROW(A88)=2,"",IF(_xlfn._xlws.FILTER(Equipar!AC$2:AC87,Equipar!B$2:B87=B88)={0},"",_xlfn._xlws.FILTER(Equipar!AC$2:AC87,Equipar!B$2:B87=B88))),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H88" s="4" cm="1">
        <f t="array" aca="1" ref="H88" ca="1">_xlfn.LET(
    _xlpm.jugador, A88,
    _xlpm.idSel, AC88,
    _xlpm.invIDs, IF(B88=1,Inventario1!A:A,IF(B88=2,Inventario2!A:A,IF(B88=3,Inventario3!A:A,IF(B88=4,Inventario4!A:A,IF(B88=5,Inventario5!A:A,Inventario6!A:A))))),
    _xlpm.invCalidad, IF(B88=1,Inventario1!B:B,IF(B88=2,Inventario2!B:B,IF(B88=3,Inventario3!B:B,IF(B88=4,Inventario4!B:B,IF(B88=5,Inventario5!B:B,Inventario6!B:B))))),
    _xlpm.invTipos, IF(B88=1,Inventario1!C:C,IF(B88=2,Inventario2!C:C,IF(B88=3,Inventario3!C:C,IF(B88=4,Inventario4!C:C,IF(B88=5,Inventario5!C:C,Inventario6!C:C))))),
    _xlpm.invStats, IF(B88=1,Inventario1!D:H,IF(B88=2,Inventario2!D:H,IF(B88=3,Inventario3!D:H,IF(B88=4,Inventario4!D:H,IF(B88=5,Inventario5!D:H,Inventario6!D:H))))),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IF(ROW(A88)=2,"",IF(_xlfn._xlws.FILTER(Equipar!AC$2:AC87,Equipar!B$2:B87=B88)={0},"",_xlfn._xlws.FILTER(Equipar!AC$2:AC87,Equipar!B$2:B87=B88))),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I88" s="4" cm="1">
        <f t="array" ref="I88">_xlfn.LET(
    _xlpm.jugador, A88,
    _xlpm.idSel, AC88,
    _xlpm.invIDs, IF(B88=1,Inventario1!A:A,IF(B88=2,Inventario2!A:A,IF(B88=3,Inventario3!A:A,IF(B88=4,Inventario4!A:A,IF(B88=5,Inventario5!A:A,Inventario6!A:A))))),
    _xlpm.invCalidad, IF(B88=1,Inventario1!B:B,IF(B88=2,Inventario2!B:B,IF(B88=3,Inventario3!B:B,IF(B88=4,Inventario4!B:B,IF(B88=5,Inventario5!B:B,Inventario6!B:B))))),
    _xlpm.invTipos, IF(B88=1,Inventario1!C:C,IF(B88=2,Inventario2!C:C,IF(B88=3,Inventario3!C:C,IF(B88=4,Inventario4!C:C,IF(B88=5,Inventario5!C:C,Inventario6!C:C))))),
    _xlpm.invStats, IF(B88=1,Inventario1!D:H,IF(B88=2,Inventario2!D:H,IF(B88=3,Inventario3!D:H,IF(B88=4,Inventario4!D:H,IF(B88=5,Inventario5!D:H,Inventario6!D:H))))),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IF(ROW(A88)=2,"",IF(_xlfn._xlws.FILTER(Equipar!AC$2:AC87,Equipar!B$2:B87=B88)={0},"",_xlfn._xlws.FILTER(Equipar!AC$2:AC87,Equipar!B$2:B87=B88))),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88" s="4" cm="1">
        <f t="array" aca="1" ref="J88" ca="1">_xlfn.LET(
    _xlpm.jugador, B88,
    _xlpm.idSel, AD88,
    _xlpm.invIDs, IF(C88=1,Inventario1!B:B,IF(C88=2,Inventario2!B:B,IF(C88=3,Inventario3!B:B,IF(C88=4,Inventario4!B:B,IF(C88=5,Inventario5!B:B,Inventario6!B:B))))),
    _xlpm.invCalidad, IF(C88=1,Inventario1!C:C,IF(C88=2,Inventario2!C:C,IF(C88=3,Inventario3!C:C,IF(C88=4,Inventario4!C:C,IF(C88=5,Inventario5!C:C,Inventario6!C:C))))),
    _xlpm.invTipos, IF(C88=1,Inventario1!D:D,IF(C88=2,Inventario2!D:D,IF(C88=3,Inventario3!D:D,IF(C88=4,Inventario4!D:D,IF(C88=5,Inventario5!D:D,Inventario6!D:D))))),
    _xlpm.invStats, IF(C88=1,Inventario1!E:I,IF(C88=2,Inventario2!E:I,IF(C88=3,Inventario3!E:I,IF(C88=4,Inventario4!E:I,IF(C88=5,Inventario5!E:I,Inventario6!E:I))))),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IF(ROW(B88)=2,"",IF(_xlfn._xlws.FILTER(Equipar!AD$2:AD87,Equipar!C$2:C87=C88)={0},"",_xlfn._xlws.FILTER(Equipar!AD$2:AD87,Equipar!C$2:C87=C88))),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88" s="4">
        <f t="shared" ca="1" si="4"/>
        <v>-8.8200000000000074</v>
      </c>
      <c r="L88" s="4">
        <f t="shared" si="5"/>
        <v>63</v>
      </c>
      <c r="M88" s="4">
        <f t="shared" ca="1" si="5"/>
        <v>71.820000000000007</v>
      </c>
      <c r="N88" s="4">
        <f t="shared" ca="1" si="6"/>
        <v>71.820000000000007</v>
      </c>
      <c r="O88" s="4">
        <f t="shared" ca="1" si="6"/>
        <v>0</v>
      </c>
      <c r="P88" s="14" cm="1">
        <f t="array" aca="1" ref="P88" ca="1">_xlfn.LET(
    _xlpm.ptsPrinBase, _xlfn._xlws.FILTER(G:G, A:A=A88),
    _xlpm.ptsSecBase,  _xlfn._xlws.FILTER(H:H, A:A=A88),
    _xlpm.puntosPrin, _xlpm.ptsPrinBase + _xlfn._xlws.FILTER(B:B, A:A=A88)/1000,
    _xlpm.puntosSec,  _xlpm.ptsSecBase  + _xlfn._xlws.FILTER(B:B, A:A=A88)/1000,
    _xlpm.puntosPrinValidos, SUM(--(_xlpm.ptsPrinBase&gt;0)),
    _xlpm.puntosSecValidos,  SUM(--(_xlpm.ptsSecBase&gt;0)),
    _xlpm.clave, K88 + B88/1000,
    _xlpm.claves, _xlfn._xlws.FILTER(K:K + B:B/1000, A:A=A88),
    IF(AND(_xlpm.puntosPrinValidos&gt;=4,_xlpm.puntosSecValidos&gt;=2),IF(
        SUM(--(_xlpm.claves &gt; _xlpm.clave)) &lt; 4,
        C88,
        D88
    ),"No disp")
)</f>
        <v>161</v>
      </c>
      <c r="Q88" s="14" t="str" cm="1">
        <f t="array" aca="1" ref="Q88" ca="1">_xlfn.LET(
    _xlpm.puntosPrin, _xlfn._xlws.FILTER(G:G + B:B/1000, A:A=A88),
    _xlpm.puntosPrinValidos, SUM(--(_xlpm.puntosPrin&gt;1)),
    _xlpm.puntosTer, _xlfn._xlws.FILTER(I:I + B:B/1000, A:A=A88),
    _xlpm.puntosTerValidos, SUM(--(_xlpm.puntosTer&gt;1)),
    _xlpm.clave, L88 + B88/1000,
    _xlpm.claves, _xlfn._xlws.FILTER(L:L + B:B/1000, A:A=A88),
    IF(AND(_xlpm.puntosPrinValidos&gt;=4,_xlpm.puntosTerValidos&gt;=2),IF(
        SUM(--(_xlpm.claves &gt; _xlpm.clave)) &lt; 4,
        C88,
        E88
    ),"No disp")
)</f>
        <v>No disp</v>
      </c>
      <c r="R88" s="14" t="str" cm="1">
        <f t="array" aca="1" ref="R88" ca="1">_xlfn.LET(
    _xlpm.puntosPrin, _xlfn._xlws.FILTER(G:G + B:B/1000, A:A=A88),
    _xlpm.puntosPrinValidos, SUM(--(_xlpm.puntosPrin&gt;1)),
    _xlpm.puntosTer, _xlfn._xlws.FILTER(J:J + B:B/1000, A:A=A88),
    _xlpm.puntosTerValidos, SUM(--(_xlpm.puntosTer&gt;1)),
    _xlpm.clave, M88 + B88/1000,
    _xlpm.claves, _xlfn._xlws.FILTER(M:M + B:B/1000, A:A=A88),
    IF(AND(_xlpm.puntosPrinValidos&gt;=4,_xlpm.puntosTerValidos&gt;=2),IF(
        SUM(--(_xlpm.claves &gt; _xlpm.clave)) &lt; 4,
        C88,
        F88
    ),"No disp")
)</f>
        <v>No disp</v>
      </c>
      <c r="S88" s="14" cm="1">
        <f t="array" aca="1" ref="S88" ca="1">_xlfn.LET(
    _xlpm.ptsPrinBase, _xlfn._xlws.FILTER(G:G, A:A=A88),
    _xlpm.ptsSecBase,  _xlfn._xlws.FILTER(H:H, A:A=A88),
    _xlpm.puntosPrin, _xlpm.ptsPrinBase + _xlfn._xlws.FILTER(B:B, A:A=A88)/1000,
    _xlpm.puntosSec,  _xlpm.ptsSecBase  + _xlfn._xlws.FILTER(B:B, A:A=A88)/1000,
    _xlpm.puntosPrinValidos, SUM(--(_xlpm.ptsPrinBase&gt;0)),
    _xlpm.puntosSecValidos,  SUM(--(_xlpm.ptsSecBase&gt;0)),
    _xlpm.clave, K88 + B88/1000,
    _xlpm.claves, _xlfn._xlws.FILTER(K:K + B:B/1000, A:A=A88),
    IF(
        AND(_xlpm.puntosPrinValidos&gt;=2, _xlpm.puntosSecValidos&gt;=4),
        IF(
            SUM(--(_xlpm.claves &lt; _xlpm.clave)) &lt; 4,
            D88,
            C88
        ),
        "No disp"
    )
)</f>
        <v>161</v>
      </c>
      <c r="T88" s="14" t="str" cm="1">
        <f t="array" aca="1" ref="T88" ca="1">_xlfn.LET(
    _xlpm.puntosSec, _xlfn._xlws.FILTER(H:H + B:B/1000, A:A=A88),
    _xlpm.puntosSecValidos, SUM(--(_xlpm.puntosSec&gt;1)),
    _xlpm.puntosAlt, _xlfn._xlws.FILTER(I:I + B:B/1000, A:A=A88),
    _xlpm.puntosAltValidos, SUM(--(_xlpm.puntosAlt&gt;1)),
    _xlpm.clave, N88 + B88/1000,
    _xlpm.claves, _xlfn._xlws.FILTER(N:N + B:B/1000, A:A=A88),
    IF(AND(_xlpm.puntosSecValidos&gt;=4,_xlpm.puntosAltValidos&gt;=2),IF(
        SUM(--(_xlpm.claves &gt; _xlpm.clave)) &lt; 4,
        D88,
        E88
    ),"No disp")
)</f>
        <v>No disp</v>
      </c>
      <c r="U88" s="14" t="str" cm="1">
        <f t="array" aca="1" ref="U88" ca="1">_xlfn.LET(
    _xlpm.puntosSec, _xlfn._xlws.FILTER(H:H + B:B/1000, A:A=A88),
    _xlpm.puntosSecValidos, SUM(--(_xlpm.puntosSec&gt;1)),
    _xlpm.puntosAlt, _xlfn._xlws.FILTER(J:J + B:B/1000, A:A=A88),
    _xlpm.puntosAltValidos, SUM(--(_xlpm.puntosAlt&gt;1)),
    _xlpm.clave, O88 + B88/1000,
    _xlpm.claves, _xlfn._xlws.FILTER(O:O + B:B/1000, A:A=A88),
    IF(AND(_xlpm.puntosSecValidos&gt;=4,_xlpm.puntosAltValidos&gt;=2),IF(
        SUM(--(_xlpm.claves &gt; _xlpm.clave)) &lt; 4,
        D88,
        F88
    ),"No disp")
)</f>
        <v>No disp</v>
      </c>
      <c r="V88" s="4" cm="1">
        <f t="array" aca="1" ref="V88" ca="1">_xlfn.LET(
_xlpm.PrinIDs,_xlfn._xlws.FILTER(C:C,(A:A=A88)),
_xlpm.SecIDs,_xlfn._xlws.FILTER(D:D,(A:A=A88)),
_xlpm.TerIDs,_xlfn._xlws.FILTER(E:E,A:A=A88),
_xlpm.CuaIDs,_xlfn._xlws.FILTER(F:F,(A:A=A88)),
_xlpm.PrinPts,_xlfn._xlws.FILTER(G:G,(A:A=A88)),
_xlpm.SecPts,_xlfn._xlws.FILTER(H:H,(A:A=A88)),
_xlpm.TerPts,_xlfn._xlws.FILTER(I:I,(A:A=A88)),
_xlpm.CuaPts,_xlfn._xlws.FILTER(J:J,(A:A=A88)),
_xlpm.PSIds,_xlfn._xlws.FILTER(P:P,A:A=A88),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422.28000000000003</v>
      </c>
      <c r="W88" s="4" cm="1">
        <f t="array" aca="1" ref="W88" ca="1">_xlfn.LET(
_xlpm.PrinIDs,_xlfn._xlws.FILTER(C:C,(A:A=A88)),
_xlpm.SecIDs,_xlfn._xlws.FILTER(D:D,(A:A=A88)),
_xlpm.TerIDs,_xlfn._xlws.FILTER(E:E,A:A=A88),
_xlpm.CuaIDs,_xlfn._xlws.FILTER(F:F,(A:A=A88)),
_xlpm.PrinPts,_xlfn._xlws.FILTER(G:G,(A:A=A88)),
_xlpm.SecPts,_xlfn._xlws.FILTER(H:H,(A:A=A88)),
_xlpm.TerPts,_xlfn._xlws.FILTER(I:I,(A:A=A88)),
_xlpm.CuaPts,_xlfn._xlws.FILTER(J:J,(A:A=A88)),
_xlpm.PTIds,_xlfn._xlws.FILTER(Q:Q,A:A=A88),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88" s="4" cm="1">
        <f t="array" aca="1" ref="X88" ca="1">_xlfn.LET(
_xlpm.PrinIDs,_xlfn._xlws.FILTER(C:C,(A:A=A88)),
_xlpm.SecIDs,_xlfn._xlws.FILTER(D:D,(A:A=A88)),
_xlpm.TerIDs,_xlfn._xlws.FILTER(E:E,A:A=A88),
_xlpm.CuaIDs,_xlfn._xlws.FILTER(F:F,(A:A=A88)),
_xlpm.PrinPts,_xlfn._xlws.FILTER(G:G,(A:A=A88)),
_xlpm.SecPts,_xlfn._xlws.FILTER(H:H,(A:A=A88)),
_xlpm.TerPts,_xlfn._xlws.FILTER(I:I,(A:A=A88)),
_xlpm.CuaPts,_xlfn._xlws.FILTER(J:J,(A:A=A88)),
_xlpm.PCIds,_xlfn._xlws.FILTER(R:R,A:A=A88),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88" s="4" cm="1">
        <f t="array" aca="1" ref="Y88" ca="1">_xlfn.LET(
_xlpm.PrinIDs,_xlfn._xlws.FILTER(C:C,(A:A=A88)),
_xlpm.SecIDs,_xlfn._xlws.FILTER(D:D,(A:A=A88)),
_xlpm.AltIDs,_xlfn._xlws.FILTER(E:E,A:A=A88),
_xlpm.PrinPts,_xlfn._xlws.FILTER(G:G,(A:A=A88)),
_xlpm.SecPts,_xlfn._xlws.FILTER(H:H,(A:A=A88)),
_xlpm.AltPts,_xlfn._xlws.FILTER(I:I,(A:A=A88)),
_xlpm.SPIds,_xlfn._xlws.FILTER(S:S,A:A=A88),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431.1</v>
      </c>
      <c r="Z88" s="4" cm="1">
        <f t="array" aca="1" ref="Z88" ca="1">_xlfn.LET(
_xlpm.PrinIDs,_xlfn._xlws.FILTER(C:C,(A:A=A88)),
_xlpm.SecIDs,_xlfn._xlws.FILTER(D:D,(A:A=A88)),
_xlpm.TerIDs,_xlfn._xlws.FILTER(E:E,A:A=A88),
_xlpm.CuaIDs,_xlfn._xlws.FILTER(F:F,(A:A=A88)),
_xlpm.PrinPts,_xlfn._xlws.FILTER(G:G,(A:A=A88)),
_xlpm.SecPts,_xlfn._xlws.FILTER(H:H,(A:A=A88)),
_xlpm.TerPts,_xlfn._xlws.FILTER(I:I,(A:A=A88)),
_xlpm.CuaPts,_xlfn._xlws.FILTER(J:J,(A:A=A88)),
_xlpm.STIds,_xlfn._xlws.FILTER(T:T,A:A=A88),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88" s="4" cm="1">
        <f t="array" aca="1" ref="AA88" ca="1">_xlfn.LET(
_xlpm.PrinIDs,_xlfn._xlws.FILTER(C:C,(A:A=A88)),
_xlpm.SecIDs,_xlfn._xlws.FILTER(D:D,(A:A=A88)),
_xlpm.TerIDs,_xlfn._xlws.FILTER(E:E,A:A=A88),
_xlpm.CuaIDs,_xlfn._xlws.FILTER(F:F,(A:A=A88)),
_xlpm.PrinPts,_xlfn._xlws.FILTER(G:G,(A:A=A88)),
_xlpm.SecPts,_xlfn._xlws.FILTER(H:H,(A:A=A88)),
_xlpm.TerPts,_xlfn._xlws.FILTER(I:I,(A:A=A88)),
_xlpm.CuaPts,_xlfn._xlws.FILTER(J:J,(A:A=A88)),
_xlpm.SCIds,_xlfn._xlws.FILTER(U:U,A:A=A88),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88" s="14">
        <f t="shared" ca="1" si="7"/>
        <v>161</v>
      </c>
      <c r="AC88" s="14">
        <v>161</v>
      </c>
      <c r="AD88" s="4"/>
      <c r="AE88" s="14" t="str">
        <f ca="1">IF(ISNUMBER(AC88),
IF($B88=1,VLOOKUP($AC88,Inventario1!$A:$H,2),
IF($B88=2,VLOOKUP($AC88,Inventario2!$A:$H,2),
IF($B88=3,VLOOKUP($AC88,Inventario3!$A:$H,2),
IF($B88=4,VLOOKUP($AC88,Inventario4!$A:$H,2),
IF($B88=5,VLOOKUP($AC88,Inventario5!$A:$H,2),
VLOOKUP($AC88,Inventario6!$A:$H,2)
))))),"No equipado")</f>
        <v>Legendario</v>
      </c>
      <c r="AF88" s="14" t="str">
        <f ca="1">IF(ISNUMBER(AC88),
IF($B88=1,VLOOKUP($AC88,Inventario1!$A:$H,3),
IF($B88=2,VLOOKUP($AC88,Inventario2!$A:$H,3),
IF($B88=3,VLOOKUP($AC88,Inventario3!$A:$H,3),
IF($B88=4,VLOOKUP($AC88,Inventario4!$A:$H,3),
IF($B88=5,VLOOKUP($AC88,Inventario5!$A:$H,3),
VLOOKUP($AC88,Inventario6!$A:$H,3)
))))),"")</f>
        <v>Ataque veloz</v>
      </c>
      <c r="AG88" s="14" t="str">
        <f ca="1">IF(ISNUMBER(AC88),
IF($B88=1,VLOOKUP($AC88,Inventario1!$A:$H,4),
IF($B88=2,VLOOKUP($AC88,Inventario2!$A:$H,4),
IF($B88=3,VLOOKUP($AC88,Inventario3!$A:$H,4),
IF($B88=4,VLOOKUP($AC88,Inventario4!$A:$H,4),
IF($B88=5,VLOOKUP($AC88,Inventario5!$A:$H,4),
VLOOKUP($AC88,Inventario6!$A:$H,4)
))))),"")</f>
        <v>Saque</v>
      </c>
      <c r="AH88" s="14" t="str">
        <f ca="1">IF(ISNUMBER(AC88),
IF($B88=1,VLOOKUP($AC88,Inventario1!$A:$H,5),
IF($B88=2,VLOOKUP($AC88,Inventario2!$A:$H,5),
IF($B88=3,VLOOKUP($AC88,Inventario3!$A:$H,5),
IF($B88=4,VLOOKUP($AC88,Inventario4!$A:$H,5),
IF($B88=5,VLOOKUP($AC88,Inventario5!$A:$H,5),
VLOOKUP($AC88,Inventario6!$A:$H,5)
))))),"")</f>
        <v>Bloqueo</v>
      </c>
      <c r="AI88" s="14" t="str">
        <f ca="1">IF(ISNUMBER(AC88),
IF($B88=1,VLOOKUP($AC88,Inventario1!$A:$H,6),
IF($B88=2,VLOOKUP($AC88,Inventario2!$A:$H,6),
IF($B88=3,VLOOKUP($AC88,Inventario3!$A:$H,6),
IF($B88=4,VLOOKUP($AC88,Inventario4!$A:$H,6),
IF($B88=5,VLOOKUP($AC88,Inventario5!$A:$H,6),
VLOOKUP($AC88,Inventario6!$A:$H,6)
))))),"")</f>
        <v>Recepción</v>
      </c>
      <c r="AJ88" s="14" t="str">
        <f ca="1">IF(ISNUMBER(AC88),
IF($B88=1,VLOOKUP($AC88,Inventario1!$A:$H,7),
IF($B88=2,VLOOKUP($AC88,Inventario2!$A:$H,7),
IF($B88=3,VLOOKUP($AC88,Inventario3!$A:$H,7),
IF($B88=4,VLOOKUP($AC88,Inventario4!$A:$H,7),
IF($B88=5,VLOOKUP($AC88,Inventario5!$A:$H,7),
VLOOKUP($AC88,Inventario6!$A:$H,7)
))))),"")</f>
        <v>Ataque rápido</v>
      </c>
      <c r="AK88" s="15">
        <f ca="1">IF(ISNUMBER(AC88),
IF($B88=1,VLOOKUP($AC88,Inventario1!$A:$H,8),
IF($B88=2,VLOOKUP($AC88,Inventario2!$A:$H,8),
IF($B88=3,VLOOKUP($AC88,Inventario3!$A:$H,8),
IF($B88=4,VLOOKUP($AC88,Inventario4!$A:$H,8),
IF($B88=5,VLOOKUP($AC88,Inventario5!$A:$H,8),
VLOOKUP($AC88,Inventario6!$A:$H,8)
))))),"")</f>
        <v>0</v>
      </c>
    </row>
    <row r="89" spans="1:37" x14ac:dyDescent="0.25">
      <c r="A89" s="21" t="s">
        <v>25</v>
      </c>
      <c r="B89" s="3">
        <v>4</v>
      </c>
      <c r="C89" s="14" cm="1">
        <f t="array" aca="1" ref="C89" ca="1">_xlfn.LET(
    _xlpm.jugador, A89,
    _xlpm.idSel, AC89,
    _xlpm.invIDs, IF(B89=1,Inventario1!A:A,IF(B89=2,Inventario2!A:A,IF(B89=3,Inventario3!A:A,IF(B89=4,Inventario4!A:A,IF(B89=5,Inventario5!A:A,Inventario6!A:A))))),
    _xlpm.invCalidad, IF(B89=1,Inventario1!B:B,IF(B89=2,Inventario2!B:B,IF(B89=3,Inventario3!B:B,IF(B89=4,Inventario4!B:B,IF(B89=5,Inventario5!B:B,Inventario6!B:B))))),
    _xlpm.invTipos, IF(B89=1,Inventario1!C:C,IF(B89=2,Inventario2!C:C,IF(B89=3,Inventario3!C:C,IF(B89=4,Inventario4!C:C,IF(B89=5,Inventario5!C:C,Inventario6!C:C))))),
    _xlpm.invStats, IF(B89=1,Inventario1!D:H,IF(B89=2,Inventario2!D:H,IF(B89=3,Inventario3!D:H,IF(B89=4,Inventario4!D:H,IF(B89=5,Inventario5!D:H,Inventario6!D:H))))),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IF(ROW(A89)=2,"",IF(_xlfn._xlws.FILTER(Equipar!AC$2:AC88,Equipar!B$2:B88=B89)={0},"",_xlfn._xlws.FILTER(Equipar!AC$2:AC88,Equipar!B$2:B88=B89))),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118</v>
      </c>
      <c r="D89" s="4" cm="1">
        <f t="array" aca="1" ref="D89" ca="1">_xlfn.LET(
    _xlpm.jugador, A89,
    _xlpm.idSel, AC89,
    _xlpm.invIDs, IF(B89=1,Inventario1!A:A,IF(B89=2,Inventario2!A:A,IF(B89=3,Inventario3!A:A,IF(B89=4,Inventario4!A:A,IF(B89=5,Inventario5!A:A,Inventario6!A:A))))),
    _xlpm.invCalidad, IF(B89=1,Inventario1!B:B,IF(B89=2,Inventario2!B:B,IF(B89=3,Inventario3!B:B,IF(B89=4,Inventario4!B:B,IF(B89=5,Inventario5!B:B,Inventario6!B:B))))),
    _xlpm.invTipos, IF(B89=1,Inventario1!C:C,IF(B89=2,Inventario2!C:C,IF(B89=3,Inventario3!C:C,IF(B89=4,Inventario4!C:C,IF(B89=5,Inventario5!C:C,Inventario6!C:C))))),
    _xlpm.invStats, IF(B89=1,Inventario1!D:H,IF(B89=2,Inventario2!D:H,IF(B89=3,Inventario3!D:H,IF(B89=4,Inventario4!D:H,IF(B89=5,Inventario5!D:H,Inventario6!D:H))))),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IF(ROW(A89)=2,"",IF(_xlfn._xlws.FILTER(Equipar!AC$2:AC88,Equipar!B$2:B88=B89)={0},"",_xlfn._xlws.FILTER(Equipar!AC$2:AC88,Equipar!B$2:B88=B89))),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91</v>
      </c>
      <c r="E89" s="4" t="str" cm="1">
        <f t="array" ref="E89">_xlfn.LET(
    _xlpm.jugador, A89,
    _xlpm.idSel, AC89,
    _xlpm.invIDs, IF(B89=1,Inventario1!A:A,IF(B89=2,Inventario2!A:A,IF(B89=3,Inventario3!A:A,IF(B89=4,Inventario4!A:A,IF(B89=5,Inventario5!A:A,Inventario6!A:A))))),
    _xlpm.invCalidad, IF(B89=1,Inventario1!B:B,IF(B89=2,Inventario2!B:B,IF(B89=3,Inventario3!B:B,IF(B89=4,Inventario4!B:B,IF(B89=5,Inventario5!B:B,Inventario6!B:B))))),
    _xlpm.invTipos, IF(B89=1,Inventario1!C:C,IF(B89=2,Inventario2!C:C,IF(B89=3,Inventario3!C:C,IF(B89=4,Inventario4!C:C,IF(B89=5,Inventario5!C:C,Inventario6!C:C))))),
    _xlpm.invStats, IF(B89=1,Inventario1!D:H,IF(B89=2,Inventario2!D:H,IF(B89=3,Inventario3!D:H,IF(B89=4,Inventario4!D:H,IF(B89=5,Inventario5!D:H,Inventario6!D:H))))),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IF(ROW(A89)=2,"",IF(_xlfn._xlws.FILTER(Equipar!AC$2:AC88,Equipar!B$2:B88=B89)={0},"",_xlfn._xlws.FILTER(Equipar!AC$2:AC88,Equipar!B$2:B88=B89))),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89" s="4" t="str" cm="1">
        <f t="array" aca="1" ref="F89" ca="1">_xlfn.LET(
    _xlpm.jugador, B89,
    _xlpm.idSel, AD89,
    _xlpm.invIDs, IF(C89=1,Inventario1!B:B,IF(C89=2,Inventario2!B:B,IF(C89=3,Inventario3!B:B,IF(C89=4,Inventario4!B:B,IF(C89=5,Inventario5!B:B,Inventario6!B:B))))),
    _xlpm.invCalidad, IF(C89=1,Inventario1!C:C,IF(C89=2,Inventario2!C:C,IF(C89=3,Inventario3!C:C,IF(C89=4,Inventario4!C:C,IF(C89=5,Inventario5!C:C,Inventario6!C:C))))),
    _xlpm.invTipos, IF(C89=1,Inventario1!D:D,IF(C89=2,Inventario2!D:D,IF(C89=3,Inventario3!D:D,IF(C89=4,Inventario4!D:D,IF(C89=5,Inventario5!D:D,Inventario6!D:D))))),
    _xlpm.invStats, IF(C89=1,Inventario1!E:I,IF(C89=2,Inventario2!E:I,IF(C89=3,Inventario3!E:I,IF(C89=4,Inventario4!E:I,IF(C89=5,Inventario5!E:I,Inventario6!E:I))))),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IF(ROW(B89)=2,"",IF(_xlfn._xlws.FILTER(Equipar!AD$2:AD88,Equipar!C$2:C88=C89)={0},"",_xlfn._xlws.FILTER(Equipar!AD$2:AD88,Equipar!C$2:C88=C89))),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89" s="14" cm="1">
        <f t="array" aca="1" ref="G89" ca="1">_xlfn.LET(
    _xlpm.jugador, A89,
    _xlpm.idSel, AC89,
    _xlpm.invIDs, IF(B89=1,Inventario1!A:A,IF(B89=2,Inventario2!A:A,IF(B89=3,Inventario3!A:A,IF(B89=4,Inventario4!A:A,IF(B89=5,Inventario5!A:A,Inventario6!A:A))))),
    _xlpm.invCalidad, IF(B89=1,Inventario1!B:B,IF(B89=2,Inventario2!B:B,IF(B89=3,Inventario3!B:B,IF(B89=4,Inventario4!B:B,IF(B89=5,Inventario5!B:B,Inventario6!B:B))))),
    _xlpm.invTipos, IF(B89=1,Inventario1!C:C,IF(B89=2,Inventario2!C:C,IF(B89=3,Inventario3!C:C,IF(B89=4,Inventario4!C:C,IF(B89=5,Inventario5!C:C,Inventario6!C:C))))),
    _xlpm.invStats, IF(B89=1,Inventario1!D:H,IF(B89=2,Inventario2!D:H,IF(B89=3,Inventario3!D:H,IF(B89=4,Inventario4!D:H,IF(B89=5,Inventario5!D:H,Inventario6!D:H))))),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IF(ROW(A89)=2,"",IF(_xlfn._xlws.FILTER(Equipar!AC$2:AC88,Equipar!B$2:B88=B89)={0},"",_xlfn._xlws.FILTER(Equipar!AC$2:AC88,Equipar!B$2:B88=B89))),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H89" s="4" cm="1">
        <f t="array" aca="1" ref="H89" ca="1">_xlfn.LET(
    _xlpm.jugador, A89,
    _xlpm.idSel, AC89,
    _xlpm.invIDs, IF(B89=1,Inventario1!A:A,IF(B89=2,Inventario2!A:A,IF(B89=3,Inventario3!A:A,IF(B89=4,Inventario4!A:A,IF(B89=5,Inventario5!A:A,Inventario6!A:A))))),
    _xlpm.invCalidad, IF(B89=1,Inventario1!B:B,IF(B89=2,Inventario2!B:B,IF(B89=3,Inventario3!B:B,IF(B89=4,Inventario4!B:B,IF(B89=5,Inventario5!B:B,Inventario6!B:B))))),
    _xlpm.invTipos, IF(B89=1,Inventario1!C:C,IF(B89=2,Inventario2!C:C,IF(B89=3,Inventario3!C:C,IF(B89=4,Inventario4!C:C,IF(B89=5,Inventario5!C:C,Inventario6!C:C))))),
    _xlpm.invStats, IF(B89=1,Inventario1!D:H,IF(B89=2,Inventario2!D:H,IF(B89=3,Inventario3!D:H,IF(B89=4,Inventario4!D:H,IF(B89=5,Inventario5!D:H,Inventario6!D:H))))),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IF(ROW(A89)=2,"",IF(_xlfn._xlws.FILTER(Equipar!AC$2:AC88,Equipar!B$2:B88=B89)={0},"",_xlfn._xlws.FILTER(Equipar!AC$2:AC88,Equipar!B$2:B88=B89))),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I89" s="4" cm="1">
        <f t="array" ref="I89">_xlfn.LET(
    _xlpm.jugador, A89,
    _xlpm.idSel, AC89,
    _xlpm.invIDs, IF(B89=1,Inventario1!A:A,IF(B89=2,Inventario2!A:A,IF(B89=3,Inventario3!A:A,IF(B89=4,Inventario4!A:A,IF(B89=5,Inventario5!A:A,Inventario6!A:A))))),
    _xlpm.invCalidad, IF(B89=1,Inventario1!B:B,IF(B89=2,Inventario2!B:B,IF(B89=3,Inventario3!B:B,IF(B89=4,Inventario4!B:B,IF(B89=5,Inventario5!B:B,Inventario6!B:B))))),
    _xlpm.invTipos, IF(B89=1,Inventario1!C:C,IF(B89=2,Inventario2!C:C,IF(B89=3,Inventario3!C:C,IF(B89=4,Inventario4!C:C,IF(B89=5,Inventario5!C:C,Inventario6!C:C))))),
    _xlpm.invStats, IF(B89=1,Inventario1!D:H,IF(B89=2,Inventario2!D:H,IF(B89=3,Inventario3!D:H,IF(B89=4,Inventario4!D:H,IF(B89=5,Inventario5!D:H,Inventario6!D:H))))),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IF(ROW(A89)=2,"",IF(_xlfn._xlws.FILTER(Equipar!AC$2:AC88,Equipar!B$2:B88=B89)={0},"",_xlfn._xlws.FILTER(Equipar!AC$2:AC88,Equipar!B$2:B88=B89))),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89" s="4" cm="1">
        <f t="array" aca="1" ref="J89" ca="1">_xlfn.LET(
    _xlpm.jugador, B89,
    _xlpm.idSel, AD89,
    _xlpm.invIDs, IF(C89=1,Inventario1!B:B,IF(C89=2,Inventario2!B:B,IF(C89=3,Inventario3!B:B,IF(C89=4,Inventario4!B:B,IF(C89=5,Inventario5!B:B,Inventario6!B:B))))),
    _xlpm.invCalidad, IF(C89=1,Inventario1!C:C,IF(C89=2,Inventario2!C:C,IF(C89=3,Inventario3!C:C,IF(C89=4,Inventario4!C:C,IF(C89=5,Inventario5!C:C,Inventario6!C:C))))),
    _xlpm.invTipos, IF(C89=1,Inventario1!D:D,IF(C89=2,Inventario2!D:D,IF(C89=3,Inventario3!D:D,IF(C89=4,Inventario4!D:D,IF(C89=5,Inventario5!D:D,Inventario6!D:D))))),
    _xlpm.invStats, IF(C89=1,Inventario1!E:I,IF(C89=2,Inventario2!E:I,IF(C89=3,Inventario3!E:I,IF(C89=4,Inventario4!E:I,IF(C89=5,Inventario5!E:I,Inventario6!E:I))))),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IF(ROW(B89)=2,"",IF(_xlfn._xlws.FILTER(Equipar!AD$2:AD88,Equipar!C$2:C88=C89)={0},"",_xlfn._xlws.FILTER(Equipar!AD$2:AD88,Equipar!C$2:C88=C89))),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89" s="4">
        <f t="shared" ca="1" si="4"/>
        <v>9</v>
      </c>
      <c r="L89" s="4">
        <f t="shared" ca="1" si="5"/>
        <v>72</v>
      </c>
      <c r="M89" s="4">
        <f t="shared" ca="1" si="5"/>
        <v>63</v>
      </c>
      <c r="N89" s="4">
        <f t="shared" ca="1" si="6"/>
        <v>63</v>
      </c>
      <c r="O89" s="4">
        <f t="shared" ca="1" si="6"/>
        <v>0</v>
      </c>
      <c r="P89" s="14" cm="1">
        <f t="array" aca="1" ref="P89" ca="1">_xlfn.LET(
    _xlpm.ptsPrinBase, _xlfn._xlws.FILTER(G:G, A:A=A89),
    _xlpm.ptsSecBase,  _xlfn._xlws.FILTER(H:H, A:A=A89),
    _xlpm.puntosPrin, _xlpm.ptsPrinBase + _xlfn._xlws.FILTER(B:B, A:A=A89)/1000,
    _xlpm.puntosSec,  _xlpm.ptsSecBase  + _xlfn._xlws.FILTER(B:B, A:A=A89)/1000,
    _xlpm.puntosPrinValidos, SUM(--(_xlpm.ptsPrinBase&gt;0)),
    _xlpm.puntosSecValidos,  SUM(--(_xlpm.ptsSecBase&gt;0)),
    _xlpm.clave, K89 + B89/1000,
    _xlpm.claves, _xlfn._xlws.FILTER(K:K + B:B/1000, A:A=A89),
    IF(AND(_xlpm.puntosPrinValidos&gt;=4,_xlpm.puntosSecValidos&gt;=2),IF(
        SUM(--(_xlpm.claves &gt; _xlpm.clave)) &lt; 4,
        C89,
        D89
    ),"No disp")
)</f>
        <v>118</v>
      </c>
      <c r="Q89" s="14" t="str" cm="1">
        <f t="array" aca="1" ref="Q89" ca="1">_xlfn.LET(
    _xlpm.puntosPrin, _xlfn._xlws.FILTER(G:G + B:B/1000, A:A=A89),
    _xlpm.puntosPrinValidos, SUM(--(_xlpm.puntosPrin&gt;1)),
    _xlpm.puntosTer, _xlfn._xlws.FILTER(I:I + B:B/1000, A:A=A89),
    _xlpm.puntosTerValidos, SUM(--(_xlpm.puntosTer&gt;1)),
    _xlpm.clave, L89 + B89/1000,
    _xlpm.claves, _xlfn._xlws.FILTER(L:L + B:B/1000, A:A=A89),
    IF(AND(_xlpm.puntosPrinValidos&gt;=4,_xlpm.puntosTerValidos&gt;=2),IF(
        SUM(--(_xlpm.claves &gt; _xlpm.clave)) &lt; 4,
        C89,
        E89
    ),"No disp")
)</f>
        <v>No disp</v>
      </c>
      <c r="R89" s="14" t="str" cm="1">
        <f t="array" aca="1" ref="R89" ca="1">_xlfn.LET(
    _xlpm.puntosPrin, _xlfn._xlws.FILTER(G:G + B:B/1000, A:A=A89),
    _xlpm.puntosPrinValidos, SUM(--(_xlpm.puntosPrin&gt;1)),
    _xlpm.puntosTer, _xlfn._xlws.FILTER(J:J + B:B/1000, A:A=A89),
    _xlpm.puntosTerValidos, SUM(--(_xlpm.puntosTer&gt;1)),
    _xlpm.clave, M89 + B89/1000,
    _xlpm.claves, _xlfn._xlws.FILTER(M:M + B:B/1000, A:A=A89),
    IF(AND(_xlpm.puntosPrinValidos&gt;=4,_xlpm.puntosTerValidos&gt;=2),IF(
        SUM(--(_xlpm.claves &gt; _xlpm.clave)) &lt; 4,
        C89,
        F89
    ),"No disp")
)</f>
        <v>No disp</v>
      </c>
      <c r="S89" s="14" cm="1">
        <f t="array" aca="1" ref="S89" ca="1">_xlfn.LET(
    _xlpm.ptsPrinBase, _xlfn._xlws.FILTER(G:G, A:A=A89),
    _xlpm.ptsSecBase,  _xlfn._xlws.FILTER(H:H, A:A=A89),
    _xlpm.puntosPrin, _xlpm.ptsPrinBase + _xlfn._xlws.FILTER(B:B, A:A=A89)/1000,
    _xlpm.puntosSec,  _xlpm.ptsSecBase  + _xlfn._xlws.FILTER(B:B, A:A=A89)/1000,
    _xlpm.puntosPrinValidos, SUM(--(_xlpm.ptsPrinBase&gt;0)),
    _xlpm.puntosSecValidos,  SUM(--(_xlpm.ptsSecBase&gt;0)),
    _xlpm.clave, K89 + B89/1000,
    _xlpm.claves, _xlfn._xlws.FILTER(K:K + B:B/1000, A:A=A89),
    IF(
        AND(_xlpm.puntosPrinValidos&gt;=2, _xlpm.puntosSecValidos&gt;=4),
        IF(
            SUM(--(_xlpm.claves &lt; _xlpm.clave)) &lt; 4,
            D89,
            C89
        ),
        "No disp"
    )
)</f>
        <v>118</v>
      </c>
      <c r="T89" s="14" t="str" cm="1">
        <f t="array" aca="1" ref="T89" ca="1">_xlfn.LET(
    _xlpm.puntosSec, _xlfn._xlws.FILTER(H:H + B:B/1000, A:A=A89),
    _xlpm.puntosSecValidos, SUM(--(_xlpm.puntosSec&gt;1)),
    _xlpm.puntosAlt, _xlfn._xlws.FILTER(I:I + B:B/1000, A:A=A89),
    _xlpm.puntosAltValidos, SUM(--(_xlpm.puntosAlt&gt;1)),
    _xlpm.clave, N89 + B89/1000,
    _xlpm.claves, _xlfn._xlws.FILTER(N:N + B:B/1000, A:A=A89),
    IF(AND(_xlpm.puntosSecValidos&gt;=4,_xlpm.puntosAltValidos&gt;=2),IF(
        SUM(--(_xlpm.claves &gt; _xlpm.clave)) &lt; 4,
        D89,
        E89
    ),"No disp")
)</f>
        <v>No disp</v>
      </c>
      <c r="U89" s="14" t="str" cm="1">
        <f t="array" aca="1" ref="U89" ca="1">_xlfn.LET(
    _xlpm.puntosSec, _xlfn._xlws.FILTER(H:H + B:B/1000, A:A=A89),
    _xlpm.puntosSecValidos, SUM(--(_xlpm.puntosSec&gt;1)),
    _xlpm.puntosAlt, _xlfn._xlws.FILTER(J:J + B:B/1000, A:A=A89),
    _xlpm.puntosAltValidos, SUM(--(_xlpm.puntosAlt&gt;1)),
    _xlpm.clave, O89 + B89/1000,
    _xlpm.claves, _xlfn._xlws.FILTER(O:O + B:B/1000, A:A=A89),
    IF(AND(_xlpm.puntosSecValidos&gt;=4,_xlpm.puntosAltValidos&gt;=2),IF(
        SUM(--(_xlpm.claves &gt; _xlpm.clave)) &lt; 4,
        D89,
        F89
    ),"No disp")
)</f>
        <v>No disp</v>
      </c>
      <c r="V89" s="4" cm="1">
        <f t="array" aca="1" ref="V89" ca="1">_xlfn.LET(
_xlpm.PrinIDs,_xlfn._xlws.FILTER(C:C,(A:A=A89)),
_xlpm.SecIDs,_xlfn._xlws.FILTER(D:D,(A:A=A89)),
_xlpm.TerIDs,_xlfn._xlws.FILTER(E:E,A:A=A89),
_xlpm.CuaIDs,_xlfn._xlws.FILTER(F:F,(A:A=A89)),
_xlpm.PrinPts,_xlfn._xlws.FILTER(G:G,(A:A=A89)),
_xlpm.SecPts,_xlfn._xlws.FILTER(H:H,(A:A=A89)),
_xlpm.TerPts,_xlfn._xlws.FILTER(I:I,(A:A=A89)),
_xlpm.CuaPts,_xlfn._xlws.FILTER(J:J,(A:A=A89)),
_xlpm.PSIds,_xlfn._xlws.FILTER(P:P,A:A=A89),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422.28000000000003</v>
      </c>
      <c r="W89" s="4" cm="1">
        <f t="array" aca="1" ref="W89" ca="1">_xlfn.LET(
_xlpm.PrinIDs,_xlfn._xlws.FILTER(C:C,(A:A=A89)),
_xlpm.SecIDs,_xlfn._xlws.FILTER(D:D,(A:A=A89)),
_xlpm.TerIDs,_xlfn._xlws.FILTER(E:E,A:A=A89),
_xlpm.CuaIDs,_xlfn._xlws.FILTER(F:F,(A:A=A89)),
_xlpm.PrinPts,_xlfn._xlws.FILTER(G:G,(A:A=A89)),
_xlpm.SecPts,_xlfn._xlws.FILTER(H:H,(A:A=A89)),
_xlpm.TerPts,_xlfn._xlws.FILTER(I:I,(A:A=A89)),
_xlpm.CuaPts,_xlfn._xlws.FILTER(J:J,(A:A=A89)),
_xlpm.PTIds,_xlfn._xlws.FILTER(Q:Q,A:A=A89),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89" s="4" cm="1">
        <f t="array" aca="1" ref="X89" ca="1">_xlfn.LET(
_xlpm.PrinIDs,_xlfn._xlws.FILTER(C:C,(A:A=A89)),
_xlpm.SecIDs,_xlfn._xlws.FILTER(D:D,(A:A=A89)),
_xlpm.TerIDs,_xlfn._xlws.FILTER(E:E,A:A=A89),
_xlpm.CuaIDs,_xlfn._xlws.FILTER(F:F,(A:A=A89)),
_xlpm.PrinPts,_xlfn._xlws.FILTER(G:G,(A:A=A89)),
_xlpm.SecPts,_xlfn._xlws.FILTER(H:H,(A:A=A89)),
_xlpm.TerPts,_xlfn._xlws.FILTER(I:I,(A:A=A89)),
_xlpm.CuaPts,_xlfn._xlws.FILTER(J:J,(A:A=A89)),
_xlpm.PCIds,_xlfn._xlws.FILTER(R:R,A:A=A89),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89" s="4" cm="1">
        <f t="array" aca="1" ref="Y89" ca="1">_xlfn.LET(
_xlpm.PrinIDs,_xlfn._xlws.FILTER(C:C,(A:A=A89)),
_xlpm.SecIDs,_xlfn._xlws.FILTER(D:D,(A:A=A89)),
_xlpm.AltIDs,_xlfn._xlws.FILTER(E:E,A:A=A89),
_xlpm.PrinPts,_xlfn._xlws.FILTER(G:G,(A:A=A89)),
_xlpm.SecPts,_xlfn._xlws.FILTER(H:H,(A:A=A89)),
_xlpm.AltPts,_xlfn._xlws.FILTER(I:I,(A:A=A89)),
_xlpm.SPIds,_xlfn._xlws.FILTER(S:S,A:A=A89),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431.1</v>
      </c>
      <c r="Z89" s="4" cm="1">
        <f t="array" aca="1" ref="Z89" ca="1">_xlfn.LET(
_xlpm.PrinIDs,_xlfn._xlws.FILTER(C:C,(A:A=A89)),
_xlpm.SecIDs,_xlfn._xlws.FILTER(D:D,(A:A=A89)),
_xlpm.TerIDs,_xlfn._xlws.FILTER(E:E,A:A=A89),
_xlpm.CuaIDs,_xlfn._xlws.FILTER(F:F,(A:A=A89)),
_xlpm.PrinPts,_xlfn._xlws.FILTER(G:G,(A:A=A89)),
_xlpm.SecPts,_xlfn._xlws.FILTER(H:H,(A:A=A89)),
_xlpm.TerPts,_xlfn._xlws.FILTER(I:I,(A:A=A89)),
_xlpm.CuaPts,_xlfn._xlws.FILTER(J:J,(A:A=A89)),
_xlpm.STIds,_xlfn._xlws.FILTER(T:T,A:A=A89),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89" s="4" cm="1">
        <f t="array" aca="1" ref="AA89" ca="1">_xlfn.LET(
_xlpm.PrinIDs,_xlfn._xlws.FILTER(C:C,(A:A=A89)),
_xlpm.SecIDs,_xlfn._xlws.FILTER(D:D,(A:A=A89)),
_xlpm.TerIDs,_xlfn._xlws.FILTER(E:E,A:A=A89),
_xlpm.CuaIDs,_xlfn._xlws.FILTER(F:F,(A:A=A89)),
_xlpm.PrinPts,_xlfn._xlws.FILTER(G:G,(A:A=A89)),
_xlpm.SecPts,_xlfn._xlws.FILTER(H:H,(A:A=A89)),
_xlpm.TerPts,_xlfn._xlws.FILTER(I:I,(A:A=A89)),
_xlpm.CuaPts,_xlfn._xlws.FILTER(J:J,(A:A=A89)),
_xlpm.SCIds,_xlfn._xlws.FILTER(U:U,A:A=A89),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89" s="14">
        <f t="shared" ca="1" si="7"/>
        <v>118</v>
      </c>
      <c r="AC89" s="14">
        <v>118</v>
      </c>
      <c r="AD89" s="4"/>
      <c r="AE89" s="14" t="str">
        <f ca="1">IF(ISNUMBER(AC89),
IF($B89=1,VLOOKUP($AC89,Inventario1!$A:$H,2),
IF($B89=2,VLOOKUP($AC89,Inventario2!$A:$H,2),
IF($B89=3,VLOOKUP($AC89,Inventario3!$A:$H,2),
IF($B89=4,VLOOKUP($AC89,Inventario4!$A:$H,2),
IF($B89=5,VLOOKUP($AC89,Inventario5!$A:$H,2),
VLOOKUP($AC89,Inventario6!$A:$H,2)
))))),"No equipado")</f>
        <v>Épico</v>
      </c>
      <c r="AF89" s="14" t="str">
        <f ca="1">IF(ISNUMBER(AC89),
IF($B89=1,VLOOKUP($AC89,Inventario1!$A:$H,3),
IF($B89=2,VLOOKUP($AC89,Inventario2!$A:$H,3),
IF($B89=3,VLOOKUP($AC89,Inventario3!$A:$H,3),
IF($B89=4,VLOOKUP($AC89,Inventario4!$A:$H,3),
IF($B89=5,VLOOKUP($AC89,Inventario5!$A:$H,3),
VLOOKUP($AC89,Inventario6!$A:$H,3)
))))),"")</f>
        <v>Bloque preciso</v>
      </c>
      <c r="AG89" s="14" t="str">
        <f ca="1">IF(ISNUMBER(AC89),
IF($B89=1,VLOOKUP($AC89,Inventario1!$A:$H,4),
IF($B89=2,VLOOKUP($AC89,Inventario2!$A:$H,4),
IF($B89=3,VLOOKUP($AC89,Inventario3!$A:$H,4),
IF($B89=4,VLOOKUP($AC89,Inventario4!$A:$H,4),
IF($B89=5,VLOOKUP($AC89,Inventario5!$A:$H,4),
VLOOKUP($AC89,Inventario6!$A:$H,4)
))))),"")</f>
        <v>Reflejos</v>
      </c>
      <c r="AH89" s="14" t="str">
        <f ca="1">IF(ISNUMBER(AC89),
IF($B89=1,VLOOKUP($AC89,Inventario1!$A:$H,5),
IF($B89=2,VLOOKUP($AC89,Inventario2!$A:$H,5),
IF($B89=3,VLOOKUP($AC89,Inventario3!$A:$H,5),
IF($B89=4,VLOOKUP($AC89,Inventario4!$A:$H,5),
IF($B89=5,VLOOKUP($AC89,Inventario5!$A:$H,5),
VLOOKUP($AC89,Inventario6!$A:$H,5)
))))),"")</f>
        <v>Bloqueo</v>
      </c>
      <c r="AI89" s="14" t="str">
        <f ca="1">IF(ISNUMBER(AC89),
IF($B89=1,VLOOKUP($AC89,Inventario1!$A:$H,6),
IF($B89=2,VLOOKUP($AC89,Inventario2!$A:$H,6),
IF($B89=3,VLOOKUP($AC89,Inventario3!$A:$H,6),
IF($B89=4,VLOOKUP($AC89,Inventario4!$A:$H,6),
IF($B89=5,VLOOKUP($AC89,Inventario5!$A:$H,6),
VLOOKUP($AC89,Inventario6!$A:$H,6)
))))),"")</f>
        <v>Colocación</v>
      </c>
      <c r="AJ89" s="14" t="str">
        <f ca="1">IF(ISNUMBER(AC89),
IF($B89=1,VLOOKUP($AC89,Inventario1!$A:$H,7),
IF($B89=2,VLOOKUP($AC89,Inventario2!$A:$H,7),
IF($B89=3,VLOOKUP($AC89,Inventario3!$A:$H,7),
IF($B89=4,VLOOKUP($AC89,Inventario4!$A:$H,7),
IF($B89=5,VLOOKUP($AC89,Inventario5!$A:$H,7),
VLOOKUP($AC89,Inventario6!$A:$H,7)
))))),"")</f>
        <v>Bloqueo</v>
      </c>
      <c r="AK89" s="15">
        <f ca="1">IF(ISNUMBER(AC89),
IF($B89=1,VLOOKUP($AC89,Inventario1!$A:$H,8),
IF($B89=2,VLOOKUP($AC89,Inventario2!$A:$H,8),
IF($B89=3,VLOOKUP($AC89,Inventario3!$A:$H,8),
IF($B89=4,VLOOKUP($AC89,Inventario4!$A:$H,8),
IF($B89=5,VLOOKUP($AC89,Inventario5!$A:$H,8),
VLOOKUP($AC89,Inventario6!$A:$H,8)
))))),"")</f>
        <v>0</v>
      </c>
    </row>
    <row r="90" spans="1:37" x14ac:dyDescent="0.25">
      <c r="A90" s="21" t="s">
        <v>25</v>
      </c>
      <c r="B90" s="3">
        <v>5</v>
      </c>
      <c r="C90" s="14" cm="1">
        <f t="array" ref="C90">_xlfn.LET(
    _xlpm.jugador, A90,
    _xlpm.idSel, AC90,
    _xlpm.invIDs, IF(B90=1,Inventario1!A:A,IF(B90=2,Inventario2!A:A,IF(B90=3,Inventario3!A:A,IF(B90=4,Inventario4!A:A,IF(B90=5,Inventario5!A:A,Inventario6!A:A))))),
    _xlpm.invCalidad, IF(B90=1,Inventario1!B:B,IF(B90=2,Inventario2!B:B,IF(B90=3,Inventario3!B:B,IF(B90=4,Inventario4!B:B,IF(B90=5,Inventario5!B:B,Inventario6!B:B))))),
    _xlpm.invTipos, IF(B90=1,Inventario1!C:C,IF(B90=2,Inventario2!C:C,IF(B90=3,Inventario3!C:C,IF(B90=4,Inventario4!C:C,IF(B90=5,Inventario5!C:C,Inventario6!C:C))))),
    _xlpm.invStats, IF(B90=1,Inventario1!D:H,IF(B90=2,Inventario2!D:H,IF(B90=3,Inventario3!D:H,IF(B90=4,Inventario4!D:H,IF(B90=5,Inventario5!D:H,Inventario6!D:H))))),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IF(ROW(A90)=2,"",IF(_xlfn._xlws.FILTER(Equipar!AC$2:AC89,Equipar!B$2:B89=B90)={0},"",_xlfn._xlws.FILTER(Equipar!AC$2:AC89,Equipar!B$2:B89=B90))),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96</v>
      </c>
      <c r="D90" s="4" cm="1">
        <f t="array" aca="1" ref="D90" ca="1">_xlfn.LET(
    _xlpm.jugador, A90,
    _xlpm.idSel, AC90,
    _xlpm.invIDs, IF(B90=1,Inventario1!A:A,IF(B90=2,Inventario2!A:A,IF(B90=3,Inventario3!A:A,IF(B90=4,Inventario4!A:A,IF(B90=5,Inventario5!A:A,Inventario6!A:A))))),
    _xlpm.invCalidad, IF(B90=1,Inventario1!B:B,IF(B90=2,Inventario2!B:B,IF(B90=3,Inventario3!B:B,IF(B90=4,Inventario4!B:B,IF(B90=5,Inventario5!B:B,Inventario6!B:B))))),
    _xlpm.invTipos, IF(B90=1,Inventario1!C:C,IF(B90=2,Inventario2!C:C,IF(B90=3,Inventario3!C:C,IF(B90=4,Inventario4!C:C,IF(B90=5,Inventario5!C:C,Inventario6!C:C))))),
    _xlpm.invStats, IF(B90=1,Inventario1!D:H,IF(B90=2,Inventario2!D:H,IF(B90=3,Inventario3!D:H,IF(B90=4,Inventario4!D:H,IF(B90=5,Inventario5!D:H,Inventario6!D:H))))),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IF(ROW(A90)=2,"",IF(_xlfn._xlws.FILTER(Equipar!AC$2:AC89,Equipar!B$2:B89=B90)={0},"",_xlfn._xlws.FILTER(Equipar!AC$2:AC89,Equipar!B$2:B89=B90))),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241</v>
      </c>
      <c r="E90" s="4" t="str" cm="1">
        <f t="array" ref="E90">_xlfn.LET(
    _xlpm.jugador, A90,
    _xlpm.idSel, AC90,
    _xlpm.invIDs, IF(B90=1,Inventario1!A:A,IF(B90=2,Inventario2!A:A,IF(B90=3,Inventario3!A:A,IF(B90=4,Inventario4!A:A,IF(B90=5,Inventario5!A:A,Inventario6!A:A))))),
    _xlpm.invCalidad, IF(B90=1,Inventario1!B:B,IF(B90=2,Inventario2!B:B,IF(B90=3,Inventario3!B:B,IF(B90=4,Inventario4!B:B,IF(B90=5,Inventario5!B:B,Inventario6!B:B))))),
    _xlpm.invTipos, IF(B90=1,Inventario1!C:C,IF(B90=2,Inventario2!C:C,IF(B90=3,Inventario3!C:C,IF(B90=4,Inventario4!C:C,IF(B90=5,Inventario5!C:C,Inventario6!C:C))))),
    _xlpm.invStats, IF(B90=1,Inventario1!D:H,IF(B90=2,Inventario2!D:H,IF(B90=3,Inventario3!D:H,IF(B90=4,Inventario4!D:H,IF(B90=5,Inventario5!D:H,Inventario6!D:H))))),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IF(ROW(A90)=2,"",IF(_xlfn._xlws.FILTER(Equipar!AC$2:AC89,Equipar!B$2:B89=B90)={0},"",_xlfn._xlws.FILTER(Equipar!AC$2:AC89,Equipar!B$2:B89=B90))),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90" s="4" t="str" cm="1">
        <f t="array" aca="1" ref="F90" ca="1">_xlfn.LET(
    _xlpm.jugador, B90,
    _xlpm.idSel, AD90,
    _xlpm.invIDs, IF(C90=1,Inventario1!B:B,IF(C90=2,Inventario2!B:B,IF(C90=3,Inventario3!B:B,IF(C90=4,Inventario4!B:B,IF(C90=5,Inventario5!B:B,Inventario6!B:B))))),
    _xlpm.invCalidad, IF(C90=1,Inventario1!C:C,IF(C90=2,Inventario2!C:C,IF(C90=3,Inventario3!C:C,IF(C90=4,Inventario4!C:C,IF(C90=5,Inventario5!C:C,Inventario6!C:C))))),
    _xlpm.invTipos, IF(C90=1,Inventario1!D:D,IF(C90=2,Inventario2!D:D,IF(C90=3,Inventario3!D:D,IF(C90=4,Inventario4!D:D,IF(C90=5,Inventario5!D:D,Inventario6!D:D))))),
    _xlpm.invStats, IF(C90=1,Inventario1!E:I,IF(C90=2,Inventario2!E:I,IF(C90=3,Inventario3!E:I,IF(C90=4,Inventario4!E:I,IF(C90=5,Inventario5!E:I,Inventario6!E:I))))),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IF(ROW(B90)=2,"",IF(_xlfn._xlws.FILTER(Equipar!AD$2:AD89,Equipar!C$2:C89=C90)={0},"",_xlfn._xlws.FILTER(Equipar!AD$2:AD89,Equipar!C$2:C89=C90))),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90" s="14" cm="1">
        <f t="array" ref="G90">_xlfn.LET(
    _xlpm.jugador, A90,
    _xlpm.idSel, AC90,
    _xlpm.invIDs, IF(B90=1,Inventario1!A:A,IF(B90=2,Inventario2!A:A,IF(B90=3,Inventario3!A:A,IF(B90=4,Inventario4!A:A,IF(B90=5,Inventario5!A:A,Inventario6!A:A))))),
    _xlpm.invCalidad, IF(B90=1,Inventario1!B:B,IF(B90=2,Inventario2!B:B,IF(B90=3,Inventario3!B:B,IF(B90=4,Inventario4!B:B,IF(B90=5,Inventario5!B:B,Inventario6!B:B))))),
    _xlpm.invTipos, IF(B90=1,Inventario1!C:C,IF(B90=2,Inventario2!C:C,IF(B90=3,Inventario3!C:C,IF(B90=4,Inventario4!C:C,IF(B90=5,Inventario5!C:C,Inventario6!C:C))))),
    _xlpm.invStats, IF(B90=1,Inventario1!D:H,IF(B90=2,Inventario2!D:H,IF(B90=3,Inventario3!D:H,IF(B90=4,Inventario4!D:H,IF(B90=5,Inventario5!D:H,Inventario6!D:H))))),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IF(ROW(A90)=2,"",IF(_xlfn._xlws.FILTER(Equipar!AC$2:AC89,Equipar!B$2:B89=B90)={0},"",_xlfn._xlws.FILTER(Equipar!AC$2:AC89,Equipar!B$2:B89=B90))),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59.85</v>
      </c>
      <c r="H90" s="4" cm="1">
        <f t="array" aca="1" ref="H90" ca="1">_xlfn.LET(
    _xlpm.jugador, A90,
    _xlpm.idSel, AC90,
    _xlpm.invIDs, IF(B90=1,Inventario1!A:A,IF(B90=2,Inventario2!A:A,IF(B90=3,Inventario3!A:A,IF(B90=4,Inventario4!A:A,IF(B90=5,Inventario5!A:A,Inventario6!A:A))))),
    _xlpm.invCalidad, IF(B90=1,Inventario1!B:B,IF(B90=2,Inventario2!B:B,IF(B90=3,Inventario3!B:B,IF(B90=4,Inventario4!B:B,IF(B90=5,Inventario5!B:B,Inventario6!B:B))))),
    _xlpm.invTipos, IF(B90=1,Inventario1!C:C,IF(B90=2,Inventario2!C:C,IF(B90=3,Inventario3!C:C,IF(B90=4,Inventario4!C:C,IF(B90=5,Inventario5!C:C,Inventario6!C:C))))),
    _xlpm.invStats, IF(B90=1,Inventario1!D:H,IF(B90=2,Inventario2!D:H,IF(B90=3,Inventario3!D:H,IF(B90=4,Inventario4!D:H,IF(B90=5,Inventario5!D:H,Inventario6!D:H))))),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IF(ROW(A90)=2,"",IF(_xlfn._xlws.FILTER(Equipar!AC$2:AC89,Equipar!B$2:B89=B90)={0},"",_xlfn._xlws.FILTER(Equipar!AC$2:AC89,Equipar!B$2:B89=B90))),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59.85</v>
      </c>
      <c r="I90" s="4" cm="1">
        <f t="array" ref="I90">_xlfn.LET(
    _xlpm.jugador, A90,
    _xlpm.idSel, AC90,
    _xlpm.invIDs, IF(B90=1,Inventario1!A:A,IF(B90=2,Inventario2!A:A,IF(B90=3,Inventario3!A:A,IF(B90=4,Inventario4!A:A,IF(B90=5,Inventario5!A:A,Inventario6!A:A))))),
    _xlpm.invCalidad, IF(B90=1,Inventario1!B:B,IF(B90=2,Inventario2!B:B,IF(B90=3,Inventario3!B:B,IF(B90=4,Inventario4!B:B,IF(B90=5,Inventario5!B:B,Inventario6!B:B))))),
    _xlpm.invTipos, IF(B90=1,Inventario1!C:C,IF(B90=2,Inventario2!C:C,IF(B90=3,Inventario3!C:C,IF(B90=4,Inventario4!C:C,IF(B90=5,Inventario5!C:C,Inventario6!C:C))))),
    _xlpm.invStats, IF(B90=1,Inventario1!D:H,IF(B90=2,Inventario2!D:H,IF(B90=3,Inventario3!D:H,IF(B90=4,Inventario4!D:H,IF(B90=5,Inventario5!D:H,Inventario6!D:H))))),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IF(ROW(A90)=2,"",IF(_xlfn._xlws.FILTER(Equipar!AC$2:AC89,Equipar!B$2:B89=B90)={0},"",_xlfn._xlws.FILTER(Equipar!AC$2:AC89,Equipar!B$2:B89=B90))),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90" s="4" cm="1">
        <f t="array" aca="1" ref="J90" ca="1">_xlfn.LET(
    _xlpm.jugador, B90,
    _xlpm.idSel, AD90,
    _xlpm.invIDs, IF(C90=1,Inventario1!B:B,IF(C90=2,Inventario2!B:B,IF(C90=3,Inventario3!B:B,IF(C90=4,Inventario4!B:B,IF(C90=5,Inventario5!B:B,Inventario6!B:B))))),
    _xlpm.invCalidad, IF(C90=1,Inventario1!C:C,IF(C90=2,Inventario2!C:C,IF(C90=3,Inventario3!C:C,IF(C90=4,Inventario4!C:C,IF(C90=5,Inventario5!C:C,Inventario6!C:C))))),
    _xlpm.invTipos, IF(C90=1,Inventario1!D:D,IF(C90=2,Inventario2!D:D,IF(C90=3,Inventario3!D:D,IF(C90=4,Inventario4!D:D,IF(C90=5,Inventario5!D:D,Inventario6!D:D))))),
    _xlpm.invStats, IF(C90=1,Inventario1!E:I,IF(C90=2,Inventario2!E:I,IF(C90=3,Inventario3!E:I,IF(C90=4,Inventario4!E:I,IF(C90=5,Inventario5!E:I,Inventario6!E:I))))),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IF(ROW(B90)=2,"",IF(_xlfn._xlws.FILTER(Equipar!AD$2:AD89,Equipar!C$2:C89=C90)={0},"",_xlfn._xlws.FILTER(Equipar!AD$2:AD89,Equipar!C$2:C89=C90))),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90" s="4">
        <f t="shared" ca="1" si="4"/>
        <v>0</v>
      </c>
      <c r="L90" s="4">
        <f t="shared" si="5"/>
        <v>59.85</v>
      </c>
      <c r="M90" s="4">
        <f t="shared" ca="1" si="5"/>
        <v>59.85</v>
      </c>
      <c r="N90" s="4">
        <f t="shared" ca="1" si="6"/>
        <v>59.85</v>
      </c>
      <c r="O90" s="4">
        <f t="shared" ca="1" si="6"/>
        <v>0</v>
      </c>
      <c r="P90" s="14" cm="1">
        <f t="array" aca="1" ref="P90" ca="1">_xlfn.LET(
    _xlpm.ptsPrinBase, _xlfn._xlws.FILTER(G:G, A:A=A90),
    _xlpm.ptsSecBase,  _xlfn._xlws.FILTER(H:H, A:A=A90),
    _xlpm.puntosPrin, _xlpm.ptsPrinBase + _xlfn._xlws.FILTER(B:B, A:A=A90)/1000,
    _xlpm.puntosSec,  _xlpm.ptsSecBase  + _xlfn._xlws.FILTER(B:B, A:A=A90)/1000,
    _xlpm.puntosPrinValidos, SUM(--(_xlpm.ptsPrinBase&gt;0)),
    _xlpm.puntosSecValidos,  SUM(--(_xlpm.ptsSecBase&gt;0)),
    _xlpm.clave, K90 + B90/1000,
    _xlpm.claves, _xlfn._xlws.FILTER(K:K + B:B/1000, A:A=A90),
    IF(AND(_xlpm.puntosPrinValidos&gt;=4,_xlpm.puntosSecValidos&gt;=2),IF(
        SUM(--(_xlpm.claves &gt; _xlpm.clave)) &lt; 4,
        C90,
        D90
    ),"No disp")
)</f>
        <v>96</v>
      </c>
      <c r="Q90" s="14" t="str" cm="1">
        <f t="array" aca="1" ref="Q90" ca="1">_xlfn.LET(
    _xlpm.puntosPrin, _xlfn._xlws.FILTER(G:G + B:B/1000, A:A=A90),
    _xlpm.puntosPrinValidos, SUM(--(_xlpm.puntosPrin&gt;1)),
    _xlpm.puntosTer, _xlfn._xlws.FILTER(I:I + B:B/1000, A:A=A90),
    _xlpm.puntosTerValidos, SUM(--(_xlpm.puntosTer&gt;1)),
    _xlpm.clave, L90 + B90/1000,
    _xlpm.claves, _xlfn._xlws.FILTER(L:L + B:B/1000, A:A=A90),
    IF(AND(_xlpm.puntosPrinValidos&gt;=4,_xlpm.puntosTerValidos&gt;=2),IF(
        SUM(--(_xlpm.claves &gt; _xlpm.clave)) &lt; 4,
        C90,
        E90
    ),"No disp")
)</f>
        <v>No disp</v>
      </c>
      <c r="R90" s="14" t="str" cm="1">
        <f t="array" aca="1" ref="R90" ca="1">_xlfn.LET(
    _xlpm.puntosPrin, _xlfn._xlws.FILTER(G:G + B:B/1000, A:A=A90),
    _xlpm.puntosPrinValidos, SUM(--(_xlpm.puntosPrin&gt;1)),
    _xlpm.puntosTer, _xlfn._xlws.FILTER(J:J + B:B/1000, A:A=A90),
    _xlpm.puntosTerValidos, SUM(--(_xlpm.puntosTer&gt;1)),
    _xlpm.clave, M90 + B90/1000,
    _xlpm.claves, _xlfn._xlws.FILTER(M:M + B:B/1000, A:A=A90),
    IF(AND(_xlpm.puntosPrinValidos&gt;=4,_xlpm.puntosTerValidos&gt;=2),IF(
        SUM(--(_xlpm.claves &gt; _xlpm.clave)) &lt; 4,
        C90,
        F90
    ),"No disp")
)</f>
        <v>No disp</v>
      </c>
      <c r="S90" s="14" cm="1">
        <f t="array" aca="1" ref="S90" ca="1">_xlfn.LET(
    _xlpm.ptsPrinBase, _xlfn._xlws.FILTER(G:G, A:A=A90),
    _xlpm.ptsSecBase,  _xlfn._xlws.FILTER(H:H, A:A=A90),
    _xlpm.puntosPrin, _xlpm.ptsPrinBase + _xlfn._xlws.FILTER(B:B, A:A=A90)/1000,
    _xlpm.puntosSec,  _xlpm.ptsSecBase  + _xlfn._xlws.FILTER(B:B, A:A=A90)/1000,
    _xlpm.puntosPrinValidos, SUM(--(_xlpm.ptsPrinBase&gt;0)),
    _xlpm.puntosSecValidos,  SUM(--(_xlpm.ptsSecBase&gt;0)),
    _xlpm.clave, K90 + B90/1000,
    _xlpm.claves, _xlfn._xlws.FILTER(K:K + B:B/1000, A:A=A90),
    IF(
        AND(_xlpm.puntosPrinValidos&gt;=2, _xlpm.puntosSecValidos&gt;=4),
        IF(
            SUM(--(_xlpm.claves &lt; _xlpm.clave)) &lt; 4,
            D90,
            C90
        ),
        "No disp"
    )
)</f>
        <v>241</v>
      </c>
      <c r="T90" s="14" t="str" cm="1">
        <f t="array" aca="1" ref="T90" ca="1">_xlfn.LET(
    _xlpm.puntosSec, _xlfn._xlws.FILTER(H:H + B:B/1000, A:A=A90),
    _xlpm.puntosSecValidos, SUM(--(_xlpm.puntosSec&gt;1)),
    _xlpm.puntosAlt, _xlfn._xlws.FILTER(I:I + B:B/1000, A:A=A90),
    _xlpm.puntosAltValidos, SUM(--(_xlpm.puntosAlt&gt;1)),
    _xlpm.clave, N90 + B90/1000,
    _xlpm.claves, _xlfn._xlws.FILTER(N:N + B:B/1000, A:A=A90),
    IF(AND(_xlpm.puntosSecValidos&gt;=4,_xlpm.puntosAltValidos&gt;=2),IF(
        SUM(--(_xlpm.claves &gt; _xlpm.clave)) &lt; 4,
        D90,
        E90
    ),"No disp")
)</f>
        <v>No disp</v>
      </c>
      <c r="U90" s="14" t="str" cm="1">
        <f t="array" aca="1" ref="U90" ca="1">_xlfn.LET(
    _xlpm.puntosSec, _xlfn._xlws.FILTER(H:H + B:B/1000, A:A=A90),
    _xlpm.puntosSecValidos, SUM(--(_xlpm.puntosSec&gt;1)),
    _xlpm.puntosAlt, _xlfn._xlws.FILTER(J:J + B:B/1000, A:A=A90),
    _xlpm.puntosAltValidos, SUM(--(_xlpm.puntosAlt&gt;1)),
    _xlpm.clave, O90 + B90/1000,
    _xlpm.claves, _xlfn._xlws.FILTER(O:O + B:B/1000, A:A=A90),
    IF(AND(_xlpm.puntosSecValidos&gt;=4,_xlpm.puntosAltValidos&gt;=2),IF(
        SUM(--(_xlpm.claves &gt; _xlpm.clave)) &lt; 4,
        D90,
        F90
    ),"No disp")
)</f>
        <v>No disp</v>
      </c>
      <c r="V90" s="4" cm="1">
        <f t="array" aca="1" ref="V90" ca="1">_xlfn.LET(
_xlpm.PrinIDs,_xlfn._xlws.FILTER(C:C,(A:A=A90)),
_xlpm.SecIDs,_xlfn._xlws.FILTER(D:D,(A:A=A90)),
_xlpm.TerIDs,_xlfn._xlws.FILTER(E:E,A:A=A90),
_xlpm.CuaIDs,_xlfn._xlws.FILTER(F:F,(A:A=A90)),
_xlpm.PrinPts,_xlfn._xlws.FILTER(G:G,(A:A=A90)),
_xlpm.SecPts,_xlfn._xlws.FILTER(H:H,(A:A=A90)),
_xlpm.TerPts,_xlfn._xlws.FILTER(I:I,(A:A=A90)),
_xlpm.CuaPts,_xlfn._xlws.FILTER(J:J,(A:A=A90)),
_xlpm.PSIds,_xlfn._xlws.FILTER(P:P,A:A=A90),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422.28000000000003</v>
      </c>
      <c r="W90" s="4" cm="1">
        <f t="array" aca="1" ref="W90" ca="1">_xlfn.LET(
_xlpm.PrinIDs,_xlfn._xlws.FILTER(C:C,(A:A=A90)),
_xlpm.SecIDs,_xlfn._xlws.FILTER(D:D,(A:A=A90)),
_xlpm.TerIDs,_xlfn._xlws.FILTER(E:E,A:A=A90),
_xlpm.CuaIDs,_xlfn._xlws.FILTER(F:F,(A:A=A90)),
_xlpm.PrinPts,_xlfn._xlws.FILTER(G:G,(A:A=A90)),
_xlpm.SecPts,_xlfn._xlws.FILTER(H:H,(A:A=A90)),
_xlpm.TerPts,_xlfn._xlws.FILTER(I:I,(A:A=A90)),
_xlpm.CuaPts,_xlfn._xlws.FILTER(J:J,(A:A=A90)),
_xlpm.PTIds,_xlfn._xlws.FILTER(Q:Q,A:A=A90),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90" s="4" cm="1">
        <f t="array" aca="1" ref="X90" ca="1">_xlfn.LET(
_xlpm.PrinIDs,_xlfn._xlws.FILTER(C:C,(A:A=A90)),
_xlpm.SecIDs,_xlfn._xlws.FILTER(D:D,(A:A=A90)),
_xlpm.TerIDs,_xlfn._xlws.FILTER(E:E,A:A=A90),
_xlpm.CuaIDs,_xlfn._xlws.FILTER(F:F,(A:A=A90)),
_xlpm.PrinPts,_xlfn._xlws.FILTER(G:G,(A:A=A90)),
_xlpm.SecPts,_xlfn._xlws.FILTER(H:H,(A:A=A90)),
_xlpm.TerPts,_xlfn._xlws.FILTER(I:I,(A:A=A90)),
_xlpm.CuaPts,_xlfn._xlws.FILTER(J:J,(A:A=A90)),
_xlpm.PCIds,_xlfn._xlws.FILTER(R:R,A:A=A90),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90" s="4" cm="1">
        <f t="array" aca="1" ref="Y90" ca="1">_xlfn.LET(
_xlpm.PrinIDs,_xlfn._xlws.FILTER(C:C,(A:A=A90)),
_xlpm.SecIDs,_xlfn._xlws.FILTER(D:D,(A:A=A90)),
_xlpm.AltIDs,_xlfn._xlws.FILTER(E:E,A:A=A90),
_xlpm.PrinPts,_xlfn._xlws.FILTER(G:G,(A:A=A90)),
_xlpm.SecPts,_xlfn._xlws.FILTER(H:H,(A:A=A90)),
_xlpm.AltPts,_xlfn._xlws.FILTER(I:I,(A:A=A90)),
_xlpm.SPIds,_xlfn._xlws.FILTER(S:S,A:A=A90),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431.1</v>
      </c>
      <c r="Z90" s="4" cm="1">
        <f t="array" aca="1" ref="Z90" ca="1">_xlfn.LET(
_xlpm.PrinIDs,_xlfn._xlws.FILTER(C:C,(A:A=A90)),
_xlpm.SecIDs,_xlfn._xlws.FILTER(D:D,(A:A=A90)),
_xlpm.TerIDs,_xlfn._xlws.FILTER(E:E,A:A=A90),
_xlpm.CuaIDs,_xlfn._xlws.FILTER(F:F,(A:A=A90)),
_xlpm.PrinPts,_xlfn._xlws.FILTER(G:G,(A:A=A90)),
_xlpm.SecPts,_xlfn._xlws.FILTER(H:H,(A:A=A90)),
_xlpm.TerPts,_xlfn._xlws.FILTER(I:I,(A:A=A90)),
_xlpm.CuaPts,_xlfn._xlws.FILTER(J:J,(A:A=A90)),
_xlpm.STIds,_xlfn._xlws.FILTER(T:T,A:A=A90),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90" s="4" cm="1">
        <f t="array" aca="1" ref="AA90" ca="1">_xlfn.LET(
_xlpm.PrinIDs,_xlfn._xlws.FILTER(C:C,(A:A=A90)),
_xlpm.SecIDs,_xlfn._xlws.FILTER(D:D,(A:A=A90)),
_xlpm.TerIDs,_xlfn._xlws.FILTER(E:E,A:A=A90),
_xlpm.CuaIDs,_xlfn._xlws.FILTER(F:F,(A:A=A90)),
_xlpm.PrinPts,_xlfn._xlws.FILTER(G:G,(A:A=A90)),
_xlpm.SecPts,_xlfn._xlws.FILTER(H:H,(A:A=A90)),
_xlpm.TerPts,_xlfn._xlws.FILTER(I:I,(A:A=A90)),
_xlpm.CuaPts,_xlfn._xlws.FILTER(J:J,(A:A=A90)),
_xlpm.SCIds,_xlfn._xlws.FILTER(U:U,A:A=A90),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90" s="14">
        <f t="shared" ca="1" si="7"/>
        <v>241</v>
      </c>
      <c r="AC90" s="14">
        <v>241</v>
      </c>
      <c r="AD90" s="4"/>
      <c r="AE90" s="14" t="str">
        <f ca="1">IF(ISNUMBER(AC90),
IF($B90=1,VLOOKUP($AC90,Inventario1!$A:$H,2),
IF($B90=2,VLOOKUP($AC90,Inventario2!$A:$H,2),
IF($B90=3,VLOOKUP($AC90,Inventario3!$A:$H,2),
IF($B90=4,VLOOKUP($AC90,Inventario4!$A:$H,2),
IF($B90=5,VLOOKUP($AC90,Inventario5!$A:$H,2),
VLOOKUP($AC90,Inventario6!$A:$H,2)
))))),"No equipado")</f>
        <v>Legendario</v>
      </c>
      <c r="AF90" s="14" t="str">
        <f ca="1">IF(ISNUMBER(AC90),
IF($B90=1,VLOOKUP($AC90,Inventario1!$A:$H,3),
IF($B90=2,VLOOKUP($AC90,Inventario2!$A:$H,3),
IF($B90=3,VLOOKUP($AC90,Inventario3!$A:$H,3),
IF($B90=4,VLOOKUP($AC90,Inventario4!$A:$H,3),
IF($B90=5,VLOOKUP($AC90,Inventario5!$A:$H,3),
VLOOKUP($AC90,Inventario6!$A:$H,3)
))))),"")</f>
        <v>Ataque veloz</v>
      </c>
      <c r="AG90" s="14" t="str">
        <f ca="1">IF(ISNUMBER(AC90),
IF($B90=1,VLOOKUP($AC90,Inventario1!$A:$H,4),
IF($B90=2,VLOOKUP($AC90,Inventario2!$A:$H,4),
IF($B90=3,VLOOKUP($AC90,Inventario3!$A:$H,4),
IF($B90=4,VLOOKUP($AC90,Inventario4!$A:$H,4),
IF($B90=5,VLOOKUP($AC90,Inventario5!$A:$H,4),
VLOOKUP($AC90,Inventario6!$A:$H,4)
))))),"")</f>
        <v>Recepción</v>
      </c>
      <c r="AH90" s="14" t="str">
        <f ca="1">IF(ISNUMBER(AC90),
IF($B90=1,VLOOKUP($AC90,Inventario1!$A:$H,5),
IF($B90=2,VLOOKUP($AC90,Inventario2!$A:$H,5),
IF($B90=3,VLOOKUP($AC90,Inventario3!$A:$H,5),
IF($B90=4,VLOOKUP($AC90,Inventario4!$A:$H,5),
IF($B90=5,VLOOKUP($AC90,Inventario5!$A:$H,5),
VLOOKUP($AC90,Inventario6!$A:$H,5)
))))),"")</f>
        <v>Bloqueo</v>
      </c>
      <c r="AI90" s="14" t="str">
        <f ca="1">IF(ISNUMBER(AC90),
IF($B90=1,VLOOKUP($AC90,Inventario1!$A:$H,6),
IF($B90=2,VLOOKUP($AC90,Inventario2!$A:$H,6),
IF($B90=3,VLOOKUP($AC90,Inventario3!$A:$H,6),
IF($B90=4,VLOOKUP($AC90,Inventario4!$A:$H,6),
IF($B90=5,VLOOKUP($AC90,Inventario5!$A:$H,6),
VLOOKUP($AC90,Inventario6!$A:$H,6)
))))),"")</f>
        <v>Colocación</v>
      </c>
      <c r="AJ90" s="14" t="str">
        <f ca="1">IF(ISNUMBER(AC90),
IF($B90=1,VLOOKUP($AC90,Inventario1!$A:$H,7),
IF($B90=2,VLOOKUP($AC90,Inventario2!$A:$H,7),
IF($B90=3,VLOOKUP($AC90,Inventario3!$A:$H,7),
IF($B90=4,VLOOKUP($AC90,Inventario4!$A:$H,7),
IF($B90=5,VLOOKUP($AC90,Inventario5!$A:$H,7),
VLOOKUP($AC90,Inventario6!$A:$H,7)
))))),"")</f>
        <v>Reflejos</v>
      </c>
      <c r="AK90" s="15">
        <f ca="1">IF(ISNUMBER(AC90),
IF($B90=1,VLOOKUP($AC90,Inventario1!$A:$H,8),
IF($B90=2,VLOOKUP($AC90,Inventario2!$A:$H,8),
IF($B90=3,VLOOKUP($AC90,Inventario3!$A:$H,8),
IF($B90=4,VLOOKUP($AC90,Inventario4!$A:$H,8),
IF($B90=5,VLOOKUP($AC90,Inventario5!$A:$H,8),
VLOOKUP($AC90,Inventario6!$A:$H,8)
))))),"")</f>
        <v>0</v>
      </c>
    </row>
    <row r="91" spans="1:37" ht="15.75" thickBot="1" x14ac:dyDescent="0.3">
      <c r="A91" s="22" t="s">
        <v>25</v>
      </c>
      <c r="B91" s="17">
        <v>6</v>
      </c>
      <c r="C91" s="18" cm="1">
        <f t="array" aca="1" ref="C91" ca="1">_xlfn.LET(
    _xlpm.jugador, A91,
    _xlpm.idSel, AC91,
    _xlpm.invIDs, IF(B91=1,Inventario1!A:A,IF(B91=2,Inventario2!A:A,IF(B91=3,Inventario3!A:A,IF(B91=4,Inventario4!A:A,IF(B91=5,Inventario5!A:A,Inventario6!A:A))))),
    _xlpm.invCalidad, IF(B91=1,Inventario1!B:B,IF(B91=2,Inventario2!B:B,IF(B91=3,Inventario3!B:B,IF(B91=4,Inventario4!B:B,IF(B91=5,Inventario5!B:B,Inventario6!B:B))))),
    _xlpm.invTipos, IF(B91=1,Inventario1!C:C,IF(B91=2,Inventario2!C:C,IF(B91=3,Inventario3!C:C,IF(B91=4,Inventario4!C:C,IF(B91=5,Inventario5!C:C,Inventario6!C:C))))),
    _xlpm.invStats, IF(B91=1,Inventario1!D:H,IF(B91=2,Inventario2!D:H,IF(B91=3,Inventario3!D:H,IF(B91=4,Inventario4!D:H,IF(B91=5,Inventario5!D:H,Inventario6!D:H))))),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IF(ROW(A91)=2,"",IF(_xlfn._xlws.FILTER(Equipar!AC$2:AC90,Equipar!B$2:B90=B91)={0},"",_xlfn._xlws.FILTER(Equipar!AC$2:AC90,Equipar!B$2:B90=B91))),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117</v>
      </c>
      <c r="D91" s="17" cm="1">
        <f t="array" aca="1" ref="D91" ca="1">_xlfn.LET(
    _xlpm.jugador, A91,
    _xlpm.idSel, AC91,
    _xlpm.invIDs, IF(B91=1,Inventario1!A:A,IF(B91=2,Inventario2!A:A,IF(B91=3,Inventario3!A:A,IF(B91=4,Inventario4!A:A,IF(B91=5,Inventario5!A:A,Inventario6!A:A))))),
    _xlpm.invCalidad, IF(B91=1,Inventario1!B:B,IF(B91=2,Inventario2!B:B,IF(B91=3,Inventario3!B:B,IF(B91=4,Inventario4!B:B,IF(B91=5,Inventario5!B:B,Inventario6!B:B))))),
    _xlpm.invTipos, IF(B91=1,Inventario1!C:C,IF(B91=2,Inventario2!C:C,IF(B91=3,Inventario3!C:C,IF(B91=4,Inventario4!C:C,IF(B91=5,Inventario5!C:C,Inventario6!C:C))))),
    _xlpm.invStats, IF(B91=1,Inventario1!D:H,IF(B91=2,Inventario2!D:H,IF(B91=3,Inventario3!D:H,IF(B91=4,Inventario4!D:H,IF(B91=5,Inventario5!D:H,Inventario6!D:H))))),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IF(ROW(A91)=2,"",IF(_xlfn._xlws.FILTER(Equipar!AC$2:AC90,Equipar!B$2:B90=B91)={0},"",_xlfn._xlws.FILTER(Equipar!AC$2:AC90,Equipar!B$2:B90=B91))),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250</v>
      </c>
      <c r="E91" s="17" t="str" cm="1">
        <f t="array" aca="1" ref="E91" ca="1">_xlfn.LET(
    _xlpm.jugador, A91,
    _xlpm.idSel, AC91,
    _xlpm.invIDs, IF(B91=1,Inventario1!A:A,IF(B91=2,Inventario2!A:A,IF(B91=3,Inventario3!A:A,IF(B91=4,Inventario4!A:A,IF(B91=5,Inventario5!A:A,Inventario6!A:A))))),
    _xlpm.invCalidad, IF(B91=1,Inventario1!B:B,IF(B91=2,Inventario2!B:B,IF(B91=3,Inventario3!B:B,IF(B91=4,Inventario4!B:B,IF(B91=5,Inventario5!B:B,Inventario6!B:B))))),
    _xlpm.invTipos, IF(B91=1,Inventario1!C:C,IF(B91=2,Inventario2!C:C,IF(B91=3,Inventario3!C:C,IF(B91=4,Inventario4!C:C,IF(B91=5,Inventario5!C:C,Inventario6!C:C))))),
    _xlpm.invStats, IF(B91=1,Inventario1!D:H,IF(B91=2,Inventario2!D:H,IF(B91=3,Inventario3!D:H,IF(B91=4,Inventario4!D:H,IF(B91=5,Inventario5!D:H,Inventario6!D:H))))),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IF(ROW(A91)=2,"",IF(_xlfn._xlws.FILTER(Equipar!AC$2:AC90,Equipar!B$2:B90=B91)={0},"",_xlfn._xlws.FILTER(Equipar!AC$2:AC90,Equipar!B$2:B90=B91))),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91" s="17" t="str" cm="1">
        <f t="array" aca="1" ref="F91" ca="1">_xlfn.LET(
    _xlpm.jugador, B91,
    _xlpm.idSel, AD91,
    _xlpm.invIDs, IF(C91=1,Inventario1!B:B,IF(C91=2,Inventario2!B:B,IF(C91=3,Inventario3!B:B,IF(C91=4,Inventario4!B:B,IF(C91=5,Inventario5!B:B,Inventario6!B:B))))),
    _xlpm.invCalidad, IF(C91=1,Inventario1!C:C,IF(C91=2,Inventario2!C:C,IF(C91=3,Inventario3!C:C,IF(C91=4,Inventario4!C:C,IF(C91=5,Inventario5!C:C,Inventario6!C:C))))),
    _xlpm.invTipos, IF(C91=1,Inventario1!D:D,IF(C91=2,Inventario2!D:D,IF(C91=3,Inventario3!D:D,IF(C91=4,Inventario4!D:D,IF(C91=5,Inventario5!D:D,Inventario6!D:D))))),
    _xlpm.invStats, IF(C91=1,Inventario1!E:I,IF(C91=2,Inventario2!E:I,IF(C91=3,Inventario3!E:I,IF(C91=4,Inventario4!E:I,IF(C91=5,Inventario5!E:I,Inventario6!E:I))))),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IF(ROW(B91)=2,"",IF(_xlfn._xlws.FILTER(Equipar!AD$2:AD90,Equipar!C$2:C90=C91)={0},"",_xlfn._xlws.FILTER(Equipar!AD$2:AD90,Equipar!C$2:C90=C91))),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91" s="18" cm="1">
        <f t="array" aca="1" ref="G91" ca="1">_xlfn.LET(
    _xlpm.jugador, A91,
    _xlpm.idSel, AC91,
    _xlpm.invIDs, IF(B91=1,Inventario1!A:A,IF(B91=2,Inventario2!A:A,IF(B91=3,Inventario3!A:A,IF(B91=4,Inventario4!A:A,IF(B91=5,Inventario5!A:A,Inventario6!A:A))))),
    _xlpm.invCalidad, IF(B91=1,Inventario1!B:B,IF(B91=2,Inventario2!B:B,IF(B91=3,Inventario3!B:B,IF(B91=4,Inventario4!B:B,IF(B91=5,Inventario5!B:B,Inventario6!B:B))))),
    _xlpm.invTipos, IF(B91=1,Inventario1!C:C,IF(B91=2,Inventario2!C:C,IF(B91=3,Inventario3!C:C,IF(B91=4,Inventario4!C:C,IF(B91=5,Inventario5!C:C,Inventario6!C:C))))),
    _xlpm.invStats, IF(B91=1,Inventario1!D:H,IF(B91=2,Inventario2!D:H,IF(B91=3,Inventario3!D:H,IF(B91=4,Inventario4!D:H,IF(B91=5,Inventario5!D:H,Inventario6!D:H))))),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IF(ROW(A91)=2,"",IF(_xlfn._xlws.FILTER(Equipar!AC$2:AC90,Equipar!B$2:B90=B91)={0},"",_xlfn._xlws.FILTER(Equipar!AC$2:AC90,Equipar!B$2:B90=B91))),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H91" s="17" cm="1">
        <f t="array" aca="1" ref="H91" ca="1">_xlfn.LET(
    _xlpm.jugador, A91,
    _xlpm.idSel, AC91,
    _xlpm.invIDs, IF(B91=1,Inventario1!A:A,IF(B91=2,Inventario2!A:A,IF(B91=3,Inventario3!A:A,IF(B91=4,Inventario4!A:A,IF(B91=5,Inventario5!A:A,Inventario6!A:A))))),
    _xlpm.invCalidad, IF(B91=1,Inventario1!B:B,IF(B91=2,Inventario2!B:B,IF(B91=3,Inventario3!B:B,IF(B91=4,Inventario4!B:B,IF(B91=5,Inventario5!B:B,Inventario6!B:B))))),
    _xlpm.invTipos, IF(B91=1,Inventario1!C:C,IF(B91=2,Inventario2!C:C,IF(B91=3,Inventario3!C:C,IF(B91=4,Inventario4!C:C,IF(B91=5,Inventario5!C:C,Inventario6!C:C))))),
    _xlpm.invStats, IF(B91=1,Inventario1!D:H,IF(B91=2,Inventario2!D:H,IF(B91=3,Inventario3!D:H,IF(B91=4,Inventario4!D:H,IF(B91=5,Inventario5!D:H,Inventario6!D:H))))),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IF(ROW(A91)=2,"",IF(_xlfn._xlws.FILTER(Equipar!AC$2:AC90,Equipar!B$2:B90=B91)={0},"",_xlfn._xlws.FILTER(Equipar!AC$2:AC90,Equipar!B$2:B90=B91))),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I91" s="17" cm="1">
        <f t="array" aca="1" ref="I91" ca="1">_xlfn.LET(
    _xlpm.jugador, A91,
    _xlpm.idSel, AC91,
    _xlpm.invIDs, IF(B91=1,Inventario1!A:A,IF(B91=2,Inventario2!A:A,IF(B91=3,Inventario3!A:A,IF(B91=4,Inventario4!A:A,IF(B91=5,Inventario5!A:A,Inventario6!A:A))))),
    _xlpm.invCalidad, IF(B91=1,Inventario1!B:B,IF(B91=2,Inventario2!B:B,IF(B91=3,Inventario3!B:B,IF(B91=4,Inventario4!B:B,IF(B91=5,Inventario5!B:B,Inventario6!B:B))))),
    _xlpm.invTipos, IF(B91=1,Inventario1!C:C,IF(B91=2,Inventario2!C:C,IF(B91=3,Inventario3!C:C,IF(B91=4,Inventario4!C:C,IF(B91=5,Inventario5!C:C,Inventario6!C:C))))),
    _xlpm.invStats, IF(B91=1,Inventario1!D:H,IF(B91=2,Inventario2!D:H,IF(B91=3,Inventario3!D:H,IF(B91=4,Inventario4!D:H,IF(B91=5,Inventario5!D:H,Inventario6!D:H))))),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IF(ROW(A91)=2,"",IF(_xlfn._xlws.FILTER(Equipar!AC$2:AC90,Equipar!B$2:B90=B91)={0},"",_xlfn._xlws.FILTER(Equipar!AC$2:AC90,Equipar!B$2:B90=B91))),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91" s="17" cm="1">
        <f t="array" aca="1" ref="J91" ca="1">_xlfn.LET(
    _xlpm.jugador, B91,
    _xlpm.idSel, AD91,
    _xlpm.invIDs, IF(C91=1,Inventario1!B:B,IF(C91=2,Inventario2!B:B,IF(C91=3,Inventario3!B:B,IF(C91=4,Inventario4!B:B,IF(C91=5,Inventario5!B:B,Inventario6!B:B))))),
    _xlpm.invCalidad, IF(C91=1,Inventario1!C:C,IF(C91=2,Inventario2!C:C,IF(C91=3,Inventario3!C:C,IF(C91=4,Inventario4!C:C,IF(C91=5,Inventario5!C:C,Inventario6!C:C))))),
    _xlpm.invTipos, IF(C91=1,Inventario1!D:D,IF(C91=2,Inventario2!D:D,IF(C91=3,Inventario3!D:D,IF(C91=4,Inventario4!D:D,IF(C91=5,Inventario5!D:D,Inventario6!D:D))))),
    _xlpm.invStats, IF(C91=1,Inventario1!E:I,IF(C91=2,Inventario2!E:I,IF(C91=3,Inventario3!E:I,IF(C91=4,Inventario4!E:I,IF(C91=5,Inventario5!E:I,Inventario6!E:I))))),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IF(ROW(B91)=2,"",IF(_xlfn._xlws.FILTER(Equipar!AD$2:AD90,Equipar!C$2:C90=C91)={0},"",_xlfn._xlws.FILTER(Equipar!AD$2:AD90,Equipar!C$2:C90=C91))),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91" s="17">
        <f t="shared" ca="1" si="4"/>
        <v>-8.8200000000000074</v>
      </c>
      <c r="L91" s="17">
        <f t="shared" ca="1" si="5"/>
        <v>63</v>
      </c>
      <c r="M91" s="17">
        <f t="shared" ca="1" si="5"/>
        <v>71.820000000000007</v>
      </c>
      <c r="N91" s="17">
        <f t="shared" ca="1" si="6"/>
        <v>71.820000000000007</v>
      </c>
      <c r="O91" s="17">
        <f t="shared" ca="1" si="6"/>
        <v>0</v>
      </c>
      <c r="P91" s="18" cm="1">
        <f t="array" aca="1" ref="P91" ca="1">_xlfn.LET(
    _xlpm.ptsPrinBase, _xlfn._xlws.FILTER(G:G, A:A=A91),
    _xlpm.ptsSecBase,  _xlfn._xlws.FILTER(H:H, A:A=A91),
    _xlpm.puntosPrin, _xlpm.ptsPrinBase + _xlfn._xlws.FILTER(B:B, A:A=A91)/1000,
    _xlpm.puntosSec,  _xlpm.ptsSecBase  + _xlfn._xlws.FILTER(B:B, A:A=A91)/1000,
    _xlpm.puntosPrinValidos, SUM(--(_xlpm.ptsPrinBase&gt;0)),
    _xlpm.puntosSecValidos,  SUM(--(_xlpm.ptsSecBase&gt;0)),
    _xlpm.clave, K91 + B91/1000,
    _xlpm.claves, _xlfn._xlws.FILTER(K:K + B:B/1000, A:A=A91),
    IF(AND(_xlpm.puntosPrinValidos&gt;=4,_xlpm.puntosSecValidos&gt;=2),IF(
        SUM(--(_xlpm.claves &gt; _xlpm.clave)) &lt; 4,
        C91,
        D91
    ),"No disp")
)</f>
        <v>117</v>
      </c>
      <c r="Q91" s="18" t="str" cm="1">
        <f t="array" aca="1" ref="Q91" ca="1">_xlfn.LET(
    _xlpm.puntosPrin, _xlfn._xlws.FILTER(G:G + B:B/1000, A:A=A91),
    _xlpm.puntosPrinValidos, SUM(--(_xlpm.puntosPrin&gt;1)),
    _xlpm.puntosTer, _xlfn._xlws.FILTER(I:I + B:B/1000, A:A=A91),
    _xlpm.puntosTerValidos, SUM(--(_xlpm.puntosTer&gt;1)),
    _xlpm.clave, L91 + B91/1000,
    _xlpm.claves, _xlfn._xlws.FILTER(L:L + B:B/1000, A:A=A91),
    IF(AND(_xlpm.puntosPrinValidos&gt;=4,_xlpm.puntosTerValidos&gt;=2),IF(
        SUM(--(_xlpm.claves &gt; _xlpm.clave)) &lt; 4,
        C91,
        E91
    ),"No disp")
)</f>
        <v>No disp</v>
      </c>
      <c r="R91" s="18" t="str" cm="1">
        <f t="array" aca="1" ref="R91" ca="1">_xlfn.LET(
    _xlpm.puntosPrin, _xlfn._xlws.FILTER(G:G + B:B/1000, A:A=A91),
    _xlpm.puntosPrinValidos, SUM(--(_xlpm.puntosPrin&gt;1)),
    _xlpm.puntosTer, _xlfn._xlws.FILTER(J:J + B:B/1000, A:A=A91),
    _xlpm.puntosTerValidos, SUM(--(_xlpm.puntosTer&gt;1)),
    _xlpm.clave, M91 + B91/1000,
    _xlpm.claves, _xlfn._xlws.FILTER(M:M + B:B/1000, A:A=A91),
    IF(AND(_xlpm.puntosPrinValidos&gt;=4,_xlpm.puntosTerValidos&gt;=2),IF(
        SUM(--(_xlpm.claves &gt; _xlpm.clave)) &lt; 4,
        C91,
        F91
    ),"No disp")
)</f>
        <v>No disp</v>
      </c>
      <c r="S91" s="18" cm="1">
        <f t="array" aca="1" ref="S91" ca="1">_xlfn.LET(
    _xlpm.ptsPrinBase, _xlfn._xlws.FILTER(G:G, A:A=A91),
    _xlpm.ptsSecBase,  _xlfn._xlws.FILTER(H:H, A:A=A91),
    _xlpm.puntosPrin, _xlpm.ptsPrinBase + _xlfn._xlws.FILTER(B:B, A:A=A91)/1000,
    _xlpm.puntosSec,  _xlpm.ptsSecBase  + _xlfn._xlws.FILTER(B:B, A:A=A91)/1000,
    _xlpm.puntosPrinValidos, SUM(--(_xlpm.ptsPrinBase&gt;0)),
    _xlpm.puntosSecValidos,  SUM(--(_xlpm.ptsSecBase&gt;0)),
    _xlpm.clave, K91 + B91/1000,
    _xlpm.claves, _xlfn._xlws.FILTER(K:K + B:B/1000, A:A=A91),
    IF(
        AND(_xlpm.puntosPrinValidos&gt;=2, _xlpm.puntosSecValidos&gt;=4),
        IF(
            SUM(--(_xlpm.claves &lt; _xlpm.clave)) &lt; 4,
            D91,
            C91
        ),
        "No disp"
    )
)</f>
        <v>250</v>
      </c>
      <c r="T91" s="18" t="str" cm="1">
        <f t="array" aca="1" ref="T91" ca="1">_xlfn.LET(
    _xlpm.puntosSec, _xlfn._xlws.FILTER(H:H + B:B/1000, A:A=A91),
    _xlpm.puntosSecValidos, SUM(--(_xlpm.puntosSec&gt;1)),
    _xlpm.puntosAlt, _xlfn._xlws.FILTER(I:I + B:B/1000, A:A=A91),
    _xlpm.puntosAltValidos, SUM(--(_xlpm.puntosAlt&gt;1)),
    _xlpm.clave, N91 + B91/1000,
    _xlpm.claves, _xlfn._xlws.FILTER(N:N + B:B/1000, A:A=A91),
    IF(AND(_xlpm.puntosSecValidos&gt;=4,_xlpm.puntosAltValidos&gt;=2),IF(
        SUM(--(_xlpm.claves &gt; _xlpm.clave)) &lt; 4,
        D91,
        E91
    ),"No disp")
)</f>
        <v>No disp</v>
      </c>
      <c r="U91" s="18" t="str" cm="1">
        <f t="array" aca="1" ref="U91" ca="1">_xlfn.LET(
    _xlpm.puntosSec, _xlfn._xlws.FILTER(H:H + B:B/1000, A:A=A91),
    _xlpm.puntosSecValidos, SUM(--(_xlpm.puntosSec&gt;1)),
    _xlpm.puntosAlt, _xlfn._xlws.FILTER(J:J + B:B/1000, A:A=A91),
    _xlpm.puntosAltValidos, SUM(--(_xlpm.puntosAlt&gt;1)),
    _xlpm.clave, O91 + B91/1000,
    _xlpm.claves, _xlfn._xlws.FILTER(O:O + B:B/1000, A:A=A91),
    IF(AND(_xlpm.puntosSecValidos&gt;=4,_xlpm.puntosAltValidos&gt;=2),IF(
        SUM(--(_xlpm.claves &gt; _xlpm.clave)) &lt; 4,
        D91,
        F91
    ),"No disp")
)</f>
        <v>No disp</v>
      </c>
      <c r="V91" s="17" cm="1">
        <f t="array" aca="1" ref="V91" ca="1">_xlfn.LET(
_xlpm.PrinIDs,_xlfn._xlws.FILTER(C:C,(A:A=A91)),
_xlpm.SecIDs,_xlfn._xlws.FILTER(D:D,(A:A=A91)),
_xlpm.TerIDs,_xlfn._xlws.FILTER(E:E,A:A=A91),
_xlpm.CuaIDs,_xlfn._xlws.FILTER(F:F,(A:A=A91)),
_xlpm.PrinPts,_xlfn._xlws.FILTER(G:G,(A:A=A91)),
_xlpm.SecPts,_xlfn._xlws.FILTER(H:H,(A:A=A91)),
_xlpm.TerPts,_xlfn._xlws.FILTER(I:I,(A:A=A91)),
_xlpm.CuaPts,_xlfn._xlws.FILTER(J:J,(A:A=A91)),
_xlpm.PSIds,_xlfn._xlws.FILTER(P:P,A:A=A91),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422.28000000000003</v>
      </c>
      <c r="W91" s="17" cm="1">
        <f t="array" aca="1" ref="W91" ca="1">_xlfn.LET(
_xlpm.PrinIDs,_xlfn._xlws.FILTER(C:C,(A:A=A91)),
_xlpm.SecIDs,_xlfn._xlws.FILTER(D:D,(A:A=A91)),
_xlpm.TerIDs,_xlfn._xlws.FILTER(E:E,A:A=A91),
_xlpm.CuaIDs,_xlfn._xlws.FILTER(F:F,(A:A=A91)),
_xlpm.PrinPts,_xlfn._xlws.FILTER(G:G,(A:A=A91)),
_xlpm.SecPts,_xlfn._xlws.FILTER(H:H,(A:A=A91)),
_xlpm.TerPts,_xlfn._xlws.FILTER(I:I,(A:A=A91)),
_xlpm.CuaPts,_xlfn._xlws.FILTER(J:J,(A:A=A91)),
_xlpm.PTIds,_xlfn._xlws.FILTER(Q:Q,A:A=A91),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0</v>
      </c>
      <c r="X91" s="17" cm="1">
        <f t="array" aca="1" ref="X91" ca="1">_xlfn.LET(
_xlpm.PrinIDs,_xlfn._xlws.FILTER(C:C,(A:A=A91)),
_xlpm.SecIDs,_xlfn._xlws.FILTER(D:D,(A:A=A91)),
_xlpm.TerIDs,_xlfn._xlws.FILTER(E:E,A:A=A91),
_xlpm.CuaIDs,_xlfn._xlws.FILTER(F:F,(A:A=A91)),
_xlpm.PrinPts,_xlfn._xlws.FILTER(G:G,(A:A=A91)),
_xlpm.SecPts,_xlfn._xlws.FILTER(H:H,(A:A=A91)),
_xlpm.TerPts,_xlfn._xlws.FILTER(I:I,(A:A=A91)),
_xlpm.CuaPts,_xlfn._xlws.FILTER(J:J,(A:A=A91)),
_xlpm.PCIds,_xlfn._xlws.FILTER(R:R,A:A=A91),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91" s="17" cm="1">
        <f t="array" aca="1" ref="Y91" ca="1">_xlfn.LET(
_xlpm.PrinIDs,_xlfn._xlws.FILTER(C:C,(A:A=A91)),
_xlpm.SecIDs,_xlfn._xlws.FILTER(D:D,(A:A=A91)),
_xlpm.AltIDs,_xlfn._xlws.FILTER(E:E,A:A=A91),
_xlpm.PrinPts,_xlfn._xlws.FILTER(G:G,(A:A=A91)),
_xlpm.SecPts,_xlfn._xlws.FILTER(H:H,(A:A=A91)),
_xlpm.AltPts,_xlfn._xlws.FILTER(I:I,(A:A=A91)),
_xlpm.SPIds,_xlfn._xlws.FILTER(S:S,A:A=A91),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431.1</v>
      </c>
      <c r="Z91" s="17" cm="1">
        <f t="array" aca="1" ref="Z91" ca="1">_xlfn.LET(
_xlpm.PrinIDs,_xlfn._xlws.FILTER(C:C,(A:A=A91)),
_xlpm.SecIDs,_xlfn._xlws.FILTER(D:D,(A:A=A91)),
_xlpm.TerIDs,_xlfn._xlws.FILTER(E:E,A:A=A91),
_xlpm.CuaIDs,_xlfn._xlws.FILTER(F:F,(A:A=A91)),
_xlpm.PrinPts,_xlfn._xlws.FILTER(G:G,(A:A=A91)),
_xlpm.SecPts,_xlfn._xlws.FILTER(H:H,(A:A=A91)),
_xlpm.TerPts,_xlfn._xlws.FILTER(I:I,(A:A=A91)),
_xlpm.CuaPts,_xlfn._xlws.FILTER(J:J,(A:A=A91)),
_xlpm.STIds,_xlfn._xlws.FILTER(T:T,A:A=A91),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0</v>
      </c>
      <c r="AA91" s="17" cm="1">
        <f t="array" aca="1" ref="AA91" ca="1">_xlfn.LET(
_xlpm.PrinIDs,_xlfn._xlws.FILTER(C:C,(A:A=A91)),
_xlpm.SecIDs,_xlfn._xlws.FILTER(D:D,(A:A=A91)),
_xlpm.TerIDs,_xlfn._xlws.FILTER(E:E,A:A=A91),
_xlpm.CuaIDs,_xlfn._xlws.FILTER(F:F,(A:A=A91)),
_xlpm.PrinPts,_xlfn._xlws.FILTER(G:G,(A:A=A91)),
_xlpm.SecPts,_xlfn._xlws.FILTER(H:H,(A:A=A91)),
_xlpm.TerPts,_xlfn._xlws.FILTER(I:I,(A:A=A91)),
_xlpm.CuaPts,_xlfn._xlws.FILTER(J:J,(A:A=A91)),
_xlpm.SCIds,_xlfn._xlws.FILTER(U:U,A:A=A91),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91" s="18">
        <f t="shared" ca="1" si="7"/>
        <v>250</v>
      </c>
      <c r="AC91" s="18"/>
      <c r="AD91" s="17"/>
      <c r="AE91" s="18" t="str">
        <f>IF(ISNUMBER(AC91),
IF($B91=1,VLOOKUP($AC91,Inventario1!$A:$H,2),
IF($B91=2,VLOOKUP($AC91,Inventario2!$A:$H,2),
IF($B91=3,VLOOKUP($AC91,Inventario3!$A:$H,2),
IF($B91=4,VLOOKUP($AC91,Inventario4!$A:$H,2),
IF($B91=5,VLOOKUP($AC91,Inventario5!$A:$H,2),
VLOOKUP($AC91,Inventario6!$A:$H,2)
))))),"No equipado")</f>
        <v>No equipado</v>
      </c>
      <c r="AF91" s="18" t="str">
        <f>IF(ISNUMBER(AC91),
IF($B91=1,VLOOKUP($AC91,Inventario1!$A:$H,3),
IF($B91=2,VLOOKUP($AC91,Inventario2!$A:$H,3),
IF($B91=3,VLOOKUP($AC91,Inventario3!$A:$H,3),
IF($B91=4,VLOOKUP($AC91,Inventario4!$A:$H,3),
IF($B91=5,VLOOKUP($AC91,Inventario5!$A:$H,3),
VLOOKUP($AC91,Inventario6!$A:$H,3)
))))),"")</f>
        <v/>
      </c>
      <c r="AG91" s="18" t="str">
        <f>IF(ISNUMBER(AC91),
IF($B91=1,VLOOKUP($AC91,Inventario1!$A:$H,4),
IF($B91=2,VLOOKUP($AC91,Inventario2!$A:$H,4),
IF($B91=3,VLOOKUP($AC91,Inventario3!$A:$H,4),
IF($B91=4,VLOOKUP($AC91,Inventario4!$A:$H,4),
IF($B91=5,VLOOKUP($AC91,Inventario5!$A:$H,4),
VLOOKUP($AC91,Inventario6!$A:$H,4)
))))),"")</f>
        <v/>
      </c>
      <c r="AH91" s="18" t="str">
        <f>IF(ISNUMBER(AC91),
IF($B91=1,VLOOKUP($AC91,Inventario1!$A:$H,5),
IF($B91=2,VLOOKUP($AC91,Inventario2!$A:$H,5),
IF($B91=3,VLOOKUP($AC91,Inventario3!$A:$H,5),
IF($B91=4,VLOOKUP($AC91,Inventario4!$A:$H,5),
IF($B91=5,VLOOKUP($AC91,Inventario5!$A:$H,5),
VLOOKUP($AC91,Inventario6!$A:$H,5)
))))),"")</f>
        <v/>
      </c>
      <c r="AI91" s="18" t="str">
        <f>IF(ISNUMBER(AC91),
IF($B91=1,VLOOKUP($AC91,Inventario1!$A:$H,6),
IF($B91=2,VLOOKUP($AC91,Inventario2!$A:$H,6),
IF($B91=3,VLOOKUP($AC91,Inventario3!$A:$H,6),
IF($B91=4,VLOOKUP($AC91,Inventario4!$A:$H,6),
IF($B91=5,VLOOKUP($AC91,Inventario5!$A:$H,6),
VLOOKUP($AC91,Inventario6!$A:$H,6)
))))),"")</f>
        <v/>
      </c>
      <c r="AJ91" s="18" t="str">
        <f>IF(ISNUMBER(AC91),
IF($B91=1,VLOOKUP($AC91,Inventario1!$A:$H,7),
IF($B91=2,VLOOKUP($AC91,Inventario2!$A:$H,7),
IF($B91=3,VLOOKUP($AC91,Inventario3!$A:$H,7),
IF($B91=4,VLOOKUP($AC91,Inventario4!$A:$H,7),
IF($B91=5,VLOOKUP($AC91,Inventario5!$A:$H,7),
VLOOKUP($AC91,Inventario6!$A:$H,7)
))))),"")</f>
        <v/>
      </c>
      <c r="AK91" s="19" t="str">
        <f>IF(ISNUMBER(AC91),
IF($B91=1,VLOOKUP($AC91,Inventario1!$A:$H,8),
IF($B91=2,VLOOKUP($AC91,Inventario2!$A:$H,8),
IF($B91=3,VLOOKUP($AC91,Inventario3!$A:$H,8),
IF($B91=4,VLOOKUP($AC91,Inventario4!$A:$H,8),
IF($B91=5,VLOOKUP($AC91,Inventario5!$A:$H,8),
VLOOKUP($AC91,Inventario6!$A:$H,8)
))))),"")</f>
        <v/>
      </c>
    </row>
    <row r="92" spans="1:37" x14ac:dyDescent="0.25">
      <c r="A92" s="20" t="s">
        <v>72</v>
      </c>
      <c r="B92" s="9">
        <v>1</v>
      </c>
      <c r="C92" s="10" cm="1">
        <f t="array" aca="1" ref="C92" ca="1">_xlfn.LET(
    _xlpm.jugador, A92,
    _xlpm.idSel, AC92,
    _xlpm.invIDs, IF(B92=1,Inventario1!A:A,IF(B92=2,Inventario2!A:A,IF(B92=3,Inventario3!A:A,IF(B92=4,Inventario4!A:A,IF(B92=5,Inventario5!A:A,Inventario6!A:A))))),
    _xlpm.invCalidad, IF(B92=1,Inventario1!B:B,IF(B92=2,Inventario2!B:B,IF(B92=3,Inventario3!B:B,IF(B92=4,Inventario4!B:B,IF(B92=5,Inventario5!B:B,Inventario6!B:B))))),
    _xlpm.invTipos, IF(B92=1,Inventario1!C:C,IF(B92=2,Inventario2!C:C,IF(B92=3,Inventario3!C:C,IF(B92=4,Inventario4!C:C,IF(B92=5,Inventario5!C:C,Inventario6!C:C))))),
    _xlpm.invStats, IF(B92=1,Inventario1!D:H,IF(B92=2,Inventario2!D:H,IF(B92=3,Inventario3!D:H,IF(B92=4,Inventario4!D:H,IF(B92=5,Inventario5!D:H,Inventario6!D:H))))),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IF(ROW(A92)=2,"",IF(_xlfn._xlws.FILTER(Equipar!AC$2:AC91,Equipar!B$2:B91=B92)={0},"",_xlfn._xlws.FILTER(Equipar!AC$2:AC91,Equipar!B$2:B91=B92))),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</v>
      </c>
      <c r="D92" s="11" cm="1">
        <f t="array" ref="D92">_xlfn.LET(
    _xlpm.jugador, A92,
    _xlpm.idSel, AC92,
    _xlpm.invIDs, IF(B92=1,Inventario1!A:A,IF(B92=2,Inventario2!A:A,IF(B92=3,Inventario3!A:A,IF(B92=4,Inventario4!A:A,IF(B92=5,Inventario5!A:A,Inventario6!A:A))))),
    _xlpm.invCalidad, IF(B92=1,Inventario1!B:B,IF(B92=2,Inventario2!B:B,IF(B92=3,Inventario3!B:B,IF(B92=4,Inventario4!B:B,IF(B92=5,Inventario5!B:B,Inventario6!B:B))))),
    _xlpm.invTipos, IF(B92=1,Inventario1!C:C,IF(B92=2,Inventario2!C:C,IF(B92=3,Inventario3!C:C,IF(B92=4,Inventario4!C:C,IF(B92=5,Inventario5!C:C,Inventario6!C:C))))),
    _xlpm.invStats, IF(B92=1,Inventario1!D:H,IF(B92=2,Inventario2!D:H,IF(B92=3,Inventario3!D:H,IF(B92=4,Inventario4!D:H,IF(B92=5,Inventario5!D:H,Inventario6!D:H))))),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IF(ROW(A92)=2,"",IF(_xlfn._xlws.FILTER(Equipar!AC$2:AC91,Equipar!B$2:B91=B92)={0},"",_xlfn._xlws.FILTER(Equipar!AC$2:AC91,Equipar!B$2:B91=B92))),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51</v>
      </c>
      <c r="E92" s="11" cm="1">
        <f t="array" ref="E92">_xlfn.LET(
    _xlpm.jugador, A92,
    _xlpm.idSel, AC92,
    _xlpm.invIDs, IF(B92=1,Inventario1!A:A,IF(B92=2,Inventario2!A:A,IF(B92=3,Inventario3!A:A,IF(B92=4,Inventario4!A:A,IF(B92=5,Inventario5!A:A,Inventario6!A:A))))),
    _xlpm.invCalidad, IF(B92=1,Inventario1!B:B,IF(B92=2,Inventario2!B:B,IF(B92=3,Inventario3!B:B,IF(B92=4,Inventario4!B:B,IF(B92=5,Inventario5!B:B,Inventario6!B:B))))),
    _xlpm.invTipos, IF(B92=1,Inventario1!C:C,IF(B92=2,Inventario2!C:C,IF(B92=3,Inventario3!C:C,IF(B92=4,Inventario4!C:C,IF(B92=5,Inventario5!C:C,Inventario6!C:C))))),
    _xlpm.invStats, IF(B92=1,Inventario1!D:H,IF(B92=2,Inventario2!D:H,IF(B92=3,Inventario3!D:H,IF(B92=4,Inventario4!D:H,IF(B92=5,Inventario5!D:H,Inventario6!D:H))))),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IF(ROW(A92)=2,"",IF(_xlfn._xlws.FILTER(Equipar!AC$2:AC91,Equipar!B$2:B91=B92)={0},"",_xlfn._xlws.FILTER(Equipar!AC$2:AC91,Equipar!B$2:B91=B92))),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79</v>
      </c>
      <c r="F92" s="11" t="str" cm="1">
        <f t="array" aca="1" ref="F92" ca="1">_xlfn.LET(
    _xlpm.jugador, B92,
    _xlpm.idSel, AD92,
    _xlpm.invIDs, IF(C92=1,Inventario1!B:B,IF(C92=2,Inventario2!B:B,IF(C92=3,Inventario3!B:B,IF(C92=4,Inventario4!B:B,IF(C92=5,Inventario5!B:B,Inventario6!B:B))))),
    _xlpm.invCalidad, IF(C92=1,Inventario1!C:C,IF(C92=2,Inventario2!C:C,IF(C92=3,Inventario3!C:C,IF(C92=4,Inventario4!C:C,IF(C92=5,Inventario5!C:C,Inventario6!C:C))))),
    _xlpm.invTipos, IF(C92=1,Inventario1!D:D,IF(C92=2,Inventario2!D:D,IF(C92=3,Inventario3!D:D,IF(C92=4,Inventario4!D:D,IF(C92=5,Inventario5!D:D,Inventario6!D:D))))),
    _xlpm.invStats, IF(C92=1,Inventario1!E:I,IF(C92=2,Inventario2!E:I,IF(C92=3,Inventario3!E:I,IF(C92=4,Inventario4!E:I,IF(C92=5,Inventario5!E:I,Inventario6!E:I))))),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IF(ROW(B92)=2,"",IF(_xlfn._xlws.FILTER(Equipar!AD$2:AD91,Equipar!C$2:C91=C92)={0},"",_xlfn._xlws.FILTER(Equipar!AD$2:AD91,Equipar!C$2:C91=C92))),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92" s="10" cm="1">
        <f t="array" aca="1" ref="G92" ca="1">_xlfn.LET(
    _xlpm.jugador, A92,
    _xlpm.idSel, AC92,
    _xlpm.invIDs, IF(B92=1,Inventario1!A:A,IF(B92=2,Inventario2!A:A,IF(B92=3,Inventario3!A:A,IF(B92=4,Inventario4!A:A,IF(B92=5,Inventario5!A:A,Inventario6!A:A))))),
    _xlpm.invCalidad, IF(B92=1,Inventario1!B:B,IF(B92=2,Inventario2!B:B,IF(B92=3,Inventario3!B:B,IF(B92=4,Inventario4!B:B,IF(B92=5,Inventario5!B:B,Inventario6!B:B))))),
    _xlpm.invTipos, IF(B92=1,Inventario1!C:C,IF(B92=2,Inventario2!C:C,IF(B92=3,Inventario3!C:C,IF(B92=4,Inventario4!C:C,IF(B92=5,Inventario5!C:C,Inventario6!C:C))))),
    _xlpm.invStats, IF(B92=1,Inventario1!D:H,IF(B92=2,Inventario2!D:H,IF(B92=3,Inventario3!D:H,IF(B92=4,Inventario4!D:H,IF(B92=5,Inventario5!D:H,Inventario6!D:H))))),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IF(ROW(A92)=2,"",IF(_xlfn._xlws.FILTER(Equipar!AC$2:AC91,Equipar!B$2:B91=B92)={0},"",_xlfn._xlws.FILTER(Equipar!AC$2:AC91,Equipar!B$2:B91=B92))),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155.61000000000001</v>
      </c>
      <c r="H92" s="11" cm="1">
        <f t="array" ref="H92">_xlfn.LET(
    _xlpm.jugador, A92,
    _xlpm.idSel, AC92,
    _xlpm.invIDs, IF(B92=1,Inventario1!A:A,IF(B92=2,Inventario2!A:A,IF(B92=3,Inventario3!A:A,IF(B92=4,Inventario4!A:A,IF(B92=5,Inventario5!A:A,Inventario6!A:A))))),
    _xlpm.invCalidad, IF(B92=1,Inventario1!B:B,IF(B92=2,Inventario2!B:B,IF(B92=3,Inventario3!B:B,IF(B92=4,Inventario4!B:B,IF(B92=5,Inventario5!B:B,Inventario6!B:B))))),
    _xlpm.invTipos, IF(B92=1,Inventario1!C:C,IF(B92=2,Inventario2!C:C,IF(B92=3,Inventario3!C:C,IF(B92=4,Inventario4!C:C,IF(B92=5,Inventario5!C:C,Inventario6!C:C))))),
    _xlpm.invStats, IF(B92=1,Inventario1!D:H,IF(B92=2,Inventario2!D:H,IF(B92=3,Inventario3!D:H,IF(B92=4,Inventario4!D:H,IF(B92=5,Inventario5!D:H,Inventario6!D:H))))),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IF(ROW(A92)=2,"",IF(_xlfn._xlws.FILTER(Equipar!AC$2:AC91,Equipar!B$2:B91=B92)={0},"",_xlfn._xlws.FILTER(Equipar!AC$2:AC91,Equipar!B$2:B91=B92))),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108</v>
      </c>
      <c r="I92" s="11" cm="1">
        <f t="array" ref="I92">_xlfn.LET(
    _xlpm.jugador, A92,
    _xlpm.idSel, AC92,
    _xlpm.invIDs, IF(B92=1,Inventario1!A:A,IF(B92=2,Inventario2!A:A,IF(B92=3,Inventario3!A:A,IF(B92=4,Inventario4!A:A,IF(B92=5,Inventario5!A:A,Inventario6!A:A))))),
    _xlpm.invCalidad, IF(B92=1,Inventario1!B:B,IF(B92=2,Inventario2!B:B,IF(B92=3,Inventario3!B:B,IF(B92=4,Inventario4!B:B,IF(B92=5,Inventario5!B:B,Inventario6!B:B))))),
    _xlpm.invTipos, IF(B92=1,Inventario1!C:C,IF(B92=2,Inventario2!C:C,IF(B92=3,Inventario3!C:C,IF(B92=4,Inventario4!C:C,IF(B92=5,Inventario5!C:C,Inventario6!C:C))))),
    _xlpm.invStats, IF(B92=1,Inventario1!D:H,IF(B92=2,Inventario2!D:H,IF(B92=3,Inventario3!D:H,IF(B92=4,Inventario4!D:H,IF(B92=5,Inventario5!D:H,Inventario6!D:H))))),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IF(ROW(A92)=2,"",IF(_xlfn._xlws.FILTER(Equipar!AC$2:AC91,Equipar!B$2:B91=B92)={0},"",_xlfn._xlws.FILTER(Equipar!AC$2:AC91,Equipar!B$2:B91=B92))),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143.64000000000001</v>
      </c>
      <c r="J92" s="11" cm="1">
        <f t="array" aca="1" ref="J92" ca="1">_xlfn.LET(
    _xlpm.jugador, B92,
    _xlpm.idSel, AD92,
    _xlpm.invIDs, IF(C92=1,Inventario1!B:B,IF(C92=2,Inventario2!B:B,IF(C92=3,Inventario3!B:B,IF(C92=4,Inventario4!B:B,IF(C92=5,Inventario5!B:B,Inventario6!B:B))))),
    _xlpm.invCalidad, IF(C92=1,Inventario1!C:C,IF(C92=2,Inventario2!C:C,IF(C92=3,Inventario3!C:C,IF(C92=4,Inventario4!C:C,IF(C92=5,Inventario5!C:C,Inventario6!C:C))))),
    _xlpm.invTipos, IF(C92=1,Inventario1!D:D,IF(C92=2,Inventario2!D:D,IF(C92=3,Inventario3!D:D,IF(C92=4,Inventario4!D:D,IF(C92=5,Inventario5!D:D,Inventario6!D:D))))),
    _xlpm.invStats, IF(C92=1,Inventario1!E:I,IF(C92=2,Inventario2!E:I,IF(C92=3,Inventario3!E:I,IF(C92=4,Inventario4!E:I,IF(C92=5,Inventario5!E:I,Inventario6!E:I))))),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IF(ROW(B92)=2,"",IF(_xlfn._xlws.FILTER(Equipar!AD$2:AD91,Equipar!C$2:C91=C92)={0},"",_xlfn._xlws.FILTER(Equipar!AD$2:AD91,Equipar!C$2:C91=C92))),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92" s="11">
        <f t="shared" ca="1" si="4"/>
        <v>47.610000000000014</v>
      </c>
      <c r="L92" s="11">
        <f t="shared" ca="1" si="5"/>
        <v>11.969999999999999</v>
      </c>
      <c r="M92" s="11">
        <f t="shared" ca="1" si="5"/>
        <v>108</v>
      </c>
      <c r="N92" s="11">
        <f t="shared" si="6"/>
        <v>-35.640000000000015</v>
      </c>
      <c r="O92" s="11">
        <f t="shared" ca="1" si="6"/>
        <v>143.64000000000001</v>
      </c>
      <c r="P92" s="10" cm="1">
        <f t="array" aca="1" ref="P92" ca="1">_xlfn.LET(
    _xlpm.ptsPrinBase, _xlfn._xlws.FILTER(G:G, A:A=A92),
    _xlpm.ptsSecBase,  _xlfn._xlws.FILTER(H:H, A:A=A92),
    _xlpm.puntosPrin, _xlpm.ptsPrinBase + _xlfn._xlws.FILTER(B:B, A:A=A92)/1000,
    _xlpm.puntosSec,  _xlpm.ptsSecBase  + _xlfn._xlws.FILTER(B:B, A:A=A92)/1000,
    _xlpm.puntosPrinValidos, SUM(--(_xlpm.ptsPrinBase&gt;0)),
    _xlpm.puntosSecValidos,  SUM(--(_xlpm.ptsSecBase&gt;0)),
    _xlpm.clave, K92 + B92/1000,
    _xlpm.claves, _xlfn._xlws.FILTER(K:K + B:B/1000, A:A=A92),
    IF(AND(_xlpm.puntosPrinValidos&gt;=4,_xlpm.puntosSecValidos&gt;=2),IF(
        SUM(--(_xlpm.claves &gt; _xlpm.clave)) &lt; 4,
        C92,
        D92
    ),"No disp")
)</f>
        <v>3</v>
      </c>
      <c r="Q92" s="10" cm="1">
        <f t="array" aca="1" ref="Q92" ca="1">_xlfn.LET(
    _xlpm.puntosPrin, _xlfn._xlws.FILTER(G:G + B:B/1000, A:A=A92),
    _xlpm.puntosPrinValidos, SUM(--(_xlpm.puntosPrin&gt;1)),
    _xlpm.puntosTer, _xlfn._xlws.FILTER(I:I + B:B/1000, A:A=A92),
    _xlpm.puntosTerValidos, SUM(--(_xlpm.puntosTer&gt;1)),
    _xlpm.clave, L92 + B92/1000,
    _xlpm.claves, _xlfn._xlws.FILTER(L:L + B:B/1000, A:A=A92),
    IF(AND(_xlpm.puntosPrinValidos&gt;=4,_xlpm.puntosTerValidos&gt;=2),IF(
        SUM(--(_xlpm.claves &gt; _xlpm.clave)) &lt; 4,
        C92,
        E92
    ),"No disp")
)</f>
        <v>3</v>
      </c>
      <c r="R92" s="10" t="str" cm="1">
        <f t="array" aca="1" ref="R92" ca="1">_xlfn.LET(
    _xlpm.puntosPrin, _xlfn._xlws.FILTER(G:G + B:B/1000, A:A=A92),
    _xlpm.puntosPrinValidos, SUM(--(_xlpm.puntosPrin&gt;1)),
    _xlpm.puntosTer, _xlfn._xlws.FILTER(J:J + B:B/1000, A:A=A92),
    _xlpm.puntosTerValidos, SUM(--(_xlpm.puntosTer&gt;1)),
    _xlpm.clave, M92 + B92/1000,
    _xlpm.claves, _xlfn._xlws.FILTER(M:M + B:B/1000, A:A=A92),
    IF(AND(_xlpm.puntosPrinValidos&gt;=4,_xlpm.puntosTerValidos&gt;=2),IF(
        SUM(--(_xlpm.claves &gt; _xlpm.clave)) &lt; 4,
        C92,
        F92
    ),"No disp")
)</f>
        <v>No disp</v>
      </c>
      <c r="S92" s="10" cm="1">
        <f t="array" aca="1" ref="S92" ca="1">_xlfn.LET(
    _xlpm.ptsPrinBase, _xlfn._xlws.FILTER(G:G, A:A=A92),
    _xlpm.ptsSecBase,  _xlfn._xlws.FILTER(H:H, A:A=A92),
    _xlpm.puntosPrin, _xlpm.ptsPrinBase + _xlfn._xlws.FILTER(B:B, A:A=A92)/1000,
    _xlpm.puntosSec,  _xlpm.ptsSecBase  + _xlfn._xlws.FILTER(B:B, A:A=A92)/1000,
    _xlpm.puntosPrinValidos, SUM(--(_xlpm.ptsPrinBase&gt;0)),
    _xlpm.puntosSecValidos,  SUM(--(_xlpm.ptsSecBase&gt;0)),
    _xlpm.clave, K92 + B92/1000,
    _xlpm.claves, _xlfn._xlws.FILTER(K:K + B:B/1000, A:A=A92),
    IF(
        AND(_xlpm.puntosPrinValidos&gt;=2, _xlpm.puntosSecValidos&gt;=4),
        IF(
            SUM(--(_xlpm.claves &lt; _xlpm.clave)) &lt; 4,
            D92,
            C92
        ),
        "No disp"
    )
)</f>
        <v>3</v>
      </c>
      <c r="T92" s="10" cm="1">
        <f t="array" ref="T92">_xlfn.LET(
    _xlpm.puntosSec, _xlfn._xlws.FILTER(H:H + B:B/1000, A:A=A92),
    _xlpm.puntosSecValidos, SUM(--(_xlpm.puntosSec&gt;1)),
    _xlpm.puntosAlt, _xlfn._xlws.FILTER(I:I + B:B/1000, A:A=A92),
    _xlpm.puntosAltValidos, SUM(--(_xlpm.puntosAlt&gt;1)),
    _xlpm.clave, N92 + B92/1000,
    _xlpm.claves, _xlfn._xlws.FILTER(N:N + B:B/1000, A:A=A92),
    IF(AND(_xlpm.puntosSecValidos&gt;=4,_xlpm.puntosAltValidos&gt;=2),IF(
        SUM(--(_xlpm.claves &gt; _xlpm.clave)) &lt; 4,
        D92,
        E92
    ),"No disp")
)</f>
        <v>79</v>
      </c>
      <c r="U92" s="10" t="str" cm="1">
        <f t="array" aca="1" ref="U92" ca="1">_xlfn.LET(
    _xlpm.puntosSec, _xlfn._xlws.FILTER(H:H + B:B/1000, A:A=A92),
    _xlpm.puntosSecValidos, SUM(--(_xlpm.puntosSec&gt;1)),
    _xlpm.puntosAlt, _xlfn._xlws.FILTER(J:J + B:B/1000, A:A=A92),
    _xlpm.puntosAltValidos, SUM(--(_xlpm.puntosAlt&gt;1)),
    _xlpm.clave, O92 + B92/1000,
    _xlpm.claves, _xlfn._xlws.FILTER(O:O + B:B/1000, A:A=A92),
    IF(AND(_xlpm.puntosSecValidos&gt;=4,_xlpm.puntosAltValidos&gt;=2),IF(
        SUM(--(_xlpm.claves &gt; _xlpm.clave)) &lt; 4,
        D92,
        F92
    ),"No disp")
)</f>
        <v>No disp</v>
      </c>
      <c r="V92" s="11" cm="1">
        <f t="array" aca="1" ref="V92" ca="1">_xlfn.LET(
_xlpm.PrinIDs,_xlfn._xlws.FILTER(C:C,(A:A=A92)),
_xlpm.SecIDs,_xlfn._xlws.FILTER(D:D,(A:A=A92)),
_xlpm.TerIDs,_xlfn._xlws.FILTER(E:E,A:A=A92),
_xlpm.CuaIDs,_xlfn._xlws.FILTER(F:F,(A:A=A92)),
_xlpm.PrinPts,_xlfn._xlws.FILTER(G:G,(A:A=A92)),
_xlpm.SecPts,_xlfn._xlws.FILTER(H:H,(A:A=A92)),
_xlpm.TerPts,_xlfn._xlws.FILTER(I:I,(A:A=A92)),
_xlpm.CuaPts,_xlfn._xlws.FILTER(J:J,(A:A=A92)),
_xlpm.PSIds,_xlfn._xlws.FILTER(P:P,A:A=A92),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769.68000000000006</v>
      </c>
      <c r="W92" s="11" cm="1">
        <f t="array" aca="1" ref="W92" ca="1">_xlfn.LET(
_xlpm.PrinIDs,_xlfn._xlws.FILTER(C:C,(A:A=A92)),
_xlpm.SecIDs,_xlfn._xlws.FILTER(D:D,(A:A=A92)),
_xlpm.TerIDs,_xlfn._xlws.FILTER(E:E,A:A=A92),
_xlpm.CuaIDs,_xlfn._xlws.FILTER(F:F,(A:A=A92)),
_xlpm.PrinPts,_xlfn._xlws.FILTER(G:G,(A:A=A92)),
_xlpm.SecPts,_xlfn._xlws.FILTER(H:H,(A:A=A92)),
_xlpm.TerPts,_xlfn._xlws.FILTER(I:I,(A:A=A92)),
_xlpm.CuaPts,_xlfn._xlws.FILTER(J:J,(A:A=A92)),
_xlpm.PTIds,_xlfn._xlws.FILTER(Q:Q,A:A=A92),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718.74</v>
      </c>
      <c r="X92" s="11" cm="1">
        <f t="array" aca="1" ref="X92" ca="1">_xlfn.LET(
_xlpm.PrinIDs,_xlfn._xlws.FILTER(C:C,(A:A=A92)),
_xlpm.SecIDs,_xlfn._xlws.FILTER(D:D,(A:A=A92)),
_xlpm.TerIDs,_xlfn._xlws.FILTER(E:E,A:A=A92),
_xlpm.CuaIDs,_xlfn._xlws.FILTER(F:F,(A:A=A92)),
_xlpm.PrinPts,_xlfn._xlws.FILTER(G:G,(A:A=A92)),
_xlpm.SecPts,_xlfn._xlws.FILTER(H:H,(A:A=A92)),
_xlpm.TerPts,_xlfn._xlws.FILTER(I:I,(A:A=A92)),
_xlpm.CuaPts,_xlfn._xlws.FILTER(J:J,(A:A=A92)),
_xlpm.PCIds,_xlfn._xlws.FILTER(R:R,A:A=A92),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92" s="11" cm="1">
        <f t="array" aca="1" ref="Y92" ca="1">_xlfn.LET(
_xlpm.PrinIDs,_xlfn._xlws.FILTER(C:C,(A:A=A92)),
_xlpm.SecIDs,_xlfn._xlws.FILTER(D:D,(A:A=A92)),
_xlpm.AltIDs,_xlfn._xlws.FILTER(E:E,A:A=A92),
_xlpm.PrinPts,_xlfn._xlws.FILTER(G:G,(A:A=A92)),
_xlpm.SecPts,_xlfn._xlws.FILTER(H:H,(A:A=A92)),
_xlpm.AltPts,_xlfn._xlws.FILTER(I:I,(A:A=A92)),
_xlpm.SPIds,_xlfn._xlws.FILTER(S:S,A:A=A92),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790.92000000000007</v>
      </c>
      <c r="Z92" s="11" cm="1">
        <f t="array" aca="1" ref="Z92" ca="1">_xlfn.LET(
_xlpm.PrinIDs,_xlfn._xlws.FILTER(C:C,(A:A=A92)),
_xlpm.SecIDs,_xlfn._xlws.FILTER(D:D,(A:A=A92)),
_xlpm.TerIDs,_xlfn._xlws.FILTER(E:E,A:A=A92),
_xlpm.CuaIDs,_xlfn._xlws.FILTER(F:F,(A:A=A92)),
_xlpm.PrinPts,_xlfn._xlws.FILTER(G:G,(A:A=A92)),
_xlpm.SecPts,_xlfn._xlws.FILTER(H:H,(A:A=A92)),
_xlpm.TerPts,_xlfn._xlws.FILTER(I:I,(A:A=A92)),
_xlpm.CuaPts,_xlfn._xlws.FILTER(J:J,(A:A=A92)),
_xlpm.STIds,_xlfn._xlws.FILTER(T:T,A:A=A92),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781.65000000000009</v>
      </c>
      <c r="AA92" s="11" cm="1">
        <f t="array" aca="1" ref="AA92" ca="1">_xlfn.LET(
_xlpm.PrinIDs,_xlfn._xlws.FILTER(C:C,(A:A=A92)),
_xlpm.SecIDs,_xlfn._xlws.FILTER(D:D,(A:A=A92)),
_xlpm.TerIDs,_xlfn._xlws.FILTER(E:E,A:A=A92),
_xlpm.CuaIDs,_xlfn._xlws.FILTER(F:F,(A:A=A92)),
_xlpm.PrinPts,_xlfn._xlws.FILTER(G:G,(A:A=A92)),
_xlpm.SecPts,_xlfn._xlws.FILTER(H:H,(A:A=A92)),
_xlpm.TerPts,_xlfn._xlws.FILTER(I:I,(A:A=A92)),
_xlpm.CuaPts,_xlfn._xlws.FILTER(J:J,(A:A=A92)),
_xlpm.SCIds,_xlfn._xlws.FILTER(U:U,A:A=A92),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92" s="10">
        <f t="shared" ca="1" si="7"/>
        <v>3</v>
      </c>
      <c r="AC92" s="10">
        <v>3</v>
      </c>
      <c r="AD92" s="11"/>
      <c r="AE92" s="10" t="str">
        <f ca="1">IF(ISNUMBER(AC92),
IF($B92=1,VLOOKUP($AC92,Inventario1!$A:$H,2),
IF($B92=2,VLOOKUP($AC92,Inventario2!$A:$H,2),
IF($B92=3,VLOOKUP($AC92,Inventario3!$A:$H,2),
IF($B92=4,VLOOKUP($AC92,Inventario4!$A:$H,2),
IF($B92=5,VLOOKUP($AC92,Inventario5!$A:$H,2),
VLOOKUP($AC92,Inventario6!$A:$H,2)
))))),"No equipado")</f>
        <v>Legendario</v>
      </c>
      <c r="AF92" s="10" t="str">
        <f ca="1">IF(ISNUMBER(AC92),
IF($B92=1,VLOOKUP($AC92,Inventario1!$A:$H,3),
IF($B92=2,VLOOKUP($AC92,Inventario2!$A:$H,3),
IF($B92=3,VLOOKUP($AC92,Inventario3!$A:$H,3),
IF($B92=4,VLOOKUP($AC92,Inventario4!$A:$H,3),
IF($B92=5,VLOOKUP($AC92,Inventario5!$A:$H,3),
VLOOKUP($AC92,Inventario6!$A:$H,3)
))))),"")</f>
        <v>Poder vibrante</v>
      </c>
      <c r="AG92" s="10" t="str">
        <f ca="1">IF(ISNUMBER(AC92),
IF($B92=1,VLOOKUP($AC92,Inventario1!$A:$H,4),
IF($B92=2,VLOOKUP($AC92,Inventario2!$A:$H,4),
IF($B92=3,VLOOKUP($AC92,Inventario3!$A:$H,4),
IF($B92=4,VLOOKUP($AC92,Inventario4!$A:$H,4),
IF($B92=5,VLOOKUP($AC92,Inventario5!$A:$H,4),
VLOOKUP($AC92,Inventario6!$A:$H,4)
))))),"")</f>
        <v>Ataque poderoso</v>
      </c>
      <c r="AH92" s="10" t="str">
        <f ca="1">IF(ISNUMBER(AC92),
IF($B92=1,VLOOKUP($AC92,Inventario1!$A:$H,5),
IF($B92=2,VLOOKUP($AC92,Inventario2!$A:$H,5),
IF($B92=3,VLOOKUP($AC92,Inventario3!$A:$H,5),
IF($B92=4,VLOOKUP($AC92,Inventario4!$A:$H,5),
IF($B92=5,VLOOKUP($AC92,Inventario5!$A:$H,5),
VLOOKUP($AC92,Inventario6!$A:$H,5)
))))),"")</f>
        <v>Ataque poderoso</v>
      </c>
      <c r="AI92" s="10" t="str">
        <f ca="1">IF(ISNUMBER(AC92),
IF($B92=1,VLOOKUP($AC92,Inventario1!$A:$H,6),
IF($B92=2,VLOOKUP($AC92,Inventario2!$A:$H,6),
IF($B92=3,VLOOKUP($AC92,Inventario3!$A:$H,6),
IF($B92=4,VLOOKUP($AC92,Inventario4!$A:$H,6),
IF($B92=5,VLOOKUP($AC92,Inventario5!$A:$H,6),
VLOOKUP($AC92,Inventario6!$A:$H,6)
))))),"")</f>
        <v>Ataque rápido</v>
      </c>
      <c r="AJ92" s="10" t="str">
        <f ca="1">IF(ISNUMBER(AC92),
IF($B92=1,VLOOKUP($AC92,Inventario1!$A:$H,7),
IF($B92=2,VLOOKUP($AC92,Inventario2!$A:$H,7),
IF($B92=3,VLOOKUP($AC92,Inventario3!$A:$H,7),
IF($B92=4,VLOOKUP($AC92,Inventario4!$A:$H,7),
IF($B92=5,VLOOKUP($AC92,Inventario5!$A:$H,7),
VLOOKUP($AC92,Inventario6!$A:$H,7)
))))),"")</f>
        <v>Recepción</v>
      </c>
      <c r="AK92" s="12" t="str">
        <f ca="1">IF(ISNUMBER(AC92),
IF($B92=1,VLOOKUP($AC92,Inventario1!$A:$H,8),
IF($B92=2,VLOOKUP($AC92,Inventario2!$A:$H,8),
IF($B92=3,VLOOKUP($AC92,Inventario3!$A:$H,8),
IF($B92=4,VLOOKUP($AC92,Inventario4!$A:$H,8),
IF($B92=5,VLOOKUP($AC92,Inventario5!$A:$H,8),
VLOOKUP($AC92,Inventario6!$A:$H,8)
))))),"")</f>
        <v>Recuperación</v>
      </c>
    </row>
    <row r="93" spans="1:37" x14ac:dyDescent="0.25">
      <c r="A93" s="21" t="s">
        <v>72</v>
      </c>
      <c r="B93" s="3">
        <v>2</v>
      </c>
      <c r="C93" s="14" cm="1">
        <f t="array" aca="1" ref="C93" ca="1">_xlfn.LET(
    _xlpm.jugador, A93,
    _xlpm.idSel, AC93,
    _xlpm.invIDs, IF(B93=1,Inventario1!A:A,IF(B93=2,Inventario2!A:A,IF(B93=3,Inventario3!A:A,IF(B93=4,Inventario4!A:A,IF(B93=5,Inventario5!A:A,Inventario6!A:A))))),
    _xlpm.invCalidad, IF(B93=1,Inventario1!B:B,IF(B93=2,Inventario2!B:B,IF(B93=3,Inventario3!B:B,IF(B93=4,Inventario4!B:B,IF(B93=5,Inventario5!B:B,Inventario6!B:B))))),
    _xlpm.invTipos, IF(B93=1,Inventario1!C:C,IF(B93=2,Inventario2!C:C,IF(B93=3,Inventario3!C:C,IF(B93=4,Inventario4!C:C,IF(B93=5,Inventario5!C:C,Inventario6!C:C))))),
    _xlpm.invStats, IF(B93=1,Inventario1!D:H,IF(B93=2,Inventario2!D:H,IF(B93=3,Inventario3!D:H,IF(B93=4,Inventario4!D:H,IF(B93=5,Inventario5!D:H,Inventario6!D:H))))),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IF(ROW(A93)=2,"",IF(_xlfn._xlws.FILTER(Equipar!AC$2:AC92,Equipar!B$2:B92=B93)={0},"",_xlfn._xlws.FILTER(Equipar!AC$2:AC92,Equipar!B$2:B92=B93))),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33</v>
      </c>
      <c r="D93" s="4" cm="1">
        <f t="array" ref="D93">_xlfn.LET(
    _xlpm.jugador, A93,
    _xlpm.idSel, AC93,
    _xlpm.invIDs, IF(B93=1,Inventario1!A:A,IF(B93=2,Inventario2!A:A,IF(B93=3,Inventario3!A:A,IF(B93=4,Inventario4!A:A,IF(B93=5,Inventario5!A:A,Inventario6!A:A))))),
    _xlpm.invCalidad, IF(B93=1,Inventario1!B:B,IF(B93=2,Inventario2!B:B,IF(B93=3,Inventario3!B:B,IF(B93=4,Inventario4!B:B,IF(B93=5,Inventario5!B:B,Inventario6!B:B))))),
    _xlpm.invTipos, IF(B93=1,Inventario1!C:C,IF(B93=2,Inventario2!C:C,IF(B93=3,Inventario3!C:C,IF(B93=4,Inventario4!C:C,IF(B93=5,Inventario5!C:C,Inventario6!C:C))))),
    _xlpm.invStats, IF(B93=1,Inventario1!D:H,IF(B93=2,Inventario2!D:H,IF(B93=3,Inventario3!D:H,IF(B93=4,Inventario4!D:H,IF(B93=5,Inventario5!D:H,Inventario6!D:H))))),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IF(ROW(A93)=2,"",IF(_xlfn._xlws.FILTER(Equipar!AC$2:AC92,Equipar!B$2:B92=B93)={0},"",_xlfn._xlws.FILTER(Equipar!AC$2:AC92,Equipar!B$2:B92=B93))),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45</v>
      </c>
      <c r="E93" s="4" cm="1">
        <f t="array" ref="E93">_xlfn.LET(
    _xlpm.jugador, A93,
    _xlpm.idSel, AC93,
    _xlpm.invIDs, IF(B93=1,Inventario1!A:A,IF(B93=2,Inventario2!A:A,IF(B93=3,Inventario3!A:A,IF(B93=4,Inventario4!A:A,IF(B93=5,Inventario5!A:A,Inventario6!A:A))))),
    _xlpm.invCalidad, IF(B93=1,Inventario1!B:B,IF(B93=2,Inventario2!B:B,IF(B93=3,Inventario3!B:B,IF(B93=4,Inventario4!B:B,IF(B93=5,Inventario5!B:B,Inventario6!B:B))))),
    _xlpm.invTipos, IF(B93=1,Inventario1!C:C,IF(B93=2,Inventario2!C:C,IF(B93=3,Inventario3!C:C,IF(B93=4,Inventario4!C:C,IF(B93=5,Inventario5!C:C,Inventario6!C:C))))),
    _xlpm.invStats, IF(B93=1,Inventario1!D:H,IF(B93=2,Inventario2!D:H,IF(B93=3,Inventario3!D:H,IF(B93=4,Inventario4!D:H,IF(B93=5,Inventario5!D:H,Inventario6!D:H))))),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IF(ROW(A93)=2,"",IF(_xlfn._xlws.FILTER(Equipar!AC$2:AC92,Equipar!B$2:B92=B93)={0},"",_xlfn._xlws.FILTER(Equipar!AC$2:AC92,Equipar!B$2:B92=B93))),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122</v>
      </c>
      <c r="F93" s="4" t="str" cm="1">
        <f t="array" aca="1" ref="F93" ca="1">_xlfn.LET(
    _xlpm.jugador, B93,
    _xlpm.idSel, AD93,
    _xlpm.invIDs, IF(C93=1,Inventario1!B:B,IF(C93=2,Inventario2!B:B,IF(C93=3,Inventario3!B:B,IF(C93=4,Inventario4!B:B,IF(C93=5,Inventario5!B:B,Inventario6!B:B))))),
    _xlpm.invCalidad, IF(C93=1,Inventario1!C:C,IF(C93=2,Inventario2!C:C,IF(C93=3,Inventario3!C:C,IF(C93=4,Inventario4!C:C,IF(C93=5,Inventario5!C:C,Inventario6!C:C))))),
    _xlpm.invTipos, IF(C93=1,Inventario1!D:D,IF(C93=2,Inventario2!D:D,IF(C93=3,Inventario3!D:D,IF(C93=4,Inventario4!D:D,IF(C93=5,Inventario5!D:D,Inventario6!D:D))))),
    _xlpm.invStats, IF(C93=1,Inventario1!E:I,IF(C93=2,Inventario2!E:I,IF(C93=3,Inventario3!E:I,IF(C93=4,Inventario4!E:I,IF(C93=5,Inventario5!E:I,Inventario6!E:I))))),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IF(ROW(B93)=2,"",IF(_xlfn._xlws.FILTER(Equipar!AD$2:AD92,Equipar!C$2:C92=C93)={0},"",_xlfn._xlws.FILTER(Equipar!AD$2:AD92,Equipar!C$2:C92=C93))),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93" s="14" cm="1">
        <f t="array" aca="1" ref="G93" ca="1">_xlfn.LET(
    _xlpm.jugador, A93,
    _xlpm.idSel, AC93,
    _xlpm.invIDs, IF(B93=1,Inventario1!A:A,IF(B93=2,Inventario2!A:A,IF(B93=3,Inventario3!A:A,IF(B93=4,Inventario4!A:A,IF(B93=5,Inventario5!A:A,Inventario6!A:A))))),
    _xlpm.invCalidad, IF(B93=1,Inventario1!B:B,IF(B93=2,Inventario2!B:B,IF(B93=3,Inventario3!B:B,IF(B93=4,Inventario4!B:B,IF(B93=5,Inventario5!B:B,Inventario6!B:B))))),
    _xlpm.invTipos, IF(B93=1,Inventario1!C:C,IF(B93=2,Inventario2!C:C,IF(B93=3,Inventario3!C:C,IF(B93=4,Inventario4!C:C,IF(B93=5,Inventario5!C:C,Inventario6!C:C))))),
    _xlpm.invStats, IF(B93=1,Inventario1!D:H,IF(B93=2,Inventario2!D:H,IF(B93=3,Inventario3!D:H,IF(B93=4,Inventario4!D:H,IF(B93=5,Inventario5!D:H,Inventario6!D:H))))),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IF(ROW(A93)=2,"",IF(_xlfn._xlws.FILTER(Equipar!AC$2:AC92,Equipar!B$2:B92=B93)={0},"",_xlfn._xlws.FILTER(Equipar!AC$2:AC92,Equipar!B$2:B92=B93))),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117</v>
      </c>
      <c r="H93" s="4" cm="1">
        <f t="array" ref="H93">_xlfn.LET(
    _xlpm.jugador, A93,
    _xlpm.idSel, AC93,
    _xlpm.invIDs, IF(B93=1,Inventario1!A:A,IF(B93=2,Inventario2!A:A,IF(B93=3,Inventario3!A:A,IF(B93=4,Inventario4!A:A,IF(B93=5,Inventario5!A:A,Inventario6!A:A))))),
    _xlpm.invCalidad, IF(B93=1,Inventario1!B:B,IF(B93=2,Inventario2!B:B,IF(B93=3,Inventario3!B:B,IF(B93=4,Inventario4!B:B,IF(B93=5,Inventario5!B:B,Inventario6!B:B))))),
    _xlpm.invTipos, IF(B93=1,Inventario1!C:C,IF(B93=2,Inventario2!C:C,IF(B93=3,Inventario3!C:C,IF(B93=4,Inventario4!C:C,IF(B93=5,Inventario5!C:C,Inventario6!C:C))))),
    _xlpm.invStats, IF(B93=1,Inventario1!D:H,IF(B93=2,Inventario2!D:H,IF(B93=3,Inventario3!D:H,IF(B93=4,Inventario4!D:H,IF(B93=5,Inventario5!D:H,Inventario6!D:H))))),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IF(ROW(A93)=2,"",IF(_xlfn._xlws.FILTER(Equipar!AC$2:AC92,Equipar!B$2:B92=B93)={0},"",_xlfn._xlws.FILTER(Equipar!AC$2:AC92,Equipar!B$2:B92=B93))),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I93" s="4" cm="1">
        <f t="array" ref="I93">_xlfn.LET(
    _xlpm.jugador, A93,
    _xlpm.idSel, AC93,
    _xlpm.invIDs, IF(B93=1,Inventario1!A:A,IF(B93=2,Inventario2!A:A,IF(B93=3,Inventario3!A:A,IF(B93=4,Inventario4!A:A,IF(B93=5,Inventario5!A:A,Inventario6!A:A))))),
    _xlpm.invCalidad, IF(B93=1,Inventario1!B:B,IF(B93=2,Inventario2!B:B,IF(B93=3,Inventario3!B:B,IF(B93=4,Inventario4!B:B,IF(B93=5,Inventario5!B:B,Inventario6!B:B))))),
    _xlpm.invTipos, IF(B93=1,Inventario1!C:C,IF(B93=2,Inventario2!C:C,IF(B93=3,Inventario3!C:C,IF(B93=4,Inventario4!C:C,IF(B93=5,Inventario5!C:C,Inventario6!C:C))))),
    _xlpm.invStats, IF(B93=1,Inventario1!D:H,IF(B93=2,Inventario2!D:H,IF(B93=3,Inventario3!D:H,IF(B93=4,Inventario4!D:H,IF(B93=5,Inventario5!D:H,Inventario6!D:H))))),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IF(ROW(A93)=2,"",IF(_xlfn._xlws.FILTER(Equipar!AC$2:AC92,Equipar!B$2:B92=B93)={0},"",_xlfn._xlws.FILTER(Equipar!AC$2:AC92,Equipar!B$2:B92=B93))),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J93" s="4" cm="1">
        <f t="array" aca="1" ref="J93" ca="1">_xlfn.LET(
    _xlpm.jugador, B93,
    _xlpm.idSel, AD93,
    _xlpm.invIDs, IF(C93=1,Inventario1!B:B,IF(C93=2,Inventario2!B:B,IF(C93=3,Inventario3!B:B,IF(C93=4,Inventario4!B:B,IF(C93=5,Inventario5!B:B,Inventario6!B:B))))),
    _xlpm.invCalidad, IF(C93=1,Inventario1!C:C,IF(C93=2,Inventario2!C:C,IF(C93=3,Inventario3!C:C,IF(C93=4,Inventario4!C:C,IF(C93=5,Inventario5!C:C,Inventario6!C:C))))),
    _xlpm.invTipos, IF(C93=1,Inventario1!D:D,IF(C93=2,Inventario2!D:D,IF(C93=3,Inventario3!D:D,IF(C93=4,Inventario4!D:D,IF(C93=5,Inventario5!D:D,Inventario6!D:D))))),
    _xlpm.invStats, IF(C93=1,Inventario1!E:I,IF(C93=2,Inventario2!E:I,IF(C93=3,Inventario3!E:I,IF(C93=4,Inventario4!E:I,IF(C93=5,Inventario5!E:I,Inventario6!E:I))))),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IF(ROW(B93)=2,"",IF(_xlfn._xlws.FILTER(Equipar!AD$2:AD92,Equipar!C$2:C92=C93)={0},"",_xlfn._xlws.FILTER(Equipar!AD$2:AD92,Equipar!C$2:C92=C93))),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93" s="4">
        <f t="shared" ca="1" si="4"/>
        <v>18</v>
      </c>
      <c r="L93" s="4">
        <f t="shared" ca="1" si="5"/>
        <v>-2.7000000000000028</v>
      </c>
      <c r="M93" s="4">
        <f t="shared" ca="1" si="5"/>
        <v>99</v>
      </c>
      <c r="N93" s="4">
        <f t="shared" si="6"/>
        <v>-20.700000000000003</v>
      </c>
      <c r="O93" s="4">
        <f t="shared" ca="1" si="6"/>
        <v>119.7</v>
      </c>
      <c r="P93" s="14" cm="1">
        <f t="array" aca="1" ref="P93" ca="1">_xlfn.LET(
    _xlpm.ptsPrinBase, _xlfn._xlws.FILTER(G:G, A:A=A93),
    _xlpm.ptsSecBase,  _xlfn._xlws.FILTER(H:H, A:A=A93),
    _xlpm.puntosPrin, _xlpm.ptsPrinBase + _xlfn._xlws.FILTER(B:B, A:A=A93)/1000,
    _xlpm.puntosSec,  _xlpm.ptsSecBase  + _xlfn._xlws.FILTER(B:B, A:A=A93)/1000,
    _xlpm.puntosPrinValidos, SUM(--(_xlpm.ptsPrinBase&gt;0)),
    _xlpm.puntosSecValidos,  SUM(--(_xlpm.ptsSecBase&gt;0)),
    _xlpm.clave, K93 + B93/1000,
    _xlpm.claves, _xlfn._xlws.FILTER(K:K + B:B/1000, A:A=A93),
    IF(AND(_xlpm.puntosPrinValidos&gt;=4,_xlpm.puntosSecValidos&gt;=2),IF(
        SUM(--(_xlpm.claves &gt; _xlpm.clave)) &lt; 4,
        C93,
        D93
    ),"No disp")
)</f>
        <v>33</v>
      </c>
      <c r="Q93" s="14" cm="1">
        <f t="array" aca="1" ref="Q93" ca="1">_xlfn.LET(
    _xlpm.puntosPrin, _xlfn._xlws.FILTER(G:G + B:B/1000, A:A=A93),
    _xlpm.puntosPrinValidos, SUM(--(_xlpm.puntosPrin&gt;1)),
    _xlpm.puntosTer, _xlfn._xlws.FILTER(I:I + B:B/1000, A:A=A93),
    _xlpm.puntosTerValidos, SUM(--(_xlpm.puntosTer&gt;1)),
    _xlpm.clave, L93 + B93/1000,
    _xlpm.claves, _xlfn._xlws.FILTER(L:L + B:B/1000, A:A=A93),
    IF(AND(_xlpm.puntosPrinValidos&gt;=4,_xlpm.puntosTerValidos&gt;=2),IF(
        SUM(--(_xlpm.claves &gt; _xlpm.clave)) &lt; 4,
        C93,
        E93
    ),"No disp")
)</f>
        <v>33</v>
      </c>
      <c r="R93" s="14" t="str" cm="1">
        <f t="array" aca="1" ref="R93" ca="1">_xlfn.LET(
    _xlpm.puntosPrin, _xlfn._xlws.FILTER(G:G + B:B/1000, A:A=A93),
    _xlpm.puntosPrinValidos, SUM(--(_xlpm.puntosPrin&gt;1)),
    _xlpm.puntosTer, _xlfn._xlws.FILTER(J:J + B:B/1000, A:A=A93),
    _xlpm.puntosTerValidos, SUM(--(_xlpm.puntosTer&gt;1)),
    _xlpm.clave, M93 + B93/1000,
    _xlpm.claves, _xlfn._xlws.FILTER(M:M + B:B/1000, A:A=A93),
    IF(AND(_xlpm.puntosPrinValidos&gt;=4,_xlpm.puntosTerValidos&gt;=2),IF(
        SUM(--(_xlpm.claves &gt; _xlpm.clave)) &lt; 4,
        C93,
        F93
    ),"No disp")
)</f>
        <v>No disp</v>
      </c>
      <c r="S93" s="14" cm="1">
        <f t="array" aca="1" ref="S93" ca="1">_xlfn.LET(
    _xlpm.ptsPrinBase, _xlfn._xlws.FILTER(G:G, A:A=A93),
    _xlpm.ptsSecBase,  _xlfn._xlws.FILTER(H:H, A:A=A93),
    _xlpm.puntosPrin, _xlpm.ptsPrinBase + _xlfn._xlws.FILTER(B:B, A:A=A93)/1000,
    _xlpm.puntosSec,  _xlpm.ptsSecBase  + _xlfn._xlws.FILTER(B:B, A:A=A93)/1000,
    _xlpm.puntosPrinValidos, SUM(--(_xlpm.ptsPrinBase&gt;0)),
    _xlpm.puntosSecValidos,  SUM(--(_xlpm.ptsSecBase&gt;0)),
    _xlpm.clave, K93 + B93/1000,
    _xlpm.claves, _xlfn._xlws.FILTER(K:K + B:B/1000, A:A=A93),
    IF(
        AND(_xlpm.puntosPrinValidos&gt;=2, _xlpm.puntosSecValidos&gt;=4),
        IF(
            SUM(--(_xlpm.claves &lt; _xlpm.clave)) &lt; 4,
            D93,
            C93
        ),
        "No disp"
    )
)</f>
        <v>33</v>
      </c>
      <c r="T93" s="14" cm="1">
        <f t="array" ref="T93">_xlfn.LET(
    _xlpm.puntosSec, _xlfn._xlws.FILTER(H:H + B:B/1000, A:A=A93),
    _xlpm.puntosSecValidos, SUM(--(_xlpm.puntosSec&gt;1)),
    _xlpm.puntosAlt, _xlfn._xlws.FILTER(I:I + B:B/1000, A:A=A93),
    _xlpm.puntosAltValidos, SUM(--(_xlpm.puntosAlt&gt;1)),
    _xlpm.clave, N93 + B93/1000,
    _xlpm.claves, _xlfn._xlws.FILTER(N:N + B:B/1000, A:A=A93),
    IF(AND(_xlpm.puntosSecValidos&gt;=4,_xlpm.puntosAltValidos&gt;=2),IF(
        SUM(--(_xlpm.claves &gt; _xlpm.clave)) &lt; 4,
        D93,
        E93
    ),"No disp")
)</f>
        <v>122</v>
      </c>
      <c r="U93" s="14" t="str" cm="1">
        <f t="array" aca="1" ref="U93" ca="1">_xlfn.LET(
    _xlpm.puntosSec, _xlfn._xlws.FILTER(H:H + B:B/1000, A:A=A93),
    _xlpm.puntosSecValidos, SUM(--(_xlpm.puntosSec&gt;1)),
    _xlpm.puntosAlt, _xlfn._xlws.FILTER(J:J + B:B/1000, A:A=A93),
    _xlpm.puntosAltValidos, SUM(--(_xlpm.puntosAlt&gt;1)),
    _xlpm.clave, O93 + B93/1000,
    _xlpm.claves, _xlfn._xlws.FILTER(O:O + B:B/1000, A:A=A93),
    IF(AND(_xlpm.puntosSecValidos&gt;=4,_xlpm.puntosAltValidos&gt;=2),IF(
        SUM(--(_xlpm.claves &gt; _xlpm.clave)) &lt; 4,
        D93,
        F93
    ),"No disp")
)</f>
        <v>No disp</v>
      </c>
      <c r="V93" s="4" cm="1">
        <f t="array" aca="1" ref="V93" ca="1">_xlfn.LET(
_xlpm.PrinIDs,_xlfn._xlws.FILTER(C:C,(A:A=A93)),
_xlpm.SecIDs,_xlfn._xlws.FILTER(D:D,(A:A=A93)),
_xlpm.TerIDs,_xlfn._xlws.FILTER(E:E,A:A=A93),
_xlpm.CuaIDs,_xlfn._xlws.FILTER(F:F,(A:A=A93)),
_xlpm.PrinPts,_xlfn._xlws.FILTER(G:G,(A:A=A93)),
_xlpm.SecPts,_xlfn._xlws.FILTER(H:H,(A:A=A93)),
_xlpm.TerPts,_xlfn._xlws.FILTER(I:I,(A:A=A93)),
_xlpm.CuaPts,_xlfn._xlws.FILTER(J:J,(A:A=A93)),
_xlpm.PSIds,_xlfn._xlws.FILTER(P:P,A:A=A93),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769.68000000000006</v>
      </c>
      <c r="W93" s="4" cm="1">
        <f t="array" aca="1" ref="W93" ca="1">_xlfn.LET(
_xlpm.PrinIDs,_xlfn._xlws.FILTER(C:C,(A:A=A93)),
_xlpm.SecIDs,_xlfn._xlws.FILTER(D:D,(A:A=A93)),
_xlpm.TerIDs,_xlfn._xlws.FILTER(E:E,A:A=A93),
_xlpm.CuaIDs,_xlfn._xlws.FILTER(F:F,(A:A=A93)),
_xlpm.PrinPts,_xlfn._xlws.FILTER(G:G,(A:A=A93)),
_xlpm.SecPts,_xlfn._xlws.FILTER(H:H,(A:A=A93)),
_xlpm.TerPts,_xlfn._xlws.FILTER(I:I,(A:A=A93)),
_xlpm.CuaPts,_xlfn._xlws.FILTER(J:J,(A:A=A93)),
_xlpm.PTIds,_xlfn._xlws.FILTER(Q:Q,A:A=A93),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718.74</v>
      </c>
      <c r="X93" s="4" cm="1">
        <f t="array" aca="1" ref="X93" ca="1">_xlfn.LET(
_xlpm.PrinIDs,_xlfn._xlws.FILTER(C:C,(A:A=A93)),
_xlpm.SecIDs,_xlfn._xlws.FILTER(D:D,(A:A=A93)),
_xlpm.TerIDs,_xlfn._xlws.FILTER(E:E,A:A=A93),
_xlpm.CuaIDs,_xlfn._xlws.FILTER(F:F,(A:A=A93)),
_xlpm.PrinPts,_xlfn._xlws.FILTER(G:G,(A:A=A93)),
_xlpm.SecPts,_xlfn._xlws.FILTER(H:H,(A:A=A93)),
_xlpm.TerPts,_xlfn._xlws.FILTER(I:I,(A:A=A93)),
_xlpm.CuaPts,_xlfn._xlws.FILTER(J:J,(A:A=A93)),
_xlpm.PCIds,_xlfn._xlws.FILTER(R:R,A:A=A93),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93" s="4" cm="1">
        <f t="array" aca="1" ref="Y93" ca="1">_xlfn.LET(
_xlpm.PrinIDs,_xlfn._xlws.FILTER(C:C,(A:A=A93)),
_xlpm.SecIDs,_xlfn._xlws.FILTER(D:D,(A:A=A93)),
_xlpm.AltIDs,_xlfn._xlws.FILTER(E:E,A:A=A93),
_xlpm.PrinPts,_xlfn._xlws.FILTER(G:G,(A:A=A93)),
_xlpm.SecPts,_xlfn._xlws.FILTER(H:H,(A:A=A93)),
_xlpm.AltPts,_xlfn._xlws.FILTER(I:I,(A:A=A93)),
_xlpm.SPIds,_xlfn._xlws.FILTER(S:S,A:A=A93),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790.92000000000007</v>
      </c>
      <c r="Z93" s="4" cm="1">
        <f t="array" aca="1" ref="Z93" ca="1">_xlfn.LET(
_xlpm.PrinIDs,_xlfn._xlws.FILTER(C:C,(A:A=A93)),
_xlpm.SecIDs,_xlfn._xlws.FILTER(D:D,(A:A=A93)),
_xlpm.TerIDs,_xlfn._xlws.FILTER(E:E,A:A=A93),
_xlpm.CuaIDs,_xlfn._xlws.FILTER(F:F,(A:A=A93)),
_xlpm.PrinPts,_xlfn._xlws.FILTER(G:G,(A:A=A93)),
_xlpm.SecPts,_xlfn._xlws.FILTER(H:H,(A:A=A93)),
_xlpm.TerPts,_xlfn._xlws.FILTER(I:I,(A:A=A93)),
_xlpm.CuaPts,_xlfn._xlws.FILTER(J:J,(A:A=A93)),
_xlpm.STIds,_xlfn._xlws.FILTER(T:T,A:A=A93),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781.65000000000009</v>
      </c>
      <c r="AA93" s="4" cm="1">
        <f t="array" aca="1" ref="AA93" ca="1">_xlfn.LET(
_xlpm.PrinIDs,_xlfn._xlws.FILTER(C:C,(A:A=A93)),
_xlpm.SecIDs,_xlfn._xlws.FILTER(D:D,(A:A=A93)),
_xlpm.TerIDs,_xlfn._xlws.FILTER(E:E,A:A=A93),
_xlpm.CuaIDs,_xlfn._xlws.FILTER(F:F,(A:A=A93)),
_xlpm.PrinPts,_xlfn._xlws.FILTER(G:G,(A:A=A93)),
_xlpm.SecPts,_xlfn._xlws.FILTER(H:H,(A:A=A93)),
_xlpm.TerPts,_xlfn._xlws.FILTER(I:I,(A:A=A93)),
_xlpm.CuaPts,_xlfn._xlws.FILTER(J:J,(A:A=A93)),
_xlpm.SCIds,_xlfn._xlws.FILTER(U:U,A:A=A93),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93" s="14">
        <f t="shared" ca="1" si="7"/>
        <v>33</v>
      </c>
      <c r="AC93" s="14">
        <v>33</v>
      </c>
      <c r="AD93" s="4"/>
      <c r="AE93" s="14" t="str">
        <f ca="1">IF(ISNUMBER(AC93),
IF($B93=1,VLOOKUP($AC93,Inventario1!$A:$H,2),
IF($B93=2,VLOOKUP($AC93,Inventario2!$A:$H,2),
IF($B93=3,VLOOKUP($AC93,Inventario3!$A:$H,2),
IF($B93=4,VLOOKUP($AC93,Inventario4!$A:$H,2),
IF($B93=5,VLOOKUP($AC93,Inventario5!$A:$H,2),
VLOOKUP($AC93,Inventario6!$A:$H,2)
))))),"No equipado")</f>
        <v>Épico</v>
      </c>
      <c r="AF93" s="14" t="str">
        <f ca="1">IF(ISNUMBER(AC93),
IF($B93=1,VLOOKUP($AC93,Inventario1!$A:$H,3),
IF($B93=2,VLOOKUP($AC93,Inventario2!$A:$H,3),
IF($B93=3,VLOOKUP($AC93,Inventario3!$A:$H,3),
IF($B93=4,VLOOKUP($AC93,Inventario4!$A:$H,3),
IF($B93=5,VLOOKUP($AC93,Inventario5!$A:$H,3),
VLOOKUP($AC93,Inventario6!$A:$H,3)
))))),"")</f>
        <v>Poder vibrante</v>
      </c>
      <c r="AG93" s="14" t="str">
        <f ca="1">IF(ISNUMBER(AC93),
IF($B93=1,VLOOKUP($AC93,Inventario1!$A:$H,4),
IF($B93=2,VLOOKUP($AC93,Inventario2!$A:$H,4),
IF($B93=3,VLOOKUP($AC93,Inventario3!$A:$H,4),
IF($B93=4,VLOOKUP($AC93,Inventario4!$A:$H,4),
IF($B93=5,VLOOKUP($AC93,Inventario5!$A:$H,4),
VLOOKUP($AC93,Inventario6!$A:$H,4)
))))),"")</f>
        <v>Ataque poderoso</v>
      </c>
      <c r="AH93" s="14" t="str">
        <f ca="1">IF(ISNUMBER(AC93),
IF($B93=1,VLOOKUP($AC93,Inventario1!$A:$H,5),
IF($B93=2,VLOOKUP($AC93,Inventario2!$A:$H,5),
IF($B93=3,VLOOKUP($AC93,Inventario3!$A:$H,5),
IF($B93=4,VLOOKUP($AC93,Inventario4!$A:$H,5),
IF($B93=5,VLOOKUP($AC93,Inventario5!$A:$H,5),
VLOOKUP($AC93,Inventario6!$A:$H,5)
))))),"")</f>
        <v>Colocación</v>
      </c>
      <c r="AI93" s="14" t="str">
        <f ca="1">IF(ISNUMBER(AC93),
IF($B93=1,VLOOKUP($AC93,Inventario1!$A:$H,6),
IF($B93=2,VLOOKUP($AC93,Inventario2!$A:$H,6),
IF($B93=3,VLOOKUP($AC93,Inventario3!$A:$H,6),
IF($B93=4,VLOOKUP($AC93,Inventario4!$A:$H,6),
IF($B93=5,VLOOKUP($AC93,Inventario5!$A:$H,6),
VLOOKUP($AC93,Inventario6!$A:$H,6)
))))),"")</f>
        <v>Colocación</v>
      </c>
      <c r="AJ93" s="14" t="str">
        <f ca="1">IF(ISNUMBER(AC93),
IF($B93=1,VLOOKUP($AC93,Inventario1!$A:$H,7),
IF($B93=2,VLOOKUP($AC93,Inventario2!$A:$H,7),
IF($B93=3,VLOOKUP($AC93,Inventario3!$A:$H,7),
IF($B93=4,VLOOKUP($AC93,Inventario4!$A:$H,7),
IF($B93=5,VLOOKUP($AC93,Inventario5!$A:$H,7),
VLOOKUP($AC93,Inventario6!$A:$H,7)
))))),"")</f>
        <v>Ataque poderoso</v>
      </c>
      <c r="AK93" s="15" t="str">
        <f ca="1">IF(ISNUMBER(AC93),
IF($B93=1,VLOOKUP($AC93,Inventario1!$A:$H,8),
IF($B93=2,VLOOKUP($AC93,Inventario2!$A:$H,8),
IF($B93=3,VLOOKUP($AC93,Inventario3!$A:$H,8),
IF($B93=4,VLOOKUP($AC93,Inventario4!$A:$H,8),
IF($B93=5,VLOOKUP($AC93,Inventario5!$A:$H,8),
VLOOKUP($AC93,Inventario6!$A:$H,8)
))))),"")</f>
        <v>Recepción</v>
      </c>
    </row>
    <row r="94" spans="1:37" x14ac:dyDescent="0.25">
      <c r="A94" s="21" t="s">
        <v>72</v>
      </c>
      <c r="B94" s="3">
        <v>3</v>
      </c>
      <c r="C94" s="14" cm="1">
        <f t="array" ref="C94">_xlfn.LET(
    _xlpm.jugador, A94,
    _xlpm.idSel, AC94,
    _xlpm.invIDs, IF(B94=1,Inventario1!A:A,IF(B94=2,Inventario2!A:A,IF(B94=3,Inventario3!A:A,IF(B94=4,Inventario4!A:A,IF(B94=5,Inventario5!A:A,Inventario6!A:A))))),
    _xlpm.invCalidad, IF(B94=1,Inventario1!B:B,IF(B94=2,Inventario2!B:B,IF(B94=3,Inventario3!B:B,IF(B94=4,Inventario4!B:B,IF(B94=5,Inventario5!B:B,Inventario6!B:B))))),
    _xlpm.invTipos, IF(B94=1,Inventario1!C:C,IF(B94=2,Inventario2!C:C,IF(B94=3,Inventario3!C:C,IF(B94=4,Inventario4!C:C,IF(B94=5,Inventario5!C:C,Inventario6!C:C))))),
    _xlpm.invStats, IF(B94=1,Inventario1!D:H,IF(B94=2,Inventario2!D:H,IF(B94=3,Inventario3!D:H,IF(B94=4,Inventario4!D:H,IF(B94=5,Inventario5!D:H,Inventario6!D:H))))),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IF(ROW(A94)=2,"",IF(_xlfn._xlws.FILTER(Equipar!AC$2:AC93,Equipar!B$2:B93=B94)={0},"",_xlfn._xlws.FILTER(Equipar!AC$2:AC93,Equipar!B$2:B93=B94))),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8</v>
      </c>
      <c r="D94" s="4" cm="1">
        <f t="array" ref="D94">_xlfn.LET(
    _xlpm.jugador, A94,
    _xlpm.idSel, AC94,
    _xlpm.invIDs, IF(B94=1,Inventario1!A:A,IF(B94=2,Inventario2!A:A,IF(B94=3,Inventario3!A:A,IF(B94=4,Inventario4!A:A,IF(B94=5,Inventario5!A:A,Inventario6!A:A))))),
    _xlpm.invCalidad, IF(B94=1,Inventario1!B:B,IF(B94=2,Inventario2!B:B,IF(B94=3,Inventario3!B:B,IF(B94=4,Inventario4!B:B,IF(B94=5,Inventario5!B:B,Inventario6!B:B))))),
    _xlpm.invTipos, IF(B94=1,Inventario1!C:C,IF(B94=2,Inventario2!C:C,IF(B94=3,Inventario3!C:C,IF(B94=4,Inventario4!C:C,IF(B94=5,Inventario5!C:C,Inventario6!C:C))))),
    _xlpm.invStats, IF(B94=1,Inventario1!D:H,IF(B94=2,Inventario2!D:H,IF(B94=3,Inventario3!D:H,IF(B94=4,Inventario4!D:H,IF(B94=5,Inventario5!D:H,Inventario6!D:H))))),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IF(ROW(A94)=2,"",IF(_xlfn._xlws.FILTER(Equipar!AC$2:AC93,Equipar!B$2:B93=B94)={0},"",_xlfn._xlws.FILTER(Equipar!AC$2:AC93,Equipar!B$2:B93=B94))),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6</v>
      </c>
      <c r="E94" s="4" t="str" cm="1">
        <f t="array" ref="E94">_xlfn.LET(
    _xlpm.jugador, A94,
    _xlpm.idSel, AC94,
    _xlpm.invIDs, IF(B94=1,Inventario1!A:A,IF(B94=2,Inventario2!A:A,IF(B94=3,Inventario3!A:A,IF(B94=4,Inventario4!A:A,IF(B94=5,Inventario5!A:A,Inventario6!A:A))))),
    _xlpm.invCalidad, IF(B94=1,Inventario1!B:B,IF(B94=2,Inventario2!B:B,IF(B94=3,Inventario3!B:B,IF(B94=4,Inventario4!B:B,IF(B94=5,Inventario5!B:B,Inventario6!B:B))))),
    _xlpm.invTipos, IF(B94=1,Inventario1!C:C,IF(B94=2,Inventario2!C:C,IF(B94=3,Inventario3!C:C,IF(B94=4,Inventario4!C:C,IF(B94=5,Inventario5!C:C,Inventario6!C:C))))),
    _xlpm.invStats, IF(B94=1,Inventario1!D:H,IF(B94=2,Inventario2!D:H,IF(B94=3,Inventario3!D:H,IF(B94=4,Inventario4!D:H,IF(B94=5,Inventario5!D:H,Inventario6!D:H))))),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IF(ROW(A94)=2,"",IF(_xlfn._xlws.FILTER(Equipar!AC$2:AC93,Equipar!B$2:B93=B94)={0},"",_xlfn._xlws.FILTER(Equipar!AC$2:AC93,Equipar!B$2:B93=B94))),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94" s="4" t="str" cm="1">
        <f t="array" aca="1" ref="F94" ca="1">_xlfn.LET(
    _xlpm.jugador, B94,
    _xlpm.idSel, AD94,
    _xlpm.invIDs, IF(C94=1,Inventario1!B:B,IF(C94=2,Inventario2!B:B,IF(C94=3,Inventario3!B:B,IF(C94=4,Inventario4!B:B,IF(C94=5,Inventario5!B:B,Inventario6!B:B))))),
    _xlpm.invCalidad, IF(C94=1,Inventario1!C:C,IF(C94=2,Inventario2!C:C,IF(C94=3,Inventario3!C:C,IF(C94=4,Inventario4!C:C,IF(C94=5,Inventario5!C:C,Inventario6!C:C))))),
    _xlpm.invTipos, IF(C94=1,Inventario1!D:D,IF(C94=2,Inventario2!D:D,IF(C94=3,Inventario3!D:D,IF(C94=4,Inventario4!D:D,IF(C94=5,Inventario5!D:D,Inventario6!D:D))))),
    _xlpm.invStats, IF(C94=1,Inventario1!E:I,IF(C94=2,Inventario2!E:I,IF(C94=3,Inventario3!E:I,IF(C94=4,Inventario4!E:I,IF(C94=5,Inventario5!E:I,Inventario6!E:I))))),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IF(ROW(B94)=2,"",IF(_xlfn._xlws.FILTER(Equipar!AD$2:AD93,Equipar!C$2:C93=C94)={0},"",_xlfn._xlws.FILTER(Equipar!AD$2:AD93,Equipar!C$2:C93=C94))),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94" s="14" cm="1">
        <f t="array" ref="G94">_xlfn.LET(
    _xlpm.jugador, A94,
    _xlpm.idSel, AC94,
    _xlpm.invIDs, IF(B94=1,Inventario1!A:A,IF(B94=2,Inventario2!A:A,IF(B94=3,Inventario3!A:A,IF(B94=4,Inventario4!A:A,IF(B94=5,Inventario5!A:A,Inventario6!A:A))))),
    _xlpm.invCalidad, IF(B94=1,Inventario1!B:B,IF(B94=2,Inventario2!B:B,IF(B94=3,Inventario3!B:B,IF(B94=4,Inventario4!B:B,IF(B94=5,Inventario5!B:B,Inventario6!B:B))))),
    _xlpm.invTipos, IF(B94=1,Inventario1!C:C,IF(B94=2,Inventario2!C:C,IF(B94=3,Inventario3!C:C,IF(B94=4,Inventario4!C:C,IF(B94=5,Inventario5!C:C,Inventario6!C:C))))),
    _xlpm.invStats, IF(B94=1,Inventario1!D:H,IF(B94=2,Inventario2!D:H,IF(B94=3,Inventario3!D:H,IF(B94=4,Inventario4!D:H,IF(B94=5,Inventario5!D:H,Inventario6!D:H))))),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IF(ROW(A94)=2,"",IF(_xlfn._xlws.FILTER(Equipar!AC$2:AC93,Equipar!B$2:B93=B94)={0},"",_xlfn._xlws.FILTER(Equipar!AC$2:AC93,Equipar!B$2:B93=B94))),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H94" s="4" cm="1">
        <f t="array" ref="H94">_xlfn.LET(
    _xlpm.jugador, A94,
    _xlpm.idSel, AC94,
    _xlpm.invIDs, IF(B94=1,Inventario1!A:A,IF(B94=2,Inventario2!A:A,IF(B94=3,Inventario3!A:A,IF(B94=4,Inventario4!A:A,IF(B94=5,Inventario5!A:A,Inventario6!A:A))))),
    _xlpm.invCalidad, IF(B94=1,Inventario1!B:B,IF(B94=2,Inventario2!B:B,IF(B94=3,Inventario3!B:B,IF(B94=4,Inventario4!B:B,IF(B94=5,Inventario5!B:B,Inventario6!B:B))))),
    _xlpm.invTipos, IF(B94=1,Inventario1!C:C,IF(B94=2,Inventario2!C:C,IF(B94=3,Inventario3!C:C,IF(B94=4,Inventario4!C:C,IF(B94=5,Inventario5!C:C,Inventario6!C:C))))),
    _xlpm.invStats, IF(B94=1,Inventario1!D:H,IF(B94=2,Inventario2!D:H,IF(B94=3,Inventario3!D:H,IF(B94=4,Inventario4!D:H,IF(B94=5,Inventario5!D:H,Inventario6!D:H))))),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IF(ROW(A94)=2,"",IF(_xlfn._xlws.FILTER(Equipar!AC$2:AC93,Equipar!B$2:B93=B94)={0},"",_xlfn._xlws.FILTER(Equipar!AC$2:AC93,Equipar!B$2:B93=B94))),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155.61000000000001</v>
      </c>
      <c r="I94" s="4" cm="1">
        <f t="array" ref="I94">_xlfn.LET(
    _xlpm.jugador, A94,
    _xlpm.idSel, AC94,
    _xlpm.invIDs, IF(B94=1,Inventario1!A:A,IF(B94=2,Inventario2!A:A,IF(B94=3,Inventario3!A:A,IF(B94=4,Inventario4!A:A,IF(B94=5,Inventario5!A:A,Inventario6!A:A))))),
    _xlpm.invCalidad, IF(B94=1,Inventario1!B:B,IF(B94=2,Inventario2!B:B,IF(B94=3,Inventario3!B:B,IF(B94=4,Inventario4!B:B,IF(B94=5,Inventario5!B:B,Inventario6!B:B))))),
    _xlpm.invTipos, IF(B94=1,Inventario1!C:C,IF(B94=2,Inventario2!C:C,IF(B94=3,Inventario3!C:C,IF(B94=4,Inventario4!C:C,IF(B94=5,Inventario5!C:C,Inventario6!C:C))))),
    _xlpm.invStats, IF(B94=1,Inventario1!D:H,IF(B94=2,Inventario2!D:H,IF(B94=3,Inventario3!D:H,IF(B94=4,Inventario4!D:H,IF(B94=5,Inventario5!D:H,Inventario6!D:H))))),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IF(ROW(A94)=2,"",IF(_xlfn._xlws.FILTER(Equipar!AC$2:AC93,Equipar!B$2:B93=B94)={0},"",_xlfn._xlws.FILTER(Equipar!AC$2:AC93,Equipar!B$2:B93=B94))),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94" s="4" cm="1">
        <f t="array" aca="1" ref="J94" ca="1">_xlfn.LET(
    _xlpm.jugador, B94,
    _xlpm.idSel, AD94,
    _xlpm.invIDs, IF(C94=1,Inventario1!B:B,IF(C94=2,Inventario2!B:B,IF(C94=3,Inventario3!B:B,IF(C94=4,Inventario4!B:B,IF(C94=5,Inventario5!B:B,Inventario6!B:B))))),
    _xlpm.invCalidad, IF(C94=1,Inventario1!C:C,IF(C94=2,Inventario2!C:C,IF(C94=3,Inventario3!C:C,IF(C94=4,Inventario4!C:C,IF(C94=5,Inventario5!C:C,Inventario6!C:C))))),
    _xlpm.invTipos, IF(C94=1,Inventario1!D:D,IF(C94=2,Inventario2!D:D,IF(C94=3,Inventario3!D:D,IF(C94=4,Inventario4!D:D,IF(C94=5,Inventario5!D:D,Inventario6!D:D))))),
    _xlpm.invStats, IF(C94=1,Inventario1!E:I,IF(C94=2,Inventario2!E:I,IF(C94=3,Inventario3!E:I,IF(C94=4,Inventario4!E:I,IF(C94=5,Inventario5!E:I,Inventario6!E:I))))),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IF(ROW(B94)=2,"",IF(_xlfn._xlws.FILTER(Equipar!AD$2:AD93,Equipar!C$2:C93=C94)={0},"",_xlfn._xlws.FILTER(Equipar!AD$2:AD93,Equipar!C$2:C93=C94))),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94" s="4">
        <f t="shared" ca="1" si="4"/>
        <v>-56.610000000000014</v>
      </c>
      <c r="L94" s="4">
        <f t="shared" ca="1" si="5"/>
        <v>99</v>
      </c>
      <c r="M94" s="4">
        <f t="shared" ca="1" si="5"/>
        <v>155.61000000000001</v>
      </c>
      <c r="N94" s="4">
        <f t="shared" si="6"/>
        <v>155.61000000000001</v>
      </c>
      <c r="O94" s="4">
        <f t="shared" ca="1" si="6"/>
        <v>0</v>
      </c>
      <c r="P94" s="14" cm="1">
        <f t="array" aca="1" ref="P94" ca="1">_xlfn.LET(
    _xlpm.ptsPrinBase, _xlfn._xlws.FILTER(G:G, A:A=A94),
    _xlpm.ptsSecBase,  _xlfn._xlws.FILTER(H:H, A:A=A94),
    _xlpm.puntosPrin, _xlpm.ptsPrinBase + _xlfn._xlws.FILTER(B:B, A:A=A94)/1000,
    _xlpm.puntosSec,  _xlpm.ptsSecBase  + _xlfn._xlws.FILTER(B:B, A:A=A94)/1000,
    _xlpm.puntosPrinValidos, SUM(--(_xlpm.ptsPrinBase&gt;0)),
    _xlpm.puntosSecValidos,  SUM(--(_xlpm.ptsSecBase&gt;0)),
    _xlpm.clave, K94 + B94/1000,
    _xlpm.claves, _xlfn._xlws.FILTER(K:K + B:B/1000, A:A=A94),
    IF(AND(_xlpm.puntosPrinValidos&gt;=4,_xlpm.puntosSecValidos&gt;=2),IF(
        SUM(--(_xlpm.claves &gt; _xlpm.clave)) &lt; 4,
        C94,
        D94
    ),"No disp")
)</f>
        <v>6</v>
      </c>
      <c r="Q94" s="14" cm="1">
        <f t="array" aca="1" ref="Q94" ca="1">_xlfn.LET(
    _xlpm.puntosPrin, _xlfn._xlws.FILTER(G:G + B:B/1000, A:A=A94),
    _xlpm.puntosPrinValidos, SUM(--(_xlpm.puntosPrin&gt;1)),
    _xlpm.puntosTer, _xlfn._xlws.FILTER(I:I + B:B/1000, A:A=A94),
    _xlpm.puntosTerValidos, SUM(--(_xlpm.puntosTer&gt;1)),
    _xlpm.clave, L94 + B94/1000,
    _xlpm.claves, _xlfn._xlws.FILTER(L:L + B:B/1000, A:A=A94),
    IF(AND(_xlpm.puntosPrinValidos&gt;=4,_xlpm.puntosTerValidos&gt;=2),IF(
        SUM(--(_xlpm.claves &gt; _xlpm.clave)) &lt; 4,
        C94,
        E94
    ),"No disp")
)</f>
        <v>8</v>
      </c>
      <c r="R94" s="14" t="str" cm="1">
        <f t="array" aca="1" ref="R94" ca="1">_xlfn.LET(
    _xlpm.puntosPrin, _xlfn._xlws.FILTER(G:G + B:B/1000, A:A=A94),
    _xlpm.puntosPrinValidos, SUM(--(_xlpm.puntosPrin&gt;1)),
    _xlpm.puntosTer, _xlfn._xlws.FILTER(J:J + B:B/1000, A:A=A94),
    _xlpm.puntosTerValidos, SUM(--(_xlpm.puntosTer&gt;1)),
    _xlpm.clave, M94 + B94/1000,
    _xlpm.claves, _xlfn._xlws.FILTER(M:M + B:B/1000, A:A=A94),
    IF(AND(_xlpm.puntosPrinValidos&gt;=4,_xlpm.puntosTerValidos&gt;=2),IF(
        SUM(--(_xlpm.claves &gt; _xlpm.clave)) &lt; 4,
        C94,
        F94
    ),"No disp")
)</f>
        <v>No disp</v>
      </c>
      <c r="S94" s="14" cm="1">
        <f t="array" aca="1" ref="S94" ca="1">_xlfn.LET(
    _xlpm.ptsPrinBase, _xlfn._xlws.FILTER(G:G, A:A=A94),
    _xlpm.ptsSecBase,  _xlfn._xlws.FILTER(H:H, A:A=A94),
    _xlpm.puntosPrin, _xlpm.ptsPrinBase + _xlfn._xlws.FILTER(B:B, A:A=A94)/1000,
    _xlpm.puntosSec,  _xlpm.ptsSecBase  + _xlfn._xlws.FILTER(B:B, A:A=A94)/1000,
    _xlpm.puntosPrinValidos, SUM(--(_xlpm.ptsPrinBase&gt;0)),
    _xlpm.puntosSecValidos,  SUM(--(_xlpm.ptsSecBase&gt;0)),
    _xlpm.clave, K94 + B94/1000,
    _xlpm.claves, _xlfn._xlws.FILTER(K:K + B:B/1000, A:A=A94),
    IF(
        AND(_xlpm.puntosPrinValidos&gt;=2, _xlpm.puntosSecValidos&gt;=4),
        IF(
            SUM(--(_xlpm.claves &lt; _xlpm.clave)) &lt; 4,
            D94,
            C94
        ),
        "No disp"
    )
)</f>
        <v>6</v>
      </c>
      <c r="T94" s="14" cm="1">
        <f t="array" ref="T94">_xlfn.LET(
    _xlpm.puntosSec, _xlfn._xlws.FILTER(H:H + B:B/1000, A:A=A94),
    _xlpm.puntosSecValidos, SUM(--(_xlpm.puntosSec&gt;1)),
    _xlpm.puntosAlt, _xlfn._xlws.FILTER(I:I + B:B/1000, A:A=A94),
    _xlpm.puntosAltValidos, SUM(--(_xlpm.puntosAlt&gt;1)),
    _xlpm.clave, N94 + B94/1000,
    _xlpm.claves, _xlfn._xlws.FILTER(N:N + B:B/1000, A:A=A94),
    IF(AND(_xlpm.puntosSecValidos&gt;=4,_xlpm.puntosAltValidos&gt;=2),IF(
        SUM(--(_xlpm.claves &gt; _xlpm.clave)) &lt; 4,
        D94,
        E94
    ),"No disp")
)</f>
        <v>6</v>
      </c>
      <c r="U94" s="14" t="str" cm="1">
        <f t="array" aca="1" ref="U94" ca="1">_xlfn.LET(
    _xlpm.puntosSec, _xlfn._xlws.FILTER(H:H + B:B/1000, A:A=A94),
    _xlpm.puntosSecValidos, SUM(--(_xlpm.puntosSec&gt;1)),
    _xlpm.puntosAlt, _xlfn._xlws.FILTER(J:J + B:B/1000, A:A=A94),
    _xlpm.puntosAltValidos, SUM(--(_xlpm.puntosAlt&gt;1)),
    _xlpm.clave, O94 + B94/1000,
    _xlpm.claves, _xlfn._xlws.FILTER(O:O + B:B/1000, A:A=A94),
    IF(AND(_xlpm.puntosSecValidos&gt;=4,_xlpm.puntosAltValidos&gt;=2),IF(
        SUM(--(_xlpm.claves &gt; _xlpm.clave)) &lt; 4,
        D94,
        F94
    ),"No disp")
)</f>
        <v>No disp</v>
      </c>
      <c r="V94" s="4" cm="1">
        <f t="array" aca="1" ref="V94" ca="1">_xlfn.LET(
_xlpm.PrinIDs,_xlfn._xlws.FILTER(C:C,(A:A=A94)),
_xlpm.SecIDs,_xlfn._xlws.FILTER(D:D,(A:A=A94)),
_xlpm.TerIDs,_xlfn._xlws.FILTER(E:E,A:A=A94),
_xlpm.CuaIDs,_xlfn._xlws.FILTER(F:F,(A:A=A94)),
_xlpm.PrinPts,_xlfn._xlws.FILTER(G:G,(A:A=A94)),
_xlpm.SecPts,_xlfn._xlws.FILTER(H:H,(A:A=A94)),
_xlpm.TerPts,_xlfn._xlws.FILTER(I:I,(A:A=A94)),
_xlpm.CuaPts,_xlfn._xlws.FILTER(J:J,(A:A=A94)),
_xlpm.PSIds,_xlfn._xlws.FILTER(P:P,A:A=A94),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769.68000000000006</v>
      </c>
      <c r="W94" s="4" cm="1">
        <f t="array" aca="1" ref="W94" ca="1">_xlfn.LET(
_xlpm.PrinIDs,_xlfn._xlws.FILTER(C:C,(A:A=A94)),
_xlpm.SecIDs,_xlfn._xlws.FILTER(D:D,(A:A=A94)),
_xlpm.TerIDs,_xlfn._xlws.FILTER(E:E,A:A=A94),
_xlpm.CuaIDs,_xlfn._xlws.FILTER(F:F,(A:A=A94)),
_xlpm.PrinPts,_xlfn._xlws.FILTER(G:G,(A:A=A94)),
_xlpm.SecPts,_xlfn._xlws.FILTER(H:H,(A:A=A94)),
_xlpm.TerPts,_xlfn._xlws.FILTER(I:I,(A:A=A94)),
_xlpm.CuaPts,_xlfn._xlws.FILTER(J:J,(A:A=A94)),
_xlpm.PTIds,_xlfn._xlws.FILTER(Q:Q,A:A=A94),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718.74</v>
      </c>
      <c r="X94" s="4" cm="1">
        <f t="array" aca="1" ref="X94" ca="1">_xlfn.LET(
_xlpm.PrinIDs,_xlfn._xlws.FILTER(C:C,(A:A=A94)),
_xlpm.SecIDs,_xlfn._xlws.FILTER(D:D,(A:A=A94)),
_xlpm.TerIDs,_xlfn._xlws.FILTER(E:E,A:A=A94),
_xlpm.CuaIDs,_xlfn._xlws.FILTER(F:F,(A:A=A94)),
_xlpm.PrinPts,_xlfn._xlws.FILTER(G:G,(A:A=A94)),
_xlpm.SecPts,_xlfn._xlws.FILTER(H:H,(A:A=A94)),
_xlpm.TerPts,_xlfn._xlws.FILTER(I:I,(A:A=A94)),
_xlpm.CuaPts,_xlfn._xlws.FILTER(J:J,(A:A=A94)),
_xlpm.PCIds,_xlfn._xlws.FILTER(R:R,A:A=A94),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94" s="4" cm="1">
        <f t="array" aca="1" ref="Y94" ca="1">_xlfn.LET(
_xlpm.PrinIDs,_xlfn._xlws.FILTER(C:C,(A:A=A94)),
_xlpm.SecIDs,_xlfn._xlws.FILTER(D:D,(A:A=A94)),
_xlpm.AltIDs,_xlfn._xlws.FILTER(E:E,A:A=A94),
_xlpm.PrinPts,_xlfn._xlws.FILTER(G:G,(A:A=A94)),
_xlpm.SecPts,_xlfn._xlws.FILTER(H:H,(A:A=A94)),
_xlpm.AltPts,_xlfn._xlws.FILTER(I:I,(A:A=A94)),
_xlpm.SPIds,_xlfn._xlws.FILTER(S:S,A:A=A94),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790.92000000000007</v>
      </c>
      <c r="Z94" s="4" cm="1">
        <f t="array" aca="1" ref="Z94" ca="1">_xlfn.LET(
_xlpm.PrinIDs,_xlfn._xlws.FILTER(C:C,(A:A=A94)),
_xlpm.SecIDs,_xlfn._xlws.FILTER(D:D,(A:A=A94)),
_xlpm.TerIDs,_xlfn._xlws.FILTER(E:E,A:A=A94),
_xlpm.CuaIDs,_xlfn._xlws.FILTER(F:F,(A:A=A94)),
_xlpm.PrinPts,_xlfn._xlws.FILTER(G:G,(A:A=A94)),
_xlpm.SecPts,_xlfn._xlws.FILTER(H:H,(A:A=A94)),
_xlpm.TerPts,_xlfn._xlws.FILTER(I:I,(A:A=A94)),
_xlpm.CuaPts,_xlfn._xlws.FILTER(J:J,(A:A=A94)),
_xlpm.STIds,_xlfn._xlws.FILTER(T:T,A:A=A94),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781.65000000000009</v>
      </c>
      <c r="AA94" s="4" cm="1">
        <f t="array" aca="1" ref="AA94" ca="1">_xlfn.LET(
_xlpm.PrinIDs,_xlfn._xlws.FILTER(C:C,(A:A=A94)),
_xlpm.SecIDs,_xlfn._xlws.FILTER(D:D,(A:A=A94)),
_xlpm.TerIDs,_xlfn._xlws.FILTER(E:E,A:A=A94),
_xlpm.CuaIDs,_xlfn._xlws.FILTER(F:F,(A:A=A94)),
_xlpm.PrinPts,_xlfn._xlws.FILTER(G:G,(A:A=A94)),
_xlpm.SecPts,_xlfn._xlws.FILTER(H:H,(A:A=A94)),
_xlpm.TerPts,_xlfn._xlws.FILTER(I:I,(A:A=A94)),
_xlpm.CuaPts,_xlfn._xlws.FILTER(J:J,(A:A=A94)),
_xlpm.SCIds,_xlfn._xlws.FILTER(U:U,A:A=A94),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94" s="14">
        <f t="shared" ca="1" si="7"/>
        <v>6</v>
      </c>
      <c r="AC94" s="14">
        <v>6</v>
      </c>
      <c r="AD94" s="4"/>
      <c r="AE94" s="14" t="str">
        <f ca="1">IF(ISNUMBER(AC94),
IF($B94=1,VLOOKUP($AC94,Inventario1!$A:$H,2),
IF($B94=2,VLOOKUP($AC94,Inventario2!$A:$H,2),
IF($B94=3,VLOOKUP($AC94,Inventario3!$A:$H,2),
IF($B94=4,VLOOKUP($AC94,Inventario4!$A:$H,2),
IF($B94=5,VLOOKUP($AC94,Inventario5!$A:$H,2),
VLOOKUP($AC94,Inventario6!$A:$H,2)
))))),"No equipado")</f>
        <v>Legendario</v>
      </c>
      <c r="AF94" s="14" t="str">
        <f ca="1">IF(ISNUMBER(AC94),
IF($B94=1,VLOOKUP($AC94,Inventario1!$A:$H,3),
IF($B94=2,VLOOKUP($AC94,Inventario2!$A:$H,3),
IF($B94=3,VLOOKUP($AC94,Inventario3!$A:$H,3),
IF($B94=4,VLOOKUP($AC94,Inventario4!$A:$H,3),
IF($B94=5,VLOOKUP($AC94,Inventario5!$A:$H,3),
VLOOKUP($AC94,Inventario6!$A:$H,3)
))))),"")</f>
        <v>Incremento de poder</v>
      </c>
      <c r="AG94" s="14" t="str">
        <f ca="1">IF(ISNUMBER(AC94),
IF($B94=1,VLOOKUP($AC94,Inventario1!$A:$H,4),
IF($B94=2,VLOOKUP($AC94,Inventario2!$A:$H,4),
IF($B94=3,VLOOKUP($AC94,Inventario3!$A:$H,4),
IF($B94=4,VLOOKUP($AC94,Inventario4!$A:$H,4),
IF($B94=5,VLOOKUP($AC94,Inventario5!$A:$H,4),
VLOOKUP($AC94,Inventario6!$A:$H,4)
))))),"")</f>
        <v>Saque</v>
      </c>
      <c r="AH94" s="14" t="str">
        <f ca="1">IF(ISNUMBER(AC94),
IF($B94=1,VLOOKUP($AC94,Inventario1!$A:$H,5),
IF($B94=2,VLOOKUP($AC94,Inventario2!$A:$H,5),
IF($B94=3,VLOOKUP($AC94,Inventario3!$A:$H,5),
IF($B94=4,VLOOKUP($AC94,Inventario4!$A:$H,5),
IF($B94=5,VLOOKUP($AC94,Inventario5!$A:$H,5),
VLOOKUP($AC94,Inventario6!$A:$H,5)
))))),"")</f>
        <v>Recepción</v>
      </c>
      <c r="AI94" s="14" t="str">
        <f ca="1">IF(ISNUMBER(AC94),
IF($B94=1,VLOOKUP($AC94,Inventario1!$A:$H,6),
IF($B94=2,VLOOKUP($AC94,Inventario2!$A:$H,6),
IF($B94=3,VLOOKUP($AC94,Inventario3!$A:$H,6),
IF($B94=4,VLOOKUP($AC94,Inventario4!$A:$H,6),
IF($B94=5,VLOOKUP($AC94,Inventario5!$A:$H,6),
VLOOKUP($AC94,Inventario6!$A:$H,6)
))))),"")</f>
        <v>Ataque poderoso</v>
      </c>
      <c r="AJ94" s="14" t="str">
        <f ca="1">IF(ISNUMBER(AC94),
IF($B94=1,VLOOKUP($AC94,Inventario1!$A:$H,7),
IF($B94=2,VLOOKUP($AC94,Inventario2!$A:$H,7),
IF($B94=3,VLOOKUP($AC94,Inventario3!$A:$H,7),
IF($B94=4,VLOOKUP($AC94,Inventario4!$A:$H,7),
IF($B94=5,VLOOKUP($AC94,Inventario5!$A:$H,7),
VLOOKUP($AC94,Inventario6!$A:$H,7)
))))),"")</f>
        <v>Recepción</v>
      </c>
      <c r="AK94" s="15" t="str">
        <f ca="1">IF(ISNUMBER(AC94),
IF($B94=1,VLOOKUP($AC94,Inventario1!$A:$H,8),
IF($B94=2,VLOOKUP($AC94,Inventario2!$A:$H,8),
IF($B94=3,VLOOKUP($AC94,Inventario3!$A:$H,8),
IF($B94=4,VLOOKUP($AC94,Inventario4!$A:$H,8),
IF($B94=5,VLOOKUP($AC94,Inventario5!$A:$H,8),
VLOOKUP($AC94,Inventario6!$A:$H,8)
))))),"")</f>
        <v>Técnica defensiva</v>
      </c>
    </row>
    <row r="95" spans="1:37" x14ac:dyDescent="0.25">
      <c r="A95" s="21" t="s">
        <v>72</v>
      </c>
      <c r="B95" s="3">
        <v>4</v>
      </c>
      <c r="C95" s="14" cm="1">
        <f t="array" ref="C95">_xlfn.LET(
    _xlpm.jugador, A95,
    _xlpm.idSel, AC95,
    _xlpm.invIDs, IF(B95=1,Inventario1!A:A,IF(B95=2,Inventario2!A:A,IF(B95=3,Inventario3!A:A,IF(B95=4,Inventario4!A:A,IF(B95=5,Inventario5!A:A,Inventario6!A:A))))),
    _xlpm.invCalidad, IF(B95=1,Inventario1!B:B,IF(B95=2,Inventario2!B:B,IF(B95=3,Inventario3!B:B,IF(B95=4,Inventario4!B:B,IF(B95=5,Inventario5!B:B,Inventario6!B:B))))),
    _xlpm.invTipos, IF(B95=1,Inventario1!C:C,IF(B95=2,Inventario2!C:C,IF(B95=3,Inventario3!C:C,IF(B95=4,Inventario4!C:C,IF(B95=5,Inventario5!C:C,Inventario6!C:C))))),
    _xlpm.invStats, IF(B95=1,Inventario1!D:H,IF(B95=2,Inventario2!D:H,IF(B95=3,Inventario3!D:H,IF(B95=4,Inventario4!D:H,IF(B95=5,Inventario5!D:H,Inventario6!D:H))))),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IF(ROW(A95)=2,"",IF(_xlfn._xlws.FILTER(Equipar!AC$2:AC94,Equipar!B$2:B94=B95)={0},"",_xlfn._xlws.FILTER(Equipar!AC$2:AC94,Equipar!B$2:B94=B95))),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8</v>
      </c>
      <c r="D95" s="4" cm="1">
        <f t="array" ref="D95">_xlfn.LET(
    _xlpm.jugador, A95,
    _xlpm.idSel, AC95,
    _xlpm.invIDs, IF(B95=1,Inventario1!A:A,IF(B95=2,Inventario2!A:A,IF(B95=3,Inventario3!A:A,IF(B95=4,Inventario4!A:A,IF(B95=5,Inventario5!A:A,Inventario6!A:A))))),
    _xlpm.invCalidad, IF(B95=1,Inventario1!B:B,IF(B95=2,Inventario2!B:B,IF(B95=3,Inventario3!B:B,IF(B95=4,Inventario4!B:B,IF(B95=5,Inventario5!B:B,Inventario6!B:B))))),
    _xlpm.invTipos, IF(B95=1,Inventario1!C:C,IF(B95=2,Inventario2!C:C,IF(B95=3,Inventario3!C:C,IF(B95=4,Inventario4!C:C,IF(B95=5,Inventario5!C:C,Inventario6!C:C))))),
    _xlpm.invStats, IF(B95=1,Inventario1!D:H,IF(B95=2,Inventario2!D:H,IF(B95=3,Inventario3!D:H,IF(B95=4,Inventario4!D:H,IF(B95=5,Inventario5!D:H,Inventario6!D:H))))),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IF(ROW(A95)=2,"",IF(_xlfn._xlws.FILTER(Equipar!AC$2:AC94,Equipar!B$2:B94=B95)={0},"",_xlfn._xlws.FILTER(Equipar!AC$2:AC94,Equipar!B$2:B94=B95))),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17</v>
      </c>
      <c r="E95" s="4" cm="1">
        <f t="array" ref="E95">_xlfn.LET(
    _xlpm.jugador, A95,
    _xlpm.idSel, AC95,
    _xlpm.invIDs, IF(B95=1,Inventario1!A:A,IF(B95=2,Inventario2!A:A,IF(B95=3,Inventario3!A:A,IF(B95=4,Inventario4!A:A,IF(B95=5,Inventario5!A:A,Inventario6!A:A))))),
    _xlpm.invCalidad, IF(B95=1,Inventario1!B:B,IF(B95=2,Inventario2!B:B,IF(B95=3,Inventario3!B:B,IF(B95=4,Inventario4!B:B,IF(B95=5,Inventario5!B:B,Inventario6!B:B))))),
    _xlpm.invTipos, IF(B95=1,Inventario1!C:C,IF(B95=2,Inventario2!C:C,IF(B95=3,Inventario3!C:C,IF(B95=4,Inventario4!C:C,IF(B95=5,Inventario5!C:C,Inventario6!C:C))))),
    _xlpm.invStats, IF(B95=1,Inventario1!D:H,IF(B95=2,Inventario2!D:H,IF(B95=3,Inventario3!D:H,IF(B95=4,Inventario4!D:H,IF(B95=5,Inventario5!D:H,Inventario6!D:H))))),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IF(ROW(A95)=2,"",IF(_xlfn._xlws.FILTER(Equipar!AC$2:AC94,Equipar!B$2:B94=B95)={0},"",_xlfn._xlws.FILTER(Equipar!AC$2:AC94,Equipar!B$2:B94=B95))),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166</v>
      </c>
      <c r="F95" s="4" t="str" cm="1">
        <f t="array" aca="1" ref="F95" ca="1">_xlfn.LET(
    _xlpm.jugador, B95,
    _xlpm.idSel, AD95,
    _xlpm.invIDs, IF(C95=1,Inventario1!B:B,IF(C95=2,Inventario2!B:B,IF(C95=3,Inventario3!B:B,IF(C95=4,Inventario4!B:B,IF(C95=5,Inventario5!B:B,Inventario6!B:B))))),
    _xlpm.invCalidad, IF(C95=1,Inventario1!C:C,IF(C95=2,Inventario2!C:C,IF(C95=3,Inventario3!C:C,IF(C95=4,Inventario4!C:C,IF(C95=5,Inventario5!C:C,Inventario6!C:C))))),
    _xlpm.invTipos, IF(C95=1,Inventario1!D:D,IF(C95=2,Inventario2!D:D,IF(C95=3,Inventario3!D:D,IF(C95=4,Inventario4!D:D,IF(C95=5,Inventario5!D:D,Inventario6!D:D))))),
    _xlpm.invStats, IF(C95=1,Inventario1!E:I,IF(C95=2,Inventario2!E:I,IF(C95=3,Inventario3!E:I,IF(C95=4,Inventario4!E:I,IF(C95=5,Inventario5!E:I,Inventario6!E:I))))),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IF(ROW(B95)=2,"",IF(_xlfn._xlws.FILTER(Equipar!AD$2:AD94,Equipar!C$2:C94=C95)={0},"",_xlfn._xlws.FILTER(Equipar!AD$2:AD94,Equipar!C$2:C94=C95))),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95" s="14" cm="1">
        <f t="array" ref="G95">_xlfn.LET(
    _xlpm.jugador, A95,
    _xlpm.idSel, AC95,
    _xlpm.invIDs, IF(B95=1,Inventario1!A:A,IF(B95=2,Inventario2!A:A,IF(B95=3,Inventario3!A:A,IF(B95=4,Inventario4!A:A,IF(B95=5,Inventario5!A:A,Inventario6!A:A))))),
    _xlpm.invCalidad, IF(B95=1,Inventario1!B:B,IF(B95=2,Inventario2!B:B,IF(B95=3,Inventario3!B:B,IF(B95=4,Inventario4!B:B,IF(B95=5,Inventario5!B:B,Inventario6!B:B))))),
    _xlpm.invTipos, IF(B95=1,Inventario1!C:C,IF(B95=2,Inventario2!C:C,IF(B95=3,Inventario3!C:C,IF(B95=4,Inventario4!C:C,IF(B95=5,Inventario5!C:C,Inventario6!C:C))))),
    _xlpm.invStats, IF(B95=1,Inventario1!D:H,IF(B95=2,Inventario2!D:H,IF(B95=3,Inventario3!D:H,IF(B95=4,Inventario4!D:H,IF(B95=5,Inventario5!D:H,Inventario6!D:H))))),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IF(ROW(A95)=2,"",IF(_xlfn._xlws.FILTER(Equipar!AC$2:AC94,Equipar!B$2:B94=B95)={0},"",_xlfn._xlws.FILTER(Equipar!AC$2:AC94,Equipar!B$2:B94=B95))),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90</v>
      </c>
      <c r="H95" s="4" cm="1">
        <f t="array" ref="H95">_xlfn.LET(
    _xlpm.jugador, A95,
    _xlpm.idSel, AC95,
    _xlpm.invIDs, IF(B95=1,Inventario1!A:A,IF(B95=2,Inventario2!A:A,IF(B95=3,Inventario3!A:A,IF(B95=4,Inventario4!A:A,IF(B95=5,Inventario5!A:A,Inventario6!A:A))))),
    _xlpm.invCalidad, IF(B95=1,Inventario1!B:B,IF(B95=2,Inventario2!B:B,IF(B95=3,Inventario3!B:B,IF(B95=4,Inventario4!B:B,IF(B95=5,Inventario5!B:B,Inventario6!B:B))))),
    _xlpm.invTipos, IF(B95=1,Inventario1!C:C,IF(B95=2,Inventario2!C:C,IF(B95=3,Inventario3!C:C,IF(B95=4,Inventario4!C:C,IF(B95=5,Inventario5!C:C,Inventario6!C:C))))),
    _xlpm.invStats, IF(B95=1,Inventario1!D:H,IF(B95=2,Inventario2!D:H,IF(B95=3,Inventario3!D:H,IF(B95=4,Inventario4!D:H,IF(B95=5,Inventario5!D:H,Inventario6!D:H))))),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IF(ROW(A95)=2,"",IF(_xlfn._xlws.FILTER(Equipar!AC$2:AC94,Equipar!B$2:B94=B95)={0},"",_xlfn._xlws.FILTER(Equipar!AC$2:AC94,Equipar!B$2:B94=B95))),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126</v>
      </c>
      <c r="I95" s="4" cm="1">
        <f t="array" ref="I95">_xlfn.LET(
    _xlpm.jugador, A95,
    _xlpm.idSel, AC95,
    _xlpm.invIDs, IF(B95=1,Inventario1!A:A,IF(B95=2,Inventario2!A:A,IF(B95=3,Inventario3!A:A,IF(B95=4,Inventario4!A:A,IF(B95=5,Inventario5!A:A,Inventario6!A:A))))),
    _xlpm.invCalidad, IF(B95=1,Inventario1!B:B,IF(B95=2,Inventario2!B:B,IF(B95=3,Inventario3!B:B,IF(B95=4,Inventario4!B:B,IF(B95=5,Inventario5!B:B,Inventario6!B:B))))),
    _xlpm.invTipos, IF(B95=1,Inventario1!C:C,IF(B95=2,Inventario2!C:C,IF(B95=3,Inventario3!C:C,IF(B95=4,Inventario4!C:C,IF(B95=5,Inventario5!C:C,Inventario6!C:C))))),
    _xlpm.invStats, IF(B95=1,Inventario1!D:H,IF(B95=2,Inventario2!D:H,IF(B95=3,Inventario3!D:H,IF(B95=4,Inventario4!D:H,IF(B95=5,Inventario5!D:H,Inventario6!D:H))))),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IF(ROW(A95)=2,"",IF(_xlfn._xlws.FILTER(Equipar!AC$2:AC94,Equipar!B$2:B94=B95)={0},"",_xlfn._xlws.FILTER(Equipar!AC$2:AC94,Equipar!B$2:B94=B95))),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J95" s="4" cm="1">
        <f t="array" aca="1" ref="J95" ca="1">_xlfn.LET(
    _xlpm.jugador, B95,
    _xlpm.idSel, AD95,
    _xlpm.invIDs, IF(C95=1,Inventario1!B:B,IF(C95=2,Inventario2!B:B,IF(C95=3,Inventario3!B:B,IF(C95=4,Inventario4!B:B,IF(C95=5,Inventario5!B:B,Inventario6!B:B))))),
    _xlpm.invCalidad, IF(C95=1,Inventario1!C:C,IF(C95=2,Inventario2!C:C,IF(C95=3,Inventario3!C:C,IF(C95=4,Inventario4!C:C,IF(C95=5,Inventario5!C:C,Inventario6!C:C))))),
    _xlpm.invTipos, IF(C95=1,Inventario1!D:D,IF(C95=2,Inventario2!D:D,IF(C95=3,Inventario3!D:D,IF(C95=4,Inventario4!D:D,IF(C95=5,Inventario5!D:D,Inventario6!D:D))))),
    _xlpm.invStats, IF(C95=1,Inventario1!E:I,IF(C95=2,Inventario2!E:I,IF(C95=3,Inventario3!E:I,IF(C95=4,Inventario4!E:I,IF(C95=5,Inventario5!E:I,Inventario6!E:I))))),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IF(ROW(B95)=2,"",IF(_xlfn._xlws.FILTER(Equipar!AD$2:AD94,Equipar!C$2:C94=C95)={0},"",_xlfn._xlws.FILTER(Equipar!AD$2:AD94,Equipar!C$2:C94=C95))),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95" s="4">
        <f t="shared" si="4"/>
        <v>-36</v>
      </c>
      <c r="L95" s="4">
        <f t="shared" si="5"/>
        <v>-29.700000000000003</v>
      </c>
      <c r="M95" s="4">
        <f t="shared" ca="1" si="5"/>
        <v>126</v>
      </c>
      <c r="N95" s="4">
        <f t="shared" si="6"/>
        <v>6.2999999999999972</v>
      </c>
      <c r="O95" s="4">
        <f t="shared" ca="1" si="6"/>
        <v>119.7</v>
      </c>
      <c r="P95" s="14" cm="1">
        <f t="array" aca="1" ref="P95" ca="1">_xlfn.LET(
    _xlpm.ptsPrinBase, _xlfn._xlws.FILTER(G:G, A:A=A95),
    _xlpm.ptsSecBase,  _xlfn._xlws.FILTER(H:H, A:A=A95),
    _xlpm.puntosPrin, _xlpm.ptsPrinBase + _xlfn._xlws.FILTER(B:B, A:A=A95)/1000,
    _xlpm.puntosSec,  _xlpm.ptsSecBase  + _xlfn._xlws.FILTER(B:B, A:A=A95)/1000,
    _xlpm.puntosPrinValidos, SUM(--(_xlpm.ptsPrinBase&gt;0)),
    _xlpm.puntosSecValidos,  SUM(--(_xlpm.ptsSecBase&gt;0)),
    _xlpm.clave, K95 + B95/1000,
    _xlpm.claves, _xlfn._xlws.FILTER(K:K + B:B/1000, A:A=A95),
    IF(AND(_xlpm.puntosPrinValidos&gt;=4,_xlpm.puntosSecValidos&gt;=2),IF(
        SUM(--(_xlpm.claves &gt; _xlpm.clave)) &lt; 4,
        C95,
        D95
    ),"No disp")
)</f>
        <v>17</v>
      </c>
      <c r="Q95" s="14" cm="1">
        <f t="array" aca="1" ref="Q95" ca="1">_xlfn.LET(
    _xlpm.puntosPrin, _xlfn._xlws.FILTER(G:G + B:B/1000, A:A=A95),
    _xlpm.puntosPrinValidos, SUM(--(_xlpm.puntosPrin&gt;1)),
    _xlpm.puntosTer, _xlfn._xlws.FILTER(I:I + B:B/1000, A:A=A95),
    _xlpm.puntosTerValidos, SUM(--(_xlpm.puntosTer&gt;1)),
    _xlpm.clave, L95 + B95/1000,
    _xlpm.claves, _xlfn._xlws.FILTER(L:L + B:B/1000, A:A=A95),
    IF(AND(_xlpm.puntosPrinValidos&gt;=4,_xlpm.puntosTerValidos&gt;=2),IF(
        SUM(--(_xlpm.claves &gt; _xlpm.clave)) &lt; 4,
        C95,
        E95
    ),"No disp")
)</f>
        <v>166</v>
      </c>
      <c r="R95" s="14" t="str" cm="1">
        <f t="array" aca="1" ref="R95" ca="1">_xlfn.LET(
    _xlpm.puntosPrin, _xlfn._xlws.FILTER(G:G + B:B/1000, A:A=A95),
    _xlpm.puntosPrinValidos, SUM(--(_xlpm.puntosPrin&gt;1)),
    _xlpm.puntosTer, _xlfn._xlws.FILTER(J:J + B:B/1000, A:A=A95),
    _xlpm.puntosTerValidos, SUM(--(_xlpm.puntosTer&gt;1)),
    _xlpm.clave, M95 + B95/1000,
    _xlpm.claves, _xlfn._xlws.FILTER(M:M + B:B/1000, A:A=A95),
    IF(AND(_xlpm.puntosPrinValidos&gt;=4,_xlpm.puntosTerValidos&gt;=2),IF(
        SUM(--(_xlpm.claves &gt; _xlpm.clave)) &lt; 4,
        C95,
        F95
    ),"No disp")
)</f>
        <v>No disp</v>
      </c>
      <c r="S95" s="14" cm="1">
        <f t="array" aca="1" ref="S95" ca="1">_xlfn.LET(
    _xlpm.ptsPrinBase, _xlfn._xlws.FILTER(G:G, A:A=A95),
    _xlpm.ptsSecBase,  _xlfn._xlws.FILTER(H:H, A:A=A95),
    _xlpm.puntosPrin, _xlpm.ptsPrinBase + _xlfn._xlws.FILTER(B:B, A:A=A95)/1000,
    _xlpm.puntosSec,  _xlpm.ptsSecBase  + _xlfn._xlws.FILTER(B:B, A:A=A95)/1000,
    _xlpm.puntosPrinValidos, SUM(--(_xlpm.ptsPrinBase&gt;0)),
    _xlpm.puntosSecValidos,  SUM(--(_xlpm.ptsSecBase&gt;0)),
    _xlpm.clave, K95 + B95/1000,
    _xlpm.claves, _xlfn._xlws.FILTER(K:K + B:B/1000, A:A=A95),
    IF(
        AND(_xlpm.puntosPrinValidos&gt;=2, _xlpm.puntosSecValidos&gt;=4),
        IF(
            SUM(--(_xlpm.claves &lt; _xlpm.clave)) &lt; 4,
            D95,
            C95
        ),
        "No disp"
    )
)</f>
        <v>17</v>
      </c>
      <c r="T95" s="14" cm="1">
        <f t="array" ref="T95">_xlfn.LET(
    _xlpm.puntosSec, _xlfn._xlws.FILTER(H:H + B:B/1000, A:A=A95),
    _xlpm.puntosSecValidos, SUM(--(_xlpm.puntosSec&gt;1)),
    _xlpm.puntosAlt, _xlfn._xlws.FILTER(I:I + B:B/1000, A:A=A95),
    _xlpm.puntosAltValidos, SUM(--(_xlpm.puntosAlt&gt;1)),
    _xlpm.clave, N95 + B95/1000,
    _xlpm.claves, _xlfn._xlws.FILTER(N:N + B:B/1000, A:A=A95),
    IF(AND(_xlpm.puntosSecValidos&gt;=4,_xlpm.puntosAltValidos&gt;=2),IF(
        SUM(--(_xlpm.claves &gt; _xlpm.clave)) &lt; 4,
        D95,
        E95
    ),"No disp")
)</f>
        <v>17</v>
      </c>
      <c r="U95" s="14" t="str" cm="1">
        <f t="array" aca="1" ref="U95" ca="1">_xlfn.LET(
    _xlpm.puntosSec, _xlfn._xlws.FILTER(H:H + B:B/1000, A:A=A95),
    _xlpm.puntosSecValidos, SUM(--(_xlpm.puntosSec&gt;1)),
    _xlpm.puntosAlt, _xlfn._xlws.FILTER(J:J + B:B/1000, A:A=A95),
    _xlpm.puntosAltValidos, SUM(--(_xlpm.puntosAlt&gt;1)),
    _xlpm.clave, O95 + B95/1000,
    _xlpm.claves, _xlfn._xlws.FILTER(O:O + B:B/1000, A:A=A95),
    IF(AND(_xlpm.puntosSecValidos&gt;=4,_xlpm.puntosAltValidos&gt;=2),IF(
        SUM(--(_xlpm.claves &gt; _xlpm.clave)) &lt; 4,
        D95,
        F95
    ),"No disp")
)</f>
        <v>No disp</v>
      </c>
      <c r="V95" s="4" cm="1">
        <f t="array" aca="1" ref="V95" ca="1">_xlfn.LET(
_xlpm.PrinIDs,_xlfn._xlws.FILTER(C:C,(A:A=A95)),
_xlpm.SecIDs,_xlfn._xlws.FILTER(D:D,(A:A=A95)),
_xlpm.TerIDs,_xlfn._xlws.FILTER(E:E,A:A=A95),
_xlpm.CuaIDs,_xlfn._xlws.FILTER(F:F,(A:A=A95)),
_xlpm.PrinPts,_xlfn._xlws.FILTER(G:G,(A:A=A95)),
_xlpm.SecPts,_xlfn._xlws.FILTER(H:H,(A:A=A95)),
_xlpm.TerPts,_xlfn._xlws.FILTER(I:I,(A:A=A95)),
_xlpm.CuaPts,_xlfn._xlws.FILTER(J:J,(A:A=A95)),
_xlpm.PSIds,_xlfn._xlws.FILTER(P:P,A:A=A95),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769.68000000000006</v>
      </c>
      <c r="W95" s="4" cm="1">
        <f t="array" aca="1" ref="W95" ca="1">_xlfn.LET(
_xlpm.PrinIDs,_xlfn._xlws.FILTER(C:C,(A:A=A95)),
_xlpm.SecIDs,_xlfn._xlws.FILTER(D:D,(A:A=A95)),
_xlpm.TerIDs,_xlfn._xlws.FILTER(E:E,A:A=A95),
_xlpm.CuaIDs,_xlfn._xlws.FILTER(F:F,(A:A=A95)),
_xlpm.PrinPts,_xlfn._xlws.FILTER(G:G,(A:A=A95)),
_xlpm.SecPts,_xlfn._xlws.FILTER(H:H,(A:A=A95)),
_xlpm.TerPts,_xlfn._xlws.FILTER(I:I,(A:A=A95)),
_xlpm.CuaPts,_xlfn._xlws.FILTER(J:J,(A:A=A95)),
_xlpm.PTIds,_xlfn._xlws.FILTER(Q:Q,A:A=A95),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718.74</v>
      </c>
      <c r="X95" s="4" cm="1">
        <f t="array" aca="1" ref="X95" ca="1">_xlfn.LET(
_xlpm.PrinIDs,_xlfn._xlws.FILTER(C:C,(A:A=A95)),
_xlpm.SecIDs,_xlfn._xlws.FILTER(D:D,(A:A=A95)),
_xlpm.TerIDs,_xlfn._xlws.FILTER(E:E,A:A=A95),
_xlpm.CuaIDs,_xlfn._xlws.FILTER(F:F,(A:A=A95)),
_xlpm.PrinPts,_xlfn._xlws.FILTER(G:G,(A:A=A95)),
_xlpm.SecPts,_xlfn._xlws.FILTER(H:H,(A:A=A95)),
_xlpm.TerPts,_xlfn._xlws.FILTER(I:I,(A:A=A95)),
_xlpm.CuaPts,_xlfn._xlws.FILTER(J:J,(A:A=A95)),
_xlpm.PCIds,_xlfn._xlws.FILTER(R:R,A:A=A95),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95" s="4" cm="1">
        <f t="array" aca="1" ref="Y95" ca="1">_xlfn.LET(
_xlpm.PrinIDs,_xlfn._xlws.FILTER(C:C,(A:A=A95)),
_xlpm.SecIDs,_xlfn._xlws.FILTER(D:D,(A:A=A95)),
_xlpm.AltIDs,_xlfn._xlws.FILTER(E:E,A:A=A95),
_xlpm.PrinPts,_xlfn._xlws.FILTER(G:G,(A:A=A95)),
_xlpm.SecPts,_xlfn._xlws.FILTER(H:H,(A:A=A95)),
_xlpm.AltPts,_xlfn._xlws.FILTER(I:I,(A:A=A95)),
_xlpm.SPIds,_xlfn._xlws.FILTER(S:S,A:A=A95),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790.92000000000007</v>
      </c>
      <c r="Z95" s="4" cm="1">
        <f t="array" aca="1" ref="Z95" ca="1">_xlfn.LET(
_xlpm.PrinIDs,_xlfn._xlws.FILTER(C:C,(A:A=A95)),
_xlpm.SecIDs,_xlfn._xlws.FILTER(D:D,(A:A=A95)),
_xlpm.TerIDs,_xlfn._xlws.FILTER(E:E,A:A=A95),
_xlpm.CuaIDs,_xlfn._xlws.FILTER(F:F,(A:A=A95)),
_xlpm.PrinPts,_xlfn._xlws.FILTER(G:G,(A:A=A95)),
_xlpm.SecPts,_xlfn._xlws.FILTER(H:H,(A:A=A95)),
_xlpm.TerPts,_xlfn._xlws.FILTER(I:I,(A:A=A95)),
_xlpm.CuaPts,_xlfn._xlws.FILTER(J:J,(A:A=A95)),
_xlpm.STIds,_xlfn._xlws.FILTER(T:T,A:A=A95),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781.65000000000009</v>
      </c>
      <c r="AA95" s="4" cm="1">
        <f t="array" aca="1" ref="AA95" ca="1">_xlfn.LET(
_xlpm.PrinIDs,_xlfn._xlws.FILTER(C:C,(A:A=A95)),
_xlpm.SecIDs,_xlfn._xlws.FILTER(D:D,(A:A=A95)),
_xlpm.TerIDs,_xlfn._xlws.FILTER(E:E,A:A=A95),
_xlpm.CuaIDs,_xlfn._xlws.FILTER(F:F,(A:A=A95)),
_xlpm.PrinPts,_xlfn._xlws.FILTER(G:G,(A:A=A95)),
_xlpm.SecPts,_xlfn._xlws.FILTER(H:H,(A:A=A95)),
_xlpm.TerPts,_xlfn._xlws.FILTER(I:I,(A:A=A95)),
_xlpm.CuaPts,_xlfn._xlws.FILTER(J:J,(A:A=A95)),
_xlpm.SCIds,_xlfn._xlws.FILTER(U:U,A:A=A95),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95" s="14">
        <f t="shared" ca="1" si="7"/>
        <v>17</v>
      </c>
      <c r="AC95" s="14">
        <v>17</v>
      </c>
      <c r="AD95" s="4"/>
      <c r="AE95" s="14" t="str">
        <f ca="1">IF(ISNUMBER(AC95),
IF($B95=1,VLOOKUP($AC95,Inventario1!$A:$H,2),
IF($B95=2,VLOOKUP($AC95,Inventario2!$A:$H,2),
IF($B95=3,VLOOKUP($AC95,Inventario3!$A:$H,2),
IF($B95=4,VLOOKUP($AC95,Inventario4!$A:$H,2),
IF($B95=5,VLOOKUP($AC95,Inventario5!$A:$H,2),
VLOOKUP($AC95,Inventario6!$A:$H,2)
))))),"No equipado")</f>
        <v>Épico</v>
      </c>
      <c r="AF95" s="14" t="str">
        <f ca="1">IF(ISNUMBER(AC95),
IF($B95=1,VLOOKUP($AC95,Inventario1!$A:$H,3),
IF($B95=2,VLOOKUP($AC95,Inventario2!$A:$H,3),
IF($B95=3,VLOOKUP($AC95,Inventario3!$A:$H,3),
IF($B95=4,VLOOKUP($AC95,Inventario4!$A:$H,3),
IF($B95=5,VLOOKUP($AC95,Inventario5!$A:$H,3),
VLOOKUP($AC95,Inventario6!$A:$H,3)
))))),"")</f>
        <v>Incremento de poder</v>
      </c>
      <c r="AG95" s="14" t="str">
        <f ca="1">IF(ISNUMBER(AC95),
IF($B95=1,VLOOKUP($AC95,Inventario1!$A:$H,4),
IF($B95=2,VLOOKUP($AC95,Inventario2!$A:$H,4),
IF($B95=3,VLOOKUP($AC95,Inventario3!$A:$H,4),
IF($B95=4,VLOOKUP($AC95,Inventario4!$A:$H,4),
IF($B95=5,VLOOKUP($AC95,Inventario5!$A:$H,4),
VLOOKUP($AC95,Inventario6!$A:$H,4)
))))),"")</f>
        <v>Recepción</v>
      </c>
      <c r="AH95" s="14" t="str">
        <f ca="1">IF(ISNUMBER(AC95),
IF($B95=1,VLOOKUP($AC95,Inventario1!$A:$H,5),
IF($B95=2,VLOOKUP($AC95,Inventario2!$A:$H,5),
IF($B95=3,VLOOKUP($AC95,Inventario3!$A:$H,5),
IF($B95=4,VLOOKUP($AC95,Inventario4!$A:$H,5),
IF($B95=5,VLOOKUP($AC95,Inventario5!$A:$H,5),
VLOOKUP($AC95,Inventario6!$A:$H,5)
))))),"")</f>
        <v>Recepción</v>
      </c>
      <c r="AI95" s="14" t="str">
        <f ca="1">IF(ISNUMBER(AC95),
IF($B95=1,VLOOKUP($AC95,Inventario1!$A:$H,6),
IF($B95=2,VLOOKUP($AC95,Inventario2!$A:$H,6),
IF($B95=3,VLOOKUP($AC95,Inventario3!$A:$H,6),
IF($B95=4,VLOOKUP($AC95,Inventario4!$A:$H,6),
IF($B95=5,VLOOKUP($AC95,Inventario5!$A:$H,6),
VLOOKUP($AC95,Inventario6!$A:$H,6)
))))),"")</f>
        <v>Ataque poderoso</v>
      </c>
      <c r="AJ95" s="14" t="str">
        <f ca="1">IF(ISNUMBER(AC95),
IF($B95=1,VLOOKUP($AC95,Inventario1!$A:$H,7),
IF($B95=2,VLOOKUP($AC95,Inventario2!$A:$H,7),
IF($B95=3,VLOOKUP($AC95,Inventario3!$A:$H,7),
IF($B95=4,VLOOKUP($AC95,Inventario4!$A:$H,7),
IF($B95=5,VLOOKUP($AC95,Inventario5!$A:$H,7),
VLOOKUP($AC95,Inventario6!$A:$H,7)
))))),"")</f>
        <v>Saque</v>
      </c>
      <c r="AK95" s="15" t="str">
        <f ca="1">IF(ISNUMBER(AC95),
IF($B95=1,VLOOKUP($AC95,Inventario1!$A:$H,8),
IF($B95=2,VLOOKUP($AC95,Inventario2!$A:$H,8),
IF($B95=3,VLOOKUP($AC95,Inventario3!$A:$H,8),
IF($B95=4,VLOOKUP($AC95,Inventario4!$A:$H,8),
IF($B95=5,VLOOKUP($AC95,Inventario5!$A:$H,8),
VLOOKUP($AC95,Inventario6!$A:$H,8)
))))),"")</f>
        <v>Espíritu</v>
      </c>
    </row>
    <row r="96" spans="1:37" x14ac:dyDescent="0.25">
      <c r="A96" s="21" t="s">
        <v>72</v>
      </c>
      <c r="B96" s="3">
        <v>5</v>
      </c>
      <c r="C96" s="14" cm="1">
        <f t="array" aca="1" ref="C96" ca="1">_xlfn.LET(
    _xlpm.jugador, A96,
    _xlpm.idSel, AC96,
    _xlpm.invIDs, IF(B96=1,Inventario1!A:A,IF(B96=2,Inventario2!A:A,IF(B96=3,Inventario3!A:A,IF(B96=4,Inventario4!A:A,IF(B96=5,Inventario5!A:A,Inventario6!A:A))))),
    _xlpm.invCalidad, IF(B96=1,Inventario1!B:B,IF(B96=2,Inventario2!B:B,IF(B96=3,Inventario3!B:B,IF(B96=4,Inventario4!B:B,IF(B96=5,Inventario5!B:B,Inventario6!B:B))))),
    _xlpm.invTipos, IF(B96=1,Inventario1!C:C,IF(B96=2,Inventario2!C:C,IF(B96=3,Inventario3!C:C,IF(B96=4,Inventario4!C:C,IF(B96=5,Inventario5!C:C,Inventario6!C:C))))),
    _xlpm.invStats, IF(B96=1,Inventario1!D:H,IF(B96=2,Inventario2!D:H,IF(B96=3,Inventario3!D:H,IF(B96=4,Inventario4!D:H,IF(B96=5,Inventario5!D:H,Inventario6!D:H))))),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IF(ROW(A96)=2,"",IF(_xlfn._xlws.FILTER(Equipar!AC$2:AC95,Equipar!B$2:B95=B96)={0},"",_xlfn._xlws.FILTER(Equipar!AC$2:AC95,Equipar!B$2:B95=B96))),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</v>
      </c>
      <c r="D96" s="4" cm="1">
        <f t="array" ref="D96">_xlfn.LET(
    _xlpm.jugador, A96,
    _xlpm.idSel, AC96,
    _xlpm.invIDs, IF(B96=1,Inventario1!A:A,IF(B96=2,Inventario2!A:A,IF(B96=3,Inventario3!A:A,IF(B96=4,Inventario4!A:A,IF(B96=5,Inventario5!A:A,Inventario6!A:A))))),
    _xlpm.invCalidad, IF(B96=1,Inventario1!B:B,IF(B96=2,Inventario2!B:B,IF(B96=3,Inventario3!B:B,IF(B96=4,Inventario4!B:B,IF(B96=5,Inventario5!B:B,Inventario6!B:B))))),
    _xlpm.invTipos, IF(B96=1,Inventario1!C:C,IF(B96=2,Inventario2!C:C,IF(B96=3,Inventario3!C:C,IF(B96=4,Inventario4!C:C,IF(B96=5,Inventario5!C:C,Inventario6!C:C))))),
    _xlpm.invStats, IF(B96=1,Inventario1!D:H,IF(B96=2,Inventario2!D:H,IF(B96=3,Inventario3!D:H,IF(B96=4,Inventario4!D:H,IF(B96=5,Inventario5!D:H,Inventario6!D:H))))),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IF(ROW(A96)=2,"",IF(_xlfn._xlws.FILTER(Equipar!AC$2:AC95,Equipar!B$2:B95=B96)={0},"",_xlfn._xlws.FILTER(Equipar!AC$2:AC95,Equipar!B$2:B95=B96))),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249</v>
      </c>
      <c r="E96" s="4" cm="1">
        <f t="array" ref="E96">_xlfn.LET(
    _xlpm.jugador, A96,
    _xlpm.idSel, AC96,
    _xlpm.invIDs, IF(B96=1,Inventario1!A:A,IF(B96=2,Inventario2!A:A,IF(B96=3,Inventario3!A:A,IF(B96=4,Inventario4!A:A,IF(B96=5,Inventario5!A:A,Inventario6!A:A))))),
    _xlpm.invCalidad, IF(B96=1,Inventario1!B:B,IF(B96=2,Inventario2!B:B,IF(B96=3,Inventario3!B:B,IF(B96=4,Inventario4!B:B,IF(B96=5,Inventario5!B:B,Inventario6!B:B))))),
    _xlpm.invTipos, IF(B96=1,Inventario1!C:C,IF(B96=2,Inventario2!C:C,IF(B96=3,Inventario3!C:C,IF(B96=4,Inventario4!C:C,IF(B96=5,Inventario5!C:C,Inventario6!C:C))))),
    _xlpm.invStats, IF(B96=1,Inventario1!D:H,IF(B96=2,Inventario2!D:H,IF(B96=3,Inventario3!D:H,IF(B96=4,Inventario4!D:H,IF(B96=5,Inventario5!D:H,Inventario6!D:H))))),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IF(ROW(A96)=2,"",IF(_xlfn._xlws.FILTER(Equipar!AC$2:AC95,Equipar!B$2:B95=B96)={0},"",_xlfn._xlws.FILTER(Equipar!AC$2:AC95,Equipar!B$2:B95=B96))),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230</v>
      </c>
      <c r="F96" s="4" t="str" cm="1">
        <f t="array" aca="1" ref="F96" ca="1">_xlfn.LET(
    _xlpm.jugador, B96,
    _xlpm.idSel, AD96,
    _xlpm.invIDs, IF(C96=1,Inventario1!B:B,IF(C96=2,Inventario2!B:B,IF(C96=3,Inventario3!B:B,IF(C96=4,Inventario4!B:B,IF(C96=5,Inventario5!B:B,Inventario6!B:B))))),
    _xlpm.invCalidad, IF(C96=1,Inventario1!C:C,IF(C96=2,Inventario2!C:C,IF(C96=3,Inventario3!C:C,IF(C96=4,Inventario4!C:C,IF(C96=5,Inventario5!C:C,Inventario6!C:C))))),
    _xlpm.invTipos, IF(C96=1,Inventario1!D:D,IF(C96=2,Inventario2!D:D,IF(C96=3,Inventario3!D:D,IF(C96=4,Inventario4!D:D,IF(C96=5,Inventario5!D:D,Inventario6!D:D))))),
    _xlpm.invStats, IF(C96=1,Inventario1!E:I,IF(C96=2,Inventario2!E:I,IF(C96=3,Inventario3!E:I,IF(C96=4,Inventario4!E:I,IF(C96=5,Inventario5!E:I,Inventario6!E:I))))),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IF(ROW(B96)=2,"",IF(_xlfn._xlws.FILTER(Equipar!AD$2:AD95,Equipar!C$2:C95=C96)={0},"",_xlfn._xlws.FILTER(Equipar!AD$2:AD95,Equipar!C$2:C95=C96))),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96" s="14" cm="1">
        <f t="array" aca="1" ref="G96" ca="1">_xlfn.LET(
    _xlpm.jugador, A96,
    _xlpm.idSel, AC96,
    _xlpm.invIDs, IF(B96=1,Inventario1!A:A,IF(B96=2,Inventario2!A:A,IF(B96=3,Inventario3!A:A,IF(B96=4,Inventario4!A:A,IF(B96=5,Inventario5!A:A,Inventario6!A:A))))),
    _xlpm.invCalidad, IF(B96=1,Inventario1!B:B,IF(B96=2,Inventario2!B:B,IF(B96=3,Inventario3!B:B,IF(B96=4,Inventario4!B:B,IF(B96=5,Inventario5!B:B,Inventario6!B:B))))),
    _xlpm.invTipos, IF(B96=1,Inventario1!C:C,IF(B96=2,Inventario2!C:C,IF(B96=3,Inventario3!C:C,IF(B96=4,Inventario4!C:C,IF(B96=5,Inventario5!C:C,Inventario6!C:C))))),
    _xlpm.invStats, IF(B96=1,Inventario1!D:H,IF(B96=2,Inventario2!D:H,IF(B96=3,Inventario3!D:H,IF(B96=4,Inventario4!D:H,IF(B96=5,Inventario5!D:H,Inventario6!D:H))))),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IF(ROW(A96)=2,"",IF(_xlfn._xlws.FILTER(Equipar!AC$2:AC95,Equipar!B$2:B95=B96)={0},"",_xlfn._xlws.FILTER(Equipar!AC$2:AC95,Equipar!B$2:B95=B96))),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H96" s="4" cm="1">
        <f t="array" ref="H96">_xlfn.LET(
    _xlpm.jugador, A96,
    _xlpm.idSel, AC96,
    _xlpm.invIDs, IF(B96=1,Inventario1!A:A,IF(B96=2,Inventario2!A:A,IF(B96=3,Inventario3!A:A,IF(B96=4,Inventario4!A:A,IF(B96=5,Inventario5!A:A,Inventario6!A:A))))),
    _xlpm.invCalidad, IF(B96=1,Inventario1!B:B,IF(B96=2,Inventario2!B:B,IF(B96=3,Inventario3!B:B,IF(B96=4,Inventario4!B:B,IF(B96=5,Inventario5!B:B,Inventario6!B:B))))),
    _xlpm.invTipos, IF(B96=1,Inventario1!C:C,IF(B96=2,Inventario2!C:C,IF(B96=3,Inventario3!C:C,IF(B96=4,Inventario4!C:C,IF(B96=5,Inventario5!C:C,Inventario6!C:C))))),
    _xlpm.invStats, IF(B96=1,Inventario1!D:H,IF(B96=2,Inventario2!D:H,IF(B96=3,Inventario3!D:H,IF(B96=4,Inventario4!D:H,IF(B96=5,Inventario5!D:H,Inventario6!D:H))))),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IF(ROW(A96)=2,"",IF(_xlfn._xlws.FILTER(Equipar!AC$2:AC95,Equipar!B$2:B95=B96)={0},"",_xlfn._xlws.FILTER(Equipar!AC$2:AC95,Equipar!B$2:B95=B96))),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I96" s="4" cm="1">
        <f t="array" ref="I96">_xlfn.LET(
    _xlpm.jugador, A96,
    _xlpm.idSel, AC96,
    _xlpm.invIDs, IF(B96=1,Inventario1!A:A,IF(B96=2,Inventario2!A:A,IF(B96=3,Inventario3!A:A,IF(B96=4,Inventario4!A:A,IF(B96=5,Inventario5!A:A,Inventario6!A:A))))),
    _xlpm.invCalidad, IF(B96=1,Inventario1!B:B,IF(B96=2,Inventario2!B:B,IF(B96=3,Inventario3!B:B,IF(B96=4,Inventario4!B:B,IF(B96=5,Inventario5!B:B,Inventario6!B:B))))),
    _xlpm.invTipos, IF(B96=1,Inventario1!C:C,IF(B96=2,Inventario2!C:C,IF(B96=3,Inventario3!C:C,IF(B96=4,Inventario4!C:C,IF(B96=5,Inventario5!C:C,Inventario6!C:C))))),
    _xlpm.invStats, IF(B96=1,Inventario1!D:H,IF(B96=2,Inventario2!D:H,IF(B96=3,Inventario3!D:H,IF(B96=4,Inventario4!D:H,IF(B96=5,Inventario5!D:H,Inventario6!D:H))))),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IF(ROW(A96)=2,"",IF(_xlfn._xlws.FILTER(Equipar!AC$2:AC95,Equipar!B$2:B95=B96)={0},"",_xlfn._xlws.FILTER(Equipar!AC$2:AC95,Equipar!B$2:B95=B96))),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131.67000000000002</v>
      </c>
      <c r="J96" s="4" cm="1">
        <f t="array" aca="1" ref="J96" ca="1">_xlfn.LET(
    _xlpm.jugador, B96,
    _xlpm.idSel, AD96,
    _xlpm.invIDs, IF(C96=1,Inventario1!B:B,IF(C96=2,Inventario2!B:B,IF(C96=3,Inventario3!B:B,IF(C96=4,Inventario4!B:B,IF(C96=5,Inventario5!B:B,Inventario6!B:B))))),
    _xlpm.invCalidad, IF(C96=1,Inventario1!C:C,IF(C96=2,Inventario2!C:C,IF(C96=3,Inventario3!C:C,IF(C96=4,Inventario4!C:C,IF(C96=5,Inventario5!C:C,Inventario6!C:C))))),
    _xlpm.invTipos, IF(C96=1,Inventario1!D:D,IF(C96=2,Inventario2!D:D,IF(C96=3,Inventario3!D:D,IF(C96=4,Inventario4!D:D,IF(C96=5,Inventario5!D:D,Inventario6!D:D))))),
    _xlpm.invStats, IF(C96=1,Inventario1!E:I,IF(C96=2,Inventario2!E:I,IF(C96=3,Inventario3!E:I,IF(C96=4,Inventario4!E:I,IF(C96=5,Inventario5!E:I,Inventario6!E:I))))),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IF(ROW(B96)=2,"",IF(_xlfn._xlws.FILTER(Equipar!AD$2:AD95,Equipar!C$2:C95=C96)={0},"",_xlfn._xlws.FILTER(Equipar!AD$2:AD95,Equipar!C$2:C95=C96))),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96" s="4">
        <f t="shared" ca="1" si="4"/>
        <v>0</v>
      </c>
      <c r="L96" s="4">
        <f t="shared" ca="1" si="5"/>
        <v>-11.970000000000013</v>
      </c>
      <c r="M96" s="4">
        <f t="shared" ca="1" si="5"/>
        <v>119.7</v>
      </c>
      <c r="N96" s="4">
        <f t="shared" si="6"/>
        <v>-11.970000000000013</v>
      </c>
      <c r="O96" s="4">
        <f t="shared" ca="1" si="6"/>
        <v>131.67000000000002</v>
      </c>
      <c r="P96" s="14" cm="1">
        <f t="array" aca="1" ref="P96" ca="1">_xlfn.LET(
    _xlpm.ptsPrinBase, _xlfn._xlws.FILTER(G:G, A:A=A96),
    _xlpm.ptsSecBase,  _xlfn._xlws.FILTER(H:H, A:A=A96),
    _xlpm.puntosPrin, _xlpm.ptsPrinBase + _xlfn._xlws.FILTER(B:B, A:A=A96)/1000,
    _xlpm.puntosSec,  _xlpm.ptsSecBase  + _xlfn._xlws.FILTER(B:B, A:A=A96)/1000,
    _xlpm.puntosPrinValidos, SUM(--(_xlpm.ptsPrinBase&gt;0)),
    _xlpm.puntosSecValidos,  SUM(--(_xlpm.ptsSecBase&gt;0)),
    _xlpm.clave, K96 + B96/1000,
    _xlpm.claves, _xlfn._xlws.FILTER(K:K + B:B/1000, A:A=A96),
    IF(AND(_xlpm.puntosPrinValidos&gt;=4,_xlpm.puntosSecValidos&gt;=2),IF(
        SUM(--(_xlpm.claves &gt; _xlpm.clave)) &lt; 4,
        C96,
        D96
    ),"No disp")
)</f>
        <v>1</v>
      </c>
      <c r="Q96" s="14" cm="1">
        <f t="array" aca="1" ref="Q96" ca="1">_xlfn.LET(
    _xlpm.puntosPrin, _xlfn._xlws.FILTER(G:G + B:B/1000, A:A=A96),
    _xlpm.puntosPrinValidos, SUM(--(_xlpm.puntosPrin&gt;1)),
    _xlpm.puntosTer, _xlfn._xlws.FILTER(I:I + B:B/1000, A:A=A96),
    _xlpm.puntosTerValidos, SUM(--(_xlpm.puntosTer&gt;1)),
    _xlpm.clave, L96 + B96/1000,
    _xlpm.claves, _xlfn._xlws.FILTER(L:L + B:B/1000, A:A=A96),
    IF(AND(_xlpm.puntosPrinValidos&gt;=4,_xlpm.puntosTerValidos&gt;=2),IF(
        SUM(--(_xlpm.claves &gt; _xlpm.clave)) &lt; 4,
        C96,
        E96
    ),"No disp")
)</f>
        <v>230</v>
      </c>
      <c r="R96" s="14" t="str" cm="1">
        <f t="array" aca="1" ref="R96" ca="1">_xlfn.LET(
    _xlpm.puntosPrin, _xlfn._xlws.FILTER(G:G + B:B/1000, A:A=A96),
    _xlpm.puntosPrinValidos, SUM(--(_xlpm.puntosPrin&gt;1)),
    _xlpm.puntosTer, _xlfn._xlws.FILTER(J:J + B:B/1000, A:A=A96),
    _xlpm.puntosTerValidos, SUM(--(_xlpm.puntosTer&gt;1)),
    _xlpm.clave, M96 + B96/1000,
    _xlpm.claves, _xlfn._xlws.FILTER(M:M + B:B/1000, A:A=A96),
    IF(AND(_xlpm.puntosPrinValidos&gt;=4,_xlpm.puntosTerValidos&gt;=2),IF(
        SUM(--(_xlpm.claves &gt; _xlpm.clave)) &lt; 4,
        C96,
        F96
    ),"No disp")
)</f>
        <v>No disp</v>
      </c>
      <c r="S96" s="14" cm="1">
        <f t="array" aca="1" ref="S96" ca="1">_xlfn.LET(
    _xlpm.ptsPrinBase, _xlfn._xlws.FILTER(G:G, A:A=A96),
    _xlpm.ptsSecBase,  _xlfn._xlws.FILTER(H:H, A:A=A96),
    _xlpm.puntosPrin, _xlpm.ptsPrinBase + _xlfn._xlws.FILTER(B:B, A:A=A96)/1000,
    _xlpm.puntosSec,  _xlpm.ptsSecBase  + _xlfn._xlws.FILTER(B:B, A:A=A96)/1000,
    _xlpm.puntosPrinValidos, SUM(--(_xlpm.ptsPrinBase&gt;0)),
    _xlpm.puntosSecValidos,  SUM(--(_xlpm.ptsSecBase&gt;0)),
    _xlpm.clave, K96 + B96/1000,
    _xlpm.claves, _xlfn._xlws.FILTER(K:K + B:B/1000, A:A=A96),
    IF(
        AND(_xlpm.puntosPrinValidos&gt;=2, _xlpm.puntosSecValidos&gt;=4),
        IF(
            SUM(--(_xlpm.claves &lt; _xlpm.clave)) &lt; 4,
            D96,
            C96
        ),
        "No disp"
    )
)</f>
        <v>249</v>
      </c>
      <c r="T96" s="14" cm="1">
        <f t="array" ref="T96">_xlfn.LET(
    _xlpm.puntosSec, _xlfn._xlws.FILTER(H:H + B:B/1000, A:A=A96),
    _xlpm.puntosSecValidos, SUM(--(_xlpm.puntosSec&gt;1)),
    _xlpm.puntosAlt, _xlfn._xlws.FILTER(I:I + B:B/1000, A:A=A96),
    _xlpm.puntosAltValidos, SUM(--(_xlpm.puntosAlt&gt;1)),
    _xlpm.clave, N96 + B96/1000,
    _xlpm.claves, _xlfn._xlws.FILTER(N:N + B:B/1000, A:A=A96),
    IF(AND(_xlpm.puntosSecValidos&gt;=4,_xlpm.puntosAltValidos&gt;=2),IF(
        SUM(--(_xlpm.claves &gt; _xlpm.clave)) &lt; 4,
        D96,
        E96
    ),"No disp")
)</f>
        <v>249</v>
      </c>
      <c r="U96" s="14" t="str" cm="1">
        <f t="array" aca="1" ref="U96" ca="1">_xlfn.LET(
    _xlpm.puntosSec, _xlfn._xlws.FILTER(H:H + B:B/1000, A:A=A96),
    _xlpm.puntosSecValidos, SUM(--(_xlpm.puntosSec&gt;1)),
    _xlpm.puntosAlt, _xlfn._xlws.FILTER(J:J + B:B/1000, A:A=A96),
    _xlpm.puntosAltValidos, SUM(--(_xlpm.puntosAlt&gt;1)),
    _xlpm.clave, O96 + B96/1000,
    _xlpm.claves, _xlfn._xlws.FILTER(O:O + B:B/1000, A:A=A96),
    IF(AND(_xlpm.puntosSecValidos&gt;=4,_xlpm.puntosAltValidos&gt;=2),IF(
        SUM(--(_xlpm.claves &gt; _xlpm.clave)) &lt; 4,
        D96,
        F96
    ),"No disp")
)</f>
        <v>No disp</v>
      </c>
      <c r="V96" s="4" cm="1">
        <f t="array" aca="1" ref="V96" ca="1">_xlfn.LET(
_xlpm.PrinIDs,_xlfn._xlws.FILTER(C:C,(A:A=A96)),
_xlpm.SecIDs,_xlfn._xlws.FILTER(D:D,(A:A=A96)),
_xlpm.TerIDs,_xlfn._xlws.FILTER(E:E,A:A=A96),
_xlpm.CuaIDs,_xlfn._xlws.FILTER(F:F,(A:A=A96)),
_xlpm.PrinPts,_xlfn._xlws.FILTER(G:G,(A:A=A96)),
_xlpm.SecPts,_xlfn._xlws.FILTER(H:H,(A:A=A96)),
_xlpm.TerPts,_xlfn._xlws.FILTER(I:I,(A:A=A96)),
_xlpm.CuaPts,_xlfn._xlws.FILTER(J:J,(A:A=A96)),
_xlpm.PSIds,_xlfn._xlws.FILTER(P:P,A:A=A96),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769.68000000000006</v>
      </c>
      <c r="W96" s="4" cm="1">
        <f t="array" aca="1" ref="W96" ca="1">_xlfn.LET(
_xlpm.PrinIDs,_xlfn._xlws.FILTER(C:C,(A:A=A96)),
_xlpm.SecIDs,_xlfn._xlws.FILTER(D:D,(A:A=A96)),
_xlpm.TerIDs,_xlfn._xlws.FILTER(E:E,A:A=A96),
_xlpm.CuaIDs,_xlfn._xlws.FILTER(F:F,(A:A=A96)),
_xlpm.PrinPts,_xlfn._xlws.FILTER(G:G,(A:A=A96)),
_xlpm.SecPts,_xlfn._xlws.FILTER(H:H,(A:A=A96)),
_xlpm.TerPts,_xlfn._xlws.FILTER(I:I,(A:A=A96)),
_xlpm.CuaPts,_xlfn._xlws.FILTER(J:J,(A:A=A96)),
_xlpm.PTIds,_xlfn._xlws.FILTER(Q:Q,A:A=A96),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718.74</v>
      </c>
      <c r="X96" s="4" cm="1">
        <f t="array" aca="1" ref="X96" ca="1">_xlfn.LET(
_xlpm.PrinIDs,_xlfn._xlws.FILTER(C:C,(A:A=A96)),
_xlpm.SecIDs,_xlfn._xlws.FILTER(D:D,(A:A=A96)),
_xlpm.TerIDs,_xlfn._xlws.FILTER(E:E,A:A=A96),
_xlpm.CuaIDs,_xlfn._xlws.FILTER(F:F,(A:A=A96)),
_xlpm.PrinPts,_xlfn._xlws.FILTER(G:G,(A:A=A96)),
_xlpm.SecPts,_xlfn._xlws.FILTER(H:H,(A:A=A96)),
_xlpm.TerPts,_xlfn._xlws.FILTER(I:I,(A:A=A96)),
_xlpm.CuaPts,_xlfn._xlws.FILTER(J:J,(A:A=A96)),
_xlpm.PCIds,_xlfn._xlws.FILTER(R:R,A:A=A96),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96" s="4" cm="1">
        <f t="array" aca="1" ref="Y96" ca="1">_xlfn.LET(
_xlpm.PrinIDs,_xlfn._xlws.FILTER(C:C,(A:A=A96)),
_xlpm.SecIDs,_xlfn._xlws.FILTER(D:D,(A:A=A96)),
_xlpm.AltIDs,_xlfn._xlws.FILTER(E:E,A:A=A96),
_xlpm.PrinPts,_xlfn._xlws.FILTER(G:G,(A:A=A96)),
_xlpm.SecPts,_xlfn._xlws.FILTER(H:H,(A:A=A96)),
_xlpm.AltPts,_xlfn._xlws.FILTER(I:I,(A:A=A96)),
_xlpm.SPIds,_xlfn._xlws.FILTER(S:S,A:A=A96),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790.92000000000007</v>
      </c>
      <c r="Z96" s="4" cm="1">
        <f t="array" aca="1" ref="Z96" ca="1">_xlfn.LET(
_xlpm.PrinIDs,_xlfn._xlws.FILTER(C:C,(A:A=A96)),
_xlpm.SecIDs,_xlfn._xlws.FILTER(D:D,(A:A=A96)),
_xlpm.TerIDs,_xlfn._xlws.FILTER(E:E,A:A=A96),
_xlpm.CuaIDs,_xlfn._xlws.FILTER(F:F,(A:A=A96)),
_xlpm.PrinPts,_xlfn._xlws.FILTER(G:G,(A:A=A96)),
_xlpm.SecPts,_xlfn._xlws.FILTER(H:H,(A:A=A96)),
_xlpm.TerPts,_xlfn._xlws.FILTER(I:I,(A:A=A96)),
_xlpm.CuaPts,_xlfn._xlws.FILTER(J:J,(A:A=A96)),
_xlpm.STIds,_xlfn._xlws.FILTER(T:T,A:A=A96),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781.65000000000009</v>
      </c>
      <c r="AA96" s="4" cm="1">
        <f t="array" aca="1" ref="AA96" ca="1">_xlfn.LET(
_xlpm.PrinIDs,_xlfn._xlws.FILTER(C:C,(A:A=A96)),
_xlpm.SecIDs,_xlfn._xlws.FILTER(D:D,(A:A=A96)),
_xlpm.TerIDs,_xlfn._xlws.FILTER(E:E,A:A=A96),
_xlpm.CuaIDs,_xlfn._xlws.FILTER(F:F,(A:A=A96)),
_xlpm.PrinPts,_xlfn._xlws.FILTER(G:G,(A:A=A96)),
_xlpm.SecPts,_xlfn._xlws.FILTER(H:H,(A:A=A96)),
_xlpm.TerPts,_xlfn._xlws.FILTER(I:I,(A:A=A96)),
_xlpm.CuaPts,_xlfn._xlws.FILTER(J:J,(A:A=A96)),
_xlpm.SCIds,_xlfn._xlws.FILTER(U:U,A:A=A96),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96" s="14">
        <f t="shared" ca="1" si="7"/>
        <v>249</v>
      </c>
      <c r="AC96" s="14">
        <v>249</v>
      </c>
      <c r="AD96" s="4"/>
      <c r="AE96" s="14" t="str">
        <f ca="1">IF(ISNUMBER(AC96),
IF($B96=1,VLOOKUP($AC96,Inventario1!$A:$H,2),
IF($B96=2,VLOOKUP($AC96,Inventario2!$A:$H,2),
IF($B96=3,VLOOKUP($AC96,Inventario3!$A:$H,2),
IF($B96=4,VLOOKUP($AC96,Inventario4!$A:$H,2),
IF($B96=5,VLOOKUP($AC96,Inventario5!$A:$H,2),
VLOOKUP($AC96,Inventario6!$A:$H,2)
))))),"No equipado")</f>
        <v>Legendario</v>
      </c>
      <c r="AF96" s="14" t="str">
        <f ca="1">IF(ISNUMBER(AC96),
IF($B96=1,VLOOKUP($AC96,Inventario1!$A:$H,3),
IF($B96=2,VLOOKUP($AC96,Inventario2!$A:$H,3),
IF($B96=3,VLOOKUP($AC96,Inventario3!$A:$H,3),
IF($B96=4,VLOOKUP($AC96,Inventario4!$A:$H,3),
IF($B96=5,VLOOKUP($AC96,Inventario5!$A:$H,3),
VLOOKUP($AC96,Inventario6!$A:$H,3)
))))),"")</f>
        <v>Incremento de poder</v>
      </c>
      <c r="AG96" s="14" t="str">
        <f ca="1">IF(ISNUMBER(AC96),
IF($B96=1,VLOOKUP($AC96,Inventario1!$A:$H,4),
IF($B96=2,VLOOKUP($AC96,Inventario2!$A:$H,4),
IF($B96=3,VLOOKUP($AC96,Inventario3!$A:$H,4),
IF($B96=4,VLOOKUP($AC96,Inventario4!$A:$H,4),
IF($B96=5,VLOOKUP($AC96,Inventario5!$A:$H,4),
VLOOKUP($AC96,Inventario6!$A:$H,4)
))))),"")</f>
        <v>Recepción</v>
      </c>
      <c r="AH96" s="14" t="str">
        <f ca="1">IF(ISNUMBER(AC96),
IF($B96=1,VLOOKUP($AC96,Inventario1!$A:$H,5),
IF($B96=2,VLOOKUP($AC96,Inventario2!$A:$H,5),
IF($B96=3,VLOOKUP($AC96,Inventario3!$A:$H,5),
IF($B96=4,VLOOKUP($AC96,Inventario4!$A:$H,5),
IF($B96=5,VLOOKUP($AC96,Inventario5!$A:$H,5),
VLOOKUP($AC96,Inventario6!$A:$H,5)
))))),"")</f>
        <v>Fuerza</v>
      </c>
      <c r="AI96" s="14" t="str">
        <f ca="1">IF(ISNUMBER(AC96),
IF($B96=1,VLOOKUP($AC96,Inventario1!$A:$H,6),
IF($B96=2,VLOOKUP($AC96,Inventario2!$A:$H,6),
IF($B96=3,VLOOKUP($AC96,Inventario3!$A:$H,6),
IF($B96=4,VLOOKUP($AC96,Inventario4!$A:$H,6),
IF($B96=5,VLOOKUP($AC96,Inventario5!$A:$H,6),
VLOOKUP($AC96,Inventario6!$A:$H,6)
))))),"")</f>
        <v>Bloqueo</v>
      </c>
      <c r="AJ96" s="14" t="str">
        <f ca="1">IF(ISNUMBER(AC96),
IF($B96=1,VLOOKUP($AC96,Inventario1!$A:$H,7),
IF($B96=2,VLOOKUP($AC96,Inventario2!$A:$H,7),
IF($B96=3,VLOOKUP($AC96,Inventario3!$A:$H,7),
IF($B96=4,VLOOKUP($AC96,Inventario4!$A:$H,7),
IF($B96=5,VLOOKUP($AC96,Inventario5!$A:$H,7),
VLOOKUP($AC96,Inventario6!$A:$H,7)
))))),"")</f>
        <v>Recepción</v>
      </c>
      <c r="AK96" s="15">
        <f ca="1">IF(ISNUMBER(AC96),
IF($B96=1,VLOOKUP($AC96,Inventario1!$A:$H,8),
IF($B96=2,VLOOKUP($AC96,Inventario2!$A:$H,8),
IF($B96=3,VLOOKUP($AC96,Inventario3!$A:$H,8),
IF($B96=4,VLOOKUP($AC96,Inventario4!$A:$H,8),
IF($B96=5,VLOOKUP($AC96,Inventario5!$A:$H,8),
VLOOKUP($AC96,Inventario6!$A:$H,8)
))))),"")</f>
        <v>0</v>
      </c>
    </row>
    <row r="97" spans="1:37" ht="15.75" thickBot="1" x14ac:dyDescent="0.3">
      <c r="A97" s="22" t="s">
        <v>72</v>
      </c>
      <c r="B97" s="17">
        <v>6</v>
      </c>
      <c r="C97" s="18" cm="1">
        <f t="array" aca="1" ref="C97" ca="1">_xlfn.LET(
    _xlpm.jugador, A97,
    _xlpm.idSel, AC97,
    _xlpm.invIDs, IF(B97=1,Inventario1!A:A,IF(B97=2,Inventario2!A:A,IF(B97=3,Inventario3!A:A,IF(B97=4,Inventario4!A:A,IF(B97=5,Inventario5!A:A,Inventario6!A:A))))),
    _xlpm.invCalidad, IF(B97=1,Inventario1!B:B,IF(B97=2,Inventario2!B:B,IF(B97=3,Inventario3!B:B,IF(B97=4,Inventario4!B:B,IF(B97=5,Inventario5!B:B,Inventario6!B:B))))),
    _xlpm.invTipos, IF(B97=1,Inventario1!C:C,IF(B97=2,Inventario2!C:C,IF(B97=3,Inventario3!C:C,IF(B97=4,Inventario4!C:C,IF(B97=5,Inventario5!C:C,Inventario6!C:C))))),
    _xlpm.invStats, IF(B97=1,Inventario1!D:H,IF(B97=2,Inventario2!D:H,IF(B97=3,Inventario3!D:H,IF(B97=4,Inventario4!D:H,IF(B97=5,Inventario5!D:H,Inventario6!D:H))))),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IF(ROW(A97)=2,"",IF(_xlfn._xlws.FILTER(Equipar!AC$2:AC96,Equipar!B$2:B96=B97)={0},"",_xlfn._xlws.FILTER(Equipar!AC$2:AC96,Equipar!B$2:B96=B97))),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</v>
      </c>
      <c r="D97" s="17" cm="1">
        <f t="array" ref="D97">_xlfn.LET(
    _xlpm.jugador, A97,
    _xlpm.idSel, AC97,
    _xlpm.invIDs, IF(B97=1,Inventario1!A:A,IF(B97=2,Inventario2!A:A,IF(B97=3,Inventario3!A:A,IF(B97=4,Inventario4!A:A,IF(B97=5,Inventario5!A:A,Inventario6!A:A))))),
    _xlpm.invCalidad, IF(B97=1,Inventario1!B:B,IF(B97=2,Inventario2!B:B,IF(B97=3,Inventario3!B:B,IF(B97=4,Inventario4!B:B,IF(B97=5,Inventario5!B:B,Inventario6!B:B))))),
    _xlpm.invTipos, IF(B97=1,Inventario1!C:C,IF(B97=2,Inventario2!C:C,IF(B97=3,Inventario3!C:C,IF(B97=4,Inventario4!C:C,IF(B97=5,Inventario5!C:C,Inventario6!C:C))))),
    _xlpm.invStats, IF(B97=1,Inventario1!D:H,IF(B97=2,Inventario2!D:H,IF(B97=3,Inventario3!D:H,IF(B97=4,Inventario4!D:H,IF(B97=5,Inventario5!D:H,Inventario6!D:H))))),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IF(ROW(A97)=2,"",IF(_xlfn._xlws.FILTER(Equipar!AC$2:AC96,Equipar!B$2:B96=B97)={0},"",_xlfn._xlws.FILTER(Equipar!AC$2:AC96,Equipar!B$2:B96=B97))),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175</v>
      </c>
      <c r="E97" s="17" cm="1">
        <f t="array" ref="E97">_xlfn.LET(
    _xlpm.jugador, A97,
    _xlpm.idSel, AC97,
    _xlpm.invIDs, IF(B97=1,Inventario1!A:A,IF(B97=2,Inventario2!A:A,IF(B97=3,Inventario3!A:A,IF(B97=4,Inventario4!A:A,IF(B97=5,Inventario5!A:A,Inventario6!A:A))))),
    _xlpm.invCalidad, IF(B97=1,Inventario1!B:B,IF(B97=2,Inventario2!B:B,IF(B97=3,Inventario3!B:B,IF(B97=4,Inventario4!B:B,IF(B97=5,Inventario5!B:B,Inventario6!B:B))))),
    _xlpm.invTipos, IF(B97=1,Inventario1!C:C,IF(B97=2,Inventario2!C:C,IF(B97=3,Inventario3!C:C,IF(B97=4,Inventario4!C:C,IF(B97=5,Inventario5!C:C,Inventario6!C:C))))),
    _xlpm.invStats, IF(B97=1,Inventario1!D:H,IF(B97=2,Inventario2!D:H,IF(B97=3,Inventario3!D:H,IF(B97=4,Inventario4!D:H,IF(B97=5,Inventario5!D:H,Inventario6!D:H))))),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IF(ROW(A97)=2,"",IF(_xlfn._xlws.FILTER(Equipar!AC$2:AC96,Equipar!B$2:B96=B97)={0},"",_xlfn._xlws.FILTER(Equipar!AC$2:AC96,Equipar!B$2:B96=B97))),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254</v>
      </c>
      <c r="F97" s="17" t="str" cm="1">
        <f t="array" aca="1" ref="F97" ca="1">_xlfn.LET(
    _xlpm.jugador, B97,
    _xlpm.idSel, AD97,
    _xlpm.invIDs, IF(C97=1,Inventario1!B:B,IF(C97=2,Inventario2!B:B,IF(C97=3,Inventario3!B:B,IF(C97=4,Inventario4!B:B,IF(C97=5,Inventario5!B:B,Inventario6!B:B))))),
    _xlpm.invCalidad, IF(C97=1,Inventario1!C:C,IF(C97=2,Inventario2!C:C,IF(C97=3,Inventario3!C:C,IF(C97=4,Inventario4!C:C,IF(C97=5,Inventario5!C:C,Inventario6!C:C))))),
    _xlpm.invTipos, IF(C97=1,Inventario1!D:D,IF(C97=2,Inventario2!D:D,IF(C97=3,Inventario3!D:D,IF(C97=4,Inventario4!D:D,IF(C97=5,Inventario5!D:D,Inventario6!D:D))))),
    _xlpm.invStats, IF(C97=1,Inventario1!E:I,IF(C97=2,Inventario2!E:I,IF(C97=3,Inventario3!E:I,IF(C97=4,Inventario4!E:I,IF(C97=5,Inventario5!E:I,Inventario6!E:I))))),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IF(ROW(B97)=2,"",IF(_xlfn._xlws.FILTER(Equipar!AD$2:AD96,Equipar!C$2:C96=C97)={0},"",_xlfn._xlws.FILTER(Equipar!AD$2:AD96,Equipar!C$2:C96=C97))),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97" s="18" cm="1">
        <f t="array" aca="1" ref="G97" ca="1">_xlfn.LET(
    _xlpm.jugador, A97,
    _xlpm.idSel, AC97,
    _xlpm.invIDs, IF(B97=1,Inventario1!A:A,IF(B97=2,Inventario2!A:A,IF(B97=3,Inventario3!A:A,IF(B97=4,Inventario4!A:A,IF(B97=5,Inventario5!A:A,Inventario6!A:A))))),
    _xlpm.invCalidad, IF(B97=1,Inventario1!B:B,IF(B97=2,Inventario2!B:B,IF(B97=3,Inventario3!B:B,IF(B97=4,Inventario4!B:B,IF(B97=5,Inventario5!B:B,Inventario6!B:B))))),
    _xlpm.invTipos, IF(B97=1,Inventario1!C:C,IF(B97=2,Inventario2!C:C,IF(B97=3,Inventario3!C:C,IF(B97=4,Inventario4!C:C,IF(B97=5,Inventario5!C:C,Inventario6!C:C))))),
    _xlpm.invStats, IF(B97=1,Inventario1!D:H,IF(B97=2,Inventario2!D:H,IF(B97=3,Inventario3!D:H,IF(B97=4,Inventario4!D:H,IF(B97=5,Inventario5!D:H,Inventario6!D:H))))),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IF(ROW(A97)=2,"",IF(_xlfn._xlws.FILTER(Equipar!AC$2:AC96,Equipar!B$2:B96=B97)={0},"",_xlfn._xlws.FILTER(Equipar!AC$2:AC96,Equipar!B$2:B96=B97))),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H97" s="17" cm="1">
        <f t="array" ref="H97">_xlfn.LET(
    _xlpm.jugador, A97,
    _xlpm.idSel, AC97,
    _xlpm.invIDs, IF(B97=1,Inventario1!A:A,IF(B97=2,Inventario2!A:A,IF(B97=3,Inventario3!A:A,IF(B97=4,Inventario4!A:A,IF(B97=5,Inventario5!A:A,Inventario6!A:A))))),
    _xlpm.invCalidad, IF(B97=1,Inventario1!B:B,IF(B97=2,Inventario2!B:B,IF(B97=3,Inventario3!B:B,IF(B97=4,Inventario4!B:B,IF(B97=5,Inventario5!B:B,Inventario6!B:B))))),
    _xlpm.invTipos, IF(B97=1,Inventario1!C:C,IF(B97=2,Inventario2!C:C,IF(B97=3,Inventario3!C:C,IF(B97=4,Inventario4!C:C,IF(B97=5,Inventario5!C:C,Inventario6!C:C))))),
    _xlpm.invStats, IF(B97=1,Inventario1!D:H,IF(B97=2,Inventario2!D:H,IF(B97=3,Inventario3!D:H,IF(B97=4,Inventario4!D:H,IF(B97=5,Inventario5!D:H,Inventario6!D:H))))),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IF(ROW(A97)=2,"",IF(_xlfn._xlws.FILTER(Equipar!AC$2:AC96,Equipar!B$2:B96=B97)={0},"",_xlfn._xlws.FILTER(Equipar!AC$2:AC96,Equipar!B$2:B96=B97))),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117</v>
      </c>
      <c r="I97" s="17" cm="1">
        <f t="array" ref="I97">_xlfn.LET(
    _xlpm.jugador, A97,
    _xlpm.idSel, AC97,
    _xlpm.invIDs, IF(B97=1,Inventario1!A:A,IF(B97=2,Inventario2!A:A,IF(B97=3,Inventario3!A:A,IF(B97=4,Inventario4!A:A,IF(B97=5,Inventario5!A:A,Inventario6!A:A))))),
    _xlpm.invCalidad, IF(B97=1,Inventario1!B:B,IF(B97=2,Inventario2!B:B,IF(B97=3,Inventario3!B:B,IF(B97=4,Inventario4!B:B,IF(B97=5,Inventario5!B:B,Inventario6!B:B))))),
    _xlpm.invTipos, IF(B97=1,Inventario1!C:C,IF(B97=2,Inventario2!C:C,IF(B97=3,Inventario3!C:C,IF(B97=4,Inventario4!C:C,IF(B97=5,Inventario5!C:C,Inventario6!C:C))))),
    _xlpm.invStats, IF(B97=1,Inventario1!D:H,IF(B97=2,Inventario2!D:H,IF(B97=3,Inventario3!D:H,IF(B97=4,Inventario4!D:H,IF(B97=5,Inventario5!D:H,Inventario6!D:H))))),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IF(ROW(A97)=2,"",IF(_xlfn._xlws.FILTER(Equipar!AC$2:AC96,Equipar!B$2:B96=B97)={0},"",_xlfn._xlws.FILTER(Equipar!AC$2:AC96,Equipar!B$2:B96=B97))),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59.85</v>
      </c>
      <c r="J97" s="17" cm="1">
        <f t="array" aca="1" ref="J97" ca="1">_xlfn.LET(
    _xlpm.jugador, B97,
    _xlpm.idSel, AD97,
    _xlpm.invIDs, IF(C97=1,Inventario1!B:B,IF(C97=2,Inventario2!B:B,IF(C97=3,Inventario3!B:B,IF(C97=4,Inventario4!B:B,IF(C97=5,Inventario5!B:B,Inventario6!B:B))))),
    _xlpm.invCalidad, IF(C97=1,Inventario1!C:C,IF(C97=2,Inventario2!C:C,IF(C97=3,Inventario3!C:C,IF(C97=4,Inventario4!C:C,IF(C97=5,Inventario5!C:C,Inventario6!C:C))))),
    _xlpm.invTipos, IF(C97=1,Inventario1!D:D,IF(C97=2,Inventario2!D:D,IF(C97=3,Inventario3!D:D,IF(C97=4,Inventario4!D:D,IF(C97=5,Inventario5!D:D,Inventario6!D:D))))),
    _xlpm.invStats, IF(C97=1,Inventario1!E:I,IF(C97=2,Inventario2!E:I,IF(C97=3,Inventario3!E:I,IF(C97=4,Inventario4!E:I,IF(C97=5,Inventario5!E:I,Inventario6!E:I))))),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IF(ROW(B97)=2,"",IF(_xlfn._xlws.FILTER(Equipar!AD$2:AD96,Equipar!C$2:C96=C97)={0},"",_xlfn._xlws.FILTER(Equipar!AD$2:AD96,Equipar!C$2:C96=C97))),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97" s="17">
        <f t="shared" ca="1" si="4"/>
        <v>-21.239999999999995</v>
      </c>
      <c r="L97" s="17">
        <f t="shared" ca="1" si="5"/>
        <v>35.910000000000004</v>
      </c>
      <c r="M97" s="17">
        <f t="shared" ca="1" si="5"/>
        <v>117</v>
      </c>
      <c r="N97" s="17">
        <f t="shared" si="6"/>
        <v>57.15</v>
      </c>
      <c r="O97" s="17">
        <f t="shared" ca="1" si="6"/>
        <v>59.85</v>
      </c>
      <c r="P97" s="18" cm="1">
        <f t="array" aca="1" ref="P97" ca="1">_xlfn.LET(
    _xlpm.ptsPrinBase, _xlfn._xlws.FILTER(G:G, A:A=A97),
    _xlpm.ptsSecBase,  _xlfn._xlws.FILTER(H:H, A:A=A97),
    _xlpm.puntosPrin, _xlpm.ptsPrinBase + _xlfn._xlws.FILTER(B:B, A:A=A97)/1000,
    _xlpm.puntosSec,  _xlpm.ptsSecBase  + _xlfn._xlws.FILTER(B:B, A:A=A97)/1000,
    _xlpm.puntosPrinValidos, SUM(--(_xlpm.ptsPrinBase&gt;0)),
    _xlpm.puntosSecValidos,  SUM(--(_xlpm.ptsSecBase&gt;0)),
    _xlpm.clave, K97 + B97/1000,
    _xlpm.claves, _xlfn._xlws.FILTER(K:K + B:B/1000, A:A=A97),
    IF(AND(_xlpm.puntosPrinValidos&gt;=4,_xlpm.puntosSecValidos&gt;=2),IF(
        SUM(--(_xlpm.claves &gt; _xlpm.clave)) &lt; 4,
        C97,
        D97
    ),"No disp")
)</f>
        <v>3</v>
      </c>
      <c r="Q97" s="18" cm="1">
        <f t="array" aca="1" ref="Q97" ca="1">_xlfn.LET(
    _xlpm.puntosPrin, _xlfn._xlws.FILTER(G:G + B:B/1000, A:A=A97),
    _xlpm.puntosPrinValidos, SUM(--(_xlpm.puntosPrin&gt;1)),
    _xlpm.puntosTer, _xlfn._xlws.FILTER(I:I + B:B/1000, A:A=A97),
    _xlpm.puntosTerValidos, SUM(--(_xlpm.puntosTer&gt;1)),
    _xlpm.clave, L97 + B97/1000,
    _xlpm.claves, _xlfn._xlws.FILTER(L:L + B:B/1000, A:A=A97),
    IF(AND(_xlpm.puntosPrinValidos&gt;=4,_xlpm.puntosTerValidos&gt;=2),IF(
        SUM(--(_xlpm.claves &gt; _xlpm.clave)) &lt; 4,
        C97,
        E97
    ),"No disp")
)</f>
        <v>3</v>
      </c>
      <c r="R97" s="18" t="str" cm="1">
        <f t="array" aca="1" ref="R97" ca="1">_xlfn.LET(
    _xlpm.puntosPrin, _xlfn._xlws.FILTER(G:G + B:B/1000, A:A=A97),
    _xlpm.puntosPrinValidos, SUM(--(_xlpm.puntosPrin&gt;1)),
    _xlpm.puntosTer, _xlfn._xlws.FILTER(J:J + B:B/1000, A:A=A97),
    _xlpm.puntosTerValidos, SUM(--(_xlpm.puntosTer&gt;1)),
    _xlpm.clave, M97 + B97/1000,
    _xlpm.claves, _xlfn._xlws.FILTER(M:M + B:B/1000, A:A=A97),
    IF(AND(_xlpm.puntosPrinValidos&gt;=4,_xlpm.puntosTerValidos&gt;=2),IF(
        SUM(--(_xlpm.claves &gt; _xlpm.clave)) &lt; 4,
        C97,
        F97
    ),"No disp")
)</f>
        <v>No disp</v>
      </c>
      <c r="S97" s="18" cm="1">
        <f t="array" aca="1" ref="S97" ca="1">_xlfn.LET(
    _xlpm.ptsPrinBase, _xlfn._xlws.FILTER(G:G, A:A=A97),
    _xlpm.ptsSecBase,  _xlfn._xlws.FILTER(H:H, A:A=A97),
    _xlpm.puntosPrin, _xlpm.ptsPrinBase + _xlfn._xlws.FILTER(B:B, A:A=A97)/1000,
    _xlpm.puntosSec,  _xlpm.ptsSecBase  + _xlfn._xlws.FILTER(B:B, A:A=A97)/1000,
    _xlpm.puntosPrinValidos, SUM(--(_xlpm.ptsPrinBase&gt;0)),
    _xlpm.puntosSecValidos,  SUM(--(_xlpm.ptsSecBase&gt;0)),
    _xlpm.clave, K97 + B97/1000,
    _xlpm.claves, _xlfn._xlws.FILTER(K:K + B:B/1000, A:A=A97),
    IF(
        AND(_xlpm.puntosPrinValidos&gt;=2, _xlpm.puntosSecValidos&gt;=4),
        IF(
            SUM(--(_xlpm.claves &lt; _xlpm.clave)) &lt; 4,
            D97,
            C97
        ),
        "No disp"
    )
)</f>
        <v>175</v>
      </c>
      <c r="T97" s="18" cm="1">
        <f t="array" ref="T97">_xlfn.LET(
    _xlpm.puntosSec, _xlfn._xlws.FILTER(H:H + B:B/1000, A:A=A97),
    _xlpm.puntosSecValidos, SUM(--(_xlpm.puntosSec&gt;1)),
    _xlpm.puntosAlt, _xlfn._xlws.FILTER(I:I + B:B/1000, A:A=A97),
    _xlpm.puntosAltValidos, SUM(--(_xlpm.puntosAlt&gt;1)),
    _xlpm.clave, N97 + B97/1000,
    _xlpm.claves, _xlfn._xlws.FILTER(N:N + B:B/1000, A:A=A97),
    IF(AND(_xlpm.puntosSecValidos&gt;=4,_xlpm.puntosAltValidos&gt;=2),IF(
        SUM(--(_xlpm.claves &gt; _xlpm.clave)) &lt; 4,
        D97,
        E97
    ),"No disp")
)</f>
        <v>175</v>
      </c>
      <c r="U97" s="18" t="str" cm="1">
        <f t="array" aca="1" ref="U97" ca="1">_xlfn.LET(
    _xlpm.puntosSec, _xlfn._xlws.FILTER(H:H + B:B/1000, A:A=A97),
    _xlpm.puntosSecValidos, SUM(--(_xlpm.puntosSec&gt;1)),
    _xlpm.puntosAlt, _xlfn._xlws.FILTER(J:J + B:B/1000, A:A=A97),
    _xlpm.puntosAltValidos, SUM(--(_xlpm.puntosAlt&gt;1)),
    _xlpm.clave, O97 + B97/1000,
    _xlpm.claves, _xlfn._xlws.FILTER(O:O + B:B/1000, A:A=A97),
    IF(AND(_xlpm.puntosSecValidos&gt;=4,_xlpm.puntosAltValidos&gt;=2),IF(
        SUM(--(_xlpm.claves &gt; _xlpm.clave)) &lt; 4,
        D97,
        F97
    ),"No disp")
)</f>
        <v>No disp</v>
      </c>
      <c r="V97" s="17" cm="1">
        <f t="array" aca="1" ref="V97" ca="1">_xlfn.LET(
_xlpm.PrinIDs,_xlfn._xlws.FILTER(C:C,(A:A=A97)),
_xlpm.SecIDs,_xlfn._xlws.FILTER(D:D,(A:A=A97)),
_xlpm.TerIDs,_xlfn._xlws.FILTER(E:E,A:A=A97),
_xlpm.CuaIDs,_xlfn._xlws.FILTER(F:F,(A:A=A97)),
_xlpm.PrinPts,_xlfn._xlws.FILTER(G:G,(A:A=A97)),
_xlpm.SecPts,_xlfn._xlws.FILTER(H:H,(A:A=A97)),
_xlpm.TerPts,_xlfn._xlws.FILTER(I:I,(A:A=A97)),
_xlpm.CuaPts,_xlfn._xlws.FILTER(J:J,(A:A=A97)),
_xlpm.PSIds,_xlfn._xlws.FILTER(P:P,A:A=A97),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769.68000000000006</v>
      </c>
      <c r="W97" s="17" cm="1">
        <f t="array" aca="1" ref="W97" ca="1">_xlfn.LET(
_xlpm.PrinIDs,_xlfn._xlws.FILTER(C:C,(A:A=A97)),
_xlpm.SecIDs,_xlfn._xlws.FILTER(D:D,(A:A=A97)),
_xlpm.TerIDs,_xlfn._xlws.FILTER(E:E,A:A=A97),
_xlpm.CuaIDs,_xlfn._xlws.FILTER(F:F,(A:A=A97)),
_xlpm.PrinPts,_xlfn._xlws.FILTER(G:G,(A:A=A97)),
_xlpm.SecPts,_xlfn._xlws.FILTER(H:H,(A:A=A97)),
_xlpm.TerPts,_xlfn._xlws.FILTER(I:I,(A:A=A97)),
_xlpm.CuaPts,_xlfn._xlws.FILTER(J:J,(A:A=A97)),
_xlpm.PTIds,_xlfn._xlws.FILTER(Q:Q,A:A=A97),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718.74</v>
      </c>
      <c r="X97" s="17" cm="1">
        <f t="array" aca="1" ref="X97" ca="1">_xlfn.LET(
_xlpm.PrinIDs,_xlfn._xlws.FILTER(C:C,(A:A=A97)),
_xlpm.SecIDs,_xlfn._xlws.FILTER(D:D,(A:A=A97)),
_xlpm.TerIDs,_xlfn._xlws.FILTER(E:E,A:A=A97),
_xlpm.CuaIDs,_xlfn._xlws.FILTER(F:F,(A:A=A97)),
_xlpm.PrinPts,_xlfn._xlws.FILTER(G:G,(A:A=A97)),
_xlpm.SecPts,_xlfn._xlws.FILTER(H:H,(A:A=A97)),
_xlpm.TerPts,_xlfn._xlws.FILTER(I:I,(A:A=A97)),
_xlpm.CuaPts,_xlfn._xlws.FILTER(J:J,(A:A=A97)),
_xlpm.PCIds,_xlfn._xlws.FILTER(R:R,A:A=A97),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97" s="17" cm="1">
        <f t="array" aca="1" ref="Y97" ca="1">_xlfn.LET(
_xlpm.PrinIDs,_xlfn._xlws.FILTER(C:C,(A:A=A97)),
_xlpm.SecIDs,_xlfn._xlws.FILTER(D:D,(A:A=A97)),
_xlpm.AltIDs,_xlfn._xlws.FILTER(E:E,A:A=A97),
_xlpm.PrinPts,_xlfn._xlws.FILTER(G:G,(A:A=A97)),
_xlpm.SecPts,_xlfn._xlws.FILTER(H:H,(A:A=A97)),
_xlpm.AltPts,_xlfn._xlws.FILTER(I:I,(A:A=A97)),
_xlpm.SPIds,_xlfn._xlws.FILTER(S:S,A:A=A97),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790.92000000000007</v>
      </c>
      <c r="Z97" s="17" cm="1">
        <f t="array" aca="1" ref="Z97" ca="1">_xlfn.LET(
_xlpm.PrinIDs,_xlfn._xlws.FILTER(C:C,(A:A=A97)),
_xlpm.SecIDs,_xlfn._xlws.FILTER(D:D,(A:A=A97)),
_xlpm.TerIDs,_xlfn._xlws.FILTER(E:E,A:A=A97),
_xlpm.CuaIDs,_xlfn._xlws.FILTER(F:F,(A:A=A97)),
_xlpm.PrinPts,_xlfn._xlws.FILTER(G:G,(A:A=A97)),
_xlpm.SecPts,_xlfn._xlws.FILTER(H:H,(A:A=A97)),
_xlpm.TerPts,_xlfn._xlws.FILTER(I:I,(A:A=A97)),
_xlpm.CuaPts,_xlfn._xlws.FILTER(J:J,(A:A=A97)),
_xlpm.STIds,_xlfn._xlws.FILTER(T:T,A:A=A97),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781.65000000000009</v>
      </c>
      <c r="AA97" s="17" cm="1">
        <f t="array" aca="1" ref="AA97" ca="1">_xlfn.LET(
_xlpm.PrinIDs,_xlfn._xlws.FILTER(C:C,(A:A=A97)),
_xlpm.SecIDs,_xlfn._xlws.FILTER(D:D,(A:A=A97)),
_xlpm.TerIDs,_xlfn._xlws.FILTER(E:E,A:A=A97),
_xlpm.CuaIDs,_xlfn._xlws.FILTER(F:F,(A:A=A97)),
_xlpm.PrinPts,_xlfn._xlws.FILTER(G:G,(A:A=A97)),
_xlpm.SecPts,_xlfn._xlws.FILTER(H:H,(A:A=A97)),
_xlpm.TerPts,_xlfn._xlws.FILTER(I:I,(A:A=A97)),
_xlpm.CuaPts,_xlfn._xlws.FILTER(J:J,(A:A=A97)),
_xlpm.SCIds,_xlfn._xlws.FILTER(U:U,A:A=A97),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97" s="18">
        <f t="shared" ca="1" si="7"/>
        <v>175</v>
      </c>
      <c r="AC97" s="18">
        <v>175</v>
      </c>
      <c r="AD97" s="17"/>
      <c r="AE97" s="18" t="str">
        <f ca="1">IF(ISNUMBER(AC97),
IF($B97=1,VLOOKUP($AC97,Inventario1!$A:$H,2),
IF($B97=2,VLOOKUP($AC97,Inventario2!$A:$H,2),
IF($B97=3,VLOOKUP($AC97,Inventario3!$A:$H,2),
IF($B97=4,VLOOKUP($AC97,Inventario4!$A:$H,2),
IF($B97=5,VLOOKUP($AC97,Inventario5!$A:$H,2),
VLOOKUP($AC97,Inventario6!$A:$H,2)
))))),"No equipado")</f>
        <v>Épico</v>
      </c>
      <c r="AF97" s="18" t="str">
        <f ca="1">IF(ISNUMBER(AC97),
IF($B97=1,VLOOKUP($AC97,Inventario1!$A:$H,3),
IF($B97=2,VLOOKUP($AC97,Inventario2!$A:$H,3),
IF($B97=3,VLOOKUP($AC97,Inventario3!$A:$H,3),
IF($B97=4,VLOOKUP($AC97,Inventario4!$A:$H,3),
IF($B97=5,VLOOKUP($AC97,Inventario5!$A:$H,3),
VLOOKUP($AC97,Inventario6!$A:$H,3)
))))),"")</f>
        <v>Incremento de poder</v>
      </c>
      <c r="AG97" s="18" t="str">
        <f ca="1">IF(ISNUMBER(AC97),
IF($B97=1,VLOOKUP($AC97,Inventario1!$A:$H,4),
IF($B97=2,VLOOKUP($AC97,Inventario2!$A:$H,4),
IF($B97=3,VLOOKUP($AC97,Inventario3!$A:$H,4),
IF($B97=4,VLOOKUP($AC97,Inventario4!$A:$H,4),
IF($B97=5,VLOOKUP($AC97,Inventario5!$A:$H,4),
VLOOKUP($AC97,Inventario6!$A:$H,4)
))))),"")</f>
        <v>Ataque poderoso</v>
      </c>
      <c r="AH97" s="18" t="str">
        <f ca="1">IF(ISNUMBER(AC97),
IF($B97=1,VLOOKUP($AC97,Inventario1!$A:$H,5),
IF($B97=2,VLOOKUP($AC97,Inventario2!$A:$H,5),
IF($B97=3,VLOOKUP($AC97,Inventario3!$A:$H,5),
IF($B97=4,VLOOKUP($AC97,Inventario4!$A:$H,5),
IF($B97=5,VLOOKUP($AC97,Inventario5!$A:$H,5),
VLOOKUP($AC97,Inventario6!$A:$H,5)
))))),"")</f>
        <v>Recepción</v>
      </c>
      <c r="AI97" s="18" t="str">
        <f ca="1">IF(ISNUMBER(AC97),
IF($B97=1,VLOOKUP($AC97,Inventario1!$A:$H,6),
IF($B97=2,VLOOKUP($AC97,Inventario2!$A:$H,6),
IF($B97=3,VLOOKUP($AC97,Inventario3!$A:$H,6),
IF($B97=4,VLOOKUP($AC97,Inventario4!$A:$H,6),
IF($B97=5,VLOOKUP($AC97,Inventario5!$A:$H,6),
VLOOKUP($AC97,Inventario6!$A:$H,6)
))))),"")</f>
        <v>Ataque poderoso</v>
      </c>
      <c r="AJ97" s="18">
        <f ca="1">IF(ISNUMBER(AC97),
IF($B97=1,VLOOKUP($AC97,Inventario1!$A:$H,7),
IF($B97=2,VLOOKUP($AC97,Inventario2!$A:$H,7),
IF($B97=3,VLOOKUP($AC97,Inventario3!$A:$H,7),
IF($B97=4,VLOOKUP($AC97,Inventario4!$A:$H,7),
IF($B97=5,VLOOKUP($AC97,Inventario5!$A:$H,7),
VLOOKUP($AC97,Inventario6!$A:$H,7)
))))),"")</f>
        <v>0</v>
      </c>
      <c r="AK97" s="19">
        <f ca="1">IF(ISNUMBER(AC97),
IF($B97=1,VLOOKUP($AC97,Inventario1!$A:$H,8),
IF($B97=2,VLOOKUP($AC97,Inventario2!$A:$H,8),
IF($B97=3,VLOOKUP($AC97,Inventario3!$A:$H,8),
IF($B97=4,VLOOKUP($AC97,Inventario4!$A:$H,8),
IF($B97=5,VLOOKUP($AC97,Inventario5!$A:$H,8),
VLOOKUP($AC97,Inventario6!$A:$H,8)
))))),"")</f>
        <v>0</v>
      </c>
    </row>
    <row r="98" spans="1:37" x14ac:dyDescent="0.25">
      <c r="A98" s="20" t="s">
        <v>73</v>
      </c>
      <c r="B98" s="9">
        <v>1</v>
      </c>
      <c r="C98" s="10" cm="1">
        <f t="array" ref="C98">_xlfn.LET(
    _xlpm.jugador, A98,
    _xlpm.idSel, AC98,
    _xlpm.invIDs, IF(B98=1,Inventario1!A:A,IF(B98=2,Inventario2!A:A,IF(B98=3,Inventario3!A:A,IF(B98=4,Inventario4!A:A,IF(B98=5,Inventario5!A:A,Inventario6!A:A))))),
    _xlpm.invCalidad, IF(B98=1,Inventario1!B:B,IF(B98=2,Inventario2!B:B,IF(B98=3,Inventario3!B:B,IF(B98=4,Inventario4!B:B,IF(B98=5,Inventario5!B:B,Inventario6!B:B))))),
    _xlpm.invTipos, IF(B98=1,Inventario1!C:C,IF(B98=2,Inventario2!C:C,IF(B98=3,Inventario3!C:C,IF(B98=4,Inventario4!C:C,IF(B98=5,Inventario5!C:C,Inventario6!C:C))))),
    _xlpm.invStats, IF(B98=1,Inventario1!D:H,IF(B98=2,Inventario2!D:H,IF(B98=3,Inventario3!D:H,IF(B98=4,Inventario4!D:H,IF(B98=5,Inventario5!D:H,Inventario6!D:H))))),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IF(ROW(A98)=2,"",IF(_xlfn._xlws.FILTER(Equipar!AC$2:AC97,Equipar!B$2:B97=B98)={0},"",_xlfn._xlws.FILTER(Equipar!AC$2:AC97,Equipar!B$2:B97=B98))),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44</v>
      </c>
      <c r="D98" s="11" cm="1">
        <f t="array" ref="D98">_xlfn.LET(
    _xlpm.jugador, A98,
    _xlpm.idSel, AC98,
    _xlpm.invIDs, IF(B98=1,Inventario1!A:A,IF(B98=2,Inventario2!A:A,IF(B98=3,Inventario3!A:A,IF(B98=4,Inventario4!A:A,IF(B98=5,Inventario5!A:A,Inventario6!A:A))))),
    _xlpm.invCalidad, IF(B98=1,Inventario1!B:B,IF(B98=2,Inventario2!B:B,IF(B98=3,Inventario3!B:B,IF(B98=4,Inventario4!B:B,IF(B98=5,Inventario5!B:B,Inventario6!B:B))))),
    _xlpm.invTipos, IF(B98=1,Inventario1!C:C,IF(B98=2,Inventario2!C:C,IF(B98=3,Inventario3!C:C,IF(B98=4,Inventario4!C:C,IF(B98=5,Inventario5!C:C,Inventario6!C:C))))),
    _xlpm.invStats, IF(B98=1,Inventario1!D:H,IF(B98=2,Inventario2!D:H,IF(B98=3,Inventario3!D:H,IF(B98=4,Inventario4!D:H,IF(B98=5,Inventario5!D:H,Inventario6!D:H))))),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IF(ROW(A98)=2,"",IF(_xlfn._xlws.FILTER(Equipar!AC$2:AC97,Equipar!B$2:B97=B98)={0},"",_xlfn._xlws.FILTER(Equipar!AC$2:AC97,Equipar!B$2:B97=B98))),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46</v>
      </c>
      <c r="E98" s="11" cm="1">
        <f t="array" aca="1" ref="E98" ca="1">_xlfn.LET(
    _xlpm.jugador, A98,
    _xlpm.idSel, AC98,
    _xlpm.invIDs, IF(B98=1,Inventario1!A:A,IF(B98=2,Inventario2!A:A,IF(B98=3,Inventario3!A:A,IF(B98=4,Inventario4!A:A,IF(B98=5,Inventario5!A:A,Inventario6!A:A))))),
    _xlpm.invCalidad, IF(B98=1,Inventario1!B:B,IF(B98=2,Inventario2!B:B,IF(B98=3,Inventario3!B:B,IF(B98=4,Inventario4!B:B,IF(B98=5,Inventario5!B:B,Inventario6!B:B))))),
    _xlpm.invTipos, IF(B98=1,Inventario1!C:C,IF(B98=2,Inventario2!C:C,IF(B98=3,Inventario3!C:C,IF(B98=4,Inventario4!C:C,IF(B98=5,Inventario5!C:C,Inventario6!C:C))))),
    _xlpm.invStats, IF(B98=1,Inventario1!D:H,IF(B98=2,Inventario2!D:H,IF(B98=3,Inventario3!D:H,IF(B98=4,Inventario4!D:H,IF(B98=5,Inventario5!D:H,Inventario6!D:H))))),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IF(ROW(A98)=2,"",IF(_xlfn._xlws.FILTER(Equipar!AC$2:AC97,Equipar!B$2:B97=B98)={0},"",_xlfn._xlws.FILTER(Equipar!AC$2:AC97,Equipar!B$2:B97=B98))),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146</v>
      </c>
      <c r="F98" s="11" t="str" cm="1">
        <f t="array" aca="1" ref="F98" ca="1">_xlfn.LET(
    _xlpm.jugador, B98,
    _xlpm.idSel, AD98,
    _xlpm.invIDs, IF(C98=1,Inventario1!B:B,IF(C98=2,Inventario2!B:B,IF(C98=3,Inventario3!B:B,IF(C98=4,Inventario4!B:B,IF(C98=5,Inventario5!B:B,Inventario6!B:B))))),
    _xlpm.invCalidad, IF(C98=1,Inventario1!C:C,IF(C98=2,Inventario2!C:C,IF(C98=3,Inventario3!C:C,IF(C98=4,Inventario4!C:C,IF(C98=5,Inventario5!C:C,Inventario6!C:C))))),
    _xlpm.invTipos, IF(C98=1,Inventario1!D:D,IF(C98=2,Inventario2!D:D,IF(C98=3,Inventario3!D:D,IF(C98=4,Inventario4!D:D,IF(C98=5,Inventario5!D:D,Inventario6!D:D))))),
    _xlpm.invStats, IF(C98=1,Inventario1!E:I,IF(C98=2,Inventario2!E:I,IF(C98=3,Inventario3!E:I,IF(C98=4,Inventario4!E:I,IF(C98=5,Inventario5!E:I,Inventario6!E:I))))),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IF(ROW(B98)=2,"",IF(_xlfn._xlws.FILTER(Equipar!AD$2:AD97,Equipar!C$2:C97=C98)={0},"",_xlfn._xlws.FILTER(Equipar!AD$2:AD97,Equipar!C$2:C97=C98))),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98" s="10" cm="1">
        <f t="array" ref="G98">_xlfn.LET(
    _xlpm.jugador, A98,
    _xlpm.idSel, AC98,
    _xlpm.invIDs, IF(B98=1,Inventario1!A:A,IF(B98=2,Inventario2!A:A,IF(B98=3,Inventario3!A:A,IF(B98=4,Inventario4!A:A,IF(B98=5,Inventario5!A:A,Inventario6!A:A))))),
    _xlpm.invCalidad, IF(B98=1,Inventario1!B:B,IF(B98=2,Inventario2!B:B,IF(B98=3,Inventario3!B:B,IF(B98=4,Inventario4!B:B,IF(B98=5,Inventario5!B:B,Inventario6!B:B))))),
    _xlpm.invTipos, IF(B98=1,Inventario1!C:C,IF(B98=2,Inventario2!C:C,IF(B98=3,Inventario3!C:C,IF(B98=4,Inventario4!C:C,IF(B98=5,Inventario5!C:C,Inventario6!C:C))))),
    _xlpm.invStats, IF(B98=1,Inventario1!D:H,IF(B98=2,Inventario2!D:H,IF(B98=3,Inventario3!D:H,IF(B98=4,Inventario4!D:H,IF(B98=5,Inventario5!D:H,Inventario6!D:H))))),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IF(ROW(A98)=2,"",IF(_xlfn._xlws.FILTER(Equipar!AC$2:AC97,Equipar!B$2:B97=B98)={0},"",_xlfn._xlws.FILTER(Equipar!AC$2:AC97,Equipar!B$2:B97=B98))),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H98" s="11" cm="1">
        <f t="array" ref="H98">_xlfn.LET(
    _xlpm.jugador, A98,
    _xlpm.idSel, AC98,
    _xlpm.invIDs, IF(B98=1,Inventario1!A:A,IF(B98=2,Inventario2!A:A,IF(B98=3,Inventario3!A:A,IF(B98=4,Inventario4!A:A,IF(B98=5,Inventario5!A:A,Inventario6!A:A))))),
    _xlpm.invCalidad, IF(B98=1,Inventario1!B:B,IF(B98=2,Inventario2!B:B,IF(B98=3,Inventario3!B:B,IF(B98=4,Inventario4!B:B,IF(B98=5,Inventario5!B:B,Inventario6!B:B))))),
    _xlpm.invTipos, IF(B98=1,Inventario1!C:C,IF(B98=2,Inventario2!C:C,IF(B98=3,Inventario3!C:C,IF(B98=4,Inventario4!C:C,IF(B98=5,Inventario5!C:C,Inventario6!C:C))))),
    _xlpm.invStats, IF(B98=1,Inventario1!D:H,IF(B98=2,Inventario2!D:H,IF(B98=3,Inventario3!D:H,IF(B98=4,Inventario4!D:H,IF(B98=5,Inventario5!D:H,Inventario6!D:H))))),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IF(ROW(A98)=2,"",IF(_xlfn._xlws.FILTER(Equipar!AC$2:AC97,Equipar!B$2:B97=B98)={0},"",_xlfn._xlws.FILTER(Equipar!AC$2:AC97,Equipar!B$2:B97=B98))),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90</v>
      </c>
      <c r="I98" s="11" cm="1">
        <f t="array" aca="1" ref="I98" ca="1">_xlfn.LET(
    _xlpm.jugador, A98,
    _xlpm.idSel, AC98,
    _xlpm.invIDs, IF(B98=1,Inventario1!A:A,IF(B98=2,Inventario2!A:A,IF(B98=3,Inventario3!A:A,IF(B98=4,Inventario4!A:A,IF(B98=5,Inventario5!A:A,Inventario6!A:A))))),
    _xlpm.invCalidad, IF(B98=1,Inventario1!B:B,IF(B98=2,Inventario2!B:B,IF(B98=3,Inventario3!B:B,IF(B98=4,Inventario4!B:B,IF(B98=5,Inventario5!B:B,Inventario6!B:B))))),
    _xlpm.invTipos, IF(B98=1,Inventario1!C:C,IF(B98=2,Inventario2!C:C,IF(B98=3,Inventario3!C:C,IF(B98=4,Inventario4!C:C,IF(B98=5,Inventario5!C:C,Inventario6!C:C))))),
    _xlpm.invStats, IF(B98=1,Inventario1!D:H,IF(B98=2,Inventario2!D:H,IF(B98=3,Inventario3!D:H,IF(B98=4,Inventario4!D:H,IF(B98=5,Inventario5!D:H,Inventario6!D:H))))),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IF(ROW(A98)=2,"",IF(_xlfn._xlws.FILTER(Equipar!AC$2:AC97,Equipar!B$2:B97=B98)={0},"",_xlfn._xlws.FILTER(Equipar!AC$2:AC97,Equipar!B$2:B97=B98))),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J98" s="11" cm="1">
        <f t="array" aca="1" ref="J98" ca="1">_xlfn.LET(
    _xlpm.jugador, B98,
    _xlpm.idSel, AD98,
    _xlpm.invIDs, IF(C98=1,Inventario1!B:B,IF(C98=2,Inventario2!B:B,IF(C98=3,Inventario3!B:B,IF(C98=4,Inventario4!B:B,IF(C98=5,Inventario5!B:B,Inventario6!B:B))))),
    _xlpm.invCalidad, IF(C98=1,Inventario1!C:C,IF(C98=2,Inventario2!C:C,IF(C98=3,Inventario3!C:C,IF(C98=4,Inventario4!C:C,IF(C98=5,Inventario5!C:C,Inventario6!C:C))))),
    _xlpm.invTipos, IF(C98=1,Inventario1!D:D,IF(C98=2,Inventario2!D:D,IF(C98=3,Inventario3!D:D,IF(C98=4,Inventario4!D:D,IF(C98=5,Inventario5!D:D,Inventario6!D:D))))),
    _xlpm.invStats, IF(C98=1,Inventario1!E:I,IF(C98=2,Inventario2!E:I,IF(C98=3,Inventario3!E:I,IF(C98=4,Inventario4!E:I,IF(C98=5,Inventario5!E:I,Inventario6!E:I))))),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IF(ROW(B98)=2,"",IF(_xlfn._xlws.FILTER(Equipar!AD$2:AD97,Equipar!C$2:C97=C98)={0},"",_xlfn._xlws.FILTER(Equipar!AD$2:AD97,Equipar!C$2:C97=C98))),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98" s="11">
        <f t="shared" si="4"/>
        <v>-9</v>
      </c>
      <c r="L98" s="11">
        <f t="shared" ca="1" si="5"/>
        <v>-18</v>
      </c>
      <c r="M98" s="11">
        <f t="shared" ca="1" si="5"/>
        <v>90</v>
      </c>
      <c r="N98" s="11">
        <f t="shared" ca="1" si="6"/>
        <v>-9</v>
      </c>
      <c r="O98" s="11">
        <f t="shared" ca="1" si="6"/>
        <v>99</v>
      </c>
      <c r="P98" s="10" cm="1">
        <f t="array" aca="1" ref="P98" ca="1">_xlfn.LET(
    _xlpm.ptsPrinBase, _xlfn._xlws.FILTER(G:G, A:A=A98),
    _xlpm.ptsSecBase,  _xlfn._xlws.FILTER(H:H, A:A=A98),
    _xlpm.puntosPrin, _xlpm.ptsPrinBase + _xlfn._xlws.FILTER(B:B, A:A=A98)/1000,
    _xlpm.puntosSec,  _xlpm.ptsSecBase  + _xlfn._xlws.FILTER(B:B, A:A=A98)/1000,
    _xlpm.puntosPrinValidos, SUM(--(_xlpm.ptsPrinBase&gt;0)),
    _xlpm.puntosSecValidos,  SUM(--(_xlpm.ptsSecBase&gt;0)),
    _xlpm.clave, K98 + B98/1000,
    _xlpm.claves, _xlfn._xlws.FILTER(K:K + B:B/1000, A:A=A98),
    IF(AND(_xlpm.puntosPrinValidos&gt;=4,_xlpm.puntosSecValidos&gt;=2),IF(
        SUM(--(_xlpm.claves &gt; _xlpm.clave)) &lt; 4,
        C98,
        D98
    ),"No disp")
)</f>
        <v>44</v>
      </c>
      <c r="Q98" s="10" cm="1">
        <f t="array" aca="1" ref="Q98" ca="1">_xlfn.LET(
    _xlpm.puntosPrin, _xlfn._xlws.FILTER(G:G + B:B/1000, A:A=A98),
    _xlpm.puntosPrinValidos, SUM(--(_xlpm.puntosPrin&gt;1)),
    _xlpm.puntosTer, _xlfn._xlws.FILTER(I:I + B:B/1000, A:A=A98),
    _xlpm.puntosTerValidos, SUM(--(_xlpm.puntosTer&gt;1)),
    _xlpm.clave, L98 + B98/1000,
    _xlpm.claves, _xlfn._xlws.FILTER(L:L + B:B/1000, A:A=A98),
    IF(AND(_xlpm.puntosPrinValidos&gt;=4,_xlpm.puntosTerValidos&gt;=2),IF(
        SUM(--(_xlpm.claves &gt; _xlpm.clave)) &lt; 4,
        C98,
        E98
    ),"No disp")
)</f>
        <v>44</v>
      </c>
      <c r="R98" s="10" t="str" cm="1">
        <f t="array" aca="1" ref="R98" ca="1">_xlfn.LET(
    _xlpm.puntosPrin, _xlfn._xlws.FILTER(G:G + B:B/1000, A:A=A98),
    _xlpm.puntosPrinValidos, SUM(--(_xlpm.puntosPrin&gt;1)),
    _xlpm.puntosTer, _xlfn._xlws.FILTER(J:J + B:B/1000, A:A=A98),
    _xlpm.puntosTerValidos, SUM(--(_xlpm.puntosTer&gt;1)),
    _xlpm.clave, M98 + B98/1000,
    _xlpm.claves, _xlfn._xlws.FILTER(M:M + B:B/1000, A:A=A98),
    IF(AND(_xlpm.puntosPrinValidos&gt;=4,_xlpm.puntosTerValidos&gt;=2),IF(
        SUM(--(_xlpm.claves &gt; _xlpm.clave)) &lt; 4,
        C98,
        F98
    ),"No disp")
)</f>
        <v>No disp</v>
      </c>
      <c r="S98" s="10" cm="1">
        <f t="array" aca="1" ref="S98" ca="1">_xlfn.LET(
    _xlpm.ptsPrinBase, _xlfn._xlws.FILTER(G:G, A:A=A98),
    _xlpm.ptsSecBase,  _xlfn._xlws.FILTER(H:H, A:A=A98),
    _xlpm.puntosPrin, _xlpm.ptsPrinBase + _xlfn._xlws.FILTER(B:B, A:A=A98)/1000,
    _xlpm.puntosSec,  _xlpm.ptsSecBase  + _xlfn._xlws.FILTER(B:B, A:A=A98)/1000,
    _xlpm.puntosPrinValidos, SUM(--(_xlpm.ptsPrinBase&gt;0)),
    _xlpm.puntosSecValidos,  SUM(--(_xlpm.ptsSecBase&gt;0)),
    _xlpm.clave, K98 + B98/1000,
    _xlpm.claves, _xlfn._xlws.FILTER(K:K + B:B/1000, A:A=A98),
    IF(
        AND(_xlpm.puntosPrinValidos&gt;=2, _xlpm.puntosSecValidos&gt;=4),
        IF(
            SUM(--(_xlpm.claves &lt; _xlpm.clave)) &lt; 4,
            D98,
            C98
        ),
        "No disp"
    )
)</f>
        <v>46</v>
      </c>
      <c r="T98" s="10" cm="1">
        <f t="array" aca="1" ref="T98" ca="1">_xlfn.LET(
    _xlpm.puntosSec, _xlfn._xlws.FILTER(H:H + B:B/1000, A:A=A98),
    _xlpm.puntosSecValidos, SUM(--(_xlpm.puntosSec&gt;1)),
    _xlpm.puntosAlt, _xlfn._xlws.FILTER(I:I + B:B/1000, A:A=A98),
    _xlpm.puntosAltValidos, SUM(--(_xlpm.puntosAlt&gt;1)),
    _xlpm.clave, N98 + B98/1000,
    _xlpm.claves, _xlfn._xlws.FILTER(N:N + B:B/1000, A:A=A98),
    IF(AND(_xlpm.puntosSecValidos&gt;=4,_xlpm.puntosAltValidos&gt;=2),IF(
        SUM(--(_xlpm.claves &gt; _xlpm.clave)) &lt; 4,
        D98,
        E98
    ),"No disp")
)</f>
        <v>46</v>
      </c>
      <c r="U98" s="10" t="str" cm="1">
        <f t="array" aca="1" ref="U98" ca="1">_xlfn.LET(
    _xlpm.puntosSec, _xlfn._xlws.FILTER(H:H + B:B/1000, A:A=A98),
    _xlpm.puntosSecValidos, SUM(--(_xlpm.puntosSec&gt;1)),
    _xlpm.puntosAlt, _xlfn._xlws.FILTER(J:J + B:B/1000, A:A=A98),
    _xlpm.puntosAltValidos, SUM(--(_xlpm.puntosAlt&gt;1)),
    _xlpm.clave, O98 + B98/1000,
    _xlpm.claves, _xlfn._xlws.FILTER(O:O + B:B/1000, A:A=A98),
    IF(AND(_xlpm.puntosSecValidos&gt;=4,_xlpm.puntosAltValidos&gt;=2),IF(
        SUM(--(_xlpm.claves &gt; _xlpm.clave)) &lt; 4,
        D98,
        F98
    ),"No disp")
)</f>
        <v>No disp</v>
      </c>
      <c r="V98" s="11" cm="1">
        <f t="array" aca="1" ref="V98" ca="1">_xlfn.LET(
_xlpm.PrinIDs,_xlfn._xlws.FILTER(C:C,(A:A=A98)),
_xlpm.SecIDs,_xlfn._xlws.FILTER(D:D,(A:A=A98)),
_xlpm.TerIDs,_xlfn._xlws.FILTER(E:E,A:A=A98),
_xlpm.CuaIDs,_xlfn._xlws.FILTER(F:F,(A:A=A98)),
_xlpm.PrinPts,_xlfn._xlws.FILTER(G:G,(A:A=A98)),
_xlpm.SecPts,_xlfn._xlws.FILTER(H:H,(A:A=A98)),
_xlpm.TerPts,_xlfn._xlws.FILTER(I:I,(A:A=A98)),
_xlpm.CuaPts,_xlfn._xlws.FILTER(J:J,(A:A=A98)),
_xlpm.PSIds,_xlfn._xlws.FILTER(P:P,A:A=A98),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506.16</v>
      </c>
      <c r="W98" s="11" cm="1">
        <f t="array" aca="1" ref="W98" ca="1">_xlfn.LET(
_xlpm.PrinIDs,_xlfn._xlws.FILTER(C:C,(A:A=A98)),
_xlpm.SecIDs,_xlfn._xlws.FILTER(D:D,(A:A=A98)),
_xlpm.TerIDs,_xlfn._xlws.FILTER(E:E,A:A=A98),
_xlpm.CuaIDs,_xlfn._xlws.FILTER(F:F,(A:A=A98)),
_xlpm.PrinPts,_xlfn._xlws.FILTER(G:G,(A:A=A98)),
_xlpm.SecPts,_xlfn._xlws.FILTER(H:H,(A:A=A98)),
_xlpm.TerPts,_xlfn._xlws.FILTER(I:I,(A:A=A98)),
_xlpm.CuaPts,_xlfn._xlws.FILTER(J:J,(A:A=A98)),
_xlpm.PTIds,_xlfn._xlws.FILTER(Q:Q,A:A=A98),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524.16000000000008</v>
      </c>
      <c r="X98" s="11" cm="1">
        <f t="array" aca="1" ref="X98" ca="1">_xlfn.LET(
_xlpm.PrinIDs,_xlfn._xlws.FILTER(C:C,(A:A=A98)),
_xlpm.SecIDs,_xlfn._xlws.FILTER(D:D,(A:A=A98)),
_xlpm.TerIDs,_xlfn._xlws.FILTER(E:E,A:A=A98),
_xlpm.CuaIDs,_xlfn._xlws.FILTER(F:F,(A:A=A98)),
_xlpm.PrinPts,_xlfn._xlws.FILTER(G:G,(A:A=A98)),
_xlpm.SecPts,_xlfn._xlws.FILTER(H:H,(A:A=A98)),
_xlpm.TerPts,_xlfn._xlws.FILTER(I:I,(A:A=A98)),
_xlpm.CuaPts,_xlfn._xlws.FILTER(J:J,(A:A=A98)),
_xlpm.PCIds,_xlfn._xlws.FILTER(R:R,A:A=A98),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98" s="11" cm="1">
        <f t="array" aca="1" ref="Y98" ca="1">_xlfn.LET(
_xlpm.PrinIDs,_xlfn._xlws.FILTER(C:C,(A:A=A98)),
_xlpm.SecIDs,_xlfn._xlws.FILTER(D:D,(A:A=A98)),
_xlpm.AltIDs,_xlfn._xlws.FILTER(E:E,A:A=A98),
_xlpm.PrinPts,_xlfn._xlws.FILTER(G:G,(A:A=A98)),
_xlpm.SecPts,_xlfn._xlws.FILTER(H:H,(A:A=A98)),
_xlpm.AltPts,_xlfn._xlws.FILTER(I:I,(A:A=A98)),
_xlpm.SPIds,_xlfn._xlws.FILTER(S:S,A:A=A98),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506.43</v>
      </c>
      <c r="Z98" s="11" cm="1">
        <f t="array" aca="1" ref="Z98" ca="1">_xlfn.LET(
_xlpm.PrinIDs,_xlfn._xlws.FILTER(C:C,(A:A=A98)),
_xlpm.SecIDs,_xlfn._xlws.FILTER(D:D,(A:A=A98)),
_xlpm.TerIDs,_xlfn._xlws.FILTER(E:E,A:A=A98),
_xlpm.CuaIDs,_xlfn._xlws.FILTER(F:F,(A:A=A98)),
_xlpm.PrinPts,_xlfn._xlws.FILTER(G:G,(A:A=A98)),
_xlpm.SecPts,_xlfn._xlws.FILTER(H:H,(A:A=A98)),
_xlpm.TerPts,_xlfn._xlws.FILTER(I:I,(A:A=A98)),
_xlpm.CuaPts,_xlfn._xlws.FILTER(J:J,(A:A=A98)),
_xlpm.STIds,_xlfn._xlws.FILTER(T:T,A:A=A98),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524.43000000000006</v>
      </c>
      <c r="AA98" s="11" cm="1">
        <f t="array" aca="1" ref="AA98" ca="1">_xlfn.LET(
_xlpm.PrinIDs,_xlfn._xlws.FILTER(C:C,(A:A=A98)),
_xlpm.SecIDs,_xlfn._xlws.FILTER(D:D,(A:A=A98)),
_xlpm.TerIDs,_xlfn._xlws.FILTER(E:E,A:A=A98),
_xlpm.CuaIDs,_xlfn._xlws.FILTER(F:F,(A:A=A98)),
_xlpm.PrinPts,_xlfn._xlws.FILTER(G:G,(A:A=A98)),
_xlpm.SecPts,_xlfn._xlws.FILTER(H:H,(A:A=A98)),
_xlpm.TerPts,_xlfn._xlws.FILTER(I:I,(A:A=A98)),
_xlpm.CuaPts,_xlfn._xlws.FILTER(J:J,(A:A=A98)),
_xlpm.SCIds,_xlfn._xlws.FILTER(U:U,A:A=A98),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98" s="10">
        <f t="shared" ca="1" si="7"/>
        <v>46</v>
      </c>
      <c r="AC98" s="10">
        <v>46</v>
      </c>
      <c r="AD98" s="11"/>
      <c r="AE98" s="10" t="str">
        <f ca="1">IF(ISNUMBER(AC98),
IF($B98=1,VLOOKUP($AC98,Inventario1!$A:$H,2),
IF($B98=2,VLOOKUP($AC98,Inventario2!$A:$H,2),
IF($B98=3,VLOOKUP($AC98,Inventario3!$A:$H,2),
IF($B98=4,VLOOKUP($AC98,Inventario4!$A:$H,2),
IF($B98=5,VLOOKUP($AC98,Inventario5!$A:$H,2),
VLOOKUP($AC98,Inventario6!$A:$H,2)
))))),"No equipado")</f>
        <v>Épico</v>
      </c>
      <c r="AF98" s="10" t="str">
        <f ca="1">IF(ISNUMBER(AC98),
IF($B98=1,VLOOKUP($AC98,Inventario1!$A:$H,3),
IF($B98=2,VLOOKUP($AC98,Inventario2!$A:$H,3),
IF($B98=3,VLOOKUP($AC98,Inventario3!$A:$H,3),
IF($B98=4,VLOOKUP($AC98,Inventario4!$A:$H,3),
IF($B98=5,VLOOKUP($AC98,Inventario5!$A:$H,3),
VLOOKUP($AC98,Inventario6!$A:$H,3)
))))),"")</f>
        <v>Pase preciso</v>
      </c>
      <c r="AG98" s="10" t="str">
        <f ca="1">IF(ISNUMBER(AC98),
IF($B98=1,VLOOKUP($AC98,Inventario1!$A:$H,4),
IF($B98=2,VLOOKUP($AC98,Inventario2!$A:$H,4),
IF($B98=3,VLOOKUP($AC98,Inventario3!$A:$H,4),
IF($B98=4,VLOOKUP($AC98,Inventario4!$A:$H,4),
IF($B98=5,VLOOKUP($AC98,Inventario5!$A:$H,4),
VLOOKUP($AC98,Inventario6!$A:$H,4)
))))),"")</f>
        <v>Colocación</v>
      </c>
      <c r="AH98" s="10" t="str">
        <f ca="1">IF(ISNUMBER(AC98),
IF($B98=1,VLOOKUP($AC98,Inventario1!$A:$H,5),
IF($B98=2,VLOOKUP($AC98,Inventario2!$A:$H,5),
IF($B98=3,VLOOKUP($AC98,Inventario3!$A:$H,5),
IF($B98=4,VLOOKUP($AC98,Inventario4!$A:$H,5),
IF($B98=5,VLOOKUP($AC98,Inventario5!$A:$H,5),
VLOOKUP($AC98,Inventario6!$A:$H,5)
))))),"")</f>
        <v>Ataque poderoso</v>
      </c>
      <c r="AI98" s="10" t="str">
        <f ca="1">IF(ISNUMBER(AC98),
IF($B98=1,VLOOKUP($AC98,Inventario1!$A:$H,6),
IF($B98=2,VLOOKUP($AC98,Inventario2!$A:$H,6),
IF($B98=3,VLOOKUP($AC98,Inventario3!$A:$H,6),
IF($B98=4,VLOOKUP($AC98,Inventario4!$A:$H,6),
IF($B98=5,VLOOKUP($AC98,Inventario5!$A:$H,6),
VLOOKUP($AC98,Inventario6!$A:$H,6)
))))),"")</f>
        <v>Colocación</v>
      </c>
      <c r="AJ98" s="10" t="str">
        <f ca="1">IF(ISNUMBER(AC98),
IF($B98=1,VLOOKUP($AC98,Inventario1!$A:$H,7),
IF($B98=2,VLOOKUP($AC98,Inventario2!$A:$H,7),
IF($B98=3,VLOOKUP($AC98,Inventario3!$A:$H,7),
IF($B98=4,VLOOKUP($AC98,Inventario4!$A:$H,7),
IF($B98=5,VLOOKUP($AC98,Inventario5!$A:$H,7),
VLOOKUP($AC98,Inventario6!$A:$H,7)
))))),"")</f>
        <v>Saque</v>
      </c>
      <c r="AK98" s="12">
        <f ca="1">IF(ISNUMBER(AC98),
IF($B98=1,VLOOKUP($AC98,Inventario1!$A:$H,8),
IF($B98=2,VLOOKUP($AC98,Inventario2!$A:$H,8),
IF($B98=3,VLOOKUP($AC98,Inventario3!$A:$H,8),
IF($B98=4,VLOOKUP($AC98,Inventario4!$A:$H,8),
IF($B98=5,VLOOKUP($AC98,Inventario5!$A:$H,8),
VLOOKUP($AC98,Inventario6!$A:$H,8)
))))),"")</f>
        <v>0</v>
      </c>
    </row>
    <row r="99" spans="1:37" x14ac:dyDescent="0.25">
      <c r="A99" s="21" t="s">
        <v>73</v>
      </c>
      <c r="B99" s="3">
        <v>2</v>
      </c>
      <c r="C99" s="14" cm="1">
        <f t="array" aca="1" ref="C99" ca="1">_xlfn.LET(
    _xlpm.jugador, A99,
    _xlpm.idSel, AC99,
    _xlpm.invIDs, IF(B99=1,Inventario1!A:A,IF(B99=2,Inventario2!A:A,IF(B99=3,Inventario3!A:A,IF(B99=4,Inventario4!A:A,IF(B99=5,Inventario5!A:A,Inventario6!A:A))))),
    _xlpm.invCalidad, IF(B99=1,Inventario1!B:B,IF(B99=2,Inventario2!B:B,IF(B99=3,Inventario3!B:B,IF(B99=4,Inventario4!B:B,IF(B99=5,Inventario5!B:B,Inventario6!B:B))))),
    _xlpm.invTipos, IF(B99=1,Inventario1!C:C,IF(B99=2,Inventario2!C:C,IF(B99=3,Inventario3!C:C,IF(B99=4,Inventario4!C:C,IF(B99=5,Inventario5!C:C,Inventario6!C:C))))),
    _xlpm.invStats, IF(B99=1,Inventario1!D:H,IF(B99=2,Inventario2!D:H,IF(B99=3,Inventario3!D:H,IF(B99=4,Inventario4!D:H,IF(B99=5,Inventario5!D:H,Inventario6!D:H))))),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IF(ROW(A99)=2,"",IF(_xlfn._xlws.FILTER(Equipar!AC$2:AC98,Equipar!B$2:B98=B99)={0},"",_xlfn._xlws.FILTER(Equipar!AC$2:AC98,Equipar!B$2:B98=B99))),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</v>
      </c>
      <c r="D99" s="4" cm="1">
        <f t="array" ref="D99">_xlfn.LET(
    _xlpm.jugador, A99,
    _xlpm.idSel, AC99,
    _xlpm.invIDs, IF(B99=1,Inventario1!A:A,IF(B99=2,Inventario2!A:A,IF(B99=3,Inventario3!A:A,IF(B99=4,Inventario4!A:A,IF(B99=5,Inventario5!A:A,Inventario6!A:A))))),
    _xlpm.invCalidad, IF(B99=1,Inventario1!B:B,IF(B99=2,Inventario2!B:B,IF(B99=3,Inventario3!B:B,IF(B99=4,Inventario4!B:B,IF(B99=5,Inventario5!B:B,Inventario6!B:B))))),
    _xlpm.invTipos, IF(B99=1,Inventario1!C:C,IF(B99=2,Inventario2!C:C,IF(B99=3,Inventario3!C:C,IF(B99=4,Inventario4!C:C,IF(B99=5,Inventario5!C:C,Inventario6!C:C))))),
    _xlpm.invStats, IF(B99=1,Inventario1!D:H,IF(B99=2,Inventario2!D:H,IF(B99=3,Inventario3!D:H,IF(B99=4,Inventario4!D:H,IF(B99=5,Inventario5!D:H,Inventario6!D:H))))),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IF(ROW(A99)=2,"",IF(_xlfn._xlws.FILTER(Equipar!AC$2:AC98,Equipar!B$2:B98=B99)={0},"",_xlfn._xlws.FILTER(Equipar!AC$2:AC98,Equipar!B$2:B98=B99))),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109</v>
      </c>
      <c r="E99" s="4" cm="1">
        <f t="array" aca="1" ref="E99" ca="1">_xlfn.LET(
    _xlpm.jugador, A99,
    _xlpm.idSel, AC99,
    _xlpm.invIDs, IF(B99=1,Inventario1!A:A,IF(B99=2,Inventario2!A:A,IF(B99=3,Inventario3!A:A,IF(B99=4,Inventario4!A:A,IF(B99=5,Inventario5!A:A,Inventario6!A:A))))),
    _xlpm.invCalidad, IF(B99=1,Inventario1!B:B,IF(B99=2,Inventario2!B:B,IF(B99=3,Inventario3!B:B,IF(B99=4,Inventario4!B:B,IF(B99=5,Inventario5!B:B,Inventario6!B:B))))),
    _xlpm.invTipos, IF(B99=1,Inventario1!C:C,IF(B99=2,Inventario2!C:C,IF(B99=3,Inventario3!C:C,IF(B99=4,Inventario4!C:C,IF(B99=5,Inventario5!C:C,Inventario6!C:C))))),
    _xlpm.invStats, IF(B99=1,Inventario1!D:H,IF(B99=2,Inventario2!D:H,IF(B99=3,Inventario3!D:H,IF(B99=4,Inventario4!D:H,IF(B99=5,Inventario5!D:H,Inventario6!D:H))))),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IF(ROW(A99)=2,"",IF(_xlfn._xlws.FILTER(Equipar!AC$2:AC98,Equipar!B$2:B98=B99)={0},"",_xlfn._xlws.FILTER(Equipar!AC$2:AC98,Equipar!B$2:B98=B99))),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28</v>
      </c>
      <c r="F99" s="4" t="str" cm="1">
        <f t="array" aca="1" ref="F99" ca="1">_xlfn.LET(
    _xlpm.jugador, B99,
    _xlpm.idSel, AD99,
    _xlpm.invIDs, IF(C99=1,Inventario1!B:B,IF(C99=2,Inventario2!B:B,IF(C99=3,Inventario3!B:B,IF(C99=4,Inventario4!B:B,IF(C99=5,Inventario5!B:B,Inventario6!B:B))))),
    _xlpm.invCalidad, IF(C99=1,Inventario1!C:C,IF(C99=2,Inventario2!C:C,IF(C99=3,Inventario3!C:C,IF(C99=4,Inventario4!C:C,IF(C99=5,Inventario5!C:C,Inventario6!C:C))))),
    _xlpm.invTipos, IF(C99=1,Inventario1!D:D,IF(C99=2,Inventario2!D:D,IF(C99=3,Inventario3!D:D,IF(C99=4,Inventario4!D:D,IF(C99=5,Inventario5!D:D,Inventario6!D:D))))),
    _xlpm.invStats, IF(C99=1,Inventario1!E:I,IF(C99=2,Inventario2!E:I,IF(C99=3,Inventario3!E:I,IF(C99=4,Inventario4!E:I,IF(C99=5,Inventario5!E:I,Inventario6!E:I))))),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IF(ROW(B99)=2,"",IF(_xlfn._xlws.FILTER(Equipar!AD$2:AD98,Equipar!C$2:C98=C99)={0},"",_xlfn._xlws.FILTER(Equipar!AD$2:AD98,Equipar!C$2:C98=C99))),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99" s="14" cm="1">
        <f t="array" aca="1" ref="G99" ca="1">_xlfn.LET(
    _xlpm.jugador, A99,
    _xlpm.idSel, AC99,
    _xlpm.invIDs, IF(B99=1,Inventario1!A:A,IF(B99=2,Inventario2!A:A,IF(B99=3,Inventario3!A:A,IF(B99=4,Inventario4!A:A,IF(B99=5,Inventario5!A:A,Inventario6!A:A))))),
    _xlpm.invCalidad, IF(B99=1,Inventario1!B:B,IF(B99=2,Inventario2!B:B,IF(B99=3,Inventario3!B:B,IF(B99=4,Inventario4!B:B,IF(B99=5,Inventario5!B:B,Inventario6!B:B))))),
    _xlpm.invTipos, IF(B99=1,Inventario1!C:C,IF(B99=2,Inventario2!C:C,IF(B99=3,Inventario3!C:C,IF(B99=4,Inventario4!C:C,IF(B99=5,Inventario5!C:C,Inventario6!C:C))))),
    _xlpm.invStats, IF(B99=1,Inventario1!D:H,IF(B99=2,Inventario2!D:H,IF(B99=3,Inventario3!D:H,IF(B99=4,Inventario4!D:H,IF(B99=5,Inventario5!D:H,Inventario6!D:H))))),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IF(ROW(A99)=2,"",IF(_xlfn._xlws.FILTER(Equipar!AC$2:AC98,Equipar!B$2:B98=B99)={0},"",_xlfn._xlws.FILTER(Equipar!AC$2:AC98,Equipar!B$2:B98=B99))),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H99" s="4" cm="1">
        <f t="array" ref="H99">_xlfn.LET(
    _xlpm.jugador, A99,
    _xlpm.idSel, AC99,
    _xlpm.invIDs, IF(B99=1,Inventario1!A:A,IF(B99=2,Inventario2!A:A,IF(B99=3,Inventario3!A:A,IF(B99=4,Inventario4!A:A,IF(B99=5,Inventario5!A:A,Inventario6!A:A))))),
    _xlpm.invCalidad, IF(B99=1,Inventario1!B:B,IF(B99=2,Inventario2!B:B,IF(B99=3,Inventario3!B:B,IF(B99=4,Inventario4!B:B,IF(B99=5,Inventario5!B:B,Inventario6!B:B))))),
    _xlpm.invTipos, IF(B99=1,Inventario1!C:C,IF(B99=2,Inventario2!C:C,IF(B99=3,Inventario3!C:C,IF(B99=4,Inventario4!C:C,IF(B99=5,Inventario5!C:C,Inventario6!C:C))))),
    _xlpm.invStats, IF(B99=1,Inventario1!D:H,IF(B99=2,Inventario2!D:H,IF(B99=3,Inventario3!D:H,IF(B99=4,Inventario4!D:H,IF(B99=5,Inventario5!D:H,Inventario6!D:H))))),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IF(ROW(A99)=2,"",IF(_xlfn._xlws.FILTER(Equipar!AC$2:AC98,Equipar!B$2:B98=B99)={0},"",_xlfn._xlws.FILTER(Equipar!AC$2:AC98,Equipar!B$2:B98=B99))),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I99" s="4" cm="1">
        <f t="array" aca="1" ref="I99" ca="1">_xlfn.LET(
    _xlpm.jugador, A99,
    _xlpm.idSel, AC99,
    _xlpm.invIDs, IF(B99=1,Inventario1!A:A,IF(B99=2,Inventario2!A:A,IF(B99=3,Inventario3!A:A,IF(B99=4,Inventario4!A:A,IF(B99=5,Inventario5!A:A,Inventario6!A:A))))),
    _xlpm.invCalidad, IF(B99=1,Inventario1!B:B,IF(B99=2,Inventario2!B:B,IF(B99=3,Inventario3!B:B,IF(B99=4,Inventario4!B:B,IF(B99=5,Inventario5!B:B,Inventario6!B:B))))),
    _xlpm.invTipos, IF(B99=1,Inventario1!C:C,IF(B99=2,Inventario2!C:C,IF(B99=3,Inventario3!C:C,IF(B99=4,Inventario4!C:C,IF(B99=5,Inventario5!C:C,Inventario6!C:C))))),
    _xlpm.invStats, IF(B99=1,Inventario1!D:H,IF(B99=2,Inventario2!D:H,IF(B99=3,Inventario3!D:H,IF(B99=4,Inventario4!D:H,IF(B99=5,Inventario5!D:H,Inventario6!D:H))))),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IF(ROW(A99)=2,"",IF(_xlfn._xlws.FILTER(Equipar!AC$2:AC98,Equipar!B$2:B98=B99)={0},"",_xlfn._xlws.FILTER(Equipar!AC$2:AC98,Equipar!B$2:B98=B99))),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J99" s="4" cm="1">
        <f t="array" aca="1" ref="J99" ca="1">_xlfn.LET(
    _xlpm.jugador, B99,
    _xlpm.idSel, AD99,
    _xlpm.invIDs, IF(C99=1,Inventario1!B:B,IF(C99=2,Inventario2!B:B,IF(C99=3,Inventario3!B:B,IF(C99=4,Inventario4!B:B,IF(C99=5,Inventario5!B:B,Inventario6!B:B))))),
    _xlpm.invCalidad, IF(C99=1,Inventario1!C:C,IF(C99=2,Inventario2!C:C,IF(C99=3,Inventario3!C:C,IF(C99=4,Inventario4!C:C,IF(C99=5,Inventario5!C:C,Inventario6!C:C))))),
    _xlpm.invTipos, IF(C99=1,Inventario1!D:D,IF(C99=2,Inventario2!D:D,IF(C99=3,Inventario3!D:D,IF(C99=4,Inventario4!D:D,IF(C99=5,Inventario5!D:D,Inventario6!D:D))))),
    _xlpm.invStats, IF(C99=1,Inventario1!E:I,IF(C99=2,Inventario2!E:I,IF(C99=3,Inventario3!E:I,IF(C99=4,Inventario4!E:I,IF(C99=5,Inventario5!E:I,Inventario6!E:I))))),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IF(ROW(B99)=2,"",IF(_xlfn._xlws.FILTER(Equipar!AD$2:AD98,Equipar!C$2:C98=C99)={0},"",_xlfn._xlws.FILTER(Equipar!AD$2:AD98,Equipar!C$2:C98=C99))),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99" s="4">
        <f t="shared" ca="1" si="4"/>
        <v>-23.939999999999998</v>
      </c>
      <c r="L99" s="4">
        <f t="shared" ca="1" si="5"/>
        <v>-23.939999999999998</v>
      </c>
      <c r="M99" s="4">
        <f t="shared" ca="1" si="5"/>
        <v>107.73</v>
      </c>
      <c r="N99" s="4">
        <f t="shared" ca="1" si="6"/>
        <v>0</v>
      </c>
      <c r="O99" s="4">
        <f t="shared" ca="1" si="6"/>
        <v>107.73</v>
      </c>
      <c r="P99" s="14" cm="1">
        <f t="array" aca="1" ref="P99" ca="1">_xlfn.LET(
    _xlpm.ptsPrinBase, _xlfn._xlws.FILTER(G:G, A:A=A99),
    _xlpm.ptsSecBase,  _xlfn._xlws.FILTER(H:H, A:A=A99),
    _xlpm.puntosPrin, _xlpm.ptsPrinBase + _xlfn._xlws.FILTER(B:B, A:A=A99)/1000,
    _xlpm.puntosSec,  _xlpm.ptsSecBase  + _xlfn._xlws.FILTER(B:B, A:A=A99)/1000,
    _xlpm.puntosPrinValidos, SUM(--(_xlpm.ptsPrinBase&gt;0)),
    _xlpm.puntosSecValidos,  SUM(--(_xlpm.ptsSecBase&gt;0)),
    _xlpm.clave, K99 + B99/1000,
    _xlpm.claves, _xlfn._xlws.FILTER(K:K + B:B/1000, A:A=A99),
    IF(AND(_xlpm.puntosPrinValidos&gt;=4,_xlpm.puntosSecValidos&gt;=2),IF(
        SUM(--(_xlpm.claves &gt; _xlpm.clave)) &lt; 4,
        C99,
        D99
    ),"No disp")
)</f>
        <v>109</v>
      </c>
      <c r="Q99" s="14" cm="1">
        <f t="array" aca="1" ref="Q99" ca="1">_xlfn.LET(
    _xlpm.puntosPrin, _xlfn._xlws.FILTER(G:G + B:B/1000, A:A=A99),
    _xlpm.puntosPrinValidos, SUM(--(_xlpm.puntosPrin&gt;1)),
    _xlpm.puntosTer, _xlfn._xlws.FILTER(I:I + B:B/1000, A:A=A99),
    _xlpm.puntosTerValidos, SUM(--(_xlpm.puntosTer&gt;1)),
    _xlpm.clave, L99 + B99/1000,
    _xlpm.claves, _xlfn._xlws.FILTER(L:L + B:B/1000, A:A=A99),
    IF(AND(_xlpm.puntosPrinValidos&gt;=4,_xlpm.puntosTerValidos&gt;=2),IF(
        SUM(--(_xlpm.claves &gt; _xlpm.clave)) &lt; 4,
        C99,
        E99
    ),"No disp")
)</f>
        <v>28</v>
      </c>
      <c r="R99" s="14" t="str" cm="1">
        <f t="array" aca="1" ref="R99" ca="1">_xlfn.LET(
    _xlpm.puntosPrin, _xlfn._xlws.FILTER(G:G + B:B/1000, A:A=A99),
    _xlpm.puntosPrinValidos, SUM(--(_xlpm.puntosPrin&gt;1)),
    _xlpm.puntosTer, _xlfn._xlws.FILTER(J:J + B:B/1000, A:A=A99),
    _xlpm.puntosTerValidos, SUM(--(_xlpm.puntosTer&gt;1)),
    _xlpm.clave, M99 + B99/1000,
    _xlpm.claves, _xlfn._xlws.FILTER(M:M + B:B/1000, A:A=A99),
    IF(AND(_xlpm.puntosPrinValidos&gt;=4,_xlpm.puntosTerValidos&gt;=2),IF(
        SUM(--(_xlpm.claves &gt; _xlpm.clave)) &lt; 4,
        C99,
        F99
    ),"No disp")
)</f>
        <v>No disp</v>
      </c>
      <c r="S99" s="14" cm="1">
        <f t="array" aca="1" ref="S99" ca="1">_xlfn.LET(
    _xlpm.ptsPrinBase, _xlfn._xlws.FILTER(G:G, A:A=A99),
    _xlpm.ptsSecBase,  _xlfn._xlws.FILTER(H:H, A:A=A99),
    _xlpm.puntosPrin, _xlpm.ptsPrinBase + _xlfn._xlws.FILTER(B:B, A:A=A99)/1000,
    _xlpm.puntosSec,  _xlpm.ptsSecBase  + _xlfn._xlws.FILTER(B:B, A:A=A99)/1000,
    _xlpm.puntosPrinValidos, SUM(--(_xlpm.ptsPrinBase&gt;0)),
    _xlpm.puntosSecValidos,  SUM(--(_xlpm.ptsSecBase&gt;0)),
    _xlpm.clave, K99 + B99/1000,
    _xlpm.claves, _xlfn._xlws.FILTER(K:K + B:B/1000, A:A=A99),
    IF(
        AND(_xlpm.puntosPrinValidos&gt;=2, _xlpm.puntosSecValidos&gt;=4),
        IF(
            SUM(--(_xlpm.claves &lt; _xlpm.clave)) &lt; 4,
            D99,
            C99
        ),
        "No disp"
    )
)</f>
        <v>109</v>
      </c>
      <c r="T99" s="14" cm="1">
        <f t="array" aca="1" ref="T99" ca="1">_xlfn.LET(
    _xlpm.puntosSec, _xlfn._xlws.FILTER(H:H + B:B/1000, A:A=A99),
    _xlpm.puntosSecValidos, SUM(--(_xlpm.puntosSec&gt;1)),
    _xlpm.puntosAlt, _xlfn._xlws.FILTER(I:I + B:B/1000, A:A=A99),
    _xlpm.puntosAltValidos, SUM(--(_xlpm.puntosAlt&gt;1)),
    _xlpm.clave, N99 + B99/1000,
    _xlpm.claves, _xlfn._xlws.FILTER(N:N + B:B/1000, A:A=A99),
    IF(AND(_xlpm.puntosSecValidos&gt;=4,_xlpm.puntosAltValidos&gt;=2),IF(
        SUM(--(_xlpm.claves &gt; _xlpm.clave)) &lt; 4,
        D99,
        E99
    ),"No disp")
)</f>
        <v>109</v>
      </c>
      <c r="U99" s="14" t="str" cm="1">
        <f t="array" aca="1" ref="U99" ca="1">_xlfn.LET(
    _xlpm.puntosSec, _xlfn._xlws.FILTER(H:H + B:B/1000, A:A=A99),
    _xlpm.puntosSecValidos, SUM(--(_xlpm.puntosSec&gt;1)),
    _xlpm.puntosAlt, _xlfn._xlws.FILTER(J:J + B:B/1000, A:A=A99),
    _xlpm.puntosAltValidos, SUM(--(_xlpm.puntosAlt&gt;1)),
    _xlpm.clave, O99 + B99/1000,
    _xlpm.claves, _xlfn._xlws.FILTER(O:O + B:B/1000, A:A=A99),
    IF(AND(_xlpm.puntosSecValidos&gt;=4,_xlpm.puntosAltValidos&gt;=2),IF(
        SUM(--(_xlpm.claves &gt; _xlpm.clave)) &lt; 4,
        D99,
        F99
    ),"No disp")
)</f>
        <v>No disp</v>
      </c>
      <c r="V99" s="4" cm="1">
        <f t="array" aca="1" ref="V99" ca="1">_xlfn.LET(
_xlpm.PrinIDs,_xlfn._xlws.FILTER(C:C,(A:A=A99)),
_xlpm.SecIDs,_xlfn._xlws.FILTER(D:D,(A:A=A99)),
_xlpm.TerIDs,_xlfn._xlws.FILTER(E:E,A:A=A99),
_xlpm.CuaIDs,_xlfn._xlws.FILTER(F:F,(A:A=A99)),
_xlpm.PrinPts,_xlfn._xlws.FILTER(G:G,(A:A=A99)),
_xlpm.SecPts,_xlfn._xlws.FILTER(H:H,(A:A=A99)),
_xlpm.TerPts,_xlfn._xlws.FILTER(I:I,(A:A=A99)),
_xlpm.CuaPts,_xlfn._xlws.FILTER(J:J,(A:A=A99)),
_xlpm.PSIds,_xlfn._xlws.FILTER(P:P,A:A=A99),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506.16</v>
      </c>
      <c r="W99" s="4" cm="1">
        <f t="array" aca="1" ref="W99" ca="1">_xlfn.LET(
_xlpm.PrinIDs,_xlfn._xlws.FILTER(C:C,(A:A=A99)),
_xlpm.SecIDs,_xlfn._xlws.FILTER(D:D,(A:A=A99)),
_xlpm.TerIDs,_xlfn._xlws.FILTER(E:E,A:A=A99),
_xlpm.CuaIDs,_xlfn._xlws.FILTER(F:F,(A:A=A99)),
_xlpm.PrinPts,_xlfn._xlws.FILTER(G:G,(A:A=A99)),
_xlpm.SecPts,_xlfn._xlws.FILTER(H:H,(A:A=A99)),
_xlpm.TerPts,_xlfn._xlws.FILTER(I:I,(A:A=A99)),
_xlpm.CuaPts,_xlfn._xlws.FILTER(J:J,(A:A=A99)),
_xlpm.PTIds,_xlfn._xlws.FILTER(Q:Q,A:A=A99),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524.16000000000008</v>
      </c>
      <c r="X99" s="4" cm="1">
        <f t="array" aca="1" ref="X99" ca="1">_xlfn.LET(
_xlpm.PrinIDs,_xlfn._xlws.FILTER(C:C,(A:A=A99)),
_xlpm.SecIDs,_xlfn._xlws.FILTER(D:D,(A:A=A99)),
_xlpm.TerIDs,_xlfn._xlws.FILTER(E:E,A:A=A99),
_xlpm.CuaIDs,_xlfn._xlws.FILTER(F:F,(A:A=A99)),
_xlpm.PrinPts,_xlfn._xlws.FILTER(G:G,(A:A=A99)),
_xlpm.SecPts,_xlfn._xlws.FILTER(H:H,(A:A=A99)),
_xlpm.TerPts,_xlfn._xlws.FILTER(I:I,(A:A=A99)),
_xlpm.CuaPts,_xlfn._xlws.FILTER(J:J,(A:A=A99)),
_xlpm.PCIds,_xlfn._xlws.FILTER(R:R,A:A=A99),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99" s="4" cm="1">
        <f t="array" aca="1" ref="Y99" ca="1">_xlfn.LET(
_xlpm.PrinIDs,_xlfn._xlws.FILTER(C:C,(A:A=A99)),
_xlpm.SecIDs,_xlfn._xlws.FILTER(D:D,(A:A=A99)),
_xlpm.AltIDs,_xlfn._xlws.FILTER(E:E,A:A=A99),
_xlpm.PrinPts,_xlfn._xlws.FILTER(G:G,(A:A=A99)),
_xlpm.SecPts,_xlfn._xlws.FILTER(H:H,(A:A=A99)),
_xlpm.AltPts,_xlfn._xlws.FILTER(I:I,(A:A=A99)),
_xlpm.SPIds,_xlfn._xlws.FILTER(S:S,A:A=A99),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506.43</v>
      </c>
      <c r="Z99" s="4" cm="1">
        <f t="array" aca="1" ref="Z99" ca="1">_xlfn.LET(
_xlpm.PrinIDs,_xlfn._xlws.FILTER(C:C,(A:A=A99)),
_xlpm.SecIDs,_xlfn._xlws.FILTER(D:D,(A:A=A99)),
_xlpm.TerIDs,_xlfn._xlws.FILTER(E:E,A:A=A99),
_xlpm.CuaIDs,_xlfn._xlws.FILTER(F:F,(A:A=A99)),
_xlpm.PrinPts,_xlfn._xlws.FILTER(G:G,(A:A=A99)),
_xlpm.SecPts,_xlfn._xlws.FILTER(H:H,(A:A=A99)),
_xlpm.TerPts,_xlfn._xlws.FILTER(I:I,(A:A=A99)),
_xlpm.CuaPts,_xlfn._xlws.FILTER(J:J,(A:A=A99)),
_xlpm.STIds,_xlfn._xlws.FILTER(T:T,A:A=A99),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524.43000000000006</v>
      </c>
      <c r="AA99" s="4" cm="1">
        <f t="array" aca="1" ref="AA99" ca="1">_xlfn.LET(
_xlpm.PrinIDs,_xlfn._xlws.FILTER(C:C,(A:A=A99)),
_xlpm.SecIDs,_xlfn._xlws.FILTER(D:D,(A:A=A99)),
_xlpm.TerIDs,_xlfn._xlws.FILTER(E:E,A:A=A99),
_xlpm.CuaIDs,_xlfn._xlws.FILTER(F:F,(A:A=A99)),
_xlpm.PrinPts,_xlfn._xlws.FILTER(G:G,(A:A=A99)),
_xlpm.SecPts,_xlfn._xlws.FILTER(H:H,(A:A=A99)),
_xlpm.TerPts,_xlfn._xlws.FILTER(I:I,(A:A=A99)),
_xlpm.CuaPts,_xlfn._xlws.FILTER(J:J,(A:A=A99)),
_xlpm.SCIds,_xlfn._xlws.FILTER(U:U,A:A=A99),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99" s="14">
        <f t="shared" ca="1" si="7"/>
        <v>109</v>
      </c>
      <c r="AC99" s="14">
        <v>109</v>
      </c>
      <c r="AD99" s="4"/>
      <c r="AE99" s="14" t="str">
        <f ca="1">IF(ISNUMBER(AC99),
IF($B99=1,VLOOKUP($AC99,Inventario1!$A:$H,2),
IF($B99=2,VLOOKUP($AC99,Inventario2!$A:$H,2),
IF($B99=3,VLOOKUP($AC99,Inventario3!$A:$H,2),
IF($B99=4,VLOOKUP($AC99,Inventario4!$A:$H,2),
IF($B99=5,VLOOKUP($AC99,Inventario5!$A:$H,2),
VLOOKUP($AC99,Inventario6!$A:$H,2)
))))),"No equipado")</f>
        <v>Legendario</v>
      </c>
      <c r="AF99" s="14" t="str">
        <f ca="1">IF(ISNUMBER(AC99),
IF($B99=1,VLOOKUP($AC99,Inventario1!$A:$H,3),
IF($B99=2,VLOOKUP($AC99,Inventario2!$A:$H,3),
IF($B99=3,VLOOKUP($AC99,Inventario3!$A:$H,3),
IF($B99=4,VLOOKUP($AC99,Inventario4!$A:$H,3),
IF($B99=5,VLOOKUP($AC99,Inventario5!$A:$H,3),
VLOOKUP($AC99,Inventario6!$A:$H,3)
))))),"")</f>
        <v>Pase preciso</v>
      </c>
      <c r="AG99" s="14" t="str">
        <f ca="1">IF(ISNUMBER(AC99),
IF($B99=1,VLOOKUP($AC99,Inventario1!$A:$H,4),
IF($B99=2,VLOOKUP($AC99,Inventario2!$A:$H,4),
IF($B99=3,VLOOKUP($AC99,Inventario3!$A:$H,4),
IF($B99=4,VLOOKUP($AC99,Inventario4!$A:$H,4),
IF($B99=5,VLOOKUP($AC99,Inventario5!$A:$H,4),
VLOOKUP($AC99,Inventario6!$A:$H,4)
))))),"")</f>
        <v>Saque</v>
      </c>
      <c r="AH99" s="14" t="str">
        <f ca="1">IF(ISNUMBER(AC99),
IF($B99=1,VLOOKUP($AC99,Inventario1!$A:$H,5),
IF($B99=2,VLOOKUP($AC99,Inventario2!$A:$H,5),
IF($B99=3,VLOOKUP($AC99,Inventario3!$A:$H,5),
IF($B99=4,VLOOKUP($AC99,Inventario4!$A:$H,5),
IF($B99=5,VLOOKUP($AC99,Inventario5!$A:$H,5),
VLOOKUP($AC99,Inventario6!$A:$H,5)
))))),"")</f>
        <v>Espíritu</v>
      </c>
      <c r="AI99" s="14" t="str">
        <f ca="1">IF(ISNUMBER(AC99),
IF($B99=1,VLOOKUP($AC99,Inventario1!$A:$H,6),
IF($B99=2,VLOOKUP($AC99,Inventario2!$A:$H,6),
IF($B99=3,VLOOKUP($AC99,Inventario3!$A:$H,6),
IF($B99=4,VLOOKUP($AC99,Inventario4!$A:$H,6),
IF($B99=5,VLOOKUP($AC99,Inventario5!$A:$H,6),
VLOOKUP($AC99,Inventario6!$A:$H,6)
))))),"")</f>
        <v>Fuerza</v>
      </c>
      <c r="AJ99" s="14" t="str">
        <f ca="1">IF(ISNUMBER(AC99),
IF($B99=1,VLOOKUP($AC99,Inventario1!$A:$H,7),
IF($B99=2,VLOOKUP($AC99,Inventario2!$A:$H,7),
IF($B99=3,VLOOKUP($AC99,Inventario3!$A:$H,7),
IF($B99=4,VLOOKUP($AC99,Inventario4!$A:$H,7),
IF($B99=5,VLOOKUP($AC99,Inventario5!$A:$H,7),
VLOOKUP($AC99,Inventario6!$A:$H,7)
))))),"")</f>
        <v>Bloqueo</v>
      </c>
      <c r="AK99" s="15" t="str">
        <f ca="1">IF(ISNUMBER(AC99),
IF($B99=1,VLOOKUP($AC99,Inventario1!$A:$H,8),
IF($B99=2,VLOOKUP($AC99,Inventario2!$A:$H,8),
IF($B99=3,VLOOKUP($AC99,Inventario3!$A:$H,8),
IF($B99=4,VLOOKUP($AC99,Inventario4!$A:$H,8),
IF($B99=5,VLOOKUP($AC99,Inventario5!$A:$H,8),
VLOOKUP($AC99,Inventario6!$A:$H,8)
))))),"")</f>
        <v>Colocación</v>
      </c>
    </row>
    <row r="100" spans="1:37" x14ac:dyDescent="0.25">
      <c r="A100" s="21" t="s">
        <v>73</v>
      </c>
      <c r="B100" s="3">
        <v>3</v>
      </c>
      <c r="C100" s="14" cm="1">
        <f t="array" ref="C100">_xlfn.LET(
    _xlpm.jugador, A100,
    _xlpm.idSel, AC100,
    _xlpm.invIDs, IF(B100=1,Inventario1!A:A,IF(B100=2,Inventario2!A:A,IF(B100=3,Inventario3!A:A,IF(B100=4,Inventario4!A:A,IF(B100=5,Inventario5!A:A,Inventario6!A:A))))),
    _xlpm.invCalidad, IF(B100=1,Inventario1!B:B,IF(B100=2,Inventario2!B:B,IF(B100=3,Inventario3!B:B,IF(B100=4,Inventario4!B:B,IF(B100=5,Inventario5!B:B,Inventario6!B:B))))),
    _xlpm.invTipos, IF(B100=1,Inventario1!C:C,IF(B100=2,Inventario2!C:C,IF(B100=3,Inventario3!C:C,IF(B100=4,Inventario4!C:C,IF(B100=5,Inventario5!C:C,Inventario6!C:C))))),
    _xlpm.invStats, IF(B100=1,Inventario1!D:H,IF(B100=2,Inventario2!D:H,IF(B100=3,Inventario3!D:H,IF(B100=4,Inventario4!D:H,IF(B100=5,Inventario5!D:H,Inventario6!D:H))))),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IF(ROW(A100)=2,"",IF(_xlfn._xlws.FILTER(Equipar!AC$2:AC99,Equipar!B$2:B99=B100)={0},"",_xlfn._xlws.FILTER(Equipar!AC$2:AC99,Equipar!B$2:B99=B100))),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351</v>
      </c>
      <c r="D100" s="4" cm="1">
        <f t="array" ref="D100">_xlfn.LET(
    _xlpm.jugador, A100,
    _xlpm.idSel, AC100,
    _xlpm.invIDs, IF(B100=1,Inventario1!A:A,IF(B100=2,Inventario2!A:A,IF(B100=3,Inventario3!A:A,IF(B100=4,Inventario4!A:A,IF(B100=5,Inventario5!A:A,Inventario6!A:A))))),
    _xlpm.invCalidad, IF(B100=1,Inventario1!B:B,IF(B100=2,Inventario2!B:B,IF(B100=3,Inventario3!B:B,IF(B100=4,Inventario4!B:B,IF(B100=5,Inventario5!B:B,Inventario6!B:B))))),
    _xlpm.invTipos, IF(B100=1,Inventario1!C:C,IF(B100=2,Inventario2!C:C,IF(B100=3,Inventario3!C:C,IF(B100=4,Inventario4!C:C,IF(B100=5,Inventario5!C:C,Inventario6!C:C))))),
    _xlpm.invStats, IF(B100=1,Inventario1!D:H,IF(B100=2,Inventario2!D:H,IF(B100=3,Inventario3!D:H,IF(B100=4,Inventario4!D:H,IF(B100=5,Inventario5!D:H,Inventario6!D:H))))),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IF(ROW(A100)=2,"",IF(_xlfn._xlws.FILTER(Equipar!AC$2:AC99,Equipar!B$2:B99=B100)={0},"",_xlfn._xlws.FILTER(Equipar!AC$2:AC99,Equipar!B$2:B99=B100))),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67</v>
      </c>
      <c r="E100" s="4" cm="1">
        <f t="array" aca="1" ref="E100" ca="1">_xlfn.LET(
    _xlpm.jugador, A100,
    _xlpm.idSel, AC100,
    _xlpm.invIDs, IF(B100=1,Inventario1!A:A,IF(B100=2,Inventario2!A:A,IF(B100=3,Inventario3!A:A,IF(B100=4,Inventario4!A:A,IF(B100=5,Inventario5!A:A,Inventario6!A:A))))),
    _xlpm.invCalidad, IF(B100=1,Inventario1!B:B,IF(B100=2,Inventario2!B:B,IF(B100=3,Inventario3!B:B,IF(B100=4,Inventario4!B:B,IF(B100=5,Inventario5!B:B,Inventario6!B:B))))),
    _xlpm.invTipos, IF(B100=1,Inventario1!C:C,IF(B100=2,Inventario2!C:C,IF(B100=3,Inventario3!C:C,IF(B100=4,Inventario4!C:C,IF(B100=5,Inventario5!C:C,Inventario6!C:C))))),
    _xlpm.invStats, IF(B100=1,Inventario1!D:H,IF(B100=2,Inventario2!D:H,IF(B100=3,Inventario3!D:H,IF(B100=4,Inventario4!D:H,IF(B100=5,Inventario5!D:H,Inventario6!D:H))))),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IF(ROW(A100)=2,"",IF(_xlfn._xlws.FILTER(Equipar!AC$2:AC99,Equipar!B$2:B99=B100)={0},"",_xlfn._xlws.FILTER(Equipar!AC$2:AC99,Equipar!B$2:B99=B100))),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266</v>
      </c>
      <c r="F100" s="4" t="str" cm="1">
        <f t="array" aca="1" ref="F100" ca="1">_xlfn.LET(
    _xlpm.jugador, B100,
    _xlpm.idSel, AD100,
    _xlpm.invIDs, IF(C100=1,Inventario1!B:B,IF(C100=2,Inventario2!B:B,IF(C100=3,Inventario3!B:B,IF(C100=4,Inventario4!B:B,IF(C100=5,Inventario5!B:B,Inventario6!B:B))))),
    _xlpm.invCalidad, IF(C100=1,Inventario1!C:C,IF(C100=2,Inventario2!C:C,IF(C100=3,Inventario3!C:C,IF(C100=4,Inventario4!C:C,IF(C100=5,Inventario5!C:C,Inventario6!C:C))))),
    _xlpm.invTipos, IF(C100=1,Inventario1!D:D,IF(C100=2,Inventario2!D:D,IF(C100=3,Inventario3!D:D,IF(C100=4,Inventario4!D:D,IF(C100=5,Inventario5!D:D,Inventario6!D:D))))),
    _xlpm.invStats, IF(C100=1,Inventario1!E:I,IF(C100=2,Inventario2!E:I,IF(C100=3,Inventario3!E:I,IF(C100=4,Inventario4!E:I,IF(C100=5,Inventario5!E:I,Inventario6!E:I))))),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IF(ROW(B100)=2,"",IF(_xlfn._xlws.FILTER(Equipar!AD$2:AD99,Equipar!C$2:C99=C100)={0},"",_xlfn._xlws.FILTER(Equipar!AD$2:AD99,Equipar!C$2:C99=C100))),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00" s="14" cm="1">
        <f t="array" ref="G100">_xlfn.LET(
    _xlpm.jugador, A100,
    _xlpm.idSel, AC100,
    _xlpm.invIDs, IF(B100=1,Inventario1!A:A,IF(B100=2,Inventario2!A:A,IF(B100=3,Inventario3!A:A,IF(B100=4,Inventario4!A:A,IF(B100=5,Inventario5!A:A,Inventario6!A:A))))),
    _xlpm.invCalidad, IF(B100=1,Inventario1!B:B,IF(B100=2,Inventario2!B:B,IF(B100=3,Inventario3!B:B,IF(B100=4,Inventario4!B:B,IF(B100=5,Inventario5!B:B,Inventario6!B:B))))),
    _xlpm.invTipos, IF(B100=1,Inventario1!C:C,IF(B100=2,Inventario2!C:C,IF(B100=3,Inventario3!C:C,IF(B100=4,Inventario4!C:C,IF(B100=5,Inventario5!C:C,Inventario6!C:C))))),
    _xlpm.invStats, IF(B100=1,Inventario1!D:H,IF(B100=2,Inventario2!D:H,IF(B100=3,Inventario3!D:H,IF(B100=4,Inventario4!D:H,IF(B100=5,Inventario5!D:H,Inventario6!D:H))))),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IF(ROW(A100)=2,"",IF(_xlfn._xlws.FILTER(Equipar!AC$2:AC99,Equipar!B$2:B99=B100)={0},"",_xlfn._xlws.FILTER(Equipar!AC$2:AC99,Equipar!B$2:B99=B100))),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H100" s="4" cm="1">
        <f t="array" ref="H100">_xlfn.LET(
    _xlpm.jugador, A100,
    _xlpm.idSel, AC100,
    _xlpm.invIDs, IF(B100=1,Inventario1!A:A,IF(B100=2,Inventario2!A:A,IF(B100=3,Inventario3!A:A,IF(B100=4,Inventario4!A:A,IF(B100=5,Inventario5!A:A,Inventario6!A:A))))),
    _xlpm.invCalidad, IF(B100=1,Inventario1!B:B,IF(B100=2,Inventario2!B:B,IF(B100=3,Inventario3!B:B,IF(B100=4,Inventario4!B:B,IF(B100=5,Inventario5!B:B,Inventario6!B:B))))),
    _xlpm.invTipos, IF(B100=1,Inventario1!C:C,IF(B100=2,Inventario2!C:C,IF(B100=3,Inventario3!C:C,IF(B100=4,Inventario4!C:C,IF(B100=5,Inventario5!C:C,Inventario6!C:C))))),
    _xlpm.invStats, IF(B100=1,Inventario1!D:H,IF(B100=2,Inventario2!D:H,IF(B100=3,Inventario3!D:H,IF(B100=4,Inventario4!D:H,IF(B100=5,Inventario5!D:H,Inventario6!D:H))))),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IF(ROW(A100)=2,"",IF(_xlfn._xlws.FILTER(Equipar!AC$2:AC99,Equipar!B$2:B99=B100)={0},"",_xlfn._xlws.FILTER(Equipar!AC$2:AC99,Equipar!B$2:B99=B100))),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I100" s="4" cm="1">
        <f t="array" aca="1" ref="I100" ca="1">_xlfn.LET(
    _xlpm.jugador, A100,
    _xlpm.idSel, AC100,
    _xlpm.invIDs, IF(B100=1,Inventario1!A:A,IF(B100=2,Inventario2!A:A,IF(B100=3,Inventario3!A:A,IF(B100=4,Inventario4!A:A,IF(B100=5,Inventario5!A:A,Inventario6!A:A))))),
    _xlpm.invCalidad, IF(B100=1,Inventario1!B:B,IF(B100=2,Inventario2!B:B,IF(B100=3,Inventario3!B:B,IF(B100=4,Inventario4!B:B,IF(B100=5,Inventario5!B:B,Inventario6!B:B))))),
    _xlpm.invTipos, IF(B100=1,Inventario1!C:C,IF(B100=2,Inventario2!C:C,IF(B100=3,Inventario3!C:C,IF(B100=4,Inventario4!C:C,IF(B100=5,Inventario5!C:C,Inventario6!C:C))))),
    _xlpm.invStats, IF(B100=1,Inventario1!D:H,IF(B100=2,Inventario2!D:H,IF(B100=3,Inventario3!D:H,IF(B100=4,Inventario4!D:H,IF(B100=5,Inventario5!D:H,Inventario6!D:H))))),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IF(ROW(A100)=2,"",IF(_xlfn._xlws.FILTER(Equipar!AC$2:AC99,Equipar!B$2:B99=B100)={0},"",_xlfn._xlws.FILTER(Equipar!AC$2:AC99,Equipar!B$2:B99=B100))),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J100" s="4" cm="1">
        <f t="array" aca="1" ref="J100" ca="1">_xlfn.LET(
    _xlpm.jugador, B100,
    _xlpm.idSel, AD100,
    _xlpm.invIDs, IF(C100=1,Inventario1!B:B,IF(C100=2,Inventario2!B:B,IF(C100=3,Inventario3!B:B,IF(C100=4,Inventario4!B:B,IF(C100=5,Inventario5!B:B,Inventario6!B:B))))),
    _xlpm.invCalidad, IF(C100=1,Inventario1!C:C,IF(C100=2,Inventario2!C:C,IF(C100=3,Inventario3!C:C,IF(C100=4,Inventario4!C:C,IF(C100=5,Inventario5!C:C,Inventario6!C:C))))),
    _xlpm.invTipos, IF(C100=1,Inventario1!D:D,IF(C100=2,Inventario2!D:D,IF(C100=3,Inventario3!D:D,IF(C100=4,Inventario4!D:D,IF(C100=5,Inventario5!D:D,Inventario6!D:D))))),
    _xlpm.invStats, IF(C100=1,Inventario1!E:I,IF(C100=2,Inventario2!E:I,IF(C100=3,Inventario3!E:I,IF(C100=4,Inventario4!E:I,IF(C100=5,Inventario5!E:I,Inventario6!E:I))))),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IF(ROW(B100)=2,"",IF(_xlfn._xlws.FILTER(Equipar!AD$2:AD99,Equipar!C$2:C99=C100)={0},"",_xlfn._xlws.FILTER(Equipar!AD$2:AD99,Equipar!C$2:C99=C100))),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00" s="4">
        <f t="shared" si="4"/>
        <v>8.730000000000004</v>
      </c>
      <c r="L100" s="4">
        <f t="shared" ca="1" si="5"/>
        <v>-11.969999999999999</v>
      </c>
      <c r="M100" s="4">
        <f t="shared" ca="1" si="5"/>
        <v>99</v>
      </c>
      <c r="N100" s="4">
        <f t="shared" ca="1" si="6"/>
        <v>-20.700000000000003</v>
      </c>
      <c r="O100" s="4">
        <f t="shared" ca="1" si="6"/>
        <v>119.7</v>
      </c>
      <c r="P100" s="14" cm="1">
        <f t="array" aca="1" ref="P100" ca="1">_xlfn.LET(
    _xlpm.ptsPrinBase, _xlfn._xlws.FILTER(G:G, A:A=A100),
    _xlpm.ptsSecBase,  _xlfn._xlws.FILTER(H:H, A:A=A100),
    _xlpm.puntosPrin, _xlpm.ptsPrinBase + _xlfn._xlws.FILTER(B:B, A:A=A100)/1000,
    _xlpm.puntosSec,  _xlpm.ptsSecBase  + _xlfn._xlws.FILTER(B:B, A:A=A100)/1000,
    _xlpm.puntosPrinValidos, SUM(--(_xlpm.ptsPrinBase&gt;0)),
    _xlpm.puntosSecValidos,  SUM(--(_xlpm.ptsSecBase&gt;0)),
    _xlpm.clave, K100 + B100/1000,
    _xlpm.claves, _xlfn._xlws.FILTER(K:K + B:B/1000, A:A=A100),
    IF(AND(_xlpm.puntosPrinValidos&gt;=4,_xlpm.puntosSecValidos&gt;=2),IF(
        SUM(--(_xlpm.claves &gt; _xlpm.clave)) &lt; 4,
        C100,
        D100
    ),"No disp")
)</f>
        <v>351</v>
      </c>
      <c r="Q100" s="14" cm="1">
        <f t="array" aca="1" ref="Q100" ca="1">_xlfn.LET(
    _xlpm.puntosPrin, _xlfn._xlws.FILTER(G:G + B:B/1000, A:A=A100),
    _xlpm.puntosPrinValidos, SUM(--(_xlpm.puntosPrin&gt;1)),
    _xlpm.puntosTer, _xlfn._xlws.FILTER(I:I + B:B/1000, A:A=A100),
    _xlpm.puntosTerValidos, SUM(--(_xlpm.puntosTer&gt;1)),
    _xlpm.clave, L100 + B100/1000,
    _xlpm.claves, _xlfn._xlws.FILTER(L:L + B:B/1000, A:A=A100),
    IF(AND(_xlpm.puntosPrinValidos&gt;=4,_xlpm.puntosTerValidos&gt;=2),IF(
        SUM(--(_xlpm.claves &gt; _xlpm.clave)) &lt; 4,
        C100,
        E100
    ),"No disp")
)</f>
        <v>351</v>
      </c>
      <c r="R100" s="14" t="str" cm="1">
        <f t="array" aca="1" ref="R100" ca="1">_xlfn.LET(
    _xlpm.puntosPrin, _xlfn._xlws.FILTER(G:G + B:B/1000, A:A=A100),
    _xlpm.puntosPrinValidos, SUM(--(_xlpm.puntosPrin&gt;1)),
    _xlpm.puntosTer, _xlfn._xlws.FILTER(J:J + B:B/1000, A:A=A100),
    _xlpm.puntosTerValidos, SUM(--(_xlpm.puntosTer&gt;1)),
    _xlpm.clave, M100 + B100/1000,
    _xlpm.claves, _xlfn._xlws.FILTER(M:M + B:B/1000, A:A=A100),
    IF(AND(_xlpm.puntosPrinValidos&gt;=4,_xlpm.puntosTerValidos&gt;=2),IF(
        SUM(--(_xlpm.claves &gt; _xlpm.clave)) &lt; 4,
        C100,
        F100
    ),"No disp")
)</f>
        <v>No disp</v>
      </c>
      <c r="S100" s="14" cm="1">
        <f t="array" aca="1" ref="S100" ca="1">_xlfn.LET(
    _xlpm.ptsPrinBase, _xlfn._xlws.FILTER(G:G, A:A=A100),
    _xlpm.ptsSecBase,  _xlfn._xlws.FILTER(H:H, A:A=A100),
    _xlpm.puntosPrin, _xlpm.ptsPrinBase + _xlfn._xlws.FILTER(B:B, A:A=A100)/1000,
    _xlpm.puntosSec,  _xlpm.ptsSecBase  + _xlfn._xlws.FILTER(B:B, A:A=A100)/1000,
    _xlpm.puntosPrinValidos, SUM(--(_xlpm.ptsPrinBase&gt;0)),
    _xlpm.puntosSecValidos,  SUM(--(_xlpm.ptsSecBase&gt;0)),
    _xlpm.clave, K100 + B100/1000,
    _xlpm.claves, _xlfn._xlws.FILTER(K:K + B:B/1000, A:A=A100),
    IF(
        AND(_xlpm.puntosPrinValidos&gt;=2, _xlpm.puntosSecValidos&gt;=4),
        IF(
            SUM(--(_xlpm.claves &lt; _xlpm.clave)) &lt; 4,
            D100,
            C100
        ),
        "No disp"
    )
)</f>
        <v>67</v>
      </c>
      <c r="T100" s="14" cm="1">
        <f t="array" aca="1" ref="T100" ca="1">_xlfn.LET(
    _xlpm.puntosSec, _xlfn._xlws.FILTER(H:H + B:B/1000, A:A=A100),
    _xlpm.puntosSecValidos, SUM(--(_xlpm.puntosSec&gt;1)),
    _xlpm.puntosAlt, _xlfn._xlws.FILTER(I:I + B:B/1000, A:A=A100),
    _xlpm.puntosAltValidos, SUM(--(_xlpm.puntosAlt&gt;1)),
    _xlpm.clave, N100 + B100/1000,
    _xlpm.claves, _xlfn._xlws.FILTER(N:N + B:B/1000, A:A=A100),
    IF(AND(_xlpm.puntosSecValidos&gt;=4,_xlpm.puntosAltValidos&gt;=2),IF(
        SUM(--(_xlpm.claves &gt; _xlpm.clave)) &lt; 4,
        D100,
        E100
    ),"No disp")
)</f>
        <v>266</v>
      </c>
      <c r="U100" s="14" t="str" cm="1">
        <f t="array" aca="1" ref="U100" ca="1">_xlfn.LET(
    _xlpm.puntosSec, _xlfn._xlws.FILTER(H:H + B:B/1000, A:A=A100),
    _xlpm.puntosSecValidos, SUM(--(_xlpm.puntosSec&gt;1)),
    _xlpm.puntosAlt, _xlfn._xlws.FILTER(J:J + B:B/1000, A:A=A100),
    _xlpm.puntosAltValidos, SUM(--(_xlpm.puntosAlt&gt;1)),
    _xlpm.clave, O100 + B100/1000,
    _xlpm.claves, _xlfn._xlws.FILTER(O:O + B:B/1000, A:A=A100),
    IF(AND(_xlpm.puntosSecValidos&gt;=4,_xlpm.puntosAltValidos&gt;=2),IF(
        SUM(--(_xlpm.claves &gt; _xlpm.clave)) &lt; 4,
        D100,
        F100
    ),"No disp")
)</f>
        <v>No disp</v>
      </c>
      <c r="V100" s="4" cm="1">
        <f t="array" aca="1" ref="V100" ca="1">_xlfn.LET(
_xlpm.PrinIDs,_xlfn._xlws.FILTER(C:C,(A:A=A100)),
_xlpm.SecIDs,_xlfn._xlws.FILTER(D:D,(A:A=A100)),
_xlpm.TerIDs,_xlfn._xlws.FILTER(E:E,A:A=A100),
_xlpm.CuaIDs,_xlfn._xlws.FILTER(F:F,(A:A=A100)),
_xlpm.PrinPts,_xlfn._xlws.FILTER(G:G,(A:A=A100)),
_xlpm.SecPts,_xlfn._xlws.FILTER(H:H,(A:A=A100)),
_xlpm.TerPts,_xlfn._xlws.FILTER(I:I,(A:A=A100)),
_xlpm.CuaPts,_xlfn._xlws.FILTER(J:J,(A:A=A100)),
_xlpm.PSIds,_xlfn._xlws.FILTER(P:P,A:A=A100),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506.16</v>
      </c>
      <c r="W100" s="4" cm="1">
        <f t="array" aca="1" ref="W100" ca="1">_xlfn.LET(
_xlpm.PrinIDs,_xlfn._xlws.FILTER(C:C,(A:A=A100)),
_xlpm.SecIDs,_xlfn._xlws.FILTER(D:D,(A:A=A100)),
_xlpm.TerIDs,_xlfn._xlws.FILTER(E:E,A:A=A100),
_xlpm.CuaIDs,_xlfn._xlws.FILTER(F:F,(A:A=A100)),
_xlpm.PrinPts,_xlfn._xlws.FILTER(G:G,(A:A=A100)),
_xlpm.SecPts,_xlfn._xlws.FILTER(H:H,(A:A=A100)),
_xlpm.TerPts,_xlfn._xlws.FILTER(I:I,(A:A=A100)),
_xlpm.CuaPts,_xlfn._xlws.FILTER(J:J,(A:A=A100)),
_xlpm.PTIds,_xlfn._xlws.FILTER(Q:Q,A:A=A100),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524.16000000000008</v>
      </c>
      <c r="X100" s="4" cm="1">
        <f t="array" aca="1" ref="X100" ca="1">_xlfn.LET(
_xlpm.PrinIDs,_xlfn._xlws.FILTER(C:C,(A:A=A100)),
_xlpm.SecIDs,_xlfn._xlws.FILTER(D:D,(A:A=A100)),
_xlpm.TerIDs,_xlfn._xlws.FILTER(E:E,A:A=A100),
_xlpm.CuaIDs,_xlfn._xlws.FILTER(F:F,(A:A=A100)),
_xlpm.PrinPts,_xlfn._xlws.FILTER(G:G,(A:A=A100)),
_xlpm.SecPts,_xlfn._xlws.FILTER(H:H,(A:A=A100)),
_xlpm.TerPts,_xlfn._xlws.FILTER(I:I,(A:A=A100)),
_xlpm.CuaPts,_xlfn._xlws.FILTER(J:J,(A:A=A100)),
_xlpm.PCIds,_xlfn._xlws.FILTER(R:R,A:A=A100),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00" s="4" cm="1">
        <f t="array" aca="1" ref="Y100" ca="1">_xlfn.LET(
_xlpm.PrinIDs,_xlfn._xlws.FILTER(C:C,(A:A=A100)),
_xlpm.SecIDs,_xlfn._xlws.FILTER(D:D,(A:A=A100)),
_xlpm.AltIDs,_xlfn._xlws.FILTER(E:E,A:A=A100),
_xlpm.PrinPts,_xlfn._xlws.FILTER(G:G,(A:A=A100)),
_xlpm.SecPts,_xlfn._xlws.FILTER(H:H,(A:A=A100)),
_xlpm.AltPts,_xlfn._xlws.FILTER(I:I,(A:A=A100)),
_xlpm.SPIds,_xlfn._xlws.FILTER(S:S,A:A=A100),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506.43</v>
      </c>
      <c r="Z100" s="4" cm="1">
        <f t="array" aca="1" ref="Z100" ca="1">_xlfn.LET(
_xlpm.PrinIDs,_xlfn._xlws.FILTER(C:C,(A:A=A100)),
_xlpm.SecIDs,_xlfn._xlws.FILTER(D:D,(A:A=A100)),
_xlpm.TerIDs,_xlfn._xlws.FILTER(E:E,A:A=A100),
_xlpm.CuaIDs,_xlfn._xlws.FILTER(F:F,(A:A=A100)),
_xlpm.PrinPts,_xlfn._xlws.FILTER(G:G,(A:A=A100)),
_xlpm.SecPts,_xlfn._xlws.FILTER(H:H,(A:A=A100)),
_xlpm.TerPts,_xlfn._xlws.FILTER(I:I,(A:A=A100)),
_xlpm.CuaPts,_xlfn._xlws.FILTER(J:J,(A:A=A100)),
_xlpm.STIds,_xlfn._xlws.FILTER(T:T,A:A=A100),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524.43000000000006</v>
      </c>
      <c r="AA100" s="4" cm="1">
        <f t="array" aca="1" ref="AA100" ca="1">_xlfn.LET(
_xlpm.PrinIDs,_xlfn._xlws.FILTER(C:C,(A:A=A100)),
_xlpm.SecIDs,_xlfn._xlws.FILTER(D:D,(A:A=A100)),
_xlpm.TerIDs,_xlfn._xlws.FILTER(E:E,A:A=A100),
_xlpm.CuaIDs,_xlfn._xlws.FILTER(F:F,(A:A=A100)),
_xlpm.PrinPts,_xlfn._xlws.FILTER(G:G,(A:A=A100)),
_xlpm.SecPts,_xlfn._xlws.FILTER(H:H,(A:A=A100)),
_xlpm.TerPts,_xlfn._xlws.FILTER(I:I,(A:A=A100)),
_xlpm.CuaPts,_xlfn._xlws.FILTER(J:J,(A:A=A100)),
_xlpm.SCIds,_xlfn._xlws.FILTER(U:U,A:A=A100),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00" s="14">
        <f t="shared" ca="1" si="7"/>
        <v>266</v>
      </c>
      <c r="AC100" s="14">
        <v>266</v>
      </c>
      <c r="AD100" s="4"/>
      <c r="AE100" s="14" t="str">
        <f ca="1">IF(ISNUMBER(AC100),
IF($B100=1,VLOOKUP($AC100,Inventario1!$A:$H,2),
IF($B100=2,VLOOKUP($AC100,Inventario2!$A:$H,2),
IF($B100=3,VLOOKUP($AC100,Inventario3!$A:$H,2),
IF($B100=4,VLOOKUP($AC100,Inventario4!$A:$H,2),
IF($B100=5,VLOOKUP($AC100,Inventario5!$A:$H,2),
VLOOKUP($AC100,Inventario6!$A:$H,2)
))))),"No equipado")</f>
        <v>Legendario</v>
      </c>
      <c r="AF100" s="14" t="str">
        <f ca="1">IF(ISNUMBER(AC100),
IF($B100=1,VLOOKUP($AC100,Inventario1!$A:$H,3),
IF($B100=2,VLOOKUP($AC100,Inventario2!$A:$H,3),
IF($B100=3,VLOOKUP($AC100,Inventario3!$A:$H,3),
IF($B100=4,VLOOKUP($AC100,Inventario4!$A:$H,3),
IF($B100=5,VLOOKUP($AC100,Inventario5!$A:$H,3),
VLOOKUP($AC100,Inventario6!$A:$H,3)
))))),"")</f>
        <v>Finta de colocador</v>
      </c>
      <c r="AG100" s="14" t="str">
        <f ca="1">IF(ISNUMBER(AC100),
IF($B100=1,VLOOKUP($AC100,Inventario1!$A:$H,4),
IF($B100=2,VLOOKUP($AC100,Inventario2!$A:$H,4),
IF($B100=3,VLOOKUP($AC100,Inventario3!$A:$H,4),
IF($B100=4,VLOOKUP($AC100,Inventario4!$A:$H,4),
IF($B100=5,VLOOKUP($AC100,Inventario5!$A:$H,4),
VLOOKUP($AC100,Inventario6!$A:$H,4)
))))),"")</f>
        <v>Saque</v>
      </c>
      <c r="AH100" s="14" t="str">
        <f ca="1">IF(ISNUMBER(AC100),
IF($B100=1,VLOOKUP($AC100,Inventario1!$A:$H,5),
IF($B100=2,VLOOKUP($AC100,Inventario2!$A:$H,5),
IF($B100=3,VLOOKUP($AC100,Inventario3!$A:$H,5),
IF($B100=4,VLOOKUP($AC100,Inventario4!$A:$H,5),
IF($B100=5,VLOOKUP($AC100,Inventario5!$A:$H,5),
VLOOKUP($AC100,Inventario6!$A:$H,5)
))))),"")</f>
        <v>Saque</v>
      </c>
      <c r="AI100" s="14" t="str">
        <f ca="1">IF(ISNUMBER(AC100),
IF($B100=1,VLOOKUP($AC100,Inventario1!$A:$H,6),
IF($B100=2,VLOOKUP($AC100,Inventario2!$A:$H,6),
IF($B100=3,VLOOKUP($AC100,Inventario3!$A:$H,6),
IF($B100=4,VLOOKUP($AC100,Inventario4!$A:$H,6),
IF($B100=5,VLOOKUP($AC100,Inventario5!$A:$H,6),
VLOOKUP($AC100,Inventario6!$A:$H,6)
))))),"")</f>
        <v>Bloqueo</v>
      </c>
      <c r="AJ100" s="14" t="str">
        <f ca="1">IF(ISNUMBER(AC100),
IF($B100=1,VLOOKUP($AC100,Inventario1!$A:$H,7),
IF($B100=2,VLOOKUP($AC100,Inventario2!$A:$H,7),
IF($B100=3,VLOOKUP($AC100,Inventario3!$A:$H,7),
IF($B100=4,VLOOKUP($AC100,Inventario4!$A:$H,7),
IF($B100=5,VLOOKUP($AC100,Inventario5!$A:$H,7),
VLOOKUP($AC100,Inventario6!$A:$H,7)
))))),"")</f>
        <v>Percepción</v>
      </c>
      <c r="AK100" s="15">
        <f ca="1">IF(ISNUMBER(AC100),
IF($B100=1,VLOOKUP($AC100,Inventario1!$A:$H,8),
IF($B100=2,VLOOKUP($AC100,Inventario2!$A:$H,8),
IF($B100=3,VLOOKUP($AC100,Inventario3!$A:$H,8),
IF($B100=4,VLOOKUP($AC100,Inventario4!$A:$H,8),
IF($B100=5,VLOOKUP($AC100,Inventario5!$A:$H,8),
VLOOKUP($AC100,Inventario6!$A:$H,8)
))))),"")</f>
        <v>0</v>
      </c>
    </row>
    <row r="101" spans="1:37" x14ac:dyDescent="0.25">
      <c r="A101" s="21" t="s">
        <v>73</v>
      </c>
      <c r="B101" s="3">
        <v>4</v>
      </c>
      <c r="C101" s="14" cm="1">
        <f t="array" aca="1" ref="C101" ca="1">_xlfn.LET(
    _xlpm.jugador, A101,
    _xlpm.idSel, AC101,
    _xlpm.invIDs, IF(B101=1,Inventario1!A:A,IF(B101=2,Inventario2!A:A,IF(B101=3,Inventario3!A:A,IF(B101=4,Inventario4!A:A,IF(B101=5,Inventario5!A:A,Inventario6!A:A))))),
    _xlpm.invCalidad, IF(B101=1,Inventario1!B:B,IF(B101=2,Inventario2!B:B,IF(B101=3,Inventario3!B:B,IF(B101=4,Inventario4!B:B,IF(B101=5,Inventario5!B:B,Inventario6!B:B))))),
    _xlpm.invTipos, IF(B101=1,Inventario1!C:C,IF(B101=2,Inventario2!C:C,IF(B101=3,Inventario3!C:C,IF(B101=4,Inventario4!C:C,IF(B101=5,Inventario5!C:C,Inventario6!C:C))))),
    _xlpm.invStats, IF(B101=1,Inventario1!D:H,IF(B101=2,Inventario2!D:H,IF(B101=3,Inventario3!D:H,IF(B101=4,Inventario4!D:H,IF(B101=5,Inventario5!D:H,Inventario6!D:H))))),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IF(ROW(A101)=2,"",IF(_xlfn._xlws.FILTER(Equipar!AC$2:AC100,Equipar!B$2:B100=B101)={0},"",_xlfn._xlws.FILTER(Equipar!AC$2:AC100,Equipar!B$2:B100=B101))),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30</v>
      </c>
      <c r="D101" s="4" cm="1">
        <f t="array" ref="D101">_xlfn.LET(
    _xlpm.jugador, A101,
    _xlpm.idSel, AC101,
    _xlpm.invIDs, IF(B101=1,Inventario1!A:A,IF(B101=2,Inventario2!A:A,IF(B101=3,Inventario3!A:A,IF(B101=4,Inventario4!A:A,IF(B101=5,Inventario5!A:A,Inventario6!A:A))))),
    _xlpm.invCalidad, IF(B101=1,Inventario1!B:B,IF(B101=2,Inventario2!B:B,IF(B101=3,Inventario3!B:B,IF(B101=4,Inventario4!B:B,IF(B101=5,Inventario5!B:B,Inventario6!B:B))))),
    _xlpm.invTipos, IF(B101=1,Inventario1!C:C,IF(B101=2,Inventario2!C:C,IF(B101=3,Inventario3!C:C,IF(B101=4,Inventario4!C:C,IF(B101=5,Inventario5!C:C,Inventario6!C:C))))),
    _xlpm.invStats, IF(B101=1,Inventario1!D:H,IF(B101=2,Inventario2!D:H,IF(B101=3,Inventario3!D:H,IF(B101=4,Inventario4!D:H,IF(B101=5,Inventario5!D:H,Inventario6!D:H))))),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IF(ROW(A101)=2,"",IF(_xlfn._xlws.FILTER(Equipar!AC$2:AC100,Equipar!B$2:B100=B101)={0},"",_xlfn._xlws.FILTER(Equipar!AC$2:AC100,Equipar!B$2:B100=B101))),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54</v>
      </c>
      <c r="E101" s="4" cm="1">
        <f t="array" aca="1" ref="E101" ca="1">_xlfn.LET(
    _xlpm.jugador, A101,
    _xlpm.idSel, AC101,
    _xlpm.invIDs, IF(B101=1,Inventario1!A:A,IF(B101=2,Inventario2!A:A,IF(B101=3,Inventario3!A:A,IF(B101=4,Inventario4!A:A,IF(B101=5,Inventario5!A:A,Inventario6!A:A))))),
    _xlpm.invCalidad, IF(B101=1,Inventario1!B:B,IF(B101=2,Inventario2!B:B,IF(B101=3,Inventario3!B:B,IF(B101=4,Inventario4!B:B,IF(B101=5,Inventario5!B:B,Inventario6!B:B))))),
    _xlpm.invTipos, IF(B101=1,Inventario1!C:C,IF(B101=2,Inventario2!C:C,IF(B101=3,Inventario3!C:C,IF(B101=4,Inventario4!C:C,IF(B101=5,Inventario5!C:C,Inventario6!C:C))))),
    _xlpm.invStats, IF(B101=1,Inventario1!D:H,IF(B101=2,Inventario2!D:H,IF(B101=3,Inventario3!D:H,IF(B101=4,Inventario4!D:H,IF(B101=5,Inventario5!D:H,Inventario6!D:H))))),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IF(ROW(A101)=2,"",IF(_xlfn._xlws.FILTER(Equipar!AC$2:AC100,Equipar!B$2:B100=B101)={0},"",_xlfn._xlws.FILTER(Equipar!AC$2:AC100,Equipar!B$2:B100=B101))),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229</v>
      </c>
      <c r="F101" s="4" t="str" cm="1">
        <f t="array" aca="1" ref="F101" ca="1">_xlfn.LET(
    _xlpm.jugador, B101,
    _xlpm.idSel, AD101,
    _xlpm.invIDs, IF(C101=1,Inventario1!B:B,IF(C101=2,Inventario2!B:B,IF(C101=3,Inventario3!B:B,IF(C101=4,Inventario4!B:B,IF(C101=5,Inventario5!B:B,Inventario6!B:B))))),
    _xlpm.invCalidad, IF(C101=1,Inventario1!C:C,IF(C101=2,Inventario2!C:C,IF(C101=3,Inventario3!C:C,IF(C101=4,Inventario4!C:C,IF(C101=5,Inventario5!C:C,Inventario6!C:C))))),
    _xlpm.invTipos, IF(C101=1,Inventario1!D:D,IF(C101=2,Inventario2!D:D,IF(C101=3,Inventario3!D:D,IF(C101=4,Inventario4!D:D,IF(C101=5,Inventario5!D:D,Inventario6!D:D))))),
    _xlpm.invStats, IF(C101=1,Inventario1!E:I,IF(C101=2,Inventario2!E:I,IF(C101=3,Inventario3!E:I,IF(C101=4,Inventario4!E:I,IF(C101=5,Inventario5!E:I,Inventario6!E:I))))),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IF(ROW(B101)=2,"",IF(_xlfn._xlws.FILTER(Equipar!AD$2:AD100,Equipar!C$2:C100=C101)={0},"",_xlfn._xlws.FILTER(Equipar!AD$2:AD100,Equipar!C$2:C100=C101))),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01" s="14" cm="1">
        <f t="array" aca="1" ref="G101" ca="1">_xlfn.LET(
    _xlpm.jugador, A101,
    _xlpm.idSel, AC101,
    _xlpm.invIDs, IF(B101=1,Inventario1!A:A,IF(B101=2,Inventario2!A:A,IF(B101=3,Inventario3!A:A,IF(B101=4,Inventario4!A:A,IF(B101=5,Inventario5!A:A,Inventario6!A:A))))),
    _xlpm.invCalidad, IF(B101=1,Inventario1!B:B,IF(B101=2,Inventario2!B:B,IF(B101=3,Inventario3!B:B,IF(B101=4,Inventario4!B:B,IF(B101=5,Inventario5!B:B,Inventario6!B:B))))),
    _xlpm.invTipos, IF(B101=1,Inventario1!C:C,IF(B101=2,Inventario2!C:C,IF(B101=3,Inventario3!C:C,IF(B101=4,Inventario4!C:C,IF(B101=5,Inventario5!C:C,Inventario6!C:C))))),
    _xlpm.invStats, IF(B101=1,Inventario1!D:H,IF(B101=2,Inventario2!D:H,IF(B101=3,Inventario3!D:H,IF(B101=4,Inventario4!D:H,IF(B101=5,Inventario5!D:H,Inventario6!D:H))))),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IF(ROW(A101)=2,"",IF(_xlfn._xlws.FILTER(Equipar!AC$2:AC100,Equipar!B$2:B100=B101)={0},"",_xlfn._xlws.FILTER(Equipar!AC$2:AC100,Equipar!B$2:B100=B101))),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47.88</v>
      </c>
      <c r="H101" s="4" cm="1">
        <f t="array" ref="H101">_xlfn.LET(
    _xlpm.jugador, A101,
    _xlpm.idSel, AC101,
    _xlpm.invIDs, IF(B101=1,Inventario1!A:A,IF(B101=2,Inventario2!A:A,IF(B101=3,Inventario3!A:A,IF(B101=4,Inventario4!A:A,IF(B101=5,Inventario5!A:A,Inventario6!A:A))))),
    _xlpm.invCalidad, IF(B101=1,Inventario1!B:B,IF(B101=2,Inventario2!B:B,IF(B101=3,Inventario3!B:B,IF(B101=4,Inventario4!B:B,IF(B101=5,Inventario5!B:B,Inventario6!B:B))))),
    _xlpm.invTipos, IF(B101=1,Inventario1!C:C,IF(B101=2,Inventario2!C:C,IF(B101=3,Inventario3!C:C,IF(B101=4,Inventario4!C:C,IF(B101=5,Inventario5!C:C,Inventario6!C:C))))),
    _xlpm.invStats, IF(B101=1,Inventario1!D:H,IF(B101=2,Inventario2!D:H,IF(B101=3,Inventario3!D:H,IF(B101=4,Inventario4!D:H,IF(B101=5,Inventario5!D:H,Inventario6!D:H))))),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IF(ROW(A101)=2,"",IF(_xlfn._xlws.FILTER(Equipar!AC$2:AC100,Equipar!B$2:B100=B101)={0},"",_xlfn._xlws.FILTER(Equipar!AC$2:AC100,Equipar!B$2:B100=B101))),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36</v>
      </c>
      <c r="I101" s="4" cm="1">
        <f t="array" aca="1" ref="I101" ca="1">_xlfn.LET(
    _xlpm.jugador, A101,
    _xlpm.idSel, AC101,
    _xlpm.invIDs, IF(B101=1,Inventario1!A:A,IF(B101=2,Inventario2!A:A,IF(B101=3,Inventario3!A:A,IF(B101=4,Inventario4!A:A,IF(B101=5,Inventario5!A:A,Inventario6!A:A))))),
    _xlpm.invCalidad, IF(B101=1,Inventario1!B:B,IF(B101=2,Inventario2!B:B,IF(B101=3,Inventario3!B:B,IF(B101=4,Inventario4!B:B,IF(B101=5,Inventario5!B:B,Inventario6!B:B))))),
    _xlpm.invTipos, IF(B101=1,Inventario1!C:C,IF(B101=2,Inventario2!C:C,IF(B101=3,Inventario3!C:C,IF(B101=4,Inventario4!C:C,IF(B101=5,Inventario5!C:C,Inventario6!C:C))))),
    _xlpm.invStats, IF(B101=1,Inventario1!D:H,IF(B101=2,Inventario2!D:H,IF(B101=3,Inventario3!D:H,IF(B101=4,Inventario4!D:H,IF(B101=5,Inventario5!D:H,Inventario6!D:H))))),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IF(ROW(A101)=2,"",IF(_xlfn._xlws.FILTER(Equipar!AC$2:AC100,Equipar!B$2:B100=B101)={0},"",_xlfn._xlws.FILTER(Equipar!AC$2:AC100,Equipar!B$2:B100=B101))),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J101" s="4" cm="1">
        <f t="array" aca="1" ref="J101" ca="1">_xlfn.LET(
    _xlpm.jugador, B101,
    _xlpm.idSel, AD101,
    _xlpm.invIDs, IF(C101=1,Inventario1!B:B,IF(C101=2,Inventario2!B:B,IF(C101=3,Inventario3!B:B,IF(C101=4,Inventario4!B:B,IF(C101=5,Inventario5!B:B,Inventario6!B:B))))),
    _xlpm.invCalidad, IF(C101=1,Inventario1!C:C,IF(C101=2,Inventario2!C:C,IF(C101=3,Inventario3!C:C,IF(C101=4,Inventario4!C:C,IF(C101=5,Inventario5!C:C,Inventario6!C:C))))),
    _xlpm.invTipos, IF(C101=1,Inventario1!D:D,IF(C101=2,Inventario2!D:D,IF(C101=3,Inventario3!D:D,IF(C101=4,Inventario4!D:D,IF(C101=5,Inventario5!D:D,Inventario6!D:D))))),
    _xlpm.invStats, IF(C101=1,Inventario1!E:I,IF(C101=2,Inventario2!E:I,IF(C101=3,Inventario3!E:I,IF(C101=4,Inventario4!E:I,IF(C101=5,Inventario5!E:I,Inventario6!E:I))))),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IF(ROW(B101)=2,"",IF(_xlfn._xlws.FILTER(Equipar!AD$2:AD100,Equipar!C$2:C100=C101)={0},"",_xlfn._xlws.FILTER(Equipar!AD$2:AD100,Equipar!C$2:C100=C101))),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01" s="4">
        <f t="shared" ca="1" si="4"/>
        <v>11.880000000000003</v>
      </c>
      <c r="L101" s="4">
        <f t="shared" ca="1" si="5"/>
        <v>-6.1199999999999974</v>
      </c>
      <c r="M101" s="4">
        <f t="shared" ca="1" si="5"/>
        <v>36</v>
      </c>
      <c r="N101" s="4">
        <f t="shared" ca="1" si="6"/>
        <v>-18</v>
      </c>
      <c r="O101" s="4">
        <f t="shared" ca="1" si="6"/>
        <v>54</v>
      </c>
      <c r="P101" s="14" cm="1">
        <f t="array" aca="1" ref="P101" ca="1">_xlfn.LET(
    _xlpm.ptsPrinBase, _xlfn._xlws.FILTER(G:G, A:A=A101),
    _xlpm.ptsSecBase,  _xlfn._xlws.FILTER(H:H, A:A=A101),
    _xlpm.puntosPrin, _xlpm.ptsPrinBase + _xlfn._xlws.FILTER(B:B, A:A=A101)/1000,
    _xlpm.puntosSec,  _xlpm.ptsSecBase  + _xlfn._xlws.FILTER(B:B, A:A=A101)/1000,
    _xlpm.puntosPrinValidos, SUM(--(_xlpm.ptsPrinBase&gt;0)),
    _xlpm.puntosSecValidos,  SUM(--(_xlpm.ptsSecBase&gt;0)),
    _xlpm.clave, K101 + B101/1000,
    _xlpm.claves, _xlfn._xlws.FILTER(K:K + B:B/1000, A:A=A101),
    IF(AND(_xlpm.puntosPrinValidos&gt;=4,_xlpm.puntosSecValidos&gt;=2),IF(
        SUM(--(_xlpm.claves &gt; _xlpm.clave)) &lt; 4,
        C101,
        D101
    ),"No disp")
)</f>
        <v>30</v>
      </c>
      <c r="Q101" s="14" cm="1">
        <f t="array" aca="1" ref="Q101" ca="1">_xlfn.LET(
    _xlpm.puntosPrin, _xlfn._xlws.FILTER(G:G + B:B/1000, A:A=A101),
    _xlpm.puntosPrinValidos, SUM(--(_xlpm.puntosPrin&gt;1)),
    _xlpm.puntosTer, _xlfn._xlws.FILTER(I:I + B:B/1000, A:A=A101),
    _xlpm.puntosTerValidos, SUM(--(_xlpm.puntosTer&gt;1)),
    _xlpm.clave, L101 + B101/1000,
    _xlpm.claves, _xlfn._xlws.FILTER(L:L + B:B/1000, A:A=A101),
    IF(AND(_xlpm.puntosPrinValidos&gt;=4,_xlpm.puntosTerValidos&gt;=2),IF(
        SUM(--(_xlpm.claves &gt; _xlpm.clave)) &lt; 4,
        C101,
        E101
    ),"No disp")
)</f>
        <v>30</v>
      </c>
      <c r="R101" s="14" t="str" cm="1">
        <f t="array" aca="1" ref="R101" ca="1">_xlfn.LET(
    _xlpm.puntosPrin, _xlfn._xlws.FILTER(G:G + B:B/1000, A:A=A101),
    _xlpm.puntosPrinValidos, SUM(--(_xlpm.puntosPrin&gt;1)),
    _xlpm.puntosTer, _xlfn._xlws.FILTER(J:J + B:B/1000, A:A=A101),
    _xlpm.puntosTerValidos, SUM(--(_xlpm.puntosTer&gt;1)),
    _xlpm.clave, M101 + B101/1000,
    _xlpm.claves, _xlfn._xlws.FILTER(M:M + B:B/1000, A:A=A101),
    IF(AND(_xlpm.puntosPrinValidos&gt;=4,_xlpm.puntosTerValidos&gt;=2),IF(
        SUM(--(_xlpm.claves &gt; _xlpm.clave)) &lt; 4,
        C101,
        F101
    ),"No disp")
)</f>
        <v>No disp</v>
      </c>
      <c r="S101" s="14" cm="1">
        <f t="array" aca="1" ref="S101" ca="1">_xlfn.LET(
    _xlpm.ptsPrinBase, _xlfn._xlws.FILTER(G:G, A:A=A101),
    _xlpm.ptsSecBase,  _xlfn._xlws.FILTER(H:H, A:A=A101),
    _xlpm.puntosPrin, _xlpm.ptsPrinBase + _xlfn._xlws.FILTER(B:B, A:A=A101)/1000,
    _xlpm.puntosSec,  _xlpm.ptsSecBase  + _xlfn._xlws.FILTER(B:B, A:A=A101)/1000,
    _xlpm.puntosPrinValidos, SUM(--(_xlpm.ptsPrinBase&gt;0)),
    _xlpm.puntosSecValidos,  SUM(--(_xlpm.ptsSecBase&gt;0)),
    _xlpm.clave, K101 + B101/1000,
    _xlpm.claves, _xlfn._xlws.FILTER(K:K + B:B/1000, A:A=A101),
    IF(
        AND(_xlpm.puntosPrinValidos&gt;=2, _xlpm.puntosSecValidos&gt;=4),
        IF(
            SUM(--(_xlpm.claves &lt; _xlpm.clave)) &lt; 4,
            D101,
            C101
        ),
        "No disp"
    )
)</f>
        <v>30</v>
      </c>
      <c r="T101" s="14" cm="1">
        <f t="array" aca="1" ref="T101" ca="1">_xlfn.LET(
    _xlpm.puntosSec, _xlfn._xlws.FILTER(H:H + B:B/1000, A:A=A101),
    _xlpm.puntosSecValidos, SUM(--(_xlpm.puntosSec&gt;1)),
    _xlpm.puntosAlt, _xlfn._xlws.FILTER(I:I + B:B/1000, A:A=A101),
    _xlpm.puntosAltValidos, SUM(--(_xlpm.puntosAlt&gt;1)),
    _xlpm.clave, N101 + B101/1000,
    _xlpm.claves, _xlfn._xlws.FILTER(N:N + B:B/1000, A:A=A101),
    IF(AND(_xlpm.puntosSecValidos&gt;=4,_xlpm.puntosAltValidos&gt;=2),IF(
        SUM(--(_xlpm.claves &gt; _xlpm.clave)) &lt; 4,
        D101,
        E101
    ),"No disp")
)</f>
        <v>229</v>
      </c>
      <c r="U101" s="14" t="str" cm="1">
        <f t="array" aca="1" ref="U101" ca="1">_xlfn.LET(
    _xlpm.puntosSec, _xlfn._xlws.FILTER(H:H + B:B/1000, A:A=A101),
    _xlpm.puntosSecValidos, SUM(--(_xlpm.puntosSec&gt;1)),
    _xlpm.puntosAlt, _xlfn._xlws.FILTER(J:J + B:B/1000, A:A=A101),
    _xlpm.puntosAltValidos, SUM(--(_xlpm.puntosAlt&gt;1)),
    _xlpm.clave, O101 + B101/1000,
    _xlpm.claves, _xlfn._xlws.FILTER(O:O + B:B/1000, A:A=A101),
    IF(AND(_xlpm.puntosSecValidos&gt;=4,_xlpm.puntosAltValidos&gt;=2),IF(
        SUM(--(_xlpm.claves &gt; _xlpm.clave)) &lt; 4,
        D101,
        F101
    ),"No disp")
)</f>
        <v>No disp</v>
      </c>
      <c r="V101" s="4" cm="1">
        <f t="array" aca="1" ref="V101" ca="1">_xlfn.LET(
_xlpm.PrinIDs,_xlfn._xlws.FILTER(C:C,(A:A=A101)),
_xlpm.SecIDs,_xlfn._xlws.FILTER(D:D,(A:A=A101)),
_xlpm.TerIDs,_xlfn._xlws.FILTER(E:E,A:A=A101),
_xlpm.CuaIDs,_xlfn._xlws.FILTER(F:F,(A:A=A101)),
_xlpm.PrinPts,_xlfn._xlws.FILTER(G:G,(A:A=A101)),
_xlpm.SecPts,_xlfn._xlws.FILTER(H:H,(A:A=A101)),
_xlpm.TerPts,_xlfn._xlws.FILTER(I:I,(A:A=A101)),
_xlpm.CuaPts,_xlfn._xlws.FILTER(J:J,(A:A=A101)),
_xlpm.PSIds,_xlfn._xlws.FILTER(P:P,A:A=A101),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506.16</v>
      </c>
      <c r="W101" s="4" cm="1">
        <f t="array" aca="1" ref="W101" ca="1">_xlfn.LET(
_xlpm.PrinIDs,_xlfn._xlws.FILTER(C:C,(A:A=A101)),
_xlpm.SecIDs,_xlfn._xlws.FILTER(D:D,(A:A=A101)),
_xlpm.TerIDs,_xlfn._xlws.FILTER(E:E,A:A=A101),
_xlpm.CuaIDs,_xlfn._xlws.FILTER(F:F,(A:A=A101)),
_xlpm.PrinPts,_xlfn._xlws.FILTER(G:G,(A:A=A101)),
_xlpm.SecPts,_xlfn._xlws.FILTER(H:H,(A:A=A101)),
_xlpm.TerPts,_xlfn._xlws.FILTER(I:I,(A:A=A101)),
_xlpm.CuaPts,_xlfn._xlws.FILTER(J:J,(A:A=A101)),
_xlpm.PTIds,_xlfn._xlws.FILTER(Q:Q,A:A=A101),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524.16000000000008</v>
      </c>
      <c r="X101" s="4" cm="1">
        <f t="array" aca="1" ref="X101" ca="1">_xlfn.LET(
_xlpm.PrinIDs,_xlfn._xlws.FILTER(C:C,(A:A=A101)),
_xlpm.SecIDs,_xlfn._xlws.FILTER(D:D,(A:A=A101)),
_xlpm.TerIDs,_xlfn._xlws.FILTER(E:E,A:A=A101),
_xlpm.CuaIDs,_xlfn._xlws.FILTER(F:F,(A:A=A101)),
_xlpm.PrinPts,_xlfn._xlws.FILTER(G:G,(A:A=A101)),
_xlpm.SecPts,_xlfn._xlws.FILTER(H:H,(A:A=A101)),
_xlpm.TerPts,_xlfn._xlws.FILTER(I:I,(A:A=A101)),
_xlpm.CuaPts,_xlfn._xlws.FILTER(J:J,(A:A=A101)),
_xlpm.PCIds,_xlfn._xlws.FILTER(R:R,A:A=A101),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01" s="4" cm="1">
        <f t="array" aca="1" ref="Y101" ca="1">_xlfn.LET(
_xlpm.PrinIDs,_xlfn._xlws.FILTER(C:C,(A:A=A101)),
_xlpm.SecIDs,_xlfn._xlws.FILTER(D:D,(A:A=A101)),
_xlpm.AltIDs,_xlfn._xlws.FILTER(E:E,A:A=A101),
_xlpm.PrinPts,_xlfn._xlws.FILTER(G:G,(A:A=A101)),
_xlpm.SecPts,_xlfn._xlws.FILTER(H:H,(A:A=A101)),
_xlpm.AltPts,_xlfn._xlws.FILTER(I:I,(A:A=A101)),
_xlpm.SPIds,_xlfn._xlws.FILTER(S:S,A:A=A101),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506.43</v>
      </c>
      <c r="Z101" s="4" cm="1">
        <f t="array" aca="1" ref="Z101" ca="1">_xlfn.LET(
_xlpm.PrinIDs,_xlfn._xlws.FILTER(C:C,(A:A=A101)),
_xlpm.SecIDs,_xlfn._xlws.FILTER(D:D,(A:A=A101)),
_xlpm.TerIDs,_xlfn._xlws.FILTER(E:E,A:A=A101),
_xlpm.CuaIDs,_xlfn._xlws.FILTER(F:F,(A:A=A101)),
_xlpm.PrinPts,_xlfn._xlws.FILTER(G:G,(A:A=A101)),
_xlpm.SecPts,_xlfn._xlws.FILTER(H:H,(A:A=A101)),
_xlpm.TerPts,_xlfn._xlws.FILTER(I:I,(A:A=A101)),
_xlpm.CuaPts,_xlfn._xlws.FILTER(J:J,(A:A=A101)),
_xlpm.STIds,_xlfn._xlws.FILTER(T:T,A:A=A101),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524.43000000000006</v>
      </c>
      <c r="AA101" s="4" cm="1">
        <f t="array" aca="1" ref="AA101" ca="1">_xlfn.LET(
_xlpm.PrinIDs,_xlfn._xlws.FILTER(C:C,(A:A=A101)),
_xlpm.SecIDs,_xlfn._xlws.FILTER(D:D,(A:A=A101)),
_xlpm.TerIDs,_xlfn._xlws.FILTER(E:E,A:A=A101),
_xlpm.CuaIDs,_xlfn._xlws.FILTER(F:F,(A:A=A101)),
_xlpm.PrinPts,_xlfn._xlws.FILTER(G:G,(A:A=A101)),
_xlpm.SecPts,_xlfn._xlws.FILTER(H:H,(A:A=A101)),
_xlpm.TerPts,_xlfn._xlws.FILTER(I:I,(A:A=A101)),
_xlpm.CuaPts,_xlfn._xlws.FILTER(J:J,(A:A=A101)),
_xlpm.SCIds,_xlfn._xlws.FILTER(U:U,A:A=A101),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01" s="14">
        <f t="shared" ca="1" si="7"/>
        <v>229</v>
      </c>
      <c r="AC101" s="14">
        <v>229</v>
      </c>
      <c r="AD101" s="4"/>
      <c r="AE101" s="14" t="str">
        <f ca="1">IF(ISNUMBER(AC101),
IF($B101=1,VLOOKUP($AC101,Inventario1!$A:$H,2),
IF($B101=2,VLOOKUP($AC101,Inventario2!$A:$H,2),
IF($B101=3,VLOOKUP($AC101,Inventario3!$A:$H,2),
IF($B101=4,VLOOKUP($AC101,Inventario4!$A:$H,2),
IF($B101=5,VLOOKUP($AC101,Inventario5!$A:$H,2),
VLOOKUP($AC101,Inventario6!$A:$H,2)
))))),"No equipado")</f>
        <v>Épico</v>
      </c>
      <c r="AF101" s="14" t="str">
        <f ca="1">IF(ISNUMBER(AC101),
IF($B101=1,VLOOKUP($AC101,Inventario1!$A:$H,3),
IF($B101=2,VLOOKUP($AC101,Inventario2!$A:$H,3),
IF($B101=3,VLOOKUP($AC101,Inventario3!$A:$H,3),
IF($B101=4,VLOOKUP($AC101,Inventario4!$A:$H,3),
IF($B101=5,VLOOKUP($AC101,Inventario5!$A:$H,3),
VLOOKUP($AC101,Inventario6!$A:$H,3)
))))),"")</f>
        <v>Finta de colocador</v>
      </c>
      <c r="AG101" s="14" t="str">
        <f ca="1">IF(ISNUMBER(AC101),
IF($B101=1,VLOOKUP($AC101,Inventario1!$A:$H,4),
IF($B101=2,VLOOKUP($AC101,Inventario2!$A:$H,4),
IF($B101=3,VLOOKUP($AC101,Inventario3!$A:$H,4),
IF($B101=4,VLOOKUP($AC101,Inventario4!$A:$H,4),
IF($B101=5,VLOOKUP($AC101,Inventario5!$A:$H,4),
VLOOKUP($AC101,Inventario6!$A:$H,4)
))))),"")</f>
        <v>Bloqueo</v>
      </c>
      <c r="AH101" s="14" t="str">
        <f ca="1">IF(ISNUMBER(AC101),
IF($B101=1,VLOOKUP($AC101,Inventario1!$A:$H,5),
IF($B101=2,VLOOKUP($AC101,Inventario2!$A:$H,5),
IF($B101=3,VLOOKUP($AC101,Inventario3!$A:$H,5),
IF($B101=4,VLOOKUP($AC101,Inventario4!$A:$H,5),
IF($B101=5,VLOOKUP($AC101,Inventario5!$A:$H,5),
VLOOKUP($AC101,Inventario6!$A:$H,5)
))))),"")</f>
        <v>Fuerza</v>
      </c>
      <c r="AI101" s="14" t="str">
        <f ca="1">IF(ISNUMBER(AC101),
IF($B101=1,VLOOKUP($AC101,Inventario1!$A:$H,6),
IF($B101=2,VLOOKUP($AC101,Inventario2!$A:$H,6),
IF($B101=3,VLOOKUP($AC101,Inventario3!$A:$H,6),
IF($B101=4,VLOOKUP($AC101,Inventario4!$A:$H,6),
IF($B101=5,VLOOKUP($AC101,Inventario5!$A:$H,6),
VLOOKUP($AC101,Inventario6!$A:$H,6)
))))),"")</f>
        <v>Saque</v>
      </c>
      <c r="AJ101" s="14">
        <f ca="1">IF(ISNUMBER(AC101),
IF($B101=1,VLOOKUP($AC101,Inventario1!$A:$H,7),
IF($B101=2,VLOOKUP($AC101,Inventario2!$A:$H,7),
IF($B101=3,VLOOKUP($AC101,Inventario3!$A:$H,7),
IF($B101=4,VLOOKUP($AC101,Inventario4!$A:$H,7),
IF($B101=5,VLOOKUP($AC101,Inventario5!$A:$H,7),
VLOOKUP($AC101,Inventario6!$A:$H,7)
))))),"")</f>
        <v>0</v>
      </c>
      <c r="AK101" s="15">
        <f ca="1">IF(ISNUMBER(AC101),
IF($B101=1,VLOOKUP($AC101,Inventario1!$A:$H,8),
IF($B101=2,VLOOKUP($AC101,Inventario2!$A:$H,8),
IF($B101=3,VLOOKUP($AC101,Inventario3!$A:$H,8),
IF($B101=4,VLOOKUP($AC101,Inventario4!$A:$H,8),
IF($B101=5,VLOOKUP($AC101,Inventario5!$A:$H,8),
VLOOKUP($AC101,Inventario6!$A:$H,8)
))))),"")</f>
        <v>0</v>
      </c>
    </row>
    <row r="102" spans="1:37" x14ac:dyDescent="0.25">
      <c r="A102" s="21" t="s">
        <v>73</v>
      </c>
      <c r="B102" s="3">
        <v>5</v>
      </c>
      <c r="C102" s="14" cm="1">
        <f t="array" ref="C102">_xlfn.LET(
    _xlpm.jugador, A102,
    _xlpm.idSel, AC102,
    _xlpm.invIDs, IF(B102=1,Inventario1!A:A,IF(B102=2,Inventario2!A:A,IF(B102=3,Inventario3!A:A,IF(B102=4,Inventario4!A:A,IF(B102=5,Inventario5!A:A,Inventario6!A:A))))),
    _xlpm.invCalidad, IF(B102=1,Inventario1!B:B,IF(B102=2,Inventario2!B:B,IF(B102=3,Inventario3!B:B,IF(B102=4,Inventario4!B:B,IF(B102=5,Inventario5!B:B,Inventario6!B:B))))),
    _xlpm.invTipos, IF(B102=1,Inventario1!C:C,IF(B102=2,Inventario2!C:C,IF(B102=3,Inventario3!C:C,IF(B102=4,Inventario4!C:C,IF(B102=5,Inventario5!C:C,Inventario6!C:C))))),
    _xlpm.invStats, IF(B102=1,Inventario1!D:H,IF(B102=2,Inventario2!D:H,IF(B102=3,Inventario3!D:H,IF(B102=4,Inventario4!D:H,IF(B102=5,Inventario5!D:H,Inventario6!D:H))))),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IF(ROW(A102)=2,"",IF(_xlfn._xlws.FILTER(Equipar!AC$2:AC101,Equipar!B$2:B101=B102)={0},"",_xlfn._xlws.FILTER(Equipar!AC$2:AC101,Equipar!B$2:B101=B102))),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322</v>
      </c>
      <c r="D102" s="4" cm="1">
        <f t="array" ref="D102">_xlfn.LET(
    _xlpm.jugador, A102,
    _xlpm.idSel, AC102,
    _xlpm.invIDs, IF(B102=1,Inventario1!A:A,IF(B102=2,Inventario2!A:A,IF(B102=3,Inventario3!A:A,IF(B102=4,Inventario4!A:A,IF(B102=5,Inventario5!A:A,Inventario6!A:A))))),
    _xlpm.invCalidad, IF(B102=1,Inventario1!B:B,IF(B102=2,Inventario2!B:B,IF(B102=3,Inventario3!B:B,IF(B102=4,Inventario4!B:B,IF(B102=5,Inventario5!B:B,Inventario6!B:B))))),
    _xlpm.invTipos, IF(B102=1,Inventario1!C:C,IF(B102=2,Inventario2!C:C,IF(B102=3,Inventario3!C:C,IF(B102=4,Inventario4!C:C,IF(B102=5,Inventario5!C:C,Inventario6!C:C))))),
    _xlpm.invStats, IF(B102=1,Inventario1!D:H,IF(B102=2,Inventario2!D:H,IF(B102=3,Inventario3!D:H,IF(B102=4,Inventario4!D:H,IF(B102=5,Inventario5!D:H,Inventario6!D:H))))),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IF(ROW(A102)=2,"",IF(_xlfn._xlws.FILTER(Equipar!AC$2:AC101,Equipar!B$2:B101=B102)={0},"",_xlfn._xlws.FILTER(Equipar!AC$2:AC101,Equipar!B$2:B101=B102))),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40</v>
      </c>
      <c r="E102" s="4" cm="1">
        <f t="array" aca="1" ref="E102" ca="1">_xlfn.LET(
    _xlpm.jugador, A102,
    _xlpm.idSel, AC102,
    _xlpm.invIDs, IF(B102=1,Inventario1!A:A,IF(B102=2,Inventario2!A:A,IF(B102=3,Inventario3!A:A,IF(B102=4,Inventario4!A:A,IF(B102=5,Inventario5!A:A,Inventario6!A:A))))),
    _xlpm.invCalidad, IF(B102=1,Inventario1!B:B,IF(B102=2,Inventario2!B:B,IF(B102=3,Inventario3!B:B,IF(B102=4,Inventario4!B:B,IF(B102=5,Inventario5!B:B,Inventario6!B:B))))),
    _xlpm.invTipos, IF(B102=1,Inventario1!C:C,IF(B102=2,Inventario2!C:C,IF(B102=3,Inventario3!C:C,IF(B102=4,Inventario4!C:C,IF(B102=5,Inventario5!C:C,Inventario6!C:C))))),
    _xlpm.invStats, IF(B102=1,Inventario1!D:H,IF(B102=2,Inventario2!D:H,IF(B102=3,Inventario3!D:H,IF(B102=4,Inventario4!D:H,IF(B102=5,Inventario5!D:H,Inventario6!D:H))))),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IF(ROW(A102)=2,"",IF(_xlfn._xlws.FILTER(Equipar!AC$2:AC101,Equipar!B$2:B101=B102)={0},"",_xlfn._xlws.FILTER(Equipar!AC$2:AC101,Equipar!B$2:B101=B102))),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314</v>
      </c>
      <c r="F102" s="4" t="str" cm="1">
        <f t="array" aca="1" ref="F102" ca="1">_xlfn.LET(
    _xlpm.jugador, B102,
    _xlpm.idSel, AD102,
    _xlpm.invIDs, IF(C102=1,Inventario1!B:B,IF(C102=2,Inventario2!B:B,IF(C102=3,Inventario3!B:B,IF(C102=4,Inventario4!B:B,IF(C102=5,Inventario5!B:B,Inventario6!B:B))))),
    _xlpm.invCalidad, IF(C102=1,Inventario1!C:C,IF(C102=2,Inventario2!C:C,IF(C102=3,Inventario3!C:C,IF(C102=4,Inventario4!C:C,IF(C102=5,Inventario5!C:C,Inventario6!C:C))))),
    _xlpm.invTipos, IF(C102=1,Inventario1!D:D,IF(C102=2,Inventario2!D:D,IF(C102=3,Inventario3!D:D,IF(C102=4,Inventario4!D:D,IF(C102=5,Inventario5!D:D,Inventario6!D:D))))),
    _xlpm.invStats, IF(C102=1,Inventario1!E:I,IF(C102=2,Inventario2!E:I,IF(C102=3,Inventario3!E:I,IF(C102=4,Inventario4!E:I,IF(C102=5,Inventario5!E:I,Inventario6!E:I))))),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IF(ROW(B102)=2,"",IF(_xlfn._xlws.FILTER(Equipar!AD$2:AD101,Equipar!C$2:C101=C102)={0},"",_xlfn._xlws.FILTER(Equipar!AD$2:AD101,Equipar!C$2:C101=C102))),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02" s="14" cm="1">
        <f t="array" ref="G102">_xlfn.LET(
    _xlpm.jugador, A102,
    _xlpm.idSel, AC102,
    _xlpm.invIDs, IF(B102=1,Inventario1!A:A,IF(B102=2,Inventario2!A:A,IF(B102=3,Inventario3!A:A,IF(B102=4,Inventario4!A:A,IF(B102=5,Inventario5!A:A,Inventario6!A:A))))),
    _xlpm.invCalidad, IF(B102=1,Inventario1!B:B,IF(B102=2,Inventario2!B:B,IF(B102=3,Inventario3!B:B,IF(B102=4,Inventario4!B:B,IF(B102=5,Inventario5!B:B,Inventario6!B:B))))),
    _xlpm.invTipos, IF(B102=1,Inventario1!C:C,IF(B102=2,Inventario2!C:C,IF(B102=3,Inventario3!C:C,IF(B102=4,Inventario4!C:C,IF(B102=5,Inventario5!C:C,Inventario6!C:C))))),
    _xlpm.invStats, IF(B102=1,Inventario1!D:H,IF(B102=2,Inventario2!D:H,IF(B102=3,Inventario3!D:H,IF(B102=4,Inventario4!D:H,IF(B102=5,Inventario5!D:H,Inventario6!D:H))))),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IF(ROW(A102)=2,"",IF(_xlfn._xlws.FILTER(Equipar!AC$2:AC101,Equipar!B$2:B101=B102)={0},"",_xlfn._xlws.FILTER(Equipar!AC$2:AC101,Equipar!B$2:B101=B102))),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71.820000000000007</v>
      </c>
      <c r="H102" s="4" cm="1">
        <f t="array" ref="H102">_xlfn.LET(
    _xlpm.jugador, A102,
    _xlpm.idSel, AC102,
    _xlpm.invIDs, IF(B102=1,Inventario1!A:A,IF(B102=2,Inventario2!A:A,IF(B102=3,Inventario3!A:A,IF(B102=4,Inventario4!A:A,IF(B102=5,Inventario5!A:A,Inventario6!A:A))))),
    _xlpm.invCalidad, IF(B102=1,Inventario1!B:B,IF(B102=2,Inventario2!B:B,IF(B102=3,Inventario3!B:B,IF(B102=4,Inventario4!B:B,IF(B102=5,Inventario5!B:B,Inventario6!B:B))))),
    _xlpm.invTipos, IF(B102=1,Inventario1!C:C,IF(B102=2,Inventario2!C:C,IF(B102=3,Inventario3!C:C,IF(B102=4,Inventario4!C:C,IF(B102=5,Inventario5!C:C,Inventario6!C:C))))),
    _xlpm.invStats, IF(B102=1,Inventario1!D:H,IF(B102=2,Inventario2!D:H,IF(B102=3,Inventario3!D:H,IF(B102=4,Inventario4!D:H,IF(B102=5,Inventario5!D:H,Inventario6!D:H))))),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IF(ROW(A102)=2,"",IF(_xlfn._xlws.FILTER(Equipar!AC$2:AC101,Equipar!B$2:B101=B102)={0},"",_xlfn._xlws.FILTER(Equipar!AC$2:AC101,Equipar!B$2:B101=B102))),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I102" s="4" cm="1">
        <f t="array" aca="1" ref="I102" ca="1">_xlfn.LET(
    _xlpm.jugador, A102,
    _xlpm.idSel, AC102,
    _xlpm.invIDs, IF(B102=1,Inventario1!A:A,IF(B102=2,Inventario2!A:A,IF(B102=3,Inventario3!A:A,IF(B102=4,Inventario4!A:A,IF(B102=5,Inventario5!A:A,Inventario6!A:A))))),
    _xlpm.invCalidad, IF(B102=1,Inventario1!B:B,IF(B102=2,Inventario2!B:B,IF(B102=3,Inventario3!B:B,IF(B102=4,Inventario4!B:B,IF(B102=5,Inventario5!B:B,Inventario6!B:B))))),
    _xlpm.invTipos, IF(B102=1,Inventario1!C:C,IF(B102=2,Inventario2!C:C,IF(B102=3,Inventario3!C:C,IF(B102=4,Inventario4!C:C,IF(B102=5,Inventario5!C:C,Inventario6!C:C))))),
    _xlpm.invStats, IF(B102=1,Inventario1!D:H,IF(B102=2,Inventario2!D:H,IF(B102=3,Inventario3!D:H,IF(B102=4,Inventario4!D:H,IF(B102=5,Inventario5!D:H,Inventario6!D:H))))),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IF(ROW(A102)=2,"",IF(_xlfn._xlws.FILTER(Equipar!AC$2:AC101,Equipar!B$2:B101=B102)={0},"",_xlfn._xlws.FILTER(Equipar!AC$2:AC101,Equipar!B$2:B101=B102))),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J102" s="4" cm="1">
        <f t="array" aca="1" ref="J102" ca="1">_xlfn.LET(
    _xlpm.jugador, B102,
    _xlpm.idSel, AD102,
    _xlpm.invIDs, IF(C102=1,Inventario1!B:B,IF(C102=2,Inventario2!B:B,IF(C102=3,Inventario3!B:B,IF(C102=4,Inventario4!B:B,IF(C102=5,Inventario5!B:B,Inventario6!B:B))))),
    _xlpm.invCalidad, IF(C102=1,Inventario1!C:C,IF(C102=2,Inventario2!C:C,IF(C102=3,Inventario3!C:C,IF(C102=4,Inventario4!C:C,IF(C102=5,Inventario5!C:C,Inventario6!C:C))))),
    _xlpm.invTipos, IF(C102=1,Inventario1!D:D,IF(C102=2,Inventario2!D:D,IF(C102=3,Inventario3!D:D,IF(C102=4,Inventario4!D:D,IF(C102=5,Inventario5!D:D,Inventario6!D:D))))),
    _xlpm.invStats, IF(C102=1,Inventario1!E:I,IF(C102=2,Inventario2!E:I,IF(C102=3,Inventario3!E:I,IF(C102=4,Inventario4!E:I,IF(C102=5,Inventario5!E:I,Inventario6!E:I))))),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IF(ROW(B102)=2,"",IF(_xlfn._xlws.FILTER(Equipar!AD$2:AD101,Equipar!C$2:C101=C102)={0},"",_xlfn._xlws.FILTER(Equipar!AD$2:AD101,Equipar!C$2:C101=C102))),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02" s="4">
        <f t="shared" ca="1" si="4"/>
        <v>8.8200000000000074</v>
      </c>
      <c r="L102" s="4">
        <f t="shared" ca="1" si="5"/>
        <v>-9.1799999999999926</v>
      </c>
      <c r="M102" s="4">
        <f t="shared" ca="1" si="5"/>
        <v>63</v>
      </c>
      <c r="N102" s="4">
        <f t="shared" ca="1" si="6"/>
        <v>-18</v>
      </c>
      <c r="O102" s="4">
        <f t="shared" ca="1" si="6"/>
        <v>81</v>
      </c>
      <c r="P102" s="14" cm="1">
        <f t="array" aca="1" ref="P102" ca="1">_xlfn.LET(
    _xlpm.ptsPrinBase, _xlfn._xlws.FILTER(G:G, A:A=A102),
    _xlpm.ptsSecBase,  _xlfn._xlws.FILTER(H:H, A:A=A102),
    _xlpm.puntosPrin, _xlpm.ptsPrinBase + _xlfn._xlws.FILTER(B:B, A:A=A102)/1000,
    _xlpm.puntosSec,  _xlpm.ptsSecBase  + _xlfn._xlws.FILTER(B:B, A:A=A102)/1000,
    _xlpm.puntosPrinValidos, SUM(--(_xlpm.ptsPrinBase&gt;0)),
    _xlpm.puntosSecValidos,  SUM(--(_xlpm.ptsSecBase&gt;0)),
    _xlpm.clave, K102 + B102/1000,
    _xlpm.claves, _xlfn._xlws.FILTER(K:K + B:B/1000, A:A=A102),
    IF(AND(_xlpm.puntosPrinValidos&gt;=4,_xlpm.puntosSecValidos&gt;=2),IF(
        SUM(--(_xlpm.claves &gt; _xlpm.clave)) &lt; 4,
        C102,
        D102
    ),"No disp")
)</f>
        <v>322</v>
      </c>
      <c r="Q102" s="14" cm="1">
        <f t="array" aca="1" ref="Q102" ca="1">_xlfn.LET(
    _xlpm.puntosPrin, _xlfn._xlws.FILTER(G:G + B:B/1000, A:A=A102),
    _xlpm.puntosPrinValidos, SUM(--(_xlpm.puntosPrin&gt;1)),
    _xlpm.puntosTer, _xlfn._xlws.FILTER(I:I + B:B/1000, A:A=A102),
    _xlpm.puntosTerValidos, SUM(--(_xlpm.puntosTer&gt;1)),
    _xlpm.clave, L102 + B102/1000,
    _xlpm.claves, _xlfn._xlws.FILTER(L:L + B:B/1000, A:A=A102),
    IF(AND(_xlpm.puntosPrinValidos&gt;=4,_xlpm.puntosTerValidos&gt;=2),IF(
        SUM(--(_xlpm.claves &gt; _xlpm.clave)) &lt; 4,
        C102,
        E102
    ),"No disp")
)</f>
        <v>322</v>
      </c>
      <c r="R102" s="14" t="str" cm="1">
        <f t="array" aca="1" ref="R102" ca="1">_xlfn.LET(
    _xlpm.puntosPrin, _xlfn._xlws.FILTER(G:G + B:B/1000, A:A=A102),
    _xlpm.puntosPrinValidos, SUM(--(_xlpm.puntosPrin&gt;1)),
    _xlpm.puntosTer, _xlfn._xlws.FILTER(J:J + B:B/1000, A:A=A102),
    _xlpm.puntosTerValidos, SUM(--(_xlpm.puntosTer&gt;1)),
    _xlpm.clave, M102 + B102/1000,
    _xlpm.claves, _xlfn._xlws.FILTER(M:M + B:B/1000, A:A=A102),
    IF(AND(_xlpm.puntosPrinValidos&gt;=4,_xlpm.puntosTerValidos&gt;=2),IF(
        SUM(--(_xlpm.claves &gt; _xlpm.clave)) &lt; 4,
        C102,
        F102
    ),"No disp")
)</f>
        <v>No disp</v>
      </c>
      <c r="S102" s="14" cm="1">
        <f t="array" aca="1" ref="S102" ca="1">_xlfn.LET(
    _xlpm.ptsPrinBase, _xlfn._xlws.FILTER(G:G, A:A=A102),
    _xlpm.ptsSecBase,  _xlfn._xlws.FILTER(H:H, A:A=A102),
    _xlpm.puntosPrin, _xlpm.ptsPrinBase + _xlfn._xlws.FILTER(B:B, A:A=A102)/1000,
    _xlpm.puntosSec,  _xlpm.ptsSecBase  + _xlfn._xlws.FILTER(B:B, A:A=A102)/1000,
    _xlpm.puntosPrinValidos, SUM(--(_xlpm.ptsPrinBase&gt;0)),
    _xlpm.puntosSecValidos,  SUM(--(_xlpm.ptsSecBase&gt;0)),
    _xlpm.clave, K102 + B102/1000,
    _xlpm.claves, _xlfn._xlws.FILTER(K:K + B:B/1000, A:A=A102),
    IF(
        AND(_xlpm.puntosPrinValidos&gt;=2, _xlpm.puntosSecValidos&gt;=4),
        IF(
            SUM(--(_xlpm.claves &lt; _xlpm.clave)) &lt; 4,
            D102,
            C102
        ),
        "No disp"
    )
)</f>
        <v>322</v>
      </c>
      <c r="T102" s="14" cm="1">
        <f t="array" aca="1" ref="T102" ca="1">_xlfn.LET(
    _xlpm.puntosSec, _xlfn._xlws.FILTER(H:H + B:B/1000, A:A=A102),
    _xlpm.puntosSecValidos, SUM(--(_xlpm.puntosSec&gt;1)),
    _xlpm.puntosAlt, _xlfn._xlws.FILTER(I:I + B:B/1000, A:A=A102),
    _xlpm.puntosAltValidos, SUM(--(_xlpm.puntosAlt&gt;1)),
    _xlpm.clave, N102 + B102/1000,
    _xlpm.claves, _xlfn._xlws.FILTER(N:N + B:B/1000, A:A=A102),
    IF(AND(_xlpm.puntosSecValidos&gt;=4,_xlpm.puntosAltValidos&gt;=2),IF(
        SUM(--(_xlpm.claves &gt; _xlpm.clave)) &lt; 4,
        D102,
        E102
    ),"No disp")
)</f>
        <v>40</v>
      </c>
      <c r="U102" s="14" t="str" cm="1">
        <f t="array" aca="1" ref="U102" ca="1">_xlfn.LET(
    _xlpm.puntosSec, _xlfn._xlws.FILTER(H:H + B:B/1000, A:A=A102),
    _xlpm.puntosSecValidos, SUM(--(_xlpm.puntosSec&gt;1)),
    _xlpm.puntosAlt, _xlfn._xlws.FILTER(J:J + B:B/1000, A:A=A102),
    _xlpm.puntosAltValidos, SUM(--(_xlpm.puntosAlt&gt;1)),
    _xlpm.clave, O102 + B102/1000,
    _xlpm.claves, _xlfn._xlws.FILTER(O:O + B:B/1000, A:A=A102),
    IF(AND(_xlpm.puntosSecValidos&gt;=4,_xlpm.puntosAltValidos&gt;=2),IF(
        SUM(--(_xlpm.claves &gt; _xlpm.clave)) &lt; 4,
        D102,
        F102
    ),"No disp")
)</f>
        <v>No disp</v>
      </c>
      <c r="V102" s="4" cm="1">
        <f t="array" aca="1" ref="V102" ca="1">_xlfn.LET(
_xlpm.PrinIDs,_xlfn._xlws.FILTER(C:C,(A:A=A102)),
_xlpm.SecIDs,_xlfn._xlws.FILTER(D:D,(A:A=A102)),
_xlpm.TerIDs,_xlfn._xlws.FILTER(E:E,A:A=A102),
_xlpm.CuaIDs,_xlfn._xlws.FILTER(F:F,(A:A=A102)),
_xlpm.PrinPts,_xlfn._xlws.FILTER(G:G,(A:A=A102)),
_xlpm.SecPts,_xlfn._xlws.FILTER(H:H,(A:A=A102)),
_xlpm.TerPts,_xlfn._xlws.FILTER(I:I,(A:A=A102)),
_xlpm.CuaPts,_xlfn._xlws.FILTER(J:J,(A:A=A102)),
_xlpm.PSIds,_xlfn._xlws.FILTER(P:P,A:A=A102),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506.16</v>
      </c>
      <c r="W102" s="4" cm="1">
        <f t="array" aca="1" ref="W102" ca="1">_xlfn.LET(
_xlpm.PrinIDs,_xlfn._xlws.FILTER(C:C,(A:A=A102)),
_xlpm.SecIDs,_xlfn._xlws.FILTER(D:D,(A:A=A102)),
_xlpm.TerIDs,_xlfn._xlws.FILTER(E:E,A:A=A102),
_xlpm.CuaIDs,_xlfn._xlws.FILTER(F:F,(A:A=A102)),
_xlpm.PrinPts,_xlfn._xlws.FILTER(G:G,(A:A=A102)),
_xlpm.SecPts,_xlfn._xlws.FILTER(H:H,(A:A=A102)),
_xlpm.TerPts,_xlfn._xlws.FILTER(I:I,(A:A=A102)),
_xlpm.CuaPts,_xlfn._xlws.FILTER(J:J,(A:A=A102)),
_xlpm.PTIds,_xlfn._xlws.FILTER(Q:Q,A:A=A102),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524.16000000000008</v>
      </c>
      <c r="X102" s="4" cm="1">
        <f t="array" aca="1" ref="X102" ca="1">_xlfn.LET(
_xlpm.PrinIDs,_xlfn._xlws.FILTER(C:C,(A:A=A102)),
_xlpm.SecIDs,_xlfn._xlws.FILTER(D:D,(A:A=A102)),
_xlpm.TerIDs,_xlfn._xlws.FILTER(E:E,A:A=A102),
_xlpm.CuaIDs,_xlfn._xlws.FILTER(F:F,(A:A=A102)),
_xlpm.PrinPts,_xlfn._xlws.FILTER(G:G,(A:A=A102)),
_xlpm.SecPts,_xlfn._xlws.FILTER(H:H,(A:A=A102)),
_xlpm.TerPts,_xlfn._xlws.FILTER(I:I,(A:A=A102)),
_xlpm.CuaPts,_xlfn._xlws.FILTER(J:J,(A:A=A102)),
_xlpm.PCIds,_xlfn._xlws.FILTER(R:R,A:A=A102),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02" s="4" cm="1">
        <f t="array" aca="1" ref="Y102" ca="1">_xlfn.LET(
_xlpm.PrinIDs,_xlfn._xlws.FILTER(C:C,(A:A=A102)),
_xlpm.SecIDs,_xlfn._xlws.FILTER(D:D,(A:A=A102)),
_xlpm.AltIDs,_xlfn._xlws.FILTER(E:E,A:A=A102),
_xlpm.PrinPts,_xlfn._xlws.FILTER(G:G,(A:A=A102)),
_xlpm.SecPts,_xlfn._xlws.FILTER(H:H,(A:A=A102)),
_xlpm.AltPts,_xlfn._xlws.FILTER(I:I,(A:A=A102)),
_xlpm.SPIds,_xlfn._xlws.FILTER(S:S,A:A=A102),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506.43</v>
      </c>
      <c r="Z102" s="4" cm="1">
        <f t="array" aca="1" ref="Z102" ca="1">_xlfn.LET(
_xlpm.PrinIDs,_xlfn._xlws.FILTER(C:C,(A:A=A102)),
_xlpm.SecIDs,_xlfn._xlws.FILTER(D:D,(A:A=A102)),
_xlpm.TerIDs,_xlfn._xlws.FILTER(E:E,A:A=A102),
_xlpm.CuaIDs,_xlfn._xlws.FILTER(F:F,(A:A=A102)),
_xlpm.PrinPts,_xlfn._xlws.FILTER(G:G,(A:A=A102)),
_xlpm.SecPts,_xlfn._xlws.FILTER(H:H,(A:A=A102)),
_xlpm.TerPts,_xlfn._xlws.FILTER(I:I,(A:A=A102)),
_xlpm.CuaPts,_xlfn._xlws.FILTER(J:J,(A:A=A102)),
_xlpm.STIds,_xlfn._xlws.FILTER(T:T,A:A=A102),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524.43000000000006</v>
      </c>
      <c r="AA102" s="4" cm="1">
        <f t="array" aca="1" ref="AA102" ca="1">_xlfn.LET(
_xlpm.PrinIDs,_xlfn._xlws.FILTER(C:C,(A:A=A102)),
_xlpm.SecIDs,_xlfn._xlws.FILTER(D:D,(A:A=A102)),
_xlpm.TerIDs,_xlfn._xlws.FILTER(E:E,A:A=A102),
_xlpm.CuaIDs,_xlfn._xlws.FILTER(F:F,(A:A=A102)),
_xlpm.PrinPts,_xlfn._xlws.FILTER(G:G,(A:A=A102)),
_xlpm.SecPts,_xlfn._xlws.FILTER(H:H,(A:A=A102)),
_xlpm.TerPts,_xlfn._xlws.FILTER(I:I,(A:A=A102)),
_xlpm.CuaPts,_xlfn._xlws.FILTER(J:J,(A:A=A102)),
_xlpm.SCIds,_xlfn._xlws.FILTER(U:U,A:A=A102),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02" s="14">
        <f t="shared" ca="1" si="7"/>
        <v>40</v>
      </c>
      <c r="AC102" s="14">
        <v>40</v>
      </c>
      <c r="AD102" s="4"/>
      <c r="AE102" s="14" t="str">
        <f ca="1">IF(ISNUMBER(AC102),
IF($B102=1,VLOOKUP($AC102,Inventario1!$A:$H,2),
IF($B102=2,VLOOKUP($AC102,Inventario2!$A:$H,2),
IF($B102=3,VLOOKUP($AC102,Inventario3!$A:$H,2),
IF($B102=4,VLOOKUP($AC102,Inventario4!$A:$H,2),
IF($B102=5,VLOOKUP($AC102,Inventario5!$A:$H,2),
VLOOKUP($AC102,Inventario6!$A:$H,2)
))))),"No equipado")</f>
        <v>Épico</v>
      </c>
      <c r="AF102" s="14" t="str">
        <f ca="1">IF(ISNUMBER(AC102),
IF($B102=1,VLOOKUP($AC102,Inventario1!$A:$H,3),
IF($B102=2,VLOOKUP($AC102,Inventario2!$A:$H,3),
IF($B102=3,VLOOKUP($AC102,Inventario3!$A:$H,3),
IF($B102=4,VLOOKUP($AC102,Inventario4!$A:$H,3),
IF($B102=5,VLOOKUP($AC102,Inventario5!$A:$H,3),
VLOOKUP($AC102,Inventario6!$A:$H,3)
))))),"")</f>
        <v>Pase preciso</v>
      </c>
      <c r="AG102" s="14" t="str">
        <f ca="1">IF(ISNUMBER(AC102),
IF($B102=1,VLOOKUP($AC102,Inventario1!$A:$H,4),
IF($B102=2,VLOOKUP($AC102,Inventario2!$A:$H,4),
IF($B102=3,VLOOKUP($AC102,Inventario3!$A:$H,4),
IF($B102=4,VLOOKUP($AC102,Inventario4!$A:$H,4),
IF($B102=5,VLOOKUP($AC102,Inventario5!$A:$H,4),
VLOOKUP($AC102,Inventario6!$A:$H,4)
))))),"")</f>
        <v>Recepción</v>
      </c>
      <c r="AH102" s="14" t="str">
        <f ca="1">IF(ISNUMBER(AC102),
IF($B102=1,VLOOKUP($AC102,Inventario1!$A:$H,5),
IF($B102=2,VLOOKUP($AC102,Inventario2!$A:$H,5),
IF($B102=3,VLOOKUP($AC102,Inventario3!$A:$H,5),
IF($B102=4,VLOOKUP($AC102,Inventario4!$A:$H,5),
IF($B102=5,VLOOKUP($AC102,Inventario5!$A:$H,5),
VLOOKUP($AC102,Inventario6!$A:$H,5)
))))),"")</f>
        <v>Saque</v>
      </c>
      <c r="AI102" s="14" t="str">
        <f ca="1">IF(ISNUMBER(AC102),
IF($B102=1,VLOOKUP($AC102,Inventario1!$A:$H,6),
IF($B102=2,VLOOKUP($AC102,Inventario2!$A:$H,6),
IF($B102=3,VLOOKUP($AC102,Inventario3!$A:$H,6),
IF($B102=4,VLOOKUP($AC102,Inventario4!$A:$H,6),
IF($B102=5,VLOOKUP($AC102,Inventario5!$A:$H,6),
VLOOKUP($AC102,Inventario6!$A:$H,6)
))))),"")</f>
        <v>Recuperación</v>
      </c>
      <c r="AJ102" s="14" t="str">
        <f ca="1">IF(ISNUMBER(AC102),
IF($B102=1,VLOOKUP($AC102,Inventario1!$A:$H,7),
IF($B102=2,VLOOKUP($AC102,Inventario2!$A:$H,7),
IF($B102=3,VLOOKUP($AC102,Inventario3!$A:$H,7),
IF($B102=4,VLOOKUP($AC102,Inventario4!$A:$H,7),
IF($B102=5,VLOOKUP($AC102,Inventario5!$A:$H,7),
VLOOKUP($AC102,Inventario6!$A:$H,7)
))))),"")</f>
        <v>Colocación</v>
      </c>
      <c r="AK102" s="15" t="str">
        <f ca="1">IF(ISNUMBER(AC102),
IF($B102=1,VLOOKUP($AC102,Inventario1!$A:$H,8),
IF($B102=2,VLOOKUP($AC102,Inventario2!$A:$H,8),
IF($B102=3,VLOOKUP($AC102,Inventario3!$A:$H,8),
IF($B102=4,VLOOKUP($AC102,Inventario4!$A:$H,8),
IF($B102=5,VLOOKUP($AC102,Inventario5!$A:$H,8),
VLOOKUP($AC102,Inventario6!$A:$H,8)
))))),"")</f>
        <v>Ataque rápido</v>
      </c>
    </row>
    <row r="103" spans="1:37" ht="15.75" thickBot="1" x14ac:dyDescent="0.3">
      <c r="A103" s="22" t="s">
        <v>73</v>
      </c>
      <c r="B103" s="17">
        <v>6</v>
      </c>
      <c r="C103" s="18" cm="1">
        <f t="array" ref="C103">_xlfn.LET(
    _xlpm.jugador, A103,
    _xlpm.idSel, AC103,
    _xlpm.invIDs, IF(B103=1,Inventario1!A:A,IF(B103=2,Inventario2!A:A,IF(B103=3,Inventario3!A:A,IF(B103=4,Inventario4!A:A,IF(B103=5,Inventario5!A:A,Inventario6!A:A))))),
    _xlpm.invCalidad, IF(B103=1,Inventario1!B:B,IF(B103=2,Inventario2!B:B,IF(B103=3,Inventario3!B:B,IF(B103=4,Inventario4!B:B,IF(B103=5,Inventario5!B:B,Inventario6!B:B))))),
    _xlpm.invTipos, IF(B103=1,Inventario1!C:C,IF(B103=2,Inventario2!C:C,IF(B103=3,Inventario3!C:C,IF(B103=4,Inventario4!C:C,IF(B103=5,Inventario5!C:C,Inventario6!C:C))))),
    _xlpm.invStats, IF(B103=1,Inventario1!D:H,IF(B103=2,Inventario2!D:H,IF(B103=3,Inventario3!D:H,IF(B103=4,Inventario4!D:H,IF(B103=5,Inventario5!D:H,Inventario6!D:H))))),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IF(ROW(A103)=2,"",IF(_xlfn._xlws.FILTER(Equipar!AC$2:AC102,Equipar!B$2:B102=B103)={0},"",_xlfn._xlws.FILTER(Equipar!AC$2:AC102,Equipar!B$2:B102=B103))),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46</v>
      </c>
      <c r="D103" s="17" cm="1">
        <f t="array" ref="D103">_xlfn.LET(
    _xlpm.jugador, A103,
    _xlpm.idSel, AC103,
    _xlpm.invIDs, IF(B103=1,Inventario1!A:A,IF(B103=2,Inventario2!A:A,IF(B103=3,Inventario3!A:A,IF(B103=4,Inventario4!A:A,IF(B103=5,Inventario5!A:A,Inventario6!A:A))))),
    _xlpm.invCalidad, IF(B103=1,Inventario1!B:B,IF(B103=2,Inventario2!B:B,IF(B103=3,Inventario3!B:B,IF(B103=4,Inventario4!B:B,IF(B103=5,Inventario5!B:B,Inventario6!B:B))))),
    _xlpm.invTipos, IF(B103=1,Inventario1!C:C,IF(B103=2,Inventario2!C:C,IF(B103=3,Inventario3!C:C,IF(B103=4,Inventario4!C:C,IF(B103=5,Inventario5!C:C,Inventario6!C:C))))),
    _xlpm.invStats, IF(B103=1,Inventario1!D:H,IF(B103=2,Inventario2!D:H,IF(B103=3,Inventario3!D:H,IF(B103=4,Inventario4!D:H,IF(B103=5,Inventario5!D:H,Inventario6!D:H))))),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IF(ROW(A103)=2,"",IF(_xlfn._xlws.FILTER(Equipar!AC$2:AC102,Equipar!B$2:B102=B103)={0},"",_xlfn._xlws.FILTER(Equipar!AC$2:AC102,Equipar!B$2:B102=B103))),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52</v>
      </c>
      <c r="E103" s="17" cm="1">
        <f t="array" ref="E103">_xlfn.LET(
    _xlpm.jugador, A103,
    _xlpm.idSel, AC103,
    _xlpm.invIDs, IF(B103=1,Inventario1!A:A,IF(B103=2,Inventario2!A:A,IF(B103=3,Inventario3!A:A,IF(B103=4,Inventario4!A:A,IF(B103=5,Inventario5!A:A,Inventario6!A:A))))),
    _xlpm.invCalidad, IF(B103=1,Inventario1!B:B,IF(B103=2,Inventario2!B:B,IF(B103=3,Inventario3!B:B,IF(B103=4,Inventario4!B:B,IF(B103=5,Inventario5!B:B,Inventario6!B:B))))),
    _xlpm.invTipos, IF(B103=1,Inventario1!C:C,IF(B103=2,Inventario2!C:C,IF(B103=3,Inventario3!C:C,IF(B103=4,Inventario4!C:C,IF(B103=5,Inventario5!C:C,Inventario6!C:C))))),
    _xlpm.invStats, IF(B103=1,Inventario1!D:H,IF(B103=2,Inventario2!D:H,IF(B103=3,Inventario3!D:H,IF(B103=4,Inventario4!D:H,IF(B103=5,Inventario5!D:H,Inventario6!D:H))))),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IF(ROW(A103)=2,"",IF(_xlfn._xlws.FILTER(Equipar!AC$2:AC102,Equipar!B$2:B102=B103)={0},"",_xlfn._xlws.FILTER(Equipar!AC$2:AC102,Equipar!B$2:B102=B103))),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279</v>
      </c>
      <c r="F103" s="17" t="str" cm="1">
        <f t="array" aca="1" ref="F103" ca="1">_xlfn.LET(
    _xlpm.jugador, B103,
    _xlpm.idSel, AD103,
    _xlpm.invIDs, IF(C103=1,Inventario1!B:B,IF(C103=2,Inventario2!B:B,IF(C103=3,Inventario3!B:B,IF(C103=4,Inventario4!B:B,IF(C103=5,Inventario5!B:B,Inventario6!B:B))))),
    _xlpm.invCalidad, IF(C103=1,Inventario1!C:C,IF(C103=2,Inventario2!C:C,IF(C103=3,Inventario3!C:C,IF(C103=4,Inventario4!C:C,IF(C103=5,Inventario5!C:C,Inventario6!C:C))))),
    _xlpm.invTipos, IF(C103=1,Inventario1!D:D,IF(C103=2,Inventario2!D:D,IF(C103=3,Inventario3!D:D,IF(C103=4,Inventario4!D:D,IF(C103=5,Inventario5!D:D,Inventario6!D:D))))),
    _xlpm.invStats, IF(C103=1,Inventario1!E:I,IF(C103=2,Inventario2!E:I,IF(C103=3,Inventario3!E:I,IF(C103=4,Inventario4!E:I,IF(C103=5,Inventario5!E:I,Inventario6!E:I))))),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IF(ROW(B103)=2,"",IF(_xlfn._xlws.FILTER(Equipar!AD$2:AD102,Equipar!C$2:C102=C103)={0},"",_xlfn._xlws.FILTER(Equipar!AD$2:AD102,Equipar!C$2:C102=C103))),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03" s="18" cm="1">
        <f t="array" ref="G103">_xlfn.LET(
    _xlpm.jugador, A103,
    _xlpm.idSel, AC103,
    _xlpm.invIDs, IF(B103=1,Inventario1!A:A,IF(B103=2,Inventario2!A:A,IF(B103=3,Inventario3!A:A,IF(B103=4,Inventario4!A:A,IF(B103=5,Inventario5!A:A,Inventario6!A:A))))),
    _xlpm.invCalidad, IF(B103=1,Inventario1!B:B,IF(B103=2,Inventario2!B:B,IF(B103=3,Inventario3!B:B,IF(B103=4,Inventario4!B:B,IF(B103=5,Inventario5!B:B,Inventario6!B:B))))),
    _xlpm.invTipos, IF(B103=1,Inventario1!C:C,IF(B103=2,Inventario2!C:C,IF(B103=3,Inventario3!C:C,IF(B103=4,Inventario4!C:C,IF(B103=5,Inventario5!C:C,Inventario6!C:C))))),
    _xlpm.invStats, IF(B103=1,Inventario1!D:H,IF(B103=2,Inventario2!D:H,IF(B103=3,Inventario3!D:H,IF(B103=4,Inventario4!D:H,IF(B103=5,Inventario5!D:H,Inventario6!D:H))))),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IF(ROW(A103)=2,"",IF(_xlfn._xlws.FILTER(Equipar!AC$2:AC102,Equipar!B$2:B102=B103)={0},"",_xlfn._xlws.FILTER(Equipar!AC$2:AC102,Equipar!B$2:B102=B103))),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H103" s="17" cm="1">
        <f t="array" ref="H103">_xlfn.LET(
    _xlpm.jugador, A103,
    _xlpm.idSel, AC103,
    _xlpm.invIDs, IF(B103=1,Inventario1!A:A,IF(B103=2,Inventario2!A:A,IF(B103=3,Inventario3!A:A,IF(B103=4,Inventario4!A:A,IF(B103=5,Inventario5!A:A,Inventario6!A:A))))),
    _xlpm.invCalidad, IF(B103=1,Inventario1!B:B,IF(B103=2,Inventario2!B:B,IF(B103=3,Inventario3!B:B,IF(B103=4,Inventario4!B:B,IF(B103=5,Inventario5!B:B,Inventario6!B:B))))),
    _xlpm.invTipos, IF(B103=1,Inventario1!C:C,IF(B103=2,Inventario2!C:C,IF(B103=3,Inventario3!C:C,IF(B103=4,Inventario4!C:C,IF(B103=5,Inventario5!C:C,Inventario6!C:C))))),
    _xlpm.invStats, IF(B103=1,Inventario1!D:H,IF(B103=2,Inventario2!D:H,IF(B103=3,Inventario3!D:H,IF(B103=4,Inventario4!D:H,IF(B103=5,Inventario5!D:H,Inventario6!D:H))))),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IF(ROW(A103)=2,"",IF(_xlfn._xlws.FILTER(Equipar!AC$2:AC102,Equipar!B$2:B102=B103)={0},"",_xlfn._xlws.FILTER(Equipar!AC$2:AC102,Equipar!B$2:B102=B103))),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90</v>
      </c>
      <c r="I103" s="17" cm="1">
        <f t="array" ref="I103">_xlfn.LET(
    _xlpm.jugador, A103,
    _xlpm.idSel, AC103,
    _xlpm.invIDs, IF(B103=1,Inventario1!A:A,IF(B103=2,Inventario2!A:A,IF(B103=3,Inventario3!A:A,IF(B103=4,Inventario4!A:A,IF(B103=5,Inventario5!A:A,Inventario6!A:A))))),
    _xlpm.invCalidad, IF(B103=1,Inventario1!B:B,IF(B103=2,Inventario2!B:B,IF(B103=3,Inventario3!B:B,IF(B103=4,Inventario4!B:B,IF(B103=5,Inventario5!B:B,Inventario6!B:B))))),
    _xlpm.invTipos, IF(B103=1,Inventario1!C:C,IF(B103=2,Inventario2!C:C,IF(B103=3,Inventario3!C:C,IF(B103=4,Inventario4!C:C,IF(B103=5,Inventario5!C:C,Inventario6!C:C))))),
    _xlpm.invStats, IF(B103=1,Inventario1!D:H,IF(B103=2,Inventario2!D:H,IF(B103=3,Inventario3!D:H,IF(B103=4,Inventario4!D:H,IF(B103=5,Inventario5!D:H,Inventario6!D:H))))),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IF(ROW(A103)=2,"",IF(_xlfn._xlws.FILTER(Equipar!AC$2:AC102,Equipar!B$2:B102=B103)={0},"",_xlfn._xlws.FILTER(Equipar!AC$2:AC102,Equipar!B$2:B102=B103))),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108</v>
      </c>
      <c r="J103" s="17" cm="1">
        <f t="array" aca="1" ref="J103" ca="1">_xlfn.LET(
    _xlpm.jugador, B103,
    _xlpm.idSel, AD103,
    _xlpm.invIDs, IF(C103=1,Inventario1!B:B,IF(C103=2,Inventario2!B:B,IF(C103=3,Inventario3!B:B,IF(C103=4,Inventario4!B:B,IF(C103=5,Inventario5!B:B,Inventario6!B:B))))),
    _xlpm.invCalidad, IF(C103=1,Inventario1!C:C,IF(C103=2,Inventario2!C:C,IF(C103=3,Inventario3!C:C,IF(C103=4,Inventario4!C:C,IF(C103=5,Inventario5!C:C,Inventario6!C:C))))),
    _xlpm.invTipos, IF(C103=1,Inventario1!D:D,IF(C103=2,Inventario2!D:D,IF(C103=3,Inventario3!D:D,IF(C103=4,Inventario4!D:D,IF(C103=5,Inventario5!D:D,Inventario6!D:D))))),
    _xlpm.invStats, IF(C103=1,Inventario1!E:I,IF(C103=2,Inventario2!E:I,IF(C103=3,Inventario3!E:I,IF(C103=4,Inventario4!E:I,IF(C103=5,Inventario5!E:I,Inventario6!E:I))))),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IF(ROW(B103)=2,"",IF(_xlfn._xlws.FILTER(Equipar!AD$2:AD102,Equipar!C$2:C102=C103)={0},"",_xlfn._xlws.FILTER(Equipar!AD$2:AD102,Equipar!C$2:C102=C103))),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03" s="17">
        <f t="shared" si="4"/>
        <v>-18</v>
      </c>
      <c r="L103" s="17">
        <f t="shared" si="5"/>
        <v>-36</v>
      </c>
      <c r="M103" s="17">
        <f t="shared" ca="1" si="5"/>
        <v>90</v>
      </c>
      <c r="N103" s="17">
        <f t="shared" si="6"/>
        <v>-18</v>
      </c>
      <c r="O103" s="17">
        <f t="shared" ca="1" si="6"/>
        <v>108</v>
      </c>
      <c r="P103" s="18" cm="1">
        <f t="array" aca="1" ref="P103" ca="1">_xlfn.LET(
    _xlpm.ptsPrinBase, _xlfn._xlws.FILTER(G:G, A:A=A103),
    _xlpm.ptsSecBase,  _xlfn._xlws.FILTER(H:H, A:A=A103),
    _xlpm.puntosPrin, _xlpm.ptsPrinBase + _xlfn._xlws.FILTER(B:B, A:A=A103)/1000,
    _xlpm.puntosSec,  _xlpm.ptsSecBase  + _xlfn._xlws.FILTER(B:B, A:A=A103)/1000,
    _xlpm.puntosPrinValidos, SUM(--(_xlpm.ptsPrinBase&gt;0)),
    _xlpm.puntosSecValidos,  SUM(--(_xlpm.ptsSecBase&gt;0)),
    _xlpm.clave, K103 + B103/1000,
    _xlpm.claves, _xlfn._xlws.FILTER(K:K + B:B/1000, A:A=A103),
    IF(AND(_xlpm.puntosPrinValidos&gt;=4,_xlpm.puntosSecValidos&gt;=2),IF(
        SUM(--(_xlpm.claves &gt; _xlpm.clave)) &lt; 4,
        C103,
        D103
    ),"No disp")
)</f>
        <v>52</v>
      </c>
      <c r="Q103" s="18" cm="1">
        <f t="array" aca="1" ref="Q103" ca="1">_xlfn.LET(
    _xlpm.puntosPrin, _xlfn._xlws.FILTER(G:G + B:B/1000, A:A=A103),
    _xlpm.puntosPrinValidos, SUM(--(_xlpm.puntosPrin&gt;1)),
    _xlpm.puntosTer, _xlfn._xlws.FILTER(I:I + B:B/1000, A:A=A103),
    _xlpm.puntosTerValidos, SUM(--(_xlpm.puntosTer&gt;1)),
    _xlpm.clave, L103 + B103/1000,
    _xlpm.claves, _xlfn._xlws.FILTER(L:L + B:B/1000, A:A=A103),
    IF(AND(_xlpm.puntosPrinValidos&gt;=4,_xlpm.puntosTerValidos&gt;=2),IF(
        SUM(--(_xlpm.claves &gt; _xlpm.clave)) &lt; 4,
        C103,
        E103
    ),"No disp")
)</f>
        <v>279</v>
      </c>
      <c r="R103" s="18" t="str" cm="1">
        <f t="array" aca="1" ref="R103" ca="1">_xlfn.LET(
    _xlpm.puntosPrin, _xlfn._xlws.FILTER(G:G + B:B/1000, A:A=A103),
    _xlpm.puntosPrinValidos, SUM(--(_xlpm.puntosPrin&gt;1)),
    _xlpm.puntosTer, _xlfn._xlws.FILTER(J:J + B:B/1000, A:A=A103),
    _xlpm.puntosTerValidos, SUM(--(_xlpm.puntosTer&gt;1)),
    _xlpm.clave, M103 + B103/1000,
    _xlpm.claves, _xlfn._xlws.FILTER(M:M + B:B/1000, A:A=A103),
    IF(AND(_xlpm.puntosPrinValidos&gt;=4,_xlpm.puntosTerValidos&gt;=2),IF(
        SUM(--(_xlpm.claves &gt; _xlpm.clave)) &lt; 4,
        C103,
        F103
    ),"No disp")
)</f>
        <v>No disp</v>
      </c>
      <c r="S103" s="18" cm="1">
        <f t="array" aca="1" ref="S103" ca="1">_xlfn.LET(
    _xlpm.ptsPrinBase, _xlfn._xlws.FILTER(G:G, A:A=A103),
    _xlpm.ptsSecBase,  _xlfn._xlws.FILTER(H:H, A:A=A103),
    _xlpm.puntosPrin, _xlpm.ptsPrinBase + _xlfn._xlws.FILTER(B:B, A:A=A103)/1000,
    _xlpm.puntosSec,  _xlpm.ptsSecBase  + _xlfn._xlws.FILTER(B:B, A:A=A103)/1000,
    _xlpm.puntosPrinValidos, SUM(--(_xlpm.ptsPrinBase&gt;0)),
    _xlpm.puntosSecValidos,  SUM(--(_xlpm.ptsSecBase&gt;0)),
    _xlpm.clave, K103 + B103/1000,
    _xlpm.claves, _xlfn._xlws.FILTER(K:K + B:B/1000, A:A=A103),
    IF(
        AND(_xlpm.puntosPrinValidos&gt;=2, _xlpm.puntosSecValidos&gt;=4),
        IF(
            SUM(--(_xlpm.claves &lt; _xlpm.clave)) &lt; 4,
            D103,
            C103
        ),
        "No disp"
    )
)</f>
        <v>52</v>
      </c>
      <c r="T103" s="18" cm="1">
        <f t="array" aca="1" ref="T103" ca="1">_xlfn.LET(
    _xlpm.puntosSec, _xlfn._xlws.FILTER(H:H + B:B/1000, A:A=A103),
    _xlpm.puntosSecValidos, SUM(--(_xlpm.puntosSec&gt;1)),
    _xlpm.puntosAlt, _xlfn._xlws.FILTER(I:I + B:B/1000, A:A=A103),
    _xlpm.puntosAltValidos, SUM(--(_xlpm.puntosAlt&gt;1)),
    _xlpm.clave, N103 + B103/1000,
    _xlpm.claves, _xlfn._xlws.FILTER(N:N + B:B/1000, A:A=A103),
    IF(AND(_xlpm.puntosSecValidos&gt;=4,_xlpm.puntosAltValidos&gt;=2),IF(
        SUM(--(_xlpm.claves &gt; _xlpm.clave)) &lt; 4,
        D103,
        E103
    ),"No disp")
)</f>
        <v>52</v>
      </c>
      <c r="U103" s="18" t="str" cm="1">
        <f t="array" aca="1" ref="U103" ca="1">_xlfn.LET(
    _xlpm.puntosSec, _xlfn._xlws.FILTER(H:H + B:B/1000, A:A=A103),
    _xlpm.puntosSecValidos, SUM(--(_xlpm.puntosSec&gt;1)),
    _xlpm.puntosAlt, _xlfn._xlws.FILTER(J:J + B:B/1000, A:A=A103),
    _xlpm.puntosAltValidos, SUM(--(_xlpm.puntosAlt&gt;1)),
    _xlpm.clave, O103 + B103/1000,
    _xlpm.claves, _xlfn._xlws.FILTER(O:O + B:B/1000, A:A=A103),
    IF(AND(_xlpm.puntosSecValidos&gt;=4,_xlpm.puntosAltValidos&gt;=2),IF(
        SUM(--(_xlpm.claves &gt; _xlpm.clave)) &lt; 4,
        D103,
        F103
    ),"No disp")
)</f>
        <v>No disp</v>
      </c>
      <c r="V103" s="17" cm="1">
        <f t="array" aca="1" ref="V103" ca="1">_xlfn.LET(
_xlpm.PrinIDs,_xlfn._xlws.FILTER(C:C,(A:A=A103)),
_xlpm.SecIDs,_xlfn._xlws.FILTER(D:D,(A:A=A103)),
_xlpm.TerIDs,_xlfn._xlws.FILTER(E:E,A:A=A103),
_xlpm.CuaIDs,_xlfn._xlws.FILTER(F:F,(A:A=A103)),
_xlpm.PrinPts,_xlfn._xlws.FILTER(G:G,(A:A=A103)),
_xlpm.SecPts,_xlfn._xlws.FILTER(H:H,(A:A=A103)),
_xlpm.TerPts,_xlfn._xlws.FILTER(I:I,(A:A=A103)),
_xlpm.CuaPts,_xlfn._xlws.FILTER(J:J,(A:A=A103)),
_xlpm.PSIds,_xlfn._xlws.FILTER(P:P,A:A=A103),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506.16</v>
      </c>
      <c r="W103" s="17" cm="1">
        <f t="array" aca="1" ref="W103" ca="1">_xlfn.LET(
_xlpm.PrinIDs,_xlfn._xlws.FILTER(C:C,(A:A=A103)),
_xlpm.SecIDs,_xlfn._xlws.FILTER(D:D,(A:A=A103)),
_xlpm.TerIDs,_xlfn._xlws.FILTER(E:E,A:A=A103),
_xlpm.CuaIDs,_xlfn._xlws.FILTER(F:F,(A:A=A103)),
_xlpm.PrinPts,_xlfn._xlws.FILTER(G:G,(A:A=A103)),
_xlpm.SecPts,_xlfn._xlws.FILTER(H:H,(A:A=A103)),
_xlpm.TerPts,_xlfn._xlws.FILTER(I:I,(A:A=A103)),
_xlpm.CuaPts,_xlfn._xlws.FILTER(J:J,(A:A=A103)),
_xlpm.PTIds,_xlfn._xlws.FILTER(Q:Q,A:A=A103),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524.16000000000008</v>
      </c>
      <c r="X103" s="17" cm="1">
        <f t="array" aca="1" ref="X103" ca="1">_xlfn.LET(
_xlpm.PrinIDs,_xlfn._xlws.FILTER(C:C,(A:A=A103)),
_xlpm.SecIDs,_xlfn._xlws.FILTER(D:D,(A:A=A103)),
_xlpm.TerIDs,_xlfn._xlws.FILTER(E:E,A:A=A103),
_xlpm.CuaIDs,_xlfn._xlws.FILTER(F:F,(A:A=A103)),
_xlpm.PrinPts,_xlfn._xlws.FILTER(G:G,(A:A=A103)),
_xlpm.SecPts,_xlfn._xlws.FILTER(H:H,(A:A=A103)),
_xlpm.TerPts,_xlfn._xlws.FILTER(I:I,(A:A=A103)),
_xlpm.CuaPts,_xlfn._xlws.FILTER(J:J,(A:A=A103)),
_xlpm.PCIds,_xlfn._xlws.FILTER(R:R,A:A=A103),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03" s="17" cm="1">
        <f t="array" aca="1" ref="Y103" ca="1">_xlfn.LET(
_xlpm.PrinIDs,_xlfn._xlws.FILTER(C:C,(A:A=A103)),
_xlpm.SecIDs,_xlfn._xlws.FILTER(D:D,(A:A=A103)),
_xlpm.AltIDs,_xlfn._xlws.FILTER(E:E,A:A=A103),
_xlpm.PrinPts,_xlfn._xlws.FILTER(G:G,(A:A=A103)),
_xlpm.SecPts,_xlfn._xlws.FILTER(H:H,(A:A=A103)),
_xlpm.AltPts,_xlfn._xlws.FILTER(I:I,(A:A=A103)),
_xlpm.SPIds,_xlfn._xlws.FILTER(S:S,A:A=A103),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506.43</v>
      </c>
      <c r="Z103" s="17" cm="1">
        <f t="array" aca="1" ref="Z103" ca="1">_xlfn.LET(
_xlpm.PrinIDs,_xlfn._xlws.FILTER(C:C,(A:A=A103)),
_xlpm.SecIDs,_xlfn._xlws.FILTER(D:D,(A:A=A103)),
_xlpm.TerIDs,_xlfn._xlws.FILTER(E:E,A:A=A103),
_xlpm.CuaIDs,_xlfn._xlws.FILTER(F:F,(A:A=A103)),
_xlpm.PrinPts,_xlfn._xlws.FILTER(G:G,(A:A=A103)),
_xlpm.SecPts,_xlfn._xlws.FILTER(H:H,(A:A=A103)),
_xlpm.TerPts,_xlfn._xlws.FILTER(I:I,(A:A=A103)),
_xlpm.CuaPts,_xlfn._xlws.FILTER(J:J,(A:A=A103)),
_xlpm.STIds,_xlfn._xlws.FILTER(T:T,A:A=A103),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524.43000000000006</v>
      </c>
      <c r="AA103" s="17" cm="1">
        <f t="array" aca="1" ref="AA103" ca="1">_xlfn.LET(
_xlpm.PrinIDs,_xlfn._xlws.FILTER(C:C,(A:A=A103)),
_xlpm.SecIDs,_xlfn._xlws.FILTER(D:D,(A:A=A103)),
_xlpm.TerIDs,_xlfn._xlws.FILTER(E:E,A:A=A103),
_xlpm.CuaIDs,_xlfn._xlws.FILTER(F:F,(A:A=A103)),
_xlpm.PrinPts,_xlfn._xlws.FILTER(G:G,(A:A=A103)),
_xlpm.SecPts,_xlfn._xlws.FILTER(H:H,(A:A=A103)),
_xlpm.TerPts,_xlfn._xlws.FILTER(I:I,(A:A=A103)),
_xlpm.CuaPts,_xlfn._xlws.FILTER(J:J,(A:A=A103)),
_xlpm.SCIds,_xlfn._xlws.FILTER(U:U,A:A=A103),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03" s="18">
        <f t="shared" ca="1" si="7"/>
        <v>52</v>
      </c>
      <c r="AC103" s="18">
        <v>52</v>
      </c>
      <c r="AD103" s="17"/>
      <c r="AE103" s="18" t="str">
        <f ca="1">IF(ISNUMBER(AC103),
IF($B103=1,VLOOKUP($AC103,Inventario1!$A:$H,2),
IF($B103=2,VLOOKUP($AC103,Inventario2!$A:$H,2),
IF($B103=3,VLOOKUP($AC103,Inventario3!$A:$H,2),
IF($B103=4,VLOOKUP($AC103,Inventario4!$A:$H,2),
IF($B103=5,VLOOKUP($AC103,Inventario5!$A:$H,2),
VLOOKUP($AC103,Inventario6!$A:$H,2)
))))),"No equipado")</f>
        <v>Épico</v>
      </c>
      <c r="AF103" s="18" t="str">
        <f ca="1">IF(ISNUMBER(AC103),
IF($B103=1,VLOOKUP($AC103,Inventario1!$A:$H,3),
IF($B103=2,VLOOKUP($AC103,Inventario2!$A:$H,3),
IF($B103=3,VLOOKUP($AC103,Inventario3!$A:$H,3),
IF($B103=4,VLOOKUP($AC103,Inventario4!$A:$H,3),
IF($B103=5,VLOOKUP($AC103,Inventario5!$A:$H,3),
VLOOKUP($AC103,Inventario6!$A:$H,3)
))))),"")</f>
        <v>Pase preciso</v>
      </c>
      <c r="AG103" s="18" t="str">
        <f ca="1">IF(ISNUMBER(AC103),
IF($B103=1,VLOOKUP($AC103,Inventario1!$A:$H,4),
IF($B103=2,VLOOKUP($AC103,Inventario2!$A:$H,4),
IF($B103=3,VLOOKUP($AC103,Inventario3!$A:$H,4),
IF($B103=4,VLOOKUP($AC103,Inventario4!$A:$H,4),
IF($B103=5,VLOOKUP($AC103,Inventario5!$A:$H,4),
VLOOKUP($AC103,Inventario6!$A:$H,4)
))))),"")</f>
        <v>Saque</v>
      </c>
      <c r="AH103" s="18" t="str">
        <f ca="1">IF(ISNUMBER(AC103),
IF($B103=1,VLOOKUP($AC103,Inventario1!$A:$H,5),
IF($B103=2,VLOOKUP($AC103,Inventario2!$A:$H,5),
IF($B103=3,VLOOKUP($AC103,Inventario3!$A:$H,5),
IF($B103=4,VLOOKUP($AC103,Inventario4!$A:$H,5),
IF($B103=5,VLOOKUP($AC103,Inventario5!$A:$H,5),
VLOOKUP($AC103,Inventario6!$A:$H,5)
))))),"")</f>
        <v>Percepción</v>
      </c>
      <c r="AI103" s="18" t="str">
        <f ca="1">IF(ISNUMBER(AC103),
IF($B103=1,VLOOKUP($AC103,Inventario1!$A:$H,6),
IF($B103=2,VLOOKUP($AC103,Inventario2!$A:$H,6),
IF($B103=3,VLOOKUP($AC103,Inventario3!$A:$H,6),
IF($B103=4,VLOOKUP($AC103,Inventario4!$A:$H,6),
IF($B103=5,VLOOKUP($AC103,Inventario5!$A:$H,6),
VLOOKUP($AC103,Inventario6!$A:$H,6)
))))),"")</f>
        <v>Saque</v>
      </c>
      <c r="AJ103" s="18">
        <f ca="1">IF(ISNUMBER(AC103),
IF($B103=1,VLOOKUP($AC103,Inventario1!$A:$H,7),
IF($B103=2,VLOOKUP($AC103,Inventario2!$A:$H,7),
IF($B103=3,VLOOKUP($AC103,Inventario3!$A:$H,7),
IF($B103=4,VLOOKUP($AC103,Inventario4!$A:$H,7),
IF($B103=5,VLOOKUP($AC103,Inventario5!$A:$H,7),
VLOOKUP($AC103,Inventario6!$A:$H,7)
))))),"")</f>
        <v>0</v>
      </c>
      <c r="AK103" s="19">
        <f ca="1">IF(ISNUMBER(AC103),
IF($B103=1,VLOOKUP($AC103,Inventario1!$A:$H,8),
IF($B103=2,VLOOKUP($AC103,Inventario2!$A:$H,8),
IF($B103=3,VLOOKUP($AC103,Inventario3!$A:$H,8),
IF($B103=4,VLOOKUP($AC103,Inventario4!$A:$H,8),
IF($B103=5,VLOOKUP($AC103,Inventario5!$A:$H,8),
VLOOKUP($AC103,Inventario6!$A:$H,8)
))))),"")</f>
        <v>0</v>
      </c>
    </row>
    <row r="104" spans="1:37" x14ac:dyDescent="0.25">
      <c r="A104" s="20" t="s">
        <v>28</v>
      </c>
      <c r="B104" s="9">
        <v>1</v>
      </c>
      <c r="C104" s="10" cm="1">
        <f t="array" aca="1" ref="C104" ca="1">_xlfn.LET(
    _xlpm.jugador, A104,
    _xlpm.idSel, AC104,
    _xlpm.invIDs, IF(B104=1,Inventario1!A:A,IF(B104=2,Inventario2!A:A,IF(B104=3,Inventario3!A:A,IF(B104=4,Inventario4!A:A,IF(B104=5,Inventario5!A:A,Inventario6!A:A))))),
    _xlpm.invCalidad, IF(B104=1,Inventario1!B:B,IF(B104=2,Inventario2!B:B,IF(B104=3,Inventario3!B:B,IF(B104=4,Inventario4!B:B,IF(B104=5,Inventario5!B:B,Inventario6!B:B))))),
    _xlpm.invTipos, IF(B104=1,Inventario1!C:C,IF(B104=2,Inventario2!C:C,IF(B104=3,Inventario3!C:C,IF(B104=4,Inventario4!C:C,IF(B104=5,Inventario5!C:C,Inventario6!C:C))))),
    _xlpm.invStats, IF(B104=1,Inventario1!D:H,IF(B104=2,Inventario2!D:H,IF(B104=3,Inventario3!D:H,IF(B104=4,Inventario4!D:H,IF(B104=5,Inventario5!D:H,Inventario6!D:H))))),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IF(ROW(A104)=2,"",IF(_xlfn._xlws.FILTER(Equipar!AC$2:AC103,Equipar!B$2:B103=B104)={0},"",_xlfn._xlws.FILTER(Equipar!AC$2:AC103,Equipar!B$2:B103=B104))),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96</v>
      </c>
      <c r="D104" s="11" cm="1">
        <f t="array" ref="D104">_xlfn.LET(
    _xlpm.jugador, A104,
    _xlpm.idSel, AC104,
    _xlpm.invIDs, IF(B104=1,Inventario1!A:A,IF(B104=2,Inventario2!A:A,IF(B104=3,Inventario3!A:A,IF(B104=4,Inventario4!A:A,IF(B104=5,Inventario5!A:A,Inventario6!A:A))))),
    _xlpm.invCalidad, IF(B104=1,Inventario1!B:B,IF(B104=2,Inventario2!B:B,IF(B104=3,Inventario3!B:B,IF(B104=4,Inventario4!B:B,IF(B104=5,Inventario5!B:B,Inventario6!B:B))))),
    _xlpm.invTipos, IF(B104=1,Inventario1!C:C,IF(B104=2,Inventario2!C:C,IF(B104=3,Inventario3!C:C,IF(B104=4,Inventario4!C:C,IF(B104=5,Inventario5!C:C,Inventario6!C:C))))),
    _xlpm.invStats, IF(B104=1,Inventario1!D:H,IF(B104=2,Inventario2!D:H,IF(B104=3,Inventario3!D:H,IF(B104=4,Inventario4!D:H,IF(B104=5,Inventario5!D:H,Inventario6!D:H))))),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IF(ROW(A104)=2,"",IF(_xlfn._xlws.FILTER(Equipar!AC$2:AC103,Equipar!B$2:B103=B104)={0},"",_xlfn._xlws.FILTER(Equipar!AC$2:AC103,Equipar!B$2:B103=B104))),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51</v>
      </c>
      <c r="E104" s="11" cm="1">
        <f t="array" aca="1" ref="E104" ca="1">_xlfn.LET(
    _xlpm.jugador, A104,
    _xlpm.idSel, AC104,
    _xlpm.invIDs, IF(B104=1,Inventario1!A:A,IF(B104=2,Inventario2!A:A,IF(B104=3,Inventario3!A:A,IF(B104=4,Inventario4!A:A,IF(B104=5,Inventario5!A:A,Inventario6!A:A))))),
    _xlpm.invCalidad, IF(B104=1,Inventario1!B:B,IF(B104=2,Inventario2!B:B,IF(B104=3,Inventario3!B:B,IF(B104=4,Inventario4!B:B,IF(B104=5,Inventario5!B:B,Inventario6!B:B))))),
    _xlpm.invTipos, IF(B104=1,Inventario1!C:C,IF(B104=2,Inventario2!C:C,IF(B104=3,Inventario3!C:C,IF(B104=4,Inventario4!C:C,IF(B104=5,Inventario5!C:C,Inventario6!C:C))))),
    _xlpm.invStats, IF(B104=1,Inventario1!D:H,IF(B104=2,Inventario2!D:H,IF(B104=3,Inventario3!D:H,IF(B104=4,Inventario4!D:H,IF(B104=5,Inventario5!D:H,Inventario6!D:H))))),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IF(ROW(A104)=2,"",IF(_xlfn._xlws.FILTER(Equipar!AC$2:AC103,Equipar!B$2:B103=B104)={0},"",_xlfn._xlws.FILTER(Equipar!AC$2:AC103,Equipar!B$2:B103=B104))),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49</v>
      </c>
      <c r="F104" s="11" t="str" cm="1">
        <f t="array" aca="1" ref="F104" ca="1">_xlfn.LET(
    _xlpm.jugador, B104,
    _xlpm.idSel, AD104,
    _xlpm.invIDs, IF(C104=1,Inventario1!B:B,IF(C104=2,Inventario2!B:B,IF(C104=3,Inventario3!B:B,IF(C104=4,Inventario4!B:B,IF(C104=5,Inventario5!B:B,Inventario6!B:B))))),
    _xlpm.invCalidad, IF(C104=1,Inventario1!C:C,IF(C104=2,Inventario2!C:C,IF(C104=3,Inventario3!C:C,IF(C104=4,Inventario4!C:C,IF(C104=5,Inventario5!C:C,Inventario6!C:C))))),
    _xlpm.invTipos, IF(C104=1,Inventario1!D:D,IF(C104=2,Inventario2!D:D,IF(C104=3,Inventario3!D:D,IF(C104=4,Inventario4!D:D,IF(C104=5,Inventario5!D:D,Inventario6!D:D))))),
    _xlpm.invStats, IF(C104=1,Inventario1!E:I,IF(C104=2,Inventario2!E:I,IF(C104=3,Inventario3!E:I,IF(C104=4,Inventario4!E:I,IF(C104=5,Inventario5!E:I,Inventario6!E:I))))),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IF(ROW(B104)=2,"",IF(_xlfn._xlws.FILTER(Equipar!AD$2:AD103,Equipar!C$2:C103=C104)={0},"",_xlfn._xlws.FILTER(Equipar!AD$2:AD103,Equipar!C$2:C103=C104))),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04" s="10" cm="1">
        <f t="array" aca="1" ref="G104" ca="1">_xlfn.LET(
    _xlpm.jugador, A104,
    _xlpm.idSel, AC104,
    _xlpm.invIDs, IF(B104=1,Inventario1!A:A,IF(B104=2,Inventario2!A:A,IF(B104=3,Inventario3!A:A,IF(B104=4,Inventario4!A:A,IF(B104=5,Inventario5!A:A,Inventario6!A:A))))),
    _xlpm.invCalidad, IF(B104=1,Inventario1!B:B,IF(B104=2,Inventario2!B:B,IF(B104=3,Inventario3!B:B,IF(B104=4,Inventario4!B:B,IF(B104=5,Inventario5!B:B,Inventario6!B:B))))),
    _xlpm.invTipos, IF(B104=1,Inventario1!C:C,IF(B104=2,Inventario2!C:C,IF(B104=3,Inventario3!C:C,IF(B104=4,Inventario4!C:C,IF(B104=5,Inventario5!C:C,Inventario6!C:C))))),
    _xlpm.invStats, IF(B104=1,Inventario1!D:H,IF(B104=2,Inventario2!D:H,IF(B104=3,Inventario3!D:H,IF(B104=4,Inventario4!D:H,IF(B104=5,Inventario5!D:H,Inventario6!D:H))))),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IF(ROW(A104)=2,"",IF(_xlfn._xlws.FILTER(Equipar!AC$2:AC103,Equipar!B$2:B103=B104)={0},"",_xlfn._xlws.FILTER(Equipar!AC$2:AC103,Equipar!B$2:B103=B104))),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H104" s="11" cm="1">
        <f t="array" ref="H104">_xlfn.LET(
    _xlpm.jugador, A104,
    _xlpm.idSel, AC104,
    _xlpm.invIDs, IF(B104=1,Inventario1!A:A,IF(B104=2,Inventario2!A:A,IF(B104=3,Inventario3!A:A,IF(B104=4,Inventario4!A:A,IF(B104=5,Inventario5!A:A,Inventario6!A:A))))),
    _xlpm.invCalidad, IF(B104=1,Inventario1!B:B,IF(B104=2,Inventario2!B:B,IF(B104=3,Inventario3!B:B,IF(B104=4,Inventario4!B:B,IF(B104=5,Inventario5!B:B,Inventario6!B:B))))),
    _xlpm.invTipos, IF(B104=1,Inventario1!C:C,IF(B104=2,Inventario2!C:C,IF(B104=3,Inventario3!C:C,IF(B104=4,Inventario4!C:C,IF(B104=5,Inventario5!C:C,Inventario6!C:C))))),
    _xlpm.invStats, IF(B104=1,Inventario1!D:H,IF(B104=2,Inventario2!D:H,IF(B104=3,Inventario3!D:H,IF(B104=4,Inventario4!D:H,IF(B104=5,Inventario5!D:H,Inventario6!D:H))))),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IF(ROW(A104)=2,"",IF(_xlfn._xlws.FILTER(Equipar!AC$2:AC103,Equipar!B$2:B103=B104)={0},"",_xlfn._xlws.FILTER(Equipar!AC$2:AC103,Equipar!B$2:B103=B104))),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I104" s="11" cm="1">
        <f t="array" aca="1" ref="I104" ca="1">_xlfn.LET(
    _xlpm.jugador, A104,
    _xlpm.idSel, AC104,
    _xlpm.invIDs, IF(B104=1,Inventario1!A:A,IF(B104=2,Inventario2!A:A,IF(B104=3,Inventario3!A:A,IF(B104=4,Inventario4!A:A,IF(B104=5,Inventario5!A:A,Inventario6!A:A))))),
    _xlpm.invCalidad, IF(B104=1,Inventario1!B:B,IF(B104=2,Inventario2!B:B,IF(B104=3,Inventario3!B:B,IF(B104=4,Inventario4!B:B,IF(B104=5,Inventario5!B:B,Inventario6!B:B))))),
    _xlpm.invTipos, IF(B104=1,Inventario1!C:C,IF(B104=2,Inventario2!C:C,IF(B104=3,Inventario3!C:C,IF(B104=4,Inventario4!C:C,IF(B104=5,Inventario5!C:C,Inventario6!C:C))))),
    _xlpm.invStats, IF(B104=1,Inventario1!D:H,IF(B104=2,Inventario2!D:H,IF(B104=3,Inventario3!D:H,IF(B104=4,Inventario4!D:H,IF(B104=5,Inventario5!D:H,Inventario6!D:H))))),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IF(ROW(A104)=2,"",IF(_xlfn._xlws.FILTER(Equipar!AC$2:AC103,Equipar!B$2:B103=B104)={0},"",_xlfn._xlws.FILTER(Equipar!AC$2:AC103,Equipar!B$2:B103=B104))),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J104" s="11" cm="1">
        <f t="array" aca="1" ref="J104" ca="1">_xlfn.LET(
    _xlpm.jugador, B104,
    _xlpm.idSel, AD104,
    _xlpm.invIDs, IF(C104=1,Inventario1!B:B,IF(C104=2,Inventario2!B:B,IF(C104=3,Inventario3!B:B,IF(C104=4,Inventario4!B:B,IF(C104=5,Inventario5!B:B,Inventario6!B:B))))),
    _xlpm.invCalidad, IF(C104=1,Inventario1!C:C,IF(C104=2,Inventario2!C:C,IF(C104=3,Inventario3!C:C,IF(C104=4,Inventario4!C:C,IF(C104=5,Inventario5!C:C,Inventario6!C:C))))),
    _xlpm.invTipos, IF(C104=1,Inventario1!D:D,IF(C104=2,Inventario2!D:D,IF(C104=3,Inventario3!D:D,IF(C104=4,Inventario4!D:D,IF(C104=5,Inventario5!D:D,Inventario6!D:D))))),
    _xlpm.invStats, IF(C104=1,Inventario1!E:I,IF(C104=2,Inventario2!E:I,IF(C104=3,Inventario3!E:I,IF(C104=4,Inventario4!E:I,IF(C104=5,Inventario5!E:I,Inventario6!E:I))))),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IF(ROW(B104)=2,"",IF(_xlfn._xlws.FILTER(Equipar!AD$2:AD103,Equipar!C$2:C103=C104)={0},"",_xlfn._xlws.FILTER(Equipar!AD$2:AD103,Equipar!C$2:C103=C104))),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04" s="11">
        <f t="shared" ca="1" si="4"/>
        <v>0</v>
      </c>
      <c r="L104" s="11">
        <f t="shared" ca="1" si="5"/>
        <v>0</v>
      </c>
      <c r="M104" s="11">
        <f t="shared" ca="1" si="5"/>
        <v>99</v>
      </c>
      <c r="N104" s="11">
        <f t="shared" ca="1" si="6"/>
        <v>0</v>
      </c>
      <c r="O104" s="11">
        <f t="shared" ca="1" si="6"/>
        <v>99</v>
      </c>
      <c r="P104" s="10" cm="1">
        <f t="array" aca="1" ref="P104" ca="1">_xlfn.LET(
    _xlpm.ptsPrinBase, _xlfn._xlws.FILTER(G:G, A:A=A104),
    _xlpm.ptsSecBase,  _xlfn._xlws.FILTER(H:H, A:A=A104),
    _xlpm.puntosPrin, _xlpm.ptsPrinBase + _xlfn._xlws.FILTER(B:B, A:A=A104)/1000,
    _xlpm.puntosSec,  _xlpm.ptsSecBase  + _xlfn._xlws.FILTER(B:B, A:A=A104)/1000,
    _xlpm.puntosPrinValidos, SUM(--(_xlpm.ptsPrinBase&gt;0)),
    _xlpm.puntosSecValidos,  SUM(--(_xlpm.ptsSecBase&gt;0)),
    _xlpm.clave, K104 + B104/1000,
    _xlpm.claves, _xlfn._xlws.FILTER(K:K + B:B/1000, A:A=A104),
    IF(AND(_xlpm.puntosPrinValidos&gt;=4,_xlpm.puntosSecValidos&gt;=2),IF(
        SUM(--(_xlpm.claves &gt; _xlpm.clave)) &lt; 4,
        C104,
        D104
    ),"No disp")
)</f>
        <v>96</v>
      </c>
      <c r="Q104" s="10" cm="1">
        <f t="array" aca="1" ref="Q104" ca="1">_xlfn.LET(
    _xlpm.puntosPrin, _xlfn._xlws.FILTER(G:G + B:B/1000, A:A=A104),
    _xlpm.puntosPrinValidos, SUM(--(_xlpm.puntosPrin&gt;1)),
    _xlpm.puntosTer, _xlfn._xlws.FILTER(I:I + B:B/1000, A:A=A104),
    _xlpm.puntosTerValidos, SUM(--(_xlpm.puntosTer&gt;1)),
    _xlpm.clave, L104 + B104/1000,
    _xlpm.claves, _xlfn._xlws.FILTER(L:L + B:B/1000, A:A=A104),
    IF(AND(_xlpm.puntosPrinValidos&gt;=4,_xlpm.puntosTerValidos&gt;=2),IF(
        SUM(--(_xlpm.claves &gt; _xlpm.clave)) &lt; 4,
        C104,
        E104
    ),"No disp")
)</f>
        <v>96</v>
      </c>
      <c r="R104" s="10" t="str" cm="1">
        <f t="array" aca="1" ref="R104" ca="1">_xlfn.LET(
    _xlpm.puntosPrin, _xlfn._xlws.FILTER(G:G + B:B/1000, A:A=A104),
    _xlpm.puntosPrinValidos, SUM(--(_xlpm.puntosPrin&gt;1)),
    _xlpm.puntosTer, _xlfn._xlws.FILTER(J:J + B:B/1000, A:A=A104),
    _xlpm.puntosTerValidos, SUM(--(_xlpm.puntosTer&gt;1)),
    _xlpm.clave, M104 + B104/1000,
    _xlpm.claves, _xlfn._xlws.FILTER(M:M + B:B/1000, A:A=A104),
    IF(AND(_xlpm.puntosPrinValidos&gt;=4,_xlpm.puntosTerValidos&gt;=2),IF(
        SUM(--(_xlpm.claves &gt; _xlpm.clave)) &lt; 4,
        C104,
        F104
    ),"No disp")
)</f>
        <v>No disp</v>
      </c>
      <c r="S104" s="10" cm="1">
        <f t="array" aca="1" ref="S104" ca="1">_xlfn.LET(
    _xlpm.ptsPrinBase, _xlfn._xlws.FILTER(G:G, A:A=A104),
    _xlpm.ptsSecBase,  _xlfn._xlws.FILTER(H:H, A:A=A104),
    _xlpm.puntosPrin, _xlpm.ptsPrinBase + _xlfn._xlws.FILTER(B:B, A:A=A104)/1000,
    _xlpm.puntosSec,  _xlpm.ptsSecBase  + _xlfn._xlws.FILTER(B:B, A:A=A104)/1000,
    _xlpm.puntosPrinValidos, SUM(--(_xlpm.ptsPrinBase&gt;0)),
    _xlpm.puntosSecValidos,  SUM(--(_xlpm.ptsSecBase&gt;0)),
    _xlpm.clave, K104 + B104/1000,
    _xlpm.claves, _xlfn._xlws.FILTER(K:K + B:B/1000, A:A=A104),
    IF(
        AND(_xlpm.puntosPrinValidos&gt;=2, _xlpm.puntosSecValidos&gt;=4),
        IF(
            SUM(--(_xlpm.claves &lt; _xlpm.clave)) &lt; 4,
            D104,
            C104
        ),
        "No disp"
    )
)</f>
        <v>51</v>
      </c>
      <c r="T104" s="10" cm="1">
        <f t="array" aca="1" ref="T104" ca="1">_xlfn.LET(
    _xlpm.puntosSec, _xlfn._xlws.FILTER(H:H + B:B/1000, A:A=A104),
    _xlpm.puntosSecValidos, SUM(--(_xlpm.puntosSec&gt;1)),
    _xlpm.puntosAlt, _xlfn._xlws.FILTER(I:I + B:B/1000, A:A=A104),
    _xlpm.puntosAltValidos, SUM(--(_xlpm.puntosAlt&gt;1)),
    _xlpm.clave, N104 + B104/1000,
    _xlpm.claves, _xlfn._xlws.FILTER(N:N + B:B/1000, A:A=A104),
    IF(AND(_xlpm.puntosSecValidos&gt;=4,_xlpm.puntosAltValidos&gt;=2),IF(
        SUM(--(_xlpm.claves &gt; _xlpm.clave)) &lt; 4,
        D104,
        E104
    ),"No disp")
)</f>
        <v>51</v>
      </c>
      <c r="U104" s="10" t="str" cm="1">
        <f t="array" aca="1" ref="U104" ca="1">_xlfn.LET(
    _xlpm.puntosSec, _xlfn._xlws.FILTER(H:H + B:B/1000, A:A=A104),
    _xlpm.puntosSecValidos, SUM(--(_xlpm.puntosSec&gt;1)),
    _xlpm.puntosAlt, _xlfn._xlws.FILTER(J:J + B:B/1000, A:A=A104),
    _xlpm.puntosAltValidos, SUM(--(_xlpm.puntosAlt&gt;1)),
    _xlpm.clave, O104 + B104/1000,
    _xlpm.claves, _xlfn._xlws.FILTER(O:O + B:B/1000, A:A=A104),
    IF(AND(_xlpm.puntosSecValidos&gt;=4,_xlpm.puntosAltValidos&gt;=2),IF(
        SUM(--(_xlpm.claves &gt; _xlpm.clave)) &lt; 4,
        D104,
        F104
    ),"No disp")
)</f>
        <v>No disp</v>
      </c>
      <c r="V104" s="11" cm="1">
        <f t="array" aca="1" ref="V104" ca="1">_xlfn.LET(
_xlpm.PrinIDs,_xlfn._xlws.FILTER(C:C,(A:A=A104)),
_xlpm.SecIDs,_xlfn._xlws.FILTER(D:D,(A:A=A104)),
_xlpm.TerIDs,_xlfn._xlws.FILTER(E:E,A:A=A104),
_xlpm.CuaIDs,_xlfn._xlws.FILTER(F:F,(A:A=A104)),
_xlpm.PrinPts,_xlfn._xlws.FILTER(G:G,(A:A=A104)),
_xlpm.SecPts,_xlfn._xlws.FILTER(H:H,(A:A=A104)),
_xlpm.TerPts,_xlfn._xlws.FILTER(I:I,(A:A=A104)),
_xlpm.CuaPts,_xlfn._xlws.FILTER(J:J,(A:A=A104)),
_xlpm.PSIds,_xlfn._xlws.FILTER(P:P,A:A=A104),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522</v>
      </c>
      <c r="W104" s="11" cm="1">
        <f t="array" aca="1" ref="W104" ca="1">_xlfn.LET(
_xlpm.PrinIDs,_xlfn._xlws.FILTER(C:C,(A:A=A104)),
_xlpm.SecIDs,_xlfn._xlws.FILTER(D:D,(A:A=A104)),
_xlpm.TerIDs,_xlfn._xlws.FILTER(E:E,A:A=A104),
_xlpm.CuaIDs,_xlfn._xlws.FILTER(F:F,(A:A=A104)),
_xlpm.PrinPts,_xlfn._xlws.FILTER(G:G,(A:A=A104)),
_xlpm.SecPts,_xlfn._xlws.FILTER(H:H,(A:A=A104)),
_xlpm.TerPts,_xlfn._xlws.FILTER(I:I,(A:A=A104)),
_xlpm.CuaPts,_xlfn._xlws.FILTER(J:J,(A:A=A104)),
_xlpm.PTIds,_xlfn._xlws.FILTER(Q:Q,A:A=A104),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527.76</v>
      </c>
      <c r="X104" s="11" cm="1">
        <f t="array" aca="1" ref="X104" ca="1">_xlfn.LET(
_xlpm.PrinIDs,_xlfn._xlws.FILTER(C:C,(A:A=A104)),
_xlpm.SecIDs,_xlfn._xlws.FILTER(D:D,(A:A=A104)),
_xlpm.TerIDs,_xlfn._xlws.FILTER(E:E,A:A=A104),
_xlpm.CuaIDs,_xlfn._xlws.FILTER(F:F,(A:A=A104)),
_xlpm.PrinPts,_xlfn._xlws.FILTER(G:G,(A:A=A104)),
_xlpm.SecPts,_xlfn._xlws.FILTER(H:H,(A:A=A104)),
_xlpm.TerPts,_xlfn._xlws.FILTER(I:I,(A:A=A104)),
_xlpm.CuaPts,_xlfn._xlws.FILTER(J:J,(A:A=A104)),
_xlpm.PCIds,_xlfn._xlws.FILTER(R:R,A:A=A104),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04" s="11" cm="1">
        <f t="array" aca="1" ref="Y104" ca="1">_xlfn.LET(
_xlpm.PrinIDs,_xlfn._xlws.FILTER(C:C,(A:A=A104)),
_xlpm.SecIDs,_xlfn._xlws.FILTER(D:D,(A:A=A104)),
_xlpm.AltIDs,_xlfn._xlws.FILTER(E:E,A:A=A104),
_xlpm.PrinPts,_xlfn._xlws.FILTER(G:G,(A:A=A104)),
_xlpm.SecPts,_xlfn._xlws.FILTER(H:H,(A:A=A104)),
_xlpm.AltPts,_xlfn._xlws.FILTER(I:I,(A:A=A104)),
_xlpm.SPIds,_xlfn._xlws.FILTER(S:S,A:A=A104),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513</v>
      </c>
      <c r="Z104" s="11" cm="1">
        <f t="array" aca="1" ref="Z104" ca="1">_xlfn.LET(
_xlpm.PrinIDs,_xlfn._xlws.FILTER(C:C,(A:A=A104)),
_xlpm.SecIDs,_xlfn._xlws.FILTER(D:D,(A:A=A104)),
_xlpm.TerIDs,_xlfn._xlws.FILTER(E:E,A:A=A104),
_xlpm.CuaIDs,_xlfn._xlws.FILTER(F:F,(A:A=A104)),
_xlpm.PrinPts,_xlfn._xlws.FILTER(G:G,(A:A=A104)),
_xlpm.SecPts,_xlfn._xlws.FILTER(H:H,(A:A=A104)),
_xlpm.TerPts,_xlfn._xlws.FILTER(I:I,(A:A=A104)),
_xlpm.CuaPts,_xlfn._xlws.FILTER(J:J,(A:A=A104)),
_xlpm.STIds,_xlfn._xlws.FILTER(T:T,A:A=A104),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518.76</v>
      </c>
      <c r="AA104" s="11" cm="1">
        <f t="array" aca="1" ref="AA104" ca="1">_xlfn.LET(
_xlpm.PrinIDs,_xlfn._xlws.FILTER(C:C,(A:A=A104)),
_xlpm.SecIDs,_xlfn._xlws.FILTER(D:D,(A:A=A104)),
_xlpm.TerIDs,_xlfn._xlws.FILTER(E:E,A:A=A104),
_xlpm.CuaIDs,_xlfn._xlws.FILTER(F:F,(A:A=A104)),
_xlpm.PrinPts,_xlfn._xlws.FILTER(G:G,(A:A=A104)),
_xlpm.SecPts,_xlfn._xlws.FILTER(H:H,(A:A=A104)),
_xlpm.TerPts,_xlfn._xlws.FILTER(I:I,(A:A=A104)),
_xlpm.CuaPts,_xlfn._xlws.FILTER(J:J,(A:A=A104)),
_xlpm.SCIds,_xlfn._xlws.FILTER(U:U,A:A=A104),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04" s="10">
        <f t="shared" ca="1" si="7"/>
        <v>96</v>
      </c>
      <c r="AC104" s="10">
        <v>96</v>
      </c>
      <c r="AD104" s="11"/>
      <c r="AE104" s="10" t="str">
        <f ca="1">IF(ISNUMBER(AC104),
IF($B104=1,VLOOKUP($AC104,Inventario1!$A:$H,2),
IF($B104=2,VLOOKUP($AC104,Inventario2!$A:$H,2),
IF($B104=3,VLOOKUP($AC104,Inventario3!$A:$H,2),
IF($B104=4,VLOOKUP($AC104,Inventario4!$A:$H,2),
IF($B104=5,VLOOKUP($AC104,Inventario5!$A:$H,2),
VLOOKUP($AC104,Inventario6!$A:$H,2)
))))),"No equipado")</f>
        <v>Épico</v>
      </c>
      <c r="AF104" s="10" t="str">
        <f ca="1">IF(ISNUMBER(AC104),
IF($B104=1,VLOOKUP($AC104,Inventario1!$A:$H,3),
IF($B104=2,VLOOKUP($AC104,Inventario2!$A:$H,3),
IF($B104=3,VLOOKUP($AC104,Inventario3!$A:$H,3),
IF($B104=4,VLOOKUP($AC104,Inventario4!$A:$H,3),
IF($B104=5,VLOOKUP($AC104,Inventario5!$A:$H,3),
VLOOKUP($AC104,Inventario6!$A:$H,3)
))))),"")</f>
        <v>Opt. de estado</v>
      </c>
      <c r="AG104" s="10" t="str">
        <f ca="1">IF(ISNUMBER(AC104),
IF($B104=1,VLOOKUP($AC104,Inventario1!$A:$H,4),
IF($B104=2,VLOOKUP($AC104,Inventario2!$A:$H,4),
IF($B104=3,VLOOKUP($AC104,Inventario3!$A:$H,4),
IF($B104=4,VLOOKUP($AC104,Inventario4!$A:$H,4),
IF($B104=5,VLOOKUP($AC104,Inventario5!$A:$H,4),
VLOOKUP($AC104,Inventario6!$A:$H,4)
))))),"")</f>
        <v>Ataque poderoso</v>
      </c>
      <c r="AH104" s="10" t="str">
        <f ca="1">IF(ISNUMBER(AC104),
IF($B104=1,VLOOKUP($AC104,Inventario1!$A:$H,5),
IF($B104=2,VLOOKUP($AC104,Inventario2!$A:$H,5),
IF($B104=3,VLOOKUP($AC104,Inventario3!$A:$H,5),
IF($B104=4,VLOOKUP($AC104,Inventario4!$A:$H,5),
IF($B104=5,VLOOKUP($AC104,Inventario5!$A:$H,5),
VLOOKUP($AC104,Inventario6!$A:$H,5)
))))),"")</f>
        <v>Ataque poderoso</v>
      </c>
      <c r="AI104" s="10" t="str">
        <f ca="1">IF(ISNUMBER(AC104),
IF($B104=1,VLOOKUP($AC104,Inventario1!$A:$H,6),
IF($B104=2,VLOOKUP($AC104,Inventario2!$A:$H,6),
IF($B104=3,VLOOKUP($AC104,Inventario3!$A:$H,6),
IF($B104=4,VLOOKUP($AC104,Inventario4!$A:$H,6),
IF($B104=5,VLOOKUP($AC104,Inventario5!$A:$H,6),
VLOOKUP($AC104,Inventario6!$A:$H,6)
))))),"")</f>
        <v>Saque</v>
      </c>
      <c r="AJ104" s="10">
        <f ca="1">IF(ISNUMBER(AC104),
IF($B104=1,VLOOKUP($AC104,Inventario1!$A:$H,7),
IF($B104=2,VLOOKUP($AC104,Inventario2!$A:$H,7),
IF($B104=3,VLOOKUP($AC104,Inventario3!$A:$H,7),
IF($B104=4,VLOOKUP($AC104,Inventario4!$A:$H,7),
IF($B104=5,VLOOKUP($AC104,Inventario5!$A:$H,7),
VLOOKUP($AC104,Inventario6!$A:$H,7)
))))),"")</f>
        <v>0</v>
      </c>
      <c r="AK104" s="12">
        <f ca="1">IF(ISNUMBER(AC104),
IF($B104=1,VLOOKUP($AC104,Inventario1!$A:$H,8),
IF($B104=2,VLOOKUP($AC104,Inventario2!$A:$H,8),
IF($B104=3,VLOOKUP($AC104,Inventario3!$A:$H,8),
IF($B104=4,VLOOKUP($AC104,Inventario4!$A:$H,8),
IF($B104=5,VLOOKUP($AC104,Inventario5!$A:$H,8),
VLOOKUP($AC104,Inventario6!$A:$H,8)
))))),"")</f>
        <v>0</v>
      </c>
    </row>
    <row r="105" spans="1:37" x14ac:dyDescent="0.25">
      <c r="A105" s="21" t="s">
        <v>28</v>
      </c>
      <c r="B105" s="3">
        <v>2</v>
      </c>
      <c r="C105" s="14" cm="1">
        <f t="array" aca="1" ref="C105" ca="1">_xlfn.LET(
    _xlpm.jugador, A105,
    _xlpm.idSel, AC105,
    _xlpm.invIDs, IF(B105=1,Inventario1!A:A,IF(B105=2,Inventario2!A:A,IF(B105=3,Inventario3!A:A,IF(B105=4,Inventario4!A:A,IF(B105=5,Inventario5!A:A,Inventario6!A:A))))),
    _xlpm.invCalidad, IF(B105=1,Inventario1!B:B,IF(B105=2,Inventario2!B:B,IF(B105=3,Inventario3!B:B,IF(B105=4,Inventario4!B:B,IF(B105=5,Inventario5!B:B,Inventario6!B:B))))),
    _xlpm.invTipos, IF(B105=1,Inventario1!C:C,IF(B105=2,Inventario2!C:C,IF(B105=3,Inventario3!C:C,IF(B105=4,Inventario4!C:C,IF(B105=5,Inventario5!C:C,Inventario6!C:C))))),
    _xlpm.invStats, IF(B105=1,Inventario1!D:H,IF(B105=2,Inventario2!D:H,IF(B105=3,Inventario3!D:H,IF(B105=4,Inventario4!D:H,IF(B105=5,Inventario5!D:H,Inventario6!D:H))))),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IF(ROW(A105)=2,"",IF(_xlfn._xlws.FILTER(Equipar!AC$2:AC104,Equipar!B$2:B104=B105)={0},"",_xlfn._xlws.FILTER(Equipar!AC$2:AC104,Equipar!B$2:B104=B105))),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66</v>
      </c>
      <c r="D105" s="4" cm="1">
        <f t="array" ref="D105">_xlfn.LET(
    _xlpm.jugador, A105,
    _xlpm.idSel, AC105,
    _xlpm.invIDs, IF(B105=1,Inventario1!A:A,IF(B105=2,Inventario2!A:A,IF(B105=3,Inventario3!A:A,IF(B105=4,Inventario4!A:A,IF(B105=5,Inventario5!A:A,Inventario6!A:A))))),
    _xlpm.invCalidad, IF(B105=1,Inventario1!B:B,IF(B105=2,Inventario2!B:B,IF(B105=3,Inventario3!B:B,IF(B105=4,Inventario4!B:B,IF(B105=5,Inventario5!B:B,Inventario6!B:B))))),
    _xlpm.invTipos, IF(B105=1,Inventario1!C:C,IF(B105=2,Inventario2!C:C,IF(B105=3,Inventario3!C:C,IF(B105=4,Inventario4!C:C,IF(B105=5,Inventario5!C:C,Inventario6!C:C))))),
    _xlpm.invStats, IF(B105=1,Inventario1!D:H,IF(B105=2,Inventario2!D:H,IF(B105=3,Inventario3!D:H,IF(B105=4,Inventario4!D:H,IF(B105=5,Inventario5!D:H,Inventario6!D:H))))),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IF(ROW(A105)=2,"",IF(_xlfn._xlws.FILTER(Equipar!AC$2:AC104,Equipar!B$2:B104=B105)={0},"",_xlfn._xlws.FILTER(Equipar!AC$2:AC104,Equipar!B$2:B104=B105))),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45</v>
      </c>
      <c r="E105" s="4" cm="1">
        <f t="array" aca="1" ref="E105" ca="1">_xlfn.LET(
    _xlpm.jugador, A105,
    _xlpm.idSel, AC105,
    _xlpm.invIDs, IF(B105=1,Inventario1!A:A,IF(B105=2,Inventario2!A:A,IF(B105=3,Inventario3!A:A,IF(B105=4,Inventario4!A:A,IF(B105=5,Inventario5!A:A,Inventario6!A:A))))),
    _xlpm.invCalidad, IF(B105=1,Inventario1!B:B,IF(B105=2,Inventario2!B:B,IF(B105=3,Inventario3!B:B,IF(B105=4,Inventario4!B:B,IF(B105=5,Inventario5!B:B,Inventario6!B:B))))),
    _xlpm.invTipos, IF(B105=1,Inventario1!C:C,IF(B105=2,Inventario2!C:C,IF(B105=3,Inventario3!C:C,IF(B105=4,Inventario4!C:C,IF(B105=5,Inventario5!C:C,Inventario6!C:C))))),
    _xlpm.invStats, IF(B105=1,Inventario1!D:H,IF(B105=2,Inventario2!D:H,IF(B105=3,Inventario3!D:H,IF(B105=4,Inventario4!D:H,IF(B105=5,Inventario5!D:H,Inventario6!D:H))))),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IF(ROW(A105)=2,"",IF(_xlfn._xlws.FILTER(Equipar!AC$2:AC104,Equipar!B$2:B104=B105)={0},"",_xlfn._xlws.FILTER(Equipar!AC$2:AC104,Equipar!B$2:B104=B105))),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110</v>
      </c>
      <c r="F105" s="4" t="str" cm="1">
        <f t="array" aca="1" ref="F105" ca="1">_xlfn.LET(
    _xlpm.jugador, B105,
    _xlpm.idSel, AD105,
    _xlpm.invIDs, IF(C105=1,Inventario1!B:B,IF(C105=2,Inventario2!B:B,IF(C105=3,Inventario3!B:B,IF(C105=4,Inventario4!B:B,IF(C105=5,Inventario5!B:B,Inventario6!B:B))))),
    _xlpm.invCalidad, IF(C105=1,Inventario1!C:C,IF(C105=2,Inventario2!C:C,IF(C105=3,Inventario3!C:C,IF(C105=4,Inventario4!C:C,IF(C105=5,Inventario5!C:C,Inventario6!C:C))))),
    _xlpm.invTipos, IF(C105=1,Inventario1!D:D,IF(C105=2,Inventario2!D:D,IF(C105=3,Inventario3!D:D,IF(C105=4,Inventario4!D:D,IF(C105=5,Inventario5!D:D,Inventario6!D:D))))),
    _xlpm.invStats, IF(C105=1,Inventario1!E:I,IF(C105=2,Inventario2!E:I,IF(C105=3,Inventario3!E:I,IF(C105=4,Inventario4!E:I,IF(C105=5,Inventario5!E:I,Inventario6!E:I))))),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IF(ROW(B105)=2,"",IF(_xlfn._xlws.FILTER(Equipar!AD$2:AD104,Equipar!C$2:C104=C105)={0},"",_xlfn._xlws.FILTER(Equipar!AD$2:AD104,Equipar!C$2:C104=C105))),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05" s="14" cm="1">
        <f t="array" aca="1" ref="G105" ca="1">_xlfn.LET(
    _xlpm.jugador, A105,
    _xlpm.idSel, AC105,
    _xlpm.invIDs, IF(B105=1,Inventario1!A:A,IF(B105=2,Inventario2!A:A,IF(B105=3,Inventario3!A:A,IF(B105=4,Inventario4!A:A,IF(B105=5,Inventario5!A:A,Inventario6!A:A))))),
    _xlpm.invCalidad, IF(B105=1,Inventario1!B:B,IF(B105=2,Inventario2!B:B,IF(B105=3,Inventario3!B:B,IF(B105=4,Inventario4!B:B,IF(B105=5,Inventario5!B:B,Inventario6!B:B))))),
    _xlpm.invTipos, IF(B105=1,Inventario1!C:C,IF(B105=2,Inventario2!C:C,IF(B105=3,Inventario3!C:C,IF(B105=4,Inventario4!C:C,IF(B105=5,Inventario5!C:C,Inventario6!C:C))))),
    _xlpm.invStats, IF(B105=1,Inventario1!D:H,IF(B105=2,Inventario2!D:H,IF(B105=3,Inventario3!D:H,IF(B105=4,Inventario4!D:H,IF(B105=5,Inventario5!D:H,Inventario6!D:H))))),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IF(ROW(A105)=2,"",IF(_xlfn._xlws.FILTER(Equipar!AC$2:AC104,Equipar!B$2:B104=B105)={0},"",_xlfn._xlws.FILTER(Equipar!AC$2:AC104,Equipar!B$2:B104=B105))),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90</v>
      </c>
      <c r="H105" s="4" cm="1">
        <f t="array" ref="H105">_xlfn.LET(
    _xlpm.jugador, A105,
    _xlpm.idSel, AC105,
    _xlpm.invIDs, IF(B105=1,Inventario1!A:A,IF(B105=2,Inventario2!A:A,IF(B105=3,Inventario3!A:A,IF(B105=4,Inventario4!A:A,IF(B105=5,Inventario5!A:A,Inventario6!A:A))))),
    _xlpm.invCalidad, IF(B105=1,Inventario1!B:B,IF(B105=2,Inventario2!B:B,IF(B105=3,Inventario3!B:B,IF(B105=4,Inventario4!B:B,IF(B105=5,Inventario5!B:B,Inventario6!B:B))))),
    _xlpm.invTipos, IF(B105=1,Inventario1!C:C,IF(B105=2,Inventario2!C:C,IF(B105=3,Inventario3!C:C,IF(B105=4,Inventario4!C:C,IF(B105=5,Inventario5!C:C,Inventario6!C:C))))),
    _xlpm.invStats, IF(B105=1,Inventario1!D:H,IF(B105=2,Inventario2!D:H,IF(B105=3,Inventario3!D:H,IF(B105=4,Inventario4!D:H,IF(B105=5,Inventario5!D:H,Inventario6!D:H))))),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IF(ROW(A105)=2,"",IF(_xlfn._xlws.FILTER(Equipar!AC$2:AC104,Equipar!B$2:B104=B105)={0},"",_xlfn._xlws.FILTER(Equipar!AC$2:AC104,Equipar!B$2:B104=B105))),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I105" s="4" cm="1">
        <f t="array" aca="1" ref="I105" ca="1">_xlfn.LET(
    _xlpm.jugador, A105,
    _xlpm.idSel, AC105,
    _xlpm.invIDs, IF(B105=1,Inventario1!A:A,IF(B105=2,Inventario2!A:A,IF(B105=3,Inventario3!A:A,IF(B105=4,Inventario4!A:A,IF(B105=5,Inventario5!A:A,Inventario6!A:A))))),
    _xlpm.invCalidad, IF(B105=1,Inventario1!B:B,IF(B105=2,Inventario2!B:B,IF(B105=3,Inventario3!B:B,IF(B105=4,Inventario4!B:B,IF(B105=5,Inventario5!B:B,Inventario6!B:B))))),
    _xlpm.invTipos, IF(B105=1,Inventario1!C:C,IF(B105=2,Inventario2!C:C,IF(B105=3,Inventario3!C:C,IF(B105=4,Inventario4!C:C,IF(B105=5,Inventario5!C:C,Inventario6!C:C))))),
    _xlpm.invStats, IF(B105=1,Inventario1!D:H,IF(B105=2,Inventario2!D:H,IF(B105=3,Inventario3!D:H,IF(B105=4,Inventario4!D:H,IF(B105=5,Inventario5!D:H,Inventario6!D:H))))),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IF(ROW(A105)=2,"",IF(_xlfn._xlws.FILTER(Equipar!AC$2:AC104,Equipar!B$2:B104=B105)={0},"",_xlfn._xlws.FILTER(Equipar!AC$2:AC104,Equipar!B$2:B104=B105))),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J105" s="4" cm="1">
        <f t="array" aca="1" ref="J105" ca="1">_xlfn.LET(
    _xlpm.jugador, B105,
    _xlpm.idSel, AD105,
    _xlpm.invIDs, IF(C105=1,Inventario1!B:B,IF(C105=2,Inventario2!B:B,IF(C105=3,Inventario3!B:B,IF(C105=4,Inventario4!B:B,IF(C105=5,Inventario5!B:B,Inventario6!B:B))))),
    _xlpm.invCalidad, IF(C105=1,Inventario1!C:C,IF(C105=2,Inventario2!C:C,IF(C105=3,Inventario3!C:C,IF(C105=4,Inventario4!C:C,IF(C105=5,Inventario5!C:C,Inventario6!C:C))))),
    _xlpm.invTipos, IF(C105=1,Inventario1!D:D,IF(C105=2,Inventario2!D:D,IF(C105=3,Inventario3!D:D,IF(C105=4,Inventario4!D:D,IF(C105=5,Inventario5!D:D,Inventario6!D:D))))),
    _xlpm.invStats, IF(C105=1,Inventario1!E:I,IF(C105=2,Inventario2!E:I,IF(C105=3,Inventario3!E:I,IF(C105=4,Inventario4!E:I,IF(C105=5,Inventario5!E:I,Inventario6!E:I))))),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IF(ROW(B105)=2,"",IF(_xlfn._xlws.FILTER(Equipar!AD$2:AD104,Equipar!C$2:C104=C105)={0},"",_xlfn._xlws.FILTER(Equipar!AD$2:AD104,Equipar!C$2:C104=C105))),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05" s="4">
        <f t="shared" ca="1" si="4"/>
        <v>9</v>
      </c>
      <c r="L105" s="4">
        <f t="shared" ca="1" si="5"/>
        <v>-5.7600000000000051</v>
      </c>
      <c r="M105" s="4">
        <f t="shared" ca="1" si="5"/>
        <v>81</v>
      </c>
      <c r="N105" s="4">
        <f t="shared" ca="1" si="6"/>
        <v>-14.760000000000005</v>
      </c>
      <c r="O105" s="4">
        <f t="shared" ca="1" si="6"/>
        <v>95.76</v>
      </c>
      <c r="P105" s="14" cm="1">
        <f t="array" aca="1" ref="P105" ca="1">_xlfn.LET(
    _xlpm.ptsPrinBase, _xlfn._xlws.FILTER(G:G, A:A=A105),
    _xlpm.ptsSecBase,  _xlfn._xlws.FILTER(H:H, A:A=A105),
    _xlpm.puntosPrin, _xlpm.ptsPrinBase + _xlfn._xlws.FILTER(B:B, A:A=A105)/1000,
    _xlpm.puntosSec,  _xlpm.ptsSecBase  + _xlfn._xlws.FILTER(B:B, A:A=A105)/1000,
    _xlpm.puntosPrinValidos, SUM(--(_xlpm.ptsPrinBase&gt;0)),
    _xlpm.puntosSecValidos,  SUM(--(_xlpm.ptsSecBase&gt;0)),
    _xlpm.clave, K105 + B105/1000,
    _xlpm.claves, _xlfn._xlws.FILTER(K:K + B:B/1000, A:A=A105),
    IF(AND(_xlpm.puntosPrinValidos&gt;=4,_xlpm.puntosSecValidos&gt;=2),IF(
        SUM(--(_xlpm.claves &gt; _xlpm.clave)) &lt; 4,
        C105,
        D105
    ),"No disp")
)</f>
        <v>66</v>
      </c>
      <c r="Q105" s="14" cm="1">
        <f t="array" aca="1" ref="Q105" ca="1">_xlfn.LET(
    _xlpm.puntosPrin, _xlfn._xlws.FILTER(G:G + B:B/1000, A:A=A105),
    _xlpm.puntosPrinValidos, SUM(--(_xlpm.puntosPrin&gt;1)),
    _xlpm.puntosTer, _xlfn._xlws.FILTER(I:I + B:B/1000, A:A=A105),
    _xlpm.puntosTerValidos, SUM(--(_xlpm.puntosTer&gt;1)),
    _xlpm.clave, L105 + B105/1000,
    _xlpm.claves, _xlfn._xlws.FILTER(L:L + B:B/1000, A:A=A105),
    IF(AND(_xlpm.puntosPrinValidos&gt;=4,_xlpm.puntosTerValidos&gt;=2),IF(
        SUM(--(_xlpm.claves &gt; _xlpm.clave)) &lt; 4,
        C105,
        E105
    ),"No disp")
)</f>
        <v>110</v>
      </c>
      <c r="R105" s="14" t="str" cm="1">
        <f t="array" aca="1" ref="R105" ca="1">_xlfn.LET(
    _xlpm.puntosPrin, _xlfn._xlws.FILTER(G:G + B:B/1000, A:A=A105),
    _xlpm.puntosPrinValidos, SUM(--(_xlpm.puntosPrin&gt;1)),
    _xlpm.puntosTer, _xlfn._xlws.FILTER(J:J + B:B/1000, A:A=A105),
    _xlpm.puntosTerValidos, SUM(--(_xlpm.puntosTer&gt;1)),
    _xlpm.clave, M105 + B105/1000,
    _xlpm.claves, _xlfn._xlws.FILTER(M:M + B:B/1000, A:A=A105),
    IF(AND(_xlpm.puntosPrinValidos&gt;=4,_xlpm.puntosTerValidos&gt;=2),IF(
        SUM(--(_xlpm.claves &gt; _xlpm.clave)) &lt; 4,
        C105,
        F105
    ),"No disp")
)</f>
        <v>No disp</v>
      </c>
      <c r="S105" s="14" cm="1">
        <f t="array" aca="1" ref="S105" ca="1">_xlfn.LET(
    _xlpm.ptsPrinBase, _xlfn._xlws.FILTER(G:G, A:A=A105),
    _xlpm.ptsSecBase,  _xlfn._xlws.FILTER(H:H, A:A=A105),
    _xlpm.puntosPrin, _xlpm.ptsPrinBase + _xlfn._xlws.FILTER(B:B, A:A=A105)/1000,
    _xlpm.puntosSec,  _xlpm.ptsSecBase  + _xlfn._xlws.FILTER(B:B, A:A=A105)/1000,
    _xlpm.puntosPrinValidos, SUM(--(_xlpm.ptsPrinBase&gt;0)),
    _xlpm.puntosSecValidos,  SUM(--(_xlpm.ptsSecBase&gt;0)),
    _xlpm.clave, K105 + B105/1000,
    _xlpm.claves, _xlfn._xlws.FILTER(K:K + B:B/1000, A:A=A105),
    IF(
        AND(_xlpm.puntosPrinValidos&gt;=2, _xlpm.puntosSecValidos&gt;=4),
        IF(
            SUM(--(_xlpm.claves &lt; _xlpm.clave)) &lt; 4,
            D105,
            C105
        ),
        "No disp"
    )
)</f>
        <v>45</v>
      </c>
      <c r="T105" s="14" cm="1">
        <f t="array" aca="1" ref="T105" ca="1">_xlfn.LET(
    _xlpm.puntosSec, _xlfn._xlws.FILTER(H:H + B:B/1000, A:A=A105),
    _xlpm.puntosSecValidos, SUM(--(_xlpm.puntosSec&gt;1)),
    _xlpm.puntosAlt, _xlfn._xlws.FILTER(I:I + B:B/1000, A:A=A105),
    _xlpm.puntosAltValidos, SUM(--(_xlpm.puntosAlt&gt;1)),
    _xlpm.clave, N105 + B105/1000,
    _xlpm.claves, _xlfn._xlws.FILTER(N:N + B:B/1000, A:A=A105),
    IF(AND(_xlpm.puntosSecValidos&gt;=4,_xlpm.puntosAltValidos&gt;=2),IF(
        SUM(--(_xlpm.claves &gt; _xlpm.clave)) &lt; 4,
        D105,
        E105
    ),"No disp")
)</f>
        <v>110</v>
      </c>
      <c r="U105" s="14" t="str" cm="1">
        <f t="array" aca="1" ref="U105" ca="1">_xlfn.LET(
    _xlpm.puntosSec, _xlfn._xlws.FILTER(H:H + B:B/1000, A:A=A105),
    _xlpm.puntosSecValidos, SUM(--(_xlpm.puntosSec&gt;1)),
    _xlpm.puntosAlt, _xlfn._xlws.FILTER(J:J + B:B/1000, A:A=A105),
    _xlpm.puntosAltValidos, SUM(--(_xlpm.puntosAlt&gt;1)),
    _xlpm.clave, O105 + B105/1000,
    _xlpm.claves, _xlfn._xlws.FILTER(O:O + B:B/1000, A:A=A105),
    IF(AND(_xlpm.puntosSecValidos&gt;=4,_xlpm.puntosAltValidos&gt;=2),IF(
        SUM(--(_xlpm.claves &gt; _xlpm.clave)) &lt; 4,
        D105,
        F105
    ),"No disp")
)</f>
        <v>No disp</v>
      </c>
      <c r="V105" s="4" cm="1">
        <f t="array" aca="1" ref="V105" ca="1">_xlfn.LET(
_xlpm.PrinIDs,_xlfn._xlws.FILTER(C:C,(A:A=A105)),
_xlpm.SecIDs,_xlfn._xlws.FILTER(D:D,(A:A=A105)),
_xlpm.TerIDs,_xlfn._xlws.FILTER(E:E,A:A=A105),
_xlpm.CuaIDs,_xlfn._xlws.FILTER(F:F,(A:A=A105)),
_xlpm.PrinPts,_xlfn._xlws.FILTER(G:G,(A:A=A105)),
_xlpm.SecPts,_xlfn._xlws.FILTER(H:H,(A:A=A105)),
_xlpm.TerPts,_xlfn._xlws.FILTER(I:I,(A:A=A105)),
_xlpm.CuaPts,_xlfn._xlws.FILTER(J:J,(A:A=A105)),
_xlpm.PSIds,_xlfn._xlws.FILTER(P:P,A:A=A105),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522</v>
      </c>
      <c r="W105" s="4" cm="1">
        <f t="array" aca="1" ref="W105" ca="1">_xlfn.LET(
_xlpm.PrinIDs,_xlfn._xlws.FILTER(C:C,(A:A=A105)),
_xlpm.SecIDs,_xlfn._xlws.FILTER(D:D,(A:A=A105)),
_xlpm.TerIDs,_xlfn._xlws.FILTER(E:E,A:A=A105),
_xlpm.CuaIDs,_xlfn._xlws.FILTER(F:F,(A:A=A105)),
_xlpm.PrinPts,_xlfn._xlws.FILTER(G:G,(A:A=A105)),
_xlpm.SecPts,_xlfn._xlws.FILTER(H:H,(A:A=A105)),
_xlpm.TerPts,_xlfn._xlws.FILTER(I:I,(A:A=A105)),
_xlpm.CuaPts,_xlfn._xlws.FILTER(J:J,(A:A=A105)),
_xlpm.PTIds,_xlfn._xlws.FILTER(Q:Q,A:A=A105),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527.76</v>
      </c>
      <c r="X105" s="4" cm="1">
        <f t="array" aca="1" ref="X105" ca="1">_xlfn.LET(
_xlpm.PrinIDs,_xlfn._xlws.FILTER(C:C,(A:A=A105)),
_xlpm.SecIDs,_xlfn._xlws.FILTER(D:D,(A:A=A105)),
_xlpm.TerIDs,_xlfn._xlws.FILTER(E:E,A:A=A105),
_xlpm.CuaIDs,_xlfn._xlws.FILTER(F:F,(A:A=A105)),
_xlpm.PrinPts,_xlfn._xlws.FILTER(G:G,(A:A=A105)),
_xlpm.SecPts,_xlfn._xlws.FILTER(H:H,(A:A=A105)),
_xlpm.TerPts,_xlfn._xlws.FILTER(I:I,(A:A=A105)),
_xlpm.CuaPts,_xlfn._xlws.FILTER(J:J,(A:A=A105)),
_xlpm.PCIds,_xlfn._xlws.FILTER(R:R,A:A=A105),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05" s="4" cm="1">
        <f t="array" aca="1" ref="Y105" ca="1">_xlfn.LET(
_xlpm.PrinIDs,_xlfn._xlws.FILTER(C:C,(A:A=A105)),
_xlpm.SecIDs,_xlfn._xlws.FILTER(D:D,(A:A=A105)),
_xlpm.AltIDs,_xlfn._xlws.FILTER(E:E,A:A=A105),
_xlpm.PrinPts,_xlfn._xlws.FILTER(G:G,(A:A=A105)),
_xlpm.SecPts,_xlfn._xlws.FILTER(H:H,(A:A=A105)),
_xlpm.AltPts,_xlfn._xlws.FILTER(I:I,(A:A=A105)),
_xlpm.SPIds,_xlfn._xlws.FILTER(S:S,A:A=A105),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513</v>
      </c>
      <c r="Z105" s="4" cm="1">
        <f t="array" aca="1" ref="Z105" ca="1">_xlfn.LET(
_xlpm.PrinIDs,_xlfn._xlws.FILTER(C:C,(A:A=A105)),
_xlpm.SecIDs,_xlfn._xlws.FILTER(D:D,(A:A=A105)),
_xlpm.TerIDs,_xlfn._xlws.FILTER(E:E,A:A=A105),
_xlpm.CuaIDs,_xlfn._xlws.FILTER(F:F,(A:A=A105)),
_xlpm.PrinPts,_xlfn._xlws.FILTER(G:G,(A:A=A105)),
_xlpm.SecPts,_xlfn._xlws.FILTER(H:H,(A:A=A105)),
_xlpm.TerPts,_xlfn._xlws.FILTER(I:I,(A:A=A105)),
_xlpm.CuaPts,_xlfn._xlws.FILTER(J:J,(A:A=A105)),
_xlpm.STIds,_xlfn._xlws.FILTER(T:T,A:A=A105),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518.76</v>
      </c>
      <c r="AA105" s="4" cm="1">
        <f t="array" aca="1" ref="AA105" ca="1">_xlfn.LET(
_xlpm.PrinIDs,_xlfn._xlws.FILTER(C:C,(A:A=A105)),
_xlpm.SecIDs,_xlfn._xlws.FILTER(D:D,(A:A=A105)),
_xlpm.TerIDs,_xlfn._xlws.FILTER(E:E,A:A=A105),
_xlpm.CuaIDs,_xlfn._xlws.FILTER(F:F,(A:A=A105)),
_xlpm.PrinPts,_xlfn._xlws.FILTER(G:G,(A:A=A105)),
_xlpm.SecPts,_xlfn._xlws.FILTER(H:H,(A:A=A105)),
_xlpm.TerPts,_xlfn._xlws.FILTER(I:I,(A:A=A105)),
_xlpm.CuaPts,_xlfn._xlws.FILTER(J:J,(A:A=A105)),
_xlpm.SCIds,_xlfn._xlws.FILTER(U:U,A:A=A105),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05" s="14">
        <f t="shared" ca="1" si="7"/>
        <v>110</v>
      </c>
      <c r="AC105" s="14">
        <v>110</v>
      </c>
      <c r="AD105" s="4"/>
      <c r="AE105" s="14" t="str">
        <f ca="1">IF(ISNUMBER(AC105),
IF($B105=1,VLOOKUP($AC105,Inventario1!$A:$H,2),
IF($B105=2,VLOOKUP($AC105,Inventario2!$A:$H,2),
IF($B105=3,VLOOKUP($AC105,Inventario3!$A:$H,2),
IF($B105=4,VLOOKUP($AC105,Inventario4!$A:$H,2),
IF($B105=5,VLOOKUP($AC105,Inventario5!$A:$H,2),
VLOOKUP($AC105,Inventario6!$A:$H,2)
))))),"No equipado")</f>
        <v>Legendario</v>
      </c>
      <c r="AF105" s="14" t="str">
        <f ca="1">IF(ISNUMBER(AC105),
IF($B105=1,VLOOKUP($AC105,Inventario1!$A:$H,3),
IF($B105=2,VLOOKUP($AC105,Inventario2!$A:$H,3),
IF($B105=3,VLOOKUP($AC105,Inventario3!$A:$H,3),
IF($B105=4,VLOOKUP($AC105,Inventario4!$A:$H,3),
IF($B105=5,VLOOKUP($AC105,Inventario5!$A:$H,3),
VLOOKUP($AC105,Inventario6!$A:$H,3)
))))),"")</f>
        <v>Poder vibrante</v>
      </c>
      <c r="AG105" s="14" t="str">
        <f ca="1">IF(ISNUMBER(AC105),
IF($B105=1,VLOOKUP($AC105,Inventario1!$A:$H,4),
IF($B105=2,VLOOKUP($AC105,Inventario2!$A:$H,4),
IF($B105=3,VLOOKUP($AC105,Inventario3!$A:$H,4),
IF($B105=4,VLOOKUP($AC105,Inventario4!$A:$H,4),
IF($B105=5,VLOOKUP($AC105,Inventario5!$A:$H,4),
VLOOKUP($AC105,Inventario6!$A:$H,4)
))))),"")</f>
        <v>Ataque poderoso</v>
      </c>
      <c r="AH105" s="14" t="str">
        <f ca="1">IF(ISNUMBER(AC105),
IF($B105=1,VLOOKUP($AC105,Inventario1!$A:$H,5),
IF($B105=2,VLOOKUP($AC105,Inventario2!$A:$H,5),
IF($B105=3,VLOOKUP($AC105,Inventario3!$A:$H,5),
IF($B105=4,VLOOKUP($AC105,Inventario4!$A:$H,5),
IF($B105=5,VLOOKUP($AC105,Inventario5!$A:$H,5),
VLOOKUP($AC105,Inventario6!$A:$H,5)
))))),"")</f>
        <v>Saque</v>
      </c>
      <c r="AI105" s="14" t="str">
        <f ca="1">IF(ISNUMBER(AC105),
IF($B105=1,VLOOKUP($AC105,Inventario1!$A:$H,6),
IF($B105=2,VLOOKUP($AC105,Inventario2!$A:$H,6),
IF($B105=3,VLOOKUP($AC105,Inventario3!$A:$H,6),
IF($B105=4,VLOOKUP($AC105,Inventario4!$A:$H,6),
IF($B105=5,VLOOKUP($AC105,Inventario5!$A:$H,6),
VLOOKUP($AC105,Inventario6!$A:$H,6)
))))),"")</f>
        <v>Colocación</v>
      </c>
      <c r="AJ105" s="14" t="str">
        <f ca="1">IF(ISNUMBER(AC105),
IF($B105=1,VLOOKUP($AC105,Inventario1!$A:$H,7),
IF($B105=2,VLOOKUP($AC105,Inventario2!$A:$H,7),
IF($B105=3,VLOOKUP($AC105,Inventario3!$A:$H,7),
IF($B105=4,VLOOKUP($AC105,Inventario4!$A:$H,7),
IF($B105=5,VLOOKUP($AC105,Inventario5!$A:$H,7),
VLOOKUP($AC105,Inventario6!$A:$H,7)
))))),"")</f>
        <v>Técnica ofensiva</v>
      </c>
      <c r="AK105" s="15">
        <f ca="1">IF(ISNUMBER(AC105),
IF($B105=1,VLOOKUP($AC105,Inventario1!$A:$H,8),
IF($B105=2,VLOOKUP($AC105,Inventario2!$A:$H,8),
IF($B105=3,VLOOKUP($AC105,Inventario3!$A:$H,8),
IF($B105=4,VLOOKUP($AC105,Inventario4!$A:$H,8),
IF($B105=5,VLOOKUP($AC105,Inventario5!$A:$H,8),
VLOOKUP($AC105,Inventario6!$A:$H,8)
))))),"")</f>
        <v>0</v>
      </c>
    </row>
    <row r="106" spans="1:37" x14ac:dyDescent="0.25">
      <c r="A106" s="21" t="s">
        <v>28</v>
      </c>
      <c r="B106" s="3">
        <v>3</v>
      </c>
      <c r="C106" s="14" cm="1">
        <f t="array" ref="C106">_xlfn.LET(
    _xlpm.jugador, A106,
    _xlpm.idSel, AC106,
    _xlpm.invIDs, IF(B106=1,Inventario1!A:A,IF(B106=2,Inventario2!A:A,IF(B106=3,Inventario3!A:A,IF(B106=4,Inventario4!A:A,IF(B106=5,Inventario5!A:A,Inventario6!A:A))))),
    _xlpm.invCalidad, IF(B106=1,Inventario1!B:B,IF(B106=2,Inventario2!B:B,IF(B106=3,Inventario3!B:B,IF(B106=4,Inventario4!B:B,IF(B106=5,Inventario5!B:B,Inventario6!B:B))))),
    _xlpm.invTipos, IF(B106=1,Inventario1!C:C,IF(B106=2,Inventario2!C:C,IF(B106=3,Inventario3!C:C,IF(B106=4,Inventario4!C:C,IF(B106=5,Inventario5!C:C,Inventario6!C:C))))),
    _xlpm.invStats, IF(B106=1,Inventario1!D:H,IF(B106=2,Inventario2!D:H,IF(B106=3,Inventario3!D:H,IF(B106=4,Inventario4!D:H,IF(B106=5,Inventario5!D:H,Inventario6!D:H))))),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IF(ROW(A106)=2,"",IF(_xlfn._xlws.FILTER(Equipar!AC$2:AC105,Equipar!B$2:B105=B106)={0},"",_xlfn._xlws.FILTER(Equipar!AC$2:AC105,Equipar!B$2:B105=B106))),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257</v>
      </c>
      <c r="D106" s="4" cm="1">
        <f t="array" ref="D106">_xlfn.LET(
    _xlpm.jugador, A106,
    _xlpm.idSel, AC106,
    _xlpm.invIDs, IF(B106=1,Inventario1!A:A,IF(B106=2,Inventario2!A:A,IF(B106=3,Inventario3!A:A,IF(B106=4,Inventario4!A:A,IF(B106=5,Inventario5!A:A,Inventario6!A:A))))),
    _xlpm.invCalidad, IF(B106=1,Inventario1!B:B,IF(B106=2,Inventario2!B:B,IF(B106=3,Inventario3!B:B,IF(B106=4,Inventario4!B:B,IF(B106=5,Inventario5!B:B,Inventario6!B:B))))),
    _xlpm.invTipos, IF(B106=1,Inventario1!C:C,IF(B106=2,Inventario2!C:C,IF(B106=3,Inventario3!C:C,IF(B106=4,Inventario4!C:C,IF(B106=5,Inventario5!C:C,Inventario6!C:C))))),
    _xlpm.invStats, IF(B106=1,Inventario1!D:H,IF(B106=2,Inventario2!D:H,IF(B106=3,Inventario3!D:H,IF(B106=4,Inventario4!D:H,IF(B106=5,Inventario5!D:H,Inventario6!D:H))))),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IF(ROW(A106)=2,"",IF(_xlfn._xlws.FILTER(Equipar!AC$2:AC105,Equipar!B$2:B105=B106)={0},"",_xlfn._xlws.FILTER(Equipar!AC$2:AC105,Equipar!B$2:B105=B106))),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9</v>
      </c>
      <c r="E106" s="4" cm="1">
        <f t="array" ref="E106">_xlfn.LET(
    _xlpm.jugador, A106,
    _xlpm.idSel, AC106,
    _xlpm.invIDs, IF(B106=1,Inventario1!A:A,IF(B106=2,Inventario2!A:A,IF(B106=3,Inventario3!A:A,IF(B106=4,Inventario4!A:A,IF(B106=5,Inventario5!A:A,Inventario6!A:A))))),
    _xlpm.invCalidad, IF(B106=1,Inventario1!B:B,IF(B106=2,Inventario2!B:B,IF(B106=3,Inventario3!B:B,IF(B106=4,Inventario4!B:B,IF(B106=5,Inventario5!B:B,Inventario6!B:B))))),
    _xlpm.invTipos, IF(B106=1,Inventario1!C:C,IF(B106=2,Inventario2!C:C,IF(B106=3,Inventario3!C:C,IF(B106=4,Inventario4!C:C,IF(B106=5,Inventario5!C:C,Inventario6!C:C))))),
    _xlpm.invStats, IF(B106=1,Inventario1!D:H,IF(B106=2,Inventario2!D:H,IF(B106=3,Inventario3!D:H,IF(B106=4,Inventario4!D:H,IF(B106=5,Inventario5!D:H,Inventario6!D:H))))),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IF(ROW(A106)=2,"",IF(_xlfn._xlws.FILTER(Equipar!AC$2:AC105,Equipar!B$2:B105=B106)={0},"",_xlfn._xlws.FILTER(Equipar!AC$2:AC105,Equipar!B$2:B105=B106))),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</v>
      </c>
      <c r="F106" s="4" t="str" cm="1">
        <f t="array" aca="1" ref="F106" ca="1">_xlfn.LET(
    _xlpm.jugador, B106,
    _xlpm.idSel, AD106,
    _xlpm.invIDs, IF(C106=1,Inventario1!B:B,IF(C106=2,Inventario2!B:B,IF(C106=3,Inventario3!B:B,IF(C106=4,Inventario4!B:B,IF(C106=5,Inventario5!B:B,Inventario6!B:B))))),
    _xlpm.invCalidad, IF(C106=1,Inventario1!C:C,IF(C106=2,Inventario2!C:C,IF(C106=3,Inventario3!C:C,IF(C106=4,Inventario4!C:C,IF(C106=5,Inventario5!C:C,Inventario6!C:C))))),
    _xlpm.invTipos, IF(C106=1,Inventario1!D:D,IF(C106=2,Inventario2!D:D,IF(C106=3,Inventario3!D:D,IF(C106=4,Inventario4!D:D,IF(C106=5,Inventario5!D:D,Inventario6!D:D))))),
    _xlpm.invStats, IF(C106=1,Inventario1!E:I,IF(C106=2,Inventario2!E:I,IF(C106=3,Inventario3!E:I,IF(C106=4,Inventario4!E:I,IF(C106=5,Inventario5!E:I,Inventario6!E:I))))),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IF(ROW(B106)=2,"",IF(_xlfn._xlws.FILTER(Equipar!AD$2:AD105,Equipar!C$2:C105=C106)={0},"",_xlfn._xlws.FILTER(Equipar!AD$2:AD105,Equipar!C$2:C105=C106))),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06" s="14" cm="1">
        <f t="array" ref="G106">_xlfn.LET(
    _xlpm.jugador, A106,
    _xlpm.idSel, AC106,
    _xlpm.invIDs, IF(B106=1,Inventario1!A:A,IF(B106=2,Inventario2!A:A,IF(B106=3,Inventario3!A:A,IF(B106=4,Inventario4!A:A,IF(B106=5,Inventario5!A:A,Inventario6!A:A))))),
    _xlpm.invCalidad, IF(B106=1,Inventario1!B:B,IF(B106=2,Inventario2!B:B,IF(B106=3,Inventario3!B:B,IF(B106=4,Inventario4!B:B,IF(B106=5,Inventario5!B:B,Inventario6!B:B))))),
    _xlpm.invTipos, IF(B106=1,Inventario1!C:C,IF(B106=2,Inventario2!C:C,IF(B106=3,Inventario3!C:C,IF(B106=4,Inventario4!C:C,IF(B106=5,Inventario5!C:C,Inventario6!C:C))))),
    _xlpm.invStats, IF(B106=1,Inventario1!D:H,IF(B106=2,Inventario2!D:H,IF(B106=3,Inventario3!D:H,IF(B106=4,Inventario4!D:H,IF(B106=5,Inventario5!D:H,Inventario6!D:H))))),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IF(ROW(A106)=2,"",IF(_xlfn._xlws.FILTER(Equipar!AC$2:AC105,Equipar!B$2:B105=B106)={0},"",_xlfn._xlws.FILTER(Equipar!AC$2:AC105,Equipar!B$2:B105=B106))),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H106" s="4" cm="1">
        <f t="array" ref="H106">_xlfn.LET(
    _xlpm.jugador, A106,
    _xlpm.idSel, AC106,
    _xlpm.invIDs, IF(B106=1,Inventario1!A:A,IF(B106=2,Inventario2!A:A,IF(B106=3,Inventario3!A:A,IF(B106=4,Inventario4!A:A,IF(B106=5,Inventario5!A:A,Inventario6!A:A))))),
    _xlpm.invCalidad, IF(B106=1,Inventario1!B:B,IF(B106=2,Inventario2!B:B,IF(B106=3,Inventario3!B:B,IF(B106=4,Inventario4!B:B,IF(B106=5,Inventario5!B:B,Inventario6!B:B))))),
    _xlpm.invTipos, IF(B106=1,Inventario1!C:C,IF(B106=2,Inventario2!C:C,IF(B106=3,Inventario3!C:C,IF(B106=4,Inventario4!C:C,IF(B106=5,Inventario5!C:C,Inventario6!C:C))))),
    _xlpm.invStats, IF(B106=1,Inventario1!D:H,IF(B106=2,Inventario2!D:H,IF(B106=3,Inventario3!D:H,IF(B106=4,Inventario4!D:H,IF(B106=5,Inventario5!D:H,Inventario6!D:H))))),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IF(ROW(A106)=2,"",IF(_xlfn._xlws.FILTER(Equipar!AC$2:AC105,Equipar!B$2:B105=B106)={0},"",_xlfn._xlws.FILTER(Equipar!AC$2:AC105,Equipar!B$2:B105=B106))),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90</v>
      </c>
      <c r="I106" s="4" cm="1">
        <f t="array" ref="I106">_xlfn.LET(
    _xlpm.jugador, A106,
    _xlpm.idSel, AC106,
    _xlpm.invIDs, IF(B106=1,Inventario1!A:A,IF(B106=2,Inventario2!A:A,IF(B106=3,Inventario3!A:A,IF(B106=4,Inventario4!A:A,IF(B106=5,Inventario5!A:A,Inventario6!A:A))))),
    _xlpm.invCalidad, IF(B106=1,Inventario1!B:B,IF(B106=2,Inventario2!B:B,IF(B106=3,Inventario3!B:B,IF(B106=4,Inventario4!B:B,IF(B106=5,Inventario5!B:B,Inventario6!B:B))))),
    _xlpm.invTipos, IF(B106=1,Inventario1!C:C,IF(B106=2,Inventario2!C:C,IF(B106=3,Inventario3!C:C,IF(B106=4,Inventario4!C:C,IF(B106=5,Inventario5!C:C,Inventario6!C:C))))),
    _xlpm.invStats, IF(B106=1,Inventario1!D:H,IF(B106=2,Inventario2!D:H,IF(B106=3,Inventario3!D:H,IF(B106=4,Inventario4!D:H,IF(B106=5,Inventario5!D:H,Inventario6!D:H))))),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IF(ROW(A106)=2,"",IF(_xlfn._xlws.FILTER(Equipar!AC$2:AC105,Equipar!B$2:B105=B106)={0},"",_xlfn._xlws.FILTER(Equipar!AC$2:AC105,Equipar!B$2:B105=B106))),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J106" s="4" cm="1">
        <f t="array" aca="1" ref="J106" ca="1">_xlfn.LET(
    _xlpm.jugador, B106,
    _xlpm.idSel, AD106,
    _xlpm.invIDs, IF(C106=1,Inventario1!B:B,IF(C106=2,Inventario2!B:B,IF(C106=3,Inventario3!B:B,IF(C106=4,Inventario4!B:B,IF(C106=5,Inventario5!B:B,Inventario6!B:B))))),
    _xlpm.invCalidad, IF(C106=1,Inventario1!C:C,IF(C106=2,Inventario2!C:C,IF(C106=3,Inventario3!C:C,IF(C106=4,Inventario4!C:C,IF(C106=5,Inventario5!C:C,Inventario6!C:C))))),
    _xlpm.invTipos, IF(C106=1,Inventario1!D:D,IF(C106=2,Inventario2!D:D,IF(C106=3,Inventario3!D:D,IF(C106=4,Inventario4!D:D,IF(C106=5,Inventario5!D:D,Inventario6!D:D))))),
    _xlpm.invStats, IF(C106=1,Inventario1!E:I,IF(C106=2,Inventario2!E:I,IF(C106=3,Inventario3!E:I,IF(C106=4,Inventario4!E:I,IF(C106=5,Inventario5!E:I,Inventario6!E:I))))),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IF(ROW(B106)=2,"",IF(_xlfn._xlws.FILTER(Equipar!AD$2:AD105,Equipar!C$2:C105=C106)={0},"",_xlfn._xlws.FILTER(Equipar!AD$2:AD105,Equipar!C$2:C105=C106))),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06" s="4">
        <f t="shared" si="4"/>
        <v>9</v>
      </c>
      <c r="L106" s="4">
        <f t="shared" ca="1" si="5"/>
        <v>15.209999999999994</v>
      </c>
      <c r="M106" s="4">
        <f t="shared" ca="1" si="5"/>
        <v>90</v>
      </c>
      <c r="N106" s="4">
        <f t="shared" ca="1" si="6"/>
        <v>6.2099999999999937</v>
      </c>
      <c r="O106" s="4">
        <f t="shared" ca="1" si="6"/>
        <v>83.79</v>
      </c>
      <c r="P106" s="14" cm="1">
        <f t="array" aca="1" ref="P106" ca="1">_xlfn.LET(
    _xlpm.ptsPrinBase, _xlfn._xlws.FILTER(G:G, A:A=A106),
    _xlpm.ptsSecBase,  _xlfn._xlws.FILTER(H:H, A:A=A106),
    _xlpm.puntosPrin, _xlpm.ptsPrinBase + _xlfn._xlws.FILTER(B:B, A:A=A106)/1000,
    _xlpm.puntosSec,  _xlpm.ptsSecBase  + _xlfn._xlws.FILTER(B:B, A:A=A106)/1000,
    _xlpm.puntosPrinValidos, SUM(--(_xlpm.ptsPrinBase&gt;0)),
    _xlpm.puntosSecValidos,  SUM(--(_xlpm.ptsSecBase&gt;0)),
    _xlpm.clave, K106 + B106/1000,
    _xlpm.claves, _xlfn._xlws.FILTER(K:K + B:B/1000, A:A=A106),
    IF(AND(_xlpm.puntosPrinValidos&gt;=4,_xlpm.puntosSecValidos&gt;=2),IF(
        SUM(--(_xlpm.claves &gt; _xlpm.clave)) &lt; 4,
        C106,
        D106
    ),"No disp")
)</f>
        <v>257</v>
      </c>
      <c r="Q106" s="14" cm="1">
        <f t="array" aca="1" ref="Q106" ca="1">_xlfn.LET(
    _xlpm.puntosPrin, _xlfn._xlws.FILTER(G:G + B:B/1000, A:A=A106),
    _xlpm.puntosPrinValidos, SUM(--(_xlpm.puntosPrin&gt;1)),
    _xlpm.puntosTer, _xlfn._xlws.FILTER(I:I + B:B/1000, A:A=A106),
    _xlpm.puntosTerValidos, SUM(--(_xlpm.puntosTer&gt;1)),
    _xlpm.clave, L106 + B106/1000,
    _xlpm.claves, _xlfn._xlws.FILTER(L:L + B:B/1000, A:A=A106),
    IF(AND(_xlpm.puntosPrinValidos&gt;=4,_xlpm.puntosTerValidos&gt;=2),IF(
        SUM(--(_xlpm.claves &gt; _xlpm.clave)) &lt; 4,
        C106,
        E106
    ),"No disp")
)</f>
        <v>257</v>
      </c>
      <c r="R106" s="14" t="str" cm="1">
        <f t="array" aca="1" ref="R106" ca="1">_xlfn.LET(
    _xlpm.puntosPrin, _xlfn._xlws.FILTER(G:G + B:B/1000, A:A=A106),
    _xlpm.puntosPrinValidos, SUM(--(_xlpm.puntosPrin&gt;1)),
    _xlpm.puntosTer, _xlfn._xlws.FILTER(J:J + B:B/1000, A:A=A106),
    _xlpm.puntosTerValidos, SUM(--(_xlpm.puntosTer&gt;1)),
    _xlpm.clave, M106 + B106/1000,
    _xlpm.claves, _xlfn._xlws.FILTER(M:M + B:B/1000, A:A=A106),
    IF(AND(_xlpm.puntosPrinValidos&gt;=4,_xlpm.puntosTerValidos&gt;=2),IF(
        SUM(--(_xlpm.claves &gt; _xlpm.clave)) &lt; 4,
        C106,
        F106
    ),"No disp")
)</f>
        <v>No disp</v>
      </c>
      <c r="S106" s="14" cm="1">
        <f t="array" aca="1" ref="S106" ca="1">_xlfn.LET(
    _xlpm.ptsPrinBase, _xlfn._xlws.FILTER(G:G, A:A=A106),
    _xlpm.ptsSecBase,  _xlfn._xlws.FILTER(H:H, A:A=A106),
    _xlpm.puntosPrin, _xlpm.ptsPrinBase + _xlfn._xlws.FILTER(B:B, A:A=A106)/1000,
    _xlpm.puntosSec,  _xlpm.ptsSecBase  + _xlfn._xlws.FILTER(B:B, A:A=A106)/1000,
    _xlpm.puntosPrinValidos, SUM(--(_xlpm.ptsPrinBase&gt;0)),
    _xlpm.puntosSecValidos,  SUM(--(_xlpm.ptsSecBase&gt;0)),
    _xlpm.clave, K106 + B106/1000,
    _xlpm.claves, _xlfn._xlws.FILTER(K:K + B:B/1000, A:A=A106),
    IF(
        AND(_xlpm.puntosPrinValidos&gt;=2, _xlpm.puntosSecValidos&gt;=4),
        IF(
            SUM(--(_xlpm.claves &lt; _xlpm.clave)) &lt; 4,
            D106,
            C106
        ),
        "No disp"
    )
)</f>
        <v>257</v>
      </c>
      <c r="T106" s="14" cm="1">
        <f t="array" aca="1" ref="T106" ca="1">_xlfn.LET(
    _xlpm.puntosSec, _xlfn._xlws.FILTER(H:H + B:B/1000, A:A=A106),
    _xlpm.puntosSecValidos, SUM(--(_xlpm.puntosSec&gt;1)),
    _xlpm.puntosAlt, _xlfn._xlws.FILTER(I:I + B:B/1000, A:A=A106),
    _xlpm.puntosAltValidos, SUM(--(_xlpm.puntosAlt&gt;1)),
    _xlpm.clave, N106 + B106/1000,
    _xlpm.claves, _xlfn._xlws.FILTER(N:N + B:B/1000, A:A=A106),
    IF(AND(_xlpm.puntosSecValidos&gt;=4,_xlpm.puntosAltValidos&gt;=2),IF(
        SUM(--(_xlpm.claves &gt; _xlpm.clave)) &lt; 4,
        D106,
        E106
    ),"No disp")
)</f>
        <v>9</v>
      </c>
      <c r="U106" s="14" t="str" cm="1">
        <f t="array" aca="1" ref="U106" ca="1">_xlfn.LET(
    _xlpm.puntosSec, _xlfn._xlws.FILTER(H:H + B:B/1000, A:A=A106),
    _xlpm.puntosSecValidos, SUM(--(_xlpm.puntosSec&gt;1)),
    _xlpm.puntosAlt, _xlfn._xlws.FILTER(J:J + B:B/1000, A:A=A106),
    _xlpm.puntosAltValidos, SUM(--(_xlpm.puntosAlt&gt;1)),
    _xlpm.clave, O106 + B106/1000,
    _xlpm.claves, _xlfn._xlws.FILTER(O:O + B:B/1000, A:A=A106),
    IF(AND(_xlpm.puntosSecValidos&gt;=4,_xlpm.puntosAltValidos&gt;=2),IF(
        SUM(--(_xlpm.claves &gt; _xlpm.clave)) &lt; 4,
        D106,
        F106
    ),"No disp")
)</f>
        <v>No disp</v>
      </c>
      <c r="V106" s="4" cm="1">
        <f t="array" aca="1" ref="V106" ca="1">_xlfn.LET(
_xlpm.PrinIDs,_xlfn._xlws.FILTER(C:C,(A:A=A106)),
_xlpm.SecIDs,_xlfn._xlws.FILTER(D:D,(A:A=A106)),
_xlpm.TerIDs,_xlfn._xlws.FILTER(E:E,A:A=A106),
_xlpm.CuaIDs,_xlfn._xlws.FILTER(F:F,(A:A=A106)),
_xlpm.PrinPts,_xlfn._xlws.FILTER(G:G,(A:A=A106)),
_xlpm.SecPts,_xlfn._xlws.FILTER(H:H,(A:A=A106)),
_xlpm.TerPts,_xlfn._xlws.FILTER(I:I,(A:A=A106)),
_xlpm.CuaPts,_xlfn._xlws.FILTER(J:J,(A:A=A106)),
_xlpm.PSIds,_xlfn._xlws.FILTER(P:P,A:A=A106),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522</v>
      </c>
      <c r="W106" s="4" cm="1">
        <f t="array" aca="1" ref="W106" ca="1">_xlfn.LET(
_xlpm.PrinIDs,_xlfn._xlws.FILTER(C:C,(A:A=A106)),
_xlpm.SecIDs,_xlfn._xlws.FILTER(D:D,(A:A=A106)),
_xlpm.TerIDs,_xlfn._xlws.FILTER(E:E,A:A=A106),
_xlpm.CuaIDs,_xlfn._xlws.FILTER(F:F,(A:A=A106)),
_xlpm.PrinPts,_xlfn._xlws.FILTER(G:G,(A:A=A106)),
_xlpm.SecPts,_xlfn._xlws.FILTER(H:H,(A:A=A106)),
_xlpm.TerPts,_xlfn._xlws.FILTER(I:I,(A:A=A106)),
_xlpm.CuaPts,_xlfn._xlws.FILTER(J:J,(A:A=A106)),
_xlpm.PTIds,_xlfn._xlws.FILTER(Q:Q,A:A=A106),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527.76</v>
      </c>
      <c r="X106" s="4" cm="1">
        <f t="array" aca="1" ref="X106" ca="1">_xlfn.LET(
_xlpm.PrinIDs,_xlfn._xlws.FILTER(C:C,(A:A=A106)),
_xlpm.SecIDs,_xlfn._xlws.FILTER(D:D,(A:A=A106)),
_xlpm.TerIDs,_xlfn._xlws.FILTER(E:E,A:A=A106),
_xlpm.CuaIDs,_xlfn._xlws.FILTER(F:F,(A:A=A106)),
_xlpm.PrinPts,_xlfn._xlws.FILTER(G:G,(A:A=A106)),
_xlpm.SecPts,_xlfn._xlws.FILTER(H:H,(A:A=A106)),
_xlpm.TerPts,_xlfn._xlws.FILTER(I:I,(A:A=A106)),
_xlpm.CuaPts,_xlfn._xlws.FILTER(J:J,(A:A=A106)),
_xlpm.PCIds,_xlfn._xlws.FILTER(R:R,A:A=A106),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06" s="4" cm="1">
        <f t="array" aca="1" ref="Y106" ca="1">_xlfn.LET(
_xlpm.PrinIDs,_xlfn._xlws.FILTER(C:C,(A:A=A106)),
_xlpm.SecIDs,_xlfn._xlws.FILTER(D:D,(A:A=A106)),
_xlpm.AltIDs,_xlfn._xlws.FILTER(E:E,A:A=A106),
_xlpm.PrinPts,_xlfn._xlws.FILTER(G:G,(A:A=A106)),
_xlpm.SecPts,_xlfn._xlws.FILTER(H:H,(A:A=A106)),
_xlpm.AltPts,_xlfn._xlws.FILTER(I:I,(A:A=A106)),
_xlpm.SPIds,_xlfn._xlws.FILTER(S:S,A:A=A106),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513</v>
      </c>
      <c r="Z106" s="4" cm="1">
        <f t="array" aca="1" ref="Z106" ca="1">_xlfn.LET(
_xlpm.PrinIDs,_xlfn._xlws.FILTER(C:C,(A:A=A106)),
_xlpm.SecIDs,_xlfn._xlws.FILTER(D:D,(A:A=A106)),
_xlpm.TerIDs,_xlfn._xlws.FILTER(E:E,A:A=A106),
_xlpm.CuaIDs,_xlfn._xlws.FILTER(F:F,(A:A=A106)),
_xlpm.PrinPts,_xlfn._xlws.FILTER(G:G,(A:A=A106)),
_xlpm.SecPts,_xlfn._xlws.FILTER(H:H,(A:A=A106)),
_xlpm.TerPts,_xlfn._xlws.FILTER(I:I,(A:A=A106)),
_xlpm.CuaPts,_xlfn._xlws.FILTER(J:J,(A:A=A106)),
_xlpm.STIds,_xlfn._xlws.FILTER(T:T,A:A=A106),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518.76</v>
      </c>
      <c r="AA106" s="4" cm="1">
        <f t="array" aca="1" ref="AA106" ca="1">_xlfn.LET(
_xlpm.PrinIDs,_xlfn._xlws.FILTER(C:C,(A:A=A106)),
_xlpm.SecIDs,_xlfn._xlws.FILTER(D:D,(A:A=A106)),
_xlpm.TerIDs,_xlfn._xlws.FILTER(E:E,A:A=A106),
_xlpm.CuaIDs,_xlfn._xlws.FILTER(F:F,(A:A=A106)),
_xlpm.PrinPts,_xlfn._xlws.FILTER(G:G,(A:A=A106)),
_xlpm.SecPts,_xlfn._xlws.FILTER(H:H,(A:A=A106)),
_xlpm.TerPts,_xlfn._xlws.FILTER(I:I,(A:A=A106)),
_xlpm.CuaPts,_xlfn._xlws.FILTER(J:J,(A:A=A106)),
_xlpm.SCIds,_xlfn._xlws.FILTER(U:U,A:A=A106),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06" s="14">
        <f t="shared" ca="1" si="7"/>
        <v>257</v>
      </c>
      <c r="AC106" s="14">
        <v>257</v>
      </c>
      <c r="AD106" s="4"/>
      <c r="AE106" s="14" t="str">
        <f ca="1">IF(ISNUMBER(AC106),
IF($B106=1,VLOOKUP($AC106,Inventario1!$A:$H,2),
IF($B106=2,VLOOKUP($AC106,Inventario2!$A:$H,2),
IF($B106=3,VLOOKUP($AC106,Inventario3!$A:$H,2),
IF($B106=4,VLOOKUP($AC106,Inventario4!$A:$H,2),
IF($B106=5,VLOOKUP($AC106,Inventario5!$A:$H,2),
VLOOKUP($AC106,Inventario6!$A:$H,2)
))))),"No equipado")</f>
        <v>Épico</v>
      </c>
      <c r="AF106" s="14" t="str">
        <f ca="1">IF(ISNUMBER(AC106),
IF($B106=1,VLOOKUP($AC106,Inventario1!$A:$H,3),
IF($B106=2,VLOOKUP($AC106,Inventario2!$A:$H,3),
IF($B106=3,VLOOKUP($AC106,Inventario3!$A:$H,3),
IF($B106=4,VLOOKUP($AC106,Inventario4!$A:$H,3),
IF($B106=5,VLOOKUP($AC106,Inventario5!$A:$H,3),
VLOOKUP($AC106,Inventario6!$A:$H,3)
))))),"")</f>
        <v>Opt. de estado</v>
      </c>
      <c r="AG106" s="14" t="str">
        <f ca="1">IF(ISNUMBER(AC106),
IF($B106=1,VLOOKUP($AC106,Inventario1!$A:$H,4),
IF($B106=2,VLOOKUP($AC106,Inventario2!$A:$H,4),
IF($B106=3,VLOOKUP($AC106,Inventario3!$A:$H,4),
IF($B106=4,VLOOKUP($AC106,Inventario4!$A:$H,4),
IF($B106=5,VLOOKUP($AC106,Inventario5!$A:$H,4),
VLOOKUP($AC106,Inventario6!$A:$H,4)
))))),"")</f>
        <v>Saque</v>
      </c>
      <c r="AH106" s="14" t="str">
        <f ca="1">IF(ISNUMBER(AC106),
IF($B106=1,VLOOKUP($AC106,Inventario1!$A:$H,5),
IF($B106=2,VLOOKUP($AC106,Inventario2!$A:$H,5),
IF($B106=3,VLOOKUP($AC106,Inventario3!$A:$H,5),
IF($B106=4,VLOOKUP($AC106,Inventario4!$A:$H,5),
IF($B106=5,VLOOKUP($AC106,Inventario5!$A:$H,5),
VLOOKUP($AC106,Inventario6!$A:$H,5)
))))),"")</f>
        <v>Ataque poderoso</v>
      </c>
      <c r="AI106" s="14" t="str">
        <f ca="1">IF(ISNUMBER(AC106),
IF($B106=1,VLOOKUP($AC106,Inventario1!$A:$H,6),
IF($B106=2,VLOOKUP($AC106,Inventario2!$A:$H,6),
IF($B106=3,VLOOKUP($AC106,Inventario3!$A:$H,6),
IF($B106=4,VLOOKUP($AC106,Inventario4!$A:$H,6),
IF($B106=5,VLOOKUP($AC106,Inventario5!$A:$H,6),
VLOOKUP($AC106,Inventario6!$A:$H,6)
))))),"")</f>
        <v>Ataque poderoso</v>
      </c>
      <c r="AJ106" s="14">
        <f ca="1">IF(ISNUMBER(AC106),
IF($B106=1,VLOOKUP($AC106,Inventario1!$A:$H,7),
IF($B106=2,VLOOKUP($AC106,Inventario2!$A:$H,7),
IF($B106=3,VLOOKUP($AC106,Inventario3!$A:$H,7),
IF($B106=4,VLOOKUP($AC106,Inventario4!$A:$H,7),
IF($B106=5,VLOOKUP($AC106,Inventario5!$A:$H,7),
VLOOKUP($AC106,Inventario6!$A:$H,7)
))))),"")</f>
        <v>0</v>
      </c>
      <c r="AK106" s="15">
        <f ca="1">IF(ISNUMBER(AC106),
IF($B106=1,VLOOKUP($AC106,Inventario1!$A:$H,8),
IF($B106=2,VLOOKUP($AC106,Inventario2!$A:$H,8),
IF($B106=3,VLOOKUP($AC106,Inventario3!$A:$H,8),
IF($B106=4,VLOOKUP($AC106,Inventario4!$A:$H,8),
IF($B106=5,VLOOKUP($AC106,Inventario5!$A:$H,8),
VLOOKUP($AC106,Inventario6!$A:$H,8)
))))),"")</f>
        <v>0</v>
      </c>
    </row>
    <row r="107" spans="1:37" x14ac:dyDescent="0.25">
      <c r="A107" s="21" t="s">
        <v>28</v>
      </c>
      <c r="B107" s="3">
        <v>4</v>
      </c>
      <c r="C107" s="14" cm="1">
        <f t="array" ref="C107">_xlfn.LET(
    _xlpm.jugador, A107,
    _xlpm.idSel, AC107,
    _xlpm.invIDs, IF(B107=1,Inventario1!A:A,IF(B107=2,Inventario2!A:A,IF(B107=3,Inventario3!A:A,IF(B107=4,Inventario4!A:A,IF(B107=5,Inventario5!A:A,Inventario6!A:A))))),
    _xlpm.invCalidad, IF(B107=1,Inventario1!B:B,IF(B107=2,Inventario2!B:B,IF(B107=3,Inventario3!B:B,IF(B107=4,Inventario4!B:B,IF(B107=5,Inventario5!B:B,Inventario6!B:B))))),
    _xlpm.invTipos, IF(B107=1,Inventario1!C:C,IF(B107=2,Inventario2!C:C,IF(B107=3,Inventario3!C:C,IF(B107=4,Inventario4!C:C,IF(B107=5,Inventario5!C:C,Inventario6!C:C))))),
    _xlpm.invStats, IF(B107=1,Inventario1!D:H,IF(B107=2,Inventario2!D:H,IF(B107=3,Inventario3!D:H,IF(B107=4,Inventario4!D:H,IF(B107=5,Inventario5!D:H,Inventario6!D:H))))),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IF(ROW(A107)=2,"",IF(_xlfn._xlws.FILTER(Equipar!AC$2:AC106,Equipar!B$2:B106=B107)={0},"",_xlfn._xlws.FILTER(Equipar!AC$2:AC106,Equipar!B$2:B106=B107))),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233</v>
      </c>
      <c r="D107" s="4" cm="1">
        <f t="array" ref="D107">_xlfn.LET(
    _xlpm.jugador, A107,
    _xlpm.idSel, AC107,
    _xlpm.invIDs, IF(B107=1,Inventario1!A:A,IF(B107=2,Inventario2!A:A,IF(B107=3,Inventario3!A:A,IF(B107=4,Inventario4!A:A,IF(B107=5,Inventario5!A:A,Inventario6!A:A))))),
    _xlpm.invCalidad, IF(B107=1,Inventario1!B:B,IF(B107=2,Inventario2!B:B,IF(B107=3,Inventario3!B:B,IF(B107=4,Inventario4!B:B,IF(B107=5,Inventario5!B:B,Inventario6!B:B))))),
    _xlpm.invTipos, IF(B107=1,Inventario1!C:C,IF(B107=2,Inventario2!C:C,IF(B107=3,Inventario3!C:C,IF(B107=4,Inventario4!C:C,IF(B107=5,Inventario5!C:C,Inventario6!C:C))))),
    _xlpm.invStats, IF(B107=1,Inventario1!D:H,IF(B107=2,Inventario2!D:H,IF(B107=3,Inventario3!D:H,IF(B107=4,Inventario4!D:H,IF(B107=5,Inventario5!D:H,Inventario6!D:H))))),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IF(ROW(A107)=2,"",IF(_xlfn._xlws.FILTER(Equipar!AC$2:AC106,Equipar!B$2:B106=B107)={0},"",_xlfn._xlws.FILTER(Equipar!AC$2:AC106,Equipar!B$2:B106=B107))),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15</v>
      </c>
      <c r="E107" s="4" cm="1">
        <f t="array" ref="E107">_xlfn.LET(
    _xlpm.jugador, A107,
    _xlpm.idSel, AC107,
    _xlpm.invIDs, IF(B107=1,Inventario1!A:A,IF(B107=2,Inventario2!A:A,IF(B107=3,Inventario3!A:A,IF(B107=4,Inventario4!A:A,IF(B107=5,Inventario5!A:A,Inventario6!A:A))))),
    _xlpm.invCalidad, IF(B107=1,Inventario1!B:B,IF(B107=2,Inventario2!B:B,IF(B107=3,Inventario3!B:B,IF(B107=4,Inventario4!B:B,IF(B107=5,Inventario5!B:B,Inventario6!B:B))))),
    _xlpm.invTipos, IF(B107=1,Inventario1!C:C,IF(B107=2,Inventario2!C:C,IF(B107=3,Inventario3!C:C,IF(B107=4,Inventario4!C:C,IF(B107=5,Inventario5!C:C,Inventario6!C:C))))),
    _xlpm.invStats, IF(B107=1,Inventario1!D:H,IF(B107=2,Inventario2!D:H,IF(B107=3,Inventario3!D:H,IF(B107=4,Inventario4!D:H,IF(B107=5,Inventario5!D:H,Inventario6!D:H))))),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IF(ROW(A107)=2,"",IF(_xlfn._xlws.FILTER(Equipar!AC$2:AC106,Equipar!B$2:B106=B107)={0},"",_xlfn._xlws.FILTER(Equipar!AC$2:AC106,Equipar!B$2:B106=B107))),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9</v>
      </c>
      <c r="F107" s="4" t="str" cm="1">
        <f t="array" aca="1" ref="F107" ca="1">_xlfn.LET(
    _xlpm.jugador, B107,
    _xlpm.idSel, AD107,
    _xlpm.invIDs, IF(C107=1,Inventario1!B:B,IF(C107=2,Inventario2!B:B,IF(C107=3,Inventario3!B:B,IF(C107=4,Inventario4!B:B,IF(C107=5,Inventario5!B:B,Inventario6!B:B))))),
    _xlpm.invCalidad, IF(C107=1,Inventario1!C:C,IF(C107=2,Inventario2!C:C,IF(C107=3,Inventario3!C:C,IF(C107=4,Inventario4!C:C,IF(C107=5,Inventario5!C:C,Inventario6!C:C))))),
    _xlpm.invTipos, IF(C107=1,Inventario1!D:D,IF(C107=2,Inventario2!D:D,IF(C107=3,Inventario3!D:D,IF(C107=4,Inventario4!D:D,IF(C107=5,Inventario5!D:D,Inventario6!D:D))))),
    _xlpm.invStats, IF(C107=1,Inventario1!E:I,IF(C107=2,Inventario2!E:I,IF(C107=3,Inventario3!E:I,IF(C107=4,Inventario4!E:I,IF(C107=5,Inventario5!E:I,Inventario6!E:I))))),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IF(ROW(B107)=2,"",IF(_xlfn._xlws.FILTER(Equipar!AD$2:AD106,Equipar!C$2:C106=C107)={0},"",_xlfn._xlws.FILTER(Equipar!AD$2:AD106,Equipar!C$2:C106=C107))),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07" s="14" cm="1">
        <f t="array" ref="G107">_xlfn.LET(
    _xlpm.jugador, A107,
    _xlpm.idSel, AC107,
    _xlpm.invIDs, IF(B107=1,Inventario1!A:A,IF(B107=2,Inventario2!A:A,IF(B107=3,Inventario3!A:A,IF(B107=4,Inventario4!A:A,IF(B107=5,Inventario5!A:A,Inventario6!A:A))))),
    _xlpm.invCalidad, IF(B107=1,Inventario1!B:B,IF(B107=2,Inventario2!B:B,IF(B107=3,Inventario3!B:B,IF(B107=4,Inventario4!B:B,IF(B107=5,Inventario5!B:B,Inventario6!B:B))))),
    _xlpm.invTipos, IF(B107=1,Inventario1!C:C,IF(B107=2,Inventario2!C:C,IF(B107=3,Inventario3!C:C,IF(B107=4,Inventario4!C:C,IF(B107=5,Inventario5!C:C,Inventario6!C:C))))),
    _xlpm.invStats, IF(B107=1,Inventario1!D:H,IF(B107=2,Inventario2!D:H,IF(B107=3,Inventario3!D:H,IF(B107=4,Inventario4!D:H,IF(B107=5,Inventario5!D:H,Inventario6!D:H))))),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IF(ROW(A107)=2,"",IF(_xlfn._xlws.FILTER(Equipar!AC$2:AC106,Equipar!B$2:B106=B107)={0},"",_xlfn._xlws.FILTER(Equipar!AC$2:AC106,Equipar!B$2:B106=B107))),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H107" s="4" cm="1">
        <f t="array" ref="H107">_xlfn.LET(
    _xlpm.jugador, A107,
    _xlpm.idSel, AC107,
    _xlpm.invIDs, IF(B107=1,Inventario1!A:A,IF(B107=2,Inventario2!A:A,IF(B107=3,Inventario3!A:A,IF(B107=4,Inventario4!A:A,IF(B107=5,Inventario5!A:A,Inventario6!A:A))))),
    _xlpm.invCalidad, IF(B107=1,Inventario1!B:B,IF(B107=2,Inventario2!B:B,IF(B107=3,Inventario3!B:B,IF(B107=4,Inventario4!B:B,IF(B107=5,Inventario5!B:B,Inventario6!B:B))))),
    _xlpm.invTipos, IF(B107=1,Inventario1!C:C,IF(B107=2,Inventario2!C:C,IF(B107=3,Inventario3!C:C,IF(B107=4,Inventario4!C:C,IF(B107=5,Inventario5!C:C,Inventario6!C:C))))),
    _xlpm.invStats, IF(B107=1,Inventario1!D:H,IF(B107=2,Inventario2!D:H,IF(B107=3,Inventario3!D:H,IF(B107=4,Inventario4!D:H,IF(B107=5,Inventario5!D:H,Inventario6!D:H))))),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IF(ROW(A107)=2,"",IF(_xlfn._xlws.FILTER(Equipar!AC$2:AC106,Equipar!B$2:B106=B107)={0},"",_xlfn._xlws.FILTER(Equipar!AC$2:AC106,Equipar!B$2:B106=B107))),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I107" s="4" cm="1">
        <f t="array" ref="I107">_xlfn.LET(
    _xlpm.jugador, A107,
    _xlpm.idSel, AC107,
    _xlpm.invIDs, IF(B107=1,Inventario1!A:A,IF(B107=2,Inventario2!A:A,IF(B107=3,Inventario3!A:A,IF(B107=4,Inventario4!A:A,IF(B107=5,Inventario5!A:A,Inventario6!A:A))))),
    _xlpm.invCalidad, IF(B107=1,Inventario1!B:B,IF(B107=2,Inventario2!B:B,IF(B107=3,Inventario3!B:B,IF(B107=4,Inventario4!B:B,IF(B107=5,Inventario5!B:B,Inventario6!B:B))))),
    _xlpm.invTipos, IF(B107=1,Inventario1!C:C,IF(B107=2,Inventario2!C:C,IF(B107=3,Inventario3!C:C,IF(B107=4,Inventario4!C:C,IF(B107=5,Inventario5!C:C,Inventario6!C:C))))),
    _xlpm.invStats, IF(B107=1,Inventario1!D:H,IF(B107=2,Inventario2!D:H,IF(B107=3,Inventario3!D:H,IF(B107=4,Inventario4!D:H,IF(B107=5,Inventario5!D:H,Inventario6!D:H))))),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IF(ROW(A107)=2,"",IF(_xlfn._xlws.FILTER(Equipar!AC$2:AC106,Equipar!B$2:B106=B107)={0},"",_xlfn._xlws.FILTER(Equipar!AC$2:AC106,Equipar!B$2:B106=B107))),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J107" s="4" cm="1">
        <f t="array" aca="1" ref="J107" ca="1">_xlfn.LET(
    _xlpm.jugador, B107,
    _xlpm.idSel, AD107,
    _xlpm.invIDs, IF(C107=1,Inventario1!B:B,IF(C107=2,Inventario2!B:B,IF(C107=3,Inventario3!B:B,IF(C107=4,Inventario4!B:B,IF(C107=5,Inventario5!B:B,Inventario6!B:B))))),
    _xlpm.invCalidad, IF(C107=1,Inventario1!C:C,IF(C107=2,Inventario2!C:C,IF(C107=3,Inventario3!C:C,IF(C107=4,Inventario4!C:C,IF(C107=5,Inventario5!C:C,Inventario6!C:C))))),
    _xlpm.invTipos, IF(C107=1,Inventario1!D:D,IF(C107=2,Inventario2!D:D,IF(C107=3,Inventario3!D:D,IF(C107=4,Inventario4!D:D,IF(C107=5,Inventario5!D:D,Inventario6!D:D))))),
    _xlpm.invStats, IF(C107=1,Inventario1!E:I,IF(C107=2,Inventario2!E:I,IF(C107=3,Inventario3!E:I,IF(C107=4,Inventario4!E:I,IF(C107=5,Inventario5!E:I,Inventario6!E:I))))),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IF(ROW(B107)=2,"",IF(_xlfn._xlws.FILTER(Equipar!AD$2:AD106,Equipar!C$2:C106=C107)={0},"",_xlfn._xlws.FILTER(Equipar!AD$2:AD106,Equipar!C$2:C106=C107))),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07" s="4">
        <f t="shared" si="4"/>
        <v>-9</v>
      </c>
      <c r="L107" s="4">
        <f t="shared" si="5"/>
        <v>-18</v>
      </c>
      <c r="M107" s="4">
        <f t="shared" ca="1" si="5"/>
        <v>63</v>
      </c>
      <c r="N107" s="4">
        <f t="shared" si="6"/>
        <v>-9</v>
      </c>
      <c r="O107" s="4">
        <f t="shared" ca="1" si="6"/>
        <v>72</v>
      </c>
      <c r="P107" s="14" cm="1">
        <f t="array" aca="1" ref="P107" ca="1">_xlfn.LET(
    _xlpm.ptsPrinBase, _xlfn._xlws.FILTER(G:G, A:A=A107),
    _xlpm.ptsSecBase,  _xlfn._xlws.FILTER(H:H, A:A=A107),
    _xlpm.puntosPrin, _xlpm.ptsPrinBase + _xlfn._xlws.FILTER(B:B, A:A=A107)/1000,
    _xlpm.puntosSec,  _xlpm.ptsSecBase  + _xlfn._xlws.FILTER(B:B, A:A=A107)/1000,
    _xlpm.puntosPrinValidos, SUM(--(_xlpm.ptsPrinBase&gt;0)),
    _xlpm.puntosSecValidos,  SUM(--(_xlpm.ptsSecBase&gt;0)),
    _xlpm.clave, K107 + B107/1000,
    _xlpm.claves, _xlfn._xlws.FILTER(K:K + B:B/1000, A:A=A107),
    IF(AND(_xlpm.puntosPrinValidos&gt;=4,_xlpm.puntosSecValidos&gt;=2),IF(
        SUM(--(_xlpm.claves &gt; _xlpm.clave)) &lt; 4,
        C107,
        D107
    ),"No disp")
)</f>
        <v>15</v>
      </c>
      <c r="Q107" s="14" cm="1">
        <f t="array" aca="1" ref="Q107" ca="1">_xlfn.LET(
    _xlpm.puntosPrin, _xlfn._xlws.FILTER(G:G + B:B/1000, A:A=A107),
    _xlpm.puntosPrinValidos, SUM(--(_xlpm.puntosPrin&gt;1)),
    _xlpm.puntosTer, _xlfn._xlws.FILTER(I:I + B:B/1000, A:A=A107),
    _xlpm.puntosTerValidos, SUM(--(_xlpm.puntosTer&gt;1)),
    _xlpm.clave, L107 + B107/1000,
    _xlpm.claves, _xlfn._xlws.FILTER(L:L + B:B/1000, A:A=A107),
    IF(AND(_xlpm.puntosPrinValidos&gt;=4,_xlpm.puntosTerValidos&gt;=2),IF(
        SUM(--(_xlpm.claves &gt; _xlpm.clave)) &lt; 4,
        C107,
        E107
    ),"No disp")
)</f>
        <v>9</v>
      </c>
      <c r="R107" s="14" t="str" cm="1">
        <f t="array" aca="1" ref="R107" ca="1">_xlfn.LET(
    _xlpm.puntosPrin, _xlfn._xlws.FILTER(G:G + B:B/1000, A:A=A107),
    _xlpm.puntosPrinValidos, SUM(--(_xlpm.puntosPrin&gt;1)),
    _xlpm.puntosTer, _xlfn._xlws.FILTER(J:J + B:B/1000, A:A=A107),
    _xlpm.puntosTerValidos, SUM(--(_xlpm.puntosTer&gt;1)),
    _xlpm.clave, M107 + B107/1000,
    _xlpm.claves, _xlfn._xlws.FILTER(M:M + B:B/1000, A:A=A107),
    IF(AND(_xlpm.puntosPrinValidos&gt;=4,_xlpm.puntosTerValidos&gt;=2),IF(
        SUM(--(_xlpm.claves &gt; _xlpm.clave)) &lt; 4,
        C107,
        F107
    ),"No disp")
)</f>
        <v>No disp</v>
      </c>
      <c r="S107" s="14" cm="1">
        <f t="array" aca="1" ref="S107" ca="1">_xlfn.LET(
    _xlpm.ptsPrinBase, _xlfn._xlws.FILTER(G:G, A:A=A107),
    _xlpm.ptsSecBase,  _xlfn._xlws.FILTER(H:H, A:A=A107),
    _xlpm.puntosPrin, _xlpm.ptsPrinBase + _xlfn._xlws.FILTER(B:B, A:A=A107)/1000,
    _xlpm.puntosSec,  _xlpm.ptsSecBase  + _xlfn._xlws.FILTER(B:B, A:A=A107)/1000,
    _xlpm.puntosPrinValidos, SUM(--(_xlpm.ptsPrinBase&gt;0)),
    _xlpm.puntosSecValidos,  SUM(--(_xlpm.ptsSecBase&gt;0)),
    _xlpm.clave, K107 + B107/1000,
    _xlpm.claves, _xlfn._xlws.FILTER(K:K + B:B/1000, A:A=A107),
    IF(
        AND(_xlpm.puntosPrinValidos&gt;=2, _xlpm.puntosSecValidos&gt;=4),
        IF(
            SUM(--(_xlpm.claves &lt; _xlpm.clave)) &lt; 4,
            D107,
            C107
        ),
        "No disp"
    )
)</f>
        <v>15</v>
      </c>
      <c r="T107" s="14" cm="1">
        <f t="array" aca="1" ref="T107" ca="1">_xlfn.LET(
    _xlpm.puntosSec, _xlfn._xlws.FILTER(H:H + B:B/1000, A:A=A107),
    _xlpm.puntosSecValidos, SUM(--(_xlpm.puntosSec&gt;1)),
    _xlpm.puntosAlt, _xlfn._xlws.FILTER(I:I + B:B/1000, A:A=A107),
    _xlpm.puntosAltValidos, SUM(--(_xlpm.puntosAlt&gt;1)),
    _xlpm.clave, N107 + B107/1000,
    _xlpm.claves, _xlfn._xlws.FILTER(N:N + B:B/1000, A:A=A107),
    IF(AND(_xlpm.puntosSecValidos&gt;=4,_xlpm.puntosAltValidos&gt;=2),IF(
        SUM(--(_xlpm.claves &gt; _xlpm.clave)) &lt; 4,
        D107,
        E107
    ),"No disp")
)</f>
        <v>9</v>
      </c>
      <c r="U107" s="14" t="str" cm="1">
        <f t="array" aca="1" ref="U107" ca="1">_xlfn.LET(
    _xlpm.puntosSec, _xlfn._xlws.FILTER(H:H + B:B/1000, A:A=A107),
    _xlpm.puntosSecValidos, SUM(--(_xlpm.puntosSec&gt;1)),
    _xlpm.puntosAlt, _xlfn._xlws.FILTER(J:J + B:B/1000, A:A=A107),
    _xlpm.puntosAltValidos, SUM(--(_xlpm.puntosAlt&gt;1)),
    _xlpm.clave, O107 + B107/1000,
    _xlpm.claves, _xlfn._xlws.FILTER(O:O + B:B/1000, A:A=A107),
    IF(AND(_xlpm.puntosSecValidos&gt;=4,_xlpm.puntosAltValidos&gt;=2),IF(
        SUM(--(_xlpm.claves &gt; _xlpm.clave)) &lt; 4,
        D107,
        F107
    ),"No disp")
)</f>
        <v>No disp</v>
      </c>
      <c r="V107" s="4" cm="1">
        <f t="array" aca="1" ref="V107" ca="1">_xlfn.LET(
_xlpm.PrinIDs,_xlfn._xlws.FILTER(C:C,(A:A=A107)),
_xlpm.SecIDs,_xlfn._xlws.FILTER(D:D,(A:A=A107)),
_xlpm.TerIDs,_xlfn._xlws.FILTER(E:E,A:A=A107),
_xlpm.CuaIDs,_xlfn._xlws.FILTER(F:F,(A:A=A107)),
_xlpm.PrinPts,_xlfn._xlws.FILTER(G:G,(A:A=A107)),
_xlpm.SecPts,_xlfn._xlws.FILTER(H:H,(A:A=A107)),
_xlpm.TerPts,_xlfn._xlws.FILTER(I:I,(A:A=A107)),
_xlpm.CuaPts,_xlfn._xlws.FILTER(J:J,(A:A=A107)),
_xlpm.PSIds,_xlfn._xlws.FILTER(P:P,A:A=A107),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522</v>
      </c>
      <c r="W107" s="4" cm="1">
        <f t="array" aca="1" ref="W107" ca="1">_xlfn.LET(
_xlpm.PrinIDs,_xlfn._xlws.FILTER(C:C,(A:A=A107)),
_xlpm.SecIDs,_xlfn._xlws.FILTER(D:D,(A:A=A107)),
_xlpm.TerIDs,_xlfn._xlws.FILTER(E:E,A:A=A107),
_xlpm.CuaIDs,_xlfn._xlws.FILTER(F:F,(A:A=A107)),
_xlpm.PrinPts,_xlfn._xlws.FILTER(G:G,(A:A=A107)),
_xlpm.SecPts,_xlfn._xlws.FILTER(H:H,(A:A=A107)),
_xlpm.TerPts,_xlfn._xlws.FILTER(I:I,(A:A=A107)),
_xlpm.CuaPts,_xlfn._xlws.FILTER(J:J,(A:A=A107)),
_xlpm.PTIds,_xlfn._xlws.FILTER(Q:Q,A:A=A107),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527.76</v>
      </c>
      <c r="X107" s="4" cm="1">
        <f t="array" aca="1" ref="X107" ca="1">_xlfn.LET(
_xlpm.PrinIDs,_xlfn._xlws.FILTER(C:C,(A:A=A107)),
_xlpm.SecIDs,_xlfn._xlws.FILTER(D:D,(A:A=A107)),
_xlpm.TerIDs,_xlfn._xlws.FILTER(E:E,A:A=A107),
_xlpm.CuaIDs,_xlfn._xlws.FILTER(F:F,(A:A=A107)),
_xlpm.PrinPts,_xlfn._xlws.FILTER(G:G,(A:A=A107)),
_xlpm.SecPts,_xlfn._xlws.FILTER(H:H,(A:A=A107)),
_xlpm.TerPts,_xlfn._xlws.FILTER(I:I,(A:A=A107)),
_xlpm.CuaPts,_xlfn._xlws.FILTER(J:J,(A:A=A107)),
_xlpm.PCIds,_xlfn._xlws.FILTER(R:R,A:A=A107),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07" s="4" cm="1">
        <f t="array" aca="1" ref="Y107" ca="1">_xlfn.LET(
_xlpm.PrinIDs,_xlfn._xlws.FILTER(C:C,(A:A=A107)),
_xlpm.SecIDs,_xlfn._xlws.FILTER(D:D,(A:A=A107)),
_xlpm.AltIDs,_xlfn._xlws.FILTER(E:E,A:A=A107),
_xlpm.PrinPts,_xlfn._xlws.FILTER(G:G,(A:A=A107)),
_xlpm.SecPts,_xlfn._xlws.FILTER(H:H,(A:A=A107)),
_xlpm.AltPts,_xlfn._xlws.FILTER(I:I,(A:A=A107)),
_xlpm.SPIds,_xlfn._xlws.FILTER(S:S,A:A=A107),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513</v>
      </c>
      <c r="Z107" s="4" cm="1">
        <f t="array" aca="1" ref="Z107" ca="1">_xlfn.LET(
_xlpm.PrinIDs,_xlfn._xlws.FILTER(C:C,(A:A=A107)),
_xlpm.SecIDs,_xlfn._xlws.FILTER(D:D,(A:A=A107)),
_xlpm.TerIDs,_xlfn._xlws.FILTER(E:E,A:A=A107),
_xlpm.CuaIDs,_xlfn._xlws.FILTER(F:F,(A:A=A107)),
_xlpm.PrinPts,_xlfn._xlws.FILTER(G:G,(A:A=A107)),
_xlpm.SecPts,_xlfn._xlws.FILTER(H:H,(A:A=A107)),
_xlpm.TerPts,_xlfn._xlws.FILTER(I:I,(A:A=A107)),
_xlpm.CuaPts,_xlfn._xlws.FILTER(J:J,(A:A=A107)),
_xlpm.STIds,_xlfn._xlws.FILTER(T:T,A:A=A107),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518.76</v>
      </c>
      <c r="AA107" s="4" cm="1">
        <f t="array" aca="1" ref="AA107" ca="1">_xlfn.LET(
_xlpm.PrinIDs,_xlfn._xlws.FILTER(C:C,(A:A=A107)),
_xlpm.SecIDs,_xlfn._xlws.FILTER(D:D,(A:A=A107)),
_xlpm.TerIDs,_xlfn._xlws.FILTER(E:E,A:A=A107),
_xlpm.CuaIDs,_xlfn._xlws.FILTER(F:F,(A:A=A107)),
_xlpm.PrinPts,_xlfn._xlws.FILTER(G:G,(A:A=A107)),
_xlpm.SecPts,_xlfn._xlws.FILTER(H:H,(A:A=A107)),
_xlpm.TerPts,_xlfn._xlws.FILTER(I:I,(A:A=A107)),
_xlpm.CuaPts,_xlfn._xlws.FILTER(J:J,(A:A=A107)),
_xlpm.SCIds,_xlfn._xlws.FILTER(U:U,A:A=A107),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07" s="14">
        <f t="shared" ca="1" si="7"/>
        <v>9</v>
      </c>
      <c r="AC107" s="14">
        <v>9</v>
      </c>
      <c r="AD107" s="4"/>
      <c r="AE107" s="14" t="str">
        <f ca="1">IF(ISNUMBER(AC107),
IF($B107=1,VLOOKUP($AC107,Inventario1!$A:$H,2),
IF($B107=2,VLOOKUP($AC107,Inventario2!$A:$H,2),
IF($B107=3,VLOOKUP($AC107,Inventario3!$A:$H,2),
IF($B107=4,VLOOKUP($AC107,Inventario4!$A:$H,2),
IF($B107=5,VLOOKUP($AC107,Inventario5!$A:$H,2),
VLOOKUP($AC107,Inventario6!$A:$H,2)
))))),"No equipado")</f>
        <v>Épico</v>
      </c>
      <c r="AF107" s="14" t="str">
        <f ca="1">IF(ISNUMBER(AC107),
IF($B107=1,VLOOKUP($AC107,Inventario1!$A:$H,3),
IF($B107=2,VLOOKUP($AC107,Inventario2!$A:$H,3),
IF($B107=3,VLOOKUP($AC107,Inventario3!$A:$H,3),
IF($B107=4,VLOOKUP($AC107,Inventario4!$A:$H,3),
IF($B107=5,VLOOKUP($AC107,Inventario5!$A:$H,3),
VLOOKUP($AC107,Inventario6!$A:$H,3)
))))),"")</f>
        <v>Poder vibrante</v>
      </c>
      <c r="AG107" s="14" t="str">
        <f ca="1">IF(ISNUMBER(AC107),
IF($B107=1,VLOOKUP($AC107,Inventario1!$A:$H,4),
IF($B107=2,VLOOKUP($AC107,Inventario2!$A:$H,4),
IF($B107=3,VLOOKUP($AC107,Inventario3!$A:$H,4),
IF($B107=4,VLOOKUP($AC107,Inventario4!$A:$H,4),
IF($B107=5,VLOOKUP($AC107,Inventario5!$A:$H,4),
VLOOKUP($AC107,Inventario6!$A:$H,4)
))))),"")</f>
        <v>Recuperación</v>
      </c>
      <c r="AH107" s="14" t="str">
        <f ca="1">IF(ISNUMBER(AC107),
IF($B107=1,VLOOKUP($AC107,Inventario1!$A:$H,5),
IF($B107=2,VLOOKUP($AC107,Inventario2!$A:$H,5),
IF($B107=3,VLOOKUP($AC107,Inventario3!$A:$H,5),
IF($B107=4,VLOOKUP($AC107,Inventario4!$A:$H,5),
IF($B107=5,VLOOKUP($AC107,Inventario5!$A:$H,5),
VLOOKUP($AC107,Inventario6!$A:$H,5)
))))),"")</f>
        <v>Ataque poderoso</v>
      </c>
      <c r="AI107" s="14" t="str">
        <f ca="1">IF(ISNUMBER(AC107),
IF($B107=1,VLOOKUP($AC107,Inventario1!$A:$H,6),
IF($B107=2,VLOOKUP($AC107,Inventario2!$A:$H,6),
IF($B107=3,VLOOKUP($AC107,Inventario3!$A:$H,6),
IF($B107=4,VLOOKUP($AC107,Inventario4!$A:$H,6),
IF($B107=5,VLOOKUP($AC107,Inventario5!$A:$H,6),
VLOOKUP($AC107,Inventario6!$A:$H,6)
))))),"")</f>
        <v>Saque</v>
      </c>
      <c r="AJ107" s="14" t="str">
        <f ca="1">IF(ISNUMBER(AC107),
IF($B107=1,VLOOKUP($AC107,Inventario1!$A:$H,7),
IF($B107=2,VLOOKUP($AC107,Inventario2!$A:$H,7),
IF($B107=3,VLOOKUP($AC107,Inventario3!$A:$H,7),
IF($B107=4,VLOOKUP($AC107,Inventario4!$A:$H,7),
IF($B107=5,VLOOKUP($AC107,Inventario5!$A:$H,7),
VLOOKUP($AC107,Inventario6!$A:$H,7)
))))),"")</f>
        <v>Técnica ofensiva</v>
      </c>
      <c r="AK107" s="15" t="str">
        <f ca="1">IF(ISNUMBER(AC107),
IF($B107=1,VLOOKUP($AC107,Inventario1!$A:$H,8),
IF($B107=2,VLOOKUP($AC107,Inventario2!$A:$H,8),
IF($B107=3,VLOOKUP($AC107,Inventario3!$A:$H,8),
IF($B107=4,VLOOKUP($AC107,Inventario4!$A:$H,8),
IF($B107=5,VLOOKUP($AC107,Inventario5!$A:$H,8),
VLOOKUP($AC107,Inventario6!$A:$H,8)
))))),"")</f>
        <v>Recuperación</v>
      </c>
    </row>
    <row r="108" spans="1:37" x14ac:dyDescent="0.25">
      <c r="A108" s="21" t="s">
        <v>28</v>
      </c>
      <c r="B108" s="3">
        <v>5</v>
      </c>
      <c r="C108" s="14" cm="1">
        <f t="array" aca="1" ref="C108" ca="1">_xlfn.LET(
    _xlpm.jugador, A108,
    _xlpm.idSel, AC108,
    _xlpm.invIDs, IF(B108=1,Inventario1!A:A,IF(B108=2,Inventario2!A:A,IF(B108=3,Inventario3!A:A,IF(B108=4,Inventario4!A:A,IF(B108=5,Inventario5!A:A,Inventario6!A:A))))),
    _xlpm.invCalidad, IF(B108=1,Inventario1!B:B,IF(B108=2,Inventario2!B:B,IF(B108=3,Inventario3!B:B,IF(B108=4,Inventario4!B:B,IF(B108=5,Inventario5!B:B,Inventario6!B:B))))),
    _xlpm.invTipos, IF(B108=1,Inventario1!C:C,IF(B108=2,Inventario2!C:C,IF(B108=3,Inventario3!C:C,IF(B108=4,Inventario4!C:C,IF(B108=5,Inventario5!C:C,Inventario6!C:C))))),
    _xlpm.invStats, IF(B108=1,Inventario1!D:H,IF(B108=2,Inventario2!D:H,IF(B108=3,Inventario3!D:H,IF(B108=4,Inventario4!D:H,IF(B108=5,Inventario5!D:H,Inventario6!D:H))))),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IF(ROW(A108)=2,"",IF(_xlfn._xlws.FILTER(Equipar!AC$2:AC107,Equipar!B$2:B107=B108)={0},"",_xlfn._xlws.FILTER(Equipar!AC$2:AC107,Equipar!B$2:B107=B108))),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292</v>
      </c>
      <c r="D108" s="4" cm="1">
        <f t="array" aca="1" ref="D108" ca="1">_xlfn.LET(
    _xlpm.jugador, A108,
    _xlpm.idSel, AC108,
    _xlpm.invIDs, IF(B108=1,Inventario1!A:A,IF(B108=2,Inventario2!A:A,IF(B108=3,Inventario3!A:A,IF(B108=4,Inventario4!A:A,IF(B108=5,Inventario5!A:A,Inventario6!A:A))))),
    _xlpm.invCalidad, IF(B108=1,Inventario1!B:B,IF(B108=2,Inventario2!B:B,IF(B108=3,Inventario3!B:B,IF(B108=4,Inventario4!B:B,IF(B108=5,Inventario5!B:B,Inventario6!B:B))))),
    _xlpm.invTipos, IF(B108=1,Inventario1!C:C,IF(B108=2,Inventario2!C:C,IF(B108=3,Inventario3!C:C,IF(B108=4,Inventario4!C:C,IF(B108=5,Inventario5!C:C,Inventario6!C:C))))),
    _xlpm.invStats, IF(B108=1,Inventario1!D:H,IF(B108=2,Inventario2!D:H,IF(B108=3,Inventario3!D:H,IF(B108=4,Inventario4!D:H,IF(B108=5,Inventario5!D:H,Inventario6!D:H))))),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IF(ROW(A108)=2,"",IF(_xlfn._xlws.FILTER(Equipar!AC$2:AC107,Equipar!B$2:B107=B108)={0},"",_xlfn._xlws.FILTER(Equipar!AC$2:AC107,Equipar!B$2:B107=B108))),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63</v>
      </c>
      <c r="E108" s="4" cm="1">
        <f t="array" aca="1" ref="E108" ca="1">_xlfn.LET(
    _xlpm.jugador, A108,
    _xlpm.idSel, AC108,
    _xlpm.invIDs, IF(B108=1,Inventario1!A:A,IF(B108=2,Inventario2!A:A,IF(B108=3,Inventario3!A:A,IF(B108=4,Inventario4!A:A,IF(B108=5,Inventario5!A:A,Inventario6!A:A))))),
    _xlpm.invCalidad, IF(B108=1,Inventario1!B:B,IF(B108=2,Inventario2!B:B,IF(B108=3,Inventario3!B:B,IF(B108=4,Inventario4!B:B,IF(B108=5,Inventario5!B:B,Inventario6!B:B))))),
    _xlpm.invTipos, IF(B108=1,Inventario1!C:C,IF(B108=2,Inventario2!C:C,IF(B108=3,Inventario3!C:C,IF(B108=4,Inventario4!C:C,IF(B108=5,Inventario5!C:C,Inventario6!C:C))))),
    _xlpm.invStats, IF(B108=1,Inventario1!D:H,IF(B108=2,Inventario2!D:H,IF(B108=3,Inventario3!D:H,IF(B108=4,Inventario4!D:H,IF(B108=5,Inventario5!D:H,Inventario6!D:H))))),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IF(ROW(A108)=2,"",IF(_xlfn._xlws.FILTER(Equipar!AC$2:AC107,Equipar!B$2:B107=B108)={0},"",_xlfn._xlws.FILTER(Equipar!AC$2:AC107,Equipar!B$2:B107=B108))),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</v>
      </c>
      <c r="F108" s="4" t="str" cm="1">
        <f t="array" aca="1" ref="F108" ca="1">_xlfn.LET(
    _xlpm.jugador, B108,
    _xlpm.idSel, AD108,
    _xlpm.invIDs, IF(C108=1,Inventario1!B:B,IF(C108=2,Inventario2!B:B,IF(C108=3,Inventario3!B:B,IF(C108=4,Inventario4!B:B,IF(C108=5,Inventario5!B:B,Inventario6!B:B))))),
    _xlpm.invCalidad, IF(C108=1,Inventario1!C:C,IF(C108=2,Inventario2!C:C,IF(C108=3,Inventario3!C:C,IF(C108=4,Inventario4!C:C,IF(C108=5,Inventario5!C:C,Inventario6!C:C))))),
    _xlpm.invTipos, IF(C108=1,Inventario1!D:D,IF(C108=2,Inventario2!D:D,IF(C108=3,Inventario3!D:D,IF(C108=4,Inventario4!D:D,IF(C108=5,Inventario5!D:D,Inventario6!D:D))))),
    _xlpm.invStats, IF(C108=1,Inventario1!E:I,IF(C108=2,Inventario2!E:I,IF(C108=3,Inventario3!E:I,IF(C108=4,Inventario4!E:I,IF(C108=5,Inventario5!E:I,Inventario6!E:I))))),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IF(ROW(B108)=2,"",IF(_xlfn._xlws.FILTER(Equipar!AD$2:AD107,Equipar!C$2:C107=C108)={0},"",_xlfn._xlws.FILTER(Equipar!AD$2:AD107,Equipar!C$2:C107=C108))),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08" s="14" cm="1">
        <f t="array" aca="1" ref="G108" ca="1">_xlfn.LET(
    _xlpm.jugador, A108,
    _xlpm.idSel, AC108,
    _xlpm.invIDs, IF(B108=1,Inventario1!A:A,IF(B108=2,Inventario2!A:A,IF(B108=3,Inventario3!A:A,IF(B108=4,Inventario4!A:A,IF(B108=5,Inventario5!A:A,Inventario6!A:A))))),
    _xlpm.invCalidad, IF(B108=1,Inventario1!B:B,IF(B108=2,Inventario2!B:B,IF(B108=3,Inventario3!B:B,IF(B108=4,Inventario4!B:B,IF(B108=5,Inventario5!B:B,Inventario6!B:B))))),
    _xlpm.invTipos, IF(B108=1,Inventario1!C:C,IF(B108=2,Inventario2!C:C,IF(B108=3,Inventario3!C:C,IF(B108=4,Inventario4!C:C,IF(B108=5,Inventario5!C:C,Inventario6!C:C))))),
    _xlpm.invStats, IF(B108=1,Inventario1!D:H,IF(B108=2,Inventario2!D:H,IF(B108=3,Inventario3!D:H,IF(B108=4,Inventario4!D:H,IF(B108=5,Inventario5!D:H,Inventario6!D:H))))),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IF(ROW(A108)=2,"",IF(_xlfn._xlws.FILTER(Equipar!AC$2:AC107,Equipar!B$2:B107=B108)={0},"",_xlfn._xlws.FILTER(Equipar!AC$2:AC107,Equipar!B$2:B107=B108))),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H108" s="4" cm="1">
        <f t="array" aca="1" ref="H108" ca="1">_xlfn.LET(
    _xlpm.jugador, A108,
    _xlpm.idSel, AC108,
    _xlpm.invIDs, IF(B108=1,Inventario1!A:A,IF(B108=2,Inventario2!A:A,IF(B108=3,Inventario3!A:A,IF(B108=4,Inventario4!A:A,IF(B108=5,Inventario5!A:A,Inventario6!A:A))))),
    _xlpm.invCalidad, IF(B108=1,Inventario1!B:B,IF(B108=2,Inventario2!B:B,IF(B108=3,Inventario3!B:B,IF(B108=4,Inventario4!B:B,IF(B108=5,Inventario5!B:B,Inventario6!B:B))))),
    _xlpm.invTipos, IF(B108=1,Inventario1!C:C,IF(B108=2,Inventario2!C:C,IF(B108=3,Inventario3!C:C,IF(B108=4,Inventario4!C:C,IF(B108=5,Inventario5!C:C,Inventario6!C:C))))),
    _xlpm.invStats, IF(B108=1,Inventario1!D:H,IF(B108=2,Inventario2!D:H,IF(B108=3,Inventario3!D:H,IF(B108=4,Inventario4!D:H,IF(B108=5,Inventario5!D:H,Inventario6!D:H))))),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IF(ROW(A108)=2,"",IF(_xlfn._xlws.FILTER(Equipar!AC$2:AC107,Equipar!B$2:B107=B108)={0},"",_xlfn._xlws.FILTER(Equipar!AC$2:AC107,Equipar!B$2:B107=B108))),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I108" s="4" cm="1">
        <f t="array" aca="1" ref="I108" ca="1">_xlfn.LET(
    _xlpm.jugador, A108,
    _xlpm.idSel, AC108,
    _xlpm.invIDs, IF(B108=1,Inventario1!A:A,IF(B108=2,Inventario2!A:A,IF(B108=3,Inventario3!A:A,IF(B108=4,Inventario4!A:A,IF(B108=5,Inventario5!A:A,Inventario6!A:A))))),
    _xlpm.invCalidad, IF(B108=1,Inventario1!B:B,IF(B108=2,Inventario2!B:B,IF(B108=3,Inventario3!B:B,IF(B108=4,Inventario4!B:B,IF(B108=5,Inventario5!B:B,Inventario6!B:B))))),
    _xlpm.invTipos, IF(B108=1,Inventario1!C:C,IF(B108=2,Inventario2!C:C,IF(B108=3,Inventario3!C:C,IF(B108=4,Inventario4!C:C,IF(B108=5,Inventario5!C:C,Inventario6!C:C))))),
    _xlpm.invStats, IF(B108=1,Inventario1!D:H,IF(B108=2,Inventario2!D:H,IF(B108=3,Inventario3!D:H,IF(B108=4,Inventario4!D:H,IF(B108=5,Inventario5!D:H,Inventario6!D:H))))),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IF(ROW(A108)=2,"",IF(_xlfn._xlws.FILTER(Equipar!AC$2:AC107,Equipar!B$2:B107=B108)={0},"",_xlfn._xlws.FILTER(Equipar!AC$2:AC107,Equipar!B$2:B107=B108))),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47.88</v>
      </c>
      <c r="J108" s="4" cm="1">
        <f t="array" aca="1" ref="J108" ca="1">_xlfn.LET(
    _xlpm.jugador, B108,
    _xlpm.idSel, AD108,
    _xlpm.invIDs, IF(C108=1,Inventario1!B:B,IF(C108=2,Inventario2!B:B,IF(C108=3,Inventario3!B:B,IF(C108=4,Inventario4!B:B,IF(C108=5,Inventario5!B:B,Inventario6!B:B))))),
    _xlpm.invCalidad, IF(C108=1,Inventario1!C:C,IF(C108=2,Inventario2!C:C,IF(C108=3,Inventario3!C:C,IF(C108=4,Inventario4!C:C,IF(C108=5,Inventario5!C:C,Inventario6!C:C))))),
    _xlpm.invTipos, IF(C108=1,Inventario1!D:D,IF(C108=2,Inventario2!D:D,IF(C108=3,Inventario3!D:D,IF(C108=4,Inventario4!D:D,IF(C108=5,Inventario5!D:D,Inventario6!D:D))))),
    _xlpm.invStats, IF(C108=1,Inventario1!E:I,IF(C108=2,Inventario2!E:I,IF(C108=3,Inventario3!E:I,IF(C108=4,Inventario4!E:I,IF(C108=5,Inventario5!E:I,Inventario6!E:I))))),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IF(ROW(B108)=2,"",IF(_xlfn._xlws.FILTER(Equipar!AD$2:AD107,Equipar!C$2:C107=C108)={0},"",_xlfn._xlws.FILTER(Equipar!AD$2:AD107,Equipar!C$2:C107=C108))),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08" s="4">
        <f t="shared" ca="1" si="4"/>
        <v>9</v>
      </c>
      <c r="L108" s="4">
        <f t="shared" ca="1" si="5"/>
        <v>24.119999999999997</v>
      </c>
      <c r="M108" s="4">
        <f t="shared" ca="1" si="5"/>
        <v>63</v>
      </c>
      <c r="N108" s="4">
        <f t="shared" ca="1" si="6"/>
        <v>15.119999999999997</v>
      </c>
      <c r="O108" s="4">
        <f t="shared" ca="1" si="6"/>
        <v>47.88</v>
      </c>
      <c r="P108" s="14" cm="1">
        <f t="array" aca="1" ref="P108" ca="1">_xlfn.LET(
    _xlpm.ptsPrinBase, _xlfn._xlws.FILTER(G:G, A:A=A108),
    _xlpm.ptsSecBase,  _xlfn._xlws.FILTER(H:H, A:A=A108),
    _xlpm.puntosPrin, _xlpm.ptsPrinBase + _xlfn._xlws.FILTER(B:B, A:A=A108)/1000,
    _xlpm.puntosSec,  _xlpm.ptsSecBase  + _xlfn._xlws.FILTER(B:B, A:A=A108)/1000,
    _xlpm.puntosPrinValidos, SUM(--(_xlpm.ptsPrinBase&gt;0)),
    _xlpm.puntosSecValidos,  SUM(--(_xlpm.ptsSecBase&gt;0)),
    _xlpm.clave, K108 + B108/1000,
    _xlpm.claves, _xlfn._xlws.FILTER(K:K + B:B/1000, A:A=A108),
    IF(AND(_xlpm.puntosPrinValidos&gt;=4,_xlpm.puntosSecValidos&gt;=2),IF(
        SUM(--(_xlpm.claves &gt; _xlpm.clave)) &lt; 4,
        C108,
        D108
    ),"No disp")
)</f>
        <v>292</v>
      </c>
      <c r="Q108" s="14" cm="1">
        <f t="array" aca="1" ref="Q108" ca="1">_xlfn.LET(
    _xlpm.puntosPrin, _xlfn._xlws.FILTER(G:G + B:B/1000, A:A=A108),
    _xlpm.puntosPrinValidos, SUM(--(_xlpm.puntosPrin&gt;1)),
    _xlpm.puntosTer, _xlfn._xlws.FILTER(I:I + B:B/1000, A:A=A108),
    _xlpm.puntosTerValidos, SUM(--(_xlpm.puntosTer&gt;1)),
    _xlpm.clave, L108 + B108/1000,
    _xlpm.claves, _xlfn._xlws.FILTER(L:L + B:B/1000, A:A=A108),
    IF(AND(_xlpm.puntosPrinValidos&gt;=4,_xlpm.puntosTerValidos&gt;=2),IF(
        SUM(--(_xlpm.claves &gt; _xlpm.clave)) &lt; 4,
        C108,
        E108
    ),"No disp")
)</f>
        <v>292</v>
      </c>
      <c r="R108" s="14" t="str" cm="1">
        <f t="array" aca="1" ref="R108" ca="1">_xlfn.LET(
    _xlpm.puntosPrin, _xlfn._xlws.FILTER(G:G + B:B/1000, A:A=A108),
    _xlpm.puntosPrinValidos, SUM(--(_xlpm.puntosPrin&gt;1)),
    _xlpm.puntosTer, _xlfn._xlws.FILTER(J:J + B:B/1000, A:A=A108),
    _xlpm.puntosTerValidos, SUM(--(_xlpm.puntosTer&gt;1)),
    _xlpm.clave, M108 + B108/1000,
    _xlpm.claves, _xlfn._xlws.FILTER(M:M + B:B/1000, A:A=A108),
    IF(AND(_xlpm.puntosPrinValidos&gt;=4,_xlpm.puntosTerValidos&gt;=2),IF(
        SUM(--(_xlpm.claves &gt; _xlpm.clave)) &lt; 4,
        C108,
        F108
    ),"No disp")
)</f>
        <v>No disp</v>
      </c>
      <c r="S108" s="14" cm="1">
        <f t="array" aca="1" ref="S108" ca="1">_xlfn.LET(
    _xlpm.ptsPrinBase, _xlfn._xlws.FILTER(G:G, A:A=A108),
    _xlpm.ptsSecBase,  _xlfn._xlws.FILTER(H:H, A:A=A108),
    _xlpm.puntosPrin, _xlpm.ptsPrinBase + _xlfn._xlws.FILTER(B:B, A:A=A108)/1000,
    _xlpm.puntosSec,  _xlpm.ptsSecBase  + _xlfn._xlws.FILTER(B:B, A:A=A108)/1000,
    _xlpm.puntosPrinValidos, SUM(--(_xlpm.ptsPrinBase&gt;0)),
    _xlpm.puntosSecValidos,  SUM(--(_xlpm.ptsSecBase&gt;0)),
    _xlpm.clave, K108 + B108/1000,
    _xlpm.claves, _xlfn._xlws.FILTER(K:K + B:B/1000, A:A=A108),
    IF(
        AND(_xlpm.puntosPrinValidos&gt;=2, _xlpm.puntosSecValidos&gt;=4),
        IF(
            SUM(--(_xlpm.claves &lt; _xlpm.clave)) &lt; 4,
            D108,
            C108
        ),
        "No disp"
    )
)</f>
        <v>292</v>
      </c>
      <c r="T108" s="14" cm="1">
        <f t="array" aca="1" ref="T108" ca="1">_xlfn.LET(
    _xlpm.puntosSec, _xlfn._xlws.FILTER(H:H + B:B/1000, A:A=A108),
    _xlpm.puntosSecValidos, SUM(--(_xlpm.puntosSec&gt;1)),
    _xlpm.puntosAlt, _xlfn._xlws.FILTER(I:I + B:B/1000, A:A=A108),
    _xlpm.puntosAltValidos, SUM(--(_xlpm.puntosAlt&gt;1)),
    _xlpm.clave, N108 + B108/1000,
    _xlpm.claves, _xlfn._xlws.FILTER(N:N + B:B/1000, A:A=A108),
    IF(AND(_xlpm.puntosSecValidos&gt;=4,_xlpm.puntosAltValidos&gt;=2),IF(
        SUM(--(_xlpm.claves &gt; _xlpm.clave)) &lt; 4,
        D108,
        E108
    ),"No disp")
)</f>
        <v>63</v>
      </c>
      <c r="U108" s="14" t="str" cm="1">
        <f t="array" aca="1" ref="U108" ca="1">_xlfn.LET(
    _xlpm.puntosSec, _xlfn._xlws.FILTER(H:H + B:B/1000, A:A=A108),
    _xlpm.puntosSecValidos, SUM(--(_xlpm.puntosSec&gt;1)),
    _xlpm.puntosAlt, _xlfn._xlws.FILTER(J:J + B:B/1000, A:A=A108),
    _xlpm.puntosAltValidos, SUM(--(_xlpm.puntosAlt&gt;1)),
    _xlpm.clave, O108 + B108/1000,
    _xlpm.claves, _xlfn._xlws.FILTER(O:O + B:B/1000, A:A=A108),
    IF(AND(_xlpm.puntosSecValidos&gt;=4,_xlpm.puntosAltValidos&gt;=2),IF(
        SUM(--(_xlpm.claves &gt; _xlpm.clave)) &lt; 4,
        D108,
        F108
    ),"No disp")
)</f>
        <v>No disp</v>
      </c>
      <c r="V108" s="4" cm="1">
        <f t="array" aca="1" ref="V108" ca="1">_xlfn.LET(
_xlpm.PrinIDs,_xlfn._xlws.FILTER(C:C,(A:A=A108)),
_xlpm.SecIDs,_xlfn._xlws.FILTER(D:D,(A:A=A108)),
_xlpm.TerIDs,_xlfn._xlws.FILTER(E:E,A:A=A108),
_xlpm.CuaIDs,_xlfn._xlws.FILTER(F:F,(A:A=A108)),
_xlpm.PrinPts,_xlfn._xlws.FILTER(G:G,(A:A=A108)),
_xlpm.SecPts,_xlfn._xlws.FILTER(H:H,(A:A=A108)),
_xlpm.TerPts,_xlfn._xlws.FILTER(I:I,(A:A=A108)),
_xlpm.CuaPts,_xlfn._xlws.FILTER(J:J,(A:A=A108)),
_xlpm.PSIds,_xlfn._xlws.FILTER(P:P,A:A=A108),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522</v>
      </c>
      <c r="W108" s="4" cm="1">
        <f t="array" aca="1" ref="W108" ca="1">_xlfn.LET(
_xlpm.PrinIDs,_xlfn._xlws.FILTER(C:C,(A:A=A108)),
_xlpm.SecIDs,_xlfn._xlws.FILTER(D:D,(A:A=A108)),
_xlpm.TerIDs,_xlfn._xlws.FILTER(E:E,A:A=A108),
_xlpm.CuaIDs,_xlfn._xlws.FILTER(F:F,(A:A=A108)),
_xlpm.PrinPts,_xlfn._xlws.FILTER(G:G,(A:A=A108)),
_xlpm.SecPts,_xlfn._xlws.FILTER(H:H,(A:A=A108)),
_xlpm.TerPts,_xlfn._xlws.FILTER(I:I,(A:A=A108)),
_xlpm.CuaPts,_xlfn._xlws.FILTER(J:J,(A:A=A108)),
_xlpm.PTIds,_xlfn._xlws.FILTER(Q:Q,A:A=A108),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527.76</v>
      </c>
      <c r="X108" s="4" cm="1">
        <f t="array" aca="1" ref="X108" ca="1">_xlfn.LET(
_xlpm.PrinIDs,_xlfn._xlws.FILTER(C:C,(A:A=A108)),
_xlpm.SecIDs,_xlfn._xlws.FILTER(D:D,(A:A=A108)),
_xlpm.TerIDs,_xlfn._xlws.FILTER(E:E,A:A=A108),
_xlpm.CuaIDs,_xlfn._xlws.FILTER(F:F,(A:A=A108)),
_xlpm.PrinPts,_xlfn._xlws.FILTER(G:G,(A:A=A108)),
_xlpm.SecPts,_xlfn._xlws.FILTER(H:H,(A:A=A108)),
_xlpm.TerPts,_xlfn._xlws.FILTER(I:I,(A:A=A108)),
_xlpm.CuaPts,_xlfn._xlws.FILTER(J:J,(A:A=A108)),
_xlpm.PCIds,_xlfn._xlws.FILTER(R:R,A:A=A108),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08" s="4" cm="1">
        <f t="array" aca="1" ref="Y108" ca="1">_xlfn.LET(
_xlpm.PrinIDs,_xlfn._xlws.FILTER(C:C,(A:A=A108)),
_xlpm.SecIDs,_xlfn._xlws.FILTER(D:D,(A:A=A108)),
_xlpm.AltIDs,_xlfn._xlws.FILTER(E:E,A:A=A108),
_xlpm.PrinPts,_xlfn._xlws.FILTER(G:G,(A:A=A108)),
_xlpm.SecPts,_xlfn._xlws.FILTER(H:H,(A:A=A108)),
_xlpm.AltPts,_xlfn._xlws.FILTER(I:I,(A:A=A108)),
_xlpm.SPIds,_xlfn._xlws.FILTER(S:S,A:A=A108),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513</v>
      </c>
      <c r="Z108" s="4" cm="1">
        <f t="array" aca="1" ref="Z108" ca="1">_xlfn.LET(
_xlpm.PrinIDs,_xlfn._xlws.FILTER(C:C,(A:A=A108)),
_xlpm.SecIDs,_xlfn._xlws.FILTER(D:D,(A:A=A108)),
_xlpm.TerIDs,_xlfn._xlws.FILTER(E:E,A:A=A108),
_xlpm.CuaIDs,_xlfn._xlws.FILTER(F:F,(A:A=A108)),
_xlpm.PrinPts,_xlfn._xlws.FILTER(G:G,(A:A=A108)),
_xlpm.SecPts,_xlfn._xlws.FILTER(H:H,(A:A=A108)),
_xlpm.TerPts,_xlfn._xlws.FILTER(I:I,(A:A=A108)),
_xlpm.CuaPts,_xlfn._xlws.FILTER(J:J,(A:A=A108)),
_xlpm.STIds,_xlfn._xlws.FILTER(T:T,A:A=A108),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518.76</v>
      </c>
      <c r="AA108" s="4" cm="1">
        <f t="array" aca="1" ref="AA108" ca="1">_xlfn.LET(
_xlpm.PrinIDs,_xlfn._xlws.FILTER(C:C,(A:A=A108)),
_xlpm.SecIDs,_xlfn._xlws.FILTER(D:D,(A:A=A108)),
_xlpm.TerIDs,_xlfn._xlws.FILTER(E:E,A:A=A108),
_xlpm.CuaIDs,_xlfn._xlws.FILTER(F:F,(A:A=A108)),
_xlpm.PrinPts,_xlfn._xlws.FILTER(G:G,(A:A=A108)),
_xlpm.SecPts,_xlfn._xlws.FILTER(H:H,(A:A=A108)),
_xlpm.TerPts,_xlfn._xlws.FILTER(I:I,(A:A=A108)),
_xlpm.CuaPts,_xlfn._xlws.FILTER(J:J,(A:A=A108)),
_xlpm.SCIds,_xlfn._xlws.FILTER(U:U,A:A=A108),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08" s="14">
        <f t="shared" ca="1" si="7"/>
        <v>292</v>
      </c>
      <c r="AC108" s="14"/>
      <c r="AD108" s="4"/>
      <c r="AE108" s="14" t="str">
        <f>IF(ISNUMBER(AC108),
IF($B108=1,VLOOKUP($AC108,Inventario1!$A:$H,2),
IF($B108=2,VLOOKUP($AC108,Inventario2!$A:$H,2),
IF($B108=3,VLOOKUP($AC108,Inventario3!$A:$H,2),
IF($B108=4,VLOOKUP($AC108,Inventario4!$A:$H,2),
IF($B108=5,VLOOKUP($AC108,Inventario5!$A:$H,2),
VLOOKUP($AC108,Inventario6!$A:$H,2)
))))),"No equipado")</f>
        <v>No equipado</v>
      </c>
      <c r="AF108" s="14" t="str">
        <f>IF(ISNUMBER(AC108),
IF($B108=1,VLOOKUP($AC108,Inventario1!$A:$H,3),
IF($B108=2,VLOOKUP($AC108,Inventario2!$A:$H,3),
IF($B108=3,VLOOKUP($AC108,Inventario3!$A:$H,3),
IF($B108=4,VLOOKUP($AC108,Inventario4!$A:$H,3),
IF($B108=5,VLOOKUP($AC108,Inventario5!$A:$H,3),
VLOOKUP($AC108,Inventario6!$A:$H,3)
))))),"")</f>
        <v/>
      </c>
      <c r="AG108" s="14" t="str">
        <f>IF(ISNUMBER(AC108),
IF($B108=1,VLOOKUP($AC108,Inventario1!$A:$H,4),
IF($B108=2,VLOOKUP($AC108,Inventario2!$A:$H,4),
IF($B108=3,VLOOKUP($AC108,Inventario3!$A:$H,4),
IF($B108=4,VLOOKUP($AC108,Inventario4!$A:$H,4),
IF($B108=5,VLOOKUP($AC108,Inventario5!$A:$H,4),
VLOOKUP($AC108,Inventario6!$A:$H,4)
))))),"")</f>
        <v/>
      </c>
      <c r="AH108" s="14" t="str">
        <f>IF(ISNUMBER(AC108),
IF($B108=1,VLOOKUP($AC108,Inventario1!$A:$H,5),
IF($B108=2,VLOOKUP($AC108,Inventario2!$A:$H,5),
IF($B108=3,VLOOKUP($AC108,Inventario3!$A:$H,5),
IF($B108=4,VLOOKUP($AC108,Inventario4!$A:$H,5),
IF($B108=5,VLOOKUP($AC108,Inventario5!$A:$H,5),
VLOOKUP($AC108,Inventario6!$A:$H,5)
))))),"")</f>
        <v/>
      </c>
      <c r="AI108" s="14" t="str">
        <f>IF(ISNUMBER(AC108),
IF($B108=1,VLOOKUP($AC108,Inventario1!$A:$H,6),
IF($B108=2,VLOOKUP($AC108,Inventario2!$A:$H,6),
IF($B108=3,VLOOKUP($AC108,Inventario3!$A:$H,6),
IF($B108=4,VLOOKUP($AC108,Inventario4!$A:$H,6),
IF($B108=5,VLOOKUP($AC108,Inventario5!$A:$H,6),
VLOOKUP($AC108,Inventario6!$A:$H,6)
))))),"")</f>
        <v/>
      </c>
      <c r="AJ108" s="14" t="str">
        <f>IF(ISNUMBER(AC108),
IF($B108=1,VLOOKUP($AC108,Inventario1!$A:$H,7),
IF($B108=2,VLOOKUP($AC108,Inventario2!$A:$H,7),
IF($B108=3,VLOOKUP($AC108,Inventario3!$A:$H,7),
IF($B108=4,VLOOKUP($AC108,Inventario4!$A:$H,7),
IF($B108=5,VLOOKUP($AC108,Inventario5!$A:$H,7),
VLOOKUP($AC108,Inventario6!$A:$H,7)
))))),"")</f>
        <v/>
      </c>
      <c r="AK108" s="15" t="str">
        <f>IF(ISNUMBER(AC108),
IF($B108=1,VLOOKUP($AC108,Inventario1!$A:$H,8),
IF($B108=2,VLOOKUP($AC108,Inventario2!$A:$H,8),
IF($B108=3,VLOOKUP($AC108,Inventario3!$A:$H,8),
IF($B108=4,VLOOKUP($AC108,Inventario4!$A:$H,8),
IF($B108=5,VLOOKUP($AC108,Inventario5!$A:$H,8),
VLOOKUP($AC108,Inventario6!$A:$H,8)
))))),"")</f>
        <v/>
      </c>
    </row>
    <row r="109" spans="1:37" ht="15.75" thickBot="1" x14ac:dyDescent="0.3">
      <c r="A109" s="22" t="s">
        <v>28</v>
      </c>
      <c r="B109" s="17">
        <v>6</v>
      </c>
      <c r="C109" s="18" cm="1">
        <f t="array" aca="1" ref="C109" ca="1">_xlfn.LET(
    _xlpm.jugador, A109,
    _xlpm.idSel, AC109,
    _xlpm.invIDs, IF(B109=1,Inventario1!A:A,IF(B109=2,Inventario2!A:A,IF(B109=3,Inventario3!A:A,IF(B109=4,Inventario4!A:A,IF(B109=5,Inventario5!A:A,Inventario6!A:A))))),
    _xlpm.invCalidad, IF(B109=1,Inventario1!B:B,IF(B109=2,Inventario2!B:B,IF(B109=3,Inventario3!B:B,IF(B109=4,Inventario4!B:B,IF(B109=5,Inventario5!B:B,Inventario6!B:B))))),
    _xlpm.invTipos, IF(B109=1,Inventario1!C:C,IF(B109=2,Inventario2!C:C,IF(B109=3,Inventario3!C:C,IF(B109=4,Inventario4!C:C,IF(B109=5,Inventario5!C:C,Inventario6!C:C))))),
    _xlpm.invStats, IF(B109=1,Inventario1!D:H,IF(B109=2,Inventario2!D:H,IF(B109=3,Inventario3!D:H,IF(B109=4,Inventario4!D:H,IF(B109=5,Inventario5!D:H,Inventario6!D:H))))),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IF(ROW(A109)=2,"",IF(_xlfn._xlws.FILTER(Equipar!AC$2:AC108,Equipar!B$2:B108=B109)={0},"",_xlfn._xlws.FILTER(Equipar!AC$2:AC108,Equipar!B$2:B108=B109))),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337</v>
      </c>
      <c r="D109" s="17" cm="1">
        <f t="array" aca="1" ref="D109" ca="1">_xlfn.LET(
    _xlpm.jugador, A109,
    _xlpm.idSel, AC109,
    _xlpm.invIDs, IF(B109=1,Inventario1!A:A,IF(B109=2,Inventario2!A:A,IF(B109=3,Inventario3!A:A,IF(B109=4,Inventario4!A:A,IF(B109=5,Inventario5!A:A,Inventario6!A:A))))),
    _xlpm.invCalidad, IF(B109=1,Inventario1!B:B,IF(B109=2,Inventario2!B:B,IF(B109=3,Inventario3!B:B,IF(B109=4,Inventario4!B:B,IF(B109=5,Inventario5!B:B,Inventario6!B:B))))),
    _xlpm.invTipos, IF(B109=1,Inventario1!C:C,IF(B109=2,Inventario2!C:C,IF(B109=3,Inventario3!C:C,IF(B109=4,Inventario4!C:C,IF(B109=5,Inventario5!C:C,Inventario6!C:C))))),
    _xlpm.invStats, IF(B109=1,Inventario1!D:H,IF(B109=2,Inventario2!D:H,IF(B109=3,Inventario3!D:H,IF(B109=4,Inventario4!D:H,IF(B109=5,Inventario5!D:H,Inventario6!D:H))))),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IF(ROW(A109)=2,"",IF(_xlfn._xlws.FILTER(Equipar!AC$2:AC108,Equipar!B$2:B108=B109)={0},"",_xlfn._xlws.FILTER(Equipar!AC$2:AC108,Equipar!B$2:B108=B109))),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159</v>
      </c>
      <c r="E109" s="17" cm="1">
        <f t="array" aca="1" ref="E109" ca="1">_xlfn.LET(
    _xlpm.jugador, A109,
    _xlpm.idSel, AC109,
    _xlpm.invIDs, IF(B109=1,Inventario1!A:A,IF(B109=2,Inventario2!A:A,IF(B109=3,Inventario3!A:A,IF(B109=4,Inventario4!A:A,IF(B109=5,Inventario5!A:A,Inventario6!A:A))))),
    _xlpm.invCalidad, IF(B109=1,Inventario1!B:B,IF(B109=2,Inventario2!B:B,IF(B109=3,Inventario3!B:B,IF(B109=4,Inventario4!B:B,IF(B109=5,Inventario5!B:B,Inventario6!B:B))))),
    _xlpm.invTipos, IF(B109=1,Inventario1!C:C,IF(B109=2,Inventario2!C:C,IF(B109=3,Inventario3!C:C,IF(B109=4,Inventario4!C:C,IF(B109=5,Inventario5!C:C,Inventario6!C:C))))),
    _xlpm.invStats, IF(B109=1,Inventario1!D:H,IF(B109=2,Inventario2!D:H,IF(B109=3,Inventario3!D:H,IF(B109=4,Inventario4!D:H,IF(B109=5,Inventario5!D:H,Inventario6!D:H))))),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IF(ROW(A109)=2,"",IF(_xlfn._xlws.FILTER(Equipar!AC$2:AC108,Equipar!B$2:B108=B109)={0},"",_xlfn._xlws.FILTER(Equipar!AC$2:AC108,Equipar!B$2:B108=B109))),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</v>
      </c>
      <c r="F109" s="17" t="str" cm="1">
        <f t="array" aca="1" ref="F109" ca="1">_xlfn.LET(
    _xlpm.jugador, B109,
    _xlpm.idSel, AD109,
    _xlpm.invIDs, IF(C109=1,Inventario1!B:B,IF(C109=2,Inventario2!B:B,IF(C109=3,Inventario3!B:B,IF(C109=4,Inventario4!B:B,IF(C109=5,Inventario5!B:B,Inventario6!B:B))))),
    _xlpm.invCalidad, IF(C109=1,Inventario1!C:C,IF(C109=2,Inventario2!C:C,IF(C109=3,Inventario3!C:C,IF(C109=4,Inventario4!C:C,IF(C109=5,Inventario5!C:C,Inventario6!C:C))))),
    _xlpm.invTipos, IF(C109=1,Inventario1!D:D,IF(C109=2,Inventario2!D:D,IF(C109=3,Inventario3!D:D,IF(C109=4,Inventario4!D:D,IF(C109=5,Inventario5!D:D,Inventario6!D:D))))),
    _xlpm.invStats, IF(C109=1,Inventario1!E:I,IF(C109=2,Inventario2!E:I,IF(C109=3,Inventario3!E:I,IF(C109=4,Inventario4!E:I,IF(C109=5,Inventario5!E:I,Inventario6!E:I))))),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IF(ROW(B109)=2,"",IF(_xlfn._xlws.FILTER(Equipar!AD$2:AD108,Equipar!C$2:C108=C109)={0},"",_xlfn._xlws.FILTER(Equipar!AD$2:AD108,Equipar!C$2:C108=C109))),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09" s="18" cm="1">
        <f t="array" aca="1" ref="G109" ca="1">_xlfn.LET(
    _xlpm.jugador, A109,
    _xlpm.idSel, AC109,
    _xlpm.invIDs, IF(B109=1,Inventario1!A:A,IF(B109=2,Inventario2!A:A,IF(B109=3,Inventario3!A:A,IF(B109=4,Inventario4!A:A,IF(B109=5,Inventario5!A:A,Inventario6!A:A))))),
    _xlpm.invCalidad, IF(B109=1,Inventario1!B:B,IF(B109=2,Inventario2!B:B,IF(B109=3,Inventario3!B:B,IF(B109=4,Inventario4!B:B,IF(B109=5,Inventario5!B:B,Inventario6!B:B))))),
    _xlpm.invTipos, IF(B109=1,Inventario1!C:C,IF(B109=2,Inventario2!C:C,IF(B109=3,Inventario3!C:C,IF(B109=4,Inventario4!C:C,IF(B109=5,Inventario5!C:C,Inventario6!C:C))))),
    _xlpm.invStats, IF(B109=1,Inventario1!D:H,IF(B109=2,Inventario2!D:H,IF(B109=3,Inventario3!D:H,IF(B109=4,Inventario4!D:H,IF(B109=5,Inventario5!D:H,Inventario6!D:H))))),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IF(ROW(A109)=2,"",IF(_xlfn._xlws.FILTER(Equipar!AC$2:AC108,Equipar!B$2:B108=B109)={0},"",_xlfn._xlws.FILTER(Equipar!AC$2:AC108,Equipar!B$2:B108=B109))),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90</v>
      </c>
      <c r="H109" s="17" cm="1">
        <f t="array" aca="1" ref="H109" ca="1">_xlfn.LET(
    _xlpm.jugador, A109,
    _xlpm.idSel, AC109,
    _xlpm.invIDs, IF(B109=1,Inventario1!A:A,IF(B109=2,Inventario2!A:A,IF(B109=3,Inventario3!A:A,IF(B109=4,Inventario4!A:A,IF(B109=5,Inventario5!A:A,Inventario6!A:A))))),
    _xlpm.invCalidad, IF(B109=1,Inventario1!B:B,IF(B109=2,Inventario2!B:B,IF(B109=3,Inventario3!B:B,IF(B109=4,Inventario4!B:B,IF(B109=5,Inventario5!B:B,Inventario6!B:B))))),
    _xlpm.invTipos, IF(B109=1,Inventario1!C:C,IF(B109=2,Inventario2!C:C,IF(B109=3,Inventario3!C:C,IF(B109=4,Inventario4!C:C,IF(B109=5,Inventario5!C:C,Inventario6!C:C))))),
    _xlpm.invStats, IF(B109=1,Inventario1!D:H,IF(B109=2,Inventario2!D:H,IF(B109=3,Inventario3!D:H,IF(B109=4,Inventario4!D:H,IF(B109=5,Inventario5!D:H,Inventario6!D:H))))),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IF(ROW(A109)=2,"",IF(_xlfn._xlws.FILTER(Equipar!AC$2:AC108,Equipar!B$2:B108=B109)={0},"",_xlfn._xlws.FILTER(Equipar!AC$2:AC108,Equipar!B$2:B108=B109))),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I109" s="17" cm="1">
        <f t="array" aca="1" ref="I109" ca="1">_xlfn.LET(
    _xlpm.jugador, A109,
    _xlpm.idSel, AC109,
    _xlpm.invIDs, IF(B109=1,Inventario1!A:A,IF(B109=2,Inventario2!A:A,IF(B109=3,Inventario3!A:A,IF(B109=4,Inventario4!A:A,IF(B109=5,Inventario5!A:A,Inventario6!A:A))))),
    _xlpm.invCalidad, IF(B109=1,Inventario1!B:B,IF(B109=2,Inventario2!B:B,IF(B109=3,Inventario3!B:B,IF(B109=4,Inventario4!B:B,IF(B109=5,Inventario5!B:B,Inventario6!B:B))))),
    _xlpm.invTipos, IF(B109=1,Inventario1!C:C,IF(B109=2,Inventario2!C:C,IF(B109=3,Inventario3!C:C,IF(B109=4,Inventario4!C:C,IF(B109=5,Inventario5!C:C,Inventario6!C:C))))),
    _xlpm.invStats, IF(B109=1,Inventario1!D:H,IF(B109=2,Inventario2!D:H,IF(B109=3,Inventario3!D:H,IF(B109=4,Inventario4!D:H,IF(B109=5,Inventario5!D:H,Inventario6!D:H))))),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IF(ROW(A109)=2,"",IF(_xlfn._xlws.FILTER(Equipar!AC$2:AC108,Equipar!B$2:B108=B109)={0},"",_xlfn._xlws.FILTER(Equipar!AC$2:AC108,Equipar!B$2:B108=B109))),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J109" s="17" cm="1">
        <f t="array" aca="1" ref="J109" ca="1">_xlfn.LET(
    _xlpm.jugador, B109,
    _xlpm.idSel, AD109,
    _xlpm.invIDs, IF(C109=1,Inventario1!B:B,IF(C109=2,Inventario2!B:B,IF(C109=3,Inventario3!B:B,IF(C109=4,Inventario4!B:B,IF(C109=5,Inventario5!B:B,Inventario6!B:B))))),
    _xlpm.invCalidad, IF(C109=1,Inventario1!C:C,IF(C109=2,Inventario2!C:C,IF(C109=3,Inventario3!C:C,IF(C109=4,Inventario4!C:C,IF(C109=5,Inventario5!C:C,Inventario6!C:C))))),
    _xlpm.invTipos, IF(C109=1,Inventario1!D:D,IF(C109=2,Inventario2!D:D,IF(C109=3,Inventario3!D:D,IF(C109=4,Inventario4!D:D,IF(C109=5,Inventario5!D:D,Inventario6!D:D))))),
    _xlpm.invStats, IF(C109=1,Inventario1!E:I,IF(C109=2,Inventario2!E:I,IF(C109=3,Inventario3!E:I,IF(C109=4,Inventario4!E:I,IF(C109=5,Inventario5!E:I,Inventario6!E:I))))),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IF(ROW(B109)=2,"",IF(_xlfn._xlws.FILTER(Equipar!AD$2:AD108,Equipar!C$2:C108=C109)={0},"",_xlfn._xlws.FILTER(Equipar!AD$2:AD108,Equipar!C$2:C108=C109))),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09" s="17">
        <f t="shared" ca="1" si="4"/>
        <v>-9</v>
      </c>
      <c r="L109" s="17">
        <f t="shared" ca="1" si="5"/>
        <v>6.2099999999999937</v>
      </c>
      <c r="M109" s="17">
        <f t="shared" ca="1" si="5"/>
        <v>99</v>
      </c>
      <c r="N109" s="17">
        <f t="shared" ca="1" si="6"/>
        <v>15.209999999999994</v>
      </c>
      <c r="O109" s="17">
        <f t="shared" ca="1" si="6"/>
        <v>83.79</v>
      </c>
      <c r="P109" s="18" cm="1">
        <f t="array" aca="1" ref="P109" ca="1">_xlfn.LET(
    _xlpm.ptsPrinBase, _xlfn._xlws.FILTER(G:G, A:A=A109),
    _xlpm.ptsSecBase,  _xlfn._xlws.FILTER(H:H, A:A=A109),
    _xlpm.puntosPrin, _xlpm.ptsPrinBase + _xlfn._xlws.FILTER(B:B, A:A=A109)/1000,
    _xlpm.puntosSec,  _xlpm.ptsSecBase  + _xlfn._xlws.FILTER(B:B, A:A=A109)/1000,
    _xlpm.puntosPrinValidos, SUM(--(_xlpm.ptsPrinBase&gt;0)),
    _xlpm.puntosSecValidos,  SUM(--(_xlpm.ptsSecBase&gt;0)),
    _xlpm.clave, K109 + B109/1000,
    _xlpm.claves, _xlfn._xlws.FILTER(K:K + B:B/1000, A:A=A109),
    IF(AND(_xlpm.puntosPrinValidos&gt;=4,_xlpm.puntosSecValidos&gt;=2),IF(
        SUM(--(_xlpm.claves &gt; _xlpm.clave)) &lt; 4,
        C109,
        D109
    ),"No disp")
)</f>
        <v>159</v>
      </c>
      <c r="Q109" s="18" cm="1">
        <f t="array" aca="1" ref="Q109" ca="1">_xlfn.LET(
    _xlpm.puntosPrin, _xlfn._xlws.FILTER(G:G + B:B/1000, A:A=A109),
    _xlpm.puntosPrinValidos, SUM(--(_xlpm.puntosPrin&gt;1)),
    _xlpm.puntosTer, _xlfn._xlws.FILTER(I:I + B:B/1000, A:A=A109),
    _xlpm.puntosTerValidos, SUM(--(_xlpm.puntosTer&gt;1)),
    _xlpm.clave, L109 + B109/1000,
    _xlpm.claves, _xlfn._xlws.FILTER(L:L + B:B/1000, A:A=A109),
    IF(AND(_xlpm.puntosPrinValidos&gt;=4,_xlpm.puntosTerValidos&gt;=2),IF(
        SUM(--(_xlpm.claves &gt; _xlpm.clave)) &lt; 4,
        C109,
        E109
    ),"No disp")
)</f>
        <v>337</v>
      </c>
      <c r="R109" s="18" t="str" cm="1">
        <f t="array" aca="1" ref="R109" ca="1">_xlfn.LET(
    _xlpm.puntosPrin, _xlfn._xlws.FILTER(G:G + B:B/1000, A:A=A109),
    _xlpm.puntosPrinValidos, SUM(--(_xlpm.puntosPrin&gt;1)),
    _xlpm.puntosTer, _xlfn._xlws.FILTER(J:J + B:B/1000, A:A=A109),
    _xlpm.puntosTerValidos, SUM(--(_xlpm.puntosTer&gt;1)),
    _xlpm.clave, M109 + B109/1000,
    _xlpm.claves, _xlfn._xlws.FILTER(M:M + B:B/1000, A:A=A109),
    IF(AND(_xlpm.puntosPrinValidos&gt;=4,_xlpm.puntosTerValidos&gt;=2),IF(
        SUM(--(_xlpm.claves &gt; _xlpm.clave)) &lt; 4,
        C109,
        F109
    ),"No disp")
)</f>
        <v>No disp</v>
      </c>
      <c r="S109" s="18" cm="1">
        <f t="array" aca="1" ref="S109" ca="1">_xlfn.LET(
    _xlpm.ptsPrinBase, _xlfn._xlws.FILTER(G:G, A:A=A109),
    _xlpm.ptsSecBase,  _xlfn._xlws.FILTER(H:H, A:A=A109),
    _xlpm.puntosPrin, _xlpm.ptsPrinBase + _xlfn._xlws.FILTER(B:B, A:A=A109)/1000,
    _xlpm.puntosSec,  _xlpm.ptsSecBase  + _xlfn._xlws.FILTER(B:B, A:A=A109)/1000,
    _xlpm.puntosPrinValidos, SUM(--(_xlpm.ptsPrinBase&gt;0)),
    _xlpm.puntosSecValidos,  SUM(--(_xlpm.ptsSecBase&gt;0)),
    _xlpm.clave, K109 + B109/1000,
    _xlpm.claves, _xlfn._xlws.FILTER(K:K + B:B/1000, A:A=A109),
    IF(
        AND(_xlpm.puntosPrinValidos&gt;=2, _xlpm.puntosSecValidos&gt;=4),
        IF(
            SUM(--(_xlpm.claves &lt; _xlpm.clave)) &lt; 4,
            D109,
            C109
        ),
        "No disp"
    )
)</f>
        <v>159</v>
      </c>
      <c r="T109" s="18" cm="1">
        <f t="array" aca="1" ref="T109" ca="1">_xlfn.LET(
    _xlpm.puntosSec, _xlfn._xlws.FILTER(H:H + B:B/1000, A:A=A109),
    _xlpm.puntosSecValidos, SUM(--(_xlpm.puntosSec&gt;1)),
    _xlpm.puntosAlt, _xlfn._xlws.FILTER(I:I + B:B/1000, A:A=A109),
    _xlpm.puntosAltValidos, SUM(--(_xlpm.puntosAlt&gt;1)),
    _xlpm.clave, N109 + B109/1000,
    _xlpm.claves, _xlfn._xlws.FILTER(N:N + B:B/1000, A:A=A109),
    IF(AND(_xlpm.puntosSecValidos&gt;=4,_xlpm.puntosAltValidos&gt;=2),IF(
        SUM(--(_xlpm.claves &gt; _xlpm.clave)) &lt; 4,
        D109,
        E109
    ),"No disp")
)</f>
        <v>159</v>
      </c>
      <c r="U109" s="18" t="str" cm="1">
        <f t="array" aca="1" ref="U109" ca="1">_xlfn.LET(
    _xlpm.puntosSec, _xlfn._xlws.FILTER(H:H + B:B/1000, A:A=A109),
    _xlpm.puntosSecValidos, SUM(--(_xlpm.puntosSec&gt;1)),
    _xlpm.puntosAlt, _xlfn._xlws.FILTER(J:J + B:B/1000, A:A=A109),
    _xlpm.puntosAltValidos, SUM(--(_xlpm.puntosAlt&gt;1)),
    _xlpm.clave, O109 + B109/1000,
    _xlpm.claves, _xlfn._xlws.FILTER(O:O + B:B/1000, A:A=A109),
    IF(AND(_xlpm.puntosSecValidos&gt;=4,_xlpm.puntosAltValidos&gt;=2),IF(
        SUM(--(_xlpm.claves &gt; _xlpm.clave)) &lt; 4,
        D109,
        F109
    ),"No disp")
)</f>
        <v>No disp</v>
      </c>
      <c r="V109" s="17" cm="1">
        <f t="array" aca="1" ref="V109" ca="1">_xlfn.LET(
_xlpm.PrinIDs,_xlfn._xlws.FILTER(C:C,(A:A=A109)),
_xlpm.SecIDs,_xlfn._xlws.FILTER(D:D,(A:A=A109)),
_xlpm.TerIDs,_xlfn._xlws.FILTER(E:E,A:A=A109),
_xlpm.CuaIDs,_xlfn._xlws.FILTER(F:F,(A:A=A109)),
_xlpm.PrinPts,_xlfn._xlws.FILTER(G:G,(A:A=A109)),
_xlpm.SecPts,_xlfn._xlws.FILTER(H:H,(A:A=A109)),
_xlpm.TerPts,_xlfn._xlws.FILTER(I:I,(A:A=A109)),
_xlpm.CuaPts,_xlfn._xlws.FILTER(J:J,(A:A=A109)),
_xlpm.PSIds,_xlfn._xlws.FILTER(P:P,A:A=A109),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522</v>
      </c>
      <c r="W109" s="17" cm="1">
        <f t="array" aca="1" ref="W109" ca="1">_xlfn.LET(
_xlpm.PrinIDs,_xlfn._xlws.FILTER(C:C,(A:A=A109)),
_xlpm.SecIDs,_xlfn._xlws.FILTER(D:D,(A:A=A109)),
_xlpm.TerIDs,_xlfn._xlws.FILTER(E:E,A:A=A109),
_xlpm.CuaIDs,_xlfn._xlws.FILTER(F:F,(A:A=A109)),
_xlpm.PrinPts,_xlfn._xlws.FILTER(G:G,(A:A=A109)),
_xlpm.SecPts,_xlfn._xlws.FILTER(H:H,(A:A=A109)),
_xlpm.TerPts,_xlfn._xlws.FILTER(I:I,(A:A=A109)),
_xlpm.CuaPts,_xlfn._xlws.FILTER(J:J,(A:A=A109)),
_xlpm.PTIds,_xlfn._xlws.FILTER(Q:Q,A:A=A109),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527.76</v>
      </c>
      <c r="X109" s="17" cm="1">
        <f t="array" aca="1" ref="X109" ca="1">_xlfn.LET(
_xlpm.PrinIDs,_xlfn._xlws.FILTER(C:C,(A:A=A109)),
_xlpm.SecIDs,_xlfn._xlws.FILTER(D:D,(A:A=A109)),
_xlpm.TerIDs,_xlfn._xlws.FILTER(E:E,A:A=A109),
_xlpm.CuaIDs,_xlfn._xlws.FILTER(F:F,(A:A=A109)),
_xlpm.PrinPts,_xlfn._xlws.FILTER(G:G,(A:A=A109)),
_xlpm.SecPts,_xlfn._xlws.FILTER(H:H,(A:A=A109)),
_xlpm.TerPts,_xlfn._xlws.FILTER(I:I,(A:A=A109)),
_xlpm.CuaPts,_xlfn._xlws.FILTER(J:J,(A:A=A109)),
_xlpm.PCIds,_xlfn._xlws.FILTER(R:R,A:A=A109),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09" s="17" cm="1">
        <f t="array" aca="1" ref="Y109" ca="1">_xlfn.LET(
_xlpm.PrinIDs,_xlfn._xlws.FILTER(C:C,(A:A=A109)),
_xlpm.SecIDs,_xlfn._xlws.FILTER(D:D,(A:A=A109)),
_xlpm.AltIDs,_xlfn._xlws.FILTER(E:E,A:A=A109),
_xlpm.PrinPts,_xlfn._xlws.FILTER(G:G,(A:A=A109)),
_xlpm.SecPts,_xlfn._xlws.FILTER(H:H,(A:A=A109)),
_xlpm.AltPts,_xlfn._xlws.FILTER(I:I,(A:A=A109)),
_xlpm.SPIds,_xlfn._xlws.FILTER(S:S,A:A=A109),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513</v>
      </c>
      <c r="Z109" s="17" cm="1">
        <f t="array" aca="1" ref="Z109" ca="1">_xlfn.LET(
_xlpm.PrinIDs,_xlfn._xlws.FILTER(C:C,(A:A=A109)),
_xlpm.SecIDs,_xlfn._xlws.FILTER(D:D,(A:A=A109)),
_xlpm.TerIDs,_xlfn._xlws.FILTER(E:E,A:A=A109),
_xlpm.CuaIDs,_xlfn._xlws.FILTER(F:F,(A:A=A109)),
_xlpm.PrinPts,_xlfn._xlws.FILTER(G:G,(A:A=A109)),
_xlpm.SecPts,_xlfn._xlws.FILTER(H:H,(A:A=A109)),
_xlpm.TerPts,_xlfn._xlws.FILTER(I:I,(A:A=A109)),
_xlpm.CuaPts,_xlfn._xlws.FILTER(J:J,(A:A=A109)),
_xlpm.STIds,_xlfn._xlws.FILTER(T:T,A:A=A109),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518.76</v>
      </c>
      <c r="AA109" s="17" cm="1">
        <f t="array" aca="1" ref="AA109" ca="1">_xlfn.LET(
_xlpm.PrinIDs,_xlfn._xlws.FILTER(C:C,(A:A=A109)),
_xlpm.SecIDs,_xlfn._xlws.FILTER(D:D,(A:A=A109)),
_xlpm.TerIDs,_xlfn._xlws.FILTER(E:E,A:A=A109),
_xlpm.CuaIDs,_xlfn._xlws.FILTER(F:F,(A:A=A109)),
_xlpm.PrinPts,_xlfn._xlws.FILTER(G:G,(A:A=A109)),
_xlpm.SecPts,_xlfn._xlws.FILTER(H:H,(A:A=A109)),
_xlpm.TerPts,_xlfn._xlws.FILTER(I:I,(A:A=A109)),
_xlpm.CuaPts,_xlfn._xlws.FILTER(J:J,(A:A=A109)),
_xlpm.SCIds,_xlfn._xlws.FILTER(U:U,A:A=A109),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09" s="18">
        <f t="shared" ca="1" si="7"/>
        <v>337</v>
      </c>
      <c r="AC109" s="18"/>
      <c r="AD109" s="17"/>
      <c r="AE109" s="18" t="str">
        <f>IF(ISNUMBER(AC109),
IF($B109=1,VLOOKUP($AC109,Inventario1!$A:$H,2),
IF($B109=2,VLOOKUP($AC109,Inventario2!$A:$H,2),
IF($B109=3,VLOOKUP($AC109,Inventario3!$A:$H,2),
IF($B109=4,VLOOKUP($AC109,Inventario4!$A:$H,2),
IF($B109=5,VLOOKUP($AC109,Inventario5!$A:$H,2),
VLOOKUP($AC109,Inventario6!$A:$H,2)
))))),"No equipado")</f>
        <v>No equipado</v>
      </c>
      <c r="AF109" s="18" t="str">
        <f>IF(ISNUMBER(AC109),
IF($B109=1,VLOOKUP($AC109,Inventario1!$A:$H,3),
IF($B109=2,VLOOKUP($AC109,Inventario2!$A:$H,3),
IF($B109=3,VLOOKUP($AC109,Inventario3!$A:$H,3),
IF($B109=4,VLOOKUP($AC109,Inventario4!$A:$H,3),
IF($B109=5,VLOOKUP($AC109,Inventario5!$A:$H,3),
VLOOKUP($AC109,Inventario6!$A:$H,3)
))))),"")</f>
        <v/>
      </c>
      <c r="AG109" s="18" t="str">
        <f>IF(ISNUMBER(AC109),
IF($B109=1,VLOOKUP($AC109,Inventario1!$A:$H,4),
IF($B109=2,VLOOKUP($AC109,Inventario2!$A:$H,4),
IF($B109=3,VLOOKUP($AC109,Inventario3!$A:$H,4),
IF($B109=4,VLOOKUP($AC109,Inventario4!$A:$H,4),
IF($B109=5,VLOOKUP($AC109,Inventario5!$A:$H,4),
VLOOKUP($AC109,Inventario6!$A:$H,4)
))))),"")</f>
        <v/>
      </c>
      <c r="AH109" s="18" t="str">
        <f>IF(ISNUMBER(AC109),
IF($B109=1,VLOOKUP($AC109,Inventario1!$A:$H,5),
IF($B109=2,VLOOKUP($AC109,Inventario2!$A:$H,5),
IF($B109=3,VLOOKUP($AC109,Inventario3!$A:$H,5),
IF($B109=4,VLOOKUP($AC109,Inventario4!$A:$H,5),
IF($B109=5,VLOOKUP($AC109,Inventario5!$A:$H,5),
VLOOKUP($AC109,Inventario6!$A:$H,5)
))))),"")</f>
        <v/>
      </c>
      <c r="AI109" s="18" t="str">
        <f>IF(ISNUMBER(AC109),
IF($B109=1,VLOOKUP($AC109,Inventario1!$A:$H,6),
IF($B109=2,VLOOKUP($AC109,Inventario2!$A:$H,6),
IF($B109=3,VLOOKUP($AC109,Inventario3!$A:$H,6),
IF($B109=4,VLOOKUP($AC109,Inventario4!$A:$H,6),
IF($B109=5,VLOOKUP($AC109,Inventario5!$A:$H,6),
VLOOKUP($AC109,Inventario6!$A:$H,6)
))))),"")</f>
        <v/>
      </c>
      <c r="AJ109" s="18" t="str">
        <f>IF(ISNUMBER(AC109),
IF($B109=1,VLOOKUP($AC109,Inventario1!$A:$H,7),
IF($B109=2,VLOOKUP($AC109,Inventario2!$A:$H,7),
IF($B109=3,VLOOKUP($AC109,Inventario3!$A:$H,7),
IF($B109=4,VLOOKUP($AC109,Inventario4!$A:$H,7),
IF($B109=5,VLOOKUP($AC109,Inventario5!$A:$H,7),
VLOOKUP($AC109,Inventario6!$A:$H,7)
))))),"")</f>
        <v/>
      </c>
      <c r="AK109" s="19" t="str">
        <f>IF(ISNUMBER(AC109),
IF($B109=1,VLOOKUP($AC109,Inventario1!$A:$H,8),
IF($B109=2,VLOOKUP($AC109,Inventario2!$A:$H,8),
IF($B109=3,VLOOKUP($AC109,Inventario3!$A:$H,8),
IF($B109=4,VLOOKUP($AC109,Inventario4!$A:$H,8),
IF($B109=5,VLOOKUP($AC109,Inventario5!$A:$H,8),
VLOOKUP($AC109,Inventario6!$A:$H,8)
))))),"")</f>
        <v/>
      </c>
    </row>
    <row r="110" spans="1:37" x14ac:dyDescent="0.25">
      <c r="A110" s="20" t="s">
        <v>75</v>
      </c>
      <c r="B110" s="9">
        <v>1</v>
      </c>
      <c r="C110" s="10" cm="1">
        <f t="array" aca="1" ref="C110" ca="1">_xlfn.LET(
    _xlpm.jugador, A110,
    _xlpm.idSel, AC110,
    _xlpm.invIDs, IF(B110=1,Inventario1!A:A,IF(B110=2,Inventario2!A:A,IF(B110=3,Inventario3!A:A,IF(B110=4,Inventario4!A:A,IF(B110=5,Inventario5!A:A,Inventario6!A:A))))),
    _xlpm.invCalidad, IF(B110=1,Inventario1!B:B,IF(B110=2,Inventario2!B:B,IF(B110=3,Inventario3!B:B,IF(B110=4,Inventario4!B:B,IF(B110=5,Inventario5!B:B,Inventario6!B:B))))),
    _xlpm.invTipos, IF(B110=1,Inventario1!C:C,IF(B110=2,Inventario2!C:C,IF(B110=3,Inventario3!C:C,IF(B110=4,Inventario4!C:C,IF(B110=5,Inventario5!C:C,Inventario6!C:C))))),
    _xlpm.invStats, IF(B110=1,Inventario1!D:H,IF(B110=2,Inventario2!D:H,IF(B110=3,Inventario3!D:H,IF(B110=4,Inventario4!D:H,IF(B110=5,Inventario5!D:H,Inventario6!D:H))))),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IF(ROW(A110)=2,"",IF(_xlfn._xlws.FILTER(Equipar!AC$2:AC109,Equipar!B$2:B109=B110)={0},"",_xlfn._xlws.FILTER(Equipar!AC$2:AC109,Equipar!B$2:B109=B110))),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109</v>
      </c>
      <c r="D110" s="11" cm="1">
        <f t="array" ref="D110">_xlfn.LET(
    _xlpm.jugador, A110,
    _xlpm.idSel, AC110,
    _xlpm.invIDs, IF(B110=1,Inventario1!A:A,IF(B110=2,Inventario2!A:A,IF(B110=3,Inventario3!A:A,IF(B110=4,Inventario4!A:A,IF(B110=5,Inventario5!A:A,Inventario6!A:A))))),
    _xlpm.invCalidad, IF(B110=1,Inventario1!B:B,IF(B110=2,Inventario2!B:B,IF(B110=3,Inventario3!B:B,IF(B110=4,Inventario4!B:B,IF(B110=5,Inventario5!B:B,Inventario6!B:B))))),
    _xlpm.invTipos, IF(B110=1,Inventario1!C:C,IF(B110=2,Inventario2!C:C,IF(B110=3,Inventario3!C:C,IF(B110=4,Inventario4!C:C,IF(B110=5,Inventario5!C:C,Inventario6!C:C))))),
    _xlpm.invStats, IF(B110=1,Inventario1!D:H,IF(B110=2,Inventario2!D:H,IF(B110=3,Inventario3!D:H,IF(B110=4,Inventario4!D:H,IF(B110=5,Inventario5!D:H,Inventario6!D:H))))),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IF(ROW(A110)=2,"",IF(_xlfn._xlws.FILTER(Equipar!AC$2:AC109,Equipar!B$2:B109=B110)={0},"",_xlfn._xlws.FILTER(Equipar!AC$2:AC109,Equipar!B$2:B109=B110))),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51</v>
      </c>
      <c r="E110" s="11" cm="1">
        <f t="array" ref="E110">_xlfn.LET(
    _xlpm.jugador, A110,
    _xlpm.idSel, AC110,
    _xlpm.invIDs, IF(B110=1,Inventario1!A:A,IF(B110=2,Inventario2!A:A,IF(B110=3,Inventario3!A:A,IF(B110=4,Inventario4!A:A,IF(B110=5,Inventario5!A:A,Inventario6!A:A))))),
    _xlpm.invCalidad, IF(B110=1,Inventario1!B:B,IF(B110=2,Inventario2!B:B,IF(B110=3,Inventario3!B:B,IF(B110=4,Inventario4!B:B,IF(B110=5,Inventario5!B:B,Inventario6!B:B))))),
    _xlpm.invTipos, IF(B110=1,Inventario1!C:C,IF(B110=2,Inventario2!C:C,IF(B110=3,Inventario3!C:C,IF(B110=4,Inventario4!C:C,IF(B110=5,Inventario5!C:C,Inventario6!C:C))))),
    _xlpm.invStats, IF(B110=1,Inventario1!D:H,IF(B110=2,Inventario2!D:H,IF(B110=3,Inventario3!D:H,IF(B110=4,Inventario4!D:H,IF(B110=5,Inventario5!D:H,Inventario6!D:H))))),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IF(ROW(A110)=2,"",IF(_xlfn._xlws.FILTER(Equipar!AC$2:AC109,Equipar!B$2:B109=B110)={0},"",_xlfn._xlws.FILTER(Equipar!AC$2:AC109,Equipar!B$2:B109=B110))),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79</v>
      </c>
      <c r="F110" s="11" t="str" cm="1">
        <f t="array" aca="1" ref="F110" ca="1">_xlfn.LET(
    _xlpm.jugador, B110,
    _xlpm.idSel, AD110,
    _xlpm.invIDs, IF(C110=1,Inventario1!B:B,IF(C110=2,Inventario2!B:B,IF(C110=3,Inventario3!B:B,IF(C110=4,Inventario4!B:B,IF(C110=5,Inventario5!B:B,Inventario6!B:B))))),
    _xlpm.invCalidad, IF(C110=1,Inventario1!C:C,IF(C110=2,Inventario2!C:C,IF(C110=3,Inventario3!C:C,IF(C110=4,Inventario4!C:C,IF(C110=5,Inventario5!C:C,Inventario6!C:C))))),
    _xlpm.invTipos, IF(C110=1,Inventario1!D:D,IF(C110=2,Inventario2!D:D,IF(C110=3,Inventario3!D:D,IF(C110=4,Inventario4!D:D,IF(C110=5,Inventario5!D:D,Inventario6!D:D))))),
    _xlpm.invStats, IF(C110=1,Inventario1!E:I,IF(C110=2,Inventario2!E:I,IF(C110=3,Inventario3!E:I,IF(C110=4,Inventario4!E:I,IF(C110=5,Inventario5!E:I,Inventario6!E:I))))),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IF(ROW(B110)=2,"",IF(_xlfn._xlws.FILTER(Equipar!AD$2:AD109,Equipar!C$2:C109=C110)={0},"",_xlfn._xlws.FILTER(Equipar!AD$2:AD109,Equipar!C$2:C109=C110))),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10" s="10" cm="1">
        <f t="array" aca="1" ref="G110" ca="1">_xlfn.LET(
    _xlpm.jugador, A110,
    _xlpm.idSel, AC110,
    _xlpm.invIDs, IF(B110=1,Inventario1!A:A,IF(B110=2,Inventario2!A:A,IF(B110=3,Inventario3!A:A,IF(B110=4,Inventario4!A:A,IF(B110=5,Inventario5!A:A,Inventario6!A:A))))),
    _xlpm.invCalidad, IF(B110=1,Inventario1!B:B,IF(B110=2,Inventario2!B:B,IF(B110=3,Inventario3!B:B,IF(B110=4,Inventario4!B:B,IF(B110=5,Inventario5!B:B,Inventario6!B:B))))),
    _xlpm.invTipos, IF(B110=1,Inventario1!C:C,IF(B110=2,Inventario2!C:C,IF(B110=3,Inventario3!C:C,IF(B110=4,Inventario4!C:C,IF(B110=5,Inventario5!C:C,Inventario6!C:C))))),
    _xlpm.invStats, IF(B110=1,Inventario1!D:H,IF(B110=2,Inventario2!D:H,IF(B110=3,Inventario3!D:H,IF(B110=4,Inventario4!D:H,IF(B110=5,Inventario5!D:H,Inventario6!D:H))))),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IF(ROW(A110)=2,"",IF(_xlfn._xlws.FILTER(Equipar!AC$2:AC109,Equipar!B$2:B109=B110)={0},"",_xlfn._xlws.FILTER(Equipar!AC$2:AC109,Equipar!B$2:B109=B110))),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H110" s="11" cm="1">
        <f t="array" ref="H110">_xlfn.LET(
    _xlpm.jugador, A110,
    _xlpm.idSel, AC110,
    _xlpm.invIDs, IF(B110=1,Inventario1!A:A,IF(B110=2,Inventario2!A:A,IF(B110=3,Inventario3!A:A,IF(B110=4,Inventario4!A:A,IF(B110=5,Inventario5!A:A,Inventario6!A:A))))),
    _xlpm.invCalidad, IF(B110=1,Inventario1!B:B,IF(B110=2,Inventario2!B:B,IF(B110=3,Inventario3!B:B,IF(B110=4,Inventario4!B:B,IF(B110=5,Inventario5!B:B,Inventario6!B:B))))),
    _xlpm.invTipos, IF(B110=1,Inventario1!C:C,IF(B110=2,Inventario2!C:C,IF(B110=3,Inventario3!C:C,IF(B110=4,Inventario4!C:C,IF(B110=5,Inventario5!C:C,Inventario6!C:C))))),
    _xlpm.invStats, IF(B110=1,Inventario1!D:H,IF(B110=2,Inventario2!D:H,IF(B110=3,Inventario3!D:H,IF(B110=4,Inventario4!D:H,IF(B110=5,Inventario5!D:H,Inventario6!D:H))))),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IF(ROW(A110)=2,"",IF(_xlfn._xlws.FILTER(Equipar!AC$2:AC109,Equipar!B$2:B109=B110)={0},"",_xlfn._xlws.FILTER(Equipar!AC$2:AC109,Equipar!B$2:B109=B110))),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108</v>
      </c>
      <c r="I110" s="11" cm="1">
        <f t="array" ref="I110">_xlfn.LET(
    _xlpm.jugador, A110,
    _xlpm.idSel, AC110,
    _xlpm.invIDs, IF(B110=1,Inventario1!A:A,IF(B110=2,Inventario2!A:A,IF(B110=3,Inventario3!A:A,IF(B110=4,Inventario4!A:A,IF(B110=5,Inventario5!A:A,Inventario6!A:A))))),
    _xlpm.invCalidad, IF(B110=1,Inventario1!B:B,IF(B110=2,Inventario2!B:B,IF(B110=3,Inventario3!B:B,IF(B110=4,Inventario4!B:B,IF(B110=5,Inventario5!B:B,Inventario6!B:B))))),
    _xlpm.invTipos, IF(B110=1,Inventario1!C:C,IF(B110=2,Inventario2!C:C,IF(B110=3,Inventario3!C:C,IF(B110=4,Inventario4!C:C,IF(B110=5,Inventario5!C:C,Inventario6!C:C))))),
    _xlpm.invStats, IF(B110=1,Inventario1!D:H,IF(B110=2,Inventario2!D:H,IF(B110=3,Inventario3!D:H,IF(B110=4,Inventario4!D:H,IF(B110=5,Inventario5!D:H,Inventario6!D:H))))),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IF(ROW(A110)=2,"",IF(_xlfn._xlws.FILTER(Equipar!AC$2:AC109,Equipar!B$2:B109=B110)={0},"",_xlfn._xlws.FILTER(Equipar!AC$2:AC109,Equipar!B$2:B109=B110))),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143.64000000000001</v>
      </c>
      <c r="J110" s="11" cm="1">
        <f t="array" aca="1" ref="J110" ca="1">_xlfn.LET(
    _xlpm.jugador, B110,
    _xlpm.idSel, AD110,
    _xlpm.invIDs, IF(C110=1,Inventario1!B:B,IF(C110=2,Inventario2!B:B,IF(C110=3,Inventario3!B:B,IF(C110=4,Inventario4!B:B,IF(C110=5,Inventario5!B:B,Inventario6!B:B))))),
    _xlpm.invCalidad, IF(C110=1,Inventario1!C:C,IF(C110=2,Inventario2!C:C,IF(C110=3,Inventario3!C:C,IF(C110=4,Inventario4!C:C,IF(C110=5,Inventario5!C:C,Inventario6!C:C))))),
    _xlpm.invTipos, IF(C110=1,Inventario1!D:D,IF(C110=2,Inventario2!D:D,IF(C110=3,Inventario3!D:D,IF(C110=4,Inventario4!D:D,IF(C110=5,Inventario5!D:D,Inventario6!D:D))))),
    _xlpm.invStats, IF(C110=1,Inventario1!E:I,IF(C110=2,Inventario2!E:I,IF(C110=3,Inventario3!E:I,IF(C110=4,Inventario4!E:I,IF(C110=5,Inventario5!E:I,Inventario6!E:I))))),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IF(ROW(B110)=2,"",IF(_xlfn._xlws.FILTER(Equipar!AD$2:AD109,Equipar!C$2:C109=C110)={0},"",_xlfn._xlws.FILTER(Equipar!AD$2:AD109,Equipar!C$2:C109=C110))),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10" s="11">
        <f t="shared" ca="1" si="4"/>
        <v>11.700000000000003</v>
      </c>
      <c r="L110" s="11">
        <f t="shared" ca="1" si="5"/>
        <v>-23.940000000000012</v>
      </c>
      <c r="M110" s="11">
        <f t="shared" ca="1" si="5"/>
        <v>108</v>
      </c>
      <c r="N110" s="11">
        <f t="shared" si="6"/>
        <v>-35.640000000000015</v>
      </c>
      <c r="O110" s="11">
        <f t="shared" ca="1" si="6"/>
        <v>143.64000000000001</v>
      </c>
      <c r="P110" s="10" cm="1">
        <f t="array" aca="1" ref="P110" ca="1">_xlfn.LET(
    _xlpm.ptsPrinBase, _xlfn._xlws.FILTER(G:G, A:A=A110),
    _xlpm.ptsSecBase,  _xlfn._xlws.FILTER(H:H, A:A=A110),
    _xlpm.puntosPrin, _xlpm.ptsPrinBase + _xlfn._xlws.FILTER(B:B, A:A=A110)/1000,
    _xlpm.puntosSec,  _xlpm.ptsSecBase  + _xlfn._xlws.FILTER(B:B, A:A=A110)/1000,
    _xlpm.puntosPrinValidos, SUM(--(_xlpm.ptsPrinBase&gt;0)),
    _xlpm.puntosSecValidos,  SUM(--(_xlpm.ptsSecBase&gt;0)),
    _xlpm.clave, K110 + B110/1000,
    _xlpm.claves, _xlfn._xlws.FILTER(K:K + B:B/1000, A:A=A110),
    IF(AND(_xlpm.puntosPrinValidos&gt;=4,_xlpm.puntosSecValidos&gt;=2),IF(
        SUM(--(_xlpm.claves &gt; _xlpm.clave)) &lt; 4,
        C110,
        D110
    ),"No disp")
)</f>
        <v>109</v>
      </c>
      <c r="Q110" s="10" cm="1">
        <f t="array" aca="1" ref="Q110" ca="1">_xlfn.LET(
    _xlpm.puntosPrin, _xlfn._xlws.FILTER(G:G + B:B/1000, A:A=A110),
    _xlpm.puntosPrinValidos, SUM(--(_xlpm.puntosPrin&gt;1)),
    _xlpm.puntosTer, _xlfn._xlws.FILTER(I:I + B:B/1000, A:A=A110),
    _xlpm.puntosTerValidos, SUM(--(_xlpm.puntosTer&gt;1)),
    _xlpm.clave, L110 + B110/1000,
    _xlpm.claves, _xlfn._xlws.FILTER(L:L + B:B/1000, A:A=A110),
    IF(AND(_xlpm.puntosPrinValidos&gt;=4,_xlpm.puntosTerValidos&gt;=2),IF(
        SUM(--(_xlpm.claves &gt; _xlpm.clave)) &lt; 4,
        C110,
        E110
    ),"No disp")
)</f>
        <v>79</v>
      </c>
      <c r="R110" s="10" t="str" cm="1">
        <f t="array" aca="1" ref="R110" ca="1">_xlfn.LET(
    _xlpm.puntosPrin, _xlfn._xlws.FILTER(G:G + B:B/1000, A:A=A110),
    _xlpm.puntosPrinValidos, SUM(--(_xlpm.puntosPrin&gt;1)),
    _xlpm.puntosTer, _xlfn._xlws.FILTER(J:J + B:B/1000, A:A=A110),
    _xlpm.puntosTerValidos, SUM(--(_xlpm.puntosTer&gt;1)),
    _xlpm.clave, M110 + B110/1000,
    _xlpm.claves, _xlfn._xlws.FILTER(M:M + B:B/1000, A:A=A110),
    IF(AND(_xlpm.puntosPrinValidos&gt;=4,_xlpm.puntosTerValidos&gt;=2),IF(
        SUM(--(_xlpm.claves &gt; _xlpm.clave)) &lt; 4,
        C110,
        F110
    ),"No disp")
)</f>
        <v>No disp</v>
      </c>
      <c r="S110" s="10" cm="1">
        <f t="array" aca="1" ref="S110" ca="1">_xlfn.LET(
    _xlpm.ptsPrinBase, _xlfn._xlws.FILTER(G:G, A:A=A110),
    _xlpm.ptsSecBase,  _xlfn._xlws.FILTER(H:H, A:A=A110),
    _xlpm.puntosPrin, _xlpm.ptsPrinBase + _xlfn._xlws.FILTER(B:B, A:A=A110)/1000,
    _xlpm.puntosSec,  _xlpm.ptsSecBase  + _xlfn._xlws.FILTER(B:B, A:A=A110)/1000,
    _xlpm.puntosPrinValidos, SUM(--(_xlpm.ptsPrinBase&gt;0)),
    _xlpm.puntosSecValidos,  SUM(--(_xlpm.ptsSecBase&gt;0)),
    _xlpm.clave, K110 + B110/1000,
    _xlpm.claves, _xlfn._xlws.FILTER(K:K + B:B/1000, A:A=A110),
    IF(
        AND(_xlpm.puntosPrinValidos&gt;=2, _xlpm.puntosSecValidos&gt;=4),
        IF(
            SUM(--(_xlpm.claves &lt; _xlpm.clave)) &lt; 4,
            D110,
            C110
        ),
        "No disp"
    )
)</f>
        <v>51</v>
      </c>
      <c r="T110" s="10" cm="1">
        <f t="array" ref="T110">_xlfn.LET(
    _xlpm.puntosSec, _xlfn._xlws.FILTER(H:H + B:B/1000, A:A=A110),
    _xlpm.puntosSecValidos, SUM(--(_xlpm.puntosSec&gt;1)),
    _xlpm.puntosAlt, _xlfn._xlws.FILTER(I:I + B:B/1000, A:A=A110),
    _xlpm.puntosAltValidos, SUM(--(_xlpm.puntosAlt&gt;1)),
    _xlpm.clave, N110 + B110/1000,
    _xlpm.claves, _xlfn._xlws.FILTER(N:N + B:B/1000, A:A=A110),
    IF(AND(_xlpm.puntosSecValidos&gt;=4,_xlpm.puntosAltValidos&gt;=2),IF(
        SUM(--(_xlpm.claves &gt; _xlpm.clave)) &lt; 4,
        D110,
        E110
    ),"No disp")
)</f>
        <v>79</v>
      </c>
      <c r="U110" s="10" t="str" cm="1">
        <f t="array" aca="1" ref="U110" ca="1">_xlfn.LET(
    _xlpm.puntosSec, _xlfn._xlws.FILTER(H:H + B:B/1000, A:A=A110),
    _xlpm.puntosSecValidos, SUM(--(_xlpm.puntosSec&gt;1)),
    _xlpm.puntosAlt, _xlfn._xlws.FILTER(J:J + B:B/1000, A:A=A110),
    _xlpm.puntosAltValidos, SUM(--(_xlpm.puntosAlt&gt;1)),
    _xlpm.clave, O110 + B110/1000,
    _xlpm.claves, _xlfn._xlws.FILTER(O:O + B:B/1000, A:A=A110),
    IF(AND(_xlpm.puntosSecValidos&gt;=4,_xlpm.puntosAltValidos&gt;=2),IF(
        SUM(--(_xlpm.claves &gt; _xlpm.clave)) &lt; 4,
        D110,
        F110
    ),"No disp")
)</f>
        <v>No disp</v>
      </c>
      <c r="V110" s="11" cm="1">
        <f t="array" aca="1" ref="V110" ca="1">_xlfn.LET(
_xlpm.PrinIDs,_xlfn._xlws.FILTER(C:C,(A:A=A110)),
_xlpm.SecIDs,_xlfn._xlws.FILTER(D:D,(A:A=A110)),
_xlpm.TerIDs,_xlfn._xlws.FILTER(E:E,A:A=A110),
_xlpm.CuaIDs,_xlfn._xlws.FILTER(F:F,(A:A=A110)),
_xlpm.PrinPts,_xlfn._xlws.FILTER(G:G,(A:A=A110)),
_xlpm.SecPts,_xlfn._xlws.FILTER(H:H,(A:A=A110)),
_xlpm.TerPts,_xlfn._xlws.FILTER(I:I,(A:A=A110)),
_xlpm.CuaPts,_xlfn._xlws.FILTER(J:J,(A:A=A110)),
_xlpm.PSIds,_xlfn._xlws.FILTER(P:P,A:A=A110),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653.13</v>
      </c>
      <c r="W110" s="11" cm="1">
        <f t="array" aca="1" ref="W110" ca="1">_xlfn.LET(
_xlpm.PrinIDs,_xlfn._xlws.FILTER(C:C,(A:A=A110)),
_xlpm.SecIDs,_xlfn._xlws.FILTER(D:D,(A:A=A110)),
_xlpm.TerIDs,_xlfn._xlws.FILTER(E:E,A:A=A110),
_xlpm.CuaIDs,_xlfn._xlws.FILTER(F:F,(A:A=A110)),
_xlpm.PrinPts,_xlfn._xlws.FILTER(G:G,(A:A=A110)),
_xlpm.SecPts,_xlfn._xlws.FILTER(H:H,(A:A=A110)),
_xlpm.TerPts,_xlfn._xlws.FILTER(I:I,(A:A=A110)),
_xlpm.CuaPts,_xlfn._xlws.FILTER(J:J,(A:A=A110)),
_xlpm.PTIds,_xlfn._xlws.FILTER(Q:Q,A:A=A110),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685.53</v>
      </c>
      <c r="X110" s="11" cm="1">
        <f t="array" aca="1" ref="X110" ca="1">_xlfn.LET(
_xlpm.PrinIDs,_xlfn._xlws.FILTER(C:C,(A:A=A110)),
_xlpm.SecIDs,_xlfn._xlws.FILTER(D:D,(A:A=A110)),
_xlpm.TerIDs,_xlfn._xlws.FILTER(E:E,A:A=A110),
_xlpm.CuaIDs,_xlfn._xlws.FILTER(F:F,(A:A=A110)),
_xlpm.PrinPts,_xlfn._xlws.FILTER(G:G,(A:A=A110)),
_xlpm.SecPts,_xlfn._xlws.FILTER(H:H,(A:A=A110)),
_xlpm.TerPts,_xlfn._xlws.FILTER(I:I,(A:A=A110)),
_xlpm.CuaPts,_xlfn._xlws.FILTER(J:J,(A:A=A110)),
_xlpm.PCIds,_xlfn._xlws.FILTER(R:R,A:A=A110),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10" s="11" cm="1">
        <f t="array" aca="1" ref="Y110" ca="1">_xlfn.LET(
_xlpm.PrinIDs,_xlfn._xlws.FILTER(C:C,(A:A=A110)),
_xlpm.SecIDs,_xlfn._xlws.FILTER(D:D,(A:A=A110)),
_xlpm.AltIDs,_xlfn._xlws.FILTER(E:E,A:A=A110),
_xlpm.PrinPts,_xlfn._xlws.FILTER(G:G,(A:A=A110)),
_xlpm.SecPts,_xlfn._xlws.FILTER(H:H,(A:A=A110)),
_xlpm.AltPts,_xlfn._xlws.FILTER(I:I,(A:A=A110)),
_xlpm.SPIds,_xlfn._xlws.FILTER(S:S,A:A=A110),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632.70000000000005</v>
      </c>
      <c r="Z110" s="11" cm="1">
        <f t="array" aca="1" ref="Z110" ca="1">_xlfn.LET(
_xlpm.PrinIDs,_xlfn._xlws.FILTER(C:C,(A:A=A110)),
_xlpm.SecIDs,_xlfn._xlws.FILTER(D:D,(A:A=A110)),
_xlpm.TerIDs,_xlfn._xlws.FILTER(E:E,A:A=A110),
_xlpm.CuaIDs,_xlfn._xlws.FILTER(F:F,(A:A=A110)),
_xlpm.PrinPts,_xlfn._xlws.FILTER(G:G,(A:A=A110)),
_xlpm.SecPts,_xlfn._xlws.FILTER(H:H,(A:A=A110)),
_xlpm.TerPts,_xlfn._xlws.FILTER(I:I,(A:A=A110)),
_xlpm.CuaPts,_xlfn._xlws.FILTER(J:J,(A:A=A110)),
_xlpm.STIds,_xlfn._xlws.FILTER(T:T,A:A=A110),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686.33999999999992</v>
      </c>
      <c r="AA110" s="11" cm="1">
        <f t="array" aca="1" ref="AA110" ca="1">_xlfn.LET(
_xlpm.PrinIDs,_xlfn._xlws.FILTER(C:C,(A:A=A110)),
_xlpm.SecIDs,_xlfn._xlws.FILTER(D:D,(A:A=A110)),
_xlpm.TerIDs,_xlfn._xlws.FILTER(E:E,A:A=A110),
_xlpm.CuaIDs,_xlfn._xlws.FILTER(F:F,(A:A=A110)),
_xlpm.PrinPts,_xlfn._xlws.FILTER(G:G,(A:A=A110)),
_xlpm.SecPts,_xlfn._xlws.FILTER(H:H,(A:A=A110)),
_xlpm.TerPts,_xlfn._xlws.FILTER(I:I,(A:A=A110)),
_xlpm.CuaPts,_xlfn._xlws.FILTER(J:J,(A:A=A110)),
_xlpm.SCIds,_xlfn._xlws.FILTER(U:U,A:A=A110),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10" s="10">
        <f t="shared" ca="1" si="7"/>
        <v>79</v>
      </c>
      <c r="AC110" s="10">
        <v>79</v>
      </c>
      <c r="AD110" s="11"/>
      <c r="AE110" s="10" t="str">
        <f ca="1">IF(ISNUMBER(AC110),
IF($B110=1,VLOOKUP($AC110,Inventario1!$A:$H,2),
IF($B110=2,VLOOKUP($AC110,Inventario2!$A:$H,2),
IF($B110=3,VLOOKUP($AC110,Inventario3!$A:$H,2),
IF($B110=4,VLOOKUP($AC110,Inventario4!$A:$H,2),
IF($B110=5,VLOOKUP($AC110,Inventario5!$A:$H,2),
VLOOKUP($AC110,Inventario6!$A:$H,2)
))))),"No equipado")</f>
        <v>Legendario</v>
      </c>
      <c r="AF110" s="10" t="str">
        <f ca="1">IF(ISNUMBER(AC110),
IF($B110=1,VLOOKUP($AC110,Inventario1!$A:$H,3),
IF($B110=2,VLOOKUP($AC110,Inventario2!$A:$H,3),
IF($B110=3,VLOOKUP($AC110,Inventario3!$A:$H,3),
IF($B110=4,VLOOKUP($AC110,Inventario4!$A:$H,3),
IF($B110=5,VLOOKUP($AC110,Inventario5!$A:$H,3),
VLOOKUP($AC110,Inventario6!$A:$H,3)
))))),"")</f>
        <v>Potenciación de la moral</v>
      </c>
      <c r="AG110" s="10" t="str">
        <f ca="1">IF(ISNUMBER(AC110),
IF($B110=1,VLOOKUP($AC110,Inventario1!$A:$H,4),
IF($B110=2,VLOOKUP($AC110,Inventario2!$A:$H,4),
IF($B110=3,VLOOKUP($AC110,Inventario3!$A:$H,4),
IF($B110=4,VLOOKUP($AC110,Inventario4!$A:$H,4),
IF($B110=5,VLOOKUP($AC110,Inventario5!$A:$H,4),
VLOOKUP($AC110,Inventario6!$A:$H,4)
))))),"")</f>
        <v>Ataque poderoso</v>
      </c>
      <c r="AH110" s="10" t="str">
        <f ca="1">IF(ISNUMBER(AC110),
IF($B110=1,VLOOKUP($AC110,Inventario1!$A:$H,5),
IF($B110=2,VLOOKUP($AC110,Inventario2!$A:$H,5),
IF($B110=3,VLOOKUP($AC110,Inventario3!$A:$H,5),
IF($B110=4,VLOOKUP($AC110,Inventario4!$A:$H,5),
IF($B110=5,VLOOKUP($AC110,Inventario5!$A:$H,5),
VLOOKUP($AC110,Inventario6!$A:$H,5)
))))),"")</f>
        <v>Bloqueo</v>
      </c>
      <c r="AI110" s="10" t="str">
        <f ca="1">IF(ISNUMBER(AC110),
IF($B110=1,VLOOKUP($AC110,Inventario1!$A:$H,6),
IF($B110=2,VLOOKUP($AC110,Inventario2!$A:$H,6),
IF($B110=3,VLOOKUP($AC110,Inventario3!$A:$H,6),
IF($B110=4,VLOOKUP($AC110,Inventario4!$A:$H,6),
IF($B110=5,VLOOKUP($AC110,Inventario5!$A:$H,6),
VLOOKUP($AC110,Inventario6!$A:$H,6)
))))),"")</f>
        <v>Saque</v>
      </c>
      <c r="AJ110" s="10" t="str">
        <f ca="1">IF(ISNUMBER(AC110),
IF($B110=1,VLOOKUP($AC110,Inventario1!$A:$H,7),
IF($B110=2,VLOOKUP($AC110,Inventario2!$A:$H,7),
IF($B110=3,VLOOKUP($AC110,Inventario3!$A:$H,7),
IF($B110=4,VLOOKUP($AC110,Inventario4!$A:$H,7),
IF($B110=5,VLOOKUP($AC110,Inventario5!$A:$H,7),
VLOOKUP($AC110,Inventario6!$A:$H,7)
))))),"")</f>
        <v>Ataque poderoso</v>
      </c>
      <c r="AK110" s="12">
        <f ca="1">IF(ISNUMBER(AC110),
IF($B110=1,VLOOKUP($AC110,Inventario1!$A:$H,8),
IF($B110=2,VLOOKUP($AC110,Inventario2!$A:$H,8),
IF($B110=3,VLOOKUP($AC110,Inventario3!$A:$H,8),
IF($B110=4,VLOOKUP($AC110,Inventario4!$A:$H,8),
IF($B110=5,VLOOKUP($AC110,Inventario5!$A:$H,8),
VLOOKUP($AC110,Inventario6!$A:$H,8)
))))),"")</f>
        <v>0</v>
      </c>
    </row>
    <row r="111" spans="1:37" x14ac:dyDescent="0.25">
      <c r="A111" s="21" t="s">
        <v>75</v>
      </c>
      <c r="B111" s="3">
        <v>2</v>
      </c>
      <c r="C111" s="14" cm="1">
        <f t="array" aca="1" ref="C111" ca="1">_xlfn.LET(
    _xlpm.jugador, A111,
    _xlpm.idSel, AC111,
    _xlpm.invIDs, IF(B111=1,Inventario1!A:A,IF(B111=2,Inventario2!A:A,IF(B111=3,Inventario3!A:A,IF(B111=4,Inventario4!A:A,IF(B111=5,Inventario5!A:A,Inventario6!A:A))))),
    _xlpm.invCalidad, IF(B111=1,Inventario1!B:B,IF(B111=2,Inventario2!B:B,IF(B111=3,Inventario3!B:B,IF(B111=4,Inventario4!B:B,IF(B111=5,Inventario5!B:B,Inventario6!B:B))))),
    _xlpm.invTipos, IF(B111=1,Inventario1!C:C,IF(B111=2,Inventario2!C:C,IF(B111=3,Inventario3!C:C,IF(B111=4,Inventario4!C:C,IF(B111=5,Inventario5!C:C,Inventario6!C:C))))),
    _xlpm.invStats, IF(B111=1,Inventario1!D:H,IF(B111=2,Inventario2!D:H,IF(B111=3,Inventario3!D:H,IF(B111=4,Inventario4!D:H,IF(B111=5,Inventario5!D:H,Inventario6!D:H))))),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IF(ROW(A111)=2,"",IF(_xlfn._xlws.FILTER(Equipar!AC$2:AC110,Equipar!B$2:B110=B111)={0},"",_xlfn._xlws.FILTER(Equipar!AC$2:AC110,Equipar!B$2:B110=B111))),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191</v>
      </c>
      <c r="D111" s="4" cm="1">
        <f t="array" ref="D111">_xlfn.LET(
    _xlpm.jugador, A111,
    _xlpm.idSel, AC111,
    _xlpm.invIDs, IF(B111=1,Inventario1!A:A,IF(B111=2,Inventario2!A:A,IF(B111=3,Inventario3!A:A,IF(B111=4,Inventario4!A:A,IF(B111=5,Inventario5!A:A,Inventario6!A:A))))),
    _xlpm.invCalidad, IF(B111=1,Inventario1!B:B,IF(B111=2,Inventario2!B:B,IF(B111=3,Inventario3!B:B,IF(B111=4,Inventario4!B:B,IF(B111=5,Inventario5!B:B,Inventario6!B:B))))),
    _xlpm.invTipos, IF(B111=1,Inventario1!C:C,IF(B111=2,Inventario2!C:C,IF(B111=3,Inventario3!C:C,IF(B111=4,Inventario4!C:C,IF(B111=5,Inventario5!C:C,Inventario6!C:C))))),
    _xlpm.invStats, IF(B111=1,Inventario1!D:H,IF(B111=2,Inventario2!D:H,IF(B111=3,Inventario3!D:H,IF(B111=4,Inventario4!D:H,IF(B111=5,Inventario5!D:H,Inventario6!D:H))))),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IF(ROW(A111)=2,"",IF(_xlfn._xlws.FILTER(Equipar!AC$2:AC110,Equipar!B$2:B110=B111)={0},"",_xlfn._xlws.FILTER(Equipar!AC$2:AC110,Equipar!B$2:B110=B111))),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45</v>
      </c>
      <c r="E111" s="4" cm="1">
        <f t="array" ref="E111">_xlfn.LET(
    _xlpm.jugador, A111,
    _xlpm.idSel, AC111,
    _xlpm.invIDs, IF(B111=1,Inventario1!A:A,IF(B111=2,Inventario2!A:A,IF(B111=3,Inventario3!A:A,IF(B111=4,Inventario4!A:A,IF(B111=5,Inventario5!A:A,Inventario6!A:A))))),
    _xlpm.invCalidad, IF(B111=1,Inventario1!B:B,IF(B111=2,Inventario2!B:B,IF(B111=3,Inventario3!B:B,IF(B111=4,Inventario4!B:B,IF(B111=5,Inventario5!B:B,Inventario6!B:B))))),
    _xlpm.invTipos, IF(B111=1,Inventario1!C:C,IF(B111=2,Inventario2!C:C,IF(B111=3,Inventario3!C:C,IF(B111=4,Inventario4!C:C,IF(B111=5,Inventario5!C:C,Inventario6!C:C))))),
    _xlpm.invStats, IF(B111=1,Inventario1!D:H,IF(B111=2,Inventario2!D:H,IF(B111=3,Inventario3!D:H,IF(B111=4,Inventario4!D:H,IF(B111=5,Inventario5!D:H,Inventario6!D:H))))),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IF(ROW(A111)=2,"",IF(_xlfn._xlws.FILTER(Equipar!AC$2:AC110,Equipar!B$2:B110=B111)={0},"",_xlfn._xlws.FILTER(Equipar!AC$2:AC110,Equipar!B$2:B110=B111))),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122</v>
      </c>
      <c r="F111" s="4" t="str" cm="1">
        <f t="array" aca="1" ref="F111" ca="1">_xlfn.LET(
    _xlpm.jugador, B111,
    _xlpm.idSel, AD111,
    _xlpm.invIDs, IF(C111=1,Inventario1!B:B,IF(C111=2,Inventario2!B:B,IF(C111=3,Inventario3!B:B,IF(C111=4,Inventario4!B:B,IF(C111=5,Inventario5!B:B,Inventario6!B:B))))),
    _xlpm.invCalidad, IF(C111=1,Inventario1!C:C,IF(C111=2,Inventario2!C:C,IF(C111=3,Inventario3!C:C,IF(C111=4,Inventario4!C:C,IF(C111=5,Inventario5!C:C,Inventario6!C:C))))),
    _xlpm.invTipos, IF(C111=1,Inventario1!D:D,IF(C111=2,Inventario2!D:D,IF(C111=3,Inventario3!D:D,IF(C111=4,Inventario4!D:D,IF(C111=5,Inventario5!D:D,Inventario6!D:D))))),
    _xlpm.invStats, IF(C111=1,Inventario1!E:I,IF(C111=2,Inventario2!E:I,IF(C111=3,Inventario3!E:I,IF(C111=4,Inventario4!E:I,IF(C111=5,Inventario5!E:I,Inventario6!E:I))))),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IF(ROW(B111)=2,"",IF(_xlfn._xlws.FILTER(Equipar!AD$2:AD110,Equipar!C$2:C110=C111)={0},"",_xlfn._xlws.FILTER(Equipar!AD$2:AD110,Equipar!C$2:C110=C111))),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11" s="14" cm="1">
        <f t="array" aca="1" ref="G111" ca="1">_xlfn.LET(
    _xlpm.jugador, A111,
    _xlpm.idSel, AC111,
    _xlpm.invIDs, IF(B111=1,Inventario1!A:A,IF(B111=2,Inventario2!A:A,IF(B111=3,Inventario3!A:A,IF(B111=4,Inventario4!A:A,IF(B111=5,Inventario5!A:A,Inventario6!A:A))))),
    _xlpm.invCalidad, IF(B111=1,Inventario1!B:B,IF(B111=2,Inventario2!B:B,IF(B111=3,Inventario3!B:B,IF(B111=4,Inventario4!B:B,IF(B111=5,Inventario5!B:B,Inventario6!B:B))))),
    _xlpm.invTipos, IF(B111=1,Inventario1!C:C,IF(B111=2,Inventario2!C:C,IF(B111=3,Inventario3!C:C,IF(B111=4,Inventario4!C:C,IF(B111=5,Inventario5!C:C,Inventario6!C:C))))),
    _xlpm.invStats, IF(B111=1,Inventario1!D:H,IF(B111=2,Inventario2!D:H,IF(B111=3,Inventario3!D:H,IF(B111=4,Inventario4!D:H,IF(B111=5,Inventario5!D:H,Inventario6!D:H))))),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IF(ROW(A111)=2,"",IF(_xlfn._xlws.FILTER(Equipar!AC$2:AC110,Equipar!B$2:B110=B111)={0},"",_xlfn._xlws.FILTER(Equipar!AC$2:AC110,Equipar!B$2:B110=B111))),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107.73</v>
      </c>
      <c r="H111" s="4" cm="1">
        <f t="array" ref="H111">_xlfn.LET(
    _xlpm.jugador, A111,
    _xlpm.idSel, AC111,
    _xlpm.invIDs, IF(B111=1,Inventario1!A:A,IF(B111=2,Inventario2!A:A,IF(B111=3,Inventario3!A:A,IF(B111=4,Inventario4!A:A,IF(B111=5,Inventario5!A:A,Inventario6!A:A))))),
    _xlpm.invCalidad, IF(B111=1,Inventario1!B:B,IF(B111=2,Inventario2!B:B,IF(B111=3,Inventario3!B:B,IF(B111=4,Inventario4!B:B,IF(B111=5,Inventario5!B:B,Inventario6!B:B))))),
    _xlpm.invTipos, IF(B111=1,Inventario1!C:C,IF(B111=2,Inventario2!C:C,IF(B111=3,Inventario3!C:C,IF(B111=4,Inventario4!C:C,IF(B111=5,Inventario5!C:C,Inventario6!C:C))))),
    _xlpm.invStats, IF(B111=1,Inventario1!D:H,IF(B111=2,Inventario2!D:H,IF(B111=3,Inventario3!D:H,IF(B111=4,Inventario4!D:H,IF(B111=5,Inventario5!D:H,Inventario6!D:H))))),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IF(ROW(A111)=2,"",IF(_xlfn._xlws.FILTER(Equipar!AC$2:AC110,Equipar!B$2:B110=B111)={0},"",_xlfn._xlws.FILTER(Equipar!AC$2:AC110,Equipar!B$2:B110=B111))),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I111" s="4" cm="1">
        <f t="array" ref="I111">_xlfn.LET(
    _xlpm.jugador, A111,
    _xlpm.idSel, AC111,
    _xlpm.invIDs, IF(B111=1,Inventario1!A:A,IF(B111=2,Inventario2!A:A,IF(B111=3,Inventario3!A:A,IF(B111=4,Inventario4!A:A,IF(B111=5,Inventario5!A:A,Inventario6!A:A))))),
    _xlpm.invCalidad, IF(B111=1,Inventario1!B:B,IF(B111=2,Inventario2!B:B,IF(B111=3,Inventario3!B:B,IF(B111=4,Inventario4!B:B,IF(B111=5,Inventario5!B:B,Inventario6!B:B))))),
    _xlpm.invTipos, IF(B111=1,Inventario1!C:C,IF(B111=2,Inventario2!C:C,IF(B111=3,Inventario3!C:C,IF(B111=4,Inventario4!C:C,IF(B111=5,Inventario5!C:C,Inventario6!C:C))))),
    _xlpm.invStats, IF(B111=1,Inventario1!D:H,IF(B111=2,Inventario2!D:H,IF(B111=3,Inventario3!D:H,IF(B111=4,Inventario4!D:H,IF(B111=5,Inventario5!D:H,Inventario6!D:H))))),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IF(ROW(A111)=2,"",IF(_xlfn._xlws.FILTER(Equipar!AC$2:AC110,Equipar!B$2:B110=B111)={0},"",_xlfn._xlws.FILTER(Equipar!AC$2:AC110,Equipar!B$2:B110=B111))),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J111" s="4" cm="1">
        <f t="array" aca="1" ref="J111" ca="1">_xlfn.LET(
    _xlpm.jugador, B111,
    _xlpm.idSel, AD111,
    _xlpm.invIDs, IF(C111=1,Inventario1!B:B,IF(C111=2,Inventario2!B:B,IF(C111=3,Inventario3!B:B,IF(C111=4,Inventario4!B:B,IF(C111=5,Inventario5!B:B,Inventario6!B:B))))),
    _xlpm.invCalidad, IF(C111=1,Inventario1!C:C,IF(C111=2,Inventario2!C:C,IF(C111=3,Inventario3!C:C,IF(C111=4,Inventario4!C:C,IF(C111=5,Inventario5!C:C,Inventario6!C:C))))),
    _xlpm.invTipos, IF(C111=1,Inventario1!D:D,IF(C111=2,Inventario2!D:D,IF(C111=3,Inventario3!D:D,IF(C111=4,Inventario4!D:D,IF(C111=5,Inventario5!D:D,Inventario6!D:D))))),
    _xlpm.invStats, IF(C111=1,Inventario1!E:I,IF(C111=2,Inventario2!E:I,IF(C111=3,Inventario3!E:I,IF(C111=4,Inventario4!E:I,IF(C111=5,Inventario5!E:I,Inventario6!E:I))))),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IF(ROW(B111)=2,"",IF(_xlfn._xlws.FILTER(Equipar!AD$2:AD110,Equipar!C$2:C110=C111)={0},"",_xlfn._xlws.FILTER(Equipar!AD$2:AD110,Equipar!C$2:C110=C111))),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11" s="4">
        <f t="shared" ca="1" si="4"/>
        <v>8.730000000000004</v>
      </c>
      <c r="L111" s="4">
        <f t="shared" ca="1" si="5"/>
        <v>-11.969999999999999</v>
      </c>
      <c r="M111" s="4">
        <f t="shared" ca="1" si="5"/>
        <v>99</v>
      </c>
      <c r="N111" s="4">
        <f t="shared" si="6"/>
        <v>-20.700000000000003</v>
      </c>
      <c r="O111" s="4">
        <f t="shared" ca="1" si="6"/>
        <v>119.7</v>
      </c>
      <c r="P111" s="14" cm="1">
        <f t="array" aca="1" ref="P111" ca="1">_xlfn.LET(
    _xlpm.ptsPrinBase, _xlfn._xlws.FILTER(G:G, A:A=A111),
    _xlpm.ptsSecBase,  _xlfn._xlws.FILTER(H:H, A:A=A111),
    _xlpm.puntosPrin, _xlpm.ptsPrinBase + _xlfn._xlws.FILTER(B:B, A:A=A111)/1000,
    _xlpm.puntosSec,  _xlpm.ptsSecBase  + _xlfn._xlws.FILTER(B:B, A:A=A111)/1000,
    _xlpm.puntosPrinValidos, SUM(--(_xlpm.ptsPrinBase&gt;0)),
    _xlpm.puntosSecValidos,  SUM(--(_xlpm.ptsSecBase&gt;0)),
    _xlpm.clave, K111 + B111/1000,
    _xlpm.claves, _xlfn._xlws.FILTER(K:K + B:B/1000, A:A=A111),
    IF(AND(_xlpm.puntosPrinValidos&gt;=4,_xlpm.puntosSecValidos&gt;=2),IF(
        SUM(--(_xlpm.claves &gt; _xlpm.clave)) &lt; 4,
        C111,
        D111
    ),"No disp")
)</f>
        <v>191</v>
      </c>
      <c r="Q111" s="14" cm="1">
        <f t="array" aca="1" ref="Q111" ca="1">_xlfn.LET(
    _xlpm.puntosPrin, _xlfn._xlws.FILTER(G:G + B:B/1000, A:A=A111),
    _xlpm.puntosPrinValidos, SUM(--(_xlpm.puntosPrin&gt;1)),
    _xlpm.puntosTer, _xlfn._xlws.FILTER(I:I + B:B/1000, A:A=A111),
    _xlpm.puntosTerValidos, SUM(--(_xlpm.puntosTer&gt;1)),
    _xlpm.clave, L111 + B111/1000,
    _xlpm.claves, _xlfn._xlws.FILTER(L:L + B:B/1000, A:A=A111),
    IF(AND(_xlpm.puntosPrinValidos&gt;=4,_xlpm.puntosTerValidos&gt;=2),IF(
        SUM(--(_xlpm.claves &gt; _xlpm.clave)) &lt; 4,
        C111,
        E111
    ),"No disp")
)</f>
        <v>191</v>
      </c>
      <c r="R111" s="14" t="str" cm="1">
        <f t="array" aca="1" ref="R111" ca="1">_xlfn.LET(
    _xlpm.puntosPrin, _xlfn._xlws.FILTER(G:G + B:B/1000, A:A=A111),
    _xlpm.puntosPrinValidos, SUM(--(_xlpm.puntosPrin&gt;1)),
    _xlpm.puntosTer, _xlfn._xlws.FILTER(J:J + B:B/1000, A:A=A111),
    _xlpm.puntosTerValidos, SUM(--(_xlpm.puntosTer&gt;1)),
    _xlpm.clave, M111 + B111/1000,
    _xlpm.claves, _xlfn._xlws.FILTER(M:M + B:B/1000, A:A=A111),
    IF(AND(_xlpm.puntosPrinValidos&gt;=4,_xlpm.puntosTerValidos&gt;=2),IF(
        SUM(--(_xlpm.claves &gt; _xlpm.clave)) &lt; 4,
        C111,
        F111
    ),"No disp")
)</f>
        <v>No disp</v>
      </c>
      <c r="S111" s="14" cm="1">
        <f t="array" aca="1" ref="S111" ca="1">_xlfn.LET(
    _xlpm.ptsPrinBase, _xlfn._xlws.FILTER(G:G, A:A=A111),
    _xlpm.ptsSecBase,  _xlfn._xlws.FILTER(H:H, A:A=A111),
    _xlpm.puntosPrin, _xlpm.ptsPrinBase + _xlfn._xlws.FILTER(B:B, A:A=A111)/1000,
    _xlpm.puntosSec,  _xlpm.ptsSecBase  + _xlfn._xlws.FILTER(B:B, A:A=A111)/1000,
    _xlpm.puntosPrinValidos, SUM(--(_xlpm.ptsPrinBase&gt;0)),
    _xlpm.puntosSecValidos,  SUM(--(_xlpm.ptsSecBase&gt;0)),
    _xlpm.clave, K111 + B111/1000,
    _xlpm.claves, _xlfn._xlws.FILTER(K:K + B:B/1000, A:A=A111),
    IF(
        AND(_xlpm.puntosPrinValidos&gt;=2, _xlpm.puntosSecValidos&gt;=4),
        IF(
            SUM(--(_xlpm.claves &lt; _xlpm.clave)) &lt; 4,
            D111,
            C111
        ),
        "No disp"
    )
)</f>
        <v>45</v>
      </c>
      <c r="T111" s="14" cm="1">
        <f t="array" ref="T111">_xlfn.LET(
    _xlpm.puntosSec, _xlfn._xlws.FILTER(H:H + B:B/1000, A:A=A111),
    _xlpm.puntosSecValidos, SUM(--(_xlpm.puntosSec&gt;1)),
    _xlpm.puntosAlt, _xlfn._xlws.FILTER(I:I + B:B/1000, A:A=A111),
    _xlpm.puntosAltValidos, SUM(--(_xlpm.puntosAlt&gt;1)),
    _xlpm.clave, N111 + B111/1000,
    _xlpm.claves, _xlfn._xlws.FILTER(N:N + B:B/1000, A:A=A111),
    IF(AND(_xlpm.puntosSecValidos&gt;=4,_xlpm.puntosAltValidos&gt;=2),IF(
        SUM(--(_xlpm.claves &gt; _xlpm.clave)) &lt; 4,
        D111,
        E111
    ),"No disp")
)</f>
        <v>45</v>
      </c>
      <c r="U111" s="14" t="str" cm="1">
        <f t="array" aca="1" ref="U111" ca="1">_xlfn.LET(
    _xlpm.puntosSec, _xlfn._xlws.FILTER(H:H + B:B/1000, A:A=A111),
    _xlpm.puntosSecValidos, SUM(--(_xlpm.puntosSec&gt;1)),
    _xlpm.puntosAlt, _xlfn._xlws.FILTER(J:J + B:B/1000, A:A=A111),
    _xlpm.puntosAltValidos, SUM(--(_xlpm.puntosAlt&gt;1)),
    _xlpm.clave, O111 + B111/1000,
    _xlpm.claves, _xlfn._xlws.FILTER(O:O + B:B/1000, A:A=A111),
    IF(AND(_xlpm.puntosSecValidos&gt;=4,_xlpm.puntosAltValidos&gt;=2),IF(
        SUM(--(_xlpm.claves &gt; _xlpm.clave)) &lt; 4,
        D111,
        F111
    ),"No disp")
)</f>
        <v>No disp</v>
      </c>
      <c r="V111" s="4" cm="1">
        <f t="array" aca="1" ref="V111" ca="1">_xlfn.LET(
_xlpm.PrinIDs,_xlfn._xlws.FILTER(C:C,(A:A=A111)),
_xlpm.SecIDs,_xlfn._xlws.FILTER(D:D,(A:A=A111)),
_xlpm.TerIDs,_xlfn._xlws.FILTER(E:E,A:A=A111),
_xlpm.CuaIDs,_xlfn._xlws.FILTER(F:F,(A:A=A111)),
_xlpm.PrinPts,_xlfn._xlws.FILTER(G:G,(A:A=A111)),
_xlpm.SecPts,_xlfn._xlws.FILTER(H:H,(A:A=A111)),
_xlpm.TerPts,_xlfn._xlws.FILTER(I:I,(A:A=A111)),
_xlpm.CuaPts,_xlfn._xlws.FILTER(J:J,(A:A=A111)),
_xlpm.PSIds,_xlfn._xlws.FILTER(P:P,A:A=A111),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653.13</v>
      </c>
      <c r="W111" s="4" cm="1">
        <f t="array" aca="1" ref="W111" ca="1">_xlfn.LET(
_xlpm.PrinIDs,_xlfn._xlws.FILTER(C:C,(A:A=A111)),
_xlpm.SecIDs,_xlfn._xlws.FILTER(D:D,(A:A=A111)),
_xlpm.TerIDs,_xlfn._xlws.FILTER(E:E,A:A=A111),
_xlpm.CuaIDs,_xlfn._xlws.FILTER(F:F,(A:A=A111)),
_xlpm.PrinPts,_xlfn._xlws.FILTER(G:G,(A:A=A111)),
_xlpm.SecPts,_xlfn._xlws.FILTER(H:H,(A:A=A111)),
_xlpm.TerPts,_xlfn._xlws.FILTER(I:I,(A:A=A111)),
_xlpm.CuaPts,_xlfn._xlws.FILTER(J:J,(A:A=A111)),
_xlpm.PTIds,_xlfn._xlws.FILTER(Q:Q,A:A=A111),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685.53</v>
      </c>
      <c r="X111" s="4" cm="1">
        <f t="array" aca="1" ref="X111" ca="1">_xlfn.LET(
_xlpm.PrinIDs,_xlfn._xlws.FILTER(C:C,(A:A=A111)),
_xlpm.SecIDs,_xlfn._xlws.FILTER(D:D,(A:A=A111)),
_xlpm.TerIDs,_xlfn._xlws.FILTER(E:E,A:A=A111),
_xlpm.CuaIDs,_xlfn._xlws.FILTER(F:F,(A:A=A111)),
_xlpm.PrinPts,_xlfn._xlws.FILTER(G:G,(A:A=A111)),
_xlpm.SecPts,_xlfn._xlws.FILTER(H:H,(A:A=A111)),
_xlpm.TerPts,_xlfn._xlws.FILTER(I:I,(A:A=A111)),
_xlpm.CuaPts,_xlfn._xlws.FILTER(J:J,(A:A=A111)),
_xlpm.PCIds,_xlfn._xlws.FILTER(R:R,A:A=A111),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11" s="4" cm="1">
        <f t="array" aca="1" ref="Y111" ca="1">_xlfn.LET(
_xlpm.PrinIDs,_xlfn._xlws.FILTER(C:C,(A:A=A111)),
_xlpm.SecIDs,_xlfn._xlws.FILTER(D:D,(A:A=A111)),
_xlpm.AltIDs,_xlfn._xlws.FILTER(E:E,A:A=A111),
_xlpm.PrinPts,_xlfn._xlws.FILTER(G:G,(A:A=A111)),
_xlpm.SecPts,_xlfn._xlws.FILTER(H:H,(A:A=A111)),
_xlpm.AltPts,_xlfn._xlws.FILTER(I:I,(A:A=A111)),
_xlpm.SPIds,_xlfn._xlws.FILTER(S:S,A:A=A111),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632.70000000000005</v>
      </c>
      <c r="Z111" s="4" cm="1">
        <f t="array" aca="1" ref="Z111" ca="1">_xlfn.LET(
_xlpm.PrinIDs,_xlfn._xlws.FILTER(C:C,(A:A=A111)),
_xlpm.SecIDs,_xlfn._xlws.FILTER(D:D,(A:A=A111)),
_xlpm.TerIDs,_xlfn._xlws.FILTER(E:E,A:A=A111),
_xlpm.CuaIDs,_xlfn._xlws.FILTER(F:F,(A:A=A111)),
_xlpm.PrinPts,_xlfn._xlws.FILTER(G:G,(A:A=A111)),
_xlpm.SecPts,_xlfn._xlws.FILTER(H:H,(A:A=A111)),
_xlpm.TerPts,_xlfn._xlws.FILTER(I:I,(A:A=A111)),
_xlpm.CuaPts,_xlfn._xlws.FILTER(J:J,(A:A=A111)),
_xlpm.STIds,_xlfn._xlws.FILTER(T:T,A:A=A111),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686.33999999999992</v>
      </c>
      <c r="AA111" s="4" cm="1">
        <f t="array" aca="1" ref="AA111" ca="1">_xlfn.LET(
_xlpm.PrinIDs,_xlfn._xlws.FILTER(C:C,(A:A=A111)),
_xlpm.SecIDs,_xlfn._xlws.FILTER(D:D,(A:A=A111)),
_xlpm.TerIDs,_xlfn._xlws.FILTER(E:E,A:A=A111),
_xlpm.CuaIDs,_xlfn._xlws.FILTER(F:F,(A:A=A111)),
_xlpm.PrinPts,_xlfn._xlws.FILTER(G:G,(A:A=A111)),
_xlpm.SecPts,_xlfn._xlws.FILTER(H:H,(A:A=A111)),
_xlpm.TerPts,_xlfn._xlws.FILTER(I:I,(A:A=A111)),
_xlpm.CuaPts,_xlfn._xlws.FILTER(J:J,(A:A=A111)),
_xlpm.SCIds,_xlfn._xlws.FILTER(U:U,A:A=A111),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11" s="14">
        <f t="shared" ca="1" si="7"/>
        <v>45</v>
      </c>
      <c r="AC111" s="14">
        <v>45</v>
      </c>
      <c r="AD111" s="4"/>
      <c r="AE111" s="14" t="str">
        <f ca="1">IF(ISNUMBER(AC111),
IF($B111=1,VLOOKUP($AC111,Inventario1!$A:$H,2),
IF($B111=2,VLOOKUP($AC111,Inventario2!$A:$H,2),
IF($B111=3,VLOOKUP($AC111,Inventario3!$A:$H,2),
IF($B111=4,VLOOKUP($AC111,Inventario4!$A:$H,2),
IF($B111=5,VLOOKUP($AC111,Inventario5!$A:$H,2),
VLOOKUP($AC111,Inventario6!$A:$H,2)
))))),"No equipado")</f>
        <v>Épico</v>
      </c>
      <c r="AF111" s="14" t="str">
        <f ca="1">IF(ISNUMBER(AC111),
IF($B111=1,VLOOKUP($AC111,Inventario1!$A:$H,3),
IF($B111=2,VLOOKUP($AC111,Inventario2!$A:$H,3),
IF($B111=3,VLOOKUP($AC111,Inventario3!$A:$H,3),
IF($B111=4,VLOOKUP($AC111,Inventario4!$A:$H,3),
IF($B111=5,VLOOKUP($AC111,Inventario5!$A:$H,3),
VLOOKUP($AC111,Inventario6!$A:$H,3)
))))),"")</f>
        <v>Incremento de poder</v>
      </c>
      <c r="AG111" s="14" t="str">
        <f ca="1">IF(ISNUMBER(AC111),
IF($B111=1,VLOOKUP($AC111,Inventario1!$A:$H,4),
IF($B111=2,VLOOKUP($AC111,Inventario2!$A:$H,4),
IF($B111=3,VLOOKUP($AC111,Inventario3!$A:$H,4),
IF($B111=4,VLOOKUP($AC111,Inventario4!$A:$H,4),
IF($B111=5,VLOOKUP($AC111,Inventario5!$A:$H,4),
VLOOKUP($AC111,Inventario6!$A:$H,4)
))))),"")</f>
        <v>Percepción</v>
      </c>
      <c r="AH111" s="14" t="str">
        <f ca="1">IF(ISNUMBER(AC111),
IF($B111=1,VLOOKUP($AC111,Inventario1!$A:$H,5),
IF($B111=2,VLOOKUP($AC111,Inventario2!$A:$H,5),
IF($B111=3,VLOOKUP($AC111,Inventario3!$A:$H,5),
IF($B111=4,VLOOKUP($AC111,Inventario4!$A:$H,5),
IF($B111=5,VLOOKUP($AC111,Inventario5!$A:$H,5),
VLOOKUP($AC111,Inventario6!$A:$H,5)
))))),"")</f>
        <v>Saque</v>
      </c>
      <c r="AI111" s="14" t="str">
        <f ca="1">IF(ISNUMBER(AC111),
IF($B111=1,VLOOKUP($AC111,Inventario1!$A:$H,6),
IF($B111=2,VLOOKUP($AC111,Inventario2!$A:$H,6),
IF($B111=3,VLOOKUP($AC111,Inventario3!$A:$H,6),
IF($B111=4,VLOOKUP($AC111,Inventario4!$A:$H,6),
IF($B111=5,VLOOKUP($AC111,Inventario5!$A:$H,6),
VLOOKUP($AC111,Inventario6!$A:$H,6)
))))),"")</f>
        <v>Ataque poderoso</v>
      </c>
      <c r="AJ111" s="14">
        <f ca="1">IF(ISNUMBER(AC111),
IF($B111=1,VLOOKUP($AC111,Inventario1!$A:$H,7),
IF($B111=2,VLOOKUP($AC111,Inventario2!$A:$H,7),
IF($B111=3,VLOOKUP($AC111,Inventario3!$A:$H,7),
IF($B111=4,VLOOKUP($AC111,Inventario4!$A:$H,7),
IF($B111=5,VLOOKUP($AC111,Inventario5!$A:$H,7),
VLOOKUP($AC111,Inventario6!$A:$H,7)
))))),"")</f>
        <v>0</v>
      </c>
      <c r="AK111" s="15">
        <f ca="1">IF(ISNUMBER(AC111),
IF($B111=1,VLOOKUP($AC111,Inventario1!$A:$H,8),
IF($B111=2,VLOOKUP($AC111,Inventario2!$A:$H,8),
IF($B111=3,VLOOKUP($AC111,Inventario3!$A:$H,8),
IF($B111=4,VLOOKUP($AC111,Inventario4!$A:$H,8),
IF($B111=5,VLOOKUP($AC111,Inventario5!$A:$H,8),
VLOOKUP($AC111,Inventario6!$A:$H,8)
))))),"")</f>
        <v>0</v>
      </c>
    </row>
    <row r="112" spans="1:37" x14ac:dyDescent="0.25">
      <c r="A112" s="21" t="s">
        <v>75</v>
      </c>
      <c r="B112" s="3">
        <v>3</v>
      </c>
      <c r="C112" s="14" cm="1">
        <f t="array" aca="1" ref="C112" ca="1">_xlfn.LET(
    _xlpm.jugador, A112,
    _xlpm.idSel, AC112,
    _xlpm.invIDs, IF(B112=1,Inventario1!A:A,IF(B112=2,Inventario2!A:A,IF(B112=3,Inventario3!A:A,IF(B112=4,Inventario4!A:A,IF(B112=5,Inventario5!A:A,Inventario6!A:A))))),
    _xlpm.invCalidad, IF(B112=1,Inventario1!B:B,IF(B112=2,Inventario2!B:B,IF(B112=3,Inventario3!B:B,IF(B112=4,Inventario4!B:B,IF(B112=5,Inventario5!B:B,Inventario6!B:B))))),
    _xlpm.invTipos, IF(B112=1,Inventario1!C:C,IF(B112=2,Inventario2!C:C,IF(B112=3,Inventario3!C:C,IF(B112=4,Inventario4!C:C,IF(B112=5,Inventario5!C:C,Inventario6!C:C))))),
    _xlpm.invStats, IF(B112=1,Inventario1!D:H,IF(B112=2,Inventario2!D:H,IF(B112=3,Inventario3!D:H,IF(B112=4,Inventario4!D:H,IF(B112=5,Inventario5!D:H,Inventario6!D:H))))),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IF(ROW(A112)=2,"",IF(_xlfn._xlws.FILTER(Equipar!AC$2:AC111,Equipar!B$2:B111=B112)={0},"",_xlfn._xlws.FILTER(Equipar!AC$2:AC111,Equipar!B$2:B111=B112))),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8</v>
      </c>
      <c r="D112" s="4" cm="1">
        <f t="array" ref="D112">_xlfn.LET(
    _xlpm.jugador, A112,
    _xlpm.idSel, AC112,
    _xlpm.invIDs, IF(B112=1,Inventario1!A:A,IF(B112=2,Inventario2!A:A,IF(B112=3,Inventario3!A:A,IF(B112=4,Inventario4!A:A,IF(B112=5,Inventario5!A:A,Inventario6!A:A))))),
    _xlpm.invCalidad, IF(B112=1,Inventario1!B:B,IF(B112=2,Inventario2!B:B,IF(B112=3,Inventario3!B:B,IF(B112=4,Inventario4!B:B,IF(B112=5,Inventario5!B:B,Inventario6!B:B))))),
    _xlpm.invTipos, IF(B112=1,Inventario1!C:C,IF(B112=2,Inventario2!C:C,IF(B112=3,Inventario3!C:C,IF(B112=4,Inventario4!C:C,IF(B112=5,Inventario5!C:C,Inventario6!C:C))))),
    _xlpm.invStats, IF(B112=1,Inventario1!D:H,IF(B112=2,Inventario2!D:H,IF(B112=3,Inventario3!D:H,IF(B112=4,Inventario4!D:H,IF(B112=5,Inventario5!D:H,Inventario6!D:H))))),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IF(ROW(A112)=2,"",IF(_xlfn._xlws.FILTER(Equipar!AC$2:AC111,Equipar!B$2:B111=B112)={0},"",_xlfn._xlws.FILTER(Equipar!AC$2:AC111,Equipar!B$2:B111=B112))),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9</v>
      </c>
      <c r="E112" s="4" t="str" cm="1">
        <f t="array" ref="E112">_xlfn.LET(
    _xlpm.jugador, A112,
    _xlpm.idSel, AC112,
    _xlpm.invIDs, IF(B112=1,Inventario1!A:A,IF(B112=2,Inventario2!A:A,IF(B112=3,Inventario3!A:A,IF(B112=4,Inventario4!A:A,IF(B112=5,Inventario5!A:A,Inventario6!A:A))))),
    _xlpm.invCalidad, IF(B112=1,Inventario1!B:B,IF(B112=2,Inventario2!B:B,IF(B112=3,Inventario3!B:B,IF(B112=4,Inventario4!B:B,IF(B112=5,Inventario5!B:B,Inventario6!B:B))))),
    _xlpm.invTipos, IF(B112=1,Inventario1!C:C,IF(B112=2,Inventario2!C:C,IF(B112=3,Inventario3!C:C,IF(B112=4,Inventario4!C:C,IF(B112=5,Inventario5!C:C,Inventario6!C:C))))),
    _xlpm.invStats, IF(B112=1,Inventario1!D:H,IF(B112=2,Inventario2!D:H,IF(B112=3,Inventario3!D:H,IF(B112=4,Inventario4!D:H,IF(B112=5,Inventario5!D:H,Inventario6!D:H))))),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IF(ROW(A112)=2,"",IF(_xlfn._xlws.FILTER(Equipar!AC$2:AC111,Equipar!B$2:B111=B112)={0},"",_xlfn._xlws.FILTER(Equipar!AC$2:AC111,Equipar!B$2:B111=B112))),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112" s="4" t="str" cm="1">
        <f t="array" aca="1" ref="F112" ca="1">_xlfn.LET(
    _xlpm.jugador, B112,
    _xlpm.idSel, AD112,
    _xlpm.invIDs, IF(C112=1,Inventario1!B:B,IF(C112=2,Inventario2!B:B,IF(C112=3,Inventario3!B:B,IF(C112=4,Inventario4!B:B,IF(C112=5,Inventario5!B:B,Inventario6!B:B))))),
    _xlpm.invCalidad, IF(C112=1,Inventario1!C:C,IF(C112=2,Inventario2!C:C,IF(C112=3,Inventario3!C:C,IF(C112=4,Inventario4!C:C,IF(C112=5,Inventario5!C:C,Inventario6!C:C))))),
    _xlpm.invTipos, IF(C112=1,Inventario1!D:D,IF(C112=2,Inventario2!D:D,IF(C112=3,Inventario3!D:D,IF(C112=4,Inventario4!D:D,IF(C112=5,Inventario5!D:D,Inventario6!D:D))))),
    _xlpm.invStats, IF(C112=1,Inventario1!E:I,IF(C112=2,Inventario2!E:I,IF(C112=3,Inventario3!E:I,IF(C112=4,Inventario4!E:I,IF(C112=5,Inventario5!E:I,Inventario6!E:I))))),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IF(ROW(B112)=2,"",IF(_xlfn._xlws.FILTER(Equipar!AD$2:AD111,Equipar!C$2:C111=C112)={0},"",_xlfn._xlws.FILTER(Equipar!AD$2:AD111,Equipar!C$2:C111=C112))),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12" s="14" cm="1">
        <f t="array" ref="G112">_xlfn.LET(
    _xlpm.jugador, A112,
    _xlpm.idSel, AC112,
    _xlpm.invIDs, IF(B112=1,Inventario1!A:A,IF(B112=2,Inventario2!A:A,IF(B112=3,Inventario3!A:A,IF(B112=4,Inventario4!A:A,IF(B112=5,Inventario5!A:A,Inventario6!A:A))))),
    _xlpm.invCalidad, IF(B112=1,Inventario1!B:B,IF(B112=2,Inventario2!B:B,IF(B112=3,Inventario3!B:B,IF(B112=4,Inventario4!B:B,IF(B112=5,Inventario5!B:B,Inventario6!B:B))))),
    _xlpm.invTipos, IF(B112=1,Inventario1!C:C,IF(B112=2,Inventario2!C:C,IF(B112=3,Inventario3!C:C,IF(B112=4,Inventario4!C:C,IF(B112=5,Inventario5!C:C,Inventario6!C:C))))),
    _xlpm.invStats, IF(B112=1,Inventario1!D:H,IF(B112=2,Inventario2!D:H,IF(B112=3,Inventario3!D:H,IF(B112=4,Inventario4!D:H,IF(B112=5,Inventario5!D:H,Inventario6!D:H))))),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IF(ROW(A112)=2,"",IF(_xlfn._xlws.FILTER(Equipar!AC$2:AC111,Equipar!B$2:B111=B112)={0},"",_xlfn._xlws.FILTER(Equipar!AC$2:AC111,Equipar!B$2:B111=B112))),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H112" s="4" cm="1">
        <f t="array" ref="H112">_xlfn.LET(
    _xlpm.jugador, A112,
    _xlpm.idSel, AC112,
    _xlpm.invIDs, IF(B112=1,Inventario1!A:A,IF(B112=2,Inventario2!A:A,IF(B112=3,Inventario3!A:A,IF(B112=4,Inventario4!A:A,IF(B112=5,Inventario5!A:A,Inventario6!A:A))))),
    _xlpm.invCalidad, IF(B112=1,Inventario1!B:B,IF(B112=2,Inventario2!B:B,IF(B112=3,Inventario3!B:B,IF(B112=4,Inventario4!B:B,IF(B112=5,Inventario5!B:B,Inventario6!B:B))))),
    _xlpm.invTipos, IF(B112=1,Inventario1!C:C,IF(B112=2,Inventario2!C:C,IF(B112=3,Inventario3!C:C,IF(B112=4,Inventario4!C:C,IF(B112=5,Inventario5!C:C,Inventario6!C:C))))),
    _xlpm.invStats, IF(B112=1,Inventario1!D:H,IF(B112=2,Inventario2!D:H,IF(B112=3,Inventario3!D:H,IF(B112=4,Inventario4!D:H,IF(B112=5,Inventario5!D:H,Inventario6!D:H))))),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IF(ROW(A112)=2,"",IF(_xlfn._xlws.FILTER(Equipar!AC$2:AC111,Equipar!B$2:B111=B112)={0},"",_xlfn._xlws.FILTER(Equipar!AC$2:AC111,Equipar!B$2:B111=B112))),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108</v>
      </c>
      <c r="I112" s="4" cm="1">
        <f t="array" ref="I112">_xlfn.LET(
    _xlpm.jugador, A112,
    _xlpm.idSel, AC112,
    _xlpm.invIDs, IF(B112=1,Inventario1!A:A,IF(B112=2,Inventario2!A:A,IF(B112=3,Inventario3!A:A,IF(B112=4,Inventario4!A:A,IF(B112=5,Inventario5!A:A,Inventario6!A:A))))),
    _xlpm.invCalidad, IF(B112=1,Inventario1!B:B,IF(B112=2,Inventario2!B:B,IF(B112=3,Inventario3!B:B,IF(B112=4,Inventario4!B:B,IF(B112=5,Inventario5!B:B,Inventario6!B:B))))),
    _xlpm.invTipos, IF(B112=1,Inventario1!C:C,IF(B112=2,Inventario2!C:C,IF(B112=3,Inventario3!C:C,IF(B112=4,Inventario4!C:C,IF(B112=5,Inventario5!C:C,Inventario6!C:C))))),
    _xlpm.invStats, IF(B112=1,Inventario1!D:H,IF(B112=2,Inventario2!D:H,IF(B112=3,Inventario3!D:H,IF(B112=4,Inventario4!D:H,IF(B112=5,Inventario5!D:H,Inventario6!D:H))))),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IF(ROW(A112)=2,"",IF(_xlfn._xlws.FILTER(Equipar!AC$2:AC111,Equipar!B$2:B111=B112)={0},"",_xlfn._xlws.FILTER(Equipar!AC$2:AC111,Equipar!B$2:B111=B112))),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112" s="4" cm="1">
        <f t="array" aca="1" ref="J112" ca="1">_xlfn.LET(
    _xlpm.jugador, B112,
    _xlpm.idSel, AD112,
    _xlpm.invIDs, IF(C112=1,Inventario1!B:B,IF(C112=2,Inventario2!B:B,IF(C112=3,Inventario3!B:B,IF(C112=4,Inventario4!B:B,IF(C112=5,Inventario5!B:B,Inventario6!B:B))))),
    _xlpm.invCalidad, IF(C112=1,Inventario1!C:C,IF(C112=2,Inventario2!C:C,IF(C112=3,Inventario3!C:C,IF(C112=4,Inventario4!C:C,IF(C112=5,Inventario5!C:C,Inventario6!C:C))))),
    _xlpm.invTipos, IF(C112=1,Inventario1!D:D,IF(C112=2,Inventario2!D:D,IF(C112=3,Inventario3!D:D,IF(C112=4,Inventario4!D:D,IF(C112=5,Inventario5!D:D,Inventario6!D:D))))),
    _xlpm.invStats, IF(C112=1,Inventario1!E:I,IF(C112=2,Inventario2!E:I,IF(C112=3,Inventario3!E:I,IF(C112=4,Inventario4!E:I,IF(C112=5,Inventario5!E:I,Inventario6!E:I))))),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IF(ROW(B112)=2,"",IF(_xlfn._xlws.FILTER(Equipar!AD$2:AD111,Equipar!C$2:C111=C112)={0},"",_xlfn._xlws.FILTER(Equipar!AD$2:AD111,Equipar!C$2:C111=C112))),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12" s="4">
        <f t="shared" ca="1" si="4"/>
        <v>-9</v>
      </c>
      <c r="L112" s="4">
        <f t="shared" ca="1" si="5"/>
        <v>99</v>
      </c>
      <c r="M112" s="4">
        <f t="shared" ca="1" si="5"/>
        <v>108</v>
      </c>
      <c r="N112" s="4">
        <f t="shared" si="6"/>
        <v>108</v>
      </c>
      <c r="O112" s="4">
        <f t="shared" ca="1" si="6"/>
        <v>0</v>
      </c>
      <c r="P112" s="14" cm="1">
        <f t="array" aca="1" ref="P112" ca="1">_xlfn.LET(
    _xlpm.ptsPrinBase, _xlfn._xlws.FILTER(G:G, A:A=A112),
    _xlpm.ptsSecBase,  _xlfn._xlws.FILTER(H:H, A:A=A112),
    _xlpm.puntosPrin, _xlpm.ptsPrinBase + _xlfn._xlws.FILTER(B:B, A:A=A112)/1000,
    _xlpm.puntosSec,  _xlpm.ptsSecBase  + _xlfn._xlws.FILTER(B:B, A:A=A112)/1000,
    _xlpm.puntosPrinValidos, SUM(--(_xlpm.ptsPrinBase&gt;0)),
    _xlpm.puntosSecValidos,  SUM(--(_xlpm.ptsSecBase&gt;0)),
    _xlpm.clave, K112 + B112/1000,
    _xlpm.claves, _xlfn._xlws.FILTER(K:K + B:B/1000, A:A=A112),
    IF(AND(_xlpm.puntosPrinValidos&gt;=4,_xlpm.puntosSecValidos&gt;=2),IF(
        SUM(--(_xlpm.claves &gt; _xlpm.clave)) &lt; 4,
        C112,
        D112
    ),"No disp")
)</f>
        <v>9</v>
      </c>
      <c r="Q112" s="14" cm="1">
        <f t="array" aca="1" ref="Q112" ca="1">_xlfn.LET(
    _xlpm.puntosPrin, _xlfn._xlws.FILTER(G:G + B:B/1000, A:A=A112),
    _xlpm.puntosPrinValidos, SUM(--(_xlpm.puntosPrin&gt;1)),
    _xlpm.puntosTer, _xlfn._xlws.FILTER(I:I + B:B/1000, A:A=A112),
    _xlpm.puntosTerValidos, SUM(--(_xlpm.puntosTer&gt;1)),
    _xlpm.clave, L112 + B112/1000,
    _xlpm.claves, _xlfn._xlws.FILTER(L:L + B:B/1000, A:A=A112),
    IF(AND(_xlpm.puntosPrinValidos&gt;=4,_xlpm.puntosTerValidos&gt;=2),IF(
        SUM(--(_xlpm.claves &gt; _xlpm.clave)) &lt; 4,
        C112,
        E112
    ),"No disp")
)</f>
        <v>8</v>
      </c>
      <c r="R112" s="14" t="str" cm="1">
        <f t="array" aca="1" ref="R112" ca="1">_xlfn.LET(
    _xlpm.puntosPrin, _xlfn._xlws.FILTER(G:G + B:B/1000, A:A=A112),
    _xlpm.puntosPrinValidos, SUM(--(_xlpm.puntosPrin&gt;1)),
    _xlpm.puntosTer, _xlfn._xlws.FILTER(J:J + B:B/1000, A:A=A112),
    _xlpm.puntosTerValidos, SUM(--(_xlpm.puntosTer&gt;1)),
    _xlpm.clave, M112 + B112/1000,
    _xlpm.claves, _xlfn._xlws.FILTER(M:M + B:B/1000, A:A=A112),
    IF(AND(_xlpm.puntosPrinValidos&gt;=4,_xlpm.puntosTerValidos&gt;=2),IF(
        SUM(--(_xlpm.claves &gt; _xlpm.clave)) &lt; 4,
        C112,
        F112
    ),"No disp")
)</f>
        <v>No disp</v>
      </c>
      <c r="S112" s="14" cm="1">
        <f t="array" aca="1" ref="S112" ca="1">_xlfn.LET(
    _xlpm.ptsPrinBase, _xlfn._xlws.FILTER(G:G, A:A=A112),
    _xlpm.ptsSecBase,  _xlfn._xlws.FILTER(H:H, A:A=A112),
    _xlpm.puntosPrin, _xlpm.ptsPrinBase + _xlfn._xlws.FILTER(B:B, A:A=A112)/1000,
    _xlpm.puntosSec,  _xlpm.ptsSecBase  + _xlfn._xlws.FILTER(B:B, A:A=A112)/1000,
    _xlpm.puntosPrinValidos, SUM(--(_xlpm.ptsPrinBase&gt;0)),
    _xlpm.puntosSecValidos,  SUM(--(_xlpm.ptsSecBase&gt;0)),
    _xlpm.clave, K112 + B112/1000,
    _xlpm.claves, _xlfn._xlws.FILTER(K:K + B:B/1000, A:A=A112),
    IF(
        AND(_xlpm.puntosPrinValidos&gt;=2, _xlpm.puntosSecValidos&gt;=4),
        IF(
            SUM(--(_xlpm.claves &lt; _xlpm.clave)) &lt; 4,
            D112,
            C112
        ),
        "No disp"
    )
)</f>
        <v>9</v>
      </c>
      <c r="T112" s="14" cm="1">
        <f t="array" ref="T112">_xlfn.LET(
    _xlpm.puntosSec, _xlfn._xlws.FILTER(H:H + B:B/1000, A:A=A112),
    _xlpm.puntosSecValidos, SUM(--(_xlpm.puntosSec&gt;1)),
    _xlpm.puntosAlt, _xlfn._xlws.FILTER(I:I + B:B/1000, A:A=A112),
    _xlpm.puntosAltValidos, SUM(--(_xlpm.puntosAlt&gt;1)),
    _xlpm.clave, N112 + B112/1000,
    _xlpm.claves, _xlfn._xlws.FILTER(N:N + B:B/1000, A:A=A112),
    IF(AND(_xlpm.puntosSecValidos&gt;=4,_xlpm.puntosAltValidos&gt;=2),IF(
        SUM(--(_xlpm.claves &gt; _xlpm.clave)) &lt; 4,
        D112,
        E112
    ),"No disp")
)</f>
        <v>9</v>
      </c>
      <c r="U112" s="14" t="str" cm="1">
        <f t="array" aca="1" ref="U112" ca="1">_xlfn.LET(
    _xlpm.puntosSec, _xlfn._xlws.FILTER(H:H + B:B/1000, A:A=A112),
    _xlpm.puntosSecValidos, SUM(--(_xlpm.puntosSec&gt;1)),
    _xlpm.puntosAlt, _xlfn._xlws.FILTER(J:J + B:B/1000, A:A=A112),
    _xlpm.puntosAltValidos, SUM(--(_xlpm.puntosAlt&gt;1)),
    _xlpm.clave, O112 + B112/1000,
    _xlpm.claves, _xlfn._xlws.FILTER(O:O + B:B/1000, A:A=A112),
    IF(AND(_xlpm.puntosSecValidos&gt;=4,_xlpm.puntosAltValidos&gt;=2),IF(
        SUM(--(_xlpm.claves &gt; _xlpm.clave)) &lt; 4,
        D112,
        F112
    ),"No disp")
)</f>
        <v>No disp</v>
      </c>
      <c r="V112" s="4" cm="1">
        <f t="array" aca="1" ref="V112" ca="1">_xlfn.LET(
_xlpm.PrinIDs,_xlfn._xlws.FILTER(C:C,(A:A=A112)),
_xlpm.SecIDs,_xlfn._xlws.FILTER(D:D,(A:A=A112)),
_xlpm.TerIDs,_xlfn._xlws.FILTER(E:E,A:A=A112),
_xlpm.CuaIDs,_xlfn._xlws.FILTER(F:F,(A:A=A112)),
_xlpm.PrinPts,_xlfn._xlws.FILTER(G:G,(A:A=A112)),
_xlpm.SecPts,_xlfn._xlws.FILTER(H:H,(A:A=A112)),
_xlpm.TerPts,_xlfn._xlws.FILTER(I:I,(A:A=A112)),
_xlpm.CuaPts,_xlfn._xlws.FILTER(J:J,(A:A=A112)),
_xlpm.PSIds,_xlfn._xlws.FILTER(P:P,A:A=A112),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653.13</v>
      </c>
      <c r="W112" s="4" cm="1">
        <f t="array" aca="1" ref="W112" ca="1">_xlfn.LET(
_xlpm.PrinIDs,_xlfn._xlws.FILTER(C:C,(A:A=A112)),
_xlpm.SecIDs,_xlfn._xlws.FILTER(D:D,(A:A=A112)),
_xlpm.TerIDs,_xlfn._xlws.FILTER(E:E,A:A=A112),
_xlpm.CuaIDs,_xlfn._xlws.FILTER(F:F,(A:A=A112)),
_xlpm.PrinPts,_xlfn._xlws.FILTER(G:G,(A:A=A112)),
_xlpm.SecPts,_xlfn._xlws.FILTER(H:H,(A:A=A112)),
_xlpm.TerPts,_xlfn._xlws.FILTER(I:I,(A:A=A112)),
_xlpm.CuaPts,_xlfn._xlws.FILTER(J:J,(A:A=A112)),
_xlpm.PTIds,_xlfn._xlws.FILTER(Q:Q,A:A=A112),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685.53</v>
      </c>
      <c r="X112" s="4" cm="1">
        <f t="array" aca="1" ref="X112" ca="1">_xlfn.LET(
_xlpm.PrinIDs,_xlfn._xlws.FILTER(C:C,(A:A=A112)),
_xlpm.SecIDs,_xlfn._xlws.FILTER(D:D,(A:A=A112)),
_xlpm.TerIDs,_xlfn._xlws.FILTER(E:E,A:A=A112),
_xlpm.CuaIDs,_xlfn._xlws.FILTER(F:F,(A:A=A112)),
_xlpm.PrinPts,_xlfn._xlws.FILTER(G:G,(A:A=A112)),
_xlpm.SecPts,_xlfn._xlws.FILTER(H:H,(A:A=A112)),
_xlpm.TerPts,_xlfn._xlws.FILTER(I:I,(A:A=A112)),
_xlpm.CuaPts,_xlfn._xlws.FILTER(J:J,(A:A=A112)),
_xlpm.PCIds,_xlfn._xlws.FILTER(R:R,A:A=A112),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12" s="4" cm="1">
        <f t="array" aca="1" ref="Y112" ca="1">_xlfn.LET(
_xlpm.PrinIDs,_xlfn._xlws.FILTER(C:C,(A:A=A112)),
_xlpm.SecIDs,_xlfn._xlws.FILTER(D:D,(A:A=A112)),
_xlpm.AltIDs,_xlfn._xlws.FILTER(E:E,A:A=A112),
_xlpm.PrinPts,_xlfn._xlws.FILTER(G:G,(A:A=A112)),
_xlpm.SecPts,_xlfn._xlws.FILTER(H:H,(A:A=A112)),
_xlpm.AltPts,_xlfn._xlws.FILTER(I:I,(A:A=A112)),
_xlpm.SPIds,_xlfn._xlws.FILTER(S:S,A:A=A112),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632.70000000000005</v>
      </c>
      <c r="Z112" s="4" cm="1">
        <f t="array" aca="1" ref="Z112" ca="1">_xlfn.LET(
_xlpm.PrinIDs,_xlfn._xlws.FILTER(C:C,(A:A=A112)),
_xlpm.SecIDs,_xlfn._xlws.FILTER(D:D,(A:A=A112)),
_xlpm.TerIDs,_xlfn._xlws.FILTER(E:E,A:A=A112),
_xlpm.CuaIDs,_xlfn._xlws.FILTER(F:F,(A:A=A112)),
_xlpm.PrinPts,_xlfn._xlws.FILTER(G:G,(A:A=A112)),
_xlpm.SecPts,_xlfn._xlws.FILTER(H:H,(A:A=A112)),
_xlpm.TerPts,_xlfn._xlws.FILTER(I:I,(A:A=A112)),
_xlpm.CuaPts,_xlfn._xlws.FILTER(J:J,(A:A=A112)),
_xlpm.STIds,_xlfn._xlws.FILTER(T:T,A:A=A112),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686.33999999999992</v>
      </c>
      <c r="AA112" s="4" cm="1">
        <f t="array" aca="1" ref="AA112" ca="1">_xlfn.LET(
_xlpm.PrinIDs,_xlfn._xlws.FILTER(C:C,(A:A=A112)),
_xlpm.SecIDs,_xlfn._xlws.FILTER(D:D,(A:A=A112)),
_xlpm.TerIDs,_xlfn._xlws.FILTER(E:E,A:A=A112),
_xlpm.CuaIDs,_xlfn._xlws.FILTER(F:F,(A:A=A112)),
_xlpm.PrinPts,_xlfn._xlws.FILTER(G:G,(A:A=A112)),
_xlpm.SecPts,_xlfn._xlws.FILTER(H:H,(A:A=A112)),
_xlpm.TerPts,_xlfn._xlws.FILTER(I:I,(A:A=A112)),
_xlpm.CuaPts,_xlfn._xlws.FILTER(J:J,(A:A=A112)),
_xlpm.SCIds,_xlfn._xlws.FILTER(U:U,A:A=A112),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12" s="14">
        <f t="shared" ca="1" si="7"/>
        <v>9</v>
      </c>
      <c r="AC112" s="14">
        <v>9</v>
      </c>
      <c r="AD112" s="4"/>
      <c r="AE112" s="14" t="str">
        <f ca="1">IF(ISNUMBER(AC112),
IF($B112=1,VLOOKUP($AC112,Inventario1!$A:$H,2),
IF($B112=2,VLOOKUP($AC112,Inventario2!$A:$H,2),
IF($B112=3,VLOOKUP($AC112,Inventario3!$A:$H,2),
IF($B112=4,VLOOKUP($AC112,Inventario4!$A:$H,2),
IF($B112=5,VLOOKUP($AC112,Inventario5!$A:$H,2),
VLOOKUP($AC112,Inventario6!$A:$H,2)
))))),"No equipado")</f>
        <v>Épico</v>
      </c>
      <c r="AF112" s="14" t="str">
        <f ca="1">IF(ISNUMBER(AC112),
IF($B112=1,VLOOKUP($AC112,Inventario1!$A:$H,3),
IF($B112=2,VLOOKUP($AC112,Inventario2!$A:$H,3),
IF($B112=3,VLOOKUP($AC112,Inventario3!$A:$H,3),
IF($B112=4,VLOOKUP($AC112,Inventario4!$A:$H,3),
IF($B112=5,VLOOKUP($AC112,Inventario5!$A:$H,3),
VLOOKUP($AC112,Inventario6!$A:$H,3)
))))),"")</f>
        <v>Incremento de poder</v>
      </c>
      <c r="AG112" s="14" t="str">
        <f ca="1">IF(ISNUMBER(AC112),
IF($B112=1,VLOOKUP($AC112,Inventario1!$A:$H,4),
IF($B112=2,VLOOKUP($AC112,Inventario2!$A:$H,4),
IF($B112=3,VLOOKUP($AC112,Inventario3!$A:$H,4),
IF($B112=4,VLOOKUP($AC112,Inventario4!$A:$H,4),
IF($B112=5,VLOOKUP($AC112,Inventario5!$A:$H,4),
VLOOKUP($AC112,Inventario6!$A:$H,4)
))))),"")</f>
        <v>Saque</v>
      </c>
      <c r="AH112" s="14" t="str">
        <f ca="1">IF(ISNUMBER(AC112),
IF($B112=1,VLOOKUP($AC112,Inventario1!$A:$H,5),
IF($B112=2,VLOOKUP($AC112,Inventario2!$A:$H,5),
IF($B112=3,VLOOKUP($AC112,Inventario3!$A:$H,5),
IF($B112=4,VLOOKUP($AC112,Inventario4!$A:$H,5),
IF($B112=5,VLOOKUP($AC112,Inventario5!$A:$H,5),
VLOOKUP($AC112,Inventario6!$A:$H,5)
))))),"")</f>
        <v>Técnica ofensiva</v>
      </c>
      <c r="AI112" s="14" t="str">
        <f ca="1">IF(ISNUMBER(AC112),
IF($B112=1,VLOOKUP($AC112,Inventario1!$A:$H,6),
IF($B112=2,VLOOKUP($AC112,Inventario2!$A:$H,6),
IF($B112=3,VLOOKUP($AC112,Inventario3!$A:$H,6),
IF($B112=4,VLOOKUP($AC112,Inventario4!$A:$H,6),
IF($B112=5,VLOOKUP($AC112,Inventario5!$A:$H,6),
VLOOKUP($AC112,Inventario6!$A:$H,6)
))))),"")</f>
        <v>Ataque poderoso</v>
      </c>
      <c r="AJ112" s="14" t="str">
        <f ca="1">IF(ISNUMBER(AC112),
IF($B112=1,VLOOKUP($AC112,Inventario1!$A:$H,7),
IF($B112=2,VLOOKUP($AC112,Inventario2!$A:$H,7),
IF($B112=3,VLOOKUP($AC112,Inventario3!$A:$H,7),
IF($B112=4,VLOOKUP($AC112,Inventario4!$A:$H,7),
IF($B112=5,VLOOKUP($AC112,Inventario5!$A:$H,7),
VLOOKUP($AC112,Inventario6!$A:$H,7)
))))),"")</f>
        <v>Fuerza</v>
      </c>
      <c r="AK112" s="15" t="str">
        <f ca="1">IF(ISNUMBER(AC112),
IF($B112=1,VLOOKUP($AC112,Inventario1!$A:$H,8),
IF($B112=2,VLOOKUP($AC112,Inventario2!$A:$H,8),
IF($B112=3,VLOOKUP($AC112,Inventario3!$A:$H,8),
IF($B112=4,VLOOKUP($AC112,Inventario4!$A:$H,8),
IF($B112=5,VLOOKUP($AC112,Inventario5!$A:$H,8),
VLOOKUP($AC112,Inventario6!$A:$H,8)
))))),"")</f>
        <v>Reflejos</v>
      </c>
    </row>
    <row r="113" spans="1:37" x14ac:dyDescent="0.25">
      <c r="A113" s="21" t="s">
        <v>75</v>
      </c>
      <c r="B113" s="3">
        <v>4</v>
      </c>
      <c r="C113" s="14" cm="1">
        <f t="array" ref="C113">_xlfn.LET(
    _xlpm.jugador, A113,
    _xlpm.idSel, AC113,
    _xlpm.invIDs, IF(B113=1,Inventario1!A:A,IF(B113=2,Inventario2!A:A,IF(B113=3,Inventario3!A:A,IF(B113=4,Inventario4!A:A,IF(B113=5,Inventario5!A:A,Inventario6!A:A))))),
    _xlpm.invCalidad, IF(B113=1,Inventario1!B:B,IF(B113=2,Inventario2!B:B,IF(B113=3,Inventario3!B:B,IF(B113=4,Inventario4!B:B,IF(B113=5,Inventario5!B:B,Inventario6!B:B))))),
    _xlpm.invTipos, IF(B113=1,Inventario1!C:C,IF(B113=2,Inventario2!C:C,IF(B113=3,Inventario3!C:C,IF(B113=4,Inventario4!C:C,IF(B113=5,Inventario5!C:C,Inventario6!C:C))))),
    _xlpm.invStats, IF(B113=1,Inventario1!D:H,IF(B113=2,Inventario2!D:H,IF(B113=3,Inventario3!D:H,IF(B113=4,Inventario4!D:H,IF(B113=5,Inventario5!D:H,Inventario6!D:H))))),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IF(ROW(A113)=2,"",IF(_xlfn._xlws.FILTER(Equipar!AC$2:AC112,Equipar!B$2:B112=B113)={0},"",_xlfn._xlws.FILTER(Equipar!AC$2:AC112,Equipar!B$2:B112=B113))),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8</v>
      </c>
      <c r="D113" s="4" cm="1">
        <f t="array" ref="D113">_xlfn.LET(
    _xlpm.jugador, A113,
    _xlpm.idSel, AC113,
    _xlpm.invIDs, IF(B113=1,Inventario1!A:A,IF(B113=2,Inventario2!A:A,IF(B113=3,Inventario3!A:A,IF(B113=4,Inventario4!A:A,IF(B113=5,Inventario5!A:A,Inventario6!A:A))))),
    _xlpm.invCalidad, IF(B113=1,Inventario1!B:B,IF(B113=2,Inventario2!B:B,IF(B113=3,Inventario3!B:B,IF(B113=4,Inventario4!B:B,IF(B113=5,Inventario5!B:B,Inventario6!B:B))))),
    _xlpm.invTipos, IF(B113=1,Inventario1!C:C,IF(B113=2,Inventario2!C:C,IF(B113=3,Inventario3!C:C,IF(B113=4,Inventario4!C:C,IF(B113=5,Inventario5!C:C,Inventario6!C:C))))),
    _xlpm.invStats, IF(B113=1,Inventario1!D:H,IF(B113=2,Inventario2!D:H,IF(B113=3,Inventario3!D:H,IF(B113=4,Inventario4!D:H,IF(B113=5,Inventario5!D:H,Inventario6!D:H))))),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IF(ROW(A113)=2,"",IF(_xlfn._xlws.FILTER(Equipar!AC$2:AC112,Equipar!B$2:B112=B113)={0},"",_xlfn._xlws.FILTER(Equipar!AC$2:AC112,Equipar!B$2:B112=B113))),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15</v>
      </c>
      <c r="E113" s="4" cm="1">
        <f t="array" ref="E113">_xlfn.LET(
    _xlpm.jugador, A113,
    _xlpm.idSel, AC113,
    _xlpm.invIDs, IF(B113=1,Inventario1!A:A,IF(B113=2,Inventario2!A:A,IF(B113=3,Inventario3!A:A,IF(B113=4,Inventario4!A:A,IF(B113=5,Inventario5!A:A,Inventario6!A:A))))),
    _xlpm.invCalidad, IF(B113=1,Inventario1!B:B,IF(B113=2,Inventario2!B:B,IF(B113=3,Inventario3!B:B,IF(B113=4,Inventario4!B:B,IF(B113=5,Inventario5!B:B,Inventario6!B:B))))),
    _xlpm.invTipos, IF(B113=1,Inventario1!C:C,IF(B113=2,Inventario2!C:C,IF(B113=3,Inventario3!C:C,IF(B113=4,Inventario4!C:C,IF(B113=5,Inventario5!C:C,Inventario6!C:C))))),
    _xlpm.invStats, IF(B113=1,Inventario1!D:H,IF(B113=2,Inventario2!D:H,IF(B113=3,Inventario3!D:H,IF(B113=4,Inventario4!D:H,IF(B113=5,Inventario5!D:H,Inventario6!D:H))))),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IF(ROW(A113)=2,"",IF(_xlfn._xlws.FILTER(Equipar!AC$2:AC112,Equipar!B$2:B112=B113)={0},"",_xlfn._xlws.FILTER(Equipar!AC$2:AC112,Equipar!B$2:B112=B113))),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166</v>
      </c>
      <c r="F113" s="4" t="str" cm="1">
        <f t="array" aca="1" ref="F113" ca="1">_xlfn.LET(
    _xlpm.jugador, B113,
    _xlpm.idSel, AD113,
    _xlpm.invIDs, IF(C113=1,Inventario1!B:B,IF(C113=2,Inventario2!B:B,IF(C113=3,Inventario3!B:B,IF(C113=4,Inventario4!B:B,IF(C113=5,Inventario5!B:B,Inventario6!B:B))))),
    _xlpm.invCalidad, IF(C113=1,Inventario1!C:C,IF(C113=2,Inventario2!C:C,IF(C113=3,Inventario3!C:C,IF(C113=4,Inventario4!C:C,IF(C113=5,Inventario5!C:C,Inventario6!C:C))))),
    _xlpm.invTipos, IF(C113=1,Inventario1!D:D,IF(C113=2,Inventario2!D:D,IF(C113=3,Inventario3!D:D,IF(C113=4,Inventario4!D:D,IF(C113=5,Inventario5!D:D,Inventario6!D:D))))),
    _xlpm.invStats, IF(C113=1,Inventario1!E:I,IF(C113=2,Inventario2!E:I,IF(C113=3,Inventario3!E:I,IF(C113=4,Inventario4!E:I,IF(C113=5,Inventario5!E:I,Inventario6!E:I))))),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IF(ROW(B113)=2,"",IF(_xlfn._xlws.FILTER(Equipar!AD$2:AD112,Equipar!C$2:C112=C113)={0},"",_xlfn._xlws.FILTER(Equipar!AD$2:AD112,Equipar!C$2:C112=C113))),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13" s="14" cm="1">
        <f t="array" ref="G113">_xlfn.LET(
    _xlpm.jugador, A113,
    _xlpm.idSel, AC113,
    _xlpm.invIDs, IF(B113=1,Inventario1!A:A,IF(B113=2,Inventario2!A:A,IF(B113=3,Inventario3!A:A,IF(B113=4,Inventario4!A:A,IF(B113=5,Inventario5!A:A,Inventario6!A:A))))),
    _xlpm.invCalidad, IF(B113=1,Inventario1!B:B,IF(B113=2,Inventario2!B:B,IF(B113=3,Inventario3!B:B,IF(B113=4,Inventario4!B:B,IF(B113=5,Inventario5!B:B,Inventario6!B:B))))),
    _xlpm.invTipos, IF(B113=1,Inventario1!C:C,IF(B113=2,Inventario2!C:C,IF(B113=3,Inventario3!C:C,IF(B113=4,Inventario4!C:C,IF(B113=5,Inventario5!C:C,Inventario6!C:C))))),
    _xlpm.invStats, IF(B113=1,Inventario1!D:H,IF(B113=2,Inventario2!D:H,IF(B113=3,Inventario3!D:H,IF(B113=4,Inventario4!D:H,IF(B113=5,Inventario5!D:H,Inventario6!D:H))))),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IF(ROW(A113)=2,"",IF(_xlfn._xlws.FILTER(Equipar!AC$2:AC112,Equipar!B$2:B112=B113)={0},"",_xlfn._xlws.FILTER(Equipar!AC$2:AC112,Equipar!B$2:B112=B113))),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90</v>
      </c>
      <c r="H113" s="4" cm="1">
        <f t="array" ref="H113">_xlfn.LET(
    _xlpm.jugador, A113,
    _xlpm.idSel, AC113,
    _xlpm.invIDs, IF(B113=1,Inventario1!A:A,IF(B113=2,Inventario2!A:A,IF(B113=3,Inventario3!A:A,IF(B113=4,Inventario4!A:A,IF(B113=5,Inventario5!A:A,Inventario6!A:A))))),
    _xlpm.invCalidad, IF(B113=1,Inventario1!B:B,IF(B113=2,Inventario2!B:B,IF(B113=3,Inventario3!B:B,IF(B113=4,Inventario4!B:B,IF(B113=5,Inventario5!B:B,Inventario6!B:B))))),
    _xlpm.invTipos, IF(B113=1,Inventario1!C:C,IF(B113=2,Inventario2!C:C,IF(B113=3,Inventario3!C:C,IF(B113=4,Inventario4!C:C,IF(B113=5,Inventario5!C:C,Inventario6!C:C))))),
    _xlpm.invStats, IF(B113=1,Inventario1!D:H,IF(B113=2,Inventario2!D:H,IF(B113=3,Inventario3!D:H,IF(B113=4,Inventario4!D:H,IF(B113=5,Inventario5!D:H,Inventario6!D:H))))),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IF(ROW(A113)=2,"",IF(_xlfn._xlws.FILTER(Equipar!AC$2:AC112,Equipar!B$2:B112=B113)={0},"",_xlfn._xlws.FILTER(Equipar!AC$2:AC112,Equipar!B$2:B112=B113))),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72</v>
      </c>
      <c r="I113" s="4" cm="1">
        <f t="array" ref="I113">_xlfn.LET(
    _xlpm.jugador, A113,
    _xlpm.idSel, AC113,
    _xlpm.invIDs, IF(B113=1,Inventario1!A:A,IF(B113=2,Inventario2!A:A,IF(B113=3,Inventario3!A:A,IF(B113=4,Inventario4!A:A,IF(B113=5,Inventario5!A:A,Inventario6!A:A))))),
    _xlpm.invCalidad, IF(B113=1,Inventario1!B:B,IF(B113=2,Inventario2!B:B,IF(B113=3,Inventario3!B:B,IF(B113=4,Inventario4!B:B,IF(B113=5,Inventario5!B:B,Inventario6!B:B))))),
    _xlpm.invTipos, IF(B113=1,Inventario1!C:C,IF(B113=2,Inventario2!C:C,IF(B113=3,Inventario3!C:C,IF(B113=4,Inventario4!C:C,IF(B113=5,Inventario5!C:C,Inventario6!C:C))))),
    _xlpm.invStats, IF(B113=1,Inventario1!D:H,IF(B113=2,Inventario2!D:H,IF(B113=3,Inventario3!D:H,IF(B113=4,Inventario4!D:H,IF(B113=5,Inventario5!D:H,Inventario6!D:H))))),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IF(ROW(A113)=2,"",IF(_xlfn._xlws.FILTER(Equipar!AC$2:AC112,Equipar!B$2:B112=B113)={0},"",_xlfn._xlws.FILTER(Equipar!AC$2:AC112,Equipar!B$2:B112=B113))),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J113" s="4" cm="1">
        <f t="array" aca="1" ref="J113" ca="1">_xlfn.LET(
    _xlpm.jugador, B113,
    _xlpm.idSel, AD113,
    _xlpm.invIDs, IF(C113=1,Inventario1!B:B,IF(C113=2,Inventario2!B:B,IF(C113=3,Inventario3!B:B,IF(C113=4,Inventario4!B:B,IF(C113=5,Inventario5!B:B,Inventario6!B:B))))),
    _xlpm.invCalidad, IF(C113=1,Inventario1!C:C,IF(C113=2,Inventario2!C:C,IF(C113=3,Inventario3!C:C,IF(C113=4,Inventario4!C:C,IF(C113=5,Inventario5!C:C,Inventario6!C:C))))),
    _xlpm.invTipos, IF(C113=1,Inventario1!D:D,IF(C113=2,Inventario2!D:D,IF(C113=3,Inventario3!D:D,IF(C113=4,Inventario4!D:D,IF(C113=5,Inventario5!D:D,Inventario6!D:D))))),
    _xlpm.invStats, IF(C113=1,Inventario1!E:I,IF(C113=2,Inventario2!E:I,IF(C113=3,Inventario3!E:I,IF(C113=4,Inventario4!E:I,IF(C113=5,Inventario5!E:I,Inventario6!E:I))))),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IF(ROW(B113)=2,"",IF(_xlfn._xlws.FILTER(Equipar!AD$2:AD112,Equipar!C$2:C112=C113)={0},"",_xlfn._xlws.FILTER(Equipar!AD$2:AD112,Equipar!C$2:C112=C113))),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13" s="4">
        <f t="shared" si="4"/>
        <v>18</v>
      </c>
      <c r="L113" s="4">
        <f t="shared" si="5"/>
        <v>-29.700000000000003</v>
      </c>
      <c r="M113" s="4">
        <f t="shared" ca="1" si="5"/>
        <v>72</v>
      </c>
      <c r="N113" s="4">
        <f t="shared" si="6"/>
        <v>-47.7</v>
      </c>
      <c r="O113" s="4">
        <f t="shared" ca="1" si="6"/>
        <v>119.7</v>
      </c>
      <c r="P113" s="14" cm="1">
        <f t="array" aca="1" ref="P113" ca="1">_xlfn.LET(
    _xlpm.ptsPrinBase, _xlfn._xlws.FILTER(G:G, A:A=A113),
    _xlpm.ptsSecBase,  _xlfn._xlws.FILTER(H:H, A:A=A113),
    _xlpm.puntosPrin, _xlpm.ptsPrinBase + _xlfn._xlws.FILTER(B:B, A:A=A113)/1000,
    _xlpm.puntosSec,  _xlpm.ptsSecBase  + _xlfn._xlws.FILTER(B:B, A:A=A113)/1000,
    _xlpm.puntosPrinValidos, SUM(--(_xlpm.ptsPrinBase&gt;0)),
    _xlpm.puntosSecValidos,  SUM(--(_xlpm.ptsSecBase&gt;0)),
    _xlpm.clave, K113 + B113/1000,
    _xlpm.claves, _xlfn._xlws.FILTER(K:K + B:B/1000, A:A=A113),
    IF(AND(_xlpm.puntosPrinValidos&gt;=4,_xlpm.puntosSecValidos&gt;=2),IF(
        SUM(--(_xlpm.claves &gt; _xlpm.clave)) &lt; 4,
        C113,
        D113
    ),"No disp")
)</f>
        <v>8</v>
      </c>
      <c r="Q113" s="14" cm="1">
        <f t="array" aca="1" ref="Q113" ca="1">_xlfn.LET(
    _xlpm.puntosPrin, _xlfn._xlws.FILTER(G:G + B:B/1000, A:A=A113),
    _xlpm.puntosPrinValidos, SUM(--(_xlpm.puntosPrin&gt;1)),
    _xlpm.puntosTer, _xlfn._xlws.FILTER(I:I + B:B/1000, A:A=A113),
    _xlpm.puntosTerValidos, SUM(--(_xlpm.puntosTer&gt;1)),
    _xlpm.clave, L113 + B113/1000,
    _xlpm.claves, _xlfn._xlws.FILTER(L:L + B:B/1000, A:A=A113),
    IF(AND(_xlpm.puntosPrinValidos&gt;=4,_xlpm.puntosTerValidos&gt;=2),IF(
        SUM(--(_xlpm.claves &gt; _xlpm.clave)) &lt; 4,
        C113,
        E113
    ),"No disp")
)</f>
        <v>166</v>
      </c>
      <c r="R113" s="14" t="str" cm="1">
        <f t="array" aca="1" ref="R113" ca="1">_xlfn.LET(
    _xlpm.puntosPrin, _xlfn._xlws.FILTER(G:G + B:B/1000, A:A=A113),
    _xlpm.puntosPrinValidos, SUM(--(_xlpm.puntosPrin&gt;1)),
    _xlpm.puntosTer, _xlfn._xlws.FILTER(J:J + B:B/1000, A:A=A113),
    _xlpm.puntosTerValidos, SUM(--(_xlpm.puntosTer&gt;1)),
    _xlpm.clave, M113 + B113/1000,
    _xlpm.claves, _xlfn._xlws.FILTER(M:M + B:B/1000, A:A=A113),
    IF(AND(_xlpm.puntosPrinValidos&gt;=4,_xlpm.puntosTerValidos&gt;=2),IF(
        SUM(--(_xlpm.claves &gt; _xlpm.clave)) &lt; 4,
        C113,
        F113
    ),"No disp")
)</f>
        <v>No disp</v>
      </c>
      <c r="S113" s="14" cm="1">
        <f t="array" aca="1" ref="S113" ca="1">_xlfn.LET(
    _xlpm.ptsPrinBase, _xlfn._xlws.FILTER(G:G, A:A=A113),
    _xlpm.ptsSecBase,  _xlfn._xlws.FILTER(H:H, A:A=A113),
    _xlpm.puntosPrin, _xlpm.ptsPrinBase + _xlfn._xlws.FILTER(B:B, A:A=A113)/1000,
    _xlpm.puntosSec,  _xlpm.ptsSecBase  + _xlfn._xlws.FILTER(B:B, A:A=A113)/1000,
    _xlpm.puntosPrinValidos, SUM(--(_xlpm.ptsPrinBase&gt;0)),
    _xlpm.puntosSecValidos,  SUM(--(_xlpm.ptsSecBase&gt;0)),
    _xlpm.clave, K113 + B113/1000,
    _xlpm.claves, _xlfn._xlws.FILTER(K:K + B:B/1000, A:A=A113),
    IF(
        AND(_xlpm.puntosPrinValidos&gt;=2, _xlpm.puntosSecValidos&gt;=4),
        IF(
            SUM(--(_xlpm.claves &lt; _xlpm.clave)) &lt; 4,
            D113,
            C113
        ),
        "No disp"
    )
)</f>
        <v>8</v>
      </c>
      <c r="T113" s="14" cm="1">
        <f t="array" ref="T113">_xlfn.LET(
    _xlpm.puntosSec, _xlfn._xlws.FILTER(H:H + B:B/1000, A:A=A113),
    _xlpm.puntosSecValidos, SUM(--(_xlpm.puntosSec&gt;1)),
    _xlpm.puntosAlt, _xlfn._xlws.FILTER(I:I + B:B/1000, A:A=A113),
    _xlpm.puntosAltValidos, SUM(--(_xlpm.puntosAlt&gt;1)),
    _xlpm.clave, N113 + B113/1000,
    _xlpm.claves, _xlfn._xlws.FILTER(N:N + B:B/1000, A:A=A113),
    IF(AND(_xlpm.puntosSecValidos&gt;=4,_xlpm.puntosAltValidos&gt;=2),IF(
        SUM(--(_xlpm.claves &gt; _xlpm.clave)) &lt; 4,
        D113,
        E113
    ),"No disp")
)</f>
        <v>166</v>
      </c>
      <c r="U113" s="14" t="str" cm="1">
        <f t="array" aca="1" ref="U113" ca="1">_xlfn.LET(
    _xlpm.puntosSec, _xlfn._xlws.FILTER(H:H + B:B/1000, A:A=A113),
    _xlpm.puntosSecValidos, SUM(--(_xlpm.puntosSec&gt;1)),
    _xlpm.puntosAlt, _xlfn._xlws.FILTER(J:J + B:B/1000, A:A=A113),
    _xlpm.puntosAltValidos, SUM(--(_xlpm.puntosAlt&gt;1)),
    _xlpm.clave, O113 + B113/1000,
    _xlpm.claves, _xlfn._xlws.FILTER(O:O + B:B/1000, A:A=A113),
    IF(AND(_xlpm.puntosSecValidos&gt;=4,_xlpm.puntosAltValidos&gt;=2),IF(
        SUM(--(_xlpm.claves &gt; _xlpm.clave)) &lt; 4,
        D113,
        F113
    ),"No disp")
)</f>
        <v>No disp</v>
      </c>
      <c r="V113" s="4" cm="1">
        <f t="array" aca="1" ref="V113" ca="1">_xlfn.LET(
_xlpm.PrinIDs,_xlfn._xlws.FILTER(C:C,(A:A=A113)),
_xlpm.SecIDs,_xlfn._xlws.FILTER(D:D,(A:A=A113)),
_xlpm.TerIDs,_xlfn._xlws.FILTER(E:E,A:A=A113),
_xlpm.CuaIDs,_xlfn._xlws.FILTER(F:F,(A:A=A113)),
_xlpm.PrinPts,_xlfn._xlws.FILTER(G:G,(A:A=A113)),
_xlpm.SecPts,_xlfn._xlws.FILTER(H:H,(A:A=A113)),
_xlpm.TerPts,_xlfn._xlws.FILTER(I:I,(A:A=A113)),
_xlpm.CuaPts,_xlfn._xlws.FILTER(J:J,(A:A=A113)),
_xlpm.PSIds,_xlfn._xlws.FILTER(P:P,A:A=A113),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653.13</v>
      </c>
      <c r="W113" s="4" cm="1">
        <f t="array" aca="1" ref="W113" ca="1">_xlfn.LET(
_xlpm.PrinIDs,_xlfn._xlws.FILTER(C:C,(A:A=A113)),
_xlpm.SecIDs,_xlfn._xlws.FILTER(D:D,(A:A=A113)),
_xlpm.TerIDs,_xlfn._xlws.FILTER(E:E,A:A=A113),
_xlpm.CuaIDs,_xlfn._xlws.FILTER(F:F,(A:A=A113)),
_xlpm.PrinPts,_xlfn._xlws.FILTER(G:G,(A:A=A113)),
_xlpm.SecPts,_xlfn._xlws.FILTER(H:H,(A:A=A113)),
_xlpm.TerPts,_xlfn._xlws.FILTER(I:I,(A:A=A113)),
_xlpm.CuaPts,_xlfn._xlws.FILTER(J:J,(A:A=A113)),
_xlpm.PTIds,_xlfn._xlws.FILTER(Q:Q,A:A=A113),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685.53</v>
      </c>
      <c r="X113" s="4" cm="1">
        <f t="array" aca="1" ref="X113" ca="1">_xlfn.LET(
_xlpm.PrinIDs,_xlfn._xlws.FILTER(C:C,(A:A=A113)),
_xlpm.SecIDs,_xlfn._xlws.FILTER(D:D,(A:A=A113)),
_xlpm.TerIDs,_xlfn._xlws.FILTER(E:E,A:A=A113),
_xlpm.CuaIDs,_xlfn._xlws.FILTER(F:F,(A:A=A113)),
_xlpm.PrinPts,_xlfn._xlws.FILTER(G:G,(A:A=A113)),
_xlpm.SecPts,_xlfn._xlws.FILTER(H:H,(A:A=A113)),
_xlpm.TerPts,_xlfn._xlws.FILTER(I:I,(A:A=A113)),
_xlpm.CuaPts,_xlfn._xlws.FILTER(J:J,(A:A=A113)),
_xlpm.PCIds,_xlfn._xlws.FILTER(R:R,A:A=A113),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13" s="4" cm="1">
        <f t="array" aca="1" ref="Y113" ca="1">_xlfn.LET(
_xlpm.PrinIDs,_xlfn._xlws.FILTER(C:C,(A:A=A113)),
_xlpm.SecIDs,_xlfn._xlws.FILTER(D:D,(A:A=A113)),
_xlpm.AltIDs,_xlfn._xlws.FILTER(E:E,A:A=A113),
_xlpm.PrinPts,_xlfn._xlws.FILTER(G:G,(A:A=A113)),
_xlpm.SecPts,_xlfn._xlws.FILTER(H:H,(A:A=A113)),
_xlpm.AltPts,_xlfn._xlws.FILTER(I:I,(A:A=A113)),
_xlpm.SPIds,_xlfn._xlws.FILTER(S:S,A:A=A113),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632.70000000000005</v>
      </c>
      <c r="Z113" s="4" cm="1">
        <f t="array" aca="1" ref="Z113" ca="1">_xlfn.LET(
_xlpm.PrinIDs,_xlfn._xlws.FILTER(C:C,(A:A=A113)),
_xlpm.SecIDs,_xlfn._xlws.FILTER(D:D,(A:A=A113)),
_xlpm.TerIDs,_xlfn._xlws.FILTER(E:E,A:A=A113),
_xlpm.CuaIDs,_xlfn._xlws.FILTER(F:F,(A:A=A113)),
_xlpm.PrinPts,_xlfn._xlws.FILTER(G:G,(A:A=A113)),
_xlpm.SecPts,_xlfn._xlws.FILTER(H:H,(A:A=A113)),
_xlpm.TerPts,_xlfn._xlws.FILTER(I:I,(A:A=A113)),
_xlpm.CuaPts,_xlfn._xlws.FILTER(J:J,(A:A=A113)),
_xlpm.STIds,_xlfn._xlws.FILTER(T:T,A:A=A113),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686.33999999999992</v>
      </c>
      <c r="AA113" s="4" cm="1">
        <f t="array" aca="1" ref="AA113" ca="1">_xlfn.LET(
_xlpm.PrinIDs,_xlfn._xlws.FILTER(C:C,(A:A=A113)),
_xlpm.SecIDs,_xlfn._xlws.FILTER(D:D,(A:A=A113)),
_xlpm.TerIDs,_xlfn._xlws.FILTER(E:E,A:A=A113),
_xlpm.CuaIDs,_xlfn._xlws.FILTER(F:F,(A:A=A113)),
_xlpm.PrinPts,_xlfn._xlws.FILTER(G:G,(A:A=A113)),
_xlpm.SecPts,_xlfn._xlws.FILTER(H:H,(A:A=A113)),
_xlpm.TerPts,_xlfn._xlws.FILTER(I:I,(A:A=A113)),
_xlpm.CuaPts,_xlfn._xlws.FILTER(J:J,(A:A=A113)),
_xlpm.SCIds,_xlfn._xlws.FILTER(U:U,A:A=A113),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13" s="14">
        <f t="shared" ca="1" si="7"/>
        <v>166</v>
      </c>
      <c r="AC113" s="14">
        <v>166</v>
      </c>
      <c r="AD113" s="4"/>
      <c r="AE113" s="14" t="str">
        <f ca="1">IF(ISNUMBER(AC113),
IF($B113=1,VLOOKUP($AC113,Inventario1!$A:$H,2),
IF($B113=2,VLOOKUP($AC113,Inventario2!$A:$H,2),
IF($B113=3,VLOOKUP($AC113,Inventario3!$A:$H,2),
IF($B113=4,VLOOKUP($AC113,Inventario4!$A:$H,2),
IF($B113=5,VLOOKUP($AC113,Inventario5!$A:$H,2),
VLOOKUP($AC113,Inventario6!$A:$H,2)
))))),"No equipado")</f>
        <v>Legendario</v>
      </c>
      <c r="AF113" s="14" t="str">
        <f ca="1">IF(ISNUMBER(AC113),
IF($B113=1,VLOOKUP($AC113,Inventario1!$A:$H,3),
IF($B113=2,VLOOKUP($AC113,Inventario2!$A:$H,3),
IF($B113=3,VLOOKUP($AC113,Inventario3!$A:$H,3),
IF($B113=4,VLOOKUP($AC113,Inventario4!$A:$H,3),
IF($B113=5,VLOOKUP($AC113,Inventario5!$A:$H,3),
VLOOKUP($AC113,Inventario6!$A:$H,3)
))))),"")</f>
        <v>Potenciación de la moral</v>
      </c>
      <c r="AG113" s="14" t="str">
        <f ca="1">IF(ISNUMBER(AC113),
IF($B113=1,VLOOKUP($AC113,Inventario1!$A:$H,4),
IF($B113=2,VLOOKUP($AC113,Inventario2!$A:$H,4),
IF($B113=3,VLOOKUP($AC113,Inventario3!$A:$H,4),
IF($B113=4,VLOOKUP($AC113,Inventario4!$A:$H,4),
IF($B113=5,VLOOKUP($AC113,Inventario5!$A:$H,4),
VLOOKUP($AC113,Inventario6!$A:$H,4)
))))),"")</f>
        <v>Recepción</v>
      </c>
      <c r="AH113" s="14" t="str">
        <f ca="1">IF(ISNUMBER(AC113),
IF($B113=1,VLOOKUP($AC113,Inventario1!$A:$H,5),
IF($B113=2,VLOOKUP($AC113,Inventario2!$A:$H,5),
IF($B113=3,VLOOKUP($AC113,Inventario3!$A:$H,5),
IF($B113=4,VLOOKUP($AC113,Inventario4!$A:$H,5),
IF($B113=5,VLOOKUP($AC113,Inventario5!$A:$H,5),
VLOOKUP($AC113,Inventario6!$A:$H,5)
))))),"")</f>
        <v>Saque</v>
      </c>
      <c r="AI113" s="14" t="str">
        <f ca="1">IF(ISNUMBER(AC113),
IF($B113=1,VLOOKUP($AC113,Inventario1!$A:$H,6),
IF($B113=2,VLOOKUP($AC113,Inventario2!$A:$H,6),
IF($B113=3,VLOOKUP($AC113,Inventario3!$A:$H,6),
IF($B113=4,VLOOKUP($AC113,Inventario4!$A:$H,6),
IF($B113=5,VLOOKUP($AC113,Inventario5!$A:$H,6),
VLOOKUP($AC113,Inventario6!$A:$H,6)
))))),"")</f>
        <v>Ataque poderoso</v>
      </c>
      <c r="AJ113" s="14" t="str">
        <f ca="1">IF(ISNUMBER(AC113),
IF($B113=1,VLOOKUP($AC113,Inventario1!$A:$H,7),
IF($B113=2,VLOOKUP($AC113,Inventario2!$A:$H,7),
IF($B113=3,VLOOKUP($AC113,Inventario3!$A:$H,7),
IF($B113=4,VLOOKUP($AC113,Inventario4!$A:$H,7),
IF($B113=5,VLOOKUP($AC113,Inventario5!$A:$H,7),
VLOOKUP($AC113,Inventario6!$A:$H,7)
))))),"")</f>
        <v>Colocación</v>
      </c>
      <c r="AK113" s="15">
        <f ca="1">IF(ISNUMBER(AC113),
IF($B113=1,VLOOKUP($AC113,Inventario1!$A:$H,8),
IF($B113=2,VLOOKUP($AC113,Inventario2!$A:$H,8),
IF($B113=3,VLOOKUP($AC113,Inventario3!$A:$H,8),
IF($B113=4,VLOOKUP($AC113,Inventario4!$A:$H,8),
IF($B113=5,VLOOKUP($AC113,Inventario5!$A:$H,8),
VLOOKUP($AC113,Inventario6!$A:$H,8)
))))),"")</f>
        <v>0</v>
      </c>
    </row>
    <row r="114" spans="1:37" x14ac:dyDescent="0.25">
      <c r="A114" s="21" t="s">
        <v>75</v>
      </c>
      <c r="B114" s="3">
        <v>5</v>
      </c>
      <c r="C114" s="14" cm="1">
        <f t="array" aca="1" ref="C114" ca="1">_xlfn.LET(
    _xlpm.jugador, A114,
    _xlpm.idSel, AC114,
    _xlpm.invIDs, IF(B114=1,Inventario1!A:A,IF(B114=2,Inventario2!A:A,IF(B114=3,Inventario3!A:A,IF(B114=4,Inventario4!A:A,IF(B114=5,Inventario5!A:A,Inventario6!A:A))))),
    _xlpm.invCalidad, IF(B114=1,Inventario1!B:B,IF(B114=2,Inventario2!B:B,IF(B114=3,Inventario3!B:B,IF(B114=4,Inventario4!B:B,IF(B114=5,Inventario5!B:B,Inventario6!B:B))))),
    _xlpm.invTipos, IF(B114=1,Inventario1!C:C,IF(B114=2,Inventario2!C:C,IF(B114=3,Inventario3!C:C,IF(B114=4,Inventario4!C:C,IF(B114=5,Inventario5!C:C,Inventario6!C:C))))),
    _xlpm.invStats, IF(B114=1,Inventario1!D:H,IF(B114=2,Inventario2!D:H,IF(B114=3,Inventario3!D:H,IF(B114=4,Inventario4!D:H,IF(B114=5,Inventario5!D:H,Inventario6!D:H))))),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IF(ROW(A114)=2,"",IF(_xlfn._xlws.FILTER(Equipar!AC$2:AC113,Equipar!B$2:B113=B114)={0},"",_xlfn._xlws.FILTER(Equipar!AC$2:AC113,Equipar!B$2:B113=B114))),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</v>
      </c>
      <c r="D114" s="4" cm="1">
        <f t="array" ref="D114">_xlfn.LET(
    _xlpm.jugador, A114,
    _xlpm.idSel, AC114,
    _xlpm.invIDs, IF(B114=1,Inventario1!A:A,IF(B114=2,Inventario2!A:A,IF(B114=3,Inventario3!A:A,IF(B114=4,Inventario4!A:A,IF(B114=5,Inventario5!A:A,Inventario6!A:A))))),
    _xlpm.invCalidad, IF(B114=1,Inventario1!B:B,IF(B114=2,Inventario2!B:B,IF(B114=3,Inventario3!B:B,IF(B114=4,Inventario4!B:B,IF(B114=5,Inventario5!B:B,Inventario6!B:B))))),
    _xlpm.invTipos, IF(B114=1,Inventario1!C:C,IF(B114=2,Inventario2!C:C,IF(B114=3,Inventario3!C:C,IF(B114=4,Inventario4!C:C,IF(B114=5,Inventario5!C:C,Inventario6!C:C))))),
    _xlpm.invStats, IF(B114=1,Inventario1!D:H,IF(B114=2,Inventario2!D:H,IF(B114=3,Inventario3!D:H,IF(B114=4,Inventario4!D:H,IF(B114=5,Inventario5!D:H,Inventario6!D:H))))),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IF(ROW(A114)=2,"",IF(_xlfn._xlws.FILTER(Equipar!AC$2:AC113,Equipar!B$2:B113=B114)={0},"",_xlfn._xlws.FILTER(Equipar!AC$2:AC113,Equipar!B$2:B113=B114))),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163</v>
      </c>
      <c r="E114" s="4" cm="1">
        <f t="array" ref="E114">_xlfn.LET(
    _xlpm.jugador, A114,
    _xlpm.idSel, AC114,
    _xlpm.invIDs, IF(B114=1,Inventario1!A:A,IF(B114=2,Inventario2!A:A,IF(B114=3,Inventario3!A:A,IF(B114=4,Inventario4!A:A,IF(B114=5,Inventario5!A:A,Inventario6!A:A))))),
    _xlpm.invCalidad, IF(B114=1,Inventario1!B:B,IF(B114=2,Inventario2!B:B,IF(B114=3,Inventario3!B:B,IF(B114=4,Inventario4!B:B,IF(B114=5,Inventario5!B:B,Inventario6!B:B))))),
    _xlpm.invTipos, IF(B114=1,Inventario1!C:C,IF(B114=2,Inventario2!C:C,IF(B114=3,Inventario3!C:C,IF(B114=4,Inventario4!C:C,IF(B114=5,Inventario5!C:C,Inventario6!C:C))))),
    _xlpm.invStats, IF(B114=1,Inventario1!D:H,IF(B114=2,Inventario2!D:H,IF(B114=3,Inventario3!D:H,IF(B114=4,Inventario4!D:H,IF(B114=5,Inventario5!D:H,Inventario6!D:H))))),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IF(ROW(A114)=2,"",IF(_xlfn._xlws.FILTER(Equipar!AC$2:AC113,Equipar!B$2:B113=B114)={0},"",_xlfn._xlws.FILTER(Equipar!AC$2:AC113,Equipar!B$2:B113=B114))),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230</v>
      </c>
      <c r="F114" s="4" t="str" cm="1">
        <f t="array" aca="1" ref="F114" ca="1">_xlfn.LET(
    _xlpm.jugador, B114,
    _xlpm.idSel, AD114,
    _xlpm.invIDs, IF(C114=1,Inventario1!B:B,IF(C114=2,Inventario2!B:B,IF(C114=3,Inventario3!B:B,IF(C114=4,Inventario4!B:B,IF(C114=5,Inventario5!B:B,Inventario6!B:B))))),
    _xlpm.invCalidad, IF(C114=1,Inventario1!C:C,IF(C114=2,Inventario2!C:C,IF(C114=3,Inventario3!C:C,IF(C114=4,Inventario4!C:C,IF(C114=5,Inventario5!C:C,Inventario6!C:C))))),
    _xlpm.invTipos, IF(C114=1,Inventario1!D:D,IF(C114=2,Inventario2!D:D,IF(C114=3,Inventario3!D:D,IF(C114=4,Inventario4!D:D,IF(C114=5,Inventario5!D:D,Inventario6!D:D))))),
    _xlpm.invStats, IF(C114=1,Inventario1!E:I,IF(C114=2,Inventario2!E:I,IF(C114=3,Inventario3!E:I,IF(C114=4,Inventario4!E:I,IF(C114=5,Inventario5!E:I,Inventario6!E:I))))),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IF(ROW(B114)=2,"",IF(_xlfn._xlws.FILTER(Equipar!AD$2:AD113,Equipar!C$2:C113=C114)={0},"",_xlfn._xlws.FILTER(Equipar!AD$2:AD113,Equipar!C$2:C113=C114))),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14" s="14" cm="1">
        <f t="array" aca="1" ref="G114" ca="1">_xlfn.LET(
    _xlpm.jugador, A114,
    _xlpm.idSel, AC114,
    _xlpm.invIDs, IF(B114=1,Inventario1!A:A,IF(B114=2,Inventario2!A:A,IF(B114=3,Inventario3!A:A,IF(B114=4,Inventario4!A:A,IF(B114=5,Inventario5!A:A,Inventario6!A:A))))),
    _xlpm.invCalidad, IF(B114=1,Inventario1!B:B,IF(B114=2,Inventario2!B:B,IF(B114=3,Inventario3!B:B,IF(B114=4,Inventario4!B:B,IF(B114=5,Inventario5!B:B,Inventario6!B:B))))),
    _xlpm.invTipos, IF(B114=1,Inventario1!C:C,IF(B114=2,Inventario2!C:C,IF(B114=3,Inventario3!C:C,IF(B114=4,Inventario4!C:C,IF(B114=5,Inventario5!C:C,Inventario6!C:C))))),
    _xlpm.invStats, IF(B114=1,Inventario1!D:H,IF(B114=2,Inventario2!D:H,IF(B114=3,Inventario3!D:H,IF(B114=4,Inventario4!D:H,IF(B114=5,Inventario5!D:H,Inventario6!D:H))))),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IF(ROW(A114)=2,"",IF(_xlfn._xlws.FILTER(Equipar!AC$2:AC113,Equipar!B$2:B113=B114)={0},"",_xlfn._xlws.FILTER(Equipar!AC$2:AC113,Equipar!B$2:B113=B114))),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119.7</v>
      </c>
      <c r="H114" s="4" cm="1">
        <f t="array" ref="H114">_xlfn.LET(
    _xlpm.jugador, A114,
    _xlpm.idSel, AC114,
    _xlpm.invIDs, IF(B114=1,Inventario1!A:A,IF(B114=2,Inventario2!A:A,IF(B114=3,Inventario3!A:A,IF(B114=4,Inventario4!A:A,IF(B114=5,Inventario5!A:A,Inventario6!A:A))))),
    _xlpm.invCalidad, IF(B114=1,Inventario1!B:B,IF(B114=2,Inventario2!B:B,IF(B114=3,Inventario3!B:B,IF(B114=4,Inventario4!B:B,IF(B114=5,Inventario5!B:B,Inventario6!B:B))))),
    _xlpm.invTipos, IF(B114=1,Inventario1!C:C,IF(B114=2,Inventario2!C:C,IF(B114=3,Inventario3!C:C,IF(B114=4,Inventario4!C:C,IF(B114=5,Inventario5!C:C,Inventario6!C:C))))),
    _xlpm.invStats, IF(B114=1,Inventario1!D:H,IF(B114=2,Inventario2!D:H,IF(B114=3,Inventario3!D:H,IF(B114=4,Inventario4!D:H,IF(B114=5,Inventario5!D:H,Inventario6!D:H))))),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IF(ROW(A114)=2,"",IF(_xlfn._xlws.FILTER(Equipar!AC$2:AC113,Equipar!B$2:B113=B114)={0},"",_xlfn._xlws.FILTER(Equipar!AC$2:AC113,Equipar!B$2:B113=B114))),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108</v>
      </c>
      <c r="I114" s="4" cm="1">
        <f t="array" ref="I114">_xlfn.LET(
    _xlpm.jugador, A114,
    _xlpm.idSel, AC114,
    _xlpm.invIDs, IF(B114=1,Inventario1!A:A,IF(B114=2,Inventario2!A:A,IF(B114=3,Inventario3!A:A,IF(B114=4,Inventario4!A:A,IF(B114=5,Inventario5!A:A,Inventario6!A:A))))),
    _xlpm.invCalidad, IF(B114=1,Inventario1!B:B,IF(B114=2,Inventario2!B:B,IF(B114=3,Inventario3!B:B,IF(B114=4,Inventario4!B:B,IF(B114=5,Inventario5!B:B,Inventario6!B:B))))),
    _xlpm.invTipos, IF(B114=1,Inventario1!C:C,IF(B114=2,Inventario2!C:C,IF(B114=3,Inventario3!C:C,IF(B114=4,Inventario4!C:C,IF(B114=5,Inventario5!C:C,Inventario6!C:C))))),
    _xlpm.invStats, IF(B114=1,Inventario1!D:H,IF(B114=2,Inventario2!D:H,IF(B114=3,Inventario3!D:H,IF(B114=4,Inventario4!D:H,IF(B114=5,Inventario5!D:H,Inventario6!D:H))))),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IF(ROW(A114)=2,"",IF(_xlfn._xlws.FILTER(Equipar!AC$2:AC113,Equipar!B$2:B113=B114)={0},"",_xlfn._xlws.FILTER(Equipar!AC$2:AC113,Equipar!B$2:B113=B114))),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131.67000000000002</v>
      </c>
      <c r="J114" s="4" cm="1">
        <f t="array" aca="1" ref="J114" ca="1">_xlfn.LET(
    _xlpm.jugador, B114,
    _xlpm.idSel, AD114,
    _xlpm.invIDs, IF(C114=1,Inventario1!B:B,IF(C114=2,Inventario2!B:B,IF(C114=3,Inventario3!B:B,IF(C114=4,Inventario4!B:B,IF(C114=5,Inventario5!B:B,Inventario6!B:B))))),
    _xlpm.invCalidad, IF(C114=1,Inventario1!C:C,IF(C114=2,Inventario2!C:C,IF(C114=3,Inventario3!C:C,IF(C114=4,Inventario4!C:C,IF(C114=5,Inventario5!C:C,Inventario6!C:C))))),
    _xlpm.invTipos, IF(C114=1,Inventario1!D:D,IF(C114=2,Inventario2!D:D,IF(C114=3,Inventario3!D:D,IF(C114=4,Inventario4!D:D,IF(C114=5,Inventario5!D:D,Inventario6!D:D))))),
    _xlpm.invStats, IF(C114=1,Inventario1!E:I,IF(C114=2,Inventario2!E:I,IF(C114=3,Inventario3!E:I,IF(C114=4,Inventario4!E:I,IF(C114=5,Inventario5!E:I,Inventario6!E:I))))),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IF(ROW(B114)=2,"",IF(_xlfn._xlws.FILTER(Equipar!AD$2:AD113,Equipar!C$2:C113=C114)={0},"",_xlfn._xlws.FILTER(Equipar!AD$2:AD113,Equipar!C$2:C113=C114))),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14" s="4">
        <f t="shared" ca="1" si="4"/>
        <v>11.700000000000003</v>
      </c>
      <c r="L114" s="4">
        <f t="shared" ca="1" si="5"/>
        <v>-11.970000000000013</v>
      </c>
      <c r="M114" s="4">
        <f t="shared" ca="1" si="5"/>
        <v>108</v>
      </c>
      <c r="N114" s="4">
        <f t="shared" si="6"/>
        <v>-23.670000000000016</v>
      </c>
      <c r="O114" s="4">
        <f t="shared" ca="1" si="6"/>
        <v>131.67000000000002</v>
      </c>
      <c r="P114" s="14" cm="1">
        <f t="array" aca="1" ref="P114" ca="1">_xlfn.LET(
    _xlpm.ptsPrinBase, _xlfn._xlws.FILTER(G:G, A:A=A114),
    _xlpm.ptsSecBase,  _xlfn._xlws.FILTER(H:H, A:A=A114),
    _xlpm.puntosPrin, _xlpm.ptsPrinBase + _xlfn._xlws.FILTER(B:B, A:A=A114)/1000,
    _xlpm.puntosSec,  _xlpm.ptsSecBase  + _xlfn._xlws.FILTER(B:B, A:A=A114)/1000,
    _xlpm.puntosPrinValidos, SUM(--(_xlpm.ptsPrinBase&gt;0)),
    _xlpm.puntosSecValidos,  SUM(--(_xlpm.ptsSecBase&gt;0)),
    _xlpm.clave, K114 + B114/1000,
    _xlpm.claves, _xlfn._xlws.FILTER(K:K + B:B/1000, A:A=A114),
    IF(AND(_xlpm.puntosPrinValidos&gt;=4,_xlpm.puntosSecValidos&gt;=2),IF(
        SUM(--(_xlpm.claves &gt; _xlpm.clave)) &lt; 4,
        C114,
        D114
    ),"No disp")
)</f>
        <v>1</v>
      </c>
      <c r="Q114" s="14" cm="1">
        <f t="array" aca="1" ref="Q114" ca="1">_xlfn.LET(
    _xlpm.puntosPrin, _xlfn._xlws.FILTER(G:G + B:B/1000, A:A=A114),
    _xlpm.puntosPrinValidos, SUM(--(_xlpm.puntosPrin&gt;1)),
    _xlpm.puntosTer, _xlfn._xlws.FILTER(I:I + B:B/1000, A:A=A114),
    _xlpm.puntosTerValidos, SUM(--(_xlpm.puntosTer&gt;1)),
    _xlpm.clave, L114 + B114/1000,
    _xlpm.claves, _xlfn._xlws.FILTER(L:L + B:B/1000, A:A=A114),
    IF(AND(_xlpm.puntosPrinValidos&gt;=4,_xlpm.puntosTerValidos&gt;=2),IF(
        SUM(--(_xlpm.claves &gt; _xlpm.clave)) &lt; 4,
        C114,
        E114
    ),"No disp")
)</f>
        <v>1</v>
      </c>
      <c r="R114" s="14" t="str" cm="1">
        <f t="array" aca="1" ref="R114" ca="1">_xlfn.LET(
    _xlpm.puntosPrin, _xlfn._xlws.FILTER(G:G + B:B/1000, A:A=A114),
    _xlpm.puntosPrinValidos, SUM(--(_xlpm.puntosPrin&gt;1)),
    _xlpm.puntosTer, _xlfn._xlws.FILTER(J:J + B:B/1000, A:A=A114),
    _xlpm.puntosTerValidos, SUM(--(_xlpm.puntosTer&gt;1)),
    _xlpm.clave, M114 + B114/1000,
    _xlpm.claves, _xlfn._xlws.FILTER(M:M + B:B/1000, A:A=A114),
    IF(AND(_xlpm.puntosPrinValidos&gt;=4,_xlpm.puntosTerValidos&gt;=2),IF(
        SUM(--(_xlpm.claves &gt; _xlpm.clave)) &lt; 4,
        C114,
        F114
    ),"No disp")
)</f>
        <v>No disp</v>
      </c>
      <c r="S114" s="14" cm="1">
        <f t="array" aca="1" ref="S114" ca="1">_xlfn.LET(
    _xlpm.ptsPrinBase, _xlfn._xlws.FILTER(G:G, A:A=A114),
    _xlpm.ptsSecBase,  _xlfn._xlws.FILTER(H:H, A:A=A114),
    _xlpm.puntosPrin, _xlpm.ptsPrinBase + _xlfn._xlws.FILTER(B:B, A:A=A114)/1000,
    _xlpm.puntosSec,  _xlpm.ptsSecBase  + _xlfn._xlws.FILTER(B:B, A:A=A114)/1000,
    _xlpm.puntosPrinValidos, SUM(--(_xlpm.ptsPrinBase&gt;0)),
    _xlpm.puntosSecValidos,  SUM(--(_xlpm.ptsSecBase&gt;0)),
    _xlpm.clave, K114 + B114/1000,
    _xlpm.claves, _xlfn._xlws.FILTER(K:K + B:B/1000, A:A=A114),
    IF(
        AND(_xlpm.puntosPrinValidos&gt;=2, _xlpm.puntosSecValidos&gt;=4),
        IF(
            SUM(--(_xlpm.claves &lt; _xlpm.clave)) &lt; 4,
            D114,
            C114
        ),
        "No disp"
    )
)</f>
        <v>1</v>
      </c>
      <c r="T114" s="14" cm="1">
        <f t="array" ref="T114">_xlfn.LET(
    _xlpm.puntosSec, _xlfn._xlws.FILTER(H:H + B:B/1000, A:A=A114),
    _xlpm.puntosSecValidos, SUM(--(_xlpm.puntosSec&gt;1)),
    _xlpm.puntosAlt, _xlfn._xlws.FILTER(I:I + B:B/1000, A:A=A114),
    _xlpm.puntosAltValidos, SUM(--(_xlpm.puntosAlt&gt;1)),
    _xlpm.clave, N114 + B114/1000,
    _xlpm.claves, _xlfn._xlws.FILTER(N:N + B:B/1000, A:A=A114),
    IF(AND(_xlpm.puntosSecValidos&gt;=4,_xlpm.puntosAltValidos&gt;=2),IF(
        SUM(--(_xlpm.claves &gt; _xlpm.clave)) &lt; 4,
        D114,
        E114
    ),"No disp")
)</f>
        <v>163</v>
      </c>
      <c r="U114" s="14" t="str" cm="1">
        <f t="array" aca="1" ref="U114" ca="1">_xlfn.LET(
    _xlpm.puntosSec, _xlfn._xlws.FILTER(H:H + B:B/1000, A:A=A114),
    _xlpm.puntosSecValidos, SUM(--(_xlpm.puntosSec&gt;1)),
    _xlpm.puntosAlt, _xlfn._xlws.FILTER(J:J + B:B/1000, A:A=A114),
    _xlpm.puntosAltValidos, SUM(--(_xlpm.puntosAlt&gt;1)),
    _xlpm.clave, O114 + B114/1000,
    _xlpm.claves, _xlfn._xlws.FILTER(O:O + B:B/1000, A:A=A114),
    IF(AND(_xlpm.puntosSecValidos&gt;=4,_xlpm.puntosAltValidos&gt;=2),IF(
        SUM(--(_xlpm.claves &gt; _xlpm.clave)) &lt; 4,
        D114,
        F114
    ),"No disp")
)</f>
        <v>No disp</v>
      </c>
      <c r="V114" s="4" cm="1">
        <f t="array" aca="1" ref="V114" ca="1">_xlfn.LET(
_xlpm.PrinIDs,_xlfn._xlws.FILTER(C:C,(A:A=A114)),
_xlpm.SecIDs,_xlfn._xlws.FILTER(D:D,(A:A=A114)),
_xlpm.TerIDs,_xlfn._xlws.FILTER(E:E,A:A=A114),
_xlpm.CuaIDs,_xlfn._xlws.FILTER(F:F,(A:A=A114)),
_xlpm.PrinPts,_xlfn._xlws.FILTER(G:G,(A:A=A114)),
_xlpm.SecPts,_xlfn._xlws.FILTER(H:H,(A:A=A114)),
_xlpm.TerPts,_xlfn._xlws.FILTER(I:I,(A:A=A114)),
_xlpm.CuaPts,_xlfn._xlws.FILTER(J:J,(A:A=A114)),
_xlpm.PSIds,_xlfn._xlws.FILTER(P:P,A:A=A114),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653.13</v>
      </c>
      <c r="W114" s="4" cm="1">
        <f t="array" aca="1" ref="W114" ca="1">_xlfn.LET(
_xlpm.PrinIDs,_xlfn._xlws.FILTER(C:C,(A:A=A114)),
_xlpm.SecIDs,_xlfn._xlws.FILTER(D:D,(A:A=A114)),
_xlpm.TerIDs,_xlfn._xlws.FILTER(E:E,A:A=A114),
_xlpm.CuaIDs,_xlfn._xlws.FILTER(F:F,(A:A=A114)),
_xlpm.PrinPts,_xlfn._xlws.FILTER(G:G,(A:A=A114)),
_xlpm.SecPts,_xlfn._xlws.FILTER(H:H,(A:A=A114)),
_xlpm.TerPts,_xlfn._xlws.FILTER(I:I,(A:A=A114)),
_xlpm.CuaPts,_xlfn._xlws.FILTER(J:J,(A:A=A114)),
_xlpm.PTIds,_xlfn._xlws.FILTER(Q:Q,A:A=A114),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685.53</v>
      </c>
      <c r="X114" s="4" cm="1">
        <f t="array" aca="1" ref="X114" ca="1">_xlfn.LET(
_xlpm.PrinIDs,_xlfn._xlws.FILTER(C:C,(A:A=A114)),
_xlpm.SecIDs,_xlfn._xlws.FILTER(D:D,(A:A=A114)),
_xlpm.TerIDs,_xlfn._xlws.FILTER(E:E,A:A=A114),
_xlpm.CuaIDs,_xlfn._xlws.FILTER(F:F,(A:A=A114)),
_xlpm.PrinPts,_xlfn._xlws.FILTER(G:G,(A:A=A114)),
_xlpm.SecPts,_xlfn._xlws.FILTER(H:H,(A:A=A114)),
_xlpm.TerPts,_xlfn._xlws.FILTER(I:I,(A:A=A114)),
_xlpm.CuaPts,_xlfn._xlws.FILTER(J:J,(A:A=A114)),
_xlpm.PCIds,_xlfn._xlws.FILTER(R:R,A:A=A114),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14" s="4" cm="1">
        <f t="array" aca="1" ref="Y114" ca="1">_xlfn.LET(
_xlpm.PrinIDs,_xlfn._xlws.FILTER(C:C,(A:A=A114)),
_xlpm.SecIDs,_xlfn._xlws.FILTER(D:D,(A:A=A114)),
_xlpm.AltIDs,_xlfn._xlws.FILTER(E:E,A:A=A114),
_xlpm.PrinPts,_xlfn._xlws.FILTER(G:G,(A:A=A114)),
_xlpm.SecPts,_xlfn._xlws.FILTER(H:H,(A:A=A114)),
_xlpm.AltPts,_xlfn._xlws.FILTER(I:I,(A:A=A114)),
_xlpm.SPIds,_xlfn._xlws.FILTER(S:S,A:A=A114),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632.70000000000005</v>
      </c>
      <c r="Z114" s="4" cm="1">
        <f t="array" aca="1" ref="Z114" ca="1">_xlfn.LET(
_xlpm.PrinIDs,_xlfn._xlws.FILTER(C:C,(A:A=A114)),
_xlpm.SecIDs,_xlfn._xlws.FILTER(D:D,(A:A=A114)),
_xlpm.TerIDs,_xlfn._xlws.FILTER(E:E,A:A=A114),
_xlpm.CuaIDs,_xlfn._xlws.FILTER(F:F,(A:A=A114)),
_xlpm.PrinPts,_xlfn._xlws.FILTER(G:G,(A:A=A114)),
_xlpm.SecPts,_xlfn._xlws.FILTER(H:H,(A:A=A114)),
_xlpm.TerPts,_xlfn._xlws.FILTER(I:I,(A:A=A114)),
_xlpm.CuaPts,_xlfn._xlws.FILTER(J:J,(A:A=A114)),
_xlpm.STIds,_xlfn._xlws.FILTER(T:T,A:A=A114),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686.33999999999992</v>
      </c>
      <c r="AA114" s="4" cm="1">
        <f t="array" aca="1" ref="AA114" ca="1">_xlfn.LET(
_xlpm.PrinIDs,_xlfn._xlws.FILTER(C:C,(A:A=A114)),
_xlpm.SecIDs,_xlfn._xlws.FILTER(D:D,(A:A=A114)),
_xlpm.TerIDs,_xlfn._xlws.FILTER(E:E,A:A=A114),
_xlpm.CuaIDs,_xlfn._xlws.FILTER(F:F,(A:A=A114)),
_xlpm.PrinPts,_xlfn._xlws.FILTER(G:G,(A:A=A114)),
_xlpm.SecPts,_xlfn._xlws.FILTER(H:H,(A:A=A114)),
_xlpm.TerPts,_xlfn._xlws.FILTER(I:I,(A:A=A114)),
_xlpm.CuaPts,_xlfn._xlws.FILTER(J:J,(A:A=A114)),
_xlpm.SCIds,_xlfn._xlws.FILTER(U:U,A:A=A114),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14" s="14">
        <f t="shared" ca="1" si="7"/>
        <v>163</v>
      </c>
      <c r="AC114" s="14">
        <v>163</v>
      </c>
      <c r="AD114" s="4"/>
      <c r="AE114" s="14" t="str">
        <f ca="1">IF(ISNUMBER(AC114),
IF($B114=1,VLOOKUP($AC114,Inventario1!$A:$H,2),
IF($B114=2,VLOOKUP($AC114,Inventario2!$A:$H,2),
IF($B114=3,VLOOKUP($AC114,Inventario3!$A:$H,2),
IF($B114=4,VLOOKUP($AC114,Inventario4!$A:$H,2),
IF($B114=5,VLOOKUP($AC114,Inventario5!$A:$H,2),
VLOOKUP($AC114,Inventario6!$A:$H,2)
))))),"No equipado")</f>
        <v>Épico</v>
      </c>
      <c r="AF114" s="14" t="str">
        <f ca="1">IF(ISNUMBER(AC114),
IF($B114=1,VLOOKUP($AC114,Inventario1!$A:$H,3),
IF($B114=2,VLOOKUP($AC114,Inventario2!$A:$H,3),
IF($B114=3,VLOOKUP($AC114,Inventario3!$A:$H,3),
IF($B114=4,VLOOKUP($AC114,Inventario4!$A:$H,3),
IF($B114=5,VLOOKUP($AC114,Inventario5!$A:$H,3),
VLOOKUP($AC114,Inventario6!$A:$H,3)
))))),"")</f>
        <v>Incremento de poder</v>
      </c>
      <c r="AG114" s="14" t="str">
        <f ca="1">IF(ISNUMBER(AC114),
IF($B114=1,VLOOKUP($AC114,Inventario1!$A:$H,4),
IF($B114=2,VLOOKUP($AC114,Inventario2!$A:$H,4),
IF($B114=3,VLOOKUP($AC114,Inventario3!$A:$H,4),
IF($B114=4,VLOOKUP($AC114,Inventario4!$A:$H,4),
IF($B114=5,VLOOKUP($AC114,Inventario5!$A:$H,4),
VLOOKUP($AC114,Inventario6!$A:$H,4)
))))),"")</f>
        <v>Recepción</v>
      </c>
      <c r="AH114" s="14" t="str">
        <f ca="1">IF(ISNUMBER(AC114),
IF($B114=1,VLOOKUP($AC114,Inventario1!$A:$H,5),
IF($B114=2,VLOOKUP($AC114,Inventario2!$A:$H,5),
IF($B114=3,VLOOKUP($AC114,Inventario3!$A:$H,5),
IF($B114=4,VLOOKUP($AC114,Inventario4!$A:$H,5),
IF($B114=5,VLOOKUP($AC114,Inventario5!$A:$H,5),
VLOOKUP($AC114,Inventario6!$A:$H,5)
))))),"")</f>
        <v>Ataque poderoso</v>
      </c>
      <c r="AI114" s="14" t="str">
        <f ca="1">IF(ISNUMBER(AC114),
IF($B114=1,VLOOKUP($AC114,Inventario1!$A:$H,6),
IF($B114=2,VLOOKUP($AC114,Inventario2!$A:$H,6),
IF($B114=3,VLOOKUP($AC114,Inventario3!$A:$H,6),
IF($B114=4,VLOOKUP($AC114,Inventario4!$A:$H,6),
IF($B114=5,VLOOKUP($AC114,Inventario5!$A:$H,6),
VLOOKUP($AC114,Inventario6!$A:$H,6)
))))),"")</f>
        <v>Percepción</v>
      </c>
      <c r="AJ114" s="14">
        <f ca="1">IF(ISNUMBER(AC114),
IF($B114=1,VLOOKUP($AC114,Inventario1!$A:$H,7),
IF($B114=2,VLOOKUP($AC114,Inventario2!$A:$H,7),
IF($B114=3,VLOOKUP($AC114,Inventario3!$A:$H,7),
IF($B114=4,VLOOKUP($AC114,Inventario4!$A:$H,7),
IF($B114=5,VLOOKUP($AC114,Inventario5!$A:$H,7),
VLOOKUP($AC114,Inventario6!$A:$H,7)
))))),"")</f>
        <v>0</v>
      </c>
      <c r="AK114" s="15">
        <f ca="1">IF(ISNUMBER(AC114),
IF($B114=1,VLOOKUP($AC114,Inventario1!$A:$H,8),
IF($B114=2,VLOOKUP($AC114,Inventario2!$A:$H,8),
IF($B114=3,VLOOKUP($AC114,Inventario3!$A:$H,8),
IF($B114=4,VLOOKUP($AC114,Inventario4!$A:$H,8),
IF($B114=5,VLOOKUP($AC114,Inventario5!$A:$H,8),
VLOOKUP($AC114,Inventario6!$A:$H,8)
))))),"")</f>
        <v>0</v>
      </c>
    </row>
    <row r="115" spans="1:37" ht="15.75" thickBot="1" x14ac:dyDescent="0.3">
      <c r="A115" s="22" t="s">
        <v>75</v>
      </c>
      <c r="B115" s="17">
        <v>6</v>
      </c>
      <c r="C115" s="18" cm="1">
        <f t="array" aca="1" ref="C115" ca="1">_xlfn.LET(
    _xlpm.jugador, A115,
    _xlpm.idSel, AC115,
    _xlpm.invIDs, IF(B115=1,Inventario1!A:A,IF(B115=2,Inventario2!A:A,IF(B115=3,Inventario3!A:A,IF(B115=4,Inventario4!A:A,IF(B115=5,Inventario5!A:A,Inventario6!A:A))))),
    _xlpm.invCalidad, IF(B115=1,Inventario1!B:B,IF(B115=2,Inventario2!B:B,IF(B115=3,Inventario3!B:B,IF(B115=4,Inventario4!B:B,IF(B115=5,Inventario5!B:B,Inventario6!B:B))))),
    _xlpm.invTipos, IF(B115=1,Inventario1!C:C,IF(B115=2,Inventario2!C:C,IF(B115=3,Inventario3!C:C,IF(B115=4,Inventario4!C:C,IF(B115=5,Inventario5!C:C,Inventario6!C:C))))),
    _xlpm.invStats, IF(B115=1,Inventario1!D:H,IF(B115=2,Inventario2!D:H,IF(B115=3,Inventario3!D:H,IF(B115=4,Inventario4!D:H,IF(B115=5,Inventario5!D:H,Inventario6!D:H))))),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IF(ROW(A115)=2,"",IF(_xlfn._xlws.FILTER(Equipar!AC$2:AC114,Equipar!B$2:B114=B115)={0},"",_xlfn._xlws.FILTER(Equipar!AC$2:AC114,Equipar!B$2:B114=B115))),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</v>
      </c>
      <c r="D115" s="17" cm="1">
        <f t="array" ref="D115">_xlfn.LET(
    _xlpm.jugador, A115,
    _xlpm.idSel, AC115,
    _xlpm.invIDs, IF(B115=1,Inventario1!A:A,IF(B115=2,Inventario2!A:A,IF(B115=3,Inventario3!A:A,IF(B115=4,Inventario4!A:A,IF(B115=5,Inventario5!A:A,Inventario6!A:A))))),
    _xlpm.invCalidad, IF(B115=1,Inventario1!B:B,IF(B115=2,Inventario2!B:B,IF(B115=3,Inventario3!B:B,IF(B115=4,Inventario4!B:B,IF(B115=5,Inventario5!B:B,Inventario6!B:B))))),
    _xlpm.invTipos, IF(B115=1,Inventario1!C:C,IF(B115=2,Inventario2!C:C,IF(B115=3,Inventario3!C:C,IF(B115=4,Inventario4!C:C,IF(B115=5,Inventario5!C:C,Inventario6!C:C))))),
    _xlpm.invStats, IF(B115=1,Inventario1!D:H,IF(B115=2,Inventario2!D:H,IF(B115=3,Inventario3!D:H,IF(B115=4,Inventario4!D:H,IF(B115=5,Inventario5!D:H,Inventario6!D:H))))),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IF(ROW(A115)=2,"",IF(_xlfn._xlws.FILTER(Equipar!AC$2:AC114,Equipar!B$2:B114=B115)={0},"",_xlfn._xlws.FILTER(Equipar!AC$2:AC114,Equipar!B$2:B114=B115))),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14</v>
      </c>
      <c r="E115" s="17" cm="1">
        <f t="array" ref="E115">_xlfn.LET(
    _xlpm.jugador, A115,
    _xlpm.idSel, AC115,
    _xlpm.invIDs, IF(B115=1,Inventario1!A:A,IF(B115=2,Inventario2!A:A,IF(B115=3,Inventario3!A:A,IF(B115=4,Inventario4!A:A,IF(B115=5,Inventario5!A:A,Inventario6!A:A))))),
    _xlpm.invCalidad, IF(B115=1,Inventario1!B:B,IF(B115=2,Inventario2!B:B,IF(B115=3,Inventario3!B:B,IF(B115=4,Inventario4!B:B,IF(B115=5,Inventario5!B:B,Inventario6!B:B))))),
    _xlpm.invTipos, IF(B115=1,Inventario1!C:C,IF(B115=2,Inventario2!C:C,IF(B115=3,Inventario3!C:C,IF(B115=4,Inventario4!C:C,IF(B115=5,Inventario5!C:C,Inventario6!C:C))))),
    _xlpm.invStats, IF(B115=1,Inventario1!D:H,IF(B115=2,Inventario2!D:H,IF(B115=3,Inventario3!D:H,IF(B115=4,Inventario4!D:H,IF(B115=5,Inventario5!D:H,Inventario6!D:H))))),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IF(ROW(A115)=2,"",IF(_xlfn._xlws.FILTER(Equipar!AC$2:AC114,Equipar!B$2:B114=B115)={0},"",_xlfn._xlws.FILTER(Equipar!AC$2:AC114,Equipar!B$2:B114=B115))),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254</v>
      </c>
      <c r="F115" s="17" t="str" cm="1">
        <f t="array" aca="1" ref="F115" ca="1">_xlfn.LET(
    _xlpm.jugador, B115,
    _xlpm.idSel, AD115,
    _xlpm.invIDs, IF(C115=1,Inventario1!B:B,IF(C115=2,Inventario2!B:B,IF(C115=3,Inventario3!B:B,IF(C115=4,Inventario4!B:B,IF(C115=5,Inventario5!B:B,Inventario6!B:B))))),
    _xlpm.invCalidad, IF(C115=1,Inventario1!C:C,IF(C115=2,Inventario2!C:C,IF(C115=3,Inventario3!C:C,IF(C115=4,Inventario4!C:C,IF(C115=5,Inventario5!C:C,Inventario6!C:C))))),
    _xlpm.invTipos, IF(C115=1,Inventario1!D:D,IF(C115=2,Inventario2!D:D,IF(C115=3,Inventario3!D:D,IF(C115=4,Inventario4!D:D,IF(C115=5,Inventario5!D:D,Inventario6!D:D))))),
    _xlpm.invStats, IF(C115=1,Inventario1!E:I,IF(C115=2,Inventario2!E:I,IF(C115=3,Inventario3!E:I,IF(C115=4,Inventario4!E:I,IF(C115=5,Inventario5!E:I,Inventario6!E:I))))),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IF(ROW(B115)=2,"",IF(_xlfn._xlws.FILTER(Equipar!AD$2:AD114,Equipar!C$2:C114=C115)={0},"",_xlfn._xlws.FILTER(Equipar!AD$2:AD114,Equipar!C$2:C114=C115))),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15" s="18" cm="1">
        <f t="array" aca="1" ref="G115" ca="1">_xlfn.LET(
    _xlpm.jugador, A115,
    _xlpm.idSel, AC115,
    _xlpm.invIDs, IF(B115=1,Inventario1!A:A,IF(B115=2,Inventario2!A:A,IF(B115=3,Inventario3!A:A,IF(B115=4,Inventario4!A:A,IF(B115=5,Inventario5!A:A,Inventario6!A:A))))),
    _xlpm.invCalidad, IF(B115=1,Inventario1!B:B,IF(B115=2,Inventario2!B:B,IF(B115=3,Inventario3!B:B,IF(B115=4,Inventario4!B:B,IF(B115=5,Inventario5!B:B,Inventario6!B:B))))),
    _xlpm.invTipos, IF(B115=1,Inventario1!C:C,IF(B115=2,Inventario2!C:C,IF(B115=3,Inventario3!C:C,IF(B115=4,Inventario4!C:C,IF(B115=5,Inventario5!C:C,Inventario6!C:C))))),
    _xlpm.invStats, IF(B115=1,Inventario1!D:H,IF(B115=2,Inventario2!D:H,IF(B115=3,Inventario3!D:H,IF(B115=4,Inventario4!D:H,IF(B115=5,Inventario5!D:H,Inventario6!D:H))))),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IF(ROW(A115)=2,"",IF(_xlfn._xlws.FILTER(Equipar!AC$2:AC114,Equipar!B$2:B114=B115)={0},"",_xlfn._xlws.FILTER(Equipar!AC$2:AC114,Equipar!B$2:B114=B115))),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95.76</v>
      </c>
      <c r="H115" s="17" cm="1">
        <f t="array" ref="H115">_xlfn.LET(
    _xlpm.jugador, A115,
    _xlpm.idSel, AC115,
    _xlpm.invIDs, IF(B115=1,Inventario1!A:A,IF(B115=2,Inventario2!A:A,IF(B115=3,Inventario3!A:A,IF(B115=4,Inventario4!A:A,IF(B115=5,Inventario5!A:A,Inventario6!A:A))))),
    _xlpm.invCalidad, IF(B115=1,Inventario1!B:B,IF(B115=2,Inventario2!B:B,IF(B115=3,Inventario3!B:B,IF(B115=4,Inventario4!B:B,IF(B115=5,Inventario5!B:B,Inventario6!B:B))))),
    _xlpm.invTipos, IF(B115=1,Inventario1!C:C,IF(B115=2,Inventario2!C:C,IF(B115=3,Inventario3!C:C,IF(B115=4,Inventario4!C:C,IF(B115=5,Inventario5!C:C,Inventario6!C:C))))),
    _xlpm.invStats, IF(B115=1,Inventario1!D:H,IF(B115=2,Inventario2!D:H,IF(B115=3,Inventario3!D:H,IF(B115=4,Inventario4!D:H,IF(B115=5,Inventario5!D:H,Inventario6!D:H))))),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IF(ROW(A115)=2,"",IF(_xlfn._xlws.FILTER(Equipar!AC$2:AC114,Equipar!B$2:B114=B115)={0},"",_xlfn._xlws.FILTER(Equipar!AC$2:AC114,Equipar!B$2:B114=B115))),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108</v>
      </c>
      <c r="I115" s="17" cm="1">
        <f t="array" ref="I115">_xlfn.LET(
    _xlpm.jugador, A115,
    _xlpm.idSel, AC115,
    _xlpm.invIDs, IF(B115=1,Inventario1!A:A,IF(B115=2,Inventario2!A:A,IF(B115=3,Inventario3!A:A,IF(B115=4,Inventario4!A:A,IF(B115=5,Inventario5!A:A,Inventario6!A:A))))),
    _xlpm.invCalidad, IF(B115=1,Inventario1!B:B,IF(B115=2,Inventario2!B:B,IF(B115=3,Inventario3!B:B,IF(B115=4,Inventario4!B:B,IF(B115=5,Inventario5!B:B,Inventario6!B:B))))),
    _xlpm.invTipos, IF(B115=1,Inventario1!C:C,IF(B115=2,Inventario2!C:C,IF(B115=3,Inventario3!C:C,IF(B115=4,Inventario4!C:C,IF(B115=5,Inventario5!C:C,Inventario6!C:C))))),
    _xlpm.invStats, IF(B115=1,Inventario1!D:H,IF(B115=2,Inventario2!D:H,IF(B115=3,Inventario3!D:H,IF(B115=4,Inventario4!D:H,IF(B115=5,Inventario5!D:H,Inventario6!D:H))))),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IF(ROW(A115)=2,"",IF(_xlfn._xlws.FILTER(Equipar!AC$2:AC114,Equipar!B$2:B114=B115)={0},"",_xlfn._xlws.FILTER(Equipar!AC$2:AC114,Equipar!B$2:B114=B115))),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59.85</v>
      </c>
      <c r="J115" s="17" cm="1">
        <f t="array" aca="1" ref="J115" ca="1">_xlfn.LET(
    _xlpm.jugador, B115,
    _xlpm.idSel, AD115,
    _xlpm.invIDs, IF(C115=1,Inventario1!B:B,IF(C115=2,Inventario2!B:B,IF(C115=3,Inventario3!B:B,IF(C115=4,Inventario4!B:B,IF(C115=5,Inventario5!B:B,Inventario6!B:B))))),
    _xlpm.invCalidad, IF(C115=1,Inventario1!C:C,IF(C115=2,Inventario2!C:C,IF(C115=3,Inventario3!C:C,IF(C115=4,Inventario4!C:C,IF(C115=5,Inventario5!C:C,Inventario6!C:C))))),
    _xlpm.invTipos, IF(C115=1,Inventario1!D:D,IF(C115=2,Inventario2!D:D,IF(C115=3,Inventario3!D:D,IF(C115=4,Inventario4!D:D,IF(C115=5,Inventario5!D:D,Inventario6!D:D))))),
    _xlpm.invStats, IF(C115=1,Inventario1!E:I,IF(C115=2,Inventario2!E:I,IF(C115=3,Inventario3!E:I,IF(C115=4,Inventario4!E:I,IF(C115=5,Inventario5!E:I,Inventario6!E:I))))),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IF(ROW(B115)=2,"",IF(_xlfn._xlws.FILTER(Equipar!AD$2:AD114,Equipar!C$2:C114=C115)={0},"",_xlfn._xlws.FILTER(Equipar!AD$2:AD114,Equipar!C$2:C114=C115))),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15" s="17">
        <f t="shared" ca="1" si="4"/>
        <v>-12.239999999999995</v>
      </c>
      <c r="L115" s="17">
        <f t="shared" ca="1" si="5"/>
        <v>35.910000000000004</v>
      </c>
      <c r="M115" s="17">
        <f t="shared" ca="1" si="5"/>
        <v>108</v>
      </c>
      <c r="N115" s="17">
        <f t="shared" si="6"/>
        <v>48.15</v>
      </c>
      <c r="O115" s="17">
        <f t="shared" ca="1" si="6"/>
        <v>59.85</v>
      </c>
      <c r="P115" s="18" cm="1">
        <f t="array" aca="1" ref="P115" ca="1">_xlfn.LET(
    _xlpm.ptsPrinBase, _xlfn._xlws.FILTER(G:G, A:A=A115),
    _xlpm.ptsSecBase,  _xlfn._xlws.FILTER(H:H, A:A=A115),
    _xlpm.puntosPrin, _xlpm.ptsPrinBase + _xlfn._xlws.FILTER(B:B, A:A=A115)/1000,
    _xlpm.puntosSec,  _xlpm.ptsSecBase  + _xlfn._xlws.FILTER(B:B, A:A=A115)/1000,
    _xlpm.puntosPrinValidos, SUM(--(_xlpm.ptsPrinBase&gt;0)),
    _xlpm.puntosSecValidos,  SUM(--(_xlpm.ptsSecBase&gt;0)),
    _xlpm.clave, K115 + B115/1000,
    _xlpm.claves, _xlfn._xlws.FILTER(K:K + B:B/1000, A:A=A115),
    IF(AND(_xlpm.puntosPrinValidos&gt;=4,_xlpm.puntosSecValidos&gt;=2),IF(
        SUM(--(_xlpm.claves &gt; _xlpm.clave)) &lt; 4,
        C115,
        D115
    ),"No disp")
)</f>
        <v>14</v>
      </c>
      <c r="Q115" s="18" cm="1">
        <f t="array" aca="1" ref="Q115" ca="1">_xlfn.LET(
    _xlpm.puntosPrin, _xlfn._xlws.FILTER(G:G + B:B/1000, A:A=A115),
    _xlpm.puntosPrinValidos, SUM(--(_xlpm.puntosPrin&gt;1)),
    _xlpm.puntosTer, _xlfn._xlws.FILTER(I:I + B:B/1000, A:A=A115),
    _xlpm.puntosTerValidos, SUM(--(_xlpm.puntosTer&gt;1)),
    _xlpm.clave, L115 + B115/1000,
    _xlpm.claves, _xlfn._xlws.FILTER(L:L + B:B/1000, A:A=A115),
    IF(AND(_xlpm.puntosPrinValidos&gt;=4,_xlpm.puntosTerValidos&gt;=2),IF(
        SUM(--(_xlpm.claves &gt; _xlpm.clave)) &lt; 4,
        C115,
        E115
    ),"No disp")
)</f>
        <v>3</v>
      </c>
      <c r="R115" s="18" t="str" cm="1">
        <f t="array" aca="1" ref="R115" ca="1">_xlfn.LET(
    _xlpm.puntosPrin, _xlfn._xlws.FILTER(G:G + B:B/1000, A:A=A115),
    _xlpm.puntosPrinValidos, SUM(--(_xlpm.puntosPrin&gt;1)),
    _xlpm.puntosTer, _xlfn._xlws.FILTER(J:J + B:B/1000, A:A=A115),
    _xlpm.puntosTerValidos, SUM(--(_xlpm.puntosTer&gt;1)),
    _xlpm.clave, M115 + B115/1000,
    _xlpm.claves, _xlfn._xlws.FILTER(M:M + B:B/1000, A:A=A115),
    IF(AND(_xlpm.puntosPrinValidos&gt;=4,_xlpm.puntosTerValidos&gt;=2),IF(
        SUM(--(_xlpm.claves &gt; _xlpm.clave)) &lt; 4,
        C115,
        F115
    ),"No disp")
)</f>
        <v>No disp</v>
      </c>
      <c r="S115" s="18" cm="1">
        <f t="array" aca="1" ref="S115" ca="1">_xlfn.LET(
    _xlpm.ptsPrinBase, _xlfn._xlws.FILTER(G:G, A:A=A115),
    _xlpm.ptsSecBase,  _xlfn._xlws.FILTER(H:H, A:A=A115),
    _xlpm.puntosPrin, _xlpm.ptsPrinBase + _xlfn._xlws.FILTER(B:B, A:A=A115)/1000,
    _xlpm.puntosSec,  _xlpm.ptsSecBase  + _xlfn._xlws.FILTER(B:B, A:A=A115)/1000,
    _xlpm.puntosPrinValidos, SUM(--(_xlpm.ptsPrinBase&gt;0)),
    _xlpm.puntosSecValidos,  SUM(--(_xlpm.ptsSecBase&gt;0)),
    _xlpm.clave, K115 + B115/1000,
    _xlpm.claves, _xlfn._xlws.FILTER(K:K + B:B/1000, A:A=A115),
    IF(
        AND(_xlpm.puntosPrinValidos&gt;=2, _xlpm.puntosSecValidos&gt;=4),
        IF(
            SUM(--(_xlpm.claves &lt; _xlpm.clave)) &lt; 4,
            D115,
            C115
        ),
        "No disp"
    )
)</f>
        <v>14</v>
      </c>
      <c r="T115" s="18" cm="1">
        <f t="array" ref="T115">_xlfn.LET(
    _xlpm.puntosSec, _xlfn._xlws.FILTER(H:H + B:B/1000, A:A=A115),
    _xlpm.puntosSecValidos, SUM(--(_xlpm.puntosSec&gt;1)),
    _xlpm.puntosAlt, _xlfn._xlws.FILTER(I:I + B:B/1000, A:A=A115),
    _xlpm.puntosAltValidos, SUM(--(_xlpm.puntosAlt&gt;1)),
    _xlpm.clave, N115 + B115/1000,
    _xlpm.claves, _xlfn._xlws.FILTER(N:N + B:B/1000, A:A=A115),
    IF(AND(_xlpm.puntosSecValidos&gt;=4,_xlpm.puntosAltValidos&gt;=2),IF(
        SUM(--(_xlpm.claves &gt; _xlpm.clave)) &lt; 4,
        D115,
        E115
    ),"No disp")
)</f>
        <v>14</v>
      </c>
      <c r="U115" s="18" t="str" cm="1">
        <f t="array" aca="1" ref="U115" ca="1">_xlfn.LET(
    _xlpm.puntosSec, _xlfn._xlws.FILTER(H:H + B:B/1000, A:A=A115),
    _xlpm.puntosSecValidos, SUM(--(_xlpm.puntosSec&gt;1)),
    _xlpm.puntosAlt, _xlfn._xlws.FILTER(J:J + B:B/1000, A:A=A115),
    _xlpm.puntosAltValidos, SUM(--(_xlpm.puntosAlt&gt;1)),
    _xlpm.clave, O115 + B115/1000,
    _xlpm.claves, _xlfn._xlws.FILTER(O:O + B:B/1000, A:A=A115),
    IF(AND(_xlpm.puntosSecValidos&gt;=4,_xlpm.puntosAltValidos&gt;=2),IF(
        SUM(--(_xlpm.claves &gt; _xlpm.clave)) &lt; 4,
        D115,
        F115
    ),"No disp")
)</f>
        <v>No disp</v>
      </c>
      <c r="V115" s="17" cm="1">
        <f t="array" aca="1" ref="V115" ca="1">_xlfn.LET(
_xlpm.PrinIDs,_xlfn._xlws.FILTER(C:C,(A:A=A115)),
_xlpm.SecIDs,_xlfn._xlws.FILTER(D:D,(A:A=A115)),
_xlpm.TerIDs,_xlfn._xlws.FILTER(E:E,A:A=A115),
_xlpm.CuaIDs,_xlfn._xlws.FILTER(F:F,(A:A=A115)),
_xlpm.PrinPts,_xlfn._xlws.FILTER(G:G,(A:A=A115)),
_xlpm.SecPts,_xlfn._xlws.FILTER(H:H,(A:A=A115)),
_xlpm.TerPts,_xlfn._xlws.FILTER(I:I,(A:A=A115)),
_xlpm.CuaPts,_xlfn._xlws.FILTER(J:J,(A:A=A115)),
_xlpm.PSIds,_xlfn._xlws.FILTER(P:P,A:A=A115),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653.13</v>
      </c>
      <c r="W115" s="17" cm="1">
        <f t="array" aca="1" ref="W115" ca="1">_xlfn.LET(
_xlpm.PrinIDs,_xlfn._xlws.FILTER(C:C,(A:A=A115)),
_xlpm.SecIDs,_xlfn._xlws.FILTER(D:D,(A:A=A115)),
_xlpm.TerIDs,_xlfn._xlws.FILTER(E:E,A:A=A115),
_xlpm.CuaIDs,_xlfn._xlws.FILTER(F:F,(A:A=A115)),
_xlpm.PrinPts,_xlfn._xlws.FILTER(G:G,(A:A=A115)),
_xlpm.SecPts,_xlfn._xlws.FILTER(H:H,(A:A=A115)),
_xlpm.TerPts,_xlfn._xlws.FILTER(I:I,(A:A=A115)),
_xlpm.CuaPts,_xlfn._xlws.FILTER(J:J,(A:A=A115)),
_xlpm.PTIds,_xlfn._xlws.FILTER(Q:Q,A:A=A115),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685.53</v>
      </c>
      <c r="X115" s="17" cm="1">
        <f t="array" aca="1" ref="X115" ca="1">_xlfn.LET(
_xlpm.PrinIDs,_xlfn._xlws.FILTER(C:C,(A:A=A115)),
_xlpm.SecIDs,_xlfn._xlws.FILTER(D:D,(A:A=A115)),
_xlpm.TerIDs,_xlfn._xlws.FILTER(E:E,A:A=A115),
_xlpm.CuaIDs,_xlfn._xlws.FILTER(F:F,(A:A=A115)),
_xlpm.PrinPts,_xlfn._xlws.FILTER(G:G,(A:A=A115)),
_xlpm.SecPts,_xlfn._xlws.FILTER(H:H,(A:A=A115)),
_xlpm.TerPts,_xlfn._xlws.FILTER(I:I,(A:A=A115)),
_xlpm.CuaPts,_xlfn._xlws.FILTER(J:J,(A:A=A115)),
_xlpm.PCIds,_xlfn._xlws.FILTER(R:R,A:A=A115),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15" s="17" cm="1">
        <f t="array" aca="1" ref="Y115" ca="1">_xlfn.LET(
_xlpm.PrinIDs,_xlfn._xlws.FILTER(C:C,(A:A=A115)),
_xlpm.SecIDs,_xlfn._xlws.FILTER(D:D,(A:A=A115)),
_xlpm.AltIDs,_xlfn._xlws.FILTER(E:E,A:A=A115),
_xlpm.PrinPts,_xlfn._xlws.FILTER(G:G,(A:A=A115)),
_xlpm.SecPts,_xlfn._xlws.FILTER(H:H,(A:A=A115)),
_xlpm.AltPts,_xlfn._xlws.FILTER(I:I,(A:A=A115)),
_xlpm.SPIds,_xlfn._xlws.FILTER(S:S,A:A=A115),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632.70000000000005</v>
      </c>
      <c r="Z115" s="17" cm="1">
        <f t="array" aca="1" ref="Z115" ca="1">_xlfn.LET(
_xlpm.PrinIDs,_xlfn._xlws.FILTER(C:C,(A:A=A115)),
_xlpm.SecIDs,_xlfn._xlws.FILTER(D:D,(A:A=A115)),
_xlpm.TerIDs,_xlfn._xlws.FILTER(E:E,A:A=A115),
_xlpm.CuaIDs,_xlfn._xlws.FILTER(F:F,(A:A=A115)),
_xlpm.PrinPts,_xlfn._xlws.FILTER(G:G,(A:A=A115)),
_xlpm.SecPts,_xlfn._xlws.FILTER(H:H,(A:A=A115)),
_xlpm.TerPts,_xlfn._xlws.FILTER(I:I,(A:A=A115)),
_xlpm.CuaPts,_xlfn._xlws.FILTER(J:J,(A:A=A115)),
_xlpm.STIds,_xlfn._xlws.FILTER(T:T,A:A=A115),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686.33999999999992</v>
      </c>
      <c r="AA115" s="17" cm="1">
        <f t="array" aca="1" ref="AA115" ca="1">_xlfn.LET(
_xlpm.PrinIDs,_xlfn._xlws.FILTER(C:C,(A:A=A115)),
_xlpm.SecIDs,_xlfn._xlws.FILTER(D:D,(A:A=A115)),
_xlpm.TerIDs,_xlfn._xlws.FILTER(E:E,A:A=A115),
_xlpm.CuaIDs,_xlfn._xlws.FILTER(F:F,(A:A=A115)),
_xlpm.PrinPts,_xlfn._xlws.FILTER(G:G,(A:A=A115)),
_xlpm.SecPts,_xlfn._xlws.FILTER(H:H,(A:A=A115)),
_xlpm.TerPts,_xlfn._xlws.FILTER(I:I,(A:A=A115)),
_xlpm.CuaPts,_xlfn._xlws.FILTER(J:J,(A:A=A115)),
_xlpm.SCIds,_xlfn._xlws.FILTER(U:U,A:A=A115),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15" s="18">
        <f t="shared" ca="1" si="7"/>
        <v>14</v>
      </c>
      <c r="AC115" s="18">
        <v>14</v>
      </c>
      <c r="AD115" s="17"/>
      <c r="AE115" s="18" t="str">
        <f ca="1">IF(ISNUMBER(AC115),
IF($B115=1,VLOOKUP($AC115,Inventario1!$A:$H,2),
IF($B115=2,VLOOKUP($AC115,Inventario2!$A:$H,2),
IF($B115=3,VLOOKUP($AC115,Inventario3!$A:$H,2),
IF($B115=4,VLOOKUP($AC115,Inventario4!$A:$H,2),
IF($B115=5,VLOOKUP($AC115,Inventario5!$A:$H,2),
VLOOKUP($AC115,Inventario6!$A:$H,2)
))))),"No equipado")</f>
        <v>Épico</v>
      </c>
      <c r="AF115" s="18" t="str">
        <f ca="1">IF(ISNUMBER(AC115),
IF($B115=1,VLOOKUP($AC115,Inventario1!$A:$H,3),
IF($B115=2,VLOOKUP($AC115,Inventario2!$A:$H,3),
IF($B115=3,VLOOKUP($AC115,Inventario3!$A:$H,3),
IF($B115=4,VLOOKUP($AC115,Inventario4!$A:$H,3),
IF($B115=5,VLOOKUP($AC115,Inventario5!$A:$H,3),
VLOOKUP($AC115,Inventario6!$A:$H,3)
))))),"")</f>
        <v>Incremento de poder</v>
      </c>
      <c r="AG115" s="18" t="str">
        <f ca="1">IF(ISNUMBER(AC115),
IF($B115=1,VLOOKUP($AC115,Inventario1!$A:$H,4),
IF($B115=2,VLOOKUP($AC115,Inventario2!$A:$H,4),
IF($B115=3,VLOOKUP($AC115,Inventario3!$A:$H,4),
IF($B115=4,VLOOKUP($AC115,Inventario4!$A:$H,4),
IF($B115=5,VLOOKUP($AC115,Inventario5!$A:$H,4),
VLOOKUP($AC115,Inventario6!$A:$H,4)
))))),"")</f>
        <v>Técnica ofensiva</v>
      </c>
      <c r="AH115" s="18" t="str">
        <f ca="1">IF(ISNUMBER(AC115),
IF($B115=1,VLOOKUP($AC115,Inventario1!$A:$H,5),
IF($B115=2,VLOOKUP($AC115,Inventario2!$A:$H,5),
IF($B115=3,VLOOKUP($AC115,Inventario3!$A:$H,5),
IF($B115=4,VLOOKUP($AC115,Inventario4!$A:$H,5),
IF($B115=5,VLOOKUP($AC115,Inventario5!$A:$H,5),
VLOOKUP($AC115,Inventario6!$A:$H,5)
))))),"")</f>
        <v>Percepción</v>
      </c>
      <c r="AI115" s="18" t="str">
        <f ca="1">IF(ISNUMBER(AC115),
IF($B115=1,VLOOKUP($AC115,Inventario1!$A:$H,6),
IF($B115=2,VLOOKUP($AC115,Inventario2!$A:$H,6),
IF($B115=3,VLOOKUP($AC115,Inventario3!$A:$H,6),
IF($B115=4,VLOOKUP($AC115,Inventario4!$A:$H,6),
IF($B115=5,VLOOKUP($AC115,Inventario5!$A:$H,6),
VLOOKUP($AC115,Inventario6!$A:$H,6)
))))),"")</f>
        <v>Recepción</v>
      </c>
      <c r="AJ115" s="18" t="str">
        <f ca="1">IF(ISNUMBER(AC115),
IF($B115=1,VLOOKUP($AC115,Inventario1!$A:$H,7),
IF($B115=2,VLOOKUP($AC115,Inventario2!$A:$H,7),
IF($B115=3,VLOOKUP($AC115,Inventario3!$A:$H,7),
IF($B115=4,VLOOKUP($AC115,Inventario4!$A:$H,7),
IF($B115=5,VLOOKUP($AC115,Inventario5!$A:$H,7),
VLOOKUP($AC115,Inventario6!$A:$H,7)
))))),"")</f>
        <v>Ataque poderoso</v>
      </c>
      <c r="AK115" s="19">
        <f ca="1">IF(ISNUMBER(AC115),
IF($B115=1,VLOOKUP($AC115,Inventario1!$A:$H,8),
IF($B115=2,VLOOKUP($AC115,Inventario2!$A:$H,8),
IF($B115=3,VLOOKUP($AC115,Inventario3!$A:$H,8),
IF($B115=4,VLOOKUP($AC115,Inventario4!$A:$H,8),
IF($B115=5,VLOOKUP($AC115,Inventario5!$A:$H,8),
VLOOKUP($AC115,Inventario6!$A:$H,8)
))))),"")</f>
        <v>0</v>
      </c>
    </row>
    <row r="116" spans="1:37" x14ac:dyDescent="0.25">
      <c r="A116" s="20" t="s">
        <v>6</v>
      </c>
      <c r="B116" s="9">
        <v>1</v>
      </c>
      <c r="C116" s="10" cm="1">
        <f t="array" aca="1" ref="C116" ca="1">_xlfn.LET(
    _xlpm.jugador, A116,
    _xlpm.idSel, AC116,
    _xlpm.invIDs, IF(B116=1,Inventario1!A:A,IF(B116=2,Inventario2!A:A,IF(B116=3,Inventario3!A:A,IF(B116=4,Inventario4!A:A,IF(B116=5,Inventario5!A:A,Inventario6!A:A))))),
    _xlpm.invCalidad, IF(B116=1,Inventario1!B:B,IF(B116=2,Inventario2!B:B,IF(B116=3,Inventario3!B:B,IF(B116=4,Inventario4!B:B,IF(B116=5,Inventario5!B:B,Inventario6!B:B))))),
    _xlpm.invTipos, IF(B116=1,Inventario1!C:C,IF(B116=2,Inventario2!C:C,IF(B116=3,Inventario3!C:C,IF(B116=4,Inventario4!C:C,IF(B116=5,Inventario5!C:C,Inventario6!C:C))))),
    _xlpm.invStats, IF(B116=1,Inventario1!D:H,IF(B116=2,Inventario2!D:H,IF(B116=3,Inventario3!D:H,IF(B116=4,Inventario4!D:H,IF(B116=5,Inventario5!D:H,Inventario6!D:H))))),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IF(ROW(A116)=2,"",IF(_xlfn._xlws.FILTER(Equipar!AC$2:AC115,Equipar!B$2:B115=B116)={0},"",_xlfn._xlws.FILTER(Equipar!AC$2:AC115,Equipar!B$2:B115=B116))),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49</v>
      </c>
      <c r="D116" s="11" cm="1">
        <f t="array" ref="D116">_xlfn.LET(
    _xlpm.jugador, A116,
    _xlpm.idSel, AC116,
    _xlpm.invIDs, IF(B116=1,Inventario1!A:A,IF(B116=2,Inventario2!A:A,IF(B116=3,Inventario3!A:A,IF(B116=4,Inventario4!A:A,IF(B116=5,Inventario5!A:A,Inventario6!A:A))))),
    _xlpm.invCalidad, IF(B116=1,Inventario1!B:B,IF(B116=2,Inventario2!B:B,IF(B116=3,Inventario3!B:B,IF(B116=4,Inventario4!B:B,IF(B116=5,Inventario5!B:B,Inventario6!B:B))))),
    _xlpm.invTipos, IF(B116=1,Inventario1!C:C,IF(B116=2,Inventario2!C:C,IF(B116=3,Inventario3!C:C,IF(B116=4,Inventario4!C:C,IF(B116=5,Inventario5!C:C,Inventario6!C:C))))),
    _xlpm.invStats, IF(B116=1,Inventario1!D:H,IF(B116=2,Inventario2!D:H,IF(B116=3,Inventario3!D:H,IF(B116=4,Inventario4!D:H,IF(B116=5,Inventario5!D:H,Inventario6!D:H))))),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IF(ROW(A116)=2,"",IF(_xlfn._xlws.FILTER(Equipar!AC$2:AC115,Equipar!B$2:B115=B116)={0},"",_xlfn._xlws.FILTER(Equipar!AC$2:AC115,Equipar!B$2:B115=B116))),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51</v>
      </c>
      <c r="E116" s="11" cm="1">
        <f t="array" ref="E116">_xlfn.LET(
    _xlpm.jugador, A116,
    _xlpm.idSel, AC116,
    _xlpm.invIDs, IF(B116=1,Inventario1!A:A,IF(B116=2,Inventario2!A:A,IF(B116=3,Inventario3!A:A,IF(B116=4,Inventario4!A:A,IF(B116=5,Inventario5!A:A,Inventario6!A:A))))),
    _xlpm.invCalidad, IF(B116=1,Inventario1!B:B,IF(B116=2,Inventario2!B:B,IF(B116=3,Inventario3!B:B,IF(B116=4,Inventario4!B:B,IF(B116=5,Inventario5!B:B,Inventario6!B:B))))),
    _xlpm.invTipos, IF(B116=1,Inventario1!C:C,IF(B116=2,Inventario2!C:C,IF(B116=3,Inventario3!C:C,IF(B116=4,Inventario4!C:C,IF(B116=5,Inventario5!C:C,Inventario6!C:C))))),
    _xlpm.invStats, IF(B116=1,Inventario1!D:H,IF(B116=2,Inventario2!D:H,IF(B116=3,Inventario3!D:H,IF(B116=4,Inventario4!D:H,IF(B116=5,Inventario5!D:H,Inventario6!D:H))))),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IF(ROW(A116)=2,"",IF(_xlfn._xlws.FILTER(Equipar!AC$2:AC115,Equipar!B$2:B115=B116)={0},"",_xlfn._xlws.FILTER(Equipar!AC$2:AC115,Equipar!B$2:B115=B116))),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115</v>
      </c>
      <c r="F116" s="11" t="str" cm="1">
        <f t="array" aca="1" ref="F116" ca="1">_xlfn.LET(
    _xlpm.jugador, B116,
    _xlpm.idSel, AD116,
    _xlpm.invIDs, IF(C116=1,Inventario1!B:B,IF(C116=2,Inventario2!B:B,IF(C116=3,Inventario3!B:B,IF(C116=4,Inventario4!B:B,IF(C116=5,Inventario5!B:B,Inventario6!B:B))))),
    _xlpm.invCalidad, IF(C116=1,Inventario1!C:C,IF(C116=2,Inventario2!C:C,IF(C116=3,Inventario3!C:C,IF(C116=4,Inventario4!C:C,IF(C116=5,Inventario5!C:C,Inventario6!C:C))))),
    _xlpm.invTipos, IF(C116=1,Inventario1!D:D,IF(C116=2,Inventario2!D:D,IF(C116=3,Inventario3!D:D,IF(C116=4,Inventario4!D:D,IF(C116=5,Inventario5!D:D,Inventario6!D:D))))),
    _xlpm.invStats, IF(C116=1,Inventario1!E:I,IF(C116=2,Inventario2!E:I,IF(C116=3,Inventario3!E:I,IF(C116=4,Inventario4!E:I,IF(C116=5,Inventario5!E:I,Inventario6!E:I))))),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IF(ROW(B116)=2,"",IF(_xlfn._xlws.FILTER(Equipar!AD$2:AD115,Equipar!C$2:C115=C116)={0},"",_xlfn._xlws.FILTER(Equipar!AD$2:AD115,Equipar!C$2:C115=C116))),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16" s="10" cm="1">
        <f t="array" aca="1" ref="G116" ca="1">_xlfn.LET(
    _xlpm.jugador, A116,
    _xlpm.idSel, AC116,
    _xlpm.invIDs, IF(B116=1,Inventario1!A:A,IF(B116=2,Inventario2!A:A,IF(B116=3,Inventario3!A:A,IF(B116=4,Inventario4!A:A,IF(B116=5,Inventario5!A:A,Inventario6!A:A))))),
    _xlpm.invCalidad, IF(B116=1,Inventario1!B:B,IF(B116=2,Inventario2!B:B,IF(B116=3,Inventario3!B:B,IF(B116=4,Inventario4!B:B,IF(B116=5,Inventario5!B:B,Inventario6!B:B))))),
    _xlpm.invTipos, IF(B116=1,Inventario1!C:C,IF(B116=2,Inventario2!C:C,IF(B116=3,Inventario3!C:C,IF(B116=4,Inventario4!C:C,IF(B116=5,Inventario5!C:C,Inventario6!C:C))))),
    _xlpm.invStats, IF(B116=1,Inventario1!D:H,IF(B116=2,Inventario2!D:H,IF(B116=3,Inventario3!D:H,IF(B116=4,Inventario4!D:H,IF(B116=5,Inventario5!D:H,Inventario6!D:H))))),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IF(ROW(A116)=2,"",IF(_xlfn._xlws.FILTER(Equipar!AC$2:AC115,Equipar!B$2:B115=B116)={0},"",_xlfn._xlws.FILTER(Equipar!AC$2:AC115,Equipar!B$2:B115=B116))),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H116" s="11" cm="1">
        <f t="array" ref="H116">_xlfn.LET(
    _xlpm.jugador, A116,
    _xlpm.idSel, AC116,
    _xlpm.invIDs, IF(B116=1,Inventario1!A:A,IF(B116=2,Inventario2!A:A,IF(B116=3,Inventario3!A:A,IF(B116=4,Inventario4!A:A,IF(B116=5,Inventario5!A:A,Inventario6!A:A))))),
    _xlpm.invCalidad, IF(B116=1,Inventario1!B:B,IF(B116=2,Inventario2!B:B,IF(B116=3,Inventario3!B:B,IF(B116=4,Inventario4!B:B,IF(B116=5,Inventario5!B:B,Inventario6!B:B))))),
    _xlpm.invTipos, IF(B116=1,Inventario1!C:C,IF(B116=2,Inventario2!C:C,IF(B116=3,Inventario3!C:C,IF(B116=4,Inventario4!C:C,IF(B116=5,Inventario5!C:C,Inventario6!C:C))))),
    _xlpm.invStats, IF(B116=1,Inventario1!D:H,IF(B116=2,Inventario2!D:H,IF(B116=3,Inventario3!D:H,IF(B116=4,Inventario4!D:H,IF(B116=5,Inventario5!D:H,Inventario6!D:H))))),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IF(ROW(A116)=2,"",IF(_xlfn._xlws.FILTER(Equipar!AC$2:AC115,Equipar!B$2:B115=B116)={0},"",_xlfn._xlws.FILTER(Equipar!AC$2:AC115,Equipar!B$2:B115=B116))),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I116" s="11" cm="1">
        <f t="array" ref="I116">_xlfn.LET(
    _xlpm.jugador, A116,
    _xlpm.idSel, AC116,
    _xlpm.invIDs, IF(B116=1,Inventario1!A:A,IF(B116=2,Inventario2!A:A,IF(B116=3,Inventario3!A:A,IF(B116=4,Inventario4!A:A,IF(B116=5,Inventario5!A:A,Inventario6!A:A))))),
    _xlpm.invCalidad, IF(B116=1,Inventario1!B:B,IF(B116=2,Inventario2!B:B,IF(B116=3,Inventario3!B:B,IF(B116=4,Inventario4!B:B,IF(B116=5,Inventario5!B:B,Inventario6!B:B))))),
    _xlpm.invTipos, IF(B116=1,Inventario1!C:C,IF(B116=2,Inventario2!C:C,IF(B116=3,Inventario3!C:C,IF(B116=4,Inventario4!C:C,IF(B116=5,Inventario5!C:C,Inventario6!C:C))))),
    _xlpm.invStats, IF(B116=1,Inventario1!D:H,IF(B116=2,Inventario2!D:H,IF(B116=3,Inventario3!D:H,IF(B116=4,Inventario4!D:H,IF(B116=5,Inventario5!D:H,Inventario6!D:H))))),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IF(ROW(A116)=2,"",IF(_xlfn._xlws.FILTER(Equipar!AC$2:AC115,Equipar!B$2:B115=B116)={0},"",_xlfn._xlws.FILTER(Equipar!AC$2:AC115,Equipar!B$2:B115=B116))),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131.67000000000002</v>
      </c>
      <c r="J116" s="11" cm="1">
        <f t="array" aca="1" ref="J116" ca="1">_xlfn.LET(
    _xlpm.jugador, B116,
    _xlpm.idSel, AD116,
    _xlpm.invIDs, IF(C116=1,Inventario1!B:B,IF(C116=2,Inventario2!B:B,IF(C116=3,Inventario3!B:B,IF(C116=4,Inventario4!B:B,IF(C116=5,Inventario5!B:B,Inventario6!B:B))))),
    _xlpm.invCalidad, IF(C116=1,Inventario1!C:C,IF(C116=2,Inventario2!C:C,IF(C116=3,Inventario3!C:C,IF(C116=4,Inventario4!C:C,IF(C116=5,Inventario5!C:C,Inventario6!C:C))))),
    _xlpm.invTipos, IF(C116=1,Inventario1!D:D,IF(C116=2,Inventario2!D:D,IF(C116=3,Inventario3!D:D,IF(C116=4,Inventario4!D:D,IF(C116=5,Inventario5!D:D,Inventario6!D:D))))),
    _xlpm.invStats, IF(C116=1,Inventario1!E:I,IF(C116=2,Inventario2!E:I,IF(C116=3,Inventario3!E:I,IF(C116=4,Inventario4!E:I,IF(C116=5,Inventario5!E:I,Inventario6!E:I))))),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IF(ROW(B116)=2,"",IF(_xlfn._xlws.FILTER(Equipar!AD$2:AD115,Equipar!C$2:C115=C116)={0},"",_xlfn._xlws.FILTER(Equipar!AD$2:AD115,Equipar!C$2:C115=C116))),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16" s="11">
        <f t="shared" ref="K116:K121" ca="1" si="8">G116-H116</f>
        <v>0</v>
      </c>
      <c r="L116" s="11">
        <f t="shared" ref="L116:M121" ca="1" si="9">G116-I116</f>
        <v>-32.670000000000016</v>
      </c>
      <c r="M116" s="11">
        <f t="shared" ca="1" si="9"/>
        <v>99</v>
      </c>
      <c r="N116" s="11">
        <f t="shared" ref="N116:O121" si="10">H116-I116</f>
        <v>-32.670000000000016</v>
      </c>
      <c r="O116" s="11">
        <f t="shared" ca="1" si="10"/>
        <v>131.67000000000002</v>
      </c>
      <c r="P116" s="10" cm="1">
        <f t="array" aca="1" ref="P116" ca="1">_xlfn.LET(
    _xlpm.ptsPrinBase, _xlfn._xlws.FILTER(G:G, A:A=A116),
    _xlpm.ptsSecBase,  _xlfn._xlws.FILTER(H:H, A:A=A116),
    _xlpm.puntosPrin, _xlpm.ptsPrinBase + _xlfn._xlws.FILTER(B:B, A:A=A116)/1000,
    _xlpm.puntosSec,  _xlpm.ptsSecBase  + _xlfn._xlws.FILTER(B:B, A:A=A116)/1000,
    _xlpm.puntosPrinValidos, SUM(--(_xlpm.ptsPrinBase&gt;0)),
    _xlpm.puntosSecValidos,  SUM(--(_xlpm.ptsSecBase&gt;0)),
    _xlpm.clave, K116 + B116/1000,
    _xlpm.claves, _xlfn._xlws.FILTER(K:K + B:B/1000, A:A=A116),
    IF(AND(_xlpm.puntosPrinValidos&gt;=4,_xlpm.puntosSecValidos&gt;=2),IF(
        SUM(--(_xlpm.claves &gt; _xlpm.clave)) &lt; 4,
        C116,
        D116
    ),"No disp")
)</f>
        <v>49</v>
      </c>
      <c r="Q116" s="10" cm="1">
        <f t="array" aca="1" ref="Q116" ca="1">_xlfn.LET(
    _xlpm.puntosPrin, _xlfn._xlws.FILTER(G:G + B:B/1000, A:A=A116),
    _xlpm.puntosPrinValidos, SUM(--(_xlpm.puntosPrin&gt;1)),
    _xlpm.puntosTer, _xlfn._xlws.FILTER(I:I + B:B/1000, A:A=A116),
    _xlpm.puntosTerValidos, SUM(--(_xlpm.puntosTer&gt;1)),
    _xlpm.clave, L116 + B116/1000,
    _xlpm.claves, _xlfn._xlws.FILTER(L:L + B:B/1000, A:A=A116),
    IF(AND(_xlpm.puntosPrinValidos&gt;=4,_xlpm.puntosTerValidos&gt;=2),IF(
        SUM(--(_xlpm.claves &gt; _xlpm.clave)) &lt; 4,
        C116,
        E116
    ),"No disp")
)</f>
        <v>115</v>
      </c>
      <c r="R116" s="10" t="str" cm="1">
        <f t="array" aca="1" ref="R116" ca="1">_xlfn.LET(
    _xlpm.puntosPrin, _xlfn._xlws.FILTER(G:G + B:B/1000, A:A=A116),
    _xlpm.puntosPrinValidos, SUM(--(_xlpm.puntosPrin&gt;1)),
    _xlpm.puntosTer, _xlfn._xlws.FILTER(J:J + B:B/1000, A:A=A116),
    _xlpm.puntosTerValidos, SUM(--(_xlpm.puntosTer&gt;1)),
    _xlpm.clave, M116 + B116/1000,
    _xlpm.claves, _xlfn._xlws.FILTER(M:M + B:B/1000, A:A=A116),
    IF(AND(_xlpm.puntosPrinValidos&gt;=4,_xlpm.puntosTerValidos&gt;=2),IF(
        SUM(--(_xlpm.claves &gt; _xlpm.clave)) &lt; 4,
        C116,
        F116
    ),"No disp")
)</f>
        <v>No disp</v>
      </c>
      <c r="S116" s="10" cm="1">
        <f t="array" aca="1" ref="S116" ca="1">_xlfn.LET(
    _xlpm.ptsPrinBase, _xlfn._xlws.FILTER(G:G, A:A=A116),
    _xlpm.ptsSecBase,  _xlfn._xlws.FILTER(H:H, A:A=A116),
    _xlpm.puntosPrin, _xlpm.ptsPrinBase + _xlfn._xlws.FILTER(B:B, A:A=A116)/1000,
    _xlpm.puntosSec,  _xlpm.ptsSecBase  + _xlfn._xlws.FILTER(B:B, A:A=A116)/1000,
    _xlpm.puntosPrinValidos, SUM(--(_xlpm.ptsPrinBase&gt;0)),
    _xlpm.puntosSecValidos,  SUM(--(_xlpm.ptsSecBase&gt;0)),
    _xlpm.clave, K116 + B116/1000,
    _xlpm.claves, _xlfn._xlws.FILTER(K:K + B:B/1000, A:A=A116),
    IF(
        AND(_xlpm.puntosPrinValidos&gt;=2, _xlpm.puntosSecValidos&gt;=4),
        IF(
            SUM(--(_xlpm.claves &lt; _xlpm.clave)) &lt; 4,
            D116,
            C116
        ),
        "No disp"
    )
)</f>
        <v>51</v>
      </c>
      <c r="T116" s="10" cm="1">
        <f t="array" ref="T116">_xlfn.LET(
    _xlpm.puntosSec, _xlfn._xlws.FILTER(H:H + B:B/1000, A:A=A116),
    _xlpm.puntosSecValidos, SUM(--(_xlpm.puntosSec&gt;1)),
    _xlpm.puntosAlt, _xlfn._xlws.FILTER(I:I + B:B/1000, A:A=A116),
    _xlpm.puntosAltValidos, SUM(--(_xlpm.puntosAlt&gt;1)),
    _xlpm.clave, N116 + B116/1000,
    _xlpm.claves, _xlfn._xlws.FILTER(N:N + B:B/1000, A:A=A116),
    IF(AND(_xlpm.puntosSecValidos&gt;=4,_xlpm.puntosAltValidos&gt;=2),IF(
        SUM(--(_xlpm.claves &gt; _xlpm.clave)) &lt; 4,
        D116,
        E116
    ),"No disp")
)</f>
        <v>115</v>
      </c>
      <c r="U116" s="10" t="str" cm="1">
        <f t="array" aca="1" ref="U116" ca="1">_xlfn.LET(
    _xlpm.puntosSec, _xlfn._xlws.FILTER(H:H + B:B/1000, A:A=A116),
    _xlpm.puntosSecValidos, SUM(--(_xlpm.puntosSec&gt;1)),
    _xlpm.puntosAlt, _xlfn._xlws.FILTER(J:J + B:B/1000, A:A=A116),
    _xlpm.puntosAltValidos, SUM(--(_xlpm.puntosAlt&gt;1)),
    _xlpm.clave, O116 + B116/1000,
    _xlpm.claves, _xlfn._xlws.FILTER(O:O + B:B/1000, A:A=A116),
    IF(AND(_xlpm.puntosSecValidos&gt;=4,_xlpm.puntosAltValidos&gt;=2),IF(
        SUM(--(_xlpm.claves &gt; _xlpm.clave)) &lt; 4,
        D116,
        F116
    ),"No disp")
)</f>
        <v>No disp</v>
      </c>
      <c r="V116" s="11" cm="1">
        <f t="array" aca="1" ref="V116" ca="1">_xlfn.LET(
_xlpm.PrinIDs,_xlfn._xlws.FILTER(C:C,(A:A=A116)),
_xlpm.SecIDs,_xlfn._xlws.FILTER(D:D,(A:A=A116)),
_xlpm.TerIDs,_xlfn._xlws.FILTER(E:E,A:A=A116),
_xlpm.CuaIDs,_xlfn._xlws.FILTER(F:F,(A:A=A116)),
_xlpm.PrinPts,_xlfn._xlws.FILTER(G:G,(A:A=A116)),
_xlpm.SecPts,_xlfn._xlws.FILTER(H:H,(A:A=A116)),
_xlpm.TerPts,_xlfn._xlws.FILTER(I:I,(A:A=A116)),
_xlpm.CuaPts,_xlfn._xlws.FILTER(J:J,(A:A=A116)),
_xlpm.PSIds,_xlfn._xlws.FILTER(P:P,A:A=A116),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479.79</v>
      </c>
      <c r="W116" s="11" cm="1">
        <f t="array" aca="1" ref="W116" ca="1">_xlfn.LET(
_xlpm.PrinIDs,_xlfn._xlws.FILTER(C:C,(A:A=A116)),
_xlpm.SecIDs,_xlfn._xlws.FILTER(D:D,(A:A=A116)),
_xlpm.TerIDs,_xlfn._xlws.FILTER(E:E,A:A=A116),
_xlpm.CuaIDs,_xlfn._xlws.FILTER(F:F,(A:A=A116)),
_xlpm.PrinPts,_xlfn._xlws.FILTER(G:G,(A:A=A116)),
_xlpm.SecPts,_xlfn._xlws.FILTER(H:H,(A:A=A116)),
_xlpm.TerPts,_xlfn._xlws.FILTER(I:I,(A:A=A116)),
_xlpm.CuaPts,_xlfn._xlws.FILTER(J:J,(A:A=A116)),
_xlpm.PTIds,_xlfn._xlws.FILTER(Q:Q,A:A=A116),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518.04000000000008</v>
      </c>
      <c r="X116" s="11" cm="1">
        <f t="array" aca="1" ref="X116" ca="1">_xlfn.LET(
_xlpm.PrinIDs,_xlfn._xlws.FILTER(C:C,(A:A=A116)),
_xlpm.SecIDs,_xlfn._xlws.FILTER(D:D,(A:A=A116)),
_xlpm.TerIDs,_xlfn._xlws.FILTER(E:E,A:A=A116),
_xlpm.CuaIDs,_xlfn._xlws.FILTER(F:F,(A:A=A116)),
_xlpm.PrinPts,_xlfn._xlws.FILTER(G:G,(A:A=A116)),
_xlpm.SecPts,_xlfn._xlws.FILTER(H:H,(A:A=A116)),
_xlpm.TerPts,_xlfn._xlws.FILTER(I:I,(A:A=A116)),
_xlpm.CuaPts,_xlfn._xlws.FILTER(J:J,(A:A=A116)),
_xlpm.PCIds,_xlfn._xlws.FILTER(R:R,A:A=A116),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16" s="11" cm="1">
        <f t="array" aca="1" ref="Y116" ca="1">_xlfn.LET(
_xlpm.PrinIDs,_xlfn._xlws.FILTER(C:C,(A:A=A116)),
_xlpm.SecIDs,_xlfn._xlws.FILTER(D:D,(A:A=A116)),
_xlpm.AltIDs,_xlfn._xlws.FILTER(E:E,A:A=A116),
_xlpm.PrinPts,_xlfn._xlws.FILTER(G:G,(A:A=A116)),
_xlpm.SecPts,_xlfn._xlws.FILTER(H:H,(A:A=A116)),
_xlpm.AltPts,_xlfn._xlws.FILTER(I:I,(A:A=A116)),
_xlpm.SPIds,_xlfn._xlws.FILTER(S:S,A:A=A116),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488.79</v>
      </c>
      <c r="Z116" s="11" cm="1">
        <f t="array" aca="1" ref="Z116" ca="1">_xlfn.LET(
_xlpm.PrinIDs,_xlfn._xlws.FILTER(C:C,(A:A=A116)),
_xlpm.SecIDs,_xlfn._xlws.FILTER(D:D,(A:A=A116)),
_xlpm.TerIDs,_xlfn._xlws.FILTER(E:E,A:A=A116),
_xlpm.CuaIDs,_xlfn._xlws.FILTER(F:F,(A:A=A116)),
_xlpm.PrinPts,_xlfn._xlws.FILTER(G:G,(A:A=A116)),
_xlpm.SecPts,_xlfn._xlws.FILTER(H:H,(A:A=A116)),
_xlpm.TerPts,_xlfn._xlws.FILTER(I:I,(A:A=A116)),
_xlpm.CuaPts,_xlfn._xlws.FILTER(J:J,(A:A=A116)),
_xlpm.STIds,_xlfn._xlws.FILTER(T:T,A:A=A116),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494.46000000000004</v>
      </c>
      <c r="AA116" s="11" cm="1">
        <f t="array" aca="1" ref="AA116" ca="1">_xlfn.LET(
_xlpm.PrinIDs,_xlfn._xlws.FILTER(C:C,(A:A=A116)),
_xlpm.SecIDs,_xlfn._xlws.FILTER(D:D,(A:A=A116)),
_xlpm.TerIDs,_xlfn._xlws.FILTER(E:E,A:A=A116),
_xlpm.CuaIDs,_xlfn._xlws.FILTER(F:F,(A:A=A116)),
_xlpm.PrinPts,_xlfn._xlws.FILTER(G:G,(A:A=A116)),
_xlpm.SecPts,_xlfn._xlws.FILTER(H:H,(A:A=A116)),
_xlpm.TerPts,_xlfn._xlws.FILTER(I:I,(A:A=A116)),
_xlpm.CuaPts,_xlfn._xlws.FILTER(J:J,(A:A=A116)),
_xlpm.SCIds,_xlfn._xlws.FILTER(U:U,A:A=A116),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16" s="10">
        <f t="shared" ca="1" si="7"/>
        <v>115</v>
      </c>
      <c r="AC116" s="10">
        <v>115</v>
      </c>
      <c r="AD116" s="11"/>
      <c r="AE116" s="10" t="str">
        <f ca="1">IF(ISNUMBER(AC116),
IF($B116=1,VLOOKUP($AC116,Inventario1!$A:$H,2),
IF($B116=2,VLOOKUP($AC116,Inventario2!$A:$H,2),
IF($B116=3,VLOOKUP($AC116,Inventario3!$A:$H,2),
IF($B116=4,VLOOKUP($AC116,Inventario4!$A:$H,2),
IF($B116=5,VLOOKUP($AC116,Inventario5!$A:$H,2),
VLOOKUP($AC116,Inventario6!$A:$H,2)
))))),"No equipado")</f>
        <v>Legendario</v>
      </c>
      <c r="AF116" s="10" t="str">
        <f ca="1">IF(ISNUMBER(AC116),
IF($B116=1,VLOOKUP($AC116,Inventario1!$A:$H,3),
IF($B116=2,VLOOKUP($AC116,Inventario2!$A:$H,3),
IF($B116=3,VLOOKUP($AC116,Inventario3!$A:$H,3),
IF($B116=4,VLOOKUP($AC116,Inventario4!$A:$H,3),
IF($B116=5,VLOOKUP($AC116,Inventario5!$A:$H,3),
VLOOKUP($AC116,Inventario6!$A:$H,3)
))))),"")</f>
        <v>Potenciación de la moral</v>
      </c>
      <c r="AG116" s="10" t="str">
        <f ca="1">IF(ISNUMBER(AC116),
IF($B116=1,VLOOKUP($AC116,Inventario1!$A:$H,4),
IF($B116=2,VLOOKUP($AC116,Inventario2!$A:$H,4),
IF($B116=3,VLOOKUP($AC116,Inventario3!$A:$H,4),
IF($B116=4,VLOOKUP($AC116,Inventario4!$A:$H,4),
IF($B116=5,VLOOKUP($AC116,Inventario5!$A:$H,4),
VLOOKUP($AC116,Inventario6!$A:$H,4)
))))),"")</f>
        <v>Ataque poderoso</v>
      </c>
      <c r="AH116" s="10" t="str">
        <f ca="1">IF(ISNUMBER(AC116),
IF($B116=1,VLOOKUP($AC116,Inventario1!$A:$H,5),
IF($B116=2,VLOOKUP($AC116,Inventario2!$A:$H,5),
IF($B116=3,VLOOKUP($AC116,Inventario3!$A:$H,5),
IF($B116=4,VLOOKUP($AC116,Inventario4!$A:$H,5),
IF($B116=5,VLOOKUP($AC116,Inventario5!$A:$H,5),
VLOOKUP($AC116,Inventario6!$A:$H,5)
))))),"")</f>
        <v>Ataque poderoso</v>
      </c>
      <c r="AI116" s="10" t="str">
        <f ca="1">IF(ISNUMBER(AC116),
IF($B116=1,VLOOKUP($AC116,Inventario1!$A:$H,6),
IF($B116=2,VLOOKUP($AC116,Inventario2!$A:$H,6),
IF($B116=3,VLOOKUP($AC116,Inventario3!$A:$H,6),
IF($B116=4,VLOOKUP($AC116,Inventario4!$A:$H,6),
IF($B116=5,VLOOKUP($AC116,Inventario5!$A:$H,6),
VLOOKUP($AC116,Inventario6!$A:$H,6)
))))),"")</f>
        <v>Saque</v>
      </c>
      <c r="AJ116" s="10" t="str">
        <f ca="1">IF(ISNUMBER(AC116),
IF($B116=1,VLOOKUP($AC116,Inventario1!$A:$H,7),
IF($B116=2,VLOOKUP($AC116,Inventario2!$A:$H,7),
IF($B116=3,VLOOKUP($AC116,Inventario3!$A:$H,7),
IF($B116=4,VLOOKUP($AC116,Inventario4!$A:$H,7),
IF($B116=5,VLOOKUP($AC116,Inventario5!$A:$H,7),
VLOOKUP($AC116,Inventario6!$A:$H,7)
))))),"")</f>
        <v>Colocación</v>
      </c>
      <c r="AK116" s="12">
        <f ca="1">IF(ISNUMBER(AC116),
IF($B116=1,VLOOKUP($AC116,Inventario1!$A:$H,8),
IF($B116=2,VLOOKUP($AC116,Inventario2!$A:$H,8),
IF($B116=3,VLOOKUP($AC116,Inventario3!$A:$H,8),
IF($B116=4,VLOOKUP($AC116,Inventario4!$A:$H,8),
IF($B116=5,VLOOKUP($AC116,Inventario5!$A:$H,8),
VLOOKUP($AC116,Inventario6!$A:$H,8)
))))),"")</f>
        <v>0</v>
      </c>
    </row>
    <row r="117" spans="1:37" x14ac:dyDescent="0.25">
      <c r="A117" s="21" t="s">
        <v>6</v>
      </c>
      <c r="B117" s="3">
        <v>2</v>
      </c>
      <c r="C117" s="14" cm="1">
        <f t="array" aca="1" ref="C117" ca="1">_xlfn.LET(
    _xlpm.jugador, A117,
    _xlpm.idSel, AC117,
    _xlpm.invIDs, IF(B117=1,Inventario1!A:A,IF(B117=2,Inventario2!A:A,IF(B117=3,Inventario3!A:A,IF(B117=4,Inventario4!A:A,IF(B117=5,Inventario5!A:A,Inventario6!A:A))))),
    _xlpm.invCalidad, IF(B117=1,Inventario1!B:B,IF(B117=2,Inventario2!B:B,IF(B117=3,Inventario3!B:B,IF(B117=4,Inventario4!B:B,IF(B117=5,Inventario5!B:B,Inventario6!B:B))))),
    _xlpm.invTipos, IF(B117=1,Inventario1!C:C,IF(B117=2,Inventario2!C:C,IF(B117=3,Inventario3!C:C,IF(B117=4,Inventario4!C:C,IF(B117=5,Inventario5!C:C,Inventario6!C:C))))),
    _xlpm.invStats, IF(B117=1,Inventario1!D:H,IF(B117=2,Inventario2!D:H,IF(B117=3,Inventario3!D:H,IF(B117=4,Inventario4!D:H,IF(B117=5,Inventario5!D:H,Inventario6!D:H))))),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IF(ROW(A117)=2,"",IF(_xlfn._xlws.FILTER(Equipar!AC$2:AC116,Equipar!B$2:B116=B117)={0},"",_xlfn._xlws.FILTER(Equipar!AC$2:AC116,Equipar!B$2:B116=B117))),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41</v>
      </c>
      <c r="D117" s="4" cm="1">
        <f t="array" ref="D117">_xlfn.LET(
    _xlpm.jugador, A117,
    _xlpm.idSel, AC117,
    _xlpm.invIDs, IF(B117=1,Inventario1!A:A,IF(B117=2,Inventario2!A:A,IF(B117=3,Inventario3!A:A,IF(B117=4,Inventario4!A:A,IF(B117=5,Inventario5!A:A,Inventario6!A:A))))),
    _xlpm.invCalidad, IF(B117=1,Inventario1!B:B,IF(B117=2,Inventario2!B:B,IF(B117=3,Inventario3!B:B,IF(B117=4,Inventario4!B:B,IF(B117=5,Inventario5!B:B,Inventario6!B:B))))),
    _xlpm.invTipos, IF(B117=1,Inventario1!C:C,IF(B117=2,Inventario2!C:C,IF(B117=3,Inventario3!C:C,IF(B117=4,Inventario4!C:C,IF(B117=5,Inventario5!C:C,Inventario6!C:C))))),
    _xlpm.invStats, IF(B117=1,Inventario1!D:H,IF(B117=2,Inventario2!D:H,IF(B117=3,Inventario3!D:H,IF(B117=4,Inventario4!D:H,IF(B117=5,Inventario5!D:H,Inventario6!D:H))))),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IF(ROW(A117)=2,"",IF(_xlfn._xlws.FILTER(Equipar!AC$2:AC116,Equipar!B$2:B116=B117)={0},"",_xlfn._xlws.FILTER(Equipar!AC$2:AC116,Equipar!B$2:B116=B117))),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128</v>
      </c>
      <c r="E117" s="4" cm="1">
        <f t="array" ref="E117">_xlfn.LET(
    _xlpm.jugador, A117,
    _xlpm.idSel, AC117,
    _xlpm.invIDs, IF(B117=1,Inventario1!A:A,IF(B117=2,Inventario2!A:A,IF(B117=3,Inventario3!A:A,IF(B117=4,Inventario4!A:A,IF(B117=5,Inventario5!A:A,Inventario6!A:A))))),
    _xlpm.invCalidad, IF(B117=1,Inventario1!B:B,IF(B117=2,Inventario2!B:B,IF(B117=3,Inventario3!B:B,IF(B117=4,Inventario4!B:B,IF(B117=5,Inventario5!B:B,Inventario6!B:B))))),
    _xlpm.invTipos, IF(B117=1,Inventario1!C:C,IF(B117=2,Inventario2!C:C,IF(B117=3,Inventario3!C:C,IF(B117=4,Inventario4!C:C,IF(B117=5,Inventario5!C:C,Inventario6!C:C))))),
    _xlpm.invStats, IF(B117=1,Inventario1!D:H,IF(B117=2,Inventario2!D:H,IF(B117=3,Inventario3!D:H,IF(B117=4,Inventario4!D:H,IF(B117=5,Inventario5!D:H,Inventario6!D:H))))),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IF(ROW(A117)=2,"",IF(_xlfn._xlws.FILTER(Equipar!AC$2:AC116,Equipar!B$2:B116=B117)={0},"",_xlfn._xlws.FILTER(Equipar!AC$2:AC116,Equipar!B$2:B116=B117))),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104</v>
      </c>
      <c r="F117" s="4" t="str" cm="1">
        <f t="array" aca="1" ref="F117" ca="1">_xlfn.LET(
    _xlpm.jugador, B117,
    _xlpm.idSel, AD117,
    _xlpm.invIDs, IF(C117=1,Inventario1!B:B,IF(C117=2,Inventario2!B:B,IF(C117=3,Inventario3!B:B,IF(C117=4,Inventario4!B:B,IF(C117=5,Inventario5!B:B,Inventario6!B:B))))),
    _xlpm.invCalidad, IF(C117=1,Inventario1!C:C,IF(C117=2,Inventario2!C:C,IF(C117=3,Inventario3!C:C,IF(C117=4,Inventario4!C:C,IF(C117=5,Inventario5!C:C,Inventario6!C:C))))),
    _xlpm.invTipos, IF(C117=1,Inventario1!D:D,IF(C117=2,Inventario2!D:D,IF(C117=3,Inventario3!D:D,IF(C117=4,Inventario4!D:D,IF(C117=5,Inventario5!D:D,Inventario6!D:D))))),
    _xlpm.invStats, IF(C117=1,Inventario1!E:I,IF(C117=2,Inventario2!E:I,IF(C117=3,Inventario3!E:I,IF(C117=4,Inventario4!E:I,IF(C117=5,Inventario5!E:I,Inventario6!E:I))))),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IF(ROW(B117)=2,"",IF(_xlfn._xlws.FILTER(Equipar!AD$2:AD116,Equipar!C$2:C116=C117)={0},"",_xlfn._xlws.FILTER(Equipar!AD$2:AD116,Equipar!C$2:C116=C117))),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17" s="14" cm="1">
        <f t="array" aca="1" ref="G117" ca="1">_xlfn.LET(
    _xlpm.jugador, A117,
    _xlpm.idSel, AC117,
    _xlpm.invIDs, IF(B117=1,Inventario1!A:A,IF(B117=2,Inventario2!A:A,IF(B117=3,Inventario3!A:A,IF(B117=4,Inventario4!A:A,IF(B117=5,Inventario5!A:A,Inventario6!A:A))))),
    _xlpm.invCalidad, IF(B117=1,Inventario1!B:B,IF(B117=2,Inventario2!B:B,IF(B117=3,Inventario3!B:B,IF(B117=4,Inventario4!B:B,IF(B117=5,Inventario5!B:B,Inventario6!B:B))))),
    _xlpm.invTipos, IF(B117=1,Inventario1!C:C,IF(B117=2,Inventario2!C:C,IF(B117=3,Inventario3!C:C,IF(B117=4,Inventario4!C:C,IF(B117=5,Inventario5!C:C,Inventario6!C:C))))),
    _xlpm.invStats, IF(B117=1,Inventario1!D:H,IF(B117=2,Inventario2!D:H,IF(B117=3,Inventario3!D:H,IF(B117=4,Inventario4!D:H,IF(B117=5,Inventario5!D:H,Inventario6!D:H))))),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IF(ROW(A117)=2,"",IF(_xlfn._xlws.FILTER(Equipar!AC$2:AC116,Equipar!B$2:B116=B117)={0},"",_xlfn._xlws.FILTER(Equipar!AC$2:AC116,Equipar!B$2:B116=B117))),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81</v>
      </c>
      <c r="H117" s="4" cm="1">
        <f t="array" ref="H117">_xlfn.LET(
    _xlpm.jugador, A117,
    _xlpm.idSel, AC117,
    _xlpm.invIDs, IF(B117=1,Inventario1!A:A,IF(B117=2,Inventario2!A:A,IF(B117=3,Inventario3!A:A,IF(B117=4,Inventario4!A:A,IF(B117=5,Inventario5!A:A,Inventario6!A:A))))),
    _xlpm.invCalidad, IF(B117=1,Inventario1!B:B,IF(B117=2,Inventario2!B:B,IF(B117=3,Inventario3!B:B,IF(B117=4,Inventario4!B:B,IF(B117=5,Inventario5!B:B,Inventario6!B:B))))),
    _xlpm.invTipos, IF(B117=1,Inventario1!C:C,IF(B117=2,Inventario2!C:C,IF(B117=3,Inventario3!C:C,IF(B117=4,Inventario4!C:C,IF(B117=5,Inventario5!C:C,Inventario6!C:C))))),
    _xlpm.invStats, IF(B117=1,Inventario1!D:H,IF(B117=2,Inventario2!D:H,IF(B117=3,Inventario3!D:H,IF(B117=4,Inventario4!D:H,IF(B117=5,Inventario5!D:H,Inventario6!D:H))))),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IF(ROW(A117)=2,"",IF(_xlfn._xlws.FILTER(Equipar!AC$2:AC116,Equipar!B$2:B116=B117)={0},"",_xlfn._xlws.FILTER(Equipar!AC$2:AC116,Equipar!B$2:B116=B117))),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I117" s="4" cm="1">
        <f t="array" ref="I117">_xlfn.LET(
    _xlpm.jugador, A117,
    _xlpm.idSel, AC117,
    _xlpm.invIDs, IF(B117=1,Inventario1!A:A,IF(B117=2,Inventario2!A:A,IF(B117=3,Inventario3!A:A,IF(B117=4,Inventario4!A:A,IF(B117=5,Inventario5!A:A,Inventario6!A:A))))),
    _xlpm.invCalidad, IF(B117=1,Inventario1!B:B,IF(B117=2,Inventario2!B:B,IF(B117=3,Inventario3!B:B,IF(B117=4,Inventario4!B:B,IF(B117=5,Inventario5!B:B,Inventario6!B:B))))),
    _xlpm.invTipos, IF(B117=1,Inventario1!C:C,IF(B117=2,Inventario2!C:C,IF(B117=3,Inventario3!C:C,IF(B117=4,Inventario4!C:C,IF(B117=5,Inventario5!C:C,Inventario6!C:C))))),
    _xlpm.invStats, IF(B117=1,Inventario1!D:H,IF(B117=2,Inventario2!D:H,IF(B117=3,Inventario3!D:H,IF(B117=4,Inventario4!D:H,IF(B117=5,Inventario5!D:H,Inventario6!D:H))))),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IF(ROW(A117)=2,"",IF(_xlfn._xlws.FILTER(Equipar!AC$2:AC116,Equipar!B$2:B116=B117)={0},"",_xlfn._xlws.FILTER(Equipar!AC$2:AC116,Equipar!B$2:B116=B117))),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J117" s="4" cm="1">
        <f t="array" aca="1" ref="J117" ca="1">_xlfn.LET(
    _xlpm.jugador, B117,
    _xlpm.idSel, AD117,
    _xlpm.invIDs, IF(C117=1,Inventario1!B:B,IF(C117=2,Inventario2!B:B,IF(C117=3,Inventario3!B:B,IF(C117=4,Inventario4!B:B,IF(C117=5,Inventario5!B:B,Inventario6!B:B))))),
    _xlpm.invCalidad, IF(C117=1,Inventario1!C:C,IF(C117=2,Inventario2!C:C,IF(C117=3,Inventario3!C:C,IF(C117=4,Inventario4!C:C,IF(C117=5,Inventario5!C:C,Inventario6!C:C))))),
    _xlpm.invTipos, IF(C117=1,Inventario1!D:D,IF(C117=2,Inventario2!D:D,IF(C117=3,Inventario3!D:D,IF(C117=4,Inventario4!D:D,IF(C117=5,Inventario5!D:D,Inventario6!D:D))))),
    _xlpm.invStats, IF(C117=1,Inventario1!E:I,IF(C117=2,Inventario2!E:I,IF(C117=3,Inventario3!E:I,IF(C117=4,Inventario4!E:I,IF(C117=5,Inventario5!E:I,Inventario6!E:I))))),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IF(ROW(B117)=2,"",IF(_xlfn._xlws.FILTER(Equipar!AD$2:AD116,Equipar!C$2:C116=C117)={0},"",_xlfn._xlws.FILTER(Equipar!AD$2:AD116,Equipar!C$2:C116=C117))),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17" s="4">
        <f t="shared" ca="1" si="8"/>
        <v>18</v>
      </c>
      <c r="L117" s="4">
        <f t="shared" ca="1" si="9"/>
        <v>-2.7900000000000063</v>
      </c>
      <c r="M117" s="4">
        <f t="shared" ca="1" si="9"/>
        <v>63</v>
      </c>
      <c r="N117" s="4">
        <f t="shared" si="10"/>
        <v>-20.790000000000006</v>
      </c>
      <c r="O117" s="4">
        <f t="shared" ca="1" si="10"/>
        <v>83.79</v>
      </c>
      <c r="P117" s="14" cm="1">
        <f t="array" aca="1" ref="P117" ca="1">_xlfn.LET(
    _xlpm.ptsPrinBase, _xlfn._xlws.FILTER(G:G, A:A=A117),
    _xlpm.ptsSecBase,  _xlfn._xlws.FILTER(H:H, A:A=A117),
    _xlpm.puntosPrin, _xlpm.ptsPrinBase + _xlfn._xlws.FILTER(B:B, A:A=A117)/1000,
    _xlpm.puntosSec,  _xlpm.ptsSecBase  + _xlfn._xlws.FILTER(B:B, A:A=A117)/1000,
    _xlpm.puntosPrinValidos, SUM(--(_xlpm.ptsPrinBase&gt;0)),
    _xlpm.puntosSecValidos,  SUM(--(_xlpm.ptsSecBase&gt;0)),
    _xlpm.clave, K117 + B117/1000,
    _xlpm.claves, _xlfn._xlws.FILTER(K:K + B:B/1000, A:A=A117),
    IF(AND(_xlpm.puntosPrinValidos&gt;=4,_xlpm.puntosSecValidos&gt;=2),IF(
        SUM(--(_xlpm.claves &gt; _xlpm.clave)) &lt; 4,
        C117,
        D117
    ),"No disp")
)</f>
        <v>41</v>
      </c>
      <c r="Q117" s="14" cm="1">
        <f t="array" aca="1" ref="Q117" ca="1">_xlfn.LET(
    _xlpm.puntosPrin, _xlfn._xlws.FILTER(G:G + B:B/1000, A:A=A117),
    _xlpm.puntosPrinValidos, SUM(--(_xlpm.puntosPrin&gt;1)),
    _xlpm.puntosTer, _xlfn._xlws.FILTER(I:I + B:B/1000, A:A=A117),
    _xlpm.puntosTerValidos, SUM(--(_xlpm.puntosTer&gt;1)),
    _xlpm.clave, L117 + B117/1000,
    _xlpm.claves, _xlfn._xlws.FILTER(L:L + B:B/1000, A:A=A117),
    IF(AND(_xlpm.puntosPrinValidos&gt;=4,_xlpm.puntosTerValidos&gt;=2),IF(
        SUM(--(_xlpm.claves &gt; _xlpm.clave)) &lt; 4,
        C117,
        E117
    ),"No disp")
)</f>
        <v>41</v>
      </c>
      <c r="R117" s="14" t="str" cm="1">
        <f t="array" aca="1" ref="R117" ca="1">_xlfn.LET(
    _xlpm.puntosPrin, _xlfn._xlws.FILTER(G:G + B:B/1000, A:A=A117),
    _xlpm.puntosPrinValidos, SUM(--(_xlpm.puntosPrin&gt;1)),
    _xlpm.puntosTer, _xlfn._xlws.FILTER(J:J + B:B/1000, A:A=A117),
    _xlpm.puntosTerValidos, SUM(--(_xlpm.puntosTer&gt;1)),
    _xlpm.clave, M117 + B117/1000,
    _xlpm.claves, _xlfn._xlws.FILTER(M:M + B:B/1000, A:A=A117),
    IF(AND(_xlpm.puntosPrinValidos&gt;=4,_xlpm.puntosTerValidos&gt;=2),IF(
        SUM(--(_xlpm.claves &gt; _xlpm.clave)) &lt; 4,
        C117,
        F117
    ),"No disp")
)</f>
        <v>No disp</v>
      </c>
      <c r="S117" s="14" cm="1">
        <f t="array" aca="1" ref="S117" ca="1">_xlfn.LET(
    _xlpm.ptsPrinBase, _xlfn._xlws.FILTER(G:G, A:A=A117),
    _xlpm.ptsSecBase,  _xlfn._xlws.FILTER(H:H, A:A=A117),
    _xlpm.puntosPrin, _xlpm.ptsPrinBase + _xlfn._xlws.FILTER(B:B, A:A=A117)/1000,
    _xlpm.puntosSec,  _xlpm.ptsSecBase  + _xlfn._xlws.FILTER(B:B, A:A=A117)/1000,
    _xlpm.puntosPrinValidos, SUM(--(_xlpm.ptsPrinBase&gt;0)),
    _xlpm.puntosSecValidos,  SUM(--(_xlpm.ptsSecBase&gt;0)),
    _xlpm.clave, K117 + B117/1000,
    _xlpm.claves, _xlfn._xlws.FILTER(K:K + B:B/1000, A:A=A117),
    IF(
        AND(_xlpm.puntosPrinValidos&gt;=2, _xlpm.puntosSecValidos&gt;=4),
        IF(
            SUM(--(_xlpm.claves &lt; _xlpm.clave)) &lt; 4,
            D117,
            C117
        ),
        "No disp"
    )
)</f>
        <v>41</v>
      </c>
      <c r="T117" s="14" cm="1">
        <f t="array" ref="T117">_xlfn.LET(
    _xlpm.puntosSec, _xlfn._xlws.FILTER(H:H + B:B/1000, A:A=A117),
    _xlpm.puntosSecValidos, SUM(--(_xlpm.puntosSec&gt;1)),
    _xlpm.puntosAlt, _xlfn._xlws.FILTER(I:I + B:B/1000, A:A=A117),
    _xlpm.puntosAltValidos, SUM(--(_xlpm.puntosAlt&gt;1)),
    _xlpm.clave, N117 + B117/1000,
    _xlpm.claves, _xlfn._xlws.FILTER(N:N + B:B/1000, A:A=A117),
    IF(AND(_xlpm.puntosSecValidos&gt;=4,_xlpm.puntosAltValidos&gt;=2),IF(
        SUM(--(_xlpm.claves &gt; _xlpm.clave)) &lt; 4,
        D117,
        E117
    ),"No disp")
)</f>
        <v>104</v>
      </c>
      <c r="U117" s="14" t="str" cm="1">
        <f t="array" aca="1" ref="U117" ca="1">_xlfn.LET(
    _xlpm.puntosSec, _xlfn._xlws.FILTER(H:H + B:B/1000, A:A=A117),
    _xlpm.puntosSecValidos, SUM(--(_xlpm.puntosSec&gt;1)),
    _xlpm.puntosAlt, _xlfn._xlws.FILTER(J:J + B:B/1000, A:A=A117),
    _xlpm.puntosAltValidos, SUM(--(_xlpm.puntosAlt&gt;1)),
    _xlpm.clave, O117 + B117/1000,
    _xlpm.claves, _xlfn._xlws.FILTER(O:O + B:B/1000, A:A=A117),
    IF(AND(_xlpm.puntosSecValidos&gt;=4,_xlpm.puntosAltValidos&gt;=2),IF(
        SUM(--(_xlpm.claves &gt; _xlpm.clave)) &lt; 4,
        D117,
        F117
    ),"No disp")
)</f>
        <v>No disp</v>
      </c>
      <c r="V117" s="4" cm="1">
        <f t="array" aca="1" ref="V117" ca="1">_xlfn.LET(
_xlpm.PrinIDs,_xlfn._xlws.FILTER(C:C,(A:A=A117)),
_xlpm.SecIDs,_xlfn._xlws.FILTER(D:D,(A:A=A117)),
_xlpm.TerIDs,_xlfn._xlws.FILTER(E:E,A:A=A117),
_xlpm.CuaIDs,_xlfn._xlws.FILTER(F:F,(A:A=A117)),
_xlpm.PrinPts,_xlfn._xlws.FILTER(G:G,(A:A=A117)),
_xlpm.SecPts,_xlfn._xlws.FILTER(H:H,(A:A=A117)),
_xlpm.TerPts,_xlfn._xlws.FILTER(I:I,(A:A=A117)),
_xlpm.CuaPts,_xlfn._xlws.FILTER(J:J,(A:A=A117)),
_xlpm.PSIds,_xlfn._xlws.FILTER(P:P,A:A=A117),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479.79</v>
      </c>
      <c r="W117" s="4" cm="1">
        <f t="array" aca="1" ref="W117" ca="1">_xlfn.LET(
_xlpm.PrinIDs,_xlfn._xlws.FILTER(C:C,(A:A=A117)),
_xlpm.SecIDs,_xlfn._xlws.FILTER(D:D,(A:A=A117)),
_xlpm.TerIDs,_xlfn._xlws.FILTER(E:E,A:A=A117),
_xlpm.CuaIDs,_xlfn._xlws.FILTER(F:F,(A:A=A117)),
_xlpm.PrinPts,_xlfn._xlws.FILTER(G:G,(A:A=A117)),
_xlpm.SecPts,_xlfn._xlws.FILTER(H:H,(A:A=A117)),
_xlpm.TerPts,_xlfn._xlws.FILTER(I:I,(A:A=A117)),
_xlpm.CuaPts,_xlfn._xlws.FILTER(J:J,(A:A=A117)),
_xlpm.PTIds,_xlfn._xlws.FILTER(Q:Q,A:A=A117),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518.04000000000008</v>
      </c>
      <c r="X117" s="4" cm="1">
        <f t="array" aca="1" ref="X117" ca="1">_xlfn.LET(
_xlpm.PrinIDs,_xlfn._xlws.FILTER(C:C,(A:A=A117)),
_xlpm.SecIDs,_xlfn._xlws.FILTER(D:D,(A:A=A117)),
_xlpm.TerIDs,_xlfn._xlws.FILTER(E:E,A:A=A117),
_xlpm.CuaIDs,_xlfn._xlws.FILTER(F:F,(A:A=A117)),
_xlpm.PrinPts,_xlfn._xlws.FILTER(G:G,(A:A=A117)),
_xlpm.SecPts,_xlfn._xlws.FILTER(H:H,(A:A=A117)),
_xlpm.TerPts,_xlfn._xlws.FILTER(I:I,(A:A=A117)),
_xlpm.CuaPts,_xlfn._xlws.FILTER(J:J,(A:A=A117)),
_xlpm.PCIds,_xlfn._xlws.FILTER(R:R,A:A=A117),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17" s="4" cm="1">
        <f t="array" aca="1" ref="Y117" ca="1">_xlfn.LET(
_xlpm.PrinIDs,_xlfn._xlws.FILTER(C:C,(A:A=A117)),
_xlpm.SecIDs,_xlfn._xlws.FILTER(D:D,(A:A=A117)),
_xlpm.AltIDs,_xlfn._xlws.FILTER(E:E,A:A=A117),
_xlpm.PrinPts,_xlfn._xlws.FILTER(G:G,(A:A=A117)),
_xlpm.SecPts,_xlfn._xlws.FILTER(H:H,(A:A=A117)),
_xlpm.AltPts,_xlfn._xlws.FILTER(I:I,(A:A=A117)),
_xlpm.SPIds,_xlfn._xlws.FILTER(S:S,A:A=A117),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488.79</v>
      </c>
      <c r="Z117" s="4" cm="1">
        <f t="array" aca="1" ref="Z117" ca="1">_xlfn.LET(
_xlpm.PrinIDs,_xlfn._xlws.FILTER(C:C,(A:A=A117)),
_xlpm.SecIDs,_xlfn._xlws.FILTER(D:D,(A:A=A117)),
_xlpm.TerIDs,_xlfn._xlws.FILTER(E:E,A:A=A117),
_xlpm.CuaIDs,_xlfn._xlws.FILTER(F:F,(A:A=A117)),
_xlpm.PrinPts,_xlfn._xlws.FILTER(G:G,(A:A=A117)),
_xlpm.SecPts,_xlfn._xlws.FILTER(H:H,(A:A=A117)),
_xlpm.TerPts,_xlfn._xlws.FILTER(I:I,(A:A=A117)),
_xlpm.CuaPts,_xlfn._xlws.FILTER(J:J,(A:A=A117)),
_xlpm.STIds,_xlfn._xlws.FILTER(T:T,A:A=A117),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494.46000000000004</v>
      </c>
      <c r="AA117" s="4" cm="1">
        <f t="array" aca="1" ref="AA117" ca="1">_xlfn.LET(
_xlpm.PrinIDs,_xlfn._xlws.FILTER(C:C,(A:A=A117)),
_xlpm.SecIDs,_xlfn._xlws.FILTER(D:D,(A:A=A117)),
_xlpm.TerIDs,_xlfn._xlws.FILTER(E:E,A:A=A117),
_xlpm.CuaIDs,_xlfn._xlws.FILTER(F:F,(A:A=A117)),
_xlpm.PrinPts,_xlfn._xlws.FILTER(G:G,(A:A=A117)),
_xlpm.SecPts,_xlfn._xlws.FILTER(H:H,(A:A=A117)),
_xlpm.TerPts,_xlfn._xlws.FILTER(I:I,(A:A=A117)),
_xlpm.CuaPts,_xlfn._xlws.FILTER(J:J,(A:A=A117)),
_xlpm.SCIds,_xlfn._xlws.FILTER(U:U,A:A=A117),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17" s="14">
        <f t="shared" ca="1" si="7"/>
        <v>41</v>
      </c>
      <c r="AC117" s="14">
        <v>41</v>
      </c>
      <c r="AD117" s="4"/>
      <c r="AE117" s="14" t="str">
        <f ca="1">IF(ISNUMBER(AC117),
IF($B117=1,VLOOKUP($AC117,Inventario1!$A:$H,2),
IF($B117=2,VLOOKUP($AC117,Inventario2!$A:$H,2),
IF($B117=3,VLOOKUP($AC117,Inventario3!$A:$H,2),
IF($B117=4,VLOOKUP($AC117,Inventario4!$A:$H,2),
IF($B117=5,VLOOKUP($AC117,Inventario5!$A:$H,2),
VLOOKUP($AC117,Inventario6!$A:$H,2)
))))),"No equipado")</f>
        <v>Épico</v>
      </c>
      <c r="AF117" s="14" t="str">
        <f ca="1">IF(ISNUMBER(AC117),
IF($B117=1,VLOOKUP($AC117,Inventario1!$A:$H,3),
IF($B117=2,VLOOKUP($AC117,Inventario2!$A:$H,3),
IF($B117=3,VLOOKUP($AC117,Inventario3!$A:$H,3),
IF($B117=4,VLOOKUP($AC117,Inventario4!$A:$H,3),
IF($B117=5,VLOOKUP($AC117,Inventario5!$A:$H,3),
VLOOKUP($AC117,Inventario6!$A:$H,3)
))))),"")</f>
        <v>Poder vibrante</v>
      </c>
      <c r="AG117" s="14" t="str">
        <f ca="1">IF(ISNUMBER(AC117),
IF($B117=1,VLOOKUP($AC117,Inventario1!$A:$H,4),
IF($B117=2,VLOOKUP($AC117,Inventario2!$A:$H,4),
IF($B117=3,VLOOKUP($AC117,Inventario3!$A:$H,4),
IF($B117=4,VLOOKUP($AC117,Inventario4!$A:$H,4),
IF($B117=5,VLOOKUP($AC117,Inventario5!$A:$H,4),
VLOOKUP($AC117,Inventario6!$A:$H,4)
))))),"")</f>
        <v>Saque</v>
      </c>
      <c r="AH117" s="14" t="str">
        <f ca="1">IF(ISNUMBER(AC117),
IF($B117=1,VLOOKUP($AC117,Inventario1!$A:$H,5),
IF($B117=2,VLOOKUP($AC117,Inventario2!$A:$H,5),
IF($B117=3,VLOOKUP($AC117,Inventario3!$A:$H,5),
IF($B117=4,VLOOKUP($AC117,Inventario4!$A:$H,5),
IF($B117=5,VLOOKUP($AC117,Inventario5!$A:$H,5),
VLOOKUP($AC117,Inventario6!$A:$H,5)
))))),"")</f>
        <v>Fuerza</v>
      </c>
      <c r="AI117" s="14" t="str">
        <f ca="1">IF(ISNUMBER(AC117),
IF($B117=1,VLOOKUP($AC117,Inventario1!$A:$H,6),
IF($B117=2,VLOOKUP($AC117,Inventario2!$A:$H,6),
IF($B117=3,VLOOKUP($AC117,Inventario3!$A:$H,6),
IF($B117=4,VLOOKUP($AC117,Inventario4!$A:$H,6),
IF($B117=5,VLOOKUP($AC117,Inventario5!$A:$H,6),
VLOOKUP($AC117,Inventario6!$A:$H,6)
))))),"")</f>
        <v>Ataque poderoso</v>
      </c>
      <c r="AJ117" s="14">
        <f ca="1">IF(ISNUMBER(AC117),
IF($B117=1,VLOOKUP($AC117,Inventario1!$A:$H,7),
IF($B117=2,VLOOKUP($AC117,Inventario2!$A:$H,7),
IF($B117=3,VLOOKUP($AC117,Inventario3!$A:$H,7),
IF($B117=4,VLOOKUP($AC117,Inventario4!$A:$H,7),
IF($B117=5,VLOOKUP($AC117,Inventario5!$A:$H,7),
VLOOKUP($AC117,Inventario6!$A:$H,7)
))))),"")</f>
        <v>0</v>
      </c>
      <c r="AK117" s="15">
        <f ca="1">IF(ISNUMBER(AC117),
IF($B117=1,VLOOKUP($AC117,Inventario1!$A:$H,8),
IF($B117=2,VLOOKUP($AC117,Inventario2!$A:$H,8),
IF($B117=3,VLOOKUP($AC117,Inventario3!$A:$H,8),
IF($B117=4,VLOOKUP($AC117,Inventario4!$A:$H,8),
IF($B117=5,VLOOKUP($AC117,Inventario5!$A:$H,8),
VLOOKUP($AC117,Inventario6!$A:$H,8)
))))),"")</f>
        <v>0</v>
      </c>
    </row>
    <row r="118" spans="1:37" x14ac:dyDescent="0.25">
      <c r="A118" s="21" t="s">
        <v>6</v>
      </c>
      <c r="B118" s="3">
        <v>3</v>
      </c>
      <c r="C118" s="14" cm="1">
        <f t="array" aca="1" ref="C118" ca="1">_xlfn.LET(
    _xlpm.jugador, A118,
    _xlpm.idSel, AC118,
    _xlpm.invIDs, IF(B118=1,Inventario1!A:A,IF(B118=2,Inventario2!A:A,IF(B118=3,Inventario3!A:A,IF(B118=4,Inventario4!A:A,IF(B118=5,Inventario5!A:A,Inventario6!A:A))))),
    _xlpm.invCalidad, IF(B118=1,Inventario1!B:B,IF(B118=2,Inventario2!B:B,IF(B118=3,Inventario3!B:B,IF(B118=4,Inventario4!B:B,IF(B118=5,Inventario5!B:B,Inventario6!B:B))))),
    _xlpm.invTipos, IF(B118=1,Inventario1!C:C,IF(B118=2,Inventario2!C:C,IF(B118=3,Inventario3!C:C,IF(B118=4,Inventario4!C:C,IF(B118=5,Inventario5!C:C,Inventario6!C:C))))),
    _xlpm.invStats, IF(B118=1,Inventario1!D:H,IF(B118=2,Inventario2!D:H,IF(B118=3,Inventario3!D:H,IF(B118=4,Inventario4!D:H,IF(B118=5,Inventario5!D:H,Inventario6!D:H))))),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IF(ROW(A118)=2,"",IF(_xlfn._xlws.FILTER(Equipar!AC$2:AC117,Equipar!B$2:B117=B118)={0},"",_xlfn._xlws.FILTER(Equipar!AC$2:AC117,Equipar!B$2:B117=B118))),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4</v>
      </c>
      <c r="D118" s="4" cm="1">
        <f t="array" ref="D118">_xlfn.LET(
    _xlpm.jugador, A118,
    _xlpm.idSel, AC118,
    _xlpm.invIDs, IF(B118=1,Inventario1!A:A,IF(B118=2,Inventario2!A:A,IF(B118=3,Inventario3!A:A,IF(B118=4,Inventario4!A:A,IF(B118=5,Inventario5!A:A,Inventario6!A:A))))),
    _xlpm.invCalidad, IF(B118=1,Inventario1!B:B,IF(B118=2,Inventario2!B:B,IF(B118=3,Inventario3!B:B,IF(B118=4,Inventario4!B:B,IF(B118=5,Inventario5!B:B,Inventario6!B:B))))),
    _xlpm.invTipos, IF(B118=1,Inventario1!C:C,IF(B118=2,Inventario2!C:C,IF(B118=3,Inventario3!C:C,IF(B118=4,Inventario4!C:C,IF(B118=5,Inventario5!C:C,Inventario6!C:C))))),
    _xlpm.invStats, IF(B118=1,Inventario1!D:H,IF(B118=2,Inventario2!D:H,IF(B118=3,Inventario3!D:H,IF(B118=4,Inventario4!D:H,IF(B118=5,Inventario5!D:H,Inventario6!D:H))))),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IF(ROW(A118)=2,"",IF(_xlfn._xlws.FILTER(Equipar!AC$2:AC117,Equipar!B$2:B117=B118)={0},"",_xlfn._xlws.FILTER(Equipar!AC$2:AC117,Equipar!B$2:B117=B118))),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268</v>
      </c>
      <c r="E118" s="4" t="str" cm="1">
        <f t="array" ref="E118">_xlfn.LET(
    _xlpm.jugador, A118,
    _xlpm.idSel, AC118,
    _xlpm.invIDs, IF(B118=1,Inventario1!A:A,IF(B118=2,Inventario2!A:A,IF(B118=3,Inventario3!A:A,IF(B118=4,Inventario4!A:A,IF(B118=5,Inventario5!A:A,Inventario6!A:A))))),
    _xlpm.invCalidad, IF(B118=1,Inventario1!B:B,IF(B118=2,Inventario2!B:B,IF(B118=3,Inventario3!B:B,IF(B118=4,Inventario4!B:B,IF(B118=5,Inventario5!B:B,Inventario6!B:B))))),
    _xlpm.invTipos, IF(B118=1,Inventario1!C:C,IF(B118=2,Inventario2!C:C,IF(B118=3,Inventario3!C:C,IF(B118=4,Inventario4!C:C,IF(B118=5,Inventario5!C:C,Inventario6!C:C))))),
    _xlpm.invStats, IF(B118=1,Inventario1!D:H,IF(B118=2,Inventario2!D:H,IF(B118=3,Inventario3!D:H,IF(B118=4,Inventario4!D:H,IF(B118=5,Inventario5!D:H,Inventario6!D:H))))),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IF(ROW(A118)=2,"",IF(_xlfn._xlws.FILTER(Equipar!AC$2:AC117,Equipar!B$2:B117=B118)={0},"",_xlfn._xlws.FILTER(Equipar!AC$2:AC117,Equipar!B$2:B117=B118))),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F118" s="4" t="str" cm="1">
        <f t="array" aca="1" ref="F118" ca="1">_xlfn.LET(
    _xlpm.jugador, B118,
    _xlpm.idSel, AD118,
    _xlpm.invIDs, IF(C118=1,Inventario1!B:B,IF(C118=2,Inventario2!B:B,IF(C118=3,Inventario3!B:B,IF(C118=4,Inventario4!B:B,IF(C118=5,Inventario5!B:B,Inventario6!B:B))))),
    _xlpm.invCalidad, IF(C118=1,Inventario1!C:C,IF(C118=2,Inventario2!C:C,IF(C118=3,Inventario3!C:C,IF(C118=4,Inventario4!C:C,IF(C118=5,Inventario5!C:C,Inventario6!C:C))))),
    _xlpm.invTipos, IF(C118=1,Inventario1!D:D,IF(C118=2,Inventario2!D:D,IF(C118=3,Inventario3!D:D,IF(C118=4,Inventario4!D:D,IF(C118=5,Inventario5!D:D,Inventario6!D:D))))),
    _xlpm.invStats, IF(C118=1,Inventario1!E:I,IF(C118=2,Inventario2!E:I,IF(C118=3,Inventario3!E:I,IF(C118=4,Inventario4!E:I,IF(C118=5,Inventario5!E:I,Inventario6!E:I))))),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IF(ROW(B118)=2,"",IF(_xlfn._xlws.FILTER(Equipar!AD$2:AD117,Equipar!C$2:C117=C118)={0},"",_xlfn._xlws.FILTER(Equipar!AD$2:AD117,Equipar!C$2:C117=C118))),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18" s="14" cm="1">
        <f t="array" aca="1" ref="G118" ca="1">_xlfn.LET(
    _xlpm.jugador, A118,
    _xlpm.idSel, AC118,
    _xlpm.invIDs, IF(B118=1,Inventario1!A:A,IF(B118=2,Inventario2!A:A,IF(B118=3,Inventario3!A:A,IF(B118=4,Inventario4!A:A,IF(B118=5,Inventario5!A:A,Inventario6!A:A))))),
    _xlpm.invCalidad, IF(B118=1,Inventario1!B:B,IF(B118=2,Inventario2!B:B,IF(B118=3,Inventario3!B:B,IF(B118=4,Inventario4!B:B,IF(B118=5,Inventario5!B:B,Inventario6!B:B))))),
    _xlpm.invTipos, IF(B118=1,Inventario1!C:C,IF(B118=2,Inventario2!C:C,IF(B118=3,Inventario3!C:C,IF(B118=4,Inventario4!C:C,IF(B118=5,Inventario5!C:C,Inventario6!C:C))))),
    _xlpm.invStats, IF(B118=1,Inventario1!D:H,IF(B118=2,Inventario2!D:H,IF(B118=3,Inventario3!D:H,IF(B118=4,Inventario4!D:H,IF(B118=5,Inventario5!D:H,Inventario6!D:H))))),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IF(ROW(A118)=2,"",IF(_xlfn._xlws.FILTER(Equipar!AC$2:AC117,Equipar!B$2:B117=B118)={0},"",_xlfn._xlws.FILTER(Equipar!AC$2:AC117,Equipar!B$2:B117=B118))),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H118" s="4" cm="1">
        <f t="array" ref="H118">_xlfn.LET(
    _xlpm.jugador, A118,
    _xlpm.idSel, AC118,
    _xlpm.invIDs, IF(B118=1,Inventario1!A:A,IF(B118=2,Inventario2!A:A,IF(B118=3,Inventario3!A:A,IF(B118=4,Inventario4!A:A,IF(B118=5,Inventario5!A:A,Inventario6!A:A))))),
    _xlpm.invCalidad, IF(B118=1,Inventario1!B:B,IF(B118=2,Inventario2!B:B,IF(B118=3,Inventario3!B:B,IF(B118=4,Inventario4!B:B,IF(B118=5,Inventario5!B:B,Inventario6!B:B))))),
    _xlpm.invTipos, IF(B118=1,Inventario1!C:C,IF(B118=2,Inventario2!C:C,IF(B118=3,Inventario3!C:C,IF(B118=4,Inventario4!C:C,IF(B118=5,Inventario5!C:C,Inventario6!C:C))))),
    _xlpm.invStats, IF(B118=1,Inventario1!D:H,IF(B118=2,Inventario2!D:H,IF(B118=3,Inventario3!D:H,IF(B118=4,Inventario4!D:H,IF(B118=5,Inventario5!D:H,Inventario6!D:H))))),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IF(ROW(A118)=2,"",IF(_xlfn._xlws.FILTER(Equipar!AC$2:AC117,Equipar!B$2:B117=B118)={0},"",_xlfn._xlws.FILTER(Equipar!AC$2:AC117,Equipar!B$2:B117=B118))),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I118" s="4" cm="1">
        <f t="array" ref="I118">_xlfn.LET(
    _xlpm.jugador, A118,
    _xlpm.idSel, AC118,
    _xlpm.invIDs, IF(B118=1,Inventario1!A:A,IF(B118=2,Inventario2!A:A,IF(B118=3,Inventario3!A:A,IF(B118=4,Inventario4!A:A,IF(B118=5,Inventario5!A:A,Inventario6!A:A))))),
    _xlpm.invCalidad, IF(B118=1,Inventario1!B:B,IF(B118=2,Inventario2!B:B,IF(B118=3,Inventario3!B:B,IF(B118=4,Inventario4!B:B,IF(B118=5,Inventario5!B:B,Inventario6!B:B))))),
    _xlpm.invTipos, IF(B118=1,Inventario1!C:C,IF(B118=2,Inventario2!C:C,IF(B118=3,Inventario3!C:C,IF(B118=4,Inventario4!C:C,IF(B118=5,Inventario5!C:C,Inventario6!C:C))))),
    _xlpm.invStats, IF(B118=1,Inventario1!D:H,IF(B118=2,Inventario2!D:H,IF(B118=3,Inventario3!D:H,IF(B118=4,Inventario4!D:H,IF(B118=5,Inventario5!D:H,Inventario6!D:H))))),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IF(ROW(A118)=2,"",IF(_xlfn._xlws.FILTER(Equipar!AC$2:AC117,Equipar!B$2:B117=B118)={0},"",_xlfn._xlws.FILTER(Equipar!AC$2:AC117,Equipar!B$2:B117=B118))),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J118" s="4" cm="1">
        <f t="array" aca="1" ref="J118" ca="1">_xlfn.LET(
    _xlpm.jugador, B118,
    _xlpm.idSel, AD118,
    _xlpm.invIDs, IF(C118=1,Inventario1!B:B,IF(C118=2,Inventario2!B:B,IF(C118=3,Inventario3!B:B,IF(C118=4,Inventario4!B:B,IF(C118=5,Inventario5!B:B,Inventario6!B:B))))),
    _xlpm.invCalidad, IF(C118=1,Inventario1!C:C,IF(C118=2,Inventario2!C:C,IF(C118=3,Inventario3!C:C,IF(C118=4,Inventario4!C:C,IF(C118=5,Inventario5!C:C,Inventario6!C:C))))),
    _xlpm.invTipos, IF(C118=1,Inventario1!D:D,IF(C118=2,Inventario2!D:D,IF(C118=3,Inventario3!D:D,IF(C118=4,Inventario4!D:D,IF(C118=5,Inventario5!D:D,Inventario6!D:D))))),
    _xlpm.invStats, IF(C118=1,Inventario1!E:I,IF(C118=2,Inventario2!E:I,IF(C118=3,Inventario3!E:I,IF(C118=4,Inventario4!E:I,IF(C118=5,Inventario5!E:I,Inventario6!E:I))))),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IF(ROW(B118)=2,"",IF(_xlfn._xlws.FILTER(Equipar!AD$2:AD117,Equipar!C$2:C117=C118)={0},"",_xlfn._xlws.FILTER(Equipar!AD$2:AD117,Equipar!C$2:C117=C118))),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18" s="4">
        <f t="shared" ca="1" si="8"/>
        <v>29.790000000000006</v>
      </c>
      <c r="L118" s="4">
        <f t="shared" ca="1" si="9"/>
        <v>83.79</v>
      </c>
      <c r="M118" s="4">
        <f t="shared" ca="1" si="9"/>
        <v>54</v>
      </c>
      <c r="N118" s="4">
        <f t="shared" si="10"/>
        <v>54</v>
      </c>
      <c r="O118" s="4">
        <f t="shared" ca="1" si="10"/>
        <v>0</v>
      </c>
      <c r="P118" s="14" cm="1">
        <f t="array" aca="1" ref="P118" ca="1">_xlfn.LET(
    _xlpm.ptsPrinBase, _xlfn._xlws.FILTER(G:G, A:A=A118),
    _xlpm.ptsSecBase,  _xlfn._xlws.FILTER(H:H, A:A=A118),
    _xlpm.puntosPrin, _xlpm.ptsPrinBase + _xlfn._xlws.FILTER(B:B, A:A=A118)/1000,
    _xlpm.puntosSec,  _xlpm.ptsSecBase  + _xlfn._xlws.FILTER(B:B, A:A=A118)/1000,
    _xlpm.puntosPrinValidos, SUM(--(_xlpm.ptsPrinBase&gt;0)),
    _xlpm.puntosSecValidos,  SUM(--(_xlpm.ptsSecBase&gt;0)),
    _xlpm.clave, K118 + B118/1000,
    _xlpm.claves, _xlfn._xlws.FILTER(K:K + B:B/1000, A:A=A118),
    IF(AND(_xlpm.puntosPrinValidos&gt;=4,_xlpm.puntosSecValidos&gt;=2),IF(
        SUM(--(_xlpm.claves &gt; _xlpm.clave)) &lt; 4,
        C118,
        D118
    ),"No disp")
)</f>
        <v>4</v>
      </c>
      <c r="Q118" s="14" cm="1">
        <f t="array" aca="1" ref="Q118" ca="1">_xlfn.LET(
    _xlpm.puntosPrin, _xlfn._xlws.FILTER(G:G + B:B/1000, A:A=A118),
    _xlpm.puntosPrinValidos, SUM(--(_xlpm.puntosPrin&gt;1)),
    _xlpm.puntosTer, _xlfn._xlws.FILTER(I:I + B:B/1000, A:A=A118),
    _xlpm.puntosTerValidos, SUM(--(_xlpm.puntosTer&gt;1)),
    _xlpm.clave, L118 + B118/1000,
    _xlpm.claves, _xlfn._xlws.FILTER(L:L + B:B/1000, A:A=A118),
    IF(AND(_xlpm.puntosPrinValidos&gt;=4,_xlpm.puntosTerValidos&gt;=2),IF(
        SUM(--(_xlpm.claves &gt; _xlpm.clave)) &lt; 4,
        C118,
        E118
    ),"No disp")
)</f>
        <v>4</v>
      </c>
      <c r="R118" s="14" t="str" cm="1">
        <f t="array" aca="1" ref="R118" ca="1">_xlfn.LET(
    _xlpm.puntosPrin, _xlfn._xlws.FILTER(G:G + B:B/1000, A:A=A118),
    _xlpm.puntosPrinValidos, SUM(--(_xlpm.puntosPrin&gt;1)),
    _xlpm.puntosTer, _xlfn._xlws.FILTER(J:J + B:B/1000, A:A=A118),
    _xlpm.puntosTerValidos, SUM(--(_xlpm.puntosTer&gt;1)),
    _xlpm.clave, M118 + B118/1000,
    _xlpm.claves, _xlfn._xlws.FILTER(M:M + B:B/1000, A:A=A118),
    IF(AND(_xlpm.puntosPrinValidos&gt;=4,_xlpm.puntosTerValidos&gt;=2),IF(
        SUM(--(_xlpm.claves &gt; _xlpm.clave)) &lt; 4,
        C118,
        F118
    ),"No disp")
)</f>
        <v>No disp</v>
      </c>
      <c r="S118" s="14" cm="1">
        <f t="array" aca="1" ref="S118" ca="1">_xlfn.LET(
    _xlpm.ptsPrinBase, _xlfn._xlws.FILTER(G:G, A:A=A118),
    _xlpm.ptsSecBase,  _xlfn._xlws.FILTER(H:H, A:A=A118),
    _xlpm.puntosPrin, _xlpm.ptsPrinBase + _xlfn._xlws.FILTER(B:B, A:A=A118)/1000,
    _xlpm.puntosSec,  _xlpm.ptsSecBase  + _xlfn._xlws.FILTER(B:B, A:A=A118)/1000,
    _xlpm.puntosPrinValidos, SUM(--(_xlpm.ptsPrinBase&gt;0)),
    _xlpm.puntosSecValidos,  SUM(--(_xlpm.ptsSecBase&gt;0)),
    _xlpm.clave, K118 + B118/1000,
    _xlpm.claves, _xlfn._xlws.FILTER(K:K + B:B/1000, A:A=A118),
    IF(
        AND(_xlpm.puntosPrinValidos&gt;=2, _xlpm.puntosSecValidos&gt;=4),
        IF(
            SUM(--(_xlpm.claves &lt; _xlpm.clave)) &lt; 4,
            D118,
            C118
        ),
        "No disp"
    )
)</f>
        <v>4</v>
      </c>
      <c r="T118" s="14" cm="1">
        <f t="array" ref="T118">_xlfn.LET(
    _xlpm.puntosSec, _xlfn._xlws.FILTER(H:H + B:B/1000, A:A=A118),
    _xlpm.puntosSecValidos, SUM(--(_xlpm.puntosSec&gt;1)),
    _xlpm.puntosAlt, _xlfn._xlws.FILTER(I:I + B:B/1000, A:A=A118),
    _xlpm.puntosAltValidos, SUM(--(_xlpm.puntosAlt&gt;1)),
    _xlpm.clave, N118 + B118/1000,
    _xlpm.claves, _xlfn._xlws.FILTER(N:N + B:B/1000, A:A=A118),
    IF(AND(_xlpm.puntosSecValidos&gt;=4,_xlpm.puntosAltValidos&gt;=2),IF(
        SUM(--(_xlpm.claves &gt; _xlpm.clave)) &lt; 4,
        D118,
        E118
    ),"No disp")
)</f>
        <v>268</v>
      </c>
      <c r="U118" s="14" t="str" cm="1">
        <f t="array" aca="1" ref="U118" ca="1">_xlfn.LET(
    _xlpm.puntosSec, _xlfn._xlws.FILTER(H:H + B:B/1000, A:A=A118),
    _xlpm.puntosSecValidos, SUM(--(_xlpm.puntosSec&gt;1)),
    _xlpm.puntosAlt, _xlfn._xlws.FILTER(J:J + B:B/1000, A:A=A118),
    _xlpm.puntosAltValidos, SUM(--(_xlpm.puntosAlt&gt;1)),
    _xlpm.clave, O118 + B118/1000,
    _xlpm.claves, _xlfn._xlws.FILTER(O:O + B:B/1000, A:A=A118),
    IF(AND(_xlpm.puntosSecValidos&gt;=4,_xlpm.puntosAltValidos&gt;=2),IF(
        SUM(--(_xlpm.claves &gt; _xlpm.clave)) &lt; 4,
        D118,
        F118
    ),"No disp")
)</f>
        <v>No disp</v>
      </c>
      <c r="V118" s="4" cm="1">
        <f t="array" aca="1" ref="V118" ca="1">_xlfn.LET(
_xlpm.PrinIDs,_xlfn._xlws.FILTER(C:C,(A:A=A118)),
_xlpm.SecIDs,_xlfn._xlws.FILTER(D:D,(A:A=A118)),
_xlpm.TerIDs,_xlfn._xlws.FILTER(E:E,A:A=A118),
_xlpm.CuaIDs,_xlfn._xlws.FILTER(F:F,(A:A=A118)),
_xlpm.PrinPts,_xlfn._xlws.FILTER(G:G,(A:A=A118)),
_xlpm.SecPts,_xlfn._xlws.FILTER(H:H,(A:A=A118)),
_xlpm.TerPts,_xlfn._xlws.FILTER(I:I,(A:A=A118)),
_xlpm.CuaPts,_xlfn._xlws.FILTER(J:J,(A:A=A118)),
_xlpm.PSIds,_xlfn._xlws.FILTER(P:P,A:A=A118),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479.79</v>
      </c>
      <c r="W118" s="4" cm="1">
        <f t="array" aca="1" ref="W118" ca="1">_xlfn.LET(
_xlpm.PrinIDs,_xlfn._xlws.FILTER(C:C,(A:A=A118)),
_xlpm.SecIDs,_xlfn._xlws.FILTER(D:D,(A:A=A118)),
_xlpm.TerIDs,_xlfn._xlws.FILTER(E:E,A:A=A118),
_xlpm.CuaIDs,_xlfn._xlws.FILTER(F:F,(A:A=A118)),
_xlpm.PrinPts,_xlfn._xlws.FILTER(G:G,(A:A=A118)),
_xlpm.SecPts,_xlfn._xlws.FILTER(H:H,(A:A=A118)),
_xlpm.TerPts,_xlfn._xlws.FILTER(I:I,(A:A=A118)),
_xlpm.CuaPts,_xlfn._xlws.FILTER(J:J,(A:A=A118)),
_xlpm.PTIds,_xlfn._xlws.FILTER(Q:Q,A:A=A118),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518.04000000000008</v>
      </c>
      <c r="X118" s="4" cm="1">
        <f t="array" aca="1" ref="X118" ca="1">_xlfn.LET(
_xlpm.PrinIDs,_xlfn._xlws.FILTER(C:C,(A:A=A118)),
_xlpm.SecIDs,_xlfn._xlws.FILTER(D:D,(A:A=A118)),
_xlpm.TerIDs,_xlfn._xlws.FILTER(E:E,A:A=A118),
_xlpm.CuaIDs,_xlfn._xlws.FILTER(F:F,(A:A=A118)),
_xlpm.PrinPts,_xlfn._xlws.FILTER(G:G,(A:A=A118)),
_xlpm.SecPts,_xlfn._xlws.FILTER(H:H,(A:A=A118)),
_xlpm.TerPts,_xlfn._xlws.FILTER(I:I,(A:A=A118)),
_xlpm.CuaPts,_xlfn._xlws.FILTER(J:J,(A:A=A118)),
_xlpm.PCIds,_xlfn._xlws.FILTER(R:R,A:A=A118),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18" s="4" cm="1">
        <f t="array" aca="1" ref="Y118" ca="1">_xlfn.LET(
_xlpm.PrinIDs,_xlfn._xlws.FILTER(C:C,(A:A=A118)),
_xlpm.SecIDs,_xlfn._xlws.FILTER(D:D,(A:A=A118)),
_xlpm.AltIDs,_xlfn._xlws.FILTER(E:E,A:A=A118),
_xlpm.PrinPts,_xlfn._xlws.FILTER(G:G,(A:A=A118)),
_xlpm.SecPts,_xlfn._xlws.FILTER(H:H,(A:A=A118)),
_xlpm.AltPts,_xlfn._xlws.FILTER(I:I,(A:A=A118)),
_xlpm.SPIds,_xlfn._xlws.FILTER(S:S,A:A=A118),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488.79</v>
      </c>
      <c r="Z118" s="4" cm="1">
        <f t="array" aca="1" ref="Z118" ca="1">_xlfn.LET(
_xlpm.PrinIDs,_xlfn._xlws.FILTER(C:C,(A:A=A118)),
_xlpm.SecIDs,_xlfn._xlws.FILTER(D:D,(A:A=A118)),
_xlpm.TerIDs,_xlfn._xlws.FILTER(E:E,A:A=A118),
_xlpm.CuaIDs,_xlfn._xlws.FILTER(F:F,(A:A=A118)),
_xlpm.PrinPts,_xlfn._xlws.FILTER(G:G,(A:A=A118)),
_xlpm.SecPts,_xlfn._xlws.FILTER(H:H,(A:A=A118)),
_xlpm.TerPts,_xlfn._xlws.FILTER(I:I,(A:A=A118)),
_xlpm.CuaPts,_xlfn._xlws.FILTER(J:J,(A:A=A118)),
_xlpm.STIds,_xlfn._xlws.FILTER(T:T,A:A=A118),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494.46000000000004</v>
      </c>
      <c r="AA118" s="4" cm="1">
        <f t="array" aca="1" ref="AA118" ca="1">_xlfn.LET(
_xlpm.PrinIDs,_xlfn._xlws.FILTER(C:C,(A:A=A118)),
_xlpm.SecIDs,_xlfn._xlws.FILTER(D:D,(A:A=A118)),
_xlpm.TerIDs,_xlfn._xlws.FILTER(E:E,A:A=A118),
_xlpm.CuaIDs,_xlfn._xlws.FILTER(F:F,(A:A=A118)),
_xlpm.PrinPts,_xlfn._xlws.FILTER(G:G,(A:A=A118)),
_xlpm.SecPts,_xlfn._xlws.FILTER(H:H,(A:A=A118)),
_xlpm.TerPts,_xlfn._xlws.FILTER(I:I,(A:A=A118)),
_xlpm.CuaPts,_xlfn._xlws.FILTER(J:J,(A:A=A118)),
_xlpm.SCIds,_xlfn._xlws.FILTER(U:U,A:A=A118),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18" s="14">
        <f t="shared" ca="1" si="7"/>
        <v>4</v>
      </c>
      <c r="AC118" s="14">
        <v>4</v>
      </c>
      <c r="AD118" s="4"/>
      <c r="AE118" s="14" t="str">
        <f ca="1">IF(ISNUMBER(AC118),
IF($B118=1,VLOOKUP($AC118,Inventario1!$A:$H,2),
IF($B118=2,VLOOKUP($AC118,Inventario2!$A:$H,2),
IF($B118=3,VLOOKUP($AC118,Inventario3!$A:$H,2),
IF($B118=4,VLOOKUP($AC118,Inventario4!$A:$H,2),
IF($B118=5,VLOOKUP($AC118,Inventario5!$A:$H,2),
VLOOKUP($AC118,Inventario6!$A:$H,2)
))))),"No equipado")</f>
        <v>Legendario</v>
      </c>
      <c r="AF118" s="14" t="str">
        <f ca="1">IF(ISNUMBER(AC118),
IF($B118=1,VLOOKUP($AC118,Inventario1!$A:$H,3),
IF($B118=2,VLOOKUP($AC118,Inventario2!$A:$H,3),
IF($B118=3,VLOOKUP($AC118,Inventario3!$A:$H,3),
IF($B118=4,VLOOKUP($AC118,Inventario4!$A:$H,3),
IF($B118=5,VLOOKUP($AC118,Inventario5!$A:$H,3),
VLOOKUP($AC118,Inventario6!$A:$H,3)
))))),"")</f>
        <v>Poder vibrante</v>
      </c>
      <c r="AG118" s="14" t="str">
        <f ca="1">IF(ISNUMBER(AC118),
IF($B118=1,VLOOKUP($AC118,Inventario1!$A:$H,4),
IF($B118=2,VLOOKUP($AC118,Inventario2!$A:$H,4),
IF($B118=3,VLOOKUP($AC118,Inventario3!$A:$H,4),
IF($B118=4,VLOOKUP($AC118,Inventario4!$A:$H,4),
IF($B118=5,VLOOKUP($AC118,Inventario5!$A:$H,4),
VLOOKUP($AC118,Inventario6!$A:$H,4)
))))),"")</f>
        <v>Saque</v>
      </c>
      <c r="AH118" s="14" t="str">
        <f ca="1">IF(ISNUMBER(AC118),
IF($B118=1,VLOOKUP($AC118,Inventario1!$A:$H,5),
IF($B118=2,VLOOKUP($AC118,Inventario2!$A:$H,5),
IF($B118=3,VLOOKUP($AC118,Inventario3!$A:$H,5),
IF($B118=4,VLOOKUP($AC118,Inventario4!$A:$H,5),
IF($B118=5,VLOOKUP($AC118,Inventario5!$A:$H,5),
VLOOKUP($AC118,Inventario6!$A:$H,5)
))))),"")</f>
        <v>Técnica ofensiva</v>
      </c>
      <c r="AI118" s="14" t="str">
        <f ca="1">IF(ISNUMBER(AC118),
IF($B118=1,VLOOKUP($AC118,Inventario1!$A:$H,6),
IF($B118=2,VLOOKUP($AC118,Inventario2!$A:$H,6),
IF($B118=3,VLOOKUP($AC118,Inventario3!$A:$H,6),
IF($B118=4,VLOOKUP($AC118,Inventario4!$A:$H,6),
IF($B118=5,VLOOKUP($AC118,Inventario5!$A:$H,6),
VLOOKUP($AC118,Inventario6!$A:$H,6)
))))),"")</f>
        <v>Colocación</v>
      </c>
      <c r="AJ118" s="14" t="str">
        <f ca="1">IF(ISNUMBER(AC118),
IF($B118=1,VLOOKUP($AC118,Inventario1!$A:$H,7),
IF($B118=2,VLOOKUP($AC118,Inventario2!$A:$H,7),
IF($B118=3,VLOOKUP($AC118,Inventario3!$A:$H,7),
IF($B118=4,VLOOKUP($AC118,Inventario4!$A:$H,7),
IF($B118=5,VLOOKUP($AC118,Inventario5!$A:$H,7),
VLOOKUP($AC118,Inventario6!$A:$H,7)
))))),"")</f>
        <v>Saque</v>
      </c>
      <c r="AK118" s="15" t="str">
        <f ca="1">IF(ISNUMBER(AC118),
IF($B118=1,VLOOKUP($AC118,Inventario1!$A:$H,8),
IF($B118=2,VLOOKUP($AC118,Inventario2!$A:$H,8),
IF($B118=3,VLOOKUP($AC118,Inventario3!$A:$H,8),
IF($B118=4,VLOOKUP($AC118,Inventario4!$A:$H,8),
IF($B118=5,VLOOKUP($AC118,Inventario5!$A:$H,8),
VLOOKUP($AC118,Inventario6!$A:$H,8)
))))),"")</f>
        <v>Ataque rápido</v>
      </c>
    </row>
    <row r="119" spans="1:37" x14ac:dyDescent="0.25">
      <c r="A119" s="21" t="s">
        <v>6</v>
      </c>
      <c r="B119" s="3">
        <v>4</v>
      </c>
      <c r="C119" s="14" cm="1">
        <f t="array" ref="C119">_xlfn.LET(
    _xlpm.jugador, A119,
    _xlpm.idSel, AC119,
    _xlpm.invIDs, IF(B119=1,Inventario1!A:A,IF(B119=2,Inventario2!A:A,IF(B119=3,Inventario3!A:A,IF(B119=4,Inventario4!A:A,IF(B119=5,Inventario5!A:A,Inventario6!A:A))))),
    _xlpm.invCalidad, IF(B119=1,Inventario1!B:B,IF(B119=2,Inventario2!B:B,IF(B119=3,Inventario3!B:B,IF(B119=4,Inventario4!B:B,IF(B119=5,Inventario5!B:B,Inventario6!B:B))))),
    _xlpm.invTipos, IF(B119=1,Inventario1!C:C,IF(B119=2,Inventario2!C:C,IF(B119=3,Inventario3!C:C,IF(B119=4,Inventario4!C:C,IF(B119=5,Inventario5!C:C,Inventario6!C:C))))),
    _xlpm.invStats, IF(B119=1,Inventario1!D:H,IF(B119=2,Inventario2!D:H,IF(B119=3,Inventario3!D:H,IF(B119=4,Inventario4!D:H,IF(B119=5,Inventario5!D:H,Inventario6!D:H))))),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IF(ROW(A119)=2,"",IF(_xlfn._xlws.FILTER(Equipar!AC$2:AC118,Equipar!B$2:B118=B119)={0},"",_xlfn._xlws.FILTER(Equipar!AC$2:AC118,Equipar!B$2:B118=B119))),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154</v>
      </c>
      <c r="D119" s="4" cm="1">
        <f t="array" ref="D119">_xlfn.LET(
    _xlpm.jugador, A119,
    _xlpm.idSel, AC119,
    _xlpm.invIDs, IF(B119=1,Inventario1!A:A,IF(B119=2,Inventario2!A:A,IF(B119=3,Inventario3!A:A,IF(B119=4,Inventario4!A:A,IF(B119=5,Inventario5!A:A,Inventario6!A:A))))),
    _xlpm.invCalidad, IF(B119=1,Inventario1!B:B,IF(B119=2,Inventario2!B:B,IF(B119=3,Inventario3!B:B,IF(B119=4,Inventario4!B:B,IF(B119=5,Inventario5!B:B,Inventario6!B:B))))),
    _xlpm.invTipos, IF(B119=1,Inventario1!C:C,IF(B119=2,Inventario2!C:C,IF(B119=3,Inventario3!C:C,IF(B119=4,Inventario4!C:C,IF(B119=5,Inventario5!C:C,Inventario6!C:C))))),
    _xlpm.invStats, IF(B119=1,Inventario1!D:H,IF(B119=2,Inventario2!D:H,IF(B119=3,Inventario3!D:H,IF(B119=4,Inventario4!D:H,IF(B119=5,Inventario5!D:H,Inventario6!D:H))))),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IF(ROW(A119)=2,"",IF(_xlfn._xlws.FILTER(Equipar!AC$2:AC118,Equipar!B$2:B118=B119)={0},"",_xlfn._xlws.FILTER(Equipar!AC$2:AC118,Equipar!B$2:B118=B119))),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15</v>
      </c>
      <c r="E119" s="4" cm="1">
        <f t="array" ref="E119">_xlfn.LET(
    _xlpm.jugador, A119,
    _xlpm.idSel, AC119,
    _xlpm.invIDs, IF(B119=1,Inventario1!A:A,IF(B119=2,Inventario2!A:A,IF(B119=3,Inventario3!A:A,IF(B119=4,Inventario4!A:A,IF(B119=5,Inventario5!A:A,Inventario6!A:A))))),
    _xlpm.invCalidad, IF(B119=1,Inventario1!B:B,IF(B119=2,Inventario2!B:B,IF(B119=3,Inventario3!B:B,IF(B119=4,Inventario4!B:B,IF(B119=5,Inventario5!B:B,Inventario6!B:B))))),
    _xlpm.invTipos, IF(B119=1,Inventario1!C:C,IF(B119=2,Inventario2!C:C,IF(B119=3,Inventario3!C:C,IF(B119=4,Inventario4!C:C,IF(B119=5,Inventario5!C:C,Inventario6!C:C))))),
    _xlpm.invStats, IF(B119=1,Inventario1!D:H,IF(B119=2,Inventario2!D:H,IF(B119=3,Inventario3!D:H,IF(B119=4,Inventario4!D:H,IF(B119=5,Inventario5!D:H,Inventario6!D:H))))),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IF(ROW(A119)=2,"",IF(_xlfn._xlws.FILTER(Equipar!AC$2:AC118,Equipar!B$2:B118=B119)={0},"",_xlfn._xlws.FILTER(Equipar!AC$2:AC118,Equipar!B$2:B118=B119))),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246</v>
      </c>
      <c r="F119" s="4" t="str" cm="1">
        <f t="array" aca="1" ref="F119" ca="1">_xlfn.LET(
    _xlpm.jugador, B119,
    _xlpm.idSel, AD119,
    _xlpm.invIDs, IF(C119=1,Inventario1!B:B,IF(C119=2,Inventario2!B:B,IF(C119=3,Inventario3!B:B,IF(C119=4,Inventario4!B:B,IF(C119=5,Inventario5!B:B,Inventario6!B:B))))),
    _xlpm.invCalidad, IF(C119=1,Inventario1!C:C,IF(C119=2,Inventario2!C:C,IF(C119=3,Inventario3!C:C,IF(C119=4,Inventario4!C:C,IF(C119=5,Inventario5!C:C,Inventario6!C:C))))),
    _xlpm.invTipos, IF(C119=1,Inventario1!D:D,IF(C119=2,Inventario2!D:D,IF(C119=3,Inventario3!D:D,IF(C119=4,Inventario4!D:D,IF(C119=5,Inventario5!D:D,Inventario6!D:D))))),
    _xlpm.invStats, IF(C119=1,Inventario1!E:I,IF(C119=2,Inventario2!E:I,IF(C119=3,Inventario3!E:I,IF(C119=4,Inventario4!E:I,IF(C119=5,Inventario5!E:I,Inventario6!E:I))))),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IF(ROW(B119)=2,"",IF(_xlfn._xlws.FILTER(Equipar!AD$2:AD118,Equipar!C$2:C118=C119)={0},"",_xlfn._xlws.FILTER(Equipar!AD$2:AD118,Equipar!C$2:C118=C119))),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19" s="14" cm="1">
        <f t="array" ref="G119">_xlfn.LET(
    _xlpm.jugador, A119,
    _xlpm.idSel, AC119,
    _xlpm.invIDs, IF(B119=1,Inventario1!A:A,IF(B119=2,Inventario2!A:A,IF(B119=3,Inventario3!A:A,IF(B119=4,Inventario4!A:A,IF(B119=5,Inventario5!A:A,Inventario6!A:A))))),
    _xlpm.invCalidad, IF(B119=1,Inventario1!B:B,IF(B119=2,Inventario2!B:B,IF(B119=3,Inventario3!B:B,IF(B119=4,Inventario4!B:B,IF(B119=5,Inventario5!B:B,Inventario6!B:B))))),
    _xlpm.invTipos, IF(B119=1,Inventario1!C:C,IF(B119=2,Inventario2!C:C,IF(B119=3,Inventario3!C:C,IF(B119=4,Inventario4!C:C,IF(B119=5,Inventario5!C:C,Inventario6!C:C))))),
    _xlpm.invStats, IF(B119=1,Inventario1!D:H,IF(B119=2,Inventario2!D:H,IF(B119=3,Inventario3!D:H,IF(B119=4,Inventario4!D:H,IF(B119=5,Inventario5!D:H,Inventario6!D:H))))),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IF(ROW(A119)=2,"",IF(_xlfn._xlws.FILTER(Equipar!AC$2:AC118,Equipar!B$2:B118=B119)={0},"",_xlfn._xlws.FILTER(Equipar!AC$2:AC118,Equipar!B$2:B118=B119))),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54</v>
      </c>
      <c r="H119" s="4" cm="1">
        <f t="array" ref="H119">_xlfn.LET(
    _xlpm.jugador, A119,
    _xlpm.idSel, AC119,
    _xlpm.invIDs, IF(B119=1,Inventario1!A:A,IF(B119=2,Inventario2!A:A,IF(B119=3,Inventario3!A:A,IF(B119=4,Inventario4!A:A,IF(B119=5,Inventario5!A:A,Inventario6!A:A))))),
    _xlpm.invCalidad, IF(B119=1,Inventario1!B:B,IF(B119=2,Inventario2!B:B,IF(B119=3,Inventario3!B:B,IF(B119=4,Inventario4!B:B,IF(B119=5,Inventario5!B:B,Inventario6!B:B))))),
    _xlpm.invTipos, IF(B119=1,Inventario1!C:C,IF(B119=2,Inventario2!C:C,IF(B119=3,Inventario3!C:C,IF(B119=4,Inventario4!C:C,IF(B119=5,Inventario5!C:C,Inventario6!C:C))))),
    _xlpm.invStats, IF(B119=1,Inventario1!D:H,IF(B119=2,Inventario2!D:H,IF(B119=3,Inventario3!D:H,IF(B119=4,Inventario4!D:H,IF(B119=5,Inventario5!D:H,Inventario6!D:H))))),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IF(ROW(A119)=2,"",IF(_xlfn._xlws.FILTER(Equipar!AC$2:AC118,Equipar!B$2:B118=B119)={0},"",_xlfn._xlws.FILTER(Equipar!AC$2:AC118,Equipar!B$2:B118=B119))),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I119" s="4" cm="1">
        <f t="array" ref="I119">_xlfn.LET(
    _xlpm.jugador, A119,
    _xlpm.idSel, AC119,
    _xlpm.invIDs, IF(B119=1,Inventario1!A:A,IF(B119=2,Inventario2!A:A,IF(B119=3,Inventario3!A:A,IF(B119=4,Inventario4!A:A,IF(B119=5,Inventario5!A:A,Inventario6!A:A))))),
    _xlpm.invCalidad, IF(B119=1,Inventario1!B:B,IF(B119=2,Inventario2!B:B,IF(B119=3,Inventario3!B:B,IF(B119=4,Inventario4!B:B,IF(B119=5,Inventario5!B:B,Inventario6!B:B))))),
    _xlpm.invTipos, IF(B119=1,Inventario1!C:C,IF(B119=2,Inventario2!C:C,IF(B119=3,Inventario3!C:C,IF(B119=4,Inventario4!C:C,IF(B119=5,Inventario5!C:C,Inventario6!C:C))))),
    _xlpm.invStats, IF(B119=1,Inventario1!D:H,IF(B119=2,Inventario2!D:H,IF(B119=3,Inventario3!D:H,IF(B119=4,Inventario4!D:H,IF(B119=5,Inventario5!D:H,Inventario6!D:H))))),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IF(ROW(A119)=2,"",IF(_xlfn._xlws.FILTER(Equipar!AC$2:AC118,Equipar!B$2:B118=B119)={0},"",_xlfn._xlws.FILTER(Equipar!AC$2:AC118,Equipar!B$2:B118=B119))),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23.94</v>
      </c>
      <c r="J119" s="4" cm="1">
        <f t="array" aca="1" ref="J119" ca="1">_xlfn.LET(
    _xlpm.jugador, B119,
    _xlpm.idSel, AD119,
    _xlpm.invIDs, IF(C119=1,Inventario1!B:B,IF(C119=2,Inventario2!B:B,IF(C119=3,Inventario3!B:B,IF(C119=4,Inventario4!B:B,IF(C119=5,Inventario5!B:B,Inventario6!B:B))))),
    _xlpm.invCalidad, IF(C119=1,Inventario1!C:C,IF(C119=2,Inventario2!C:C,IF(C119=3,Inventario3!C:C,IF(C119=4,Inventario4!C:C,IF(C119=5,Inventario5!C:C,Inventario6!C:C))))),
    _xlpm.invTipos, IF(C119=1,Inventario1!D:D,IF(C119=2,Inventario2!D:D,IF(C119=3,Inventario3!D:D,IF(C119=4,Inventario4!D:D,IF(C119=5,Inventario5!D:D,Inventario6!D:D))))),
    _xlpm.invStats, IF(C119=1,Inventario1!E:I,IF(C119=2,Inventario2!E:I,IF(C119=3,Inventario3!E:I,IF(C119=4,Inventario4!E:I,IF(C119=5,Inventario5!E:I,Inventario6!E:I))))),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IF(ROW(B119)=2,"",IF(_xlfn._xlws.FILTER(Equipar!AD$2:AD118,Equipar!C$2:C118=C119)={0},"",_xlfn._xlws.FILTER(Equipar!AD$2:AD118,Equipar!C$2:C118=C119))),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19" s="4">
        <f t="shared" si="8"/>
        <v>-9</v>
      </c>
      <c r="L119" s="4">
        <f t="shared" si="9"/>
        <v>30.06</v>
      </c>
      <c r="M119" s="4">
        <f t="shared" ca="1" si="9"/>
        <v>63</v>
      </c>
      <c r="N119" s="4">
        <f t="shared" si="10"/>
        <v>39.06</v>
      </c>
      <c r="O119" s="4">
        <f t="shared" ca="1" si="10"/>
        <v>23.94</v>
      </c>
      <c r="P119" s="14" cm="1">
        <f t="array" aca="1" ref="P119" ca="1">_xlfn.LET(
    _xlpm.ptsPrinBase, _xlfn._xlws.FILTER(G:G, A:A=A119),
    _xlpm.ptsSecBase,  _xlfn._xlws.FILTER(H:H, A:A=A119),
    _xlpm.puntosPrin, _xlpm.ptsPrinBase + _xlfn._xlws.FILTER(B:B, A:A=A119)/1000,
    _xlpm.puntosSec,  _xlpm.ptsSecBase  + _xlfn._xlws.FILTER(B:B, A:A=A119)/1000,
    _xlpm.puntosPrinValidos, SUM(--(_xlpm.ptsPrinBase&gt;0)),
    _xlpm.puntosSecValidos,  SUM(--(_xlpm.ptsSecBase&gt;0)),
    _xlpm.clave, K119 + B119/1000,
    _xlpm.claves, _xlfn._xlws.FILTER(K:K + B:B/1000, A:A=A119),
    IF(AND(_xlpm.puntosPrinValidos&gt;=4,_xlpm.puntosSecValidos&gt;=2),IF(
        SUM(--(_xlpm.claves &gt; _xlpm.clave)) &lt; 4,
        C119,
        D119
    ),"No disp")
)</f>
        <v>154</v>
      </c>
      <c r="Q119" s="14" cm="1">
        <f t="array" aca="1" ref="Q119" ca="1">_xlfn.LET(
    _xlpm.puntosPrin, _xlfn._xlws.FILTER(G:G + B:B/1000, A:A=A119),
    _xlpm.puntosPrinValidos, SUM(--(_xlpm.puntosPrin&gt;1)),
    _xlpm.puntosTer, _xlfn._xlws.FILTER(I:I + B:B/1000, A:A=A119),
    _xlpm.puntosTerValidos, SUM(--(_xlpm.puntosTer&gt;1)),
    _xlpm.clave, L119 + B119/1000,
    _xlpm.claves, _xlfn._xlws.FILTER(L:L + B:B/1000, A:A=A119),
    IF(AND(_xlpm.puntosPrinValidos&gt;=4,_xlpm.puntosTerValidos&gt;=2),IF(
        SUM(--(_xlpm.claves &gt; _xlpm.clave)) &lt; 4,
        C119,
        E119
    ),"No disp")
)</f>
        <v>154</v>
      </c>
      <c r="R119" s="14" t="str" cm="1">
        <f t="array" aca="1" ref="R119" ca="1">_xlfn.LET(
    _xlpm.puntosPrin, _xlfn._xlws.FILTER(G:G + B:B/1000, A:A=A119),
    _xlpm.puntosPrinValidos, SUM(--(_xlpm.puntosPrin&gt;1)),
    _xlpm.puntosTer, _xlfn._xlws.FILTER(J:J + B:B/1000, A:A=A119),
    _xlpm.puntosTerValidos, SUM(--(_xlpm.puntosTer&gt;1)),
    _xlpm.clave, M119 + B119/1000,
    _xlpm.claves, _xlfn._xlws.FILTER(M:M + B:B/1000, A:A=A119),
    IF(AND(_xlpm.puntosPrinValidos&gt;=4,_xlpm.puntosTerValidos&gt;=2),IF(
        SUM(--(_xlpm.claves &gt; _xlpm.clave)) &lt; 4,
        C119,
        F119
    ),"No disp")
)</f>
        <v>No disp</v>
      </c>
      <c r="S119" s="14" cm="1">
        <f t="array" aca="1" ref="S119" ca="1">_xlfn.LET(
    _xlpm.ptsPrinBase, _xlfn._xlws.FILTER(G:G, A:A=A119),
    _xlpm.ptsSecBase,  _xlfn._xlws.FILTER(H:H, A:A=A119),
    _xlpm.puntosPrin, _xlpm.ptsPrinBase + _xlfn._xlws.FILTER(B:B, A:A=A119)/1000,
    _xlpm.puntosSec,  _xlpm.ptsSecBase  + _xlfn._xlws.FILTER(B:B, A:A=A119)/1000,
    _xlpm.puntosPrinValidos, SUM(--(_xlpm.ptsPrinBase&gt;0)),
    _xlpm.puntosSecValidos,  SUM(--(_xlpm.ptsSecBase&gt;0)),
    _xlpm.clave, K119 + B119/1000,
    _xlpm.claves, _xlfn._xlws.FILTER(K:K + B:B/1000, A:A=A119),
    IF(
        AND(_xlpm.puntosPrinValidos&gt;=2, _xlpm.puntosSecValidos&gt;=4),
        IF(
            SUM(--(_xlpm.claves &lt; _xlpm.clave)) &lt; 4,
            D119,
            C119
        ),
        "No disp"
    )
)</f>
        <v>15</v>
      </c>
      <c r="T119" s="14" cm="1">
        <f t="array" ref="T119">_xlfn.LET(
    _xlpm.puntosSec, _xlfn._xlws.FILTER(H:H + B:B/1000, A:A=A119),
    _xlpm.puntosSecValidos, SUM(--(_xlpm.puntosSec&gt;1)),
    _xlpm.puntosAlt, _xlfn._xlws.FILTER(I:I + B:B/1000, A:A=A119),
    _xlpm.puntosAltValidos, SUM(--(_xlpm.puntosAlt&gt;1)),
    _xlpm.clave, N119 + B119/1000,
    _xlpm.claves, _xlfn._xlws.FILTER(N:N + B:B/1000, A:A=A119),
    IF(AND(_xlpm.puntosSecValidos&gt;=4,_xlpm.puntosAltValidos&gt;=2),IF(
        SUM(--(_xlpm.claves &gt; _xlpm.clave)) &lt; 4,
        D119,
        E119
    ),"No disp")
)</f>
        <v>15</v>
      </c>
      <c r="U119" s="14" t="str" cm="1">
        <f t="array" aca="1" ref="U119" ca="1">_xlfn.LET(
    _xlpm.puntosSec, _xlfn._xlws.FILTER(H:H + B:B/1000, A:A=A119),
    _xlpm.puntosSecValidos, SUM(--(_xlpm.puntosSec&gt;1)),
    _xlpm.puntosAlt, _xlfn._xlws.FILTER(J:J + B:B/1000, A:A=A119),
    _xlpm.puntosAltValidos, SUM(--(_xlpm.puntosAlt&gt;1)),
    _xlpm.clave, O119 + B119/1000,
    _xlpm.claves, _xlfn._xlws.FILTER(O:O + B:B/1000, A:A=A119),
    IF(AND(_xlpm.puntosSecValidos&gt;=4,_xlpm.puntosAltValidos&gt;=2),IF(
        SUM(--(_xlpm.claves &gt; _xlpm.clave)) &lt; 4,
        D119,
        F119
    ),"No disp")
)</f>
        <v>No disp</v>
      </c>
      <c r="V119" s="4" cm="1">
        <f t="array" aca="1" ref="V119" ca="1">_xlfn.LET(
_xlpm.PrinIDs,_xlfn._xlws.FILTER(C:C,(A:A=A119)),
_xlpm.SecIDs,_xlfn._xlws.FILTER(D:D,(A:A=A119)),
_xlpm.TerIDs,_xlfn._xlws.FILTER(E:E,A:A=A119),
_xlpm.CuaIDs,_xlfn._xlws.FILTER(F:F,(A:A=A119)),
_xlpm.PrinPts,_xlfn._xlws.FILTER(G:G,(A:A=A119)),
_xlpm.SecPts,_xlfn._xlws.FILTER(H:H,(A:A=A119)),
_xlpm.TerPts,_xlfn._xlws.FILTER(I:I,(A:A=A119)),
_xlpm.CuaPts,_xlfn._xlws.FILTER(J:J,(A:A=A119)),
_xlpm.PSIds,_xlfn._xlws.FILTER(P:P,A:A=A119),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479.79</v>
      </c>
      <c r="W119" s="4" cm="1">
        <f t="array" aca="1" ref="W119" ca="1">_xlfn.LET(
_xlpm.PrinIDs,_xlfn._xlws.FILTER(C:C,(A:A=A119)),
_xlpm.SecIDs,_xlfn._xlws.FILTER(D:D,(A:A=A119)),
_xlpm.TerIDs,_xlfn._xlws.FILTER(E:E,A:A=A119),
_xlpm.CuaIDs,_xlfn._xlws.FILTER(F:F,(A:A=A119)),
_xlpm.PrinPts,_xlfn._xlws.FILTER(G:G,(A:A=A119)),
_xlpm.SecPts,_xlfn._xlws.FILTER(H:H,(A:A=A119)),
_xlpm.TerPts,_xlfn._xlws.FILTER(I:I,(A:A=A119)),
_xlpm.CuaPts,_xlfn._xlws.FILTER(J:J,(A:A=A119)),
_xlpm.PTIds,_xlfn._xlws.FILTER(Q:Q,A:A=A119),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518.04000000000008</v>
      </c>
      <c r="X119" s="4" cm="1">
        <f t="array" aca="1" ref="X119" ca="1">_xlfn.LET(
_xlpm.PrinIDs,_xlfn._xlws.FILTER(C:C,(A:A=A119)),
_xlpm.SecIDs,_xlfn._xlws.FILTER(D:D,(A:A=A119)),
_xlpm.TerIDs,_xlfn._xlws.FILTER(E:E,A:A=A119),
_xlpm.CuaIDs,_xlfn._xlws.FILTER(F:F,(A:A=A119)),
_xlpm.PrinPts,_xlfn._xlws.FILTER(G:G,(A:A=A119)),
_xlpm.SecPts,_xlfn._xlws.FILTER(H:H,(A:A=A119)),
_xlpm.TerPts,_xlfn._xlws.FILTER(I:I,(A:A=A119)),
_xlpm.CuaPts,_xlfn._xlws.FILTER(J:J,(A:A=A119)),
_xlpm.PCIds,_xlfn._xlws.FILTER(R:R,A:A=A119),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19" s="4" cm="1">
        <f t="array" aca="1" ref="Y119" ca="1">_xlfn.LET(
_xlpm.PrinIDs,_xlfn._xlws.FILTER(C:C,(A:A=A119)),
_xlpm.SecIDs,_xlfn._xlws.FILTER(D:D,(A:A=A119)),
_xlpm.AltIDs,_xlfn._xlws.FILTER(E:E,A:A=A119),
_xlpm.PrinPts,_xlfn._xlws.FILTER(G:G,(A:A=A119)),
_xlpm.SecPts,_xlfn._xlws.FILTER(H:H,(A:A=A119)),
_xlpm.AltPts,_xlfn._xlws.FILTER(I:I,(A:A=A119)),
_xlpm.SPIds,_xlfn._xlws.FILTER(S:S,A:A=A119),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488.79</v>
      </c>
      <c r="Z119" s="4" cm="1">
        <f t="array" aca="1" ref="Z119" ca="1">_xlfn.LET(
_xlpm.PrinIDs,_xlfn._xlws.FILTER(C:C,(A:A=A119)),
_xlpm.SecIDs,_xlfn._xlws.FILTER(D:D,(A:A=A119)),
_xlpm.TerIDs,_xlfn._xlws.FILTER(E:E,A:A=A119),
_xlpm.CuaIDs,_xlfn._xlws.FILTER(F:F,(A:A=A119)),
_xlpm.PrinPts,_xlfn._xlws.FILTER(G:G,(A:A=A119)),
_xlpm.SecPts,_xlfn._xlws.FILTER(H:H,(A:A=A119)),
_xlpm.TerPts,_xlfn._xlws.FILTER(I:I,(A:A=A119)),
_xlpm.CuaPts,_xlfn._xlws.FILTER(J:J,(A:A=A119)),
_xlpm.STIds,_xlfn._xlws.FILTER(T:T,A:A=A119),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494.46000000000004</v>
      </c>
      <c r="AA119" s="4" cm="1">
        <f t="array" aca="1" ref="AA119" ca="1">_xlfn.LET(
_xlpm.PrinIDs,_xlfn._xlws.FILTER(C:C,(A:A=A119)),
_xlpm.SecIDs,_xlfn._xlws.FILTER(D:D,(A:A=A119)),
_xlpm.TerIDs,_xlfn._xlws.FILTER(E:E,A:A=A119),
_xlpm.CuaIDs,_xlfn._xlws.FILTER(F:F,(A:A=A119)),
_xlpm.PrinPts,_xlfn._xlws.FILTER(G:G,(A:A=A119)),
_xlpm.SecPts,_xlfn._xlws.FILTER(H:H,(A:A=A119)),
_xlpm.TerPts,_xlfn._xlws.FILTER(I:I,(A:A=A119)),
_xlpm.CuaPts,_xlfn._xlws.FILTER(J:J,(A:A=A119)),
_xlpm.SCIds,_xlfn._xlws.FILTER(U:U,A:A=A119),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19" s="14">
        <f t="shared" ca="1" si="7"/>
        <v>154</v>
      </c>
      <c r="AC119" s="14">
        <v>154</v>
      </c>
      <c r="AD119" s="4"/>
      <c r="AE119" s="14" t="str">
        <f ca="1">IF(ISNUMBER(AC119),
IF($B119=1,VLOOKUP($AC119,Inventario1!$A:$H,2),
IF($B119=2,VLOOKUP($AC119,Inventario2!$A:$H,2),
IF($B119=3,VLOOKUP($AC119,Inventario3!$A:$H,2),
IF($B119=4,VLOOKUP($AC119,Inventario4!$A:$H,2),
IF($B119=5,VLOOKUP($AC119,Inventario5!$A:$H,2),
VLOOKUP($AC119,Inventario6!$A:$H,2)
))))),"No equipado")</f>
        <v>Épico</v>
      </c>
      <c r="AF119" s="14" t="str">
        <f ca="1">IF(ISNUMBER(AC119),
IF($B119=1,VLOOKUP($AC119,Inventario1!$A:$H,3),
IF($B119=2,VLOOKUP($AC119,Inventario2!$A:$H,3),
IF($B119=3,VLOOKUP($AC119,Inventario3!$A:$H,3),
IF($B119=4,VLOOKUP($AC119,Inventario4!$A:$H,3),
IF($B119=5,VLOOKUP($AC119,Inventario5!$A:$H,3),
VLOOKUP($AC119,Inventario6!$A:$H,3)
))))),"")</f>
        <v>Poder vibrante</v>
      </c>
      <c r="AG119" s="14" t="str">
        <f ca="1">IF(ISNUMBER(AC119),
IF($B119=1,VLOOKUP($AC119,Inventario1!$A:$H,4),
IF($B119=2,VLOOKUP($AC119,Inventario2!$A:$H,4),
IF($B119=3,VLOOKUP($AC119,Inventario3!$A:$H,4),
IF($B119=4,VLOOKUP($AC119,Inventario4!$A:$H,4),
IF($B119=5,VLOOKUP($AC119,Inventario5!$A:$H,4),
VLOOKUP($AC119,Inventario6!$A:$H,4)
))))),"")</f>
        <v>Reflejos</v>
      </c>
      <c r="AH119" s="14" t="str">
        <f ca="1">IF(ISNUMBER(AC119),
IF($B119=1,VLOOKUP($AC119,Inventario1!$A:$H,5),
IF($B119=2,VLOOKUP($AC119,Inventario2!$A:$H,5),
IF($B119=3,VLOOKUP($AC119,Inventario3!$A:$H,5),
IF($B119=4,VLOOKUP($AC119,Inventario4!$A:$H,5),
IF($B119=5,VLOOKUP($AC119,Inventario5!$A:$H,5),
VLOOKUP($AC119,Inventario6!$A:$H,5)
))))),"")</f>
        <v>Ataque poderoso</v>
      </c>
      <c r="AI119" s="14" t="str">
        <f ca="1">IF(ISNUMBER(AC119),
IF($B119=1,VLOOKUP($AC119,Inventario1!$A:$H,6),
IF($B119=2,VLOOKUP($AC119,Inventario2!$A:$H,6),
IF($B119=3,VLOOKUP($AC119,Inventario3!$A:$H,6),
IF($B119=4,VLOOKUP($AC119,Inventario4!$A:$H,6),
IF($B119=5,VLOOKUP($AC119,Inventario5!$A:$H,6),
VLOOKUP($AC119,Inventario6!$A:$H,6)
))))),"")</f>
        <v>Bloqueo</v>
      </c>
      <c r="AJ119" s="14" t="str">
        <f ca="1">IF(ISNUMBER(AC119),
IF($B119=1,VLOOKUP($AC119,Inventario1!$A:$H,7),
IF($B119=2,VLOOKUP($AC119,Inventario2!$A:$H,7),
IF($B119=3,VLOOKUP($AC119,Inventario3!$A:$H,7),
IF($B119=4,VLOOKUP($AC119,Inventario4!$A:$H,7),
IF($B119=5,VLOOKUP($AC119,Inventario5!$A:$H,7),
VLOOKUP($AC119,Inventario6!$A:$H,7)
))))),"")</f>
        <v>Percepción</v>
      </c>
      <c r="AK119" s="15">
        <f ca="1">IF(ISNUMBER(AC119),
IF($B119=1,VLOOKUP($AC119,Inventario1!$A:$H,8),
IF($B119=2,VLOOKUP($AC119,Inventario2!$A:$H,8),
IF($B119=3,VLOOKUP($AC119,Inventario3!$A:$H,8),
IF($B119=4,VLOOKUP($AC119,Inventario4!$A:$H,8),
IF($B119=5,VLOOKUP($AC119,Inventario5!$A:$H,8),
VLOOKUP($AC119,Inventario6!$A:$H,8)
))))),"")</f>
        <v>0</v>
      </c>
    </row>
    <row r="120" spans="1:37" x14ac:dyDescent="0.25">
      <c r="A120" s="21" t="s">
        <v>6</v>
      </c>
      <c r="B120" s="3">
        <v>5</v>
      </c>
      <c r="C120" s="14" cm="1">
        <f t="array" aca="1" ref="C120" ca="1">_xlfn.LET(
    _xlpm.jugador, A120,
    _xlpm.idSel, AC120,
    _xlpm.invIDs, IF(B120=1,Inventario1!A:A,IF(B120=2,Inventario2!A:A,IF(B120=3,Inventario3!A:A,IF(B120=4,Inventario4!A:A,IF(B120=5,Inventario5!A:A,Inventario6!A:A))))),
    _xlpm.invCalidad, IF(B120=1,Inventario1!B:B,IF(B120=2,Inventario2!B:B,IF(B120=3,Inventario3!B:B,IF(B120=4,Inventario4!B:B,IF(B120=5,Inventario5!B:B,Inventario6!B:B))))),
    _xlpm.invTipos, IF(B120=1,Inventario1!C:C,IF(B120=2,Inventario2!C:C,IF(B120=3,Inventario3!C:C,IF(B120=4,Inventario4!C:C,IF(B120=5,Inventario5!C:C,Inventario6!C:C))))),
    _xlpm.invStats, IF(B120=1,Inventario1!D:H,IF(B120=2,Inventario2!D:H,IF(B120=3,Inventario3!D:H,IF(B120=4,Inventario4!D:H,IF(B120=5,Inventario5!D:H,Inventario6!D:H))))),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IF(ROW(A120)=2,"",IF(_xlfn._xlws.FILTER(Equipar!AC$2:AC119,Equipar!B$2:B119=B120)={0},"",_xlfn._xlws.FILTER(Equipar!AC$2:AC119,Equipar!B$2:B119=B120))),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</v>
      </c>
      <c r="D120" s="4" cm="1">
        <f t="array" ref="D120">_xlfn.LET(
    _xlpm.jugador, A120,
    _xlpm.idSel, AC120,
    _xlpm.invIDs, IF(B120=1,Inventario1!A:A,IF(B120=2,Inventario2!A:A,IF(B120=3,Inventario3!A:A,IF(B120=4,Inventario4!A:A,IF(B120=5,Inventario5!A:A,Inventario6!A:A))))),
    _xlpm.invCalidad, IF(B120=1,Inventario1!B:B,IF(B120=2,Inventario2!B:B,IF(B120=3,Inventario3!B:B,IF(B120=4,Inventario4!B:B,IF(B120=5,Inventario5!B:B,Inventario6!B:B))))),
    _xlpm.invTipos, IF(B120=1,Inventario1!C:C,IF(B120=2,Inventario2!C:C,IF(B120=3,Inventario3!C:C,IF(B120=4,Inventario4!C:C,IF(B120=5,Inventario5!C:C,Inventario6!C:C))))),
    _xlpm.invStats, IF(B120=1,Inventario1!D:H,IF(B120=2,Inventario2!D:H,IF(B120=3,Inventario3!D:H,IF(B120=4,Inventario4!D:H,IF(B120=5,Inventario5!D:H,Inventario6!D:H))))),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IF(ROW(A120)=2,"",IF(_xlfn._xlws.FILTER(Equipar!AC$2:AC119,Equipar!B$2:B119=B120)={0},"",_xlfn._xlws.FILTER(Equipar!AC$2:AC119,Equipar!B$2:B119=B120))),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63</v>
      </c>
      <c r="E120" s="4" cm="1">
        <f t="array" ref="E120">_xlfn.LET(
    _xlpm.jugador, A120,
    _xlpm.idSel, AC120,
    _xlpm.invIDs, IF(B120=1,Inventario1!A:A,IF(B120=2,Inventario2!A:A,IF(B120=3,Inventario3!A:A,IF(B120=4,Inventario4!A:A,IF(B120=5,Inventario5!A:A,Inventario6!A:A))))),
    _xlpm.invCalidad, IF(B120=1,Inventario1!B:B,IF(B120=2,Inventario2!B:B,IF(B120=3,Inventario3!B:B,IF(B120=4,Inventario4!B:B,IF(B120=5,Inventario5!B:B,Inventario6!B:B))))),
    _xlpm.invTipos, IF(B120=1,Inventario1!C:C,IF(B120=2,Inventario2!C:C,IF(B120=3,Inventario3!C:C,IF(B120=4,Inventario4!C:C,IF(B120=5,Inventario5!C:C,Inventario6!C:C))))),
    _xlpm.invStats, IF(B120=1,Inventario1!D:H,IF(B120=2,Inventario2!D:H,IF(B120=3,Inventario3!D:H,IF(B120=4,Inventario4!D:H,IF(B120=5,Inventario5!D:H,Inventario6!D:H))))),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IF(ROW(A120)=2,"",IF(_xlfn._xlws.FILTER(Equipar!AC$2:AC119,Equipar!B$2:B119=B120)={0},"",_xlfn._xlws.FILTER(Equipar!AC$2:AC119,Equipar!B$2:B119=B120))),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298</v>
      </c>
      <c r="F120" s="4" t="str" cm="1">
        <f t="array" aca="1" ref="F120" ca="1">_xlfn.LET(
    _xlpm.jugador, B120,
    _xlpm.idSel, AD120,
    _xlpm.invIDs, IF(C120=1,Inventario1!B:B,IF(C120=2,Inventario2!B:B,IF(C120=3,Inventario3!B:B,IF(C120=4,Inventario4!B:B,IF(C120=5,Inventario5!B:B,Inventario6!B:B))))),
    _xlpm.invCalidad, IF(C120=1,Inventario1!C:C,IF(C120=2,Inventario2!C:C,IF(C120=3,Inventario3!C:C,IF(C120=4,Inventario4!C:C,IF(C120=5,Inventario5!C:C,Inventario6!C:C))))),
    _xlpm.invTipos, IF(C120=1,Inventario1!D:D,IF(C120=2,Inventario2!D:D,IF(C120=3,Inventario3!D:D,IF(C120=4,Inventario4!D:D,IF(C120=5,Inventario5!D:D,Inventario6!D:D))))),
    _xlpm.invStats, IF(C120=1,Inventario1!E:I,IF(C120=2,Inventario2!E:I,IF(C120=3,Inventario3!E:I,IF(C120=4,Inventario4!E:I,IF(C120=5,Inventario5!E:I,Inventario6!E:I))))),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IF(ROW(B120)=2,"",IF(_xlfn._xlws.FILTER(Equipar!AD$2:AD119,Equipar!C$2:C119=C120)={0},"",_xlfn._xlws.FILTER(Equipar!AD$2:AD119,Equipar!C$2:C119=C120))),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20" s="14" cm="1">
        <f t="array" aca="1" ref="G120" ca="1">_xlfn.LET(
    _xlpm.jugador, A120,
    _xlpm.idSel, AC120,
    _xlpm.invIDs, IF(B120=1,Inventario1!A:A,IF(B120=2,Inventario2!A:A,IF(B120=3,Inventario3!A:A,IF(B120=4,Inventario4!A:A,IF(B120=5,Inventario5!A:A,Inventario6!A:A))))),
    _xlpm.invCalidad, IF(B120=1,Inventario1!B:B,IF(B120=2,Inventario2!B:B,IF(B120=3,Inventario3!B:B,IF(B120=4,Inventario4!B:B,IF(B120=5,Inventario5!B:B,Inventario6!B:B))))),
    _xlpm.invTipos, IF(B120=1,Inventario1!C:C,IF(B120=2,Inventario2!C:C,IF(B120=3,Inventario3!C:C,IF(B120=4,Inventario4!C:C,IF(B120=5,Inventario5!C:C,Inventario6!C:C))))),
    _xlpm.invStats, IF(B120=1,Inventario1!D:H,IF(B120=2,Inventario2!D:H,IF(B120=3,Inventario3!D:H,IF(B120=4,Inventario4!D:H,IF(B120=5,Inventario5!D:H,Inventario6!D:H))))),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IF(ROW(A120)=2,"",IF(_xlfn._xlws.FILTER(Equipar!AC$2:AC119,Equipar!B$2:B119=B120)={0},"",_xlfn._xlws.FILTER(Equipar!AC$2:AC119,Equipar!B$2:B119=B120))),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47.88</v>
      </c>
      <c r="H120" s="4" cm="1">
        <f t="array" ref="H120">_xlfn.LET(
    _xlpm.jugador, A120,
    _xlpm.idSel, AC120,
    _xlpm.invIDs, IF(B120=1,Inventario1!A:A,IF(B120=2,Inventario2!A:A,IF(B120=3,Inventario3!A:A,IF(B120=4,Inventario4!A:A,IF(B120=5,Inventario5!A:A,Inventario6!A:A))))),
    _xlpm.invCalidad, IF(B120=1,Inventario1!B:B,IF(B120=2,Inventario2!B:B,IF(B120=3,Inventario3!B:B,IF(B120=4,Inventario4!B:B,IF(B120=5,Inventario5!B:B,Inventario6!B:B))))),
    _xlpm.invTipos, IF(B120=1,Inventario1!C:C,IF(B120=2,Inventario2!C:C,IF(B120=3,Inventario3!C:C,IF(B120=4,Inventario4!C:C,IF(B120=5,Inventario5!C:C,Inventario6!C:C))))),
    _xlpm.invStats, IF(B120=1,Inventario1!D:H,IF(B120=2,Inventario2!D:H,IF(B120=3,Inventario3!D:H,IF(B120=4,Inventario4!D:H,IF(B120=5,Inventario5!D:H,Inventario6!D:H))))),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IF(ROW(A120)=2,"",IF(_xlfn._xlws.FILTER(Equipar!AC$2:AC119,Equipar!B$2:B119=B120)={0},"",_xlfn._xlws.FILTER(Equipar!AC$2:AC119,Equipar!B$2:B119=B120))),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63</v>
      </c>
      <c r="I120" s="4" cm="1">
        <f t="array" ref="I120">_xlfn.LET(
    _xlpm.jugador, A120,
    _xlpm.idSel, AC120,
    _xlpm.invIDs, IF(B120=1,Inventario1!A:A,IF(B120=2,Inventario2!A:A,IF(B120=3,Inventario3!A:A,IF(B120=4,Inventario4!A:A,IF(B120=5,Inventario5!A:A,Inventario6!A:A))))),
    _xlpm.invCalidad, IF(B120=1,Inventario1!B:B,IF(B120=2,Inventario2!B:B,IF(B120=3,Inventario3!B:B,IF(B120=4,Inventario4!B:B,IF(B120=5,Inventario5!B:B,Inventario6!B:B))))),
    _xlpm.invTipos, IF(B120=1,Inventario1!C:C,IF(B120=2,Inventario2!C:C,IF(B120=3,Inventario3!C:C,IF(B120=4,Inventario4!C:C,IF(B120=5,Inventario5!C:C,Inventario6!C:C))))),
    _xlpm.invStats, IF(B120=1,Inventario1!D:H,IF(B120=2,Inventario2!D:H,IF(B120=3,Inventario3!D:H,IF(B120=4,Inventario4!D:H,IF(B120=5,Inventario5!D:H,Inventario6!D:H))))),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IF(ROW(A120)=2,"",IF(_xlfn._xlws.FILTER(Equipar!AC$2:AC119,Equipar!B$2:B119=B120)={0},"",_xlfn._xlws.FILTER(Equipar!AC$2:AC119,Equipar!B$2:B119=B120))),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J120" s="4" cm="1">
        <f t="array" aca="1" ref="J120" ca="1">_xlfn.LET(
    _xlpm.jugador, B120,
    _xlpm.idSel, AD120,
    _xlpm.invIDs, IF(C120=1,Inventario1!B:B,IF(C120=2,Inventario2!B:B,IF(C120=3,Inventario3!B:B,IF(C120=4,Inventario4!B:B,IF(C120=5,Inventario5!B:B,Inventario6!B:B))))),
    _xlpm.invCalidad, IF(C120=1,Inventario1!C:C,IF(C120=2,Inventario2!C:C,IF(C120=3,Inventario3!C:C,IF(C120=4,Inventario4!C:C,IF(C120=5,Inventario5!C:C,Inventario6!C:C))))),
    _xlpm.invTipos, IF(C120=1,Inventario1!D:D,IF(C120=2,Inventario2!D:D,IF(C120=3,Inventario3!D:D,IF(C120=4,Inventario4!D:D,IF(C120=5,Inventario5!D:D,Inventario6!D:D))))),
    _xlpm.invStats, IF(C120=1,Inventario1!E:I,IF(C120=2,Inventario2!E:I,IF(C120=3,Inventario3!E:I,IF(C120=4,Inventario4!E:I,IF(C120=5,Inventario5!E:I,Inventario6!E:I))))),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IF(ROW(B120)=2,"",IF(_xlfn._xlws.FILTER(Equipar!AD$2:AD119,Equipar!C$2:C119=C120)={0},"",_xlfn._xlws.FILTER(Equipar!AD$2:AD119,Equipar!C$2:C119=C120))),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20" s="4">
        <f t="shared" ca="1" si="8"/>
        <v>-15.119999999999997</v>
      </c>
      <c r="L120" s="4">
        <f t="shared" ca="1" si="9"/>
        <v>-35.910000000000004</v>
      </c>
      <c r="M120" s="4">
        <f t="shared" ca="1" si="9"/>
        <v>63</v>
      </c>
      <c r="N120" s="4">
        <f t="shared" si="10"/>
        <v>-20.790000000000006</v>
      </c>
      <c r="O120" s="4">
        <f t="shared" ca="1" si="10"/>
        <v>83.79</v>
      </c>
      <c r="P120" s="14" cm="1">
        <f t="array" aca="1" ref="P120" ca="1">_xlfn.LET(
    _xlpm.ptsPrinBase, _xlfn._xlws.FILTER(G:G, A:A=A120),
    _xlpm.ptsSecBase,  _xlfn._xlws.FILTER(H:H, A:A=A120),
    _xlpm.puntosPrin, _xlpm.ptsPrinBase + _xlfn._xlws.FILTER(B:B, A:A=A120)/1000,
    _xlpm.puntosSec,  _xlpm.ptsSecBase  + _xlfn._xlws.FILTER(B:B, A:A=A120)/1000,
    _xlpm.puntosPrinValidos, SUM(--(_xlpm.ptsPrinBase&gt;0)),
    _xlpm.puntosSecValidos,  SUM(--(_xlpm.ptsSecBase&gt;0)),
    _xlpm.clave, K120 + B120/1000,
    _xlpm.claves, _xlfn._xlws.FILTER(K:K + B:B/1000, A:A=A120),
    IF(AND(_xlpm.puntosPrinValidos&gt;=4,_xlpm.puntosSecValidos&gt;=2),IF(
        SUM(--(_xlpm.claves &gt; _xlpm.clave)) &lt; 4,
        C120,
        D120
    ),"No disp")
)</f>
        <v>63</v>
      </c>
      <c r="Q120" s="14" cm="1">
        <f t="array" aca="1" ref="Q120" ca="1">_xlfn.LET(
    _xlpm.puntosPrin, _xlfn._xlws.FILTER(G:G + B:B/1000, A:A=A120),
    _xlpm.puntosPrinValidos, SUM(--(_xlpm.puntosPrin&gt;1)),
    _xlpm.puntosTer, _xlfn._xlws.FILTER(I:I + B:B/1000, A:A=A120),
    _xlpm.puntosTerValidos, SUM(--(_xlpm.puntosTer&gt;1)),
    _xlpm.clave, L120 + B120/1000,
    _xlpm.claves, _xlfn._xlws.FILTER(L:L + B:B/1000, A:A=A120),
    IF(AND(_xlpm.puntosPrinValidos&gt;=4,_xlpm.puntosTerValidos&gt;=2),IF(
        SUM(--(_xlpm.claves &gt; _xlpm.clave)) &lt; 4,
        C120,
        E120
    ),"No disp")
)</f>
        <v>298</v>
      </c>
      <c r="R120" s="14" t="str" cm="1">
        <f t="array" aca="1" ref="R120" ca="1">_xlfn.LET(
    _xlpm.puntosPrin, _xlfn._xlws.FILTER(G:G + B:B/1000, A:A=A120),
    _xlpm.puntosPrinValidos, SUM(--(_xlpm.puntosPrin&gt;1)),
    _xlpm.puntosTer, _xlfn._xlws.FILTER(J:J + B:B/1000, A:A=A120),
    _xlpm.puntosTerValidos, SUM(--(_xlpm.puntosTer&gt;1)),
    _xlpm.clave, M120 + B120/1000,
    _xlpm.claves, _xlfn._xlws.FILTER(M:M + B:B/1000, A:A=A120),
    IF(AND(_xlpm.puntosPrinValidos&gt;=4,_xlpm.puntosTerValidos&gt;=2),IF(
        SUM(--(_xlpm.claves &gt; _xlpm.clave)) &lt; 4,
        C120,
        F120
    ),"No disp")
)</f>
        <v>No disp</v>
      </c>
      <c r="S120" s="14" cm="1">
        <f t="array" aca="1" ref="S120" ca="1">_xlfn.LET(
    _xlpm.ptsPrinBase, _xlfn._xlws.FILTER(G:G, A:A=A120),
    _xlpm.ptsSecBase,  _xlfn._xlws.FILTER(H:H, A:A=A120),
    _xlpm.puntosPrin, _xlpm.ptsPrinBase + _xlfn._xlws.FILTER(B:B, A:A=A120)/1000,
    _xlpm.puntosSec,  _xlpm.ptsSecBase  + _xlfn._xlws.FILTER(B:B, A:A=A120)/1000,
    _xlpm.puntosPrinValidos, SUM(--(_xlpm.ptsPrinBase&gt;0)),
    _xlpm.puntosSecValidos,  SUM(--(_xlpm.ptsSecBase&gt;0)),
    _xlpm.clave, K120 + B120/1000,
    _xlpm.claves, _xlfn._xlws.FILTER(K:K + B:B/1000, A:A=A120),
    IF(
        AND(_xlpm.puntosPrinValidos&gt;=2, _xlpm.puntosSecValidos&gt;=4),
        IF(
            SUM(--(_xlpm.claves &lt; _xlpm.clave)) &lt; 4,
            D120,
            C120
        ),
        "No disp"
    )
)</f>
        <v>63</v>
      </c>
      <c r="T120" s="14" cm="1">
        <f t="array" ref="T120">_xlfn.LET(
    _xlpm.puntosSec, _xlfn._xlws.FILTER(H:H + B:B/1000, A:A=A120),
    _xlpm.puntosSecValidos, SUM(--(_xlpm.puntosSec&gt;1)),
    _xlpm.puntosAlt, _xlfn._xlws.FILTER(I:I + B:B/1000, A:A=A120),
    _xlpm.puntosAltValidos, SUM(--(_xlpm.puntosAlt&gt;1)),
    _xlpm.clave, N120 + B120/1000,
    _xlpm.claves, _xlfn._xlws.FILTER(N:N + B:B/1000, A:A=A120),
    IF(AND(_xlpm.puntosSecValidos&gt;=4,_xlpm.puntosAltValidos&gt;=2),IF(
        SUM(--(_xlpm.claves &gt; _xlpm.clave)) &lt; 4,
        D120,
        E120
    ),"No disp")
)</f>
        <v>63</v>
      </c>
      <c r="U120" s="14" t="str" cm="1">
        <f t="array" aca="1" ref="U120" ca="1">_xlfn.LET(
    _xlpm.puntosSec, _xlfn._xlws.FILTER(H:H + B:B/1000, A:A=A120),
    _xlpm.puntosSecValidos, SUM(--(_xlpm.puntosSec&gt;1)),
    _xlpm.puntosAlt, _xlfn._xlws.FILTER(J:J + B:B/1000, A:A=A120),
    _xlpm.puntosAltValidos, SUM(--(_xlpm.puntosAlt&gt;1)),
    _xlpm.clave, O120 + B120/1000,
    _xlpm.claves, _xlfn._xlws.FILTER(O:O + B:B/1000, A:A=A120),
    IF(AND(_xlpm.puntosSecValidos&gt;=4,_xlpm.puntosAltValidos&gt;=2),IF(
        SUM(--(_xlpm.claves &gt; _xlpm.clave)) &lt; 4,
        D120,
        F120
    ),"No disp")
)</f>
        <v>No disp</v>
      </c>
      <c r="V120" s="4" cm="1">
        <f t="array" aca="1" ref="V120" ca="1">_xlfn.LET(
_xlpm.PrinIDs,_xlfn._xlws.FILTER(C:C,(A:A=A120)),
_xlpm.SecIDs,_xlfn._xlws.FILTER(D:D,(A:A=A120)),
_xlpm.TerIDs,_xlfn._xlws.FILTER(E:E,A:A=A120),
_xlpm.CuaIDs,_xlfn._xlws.FILTER(F:F,(A:A=A120)),
_xlpm.PrinPts,_xlfn._xlws.FILTER(G:G,(A:A=A120)),
_xlpm.SecPts,_xlfn._xlws.FILTER(H:H,(A:A=A120)),
_xlpm.TerPts,_xlfn._xlws.FILTER(I:I,(A:A=A120)),
_xlpm.CuaPts,_xlfn._xlws.FILTER(J:J,(A:A=A120)),
_xlpm.PSIds,_xlfn._xlws.FILTER(P:P,A:A=A120),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479.79</v>
      </c>
      <c r="W120" s="4" cm="1">
        <f t="array" aca="1" ref="W120" ca="1">_xlfn.LET(
_xlpm.PrinIDs,_xlfn._xlws.FILTER(C:C,(A:A=A120)),
_xlpm.SecIDs,_xlfn._xlws.FILTER(D:D,(A:A=A120)),
_xlpm.TerIDs,_xlfn._xlws.FILTER(E:E,A:A=A120),
_xlpm.CuaIDs,_xlfn._xlws.FILTER(F:F,(A:A=A120)),
_xlpm.PrinPts,_xlfn._xlws.FILTER(G:G,(A:A=A120)),
_xlpm.SecPts,_xlfn._xlws.FILTER(H:H,(A:A=A120)),
_xlpm.TerPts,_xlfn._xlws.FILTER(I:I,(A:A=A120)),
_xlpm.CuaPts,_xlfn._xlws.FILTER(J:J,(A:A=A120)),
_xlpm.PTIds,_xlfn._xlws.FILTER(Q:Q,A:A=A120),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518.04000000000008</v>
      </c>
      <c r="X120" s="4" cm="1">
        <f t="array" aca="1" ref="X120" ca="1">_xlfn.LET(
_xlpm.PrinIDs,_xlfn._xlws.FILTER(C:C,(A:A=A120)),
_xlpm.SecIDs,_xlfn._xlws.FILTER(D:D,(A:A=A120)),
_xlpm.TerIDs,_xlfn._xlws.FILTER(E:E,A:A=A120),
_xlpm.CuaIDs,_xlfn._xlws.FILTER(F:F,(A:A=A120)),
_xlpm.PrinPts,_xlfn._xlws.FILTER(G:G,(A:A=A120)),
_xlpm.SecPts,_xlfn._xlws.FILTER(H:H,(A:A=A120)),
_xlpm.TerPts,_xlfn._xlws.FILTER(I:I,(A:A=A120)),
_xlpm.CuaPts,_xlfn._xlws.FILTER(J:J,(A:A=A120)),
_xlpm.PCIds,_xlfn._xlws.FILTER(R:R,A:A=A120),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20" s="4" cm="1">
        <f t="array" aca="1" ref="Y120" ca="1">_xlfn.LET(
_xlpm.PrinIDs,_xlfn._xlws.FILTER(C:C,(A:A=A120)),
_xlpm.SecIDs,_xlfn._xlws.FILTER(D:D,(A:A=A120)),
_xlpm.AltIDs,_xlfn._xlws.FILTER(E:E,A:A=A120),
_xlpm.PrinPts,_xlfn._xlws.FILTER(G:G,(A:A=A120)),
_xlpm.SecPts,_xlfn._xlws.FILTER(H:H,(A:A=A120)),
_xlpm.AltPts,_xlfn._xlws.FILTER(I:I,(A:A=A120)),
_xlpm.SPIds,_xlfn._xlws.FILTER(S:S,A:A=A120),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488.79</v>
      </c>
      <c r="Z120" s="4" cm="1">
        <f t="array" aca="1" ref="Z120" ca="1">_xlfn.LET(
_xlpm.PrinIDs,_xlfn._xlws.FILTER(C:C,(A:A=A120)),
_xlpm.SecIDs,_xlfn._xlws.FILTER(D:D,(A:A=A120)),
_xlpm.TerIDs,_xlfn._xlws.FILTER(E:E,A:A=A120),
_xlpm.CuaIDs,_xlfn._xlws.FILTER(F:F,(A:A=A120)),
_xlpm.PrinPts,_xlfn._xlws.FILTER(G:G,(A:A=A120)),
_xlpm.SecPts,_xlfn._xlws.FILTER(H:H,(A:A=A120)),
_xlpm.TerPts,_xlfn._xlws.FILTER(I:I,(A:A=A120)),
_xlpm.CuaPts,_xlfn._xlws.FILTER(J:J,(A:A=A120)),
_xlpm.STIds,_xlfn._xlws.FILTER(T:T,A:A=A120),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494.46000000000004</v>
      </c>
      <c r="AA120" s="4" cm="1">
        <f t="array" aca="1" ref="AA120" ca="1">_xlfn.LET(
_xlpm.PrinIDs,_xlfn._xlws.FILTER(C:C,(A:A=A120)),
_xlpm.SecIDs,_xlfn._xlws.FILTER(D:D,(A:A=A120)),
_xlpm.TerIDs,_xlfn._xlws.FILTER(E:E,A:A=A120),
_xlpm.CuaIDs,_xlfn._xlws.FILTER(F:F,(A:A=A120)),
_xlpm.PrinPts,_xlfn._xlws.FILTER(G:G,(A:A=A120)),
_xlpm.SecPts,_xlfn._xlws.FILTER(H:H,(A:A=A120)),
_xlpm.TerPts,_xlfn._xlws.FILTER(I:I,(A:A=A120)),
_xlpm.CuaPts,_xlfn._xlws.FILTER(J:J,(A:A=A120)),
_xlpm.SCIds,_xlfn._xlws.FILTER(U:U,A:A=A120),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20" s="14">
        <f t="shared" ca="1" si="7"/>
        <v>298</v>
      </c>
      <c r="AC120" s="14">
        <v>298</v>
      </c>
      <c r="AD120" s="4"/>
      <c r="AE120" s="14" t="str">
        <f ca="1">IF(ISNUMBER(AC120),
IF($B120=1,VLOOKUP($AC120,Inventario1!$A:$H,2),
IF($B120=2,VLOOKUP($AC120,Inventario2!$A:$H,2),
IF($B120=3,VLOOKUP($AC120,Inventario3!$A:$H,2),
IF($B120=4,VLOOKUP($AC120,Inventario4!$A:$H,2),
IF($B120=5,VLOOKUP($AC120,Inventario5!$A:$H,2),
VLOOKUP($AC120,Inventario6!$A:$H,2)
))))),"No equipado")</f>
        <v>Legendario</v>
      </c>
      <c r="AF120" s="14" t="str">
        <f ca="1">IF(ISNUMBER(AC120),
IF($B120=1,VLOOKUP($AC120,Inventario1!$A:$H,3),
IF($B120=2,VLOOKUP($AC120,Inventario2!$A:$H,3),
IF($B120=3,VLOOKUP($AC120,Inventario3!$A:$H,3),
IF($B120=4,VLOOKUP($AC120,Inventario4!$A:$H,3),
IF($B120=5,VLOOKUP($AC120,Inventario5!$A:$H,3),
VLOOKUP($AC120,Inventario6!$A:$H,3)
))))),"")</f>
        <v>Potenciación de la moral</v>
      </c>
      <c r="AG120" s="14" t="str">
        <f ca="1">IF(ISNUMBER(AC120),
IF($B120=1,VLOOKUP($AC120,Inventario1!$A:$H,4),
IF($B120=2,VLOOKUP($AC120,Inventario2!$A:$H,4),
IF($B120=3,VLOOKUP($AC120,Inventario3!$A:$H,4),
IF($B120=4,VLOOKUP($AC120,Inventario4!$A:$H,4),
IF($B120=5,VLOOKUP($AC120,Inventario5!$A:$H,4),
VLOOKUP($AC120,Inventario6!$A:$H,4)
))))),"")</f>
        <v>Recepción</v>
      </c>
      <c r="AH120" s="14" t="str">
        <f ca="1">IF(ISNUMBER(AC120),
IF($B120=1,VLOOKUP($AC120,Inventario1!$A:$H,5),
IF($B120=2,VLOOKUP($AC120,Inventario2!$A:$H,5),
IF($B120=3,VLOOKUP($AC120,Inventario3!$A:$H,5),
IF($B120=4,VLOOKUP($AC120,Inventario4!$A:$H,5),
IF($B120=5,VLOOKUP($AC120,Inventario5!$A:$H,5),
VLOOKUP($AC120,Inventario6!$A:$H,5)
))))),"")</f>
        <v>Ataque poderoso</v>
      </c>
      <c r="AI120" s="14" t="str">
        <f ca="1">IF(ISNUMBER(AC120),
IF($B120=1,VLOOKUP($AC120,Inventario1!$A:$H,6),
IF($B120=2,VLOOKUP($AC120,Inventario2!$A:$H,6),
IF($B120=3,VLOOKUP($AC120,Inventario3!$A:$H,6),
IF($B120=4,VLOOKUP($AC120,Inventario4!$A:$H,6),
IF($B120=5,VLOOKUP($AC120,Inventario5!$A:$H,6),
VLOOKUP($AC120,Inventario6!$A:$H,6)
))))),"")</f>
        <v>Espíritu</v>
      </c>
      <c r="AJ120" s="14" t="str">
        <f ca="1">IF(ISNUMBER(AC120),
IF($B120=1,VLOOKUP($AC120,Inventario1!$A:$H,7),
IF($B120=2,VLOOKUP($AC120,Inventario2!$A:$H,7),
IF($B120=3,VLOOKUP($AC120,Inventario3!$A:$H,7),
IF($B120=4,VLOOKUP($AC120,Inventario4!$A:$H,7),
IF($B120=5,VLOOKUP($AC120,Inventario5!$A:$H,7),
VLOOKUP($AC120,Inventario6!$A:$H,7)
))))),"")</f>
        <v>Saque</v>
      </c>
      <c r="AK120" s="15" t="str">
        <f ca="1">IF(ISNUMBER(AC120),
IF($B120=1,VLOOKUP($AC120,Inventario1!$A:$H,8),
IF($B120=2,VLOOKUP($AC120,Inventario2!$A:$H,8),
IF($B120=3,VLOOKUP($AC120,Inventario3!$A:$H,8),
IF($B120=4,VLOOKUP($AC120,Inventario4!$A:$H,8),
IF($B120=5,VLOOKUP($AC120,Inventario5!$A:$H,8),
VLOOKUP($AC120,Inventario6!$A:$H,8)
))))),"")</f>
        <v>Ataque rápido</v>
      </c>
    </row>
    <row r="121" spans="1:37" ht="15.75" thickBot="1" x14ac:dyDescent="0.3">
      <c r="A121" s="22" t="s">
        <v>6</v>
      </c>
      <c r="B121" s="17">
        <v>6</v>
      </c>
      <c r="C121" s="18" cm="1">
        <f t="array" aca="1" ref="C121" ca="1">_xlfn.LET(
    _xlpm.jugador, A121,
    _xlpm.idSel, AC121,
    _xlpm.invIDs, IF(B121=1,Inventario1!A:A,IF(B121=2,Inventario2!A:A,IF(B121=3,Inventario3!A:A,IF(B121=4,Inventario4!A:A,IF(B121=5,Inventario5!A:A,Inventario6!A:A))))),
    _xlpm.invCalidad, IF(B121=1,Inventario1!B:B,IF(B121=2,Inventario2!B:B,IF(B121=3,Inventario3!B:B,IF(B121=4,Inventario4!B:B,IF(B121=5,Inventario5!B:B,Inventario6!B:B))))),
    _xlpm.invTipos, IF(B121=1,Inventario1!C:C,IF(B121=2,Inventario2!C:C,IF(B121=3,Inventario3!C:C,IF(B121=4,Inventario4!C:C,IF(B121=5,Inventario5!C:C,Inventario6!C:C))))),
    _xlpm.invStats, IF(B121=1,Inventario1!D:H,IF(B121=2,Inventario2!D:H,IF(B121=3,Inventario3!D:H,IF(B121=4,Inventario4!D:H,IF(B121=5,Inventario5!D:H,Inventario6!D:H))))),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IF(ROW(A121)=2,"",IF(_xlfn._xlws.FILTER(Equipar!AC$2:AC120,Equipar!B$2:B120=B121)={0},"",_xlfn._xlws.FILTER(Equipar!AC$2:AC120,Equipar!B$2:B120=B121))),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3</v>
      </c>
      <c r="D121" s="17" cm="1">
        <f t="array" ref="D121">_xlfn.LET(
    _xlpm.jugador, A121,
    _xlpm.idSel, AC121,
    _xlpm.invIDs, IF(B121=1,Inventario1!A:A,IF(B121=2,Inventario2!A:A,IF(B121=3,Inventario3!A:A,IF(B121=4,Inventario4!A:A,IF(B121=5,Inventario5!A:A,Inventario6!A:A))))),
    _xlpm.invCalidad, IF(B121=1,Inventario1!B:B,IF(B121=2,Inventario2!B:B,IF(B121=3,Inventario3!B:B,IF(B121=4,Inventario4!B:B,IF(B121=5,Inventario5!B:B,Inventario6!B:B))))),
    _xlpm.invTipos, IF(B121=1,Inventario1!C:C,IF(B121=2,Inventario2!C:C,IF(B121=3,Inventario3!C:C,IF(B121=4,Inventario4!C:C,IF(B121=5,Inventario5!C:C,Inventario6!C:C))))),
    _xlpm.invStats, IF(B121=1,Inventario1!D:H,IF(B121=2,Inventario2!D:H,IF(B121=3,Inventario3!D:H,IF(B121=4,Inventario4!D:H,IF(B121=5,Inventario5!D:H,Inventario6!D:H))))),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IF(ROW(A121)=2,"",IF(_xlfn._xlws.FILTER(Equipar!AC$2:AC120,Equipar!B$2:B120=B121)={0},"",_xlfn._xlws.FILTER(Equipar!AC$2:AC120,Equipar!B$2:B120=B121))),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159</v>
      </c>
      <c r="E121" s="17" cm="1">
        <f t="array" ref="E121">_xlfn.LET(
    _xlpm.jugador, A121,
    _xlpm.idSel, AC121,
    _xlpm.invIDs, IF(B121=1,Inventario1!A:A,IF(B121=2,Inventario2!A:A,IF(B121=3,Inventario3!A:A,IF(B121=4,Inventario4!A:A,IF(B121=5,Inventario5!A:A,Inventario6!A:A))))),
    _xlpm.invCalidad, IF(B121=1,Inventario1!B:B,IF(B121=2,Inventario2!B:B,IF(B121=3,Inventario3!B:B,IF(B121=4,Inventario4!B:B,IF(B121=5,Inventario5!B:B,Inventario6!B:B))))),
    _xlpm.invTipos, IF(B121=1,Inventario1!C:C,IF(B121=2,Inventario2!C:C,IF(B121=3,Inventario3!C:C,IF(B121=4,Inventario4!C:C,IF(B121=5,Inventario5!C:C,Inventario6!C:C))))),
    _xlpm.invStats, IF(B121=1,Inventario1!D:H,IF(B121=2,Inventario2!D:H,IF(B121=3,Inventario3!D:H,IF(B121=4,Inventario4!D:H,IF(B121=5,Inventario5!D:H,Inventario6!D:H))))),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IF(ROW(A121)=2,"",IF(_xlfn._xlws.FILTER(Equipar!AC$2:AC120,Equipar!B$2:B120=B121)={0},"",_xlfn._xlws.FILTER(Equipar!AC$2:AC120,Equipar!B$2:B120=B121))),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254</v>
      </c>
      <c r="F121" s="17" t="str" cm="1">
        <f t="array" aca="1" ref="F121" ca="1">_xlfn.LET(
    _xlpm.jugador, B121,
    _xlpm.idSel, AD121,
    _xlpm.invIDs, IF(C121=1,Inventario1!B:B,IF(C121=2,Inventario2!B:B,IF(C121=3,Inventario3!B:B,IF(C121=4,Inventario4!B:B,IF(C121=5,Inventario5!B:B,Inventario6!B:B))))),
    _xlpm.invCalidad, IF(C121=1,Inventario1!C:C,IF(C121=2,Inventario2!C:C,IF(C121=3,Inventario3!C:C,IF(C121=4,Inventario4!C:C,IF(C121=5,Inventario5!C:C,Inventario6!C:C))))),
    _xlpm.invTipos, IF(C121=1,Inventario1!D:D,IF(C121=2,Inventario2!D:D,IF(C121=3,Inventario3!D:D,IF(C121=4,Inventario4!D:D,IF(C121=5,Inventario5!D:D,Inventario6!D:D))))),
    _xlpm.invStats, IF(C121=1,Inventario1!E:I,IF(C121=2,Inventario2!E:I,IF(C121=3,Inventario3!E:I,IF(C121=4,Inventario4!E:I,IF(C121=5,Inventario5!E:I,Inventario6!E:I))))),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IF(ROW(B121)=2,"",IF(_xlfn._xlws.FILTER(Equipar!AD$2:AD120,Equipar!C$2:C120=C121)={0},"",_xlfn._xlws.FILTER(Equipar!AD$2:AD120,Equipar!C$2:C120=C121))),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_xlpm.MAXpuntajes, IFERROR(MAX(_xlpm.puntajesDisponibles), 0),
    IFERROR(INDEX(_xlpm.idsDisponibles,MATCH(_xlpm.MAXpuntajes, _xlpm.puntajesDisponibles, 0)),"No hay")
)</f>
        <v>No hay</v>
      </c>
      <c r="G121" s="18" cm="1">
        <f t="array" aca="1" ref="G121" ca="1">_xlfn.LET(
    _xlpm.jugador, A121,
    _xlpm.idSel, AC121,
    _xlpm.invIDs, IF(B121=1,Inventario1!A:A,IF(B121=2,Inventario2!A:A,IF(B121=3,Inventario3!A:A,IF(B121=4,Inventario4!A:A,IF(B121=5,Inventario5!A:A,Inventario6!A:A))))),
    _xlpm.invCalidad, IF(B121=1,Inventario1!B:B,IF(B121=2,Inventario2!B:B,IF(B121=3,Inventario3!B:B,IF(B121=4,Inventario4!B:B,IF(B121=5,Inventario5!B:B,Inventario6!B:B))))),
    _xlpm.invTipos, IF(B121=1,Inventario1!C:C,IF(B121=2,Inventario2!C:C,IF(B121=3,Inventario3!C:C,IF(B121=4,Inventario4!C:C,IF(B121=5,Inventario5!C:C,Inventario6!C:C))))),
    _xlpm.invStats, IF(B121=1,Inventario1!D:H,IF(B121=2,Inventario2!D:H,IF(B121=3,Inventario3!D:H,IF(B121=4,Inventario4!D:H,IF(B121=5,Inventario5!D:H,Inventario6!D:H))))),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1,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IF(ROW(A121)=2,"",IF(_xlfn._xlws.FILTER(Equipar!AC$2:AC120,Equipar!B$2:B120=B121)={0},"",_xlfn._xlws.FILTER(Equipar!AC$2:AC120,Equipar!B$2:B120=B121))),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83.79</v>
      </c>
      <c r="H121" s="17" cm="1">
        <f t="array" ref="H121">_xlfn.LET(
    _xlpm.jugador, A121,
    _xlpm.idSel, AC121,
    _xlpm.invIDs, IF(B121=1,Inventario1!A:A,IF(B121=2,Inventario2!A:A,IF(B121=3,Inventario3!A:A,IF(B121=4,Inventario4!A:A,IF(B121=5,Inventario5!A:A,Inventario6!A:A))))),
    _xlpm.invCalidad, IF(B121=1,Inventario1!B:B,IF(B121=2,Inventario2!B:B,IF(B121=3,Inventario3!B:B,IF(B121=4,Inventario4!B:B,IF(B121=5,Inventario5!B:B,Inventario6!B:B))))),
    _xlpm.invTipos, IF(B121=1,Inventario1!C:C,IF(B121=2,Inventario2!C:C,IF(B121=3,Inventario3!C:C,IF(B121=4,Inventario4!C:C,IF(B121=5,Inventario5!C:C,Inventario6!C:C))))),
    _xlpm.invStats, IF(B121=1,Inventario1!D:H,IF(B121=2,Inventario2!D:H,IF(B121=3,Inventario3!D:H,IF(B121=4,Inventario4!D:H,IF(B121=5,Inventario5!D:H,Inventario6!D:H))))),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2,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IF(ROW(A121)=2,"",IF(_xlfn._xlws.FILTER(Equipar!AC$2:AC120,Equipar!B$2:B120=B121)={0},"",_xlfn._xlws.FILTER(Equipar!AC$2:AC120,Equipar!B$2:B120=B121))),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99</v>
      </c>
      <c r="I121" s="17" cm="1">
        <f t="array" ref="I121">_xlfn.LET(
    _xlpm.jugador, A121,
    _xlpm.idSel, AC121,
    _xlpm.invIDs, IF(B121=1,Inventario1!A:A,IF(B121=2,Inventario2!A:A,IF(B121=3,Inventario3!A:A,IF(B121=4,Inventario4!A:A,IF(B121=5,Inventario5!A:A,Inventario6!A:A))))),
    _xlpm.invCalidad, IF(B121=1,Inventario1!B:B,IF(B121=2,Inventario2!B:B,IF(B121=3,Inventario3!B:B,IF(B121=4,Inventario4!B:B,IF(B121=5,Inventario5!B:B,Inventario6!B:B))))),
    _xlpm.invTipos, IF(B121=1,Inventario1!C:C,IF(B121=2,Inventario2!C:C,IF(B121=3,Inventario3!C:C,IF(B121=4,Inventario4!C:C,IF(B121=5,Inventario5!C:C,Inventario6!C:C))))),
    _xlpm.invStats, IF(B121=1,Inventario1!D:H,IF(B121=2,Inventario2!D:H,IF(B121=3,Inventario3!D:H,IF(B121=4,Inventario4!D:H,IF(B121=5,Inventario5!D:H,Inventario6!D:H))))),
    _xlpm.statsRecJug, _xlfn._xlws.FILTER('Stats recomendados'!C:C, 'Stats recomendados'!A:A=_xlpm.jugador),
    _xlpm.puntosRecJug, _xlfn._xlws.FILTER('Stats recomendados'!B:B, 'Stats recomendados'!A:A=_xlpm.jugador),
    _xlpm.tipos, _xlfn._xlws.FILTER('Set recomendado'!B:B, 'Set recomendado'!A:A=_xlpm.jugador),
    _xlpm.prioridad, 3,
    _xlpm.tipoSel, INDEX(
    _xlfn._xlws.FILTER('Set recomendado'!B:B, 'Set recomendado'!A:A=_xlpm.jugador),
    MATCH(_xlpm.prioridad, _xlfn._xlws.FILTER('Set recomendado'!C:C, 'Set recomendado'!A:A=_xlpm.jugador), 0)
),
    _xlpm.posID, IFERROR(MATCH(_xlpm.idSel, _xlpm.invIDs, 0), 0),
    _xlpm.pesos, {5;1;1;1;1},
    _xlpm.usados, IF(ROW(A121)=2,"",IF(_xlfn._xlws.FILTER(Equipar!AC$2:AC120,Equipar!B$2:B120=B121)={0},"",_xlfn._xlws.FILTER(Equipar!AC$2:AC120,Equipar!B$2:B120=B121))),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35.910000000000004</v>
      </c>
      <c r="J121" s="17" cm="1">
        <f t="array" aca="1" ref="J121" ca="1">_xlfn.LET(
    _xlpm.jugador, B121,
    _xlpm.idSel, AD121,
    _xlpm.invIDs, IF(C121=1,Inventario1!B:B,IF(C121=2,Inventario2!B:B,IF(C121=3,Inventario3!B:B,IF(C121=4,Inventario4!B:B,IF(C121=5,Inventario5!B:B,Inventario6!B:B))))),
    _xlpm.invCalidad, IF(C121=1,Inventario1!C:C,IF(C121=2,Inventario2!C:C,IF(C121=3,Inventario3!C:C,IF(C121=4,Inventario4!C:C,IF(C121=5,Inventario5!C:C,Inventario6!C:C))))),
    _xlpm.invTipos, IF(C121=1,Inventario1!D:D,IF(C121=2,Inventario2!D:D,IF(C121=3,Inventario3!D:D,IF(C121=4,Inventario4!D:D,IF(C121=5,Inventario5!D:D,Inventario6!D:D))))),
    _xlpm.invStats, IF(C121=1,Inventario1!E:I,IF(C121=2,Inventario2!E:I,IF(C121=3,Inventario3!E:I,IF(C121=4,Inventario4!E:I,IF(C121=5,Inventario5!E:I,Inventario6!E:I))))),
    _xlpm.statsRecJug, _xlfn._xlws.FILTER('Stats recomendados'!D:D, 'Stats recomendados'!B:B=_xlpm.jugador),
    _xlpm.puntosRecJug, _xlfn._xlws.FILTER('Stats recomendados'!C:C, 'Stats recomendados'!B:B=_xlpm.jugador),
    _xlpm.tipos, _xlfn._xlws.FILTER('Set recomendado'!C:C, 'Set recomendado'!B:B=_xlpm.jugador),
    _xlpm.prioridad, 4,
    _xlpm.tipoSel, INDEX(
    _xlfn._xlws.FILTER('Set recomendado'!C:C, 'Set recomendado'!B:B=_xlpm.jugador),
    MATCH(_xlpm.prioridad, _xlfn._xlws.FILTER('Set recomendado'!D:D, 'Set recomendado'!B:B=_xlpm.jugador), 0)
),
    _xlpm.posID, IFERROR(MATCH(_xlpm.idSel, _xlpm.invIDs, 0), 0),
    _xlpm.pesos, {5;1;1;1;1},
    _xlpm.usados, IF(ROW(B121)=2,"",IF(_xlfn._xlws.FILTER(Equipar!AD$2:AD120,Equipar!C$2:C120=C121)={0},"",_xlfn._xlws.FILTER(Equipar!AD$2:AD120,Equipar!C$2:C120=C121))),
    _xlpm.usadoAntes, IF(OR(_xlpm.idSel="", _xlpm.posID=0), FALSE, COUNTIF(_xlpm.usados, _xlpm.idSel) &gt; 0),
    _xlpm.puntajeSel, IF(OR(_xlpm.usadoAntes,_xlpm.posID=0), NA(), SUM(_xlpm.pesos * _xlfn.XLOOKUP(INDEX(_xlpm.invStats, _xlpm.posID), _xlpm.statsRecJug, _xlpm.puntosRecJug, 0))),
    _xlpm.itemsTipoIDs, _xlfn._xlws.FILTER(_xlpm.invIDs, _xlpm.invTipos = _xlpm.tipoSel),
    _xlpm.statsItemsTipo, _xlfn._xlws.FILTER(_xlpm.invStats, _xlpm.invTipos = _xlpm.tipoSel),
    _xlpm.calidadItemsTipo, _xlfn._xlws.FILTER(_xlpm.invCalidad, _xlpm.invTipos = _xlpm.tipoSel),
    _xlpm.disponiblesMask, NOT(ISNUMBER(MATCH(_xlpm.itemsTipoIDs,_xlpm.usados, 0))),
    _xlpm.idsDisponibles, _xlfn._xlws.FILTER(_xlpm.itemsTipoIDs, _xlpm.disponiblesMask, ""),
    _xlpm.statsDisponibles, _xlfn._xlws.FILTER(_xlpm.statsItemsTipo, _xlpm.disponiblesMask, ""),
    _xlpm.calidadDisponibles, _xlfn._xlws.FILTER(_xlpm.calidadItemsTipo, _xlpm.disponiblesMask, ""),
    _xlpm.puntajesBase, IF(
        ISBLANK(_xlpm.idsDisponibles),
        {0},
        _xlfn.BYROW(_xlpm.statsDisponibles, _xlfn.LAMBDA(_xlpm.fila, SUM(_xlpm.pesos * _xlfn.XLOOKUP(_xlpm.fila, _xlpm.statsRecJug, _xlpm.puntosRecJug, 0))))
    ),
    _xlpm.puntajesDisponibles,
    _xlfn.MAP(
        _xlpm.puntajesBase,
        _xlpm.calidadDisponibles,
        _xlfn.LAMBDA(_xlpm.puntaje,_xlpm.calidad,
            _xlpm.puntaje * IF(_xlpm.calidad="Legendario", 1.33, 1)
        )
    ),
    IFERROR(MAX(_xlpm.puntajesDisponibles), 0)
)</f>
        <v>0</v>
      </c>
      <c r="K121" s="17">
        <f t="shared" ca="1" si="8"/>
        <v>-15.209999999999994</v>
      </c>
      <c r="L121" s="17">
        <f t="shared" ca="1" si="9"/>
        <v>47.88</v>
      </c>
      <c r="M121" s="17">
        <f t="shared" ca="1" si="9"/>
        <v>99</v>
      </c>
      <c r="N121" s="17">
        <f t="shared" si="10"/>
        <v>63.089999999999996</v>
      </c>
      <c r="O121" s="17">
        <f t="shared" ca="1" si="10"/>
        <v>35.910000000000004</v>
      </c>
      <c r="P121" s="18" cm="1">
        <f t="array" aca="1" ref="P121" ca="1">_xlfn.LET(
    _xlpm.ptsPrinBase, _xlfn._xlws.FILTER(G:G, A:A=A121),
    _xlpm.ptsSecBase,  _xlfn._xlws.FILTER(H:H, A:A=A121),
    _xlpm.puntosPrin, _xlpm.ptsPrinBase + _xlfn._xlws.FILTER(B:B, A:A=A121)/1000,
    _xlpm.puntosSec,  _xlpm.ptsSecBase  + _xlfn._xlws.FILTER(B:B, A:A=A121)/1000,
    _xlpm.puntosPrinValidos, SUM(--(_xlpm.ptsPrinBase&gt;0)),
    _xlpm.puntosSecValidos,  SUM(--(_xlpm.ptsSecBase&gt;0)),
    _xlpm.clave, K121 + B121/1000,
    _xlpm.claves, _xlfn._xlws.FILTER(K:K + B:B/1000, A:A=A121),
    IF(AND(_xlpm.puntosPrinValidos&gt;=4,_xlpm.puntosSecValidos&gt;=2),IF(
        SUM(--(_xlpm.claves &gt; _xlpm.clave)) &lt; 4,
        C121,
        D121
    ),"No disp")
)</f>
        <v>159</v>
      </c>
      <c r="Q121" s="18" cm="1">
        <f t="array" aca="1" ref="Q121" ca="1">_xlfn.LET(
    _xlpm.puntosPrin, _xlfn._xlws.FILTER(G:G + B:B/1000, A:A=A121),
    _xlpm.puntosPrinValidos, SUM(--(_xlpm.puntosPrin&gt;1)),
    _xlpm.puntosTer, _xlfn._xlws.FILTER(I:I + B:B/1000, A:A=A121),
    _xlpm.puntosTerValidos, SUM(--(_xlpm.puntosTer&gt;1)),
    _xlpm.clave, L121 + B121/1000,
    _xlpm.claves, _xlfn._xlws.FILTER(L:L + B:B/1000, A:A=A121),
    IF(AND(_xlpm.puntosPrinValidos&gt;=4,_xlpm.puntosTerValidos&gt;=2),IF(
        SUM(--(_xlpm.claves &gt; _xlpm.clave)) &lt; 4,
        C121,
        E121
    ),"No disp")
)</f>
        <v>3</v>
      </c>
      <c r="R121" s="18" t="str" cm="1">
        <f t="array" aca="1" ref="R121" ca="1">_xlfn.LET(
    _xlpm.puntosPrin, _xlfn._xlws.FILTER(G:G + B:B/1000, A:A=A121),
    _xlpm.puntosPrinValidos, SUM(--(_xlpm.puntosPrin&gt;1)),
    _xlpm.puntosTer, _xlfn._xlws.FILTER(J:J + B:B/1000, A:A=A121),
    _xlpm.puntosTerValidos, SUM(--(_xlpm.puntosTer&gt;1)),
    _xlpm.clave, M121 + B121/1000,
    _xlpm.claves, _xlfn._xlws.FILTER(M:M + B:B/1000, A:A=A121),
    IF(AND(_xlpm.puntosPrinValidos&gt;=4,_xlpm.puntosTerValidos&gt;=2),IF(
        SUM(--(_xlpm.claves &gt; _xlpm.clave)) &lt; 4,
        C121,
        F121
    ),"No disp")
)</f>
        <v>No disp</v>
      </c>
      <c r="S121" s="18" cm="1">
        <f t="array" aca="1" ref="S121" ca="1">_xlfn.LET(
    _xlpm.ptsPrinBase, _xlfn._xlws.FILTER(G:G, A:A=A121),
    _xlpm.ptsSecBase,  _xlfn._xlws.FILTER(H:H, A:A=A121),
    _xlpm.puntosPrin, _xlpm.ptsPrinBase + _xlfn._xlws.FILTER(B:B, A:A=A121)/1000,
    _xlpm.puntosSec,  _xlpm.ptsSecBase  + _xlfn._xlws.FILTER(B:B, A:A=A121)/1000,
    _xlpm.puntosPrinValidos, SUM(--(_xlpm.ptsPrinBase&gt;0)),
    _xlpm.puntosSecValidos,  SUM(--(_xlpm.ptsSecBase&gt;0)),
    _xlpm.clave, K121 + B121/1000,
    _xlpm.claves, _xlfn._xlws.FILTER(K:K + B:B/1000, A:A=A121),
    IF(
        AND(_xlpm.puntosPrinValidos&gt;=2, _xlpm.puntosSecValidos&gt;=4),
        IF(
            SUM(--(_xlpm.claves &lt; _xlpm.clave)) &lt; 4,
            D121,
            C121
        ),
        "No disp"
    )
)</f>
        <v>159</v>
      </c>
      <c r="T121" s="18" cm="1">
        <f t="array" ref="T121">_xlfn.LET(
    _xlpm.puntosSec, _xlfn._xlws.FILTER(H:H + B:B/1000, A:A=A121),
    _xlpm.puntosSecValidos, SUM(--(_xlpm.puntosSec&gt;1)),
    _xlpm.puntosAlt, _xlfn._xlws.FILTER(I:I + B:B/1000, A:A=A121),
    _xlpm.puntosAltValidos, SUM(--(_xlpm.puntosAlt&gt;1)),
    _xlpm.clave, N121 + B121/1000,
    _xlpm.claves, _xlfn._xlws.FILTER(N:N + B:B/1000, A:A=A121),
    IF(AND(_xlpm.puntosSecValidos&gt;=4,_xlpm.puntosAltValidos&gt;=2),IF(
        SUM(--(_xlpm.claves &gt; _xlpm.clave)) &lt; 4,
        D121,
        E121
    ),"No disp")
)</f>
        <v>159</v>
      </c>
      <c r="U121" s="18" t="str" cm="1">
        <f t="array" aca="1" ref="U121" ca="1">_xlfn.LET(
    _xlpm.puntosSec, _xlfn._xlws.FILTER(H:H + B:B/1000, A:A=A121),
    _xlpm.puntosSecValidos, SUM(--(_xlpm.puntosSec&gt;1)),
    _xlpm.puntosAlt, _xlfn._xlws.FILTER(J:J + B:B/1000, A:A=A121),
    _xlpm.puntosAltValidos, SUM(--(_xlpm.puntosAlt&gt;1)),
    _xlpm.clave, O121 + B121/1000,
    _xlpm.claves, _xlfn._xlws.FILTER(O:O + B:B/1000, A:A=A121),
    IF(AND(_xlpm.puntosSecValidos&gt;=4,_xlpm.puntosAltValidos&gt;=2),IF(
        SUM(--(_xlpm.claves &gt; _xlpm.clave)) &lt; 4,
        D121,
        F121
    ),"No disp")
)</f>
        <v>No disp</v>
      </c>
      <c r="V121" s="17" cm="1">
        <f t="array" aca="1" ref="V121" ca="1">_xlfn.LET(
_xlpm.PrinIDs,_xlfn._xlws.FILTER(C:C,(A:A=A121)),
_xlpm.SecIDs,_xlfn._xlws.FILTER(D:D,(A:A=A121)),
_xlpm.TerIDs,_xlfn._xlws.FILTER(E:E,A:A=A121),
_xlpm.CuaIDs,_xlfn._xlws.FILTER(F:F,(A:A=A121)),
_xlpm.PrinPts,_xlfn._xlws.FILTER(G:G,(A:A=A121)),
_xlpm.SecPts,_xlfn._xlws.FILTER(H:H,(A:A=A121)),
_xlpm.TerPts,_xlfn._xlws.FILTER(I:I,(A:A=A121)),
_xlpm.CuaPts,_xlfn._xlws.FILTER(J:J,(A:A=A121)),
_xlpm.PSIds,_xlfn._xlws.FILTER(P:P,A:A=A121),
IF(AND(
AND(INDEX(_xlpm.PSIds,1)&lt;&gt;"No hay",INDEX(_xlpm.PSIds,1)&lt;&gt;"No disp"),
AND(INDEX(_xlpm.PSIds,2)&lt;&gt;"No hay",INDEX(_xlpm.PSIds,2)&lt;&gt;"No disp"),
AND(INDEX(_xlpm.PSIds,3)&lt;&gt;"No hay",INDEX(_xlpm.PSIds,3)&lt;&gt;"No disp"),
AND(INDEX(_xlpm.PSIds,4)&lt;&gt;"No hay",INDEX(_xlpm.PSIds,4)&lt;&gt;"No disp"),
AND(INDEX(_xlpm.PSIds,5)&lt;&gt;"No hay",INDEX(_xlpm.PSIds,5)&lt;&gt;"No disp"),
AND(INDEX(_xlpm.PSIds,6)&lt;&gt;"No hay",INDEX(_xlpm.PSIds,6)&lt;&gt;"No disp")),
IF(INDEX(_xlpm.PSIds,1)=INDEX(_xlpm.PrinIDs,1),INDEX(_xlpm.PrinPts,1),IF(INDEX(_xlpm.PSIds,1)=INDEX(_xlpm.SecIDs,1),INDEX(_xlpm.SecPts,1),IF(INDEX(_xlpm.PSIds,1)=INDEX(_xlpm.TerIDs,1),INDEX(_xlpm.TerPts,1),IF(INDEX(_xlpm.PSIds,1)=INDEX(_xlpm.CuaIDs,1),INDEX(_xlpm.CuaPts,1),"Error"))))+
IF(INDEX(_xlpm.PSIds,2)=INDEX(_xlpm.PrinIDs,2),INDEX(_xlpm.PrinPts,2),IF(INDEX(_xlpm.PSIds,2)=INDEX(_xlpm.SecIDs,2),INDEX(_xlpm.SecPts,2),IF(INDEX(_xlpm.PSIds,2)=INDEX(_xlpm.TerIDs,2),INDEX(_xlpm.TerPts,2),IF(INDEX(_xlpm.PSIds,2)=INDEX(_xlpm.CuaIDs,2),INDEX(_xlpm.CuaPts,2),"Error"))))+
IF(INDEX(_xlpm.PSIds,3)=INDEX(_xlpm.PrinIDs,3),INDEX(_xlpm.PrinPts,3),IF(INDEX(_xlpm.PSIds,3)=INDEX(_xlpm.SecIDs,3),INDEX(_xlpm.SecPts,3),IF(INDEX(_xlpm.PSIds,3)=INDEX(_xlpm.TerIDs,3),INDEX(_xlpm.TerPts,3),IF(INDEX(_xlpm.PSIds,3)=INDEX(_xlpm.CuaIDs,3),INDEX(_xlpm.CuaPts,3),"Error"))))+
IF(INDEX(_xlpm.PSIds,4)=INDEX(_xlpm.PrinIDs,4),INDEX(_xlpm.PrinPts,4),IF(INDEX(_xlpm.PSIds,4)=INDEX(_xlpm.SecIDs,4),INDEX(_xlpm.SecPts,4),IF(INDEX(_xlpm.PSIds,4)=INDEX(_xlpm.TerIDs,4),INDEX(_xlpm.TerPts,4),IF(INDEX(_xlpm.PSIds,4)=INDEX(_xlpm.CuaIDs,4),INDEX(_xlpm.CuaPts,4),"Error"))))+
IF(INDEX(_xlpm.PSIds,5)=INDEX(_xlpm.PrinIDs,5),INDEX(_xlpm.PrinPts,5),IF(INDEX(_xlpm.PSIds,5)=INDEX(_xlpm.SecIDs,5),INDEX(_xlpm.SecPts,5),IF(INDEX(_xlpm.PSIds,5)=INDEX(_xlpm.TerIDs,5),INDEX(_xlpm.TerPts,5),IF(INDEX(_xlpm.PSIds,5)=INDEX(_xlpm.CuaIDs,5),INDEX(_xlpm.CuaPts,5),"Error"))))+
IF(INDEX(_xlpm.PSIds,6)=INDEX(_xlpm.PrinIDs,6),INDEX(_xlpm.PrinPts,6),IF(INDEX(_xlpm.PSIds,6)=INDEX(_xlpm.SecIDs,6),INDEX(_xlpm.SecPts,6),IF(INDEX(_xlpm.PSIds,6)=INDEX(_xlpm.TerIDs,6),INDEX(_xlpm.TerPts,6),IF(INDEX(_xlpm.PSIds,6)=INDEX(_xlpm.CuaIDs,6),INDEX(_xlpm.CuaPts,6),"Error")))),0)
)</f>
        <v>479.79</v>
      </c>
      <c r="W121" s="17" cm="1">
        <f t="array" aca="1" ref="W121" ca="1">_xlfn.LET(
_xlpm.PrinIDs,_xlfn._xlws.FILTER(C:C,(A:A=A121)),
_xlpm.SecIDs,_xlfn._xlws.FILTER(D:D,(A:A=A121)),
_xlpm.TerIDs,_xlfn._xlws.FILTER(E:E,A:A=A121),
_xlpm.CuaIDs,_xlfn._xlws.FILTER(F:F,(A:A=A121)),
_xlpm.PrinPts,_xlfn._xlws.FILTER(G:G,(A:A=A121)),
_xlpm.SecPts,_xlfn._xlws.FILTER(H:H,(A:A=A121)),
_xlpm.TerPts,_xlfn._xlws.FILTER(I:I,(A:A=A121)),
_xlpm.CuaPts,_xlfn._xlws.FILTER(J:J,(A:A=A121)),
_xlpm.PTIds,_xlfn._xlws.FILTER(Q:Q,A:A=A121),
IF(AND(
AND(INDEX(_xlpm.PTIds,1)&lt;&gt;"No hay",INDEX(_xlpm.PTIds,1)&lt;&gt;"No disp"),
AND(INDEX(_xlpm.PTIds,2)&lt;&gt;"No hay",INDEX(_xlpm.PTIds,2)&lt;&gt;"No disp"),
AND(INDEX(_xlpm.PTIds,3)&lt;&gt;"No hay",INDEX(_xlpm.PTIds,3)&lt;&gt;"No disp"),
AND(INDEX(_xlpm.PTIds,4)&lt;&gt;"No hay",INDEX(_xlpm.PTIds,4)&lt;&gt;"No disp"),
AND(INDEX(_xlpm.PTIds,5)&lt;&gt;"No hay",INDEX(_xlpm.PTIds,5)&lt;&gt;"No disp"),
AND(INDEX(_xlpm.PTIds,6)&lt;&gt;"No hay",INDEX(_xlpm.PTIds,6)&lt;&gt;"No disp")),
IF(INDEX(_xlpm.PTIds,1)=INDEX(_xlpm.PrinIDs,1),INDEX(_xlpm.PrinPts,1),IF(INDEX(_xlpm.PTIds,1)=INDEX(_xlpm.SecIDs,1),INDEX(_xlpm.SecPts,1),IF(INDEX(_xlpm.PTIds,1)=INDEX(_xlpm.TerIDs,1),INDEX(_xlpm.TerPts,1),IF(INDEX(_xlpm.PTIds,1)=INDEX(_xlpm.CuaIDs,1),INDEX(_xlpm.CuaPts,1),"Error"))))+
IF(INDEX(_xlpm.PTIds,2)=INDEX(_xlpm.PrinIDs,2),INDEX(_xlpm.PrinPts,2),IF(INDEX(_xlpm.PTIds,2)=INDEX(_xlpm.SecIDs,2),INDEX(_xlpm.SecPts,2),IF(INDEX(_xlpm.PTIds,2)=INDEX(_xlpm.TerIDs,2),INDEX(_xlpm.TerPts,2),IF(INDEX(_xlpm.PTIds,2)=INDEX(_xlpm.CuaIDs,2),INDEX(_xlpm.CuaPts,2),"Error"))))+
IF(INDEX(_xlpm.PTIds,3)=INDEX(_xlpm.PrinIDs,3),INDEX(_xlpm.PrinPts,3),IF(INDEX(_xlpm.PTIds,3)=INDEX(_xlpm.SecIDs,3),INDEX(_xlpm.SecPts,3),IF(INDEX(_xlpm.PTIds,3)=INDEX(_xlpm.TerIDs,3),INDEX(_xlpm.TerPts,3),IF(INDEX(_xlpm.PTIds,3)=INDEX(_xlpm.CuaIDs,3),INDEX(_xlpm.CuaPts,3),"Error"))))+
IF(INDEX(_xlpm.PTIds,4)=INDEX(_xlpm.PrinIDs,4),INDEX(_xlpm.PrinPts,4),IF(INDEX(_xlpm.PTIds,4)=INDEX(_xlpm.SecIDs,4),INDEX(_xlpm.SecPts,4),IF(INDEX(_xlpm.PTIds,4)=INDEX(_xlpm.TerIDs,4),INDEX(_xlpm.TerPts,4),IF(INDEX(_xlpm.PTIds,4)=INDEX(_xlpm.CuaIDs,4),INDEX(_xlpm.CuaPts,4),"Error"))))+
IF(INDEX(_xlpm.PTIds,5)=INDEX(_xlpm.PrinIDs,5),INDEX(_xlpm.PrinPts,5),IF(INDEX(_xlpm.PTIds,5)=INDEX(_xlpm.SecIDs,5),INDEX(_xlpm.SecPts,5),IF(INDEX(_xlpm.PTIds,5)=INDEX(_xlpm.TerIDs,5),INDEX(_xlpm.TerPts,5),IF(INDEX(_xlpm.PTIds,5)=INDEX(_xlpm.CuaIDs,5),INDEX(_xlpm.CuaPts,5),"Error"))))+
IF(INDEX(_xlpm.PTIds,6)=INDEX(_xlpm.PrinIDs,6),INDEX(_xlpm.PrinPts,6),IF(INDEX(_xlpm.PTIds,6)=INDEX(_xlpm.SecIDs,6),INDEX(_xlpm.SecPts,6),IF(INDEX(_xlpm.PTIds,6)=INDEX(_xlpm.TerIDs,6),INDEX(_xlpm.TerPts,6),IF(INDEX(_xlpm.PTIds,6)=INDEX(_xlpm.CuaIDs,6),INDEX(_xlpm.CuaPts,6),"Error")))),0)
)</f>
        <v>518.04000000000008</v>
      </c>
      <c r="X121" s="17" cm="1">
        <f t="array" aca="1" ref="X121" ca="1">_xlfn.LET(
_xlpm.PrinIDs,_xlfn._xlws.FILTER(C:C,(A:A=A121)),
_xlpm.SecIDs,_xlfn._xlws.FILTER(D:D,(A:A=A121)),
_xlpm.TerIDs,_xlfn._xlws.FILTER(E:E,A:A=A121),
_xlpm.CuaIDs,_xlfn._xlws.FILTER(F:F,(A:A=A121)),
_xlpm.PrinPts,_xlfn._xlws.FILTER(G:G,(A:A=A121)),
_xlpm.SecPts,_xlfn._xlws.FILTER(H:H,(A:A=A121)),
_xlpm.TerPts,_xlfn._xlws.FILTER(I:I,(A:A=A121)),
_xlpm.CuaPts,_xlfn._xlws.FILTER(J:J,(A:A=A121)),
_xlpm.PCIds,_xlfn._xlws.FILTER(R:R,A:A=A121),
IF(AND(
AND(INDEX(_xlpm.PCIds,1)&lt;&gt;"No hay",INDEX(_xlpm.PCIds,1)&lt;&gt;"No disp"),
AND(INDEX(_xlpm.PCIds,2)&lt;&gt;"No hay",INDEX(_xlpm.PCIds,2)&lt;&gt;"No disp"),
AND(INDEX(_xlpm.PCIds,3)&lt;&gt;"No hay",INDEX(_xlpm.PCIds,3)&lt;&gt;"No disp"),
AND(INDEX(_xlpm.PCIds,4)&lt;&gt;"No hay",INDEX(_xlpm.PCIds,4)&lt;&gt;"No disp"),
AND(INDEX(_xlpm.PCIds,5)&lt;&gt;"No hay",INDEX(_xlpm.PCIds,5)&lt;&gt;"No disp"),
AND(INDEX(_xlpm.PCIds,6)&lt;&gt;"No hay",INDEX(_xlpm.PCIds,6)&lt;&gt;"No disp")),
IF(INDEX(_xlpm.PCIds,1)=INDEX(_xlpm.PrinIDs,1),INDEX(_xlpm.PrinPts,1),IF(INDEX(_xlpm.PCIds,1)=INDEX(_xlpm.SecIDs,1),INDEX(_xlpm.SecPts,1),IF(INDEX(_xlpm.PCIds,1)=INDEX(_xlpm.TerIDs,1),INDEX(_xlpm.TerPts,1),IF(INDEX(_xlpm.PCIds,1)=INDEX(_xlpm.CuaIDs,1),INDEX(_xlpm.CuaPts,1),"Error"))))+
IF(INDEX(_xlpm.PCIds,2)=INDEX(_xlpm.PrinIDs,2),INDEX(_xlpm.PrinPts,2),IF(INDEX(_xlpm.PCIds,2)=INDEX(_xlpm.SecIDs,2),INDEX(_xlpm.SecPts,2),IF(INDEX(_xlpm.PCIds,2)=INDEX(_xlpm.TerIDs,2),INDEX(_xlpm.TerPts,2),IF(INDEX(_xlpm.PCIds,2)=INDEX(_xlpm.CuaIDs,2),INDEX(_xlpm.CuaPts,2),"Error"))))+
IF(INDEX(_xlpm.PCIds,3)=INDEX(_xlpm.PrinIDs,3),INDEX(_xlpm.PrinPts,3),IF(INDEX(_xlpm.PCIds,3)=INDEX(_xlpm.SecIDs,3),INDEX(_xlpm.SecPts,3),IF(INDEX(_xlpm.PCIds,3)=INDEX(_xlpm.TerIDs,3),INDEX(_xlpm.TerPts,3),IF(INDEX(_xlpm.PCIds,3)=INDEX(_xlpm.CuaIDs,3),INDEX(_xlpm.CuaPts,3),"Error"))))+
IF(INDEX(_xlpm.PCIds,4)=INDEX(_xlpm.PrinIDs,4),INDEX(_xlpm.PrinPts,4),IF(INDEX(_xlpm.PCIds,4)=INDEX(_xlpm.SecIDs,4),INDEX(_xlpm.SecPts,4),IF(INDEX(_xlpm.PCIds,4)=INDEX(_xlpm.TerIDs,4),INDEX(_xlpm.TerPts,4),IF(INDEX(_xlpm.PCIds,4)=INDEX(_xlpm.CuaIDs,4),INDEX(_xlpm.CuaPts,4),"Error"))))+
IF(INDEX(_xlpm.PCIds,5)=INDEX(_xlpm.PrinIDs,5),INDEX(_xlpm.PrinPts,5),IF(INDEX(_xlpm.PCIds,5)=INDEX(_xlpm.SecIDs,5),INDEX(_xlpm.SecPts,5),IF(INDEX(_xlpm.PCIds,5)=INDEX(_xlpm.TerIDs,5),INDEX(_xlpm.TerPts,5),IF(INDEX(_xlpm.PCIds,5)=INDEX(_xlpm.CuaIDs,5),INDEX(_xlpm.CuaPts,5),"Error"))))+
IF(INDEX(_xlpm.PCIds,6)=INDEX(_xlpm.PrinIDs,6),INDEX(_xlpm.PrinPts,6),IF(INDEX(_xlpm.PCIds,6)=INDEX(_xlpm.SecIDs,6),INDEX(_xlpm.SecPts,6),IF(INDEX(_xlpm.PCIds,6)=INDEX(_xlpm.TerIDs,6),INDEX(_xlpm.TerPts,6),IF(INDEX(_xlpm.PCIds,6)=INDEX(_xlpm.CuaIDs,6),INDEX(_xlpm.CuaPts,6),"Error")))),0)
)</f>
        <v>0</v>
      </c>
      <c r="Y121" s="17" cm="1">
        <f t="array" aca="1" ref="Y121" ca="1">_xlfn.LET(
_xlpm.PrinIDs,_xlfn._xlws.FILTER(C:C,(A:A=A121)),
_xlpm.SecIDs,_xlfn._xlws.FILTER(D:D,(A:A=A121)),
_xlpm.AltIDs,_xlfn._xlws.FILTER(E:E,A:A=A121),
_xlpm.PrinPts,_xlfn._xlws.FILTER(G:G,(A:A=A121)),
_xlpm.SecPts,_xlfn._xlws.FILTER(H:H,(A:A=A121)),
_xlpm.AltPts,_xlfn._xlws.FILTER(I:I,(A:A=A121)),
_xlpm.SPIds,_xlfn._xlws.FILTER(S:S,A:A=A121),
IF(AND(
AND(INDEX(_xlpm.SPIds,1)&lt;&gt;"No hay",INDEX(_xlpm.SPIds,1)&lt;&gt;"No disp"),
AND(INDEX(_xlpm.SPIds,2)&lt;&gt;"No hay",INDEX(_xlpm.SPIds,2)&lt;&gt;"No disp"),
AND(INDEX(_xlpm.SPIds,3)&lt;&gt;"No hay",INDEX(_xlpm.SPIds,3)&lt;&gt;"No disp"),
AND(INDEX(_xlpm.SPIds,4)&lt;&gt;"No hay",INDEX(_xlpm.SPIds,4)&lt;&gt;"No disp"),
AND(INDEX(_xlpm.SPIds,5)&lt;&gt;"No hay",INDEX(_xlpm.SPIds,5)&lt;&gt;"No disp"),
AND(INDEX(_xlpm.SPIds,6)&lt;&gt;"No hay",INDEX(_xlpm.SPIds,6)&lt;&gt;"No disp")),
IF(INDEX(_xlpm.SPIds,1)=INDEX(_xlpm.PrinIDs,1),INDEX(_xlpm.PrinPts,1),IF(INDEX(_xlpm.SPIds,1)=INDEX(_xlpm.SecIDs,1),INDEX(_xlpm.SecPts,1),IF(INDEX(_xlpm.SPIds,1)=INDEX(_xlpm.AltIDs,1),INDEX(_xlpm.AltPts,1),"Error")))+
IF(INDEX(_xlpm.SPIds,2)=INDEX(_xlpm.PrinIDs,2),INDEX(_xlpm.PrinPts,2),IF(INDEX(_xlpm.SPIds,2)=INDEX(_xlpm.SecIDs,2),INDEX(_xlpm.SecPts,2),IF(INDEX(_xlpm.SPIds,2)=INDEX(_xlpm.AltIDs,2),INDEX(_xlpm.AltPts,2),"Error")))+
IF(INDEX(_xlpm.SPIds,3)=INDEX(_xlpm.PrinIDs,3),INDEX(_xlpm.PrinPts,3),IF(INDEX(_xlpm.SPIds,3)=INDEX(_xlpm.SecIDs,3),INDEX(_xlpm.SecPts,3),IF(INDEX(_xlpm.SPIds,3)=INDEX(_xlpm.AltIDs,3),INDEX(_xlpm.AltPts,3),"Error")))+
IF(INDEX(_xlpm.SPIds,4)=INDEX(_xlpm.PrinIDs,4),INDEX(_xlpm.PrinPts,4),IF(INDEX(_xlpm.SPIds,4)=INDEX(_xlpm.SecIDs,4),INDEX(_xlpm.SecPts,4),IF(INDEX(_xlpm.SPIds,4)=INDEX(_xlpm.AltIDs,4),INDEX(_xlpm.AltPts,4),"Error")))+
IF(INDEX(_xlpm.SPIds,5)=INDEX(_xlpm.PrinIDs,5),INDEX(_xlpm.PrinPts,5),IF(INDEX(_xlpm.SPIds,5)=INDEX(_xlpm.SecIDs,5),INDEX(_xlpm.SecPts,5),IF(INDEX(_xlpm.SPIds,5)=INDEX(_xlpm.AltIDs,5),INDEX(_xlpm.AltPts,5),"Error")))+
IF(INDEX(_xlpm.SPIds,6)=INDEX(_xlpm.PrinIDs,6),INDEX(_xlpm.PrinPts,6),IF(INDEX(_xlpm.SPIds,6)=INDEX(_xlpm.SecIDs,6),INDEX(_xlpm.SecPts,6),IF(INDEX(_xlpm.SPIds,6)=INDEX(_xlpm.AltIDs,6),INDEX(_xlpm.AltPts,6),"Error"))),0)
)</f>
        <v>488.79</v>
      </c>
      <c r="Z121" s="17" cm="1">
        <f t="array" aca="1" ref="Z121" ca="1">_xlfn.LET(
_xlpm.PrinIDs,_xlfn._xlws.FILTER(C:C,(A:A=A121)),
_xlpm.SecIDs,_xlfn._xlws.FILTER(D:D,(A:A=A121)),
_xlpm.TerIDs,_xlfn._xlws.FILTER(E:E,A:A=A121),
_xlpm.CuaIDs,_xlfn._xlws.FILTER(F:F,(A:A=A121)),
_xlpm.PrinPts,_xlfn._xlws.FILTER(G:G,(A:A=A121)),
_xlpm.SecPts,_xlfn._xlws.FILTER(H:H,(A:A=A121)),
_xlpm.TerPts,_xlfn._xlws.FILTER(I:I,(A:A=A121)),
_xlpm.CuaPts,_xlfn._xlws.FILTER(J:J,(A:A=A121)),
_xlpm.STIds,_xlfn._xlws.FILTER(T:T,A:A=A121),
IF(AND(
AND(INDEX(_xlpm.STIds,1)&lt;&gt;"No hay",INDEX(_xlpm.STIds,1)&lt;&gt;"No disp"),
AND(INDEX(_xlpm.STIds,2)&lt;&gt;"No hay",INDEX(_xlpm.STIds,2)&lt;&gt;"No disp"),
AND(INDEX(_xlpm.STIds,3)&lt;&gt;"No hay",INDEX(_xlpm.STIds,3)&lt;&gt;"No disp"),
AND(INDEX(_xlpm.STIds,4)&lt;&gt;"No hay",INDEX(_xlpm.STIds,4)&lt;&gt;"No disp"),
AND(INDEX(_xlpm.STIds,5)&lt;&gt;"No hay",INDEX(_xlpm.STIds,5)&lt;&gt;"No disp"),
AND(INDEX(_xlpm.STIds,6)&lt;&gt;"No hay",INDEX(_xlpm.STIds,6)&lt;&gt;"No disp")),
IF(INDEX(_xlpm.STIds,1)=INDEX(_xlpm.PrinIDs,1),INDEX(_xlpm.PrinPts,1),IF(INDEX(_xlpm.STIds,1)=INDEX(_xlpm.SecIDs,1),INDEX(_xlpm.SecPts,1),IF(INDEX(_xlpm.STIds,1)=INDEX(_xlpm.TerIDs,1),INDEX(_xlpm.TerPts,1),IF(INDEX(_xlpm.STIds,1)=INDEX(_xlpm.CuaIDs,1),INDEX(_xlpm.CuaPts,1),"Error"))))+
IF(INDEX(_xlpm.STIds,2)=INDEX(_xlpm.PrinIDs,2),INDEX(_xlpm.PrinPts,2),IF(INDEX(_xlpm.STIds,2)=INDEX(_xlpm.SecIDs,2),INDEX(_xlpm.SecPts,2),IF(INDEX(_xlpm.STIds,2)=INDEX(_xlpm.TerIDs,2),INDEX(_xlpm.TerPts,2),IF(INDEX(_xlpm.STIds,2)=INDEX(_xlpm.CuaIDs,2),INDEX(_xlpm.CuaPts,2),"Error"))))+
IF(INDEX(_xlpm.STIds,3)=INDEX(_xlpm.PrinIDs,3),INDEX(_xlpm.PrinPts,3),IF(INDEX(_xlpm.STIds,3)=INDEX(_xlpm.SecIDs,3),INDEX(_xlpm.SecPts,3),IF(INDEX(_xlpm.STIds,3)=INDEX(_xlpm.TerIDs,3),INDEX(_xlpm.TerPts,3),IF(INDEX(_xlpm.STIds,3)=INDEX(_xlpm.CuaIDs,3),INDEX(_xlpm.CuaPts,3),"Error"))))+
IF(INDEX(_xlpm.STIds,4)=INDEX(_xlpm.PrinIDs,4),INDEX(_xlpm.PrinPts,4),IF(INDEX(_xlpm.STIds,4)=INDEX(_xlpm.SecIDs,4),INDEX(_xlpm.SecPts,4),IF(INDEX(_xlpm.STIds,4)=INDEX(_xlpm.TerIDs,4),INDEX(_xlpm.TerPts,4),IF(INDEX(_xlpm.STIds,4)=INDEX(_xlpm.CuaIDs,4),INDEX(_xlpm.CuaPts,4),"Error"))))+
IF(INDEX(_xlpm.STIds,5)=INDEX(_xlpm.PrinIDs,5),INDEX(_xlpm.PrinPts,5),IF(INDEX(_xlpm.STIds,5)=INDEX(_xlpm.SecIDs,5),INDEX(_xlpm.SecPts,5),IF(INDEX(_xlpm.STIds,5)=INDEX(_xlpm.TerIDs,5),INDEX(_xlpm.TerPts,5),IF(INDEX(_xlpm.STIds,5)=INDEX(_xlpm.CuaIDs,5),INDEX(_xlpm.CuaPts,5),"Error"))))+
IF(INDEX(_xlpm.STIds,6)=INDEX(_xlpm.PrinIDs,6),INDEX(_xlpm.PrinPts,6),IF(INDEX(_xlpm.STIds,6)=INDEX(_xlpm.SecIDs,6),INDEX(_xlpm.SecPts,6),IF(INDEX(_xlpm.STIds,6)=INDEX(_xlpm.TerIDs,6),INDEX(_xlpm.TerPts,6),IF(INDEX(_xlpm.STIds,6)=INDEX(_xlpm.CuaIDs,6),INDEX(_xlpm.CuaPts,6),"Error")))),0)
)</f>
        <v>494.46000000000004</v>
      </c>
      <c r="AA121" s="17" cm="1">
        <f t="array" aca="1" ref="AA121" ca="1">_xlfn.LET(
_xlpm.PrinIDs,_xlfn._xlws.FILTER(C:C,(A:A=A121)),
_xlpm.SecIDs,_xlfn._xlws.FILTER(D:D,(A:A=A121)),
_xlpm.TerIDs,_xlfn._xlws.FILTER(E:E,A:A=A121),
_xlpm.CuaIDs,_xlfn._xlws.FILTER(F:F,(A:A=A121)),
_xlpm.PrinPts,_xlfn._xlws.FILTER(G:G,(A:A=A121)),
_xlpm.SecPts,_xlfn._xlws.FILTER(H:H,(A:A=A121)),
_xlpm.TerPts,_xlfn._xlws.FILTER(I:I,(A:A=A121)),
_xlpm.CuaPts,_xlfn._xlws.FILTER(J:J,(A:A=A121)),
_xlpm.SCIds,_xlfn._xlws.FILTER(U:U,A:A=A121),
IF(AND(
AND(INDEX(_xlpm.SCIds,1)&lt;&gt;"No hay",INDEX(_xlpm.SCIds,1)&lt;&gt;"No disp"),
AND(INDEX(_xlpm.SCIds,2)&lt;&gt;"No hay",INDEX(_xlpm.SCIds,2)&lt;&gt;"No disp"),
AND(INDEX(_xlpm.SCIds,3)&lt;&gt;"No hay",INDEX(_xlpm.SCIds,3)&lt;&gt;"No disp"),
AND(INDEX(_xlpm.SCIds,4)&lt;&gt;"No hay",INDEX(_xlpm.SCIds,4)&lt;&gt;"No disp"),
AND(INDEX(_xlpm.SCIds,5)&lt;&gt;"No hay",INDEX(_xlpm.SCIds,5)&lt;&gt;"No disp"),
AND(INDEX(_xlpm.SCIds,6)&lt;&gt;"No hay",INDEX(_xlpm.SCIds,6)&lt;&gt;"No disp")),
IF(INDEX(_xlpm.SCIds,1)=INDEX(_xlpm.PrinIDs,1),INDEX(_xlpm.PrinPts,1),IF(INDEX(_xlpm.SCIds,1)=INDEX(_xlpm.SecIDs,1),INDEX(_xlpm.SecPts,1),IF(INDEX(_xlpm.SCIds,1)=INDEX(_xlpm.TerIDs,1),INDEX(_xlpm.TerPts,1),IF(INDEX(_xlpm.SCIds,1)=INDEX(_xlpm.CuaIDs,1),INDEX(_xlpm.CuaPts,1),"Error"))))+
IF(INDEX(_xlpm.SCIds,2)=INDEX(_xlpm.PrinIDs,2),INDEX(_xlpm.PrinPts,2),IF(INDEX(_xlpm.SCIds,2)=INDEX(_xlpm.SecIDs,2),INDEX(_xlpm.SecPts,2),IF(INDEX(_xlpm.SCIds,2)=INDEX(_xlpm.TerIDs,2),INDEX(_xlpm.TerPts,2),IF(INDEX(_xlpm.SCIds,2)=INDEX(_xlpm.CuaIDs,2),INDEX(_xlpm.CuaPts,2),"Error"))))+
IF(INDEX(_xlpm.SCIds,3)=INDEX(_xlpm.PrinIDs,3),INDEX(_xlpm.PrinPts,3),IF(INDEX(_xlpm.SCIds,3)=INDEX(_xlpm.SecIDs,3),INDEX(_xlpm.SecPts,3),IF(INDEX(_xlpm.SCIds,3)=INDEX(_xlpm.TerIDs,3),INDEX(_xlpm.TerPts,3),IF(INDEX(_xlpm.SCIds,3)=INDEX(_xlpm.CuaIDs,3),INDEX(_xlpm.CuaPts,3),"Error"))))+
IF(INDEX(_xlpm.SCIds,4)=INDEX(_xlpm.PrinIDs,4),INDEX(_xlpm.PrinPts,4),IF(INDEX(_xlpm.SCIds,4)=INDEX(_xlpm.SecIDs,4),INDEX(_xlpm.SecPts,4),IF(INDEX(_xlpm.SCIds,4)=INDEX(_xlpm.TerIDs,4),INDEX(_xlpm.TerPts,4),IF(INDEX(_xlpm.SCIds,4)=INDEX(_xlpm.CuaIDs,4),INDEX(_xlpm.CuaPts,4),"Error"))))+
IF(INDEX(_xlpm.SCIds,5)=INDEX(_xlpm.PrinIDs,5),INDEX(_xlpm.PrinPts,5),IF(INDEX(_xlpm.SCIds,5)=INDEX(_xlpm.SecIDs,5),INDEX(_xlpm.SecPts,5),IF(INDEX(_xlpm.SCIds,5)=INDEX(_xlpm.TerIDs,5),INDEX(_xlpm.TerPts,5),IF(INDEX(_xlpm.SCIds,5)=INDEX(_xlpm.CuaIDs,5),INDEX(_xlpm.CuaPts,5),"Error"))))+
IF(INDEX(_xlpm.SCIds,6)=INDEX(_xlpm.PrinIDs,6),INDEX(_xlpm.PrinPts,6),IF(INDEX(_xlpm.SCIds,6)=INDEX(_xlpm.SecIDs,6),INDEX(_xlpm.SecPts,6),IF(INDEX(_xlpm.SCIds,6)=INDEX(_xlpm.TerIDs,6),INDEX(_xlpm.TerPts,6),IF(INDEX(_xlpm.SCIds,6)=INDEX(_xlpm.CuaIDs,6),INDEX(_xlpm.CuaPts,6),"Error")))),0)
)</f>
        <v>0</v>
      </c>
      <c r="AB121" s="18">
        <f t="shared" ca="1" si="7"/>
        <v>3</v>
      </c>
      <c r="AC121" s="18">
        <v>3</v>
      </c>
      <c r="AD121" s="17"/>
      <c r="AE121" s="18" t="str">
        <f ca="1">IF(ISNUMBER(AC121),
IF($B121=1,VLOOKUP($AC121,Inventario1!$A:$H,2),
IF($B121=2,VLOOKUP($AC121,Inventario2!$A:$H,2),
IF($B121=3,VLOOKUP($AC121,Inventario3!$A:$H,2),
IF($B121=4,VLOOKUP($AC121,Inventario4!$A:$H,2),
IF($B121=5,VLOOKUP($AC121,Inventario5!$A:$H,2),
VLOOKUP($AC121,Inventario6!$A:$H,2)
))))),"No equipado")</f>
        <v>Legendario</v>
      </c>
      <c r="AF121" s="18" t="str">
        <f ca="1">IF(ISNUMBER(AC121),
IF($B121=1,VLOOKUP($AC121,Inventario1!$A:$H,3),
IF($B121=2,VLOOKUP($AC121,Inventario2!$A:$H,3),
IF($B121=3,VLOOKUP($AC121,Inventario3!$A:$H,3),
IF($B121=4,VLOOKUP($AC121,Inventario4!$A:$H,3),
IF($B121=5,VLOOKUP($AC121,Inventario5!$A:$H,3),
VLOOKUP($AC121,Inventario6!$A:$H,3)
))))),"")</f>
        <v>Poder vibrante</v>
      </c>
      <c r="AG121" s="18" t="str">
        <f ca="1">IF(ISNUMBER(AC121),
IF($B121=1,VLOOKUP($AC121,Inventario1!$A:$H,4),
IF($B121=2,VLOOKUP($AC121,Inventario2!$A:$H,4),
IF($B121=3,VLOOKUP($AC121,Inventario3!$A:$H,4),
IF($B121=4,VLOOKUP($AC121,Inventario4!$A:$H,4),
IF($B121=5,VLOOKUP($AC121,Inventario5!$A:$H,4),
VLOOKUP($AC121,Inventario6!$A:$H,4)
))))),"")</f>
        <v>Colocación</v>
      </c>
      <c r="AH121" s="18" t="str">
        <f ca="1">IF(ISNUMBER(AC121),
IF($B121=1,VLOOKUP($AC121,Inventario1!$A:$H,5),
IF($B121=2,VLOOKUP($AC121,Inventario2!$A:$H,5),
IF($B121=3,VLOOKUP($AC121,Inventario3!$A:$H,5),
IF($B121=4,VLOOKUP($AC121,Inventario4!$A:$H,5),
IF($B121=5,VLOOKUP($AC121,Inventario5!$A:$H,5),
VLOOKUP($AC121,Inventario6!$A:$H,5)
))))),"")</f>
        <v>Colocación</v>
      </c>
      <c r="AI121" s="18" t="str">
        <f ca="1">IF(ISNUMBER(AC121),
IF($B121=1,VLOOKUP($AC121,Inventario1!$A:$H,6),
IF($B121=2,VLOOKUP($AC121,Inventario2!$A:$H,6),
IF($B121=3,VLOOKUP($AC121,Inventario3!$A:$H,6),
IF($B121=4,VLOOKUP($AC121,Inventario4!$A:$H,6),
IF($B121=5,VLOOKUP($AC121,Inventario5!$A:$H,6),
VLOOKUP($AC121,Inventario6!$A:$H,6)
))))),"")</f>
        <v>Ataque poderoso</v>
      </c>
      <c r="AJ121" s="18" t="str">
        <f ca="1">IF(ISNUMBER(AC121),
IF($B121=1,VLOOKUP($AC121,Inventario1!$A:$H,7),
IF($B121=2,VLOOKUP($AC121,Inventario2!$A:$H,7),
IF($B121=3,VLOOKUP($AC121,Inventario3!$A:$H,7),
IF($B121=4,VLOOKUP($AC121,Inventario4!$A:$H,7),
IF($B121=5,VLOOKUP($AC121,Inventario5!$A:$H,7),
VLOOKUP($AC121,Inventario6!$A:$H,7)
))))),"")</f>
        <v>Espíritu</v>
      </c>
      <c r="AK121" s="19" t="str">
        <f ca="1">IF(ISNUMBER(AC121),
IF($B121=1,VLOOKUP($AC121,Inventario1!$A:$H,8),
IF($B121=2,VLOOKUP($AC121,Inventario2!$A:$H,8),
IF($B121=3,VLOOKUP($AC121,Inventario3!$A:$H,8),
IF($B121=4,VLOOKUP($AC121,Inventario4!$A:$H,8),
IF($B121=5,VLOOKUP($AC121,Inventario5!$A:$H,8),
VLOOKUP($AC121,Inventario6!$A:$H,8)
))))),"")</f>
        <v>Saque</v>
      </c>
    </row>
  </sheetData>
  <autoFilter ref="A1:L115" xr:uid="{12A1DDBF-92E2-493B-80B4-735C782F3A8F}"/>
  <conditionalFormatting sqref="E1:F1">
    <cfRule type="expression" dxfId="5" priority="72">
      <formula>AND(ISNUMBER(E1),K1=AD1)</formula>
    </cfRule>
    <cfRule type="expression" dxfId="4" priority="73">
      <formula>AND(ISNUMBER(E1),K1&gt;H1)</formula>
    </cfRule>
  </conditionalFormatting>
  <conditionalFormatting sqref="AB1:AB1048576">
    <cfRule type="expression" dxfId="3" priority="8">
      <formula>AB1=C1</formula>
    </cfRule>
    <cfRule type="expression" dxfId="2" priority="9">
      <formula>AB1=D1</formula>
    </cfRule>
    <cfRule type="expression" dxfId="1" priority="10">
      <formula>AB1=E1</formula>
    </cfRule>
  </conditionalFormatting>
  <conditionalFormatting sqref="AC1:AC1048576">
    <cfRule type="expression" dxfId="0" priority="19">
      <formula>AND(ISNUMBER(AC1),AC1&lt;&gt;AB1)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FE83-1F58-48DF-BE4C-B958904A0C0B}">
  <dimension ref="A1:I17"/>
  <sheetViews>
    <sheetView workbookViewId="0">
      <selection activeCell="K19" sqref="K19"/>
    </sheetView>
  </sheetViews>
  <sheetFormatPr baseColWidth="10" defaultRowHeight="15" x14ac:dyDescent="0.25"/>
  <cols>
    <col min="2" max="2" width="21.28515625" bestFit="1" customWidth="1"/>
    <col min="9" max="9" width="11.7109375" bestFit="1" customWidth="1"/>
  </cols>
  <sheetData>
    <row r="1" spans="1:9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109</v>
      </c>
      <c r="H1" t="s">
        <v>95</v>
      </c>
      <c r="I1" t="s">
        <v>97</v>
      </c>
    </row>
    <row r="2" spans="1:9" x14ac:dyDescent="0.25">
      <c r="A2">
        <v>1</v>
      </c>
      <c r="B2" t="s">
        <v>100</v>
      </c>
      <c r="C2">
        <v>300</v>
      </c>
      <c r="D2">
        <v>1</v>
      </c>
      <c r="E2">
        <f>C2*D2</f>
        <v>300</v>
      </c>
      <c r="F2" t="s">
        <v>110</v>
      </c>
      <c r="H2">
        <v>1</v>
      </c>
      <c r="I2">
        <f>SUMIFS($E$2:$E$17,$A$2:$A$17,H2,$F$2:$F$17,"Si")</f>
        <v>7875</v>
      </c>
    </row>
    <row r="3" spans="1:9" x14ac:dyDescent="0.25">
      <c r="A3">
        <v>1</v>
      </c>
      <c r="B3" t="s">
        <v>101</v>
      </c>
      <c r="C3">
        <v>150</v>
      </c>
      <c r="D3">
        <v>3</v>
      </c>
      <c r="E3">
        <f t="shared" ref="E3:E17" si="0">C3*D3</f>
        <v>450</v>
      </c>
      <c r="F3" t="s">
        <v>111</v>
      </c>
      <c r="H3">
        <v>2</v>
      </c>
      <c r="I3">
        <f>SUMIFS($E$2:$E$17,$A$2:$A$17,H3,$F$2:$F$17,"Si")</f>
        <v>8700</v>
      </c>
    </row>
    <row r="4" spans="1:9" x14ac:dyDescent="0.25">
      <c r="A4">
        <v>1</v>
      </c>
      <c r="B4" t="s">
        <v>102</v>
      </c>
      <c r="C4">
        <v>150</v>
      </c>
      <c r="D4">
        <v>3</v>
      </c>
      <c r="E4">
        <f t="shared" si="0"/>
        <v>450</v>
      </c>
      <c r="F4" t="s">
        <v>110</v>
      </c>
      <c r="H4">
        <v>3</v>
      </c>
      <c r="I4">
        <f>SUMIFS($E$2:$E$17,$A$2:$A$17,H4,$F$2:$F$17,"Si")</f>
        <v>5670</v>
      </c>
    </row>
    <row r="5" spans="1:9" x14ac:dyDescent="0.25">
      <c r="A5">
        <v>1</v>
      </c>
      <c r="B5" t="s">
        <v>103</v>
      </c>
      <c r="C5">
        <v>225</v>
      </c>
      <c r="D5">
        <v>3</v>
      </c>
      <c r="E5">
        <f t="shared" si="0"/>
        <v>675</v>
      </c>
      <c r="F5" t="s">
        <v>110</v>
      </c>
      <c r="H5" t="s">
        <v>99</v>
      </c>
      <c r="I5">
        <f>SUM(I2:I4)</f>
        <v>22245</v>
      </c>
    </row>
    <row r="6" spans="1:9" x14ac:dyDescent="0.25">
      <c r="A6">
        <v>1</v>
      </c>
      <c r="B6" t="s">
        <v>104</v>
      </c>
      <c r="C6">
        <v>150</v>
      </c>
      <c r="D6">
        <v>3</v>
      </c>
      <c r="E6">
        <f t="shared" si="0"/>
        <v>450</v>
      </c>
      <c r="F6" t="s">
        <v>110</v>
      </c>
    </row>
    <row r="7" spans="1:9" x14ac:dyDescent="0.25">
      <c r="A7">
        <v>1</v>
      </c>
      <c r="B7" t="s">
        <v>105</v>
      </c>
      <c r="C7">
        <v>300</v>
      </c>
      <c r="D7">
        <v>20</v>
      </c>
      <c r="E7">
        <f t="shared" si="0"/>
        <v>6000</v>
      </c>
      <c r="F7" t="s">
        <v>110</v>
      </c>
    </row>
    <row r="8" spans="1:9" x14ac:dyDescent="0.25">
      <c r="A8">
        <v>2</v>
      </c>
      <c r="B8" t="s">
        <v>106</v>
      </c>
      <c r="C8">
        <v>450</v>
      </c>
      <c r="D8">
        <v>2</v>
      </c>
      <c r="E8">
        <f t="shared" si="0"/>
        <v>900</v>
      </c>
      <c r="F8" t="s">
        <v>111</v>
      </c>
    </row>
    <row r="9" spans="1:9" x14ac:dyDescent="0.25">
      <c r="A9">
        <v>2</v>
      </c>
      <c r="B9" t="s">
        <v>107</v>
      </c>
      <c r="C9">
        <v>360</v>
      </c>
      <c r="D9">
        <v>5</v>
      </c>
      <c r="E9">
        <f t="shared" si="0"/>
        <v>1800</v>
      </c>
      <c r="F9" t="s">
        <v>110</v>
      </c>
    </row>
    <row r="10" spans="1:9" x14ac:dyDescent="0.25">
      <c r="A10">
        <v>2</v>
      </c>
      <c r="B10" t="s">
        <v>108</v>
      </c>
      <c r="C10">
        <v>300</v>
      </c>
      <c r="D10">
        <v>2</v>
      </c>
      <c r="E10">
        <f t="shared" si="0"/>
        <v>600</v>
      </c>
      <c r="F10" t="s">
        <v>111</v>
      </c>
    </row>
    <row r="11" spans="1:9" x14ac:dyDescent="0.25">
      <c r="A11">
        <v>2</v>
      </c>
      <c r="B11" t="s">
        <v>112</v>
      </c>
      <c r="C11">
        <v>300</v>
      </c>
      <c r="D11">
        <v>10</v>
      </c>
      <c r="E11">
        <f t="shared" si="0"/>
        <v>3000</v>
      </c>
      <c r="F11" t="s">
        <v>110</v>
      </c>
    </row>
    <row r="12" spans="1:9" x14ac:dyDescent="0.25">
      <c r="A12">
        <v>2</v>
      </c>
      <c r="B12" t="s">
        <v>113</v>
      </c>
      <c r="C12">
        <v>480</v>
      </c>
      <c r="D12">
        <v>5</v>
      </c>
      <c r="E12">
        <f t="shared" si="0"/>
        <v>2400</v>
      </c>
      <c r="F12" t="s">
        <v>110</v>
      </c>
    </row>
    <row r="13" spans="1:9" x14ac:dyDescent="0.25">
      <c r="A13">
        <v>2</v>
      </c>
      <c r="B13" t="s">
        <v>114</v>
      </c>
      <c r="C13">
        <v>750</v>
      </c>
      <c r="D13">
        <v>2</v>
      </c>
      <c r="E13">
        <f t="shared" si="0"/>
        <v>1500</v>
      </c>
      <c r="F13" t="s">
        <v>110</v>
      </c>
    </row>
    <row r="14" spans="1:9" x14ac:dyDescent="0.25">
      <c r="A14">
        <v>3</v>
      </c>
      <c r="B14" t="s">
        <v>100</v>
      </c>
      <c r="C14">
        <v>450</v>
      </c>
      <c r="D14">
        <v>3</v>
      </c>
      <c r="E14">
        <f t="shared" si="0"/>
        <v>1350</v>
      </c>
      <c r="F14" t="s">
        <v>110</v>
      </c>
    </row>
    <row r="15" spans="1:9" x14ac:dyDescent="0.25">
      <c r="A15">
        <v>3</v>
      </c>
      <c r="B15" t="s">
        <v>115</v>
      </c>
      <c r="C15">
        <v>1080</v>
      </c>
      <c r="D15">
        <v>4</v>
      </c>
      <c r="E15">
        <f t="shared" si="0"/>
        <v>4320</v>
      </c>
      <c r="F15" t="s">
        <v>110</v>
      </c>
    </row>
    <row r="16" spans="1:9" x14ac:dyDescent="0.25">
      <c r="A16">
        <v>3</v>
      </c>
      <c r="B16" t="s">
        <v>116</v>
      </c>
      <c r="C16">
        <v>1650</v>
      </c>
      <c r="D16">
        <v>2</v>
      </c>
      <c r="E16">
        <f t="shared" si="0"/>
        <v>3300</v>
      </c>
      <c r="F16" t="s">
        <v>111</v>
      </c>
    </row>
    <row r="17" spans="1:6" x14ac:dyDescent="0.25">
      <c r="A17">
        <v>3</v>
      </c>
      <c r="B17" t="s">
        <v>117</v>
      </c>
      <c r="C17">
        <v>7500</v>
      </c>
      <c r="D17">
        <v>1</v>
      </c>
      <c r="E17">
        <f t="shared" si="0"/>
        <v>7500</v>
      </c>
      <c r="F1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Set recomendado</vt:lpstr>
      <vt:lpstr>Stats recomendados</vt:lpstr>
      <vt:lpstr>Inventario1</vt:lpstr>
      <vt:lpstr>Inventario2</vt:lpstr>
      <vt:lpstr>Inventario3</vt:lpstr>
      <vt:lpstr>Inventario4</vt:lpstr>
      <vt:lpstr>Inventario5</vt:lpstr>
      <vt:lpstr>Inventario6</vt:lpstr>
      <vt:lpstr>Equipar</vt:lpstr>
      <vt:lpstr>Entrenamiento Adicional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</dc:creator>
  <cp:keywords/>
  <dc:description/>
  <cp:lastModifiedBy>David Laborda García</cp:lastModifiedBy>
  <cp:revision/>
  <dcterms:created xsi:type="dcterms:W3CDTF">2025-12-19T23:18:56Z</dcterms:created>
  <dcterms:modified xsi:type="dcterms:W3CDTF">2026-01-05T19:31:15Z</dcterms:modified>
  <cp:category/>
  <cp:contentStatus/>
</cp:coreProperties>
</file>