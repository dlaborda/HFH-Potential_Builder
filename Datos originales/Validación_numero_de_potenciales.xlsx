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Haikyuu Fly High\"/>
    </mc:Choice>
  </mc:AlternateContent>
  <xr:revisionPtr revIDLastSave="0" documentId="13_ncr:9_{03087A80-E38A-4B7A-A415-AD7462E930FF}" xr6:coauthVersionLast="47" xr6:coauthVersionMax="47" xr10:uidLastSave="{00000000-0000-0000-0000-000000000000}"/>
  <bookViews>
    <workbookView xWindow="38280" yWindow="-5865" windowWidth="16440" windowHeight="28320" xr2:uid="{9A9E8DB8-66D5-495B-AB3A-D73F2BD4AC30}"/>
  </bookViews>
  <sheets>
    <sheet name="Calificacion_potenciales(Recup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1" i="1" l="1"/>
  <c r="L59" i="1"/>
  <c r="K59" i="1"/>
  <c r="J59" i="1"/>
  <c r="L54" i="1"/>
  <c r="K54" i="1"/>
  <c r="J54" i="1"/>
  <c r="K49" i="1"/>
  <c r="L49" i="1"/>
  <c r="J49" i="1"/>
  <c r="L66" i="1"/>
  <c r="M59" i="1"/>
  <c r="M54" i="1"/>
  <c r="M49" i="1"/>
  <c r="F108" i="1"/>
  <c r="F107" i="1"/>
  <c r="D108" i="1"/>
  <c r="E108" i="1"/>
  <c r="C108" i="1"/>
  <c r="D107" i="1"/>
  <c r="E107" i="1"/>
  <c r="C10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D2" i="1"/>
  <c r="E2" i="1"/>
  <c r="C2" i="1"/>
  <c r="K61" i="1" l="1"/>
  <c r="N59" i="1"/>
  <c r="J61" i="1"/>
</calcChain>
</file>

<file path=xl/sharedStrings.xml><?xml version="1.0" encoding="utf-8"?>
<sst xmlns="http://schemas.openxmlformats.org/spreadsheetml/2006/main" count="203" uniqueCount="70">
  <si>
    <t>{</t>
  </si>
  <si>
    <t>Fortmat</t>
  </si>
  <si>
    <t>Karasuno</t>
  </si>
  <si>
    <t>Nekoma</t>
  </si>
  <si>
    <t>Total</t>
  </si>
  <si>
    <t xml:space="preserve">    "Akagi": [</t>
  </si>
  <si>
    <t xml:space="preserve">        "Recepción de asistencia",</t>
  </si>
  <si>
    <t>Recepción de asistencia</t>
  </si>
  <si>
    <t xml:space="preserve">        "Recepción suprema"</t>
  </si>
  <si>
    <t>Recepción suprema</t>
  </si>
  <si>
    <t xml:space="preserve">    ],</t>
  </si>
  <si>
    <t xml:space="preserve">    "Atsumu": [</t>
  </si>
  <si>
    <t xml:space="preserve">        "Saque preciso",</t>
  </si>
  <si>
    <t>Saque preciso</t>
  </si>
  <si>
    <t xml:space="preserve">        "Pase preciso",</t>
  </si>
  <si>
    <t>Pase preciso</t>
  </si>
  <si>
    <t xml:space="preserve">        "Finta de colocador"</t>
  </si>
  <si>
    <t>Finta de colocador</t>
  </si>
  <si>
    <t xml:space="preserve">    "Hinata": [</t>
  </si>
  <si>
    <t xml:space="preserve">        "Ataque veloz",</t>
  </si>
  <si>
    <t>Ataque veloz</t>
  </si>
  <si>
    <t xml:space="preserve">        "Sentido agudo"</t>
  </si>
  <si>
    <t>Sentido agudo</t>
  </si>
  <si>
    <t xml:space="preserve">    "Hirugami": [</t>
  </si>
  <si>
    <t xml:space="preserve">        "Guardia contundente",</t>
  </si>
  <si>
    <t>Guardia contundente</t>
  </si>
  <si>
    <t xml:space="preserve">        "Bloque preciso",</t>
  </si>
  <si>
    <t>Bloque preciso</t>
  </si>
  <si>
    <t xml:space="preserve">        "Movimiento de bloqueo"</t>
  </si>
  <si>
    <t>Movimiento de bloqueo</t>
  </si>
  <si>
    <t xml:space="preserve">    "Hoshiumi": [</t>
  </si>
  <si>
    <t xml:space="preserve">        "Poder vibrante",</t>
  </si>
  <si>
    <t>Poder vibrante</t>
  </si>
  <si>
    <t xml:space="preserve">        "Incremento de poder",</t>
  </si>
  <si>
    <t>Incremento de poder</t>
  </si>
  <si>
    <t xml:space="preserve">        "Potenciación de la moral",</t>
  </si>
  <si>
    <t>Potenciación de la moral</t>
  </si>
  <si>
    <t xml:space="preserve">        "Opt. de estado"</t>
  </si>
  <si>
    <t>Opt. de estado</t>
  </si>
  <si>
    <t xml:space="preserve">    "Iwaizumi": [</t>
  </si>
  <si>
    <t xml:space="preserve">    "Kita": [</t>
  </si>
  <si>
    <t xml:space="preserve">    "Komori": [</t>
  </si>
  <si>
    <t xml:space="preserve">    "Kuroo": [</t>
  </si>
  <si>
    <t xml:space="preserve">    "Kyotani": [</t>
  </si>
  <si>
    <t xml:space="preserve">    "Nishinoya": [</t>
  </si>
  <si>
    <t xml:space="preserve">    "Oikawa": [</t>
  </si>
  <si>
    <t xml:space="preserve">    "Ojiro": [</t>
  </si>
  <si>
    <t xml:space="preserve">        "Opt. de estado",</t>
  </si>
  <si>
    <t xml:space="preserve">        "Potenciación de la moral"</t>
  </si>
  <si>
    <t xml:space="preserve">    "Osamu": [</t>
  </si>
  <si>
    <t xml:space="preserve">    "Sakusa": [</t>
  </si>
  <si>
    <t xml:space="preserve">    "Sugawara": [</t>
  </si>
  <si>
    <t xml:space="preserve">    "Suna": [</t>
  </si>
  <si>
    <t xml:space="preserve">        "Ataque veloz"</t>
  </si>
  <si>
    <t xml:space="preserve">    "Tanaka": [</t>
  </si>
  <si>
    <t xml:space="preserve">    "Tsukishima": [</t>
  </si>
  <si>
    <t xml:space="preserve">    "Yamamoto": [</t>
  </si>
  <si>
    <t xml:space="preserve">    "Kenma": [</t>
  </si>
  <si>
    <t xml:space="preserve">    ]</t>
  </si>
  <si>
    <t>}</t>
  </si>
  <si>
    <t>Por 6 slots</t>
  </si>
  <si>
    <t>Fukurodani</t>
  </si>
  <si>
    <t>Opt. de percepción</t>
  </si>
  <si>
    <t>Cantidad</t>
  </si>
  <si>
    <t>Titulares: 3 Malas, 25 Aceptables, 8 Buenas</t>
  </si>
  <si>
    <t>Resto: 11 Malas, 21 Aceptables, 0 Buenas</t>
  </si>
  <si>
    <t>Titulares: 2 Malas, 12 Aceptables, 2 Buenas</t>
  </si>
  <si>
    <t>Resto: 7 Malas, 9 Aceptables, 0 Buenas</t>
  </si>
  <si>
    <t>Titulares: 1 Malas, 13 Aceptables, 0 Buenas</t>
  </si>
  <si>
    <t>Resto: 3 Malas, 8 Aceptables, 1 Buenas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</si>
</sst>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4758-A11A-4C51-BBE1-4ED5F1B72532}">
  <dimension ref="A1:N108"/>
  <sheetViews>
    <sheetView tabSelected="1" workbookViewId="0">
      <selection activeCell="D56" sqref="D56"/>
    </sheetView>
  </sheetViews>
  <sheetFormatPr baseColWidth="10" defaultRowHeight="14.4" x14ac:dyDescent="0.3"/>
  <cols>
    <col min="2" max="2" width="22.6640625" bestFit="1" customWidth="1"/>
    <col min="8" max="9" width="3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61</v>
      </c>
      <c r="F1" t="s">
        <v>4</v>
      </c>
      <c r="I1" t="s">
        <v>2</v>
      </c>
      <c r="J1" t="s">
        <v>3</v>
      </c>
      <c r="K1" t="s">
        <v>61</v>
      </c>
      <c r="L1" t="s">
        <v>63</v>
      </c>
    </row>
    <row r="2" spans="1:12" x14ac:dyDescent="0.3">
      <c r="A2" t="s">
        <v>5</v>
      </c>
      <c r="C2">
        <f>_xlfn.XLOOKUP($B2,I$2:I$6,$L$2:$L$6,0)</f>
        <v>0</v>
      </c>
      <c r="D2">
        <f t="shared" ref="D2:E2" si="0">_xlfn.XLOOKUP($B2,J$2:J$6,$L$2:$L$6,0)</f>
        <v>0</v>
      </c>
      <c r="E2">
        <f t="shared" si="0"/>
        <v>0</v>
      </c>
      <c r="F2" t="str">
        <f>IF(B2&lt;&gt;"",IF(SUM(C2:E2)=0,"Error",""),"")</f>
        <v/>
      </c>
      <c r="I2" t="s">
        <v>15</v>
      </c>
      <c r="J2" t="s">
        <v>13</v>
      </c>
      <c r="K2" t="s">
        <v>36</v>
      </c>
      <c r="L2">
        <v>1</v>
      </c>
    </row>
    <row r="3" spans="1:12" x14ac:dyDescent="0.3">
      <c r="A3" t="s">
        <v>6</v>
      </c>
      <c r="B3" t="s">
        <v>7</v>
      </c>
      <c r="C3">
        <f t="shared" ref="C3:C66" si="1">_xlfn.XLOOKUP($B3,I$2:I$6,$L$2:$L$6,0)</f>
        <v>0</v>
      </c>
      <c r="D3">
        <f t="shared" ref="D3:D66" si="2">_xlfn.XLOOKUP($B3,J$2:J$6,$L$2:$L$6,0)</f>
        <v>1</v>
      </c>
      <c r="E3">
        <f t="shared" ref="E3:E66" si="3">_xlfn.XLOOKUP($B3,K$2:K$6,$L$2:$L$6,0)</f>
        <v>0</v>
      </c>
      <c r="F3" t="str">
        <f t="shared" ref="F3:F66" si="4">IF(B3&lt;&gt;"",IF(SUM(C3:E3)=0,"Error",""),"")</f>
        <v/>
      </c>
      <c r="I3" t="s">
        <v>34</v>
      </c>
      <c r="J3" t="s">
        <v>32</v>
      </c>
      <c r="K3" t="s">
        <v>62</v>
      </c>
      <c r="L3">
        <v>1</v>
      </c>
    </row>
    <row r="4" spans="1:12" x14ac:dyDescent="0.3">
      <c r="A4" t="s">
        <v>8</v>
      </c>
      <c r="B4" t="s">
        <v>9</v>
      </c>
      <c r="C4">
        <f t="shared" si="1"/>
        <v>1</v>
      </c>
      <c r="D4">
        <f t="shared" si="2"/>
        <v>0</v>
      </c>
      <c r="E4">
        <f t="shared" si="3"/>
        <v>0</v>
      </c>
      <c r="F4" t="str">
        <f t="shared" si="4"/>
        <v/>
      </c>
      <c r="I4" t="s">
        <v>22</v>
      </c>
      <c r="J4" t="s">
        <v>20</v>
      </c>
      <c r="K4" t="s">
        <v>17</v>
      </c>
      <c r="L4">
        <v>1</v>
      </c>
    </row>
    <row r="5" spans="1:12" x14ac:dyDescent="0.3">
      <c r="A5" t="s">
        <v>10</v>
      </c>
      <c r="C5">
        <f t="shared" si="1"/>
        <v>0</v>
      </c>
      <c r="D5">
        <f t="shared" si="2"/>
        <v>0</v>
      </c>
      <c r="E5">
        <f t="shared" si="3"/>
        <v>0</v>
      </c>
      <c r="F5" t="str">
        <f t="shared" si="4"/>
        <v/>
      </c>
      <c r="I5" t="s">
        <v>29</v>
      </c>
      <c r="J5" t="s">
        <v>27</v>
      </c>
      <c r="K5" t="s">
        <v>25</v>
      </c>
      <c r="L5">
        <v>1</v>
      </c>
    </row>
    <row r="6" spans="1:12" x14ac:dyDescent="0.3">
      <c r="A6" t="s">
        <v>11</v>
      </c>
      <c r="C6">
        <f t="shared" si="1"/>
        <v>0</v>
      </c>
      <c r="D6">
        <f t="shared" si="2"/>
        <v>0</v>
      </c>
      <c r="E6">
        <f t="shared" si="3"/>
        <v>0</v>
      </c>
      <c r="F6" t="str">
        <f t="shared" si="4"/>
        <v/>
      </c>
      <c r="I6" t="s">
        <v>9</v>
      </c>
      <c r="J6" t="s">
        <v>7</v>
      </c>
      <c r="K6" t="s">
        <v>38</v>
      </c>
      <c r="L6">
        <v>1</v>
      </c>
    </row>
    <row r="7" spans="1:12" x14ac:dyDescent="0.3">
      <c r="A7" t="s">
        <v>12</v>
      </c>
      <c r="B7" t="s">
        <v>13</v>
      </c>
      <c r="C7">
        <f t="shared" si="1"/>
        <v>0</v>
      </c>
      <c r="D7">
        <f t="shared" si="2"/>
        <v>1</v>
      </c>
      <c r="E7">
        <f t="shared" si="3"/>
        <v>0</v>
      </c>
      <c r="F7" t="str">
        <f t="shared" si="4"/>
        <v/>
      </c>
    </row>
    <row r="8" spans="1:12" x14ac:dyDescent="0.3">
      <c r="A8" t="s">
        <v>14</v>
      </c>
      <c r="B8" t="s">
        <v>15</v>
      </c>
      <c r="C8">
        <f t="shared" si="1"/>
        <v>1</v>
      </c>
      <c r="D8">
        <f t="shared" si="2"/>
        <v>0</v>
      </c>
      <c r="E8">
        <f t="shared" si="3"/>
        <v>0</v>
      </c>
      <c r="F8" t="str">
        <f t="shared" si="4"/>
        <v/>
      </c>
    </row>
    <row r="9" spans="1:12" x14ac:dyDescent="0.3">
      <c r="A9" t="s">
        <v>16</v>
      </c>
      <c r="B9" t="s">
        <v>17</v>
      </c>
      <c r="C9">
        <f t="shared" si="1"/>
        <v>0</v>
      </c>
      <c r="D9">
        <f t="shared" si="2"/>
        <v>0</v>
      </c>
      <c r="E9">
        <f t="shared" si="3"/>
        <v>1</v>
      </c>
      <c r="F9" t="str">
        <f t="shared" si="4"/>
        <v/>
      </c>
    </row>
    <row r="10" spans="1:12" x14ac:dyDescent="0.3">
      <c r="A10" t="s">
        <v>10</v>
      </c>
      <c r="C10">
        <f t="shared" si="1"/>
        <v>0</v>
      </c>
      <c r="D10">
        <f t="shared" si="2"/>
        <v>0</v>
      </c>
      <c r="E10">
        <f t="shared" si="3"/>
        <v>0</v>
      </c>
      <c r="F10" t="str">
        <f t="shared" si="4"/>
        <v/>
      </c>
    </row>
    <row r="11" spans="1:12" x14ac:dyDescent="0.3">
      <c r="A11" t="s">
        <v>18</v>
      </c>
      <c r="C11">
        <f t="shared" si="1"/>
        <v>0</v>
      </c>
      <c r="D11">
        <f t="shared" si="2"/>
        <v>0</v>
      </c>
      <c r="E11">
        <f t="shared" si="3"/>
        <v>0</v>
      </c>
      <c r="F11" t="str">
        <f t="shared" si="4"/>
        <v/>
      </c>
    </row>
    <row r="12" spans="1:12" x14ac:dyDescent="0.3">
      <c r="A12" t="s">
        <v>19</v>
      </c>
      <c r="B12" t="s">
        <v>20</v>
      </c>
      <c r="C12">
        <f t="shared" si="1"/>
        <v>0</v>
      </c>
      <c r="D12">
        <f t="shared" si="2"/>
        <v>1</v>
      </c>
      <c r="E12">
        <f t="shared" si="3"/>
        <v>0</v>
      </c>
      <c r="F12" t="str">
        <f t="shared" si="4"/>
        <v/>
      </c>
    </row>
    <row r="13" spans="1:12" x14ac:dyDescent="0.3">
      <c r="A13" t="s">
        <v>21</v>
      </c>
      <c r="B13" t="s">
        <v>22</v>
      </c>
      <c r="C13">
        <f t="shared" si="1"/>
        <v>1</v>
      </c>
      <c r="D13">
        <f t="shared" si="2"/>
        <v>0</v>
      </c>
      <c r="E13">
        <f t="shared" si="3"/>
        <v>0</v>
      </c>
      <c r="F13" t="str">
        <f t="shared" si="4"/>
        <v/>
      </c>
    </row>
    <row r="14" spans="1:12" x14ac:dyDescent="0.3">
      <c r="A14" t="s">
        <v>10</v>
      </c>
      <c r="C14">
        <f t="shared" si="1"/>
        <v>0</v>
      </c>
      <c r="D14">
        <f t="shared" si="2"/>
        <v>0</v>
      </c>
      <c r="E14">
        <f t="shared" si="3"/>
        <v>0</v>
      </c>
      <c r="F14" t="str">
        <f t="shared" si="4"/>
        <v/>
      </c>
    </row>
    <row r="15" spans="1:12" x14ac:dyDescent="0.3">
      <c r="A15" t="s">
        <v>23</v>
      </c>
      <c r="C15">
        <f t="shared" si="1"/>
        <v>0</v>
      </c>
      <c r="D15">
        <f t="shared" si="2"/>
        <v>0</v>
      </c>
      <c r="E15">
        <f t="shared" si="3"/>
        <v>0</v>
      </c>
      <c r="F15" t="str">
        <f t="shared" si="4"/>
        <v/>
      </c>
    </row>
    <row r="16" spans="1:12" x14ac:dyDescent="0.3">
      <c r="A16" t="s">
        <v>24</v>
      </c>
      <c r="B16" t="s">
        <v>25</v>
      </c>
      <c r="C16">
        <f t="shared" si="1"/>
        <v>0</v>
      </c>
      <c r="D16">
        <f t="shared" si="2"/>
        <v>0</v>
      </c>
      <c r="E16">
        <f t="shared" si="3"/>
        <v>1</v>
      </c>
      <c r="F16" t="str">
        <f t="shared" si="4"/>
        <v/>
      </c>
    </row>
    <row r="17" spans="1:6" x14ac:dyDescent="0.3">
      <c r="A17" t="s">
        <v>26</v>
      </c>
      <c r="B17" t="s">
        <v>27</v>
      </c>
      <c r="C17">
        <f t="shared" si="1"/>
        <v>0</v>
      </c>
      <c r="D17">
        <f t="shared" si="2"/>
        <v>1</v>
      </c>
      <c r="E17">
        <f t="shared" si="3"/>
        <v>0</v>
      </c>
      <c r="F17" t="str">
        <f t="shared" si="4"/>
        <v/>
      </c>
    </row>
    <row r="18" spans="1:6" x14ac:dyDescent="0.3">
      <c r="A18" t="s">
        <v>28</v>
      </c>
      <c r="B18" t="s">
        <v>29</v>
      </c>
      <c r="C18">
        <f t="shared" si="1"/>
        <v>1</v>
      </c>
      <c r="D18">
        <f t="shared" si="2"/>
        <v>0</v>
      </c>
      <c r="E18">
        <f t="shared" si="3"/>
        <v>0</v>
      </c>
      <c r="F18" t="str">
        <f t="shared" si="4"/>
        <v/>
      </c>
    </row>
    <row r="19" spans="1:6" x14ac:dyDescent="0.3">
      <c r="A19" t="s">
        <v>10</v>
      </c>
      <c r="C19">
        <f t="shared" si="1"/>
        <v>0</v>
      </c>
      <c r="D19">
        <f t="shared" si="2"/>
        <v>0</v>
      </c>
      <c r="E19">
        <f t="shared" si="3"/>
        <v>0</v>
      </c>
      <c r="F19" t="str">
        <f t="shared" si="4"/>
        <v/>
      </c>
    </row>
    <row r="20" spans="1:6" x14ac:dyDescent="0.3">
      <c r="A20" t="s">
        <v>30</v>
      </c>
      <c r="C20">
        <f t="shared" si="1"/>
        <v>0</v>
      </c>
      <c r="D20">
        <f t="shared" si="2"/>
        <v>0</v>
      </c>
      <c r="E20">
        <f t="shared" si="3"/>
        <v>0</v>
      </c>
      <c r="F20" t="str">
        <f t="shared" si="4"/>
        <v/>
      </c>
    </row>
    <row r="21" spans="1:6" x14ac:dyDescent="0.3">
      <c r="A21" t="s">
        <v>31</v>
      </c>
      <c r="B21" t="s">
        <v>32</v>
      </c>
      <c r="C21">
        <f t="shared" si="1"/>
        <v>0</v>
      </c>
      <c r="D21">
        <f t="shared" si="2"/>
        <v>1</v>
      </c>
      <c r="E21">
        <f t="shared" si="3"/>
        <v>0</v>
      </c>
      <c r="F21" t="str">
        <f t="shared" si="4"/>
        <v/>
      </c>
    </row>
    <row r="22" spans="1:6" x14ac:dyDescent="0.3">
      <c r="A22" t="s">
        <v>33</v>
      </c>
      <c r="B22" t="s">
        <v>34</v>
      </c>
      <c r="C22">
        <f t="shared" si="1"/>
        <v>1</v>
      </c>
      <c r="D22">
        <f t="shared" si="2"/>
        <v>0</v>
      </c>
      <c r="E22">
        <f t="shared" si="3"/>
        <v>0</v>
      </c>
      <c r="F22" t="str">
        <f t="shared" si="4"/>
        <v/>
      </c>
    </row>
    <row r="23" spans="1:6" x14ac:dyDescent="0.3">
      <c r="A23" t="s">
        <v>35</v>
      </c>
      <c r="B23" t="s">
        <v>36</v>
      </c>
      <c r="C23">
        <f t="shared" si="1"/>
        <v>0</v>
      </c>
      <c r="D23">
        <f t="shared" si="2"/>
        <v>0</v>
      </c>
      <c r="E23">
        <f t="shared" si="3"/>
        <v>1</v>
      </c>
      <c r="F23" t="str">
        <f t="shared" si="4"/>
        <v/>
      </c>
    </row>
    <row r="24" spans="1:6" x14ac:dyDescent="0.3">
      <c r="A24" t="s">
        <v>37</v>
      </c>
      <c r="B24" t="s">
        <v>38</v>
      </c>
      <c r="C24">
        <f t="shared" si="1"/>
        <v>0</v>
      </c>
      <c r="D24">
        <f t="shared" si="2"/>
        <v>0</v>
      </c>
      <c r="E24">
        <f t="shared" si="3"/>
        <v>1</v>
      </c>
      <c r="F24" t="str">
        <f t="shared" si="4"/>
        <v/>
      </c>
    </row>
    <row r="25" spans="1:6" x14ac:dyDescent="0.3">
      <c r="A25" t="s">
        <v>10</v>
      </c>
      <c r="C25">
        <f t="shared" si="1"/>
        <v>0</v>
      </c>
      <c r="D25">
        <f t="shared" si="2"/>
        <v>0</v>
      </c>
      <c r="E25">
        <f t="shared" si="3"/>
        <v>0</v>
      </c>
      <c r="F25" t="str">
        <f t="shared" si="4"/>
        <v/>
      </c>
    </row>
    <row r="26" spans="1:6" x14ac:dyDescent="0.3">
      <c r="A26" t="s">
        <v>39</v>
      </c>
      <c r="C26">
        <f t="shared" si="1"/>
        <v>0</v>
      </c>
      <c r="D26">
        <f t="shared" si="2"/>
        <v>0</v>
      </c>
      <c r="E26">
        <f t="shared" si="3"/>
        <v>0</v>
      </c>
      <c r="F26" t="str">
        <f t="shared" si="4"/>
        <v/>
      </c>
    </row>
    <row r="27" spans="1:6" x14ac:dyDescent="0.3">
      <c r="A27" t="s">
        <v>31</v>
      </c>
      <c r="B27" t="s">
        <v>32</v>
      </c>
      <c r="C27">
        <f t="shared" si="1"/>
        <v>0</v>
      </c>
      <c r="D27">
        <f t="shared" si="2"/>
        <v>1</v>
      </c>
      <c r="E27">
        <f t="shared" si="3"/>
        <v>0</v>
      </c>
      <c r="F27" t="str">
        <f t="shared" si="4"/>
        <v/>
      </c>
    </row>
    <row r="28" spans="1:6" x14ac:dyDescent="0.3">
      <c r="A28" t="s">
        <v>33</v>
      </c>
      <c r="B28" t="s">
        <v>34</v>
      </c>
      <c r="C28">
        <f t="shared" si="1"/>
        <v>1</v>
      </c>
      <c r="D28">
        <f t="shared" si="2"/>
        <v>0</v>
      </c>
      <c r="E28">
        <f t="shared" si="3"/>
        <v>0</v>
      </c>
      <c r="F28" t="str">
        <f t="shared" si="4"/>
        <v/>
      </c>
    </row>
    <row r="29" spans="1:6" x14ac:dyDescent="0.3">
      <c r="A29" t="s">
        <v>35</v>
      </c>
      <c r="B29" t="s">
        <v>36</v>
      </c>
      <c r="C29">
        <f t="shared" si="1"/>
        <v>0</v>
      </c>
      <c r="D29">
        <f t="shared" si="2"/>
        <v>0</v>
      </c>
      <c r="E29">
        <f t="shared" si="3"/>
        <v>1</v>
      </c>
      <c r="F29" t="str">
        <f t="shared" si="4"/>
        <v/>
      </c>
    </row>
    <row r="30" spans="1:6" x14ac:dyDescent="0.3">
      <c r="A30" t="s">
        <v>37</v>
      </c>
      <c r="B30" t="s">
        <v>38</v>
      </c>
      <c r="C30">
        <f t="shared" si="1"/>
        <v>0</v>
      </c>
      <c r="D30">
        <f t="shared" si="2"/>
        <v>0</v>
      </c>
      <c r="E30">
        <f t="shared" si="3"/>
        <v>1</v>
      </c>
      <c r="F30" t="str">
        <f t="shared" si="4"/>
        <v/>
      </c>
    </row>
    <row r="31" spans="1:6" x14ac:dyDescent="0.3">
      <c r="A31" t="s">
        <v>10</v>
      </c>
      <c r="C31">
        <f t="shared" si="1"/>
        <v>0</v>
      </c>
      <c r="D31">
        <f t="shared" si="2"/>
        <v>0</v>
      </c>
      <c r="E31">
        <f t="shared" si="3"/>
        <v>0</v>
      </c>
      <c r="F31" t="str">
        <f t="shared" si="4"/>
        <v/>
      </c>
    </row>
    <row r="32" spans="1:6" x14ac:dyDescent="0.3">
      <c r="A32" t="s">
        <v>40</v>
      </c>
      <c r="C32">
        <f t="shared" si="1"/>
        <v>0</v>
      </c>
      <c r="D32">
        <f t="shared" si="2"/>
        <v>0</v>
      </c>
      <c r="E32">
        <f t="shared" si="3"/>
        <v>0</v>
      </c>
      <c r="F32" t="str">
        <f t="shared" si="4"/>
        <v/>
      </c>
    </row>
    <row r="33" spans="1:12" x14ac:dyDescent="0.3">
      <c r="A33" t="s">
        <v>6</v>
      </c>
      <c r="B33" t="s">
        <v>7</v>
      </c>
      <c r="C33">
        <f t="shared" si="1"/>
        <v>0</v>
      </c>
      <c r="D33">
        <f t="shared" si="2"/>
        <v>1</v>
      </c>
      <c r="E33">
        <f t="shared" si="3"/>
        <v>0</v>
      </c>
      <c r="F33" t="str">
        <f t="shared" si="4"/>
        <v/>
      </c>
    </row>
    <row r="34" spans="1:12" x14ac:dyDescent="0.3">
      <c r="A34" t="s">
        <v>8</v>
      </c>
      <c r="B34" t="s">
        <v>9</v>
      </c>
      <c r="C34">
        <f t="shared" si="1"/>
        <v>1</v>
      </c>
      <c r="D34">
        <f t="shared" si="2"/>
        <v>0</v>
      </c>
      <c r="E34">
        <f t="shared" si="3"/>
        <v>0</v>
      </c>
      <c r="F34" t="str">
        <f t="shared" si="4"/>
        <v/>
      </c>
    </row>
    <row r="35" spans="1:12" x14ac:dyDescent="0.3">
      <c r="A35" t="s">
        <v>10</v>
      </c>
      <c r="C35">
        <f t="shared" si="1"/>
        <v>0</v>
      </c>
      <c r="D35">
        <f t="shared" si="2"/>
        <v>0</v>
      </c>
      <c r="E35">
        <f t="shared" si="3"/>
        <v>0</v>
      </c>
      <c r="F35" t="str">
        <f t="shared" si="4"/>
        <v/>
      </c>
    </row>
    <row r="36" spans="1:12" x14ac:dyDescent="0.3">
      <c r="A36" t="s">
        <v>41</v>
      </c>
      <c r="C36">
        <f t="shared" si="1"/>
        <v>0</v>
      </c>
      <c r="D36">
        <f t="shared" si="2"/>
        <v>0</v>
      </c>
      <c r="E36">
        <f t="shared" si="3"/>
        <v>0</v>
      </c>
      <c r="F36" t="str">
        <f t="shared" si="4"/>
        <v/>
      </c>
    </row>
    <row r="37" spans="1:12" x14ac:dyDescent="0.3">
      <c r="A37" t="s">
        <v>24</v>
      </c>
      <c r="B37" t="s">
        <v>25</v>
      </c>
      <c r="C37">
        <f t="shared" si="1"/>
        <v>0</v>
      </c>
      <c r="D37">
        <f t="shared" si="2"/>
        <v>0</v>
      </c>
      <c r="E37">
        <f t="shared" si="3"/>
        <v>1</v>
      </c>
      <c r="F37" t="str">
        <f t="shared" si="4"/>
        <v/>
      </c>
    </row>
    <row r="38" spans="1:12" x14ac:dyDescent="0.3">
      <c r="A38" t="s">
        <v>6</v>
      </c>
      <c r="B38" t="s">
        <v>7</v>
      </c>
      <c r="C38">
        <f t="shared" si="1"/>
        <v>0</v>
      </c>
      <c r="D38">
        <f t="shared" si="2"/>
        <v>1</v>
      </c>
      <c r="E38">
        <f t="shared" si="3"/>
        <v>0</v>
      </c>
      <c r="F38" t="str">
        <f t="shared" si="4"/>
        <v/>
      </c>
    </row>
    <row r="39" spans="1:12" x14ac:dyDescent="0.3">
      <c r="A39" t="s">
        <v>8</v>
      </c>
      <c r="B39" t="s">
        <v>9</v>
      </c>
      <c r="C39">
        <f t="shared" si="1"/>
        <v>1</v>
      </c>
      <c r="D39">
        <f t="shared" si="2"/>
        <v>0</v>
      </c>
      <c r="E39">
        <f t="shared" si="3"/>
        <v>0</v>
      </c>
      <c r="F39" t="str">
        <f t="shared" si="4"/>
        <v/>
      </c>
    </row>
    <row r="40" spans="1:12" x14ac:dyDescent="0.3">
      <c r="A40" t="s">
        <v>10</v>
      </c>
      <c r="C40">
        <f t="shared" si="1"/>
        <v>0</v>
      </c>
      <c r="D40">
        <f t="shared" si="2"/>
        <v>0</v>
      </c>
      <c r="E40">
        <f t="shared" si="3"/>
        <v>0</v>
      </c>
      <c r="F40" t="str">
        <f t="shared" si="4"/>
        <v/>
      </c>
    </row>
    <row r="41" spans="1:12" x14ac:dyDescent="0.3">
      <c r="A41" t="s">
        <v>42</v>
      </c>
      <c r="C41">
        <f t="shared" si="1"/>
        <v>0</v>
      </c>
      <c r="D41">
        <f t="shared" si="2"/>
        <v>0</v>
      </c>
      <c r="E41">
        <f t="shared" si="3"/>
        <v>0</v>
      </c>
      <c r="F41" t="str">
        <f t="shared" si="4"/>
        <v/>
      </c>
    </row>
    <row r="42" spans="1:12" x14ac:dyDescent="0.3">
      <c r="A42" t="s">
        <v>26</v>
      </c>
      <c r="B42" t="s">
        <v>27</v>
      </c>
      <c r="C42">
        <f t="shared" si="1"/>
        <v>0</v>
      </c>
      <c r="D42">
        <f t="shared" si="2"/>
        <v>1</v>
      </c>
      <c r="E42">
        <f t="shared" si="3"/>
        <v>0</v>
      </c>
      <c r="F42" t="str">
        <f t="shared" si="4"/>
        <v/>
      </c>
    </row>
    <row r="43" spans="1:12" x14ac:dyDescent="0.3">
      <c r="A43" t="s">
        <v>28</v>
      </c>
      <c r="B43" t="s">
        <v>29</v>
      </c>
      <c r="C43">
        <f t="shared" si="1"/>
        <v>1</v>
      </c>
      <c r="D43">
        <f t="shared" si="2"/>
        <v>0</v>
      </c>
      <c r="E43">
        <f t="shared" si="3"/>
        <v>0</v>
      </c>
      <c r="F43" t="str">
        <f t="shared" si="4"/>
        <v/>
      </c>
    </row>
    <row r="44" spans="1:12" x14ac:dyDescent="0.3">
      <c r="A44" t="s">
        <v>10</v>
      </c>
      <c r="C44">
        <f t="shared" si="1"/>
        <v>0</v>
      </c>
      <c r="D44">
        <f t="shared" si="2"/>
        <v>0</v>
      </c>
      <c r="E44">
        <f t="shared" si="3"/>
        <v>0</v>
      </c>
      <c r="F44" t="str">
        <f t="shared" si="4"/>
        <v/>
      </c>
    </row>
    <row r="45" spans="1:12" x14ac:dyDescent="0.3">
      <c r="A45" t="s">
        <v>43</v>
      </c>
      <c r="C45">
        <f t="shared" si="1"/>
        <v>0</v>
      </c>
      <c r="D45">
        <f t="shared" si="2"/>
        <v>0</v>
      </c>
      <c r="E45">
        <f t="shared" si="3"/>
        <v>0</v>
      </c>
      <c r="F45" t="str">
        <f t="shared" si="4"/>
        <v/>
      </c>
    </row>
    <row r="46" spans="1:12" x14ac:dyDescent="0.3">
      <c r="A46" t="s">
        <v>31</v>
      </c>
      <c r="B46" t="s">
        <v>32</v>
      </c>
      <c r="C46">
        <f t="shared" si="1"/>
        <v>0</v>
      </c>
      <c r="D46">
        <f t="shared" si="2"/>
        <v>1</v>
      </c>
      <c r="E46">
        <f t="shared" si="3"/>
        <v>0</v>
      </c>
      <c r="F46" t="str">
        <f t="shared" si="4"/>
        <v/>
      </c>
      <c r="I46" t="s">
        <v>2</v>
      </c>
    </row>
    <row r="47" spans="1:12" x14ac:dyDescent="0.3">
      <c r="A47" t="s">
        <v>33</v>
      </c>
      <c r="B47" t="s">
        <v>34</v>
      </c>
      <c r="C47">
        <f t="shared" si="1"/>
        <v>1</v>
      </c>
      <c r="D47">
        <f t="shared" si="2"/>
        <v>0</v>
      </c>
      <c r="E47">
        <f t="shared" si="3"/>
        <v>0</v>
      </c>
      <c r="F47" t="str">
        <f t="shared" si="4"/>
        <v/>
      </c>
      <c r="I47" t="s">
        <v>66</v>
      </c>
      <c r="J47">
        <v>26</v>
      </c>
      <c r="K47">
        <v>38</v>
      </c>
      <c r="L47">
        <v>2</v>
      </c>
    </row>
    <row r="48" spans="1:12" x14ac:dyDescent="0.3">
      <c r="A48" t="s">
        <v>35</v>
      </c>
      <c r="B48" t="s">
        <v>36</v>
      </c>
      <c r="C48">
        <f t="shared" si="1"/>
        <v>0</v>
      </c>
      <c r="D48">
        <f t="shared" si="2"/>
        <v>0</v>
      </c>
      <c r="E48">
        <f t="shared" si="3"/>
        <v>1</v>
      </c>
      <c r="F48" t="str">
        <f t="shared" si="4"/>
        <v/>
      </c>
      <c r="I48" t="s">
        <v>67</v>
      </c>
      <c r="J48">
        <v>26</v>
      </c>
      <c r="K48">
        <v>28</v>
      </c>
      <c r="L48">
        <v>0</v>
      </c>
    </row>
    <row r="49" spans="1:14" x14ac:dyDescent="0.3">
      <c r="A49" t="s">
        <v>37</v>
      </c>
      <c r="B49" t="s">
        <v>38</v>
      </c>
      <c r="C49">
        <f t="shared" si="1"/>
        <v>0</v>
      </c>
      <c r="D49">
        <f t="shared" si="2"/>
        <v>0</v>
      </c>
      <c r="E49">
        <f t="shared" si="3"/>
        <v>1</v>
      </c>
      <c r="F49" t="str">
        <f t="shared" si="4"/>
        <v/>
      </c>
      <c r="J49">
        <f>SUM(J47:J48)</f>
        <v>52</v>
      </c>
      <c r="K49">
        <f t="shared" ref="K49:L49" si="5">SUM(K47:K48)</f>
        <v>66</v>
      </c>
      <c r="L49">
        <f t="shared" si="5"/>
        <v>2</v>
      </c>
      <c r="M49">
        <f>SUM(J47:L48)</f>
        <v>120</v>
      </c>
    </row>
    <row r="50" spans="1:14" x14ac:dyDescent="0.3">
      <c r="A50" t="s">
        <v>10</v>
      </c>
      <c r="C50">
        <f t="shared" si="1"/>
        <v>0</v>
      </c>
      <c r="D50">
        <f t="shared" si="2"/>
        <v>0</v>
      </c>
      <c r="E50">
        <f t="shared" si="3"/>
        <v>0</v>
      </c>
      <c r="F50" t="str">
        <f t="shared" si="4"/>
        <v/>
      </c>
    </row>
    <row r="51" spans="1:14" x14ac:dyDescent="0.3">
      <c r="A51" t="s">
        <v>44</v>
      </c>
      <c r="C51">
        <f t="shared" si="1"/>
        <v>0</v>
      </c>
      <c r="D51">
        <f t="shared" si="2"/>
        <v>0</v>
      </c>
      <c r="E51">
        <f t="shared" si="3"/>
        <v>0</v>
      </c>
      <c r="F51" t="str">
        <f t="shared" si="4"/>
        <v/>
      </c>
      <c r="I51" t="s">
        <v>3</v>
      </c>
    </row>
    <row r="52" spans="1:14" x14ac:dyDescent="0.3">
      <c r="A52" t="s">
        <v>6</v>
      </c>
      <c r="B52" t="s">
        <v>7</v>
      </c>
      <c r="C52">
        <f t="shared" si="1"/>
        <v>0</v>
      </c>
      <c r="D52">
        <f t="shared" si="2"/>
        <v>1</v>
      </c>
      <c r="E52">
        <f t="shared" si="3"/>
        <v>0</v>
      </c>
      <c r="F52" t="str">
        <f t="shared" si="4"/>
        <v/>
      </c>
      <c r="I52" t="s">
        <v>64</v>
      </c>
      <c r="J52">
        <v>23</v>
      </c>
      <c r="K52">
        <v>35</v>
      </c>
      <c r="L52">
        <v>8</v>
      </c>
    </row>
    <row r="53" spans="1:14" x14ac:dyDescent="0.3">
      <c r="A53" t="s">
        <v>8</v>
      </c>
      <c r="B53" t="s">
        <v>9</v>
      </c>
      <c r="C53">
        <f t="shared" si="1"/>
        <v>1</v>
      </c>
      <c r="D53">
        <f t="shared" si="2"/>
        <v>0</v>
      </c>
      <c r="E53">
        <f t="shared" si="3"/>
        <v>0</v>
      </c>
      <c r="F53" t="str">
        <f t="shared" si="4"/>
        <v/>
      </c>
      <c r="I53" t="s">
        <v>65</v>
      </c>
      <c r="J53">
        <v>41</v>
      </c>
      <c r="K53">
        <v>31</v>
      </c>
      <c r="L53">
        <v>0</v>
      </c>
    </row>
    <row r="54" spans="1:14" x14ac:dyDescent="0.3">
      <c r="A54" t="s">
        <v>10</v>
      </c>
      <c r="C54">
        <f t="shared" si="1"/>
        <v>0</v>
      </c>
      <c r="D54">
        <f t="shared" si="2"/>
        <v>0</v>
      </c>
      <c r="E54">
        <f t="shared" si="3"/>
        <v>0</v>
      </c>
      <c r="F54" t="str">
        <f t="shared" si="4"/>
        <v/>
      </c>
      <c r="J54">
        <f>SUM(J52:J53)</f>
        <v>64</v>
      </c>
      <c r="K54">
        <f t="shared" ref="K54" si="6">SUM(K52:K53)</f>
        <v>66</v>
      </c>
      <c r="L54">
        <f t="shared" ref="L54" si="7">SUM(L52:L53)</f>
        <v>8</v>
      </c>
      <c r="M54">
        <f>SUM(J52:L53)</f>
        <v>138</v>
      </c>
    </row>
    <row r="55" spans="1:14" x14ac:dyDescent="0.3">
      <c r="A55" t="s">
        <v>45</v>
      </c>
      <c r="C55">
        <f t="shared" si="1"/>
        <v>0</v>
      </c>
      <c r="D55">
        <f t="shared" si="2"/>
        <v>0</v>
      </c>
      <c r="E55">
        <f t="shared" si="3"/>
        <v>0</v>
      </c>
      <c r="F55" t="str">
        <f t="shared" si="4"/>
        <v/>
      </c>
    </row>
    <row r="56" spans="1:14" x14ac:dyDescent="0.3">
      <c r="A56" t="s">
        <v>12</v>
      </c>
      <c r="B56" t="s">
        <v>13</v>
      </c>
      <c r="C56">
        <f t="shared" si="1"/>
        <v>0</v>
      </c>
      <c r="D56">
        <f t="shared" si="2"/>
        <v>1</v>
      </c>
      <c r="E56">
        <f t="shared" si="3"/>
        <v>0</v>
      </c>
      <c r="F56" t="str">
        <f t="shared" si="4"/>
        <v/>
      </c>
      <c r="I56" t="s">
        <v>61</v>
      </c>
    </row>
    <row r="57" spans="1:14" x14ac:dyDescent="0.3">
      <c r="A57" t="s">
        <v>14</v>
      </c>
      <c r="B57" t="s">
        <v>15</v>
      </c>
      <c r="C57">
        <f t="shared" si="1"/>
        <v>1</v>
      </c>
      <c r="D57">
        <f t="shared" si="2"/>
        <v>0</v>
      </c>
      <c r="E57">
        <f t="shared" si="3"/>
        <v>0</v>
      </c>
      <c r="F57" t="str">
        <f t="shared" si="4"/>
        <v/>
      </c>
      <c r="I57" t="s">
        <v>68</v>
      </c>
      <c r="J57">
        <v>20</v>
      </c>
      <c r="K57">
        <v>46</v>
      </c>
      <c r="L57">
        <v>0</v>
      </c>
    </row>
    <row r="58" spans="1:14" x14ac:dyDescent="0.3">
      <c r="A58" t="s">
        <v>16</v>
      </c>
      <c r="B58" t="s">
        <v>17</v>
      </c>
      <c r="C58">
        <f t="shared" si="1"/>
        <v>0</v>
      </c>
      <c r="D58">
        <f t="shared" si="2"/>
        <v>0</v>
      </c>
      <c r="E58">
        <f t="shared" si="3"/>
        <v>1</v>
      </c>
      <c r="F58" t="str">
        <f t="shared" si="4"/>
        <v/>
      </c>
      <c r="I58" t="s">
        <v>69</v>
      </c>
      <c r="J58">
        <v>26</v>
      </c>
      <c r="K58">
        <v>33</v>
      </c>
      <c r="L58">
        <v>1</v>
      </c>
    </row>
    <row r="59" spans="1:14" x14ac:dyDescent="0.3">
      <c r="A59" t="s">
        <v>10</v>
      </c>
      <c r="C59">
        <f t="shared" si="1"/>
        <v>0</v>
      </c>
      <c r="D59">
        <f t="shared" si="2"/>
        <v>0</v>
      </c>
      <c r="E59">
        <f t="shared" si="3"/>
        <v>0</v>
      </c>
      <c r="F59" t="str">
        <f t="shared" si="4"/>
        <v/>
      </c>
      <c r="J59">
        <f>SUM(J57:J58)</f>
        <v>46</v>
      </c>
      <c r="K59">
        <f t="shared" ref="K59" si="8">SUM(K57:K58)</f>
        <v>79</v>
      </c>
      <c r="L59">
        <f t="shared" ref="L59" si="9">SUM(L57:L58)</f>
        <v>1</v>
      </c>
      <c r="M59">
        <f>SUM(J57:L58)</f>
        <v>126</v>
      </c>
      <c r="N59">
        <f>M49+M54+M59</f>
        <v>384</v>
      </c>
    </row>
    <row r="60" spans="1:14" x14ac:dyDescent="0.3">
      <c r="A60" t="s">
        <v>46</v>
      </c>
      <c r="C60">
        <f t="shared" si="1"/>
        <v>0</v>
      </c>
      <c r="D60">
        <f t="shared" si="2"/>
        <v>0</v>
      </c>
      <c r="E60">
        <f t="shared" si="3"/>
        <v>0</v>
      </c>
      <c r="F60" t="str">
        <f t="shared" si="4"/>
        <v/>
      </c>
    </row>
    <row r="61" spans="1:14" x14ac:dyDescent="0.3">
      <c r="A61" t="s">
        <v>47</v>
      </c>
      <c r="B61" t="s">
        <v>38</v>
      </c>
      <c r="C61">
        <f t="shared" si="1"/>
        <v>0</v>
      </c>
      <c r="D61">
        <f t="shared" si="2"/>
        <v>0</v>
      </c>
      <c r="E61">
        <f t="shared" si="3"/>
        <v>1</v>
      </c>
      <c r="F61" t="str">
        <f t="shared" si="4"/>
        <v/>
      </c>
      <c r="J61">
        <f>J49+J54+J59</f>
        <v>162</v>
      </c>
      <c r="K61">
        <f t="shared" ref="K61:L61" si="10">K49+K54+K59</f>
        <v>211</v>
      </c>
      <c r="L61">
        <f t="shared" si="10"/>
        <v>11</v>
      </c>
    </row>
    <row r="62" spans="1:14" x14ac:dyDescent="0.3">
      <c r="A62" t="s">
        <v>33</v>
      </c>
      <c r="B62" t="s">
        <v>34</v>
      </c>
      <c r="C62">
        <f t="shared" si="1"/>
        <v>1</v>
      </c>
      <c r="D62">
        <f t="shared" si="2"/>
        <v>0</v>
      </c>
      <c r="E62">
        <f t="shared" si="3"/>
        <v>0</v>
      </c>
      <c r="F62" t="str">
        <f t="shared" si="4"/>
        <v/>
      </c>
    </row>
    <row r="63" spans="1:14" x14ac:dyDescent="0.3">
      <c r="A63" t="s">
        <v>31</v>
      </c>
      <c r="B63" t="s">
        <v>32</v>
      </c>
      <c r="C63">
        <f t="shared" si="1"/>
        <v>0</v>
      </c>
      <c r="D63">
        <f t="shared" si="2"/>
        <v>1</v>
      </c>
      <c r="E63">
        <f t="shared" si="3"/>
        <v>0</v>
      </c>
      <c r="F63" t="str">
        <f t="shared" si="4"/>
        <v/>
      </c>
    </row>
    <row r="64" spans="1:14" x14ac:dyDescent="0.3">
      <c r="A64" t="s">
        <v>48</v>
      </c>
      <c r="B64" t="s">
        <v>36</v>
      </c>
      <c r="C64">
        <f t="shared" si="1"/>
        <v>0</v>
      </c>
      <c r="D64">
        <f t="shared" si="2"/>
        <v>0</v>
      </c>
      <c r="E64">
        <f t="shared" si="3"/>
        <v>1</v>
      </c>
      <c r="F64" t="str">
        <f t="shared" si="4"/>
        <v/>
      </c>
    </row>
    <row r="65" spans="1:12" x14ac:dyDescent="0.3">
      <c r="A65" t="s">
        <v>10</v>
      </c>
      <c r="C65">
        <f t="shared" si="1"/>
        <v>0</v>
      </c>
      <c r="D65">
        <f t="shared" si="2"/>
        <v>0</v>
      </c>
      <c r="E65">
        <f t="shared" si="3"/>
        <v>0</v>
      </c>
      <c r="F65" t="str">
        <f t="shared" si="4"/>
        <v/>
      </c>
      <c r="J65">
        <v>80</v>
      </c>
      <c r="K65">
        <v>27</v>
      </c>
      <c r="L65">
        <v>11</v>
      </c>
    </row>
    <row r="66" spans="1:12" x14ac:dyDescent="0.3">
      <c r="A66" t="s">
        <v>49</v>
      </c>
      <c r="C66">
        <f t="shared" si="1"/>
        <v>0</v>
      </c>
      <c r="D66">
        <f t="shared" si="2"/>
        <v>0</v>
      </c>
      <c r="E66">
        <f t="shared" si="3"/>
        <v>0</v>
      </c>
      <c r="F66" t="str">
        <f t="shared" si="4"/>
        <v/>
      </c>
      <c r="L66">
        <f>SUM(J64:L65)</f>
        <v>118</v>
      </c>
    </row>
    <row r="67" spans="1:12" x14ac:dyDescent="0.3">
      <c r="A67" t="s">
        <v>19</v>
      </c>
      <c r="B67" t="s">
        <v>20</v>
      </c>
      <c r="C67">
        <f t="shared" ref="C67:C106" si="11">_xlfn.XLOOKUP($B67,I$2:I$6,$L$2:$L$6,0)</f>
        <v>0</v>
      </c>
      <c r="D67">
        <f t="shared" ref="D67:D106" si="12">_xlfn.XLOOKUP($B67,J$2:J$6,$L$2:$L$6,0)</f>
        <v>1</v>
      </c>
      <c r="E67">
        <f t="shared" ref="E67:E106" si="13">_xlfn.XLOOKUP($B67,K$2:K$6,$L$2:$L$6,0)</f>
        <v>0</v>
      </c>
      <c r="F67" t="str">
        <f t="shared" ref="F67:F106" si="14">IF(B67&lt;&gt;"",IF(SUM(C67:E67)=0,"Error",""),"")</f>
        <v/>
      </c>
    </row>
    <row r="68" spans="1:12" x14ac:dyDescent="0.3">
      <c r="A68" t="s">
        <v>21</v>
      </c>
      <c r="B68" t="s">
        <v>22</v>
      </c>
      <c r="C68">
        <f t="shared" si="11"/>
        <v>1</v>
      </c>
      <c r="D68">
        <f t="shared" si="12"/>
        <v>0</v>
      </c>
      <c r="E68">
        <f t="shared" si="13"/>
        <v>0</v>
      </c>
      <c r="F68" t="str">
        <f t="shared" si="14"/>
        <v/>
      </c>
    </row>
    <row r="69" spans="1:12" x14ac:dyDescent="0.3">
      <c r="A69" t="s">
        <v>10</v>
      </c>
      <c r="C69">
        <f t="shared" si="11"/>
        <v>0</v>
      </c>
      <c r="D69">
        <f t="shared" si="12"/>
        <v>0</v>
      </c>
      <c r="E69">
        <f t="shared" si="13"/>
        <v>0</v>
      </c>
      <c r="F69" t="str">
        <f t="shared" si="14"/>
        <v/>
      </c>
    </row>
    <row r="70" spans="1:12" x14ac:dyDescent="0.3">
      <c r="A70" t="s">
        <v>50</v>
      </c>
      <c r="C70">
        <f t="shared" si="11"/>
        <v>0</v>
      </c>
      <c r="D70">
        <f t="shared" si="12"/>
        <v>0</v>
      </c>
      <c r="E70">
        <f t="shared" si="13"/>
        <v>0</v>
      </c>
      <c r="F70" t="str">
        <f t="shared" si="14"/>
        <v/>
      </c>
    </row>
    <row r="71" spans="1:12" x14ac:dyDescent="0.3">
      <c r="A71" t="s">
        <v>31</v>
      </c>
      <c r="B71" t="s">
        <v>32</v>
      </c>
      <c r="C71">
        <f t="shared" si="11"/>
        <v>0</v>
      </c>
      <c r="D71">
        <f t="shared" si="12"/>
        <v>1</v>
      </c>
      <c r="E71">
        <f t="shared" si="13"/>
        <v>0</v>
      </c>
      <c r="F71" t="str">
        <f t="shared" si="14"/>
        <v/>
      </c>
    </row>
    <row r="72" spans="1:12" x14ac:dyDescent="0.3">
      <c r="A72" t="s">
        <v>6</v>
      </c>
      <c r="B72" t="s">
        <v>7</v>
      </c>
      <c r="C72">
        <f t="shared" si="11"/>
        <v>0</v>
      </c>
      <c r="D72">
        <f t="shared" si="12"/>
        <v>1</v>
      </c>
      <c r="E72">
        <f t="shared" si="13"/>
        <v>0</v>
      </c>
      <c r="F72" t="str">
        <f t="shared" si="14"/>
        <v/>
      </c>
    </row>
    <row r="73" spans="1:12" x14ac:dyDescent="0.3">
      <c r="A73" t="s">
        <v>8</v>
      </c>
      <c r="B73" t="s">
        <v>9</v>
      </c>
      <c r="C73">
        <f t="shared" si="11"/>
        <v>1</v>
      </c>
      <c r="D73">
        <f t="shared" si="12"/>
        <v>0</v>
      </c>
      <c r="E73">
        <f t="shared" si="13"/>
        <v>0</v>
      </c>
      <c r="F73" t="str">
        <f t="shared" si="14"/>
        <v/>
      </c>
    </row>
    <row r="74" spans="1:12" x14ac:dyDescent="0.3">
      <c r="A74" t="s">
        <v>10</v>
      </c>
      <c r="C74">
        <f t="shared" si="11"/>
        <v>0</v>
      </c>
      <c r="D74">
        <f t="shared" si="12"/>
        <v>0</v>
      </c>
      <c r="E74">
        <f t="shared" si="13"/>
        <v>0</v>
      </c>
      <c r="F74" t="str">
        <f t="shared" si="14"/>
        <v/>
      </c>
    </row>
    <row r="75" spans="1:12" x14ac:dyDescent="0.3">
      <c r="A75" t="s">
        <v>51</v>
      </c>
      <c r="C75">
        <f t="shared" si="11"/>
        <v>0</v>
      </c>
      <c r="D75">
        <f t="shared" si="12"/>
        <v>0</v>
      </c>
      <c r="E75">
        <f t="shared" si="13"/>
        <v>0</v>
      </c>
      <c r="F75" t="str">
        <f t="shared" si="14"/>
        <v/>
      </c>
    </row>
    <row r="76" spans="1:12" x14ac:dyDescent="0.3">
      <c r="A76" t="s">
        <v>12</v>
      </c>
      <c r="B76" t="s">
        <v>13</v>
      </c>
      <c r="C76">
        <f t="shared" si="11"/>
        <v>0</v>
      </c>
      <c r="D76">
        <f t="shared" si="12"/>
        <v>1</v>
      </c>
      <c r="E76">
        <f t="shared" si="13"/>
        <v>0</v>
      </c>
      <c r="F76" t="str">
        <f t="shared" si="14"/>
        <v/>
      </c>
    </row>
    <row r="77" spans="1:12" x14ac:dyDescent="0.3">
      <c r="A77" t="s">
        <v>14</v>
      </c>
      <c r="B77" t="s">
        <v>15</v>
      </c>
      <c r="C77">
        <f t="shared" si="11"/>
        <v>1</v>
      </c>
      <c r="D77">
        <f t="shared" si="12"/>
        <v>0</v>
      </c>
      <c r="E77">
        <f t="shared" si="13"/>
        <v>0</v>
      </c>
      <c r="F77" t="str">
        <f t="shared" si="14"/>
        <v/>
      </c>
    </row>
    <row r="78" spans="1:12" x14ac:dyDescent="0.3">
      <c r="A78" t="s">
        <v>16</v>
      </c>
      <c r="B78" t="s">
        <v>17</v>
      </c>
      <c r="C78">
        <f t="shared" si="11"/>
        <v>0</v>
      </c>
      <c r="D78">
        <f t="shared" si="12"/>
        <v>0</v>
      </c>
      <c r="E78">
        <f t="shared" si="13"/>
        <v>1</v>
      </c>
      <c r="F78" t="str">
        <f t="shared" si="14"/>
        <v/>
      </c>
    </row>
    <row r="79" spans="1:12" x14ac:dyDescent="0.3">
      <c r="A79" t="s">
        <v>10</v>
      </c>
      <c r="C79">
        <f t="shared" si="11"/>
        <v>0</v>
      </c>
      <c r="D79">
        <f t="shared" si="12"/>
        <v>0</v>
      </c>
      <c r="E79">
        <f t="shared" si="13"/>
        <v>0</v>
      </c>
      <c r="F79" t="str">
        <f t="shared" si="14"/>
        <v/>
      </c>
    </row>
    <row r="80" spans="1:12" x14ac:dyDescent="0.3">
      <c r="A80" t="s">
        <v>52</v>
      </c>
      <c r="C80">
        <f t="shared" si="11"/>
        <v>0</v>
      </c>
      <c r="D80">
        <f t="shared" si="12"/>
        <v>0</v>
      </c>
      <c r="E80">
        <f t="shared" si="13"/>
        <v>0</v>
      </c>
      <c r="F80" t="str">
        <f t="shared" si="14"/>
        <v/>
      </c>
    </row>
    <row r="81" spans="1:6" x14ac:dyDescent="0.3">
      <c r="A81" t="s">
        <v>26</v>
      </c>
      <c r="B81" t="s">
        <v>27</v>
      </c>
      <c r="C81">
        <f t="shared" si="11"/>
        <v>0</v>
      </c>
      <c r="D81">
        <f t="shared" si="12"/>
        <v>1</v>
      </c>
      <c r="E81">
        <f t="shared" si="13"/>
        <v>0</v>
      </c>
      <c r="F81" t="str">
        <f t="shared" si="14"/>
        <v/>
      </c>
    </row>
    <row r="82" spans="1:6" x14ac:dyDescent="0.3">
      <c r="A82" t="s">
        <v>53</v>
      </c>
      <c r="B82" t="s">
        <v>20</v>
      </c>
      <c r="C82">
        <f t="shared" si="11"/>
        <v>0</v>
      </c>
      <c r="D82">
        <f t="shared" si="12"/>
        <v>1</v>
      </c>
      <c r="E82">
        <f t="shared" si="13"/>
        <v>0</v>
      </c>
      <c r="F82" t="str">
        <f t="shared" si="14"/>
        <v/>
      </c>
    </row>
    <row r="83" spans="1:6" x14ac:dyDescent="0.3">
      <c r="A83" t="s">
        <v>10</v>
      </c>
      <c r="C83">
        <f t="shared" si="11"/>
        <v>0</v>
      </c>
      <c r="D83">
        <f t="shared" si="12"/>
        <v>0</v>
      </c>
      <c r="E83">
        <f t="shared" si="13"/>
        <v>0</v>
      </c>
      <c r="F83" t="str">
        <f t="shared" si="14"/>
        <v/>
      </c>
    </row>
    <row r="84" spans="1:6" x14ac:dyDescent="0.3">
      <c r="A84" t="s">
        <v>54</v>
      </c>
      <c r="C84">
        <f t="shared" si="11"/>
        <v>0</v>
      </c>
      <c r="D84">
        <f t="shared" si="12"/>
        <v>0</v>
      </c>
      <c r="E84">
        <f t="shared" si="13"/>
        <v>0</v>
      </c>
      <c r="F84" t="str">
        <f t="shared" si="14"/>
        <v/>
      </c>
    </row>
    <row r="85" spans="1:6" x14ac:dyDescent="0.3">
      <c r="A85" t="s">
        <v>31</v>
      </c>
      <c r="B85" t="s">
        <v>32</v>
      </c>
      <c r="C85">
        <f t="shared" si="11"/>
        <v>0</v>
      </c>
      <c r="D85">
        <f t="shared" si="12"/>
        <v>1</v>
      </c>
      <c r="E85">
        <f t="shared" si="13"/>
        <v>0</v>
      </c>
      <c r="F85" t="str">
        <f t="shared" si="14"/>
        <v/>
      </c>
    </row>
    <row r="86" spans="1:6" x14ac:dyDescent="0.3">
      <c r="A86" t="s">
        <v>33</v>
      </c>
      <c r="B86" t="s">
        <v>34</v>
      </c>
      <c r="C86">
        <f t="shared" si="11"/>
        <v>1</v>
      </c>
      <c r="D86">
        <f t="shared" si="12"/>
        <v>0</v>
      </c>
      <c r="E86">
        <f t="shared" si="13"/>
        <v>0</v>
      </c>
      <c r="F86" t="str">
        <f t="shared" si="14"/>
        <v/>
      </c>
    </row>
    <row r="87" spans="1:6" x14ac:dyDescent="0.3">
      <c r="A87" t="s">
        <v>35</v>
      </c>
      <c r="B87" t="s">
        <v>36</v>
      </c>
      <c r="C87">
        <f t="shared" si="11"/>
        <v>0</v>
      </c>
      <c r="D87">
        <f t="shared" si="12"/>
        <v>0</v>
      </c>
      <c r="E87">
        <f t="shared" si="13"/>
        <v>1</v>
      </c>
      <c r="F87" t="str">
        <f t="shared" si="14"/>
        <v/>
      </c>
    </row>
    <row r="88" spans="1:6" x14ac:dyDescent="0.3">
      <c r="A88" t="s">
        <v>37</v>
      </c>
      <c r="B88" t="s">
        <v>38</v>
      </c>
      <c r="C88">
        <f t="shared" si="11"/>
        <v>0</v>
      </c>
      <c r="D88">
        <f t="shared" si="12"/>
        <v>0</v>
      </c>
      <c r="E88">
        <f t="shared" si="13"/>
        <v>1</v>
      </c>
      <c r="F88" t="str">
        <f t="shared" si="14"/>
        <v/>
      </c>
    </row>
    <row r="89" spans="1:6" x14ac:dyDescent="0.3">
      <c r="A89" t="s">
        <v>10</v>
      </c>
      <c r="C89">
        <f t="shared" si="11"/>
        <v>0</v>
      </c>
      <c r="D89">
        <f t="shared" si="12"/>
        <v>0</v>
      </c>
      <c r="E89">
        <f t="shared" si="13"/>
        <v>0</v>
      </c>
      <c r="F89" t="str">
        <f t="shared" si="14"/>
        <v/>
      </c>
    </row>
    <row r="90" spans="1:6" x14ac:dyDescent="0.3">
      <c r="A90" t="s">
        <v>55</v>
      </c>
      <c r="C90">
        <f t="shared" si="11"/>
        <v>0</v>
      </c>
      <c r="D90">
        <f t="shared" si="12"/>
        <v>0</v>
      </c>
      <c r="E90">
        <f t="shared" si="13"/>
        <v>0</v>
      </c>
      <c r="F90" t="str">
        <f t="shared" si="14"/>
        <v/>
      </c>
    </row>
    <row r="91" spans="1:6" x14ac:dyDescent="0.3">
      <c r="A91" t="s">
        <v>24</v>
      </c>
      <c r="B91" t="s">
        <v>25</v>
      </c>
      <c r="C91">
        <f t="shared" si="11"/>
        <v>0</v>
      </c>
      <c r="D91">
        <f t="shared" si="12"/>
        <v>0</v>
      </c>
      <c r="E91">
        <f t="shared" si="13"/>
        <v>1</v>
      </c>
      <c r="F91" t="str">
        <f t="shared" si="14"/>
        <v/>
      </c>
    </row>
    <row r="92" spans="1:6" x14ac:dyDescent="0.3">
      <c r="A92" t="s">
        <v>26</v>
      </c>
      <c r="B92" t="s">
        <v>27</v>
      </c>
      <c r="C92">
        <f t="shared" si="11"/>
        <v>0</v>
      </c>
      <c r="D92">
        <f t="shared" si="12"/>
        <v>1</v>
      </c>
      <c r="E92">
        <f t="shared" si="13"/>
        <v>0</v>
      </c>
      <c r="F92" t="str">
        <f t="shared" si="14"/>
        <v/>
      </c>
    </row>
    <row r="93" spans="1:6" x14ac:dyDescent="0.3">
      <c r="A93" t="s">
        <v>28</v>
      </c>
      <c r="B93" t="s">
        <v>29</v>
      </c>
      <c r="C93">
        <f t="shared" si="11"/>
        <v>1</v>
      </c>
      <c r="D93">
        <f t="shared" si="12"/>
        <v>0</v>
      </c>
      <c r="E93">
        <f t="shared" si="13"/>
        <v>0</v>
      </c>
      <c r="F93" t="str">
        <f t="shared" si="14"/>
        <v/>
      </c>
    </row>
    <row r="94" spans="1:6" x14ac:dyDescent="0.3">
      <c r="A94" t="s">
        <v>10</v>
      </c>
      <c r="C94">
        <f t="shared" si="11"/>
        <v>0</v>
      </c>
      <c r="D94">
        <f t="shared" si="12"/>
        <v>0</v>
      </c>
      <c r="E94">
        <f t="shared" si="13"/>
        <v>0</v>
      </c>
      <c r="F94" t="str">
        <f t="shared" si="14"/>
        <v/>
      </c>
    </row>
    <row r="95" spans="1:6" x14ac:dyDescent="0.3">
      <c r="A95" t="s">
        <v>56</v>
      </c>
      <c r="C95">
        <f t="shared" si="11"/>
        <v>0</v>
      </c>
      <c r="D95">
        <f t="shared" si="12"/>
        <v>0</v>
      </c>
      <c r="E95">
        <f t="shared" si="13"/>
        <v>0</v>
      </c>
      <c r="F95" t="str">
        <f t="shared" si="14"/>
        <v/>
      </c>
    </row>
    <row r="96" spans="1:6" x14ac:dyDescent="0.3">
      <c r="A96" t="s">
        <v>31</v>
      </c>
      <c r="B96" t="s">
        <v>32</v>
      </c>
      <c r="C96">
        <f t="shared" si="11"/>
        <v>0</v>
      </c>
      <c r="D96">
        <f t="shared" si="12"/>
        <v>1</v>
      </c>
      <c r="E96">
        <f t="shared" si="13"/>
        <v>0</v>
      </c>
      <c r="F96" t="str">
        <f t="shared" si="14"/>
        <v/>
      </c>
    </row>
    <row r="97" spans="1:6" x14ac:dyDescent="0.3">
      <c r="A97" t="s">
        <v>33</v>
      </c>
      <c r="B97" t="s">
        <v>34</v>
      </c>
      <c r="C97">
        <f t="shared" si="11"/>
        <v>1</v>
      </c>
      <c r="D97">
        <f t="shared" si="12"/>
        <v>0</v>
      </c>
      <c r="E97">
        <f t="shared" si="13"/>
        <v>0</v>
      </c>
      <c r="F97" t="str">
        <f t="shared" si="14"/>
        <v/>
      </c>
    </row>
    <row r="98" spans="1:6" x14ac:dyDescent="0.3">
      <c r="A98" t="s">
        <v>35</v>
      </c>
      <c r="B98" t="s">
        <v>36</v>
      </c>
      <c r="C98">
        <f t="shared" si="11"/>
        <v>0</v>
      </c>
      <c r="D98">
        <f t="shared" si="12"/>
        <v>0</v>
      </c>
      <c r="E98">
        <f t="shared" si="13"/>
        <v>1</v>
      </c>
      <c r="F98" t="str">
        <f t="shared" si="14"/>
        <v/>
      </c>
    </row>
    <row r="99" spans="1:6" x14ac:dyDescent="0.3">
      <c r="A99" t="s">
        <v>37</v>
      </c>
      <c r="B99" t="s">
        <v>38</v>
      </c>
      <c r="C99">
        <f t="shared" si="11"/>
        <v>0</v>
      </c>
      <c r="D99">
        <f t="shared" si="12"/>
        <v>0</v>
      </c>
      <c r="E99">
        <f t="shared" si="13"/>
        <v>1</v>
      </c>
      <c r="F99" t="str">
        <f t="shared" si="14"/>
        <v/>
      </c>
    </row>
    <row r="100" spans="1:6" x14ac:dyDescent="0.3">
      <c r="A100" t="s">
        <v>10</v>
      </c>
      <c r="C100">
        <f t="shared" si="11"/>
        <v>0</v>
      </c>
      <c r="D100">
        <f t="shared" si="12"/>
        <v>0</v>
      </c>
      <c r="E100">
        <f t="shared" si="13"/>
        <v>0</v>
      </c>
      <c r="F100" t="str">
        <f t="shared" si="14"/>
        <v/>
      </c>
    </row>
    <row r="101" spans="1:6" x14ac:dyDescent="0.3">
      <c r="A101" t="s">
        <v>57</v>
      </c>
      <c r="C101">
        <f t="shared" si="11"/>
        <v>0</v>
      </c>
      <c r="D101">
        <f t="shared" si="12"/>
        <v>0</v>
      </c>
      <c r="E101">
        <f t="shared" si="13"/>
        <v>0</v>
      </c>
      <c r="F101" t="str">
        <f t="shared" si="14"/>
        <v/>
      </c>
    </row>
    <row r="102" spans="1:6" x14ac:dyDescent="0.3">
      <c r="A102" t="s">
        <v>12</v>
      </c>
      <c r="B102" t="s">
        <v>13</v>
      </c>
      <c r="C102">
        <f t="shared" si="11"/>
        <v>0</v>
      </c>
      <c r="D102">
        <f t="shared" si="12"/>
        <v>1</v>
      </c>
      <c r="E102">
        <f t="shared" si="13"/>
        <v>0</v>
      </c>
      <c r="F102" t="str">
        <f t="shared" si="14"/>
        <v/>
      </c>
    </row>
    <row r="103" spans="1:6" x14ac:dyDescent="0.3">
      <c r="A103" t="s">
        <v>14</v>
      </c>
      <c r="B103" t="s">
        <v>15</v>
      </c>
      <c r="C103">
        <f t="shared" si="11"/>
        <v>1</v>
      </c>
      <c r="D103">
        <f t="shared" si="12"/>
        <v>0</v>
      </c>
      <c r="E103">
        <f t="shared" si="13"/>
        <v>0</v>
      </c>
      <c r="F103" t="str">
        <f t="shared" si="14"/>
        <v/>
      </c>
    </row>
    <row r="104" spans="1:6" x14ac:dyDescent="0.3">
      <c r="A104" t="s">
        <v>16</v>
      </c>
      <c r="B104" t="s">
        <v>17</v>
      </c>
      <c r="C104">
        <f t="shared" si="11"/>
        <v>0</v>
      </c>
      <c r="D104">
        <f t="shared" si="12"/>
        <v>0</v>
      </c>
      <c r="E104">
        <f t="shared" si="13"/>
        <v>1</v>
      </c>
      <c r="F104" t="str">
        <f t="shared" si="14"/>
        <v/>
      </c>
    </row>
    <row r="105" spans="1:6" x14ac:dyDescent="0.3">
      <c r="A105" t="s">
        <v>58</v>
      </c>
      <c r="C105">
        <f t="shared" si="11"/>
        <v>0</v>
      </c>
      <c r="D105">
        <f t="shared" si="12"/>
        <v>0</v>
      </c>
      <c r="E105">
        <f t="shared" si="13"/>
        <v>0</v>
      </c>
      <c r="F105" t="str">
        <f t="shared" si="14"/>
        <v/>
      </c>
    </row>
    <row r="106" spans="1:6" x14ac:dyDescent="0.3">
      <c r="A106" t="s">
        <v>59</v>
      </c>
      <c r="C106">
        <f t="shared" si="11"/>
        <v>0</v>
      </c>
      <c r="D106">
        <f t="shared" si="12"/>
        <v>0</v>
      </c>
      <c r="E106">
        <f t="shared" si="13"/>
        <v>0</v>
      </c>
      <c r="F106" t="str">
        <f t="shared" si="14"/>
        <v/>
      </c>
    </row>
    <row r="107" spans="1:6" x14ac:dyDescent="0.3">
      <c r="B107" t="s">
        <v>4</v>
      </c>
      <c r="C107">
        <f>SUM(C2:C106)</f>
        <v>20</v>
      </c>
      <c r="D107">
        <f t="shared" ref="D107:E107" si="15">SUM(D2:D106)</f>
        <v>23</v>
      </c>
      <c r="E107">
        <f t="shared" si="15"/>
        <v>19</v>
      </c>
      <c r="F107">
        <f>SUM(C107:E107)</f>
        <v>62</v>
      </c>
    </row>
    <row r="108" spans="1:6" x14ac:dyDescent="0.3">
      <c r="B108" t="s">
        <v>60</v>
      </c>
      <c r="C108">
        <f>C107*6</f>
        <v>120</v>
      </c>
      <c r="D108">
        <f t="shared" ref="D108:F108" si="16">D107*6</f>
        <v>138</v>
      </c>
      <c r="E108">
        <f t="shared" si="16"/>
        <v>114</v>
      </c>
      <c r="F108">
        <f t="shared" si="16"/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Calificacion_potenciales(Recupe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Laborda García</cp:lastModifiedBy>
  <dcterms:created xsi:type="dcterms:W3CDTF">2026-01-25T21:13:01Z</dcterms:created>
  <dcterms:modified xsi:type="dcterms:W3CDTF">2026-01-25T21:53:37Z</dcterms:modified>
</cp:coreProperties>
</file>